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ustomer_churn_dataset" sheetId="1" state="visible" r:id="rId3"/>
    <sheet name="cleaned_data" sheetId="2" state="visible" r:id="rId4"/>
    <sheet name="Summary" sheetId="3" state="visible" r:id="rId5"/>
    <sheet name="Sheet4" sheetId="4" state="visible" r:id="rId6"/>
  </sheets>
  <definedNames>
    <definedName function="false" hidden="true" localSheetId="0" name="_xlnm._FilterDatabase" vbProcedure="false">customer_churn_dataset!$A$1:$V$1501</definedName>
    <definedName function="false" hidden="true" localSheetId="3" name="_xlnm._FilterDatabase" vbProcedure="false">Sheet4!$A$3:$K$1503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<sst xmlns="http://schemas.openxmlformats.org/spreadsheetml/2006/main" count="6135" uniqueCount="1606">
  <si>
    <t xml:space="preserve">customer_id</t>
  </si>
  <si>
    <t xml:space="preserve">plan_type</t>
  </si>
  <si>
    <t xml:space="preserve">contract_type</t>
  </si>
  <si>
    <t xml:space="preserve">monthly_charge</t>
  </si>
  <si>
    <t xml:space="preserve">tenure_months</t>
  </si>
  <si>
    <t xml:space="preserve">signup_date</t>
  </si>
  <si>
    <t xml:space="preserve">payment_method</t>
  </si>
  <si>
    <t xml:space="preserve">autopay_enabled</t>
  </si>
  <si>
    <t xml:space="preserve">usage_score</t>
  </si>
  <si>
    <t xml:space="preserve">logins_per_month</t>
  </si>
  <si>
    <t xml:space="preserve">features_used</t>
  </si>
  <si>
    <t xml:space="preserve">support_tickets_6m</t>
  </si>
  <si>
    <t xml:space="preserve">complaint_unresolved</t>
  </si>
  <si>
    <t xml:space="preserve">total_revenue</t>
  </si>
  <si>
    <t xml:space="preserve">churned</t>
  </si>
  <si>
    <t xml:space="preserve">churn_date</t>
  </si>
  <si>
    <t xml:space="preserve">last_active_date</t>
  </si>
  <si>
    <t xml:space="preserve">signup_year</t>
  </si>
  <si>
    <t xml:space="preserve">Tenure_budget</t>
  </si>
  <si>
    <t xml:space="preserve">Risk_score</t>
  </si>
  <si>
    <t xml:space="preserve">Missing_value_flag</t>
  </si>
  <si>
    <t xml:space="preserve">Risk_level</t>
  </si>
  <si>
    <t xml:space="preserve">CUST100500</t>
  </si>
  <si>
    <t xml:space="preserve">Standard</t>
  </si>
  <si>
    <t xml:space="preserve">Month-to-month</t>
  </si>
  <si>
    <t xml:space="preserve">Credit card</t>
  </si>
  <si>
    <t xml:space="preserve">CUST101041</t>
  </si>
  <si>
    <t xml:space="preserve">Manual/Invoice</t>
  </si>
  <si>
    <t xml:space="preserve">CUST100305</t>
  </si>
  <si>
    <t xml:space="preserve">Premium</t>
  </si>
  <si>
    <t xml:space="preserve">Bank transfer</t>
  </si>
  <si>
    <t xml:space="preserve">CUST101045</t>
  </si>
  <si>
    <t xml:space="preserve">CUST101341</t>
  </si>
  <si>
    <t xml:space="preserve">CUST101313</t>
  </si>
  <si>
    <t xml:space="preserve">One year</t>
  </si>
  <si>
    <t xml:space="preserve">CUST100592</t>
  </si>
  <si>
    <t xml:space="preserve">Basic</t>
  </si>
  <si>
    <t xml:space="preserve">CUST101076</t>
  </si>
  <si>
    <t xml:space="preserve">CUST101481</t>
  </si>
  <si>
    <t xml:space="preserve">PayPal</t>
  </si>
  <si>
    <t xml:space="preserve">CUST100688</t>
  </si>
  <si>
    <t xml:space="preserve">CUST100968</t>
  </si>
  <si>
    <t xml:space="preserve">CUST101408</t>
  </si>
  <si>
    <t xml:space="preserve">CUST101084</t>
  </si>
  <si>
    <t xml:space="preserve">CUST101306</t>
  </si>
  <si>
    <t xml:space="preserve">CUST100916</t>
  </si>
  <si>
    <t xml:space="preserve">CUST100655</t>
  </si>
  <si>
    <t xml:space="preserve">CUST100826</t>
  </si>
  <si>
    <t xml:space="preserve">CUST100747</t>
  </si>
  <si>
    <t xml:space="preserve">CUST101402</t>
  </si>
  <si>
    <t xml:space="preserve">CUST100575</t>
  </si>
  <si>
    <t xml:space="preserve">Two year</t>
  </si>
  <si>
    <t xml:space="preserve">CUST100057</t>
  </si>
  <si>
    <t xml:space="preserve">CUST100209</t>
  </si>
  <si>
    <t xml:space="preserve">CUST100912</t>
  </si>
  <si>
    <t xml:space="preserve">CUST101240</t>
  </si>
  <si>
    <t xml:space="preserve">CUST100324</t>
  </si>
  <si>
    <t xml:space="preserve">CUST100360</t>
  </si>
  <si>
    <t xml:space="preserve">CUST100746</t>
  </si>
  <si>
    <t xml:space="preserve">CUST100118</t>
  </si>
  <si>
    <t xml:space="preserve">CUST101121</t>
  </si>
  <si>
    <t xml:space="preserve">CUST101027</t>
  </si>
  <si>
    <t xml:space="preserve">CUST100565</t>
  </si>
  <si>
    <t xml:space="preserve">CUST100731</t>
  </si>
  <si>
    <t xml:space="preserve">CUST101393</t>
  </si>
  <si>
    <t xml:space="preserve">CUST101366</t>
  </si>
  <si>
    <t xml:space="preserve">CUST100426</t>
  </si>
  <si>
    <t xml:space="preserve">CUST101044</t>
  </si>
  <si>
    <t xml:space="preserve">CUST100867</t>
  </si>
  <si>
    <t xml:space="preserve">CUST100652</t>
  </si>
  <si>
    <t xml:space="preserve">CUST100638</t>
  </si>
  <si>
    <t xml:space="preserve">CUST101300</t>
  </si>
  <si>
    <t xml:space="preserve">CUST101462</t>
  </si>
  <si>
    <t xml:space="preserve">CUST100814</t>
  </si>
  <si>
    <t xml:space="preserve">CUST100021</t>
  </si>
  <si>
    <t xml:space="preserve">CUST101096</t>
  </si>
  <si>
    <t xml:space="preserve">CUST100689</t>
  </si>
  <si>
    <t xml:space="preserve">CUST100279</t>
  </si>
  <si>
    <t xml:space="preserve">CUST100141</t>
  </si>
  <si>
    <t xml:space="preserve">CUST101346</t>
  </si>
  <si>
    <t xml:space="preserve">CUST101487</t>
  </si>
  <si>
    <t xml:space="preserve">CUST101143</t>
  </si>
  <si>
    <t xml:space="preserve">CUST100140</t>
  </si>
  <si>
    <t xml:space="preserve">CUST100131</t>
  </si>
  <si>
    <t xml:space="preserve">CUST100724</t>
  </si>
  <si>
    <t xml:space="preserve">CUST100562</t>
  </si>
  <si>
    <t xml:space="preserve">CUST100943</t>
  </si>
  <si>
    <t xml:space="preserve">CUST100922</t>
  </si>
  <si>
    <t xml:space="preserve">CUST100164</t>
  </si>
  <si>
    <t xml:space="preserve">CUST100752</t>
  </si>
  <si>
    <t xml:space="preserve">CUST100776</t>
  </si>
  <si>
    <t xml:space="preserve">CUST100344</t>
  </si>
  <si>
    <t xml:space="preserve">CUST101206</t>
  </si>
  <si>
    <t xml:space="preserve">CUST100928</t>
  </si>
  <si>
    <t xml:space="preserve">CUST100971</t>
  </si>
  <si>
    <t xml:space="preserve">CUST100784</t>
  </si>
  <si>
    <t xml:space="preserve">CUST100569</t>
  </si>
  <si>
    <t xml:space="preserve">CUST100129</t>
  </si>
  <si>
    <t xml:space="preserve">CUST100030</t>
  </si>
  <si>
    <t xml:space="preserve">CUST100299</t>
  </si>
  <si>
    <t xml:space="preserve">CUST100635</t>
  </si>
  <si>
    <t xml:space="preserve">CUST101369</t>
  </si>
  <si>
    <t xml:space="preserve">CUST101191</t>
  </si>
  <si>
    <t xml:space="preserve">CUST100383</t>
  </si>
  <si>
    <t xml:space="preserve">CUST100837</t>
  </si>
  <si>
    <t xml:space="preserve">CUST101455</t>
  </si>
  <si>
    <t xml:space="preserve">CUST101168</t>
  </si>
  <si>
    <t xml:space="preserve">CUST100231</t>
  </si>
  <si>
    <t xml:space="preserve">CUST100468</t>
  </si>
  <si>
    <t xml:space="preserve">CUST101202</t>
  </si>
  <si>
    <t xml:space="preserve">CUST101024</t>
  </si>
  <si>
    <t xml:space="preserve">CUST101311</t>
  </si>
  <si>
    <t xml:space="preserve">CUST101211</t>
  </si>
  <si>
    <t xml:space="preserve">CUST101243</t>
  </si>
  <si>
    <t xml:space="preserve">CUST100395</t>
  </si>
  <si>
    <t xml:space="preserve">CUST100199</t>
  </si>
  <si>
    <t xml:space="preserve">CUST101007</t>
  </si>
  <si>
    <t xml:space="preserve">CUST101147</t>
  </si>
  <si>
    <t xml:space="preserve">CUST100822</t>
  </si>
  <si>
    <t xml:space="preserve">CUST101071</t>
  </si>
  <si>
    <t xml:space="preserve">CUST100250</t>
  </si>
  <si>
    <t xml:space="preserve">CUST100234</t>
  </si>
  <si>
    <t xml:space="preserve">CUST100524</t>
  </si>
  <si>
    <t xml:space="preserve">CUST100778</t>
  </si>
  <si>
    <t xml:space="preserve">CUST101198</t>
  </si>
  <si>
    <t xml:space="preserve">CUST100100</t>
  </si>
  <si>
    <t xml:space="preserve">CUST100817</t>
  </si>
  <si>
    <t xml:space="preserve">CUST100256</t>
  </si>
  <si>
    <t xml:space="preserve">CUST100270</t>
  </si>
  <si>
    <t xml:space="preserve">CUST100480</t>
  </si>
  <si>
    <t xml:space="preserve">CUST100254</t>
  </si>
  <si>
    <t xml:space="preserve">CUST101170</t>
  </si>
  <si>
    <t xml:space="preserve">CUST101173</t>
  </si>
  <si>
    <t xml:space="preserve">CUST100767</t>
  </si>
  <si>
    <t xml:space="preserve">CUST100548</t>
  </si>
  <si>
    <t xml:space="preserve">CUST101210</t>
  </si>
  <si>
    <t xml:space="preserve">CUST100028</t>
  </si>
  <si>
    <t xml:space="preserve">CUST100563</t>
  </si>
  <si>
    <t xml:space="preserve">CUST100477</t>
  </si>
  <si>
    <t xml:space="preserve">CUST101257</t>
  </si>
  <si>
    <t xml:space="preserve">CUST100598</t>
  </si>
  <si>
    <t xml:space="preserve">CUST101110</t>
  </si>
  <si>
    <t xml:space="preserve">CUST101411</t>
  </si>
  <si>
    <t xml:space="preserve">CUST101241</t>
  </si>
  <si>
    <t xml:space="preserve">CUST100177</t>
  </si>
  <si>
    <t xml:space="preserve">CUST101136</t>
  </si>
  <si>
    <t xml:space="preserve">CUST100405</t>
  </si>
  <si>
    <t xml:space="preserve">CUST101217</t>
  </si>
  <si>
    <t xml:space="preserve">CUST100206</t>
  </si>
  <si>
    <t xml:space="preserve">CUST100233</t>
  </si>
  <si>
    <t xml:space="preserve">CUST100955</t>
  </si>
  <si>
    <t xml:space="preserve">CUST100272</t>
  </si>
  <si>
    <t xml:space="preserve">CUST101303</t>
  </si>
  <si>
    <t xml:space="preserve">CUST100038</t>
  </si>
  <si>
    <t xml:space="preserve">CUST100380</t>
  </si>
  <si>
    <t xml:space="preserve">CUST101099</t>
  </si>
  <si>
    <t xml:space="preserve">CUST100664</t>
  </si>
  <si>
    <t xml:space="preserve">CUST100454</t>
  </si>
  <si>
    <t xml:space="preserve">CUST101252</t>
  </si>
  <si>
    <t xml:space="preserve">CUST100362</t>
  </si>
  <si>
    <t xml:space="preserve">CUST100127</t>
  </si>
  <si>
    <t xml:space="preserve">CUST100261</t>
  </si>
  <si>
    <t xml:space="preserve">CUST101157</t>
  </si>
  <si>
    <t xml:space="preserve">CUST100268</t>
  </si>
  <si>
    <t xml:space="preserve">CUST101069</t>
  </si>
  <si>
    <t xml:space="preserve">CUST100065</t>
  </si>
  <si>
    <t xml:space="preserve">CUST100390</t>
  </si>
  <si>
    <t xml:space="preserve">CUST101197</t>
  </si>
  <si>
    <t xml:space="preserve">CUST100515</t>
  </si>
  <si>
    <t xml:space="preserve">CUST100775</t>
  </si>
  <si>
    <t xml:space="preserve">CUST100830</t>
  </si>
  <si>
    <t xml:space="preserve">CUST100503</t>
  </si>
  <si>
    <t xml:space="preserve">CUST101441</t>
  </si>
  <si>
    <t xml:space="preserve">CUST100329</t>
  </si>
  <si>
    <t xml:space="preserve">CUST100632</t>
  </si>
  <si>
    <t xml:space="preserve">CUST100703</t>
  </si>
  <si>
    <t xml:space="preserve">CUST100855</t>
  </si>
  <si>
    <t xml:space="preserve">CUST100739</t>
  </si>
  <si>
    <t xml:space="preserve">CUST101326</t>
  </si>
  <si>
    <t xml:space="preserve">CUST100354</t>
  </si>
  <si>
    <t xml:space="preserve">CUST100125</t>
  </si>
  <si>
    <t xml:space="preserve">CUST100645</t>
  </si>
  <si>
    <t xml:space="preserve">CUST100844</t>
  </si>
  <si>
    <t xml:space="preserve">CUST100283</t>
  </si>
  <si>
    <t xml:space="preserve">CUST101018</t>
  </si>
  <si>
    <t xml:space="preserve">CUST101225</t>
  </si>
  <si>
    <t xml:space="preserve">CUST100590</t>
  </si>
  <si>
    <t xml:space="preserve">CUST101057</t>
  </si>
  <si>
    <t xml:space="preserve">CUST101074</t>
  </si>
  <si>
    <t xml:space="preserve">CUST100346</t>
  </si>
  <si>
    <t xml:space="preserve">CUST101054</t>
  </si>
  <si>
    <t xml:space="preserve">CUST100403</t>
  </si>
  <si>
    <t xml:space="preserve">CUST101082</t>
  </si>
  <si>
    <t xml:space="preserve">CUST100456</t>
  </si>
  <si>
    <t xml:space="preserve">CUST101412</t>
  </si>
  <si>
    <t xml:space="preserve">CUST101256</t>
  </si>
  <si>
    <t xml:space="preserve">CUST100890</t>
  </si>
  <si>
    <t xml:space="preserve">CUST100282</t>
  </si>
  <si>
    <t xml:space="preserve">CUST101119</t>
  </si>
  <si>
    <t xml:space="preserve">CUST101331</t>
  </si>
  <si>
    <t xml:space="preserve">CUST100846</t>
  </si>
  <si>
    <t xml:space="preserve">CUST100224</t>
  </si>
  <si>
    <t xml:space="preserve">CUST100932</t>
  </si>
  <si>
    <t xml:space="preserve">CUST101360</t>
  </si>
  <si>
    <t xml:space="preserve">CUST100331</t>
  </si>
  <si>
    <t xml:space="preserve">CUST101108</t>
  </si>
  <si>
    <t xml:space="preserve">CUST100514</t>
  </si>
  <si>
    <t xml:space="preserve">CUST100099</t>
  </si>
  <si>
    <t xml:space="preserve">CUST100109</t>
  </si>
  <si>
    <t xml:space="preserve">CUST101137</t>
  </si>
  <si>
    <t xml:space="preserve">CUST101095</t>
  </si>
  <si>
    <t xml:space="preserve">CUST101337</t>
  </si>
  <si>
    <t xml:space="preserve">CUST100856</t>
  </si>
  <si>
    <t xml:space="preserve">CUST100908</t>
  </si>
  <si>
    <t xml:space="preserve">CUST101429</t>
  </si>
  <si>
    <t xml:space="preserve">CUST101172</t>
  </si>
  <si>
    <t xml:space="preserve">CUST100084</t>
  </si>
  <si>
    <t xml:space="preserve">CUST100930</t>
  </si>
  <si>
    <t xml:space="preserve">CUST100702</t>
  </si>
  <si>
    <t xml:space="preserve">CUST100639</t>
  </si>
  <si>
    <t xml:space="preserve">CUST101100</t>
  </si>
  <si>
    <t xml:space="preserve">CUST101109</t>
  </si>
  <si>
    <t xml:space="preserve">CUST100796</t>
  </si>
  <si>
    <t xml:space="preserve">CUST100939</t>
  </si>
  <si>
    <t xml:space="preserve">CUST100345</t>
  </si>
  <si>
    <t xml:space="preserve">CUST101079</t>
  </si>
  <si>
    <t xml:space="preserve">CUST101091</t>
  </si>
  <si>
    <t xml:space="preserve">CUST100278</t>
  </si>
  <si>
    <t xml:space="preserve">CUST101435</t>
  </si>
  <si>
    <t xml:space="preserve">CUST100063</t>
  </si>
  <si>
    <t xml:space="preserve">CUST100263</t>
  </si>
  <si>
    <t xml:space="preserve">CUST100102</t>
  </si>
  <si>
    <t xml:space="preserve">CUST100593</t>
  </si>
  <si>
    <t xml:space="preserve">CUST100048</t>
  </si>
  <si>
    <t xml:space="preserve">CUST101032</t>
  </si>
  <si>
    <t xml:space="preserve">CUST100640</t>
  </si>
  <si>
    <t xml:space="preserve">CUST100896</t>
  </si>
  <si>
    <t xml:space="preserve">CUST101465</t>
  </si>
  <si>
    <t xml:space="preserve">CUST100892</t>
  </si>
  <si>
    <t xml:space="preserve">CUST101332</t>
  </si>
  <si>
    <t xml:space="preserve">CUST101089</t>
  </si>
  <si>
    <t xml:space="preserve">CUST100229</t>
  </si>
  <si>
    <t xml:space="preserve">CUST100004</t>
  </si>
  <si>
    <t xml:space="preserve">CUST100595</t>
  </si>
  <si>
    <t xml:space="preserve">CUST100690</t>
  </si>
  <si>
    <t xml:space="preserve">CUST100725</t>
  </si>
  <si>
    <t xml:space="preserve">CUST100644</t>
  </si>
  <si>
    <t xml:space="preserve">CUST100470</t>
  </si>
  <si>
    <t xml:space="preserve">CUST100398</t>
  </si>
  <si>
    <t xml:space="preserve">CUST100970</t>
  </si>
  <si>
    <t xml:space="preserve">CUST100519</t>
  </si>
  <si>
    <t xml:space="preserve">CUST100251</t>
  </si>
  <si>
    <t xml:space="preserve">CUST101345</t>
  </si>
  <si>
    <t xml:space="preserve">CUST100821</t>
  </si>
  <si>
    <t xml:space="preserve">CUST100191</t>
  </si>
  <si>
    <t xml:space="preserve">CUST101242</t>
  </si>
  <si>
    <t xml:space="preserve">CUST100550</t>
  </si>
  <si>
    <t xml:space="preserve">CUST100954</t>
  </si>
  <si>
    <t xml:space="preserve">CUST100051</t>
  </si>
  <si>
    <t xml:space="preserve">CUST100629</t>
  </si>
  <si>
    <t xml:space="preserve">CUST100321</t>
  </si>
  <si>
    <t xml:space="preserve">CUST100649</t>
  </si>
  <si>
    <t xml:space="preserve">CUST100838</t>
  </si>
  <si>
    <t xml:space="preserve">CUST100465</t>
  </si>
  <si>
    <t xml:space="preserve">CUST100247</t>
  </si>
  <si>
    <t xml:space="preserve">CUST101138</t>
  </si>
  <si>
    <t xml:space="preserve">CUST100341</t>
  </si>
  <si>
    <t xml:space="preserve">CUST100488</t>
  </si>
  <si>
    <t xml:space="preserve">CUST100081</t>
  </si>
  <si>
    <t xml:space="preserve">CUST100986</t>
  </si>
  <si>
    <t xml:space="preserve">CUST100474</t>
  </si>
  <si>
    <t xml:space="preserve">CUST100276</t>
  </si>
  <si>
    <t xml:space="preserve">CUST100422</t>
  </si>
  <si>
    <t xml:space="preserve">CUST101297</t>
  </si>
  <si>
    <t xml:space="preserve">CUST100349</t>
  </si>
  <si>
    <t xml:space="preserve">CUST100429</t>
  </si>
  <si>
    <t xml:space="preserve">CUST101439</t>
  </si>
  <si>
    <t xml:space="preserve">CUST100414</t>
  </si>
  <si>
    <t xml:space="preserve">CUST101464</t>
  </si>
  <si>
    <t xml:space="preserve">CUST101135</t>
  </si>
  <si>
    <t xml:space="preserve">CUST100735</t>
  </si>
  <si>
    <t xml:space="preserve">CUST100547</t>
  </si>
  <si>
    <t xml:space="preserve">CUST100849</t>
  </si>
  <si>
    <t xml:space="preserve">CUST100670</t>
  </si>
  <si>
    <t xml:space="preserve">CUST100273</t>
  </si>
  <si>
    <t xml:space="preserve">CUST100950</t>
  </si>
  <si>
    <t xml:space="preserve">CUST100852</t>
  </si>
  <si>
    <t xml:space="preserve">CUST100112</t>
  </si>
  <si>
    <t xml:space="preserve">CUST100228</t>
  </si>
  <si>
    <t xml:space="preserve">CUST100813</t>
  </si>
  <si>
    <t xml:space="preserve">CUST100926</t>
  </si>
  <si>
    <t xml:space="preserve">CUST100848</t>
  </si>
  <si>
    <t xml:space="preserve">CUST100060</t>
  </si>
  <si>
    <t xml:space="preserve">CUST100544</t>
  </si>
  <si>
    <t xml:space="preserve">CUST100055</t>
  </si>
  <si>
    <t xml:space="preserve">CUST101145</t>
  </si>
  <si>
    <t xml:space="preserve">CUST100963</t>
  </si>
  <si>
    <t xml:space="preserve">CUST100641</t>
  </si>
  <si>
    <t xml:space="preserve">CUST100213</t>
  </si>
  <si>
    <t xml:space="preserve">CUST100833</t>
  </si>
  <si>
    <t xml:space="preserve">CUST100154</t>
  </si>
  <si>
    <t xml:space="preserve">CUST100551</t>
  </si>
  <si>
    <t xml:space="preserve">CUST100691</t>
  </si>
  <si>
    <t xml:space="preserve">CUST100011</t>
  </si>
  <si>
    <t xml:space="preserve">CUST101190</t>
  </si>
  <si>
    <t xml:space="preserve">CUST100623</t>
  </si>
  <si>
    <t xml:space="preserve">CUST100824</t>
  </si>
  <si>
    <t xml:space="preserve">CUST101342</t>
  </si>
  <si>
    <t xml:space="preserve">CUST100466</t>
  </si>
  <si>
    <t xml:space="preserve">CUST100216</t>
  </si>
  <si>
    <t xml:space="preserve">CUST100753</t>
  </si>
  <si>
    <t xml:space="preserve">CUST101390</t>
  </si>
  <si>
    <t xml:space="preserve">CUST101268</t>
  </si>
  <si>
    <t xml:space="preserve">CUST100791</t>
  </si>
  <si>
    <t xml:space="preserve">CUST100430</t>
  </si>
  <si>
    <t xml:space="preserve">CUST100181</t>
  </si>
  <si>
    <t xml:space="preserve">CUST100243</t>
  </si>
  <si>
    <t xml:space="preserve">CUST100881</t>
  </si>
  <si>
    <t xml:space="preserve">CUST100189</t>
  </si>
  <si>
    <t xml:space="preserve">CUST100528</t>
  </si>
  <si>
    <t xml:space="preserve">CUST101078</t>
  </si>
  <si>
    <t xml:space="preserve">CUST100427</t>
  </si>
  <si>
    <t xml:space="preserve">CUST100980</t>
  </si>
  <si>
    <t xml:space="preserve">CUST100287</t>
  </si>
  <si>
    <t xml:space="preserve">CUST101149</t>
  </si>
  <si>
    <t xml:space="preserve">CUST100953</t>
  </si>
  <si>
    <t xml:space="preserve">CUST101218</t>
  </si>
  <si>
    <t xml:space="preserve">CUST101270</t>
  </si>
  <si>
    <t xml:space="preserve">CUST100762</t>
  </si>
  <si>
    <t xml:space="preserve">CUST101491</t>
  </si>
  <si>
    <t xml:space="preserve">CUST100187</t>
  </si>
  <si>
    <t xml:space="preserve">CUST100225</t>
  </si>
  <si>
    <t xml:space="preserve">CUST101292</t>
  </si>
  <si>
    <t xml:space="preserve">CUST101290</t>
  </si>
  <si>
    <t xml:space="preserve">CUST101494</t>
  </si>
  <si>
    <t xml:space="preserve">CUST100091</t>
  </si>
  <si>
    <t xml:space="preserve">CUST100160</t>
  </si>
  <si>
    <t xml:space="preserve">CUST100313</t>
  </si>
  <si>
    <t xml:space="preserve">CUST100723</t>
  </si>
  <si>
    <t xml:space="preserve">CUST100560</t>
  </si>
  <si>
    <t xml:space="preserve">CUST100626</t>
  </si>
  <si>
    <t xml:space="preserve">CUST100056</t>
  </si>
  <si>
    <t xml:space="preserve">CUST100166</t>
  </si>
  <si>
    <t xml:space="preserve">CUST100502</t>
  </si>
  <si>
    <t xml:space="preserve">CUST101233</t>
  </si>
  <si>
    <t xml:space="preserve">CUST100988</t>
  </si>
  <si>
    <t xml:space="preserve">CUST101188</t>
  </si>
  <si>
    <t xml:space="preserve">CUST101482</t>
  </si>
  <si>
    <t xml:space="preserve">CUST100712</t>
  </si>
  <si>
    <t xml:space="preserve">CUST101065</t>
  </si>
  <si>
    <t xml:space="preserve">CUST100697</t>
  </si>
  <si>
    <t xml:space="preserve">CUST100212</t>
  </si>
  <si>
    <t xml:space="preserve">CUST101400</t>
  </si>
  <si>
    <t xml:space="preserve">CUST101343</t>
  </si>
  <si>
    <t xml:space="preserve">CUST100683</t>
  </si>
  <si>
    <t xml:space="preserve">CUST101203</t>
  </si>
  <si>
    <t xml:space="preserve">CUST100006</t>
  </si>
  <si>
    <t xml:space="preserve">CUST100693</t>
  </si>
  <si>
    <t xml:space="preserve">CUST100312</t>
  </si>
  <si>
    <t xml:space="preserve">CUST100766</t>
  </si>
  <si>
    <t xml:space="preserve">CUST100163</t>
  </si>
  <si>
    <t xml:space="preserve">CUST100340</t>
  </si>
  <si>
    <t xml:space="preserve">CUST101389</t>
  </si>
  <si>
    <t xml:space="preserve">CUST100115</t>
  </si>
  <si>
    <t xml:space="preserve">CUST101446</t>
  </si>
  <si>
    <t xml:space="preserve">CUST101163</t>
  </si>
  <si>
    <t xml:space="preserve">CUST101364</t>
  </si>
  <si>
    <t xml:space="preserve">CUST101083</t>
  </si>
  <si>
    <t xml:space="preserve">CUST100574</t>
  </si>
  <si>
    <t xml:space="preserve">CUST101445</t>
  </si>
  <si>
    <t xml:space="preserve">CUST100678</t>
  </si>
  <si>
    <t xml:space="preserve">CUST100577</t>
  </si>
  <si>
    <t xml:space="preserve">CUST100195</t>
  </si>
  <si>
    <t xml:space="preserve">CUST100440</t>
  </si>
  <si>
    <t xml:space="preserve">CUST100957</t>
  </si>
  <si>
    <t xml:space="preserve">CUST101061</t>
  </si>
  <si>
    <t xml:space="preserve">CUST101106</t>
  </si>
  <si>
    <t xml:space="preserve">CUST100533</t>
  </si>
  <si>
    <t xml:space="preserve">CUST101488</t>
  </si>
  <si>
    <t xml:space="preserve">CUST101267</t>
  </si>
  <si>
    <t xml:space="preserve">CUST100710</t>
  </si>
  <si>
    <t xml:space="preserve">CUST100158</t>
  </si>
  <si>
    <t xml:space="preserve">CUST100296</t>
  </si>
  <si>
    <t xml:space="preserve">CUST101126</t>
  </si>
  <si>
    <t xml:space="preserve">CUST100526</t>
  </si>
  <si>
    <t xml:space="preserve">CUST100938</t>
  </si>
  <si>
    <t xml:space="preserve">CUST100781</t>
  </si>
  <si>
    <t xml:space="preserve">CUST101038</t>
  </si>
  <si>
    <t xml:space="preserve">CUST101442</t>
  </si>
  <si>
    <t xml:space="preserve">CUST100348</t>
  </si>
  <si>
    <t xml:space="preserve">CUST100124</t>
  </si>
  <si>
    <t xml:space="preserve">CUST101052</t>
  </si>
  <si>
    <t xml:space="preserve">CUST100622</t>
  </si>
  <si>
    <t xml:space="preserve">CUST101204</t>
  </si>
  <si>
    <t xml:space="preserve">CUST100308</t>
  </si>
  <si>
    <t xml:space="preserve">CUST100599</t>
  </si>
  <si>
    <t xml:space="preserve">CUST100732</t>
  </si>
  <si>
    <t xml:space="preserve">CUST100410</t>
  </si>
  <si>
    <t xml:space="preserve">CUST100606</t>
  </si>
  <si>
    <t xml:space="preserve">CUST100554</t>
  </si>
  <si>
    <t xml:space="preserve">CUST100987</t>
  </si>
  <si>
    <t xml:space="preserve">CUST100475</t>
  </si>
  <si>
    <t xml:space="preserve">CUST101409</t>
  </si>
  <si>
    <t xml:space="preserve">CUST100123</t>
  </si>
  <si>
    <t xml:space="preserve">CUST101104</t>
  </si>
  <si>
    <t xml:space="preserve">CUST101167</t>
  </si>
  <si>
    <t xml:space="preserve">CUST100215</t>
  </si>
  <si>
    <t xml:space="preserve">CUST100847</t>
  </si>
  <si>
    <t xml:space="preserve">CUST100111</t>
  </si>
  <si>
    <t xml:space="preserve">CUST100679</t>
  </si>
  <si>
    <t xml:space="preserve">CUST101475</t>
  </si>
  <si>
    <t xml:space="preserve">CUST101492</t>
  </si>
  <si>
    <t xml:space="preserve">CUST100637</t>
  </si>
  <si>
    <t xml:space="preserve">CUST100685</t>
  </si>
  <si>
    <t xml:space="preserve">CUST101451</t>
  </si>
  <si>
    <t xml:space="preserve">CUST100274</t>
  </si>
  <si>
    <t xml:space="preserve">CUST101164</t>
  </si>
  <si>
    <t xml:space="preserve">CUST101004</t>
  </si>
  <si>
    <t xml:space="preserve">CUST100880</t>
  </si>
  <si>
    <t xml:space="preserve">CUST101368</t>
  </si>
  <si>
    <t xml:space="preserve">CUST101428</t>
  </si>
  <si>
    <t xml:space="preserve">CUST101459</t>
  </si>
  <si>
    <t xml:space="preserve">CUST100183</t>
  </si>
  <si>
    <t xml:space="preserve">CUST100066</t>
  </si>
  <si>
    <t xml:space="preserve">CUST100295</t>
  </si>
  <si>
    <t xml:space="preserve">CUST101354</t>
  </si>
  <si>
    <t xml:space="preserve">CUST100910</t>
  </si>
  <si>
    <t xml:space="preserve">CUST100289</t>
  </si>
  <si>
    <t xml:space="preserve">CUST100616</t>
  </si>
  <si>
    <t xml:space="preserve">CUST101129</t>
  </si>
  <si>
    <t xml:space="preserve">CUST101131</t>
  </si>
  <si>
    <t xml:space="preserve">CUST100981</t>
  </si>
  <si>
    <t xml:space="preserve">CUST101260</t>
  </si>
  <si>
    <t xml:space="preserve">CUST100768</t>
  </si>
  <si>
    <t xml:space="preserve">CUST100246</t>
  </si>
  <si>
    <t xml:space="preserve">CUST100591</t>
  </si>
  <si>
    <t xml:space="preserve">CUST100887</t>
  </si>
  <si>
    <t xml:space="preserve">CUST101014</t>
  </si>
  <si>
    <t xml:space="preserve">CUST100332</t>
  </si>
  <si>
    <t xml:space="preserve">CUST100171</t>
  </si>
  <si>
    <t xml:space="preserve">CUST100839</t>
  </si>
  <si>
    <t xml:space="preserve">CUST100136</t>
  </si>
  <si>
    <t xml:space="preserve">CUST100612</t>
  </si>
  <si>
    <t xml:space="preserve">CUST100871</t>
  </si>
  <si>
    <t xml:space="preserve">CUST101037</t>
  </si>
  <si>
    <t xml:space="preserve">CUST100808</t>
  </si>
  <si>
    <t xml:space="preserve">CUST101250</t>
  </si>
  <si>
    <t xml:space="preserve">CUST101262</t>
  </si>
  <si>
    <t xml:space="preserve">CUST101480</t>
  </si>
  <si>
    <t xml:space="preserve">CUST101226</t>
  </si>
  <si>
    <t xml:space="preserve">CUST101485</t>
  </si>
  <si>
    <t xml:space="preserve">CUST100959</t>
  </si>
  <si>
    <t xml:space="preserve">CUST101046</t>
  </si>
  <si>
    <t xml:space="preserve">CUST100631</t>
  </si>
  <si>
    <t xml:space="preserve">CUST100135</t>
  </si>
  <si>
    <t xml:space="preserve">CUST100889</t>
  </si>
  <si>
    <t xml:space="preserve">CUST101325</t>
  </si>
  <si>
    <t xml:space="preserve">CUST100425</t>
  </si>
  <si>
    <t xml:space="preserve">CUST100538</t>
  </si>
  <si>
    <t xml:space="preserve">CUST101178</t>
  </si>
  <si>
    <t xml:space="preserve">CUST100937</t>
  </si>
  <si>
    <t xml:space="preserve">CUST100169</t>
  </si>
  <si>
    <t xml:space="preserve">CUST100510</t>
  </si>
  <si>
    <t xml:space="preserve">CUST101221</t>
  </si>
  <si>
    <t xml:space="preserve">CUST100918</t>
  </si>
  <si>
    <t xml:space="preserve">CUST100128</t>
  </si>
  <si>
    <t xml:space="preserve">CUST101458</t>
  </si>
  <si>
    <t xml:space="preserve">CUST100750</t>
  </si>
  <si>
    <t xml:space="preserve">CUST101062</t>
  </si>
  <si>
    <t xml:space="preserve">CUST100741</t>
  </si>
  <si>
    <t xml:space="preserve">CUST100031</t>
  </si>
  <si>
    <t xml:space="preserve">CUST100646</t>
  </si>
  <si>
    <t xml:space="preserve">CUST100311</t>
  </si>
  <si>
    <t xml:space="preserve">CUST100042</t>
  </si>
  <si>
    <t xml:space="preserve">CUST100967</t>
  </si>
  <si>
    <t xml:space="preserve">CUST100062</t>
  </si>
  <si>
    <t xml:space="preserve">CUST100608</t>
  </si>
  <si>
    <t xml:space="preserve">CUST100014</t>
  </si>
  <si>
    <t xml:space="preserve">CUST101070</t>
  </si>
  <si>
    <t xml:space="preserve">CUST101020</t>
  </si>
  <si>
    <t xml:space="preserve">CUST100783</t>
  </si>
  <si>
    <t xml:space="preserve">CUST100419</t>
  </si>
  <si>
    <t xml:space="preserve">CUST101150</t>
  </si>
  <si>
    <t xml:space="preserve">CUST100831</t>
  </si>
  <si>
    <t xml:space="preserve">CUST100317</t>
  </si>
  <si>
    <t xml:space="preserve">CUST100948</t>
  </si>
  <si>
    <t xml:space="preserve">CUST101166</t>
  </si>
  <si>
    <t xml:space="preserve">CUST100043</t>
  </si>
  <si>
    <t xml:space="preserve">CUST100491</t>
  </si>
  <si>
    <t xml:space="preserve">CUST100709</t>
  </si>
  <si>
    <t xml:space="preserve">CUST101314</t>
  </si>
  <si>
    <t xml:space="preserve">CUST101317</t>
  </si>
  <si>
    <t xml:space="preserve">CUST101419</t>
  </si>
  <si>
    <t xml:space="preserve">CUST100132</t>
  </si>
  <si>
    <t xml:space="preserve">CUST100150</t>
  </si>
  <si>
    <t xml:space="preserve">CUST100173</t>
  </si>
  <si>
    <t xml:space="preserve">CUST100090</t>
  </si>
  <si>
    <t xml:space="preserve">CUST100759</t>
  </si>
  <si>
    <t xml:space="preserve">CUST100186</t>
  </si>
  <si>
    <t xml:space="preserve">CUST101123</t>
  </si>
  <si>
    <t xml:space="preserve">CUST100033</t>
  </si>
  <si>
    <t xml:space="preserve">CUST100005</t>
  </si>
  <si>
    <t xml:space="preserve">CUST100101</t>
  </si>
  <si>
    <t xml:space="preserve">CUST101467</t>
  </si>
  <si>
    <t xml:space="preserve">CUST100248</t>
  </si>
  <si>
    <t xml:space="preserve">CUST101254</t>
  </si>
  <si>
    <t xml:space="preserve">CUST100285</t>
  </si>
  <si>
    <t xml:space="preserve">CUST100882</t>
  </si>
  <si>
    <t xml:space="preserve">CUST100527</t>
  </si>
  <si>
    <t xml:space="preserve">CUST101022</t>
  </si>
  <si>
    <t xml:space="preserve">CUST100434</t>
  </si>
  <si>
    <t xml:space="preserve">CUST100041</t>
  </si>
  <si>
    <t xml:space="preserve">CUST101415</t>
  </si>
  <si>
    <t xml:space="preserve">CUST100205</t>
  </si>
  <si>
    <t xml:space="preserve">CUST101449</t>
  </si>
  <si>
    <t xml:space="preserve">CUST101192</t>
  </si>
  <si>
    <t xml:space="preserve">CUST101478</t>
  </si>
  <si>
    <t xml:space="preserve">CUST100046</t>
  </si>
  <si>
    <t xml:space="preserve">CUST100458</t>
  </si>
  <si>
    <t xml:space="preserve">CUST100773</t>
  </si>
  <si>
    <t xml:space="preserve">CUST100352</t>
  </si>
  <si>
    <t xml:space="preserve">CUST101051</t>
  </si>
  <si>
    <t xml:space="preserve">CUST101367</t>
  </si>
  <si>
    <t xml:space="preserve">CUST100001</t>
  </si>
  <si>
    <t xml:space="preserve">CUST100483</t>
  </si>
  <si>
    <t xml:space="preserve">CUST101495</t>
  </si>
  <si>
    <t xml:space="preserve">CUST101181</t>
  </si>
  <si>
    <t xml:space="preserve">CUST101404</t>
  </si>
  <si>
    <t xml:space="preserve">CUST100356</t>
  </si>
  <si>
    <t xml:space="preserve">CUST101245</t>
  </si>
  <si>
    <t xml:space="preserve">CUST101080</t>
  </si>
  <si>
    <t xml:space="preserve">CUST100815</t>
  </si>
  <si>
    <t xml:space="preserve">CUST101205</t>
  </si>
  <si>
    <t xml:space="preserve">CUST100110</t>
  </si>
  <si>
    <t xml:space="preserve">CUST100264</t>
  </si>
  <si>
    <t xml:space="preserve">CUST100073</t>
  </si>
  <si>
    <t xml:space="preserve">CUST100659</t>
  </si>
  <si>
    <t xml:space="preserve">CUST100877</t>
  </si>
  <si>
    <t xml:space="preserve">CUST100083</t>
  </si>
  <si>
    <t xml:space="preserve">CUST100013</t>
  </si>
  <si>
    <t xml:space="preserve">CUST100958</t>
  </si>
  <si>
    <t xml:space="preserve">CUST100819</t>
  </si>
  <si>
    <t xml:space="preserve">CUST100185</t>
  </si>
  <si>
    <t xml:space="preserve">CUST100485</t>
  </si>
  <si>
    <t xml:space="preserve">CUST101309</t>
  </si>
  <si>
    <t xml:space="preserve">CUST101394</t>
  </si>
  <si>
    <t xml:space="preserve">CUST100377</t>
  </si>
  <si>
    <t xml:space="preserve">CUST100122</t>
  </si>
  <si>
    <t xml:space="preserve">CUST100178</t>
  </si>
  <si>
    <t xml:space="preserve">CUST100139</t>
  </si>
  <si>
    <t xml:space="preserve">CUST100327</t>
  </si>
  <si>
    <t xml:space="preserve">CUST100512</t>
  </si>
  <si>
    <t xml:space="preserve">CUST101275</t>
  </si>
  <si>
    <t xml:space="preserve">CUST101473</t>
  </si>
  <si>
    <t xml:space="preserve">CUST100965</t>
  </si>
  <si>
    <t xml:space="preserve">CUST101042</t>
  </si>
  <si>
    <t xml:space="preserve">CUST101017</t>
  </si>
  <si>
    <t xml:space="preserve">CUST101005</t>
  </si>
  <si>
    <t xml:space="preserve">CUST100718</t>
  </si>
  <si>
    <t xml:space="preserve">CUST101289</t>
  </si>
  <si>
    <t xml:space="preserve">CUST100763</t>
  </si>
  <si>
    <t xml:space="preserve">CUST100182</t>
  </si>
  <si>
    <t xml:space="preserve">CUST100238</t>
  </si>
  <si>
    <t xml:space="preserve">CUST101385</t>
  </si>
  <si>
    <t xml:space="preserve">CUST101141</t>
  </si>
  <si>
    <t xml:space="preserve">CUST100445</t>
  </si>
  <si>
    <t xml:space="preserve">CUST101469</t>
  </si>
  <si>
    <t xml:space="preserve">CUST100841</t>
  </si>
  <si>
    <t xml:space="preserve">CUST101335</t>
  </si>
  <si>
    <t xml:space="preserve">CUST100680</t>
  </si>
  <si>
    <t xml:space="preserve">CUST100648</t>
  </si>
  <si>
    <t xml:space="preserve">CUST100737</t>
  </si>
  <si>
    <t xml:space="preserve">CUST100707</t>
  </si>
  <si>
    <t xml:space="preserve">CUST100985</t>
  </si>
  <si>
    <t xml:space="preserve">CUST100865</t>
  </si>
  <si>
    <t xml:space="preserve">CUST100476</t>
  </si>
  <si>
    <t xml:space="preserve">CUST101274</t>
  </si>
  <si>
    <t xml:space="preserve">CUST101272</t>
  </si>
  <si>
    <t xml:space="preserve">CUST100667</t>
  </si>
  <si>
    <t xml:space="preserve">CUST100067</t>
  </si>
  <si>
    <t xml:space="preserve">CUST101072</t>
  </si>
  <si>
    <t xml:space="preserve">CUST101009</t>
  </si>
  <si>
    <t xml:space="preserve">CUST100301</t>
  </si>
  <si>
    <t xml:space="preserve">CUST100241</t>
  </si>
  <si>
    <t xml:space="preserve">CUST100086</t>
  </si>
  <si>
    <t xml:space="preserve">CUST101165</t>
  </si>
  <si>
    <t xml:space="preserve">CUST101443</t>
  </si>
  <si>
    <t xml:space="preserve">CUST101316</t>
  </si>
  <si>
    <t xml:space="preserve">CUST100381</t>
  </si>
  <si>
    <t xml:space="preserve">CUST100194</t>
  </si>
  <si>
    <t xml:space="preserve">CUST100217</t>
  </si>
  <si>
    <t xml:space="preserve">CUST100017</t>
  </si>
  <si>
    <t xml:space="preserve">CUST100568</t>
  </si>
  <si>
    <t xml:space="preserve">CUST101152</t>
  </si>
  <si>
    <t xml:space="preserve">CUST101407</t>
  </si>
  <si>
    <t xml:space="preserve">CUST100949</t>
  </si>
  <si>
    <t xml:space="preserve">CUST100511</t>
  </si>
  <si>
    <t xml:space="preserve">CUST100913</t>
  </si>
  <si>
    <t xml:space="preserve">CUST101130</t>
  </si>
  <si>
    <t xml:space="preserve">CUST100911</t>
  </si>
  <si>
    <t xml:space="preserve">CUST100829</t>
  </si>
  <si>
    <t xml:space="preserve">CUST100079</t>
  </si>
  <si>
    <t xml:space="preserve">CUST100449</t>
  </si>
  <si>
    <t xml:space="preserve">CUST100242</t>
  </si>
  <si>
    <t xml:space="preserve">CUST101381</t>
  </si>
  <si>
    <t xml:space="preserve">CUST100369</t>
  </si>
  <si>
    <t xml:space="preserve">CUST101010</t>
  </si>
  <si>
    <t xml:space="preserve">CUST100441</t>
  </si>
  <si>
    <t xml:space="preserve">CUST100661</t>
  </si>
  <si>
    <t xml:space="preserve">CUST101161</t>
  </si>
  <si>
    <t xml:space="preserve">CUST100092</t>
  </si>
  <si>
    <t xml:space="preserve">CUST101263</t>
  </si>
  <si>
    <t xml:space="preserve">CUST100007</t>
  </si>
  <si>
    <t xml:space="preserve">CUST101436</t>
  </si>
  <si>
    <t xml:space="preserve">CUST100431</t>
  </si>
  <si>
    <t xml:space="preserve">CUST100779</t>
  </si>
  <si>
    <t xml:space="preserve">CUST100218</t>
  </si>
  <si>
    <t xml:space="preserve">CUST101184</t>
  </si>
  <si>
    <t xml:space="preserve">CUST100654</t>
  </si>
  <si>
    <t xml:space="preserve">CUST100280</t>
  </si>
  <si>
    <t xml:space="preserve">CUST100119</t>
  </si>
  <si>
    <t xml:space="preserve">CUST100769</t>
  </si>
  <si>
    <t xml:space="preserve">CUST100676</t>
  </si>
  <si>
    <t xml:space="preserve">CUST100342</t>
  </si>
  <si>
    <t xml:space="preserve">CUST100428</t>
  </si>
  <si>
    <t xml:space="preserve">CUST101244</t>
  </si>
  <si>
    <t xml:space="preserve">CUST101092</t>
  </si>
  <si>
    <t xml:space="preserve">CUST101359</t>
  </si>
  <si>
    <t xml:space="preserve">CUST100636</t>
  </si>
  <si>
    <t xml:space="preserve">CUST100481</t>
  </si>
  <si>
    <t xml:space="preserve">CUST100743</t>
  </si>
  <si>
    <t xml:space="preserve">CUST100650</t>
  </si>
  <si>
    <t xml:space="preserve">CUST100920</t>
  </si>
  <si>
    <t xml:space="preserve">CUST100221</t>
  </si>
  <si>
    <t xml:space="preserve">CUST101370</t>
  </si>
  <si>
    <t xml:space="preserve">CUST101016</t>
  </si>
  <si>
    <t xml:space="preserve">CUST101486</t>
  </si>
  <si>
    <t xml:space="preserve">CUST100787</t>
  </si>
  <si>
    <t xml:space="preserve">CUST100188</t>
  </si>
  <si>
    <t xml:space="preserve">CUST101324</t>
  </si>
  <si>
    <t xml:space="preserve">CUST100134</t>
  </si>
  <si>
    <t xml:space="preserve">CUST100605</t>
  </si>
  <si>
    <t xml:space="preserve">CUST101440</t>
  </si>
  <si>
    <t xml:space="preserve">CUST100439</t>
  </si>
  <si>
    <t xml:space="preserve">CUST100520</t>
  </si>
  <si>
    <t xml:space="preserve">CUST100506</t>
  </si>
  <si>
    <t xml:space="preserve">CUST100827</t>
  </si>
  <si>
    <t xml:space="preserve">CUST100960</t>
  </si>
  <si>
    <t xml:space="preserve">CUST101357</t>
  </si>
  <si>
    <t xml:space="preserve">CUST100482</t>
  </si>
  <si>
    <t xml:space="preserve">CUST101392</t>
  </si>
  <si>
    <t xml:space="preserve">CUST100992</t>
  </si>
  <si>
    <t xml:space="preserve">CUST100486</t>
  </si>
  <si>
    <t xml:space="preserve">CUST101222</t>
  </si>
  <si>
    <t xml:space="preserve">CUST100036</t>
  </si>
  <si>
    <t xml:space="preserve">CUST100230</t>
  </si>
  <si>
    <t xml:space="preserve">CUST100854</t>
  </si>
  <si>
    <t xml:space="preserve">CUST100902</t>
  </si>
  <si>
    <t xml:space="preserve">CUST100064</t>
  </si>
  <si>
    <t xml:space="preserve">CUST100754</t>
  </si>
  <si>
    <t xml:space="preserve">CUST101430</t>
  </si>
  <si>
    <t xml:space="preserve">CUST100237</t>
  </si>
  <si>
    <t xml:space="preserve">CUST100872</t>
  </si>
  <si>
    <t xml:space="preserve">CUST100816</t>
  </si>
  <si>
    <t xml:space="preserve">CUST100193</t>
  </si>
  <si>
    <t xml:space="preserve">CUST100389</t>
  </si>
  <si>
    <t xml:space="preserve">CUST101258</t>
  </si>
  <si>
    <t xml:space="preserve">CUST100459</t>
  </si>
  <si>
    <t xml:space="preserve">CUST100518</t>
  </si>
  <si>
    <t xml:space="preserve">CUST100323</t>
  </si>
  <si>
    <t xml:space="preserve">CUST100088</t>
  </si>
  <si>
    <t xml:space="preserve">CUST101023</t>
  </si>
  <si>
    <t xml:space="preserve">CUST100027</t>
  </si>
  <si>
    <t xml:space="preserve">CUST100202</t>
  </si>
  <si>
    <t xml:space="preserve">CUST100392</t>
  </si>
  <si>
    <t xml:space="preserve">CUST100471</t>
  </si>
  <si>
    <t xml:space="preserve">CUST100159</t>
  </si>
  <si>
    <t xml:space="preserve">CUST100862</t>
  </si>
  <si>
    <t xml:space="preserve">CUST100733</t>
  </si>
  <si>
    <t xml:space="preserve">CUST100509</t>
  </si>
  <si>
    <t xml:space="preserve">CUST100245</t>
  </si>
  <si>
    <t xml:space="preserve">CUST100643</t>
  </si>
  <si>
    <t xml:space="preserve">CUST100594</t>
  </si>
  <si>
    <t xml:space="preserve">CUST100982</t>
  </si>
  <si>
    <t xml:space="preserve">CUST100868</t>
  </si>
  <si>
    <t xml:space="preserve">CUST100540</t>
  </si>
  <si>
    <t xml:space="preserve">CUST100672</t>
  </si>
  <si>
    <t xml:space="preserve">CUST101468</t>
  </si>
  <si>
    <t xml:space="preserve">CUST100770</t>
  </si>
  <si>
    <t xml:space="preserve">CUST100070</t>
  </si>
  <si>
    <t xml:space="preserve">CUST101220</t>
  </si>
  <si>
    <t xml:space="preserve">CUST100861</t>
  </si>
  <si>
    <t xml:space="preserve">CUST100534</t>
  </si>
  <si>
    <t xml:space="preserve">CUST101223</t>
  </si>
  <si>
    <t xml:space="preserve">CUST100379</t>
  </si>
  <si>
    <t xml:space="preserve">CUST100983</t>
  </si>
  <si>
    <t xml:space="preserve">CUST100628</t>
  </si>
  <si>
    <t xml:space="preserve">CUST100907</t>
  </si>
  <si>
    <t xml:space="preserve">CUST100204</t>
  </si>
  <si>
    <t xml:space="preserve">CUST101234</t>
  </si>
  <si>
    <t xml:space="preserve">CUST100290</t>
  </si>
  <si>
    <t xml:space="preserve">CUST100883</t>
  </si>
  <si>
    <t xml:space="preserve">CUST100339</t>
  </si>
  <si>
    <t xml:space="preserve">CUST101159</t>
  </si>
  <si>
    <t xml:space="preserve">CUST100802</t>
  </si>
  <si>
    <t xml:space="preserve">CUST100437</t>
  </si>
  <si>
    <t xml:space="preserve">CUST100542</t>
  </si>
  <si>
    <t xml:space="preserve">CUST100803</t>
  </si>
  <si>
    <t xml:space="preserve">CUST100207</t>
  </si>
  <si>
    <t xml:space="preserve">CUST101291</t>
  </si>
  <si>
    <t xml:space="preserve">CUST101118</t>
  </si>
  <si>
    <t xml:space="preserve">CUST100156</t>
  </si>
  <si>
    <t xml:space="preserve">CUST100462</t>
  </si>
  <si>
    <t xml:space="preserve">CUST100473</t>
  </si>
  <si>
    <t xml:space="preserve">CUST100288</t>
  </si>
  <si>
    <t xml:space="preserve">CUST101498</t>
  </si>
  <si>
    <t xml:space="preserve">CUST100029</t>
  </si>
  <si>
    <t xml:space="preserve">CUST100974</t>
  </si>
  <si>
    <t xml:space="preserve">CUST101116</t>
  </si>
  <si>
    <t xml:space="preserve">CUST100727</t>
  </si>
  <si>
    <t xml:space="preserve">CUST101333</t>
  </si>
  <si>
    <t xml:space="preserve">CUST100309</t>
  </si>
  <si>
    <t xml:space="preserve">CUST100729</t>
  </si>
  <si>
    <t xml:space="preserve">CUST101378</t>
  </si>
  <si>
    <t xml:space="preserve">CUST100579</t>
  </si>
  <si>
    <t xml:space="preserve">CUST100834</t>
  </si>
  <si>
    <t xml:space="preserve">CUST100633</t>
  </si>
  <si>
    <t xml:space="preserve">CUST100198</t>
  </si>
  <si>
    <t xml:space="preserve">CUST100438</t>
  </si>
  <si>
    <t xml:space="preserve">CUST100370</t>
  </si>
  <si>
    <t xml:space="preserve">CUST100049</t>
  </si>
  <si>
    <t xml:space="preserve">CUST101375</t>
  </si>
  <si>
    <t xml:space="preserve">CUST100917</t>
  </si>
  <si>
    <t xml:space="preserve">CUST100990</t>
  </si>
  <si>
    <t xml:space="preserve">CUST101471</t>
  </si>
  <si>
    <t xml:space="preserve">CUST101479</t>
  </si>
  <si>
    <t xml:space="preserve">CUST101249</t>
  </si>
  <si>
    <t xml:space="preserve">CUST100401</t>
  </si>
  <si>
    <t xml:space="preserve">CUST101398</t>
  </si>
  <si>
    <t xml:space="preserve">CUST101308</t>
  </si>
  <si>
    <t xml:space="preserve">CUST100149</t>
  </si>
  <si>
    <t xml:space="preserve">CUST101015</t>
  </si>
  <si>
    <t xml:space="preserve">CUST101403</t>
  </si>
  <si>
    <t xml:space="preserve">CUST100494</t>
  </si>
  <si>
    <t xml:space="preserve">CUST101423</t>
  </si>
  <si>
    <t xml:space="preserve">CUST100919</t>
  </si>
  <si>
    <t xml:space="preserve">CUST100269</t>
  </si>
  <si>
    <t xml:space="preserve">CUST101327</t>
  </si>
  <si>
    <t xml:space="preserve">CUST100756</t>
  </si>
  <si>
    <t xml:space="preserve">CUST100469</t>
  </si>
  <si>
    <t xml:space="preserve">CUST100823</t>
  </si>
  <si>
    <t xml:space="preserve">CUST101380</t>
  </si>
  <si>
    <t xml:space="preserve">CUST100713</t>
  </si>
  <si>
    <t xml:space="preserve">CUST100873</t>
  </si>
  <si>
    <t xml:space="preserve">CUST100235</t>
  </si>
  <si>
    <t xml:space="preserve">CUST101284</t>
  </si>
  <si>
    <t xml:space="preserve">CUST101055</t>
  </si>
  <si>
    <t xml:space="preserve">CUST100162</t>
  </si>
  <si>
    <t xml:space="preserve">CUST101105</t>
  </si>
  <si>
    <t xml:space="preserve">CUST100711</t>
  </si>
  <si>
    <t xml:space="preserve">CUST100421</t>
  </si>
  <si>
    <t xml:space="preserve">CUST100508</t>
  </si>
  <si>
    <t xml:space="preserve">CUST101416</t>
  </si>
  <si>
    <t xml:space="preserve">CUST101151</t>
  </si>
  <si>
    <t xml:space="preserve">CUST101176</t>
  </si>
  <si>
    <t xml:space="preserve">CUST100798</t>
  </si>
  <si>
    <t xml:space="preserve">CUST100751</t>
  </si>
  <si>
    <t xml:space="preserve">CUST101112</t>
  </si>
  <si>
    <t xml:space="preserve">CUST101397</t>
  </si>
  <si>
    <t xml:space="preserve">CUST100795</t>
  </si>
  <si>
    <t xml:space="preserve">CUST101426</t>
  </si>
  <si>
    <t xml:space="preserve">CUST100832</t>
  </si>
  <si>
    <t xml:space="preserve">CUST101293</t>
  </si>
  <si>
    <t xml:space="preserve">CUST100929</t>
  </si>
  <si>
    <t xml:space="preserve">CUST100863</t>
  </si>
  <si>
    <t xml:space="preserve">CUST101432</t>
  </si>
  <si>
    <t xml:space="preserve">CUST100793</t>
  </si>
  <si>
    <t xml:space="preserve">CUST101180</t>
  </si>
  <si>
    <t xml:space="preserve">CUST100152</t>
  </si>
  <si>
    <t xml:space="preserve">CUST101175</t>
  </si>
  <si>
    <t xml:space="preserve">CUST101201</t>
  </si>
  <si>
    <t xml:space="preserve">CUST100266</t>
  </si>
  <si>
    <t xml:space="preserve">CUST101315</t>
  </si>
  <si>
    <t xml:space="preserve">CUST101124</t>
  </si>
  <si>
    <t xml:space="preserve">CUST100777</t>
  </si>
  <si>
    <t xml:space="preserve">CUST100675</t>
  </si>
  <si>
    <t xml:space="preserve">CUST100490</t>
  </si>
  <si>
    <t xml:space="preserve">CUST100009</t>
  </si>
  <si>
    <t xml:space="preserve">CUST100151</t>
  </si>
  <si>
    <t xml:space="preserve">CUST101026</t>
  </si>
  <si>
    <t xml:space="preserve">CUST100997</t>
  </si>
  <si>
    <t xml:space="preserve">CUST100613</t>
  </si>
  <si>
    <t xml:space="preserve">CUST101476</t>
  </si>
  <si>
    <t xml:space="preserve">CUST100249</t>
  </si>
  <si>
    <t xml:space="preserve">CUST100869</t>
  </si>
  <si>
    <t xml:space="preserve">CUST100244</t>
  </si>
  <si>
    <t xml:space="preserve">CUST101255</t>
  </si>
  <si>
    <t xml:space="preserve">CUST100933</t>
  </si>
  <si>
    <t xml:space="preserve">CUST100804</t>
  </si>
  <si>
    <t xml:space="preserve">CUST101208</t>
  </si>
  <si>
    <t xml:space="preserve">CUST100293</t>
  </si>
  <si>
    <t xml:space="preserve">CUST100969</t>
  </si>
  <si>
    <t xml:space="preserve">CUST100008</t>
  </si>
  <si>
    <t xml:space="preserve">CUST101266</t>
  </si>
  <si>
    <t xml:space="preserve">CUST100799</t>
  </si>
  <si>
    <t xml:space="preserve">CUST100376</t>
  </si>
  <si>
    <t xml:space="preserve">CUST101049</t>
  </si>
  <si>
    <t xml:space="preserve">CUST100368</t>
  </si>
  <si>
    <t xml:space="preserve">CUST100104</t>
  </si>
  <si>
    <t xml:space="preserve">CUST100805</t>
  </si>
  <si>
    <t xml:space="preserve">CUST101058</t>
  </si>
  <si>
    <t xml:space="preserve">CUST100121</t>
  </si>
  <si>
    <t xml:space="preserve">CUST100934</t>
  </si>
  <si>
    <t xml:space="preserve">CUST100367</t>
  </si>
  <si>
    <t xml:space="preserve">CUST101321</t>
  </si>
  <si>
    <t xml:space="preserve">CUST100103</t>
  </si>
  <si>
    <t xml:space="preserve">CUST101401</t>
  </si>
  <si>
    <t xml:space="preserve">CUST101382</t>
  </si>
  <si>
    <t xml:space="preserve">CUST101239</t>
  </si>
  <si>
    <t xml:space="preserve">CUST101457</t>
  </si>
  <si>
    <t xml:space="preserve">CUST100442</t>
  </si>
  <si>
    <t xml:space="preserve">CUST101214</t>
  </si>
  <si>
    <t xml:space="preserve">CUST100443</t>
  </si>
  <si>
    <t xml:space="preserve">CUST101348</t>
  </si>
  <si>
    <t xml:space="preserve">CUST100660</t>
  </si>
  <si>
    <t xml:space="preserve">CUST100501</t>
  </si>
  <si>
    <t xml:space="preserve">CUST100580</t>
  </si>
  <si>
    <t xml:space="preserve">CUST100927</t>
  </si>
  <si>
    <t xml:space="preserve">CUST100394</t>
  </si>
  <si>
    <t xml:space="preserve">CUST100809</t>
  </si>
  <si>
    <t xml:space="preserve">CUST100504</t>
  </si>
  <si>
    <t xml:space="preserve">CUST100240</t>
  </si>
  <si>
    <t xml:space="preserve">CUST100630</t>
  </si>
  <si>
    <t xml:space="preserve">CUST101139</t>
  </si>
  <si>
    <t xml:space="preserve">CUST100610</t>
  </si>
  <si>
    <t xml:space="preserve">CUST100168</t>
  </si>
  <si>
    <t xml:space="preserve">CUST101347</t>
  </si>
  <si>
    <t xml:space="preserve">CUST100222</t>
  </si>
  <si>
    <t xml:space="preserve">CUST100556</t>
  </si>
  <si>
    <t xml:space="preserve">CUST101247</t>
  </si>
  <si>
    <t xml:space="preserve">CUST101187</t>
  </si>
  <si>
    <t xml:space="preserve">CUST101286</t>
  </si>
  <si>
    <t xml:space="preserve">CUST101227</t>
  </si>
  <si>
    <t xml:space="preserve">CUST100976</t>
  </si>
  <si>
    <t xml:space="preserve">CUST101351</t>
  </si>
  <si>
    <t xml:space="preserve">CUST100325</t>
  </si>
  <si>
    <t xml:space="preserve">CUST101444</t>
  </si>
  <si>
    <t xml:space="preserve">CUST101028</t>
  </si>
  <si>
    <t xml:space="preserve">CUST100253</t>
  </si>
  <si>
    <t xml:space="preserve">CUST101003</t>
  </si>
  <si>
    <t xml:space="preserve">CUST100915</t>
  </si>
  <si>
    <t xml:space="preserve">CUST100361</t>
  </si>
  <si>
    <t xml:space="preserve">CUST101019</t>
  </si>
  <si>
    <t xml:space="preserve">CUST100113</t>
  </si>
  <si>
    <t xml:space="preserve">CUST100406</t>
  </si>
  <si>
    <t xml:space="preserve">CUST100517</t>
  </si>
  <si>
    <t xml:space="preserve">CUST101122</t>
  </si>
  <si>
    <t xml:space="preserve">CUST100493</t>
  </si>
  <si>
    <t xml:space="preserve">CUST100304</t>
  </si>
  <si>
    <t xml:space="preserve">CUST100143</t>
  </si>
  <si>
    <t xml:space="preserve">CUST101477</t>
  </si>
  <si>
    <t xml:space="preserve">CUST100407</t>
  </si>
  <si>
    <t xml:space="preserve">CUST101050</t>
  </si>
  <si>
    <t xml:space="preserve">CUST100114</t>
  </si>
  <si>
    <t xml:space="preserve">CUST100651</t>
  </si>
  <si>
    <t xml:space="preserve">CUST101127</t>
  </si>
  <si>
    <t xml:space="preserve">CUST100785</t>
  </si>
  <si>
    <t xml:space="preserve">CUST101232</t>
  </si>
  <si>
    <t xml:space="preserve">CUST100484</t>
  </si>
  <si>
    <t xml:space="preserve">CUST101125</t>
  </si>
  <si>
    <t xml:space="preserve">CUST100314</t>
  </si>
  <si>
    <t xml:space="preserve">CUST101094</t>
  </si>
  <si>
    <t xml:space="preserve">CUST100909</t>
  </si>
  <si>
    <t xml:space="preserve">CUST100404</t>
  </si>
  <si>
    <t xml:space="preserve">CUST101329</t>
  </si>
  <si>
    <t xml:space="preserve">CUST101497</t>
  </si>
  <si>
    <t xml:space="preserve">CUST101287</t>
  </si>
  <si>
    <t xml:space="preserve">CUST101075</t>
  </si>
  <si>
    <t xml:space="preserve">CUST101261</t>
  </si>
  <si>
    <t xml:space="preserve">CUST101174</t>
  </si>
  <si>
    <t xml:space="preserve">CUST100457</t>
  </si>
  <si>
    <t xml:space="preserve">CUST101281</t>
  </si>
  <si>
    <t xml:space="preserve">CUST100851</t>
  </si>
  <si>
    <t xml:space="preserve">CUST100614</t>
  </si>
  <si>
    <t xml:space="preserve">CUST101463</t>
  </si>
  <si>
    <t xml:space="preserve">CUST100072</t>
  </si>
  <si>
    <t xml:space="preserve">CUST101093</t>
  </si>
  <si>
    <t xml:space="preserve">CUST100797</t>
  </si>
  <si>
    <t xml:space="preserve">CUST101063</t>
  </si>
  <si>
    <t xml:space="preserve">CUST100387</t>
  </si>
  <si>
    <t xml:space="preserve">CUST100333</t>
  </si>
  <si>
    <t xml:space="preserve">CUST101386</t>
  </si>
  <si>
    <t xml:space="preserve">CUST100859</t>
  </si>
  <si>
    <t xml:space="preserve">CUST101035</t>
  </si>
  <si>
    <t xml:space="preserve">CUST100133</t>
  </si>
  <si>
    <t xml:space="preserve">CUST100412</t>
  </si>
  <si>
    <t xml:space="preserve">CUST101177</t>
  </si>
  <si>
    <t xml:space="preserve">CUST100105</t>
  </si>
  <si>
    <t xml:space="preserve">CUST100546</t>
  </si>
  <si>
    <t xml:space="preserve">CUST101059</t>
  </si>
  <si>
    <t xml:space="preserve">CUST100095</t>
  </si>
  <si>
    <t xml:space="preserve">CUST100353</t>
  </si>
  <si>
    <t xml:space="preserve">CUST100447</t>
  </si>
  <si>
    <t xml:space="preserve">CUST100573</t>
  </si>
  <si>
    <t xml:space="preserve">CUST100003</t>
  </si>
  <si>
    <t xml:space="preserve">CUST101399</t>
  </si>
  <si>
    <t xml:space="preserve">CUST100566</t>
  </si>
  <si>
    <t xml:space="preserve">CUST101460</t>
  </si>
  <si>
    <t xml:space="preserve">CUST100210</t>
  </si>
  <si>
    <t xml:space="preserve">CUST101304</t>
  </si>
  <si>
    <t xml:space="preserve">CUST100857</t>
  </si>
  <si>
    <t xml:space="preserve">CUST100663</t>
  </si>
  <si>
    <t xml:space="preserve">CUST100706</t>
  </si>
  <si>
    <t xml:space="preserve">CUST100478</t>
  </si>
  <si>
    <t xml:space="preserve">CUST100347</t>
  </si>
  <si>
    <t xml:space="preserve">CUST100812</t>
  </si>
  <si>
    <t xml:space="preserve">CUST100757</t>
  </si>
  <si>
    <t xml:space="preserve">CUST101212</t>
  </si>
  <si>
    <t xml:space="preserve">CUST100032</t>
  </si>
  <si>
    <t xml:space="preserve">CUST100947</t>
  </si>
  <si>
    <t xml:space="preserve">CUST100634</t>
  </si>
  <si>
    <t xml:space="preserve">CUST100555</t>
  </si>
  <si>
    <t xml:space="preserve">CUST101008</t>
  </si>
  <si>
    <t xml:space="preserve">CUST101086</t>
  </si>
  <si>
    <t xml:space="preserve">CUST100334</t>
  </si>
  <si>
    <t xml:space="preserve">CUST100350</t>
  </si>
  <si>
    <t xml:space="preserve">CUST100464</t>
  </si>
  <si>
    <t xml:space="preserve">CUST100047</t>
  </si>
  <si>
    <t xml:space="preserve">CUST100888</t>
  </si>
  <si>
    <t xml:space="preserve">CUST101421</t>
  </si>
  <si>
    <t xml:space="preserve">CUST100337</t>
  </si>
  <si>
    <t xml:space="preserve">CUST101090</t>
  </si>
  <si>
    <t xml:space="preserve">CUST100840</t>
  </si>
  <si>
    <t xml:space="preserve">CUST100000</t>
  </si>
  <si>
    <t xml:space="preserve">CUST101248</t>
  </si>
  <si>
    <t xml:space="preserve">CUST100373</t>
  </si>
  <si>
    <t xml:space="preserve">CUST100320</t>
  </si>
  <si>
    <t xml:space="preserve">CUST100978</t>
  </si>
  <si>
    <t xml:space="preserve">CUST100687</t>
  </si>
  <si>
    <t xml:space="preserve">CUST101456</t>
  </si>
  <si>
    <t xml:space="preserve">CUST101013</t>
  </si>
  <si>
    <t xml:space="preserve">CUST100085</t>
  </si>
  <si>
    <t xml:space="preserve">CUST101339</t>
  </si>
  <si>
    <t xml:space="preserve">CUST101299</t>
  </si>
  <si>
    <t xml:space="preserve">CUST101199</t>
  </si>
  <si>
    <t xml:space="preserve">CUST100621</t>
  </si>
  <si>
    <t xml:space="preserve">CUST101238</t>
  </si>
  <si>
    <t xml:space="preserve">CUST100175</t>
  </si>
  <si>
    <t xml:space="preserve">CUST101490</t>
  </si>
  <si>
    <t xml:space="preserve">CUST100413</t>
  </si>
  <si>
    <t xml:space="preserve">CUST101155</t>
  </si>
  <si>
    <t xml:space="preserve">CUST100093</t>
  </si>
  <si>
    <t xml:space="preserve">CUST100870</t>
  </si>
  <si>
    <t xml:space="preserve">CUST100300</t>
  </si>
  <si>
    <t xml:space="preserve">CUST100479</t>
  </si>
  <si>
    <t xml:space="preserve">CUST100366</t>
  </si>
  <si>
    <t xml:space="preserve">CUST100316</t>
  </si>
  <si>
    <t xml:space="preserve">CUST100942</t>
  </si>
  <si>
    <t xml:space="preserve">CUST100153</t>
  </si>
  <si>
    <t xml:space="preserve">CUST100460</t>
  </si>
  <si>
    <t xml:space="preserve">CUST100402</t>
  </si>
  <si>
    <t xml:space="preserve">CUST100531</t>
  </si>
  <si>
    <t xml:space="preserve">CUST100184</t>
  </si>
  <si>
    <t xml:space="preserve">CUST100297</t>
  </si>
  <si>
    <t xml:space="preserve">CUST100203</t>
  </si>
  <si>
    <t xml:space="preserve">CUST100627</t>
  </si>
  <si>
    <t xml:space="preserve">CUST100336</t>
  </si>
  <si>
    <t xml:space="preserve">CUST100850</t>
  </si>
  <si>
    <t xml:space="preserve">CUST101338</t>
  </si>
  <si>
    <t xml:space="preserve">CUST100788</t>
  </si>
  <si>
    <t xml:space="preserve">CUST101295</t>
  </si>
  <si>
    <t xml:space="preserve">CUST100077</t>
  </si>
  <si>
    <t xml:space="preserve">CUST101113</t>
  </si>
  <si>
    <t xml:space="preserve">CUST100220</t>
  </si>
  <si>
    <t xml:space="preserve">CUST100771</t>
  </si>
  <si>
    <t xml:space="preserve">CUST100489</t>
  </si>
  <si>
    <t xml:space="preserve">CUST100076</t>
  </si>
  <si>
    <t xml:space="preserve">CUST101285</t>
  </si>
  <si>
    <t xml:space="preserve">CUST100157</t>
  </si>
  <si>
    <t xml:space="preserve">CUST100298</t>
  </si>
  <si>
    <t xml:space="preserve">CUST101107</t>
  </si>
  <si>
    <t xml:space="preserve">CUST101466</t>
  </si>
  <si>
    <t xml:space="preserve">CUST101371</t>
  </si>
  <si>
    <t xml:space="preserve">CUST101001</t>
  </si>
  <si>
    <t xml:space="preserve">CUST101434</t>
  </si>
  <si>
    <t xml:space="preserve">CUST100845</t>
  </si>
  <si>
    <t xml:space="preserve">CUST100319</t>
  </si>
  <si>
    <t xml:space="preserve">CUST101040</t>
  </si>
  <si>
    <t xml:space="preserve">CUST100810</t>
  </si>
  <si>
    <t xml:space="preserve">CUST101310</t>
  </si>
  <si>
    <t xml:space="preserve">CUST100653</t>
  </si>
  <si>
    <t xml:space="preserve">CUST101158</t>
  </si>
  <si>
    <t xml:space="preserve">CUST100658</t>
  </si>
  <si>
    <t xml:space="preserve">CUST100498</t>
  </si>
  <si>
    <t xml:space="preserve">CUST100977</t>
  </si>
  <si>
    <t xml:space="preserve">CUST100271</t>
  </si>
  <si>
    <t xml:space="preserve">CUST100734</t>
  </si>
  <si>
    <t xml:space="preserve">CUST101229</t>
  </si>
  <si>
    <t xml:space="preserve">CUST101307</t>
  </si>
  <si>
    <t xml:space="preserve">CUST100905</t>
  </si>
  <si>
    <t xml:space="preserve">CUST101410</t>
  </si>
  <si>
    <t xml:space="preserve">CUST101301</t>
  </si>
  <si>
    <t xml:space="preserve">CUST100535</t>
  </si>
  <si>
    <t xml:space="preserve">CUST101056</t>
  </si>
  <si>
    <t xml:space="preserve">CUST100322</t>
  </si>
  <si>
    <t xml:space="preserve">CUST101433</t>
  </si>
  <si>
    <t xml:space="preserve">CUST100371</t>
  </si>
  <si>
    <t xml:space="preserve">CUST100196</t>
  </si>
  <si>
    <t xml:space="preserve">CUST100695</t>
  </si>
  <si>
    <t xml:space="preserve">CUST100306</t>
  </si>
  <si>
    <t xml:space="preserve">CUST100536</t>
  </si>
  <si>
    <t xml:space="preserve">CUST101246</t>
  </si>
  <si>
    <t xml:space="preserve">CUST101195</t>
  </si>
  <si>
    <t xml:space="preserve">CUST101276</t>
  </si>
  <si>
    <t xml:space="preserve">CUST100452</t>
  </si>
  <si>
    <t xml:space="preserve">CUST101406</t>
  </si>
  <si>
    <t xml:space="preserve">CUST100318</t>
  </si>
  <si>
    <t xml:space="preserve">CUST100378</t>
  </si>
  <si>
    <t xml:space="preserve">CUST100811</t>
  </si>
  <si>
    <t xml:space="preserve">CUST100561</t>
  </si>
  <si>
    <t xml:space="preserve">CUST100945</t>
  </si>
  <si>
    <t xml:space="preserve">CUST100583</t>
  </si>
  <si>
    <t xml:space="preserve">CUST100665</t>
  </si>
  <si>
    <t xml:space="preserve">CUST100059</t>
  </si>
  <si>
    <t xml:space="preserve">CUST100436</t>
  </si>
  <si>
    <t xml:space="preserve">CUST100749</t>
  </si>
  <si>
    <t xml:space="preserve">CUST100513</t>
  </si>
  <si>
    <t xml:space="preserve">CUST101413</t>
  </si>
  <si>
    <t xml:space="preserve">CUST100894</t>
  </si>
  <si>
    <t xml:space="preserve">CUST101470</t>
  </si>
  <si>
    <t xml:space="preserve">CUST100386</t>
  </si>
  <si>
    <t xml:space="preserve">CUST100530</t>
  </si>
  <si>
    <t xml:space="preserve">CUST100807</t>
  </si>
  <si>
    <t xml:space="preserve">CUST100259</t>
  </si>
  <si>
    <t xml:space="preserve">CUST101088</t>
  </si>
  <si>
    <t xml:space="preserve">CUST100708</t>
  </si>
  <si>
    <t xml:space="preserve">CUST100232</t>
  </si>
  <si>
    <t xml:space="preserve">CUST100453</t>
  </si>
  <si>
    <t xml:space="preserve">CUST100936</t>
  </si>
  <si>
    <t xml:space="preserve">CUST100180</t>
  </si>
  <si>
    <t xml:space="preserve">CUST100155</t>
  </si>
  <si>
    <t xml:space="preserve">CUST100094</t>
  </si>
  <si>
    <t xml:space="preserve">CUST101219</t>
  </si>
  <si>
    <t xml:space="preserve">CUST100170</t>
  </si>
  <si>
    <t xml:space="preserve">CUST101033</t>
  </si>
  <si>
    <t xml:space="preserve">CUST100516</t>
  </si>
  <si>
    <t xml:space="preserve">CUST100730</t>
  </si>
  <si>
    <t xml:space="preserve">CUST101021</t>
  </si>
  <si>
    <t xml:space="preserve">CUST100901</t>
  </si>
  <si>
    <t xml:space="preserve">CUST101179</t>
  </si>
  <si>
    <t xml:space="preserve">CUST100589</t>
  </si>
  <si>
    <t xml:space="preserve">CUST101496</t>
  </si>
  <si>
    <t xml:space="preserve">CUST100744</t>
  </si>
  <si>
    <t xml:space="preserve">CUST100393</t>
  </si>
  <si>
    <t xml:space="preserve">CUST100979</t>
  </si>
  <si>
    <t xml:space="preserve">CUST101356</t>
  </si>
  <si>
    <t xml:space="preserve">CUST100495</t>
  </si>
  <si>
    <t xml:space="preserve">CUST101153</t>
  </si>
  <si>
    <t xml:space="preserve">CUST100699</t>
  </si>
  <si>
    <t xml:space="preserve">CUST100532</t>
  </si>
  <si>
    <t xml:space="preserve">CUST100893</t>
  </si>
  <si>
    <t xml:space="preserve">CUST101330</t>
  </si>
  <si>
    <t xml:space="preserve">CUST100423</t>
  </si>
  <si>
    <t xml:space="preserve">CUST100089</t>
  </si>
  <si>
    <t xml:space="preserve">CUST100024</t>
  </si>
  <si>
    <t xml:space="preserve">CUST100995</t>
  </si>
  <si>
    <t xml:space="preserve">CUST100507</t>
  </si>
  <si>
    <t xml:space="preserve">CUST100525</t>
  </si>
  <si>
    <t xml:space="preserve">CUST100541</t>
  </si>
  <si>
    <t xml:space="preserve">CUST101209</t>
  </si>
  <si>
    <t xml:space="preserve">CUST101453</t>
  </si>
  <si>
    <t xml:space="preserve">CUST100656</t>
  </si>
  <si>
    <t xml:space="preserve">CUST101405</t>
  </si>
  <si>
    <t xml:space="preserve">CUST100545</t>
  </si>
  <si>
    <t xml:space="preserve">CUST101383</t>
  </si>
  <si>
    <t xml:space="preserve">CUST100165</t>
  </si>
  <si>
    <t xml:space="preserve">CUST100975</t>
  </si>
  <si>
    <t xml:space="preserve">CUST101391</t>
  </si>
  <si>
    <t xml:space="preserve">CUST101162</t>
  </si>
  <si>
    <t xml:space="preserve">CUST100740</t>
  </si>
  <si>
    <t xml:space="preserve">CUST101358</t>
  </si>
  <si>
    <t xml:space="preserve">CUST100078</t>
  </si>
  <si>
    <t xml:space="preserve">CUST100722</t>
  </si>
  <si>
    <t xml:space="preserve">CUST100075</t>
  </si>
  <si>
    <t xml:space="preserve">CUST100923</t>
  </si>
  <si>
    <t xml:space="preserve">CUST100891</t>
  </si>
  <si>
    <t xml:space="preserve">CUST100424</t>
  </si>
  <si>
    <t xml:space="preserve">CUST100034</t>
  </si>
  <si>
    <t xml:space="preserve">CUST100015</t>
  </si>
  <si>
    <t xml:space="preserve">CUST100197</t>
  </si>
  <si>
    <t xml:space="preserve">CUST100964</t>
  </si>
  <si>
    <t xml:space="preserve">CUST100874</t>
  </si>
  <si>
    <t xml:space="preserve">CUST100666</t>
  </si>
  <si>
    <t xml:space="preserve">CUST101450</t>
  </si>
  <si>
    <t xml:space="preserve">CUST100941</t>
  </si>
  <si>
    <t xml:space="preserve">CUST100097</t>
  </si>
  <si>
    <t xml:space="preserve">CUST100696</t>
  </si>
  <si>
    <t xml:space="preserve">CUST100255</t>
  </si>
  <si>
    <t xml:space="preserve">CUST101235</t>
  </si>
  <si>
    <t xml:space="preserve">CUST101111</t>
  </si>
  <si>
    <t xml:space="preserve">CUST100576</t>
  </si>
  <si>
    <t xml:space="preserve">CUST100384</t>
  </si>
  <si>
    <t xml:space="preserve">CUST100145</t>
  </si>
  <si>
    <t xml:space="preserve">CUST100864</t>
  </si>
  <si>
    <t xml:space="preserve">CUST100972</t>
  </si>
  <si>
    <t xml:space="preserve">CUST101228</t>
  </si>
  <si>
    <t xml:space="preserve">CUST101483</t>
  </si>
  <si>
    <t xml:space="preserve">CUST100760</t>
  </si>
  <si>
    <t xml:space="preserve">CUST100662</t>
  </si>
  <si>
    <t xml:space="preserve">CUST101031</t>
  </si>
  <si>
    <t xml:space="preserve">CUST100523</t>
  </si>
  <si>
    <t xml:space="preserve">CUST100588</t>
  </si>
  <si>
    <t xml:space="preserve">CUST100782</t>
  </si>
  <si>
    <t xml:space="preserve">CUST101461</t>
  </si>
  <si>
    <t xml:space="preserve">CUST101437</t>
  </si>
  <si>
    <t xml:space="preserve">CUST101279</t>
  </si>
  <si>
    <t xml:space="preserve">CUST100952</t>
  </si>
  <si>
    <t xml:space="preserve">CUST100388</t>
  </si>
  <si>
    <t xml:space="preserve">CUST100991</t>
  </si>
  <si>
    <t xml:space="preserve">CUST100116</t>
  </si>
  <si>
    <t xml:space="preserve">CUST100657</t>
  </si>
  <si>
    <t xml:space="preserve">CUST101077</t>
  </si>
  <si>
    <t xml:space="preserve">CUST100343</t>
  </si>
  <si>
    <t xml:space="preserve">CUST100564</t>
  </si>
  <si>
    <t xml:space="preserve">CUST100570</t>
  </si>
  <si>
    <t xml:space="preserve">CUST101067</t>
  </si>
  <si>
    <t xml:space="preserve">CUST100961</t>
  </si>
  <si>
    <t xml:space="preserve">CUST100467</t>
  </si>
  <si>
    <t xml:space="preserve">CUST100843</t>
  </si>
  <si>
    <t xml:space="preserve">CUST100446</t>
  </si>
  <si>
    <t xml:space="preserve">CUST100286</t>
  </si>
  <si>
    <t xml:space="preserve">CUST100553</t>
  </si>
  <si>
    <t xml:space="preserve">CUST100572</t>
  </si>
  <si>
    <t xml:space="preserve">CUST101361</t>
  </si>
  <si>
    <t xml:space="preserve">CUST101087</t>
  </si>
  <si>
    <t xml:space="preserve">CUST101156</t>
  </si>
  <si>
    <t xml:space="preserve">CUST100951</t>
  </si>
  <si>
    <t xml:space="preserve">CUST101376</t>
  </si>
  <si>
    <t xml:space="preserve">CUST100673</t>
  </si>
  <si>
    <t xml:space="preserve">CUST100904</t>
  </si>
  <si>
    <t xml:space="preserve">CUST100058</t>
  </si>
  <si>
    <t xml:space="preserve">CUST101133</t>
  </si>
  <si>
    <t xml:space="preserve">CUST100071</t>
  </si>
  <si>
    <t xml:space="preserve">CUST100625</t>
  </si>
  <si>
    <t xml:space="preserve">CUST100409</t>
  </si>
  <si>
    <t xml:space="preserve">CUST101353</t>
  </si>
  <si>
    <t xml:space="preserve">CUST101098</t>
  </si>
  <si>
    <t xml:space="preserve">CUST100002</t>
  </si>
  <si>
    <t xml:space="preserve">CUST100074</t>
  </si>
  <si>
    <t xml:space="preserve">CUST101193</t>
  </si>
  <si>
    <t xml:space="preserve">CUST100262</t>
  </si>
  <si>
    <t xml:space="preserve">CUST101384</t>
  </si>
  <si>
    <t xml:space="preserve">CUST100492</t>
  </si>
  <si>
    <t xml:space="preserve">CUST101183</t>
  </si>
  <si>
    <t xml:space="preserve">CUST101363</t>
  </si>
  <si>
    <t xml:space="preserve">CUST100558</t>
  </si>
  <si>
    <t xml:space="preserve">CUST100619</t>
  </si>
  <si>
    <t xml:space="preserve">CUST100903</t>
  </si>
  <si>
    <t xml:space="preserve">CUST100989</t>
  </si>
  <si>
    <t xml:space="preserve">CUST100973</t>
  </si>
  <si>
    <t xml:space="preserve">CUST100260</t>
  </si>
  <si>
    <t xml:space="preserve">CUST100330</t>
  </si>
  <si>
    <t xml:space="preserve">CUST100117</t>
  </si>
  <si>
    <t xml:space="preserve">CUST100792</t>
  </si>
  <si>
    <t xml:space="preserve">CUST100400</t>
  </si>
  <si>
    <t xml:space="preserve">CUST100179</t>
  </si>
  <si>
    <t xml:space="preserve">CUST100876</t>
  </si>
  <si>
    <t xml:space="preserve">CUST100257</t>
  </si>
  <si>
    <t xml:space="preserve">CUST101115</t>
  </si>
  <si>
    <t xml:space="preserve">CUST101474</t>
  </si>
  <si>
    <t xml:space="preserve">CUST101259</t>
  </si>
  <si>
    <t xml:space="preserve">CUST101060</t>
  </si>
  <si>
    <t xml:space="preserve">CUST100106</t>
  </si>
  <si>
    <t xml:space="preserve">CUST100794</t>
  </si>
  <si>
    <t xml:space="preserve">CUST100505</t>
  </si>
  <si>
    <t xml:space="preserve">CUST100018</t>
  </si>
  <si>
    <t xml:space="preserve">CUST100302</t>
  </si>
  <si>
    <t xml:space="preserve">CUST100275</t>
  </si>
  <si>
    <t xml:space="preserve">CUST100307</t>
  </si>
  <si>
    <t xml:space="preserve">CUST100258</t>
  </si>
  <si>
    <t xml:space="preserve">CUST100472</t>
  </si>
  <si>
    <t xml:space="preserve">CUST100284</t>
  </si>
  <si>
    <t xml:space="preserve">CUST100900</t>
  </si>
  <si>
    <t xml:space="preserve">CUST101312</t>
  </si>
  <si>
    <t xml:space="preserve">CUST100581</t>
  </si>
  <si>
    <t xml:space="preserve">CUST101280</t>
  </si>
  <si>
    <t xml:space="preserve">CUST100010</t>
  </si>
  <si>
    <t xml:space="preserve">CUST101414</t>
  </si>
  <si>
    <t xml:space="preserve">CUST101282</t>
  </si>
  <si>
    <t xml:space="preserve">CUST101128</t>
  </si>
  <si>
    <t xml:space="preserve">CUST100940</t>
  </si>
  <si>
    <t xml:space="preserve">CUST100607</t>
  </si>
  <si>
    <t xml:space="preserve">CUST100142</t>
  </si>
  <si>
    <t xml:space="preserve">CUST100025</t>
  </si>
  <si>
    <t xml:space="preserve">CUST100351</t>
  </si>
  <si>
    <t xml:space="preserve">CUST100444</t>
  </si>
  <si>
    <t xml:space="preserve">CUST100292</t>
  </si>
  <si>
    <t xml:space="preserve">CUST100944</t>
  </si>
  <si>
    <t xml:space="preserve">CUST100433</t>
  </si>
  <si>
    <t xml:space="preserve">CUST100736</t>
  </si>
  <si>
    <t xml:space="preserve">CUST101034</t>
  </si>
  <si>
    <t xml:space="preserve">CUST100020</t>
  </si>
  <si>
    <t xml:space="preserve">CUST100692</t>
  </si>
  <si>
    <t xml:space="preserve">CUST101425</t>
  </si>
  <si>
    <t xml:space="preserve">CUST100291</t>
  </si>
  <si>
    <t xml:space="preserve">CUST101102</t>
  </si>
  <si>
    <t xml:space="preserve">CUST100748</t>
  </si>
  <si>
    <t xml:space="preserve">CUST100539</t>
  </si>
  <si>
    <t xml:space="preserve">CUST101484</t>
  </si>
  <si>
    <t xml:space="preserve">CUST101081</t>
  </si>
  <si>
    <t xml:space="preserve">CUST100214</t>
  </si>
  <si>
    <t xml:space="preserve">CUST101030</t>
  </si>
  <si>
    <t xml:space="preserve">CUST100875</t>
  </si>
  <si>
    <t xml:space="preserve">CUST100023</t>
  </si>
  <si>
    <t xml:space="preserve">CUST100984</t>
  </si>
  <si>
    <t xml:space="preserve">CUST101424</t>
  </si>
  <si>
    <t xml:space="preserve">CUST100417</t>
  </si>
  <si>
    <t xml:space="preserve">CUST100335</t>
  </si>
  <si>
    <t xml:space="preserve">CUST100529</t>
  </si>
  <si>
    <t xml:space="preserve">CUST101447</t>
  </si>
  <si>
    <t xml:space="preserve">CUST100885</t>
  </si>
  <si>
    <t xml:space="preserve">CUST100359</t>
  </si>
  <si>
    <t xml:space="preserve">CUST101489</t>
  </si>
  <si>
    <t xml:space="preserve">CUST100582</t>
  </si>
  <si>
    <t xml:space="preserve">CUST101002</t>
  </si>
  <si>
    <t xml:space="preserve">CUST100130</t>
  </si>
  <si>
    <t xml:space="preserve">CUST100897</t>
  </si>
  <si>
    <t xml:space="preserve">CUST100144</t>
  </si>
  <si>
    <t xml:space="preserve">CUST101379</t>
  </si>
  <si>
    <t xml:space="preserve">CUST100620</t>
  </si>
  <si>
    <t xml:space="preserve">CUST100148</t>
  </si>
  <si>
    <t xml:space="preserve">CUST100364</t>
  </si>
  <si>
    <t xml:space="preserve">CUST100790</t>
  </si>
  <si>
    <t xml:space="preserve">CUST100521</t>
  </si>
  <si>
    <t xml:space="preserve">CUST100061</t>
  </si>
  <si>
    <t xml:space="preserve">CUST100537</t>
  </si>
  <si>
    <t xml:space="preserve">CUST100397</t>
  </si>
  <si>
    <t xml:space="preserve">CUST100069</t>
  </si>
  <si>
    <t xml:space="preserve">CUST100611</t>
  </si>
  <si>
    <t xml:space="preserve">CUST100742</t>
  </si>
  <si>
    <t xml:space="preserve">CUST101427</t>
  </si>
  <si>
    <t xml:space="preserve">CUST101231</t>
  </si>
  <si>
    <t xml:space="preserve">CUST100906</t>
  </si>
  <si>
    <t xml:space="preserve">CUST101396</t>
  </si>
  <si>
    <t xml:space="preserve">CUST100137</t>
  </si>
  <si>
    <t xml:space="preserve">CUST100487</t>
  </si>
  <si>
    <t xml:space="preserve">CUST100647</t>
  </si>
  <si>
    <t xml:space="preserve">CUST101097</t>
  </si>
  <si>
    <t xml:space="preserve">CUST100549</t>
  </si>
  <si>
    <t xml:space="preserve">CUST100496</t>
  </si>
  <si>
    <t xml:space="preserve">CUST101454</t>
  </si>
  <si>
    <t xml:space="preserve">CUST100601</t>
  </si>
  <si>
    <t xml:space="preserve">CUST100704</t>
  </si>
  <si>
    <t xml:space="preserve">CUST100642</t>
  </si>
  <si>
    <t xml:space="preserve">CUST100618</t>
  </si>
  <si>
    <t xml:space="preserve">CUST100016</t>
  </si>
  <si>
    <t xml:space="preserve">CUST100597</t>
  </si>
  <si>
    <t xml:space="preserve">CUST100717</t>
  </si>
  <si>
    <t xml:space="preserve">CUST100609</t>
  </si>
  <si>
    <t xml:space="preserve">CUST101395</t>
  </si>
  <si>
    <t xml:space="preserve">CUST101271</t>
  </si>
  <si>
    <t xml:space="preserve">CUST101374</t>
  </si>
  <si>
    <t xml:space="preserve">CUST100303</t>
  </si>
  <si>
    <t xml:space="preserve">CUST100914</t>
  </si>
  <si>
    <t xml:space="preserve">CUST101420</t>
  </si>
  <si>
    <t xml:space="preserve">CUST100895</t>
  </si>
  <si>
    <t xml:space="preserve">CUST101216</t>
  </si>
  <si>
    <t xml:space="preserve">CUST100044</t>
  </si>
  <si>
    <t xml:space="preserve">CUST100719</t>
  </si>
  <si>
    <t xml:space="preserve">CUST100674</t>
  </si>
  <si>
    <t xml:space="preserve">CUST100818</t>
  </si>
  <si>
    <t xml:space="preserve">CUST101053</t>
  </si>
  <si>
    <t xml:space="preserve">CUST100087</t>
  </si>
  <si>
    <t xml:space="preserve">CUST101493</t>
  </si>
  <si>
    <t xml:space="preserve">CUST100738</t>
  </si>
  <si>
    <t xml:space="preserve">CUST100126</t>
  </si>
  <si>
    <t xml:space="preserve">CUST100208</t>
  </si>
  <si>
    <t xml:space="preserve">CUST100600</t>
  </si>
  <si>
    <t xml:space="preserve">CUST100172</t>
  </si>
  <si>
    <t xml:space="preserve">CUST101132</t>
  </si>
  <si>
    <t xml:space="preserve">CUST100451</t>
  </si>
  <si>
    <t xml:space="preserve">CUST100035</t>
  </si>
  <si>
    <t xml:space="preserve">CUST100053</t>
  </si>
  <si>
    <t xml:space="preserve">CUST101362</t>
  </si>
  <si>
    <t xml:space="preserve">CUST100587</t>
  </si>
  <si>
    <t xml:space="preserve">CUST101068</t>
  </si>
  <si>
    <t xml:space="preserve">CUST101182</t>
  </si>
  <si>
    <t xml:space="preserve">CUST100022</t>
  </si>
  <si>
    <t xml:space="preserve">CUST100040</t>
  </si>
  <si>
    <t xml:space="preserve">CUST101318</t>
  </si>
  <si>
    <t xml:space="preserve">CUST100999</t>
  </si>
  <si>
    <t xml:space="preserve">CUST100559</t>
  </si>
  <si>
    <t xml:space="preserve">CUST100045</t>
  </si>
  <si>
    <t xml:space="preserve">CUST100755</t>
  </si>
  <si>
    <t xml:space="preserve">CUST100786</t>
  </si>
  <si>
    <t xml:space="preserve">CUST100835</t>
  </si>
  <si>
    <t xml:space="preserve">CUST101169</t>
  </si>
  <si>
    <t xml:space="preserve">CUST101236</t>
  </si>
  <si>
    <t xml:space="preserve">CUST100931</t>
  </si>
  <si>
    <t xml:space="preserve">CUST100715</t>
  </si>
  <si>
    <t xml:space="preserve">CUST100567</t>
  </si>
  <si>
    <t xml:space="preserve">CUST100039</t>
  </si>
  <si>
    <t xml:space="preserve">CUST100385</t>
  </si>
  <si>
    <t xml:space="preserve">CUST100669</t>
  </si>
  <si>
    <t xml:space="preserve">CUST101377</t>
  </si>
  <si>
    <t xml:space="preserve">CUST101349</t>
  </si>
  <si>
    <t xml:space="preserve">CUST100842</t>
  </si>
  <si>
    <t xml:space="preserve">CUST100176</t>
  </si>
  <si>
    <t xml:space="preserve">CUST100557</t>
  </si>
  <si>
    <t xml:space="preserve">CUST100277</t>
  </si>
  <si>
    <t xml:space="preserve">CUST101185</t>
  </si>
  <si>
    <t xml:space="preserve">CUST100879</t>
  </si>
  <si>
    <t xml:space="preserve">CUST100774</t>
  </si>
  <si>
    <t xml:space="preserve">CUST100884</t>
  </si>
  <si>
    <t xml:space="preserve">CUST100899</t>
  </si>
  <si>
    <t xml:space="preserve">CUST100924</t>
  </si>
  <si>
    <t xml:space="preserve">CUST100886</t>
  </si>
  <si>
    <t xml:space="preserve">CUST100068</t>
  </si>
  <si>
    <t xml:space="preserve">CUST101012</t>
  </si>
  <si>
    <t xml:space="preserve">CUST100728</t>
  </si>
  <si>
    <t xml:space="preserve">CUST101296</t>
  </si>
  <si>
    <t xml:space="preserve">CUST101265</t>
  </si>
  <si>
    <t xml:space="preserve">CUST100374</t>
  </si>
  <si>
    <t xml:space="preserve">CUST100415</t>
  </si>
  <si>
    <t xml:space="preserve">CUST101043</t>
  </si>
  <si>
    <t xml:space="preserve">CUST100578</t>
  </si>
  <si>
    <t xml:space="preserve">CUST100681</t>
  </si>
  <si>
    <t xml:space="preserve">CUST101340</t>
  </si>
  <si>
    <t xml:space="preserve">CUST101283</t>
  </si>
  <si>
    <t xml:space="preserve">CUST100420</t>
  </si>
  <si>
    <t xml:space="preserve">CUST100761</t>
  </si>
  <si>
    <t xml:space="preserve">CUST100375</t>
  </si>
  <si>
    <t xml:space="preserve">CUST100866</t>
  </si>
  <si>
    <t xml:space="preserve">CUST100996</t>
  </si>
  <si>
    <t xml:space="preserve">CUST100684</t>
  </si>
  <si>
    <t xml:space="preserve">CUST100700</t>
  </si>
  <si>
    <t xml:space="preserve">CUST100624</t>
  </si>
  <si>
    <t xml:space="preserve">CUST100705</t>
  </si>
  <si>
    <t xml:space="preserve">CUST100080</t>
  </si>
  <si>
    <t xml:space="preserve">CUST101039</t>
  </si>
  <si>
    <t xml:space="preserve">CUST101029</t>
  </si>
  <si>
    <t xml:space="preserve">CUST100962</t>
  </si>
  <si>
    <t xml:space="preserve">CUST101134</t>
  </si>
  <si>
    <t xml:space="preserve">CUST100836</t>
  </si>
  <si>
    <t xml:space="preserve">CUST100758</t>
  </si>
  <si>
    <t xml:space="preserve">CUST101320</t>
  </si>
  <si>
    <t xml:space="preserve">CUST100499</t>
  </si>
  <si>
    <t xml:space="preserve">CUST100408</t>
  </si>
  <si>
    <t xml:space="preserve">CUST100219</t>
  </si>
  <si>
    <t xml:space="preserve">CUST100161</t>
  </si>
  <si>
    <t xml:space="preserve">CUST100668</t>
  </si>
  <si>
    <t xml:space="preserve">CUST101336</t>
  </si>
  <si>
    <t xml:space="preserve">CUST101215</t>
  </si>
  <si>
    <t xml:space="preserve">CUST100108</t>
  </si>
  <si>
    <t xml:space="preserve">CUST100800</t>
  </si>
  <si>
    <t xml:space="preserve">CUST101114</t>
  </si>
  <si>
    <t xml:space="preserve">CUST100211</t>
  </si>
  <si>
    <t xml:space="preserve">CUST101372</t>
  </si>
  <si>
    <t xml:space="preserve">CUST100082</t>
  </si>
  <si>
    <t xml:space="preserve">CUST100019</t>
  </si>
  <si>
    <t xml:space="preserve">CUST101322</t>
  </si>
  <si>
    <t xml:space="preserve">CUST101011</t>
  </si>
  <si>
    <t xml:space="preserve">CUST100147</t>
  </si>
  <si>
    <t xml:space="preserve">CUST101160</t>
  </si>
  <si>
    <t xml:space="preserve">CUST101213</t>
  </si>
  <si>
    <t xml:space="preserve">CUST101171</t>
  </si>
  <si>
    <t xml:space="preserve">CUST100411</t>
  </si>
  <si>
    <t xml:space="preserve">CUST100993</t>
  </si>
  <si>
    <t xml:space="preserve">CUST100522</t>
  </si>
  <si>
    <t xml:space="preserve">CUST100120</t>
  </si>
  <si>
    <t xml:space="preserve">CUST101288</t>
  </si>
  <si>
    <t xml:space="preserve">CUST101101</t>
  </si>
  <si>
    <t xml:space="preserve">CUST101036</t>
  </si>
  <si>
    <t xml:space="preserve">CUST100698</t>
  </si>
  <si>
    <t xml:space="preserve">CUST101006</t>
  </si>
  <si>
    <t xml:space="preserve">CUST100801</t>
  </si>
  <si>
    <t xml:space="preserve">CUST100363</t>
  </si>
  <si>
    <t xml:space="preserve">CUST100780</t>
  </si>
  <si>
    <t xml:space="preserve">CUST101499</t>
  </si>
  <si>
    <t xml:space="preserve">CUST100772</t>
  </si>
  <si>
    <t xml:space="preserve">CUST100037</t>
  </si>
  <si>
    <t xml:space="preserve">CUST100789</t>
  </si>
  <si>
    <t xml:space="preserve">CUST101298</t>
  </si>
  <si>
    <t xml:space="preserve">CUST100450</t>
  </si>
  <si>
    <t xml:space="preserve">CUST101048</t>
  </si>
  <si>
    <t xml:space="preserve">CUST100596</t>
  </si>
  <si>
    <t xml:space="preserve">CUST101294</t>
  </si>
  <si>
    <t xml:space="preserve">CUST100671</t>
  </si>
  <si>
    <t xml:space="preserve">CUST101207</t>
  </si>
  <si>
    <t xml:space="preserve">CUST101264</t>
  </si>
  <si>
    <t xml:space="preserve">CUST100146</t>
  </si>
  <si>
    <t xml:space="preserve">CUST100461</t>
  </si>
  <si>
    <t xml:space="preserve">CUST101387</t>
  </si>
  <si>
    <t xml:space="preserve">CUST101224</t>
  </si>
  <si>
    <t xml:space="preserve">CUST100956</t>
  </si>
  <si>
    <t xml:space="preserve">CUST101146</t>
  </si>
  <si>
    <t xml:space="preserve">CUST100338</t>
  </si>
  <si>
    <t xml:space="preserve">CUST100192</t>
  </si>
  <si>
    <t xml:space="preserve">CUST100820</t>
  </si>
  <si>
    <t xml:space="preserve">CUST101047</t>
  </si>
  <si>
    <t xml:space="preserve">CUST100677</t>
  </si>
  <si>
    <t xml:space="preserve">CUST101305</t>
  </si>
  <si>
    <t xml:space="preserve">CUST101189</t>
  </si>
  <si>
    <t xml:space="preserve">CUST100200</t>
  </si>
  <si>
    <t xml:space="preserve">CUST101186</t>
  </si>
  <si>
    <t xml:space="preserve">CUST101323</t>
  </si>
  <si>
    <t xml:space="preserve">CUST100720</t>
  </si>
  <si>
    <t xml:space="preserve">CUST101194</t>
  </si>
  <si>
    <t xml:space="preserve">CUST101144</t>
  </si>
  <si>
    <t xml:space="preserve">CUST100828</t>
  </si>
  <si>
    <t xml:space="preserve">CUST101452</t>
  </si>
  <si>
    <t xml:space="preserve">CUST101355</t>
  </si>
  <si>
    <t xml:space="preserve">CUST100294</t>
  </si>
  <si>
    <t xml:space="preserve">CUST100571</t>
  </si>
  <si>
    <t xml:space="preserve">CUST101352</t>
  </si>
  <si>
    <t xml:space="preserve">CUST100416</t>
  </si>
  <si>
    <t xml:space="preserve">CUST100921</t>
  </si>
  <si>
    <t xml:space="preserve">CUST100098</t>
  </si>
  <si>
    <t xml:space="preserve">CUST100372</t>
  </si>
  <si>
    <t xml:space="preserve">CUST100745</t>
  </si>
  <si>
    <t xml:space="preserve">CUST100998</t>
  </si>
  <si>
    <t xml:space="preserve">CUST101319</t>
  </si>
  <si>
    <t xml:space="preserve">CUST100355</t>
  </si>
  <si>
    <t xml:space="preserve">CUST100617</t>
  </si>
  <si>
    <t xml:space="preserve">CUST100825</t>
  </si>
  <si>
    <t xml:space="preserve">CUST100584</t>
  </si>
  <si>
    <t xml:space="preserve">CUST100682</t>
  </si>
  <si>
    <t xml:space="preserve">CUST101253</t>
  </si>
  <si>
    <t xml:space="preserve">CUST100418</t>
  </si>
  <si>
    <t xml:space="preserve">CUST101230</t>
  </si>
  <si>
    <t xml:space="preserve">CUST100716</t>
  </si>
  <si>
    <t xml:space="preserve">CUST100265</t>
  </si>
  <si>
    <t xml:space="preserve">CUST100615</t>
  </si>
  <si>
    <t xml:space="preserve">CUST101431</t>
  </si>
  <si>
    <t xml:space="preserve">CUST100602</t>
  </si>
  <si>
    <t xml:space="preserve">CUST101418</t>
  </si>
  <si>
    <t xml:space="preserve">CUST101417</t>
  </si>
  <si>
    <t xml:space="preserve">CUST101328</t>
  </si>
  <si>
    <t xml:space="preserve">CUST100012</t>
  </si>
  <si>
    <t xml:space="preserve">CUST100586</t>
  </si>
  <si>
    <t xml:space="preserve">CUST100721</t>
  </si>
  <si>
    <t xml:space="preserve">CUST100252</t>
  </si>
  <si>
    <t xml:space="preserve">CUST100052</t>
  </si>
  <si>
    <t xml:space="preserve">CUST101148</t>
  </si>
  <si>
    <t xml:space="preserve">CUST100543</t>
  </si>
  <si>
    <t xml:space="preserve">CUST101350</t>
  </si>
  <si>
    <t xml:space="preserve">CUST100860</t>
  </si>
  <si>
    <t xml:space="preserve">CUST100315</t>
  </si>
  <si>
    <t xml:space="preserve">CUST101344</t>
  </si>
  <si>
    <t xml:space="preserve">CUST100806</t>
  </si>
  <si>
    <t xml:space="preserve">CUST100455</t>
  </si>
  <si>
    <t xml:space="preserve">CUST101334</t>
  </si>
  <si>
    <t xml:space="preserve">CUST101302</t>
  </si>
  <si>
    <t xml:space="preserve">CUST100435</t>
  </si>
  <si>
    <t xml:space="preserve">CUST101196</t>
  </si>
  <si>
    <t xml:space="preserve">CUST101251</t>
  </si>
  <si>
    <t xml:space="preserve">CUST100396</t>
  </si>
  <si>
    <t xml:space="preserve">CUST100223</t>
  </si>
  <si>
    <t xml:space="preserve">CUST101269</t>
  </si>
  <si>
    <t xml:space="preserve">CUST100701</t>
  </si>
  <si>
    <t xml:space="preserve">CUST100714</t>
  </si>
  <si>
    <t xml:space="preserve">CUST101365</t>
  </si>
  <si>
    <t xml:space="preserve">CUST100227</t>
  </si>
  <si>
    <t xml:space="preserve">CUST100236</t>
  </si>
  <si>
    <t xml:space="preserve">CUST101142</t>
  </si>
  <si>
    <t xml:space="preserve">CUST100925</t>
  </si>
  <si>
    <t xml:space="preserve">CUST101237</t>
  </si>
  <si>
    <t xml:space="preserve">CUST101277</t>
  </si>
  <si>
    <t xml:space="preserve">CUST100448</t>
  </si>
  <si>
    <t xml:space="preserve">CUST100432</t>
  </si>
  <si>
    <t xml:space="preserve">CUST100391</t>
  </si>
  <si>
    <t xml:space="preserve">CUST100226</t>
  </si>
  <si>
    <t xml:space="preserve">CUST101448</t>
  </si>
  <si>
    <t xml:space="preserve">CUST100190</t>
  </si>
  <si>
    <t xml:space="preserve">CUST101472</t>
  </si>
  <si>
    <t xml:space="preserve">CUST100946</t>
  </si>
  <si>
    <t xml:space="preserve">CUST100726</t>
  </si>
  <si>
    <t xml:space="preserve">CUST100310</t>
  </si>
  <si>
    <t xml:space="preserve">CUST100328</t>
  </si>
  <si>
    <t xml:space="preserve">CUST101200</t>
  </si>
  <si>
    <t xml:space="preserve">CUST100267</t>
  </si>
  <si>
    <t xml:space="preserve">CUST101085</t>
  </si>
  <si>
    <t xml:space="preserve">CUST100694</t>
  </si>
  <si>
    <t xml:space="preserve">CUST101140</t>
  </si>
  <si>
    <t xml:space="preserve">CUST100686</t>
  </si>
  <si>
    <t xml:space="preserve">CUST100107</t>
  </si>
  <si>
    <t xml:space="preserve">CUST100935</t>
  </si>
  <si>
    <t xml:space="preserve">CUST101438</t>
  </si>
  <si>
    <t xml:space="preserve">CUST100054</t>
  </si>
  <si>
    <t xml:space="preserve">CUST100365</t>
  </si>
  <si>
    <t xml:space="preserve">CUST100497</t>
  </si>
  <si>
    <t xml:space="preserve">CUST100138</t>
  </si>
  <si>
    <t xml:space="preserve">CUST101154</t>
  </si>
  <si>
    <t xml:space="preserve">CUST101422</t>
  </si>
  <si>
    <t xml:space="preserve">CUST100604</t>
  </si>
  <si>
    <t xml:space="preserve">CUST101278</t>
  </si>
  <si>
    <t xml:space="preserve">CUST101388</t>
  </si>
  <si>
    <t xml:space="preserve">CUST100552</t>
  </si>
  <si>
    <t xml:space="preserve">CUST100358</t>
  </si>
  <si>
    <t xml:space="preserve">CUST100281</t>
  </si>
  <si>
    <t xml:space="preserve">CUST100026</t>
  </si>
  <si>
    <t xml:space="preserve">CUST100858</t>
  </si>
  <si>
    <t xml:space="preserve">CUST100764</t>
  </si>
  <si>
    <t xml:space="preserve">CUST100201</t>
  </si>
  <si>
    <t xml:space="preserve">CUST100966</t>
  </si>
  <si>
    <t xml:space="preserve">CUST101073</t>
  </si>
  <si>
    <t xml:space="preserve">CUST100399</t>
  </si>
  <si>
    <t xml:space="preserve">CUST100585</t>
  </si>
  <si>
    <t xml:space="preserve">CUST100765</t>
  </si>
  <si>
    <t xml:space="preserve">CUST101064</t>
  </si>
  <si>
    <t xml:space="preserve">CUST100994</t>
  </si>
  <si>
    <t xml:space="preserve">CUST101117</t>
  </si>
  <si>
    <t xml:space="preserve">CUST101273</t>
  </si>
  <si>
    <t xml:space="preserve">CUST101066</t>
  </si>
  <si>
    <t xml:space="preserve">CUST100463</t>
  </si>
  <si>
    <t xml:space="preserve">CUST100174</t>
  </si>
  <si>
    <t xml:space="preserve">CUST100096</t>
  </si>
  <si>
    <t xml:space="preserve">CUST100326</t>
  </si>
  <si>
    <t xml:space="preserve">CUST100167</t>
  </si>
  <si>
    <t xml:space="preserve">CUST101373</t>
  </si>
  <si>
    <t xml:space="preserve">CUST100853</t>
  </si>
  <si>
    <t xml:space="preserve">CUST101000</t>
  </si>
  <si>
    <t xml:space="preserve">CUST101025</t>
  </si>
  <si>
    <t xml:space="preserve">CUST101120</t>
  </si>
  <si>
    <t xml:space="preserve">CUST100382</t>
  </si>
  <si>
    <t xml:space="preserve">CUST101103</t>
  </si>
  <si>
    <t xml:space="preserve">CUST100357</t>
  </si>
  <si>
    <t xml:space="preserve">CUST100603</t>
  </si>
  <si>
    <t xml:space="preserve">CUST100239</t>
  </si>
  <si>
    <t xml:space="preserve">CUST100050</t>
  </si>
  <si>
    <t xml:space="preserve">CUST100878</t>
  </si>
  <si>
    <t xml:space="preserve">CUST100898</t>
  </si>
  <si>
    <t xml:space="preserve">Customer_id</t>
  </si>
  <si>
    <t xml:space="preserve">Plan Type </t>
  </si>
  <si>
    <t xml:space="preserve">Contract Type </t>
  </si>
  <si>
    <t xml:space="preserve">Monthly Charge </t>
  </si>
  <si>
    <t xml:space="preserve">Tenure</t>
  </si>
  <si>
    <t xml:space="preserve">Signup date</t>
  </si>
  <si>
    <t xml:space="preserve">Payment_method</t>
  </si>
  <si>
    <t xml:space="preserve">Autopay</t>
  </si>
  <si>
    <t xml:space="preserve">login_per_month</t>
  </si>
  <si>
    <t xml:space="preserve">Feature_used</t>
  </si>
  <si>
    <t xml:space="preserve">Support_tickets</t>
  </si>
  <si>
    <t xml:space="preserve">Total Revenue </t>
  </si>
  <si>
    <t xml:space="preserve">Churned </t>
  </si>
  <si>
    <t xml:space="preserve">Duplicate_flag</t>
  </si>
  <si>
    <t xml:space="preserve">Cleaning_notes</t>
  </si>
  <si>
    <t xml:space="preserve">Customer Churn Analysis - Executive Summary</t>
  </si>
  <si>
    <t xml:space="preserve">Overall Metrics</t>
  </si>
  <si>
    <t xml:space="preserve">Metric</t>
  </si>
  <si>
    <t xml:space="preserve">Value</t>
  </si>
  <si>
    <t xml:space="preserve">Total Customers</t>
  </si>
  <si>
    <t xml:space="preserve">Churned Customers</t>
  </si>
  <si>
    <t xml:space="preserve">Overall Churn Rate</t>
  </si>
  <si>
    <t xml:space="preserve">Data Quality Check</t>
  </si>
  <si>
    <t xml:space="preserve">Check</t>
  </si>
  <si>
    <t xml:space="preserve">Count</t>
  </si>
  <si>
    <t xml:space="preserve">Rows with Complete Data</t>
  </si>
  <si>
    <t xml:space="preserve">Rows with Missing Data</t>
  </si>
  <si>
    <t xml:space="preserve">% Rows Missing Data</t>
  </si>
  <si>
    <t xml:space="preserve">Churn Rate by Plan</t>
  </si>
  <si>
    <t xml:space="preserve">Plan</t>
  </si>
  <si>
    <t xml:space="preserve">Customers</t>
  </si>
  <si>
    <t xml:space="preserve">Churned</t>
  </si>
  <si>
    <t xml:space="preserve">Churn Rate</t>
  </si>
  <si>
    <t xml:space="preserve">Churn Rate by Contract Type</t>
  </si>
  <si>
    <t xml:space="preserve">Contract Type</t>
  </si>
  <si>
    <t xml:space="preserve">Churn Rate by Tenure</t>
  </si>
  <si>
    <t xml:space="preserve">Tenure Bucket</t>
  </si>
  <si>
    <t xml:space="preserve">0-6mo</t>
  </si>
  <si>
    <t xml:space="preserve">6-12mo</t>
  </si>
  <si>
    <t xml:space="preserve">12-24mo</t>
  </si>
  <si>
    <t xml:space="preserve">24mo+</t>
  </si>
  <si>
    <t xml:space="preserve">Revenue: Churned vs Retained</t>
  </si>
  <si>
    <t xml:space="preserve">Segment</t>
  </si>
  <si>
    <t xml:space="preserve">Total Revenue</t>
  </si>
  <si>
    <t xml:space="preserve">Avg Revenue/Customer</t>
  </si>
  <si>
    <t xml:space="preserve">Retained</t>
  </si>
  <si>
    <t xml:space="preserve">% of Total Revenue Lost to Churn</t>
  </si>
  <si>
    <t xml:space="preserve">Usage Patterns by Churn Status</t>
  </si>
  <si>
    <t xml:space="preserve">Status</t>
  </si>
  <si>
    <t xml:space="preserve">Avg Usage Score</t>
  </si>
  <si>
    <t xml:space="preserve">Avg Logins/Month</t>
  </si>
  <si>
    <t xml:space="preserve">Avg Features Used</t>
  </si>
  <si>
    <t xml:space="preserve">Complaints &amp; Churn</t>
  </si>
  <si>
    <t xml:space="preserve">Avg Support Tickets - Retained</t>
  </si>
  <si>
    <t xml:space="preserve">Avg Support Tickets - Churned</t>
  </si>
  <si>
    <t xml:space="preserve">No Unresolved Complaint</t>
  </si>
  <si>
    <t xml:space="preserve">Has Unresolved Complaint</t>
  </si>
  <si>
    <t xml:space="preserve">Churn by Autopay &amp; Payment Method</t>
  </si>
  <si>
    <t xml:space="preserve">Autopay Off</t>
  </si>
  <si>
    <t xml:space="preserve">Autopay On</t>
  </si>
  <si>
    <t xml:space="preserve">High-Risk Segment: Month-to-Month + Low Usage(&lt;40) + Unresolved Complaint</t>
  </si>
  <si>
    <t xml:space="preserve">High-Risk Segment</t>
  </si>
  <si>
    <t xml:space="preserve">Cohort Churn Rate by Signup Year</t>
  </si>
  <si>
    <t xml:space="preserve">Signup Year</t>
  </si>
  <si>
    <t xml:space="preserve">Top 50 Active At Risk Customers</t>
  </si>
  <si>
    <t xml:space="preserve">Customer_Id</t>
  </si>
  <si>
    <t xml:space="preserve">Contract_Type</t>
  </si>
  <si>
    <t xml:space="preserve">Tenure (mo)</t>
  </si>
  <si>
    <t xml:space="preserve">Usage_Score</t>
  </si>
  <si>
    <t xml:space="preserve">Support_Tickets</t>
  </si>
  <si>
    <t xml:space="preserve">Unresolved_complaint</t>
  </si>
  <si>
    <t xml:space="preserve">Revenue</t>
  </si>
  <si>
    <t xml:space="preserve">Risk_Score</t>
  </si>
  <si>
    <t xml:space="preserve">Risk_Level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</si>
</sst>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\$#,##0"/>
    <numFmt numFmtId="168" formatCode="&quot;TRUE&quot;;&quot;TRUE&quot;;&quot;FALSE&quot;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u val="single"/>
      <sz val="14"/>
      <color rgb="FFFFFFFF"/>
      <name val="Arial"/>
      <family val="2"/>
      <charset val="1"/>
    </font>
    <font>
      <sz val="21"/>
      <name val="Arial"/>
      <family val="2"/>
      <charset val="1"/>
    </font>
    <font>
      <sz val="10"/>
      <color rgb="FF11111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5983B0"/>
        <bgColor rgb="FF4F81BD"/>
      </patternFill>
    </fill>
    <fill>
      <patternFill patternType="solid">
        <fgColor rgb="FFDEE6EF"/>
        <bgColor rgb="FFD9D9D9"/>
      </patternFill>
    </fill>
    <fill>
      <patternFill patternType="solid">
        <fgColor rgb="FFBF819E"/>
        <bgColor rgb="FF878787"/>
      </patternFill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BF819E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5983B0"/>
          <bgColor rgb="FF000000"/>
        </patternFill>
      </fill>
    </dxf>
    <dxf>
      <fill>
        <patternFill patternType="solid">
          <fgColor rgb="FFFFF5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5CE"/>
      <rgbColor rgb="FFDE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83B0"/>
      <rgbColor rgb="FFBF819E"/>
      <rgbColor rgb="FF1F4E78"/>
      <rgbColor rgb="FF339966"/>
      <rgbColor rgb="FF111111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Summary!$A$24:$A$26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Summary!$D$24:$D$26</c:f>
              <c:numCache>
                <c:formatCode>0.0%</c:formatCode>
                <c:ptCount val="3"/>
                <c:pt idx="0">
                  <c:v>0.281400966183575</c:v>
                </c:pt>
                <c:pt idx="1">
                  <c:v>0.0800865800865801</c:v>
                </c:pt>
                <c:pt idx="2">
                  <c:v>0.0666666666666667</c:v>
                </c:pt>
              </c:numCache>
            </c:numRef>
          </c:val>
        </c:ser>
        <c:gapWidth val="150"/>
        <c:overlap val="0"/>
        <c:axId val="46436491"/>
        <c:axId val="50623626"/>
      </c:barChart>
      <c:catAx>
        <c:axId val="46436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Contract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50623626"/>
        <c:crosses val="autoZero"/>
        <c:auto val="1"/>
        <c:lblAlgn val="ctr"/>
        <c:lblOffset val="100"/>
        <c:noMultiLvlLbl val="0"/>
      </c:catAx>
      <c:valAx>
        <c:axId val="50623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46436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Churn Rate by Tenure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Summary!$A$30:$A$33</c:f>
              <c:strCache>
                <c:ptCount val="4"/>
                <c:pt idx="0">
                  <c:v>0-6mo</c:v>
                </c:pt>
                <c:pt idx="1">
                  <c:v>6-12mo</c:v>
                </c:pt>
                <c:pt idx="2">
                  <c:v>12-24mo</c:v>
                </c:pt>
                <c:pt idx="3">
                  <c:v>24mo+</c:v>
                </c:pt>
              </c:strCache>
            </c:strRef>
          </c:cat>
          <c:val>
            <c:numRef>
              <c:f>Summary!$D$30:$D$33</c:f>
              <c:numCache>
                <c:formatCode>0.0%</c:formatCode>
                <c:ptCount val="4"/>
                <c:pt idx="0">
                  <c:v>0.231197771587744</c:v>
                </c:pt>
                <c:pt idx="1">
                  <c:v>0.248201438848921</c:v>
                </c:pt>
                <c:pt idx="2">
                  <c:v>0.169312169312169</c:v>
                </c:pt>
                <c:pt idx="3">
                  <c:v>0.14020618556701</c:v>
                </c:pt>
              </c:numCache>
            </c:numRef>
          </c:val>
        </c:ser>
        <c:gapWidth val="150"/>
        <c:overlap val="0"/>
        <c:axId val="33018391"/>
        <c:axId val="9325517"/>
      </c:barChart>
      <c:catAx>
        <c:axId val="330183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Tenure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9325517"/>
        <c:crosses val="autoZero"/>
        <c:auto val="1"/>
        <c:lblAlgn val="ctr"/>
        <c:lblOffset val="100"/>
        <c:noMultiLvlLbl val="0"/>
      </c:catAx>
      <c:valAx>
        <c:axId val="9325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33018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976680</xdr:colOff>
      <xdr:row>2</xdr:row>
      <xdr:rowOff>144000</xdr:rowOff>
    </xdr:from>
    <xdr:to>
      <xdr:col>11</xdr:col>
      <xdr:colOff>789480</xdr:colOff>
      <xdr:row>16</xdr:row>
      <xdr:rowOff>153000</xdr:rowOff>
    </xdr:to>
    <xdr:graphicFrame>
      <xdr:nvGraphicFramePr>
        <xdr:cNvPr id="1" name="Chart 1"/>
        <xdr:cNvGraphicFramePr/>
      </xdr:nvGraphicFramePr>
      <xdr:xfrm>
        <a:off x="8561880" y="511560"/>
        <a:ext cx="5037480" cy="25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931680</xdr:colOff>
      <xdr:row>20</xdr:row>
      <xdr:rowOff>114840</xdr:rowOff>
    </xdr:from>
    <xdr:to>
      <xdr:col>11</xdr:col>
      <xdr:colOff>744480</xdr:colOff>
      <xdr:row>34</xdr:row>
      <xdr:rowOff>186480</xdr:rowOff>
    </xdr:to>
    <xdr:graphicFrame>
      <xdr:nvGraphicFramePr>
        <xdr:cNvPr id="2" name="Chart 2"/>
        <xdr:cNvGraphicFramePr/>
      </xdr:nvGraphicFramePr>
      <xdr:xfrm>
        <a:off x="8516880" y="3763080"/>
        <a:ext cx="5037480" cy="25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01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X10" activeCellId="0" sqref="X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9.36"/>
    <col collapsed="false" customWidth="true" hidden="false" outlineLevel="0" max="3" min="3" style="1" width="14.23"/>
    <col collapsed="false" customWidth="true" hidden="false" outlineLevel="0" max="4" min="4" style="1" width="14.37"/>
    <col collapsed="false" customWidth="true" hidden="false" outlineLevel="0" max="5" min="5" style="1" width="13.53"/>
    <col collapsed="false" customWidth="true" hidden="false" outlineLevel="0" max="6" min="6" style="1" width="11.31"/>
    <col collapsed="false" customWidth="true" hidden="false" outlineLevel="0" max="7" min="7" style="1" width="15.49"/>
    <col collapsed="false" customWidth="true" hidden="false" outlineLevel="0" max="8" min="8" style="1" width="15.2"/>
    <col collapsed="false" customWidth="true" hidden="false" outlineLevel="0" max="9" min="9" style="1" width="11.85"/>
    <col collapsed="false" customWidth="true" hidden="false" outlineLevel="0" max="10" min="10" style="1" width="15.76"/>
    <col collapsed="false" customWidth="true" hidden="false" outlineLevel="0" max="11" min="11" style="1" width="12.98"/>
    <col collapsed="false" customWidth="true" hidden="false" outlineLevel="0" max="12" min="12" style="1" width="17.43"/>
    <col collapsed="false" customWidth="true" hidden="false" outlineLevel="0" max="13" min="13" style="1" width="19.1"/>
    <col collapsed="false" customWidth="true" hidden="false" outlineLevel="0" max="14" min="14" style="1" width="12.42"/>
    <col collapsed="false" customWidth="true" hidden="false" outlineLevel="0" max="15" min="15" style="1" width="7.97"/>
    <col collapsed="false" customWidth="true" hidden="false" outlineLevel="0" max="16" min="16" style="1" width="10.48"/>
    <col collapsed="false" customWidth="true" hidden="false" outlineLevel="0" max="17" min="17" style="1" width="14.79"/>
    <col collapsed="false" customWidth="true" hidden="false" outlineLevel="0" max="18" min="18" style="0" width="15.58"/>
    <col collapsed="false" customWidth="true" hidden="false" outlineLevel="0" max="19" min="19" style="0" width="13.22"/>
    <col collapsed="false" customWidth="true" hidden="false" outlineLevel="0" max="21" min="21" style="0" width="20.03"/>
    <col collapsed="false" customWidth="true" hidden="false" outlineLevel="0" max="22" min="22" style="0" width="12.6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Format="false" ht="12.8" hidden="false" customHeight="false" outlineLevel="0" collapsed="false">
      <c r="A2" s="1" t="s">
        <v>22</v>
      </c>
      <c r="B2" s="1" t="s">
        <v>23</v>
      </c>
      <c r="C2" s="1" t="s">
        <v>24</v>
      </c>
      <c r="D2" s="1" t="n">
        <v>21.31</v>
      </c>
      <c r="E2" s="1" t="n">
        <v>20</v>
      </c>
      <c r="F2" s="4" t="n">
        <v>43833</v>
      </c>
      <c r="G2" s="1" t="s">
        <v>25</v>
      </c>
      <c r="H2" s="1" t="n">
        <v>1</v>
      </c>
      <c r="I2" s="1" t="n">
        <v>78.8</v>
      </c>
      <c r="J2" s="1" t="n">
        <v>8</v>
      </c>
      <c r="K2" s="1" t="n">
        <v>8</v>
      </c>
      <c r="L2" s="1" t="n">
        <v>2</v>
      </c>
      <c r="M2" s="1" t="n">
        <v>1</v>
      </c>
      <c r="N2" s="1" t="n">
        <v>426.2</v>
      </c>
      <c r="O2" s="1" t="n">
        <v>0</v>
      </c>
      <c r="Q2" s="4" t="n">
        <v>44441</v>
      </c>
      <c r="R2" s="0" t="n">
        <f aca="false">IF(ISBLANK(F2),"Missing",IFERROR(YEAR(F2),"Missing"))</f>
        <v>2020</v>
      </c>
      <c r="S2" s="0" t="str">
        <f aca="false">IF(ISBLANK(E2),"Missing",IF(E2&lt;6,"0-6mo",IF(E2&lt;12,"6-12mo",IF(E2&lt;24,"12-24mo","24mo+"))))</f>
        <v>12-24mo</v>
      </c>
      <c r="T2" s="0" t="n">
        <f aca="false">IF(ISBLANK(C2),0,IF(C2="Month-to-month",2,IF(C2="One year",1,0)))+IF(ISBLANK(I2),0,IF(I2&lt;40,2,IF(I2&lt;55,1,0)))+IF(ISBLANK(M2),0,IF(M2=1,3,0))+IF(ISBLANK(L2),0,IF(L2&gt;=2,1,0))+IF(ISBLANK(E2),0,IF(E2&lt;12,1,0))</f>
        <v>6</v>
      </c>
      <c r="U2" s="0" t="str">
        <f aca="false">IF((ISBLANK(B2)*1+ISBLANK(C2)*1+ISBLANK(D2)*1+ISBLANK(E2)*1+ISBLANK(F2)*1+ISBLANK(I2)*1+ISBLANK(J2)*1+ISBLANK(K2)*1+ISBLANK(L2)*1+ISBLANK(M2)*1+ISBLANK(N2)*1+ISBLANK(O2)*1)&gt;0,"Missing Data","OK")</f>
        <v>OK</v>
      </c>
      <c r="V2" s="5" t="str">
        <f aca="false">IF(T2&gt;=6,"High Risk",IF(T2&gt;=3,"Medium Risk","Low Risk"))</f>
        <v>High Risk</v>
      </c>
    </row>
    <row r="3" customFormat="false" ht="12.8" hidden="false" customHeight="false" outlineLevel="0" collapsed="false">
      <c r="A3" s="1" t="s">
        <v>26</v>
      </c>
      <c r="B3" s="1" t="s">
        <v>23</v>
      </c>
      <c r="C3" s="1" t="s">
        <v>24</v>
      </c>
      <c r="D3" s="1" t="n">
        <v>19.8</v>
      </c>
      <c r="E3" s="1" t="n">
        <v>33</v>
      </c>
      <c r="F3" s="4" t="n">
        <v>43833</v>
      </c>
      <c r="G3" s="1" t="s">
        <v>27</v>
      </c>
      <c r="H3" s="1" t="n">
        <v>1</v>
      </c>
      <c r="I3" s="1" t="n">
        <v>46.1</v>
      </c>
      <c r="J3" s="1" t="n">
        <v>20</v>
      </c>
      <c r="K3" s="1" t="n">
        <v>4</v>
      </c>
      <c r="L3" s="1" t="n">
        <v>0</v>
      </c>
      <c r="M3" s="1" t="n">
        <v>0</v>
      </c>
      <c r="N3" s="1" t="n">
        <v>653.4</v>
      </c>
      <c r="O3" s="1" t="n">
        <v>0</v>
      </c>
      <c r="Q3" s="4" t="n">
        <v>44837</v>
      </c>
      <c r="R3" s="0" t="n">
        <f aca="false">IF(ISBLANK(F3),"Missing",IFERROR(YEAR(F3),"Missing"))</f>
        <v>2020</v>
      </c>
      <c r="S3" s="0" t="str">
        <f aca="false">IF(ISBLANK(E3),"Missing",IF(E3&lt;6,"0-6mo",IF(E3&lt;12,"6-12mo",IF(E3&lt;24,"12-24mo","24mo+"))))</f>
        <v>24mo+</v>
      </c>
      <c r="T3" s="0" t="n">
        <f aca="false">IF(ISBLANK(C3),0,IF(C3="Month-to-month",2,IF(C3="One year",1,0)))+IF(ISBLANK(I3),0,IF(I3&lt;40,2,IF(I3&lt;55,1,0)))+IF(ISBLANK(M3),0,IF(M3=1,3,0))+IF(ISBLANK(L3),0,IF(L3&gt;=2,1,0))+IF(ISBLANK(E3),0,IF(E3&lt;12,1,0))</f>
        <v>3</v>
      </c>
      <c r="U3" s="0" t="str">
        <f aca="false">IF((ISBLANK(B3)*1+ISBLANK(C3)*1+ISBLANK(D3)*1+ISBLANK(E3)*1+ISBLANK(F3)*1+ISBLANK(I3)*1+ISBLANK(J3)*1+ISBLANK(K3)*1+ISBLANK(L3)*1+ISBLANK(M3)*1+ISBLANK(N3)*1+ISBLANK(O3)*1)&gt;0,"Missing Data","OK")</f>
        <v>OK</v>
      </c>
      <c r="V3" s="0" t="str">
        <f aca="false">IF(T3&gt;=6,"High Risk",IF(T3&gt;=3,"Medium Risk","Low Risk"))</f>
        <v>Medium Risk</v>
      </c>
    </row>
    <row r="4" customFormat="false" ht="12.8" hidden="false" customHeight="false" outlineLevel="0" collapsed="false">
      <c r="A4" s="1" t="s">
        <v>28</v>
      </c>
      <c r="B4" s="1" t="s">
        <v>29</v>
      </c>
      <c r="C4" s="1" t="s">
        <v>24</v>
      </c>
      <c r="D4" s="1" t="n">
        <v>40.58</v>
      </c>
      <c r="E4" s="1" t="n">
        <v>18</v>
      </c>
      <c r="F4" s="4" t="n">
        <v>43834</v>
      </c>
      <c r="G4" s="1" t="s">
        <v>30</v>
      </c>
      <c r="H4" s="1" t="n">
        <v>1</v>
      </c>
      <c r="I4" s="1" t="n">
        <v>49.8</v>
      </c>
      <c r="J4" s="1" t="n">
        <v>17</v>
      </c>
      <c r="K4" s="1" t="n">
        <v>6</v>
      </c>
      <c r="L4" s="1" t="n">
        <v>3</v>
      </c>
      <c r="M4" s="1" t="n">
        <v>0</v>
      </c>
      <c r="N4" s="1" t="n">
        <v>730.44</v>
      </c>
      <c r="O4" s="1" t="n">
        <v>0</v>
      </c>
      <c r="Q4" s="4" t="n">
        <v>44381</v>
      </c>
      <c r="R4" s="0" t="n">
        <f aca="false">IF(ISBLANK(F4),"Missing",IFERROR(YEAR(F4),"Missing"))</f>
        <v>2020</v>
      </c>
      <c r="S4" s="0" t="str">
        <f aca="false">IF(ISBLANK(E4),"Missing",IF(E4&lt;6,"0-6mo",IF(E4&lt;12,"6-12mo",IF(E4&lt;24,"12-24mo","24mo+"))))</f>
        <v>12-24mo</v>
      </c>
      <c r="T4" s="0" t="n">
        <f aca="false">IF(ISBLANK(C4),0,IF(C4="Month-to-month",2,IF(C4="One year",1,0)))+IF(ISBLANK(I4),0,IF(I4&lt;40,2,IF(I4&lt;55,1,0)))+IF(ISBLANK(M4),0,IF(M4=1,3,0))+IF(ISBLANK(L4),0,IF(L4&gt;=2,1,0))+IF(ISBLANK(E4),0,IF(E4&lt;12,1,0))</f>
        <v>4</v>
      </c>
      <c r="U4" s="0" t="str">
        <f aca="false">IF((ISBLANK(B4)*1+ISBLANK(C4)*1+ISBLANK(D4)*1+ISBLANK(E4)*1+ISBLANK(F4)*1+ISBLANK(I4)*1+ISBLANK(J4)*1+ISBLANK(K4)*1+ISBLANK(L4)*1+ISBLANK(M4)*1+ISBLANK(N4)*1+ISBLANK(O4)*1)&gt;0,"Missing Data","OK")</f>
        <v>OK</v>
      </c>
      <c r="V4" s="0" t="str">
        <f aca="false">IF(T4&gt;=6,"High Risk",IF(T4&gt;=3,"Medium Risk","Low Risk"))</f>
        <v>Medium Risk</v>
      </c>
    </row>
    <row r="5" customFormat="false" ht="12.8" hidden="false" customHeight="false" outlineLevel="0" collapsed="false">
      <c r="A5" s="1" t="s">
        <v>31</v>
      </c>
      <c r="B5" s="1" t="s">
        <v>23</v>
      </c>
      <c r="C5" s="1" t="s">
        <v>24</v>
      </c>
      <c r="D5" s="1" t="n">
        <v>20.46</v>
      </c>
      <c r="E5" s="1" t="n">
        <v>57</v>
      </c>
      <c r="F5" s="4" t="n">
        <v>43837</v>
      </c>
      <c r="G5" s="1" t="s">
        <v>25</v>
      </c>
      <c r="H5" s="1" t="n">
        <v>0</v>
      </c>
      <c r="I5" s="1" t="n">
        <v>42.4</v>
      </c>
      <c r="J5" s="1" t="n">
        <v>10</v>
      </c>
      <c r="K5" s="1" t="n">
        <v>3</v>
      </c>
      <c r="L5" s="1" t="n">
        <v>1</v>
      </c>
      <c r="M5" s="1" t="n">
        <v>0</v>
      </c>
      <c r="N5" s="1" t="n">
        <v>1166.22</v>
      </c>
      <c r="O5" s="1" t="n">
        <v>0</v>
      </c>
      <c r="Q5" s="4" t="n">
        <v>45572</v>
      </c>
      <c r="R5" s="0" t="n">
        <f aca="false">IF(ISBLANK(F5),"Missing",IFERROR(YEAR(F5),"Missing"))</f>
        <v>2020</v>
      </c>
      <c r="S5" s="0" t="str">
        <f aca="false">IF(ISBLANK(E5),"Missing",IF(E5&lt;6,"0-6mo",IF(E5&lt;12,"6-12mo",IF(E5&lt;24,"12-24mo","24mo+"))))</f>
        <v>24mo+</v>
      </c>
      <c r="T5" s="0" t="n">
        <f aca="false">IF(ISBLANK(C5),0,IF(C5="Month-to-month",2,IF(C5="One year",1,0)))+IF(ISBLANK(I5),0,IF(I5&lt;40,2,IF(I5&lt;55,1,0)))+IF(ISBLANK(M5),0,IF(M5=1,3,0))+IF(ISBLANK(L5),0,IF(L5&gt;=2,1,0))+IF(ISBLANK(E5),0,IF(E5&lt;12,1,0))</f>
        <v>3</v>
      </c>
      <c r="U5" s="0" t="str">
        <f aca="false">IF((ISBLANK(B5)*1+ISBLANK(C5)*1+ISBLANK(D5)*1+ISBLANK(E5)*1+ISBLANK(F5)*1+ISBLANK(I5)*1+ISBLANK(J5)*1+ISBLANK(K5)*1+ISBLANK(L5)*1+ISBLANK(M5)*1+ISBLANK(N5)*1+ISBLANK(O5)*1)&gt;0,"Missing Data","OK")</f>
        <v>OK</v>
      </c>
      <c r="V5" s="0" t="str">
        <f aca="false">IF(T5&gt;=6,"High Risk",IF(T5&gt;=3,"Medium Risk","Low Risk"))</f>
        <v>Medium Risk</v>
      </c>
    </row>
    <row r="6" customFormat="false" ht="12.8" hidden="false" customHeight="false" outlineLevel="0" collapsed="false">
      <c r="A6" s="1" t="s">
        <v>32</v>
      </c>
      <c r="B6" s="1" t="s">
        <v>23</v>
      </c>
      <c r="C6" s="1" t="s">
        <v>24</v>
      </c>
      <c r="D6" s="1" t="n">
        <v>20.96</v>
      </c>
      <c r="E6" s="1" t="n">
        <v>9</v>
      </c>
      <c r="F6" s="4" t="n">
        <v>43837</v>
      </c>
      <c r="G6" s="1" t="s">
        <v>30</v>
      </c>
      <c r="H6" s="1" t="n">
        <v>1</v>
      </c>
      <c r="I6" s="1" t="n">
        <v>54.2</v>
      </c>
      <c r="J6" s="1" t="n">
        <v>17</v>
      </c>
      <c r="K6" s="1" t="n">
        <v>6</v>
      </c>
      <c r="L6" s="1" t="n">
        <v>2</v>
      </c>
      <c r="M6" s="1" t="n">
        <v>1</v>
      </c>
      <c r="N6" s="1" t="n">
        <v>188.64</v>
      </c>
      <c r="O6" s="1" t="n">
        <v>0</v>
      </c>
      <c r="Q6" s="4" t="n">
        <v>44110</v>
      </c>
      <c r="R6" s="0" t="n">
        <f aca="false">IF(ISBLANK(F6),"Missing",IFERROR(YEAR(F6),"Missing"))</f>
        <v>2020</v>
      </c>
      <c r="S6" s="0" t="str">
        <f aca="false">IF(ISBLANK(E6),"Missing",IF(E6&lt;6,"0-6mo",IF(E6&lt;12,"6-12mo",IF(E6&lt;24,"12-24mo","24mo+"))))</f>
        <v>6-12mo</v>
      </c>
      <c r="T6" s="0" t="n">
        <f aca="false">IF(ISBLANK(C6),0,IF(C6="Month-to-month",2,IF(C6="One year",1,0)))+IF(ISBLANK(I6),0,IF(I6&lt;40,2,IF(I6&lt;55,1,0)))+IF(ISBLANK(M6),0,IF(M6=1,3,0))+IF(ISBLANK(L6),0,IF(L6&gt;=2,1,0))+IF(ISBLANK(E6),0,IF(E6&lt;12,1,0))</f>
        <v>8</v>
      </c>
      <c r="U6" s="0" t="str">
        <f aca="false">IF((ISBLANK(B6)*1+ISBLANK(C6)*1+ISBLANK(D6)*1+ISBLANK(E6)*1+ISBLANK(F6)*1+ISBLANK(I6)*1+ISBLANK(J6)*1+ISBLANK(K6)*1+ISBLANK(L6)*1+ISBLANK(M6)*1+ISBLANK(N6)*1+ISBLANK(O6)*1)&gt;0,"Missing Data","OK")</f>
        <v>OK</v>
      </c>
      <c r="V6" s="0" t="str">
        <f aca="false">IF(T6&gt;=6,"High Risk",IF(T6&gt;=3,"Medium Risk","Low Risk"))</f>
        <v>High Risk</v>
      </c>
    </row>
    <row r="7" customFormat="false" ht="12.8" hidden="false" customHeight="false" outlineLevel="0" collapsed="false">
      <c r="A7" s="1" t="s">
        <v>33</v>
      </c>
      <c r="B7" s="1" t="s">
        <v>29</v>
      </c>
      <c r="C7" s="1" t="s">
        <v>34</v>
      </c>
      <c r="D7" s="1" t="n">
        <v>38.61</v>
      </c>
      <c r="E7" s="1" t="n">
        <v>8</v>
      </c>
      <c r="F7" s="4" t="n">
        <v>43839</v>
      </c>
      <c r="G7" s="1" t="s">
        <v>25</v>
      </c>
      <c r="H7" s="1" t="n">
        <v>0</v>
      </c>
      <c r="I7" s="1" t="n">
        <v>45.7</v>
      </c>
      <c r="J7" s="1" t="n">
        <v>14</v>
      </c>
      <c r="K7" s="1" t="n">
        <v>2</v>
      </c>
      <c r="L7" s="1" t="n">
        <v>1</v>
      </c>
      <c r="M7" s="1" t="n">
        <v>1</v>
      </c>
      <c r="N7" s="1" t="n">
        <v>308.88</v>
      </c>
      <c r="O7" s="1" t="n">
        <v>1</v>
      </c>
      <c r="P7" s="4" t="n">
        <v>44082</v>
      </c>
      <c r="Q7" s="4" t="n">
        <v>44082</v>
      </c>
      <c r="R7" s="0" t="n">
        <f aca="false">IF(ISBLANK(F7),"Missing",IFERROR(YEAR(F7),"Missing"))</f>
        <v>2020</v>
      </c>
      <c r="S7" s="0" t="str">
        <f aca="false">IF(ISBLANK(E7),"Missing",IF(E7&lt;6,"0-6mo",IF(E7&lt;12,"6-12mo",IF(E7&lt;24,"12-24mo","24mo+"))))</f>
        <v>6-12mo</v>
      </c>
      <c r="T7" s="0" t="n">
        <f aca="false">IF(ISBLANK(C7),0,IF(C7="Month-to-month",2,IF(C7="One year",1,0)))+IF(ISBLANK(I7),0,IF(I7&lt;40,2,IF(I7&lt;55,1,0)))+IF(ISBLANK(M7),0,IF(M7=1,3,0))+IF(ISBLANK(L7),0,IF(L7&gt;=2,1,0))+IF(ISBLANK(E7),0,IF(E7&lt;12,1,0))</f>
        <v>6</v>
      </c>
      <c r="U7" s="0" t="str">
        <f aca="false">IF((ISBLANK(B7)*1+ISBLANK(C7)*1+ISBLANK(D7)*1+ISBLANK(E7)*1+ISBLANK(F7)*1+ISBLANK(I7)*1+ISBLANK(J7)*1+ISBLANK(K7)*1+ISBLANK(L7)*1+ISBLANK(M7)*1+ISBLANK(N7)*1+ISBLANK(O7)*1)&gt;0,"Missing Data","OK")</f>
        <v>OK</v>
      </c>
      <c r="V7" s="0" t="str">
        <f aca="false">IF(T7&gt;=6,"High Risk",IF(T7&gt;=3,"Medium Risk","Low Risk"))</f>
        <v>High Risk</v>
      </c>
    </row>
    <row r="8" customFormat="false" ht="12.8" hidden="false" customHeight="false" outlineLevel="0" collapsed="false">
      <c r="A8" s="1" t="s">
        <v>35</v>
      </c>
      <c r="B8" s="1" t="s">
        <v>36</v>
      </c>
      <c r="C8" s="1" t="s">
        <v>24</v>
      </c>
      <c r="D8" s="1" t="n">
        <v>9.34</v>
      </c>
      <c r="E8" s="1" t="n">
        <v>72</v>
      </c>
      <c r="F8" s="4" t="n">
        <v>43842</v>
      </c>
      <c r="G8" s="1" t="s">
        <v>30</v>
      </c>
      <c r="H8" s="1" t="n">
        <v>0</v>
      </c>
      <c r="I8" s="1" t="n">
        <v>72.8</v>
      </c>
      <c r="J8" s="1" t="n">
        <v>25</v>
      </c>
      <c r="K8" s="1" t="n">
        <v>8</v>
      </c>
      <c r="L8" s="1" t="n">
        <v>1</v>
      </c>
      <c r="M8" s="1" t="n">
        <v>0</v>
      </c>
      <c r="N8" s="1" t="n">
        <v>672.48</v>
      </c>
      <c r="O8" s="1" t="n">
        <v>0</v>
      </c>
      <c r="Q8" s="4" t="n">
        <v>46033</v>
      </c>
      <c r="R8" s="0" t="n">
        <f aca="false">IF(ISBLANK(F8),"Missing",IFERROR(YEAR(F8),"Missing"))</f>
        <v>2020</v>
      </c>
      <c r="S8" s="0" t="str">
        <f aca="false">IF(ISBLANK(E8),"Missing",IF(E8&lt;6,"0-6mo",IF(E8&lt;12,"6-12mo",IF(E8&lt;24,"12-24mo","24mo+"))))</f>
        <v>24mo+</v>
      </c>
      <c r="T8" s="0" t="n">
        <f aca="false">IF(ISBLANK(C8),0,IF(C8="Month-to-month",2,IF(C8="One year",1,0)))+IF(ISBLANK(I8),0,IF(I8&lt;40,2,IF(I8&lt;55,1,0)))+IF(ISBLANK(M8),0,IF(M8=1,3,0))+IF(ISBLANK(L8),0,IF(L8&gt;=2,1,0))+IF(ISBLANK(E8),0,IF(E8&lt;12,1,0))</f>
        <v>2</v>
      </c>
      <c r="U8" s="0" t="str">
        <f aca="false">IF((ISBLANK(B8)*1+ISBLANK(C8)*1+ISBLANK(D8)*1+ISBLANK(E8)*1+ISBLANK(F8)*1+ISBLANK(I8)*1+ISBLANK(J8)*1+ISBLANK(K8)*1+ISBLANK(L8)*1+ISBLANK(M8)*1+ISBLANK(N8)*1+ISBLANK(O8)*1)&gt;0,"Missing Data","OK")</f>
        <v>OK</v>
      </c>
      <c r="V8" s="0" t="str">
        <f aca="false">IF(T8&gt;=6,"High Risk",IF(T8&gt;=3,"Medium Risk","Low Risk"))</f>
        <v>Low Risk</v>
      </c>
    </row>
    <row r="9" customFormat="false" ht="12.8" hidden="false" customHeight="false" outlineLevel="0" collapsed="false">
      <c r="A9" s="1" t="s">
        <v>37</v>
      </c>
      <c r="B9" s="1" t="s">
        <v>36</v>
      </c>
      <c r="C9" s="1" t="s">
        <v>24</v>
      </c>
      <c r="D9" s="1" t="n">
        <v>10</v>
      </c>
      <c r="E9" s="1" t="n">
        <v>0</v>
      </c>
      <c r="F9" s="4" t="n">
        <v>43843</v>
      </c>
      <c r="G9" s="1" t="s">
        <v>25</v>
      </c>
      <c r="H9" s="1" t="n">
        <v>0</v>
      </c>
      <c r="I9" s="1" t="n">
        <v>33.9</v>
      </c>
      <c r="J9" s="1" t="n">
        <v>9</v>
      </c>
      <c r="K9" s="1" t="n">
        <v>4</v>
      </c>
      <c r="L9" s="1" t="n">
        <v>1</v>
      </c>
      <c r="M9" s="1" t="n">
        <v>0</v>
      </c>
      <c r="N9" s="1" t="n">
        <v>0</v>
      </c>
      <c r="O9" s="1" t="n">
        <v>1</v>
      </c>
      <c r="P9" s="4" t="n">
        <v>43843</v>
      </c>
      <c r="Q9" s="4" t="n">
        <v>43843</v>
      </c>
      <c r="R9" s="0" t="n">
        <f aca="false">IF(ISBLANK(F9),"Missing",IFERROR(YEAR(F9),"Missing"))</f>
        <v>2020</v>
      </c>
      <c r="S9" s="0" t="str">
        <f aca="false">IF(ISBLANK(E9),"Missing",IF(E9&lt;6,"0-6mo",IF(E9&lt;12,"6-12mo",IF(E9&lt;24,"12-24mo","24mo+"))))</f>
        <v>0-6mo</v>
      </c>
      <c r="T9" s="0" t="n">
        <f aca="false">IF(ISBLANK(C9),0,IF(C9="Month-to-month",2,IF(C9="One year",1,0)))+IF(ISBLANK(I9),0,IF(I9&lt;40,2,IF(I9&lt;55,1,0)))+IF(ISBLANK(M9),0,IF(M9=1,3,0))+IF(ISBLANK(L9),0,IF(L9&gt;=2,1,0))+IF(ISBLANK(E9),0,IF(E9&lt;12,1,0))</f>
        <v>5</v>
      </c>
      <c r="U9" s="0" t="str">
        <f aca="false">IF((ISBLANK(B9)*1+ISBLANK(C9)*1+ISBLANK(D9)*1+ISBLANK(E9)*1+ISBLANK(F9)*1+ISBLANK(I9)*1+ISBLANK(J9)*1+ISBLANK(K9)*1+ISBLANK(L9)*1+ISBLANK(M9)*1+ISBLANK(N9)*1+ISBLANK(O9)*1)&gt;0,"Missing Data","OK")</f>
        <v>OK</v>
      </c>
      <c r="V9" s="0" t="str">
        <f aca="false">IF(T9&gt;=6,"High Risk",IF(T9&gt;=3,"Medium Risk","Low Risk"))</f>
        <v>Medium Risk</v>
      </c>
    </row>
    <row r="10" customFormat="false" ht="12.8" hidden="false" customHeight="false" outlineLevel="0" collapsed="false">
      <c r="A10" s="1" t="s">
        <v>38</v>
      </c>
      <c r="B10" s="1" t="s">
        <v>36</v>
      </c>
      <c r="C10" s="1" t="s">
        <v>24</v>
      </c>
      <c r="D10" s="1" t="n">
        <v>9.77</v>
      </c>
      <c r="E10" s="1" t="n">
        <v>72</v>
      </c>
      <c r="F10" s="4" t="n">
        <v>43843</v>
      </c>
      <c r="G10" s="1" t="s">
        <v>39</v>
      </c>
      <c r="H10" s="1" t="n">
        <v>0</v>
      </c>
      <c r="I10" s="1" t="n">
        <v>38.9</v>
      </c>
      <c r="J10" s="1" t="n">
        <v>10</v>
      </c>
      <c r="K10" s="1" t="n">
        <v>4</v>
      </c>
      <c r="L10" s="1" t="n">
        <v>1</v>
      </c>
      <c r="M10" s="1" t="n">
        <v>1</v>
      </c>
      <c r="N10" s="1" t="n">
        <v>703.44</v>
      </c>
      <c r="O10" s="1" t="n">
        <v>0</v>
      </c>
      <c r="Q10" s="4" t="n">
        <v>46034</v>
      </c>
      <c r="R10" s="0" t="n">
        <f aca="false">IF(ISBLANK(F10),"Missing",IFERROR(YEAR(F10),"Missing"))</f>
        <v>2020</v>
      </c>
      <c r="S10" s="0" t="str">
        <f aca="false">IF(ISBLANK(E10),"Missing",IF(E10&lt;6,"0-6mo",IF(E10&lt;12,"6-12mo",IF(E10&lt;24,"12-24mo","24mo+"))))</f>
        <v>24mo+</v>
      </c>
      <c r="T10" s="0" t="n">
        <f aca="false">IF(ISBLANK(C10),0,IF(C10="Month-to-month",2,IF(C10="One year",1,0)))+IF(ISBLANK(I10),0,IF(I10&lt;40,2,IF(I10&lt;55,1,0)))+IF(ISBLANK(M10),0,IF(M10=1,3,0))+IF(ISBLANK(L10),0,IF(L10&gt;=2,1,0))+IF(ISBLANK(E10),0,IF(E10&lt;12,1,0))</f>
        <v>7</v>
      </c>
      <c r="U10" s="0" t="str">
        <f aca="false">IF((ISBLANK(B10)*1+ISBLANK(C10)*1+ISBLANK(D10)*1+ISBLANK(E10)*1+ISBLANK(F10)*1+ISBLANK(I10)*1+ISBLANK(J10)*1+ISBLANK(K10)*1+ISBLANK(L10)*1+ISBLANK(M10)*1+ISBLANK(N10)*1+ISBLANK(O10)*1)&gt;0,"Missing Data","OK")</f>
        <v>OK</v>
      </c>
      <c r="V10" s="0" t="str">
        <f aca="false">IF(T10&gt;=6,"High Risk",IF(T10&gt;=3,"Medium Risk","Low Risk"))</f>
        <v>High Risk</v>
      </c>
    </row>
    <row r="11" customFormat="false" ht="12.8" hidden="false" customHeight="false" outlineLevel="0" collapsed="false">
      <c r="A11" s="1" t="s">
        <v>40</v>
      </c>
      <c r="B11" s="1" t="s">
        <v>23</v>
      </c>
      <c r="C11" s="1" t="s">
        <v>34</v>
      </c>
      <c r="D11" s="1" t="n">
        <v>20.96</v>
      </c>
      <c r="E11" s="1" t="n">
        <v>39</v>
      </c>
      <c r="F11" s="4" t="n">
        <v>43845</v>
      </c>
      <c r="G11" s="1" t="s">
        <v>39</v>
      </c>
      <c r="H11" s="1" t="n">
        <v>1</v>
      </c>
      <c r="I11" s="1" t="n">
        <v>42.3</v>
      </c>
      <c r="J11" s="1" t="n">
        <v>10</v>
      </c>
      <c r="K11" s="1" t="n">
        <v>5</v>
      </c>
      <c r="L11" s="1" t="n">
        <v>1</v>
      </c>
      <c r="M11" s="1" t="n">
        <v>1</v>
      </c>
      <c r="N11" s="1" t="n">
        <v>817.44</v>
      </c>
      <c r="O11" s="1" t="n">
        <v>0</v>
      </c>
      <c r="Q11" s="4" t="n">
        <v>45032</v>
      </c>
      <c r="R11" s="0" t="n">
        <f aca="false">IF(ISBLANK(F11),"Missing",IFERROR(YEAR(F11),"Missing"))</f>
        <v>2020</v>
      </c>
      <c r="S11" s="0" t="str">
        <f aca="false">IF(ISBLANK(E11),"Missing",IF(E11&lt;6,"0-6mo",IF(E11&lt;12,"6-12mo",IF(E11&lt;24,"12-24mo","24mo+"))))</f>
        <v>24mo+</v>
      </c>
      <c r="T11" s="0" t="n">
        <f aca="false">IF(ISBLANK(C11),0,IF(C11="Month-to-month",2,IF(C11="One year",1,0)))+IF(ISBLANK(I11),0,IF(I11&lt;40,2,IF(I11&lt;55,1,0)))+IF(ISBLANK(M11),0,IF(M11=1,3,0))+IF(ISBLANK(L11),0,IF(L11&gt;=2,1,0))+IF(ISBLANK(E11),0,IF(E11&lt;12,1,0))</f>
        <v>5</v>
      </c>
      <c r="U11" s="0" t="str">
        <f aca="false">IF((ISBLANK(B11)*1+ISBLANK(C11)*1+ISBLANK(D11)*1+ISBLANK(E11)*1+ISBLANK(F11)*1+ISBLANK(I11)*1+ISBLANK(J11)*1+ISBLANK(K11)*1+ISBLANK(L11)*1+ISBLANK(M11)*1+ISBLANK(N11)*1+ISBLANK(O11)*1)&gt;0,"Missing Data","OK")</f>
        <v>OK</v>
      </c>
      <c r="V11" s="0" t="str">
        <f aca="false">IF(T11&gt;=6,"High Risk",IF(T11&gt;=3,"Medium Risk","Low Risk"))</f>
        <v>Medium Risk</v>
      </c>
    </row>
    <row r="12" customFormat="false" ht="12.8" hidden="false" customHeight="false" outlineLevel="0" collapsed="false">
      <c r="A12" s="1" t="s">
        <v>41</v>
      </c>
      <c r="B12" s="1" t="s">
        <v>23</v>
      </c>
      <c r="C12" s="1" t="s">
        <v>24</v>
      </c>
      <c r="D12" s="1" t="n">
        <v>20.71</v>
      </c>
      <c r="E12" s="1" t="n">
        <v>35</v>
      </c>
      <c r="F12" s="4" t="n">
        <v>43845</v>
      </c>
      <c r="G12" s="1" t="s">
        <v>25</v>
      </c>
      <c r="H12" s="1" t="n">
        <v>0</v>
      </c>
      <c r="I12" s="1" t="n">
        <v>76.7</v>
      </c>
      <c r="J12" s="1" t="n">
        <v>25</v>
      </c>
      <c r="K12" s="1" t="n">
        <v>6</v>
      </c>
      <c r="L12" s="1" t="n">
        <v>0</v>
      </c>
      <c r="M12" s="1" t="n">
        <v>0</v>
      </c>
      <c r="N12" s="1" t="n">
        <v>724.85</v>
      </c>
      <c r="O12" s="1" t="n">
        <v>0</v>
      </c>
      <c r="Q12" s="4" t="n">
        <v>44910</v>
      </c>
      <c r="R12" s="0" t="n">
        <f aca="false">IF(ISBLANK(F12),"Missing",IFERROR(YEAR(F12),"Missing"))</f>
        <v>2020</v>
      </c>
      <c r="S12" s="0" t="str">
        <f aca="false">IF(ISBLANK(E12),"Missing",IF(E12&lt;6,"0-6mo",IF(E12&lt;12,"6-12mo",IF(E12&lt;24,"12-24mo","24mo+"))))</f>
        <v>24mo+</v>
      </c>
      <c r="T12" s="0" t="n">
        <f aca="false">IF(ISBLANK(C12),0,IF(C12="Month-to-month",2,IF(C12="One year",1,0)))+IF(ISBLANK(I12),0,IF(I12&lt;40,2,IF(I12&lt;55,1,0)))+IF(ISBLANK(M12),0,IF(M12=1,3,0))+IF(ISBLANK(L12),0,IF(L12&gt;=2,1,0))+IF(ISBLANK(E12),0,IF(E12&lt;12,1,0))</f>
        <v>2</v>
      </c>
      <c r="U12" s="0" t="str">
        <f aca="false">IF((ISBLANK(B12)*1+ISBLANK(C12)*1+ISBLANK(D12)*1+ISBLANK(E12)*1+ISBLANK(F12)*1+ISBLANK(I12)*1+ISBLANK(J12)*1+ISBLANK(K12)*1+ISBLANK(L12)*1+ISBLANK(M12)*1+ISBLANK(N12)*1+ISBLANK(O12)*1)&gt;0,"Missing Data","OK")</f>
        <v>OK</v>
      </c>
      <c r="V12" s="0" t="str">
        <f aca="false">IF(T12&gt;=6,"High Risk",IF(T12&gt;=3,"Medium Risk","Low Risk"))</f>
        <v>Low Risk</v>
      </c>
    </row>
    <row r="13" customFormat="false" ht="12.8" hidden="false" customHeight="false" outlineLevel="0" collapsed="false">
      <c r="A13" s="1" t="s">
        <v>42</v>
      </c>
      <c r="B13" s="1" t="s">
        <v>23</v>
      </c>
      <c r="C13" s="1" t="s">
        <v>24</v>
      </c>
      <c r="D13" s="1" t="n">
        <v>20.85</v>
      </c>
      <c r="E13" s="1" t="n">
        <v>19</v>
      </c>
      <c r="F13" s="4" t="n">
        <v>43845</v>
      </c>
      <c r="G13" s="1" t="s">
        <v>25</v>
      </c>
      <c r="H13" s="1" t="n">
        <v>1</v>
      </c>
      <c r="I13" s="1" t="n">
        <v>47.5</v>
      </c>
      <c r="J13" s="1" t="n">
        <v>20</v>
      </c>
      <c r="K13" s="1" t="n">
        <v>6</v>
      </c>
      <c r="L13" s="1" t="n">
        <v>3</v>
      </c>
      <c r="M13" s="1" t="n">
        <v>0</v>
      </c>
      <c r="N13" s="1" t="n">
        <v>396.15</v>
      </c>
      <c r="O13" s="1" t="n">
        <v>0</v>
      </c>
      <c r="Q13" s="4" t="n">
        <v>44423</v>
      </c>
      <c r="R13" s="0" t="n">
        <f aca="false">IF(ISBLANK(F13),"Missing",IFERROR(YEAR(F13),"Missing"))</f>
        <v>2020</v>
      </c>
      <c r="S13" s="0" t="str">
        <f aca="false">IF(ISBLANK(E13),"Missing",IF(E13&lt;6,"0-6mo",IF(E13&lt;12,"6-12mo",IF(E13&lt;24,"12-24mo","24mo+"))))</f>
        <v>12-24mo</v>
      </c>
      <c r="T13" s="0" t="n">
        <f aca="false">IF(ISBLANK(C13),0,IF(C13="Month-to-month",2,IF(C13="One year",1,0)))+IF(ISBLANK(I13),0,IF(I13&lt;40,2,IF(I13&lt;55,1,0)))+IF(ISBLANK(M13),0,IF(M13=1,3,0))+IF(ISBLANK(L13),0,IF(L13&gt;=2,1,0))+IF(ISBLANK(E13),0,IF(E13&lt;12,1,0))</f>
        <v>4</v>
      </c>
      <c r="U13" s="0" t="str">
        <f aca="false">IF((ISBLANK(B13)*1+ISBLANK(C13)*1+ISBLANK(D13)*1+ISBLANK(E13)*1+ISBLANK(F13)*1+ISBLANK(I13)*1+ISBLANK(J13)*1+ISBLANK(K13)*1+ISBLANK(L13)*1+ISBLANK(M13)*1+ISBLANK(N13)*1+ISBLANK(O13)*1)&gt;0,"Missing Data","OK")</f>
        <v>OK</v>
      </c>
      <c r="V13" s="0" t="str">
        <f aca="false">IF(T13&gt;=6,"High Risk",IF(T13&gt;=3,"Medium Risk","Low Risk"))</f>
        <v>Medium Risk</v>
      </c>
    </row>
    <row r="14" customFormat="false" ht="12.8" hidden="false" customHeight="false" outlineLevel="0" collapsed="false">
      <c r="A14" s="1" t="s">
        <v>43</v>
      </c>
      <c r="B14" s="1" t="s">
        <v>29</v>
      </c>
      <c r="C14" s="1" t="s">
        <v>24</v>
      </c>
      <c r="D14" s="1" t="n">
        <v>41.61</v>
      </c>
      <c r="E14" s="1" t="n">
        <v>3</v>
      </c>
      <c r="F14" s="4" t="n">
        <v>43847</v>
      </c>
      <c r="G14" s="1" t="s">
        <v>39</v>
      </c>
      <c r="H14" s="1" t="n">
        <v>1</v>
      </c>
      <c r="I14" s="1" t="n">
        <v>80</v>
      </c>
      <c r="J14" s="1" t="n">
        <v>19</v>
      </c>
      <c r="K14" s="1" t="n">
        <v>8</v>
      </c>
      <c r="L14" s="1" t="n">
        <v>2</v>
      </c>
      <c r="M14" s="1" t="n">
        <v>1</v>
      </c>
      <c r="N14" s="1" t="n">
        <v>124.83</v>
      </c>
      <c r="O14" s="1" t="n">
        <v>1</v>
      </c>
      <c r="P14" s="4" t="n">
        <v>43938</v>
      </c>
      <c r="Q14" s="4" t="n">
        <v>43938</v>
      </c>
      <c r="R14" s="0" t="n">
        <f aca="false">IF(ISBLANK(F14),"Missing",IFERROR(YEAR(F14),"Missing"))</f>
        <v>2020</v>
      </c>
      <c r="S14" s="0" t="str">
        <f aca="false">IF(ISBLANK(E14),"Missing",IF(E14&lt;6,"0-6mo",IF(E14&lt;12,"6-12mo",IF(E14&lt;24,"12-24mo","24mo+"))))</f>
        <v>0-6mo</v>
      </c>
      <c r="T14" s="0" t="n">
        <f aca="false">IF(ISBLANK(C14),0,IF(C14="Month-to-month",2,IF(C14="One year",1,0)))+IF(ISBLANK(I14),0,IF(I14&lt;40,2,IF(I14&lt;55,1,0)))+IF(ISBLANK(M14),0,IF(M14=1,3,0))+IF(ISBLANK(L14),0,IF(L14&gt;=2,1,0))+IF(ISBLANK(E14),0,IF(E14&lt;12,1,0))</f>
        <v>7</v>
      </c>
      <c r="U14" s="0" t="str">
        <f aca="false">IF((ISBLANK(B14)*1+ISBLANK(C14)*1+ISBLANK(D14)*1+ISBLANK(E14)*1+ISBLANK(F14)*1+ISBLANK(I14)*1+ISBLANK(J14)*1+ISBLANK(K14)*1+ISBLANK(L14)*1+ISBLANK(M14)*1+ISBLANK(N14)*1+ISBLANK(O14)*1)&gt;0,"Missing Data","OK")</f>
        <v>OK</v>
      </c>
      <c r="V14" s="0" t="str">
        <f aca="false">IF(T14&gt;=6,"High Risk",IF(T14&gt;=3,"Medium Risk","Low Risk"))</f>
        <v>High Risk</v>
      </c>
    </row>
    <row r="15" customFormat="false" ht="12.8" hidden="false" customHeight="false" outlineLevel="0" collapsed="false">
      <c r="A15" s="1" t="s">
        <v>44</v>
      </c>
      <c r="B15" s="1" t="s">
        <v>23</v>
      </c>
      <c r="C15" s="1" t="s">
        <v>34</v>
      </c>
      <c r="D15" s="1" t="n">
        <v>19.23</v>
      </c>
      <c r="E15" s="1" t="n">
        <v>1</v>
      </c>
      <c r="F15" s="4" t="n">
        <v>43850</v>
      </c>
      <c r="G15" s="1" t="s">
        <v>30</v>
      </c>
      <c r="H15" s="1" t="n">
        <v>1</v>
      </c>
      <c r="I15" s="1" t="n">
        <v>59.1</v>
      </c>
      <c r="J15" s="1" t="n">
        <v>17</v>
      </c>
      <c r="K15" s="1" t="n">
        <v>5</v>
      </c>
      <c r="L15" s="1" t="n">
        <v>1</v>
      </c>
      <c r="M15" s="1" t="n">
        <v>0</v>
      </c>
      <c r="N15" s="1" t="n">
        <v>19.23</v>
      </c>
      <c r="O15" s="1" t="n">
        <v>0</v>
      </c>
      <c r="Q15" s="4" t="n">
        <v>43880</v>
      </c>
      <c r="R15" s="0" t="n">
        <f aca="false">IF(ISBLANK(F15),"Missing",IFERROR(YEAR(F15),"Missing"))</f>
        <v>2020</v>
      </c>
      <c r="S15" s="0" t="str">
        <f aca="false">IF(ISBLANK(E15),"Missing",IF(E15&lt;6,"0-6mo",IF(E15&lt;12,"6-12mo",IF(E15&lt;24,"12-24mo","24mo+"))))</f>
        <v>0-6mo</v>
      </c>
      <c r="T15" s="0" t="n">
        <f aca="false">IF(ISBLANK(C15),0,IF(C15="Month-to-month",2,IF(C15="One year",1,0)))+IF(ISBLANK(I15),0,IF(I15&lt;40,2,IF(I15&lt;55,1,0)))+IF(ISBLANK(M15),0,IF(M15=1,3,0))+IF(ISBLANK(L15),0,IF(L15&gt;=2,1,0))+IF(ISBLANK(E15),0,IF(E15&lt;12,1,0))</f>
        <v>2</v>
      </c>
      <c r="U15" s="0" t="str">
        <f aca="false">IF((ISBLANK(B15)*1+ISBLANK(C15)*1+ISBLANK(D15)*1+ISBLANK(E15)*1+ISBLANK(F15)*1+ISBLANK(I15)*1+ISBLANK(J15)*1+ISBLANK(K15)*1+ISBLANK(L15)*1+ISBLANK(M15)*1+ISBLANK(N15)*1+ISBLANK(O15)*1)&gt;0,"Missing Data","OK")</f>
        <v>OK</v>
      </c>
      <c r="V15" s="0" t="str">
        <f aca="false">IF(T15&gt;=6,"High Risk",IF(T15&gt;=3,"Medium Risk","Low Risk"))</f>
        <v>Low Risk</v>
      </c>
    </row>
    <row r="16" customFormat="false" ht="12.8" hidden="false" customHeight="false" outlineLevel="0" collapsed="false">
      <c r="A16" s="1" t="s">
        <v>45</v>
      </c>
      <c r="B16" s="1" t="s">
        <v>36</v>
      </c>
      <c r="C16" s="1" t="s">
        <v>24</v>
      </c>
      <c r="D16" s="1" t="n">
        <v>10.61</v>
      </c>
      <c r="E16" s="1" t="n">
        <v>19</v>
      </c>
      <c r="F16" s="4" t="n">
        <v>43850</v>
      </c>
      <c r="G16" s="1" t="s">
        <v>25</v>
      </c>
      <c r="H16" s="1" t="n">
        <v>1</v>
      </c>
      <c r="I16" s="1" t="n">
        <v>90.1</v>
      </c>
      <c r="J16" s="1" t="n">
        <v>21</v>
      </c>
      <c r="K16" s="1" t="n">
        <v>10</v>
      </c>
      <c r="L16" s="1" t="n">
        <v>0</v>
      </c>
      <c r="M16" s="1" t="n">
        <v>0</v>
      </c>
      <c r="N16" s="1" t="n">
        <v>201.59</v>
      </c>
      <c r="O16" s="1" t="n">
        <v>0</v>
      </c>
      <c r="Q16" s="4" t="n">
        <v>44428</v>
      </c>
      <c r="R16" s="0" t="n">
        <f aca="false">IF(ISBLANK(F16),"Missing",IFERROR(YEAR(F16),"Missing"))</f>
        <v>2020</v>
      </c>
      <c r="S16" s="0" t="str">
        <f aca="false">IF(ISBLANK(E16),"Missing",IF(E16&lt;6,"0-6mo",IF(E16&lt;12,"6-12mo",IF(E16&lt;24,"12-24mo","24mo+"))))</f>
        <v>12-24mo</v>
      </c>
      <c r="T16" s="0" t="n">
        <f aca="false">IF(ISBLANK(C16),0,IF(C16="Month-to-month",2,IF(C16="One year",1,0)))+IF(ISBLANK(I16),0,IF(I16&lt;40,2,IF(I16&lt;55,1,0)))+IF(ISBLANK(M16),0,IF(M16=1,3,0))+IF(ISBLANK(L16),0,IF(L16&gt;=2,1,0))+IF(ISBLANK(E16),0,IF(E16&lt;12,1,0))</f>
        <v>2</v>
      </c>
      <c r="U16" s="0" t="str">
        <f aca="false">IF((ISBLANK(B16)*1+ISBLANK(C16)*1+ISBLANK(D16)*1+ISBLANK(E16)*1+ISBLANK(F16)*1+ISBLANK(I16)*1+ISBLANK(J16)*1+ISBLANK(K16)*1+ISBLANK(L16)*1+ISBLANK(M16)*1+ISBLANK(N16)*1+ISBLANK(O16)*1)&gt;0,"Missing Data","OK")</f>
        <v>OK</v>
      </c>
      <c r="V16" s="0" t="str">
        <f aca="false">IF(T16&gt;=6,"High Risk",IF(T16&gt;=3,"Medium Risk","Low Risk"))</f>
        <v>Low Risk</v>
      </c>
    </row>
    <row r="17" customFormat="false" ht="12.8" hidden="false" customHeight="false" outlineLevel="0" collapsed="false">
      <c r="A17" s="1" t="s">
        <v>46</v>
      </c>
      <c r="B17" s="1" t="s">
        <v>36</v>
      </c>
      <c r="C17" s="1" t="s">
        <v>24</v>
      </c>
      <c r="D17" s="1" t="n">
        <v>9.1</v>
      </c>
      <c r="E17" s="1" t="n">
        <v>18</v>
      </c>
      <c r="F17" s="4" t="n">
        <v>43850</v>
      </c>
      <c r="G17" s="1" t="s">
        <v>30</v>
      </c>
      <c r="H17" s="1" t="n">
        <v>0</v>
      </c>
      <c r="I17" s="1" t="n">
        <v>88.9</v>
      </c>
      <c r="J17" s="1" t="n">
        <v>30</v>
      </c>
      <c r="K17" s="1" t="n">
        <v>10</v>
      </c>
      <c r="L17" s="1" t="n">
        <v>0</v>
      </c>
      <c r="M17" s="1" t="n">
        <v>0</v>
      </c>
      <c r="N17" s="1" t="n">
        <v>163.8</v>
      </c>
      <c r="O17" s="1" t="n">
        <v>1</v>
      </c>
      <c r="P17" s="4" t="n">
        <v>44397</v>
      </c>
      <c r="Q17" s="4" t="n">
        <v>44397</v>
      </c>
      <c r="R17" s="0" t="n">
        <f aca="false">IF(ISBLANK(F17),"Missing",IFERROR(YEAR(F17),"Missing"))</f>
        <v>2020</v>
      </c>
      <c r="S17" s="0" t="str">
        <f aca="false">IF(ISBLANK(E17),"Missing",IF(E17&lt;6,"0-6mo",IF(E17&lt;12,"6-12mo",IF(E17&lt;24,"12-24mo","24mo+"))))</f>
        <v>12-24mo</v>
      </c>
      <c r="T17" s="0" t="n">
        <f aca="false">IF(ISBLANK(C17),0,IF(C17="Month-to-month",2,IF(C17="One year",1,0)))+IF(ISBLANK(I17),0,IF(I17&lt;40,2,IF(I17&lt;55,1,0)))+IF(ISBLANK(M17),0,IF(M17=1,3,0))+IF(ISBLANK(L17),0,IF(L17&gt;=2,1,0))+IF(ISBLANK(E17),0,IF(E17&lt;12,1,0))</f>
        <v>2</v>
      </c>
      <c r="U17" s="0" t="str">
        <f aca="false">IF((ISBLANK(B17)*1+ISBLANK(C17)*1+ISBLANK(D17)*1+ISBLANK(E17)*1+ISBLANK(F17)*1+ISBLANK(I17)*1+ISBLANK(J17)*1+ISBLANK(K17)*1+ISBLANK(L17)*1+ISBLANK(M17)*1+ISBLANK(N17)*1+ISBLANK(O17)*1)&gt;0,"Missing Data","OK")</f>
        <v>OK</v>
      </c>
      <c r="V17" s="0" t="str">
        <f aca="false">IF(T17&gt;=6,"High Risk",IF(T17&gt;=3,"Medium Risk","Low Risk"))</f>
        <v>Low Risk</v>
      </c>
    </row>
    <row r="18" customFormat="false" ht="12.8" hidden="false" customHeight="false" outlineLevel="0" collapsed="false">
      <c r="A18" s="1" t="s">
        <v>47</v>
      </c>
      <c r="B18" s="1" t="s">
        <v>36</v>
      </c>
      <c r="C18" s="1" t="s">
        <v>24</v>
      </c>
      <c r="D18" s="1" t="n">
        <v>10.72</v>
      </c>
      <c r="E18" s="1" t="n">
        <v>25</v>
      </c>
      <c r="F18" s="4" t="n">
        <v>43851</v>
      </c>
      <c r="G18" s="1" t="s">
        <v>39</v>
      </c>
      <c r="H18" s="1" t="n">
        <v>1</v>
      </c>
      <c r="I18" s="1" t="n">
        <v>61.2</v>
      </c>
      <c r="J18" s="1" t="n">
        <v>17</v>
      </c>
      <c r="K18" s="1" t="n">
        <v>6</v>
      </c>
      <c r="L18" s="1" t="n">
        <v>0</v>
      </c>
      <c r="M18" s="1" t="n">
        <v>0</v>
      </c>
      <c r="N18" s="1" t="n">
        <v>268</v>
      </c>
      <c r="O18" s="1" t="n">
        <v>0</v>
      </c>
      <c r="Q18" s="4" t="n">
        <v>44612</v>
      </c>
      <c r="R18" s="0" t="n">
        <f aca="false">IF(ISBLANK(F18),"Missing",IFERROR(YEAR(F18),"Missing"))</f>
        <v>2020</v>
      </c>
      <c r="S18" s="0" t="str">
        <f aca="false">IF(ISBLANK(E18),"Missing",IF(E18&lt;6,"0-6mo",IF(E18&lt;12,"6-12mo",IF(E18&lt;24,"12-24mo","24mo+"))))</f>
        <v>24mo+</v>
      </c>
      <c r="T18" s="0" t="n">
        <f aca="false">IF(ISBLANK(C18),0,IF(C18="Month-to-month",2,IF(C18="One year",1,0)))+IF(ISBLANK(I18),0,IF(I18&lt;40,2,IF(I18&lt;55,1,0)))+IF(ISBLANK(M18),0,IF(M18=1,3,0))+IF(ISBLANK(L18),0,IF(L18&gt;=2,1,0))+IF(ISBLANK(E18),0,IF(E18&lt;12,1,0))</f>
        <v>2</v>
      </c>
      <c r="U18" s="0" t="str">
        <f aca="false">IF((ISBLANK(B18)*1+ISBLANK(C18)*1+ISBLANK(D18)*1+ISBLANK(E18)*1+ISBLANK(F18)*1+ISBLANK(I18)*1+ISBLANK(J18)*1+ISBLANK(K18)*1+ISBLANK(L18)*1+ISBLANK(M18)*1+ISBLANK(N18)*1+ISBLANK(O18)*1)&gt;0,"Missing Data","OK")</f>
        <v>OK</v>
      </c>
      <c r="V18" s="0" t="str">
        <f aca="false">IF(T18&gt;=6,"High Risk",IF(T18&gt;=3,"Medium Risk","Low Risk"))</f>
        <v>Low Risk</v>
      </c>
    </row>
    <row r="19" customFormat="false" ht="12.8" hidden="false" customHeight="false" outlineLevel="0" collapsed="false">
      <c r="A19" s="1" t="s">
        <v>48</v>
      </c>
      <c r="B19" s="1" t="s">
        <v>23</v>
      </c>
      <c r="C19" s="1" t="s">
        <v>24</v>
      </c>
      <c r="D19" s="1" t="n">
        <v>18.86</v>
      </c>
      <c r="E19" s="1" t="n">
        <v>6</v>
      </c>
      <c r="F19" s="4" t="n">
        <v>43853</v>
      </c>
      <c r="G19" s="1" t="s">
        <v>25</v>
      </c>
      <c r="H19" s="1" t="n">
        <v>1</v>
      </c>
      <c r="I19" s="1" t="n">
        <v>73</v>
      </c>
      <c r="J19" s="1" t="n">
        <v>31</v>
      </c>
      <c r="K19" s="1" t="n">
        <v>6</v>
      </c>
      <c r="L19" s="1" t="n">
        <v>0</v>
      </c>
      <c r="M19" s="1" t="n">
        <v>0</v>
      </c>
      <c r="N19" s="1" t="n">
        <v>113.16</v>
      </c>
      <c r="O19" s="1" t="n">
        <v>0</v>
      </c>
      <c r="Q19" s="4" t="n">
        <v>44035</v>
      </c>
      <c r="R19" s="0" t="n">
        <f aca="false">IF(ISBLANK(F19),"Missing",IFERROR(YEAR(F19),"Missing"))</f>
        <v>2020</v>
      </c>
      <c r="S19" s="0" t="str">
        <f aca="false">IF(ISBLANK(E19),"Missing",IF(E19&lt;6,"0-6mo",IF(E19&lt;12,"6-12mo",IF(E19&lt;24,"12-24mo","24mo+"))))</f>
        <v>6-12mo</v>
      </c>
      <c r="T19" s="0" t="n">
        <f aca="false">IF(ISBLANK(C19),0,IF(C19="Month-to-month",2,IF(C19="One year",1,0)))+IF(ISBLANK(I19),0,IF(I19&lt;40,2,IF(I19&lt;55,1,0)))+IF(ISBLANK(M19),0,IF(M19=1,3,0))+IF(ISBLANK(L19),0,IF(L19&gt;=2,1,0))+IF(ISBLANK(E19),0,IF(E19&lt;12,1,0))</f>
        <v>3</v>
      </c>
      <c r="U19" s="0" t="str">
        <f aca="false">IF((ISBLANK(B19)*1+ISBLANK(C19)*1+ISBLANK(D19)*1+ISBLANK(E19)*1+ISBLANK(F19)*1+ISBLANK(I19)*1+ISBLANK(J19)*1+ISBLANK(K19)*1+ISBLANK(L19)*1+ISBLANK(M19)*1+ISBLANK(N19)*1+ISBLANK(O19)*1)&gt;0,"Missing Data","OK")</f>
        <v>OK</v>
      </c>
      <c r="V19" s="0" t="str">
        <f aca="false">IF(T19&gt;=6,"High Risk",IF(T19&gt;=3,"Medium Risk","Low Risk"))</f>
        <v>Medium Risk</v>
      </c>
    </row>
    <row r="20" customFormat="false" ht="12.8" hidden="false" customHeight="false" outlineLevel="0" collapsed="false">
      <c r="A20" s="1" t="s">
        <v>49</v>
      </c>
      <c r="B20" s="1" t="s">
        <v>36</v>
      </c>
      <c r="C20" s="1" t="s">
        <v>34</v>
      </c>
      <c r="D20" s="1" t="n">
        <v>9.06</v>
      </c>
      <c r="E20" s="1" t="n">
        <v>7</v>
      </c>
      <c r="F20" s="4" t="n">
        <v>43853</v>
      </c>
      <c r="G20" s="1" t="s">
        <v>25</v>
      </c>
      <c r="H20" s="1" t="n">
        <v>1</v>
      </c>
      <c r="I20" s="1" t="n">
        <v>64.7</v>
      </c>
      <c r="J20" s="1" t="n">
        <v>22</v>
      </c>
      <c r="K20" s="1" t="n">
        <v>5</v>
      </c>
      <c r="L20" s="1" t="n">
        <v>0</v>
      </c>
      <c r="M20" s="1" t="n">
        <v>0</v>
      </c>
      <c r="N20" s="1" t="n">
        <v>63.42</v>
      </c>
      <c r="O20" s="1" t="n">
        <v>0</v>
      </c>
      <c r="Q20" s="4" t="n">
        <v>44066</v>
      </c>
      <c r="R20" s="0" t="n">
        <f aca="false">IF(ISBLANK(F20),"Missing",IFERROR(YEAR(F20),"Missing"))</f>
        <v>2020</v>
      </c>
      <c r="S20" s="0" t="str">
        <f aca="false">IF(ISBLANK(E20),"Missing",IF(E20&lt;6,"0-6mo",IF(E20&lt;12,"6-12mo",IF(E20&lt;24,"12-24mo","24mo+"))))</f>
        <v>6-12mo</v>
      </c>
      <c r="T20" s="0" t="n">
        <f aca="false">IF(ISBLANK(C20),0,IF(C20="Month-to-month",2,IF(C20="One year",1,0)))+IF(ISBLANK(I20),0,IF(I20&lt;40,2,IF(I20&lt;55,1,0)))+IF(ISBLANK(M20),0,IF(M20=1,3,0))+IF(ISBLANK(L20),0,IF(L20&gt;=2,1,0))+IF(ISBLANK(E20),0,IF(E20&lt;12,1,0))</f>
        <v>2</v>
      </c>
      <c r="U20" s="0" t="str">
        <f aca="false">IF((ISBLANK(B20)*1+ISBLANK(C20)*1+ISBLANK(D20)*1+ISBLANK(E20)*1+ISBLANK(F20)*1+ISBLANK(I20)*1+ISBLANK(J20)*1+ISBLANK(K20)*1+ISBLANK(L20)*1+ISBLANK(M20)*1+ISBLANK(N20)*1+ISBLANK(O20)*1)&gt;0,"Missing Data","OK")</f>
        <v>OK</v>
      </c>
      <c r="V20" s="0" t="str">
        <f aca="false">IF(T20&gt;=6,"High Risk",IF(T20&gt;=3,"Medium Risk","Low Risk"))</f>
        <v>Low Risk</v>
      </c>
    </row>
    <row r="21" customFormat="false" ht="12.8" hidden="false" customHeight="false" outlineLevel="0" collapsed="false">
      <c r="A21" s="1" t="s">
        <v>50</v>
      </c>
      <c r="B21" s="1" t="s">
        <v>29</v>
      </c>
      <c r="C21" s="1" t="s">
        <v>51</v>
      </c>
      <c r="D21" s="1" t="n">
        <v>38.37</v>
      </c>
      <c r="E21" s="1" t="n">
        <v>5</v>
      </c>
      <c r="F21" s="4" t="n">
        <v>43861</v>
      </c>
      <c r="G21" s="1" t="s">
        <v>30</v>
      </c>
      <c r="H21" s="1" t="n">
        <v>1</v>
      </c>
      <c r="I21" s="1" t="n">
        <v>71.4</v>
      </c>
      <c r="J21" s="1" t="n">
        <v>23</v>
      </c>
      <c r="K21" s="1" t="n">
        <v>10</v>
      </c>
      <c r="L21" s="1" t="n">
        <v>2</v>
      </c>
      <c r="M21" s="1" t="n">
        <v>0</v>
      </c>
      <c r="N21" s="1" t="n">
        <v>191.85</v>
      </c>
      <c r="O21" s="1" t="n">
        <v>0</v>
      </c>
      <c r="Q21" s="4" t="n">
        <v>44013</v>
      </c>
      <c r="R21" s="0" t="n">
        <f aca="false">IF(ISBLANK(F21),"Missing",IFERROR(YEAR(F21),"Missing"))</f>
        <v>2020</v>
      </c>
      <c r="S21" s="0" t="str">
        <f aca="false">IF(ISBLANK(E21),"Missing",IF(E21&lt;6,"0-6mo",IF(E21&lt;12,"6-12mo",IF(E21&lt;24,"12-24mo","24mo+"))))</f>
        <v>0-6mo</v>
      </c>
      <c r="T21" s="0" t="n">
        <f aca="false">IF(ISBLANK(C21),0,IF(C21="Month-to-month",2,IF(C21="One year",1,0)))+IF(ISBLANK(I21),0,IF(I21&lt;40,2,IF(I21&lt;55,1,0)))+IF(ISBLANK(M21),0,IF(M21=1,3,0))+IF(ISBLANK(L21),0,IF(L21&gt;=2,1,0))+IF(ISBLANK(E21),0,IF(E21&lt;12,1,0))</f>
        <v>2</v>
      </c>
      <c r="U21" s="0" t="str">
        <f aca="false">IF((ISBLANK(B21)*1+ISBLANK(C21)*1+ISBLANK(D21)*1+ISBLANK(E21)*1+ISBLANK(F21)*1+ISBLANK(I21)*1+ISBLANK(J21)*1+ISBLANK(K21)*1+ISBLANK(L21)*1+ISBLANK(M21)*1+ISBLANK(N21)*1+ISBLANK(O21)*1)&gt;0,"Missing Data","OK")</f>
        <v>OK</v>
      </c>
      <c r="V21" s="0" t="str">
        <f aca="false">IF(T21&gt;=6,"High Risk",IF(T21&gt;=3,"Medium Risk","Low Risk"))</f>
        <v>Low Risk</v>
      </c>
    </row>
    <row r="22" customFormat="false" ht="12.8" hidden="false" customHeight="false" outlineLevel="0" collapsed="false">
      <c r="A22" s="1" t="s">
        <v>52</v>
      </c>
      <c r="B22" s="1" t="s">
        <v>36</v>
      </c>
      <c r="C22" s="1" t="s">
        <v>24</v>
      </c>
      <c r="D22" s="1" t="n">
        <v>10.27</v>
      </c>
      <c r="E22" s="1" t="n">
        <v>46</v>
      </c>
      <c r="F22" s="4" t="n">
        <v>43864</v>
      </c>
      <c r="G22" s="1" t="s">
        <v>25</v>
      </c>
      <c r="H22" s="1" t="n">
        <v>1</v>
      </c>
      <c r="I22" s="1" t="n">
        <v>28.1</v>
      </c>
      <c r="J22" s="1" t="n">
        <v>18</v>
      </c>
      <c r="K22" s="1" t="n">
        <v>1</v>
      </c>
      <c r="L22" s="1" t="n">
        <v>3</v>
      </c>
      <c r="M22" s="1" t="n">
        <v>0</v>
      </c>
      <c r="N22" s="1" t="n">
        <v>472.42</v>
      </c>
      <c r="O22" s="1" t="n">
        <v>0</v>
      </c>
      <c r="Q22" s="4" t="n">
        <v>45264</v>
      </c>
      <c r="R22" s="0" t="n">
        <f aca="false">IF(ISBLANK(F22),"Missing",IFERROR(YEAR(F22),"Missing"))</f>
        <v>2020</v>
      </c>
      <c r="S22" s="0" t="str">
        <f aca="false">IF(ISBLANK(E22),"Missing",IF(E22&lt;6,"0-6mo",IF(E22&lt;12,"6-12mo",IF(E22&lt;24,"12-24mo","24mo+"))))</f>
        <v>24mo+</v>
      </c>
      <c r="T22" s="0" t="n">
        <f aca="false">IF(ISBLANK(C22),0,IF(C22="Month-to-month",2,IF(C22="One year",1,0)))+IF(ISBLANK(I22),0,IF(I22&lt;40,2,IF(I22&lt;55,1,0)))+IF(ISBLANK(M22),0,IF(M22=1,3,0))+IF(ISBLANK(L22),0,IF(L22&gt;=2,1,0))+IF(ISBLANK(E22),0,IF(E22&lt;12,1,0))</f>
        <v>5</v>
      </c>
      <c r="U22" s="0" t="str">
        <f aca="false">IF((ISBLANK(B22)*1+ISBLANK(C22)*1+ISBLANK(D22)*1+ISBLANK(E22)*1+ISBLANK(F22)*1+ISBLANK(I22)*1+ISBLANK(J22)*1+ISBLANK(K22)*1+ISBLANK(L22)*1+ISBLANK(M22)*1+ISBLANK(N22)*1+ISBLANK(O22)*1)&gt;0,"Missing Data","OK")</f>
        <v>OK</v>
      </c>
      <c r="V22" s="0" t="str">
        <f aca="false">IF(T22&gt;=6,"High Risk",IF(T22&gt;=3,"Medium Risk","Low Risk"))</f>
        <v>Medium Risk</v>
      </c>
    </row>
    <row r="23" customFormat="false" ht="12.8" hidden="false" customHeight="false" outlineLevel="0" collapsed="false">
      <c r="A23" s="1" t="s">
        <v>53</v>
      </c>
      <c r="B23" s="1" t="s">
        <v>36</v>
      </c>
      <c r="C23" s="1" t="s">
        <v>24</v>
      </c>
      <c r="D23" s="1" t="n">
        <v>9.11</v>
      </c>
      <c r="E23" s="1" t="n">
        <v>16</v>
      </c>
      <c r="F23" s="4" t="n">
        <v>43865</v>
      </c>
      <c r="G23" s="1" t="s">
        <v>30</v>
      </c>
      <c r="H23" s="1" t="n">
        <v>1</v>
      </c>
      <c r="I23" s="1" t="n">
        <v>58.6</v>
      </c>
      <c r="J23" s="1" t="n">
        <v>21</v>
      </c>
      <c r="K23" s="1" t="n">
        <v>8</v>
      </c>
      <c r="L23" s="1" t="n">
        <v>2</v>
      </c>
      <c r="M23" s="1" t="n">
        <v>1</v>
      </c>
      <c r="N23" s="1" t="n">
        <v>145.76</v>
      </c>
      <c r="O23" s="1" t="n">
        <v>0</v>
      </c>
      <c r="Q23" s="4" t="n">
        <v>44352</v>
      </c>
      <c r="R23" s="0" t="n">
        <f aca="false">IF(ISBLANK(F23),"Missing",IFERROR(YEAR(F23),"Missing"))</f>
        <v>2020</v>
      </c>
      <c r="S23" s="0" t="str">
        <f aca="false">IF(ISBLANK(E23),"Missing",IF(E23&lt;6,"0-6mo",IF(E23&lt;12,"6-12mo",IF(E23&lt;24,"12-24mo","24mo+"))))</f>
        <v>12-24mo</v>
      </c>
      <c r="T23" s="0" t="n">
        <f aca="false">IF(ISBLANK(C23),0,IF(C23="Month-to-month",2,IF(C23="One year",1,0)))+IF(ISBLANK(I23),0,IF(I23&lt;40,2,IF(I23&lt;55,1,0)))+IF(ISBLANK(M23),0,IF(M23=1,3,0))+IF(ISBLANK(L23),0,IF(L23&gt;=2,1,0))+IF(ISBLANK(E23),0,IF(E23&lt;12,1,0))</f>
        <v>6</v>
      </c>
      <c r="U23" s="0" t="str">
        <f aca="false">IF((ISBLANK(B23)*1+ISBLANK(C23)*1+ISBLANK(D23)*1+ISBLANK(E23)*1+ISBLANK(F23)*1+ISBLANK(I23)*1+ISBLANK(J23)*1+ISBLANK(K23)*1+ISBLANK(L23)*1+ISBLANK(M23)*1+ISBLANK(N23)*1+ISBLANK(O23)*1)&gt;0,"Missing Data","OK")</f>
        <v>OK</v>
      </c>
      <c r="V23" s="0" t="str">
        <f aca="false">IF(T23&gt;=6,"High Risk",IF(T23&gt;=3,"Medium Risk","Low Risk"))</f>
        <v>High Risk</v>
      </c>
    </row>
    <row r="24" customFormat="false" ht="12.8" hidden="false" customHeight="false" outlineLevel="0" collapsed="false">
      <c r="A24" s="1" t="s">
        <v>54</v>
      </c>
      <c r="B24" s="1" t="s">
        <v>23</v>
      </c>
      <c r="C24" s="1" t="s">
        <v>24</v>
      </c>
      <c r="D24" s="1" t="n">
        <v>20.08</v>
      </c>
      <c r="E24" s="1" t="n">
        <v>38</v>
      </c>
      <c r="F24" s="4" t="n">
        <v>43865</v>
      </c>
      <c r="G24" s="1" t="s">
        <v>30</v>
      </c>
      <c r="H24" s="1" t="n">
        <v>1</v>
      </c>
      <c r="I24" s="1" t="n">
        <v>81.3</v>
      </c>
      <c r="J24" s="1" t="n">
        <v>25</v>
      </c>
      <c r="K24" s="1" t="n">
        <v>7</v>
      </c>
      <c r="L24" s="1" t="n">
        <v>1</v>
      </c>
      <c r="M24" s="1" t="n">
        <v>0</v>
      </c>
      <c r="N24" s="1" t="n">
        <v>763.04</v>
      </c>
      <c r="O24" s="1" t="n">
        <v>0</v>
      </c>
      <c r="Q24" s="4" t="n">
        <v>45021</v>
      </c>
      <c r="R24" s="0" t="n">
        <f aca="false">IF(ISBLANK(F24),"Missing",IFERROR(YEAR(F24),"Missing"))</f>
        <v>2020</v>
      </c>
      <c r="S24" s="0" t="str">
        <f aca="false">IF(ISBLANK(E24),"Missing",IF(E24&lt;6,"0-6mo",IF(E24&lt;12,"6-12mo",IF(E24&lt;24,"12-24mo","24mo+"))))</f>
        <v>24mo+</v>
      </c>
      <c r="T24" s="0" t="n">
        <f aca="false">IF(ISBLANK(C24),0,IF(C24="Month-to-month",2,IF(C24="One year",1,0)))+IF(ISBLANK(I24),0,IF(I24&lt;40,2,IF(I24&lt;55,1,0)))+IF(ISBLANK(M24),0,IF(M24=1,3,0))+IF(ISBLANK(L24),0,IF(L24&gt;=2,1,0))+IF(ISBLANK(E24),0,IF(E24&lt;12,1,0))</f>
        <v>2</v>
      </c>
      <c r="U24" s="0" t="str">
        <f aca="false">IF((ISBLANK(B24)*1+ISBLANK(C24)*1+ISBLANK(D24)*1+ISBLANK(E24)*1+ISBLANK(F24)*1+ISBLANK(I24)*1+ISBLANK(J24)*1+ISBLANK(K24)*1+ISBLANK(L24)*1+ISBLANK(M24)*1+ISBLANK(N24)*1+ISBLANK(O24)*1)&gt;0,"Missing Data","OK")</f>
        <v>OK</v>
      </c>
      <c r="V24" s="0" t="str">
        <f aca="false">IF(T24&gt;=6,"High Risk",IF(T24&gt;=3,"Medium Risk","Low Risk"))</f>
        <v>Low Risk</v>
      </c>
    </row>
    <row r="25" customFormat="false" ht="12.8" hidden="false" customHeight="false" outlineLevel="0" collapsed="false">
      <c r="A25" s="1" t="s">
        <v>55</v>
      </c>
      <c r="B25" s="1" t="s">
        <v>29</v>
      </c>
      <c r="C25" s="1" t="s">
        <v>34</v>
      </c>
      <c r="D25" s="1" t="n">
        <v>39.27</v>
      </c>
      <c r="E25" s="1" t="n">
        <v>14</v>
      </c>
      <c r="F25" s="4" t="n">
        <v>43866</v>
      </c>
      <c r="G25" s="1" t="s">
        <v>25</v>
      </c>
      <c r="H25" s="1" t="n">
        <v>1</v>
      </c>
      <c r="I25" s="1" t="n">
        <v>90.3</v>
      </c>
      <c r="J25" s="1" t="n">
        <v>33</v>
      </c>
      <c r="K25" s="1" t="n">
        <v>9</v>
      </c>
      <c r="L25" s="1" t="n">
        <v>1</v>
      </c>
      <c r="M25" s="1" t="n">
        <v>0</v>
      </c>
      <c r="N25" s="1" t="n">
        <v>549.78</v>
      </c>
      <c r="O25" s="1" t="n">
        <v>0</v>
      </c>
      <c r="Q25" s="4" t="n">
        <v>44292</v>
      </c>
      <c r="R25" s="0" t="n">
        <f aca="false">IF(ISBLANK(F25),"Missing",IFERROR(YEAR(F25),"Missing"))</f>
        <v>2020</v>
      </c>
      <c r="S25" s="0" t="str">
        <f aca="false">IF(ISBLANK(E25),"Missing",IF(E25&lt;6,"0-6mo",IF(E25&lt;12,"6-12mo",IF(E25&lt;24,"12-24mo","24mo+"))))</f>
        <v>12-24mo</v>
      </c>
      <c r="T25" s="0" t="n">
        <f aca="false">IF(ISBLANK(C25),0,IF(C25="Month-to-month",2,IF(C25="One year",1,0)))+IF(ISBLANK(I25),0,IF(I25&lt;40,2,IF(I25&lt;55,1,0)))+IF(ISBLANK(M25),0,IF(M25=1,3,0))+IF(ISBLANK(L25),0,IF(L25&gt;=2,1,0))+IF(ISBLANK(E25),0,IF(E25&lt;12,1,0))</f>
        <v>1</v>
      </c>
      <c r="U25" s="0" t="str">
        <f aca="false">IF((ISBLANK(B25)*1+ISBLANK(C25)*1+ISBLANK(D25)*1+ISBLANK(E25)*1+ISBLANK(F25)*1+ISBLANK(I25)*1+ISBLANK(J25)*1+ISBLANK(K25)*1+ISBLANK(L25)*1+ISBLANK(M25)*1+ISBLANK(N25)*1+ISBLANK(O25)*1)&gt;0,"Missing Data","OK")</f>
        <v>OK</v>
      </c>
      <c r="V25" s="0" t="str">
        <f aca="false">IF(T25&gt;=6,"High Risk",IF(T25&gt;=3,"Medium Risk","Low Risk"))</f>
        <v>Low Risk</v>
      </c>
    </row>
    <row r="26" customFormat="false" ht="12.8" hidden="false" customHeight="false" outlineLevel="0" collapsed="false">
      <c r="A26" s="1" t="s">
        <v>56</v>
      </c>
      <c r="B26" s="1" t="s">
        <v>29</v>
      </c>
      <c r="C26" s="1" t="s">
        <v>34</v>
      </c>
      <c r="D26" s="1" t="n">
        <v>40.21</v>
      </c>
      <c r="E26" s="1" t="n">
        <v>8</v>
      </c>
      <c r="F26" s="4" t="n">
        <v>43868</v>
      </c>
      <c r="G26" s="1" t="s">
        <v>30</v>
      </c>
      <c r="H26" s="1" t="n">
        <v>0</v>
      </c>
      <c r="I26" s="1" t="n">
        <v>77.4</v>
      </c>
      <c r="J26" s="1" t="n">
        <v>11</v>
      </c>
      <c r="K26" s="1" t="n">
        <v>6</v>
      </c>
      <c r="L26" s="1" t="n">
        <v>0</v>
      </c>
      <c r="M26" s="1" t="n">
        <v>0</v>
      </c>
      <c r="N26" s="1" t="n">
        <v>321.68</v>
      </c>
      <c r="O26" s="1" t="n">
        <v>0</v>
      </c>
      <c r="Q26" s="4" t="n">
        <v>44111</v>
      </c>
      <c r="R26" s="0" t="n">
        <f aca="false">IF(ISBLANK(F26),"Missing",IFERROR(YEAR(F26),"Missing"))</f>
        <v>2020</v>
      </c>
      <c r="S26" s="0" t="str">
        <f aca="false">IF(ISBLANK(E26),"Missing",IF(E26&lt;6,"0-6mo",IF(E26&lt;12,"6-12mo",IF(E26&lt;24,"12-24mo","24mo+"))))</f>
        <v>6-12mo</v>
      </c>
      <c r="T26" s="0" t="n">
        <f aca="false">IF(ISBLANK(C26),0,IF(C26="Month-to-month",2,IF(C26="One year",1,0)))+IF(ISBLANK(I26),0,IF(I26&lt;40,2,IF(I26&lt;55,1,0)))+IF(ISBLANK(M26),0,IF(M26=1,3,0))+IF(ISBLANK(L26),0,IF(L26&gt;=2,1,0))+IF(ISBLANK(E26),0,IF(E26&lt;12,1,0))</f>
        <v>2</v>
      </c>
      <c r="U26" s="0" t="str">
        <f aca="false">IF((ISBLANK(B26)*1+ISBLANK(C26)*1+ISBLANK(D26)*1+ISBLANK(E26)*1+ISBLANK(F26)*1+ISBLANK(I26)*1+ISBLANK(J26)*1+ISBLANK(K26)*1+ISBLANK(L26)*1+ISBLANK(M26)*1+ISBLANK(N26)*1+ISBLANK(O26)*1)&gt;0,"Missing Data","OK")</f>
        <v>OK</v>
      </c>
      <c r="V26" s="0" t="str">
        <f aca="false">IF(T26&gt;=6,"High Risk",IF(T26&gt;=3,"Medium Risk","Low Risk"))</f>
        <v>Low Risk</v>
      </c>
    </row>
    <row r="27" customFormat="false" ht="12.8" hidden="false" customHeight="false" outlineLevel="0" collapsed="false">
      <c r="A27" s="1" t="s">
        <v>57</v>
      </c>
      <c r="B27" s="1" t="s">
        <v>36</v>
      </c>
      <c r="C27" s="1" t="s">
        <v>24</v>
      </c>
      <c r="D27" s="1" t="n">
        <v>11.21</v>
      </c>
      <c r="E27" s="1" t="n">
        <v>19</v>
      </c>
      <c r="F27" s="4" t="n">
        <v>43871</v>
      </c>
      <c r="G27" s="1" t="s">
        <v>25</v>
      </c>
      <c r="H27" s="1" t="n">
        <v>1</v>
      </c>
      <c r="I27" s="1" t="n">
        <v>48.9</v>
      </c>
      <c r="J27" s="1" t="n">
        <v>15</v>
      </c>
      <c r="K27" s="1" t="n">
        <v>4</v>
      </c>
      <c r="L27" s="1" t="n">
        <v>0</v>
      </c>
      <c r="M27" s="1" t="n">
        <v>0</v>
      </c>
      <c r="N27" s="1" t="n">
        <v>212.99</v>
      </c>
      <c r="O27" s="1" t="n">
        <v>0</v>
      </c>
      <c r="Q27" s="4" t="n">
        <v>44449</v>
      </c>
      <c r="R27" s="0" t="n">
        <f aca="false">IF(ISBLANK(F27),"Missing",IFERROR(YEAR(F27),"Missing"))</f>
        <v>2020</v>
      </c>
      <c r="S27" s="0" t="str">
        <f aca="false">IF(ISBLANK(E27),"Missing",IF(E27&lt;6,"0-6mo",IF(E27&lt;12,"6-12mo",IF(E27&lt;24,"12-24mo","24mo+"))))</f>
        <v>12-24mo</v>
      </c>
      <c r="T27" s="0" t="n">
        <f aca="false">IF(ISBLANK(C27),0,IF(C27="Month-to-month",2,IF(C27="One year",1,0)))+IF(ISBLANK(I27),0,IF(I27&lt;40,2,IF(I27&lt;55,1,0)))+IF(ISBLANK(M27),0,IF(M27=1,3,0))+IF(ISBLANK(L27),0,IF(L27&gt;=2,1,0))+IF(ISBLANK(E27),0,IF(E27&lt;12,1,0))</f>
        <v>3</v>
      </c>
      <c r="U27" s="0" t="str">
        <f aca="false">IF((ISBLANK(B27)*1+ISBLANK(C27)*1+ISBLANK(D27)*1+ISBLANK(E27)*1+ISBLANK(F27)*1+ISBLANK(I27)*1+ISBLANK(J27)*1+ISBLANK(K27)*1+ISBLANK(L27)*1+ISBLANK(M27)*1+ISBLANK(N27)*1+ISBLANK(O27)*1)&gt;0,"Missing Data","OK")</f>
        <v>OK</v>
      </c>
      <c r="V27" s="0" t="str">
        <f aca="false">IF(T27&gt;=6,"High Risk",IF(T27&gt;=3,"Medium Risk","Low Risk"))</f>
        <v>Medium Risk</v>
      </c>
    </row>
    <row r="28" customFormat="false" ht="12.8" hidden="false" customHeight="false" outlineLevel="0" collapsed="false">
      <c r="A28" s="1" t="s">
        <v>58</v>
      </c>
      <c r="B28" s="1" t="s">
        <v>36</v>
      </c>
      <c r="C28" s="1" t="s">
        <v>24</v>
      </c>
      <c r="D28" s="1" t="n">
        <v>8.42</v>
      </c>
      <c r="E28" s="1" t="n">
        <v>37</v>
      </c>
      <c r="F28" s="4" t="n">
        <v>43872</v>
      </c>
      <c r="G28" s="1" t="s">
        <v>25</v>
      </c>
      <c r="H28" s="1" t="n">
        <v>1</v>
      </c>
      <c r="I28" s="1" t="n">
        <v>18.2</v>
      </c>
      <c r="J28" s="1" t="n">
        <v>8</v>
      </c>
      <c r="K28" s="1" t="n">
        <v>0</v>
      </c>
      <c r="L28" s="1" t="n">
        <v>4</v>
      </c>
      <c r="M28" s="1" t="n">
        <v>1</v>
      </c>
      <c r="N28" s="1" t="n">
        <v>311.54</v>
      </c>
      <c r="O28" s="1" t="n">
        <v>1</v>
      </c>
      <c r="P28" s="4" t="n">
        <v>44998</v>
      </c>
      <c r="Q28" s="4" t="n">
        <v>44998</v>
      </c>
      <c r="R28" s="0" t="n">
        <f aca="false">IF(ISBLANK(F28),"Missing",IFERROR(YEAR(F28),"Missing"))</f>
        <v>2020</v>
      </c>
      <c r="S28" s="0" t="str">
        <f aca="false">IF(ISBLANK(E28),"Missing",IF(E28&lt;6,"0-6mo",IF(E28&lt;12,"6-12mo",IF(E28&lt;24,"12-24mo","24mo+"))))</f>
        <v>24mo+</v>
      </c>
      <c r="T28" s="0" t="n">
        <f aca="false">IF(ISBLANK(C28),0,IF(C28="Month-to-month",2,IF(C28="One year",1,0)))+IF(ISBLANK(I28),0,IF(I28&lt;40,2,IF(I28&lt;55,1,0)))+IF(ISBLANK(M28),0,IF(M28=1,3,0))+IF(ISBLANK(L28),0,IF(L28&gt;=2,1,0))+IF(ISBLANK(E28),0,IF(E28&lt;12,1,0))</f>
        <v>8</v>
      </c>
      <c r="U28" s="0" t="str">
        <f aca="false">IF((ISBLANK(B28)*1+ISBLANK(C28)*1+ISBLANK(D28)*1+ISBLANK(E28)*1+ISBLANK(F28)*1+ISBLANK(I28)*1+ISBLANK(J28)*1+ISBLANK(K28)*1+ISBLANK(L28)*1+ISBLANK(M28)*1+ISBLANK(N28)*1+ISBLANK(O28)*1)&gt;0,"Missing Data","OK")</f>
        <v>OK</v>
      </c>
      <c r="V28" s="0" t="str">
        <f aca="false">IF(T28&gt;=6,"High Risk",IF(T28&gt;=3,"Medium Risk","Low Risk"))</f>
        <v>High Risk</v>
      </c>
    </row>
    <row r="29" customFormat="false" ht="12.8" hidden="false" customHeight="false" outlineLevel="0" collapsed="false">
      <c r="A29" s="1" t="s">
        <v>59</v>
      </c>
      <c r="B29" s="1" t="s">
        <v>29</v>
      </c>
      <c r="C29" s="1" t="s">
        <v>34</v>
      </c>
      <c r="D29" s="1" t="n">
        <v>40.18</v>
      </c>
      <c r="E29" s="1" t="n">
        <v>17</v>
      </c>
      <c r="F29" s="4" t="n">
        <v>43872</v>
      </c>
      <c r="G29" s="1" t="s">
        <v>25</v>
      </c>
      <c r="H29" s="1" t="n">
        <v>1</v>
      </c>
      <c r="I29" s="1" t="n">
        <v>74.1</v>
      </c>
      <c r="J29" s="1" t="n">
        <v>20</v>
      </c>
      <c r="K29" s="1" t="n">
        <v>7</v>
      </c>
      <c r="L29" s="1" t="n">
        <v>0</v>
      </c>
      <c r="M29" s="1" t="n">
        <v>0</v>
      </c>
      <c r="N29" s="1" t="n">
        <v>683.06</v>
      </c>
      <c r="O29" s="1" t="n">
        <v>0</v>
      </c>
      <c r="Q29" s="4" t="n">
        <v>44389</v>
      </c>
      <c r="R29" s="0" t="n">
        <f aca="false">IF(ISBLANK(F29),"Missing",IFERROR(YEAR(F29),"Missing"))</f>
        <v>2020</v>
      </c>
      <c r="S29" s="0" t="str">
        <f aca="false">IF(ISBLANK(E29),"Missing",IF(E29&lt;6,"0-6mo",IF(E29&lt;12,"6-12mo",IF(E29&lt;24,"12-24mo","24mo+"))))</f>
        <v>12-24mo</v>
      </c>
      <c r="T29" s="0" t="n">
        <f aca="false">IF(ISBLANK(C29),0,IF(C29="Month-to-month",2,IF(C29="One year",1,0)))+IF(ISBLANK(I29),0,IF(I29&lt;40,2,IF(I29&lt;55,1,0)))+IF(ISBLANK(M29),0,IF(M29=1,3,0))+IF(ISBLANK(L29),0,IF(L29&gt;=2,1,0))+IF(ISBLANK(E29),0,IF(E29&lt;12,1,0))</f>
        <v>1</v>
      </c>
      <c r="U29" s="0" t="str">
        <f aca="false">IF((ISBLANK(B29)*1+ISBLANK(C29)*1+ISBLANK(D29)*1+ISBLANK(E29)*1+ISBLANK(F29)*1+ISBLANK(I29)*1+ISBLANK(J29)*1+ISBLANK(K29)*1+ISBLANK(L29)*1+ISBLANK(M29)*1+ISBLANK(N29)*1+ISBLANK(O29)*1)&gt;0,"Missing Data","OK")</f>
        <v>OK</v>
      </c>
      <c r="V29" s="0" t="str">
        <f aca="false">IF(T29&gt;=6,"High Risk",IF(T29&gt;=3,"Medium Risk","Low Risk"))</f>
        <v>Low Risk</v>
      </c>
    </row>
    <row r="30" customFormat="false" ht="12.8" hidden="false" customHeight="false" outlineLevel="0" collapsed="false">
      <c r="A30" s="1" t="s">
        <v>60</v>
      </c>
      <c r="B30" s="1" t="s">
        <v>29</v>
      </c>
      <c r="C30" s="1" t="s">
        <v>24</v>
      </c>
      <c r="D30" s="1" t="n">
        <v>39.31</v>
      </c>
      <c r="E30" s="1" t="n">
        <v>59</v>
      </c>
      <c r="F30" s="4" t="n">
        <v>43876</v>
      </c>
      <c r="G30" s="1" t="s">
        <v>27</v>
      </c>
      <c r="H30" s="1" t="n">
        <v>1</v>
      </c>
      <c r="I30" s="1" t="n">
        <v>52.6</v>
      </c>
      <c r="J30" s="1" t="n">
        <v>21</v>
      </c>
      <c r="K30" s="1" t="n">
        <v>6</v>
      </c>
      <c r="L30" s="1" t="n">
        <v>2</v>
      </c>
      <c r="M30" s="1" t="n">
        <v>1</v>
      </c>
      <c r="N30" s="1" t="n">
        <v>2319.29</v>
      </c>
      <c r="O30" s="1" t="n">
        <v>0</v>
      </c>
      <c r="Q30" s="4" t="n">
        <v>45671</v>
      </c>
      <c r="R30" s="0" t="n">
        <f aca="false">IF(ISBLANK(F30),"Missing",IFERROR(YEAR(F30),"Missing"))</f>
        <v>2020</v>
      </c>
      <c r="S30" s="0" t="str">
        <f aca="false">IF(ISBLANK(E30),"Missing",IF(E30&lt;6,"0-6mo",IF(E30&lt;12,"6-12mo",IF(E30&lt;24,"12-24mo","24mo+"))))</f>
        <v>24mo+</v>
      </c>
      <c r="T30" s="0" t="n">
        <f aca="false">IF(ISBLANK(C30),0,IF(C30="Month-to-month",2,IF(C30="One year",1,0)))+IF(ISBLANK(I30),0,IF(I30&lt;40,2,IF(I30&lt;55,1,0)))+IF(ISBLANK(M30),0,IF(M30=1,3,0))+IF(ISBLANK(L30),0,IF(L30&gt;=2,1,0))+IF(ISBLANK(E30),0,IF(E30&lt;12,1,0))</f>
        <v>7</v>
      </c>
      <c r="U30" s="0" t="str">
        <f aca="false">IF((ISBLANK(B30)*1+ISBLANK(C30)*1+ISBLANK(D30)*1+ISBLANK(E30)*1+ISBLANK(F30)*1+ISBLANK(I30)*1+ISBLANK(J30)*1+ISBLANK(K30)*1+ISBLANK(L30)*1+ISBLANK(M30)*1+ISBLANK(N30)*1+ISBLANK(O30)*1)&gt;0,"Missing Data","OK")</f>
        <v>OK</v>
      </c>
      <c r="V30" s="0" t="str">
        <f aca="false">IF(T30&gt;=6,"High Risk",IF(T30&gt;=3,"Medium Risk","Low Risk"))</f>
        <v>High Risk</v>
      </c>
    </row>
    <row r="31" customFormat="false" ht="12.8" hidden="false" customHeight="false" outlineLevel="0" collapsed="false">
      <c r="A31" s="1" t="s">
        <v>61</v>
      </c>
      <c r="B31" s="1" t="s">
        <v>29</v>
      </c>
      <c r="C31" s="1" t="s">
        <v>24</v>
      </c>
      <c r="D31" s="1" t="n">
        <v>39.72</v>
      </c>
      <c r="E31" s="1" t="n">
        <v>4</v>
      </c>
      <c r="F31" s="4" t="n">
        <v>43879</v>
      </c>
      <c r="G31" s="1" t="s">
        <v>39</v>
      </c>
      <c r="H31" s="1" t="n">
        <v>1</v>
      </c>
      <c r="I31" s="1" t="n">
        <v>54</v>
      </c>
      <c r="J31" s="1" t="n">
        <v>20</v>
      </c>
      <c r="K31" s="1" t="n">
        <v>6</v>
      </c>
      <c r="L31" s="1" t="n">
        <v>3</v>
      </c>
      <c r="M31" s="1" t="n">
        <v>0</v>
      </c>
      <c r="N31" s="1" t="n">
        <v>158.88</v>
      </c>
      <c r="O31" s="1" t="n">
        <v>1</v>
      </c>
      <c r="P31" s="4" t="n">
        <v>44000</v>
      </c>
      <c r="Q31" s="4" t="n">
        <v>44000</v>
      </c>
      <c r="R31" s="0" t="n">
        <f aca="false">IF(ISBLANK(F31),"Missing",IFERROR(YEAR(F31),"Missing"))</f>
        <v>2020</v>
      </c>
      <c r="S31" s="0" t="str">
        <f aca="false">IF(ISBLANK(E31),"Missing",IF(E31&lt;6,"0-6mo",IF(E31&lt;12,"6-12mo",IF(E31&lt;24,"12-24mo","24mo+"))))</f>
        <v>0-6mo</v>
      </c>
      <c r="T31" s="0" t="n">
        <f aca="false">IF(ISBLANK(C31),0,IF(C31="Month-to-month",2,IF(C31="One year",1,0)))+IF(ISBLANK(I31),0,IF(I31&lt;40,2,IF(I31&lt;55,1,0)))+IF(ISBLANK(M31),0,IF(M31=1,3,0))+IF(ISBLANK(L31),0,IF(L31&gt;=2,1,0))+IF(ISBLANK(E31),0,IF(E31&lt;12,1,0))</f>
        <v>5</v>
      </c>
      <c r="U31" s="0" t="str">
        <f aca="false">IF((ISBLANK(B31)*1+ISBLANK(C31)*1+ISBLANK(D31)*1+ISBLANK(E31)*1+ISBLANK(F31)*1+ISBLANK(I31)*1+ISBLANK(J31)*1+ISBLANK(K31)*1+ISBLANK(L31)*1+ISBLANK(M31)*1+ISBLANK(N31)*1+ISBLANK(O31)*1)&gt;0,"Missing Data","OK")</f>
        <v>OK</v>
      </c>
      <c r="V31" s="0" t="str">
        <f aca="false">IF(T31&gt;=6,"High Risk",IF(T31&gt;=3,"Medium Risk","Low Risk"))</f>
        <v>Medium Risk</v>
      </c>
    </row>
    <row r="32" customFormat="false" ht="12.8" hidden="false" customHeight="false" outlineLevel="0" collapsed="false">
      <c r="A32" s="1" t="s">
        <v>62</v>
      </c>
      <c r="B32" s="1" t="s">
        <v>23</v>
      </c>
      <c r="C32" s="1" t="s">
        <v>24</v>
      </c>
      <c r="D32" s="1" t="n">
        <v>21.08</v>
      </c>
      <c r="E32" s="1" t="n">
        <v>2</v>
      </c>
      <c r="F32" s="4" t="n">
        <v>43879</v>
      </c>
      <c r="G32" s="1" t="s">
        <v>25</v>
      </c>
      <c r="H32" s="1" t="n">
        <v>1</v>
      </c>
      <c r="I32" s="1" t="n">
        <v>63.3</v>
      </c>
      <c r="J32" s="1" t="n">
        <v>18</v>
      </c>
      <c r="K32" s="1" t="n">
        <v>6</v>
      </c>
      <c r="L32" s="1" t="n">
        <v>3</v>
      </c>
      <c r="M32" s="1" t="n">
        <v>1</v>
      </c>
      <c r="N32" s="1" t="n">
        <v>42.16</v>
      </c>
      <c r="O32" s="1" t="n">
        <v>1</v>
      </c>
      <c r="P32" s="4" t="n">
        <v>43939</v>
      </c>
      <c r="Q32" s="4" t="n">
        <v>43939</v>
      </c>
      <c r="R32" s="0" t="n">
        <f aca="false">IF(ISBLANK(F32),"Missing",IFERROR(YEAR(F32),"Missing"))</f>
        <v>2020</v>
      </c>
      <c r="S32" s="0" t="str">
        <f aca="false">IF(ISBLANK(E32),"Missing",IF(E32&lt;6,"0-6mo",IF(E32&lt;12,"6-12mo",IF(E32&lt;24,"12-24mo","24mo+"))))</f>
        <v>0-6mo</v>
      </c>
      <c r="T32" s="0" t="n">
        <f aca="false">IF(ISBLANK(C32),0,IF(C32="Month-to-month",2,IF(C32="One year",1,0)))+IF(ISBLANK(I32),0,IF(I32&lt;40,2,IF(I32&lt;55,1,0)))+IF(ISBLANK(M32),0,IF(M32=1,3,0))+IF(ISBLANK(L32),0,IF(L32&gt;=2,1,0))+IF(ISBLANK(E32),0,IF(E32&lt;12,1,0))</f>
        <v>7</v>
      </c>
      <c r="U32" s="0" t="str">
        <f aca="false">IF((ISBLANK(B32)*1+ISBLANK(C32)*1+ISBLANK(D32)*1+ISBLANK(E32)*1+ISBLANK(F32)*1+ISBLANK(I32)*1+ISBLANK(J32)*1+ISBLANK(K32)*1+ISBLANK(L32)*1+ISBLANK(M32)*1+ISBLANK(N32)*1+ISBLANK(O32)*1)&gt;0,"Missing Data","OK")</f>
        <v>OK</v>
      </c>
      <c r="V32" s="0" t="str">
        <f aca="false">IF(T32&gt;=6,"High Risk",IF(T32&gt;=3,"Medium Risk","Low Risk"))</f>
        <v>High Risk</v>
      </c>
    </row>
    <row r="33" customFormat="false" ht="12.8" hidden="false" customHeight="false" outlineLevel="0" collapsed="false">
      <c r="A33" s="1" t="s">
        <v>63</v>
      </c>
      <c r="B33" s="1" t="s">
        <v>29</v>
      </c>
      <c r="C33" s="1" t="s">
        <v>24</v>
      </c>
      <c r="D33" s="1" t="n">
        <v>40</v>
      </c>
      <c r="E33" s="1" t="n">
        <v>25</v>
      </c>
      <c r="F33" s="4" t="n">
        <v>43879</v>
      </c>
      <c r="G33" s="1" t="s">
        <v>25</v>
      </c>
      <c r="H33" s="1" t="n">
        <v>0</v>
      </c>
      <c r="I33" s="1" t="n">
        <v>72.1</v>
      </c>
      <c r="J33" s="1" t="n">
        <v>21</v>
      </c>
      <c r="K33" s="1" t="n">
        <v>6</v>
      </c>
      <c r="L33" s="1" t="n">
        <v>2</v>
      </c>
      <c r="M33" s="1" t="n">
        <v>0</v>
      </c>
      <c r="N33" s="1" t="n">
        <v>1000</v>
      </c>
      <c r="O33" s="1" t="n">
        <v>0</v>
      </c>
      <c r="Q33" s="4" t="n">
        <v>44640</v>
      </c>
      <c r="R33" s="0" t="n">
        <f aca="false">IF(ISBLANK(F33),"Missing",IFERROR(YEAR(F33),"Missing"))</f>
        <v>2020</v>
      </c>
      <c r="S33" s="0" t="str">
        <f aca="false">IF(ISBLANK(E33),"Missing",IF(E33&lt;6,"0-6mo",IF(E33&lt;12,"6-12mo",IF(E33&lt;24,"12-24mo","24mo+"))))</f>
        <v>24mo+</v>
      </c>
      <c r="T33" s="0" t="n">
        <f aca="false">IF(ISBLANK(C33),0,IF(C33="Month-to-month",2,IF(C33="One year",1,0)))+IF(ISBLANK(I33),0,IF(I33&lt;40,2,IF(I33&lt;55,1,0)))+IF(ISBLANK(M33),0,IF(M33=1,3,0))+IF(ISBLANK(L33),0,IF(L33&gt;=2,1,0))+IF(ISBLANK(E33),0,IF(E33&lt;12,1,0))</f>
        <v>3</v>
      </c>
      <c r="U33" s="0" t="str">
        <f aca="false">IF((ISBLANK(B33)*1+ISBLANK(C33)*1+ISBLANK(D33)*1+ISBLANK(E33)*1+ISBLANK(F33)*1+ISBLANK(I33)*1+ISBLANK(J33)*1+ISBLANK(K33)*1+ISBLANK(L33)*1+ISBLANK(M33)*1+ISBLANK(N33)*1+ISBLANK(O33)*1)&gt;0,"Missing Data","OK")</f>
        <v>OK</v>
      </c>
      <c r="V33" s="0" t="str">
        <f aca="false">IF(T33&gt;=6,"High Risk",IF(T33&gt;=3,"Medium Risk","Low Risk"))</f>
        <v>Medium Risk</v>
      </c>
    </row>
    <row r="34" customFormat="false" ht="12.8" hidden="false" customHeight="false" outlineLevel="0" collapsed="false">
      <c r="A34" s="1" t="s">
        <v>64</v>
      </c>
      <c r="B34" s="1" t="s">
        <v>23</v>
      </c>
      <c r="C34" s="1" t="s">
        <v>51</v>
      </c>
      <c r="D34" s="1" t="n">
        <v>20.38</v>
      </c>
      <c r="E34" s="1" t="n">
        <v>5</v>
      </c>
      <c r="F34" s="4" t="n">
        <v>43879</v>
      </c>
      <c r="G34" s="1" t="s">
        <v>25</v>
      </c>
      <c r="H34" s="1" t="n">
        <v>1</v>
      </c>
      <c r="I34" s="1" t="n">
        <v>53</v>
      </c>
      <c r="J34" s="1" t="n">
        <v>21</v>
      </c>
      <c r="K34" s="1" t="n">
        <v>7</v>
      </c>
      <c r="L34" s="1" t="n">
        <v>1</v>
      </c>
      <c r="M34" s="1" t="n">
        <v>0</v>
      </c>
      <c r="N34" s="1" t="n">
        <v>101.9</v>
      </c>
      <c r="O34" s="1" t="n">
        <v>0</v>
      </c>
      <c r="Q34" s="4" t="n">
        <v>44031</v>
      </c>
      <c r="R34" s="0" t="n">
        <f aca="false">IF(ISBLANK(F34),"Missing",IFERROR(YEAR(F34),"Missing"))</f>
        <v>2020</v>
      </c>
      <c r="S34" s="0" t="str">
        <f aca="false">IF(ISBLANK(E34),"Missing",IF(E34&lt;6,"0-6mo",IF(E34&lt;12,"6-12mo",IF(E34&lt;24,"12-24mo","24mo+"))))</f>
        <v>0-6mo</v>
      </c>
      <c r="T34" s="0" t="n">
        <f aca="false">IF(ISBLANK(C34),0,IF(C34="Month-to-month",2,IF(C34="One year",1,0)))+IF(ISBLANK(I34),0,IF(I34&lt;40,2,IF(I34&lt;55,1,0)))+IF(ISBLANK(M34),0,IF(M34=1,3,0))+IF(ISBLANK(L34),0,IF(L34&gt;=2,1,0))+IF(ISBLANK(E34),0,IF(E34&lt;12,1,0))</f>
        <v>2</v>
      </c>
      <c r="U34" s="0" t="str">
        <f aca="false">IF((ISBLANK(B34)*1+ISBLANK(C34)*1+ISBLANK(D34)*1+ISBLANK(E34)*1+ISBLANK(F34)*1+ISBLANK(I34)*1+ISBLANK(J34)*1+ISBLANK(K34)*1+ISBLANK(L34)*1+ISBLANK(M34)*1+ISBLANK(N34)*1+ISBLANK(O34)*1)&gt;0,"Missing Data","OK")</f>
        <v>OK</v>
      </c>
      <c r="V34" s="0" t="str">
        <f aca="false">IF(T34&gt;=6,"High Risk",IF(T34&gt;=3,"Medium Risk","Low Risk"))</f>
        <v>Low Risk</v>
      </c>
    </row>
    <row r="35" customFormat="false" ht="12.8" hidden="false" customHeight="false" outlineLevel="0" collapsed="false">
      <c r="A35" s="1" t="s">
        <v>65</v>
      </c>
      <c r="B35" s="1" t="s">
        <v>23</v>
      </c>
      <c r="C35" s="1" t="s">
        <v>34</v>
      </c>
      <c r="D35" s="1" t="n">
        <v>20.41</v>
      </c>
      <c r="E35" s="1" t="n">
        <v>17</v>
      </c>
      <c r="F35" s="4" t="n">
        <v>43881</v>
      </c>
      <c r="G35" s="1" t="s">
        <v>25</v>
      </c>
      <c r="H35" s="1" t="n">
        <v>1</v>
      </c>
      <c r="I35" s="1" t="n">
        <v>47.8</v>
      </c>
      <c r="J35" s="1" t="n">
        <v>11</v>
      </c>
      <c r="K35" s="1" t="n">
        <v>7</v>
      </c>
      <c r="L35" s="1" t="n">
        <v>2</v>
      </c>
      <c r="M35" s="1" t="n">
        <v>0</v>
      </c>
      <c r="N35" s="1" t="n">
        <v>346.97</v>
      </c>
      <c r="O35" s="1" t="n">
        <v>0</v>
      </c>
      <c r="Q35" s="4" t="n">
        <v>44398</v>
      </c>
      <c r="R35" s="0" t="n">
        <f aca="false">IF(ISBLANK(F35),"Missing",IFERROR(YEAR(F35),"Missing"))</f>
        <v>2020</v>
      </c>
      <c r="S35" s="0" t="str">
        <f aca="false">IF(ISBLANK(E35),"Missing",IF(E35&lt;6,"0-6mo",IF(E35&lt;12,"6-12mo",IF(E35&lt;24,"12-24mo","24mo+"))))</f>
        <v>12-24mo</v>
      </c>
      <c r="T35" s="0" t="n">
        <f aca="false">IF(ISBLANK(C35),0,IF(C35="Month-to-month",2,IF(C35="One year",1,0)))+IF(ISBLANK(I35),0,IF(I35&lt;40,2,IF(I35&lt;55,1,0)))+IF(ISBLANK(M35),0,IF(M35=1,3,0))+IF(ISBLANK(L35),0,IF(L35&gt;=2,1,0))+IF(ISBLANK(E35),0,IF(E35&lt;12,1,0))</f>
        <v>3</v>
      </c>
      <c r="U35" s="0" t="str">
        <f aca="false">IF((ISBLANK(B35)*1+ISBLANK(C35)*1+ISBLANK(D35)*1+ISBLANK(E35)*1+ISBLANK(F35)*1+ISBLANK(I35)*1+ISBLANK(J35)*1+ISBLANK(K35)*1+ISBLANK(L35)*1+ISBLANK(M35)*1+ISBLANK(N35)*1+ISBLANK(O35)*1)&gt;0,"Missing Data","OK")</f>
        <v>OK</v>
      </c>
      <c r="V35" s="0" t="str">
        <f aca="false">IF(T35&gt;=6,"High Risk",IF(T35&gt;=3,"Medium Risk","Low Risk"))</f>
        <v>Medium Risk</v>
      </c>
    </row>
    <row r="36" customFormat="false" ht="12.8" hidden="false" customHeight="false" outlineLevel="0" collapsed="false">
      <c r="A36" s="1" t="s">
        <v>66</v>
      </c>
      <c r="B36" s="1" t="s">
        <v>36</v>
      </c>
      <c r="C36" s="1" t="s">
        <v>34</v>
      </c>
      <c r="D36" s="1" t="n">
        <v>10.17</v>
      </c>
      <c r="E36" s="1" t="n">
        <v>0</v>
      </c>
      <c r="F36" s="4" t="n">
        <v>43885</v>
      </c>
      <c r="G36" s="1" t="s">
        <v>25</v>
      </c>
      <c r="H36" s="1" t="n">
        <v>0</v>
      </c>
      <c r="I36" s="1" t="n">
        <v>62.5</v>
      </c>
      <c r="J36" s="1" t="n">
        <v>22</v>
      </c>
      <c r="K36" s="1" t="n">
        <v>7</v>
      </c>
      <c r="L36" s="1" t="n">
        <v>0</v>
      </c>
      <c r="M36" s="1" t="n">
        <v>0</v>
      </c>
      <c r="N36" s="1" t="n">
        <v>0</v>
      </c>
      <c r="O36" s="1" t="n">
        <v>0</v>
      </c>
      <c r="Q36" s="4" t="n">
        <v>43885</v>
      </c>
      <c r="R36" s="0" t="n">
        <f aca="false">IF(ISBLANK(F36),"Missing",IFERROR(YEAR(F36),"Missing"))</f>
        <v>2020</v>
      </c>
      <c r="S36" s="0" t="str">
        <f aca="false">IF(ISBLANK(E36),"Missing",IF(E36&lt;6,"0-6mo",IF(E36&lt;12,"6-12mo",IF(E36&lt;24,"12-24mo","24mo+"))))</f>
        <v>0-6mo</v>
      </c>
      <c r="T36" s="0" t="n">
        <f aca="false">IF(ISBLANK(C36),0,IF(C36="Month-to-month",2,IF(C36="One year",1,0)))+IF(ISBLANK(I36),0,IF(I36&lt;40,2,IF(I36&lt;55,1,0)))+IF(ISBLANK(M36),0,IF(M36=1,3,0))+IF(ISBLANK(L36),0,IF(L36&gt;=2,1,0))+IF(ISBLANK(E36),0,IF(E36&lt;12,1,0))</f>
        <v>2</v>
      </c>
      <c r="U36" s="0" t="str">
        <f aca="false">IF((ISBLANK(B36)*1+ISBLANK(C36)*1+ISBLANK(D36)*1+ISBLANK(E36)*1+ISBLANK(F36)*1+ISBLANK(I36)*1+ISBLANK(J36)*1+ISBLANK(K36)*1+ISBLANK(L36)*1+ISBLANK(M36)*1+ISBLANK(N36)*1+ISBLANK(O36)*1)&gt;0,"Missing Data","OK")</f>
        <v>OK</v>
      </c>
      <c r="V36" s="0" t="str">
        <f aca="false">IF(T36&gt;=6,"High Risk",IF(T36&gt;=3,"Medium Risk","Low Risk"))</f>
        <v>Low Risk</v>
      </c>
    </row>
    <row r="37" customFormat="false" ht="12.8" hidden="false" customHeight="false" outlineLevel="0" collapsed="false">
      <c r="A37" s="1" t="s">
        <v>67</v>
      </c>
      <c r="B37" s="1" t="s">
        <v>29</v>
      </c>
      <c r="C37" s="1" t="s">
        <v>24</v>
      </c>
      <c r="D37" s="1" t="n">
        <v>39.03</v>
      </c>
      <c r="E37" s="1" t="n">
        <v>11</v>
      </c>
      <c r="F37" s="4" t="n">
        <v>43885</v>
      </c>
      <c r="G37" s="1" t="s">
        <v>25</v>
      </c>
      <c r="H37" s="1" t="n">
        <v>0</v>
      </c>
      <c r="I37" s="1" t="n">
        <v>69</v>
      </c>
      <c r="J37" s="1" t="n">
        <v>29</v>
      </c>
      <c r="K37" s="1" t="n">
        <v>9</v>
      </c>
      <c r="L37" s="1" t="n">
        <v>2</v>
      </c>
      <c r="M37" s="1" t="n">
        <v>1</v>
      </c>
      <c r="N37" s="1" t="n">
        <v>429.33</v>
      </c>
      <c r="O37" s="1" t="n">
        <v>1</v>
      </c>
      <c r="P37" s="4" t="n">
        <v>44219</v>
      </c>
      <c r="Q37" s="4" t="n">
        <v>44219</v>
      </c>
      <c r="R37" s="0" t="n">
        <f aca="false">IF(ISBLANK(F37),"Missing",IFERROR(YEAR(F37),"Missing"))</f>
        <v>2020</v>
      </c>
      <c r="S37" s="0" t="str">
        <f aca="false">IF(ISBLANK(E37),"Missing",IF(E37&lt;6,"0-6mo",IF(E37&lt;12,"6-12mo",IF(E37&lt;24,"12-24mo","24mo+"))))</f>
        <v>6-12mo</v>
      </c>
      <c r="T37" s="0" t="n">
        <f aca="false">IF(ISBLANK(C37),0,IF(C37="Month-to-month",2,IF(C37="One year",1,0)))+IF(ISBLANK(I37),0,IF(I37&lt;40,2,IF(I37&lt;55,1,0)))+IF(ISBLANK(M37),0,IF(M37=1,3,0))+IF(ISBLANK(L37),0,IF(L37&gt;=2,1,0))+IF(ISBLANK(E37),0,IF(E37&lt;12,1,0))</f>
        <v>7</v>
      </c>
      <c r="U37" s="0" t="str">
        <f aca="false">IF((ISBLANK(B37)*1+ISBLANK(C37)*1+ISBLANK(D37)*1+ISBLANK(E37)*1+ISBLANK(F37)*1+ISBLANK(I37)*1+ISBLANK(J37)*1+ISBLANK(K37)*1+ISBLANK(L37)*1+ISBLANK(M37)*1+ISBLANK(N37)*1+ISBLANK(O37)*1)&gt;0,"Missing Data","OK")</f>
        <v>OK</v>
      </c>
      <c r="V37" s="0" t="str">
        <f aca="false">IF(T37&gt;=6,"High Risk",IF(T37&gt;=3,"Medium Risk","Low Risk"))</f>
        <v>High Risk</v>
      </c>
    </row>
    <row r="38" customFormat="false" ht="12.8" hidden="false" customHeight="false" outlineLevel="0" collapsed="false">
      <c r="A38" s="1" t="s">
        <v>68</v>
      </c>
      <c r="B38" s="1" t="s">
        <v>36</v>
      </c>
      <c r="C38" s="1" t="s">
        <v>51</v>
      </c>
      <c r="D38" s="1" t="n">
        <v>11.23</v>
      </c>
      <c r="E38" s="1" t="n">
        <v>16</v>
      </c>
      <c r="F38" s="4" t="n">
        <v>43889</v>
      </c>
      <c r="G38" s="1" t="s">
        <v>39</v>
      </c>
      <c r="H38" s="1" t="n">
        <v>1</v>
      </c>
      <c r="I38" s="1" t="n">
        <v>50.9</v>
      </c>
      <c r="J38" s="1" t="n">
        <v>17</v>
      </c>
      <c r="K38" s="1" t="n">
        <v>6</v>
      </c>
      <c r="L38" s="1" t="n">
        <v>3</v>
      </c>
      <c r="M38" s="1" t="n">
        <v>0</v>
      </c>
      <c r="N38" s="1" t="n">
        <v>179.68</v>
      </c>
      <c r="O38" s="1" t="n">
        <v>0</v>
      </c>
      <c r="Q38" s="4" t="n">
        <v>44376</v>
      </c>
      <c r="R38" s="0" t="n">
        <f aca="false">IF(ISBLANK(F38),"Missing",IFERROR(YEAR(F38),"Missing"))</f>
        <v>2020</v>
      </c>
      <c r="S38" s="0" t="str">
        <f aca="false">IF(ISBLANK(E38),"Missing",IF(E38&lt;6,"0-6mo",IF(E38&lt;12,"6-12mo",IF(E38&lt;24,"12-24mo","24mo+"))))</f>
        <v>12-24mo</v>
      </c>
      <c r="T38" s="0" t="n">
        <f aca="false">IF(ISBLANK(C38),0,IF(C38="Month-to-month",2,IF(C38="One year",1,0)))+IF(ISBLANK(I38),0,IF(I38&lt;40,2,IF(I38&lt;55,1,0)))+IF(ISBLANK(M38),0,IF(M38=1,3,0))+IF(ISBLANK(L38),0,IF(L38&gt;=2,1,0))+IF(ISBLANK(E38),0,IF(E38&lt;12,1,0))</f>
        <v>2</v>
      </c>
      <c r="U38" s="0" t="str">
        <f aca="false">IF((ISBLANK(B38)*1+ISBLANK(C38)*1+ISBLANK(D38)*1+ISBLANK(E38)*1+ISBLANK(F38)*1+ISBLANK(I38)*1+ISBLANK(J38)*1+ISBLANK(K38)*1+ISBLANK(L38)*1+ISBLANK(M38)*1+ISBLANK(N38)*1+ISBLANK(O38)*1)&gt;0,"Missing Data","OK")</f>
        <v>OK</v>
      </c>
      <c r="V38" s="0" t="str">
        <f aca="false">IF(T38&gt;=6,"High Risk",IF(T38&gt;=3,"Medium Risk","Low Risk"))</f>
        <v>Low Risk</v>
      </c>
    </row>
    <row r="39" customFormat="false" ht="12.8" hidden="false" customHeight="false" outlineLevel="0" collapsed="false">
      <c r="A39" s="1" t="s">
        <v>69</v>
      </c>
      <c r="B39" s="1" t="s">
        <v>23</v>
      </c>
      <c r="C39" s="1" t="s">
        <v>24</v>
      </c>
      <c r="D39" s="1" t="n">
        <v>21.6</v>
      </c>
      <c r="E39" s="1" t="n">
        <v>2</v>
      </c>
      <c r="F39" s="4" t="n">
        <v>43890</v>
      </c>
      <c r="G39" s="1" t="s">
        <v>25</v>
      </c>
      <c r="H39" s="1" t="n">
        <v>1</v>
      </c>
      <c r="I39" s="1" t="n">
        <v>55.6</v>
      </c>
      <c r="J39" s="1" t="n">
        <v>18</v>
      </c>
      <c r="K39" s="1" t="n">
        <v>7</v>
      </c>
      <c r="L39" s="1" t="n">
        <v>0</v>
      </c>
      <c r="M39" s="1" t="n">
        <v>0</v>
      </c>
      <c r="N39" s="1" t="n">
        <v>43.2</v>
      </c>
      <c r="O39" s="1" t="n">
        <v>0</v>
      </c>
      <c r="Q39" s="4" t="n">
        <v>43950</v>
      </c>
      <c r="R39" s="0" t="n">
        <f aca="false">IF(ISBLANK(F39),"Missing",IFERROR(YEAR(F39),"Missing"))</f>
        <v>2020</v>
      </c>
      <c r="S39" s="0" t="str">
        <f aca="false">IF(ISBLANK(E39),"Missing",IF(E39&lt;6,"0-6mo",IF(E39&lt;12,"6-12mo",IF(E39&lt;24,"12-24mo","24mo+"))))</f>
        <v>0-6mo</v>
      </c>
      <c r="T39" s="0" t="n">
        <f aca="false">IF(ISBLANK(C39),0,IF(C39="Month-to-month",2,IF(C39="One year",1,0)))+IF(ISBLANK(I39),0,IF(I39&lt;40,2,IF(I39&lt;55,1,0)))+IF(ISBLANK(M39),0,IF(M39=1,3,0))+IF(ISBLANK(L39),0,IF(L39&gt;=2,1,0))+IF(ISBLANK(E39),0,IF(E39&lt;12,1,0))</f>
        <v>3</v>
      </c>
      <c r="U39" s="0" t="str">
        <f aca="false">IF((ISBLANK(B39)*1+ISBLANK(C39)*1+ISBLANK(D39)*1+ISBLANK(E39)*1+ISBLANK(F39)*1+ISBLANK(I39)*1+ISBLANK(J39)*1+ISBLANK(K39)*1+ISBLANK(L39)*1+ISBLANK(M39)*1+ISBLANK(N39)*1+ISBLANK(O39)*1)&gt;0,"Missing Data","OK")</f>
        <v>OK</v>
      </c>
      <c r="V39" s="0" t="str">
        <f aca="false">IF(T39&gt;=6,"High Risk",IF(T39&gt;=3,"Medium Risk","Low Risk"))</f>
        <v>Medium Risk</v>
      </c>
    </row>
    <row r="40" customFormat="false" ht="12.8" hidden="false" customHeight="false" outlineLevel="0" collapsed="false">
      <c r="A40" s="1" t="s">
        <v>70</v>
      </c>
      <c r="B40" s="1" t="s">
        <v>36</v>
      </c>
      <c r="C40" s="1" t="s">
        <v>24</v>
      </c>
      <c r="D40" s="1" t="n">
        <v>11.07</v>
      </c>
      <c r="E40" s="1" t="n">
        <v>8</v>
      </c>
      <c r="F40" s="4" t="n">
        <v>43892</v>
      </c>
      <c r="G40" s="1" t="s">
        <v>25</v>
      </c>
      <c r="H40" s="1" t="n">
        <v>1</v>
      </c>
      <c r="I40" s="1" t="n">
        <v>43.4</v>
      </c>
      <c r="J40" s="1" t="n">
        <v>14</v>
      </c>
      <c r="K40" s="1" t="n">
        <v>3</v>
      </c>
      <c r="L40" s="1" t="n">
        <v>2</v>
      </c>
      <c r="M40" s="1" t="n">
        <v>0</v>
      </c>
      <c r="N40" s="1" t="n">
        <v>88.56</v>
      </c>
      <c r="O40" s="1" t="n">
        <v>1</v>
      </c>
      <c r="P40" s="4" t="n">
        <v>44135</v>
      </c>
      <c r="Q40" s="4" t="n">
        <v>44135</v>
      </c>
      <c r="R40" s="0" t="n">
        <f aca="false">IF(ISBLANK(F40),"Missing",IFERROR(YEAR(F40),"Missing"))</f>
        <v>2020</v>
      </c>
      <c r="S40" s="0" t="str">
        <f aca="false">IF(ISBLANK(E40),"Missing",IF(E40&lt;6,"0-6mo",IF(E40&lt;12,"6-12mo",IF(E40&lt;24,"12-24mo","24mo+"))))</f>
        <v>6-12mo</v>
      </c>
      <c r="T40" s="0" t="n">
        <f aca="false">IF(ISBLANK(C40),0,IF(C40="Month-to-month",2,IF(C40="One year",1,0)))+IF(ISBLANK(I40),0,IF(I40&lt;40,2,IF(I40&lt;55,1,0)))+IF(ISBLANK(M40),0,IF(M40=1,3,0))+IF(ISBLANK(L40),0,IF(L40&gt;=2,1,0))+IF(ISBLANK(E40),0,IF(E40&lt;12,1,0))</f>
        <v>5</v>
      </c>
      <c r="U40" s="0" t="str">
        <f aca="false">IF((ISBLANK(B40)*1+ISBLANK(C40)*1+ISBLANK(D40)*1+ISBLANK(E40)*1+ISBLANK(F40)*1+ISBLANK(I40)*1+ISBLANK(J40)*1+ISBLANK(K40)*1+ISBLANK(L40)*1+ISBLANK(M40)*1+ISBLANK(N40)*1+ISBLANK(O40)*1)&gt;0,"Missing Data","OK")</f>
        <v>OK</v>
      </c>
      <c r="V40" s="0" t="str">
        <f aca="false">IF(T40&gt;=6,"High Risk",IF(T40&gt;=3,"Medium Risk","Low Risk"))</f>
        <v>Medium Risk</v>
      </c>
    </row>
    <row r="41" customFormat="false" ht="12.8" hidden="false" customHeight="false" outlineLevel="0" collapsed="false">
      <c r="A41" s="1" t="s">
        <v>71</v>
      </c>
      <c r="B41" s="1" t="s">
        <v>36</v>
      </c>
      <c r="C41" s="1" t="s">
        <v>24</v>
      </c>
      <c r="D41" s="1" t="n">
        <v>10.07</v>
      </c>
      <c r="E41" s="1" t="n">
        <v>11</v>
      </c>
      <c r="F41" s="4" t="n">
        <v>43894</v>
      </c>
      <c r="G41" s="1" t="s">
        <v>39</v>
      </c>
      <c r="H41" s="1" t="n">
        <v>1</v>
      </c>
      <c r="I41" s="1" t="n">
        <v>89.5</v>
      </c>
      <c r="J41" s="1" t="n">
        <v>30</v>
      </c>
      <c r="K41" s="1" t="n">
        <v>10</v>
      </c>
      <c r="L41" s="1" t="n">
        <v>2</v>
      </c>
      <c r="M41" s="1" t="n">
        <v>1</v>
      </c>
      <c r="N41" s="1" t="n">
        <v>110.77</v>
      </c>
      <c r="O41" s="1" t="n">
        <v>0</v>
      </c>
      <c r="Q41" s="4" t="n">
        <v>44228</v>
      </c>
      <c r="R41" s="0" t="n">
        <f aca="false">IF(ISBLANK(F41),"Missing",IFERROR(YEAR(F41),"Missing"))</f>
        <v>2020</v>
      </c>
      <c r="S41" s="0" t="str">
        <f aca="false">IF(ISBLANK(E41),"Missing",IF(E41&lt;6,"0-6mo",IF(E41&lt;12,"6-12mo",IF(E41&lt;24,"12-24mo","24mo+"))))</f>
        <v>6-12mo</v>
      </c>
      <c r="T41" s="0" t="n">
        <f aca="false">IF(ISBLANK(C41),0,IF(C41="Month-to-month",2,IF(C41="One year",1,0)))+IF(ISBLANK(I41),0,IF(I41&lt;40,2,IF(I41&lt;55,1,0)))+IF(ISBLANK(M41),0,IF(M41=1,3,0))+IF(ISBLANK(L41),0,IF(L41&gt;=2,1,0))+IF(ISBLANK(E41),0,IF(E41&lt;12,1,0))</f>
        <v>7</v>
      </c>
      <c r="U41" s="0" t="str">
        <f aca="false">IF((ISBLANK(B41)*1+ISBLANK(C41)*1+ISBLANK(D41)*1+ISBLANK(E41)*1+ISBLANK(F41)*1+ISBLANK(I41)*1+ISBLANK(J41)*1+ISBLANK(K41)*1+ISBLANK(L41)*1+ISBLANK(M41)*1+ISBLANK(N41)*1+ISBLANK(O41)*1)&gt;0,"Missing Data","OK")</f>
        <v>OK</v>
      </c>
      <c r="V41" s="0" t="str">
        <f aca="false">IF(T41&gt;=6,"High Risk",IF(T41&gt;=3,"Medium Risk","Low Risk"))</f>
        <v>High Risk</v>
      </c>
    </row>
    <row r="42" customFormat="false" ht="12.8" hidden="false" customHeight="false" outlineLevel="0" collapsed="false">
      <c r="A42" s="1" t="s">
        <v>72</v>
      </c>
      <c r="B42" s="1" t="s">
        <v>36</v>
      </c>
      <c r="C42" s="1" t="s">
        <v>24</v>
      </c>
      <c r="D42" s="1" t="n">
        <v>10.07</v>
      </c>
      <c r="E42" s="1" t="n">
        <v>13</v>
      </c>
      <c r="F42" s="4" t="n">
        <v>43897</v>
      </c>
      <c r="G42" s="1" t="s">
        <v>39</v>
      </c>
      <c r="H42" s="1" t="n">
        <v>1</v>
      </c>
      <c r="I42" s="1" t="n">
        <v>41.5</v>
      </c>
      <c r="J42" s="1" t="n">
        <v>15</v>
      </c>
      <c r="K42" s="1" t="n">
        <v>6</v>
      </c>
      <c r="L42" s="1" t="n">
        <v>3</v>
      </c>
      <c r="M42" s="1" t="n">
        <v>0</v>
      </c>
      <c r="N42" s="1" t="n">
        <v>130.91</v>
      </c>
      <c r="O42" s="1" t="n">
        <v>0</v>
      </c>
      <c r="Q42" s="4" t="n">
        <v>44292</v>
      </c>
      <c r="R42" s="0" t="n">
        <f aca="false">IF(ISBLANK(F42),"Missing",IFERROR(YEAR(F42),"Missing"))</f>
        <v>2020</v>
      </c>
      <c r="S42" s="0" t="str">
        <f aca="false">IF(ISBLANK(E42),"Missing",IF(E42&lt;6,"0-6mo",IF(E42&lt;12,"6-12mo",IF(E42&lt;24,"12-24mo","24mo+"))))</f>
        <v>12-24mo</v>
      </c>
      <c r="T42" s="0" t="n">
        <f aca="false">IF(ISBLANK(C42),0,IF(C42="Month-to-month",2,IF(C42="One year",1,0)))+IF(ISBLANK(I42),0,IF(I42&lt;40,2,IF(I42&lt;55,1,0)))+IF(ISBLANK(M42),0,IF(M42=1,3,0))+IF(ISBLANK(L42),0,IF(L42&gt;=2,1,0))+IF(ISBLANK(E42),0,IF(E42&lt;12,1,0))</f>
        <v>4</v>
      </c>
      <c r="U42" s="0" t="str">
        <f aca="false">IF((ISBLANK(B42)*1+ISBLANK(C42)*1+ISBLANK(D42)*1+ISBLANK(E42)*1+ISBLANK(F42)*1+ISBLANK(I42)*1+ISBLANK(J42)*1+ISBLANK(K42)*1+ISBLANK(L42)*1+ISBLANK(M42)*1+ISBLANK(N42)*1+ISBLANK(O42)*1)&gt;0,"Missing Data","OK")</f>
        <v>OK</v>
      </c>
      <c r="V42" s="0" t="str">
        <f aca="false">IF(T42&gt;=6,"High Risk",IF(T42&gt;=3,"Medium Risk","Low Risk"))</f>
        <v>Medium Risk</v>
      </c>
    </row>
    <row r="43" customFormat="false" ht="12.8" hidden="false" customHeight="false" outlineLevel="0" collapsed="false">
      <c r="A43" s="1" t="s">
        <v>73</v>
      </c>
      <c r="B43" s="1" t="s">
        <v>29</v>
      </c>
      <c r="C43" s="1" t="s">
        <v>24</v>
      </c>
      <c r="D43" s="1" t="n">
        <v>39.97</v>
      </c>
      <c r="E43" s="1" t="n">
        <v>5</v>
      </c>
      <c r="F43" s="4" t="n">
        <v>43898</v>
      </c>
      <c r="G43" s="1" t="s">
        <v>25</v>
      </c>
      <c r="H43" s="1" t="n">
        <v>1</v>
      </c>
      <c r="I43" s="1" t="n">
        <v>48.8</v>
      </c>
      <c r="J43" s="1" t="n">
        <v>13</v>
      </c>
      <c r="K43" s="1" t="n">
        <v>6</v>
      </c>
      <c r="L43" s="1" t="n">
        <v>1</v>
      </c>
      <c r="M43" s="1" t="n">
        <v>0</v>
      </c>
      <c r="N43" s="1" t="n">
        <v>199.85</v>
      </c>
      <c r="O43" s="1" t="n">
        <v>0</v>
      </c>
      <c r="Q43" s="4" t="n">
        <v>44050</v>
      </c>
      <c r="R43" s="0" t="n">
        <f aca="false">IF(ISBLANK(F43),"Missing",IFERROR(YEAR(F43),"Missing"))</f>
        <v>2020</v>
      </c>
      <c r="S43" s="0" t="str">
        <f aca="false">IF(ISBLANK(E43),"Missing",IF(E43&lt;6,"0-6mo",IF(E43&lt;12,"6-12mo",IF(E43&lt;24,"12-24mo","24mo+"))))</f>
        <v>0-6mo</v>
      </c>
      <c r="T43" s="0" t="n">
        <f aca="false">IF(ISBLANK(C43),0,IF(C43="Month-to-month",2,IF(C43="One year",1,0)))+IF(ISBLANK(I43),0,IF(I43&lt;40,2,IF(I43&lt;55,1,0)))+IF(ISBLANK(M43),0,IF(M43=1,3,0))+IF(ISBLANK(L43),0,IF(L43&gt;=2,1,0))+IF(ISBLANK(E43),0,IF(E43&lt;12,1,0))</f>
        <v>4</v>
      </c>
      <c r="U43" s="0" t="str">
        <f aca="false">IF((ISBLANK(B43)*1+ISBLANK(C43)*1+ISBLANK(D43)*1+ISBLANK(E43)*1+ISBLANK(F43)*1+ISBLANK(I43)*1+ISBLANK(J43)*1+ISBLANK(K43)*1+ISBLANK(L43)*1+ISBLANK(M43)*1+ISBLANK(N43)*1+ISBLANK(O43)*1)&gt;0,"Missing Data","OK")</f>
        <v>OK</v>
      </c>
      <c r="V43" s="0" t="str">
        <f aca="false">IF(T43&gt;=6,"High Risk",IF(T43&gt;=3,"Medium Risk","Low Risk"))</f>
        <v>Medium Risk</v>
      </c>
    </row>
    <row r="44" customFormat="false" ht="12.8" hidden="false" customHeight="false" outlineLevel="0" collapsed="false">
      <c r="A44" s="1" t="s">
        <v>74</v>
      </c>
      <c r="B44" s="1" t="s">
        <v>36</v>
      </c>
      <c r="C44" s="1" t="s">
        <v>34</v>
      </c>
      <c r="D44" s="1" t="n">
        <v>11.38</v>
      </c>
      <c r="E44" s="1" t="n">
        <v>25</v>
      </c>
      <c r="F44" s="4" t="n">
        <v>43899</v>
      </c>
      <c r="G44" s="1" t="s">
        <v>30</v>
      </c>
      <c r="H44" s="1" t="n">
        <v>1</v>
      </c>
      <c r="I44" s="1" t="n">
        <v>54.4</v>
      </c>
      <c r="J44" s="1" t="n">
        <v>22</v>
      </c>
      <c r="K44" s="1" t="n">
        <v>5</v>
      </c>
      <c r="L44" s="1" t="n">
        <v>1</v>
      </c>
      <c r="M44" s="1" t="n">
        <v>0</v>
      </c>
      <c r="N44" s="1" t="n">
        <v>284.5</v>
      </c>
      <c r="O44" s="1" t="n">
        <v>0</v>
      </c>
      <c r="Q44" s="4" t="n">
        <v>44660</v>
      </c>
      <c r="R44" s="0" t="n">
        <f aca="false">IF(ISBLANK(F44),"Missing",IFERROR(YEAR(F44),"Missing"))</f>
        <v>2020</v>
      </c>
      <c r="S44" s="0" t="str">
        <f aca="false">IF(ISBLANK(E44),"Missing",IF(E44&lt;6,"0-6mo",IF(E44&lt;12,"6-12mo",IF(E44&lt;24,"12-24mo","24mo+"))))</f>
        <v>24mo+</v>
      </c>
      <c r="T44" s="0" t="n">
        <f aca="false">IF(ISBLANK(C44),0,IF(C44="Month-to-month",2,IF(C44="One year",1,0)))+IF(ISBLANK(I44),0,IF(I44&lt;40,2,IF(I44&lt;55,1,0)))+IF(ISBLANK(M44),0,IF(M44=1,3,0))+IF(ISBLANK(L44),0,IF(L44&gt;=2,1,0))+IF(ISBLANK(E44),0,IF(E44&lt;12,1,0))</f>
        <v>2</v>
      </c>
      <c r="U44" s="0" t="str">
        <f aca="false">IF((ISBLANK(B44)*1+ISBLANK(C44)*1+ISBLANK(D44)*1+ISBLANK(E44)*1+ISBLANK(F44)*1+ISBLANK(I44)*1+ISBLANK(J44)*1+ISBLANK(K44)*1+ISBLANK(L44)*1+ISBLANK(M44)*1+ISBLANK(N44)*1+ISBLANK(O44)*1)&gt;0,"Missing Data","OK")</f>
        <v>OK</v>
      </c>
      <c r="V44" s="0" t="str">
        <f aca="false">IF(T44&gt;=6,"High Risk",IF(T44&gt;=3,"Medium Risk","Low Risk"))</f>
        <v>Low Risk</v>
      </c>
    </row>
    <row r="45" customFormat="false" ht="12.8" hidden="false" customHeight="false" outlineLevel="0" collapsed="false">
      <c r="A45" s="1" t="s">
        <v>75</v>
      </c>
      <c r="B45" s="1" t="s">
        <v>36</v>
      </c>
      <c r="C45" s="1" t="s">
        <v>51</v>
      </c>
      <c r="D45" s="1" t="n">
        <v>10.88</v>
      </c>
      <c r="E45" s="1" t="n">
        <v>11</v>
      </c>
      <c r="F45" s="4" t="n">
        <v>43899</v>
      </c>
      <c r="G45" s="1" t="s">
        <v>27</v>
      </c>
      <c r="H45" s="1" t="n">
        <v>0</v>
      </c>
      <c r="I45" s="1" t="n">
        <v>38.5</v>
      </c>
      <c r="J45" s="1" t="n">
        <v>9</v>
      </c>
      <c r="K45" s="1" t="n">
        <v>0</v>
      </c>
      <c r="L45" s="1" t="n">
        <v>1</v>
      </c>
      <c r="M45" s="1" t="n">
        <v>0</v>
      </c>
      <c r="N45" s="1" t="n">
        <v>119.68</v>
      </c>
      <c r="O45" s="1" t="n">
        <v>0</v>
      </c>
      <c r="Q45" s="4" t="n">
        <v>44233</v>
      </c>
      <c r="R45" s="0" t="n">
        <f aca="false">IF(ISBLANK(F45),"Missing",IFERROR(YEAR(F45),"Missing"))</f>
        <v>2020</v>
      </c>
      <c r="S45" s="0" t="str">
        <f aca="false">IF(ISBLANK(E45),"Missing",IF(E45&lt;6,"0-6mo",IF(E45&lt;12,"6-12mo",IF(E45&lt;24,"12-24mo","24mo+"))))</f>
        <v>6-12mo</v>
      </c>
      <c r="T45" s="0" t="n">
        <f aca="false">IF(ISBLANK(C45),0,IF(C45="Month-to-month",2,IF(C45="One year",1,0)))+IF(ISBLANK(I45),0,IF(I45&lt;40,2,IF(I45&lt;55,1,0)))+IF(ISBLANK(M45),0,IF(M45=1,3,0))+IF(ISBLANK(L45),0,IF(L45&gt;=2,1,0))+IF(ISBLANK(E45),0,IF(E45&lt;12,1,0))</f>
        <v>3</v>
      </c>
      <c r="U45" s="0" t="str">
        <f aca="false">IF((ISBLANK(B45)*1+ISBLANK(C45)*1+ISBLANK(D45)*1+ISBLANK(E45)*1+ISBLANK(F45)*1+ISBLANK(I45)*1+ISBLANK(J45)*1+ISBLANK(K45)*1+ISBLANK(L45)*1+ISBLANK(M45)*1+ISBLANK(N45)*1+ISBLANK(O45)*1)&gt;0,"Missing Data","OK")</f>
        <v>OK</v>
      </c>
      <c r="V45" s="0" t="str">
        <f aca="false">IF(T45&gt;=6,"High Risk",IF(T45&gt;=3,"Medium Risk","Low Risk"))</f>
        <v>Medium Risk</v>
      </c>
    </row>
    <row r="46" customFormat="false" ht="12.8" hidden="false" customHeight="false" outlineLevel="0" collapsed="false">
      <c r="A46" s="1" t="s">
        <v>76</v>
      </c>
      <c r="B46" s="1" t="s">
        <v>36</v>
      </c>
      <c r="C46" s="1" t="s">
        <v>24</v>
      </c>
      <c r="D46" s="1" t="n">
        <v>10.42</v>
      </c>
      <c r="E46" s="1" t="n">
        <v>27</v>
      </c>
      <c r="F46" s="4" t="n">
        <v>43899</v>
      </c>
      <c r="G46" s="1" t="s">
        <v>25</v>
      </c>
      <c r="H46" s="1" t="n">
        <v>0</v>
      </c>
      <c r="I46" s="1" t="n">
        <v>53.1</v>
      </c>
      <c r="J46" s="1" t="n">
        <v>11</v>
      </c>
      <c r="K46" s="1" t="n">
        <v>4</v>
      </c>
      <c r="L46" s="1" t="n">
        <v>1</v>
      </c>
      <c r="M46" s="1" t="n">
        <v>1</v>
      </c>
      <c r="N46" s="1" t="n">
        <v>281.34</v>
      </c>
      <c r="O46" s="1" t="n">
        <v>1</v>
      </c>
      <c r="P46" s="4" t="n">
        <v>44720</v>
      </c>
      <c r="Q46" s="4" t="n">
        <v>44720</v>
      </c>
      <c r="R46" s="0" t="n">
        <f aca="false">IF(ISBLANK(F46),"Missing",IFERROR(YEAR(F46),"Missing"))</f>
        <v>2020</v>
      </c>
      <c r="S46" s="0" t="str">
        <f aca="false">IF(ISBLANK(E46),"Missing",IF(E46&lt;6,"0-6mo",IF(E46&lt;12,"6-12mo",IF(E46&lt;24,"12-24mo","24mo+"))))</f>
        <v>24mo+</v>
      </c>
      <c r="T46" s="0" t="n">
        <f aca="false">IF(ISBLANK(C46),0,IF(C46="Month-to-month",2,IF(C46="One year",1,0)))+IF(ISBLANK(I46),0,IF(I46&lt;40,2,IF(I46&lt;55,1,0)))+IF(ISBLANK(M46),0,IF(M46=1,3,0))+IF(ISBLANK(L46),0,IF(L46&gt;=2,1,0))+IF(ISBLANK(E46),0,IF(E46&lt;12,1,0))</f>
        <v>6</v>
      </c>
      <c r="U46" s="0" t="str">
        <f aca="false">IF((ISBLANK(B46)*1+ISBLANK(C46)*1+ISBLANK(D46)*1+ISBLANK(E46)*1+ISBLANK(F46)*1+ISBLANK(I46)*1+ISBLANK(J46)*1+ISBLANK(K46)*1+ISBLANK(L46)*1+ISBLANK(M46)*1+ISBLANK(N46)*1+ISBLANK(O46)*1)&gt;0,"Missing Data","OK")</f>
        <v>OK</v>
      </c>
      <c r="V46" s="0" t="str">
        <f aca="false">IF(T46&gt;=6,"High Risk",IF(T46&gt;=3,"Medium Risk","Low Risk"))</f>
        <v>High Risk</v>
      </c>
    </row>
    <row r="47" customFormat="false" ht="12.8" hidden="false" customHeight="false" outlineLevel="0" collapsed="false">
      <c r="A47" s="1" t="s">
        <v>77</v>
      </c>
      <c r="B47" s="1" t="s">
        <v>23</v>
      </c>
      <c r="C47" s="1" t="s">
        <v>24</v>
      </c>
      <c r="D47" s="1" t="n">
        <v>20.72</v>
      </c>
      <c r="E47" s="1" t="n">
        <v>46</v>
      </c>
      <c r="F47" s="4" t="n">
        <v>43901</v>
      </c>
      <c r="G47" s="1" t="s">
        <v>25</v>
      </c>
      <c r="H47" s="1" t="n">
        <v>0</v>
      </c>
      <c r="I47" s="1" t="n">
        <v>60.9</v>
      </c>
      <c r="J47" s="1" t="n">
        <v>11</v>
      </c>
      <c r="K47" s="1" t="n">
        <v>8</v>
      </c>
      <c r="L47" s="1" t="n">
        <v>0</v>
      </c>
      <c r="M47" s="1" t="n">
        <v>0</v>
      </c>
      <c r="N47" s="1" t="n">
        <v>953.12</v>
      </c>
      <c r="O47" s="1" t="n">
        <v>0</v>
      </c>
      <c r="Q47" s="4" t="n">
        <v>45301</v>
      </c>
      <c r="R47" s="0" t="n">
        <f aca="false">IF(ISBLANK(F47),"Missing",IFERROR(YEAR(F47),"Missing"))</f>
        <v>2020</v>
      </c>
      <c r="S47" s="0" t="str">
        <f aca="false">IF(ISBLANK(E47),"Missing",IF(E47&lt;6,"0-6mo",IF(E47&lt;12,"6-12mo",IF(E47&lt;24,"12-24mo","24mo+"))))</f>
        <v>24mo+</v>
      </c>
      <c r="T47" s="0" t="n">
        <f aca="false">IF(ISBLANK(C47),0,IF(C47="Month-to-month",2,IF(C47="One year",1,0)))+IF(ISBLANK(I47),0,IF(I47&lt;40,2,IF(I47&lt;55,1,0)))+IF(ISBLANK(M47),0,IF(M47=1,3,0))+IF(ISBLANK(L47),0,IF(L47&gt;=2,1,0))+IF(ISBLANK(E47),0,IF(E47&lt;12,1,0))</f>
        <v>2</v>
      </c>
      <c r="U47" s="0" t="str">
        <f aca="false">IF((ISBLANK(B47)*1+ISBLANK(C47)*1+ISBLANK(D47)*1+ISBLANK(E47)*1+ISBLANK(F47)*1+ISBLANK(I47)*1+ISBLANK(J47)*1+ISBLANK(K47)*1+ISBLANK(L47)*1+ISBLANK(M47)*1+ISBLANK(N47)*1+ISBLANK(O47)*1)&gt;0,"Missing Data","OK")</f>
        <v>OK</v>
      </c>
      <c r="V47" s="0" t="str">
        <f aca="false">IF(T47&gt;=6,"High Risk",IF(T47&gt;=3,"Medium Risk","Low Risk"))</f>
        <v>Low Risk</v>
      </c>
    </row>
    <row r="48" customFormat="false" ht="12.8" hidden="false" customHeight="false" outlineLevel="0" collapsed="false">
      <c r="A48" s="1" t="s">
        <v>78</v>
      </c>
      <c r="B48" s="1" t="s">
        <v>36</v>
      </c>
      <c r="C48" s="1" t="s">
        <v>24</v>
      </c>
      <c r="D48" s="1" t="n">
        <v>10.98</v>
      </c>
      <c r="E48" s="1" t="n">
        <v>41</v>
      </c>
      <c r="F48" s="4" t="n">
        <v>43904</v>
      </c>
      <c r="G48" s="1" t="s">
        <v>27</v>
      </c>
      <c r="H48" s="1" t="n">
        <v>1</v>
      </c>
      <c r="I48" s="1" t="n">
        <v>52.7</v>
      </c>
      <c r="J48" s="1" t="n">
        <v>14</v>
      </c>
      <c r="K48" s="1" t="n">
        <v>5</v>
      </c>
      <c r="L48" s="1" t="n">
        <v>0</v>
      </c>
      <c r="M48" s="1" t="n">
        <v>0</v>
      </c>
      <c r="N48" s="1" t="n">
        <v>450.18</v>
      </c>
      <c r="O48" s="1" t="n">
        <v>0</v>
      </c>
      <c r="Q48" s="4" t="n">
        <v>45152</v>
      </c>
      <c r="R48" s="0" t="n">
        <f aca="false">IF(ISBLANK(F48),"Missing",IFERROR(YEAR(F48),"Missing"))</f>
        <v>2020</v>
      </c>
      <c r="S48" s="0" t="str">
        <f aca="false">IF(ISBLANK(E48),"Missing",IF(E48&lt;6,"0-6mo",IF(E48&lt;12,"6-12mo",IF(E48&lt;24,"12-24mo","24mo+"))))</f>
        <v>24mo+</v>
      </c>
      <c r="T48" s="0" t="n">
        <f aca="false">IF(ISBLANK(C48),0,IF(C48="Month-to-month",2,IF(C48="One year",1,0)))+IF(ISBLANK(I48),0,IF(I48&lt;40,2,IF(I48&lt;55,1,0)))+IF(ISBLANK(M48),0,IF(M48=1,3,0))+IF(ISBLANK(L48),0,IF(L48&gt;=2,1,0))+IF(ISBLANK(E48),0,IF(E48&lt;12,1,0))</f>
        <v>3</v>
      </c>
      <c r="U48" s="0" t="str">
        <f aca="false">IF((ISBLANK(B48)*1+ISBLANK(C48)*1+ISBLANK(D48)*1+ISBLANK(E48)*1+ISBLANK(F48)*1+ISBLANK(I48)*1+ISBLANK(J48)*1+ISBLANK(K48)*1+ISBLANK(L48)*1+ISBLANK(M48)*1+ISBLANK(N48)*1+ISBLANK(O48)*1)&gt;0,"Missing Data","OK")</f>
        <v>OK</v>
      </c>
      <c r="V48" s="0" t="str">
        <f aca="false">IF(T48&gt;=6,"High Risk",IF(T48&gt;=3,"Medium Risk","Low Risk"))</f>
        <v>Medium Risk</v>
      </c>
    </row>
    <row r="49" customFormat="false" ht="12.8" hidden="false" customHeight="false" outlineLevel="0" collapsed="false">
      <c r="A49" s="1" t="s">
        <v>79</v>
      </c>
      <c r="B49" s="1" t="s">
        <v>36</v>
      </c>
      <c r="C49" s="1" t="s">
        <v>24</v>
      </c>
      <c r="D49" s="1" t="n">
        <v>12.94</v>
      </c>
      <c r="E49" s="1" t="n">
        <v>11</v>
      </c>
      <c r="F49" s="4" t="n">
        <v>43904</v>
      </c>
      <c r="G49" s="1" t="s">
        <v>25</v>
      </c>
      <c r="H49" s="1" t="n">
        <v>0</v>
      </c>
      <c r="I49" s="1" t="n">
        <v>55.2</v>
      </c>
      <c r="J49" s="1" t="n">
        <v>22</v>
      </c>
      <c r="K49" s="1" t="n">
        <v>6</v>
      </c>
      <c r="L49" s="1" t="n">
        <v>1</v>
      </c>
      <c r="M49" s="1" t="n">
        <v>0</v>
      </c>
      <c r="N49" s="1" t="n">
        <v>142.34</v>
      </c>
      <c r="O49" s="1" t="n">
        <v>0</v>
      </c>
      <c r="Q49" s="4" t="n">
        <v>44238</v>
      </c>
      <c r="R49" s="0" t="n">
        <f aca="false">IF(ISBLANK(F49),"Missing",IFERROR(YEAR(F49),"Missing"))</f>
        <v>2020</v>
      </c>
      <c r="S49" s="0" t="str">
        <f aca="false">IF(ISBLANK(E49),"Missing",IF(E49&lt;6,"0-6mo",IF(E49&lt;12,"6-12mo",IF(E49&lt;24,"12-24mo","24mo+"))))</f>
        <v>6-12mo</v>
      </c>
      <c r="T49" s="0" t="n">
        <f aca="false">IF(ISBLANK(C49),0,IF(C49="Month-to-month",2,IF(C49="One year",1,0)))+IF(ISBLANK(I49),0,IF(I49&lt;40,2,IF(I49&lt;55,1,0)))+IF(ISBLANK(M49),0,IF(M49=1,3,0))+IF(ISBLANK(L49),0,IF(L49&gt;=2,1,0))+IF(ISBLANK(E49),0,IF(E49&lt;12,1,0))</f>
        <v>3</v>
      </c>
      <c r="U49" s="0" t="str">
        <f aca="false">IF((ISBLANK(B49)*1+ISBLANK(C49)*1+ISBLANK(D49)*1+ISBLANK(E49)*1+ISBLANK(F49)*1+ISBLANK(I49)*1+ISBLANK(J49)*1+ISBLANK(K49)*1+ISBLANK(L49)*1+ISBLANK(M49)*1+ISBLANK(N49)*1+ISBLANK(O49)*1)&gt;0,"Missing Data","OK")</f>
        <v>OK</v>
      </c>
      <c r="V49" s="0" t="str">
        <f aca="false">IF(T49&gt;=6,"High Risk",IF(T49&gt;=3,"Medium Risk","Low Risk"))</f>
        <v>Medium Risk</v>
      </c>
    </row>
    <row r="50" customFormat="false" ht="12.8" hidden="false" customHeight="false" outlineLevel="0" collapsed="false">
      <c r="A50" s="1" t="s">
        <v>80</v>
      </c>
      <c r="B50" s="1" t="s">
        <v>23</v>
      </c>
      <c r="C50" s="1" t="s">
        <v>24</v>
      </c>
      <c r="D50" s="1" t="n">
        <v>18.58</v>
      </c>
      <c r="E50" s="1" t="n">
        <v>18</v>
      </c>
      <c r="F50" s="4" t="n">
        <v>43905</v>
      </c>
      <c r="G50" s="1" t="s">
        <v>25</v>
      </c>
      <c r="H50" s="1" t="n">
        <v>0</v>
      </c>
      <c r="I50" s="1" t="n">
        <v>65.9</v>
      </c>
      <c r="J50" s="1" t="n">
        <v>21</v>
      </c>
      <c r="K50" s="1" t="n">
        <v>6</v>
      </c>
      <c r="L50" s="1" t="n">
        <v>3</v>
      </c>
      <c r="M50" s="1" t="n">
        <v>0</v>
      </c>
      <c r="N50" s="1" t="n">
        <v>334.44</v>
      </c>
      <c r="O50" s="1" t="n">
        <v>0</v>
      </c>
      <c r="Q50" s="4" t="n">
        <v>44452</v>
      </c>
      <c r="R50" s="0" t="n">
        <f aca="false">IF(ISBLANK(F50),"Missing",IFERROR(YEAR(F50),"Missing"))</f>
        <v>2020</v>
      </c>
      <c r="S50" s="0" t="str">
        <f aca="false">IF(ISBLANK(E50),"Missing",IF(E50&lt;6,"0-6mo",IF(E50&lt;12,"6-12mo",IF(E50&lt;24,"12-24mo","24mo+"))))</f>
        <v>12-24mo</v>
      </c>
      <c r="T50" s="0" t="n">
        <f aca="false">IF(ISBLANK(C50),0,IF(C50="Month-to-month",2,IF(C50="One year",1,0)))+IF(ISBLANK(I50),0,IF(I50&lt;40,2,IF(I50&lt;55,1,0)))+IF(ISBLANK(M50),0,IF(M50=1,3,0))+IF(ISBLANK(L50),0,IF(L50&gt;=2,1,0))+IF(ISBLANK(E50),0,IF(E50&lt;12,1,0))</f>
        <v>3</v>
      </c>
      <c r="U50" s="0" t="str">
        <f aca="false">IF((ISBLANK(B50)*1+ISBLANK(C50)*1+ISBLANK(D50)*1+ISBLANK(E50)*1+ISBLANK(F50)*1+ISBLANK(I50)*1+ISBLANK(J50)*1+ISBLANK(K50)*1+ISBLANK(L50)*1+ISBLANK(M50)*1+ISBLANK(N50)*1+ISBLANK(O50)*1)&gt;0,"Missing Data","OK")</f>
        <v>OK</v>
      </c>
      <c r="V50" s="0" t="str">
        <f aca="false">IF(T50&gt;=6,"High Risk",IF(T50&gt;=3,"Medium Risk","Low Risk"))</f>
        <v>Medium Risk</v>
      </c>
    </row>
    <row r="51" customFormat="false" ht="12.8" hidden="false" customHeight="false" outlineLevel="0" collapsed="false">
      <c r="A51" s="1" t="s">
        <v>81</v>
      </c>
      <c r="B51" s="1" t="s">
        <v>23</v>
      </c>
      <c r="C51" s="1" t="s">
        <v>51</v>
      </c>
      <c r="D51" s="1" t="n">
        <v>20.24</v>
      </c>
      <c r="E51" s="1" t="n">
        <v>6</v>
      </c>
      <c r="F51" s="4" t="n">
        <v>43907</v>
      </c>
      <c r="G51" s="1" t="s">
        <v>27</v>
      </c>
      <c r="H51" s="1" t="n">
        <v>1</v>
      </c>
      <c r="I51" s="1" t="n">
        <v>36.8</v>
      </c>
      <c r="J51" s="1" t="n">
        <v>10</v>
      </c>
      <c r="K51" s="1" t="n">
        <v>2</v>
      </c>
      <c r="L51" s="1" t="n">
        <v>0</v>
      </c>
      <c r="M51" s="1" t="n">
        <v>0</v>
      </c>
      <c r="N51" s="1" t="n">
        <v>121.44</v>
      </c>
      <c r="O51" s="1" t="n">
        <v>0</v>
      </c>
      <c r="Q51" s="4" t="n">
        <v>44089</v>
      </c>
      <c r="R51" s="0" t="n">
        <f aca="false">IF(ISBLANK(F51),"Missing",IFERROR(YEAR(F51),"Missing"))</f>
        <v>2020</v>
      </c>
      <c r="S51" s="0" t="str">
        <f aca="false">IF(ISBLANK(E51),"Missing",IF(E51&lt;6,"0-6mo",IF(E51&lt;12,"6-12mo",IF(E51&lt;24,"12-24mo","24mo+"))))</f>
        <v>6-12mo</v>
      </c>
      <c r="T51" s="0" t="n">
        <f aca="false">IF(ISBLANK(C51),0,IF(C51="Month-to-month",2,IF(C51="One year",1,0)))+IF(ISBLANK(I51),0,IF(I51&lt;40,2,IF(I51&lt;55,1,0)))+IF(ISBLANK(M51),0,IF(M51=1,3,0))+IF(ISBLANK(L51),0,IF(L51&gt;=2,1,0))+IF(ISBLANK(E51),0,IF(E51&lt;12,1,0))</f>
        <v>3</v>
      </c>
      <c r="U51" s="0" t="str">
        <f aca="false">IF((ISBLANK(B51)*1+ISBLANK(C51)*1+ISBLANK(D51)*1+ISBLANK(E51)*1+ISBLANK(F51)*1+ISBLANK(I51)*1+ISBLANK(J51)*1+ISBLANK(K51)*1+ISBLANK(L51)*1+ISBLANK(M51)*1+ISBLANK(N51)*1+ISBLANK(O51)*1)&gt;0,"Missing Data","OK")</f>
        <v>OK</v>
      </c>
      <c r="V51" s="0" t="str">
        <f aca="false">IF(T51&gt;=6,"High Risk",IF(T51&gt;=3,"Medium Risk","Low Risk"))</f>
        <v>Medium Risk</v>
      </c>
    </row>
    <row r="52" customFormat="false" ht="12.8" hidden="false" customHeight="false" outlineLevel="0" collapsed="false">
      <c r="A52" s="1" t="s">
        <v>82</v>
      </c>
      <c r="B52" s="1" t="s">
        <v>29</v>
      </c>
      <c r="C52" s="1" t="s">
        <v>51</v>
      </c>
      <c r="D52" s="1" t="n">
        <v>39.32</v>
      </c>
      <c r="E52" s="1" t="n">
        <v>32</v>
      </c>
      <c r="F52" s="4" t="n">
        <v>43909</v>
      </c>
      <c r="G52" s="1" t="s">
        <v>30</v>
      </c>
      <c r="H52" s="1" t="n">
        <v>1</v>
      </c>
      <c r="I52" s="1" t="n">
        <v>36.5</v>
      </c>
      <c r="J52" s="1" t="n">
        <v>11</v>
      </c>
      <c r="K52" s="1" t="n">
        <v>2</v>
      </c>
      <c r="L52" s="1" t="n">
        <v>0</v>
      </c>
      <c r="M52" s="1" t="n">
        <v>0</v>
      </c>
      <c r="N52" s="1" t="n">
        <v>1258.24</v>
      </c>
      <c r="O52" s="1" t="n">
        <v>0</v>
      </c>
      <c r="Q52" s="4" t="n">
        <v>44883</v>
      </c>
      <c r="R52" s="0" t="n">
        <f aca="false">IF(ISBLANK(F52),"Missing",IFERROR(YEAR(F52),"Missing"))</f>
        <v>2020</v>
      </c>
      <c r="S52" s="0" t="str">
        <f aca="false">IF(ISBLANK(E52),"Missing",IF(E52&lt;6,"0-6mo",IF(E52&lt;12,"6-12mo",IF(E52&lt;24,"12-24mo","24mo+"))))</f>
        <v>24mo+</v>
      </c>
      <c r="T52" s="0" t="n">
        <f aca="false">IF(ISBLANK(C52),0,IF(C52="Month-to-month",2,IF(C52="One year",1,0)))+IF(ISBLANK(I52),0,IF(I52&lt;40,2,IF(I52&lt;55,1,0)))+IF(ISBLANK(M52),0,IF(M52=1,3,0))+IF(ISBLANK(L52),0,IF(L52&gt;=2,1,0))+IF(ISBLANK(E52),0,IF(E52&lt;12,1,0))</f>
        <v>2</v>
      </c>
      <c r="U52" s="0" t="str">
        <f aca="false">IF((ISBLANK(B52)*1+ISBLANK(C52)*1+ISBLANK(D52)*1+ISBLANK(E52)*1+ISBLANK(F52)*1+ISBLANK(I52)*1+ISBLANK(J52)*1+ISBLANK(K52)*1+ISBLANK(L52)*1+ISBLANK(M52)*1+ISBLANK(N52)*1+ISBLANK(O52)*1)&gt;0,"Missing Data","OK")</f>
        <v>OK</v>
      </c>
      <c r="V52" s="0" t="str">
        <f aca="false">IF(T52&gt;=6,"High Risk",IF(T52&gt;=3,"Medium Risk","Low Risk"))</f>
        <v>Low Risk</v>
      </c>
    </row>
    <row r="53" customFormat="false" ht="12.8" hidden="false" customHeight="false" outlineLevel="0" collapsed="false">
      <c r="A53" s="1" t="s">
        <v>83</v>
      </c>
      <c r="B53" s="1" t="s">
        <v>36</v>
      </c>
      <c r="C53" s="1" t="s">
        <v>51</v>
      </c>
      <c r="D53" s="1" t="n">
        <v>12.48</v>
      </c>
      <c r="E53" s="1" t="n">
        <v>8</v>
      </c>
      <c r="F53" s="4" t="n">
        <v>43909</v>
      </c>
      <c r="G53" s="1" t="s">
        <v>25</v>
      </c>
      <c r="H53" s="1" t="n">
        <v>0</v>
      </c>
      <c r="I53" s="1" t="n">
        <v>27.8</v>
      </c>
      <c r="J53" s="1" t="n">
        <v>11</v>
      </c>
      <c r="K53" s="1" t="n">
        <v>2</v>
      </c>
      <c r="L53" s="1" t="n">
        <v>3</v>
      </c>
      <c r="M53" s="1" t="n">
        <v>0</v>
      </c>
      <c r="N53" s="1" t="n">
        <v>99.84</v>
      </c>
      <c r="O53" s="1" t="n">
        <v>0</v>
      </c>
      <c r="Q53" s="4" t="n">
        <v>44152</v>
      </c>
      <c r="R53" s="0" t="n">
        <f aca="false">IF(ISBLANK(F53),"Missing",IFERROR(YEAR(F53),"Missing"))</f>
        <v>2020</v>
      </c>
      <c r="S53" s="0" t="str">
        <f aca="false">IF(ISBLANK(E53),"Missing",IF(E53&lt;6,"0-6mo",IF(E53&lt;12,"6-12mo",IF(E53&lt;24,"12-24mo","24mo+"))))</f>
        <v>6-12mo</v>
      </c>
      <c r="T53" s="0" t="n">
        <f aca="false">IF(ISBLANK(C53),0,IF(C53="Month-to-month",2,IF(C53="One year",1,0)))+IF(ISBLANK(I53),0,IF(I53&lt;40,2,IF(I53&lt;55,1,0)))+IF(ISBLANK(M53),0,IF(M53=1,3,0))+IF(ISBLANK(L53),0,IF(L53&gt;=2,1,0))+IF(ISBLANK(E53),0,IF(E53&lt;12,1,0))</f>
        <v>4</v>
      </c>
      <c r="U53" s="0" t="str">
        <f aca="false">IF((ISBLANK(B53)*1+ISBLANK(C53)*1+ISBLANK(D53)*1+ISBLANK(E53)*1+ISBLANK(F53)*1+ISBLANK(I53)*1+ISBLANK(J53)*1+ISBLANK(K53)*1+ISBLANK(L53)*1+ISBLANK(M53)*1+ISBLANK(N53)*1+ISBLANK(O53)*1)&gt;0,"Missing Data","OK")</f>
        <v>OK</v>
      </c>
      <c r="V53" s="0" t="str">
        <f aca="false">IF(T53&gt;=6,"High Risk",IF(T53&gt;=3,"Medium Risk","Low Risk"))</f>
        <v>Medium Risk</v>
      </c>
    </row>
    <row r="54" customFormat="false" ht="12.8" hidden="false" customHeight="false" outlineLevel="0" collapsed="false">
      <c r="A54" s="1" t="s">
        <v>84</v>
      </c>
      <c r="B54" s="1" t="s">
        <v>23</v>
      </c>
      <c r="C54" s="1" t="s">
        <v>34</v>
      </c>
      <c r="D54" s="1" t="n">
        <v>19.96</v>
      </c>
      <c r="E54" s="1" t="n">
        <v>8</v>
      </c>
      <c r="F54" s="4" t="n">
        <v>43910</v>
      </c>
      <c r="G54" s="1" t="s">
        <v>25</v>
      </c>
      <c r="H54" s="1" t="n">
        <v>1</v>
      </c>
      <c r="I54" s="1" t="n">
        <v>14.4</v>
      </c>
      <c r="J54" s="1" t="n">
        <v>7</v>
      </c>
      <c r="K54" s="1" t="n">
        <v>2</v>
      </c>
      <c r="L54" s="1" t="n">
        <v>1</v>
      </c>
      <c r="M54" s="1" t="n">
        <v>1</v>
      </c>
      <c r="N54" s="1" t="n">
        <v>159.68</v>
      </c>
      <c r="O54" s="1" t="n">
        <v>0</v>
      </c>
      <c r="Q54" s="4" t="n">
        <v>44153</v>
      </c>
      <c r="R54" s="0" t="n">
        <f aca="false">IF(ISBLANK(F54),"Missing",IFERROR(YEAR(F54),"Missing"))</f>
        <v>2020</v>
      </c>
      <c r="S54" s="0" t="str">
        <f aca="false">IF(ISBLANK(E54),"Missing",IF(E54&lt;6,"0-6mo",IF(E54&lt;12,"6-12mo",IF(E54&lt;24,"12-24mo","24mo+"))))</f>
        <v>6-12mo</v>
      </c>
      <c r="T54" s="0" t="n">
        <f aca="false">IF(ISBLANK(C54),0,IF(C54="Month-to-month",2,IF(C54="One year",1,0)))+IF(ISBLANK(I54),0,IF(I54&lt;40,2,IF(I54&lt;55,1,0)))+IF(ISBLANK(M54),0,IF(M54=1,3,0))+IF(ISBLANK(L54),0,IF(L54&gt;=2,1,0))+IF(ISBLANK(E54),0,IF(E54&lt;12,1,0))</f>
        <v>7</v>
      </c>
      <c r="U54" s="0" t="str">
        <f aca="false">IF((ISBLANK(B54)*1+ISBLANK(C54)*1+ISBLANK(D54)*1+ISBLANK(E54)*1+ISBLANK(F54)*1+ISBLANK(I54)*1+ISBLANK(J54)*1+ISBLANK(K54)*1+ISBLANK(L54)*1+ISBLANK(M54)*1+ISBLANK(N54)*1+ISBLANK(O54)*1)&gt;0,"Missing Data","OK")</f>
        <v>OK</v>
      </c>
      <c r="V54" s="0" t="str">
        <f aca="false">IF(T54&gt;=6,"High Risk",IF(T54&gt;=3,"Medium Risk","Low Risk"))</f>
        <v>High Risk</v>
      </c>
    </row>
    <row r="55" customFormat="false" ht="12.8" hidden="false" customHeight="false" outlineLevel="0" collapsed="false">
      <c r="A55" s="1" t="s">
        <v>85</v>
      </c>
      <c r="B55" s="1" t="s">
        <v>36</v>
      </c>
      <c r="C55" s="1" t="s">
        <v>34</v>
      </c>
      <c r="D55" s="1" t="n">
        <v>10.73</v>
      </c>
      <c r="E55" s="1" t="n">
        <v>25</v>
      </c>
      <c r="F55" s="4" t="n">
        <v>43911</v>
      </c>
      <c r="G55" s="1" t="s">
        <v>39</v>
      </c>
      <c r="H55" s="1" t="n">
        <v>1</v>
      </c>
      <c r="I55" s="1" t="n">
        <v>60.9</v>
      </c>
      <c r="J55" s="1" t="n">
        <v>18</v>
      </c>
      <c r="K55" s="1" t="n">
        <v>6</v>
      </c>
      <c r="L55" s="1" t="n">
        <v>3</v>
      </c>
      <c r="M55" s="1" t="n">
        <v>0</v>
      </c>
      <c r="N55" s="1" t="n">
        <v>268.25</v>
      </c>
      <c r="O55" s="1" t="n">
        <v>0</v>
      </c>
      <c r="Q55" s="4" t="n">
        <v>44672</v>
      </c>
      <c r="R55" s="0" t="n">
        <f aca="false">IF(ISBLANK(F55),"Missing",IFERROR(YEAR(F55),"Missing"))</f>
        <v>2020</v>
      </c>
      <c r="S55" s="0" t="str">
        <f aca="false">IF(ISBLANK(E55),"Missing",IF(E55&lt;6,"0-6mo",IF(E55&lt;12,"6-12mo",IF(E55&lt;24,"12-24mo","24mo+"))))</f>
        <v>24mo+</v>
      </c>
      <c r="T55" s="0" t="n">
        <f aca="false">IF(ISBLANK(C55),0,IF(C55="Month-to-month",2,IF(C55="One year",1,0)))+IF(ISBLANK(I55),0,IF(I55&lt;40,2,IF(I55&lt;55,1,0)))+IF(ISBLANK(M55),0,IF(M55=1,3,0))+IF(ISBLANK(L55),0,IF(L55&gt;=2,1,0))+IF(ISBLANK(E55),0,IF(E55&lt;12,1,0))</f>
        <v>2</v>
      </c>
      <c r="U55" s="0" t="str">
        <f aca="false">IF((ISBLANK(B55)*1+ISBLANK(C55)*1+ISBLANK(D55)*1+ISBLANK(E55)*1+ISBLANK(F55)*1+ISBLANK(I55)*1+ISBLANK(J55)*1+ISBLANK(K55)*1+ISBLANK(L55)*1+ISBLANK(M55)*1+ISBLANK(N55)*1+ISBLANK(O55)*1)&gt;0,"Missing Data","OK")</f>
        <v>OK</v>
      </c>
      <c r="V55" s="0" t="str">
        <f aca="false">IF(T55&gt;=6,"High Risk",IF(T55&gt;=3,"Medium Risk","Low Risk"))</f>
        <v>Low Risk</v>
      </c>
    </row>
    <row r="56" customFormat="false" ht="12.8" hidden="false" customHeight="false" outlineLevel="0" collapsed="false">
      <c r="A56" s="1" t="s">
        <v>86</v>
      </c>
      <c r="B56" s="1" t="s">
        <v>29</v>
      </c>
      <c r="C56" s="1" t="s">
        <v>34</v>
      </c>
      <c r="D56" s="1" t="n">
        <v>41.12</v>
      </c>
      <c r="E56" s="1" t="n">
        <v>11</v>
      </c>
      <c r="F56" s="4" t="n">
        <v>43912</v>
      </c>
      <c r="G56" s="1" t="s">
        <v>25</v>
      </c>
      <c r="H56" s="1" t="n">
        <v>0</v>
      </c>
      <c r="I56" s="1" t="n">
        <v>21.4</v>
      </c>
      <c r="J56" s="1" t="n">
        <v>7</v>
      </c>
      <c r="K56" s="1" t="n">
        <v>1</v>
      </c>
      <c r="L56" s="1" t="n">
        <v>1</v>
      </c>
      <c r="M56" s="1" t="n">
        <v>0</v>
      </c>
      <c r="N56" s="1" t="n">
        <v>452.32</v>
      </c>
      <c r="O56" s="1" t="n">
        <v>0</v>
      </c>
      <c r="Q56" s="4" t="n">
        <v>44246</v>
      </c>
      <c r="R56" s="0" t="n">
        <f aca="false">IF(ISBLANK(F56),"Missing",IFERROR(YEAR(F56),"Missing"))</f>
        <v>2020</v>
      </c>
      <c r="S56" s="0" t="str">
        <f aca="false">IF(ISBLANK(E56),"Missing",IF(E56&lt;6,"0-6mo",IF(E56&lt;12,"6-12mo",IF(E56&lt;24,"12-24mo","24mo+"))))</f>
        <v>6-12mo</v>
      </c>
      <c r="T56" s="0" t="n">
        <f aca="false">IF(ISBLANK(C56),0,IF(C56="Month-to-month",2,IF(C56="One year",1,0)))+IF(ISBLANK(I56),0,IF(I56&lt;40,2,IF(I56&lt;55,1,0)))+IF(ISBLANK(M56),0,IF(M56=1,3,0))+IF(ISBLANK(L56),0,IF(L56&gt;=2,1,0))+IF(ISBLANK(E56),0,IF(E56&lt;12,1,0))</f>
        <v>4</v>
      </c>
      <c r="U56" s="0" t="str">
        <f aca="false">IF((ISBLANK(B56)*1+ISBLANK(C56)*1+ISBLANK(D56)*1+ISBLANK(E56)*1+ISBLANK(F56)*1+ISBLANK(I56)*1+ISBLANK(J56)*1+ISBLANK(K56)*1+ISBLANK(L56)*1+ISBLANK(M56)*1+ISBLANK(N56)*1+ISBLANK(O56)*1)&gt;0,"Missing Data","OK")</f>
        <v>OK</v>
      </c>
      <c r="V56" s="0" t="str">
        <f aca="false">IF(T56&gt;=6,"High Risk",IF(T56&gt;=3,"Medium Risk","Low Risk"))</f>
        <v>Medium Risk</v>
      </c>
    </row>
    <row r="57" customFormat="false" ht="12.8" hidden="false" customHeight="false" outlineLevel="0" collapsed="false">
      <c r="A57" s="1" t="s">
        <v>87</v>
      </c>
      <c r="B57" s="1" t="s">
        <v>29</v>
      </c>
      <c r="C57" s="1" t="s">
        <v>24</v>
      </c>
      <c r="D57" s="1" t="n">
        <v>38.55</v>
      </c>
      <c r="E57" s="1" t="n">
        <v>72</v>
      </c>
      <c r="F57" s="4" t="n">
        <v>43913</v>
      </c>
      <c r="G57" s="1" t="s">
        <v>27</v>
      </c>
      <c r="H57" s="1" t="n">
        <v>1</v>
      </c>
      <c r="I57" s="1" t="n">
        <v>45.4</v>
      </c>
      <c r="J57" s="1" t="n">
        <v>12</v>
      </c>
      <c r="K57" s="1" t="n">
        <v>6</v>
      </c>
      <c r="L57" s="1" t="n">
        <v>0</v>
      </c>
      <c r="M57" s="1" t="n">
        <v>0</v>
      </c>
      <c r="N57" s="1" t="n">
        <v>2775.6</v>
      </c>
      <c r="O57" s="1" t="n">
        <v>0</v>
      </c>
      <c r="Q57" s="4" t="n">
        <v>46104</v>
      </c>
      <c r="R57" s="0" t="n">
        <f aca="false">IF(ISBLANK(F57),"Missing",IFERROR(YEAR(F57),"Missing"))</f>
        <v>2020</v>
      </c>
      <c r="S57" s="0" t="str">
        <f aca="false">IF(ISBLANK(E57),"Missing",IF(E57&lt;6,"0-6mo",IF(E57&lt;12,"6-12mo",IF(E57&lt;24,"12-24mo","24mo+"))))</f>
        <v>24mo+</v>
      </c>
      <c r="T57" s="0" t="n">
        <f aca="false">IF(ISBLANK(C57),0,IF(C57="Month-to-month",2,IF(C57="One year",1,0)))+IF(ISBLANK(I57),0,IF(I57&lt;40,2,IF(I57&lt;55,1,0)))+IF(ISBLANK(M57),0,IF(M57=1,3,0))+IF(ISBLANK(L57),0,IF(L57&gt;=2,1,0))+IF(ISBLANK(E57),0,IF(E57&lt;12,1,0))</f>
        <v>3</v>
      </c>
      <c r="U57" s="0" t="str">
        <f aca="false">IF((ISBLANK(B57)*1+ISBLANK(C57)*1+ISBLANK(D57)*1+ISBLANK(E57)*1+ISBLANK(F57)*1+ISBLANK(I57)*1+ISBLANK(J57)*1+ISBLANK(K57)*1+ISBLANK(L57)*1+ISBLANK(M57)*1+ISBLANK(N57)*1+ISBLANK(O57)*1)&gt;0,"Missing Data","OK")</f>
        <v>OK</v>
      </c>
      <c r="V57" s="0" t="str">
        <f aca="false">IF(T57&gt;=6,"High Risk",IF(T57&gt;=3,"Medium Risk","Low Risk"))</f>
        <v>Medium Risk</v>
      </c>
    </row>
    <row r="58" customFormat="false" ht="12.8" hidden="false" customHeight="false" outlineLevel="0" collapsed="false">
      <c r="A58" s="1" t="s">
        <v>88</v>
      </c>
      <c r="B58" s="1" t="s">
        <v>36</v>
      </c>
      <c r="C58" s="1" t="s">
        <v>24</v>
      </c>
      <c r="D58" s="1" t="n">
        <v>10.05</v>
      </c>
      <c r="E58" s="1" t="n">
        <v>7</v>
      </c>
      <c r="F58" s="4" t="n">
        <v>43913</v>
      </c>
      <c r="G58" s="1" t="s">
        <v>39</v>
      </c>
      <c r="H58" s="1" t="n">
        <v>1</v>
      </c>
      <c r="I58" s="1" t="n">
        <v>82.8</v>
      </c>
      <c r="J58" s="1" t="n">
        <v>23</v>
      </c>
      <c r="K58" s="1" t="n">
        <v>10</v>
      </c>
      <c r="L58" s="1" t="n">
        <v>3</v>
      </c>
      <c r="M58" s="1" t="n">
        <v>0</v>
      </c>
      <c r="N58" s="1" t="n">
        <v>70.35</v>
      </c>
      <c r="O58" s="1" t="n">
        <v>0</v>
      </c>
      <c r="Q58" s="4" t="n">
        <v>44126</v>
      </c>
      <c r="R58" s="0" t="n">
        <f aca="false">IF(ISBLANK(F58),"Missing",IFERROR(YEAR(F58),"Missing"))</f>
        <v>2020</v>
      </c>
      <c r="S58" s="0" t="str">
        <f aca="false">IF(ISBLANK(E58),"Missing",IF(E58&lt;6,"0-6mo",IF(E58&lt;12,"6-12mo",IF(E58&lt;24,"12-24mo","24mo+"))))</f>
        <v>6-12mo</v>
      </c>
      <c r="T58" s="0" t="n">
        <f aca="false">IF(ISBLANK(C58),0,IF(C58="Month-to-month",2,IF(C58="One year",1,0)))+IF(ISBLANK(I58),0,IF(I58&lt;40,2,IF(I58&lt;55,1,0)))+IF(ISBLANK(M58),0,IF(M58=1,3,0))+IF(ISBLANK(L58),0,IF(L58&gt;=2,1,0))+IF(ISBLANK(E58),0,IF(E58&lt;12,1,0))</f>
        <v>4</v>
      </c>
      <c r="U58" s="0" t="str">
        <f aca="false">IF((ISBLANK(B58)*1+ISBLANK(C58)*1+ISBLANK(D58)*1+ISBLANK(E58)*1+ISBLANK(F58)*1+ISBLANK(I58)*1+ISBLANK(J58)*1+ISBLANK(K58)*1+ISBLANK(L58)*1+ISBLANK(M58)*1+ISBLANK(N58)*1+ISBLANK(O58)*1)&gt;0,"Missing Data","OK")</f>
        <v>OK</v>
      </c>
      <c r="V58" s="0" t="str">
        <f aca="false">IF(T58&gt;=6,"High Risk",IF(T58&gt;=3,"Medium Risk","Low Risk"))</f>
        <v>Medium Risk</v>
      </c>
    </row>
    <row r="59" customFormat="false" ht="12.8" hidden="false" customHeight="false" outlineLevel="0" collapsed="false">
      <c r="A59" s="1" t="s">
        <v>89</v>
      </c>
      <c r="B59" s="1" t="s">
        <v>23</v>
      </c>
      <c r="C59" s="1" t="s">
        <v>24</v>
      </c>
      <c r="D59" s="1" t="n">
        <v>20.63</v>
      </c>
      <c r="E59" s="1" t="n">
        <v>17</v>
      </c>
      <c r="F59" s="4" t="n">
        <v>43914</v>
      </c>
      <c r="G59" s="1" t="s">
        <v>39</v>
      </c>
      <c r="H59" s="1" t="n">
        <v>1</v>
      </c>
      <c r="I59" s="1" t="n">
        <v>25.7</v>
      </c>
      <c r="J59" s="1" t="n">
        <v>4</v>
      </c>
      <c r="K59" s="1" t="n">
        <v>1</v>
      </c>
      <c r="L59" s="1" t="n">
        <v>2</v>
      </c>
      <c r="M59" s="1" t="n">
        <v>0</v>
      </c>
      <c r="N59" s="1" t="n">
        <v>350.71</v>
      </c>
      <c r="O59" s="1" t="n">
        <v>1</v>
      </c>
      <c r="P59" s="4" t="n">
        <v>44431</v>
      </c>
      <c r="Q59" s="4" t="n">
        <v>44431</v>
      </c>
      <c r="R59" s="0" t="n">
        <f aca="false">IF(ISBLANK(F59),"Missing",IFERROR(YEAR(F59),"Missing"))</f>
        <v>2020</v>
      </c>
      <c r="S59" s="0" t="str">
        <f aca="false">IF(ISBLANK(E59),"Missing",IF(E59&lt;6,"0-6mo",IF(E59&lt;12,"6-12mo",IF(E59&lt;24,"12-24mo","24mo+"))))</f>
        <v>12-24mo</v>
      </c>
      <c r="T59" s="0" t="n">
        <f aca="false">IF(ISBLANK(C59),0,IF(C59="Month-to-month",2,IF(C59="One year",1,0)))+IF(ISBLANK(I59),0,IF(I59&lt;40,2,IF(I59&lt;55,1,0)))+IF(ISBLANK(M59),0,IF(M59=1,3,0))+IF(ISBLANK(L59),0,IF(L59&gt;=2,1,0))+IF(ISBLANK(E59),0,IF(E59&lt;12,1,0))</f>
        <v>5</v>
      </c>
      <c r="U59" s="0" t="str">
        <f aca="false">IF((ISBLANK(B59)*1+ISBLANK(C59)*1+ISBLANK(D59)*1+ISBLANK(E59)*1+ISBLANK(F59)*1+ISBLANK(I59)*1+ISBLANK(J59)*1+ISBLANK(K59)*1+ISBLANK(L59)*1+ISBLANK(M59)*1+ISBLANK(N59)*1+ISBLANK(O59)*1)&gt;0,"Missing Data","OK")</f>
        <v>OK</v>
      </c>
      <c r="V59" s="0" t="str">
        <f aca="false">IF(T59&gt;=6,"High Risk",IF(T59&gt;=3,"Medium Risk","Low Risk"))</f>
        <v>Medium Risk</v>
      </c>
    </row>
    <row r="60" customFormat="false" ht="12.8" hidden="false" customHeight="false" outlineLevel="0" collapsed="false">
      <c r="A60" s="1" t="s">
        <v>90</v>
      </c>
      <c r="B60" s="1" t="s">
        <v>36</v>
      </c>
      <c r="C60" s="1" t="s">
        <v>24</v>
      </c>
      <c r="D60" s="1" t="n">
        <v>10.24</v>
      </c>
      <c r="E60" s="1" t="n">
        <v>8</v>
      </c>
      <c r="F60" s="4" t="n">
        <v>43914</v>
      </c>
      <c r="G60" s="1" t="s">
        <v>30</v>
      </c>
      <c r="H60" s="1" t="n">
        <v>1</v>
      </c>
      <c r="I60" s="1" t="n">
        <v>61.4</v>
      </c>
      <c r="J60" s="1" t="n">
        <v>19</v>
      </c>
      <c r="K60" s="1" t="n">
        <v>9</v>
      </c>
      <c r="L60" s="1" t="n">
        <v>1</v>
      </c>
      <c r="M60" s="1" t="n">
        <v>0</v>
      </c>
      <c r="N60" s="1" t="n">
        <v>81.92</v>
      </c>
      <c r="O60" s="1" t="n">
        <v>0</v>
      </c>
      <c r="Q60" s="4" t="n">
        <v>44157</v>
      </c>
      <c r="R60" s="0" t="n">
        <f aca="false">IF(ISBLANK(F60),"Missing",IFERROR(YEAR(F60),"Missing"))</f>
        <v>2020</v>
      </c>
      <c r="S60" s="0" t="str">
        <f aca="false">IF(ISBLANK(E60),"Missing",IF(E60&lt;6,"0-6mo",IF(E60&lt;12,"6-12mo",IF(E60&lt;24,"12-24mo","24mo+"))))</f>
        <v>6-12mo</v>
      </c>
      <c r="T60" s="0" t="n">
        <f aca="false">IF(ISBLANK(C60),0,IF(C60="Month-to-month",2,IF(C60="One year",1,0)))+IF(ISBLANK(I60),0,IF(I60&lt;40,2,IF(I60&lt;55,1,0)))+IF(ISBLANK(M60),0,IF(M60=1,3,0))+IF(ISBLANK(L60),0,IF(L60&gt;=2,1,0))+IF(ISBLANK(E60),0,IF(E60&lt;12,1,0))</f>
        <v>3</v>
      </c>
      <c r="U60" s="0" t="str">
        <f aca="false">IF((ISBLANK(B60)*1+ISBLANK(C60)*1+ISBLANK(D60)*1+ISBLANK(E60)*1+ISBLANK(F60)*1+ISBLANK(I60)*1+ISBLANK(J60)*1+ISBLANK(K60)*1+ISBLANK(L60)*1+ISBLANK(M60)*1+ISBLANK(N60)*1+ISBLANK(O60)*1)&gt;0,"Missing Data","OK")</f>
        <v>OK</v>
      </c>
      <c r="V60" s="0" t="str">
        <f aca="false">IF(T60&gt;=6,"High Risk",IF(T60&gt;=3,"Medium Risk","Low Risk"))</f>
        <v>Medium Risk</v>
      </c>
    </row>
    <row r="61" customFormat="false" ht="12.8" hidden="false" customHeight="false" outlineLevel="0" collapsed="false">
      <c r="A61" s="1" t="s">
        <v>91</v>
      </c>
      <c r="B61" s="1" t="s">
        <v>36</v>
      </c>
      <c r="C61" s="1" t="s">
        <v>24</v>
      </c>
      <c r="D61" s="1" t="n">
        <v>9.82</v>
      </c>
      <c r="E61" s="1" t="n">
        <v>64</v>
      </c>
      <c r="F61" s="4" t="n">
        <v>43916</v>
      </c>
      <c r="G61" s="1" t="s">
        <v>25</v>
      </c>
      <c r="H61" s="1" t="n">
        <v>0</v>
      </c>
      <c r="I61" s="1" t="n">
        <v>56.6</v>
      </c>
      <c r="J61" s="1" t="n">
        <v>21</v>
      </c>
      <c r="K61" s="1" t="n">
        <v>8</v>
      </c>
      <c r="L61" s="1" t="n">
        <v>0</v>
      </c>
      <c r="M61" s="1" t="n">
        <v>0</v>
      </c>
      <c r="N61" s="1" t="n">
        <v>628.48</v>
      </c>
      <c r="O61" s="1" t="n">
        <v>0</v>
      </c>
      <c r="Q61" s="4" t="n">
        <v>45864</v>
      </c>
      <c r="R61" s="0" t="n">
        <f aca="false">IF(ISBLANK(F61),"Missing",IFERROR(YEAR(F61),"Missing"))</f>
        <v>2020</v>
      </c>
      <c r="S61" s="0" t="str">
        <f aca="false">IF(ISBLANK(E61),"Missing",IF(E61&lt;6,"0-6mo",IF(E61&lt;12,"6-12mo",IF(E61&lt;24,"12-24mo","24mo+"))))</f>
        <v>24mo+</v>
      </c>
      <c r="T61" s="0" t="n">
        <f aca="false">IF(ISBLANK(C61),0,IF(C61="Month-to-month",2,IF(C61="One year",1,0)))+IF(ISBLANK(I61),0,IF(I61&lt;40,2,IF(I61&lt;55,1,0)))+IF(ISBLANK(M61),0,IF(M61=1,3,0))+IF(ISBLANK(L61),0,IF(L61&gt;=2,1,0))+IF(ISBLANK(E61),0,IF(E61&lt;12,1,0))</f>
        <v>2</v>
      </c>
      <c r="U61" s="0" t="str">
        <f aca="false">IF((ISBLANK(B61)*1+ISBLANK(C61)*1+ISBLANK(D61)*1+ISBLANK(E61)*1+ISBLANK(F61)*1+ISBLANK(I61)*1+ISBLANK(J61)*1+ISBLANK(K61)*1+ISBLANK(L61)*1+ISBLANK(M61)*1+ISBLANK(N61)*1+ISBLANK(O61)*1)&gt;0,"Missing Data","OK")</f>
        <v>OK</v>
      </c>
      <c r="V61" s="0" t="str">
        <f aca="false">IF(T61&gt;=6,"High Risk",IF(T61&gt;=3,"Medium Risk","Low Risk"))</f>
        <v>Low Risk</v>
      </c>
    </row>
    <row r="62" customFormat="false" ht="12.8" hidden="false" customHeight="false" outlineLevel="0" collapsed="false">
      <c r="A62" s="1" t="s">
        <v>92</v>
      </c>
      <c r="B62" s="1" t="s">
        <v>23</v>
      </c>
      <c r="C62" s="1" t="s">
        <v>24</v>
      </c>
      <c r="D62" s="1" t="n">
        <v>19.45</v>
      </c>
      <c r="E62" s="1" t="n">
        <v>4</v>
      </c>
      <c r="F62" s="4" t="n">
        <v>43918</v>
      </c>
      <c r="G62" s="1" t="s">
        <v>25</v>
      </c>
      <c r="H62" s="1" t="n">
        <v>1</v>
      </c>
      <c r="I62" s="1" t="n">
        <v>47.5</v>
      </c>
      <c r="J62" s="1" t="n">
        <v>17</v>
      </c>
      <c r="K62" s="1" t="n">
        <v>5</v>
      </c>
      <c r="L62" s="1" t="n">
        <v>1</v>
      </c>
      <c r="M62" s="1" t="n">
        <v>1</v>
      </c>
      <c r="N62" s="1" t="n">
        <v>77.8</v>
      </c>
      <c r="O62" s="1" t="n">
        <v>0</v>
      </c>
      <c r="Q62" s="4" t="n">
        <v>44039</v>
      </c>
      <c r="R62" s="0" t="n">
        <f aca="false">IF(ISBLANK(F62),"Missing",IFERROR(YEAR(F62),"Missing"))</f>
        <v>2020</v>
      </c>
      <c r="S62" s="0" t="str">
        <f aca="false">IF(ISBLANK(E62),"Missing",IF(E62&lt;6,"0-6mo",IF(E62&lt;12,"6-12mo",IF(E62&lt;24,"12-24mo","24mo+"))))</f>
        <v>0-6mo</v>
      </c>
      <c r="T62" s="0" t="n">
        <f aca="false">IF(ISBLANK(C62),0,IF(C62="Month-to-month",2,IF(C62="One year",1,0)))+IF(ISBLANK(I62),0,IF(I62&lt;40,2,IF(I62&lt;55,1,0)))+IF(ISBLANK(M62),0,IF(M62=1,3,0))+IF(ISBLANK(L62),0,IF(L62&gt;=2,1,0))+IF(ISBLANK(E62),0,IF(E62&lt;12,1,0))</f>
        <v>7</v>
      </c>
      <c r="U62" s="0" t="str">
        <f aca="false">IF((ISBLANK(B62)*1+ISBLANK(C62)*1+ISBLANK(D62)*1+ISBLANK(E62)*1+ISBLANK(F62)*1+ISBLANK(I62)*1+ISBLANK(J62)*1+ISBLANK(K62)*1+ISBLANK(L62)*1+ISBLANK(M62)*1+ISBLANK(N62)*1+ISBLANK(O62)*1)&gt;0,"Missing Data","OK")</f>
        <v>OK</v>
      </c>
      <c r="V62" s="0" t="str">
        <f aca="false">IF(T62&gt;=6,"High Risk",IF(T62&gt;=3,"Medium Risk","Low Risk"))</f>
        <v>High Risk</v>
      </c>
    </row>
    <row r="63" customFormat="false" ht="12.8" hidden="false" customHeight="false" outlineLevel="0" collapsed="false">
      <c r="A63" s="1" t="s">
        <v>93</v>
      </c>
      <c r="B63" s="1" t="s">
        <v>23</v>
      </c>
      <c r="C63" s="1" t="s">
        <v>24</v>
      </c>
      <c r="D63" s="1" t="n">
        <v>19.54</v>
      </c>
      <c r="E63" s="1" t="n">
        <v>15</v>
      </c>
      <c r="F63" s="4" t="n">
        <v>43918</v>
      </c>
      <c r="G63" s="1" t="s">
        <v>25</v>
      </c>
      <c r="H63" s="1" t="n">
        <v>0</v>
      </c>
      <c r="I63" s="1" t="n">
        <v>58.9</v>
      </c>
      <c r="J63" s="1" t="n">
        <v>20</v>
      </c>
      <c r="K63" s="1" t="n">
        <v>6</v>
      </c>
      <c r="L63" s="1" t="n">
        <v>3</v>
      </c>
      <c r="M63" s="1" t="n">
        <v>1</v>
      </c>
      <c r="N63" s="1" t="n">
        <v>293.1</v>
      </c>
      <c r="O63" s="1" t="n">
        <v>0</v>
      </c>
      <c r="Q63" s="4" t="n">
        <v>44374</v>
      </c>
      <c r="R63" s="0" t="n">
        <f aca="false">IF(ISBLANK(F63),"Missing",IFERROR(YEAR(F63),"Missing"))</f>
        <v>2020</v>
      </c>
      <c r="S63" s="0" t="str">
        <f aca="false">IF(ISBLANK(E63),"Missing",IF(E63&lt;6,"0-6mo",IF(E63&lt;12,"6-12mo",IF(E63&lt;24,"12-24mo","24mo+"))))</f>
        <v>12-24mo</v>
      </c>
      <c r="T63" s="0" t="n">
        <f aca="false">IF(ISBLANK(C63),0,IF(C63="Month-to-month",2,IF(C63="One year",1,0)))+IF(ISBLANK(I63),0,IF(I63&lt;40,2,IF(I63&lt;55,1,0)))+IF(ISBLANK(M63),0,IF(M63=1,3,0))+IF(ISBLANK(L63),0,IF(L63&gt;=2,1,0))+IF(ISBLANK(E63),0,IF(E63&lt;12,1,0))</f>
        <v>6</v>
      </c>
      <c r="U63" s="0" t="str">
        <f aca="false">IF((ISBLANK(B63)*1+ISBLANK(C63)*1+ISBLANK(D63)*1+ISBLANK(E63)*1+ISBLANK(F63)*1+ISBLANK(I63)*1+ISBLANK(J63)*1+ISBLANK(K63)*1+ISBLANK(L63)*1+ISBLANK(M63)*1+ISBLANK(N63)*1+ISBLANK(O63)*1)&gt;0,"Missing Data","OK")</f>
        <v>OK</v>
      </c>
      <c r="V63" s="0" t="str">
        <f aca="false">IF(T63&gt;=6,"High Risk",IF(T63&gt;=3,"Medium Risk","Low Risk"))</f>
        <v>High Risk</v>
      </c>
    </row>
    <row r="64" customFormat="false" ht="12.8" hidden="false" customHeight="false" outlineLevel="0" collapsed="false">
      <c r="A64" s="1" t="s">
        <v>94</v>
      </c>
      <c r="B64" s="1" t="s">
        <v>29</v>
      </c>
      <c r="C64" s="1" t="s">
        <v>51</v>
      </c>
      <c r="D64" s="1" t="n">
        <v>40.01</v>
      </c>
      <c r="E64" s="1" t="n">
        <v>11</v>
      </c>
      <c r="F64" s="4" t="n">
        <v>43919</v>
      </c>
      <c r="G64" s="1" t="s">
        <v>25</v>
      </c>
      <c r="H64" s="1" t="n">
        <v>0</v>
      </c>
      <c r="I64" s="1" t="n">
        <v>50.1</v>
      </c>
      <c r="J64" s="1" t="n">
        <v>21</v>
      </c>
      <c r="K64" s="1" t="n">
        <v>6</v>
      </c>
      <c r="L64" s="1" t="n">
        <v>2</v>
      </c>
      <c r="M64" s="1" t="n">
        <v>0</v>
      </c>
      <c r="N64" s="1" t="n">
        <v>440.11</v>
      </c>
      <c r="O64" s="1" t="n">
        <v>0</v>
      </c>
      <c r="Q64" s="4" t="n">
        <v>44253</v>
      </c>
      <c r="R64" s="0" t="n">
        <f aca="false">IF(ISBLANK(F64),"Missing",IFERROR(YEAR(F64),"Missing"))</f>
        <v>2020</v>
      </c>
      <c r="S64" s="0" t="str">
        <f aca="false">IF(ISBLANK(E64),"Missing",IF(E64&lt;6,"0-6mo",IF(E64&lt;12,"6-12mo",IF(E64&lt;24,"12-24mo","24mo+"))))</f>
        <v>6-12mo</v>
      </c>
      <c r="T64" s="0" t="n">
        <f aca="false">IF(ISBLANK(C64),0,IF(C64="Month-to-month",2,IF(C64="One year",1,0)))+IF(ISBLANK(I64),0,IF(I64&lt;40,2,IF(I64&lt;55,1,0)))+IF(ISBLANK(M64),0,IF(M64=1,3,0))+IF(ISBLANK(L64),0,IF(L64&gt;=2,1,0))+IF(ISBLANK(E64),0,IF(E64&lt;12,1,0))</f>
        <v>3</v>
      </c>
      <c r="U64" s="0" t="str">
        <f aca="false">IF((ISBLANK(B64)*1+ISBLANK(C64)*1+ISBLANK(D64)*1+ISBLANK(E64)*1+ISBLANK(F64)*1+ISBLANK(I64)*1+ISBLANK(J64)*1+ISBLANK(K64)*1+ISBLANK(L64)*1+ISBLANK(M64)*1+ISBLANK(N64)*1+ISBLANK(O64)*1)&gt;0,"Missing Data","OK")</f>
        <v>OK</v>
      </c>
      <c r="V64" s="0" t="str">
        <f aca="false">IF(T64&gt;=6,"High Risk",IF(T64&gt;=3,"Medium Risk","Low Risk"))</f>
        <v>Medium Risk</v>
      </c>
    </row>
    <row r="65" customFormat="false" ht="12.8" hidden="false" customHeight="false" outlineLevel="0" collapsed="false">
      <c r="A65" s="1" t="s">
        <v>95</v>
      </c>
      <c r="B65" s="1" t="s">
        <v>36</v>
      </c>
      <c r="C65" s="1" t="s">
        <v>24</v>
      </c>
      <c r="D65" s="1" t="n">
        <v>10.61</v>
      </c>
      <c r="E65" s="1" t="n">
        <v>29</v>
      </c>
      <c r="F65" s="4" t="n">
        <v>43920</v>
      </c>
      <c r="G65" s="1" t="s">
        <v>30</v>
      </c>
      <c r="H65" s="1" t="n">
        <v>1</v>
      </c>
      <c r="I65" s="1" t="n">
        <v>29.9</v>
      </c>
      <c r="J65" s="1" t="n">
        <v>17</v>
      </c>
      <c r="K65" s="1" t="n">
        <v>1</v>
      </c>
      <c r="L65" s="1" t="n">
        <v>3</v>
      </c>
      <c r="M65" s="1" t="n">
        <v>0</v>
      </c>
      <c r="N65" s="1" t="n">
        <v>307.69</v>
      </c>
      <c r="O65" s="1" t="n">
        <v>0</v>
      </c>
      <c r="Q65" s="4" t="n">
        <v>44802</v>
      </c>
      <c r="R65" s="0" t="n">
        <f aca="false">IF(ISBLANK(F65),"Missing",IFERROR(YEAR(F65),"Missing"))</f>
        <v>2020</v>
      </c>
      <c r="S65" s="0" t="str">
        <f aca="false">IF(ISBLANK(E65),"Missing",IF(E65&lt;6,"0-6mo",IF(E65&lt;12,"6-12mo",IF(E65&lt;24,"12-24mo","24mo+"))))</f>
        <v>24mo+</v>
      </c>
      <c r="T65" s="0" t="n">
        <f aca="false">IF(ISBLANK(C65),0,IF(C65="Month-to-month",2,IF(C65="One year",1,0)))+IF(ISBLANK(I65),0,IF(I65&lt;40,2,IF(I65&lt;55,1,0)))+IF(ISBLANK(M65),0,IF(M65=1,3,0))+IF(ISBLANK(L65),0,IF(L65&gt;=2,1,0))+IF(ISBLANK(E65),0,IF(E65&lt;12,1,0))</f>
        <v>5</v>
      </c>
      <c r="U65" s="0" t="str">
        <f aca="false">IF((ISBLANK(B65)*1+ISBLANK(C65)*1+ISBLANK(D65)*1+ISBLANK(E65)*1+ISBLANK(F65)*1+ISBLANK(I65)*1+ISBLANK(J65)*1+ISBLANK(K65)*1+ISBLANK(L65)*1+ISBLANK(M65)*1+ISBLANK(N65)*1+ISBLANK(O65)*1)&gt;0,"Missing Data","OK")</f>
        <v>OK</v>
      </c>
      <c r="V65" s="0" t="str">
        <f aca="false">IF(T65&gt;=6,"High Risk",IF(T65&gt;=3,"Medium Risk","Low Risk"))</f>
        <v>Medium Risk</v>
      </c>
    </row>
    <row r="66" customFormat="false" ht="12.8" hidden="false" customHeight="false" outlineLevel="0" collapsed="false">
      <c r="A66" s="1" t="s">
        <v>96</v>
      </c>
      <c r="B66" s="1" t="s">
        <v>36</v>
      </c>
      <c r="C66" s="1" t="s">
        <v>24</v>
      </c>
      <c r="D66" s="1" t="n">
        <v>11.83</v>
      </c>
      <c r="E66" s="1" t="n">
        <v>29</v>
      </c>
      <c r="F66" s="4" t="n">
        <v>43920</v>
      </c>
      <c r="G66" s="1" t="s">
        <v>39</v>
      </c>
      <c r="H66" s="1" t="n">
        <v>1</v>
      </c>
      <c r="I66" s="1" t="n">
        <v>42.4</v>
      </c>
      <c r="J66" s="1" t="n">
        <v>16</v>
      </c>
      <c r="K66" s="1" t="n">
        <v>2</v>
      </c>
      <c r="L66" s="1" t="n">
        <v>1</v>
      </c>
      <c r="M66" s="1" t="n">
        <v>0</v>
      </c>
      <c r="N66" s="1" t="n">
        <v>343.07</v>
      </c>
      <c r="O66" s="1" t="n">
        <v>0</v>
      </c>
      <c r="Q66" s="4" t="n">
        <v>44802</v>
      </c>
      <c r="R66" s="0" t="n">
        <f aca="false">IF(ISBLANK(F66),"Missing",IFERROR(YEAR(F66),"Missing"))</f>
        <v>2020</v>
      </c>
      <c r="S66" s="0" t="str">
        <f aca="false">IF(ISBLANK(E66),"Missing",IF(E66&lt;6,"0-6mo",IF(E66&lt;12,"6-12mo",IF(E66&lt;24,"12-24mo","24mo+"))))</f>
        <v>24mo+</v>
      </c>
      <c r="T66" s="0" t="n">
        <f aca="false">IF(ISBLANK(C66),0,IF(C66="Month-to-month",2,IF(C66="One year",1,0)))+IF(ISBLANK(I66),0,IF(I66&lt;40,2,IF(I66&lt;55,1,0)))+IF(ISBLANK(M66),0,IF(M66=1,3,0))+IF(ISBLANK(L66),0,IF(L66&gt;=2,1,0))+IF(ISBLANK(E66),0,IF(E66&lt;12,1,0))</f>
        <v>3</v>
      </c>
      <c r="U66" s="0" t="str">
        <f aca="false">IF((ISBLANK(B66)*1+ISBLANK(C66)*1+ISBLANK(D66)*1+ISBLANK(E66)*1+ISBLANK(F66)*1+ISBLANK(I66)*1+ISBLANK(J66)*1+ISBLANK(K66)*1+ISBLANK(L66)*1+ISBLANK(M66)*1+ISBLANK(N66)*1+ISBLANK(O66)*1)&gt;0,"Missing Data","OK")</f>
        <v>OK</v>
      </c>
      <c r="V66" s="0" t="str">
        <f aca="false">IF(T66&gt;=6,"High Risk",IF(T66&gt;=3,"Medium Risk","Low Risk"))</f>
        <v>Medium Risk</v>
      </c>
    </row>
    <row r="67" customFormat="false" ht="12.8" hidden="false" customHeight="false" outlineLevel="0" collapsed="false">
      <c r="A67" s="1" t="s">
        <v>97</v>
      </c>
      <c r="B67" s="1" t="s">
        <v>23</v>
      </c>
      <c r="C67" s="1" t="s">
        <v>24</v>
      </c>
      <c r="D67" s="1" t="n">
        <v>17.84</v>
      </c>
      <c r="E67" s="1" t="n">
        <v>50</v>
      </c>
      <c r="F67" s="4" t="n">
        <v>43922</v>
      </c>
      <c r="G67" s="1" t="s">
        <v>25</v>
      </c>
      <c r="H67" s="1" t="n">
        <v>0</v>
      </c>
      <c r="I67" s="1" t="n">
        <v>57.2</v>
      </c>
      <c r="J67" s="1" t="n">
        <v>13</v>
      </c>
      <c r="K67" s="1" t="n">
        <v>7</v>
      </c>
      <c r="L67" s="1" t="n">
        <v>1</v>
      </c>
      <c r="M67" s="1" t="n">
        <v>0</v>
      </c>
      <c r="N67" s="1" t="n">
        <v>892</v>
      </c>
      <c r="O67" s="1" t="n">
        <v>0</v>
      </c>
      <c r="Q67" s="4" t="n">
        <v>45444</v>
      </c>
      <c r="R67" s="0" t="n">
        <f aca="false">IF(ISBLANK(F67),"Missing",IFERROR(YEAR(F67),"Missing"))</f>
        <v>2020</v>
      </c>
      <c r="S67" s="0" t="str">
        <f aca="false">IF(ISBLANK(E67),"Missing",IF(E67&lt;6,"0-6mo",IF(E67&lt;12,"6-12mo",IF(E67&lt;24,"12-24mo","24mo+"))))</f>
        <v>24mo+</v>
      </c>
      <c r="T67" s="0" t="n">
        <f aca="false">IF(ISBLANK(C67),0,IF(C67="Month-to-month",2,IF(C67="One year",1,0)))+IF(ISBLANK(I67),0,IF(I67&lt;40,2,IF(I67&lt;55,1,0)))+IF(ISBLANK(M67),0,IF(M67=1,3,0))+IF(ISBLANK(L67),0,IF(L67&gt;=2,1,0))+IF(ISBLANK(E67),0,IF(E67&lt;12,1,0))</f>
        <v>2</v>
      </c>
      <c r="U67" s="0" t="str">
        <f aca="false">IF((ISBLANK(B67)*1+ISBLANK(C67)*1+ISBLANK(D67)*1+ISBLANK(E67)*1+ISBLANK(F67)*1+ISBLANK(I67)*1+ISBLANK(J67)*1+ISBLANK(K67)*1+ISBLANK(L67)*1+ISBLANK(M67)*1+ISBLANK(N67)*1+ISBLANK(O67)*1)&gt;0,"Missing Data","OK")</f>
        <v>OK</v>
      </c>
      <c r="V67" s="0" t="str">
        <f aca="false">IF(T67&gt;=6,"High Risk",IF(T67&gt;=3,"Medium Risk","Low Risk"))</f>
        <v>Low Risk</v>
      </c>
    </row>
    <row r="68" customFormat="false" ht="12.8" hidden="false" customHeight="false" outlineLevel="0" collapsed="false">
      <c r="A68" s="1" t="s">
        <v>98</v>
      </c>
      <c r="B68" s="1" t="s">
        <v>23</v>
      </c>
      <c r="C68" s="1" t="s">
        <v>34</v>
      </c>
      <c r="D68" s="1" t="n">
        <v>20.1</v>
      </c>
      <c r="E68" s="1" t="n">
        <v>3</v>
      </c>
      <c r="F68" s="4" t="n">
        <v>43923</v>
      </c>
      <c r="G68" s="1" t="s">
        <v>39</v>
      </c>
      <c r="H68" s="1" t="n">
        <v>1</v>
      </c>
      <c r="I68" s="1" t="n">
        <v>60.8</v>
      </c>
      <c r="J68" s="1" t="n">
        <v>24</v>
      </c>
      <c r="K68" s="1" t="n">
        <v>6</v>
      </c>
      <c r="L68" s="1" t="n">
        <v>0</v>
      </c>
      <c r="M68" s="1" t="n">
        <v>0</v>
      </c>
      <c r="N68" s="1" t="n">
        <v>60.3</v>
      </c>
      <c r="O68" s="1" t="n">
        <v>0</v>
      </c>
      <c r="Q68" s="4" t="n">
        <v>44014</v>
      </c>
      <c r="R68" s="0" t="n">
        <f aca="false">IF(ISBLANK(F68),"Missing",IFERROR(YEAR(F68),"Missing"))</f>
        <v>2020</v>
      </c>
      <c r="S68" s="0" t="str">
        <f aca="false">IF(ISBLANK(E68),"Missing",IF(E68&lt;6,"0-6mo",IF(E68&lt;12,"6-12mo",IF(E68&lt;24,"12-24mo","24mo+"))))</f>
        <v>0-6mo</v>
      </c>
      <c r="T68" s="0" t="n">
        <f aca="false">IF(ISBLANK(C68),0,IF(C68="Month-to-month",2,IF(C68="One year",1,0)))+IF(ISBLANK(I68),0,IF(I68&lt;40,2,IF(I68&lt;55,1,0)))+IF(ISBLANK(M68),0,IF(M68=1,3,0))+IF(ISBLANK(L68),0,IF(L68&gt;=2,1,0))+IF(ISBLANK(E68),0,IF(E68&lt;12,1,0))</f>
        <v>2</v>
      </c>
      <c r="U68" s="0" t="str">
        <f aca="false">IF((ISBLANK(B68)*1+ISBLANK(C68)*1+ISBLANK(D68)*1+ISBLANK(E68)*1+ISBLANK(F68)*1+ISBLANK(I68)*1+ISBLANK(J68)*1+ISBLANK(K68)*1+ISBLANK(L68)*1+ISBLANK(M68)*1+ISBLANK(N68)*1+ISBLANK(O68)*1)&gt;0,"Missing Data","OK")</f>
        <v>OK</v>
      </c>
      <c r="V68" s="0" t="str">
        <f aca="false">IF(T68&gt;=6,"High Risk",IF(T68&gt;=3,"Medium Risk","Low Risk"))</f>
        <v>Low Risk</v>
      </c>
    </row>
    <row r="69" customFormat="false" ht="12.8" hidden="false" customHeight="false" outlineLevel="0" collapsed="false">
      <c r="A69" s="1" t="s">
        <v>99</v>
      </c>
      <c r="B69" s="1" t="s">
        <v>36</v>
      </c>
      <c r="C69" s="1" t="s">
        <v>24</v>
      </c>
      <c r="D69" s="1" t="n">
        <v>10.66</v>
      </c>
      <c r="E69" s="1" t="n">
        <v>72</v>
      </c>
      <c r="F69" s="4" t="n">
        <v>43924</v>
      </c>
      <c r="G69" s="1" t="s">
        <v>30</v>
      </c>
      <c r="H69" s="1" t="n">
        <v>0</v>
      </c>
      <c r="I69" s="1" t="n">
        <v>47.8</v>
      </c>
      <c r="J69" s="1" t="n">
        <v>23</v>
      </c>
      <c r="K69" s="1" t="n">
        <v>7</v>
      </c>
      <c r="L69" s="1" t="n">
        <v>0</v>
      </c>
      <c r="M69" s="1" t="n">
        <v>0</v>
      </c>
      <c r="N69" s="1" t="n">
        <v>767.52</v>
      </c>
      <c r="O69" s="1" t="n">
        <v>0</v>
      </c>
      <c r="Q69" s="4" t="n">
        <v>46115</v>
      </c>
      <c r="R69" s="0" t="n">
        <f aca="false">IF(ISBLANK(F69),"Missing",IFERROR(YEAR(F69),"Missing"))</f>
        <v>2020</v>
      </c>
      <c r="S69" s="0" t="str">
        <f aca="false">IF(ISBLANK(E69),"Missing",IF(E69&lt;6,"0-6mo",IF(E69&lt;12,"6-12mo",IF(E69&lt;24,"12-24mo","24mo+"))))</f>
        <v>24mo+</v>
      </c>
      <c r="T69" s="0" t="n">
        <f aca="false">IF(ISBLANK(C69),0,IF(C69="Month-to-month",2,IF(C69="One year",1,0)))+IF(ISBLANK(I69),0,IF(I69&lt;40,2,IF(I69&lt;55,1,0)))+IF(ISBLANK(M69),0,IF(M69=1,3,0))+IF(ISBLANK(L69),0,IF(L69&gt;=2,1,0))+IF(ISBLANK(E69),0,IF(E69&lt;12,1,0))</f>
        <v>3</v>
      </c>
      <c r="U69" s="0" t="str">
        <f aca="false">IF((ISBLANK(B69)*1+ISBLANK(C69)*1+ISBLANK(D69)*1+ISBLANK(E69)*1+ISBLANK(F69)*1+ISBLANK(I69)*1+ISBLANK(J69)*1+ISBLANK(K69)*1+ISBLANK(L69)*1+ISBLANK(M69)*1+ISBLANK(N69)*1+ISBLANK(O69)*1)&gt;0,"Missing Data","OK")</f>
        <v>OK</v>
      </c>
      <c r="V69" s="0" t="str">
        <f aca="false">IF(T69&gt;=6,"High Risk",IF(T69&gt;=3,"Medium Risk","Low Risk"))</f>
        <v>Medium Risk</v>
      </c>
    </row>
    <row r="70" customFormat="false" ht="12.8" hidden="false" customHeight="false" outlineLevel="0" collapsed="false">
      <c r="A70" s="1" t="s">
        <v>100</v>
      </c>
      <c r="B70" s="1" t="s">
        <v>36</v>
      </c>
      <c r="C70" s="1" t="s">
        <v>34</v>
      </c>
      <c r="D70" s="1" t="n">
        <v>9.24</v>
      </c>
      <c r="E70" s="1" t="n">
        <v>1</v>
      </c>
      <c r="F70" s="4" t="n">
        <v>43924</v>
      </c>
      <c r="G70" s="1" t="s">
        <v>25</v>
      </c>
      <c r="H70" s="1" t="n">
        <v>0</v>
      </c>
      <c r="I70" s="1" t="n">
        <v>31.5</v>
      </c>
      <c r="J70" s="1" t="n">
        <v>11</v>
      </c>
      <c r="K70" s="1" t="n">
        <v>5</v>
      </c>
      <c r="L70" s="1" t="n">
        <v>1</v>
      </c>
      <c r="M70" s="1" t="n">
        <v>0</v>
      </c>
      <c r="N70" s="1" t="n">
        <v>9.24</v>
      </c>
      <c r="O70" s="1" t="n">
        <v>0</v>
      </c>
      <c r="Q70" s="4" t="n">
        <v>43954</v>
      </c>
      <c r="R70" s="0" t="n">
        <f aca="false">IF(ISBLANK(F70),"Missing",IFERROR(YEAR(F70),"Missing"))</f>
        <v>2020</v>
      </c>
      <c r="S70" s="0" t="str">
        <f aca="false">IF(ISBLANK(E70),"Missing",IF(E70&lt;6,"0-6mo",IF(E70&lt;12,"6-12mo",IF(E70&lt;24,"12-24mo","24mo+"))))</f>
        <v>0-6mo</v>
      </c>
      <c r="T70" s="0" t="n">
        <f aca="false">IF(ISBLANK(C70),0,IF(C70="Month-to-month",2,IF(C70="One year",1,0)))+IF(ISBLANK(I70),0,IF(I70&lt;40,2,IF(I70&lt;55,1,0)))+IF(ISBLANK(M70),0,IF(M70=1,3,0))+IF(ISBLANK(L70),0,IF(L70&gt;=2,1,0))+IF(ISBLANK(E70),0,IF(E70&lt;12,1,0))</f>
        <v>4</v>
      </c>
      <c r="U70" s="0" t="str">
        <f aca="false">IF((ISBLANK(B70)*1+ISBLANK(C70)*1+ISBLANK(D70)*1+ISBLANK(E70)*1+ISBLANK(F70)*1+ISBLANK(I70)*1+ISBLANK(J70)*1+ISBLANK(K70)*1+ISBLANK(L70)*1+ISBLANK(M70)*1+ISBLANK(N70)*1+ISBLANK(O70)*1)&gt;0,"Missing Data","OK")</f>
        <v>OK</v>
      </c>
      <c r="V70" s="0" t="str">
        <f aca="false">IF(T70&gt;=6,"High Risk",IF(T70&gt;=3,"Medium Risk","Low Risk"))</f>
        <v>Medium Risk</v>
      </c>
    </row>
    <row r="71" customFormat="false" ht="12.8" hidden="false" customHeight="false" outlineLevel="0" collapsed="false">
      <c r="A71" s="1" t="s">
        <v>101</v>
      </c>
      <c r="B71" s="1" t="s">
        <v>36</v>
      </c>
      <c r="C71" s="1" t="s">
        <v>24</v>
      </c>
      <c r="D71" s="1" t="n">
        <v>8.86</v>
      </c>
      <c r="E71" s="1" t="n">
        <v>40</v>
      </c>
      <c r="F71" s="4" t="n">
        <v>43927</v>
      </c>
      <c r="G71" s="1" t="s">
        <v>39</v>
      </c>
      <c r="H71" s="1" t="n">
        <v>1</v>
      </c>
      <c r="I71" s="1" t="n">
        <v>43.3</v>
      </c>
      <c r="J71" s="1" t="n">
        <v>16</v>
      </c>
      <c r="K71" s="1" t="n">
        <v>7</v>
      </c>
      <c r="L71" s="1" t="n">
        <v>0</v>
      </c>
      <c r="M71" s="1" t="n">
        <v>0</v>
      </c>
      <c r="N71" s="1" t="n">
        <v>354.4</v>
      </c>
      <c r="O71" s="1" t="n">
        <v>1</v>
      </c>
      <c r="P71" s="4" t="n">
        <v>45144</v>
      </c>
      <c r="Q71" s="4" t="n">
        <v>45144</v>
      </c>
      <c r="R71" s="0" t="n">
        <f aca="false">IF(ISBLANK(F71),"Missing",IFERROR(YEAR(F71),"Missing"))</f>
        <v>2020</v>
      </c>
      <c r="S71" s="0" t="str">
        <f aca="false">IF(ISBLANK(E71),"Missing",IF(E71&lt;6,"0-6mo",IF(E71&lt;12,"6-12mo",IF(E71&lt;24,"12-24mo","24mo+"))))</f>
        <v>24mo+</v>
      </c>
      <c r="T71" s="0" t="n">
        <f aca="false">IF(ISBLANK(C71),0,IF(C71="Month-to-month",2,IF(C71="One year",1,0)))+IF(ISBLANK(I71),0,IF(I71&lt;40,2,IF(I71&lt;55,1,0)))+IF(ISBLANK(M71),0,IF(M71=1,3,0))+IF(ISBLANK(L71),0,IF(L71&gt;=2,1,0))+IF(ISBLANK(E71),0,IF(E71&lt;12,1,0))</f>
        <v>3</v>
      </c>
      <c r="U71" s="0" t="str">
        <f aca="false">IF((ISBLANK(B71)*1+ISBLANK(C71)*1+ISBLANK(D71)*1+ISBLANK(E71)*1+ISBLANK(F71)*1+ISBLANK(I71)*1+ISBLANK(J71)*1+ISBLANK(K71)*1+ISBLANK(L71)*1+ISBLANK(M71)*1+ISBLANK(N71)*1+ISBLANK(O71)*1)&gt;0,"Missing Data","OK")</f>
        <v>OK</v>
      </c>
      <c r="V71" s="0" t="str">
        <f aca="false">IF(T71&gt;=6,"High Risk",IF(T71&gt;=3,"Medium Risk","Low Risk"))</f>
        <v>Medium Risk</v>
      </c>
    </row>
    <row r="72" customFormat="false" ht="12.8" hidden="false" customHeight="false" outlineLevel="0" collapsed="false">
      <c r="A72" s="1" t="s">
        <v>102</v>
      </c>
      <c r="B72" s="1" t="s">
        <v>23</v>
      </c>
      <c r="C72" s="1" t="s">
        <v>34</v>
      </c>
      <c r="D72" s="1" t="n">
        <v>20.61</v>
      </c>
      <c r="E72" s="1" t="n">
        <v>14</v>
      </c>
      <c r="F72" s="4" t="n">
        <v>43927</v>
      </c>
      <c r="G72" s="1" t="s">
        <v>39</v>
      </c>
      <c r="H72" s="1" t="n">
        <v>1</v>
      </c>
      <c r="I72" s="1" t="n">
        <v>56.6</v>
      </c>
      <c r="J72" s="1" t="n">
        <v>19</v>
      </c>
      <c r="K72" s="1" t="n">
        <v>7</v>
      </c>
      <c r="L72" s="1" t="n">
        <v>0</v>
      </c>
      <c r="M72" s="1" t="n">
        <v>0</v>
      </c>
      <c r="N72" s="1" t="n">
        <v>288.54</v>
      </c>
      <c r="O72" s="1" t="n">
        <v>0</v>
      </c>
      <c r="Q72" s="4" t="n">
        <v>44353</v>
      </c>
      <c r="R72" s="0" t="n">
        <f aca="false">IF(ISBLANK(F72),"Missing",IFERROR(YEAR(F72),"Missing"))</f>
        <v>2020</v>
      </c>
      <c r="S72" s="0" t="str">
        <f aca="false">IF(ISBLANK(E72),"Missing",IF(E72&lt;6,"0-6mo",IF(E72&lt;12,"6-12mo",IF(E72&lt;24,"12-24mo","24mo+"))))</f>
        <v>12-24mo</v>
      </c>
      <c r="T72" s="0" t="n">
        <f aca="false">IF(ISBLANK(C72),0,IF(C72="Month-to-month",2,IF(C72="One year",1,0)))+IF(ISBLANK(I72),0,IF(I72&lt;40,2,IF(I72&lt;55,1,0)))+IF(ISBLANK(M72),0,IF(M72=1,3,0))+IF(ISBLANK(L72),0,IF(L72&gt;=2,1,0))+IF(ISBLANK(E72),0,IF(E72&lt;12,1,0))</f>
        <v>1</v>
      </c>
      <c r="U72" s="0" t="str">
        <f aca="false">IF((ISBLANK(B72)*1+ISBLANK(C72)*1+ISBLANK(D72)*1+ISBLANK(E72)*1+ISBLANK(F72)*1+ISBLANK(I72)*1+ISBLANK(J72)*1+ISBLANK(K72)*1+ISBLANK(L72)*1+ISBLANK(M72)*1+ISBLANK(N72)*1+ISBLANK(O72)*1)&gt;0,"Missing Data","OK")</f>
        <v>OK</v>
      </c>
      <c r="V72" s="0" t="str">
        <f aca="false">IF(T72&gt;=6,"High Risk",IF(T72&gt;=3,"Medium Risk","Low Risk"))</f>
        <v>Low Risk</v>
      </c>
    </row>
    <row r="73" customFormat="false" ht="12.8" hidden="false" customHeight="false" outlineLevel="0" collapsed="false">
      <c r="A73" s="1" t="s">
        <v>103</v>
      </c>
      <c r="B73" s="1" t="s">
        <v>29</v>
      </c>
      <c r="C73" s="1" t="s">
        <v>51</v>
      </c>
      <c r="D73" s="1" t="n">
        <v>39.53</v>
      </c>
      <c r="E73" s="1" t="n">
        <v>14</v>
      </c>
      <c r="F73" s="4" t="n">
        <v>43928</v>
      </c>
      <c r="G73" s="1" t="s">
        <v>25</v>
      </c>
      <c r="H73" s="1" t="n">
        <v>1</v>
      </c>
      <c r="I73" s="1" t="n">
        <v>24.1</v>
      </c>
      <c r="J73" s="1" t="n">
        <v>10</v>
      </c>
      <c r="K73" s="1" t="n">
        <v>3</v>
      </c>
      <c r="L73" s="1" t="n">
        <v>5</v>
      </c>
      <c r="M73" s="1" t="n">
        <v>0</v>
      </c>
      <c r="N73" s="1" t="n">
        <v>553.42</v>
      </c>
      <c r="O73" s="1" t="n">
        <v>0</v>
      </c>
      <c r="Q73" s="4" t="n">
        <v>44354</v>
      </c>
      <c r="R73" s="0" t="n">
        <f aca="false">IF(ISBLANK(F73),"Missing",IFERROR(YEAR(F73),"Missing"))</f>
        <v>2020</v>
      </c>
      <c r="S73" s="0" t="str">
        <f aca="false">IF(ISBLANK(E73),"Missing",IF(E73&lt;6,"0-6mo",IF(E73&lt;12,"6-12mo",IF(E73&lt;24,"12-24mo","24mo+"))))</f>
        <v>12-24mo</v>
      </c>
      <c r="T73" s="0" t="n">
        <f aca="false">IF(ISBLANK(C73),0,IF(C73="Month-to-month",2,IF(C73="One year",1,0)))+IF(ISBLANK(I73),0,IF(I73&lt;40,2,IF(I73&lt;55,1,0)))+IF(ISBLANK(M73),0,IF(M73=1,3,0))+IF(ISBLANK(L73),0,IF(L73&gt;=2,1,0))+IF(ISBLANK(E73),0,IF(E73&lt;12,1,0))</f>
        <v>3</v>
      </c>
      <c r="U73" s="0" t="str">
        <f aca="false">IF((ISBLANK(B73)*1+ISBLANK(C73)*1+ISBLANK(D73)*1+ISBLANK(E73)*1+ISBLANK(F73)*1+ISBLANK(I73)*1+ISBLANK(J73)*1+ISBLANK(K73)*1+ISBLANK(L73)*1+ISBLANK(M73)*1+ISBLANK(N73)*1+ISBLANK(O73)*1)&gt;0,"Missing Data","OK")</f>
        <v>OK</v>
      </c>
      <c r="V73" s="0" t="str">
        <f aca="false">IF(T73&gt;=6,"High Risk",IF(T73&gt;=3,"Medium Risk","Low Risk"))</f>
        <v>Medium Risk</v>
      </c>
    </row>
    <row r="74" customFormat="false" ht="12.8" hidden="false" customHeight="false" outlineLevel="0" collapsed="false">
      <c r="A74" s="1" t="s">
        <v>104</v>
      </c>
      <c r="B74" s="1" t="s">
        <v>36</v>
      </c>
      <c r="C74" s="1" t="s">
        <v>51</v>
      </c>
      <c r="D74" s="1" t="n">
        <v>9.11</v>
      </c>
      <c r="E74" s="1" t="n">
        <v>6</v>
      </c>
      <c r="F74" s="4" t="n">
        <v>43929</v>
      </c>
      <c r="G74" s="1" t="s">
        <v>25</v>
      </c>
      <c r="H74" s="1" t="n">
        <v>0</v>
      </c>
      <c r="I74" s="1" t="n">
        <v>36.4</v>
      </c>
      <c r="J74" s="1" t="n">
        <v>18</v>
      </c>
      <c r="K74" s="1" t="n">
        <v>3</v>
      </c>
      <c r="L74" s="1" t="n">
        <v>1</v>
      </c>
      <c r="M74" s="1" t="n">
        <v>1</v>
      </c>
      <c r="N74" s="1" t="n">
        <v>54.66</v>
      </c>
      <c r="O74" s="1" t="n">
        <v>0</v>
      </c>
      <c r="Q74" s="4" t="n">
        <v>44111</v>
      </c>
      <c r="R74" s="0" t="n">
        <f aca="false">IF(ISBLANK(F74),"Missing",IFERROR(YEAR(F74),"Missing"))</f>
        <v>2020</v>
      </c>
      <c r="S74" s="0" t="str">
        <f aca="false">IF(ISBLANK(E74),"Missing",IF(E74&lt;6,"0-6mo",IF(E74&lt;12,"6-12mo",IF(E74&lt;24,"12-24mo","24mo+"))))</f>
        <v>6-12mo</v>
      </c>
      <c r="T74" s="0" t="n">
        <f aca="false">IF(ISBLANK(C74),0,IF(C74="Month-to-month",2,IF(C74="One year",1,0)))+IF(ISBLANK(I74),0,IF(I74&lt;40,2,IF(I74&lt;55,1,0)))+IF(ISBLANK(M74),0,IF(M74=1,3,0))+IF(ISBLANK(L74),0,IF(L74&gt;=2,1,0))+IF(ISBLANK(E74),0,IF(E74&lt;12,1,0))</f>
        <v>6</v>
      </c>
      <c r="U74" s="0" t="str">
        <f aca="false">IF((ISBLANK(B74)*1+ISBLANK(C74)*1+ISBLANK(D74)*1+ISBLANK(E74)*1+ISBLANK(F74)*1+ISBLANK(I74)*1+ISBLANK(J74)*1+ISBLANK(K74)*1+ISBLANK(L74)*1+ISBLANK(M74)*1+ISBLANK(N74)*1+ISBLANK(O74)*1)&gt;0,"Missing Data","OK")</f>
        <v>OK</v>
      </c>
      <c r="V74" s="0" t="str">
        <f aca="false">IF(T74&gt;=6,"High Risk",IF(T74&gt;=3,"Medium Risk","Low Risk"))</f>
        <v>High Risk</v>
      </c>
    </row>
    <row r="75" customFormat="false" ht="12.8" hidden="false" customHeight="false" outlineLevel="0" collapsed="false">
      <c r="A75" s="1" t="s">
        <v>105</v>
      </c>
      <c r="B75" s="1" t="s">
        <v>29</v>
      </c>
      <c r="C75" s="1" t="s">
        <v>24</v>
      </c>
      <c r="D75" s="1" t="n">
        <v>40.66</v>
      </c>
      <c r="E75" s="1" t="n">
        <v>15</v>
      </c>
      <c r="F75" s="4" t="n">
        <v>43929</v>
      </c>
      <c r="G75" s="1" t="s">
        <v>25</v>
      </c>
      <c r="H75" s="1" t="n">
        <v>0</v>
      </c>
      <c r="I75" s="1" t="n">
        <v>48.3</v>
      </c>
      <c r="J75" s="1" t="n">
        <v>13</v>
      </c>
      <c r="K75" s="1" t="n">
        <v>7</v>
      </c>
      <c r="L75" s="1" t="n">
        <v>3</v>
      </c>
      <c r="M75" s="1" t="n">
        <v>0</v>
      </c>
      <c r="N75" s="1" t="n">
        <v>609.9</v>
      </c>
      <c r="O75" s="1" t="n">
        <v>0</v>
      </c>
      <c r="Q75" s="4" t="n">
        <v>44385</v>
      </c>
      <c r="R75" s="0" t="n">
        <f aca="false">IF(ISBLANK(F75),"Missing",IFERROR(YEAR(F75),"Missing"))</f>
        <v>2020</v>
      </c>
      <c r="S75" s="0" t="str">
        <f aca="false">IF(ISBLANK(E75),"Missing",IF(E75&lt;6,"0-6mo",IF(E75&lt;12,"6-12mo",IF(E75&lt;24,"12-24mo","24mo+"))))</f>
        <v>12-24mo</v>
      </c>
      <c r="T75" s="0" t="n">
        <f aca="false">IF(ISBLANK(C75),0,IF(C75="Month-to-month",2,IF(C75="One year",1,0)))+IF(ISBLANK(I75),0,IF(I75&lt;40,2,IF(I75&lt;55,1,0)))+IF(ISBLANK(M75),0,IF(M75=1,3,0))+IF(ISBLANK(L75),0,IF(L75&gt;=2,1,0))+IF(ISBLANK(E75),0,IF(E75&lt;12,1,0))</f>
        <v>4</v>
      </c>
      <c r="U75" s="0" t="str">
        <f aca="false">IF((ISBLANK(B75)*1+ISBLANK(C75)*1+ISBLANK(D75)*1+ISBLANK(E75)*1+ISBLANK(F75)*1+ISBLANK(I75)*1+ISBLANK(J75)*1+ISBLANK(K75)*1+ISBLANK(L75)*1+ISBLANK(M75)*1+ISBLANK(N75)*1+ISBLANK(O75)*1)&gt;0,"Missing Data","OK")</f>
        <v>OK</v>
      </c>
      <c r="V75" s="0" t="str">
        <f aca="false">IF(T75&gt;=6,"High Risk",IF(T75&gt;=3,"Medium Risk","Low Risk"))</f>
        <v>Medium Risk</v>
      </c>
    </row>
    <row r="76" customFormat="false" ht="12.8" hidden="false" customHeight="false" outlineLevel="0" collapsed="false">
      <c r="A76" s="1" t="s">
        <v>106</v>
      </c>
      <c r="B76" s="1" t="s">
        <v>36</v>
      </c>
      <c r="C76" s="1" t="s">
        <v>34</v>
      </c>
      <c r="D76" s="1" t="n">
        <v>10.69</v>
      </c>
      <c r="E76" s="1" t="n">
        <v>22</v>
      </c>
      <c r="F76" s="4" t="n">
        <v>43930</v>
      </c>
      <c r="G76" s="1" t="s">
        <v>30</v>
      </c>
      <c r="H76" s="1" t="n">
        <v>1</v>
      </c>
      <c r="I76" s="1" t="n">
        <v>29.3</v>
      </c>
      <c r="J76" s="1" t="n">
        <v>9</v>
      </c>
      <c r="K76" s="1" t="n">
        <v>1</v>
      </c>
      <c r="L76" s="1" t="n">
        <v>3</v>
      </c>
      <c r="M76" s="1" t="n">
        <v>0</v>
      </c>
      <c r="N76" s="1" t="n">
        <v>235.18</v>
      </c>
      <c r="O76" s="1" t="n">
        <v>0</v>
      </c>
      <c r="Q76" s="4" t="n">
        <v>44599</v>
      </c>
      <c r="R76" s="0" t="n">
        <f aca="false">IF(ISBLANK(F76),"Missing",IFERROR(YEAR(F76),"Missing"))</f>
        <v>2020</v>
      </c>
      <c r="S76" s="0" t="str">
        <f aca="false">IF(ISBLANK(E76),"Missing",IF(E76&lt;6,"0-6mo",IF(E76&lt;12,"6-12mo",IF(E76&lt;24,"12-24mo","24mo+"))))</f>
        <v>12-24mo</v>
      </c>
      <c r="T76" s="0" t="n">
        <f aca="false">IF(ISBLANK(C76),0,IF(C76="Month-to-month",2,IF(C76="One year",1,0)))+IF(ISBLANK(I76),0,IF(I76&lt;40,2,IF(I76&lt;55,1,0)))+IF(ISBLANK(M76),0,IF(M76=1,3,0))+IF(ISBLANK(L76),0,IF(L76&gt;=2,1,0))+IF(ISBLANK(E76),0,IF(E76&lt;12,1,0))</f>
        <v>4</v>
      </c>
      <c r="U76" s="0" t="str">
        <f aca="false">IF((ISBLANK(B76)*1+ISBLANK(C76)*1+ISBLANK(D76)*1+ISBLANK(E76)*1+ISBLANK(F76)*1+ISBLANK(I76)*1+ISBLANK(J76)*1+ISBLANK(K76)*1+ISBLANK(L76)*1+ISBLANK(M76)*1+ISBLANK(N76)*1+ISBLANK(O76)*1)&gt;0,"Missing Data","OK")</f>
        <v>OK</v>
      </c>
      <c r="V76" s="0" t="str">
        <f aca="false">IF(T76&gt;=6,"High Risk",IF(T76&gt;=3,"Medium Risk","Low Risk"))</f>
        <v>Medium Risk</v>
      </c>
    </row>
    <row r="77" customFormat="false" ht="12.8" hidden="false" customHeight="false" outlineLevel="0" collapsed="false">
      <c r="A77" s="1" t="s">
        <v>107</v>
      </c>
      <c r="B77" s="1" t="s">
        <v>23</v>
      </c>
      <c r="C77" s="1" t="s">
        <v>34</v>
      </c>
      <c r="D77" s="1" t="n">
        <v>19.31</v>
      </c>
      <c r="E77" s="1" t="n">
        <v>6</v>
      </c>
      <c r="F77" s="4" t="n">
        <v>43930</v>
      </c>
      <c r="G77" s="1" t="s">
        <v>25</v>
      </c>
      <c r="H77" s="1" t="n">
        <v>1</v>
      </c>
      <c r="I77" s="1" t="n">
        <v>2.6</v>
      </c>
      <c r="J77" s="1" t="n">
        <v>6</v>
      </c>
      <c r="K77" s="1" t="n">
        <v>0</v>
      </c>
      <c r="L77" s="1" t="n">
        <v>2</v>
      </c>
      <c r="M77" s="1" t="n">
        <v>0</v>
      </c>
      <c r="N77" s="1" t="n">
        <v>115.86</v>
      </c>
      <c r="O77" s="1" t="n">
        <v>0</v>
      </c>
      <c r="Q77" s="4" t="n">
        <v>44112</v>
      </c>
      <c r="R77" s="0" t="n">
        <f aca="false">IF(ISBLANK(F77),"Missing",IFERROR(YEAR(F77),"Missing"))</f>
        <v>2020</v>
      </c>
      <c r="S77" s="0" t="str">
        <f aca="false">IF(ISBLANK(E77),"Missing",IF(E77&lt;6,"0-6mo",IF(E77&lt;12,"6-12mo",IF(E77&lt;24,"12-24mo","24mo+"))))</f>
        <v>6-12mo</v>
      </c>
      <c r="T77" s="0" t="n">
        <f aca="false">IF(ISBLANK(C77),0,IF(C77="Month-to-month",2,IF(C77="One year",1,0)))+IF(ISBLANK(I77),0,IF(I77&lt;40,2,IF(I77&lt;55,1,0)))+IF(ISBLANK(M77),0,IF(M77=1,3,0))+IF(ISBLANK(L77),0,IF(L77&gt;=2,1,0))+IF(ISBLANK(E77),0,IF(E77&lt;12,1,0))</f>
        <v>5</v>
      </c>
      <c r="U77" s="0" t="str">
        <f aca="false">IF((ISBLANK(B77)*1+ISBLANK(C77)*1+ISBLANK(D77)*1+ISBLANK(E77)*1+ISBLANK(F77)*1+ISBLANK(I77)*1+ISBLANK(J77)*1+ISBLANK(K77)*1+ISBLANK(L77)*1+ISBLANK(M77)*1+ISBLANK(N77)*1+ISBLANK(O77)*1)&gt;0,"Missing Data","OK")</f>
        <v>OK</v>
      </c>
      <c r="V77" s="0" t="str">
        <f aca="false">IF(T77&gt;=6,"High Risk",IF(T77&gt;=3,"Medium Risk","Low Risk"))</f>
        <v>Medium Risk</v>
      </c>
    </row>
    <row r="78" customFormat="false" ht="12.8" hidden="false" customHeight="false" outlineLevel="0" collapsed="false">
      <c r="A78" s="1" t="s">
        <v>108</v>
      </c>
      <c r="B78" s="1" t="s">
        <v>36</v>
      </c>
      <c r="C78" s="1" t="s">
        <v>24</v>
      </c>
      <c r="D78" s="1" t="n">
        <v>10.06</v>
      </c>
      <c r="E78" s="1" t="n">
        <v>72</v>
      </c>
      <c r="F78" s="4" t="n">
        <v>43931</v>
      </c>
      <c r="G78" s="1" t="s">
        <v>27</v>
      </c>
      <c r="H78" s="1" t="n">
        <v>1</v>
      </c>
      <c r="I78" s="1" t="n">
        <v>62.7</v>
      </c>
      <c r="J78" s="1" t="n">
        <v>16</v>
      </c>
      <c r="K78" s="1" t="n">
        <v>5</v>
      </c>
      <c r="L78" s="1" t="n">
        <v>2</v>
      </c>
      <c r="M78" s="1" t="n">
        <v>0</v>
      </c>
      <c r="N78" s="1" t="n">
        <v>724.32</v>
      </c>
      <c r="O78" s="1" t="n">
        <v>0</v>
      </c>
      <c r="Q78" s="4" t="n">
        <v>46122</v>
      </c>
      <c r="R78" s="0" t="n">
        <f aca="false">IF(ISBLANK(F78),"Missing",IFERROR(YEAR(F78),"Missing"))</f>
        <v>2020</v>
      </c>
      <c r="S78" s="0" t="str">
        <f aca="false">IF(ISBLANK(E78),"Missing",IF(E78&lt;6,"0-6mo",IF(E78&lt;12,"6-12mo",IF(E78&lt;24,"12-24mo","24mo+"))))</f>
        <v>24mo+</v>
      </c>
      <c r="T78" s="0" t="n">
        <f aca="false">IF(ISBLANK(C78),0,IF(C78="Month-to-month",2,IF(C78="One year",1,0)))+IF(ISBLANK(I78),0,IF(I78&lt;40,2,IF(I78&lt;55,1,0)))+IF(ISBLANK(M78),0,IF(M78=1,3,0))+IF(ISBLANK(L78),0,IF(L78&gt;=2,1,0))+IF(ISBLANK(E78),0,IF(E78&lt;12,1,0))</f>
        <v>3</v>
      </c>
      <c r="U78" s="0" t="str">
        <f aca="false">IF((ISBLANK(B78)*1+ISBLANK(C78)*1+ISBLANK(D78)*1+ISBLANK(E78)*1+ISBLANK(F78)*1+ISBLANK(I78)*1+ISBLANK(J78)*1+ISBLANK(K78)*1+ISBLANK(L78)*1+ISBLANK(M78)*1+ISBLANK(N78)*1+ISBLANK(O78)*1)&gt;0,"Missing Data","OK")</f>
        <v>OK</v>
      </c>
      <c r="V78" s="0" t="str">
        <f aca="false">IF(T78&gt;=6,"High Risk",IF(T78&gt;=3,"Medium Risk","Low Risk"))</f>
        <v>Medium Risk</v>
      </c>
    </row>
    <row r="79" customFormat="false" ht="12.8" hidden="false" customHeight="false" outlineLevel="0" collapsed="false">
      <c r="A79" s="1" t="s">
        <v>109</v>
      </c>
      <c r="B79" s="1" t="s">
        <v>36</v>
      </c>
      <c r="C79" s="1" t="s">
        <v>24</v>
      </c>
      <c r="D79" s="1" t="n">
        <v>8.47</v>
      </c>
      <c r="E79" s="1" t="n">
        <v>2</v>
      </c>
      <c r="F79" s="4" t="n">
        <v>43934</v>
      </c>
      <c r="G79" s="1" t="s">
        <v>30</v>
      </c>
      <c r="H79" s="1" t="n">
        <v>0</v>
      </c>
      <c r="I79" s="1" t="n">
        <v>52.8</v>
      </c>
      <c r="J79" s="1" t="n">
        <v>12</v>
      </c>
      <c r="K79" s="1" t="n">
        <v>7</v>
      </c>
      <c r="L79" s="1" t="n">
        <v>0</v>
      </c>
      <c r="M79" s="1" t="n">
        <v>0</v>
      </c>
      <c r="N79" s="1" t="n">
        <v>16.94</v>
      </c>
      <c r="O79" s="1" t="n">
        <v>0</v>
      </c>
      <c r="Q79" s="4" t="n">
        <v>43994</v>
      </c>
      <c r="R79" s="0" t="n">
        <f aca="false">IF(ISBLANK(F79),"Missing",IFERROR(YEAR(F79),"Missing"))</f>
        <v>2020</v>
      </c>
      <c r="S79" s="0" t="str">
        <f aca="false">IF(ISBLANK(E79),"Missing",IF(E79&lt;6,"0-6mo",IF(E79&lt;12,"6-12mo",IF(E79&lt;24,"12-24mo","24mo+"))))</f>
        <v>0-6mo</v>
      </c>
      <c r="T79" s="0" t="n">
        <f aca="false">IF(ISBLANK(C79),0,IF(C79="Month-to-month",2,IF(C79="One year",1,0)))+IF(ISBLANK(I79),0,IF(I79&lt;40,2,IF(I79&lt;55,1,0)))+IF(ISBLANK(M79),0,IF(M79=1,3,0))+IF(ISBLANK(L79),0,IF(L79&gt;=2,1,0))+IF(ISBLANK(E79),0,IF(E79&lt;12,1,0))</f>
        <v>4</v>
      </c>
      <c r="U79" s="0" t="str">
        <f aca="false">IF((ISBLANK(B79)*1+ISBLANK(C79)*1+ISBLANK(D79)*1+ISBLANK(E79)*1+ISBLANK(F79)*1+ISBLANK(I79)*1+ISBLANK(J79)*1+ISBLANK(K79)*1+ISBLANK(L79)*1+ISBLANK(M79)*1+ISBLANK(N79)*1+ISBLANK(O79)*1)&gt;0,"Missing Data","OK")</f>
        <v>OK</v>
      </c>
      <c r="V79" s="0" t="str">
        <f aca="false">IF(T79&gt;=6,"High Risk",IF(T79&gt;=3,"Medium Risk","Low Risk"))</f>
        <v>Medium Risk</v>
      </c>
    </row>
    <row r="80" customFormat="false" ht="12.8" hidden="false" customHeight="false" outlineLevel="0" collapsed="false">
      <c r="A80" s="1" t="s">
        <v>110</v>
      </c>
      <c r="B80" s="1" t="s">
        <v>29</v>
      </c>
      <c r="C80" s="1" t="s">
        <v>24</v>
      </c>
      <c r="D80" s="1" t="n">
        <v>37.78</v>
      </c>
      <c r="E80" s="1" t="n">
        <v>27</v>
      </c>
      <c r="F80" s="4" t="n">
        <v>43935</v>
      </c>
      <c r="G80" s="1" t="s">
        <v>39</v>
      </c>
      <c r="H80" s="1" t="n">
        <v>1</v>
      </c>
      <c r="I80" s="1" t="n">
        <v>54.8</v>
      </c>
      <c r="J80" s="1" t="n">
        <v>16</v>
      </c>
      <c r="K80" s="1" t="n">
        <v>7</v>
      </c>
      <c r="L80" s="1" t="n">
        <v>3</v>
      </c>
      <c r="M80" s="1" t="n">
        <v>1</v>
      </c>
      <c r="N80" s="1" t="n">
        <v>1020.06</v>
      </c>
      <c r="O80" s="1" t="n">
        <v>1</v>
      </c>
      <c r="P80" s="4" t="n">
        <v>44756</v>
      </c>
      <c r="Q80" s="4" t="n">
        <v>44756</v>
      </c>
      <c r="R80" s="0" t="n">
        <f aca="false">IF(ISBLANK(F80),"Missing",IFERROR(YEAR(F80),"Missing"))</f>
        <v>2020</v>
      </c>
      <c r="S80" s="0" t="str">
        <f aca="false">IF(ISBLANK(E80),"Missing",IF(E80&lt;6,"0-6mo",IF(E80&lt;12,"6-12mo",IF(E80&lt;24,"12-24mo","24mo+"))))</f>
        <v>24mo+</v>
      </c>
      <c r="T80" s="0" t="n">
        <f aca="false">IF(ISBLANK(C80),0,IF(C80="Month-to-month",2,IF(C80="One year",1,0)))+IF(ISBLANK(I80),0,IF(I80&lt;40,2,IF(I80&lt;55,1,0)))+IF(ISBLANK(M80),0,IF(M80=1,3,0))+IF(ISBLANK(L80),0,IF(L80&gt;=2,1,0))+IF(ISBLANK(E80),0,IF(E80&lt;12,1,0))</f>
        <v>7</v>
      </c>
      <c r="U80" s="0" t="str">
        <f aca="false">IF((ISBLANK(B80)*1+ISBLANK(C80)*1+ISBLANK(D80)*1+ISBLANK(E80)*1+ISBLANK(F80)*1+ISBLANK(I80)*1+ISBLANK(J80)*1+ISBLANK(K80)*1+ISBLANK(L80)*1+ISBLANK(M80)*1+ISBLANK(N80)*1+ISBLANK(O80)*1)&gt;0,"Missing Data","OK")</f>
        <v>OK</v>
      </c>
      <c r="V80" s="0" t="str">
        <f aca="false">IF(T80&gt;=6,"High Risk",IF(T80&gt;=3,"Medium Risk","Low Risk"))</f>
        <v>High Risk</v>
      </c>
    </row>
    <row r="81" customFormat="false" ht="12.8" hidden="false" customHeight="false" outlineLevel="0" collapsed="false">
      <c r="A81" s="1" t="s">
        <v>111</v>
      </c>
      <c r="B81" s="1" t="s">
        <v>29</v>
      </c>
      <c r="C81" s="1" t="s">
        <v>51</v>
      </c>
      <c r="D81" s="1" t="n">
        <v>42.35</v>
      </c>
      <c r="E81" s="1" t="n">
        <v>4</v>
      </c>
      <c r="F81" s="4" t="n">
        <v>43936</v>
      </c>
      <c r="G81" s="1" t="s">
        <v>27</v>
      </c>
      <c r="H81" s="1" t="n">
        <v>1</v>
      </c>
      <c r="I81" s="1" t="n">
        <v>100</v>
      </c>
      <c r="J81" s="1" t="n">
        <v>25</v>
      </c>
      <c r="K81" s="1" t="n">
        <v>10</v>
      </c>
      <c r="L81" s="1" t="n">
        <v>3</v>
      </c>
      <c r="M81" s="1" t="n">
        <v>1</v>
      </c>
      <c r="N81" s="1" t="n">
        <v>169.4</v>
      </c>
      <c r="O81" s="1" t="n">
        <v>1</v>
      </c>
      <c r="P81" s="4" t="n">
        <v>44057</v>
      </c>
      <c r="Q81" s="4" t="n">
        <v>44057</v>
      </c>
      <c r="R81" s="0" t="n">
        <f aca="false">IF(ISBLANK(F81),"Missing",IFERROR(YEAR(F81),"Missing"))</f>
        <v>2020</v>
      </c>
      <c r="S81" s="0" t="str">
        <f aca="false">IF(ISBLANK(E81),"Missing",IF(E81&lt;6,"0-6mo",IF(E81&lt;12,"6-12mo",IF(E81&lt;24,"12-24mo","24mo+"))))</f>
        <v>0-6mo</v>
      </c>
      <c r="T81" s="0" t="n">
        <f aca="false">IF(ISBLANK(C81),0,IF(C81="Month-to-month",2,IF(C81="One year",1,0)))+IF(ISBLANK(I81),0,IF(I81&lt;40,2,IF(I81&lt;55,1,0)))+IF(ISBLANK(M81),0,IF(M81=1,3,0))+IF(ISBLANK(L81),0,IF(L81&gt;=2,1,0))+IF(ISBLANK(E81),0,IF(E81&lt;12,1,0))</f>
        <v>5</v>
      </c>
      <c r="U81" s="0" t="str">
        <f aca="false">IF((ISBLANK(B81)*1+ISBLANK(C81)*1+ISBLANK(D81)*1+ISBLANK(E81)*1+ISBLANK(F81)*1+ISBLANK(I81)*1+ISBLANK(J81)*1+ISBLANK(K81)*1+ISBLANK(L81)*1+ISBLANK(M81)*1+ISBLANK(N81)*1+ISBLANK(O81)*1)&gt;0,"Missing Data","OK")</f>
        <v>OK</v>
      </c>
      <c r="V81" s="0" t="str">
        <f aca="false">IF(T81&gt;=6,"High Risk",IF(T81&gt;=3,"Medium Risk","Low Risk"))</f>
        <v>Medium Risk</v>
      </c>
    </row>
    <row r="82" customFormat="false" ht="12.8" hidden="false" customHeight="false" outlineLevel="0" collapsed="false">
      <c r="A82" s="1" t="s">
        <v>112</v>
      </c>
      <c r="B82" s="1" t="s">
        <v>23</v>
      </c>
      <c r="C82" s="1" t="s">
        <v>24</v>
      </c>
      <c r="D82" s="1" t="n">
        <v>19.44</v>
      </c>
      <c r="E82" s="1" t="n">
        <v>17</v>
      </c>
      <c r="F82" s="4" t="n">
        <v>43939</v>
      </c>
      <c r="G82" s="1" t="s">
        <v>30</v>
      </c>
      <c r="H82" s="1" t="n">
        <v>0</v>
      </c>
      <c r="I82" s="1" t="n">
        <v>56.9</v>
      </c>
      <c r="J82" s="1" t="n">
        <v>14</v>
      </c>
      <c r="K82" s="1" t="n">
        <v>6</v>
      </c>
      <c r="L82" s="1" t="n">
        <v>2</v>
      </c>
      <c r="M82" s="1" t="n">
        <v>0</v>
      </c>
      <c r="N82" s="1" t="n">
        <v>330.48</v>
      </c>
      <c r="O82" s="1" t="n">
        <v>1</v>
      </c>
      <c r="P82" s="4" t="n">
        <v>44456</v>
      </c>
      <c r="Q82" s="4" t="n">
        <v>44456</v>
      </c>
      <c r="R82" s="0" t="n">
        <f aca="false">IF(ISBLANK(F82),"Missing",IFERROR(YEAR(F82),"Missing"))</f>
        <v>2020</v>
      </c>
      <c r="S82" s="0" t="str">
        <f aca="false">IF(ISBLANK(E82),"Missing",IF(E82&lt;6,"0-6mo",IF(E82&lt;12,"6-12mo",IF(E82&lt;24,"12-24mo","24mo+"))))</f>
        <v>12-24mo</v>
      </c>
      <c r="T82" s="0" t="n">
        <f aca="false">IF(ISBLANK(C82),0,IF(C82="Month-to-month",2,IF(C82="One year",1,0)))+IF(ISBLANK(I82),0,IF(I82&lt;40,2,IF(I82&lt;55,1,0)))+IF(ISBLANK(M82),0,IF(M82=1,3,0))+IF(ISBLANK(L82),0,IF(L82&gt;=2,1,0))+IF(ISBLANK(E82),0,IF(E82&lt;12,1,0))</f>
        <v>3</v>
      </c>
      <c r="U82" s="0" t="str">
        <f aca="false">IF((ISBLANK(B82)*1+ISBLANK(C82)*1+ISBLANK(D82)*1+ISBLANK(E82)*1+ISBLANK(F82)*1+ISBLANK(I82)*1+ISBLANK(J82)*1+ISBLANK(K82)*1+ISBLANK(L82)*1+ISBLANK(M82)*1+ISBLANK(N82)*1+ISBLANK(O82)*1)&gt;0,"Missing Data","OK")</f>
        <v>OK</v>
      </c>
      <c r="V82" s="0" t="str">
        <f aca="false">IF(T82&gt;=6,"High Risk",IF(T82&gt;=3,"Medium Risk","Low Risk"))</f>
        <v>Medium Risk</v>
      </c>
    </row>
    <row r="83" customFormat="false" ht="12.8" hidden="false" customHeight="false" outlineLevel="0" collapsed="false">
      <c r="A83" s="1" t="s">
        <v>113</v>
      </c>
      <c r="B83" s="1" t="s">
        <v>29</v>
      </c>
      <c r="C83" s="1" t="s">
        <v>24</v>
      </c>
      <c r="D83" s="1" t="n">
        <v>39.72</v>
      </c>
      <c r="E83" s="1" t="n">
        <v>63</v>
      </c>
      <c r="F83" s="4" t="n">
        <v>43940</v>
      </c>
      <c r="G83" s="1" t="s">
        <v>25</v>
      </c>
      <c r="H83" s="1" t="n">
        <v>1</v>
      </c>
      <c r="I83" s="1" t="n">
        <v>70.8</v>
      </c>
      <c r="J83" s="1" t="n">
        <v>23</v>
      </c>
      <c r="K83" s="1" t="n">
        <v>6</v>
      </c>
      <c r="L83" s="1" t="n">
        <v>0</v>
      </c>
      <c r="M83" s="1" t="n">
        <v>0</v>
      </c>
      <c r="N83" s="1" t="n">
        <v>2502.36</v>
      </c>
      <c r="O83" s="1" t="n">
        <v>0</v>
      </c>
      <c r="Q83" s="4" t="n">
        <v>45857</v>
      </c>
      <c r="R83" s="0" t="n">
        <f aca="false">IF(ISBLANK(F83),"Missing",IFERROR(YEAR(F83),"Missing"))</f>
        <v>2020</v>
      </c>
      <c r="S83" s="0" t="str">
        <f aca="false">IF(ISBLANK(E83),"Missing",IF(E83&lt;6,"0-6mo",IF(E83&lt;12,"6-12mo",IF(E83&lt;24,"12-24mo","24mo+"))))</f>
        <v>24mo+</v>
      </c>
      <c r="T83" s="0" t="n">
        <f aca="false">IF(ISBLANK(C83),0,IF(C83="Month-to-month",2,IF(C83="One year",1,0)))+IF(ISBLANK(I83),0,IF(I83&lt;40,2,IF(I83&lt;55,1,0)))+IF(ISBLANK(M83),0,IF(M83=1,3,0))+IF(ISBLANK(L83),0,IF(L83&gt;=2,1,0))+IF(ISBLANK(E83),0,IF(E83&lt;12,1,0))</f>
        <v>2</v>
      </c>
      <c r="U83" s="0" t="str">
        <f aca="false">IF((ISBLANK(B83)*1+ISBLANK(C83)*1+ISBLANK(D83)*1+ISBLANK(E83)*1+ISBLANK(F83)*1+ISBLANK(I83)*1+ISBLANK(J83)*1+ISBLANK(K83)*1+ISBLANK(L83)*1+ISBLANK(M83)*1+ISBLANK(N83)*1+ISBLANK(O83)*1)&gt;0,"Missing Data","OK")</f>
        <v>OK</v>
      </c>
      <c r="V83" s="0" t="str">
        <f aca="false">IF(T83&gt;=6,"High Risk",IF(T83&gt;=3,"Medium Risk","Low Risk"))</f>
        <v>Low Risk</v>
      </c>
    </row>
    <row r="84" customFormat="false" ht="12.8" hidden="false" customHeight="false" outlineLevel="0" collapsed="false">
      <c r="A84" s="1" t="s">
        <v>114</v>
      </c>
      <c r="B84" s="1" t="s">
        <v>29</v>
      </c>
      <c r="C84" s="1" t="s">
        <v>34</v>
      </c>
      <c r="D84" s="1" t="n">
        <v>40.36</v>
      </c>
      <c r="E84" s="1" t="n">
        <v>38</v>
      </c>
      <c r="F84" s="4" t="n">
        <v>43940</v>
      </c>
      <c r="G84" s="1" t="s">
        <v>25</v>
      </c>
      <c r="H84" s="1" t="n">
        <v>1</v>
      </c>
      <c r="I84" s="1" t="n">
        <v>81.6</v>
      </c>
      <c r="J84" s="1" t="n">
        <v>35</v>
      </c>
      <c r="K84" s="1" t="n">
        <v>7</v>
      </c>
      <c r="L84" s="1" t="n">
        <v>1</v>
      </c>
      <c r="M84" s="1" t="n">
        <v>1</v>
      </c>
      <c r="N84" s="1" t="n">
        <v>1533.68</v>
      </c>
      <c r="O84" s="1" t="n">
        <v>0</v>
      </c>
      <c r="Q84" s="4" t="n">
        <v>45096</v>
      </c>
      <c r="R84" s="0" t="n">
        <f aca="false">IF(ISBLANK(F84),"Missing",IFERROR(YEAR(F84),"Missing"))</f>
        <v>2020</v>
      </c>
      <c r="S84" s="0" t="str">
        <f aca="false">IF(ISBLANK(E84),"Missing",IF(E84&lt;6,"0-6mo",IF(E84&lt;12,"6-12mo",IF(E84&lt;24,"12-24mo","24mo+"))))</f>
        <v>24mo+</v>
      </c>
      <c r="T84" s="0" t="n">
        <f aca="false">IF(ISBLANK(C84),0,IF(C84="Month-to-month",2,IF(C84="One year",1,0)))+IF(ISBLANK(I84),0,IF(I84&lt;40,2,IF(I84&lt;55,1,0)))+IF(ISBLANK(M84),0,IF(M84=1,3,0))+IF(ISBLANK(L84),0,IF(L84&gt;=2,1,0))+IF(ISBLANK(E84),0,IF(E84&lt;12,1,0))</f>
        <v>4</v>
      </c>
      <c r="U84" s="0" t="str">
        <f aca="false">IF((ISBLANK(B84)*1+ISBLANK(C84)*1+ISBLANK(D84)*1+ISBLANK(E84)*1+ISBLANK(F84)*1+ISBLANK(I84)*1+ISBLANK(J84)*1+ISBLANK(K84)*1+ISBLANK(L84)*1+ISBLANK(M84)*1+ISBLANK(N84)*1+ISBLANK(O84)*1)&gt;0,"Missing Data","OK")</f>
        <v>OK</v>
      </c>
      <c r="V84" s="0" t="str">
        <f aca="false">IF(T84&gt;=6,"High Risk",IF(T84&gt;=3,"Medium Risk","Low Risk"))</f>
        <v>Medium Risk</v>
      </c>
    </row>
    <row r="85" customFormat="false" ht="12.8" hidden="false" customHeight="false" outlineLevel="0" collapsed="false">
      <c r="A85" s="1" t="s">
        <v>115</v>
      </c>
      <c r="B85" s="1" t="s">
        <v>23</v>
      </c>
      <c r="C85" s="1" t="s">
        <v>34</v>
      </c>
      <c r="D85" s="1" t="n">
        <v>20.17</v>
      </c>
      <c r="E85" s="1" t="n">
        <v>0</v>
      </c>
      <c r="F85" s="4" t="n">
        <v>43942</v>
      </c>
      <c r="G85" s="1" t="s">
        <v>25</v>
      </c>
      <c r="H85" s="1" t="n">
        <v>0</v>
      </c>
      <c r="I85" s="1" t="n">
        <v>26.3</v>
      </c>
      <c r="J85" s="1" t="n">
        <v>6</v>
      </c>
      <c r="K85" s="1" t="n">
        <v>4</v>
      </c>
      <c r="L85" s="1" t="n">
        <v>4</v>
      </c>
      <c r="M85" s="1" t="n">
        <v>1</v>
      </c>
      <c r="N85" s="1" t="n">
        <v>0</v>
      </c>
      <c r="O85" s="1" t="n">
        <v>0</v>
      </c>
      <c r="Q85" s="4" t="n">
        <v>43942</v>
      </c>
      <c r="R85" s="0" t="n">
        <f aca="false">IF(ISBLANK(F85),"Missing",IFERROR(YEAR(F85),"Missing"))</f>
        <v>2020</v>
      </c>
      <c r="S85" s="0" t="str">
        <f aca="false">IF(ISBLANK(E85),"Missing",IF(E85&lt;6,"0-6mo",IF(E85&lt;12,"6-12mo",IF(E85&lt;24,"12-24mo","24mo+"))))</f>
        <v>0-6mo</v>
      </c>
      <c r="T85" s="0" t="n">
        <f aca="false">IF(ISBLANK(C85),0,IF(C85="Month-to-month",2,IF(C85="One year",1,0)))+IF(ISBLANK(I85),0,IF(I85&lt;40,2,IF(I85&lt;55,1,0)))+IF(ISBLANK(M85),0,IF(M85=1,3,0))+IF(ISBLANK(L85),0,IF(L85&gt;=2,1,0))+IF(ISBLANK(E85),0,IF(E85&lt;12,1,0))</f>
        <v>8</v>
      </c>
      <c r="U85" s="0" t="str">
        <f aca="false">IF((ISBLANK(B85)*1+ISBLANK(C85)*1+ISBLANK(D85)*1+ISBLANK(E85)*1+ISBLANK(F85)*1+ISBLANK(I85)*1+ISBLANK(J85)*1+ISBLANK(K85)*1+ISBLANK(L85)*1+ISBLANK(M85)*1+ISBLANK(N85)*1+ISBLANK(O85)*1)&gt;0,"Missing Data","OK")</f>
        <v>OK</v>
      </c>
      <c r="V85" s="0" t="str">
        <f aca="false">IF(T85&gt;=6,"High Risk",IF(T85&gt;=3,"Medium Risk","Low Risk"))</f>
        <v>High Risk</v>
      </c>
    </row>
    <row r="86" customFormat="false" ht="12.8" hidden="false" customHeight="false" outlineLevel="0" collapsed="false">
      <c r="A86" s="1" t="s">
        <v>116</v>
      </c>
      <c r="B86" s="1" t="s">
        <v>29</v>
      </c>
      <c r="C86" s="1" t="s">
        <v>24</v>
      </c>
      <c r="D86" s="1" t="n">
        <v>38.73</v>
      </c>
      <c r="E86" s="1" t="n">
        <v>38</v>
      </c>
      <c r="F86" s="4" t="n">
        <v>43942</v>
      </c>
      <c r="G86" s="1" t="s">
        <v>39</v>
      </c>
      <c r="H86" s="1" t="n">
        <v>0</v>
      </c>
      <c r="I86" s="1" t="n">
        <v>84.8</v>
      </c>
      <c r="J86" s="1" t="n">
        <v>27</v>
      </c>
      <c r="K86" s="1" t="n">
        <v>6</v>
      </c>
      <c r="L86" s="1" t="n">
        <v>1</v>
      </c>
      <c r="M86" s="1" t="n">
        <v>0</v>
      </c>
      <c r="N86" s="1" t="n">
        <v>1471.74</v>
      </c>
      <c r="O86" s="1" t="n">
        <v>0</v>
      </c>
      <c r="Q86" s="4" t="n">
        <v>45098</v>
      </c>
      <c r="R86" s="0" t="n">
        <f aca="false">IF(ISBLANK(F86),"Missing",IFERROR(YEAR(F86),"Missing"))</f>
        <v>2020</v>
      </c>
      <c r="S86" s="0" t="str">
        <f aca="false">IF(ISBLANK(E86),"Missing",IF(E86&lt;6,"0-6mo",IF(E86&lt;12,"6-12mo",IF(E86&lt;24,"12-24mo","24mo+"))))</f>
        <v>24mo+</v>
      </c>
      <c r="T86" s="0" t="n">
        <f aca="false">IF(ISBLANK(C86),0,IF(C86="Month-to-month",2,IF(C86="One year",1,0)))+IF(ISBLANK(I86),0,IF(I86&lt;40,2,IF(I86&lt;55,1,0)))+IF(ISBLANK(M86),0,IF(M86=1,3,0))+IF(ISBLANK(L86),0,IF(L86&gt;=2,1,0))+IF(ISBLANK(E86),0,IF(E86&lt;12,1,0))</f>
        <v>2</v>
      </c>
      <c r="U86" s="0" t="str">
        <f aca="false">IF((ISBLANK(B86)*1+ISBLANK(C86)*1+ISBLANK(D86)*1+ISBLANK(E86)*1+ISBLANK(F86)*1+ISBLANK(I86)*1+ISBLANK(J86)*1+ISBLANK(K86)*1+ISBLANK(L86)*1+ISBLANK(M86)*1+ISBLANK(N86)*1+ISBLANK(O86)*1)&gt;0,"Missing Data","OK")</f>
        <v>OK</v>
      </c>
      <c r="V86" s="0" t="str">
        <f aca="false">IF(T86&gt;=6,"High Risk",IF(T86&gt;=3,"Medium Risk","Low Risk"))</f>
        <v>Low Risk</v>
      </c>
    </row>
    <row r="87" customFormat="false" ht="12.8" hidden="false" customHeight="false" outlineLevel="0" collapsed="false">
      <c r="A87" s="1" t="s">
        <v>117</v>
      </c>
      <c r="B87" s="1" t="s">
        <v>23</v>
      </c>
      <c r="C87" s="1" t="s">
        <v>34</v>
      </c>
      <c r="D87" s="1" t="n">
        <v>19.81</v>
      </c>
      <c r="E87" s="1" t="n">
        <v>15</v>
      </c>
      <c r="F87" s="4" t="n">
        <v>43943</v>
      </c>
      <c r="G87" s="1" t="s">
        <v>25</v>
      </c>
      <c r="H87" s="1" t="n">
        <v>0</v>
      </c>
      <c r="I87" s="1" t="n">
        <v>29.2</v>
      </c>
      <c r="J87" s="1" t="n">
        <v>9</v>
      </c>
      <c r="K87" s="1" t="n">
        <v>5</v>
      </c>
      <c r="L87" s="1" t="n">
        <v>0</v>
      </c>
      <c r="M87" s="1" t="n">
        <v>0</v>
      </c>
      <c r="N87" s="1" t="n">
        <v>297.15</v>
      </c>
      <c r="O87" s="1" t="n">
        <v>0</v>
      </c>
      <c r="Q87" s="4" t="n">
        <v>44399</v>
      </c>
      <c r="R87" s="0" t="n">
        <f aca="false">IF(ISBLANK(F87),"Missing",IFERROR(YEAR(F87),"Missing"))</f>
        <v>2020</v>
      </c>
      <c r="S87" s="0" t="str">
        <f aca="false">IF(ISBLANK(E87),"Missing",IF(E87&lt;6,"0-6mo",IF(E87&lt;12,"6-12mo",IF(E87&lt;24,"12-24mo","24mo+"))))</f>
        <v>12-24mo</v>
      </c>
      <c r="T87" s="0" t="n">
        <f aca="false">IF(ISBLANK(C87),0,IF(C87="Month-to-month",2,IF(C87="One year",1,0)))+IF(ISBLANK(I87),0,IF(I87&lt;40,2,IF(I87&lt;55,1,0)))+IF(ISBLANK(M87),0,IF(M87=1,3,0))+IF(ISBLANK(L87),0,IF(L87&gt;=2,1,0))+IF(ISBLANK(E87),0,IF(E87&lt;12,1,0))</f>
        <v>3</v>
      </c>
      <c r="U87" s="0" t="str">
        <f aca="false">IF((ISBLANK(B87)*1+ISBLANK(C87)*1+ISBLANK(D87)*1+ISBLANK(E87)*1+ISBLANK(F87)*1+ISBLANK(I87)*1+ISBLANK(J87)*1+ISBLANK(K87)*1+ISBLANK(L87)*1+ISBLANK(M87)*1+ISBLANK(N87)*1+ISBLANK(O87)*1)&gt;0,"Missing Data","OK")</f>
        <v>OK</v>
      </c>
      <c r="V87" s="0" t="str">
        <f aca="false">IF(T87&gt;=6,"High Risk",IF(T87&gt;=3,"Medium Risk","Low Risk"))</f>
        <v>Medium Risk</v>
      </c>
    </row>
    <row r="88" customFormat="false" ht="12.8" hidden="false" customHeight="false" outlineLevel="0" collapsed="false">
      <c r="A88" s="1" t="s">
        <v>118</v>
      </c>
      <c r="B88" s="1" t="s">
        <v>36</v>
      </c>
      <c r="C88" s="1" t="s">
        <v>34</v>
      </c>
      <c r="D88" s="1" t="n">
        <v>9.36</v>
      </c>
      <c r="E88" s="1" t="n">
        <v>3</v>
      </c>
      <c r="F88" s="4" t="n">
        <v>43944</v>
      </c>
      <c r="G88" s="1" t="s">
        <v>39</v>
      </c>
      <c r="H88" s="1" t="n">
        <v>1</v>
      </c>
      <c r="I88" s="1" t="n">
        <v>43.9</v>
      </c>
      <c r="J88" s="1" t="n">
        <v>11</v>
      </c>
      <c r="K88" s="1" t="n">
        <v>6</v>
      </c>
      <c r="L88" s="1" t="n">
        <v>1</v>
      </c>
      <c r="M88" s="1" t="n">
        <v>0</v>
      </c>
      <c r="N88" s="1" t="n">
        <v>28.08</v>
      </c>
      <c r="O88" s="1" t="n">
        <v>0</v>
      </c>
      <c r="Q88" s="4" t="n">
        <v>44035</v>
      </c>
      <c r="R88" s="0" t="n">
        <f aca="false">IF(ISBLANK(F88),"Missing",IFERROR(YEAR(F88),"Missing"))</f>
        <v>2020</v>
      </c>
      <c r="S88" s="0" t="str">
        <f aca="false">IF(ISBLANK(E88),"Missing",IF(E88&lt;6,"0-6mo",IF(E88&lt;12,"6-12mo",IF(E88&lt;24,"12-24mo","24mo+"))))</f>
        <v>0-6mo</v>
      </c>
      <c r="T88" s="0" t="n">
        <f aca="false">IF(ISBLANK(C88),0,IF(C88="Month-to-month",2,IF(C88="One year",1,0)))+IF(ISBLANK(I88),0,IF(I88&lt;40,2,IF(I88&lt;55,1,0)))+IF(ISBLANK(M88),0,IF(M88=1,3,0))+IF(ISBLANK(L88),0,IF(L88&gt;=2,1,0))+IF(ISBLANK(E88),0,IF(E88&lt;12,1,0))</f>
        <v>3</v>
      </c>
      <c r="U88" s="0" t="str">
        <f aca="false">IF((ISBLANK(B88)*1+ISBLANK(C88)*1+ISBLANK(D88)*1+ISBLANK(E88)*1+ISBLANK(F88)*1+ISBLANK(I88)*1+ISBLANK(J88)*1+ISBLANK(K88)*1+ISBLANK(L88)*1+ISBLANK(M88)*1+ISBLANK(N88)*1+ISBLANK(O88)*1)&gt;0,"Missing Data","OK")</f>
        <v>OK</v>
      </c>
      <c r="V88" s="0" t="str">
        <f aca="false">IF(T88&gt;=6,"High Risk",IF(T88&gt;=3,"Medium Risk","Low Risk"))</f>
        <v>Medium Risk</v>
      </c>
    </row>
    <row r="89" customFormat="false" ht="12.8" hidden="false" customHeight="false" outlineLevel="0" collapsed="false">
      <c r="A89" s="1" t="s">
        <v>119</v>
      </c>
      <c r="B89" s="1" t="s">
        <v>36</v>
      </c>
      <c r="C89" s="1" t="s">
        <v>34</v>
      </c>
      <c r="D89" s="1" t="n">
        <v>10.78</v>
      </c>
      <c r="E89" s="1" t="n">
        <v>5</v>
      </c>
      <c r="F89" s="4" t="n">
        <v>43946</v>
      </c>
      <c r="G89" s="1" t="s">
        <v>25</v>
      </c>
      <c r="H89" s="1" t="n">
        <v>0</v>
      </c>
      <c r="I89" s="1" t="n">
        <v>59.7</v>
      </c>
      <c r="J89" s="1" t="n">
        <v>24</v>
      </c>
      <c r="K89" s="1" t="n">
        <v>5</v>
      </c>
      <c r="L89" s="1" t="n">
        <v>0</v>
      </c>
      <c r="M89" s="1" t="n">
        <v>0</v>
      </c>
      <c r="N89" s="1" t="n">
        <v>53.9</v>
      </c>
      <c r="O89" s="1" t="n">
        <v>0</v>
      </c>
      <c r="Q89" s="4" t="n">
        <v>44098</v>
      </c>
      <c r="R89" s="0" t="n">
        <f aca="false">IF(ISBLANK(F89),"Missing",IFERROR(YEAR(F89),"Missing"))</f>
        <v>2020</v>
      </c>
      <c r="S89" s="0" t="str">
        <f aca="false">IF(ISBLANK(E89),"Missing",IF(E89&lt;6,"0-6mo",IF(E89&lt;12,"6-12mo",IF(E89&lt;24,"12-24mo","24mo+"))))</f>
        <v>0-6mo</v>
      </c>
      <c r="T89" s="0" t="n">
        <f aca="false">IF(ISBLANK(C89),0,IF(C89="Month-to-month",2,IF(C89="One year",1,0)))+IF(ISBLANK(I89),0,IF(I89&lt;40,2,IF(I89&lt;55,1,0)))+IF(ISBLANK(M89),0,IF(M89=1,3,0))+IF(ISBLANK(L89),0,IF(L89&gt;=2,1,0))+IF(ISBLANK(E89),0,IF(E89&lt;12,1,0))</f>
        <v>2</v>
      </c>
      <c r="U89" s="0" t="str">
        <f aca="false">IF((ISBLANK(B89)*1+ISBLANK(C89)*1+ISBLANK(D89)*1+ISBLANK(E89)*1+ISBLANK(F89)*1+ISBLANK(I89)*1+ISBLANK(J89)*1+ISBLANK(K89)*1+ISBLANK(L89)*1+ISBLANK(M89)*1+ISBLANK(N89)*1+ISBLANK(O89)*1)&gt;0,"Missing Data","OK")</f>
        <v>OK</v>
      </c>
      <c r="V89" s="0" t="str">
        <f aca="false">IF(T89&gt;=6,"High Risk",IF(T89&gt;=3,"Medium Risk","Low Risk"))</f>
        <v>Low Risk</v>
      </c>
    </row>
    <row r="90" customFormat="false" ht="12.8" hidden="false" customHeight="false" outlineLevel="0" collapsed="false">
      <c r="A90" s="1" t="s">
        <v>120</v>
      </c>
      <c r="B90" s="1" t="s">
        <v>36</v>
      </c>
      <c r="C90" s="1" t="s">
        <v>34</v>
      </c>
      <c r="D90" s="1" t="n">
        <v>11.32</v>
      </c>
      <c r="E90" s="1" t="n">
        <v>13</v>
      </c>
      <c r="F90" s="4" t="n">
        <v>43947</v>
      </c>
      <c r="G90" s="1" t="s">
        <v>25</v>
      </c>
      <c r="H90" s="1" t="n">
        <v>1</v>
      </c>
      <c r="I90" s="1" t="n">
        <v>49.5</v>
      </c>
      <c r="J90" s="1" t="n">
        <v>9</v>
      </c>
      <c r="K90" s="1" t="n">
        <v>5</v>
      </c>
      <c r="L90" s="1" t="n">
        <v>0</v>
      </c>
      <c r="M90" s="1" t="n">
        <v>0</v>
      </c>
      <c r="N90" s="1" t="n">
        <v>147.16</v>
      </c>
      <c r="O90" s="1" t="n">
        <v>0</v>
      </c>
      <c r="Q90" s="4" t="n">
        <v>44342</v>
      </c>
      <c r="R90" s="0" t="n">
        <f aca="false">IF(ISBLANK(F90),"Missing",IFERROR(YEAR(F90),"Missing"))</f>
        <v>2020</v>
      </c>
      <c r="S90" s="0" t="str">
        <f aca="false">IF(ISBLANK(E90),"Missing",IF(E90&lt;6,"0-6mo",IF(E90&lt;12,"6-12mo",IF(E90&lt;24,"12-24mo","24mo+"))))</f>
        <v>12-24mo</v>
      </c>
      <c r="T90" s="0" t="n">
        <f aca="false">IF(ISBLANK(C90),0,IF(C90="Month-to-month",2,IF(C90="One year",1,0)))+IF(ISBLANK(I90),0,IF(I90&lt;40,2,IF(I90&lt;55,1,0)))+IF(ISBLANK(M90),0,IF(M90=1,3,0))+IF(ISBLANK(L90),0,IF(L90&gt;=2,1,0))+IF(ISBLANK(E90),0,IF(E90&lt;12,1,0))</f>
        <v>2</v>
      </c>
      <c r="U90" s="0" t="str">
        <f aca="false">IF((ISBLANK(B90)*1+ISBLANK(C90)*1+ISBLANK(D90)*1+ISBLANK(E90)*1+ISBLANK(F90)*1+ISBLANK(I90)*1+ISBLANK(J90)*1+ISBLANK(K90)*1+ISBLANK(L90)*1+ISBLANK(M90)*1+ISBLANK(N90)*1+ISBLANK(O90)*1)&gt;0,"Missing Data","OK")</f>
        <v>OK</v>
      </c>
      <c r="V90" s="0" t="str">
        <f aca="false">IF(T90&gt;=6,"High Risk",IF(T90&gt;=3,"Medium Risk","Low Risk"))</f>
        <v>Low Risk</v>
      </c>
    </row>
    <row r="91" customFormat="false" ht="12.8" hidden="false" customHeight="false" outlineLevel="0" collapsed="false">
      <c r="A91" s="1" t="s">
        <v>121</v>
      </c>
      <c r="B91" s="1" t="s">
        <v>36</v>
      </c>
      <c r="C91" s="1" t="s">
        <v>24</v>
      </c>
      <c r="D91" s="1" t="n">
        <v>9.62</v>
      </c>
      <c r="E91" s="1" t="n">
        <v>13</v>
      </c>
      <c r="F91" s="4" t="n">
        <v>43947</v>
      </c>
      <c r="G91" s="1" t="s">
        <v>39</v>
      </c>
      <c r="H91" s="1" t="n">
        <v>1</v>
      </c>
      <c r="I91" s="1" t="n">
        <v>57.7</v>
      </c>
      <c r="J91" s="1" t="n">
        <v>17</v>
      </c>
      <c r="K91" s="1" t="n">
        <v>8</v>
      </c>
      <c r="L91" s="1" t="n">
        <v>0</v>
      </c>
      <c r="M91" s="1" t="n">
        <v>0</v>
      </c>
      <c r="N91" s="1" t="n">
        <v>125.06</v>
      </c>
      <c r="O91" s="1" t="n">
        <v>1</v>
      </c>
      <c r="P91" s="4" t="n">
        <v>44342</v>
      </c>
      <c r="Q91" s="4" t="n">
        <v>44342</v>
      </c>
      <c r="R91" s="0" t="n">
        <f aca="false">IF(ISBLANK(F91),"Missing",IFERROR(YEAR(F91),"Missing"))</f>
        <v>2020</v>
      </c>
      <c r="S91" s="0" t="str">
        <f aca="false">IF(ISBLANK(E91),"Missing",IF(E91&lt;6,"0-6mo",IF(E91&lt;12,"6-12mo",IF(E91&lt;24,"12-24mo","24mo+"))))</f>
        <v>12-24mo</v>
      </c>
      <c r="T91" s="0" t="n">
        <f aca="false">IF(ISBLANK(C91),0,IF(C91="Month-to-month",2,IF(C91="One year",1,0)))+IF(ISBLANK(I91),0,IF(I91&lt;40,2,IF(I91&lt;55,1,0)))+IF(ISBLANK(M91),0,IF(M91=1,3,0))+IF(ISBLANK(L91),0,IF(L91&gt;=2,1,0))+IF(ISBLANK(E91),0,IF(E91&lt;12,1,0))</f>
        <v>2</v>
      </c>
      <c r="U91" s="0" t="str">
        <f aca="false">IF((ISBLANK(B91)*1+ISBLANK(C91)*1+ISBLANK(D91)*1+ISBLANK(E91)*1+ISBLANK(F91)*1+ISBLANK(I91)*1+ISBLANK(J91)*1+ISBLANK(K91)*1+ISBLANK(L91)*1+ISBLANK(M91)*1+ISBLANK(N91)*1+ISBLANK(O91)*1)&gt;0,"Missing Data","OK")</f>
        <v>OK</v>
      </c>
      <c r="V91" s="0" t="str">
        <f aca="false">IF(T91&gt;=6,"High Risk",IF(T91&gt;=3,"Medium Risk","Low Risk"))</f>
        <v>Low Risk</v>
      </c>
    </row>
    <row r="92" customFormat="false" ht="12.8" hidden="false" customHeight="false" outlineLevel="0" collapsed="false">
      <c r="A92" s="1" t="s">
        <v>122</v>
      </c>
      <c r="B92" s="1" t="s">
        <v>29</v>
      </c>
      <c r="C92" s="1" t="s">
        <v>34</v>
      </c>
      <c r="D92" s="1" t="n">
        <v>38.81</v>
      </c>
      <c r="E92" s="1" t="n">
        <v>3</v>
      </c>
      <c r="F92" s="4" t="n">
        <v>43950</v>
      </c>
      <c r="G92" s="1" t="s">
        <v>39</v>
      </c>
      <c r="H92" s="1" t="n">
        <v>1</v>
      </c>
      <c r="I92" s="1" t="n">
        <v>45</v>
      </c>
      <c r="J92" s="1" t="n">
        <v>17</v>
      </c>
      <c r="K92" s="1" t="n">
        <v>3</v>
      </c>
      <c r="L92" s="1" t="n">
        <v>0</v>
      </c>
      <c r="M92" s="1" t="n">
        <v>0</v>
      </c>
      <c r="N92" s="1" t="n">
        <v>116.43</v>
      </c>
      <c r="O92" s="1" t="n">
        <v>0</v>
      </c>
      <c r="Q92" s="4" t="n">
        <v>44041</v>
      </c>
      <c r="R92" s="0" t="n">
        <f aca="false">IF(ISBLANK(F92),"Missing",IFERROR(YEAR(F92),"Missing"))</f>
        <v>2020</v>
      </c>
      <c r="S92" s="0" t="str">
        <f aca="false">IF(ISBLANK(E92),"Missing",IF(E92&lt;6,"0-6mo",IF(E92&lt;12,"6-12mo",IF(E92&lt;24,"12-24mo","24mo+"))))</f>
        <v>0-6mo</v>
      </c>
      <c r="T92" s="0" t="n">
        <f aca="false">IF(ISBLANK(C92),0,IF(C92="Month-to-month",2,IF(C92="One year",1,0)))+IF(ISBLANK(I92),0,IF(I92&lt;40,2,IF(I92&lt;55,1,0)))+IF(ISBLANK(M92),0,IF(M92=1,3,0))+IF(ISBLANK(L92),0,IF(L92&gt;=2,1,0))+IF(ISBLANK(E92),0,IF(E92&lt;12,1,0))</f>
        <v>3</v>
      </c>
      <c r="U92" s="0" t="str">
        <f aca="false">IF((ISBLANK(B92)*1+ISBLANK(C92)*1+ISBLANK(D92)*1+ISBLANK(E92)*1+ISBLANK(F92)*1+ISBLANK(I92)*1+ISBLANK(J92)*1+ISBLANK(K92)*1+ISBLANK(L92)*1+ISBLANK(M92)*1+ISBLANK(N92)*1+ISBLANK(O92)*1)&gt;0,"Missing Data","OK")</f>
        <v>OK</v>
      </c>
      <c r="V92" s="0" t="str">
        <f aca="false">IF(T92&gt;=6,"High Risk",IF(T92&gt;=3,"Medium Risk","Low Risk"))</f>
        <v>Medium Risk</v>
      </c>
    </row>
    <row r="93" customFormat="false" ht="12.8" hidden="false" customHeight="false" outlineLevel="0" collapsed="false">
      <c r="A93" s="1" t="s">
        <v>123</v>
      </c>
      <c r="B93" s="1" t="s">
        <v>23</v>
      </c>
      <c r="C93" s="1" t="s">
        <v>51</v>
      </c>
      <c r="D93" s="1" t="n">
        <v>21.08</v>
      </c>
      <c r="E93" s="1" t="n">
        <v>19</v>
      </c>
      <c r="F93" s="4" t="n">
        <v>43950</v>
      </c>
      <c r="G93" s="1" t="s">
        <v>27</v>
      </c>
      <c r="H93" s="1" t="n">
        <v>1</v>
      </c>
      <c r="I93" s="1" t="n">
        <v>86.2</v>
      </c>
      <c r="J93" s="1" t="n">
        <v>35</v>
      </c>
      <c r="K93" s="1" t="n">
        <v>7</v>
      </c>
      <c r="L93" s="1" t="n">
        <v>0</v>
      </c>
      <c r="M93" s="1" t="n">
        <v>0</v>
      </c>
      <c r="N93" s="1" t="n">
        <v>400.52</v>
      </c>
      <c r="O93" s="1" t="n">
        <v>0</v>
      </c>
      <c r="Q93" s="4" t="n">
        <v>44528</v>
      </c>
      <c r="R93" s="0" t="n">
        <f aca="false">IF(ISBLANK(F93),"Missing",IFERROR(YEAR(F93),"Missing"))</f>
        <v>2020</v>
      </c>
      <c r="S93" s="0" t="str">
        <f aca="false">IF(ISBLANK(E93),"Missing",IF(E93&lt;6,"0-6mo",IF(E93&lt;12,"6-12mo",IF(E93&lt;24,"12-24mo","24mo+"))))</f>
        <v>12-24mo</v>
      </c>
      <c r="T93" s="0" t="n">
        <f aca="false">IF(ISBLANK(C93),0,IF(C93="Month-to-month",2,IF(C93="One year",1,0)))+IF(ISBLANK(I93),0,IF(I93&lt;40,2,IF(I93&lt;55,1,0)))+IF(ISBLANK(M93),0,IF(M93=1,3,0))+IF(ISBLANK(L93),0,IF(L93&gt;=2,1,0))+IF(ISBLANK(E93),0,IF(E93&lt;12,1,0))</f>
        <v>0</v>
      </c>
      <c r="U93" s="0" t="str">
        <f aca="false">IF((ISBLANK(B93)*1+ISBLANK(C93)*1+ISBLANK(D93)*1+ISBLANK(E93)*1+ISBLANK(F93)*1+ISBLANK(I93)*1+ISBLANK(J93)*1+ISBLANK(K93)*1+ISBLANK(L93)*1+ISBLANK(M93)*1+ISBLANK(N93)*1+ISBLANK(O93)*1)&gt;0,"Missing Data","OK")</f>
        <v>OK</v>
      </c>
      <c r="V93" s="0" t="str">
        <f aca="false">IF(T93&gt;=6,"High Risk",IF(T93&gt;=3,"Medium Risk","Low Risk"))</f>
        <v>Low Risk</v>
      </c>
    </row>
    <row r="94" customFormat="false" ht="12.8" hidden="false" customHeight="false" outlineLevel="0" collapsed="false">
      <c r="A94" s="1" t="s">
        <v>124</v>
      </c>
      <c r="B94" s="1" t="s">
        <v>23</v>
      </c>
      <c r="C94" s="1" t="s">
        <v>24</v>
      </c>
      <c r="D94" s="1" t="n">
        <v>18.21</v>
      </c>
      <c r="E94" s="1" t="n">
        <v>5</v>
      </c>
      <c r="F94" s="4" t="n">
        <v>43952</v>
      </c>
      <c r="G94" s="1" t="s">
        <v>39</v>
      </c>
      <c r="H94" s="1" t="n">
        <v>1</v>
      </c>
      <c r="I94" s="1" t="n">
        <v>62.6</v>
      </c>
      <c r="J94" s="1" t="n">
        <v>15</v>
      </c>
      <c r="K94" s="1" t="n">
        <v>6</v>
      </c>
      <c r="L94" s="1" t="n">
        <v>1</v>
      </c>
      <c r="M94" s="1" t="n">
        <v>0</v>
      </c>
      <c r="N94" s="1" t="n">
        <v>91.05</v>
      </c>
      <c r="O94" s="1" t="n">
        <v>1</v>
      </c>
      <c r="P94" s="4" t="n">
        <v>44104</v>
      </c>
      <c r="Q94" s="4" t="n">
        <v>44104</v>
      </c>
      <c r="R94" s="0" t="n">
        <f aca="false">IF(ISBLANK(F94),"Missing",IFERROR(YEAR(F94),"Missing"))</f>
        <v>2020</v>
      </c>
      <c r="S94" s="0" t="str">
        <f aca="false">IF(ISBLANK(E94),"Missing",IF(E94&lt;6,"0-6mo",IF(E94&lt;12,"6-12mo",IF(E94&lt;24,"12-24mo","24mo+"))))</f>
        <v>0-6mo</v>
      </c>
      <c r="T94" s="0" t="n">
        <f aca="false">IF(ISBLANK(C94),0,IF(C94="Month-to-month",2,IF(C94="One year",1,0)))+IF(ISBLANK(I94),0,IF(I94&lt;40,2,IF(I94&lt;55,1,0)))+IF(ISBLANK(M94),0,IF(M94=1,3,0))+IF(ISBLANK(L94),0,IF(L94&gt;=2,1,0))+IF(ISBLANK(E94),0,IF(E94&lt;12,1,0))</f>
        <v>3</v>
      </c>
      <c r="U94" s="0" t="str">
        <f aca="false">IF((ISBLANK(B94)*1+ISBLANK(C94)*1+ISBLANK(D94)*1+ISBLANK(E94)*1+ISBLANK(F94)*1+ISBLANK(I94)*1+ISBLANK(J94)*1+ISBLANK(K94)*1+ISBLANK(L94)*1+ISBLANK(M94)*1+ISBLANK(N94)*1+ISBLANK(O94)*1)&gt;0,"Missing Data","OK")</f>
        <v>OK</v>
      </c>
      <c r="V94" s="0" t="str">
        <f aca="false">IF(T94&gt;=6,"High Risk",IF(T94&gt;=3,"Medium Risk","Low Risk"))</f>
        <v>Medium Risk</v>
      </c>
    </row>
    <row r="95" customFormat="false" ht="12.8" hidden="false" customHeight="false" outlineLevel="0" collapsed="false">
      <c r="A95" s="1" t="s">
        <v>125</v>
      </c>
      <c r="B95" s="1" t="s">
        <v>36</v>
      </c>
      <c r="C95" s="1" t="s">
        <v>24</v>
      </c>
      <c r="D95" s="1" t="n">
        <v>10.55</v>
      </c>
      <c r="E95" s="1" t="n">
        <v>72</v>
      </c>
      <c r="F95" s="4" t="n">
        <v>43953</v>
      </c>
      <c r="G95" s="1" t="s">
        <v>39</v>
      </c>
      <c r="H95" s="1" t="n">
        <v>0</v>
      </c>
      <c r="I95" s="1" t="n">
        <v>50.6</v>
      </c>
      <c r="J95" s="1" t="n">
        <v>12</v>
      </c>
      <c r="K95" s="1" t="n">
        <v>6</v>
      </c>
      <c r="L95" s="1" t="n">
        <v>1</v>
      </c>
      <c r="M95" s="1" t="n">
        <v>1</v>
      </c>
      <c r="N95" s="1" t="n">
        <v>759.6</v>
      </c>
      <c r="O95" s="1" t="n">
        <v>0</v>
      </c>
      <c r="Q95" s="4" t="n">
        <v>46144</v>
      </c>
      <c r="R95" s="0" t="n">
        <f aca="false">IF(ISBLANK(F95),"Missing",IFERROR(YEAR(F95),"Missing"))</f>
        <v>2020</v>
      </c>
      <c r="S95" s="0" t="str">
        <f aca="false">IF(ISBLANK(E95),"Missing",IF(E95&lt;6,"0-6mo",IF(E95&lt;12,"6-12mo",IF(E95&lt;24,"12-24mo","24mo+"))))</f>
        <v>24mo+</v>
      </c>
      <c r="T95" s="0" t="n">
        <f aca="false">IF(ISBLANK(C95),0,IF(C95="Month-to-month",2,IF(C95="One year",1,0)))+IF(ISBLANK(I95),0,IF(I95&lt;40,2,IF(I95&lt;55,1,0)))+IF(ISBLANK(M95),0,IF(M95=1,3,0))+IF(ISBLANK(L95),0,IF(L95&gt;=2,1,0))+IF(ISBLANK(E95),0,IF(E95&lt;12,1,0))</f>
        <v>6</v>
      </c>
      <c r="U95" s="0" t="str">
        <f aca="false">IF((ISBLANK(B95)*1+ISBLANK(C95)*1+ISBLANK(D95)*1+ISBLANK(E95)*1+ISBLANK(F95)*1+ISBLANK(I95)*1+ISBLANK(J95)*1+ISBLANK(K95)*1+ISBLANK(L95)*1+ISBLANK(M95)*1+ISBLANK(N95)*1+ISBLANK(O95)*1)&gt;0,"Missing Data","OK")</f>
        <v>OK</v>
      </c>
      <c r="V95" s="0" t="str">
        <f aca="false">IF(T95&gt;=6,"High Risk",IF(T95&gt;=3,"Medium Risk","Low Risk"))</f>
        <v>High Risk</v>
      </c>
    </row>
    <row r="96" customFormat="false" ht="12.8" hidden="false" customHeight="false" outlineLevel="0" collapsed="false">
      <c r="A96" s="1" t="s">
        <v>126</v>
      </c>
      <c r="B96" s="1" t="s">
        <v>36</v>
      </c>
      <c r="C96" s="1" t="s">
        <v>24</v>
      </c>
      <c r="D96" s="1" t="n">
        <v>10.94</v>
      </c>
      <c r="E96" s="1" t="n">
        <v>5</v>
      </c>
      <c r="F96" s="4" t="n">
        <v>43954</v>
      </c>
      <c r="G96" s="1" t="s">
        <v>30</v>
      </c>
      <c r="H96" s="1" t="n">
        <v>1</v>
      </c>
      <c r="I96" s="1" t="n">
        <v>37.9</v>
      </c>
      <c r="J96" s="1" t="n">
        <v>17</v>
      </c>
      <c r="K96" s="1" t="n">
        <v>4</v>
      </c>
      <c r="L96" s="1" t="n">
        <v>2</v>
      </c>
      <c r="M96" s="1" t="n">
        <v>0</v>
      </c>
      <c r="N96" s="1" t="n">
        <v>54.7</v>
      </c>
      <c r="O96" s="1" t="n">
        <v>1</v>
      </c>
      <c r="P96" s="4" t="n">
        <v>44106</v>
      </c>
      <c r="Q96" s="4" t="n">
        <v>44106</v>
      </c>
      <c r="R96" s="0" t="n">
        <f aca="false">IF(ISBLANK(F96),"Missing",IFERROR(YEAR(F96),"Missing"))</f>
        <v>2020</v>
      </c>
      <c r="S96" s="0" t="str">
        <f aca="false">IF(ISBLANK(E96),"Missing",IF(E96&lt;6,"0-6mo",IF(E96&lt;12,"6-12mo",IF(E96&lt;24,"12-24mo","24mo+"))))</f>
        <v>0-6mo</v>
      </c>
      <c r="T96" s="0" t="n">
        <f aca="false">IF(ISBLANK(C96),0,IF(C96="Month-to-month",2,IF(C96="One year",1,0)))+IF(ISBLANK(I96),0,IF(I96&lt;40,2,IF(I96&lt;55,1,0)))+IF(ISBLANK(M96),0,IF(M96=1,3,0))+IF(ISBLANK(L96),0,IF(L96&gt;=2,1,0))+IF(ISBLANK(E96),0,IF(E96&lt;12,1,0))</f>
        <v>6</v>
      </c>
      <c r="U96" s="0" t="str">
        <f aca="false">IF((ISBLANK(B96)*1+ISBLANK(C96)*1+ISBLANK(D96)*1+ISBLANK(E96)*1+ISBLANK(F96)*1+ISBLANK(I96)*1+ISBLANK(J96)*1+ISBLANK(K96)*1+ISBLANK(L96)*1+ISBLANK(M96)*1+ISBLANK(N96)*1+ISBLANK(O96)*1)&gt;0,"Missing Data","OK")</f>
        <v>OK</v>
      </c>
      <c r="V96" s="0" t="str">
        <f aca="false">IF(T96&gt;=6,"High Risk",IF(T96&gt;=3,"Medium Risk","Low Risk"))</f>
        <v>High Risk</v>
      </c>
    </row>
    <row r="97" customFormat="false" ht="12.8" hidden="false" customHeight="false" outlineLevel="0" collapsed="false">
      <c r="A97" s="1" t="s">
        <v>127</v>
      </c>
      <c r="B97" s="1" t="s">
        <v>29</v>
      </c>
      <c r="C97" s="1" t="s">
        <v>24</v>
      </c>
      <c r="D97" s="1" t="n">
        <v>40.05</v>
      </c>
      <c r="E97" s="1" t="n">
        <v>1</v>
      </c>
      <c r="F97" s="4" t="n">
        <v>43954</v>
      </c>
      <c r="G97" s="1" t="s">
        <v>39</v>
      </c>
      <c r="H97" s="1" t="n">
        <v>1</v>
      </c>
      <c r="I97" s="1" t="n">
        <v>31.4</v>
      </c>
      <c r="J97" s="1" t="n">
        <v>9</v>
      </c>
      <c r="K97" s="1" t="n">
        <v>4</v>
      </c>
      <c r="L97" s="1" t="n">
        <v>0</v>
      </c>
      <c r="M97" s="1" t="n">
        <v>0</v>
      </c>
      <c r="N97" s="1" t="n">
        <v>40.05</v>
      </c>
      <c r="O97" s="1" t="n">
        <v>1</v>
      </c>
      <c r="P97" s="4" t="n">
        <v>43984</v>
      </c>
      <c r="Q97" s="4" t="n">
        <v>43984</v>
      </c>
      <c r="R97" s="0" t="n">
        <f aca="false">IF(ISBLANK(F97),"Missing",IFERROR(YEAR(F97),"Missing"))</f>
        <v>2020</v>
      </c>
      <c r="S97" s="0" t="str">
        <f aca="false">IF(ISBLANK(E97),"Missing",IF(E97&lt;6,"0-6mo",IF(E97&lt;12,"6-12mo",IF(E97&lt;24,"12-24mo","24mo+"))))</f>
        <v>0-6mo</v>
      </c>
      <c r="T97" s="0" t="n">
        <f aca="false">IF(ISBLANK(C97),0,IF(C97="Month-to-month",2,IF(C97="One year",1,0)))+IF(ISBLANK(I97),0,IF(I97&lt;40,2,IF(I97&lt;55,1,0)))+IF(ISBLANK(M97),0,IF(M97=1,3,0))+IF(ISBLANK(L97),0,IF(L97&gt;=2,1,0))+IF(ISBLANK(E97),0,IF(E97&lt;12,1,0))</f>
        <v>5</v>
      </c>
      <c r="U97" s="0" t="str">
        <f aca="false">IF((ISBLANK(B97)*1+ISBLANK(C97)*1+ISBLANK(D97)*1+ISBLANK(E97)*1+ISBLANK(F97)*1+ISBLANK(I97)*1+ISBLANK(J97)*1+ISBLANK(K97)*1+ISBLANK(L97)*1+ISBLANK(M97)*1+ISBLANK(N97)*1+ISBLANK(O97)*1)&gt;0,"Missing Data","OK")</f>
        <v>OK</v>
      </c>
      <c r="V97" s="0" t="str">
        <f aca="false">IF(T97&gt;=6,"High Risk",IF(T97&gt;=3,"Medium Risk","Low Risk"))</f>
        <v>Medium Risk</v>
      </c>
    </row>
    <row r="98" customFormat="false" ht="12.8" hidden="false" customHeight="false" outlineLevel="0" collapsed="false">
      <c r="A98" s="1" t="s">
        <v>128</v>
      </c>
      <c r="B98" s="1" t="s">
        <v>29</v>
      </c>
      <c r="C98" s="1" t="s">
        <v>51</v>
      </c>
      <c r="D98" s="1" t="n">
        <v>40.3</v>
      </c>
      <c r="E98" s="1" t="n">
        <v>20</v>
      </c>
      <c r="F98" s="4" t="n">
        <v>43955</v>
      </c>
      <c r="G98" s="1" t="s">
        <v>27</v>
      </c>
      <c r="H98" s="1" t="n">
        <v>1</v>
      </c>
      <c r="I98" s="1" t="n">
        <v>55.8</v>
      </c>
      <c r="J98" s="1" t="n">
        <v>23</v>
      </c>
      <c r="K98" s="1" t="n">
        <v>6</v>
      </c>
      <c r="L98" s="1" t="n">
        <v>2</v>
      </c>
      <c r="M98" s="1" t="n">
        <v>0</v>
      </c>
      <c r="N98" s="1" t="n">
        <v>806</v>
      </c>
      <c r="O98" s="1" t="n">
        <v>0</v>
      </c>
      <c r="Q98" s="4" t="n">
        <v>44563</v>
      </c>
      <c r="R98" s="0" t="n">
        <f aca="false">IF(ISBLANK(F98),"Missing",IFERROR(YEAR(F98),"Missing"))</f>
        <v>2020</v>
      </c>
      <c r="S98" s="0" t="str">
        <f aca="false">IF(ISBLANK(E98),"Missing",IF(E98&lt;6,"0-6mo",IF(E98&lt;12,"6-12mo",IF(E98&lt;24,"12-24mo","24mo+"))))</f>
        <v>12-24mo</v>
      </c>
      <c r="T98" s="0" t="n">
        <f aca="false">IF(ISBLANK(C98),0,IF(C98="Month-to-month",2,IF(C98="One year",1,0)))+IF(ISBLANK(I98),0,IF(I98&lt;40,2,IF(I98&lt;55,1,0)))+IF(ISBLANK(M98),0,IF(M98=1,3,0))+IF(ISBLANK(L98),0,IF(L98&gt;=2,1,0))+IF(ISBLANK(E98),0,IF(E98&lt;12,1,0))</f>
        <v>1</v>
      </c>
      <c r="U98" s="0" t="str">
        <f aca="false">IF((ISBLANK(B98)*1+ISBLANK(C98)*1+ISBLANK(D98)*1+ISBLANK(E98)*1+ISBLANK(F98)*1+ISBLANK(I98)*1+ISBLANK(J98)*1+ISBLANK(K98)*1+ISBLANK(L98)*1+ISBLANK(M98)*1+ISBLANK(N98)*1+ISBLANK(O98)*1)&gt;0,"Missing Data","OK")</f>
        <v>OK</v>
      </c>
      <c r="V98" s="0" t="str">
        <f aca="false">IF(T98&gt;=6,"High Risk",IF(T98&gt;=3,"Medium Risk","Low Risk"))</f>
        <v>Low Risk</v>
      </c>
    </row>
    <row r="99" customFormat="false" ht="12.8" hidden="false" customHeight="false" outlineLevel="0" collapsed="false">
      <c r="A99" s="1" t="s">
        <v>129</v>
      </c>
      <c r="B99" s="1" t="s">
        <v>23</v>
      </c>
      <c r="C99" s="1" t="s">
        <v>51</v>
      </c>
      <c r="D99" s="1" t="n">
        <v>20.01</v>
      </c>
      <c r="E99" s="1" t="n">
        <v>0</v>
      </c>
      <c r="F99" s="4" t="n">
        <v>43955</v>
      </c>
      <c r="G99" s="1" t="s">
        <v>25</v>
      </c>
      <c r="H99" s="1" t="n">
        <v>0</v>
      </c>
      <c r="I99" s="1" t="n">
        <v>48.7</v>
      </c>
      <c r="J99" s="1" t="n">
        <v>2</v>
      </c>
      <c r="K99" s="1" t="n">
        <v>4</v>
      </c>
      <c r="L99" s="1" t="n">
        <v>0</v>
      </c>
      <c r="M99" s="1" t="n">
        <v>0</v>
      </c>
      <c r="N99" s="1" t="n">
        <v>0</v>
      </c>
      <c r="O99" s="1" t="n">
        <v>0</v>
      </c>
      <c r="Q99" s="4" t="n">
        <v>43955</v>
      </c>
      <c r="R99" s="0" t="n">
        <f aca="false">IF(ISBLANK(F99),"Missing",IFERROR(YEAR(F99),"Missing"))</f>
        <v>2020</v>
      </c>
      <c r="S99" s="0" t="str">
        <f aca="false">IF(ISBLANK(E99),"Missing",IF(E99&lt;6,"0-6mo",IF(E99&lt;12,"6-12mo",IF(E99&lt;24,"12-24mo","24mo+"))))</f>
        <v>0-6mo</v>
      </c>
      <c r="T99" s="0" t="n">
        <f aca="false">IF(ISBLANK(C99),0,IF(C99="Month-to-month",2,IF(C99="One year",1,0)))+IF(ISBLANK(I99),0,IF(I99&lt;40,2,IF(I99&lt;55,1,0)))+IF(ISBLANK(M99),0,IF(M99=1,3,0))+IF(ISBLANK(L99),0,IF(L99&gt;=2,1,0))+IF(ISBLANK(E99),0,IF(E99&lt;12,1,0))</f>
        <v>2</v>
      </c>
      <c r="U99" s="0" t="str">
        <f aca="false">IF((ISBLANK(B99)*1+ISBLANK(C99)*1+ISBLANK(D99)*1+ISBLANK(E99)*1+ISBLANK(F99)*1+ISBLANK(I99)*1+ISBLANK(J99)*1+ISBLANK(K99)*1+ISBLANK(L99)*1+ISBLANK(M99)*1+ISBLANK(N99)*1+ISBLANK(O99)*1)&gt;0,"Missing Data","OK")</f>
        <v>OK</v>
      </c>
      <c r="V99" s="0" t="str">
        <f aca="false">IF(T99&gt;=6,"High Risk",IF(T99&gt;=3,"Medium Risk","Low Risk"))</f>
        <v>Low Risk</v>
      </c>
    </row>
    <row r="100" customFormat="false" ht="12.8" hidden="false" customHeight="false" outlineLevel="0" collapsed="false">
      <c r="A100" s="1" t="s">
        <v>130</v>
      </c>
      <c r="B100" s="1" t="s">
        <v>36</v>
      </c>
      <c r="C100" s="1" t="s">
        <v>34</v>
      </c>
      <c r="D100" s="1" t="n">
        <v>9.35</v>
      </c>
      <c r="E100" s="1" t="n">
        <v>8</v>
      </c>
      <c r="F100" s="4" t="n">
        <v>43957</v>
      </c>
      <c r="G100" s="1" t="s">
        <v>25</v>
      </c>
      <c r="H100" s="1" t="n">
        <v>1</v>
      </c>
      <c r="I100" s="1" t="n">
        <v>24.9</v>
      </c>
      <c r="J100" s="1" t="n">
        <v>13</v>
      </c>
      <c r="K100" s="1" t="n">
        <v>4</v>
      </c>
      <c r="L100" s="1" t="n">
        <v>3</v>
      </c>
      <c r="M100" s="1" t="n">
        <v>0</v>
      </c>
      <c r="N100" s="1" t="n">
        <v>74.8</v>
      </c>
      <c r="O100" s="1" t="n">
        <v>0</v>
      </c>
      <c r="Q100" s="4" t="n">
        <v>44200</v>
      </c>
      <c r="R100" s="0" t="n">
        <f aca="false">IF(ISBLANK(F100),"Missing",IFERROR(YEAR(F100),"Missing"))</f>
        <v>2020</v>
      </c>
      <c r="S100" s="0" t="str">
        <f aca="false">IF(ISBLANK(E100),"Missing",IF(E100&lt;6,"0-6mo",IF(E100&lt;12,"6-12mo",IF(E100&lt;24,"12-24mo","24mo+"))))</f>
        <v>6-12mo</v>
      </c>
      <c r="T100" s="0" t="n">
        <f aca="false">IF(ISBLANK(C100),0,IF(C100="Month-to-month",2,IF(C100="One year",1,0)))+IF(ISBLANK(I100),0,IF(I100&lt;40,2,IF(I100&lt;55,1,0)))+IF(ISBLANK(M100),0,IF(M100=1,3,0))+IF(ISBLANK(L100),0,IF(L100&gt;=2,1,0))+IF(ISBLANK(E100),0,IF(E100&lt;12,1,0))</f>
        <v>5</v>
      </c>
      <c r="U100" s="0" t="str">
        <f aca="false">IF((ISBLANK(B100)*1+ISBLANK(C100)*1+ISBLANK(D100)*1+ISBLANK(E100)*1+ISBLANK(F100)*1+ISBLANK(I100)*1+ISBLANK(J100)*1+ISBLANK(K100)*1+ISBLANK(L100)*1+ISBLANK(M100)*1+ISBLANK(N100)*1+ISBLANK(O100)*1)&gt;0,"Missing Data","OK")</f>
        <v>OK</v>
      </c>
      <c r="V100" s="0" t="str">
        <f aca="false">IF(T100&gt;=6,"High Risk",IF(T100&gt;=3,"Medium Risk","Low Risk"))</f>
        <v>Medium Risk</v>
      </c>
    </row>
    <row r="101" customFormat="false" ht="12.8" hidden="false" customHeight="false" outlineLevel="0" collapsed="false">
      <c r="A101" s="1" t="s">
        <v>131</v>
      </c>
      <c r="B101" s="1" t="s">
        <v>23</v>
      </c>
      <c r="C101" s="1" t="s">
        <v>24</v>
      </c>
      <c r="D101" s="1" t="n">
        <v>19.7</v>
      </c>
      <c r="E101" s="1" t="n">
        <v>27</v>
      </c>
      <c r="F101" s="4" t="n">
        <v>43959</v>
      </c>
      <c r="G101" s="1" t="s">
        <v>30</v>
      </c>
      <c r="H101" s="1" t="n">
        <v>1</v>
      </c>
      <c r="I101" s="1" t="n">
        <v>59.2</v>
      </c>
      <c r="J101" s="1" t="n">
        <v>22</v>
      </c>
      <c r="K101" s="1" t="n">
        <v>5</v>
      </c>
      <c r="L101" s="1" t="n">
        <v>2</v>
      </c>
      <c r="M101" s="1" t="n">
        <v>1</v>
      </c>
      <c r="N101" s="1" t="n">
        <v>531.9</v>
      </c>
      <c r="O101" s="1" t="n">
        <v>0</v>
      </c>
      <c r="Q101" s="4" t="n">
        <v>44780</v>
      </c>
      <c r="R101" s="0" t="n">
        <f aca="false">IF(ISBLANK(F101),"Missing",IFERROR(YEAR(F101),"Missing"))</f>
        <v>2020</v>
      </c>
      <c r="S101" s="0" t="str">
        <f aca="false">IF(ISBLANK(E101),"Missing",IF(E101&lt;6,"0-6mo",IF(E101&lt;12,"6-12mo",IF(E101&lt;24,"12-24mo","24mo+"))))</f>
        <v>24mo+</v>
      </c>
      <c r="T101" s="0" t="n">
        <f aca="false">IF(ISBLANK(C101),0,IF(C101="Month-to-month",2,IF(C101="One year",1,0)))+IF(ISBLANK(I101),0,IF(I101&lt;40,2,IF(I101&lt;55,1,0)))+IF(ISBLANK(M101),0,IF(M101=1,3,0))+IF(ISBLANK(L101),0,IF(L101&gt;=2,1,0))+IF(ISBLANK(E101),0,IF(E101&lt;12,1,0))</f>
        <v>6</v>
      </c>
      <c r="U101" s="0" t="str">
        <f aca="false">IF((ISBLANK(B101)*1+ISBLANK(C101)*1+ISBLANK(D101)*1+ISBLANK(E101)*1+ISBLANK(F101)*1+ISBLANK(I101)*1+ISBLANK(J101)*1+ISBLANK(K101)*1+ISBLANK(L101)*1+ISBLANK(M101)*1+ISBLANK(N101)*1+ISBLANK(O101)*1)&gt;0,"Missing Data","OK")</f>
        <v>OK</v>
      </c>
      <c r="V101" s="0" t="str">
        <f aca="false">IF(T101&gt;=6,"High Risk",IF(T101&gt;=3,"Medium Risk","Low Risk"))</f>
        <v>High Risk</v>
      </c>
    </row>
    <row r="102" customFormat="false" ht="12.8" hidden="false" customHeight="false" outlineLevel="0" collapsed="false">
      <c r="A102" s="1" t="s">
        <v>132</v>
      </c>
      <c r="B102" s="1" t="s">
        <v>36</v>
      </c>
      <c r="C102" s="1" t="s">
        <v>24</v>
      </c>
      <c r="D102" s="1" t="n">
        <v>9.63</v>
      </c>
      <c r="E102" s="1" t="n">
        <v>44</v>
      </c>
      <c r="F102" s="4" t="n">
        <v>43961</v>
      </c>
      <c r="G102" s="1" t="s">
        <v>25</v>
      </c>
      <c r="H102" s="1" t="n">
        <v>0</v>
      </c>
      <c r="I102" s="1" t="n">
        <v>16.8</v>
      </c>
      <c r="J102" s="1" t="n">
        <v>4</v>
      </c>
      <c r="K102" s="1" t="n">
        <v>1</v>
      </c>
      <c r="L102" s="1" t="n">
        <v>6</v>
      </c>
      <c r="M102" s="1" t="n">
        <v>0</v>
      </c>
      <c r="N102" s="1" t="n">
        <v>423.72</v>
      </c>
      <c r="O102" s="1" t="n">
        <v>1</v>
      </c>
      <c r="P102" s="4" t="n">
        <v>45300</v>
      </c>
      <c r="Q102" s="4" t="n">
        <v>45300</v>
      </c>
      <c r="R102" s="0" t="n">
        <f aca="false">IF(ISBLANK(F102),"Missing",IFERROR(YEAR(F102),"Missing"))</f>
        <v>2020</v>
      </c>
      <c r="S102" s="0" t="str">
        <f aca="false">IF(ISBLANK(E102),"Missing",IF(E102&lt;6,"0-6mo",IF(E102&lt;12,"6-12mo",IF(E102&lt;24,"12-24mo","24mo+"))))</f>
        <v>24mo+</v>
      </c>
      <c r="T102" s="0" t="n">
        <f aca="false">IF(ISBLANK(C102),0,IF(C102="Month-to-month",2,IF(C102="One year",1,0)))+IF(ISBLANK(I102),0,IF(I102&lt;40,2,IF(I102&lt;55,1,0)))+IF(ISBLANK(M102),0,IF(M102=1,3,0))+IF(ISBLANK(L102),0,IF(L102&gt;=2,1,0))+IF(ISBLANK(E102),0,IF(E102&lt;12,1,0))</f>
        <v>5</v>
      </c>
      <c r="U102" s="0" t="str">
        <f aca="false">IF((ISBLANK(B102)*1+ISBLANK(C102)*1+ISBLANK(D102)*1+ISBLANK(E102)*1+ISBLANK(F102)*1+ISBLANK(I102)*1+ISBLANK(J102)*1+ISBLANK(K102)*1+ISBLANK(L102)*1+ISBLANK(M102)*1+ISBLANK(N102)*1+ISBLANK(O102)*1)&gt;0,"Missing Data","OK")</f>
        <v>OK</v>
      </c>
      <c r="V102" s="0" t="str">
        <f aca="false">IF(T102&gt;=6,"High Risk",IF(T102&gt;=3,"Medium Risk","Low Risk"))</f>
        <v>Medium Risk</v>
      </c>
    </row>
    <row r="103" customFormat="false" ht="12.8" hidden="false" customHeight="false" outlineLevel="0" collapsed="false">
      <c r="A103" s="1" t="s">
        <v>133</v>
      </c>
      <c r="B103" s="1" t="s">
        <v>29</v>
      </c>
      <c r="C103" s="1" t="s">
        <v>34</v>
      </c>
      <c r="D103" s="1" t="n">
        <v>39.7</v>
      </c>
      <c r="E103" s="1" t="n">
        <v>4</v>
      </c>
      <c r="F103" s="4" t="n">
        <v>43963</v>
      </c>
      <c r="G103" s="1" t="s">
        <v>25</v>
      </c>
      <c r="H103" s="1" t="n">
        <v>1</v>
      </c>
      <c r="I103" s="1" t="n">
        <v>53.5</v>
      </c>
      <c r="J103" s="1" t="n">
        <v>22</v>
      </c>
      <c r="K103" s="1" t="n">
        <v>5</v>
      </c>
      <c r="L103" s="1" t="n">
        <v>2</v>
      </c>
      <c r="M103" s="1" t="n">
        <v>0</v>
      </c>
      <c r="N103" s="1" t="n">
        <v>158.8</v>
      </c>
      <c r="O103" s="1" t="n">
        <v>0</v>
      </c>
      <c r="Q103" s="4" t="n">
        <v>44084</v>
      </c>
      <c r="R103" s="0" t="n">
        <f aca="false">IF(ISBLANK(F103),"Missing",IFERROR(YEAR(F103),"Missing"))</f>
        <v>2020</v>
      </c>
      <c r="S103" s="0" t="str">
        <f aca="false">IF(ISBLANK(E103),"Missing",IF(E103&lt;6,"0-6mo",IF(E103&lt;12,"6-12mo",IF(E103&lt;24,"12-24mo","24mo+"))))</f>
        <v>0-6mo</v>
      </c>
      <c r="T103" s="0" t="n">
        <f aca="false">IF(ISBLANK(C103),0,IF(C103="Month-to-month",2,IF(C103="One year",1,0)))+IF(ISBLANK(I103),0,IF(I103&lt;40,2,IF(I103&lt;55,1,0)))+IF(ISBLANK(M103),0,IF(M103=1,3,0))+IF(ISBLANK(L103),0,IF(L103&gt;=2,1,0))+IF(ISBLANK(E103),0,IF(E103&lt;12,1,0))</f>
        <v>4</v>
      </c>
      <c r="U103" s="0" t="str">
        <f aca="false">IF((ISBLANK(B103)*1+ISBLANK(C103)*1+ISBLANK(D103)*1+ISBLANK(E103)*1+ISBLANK(F103)*1+ISBLANK(I103)*1+ISBLANK(J103)*1+ISBLANK(K103)*1+ISBLANK(L103)*1+ISBLANK(M103)*1+ISBLANK(N103)*1+ISBLANK(O103)*1)&gt;0,"Missing Data","OK")</f>
        <v>OK</v>
      </c>
      <c r="V103" s="0" t="str">
        <f aca="false">IF(T103&gt;=6,"High Risk",IF(T103&gt;=3,"Medium Risk","Low Risk"))</f>
        <v>Medium Risk</v>
      </c>
    </row>
    <row r="104" customFormat="false" ht="12.8" hidden="false" customHeight="false" outlineLevel="0" collapsed="false">
      <c r="A104" s="1" t="s">
        <v>134</v>
      </c>
      <c r="B104" s="1" t="s">
        <v>23</v>
      </c>
      <c r="C104" s="1" t="s">
        <v>51</v>
      </c>
      <c r="D104" s="1" t="n">
        <v>19.86</v>
      </c>
      <c r="E104" s="1" t="n">
        <v>1</v>
      </c>
      <c r="F104" s="4" t="n">
        <v>43963</v>
      </c>
      <c r="G104" s="1" t="s">
        <v>25</v>
      </c>
      <c r="H104" s="1" t="n">
        <v>0</v>
      </c>
      <c r="I104" s="1" t="n">
        <v>44.9</v>
      </c>
      <c r="J104" s="1" t="n">
        <v>27</v>
      </c>
      <c r="K104" s="1" t="n">
        <v>3</v>
      </c>
      <c r="L104" s="1" t="n">
        <v>2</v>
      </c>
      <c r="M104" s="1" t="n">
        <v>1</v>
      </c>
      <c r="N104" s="1" t="n">
        <v>19.86</v>
      </c>
      <c r="O104" s="1" t="n">
        <v>0</v>
      </c>
      <c r="Q104" s="4" t="n">
        <v>43993</v>
      </c>
      <c r="R104" s="0" t="n">
        <f aca="false">IF(ISBLANK(F104),"Missing",IFERROR(YEAR(F104),"Missing"))</f>
        <v>2020</v>
      </c>
      <c r="S104" s="0" t="str">
        <f aca="false">IF(ISBLANK(E104),"Missing",IF(E104&lt;6,"0-6mo",IF(E104&lt;12,"6-12mo",IF(E104&lt;24,"12-24mo","24mo+"))))</f>
        <v>0-6mo</v>
      </c>
      <c r="T104" s="0" t="n">
        <f aca="false">IF(ISBLANK(C104),0,IF(C104="Month-to-month",2,IF(C104="One year",1,0)))+IF(ISBLANK(I104),0,IF(I104&lt;40,2,IF(I104&lt;55,1,0)))+IF(ISBLANK(M104),0,IF(M104=1,3,0))+IF(ISBLANK(L104),0,IF(L104&gt;=2,1,0))+IF(ISBLANK(E104),0,IF(E104&lt;12,1,0))</f>
        <v>6</v>
      </c>
      <c r="U104" s="0" t="str">
        <f aca="false">IF((ISBLANK(B104)*1+ISBLANK(C104)*1+ISBLANK(D104)*1+ISBLANK(E104)*1+ISBLANK(F104)*1+ISBLANK(I104)*1+ISBLANK(J104)*1+ISBLANK(K104)*1+ISBLANK(L104)*1+ISBLANK(M104)*1+ISBLANK(N104)*1+ISBLANK(O104)*1)&gt;0,"Missing Data","OK")</f>
        <v>OK</v>
      </c>
      <c r="V104" s="0" t="str">
        <f aca="false">IF(T104&gt;=6,"High Risk",IF(T104&gt;=3,"Medium Risk","Low Risk"))</f>
        <v>High Risk</v>
      </c>
    </row>
    <row r="105" customFormat="false" ht="12.8" hidden="false" customHeight="false" outlineLevel="0" collapsed="false">
      <c r="A105" s="1" t="s">
        <v>135</v>
      </c>
      <c r="B105" s="1" t="s">
        <v>36</v>
      </c>
      <c r="C105" s="1" t="s">
        <v>24</v>
      </c>
      <c r="D105" s="1" t="n">
        <v>9.83</v>
      </c>
      <c r="E105" s="1" t="n">
        <v>8</v>
      </c>
      <c r="F105" s="4" t="n">
        <v>43965</v>
      </c>
      <c r="G105" s="1" t="s">
        <v>39</v>
      </c>
      <c r="H105" s="1" t="n">
        <v>0</v>
      </c>
      <c r="I105" s="1" t="n">
        <v>76</v>
      </c>
      <c r="J105" s="1" t="n">
        <v>19</v>
      </c>
      <c r="K105" s="1" t="n">
        <v>8</v>
      </c>
      <c r="L105" s="1" t="n">
        <v>1</v>
      </c>
      <c r="M105" s="1" t="n">
        <v>0</v>
      </c>
      <c r="N105" s="1" t="n">
        <v>78.64</v>
      </c>
      <c r="O105" s="1" t="n">
        <v>0</v>
      </c>
      <c r="Q105" s="4" t="n">
        <v>44208</v>
      </c>
      <c r="R105" s="0" t="n">
        <f aca="false">IF(ISBLANK(F105),"Missing",IFERROR(YEAR(F105),"Missing"))</f>
        <v>2020</v>
      </c>
      <c r="S105" s="0" t="str">
        <f aca="false">IF(ISBLANK(E105),"Missing",IF(E105&lt;6,"0-6mo",IF(E105&lt;12,"6-12mo",IF(E105&lt;24,"12-24mo","24mo+"))))</f>
        <v>6-12mo</v>
      </c>
      <c r="T105" s="0" t="n">
        <f aca="false">IF(ISBLANK(C105),0,IF(C105="Month-to-month",2,IF(C105="One year",1,0)))+IF(ISBLANK(I105),0,IF(I105&lt;40,2,IF(I105&lt;55,1,0)))+IF(ISBLANK(M105),0,IF(M105=1,3,0))+IF(ISBLANK(L105),0,IF(L105&gt;=2,1,0))+IF(ISBLANK(E105),0,IF(E105&lt;12,1,0))</f>
        <v>3</v>
      </c>
      <c r="U105" s="0" t="str">
        <f aca="false">IF((ISBLANK(B105)*1+ISBLANK(C105)*1+ISBLANK(D105)*1+ISBLANK(E105)*1+ISBLANK(F105)*1+ISBLANK(I105)*1+ISBLANK(J105)*1+ISBLANK(K105)*1+ISBLANK(L105)*1+ISBLANK(M105)*1+ISBLANK(N105)*1+ISBLANK(O105)*1)&gt;0,"Missing Data","OK")</f>
        <v>OK</v>
      </c>
      <c r="V105" s="0" t="str">
        <f aca="false">IF(T105&gt;=6,"High Risk",IF(T105&gt;=3,"Medium Risk","Low Risk"))</f>
        <v>Medium Risk</v>
      </c>
    </row>
    <row r="106" customFormat="false" ht="12.8" hidden="false" customHeight="false" outlineLevel="0" collapsed="false">
      <c r="A106" s="1" t="s">
        <v>136</v>
      </c>
      <c r="B106" s="1" t="s">
        <v>23</v>
      </c>
      <c r="C106" s="1" t="s">
        <v>51</v>
      </c>
      <c r="D106" s="1" t="n">
        <v>20.54</v>
      </c>
      <c r="E106" s="1" t="n">
        <v>10</v>
      </c>
      <c r="F106" s="4" t="n">
        <v>43965</v>
      </c>
      <c r="G106" s="1" t="s">
        <v>27</v>
      </c>
      <c r="H106" s="1" t="n">
        <v>0</v>
      </c>
      <c r="I106" s="1" t="n">
        <v>71.6</v>
      </c>
      <c r="J106" s="1" t="n">
        <v>23</v>
      </c>
      <c r="K106" s="1" t="n">
        <v>5</v>
      </c>
      <c r="L106" s="1" t="n">
        <v>0</v>
      </c>
      <c r="M106" s="1" t="n">
        <v>0</v>
      </c>
      <c r="N106" s="1" t="n">
        <v>205.4</v>
      </c>
      <c r="O106" s="1" t="n">
        <v>0</v>
      </c>
      <c r="Q106" s="4" t="n">
        <v>44269</v>
      </c>
      <c r="R106" s="0" t="n">
        <f aca="false">IF(ISBLANK(F106),"Missing",IFERROR(YEAR(F106),"Missing"))</f>
        <v>2020</v>
      </c>
      <c r="S106" s="0" t="str">
        <f aca="false">IF(ISBLANK(E106),"Missing",IF(E106&lt;6,"0-6mo",IF(E106&lt;12,"6-12mo",IF(E106&lt;24,"12-24mo","24mo+"))))</f>
        <v>6-12mo</v>
      </c>
      <c r="T106" s="0" t="n">
        <f aca="false">IF(ISBLANK(C106),0,IF(C106="Month-to-month",2,IF(C106="One year",1,0)))+IF(ISBLANK(I106),0,IF(I106&lt;40,2,IF(I106&lt;55,1,0)))+IF(ISBLANK(M106),0,IF(M106=1,3,0))+IF(ISBLANK(L106),0,IF(L106&gt;=2,1,0))+IF(ISBLANK(E106),0,IF(E106&lt;12,1,0))</f>
        <v>1</v>
      </c>
      <c r="U106" s="0" t="str">
        <f aca="false">IF((ISBLANK(B106)*1+ISBLANK(C106)*1+ISBLANK(D106)*1+ISBLANK(E106)*1+ISBLANK(F106)*1+ISBLANK(I106)*1+ISBLANK(J106)*1+ISBLANK(K106)*1+ISBLANK(L106)*1+ISBLANK(M106)*1+ISBLANK(N106)*1+ISBLANK(O106)*1)&gt;0,"Missing Data","OK")</f>
        <v>OK</v>
      </c>
      <c r="V106" s="0" t="str">
        <f aca="false">IF(T106&gt;=6,"High Risk",IF(T106&gt;=3,"Medium Risk","Low Risk"))</f>
        <v>Low Risk</v>
      </c>
    </row>
    <row r="107" customFormat="false" ht="12.8" hidden="false" customHeight="false" outlineLevel="0" collapsed="false">
      <c r="A107" s="1" t="s">
        <v>137</v>
      </c>
      <c r="B107" s="1" t="s">
        <v>36</v>
      </c>
      <c r="C107" s="1" t="s">
        <v>24</v>
      </c>
      <c r="D107" s="1" t="n">
        <v>10.61</v>
      </c>
      <c r="E107" s="1" t="n">
        <v>27</v>
      </c>
      <c r="F107" s="4" t="n">
        <v>43968</v>
      </c>
      <c r="G107" s="1" t="s">
        <v>39</v>
      </c>
      <c r="H107" s="1" t="n">
        <v>1</v>
      </c>
      <c r="I107" s="1" t="n">
        <v>88.3</v>
      </c>
      <c r="J107" s="1" t="n">
        <v>26</v>
      </c>
      <c r="K107" s="1" t="n">
        <v>9</v>
      </c>
      <c r="L107" s="1" t="n">
        <v>0</v>
      </c>
      <c r="M107" s="1" t="n">
        <v>0</v>
      </c>
      <c r="N107" s="1" t="n">
        <v>286.47</v>
      </c>
      <c r="O107" s="1" t="n">
        <v>0</v>
      </c>
      <c r="Q107" s="4" t="n">
        <v>44789</v>
      </c>
      <c r="R107" s="0" t="n">
        <f aca="false">IF(ISBLANK(F107),"Missing",IFERROR(YEAR(F107),"Missing"))</f>
        <v>2020</v>
      </c>
      <c r="S107" s="0" t="str">
        <f aca="false">IF(ISBLANK(E107),"Missing",IF(E107&lt;6,"0-6mo",IF(E107&lt;12,"6-12mo",IF(E107&lt;24,"12-24mo","24mo+"))))</f>
        <v>24mo+</v>
      </c>
      <c r="T107" s="0" t="n">
        <f aca="false">IF(ISBLANK(C107),0,IF(C107="Month-to-month",2,IF(C107="One year",1,0)))+IF(ISBLANK(I107),0,IF(I107&lt;40,2,IF(I107&lt;55,1,0)))+IF(ISBLANK(M107),0,IF(M107=1,3,0))+IF(ISBLANK(L107),0,IF(L107&gt;=2,1,0))+IF(ISBLANK(E107),0,IF(E107&lt;12,1,0))</f>
        <v>2</v>
      </c>
      <c r="U107" s="0" t="str">
        <f aca="false">IF((ISBLANK(B107)*1+ISBLANK(C107)*1+ISBLANK(D107)*1+ISBLANK(E107)*1+ISBLANK(F107)*1+ISBLANK(I107)*1+ISBLANK(J107)*1+ISBLANK(K107)*1+ISBLANK(L107)*1+ISBLANK(M107)*1+ISBLANK(N107)*1+ISBLANK(O107)*1)&gt;0,"Missing Data","OK")</f>
        <v>OK</v>
      </c>
      <c r="V107" s="0" t="str">
        <f aca="false">IF(T107&gt;=6,"High Risk",IF(T107&gt;=3,"Medium Risk","Low Risk"))</f>
        <v>Low Risk</v>
      </c>
    </row>
    <row r="108" customFormat="false" ht="12.8" hidden="false" customHeight="false" outlineLevel="0" collapsed="false">
      <c r="A108" s="1" t="s">
        <v>138</v>
      </c>
      <c r="B108" s="1" t="s">
        <v>23</v>
      </c>
      <c r="C108" s="1" t="s">
        <v>24</v>
      </c>
      <c r="D108" s="1" t="n">
        <v>20.41</v>
      </c>
      <c r="E108" s="1" t="n">
        <v>3</v>
      </c>
      <c r="F108" s="4" t="n">
        <v>43970</v>
      </c>
      <c r="G108" s="1" t="s">
        <v>25</v>
      </c>
      <c r="H108" s="1" t="n">
        <v>0</v>
      </c>
      <c r="I108" s="1" t="n">
        <v>37.1</v>
      </c>
      <c r="J108" s="1" t="n">
        <v>17</v>
      </c>
      <c r="K108" s="1" t="n">
        <v>6</v>
      </c>
      <c r="L108" s="1" t="n">
        <v>5</v>
      </c>
      <c r="M108" s="1" t="n">
        <v>0</v>
      </c>
      <c r="N108" s="1" t="n">
        <v>61.23</v>
      </c>
      <c r="O108" s="1" t="n">
        <v>1</v>
      </c>
      <c r="P108" s="4" t="n">
        <v>44061</v>
      </c>
      <c r="Q108" s="4" t="n">
        <v>44061</v>
      </c>
      <c r="R108" s="0" t="n">
        <f aca="false">IF(ISBLANK(F108),"Missing",IFERROR(YEAR(F108),"Missing"))</f>
        <v>2020</v>
      </c>
      <c r="S108" s="0" t="str">
        <f aca="false">IF(ISBLANK(E108),"Missing",IF(E108&lt;6,"0-6mo",IF(E108&lt;12,"6-12mo",IF(E108&lt;24,"12-24mo","24mo+"))))</f>
        <v>0-6mo</v>
      </c>
      <c r="T108" s="0" t="n">
        <f aca="false">IF(ISBLANK(C108),0,IF(C108="Month-to-month",2,IF(C108="One year",1,0)))+IF(ISBLANK(I108),0,IF(I108&lt;40,2,IF(I108&lt;55,1,0)))+IF(ISBLANK(M108),0,IF(M108=1,3,0))+IF(ISBLANK(L108),0,IF(L108&gt;=2,1,0))+IF(ISBLANK(E108),0,IF(E108&lt;12,1,0))</f>
        <v>6</v>
      </c>
      <c r="U108" s="0" t="str">
        <f aca="false">IF((ISBLANK(B108)*1+ISBLANK(C108)*1+ISBLANK(D108)*1+ISBLANK(E108)*1+ISBLANK(F108)*1+ISBLANK(I108)*1+ISBLANK(J108)*1+ISBLANK(K108)*1+ISBLANK(L108)*1+ISBLANK(M108)*1+ISBLANK(N108)*1+ISBLANK(O108)*1)&gt;0,"Missing Data","OK")</f>
        <v>OK</v>
      </c>
      <c r="V108" s="0" t="str">
        <f aca="false">IF(T108&gt;=6,"High Risk",IF(T108&gt;=3,"Medium Risk","Low Risk"))</f>
        <v>High Risk</v>
      </c>
    </row>
    <row r="109" customFormat="false" ht="12.8" hidden="false" customHeight="false" outlineLevel="0" collapsed="false">
      <c r="A109" s="1" t="s">
        <v>139</v>
      </c>
      <c r="B109" s="1" t="s">
        <v>23</v>
      </c>
      <c r="C109" s="1" t="s">
        <v>34</v>
      </c>
      <c r="D109" s="1" t="n">
        <v>20.33</v>
      </c>
      <c r="E109" s="1" t="n">
        <v>72</v>
      </c>
      <c r="F109" s="4" t="n">
        <v>43972</v>
      </c>
      <c r="G109" s="1" t="s">
        <v>39</v>
      </c>
      <c r="H109" s="1" t="n">
        <v>1</v>
      </c>
      <c r="I109" s="1" t="n">
        <v>70.2</v>
      </c>
      <c r="J109" s="1" t="n">
        <v>20</v>
      </c>
      <c r="K109" s="1" t="n">
        <v>10</v>
      </c>
      <c r="L109" s="1" t="n">
        <v>0</v>
      </c>
      <c r="M109" s="1" t="n">
        <v>0</v>
      </c>
      <c r="N109" s="1" t="n">
        <v>1463.76</v>
      </c>
      <c r="O109" s="1" t="n">
        <v>0</v>
      </c>
      <c r="Q109" s="4" t="n">
        <v>46163</v>
      </c>
      <c r="R109" s="0" t="n">
        <f aca="false">IF(ISBLANK(F109),"Missing",IFERROR(YEAR(F109),"Missing"))</f>
        <v>2020</v>
      </c>
      <c r="S109" s="0" t="str">
        <f aca="false">IF(ISBLANK(E109),"Missing",IF(E109&lt;6,"0-6mo",IF(E109&lt;12,"6-12mo",IF(E109&lt;24,"12-24mo","24mo+"))))</f>
        <v>24mo+</v>
      </c>
      <c r="T109" s="0" t="n">
        <f aca="false">IF(ISBLANK(C109),0,IF(C109="Month-to-month",2,IF(C109="One year",1,0)))+IF(ISBLANK(I109),0,IF(I109&lt;40,2,IF(I109&lt;55,1,0)))+IF(ISBLANK(M109),0,IF(M109=1,3,0))+IF(ISBLANK(L109),0,IF(L109&gt;=2,1,0))+IF(ISBLANK(E109),0,IF(E109&lt;12,1,0))</f>
        <v>1</v>
      </c>
      <c r="U109" s="0" t="str">
        <f aca="false">IF((ISBLANK(B109)*1+ISBLANK(C109)*1+ISBLANK(D109)*1+ISBLANK(E109)*1+ISBLANK(F109)*1+ISBLANK(I109)*1+ISBLANK(J109)*1+ISBLANK(K109)*1+ISBLANK(L109)*1+ISBLANK(M109)*1+ISBLANK(N109)*1+ISBLANK(O109)*1)&gt;0,"Missing Data","OK")</f>
        <v>OK</v>
      </c>
      <c r="V109" s="0" t="str">
        <f aca="false">IF(T109&gt;=6,"High Risk",IF(T109&gt;=3,"Medium Risk","Low Risk"))</f>
        <v>Low Risk</v>
      </c>
    </row>
    <row r="110" customFormat="false" ht="12.8" hidden="false" customHeight="false" outlineLevel="0" collapsed="false">
      <c r="A110" s="1" t="s">
        <v>140</v>
      </c>
      <c r="B110" s="1" t="s">
        <v>36</v>
      </c>
      <c r="C110" s="1" t="s">
        <v>24</v>
      </c>
      <c r="D110" s="1" t="n">
        <v>11.6</v>
      </c>
      <c r="E110" s="1" t="n">
        <v>6</v>
      </c>
      <c r="F110" s="4" t="n">
        <v>43974</v>
      </c>
      <c r="G110" s="1" t="s">
        <v>25</v>
      </c>
      <c r="H110" s="1" t="n">
        <v>1</v>
      </c>
      <c r="I110" s="1" t="n">
        <v>49.4</v>
      </c>
      <c r="J110" s="1" t="n">
        <v>14</v>
      </c>
      <c r="K110" s="1" t="n">
        <v>5</v>
      </c>
      <c r="L110" s="1" t="n">
        <v>0</v>
      </c>
      <c r="M110" s="1" t="n">
        <v>0</v>
      </c>
      <c r="N110" s="1" t="n">
        <v>69.6</v>
      </c>
      <c r="O110" s="1" t="n">
        <v>0</v>
      </c>
      <c r="Q110" s="4" t="n">
        <v>44156</v>
      </c>
      <c r="R110" s="0" t="n">
        <f aca="false">IF(ISBLANK(F110),"Missing",IFERROR(YEAR(F110),"Missing"))</f>
        <v>2020</v>
      </c>
      <c r="S110" s="0" t="str">
        <f aca="false">IF(ISBLANK(E110),"Missing",IF(E110&lt;6,"0-6mo",IF(E110&lt;12,"6-12mo",IF(E110&lt;24,"12-24mo","24mo+"))))</f>
        <v>6-12mo</v>
      </c>
      <c r="T110" s="0" t="n">
        <f aca="false">IF(ISBLANK(C110),0,IF(C110="Month-to-month",2,IF(C110="One year",1,0)))+IF(ISBLANK(I110),0,IF(I110&lt;40,2,IF(I110&lt;55,1,0)))+IF(ISBLANK(M110),0,IF(M110=1,3,0))+IF(ISBLANK(L110),0,IF(L110&gt;=2,1,0))+IF(ISBLANK(E110),0,IF(E110&lt;12,1,0))</f>
        <v>4</v>
      </c>
      <c r="U110" s="0" t="str">
        <f aca="false">IF((ISBLANK(B110)*1+ISBLANK(C110)*1+ISBLANK(D110)*1+ISBLANK(E110)*1+ISBLANK(F110)*1+ISBLANK(I110)*1+ISBLANK(J110)*1+ISBLANK(K110)*1+ISBLANK(L110)*1+ISBLANK(M110)*1+ISBLANK(N110)*1+ISBLANK(O110)*1)&gt;0,"Missing Data","OK")</f>
        <v>OK</v>
      </c>
      <c r="V110" s="0" t="str">
        <f aca="false">IF(T110&gt;=6,"High Risk",IF(T110&gt;=3,"Medium Risk","Low Risk"))</f>
        <v>Medium Risk</v>
      </c>
    </row>
    <row r="111" customFormat="false" ht="12.8" hidden="false" customHeight="false" outlineLevel="0" collapsed="false">
      <c r="A111" s="1" t="s">
        <v>141</v>
      </c>
      <c r="B111" s="1" t="s">
        <v>29</v>
      </c>
      <c r="C111" s="1" t="s">
        <v>24</v>
      </c>
      <c r="D111" s="1" t="n">
        <v>40.34</v>
      </c>
      <c r="E111" s="1" t="n">
        <v>1</v>
      </c>
      <c r="F111" s="4" t="n">
        <v>43974</v>
      </c>
      <c r="G111" s="1" t="s">
        <v>39</v>
      </c>
      <c r="H111" s="1" t="n">
        <v>1</v>
      </c>
      <c r="I111" s="1" t="n">
        <v>46</v>
      </c>
      <c r="J111" s="1" t="n">
        <v>14</v>
      </c>
      <c r="K111" s="1" t="n">
        <v>5</v>
      </c>
      <c r="L111" s="1" t="n">
        <v>0</v>
      </c>
      <c r="M111" s="1" t="n">
        <v>0</v>
      </c>
      <c r="N111" s="1" t="n">
        <v>40.34</v>
      </c>
      <c r="O111" s="1" t="n">
        <v>0</v>
      </c>
      <c r="Q111" s="4" t="n">
        <v>44004</v>
      </c>
      <c r="R111" s="0" t="n">
        <f aca="false">IF(ISBLANK(F111),"Missing",IFERROR(YEAR(F111),"Missing"))</f>
        <v>2020</v>
      </c>
      <c r="S111" s="0" t="str">
        <f aca="false">IF(ISBLANK(E111),"Missing",IF(E111&lt;6,"0-6mo",IF(E111&lt;12,"6-12mo",IF(E111&lt;24,"12-24mo","24mo+"))))</f>
        <v>0-6mo</v>
      </c>
      <c r="T111" s="0" t="n">
        <f aca="false">IF(ISBLANK(C111),0,IF(C111="Month-to-month",2,IF(C111="One year",1,0)))+IF(ISBLANK(I111),0,IF(I111&lt;40,2,IF(I111&lt;55,1,0)))+IF(ISBLANK(M111),0,IF(M111=1,3,0))+IF(ISBLANK(L111),0,IF(L111&gt;=2,1,0))+IF(ISBLANK(E111),0,IF(E111&lt;12,1,0))</f>
        <v>4</v>
      </c>
      <c r="U111" s="0" t="str">
        <f aca="false">IF((ISBLANK(B111)*1+ISBLANK(C111)*1+ISBLANK(D111)*1+ISBLANK(E111)*1+ISBLANK(F111)*1+ISBLANK(I111)*1+ISBLANK(J111)*1+ISBLANK(K111)*1+ISBLANK(L111)*1+ISBLANK(M111)*1+ISBLANK(N111)*1+ISBLANK(O111)*1)&gt;0,"Missing Data","OK")</f>
        <v>OK</v>
      </c>
      <c r="V111" s="0" t="str">
        <f aca="false">IF(T111&gt;=6,"High Risk",IF(T111&gt;=3,"Medium Risk","Low Risk"))</f>
        <v>Medium Risk</v>
      </c>
    </row>
    <row r="112" customFormat="false" ht="12.8" hidden="false" customHeight="false" outlineLevel="0" collapsed="false">
      <c r="A112" s="1" t="s">
        <v>142</v>
      </c>
      <c r="B112" s="1" t="s">
        <v>36</v>
      </c>
      <c r="C112" s="1" t="s">
        <v>24</v>
      </c>
      <c r="D112" s="1" t="n">
        <v>8.54</v>
      </c>
      <c r="E112" s="1" t="n">
        <v>9</v>
      </c>
      <c r="F112" s="4" t="n">
        <v>43975</v>
      </c>
      <c r="G112" s="1" t="s">
        <v>30</v>
      </c>
      <c r="H112" s="1" t="n">
        <v>1</v>
      </c>
      <c r="I112" s="1" t="n">
        <v>0</v>
      </c>
      <c r="J112" s="1" t="n">
        <v>2</v>
      </c>
      <c r="K112" s="1" t="n">
        <v>2</v>
      </c>
      <c r="L112" s="1" t="n">
        <v>2</v>
      </c>
      <c r="M112" s="1" t="n">
        <v>1</v>
      </c>
      <c r="N112" s="1" t="n">
        <v>76.86</v>
      </c>
      <c r="O112" s="1" t="n">
        <v>1</v>
      </c>
      <c r="P112" s="4" t="n">
        <v>44248</v>
      </c>
      <c r="Q112" s="4" t="n">
        <v>44248</v>
      </c>
      <c r="R112" s="0" t="n">
        <f aca="false">IF(ISBLANK(F112),"Missing",IFERROR(YEAR(F112),"Missing"))</f>
        <v>2020</v>
      </c>
      <c r="S112" s="0" t="str">
        <f aca="false">IF(ISBLANK(E112),"Missing",IF(E112&lt;6,"0-6mo",IF(E112&lt;12,"6-12mo",IF(E112&lt;24,"12-24mo","24mo+"))))</f>
        <v>6-12mo</v>
      </c>
      <c r="T112" s="0" t="n">
        <f aca="false">IF(ISBLANK(C112),0,IF(C112="Month-to-month",2,IF(C112="One year",1,0)))+IF(ISBLANK(I112),0,IF(I112&lt;40,2,IF(I112&lt;55,1,0)))+IF(ISBLANK(M112),0,IF(M112=1,3,0))+IF(ISBLANK(L112),0,IF(L112&gt;=2,1,0))+IF(ISBLANK(E112),0,IF(E112&lt;12,1,0))</f>
        <v>9</v>
      </c>
      <c r="U112" s="0" t="str">
        <f aca="false">IF((ISBLANK(B112)*1+ISBLANK(C112)*1+ISBLANK(D112)*1+ISBLANK(E112)*1+ISBLANK(F112)*1+ISBLANK(I112)*1+ISBLANK(J112)*1+ISBLANK(K112)*1+ISBLANK(L112)*1+ISBLANK(M112)*1+ISBLANK(N112)*1+ISBLANK(O112)*1)&gt;0,"Missing Data","OK")</f>
        <v>OK</v>
      </c>
      <c r="V112" s="0" t="str">
        <f aca="false">IF(T112&gt;=6,"High Risk",IF(T112&gt;=3,"Medium Risk","Low Risk"))</f>
        <v>High Risk</v>
      </c>
    </row>
    <row r="113" customFormat="false" ht="12.8" hidden="false" customHeight="false" outlineLevel="0" collapsed="false">
      <c r="A113" s="1" t="s">
        <v>143</v>
      </c>
      <c r="B113" s="1" t="s">
        <v>23</v>
      </c>
      <c r="C113" s="1" t="s">
        <v>24</v>
      </c>
      <c r="D113" s="1" t="n">
        <v>20.17</v>
      </c>
      <c r="E113" s="1" t="n">
        <v>1</v>
      </c>
      <c r="F113" s="4" t="n">
        <v>43975</v>
      </c>
      <c r="G113" s="1" t="s">
        <v>39</v>
      </c>
      <c r="H113" s="1" t="n">
        <v>1</v>
      </c>
      <c r="I113" s="1" t="n">
        <v>100</v>
      </c>
      <c r="J113" s="1" t="n">
        <v>37</v>
      </c>
      <c r="K113" s="1" t="n">
        <v>9</v>
      </c>
      <c r="L113" s="1" t="n">
        <v>1</v>
      </c>
      <c r="M113" s="1" t="n">
        <v>1</v>
      </c>
      <c r="N113" s="1" t="n">
        <v>20.17</v>
      </c>
      <c r="O113" s="1" t="n">
        <v>0</v>
      </c>
      <c r="Q113" s="4" t="n">
        <v>44005</v>
      </c>
      <c r="R113" s="0" t="n">
        <f aca="false">IF(ISBLANK(F113),"Missing",IFERROR(YEAR(F113),"Missing"))</f>
        <v>2020</v>
      </c>
      <c r="S113" s="0" t="str">
        <f aca="false">IF(ISBLANK(E113),"Missing",IF(E113&lt;6,"0-6mo",IF(E113&lt;12,"6-12mo",IF(E113&lt;24,"12-24mo","24mo+"))))</f>
        <v>0-6mo</v>
      </c>
      <c r="T113" s="0" t="n">
        <f aca="false">IF(ISBLANK(C113),0,IF(C113="Month-to-month",2,IF(C113="One year",1,0)))+IF(ISBLANK(I113),0,IF(I113&lt;40,2,IF(I113&lt;55,1,0)))+IF(ISBLANK(M113),0,IF(M113=1,3,0))+IF(ISBLANK(L113),0,IF(L113&gt;=2,1,0))+IF(ISBLANK(E113),0,IF(E113&lt;12,1,0))</f>
        <v>6</v>
      </c>
      <c r="U113" s="0" t="str">
        <f aca="false">IF((ISBLANK(B113)*1+ISBLANK(C113)*1+ISBLANK(D113)*1+ISBLANK(E113)*1+ISBLANK(F113)*1+ISBLANK(I113)*1+ISBLANK(J113)*1+ISBLANK(K113)*1+ISBLANK(L113)*1+ISBLANK(M113)*1+ISBLANK(N113)*1+ISBLANK(O113)*1)&gt;0,"Missing Data","OK")</f>
        <v>OK</v>
      </c>
      <c r="V113" s="0" t="str">
        <f aca="false">IF(T113&gt;=6,"High Risk",IF(T113&gt;=3,"Medium Risk","Low Risk"))</f>
        <v>High Risk</v>
      </c>
    </row>
    <row r="114" customFormat="false" ht="12.8" hidden="false" customHeight="false" outlineLevel="0" collapsed="false">
      <c r="A114" s="1" t="s">
        <v>144</v>
      </c>
      <c r="B114" s="1" t="s">
        <v>36</v>
      </c>
      <c r="C114" s="1" t="s">
        <v>24</v>
      </c>
      <c r="D114" s="1" t="n">
        <v>9.69</v>
      </c>
      <c r="E114" s="1" t="n">
        <v>24</v>
      </c>
      <c r="F114" s="4" t="n">
        <v>43976</v>
      </c>
      <c r="G114" s="1" t="s">
        <v>25</v>
      </c>
      <c r="H114" s="1" t="n">
        <v>1</v>
      </c>
      <c r="I114" s="1" t="n">
        <v>56.3</v>
      </c>
      <c r="J114" s="1" t="n">
        <v>18</v>
      </c>
      <c r="K114" s="1" t="n">
        <v>7</v>
      </c>
      <c r="L114" s="1" t="n">
        <v>2</v>
      </c>
      <c r="M114" s="1" t="n">
        <v>1</v>
      </c>
      <c r="N114" s="1" t="n">
        <v>232.56</v>
      </c>
      <c r="O114" s="1" t="n">
        <v>0</v>
      </c>
      <c r="Q114" s="4" t="n">
        <v>44706</v>
      </c>
      <c r="R114" s="0" t="n">
        <f aca="false">IF(ISBLANK(F114),"Missing",IFERROR(YEAR(F114),"Missing"))</f>
        <v>2020</v>
      </c>
      <c r="S114" s="0" t="str">
        <f aca="false">IF(ISBLANK(E114),"Missing",IF(E114&lt;6,"0-6mo",IF(E114&lt;12,"6-12mo",IF(E114&lt;24,"12-24mo","24mo+"))))</f>
        <v>24mo+</v>
      </c>
      <c r="T114" s="0" t="n">
        <f aca="false">IF(ISBLANK(C114),0,IF(C114="Month-to-month",2,IF(C114="One year",1,0)))+IF(ISBLANK(I114),0,IF(I114&lt;40,2,IF(I114&lt;55,1,0)))+IF(ISBLANK(M114),0,IF(M114=1,3,0))+IF(ISBLANK(L114),0,IF(L114&gt;=2,1,0))+IF(ISBLANK(E114),0,IF(E114&lt;12,1,0))</f>
        <v>6</v>
      </c>
      <c r="U114" s="0" t="str">
        <f aca="false">IF((ISBLANK(B114)*1+ISBLANK(C114)*1+ISBLANK(D114)*1+ISBLANK(E114)*1+ISBLANK(F114)*1+ISBLANK(I114)*1+ISBLANK(J114)*1+ISBLANK(K114)*1+ISBLANK(L114)*1+ISBLANK(M114)*1+ISBLANK(N114)*1+ISBLANK(O114)*1)&gt;0,"Missing Data","OK")</f>
        <v>OK</v>
      </c>
      <c r="V114" s="0" t="str">
        <f aca="false">IF(T114&gt;=6,"High Risk",IF(T114&gt;=3,"Medium Risk","Low Risk"))</f>
        <v>High Risk</v>
      </c>
    </row>
    <row r="115" customFormat="false" ht="12.8" hidden="false" customHeight="false" outlineLevel="0" collapsed="false">
      <c r="A115" s="1" t="s">
        <v>145</v>
      </c>
      <c r="B115" s="1" t="s">
        <v>29</v>
      </c>
      <c r="C115" s="1" t="s">
        <v>24</v>
      </c>
      <c r="D115" s="1" t="n">
        <v>40.41</v>
      </c>
      <c r="E115" s="1" t="n">
        <v>45</v>
      </c>
      <c r="F115" s="4" t="n">
        <v>43978</v>
      </c>
      <c r="G115" s="1" t="s">
        <v>25</v>
      </c>
      <c r="H115" s="1" t="n">
        <v>1</v>
      </c>
      <c r="I115" s="1" t="n">
        <v>54.3</v>
      </c>
      <c r="J115" s="1" t="n">
        <v>14</v>
      </c>
      <c r="K115" s="1" t="n">
        <v>4</v>
      </c>
      <c r="L115" s="1" t="n">
        <v>0</v>
      </c>
      <c r="M115" s="1" t="n">
        <v>0</v>
      </c>
      <c r="N115" s="1" t="n">
        <v>1818.45</v>
      </c>
      <c r="O115" s="1" t="n">
        <v>0</v>
      </c>
      <c r="Q115" s="4" t="n">
        <v>45347</v>
      </c>
      <c r="R115" s="0" t="n">
        <f aca="false">IF(ISBLANK(F115),"Missing",IFERROR(YEAR(F115),"Missing"))</f>
        <v>2020</v>
      </c>
      <c r="S115" s="0" t="str">
        <f aca="false">IF(ISBLANK(E115),"Missing",IF(E115&lt;6,"0-6mo",IF(E115&lt;12,"6-12mo",IF(E115&lt;24,"12-24mo","24mo+"))))</f>
        <v>24mo+</v>
      </c>
      <c r="T115" s="0" t="n">
        <f aca="false">IF(ISBLANK(C115),0,IF(C115="Month-to-month",2,IF(C115="One year",1,0)))+IF(ISBLANK(I115),0,IF(I115&lt;40,2,IF(I115&lt;55,1,0)))+IF(ISBLANK(M115),0,IF(M115=1,3,0))+IF(ISBLANK(L115),0,IF(L115&gt;=2,1,0))+IF(ISBLANK(E115),0,IF(E115&lt;12,1,0))</f>
        <v>3</v>
      </c>
      <c r="U115" s="0" t="str">
        <f aca="false">IF((ISBLANK(B115)*1+ISBLANK(C115)*1+ISBLANK(D115)*1+ISBLANK(E115)*1+ISBLANK(F115)*1+ISBLANK(I115)*1+ISBLANK(J115)*1+ISBLANK(K115)*1+ISBLANK(L115)*1+ISBLANK(M115)*1+ISBLANK(N115)*1+ISBLANK(O115)*1)&gt;0,"Missing Data","OK")</f>
        <v>OK</v>
      </c>
      <c r="V115" s="0" t="str">
        <f aca="false">IF(T115&gt;=6,"High Risk",IF(T115&gt;=3,"Medium Risk","Low Risk"))</f>
        <v>Medium Risk</v>
      </c>
    </row>
    <row r="116" customFormat="false" ht="12.8" hidden="false" customHeight="false" outlineLevel="0" collapsed="false">
      <c r="A116" s="1" t="s">
        <v>146</v>
      </c>
      <c r="B116" s="1" t="s">
        <v>29</v>
      </c>
      <c r="C116" s="1" t="s">
        <v>51</v>
      </c>
      <c r="D116" s="1" t="n">
        <v>39.71</v>
      </c>
      <c r="E116" s="1" t="n">
        <v>3</v>
      </c>
      <c r="F116" s="4" t="n">
        <v>43978</v>
      </c>
      <c r="G116" s="1" t="s">
        <v>30</v>
      </c>
      <c r="H116" s="1" t="n">
        <v>0</v>
      </c>
      <c r="I116" s="1" t="n">
        <v>21</v>
      </c>
      <c r="J116" s="1" t="n">
        <v>0</v>
      </c>
      <c r="K116" s="1" t="n">
        <v>4</v>
      </c>
      <c r="L116" s="1" t="n">
        <v>3</v>
      </c>
      <c r="M116" s="1" t="n">
        <v>0</v>
      </c>
      <c r="N116" s="1" t="n">
        <v>119.13</v>
      </c>
      <c r="O116" s="1" t="n">
        <v>1</v>
      </c>
      <c r="P116" s="4" t="n">
        <v>44069</v>
      </c>
      <c r="Q116" s="4" t="n">
        <v>44069</v>
      </c>
      <c r="R116" s="0" t="n">
        <f aca="false">IF(ISBLANK(F116),"Missing",IFERROR(YEAR(F116),"Missing"))</f>
        <v>2020</v>
      </c>
      <c r="S116" s="0" t="str">
        <f aca="false">IF(ISBLANK(E116),"Missing",IF(E116&lt;6,"0-6mo",IF(E116&lt;12,"6-12mo",IF(E116&lt;24,"12-24mo","24mo+"))))</f>
        <v>0-6mo</v>
      </c>
      <c r="T116" s="0" t="n">
        <f aca="false">IF(ISBLANK(C116),0,IF(C116="Month-to-month",2,IF(C116="One year",1,0)))+IF(ISBLANK(I116),0,IF(I116&lt;40,2,IF(I116&lt;55,1,0)))+IF(ISBLANK(M116),0,IF(M116=1,3,0))+IF(ISBLANK(L116),0,IF(L116&gt;=2,1,0))+IF(ISBLANK(E116),0,IF(E116&lt;12,1,0))</f>
        <v>4</v>
      </c>
      <c r="U116" s="0" t="str">
        <f aca="false">IF((ISBLANK(B116)*1+ISBLANK(C116)*1+ISBLANK(D116)*1+ISBLANK(E116)*1+ISBLANK(F116)*1+ISBLANK(I116)*1+ISBLANK(J116)*1+ISBLANK(K116)*1+ISBLANK(L116)*1+ISBLANK(M116)*1+ISBLANK(N116)*1+ISBLANK(O116)*1)&gt;0,"Missing Data","OK")</f>
        <v>OK</v>
      </c>
      <c r="V116" s="0" t="str">
        <f aca="false">IF(T116&gt;=6,"High Risk",IF(T116&gt;=3,"Medium Risk","Low Risk"))</f>
        <v>Medium Risk</v>
      </c>
    </row>
    <row r="117" customFormat="false" ht="12.8" hidden="false" customHeight="false" outlineLevel="0" collapsed="false">
      <c r="A117" s="1" t="s">
        <v>147</v>
      </c>
      <c r="B117" s="1" t="s">
        <v>23</v>
      </c>
      <c r="C117" s="1" t="s">
        <v>34</v>
      </c>
      <c r="D117" s="1" t="n">
        <v>18.66</v>
      </c>
      <c r="E117" s="1" t="n">
        <v>6</v>
      </c>
      <c r="F117" s="4" t="n">
        <v>43982</v>
      </c>
      <c r="G117" s="1" t="s">
        <v>25</v>
      </c>
      <c r="H117" s="1" t="n">
        <v>1</v>
      </c>
      <c r="I117" s="1" t="n">
        <v>36.8</v>
      </c>
      <c r="J117" s="1" t="n">
        <v>9</v>
      </c>
      <c r="K117" s="1" t="n">
        <v>4</v>
      </c>
      <c r="L117" s="1" t="n">
        <v>1</v>
      </c>
      <c r="M117" s="1" t="n">
        <v>1</v>
      </c>
      <c r="N117" s="1" t="n">
        <v>111.96</v>
      </c>
      <c r="O117" s="1" t="n">
        <v>0</v>
      </c>
      <c r="Q117" s="4" t="n">
        <v>44164</v>
      </c>
      <c r="R117" s="0" t="n">
        <f aca="false">IF(ISBLANK(F117),"Missing",IFERROR(YEAR(F117),"Missing"))</f>
        <v>2020</v>
      </c>
      <c r="S117" s="0" t="str">
        <f aca="false">IF(ISBLANK(E117),"Missing",IF(E117&lt;6,"0-6mo",IF(E117&lt;12,"6-12mo",IF(E117&lt;24,"12-24mo","24mo+"))))</f>
        <v>6-12mo</v>
      </c>
      <c r="T117" s="0" t="n">
        <f aca="false">IF(ISBLANK(C117),0,IF(C117="Month-to-month",2,IF(C117="One year",1,0)))+IF(ISBLANK(I117),0,IF(I117&lt;40,2,IF(I117&lt;55,1,0)))+IF(ISBLANK(M117),0,IF(M117=1,3,0))+IF(ISBLANK(L117),0,IF(L117&gt;=2,1,0))+IF(ISBLANK(E117),0,IF(E117&lt;12,1,0))</f>
        <v>7</v>
      </c>
      <c r="U117" s="0" t="str">
        <f aca="false">IF((ISBLANK(B117)*1+ISBLANK(C117)*1+ISBLANK(D117)*1+ISBLANK(E117)*1+ISBLANK(F117)*1+ISBLANK(I117)*1+ISBLANK(J117)*1+ISBLANK(K117)*1+ISBLANK(L117)*1+ISBLANK(M117)*1+ISBLANK(N117)*1+ISBLANK(O117)*1)&gt;0,"Missing Data","OK")</f>
        <v>OK</v>
      </c>
      <c r="V117" s="0" t="str">
        <f aca="false">IF(T117&gt;=6,"High Risk",IF(T117&gt;=3,"Medium Risk","Low Risk"))</f>
        <v>High Risk</v>
      </c>
    </row>
    <row r="118" customFormat="false" ht="12.8" hidden="false" customHeight="false" outlineLevel="0" collapsed="false">
      <c r="A118" s="1" t="s">
        <v>148</v>
      </c>
      <c r="B118" s="1" t="s">
        <v>36</v>
      </c>
      <c r="C118" s="1" t="s">
        <v>34</v>
      </c>
      <c r="D118" s="1" t="n">
        <v>9.96</v>
      </c>
      <c r="E118" s="1" t="n">
        <v>14</v>
      </c>
      <c r="F118" s="4" t="n">
        <v>43985</v>
      </c>
      <c r="G118" s="1" t="s">
        <v>25</v>
      </c>
      <c r="H118" s="1" t="n">
        <v>0</v>
      </c>
      <c r="I118" s="1" t="n">
        <v>53.4</v>
      </c>
      <c r="J118" s="1" t="n">
        <v>16</v>
      </c>
      <c r="K118" s="1" t="n">
        <v>4</v>
      </c>
      <c r="L118" s="1" t="n">
        <v>0</v>
      </c>
      <c r="M118" s="1" t="n">
        <v>0</v>
      </c>
      <c r="N118" s="1" t="n">
        <v>139.44</v>
      </c>
      <c r="O118" s="1" t="n">
        <v>0</v>
      </c>
      <c r="Q118" s="4" t="n">
        <v>44411</v>
      </c>
      <c r="R118" s="0" t="n">
        <f aca="false">IF(ISBLANK(F118),"Missing",IFERROR(YEAR(F118),"Missing"))</f>
        <v>2020</v>
      </c>
      <c r="S118" s="0" t="str">
        <f aca="false">IF(ISBLANK(E118),"Missing",IF(E118&lt;6,"0-6mo",IF(E118&lt;12,"6-12mo",IF(E118&lt;24,"12-24mo","24mo+"))))</f>
        <v>12-24mo</v>
      </c>
      <c r="T118" s="0" t="n">
        <f aca="false">IF(ISBLANK(C118),0,IF(C118="Month-to-month",2,IF(C118="One year",1,0)))+IF(ISBLANK(I118),0,IF(I118&lt;40,2,IF(I118&lt;55,1,0)))+IF(ISBLANK(M118),0,IF(M118=1,3,0))+IF(ISBLANK(L118),0,IF(L118&gt;=2,1,0))+IF(ISBLANK(E118),0,IF(E118&lt;12,1,0))</f>
        <v>2</v>
      </c>
      <c r="U118" s="0" t="str">
        <f aca="false">IF((ISBLANK(B118)*1+ISBLANK(C118)*1+ISBLANK(D118)*1+ISBLANK(E118)*1+ISBLANK(F118)*1+ISBLANK(I118)*1+ISBLANK(J118)*1+ISBLANK(K118)*1+ISBLANK(L118)*1+ISBLANK(M118)*1+ISBLANK(N118)*1+ISBLANK(O118)*1)&gt;0,"Missing Data","OK")</f>
        <v>OK</v>
      </c>
      <c r="V118" s="0" t="str">
        <f aca="false">IF(T118&gt;=6,"High Risk",IF(T118&gt;=3,"Medium Risk","Low Risk"))</f>
        <v>Low Risk</v>
      </c>
    </row>
    <row r="119" customFormat="false" ht="12.8" hidden="false" customHeight="false" outlineLevel="0" collapsed="false">
      <c r="A119" s="1" t="s">
        <v>149</v>
      </c>
      <c r="B119" s="1" t="s">
        <v>23</v>
      </c>
      <c r="C119" s="1" t="s">
        <v>34</v>
      </c>
      <c r="D119" s="1" t="n">
        <v>20.13</v>
      </c>
      <c r="E119" s="1" t="n">
        <v>0</v>
      </c>
      <c r="F119" s="4" t="n">
        <v>43985</v>
      </c>
      <c r="G119" s="1" t="s">
        <v>39</v>
      </c>
      <c r="H119" s="1" t="n">
        <v>0</v>
      </c>
      <c r="I119" s="1" t="n">
        <v>28.2</v>
      </c>
      <c r="J119" s="1" t="n">
        <v>14</v>
      </c>
      <c r="K119" s="1" t="n">
        <v>2</v>
      </c>
      <c r="L119" s="1" t="n">
        <v>2</v>
      </c>
      <c r="M119" s="1" t="n">
        <v>0</v>
      </c>
      <c r="N119" s="1" t="n">
        <v>0</v>
      </c>
      <c r="O119" s="1" t="n">
        <v>0</v>
      </c>
      <c r="Q119" s="4" t="n">
        <v>43985</v>
      </c>
      <c r="R119" s="0" t="n">
        <f aca="false">IF(ISBLANK(F119),"Missing",IFERROR(YEAR(F119),"Missing"))</f>
        <v>2020</v>
      </c>
      <c r="S119" s="0" t="str">
        <f aca="false">IF(ISBLANK(E119),"Missing",IF(E119&lt;6,"0-6mo",IF(E119&lt;12,"6-12mo",IF(E119&lt;24,"12-24mo","24mo+"))))</f>
        <v>0-6mo</v>
      </c>
      <c r="T119" s="0" t="n">
        <f aca="false">IF(ISBLANK(C119),0,IF(C119="Month-to-month",2,IF(C119="One year",1,0)))+IF(ISBLANK(I119),0,IF(I119&lt;40,2,IF(I119&lt;55,1,0)))+IF(ISBLANK(M119),0,IF(M119=1,3,0))+IF(ISBLANK(L119),0,IF(L119&gt;=2,1,0))+IF(ISBLANK(E119),0,IF(E119&lt;12,1,0))</f>
        <v>5</v>
      </c>
      <c r="U119" s="0" t="str">
        <f aca="false">IF((ISBLANK(B119)*1+ISBLANK(C119)*1+ISBLANK(D119)*1+ISBLANK(E119)*1+ISBLANK(F119)*1+ISBLANK(I119)*1+ISBLANK(J119)*1+ISBLANK(K119)*1+ISBLANK(L119)*1+ISBLANK(M119)*1+ISBLANK(N119)*1+ISBLANK(O119)*1)&gt;0,"Missing Data","OK")</f>
        <v>OK</v>
      </c>
      <c r="V119" s="0" t="str">
        <f aca="false">IF(T119&gt;=6,"High Risk",IF(T119&gt;=3,"Medium Risk","Low Risk"))</f>
        <v>Medium Risk</v>
      </c>
    </row>
    <row r="120" customFormat="false" ht="12.8" hidden="false" customHeight="false" outlineLevel="0" collapsed="false">
      <c r="A120" s="1" t="s">
        <v>150</v>
      </c>
      <c r="B120" s="1" t="s">
        <v>36</v>
      </c>
      <c r="C120" s="1" t="s">
        <v>51</v>
      </c>
      <c r="D120" s="1" t="n">
        <v>9.48</v>
      </c>
      <c r="E120" s="1" t="n">
        <v>12</v>
      </c>
      <c r="F120" s="4" t="n">
        <v>43985</v>
      </c>
      <c r="G120" s="1" t="s">
        <v>39</v>
      </c>
      <c r="H120" s="1" t="n">
        <v>0</v>
      </c>
      <c r="I120" s="1" t="n">
        <v>13.6</v>
      </c>
      <c r="J120" s="1" t="n">
        <v>0</v>
      </c>
      <c r="K120" s="1" t="n">
        <v>3</v>
      </c>
      <c r="L120" s="1" t="n">
        <v>4</v>
      </c>
      <c r="M120" s="1" t="n">
        <v>0</v>
      </c>
      <c r="N120" s="1" t="n">
        <v>113.76</v>
      </c>
      <c r="O120" s="1" t="n">
        <v>0</v>
      </c>
      <c r="Q120" s="4" t="n">
        <v>44350</v>
      </c>
      <c r="R120" s="0" t="n">
        <f aca="false">IF(ISBLANK(F120),"Missing",IFERROR(YEAR(F120),"Missing"))</f>
        <v>2020</v>
      </c>
      <c r="S120" s="0" t="str">
        <f aca="false">IF(ISBLANK(E120),"Missing",IF(E120&lt;6,"0-6mo",IF(E120&lt;12,"6-12mo",IF(E120&lt;24,"12-24mo","24mo+"))))</f>
        <v>12-24mo</v>
      </c>
      <c r="T120" s="0" t="n">
        <f aca="false">IF(ISBLANK(C120),0,IF(C120="Month-to-month",2,IF(C120="One year",1,0)))+IF(ISBLANK(I120),0,IF(I120&lt;40,2,IF(I120&lt;55,1,0)))+IF(ISBLANK(M120),0,IF(M120=1,3,0))+IF(ISBLANK(L120),0,IF(L120&gt;=2,1,0))+IF(ISBLANK(E120),0,IF(E120&lt;12,1,0))</f>
        <v>3</v>
      </c>
      <c r="U120" s="0" t="str">
        <f aca="false">IF((ISBLANK(B120)*1+ISBLANK(C120)*1+ISBLANK(D120)*1+ISBLANK(E120)*1+ISBLANK(F120)*1+ISBLANK(I120)*1+ISBLANK(J120)*1+ISBLANK(K120)*1+ISBLANK(L120)*1+ISBLANK(M120)*1+ISBLANK(N120)*1+ISBLANK(O120)*1)&gt;0,"Missing Data","OK")</f>
        <v>OK</v>
      </c>
      <c r="V120" s="0" t="str">
        <f aca="false">IF(T120&gt;=6,"High Risk",IF(T120&gt;=3,"Medium Risk","Low Risk"))</f>
        <v>Medium Risk</v>
      </c>
    </row>
    <row r="121" customFormat="false" ht="12.8" hidden="false" customHeight="false" outlineLevel="0" collapsed="false">
      <c r="A121" s="1" t="s">
        <v>151</v>
      </c>
      <c r="B121" s="1" t="s">
        <v>29</v>
      </c>
      <c r="C121" s="1" t="s">
        <v>24</v>
      </c>
      <c r="D121" s="1" t="n">
        <v>40.85</v>
      </c>
      <c r="E121" s="1" t="n">
        <v>25</v>
      </c>
      <c r="F121" s="4" t="n">
        <v>43988</v>
      </c>
      <c r="G121" s="1" t="s">
        <v>25</v>
      </c>
      <c r="H121" s="1" t="n">
        <v>0</v>
      </c>
      <c r="I121" s="1" t="n">
        <v>57.6</v>
      </c>
      <c r="J121" s="1" t="n">
        <v>15</v>
      </c>
      <c r="K121" s="1" t="n">
        <v>3</v>
      </c>
      <c r="L121" s="1" t="n">
        <v>2</v>
      </c>
      <c r="M121" s="1" t="n">
        <v>0</v>
      </c>
      <c r="N121" s="1" t="n">
        <v>1021.25</v>
      </c>
      <c r="O121" s="1" t="n">
        <v>0</v>
      </c>
      <c r="Q121" s="4" t="n">
        <v>44749</v>
      </c>
      <c r="R121" s="0" t="n">
        <f aca="false">IF(ISBLANK(F121),"Missing",IFERROR(YEAR(F121),"Missing"))</f>
        <v>2020</v>
      </c>
      <c r="S121" s="0" t="str">
        <f aca="false">IF(ISBLANK(E121),"Missing",IF(E121&lt;6,"0-6mo",IF(E121&lt;12,"6-12mo",IF(E121&lt;24,"12-24mo","24mo+"))))</f>
        <v>24mo+</v>
      </c>
      <c r="T121" s="0" t="n">
        <f aca="false">IF(ISBLANK(C121),0,IF(C121="Month-to-month",2,IF(C121="One year",1,0)))+IF(ISBLANK(I121),0,IF(I121&lt;40,2,IF(I121&lt;55,1,0)))+IF(ISBLANK(M121),0,IF(M121=1,3,0))+IF(ISBLANK(L121),0,IF(L121&gt;=2,1,0))+IF(ISBLANK(E121),0,IF(E121&lt;12,1,0))</f>
        <v>3</v>
      </c>
      <c r="U121" s="0" t="str">
        <f aca="false">IF((ISBLANK(B121)*1+ISBLANK(C121)*1+ISBLANK(D121)*1+ISBLANK(E121)*1+ISBLANK(F121)*1+ISBLANK(I121)*1+ISBLANK(J121)*1+ISBLANK(K121)*1+ISBLANK(L121)*1+ISBLANK(M121)*1+ISBLANK(N121)*1+ISBLANK(O121)*1)&gt;0,"Missing Data","OK")</f>
        <v>OK</v>
      </c>
      <c r="V121" s="0" t="str">
        <f aca="false">IF(T121&gt;=6,"High Risk",IF(T121&gt;=3,"Medium Risk","Low Risk"))</f>
        <v>Medium Risk</v>
      </c>
    </row>
    <row r="122" customFormat="false" ht="12.8" hidden="false" customHeight="false" outlineLevel="0" collapsed="false">
      <c r="A122" s="1" t="s">
        <v>152</v>
      </c>
      <c r="B122" s="1" t="s">
        <v>23</v>
      </c>
      <c r="C122" s="1" t="s">
        <v>34</v>
      </c>
      <c r="D122" s="1" t="n">
        <v>18.75</v>
      </c>
      <c r="E122" s="1" t="n">
        <v>3</v>
      </c>
      <c r="F122" s="4" t="n">
        <v>43989</v>
      </c>
      <c r="G122" s="1" t="s">
        <v>25</v>
      </c>
      <c r="H122" s="1" t="n">
        <v>1</v>
      </c>
      <c r="I122" s="1" t="n">
        <v>57</v>
      </c>
      <c r="J122" s="1" t="n">
        <v>9</v>
      </c>
      <c r="K122" s="1" t="n">
        <v>6</v>
      </c>
      <c r="L122" s="1" t="n">
        <v>1</v>
      </c>
      <c r="M122" s="1" t="n">
        <v>0</v>
      </c>
      <c r="N122" s="1" t="n">
        <v>56.25</v>
      </c>
      <c r="O122" s="1" t="n">
        <v>0</v>
      </c>
      <c r="Q122" s="4" t="n">
        <v>44080</v>
      </c>
      <c r="R122" s="0" t="n">
        <f aca="false">IF(ISBLANK(F122),"Missing",IFERROR(YEAR(F122),"Missing"))</f>
        <v>2020</v>
      </c>
      <c r="S122" s="0" t="str">
        <f aca="false">IF(ISBLANK(E122),"Missing",IF(E122&lt;6,"0-6mo",IF(E122&lt;12,"6-12mo",IF(E122&lt;24,"12-24mo","24mo+"))))</f>
        <v>0-6mo</v>
      </c>
      <c r="T122" s="0" t="n">
        <f aca="false">IF(ISBLANK(C122),0,IF(C122="Month-to-month",2,IF(C122="One year",1,0)))+IF(ISBLANK(I122),0,IF(I122&lt;40,2,IF(I122&lt;55,1,0)))+IF(ISBLANK(M122),0,IF(M122=1,3,0))+IF(ISBLANK(L122),0,IF(L122&gt;=2,1,0))+IF(ISBLANK(E122),0,IF(E122&lt;12,1,0))</f>
        <v>2</v>
      </c>
      <c r="U122" s="0" t="str">
        <f aca="false">IF((ISBLANK(B122)*1+ISBLANK(C122)*1+ISBLANK(D122)*1+ISBLANK(E122)*1+ISBLANK(F122)*1+ISBLANK(I122)*1+ISBLANK(J122)*1+ISBLANK(K122)*1+ISBLANK(L122)*1+ISBLANK(M122)*1+ISBLANK(N122)*1+ISBLANK(O122)*1)&gt;0,"Missing Data","OK")</f>
        <v>OK</v>
      </c>
      <c r="V122" s="0" t="str">
        <f aca="false">IF(T122&gt;=6,"High Risk",IF(T122&gt;=3,"Medium Risk","Low Risk"))</f>
        <v>Low Risk</v>
      </c>
    </row>
    <row r="123" customFormat="false" ht="12.8" hidden="false" customHeight="false" outlineLevel="0" collapsed="false">
      <c r="A123" s="1" t="s">
        <v>153</v>
      </c>
      <c r="B123" s="1" t="s">
        <v>23</v>
      </c>
      <c r="C123" s="1" t="s">
        <v>34</v>
      </c>
      <c r="D123" s="1" t="n">
        <v>20.21</v>
      </c>
      <c r="E123" s="1" t="n">
        <v>57</v>
      </c>
      <c r="F123" s="4" t="n">
        <v>43990</v>
      </c>
      <c r="G123" s="1" t="s">
        <v>25</v>
      </c>
      <c r="H123" s="1" t="n">
        <v>1</v>
      </c>
      <c r="I123" s="1" t="n">
        <v>39.9</v>
      </c>
      <c r="J123" s="1" t="n">
        <v>13</v>
      </c>
      <c r="K123" s="1" t="n">
        <v>3</v>
      </c>
      <c r="L123" s="1" t="n">
        <v>2</v>
      </c>
      <c r="M123" s="1" t="n">
        <v>1</v>
      </c>
      <c r="N123" s="1" t="n">
        <v>1151.97</v>
      </c>
      <c r="O123" s="1" t="n">
        <v>0</v>
      </c>
      <c r="Q123" s="4" t="n">
        <v>45725</v>
      </c>
      <c r="R123" s="0" t="n">
        <f aca="false">IF(ISBLANK(F123),"Missing",IFERROR(YEAR(F123),"Missing"))</f>
        <v>2020</v>
      </c>
      <c r="S123" s="0" t="str">
        <f aca="false">IF(ISBLANK(E123),"Missing",IF(E123&lt;6,"0-6mo",IF(E123&lt;12,"6-12mo",IF(E123&lt;24,"12-24mo","24mo+"))))</f>
        <v>24mo+</v>
      </c>
      <c r="T123" s="0" t="n">
        <f aca="false">IF(ISBLANK(C123),0,IF(C123="Month-to-month",2,IF(C123="One year",1,0)))+IF(ISBLANK(I123),0,IF(I123&lt;40,2,IF(I123&lt;55,1,0)))+IF(ISBLANK(M123),0,IF(M123=1,3,0))+IF(ISBLANK(L123),0,IF(L123&gt;=2,1,0))+IF(ISBLANK(E123),0,IF(E123&lt;12,1,0))</f>
        <v>7</v>
      </c>
      <c r="U123" s="0" t="str">
        <f aca="false">IF((ISBLANK(B123)*1+ISBLANK(C123)*1+ISBLANK(D123)*1+ISBLANK(E123)*1+ISBLANK(F123)*1+ISBLANK(I123)*1+ISBLANK(J123)*1+ISBLANK(K123)*1+ISBLANK(L123)*1+ISBLANK(M123)*1+ISBLANK(N123)*1+ISBLANK(O123)*1)&gt;0,"Missing Data","OK")</f>
        <v>OK</v>
      </c>
      <c r="V123" s="0" t="str">
        <f aca="false">IF(T123&gt;=6,"High Risk",IF(T123&gt;=3,"Medium Risk","Low Risk"))</f>
        <v>High Risk</v>
      </c>
    </row>
    <row r="124" customFormat="false" ht="12.8" hidden="false" customHeight="false" outlineLevel="0" collapsed="false">
      <c r="A124" s="1" t="s">
        <v>154</v>
      </c>
      <c r="B124" s="1" t="s">
        <v>36</v>
      </c>
      <c r="C124" s="1" t="s">
        <v>34</v>
      </c>
      <c r="D124" s="1" t="n">
        <v>9.96</v>
      </c>
      <c r="E124" s="1" t="n">
        <v>35</v>
      </c>
      <c r="F124" s="4" t="n">
        <v>43993</v>
      </c>
      <c r="G124" s="1" t="s">
        <v>39</v>
      </c>
      <c r="H124" s="1" t="n">
        <v>0</v>
      </c>
      <c r="I124" s="1" t="n">
        <v>49.2</v>
      </c>
      <c r="J124" s="1" t="n">
        <v>12</v>
      </c>
      <c r="K124" s="1" t="n">
        <v>7</v>
      </c>
      <c r="L124" s="1" t="n">
        <v>2</v>
      </c>
      <c r="M124" s="1" t="n">
        <v>0</v>
      </c>
      <c r="N124" s="1" t="n">
        <v>348.6</v>
      </c>
      <c r="O124" s="1" t="n">
        <v>0</v>
      </c>
      <c r="Q124" s="4" t="n">
        <v>45058</v>
      </c>
      <c r="R124" s="0" t="n">
        <f aca="false">IF(ISBLANK(F124),"Missing",IFERROR(YEAR(F124),"Missing"))</f>
        <v>2020</v>
      </c>
      <c r="S124" s="0" t="str">
        <f aca="false">IF(ISBLANK(E124),"Missing",IF(E124&lt;6,"0-6mo",IF(E124&lt;12,"6-12mo",IF(E124&lt;24,"12-24mo","24mo+"))))</f>
        <v>24mo+</v>
      </c>
      <c r="T124" s="0" t="n">
        <f aca="false">IF(ISBLANK(C124),0,IF(C124="Month-to-month",2,IF(C124="One year",1,0)))+IF(ISBLANK(I124),0,IF(I124&lt;40,2,IF(I124&lt;55,1,0)))+IF(ISBLANK(M124),0,IF(M124=1,3,0))+IF(ISBLANK(L124),0,IF(L124&gt;=2,1,0))+IF(ISBLANK(E124),0,IF(E124&lt;12,1,0))</f>
        <v>3</v>
      </c>
      <c r="U124" s="0" t="str">
        <f aca="false">IF((ISBLANK(B124)*1+ISBLANK(C124)*1+ISBLANK(D124)*1+ISBLANK(E124)*1+ISBLANK(F124)*1+ISBLANK(I124)*1+ISBLANK(J124)*1+ISBLANK(K124)*1+ISBLANK(L124)*1+ISBLANK(M124)*1+ISBLANK(N124)*1+ISBLANK(O124)*1)&gt;0,"Missing Data","OK")</f>
        <v>OK</v>
      </c>
      <c r="V124" s="0" t="str">
        <f aca="false">IF(T124&gt;=6,"High Risk",IF(T124&gt;=3,"Medium Risk","Low Risk"))</f>
        <v>Medium Risk</v>
      </c>
    </row>
    <row r="125" customFormat="false" ht="12.8" hidden="false" customHeight="false" outlineLevel="0" collapsed="false">
      <c r="A125" s="1" t="s">
        <v>155</v>
      </c>
      <c r="B125" s="1" t="s">
        <v>36</v>
      </c>
      <c r="C125" s="1" t="s">
        <v>24</v>
      </c>
      <c r="D125" s="1" t="n">
        <v>10.19</v>
      </c>
      <c r="E125" s="1" t="n">
        <v>50</v>
      </c>
      <c r="F125" s="4" t="n">
        <v>43994</v>
      </c>
      <c r="G125" s="1" t="s">
        <v>25</v>
      </c>
      <c r="H125" s="1" t="n">
        <v>1</v>
      </c>
      <c r="I125" s="1" t="n">
        <v>77.4</v>
      </c>
      <c r="J125" s="1" t="n">
        <v>28</v>
      </c>
      <c r="K125" s="1" t="n">
        <v>8</v>
      </c>
      <c r="L125" s="1" t="n">
        <v>1</v>
      </c>
      <c r="M125" s="1" t="n">
        <v>1</v>
      </c>
      <c r="N125" s="1" t="n">
        <v>509.5</v>
      </c>
      <c r="O125" s="1" t="n">
        <v>0</v>
      </c>
      <c r="Q125" s="4" t="n">
        <v>45516</v>
      </c>
      <c r="R125" s="0" t="n">
        <f aca="false">IF(ISBLANK(F125),"Missing",IFERROR(YEAR(F125),"Missing"))</f>
        <v>2020</v>
      </c>
      <c r="S125" s="0" t="str">
        <f aca="false">IF(ISBLANK(E125),"Missing",IF(E125&lt;6,"0-6mo",IF(E125&lt;12,"6-12mo",IF(E125&lt;24,"12-24mo","24mo+"))))</f>
        <v>24mo+</v>
      </c>
      <c r="T125" s="0" t="n">
        <f aca="false">IF(ISBLANK(C125),0,IF(C125="Month-to-month",2,IF(C125="One year",1,0)))+IF(ISBLANK(I125),0,IF(I125&lt;40,2,IF(I125&lt;55,1,0)))+IF(ISBLANK(M125),0,IF(M125=1,3,0))+IF(ISBLANK(L125),0,IF(L125&gt;=2,1,0))+IF(ISBLANK(E125),0,IF(E125&lt;12,1,0))</f>
        <v>5</v>
      </c>
      <c r="U125" s="0" t="str">
        <f aca="false">IF((ISBLANK(B125)*1+ISBLANK(C125)*1+ISBLANK(D125)*1+ISBLANK(E125)*1+ISBLANK(F125)*1+ISBLANK(I125)*1+ISBLANK(J125)*1+ISBLANK(K125)*1+ISBLANK(L125)*1+ISBLANK(M125)*1+ISBLANK(N125)*1+ISBLANK(O125)*1)&gt;0,"Missing Data","OK")</f>
        <v>OK</v>
      </c>
      <c r="V125" s="0" t="str">
        <f aca="false">IF(T125&gt;=6,"High Risk",IF(T125&gt;=3,"Medium Risk","Low Risk"))</f>
        <v>Medium Risk</v>
      </c>
    </row>
    <row r="126" customFormat="false" ht="12.8" hidden="false" customHeight="false" outlineLevel="0" collapsed="false">
      <c r="A126" s="1" t="s">
        <v>156</v>
      </c>
      <c r="B126" s="1" t="s">
        <v>36</v>
      </c>
      <c r="C126" s="1" t="s">
        <v>34</v>
      </c>
      <c r="D126" s="1" t="n">
        <v>10.16</v>
      </c>
      <c r="E126" s="1" t="n">
        <v>17</v>
      </c>
      <c r="F126" s="4" t="n">
        <v>43994</v>
      </c>
      <c r="G126" s="1" t="s">
        <v>39</v>
      </c>
      <c r="H126" s="1" t="n">
        <v>1</v>
      </c>
      <c r="I126" s="1" t="n">
        <v>54.8</v>
      </c>
      <c r="J126" s="1" t="n">
        <v>20</v>
      </c>
      <c r="K126" s="1" t="n">
        <v>6</v>
      </c>
      <c r="L126" s="1" t="n">
        <v>1</v>
      </c>
      <c r="M126" s="1" t="n">
        <v>0</v>
      </c>
      <c r="N126" s="1" t="n">
        <v>172.72</v>
      </c>
      <c r="O126" s="1" t="n">
        <v>0</v>
      </c>
      <c r="Q126" s="4" t="n">
        <v>44511</v>
      </c>
      <c r="R126" s="0" t="n">
        <f aca="false">IF(ISBLANK(F126),"Missing",IFERROR(YEAR(F126),"Missing"))</f>
        <v>2020</v>
      </c>
      <c r="S126" s="0" t="str">
        <f aca="false">IF(ISBLANK(E126),"Missing",IF(E126&lt;6,"0-6mo",IF(E126&lt;12,"6-12mo",IF(E126&lt;24,"12-24mo","24mo+"))))</f>
        <v>12-24mo</v>
      </c>
      <c r="T126" s="0" t="n">
        <f aca="false">IF(ISBLANK(C126),0,IF(C126="Month-to-month",2,IF(C126="One year",1,0)))+IF(ISBLANK(I126),0,IF(I126&lt;40,2,IF(I126&lt;55,1,0)))+IF(ISBLANK(M126),0,IF(M126=1,3,0))+IF(ISBLANK(L126),0,IF(L126&gt;=2,1,0))+IF(ISBLANK(E126),0,IF(E126&lt;12,1,0))</f>
        <v>2</v>
      </c>
      <c r="U126" s="0" t="str">
        <f aca="false">IF((ISBLANK(B126)*1+ISBLANK(C126)*1+ISBLANK(D126)*1+ISBLANK(E126)*1+ISBLANK(F126)*1+ISBLANK(I126)*1+ISBLANK(J126)*1+ISBLANK(K126)*1+ISBLANK(L126)*1+ISBLANK(M126)*1+ISBLANK(N126)*1+ISBLANK(O126)*1)&gt;0,"Missing Data","OK")</f>
        <v>OK</v>
      </c>
      <c r="V126" s="0" t="str">
        <f aca="false">IF(T126&gt;=6,"High Risk",IF(T126&gt;=3,"Medium Risk","Low Risk"))</f>
        <v>Low Risk</v>
      </c>
    </row>
    <row r="127" customFormat="false" ht="12.8" hidden="false" customHeight="false" outlineLevel="0" collapsed="false">
      <c r="A127" s="1" t="s">
        <v>157</v>
      </c>
      <c r="B127" s="1" t="s">
        <v>36</v>
      </c>
      <c r="C127" s="1" t="s">
        <v>24</v>
      </c>
      <c r="D127" s="1" t="n">
        <v>9.81</v>
      </c>
      <c r="E127" s="1" t="n">
        <v>7</v>
      </c>
      <c r="F127" s="4" t="n">
        <v>44000</v>
      </c>
      <c r="G127" s="1" t="s">
        <v>39</v>
      </c>
      <c r="H127" s="1" t="n">
        <v>1</v>
      </c>
      <c r="I127" s="1" t="n">
        <v>44.1</v>
      </c>
      <c r="J127" s="1" t="n">
        <v>17</v>
      </c>
      <c r="K127" s="1" t="n">
        <v>5</v>
      </c>
      <c r="L127" s="1" t="n">
        <v>0</v>
      </c>
      <c r="M127" s="1" t="n">
        <v>0</v>
      </c>
      <c r="N127" s="1" t="n">
        <v>68.67</v>
      </c>
      <c r="O127" s="1" t="n">
        <v>1</v>
      </c>
      <c r="P127" s="4" t="n">
        <v>44213</v>
      </c>
      <c r="Q127" s="4" t="n">
        <v>44213</v>
      </c>
      <c r="R127" s="0" t="n">
        <f aca="false">IF(ISBLANK(F127),"Missing",IFERROR(YEAR(F127),"Missing"))</f>
        <v>2020</v>
      </c>
      <c r="S127" s="0" t="str">
        <f aca="false">IF(ISBLANK(E127),"Missing",IF(E127&lt;6,"0-6mo",IF(E127&lt;12,"6-12mo",IF(E127&lt;24,"12-24mo","24mo+"))))</f>
        <v>6-12mo</v>
      </c>
      <c r="T127" s="0" t="n">
        <f aca="false">IF(ISBLANK(C127),0,IF(C127="Month-to-month",2,IF(C127="One year",1,0)))+IF(ISBLANK(I127),0,IF(I127&lt;40,2,IF(I127&lt;55,1,0)))+IF(ISBLANK(M127),0,IF(M127=1,3,0))+IF(ISBLANK(L127),0,IF(L127&gt;=2,1,0))+IF(ISBLANK(E127),0,IF(E127&lt;12,1,0))</f>
        <v>4</v>
      </c>
      <c r="U127" s="0" t="str">
        <f aca="false">IF((ISBLANK(B127)*1+ISBLANK(C127)*1+ISBLANK(D127)*1+ISBLANK(E127)*1+ISBLANK(F127)*1+ISBLANK(I127)*1+ISBLANK(J127)*1+ISBLANK(K127)*1+ISBLANK(L127)*1+ISBLANK(M127)*1+ISBLANK(N127)*1+ISBLANK(O127)*1)&gt;0,"Missing Data","OK")</f>
        <v>OK</v>
      </c>
      <c r="V127" s="0" t="str">
        <f aca="false">IF(T127&gt;=6,"High Risk",IF(T127&gt;=3,"Medium Risk","Low Risk"))</f>
        <v>Medium Risk</v>
      </c>
    </row>
    <row r="128" customFormat="false" ht="12.8" hidden="false" customHeight="false" outlineLevel="0" collapsed="false">
      <c r="A128" s="1" t="s">
        <v>158</v>
      </c>
      <c r="B128" s="1" t="s">
        <v>36</v>
      </c>
      <c r="C128" s="1" t="s">
        <v>24</v>
      </c>
      <c r="D128" s="1" t="n">
        <v>8.87</v>
      </c>
      <c r="E128" s="1" t="n">
        <v>6</v>
      </c>
      <c r="F128" s="4" t="n">
        <v>44003</v>
      </c>
      <c r="G128" s="1" t="s">
        <v>27</v>
      </c>
      <c r="H128" s="1" t="n">
        <v>1</v>
      </c>
      <c r="I128" s="1" t="n">
        <v>33.7</v>
      </c>
      <c r="J128" s="1" t="n">
        <v>6</v>
      </c>
      <c r="K128" s="1" t="n">
        <v>5</v>
      </c>
      <c r="L128" s="1" t="n">
        <v>0</v>
      </c>
      <c r="M128" s="1" t="n">
        <v>0</v>
      </c>
      <c r="N128" s="1" t="n">
        <v>53.22</v>
      </c>
      <c r="O128" s="1" t="n">
        <v>0</v>
      </c>
      <c r="Q128" s="4" t="n">
        <v>44185</v>
      </c>
      <c r="R128" s="0" t="n">
        <f aca="false">IF(ISBLANK(F128),"Missing",IFERROR(YEAR(F128),"Missing"))</f>
        <v>2020</v>
      </c>
      <c r="S128" s="0" t="str">
        <f aca="false">IF(ISBLANK(E128),"Missing",IF(E128&lt;6,"0-6mo",IF(E128&lt;12,"6-12mo",IF(E128&lt;24,"12-24mo","24mo+"))))</f>
        <v>6-12mo</v>
      </c>
      <c r="T128" s="0" t="n">
        <f aca="false">IF(ISBLANK(C128),0,IF(C128="Month-to-month",2,IF(C128="One year",1,0)))+IF(ISBLANK(I128),0,IF(I128&lt;40,2,IF(I128&lt;55,1,0)))+IF(ISBLANK(M128),0,IF(M128=1,3,0))+IF(ISBLANK(L128),0,IF(L128&gt;=2,1,0))+IF(ISBLANK(E128),0,IF(E128&lt;12,1,0))</f>
        <v>5</v>
      </c>
      <c r="U128" s="0" t="str">
        <f aca="false">IF((ISBLANK(B128)*1+ISBLANK(C128)*1+ISBLANK(D128)*1+ISBLANK(E128)*1+ISBLANK(F128)*1+ISBLANK(I128)*1+ISBLANK(J128)*1+ISBLANK(K128)*1+ISBLANK(L128)*1+ISBLANK(M128)*1+ISBLANK(N128)*1+ISBLANK(O128)*1)&gt;0,"Missing Data","OK")</f>
        <v>OK</v>
      </c>
      <c r="V128" s="0" t="str">
        <f aca="false">IF(T128&gt;=6,"High Risk",IF(T128&gt;=3,"Medium Risk","Low Risk"))</f>
        <v>Medium Risk</v>
      </c>
    </row>
    <row r="129" customFormat="false" ht="12.8" hidden="false" customHeight="false" outlineLevel="0" collapsed="false">
      <c r="A129" s="1" t="s">
        <v>159</v>
      </c>
      <c r="B129" s="1" t="s">
        <v>23</v>
      </c>
      <c r="C129" s="1" t="s">
        <v>24</v>
      </c>
      <c r="D129" s="1" t="n">
        <v>19.76</v>
      </c>
      <c r="E129" s="1" t="n">
        <v>3</v>
      </c>
      <c r="F129" s="4" t="n">
        <v>44004</v>
      </c>
      <c r="G129" s="1" t="s">
        <v>27</v>
      </c>
      <c r="H129" s="1" t="n">
        <v>0</v>
      </c>
      <c r="I129" s="1" t="n">
        <v>51.1</v>
      </c>
      <c r="J129" s="1" t="n">
        <v>9</v>
      </c>
      <c r="K129" s="1" t="n">
        <v>6</v>
      </c>
      <c r="L129" s="1" t="n">
        <v>4</v>
      </c>
      <c r="M129" s="1" t="n">
        <v>0</v>
      </c>
      <c r="N129" s="1" t="n">
        <v>59.28</v>
      </c>
      <c r="O129" s="1" t="n">
        <v>1</v>
      </c>
      <c r="P129" s="4" t="n">
        <v>44095</v>
      </c>
      <c r="Q129" s="4" t="n">
        <v>44095</v>
      </c>
      <c r="R129" s="0" t="n">
        <f aca="false">IF(ISBLANK(F129),"Missing",IFERROR(YEAR(F129),"Missing"))</f>
        <v>2020</v>
      </c>
      <c r="S129" s="0" t="str">
        <f aca="false">IF(ISBLANK(E129),"Missing",IF(E129&lt;6,"0-6mo",IF(E129&lt;12,"6-12mo",IF(E129&lt;24,"12-24mo","24mo+"))))</f>
        <v>0-6mo</v>
      </c>
      <c r="T129" s="0" t="n">
        <f aca="false">IF(ISBLANK(C129),0,IF(C129="Month-to-month",2,IF(C129="One year",1,0)))+IF(ISBLANK(I129),0,IF(I129&lt;40,2,IF(I129&lt;55,1,0)))+IF(ISBLANK(M129),0,IF(M129=1,3,0))+IF(ISBLANK(L129),0,IF(L129&gt;=2,1,0))+IF(ISBLANK(E129),0,IF(E129&lt;12,1,0))</f>
        <v>5</v>
      </c>
      <c r="U129" s="0" t="str">
        <f aca="false">IF((ISBLANK(B129)*1+ISBLANK(C129)*1+ISBLANK(D129)*1+ISBLANK(E129)*1+ISBLANK(F129)*1+ISBLANK(I129)*1+ISBLANK(J129)*1+ISBLANK(K129)*1+ISBLANK(L129)*1+ISBLANK(M129)*1+ISBLANK(N129)*1+ISBLANK(O129)*1)&gt;0,"Missing Data","OK")</f>
        <v>OK</v>
      </c>
      <c r="V129" s="0" t="str">
        <f aca="false">IF(T129&gt;=6,"High Risk",IF(T129&gt;=3,"Medium Risk","Low Risk"))</f>
        <v>Medium Risk</v>
      </c>
    </row>
    <row r="130" customFormat="false" ht="12.8" hidden="false" customHeight="false" outlineLevel="0" collapsed="false">
      <c r="A130" s="1" t="s">
        <v>160</v>
      </c>
      <c r="B130" s="1" t="s">
        <v>29</v>
      </c>
      <c r="C130" s="1" t="s">
        <v>51</v>
      </c>
      <c r="D130" s="1" t="n">
        <v>40.5</v>
      </c>
      <c r="E130" s="1" t="n">
        <v>22</v>
      </c>
      <c r="F130" s="4" t="n">
        <v>44004</v>
      </c>
      <c r="G130" s="1" t="s">
        <v>25</v>
      </c>
      <c r="H130" s="1" t="n">
        <v>1</v>
      </c>
      <c r="I130" s="1" t="n">
        <v>67.4</v>
      </c>
      <c r="J130" s="1" t="n">
        <v>19</v>
      </c>
      <c r="K130" s="1" t="n">
        <v>8</v>
      </c>
      <c r="L130" s="1" t="n">
        <v>2</v>
      </c>
      <c r="M130" s="1" t="n">
        <v>0</v>
      </c>
      <c r="N130" s="1" t="n">
        <v>891</v>
      </c>
      <c r="O130" s="1" t="n">
        <v>0</v>
      </c>
      <c r="Q130" s="4" t="n">
        <v>44673</v>
      </c>
      <c r="R130" s="0" t="n">
        <f aca="false">IF(ISBLANK(F130),"Missing",IFERROR(YEAR(F130),"Missing"))</f>
        <v>2020</v>
      </c>
      <c r="S130" s="0" t="str">
        <f aca="false">IF(ISBLANK(E130),"Missing",IF(E130&lt;6,"0-6mo",IF(E130&lt;12,"6-12mo",IF(E130&lt;24,"12-24mo","24mo+"))))</f>
        <v>12-24mo</v>
      </c>
      <c r="T130" s="0" t="n">
        <f aca="false">IF(ISBLANK(C130),0,IF(C130="Month-to-month",2,IF(C130="One year",1,0)))+IF(ISBLANK(I130),0,IF(I130&lt;40,2,IF(I130&lt;55,1,0)))+IF(ISBLANK(M130),0,IF(M130=1,3,0))+IF(ISBLANK(L130),0,IF(L130&gt;=2,1,0))+IF(ISBLANK(E130),0,IF(E130&lt;12,1,0))</f>
        <v>1</v>
      </c>
      <c r="U130" s="0" t="str">
        <f aca="false">IF((ISBLANK(B130)*1+ISBLANK(C130)*1+ISBLANK(D130)*1+ISBLANK(E130)*1+ISBLANK(F130)*1+ISBLANK(I130)*1+ISBLANK(J130)*1+ISBLANK(K130)*1+ISBLANK(L130)*1+ISBLANK(M130)*1+ISBLANK(N130)*1+ISBLANK(O130)*1)&gt;0,"Missing Data","OK")</f>
        <v>OK</v>
      </c>
      <c r="V130" s="0" t="str">
        <f aca="false">IF(T130&gt;=6,"High Risk",IF(T130&gt;=3,"Medium Risk","Low Risk"))</f>
        <v>Low Risk</v>
      </c>
    </row>
    <row r="131" customFormat="false" ht="12.8" hidden="false" customHeight="false" outlineLevel="0" collapsed="false">
      <c r="A131" s="1" t="s">
        <v>161</v>
      </c>
      <c r="B131" s="1" t="s">
        <v>29</v>
      </c>
      <c r="C131" s="1" t="s">
        <v>51</v>
      </c>
      <c r="D131" s="1" t="n">
        <v>41.06</v>
      </c>
      <c r="E131" s="1" t="n">
        <v>6</v>
      </c>
      <c r="F131" s="4" t="n">
        <v>44006</v>
      </c>
      <c r="G131" s="1" t="s">
        <v>39</v>
      </c>
      <c r="H131" s="1" t="n">
        <v>1</v>
      </c>
      <c r="I131" s="1" t="n">
        <v>29.6</v>
      </c>
      <c r="J131" s="1" t="n">
        <v>15</v>
      </c>
      <c r="K131" s="1" t="n">
        <v>3</v>
      </c>
      <c r="L131" s="1" t="n">
        <v>1</v>
      </c>
      <c r="M131" s="1" t="n">
        <v>0</v>
      </c>
      <c r="N131" s="1" t="n">
        <v>246.36</v>
      </c>
      <c r="O131" s="1" t="n">
        <v>0</v>
      </c>
      <c r="Q131" s="4" t="n">
        <v>44188</v>
      </c>
      <c r="R131" s="0" t="n">
        <f aca="false">IF(ISBLANK(F131),"Missing",IFERROR(YEAR(F131),"Missing"))</f>
        <v>2020</v>
      </c>
      <c r="S131" s="0" t="str">
        <f aca="false">IF(ISBLANK(E131),"Missing",IF(E131&lt;6,"0-6mo",IF(E131&lt;12,"6-12mo",IF(E131&lt;24,"12-24mo","24mo+"))))</f>
        <v>6-12mo</v>
      </c>
      <c r="T131" s="0" t="n">
        <f aca="false">IF(ISBLANK(C131),0,IF(C131="Month-to-month",2,IF(C131="One year",1,0)))+IF(ISBLANK(I131),0,IF(I131&lt;40,2,IF(I131&lt;55,1,0)))+IF(ISBLANK(M131),0,IF(M131=1,3,0))+IF(ISBLANK(L131),0,IF(L131&gt;=2,1,0))+IF(ISBLANK(E131),0,IF(E131&lt;12,1,0))</f>
        <v>3</v>
      </c>
      <c r="U131" s="0" t="str">
        <f aca="false">IF((ISBLANK(B131)*1+ISBLANK(C131)*1+ISBLANK(D131)*1+ISBLANK(E131)*1+ISBLANK(F131)*1+ISBLANK(I131)*1+ISBLANK(J131)*1+ISBLANK(K131)*1+ISBLANK(L131)*1+ISBLANK(M131)*1+ISBLANK(N131)*1+ISBLANK(O131)*1)&gt;0,"Missing Data","OK")</f>
        <v>OK</v>
      </c>
      <c r="V131" s="0" t="str">
        <f aca="false">IF(T131&gt;=6,"High Risk",IF(T131&gt;=3,"Medium Risk","Low Risk"))</f>
        <v>Medium Risk</v>
      </c>
    </row>
    <row r="132" customFormat="false" ht="12.8" hidden="false" customHeight="false" outlineLevel="0" collapsed="false">
      <c r="A132" s="1" t="s">
        <v>162</v>
      </c>
      <c r="B132" s="1" t="s">
        <v>29</v>
      </c>
      <c r="C132" s="1" t="s">
        <v>34</v>
      </c>
      <c r="D132" s="1" t="n">
        <v>39.37</v>
      </c>
      <c r="E132" s="1" t="n">
        <v>2</v>
      </c>
      <c r="F132" s="4" t="n">
        <v>44007</v>
      </c>
      <c r="G132" s="1" t="s">
        <v>30</v>
      </c>
      <c r="H132" s="1" t="n">
        <v>1</v>
      </c>
      <c r="I132" s="1" t="n">
        <v>50.4</v>
      </c>
      <c r="J132" s="1" t="n">
        <v>16</v>
      </c>
      <c r="K132" s="1" t="n">
        <v>2</v>
      </c>
      <c r="L132" s="1" t="n">
        <v>0</v>
      </c>
      <c r="M132" s="1" t="n">
        <v>0</v>
      </c>
      <c r="N132" s="1" t="n">
        <v>78.74</v>
      </c>
      <c r="O132" s="1" t="n">
        <v>1</v>
      </c>
      <c r="P132" s="4" t="n">
        <v>44067</v>
      </c>
      <c r="Q132" s="4" t="n">
        <v>44067</v>
      </c>
      <c r="R132" s="0" t="n">
        <f aca="false">IF(ISBLANK(F132),"Missing",IFERROR(YEAR(F132),"Missing"))</f>
        <v>2020</v>
      </c>
      <c r="S132" s="0" t="str">
        <f aca="false">IF(ISBLANK(E132),"Missing",IF(E132&lt;6,"0-6mo",IF(E132&lt;12,"6-12mo",IF(E132&lt;24,"12-24mo","24mo+"))))</f>
        <v>0-6mo</v>
      </c>
      <c r="T132" s="0" t="n">
        <f aca="false">IF(ISBLANK(C132),0,IF(C132="Month-to-month",2,IF(C132="One year",1,0)))+IF(ISBLANK(I132),0,IF(I132&lt;40,2,IF(I132&lt;55,1,0)))+IF(ISBLANK(M132),0,IF(M132=1,3,0))+IF(ISBLANK(L132),0,IF(L132&gt;=2,1,0))+IF(ISBLANK(E132),0,IF(E132&lt;12,1,0))</f>
        <v>3</v>
      </c>
      <c r="U132" s="0" t="str">
        <f aca="false">IF((ISBLANK(B132)*1+ISBLANK(C132)*1+ISBLANK(D132)*1+ISBLANK(E132)*1+ISBLANK(F132)*1+ISBLANK(I132)*1+ISBLANK(J132)*1+ISBLANK(K132)*1+ISBLANK(L132)*1+ISBLANK(M132)*1+ISBLANK(N132)*1+ISBLANK(O132)*1)&gt;0,"Missing Data","OK")</f>
        <v>OK</v>
      </c>
      <c r="V132" s="0" t="str">
        <f aca="false">IF(T132&gt;=6,"High Risk",IF(T132&gt;=3,"Medium Risk","Low Risk"))</f>
        <v>Medium Risk</v>
      </c>
    </row>
    <row r="133" customFormat="false" ht="12.8" hidden="false" customHeight="false" outlineLevel="0" collapsed="false">
      <c r="A133" s="1" t="s">
        <v>163</v>
      </c>
      <c r="B133" s="1" t="s">
        <v>36</v>
      </c>
      <c r="C133" s="1" t="s">
        <v>24</v>
      </c>
      <c r="D133" s="1" t="n">
        <v>9.77</v>
      </c>
      <c r="E133" s="1" t="n">
        <v>72</v>
      </c>
      <c r="F133" s="4" t="n">
        <v>44008</v>
      </c>
      <c r="G133" s="1" t="s">
        <v>39</v>
      </c>
      <c r="H133" s="1" t="n">
        <v>1</v>
      </c>
      <c r="I133" s="1" t="n">
        <v>65.6</v>
      </c>
      <c r="J133" s="1" t="n">
        <v>18</v>
      </c>
      <c r="K133" s="1" t="n">
        <v>6</v>
      </c>
      <c r="L133" s="1" t="n">
        <v>0</v>
      </c>
      <c r="M133" s="1" t="n">
        <v>0</v>
      </c>
      <c r="N133" s="1" t="n">
        <v>703.44</v>
      </c>
      <c r="O133" s="1" t="n">
        <v>0</v>
      </c>
      <c r="Q133" s="4" t="n">
        <v>46199</v>
      </c>
      <c r="R133" s="0" t="n">
        <f aca="false">IF(ISBLANK(F133),"Missing",IFERROR(YEAR(F133),"Missing"))</f>
        <v>2020</v>
      </c>
      <c r="S133" s="0" t="str">
        <f aca="false">IF(ISBLANK(E133),"Missing",IF(E133&lt;6,"0-6mo",IF(E133&lt;12,"6-12mo",IF(E133&lt;24,"12-24mo","24mo+"))))</f>
        <v>24mo+</v>
      </c>
      <c r="T133" s="0" t="n">
        <f aca="false">IF(ISBLANK(C133),0,IF(C133="Month-to-month",2,IF(C133="One year",1,0)))+IF(ISBLANK(I133),0,IF(I133&lt;40,2,IF(I133&lt;55,1,0)))+IF(ISBLANK(M133),0,IF(M133=1,3,0))+IF(ISBLANK(L133),0,IF(L133&gt;=2,1,0))+IF(ISBLANK(E133),0,IF(E133&lt;12,1,0))</f>
        <v>2</v>
      </c>
      <c r="U133" s="0" t="str">
        <f aca="false">IF((ISBLANK(B133)*1+ISBLANK(C133)*1+ISBLANK(D133)*1+ISBLANK(E133)*1+ISBLANK(F133)*1+ISBLANK(I133)*1+ISBLANK(J133)*1+ISBLANK(K133)*1+ISBLANK(L133)*1+ISBLANK(M133)*1+ISBLANK(N133)*1+ISBLANK(O133)*1)&gt;0,"Missing Data","OK")</f>
        <v>OK</v>
      </c>
      <c r="V133" s="0" t="str">
        <f aca="false">IF(T133&gt;=6,"High Risk",IF(T133&gt;=3,"Medium Risk","Low Risk"))</f>
        <v>Low Risk</v>
      </c>
    </row>
    <row r="134" customFormat="false" ht="12.8" hidden="false" customHeight="false" outlineLevel="0" collapsed="false">
      <c r="A134" s="1" t="s">
        <v>164</v>
      </c>
      <c r="B134" s="1" t="s">
        <v>36</v>
      </c>
      <c r="C134" s="1" t="s">
        <v>24</v>
      </c>
      <c r="D134" s="1" t="n">
        <v>11</v>
      </c>
      <c r="E134" s="1" t="n">
        <v>29</v>
      </c>
      <c r="F134" s="4" t="n">
        <v>44010</v>
      </c>
      <c r="G134" s="1" t="s">
        <v>30</v>
      </c>
      <c r="H134" s="1" t="n">
        <v>0</v>
      </c>
      <c r="I134" s="1" t="n">
        <v>38.3</v>
      </c>
      <c r="J134" s="1" t="n">
        <v>15</v>
      </c>
      <c r="K134" s="1" t="n">
        <v>5</v>
      </c>
      <c r="L134" s="1" t="n">
        <v>1</v>
      </c>
      <c r="M134" s="1" t="n">
        <v>0</v>
      </c>
      <c r="N134" s="1" t="n">
        <v>319</v>
      </c>
      <c r="O134" s="1" t="n">
        <v>0</v>
      </c>
      <c r="Q134" s="4" t="n">
        <v>44892</v>
      </c>
      <c r="R134" s="0" t="n">
        <f aca="false">IF(ISBLANK(F134),"Missing",IFERROR(YEAR(F134),"Missing"))</f>
        <v>2020</v>
      </c>
      <c r="S134" s="0" t="str">
        <f aca="false">IF(ISBLANK(E134),"Missing",IF(E134&lt;6,"0-6mo",IF(E134&lt;12,"6-12mo",IF(E134&lt;24,"12-24mo","24mo+"))))</f>
        <v>24mo+</v>
      </c>
      <c r="T134" s="0" t="n">
        <f aca="false">IF(ISBLANK(C134),0,IF(C134="Month-to-month",2,IF(C134="One year",1,0)))+IF(ISBLANK(I134),0,IF(I134&lt;40,2,IF(I134&lt;55,1,0)))+IF(ISBLANK(M134),0,IF(M134=1,3,0))+IF(ISBLANK(L134),0,IF(L134&gt;=2,1,0))+IF(ISBLANK(E134),0,IF(E134&lt;12,1,0))</f>
        <v>4</v>
      </c>
      <c r="U134" s="0" t="str">
        <f aca="false">IF((ISBLANK(B134)*1+ISBLANK(C134)*1+ISBLANK(D134)*1+ISBLANK(E134)*1+ISBLANK(F134)*1+ISBLANK(I134)*1+ISBLANK(J134)*1+ISBLANK(K134)*1+ISBLANK(L134)*1+ISBLANK(M134)*1+ISBLANK(N134)*1+ISBLANK(O134)*1)&gt;0,"Missing Data","OK")</f>
        <v>OK</v>
      </c>
      <c r="V134" s="0" t="str">
        <f aca="false">IF(T134&gt;=6,"High Risk",IF(T134&gt;=3,"Medium Risk","Low Risk"))</f>
        <v>Medium Risk</v>
      </c>
    </row>
    <row r="135" customFormat="false" ht="12.8" hidden="false" customHeight="false" outlineLevel="0" collapsed="false">
      <c r="A135" s="1" t="s">
        <v>165</v>
      </c>
      <c r="B135" s="1" t="s">
        <v>23</v>
      </c>
      <c r="C135" s="1" t="s">
        <v>51</v>
      </c>
      <c r="D135" s="1" t="n">
        <v>19.86</v>
      </c>
      <c r="E135" s="1" t="n">
        <v>9</v>
      </c>
      <c r="F135" s="4" t="n">
        <v>44012</v>
      </c>
      <c r="G135" s="1" t="s">
        <v>27</v>
      </c>
      <c r="H135" s="1" t="n">
        <v>1</v>
      </c>
      <c r="I135" s="1" t="n">
        <v>57.8</v>
      </c>
      <c r="J135" s="1" t="n">
        <v>17</v>
      </c>
      <c r="K135" s="1" t="n">
        <v>7</v>
      </c>
      <c r="L135" s="1" t="n">
        <v>0</v>
      </c>
      <c r="M135" s="1" t="n">
        <v>0</v>
      </c>
      <c r="N135" s="1" t="n">
        <v>178.74</v>
      </c>
      <c r="O135" s="1" t="n">
        <v>0</v>
      </c>
      <c r="Q135" s="4" t="n">
        <v>44285</v>
      </c>
      <c r="R135" s="0" t="n">
        <f aca="false">IF(ISBLANK(F135),"Missing",IFERROR(YEAR(F135),"Missing"))</f>
        <v>2020</v>
      </c>
      <c r="S135" s="0" t="str">
        <f aca="false">IF(ISBLANK(E135),"Missing",IF(E135&lt;6,"0-6mo",IF(E135&lt;12,"6-12mo",IF(E135&lt;24,"12-24mo","24mo+"))))</f>
        <v>6-12mo</v>
      </c>
      <c r="T135" s="0" t="n">
        <f aca="false">IF(ISBLANK(C135),0,IF(C135="Month-to-month",2,IF(C135="One year",1,0)))+IF(ISBLANK(I135),0,IF(I135&lt;40,2,IF(I135&lt;55,1,0)))+IF(ISBLANK(M135),0,IF(M135=1,3,0))+IF(ISBLANK(L135),0,IF(L135&gt;=2,1,0))+IF(ISBLANK(E135),0,IF(E135&lt;12,1,0))</f>
        <v>1</v>
      </c>
      <c r="U135" s="0" t="str">
        <f aca="false">IF((ISBLANK(B135)*1+ISBLANK(C135)*1+ISBLANK(D135)*1+ISBLANK(E135)*1+ISBLANK(F135)*1+ISBLANK(I135)*1+ISBLANK(J135)*1+ISBLANK(K135)*1+ISBLANK(L135)*1+ISBLANK(M135)*1+ISBLANK(N135)*1+ISBLANK(O135)*1)&gt;0,"Missing Data","OK")</f>
        <v>OK</v>
      </c>
      <c r="V135" s="0" t="str">
        <f aca="false">IF(T135&gt;=6,"High Risk",IF(T135&gt;=3,"Medium Risk","Low Risk"))</f>
        <v>Low Risk</v>
      </c>
    </row>
    <row r="136" customFormat="false" ht="12.8" hidden="false" customHeight="false" outlineLevel="0" collapsed="false">
      <c r="A136" s="1" t="s">
        <v>166</v>
      </c>
      <c r="B136" s="1" t="s">
        <v>29</v>
      </c>
      <c r="C136" s="1" t="s">
        <v>24</v>
      </c>
      <c r="D136" s="1" t="n">
        <v>39.89</v>
      </c>
      <c r="E136" s="1" t="n">
        <v>1</v>
      </c>
      <c r="F136" s="4" t="n">
        <v>44013</v>
      </c>
      <c r="G136" s="1" t="s">
        <v>30</v>
      </c>
      <c r="H136" s="1" t="n">
        <v>1</v>
      </c>
      <c r="I136" s="1" t="n">
        <v>50.7</v>
      </c>
      <c r="J136" s="1" t="n">
        <v>11</v>
      </c>
      <c r="K136" s="1" t="n">
        <v>6</v>
      </c>
      <c r="L136" s="1" t="n">
        <v>1</v>
      </c>
      <c r="M136" s="1" t="n">
        <v>0</v>
      </c>
      <c r="N136" s="1" t="n">
        <v>39.89</v>
      </c>
      <c r="O136" s="1" t="n">
        <v>0</v>
      </c>
      <c r="Q136" s="4" t="n">
        <v>44043</v>
      </c>
      <c r="R136" s="0" t="n">
        <f aca="false">IF(ISBLANK(F136),"Missing",IFERROR(YEAR(F136),"Missing"))</f>
        <v>2020</v>
      </c>
      <c r="S136" s="0" t="str">
        <f aca="false">IF(ISBLANK(E136),"Missing",IF(E136&lt;6,"0-6mo",IF(E136&lt;12,"6-12mo",IF(E136&lt;24,"12-24mo","24mo+"))))</f>
        <v>0-6mo</v>
      </c>
      <c r="T136" s="0" t="n">
        <f aca="false">IF(ISBLANK(C136),0,IF(C136="Month-to-month",2,IF(C136="One year",1,0)))+IF(ISBLANK(I136),0,IF(I136&lt;40,2,IF(I136&lt;55,1,0)))+IF(ISBLANK(M136),0,IF(M136=1,3,0))+IF(ISBLANK(L136),0,IF(L136&gt;=2,1,0))+IF(ISBLANK(E136),0,IF(E136&lt;12,1,0))</f>
        <v>4</v>
      </c>
      <c r="U136" s="0" t="str">
        <f aca="false">IF((ISBLANK(B136)*1+ISBLANK(C136)*1+ISBLANK(D136)*1+ISBLANK(E136)*1+ISBLANK(F136)*1+ISBLANK(I136)*1+ISBLANK(J136)*1+ISBLANK(K136)*1+ISBLANK(L136)*1+ISBLANK(M136)*1+ISBLANK(N136)*1+ISBLANK(O136)*1)&gt;0,"Missing Data","OK")</f>
        <v>OK</v>
      </c>
      <c r="V136" s="0" t="str">
        <f aca="false">IF(T136&gt;=6,"High Risk",IF(T136&gt;=3,"Medium Risk","Low Risk"))</f>
        <v>Medium Risk</v>
      </c>
    </row>
    <row r="137" customFormat="false" ht="12.8" hidden="false" customHeight="false" outlineLevel="0" collapsed="false">
      <c r="A137" s="1" t="s">
        <v>167</v>
      </c>
      <c r="B137" s="1" t="s">
        <v>29</v>
      </c>
      <c r="C137" s="1" t="s">
        <v>24</v>
      </c>
      <c r="D137" s="1" t="n">
        <v>40.13</v>
      </c>
      <c r="E137" s="1" t="n">
        <v>18</v>
      </c>
      <c r="F137" s="4" t="n">
        <v>44015</v>
      </c>
      <c r="G137" s="1" t="s">
        <v>30</v>
      </c>
      <c r="H137" s="1" t="n">
        <v>1</v>
      </c>
      <c r="I137" s="1" t="n">
        <v>57.8</v>
      </c>
      <c r="J137" s="1" t="n">
        <v>19</v>
      </c>
      <c r="K137" s="1" t="n">
        <v>8</v>
      </c>
      <c r="L137" s="1" t="n">
        <v>1</v>
      </c>
      <c r="M137" s="1" t="n">
        <v>1</v>
      </c>
      <c r="N137" s="1" t="n">
        <v>722.34</v>
      </c>
      <c r="O137" s="1" t="n">
        <v>0</v>
      </c>
      <c r="Q137" s="4" t="n">
        <v>44562</v>
      </c>
      <c r="R137" s="0" t="n">
        <f aca="false">IF(ISBLANK(F137),"Missing",IFERROR(YEAR(F137),"Missing"))</f>
        <v>2020</v>
      </c>
      <c r="S137" s="0" t="str">
        <f aca="false">IF(ISBLANK(E137),"Missing",IF(E137&lt;6,"0-6mo",IF(E137&lt;12,"6-12mo",IF(E137&lt;24,"12-24mo","24mo+"))))</f>
        <v>12-24mo</v>
      </c>
      <c r="T137" s="0" t="n">
        <f aca="false">IF(ISBLANK(C137),0,IF(C137="Month-to-month",2,IF(C137="One year",1,0)))+IF(ISBLANK(I137),0,IF(I137&lt;40,2,IF(I137&lt;55,1,0)))+IF(ISBLANK(M137),0,IF(M137=1,3,0))+IF(ISBLANK(L137),0,IF(L137&gt;=2,1,0))+IF(ISBLANK(E137),0,IF(E137&lt;12,1,0))</f>
        <v>5</v>
      </c>
      <c r="U137" s="0" t="str">
        <f aca="false">IF((ISBLANK(B137)*1+ISBLANK(C137)*1+ISBLANK(D137)*1+ISBLANK(E137)*1+ISBLANK(F137)*1+ISBLANK(I137)*1+ISBLANK(J137)*1+ISBLANK(K137)*1+ISBLANK(L137)*1+ISBLANK(M137)*1+ISBLANK(N137)*1+ISBLANK(O137)*1)&gt;0,"Missing Data","OK")</f>
        <v>OK</v>
      </c>
      <c r="V137" s="0" t="str">
        <f aca="false">IF(T137&gt;=6,"High Risk",IF(T137&gt;=3,"Medium Risk","Low Risk"))</f>
        <v>Medium Risk</v>
      </c>
    </row>
    <row r="138" customFormat="false" ht="12.8" hidden="false" customHeight="false" outlineLevel="0" collapsed="false">
      <c r="A138" s="1" t="s">
        <v>168</v>
      </c>
      <c r="B138" s="1" t="s">
        <v>36</v>
      </c>
      <c r="C138" s="1" t="s">
        <v>34</v>
      </c>
      <c r="D138" s="1" t="n">
        <v>9.67</v>
      </c>
      <c r="E138" s="1" t="n">
        <v>15</v>
      </c>
      <c r="F138" s="4" t="n">
        <v>44016</v>
      </c>
      <c r="G138" s="1" t="s">
        <v>25</v>
      </c>
      <c r="H138" s="1" t="n">
        <v>1</v>
      </c>
      <c r="I138" s="1" t="n">
        <v>64.2</v>
      </c>
      <c r="J138" s="1" t="n">
        <v>20</v>
      </c>
      <c r="K138" s="1" t="n">
        <v>6</v>
      </c>
      <c r="L138" s="1" t="n">
        <v>2</v>
      </c>
      <c r="M138" s="1" t="n">
        <v>1</v>
      </c>
      <c r="N138" s="1" t="n">
        <v>145.05</v>
      </c>
      <c r="O138" s="1" t="n">
        <v>0</v>
      </c>
      <c r="Q138" s="4" t="n">
        <v>44472</v>
      </c>
      <c r="R138" s="0" t="n">
        <f aca="false">IF(ISBLANK(F138),"Missing",IFERROR(YEAR(F138),"Missing"))</f>
        <v>2020</v>
      </c>
      <c r="S138" s="0" t="str">
        <f aca="false">IF(ISBLANK(E138),"Missing",IF(E138&lt;6,"0-6mo",IF(E138&lt;12,"6-12mo",IF(E138&lt;24,"12-24mo","24mo+"))))</f>
        <v>12-24mo</v>
      </c>
      <c r="T138" s="0" t="n">
        <f aca="false">IF(ISBLANK(C138),0,IF(C138="Month-to-month",2,IF(C138="One year",1,0)))+IF(ISBLANK(I138),0,IF(I138&lt;40,2,IF(I138&lt;55,1,0)))+IF(ISBLANK(M138),0,IF(M138=1,3,0))+IF(ISBLANK(L138),0,IF(L138&gt;=2,1,0))+IF(ISBLANK(E138),0,IF(E138&lt;12,1,0))</f>
        <v>5</v>
      </c>
      <c r="U138" s="0" t="str">
        <f aca="false">IF((ISBLANK(B138)*1+ISBLANK(C138)*1+ISBLANK(D138)*1+ISBLANK(E138)*1+ISBLANK(F138)*1+ISBLANK(I138)*1+ISBLANK(J138)*1+ISBLANK(K138)*1+ISBLANK(L138)*1+ISBLANK(M138)*1+ISBLANK(N138)*1+ISBLANK(O138)*1)&gt;0,"Missing Data","OK")</f>
        <v>OK</v>
      </c>
      <c r="V138" s="0" t="str">
        <f aca="false">IF(T138&gt;=6,"High Risk",IF(T138&gt;=3,"Medium Risk","Low Risk"))</f>
        <v>Medium Risk</v>
      </c>
    </row>
    <row r="139" customFormat="false" ht="12.8" hidden="false" customHeight="false" outlineLevel="0" collapsed="false">
      <c r="A139" s="1" t="s">
        <v>169</v>
      </c>
      <c r="B139" s="1" t="s">
        <v>36</v>
      </c>
      <c r="C139" s="1" t="s">
        <v>24</v>
      </c>
      <c r="D139" s="1" t="n">
        <v>8.49</v>
      </c>
      <c r="E139" s="1" t="n">
        <v>37</v>
      </c>
      <c r="F139" s="4" t="n">
        <v>44017</v>
      </c>
      <c r="G139" s="1" t="s">
        <v>25</v>
      </c>
      <c r="H139" s="1" t="n">
        <v>1</v>
      </c>
      <c r="I139" s="1" t="n">
        <v>55.5</v>
      </c>
      <c r="J139" s="1" t="n">
        <v>14</v>
      </c>
      <c r="K139" s="1" t="n">
        <v>5</v>
      </c>
      <c r="L139" s="1" t="n">
        <v>3</v>
      </c>
      <c r="M139" s="1" t="n">
        <v>0</v>
      </c>
      <c r="N139" s="1" t="n">
        <v>314.13</v>
      </c>
      <c r="O139" s="1" t="n">
        <v>0</v>
      </c>
      <c r="Q139" s="4" t="n">
        <v>45143</v>
      </c>
      <c r="R139" s="0" t="n">
        <f aca="false">IF(ISBLANK(F139),"Missing",IFERROR(YEAR(F139),"Missing"))</f>
        <v>2020</v>
      </c>
      <c r="S139" s="0" t="str">
        <f aca="false">IF(ISBLANK(E139),"Missing",IF(E139&lt;6,"0-6mo",IF(E139&lt;12,"6-12mo",IF(E139&lt;24,"12-24mo","24mo+"))))</f>
        <v>24mo+</v>
      </c>
      <c r="T139" s="0" t="n">
        <f aca="false">IF(ISBLANK(C139),0,IF(C139="Month-to-month",2,IF(C139="One year",1,0)))+IF(ISBLANK(I139),0,IF(I139&lt;40,2,IF(I139&lt;55,1,0)))+IF(ISBLANK(M139),0,IF(M139=1,3,0))+IF(ISBLANK(L139),0,IF(L139&gt;=2,1,0))+IF(ISBLANK(E139),0,IF(E139&lt;12,1,0))</f>
        <v>3</v>
      </c>
      <c r="U139" s="0" t="str">
        <f aca="false">IF((ISBLANK(B139)*1+ISBLANK(C139)*1+ISBLANK(D139)*1+ISBLANK(E139)*1+ISBLANK(F139)*1+ISBLANK(I139)*1+ISBLANK(J139)*1+ISBLANK(K139)*1+ISBLANK(L139)*1+ISBLANK(M139)*1+ISBLANK(N139)*1+ISBLANK(O139)*1)&gt;0,"Missing Data","OK")</f>
        <v>OK</v>
      </c>
      <c r="V139" s="0" t="str">
        <f aca="false">IF(T139&gt;=6,"High Risk",IF(T139&gt;=3,"Medium Risk","Low Risk"))</f>
        <v>Medium Risk</v>
      </c>
    </row>
    <row r="140" customFormat="false" ht="12.8" hidden="false" customHeight="false" outlineLevel="0" collapsed="false">
      <c r="A140" s="1" t="s">
        <v>170</v>
      </c>
      <c r="B140" s="1" t="s">
        <v>36</v>
      </c>
      <c r="C140" s="1" t="s">
        <v>24</v>
      </c>
      <c r="D140" s="1" t="n">
        <v>10.79</v>
      </c>
      <c r="E140" s="1" t="n">
        <v>13</v>
      </c>
      <c r="F140" s="4" t="n">
        <v>44017</v>
      </c>
      <c r="G140" s="1" t="s">
        <v>25</v>
      </c>
      <c r="H140" s="1" t="n">
        <v>0</v>
      </c>
      <c r="I140" s="1" t="n">
        <v>27.7</v>
      </c>
      <c r="J140" s="1" t="n">
        <v>5</v>
      </c>
      <c r="K140" s="1" t="n">
        <v>4</v>
      </c>
      <c r="L140" s="1" t="n">
        <v>4</v>
      </c>
      <c r="M140" s="1" t="n">
        <v>0</v>
      </c>
      <c r="N140" s="1" t="n">
        <v>140.27</v>
      </c>
      <c r="O140" s="1" t="n">
        <v>0</v>
      </c>
      <c r="Q140" s="4" t="n">
        <v>44412</v>
      </c>
      <c r="R140" s="0" t="n">
        <f aca="false">IF(ISBLANK(F140),"Missing",IFERROR(YEAR(F140),"Missing"))</f>
        <v>2020</v>
      </c>
      <c r="S140" s="0" t="str">
        <f aca="false">IF(ISBLANK(E140),"Missing",IF(E140&lt;6,"0-6mo",IF(E140&lt;12,"6-12mo",IF(E140&lt;24,"12-24mo","24mo+"))))</f>
        <v>12-24mo</v>
      </c>
      <c r="T140" s="0" t="n">
        <f aca="false">IF(ISBLANK(C140),0,IF(C140="Month-to-month",2,IF(C140="One year",1,0)))+IF(ISBLANK(I140),0,IF(I140&lt;40,2,IF(I140&lt;55,1,0)))+IF(ISBLANK(M140),0,IF(M140=1,3,0))+IF(ISBLANK(L140),0,IF(L140&gt;=2,1,0))+IF(ISBLANK(E140),0,IF(E140&lt;12,1,0))</f>
        <v>5</v>
      </c>
      <c r="U140" s="0" t="str">
        <f aca="false">IF((ISBLANK(B140)*1+ISBLANK(C140)*1+ISBLANK(D140)*1+ISBLANK(E140)*1+ISBLANK(F140)*1+ISBLANK(I140)*1+ISBLANK(J140)*1+ISBLANK(K140)*1+ISBLANK(L140)*1+ISBLANK(M140)*1+ISBLANK(N140)*1+ISBLANK(O140)*1)&gt;0,"Missing Data","OK")</f>
        <v>OK</v>
      </c>
      <c r="V140" s="0" t="str">
        <f aca="false">IF(T140&gt;=6,"High Risk",IF(T140&gt;=3,"Medium Risk","Low Risk"))</f>
        <v>Medium Risk</v>
      </c>
    </row>
    <row r="141" customFormat="false" ht="12.8" hidden="false" customHeight="false" outlineLevel="0" collapsed="false">
      <c r="A141" s="1" t="s">
        <v>171</v>
      </c>
      <c r="B141" s="1" t="s">
        <v>29</v>
      </c>
      <c r="C141" s="1" t="s">
        <v>24</v>
      </c>
      <c r="D141" s="1" t="n">
        <v>39.38</v>
      </c>
      <c r="E141" s="1" t="n">
        <v>4</v>
      </c>
      <c r="F141" s="4" t="n">
        <v>44019</v>
      </c>
      <c r="G141" s="1" t="s">
        <v>27</v>
      </c>
      <c r="H141" s="1" t="n">
        <v>1</v>
      </c>
      <c r="I141" s="1" t="n">
        <v>27</v>
      </c>
      <c r="J141" s="1" t="n">
        <v>5</v>
      </c>
      <c r="K141" s="1" t="n">
        <v>3</v>
      </c>
      <c r="L141" s="1" t="n">
        <v>3</v>
      </c>
      <c r="M141" s="1" t="n">
        <v>0</v>
      </c>
      <c r="N141" s="1" t="n">
        <v>157.52</v>
      </c>
      <c r="O141" s="1" t="n">
        <v>0</v>
      </c>
      <c r="Q141" s="4" t="n">
        <v>44140</v>
      </c>
      <c r="R141" s="0" t="n">
        <f aca="false">IF(ISBLANK(F141),"Missing",IFERROR(YEAR(F141),"Missing"))</f>
        <v>2020</v>
      </c>
      <c r="S141" s="0" t="str">
        <f aca="false">IF(ISBLANK(E141),"Missing",IF(E141&lt;6,"0-6mo",IF(E141&lt;12,"6-12mo",IF(E141&lt;24,"12-24mo","24mo+"))))</f>
        <v>0-6mo</v>
      </c>
      <c r="T141" s="0" t="n">
        <f aca="false">IF(ISBLANK(C141),0,IF(C141="Month-to-month",2,IF(C141="One year",1,0)))+IF(ISBLANK(I141),0,IF(I141&lt;40,2,IF(I141&lt;55,1,0)))+IF(ISBLANK(M141),0,IF(M141=1,3,0))+IF(ISBLANK(L141),0,IF(L141&gt;=2,1,0))+IF(ISBLANK(E141),0,IF(E141&lt;12,1,0))</f>
        <v>6</v>
      </c>
      <c r="U141" s="0" t="str">
        <f aca="false">IF((ISBLANK(B141)*1+ISBLANK(C141)*1+ISBLANK(D141)*1+ISBLANK(E141)*1+ISBLANK(F141)*1+ISBLANK(I141)*1+ISBLANK(J141)*1+ISBLANK(K141)*1+ISBLANK(L141)*1+ISBLANK(M141)*1+ISBLANK(N141)*1+ISBLANK(O141)*1)&gt;0,"Missing Data","OK")</f>
        <v>OK</v>
      </c>
      <c r="V141" s="0" t="str">
        <f aca="false">IF(T141&gt;=6,"High Risk",IF(T141&gt;=3,"Medium Risk","Low Risk"))</f>
        <v>High Risk</v>
      </c>
    </row>
    <row r="142" customFormat="false" ht="12.8" hidden="false" customHeight="false" outlineLevel="0" collapsed="false">
      <c r="A142" s="1" t="s">
        <v>172</v>
      </c>
      <c r="B142" s="1" t="s">
        <v>36</v>
      </c>
      <c r="C142" s="1" t="s">
        <v>51</v>
      </c>
      <c r="D142" s="1" t="n">
        <v>10.61</v>
      </c>
      <c r="E142" s="1" t="n">
        <v>10</v>
      </c>
      <c r="F142" s="4" t="n">
        <v>44021</v>
      </c>
      <c r="G142" s="1" t="s">
        <v>30</v>
      </c>
      <c r="H142" s="1" t="n">
        <v>0</v>
      </c>
      <c r="I142" s="1" t="n">
        <v>56.8</v>
      </c>
      <c r="J142" s="1" t="n">
        <v>16</v>
      </c>
      <c r="K142" s="1" t="n">
        <v>5</v>
      </c>
      <c r="L142" s="1" t="n">
        <v>2</v>
      </c>
      <c r="M142" s="1" t="n">
        <v>1</v>
      </c>
      <c r="N142" s="1" t="n">
        <v>106.1</v>
      </c>
      <c r="O142" s="1" t="n">
        <v>0</v>
      </c>
      <c r="Q142" s="4" t="n">
        <v>44325</v>
      </c>
      <c r="R142" s="0" t="n">
        <f aca="false">IF(ISBLANK(F142),"Missing",IFERROR(YEAR(F142),"Missing"))</f>
        <v>2020</v>
      </c>
      <c r="S142" s="0" t="str">
        <f aca="false">IF(ISBLANK(E142),"Missing",IF(E142&lt;6,"0-6mo",IF(E142&lt;12,"6-12mo",IF(E142&lt;24,"12-24mo","24mo+"))))</f>
        <v>6-12mo</v>
      </c>
      <c r="T142" s="0" t="n">
        <f aca="false">IF(ISBLANK(C142),0,IF(C142="Month-to-month",2,IF(C142="One year",1,0)))+IF(ISBLANK(I142),0,IF(I142&lt;40,2,IF(I142&lt;55,1,0)))+IF(ISBLANK(M142),0,IF(M142=1,3,0))+IF(ISBLANK(L142),0,IF(L142&gt;=2,1,0))+IF(ISBLANK(E142),0,IF(E142&lt;12,1,0))</f>
        <v>5</v>
      </c>
      <c r="U142" s="0" t="str">
        <f aca="false">IF((ISBLANK(B142)*1+ISBLANK(C142)*1+ISBLANK(D142)*1+ISBLANK(E142)*1+ISBLANK(F142)*1+ISBLANK(I142)*1+ISBLANK(J142)*1+ISBLANK(K142)*1+ISBLANK(L142)*1+ISBLANK(M142)*1+ISBLANK(N142)*1+ISBLANK(O142)*1)&gt;0,"Missing Data","OK")</f>
        <v>OK</v>
      </c>
      <c r="V142" s="0" t="str">
        <f aca="false">IF(T142&gt;=6,"High Risk",IF(T142&gt;=3,"Medium Risk","Low Risk"))</f>
        <v>Medium Risk</v>
      </c>
    </row>
    <row r="143" customFormat="false" ht="12.8" hidden="false" customHeight="false" outlineLevel="0" collapsed="false">
      <c r="A143" s="1" t="s">
        <v>173</v>
      </c>
      <c r="B143" s="1" t="s">
        <v>36</v>
      </c>
      <c r="C143" s="1" t="s">
        <v>24</v>
      </c>
      <c r="D143" s="1" t="n">
        <v>11.25</v>
      </c>
      <c r="E143" s="1" t="n">
        <v>35</v>
      </c>
      <c r="F143" s="4" t="n">
        <v>44023</v>
      </c>
      <c r="G143" s="1" t="s">
        <v>30</v>
      </c>
      <c r="H143" s="1" t="n">
        <v>1</v>
      </c>
      <c r="I143" s="1" t="n">
        <v>39</v>
      </c>
      <c r="J143" s="1" t="n">
        <v>12</v>
      </c>
      <c r="K143" s="1" t="n">
        <v>4</v>
      </c>
      <c r="L143" s="1" t="n">
        <v>0</v>
      </c>
      <c r="M143" s="1" t="n">
        <v>0</v>
      </c>
      <c r="N143" s="1" t="n">
        <v>393.75</v>
      </c>
      <c r="O143" s="1" t="n">
        <v>0</v>
      </c>
      <c r="Q143" s="4" t="n">
        <v>45088</v>
      </c>
      <c r="R143" s="0" t="n">
        <f aca="false">IF(ISBLANK(F143),"Missing",IFERROR(YEAR(F143),"Missing"))</f>
        <v>2020</v>
      </c>
      <c r="S143" s="0" t="str">
        <f aca="false">IF(ISBLANK(E143),"Missing",IF(E143&lt;6,"0-6mo",IF(E143&lt;12,"6-12mo",IF(E143&lt;24,"12-24mo","24mo+"))))</f>
        <v>24mo+</v>
      </c>
      <c r="T143" s="0" t="n">
        <f aca="false">IF(ISBLANK(C143),0,IF(C143="Month-to-month",2,IF(C143="One year",1,0)))+IF(ISBLANK(I143),0,IF(I143&lt;40,2,IF(I143&lt;55,1,0)))+IF(ISBLANK(M143),0,IF(M143=1,3,0))+IF(ISBLANK(L143),0,IF(L143&gt;=2,1,0))+IF(ISBLANK(E143),0,IF(E143&lt;12,1,0))</f>
        <v>4</v>
      </c>
      <c r="U143" s="0" t="str">
        <f aca="false">IF((ISBLANK(B143)*1+ISBLANK(C143)*1+ISBLANK(D143)*1+ISBLANK(E143)*1+ISBLANK(F143)*1+ISBLANK(I143)*1+ISBLANK(J143)*1+ISBLANK(K143)*1+ISBLANK(L143)*1+ISBLANK(M143)*1+ISBLANK(N143)*1+ISBLANK(O143)*1)&gt;0,"Missing Data","OK")</f>
        <v>OK</v>
      </c>
      <c r="V143" s="0" t="str">
        <f aca="false">IF(T143&gt;=6,"High Risk",IF(T143&gt;=3,"Medium Risk","Low Risk"))</f>
        <v>Medium Risk</v>
      </c>
    </row>
    <row r="144" customFormat="false" ht="12.8" hidden="false" customHeight="false" outlineLevel="0" collapsed="false">
      <c r="A144" s="1" t="s">
        <v>174</v>
      </c>
      <c r="B144" s="1" t="s">
        <v>23</v>
      </c>
      <c r="C144" s="1" t="s">
        <v>24</v>
      </c>
      <c r="D144" s="1" t="n">
        <v>19.83</v>
      </c>
      <c r="E144" s="1" t="n">
        <v>18</v>
      </c>
      <c r="F144" s="4" t="n">
        <v>44023</v>
      </c>
      <c r="G144" s="1" t="s">
        <v>25</v>
      </c>
      <c r="H144" s="1" t="n">
        <v>1</v>
      </c>
      <c r="I144" s="1" t="n">
        <v>32</v>
      </c>
      <c r="J144" s="1" t="n">
        <v>10</v>
      </c>
      <c r="K144" s="1" t="n">
        <v>3</v>
      </c>
      <c r="L144" s="1" t="n">
        <v>4</v>
      </c>
      <c r="M144" s="1" t="n">
        <v>0</v>
      </c>
      <c r="N144" s="1" t="n">
        <v>356.94</v>
      </c>
      <c r="O144" s="1" t="n">
        <v>0</v>
      </c>
      <c r="Q144" s="4" t="n">
        <v>44570</v>
      </c>
      <c r="R144" s="0" t="n">
        <f aca="false">IF(ISBLANK(F144),"Missing",IFERROR(YEAR(F144),"Missing"))</f>
        <v>2020</v>
      </c>
      <c r="S144" s="0" t="str">
        <f aca="false">IF(ISBLANK(E144),"Missing",IF(E144&lt;6,"0-6mo",IF(E144&lt;12,"6-12mo",IF(E144&lt;24,"12-24mo","24mo+"))))</f>
        <v>12-24mo</v>
      </c>
      <c r="T144" s="0" t="n">
        <f aca="false">IF(ISBLANK(C144),0,IF(C144="Month-to-month",2,IF(C144="One year",1,0)))+IF(ISBLANK(I144),0,IF(I144&lt;40,2,IF(I144&lt;55,1,0)))+IF(ISBLANK(M144),0,IF(M144=1,3,0))+IF(ISBLANK(L144),0,IF(L144&gt;=2,1,0))+IF(ISBLANK(E144),0,IF(E144&lt;12,1,0))</f>
        <v>5</v>
      </c>
      <c r="U144" s="0" t="str">
        <f aca="false">IF((ISBLANK(B144)*1+ISBLANK(C144)*1+ISBLANK(D144)*1+ISBLANK(E144)*1+ISBLANK(F144)*1+ISBLANK(I144)*1+ISBLANK(J144)*1+ISBLANK(K144)*1+ISBLANK(L144)*1+ISBLANK(M144)*1+ISBLANK(N144)*1+ISBLANK(O144)*1)&gt;0,"Missing Data","OK")</f>
        <v>OK</v>
      </c>
      <c r="V144" s="0" t="str">
        <f aca="false">IF(T144&gt;=6,"High Risk",IF(T144&gt;=3,"Medium Risk","Low Risk"))</f>
        <v>Medium Risk</v>
      </c>
    </row>
    <row r="145" customFormat="false" ht="12.8" hidden="false" customHeight="false" outlineLevel="0" collapsed="false">
      <c r="A145" s="1" t="s">
        <v>175</v>
      </c>
      <c r="B145" s="1" t="s">
        <v>36</v>
      </c>
      <c r="C145" s="1" t="s">
        <v>34</v>
      </c>
      <c r="D145" s="1" t="n">
        <v>8.24</v>
      </c>
      <c r="E145" s="1" t="n">
        <v>72</v>
      </c>
      <c r="F145" s="4" t="n">
        <v>44024</v>
      </c>
      <c r="G145" s="1" t="s">
        <v>25</v>
      </c>
      <c r="H145" s="1" t="n">
        <v>0</v>
      </c>
      <c r="I145" s="1" t="n">
        <v>45.7</v>
      </c>
      <c r="J145" s="1" t="n">
        <v>13</v>
      </c>
      <c r="K145" s="1" t="n">
        <v>5</v>
      </c>
      <c r="L145" s="1" t="n">
        <v>3</v>
      </c>
      <c r="M145" s="1" t="n">
        <v>1</v>
      </c>
      <c r="N145" s="1" t="n">
        <v>593.28</v>
      </c>
      <c r="O145" s="1" t="n">
        <v>0</v>
      </c>
      <c r="Q145" s="4" t="n">
        <v>46215</v>
      </c>
      <c r="R145" s="0" t="n">
        <f aca="false">IF(ISBLANK(F145),"Missing",IFERROR(YEAR(F145),"Missing"))</f>
        <v>2020</v>
      </c>
      <c r="S145" s="0" t="str">
        <f aca="false">IF(ISBLANK(E145),"Missing",IF(E145&lt;6,"0-6mo",IF(E145&lt;12,"6-12mo",IF(E145&lt;24,"12-24mo","24mo+"))))</f>
        <v>24mo+</v>
      </c>
      <c r="T145" s="0" t="n">
        <f aca="false">IF(ISBLANK(C145),0,IF(C145="Month-to-month",2,IF(C145="One year",1,0)))+IF(ISBLANK(I145),0,IF(I145&lt;40,2,IF(I145&lt;55,1,0)))+IF(ISBLANK(M145),0,IF(M145=1,3,0))+IF(ISBLANK(L145),0,IF(L145&gt;=2,1,0))+IF(ISBLANK(E145),0,IF(E145&lt;12,1,0))</f>
        <v>6</v>
      </c>
      <c r="U145" s="0" t="str">
        <f aca="false">IF((ISBLANK(B145)*1+ISBLANK(C145)*1+ISBLANK(D145)*1+ISBLANK(E145)*1+ISBLANK(F145)*1+ISBLANK(I145)*1+ISBLANK(J145)*1+ISBLANK(K145)*1+ISBLANK(L145)*1+ISBLANK(M145)*1+ISBLANK(N145)*1+ISBLANK(O145)*1)&gt;0,"Missing Data","OK")</f>
        <v>OK</v>
      </c>
      <c r="V145" s="0" t="str">
        <f aca="false">IF(T145&gt;=6,"High Risk",IF(T145&gt;=3,"Medium Risk","Low Risk"))</f>
        <v>High Risk</v>
      </c>
    </row>
    <row r="146" customFormat="false" ht="12.8" hidden="false" customHeight="false" outlineLevel="0" collapsed="false">
      <c r="A146" s="1" t="s">
        <v>176</v>
      </c>
      <c r="B146" s="1" t="s">
        <v>36</v>
      </c>
      <c r="C146" s="1" t="s">
        <v>34</v>
      </c>
      <c r="D146" s="1" t="n">
        <v>9.8</v>
      </c>
      <c r="E146" s="1" t="n">
        <v>12</v>
      </c>
      <c r="F146" s="4" t="n">
        <v>44025</v>
      </c>
      <c r="G146" s="1" t="s">
        <v>25</v>
      </c>
      <c r="H146" s="1" t="n">
        <v>0</v>
      </c>
      <c r="I146" s="1" t="n">
        <v>20.5</v>
      </c>
      <c r="J146" s="1" t="n">
        <v>7</v>
      </c>
      <c r="K146" s="1" t="n">
        <v>3</v>
      </c>
      <c r="L146" s="1" t="n">
        <v>2</v>
      </c>
      <c r="M146" s="1" t="n">
        <v>1</v>
      </c>
      <c r="N146" s="1" t="n">
        <v>117.6</v>
      </c>
      <c r="O146" s="1" t="n">
        <v>0</v>
      </c>
      <c r="Q146" s="4" t="n">
        <v>44390</v>
      </c>
      <c r="R146" s="0" t="n">
        <f aca="false">IF(ISBLANK(F146),"Missing",IFERROR(YEAR(F146),"Missing"))</f>
        <v>2020</v>
      </c>
      <c r="S146" s="0" t="str">
        <f aca="false">IF(ISBLANK(E146),"Missing",IF(E146&lt;6,"0-6mo",IF(E146&lt;12,"6-12mo",IF(E146&lt;24,"12-24mo","24mo+"))))</f>
        <v>12-24mo</v>
      </c>
      <c r="T146" s="0" t="n">
        <f aca="false">IF(ISBLANK(C146),0,IF(C146="Month-to-month",2,IF(C146="One year",1,0)))+IF(ISBLANK(I146),0,IF(I146&lt;40,2,IF(I146&lt;55,1,0)))+IF(ISBLANK(M146),0,IF(M146=1,3,0))+IF(ISBLANK(L146),0,IF(L146&gt;=2,1,0))+IF(ISBLANK(E146),0,IF(E146&lt;12,1,0))</f>
        <v>7</v>
      </c>
      <c r="U146" s="0" t="str">
        <f aca="false">IF((ISBLANK(B146)*1+ISBLANK(C146)*1+ISBLANK(D146)*1+ISBLANK(E146)*1+ISBLANK(F146)*1+ISBLANK(I146)*1+ISBLANK(J146)*1+ISBLANK(K146)*1+ISBLANK(L146)*1+ISBLANK(M146)*1+ISBLANK(N146)*1+ISBLANK(O146)*1)&gt;0,"Missing Data","OK")</f>
        <v>OK</v>
      </c>
      <c r="V146" s="0" t="str">
        <f aca="false">IF(T146&gt;=6,"High Risk",IF(T146&gt;=3,"Medium Risk","Low Risk"))</f>
        <v>High Risk</v>
      </c>
    </row>
    <row r="147" customFormat="false" ht="12.8" hidden="false" customHeight="false" outlineLevel="0" collapsed="false">
      <c r="A147" s="1" t="s">
        <v>177</v>
      </c>
      <c r="B147" s="1" t="s">
        <v>36</v>
      </c>
      <c r="C147" s="1" t="s">
        <v>34</v>
      </c>
      <c r="D147" s="1" t="n">
        <v>9.69</v>
      </c>
      <c r="E147" s="1" t="n">
        <v>20</v>
      </c>
      <c r="F147" s="4" t="n">
        <v>44026</v>
      </c>
      <c r="G147" s="1" t="s">
        <v>25</v>
      </c>
      <c r="H147" s="1" t="n">
        <v>1</v>
      </c>
      <c r="I147" s="1" t="n">
        <v>29</v>
      </c>
      <c r="J147" s="1" t="n">
        <v>11</v>
      </c>
      <c r="K147" s="1" t="n">
        <v>0</v>
      </c>
      <c r="L147" s="1" t="n">
        <v>3</v>
      </c>
      <c r="M147" s="1" t="n">
        <v>1</v>
      </c>
      <c r="N147" s="1" t="n">
        <v>193.8</v>
      </c>
      <c r="O147" s="1" t="n">
        <v>0</v>
      </c>
      <c r="Q147" s="4" t="n">
        <v>44634</v>
      </c>
      <c r="R147" s="0" t="n">
        <f aca="false">IF(ISBLANK(F147),"Missing",IFERROR(YEAR(F147),"Missing"))</f>
        <v>2020</v>
      </c>
      <c r="S147" s="0" t="str">
        <f aca="false">IF(ISBLANK(E147),"Missing",IF(E147&lt;6,"0-6mo",IF(E147&lt;12,"6-12mo",IF(E147&lt;24,"12-24mo","24mo+"))))</f>
        <v>12-24mo</v>
      </c>
      <c r="T147" s="0" t="n">
        <f aca="false">IF(ISBLANK(C147),0,IF(C147="Month-to-month",2,IF(C147="One year",1,0)))+IF(ISBLANK(I147),0,IF(I147&lt;40,2,IF(I147&lt;55,1,0)))+IF(ISBLANK(M147),0,IF(M147=1,3,0))+IF(ISBLANK(L147),0,IF(L147&gt;=2,1,0))+IF(ISBLANK(E147),0,IF(E147&lt;12,1,0))</f>
        <v>7</v>
      </c>
      <c r="U147" s="0" t="str">
        <f aca="false">IF((ISBLANK(B147)*1+ISBLANK(C147)*1+ISBLANK(D147)*1+ISBLANK(E147)*1+ISBLANK(F147)*1+ISBLANK(I147)*1+ISBLANK(J147)*1+ISBLANK(K147)*1+ISBLANK(L147)*1+ISBLANK(M147)*1+ISBLANK(N147)*1+ISBLANK(O147)*1)&gt;0,"Missing Data","OK")</f>
        <v>OK</v>
      </c>
      <c r="V147" s="0" t="str">
        <f aca="false">IF(T147&gt;=6,"High Risk",IF(T147&gt;=3,"Medium Risk","Low Risk"))</f>
        <v>High Risk</v>
      </c>
    </row>
    <row r="148" customFormat="false" ht="12.8" hidden="false" customHeight="false" outlineLevel="0" collapsed="false">
      <c r="A148" s="1" t="s">
        <v>178</v>
      </c>
      <c r="B148" s="1" t="s">
        <v>36</v>
      </c>
      <c r="C148" s="1" t="s">
        <v>24</v>
      </c>
      <c r="D148" s="1" t="n">
        <v>9.6</v>
      </c>
      <c r="E148" s="1" t="n">
        <v>33</v>
      </c>
      <c r="F148" s="4" t="n">
        <v>44027</v>
      </c>
      <c r="G148" s="1" t="s">
        <v>25</v>
      </c>
      <c r="H148" s="1" t="n">
        <v>1</v>
      </c>
      <c r="I148" s="1" t="n">
        <v>75.3</v>
      </c>
      <c r="J148" s="1" t="n">
        <v>21</v>
      </c>
      <c r="K148" s="1" t="n">
        <v>7</v>
      </c>
      <c r="L148" s="1" t="n">
        <v>4</v>
      </c>
      <c r="M148" s="1" t="n">
        <v>0</v>
      </c>
      <c r="N148" s="1" t="n">
        <v>316.8</v>
      </c>
      <c r="O148" s="1" t="n">
        <v>0</v>
      </c>
      <c r="Q148" s="4" t="n">
        <v>45031</v>
      </c>
      <c r="R148" s="0" t="n">
        <f aca="false">IF(ISBLANK(F148),"Missing",IFERROR(YEAR(F148),"Missing"))</f>
        <v>2020</v>
      </c>
      <c r="S148" s="0" t="str">
        <f aca="false">IF(ISBLANK(E148),"Missing",IF(E148&lt;6,"0-6mo",IF(E148&lt;12,"6-12mo",IF(E148&lt;24,"12-24mo","24mo+"))))</f>
        <v>24mo+</v>
      </c>
      <c r="T148" s="0" t="n">
        <f aca="false">IF(ISBLANK(C148),0,IF(C148="Month-to-month",2,IF(C148="One year",1,0)))+IF(ISBLANK(I148),0,IF(I148&lt;40,2,IF(I148&lt;55,1,0)))+IF(ISBLANK(M148),0,IF(M148=1,3,0))+IF(ISBLANK(L148),0,IF(L148&gt;=2,1,0))+IF(ISBLANK(E148),0,IF(E148&lt;12,1,0))</f>
        <v>3</v>
      </c>
      <c r="U148" s="0" t="str">
        <f aca="false">IF((ISBLANK(B148)*1+ISBLANK(C148)*1+ISBLANK(D148)*1+ISBLANK(E148)*1+ISBLANK(F148)*1+ISBLANK(I148)*1+ISBLANK(J148)*1+ISBLANK(K148)*1+ISBLANK(L148)*1+ISBLANK(M148)*1+ISBLANK(N148)*1+ISBLANK(O148)*1)&gt;0,"Missing Data","OK")</f>
        <v>OK</v>
      </c>
      <c r="V148" s="0" t="str">
        <f aca="false">IF(T148&gt;=6,"High Risk",IF(T148&gt;=3,"Medium Risk","Low Risk"))</f>
        <v>Medium Risk</v>
      </c>
    </row>
    <row r="149" customFormat="false" ht="12.8" hidden="false" customHeight="false" outlineLevel="0" collapsed="false">
      <c r="A149" s="1" t="s">
        <v>179</v>
      </c>
      <c r="B149" s="1" t="s">
        <v>36</v>
      </c>
      <c r="C149" s="1" t="s">
        <v>24</v>
      </c>
      <c r="D149" s="1" t="n">
        <v>9.91</v>
      </c>
      <c r="E149" s="1" t="n">
        <v>7</v>
      </c>
      <c r="F149" s="4" t="n">
        <v>44027</v>
      </c>
      <c r="G149" s="1" t="s">
        <v>30</v>
      </c>
      <c r="H149" s="1" t="n">
        <v>0</v>
      </c>
      <c r="I149" s="1" t="n">
        <v>49.4</v>
      </c>
      <c r="J149" s="1" t="n">
        <v>13</v>
      </c>
      <c r="K149" s="1" t="n">
        <v>4</v>
      </c>
      <c r="L149" s="1" t="n">
        <v>0</v>
      </c>
      <c r="M149" s="1" t="n">
        <v>0</v>
      </c>
      <c r="N149" s="1" t="n">
        <v>69.37</v>
      </c>
      <c r="O149" s="1" t="n">
        <v>1</v>
      </c>
      <c r="P149" s="4" t="n">
        <v>44240</v>
      </c>
      <c r="Q149" s="4" t="n">
        <v>44240</v>
      </c>
      <c r="R149" s="0" t="n">
        <f aca="false">IF(ISBLANK(F149),"Missing",IFERROR(YEAR(F149),"Missing"))</f>
        <v>2020</v>
      </c>
      <c r="S149" s="0" t="str">
        <f aca="false">IF(ISBLANK(E149),"Missing",IF(E149&lt;6,"0-6mo",IF(E149&lt;12,"6-12mo",IF(E149&lt;24,"12-24mo","24mo+"))))</f>
        <v>6-12mo</v>
      </c>
      <c r="T149" s="0" t="n">
        <f aca="false">IF(ISBLANK(C149),0,IF(C149="Month-to-month",2,IF(C149="One year",1,0)))+IF(ISBLANK(I149),0,IF(I149&lt;40,2,IF(I149&lt;55,1,0)))+IF(ISBLANK(M149),0,IF(M149=1,3,0))+IF(ISBLANK(L149),0,IF(L149&gt;=2,1,0))+IF(ISBLANK(E149),0,IF(E149&lt;12,1,0))</f>
        <v>4</v>
      </c>
      <c r="U149" s="0" t="str">
        <f aca="false">IF((ISBLANK(B149)*1+ISBLANK(C149)*1+ISBLANK(D149)*1+ISBLANK(E149)*1+ISBLANK(F149)*1+ISBLANK(I149)*1+ISBLANK(J149)*1+ISBLANK(K149)*1+ISBLANK(L149)*1+ISBLANK(M149)*1+ISBLANK(N149)*1+ISBLANK(O149)*1)&gt;0,"Missing Data","OK")</f>
        <v>OK</v>
      </c>
      <c r="V149" s="0" t="str">
        <f aca="false">IF(T149&gt;=6,"High Risk",IF(T149&gt;=3,"Medium Risk","Low Risk"))</f>
        <v>Medium Risk</v>
      </c>
    </row>
    <row r="150" customFormat="false" ht="12.8" hidden="false" customHeight="false" outlineLevel="0" collapsed="false">
      <c r="A150" s="1" t="s">
        <v>180</v>
      </c>
      <c r="B150" s="1" t="s">
        <v>36</v>
      </c>
      <c r="C150" s="1" t="s">
        <v>34</v>
      </c>
      <c r="D150" s="1" t="n">
        <v>8.66</v>
      </c>
      <c r="E150" s="1" t="n">
        <v>18</v>
      </c>
      <c r="F150" s="4" t="n">
        <v>44030</v>
      </c>
      <c r="G150" s="1" t="s">
        <v>25</v>
      </c>
      <c r="H150" s="1" t="n">
        <v>1</v>
      </c>
      <c r="I150" s="1" t="n">
        <v>26.7</v>
      </c>
      <c r="J150" s="1" t="n">
        <v>13</v>
      </c>
      <c r="K150" s="1" t="n">
        <v>3</v>
      </c>
      <c r="L150" s="1" t="n">
        <v>3</v>
      </c>
      <c r="M150" s="1" t="n">
        <v>0</v>
      </c>
      <c r="N150" s="1" t="n">
        <v>155.88</v>
      </c>
      <c r="O150" s="1" t="n">
        <v>0</v>
      </c>
      <c r="Q150" s="4" t="n">
        <v>44577</v>
      </c>
      <c r="R150" s="0" t="n">
        <f aca="false">IF(ISBLANK(F150),"Missing",IFERROR(YEAR(F150),"Missing"))</f>
        <v>2020</v>
      </c>
      <c r="S150" s="0" t="str">
        <f aca="false">IF(ISBLANK(E150),"Missing",IF(E150&lt;6,"0-6mo",IF(E150&lt;12,"6-12mo",IF(E150&lt;24,"12-24mo","24mo+"))))</f>
        <v>12-24mo</v>
      </c>
      <c r="T150" s="0" t="n">
        <f aca="false">IF(ISBLANK(C150),0,IF(C150="Month-to-month",2,IF(C150="One year",1,0)))+IF(ISBLANK(I150),0,IF(I150&lt;40,2,IF(I150&lt;55,1,0)))+IF(ISBLANK(M150),0,IF(M150=1,3,0))+IF(ISBLANK(L150),0,IF(L150&gt;=2,1,0))+IF(ISBLANK(E150),0,IF(E150&lt;12,1,0))</f>
        <v>4</v>
      </c>
      <c r="U150" s="0" t="str">
        <f aca="false">IF((ISBLANK(B150)*1+ISBLANK(C150)*1+ISBLANK(D150)*1+ISBLANK(E150)*1+ISBLANK(F150)*1+ISBLANK(I150)*1+ISBLANK(J150)*1+ISBLANK(K150)*1+ISBLANK(L150)*1+ISBLANK(M150)*1+ISBLANK(N150)*1+ISBLANK(O150)*1)&gt;0,"Missing Data","OK")</f>
        <v>OK</v>
      </c>
      <c r="V150" s="0" t="str">
        <f aca="false">IF(T150&gt;=6,"High Risk",IF(T150&gt;=3,"Medium Risk","Low Risk"))</f>
        <v>Medium Risk</v>
      </c>
    </row>
    <row r="151" customFormat="false" ht="12.8" hidden="false" customHeight="false" outlineLevel="0" collapsed="false">
      <c r="A151" s="1" t="s">
        <v>181</v>
      </c>
      <c r="B151" s="1" t="s">
        <v>29</v>
      </c>
      <c r="C151" s="1" t="s">
        <v>24</v>
      </c>
      <c r="D151" s="1" t="n">
        <v>38.41</v>
      </c>
      <c r="E151" s="1" t="n">
        <v>57</v>
      </c>
      <c r="F151" s="4" t="n">
        <v>44031</v>
      </c>
      <c r="G151" s="1" t="s">
        <v>30</v>
      </c>
      <c r="H151" s="1" t="n">
        <v>0</v>
      </c>
      <c r="I151" s="1" t="n">
        <v>63.7</v>
      </c>
      <c r="J151" s="1" t="n">
        <v>20</v>
      </c>
      <c r="K151" s="1" t="n">
        <v>6</v>
      </c>
      <c r="L151" s="1" t="n">
        <v>4</v>
      </c>
      <c r="M151" s="1" t="n">
        <v>1</v>
      </c>
      <c r="N151" s="1" t="n">
        <v>2189.37</v>
      </c>
      <c r="O151" s="1" t="n">
        <v>1</v>
      </c>
      <c r="P151" s="4" t="n">
        <v>45766</v>
      </c>
      <c r="Q151" s="4" t="n">
        <v>45766</v>
      </c>
      <c r="R151" s="0" t="n">
        <f aca="false">IF(ISBLANK(F151),"Missing",IFERROR(YEAR(F151),"Missing"))</f>
        <v>2020</v>
      </c>
      <c r="S151" s="0" t="str">
        <f aca="false">IF(ISBLANK(E151),"Missing",IF(E151&lt;6,"0-6mo",IF(E151&lt;12,"6-12mo",IF(E151&lt;24,"12-24mo","24mo+"))))</f>
        <v>24mo+</v>
      </c>
      <c r="T151" s="0" t="n">
        <f aca="false">IF(ISBLANK(C151),0,IF(C151="Month-to-month",2,IF(C151="One year",1,0)))+IF(ISBLANK(I151),0,IF(I151&lt;40,2,IF(I151&lt;55,1,0)))+IF(ISBLANK(M151),0,IF(M151=1,3,0))+IF(ISBLANK(L151),0,IF(L151&gt;=2,1,0))+IF(ISBLANK(E151),0,IF(E151&lt;12,1,0))</f>
        <v>6</v>
      </c>
      <c r="U151" s="0" t="str">
        <f aca="false">IF((ISBLANK(B151)*1+ISBLANK(C151)*1+ISBLANK(D151)*1+ISBLANK(E151)*1+ISBLANK(F151)*1+ISBLANK(I151)*1+ISBLANK(J151)*1+ISBLANK(K151)*1+ISBLANK(L151)*1+ISBLANK(M151)*1+ISBLANK(N151)*1+ISBLANK(O151)*1)&gt;0,"Missing Data","OK")</f>
        <v>OK</v>
      </c>
      <c r="V151" s="0" t="str">
        <f aca="false">IF(T151&gt;=6,"High Risk",IF(T151&gt;=3,"Medium Risk","Low Risk"))</f>
        <v>High Risk</v>
      </c>
    </row>
    <row r="152" customFormat="false" ht="12.8" hidden="false" customHeight="false" outlineLevel="0" collapsed="false">
      <c r="A152" s="1" t="s">
        <v>182</v>
      </c>
      <c r="B152" s="1" t="s">
        <v>36</v>
      </c>
      <c r="C152" s="1" t="s">
        <v>24</v>
      </c>
      <c r="D152" s="1" t="n">
        <v>8.1</v>
      </c>
      <c r="E152" s="1" t="n">
        <v>4</v>
      </c>
      <c r="F152" s="4" t="n">
        <v>44031</v>
      </c>
      <c r="G152" s="1" t="s">
        <v>39</v>
      </c>
      <c r="H152" s="1" t="n">
        <v>1</v>
      </c>
      <c r="I152" s="1" t="n">
        <v>71</v>
      </c>
      <c r="J152" s="1" t="n">
        <v>22</v>
      </c>
      <c r="K152" s="1" t="n">
        <v>6</v>
      </c>
      <c r="L152" s="1" t="n">
        <v>1</v>
      </c>
      <c r="M152" s="1" t="n">
        <v>0</v>
      </c>
      <c r="N152" s="1" t="n">
        <v>32.4</v>
      </c>
      <c r="O152" s="1" t="n">
        <v>0</v>
      </c>
      <c r="Q152" s="4" t="n">
        <v>44152</v>
      </c>
      <c r="R152" s="0" t="n">
        <f aca="false">IF(ISBLANK(F152),"Missing",IFERROR(YEAR(F152),"Missing"))</f>
        <v>2020</v>
      </c>
      <c r="S152" s="0" t="str">
        <f aca="false">IF(ISBLANK(E152),"Missing",IF(E152&lt;6,"0-6mo",IF(E152&lt;12,"6-12mo",IF(E152&lt;24,"12-24mo","24mo+"))))</f>
        <v>0-6mo</v>
      </c>
      <c r="T152" s="0" t="n">
        <f aca="false">IF(ISBLANK(C152),0,IF(C152="Month-to-month",2,IF(C152="One year",1,0)))+IF(ISBLANK(I152),0,IF(I152&lt;40,2,IF(I152&lt;55,1,0)))+IF(ISBLANK(M152),0,IF(M152=1,3,0))+IF(ISBLANK(L152),0,IF(L152&gt;=2,1,0))+IF(ISBLANK(E152),0,IF(E152&lt;12,1,0))</f>
        <v>3</v>
      </c>
      <c r="U152" s="0" t="str">
        <f aca="false">IF((ISBLANK(B152)*1+ISBLANK(C152)*1+ISBLANK(D152)*1+ISBLANK(E152)*1+ISBLANK(F152)*1+ISBLANK(I152)*1+ISBLANK(J152)*1+ISBLANK(K152)*1+ISBLANK(L152)*1+ISBLANK(M152)*1+ISBLANK(N152)*1+ISBLANK(O152)*1)&gt;0,"Missing Data","OK")</f>
        <v>OK</v>
      </c>
      <c r="V152" s="0" t="str">
        <f aca="false">IF(T152&gt;=6,"High Risk",IF(T152&gt;=3,"Medium Risk","Low Risk"))</f>
        <v>Medium Risk</v>
      </c>
    </row>
    <row r="153" customFormat="false" ht="12.8" hidden="false" customHeight="false" outlineLevel="0" collapsed="false">
      <c r="A153" s="1" t="s">
        <v>183</v>
      </c>
      <c r="B153" s="1" t="s">
        <v>36</v>
      </c>
      <c r="C153" s="1" t="s">
        <v>51</v>
      </c>
      <c r="D153" s="1" t="n">
        <v>8.69</v>
      </c>
      <c r="E153" s="1" t="n">
        <v>3</v>
      </c>
      <c r="F153" s="4" t="n">
        <v>44034</v>
      </c>
      <c r="G153" s="1" t="s">
        <v>30</v>
      </c>
      <c r="H153" s="1" t="n">
        <v>0</v>
      </c>
      <c r="I153" s="1" t="n">
        <v>48.3</v>
      </c>
      <c r="J153" s="1" t="n">
        <v>22</v>
      </c>
      <c r="K153" s="1" t="n">
        <v>5</v>
      </c>
      <c r="L153" s="1" t="n">
        <v>0</v>
      </c>
      <c r="M153" s="1" t="n">
        <v>0</v>
      </c>
      <c r="N153" s="1" t="n">
        <v>26.07</v>
      </c>
      <c r="O153" s="1" t="n">
        <v>1</v>
      </c>
      <c r="P153" s="4" t="n">
        <v>44125</v>
      </c>
      <c r="Q153" s="4" t="n">
        <v>44125</v>
      </c>
      <c r="R153" s="0" t="n">
        <f aca="false">IF(ISBLANK(F153),"Missing",IFERROR(YEAR(F153),"Missing"))</f>
        <v>2020</v>
      </c>
      <c r="S153" s="0" t="str">
        <f aca="false">IF(ISBLANK(E153),"Missing",IF(E153&lt;6,"0-6mo",IF(E153&lt;12,"6-12mo",IF(E153&lt;24,"12-24mo","24mo+"))))</f>
        <v>0-6mo</v>
      </c>
      <c r="T153" s="0" t="n">
        <f aca="false">IF(ISBLANK(C153),0,IF(C153="Month-to-month",2,IF(C153="One year",1,0)))+IF(ISBLANK(I153),0,IF(I153&lt;40,2,IF(I153&lt;55,1,0)))+IF(ISBLANK(M153),0,IF(M153=1,3,0))+IF(ISBLANK(L153),0,IF(L153&gt;=2,1,0))+IF(ISBLANK(E153),0,IF(E153&lt;12,1,0))</f>
        <v>2</v>
      </c>
      <c r="U153" s="0" t="str">
        <f aca="false">IF((ISBLANK(B153)*1+ISBLANK(C153)*1+ISBLANK(D153)*1+ISBLANK(E153)*1+ISBLANK(F153)*1+ISBLANK(I153)*1+ISBLANK(J153)*1+ISBLANK(K153)*1+ISBLANK(L153)*1+ISBLANK(M153)*1+ISBLANK(N153)*1+ISBLANK(O153)*1)&gt;0,"Missing Data","OK")</f>
        <v>OK</v>
      </c>
      <c r="V153" s="0" t="str">
        <f aca="false">IF(T153&gt;=6,"High Risk",IF(T153&gt;=3,"Medium Risk","Low Risk"))</f>
        <v>Low Risk</v>
      </c>
    </row>
    <row r="154" customFormat="false" ht="12.8" hidden="false" customHeight="false" outlineLevel="0" collapsed="false">
      <c r="A154" s="1" t="s">
        <v>184</v>
      </c>
      <c r="B154" s="1" t="s">
        <v>29</v>
      </c>
      <c r="C154" s="1" t="s">
        <v>51</v>
      </c>
      <c r="D154" s="1" t="n">
        <v>42.01</v>
      </c>
      <c r="E154" s="1" t="n">
        <v>14</v>
      </c>
      <c r="F154" s="4" t="n">
        <v>44036</v>
      </c>
      <c r="G154" s="1" t="s">
        <v>39</v>
      </c>
      <c r="H154" s="1" t="n">
        <v>1</v>
      </c>
      <c r="I154" s="1" t="n">
        <v>32.7</v>
      </c>
      <c r="J154" s="1" t="n">
        <v>12</v>
      </c>
      <c r="K154" s="1" t="n">
        <v>5</v>
      </c>
      <c r="L154" s="1" t="n">
        <v>1</v>
      </c>
      <c r="M154" s="1" t="n">
        <v>1</v>
      </c>
      <c r="N154" s="1" t="n">
        <v>588.14</v>
      </c>
      <c r="O154" s="1" t="n">
        <v>0</v>
      </c>
      <c r="Q154" s="4" t="n">
        <v>44462</v>
      </c>
      <c r="R154" s="0" t="n">
        <f aca="false">IF(ISBLANK(F154),"Missing",IFERROR(YEAR(F154),"Missing"))</f>
        <v>2020</v>
      </c>
      <c r="S154" s="0" t="str">
        <f aca="false">IF(ISBLANK(E154),"Missing",IF(E154&lt;6,"0-6mo",IF(E154&lt;12,"6-12mo",IF(E154&lt;24,"12-24mo","24mo+"))))</f>
        <v>12-24mo</v>
      </c>
      <c r="T154" s="0" t="n">
        <f aca="false">IF(ISBLANK(C154),0,IF(C154="Month-to-month",2,IF(C154="One year",1,0)))+IF(ISBLANK(I154),0,IF(I154&lt;40,2,IF(I154&lt;55,1,0)))+IF(ISBLANK(M154),0,IF(M154=1,3,0))+IF(ISBLANK(L154),0,IF(L154&gt;=2,1,0))+IF(ISBLANK(E154),0,IF(E154&lt;12,1,0))</f>
        <v>5</v>
      </c>
      <c r="U154" s="0" t="str">
        <f aca="false">IF((ISBLANK(B154)*1+ISBLANK(C154)*1+ISBLANK(D154)*1+ISBLANK(E154)*1+ISBLANK(F154)*1+ISBLANK(I154)*1+ISBLANK(J154)*1+ISBLANK(K154)*1+ISBLANK(L154)*1+ISBLANK(M154)*1+ISBLANK(N154)*1+ISBLANK(O154)*1)&gt;0,"Missing Data","OK")</f>
        <v>OK</v>
      </c>
      <c r="V154" s="0" t="str">
        <f aca="false">IF(T154&gt;=6,"High Risk",IF(T154&gt;=3,"Medium Risk","Low Risk"))</f>
        <v>Medium Risk</v>
      </c>
    </row>
    <row r="155" customFormat="false" ht="12.8" hidden="false" customHeight="false" outlineLevel="0" collapsed="false">
      <c r="A155" s="1" t="s">
        <v>185</v>
      </c>
      <c r="B155" s="1" t="s">
        <v>23</v>
      </c>
      <c r="C155" s="1" t="s">
        <v>24</v>
      </c>
      <c r="D155" s="1" t="n">
        <v>19.23</v>
      </c>
      <c r="E155" s="1" t="n">
        <v>32</v>
      </c>
      <c r="F155" s="4" t="n">
        <v>44037</v>
      </c>
      <c r="G155" s="1" t="s">
        <v>30</v>
      </c>
      <c r="H155" s="1" t="n">
        <v>0</v>
      </c>
      <c r="I155" s="1" t="n">
        <v>65.8</v>
      </c>
      <c r="J155" s="1" t="n">
        <v>22</v>
      </c>
      <c r="K155" s="1" t="n">
        <v>7</v>
      </c>
      <c r="L155" s="1" t="n">
        <v>2</v>
      </c>
      <c r="M155" s="1" t="n">
        <v>1</v>
      </c>
      <c r="N155" s="1" t="n">
        <v>615.36</v>
      </c>
      <c r="O155" s="1" t="n">
        <v>1</v>
      </c>
      <c r="P155" s="4" t="n">
        <v>45011</v>
      </c>
      <c r="Q155" s="4" t="n">
        <v>45011</v>
      </c>
      <c r="R155" s="0" t="n">
        <f aca="false">IF(ISBLANK(F155),"Missing",IFERROR(YEAR(F155),"Missing"))</f>
        <v>2020</v>
      </c>
      <c r="S155" s="0" t="str">
        <f aca="false">IF(ISBLANK(E155),"Missing",IF(E155&lt;6,"0-6mo",IF(E155&lt;12,"6-12mo",IF(E155&lt;24,"12-24mo","24mo+"))))</f>
        <v>24mo+</v>
      </c>
      <c r="T155" s="0" t="n">
        <f aca="false">IF(ISBLANK(C155),0,IF(C155="Month-to-month",2,IF(C155="One year",1,0)))+IF(ISBLANK(I155),0,IF(I155&lt;40,2,IF(I155&lt;55,1,0)))+IF(ISBLANK(M155),0,IF(M155=1,3,0))+IF(ISBLANK(L155),0,IF(L155&gt;=2,1,0))+IF(ISBLANK(E155),0,IF(E155&lt;12,1,0))</f>
        <v>6</v>
      </c>
      <c r="U155" s="0" t="str">
        <f aca="false">IF((ISBLANK(B155)*1+ISBLANK(C155)*1+ISBLANK(D155)*1+ISBLANK(E155)*1+ISBLANK(F155)*1+ISBLANK(I155)*1+ISBLANK(J155)*1+ISBLANK(K155)*1+ISBLANK(L155)*1+ISBLANK(M155)*1+ISBLANK(N155)*1+ISBLANK(O155)*1)&gt;0,"Missing Data","OK")</f>
        <v>OK</v>
      </c>
      <c r="V155" s="0" t="str">
        <f aca="false">IF(T155&gt;=6,"High Risk",IF(T155&gt;=3,"Medium Risk","Low Risk"))</f>
        <v>High Risk</v>
      </c>
    </row>
    <row r="156" customFormat="false" ht="12.8" hidden="false" customHeight="false" outlineLevel="0" collapsed="false">
      <c r="A156" s="1" t="s">
        <v>186</v>
      </c>
      <c r="B156" s="1" t="s">
        <v>36</v>
      </c>
      <c r="C156" s="1" t="s">
        <v>51</v>
      </c>
      <c r="D156" s="1" t="n">
        <v>7.29</v>
      </c>
      <c r="E156" s="1" t="n">
        <v>10</v>
      </c>
      <c r="F156" s="4" t="n">
        <v>44038</v>
      </c>
      <c r="G156" s="1" t="s">
        <v>39</v>
      </c>
      <c r="H156" s="1" t="n">
        <v>0</v>
      </c>
      <c r="I156" s="1" t="n">
        <v>53.2</v>
      </c>
      <c r="J156" s="1" t="n">
        <v>16</v>
      </c>
      <c r="K156" s="1" t="n">
        <v>7</v>
      </c>
      <c r="L156" s="1" t="n">
        <v>0</v>
      </c>
      <c r="M156" s="1" t="n">
        <v>0</v>
      </c>
      <c r="N156" s="1" t="n">
        <v>72.9</v>
      </c>
      <c r="O156" s="1" t="n">
        <v>0</v>
      </c>
      <c r="Q156" s="4" t="n">
        <v>44342</v>
      </c>
      <c r="R156" s="0" t="n">
        <f aca="false">IF(ISBLANK(F156),"Missing",IFERROR(YEAR(F156),"Missing"))</f>
        <v>2020</v>
      </c>
      <c r="S156" s="0" t="str">
        <f aca="false">IF(ISBLANK(E156),"Missing",IF(E156&lt;6,"0-6mo",IF(E156&lt;12,"6-12mo",IF(E156&lt;24,"12-24mo","24mo+"))))</f>
        <v>6-12mo</v>
      </c>
      <c r="T156" s="0" t="n">
        <f aca="false">IF(ISBLANK(C156),0,IF(C156="Month-to-month",2,IF(C156="One year",1,0)))+IF(ISBLANK(I156),0,IF(I156&lt;40,2,IF(I156&lt;55,1,0)))+IF(ISBLANK(M156),0,IF(M156=1,3,0))+IF(ISBLANK(L156),0,IF(L156&gt;=2,1,0))+IF(ISBLANK(E156),0,IF(E156&lt;12,1,0))</f>
        <v>2</v>
      </c>
      <c r="U156" s="0" t="str">
        <f aca="false">IF((ISBLANK(B156)*1+ISBLANK(C156)*1+ISBLANK(D156)*1+ISBLANK(E156)*1+ISBLANK(F156)*1+ISBLANK(I156)*1+ISBLANK(J156)*1+ISBLANK(K156)*1+ISBLANK(L156)*1+ISBLANK(M156)*1+ISBLANK(N156)*1+ISBLANK(O156)*1)&gt;0,"Missing Data","OK")</f>
        <v>OK</v>
      </c>
      <c r="V156" s="0" t="str">
        <f aca="false">IF(T156&gt;=6,"High Risk",IF(T156&gt;=3,"Medium Risk","Low Risk"))</f>
        <v>Low Risk</v>
      </c>
    </row>
    <row r="157" customFormat="false" ht="12.8" hidden="false" customHeight="false" outlineLevel="0" collapsed="false">
      <c r="A157" s="1" t="s">
        <v>187</v>
      </c>
      <c r="B157" s="1" t="s">
        <v>36</v>
      </c>
      <c r="C157" s="1" t="s">
        <v>34</v>
      </c>
      <c r="D157" s="1" t="n">
        <v>9.92</v>
      </c>
      <c r="E157" s="1" t="n">
        <v>22</v>
      </c>
      <c r="F157" s="4" t="n">
        <v>44038</v>
      </c>
      <c r="G157" s="1" t="s">
        <v>25</v>
      </c>
      <c r="H157" s="1" t="n">
        <v>1</v>
      </c>
      <c r="I157" s="1" t="n">
        <v>68</v>
      </c>
      <c r="J157" s="1" t="n">
        <v>22</v>
      </c>
      <c r="K157" s="1" t="n">
        <v>6</v>
      </c>
      <c r="L157" s="1" t="n">
        <v>1</v>
      </c>
      <c r="M157" s="1" t="n">
        <v>1</v>
      </c>
      <c r="N157" s="1" t="n">
        <v>218.24</v>
      </c>
      <c r="O157" s="1" t="n">
        <v>0</v>
      </c>
      <c r="Q157" s="4" t="n">
        <v>44707</v>
      </c>
      <c r="R157" s="0" t="n">
        <f aca="false">IF(ISBLANK(F157),"Missing",IFERROR(YEAR(F157),"Missing"))</f>
        <v>2020</v>
      </c>
      <c r="S157" s="0" t="str">
        <f aca="false">IF(ISBLANK(E157),"Missing",IF(E157&lt;6,"0-6mo",IF(E157&lt;12,"6-12mo",IF(E157&lt;24,"12-24mo","24mo+"))))</f>
        <v>12-24mo</v>
      </c>
      <c r="T157" s="0" t="n">
        <f aca="false">IF(ISBLANK(C157),0,IF(C157="Month-to-month",2,IF(C157="One year",1,0)))+IF(ISBLANK(I157),0,IF(I157&lt;40,2,IF(I157&lt;55,1,0)))+IF(ISBLANK(M157),0,IF(M157=1,3,0))+IF(ISBLANK(L157),0,IF(L157&gt;=2,1,0))+IF(ISBLANK(E157),0,IF(E157&lt;12,1,0))</f>
        <v>4</v>
      </c>
      <c r="U157" s="0" t="str">
        <f aca="false">IF((ISBLANK(B157)*1+ISBLANK(C157)*1+ISBLANK(D157)*1+ISBLANK(E157)*1+ISBLANK(F157)*1+ISBLANK(I157)*1+ISBLANK(J157)*1+ISBLANK(K157)*1+ISBLANK(L157)*1+ISBLANK(M157)*1+ISBLANK(N157)*1+ISBLANK(O157)*1)&gt;0,"Missing Data","OK")</f>
        <v>OK</v>
      </c>
      <c r="V157" s="0" t="str">
        <f aca="false">IF(T157&gt;=6,"High Risk",IF(T157&gt;=3,"Medium Risk","Low Risk"))</f>
        <v>Medium Risk</v>
      </c>
    </row>
    <row r="158" customFormat="false" ht="12.8" hidden="false" customHeight="false" outlineLevel="0" collapsed="false">
      <c r="A158" s="1" t="s">
        <v>188</v>
      </c>
      <c r="B158" s="1" t="s">
        <v>29</v>
      </c>
      <c r="C158" s="1" t="s">
        <v>51</v>
      </c>
      <c r="D158" s="1" t="n">
        <v>38.78</v>
      </c>
      <c r="E158" s="1" t="n">
        <v>11</v>
      </c>
      <c r="F158" s="4" t="n">
        <v>44041</v>
      </c>
      <c r="G158" s="1" t="s">
        <v>39</v>
      </c>
      <c r="H158" s="1" t="n">
        <v>1</v>
      </c>
      <c r="I158" s="1" t="n">
        <v>83.7</v>
      </c>
      <c r="J158" s="1" t="n">
        <v>31</v>
      </c>
      <c r="K158" s="1" t="n">
        <v>7</v>
      </c>
      <c r="L158" s="1" t="n">
        <v>5</v>
      </c>
      <c r="M158" s="1" t="n">
        <v>1</v>
      </c>
      <c r="N158" s="1" t="n">
        <v>426.58</v>
      </c>
      <c r="O158" s="1" t="n">
        <v>0</v>
      </c>
      <c r="Q158" s="4" t="n">
        <v>44375</v>
      </c>
      <c r="R158" s="0" t="n">
        <f aca="false">IF(ISBLANK(F158),"Missing",IFERROR(YEAR(F158),"Missing"))</f>
        <v>2020</v>
      </c>
      <c r="S158" s="0" t="str">
        <f aca="false">IF(ISBLANK(E158),"Missing",IF(E158&lt;6,"0-6mo",IF(E158&lt;12,"6-12mo",IF(E158&lt;24,"12-24mo","24mo+"))))</f>
        <v>6-12mo</v>
      </c>
      <c r="T158" s="0" t="n">
        <f aca="false">IF(ISBLANK(C158),0,IF(C158="Month-to-month",2,IF(C158="One year",1,0)))+IF(ISBLANK(I158),0,IF(I158&lt;40,2,IF(I158&lt;55,1,0)))+IF(ISBLANK(M158),0,IF(M158=1,3,0))+IF(ISBLANK(L158),0,IF(L158&gt;=2,1,0))+IF(ISBLANK(E158),0,IF(E158&lt;12,1,0))</f>
        <v>5</v>
      </c>
      <c r="U158" s="0" t="str">
        <f aca="false">IF((ISBLANK(B158)*1+ISBLANK(C158)*1+ISBLANK(D158)*1+ISBLANK(E158)*1+ISBLANK(F158)*1+ISBLANK(I158)*1+ISBLANK(J158)*1+ISBLANK(K158)*1+ISBLANK(L158)*1+ISBLANK(M158)*1+ISBLANK(N158)*1+ISBLANK(O158)*1)&gt;0,"Missing Data","OK")</f>
        <v>OK</v>
      </c>
      <c r="V158" s="0" t="str">
        <f aca="false">IF(T158&gt;=6,"High Risk",IF(T158&gt;=3,"Medium Risk","Low Risk"))</f>
        <v>Medium Risk</v>
      </c>
    </row>
    <row r="159" customFormat="false" ht="12.8" hidden="false" customHeight="false" outlineLevel="0" collapsed="false">
      <c r="A159" s="1" t="s">
        <v>189</v>
      </c>
      <c r="B159" s="1" t="s">
        <v>23</v>
      </c>
      <c r="C159" s="1" t="s">
        <v>34</v>
      </c>
      <c r="D159" s="1" t="n">
        <v>20.69</v>
      </c>
      <c r="E159" s="1" t="n">
        <v>8</v>
      </c>
      <c r="F159" s="4" t="n">
        <v>44043</v>
      </c>
      <c r="G159" s="1" t="s">
        <v>30</v>
      </c>
      <c r="H159" s="1" t="n">
        <v>1</v>
      </c>
      <c r="I159" s="1" t="n">
        <v>23.4</v>
      </c>
      <c r="J159" s="1" t="n">
        <v>5</v>
      </c>
      <c r="K159" s="1" t="n">
        <v>3</v>
      </c>
      <c r="L159" s="1" t="n">
        <v>3</v>
      </c>
      <c r="M159" s="1" t="n">
        <v>0</v>
      </c>
      <c r="N159" s="1" t="n">
        <v>165.52</v>
      </c>
      <c r="O159" s="1" t="n">
        <v>0</v>
      </c>
      <c r="Q159" s="4" t="n">
        <v>44286</v>
      </c>
      <c r="R159" s="0" t="n">
        <f aca="false">IF(ISBLANK(F159),"Missing",IFERROR(YEAR(F159),"Missing"))</f>
        <v>2020</v>
      </c>
      <c r="S159" s="0" t="str">
        <f aca="false">IF(ISBLANK(E159),"Missing",IF(E159&lt;6,"0-6mo",IF(E159&lt;12,"6-12mo",IF(E159&lt;24,"12-24mo","24mo+"))))</f>
        <v>6-12mo</v>
      </c>
      <c r="T159" s="0" t="n">
        <f aca="false">IF(ISBLANK(C159),0,IF(C159="Month-to-month",2,IF(C159="One year",1,0)))+IF(ISBLANK(I159),0,IF(I159&lt;40,2,IF(I159&lt;55,1,0)))+IF(ISBLANK(M159),0,IF(M159=1,3,0))+IF(ISBLANK(L159),0,IF(L159&gt;=2,1,0))+IF(ISBLANK(E159),0,IF(E159&lt;12,1,0))</f>
        <v>5</v>
      </c>
      <c r="U159" s="0" t="str">
        <f aca="false">IF((ISBLANK(B159)*1+ISBLANK(C159)*1+ISBLANK(D159)*1+ISBLANK(E159)*1+ISBLANK(F159)*1+ISBLANK(I159)*1+ISBLANK(J159)*1+ISBLANK(K159)*1+ISBLANK(L159)*1+ISBLANK(M159)*1+ISBLANK(N159)*1+ISBLANK(O159)*1)&gt;0,"Missing Data","OK")</f>
        <v>OK</v>
      </c>
      <c r="V159" s="0" t="str">
        <f aca="false">IF(T159&gt;=6,"High Risk",IF(T159&gt;=3,"Medium Risk","Low Risk"))</f>
        <v>Medium Risk</v>
      </c>
    </row>
    <row r="160" customFormat="false" ht="12.8" hidden="false" customHeight="false" outlineLevel="0" collapsed="false">
      <c r="A160" s="1" t="s">
        <v>190</v>
      </c>
      <c r="B160" s="1" t="s">
        <v>29</v>
      </c>
      <c r="C160" s="1" t="s">
        <v>24</v>
      </c>
      <c r="D160" s="1" t="n">
        <v>39.52</v>
      </c>
      <c r="E160" s="1" t="n">
        <v>2</v>
      </c>
      <c r="F160" s="4" t="n">
        <v>44043</v>
      </c>
      <c r="G160" s="1" t="s">
        <v>25</v>
      </c>
      <c r="H160" s="1" t="n">
        <v>0</v>
      </c>
      <c r="I160" s="1" t="n">
        <v>69.4</v>
      </c>
      <c r="J160" s="1" t="n">
        <v>18</v>
      </c>
      <c r="K160" s="1" t="n">
        <v>7</v>
      </c>
      <c r="L160" s="1" t="n">
        <v>1</v>
      </c>
      <c r="M160" s="1" t="n">
        <v>1</v>
      </c>
      <c r="N160" s="1" t="n">
        <v>79.04</v>
      </c>
      <c r="O160" s="1" t="n">
        <v>0</v>
      </c>
      <c r="Q160" s="4" t="n">
        <v>44103</v>
      </c>
      <c r="R160" s="0" t="n">
        <f aca="false">IF(ISBLANK(F160),"Missing",IFERROR(YEAR(F160),"Missing"))</f>
        <v>2020</v>
      </c>
      <c r="S160" s="0" t="str">
        <f aca="false">IF(ISBLANK(E160),"Missing",IF(E160&lt;6,"0-6mo",IF(E160&lt;12,"6-12mo",IF(E160&lt;24,"12-24mo","24mo+"))))</f>
        <v>0-6mo</v>
      </c>
      <c r="T160" s="0" t="n">
        <f aca="false">IF(ISBLANK(C160),0,IF(C160="Month-to-month",2,IF(C160="One year",1,0)))+IF(ISBLANK(I160),0,IF(I160&lt;40,2,IF(I160&lt;55,1,0)))+IF(ISBLANK(M160),0,IF(M160=1,3,0))+IF(ISBLANK(L160),0,IF(L160&gt;=2,1,0))+IF(ISBLANK(E160),0,IF(E160&lt;12,1,0))</f>
        <v>6</v>
      </c>
      <c r="U160" s="0" t="str">
        <f aca="false">IF((ISBLANK(B160)*1+ISBLANK(C160)*1+ISBLANK(D160)*1+ISBLANK(E160)*1+ISBLANK(F160)*1+ISBLANK(I160)*1+ISBLANK(J160)*1+ISBLANK(K160)*1+ISBLANK(L160)*1+ISBLANK(M160)*1+ISBLANK(N160)*1+ISBLANK(O160)*1)&gt;0,"Missing Data","OK")</f>
        <v>OK</v>
      </c>
      <c r="V160" s="0" t="str">
        <f aca="false">IF(T160&gt;=6,"High Risk",IF(T160&gt;=3,"Medium Risk","Low Risk"))</f>
        <v>High Risk</v>
      </c>
    </row>
    <row r="161" customFormat="false" ht="12.8" hidden="false" customHeight="false" outlineLevel="0" collapsed="false">
      <c r="A161" s="1" t="s">
        <v>191</v>
      </c>
      <c r="B161" s="1" t="s">
        <v>29</v>
      </c>
      <c r="C161" s="1" t="s">
        <v>24</v>
      </c>
      <c r="D161" s="1" t="n">
        <v>40.87</v>
      </c>
      <c r="E161" s="1" t="n">
        <v>8</v>
      </c>
      <c r="F161" s="4" t="n">
        <v>44044</v>
      </c>
      <c r="G161" s="1" t="s">
        <v>25</v>
      </c>
      <c r="H161" s="1" t="n">
        <v>1</v>
      </c>
      <c r="I161" s="1" t="n">
        <v>63.4</v>
      </c>
      <c r="J161" s="1" t="n">
        <v>12</v>
      </c>
      <c r="K161" s="1" t="n">
        <v>6</v>
      </c>
      <c r="L161" s="1" t="n">
        <v>3</v>
      </c>
      <c r="M161" s="1" t="n">
        <v>1</v>
      </c>
      <c r="N161" s="1" t="n">
        <v>326.96</v>
      </c>
      <c r="O161" s="1" t="n">
        <v>0</v>
      </c>
      <c r="Q161" s="4" t="n">
        <v>44287</v>
      </c>
      <c r="R161" s="0" t="n">
        <f aca="false">IF(ISBLANK(F161),"Missing",IFERROR(YEAR(F161),"Missing"))</f>
        <v>2020</v>
      </c>
      <c r="S161" s="0" t="str">
        <f aca="false">IF(ISBLANK(E161),"Missing",IF(E161&lt;6,"0-6mo",IF(E161&lt;12,"6-12mo",IF(E161&lt;24,"12-24mo","24mo+"))))</f>
        <v>6-12mo</v>
      </c>
      <c r="T161" s="0" t="n">
        <f aca="false">IF(ISBLANK(C161),0,IF(C161="Month-to-month",2,IF(C161="One year",1,0)))+IF(ISBLANK(I161),0,IF(I161&lt;40,2,IF(I161&lt;55,1,0)))+IF(ISBLANK(M161),0,IF(M161=1,3,0))+IF(ISBLANK(L161),0,IF(L161&gt;=2,1,0))+IF(ISBLANK(E161),0,IF(E161&lt;12,1,0))</f>
        <v>7</v>
      </c>
      <c r="U161" s="0" t="str">
        <f aca="false">IF((ISBLANK(B161)*1+ISBLANK(C161)*1+ISBLANK(D161)*1+ISBLANK(E161)*1+ISBLANK(F161)*1+ISBLANK(I161)*1+ISBLANK(J161)*1+ISBLANK(K161)*1+ISBLANK(L161)*1+ISBLANK(M161)*1+ISBLANK(N161)*1+ISBLANK(O161)*1)&gt;0,"Missing Data","OK")</f>
        <v>OK</v>
      </c>
      <c r="V161" s="0" t="str">
        <f aca="false">IF(T161&gt;=6,"High Risk",IF(T161&gt;=3,"Medium Risk","Low Risk"))</f>
        <v>High Risk</v>
      </c>
    </row>
    <row r="162" customFormat="false" ht="12.8" hidden="false" customHeight="false" outlineLevel="0" collapsed="false">
      <c r="A162" s="1" t="s">
        <v>192</v>
      </c>
      <c r="B162" s="1" t="s">
        <v>36</v>
      </c>
      <c r="C162" s="1" t="s">
        <v>24</v>
      </c>
      <c r="D162" s="1" t="n">
        <v>11.97</v>
      </c>
      <c r="E162" s="1" t="n">
        <v>25</v>
      </c>
      <c r="F162" s="4" t="n">
        <v>44044</v>
      </c>
      <c r="G162" s="1" t="s">
        <v>39</v>
      </c>
      <c r="H162" s="1" t="n">
        <v>0</v>
      </c>
      <c r="I162" s="1" t="n">
        <v>94.3</v>
      </c>
      <c r="J162" s="1" t="n">
        <v>33</v>
      </c>
      <c r="K162" s="1" t="n">
        <v>10</v>
      </c>
      <c r="L162" s="1" t="n">
        <v>1</v>
      </c>
      <c r="M162" s="1" t="n">
        <v>0</v>
      </c>
      <c r="N162" s="1" t="n">
        <v>299.25</v>
      </c>
      <c r="O162" s="1" t="n">
        <v>0</v>
      </c>
      <c r="Q162" s="4" t="n">
        <v>44805</v>
      </c>
      <c r="R162" s="0" t="n">
        <f aca="false">IF(ISBLANK(F162),"Missing",IFERROR(YEAR(F162),"Missing"))</f>
        <v>2020</v>
      </c>
      <c r="S162" s="0" t="str">
        <f aca="false">IF(ISBLANK(E162),"Missing",IF(E162&lt;6,"0-6mo",IF(E162&lt;12,"6-12mo",IF(E162&lt;24,"12-24mo","24mo+"))))</f>
        <v>24mo+</v>
      </c>
      <c r="T162" s="0" t="n">
        <f aca="false">IF(ISBLANK(C162),0,IF(C162="Month-to-month",2,IF(C162="One year",1,0)))+IF(ISBLANK(I162),0,IF(I162&lt;40,2,IF(I162&lt;55,1,0)))+IF(ISBLANK(M162),0,IF(M162=1,3,0))+IF(ISBLANK(L162),0,IF(L162&gt;=2,1,0))+IF(ISBLANK(E162),0,IF(E162&lt;12,1,0))</f>
        <v>2</v>
      </c>
      <c r="U162" s="0" t="str">
        <f aca="false">IF((ISBLANK(B162)*1+ISBLANK(C162)*1+ISBLANK(D162)*1+ISBLANK(E162)*1+ISBLANK(F162)*1+ISBLANK(I162)*1+ISBLANK(J162)*1+ISBLANK(K162)*1+ISBLANK(L162)*1+ISBLANK(M162)*1+ISBLANK(N162)*1+ISBLANK(O162)*1)&gt;0,"Missing Data","OK")</f>
        <v>OK</v>
      </c>
      <c r="V162" s="0" t="str">
        <f aca="false">IF(T162&gt;=6,"High Risk",IF(T162&gt;=3,"Medium Risk","Low Risk"))</f>
        <v>Low Risk</v>
      </c>
    </row>
    <row r="163" customFormat="false" ht="12.8" hidden="false" customHeight="false" outlineLevel="0" collapsed="false">
      <c r="A163" s="1" t="s">
        <v>193</v>
      </c>
      <c r="B163" s="1" t="s">
        <v>36</v>
      </c>
      <c r="C163" s="1" t="s">
        <v>34</v>
      </c>
      <c r="D163" s="1" t="n">
        <v>10.29</v>
      </c>
      <c r="E163" s="1" t="n">
        <v>11</v>
      </c>
      <c r="F163" s="4" t="n">
        <v>44044</v>
      </c>
      <c r="G163" s="1" t="s">
        <v>27</v>
      </c>
      <c r="H163" s="1" t="n">
        <v>1</v>
      </c>
      <c r="I163" s="1" t="n">
        <v>29.6</v>
      </c>
      <c r="J163" s="1" t="n">
        <v>10</v>
      </c>
      <c r="K163" s="1" t="n">
        <v>4</v>
      </c>
      <c r="L163" s="1" t="n">
        <v>3</v>
      </c>
      <c r="M163" s="1" t="n">
        <v>1</v>
      </c>
      <c r="N163" s="1" t="n">
        <v>113.19</v>
      </c>
      <c r="O163" s="1" t="n">
        <v>1</v>
      </c>
      <c r="P163" s="4" t="n">
        <v>44378</v>
      </c>
      <c r="Q163" s="4" t="n">
        <v>44378</v>
      </c>
      <c r="R163" s="0" t="n">
        <f aca="false">IF(ISBLANK(F163),"Missing",IFERROR(YEAR(F163),"Missing"))</f>
        <v>2020</v>
      </c>
      <c r="S163" s="0" t="str">
        <f aca="false">IF(ISBLANK(E163),"Missing",IF(E163&lt;6,"0-6mo",IF(E163&lt;12,"6-12mo",IF(E163&lt;24,"12-24mo","24mo+"))))</f>
        <v>6-12mo</v>
      </c>
      <c r="T163" s="0" t="n">
        <f aca="false">IF(ISBLANK(C163),0,IF(C163="Month-to-month",2,IF(C163="One year",1,0)))+IF(ISBLANK(I163),0,IF(I163&lt;40,2,IF(I163&lt;55,1,0)))+IF(ISBLANK(M163),0,IF(M163=1,3,0))+IF(ISBLANK(L163),0,IF(L163&gt;=2,1,0))+IF(ISBLANK(E163),0,IF(E163&lt;12,1,0))</f>
        <v>8</v>
      </c>
      <c r="U163" s="0" t="str">
        <f aca="false">IF((ISBLANK(B163)*1+ISBLANK(C163)*1+ISBLANK(D163)*1+ISBLANK(E163)*1+ISBLANK(F163)*1+ISBLANK(I163)*1+ISBLANK(J163)*1+ISBLANK(K163)*1+ISBLANK(L163)*1+ISBLANK(M163)*1+ISBLANK(N163)*1+ISBLANK(O163)*1)&gt;0,"Missing Data","OK")</f>
        <v>OK</v>
      </c>
      <c r="V163" s="0" t="str">
        <f aca="false">IF(T163&gt;=6,"High Risk",IF(T163&gt;=3,"Medium Risk","Low Risk"))</f>
        <v>High Risk</v>
      </c>
    </row>
    <row r="164" customFormat="false" ht="12.8" hidden="false" customHeight="false" outlineLevel="0" collapsed="false">
      <c r="A164" s="1" t="s">
        <v>194</v>
      </c>
      <c r="B164" s="1" t="s">
        <v>36</v>
      </c>
      <c r="C164" s="1" t="s">
        <v>24</v>
      </c>
      <c r="D164" s="1" t="n">
        <v>9.69</v>
      </c>
      <c r="E164" s="1" t="n">
        <v>40</v>
      </c>
      <c r="F164" s="4" t="n">
        <v>44046</v>
      </c>
      <c r="G164" s="1" t="s">
        <v>30</v>
      </c>
      <c r="H164" s="1" t="n">
        <v>1</v>
      </c>
      <c r="I164" s="1" t="n">
        <v>38.8</v>
      </c>
      <c r="J164" s="1" t="n">
        <v>16</v>
      </c>
      <c r="K164" s="1" t="n">
        <v>6</v>
      </c>
      <c r="L164" s="1" t="n">
        <v>0</v>
      </c>
      <c r="M164" s="1" t="n">
        <v>0</v>
      </c>
      <c r="N164" s="1" t="n">
        <v>387.6</v>
      </c>
      <c r="O164" s="1" t="n">
        <v>0</v>
      </c>
      <c r="Q164" s="4" t="n">
        <v>45263</v>
      </c>
      <c r="R164" s="0" t="n">
        <f aca="false">IF(ISBLANK(F164),"Missing",IFERROR(YEAR(F164),"Missing"))</f>
        <v>2020</v>
      </c>
      <c r="S164" s="0" t="str">
        <f aca="false">IF(ISBLANK(E164),"Missing",IF(E164&lt;6,"0-6mo",IF(E164&lt;12,"6-12mo",IF(E164&lt;24,"12-24mo","24mo+"))))</f>
        <v>24mo+</v>
      </c>
      <c r="T164" s="0" t="n">
        <f aca="false">IF(ISBLANK(C164),0,IF(C164="Month-to-month",2,IF(C164="One year",1,0)))+IF(ISBLANK(I164),0,IF(I164&lt;40,2,IF(I164&lt;55,1,0)))+IF(ISBLANK(M164),0,IF(M164=1,3,0))+IF(ISBLANK(L164),0,IF(L164&gt;=2,1,0))+IF(ISBLANK(E164),0,IF(E164&lt;12,1,0))</f>
        <v>4</v>
      </c>
      <c r="U164" s="0" t="str">
        <f aca="false">IF((ISBLANK(B164)*1+ISBLANK(C164)*1+ISBLANK(D164)*1+ISBLANK(E164)*1+ISBLANK(F164)*1+ISBLANK(I164)*1+ISBLANK(J164)*1+ISBLANK(K164)*1+ISBLANK(L164)*1+ISBLANK(M164)*1+ISBLANK(N164)*1+ISBLANK(O164)*1)&gt;0,"Missing Data","OK")</f>
        <v>OK</v>
      </c>
      <c r="V164" s="0" t="str">
        <f aca="false">IF(T164&gt;=6,"High Risk",IF(T164&gt;=3,"Medium Risk","Low Risk"))</f>
        <v>Medium Risk</v>
      </c>
    </row>
    <row r="165" customFormat="false" ht="12.8" hidden="false" customHeight="false" outlineLevel="0" collapsed="false">
      <c r="A165" s="1" t="s">
        <v>195</v>
      </c>
      <c r="B165" s="1" t="s">
        <v>36</v>
      </c>
      <c r="C165" s="1" t="s">
        <v>24</v>
      </c>
      <c r="D165" s="1" t="n">
        <v>10.54</v>
      </c>
      <c r="E165" s="1" t="n">
        <v>0</v>
      </c>
      <c r="F165" s="4" t="n">
        <v>44048</v>
      </c>
      <c r="G165" s="1" t="s">
        <v>25</v>
      </c>
      <c r="H165" s="1" t="n">
        <v>1</v>
      </c>
      <c r="I165" s="1" t="n">
        <v>36.8</v>
      </c>
      <c r="J165" s="1" t="n">
        <v>6</v>
      </c>
      <c r="K165" s="1" t="n">
        <v>3</v>
      </c>
      <c r="L165" s="1" t="n">
        <v>1</v>
      </c>
      <c r="M165" s="1" t="n">
        <v>0</v>
      </c>
      <c r="N165" s="1" t="n">
        <v>0</v>
      </c>
      <c r="O165" s="1" t="n">
        <v>0</v>
      </c>
      <c r="Q165" s="4" t="n">
        <v>44048</v>
      </c>
      <c r="R165" s="0" t="n">
        <f aca="false">IF(ISBLANK(F165),"Missing",IFERROR(YEAR(F165),"Missing"))</f>
        <v>2020</v>
      </c>
      <c r="S165" s="0" t="str">
        <f aca="false">IF(ISBLANK(E165),"Missing",IF(E165&lt;6,"0-6mo",IF(E165&lt;12,"6-12mo",IF(E165&lt;24,"12-24mo","24mo+"))))</f>
        <v>0-6mo</v>
      </c>
      <c r="T165" s="0" t="n">
        <f aca="false">IF(ISBLANK(C165),0,IF(C165="Month-to-month",2,IF(C165="One year",1,0)))+IF(ISBLANK(I165),0,IF(I165&lt;40,2,IF(I165&lt;55,1,0)))+IF(ISBLANK(M165),0,IF(M165=1,3,0))+IF(ISBLANK(L165),0,IF(L165&gt;=2,1,0))+IF(ISBLANK(E165),0,IF(E165&lt;12,1,0))</f>
        <v>5</v>
      </c>
      <c r="U165" s="0" t="str">
        <f aca="false">IF((ISBLANK(B165)*1+ISBLANK(C165)*1+ISBLANK(D165)*1+ISBLANK(E165)*1+ISBLANK(F165)*1+ISBLANK(I165)*1+ISBLANK(J165)*1+ISBLANK(K165)*1+ISBLANK(L165)*1+ISBLANK(M165)*1+ISBLANK(N165)*1+ISBLANK(O165)*1)&gt;0,"Missing Data","OK")</f>
        <v>OK</v>
      </c>
      <c r="V165" s="0" t="str">
        <f aca="false">IF(T165&gt;=6,"High Risk",IF(T165&gt;=3,"Medium Risk","Low Risk"))</f>
        <v>Medium Risk</v>
      </c>
    </row>
    <row r="166" customFormat="false" ht="12.8" hidden="false" customHeight="false" outlineLevel="0" collapsed="false">
      <c r="A166" s="1" t="s">
        <v>196</v>
      </c>
      <c r="B166" s="1" t="s">
        <v>23</v>
      </c>
      <c r="C166" s="1" t="s">
        <v>51</v>
      </c>
      <c r="D166" s="1" t="n">
        <v>20.82</v>
      </c>
      <c r="E166" s="1" t="n">
        <v>21</v>
      </c>
      <c r="F166" s="4" t="n">
        <v>44049</v>
      </c>
      <c r="G166" s="1" t="s">
        <v>25</v>
      </c>
      <c r="H166" s="1" t="n">
        <v>0</v>
      </c>
      <c r="I166" s="1" t="n">
        <v>45.5</v>
      </c>
      <c r="J166" s="1" t="n">
        <v>19</v>
      </c>
      <c r="K166" s="1" t="n">
        <v>4</v>
      </c>
      <c r="L166" s="1" t="n">
        <v>2</v>
      </c>
      <c r="M166" s="1" t="n">
        <v>0</v>
      </c>
      <c r="N166" s="1" t="n">
        <v>437.22</v>
      </c>
      <c r="O166" s="1" t="n">
        <v>0</v>
      </c>
      <c r="Q166" s="4" t="n">
        <v>44688</v>
      </c>
      <c r="R166" s="0" t="n">
        <f aca="false">IF(ISBLANK(F166),"Missing",IFERROR(YEAR(F166),"Missing"))</f>
        <v>2020</v>
      </c>
      <c r="S166" s="0" t="str">
        <f aca="false">IF(ISBLANK(E166),"Missing",IF(E166&lt;6,"0-6mo",IF(E166&lt;12,"6-12mo",IF(E166&lt;24,"12-24mo","24mo+"))))</f>
        <v>12-24mo</v>
      </c>
      <c r="T166" s="0" t="n">
        <f aca="false">IF(ISBLANK(C166),0,IF(C166="Month-to-month",2,IF(C166="One year",1,0)))+IF(ISBLANK(I166),0,IF(I166&lt;40,2,IF(I166&lt;55,1,0)))+IF(ISBLANK(M166),0,IF(M166=1,3,0))+IF(ISBLANK(L166),0,IF(L166&gt;=2,1,0))+IF(ISBLANK(E166),0,IF(E166&lt;12,1,0))</f>
        <v>2</v>
      </c>
      <c r="U166" s="0" t="str">
        <f aca="false">IF((ISBLANK(B166)*1+ISBLANK(C166)*1+ISBLANK(D166)*1+ISBLANK(E166)*1+ISBLANK(F166)*1+ISBLANK(I166)*1+ISBLANK(J166)*1+ISBLANK(K166)*1+ISBLANK(L166)*1+ISBLANK(M166)*1+ISBLANK(N166)*1+ISBLANK(O166)*1)&gt;0,"Missing Data","OK")</f>
        <v>OK</v>
      </c>
      <c r="V166" s="0" t="str">
        <f aca="false">IF(T166&gt;=6,"High Risk",IF(T166&gt;=3,"Medium Risk","Low Risk"))</f>
        <v>Low Risk</v>
      </c>
    </row>
    <row r="167" customFormat="false" ht="12.8" hidden="false" customHeight="false" outlineLevel="0" collapsed="false">
      <c r="A167" s="1" t="s">
        <v>197</v>
      </c>
      <c r="B167" s="1" t="s">
        <v>36</v>
      </c>
      <c r="C167" s="1" t="s">
        <v>34</v>
      </c>
      <c r="D167" s="1" t="n">
        <v>10.17</v>
      </c>
      <c r="E167" s="1" t="n">
        <v>21</v>
      </c>
      <c r="F167" s="4" t="n">
        <v>44051</v>
      </c>
      <c r="G167" s="1" t="s">
        <v>39</v>
      </c>
      <c r="H167" s="1" t="n">
        <v>1</v>
      </c>
      <c r="I167" s="1" t="n">
        <v>37.3</v>
      </c>
      <c r="J167" s="1" t="n">
        <v>11</v>
      </c>
      <c r="K167" s="1" t="n">
        <v>2</v>
      </c>
      <c r="L167" s="1" t="n">
        <v>0</v>
      </c>
      <c r="M167" s="1" t="n">
        <v>0</v>
      </c>
      <c r="N167" s="1" t="n">
        <v>213.57</v>
      </c>
      <c r="O167" s="1" t="n">
        <v>0</v>
      </c>
      <c r="Q167" s="4" t="n">
        <v>44690</v>
      </c>
      <c r="R167" s="0" t="n">
        <f aca="false">IF(ISBLANK(F167),"Missing",IFERROR(YEAR(F167),"Missing"))</f>
        <v>2020</v>
      </c>
      <c r="S167" s="0" t="str">
        <f aca="false">IF(ISBLANK(E167),"Missing",IF(E167&lt;6,"0-6mo",IF(E167&lt;12,"6-12mo",IF(E167&lt;24,"12-24mo","24mo+"))))</f>
        <v>12-24mo</v>
      </c>
      <c r="T167" s="0" t="n">
        <f aca="false">IF(ISBLANK(C167),0,IF(C167="Month-to-month",2,IF(C167="One year",1,0)))+IF(ISBLANK(I167),0,IF(I167&lt;40,2,IF(I167&lt;55,1,0)))+IF(ISBLANK(M167),0,IF(M167=1,3,0))+IF(ISBLANK(L167),0,IF(L167&gt;=2,1,0))+IF(ISBLANK(E167),0,IF(E167&lt;12,1,0))</f>
        <v>3</v>
      </c>
      <c r="U167" s="0" t="str">
        <f aca="false">IF((ISBLANK(B167)*1+ISBLANK(C167)*1+ISBLANK(D167)*1+ISBLANK(E167)*1+ISBLANK(F167)*1+ISBLANK(I167)*1+ISBLANK(J167)*1+ISBLANK(K167)*1+ISBLANK(L167)*1+ISBLANK(M167)*1+ISBLANK(N167)*1+ISBLANK(O167)*1)&gt;0,"Missing Data","OK")</f>
        <v>OK</v>
      </c>
      <c r="V167" s="0" t="str">
        <f aca="false">IF(T167&gt;=6,"High Risk",IF(T167&gt;=3,"Medium Risk","Low Risk"))</f>
        <v>Medium Risk</v>
      </c>
    </row>
    <row r="168" customFormat="false" ht="12.8" hidden="false" customHeight="false" outlineLevel="0" collapsed="false">
      <c r="A168" s="1" t="s">
        <v>198</v>
      </c>
      <c r="B168" s="1" t="s">
        <v>36</v>
      </c>
      <c r="C168" s="1" t="s">
        <v>34</v>
      </c>
      <c r="D168" s="1" t="n">
        <v>10.45</v>
      </c>
      <c r="E168" s="1" t="n">
        <v>0</v>
      </c>
      <c r="F168" s="4" t="n">
        <v>44055</v>
      </c>
      <c r="G168" s="1" t="s">
        <v>39</v>
      </c>
      <c r="H168" s="1" t="n">
        <v>1</v>
      </c>
      <c r="I168" s="1" t="n">
        <v>18.8</v>
      </c>
      <c r="J168" s="1" t="n">
        <v>7</v>
      </c>
      <c r="K168" s="1" t="n">
        <v>5</v>
      </c>
      <c r="L168" s="1" t="n">
        <v>2</v>
      </c>
      <c r="M168" s="1" t="n">
        <v>0</v>
      </c>
      <c r="N168" s="1" t="n">
        <v>0</v>
      </c>
      <c r="O168" s="1" t="n">
        <v>1</v>
      </c>
      <c r="P168" s="4" t="n">
        <v>44055</v>
      </c>
      <c r="Q168" s="4" t="n">
        <v>44055</v>
      </c>
      <c r="R168" s="0" t="n">
        <f aca="false">IF(ISBLANK(F168),"Missing",IFERROR(YEAR(F168),"Missing"))</f>
        <v>2020</v>
      </c>
      <c r="S168" s="0" t="str">
        <f aca="false">IF(ISBLANK(E168),"Missing",IF(E168&lt;6,"0-6mo",IF(E168&lt;12,"6-12mo",IF(E168&lt;24,"12-24mo","24mo+"))))</f>
        <v>0-6mo</v>
      </c>
      <c r="T168" s="0" t="n">
        <f aca="false">IF(ISBLANK(C168),0,IF(C168="Month-to-month",2,IF(C168="One year",1,0)))+IF(ISBLANK(I168),0,IF(I168&lt;40,2,IF(I168&lt;55,1,0)))+IF(ISBLANK(M168),0,IF(M168=1,3,0))+IF(ISBLANK(L168),0,IF(L168&gt;=2,1,0))+IF(ISBLANK(E168),0,IF(E168&lt;12,1,0))</f>
        <v>5</v>
      </c>
      <c r="U168" s="0" t="str">
        <f aca="false">IF((ISBLANK(B168)*1+ISBLANK(C168)*1+ISBLANK(D168)*1+ISBLANK(E168)*1+ISBLANK(F168)*1+ISBLANK(I168)*1+ISBLANK(J168)*1+ISBLANK(K168)*1+ISBLANK(L168)*1+ISBLANK(M168)*1+ISBLANK(N168)*1+ISBLANK(O168)*1)&gt;0,"Missing Data","OK")</f>
        <v>OK</v>
      </c>
      <c r="V168" s="0" t="str">
        <f aca="false">IF(T168&gt;=6,"High Risk",IF(T168&gt;=3,"Medium Risk","Low Risk"))</f>
        <v>Medium Risk</v>
      </c>
    </row>
    <row r="169" customFormat="false" ht="12.8" hidden="false" customHeight="false" outlineLevel="0" collapsed="false">
      <c r="A169" s="1" t="s">
        <v>199</v>
      </c>
      <c r="B169" s="1" t="s">
        <v>23</v>
      </c>
      <c r="C169" s="1" t="s">
        <v>24</v>
      </c>
      <c r="D169" s="1" t="n">
        <v>19.3</v>
      </c>
      <c r="E169" s="1" t="n">
        <v>40</v>
      </c>
      <c r="F169" s="4" t="n">
        <v>44056</v>
      </c>
      <c r="G169" s="1" t="s">
        <v>39</v>
      </c>
      <c r="H169" s="1" t="n">
        <v>1</v>
      </c>
      <c r="I169" s="1" t="n">
        <v>67.3</v>
      </c>
      <c r="J169" s="1" t="n">
        <v>19</v>
      </c>
      <c r="K169" s="1" t="n">
        <v>6</v>
      </c>
      <c r="L169" s="1" t="n">
        <v>1</v>
      </c>
      <c r="M169" s="1" t="n">
        <v>0</v>
      </c>
      <c r="N169" s="1" t="n">
        <v>772</v>
      </c>
      <c r="O169" s="1" t="n">
        <v>0</v>
      </c>
      <c r="Q169" s="4" t="n">
        <v>45273</v>
      </c>
      <c r="R169" s="0" t="n">
        <f aca="false">IF(ISBLANK(F169),"Missing",IFERROR(YEAR(F169),"Missing"))</f>
        <v>2020</v>
      </c>
      <c r="S169" s="0" t="str">
        <f aca="false">IF(ISBLANK(E169),"Missing",IF(E169&lt;6,"0-6mo",IF(E169&lt;12,"6-12mo",IF(E169&lt;24,"12-24mo","24mo+"))))</f>
        <v>24mo+</v>
      </c>
      <c r="T169" s="0" t="n">
        <f aca="false">IF(ISBLANK(C169),0,IF(C169="Month-to-month",2,IF(C169="One year",1,0)))+IF(ISBLANK(I169),0,IF(I169&lt;40,2,IF(I169&lt;55,1,0)))+IF(ISBLANK(M169),0,IF(M169=1,3,0))+IF(ISBLANK(L169),0,IF(L169&gt;=2,1,0))+IF(ISBLANK(E169),0,IF(E169&lt;12,1,0))</f>
        <v>2</v>
      </c>
      <c r="U169" s="0" t="str">
        <f aca="false">IF((ISBLANK(B169)*1+ISBLANK(C169)*1+ISBLANK(D169)*1+ISBLANK(E169)*1+ISBLANK(F169)*1+ISBLANK(I169)*1+ISBLANK(J169)*1+ISBLANK(K169)*1+ISBLANK(L169)*1+ISBLANK(M169)*1+ISBLANK(N169)*1+ISBLANK(O169)*1)&gt;0,"Missing Data","OK")</f>
        <v>OK</v>
      </c>
      <c r="V169" s="0" t="str">
        <f aca="false">IF(T169&gt;=6,"High Risk",IF(T169&gt;=3,"Medium Risk","Low Risk"))</f>
        <v>Low Risk</v>
      </c>
    </row>
    <row r="170" customFormat="false" ht="12.8" hidden="false" customHeight="false" outlineLevel="0" collapsed="false">
      <c r="A170" s="1" t="s">
        <v>200</v>
      </c>
      <c r="B170" s="1" t="s">
        <v>36</v>
      </c>
      <c r="C170" s="1" t="s">
        <v>24</v>
      </c>
      <c r="D170" s="1" t="n">
        <v>9.99</v>
      </c>
      <c r="E170" s="1" t="n">
        <v>13</v>
      </c>
      <c r="F170" s="4" t="n">
        <v>44057</v>
      </c>
      <c r="G170" s="1" t="s">
        <v>25</v>
      </c>
      <c r="H170" s="1" t="n">
        <v>1</v>
      </c>
      <c r="I170" s="1" t="n">
        <v>55.2</v>
      </c>
      <c r="J170" s="1" t="n">
        <v>17</v>
      </c>
      <c r="K170" s="1" t="n">
        <v>6</v>
      </c>
      <c r="L170" s="1" t="n">
        <v>3</v>
      </c>
      <c r="M170" s="1" t="n">
        <v>1</v>
      </c>
      <c r="N170" s="1" t="n">
        <v>129.87</v>
      </c>
      <c r="O170" s="1" t="n">
        <v>0</v>
      </c>
      <c r="Q170" s="4" t="n">
        <v>44452</v>
      </c>
      <c r="R170" s="0" t="n">
        <f aca="false">IF(ISBLANK(F170),"Missing",IFERROR(YEAR(F170),"Missing"))</f>
        <v>2020</v>
      </c>
      <c r="S170" s="0" t="str">
        <f aca="false">IF(ISBLANK(E170),"Missing",IF(E170&lt;6,"0-6mo",IF(E170&lt;12,"6-12mo",IF(E170&lt;24,"12-24mo","24mo+"))))</f>
        <v>12-24mo</v>
      </c>
      <c r="T170" s="0" t="n">
        <f aca="false">IF(ISBLANK(C170),0,IF(C170="Month-to-month",2,IF(C170="One year",1,0)))+IF(ISBLANK(I170),0,IF(I170&lt;40,2,IF(I170&lt;55,1,0)))+IF(ISBLANK(M170),0,IF(M170=1,3,0))+IF(ISBLANK(L170),0,IF(L170&gt;=2,1,0))+IF(ISBLANK(E170),0,IF(E170&lt;12,1,0))</f>
        <v>6</v>
      </c>
      <c r="U170" s="0" t="str">
        <f aca="false">IF((ISBLANK(B170)*1+ISBLANK(C170)*1+ISBLANK(D170)*1+ISBLANK(E170)*1+ISBLANK(F170)*1+ISBLANK(I170)*1+ISBLANK(J170)*1+ISBLANK(K170)*1+ISBLANK(L170)*1+ISBLANK(M170)*1+ISBLANK(N170)*1+ISBLANK(O170)*1)&gt;0,"Missing Data","OK")</f>
        <v>OK</v>
      </c>
      <c r="V170" s="0" t="str">
        <f aca="false">IF(T170&gt;=6,"High Risk",IF(T170&gt;=3,"Medium Risk","Low Risk"))</f>
        <v>High Risk</v>
      </c>
    </row>
    <row r="171" customFormat="false" ht="12.8" hidden="false" customHeight="false" outlineLevel="0" collapsed="false">
      <c r="A171" s="1" t="s">
        <v>201</v>
      </c>
      <c r="B171" s="1" t="s">
        <v>36</v>
      </c>
      <c r="C171" s="1" t="s">
        <v>51</v>
      </c>
      <c r="D171" s="1" t="n">
        <v>10.73</v>
      </c>
      <c r="E171" s="1" t="n">
        <v>0</v>
      </c>
      <c r="F171" s="4" t="n">
        <v>44057</v>
      </c>
      <c r="G171" s="1" t="s">
        <v>39</v>
      </c>
      <c r="H171" s="1" t="n">
        <v>1</v>
      </c>
      <c r="I171" s="1" t="n">
        <v>44</v>
      </c>
      <c r="J171" s="1" t="n">
        <v>12</v>
      </c>
      <c r="K171" s="1" t="n">
        <v>6</v>
      </c>
      <c r="L171" s="1" t="n">
        <v>0</v>
      </c>
      <c r="M171" s="1" t="n">
        <v>0</v>
      </c>
      <c r="N171" s="1" t="n">
        <v>0</v>
      </c>
      <c r="O171" s="1" t="n">
        <v>1</v>
      </c>
      <c r="P171" s="4" t="n">
        <v>44057</v>
      </c>
      <c r="Q171" s="4" t="n">
        <v>44057</v>
      </c>
      <c r="R171" s="0" t="n">
        <f aca="false">IF(ISBLANK(F171),"Missing",IFERROR(YEAR(F171),"Missing"))</f>
        <v>2020</v>
      </c>
      <c r="S171" s="0" t="str">
        <f aca="false">IF(ISBLANK(E171),"Missing",IF(E171&lt;6,"0-6mo",IF(E171&lt;12,"6-12mo",IF(E171&lt;24,"12-24mo","24mo+"))))</f>
        <v>0-6mo</v>
      </c>
      <c r="T171" s="0" t="n">
        <f aca="false">IF(ISBLANK(C171),0,IF(C171="Month-to-month",2,IF(C171="One year",1,0)))+IF(ISBLANK(I171),0,IF(I171&lt;40,2,IF(I171&lt;55,1,0)))+IF(ISBLANK(M171),0,IF(M171=1,3,0))+IF(ISBLANK(L171),0,IF(L171&gt;=2,1,0))+IF(ISBLANK(E171),0,IF(E171&lt;12,1,0))</f>
        <v>2</v>
      </c>
      <c r="U171" s="0" t="str">
        <f aca="false">IF((ISBLANK(B171)*1+ISBLANK(C171)*1+ISBLANK(D171)*1+ISBLANK(E171)*1+ISBLANK(F171)*1+ISBLANK(I171)*1+ISBLANK(J171)*1+ISBLANK(K171)*1+ISBLANK(L171)*1+ISBLANK(M171)*1+ISBLANK(N171)*1+ISBLANK(O171)*1)&gt;0,"Missing Data","OK")</f>
        <v>OK</v>
      </c>
      <c r="V171" s="0" t="str">
        <f aca="false">IF(T171&gt;=6,"High Risk",IF(T171&gt;=3,"Medium Risk","Low Risk"))</f>
        <v>Low Risk</v>
      </c>
    </row>
    <row r="172" customFormat="false" ht="12.8" hidden="false" customHeight="false" outlineLevel="0" collapsed="false">
      <c r="A172" s="1" t="s">
        <v>202</v>
      </c>
      <c r="B172" s="1" t="s">
        <v>29</v>
      </c>
      <c r="C172" s="1" t="s">
        <v>24</v>
      </c>
      <c r="D172" s="1" t="n">
        <v>40.61</v>
      </c>
      <c r="E172" s="1" t="n">
        <v>72</v>
      </c>
      <c r="F172" s="4" t="n">
        <v>44058</v>
      </c>
      <c r="G172" s="1" t="s">
        <v>25</v>
      </c>
      <c r="H172" s="1" t="n">
        <v>0</v>
      </c>
      <c r="I172" s="1" t="n">
        <v>66.8</v>
      </c>
      <c r="J172" s="1" t="n">
        <v>26</v>
      </c>
      <c r="K172" s="1" t="n">
        <v>5</v>
      </c>
      <c r="L172" s="1" t="n">
        <v>2</v>
      </c>
      <c r="M172" s="1" t="n">
        <v>0</v>
      </c>
      <c r="N172" s="1" t="n">
        <v>2923.92</v>
      </c>
      <c r="O172" s="1" t="n">
        <v>0</v>
      </c>
      <c r="Q172" s="4" t="n">
        <v>46249</v>
      </c>
      <c r="R172" s="0" t="n">
        <f aca="false">IF(ISBLANK(F172),"Missing",IFERROR(YEAR(F172),"Missing"))</f>
        <v>2020</v>
      </c>
      <c r="S172" s="0" t="str">
        <f aca="false">IF(ISBLANK(E172),"Missing",IF(E172&lt;6,"0-6mo",IF(E172&lt;12,"6-12mo",IF(E172&lt;24,"12-24mo","24mo+"))))</f>
        <v>24mo+</v>
      </c>
      <c r="T172" s="0" t="n">
        <f aca="false">IF(ISBLANK(C172),0,IF(C172="Month-to-month",2,IF(C172="One year",1,0)))+IF(ISBLANK(I172),0,IF(I172&lt;40,2,IF(I172&lt;55,1,0)))+IF(ISBLANK(M172),0,IF(M172=1,3,0))+IF(ISBLANK(L172),0,IF(L172&gt;=2,1,0))+IF(ISBLANK(E172),0,IF(E172&lt;12,1,0))</f>
        <v>3</v>
      </c>
      <c r="U172" s="0" t="str">
        <f aca="false">IF((ISBLANK(B172)*1+ISBLANK(C172)*1+ISBLANK(D172)*1+ISBLANK(E172)*1+ISBLANK(F172)*1+ISBLANK(I172)*1+ISBLANK(J172)*1+ISBLANK(K172)*1+ISBLANK(L172)*1+ISBLANK(M172)*1+ISBLANK(N172)*1+ISBLANK(O172)*1)&gt;0,"Missing Data","OK")</f>
        <v>OK</v>
      </c>
      <c r="V172" s="0" t="str">
        <f aca="false">IF(T172&gt;=6,"High Risk",IF(T172&gt;=3,"Medium Risk","Low Risk"))</f>
        <v>Medium Risk</v>
      </c>
    </row>
    <row r="173" customFormat="false" ht="12.8" hidden="false" customHeight="false" outlineLevel="0" collapsed="false">
      <c r="A173" s="1" t="s">
        <v>203</v>
      </c>
      <c r="B173" s="1" t="s">
        <v>29</v>
      </c>
      <c r="C173" s="1" t="s">
        <v>51</v>
      </c>
      <c r="D173" s="1" t="n">
        <v>40.17</v>
      </c>
      <c r="E173" s="1" t="n">
        <v>2</v>
      </c>
      <c r="F173" s="4" t="n">
        <v>44059</v>
      </c>
      <c r="G173" s="1" t="s">
        <v>25</v>
      </c>
      <c r="H173" s="1" t="n">
        <v>1</v>
      </c>
      <c r="I173" s="1" t="n">
        <v>24.3</v>
      </c>
      <c r="J173" s="1" t="n">
        <v>7</v>
      </c>
      <c r="K173" s="1" t="n">
        <v>2</v>
      </c>
      <c r="L173" s="1" t="n">
        <v>4</v>
      </c>
      <c r="M173" s="1" t="n">
        <v>0</v>
      </c>
      <c r="N173" s="1" t="n">
        <v>80.34</v>
      </c>
      <c r="O173" s="1" t="n">
        <v>0</v>
      </c>
      <c r="Q173" s="4" t="n">
        <v>44119</v>
      </c>
      <c r="R173" s="0" t="n">
        <f aca="false">IF(ISBLANK(F173),"Missing",IFERROR(YEAR(F173),"Missing"))</f>
        <v>2020</v>
      </c>
      <c r="S173" s="0" t="str">
        <f aca="false">IF(ISBLANK(E173),"Missing",IF(E173&lt;6,"0-6mo",IF(E173&lt;12,"6-12mo",IF(E173&lt;24,"12-24mo","24mo+"))))</f>
        <v>0-6mo</v>
      </c>
      <c r="T173" s="0" t="n">
        <f aca="false">IF(ISBLANK(C173),0,IF(C173="Month-to-month",2,IF(C173="One year",1,0)))+IF(ISBLANK(I173),0,IF(I173&lt;40,2,IF(I173&lt;55,1,0)))+IF(ISBLANK(M173),0,IF(M173=1,3,0))+IF(ISBLANK(L173),0,IF(L173&gt;=2,1,0))+IF(ISBLANK(E173),0,IF(E173&lt;12,1,0))</f>
        <v>4</v>
      </c>
      <c r="U173" s="0" t="str">
        <f aca="false">IF((ISBLANK(B173)*1+ISBLANK(C173)*1+ISBLANK(D173)*1+ISBLANK(E173)*1+ISBLANK(F173)*1+ISBLANK(I173)*1+ISBLANK(J173)*1+ISBLANK(K173)*1+ISBLANK(L173)*1+ISBLANK(M173)*1+ISBLANK(N173)*1+ISBLANK(O173)*1)&gt;0,"Missing Data","OK")</f>
        <v>OK</v>
      </c>
      <c r="V173" s="0" t="str">
        <f aca="false">IF(T173&gt;=6,"High Risk",IF(T173&gt;=3,"Medium Risk","Low Risk"))</f>
        <v>Medium Risk</v>
      </c>
    </row>
    <row r="174" customFormat="false" ht="12.8" hidden="false" customHeight="false" outlineLevel="0" collapsed="false">
      <c r="A174" s="1" t="s">
        <v>204</v>
      </c>
      <c r="B174" s="1" t="s">
        <v>23</v>
      </c>
      <c r="C174" s="1" t="s">
        <v>34</v>
      </c>
      <c r="D174" s="1" t="n">
        <v>22.55</v>
      </c>
      <c r="E174" s="1" t="n">
        <v>1</v>
      </c>
      <c r="F174" s="4" t="n">
        <v>44059</v>
      </c>
      <c r="G174" s="1" t="s">
        <v>25</v>
      </c>
      <c r="H174" s="1" t="n">
        <v>1</v>
      </c>
      <c r="I174" s="1" t="n">
        <v>64.2</v>
      </c>
      <c r="J174" s="1" t="n">
        <v>25</v>
      </c>
      <c r="K174" s="1" t="n">
        <v>8</v>
      </c>
      <c r="L174" s="1" t="n">
        <v>2</v>
      </c>
      <c r="M174" s="1" t="n">
        <v>1</v>
      </c>
      <c r="N174" s="1" t="n">
        <v>22.55</v>
      </c>
      <c r="O174" s="1" t="n">
        <v>0</v>
      </c>
      <c r="Q174" s="4" t="n">
        <v>44089</v>
      </c>
      <c r="R174" s="0" t="n">
        <f aca="false">IF(ISBLANK(F174),"Missing",IFERROR(YEAR(F174),"Missing"))</f>
        <v>2020</v>
      </c>
      <c r="S174" s="0" t="str">
        <f aca="false">IF(ISBLANK(E174),"Missing",IF(E174&lt;6,"0-6mo",IF(E174&lt;12,"6-12mo",IF(E174&lt;24,"12-24mo","24mo+"))))</f>
        <v>0-6mo</v>
      </c>
      <c r="T174" s="0" t="n">
        <f aca="false">IF(ISBLANK(C174),0,IF(C174="Month-to-month",2,IF(C174="One year",1,0)))+IF(ISBLANK(I174),0,IF(I174&lt;40,2,IF(I174&lt;55,1,0)))+IF(ISBLANK(M174),0,IF(M174=1,3,0))+IF(ISBLANK(L174),0,IF(L174&gt;=2,1,0))+IF(ISBLANK(E174),0,IF(E174&lt;12,1,0))</f>
        <v>6</v>
      </c>
      <c r="U174" s="0" t="str">
        <f aca="false">IF((ISBLANK(B174)*1+ISBLANK(C174)*1+ISBLANK(D174)*1+ISBLANK(E174)*1+ISBLANK(F174)*1+ISBLANK(I174)*1+ISBLANK(J174)*1+ISBLANK(K174)*1+ISBLANK(L174)*1+ISBLANK(M174)*1+ISBLANK(N174)*1+ISBLANK(O174)*1)&gt;0,"Missing Data","OK")</f>
        <v>OK</v>
      </c>
      <c r="V174" s="0" t="str">
        <f aca="false">IF(T174&gt;=6,"High Risk",IF(T174&gt;=3,"Medium Risk","Low Risk"))</f>
        <v>High Risk</v>
      </c>
    </row>
    <row r="175" customFormat="false" ht="12.8" hidden="false" customHeight="false" outlineLevel="0" collapsed="false">
      <c r="A175" s="1" t="s">
        <v>205</v>
      </c>
      <c r="B175" s="1" t="s">
        <v>23</v>
      </c>
      <c r="C175" s="1" t="s">
        <v>34</v>
      </c>
      <c r="D175" s="1" t="n">
        <v>19.49</v>
      </c>
      <c r="E175" s="1" t="n">
        <v>7</v>
      </c>
      <c r="F175" s="4" t="n">
        <v>44061</v>
      </c>
      <c r="G175" s="1" t="s">
        <v>25</v>
      </c>
      <c r="H175" s="1" t="n">
        <v>0</v>
      </c>
      <c r="I175" s="1" t="n">
        <v>34</v>
      </c>
      <c r="J175" s="1" t="n">
        <v>12</v>
      </c>
      <c r="K175" s="1" t="n">
        <v>3</v>
      </c>
      <c r="L175" s="1" t="n">
        <v>3</v>
      </c>
      <c r="M175" s="1" t="n">
        <v>0</v>
      </c>
      <c r="N175" s="1" t="n">
        <v>136.43</v>
      </c>
      <c r="O175" s="1" t="n">
        <v>0</v>
      </c>
      <c r="Q175" s="4" t="n">
        <v>44274</v>
      </c>
      <c r="R175" s="0" t="n">
        <f aca="false">IF(ISBLANK(F175),"Missing",IFERROR(YEAR(F175),"Missing"))</f>
        <v>2020</v>
      </c>
      <c r="S175" s="0" t="str">
        <f aca="false">IF(ISBLANK(E175),"Missing",IF(E175&lt;6,"0-6mo",IF(E175&lt;12,"6-12mo",IF(E175&lt;24,"12-24mo","24mo+"))))</f>
        <v>6-12mo</v>
      </c>
      <c r="T175" s="0" t="n">
        <f aca="false">IF(ISBLANK(C175),0,IF(C175="Month-to-month",2,IF(C175="One year",1,0)))+IF(ISBLANK(I175),0,IF(I175&lt;40,2,IF(I175&lt;55,1,0)))+IF(ISBLANK(M175),0,IF(M175=1,3,0))+IF(ISBLANK(L175),0,IF(L175&gt;=2,1,0))+IF(ISBLANK(E175),0,IF(E175&lt;12,1,0))</f>
        <v>5</v>
      </c>
      <c r="U175" s="0" t="str">
        <f aca="false">IF((ISBLANK(B175)*1+ISBLANK(C175)*1+ISBLANK(D175)*1+ISBLANK(E175)*1+ISBLANK(F175)*1+ISBLANK(I175)*1+ISBLANK(J175)*1+ISBLANK(K175)*1+ISBLANK(L175)*1+ISBLANK(M175)*1+ISBLANK(N175)*1+ISBLANK(O175)*1)&gt;0,"Missing Data","OK")</f>
        <v>OK</v>
      </c>
      <c r="V175" s="0" t="str">
        <f aca="false">IF(T175&gt;=6,"High Risk",IF(T175&gt;=3,"Medium Risk","Low Risk"))</f>
        <v>Medium Risk</v>
      </c>
    </row>
    <row r="176" customFormat="false" ht="12.8" hidden="false" customHeight="false" outlineLevel="0" collapsed="false">
      <c r="A176" s="1" t="s">
        <v>206</v>
      </c>
      <c r="B176" s="1" t="s">
        <v>36</v>
      </c>
      <c r="C176" s="1" t="s">
        <v>24</v>
      </c>
      <c r="D176" s="1" t="n">
        <v>11.61</v>
      </c>
      <c r="E176" s="1" t="n">
        <v>5</v>
      </c>
      <c r="F176" s="4" t="n">
        <v>44063</v>
      </c>
      <c r="G176" s="1" t="s">
        <v>30</v>
      </c>
      <c r="H176" s="1" t="n">
        <v>0</v>
      </c>
      <c r="I176" s="1" t="n">
        <v>15.7</v>
      </c>
      <c r="J176" s="1" t="n">
        <v>3</v>
      </c>
      <c r="K176" s="1" t="n">
        <v>2</v>
      </c>
      <c r="L176" s="1" t="n">
        <v>1</v>
      </c>
      <c r="M176" s="1" t="n">
        <v>0</v>
      </c>
      <c r="N176" s="1" t="n">
        <v>58.05</v>
      </c>
      <c r="O176" s="1" t="n">
        <v>1</v>
      </c>
      <c r="P176" s="4" t="n">
        <v>44215</v>
      </c>
      <c r="Q176" s="4" t="n">
        <v>44215</v>
      </c>
      <c r="R176" s="0" t="n">
        <f aca="false">IF(ISBLANK(F176),"Missing",IFERROR(YEAR(F176),"Missing"))</f>
        <v>2020</v>
      </c>
      <c r="S176" s="0" t="str">
        <f aca="false">IF(ISBLANK(E176),"Missing",IF(E176&lt;6,"0-6mo",IF(E176&lt;12,"6-12mo",IF(E176&lt;24,"12-24mo","24mo+"))))</f>
        <v>0-6mo</v>
      </c>
      <c r="T176" s="0" t="n">
        <f aca="false">IF(ISBLANK(C176),0,IF(C176="Month-to-month",2,IF(C176="One year",1,0)))+IF(ISBLANK(I176),0,IF(I176&lt;40,2,IF(I176&lt;55,1,0)))+IF(ISBLANK(M176),0,IF(M176=1,3,0))+IF(ISBLANK(L176),0,IF(L176&gt;=2,1,0))+IF(ISBLANK(E176),0,IF(E176&lt;12,1,0))</f>
        <v>5</v>
      </c>
      <c r="U176" s="0" t="str">
        <f aca="false">IF((ISBLANK(B176)*1+ISBLANK(C176)*1+ISBLANK(D176)*1+ISBLANK(E176)*1+ISBLANK(F176)*1+ISBLANK(I176)*1+ISBLANK(J176)*1+ISBLANK(K176)*1+ISBLANK(L176)*1+ISBLANK(M176)*1+ISBLANK(N176)*1+ISBLANK(O176)*1)&gt;0,"Missing Data","OK")</f>
        <v>OK</v>
      </c>
      <c r="V176" s="0" t="str">
        <f aca="false">IF(T176&gt;=6,"High Risk",IF(T176&gt;=3,"Medium Risk","Low Risk"))</f>
        <v>Medium Risk</v>
      </c>
    </row>
    <row r="177" customFormat="false" ht="12.8" hidden="false" customHeight="false" outlineLevel="0" collapsed="false">
      <c r="A177" s="1" t="s">
        <v>207</v>
      </c>
      <c r="B177" s="1" t="s">
        <v>36</v>
      </c>
      <c r="C177" s="1" t="s">
        <v>34</v>
      </c>
      <c r="D177" s="1" t="n">
        <v>9.93</v>
      </c>
      <c r="E177" s="1" t="n">
        <v>5</v>
      </c>
      <c r="F177" s="4" t="n">
        <v>44066</v>
      </c>
      <c r="G177" s="1" t="s">
        <v>25</v>
      </c>
      <c r="H177" s="1" t="n">
        <v>1</v>
      </c>
      <c r="I177" s="1" t="n">
        <v>43.3</v>
      </c>
      <c r="J177" s="1" t="n">
        <v>6</v>
      </c>
      <c r="K177" s="1" t="n">
        <v>3</v>
      </c>
      <c r="L177" s="1" t="n">
        <v>1</v>
      </c>
      <c r="M177" s="1" t="n">
        <v>0</v>
      </c>
      <c r="N177" s="1" t="n">
        <v>49.65</v>
      </c>
      <c r="O177" s="1" t="n">
        <v>0</v>
      </c>
      <c r="Q177" s="4" t="n">
        <v>44218</v>
      </c>
      <c r="R177" s="0" t="n">
        <f aca="false">IF(ISBLANK(F177),"Missing",IFERROR(YEAR(F177),"Missing"))</f>
        <v>2020</v>
      </c>
      <c r="S177" s="0" t="str">
        <f aca="false">IF(ISBLANK(E177),"Missing",IF(E177&lt;6,"0-6mo",IF(E177&lt;12,"6-12mo",IF(E177&lt;24,"12-24mo","24mo+"))))</f>
        <v>0-6mo</v>
      </c>
      <c r="T177" s="0" t="n">
        <f aca="false">IF(ISBLANK(C177),0,IF(C177="Month-to-month",2,IF(C177="One year",1,0)))+IF(ISBLANK(I177),0,IF(I177&lt;40,2,IF(I177&lt;55,1,0)))+IF(ISBLANK(M177),0,IF(M177=1,3,0))+IF(ISBLANK(L177),0,IF(L177&gt;=2,1,0))+IF(ISBLANK(E177),0,IF(E177&lt;12,1,0))</f>
        <v>3</v>
      </c>
      <c r="U177" s="0" t="str">
        <f aca="false">IF((ISBLANK(B177)*1+ISBLANK(C177)*1+ISBLANK(D177)*1+ISBLANK(E177)*1+ISBLANK(F177)*1+ISBLANK(I177)*1+ISBLANK(J177)*1+ISBLANK(K177)*1+ISBLANK(L177)*1+ISBLANK(M177)*1+ISBLANK(N177)*1+ISBLANK(O177)*1)&gt;0,"Missing Data","OK")</f>
        <v>OK</v>
      </c>
      <c r="V177" s="0" t="str">
        <f aca="false">IF(T177&gt;=6,"High Risk",IF(T177&gt;=3,"Medium Risk","Low Risk"))</f>
        <v>Medium Risk</v>
      </c>
    </row>
    <row r="178" customFormat="false" ht="12.8" hidden="false" customHeight="false" outlineLevel="0" collapsed="false">
      <c r="A178" s="1" t="s">
        <v>208</v>
      </c>
      <c r="B178" s="1" t="s">
        <v>36</v>
      </c>
      <c r="C178" s="1" t="s">
        <v>34</v>
      </c>
      <c r="D178" s="1" t="n">
        <v>11.23</v>
      </c>
      <c r="E178" s="1" t="n">
        <v>13</v>
      </c>
      <c r="F178" s="4" t="n">
        <v>44067</v>
      </c>
      <c r="G178" s="1" t="s">
        <v>27</v>
      </c>
      <c r="H178" s="1" t="n">
        <v>1</v>
      </c>
      <c r="I178" s="1" t="n">
        <v>55.6</v>
      </c>
      <c r="J178" s="1" t="n">
        <v>9</v>
      </c>
      <c r="K178" s="1" t="n">
        <v>7</v>
      </c>
      <c r="L178" s="1" t="n">
        <v>0</v>
      </c>
      <c r="M178" s="1" t="n">
        <v>0</v>
      </c>
      <c r="N178" s="1" t="n">
        <v>145.99</v>
      </c>
      <c r="O178" s="1" t="n">
        <v>0</v>
      </c>
      <c r="Q178" s="4" t="n">
        <v>44462</v>
      </c>
      <c r="R178" s="0" t="n">
        <f aca="false">IF(ISBLANK(F178),"Missing",IFERROR(YEAR(F178),"Missing"))</f>
        <v>2020</v>
      </c>
      <c r="S178" s="0" t="str">
        <f aca="false">IF(ISBLANK(E178),"Missing",IF(E178&lt;6,"0-6mo",IF(E178&lt;12,"6-12mo",IF(E178&lt;24,"12-24mo","24mo+"))))</f>
        <v>12-24mo</v>
      </c>
      <c r="T178" s="0" t="n">
        <f aca="false">IF(ISBLANK(C178),0,IF(C178="Month-to-month",2,IF(C178="One year",1,0)))+IF(ISBLANK(I178),0,IF(I178&lt;40,2,IF(I178&lt;55,1,0)))+IF(ISBLANK(M178),0,IF(M178=1,3,0))+IF(ISBLANK(L178),0,IF(L178&gt;=2,1,0))+IF(ISBLANK(E178),0,IF(E178&lt;12,1,0))</f>
        <v>1</v>
      </c>
      <c r="U178" s="0" t="str">
        <f aca="false">IF((ISBLANK(B178)*1+ISBLANK(C178)*1+ISBLANK(D178)*1+ISBLANK(E178)*1+ISBLANK(F178)*1+ISBLANK(I178)*1+ISBLANK(J178)*1+ISBLANK(K178)*1+ISBLANK(L178)*1+ISBLANK(M178)*1+ISBLANK(N178)*1+ISBLANK(O178)*1)&gt;0,"Missing Data","OK")</f>
        <v>OK</v>
      </c>
      <c r="V178" s="0" t="str">
        <f aca="false">IF(T178&gt;=6,"High Risk",IF(T178&gt;=3,"Medium Risk","Low Risk"))</f>
        <v>Low Risk</v>
      </c>
    </row>
    <row r="179" customFormat="false" ht="12.8" hidden="false" customHeight="false" outlineLevel="0" collapsed="false">
      <c r="A179" s="1" t="s">
        <v>209</v>
      </c>
      <c r="B179" s="1" t="s">
        <v>23</v>
      </c>
      <c r="C179" s="1" t="s">
        <v>24</v>
      </c>
      <c r="D179" s="1" t="n">
        <v>21.39</v>
      </c>
      <c r="E179" s="1" t="n">
        <v>20</v>
      </c>
      <c r="F179" s="4" t="n">
        <v>44069</v>
      </c>
      <c r="G179" s="1" t="s">
        <v>25</v>
      </c>
      <c r="H179" s="1" t="n">
        <v>1</v>
      </c>
      <c r="I179" s="1" t="n">
        <v>20.2</v>
      </c>
      <c r="J179" s="1" t="n">
        <v>1</v>
      </c>
      <c r="K179" s="1" t="n">
        <v>4</v>
      </c>
      <c r="L179" s="1" t="n">
        <v>2</v>
      </c>
      <c r="M179" s="1" t="n">
        <v>0</v>
      </c>
      <c r="N179" s="1" t="n">
        <v>427.8</v>
      </c>
      <c r="O179" s="1" t="n">
        <v>1</v>
      </c>
      <c r="P179" s="4" t="n">
        <v>44677</v>
      </c>
      <c r="Q179" s="4" t="n">
        <v>44677</v>
      </c>
      <c r="R179" s="0" t="n">
        <f aca="false">IF(ISBLANK(F179),"Missing",IFERROR(YEAR(F179),"Missing"))</f>
        <v>2020</v>
      </c>
      <c r="S179" s="0" t="str">
        <f aca="false">IF(ISBLANK(E179),"Missing",IF(E179&lt;6,"0-6mo",IF(E179&lt;12,"6-12mo",IF(E179&lt;24,"12-24mo","24mo+"))))</f>
        <v>12-24mo</v>
      </c>
      <c r="T179" s="0" t="n">
        <f aca="false">IF(ISBLANK(C179),0,IF(C179="Month-to-month",2,IF(C179="One year",1,0)))+IF(ISBLANK(I179),0,IF(I179&lt;40,2,IF(I179&lt;55,1,0)))+IF(ISBLANK(M179),0,IF(M179=1,3,0))+IF(ISBLANK(L179),0,IF(L179&gt;=2,1,0))+IF(ISBLANK(E179),0,IF(E179&lt;12,1,0))</f>
        <v>5</v>
      </c>
      <c r="U179" s="0" t="str">
        <f aca="false">IF((ISBLANK(B179)*1+ISBLANK(C179)*1+ISBLANK(D179)*1+ISBLANK(E179)*1+ISBLANK(F179)*1+ISBLANK(I179)*1+ISBLANK(J179)*1+ISBLANK(K179)*1+ISBLANK(L179)*1+ISBLANK(M179)*1+ISBLANK(N179)*1+ISBLANK(O179)*1)&gt;0,"Missing Data","OK")</f>
        <v>OK</v>
      </c>
      <c r="V179" s="0" t="str">
        <f aca="false">IF(T179&gt;=6,"High Risk",IF(T179&gt;=3,"Medium Risk","Low Risk"))</f>
        <v>Medium Risk</v>
      </c>
    </row>
    <row r="180" customFormat="false" ht="12.8" hidden="false" customHeight="false" outlineLevel="0" collapsed="false">
      <c r="A180" s="1" t="s">
        <v>210</v>
      </c>
      <c r="B180" s="1" t="s">
        <v>36</v>
      </c>
      <c r="C180" s="1" t="s">
        <v>24</v>
      </c>
      <c r="D180" s="1" t="n">
        <v>10.35</v>
      </c>
      <c r="E180" s="1" t="n">
        <v>64</v>
      </c>
      <c r="F180" s="4" t="n">
        <v>44069</v>
      </c>
      <c r="G180" s="1" t="s">
        <v>25</v>
      </c>
      <c r="H180" s="1" t="n">
        <v>1</v>
      </c>
      <c r="I180" s="1" t="n">
        <v>46.6</v>
      </c>
      <c r="J180" s="1" t="n">
        <v>7</v>
      </c>
      <c r="K180" s="1" t="n">
        <v>4</v>
      </c>
      <c r="L180" s="1" t="n">
        <v>0</v>
      </c>
      <c r="M180" s="1" t="n">
        <v>0</v>
      </c>
      <c r="N180" s="1" t="n">
        <v>662.4</v>
      </c>
      <c r="O180" s="1" t="n">
        <v>0</v>
      </c>
      <c r="Q180" s="4" t="n">
        <v>46017</v>
      </c>
      <c r="R180" s="0" t="n">
        <f aca="false">IF(ISBLANK(F180),"Missing",IFERROR(YEAR(F180),"Missing"))</f>
        <v>2020</v>
      </c>
      <c r="S180" s="0" t="str">
        <f aca="false">IF(ISBLANK(E180),"Missing",IF(E180&lt;6,"0-6mo",IF(E180&lt;12,"6-12mo",IF(E180&lt;24,"12-24mo","24mo+"))))</f>
        <v>24mo+</v>
      </c>
      <c r="T180" s="0" t="n">
        <f aca="false">IF(ISBLANK(C180),0,IF(C180="Month-to-month",2,IF(C180="One year",1,0)))+IF(ISBLANK(I180),0,IF(I180&lt;40,2,IF(I180&lt;55,1,0)))+IF(ISBLANK(M180),0,IF(M180=1,3,0))+IF(ISBLANK(L180),0,IF(L180&gt;=2,1,0))+IF(ISBLANK(E180),0,IF(E180&lt;12,1,0))</f>
        <v>3</v>
      </c>
      <c r="U180" s="0" t="str">
        <f aca="false">IF((ISBLANK(B180)*1+ISBLANK(C180)*1+ISBLANK(D180)*1+ISBLANK(E180)*1+ISBLANK(F180)*1+ISBLANK(I180)*1+ISBLANK(J180)*1+ISBLANK(K180)*1+ISBLANK(L180)*1+ISBLANK(M180)*1+ISBLANK(N180)*1+ISBLANK(O180)*1)&gt;0,"Missing Data","OK")</f>
        <v>OK</v>
      </c>
      <c r="V180" s="0" t="str">
        <f aca="false">IF(T180&gt;=6,"High Risk",IF(T180&gt;=3,"Medium Risk","Low Risk"))</f>
        <v>Medium Risk</v>
      </c>
    </row>
    <row r="181" customFormat="false" ht="12.8" hidden="false" customHeight="false" outlineLevel="0" collapsed="false">
      <c r="A181" s="1" t="s">
        <v>211</v>
      </c>
      <c r="B181" s="1" t="s">
        <v>23</v>
      </c>
      <c r="C181" s="1" t="s">
        <v>34</v>
      </c>
      <c r="D181" s="1" t="n">
        <v>19.71</v>
      </c>
      <c r="E181" s="1" t="n">
        <v>23</v>
      </c>
      <c r="F181" s="4" t="n">
        <v>44071</v>
      </c>
      <c r="G181" s="1" t="s">
        <v>25</v>
      </c>
      <c r="H181" s="1" t="n">
        <v>0</v>
      </c>
      <c r="I181" s="1" t="n">
        <v>12.6</v>
      </c>
      <c r="J181" s="1" t="n">
        <v>9</v>
      </c>
      <c r="K181" s="1" t="n">
        <v>0</v>
      </c>
      <c r="L181" s="1" t="n">
        <v>3</v>
      </c>
      <c r="M181" s="1" t="n">
        <v>0</v>
      </c>
      <c r="N181" s="1" t="n">
        <v>453.33</v>
      </c>
      <c r="O181" s="1" t="n">
        <v>0</v>
      </c>
      <c r="Q181" s="4" t="n">
        <v>44771</v>
      </c>
      <c r="R181" s="0" t="n">
        <f aca="false">IF(ISBLANK(F181),"Missing",IFERROR(YEAR(F181),"Missing"))</f>
        <v>2020</v>
      </c>
      <c r="S181" s="0" t="str">
        <f aca="false">IF(ISBLANK(E181),"Missing",IF(E181&lt;6,"0-6mo",IF(E181&lt;12,"6-12mo",IF(E181&lt;24,"12-24mo","24mo+"))))</f>
        <v>12-24mo</v>
      </c>
      <c r="T181" s="0" t="n">
        <f aca="false">IF(ISBLANK(C181),0,IF(C181="Month-to-month",2,IF(C181="One year",1,0)))+IF(ISBLANK(I181),0,IF(I181&lt;40,2,IF(I181&lt;55,1,0)))+IF(ISBLANK(M181),0,IF(M181=1,3,0))+IF(ISBLANK(L181),0,IF(L181&gt;=2,1,0))+IF(ISBLANK(E181),0,IF(E181&lt;12,1,0))</f>
        <v>4</v>
      </c>
      <c r="U181" s="0" t="str">
        <f aca="false">IF((ISBLANK(B181)*1+ISBLANK(C181)*1+ISBLANK(D181)*1+ISBLANK(E181)*1+ISBLANK(F181)*1+ISBLANK(I181)*1+ISBLANK(J181)*1+ISBLANK(K181)*1+ISBLANK(L181)*1+ISBLANK(M181)*1+ISBLANK(N181)*1+ISBLANK(O181)*1)&gt;0,"Missing Data","OK")</f>
        <v>OK</v>
      </c>
      <c r="V181" s="0" t="str">
        <f aca="false">IF(T181&gt;=6,"High Risk",IF(T181&gt;=3,"Medium Risk","Low Risk"))</f>
        <v>Medium Risk</v>
      </c>
    </row>
    <row r="182" customFormat="false" ht="12.8" hidden="false" customHeight="false" outlineLevel="0" collapsed="false">
      <c r="A182" s="1" t="s">
        <v>212</v>
      </c>
      <c r="B182" s="1" t="s">
        <v>36</v>
      </c>
      <c r="C182" s="1" t="s">
        <v>51</v>
      </c>
      <c r="D182" s="1" t="n">
        <v>9.73</v>
      </c>
      <c r="E182" s="1" t="n">
        <v>34</v>
      </c>
      <c r="F182" s="4" t="n">
        <v>44072</v>
      </c>
      <c r="G182" s="1" t="s">
        <v>25</v>
      </c>
      <c r="H182" s="1" t="n">
        <v>0</v>
      </c>
      <c r="I182" s="1" t="n">
        <v>49.6</v>
      </c>
      <c r="J182" s="1" t="n">
        <v>13</v>
      </c>
      <c r="K182" s="1" t="n">
        <v>5</v>
      </c>
      <c r="L182" s="1" t="n">
        <v>1</v>
      </c>
      <c r="M182" s="1" t="n">
        <v>1</v>
      </c>
      <c r="N182" s="1" t="n">
        <v>330.82</v>
      </c>
      <c r="O182" s="1" t="n">
        <v>0</v>
      </c>
      <c r="Q182" s="4" t="n">
        <v>45106</v>
      </c>
      <c r="R182" s="0" t="n">
        <f aca="false">IF(ISBLANK(F182),"Missing",IFERROR(YEAR(F182),"Missing"))</f>
        <v>2020</v>
      </c>
      <c r="S182" s="0" t="str">
        <f aca="false">IF(ISBLANK(E182),"Missing",IF(E182&lt;6,"0-6mo",IF(E182&lt;12,"6-12mo",IF(E182&lt;24,"12-24mo","24mo+"))))</f>
        <v>24mo+</v>
      </c>
      <c r="T182" s="0" t="n">
        <f aca="false">IF(ISBLANK(C182),0,IF(C182="Month-to-month",2,IF(C182="One year",1,0)))+IF(ISBLANK(I182),0,IF(I182&lt;40,2,IF(I182&lt;55,1,0)))+IF(ISBLANK(M182),0,IF(M182=1,3,0))+IF(ISBLANK(L182),0,IF(L182&gt;=2,1,0))+IF(ISBLANK(E182),0,IF(E182&lt;12,1,0))</f>
        <v>4</v>
      </c>
      <c r="U182" s="0" t="str">
        <f aca="false">IF((ISBLANK(B182)*1+ISBLANK(C182)*1+ISBLANK(D182)*1+ISBLANK(E182)*1+ISBLANK(F182)*1+ISBLANK(I182)*1+ISBLANK(J182)*1+ISBLANK(K182)*1+ISBLANK(L182)*1+ISBLANK(M182)*1+ISBLANK(N182)*1+ISBLANK(O182)*1)&gt;0,"Missing Data","OK")</f>
        <v>OK</v>
      </c>
      <c r="V182" s="0" t="str">
        <f aca="false">IF(T182&gt;=6,"High Risk",IF(T182&gt;=3,"Medium Risk","Low Risk"))</f>
        <v>Medium Risk</v>
      </c>
    </row>
    <row r="183" customFormat="false" ht="12.8" hidden="false" customHeight="false" outlineLevel="0" collapsed="false">
      <c r="A183" s="1" t="s">
        <v>213</v>
      </c>
      <c r="B183" s="1" t="s">
        <v>36</v>
      </c>
      <c r="C183" s="1" t="s">
        <v>34</v>
      </c>
      <c r="D183" s="1" t="n">
        <v>11.41</v>
      </c>
      <c r="E183" s="1" t="n">
        <v>0</v>
      </c>
      <c r="F183" s="4" t="n">
        <v>44073</v>
      </c>
      <c r="G183" s="1" t="s">
        <v>25</v>
      </c>
      <c r="H183" s="1" t="n">
        <v>0</v>
      </c>
      <c r="I183" s="1" t="n">
        <v>7.7</v>
      </c>
      <c r="J183" s="1" t="n">
        <v>0</v>
      </c>
      <c r="K183" s="1" t="n">
        <v>1</v>
      </c>
      <c r="L183" s="1" t="n">
        <v>1</v>
      </c>
      <c r="M183" s="1" t="n">
        <v>0</v>
      </c>
      <c r="N183" s="1" t="n">
        <v>0</v>
      </c>
      <c r="O183" s="1" t="n">
        <v>0</v>
      </c>
      <c r="Q183" s="4" t="n">
        <v>44073</v>
      </c>
      <c r="R183" s="0" t="n">
        <f aca="false">IF(ISBLANK(F183),"Missing",IFERROR(YEAR(F183),"Missing"))</f>
        <v>2020</v>
      </c>
      <c r="S183" s="0" t="str">
        <f aca="false">IF(ISBLANK(E183),"Missing",IF(E183&lt;6,"0-6mo",IF(E183&lt;12,"6-12mo",IF(E183&lt;24,"12-24mo","24mo+"))))</f>
        <v>0-6mo</v>
      </c>
      <c r="T183" s="0" t="n">
        <f aca="false">IF(ISBLANK(C183),0,IF(C183="Month-to-month",2,IF(C183="One year",1,0)))+IF(ISBLANK(I183),0,IF(I183&lt;40,2,IF(I183&lt;55,1,0)))+IF(ISBLANK(M183),0,IF(M183=1,3,0))+IF(ISBLANK(L183),0,IF(L183&gt;=2,1,0))+IF(ISBLANK(E183),0,IF(E183&lt;12,1,0))</f>
        <v>4</v>
      </c>
      <c r="U183" s="0" t="str">
        <f aca="false">IF((ISBLANK(B183)*1+ISBLANK(C183)*1+ISBLANK(D183)*1+ISBLANK(E183)*1+ISBLANK(F183)*1+ISBLANK(I183)*1+ISBLANK(J183)*1+ISBLANK(K183)*1+ISBLANK(L183)*1+ISBLANK(M183)*1+ISBLANK(N183)*1+ISBLANK(O183)*1)&gt;0,"Missing Data","OK")</f>
        <v>OK</v>
      </c>
      <c r="V183" s="0" t="str">
        <f aca="false">IF(T183&gt;=6,"High Risk",IF(T183&gt;=3,"Medium Risk","Low Risk"))</f>
        <v>Medium Risk</v>
      </c>
    </row>
    <row r="184" customFormat="false" ht="12.8" hidden="false" customHeight="false" outlineLevel="0" collapsed="false">
      <c r="A184" s="1" t="s">
        <v>214</v>
      </c>
      <c r="B184" s="1" t="s">
        <v>29</v>
      </c>
      <c r="C184" s="1" t="s">
        <v>24</v>
      </c>
      <c r="D184" s="1" t="n">
        <v>39.93</v>
      </c>
      <c r="E184" s="1" t="n">
        <v>46</v>
      </c>
      <c r="F184" s="4" t="n">
        <v>44075</v>
      </c>
      <c r="G184" s="1" t="s">
        <v>25</v>
      </c>
      <c r="H184" s="1" t="n">
        <v>1</v>
      </c>
      <c r="I184" s="1" t="n">
        <v>62.9</v>
      </c>
      <c r="J184" s="1" t="n">
        <v>23</v>
      </c>
      <c r="K184" s="1" t="n">
        <v>9</v>
      </c>
      <c r="L184" s="1" t="n">
        <v>1</v>
      </c>
      <c r="M184" s="1" t="n">
        <v>0</v>
      </c>
      <c r="N184" s="1" t="n">
        <v>1836.78</v>
      </c>
      <c r="O184" s="1" t="n">
        <v>0</v>
      </c>
      <c r="Q184" s="4" t="n">
        <v>45475</v>
      </c>
      <c r="R184" s="0" t="n">
        <f aca="false">IF(ISBLANK(F184),"Missing",IFERROR(YEAR(F184),"Missing"))</f>
        <v>2020</v>
      </c>
      <c r="S184" s="0" t="str">
        <f aca="false">IF(ISBLANK(E184),"Missing",IF(E184&lt;6,"0-6mo",IF(E184&lt;12,"6-12mo",IF(E184&lt;24,"12-24mo","24mo+"))))</f>
        <v>24mo+</v>
      </c>
      <c r="T184" s="0" t="n">
        <f aca="false">IF(ISBLANK(C184),0,IF(C184="Month-to-month",2,IF(C184="One year",1,0)))+IF(ISBLANK(I184),0,IF(I184&lt;40,2,IF(I184&lt;55,1,0)))+IF(ISBLANK(M184),0,IF(M184=1,3,0))+IF(ISBLANK(L184),0,IF(L184&gt;=2,1,0))+IF(ISBLANK(E184),0,IF(E184&lt;12,1,0))</f>
        <v>2</v>
      </c>
      <c r="U184" s="0" t="str">
        <f aca="false">IF((ISBLANK(B184)*1+ISBLANK(C184)*1+ISBLANK(D184)*1+ISBLANK(E184)*1+ISBLANK(F184)*1+ISBLANK(I184)*1+ISBLANK(J184)*1+ISBLANK(K184)*1+ISBLANK(L184)*1+ISBLANK(M184)*1+ISBLANK(N184)*1+ISBLANK(O184)*1)&gt;0,"Missing Data","OK")</f>
        <v>OK</v>
      </c>
      <c r="V184" s="0" t="str">
        <f aca="false">IF(T184&gt;=6,"High Risk",IF(T184&gt;=3,"Medium Risk","Low Risk"))</f>
        <v>Low Risk</v>
      </c>
    </row>
    <row r="185" customFormat="false" ht="12.8" hidden="false" customHeight="false" outlineLevel="0" collapsed="false">
      <c r="A185" s="1" t="s">
        <v>215</v>
      </c>
      <c r="B185" s="1" t="s">
        <v>23</v>
      </c>
      <c r="C185" s="1" t="s">
        <v>24</v>
      </c>
      <c r="D185" s="1" t="n">
        <v>18.47</v>
      </c>
      <c r="E185" s="1" t="n">
        <v>2</v>
      </c>
      <c r="F185" s="4" t="n">
        <v>44081</v>
      </c>
      <c r="G185" s="1" t="s">
        <v>25</v>
      </c>
      <c r="H185" s="1" t="n">
        <v>1</v>
      </c>
      <c r="I185" s="1" t="n">
        <v>47.1</v>
      </c>
      <c r="J185" s="1" t="n">
        <v>7</v>
      </c>
      <c r="K185" s="1" t="n">
        <v>5</v>
      </c>
      <c r="L185" s="1" t="n">
        <v>3</v>
      </c>
      <c r="M185" s="1" t="n">
        <v>1</v>
      </c>
      <c r="N185" s="1" t="n">
        <v>36.94</v>
      </c>
      <c r="O185" s="1" t="n">
        <v>1</v>
      </c>
      <c r="P185" s="4" t="n">
        <v>44141</v>
      </c>
      <c r="Q185" s="4" t="n">
        <v>44141</v>
      </c>
      <c r="R185" s="0" t="n">
        <f aca="false">IF(ISBLANK(F185),"Missing",IFERROR(YEAR(F185),"Missing"))</f>
        <v>2020</v>
      </c>
      <c r="S185" s="0" t="str">
        <f aca="false">IF(ISBLANK(E185),"Missing",IF(E185&lt;6,"0-6mo",IF(E185&lt;12,"6-12mo",IF(E185&lt;24,"12-24mo","24mo+"))))</f>
        <v>0-6mo</v>
      </c>
      <c r="T185" s="0" t="n">
        <f aca="false">IF(ISBLANK(C185),0,IF(C185="Month-to-month",2,IF(C185="One year",1,0)))+IF(ISBLANK(I185),0,IF(I185&lt;40,2,IF(I185&lt;55,1,0)))+IF(ISBLANK(M185),0,IF(M185=1,3,0))+IF(ISBLANK(L185),0,IF(L185&gt;=2,1,0))+IF(ISBLANK(E185),0,IF(E185&lt;12,1,0))</f>
        <v>8</v>
      </c>
      <c r="U185" s="0" t="str">
        <f aca="false">IF((ISBLANK(B185)*1+ISBLANK(C185)*1+ISBLANK(D185)*1+ISBLANK(E185)*1+ISBLANK(F185)*1+ISBLANK(I185)*1+ISBLANK(J185)*1+ISBLANK(K185)*1+ISBLANK(L185)*1+ISBLANK(M185)*1+ISBLANK(N185)*1+ISBLANK(O185)*1)&gt;0,"Missing Data","OK")</f>
        <v>OK</v>
      </c>
      <c r="V185" s="0" t="str">
        <f aca="false">IF(T185&gt;=6,"High Risk",IF(T185&gt;=3,"Medium Risk","Low Risk"))</f>
        <v>High Risk</v>
      </c>
    </row>
    <row r="186" customFormat="false" ht="12.8" hidden="false" customHeight="false" outlineLevel="0" collapsed="false">
      <c r="A186" s="1" t="s">
        <v>216</v>
      </c>
      <c r="B186" s="1" t="s">
        <v>36</v>
      </c>
      <c r="C186" s="1" t="s">
        <v>24</v>
      </c>
      <c r="D186" s="1" t="n">
        <v>9.34</v>
      </c>
      <c r="E186" s="1" t="n">
        <v>11</v>
      </c>
      <c r="F186" s="4" t="n">
        <v>44081</v>
      </c>
      <c r="G186" s="1" t="s">
        <v>30</v>
      </c>
      <c r="H186" s="1" t="n">
        <v>0</v>
      </c>
      <c r="I186" s="1" t="n">
        <v>43.1</v>
      </c>
      <c r="J186" s="1" t="n">
        <v>14</v>
      </c>
      <c r="K186" s="1" t="n">
        <v>5</v>
      </c>
      <c r="L186" s="1" t="n">
        <v>4</v>
      </c>
      <c r="M186" s="1" t="n">
        <v>0</v>
      </c>
      <c r="N186" s="1" t="n">
        <v>102.74</v>
      </c>
      <c r="O186" s="1" t="n">
        <v>1</v>
      </c>
      <c r="P186" s="4" t="n">
        <v>44415</v>
      </c>
      <c r="Q186" s="4" t="n">
        <v>44415</v>
      </c>
      <c r="R186" s="0" t="n">
        <f aca="false">IF(ISBLANK(F186),"Missing",IFERROR(YEAR(F186),"Missing"))</f>
        <v>2020</v>
      </c>
      <c r="S186" s="0" t="str">
        <f aca="false">IF(ISBLANK(E186),"Missing",IF(E186&lt;6,"0-6mo",IF(E186&lt;12,"6-12mo",IF(E186&lt;24,"12-24mo","24mo+"))))</f>
        <v>6-12mo</v>
      </c>
      <c r="T186" s="0" t="n">
        <f aca="false">IF(ISBLANK(C186),0,IF(C186="Month-to-month",2,IF(C186="One year",1,0)))+IF(ISBLANK(I186),0,IF(I186&lt;40,2,IF(I186&lt;55,1,0)))+IF(ISBLANK(M186),0,IF(M186=1,3,0))+IF(ISBLANK(L186),0,IF(L186&gt;=2,1,0))+IF(ISBLANK(E186),0,IF(E186&lt;12,1,0))</f>
        <v>5</v>
      </c>
      <c r="U186" s="0" t="str">
        <f aca="false">IF((ISBLANK(B186)*1+ISBLANK(C186)*1+ISBLANK(D186)*1+ISBLANK(E186)*1+ISBLANK(F186)*1+ISBLANK(I186)*1+ISBLANK(J186)*1+ISBLANK(K186)*1+ISBLANK(L186)*1+ISBLANK(M186)*1+ISBLANK(N186)*1+ISBLANK(O186)*1)&gt;0,"Missing Data","OK")</f>
        <v>OK</v>
      </c>
      <c r="V186" s="0" t="str">
        <f aca="false">IF(T186&gt;=6,"High Risk",IF(T186&gt;=3,"Medium Risk","Low Risk"))</f>
        <v>Medium Risk</v>
      </c>
    </row>
    <row r="187" customFormat="false" ht="12.8" hidden="false" customHeight="false" outlineLevel="0" collapsed="false">
      <c r="A187" s="1" t="s">
        <v>217</v>
      </c>
      <c r="B187" s="1" t="s">
        <v>36</v>
      </c>
      <c r="C187" s="1" t="s">
        <v>24</v>
      </c>
      <c r="D187" s="1" t="n">
        <v>10.32</v>
      </c>
      <c r="E187" s="1" t="n">
        <v>3</v>
      </c>
      <c r="F187" s="4" t="n">
        <v>44081</v>
      </c>
      <c r="G187" s="1" t="s">
        <v>25</v>
      </c>
      <c r="H187" s="1" t="n">
        <v>1</v>
      </c>
      <c r="I187" s="1" t="n">
        <v>53.5</v>
      </c>
      <c r="J187" s="1" t="n">
        <v>11</v>
      </c>
      <c r="K187" s="1" t="n">
        <v>6</v>
      </c>
      <c r="L187" s="1" t="n">
        <v>2</v>
      </c>
      <c r="M187" s="1" t="n">
        <v>1</v>
      </c>
      <c r="N187" s="1" t="n">
        <v>30.96</v>
      </c>
      <c r="O187" s="1" t="n">
        <v>0</v>
      </c>
      <c r="Q187" s="4" t="n">
        <v>44172</v>
      </c>
      <c r="R187" s="0" t="n">
        <f aca="false">IF(ISBLANK(F187),"Missing",IFERROR(YEAR(F187),"Missing"))</f>
        <v>2020</v>
      </c>
      <c r="S187" s="0" t="str">
        <f aca="false">IF(ISBLANK(E187),"Missing",IF(E187&lt;6,"0-6mo",IF(E187&lt;12,"6-12mo",IF(E187&lt;24,"12-24mo","24mo+"))))</f>
        <v>0-6mo</v>
      </c>
      <c r="T187" s="0" t="n">
        <f aca="false">IF(ISBLANK(C187),0,IF(C187="Month-to-month",2,IF(C187="One year",1,0)))+IF(ISBLANK(I187),0,IF(I187&lt;40,2,IF(I187&lt;55,1,0)))+IF(ISBLANK(M187),0,IF(M187=1,3,0))+IF(ISBLANK(L187),0,IF(L187&gt;=2,1,0))+IF(ISBLANK(E187),0,IF(E187&lt;12,1,0))</f>
        <v>8</v>
      </c>
      <c r="U187" s="0" t="str">
        <f aca="false">IF((ISBLANK(B187)*1+ISBLANK(C187)*1+ISBLANK(D187)*1+ISBLANK(E187)*1+ISBLANK(F187)*1+ISBLANK(I187)*1+ISBLANK(J187)*1+ISBLANK(K187)*1+ISBLANK(L187)*1+ISBLANK(M187)*1+ISBLANK(N187)*1+ISBLANK(O187)*1)&gt;0,"Missing Data","OK")</f>
        <v>OK</v>
      </c>
      <c r="V187" s="0" t="str">
        <f aca="false">IF(T187&gt;=6,"High Risk",IF(T187&gt;=3,"Medium Risk","Low Risk"))</f>
        <v>High Risk</v>
      </c>
    </row>
    <row r="188" customFormat="false" ht="12.8" hidden="false" customHeight="false" outlineLevel="0" collapsed="false">
      <c r="A188" s="1" t="s">
        <v>218</v>
      </c>
      <c r="B188" s="1" t="s">
        <v>36</v>
      </c>
      <c r="C188" s="1" t="s">
        <v>34</v>
      </c>
      <c r="D188" s="1" t="n">
        <v>10.78</v>
      </c>
      <c r="E188" s="1" t="n">
        <v>39</v>
      </c>
      <c r="F188" s="4" t="n">
        <v>44082</v>
      </c>
      <c r="G188" s="1" t="s">
        <v>25</v>
      </c>
      <c r="H188" s="1" t="n">
        <v>0</v>
      </c>
      <c r="I188" s="1" t="n">
        <v>63.4</v>
      </c>
      <c r="J188" s="1" t="n">
        <v>22</v>
      </c>
      <c r="K188" s="1" t="n">
        <v>5</v>
      </c>
      <c r="L188" s="1" t="n">
        <v>0</v>
      </c>
      <c r="M188" s="1" t="n">
        <v>0</v>
      </c>
      <c r="N188" s="1" t="n">
        <v>420.42</v>
      </c>
      <c r="O188" s="1" t="n">
        <v>0</v>
      </c>
      <c r="Q188" s="4" t="n">
        <v>45269</v>
      </c>
      <c r="R188" s="0" t="n">
        <f aca="false">IF(ISBLANK(F188),"Missing",IFERROR(YEAR(F188),"Missing"))</f>
        <v>2020</v>
      </c>
      <c r="S188" s="0" t="str">
        <f aca="false">IF(ISBLANK(E188),"Missing",IF(E188&lt;6,"0-6mo",IF(E188&lt;12,"6-12mo",IF(E188&lt;24,"12-24mo","24mo+"))))</f>
        <v>24mo+</v>
      </c>
      <c r="T188" s="0" t="n">
        <f aca="false">IF(ISBLANK(C188),0,IF(C188="Month-to-month",2,IF(C188="One year",1,0)))+IF(ISBLANK(I188),0,IF(I188&lt;40,2,IF(I188&lt;55,1,0)))+IF(ISBLANK(M188),0,IF(M188=1,3,0))+IF(ISBLANK(L188),0,IF(L188&gt;=2,1,0))+IF(ISBLANK(E188),0,IF(E188&lt;12,1,0))</f>
        <v>1</v>
      </c>
      <c r="U188" s="0" t="str">
        <f aca="false">IF((ISBLANK(B188)*1+ISBLANK(C188)*1+ISBLANK(D188)*1+ISBLANK(E188)*1+ISBLANK(F188)*1+ISBLANK(I188)*1+ISBLANK(J188)*1+ISBLANK(K188)*1+ISBLANK(L188)*1+ISBLANK(M188)*1+ISBLANK(N188)*1+ISBLANK(O188)*1)&gt;0,"Missing Data","OK")</f>
        <v>OK</v>
      </c>
      <c r="V188" s="0" t="str">
        <f aca="false">IF(T188&gt;=6,"High Risk",IF(T188&gt;=3,"Medium Risk","Low Risk"))</f>
        <v>Low Risk</v>
      </c>
    </row>
    <row r="189" customFormat="false" ht="12.8" hidden="false" customHeight="false" outlineLevel="0" collapsed="false">
      <c r="A189" s="1" t="s">
        <v>219</v>
      </c>
      <c r="B189" s="1" t="s">
        <v>36</v>
      </c>
      <c r="C189" s="1" t="s">
        <v>24</v>
      </c>
      <c r="D189" s="1" t="n">
        <v>10.01</v>
      </c>
      <c r="E189" s="1" t="n">
        <v>4</v>
      </c>
      <c r="F189" s="4" t="n">
        <v>44082</v>
      </c>
      <c r="G189" s="1" t="s">
        <v>25</v>
      </c>
      <c r="H189" s="1" t="n">
        <v>0</v>
      </c>
      <c r="I189" s="1" t="n">
        <v>49.8</v>
      </c>
      <c r="J189" s="1" t="n">
        <v>14</v>
      </c>
      <c r="K189" s="1" t="n">
        <v>3</v>
      </c>
      <c r="L189" s="1" t="n">
        <v>0</v>
      </c>
      <c r="M189" s="1" t="n">
        <v>0</v>
      </c>
      <c r="N189" s="1" t="n">
        <v>40.04</v>
      </c>
      <c r="O189" s="1" t="n">
        <v>1</v>
      </c>
      <c r="P189" s="4" t="n">
        <v>44203</v>
      </c>
      <c r="Q189" s="4" t="n">
        <v>44203</v>
      </c>
      <c r="R189" s="0" t="n">
        <f aca="false">IF(ISBLANK(F189),"Missing",IFERROR(YEAR(F189),"Missing"))</f>
        <v>2020</v>
      </c>
      <c r="S189" s="0" t="str">
        <f aca="false">IF(ISBLANK(E189),"Missing",IF(E189&lt;6,"0-6mo",IF(E189&lt;12,"6-12mo",IF(E189&lt;24,"12-24mo","24mo+"))))</f>
        <v>0-6mo</v>
      </c>
      <c r="T189" s="0" t="n">
        <f aca="false">IF(ISBLANK(C189),0,IF(C189="Month-to-month",2,IF(C189="One year",1,0)))+IF(ISBLANK(I189),0,IF(I189&lt;40,2,IF(I189&lt;55,1,0)))+IF(ISBLANK(M189),0,IF(M189=1,3,0))+IF(ISBLANK(L189),0,IF(L189&gt;=2,1,0))+IF(ISBLANK(E189),0,IF(E189&lt;12,1,0))</f>
        <v>4</v>
      </c>
      <c r="U189" s="0" t="str">
        <f aca="false">IF((ISBLANK(B189)*1+ISBLANK(C189)*1+ISBLANK(D189)*1+ISBLANK(E189)*1+ISBLANK(F189)*1+ISBLANK(I189)*1+ISBLANK(J189)*1+ISBLANK(K189)*1+ISBLANK(L189)*1+ISBLANK(M189)*1+ISBLANK(N189)*1+ISBLANK(O189)*1)&gt;0,"Missing Data","OK")</f>
        <v>OK</v>
      </c>
      <c r="V189" s="0" t="str">
        <f aca="false">IF(T189&gt;=6,"High Risk",IF(T189&gt;=3,"Medium Risk","Low Risk"))</f>
        <v>Medium Risk</v>
      </c>
    </row>
    <row r="190" customFormat="false" ht="12.8" hidden="false" customHeight="false" outlineLevel="0" collapsed="false">
      <c r="A190" s="1" t="s">
        <v>220</v>
      </c>
      <c r="B190" s="1" t="s">
        <v>36</v>
      </c>
      <c r="C190" s="1" t="s">
        <v>24</v>
      </c>
      <c r="D190" s="1" t="n">
        <v>10.43</v>
      </c>
      <c r="E190" s="1" t="n">
        <v>52</v>
      </c>
      <c r="F190" s="4" t="n">
        <v>44085</v>
      </c>
      <c r="G190" s="1" t="s">
        <v>30</v>
      </c>
      <c r="H190" s="1" t="n">
        <v>1</v>
      </c>
      <c r="I190" s="1" t="n">
        <v>41.8</v>
      </c>
      <c r="J190" s="1" t="n">
        <v>9</v>
      </c>
      <c r="K190" s="1" t="n">
        <v>7</v>
      </c>
      <c r="L190" s="1" t="n">
        <v>3</v>
      </c>
      <c r="M190" s="1" t="n">
        <v>0</v>
      </c>
      <c r="N190" s="1" t="n">
        <v>542.36</v>
      </c>
      <c r="O190" s="1" t="n">
        <v>0</v>
      </c>
      <c r="Q190" s="4" t="n">
        <v>45667</v>
      </c>
      <c r="R190" s="0" t="n">
        <f aca="false">IF(ISBLANK(F190),"Missing",IFERROR(YEAR(F190),"Missing"))</f>
        <v>2020</v>
      </c>
      <c r="S190" s="0" t="str">
        <f aca="false">IF(ISBLANK(E190),"Missing",IF(E190&lt;6,"0-6mo",IF(E190&lt;12,"6-12mo",IF(E190&lt;24,"12-24mo","24mo+"))))</f>
        <v>24mo+</v>
      </c>
      <c r="T190" s="0" t="n">
        <f aca="false">IF(ISBLANK(C190),0,IF(C190="Month-to-month",2,IF(C190="One year",1,0)))+IF(ISBLANK(I190),0,IF(I190&lt;40,2,IF(I190&lt;55,1,0)))+IF(ISBLANK(M190),0,IF(M190=1,3,0))+IF(ISBLANK(L190),0,IF(L190&gt;=2,1,0))+IF(ISBLANK(E190),0,IF(E190&lt;12,1,0))</f>
        <v>4</v>
      </c>
      <c r="U190" s="0" t="str">
        <f aca="false">IF((ISBLANK(B190)*1+ISBLANK(C190)*1+ISBLANK(D190)*1+ISBLANK(E190)*1+ISBLANK(F190)*1+ISBLANK(I190)*1+ISBLANK(J190)*1+ISBLANK(K190)*1+ISBLANK(L190)*1+ISBLANK(M190)*1+ISBLANK(N190)*1+ISBLANK(O190)*1)&gt;0,"Missing Data","OK")</f>
        <v>OK</v>
      </c>
      <c r="V190" s="0" t="str">
        <f aca="false">IF(T190&gt;=6,"High Risk",IF(T190&gt;=3,"Medium Risk","Low Risk"))</f>
        <v>Medium Risk</v>
      </c>
    </row>
    <row r="191" customFormat="false" ht="12.8" hidden="false" customHeight="false" outlineLevel="0" collapsed="false">
      <c r="A191" s="1" t="s">
        <v>221</v>
      </c>
      <c r="B191" s="1" t="s">
        <v>36</v>
      </c>
      <c r="C191" s="1" t="s">
        <v>24</v>
      </c>
      <c r="D191" s="1" t="n">
        <v>9.91</v>
      </c>
      <c r="E191" s="1" t="n">
        <v>66</v>
      </c>
      <c r="F191" s="4" t="n">
        <v>44085</v>
      </c>
      <c r="G191" s="1" t="s">
        <v>39</v>
      </c>
      <c r="H191" s="1" t="n">
        <v>1</v>
      </c>
      <c r="I191" s="1" t="n">
        <v>35.6</v>
      </c>
      <c r="J191" s="1" t="n">
        <v>14</v>
      </c>
      <c r="K191" s="1" t="n">
        <v>5</v>
      </c>
      <c r="L191" s="1" t="n">
        <v>0</v>
      </c>
      <c r="M191" s="1" t="n">
        <v>0</v>
      </c>
      <c r="N191" s="1" t="n">
        <v>654.06</v>
      </c>
      <c r="O191" s="1" t="n">
        <v>0</v>
      </c>
      <c r="Q191" s="4" t="n">
        <v>46094</v>
      </c>
      <c r="R191" s="0" t="n">
        <f aca="false">IF(ISBLANK(F191),"Missing",IFERROR(YEAR(F191),"Missing"))</f>
        <v>2020</v>
      </c>
      <c r="S191" s="0" t="str">
        <f aca="false">IF(ISBLANK(E191),"Missing",IF(E191&lt;6,"0-6mo",IF(E191&lt;12,"6-12mo",IF(E191&lt;24,"12-24mo","24mo+"))))</f>
        <v>24mo+</v>
      </c>
      <c r="T191" s="0" t="n">
        <f aca="false">IF(ISBLANK(C191),0,IF(C191="Month-to-month",2,IF(C191="One year",1,0)))+IF(ISBLANK(I191),0,IF(I191&lt;40,2,IF(I191&lt;55,1,0)))+IF(ISBLANK(M191),0,IF(M191=1,3,0))+IF(ISBLANK(L191),0,IF(L191&gt;=2,1,0))+IF(ISBLANK(E191),0,IF(E191&lt;12,1,0))</f>
        <v>4</v>
      </c>
      <c r="U191" s="0" t="str">
        <f aca="false">IF((ISBLANK(B191)*1+ISBLANK(C191)*1+ISBLANK(D191)*1+ISBLANK(E191)*1+ISBLANK(F191)*1+ISBLANK(I191)*1+ISBLANK(J191)*1+ISBLANK(K191)*1+ISBLANK(L191)*1+ISBLANK(M191)*1+ISBLANK(N191)*1+ISBLANK(O191)*1)&gt;0,"Missing Data","OK")</f>
        <v>OK</v>
      </c>
      <c r="V191" s="0" t="str">
        <f aca="false">IF(T191&gt;=6,"High Risk",IF(T191&gt;=3,"Medium Risk","Low Risk"))</f>
        <v>Medium Risk</v>
      </c>
    </row>
    <row r="192" customFormat="false" ht="12.8" hidden="false" customHeight="false" outlineLevel="0" collapsed="false">
      <c r="A192" s="1" t="s">
        <v>222</v>
      </c>
      <c r="B192" s="1" t="s">
        <v>29</v>
      </c>
      <c r="C192" s="1" t="s">
        <v>24</v>
      </c>
      <c r="D192" s="1" t="n">
        <v>37.85</v>
      </c>
      <c r="E192" s="1" t="n">
        <v>36</v>
      </c>
      <c r="F192" s="4" t="n">
        <v>44086</v>
      </c>
      <c r="G192" s="1" t="s">
        <v>39</v>
      </c>
      <c r="H192" s="1" t="n">
        <v>1</v>
      </c>
      <c r="I192" s="1" t="n">
        <v>70.4</v>
      </c>
      <c r="J192" s="1" t="n">
        <v>23</v>
      </c>
      <c r="K192" s="1" t="n">
        <v>4</v>
      </c>
      <c r="L192" s="1" t="n">
        <v>0</v>
      </c>
      <c r="M192" s="1" t="n">
        <v>0</v>
      </c>
      <c r="N192" s="1" t="n">
        <v>1362.6</v>
      </c>
      <c r="O192" s="1" t="n">
        <v>0</v>
      </c>
      <c r="Q192" s="4" t="n">
        <v>45181</v>
      </c>
      <c r="R192" s="0" t="n">
        <f aca="false">IF(ISBLANK(F192),"Missing",IFERROR(YEAR(F192),"Missing"))</f>
        <v>2020</v>
      </c>
      <c r="S192" s="0" t="str">
        <f aca="false">IF(ISBLANK(E192),"Missing",IF(E192&lt;6,"0-6mo",IF(E192&lt;12,"6-12mo",IF(E192&lt;24,"12-24mo","24mo+"))))</f>
        <v>24mo+</v>
      </c>
      <c r="T192" s="0" t="n">
        <f aca="false">IF(ISBLANK(C192),0,IF(C192="Month-to-month",2,IF(C192="One year",1,0)))+IF(ISBLANK(I192),0,IF(I192&lt;40,2,IF(I192&lt;55,1,0)))+IF(ISBLANK(M192),0,IF(M192=1,3,0))+IF(ISBLANK(L192),0,IF(L192&gt;=2,1,0))+IF(ISBLANK(E192),0,IF(E192&lt;12,1,0))</f>
        <v>2</v>
      </c>
      <c r="U192" s="0" t="str">
        <f aca="false">IF((ISBLANK(B192)*1+ISBLANK(C192)*1+ISBLANK(D192)*1+ISBLANK(E192)*1+ISBLANK(F192)*1+ISBLANK(I192)*1+ISBLANK(J192)*1+ISBLANK(K192)*1+ISBLANK(L192)*1+ISBLANK(M192)*1+ISBLANK(N192)*1+ISBLANK(O192)*1)&gt;0,"Missing Data","OK")</f>
        <v>OK</v>
      </c>
      <c r="V192" s="0" t="str">
        <f aca="false">IF(T192&gt;=6,"High Risk",IF(T192&gt;=3,"Medium Risk","Low Risk"))</f>
        <v>Low Risk</v>
      </c>
    </row>
    <row r="193" customFormat="false" ht="12.8" hidden="false" customHeight="false" outlineLevel="0" collapsed="false">
      <c r="A193" s="1" t="s">
        <v>223</v>
      </c>
      <c r="B193" s="1" t="s">
        <v>23</v>
      </c>
      <c r="C193" s="1" t="s">
        <v>24</v>
      </c>
      <c r="D193" s="1" t="n">
        <v>20.81</v>
      </c>
      <c r="E193" s="1" t="n">
        <v>2</v>
      </c>
      <c r="F193" s="4" t="n">
        <v>44087</v>
      </c>
      <c r="G193" s="1" t="s">
        <v>27</v>
      </c>
      <c r="H193" s="1" t="n">
        <v>1</v>
      </c>
      <c r="I193" s="1" t="n">
        <v>82.1</v>
      </c>
      <c r="J193" s="1" t="n">
        <v>22</v>
      </c>
      <c r="K193" s="1" t="n">
        <v>6</v>
      </c>
      <c r="L193" s="1" t="n">
        <v>2</v>
      </c>
      <c r="M193" s="1" t="n">
        <v>0</v>
      </c>
      <c r="N193" s="1" t="n">
        <v>41.62</v>
      </c>
      <c r="O193" s="1" t="n">
        <v>0</v>
      </c>
      <c r="Q193" s="4" t="n">
        <v>44147</v>
      </c>
      <c r="R193" s="0" t="n">
        <f aca="false">IF(ISBLANK(F193),"Missing",IFERROR(YEAR(F193),"Missing"))</f>
        <v>2020</v>
      </c>
      <c r="S193" s="0" t="str">
        <f aca="false">IF(ISBLANK(E193),"Missing",IF(E193&lt;6,"0-6mo",IF(E193&lt;12,"6-12mo",IF(E193&lt;24,"12-24mo","24mo+"))))</f>
        <v>0-6mo</v>
      </c>
      <c r="T193" s="0" t="n">
        <f aca="false">IF(ISBLANK(C193),0,IF(C193="Month-to-month",2,IF(C193="One year",1,0)))+IF(ISBLANK(I193),0,IF(I193&lt;40,2,IF(I193&lt;55,1,0)))+IF(ISBLANK(M193),0,IF(M193=1,3,0))+IF(ISBLANK(L193),0,IF(L193&gt;=2,1,0))+IF(ISBLANK(E193),0,IF(E193&lt;12,1,0))</f>
        <v>4</v>
      </c>
      <c r="U193" s="0" t="str">
        <f aca="false">IF((ISBLANK(B193)*1+ISBLANK(C193)*1+ISBLANK(D193)*1+ISBLANK(E193)*1+ISBLANK(F193)*1+ISBLANK(I193)*1+ISBLANK(J193)*1+ISBLANK(K193)*1+ISBLANK(L193)*1+ISBLANK(M193)*1+ISBLANK(N193)*1+ISBLANK(O193)*1)&gt;0,"Missing Data","OK")</f>
        <v>OK</v>
      </c>
      <c r="V193" s="0" t="str">
        <f aca="false">IF(T193&gt;=6,"High Risk",IF(T193&gt;=3,"Medium Risk","Low Risk"))</f>
        <v>Medium Risk</v>
      </c>
    </row>
    <row r="194" customFormat="false" ht="12.8" hidden="false" customHeight="false" outlineLevel="0" collapsed="false">
      <c r="A194" s="1" t="s">
        <v>224</v>
      </c>
      <c r="B194" s="1" t="s">
        <v>23</v>
      </c>
      <c r="C194" s="1" t="s">
        <v>34</v>
      </c>
      <c r="D194" s="1" t="n">
        <v>19.54</v>
      </c>
      <c r="E194" s="1" t="n">
        <v>5</v>
      </c>
      <c r="F194" s="4" t="n">
        <v>44089</v>
      </c>
      <c r="G194" s="1" t="s">
        <v>25</v>
      </c>
      <c r="H194" s="1" t="n">
        <v>1</v>
      </c>
      <c r="I194" s="1" t="n">
        <v>47.6</v>
      </c>
      <c r="J194" s="1" t="n">
        <v>17</v>
      </c>
      <c r="K194" s="1" t="n">
        <v>5</v>
      </c>
      <c r="L194" s="1" t="n">
        <v>0</v>
      </c>
      <c r="M194" s="1" t="n">
        <v>0</v>
      </c>
      <c r="N194" s="1" t="n">
        <v>97.7</v>
      </c>
      <c r="O194" s="1" t="n">
        <v>0</v>
      </c>
      <c r="Q194" s="4" t="n">
        <v>44241</v>
      </c>
      <c r="R194" s="0" t="n">
        <f aca="false">IF(ISBLANK(F194),"Missing",IFERROR(YEAR(F194),"Missing"))</f>
        <v>2020</v>
      </c>
      <c r="S194" s="0" t="str">
        <f aca="false">IF(ISBLANK(E194),"Missing",IF(E194&lt;6,"0-6mo",IF(E194&lt;12,"6-12mo",IF(E194&lt;24,"12-24mo","24mo+"))))</f>
        <v>0-6mo</v>
      </c>
      <c r="T194" s="0" t="n">
        <f aca="false">IF(ISBLANK(C194),0,IF(C194="Month-to-month",2,IF(C194="One year",1,0)))+IF(ISBLANK(I194),0,IF(I194&lt;40,2,IF(I194&lt;55,1,0)))+IF(ISBLANK(M194),0,IF(M194=1,3,0))+IF(ISBLANK(L194),0,IF(L194&gt;=2,1,0))+IF(ISBLANK(E194),0,IF(E194&lt;12,1,0))</f>
        <v>3</v>
      </c>
      <c r="U194" s="0" t="str">
        <f aca="false">IF((ISBLANK(B194)*1+ISBLANK(C194)*1+ISBLANK(D194)*1+ISBLANK(E194)*1+ISBLANK(F194)*1+ISBLANK(I194)*1+ISBLANK(J194)*1+ISBLANK(K194)*1+ISBLANK(L194)*1+ISBLANK(M194)*1+ISBLANK(N194)*1+ISBLANK(O194)*1)&gt;0,"Missing Data","OK")</f>
        <v>OK</v>
      </c>
      <c r="V194" s="0" t="str">
        <f aca="false">IF(T194&gt;=6,"High Risk",IF(T194&gt;=3,"Medium Risk","Low Risk"))</f>
        <v>Medium Risk</v>
      </c>
    </row>
    <row r="195" customFormat="false" ht="12.8" hidden="false" customHeight="false" outlineLevel="0" collapsed="false">
      <c r="A195" s="1" t="s">
        <v>225</v>
      </c>
      <c r="B195" s="1" t="s">
        <v>29</v>
      </c>
      <c r="C195" s="1" t="s">
        <v>51</v>
      </c>
      <c r="D195" s="1" t="n">
        <v>40.68</v>
      </c>
      <c r="E195" s="1" t="n">
        <v>9</v>
      </c>
      <c r="F195" s="4" t="n">
        <v>44090</v>
      </c>
      <c r="G195" s="1" t="s">
        <v>30</v>
      </c>
      <c r="H195" s="1" t="n">
        <v>1</v>
      </c>
      <c r="I195" s="1" t="n">
        <v>70.4</v>
      </c>
      <c r="J195" s="1" t="n">
        <v>20</v>
      </c>
      <c r="K195" s="1" t="n">
        <v>9</v>
      </c>
      <c r="L195" s="1" t="n">
        <v>1</v>
      </c>
      <c r="M195" s="1" t="n">
        <v>1</v>
      </c>
      <c r="N195" s="1" t="n">
        <v>366.12</v>
      </c>
      <c r="O195" s="1" t="n">
        <v>0</v>
      </c>
      <c r="Q195" s="4" t="n">
        <v>44363</v>
      </c>
      <c r="R195" s="0" t="n">
        <f aca="false">IF(ISBLANK(F195),"Missing",IFERROR(YEAR(F195),"Missing"))</f>
        <v>2020</v>
      </c>
      <c r="S195" s="0" t="str">
        <f aca="false">IF(ISBLANK(E195),"Missing",IF(E195&lt;6,"0-6mo",IF(E195&lt;12,"6-12mo",IF(E195&lt;24,"12-24mo","24mo+"))))</f>
        <v>6-12mo</v>
      </c>
      <c r="T195" s="0" t="n">
        <f aca="false">IF(ISBLANK(C195),0,IF(C195="Month-to-month",2,IF(C195="One year",1,0)))+IF(ISBLANK(I195),0,IF(I195&lt;40,2,IF(I195&lt;55,1,0)))+IF(ISBLANK(M195),0,IF(M195=1,3,0))+IF(ISBLANK(L195),0,IF(L195&gt;=2,1,0))+IF(ISBLANK(E195),0,IF(E195&lt;12,1,0))</f>
        <v>4</v>
      </c>
      <c r="U195" s="0" t="str">
        <f aca="false">IF((ISBLANK(B195)*1+ISBLANK(C195)*1+ISBLANK(D195)*1+ISBLANK(E195)*1+ISBLANK(F195)*1+ISBLANK(I195)*1+ISBLANK(J195)*1+ISBLANK(K195)*1+ISBLANK(L195)*1+ISBLANK(M195)*1+ISBLANK(N195)*1+ISBLANK(O195)*1)&gt;0,"Missing Data","OK")</f>
        <v>OK</v>
      </c>
      <c r="V195" s="0" t="str">
        <f aca="false">IF(T195&gt;=6,"High Risk",IF(T195&gt;=3,"Medium Risk","Low Risk"))</f>
        <v>Medium Risk</v>
      </c>
    </row>
    <row r="196" customFormat="false" ht="12.8" hidden="false" customHeight="false" outlineLevel="0" collapsed="false">
      <c r="A196" s="1" t="s">
        <v>226</v>
      </c>
      <c r="B196" s="1" t="s">
        <v>23</v>
      </c>
      <c r="C196" s="1" t="s">
        <v>24</v>
      </c>
      <c r="D196" s="1" t="n">
        <v>21.5</v>
      </c>
      <c r="E196" s="1" t="n">
        <v>10</v>
      </c>
      <c r="F196" s="4" t="n">
        <v>44093</v>
      </c>
      <c r="G196" s="1" t="s">
        <v>25</v>
      </c>
      <c r="H196" s="1" t="n">
        <v>1</v>
      </c>
      <c r="I196" s="1" t="n">
        <v>42.2</v>
      </c>
      <c r="J196" s="1" t="n">
        <v>11</v>
      </c>
      <c r="K196" s="1" t="n">
        <v>2</v>
      </c>
      <c r="L196" s="1" t="n">
        <v>0</v>
      </c>
      <c r="M196" s="1" t="n">
        <v>0</v>
      </c>
      <c r="N196" s="1" t="n">
        <v>215</v>
      </c>
      <c r="O196" s="1" t="n">
        <v>0</v>
      </c>
      <c r="Q196" s="4" t="n">
        <v>44397</v>
      </c>
      <c r="R196" s="0" t="n">
        <f aca="false">IF(ISBLANK(F196),"Missing",IFERROR(YEAR(F196),"Missing"))</f>
        <v>2020</v>
      </c>
      <c r="S196" s="0" t="str">
        <f aca="false">IF(ISBLANK(E196),"Missing",IF(E196&lt;6,"0-6mo",IF(E196&lt;12,"6-12mo",IF(E196&lt;24,"12-24mo","24mo+"))))</f>
        <v>6-12mo</v>
      </c>
      <c r="T196" s="0" t="n">
        <f aca="false">IF(ISBLANK(C196),0,IF(C196="Month-to-month",2,IF(C196="One year",1,0)))+IF(ISBLANK(I196),0,IF(I196&lt;40,2,IF(I196&lt;55,1,0)))+IF(ISBLANK(M196),0,IF(M196=1,3,0))+IF(ISBLANK(L196),0,IF(L196&gt;=2,1,0))+IF(ISBLANK(E196),0,IF(E196&lt;12,1,0))</f>
        <v>4</v>
      </c>
      <c r="U196" s="0" t="str">
        <f aca="false">IF((ISBLANK(B196)*1+ISBLANK(C196)*1+ISBLANK(D196)*1+ISBLANK(E196)*1+ISBLANK(F196)*1+ISBLANK(I196)*1+ISBLANK(J196)*1+ISBLANK(K196)*1+ISBLANK(L196)*1+ISBLANK(M196)*1+ISBLANK(N196)*1+ISBLANK(O196)*1)&gt;0,"Missing Data","OK")</f>
        <v>OK</v>
      </c>
      <c r="V196" s="0" t="str">
        <f aca="false">IF(T196&gt;=6,"High Risk",IF(T196&gt;=3,"Medium Risk","Low Risk"))</f>
        <v>Medium Risk</v>
      </c>
    </row>
    <row r="197" customFormat="false" ht="12.8" hidden="false" customHeight="false" outlineLevel="0" collapsed="false">
      <c r="A197" s="1" t="s">
        <v>227</v>
      </c>
      <c r="B197" s="1" t="s">
        <v>23</v>
      </c>
      <c r="C197" s="1" t="s">
        <v>34</v>
      </c>
      <c r="D197" s="1" t="n">
        <v>20.48</v>
      </c>
      <c r="E197" s="1" t="n">
        <v>11</v>
      </c>
      <c r="F197" s="4" t="n">
        <v>44094</v>
      </c>
      <c r="G197" s="1" t="s">
        <v>25</v>
      </c>
      <c r="H197" s="1" t="n">
        <v>1</v>
      </c>
      <c r="I197" s="1" t="n">
        <v>50.1</v>
      </c>
      <c r="J197" s="1" t="n">
        <v>15</v>
      </c>
      <c r="K197" s="1" t="n">
        <v>5</v>
      </c>
      <c r="L197" s="1" t="n">
        <v>2</v>
      </c>
      <c r="M197" s="1" t="n">
        <v>1</v>
      </c>
      <c r="N197" s="1" t="n">
        <v>225.28</v>
      </c>
      <c r="O197" s="1" t="n">
        <v>0</v>
      </c>
      <c r="Q197" s="4" t="n">
        <v>44428</v>
      </c>
      <c r="R197" s="0" t="n">
        <f aca="false">IF(ISBLANK(F197),"Missing",IFERROR(YEAR(F197),"Missing"))</f>
        <v>2020</v>
      </c>
      <c r="S197" s="0" t="str">
        <f aca="false">IF(ISBLANK(E197),"Missing",IF(E197&lt;6,"0-6mo",IF(E197&lt;12,"6-12mo",IF(E197&lt;24,"12-24mo","24mo+"))))</f>
        <v>6-12mo</v>
      </c>
      <c r="T197" s="0" t="n">
        <f aca="false">IF(ISBLANK(C197),0,IF(C197="Month-to-month",2,IF(C197="One year",1,0)))+IF(ISBLANK(I197),0,IF(I197&lt;40,2,IF(I197&lt;55,1,0)))+IF(ISBLANK(M197),0,IF(M197=1,3,0))+IF(ISBLANK(L197),0,IF(L197&gt;=2,1,0))+IF(ISBLANK(E197),0,IF(E197&lt;12,1,0))</f>
        <v>7</v>
      </c>
      <c r="U197" s="0" t="str">
        <f aca="false">IF((ISBLANK(B197)*1+ISBLANK(C197)*1+ISBLANK(D197)*1+ISBLANK(E197)*1+ISBLANK(F197)*1+ISBLANK(I197)*1+ISBLANK(J197)*1+ISBLANK(K197)*1+ISBLANK(L197)*1+ISBLANK(M197)*1+ISBLANK(N197)*1+ISBLANK(O197)*1)&gt;0,"Missing Data","OK")</f>
        <v>OK</v>
      </c>
      <c r="V197" s="0" t="str">
        <f aca="false">IF(T197&gt;=6,"High Risk",IF(T197&gt;=3,"Medium Risk","Low Risk"))</f>
        <v>High Risk</v>
      </c>
    </row>
    <row r="198" customFormat="false" ht="12.8" hidden="false" customHeight="false" outlineLevel="0" collapsed="false">
      <c r="A198" s="1" t="s">
        <v>228</v>
      </c>
      <c r="B198" s="1" t="s">
        <v>36</v>
      </c>
      <c r="C198" s="1" t="s">
        <v>24</v>
      </c>
      <c r="D198" s="1" t="n">
        <v>7.74</v>
      </c>
      <c r="E198" s="1" t="n">
        <v>12</v>
      </c>
      <c r="F198" s="4" t="n">
        <v>44096</v>
      </c>
      <c r="G198" s="1" t="s">
        <v>25</v>
      </c>
      <c r="H198" s="1" t="n">
        <v>1</v>
      </c>
      <c r="I198" s="1" t="n">
        <v>46.6</v>
      </c>
      <c r="J198" s="1" t="n">
        <v>12</v>
      </c>
      <c r="K198" s="1" t="n">
        <v>3</v>
      </c>
      <c r="L198" s="1" t="n">
        <v>0</v>
      </c>
      <c r="M198" s="1" t="n">
        <v>0</v>
      </c>
      <c r="N198" s="1" t="n">
        <v>92.88</v>
      </c>
      <c r="O198" s="1" t="n">
        <v>0</v>
      </c>
      <c r="Q198" s="4" t="n">
        <v>44461</v>
      </c>
      <c r="R198" s="0" t="n">
        <f aca="false">IF(ISBLANK(F198),"Missing",IFERROR(YEAR(F198),"Missing"))</f>
        <v>2020</v>
      </c>
      <c r="S198" s="0" t="str">
        <f aca="false">IF(ISBLANK(E198),"Missing",IF(E198&lt;6,"0-6mo",IF(E198&lt;12,"6-12mo",IF(E198&lt;24,"12-24mo","24mo+"))))</f>
        <v>12-24mo</v>
      </c>
      <c r="T198" s="0" t="n">
        <f aca="false">IF(ISBLANK(C198),0,IF(C198="Month-to-month",2,IF(C198="One year",1,0)))+IF(ISBLANK(I198),0,IF(I198&lt;40,2,IF(I198&lt;55,1,0)))+IF(ISBLANK(M198),0,IF(M198=1,3,0))+IF(ISBLANK(L198),0,IF(L198&gt;=2,1,0))+IF(ISBLANK(E198),0,IF(E198&lt;12,1,0))</f>
        <v>3</v>
      </c>
      <c r="U198" s="0" t="str">
        <f aca="false">IF((ISBLANK(B198)*1+ISBLANK(C198)*1+ISBLANK(D198)*1+ISBLANK(E198)*1+ISBLANK(F198)*1+ISBLANK(I198)*1+ISBLANK(J198)*1+ISBLANK(K198)*1+ISBLANK(L198)*1+ISBLANK(M198)*1+ISBLANK(N198)*1+ISBLANK(O198)*1)&gt;0,"Missing Data","OK")</f>
        <v>OK</v>
      </c>
      <c r="V198" s="0" t="str">
        <f aca="false">IF(T198&gt;=6,"High Risk",IF(T198&gt;=3,"Medium Risk","Low Risk"))</f>
        <v>Medium Risk</v>
      </c>
    </row>
    <row r="199" customFormat="false" ht="12.8" hidden="false" customHeight="false" outlineLevel="0" collapsed="false">
      <c r="A199" s="1" t="s">
        <v>229</v>
      </c>
      <c r="B199" s="1" t="s">
        <v>36</v>
      </c>
      <c r="C199" s="1" t="s">
        <v>34</v>
      </c>
      <c r="D199" s="1" t="n">
        <v>10.4</v>
      </c>
      <c r="E199" s="1" t="n">
        <v>55</v>
      </c>
      <c r="F199" s="4" t="n">
        <v>44100</v>
      </c>
      <c r="G199" s="1" t="s">
        <v>39</v>
      </c>
      <c r="H199" s="1" t="n">
        <v>1</v>
      </c>
      <c r="I199" s="1" t="n">
        <v>61.2</v>
      </c>
      <c r="J199" s="1" t="n">
        <v>21</v>
      </c>
      <c r="K199" s="1" t="n">
        <v>5</v>
      </c>
      <c r="L199" s="1" t="n">
        <v>2</v>
      </c>
      <c r="M199" s="1" t="n">
        <v>1</v>
      </c>
      <c r="N199" s="1" t="n">
        <v>572</v>
      </c>
      <c r="O199" s="1" t="n">
        <v>0</v>
      </c>
      <c r="Q199" s="4" t="n">
        <v>45774</v>
      </c>
      <c r="R199" s="0" t="n">
        <f aca="false">IF(ISBLANK(F199),"Missing",IFERROR(YEAR(F199),"Missing"))</f>
        <v>2020</v>
      </c>
      <c r="S199" s="0" t="str">
        <f aca="false">IF(ISBLANK(E199),"Missing",IF(E199&lt;6,"0-6mo",IF(E199&lt;12,"6-12mo",IF(E199&lt;24,"12-24mo","24mo+"))))</f>
        <v>24mo+</v>
      </c>
      <c r="T199" s="0" t="n">
        <f aca="false">IF(ISBLANK(C199),0,IF(C199="Month-to-month",2,IF(C199="One year",1,0)))+IF(ISBLANK(I199),0,IF(I199&lt;40,2,IF(I199&lt;55,1,0)))+IF(ISBLANK(M199),0,IF(M199=1,3,0))+IF(ISBLANK(L199),0,IF(L199&gt;=2,1,0))+IF(ISBLANK(E199),0,IF(E199&lt;12,1,0))</f>
        <v>5</v>
      </c>
      <c r="U199" s="0" t="str">
        <f aca="false">IF((ISBLANK(B199)*1+ISBLANK(C199)*1+ISBLANK(D199)*1+ISBLANK(E199)*1+ISBLANK(F199)*1+ISBLANK(I199)*1+ISBLANK(J199)*1+ISBLANK(K199)*1+ISBLANK(L199)*1+ISBLANK(M199)*1+ISBLANK(N199)*1+ISBLANK(O199)*1)&gt;0,"Missing Data","OK")</f>
        <v>OK</v>
      </c>
      <c r="V199" s="0" t="str">
        <f aca="false">IF(T199&gt;=6,"High Risk",IF(T199&gt;=3,"Medium Risk","Low Risk"))</f>
        <v>Medium Risk</v>
      </c>
    </row>
    <row r="200" customFormat="false" ht="12.8" hidden="false" customHeight="false" outlineLevel="0" collapsed="false">
      <c r="A200" s="1" t="s">
        <v>230</v>
      </c>
      <c r="B200" s="1" t="s">
        <v>23</v>
      </c>
      <c r="C200" s="1" t="s">
        <v>34</v>
      </c>
      <c r="D200" s="1" t="n">
        <v>19.15</v>
      </c>
      <c r="E200" s="1" t="n">
        <v>42</v>
      </c>
      <c r="F200" s="4" t="n">
        <v>44104</v>
      </c>
      <c r="G200" s="1" t="s">
        <v>39</v>
      </c>
      <c r="H200" s="1" t="n">
        <v>0</v>
      </c>
      <c r="I200" s="1" t="n">
        <v>67</v>
      </c>
      <c r="J200" s="1" t="n">
        <v>23</v>
      </c>
      <c r="K200" s="1" t="n">
        <v>7</v>
      </c>
      <c r="L200" s="1" t="n">
        <v>1</v>
      </c>
      <c r="M200" s="1" t="n">
        <v>0</v>
      </c>
      <c r="N200" s="1" t="n">
        <v>804.3</v>
      </c>
      <c r="O200" s="1" t="n">
        <v>0</v>
      </c>
      <c r="Q200" s="4" t="n">
        <v>45382</v>
      </c>
      <c r="R200" s="0" t="n">
        <f aca="false">IF(ISBLANK(F200),"Missing",IFERROR(YEAR(F200),"Missing"))</f>
        <v>2020</v>
      </c>
      <c r="S200" s="0" t="str">
        <f aca="false">IF(ISBLANK(E200),"Missing",IF(E200&lt;6,"0-6mo",IF(E200&lt;12,"6-12mo",IF(E200&lt;24,"12-24mo","24mo+"))))</f>
        <v>24mo+</v>
      </c>
      <c r="T200" s="0" t="n">
        <f aca="false">IF(ISBLANK(C200),0,IF(C200="Month-to-month",2,IF(C200="One year",1,0)))+IF(ISBLANK(I200),0,IF(I200&lt;40,2,IF(I200&lt;55,1,0)))+IF(ISBLANK(M200),0,IF(M200=1,3,0))+IF(ISBLANK(L200),0,IF(L200&gt;=2,1,0))+IF(ISBLANK(E200),0,IF(E200&lt;12,1,0))</f>
        <v>1</v>
      </c>
      <c r="U200" s="0" t="str">
        <f aca="false">IF((ISBLANK(B200)*1+ISBLANK(C200)*1+ISBLANK(D200)*1+ISBLANK(E200)*1+ISBLANK(F200)*1+ISBLANK(I200)*1+ISBLANK(J200)*1+ISBLANK(K200)*1+ISBLANK(L200)*1+ISBLANK(M200)*1+ISBLANK(N200)*1+ISBLANK(O200)*1)&gt;0,"Missing Data","OK")</f>
        <v>OK</v>
      </c>
      <c r="V200" s="0" t="str">
        <f aca="false">IF(T200&gt;=6,"High Risk",IF(T200&gt;=3,"Medium Risk","Low Risk"))</f>
        <v>Low Risk</v>
      </c>
    </row>
    <row r="201" customFormat="false" ht="12.8" hidden="false" customHeight="false" outlineLevel="0" collapsed="false">
      <c r="A201" s="1" t="s">
        <v>231</v>
      </c>
      <c r="B201" s="1" t="s">
        <v>36</v>
      </c>
      <c r="C201" s="1" t="s">
        <v>34</v>
      </c>
      <c r="D201" s="1" t="n">
        <v>10.53</v>
      </c>
      <c r="E201" s="1" t="n">
        <v>69</v>
      </c>
      <c r="F201" s="4" t="n">
        <v>44104</v>
      </c>
      <c r="G201" s="1" t="s">
        <v>27</v>
      </c>
      <c r="H201" s="1" t="n">
        <v>0</v>
      </c>
      <c r="I201" s="1" t="n">
        <v>74.2</v>
      </c>
      <c r="J201" s="1" t="n">
        <v>19</v>
      </c>
      <c r="K201" s="1" t="n">
        <v>8</v>
      </c>
      <c r="L201" s="1" t="n">
        <v>1</v>
      </c>
      <c r="M201" s="1" t="n">
        <v>1</v>
      </c>
      <c r="N201" s="1" t="n">
        <v>726.57</v>
      </c>
      <c r="O201" s="1" t="n">
        <v>0</v>
      </c>
      <c r="Q201" s="4" t="n">
        <v>46204</v>
      </c>
      <c r="R201" s="0" t="n">
        <f aca="false">IF(ISBLANK(F201),"Missing",IFERROR(YEAR(F201),"Missing"))</f>
        <v>2020</v>
      </c>
      <c r="S201" s="0" t="str">
        <f aca="false">IF(ISBLANK(E201),"Missing",IF(E201&lt;6,"0-6mo",IF(E201&lt;12,"6-12mo",IF(E201&lt;24,"12-24mo","24mo+"))))</f>
        <v>24mo+</v>
      </c>
      <c r="T201" s="0" t="n">
        <f aca="false">IF(ISBLANK(C201),0,IF(C201="Month-to-month",2,IF(C201="One year",1,0)))+IF(ISBLANK(I201),0,IF(I201&lt;40,2,IF(I201&lt;55,1,0)))+IF(ISBLANK(M201),0,IF(M201=1,3,0))+IF(ISBLANK(L201),0,IF(L201&gt;=2,1,0))+IF(ISBLANK(E201),0,IF(E201&lt;12,1,0))</f>
        <v>4</v>
      </c>
      <c r="U201" s="0" t="str">
        <f aca="false">IF((ISBLANK(B201)*1+ISBLANK(C201)*1+ISBLANK(D201)*1+ISBLANK(E201)*1+ISBLANK(F201)*1+ISBLANK(I201)*1+ISBLANK(J201)*1+ISBLANK(K201)*1+ISBLANK(L201)*1+ISBLANK(M201)*1+ISBLANK(N201)*1+ISBLANK(O201)*1)&gt;0,"Missing Data","OK")</f>
        <v>OK</v>
      </c>
      <c r="V201" s="0" t="str">
        <f aca="false">IF(T201&gt;=6,"High Risk",IF(T201&gt;=3,"Medium Risk","Low Risk"))</f>
        <v>Medium Risk</v>
      </c>
    </row>
    <row r="202" customFormat="false" ht="12.8" hidden="false" customHeight="false" outlineLevel="0" collapsed="false">
      <c r="A202" s="1" t="s">
        <v>232</v>
      </c>
      <c r="B202" s="1" t="s">
        <v>36</v>
      </c>
      <c r="C202" s="1" t="s">
        <v>24</v>
      </c>
      <c r="D202" s="1" t="n">
        <v>8.16</v>
      </c>
      <c r="E202" s="1" t="n">
        <v>68</v>
      </c>
      <c r="F202" s="4" t="n">
        <v>44105</v>
      </c>
      <c r="G202" s="1" t="s">
        <v>27</v>
      </c>
      <c r="H202" s="1" t="n">
        <v>1</v>
      </c>
      <c r="I202" s="1" t="n">
        <v>42.9</v>
      </c>
      <c r="J202" s="1" t="n">
        <v>22</v>
      </c>
      <c r="K202" s="1" t="n">
        <v>3</v>
      </c>
      <c r="L202" s="1" t="n">
        <v>3</v>
      </c>
      <c r="M202" s="1" t="n">
        <v>0</v>
      </c>
      <c r="N202" s="1" t="n">
        <v>554.88</v>
      </c>
      <c r="O202" s="1" t="n">
        <v>0</v>
      </c>
      <c r="Q202" s="4" t="n">
        <v>46174</v>
      </c>
      <c r="R202" s="0" t="n">
        <f aca="false">IF(ISBLANK(F202),"Missing",IFERROR(YEAR(F202),"Missing"))</f>
        <v>2020</v>
      </c>
      <c r="S202" s="0" t="str">
        <f aca="false">IF(ISBLANK(E202),"Missing",IF(E202&lt;6,"0-6mo",IF(E202&lt;12,"6-12mo",IF(E202&lt;24,"12-24mo","24mo+"))))</f>
        <v>24mo+</v>
      </c>
      <c r="T202" s="0" t="n">
        <f aca="false">IF(ISBLANK(C202),0,IF(C202="Month-to-month",2,IF(C202="One year",1,0)))+IF(ISBLANK(I202),0,IF(I202&lt;40,2,IF(I202&lt;55,1,0)))+IF(ISBLANK(M202),0,IF(M202=1,3,0))+IF(ISBLANK(L202),0,IF(L202&gt;=2,1,0))+IF(ISBLANK(E202),0,IF(E202&lt;12,1,0))</f>
        <v>4</v>
      </c>
      <c r="U202" s="0" t="str">
        <f aca="false">IF((ISBLANK(B202)*1+ISBLANK(C202)*1+ISBLANK(D202)*1+ISBLANK(E202)*1+ISBLANK(F202)*1+ISBLANK(I202)*1+ISBLANK(J202)*1+ISBLANK(K202)*1+ISBLANK(L202)*1+ISBLANK(M202)*1+ISBLANK(N202)*1+ISBLANK(O202)*1)&gt;0,"Missing Data","OK")</f>
        <v>OK</v>
      </c>
      <c r="V202" s="0" t="str">
        <f aca="false">IF(T202&gt;=6,"High Risk",IF(T202&gt;=3,"Medium Risk","Low Risk"))</f>
        <v>Medium Risk</v>
      </c>
    </row>
    <row r="203" customFormat="false" ht="12.8" hidden="false" customHeight="false" outlineLevel="0" collapsed="false">
      <c r="A203" s="1" t="s">
        <v>233</v>
      </c>
      <c r="B203" s="1" t="s">
        <v>23</v>
      </c>
      <c r="C203" s="1" t="s">
        <v>34</v>
      </c>
      <c r="D203" s="1" t="n">
        <v>18.59</v>
      </c>
      <c r="E203" s="1" t="n">
        <v>3</v>
      </c>
      <c r="F203" s="4" t="n">
        <v>44108</v>
      </c>
      <c r="G203" s="1" t="s">
        <v>25</v>
      </c>
      <c r="H203" s="1" t="n">
        <v>1</v>
      </c>
      <c r="I203" s="1" t="n">
        <v>21.1</v>
      </c>
      <c r="J203" s="1" t="n">
        <v>9</v>
      </c>
      <c r="K203" s="1" t="n">
        <v>4</v>
      </c>
      <c r="L203" s="1" t="n">
        <v>4</v>
      </c>
      <c r="M203" s="1" t="n">
        <v>0</v>
      </c>
      <c r="N203" s="1" t="n">
        <v>55.77</v>
      </c>
      <c r="O203" s="1" t="n">
        <v>0</v>
      </c>
      <c r="Q203" s="4" t="n">
        <v>44199</v>
      </c>
      <c r="R203" s="0" t="n">
        <f aca="false">IF(ISBLANK(F203),"Missing",IFERROR(YEAR(F203),"Missing"))</f>
        <v>2020</v>
      </c>
      <c r="S203" s="0" t="str">
        <f aca="false">IF(ISBLANK(E203),"Missing",IF(E203&lt;6,"0-6mo",IF(E203&lt;12,"6-12mo",IF(E203&lt;24,"12-24mo","24mo+"))))</f>
        <v>0-6mo</v>
      </c>
      <c r="T203" s="0" t="n">
        <f aca="false">IF(ISBLANK(C203),0,IF(C203="Month-to-month",2,IF(C203="One year",1,0)))+IF(ISBLANK(I203),0,IF(I203&lt;40,2,IF(I203&lt;55,1,0)))+IF(ISBLANK(M203),0,IF(M203=1,3,0))+IF(ISBLANK(L203),0,IF(L203&gt;=2,1,0))+IF(ISBLANK(E203),0,IF(E203&lt;12,1,0))</f>
        <v>5</v>
      </c>
      <c r="U203" s="0" t="str">
        <f aca="false">IF((ISBLANK(B203)*1+ISBLANK(C203)*1+ISBLANK(D203)*1+ISBLANK(E203)*1+ISBLANK(F203)*1+ISBLANK(I203)*1+ISBLANK(J203)*1+ISBLANK(K203)*1+ISBLANK(L203)*1+ISBLANK(M203)*1+ISBLANK(N203)*1+ISBLANK(O203)*1)&gt;0,"Missing Data","OK")</f>
        <v>OK</v>
      </c>
      <c r="V203" s="0" t="str">
        <f aca="false">IF(T203&gt;=6,"High Risk",IF(T203&gt;=3,"Medium Risk","Low Risk"))</f>
        <v>Medium Risk</v>
      </c>
    </row>
    <row r="204" customFormat="false" ht="12.8" hidden="false" customHeight="false" outlineLevel="0" collapsed="false">
      <c r="A204" s="1" t="s">
        <v>234</v>
      </c>
      <c r="B204" s="1" t="s">
        <v>36</v>
      </c>
      <c r="C204" s="1" t="s">
        <v>24</v>
      </c>
      <c r="D204" s="1" t="n">
        <v>12.01</v>
      </c>
      <c r="E204" s="1" t="n">
        <v>66</v>
      </c>
      <c r="F204" s="4" t="n">
        <v>44109</v>
      </c>
      <c r="G204" s="1" t="s">
        <v>39</v>
      </c>
      <c r="H204" s="1" t="n">
        <v>1</v>
      </c>
      <c r="I204" s="1" t="n">
        <v>59.9</v>
      </c>
      <c r="J204" s="1" t="n">
        <v>19</v>
      </c>
      <c r="K204" s="1" t="n">
        <v>5</v>
      </c>
      <c r="L204" s="1" t="n">
        <v>1</v>
      </c>
      <c r="M204" s="1" t="n">
        <v>1</v>
      </c>
      <c r="N204" s="1" t="n">
        <v>792.66</v>
      </c>
      <c r="O204" s="1" t="n">
        <v>0</v>
      </c>
      <c r="Q204" s="4" t="n">
        <v>46118</v>
      </c>
      <c r="R204" s="0" t="n">
        <f aca="false">IF(ISBLANK(F204),"Missing",IFERROR(YEAR(F204),"Missing"))</f>
        <v>2020</v>
      </c>
      <c r="S204" s="0" t="str">
        <f aca="false">IF(ISBLANK(E204),"Missing",IF(E204&lt;6,"0-6mo",IF(E204&lt;12,"6-12mo",IF(E204&lt;24,"12-24mo","24mo+"))))</f>
        <v>24mo+</v>
      </c>
      <c r="T204" s="0" t="n">
        <f aca="false">IF(ISBLANK(C204),0,IF(C204="Month-to-month",2,IF(C204="One year",1,0)))+IF(ISBLANK(I204),0,IF(I204&lt;40,2,IF(I204&lt;55,1,0)))+IF(ISBLANK(M204),0,IF(M204=1,3,0))+IF(ISBLANK(L204),0,IF(L204&gt;=2,1,0))+IF(ISBLANK(E204),0,IF(E204&lt;12,1,0))</f>
        <v>5</v>
      </c>
      <c r="U204" s="0" t="str">
        <f aca="false">IF((ISBLANK(B204)*1+ISBLANK(C204)*1+ISBLANK(D204)*1+ISBLANK(E204)*1+ISBLANK(F204)*1+ISBLANK(I204)*1+ISBLANK(J204)*1+ISBLANK(K204)*1+ISBLANK(L204)*1+ISBLANK(M204)*1+ISBLANK(N204)*1+ISBLANK(O204)*1)&gt;0,"Missing Data","OK")</f>
        <v>OK</v>
      </c>
      <c r="V204" s="0" t="str">
        <f aca="false">IF(T204&gt;=6,"High Risk",IF(T204&gt;=3,"Medium Risk","Low Risk"))</f>
        <v>Medium Risk</v>
      </c>
    </row>
    <row r="205" customFormat="false" ht="12.8" hidden="false" customHeight="false" outlineLevel="0" collapsed="false">
      <c r="A205" s="1" t="s">
        <v>235</v>
      </c>
      <c r="B205" s="1" t="s">
        <v>36</v>
      </c>
      <c r="C205" s="1" t="s">
        <v>24</v>
      </c>
      <c r="D205" s="1" t="n">
        <v>11.89</v>
      </c>
      <c r="E205" s="1" t="n">
        <v>15</v>
      </c>
      <c r="F205" s="4" t="n">
        <v>44109</v>
      </c>
      <c r="G205" s="1" t="s">
        <v>39</v>
      </c>
      <c r="H205" s="1" t="n">
        <v>1</v>
      </c>
      <c r="I205" s="1" t="n">
        <v>42.3</v>
      </c>
      <c r="J205" s="1" t="n">
        <v>13</v>
      </c>
      <c r="K205" s="1" t="n">
        <v>3</v>
      </c>
      <c r="L205" s="1" t="n">
        <v>0</v>
      </c>
      <c r="M205" s="1" t="n">
        <v>0</v>
      </c>
      <c r="N205" s="1" t="n">
        <v>178.35</v>
      </c>
      <c r="O205" s="1" t="n">
        <v>1</v>
      </c>
      <c r="P205" s="4" t="n">
        <v>44565</v>
      </c>
      <c r="Q205" s="4" t="n">
        <v>44565</v>
      </c>
      <c r="R205" s="0" t="n">
        <f aca="false">IF(ISBLANK(F205),"Missing",IFERROR(YEAR(F205),"Missing"))</f>
        <v>2020</v>
      </c>
      <c r="S205" s="0" t="str">
        <f aca="false">IF(ISBLANK(E205),"Missing",IF(E205&lt;6,"0-6mo",IF(E205&lt;12,"6-12mo",IF(E205&lt;24,"12-24mo","24mo+"))))</f>
        <v>12-24mo</v>
      </c>
      <c r="T205" s="0" t="n">
        <f aca="false">IF(ISBLANK(C205),0,IF(C205="Month-to-month",2,IF(C205="One year",1,0)))+IF(ISBLANK(I205),0,IF(I205&lt;40,2,IF(I205&lt;55,1,0)))+IF(ISBLANK(M205),0,IF(M205=1,3,0))+IF(ISBLANK(L205),0,IF(L205&gt;=2,1,0))+IF(ISBLANK(E205),0,IF(E205&lt;12,1,0))</f>
        <v>3</v>
      </c>
      <c r="U205" s="0" t="str">
        <f aca="false">IF((ISBLANK(B205)*1+ISBLANK(C205)*1+ISBLANK(D205)*1+ISBLANK(E205)*1+ISBLANK(F205)*1+ISBLANK(I205)*1+ISBLANK(J205)*1+ISBLANK(K205)*1+ISBLANK(L205)*1+ISBLANK(M205)*1+ISBLANK(N205)*1+ISBLANK(O205)*1)&gt;0,"Missing Data","OK")</f>
        <v>OK</v>
      </c>
      <c r="V205" s="0" t="str">
        <f aca="false">IF(T205&gt;=6,"High Risk",IF(T205&gt;=3,"Medium Risk","Low Risk"))</f>
        <v>Medium Risk</v>
      </c>
    </row>
    <row r="206" customFormat="false" ht="12.8" hidden="false" customHeight="false" outlineLevel="0" collapsed="false">
      <c r="A206" s="1" t="s">
        <v>236</v>
      </c>
      <c r="B206" s="1" t="s">
        <v>36</v>
      </c>
      <c r="C206" s="1" t="s">
        <v>24</v>
      </c>
      <c r="D206" s="1" t="n">
        <v>9.51</v>
      </c>
      <c r="E206" s="1" t="n">
        <v>62</v>
      </c>
      <c r="F206" s="4" t="n">
        <v>44110</v>
      </c>
      <c r="G206" s="1" t="s">
        <v>39</v>
      </c>
      <c r="H206" s="1" t="n">
        <v>0</v>
      </c>
      <c r="I206" s="1" t="n">
        <v>100</v>
      </c>
      <c r="J206" s="1" t="n">
        <v>28</v>
      </c>
      <c r="K206" s="1" t="n">
        <v>10</v>
      </c>
      <c r="L206" s="1" t="n">
        <v>3</v>
      </c>
      <c r="M206" s="1" t="n">
        <v>1</v>
      </c>
      <c r="N206" s="1" t="n">
        <v>589.62</v>
      </c>
      <c r="O206" s="1" t="n">
        <v>0</v>
      </c>
      <c r="Q206" s="4" t="n">
        <v>45997</v>
      </c>
      <c r="R206" s="0" t="n">
        <f aca="false">IF(ISBLANK(F206),"Missing",IFERROR(YEAR(F206),"Missing"))</f>
        <v>2020</v>
      </c>
      <c r="S206" s="0" t="str">
        <f aca="false">IF(ISBLANK(E206),"Missing",IF(E206&lt;6,"0-6mo",IF(E206&lt;12,"6-12mo",IF(E206&lt;24,"12-24mo","24mo+"))))</f>
        <v>24mo+</v>
      </c>
      <c r="T206" s="0" t="n">
        <f aca="false">IF(ISBLANK(C206),0,IF(C206="Month-to-month",2,IF(C206="One year",1,0)))+IF(ISBLANK(I206),0,IF(I206&lt;40,2,IF(I206&lt;55,1,0)))+IF(ISBLANK(M206),0,IF(M206=1,3,0))+IF(ISBLANK(L206),0,IF(L206&gt;=2,1,0))+IF(ISBLANK(E206),0,IF(E206&lt;12,1,0))</f>
        <v>6</v>
      </c>
      <c r="U206" s="0" t="str">
        <f aca="false">IF((ISBLANK(B206)*1+ISBLANK(C206)*1+ISBLANK(D206)*1+ISBLANK(E206)*1+ISBLANK(F206)*1+ISBLANK(I206)*1+ISBLANK(J206)*1+ISBLANK(K206)*1+ISBLANK(L206)*1+ISBLANK(M206)*1+ISBLANK(N206)*1+ISBLANK(O206)*1)&gt;0,"Missing Data","OK")</f>
        <v>OK</v>
      </c>
      <c r="V206" s="0" t="str">
        <f aca="false">IF(T206&gt;=6,"High Risk",IF(T206&gt;=3,"Medium Risk","Low Risk"))</f>
        <v>High Risk</v>
      </c>
    </row>
    <row r="207" customFormat="false" ht="12.8" hidden="false" customHeight="false" outlineLevel="0" collapsed="false">
      <c r="A207" s="1" t="s">
        <v>237</v>
      </c>
      <c r="B207" s="1" t="s">
        <v>36</v>
      </c>
      <c r="C207" s="1" t="s">
        <v>34</v>
      </c>
      <c r="D207" s="1" t="n">
        <v>9.13</v>
      </c>
      <c r="E207" s="1" t="n">
        <v>27</v>
      </c>
      <c r="F207" s="4" t="n">
        <v>44111</v>
      </c>
      <c r="G207" s="1" t="s">
        <v>25</v>
      </c>
      <c r="H207" s="1" t="n">
        <v>1</v>
      </c>
      <c r="I207" s="1" t="n">
        <v>67.8</v>
      </c>
      <c r="J207" s="1" t="n">
        <v>20</v>
      </c>
      <c r="K207" s="1" t="n">
        <v>7</v>
      </c>
      <c r="L207" s="1" t="n">
        <v>3</v>
      </c>
      <c r="M207" s="1" t="n">
        <v>0</v>
      </c>
      <c r="N207" s="1" t="n">
        <v>246.51</v>
      </c>
      <c r="O207" s="1" t="n">
        <v>0</v>
      </c>
      <c r="Q207" s="4" t="n">
        <v>44932</v>
      </c>
      <c r="R207" s="0" t="n">
        <f aca="false">IF(ISBLANK(F207),"Missing",IFERROR(YEAR(F207),"Missing"))</f>
        <v>2020</v>
      </c>
      <c r="S207" s="0" t="str">
        <f aca="false">IF(ISBLANK(E207),"Missing",IF(E207&lt;6,"0-6mo",IF(E207&lt;12,"6-12mo",IF(E207&lt;24,"12-24mo","24mo+"))))</f>
        <v>24mo+</v>
      </c>
      <c r="T207" s="0" t="n">
        <f aca="false">IF(ISBLANK(C207),0,IF(C207="Month-to-month",2,IF(C207="One year",1,0)))+IF(ISBLANK(I207),0,IF(I207&lt;40,2,IF(I207&lt;55,1,0)))+IF(ISBLANK(M207),0,IF(M207=1,3,0))+IF(ISBLANK(L207),0,IF(L207&gt;=2,1,0))+IF(ISBLANK(E207),0,IF(E207&lt;12,1,0))</f>
        <v>2</v>
      </c>
      <c r="U207" s="0" t="str">
        <f aca="false">IF((ISBLANK(B207)*1+ISBLANK(C207)*1+ISBLANK(D207)*1+ISBLANK(E207)*1+ISBLANK(F207)*1+ISBLANK(I207)*1+ISBLANK(J207)*1+ISBLANK(K207)*1+ISBLANK(L207)*1+ISBLANK(M207)*1+ISBLANK(N207)*1+ISBLANK(O207)*1)&gt;0,"Missing Data","OK")</f>
        <v>OK</v>
      </c>
      <c r="V207" s="0" t="str">
        <f aca="false">IF(T207&gt;=6,"High Risk",IF(T207&gt;=3,"Medium Risk","Low Risk"))</f>
        <v>Low Risk</v>
      </c>
    </row>
    <row r="208" customFormat="false" ht="12.8" hidden="false" customHeight="false" outlineLevel="0" collapsed="false">
      <c r="A208" s="1" t="s">
        <v>238</v>
      </c>
      <c r="B208" s="1" t="s">
        <v>29</v>
      </c>
      <c r="C208" s="1" t="s">
        <v>24</v>
      </c>
      <c r="D208" s="1" t="n">
        <v>39.33</v>
      </c>
      <c r="E208" s="1" t="n">
        <v>12</v>
      </c>
      <c r="F208" s="4" t="n">
        <v>44116</v>
      </c>
      <c r="G208" s="1" t="s">
        <v>30</v>
      </c>
      <c r="H208" s="1" t="n">
        <v>0</v>
      </c>
      <c r="I208" s="1" t="n">
        <v>25.8</v>
      </c>
      <c r="J208" s="1" t="n">
        <v>15</v>
      </c>
      <c r="K208" s="1" t="n">
        <v>0</v>
      </c>
      <c r="L208" s="1" t="n">
        <v>2</v>
      </c>
      <c r="M208" s="1" t="n">
        <v>1</v>
      </c>
      <c r="N208" s="1" t="n">
        <v>471.96</v>
      </c>
      <c r="O208" s="1" t="n">
        <v>0</v>
      </c>
      <c r="Q208" s="4" t="n">
        <v>44481</v>
      </c>
      <c r="R208" s="0" t="n">
        <f aca="false">IF(ISBLANK(F208),"Missing",IFERROR(YEAR(F208),"Missing"))</f>
        <v>2020</v>
      </c>
      <c r="S208" s="0" t="str">
        <f aca="false">IF(ISBLANK(E208),"Missing",IF(E208&lt;6,"0-6mo",IF(E208&lt;12,"6-12mo",IF(E208&lt;24,"12-24mo","24mo+"))))</f>
        <v>12-24mo</v>
      </c>
      <c r="T208" s="0" t="n">
        <f aca="false">IF(ISBLANK(C208),0,IF(C208="Month-to-month",2,IF(C208="One year",1,0)))+IF(ISBLANK(I208),0,IF(I208&lt;40,2,IF(I208&lt;55,1,0)))+IF(ISBLANK(M208),0,IF(M208=1,3,0))+IF(ISBLANK(L208),0,IF(L208&gt;=2,1,0))+IF(ISBLANK(E208),0,IF(E208&lt;12,1,0))</f>
        <v>8</v>
      </c>
      <c r="U208" s="0" t="str">
        <f aca="false">IF((ISBLANK(B208)*1+ISBLANK(C208)*1+ISBLANK(D208)*1+ISBLANK(E208)*1+ISBLANK(F208)*1+ISBLANK(I208)*1+ISBLANK(J208)*1+ISBLANK(K208)*1+ISBLANK(L208)*1+ISBLANK(M208)*1+ISBLANK(N208)*1+ISBLANK(O208)*1)&gt;0,"Missing Data","OK")</f>
        <v>OK</v>
      </c>
      <c r="V208" s="0" t="str">
        <f aca="false">IF(T208&gt;=6,"High Risk",IF(T208&gt;=3,"Medium Risk","Low Risk"))</f>
        <v>High Risk</v>
      </c>
    </row>
    <row r="209" customFormat="false" ht="12.8" hidden="false" customHeight="false" outlineLevel="0" collapsed="false">
      <c r="A209" s="1" t="s">
        <v>239</v>
      </c>
      <c r="B209" s="1" t="s">
        <v>36</v>
      </c>
      <c r="C209" s="1" t="s">
        <v>24</v>
      </c>
      <c r="D209" s="1" t="n">
        <v>9.5</v>
      </c>
      <c r="E209" s="1" t="n">
        <v>5</v>
      </c>
      <c r="F209" s="4" t="n">
        <v>44118</v>
      </c>
      <c r="G209" s="1" t="s">
        <v>25</v>
      </c>
      <c r="H209" s="1" t="n">
        <v>1</v>
      </c>
      <c r="I209" s="1" t="n">
        <v>56.8</v>
      </c>
      <c r="J209" s="1" t="n">
        <v>19</v>
      </c>
      <c r="K209" s="1" t="n">
        <v>5</v>
      </c>
      <c r="L209" s="1" t="n">
        <v>0</v>
      </c>
      <c r="M209" s="1" t="n">
        <v>0</v>
      </c>
      <c r="N209" s="1" t="n">
        <v>47.5</v>
      </c>
      <c r="O209" s="1" t="n">
        <v>0</v>
      </c>
      <c r="Q209" s="4" t="n">
        <v>44270</v>
      </c>
      <c r="R209" s="0" t="n">
        <f aca="false">IF(ISBLANK(F209),"Missing",IFERROR(YEAR(F209),"Missing"))</f>
        <v>2020</v>
      </c>
      <c r="S209" s="0" t="str">
        <f aca="false">IF(ISBLANK(E209),"Missing",IF(E209&lt;6,"0-6mo",IF(E209&lt;12,"6-12mo",IF(E209&lt;24,"12-24mo","24mo+"))))</f>
        <v>0-6mo</v>
      </c>
      <c r="T209" s="0" t="n">
        <f aca="false">IF(ISBLANK(C209),0,IF(C209="Month-to-month",2,IF(C209="One year",1,0)))+IF(ISBLANK(I209),0,IF(I209&lt;40,2,IF(I209&lt;55,1,0)))+IF(ISBLANK(M209),0,IF(M209=1,3,0))+IF(ISBLANK(L209),0,IF(L209&gt;=2,1,0))+IF(ISBLANK(E209),0,IF(E209&lt;12,1,0))</f>
        <v>3</v>
      </c>
      <c r="U209" s="0" t="str">
        <f aca="false">IF((ISBLANK(B209)*1+ISBLANK(C209)*1+ISBLANK(D209)*1+ISBLANK(E209)*1+ISBLANK(F209)*1+ISBLANK(I209)*1+ISBLANK(J209)*1+ISBLANK(K209)*1+ISBLANK(L209)*1+ISBLANK(M209)*1+ISBLANK(N209)*1+ISBLANK(O209)*1)&gt;0,"Missing Data","OK")</f>
        <v>OK</v>
      </c>
      <c r="V209" s="0" t="str">
        <f aca="false">IF(T209&gt;=6,"High Risk",IF(T209&gt;=3,"Medium Risk","Low Risk"))</f>
        <v>Medium Risk</v>
      </c>
    </row>
    <row r="210" customFormat="false" ht="12.8" hidden="false" customHeight="false" outlineLevel="0" collapsed="false">
      <c r="A210" s="1" t="s">
        <v>240</v>
      </c>
      <c r="B210" s="1" t="s">
        <v>36</v>
      </c>
      <c r="C210" s="1" t="s">
        <v>24</v>
      </c>
      <c r="D210" s="1" t="n">
        <v>10.91</v>
      </c>
      <c r="E210" s="1" t="n">
        <v>21</v>
      </c>
      <c r="F210" s="4" t="n">
        <v>44119</v>
      </c>
      <c r="G210" s="1" t="s">
        <v>27</v>
      </c>
      <c r="H210" s="1" t="n">
        <v>1</v>
      </c>
      <c r="I210" s="1" t="n">
        <v>54.7</v>
      </c>
      <c r="J210" s="1" t="n">
        <v>14</v>
      </c>
      <c r="K210" s="1" t="n">
        <v>4</v>
      </c>
      <c r="L210" s="1" t="n">
        <v>1</v>
      </c>
      <c r="M210" s="1" t="n">
        <v>1</v>
      </c>
      <c r="N210" s="1" t="n">
        <v>229.11</v>
      </c>
      <c r="O210" s="1" t="n">
        <v>1</v>
      </c>
      <c r="P210" s="4" t="n">
        <v>44758</v>
      </c>
      <c r="Q210" s="4" t="n">
        <v>44758</v>
      </c>
      <c r="R210" s="0" t="n">
        <f aca="false">IF(ISBLANK(F210),"Missing",IFERROR(YEAR(F210),"Missing"))</f>
        <v>2020</v>
      </c>
      <c r="S210" s="0" t="str">
        <f aca="false">IF(ISBLANK(E210),"Missing",IF(E210&lt;6,"0-6mo",IF(E210&lt;12,"6-12mo",IF(E210&lt;24,"12-24mo","24mo+"))))</f>
        <v>12-24mo</v>
      </c>
      <c r="T210" s="0" t="n">
        <f aca="false">IF(ISBLANK(C210),0,IF(C210="Month-to-month",2,IF(C210="One year",1,0)))+IF(ISBLANK(I210),0,IF(I210&lt;40,2,IF(I210&lt;55,1,0)))+IF(ISBLANK(M210),0,IF(M210=1,3,0))+IF(ISBLANK(L210),0,IF(L210&gt;=2,1,0))+IF(ISBLANK(E210),0,IF(E210&lt;12,1,0))</f>
        <v>6</v>
      </c>
      <c r="U210" s="0" t="str">
        <f aca="false">IF((ISBLANK(B210)*1+ISBLANK(C210)*1+ISBLANK(D210)*1+ISBLANK(E210)*1+ISBLANK(F210)*1+ISBLANK(I210)*1+ISBLANK(J210)*1+ISBLANK(K210)*1+ISBLANK(L210)*1+ISBLANK(M210)*1+ISBLANK(N210)*1+ISBLANK(O210)*1)&gt;0,"Missing Data","OK")</f>
        <v>OK</v>
      </c>
      <c r="V210" s="0" t="str">
        <f aca="false">IF(T210&gt;=6,"High Risk",IF(T210&gt;=3,"Medium Risk","Low Risk"))</f>
        <v>High Risk</v>
      </c>
    </row>
    <row r="211" customFormat="false" ht="12.8" hidden="false" customHeight="false" outlineLevel="0" collapsed="false">
      <c r="A211" s="1" t="s">
        <v>241</v>
      </c>
      <c r="B211" s="1" t="s">
        <v>23</v>
      </c>
      <c r="C211" s="1" t="s">
        <v>34</v>
      </c>
      <c r="D211" s="1" t="n">
        <v>19.24</v>
      </c>
      <c r="E211" s="1" t="n">
        <v>12</v>
      </c>
      <c r="F211" s="4" t="n">
        <v>44121</v>
      </c>
      <c r="G211" s="1" t="s">
        <v>25</v>
      </c>
      <c r="H211" s="1" t="n">
        <v>1</v>
      </c>
      <c r="I211" s="1" t="n">
        <v>45.7</v>
      </c>
      <c r="J211" s="1" t="n">
        <v>8</v>
      </c>
      <c r="K211" s="1" t="n">
        <v>8</v>
      </c>
      <c r="L211" s="1" t="n">
        <v>0</v>
      </c>
      <c r="M211" s="1" t="n">
        <v>0</v>
      </c>
      <c r="N211" s="1" t="n">
        <v>230.88</v>
      </c>
      <c r="O211" s="1" t="n">
        <v>0</v>
      </c>
      <c r="Q211" s="4" t="n">
        <v>44486</v>
      </c>
      <c r="R211" s="0" t="n">
        <f aca="false">IF(ISBLANK(F211),"Missing",IFERROR(YEAR(F211),"Missing"))</f>
        <v>2020</v>
      </c>
      <c r="S211" s="0" t="str">
        <f aca="false">IF(ISBLANK(E211),"Missing",IF(E211&lt;6,"0-6mo",IF(E211&lt;12,"6-12mo",IF(E211&lt;24,"12-24mo","24mo+"))))</f>
        <v>12-24mo</v>
      </c>
      <c r="T211" s="0" t="n">
        <f aca="false">IF(ISBLANK(C211),0,IF(C211="Month-to-month",2,IF(C211="One year",1,0)))+IF(ISBLANK(I211),0,IF(I211&lt;40,2,IF(I211&lt;55,1,0)))+IF(ISBLANK(M211),0,IF(M211=1,3,0))+IF(ISBLANK(L211),0,IF(L211&gt;=2,1,0))+IF(ISBLANK(E211),0,IF(E211&lt;12,1,0))</f>
        <v>2</v>
      </c>
      <c r="U211" s="0" t="str">
        <f aca="false">IF((ISBLANK(B211)*1+ISBLANK(C211)*1+ISBLANK(D211)*1+ISBLANK(E211)*1+ISBLANK(F211)*1+ISBLANK(I211)*1+ISBLANK(J211)*1+ISBLANK(K211)*1+ISBLANK(L211)*1+ISBLANK(M211)*1+ISBLANK(N211)*1+ISBLANK(O211)*1)&gt;0,"Missing Data","OK")</f>
        <v>OK</v>
      </c>
      <c r="V211" s="0" t="str">
        <f aca="false">IF(T211&gt;=6,"High Risk",IF(T211&gt;=3,"Medium Risk","Low Risk"))</f>
        <v>Low Risk</v>
      </c>
    </row>
    <row r="212" customFormat="false" ht="12.8" hidden="false" customHeight="false" outlineLevel="0" collapsed="false">
      <c r="A212" s="1" t="s">
        <v>242</v>
      </c>
      <c r="B212" s="1" t="s">
        <v>36</v>
      </c>
      <c r="C212" s="1" t="s">
        <v>24</v>
      </c>
      <c r="D212" s="1" t="n">
        <v>11.01</v>
      </c>
      <c r="E212" s="1" t="n">
        <v>10</v>
      </c>
      <c r="F212" s="4" t="n">
        <v>44122</v>
      </c>
      <c r="G212" s="1" t="s">
        <v>39</v>
      </c>
      <c r="H212" s="1" t="n">
        <v>0</v>
      </c>
      <c r="I212" s="1" t="n">
        <v>31.8</v>
      </c>
      <c r="J212" s="1" t="n">
        <v>6</v>
      </c>
      <c r="K212" s="1" t="n">
        <v>1</v>
      </c>
      <c r="L212" s="1" t="n">
        <v>1</v>
      </c>
      <c r="M212" s="1" t="n">
        <v>0</v>
      </c>
      <c r="N212" s="1" t="n">
        <v>110.1</v>
      </c>
      <c r="O212" s="1" t="n">
        <v>0</v>
      </c>
      <c r="Q212" s="4" t="n">
        <v>44426</v>
      </c>
      <c r="R212" s="0" t="n">
        <f aca="false">IF(ISBLANK(F212),"Missing",IFERROR(YEAR(F212),"Missing"))</f>
        <v>2020</v>
      </c>
      <c r="S212" s="0" t="str">
        <f aca="false">IF(ISBLANK(E212),"Missing",IF(E212&lt;6,"0-6mo",IF(E212&lt;12,"6-12mo",IF(E212&lt;24,"12-24mo","24mo+"))))</f>
        <v>6-12mo</v>
      </c>
      <c r="T212" s="0" t="n">
        <f aca="false">IF(ISBLANK(C212),0,IF(C212="Month-to-month",2,IF(C212="One year",1,0)))+IF(ISBLANK(I212),0,IF(I212&lt;40,2,IF(I212&lt;55,1,0)))+IF(ISBLANK(M212),0,IF(M212=1,3,0))+IF(ISBLANK(L212),0,IF(L212&gt;=2,1,0))+IF(ISBLANK(E212),0,IF(E212&lt;12,1,0))</f>
        <v>5</v>
      </c>
      <c r="U212" s="0" t="str">
        <f aca="false">IF((ISBLANK(B212)*1+ISBLANK(C212)*1+ISBLANK(D212)*1+ISBLANK(E212)*1+ISBLANK(F212)*1+ISBLANK(I212)*1+ISBLANK(J212)*1+ISBLANK(K212)*1+ISBLANK(L212)*1+ISBLANK(M212)*1+ISBLANK(N212)*1+ISBLANK(O212)*1)&gt;0,"Missing Data","OK")</f>
        <v>OK</v>
      </c>
      <c r="V212" s="0" t="str">
        <f aca="false">IF(T212&gt;=6,"High Risk",IF(T212&gt;=3,"Medium Risk","Low Risk"))</f>
        <v>Medium Risk</v>
      </c>
    </row>
    <row r="213" customFormat="false" ht="12.8" hidden="false" customHeight="false" outlineLevel="0" collapsed="false">
      <c r="A213" s="1" t="s">
        <v>243</v>
      </c>
      <c r="B213" s="1" t="s">
        <v>23</v>
      </c>
      <c r="C213" s="1" t="s">
        <v>24</v>
      </c>
      <c r="D213" s="1" t="n">
        <v>21.36</v>
      </c>
      <c r="E213" s="1" t="n">
        <v>6</v>
      </c>
      <c r="F213" s="4" t="n">
        <v>44124</v>
      </c>
      <c r="G213" s="1" t="s">
        <v>25</v>
      </c>
      <c r="H213" s="1" t="n">
        <v>0</v>
      </c>
      <c r="I213" s="1" t="n">
        <v>83</v>
      </c>
      <c r="J213" s="1" t="n">
        <v>29</v>
      </c>
      <c r="K213" s="1" t="n">
        <v>10</v>
      </c>
      <c r="L213" s="1" t="n">
        <v>1</v>
      </c>
      <c r="M213" s="1" t="n">
        <v>1</v>
      </c>
      <c r="N213" s="1" t="n">
        <v>128.16</v>
      </c>
      <c r="O213" s="1" t="n">
        <v>1</v>
      </c>
      <c r="P213" s="4" t="n">
        <v>44306</v>
      </c>
      <c r="Q213" s="4" t="n">
        <v>44306</v>
      </c>
      <c r="R213" s="0" t="n">
        <f aca="false">IF(ISBLANK(F213),"Missing",IFERROR(YEAR(F213),"Missing"))</f>
        <v>2020</v>
      </c>
      <c r="S213" s="0" t="str">
        <f aca="false">IF(ISBLANK(E213),"Missing",IF(E213&lt;6,"0-6mo",IF(E213&lt;12,"6-12mo",IF(E213&lt;24,"12-24mo","24mo+"))))</f>
        <v>6-12mo</v>
      </c>
      <c r="T213" s="0" t="n">
        <f aca="false">IF(ISBLANK(C213),0,IF(C213="Month-to-month",2,IF(C213="One year",1,0)))+IF(ISBLANK(I213),0,IF(I213&lt;40,2,IF(I213&lt;55,1,0)))+IF(ISBLANK(M213),0,IF(M213=1,3,0))+IF(ISBLANK(L213),0,IF(L213&gt;=2,1,0))+IF(ISBLANK(E213),0,IF(E213&lt;12,1,0))</f>
        <v>6</v>
      </c>
      <c r="U213" s="0" t="str">
        <f aca="false">IF((ISBLANK(B213)*1+ISBLANK(C213)*1+ISBLANK(D213)*1+ISBLANK(E213)*1+ISBLANK(F213)*1+ISBLANK(I213)*1+ISBLANK(J213)*1+ISBLANK(K213)*1+ISBLANK(L213)*1+ISBLANK(M213)*1+ISBLANK(N213)*1+ISBLANK(O213)*1)&gt;0,"Missing Data","OK")</f>
        <v>OK</v>
      </c>
      <c r="V213" s="0" t="str">
        <f aca="false">IF(T213&gt;=6,"High Risk",IF(T213&gt;=3,"Medium Risk","Low Risk"))</f>
        <v>High Risk</v>
      </c>
    </row>
    <row r="214" customFormat="false" ht="12.8" hidden="false" customHeight="false" outlineLevel="0" collapsed="false">
      <c r="A214" s="1" t="s">
        <v>244</v>
      </c>
      <c r="B214" s="1" t="s">
        <v>36</v>
      </c>
      <c r="C214" s="1" t="s">
        <v>34</v>
      </c>
      <c r="D214" s="1" t="n">
        <v>9.34</v>
      </c>
      <c r="E214" s="1" t="n">
        <v>2</v>
      </c>
      <c r="F214" s="4" t="n">
        <v>44125</v>
      </c>
      <c r="G214" s="1" t="s">
        <v>30</v>
      </c>
      <c r="H214" s="1" t="n">
        <v>0</v>
      </c>
      <c r="I214" s="1" t="n">
        <v>75.2</v>
      </c>
      <c r="J214" s="1" t="n">
        <v>24</v>
      </c>
      <c r="K214" s="1" t="n">
        <v>9</v>
      </c>
      <c r="L214" s="1" t="n">
        <v>1</v>
      </c>
      <c r="M214" s="1" t="n">
        <v>1</v>
      </c>
      <c r="N214" s="1" t="n">
        <v>18.68</v>
      </c>
      <c r="O214" s="1" t="n">
        <v>0</v>
      </c>
      <c r="Q214" s="4" t="n">
        <v>44185</v>
      </c>
      <c r="R214" s="0" t="n">
        <f aca="false">IF(ISBLANK(F214),"Missing",IFERROR(YEAR(F214),"Missing"))</f>
        <v>2020</v>
      </c>
      <c r="S214" s="0" t="str">
        <f aca="false">IF(ISBLANK(E214),"Missing",IF(E214&lt;6,"0-6mo",IF(E214&lt;12,"6-12mo",IF(E214&lt;24,"12-24mo","24mo+"))))</f>
        <v>0-6mo</v>
      </c>
      <c r="T214" s="0" t="n">
        <f aca="false">IF(ISBLANK(C214),0,IF(C214="Month-to-month",2,IF(C214="One year",1,0)))+IF(ISBLANK(I214),0,IF(I214&lt;40,2,IF(I214&lt;55,1,0)))+IF(ISBLANK(M214),0,IF(M214=1,3,0))+IF(ISBLANK(L214),0,IF(L214&gt;=2,1,0))+IF(ISBLANK(E214),0,IF(E214&lt;12,1,0))</f>
        <v>5</v>
      </c>
      <c r="U214" s="0" t="str">
        <f aca="false">IF((ISBLANK(B214)*1+ISBLANK(C214)*1+ISBLANK(D214)*1+ISBLANK(E214)*1+ISBLANK(F214)*1+ISBLANK(I214)*1+ISBLANK(J214)*1+ISBLANK(K214)*1+ISBLANK(L214)*1+ISBLANK(M214)*1+ISBLANK(N214)*1+ISBLANK(O214)*1)&gt;0,"Missing Data","OK")</f>
        <v>OK</v>
      </c>
      <c r="V214" s="0" t="str">
        <f aca="false">IF(T214&gt;=6,"High Risk",IF(T214&gt;=3,"Medium Risk","Low Risk"))</f>
        <v>Medium Risk</v>
      </c>
    </row>
    <row r="215" customFormat="false" ht="12.8" hidden="false" customHeight="false" outlineLevel="0" collapsed="false">
      <c r="A215" s="1" t="s">
        <v>245</v>
      </c>
      <c r="B215" s="1" t="s">
        <v>29</v>
      </c>
      <c r="C215" s="1" t="s">
        <v>24</v>
      </c>
      <c r="D215" s="1" t="n">
        <v>40.27</v>
      </c>
      <c r="E215" s="1" t="n">
        <v>16</v>
      </c>
      <c r="F215" s="4" t="n">
        <v>44125</v>
      </c>
      <c r="G215" s="1" t="s">
        <v>27</v>
      </c>
      <c r="H215" s="1" t="n">
        <v>0</v>
      </c>
      <c r="I215" s="1" t="n">
        <v>28.6</v>
      </c>
      <c r="J215" s="1" t="n">
        <v>8</v>
      </c>
      <c r="K215" s="1" t="n">
        <v>2</v>
      </c>
      <c r="L215" s="1" t="n">
        <v>2</v>
      </c>
      <c r="M215" s="1" t="n">
        <v>0</v>
      </c>
      <c r="N215" s="1" t="n">
        <v>644.32</v>
      </c>
      <c r="O215" s="1" t="n">
        <v>0</v>
      </c>
      <c r="Q215" s="4" t="n">
        <v>44612</v>
      </c>
      <c r="R215" s="0" t="n">
        <f aca="false">IF(ISBLANK(F215),"Missing",IFERROR(YEAR(F215),"Missing"))</f>
        <v>2020</v>
      </c>
      <c r="S215" s="0" t="str">
        <f aca="false">IF(ISBLANK(E215),"Missing",IF(E215&lt;6,"0-6mo",IF(E215&lt;12,"6-12mo",IF(E215&lt;24,"12-24mo","24mo+"))))</f>
        <v>12-24mo</v>
      </c>
      <c r="T215" s="0" t="n">
        <f aca="false">IF(ISBLANK(C215),0,IF(C215="Month-to-month",2,IF(C215="One year",1,0)))+IF(ISBLANK(I215),0,IF(I215&lt;40,2,IF(I215&lt;55,1,0)))+IF(ISBLANK(M215),0,IF(M215=1,3,0))+IF(ISBLANK(L215),0,IF(L215&gt;=2,1,0))+IF(ISBLANK(E215),0,IF(E215&lt;12,1,0))</f>
        <v>5</v>
      </c>
      <c r="U215" s="0" t="str">
        <f aca="false">IF((ISBLANK(B215)*1+ISBLANK(C215)*1+ISBLANK(D215)*1+ISBLANK(E215)*1+ISBLANK(F215)*1+ISBLANK(I215)*1+ISBLANK(J215)*1+ISBLANK(K215)*1+ISBLANK(L215)*1+ISBLANK(M215)*1+ISBLANK(N215)*1+ISBLANK(O215)*1)&gt;0,"Missing Data","OK")</f>
        <v>OK</v>
      </c>
      <c r="V215" s="0" t="str">
        <f aca="false">IF(T215&gt;=6,"High Risk",IF(T215&gt;=3,"Medium Risk","Low Risk"))</f>
        <v>Medium Risk</v>
      </c>
    </row>
    <row r="216" customFormat="false" ht="12.8" hidden="false" customHeight="false" outlineLevel="0" collapsed="false">
      <c r="A216" s="1" t="s">
        <v>246</v>
      </c>
      <c r="B216" s="1" t="s">
        <v>36</v>
      </c>
      <c r="C216" s="1" t="s">
        <v>24</v>
      </c>
      <c r="D216" s="1" t="n">
        <v>8.19</v>
      </c>
      <c r="E216" s="1" t="n">
        <v>3</v>
      </c>
      <c r="F216" s="4" t="n">
        <v>44125</v>
      </c>
      <c r="G216" s="1" t="s">
        <v>25</v>
      </c>
      <c r="H216" s="1" t="n">
        <v>0</v>
      </c>
      <c r="I216" s="1" t="n">
        <v>100</v>
      </c>
      <c r="J216" s="1" t="n">
        <v>22</v>
      </c>
      <c r="K216" s="1" t="n">
        <v>9</v>
      </c>
      <c r="L216" s="1" t="n">
        <v>2</v>
      </c>
      <c r="M216" s="1" t="n">
        <v>0</v>
      </c>
      <c r="N216" s="1" t="n">
        <v>24.57</v>
      </c>
      <c r="O216" s="1" t="n">
        <v>0</v>
      </c>
      <c r="Q216" s="4" t="n">
        <v>44216</v>
      </c>
      <c r="R216" s="0" t="n">
        <f aca="false">IF(ISBLANK(F216),"Missing",IFERROR(YEAR(F216),"Missing"))</f>
        <v>2020</v>
      </c>
      <c r="S216" s="0" t="str">
        <f aca="false">IF(ISBLANK(E216),"Missing",IF(E216&lt;6,"0-6mo",IF(E216&lt;12,"6-12mo",IF(E216&lt;24,"12-24mo","24mo+"))))</f>
        <v>0-6mo</v>
      </c>
      <c r="T216" s="0" t="n">
        <f aca="false">IF(ISBLANK(C216),0,IF(C216="Month-to-month",2,IF(C216="One year",1,0)))+IF(ISBLANK(I216),0,IF(I216&lt;40,2,IF(I216&lt;55,1,0)))+IF(ISBLANK(M216),0,IF(M216=1,3,0))+IF(ISBLANK(L216),0,IF(L216&gt;=2,1,0))+IF(ISBLANK(E216),0,IF(E216&lt;12,1,0))</f>
        <v>4</v>
      </c>
      <c r="U216" s="0" t="str">
        <f aca="false">IF((ISBLANK(B216)*1+ISBLANK(C216)*1+ISBLANK(D216)*1+ISBLANK(E216)*1+ISBLANK(F216)*1+ISBLANK(I216)*1+ISBLANK(J216)*1+ISBLANK(K216)*1+ISBLANK(L216)*1+ISBLANK(M216)*1+ISBLANK(N216)*1+ISBLANK(O216)*1)&gt;0,"Missing Data","OK")</f>
        <v>OK</v>
      </c>
      <c r="V216" s="0" t="str">
        <f aca="false">IF(T216&gt;=6,"High Risk",IF(T216&gt;=3,"Medium Risk","Low Risk"))</f>
        <v>Medium Risk</v>
      </c>
    </row>
    <row r="217" customFormat="false" ht="12.8" hidden="false" customHeight="false" outlineLevel="0" collapsed="false">
      <c r="A217" s="1" t="s">
        <v>247</v>
      </c>
      <c r="B217" s="1" t="s">
        <v>36</v>
      </c>
      <c r="C217" s="1" t="s">
        <v>51</v>
      </c>
      <c r="D217" s="1" t="n">
        <v>10.47</v>
      </c>
      <c r="E217" s="1" t="n">
        <v>8</v>
      </c>
      <c r="F217" s="4" t="n">
        <v>44127</v>
      </c>
      <c r="G217" s="1" t="s">
        <v>25</v>
      </c>
      <c r="H217" s="1" t="n">
        <v>1</v>
      </c>
      <c r="I217" s="1" t="n">
        <v>59.8</v>
      </c>
      <c r="J217" s="1" t="n">
        <v>16</v>
      </c>
      <c r="K217" s="1" t="n">
        <v>6</v>
      </c>
      <c r="L217" s="1" t="n">
        <v>0</v>
      </c>
      <c r="M217" s="1" t="n">
        <v>0</v>
      </c>
      <c r="N217" s="1" t="n">
        <v>83.76</v>
      </c>
      <c r="O217" s="1" t="n">
        <v>0</v>
      </c>
      <c r="Q217" s="4" t="n">
        <v>44370</v>
      </c>
      <c r="R217" s="0" t="n">
        <f aca="false">IF(ISBLANK(F217),"Missing",IFERROR(YEAR(F217),"Missing"))</f>
        <v>2020</v>
      </c>
      <c r="S217" s="0" t="str">
        <f aca="false">IF(ISBLANK(E217),"Missing",IF(E217&lt;6,"0-6mo",IF(E217&lt;12,"6-12mo",IF(E217&lt;24,"12-24mo","24mo+"))))</f>
        <v>6-12mo</v>
      </c>
      <c r="T217" s="0" t="n">
        <f aca="false">IF(ISBLANK(C217),0,IF(C217="Month-to-month",2,IF(C217="One year",1,0)))+IF(ISBLANK(I217),0,IF(I217&lt;40,2,IF(I217&lt;55,1,0)))+IF(ISBLANK(M217),0,IF(M217=1,3,0))+IF(ISBLANK(L217),0,IF(L217&gt;=2,1,0))+IF(ISBLANK(E217),0,IF(E217&lt;12,1,0))</f>
        <v>1</v>
      </c>
      <c r="U217" s="0" t="str">
        <f aca="false">IF((ISBLANK(B217)*1+ISBLANK(C217)*1+ISBLANK(D217)*1+ISBLANK(E217)*1+ISBLANK(F217)*1+ISBLANK(I217)*1+ISBLANK(J217)*1+ISBLANK(K217)*1+ISBLANK(L217)*1+ISBLANK(M217)*1+ISBLANK(N217)*1+ISBLANK(O217)*1)&gt;0,"Missing Data","OK")</f>
        <v>OK</v>
      </c>
      <c r="V217" s="0" t="str">
        <f aca="false">IF(T217&gt;=6,"High Risk",IF(T217&gt;=3,"Medium Risk","Low Risk"))</f>
        <v>Low Risk</v>
      </c>
    </row>
    <row r="218" customFormat="false" ht="12.8" hidden="false" customHeight="false" outlineLevel="0" collapsed="false">
      <c r="A218" s="1" t="s">
        <v>248</v>
      </c>
      <c r="B218" s="1" t="s">
        <v>23</v>
      </c>
      <c r="C218" s="1" t="s">
        <v>24</v>
      </c>
      <c r="D218" s="1" t="n">
        <v>21.48</v>
      </c>
      <c r="E218" s="1" t="n">
        <v>72</v>
      </c>
      <c r="F218" s="4" t="n">
        <v>44129</v>
      </c>
      <c r="G218" s="1" t="s">
        <v>30</v>
      </c>
      <c r="H218" s="1" t="n">
        <v>1</v>
      </c>
      <c r="I218" s="1" t="n">
        <v>19.7</v>
      </c>
      <c r="J218" s="1" t="n">
        <v>8</v>
      </c>
      <c r="K218" s="1" t="n">
        <v>3</v>
      </c>
      <c r="L218" s="1" t="n">
        <v>5</v>
      </c>
      <c r="M218" s="1" t="n">
        <v>0</v>
      </c>
      <c r="N218" s="1" t="n">
        <v>1546.56</v>
      </c>
      <c r="O218" s="1" t="n">
        <v>0</v>
      </c>
      <c r="Q218" s="4" t="n">
        <v>46293</v>
      </c>
      <c r="R218" s="0" t="n">
        <f aca="false">IF(ISBLANK(F218),"Missing",IFERROR(YEAR(F218),"Missing"))</f>
        <v>2020</v>
      </c>
      <c r="S218" s="0" t="str">
        <f aca="false">IF(ISBLANK(E218),"Missing",IF(E218&lt;6,"0-6mo",IF(E218&lt;12,"6-12mo",IF(E218&lt;24,"12-24mo","24mo+"))))</f>
        <v>24mo+</v>
      </c>
      <c r="T218" s="0" t="n">
        <f aca="false">IF(ISBLANK(C218),0,IF(C218="Month-to-month",2,IF(C218="One year",1,0)))+IF(ISBLANK(I218),0,IF(I218&lt;40,2,IF(I218&lt;55,1,0)))+IF(ISBLANK(M218),0,IF(M218=1,3,0))+IF(ISBLANK(L218),0,IF(L218&gt;=2,1,0))+IF(ISBLANK(E218),0,IF(E218&lt;12,1,0))</f>
        <v>5</v>
      </c>
      <c r="U218" s="0" t="str">
        <f aca="false">IF((ISBLANK(B218)*1+ISBLANK(C218)*1+ISBLANK(D218)*1+ISBLANK(E218)*1+ISBLANK(F218)*1+ISBLANK(I218)*1+ISBLANK(J218)*1+ISBLANK(K218)*1+ISBLANK(L218)*1+ISBLANK(M218)*1+ISBLANK(N218)*1+ISBLANK(O218)*1)&gt;0,"Missing Data","OK")</f>
        <v>OK</v>
      </c>
      <c r="V218" s="0" t="str">
        <f aca="false">IF(T218&gt;=6,"High Risk",IF(T218&gt;=3,"Medium Risk","Low Risk"))</f>
        <v>Medium Risk</v>
      </c>
    </row>
    <row r="219" customFormat="false" ht="12.8" hidden="false" customHeight="false" outlineLevel="0" collapsed="false">
      <c r="A219" s="1" t="s">
        <v>249</v>
      </c>
      <c r="B219" s="1" t="s">
        <v>23</v>
      </c>
      <c r="C219" s="1" t="s">
        <v>34</v>
      </c>
      <c r="D219" s="1" t="n">
        <v>20.43</v>
      </c>
      <c r="E219" s="1" t="n">
        <v>47</v>
      </c>
      <c r="F219" s="4" t="n">
        <v>44132</v>
      </c>
      <c r="G219" s="1" t="s">
        <v>25</v>
      </c>
      <c r="H219" s="1" t="n">
        <v>1</v>
      </c>
      <c r="I219" s="1" t="n">
        <v>45.3</v>
      </c>
      <c r="J219" s="1" t="n">
        <v>18</v>
      </c>
      <c r="K219" s="1" t="n">
        <v>7</v>
      </c>
      <c r="L219" s="1" t="n">
        <v>0</v>
      </c>
      <c r="M219" s="1" t="n">
        <v>0</v>
      </c>
      <c r="N219" s="1" t="n">
        <v>960.21</v>
      </c>
      <c r="O219" s="1" t="n">
        <v>0</v>
      </c>
      <c r="Q219" s="4" t="n">
        <v>45562</v>
      </c>
      <c r="R219" s="0" t="n">
        <f aca="false">IF(ISBLANK(F219),"Missing",IFERROR(YEAR(F219),"Missing"))</f>
        <v>2020</v>
      </c>
      <c r="S219" s="0" t="str">
        <f aca="false">IF(ISBLANK(E219),"Missing",IF(E219&lt;6,"0-6mo",IF(E219&lt;12,"6-12mo",IF(E219&lt;24,"12-24mo","24mo+"))))</f>
        <v>24mo+</v>
      </c>
      <c r="T219" s="0" t="n">
        <f aca="false">IF(ISBLANK(C219),0,IF(C219="Month-to-month",2,IF(C219="One year",1,0)))+IF(ISBLANK(I219),0,IF(I219&lt;40,2,IF(I219&lt;55,1,0)))+IF(ISBLANK(M219),0,IF(M219=1,3,0))+IF(ISBLANK(L219),0,IF(L219&gt;=2,1,0))+IF(ISBLANK(E219),0,IF(E219&lt;12,1,0))</f>
        <v>2</v>
      </c>
      <c r="U219" s="0" t="str">
        <f aca="false">IF((ISBLANK(B219)*1+ISBLANK(C219)*1+ISBLANK(D219)*1+ISBLANK(E219)*1+ISBLANK(F219)*1+ISBLANK(I219)*1+ISBLANK(J219)*1+ISBLANK(K219)*1+ISBLANK(L219)*1+ISBLANK(M219)*1+ISBLANK(N219)*1+ISBLANK(O219)*1)&gt;0,"Missing Data","OK")</f>
        <v>OK</v>
      </c>
      <c r="V219" s="0" t="str">
        <f aca="false">IF(T219&gt;=6,"High Risk",IF(T219&gt;=3,"Medium Risk","Low Risk"))</f>
        <v>Low Risk</v>
      </c>
    </row>
    <row r="220" customFormat="false" ht="12.8" hidden="false" customHeight="false" outlineLevel="0" collapsed="false">
      <c r="A220" s="1" t="s">
        <v>250</v>
      </c>
      <c r="B220" s="1" t="s">
        <v>36</v>
      </c>
      <c r="C220" s="1" t="s">
        <v>51</v>
      </c>
      <c r="D220" s="1" t="n">
        <v>9.56</v>
      </c>
      <c r="E220" s="1" t="n">
        <v>15</v>
      </c>
      <c r="F220" s="4" t="n">
        <v>44135</v>
      </c>
      <c r="G220" s="1" t="s">
        <v>27</v>
      </c>
      <c r="H220" s="1" t="n">
        <v>1</v>
      </c>
      <c r="I220" s="1" t="n">
        <v>72.2</v>
      </c>
      <c r="J220" s="1" t="n">
        <v>16</v>
      </c>
      <c r="K220" s="1" t="n">
        <v>6</v>
      </c>
      <c r="L220" s="1" t="n">
        <v>1</v>
      </c>
      <c r="M220" s="1" t="n">
        <v>0</v>
      </c>
      <c r="N220" s="1" t="n">
        <v>143.4</v>
      </c>
      <c r="O220" s="1" t="n">
        <v>0</v>
      </c>
      <c r="Q220" s="4" t="n">
        <v>44591</v>
      </c>
      <c r="R220" s="0" t="n">
        <f aca="false">IF(ISBLANK(F220),"Missing",IFERROR(YEAR(F220),"Missing"))</f>
        <v>2020</v>
      </c>
      <c r="S220" s="0" t="str">
        <f aca="false">IF(ISBLANK(E220),"Missing",IF(E220&lt;6,"0-6mo",IF(E220&lt;12,"6-12mo",IF(E220&lt;24,"12-24mo","24mo+"))))</f>
        <v>12-24mo</v>
      </c>
      <c r="T220" s="0" t="n">
        <f aca="false">IF(ISBLANK(C220),0,IF(C220="Month-to-month",2,IF(C220="One year",1,0)))+IF(ISBLANK(I220),0,IF(I220&lt;40,2,IF(I220&lt;55,1,0)))+IF(ISBLANK(M220),0,IF(M220=1,3,0))+IF(ISBLANK(L220),0,IF(L220&gt;=2,1,0))+IF(ISBLANK(E220),0,IF(E220&lt;12,1,0))</f>
        <v>0</v>
      </c>
      <c r="U220" s="0" t="str">
        <f aca="false">IF((ISBLANK(B220)*1+ISBLANK(C220)*1+ISBLANK(D220)*1+ISBLANK(E220)*1+ISBLANK(F220)*1+ISBLANK(I220)*1+ISBLANK(J220)*1+ISBLANK(K220)*1+ISBLANK(L220)*1+ISBLANK(M220)*1+ISBLANK(N220)*1+ISBLANK(O220)*1)&gt;0,"Missing Data","OK")</f>
        <v>OK</v>
      </c>
      <c r="V220" s="0" t="str">
        <f aca="false">IF(T220&gt;=6,"High Risk",IF(T220&gt;=3,"Medium Risk","Low Risk"))</f>
        <v>Low Risk</v>
      </c>
    </row>
    <row r="221" customFormat="false" ht="12.8" hidden="false" customHeight="false" outlineLevel="0" collapsed="false">
      <c r="A221" s="1" t="s">
        <v>251</v>
      </c>
      <c r="B221" s="1" t="s">
        <v>36</v>
      </c>
      <c r="C221" s="1" t="s">
        <v>34</v>
      </c>
      <c r="D221" s="1" t="n">
        <v>10.55</v>
      </c>
      <c r="E221" s="1" t="n">
        <v>14</v>
      </c>
      <c r="F221" s="4" t="n">
        <v>44138</v>
      </c>
      <c r="G221" s="1" t="s">
        <v>25</v>
      </c>
      <c r="H221" s="1" t="n">
        <v>1</v>
      </c>
      <c r="I221" s="1" t="n">
        <v>74.4</v>
      </c>
      <c r="J221" s="1" t="n">
        <v>26</v>
      </c>
      <c r="K221" s="1" t="n">
        <v>8</v>
      </c>
      <c r="L221" s="1" t="n">
        <v>2</v>
      </c>
      <c r="M221" s="1" t="n">
        <v>0</v>
      </c>
      <c r="N221" s="1" t="n">
        <v>147.7</v>
      </c>
      <c r="O221" s="1" t="n">
        <v>0</v>
      </c>
      <c r="Q221" s="4" t="n">
        <v>44564</v>
      </c>
      <c r="R221" s="0" t="n">
        <f aca="false">IF(ISBLANK(F221),"Missing",IFERROR(YEAR(F221),"Missing"))</f>
        <v>2020</v>
      </c>
      <c r="S221" s="0" t="str">
        <f aca="false">IF(ISBLANK(E221),"Missing",IF(E221&lt;6,"0-6mo",IF(E221&lt;12,"6-12mo",IF(E221&lt;24,"12-24mo","24mo+"))))</f>
        <v>12-24mo</v>
      </c>
      <c r="T221" s="0" t="n">
        <f aca="false">IF(ISBLANK(C221),0,IF(C221="Month-to-month",2,IF(C221="One year",1,0)))+IF(ISBLANK(I221),0,IF(I221&lt;40,2,IF(I221&lt;55,1,0)))+IF(ISBLANK(M221),0,IF(M221=1,3,0))+IF(ISBLANK(L221),0,IF(L221&gt;=2,1,0))+IF(ISBLANK(E221),0,IF(E221&lt;12,1,0))</f>
        <v>2</v>
      </c>
      <c r="U221" s="0" t="str">
        <f aca="false">IF((ISBLANK(B221)*1+ISBLANK(C221)*1+ISBLANK(D221)*1+ISBLANK(E221)*1+ISBLANK(F221)*1+ISBLANK(I221)*1+ISBLANK(J221)*1+ISBLANK(K221)*1+ISBLANK(L221)*1+ISBLANK(M221)*1+ISBLANK(N221)*1+ISBLANK(O221)*1)&gt;0,"Missing Data","OK")</f>
        <v>OK</v>
      </c>
      <c r="V221" s="0" t="str">
        <f aca="false">IF(T221&gt;=6,"High Risk",IF(T221&gt;=3,"Medium Risk","Low Risk"))</f>
        <v>Low Risk</v>
      </c>
    </row>
    <row r="222" customFormat="false" ht="12.8" hidden="false" customHeight="false" outlineLevel="0" collapsed="false">
      <c r="A222" s="1" t="s">
        <v>252</v>
      </c>
      <c r="B222" s="1" t="s">
        <v>36</v>
      </c>
      <c r="C222" s="1" t="s">
        <v>24</v>
      </c>
      <c r="D222" s="1" t="n">
        <v>9.16</v>
      </c>
      <c r="E222" s="1" t="n">
        <v>2</v>
      </c>
      <c r="F222" s="4" t="n">
        <v>44138</v>
      </c>
      <c r="G222" s="1" t="s">
        <v>25</v>
      </c>
      <c r="H222" s="1" t="n">
        <v>1</v>
      </c>
      <c r="I222" s="1" t="n">
        <v>64.4</v>
      </c>
      <c r="J222" s="1" t="n">
        <v>13</v>
      </c>
      <c r="K222" s="1" t="n">
        <v>7</v>
      </c>
      <c r="L222" s="1" t="n">
        <v>1</v>
      </c>
      <c r="M222" s="1" t="n">
        <v>1</v>
      </c>
      <c r="N222" s="1" t="n">
        <v>18.32</v>
      </c>
      <c r="O222" s="1" t="n">
        <v>0</v>
      </c>
      <c r="Q222" s="4" t="n">
        <v>44198</v>
      </c>
      <c r="R222" s="0" t="n">
        <f aca="false">IF(ISBLANK(F222),"Missing",IFERROR(YEAR(F222),"Missing"))</f>
        <v>2020</v>
      </c>
      <c r="S222" s="0" t="str">
        <f aca="false">IF(ISBLANK(E222),"Missing",IF(E222&lt;6,"0-6mo",IF(E222&lt;12,"6-12mo",IF(E222&lt;24,"12-24mo","24mo+"))))</f>
        <v>0-6mo</v>
      </c>
      <c r="T222" s="0" t="n">
        <f aca="false">IF(ISBLANK(C222),0,IF(C222="Month-to-month",2,IF(C222="One year",1,0)))+IF(ISBLANK(I222),0,IF(I222&lt;40,2,IF(I222&lt;55,1,0)))+IF(ISBLANK(M222),0,IF(M222=1,3,0))+IF(ISBLANK(L222),0,IF(L222&gt;=2,1,0))+IF(ISBLANK(E222),0,IF(E222&lt;12,1,0))</f>
        <v>6</v>
      </c>
      <c r="U222" s="0" t="str">
        <f aca="false">IF((ISBLANK(B222)*1+ISBLANK(C222)*1+ISBLANK(D222)*1+ISBLANK(E222)*1+ISBLANK(F222)*1+ISBLANK(I222)*1+ISBLANK(J222)*1+ISBLANK(K222)*1+ISBLANK(L222)*1+ISBLANK(M222)*1+ISBLANK(N222)*1+ISBLANK(O222)*1)&gt;0,"Missing Data","OK")</f>
        <v>OK</v>
      </c>
      <c r="V222" s="0" t="str">
        <f aca="false">IF(T222&gt;=6,"High Risk",IF(T222&gt;=3,"Medium Risk","Low Risk"))</f>
        <v>High Risk</v>
      </c>
    </row>
    <row r="223" customFormat="false" ht="12.8" hidden="false" customHeight="false" outlineLevel="0" collapsed="false">
      <c r="A223" s="1" t="s">
        <v>253</v>
      </c>
      <c r="B223" s="1" t="s">
        <v>36</v>
      </c>
      <c r="C223" s="1" t="s">
        <v>34</v>
      </c>
      <c r="D223" s="1" t="n">
        <v>8.61</v>
      </c>
      <c r="E223" s="1" t="n">
        <v>53</v>
      </c>
      <c r="F223" s="4" t="n">
        <v>44139</v>
      </c>
      <c r="G223" s="1" t="s">
        <v>25</v>
      </c>
      <c r="H223" s="1" t="n">
        <v>0</v>
      </c>
      <c r="I223" s="1" t="n">
        <v>22.5</v>
      </c>
      <c r="J223" s="1" t="n">
        <v>8</v>
      </c>
      <c r="K223" s="1" t="n">
        <v>3</v>
      </c>
      <c r="L223" s="1" t="n">
        <v>5</v>
      </c>
      <c r="M223" s="1" t="n">
        <v>0</v>
      </c>
      <c r="N223" s="1" t="n">
        <v>456.33</v>
      </c>
      <c r="O223" s="1" t="n">
        <v>0</v>
      </c>
      <c r="Q223" s="4" t="n">
        <v>45752</v>
      </c>
      <c r="R223" s="0" t="n">
        <f aca="false">IF(ISBLANK(F223),"Missing",IFERROR(YEAR(F223),"Missing"))</f>
        <v>2020</v>
      </c>
      <c r="S223" s="0" t="str">
        <f aca="false">IF(ISBLANK(E223),"Missing",IF(E223&lt;6,"0-6mo",IF(E223&lt;12,"6-12mo",IF(E223&lt;24,"12-24mo","24mo+"))))</f>
        <v>24mo+</v>
      </c>
      <c r="T223" s="0" t="n">
        <f aca="false">IF(ISBLANK(C223),0,IF(C223="Month-to-month",2,IF(C223="One year",1,0)))+IF(ISBLANK(I223),0,IF(I223&lt;40,2,IF(I223&lt;55,1,0)))+IF(ISBLANK(M223),0,IF(M223=1,3,0))+IF(ISBLANK(L223),0,IF(L223&gt;=2,1,0))+IF(ISBLANK(E223),0,IF(E223&lt;12,1,0))</f>
        <v>4</v>
      </c>
      <c r="U223" s="0" t="str">
        <f aca="false">IF((ISBLANK(B223)*1+ISBLANK(C223)*1+ISBLANK(D223)*1+ISBLANK(E223)*1+ISBLANK(F223)*1+ISBLANK(I223)*1+ISBLANK(J223)*1+ISBLANK(K223)*1+ISBLANK(L223)*1+ISBLANK(M223)*1+ISBLANK(N223)*1+ISBLANK(O223)*1)&gt;0,"Missing Data","OK")</f>
        <v>OK</v>
      </c>
      <c r="V223" s="0" t="str">
        <f aca="false">IF(T223&gt;=6,"High Risk",IF(T223&gt;=3,"Medium Risk","Low Risk"))</f>
        <v>Medium Risk</v>
      </c>
    </row>
    <row r="224" customFormat="false" ht="12.8" hidden="false" customHeight="false" outlineLevel="0" collapsed="false">
      <c r="A224" s="1" t="s">
        <v>254</v>
      </c>
      <c r="B224" s="1" t="s">
        <v>29</v>
      </c>
      <c r="C224" s="1" t="s">
        <v>24</v>
      </c>
      <c r="D224" s="1" t="n">
        <v>38.19</v>
      </c>
      <c r="E224" s="1" t="n">
        <v>7</v>
      </c>
      <c r="F224" s="4" t="n">
        <v>44140</v>
      </c>
      <c r="G224" s="1" t="s">
        <v>25</v>
      </c>
      <c r="H224" s="1" t="n">
        <v>1</v>
      </c>
      <c r="I224" s="1" t="n">
        <v>54.9</v>
      </c>
      <c r="J224" s="1" t="n">
        <v>21</v>
      </c>
      <c r="K224" s="1" t="n">
        <v>8</v>
      </c>
      <c r="L224" s="1" t="n">
        <v>2</v>
      </c>
      <c r="M224" s="1" t="n">
        <v>0</v>
      </c>
      <c r="N224" s="1" t="n">
        <v>267.33</v>
      </c>
      <c r="O224" s="1" t="n">
        <v>1</v>
      </c>
      <c r="P224" s="4" t="n">
        <v>44353</v>
      </c>
      <c r="Q224" s="4" t="n">
        <v>44353</v>
      </c>
      <c r="R224" s="0" t="n">
        <f aca="false">IF(ISBLANK(F224),"Missing",IFERROR(YEAR(F224),"Missing"))</f>
        <v>2020</v>
      </c>
      <c r="S224" s="0" t="str">
        <f aca="false">IF(ISBLANK(E224),"Missing",IF(E224&lt;6,"0-6mo",IF(E224&lt;12,"6-12mo",IF(E224&lt;24,"12-24mo","24mo+"))))</f>
        <v>6-12mo</v>
      </c>
      <c r="T224" s="0" t="n">
        <f aca="false">IF(ISBLANK(C224),0,IF(C224="Month-to-month",2,IF(C224="One year",1,0)))+IF(ISBLANK(I224),0,IF(I224&lt;40,2,IF(I224&lt;55,1,0)))+IF(ISBLANK(M224),0,IF(M224=1,3,0))+IF(ISBLANK(L224),0,IF(L224&gt;=2,1,0))+IF(ISBLANK(E224),0,IF(E224&lt;12,1,0))</f>
        <v>5</v>
      </c>
      <c r="U224" s="0" t="str">
        <f aca="false">IF((ISBLANK(B224)*1+ISBLANK(C224)*1+ISBLANK(D224)*1+ISBLANK(E224)*1+ISBLANK(F224)*1+ISBLANK(I224)*1+ISBLANK(J224)*1+ISBLANK(K224)*1+ISBLANK(L224)*1+ISBLANK(M224)*1+ISBLANK(N224)*1+ISBLANK(O224)*1)&gt;0,"Missing Data","OK")</f>
        <v>OK</v>
      </c>
      <c r="V224" s="0" t="str">
        <f aca="false">IF(T224&gt;=6,"High Risk",IF(T224&gt;=3,"Medium Risk","Low Risk"))</f>
        <v>Medium Risk</v>
      </c>
    </row>
    <row r="225" customFormat="false" ht="12.8" hidden="false" customHeight="false" outlineLevel="0" collapsed="false">
      <c r="A225" s="1" t="s">
        <v>255</v>
      </c>
      <c r="B225" s="1" t="s">
        <v>23</v>
      </c>
      <c r="C225" s="1" t="s">
        <v>51</v>
      </c>
      <c r="D225" s="1" t="n">
        <v>19.44</v>
      </c>
      <c r="E225" s="1" t="n">
        <v>4</v>
      </c>
      <c r="F225" s="4" t="n">
        <v>44143</v>
      </c>
      <c r="G225" s="1" t="s">
        <v>25</v>
      </c>
      <c r="H225" s="1" t="n">
        <v>1</v>
      </c>
      <c r="I225" s="1" t="n">
        <v>56.8</v>
      </c>
      <c r="J225" s="1" t="n">
        <v>16</v>
      </c>
      <c r="K225" s="1" t="n">
        <v>6</v>
      </c>
      <c r="L225" s="1" t="n">
        <v>2</v>
      </c>
      <c r="M225" s="1" t="n">
        <v>0</v>
      </c>
      <c r="N225" s="1" t="n">
        <v>77.76</v>
      </c>
      <c r="O225" s="1" t="n">
        <v>0</v>
      </c>
      <c r="Q225" s="4" t="n">
        <v>44264</v>
      </c>
      <c r="R225" s="0" t="n">
        <f aca="false">IF(ISBLANK(F225),"Missing",IFERROR(YEAR(F225),"Missing"))</f>
        <v>2020</v>
      </c>
      <c r="S225" s="0" t="str">
        <f aca="false">IF(ISBLANK(E225),"Missing",IF(E225&lt;6,"0-6mo",IF(E225&lt;12,"6-12mo",IF(E225&lt;24,"12-24mo","24mo+"))))</f>
        <v>0-6mo</v>
      </c>
      <c r="T225" s="0" t="n">
        <f aca="false">IF(ISBLANK(C225),0,IF(C225="Month-to-month",2,IF(C225="One year",1,0)))+IF(ISBLANK(I225),0,IF(I225&lt;40,2,IF(I225&lt;55,1,0)))+IF(ISBLANK(M225),0,IF(M225=1,3,0))+IF(ISBLANK(L225),0,IF(L225&gt;=2,1,0))+IF(ISBLANK(E225),0,IF(E225&lt;12,1,0))</f>
        <v>2</v>
      </c>
      <c r="U225" s="0" t="str">
        <f aca="false">IF((ISBLANK(B225)*1+ISBLANK(C225)*1+ISBLANK(D225)*1+ISBLANK(E225)*1+ISBLANK(F225)*1+ISBLANK(I225)*1+ISBLANK(J225)*1+ISBLANK(K225)*1+ISBLANK(L225)*1+ISBLANK(M225)*1+ISBLANK(N225)*1+ISBLANK(O225)*1)&gt;0,"Missing Data","OK")</f>
        <v>OK</v>
      </c>
      <c r="V225" s="0" t="str">
        <f aca="false">IF(T225&gt;=6,"High Risk",IF(T225&gt;=3,"Medium Risk","Low Risk"))</f>
        <v>Low Risk</v>
      </c>
    </row>
    <row r="226" customFormat="false" ht="12.8" hidden="false" customHeight="false" outlineLevel="0" collapsed="false">
      <c r="A226" s="1" t="s">
        <v>256</v>
      </c>
      <c r="B226" s="1" t="s">
        <v>23</v>
      </c>
      <c r="C226" s="1" t="s">
        <v>34</v>
      </c>
      <c r="D226" s="1" t="n">
        <v>21.1</v>
      </c>
      <c r="E226" s="1" t="n">
        <v>9</v>
      </c>
      <c r="F226" s="4" t="n">
        <v>44145</v>
      </c>
      <c r="G226" s="1" t="s">
        <v>25</v>
      </c>
      <c r="H226" s="1" t="n">
        <v>1</v>
      </c>
      <c r="I226" s="1" t="n">
        <v>72.9</v>
      </c>
      <c r="J226" s="1" t="n">
        <v>20</v>
      </c>
      <c r="K226" s="1" t="n">
        <v>7</v>
      </c>
      <c r="L226" s="1" t="n">
        <v>0</v>
      </c>
      <c r="M226" s="1" t="n">
        <v>0</v>
      </c>
      <c r="N226" s="1" t="n">
        <v>189.9</v>
      </c>
      <c r="O226" s="1" t="n">
        <v>0</v>
      </c>
      <c r="Q226" s="4" t="n">
        <v>44418</v>
      </c>
      <c r="R226" s="0" t="n">
        <f aca="false">IF(ISBLANK(F226),"Missing",IFERROR(YEAR(F226),"Missing"))</f>
        <v>2020</v>
      </c>
      <c r="S226" s="0" t="str">
        <f aca="false">IF(ISBLANK(E226),"Missing",IF(E226&lt;6,"0-6mo",IF(E226&lt;12,"6-12mo",IF(E226&lt;24,"12-24mo","24mo+"))))</f>
        <v>6-12mo</v>
      </c>
      <c r="T226" s="0" t="n">
        <f aca="false">IF(ISBLANK(C226),0,IF(C226="Month-to-month",2,IF(C226="One year",1,0)))+IF(ISBLANK(I226),0,IF(I226&lt;40,2,IF(I226&lt;55,1,0)))+IF(ISBLANK(M226),0,IF(M226=1,3,0))+IF(ISBLANK(L226),0,IF(L226&gt;=2,1,0))+IF(ISBLANK(E226),0,IF(E226&lt;12,1,0))</f>
        <v>2</v>
      </c>
      <c r="U226" s="0" t="str">
        <f aca="false">IF((ISBLANK(B226)*1+ISBLANK(C226)*1+ISBLANK(D226)*1+ISBLANK(E226)*1+ISBLANK(F226)*1+ISBLANK(I226)*1+ISBLANK(J226)*1+ISBLANK(K226)*1+ISBLANK(L226)*1+ISBLANK(M226)*1+ISBLANK(N226)*1+ISBLANK(O226)*1)&gt;0,"Missing Data","OK")</f>
        <v>OK</v>
      </c>
      <c r="V226" s="0" t="str">
        <f aca="false">IF(T226&gt;=6,"High Risk",IF(T226&gt;=3,"Medium Risk","Low Risk"))</f>
        <v>Low Risk</v>
      </c>
    </row>
    <row r="227" customFormat="false" ht="12.8" hidden="false" customHeight="false" outlineLevel="0" collapsed="false">
      <c r="A227" s="1" t="s">
        <v>257</v>
      </c>
      <c r="B227" s="1" t="s">
        <v>36</v>
      </c>
      <c r="C227" s="1" t="s">
        <v>34</v>
      </c>
      <c r="D227" s="1" t="n">
        <v>10.73</v>
      </c>
      <c r="E227" s="1" t="n">
        <v>40</v>
      </c>
      <c r="F227" s="4" t="n">
        <v>44147</v>
      </c>
      <c r="G227" s="1" t="s">
        <v>25</v>
      </c>
      <c r="H227" s="1" t="n">
        <v>0</v>
      </c>
      <c r="I227" s="1" t="n">
        <v>47.3</v>
      </c>
      <c r="J227" s="1" t="n">
        <v>17</v>
      </c>
      <c r="K227" s="1" t="n">
        <v>5</v>
      </c>
      <c r="L227" s="1" t="n">
        <v>2</v>
      </c>
      <c r="M227" s="1" t="n">
        <v>1</v>
      </c>
      <c r="N227" s="1" t="n">
        <v>429.2</v>
      </c>
      <c r="O227" s="1" t="n">
        <v>0</v>
      </c>
      <c r="Q227" s="4" t="n">
        <v>45364</v>
      </c>
      <c r="R227" s="0" t="n">
        <f aca="false">IF(ISBLANK(F227),"Missing",IFERROR(YEAR(F227),"Missing"))</f>
        <v>2020</v>
      </c>
      <c r="S227" s="0" t="str">
        <f aca="false">IF(ISBLANK(E227),"Missing",IF(E227&lt;6,"0-6mo",IF(E227&lt;12,"6-12mo",IF(E227&lt;24,"12-24mo","24mo+"))))</f>
        <v>24mo+</v>
      </c>
      <c r="T227" s="0" t="n">
        <f aca="false">IF(ISBLANK(C227),0,IF(C227="Month-to-month",2,IF(C227="One year",1,0)))+IF(ISBLANK(I227),0,IF(I227&lt;40,2,IF(I227&lt;55,1,0)))+IF(ISBLANK(M227),0,IF(M227=1,3,0))+IF(ISBLANK(L227),0,IF(L227&gt;=2,1,0))+IF(ISBLANK(E227),0,IF(E227&lt;12,1,0))</f>
        <v>6</v>
      </c>
      <c r="U227" s="0" t="str">
        <f aca="false">IF((ISBLANK(B227)*1+ISBLANK(C227)*1+ISBLANK(D227)*1+ISBLANK(E227)*1+ISBLANK(F227)*1+ISBLANK(I227)*1+ISBLANK(J227)*1+ISBLANK(K227)*1+ISBLANK(L227)*1+ISBLANK(M227)*1+ISBLANK(N227)*1+ISBLANK(O227)*1)&gt;0,"Missing Data","OK")</f>
        <v>OK</v>
      </c>
      <c r="V227" s="0" t="str">
        <f aca="false">IF(T227&gt;=6,"High Risk",IF(T227&gt;=3,"Medium Risk","Low Risk"))</f>
        <v>High Risk</v>
      </c>
    </row>
    <row r="228" customFormat="false" ht="12.8" hidden="false" customHeight="false" outlineLevel="0" collapsed="false">
      <c r="A228" s="1" t="s">
        <v>258</v>
      </c>
      <c r="B228" s="1" t="s">
        <v>23</v>
      </c>
      <c r="C228" s="1" t="s">
        <v>34</v>
      </c>
      <c r="D228" s="1" t="n">
        <v>19.3</v>
      </c>
      <c r="E228" s="1" t="n">
        <v>10</v>
      </c>
      <c r="F228" s="4" t="n">
        <v>44148</v>
      </c>
      <c r="G228" s="1" t="s">
        <v>27</v>
      </c>
      <c r="H228" s="1" t="n">
        <v>1</v>
      </c>
      <c r="I228" s="1" t="n">
        <v>47.8</v>
      </c>
      <c r="J228" s="1" t="n">
        <v>16</v>
      </c>
      <c r="K228" s="1" t="n">
        <v>7</v>
      </c>
      <c r="L228" s="1" t="n">
        <v>0</v>
      </c>
      <c r="M228" s="1" t="n">
        <v>0</v>
      </c>
      <c r="N228" s="1" t="n">
        <v>193</v>
      </c>
      <c r="O228" s="1" t="n">
        <v>0</v>
      </c>
      <c r="Q228" s="4" t="n">
        <v>44452</v>
      </c>
      <c r="R228" s="0" t="n">
        <f aca="false">IF(ISBLANK(F228),"Missing",IFERROR(YEAR(F228),"Missing"))</f>
        <v>2020</v>
      </c>
      <c r="S228" s="0" t="str">
        <f aca="false">IF(ISBLANK(E228),"Missing",IF(E228&lt;6,"0-6mo",IF(E228&lt;12,"6-12mo",IF(E228&lt;24,"12-24mo","24mo+"))))</f>
        <v>6-12mo</v>
      </c>
      <c r="T228" s="0" t="n">
        <f aca="false">IF(ISBLANK(C228),0,IF(C228="Month-to-month",2,IF(C228="One year",1,0)))+IF(ISBLANK(I228),0,IF(I228&lt;40,2,IF(I228&lt;55,1,0)))+IF(ISBLANK(M228),0,IF(M228=1,3,0))+IF(ISBLANK(L228),0,IF(L228&gt;=2,1,0))+IF(ISBLANK(E228),0,IF(E228&lt;12,1,0))</f>
        <v>3</v>
      </c>
      <c r="U228" s="0" t="str">
        <f aca="false">IF((ISBLANK(B228)*1+ISBLANK(C228)*1+ISBLANK(D228)*1+ISBLANK(E228)*1+ISBLANK(F228)*1+ISBLANK(I228)*1+ISBLANK(J228)*1+ISBLANK(K228)*1+ISBLANK(L228)*1+ISBLANK(M228)*1+ISBLANK(N228)*1+ISBLANK(O228)*1)&gt;0,"Missing Data","OK")</f>
        <v>OK</v>
      </c>
      <c r="V228" s="0" t="str">
        <f aca="false">IF(T228&gt;=6,"High Risk",IF(T228&gt;=3,"Medium Risk","Low Risk"))</f>
        <v>Medium Risk</v>
      </c>
    </row>
    <row r="229" customFormat="false" ht="12.8" hidden="false" customHeight="false" outlineLevel="0" collapsed="false">
      <c r="A229" s="1" t="s">
        <v>259</v>
      </c>
      <c r="B229" s="1" t="s">
        <v>36</v>
      </c>
      <c r="C229" s="1" t="s">
        <v>24</v>
      </c>
      <c r="D229" s="1" t="n">
        <v>11.33</v>
      </c>
      <c r="E229" s="1" t="n">
        <v>8</v>
      </c>
      <c r="F229" s="4" t="n">
        <v>44148</v>
      </c>
      <c r="G229" s="1" t="s">
        <v>39</v>
      </c>
      <c r="H229" s="1" t="n">
        <v>1</v>
      </c>
      <c r="I229" s="1" t="n">
        <v>46.3</v>
      </c>
      <c r="J229" s="1" t="n">
        <v>13</v>
      </c>
      <c r="K229" s="1" t="n">
        <v>4</v>
      </c>
      <c r="L229" s="1" t="n">
        <v>0</v>
      </c>
      <c r="M229" s="1" t="n">
        <v>0</v>
      </c>
      <c r="N229" s="1" t="n">
        <v>90.64</v>
      </c>
      <c r="O229" s="1" t="n">
        <v>0</v>
      </c>
      <c r="Q229" s="4" t="n">
        <v>44391</v>
      </c>
      <c r="R229" s="0" t="n">
        <f aca="false">IF(ISBLANK(F229),"Missing",IFERROR(YEAR(F229),"Missing"))</f>
        <v>2020</v>
      </c>
      <c r="S229" s="0" t="str">
        <f aca="false">IF(ISBLANK(E229),"Missing",IF(E229&lt;6,"0-6mo",IF(E229&lt;12,"6-12mo",IF(E229&lt;24,"12-24mo","24mo+"))))</f>
        <v>6-12mo</v>
      </c>
      <c r="T229" s="0" t="n">
        <f aca="false">IF(ISBLANK(C229),0,IF(C229="Month-to-month",2,IF(C229="One year",1,0)))+IF(ISBLANK(I229),0,IF(I229&lt;40,2,IF(I229&lt;55,1,0)))+IF(ISBLANK(M229),0,IF(M229=1,3,0))+IF(ISBLANK(L229),0,IF(L229&gt;=2,1,0))+IF(ISBLANK(E229),0,IF(E229&lt;12,1,0))</f>
        <v>4</v>
      </c>
      <c r="U229" s="0" t="str">
        <f aca="false">IF((ISBLANK(B229)*1+ISBLANK(C229)*1+ISBLANK(D229)*1+ISBLANK(E229)*1+ISBLANK(F229)*1+ISBLANK(I229)*1+ISBLANK(J229)*1+ISBLANK(K229)*1+ISBLANK(L229)*1+ISBLANK(M229)*1+ISBLANK(N229)*1+ISBLANK(O229)*1)&gt;0,"Missing Data","OK")</f>
        <v>OK</v>
      </c>
      <c r="V229" s="0" t="str">
        <f aca="false">IF(T229&gt;=6,"High Risk",IF(T229&gt;=3,"Medium Risk","Low Risk"))</f>
        <v>Medium Risk</v>
      </c>
    </row>
    <row r="230" customFormat="false" ht="12.8" hidden="false" customHeight="false" outlineLevel="0" collapsed="false">
      <c r="A230" s="1" t="s">
        <v>260</v>
      </c>
      <c r="B230" s="1" t="s">
        <v>23</v>
      </c>
      <c r="C230" s="1" t="s">
        <v>24</v>
      </c>
      <c r="D230" s="1" t="n">
        <v>19.62</v>
      </c>
      <c r="E230" s="1" t="n">
        <v>9</v>
      </c>
      <c r="F230" s="4" t="n">
        <v>44149</v>
      </c>
      <c r="G230" s="1" t="s">
        <v>25</v>
      </c>
      <c r="H230" s="1" t="n">
        <v>0</v>
      </c>
      <c r="I230" s="1" t="n">
        <v>53.5</v>
      </c>
      <c r="J230" s="1" t="n">
        <v>14</v>
      </c>
      <c r="K230" s="1" t="n">
        <v>8</v>
      </c>
      <c r="L230" s="1" t="n">
        <v>1</v>
      </c>
      <c r="M230" s="1" t="n">
        <v>1</v>
      </c>
      <c r="N230" s="1" t="n">
        <v>176.58</v>
      </c>
      <c r="O230" s="1" t="n">
        <v>1</v>
      </c>
      <c r="P230" s="4" t="n">
        <v>44422</v>
      </c>
      <c r="Q230" s="4" t="n">
        <v>44422</v>
      </c>
      <c r="R230" s="0" t="n">
        <f aca="false">IF(ISBLANK(F230),"Missing",IFERROR(YEAR(F230),"Missing"))</f>
        <v>2020</v>
      </c>
      <c r="S230" s="0" t="str">
        <f aca="false">IF(ISBLANK(E230),"Missing",IF(E230&lt;6,"0-6mo",IF(E230&lt;12,"6-12mo",IF(E230&lt;24,"12-24mo","24mo+"))))</f>
        <v>6-12mo</v>
      </c>
      <c r="T230" s="0" t="n">
        <f aca="false">IF(ISBLANK(C230),0,IF(C230="Month-to-month",2,IF(C230="One year",1,0)))+IF(ISBLANK(I230),0,IF(I230&lt;40,2,IF(I230&lt;55,1,0)))+IF(ISBLANK(M230),0,IF(M230=1,3,0))+IF(ISBLANK(L230),0,IF(L230&gt;=2,1,0))+IF(ISBLANK(E230),0,IF(E230&lt;12,1,0))</f>
        <v>7</v>
      </c>
      <c r="U230" s="0" t="str">
        <f aca="false">IF((ISBLANK(B230)*1+ISBLANK(C230)*1+ISBLANK(D230)*1+ISBLANK(E230)*1+ISBLANK(F230)*1+ISBLANK(I230)*1+ISBLANK(J230)*1+ISBLANK(K230)*1+ISBLANK(L230)*1+ISBLANK(M230)*1+ISBLANK(N230)*1+ISBLANK(O230)*1)&gt;0,"Missing Data","OK")</f>
        <v>OK</v>
      </c>
      <c r="V230" s="0" t="str">
        <f aca="false">IF(T230&gt;=6,"High Risk",IF(T230&gt;=3,"Medium Risk","Low Risk"))</f>
        <v>High Risk</v>
      </c>
    </row>
    <row r="231" customFormat="false" ht="12.8" hidden="false" customHeight="false" outlineLevel="0" collapsed="false">
      <c r="A231" s="1" t="s">
        <v>261</v>
      </c>
      <c r="B231" s="1" t="s">
        <v>23</v>
      </c>
      <c r="C231" s="1" t="s">
        <v>24</v>
      </c>
      <c r="D231" s="1" t="n">
        <v>20.89</v>
      </c>
      <c r="E231" s="1" t="n">
        <v>32</v>
      </c>
      <c r="F231" s="4" t="n">
        <v>44150</v>
      </c>
      <c r="G231" s="1" t="s">
        <v>30</v>
      </c>
      <c r="H231" s="1" t="n">
        <v>1</v>
      </c>
      <c r="I231" s="1" t="n">
        <v>35.1</v>
      </c>
      <c r="J231" s="1" t="n">
        <v>16</v>
      </c>
      <c r="K231" s="1" t="n">
        <v>5</v>
      </c>
      <c r="L231" s="1" t="n">
        <v>0</v>
      </c>
      <c r="M231" s="1" t="n">
        <v>0</v>
      </c>
      <c r="N231" s="1" t="n">
        <v>668.48</v>
      </c>
      <c r="O231" s="1" t="n">
        <v>0</v>
      </c>
      <c r="Q231" s="4" t="n">
        <v>45124</v>
      </c>
      <c r="R231" s="0" t="n">
        <f aca="false">IF(ISBLANK(F231),"Missing",IFERROR(YEAR(F231),"Missing"))</f>
        <v>2020</v>
      </c>
      <c r="S231" s="0" t="str">
        <f aca="false">IF(ISBLANK(E231),"Missing",IF(E231&lt;6,"0-6mo",IF(E231&lt;12,"6-12mo",IF(E231&lt;24,"12-24mo","24mo+"))))</f>
        <v>24mo+</v>
      </c>
      <c r="T231" s="0" t="n">
        <f aca="false">IF(ISBLANK(C231),0,IF(C231="Month-to-month",2,IF(C231="One year",1,0)))+IF(ISBLANK(I231),0,IF(I231&lt;40,2,IF(I231&lt;55,1,0)))+IF(ISBLANK(M231),0,IF(M231=1,3,0))+IF(ISBLANK(L231),0,IF(L231&gt;=2,1,0))+IF(ISBLANK(E231),0,IF(E231&lt;12,1,0))</f>
        <v>4</v>
      </c>
      <c r="U231" s="0" t="str">
        <f aca="false">IF((ISBLANK(B231)*1+ISBLANK(C231)*1+ISBLANK(D231)*1+ISBLANK(E231)*1+ISBLANK(F231)*1+ISBLANK(I231)*1+ISBLANK(J231)*1+ISBLANK(K231)*1+ISBLANK(L231)*1+ISBLANK(M231)*1+ISBLANK(N231)*1+ISBLANK(O231)*1)&gt;0,"Missing Data","OK")</f>
        <v>OK</v>
      </c>
      <c r="V231" s="0" t="str">
        <f aca="false">IF(T231&gt;=6,"High Risk",IF(T231&gt;=3,"Medium Risk","Low Risk"))</f>
        <v>Medium Risk</v>
      </c>
    </row>
    <row r="232" customFormat="false" ht="12.8" hidden="false" customHeight="false" outlineLevel="0" collapsed="false">
      <c r="A232" s="1" t="s">
        <v>262</v>
      </c>
      <c r="B232" s="1" t="s">
        <v>23</v>
      </c>
      <c r="C232" s="1" t="s">
        <v>24</v>
      </c>
      <c r="D232" s="1" t="n">
        <v>19.83</v>
      </c>
      <c r="E232" s="1" t="n">
        <v>54</v>
      </c>
      <c r="F232" s="4" t="n">
        <v>44152</v>
      </c>
      <c r="G232" s="1" t="s">
        <v>27</v>
      </c>
      <c r="H232" s="1" t="n">
        <v>1</v>
      </c>
      <c r="I232" s="1" t="n">
        <v>9.3</v>
      </c>
      <c r="J232" s="1" t="n">
        <v>4</v>
      </c>
      <c r="K232" s="1" t="n">
        <v>2</v>
      </c>
      <c r="L232" s="1" t="n">
        <v>1</v>
      </c>
      <c r="M232" s="1" t="n">
        <v>0</v>
      </c>
      <c r="N232" s="1" t="n">
        <v>1070.82</v>
      </c>
      <c r="O232" s="1" t="n">
        <v>0</v>
      </c>
      <c r="Q232" s="4" t="n">
        <v>45795</v>
      </c>
      <c r="R232" s="0" t="n">
        <f aca="false">IF(ISBLANK(F232),"Missing",IFERROR(YEAR(F232),"Missing"))</f>
        <v>2020</v>
      </c>
      <c r="S232" s="0" t="str">
        <f aca="false">IF(ISBLANK(E232),"Missing",IF(E232&lt;6,"0-6mo",IF(E232&lt;12,"6-12mo",IF(E232&lt;24,"12-24mo","24mo+"))))</f>
        <v>24mo+</v>
      </c>
      <c r="T232" s="0" t="n">
        <f aca="false">IF(ISBLANK(C232),0,IF(C232="Month-to-month",2,IF(C232="One year",1,0)))+IF(ISBLANK(I232),0,IF(I232&lt;40,2,IF(I232&lt;55,1,0)))+IF(ISBLANK(M232),0,IF(M232=1,3,0))+IF(ISBLANK(L232),0,IF(L232&gt;=2,1,0))+IF(ISBLANK(E232),0,IF(E232&lt;12,1,0))</f>
        <v>4</v>
      </c>
      <c r="U232" s="0" t="str">
        <f aca="false">IF((ISBLANK(B232)*1+ISBLANK(C232)*1+ISBLANK(D232)*1+ISBLANK(E232)*1+ISBLANK(F232)*1+ISBLANK(I232)*1+ISBLANK(J232)*1+ISBLANK(K232)*1+ISBLANK(L232)*1+ISBLANK(M232)*1+ISBLANK(N232)*1+ISBLANK(O232)*1)&gt;0,"Missing Data","OK")</f>
        <v>OK</v>
      </c>
      <c r="V232" s="0" t="str">
        <f aca="false">IF(T232&gt;=6,"High Risk",IF(T232&gt;=3,"Medium Risk","Low Risk"))</f>
        <v>Medium Risk</v>
      </c>
    </row>
    <row r="233" customFormat="false" ht="12.8" hidden="false" customHeight="false" outlineLevel="0" collapsed="false">
      <c r="A233" s="1" t="s">
        <v>263</v>
      </c>
      <c r="B233" s="1" t="s">
        <v>36</v>
      </c>
      <c r="C233" s="1" t="s">
        <v>34</v>
      </c>
      <c r="D233" s="1" t="n">
        <v>11.07</v>
      </c>
      <c r="E233" s="1" t="n">
        <v>8</v>
      </c>
      <c r="F233" s="4" t="n">
        <v>44152</v>
      </c>
      <c r="G233" s="1" t="s">
        <v>25</v>
      </c>
      <c r="H233" s="1" t="n">
        <v>1</v>
      </c>
      <c r="I233" s="1" t="n">
        <v>36.5</v>
      </c>
      <c r="J233" s="1" t="n">
        <v>23</v>
      </c>
      <c r="K233" s="1" t="n">
        <v>6</v>
      </c>
      <c r="L233" s="1" t="n">
        <v>3</v>
      </c>
      <c r="M233" s="1" t="n">
        <v>1</v>
      </c>
      <c r="N233" s="1" t="n">
        <v>88.56</v>
      </c>
      <c r="O233" s="1" t="n">
        <v>0</v>
      </c>
      <c r="Q233" s="4" t="n">
        <v>44395</v>
      </c>
      <c r="R233" s="0" t="n">
        <f aca="false">IF(ISBLANK(F233),"Missing",IFERROR(YEAR(F233),"Missing"))</f>
        <v>2020</v>
      </c>
      <c r="S233" s="0" t="str">
        <f aca="false">IF(ISBLANK(E233),"Missing",IF(E233&lt;6,"0-6mo",IF(E233&lt;12,"6-12mo",IF(E233&lt;24,"12-24mo","24mo+"))))</f>
        <v>6-12mo</v>
      </c>
      <c r="T233" s="0" t="n">
        <f aca="false">IF(ISBLANK(C233),0,IF(C233="Month-to-month",2,IF(C233="One year",1,0)))+IF(ISBLANK(I233),0,IF(I233&lt;40,2,IF(I233&lt;55,1,0)))+IF(ISBLANK(M233),0,IF(M233=1,3,0))+IF(ISBLANK(L233),0,IF(L233&gt;=2,1,0))+IF(ISBLANK(E233),0,IF(E233&lt;12,1,0))</f>
        <v>8</v>
      </c>
      <c r="U233" s="0" t="str">
        <f aca="false">IF((ISBLANK(B233)*1+ISBLANK(C233)*1+ISBLANK(D233)*1+ISBLANK(E233)*1+ISBLANK(F233)*1+ISBLANK(I233)*1+ISBLANK(J233)*1+ISBLANK(K233)*1+ISBLANK(L233)*1+ISBLANK(M233)*1+ISBLANK(N233)*1+ISBLANK(O233)*1)&gt;0,"Missing Data","OK")</f>
        <v>OK</v>
      </c>
      <c r="V233" s="0" t="str">
        <f aca="false">IF(T233&gt;=6,"High Risk",IF(T233&gt;=3,"Medium Risk","Low Risk"))</f>
        <v>High Risk</v>
      </c>
    </row>
    <row r="234" customFormat="false" ht="12.8" hidden="false" customHeight="false" outlineLevel="0" collapsed="false">
      <c r="A234" s="1" t="s">
        <v>264</v>
      </c>
      <c r="B234" s="1" t="s">
        <v>29</v>
      </c>
      <c r="C234" s="1" t="s">
        <v>34</v>
      </c>
      <c r="D234" s="1" t="n">
        <v>41.49</v>
      </c>
      <c r="E234" s="1" t="n">
        <v>26</v>
      </c>
      <c r="F234" s="4" t="n">
        <v>44152</v>
      </c>
      <c r="G234" s="1" t="s">
        <v>25</v>
      </c>
      <c r="H234" s="1" t="n">
        <v>1</v>
      </c>
      <c r="I234" s="1" t="n">
        <v>45.8</v>
      </c>
      <c r="J234" s="1" t="n">
        <v>17</v>
      </c>
      <c r="K234" s="1" t="n">
        <v>4</v>
      </c>
      <c r="L234" s="1" t="n">
        <v>2</v>
      </c>
      <c r="M234" s="1" t="n">
        <v>0</v>
      </c>
      <c r="N234" s="1" t="n">
        <v>1078.74</v>
      </c>
      <c r="O234" s="1" t="n">
        <v>0</v>
      </c>
      <c r="Q234" s="4" t="n">
        <v>44943</v>
      </c>
      <c r="R234" s="0" t="n">
        <f aca="false">IF(ISBLANK(F234),"Missing",IFERROR(YEAR(F234),"Missing"))</f>
        <v>2020</v>
      </c>
      <c r="S234" s="0" t="str">
        <f aca="false">IF(ISBLANK(E234),"Missing",IF(E234&lt;6,"0-6mo",IF(E234&lt;12,"6-12mo",IF(E234&lt;24,"12-24mo","24mo+"))))</f>
        <v>24mo+</v>
      </c>
      <c r="T234" s="0" t="n">
        <f aca="false">IF(ISBLANK(C234),0,IF(C234="Month-to-month",2,IF(C234="One year",1,0)))+IF(ISBLANK(I234),0,IF(I234&lt;40,2,IF(I234&lt;55,1,0)))+IF(ISBLANK(M234),0,IF(M234=1,3,0))+IF(ISBLANK(L234),0,IF(L234&gt;=2,1,0))+IF(ISBLANK(E234),0,IF(E234&lt;12,1,0))</f>
        <v>3</v>
      </c>
      <c r="U234" s="0" t="str">
        <f aca="false">IF((ISBLANK(B234)*1+ISBLANK(C234)*1+ISBLANK(D234)*1+ISBLANK(E234)*1+ISBLANK(F234)*1+ISBLANK(I234)*1+ISBLANK(J234)*1+ISBLANK(K234)*1+ISBLANK(L234)*1+ISBLANK(M234)*1+ISBLANK(N234)*1+ISBLANK(O234)*1)&gt;0,"Missing Data","OK")</f>
        <v>OK</v>
      </c>
      <c r="V234" s="0" t="str">
        <f aca="false">IF(T234&gt;=6,"High Risk",IF(T234&gt;=3,"Medium Risk","Low Risk"))</f>
        <v>Medium Risk</v>
      </c>
    </row>
    <row r="235" customFormat="false" ht="12.8" hidden="false" customHeight="false" outlineLevel="0" collapsed="false">
      <c r="A235" s="1" t="s">
        <v>265</v>
      </c>
      <c r="B235" s="1" t="s">
        <v>23</v>
      </c>
      <c r="C235" s="1" t="s">
        <v>24</v>
      </c>
      <c r="D235" s="1" t="n">
        <v>20.64</v>
      </c>
      <c r="E235" s="1" t="n">
        <v>3</v>
      </c>
      <c r="F235" s="4" t="n">
        <v>44153</v>
      </c>
      <c r="G235" s="1" t="s">
        <v>39</v>
      </c>
      <c r="H235" s="1" t="n">
        <v>1</v>
      </c>
      <c r="I235" s="1" t="n">
        <v>55.4</v>
      </c>
      <c r="J235" s="1" t="n">
        <v>22</v>
      </c>
      <c r="K235" s="1" t="n">
        <v>5</v>
      </c>
      <c r="L235" s="1" t="n">
        <v>0</v>
      </c>
      <c r="M235" s="1" t="n">
        <v>0</v>
      </c>
      <c r="N235" s="1" t="n">
        <v>61.92</v>
      </c>
      <c r="O235" s="1" t="n">
        <v>1</v>
      </c>
      <c r="P235" s="4" t="n">
        <v>44244</v>
      </c>
      <c r="Q235" s="4" t="n">
        <v>44244</v>
      </c>
      <c r="R235" s="0" t="n">
        <f aca="false">IF(ISBLANK(F235),"Missing",IFERROR(YEAR(F235),"Missing"))</f>
        <v>2020</v>
      </c>
      <c r="S235" s="0" t="str">
        <f aca="false">IF(ISBLANK(E235),"Missing",IF(E235&lt;6,"0-6mo",IF(E235&lt;12,"6-12mo",IF(E235&lt;24,"12-24mo","24mo+"))))</f>
        <v>0-6mo</v>
      </c>
      <c r="T235" s="0" t="n">
        <f aca="false">IF(ISBLANK(C235),0,IF(C235="Month-to-month",2,IF(C235="One year",1,0)))+IF(ISBLANK(I235),0,IF(I235&lt;40,2,IF(I235&lt;55,1,0)))+IF(ISBLANK(M235),0,IF(M235=1,3,0))+IF(ISBLANK(L235),0,IF(L235&gt;=2,1,0))+IF(ISBLANK(E235),0,IF(E235&lt;12,1,0))</f>
        <v>3</v>
      </c>
      <c r="U235" s="0" t="str">
        <f aca="false">IF((ISBLANK(B235)*1+ISBLANK(C235)*1+ISBLANK(D235)*1+ISBLANK(E235)*1+ISBLANK(F235)*1+ISBLANK(I235)*1+ISBLANK(J235)*1+ISBLANK(K235)*1+ISBLANK(L235)*1+ISBLANK(M235)*1+ISBLANK(N235)*1+ISBLANK(O235)*1)&gt;0,"Missing Data","OK")</f>
        <v>OK</v>
      </c>
      <c r="V235" s="0" t="str">
        <f aca="false">IF(T235&gt;=6,"High Risk",IF(T235&gt;=3,"Medium Risk","Low Risk"))</f>
        <v>Medium Risk</v>
      </c>
    </row>
    <row r="236" customFormat="false" ht="12.8" hidden="false" customHeight="false" outlineLevel="0" collapsed="false">
      <c r="A236" s="1" t="s">
        <v>266</v>
      </c>
      <c r="B236" s="1" t="s">
        <v>23</v>
      </c>
      <c r="C236" s="1" t="s">
        <v>24</v>
      </c>
      <c r="D236" s="1" t="n">
        <v>19.44</v>
      </c>
      <c r="E236" s="1" t="n">
        <v>12</v>
      </c>
      <c r="F236" s="4" t="n">
        <v>44154</v>
      </c>
      <c r="G236" s="1" t="s">
        <v>39</v>
      </c>
      <c r="H236" s="1" t="n">
        <v>1</v>
      </c>
      <c r="I236" s="1" t="n">
        <v>1.5</v>
      </c>
      <c r="J236" s="1" t="n">
        <v>0</v>
      </c>
      <c r="K236" s="1" t="n">
        <v>0</v>
      </c>
      <c r="L236" s="1" t="n">
        <v>5</v>
      </c>
      <c r="M236" s="1" t="n">
        <v>0</v>
      </c>
      <c r="N236" s="1" t="n">
        <v>233.28</v>
      </c>
      <c r="O236" s="1" t="n">
        <v>0</v>
      </c>
      <c r="Q236" s="4" t="n">
        <v>44519</v>
      </c>
      <c r="R236" s="0" t="n">
        <f aca="false">IF(ISBLANK(F236),"Missing",IFERROR(YEAR(F236),"Missing"))</f>
        <v>2020</v>
      </c>
      <c r="S236" s="0" t="str">
        <f aca="false">IF(ISBLANK(E236),"Missing",IF(E236&lt;6,"0-6mo",IF(E236&lt;12,"6-12mo",IF(E236&lt;24,"12-24mo","24mo+"))))</f>
        <v>12-24mo</v>
      </c>
      <c r="T236" s="0" t="n">
        <f aca="false">IF(ISBLANK(C236),0,IF(C236="Month-to-month",2,IF(C236="One year",1,0)))+IF(ISBLANK(I236),0,IF(I236&lt;40,2,IF(I236&lt;55,1,0)))+IF(ISBLANK(M236),0,IF(M236=1,3,0))+IF(ISBLANK(L236),0,IF(L236&gt;=2,1,0))+IF(ISBLANK(E236),0,IF(E236&lt;12,1,0))</f>
        <v>5</v>
      </c>
      <c r="U236" s="0" t="str">
        <f aca="false">IF((ISBLANK(B236)*1+ISBLANK(C236)*1+ISBLANK(D236)*1+ISBLANK(E236)*1+ISBLANK(F236)*1+ISBLANK(I236)*1+ISBLANK(J236)*1+ISBLANK(K236)*1+ISBLANK(L236)*1+ISBLANK(M236)*1+ISBLANK(N236)*1+ISBLANK(O236)*1)&gt;0,"Missing Data","OK")</f>
        <v>OK</v>
      </c>
      <c r="V236" s="0" t="str">
        <f aca="false">IF(T236&gt;=6,"High Risk",IF(T236&gt;=3,"Medium Risk","Low Risk"))</f>
        <v>Medium Risk</v>
      </c>
    </row>
    <row r="237" customFormat="false" ht="12.8" hidden="false" customHeight="false" outlineLevel="0" collapsed="false">
      <c r="A237" s="1" t="s">
        <v>267</v>
      </c>
      <c r="B237" s="1" t="s">
        <v>29</v>
      </c>
      <c r="C237" s="1" t="s">
        <v>34</v>
      </c>
      <c r="D237" s="1" t="n">
        <v>41.18</v>
      </c>
      <c r="E237" s="1" t="n">
        <v>16</v>
      </c>
      <c r="F237" s="4" t="n">
        <v>44155</v>
      </c>
      <c r="G237" s="1" t="s">
        <v>25</v>
      </c>
      <c r="H237" s="1" t="n">
        <v>1</v>
      </c>
      <c r="I237" s="1" t="n">
        <v>19.9</v>
      </c>
      <c r="J237" s="1" t="n">
        <v>9</v>
      </c>
      <c r="K237" s="1" t="n">
        <v>2</v>
      </c>
      <c r="L237" s="1" t="n">
        <v>2</v>
      </c>
      <c r="M237" s="1" t="n">
        <v>0</v>
      </c>
      <c r="N237" s="1" t="n">
        <v>658.88</v>
      </c>
      <c r="O237" s="1" t="n">
        <v>0</v>
      </c>
      <c r="Q237" s="4" t="n">
        <v>44642</v>
      </c>
      <c r="R237" s="0" t="n">
        <f aca="false">IF(ISBLANK(F237),"Missing",IFERROR(YEAR(F237),"Missing"))</f>
        <v>2020</v>
      </c>
      <c r="S237" s="0" t="str">
        <f aca="false">IF(ISBLANK(E237),"Missing",IF(E237&lt;6,"0-6mo",IF(E237&lt;12,"6-12mo",IF(E237&lt;24,"12-24mo","24mo+"))))</f>
        <v>12-24mo</v>
      </c>
      <c r="T237" s="0" t="n">
        <f aca="false">IF(ISBLANK(C237),0,IF(C237="Month-to-month",2,IF(C237="One year",1,0)))+IF(ISBLANK(I237),0,IF(I237&lt;40,2,IF(I237&lt;55,1,0)))+IF(ISBLANK(M237),0,IF(M237=1,3,0))+IF(ISBLANK(L237),0,IF(L237&gt;=2,1,0))+IF(ISBLANK(E237),0,IF(E237&lt;12,1,0))</f>
        <v>4</v>
      </c>
      <c r="U237" s="0" t="str">
        <f aca="false">IF((ISBLANK(B237)*1+ISBLANK(C237)*1+ISBLANK(D237)*1+ISBLANK(E237)*1+ISBLANK(F237)*1+ISBLANK(I237)*1+ISBLANK(J237)*1+ISBLANK(K237)*1+ISBLANK(L237)*1+ISBLANK(M237)*1+ISBLANK(N237)*1+ISBLANK(O237)*1)&gt;0,"Missing Data","OK")</f>
        <v>OK</v>
      </c>
      <c r="V237" s="0" t="str">
        <f aca="false">IF(T237&gt;=6,"High Risk",IF(T237&gt;=3,"Medium Risk","Low Risk"))</f>
        <v>Medium Risk</v>
      </c>
    </row>
    <row r="238" customFormat="false" ht="12.8" hidden="false" customHeight="false" outlineLevel="0" collapsed="false">
      <c r="A238" s="1" t="s">
        <v>268</v>
      </c>
      <c r="B238" s="1" t="s">
        <v>23</v>
      </c>
      <c r="C238" s="1" t="s">
        <v>34</v>
      </c>
      <c r="D238" s="1" t="n">
        <v>19.79</v>
      </c>
      <c r="E238" s="1" t="n">
        <v>29</v>
      </c>
      <c r="F238" s="4" t="n">
        <v>44155</v>
      </c>
      <c r="G238" s="1" t="s">
        <v>39</v>
      </c>
      <c r="H238" s="1" t="n">
        <v>0</v>
      </c>
      <c r="I238" s="1" t="n">
        <v>58.7</v>
      </c>
      <c r="J238" s="1" t="n">
        <v>22</v>
      </c>
      <c r="K238" s="1" t="n">
        <v>6</v>
      </c>
      <c r="L238" s="1" t="n">
        <v>0</v>
      </c>
      <c r="M238" s="1" t="n">
        <v>0</v>
      </c>
      <c r="N238" s="1" t="n">
        <v>573.91</v>
      </c>
      <c r="O238" s="1" t="n">
        <v>0</v>
      </c>
      <c r="Q238" s="4" t="n">
        <v>45037</v>
      </c>
      <c r="R238" s="0" t="n">
        <f aca="false">IF(ISBLANK(F238),"Missing",IFERROR(YEAR(F238),"Missing"))</f>
        <v>2020</v>
      </c>
      <c r="S238" s="0" t="str">
        <f aca="false">IF(ISBLANK(E238),"Missing",IF(E238&lt;6,"0-6mo",IF(E238&lt;12,"6-12mo",IF(E238&lt;24,"12-24mo","24mo+"))))</f>
        <v>24mo+</v>
      </c>
      <c r="T238" s="0" t="n">
        <f aca="false">IF(ISBLANK(C238),0,IF(C238="Month-to-month",2,IF(C238="One year",1,0)))+IF(ISBLANK(I238),0,IF(I238&lt;40,2,IF(I238&lt;55,1,0)))+IF(ISBLANK(M238),0,IF(M238=1,3,0))+IF(ISBLANK(L238),0,IF(L238&gt;=2,1,0))+IF(ISBLANK(E238),0,IF(E238&lt;12,1,0))</f>
        <v>1</v>
      </c>
      <c r="U238" s="0" t="str">
        <f aca="false">IF((ISBLANK(B238)*1+ISBLANK(C238)*1+ISBLANK(D238)*1+ISBLANK(E238)*1+ISBLANK(F238)*1+ISBLANK(I238)*1+ISBLANK(J238)*1+ISBLANK(K238)*1+ISBLANK(L238)*1+ISBLANK(M238)*1+ISBLANK(N238)*1+ISBLANK(O238)*1)&gt;0,"Missing Data","OK")</f>
        <v>OK</v>
      </c>
      <c r="V238" s="0" t="str">
        <f aca="false">IF(T238&gt;=6,"High Risk",IF(T238&gt;=3,"Medium Risk","Low Risk"))</f>
        <v>Low Risk</v>
      </c>
    </row>
    <row r="239" customFormat="false" ht="12.8" hidden="false" customHeight="false" outlineLevel="0" collapsed="false">
      <c r="A239" s="1" t="s">
        <v>269</v>
      </c>
      <c r="B239" s="1" t="s">
        <v>23</v>
      </c>
      <c r="C239" s="1" t="s">
        <v>24</v>
      </c>
      <c r="D239" s="1" t="n">
        <v>18.39</v>
      </c>
      <c r="E239" s="1" t="n">
        <v>41</v>
      </c>
      <c r="F239" s="4" t="n">
        <v>44156</v>
      </c>
      <c r="G239" s="1" t="s">
        <v>39</v>
      </c>
      <c r="H239" s="1" t="n">
        <v>1</v>
      </c>
      <c r="I239" s="1" t="n">
        <v>13.7</v>
      </c>
      <c r="J239" s="1" t="n">
        <v>0</v>
      </c>
      <c r="K239" s="1" t="n">
        <v>0</v>
      </c>
      <c r="L239" s="1" t="n">
        <v>1</v>
      </c>
      <c r="M239" s="1" t="n">
        <v>0</v>
      </c>
      <c r="N239" s="1" t="n">
        <v>753.99</v>
      </c>
      <c r="O239" s="1" t="n">
        <v>0</v>
      </c>
      <c r="Q239" s="4" t="n">
        <v>45404</v>
      </c>
      <c r="R239" s="0" t="n">
        <f aca="false">IF(ISBLANK(F239),"Missing",IFERROR(YEAR(F239),"Missing"))</f>
        <v>2020</v>
      </c>
      <c r="S239" s="0" t="str">
        <f aca="false">IF(ISBLANK(E239),"Missing",IF(E239&lt;6,"0-6mo",IF(E239&lt;12,"6-12mo",IF(E239&lt;24,"12-24mo","24mo+"))))</f>
        <v>24mo+</v>
      </c>
      <c r="T239" s="0" t="n">
        <f aca="false">IF(ISBLANK(C239),0,IF(C239="Month-to-month",2,IF(C239="One year",1,0)))+IF(ISBLANK(I239),0,IF(I239&lt;40,2,IF(I239&lt;55,1,0)))+IF(ISBLANK(M239),0,IF(M239=1,3,0))+IF(ISBLANK(L239),0,IF(L239&gt;=2,1,0))+IF(ISBLANK(E239),0,IF(E239&lt;12,1,0))</f>
        <v>4</v>
      </c>
      <c r="U239" s="0" t="str">
        <f aca="false">IF((ISBLANK(B239)*1+ISBLANK(C239)*1+ISBLANK(D239)*1+ISBLANK(E239)*1+ISBLANK(F239)*1+ISBLANK(I239)*1+ISBLANK(J239)*1+ISBLANK(K239)*1+ISBLANK(L239)*1+ISBLANK(M239)*1+ISBLANK(N239)*1+ISBLANK(O239)*1)&gt;0,"Missing Data","OK")</f>
        <v>OK</v>
      </c>
      <c r="V239" s="0" t="str">
        <f aca="false">IF(T239&gt;=6,"High Risk",IF(T239&gt;=3,"Medium Risk","Low Risk"))</f>
        <v>Medium Risk</v>
      </c>
    </row>
    <row r="240" customFormat="false" ht="12.8" hidden="false" customHeight="false" outlineLevel="0" collapsed="false">
      <c r="A240" s="1" t="s">
        <v>270</v>
      </c>
      <c r="B240" s="1" t="s">
        <v>23</v>
      </c>
      <c r="C240" s="1" t="s">
        <v>24</v>
      </c>
      <c r="D240" s="1" t="n">
        <v>19.66</v>
      </c>
      <c r="E240" s="1" t="n">
        <v>36</v>
      </c>
      <c r="F240" s="4" t="n">
        <v>44157</v>
      </c>
      <c r="G240" s="1" t="s">
        <v>27</v>
      </c>
      <c r="H240" s="1" t="n">
        <v>1</v>
      </c>
      <c r="I240" s="1" t="n">
        <v>73.7</v>
      </c>
      <c r="J240" s="1" t="n">
        <v>20</v>
      </c>
      <c r="K240" s="1" t="n">
        <v>8</v>
      </c>
      <c r="L240" s="1" t="n">
        <v>1</v>
      </c>
      <c r="M240" s="1" t="n">
        <v>0</v>
      </c>
      <c r="N240" s="1" t="n">
        <v>707.76</v>
      </c>
      <c r="O240" s="1" t="n">
        <v>0</v>
      </c>
      <c r="Q240" s="4" t="n">
        <v>45252</v>
      </c>
      <c r="R240" s="0" t="n">
        <f aca="false">IF(ISBLANK(F240),"Missing",IFERROR(YEAR(F240),"Missing"))</f>
        <v>2020</v>
      </c>
      <c r="S240" s="0" t="str">
        <f aca="false">IF(ISBLANK(E240),"Missing",IF(E240&lt;6,"0-6mo",IF(E240&lt;12,"6-12mo",IF(E240&lt;24,"12-24mo","24mo+"))))</f>
        <v>24mo+</v>
      </c>
      <c r="T240" s="0" t="n">
        <f aca="false">IF(ISBLANK(C240),0,IF(C240="Month-to-month",2,IF(C240="One year",1,0)))+IF(ISBLANK(I240),0,IF(I240&lt;40,2,IF(I240&lt;55,1,0)))+IF(ISBLANK(M240),0,IF(M240=1,3,0))+IF(ISBLANK(L240),0,IF(L240&gt;=2,1,0))+IF(ISBLANK(E240),0,IF(E240&lt;12,1,0))</f>
        <v>2</v>
      </c>
      <c r="U240" s="0" t="str">
        <f aca="false">IF((ISBLANK(B240)*1+ISBLANK(C240)*1+ISBLANK(D240)*1+ISBLANK(E240)*1+ISBLANK(F240)*1+ISBLANK(I240)*1+ISBLANK(J240)*1+ISBLANK(K240)*1+ISBLANK(L240)*1+ISBLANK(M240)*1+ISBLANK(N240)*1+ISBLANK(O240)*1)&gt;0,"Missing Data","OK")</f>
        <v>OK</v>
      </c>
      <c r="V240" s="0" t="str">
        <f aca="false">IF(T240&gt;=6,"High Risk",IF(T240&gt;=3,"Medium Risk","Low Risk"))</f>
        <v>Low Risk</v>
      </c>
    </row>
    <row r="241" customFormat="false" ht="12.8" hidden="false" customHeight="false" outlineLevel="0" collapsed="false">
      <c r="A241" s="1" t="s">
        <v>271</v>
      </c>
      <c r="B241" s="1" t="s">
        <v>23</v>
      </c>
      <c r="C241" s="1" t="s">
        <v>24</v>
      </c>
      <c r="D241" s="1" t="n">
        <v>19.74</v>
      </c>
      <c r="E241" s="1" t="n">
        <v>19</v>
      </c>
      <c r="F241" s="4" t="n">
        <v>44158</v>
      </c>
      <c r="G241" s="1" t="s">
        <v>39</v>
      </c>
      <c r="H241" s="1" t="n">
        <v>1</v>
      </c>
      <c r="I241" s="1" t="n">
        <v>75.7</v>
      </c>
      <c r="J241" s="1" t="n">
        <v>19</v>
      </c>
      <c r="K241" s="1" t="n">
        <v>8</v>
      </c>
      <c r="L241" s="1" t="n">
        <v>0</v>
      </c>
      <c r="M241" s="1" t="n">
        <v>0</v>
      </c>
      <c r="N241" s="1" t="n">
        <v>375.06</v>
      </c>
      <c r="O241" s="1" t="n">
        <v>0</v>
      </c>
      <c r="Q241" s="4" t="n">
        <v>44736</v>
      </c>
      <c r="R241" s="0" t="n">
        <f aca="false">IF(ISBLANK(F241),"Missing",IFERROR(YEAR(F241),"Missing"))</f>
        <v>2020</v>
      </c>
      <c r="S241" s="0" t="str">
        <f aca="false">IF(ISBLANK(E241),"Missing",IF(E241&lt;6,"0-6mo",IF(E241&lt;12,"6-12mo",IF(E241&lt;24,"12-24mo","24mo+"))))</f>
        <v>12-24mo</v>
      </c>
      <c r="T241" s="0" t="n">
        <f aca="false">IF(ISBLANK(C241),0,IF(C241="Month-to-month",2,IF(C241="One year",1,0)))+IF(ISBLANK(I241),0,IF(I241&lt;40,2,IF(I241&lt;55,1,0)))+IF(ISBLANK(M241),0,IF(M241=1,3,0))+IF(ISBLANK(L241),0,IF(L241&gt;=2,1,0))+IF(ISBLANK(E241),0,IF(E241&lt;12,1,0))</f>
        <v>2</v>
      </c>
      <c r="U241" s="0" t="str">
        <f aca="false">IF((ISBLANK(B241)*1+ISBLANK(C241)*1+ISBLANK(D241)*1+ISBLANK(E241)*1+ISBLANK(F241)*1+ISBLANK(I241)*1+ISBLANK(J241)*1+ISBLANK(K241)*1+ISBLANK(L241)*1+ISBLANK(M241)*1+ISBLANK(N241)*1+ISBLANK(O241)*1)&gt;0,"Missing Data","OK")</f>
        <v>OK</v>
      </c>
      <c r="V241" s="0" t="str">
        <f aca="false">IF(T241&gt;=6,"High Risk",IF(T241&gt;=3,"Medium Risk","Low Risk"))</f>
        <v>Low Risk</v>
      </c>
    </row>
    <row r="242" customFormat="false" ht="12.8" hidden="false" customHeight="false" outlineLevel="0" collapsed="false">
      <c r="A242" s="1" t="s">
        <v>272</v>
      </c>
      <c r="B242" s="1" t="s">
        <v>36</v>
      </c>
      <c r="C242" s="1" t="s">
        <v>24</v>
      </c>
      <c r="D242" s="1" t="n">
        <v>8.97</v>
      </c>
      <c r="E242" s="1" t="n">
        <v>2</v>
      </c>
      <c r="F242" s="4" t="n">
        <v>44158</v>
      </c>
      <c r="G242" s="1" t="s">
        <v>30</v>
      </c>
      <c r="H242" s="1" t="n">
        <v>1</v>
      </c>
      <c r="I242" s="1" t="n">
        <v>62.3</v>
      </c>
      <c r="J242" s="1" t="n">
        <v>20</v>
      </c>
      <c r="K242" s="1" t="n">
        <v>7</v>
      </c>
      <c r="L242" s="1" t="n">
        <v>2</v>
      </c>
      <c r="M242" s="1" t="n">
        <v>1</v>
      </c>
      <c r="N242" s="1" t="n">
        <v>17.94</v>
      </c>
      <c r="O242" s="1" t="n">
        <v>0</v>
      </c>
      <c r="Q242" s="4" t="n">
        <v>44218</v>
      </c>
      <c r="R242" s="0" t="n">
        <f aca="false">IF(ISBLANK(F242),"Missing",IFERROR(YEAR(F242),"Missing"))</f>
        <v>2020</v>
      </c>
      <c r="S242" s="0" t="str">
        <f aca="false">IF(ISBLANK(E242),"Missing",IF(E242&lt;6,"0-6mo",IF(E242&lt;12,"6-12mo",IF(E242&lt;24,"12-24mo","24mo+"))))</f>
        <v>0-6mo</v>
      </c>
      <c r="T242" s="0" t="n">
        <f aca="false">IF(ISBLANK(C242),0,IF(C242="Month-to-month",2,IF(C242="One year",1,0)))+IF(ISBLANK(I242),0,IF(I242&lt;40,2,IF(I242&lt;55,1,0)))+IF(ISBLANK(M242),0,IF(M242=1,3,0))+IF(ISBLANK(L242),0,IF(L242&gt;=2,1,0))+IF(ISBLANK(E242),0,IF(E242&lt;12,1,0))</f>
        <v>7</v>
      </c>
      <c r="U242" s="0" t="str">
        <f aca="false">IF((ISBLANK(B242)*1+ISBLANK(C242)*1+ISBLANK(D242)*1+ISBLANK(E242)*1+ISBLANK(F242)*1+ISBLANK(I242)*1+ISBLANK(J242)*1+ISBLANK(K242)*1+ISBLANK(L242)*1+ISBLANK(M242)*1+ISBLANK(N242)*1+ISBLANK(O242)*1)&gt;0,"Missing Data","OK")</f>
        <v>OK</v>
      </c>
      <c r="V242" s="0" t="str">
        <f aca="false">IF(T242&gt;=6,"High Risk",IF(T242&gt;=3,"Medium Risk","Low Risk"))</f>
        <v>High Risk</v>
      </c>
    </row>
    <row r="243" customFormat="false" ht="12.8" hidden="false" customHeight="false" outlineLevel="0" collapsed="false">
      <c r="A243" s="1" t="s">
        <v>273</v>
      </c>
      <c r="B243" s="1" t="s">
        <v>36</v>
      </c>
      <c r="C243" s="1" t="s">
        <v>34</v>
      </c>
      <c r="D243" s="1" t="n">
        <v>10.23</v>
      </c>
      <c r="E243" s="1" t="n">
        <v>10</v>
      </c>
      <c r="F243" s="4" t="n">
        <v>44163</v>
      </c>
      <c r="G243" s="1" t="s">
        <v>39</v>
      </c>
      <c r="H243" s="1" t="n">
        <v>1</v>
      </c>
      <c r="I243" s="1" t="n">
        <v>97.5</v>
      </c>
      <c r="J243" s="1" t="n">
        <v>36</v>
      </c>
      <c r="K243" s="1" t="n">
        <v>10</v>
      </c>
      <c r="L243" s="1" t="n">
        <v>0</v>
      </c>
      <c r="M243" s="1" t="n">
        <v>0</v>
      </c>
      <c r="N243" s="1" t="n">
        <v>102.3</v>
      </c>
      <c r="O243" s="1" t="n">
        <v>0</v>
      </c>
      <c r="Q243" s="4" t="n">
        <v>44467</v>
      </c>
      <c r="R243" s="0" t="n">
        <f aca="false">IF(ISBLANK(F243),"Missing",IFERROR(YEAR(F243),"Missing"))</f>
        <v>2020</v>
      </c>
      <c r="S243" s="0" t="str">
        <f aca="false">IF(ISBLANK(E243),"Missing",IF(E243&lt;6,"0-6mo",IF(E243&lt;12,"6-12mo",IF(E243&lt;24,"12-24mo","24mo+"))))</f>
        <v>6-12mo</v>
      </c>
      <c r="T243" s="0" t="n">
        <f aca="false">IF(ISBLANK(C243),0,IF(C243="Month-to-month",2,IF(C243="One year",1,0)))+IF(ISBLANK(I243),0,IF(I243&lt;40,2,IF(I243&lt;55,1,0)))+IF(ISBLANK(M243),0,IF(M243=1,3,0))+IF(ISBLANK(L243),0,IF(L243&gt;=2,1,0))+IF(ISBLANK(E243),0,IF(E243&lt;12,1,0))</f>
        <v>2</v>
      </c>
      <c r="U243" s="0" t="str">
        <f aca="false">IF((ISBLANK(B243)*1+ISBLANK(C243)*1+ISBLANK(D243)*1+ISBLANK(E243)*1+ISBLANK(F243)*1+ISBLANK(I243)*1+ISBLANK(J243)*1+ISBLANK(K243)*1+ISBLANK(L243)*1+ISBLANK(M243)*1+ISBLANK(N243)*1+ISBLANK(O243)*1)&gt;0,"Missing Data","OK")</f>
        <v>OK</v>
      </c>
      <c r="V243" s="0" t="str">
        <f aca="false">IF(T243&gt;=6,"High Risk",IF(T243&gt;=3,"Medium Risk","Low Risk"))</f>
        <v>Low Risk</v>
      </c>
    </row>
    <row r="244" customFormat="false" ht="12.8" hidden="false" customHeight="false" outlineLevel="0" collapsed="false">
      <c r="A244" s="1" t="s">
        <v>274</v>
      </c>
      <c r="B244" s="1" t="s">
        <v>23</v>
      </c>
      <c r="C244" s="1" t="s">
        <v>24</v>
      </c>
      <c r="D244" s="1" t="n">
        <v>21.47</v>
      </c>
      <c r="E244" s="1" t="n">
        <v>20</v>
      </c>
      <c r="F244" s="4" t="n">
        <v>44163</v>
      </c>
      <c r="G244" s="1" t="s">
        <v>25</v>
      </c>
      <c r="H244" s="1" t="n">
        <v>1</v>
      </c>
      <c r="I244" s="1" t="n">
        <v>66.6</v>
      </c>
      <c r="J244" s="1" t="n">
        <v>20</v>
      </c>
      <c r="K244" s="1" t="n">
        <v>4</v>
      </c>
      <c r="L244" s="1" t="n">
        <v>0</v>
      </c>
      <c r="M244" s="1" t="n">
        <v>0</v>
      </c>
      <c r="N244" s="1" t="n">
        <v>429.4</v>
      </c>
      <c r="O244" s="1" t="n">
        <v>0</v>
      </c>
      <c r="Q244" s="4" t="n">
        <v>44771</v>
      </c>
      <c r="R244" s="0" t="n">
        <f aca="false">IF(ISBLANK(F244),"Missing",IFERROR(YEAR(F244),"Missing"))</f>
        <v>2020</v>
      </c>
      <c r="S244" s="0" t="str">
        <f aca="false">IF(ISBLANK(E244),"Missing",IF(E244&lt;6,"0-6mo",IF(E244&lt;12,"6-12mo",IF(E244&lt;24,"12-24mo","24mo+"))))</f>
        <v>12-24mo</v>
      </c>
      <c r="T244" s="0" t="n">
        <f aca="false">IF(ISBLANK(C244),0,IF(C244="Month-to-month",2,IF(C244="One year",1,0)))+IF(ISBLANK(I244),0,IF(I244&lt;40,2,IF(I244&lt;55,1,0)))+IF(ISBLANK(M244),0,IF(M244=1,3,0))+IF(ISBLANK(L244),0,IF(L244&gt;=2,1,0))+IF(ISBLANK(E244),0,IF(E244&lt;12,1,0))</f>
        <v>2</v>
      </c>
      <c r="U244" s="0" t="str">
        <f aca="false">IF((ISBLANK(B244)*1+ISBLANK(C244)*1+ISBLANK(D244)*1+ISBLANK(E244)*1+ISBLANK(F244)*1+ISBLANK(I244)*1+ISBLANK(J244)*1+ISBLANK(K244)*1+ISBLANK(L244)*1+ISBLANK(M244)*1+ISBLANK(N244)*1+ISBLANK(O244)*1)&gt;0,"Missing Data","OK")</f>
        <v>OK</v>
      </c>
      <c r="V244" s="0" t="str">
        <f aca="false">IF(T244&gt;=6,"High Risk",IF(T244&gt;=3,"Medium Risk","Low Risk"))</f>
        <v>Low Risk</v>
      </c>
    </row>
    <row r="245" customFormat="false" ht="12.8" hidden="false" customHeight="false" outlineLevel="0" collapsed="false">
      <c r="A245" s="1" t="s">
        <v>275</v>
      </c>
      <c r="B245" s="1" t="s">
        <v>36</v>
      </c>
      <c r="C245" s="1" t="s">
        <v>34</v>
      </c>
      <c r="D245" s="1" t="n">
        <v>10.08</v>
      </c>
      <c r="E245" s="1" t="n">
        <v>3</v>
      </c>
      <c r="F245" s="4" t="n">
        <v>44166</v>
      </c>
      <c r="G245" s="1" t="s">
        <v>25</v>
      </c>
      <c r="H245" s="1" t="n">
        <v>1</v>
      </c>
      <c r="I245" s="1" t="n">
        <v>63.8</v>
      </c>
      <c r="J245" s="1" t="n">
        <v>20</v>
      </c>
      <c r="K245" s="1" t="n">
        <v>9</v>
      </c>
      <c r="L245" s="1" t="n">
        <v>1</v>
      </c>
      <c r="M245" s="1" t="n">
        <v>1</v>
      </c>
      <c r="N245" s="1" t="n">
        <v>30.24</v>
      </c>
      <c r="O245" s="1" t="n">
        <v>0</v>
      </c>
      <c r="Q245" s="4" t="n">
        <v>44257</v>
      </c>
      <c r="R245" s="0" t="n">
        <f aca="false">IF(ISBLANK(F245),"Missing",IFERROR(YEAR(F245),"Missing"))</f>
        <v>2020</v>
      </c>
      <c r="S245" s="0" t="str">
        <f aca="false">IF(ISBLANK(E245),"Missing",IF(E245&lt;6,"0-6mo",IF(E245&lt;12,"6-12mo",IF(E245&lt;24,"12-24mo","24mo+"))))</f>
        <v>0-6mo</v>
      </c>
      <c r="T245" s="0" t="n">
        <f aca="false">IF(ISBLANK(C245),0,IF(C245="Month-to-month",2,IF(C245="One year",1,0)))+IF(ISBLANK(I245),0,IF(I245&lt;40,2,IF(I245&lt;55,1,0)))+IF(ISBLANK(M245),0,IF(M245=1,3,0))+IF(ISBLANK(L245),0,IF(L245&gt;=2,1,0))+IF(ISBLANK(E245),0,IF(E245&lt;12,1,0))</f>
        <v>5</v>
      </c>
      <c r="U245" s="0" t="str">
        <f aca="false">IF((ISBLANK(B245)*1+ISBLANK(C245)*1+ISBLANK(D245)*1+ISBLANK(E245)*1+ISBLANK(F245)*1+ISBLANK(I245)*1+ISBLANK(J245)*1+ISBLANK(K245)*1+ISBLANK(L245)*1+ISBLANK(M245)*1+ISBLANK(N245)*1+ISBLANK(O245)*1)&gt;0,"Missing Data","OK")</f>
        <v>OK</v>
      </c>
      <c r="V245" s="0" t="str">
        <f aca="false">IF(T245&gt;=6,"High Risk",IF(T245&gt;=3,"Medium Risk","Low Risk"))</f>
        <v>Medium Risk</v>
      </c>
    </row>
    <row r="246" customFormat="false" ht="12.8" hidden="false" customHeight="false" outlineLevel="0" collapsed="false">
      <c r="A246" s="1" t="s">
        <v>276</v>
      </c>
      <c r="B246" s="1" t="s">
        <v>23</v>
      </c>
      <c r="C246" s="1" t="s">
        <v>24</v>
      </c>
      <c r="D246" s="1" t="n">
        <v>19.5</v>
      </c>
      <c r="E246" s="1" t="n">
        <v>12</v>
      </c>
      <c r="F246" s="4" t="n">
        <v>44167</v>
      </c>
      <c r="G246" s="1" t="s">
        <v>25</v>
      </c>
      <c r="H246" s="1" t="n">
        <v>0</v>
      </c>
      <c r="I246" s="1" t="n">
        <v>18.4</v>
      </c>
      <c r="J246" s="1" t="n">
        <v>9</v>
      </c>
      <c r="K246" s="1" t="n">
        <v>2</v>
      </c>
      <c r="L246" s="1" t="n">
        <v>3</v>
      </c>
      <c r="M246" s="1" t="n">
        <v>1</v>
      </c>
      <c r="N246" s="1" t="n">
        <v>234</v>
      </c>
      <c r="O246" s="1" t="n">
        <v>1</v>
      </c>
      <c r="P246" s="4" t="n">
        <v>44532</v>
      </c>
      <c r="Q246" s="4" t="n">
        <v>44532</v>
      </c>
      <c r="R246" s="0" t="n">
        <f aca="false">IF(ISBLANK(F246),"Missing",IFERROR(YEAR(F246),"Missing"))</f>
        <v>2020</v>
      </c>
      <c r="S246" s="0" t="str">
        <f aca="false">IF(ISBLANK(E246),"Missing",IF(E246&lt;6,"0-6mo",IF(E246&lt;12,"6-12mo",IF(E246&lt;24,"12-24mo","24mo+"))))</f>
        <v>12-24mo</v>
      </c>
      <c r="T246" s="0" t="n">
        <f aca="false">IF(ISBLANK(C246),0,IF(C246="Month-to-month",2,IF(C246="One year",1,0)))+IF(ISBLANK(I246),0,IF(I246&lt;40,2,IF(I246&lt;55,1,0)))+IF(ISBLANK(M246),0,IF(M246=1,3,0))+IF(ISBLANK(L246),0,IF(L246&gt;=2,1,0))+IF(ISBLANK(E246),0,IF(E246&lt;12,1,0))</f>
        <v>8</v>
      </c>
      <c r="U246" s="0" t="str">
        <f aca="false">IF((ISBLANK(B246)*1+ISBLANK(C246)*1+ISBLANK(D246)*1+ISBLANK(E246)*1+ISBLANK(F246)*1+ISBLANK(I246)*1+ISBLANK(J246)*1+ISBLANK(K246)*1+ISBLANK(L246)*1+ISBLANK(M246)*1+ISBLANK(N246)*1+ISBLANK(O246)*1)&gt;0,"Missing Data","OK")</f>
        <v>OK</v>
      </c>
      <c r="V246" s="0" t="str">
        <f aca="false">IF(T246&gt;=6,"High Risk",IF(T246&gt;=3,"Medium Risk","Low Risk"))</f>
        <v>High Risk</v>
      </c>
    </row>
    <row r="247" customFormat="false" ht="12.8" hidden="false" customHeight="false" outlineLevel="0" collapsed="false">
      <c r="A247" s="1" t="s">
        <v>277</v>
      </c>
      <c r="B247" s="1" t="s">
        <v>23</v>
      </c>
      <c r="C247" s="1" t="s">
        <v>24</v>
      </c>
      <c r="D247" s="1" t="n">
        <v>20.46</v>
      </c>
      <c r="E247" s="1" t="n">
        <v>72</v>
      </c>
      <c r="F247" s="4" t="n">
        <v>44168</v>
      </c>
      <c r="G247" s="1" t="s">
        <v>25</v>
      </c>
      <c r="H247" s="1" t="n">
        <v>0</v>
      </c>
      <c r="I247" s="1" t="n">
        <v>70.3</v>
      </c>
      <c r="J247" s="1" t="n">
        <v>18</v>
      </c>
      <c r="K247" s="1" t="n">
        <v>6</v>
      </c>
      <c r="L247" s="1" t="n">
        <v>3</v>
      </c>
      <c r="M247" s="1" t="n">
        <v>1</v>
      </c>
      <c r="N247" s="1" t="n">
        <v>1473.12</v>
      </c>
      <c r="O247" s="1" t="n">
        <v>1</v>
      </c>
      <c r="P247" s="4" t="n">
        <v>46293</v>
      </c>
      <c r="Q247" s="4" t="n">
        <v>46293</v>
      </c>
      <c r="R247" s="0" t="n">
        <f aca="false">IF(ISBLANK(F247),"Missing",IFERROR(YEAR(F247),"Missing"))</f>
        <v>2020</v>
      </c>
      <c r="S247" s="0" t="str">
        <f aca="false">IF(ISBLANK(E247),"Missing",IF(E247&lt;6,"0-6mo",IF(E247&lt;12,"6-12mo",IF(E247&lt;24,"12-24mo","24mo+"))))</f>
        <v>24mo+</v>
      </c>
      <c r="T247" s="0" t="n">
        <f aca="false">IF(ISBLANK(C247),0,IF(C247="Month-to-month",2,IF(C247="One year",1,0)))+IF(ISBLANK(I247),0,IF(I247&lt;40,2,IF(I247&lt;55,1,0)))+IF(ISBLANK(M247),0,IF(M247=1,3,0))+IF(ISBLANK(L247),0,IF(L247&gt;=2,1,0))+IF(ISBLANK(E247),0,IF(E247&lt;12,1,0))</f>
        <v>6</v>
      </c>
      <c r="U247" s="0" t="str">
        <f aca="false">IF((ISBLANK(B247)*1+ISBLANK(C247)*1+ISBLANK(D247)*1+ISBLANK(E247)*1+ISBLANK(F247)*1+ISBLANK(I247)*1+ISBLANK(J247)*1+ISBLANK(K247)*1+ISBLANK(L247)*1+ISBLANK(M247)*1+ISBLANK(N247)*1+ISBLANK(O247)*1)&gt;0,"Missing Data","OK")</f>
        <v>OK</v>
      </c>
      <c r="V247" s="0" t="str">
        <f aca="false">IF(T247&gt;=6,"High Risk",IF(T247&gt;=3,"Medium Risk","Low Risk"))</f>
        <v>High Risk</v>
      </c>
    </row>
    <row r="248" customFormat="false" ht="12.8" hidden="false" customHeight="false" outlineLevel="0" collapsed="false">
      <c r="A248" s="1" t="s">
        <v>278</v>
      </c>
      <c r="B248" s="1" t="s">
        <v>29</v>
      </c>
      <c r="C248" s="1" t="s">
        <v>34</v>
      </c>
      <c r="D248" s="1" t="n">
        <v>40.4</v>
      </c>
      <c r="E248" s="1" t="n">
        <v>0</v>
      </c>
      <c r="F248" s="4" t="n">
        <v>44171</v>
      </c>
      <c r="G248" s="1" t="s">
        <v>25</v>
      </c>
      <c r="H248" s="1" t="n">
        <v>1</v>
      </c>
      <c r="I248" s="1" t="n">
        <v>72.9</v>
      </c>
      <c r="J248" s="1" t="n">
        <v>26</v>
      </c>
      <c r="K248" s="1" t="n">
        <v>8</v>
      </c>
      <c r="L248" s="1" t="n">
        <v>2</v>
      </c>
      <c r="M248" s="1" t="n">
        <v>1</v>
      </c>
      <c r="N248" s="1" t="n">
        <v>0</v>
      </c>
      <c r="O248" s="1" t="n">
        <v>0</v>
      </c>
      <c r="Q248" s="4" t="n">
        <v>44171</v>
      </c>
      <c r="R248" s="0" t="n">
        <f aca="false">IF(ISBLANK(F248),"Missing",IFERROR(YEAR(F248),"Missing"))</f>
        <v>2020</v>
      </c>
      <c r="S248" s="0" t="str">
        <f aca="false">IF(ISBLANK(E248),"Missing",IF(E248&lt;6,"0-6mo",IF(E248&lt;12,"6-12mo",IF(E248&lt;24,"12-24mo","24mo+"))))</f>
        <v>0-6mo</v>
      </c>
      <c r="T248" s="0" t="n">
        <f aca="false">IF(ISBLANK(C248),0,IF(C248="Month-to-month",2,IF(C248="One year",1,0)))+IF(ISBLANK(I248),0,IF(I248&lt;40,2,IF(I248&lt;55,1,0)))+IF(ISBLANK(M248),0,IF(M248=1,3,0))+IF(ISBLANK(L248),0,IF(L248&gt;=2,1,0))+IF(ISBLANK(E248),0,IF(E248&lt;12,1,0))</f>
        <v>6</v>
      </c>
      <c r="U248" s="0" t="str">
        <f aca="false">IF((ISBLANK(B248)*1+ISBLANK(C248)*1+ISBLANK(D248)*1+ISBLANK(E248)*1+ISBLANK(F248)*1+ISBLANK(I248)*1+ISBLANK(J248)*1+ISBLANK(K248)*1+ISBLANK(L248)*1+ISBLANK(M248)*1+ISBLANK(N248)*1+ISBLANK(O248)*1)&gt;0,"Missing Data","OK")</f>
        <v>OK</v>
      </c>
      <c r="V248" s="0" t="str">
        <f aca="false">IF(T248&gt;=6,"High Risk",IF(T248&gt;=3,"Medium Risk","Low Risk"))</f>
        <v>High Risk</v>
      </c>
    </row>
    <row r="249" customFormat="false" ht="12.8" hidden="false" customHeight="false" outlineLevel="0" collapsed="false">
      <c r="A249" s="1" t="s">
        <v>279</v>
      </c>
      <c r="B249" s="1" t="s">
        <v>36</v>
      </c>
      <c r="C249" s="1" t="s">
        <v>24</v>
      </c>
      <c r="D249" s="1" t="n">
        <v>10.51</v>
      </c>
      <c r="E249" s="1" t="n">
        <v>4</v>
      </c>
      <c r="F249" s="4" t="n">
        <v>44171</v>
      </c>
      <c r="G249" s="1" t="s">
        <v>30</v>
      </c>
      <c r="H249" s="1" t="n">
        <v>0</v>
      </c>
      <c r="I249" s="1" t="n">
        <v>61</v>
      </c>
      <c r="J249" s="1" t="n">
        <v>18</v>
      </c>
      <c r="K249" s="1" t="n">
        <v>6</v>
      </c>
      <c r="L249" s="1" t="n">
        <v>0</v>
      </c>
      <c r="M249" s="1" t="n">
        <v>0</v>
      </c>
      <c r="N249" s="1" t="n">
        <v>42.04</v>
      </c>
      <c r="O249" s="1" t="n">
        <v>0</v>
      </c>
      <c r="Q249" s="4" t="n">
        <v>44292</v>
      </c>
      <c r="R249" s="0" t="n">
        <f aca="false">IF(ISBLANK(F249),"Missing",IFERROR(YEAR(F249),"Missing"))</f>
        <v>2020</v>
      </c>
      <c r="S249" s="0" t="str">
        <f aca="false">IF(ISBLANK(E249),"Missing",IF(E249&lt;6,"0-6mo",IF(E249&lt;12,"6-12mo",IF(E249&lt;24,"12-24mo","24mo+"))))</f>
        <v>0-6mo</v>
      </c>
      <c r="T249" s="0" t="n">
        <f aca="false">IF(ISBLANK(C249),0,IF(C249="Month-to-month",2,IF(C249="One year",1,0)))+IF(ISBLANK(I249),0,IF(I249&lt;40,2,IF(I249&lt;55,1,0)))+IF(ISBLANK(M249),0,IF(M249=1,3,0))+IF(ISBLANK(L249),0,IF(L249&gt;=2,1,0))+IF(ISBLANK(E249),0,IF(E249&lt;12,1,0))</f>
        <v>3</v>
      </c>
      <c r="U249" s="0" t="str">
        <f aca="false">IF((ISBLANK(B249)*1+ISBLANK(C249)*1+ISBLANK(D249)*1+ISBLANK(E249)*1+ISBLANK(F249)*1+ISBLANK(I249)*1+ISBLANK(J249)*1+ISBLANK(K249)*1+ISBLANK(L249)*1+ISBLANK(M249)*1+ISBLANK(N249)*1+ISBLANK(O249)*1)&gt;0,"Missing Data","OK")</f>
        <v>OK</v>
      </c>
      <c r="V249" s="0" t="str">
        <f aca="false">IF(T249&gt;=6,"High Risk",IF(T249&gt;=3,"Medium Risk","Low Risk"))</f>
        <v>Medium Risk</v>
      </c>
    </row>
    <row r="250" customFormat="false" ht="12.8" hidden="false" customHeight="false" outlineLevel="0" collapsed="false">
      <c r="A250" s="1" t="s">
        <v>280</v>
      </c>
      <c r="B250" s="1" t="s">
        <v>29</v>
      </c>
      <c r="C250" s="1" t="s">
        <v>24</v>
      </c>
      <c r="D250" s="1" t="n">
        <v>39.62</v>
      </c>
      <c r="E250" s="1" t="n">
        <v>8</v>
      </c>
      <c r="F250" s="4" t="n">
        <v>44174</v>
      </c>
      <c r="G250" s="1" t="s">
        <v>25</v>
      </c>
      <c r="H250" s="1" t="n">
        <v>0</v>
      </c>
      <c r="I250" s="1" t="n">
        <v>64.6</v>
      </c>
      <c r="J250" s="1" t="n">
        <v>20</v>
      </c>
      <c r="K250" s="1" t="n">
        <v>7</v>
      </c>
      <c r="L250" s="1" t="n">
        <v>0</v>
      </c>
      <c r="M250" s="1" t="n">
        <v>0</v>
      </c>
      <c r="N250" s="1" t="n">
        <v>316.96</v>
      </c>
      <c r="O250" s="1" t="n">
        <v>0</v>
      </c>
      <c r="Q250" s="4" t="n">
        <v>44417</v>
      </c>
      <c r="R250" s="0" t="n">
        <f aca="false">IF(ISBLANK(F250),"Missing",IFERROR(YEAR(F250),"Missing"))</f>
        <v>2020</v>
      </c>
      <c r="S250" s="0" t="str">
        <f aca="false">IF(ISBLANK(E250),"Missing",IF(E250&lt;6,"0-6mo",IF(E250&lt;12,"6-12mo",IF(E250&lt;24,"12-24mo","24mo+"))))</f>
        <v>6-12mo</v>
      </c>
      <c r="T250" s="0" t="n">
        <f aca="false">IF(ISBLANK(C250),0,IF(C250="Month-to-month",2,IF(C250="One year",1,0)))+IF(ISBLANK(I250),0,IF(I250&lt;40,2,IF(I250&lt;55,1,0)))+IF(ISBLANK(M250),0,IF(M250=1,3,0))+IF(ISBLANK(L250),0,IF(L250&gt;=2,1,0))+IF(ISBLANK(E250),0,IF(E250&lt;12,1,0))</f>
        <v>3</v>
      </c>
      <c r="U250" s="0" t="str">
        <f aca="false">IF((ISBLANK(B250)*1+ISBLANK(C250)*1+ISBLANK(D250)*1+ISBLANK(E250)*1+ISBLANK(F250)*1+ISBLANK(I250)*1+ISBLANK(J250)*1+ISBLANK(K250)*1+ISBLANK(L250)*1+ISBLANK(M250)*1+ISBLANK(N250)*1+ISBLANK(O250)*1)&gt;0,"Missing Data","OK")</f>
        <v>OK</v>
      </c>
      <c r="V250" s="0" t="str">
        <f aca="false">IF(T250&gt;=6,"High Risk",IF(T250&gt;=3,"Medium Risk","Low Risk"))</f>
        <v>Medium Risk</v>
      </c>
    </row>
    <row r="251" customFormat="false" ht="12.8" hidden="false" customHeight="false" outlineLevel="0" collapsed="false">
      <c r="A251" s="1" t="s">
        <v>281</v>
      </c>
      <c r="B251" s="1" t="s">
        <v>23</v>
      </c>
      <c r="C251" s="1" t="s">
        <v>51</v>
      </c>
      <c r="D251" s="1" t="n">
        <v>21.89</v>
      </c>
      <c r="E251" s="1" t="n">
        <v>1</v>
      </c>
      <c r="F251" s="4" t="n">
        <v>44176</v>
      </c>
      <c r="G251" s="1" t="s">
        <v>25</v>
      </c>
      <c r="H251" s="1" t="n">
        <v>1</v>
      </c>
      <c r="I251" s="1" t="n">
        <v>65.4</v>
      </c>
      <c r="J251" s="1" t="n">
        <v>18</v>
      </c>
      <c r="K251" s="1" t="n">
        <v>5</v>
      </c>
      <c r="L251" s="1" t="n">
        <v>2</v>
      </c>
      <c r="M251" s="1" t="n">
        <v>0</v>
      </c>
      <c r="N251" s="1" t="n">
        <v>21.89</v>
      </c>
      <c r="O251" s="1" t="n">
        <v>0</v>
      </c>
      <c r="Q251" s="4" t="n">
        <v>44206</v>
      </c>
      <c r="R251" s="0" t="n">
        <f aca="false">IF(ISBLANK(F251),"Missing",IFERROR(YEAR(F251),"Missing"))</f>
        <v>2020</v>
      </c>
      <c r="S251" s="0" t="str">
        <f aca="false">IF(ISBLANK(E251),"Missing",IF(E251&lt;6,"0-6mo",IF(E251&lt;12,"6-12mo",IF(E251&lt;24,"12-24mo","24mo+"))))</f>
        <v>0-6mo</v>
      </c>
      <c r="T251" s="0" t="n">
        <f aca="false">IF(ISBLANK(C251),0,IF(C251="Month-to-month",2,IF(C251="One year",1,0)))+IF(ISBLANK(I251),0,IF(I251&lt;40,2,IF(I251&lt;55,1,0)))+IF(ISBLANK(M251),0,IF(M251=1,3,0))+IF(ISBLANK(L251),0,IF(L251&gt;=2,1,0))+IF(ISBLANK(E251),0,IF(E251&lt;12,1,0))</f>
        <v>2</v>
      </c>
      <c r="U251" s="0" t="str">
        <f aca="false">IF((ISBLANK(B251)*1+ISBLANK(C251)*1+ISBLANK(D251)*1+ISBLANK(E251)*1+ISBLANK(F251)*1+ISBLANK(I251)*1+ISBLANK(J251)*1+ISBLANK(K251)*1+ISBLANK(L251)*1+ISBLANK(M251)*1+ISBLANK(N251)*1+ISBLANK(O251)*1)&gt;0,"Missing Data","OK")</f>
        <v>OK</v>
      </c>
      <c r="V251" s="0" t="str">
        <f aca="false">IF(T251&gt;=6,"High Risk",IF(T251&gt;=3,"Medium Risk","Low Risk"))</f>
        <v>Low Risk</v>
      </c>
    </row>
    <row r="252" customFormat="false" ht="12.8" hidden="false" customHeight="false" outlineLevel="0" collapsed="false">
      <c r="A252" s="1" t="s">
        <v>282</v>
      </c>
      <c r="B252" s="1" t="s">
        <v>23</v>
      </c>
      <c r="C252" s="1" t="s">
        <v>34</v>
      </c>
      <c r="D252" s="1" t="n">
        <v>20.93</v>
      </c>
      <c r="E252" s="1" t="n">
        <v>7</v>
      </c>
      <c r="F252" s="4" t="n">
        <v>44177</v>
      </c>
      <c r="G252" s="1" t="s">
        <v>39</v>
      </c>
      <c r="H252" s="1" t="n">
        <v>1</v>
      </c>
      <c r="I252" s="1" t="n">
        <v>31.9</v>
      </c>
      <c r="J252" s="1" t="n">
        <v>8</v>
      </c>
      <c r="K252" s="1" t="n">
        <v>4</v>
      </c>
      <c r="L252" s="1" t="n">
        <v>3</v>
      </c>
      <c r="M252" s="1" t="n">
        <v>0</v>
      </c>
      <c r="N252" s="1" t="n">
        <v>146.51</v>
      </c>
      <c r="O252" s="1" t="n">
        <v>1</v>
      </c>
      <c r="P252" s="4" t="n">
        <v>44390</v>
      </c>
      <c r="Q252" s="4" t="n">
        <v>44390</v>
      </c>
      <c r="R252" s="0" t="n">
        <f aca="false">IF(ISBLANK(F252),"Missing",IFERROR(YEAR(F252),"Missing"))</f>
        <v>2020</v>
      </c>
      <c r="S252" s="0" t="str">
        <f aca="false">IF(ISBLANK(E252),"Missing",IF(E252&lt;6,"0-6mo",IF(E252&lt;12,"6-12mo",IF(E252&lt;24,"12-24mo","24mo+"))))</f>
        <v>6-12mo</v>
      </c>
      <c r="T252" s="0" t="n">
        <f aca="false">IF(ISBLANK(C252),0,IF(C252="Month-to-month",2,IF(C252="One year",1,0)))+IF(ISBLANK(I252),0,IF(I252&lt;40,2,IF(I252&lt;55,1,0)))+IF(ISBLANK(M252),0,IF(M252=1,3,0))+IF(ISBLANK(L252),0,IF(L252&gt;=2,1,0))+IF(ISBLANK(E252),0,IF(E252&lt;12,1,0))</f>
        <v>5</v>
      </c>
      <c r="U252" s="0" t="str">
        <f aca="false">IF((ISBLANK(B252)*1+ISBLANK(C252)*1+ISBLANK(D252)*1+ISBLANK(E252)*1+ISBLANK(F252)*1+ISBLANK(I252)*1+ISBLANK(J252)*1+ISBLANK(K252)*1+ISBLANK(L252)*1+ISBLANK(M252)*1+ISBLANK(N252)*1+ISBLANK(O252)*1)&gt;0,"Missing Data","OK")</f>
        <v>OK</v>
      </c>
      <c r="V252" s="0" t="str">
        <f aca="false">IF(T252&gt;=6,"High Risk",IF(T252&gt;=3,"Medium Risk","Low Risk"))</f>
        <v>Medium Risk</v>
      </c>
    </row>
    <row r="253" customFormat="false" ht="12.8" hidden="false" customHeight="false" outlineLevel="0" collapsed="false">
      <c r="A253" s="1" t="s">
        <v>283</v>
      </c>
      <c r="B253" s="1" t="s">
        <v>36</v>
      </c>
      <c r="C253" s="1" t="s">
        <v>51</v>
      </c>
      <c r="D253" s="1" t="n">
        <v>10.7</v>
      </c>
      <c r="E253" s="1" t="n">
        <v>3</v>
      </c>
      <c r="F253" s="4" t="n">
        <v>44181</v>
      </c>
      <c r="G253" s="1" t="s">
        <v>25</v>
      </c>
      <c r="H253" s="1" t="n">
        <v>1</v>
      </c>
      <c r="I253" s="1" t="n">
        <v>63.2</v>
      </c>
      <c r="J253" s="1" t="n">
        <v>17</v>
      </c>
      <c r="K253" s="1" t="n">
        <v>6</v>
      </c>
      <c r="L253" s="1" t="n">
        <v>1</v>
      </c>
      <c r="M253" s="1" t="n">
        <v>1</v>
      </c>
      <c r="N253" s="1" t="n">
        <v>32.1</v>
      </c>
      <c r="O253" s="1" t="n">
        <v>0</v>
      </c>
      <c r="Q253" s="4" t="n">
        <v>44272</v>
      </c>
      <c r="R253" s="0" t="n">
        <f aca="false">IF(ISBLANK(F253),"Missing",IFERROR(YEAR(F253),"Missing"))</f>
        <v>2020</v>
      </c>
      <c r="S253" s="0" t="str">
        <f aca="false">IF(ISBLANK(E253),"Missing",IF(E253&lt;6,"0-6mo",IF(E253&lt;12,"6-12mo",IF(E253&lt;24,"12-24mo","24mo+"))))</f>
        <v>0-6mo</v>
      </c>
      <c r="T253" s="0" t="n">
        <f aca="false">IF(ISBLANK(C253),0,IF(C253="Month-to-month",2,IF(C253="One year",1,0)))+IF(ISBLANK(I253),0,IF(I253&lt;40,2,IF(I253&lt;55,1,0)))+IF(ISBLANK(M253),0,IF(M253=1,3,0))+IF(ISBLANK(L253),0,IF(L253&gt;=2,1,0))+IF(ISBLANK(E253),0,IF(E253&lt;12,1,0))</f>
        <v>4</v>
      </c>
      <c r="U253" s="0" t="str">
        <f aca="false">IF((ISBLANK(B253)*1+ISBLANK(C253)*1+ISBLANK(D253)*1+ISBLANK(E253)*1+ISBLANK(F253)*1+ISBLANK(I253)*1+ISBLANK(J253)*1+ISBLANK(K253)*1+ISBLANK(L253)*1+ISBLANK(M253)*1+ISBLANK(N253)*1+ISBLANK(O253)*1)&gt;0,"Missing Data","OK")</f>
        <v>OK</v>
      </c>
      <c r="V253" s="0" t="str">
        <f aca="false">IF(T253&gt;=6,"High Risk",IF(T253&gt;=3,"Medium Risk","Low Risk"))</f>
        <v>Medium Risk</v>
      </c>
    </row>
    <row r="254" customFormat="false" ht="12.8" hidden="false" customHeight="false" outlineLevel="0" collapsed="false">
      <c r="A254" s="1" t="s">
        <v>284</v>
      </c>
      <c r="B254" s="1" t="s">
        <v>29</v>
      </c>
      <c r="C254" s="1" t="s">
        <v>24</v>
      </c>
      <c r="D254" s="1" t="n">
        <v>39.41</v>
      </c>
      <c r="E254" s="1" t="n">
        <v>59</v>
      </c>
      <c r="F254" s="4" t="n">
        <v>44181</v>
      </c>
      <c r="G254" s="1" t="s">
        <v>25</v>
      </c>
      <c r="H254" s="1" t="n">
        <v>0</v>
      </c>
      <c r="I254" s="1" t="n">
        <v>7.4</v>
      </c>
      <c r="J254" s="1" t="n">
        <v>0</v>
      </c>
      <c r="K254" s="1" t="n">
        <v>0</v>
      </c>
      <c r="L254" s="1" t="n">
        <v>5</v>
      </c>
      <c r="M254" s="1" t="n">
        <v>0</v>
      </c>
      <c r="N254" s="1" t="n">
        <v>2325.19</v>
      </c>
      <c r="O254" s="1" t="n">
        <v>0</v>
      </c>
      <c r="Q254" s="4" t="n">
        <v>45976</v>
      </c>
      <c r="R254" s="0" t="n">
        <f aca="false">IF(ISBLANK(F254),"Missing",IFERROR(YEAR(F254),"Missing"))</f>
        <v>2020</v>
      </c>
      <c r="S254" s="0" t="str">
        <f aca="false">IF(ISBLANK(E254),"Missing",IF(E254&lt;6,"0-6mo",IF(E254&lt;12,"6-12mo",IF(E254&lt;24,"12-24mo","24mo+"))))</f>
        <v>24mo+</v>
      </c>
      <c r="T254" s="0" t="n">
        <f aca="false">IF(ISBLANK(C254),0,IF(C254="Month-to-month",2,IF(C254="One year",1,0)))+IF(ISBLANK(I254),0,IF(I254&lt;40,2,IF(I254&lt;55,1,0)))+IF(ISBLANK(M254),0,IF(M254=1,3,0))+IF(ISBLANK(L254),0,IF(L254&gt;=2,1,0))+IF(ISBLANK(E254),0,IF(E254&lt;12,1,0))</f>
        <v>5</v>
      </c>
      <c r="U254" s="0" t="str">
        <f aca="false">IF((ISBLANK(B254)*1+ISBLANK(C254)*1+ISBLANK(D254)*1+ISBLANK(E254)*1+ISBLANK(F254)*1+ISBLANK(I254)*1+ISBLANK(J254)*1+ISBLANK(K254)*1+ISBLANK(L254)*1+ISBLANK(M254)*1+ISBLANK(N254)*1+ISBLANK(O254)*1)&gt;0,"Missing Data","OK")</f>
        <v>OK</v>
      </c>
      <c r="V254" s="0" t="str">
        <f aca="false">IF(T254&gt;=6,"High Risk",IF(T254&gt;=3,"Medium Risk","Low Risk"))</f>
        <v>Medium Risk</v>
      </c>
    </row>
    <row r="255" customFormat="false" ht="12.8" hidden="false" customHeight="false" outlineLevel="0" collapsed="false">
      <c r="A255" s="1" t="s">
        <v>285</v>
      </c>
      <c r="B255" s="1" t="s">
        <v>23</v>
      </c>
      <c r="C255" s="1" t="s">
        <v>34</v>
      </c>
      <c r="D255" s="1" t="n">
        <v>19.45</v>
      </c>
      <c r="E255" s="1" t="n">
        <v>2</v>
      </c>
      <c r="F255" s="4" t="n">
        <v>44182</v>
      </c>
      <c r="G255" s="1" t="s">
        <v>25</v>
      </c>
      <c r="H255" s="1" t="n">
        <v>1</v>
      </c>
      <c r="I255" s="1" t="n">
        <v>68.7</v>
      </c>
      <c r="J255" s="1" t="n">
        <v>16</v>
      </c>
      <c r="K255" s="1" t="n">
        <v>7</v>
      </c>
      <c r="L255" s="1" t="n">
        <v>0</v>
      </c>
      <c r="M255" s="1" t="n">
        <v>0</v>
      </c>
      <c r="N255" s="1" t="n">
        <v>38.9</v>
      </c>
      <c r="O255" s="1" t="n">
        <v>0</v>
      </c>
      <c r="Q255" s="4" t="n">
        <v>44242</v>
      </c>
      <c r="R255" s="0" t="n">
        <f aca="false">IF(ISBLANK(F255),"Missing",IFERROR(YEAR(F255),"Missing"))</f>
        <v>2020</v>
      </c>
      <c r="S255" s="0" t="str">
        <f aca="false">IF(ISBLANK(E255),"Missing",IF(E255&lt;6,"0-6mo",IF(E255&lt;12,"6-12mo",IF(E255&lt;24,"12-24mo","24mo+"))))</f>
        <v>0-6mo</v>
      </c>
      <c r="T255" s="0" t="n">
        <f aca="false">IF(ISBLANK(C255),0,IF(C255="Month-to-month",2,IF(C255="One year",1,0)))+IF(ISBLANK(I255),0,IF(I255&lt;40,2,IF(I255&lt;55,1,0)))+IF(ISBLANK(M255),0,IF(M255=1,3,0))+IF(ISBLANK(L255),0,IF(L255&gt;=2,1,0))+IF(ISBLANK(E255),0,IF(E255&lt;12,1,0))</f>
        <v>2</v>
      </c>
      <c r="U255" s="0" t="str">
        <f aca="false">IF((ISBLANK(B255)*1+ISBLANK(C255)*1+ISBLANK(D255)*1+ISBLANK(E255)*1+ISBLANK(F255)*1+ISBLANK(I255)*1+ISBLANK(J255)*1+ISBLANK(K255)*1+ISBLANK(L255)*1+ISBLANK(M255)*1+ISBLANK(N255)*1+ISBLANK(O255)*1)&gt;0,"Missing Data","OK")</f>
        <v>OK</v>
      </c>
      <c r="V255" s="0" t="str">
        <f aca="false">IF(T255&gt;=6,"High Risk",IF(T255&gt;=3,"Medium Risk","Low Risk"))</f>
        <v>Low Risk</v>
      </c>
    </row>
    <row r="256" customFormat="false" ht="12.8" hidden="false" customHeight="false" outlineLevel="0" collapsed="false">
      <c r="A256" s="1" t="s">
        <v>286</v>
      </c>
      <c r="B256" s="1" t="s">
        <v>36</v>
      </c>
      <c r="C256" s="1" t="s">
        <v>34</v>
      </c>
      <c r="D256" s="1" t="n">
        <v>9.22</v>
      </c>
      <c r="E256" s="1" t="n">
        <v>2</v>
      </c>
      <c r="F256" s="4" t="n">
        <v>44183</v>
      </c>
      <c r="G256" s="1" t="s">
        <v>27</v>
      </c>
      <c r="H256" s="1" t="n">
        <v>1</v>
      </c>
      <c r="I256" s="1" t="n">
        <v>76</v>
      </c>
      <c r="J256" s="1" t="n">
        <v>25</v>
      </c>
      <c r="K256" s="1" t="n">
        <v>7</v>
      </c>
      <c r="L256" s="1" t="n">
        <v>1</v>
      </c>
      <c r="M256" s="1" t="n">
        <v>0</v>
      </c>
      <c r="N256" s="1" t="n">
        <v>18.44</v>
      </c>
      <c r="O256" s="1" t="n">
        <v>0</v>
      </c>
      <c r="Q256" s="4" t="n">
        <v>44243</v>
      </c>
      <c r="R256" s="0" t="n">
        <f aca="false">IF(ISBLANK(F256),"Missing",IFERROR(YEAR(F256),"Missing"))</f>
        <v>2020</v>
      </c>
      <c r="S256" s="0" t="str">
        <f aca="false">IF(ISBLANK(E256),"Missing",IF(E256&lt;6,"0-6mo",IF(E256&lt;12,"6-12mo",IF(E256&lt;24,"12-24mo","24mo+"))))</f>
        <v>0-6mo</v>
      </c>
      <c r="T256" s="0" t="n">
        <f aca="false">IF(ISBLANK(C256),0,IF(C256="Month-to-month",2,IF(C256="One year",1,0)))+IF(ISBLANK(I256),0,IF(I256&lt;40,2,IF(I256&lt;55,1,0)))+IF(ISBLANK(M256),0,IF(M256=1,3,0))+IF(ISBLANK(L256),0,IF(L256&gt;=2,1,0))+IF(ISBLANK(E256),0,IF(E256&lt;12,1,0))</f>
        <v>2</v>
      </c>
      <c r="U256" s="0" t="str">
        <f aca="false">IF((ISBLANK(B256)*1+ISBLANK(C256)*1+ISBLANK(D256)*1+ISBLANK(E256)*1+ISBLANK(F256)*1+ISBLANK(I256)*1+ISBLANK(J256)*1+ISBLANK(K256)*1+ISBLANK(L256)*1+ISBLANK(M256)*1+ISBLANK(N256)*1+ISBLANK(O256)*1)&gt;0,"Missing Data","OK")</f>
        <v>OK</v>
      </c>
      <c r="V256" s="0" t="str">
        <f aca="false">IF(T256&gt;=6,"High Risk",IF(T256&gt;=3,"Medium Risk","Low Risk"))</f>
        <v>Low Risk</v>
      </c>
    </row>
    <row r="257" customFormat="false" ht="12.8" hidden="false" customHeight="false" outlineLevel="0" collapsed="false">
      <c r="A257" s="1" t="s">
        <v>287</v>
      </c>
      <c r="B257" s="1" t="s">
        <v>29</v>
      </c>
      <c r="C257" s="1" t="s">
        <v>24</v>
      </c>
      <c r="D257" s="1" t="n">
        <v>38.9</v>
      </c>
      <c r="E257" s="1" t="n">
        <v>0</v>
      </c>
      <c r="F257" s="4" t="n">
        <v>44184</v>
      </c>
      <c r="G257" s="1" t="s">
        <v>39</v>
      </c>
      <c r="H257" s="1" t="n">
        <v>0</v>
      </c>
      <c r="I257" s="1" t="n">
        <v>30.2</v>
      </c>
      <c r="J257" s="1" t="n">
        <v>10</v>
      </c>
      <c r="K257" s="1" t="n">
        <v>5</v>
      </c>
      <c r="L257" s="1" t="n">
        <v>2</v>
      </c>
      <c r="M257" s="1" t="n">
        <v>0</v>
      </c>
      <c r="N257" s="1" t="n">
        <v>0</v>
      </c>
      <c r="O257" s="1" t="n">
        <v>1</v>
      </c>
      <c r="P257" s="4" t="n">
        <v>44184</v>
      </c>
      <c r="Q257" s="4" t="n">
        <v>44184</v>
      </c>
      <c r="R257" s="0" t="n">
        <f aca="false">IF(ISBLANK(F257),"Missing",IFERROR(YEAR(F257),"Missing"))</f>
        <v>2020</v>
      </c>
      <c r="S257" s="0" t="str">
        <f aca="false">IF(ISBLANK(E257),"Missing",IF(E257&lt;6,"0-6mo",IF(E257&lt;12,"6-12mo",IF(E257&lt;24,"12-24mo","24mo+"))))</f>
        <v>0-6mo</v>
      </c>
      <c r="T257" s="0" t="n">
        <f aca="false">IF(ISBLANK(C257),0,IF(C257="Month-to-month",2,IF(C257="One year",1,0)))+IF(ISBLANK(I257),0,IF(I257&lt;40,2,IF(I257&lt;55,1,0)))+IF(ISBLANK(M257),0,IF(M257=1,3,0))+IF(ISBLANK(L257),0,IF(L257&gt;=2,1,0))+IF(ISBLANK(E257),0,IF(E257&lt;12,1,0))</f>
        <v>6</v>
      </c>
      <c r="U257" s="0" t="str">
        <f aca="false">IF((ISBLANK(B257)*1+ISBLANK(C257)*1+ISBLANK(D257)*1+ISBLANK(E257)*1+ISBLANK(F257)*1+ISBLANK(I257)*1+ISBLANK(J257)*1+ISBLANK(K257)*1+ISBLANK(L257)*1+ISBLANK(M257)*1+ISBLANK(N257)*1+ISBLANK(O257)*1)&gt;0,"Missing Data","OK")</f>
        <v>OK</v>
      </c>
      <c r="V257" s="0" t="str">
        <f aca="false">IF(T257&gt;=6,"High Risk",IF(T257&gt;=3,"Medium Risk","Low Risk"))</f>
        <v>High Risk</v>
      </c>
    </row>
    <row r="258" customFormat="false" ht="12.8" hidden="false" customHeight="false" outlineLevel="0" collapsed="false">
      <c r="A258" s="1" t="s">
        <v>288</v>
      </c>
      <c r="B258" s="1" t="s">
        <v>29</v>
      </c>
      <c r="C258" s="1" t="s">
        <v>24</v>
      </c>
      <c r="D258" s="1" t="n">
        <v>40.02</v>
      </c>
      <c r="E258" s="1" t="n">
        <v>1</v>
      </c>
      <c r="F258" s="4" t="n">
        <v>44185</v>
      </c>
      <c r="G258" s="1" t="s">
        <v>30</v>
      </c>
      <c r="H258" s="1" t="n">
        <v>1</v>
      </c>
      <c r="I258" s="1" t="n">
        <v>82.1</v>
      </c>
      <c r="J258" s="1" t="n">
        <v>26</v>
      </c>
      <c r="K258" s="1" t="n">
        <v>5</v>
      </c>
      <c r="L258" s="1" t="n">
        <v>0</v>
      </c>
      <c r="M258" s="1" t="n">
        <v>0</v>
      </c>
      <c r="N258" s="1" t="n">
        <v>40.02</v>
      </c>
      <c r="O258" s="1" t="n">
        <v>0</v>
      </c>
      <c r="Q258" s="4" t="n">
        <v>44215</v>
      </c>
      <c r="R258" s="0" t="n">
        <f aca="false">IF(ISBLANK(F258),"Missing",IFERROR(YEAR(F258),"Missing"))</f>
        <v>2020</v>
      </c>
      <c r="S258" s="0" t="str">
        <f aca="false">IF(ISBLANK(E258),"Missing",IF(E258&lt;6,"0-6mo",IF(E258&lt;12,"6-12mo",IF(E258&lt;24,"12-24mo","24mo+"))))</f>
        <v>0-6mo</v>
      </c>
      <c r="T258" s="0" t="n">
        <f aca="false">IF(ISBLANK(C258),0,IF(C258="Month-to-month",2,IF(C258="One year",1,0)))+IF(ISBLANK(I258),0,IF(I258&lt;40,2,IF(I258&lt;55,1,0)))+IF(ISBLANK(M258),0,IF(M258=1,3,0))+IF(ISBLANK(L258),0,IF(L258&gt;=2,1,0))+IF(ISBLANK(E258),0,IF(E258&lt;12,1,0))</f>
        <v>3</v>
      </c>
      <c r="U258" s="0" t="str">
        <f aca="false">IF((ISBLANK(B258)*1+ISBLANK(C258)*1+ISBLANK(D258)*1+ISBLANK(E258)*1+ISBLANK(F258)*1+ISBLANK(I258)*1+ISBLANK(J258)*1+ISBLANK(K258)*1+ISBLANK(L258)*1+ISBLANK(M258)*1+ISBLANK(N258)*1+ISBLANK(O258)*1)&gt;0,"Missing Data","OK")</f>
        <v>OK</v>
      </c>
      <c r="V258" s="0" t="str">
        <f aca="false">IF(T258&gt;=6,"High Risk",IF(T258&gt;=3,"Medium Risk","Low Risk"))</f>
        <v>Medium Risk</v>
      </c>
    </row>
    <row r="259" customFormat="false" ht="12.8" hidden="false" customHeight="false" outlineLevel="0" collapsed="false">
      <c r="A259" s="1" t="s">
        <v>289</v>
      </c>
      <c r="B259" s="1" t="s">
        <v>29</v>
      </c>
      <c r="C259" s="1" t="s">
        <v>24</v>
      </c>
      <c r="D259" s="1" t="n">
        <v>40.18</v>
      </c>
      <c r="E259" s="1" t="n">
        <v>4</v>
      </c>
      <c r="F259" s="4" t="n">
        <v>44186</v>
      </c>
      <c r="G259" s="1" t="s">
        <v>39</v>
      </c>
      <c r="H259" s="1" t="n">
        <v>1</v>
      </c>
      <c r="I259" s="1" t="n">
        <v>69.6</v>
      </c>
      <c r="J259" s="1" t="n">
        <v>23</v>
      </c>
      <c r="K259" s="1" t="n">
        <v>6</v>
      </c>
      <c r="L259" s="1" t="n">
        <v>1</v>
      </c>
      <c r="M259" s="1" t="n">
        <v>0</v>
      </c>
      <c r="N259" s="1" t="n">
        <v>160.72</v>
      </c>
      <c r="O259" s="1" t="n">
        <v>0</v>
      </c>
      <c r="Q259" s="4" t="n">
        <v>44307</v>
      </c>
      <c r="R259" s="0" t="n">
        <f aca="false">IF(ISBLANK(F259),"Missing",IFERROR(YEAR(F259),"Missing"))</f>
        <v>2020</v>
      </c>
      <c r="S259" s="0" t="str">
        <f aca="false">IF(ISBLANK(E259),"Missing",IF(E259&lt;6,"0-6mo",IF(E259&lt;12,"6-12mo",IF(E259&lt;24,"12-24mo","24mo+"))))</f>
        <v>0-6mo</v>
      </c>
      <c r="T259" s="0" t="n">
        <f aca="false">IF(ISBLANK(C259),0,IF(C259="Month-to-month",2,IF(C259="One year",1,0)))+IF(ISBLANK(I259),0,IF(I259&lt;40,2,IF(I259&lt;55,1,0)))+IF(ISBLANK(M259),0,IF(M259=1,3,0))+IF(ISBLANK(L259),0,IF(L259&gt;=2,1,0))+IF(ISBLANK(E259),0,IF(E259&lt;12,1,0))</f>
        <v>3</v>
      </c>
      <c r="U259" s="0" t="str">
        <f aca="false">IF((ISBLANK(B259)*1+ISBLANK(C259)*1+ISBLANK(D259)*1+ISBLANK(E259)*1+ISBLANK(F259)*1+ISBLANK(I259)*1+ISBLANK(J259)*1+ISBLANK(K259)*1+ISBLANK(L259)*1+ISBLANK(M259)*1+ISBLANK(N259)*1+ISBLANK(O259)*1)&gt;0,"Missing Data","OK")</f>
        <v>OK</v>
      </c>
      <c r="V259" s="0" t="str">
        <f aca="false">IF(T259&gt;=6,"High Risk",IF(T259&gt;=3,"Medium Risk","Low Risk"))</f>
        <v>Medium Risk</v>
      </c>
    </row>
    <row r="260" customFormat="false" ht="12.8" hidden="false" customHeight="false" outlineLevel="0" collapsed="false">
      <c r="A260" s="1" t="s">
        <v>290</v>
      </c>
      <c r="B260" s="1" t="s">
        <v>36</v>
      </c>
      <c r="C260" s="1" t="s">
        <v>34</v>
      </c>
      <c r="D260" s="1" t="n">
        <v>9.48</v>
      </c>
      <c r="E260" s="1" t="n">
        <v>72</v>
      </c>
      <c r="F260" s="4" t="n">
        <v>44186</v>
      </c>
      <c r="G260" s="1" t="s">
        <v>25</v>
      </c>
      <c r="H260" s="1" t="n">
        <v>0</v>
      </c>
      <c r="I260" s="1" t="n">
        <v>55.5</v>
      </c>
      <c r="J260" s="1" t="n">
        <v>15</v>
      </c>
      <c r="K260" s="1" t="n">
        <v>6</v>
      </c>
      <c r="L260" s="1" t="n">
        <v>1</v>
      </c>
      <c r="M260" s="1" t="n">
        <v>0</v>
      </c>
      <c r="N260" s="1" t="n">
        <v>682.56</v>
      </c>
      <c r="O260" s="1" t="n">
        <v>0</v>
      </c>
      <c r="Q260" s="4" t="n">
        <v>46293</v>
      </c>
      <c r="R260" s="0" t="n">
        <f aca="false">IF(ISBLANK(F260),"Missing",IFERROR(YEAR(F260),"Missing"))</f>
        <v>2020</v>
      </c>
      <c r="S260" s="0" t="str">
        <f aca="false">IF(ISBLANK(E260),"Missing",IF(E260&lt;6,"0-6mo",IF(E260&lt;12,"6-12mo",IF(E260&lt;24,"12-24mo","24mo+"))))</f>
        <v>24mo+</v>
      </c>
      <c r="T260" s="0" t="n">
        <f aca="false">IF(ISBLANK(C260),0,IF(C260="Month-to-month",2,IF(C260="One year",1,0)))+IF(ISBLANK(I260),0,IF(I260&lt;40,2,IF(I260&lt;55,1,0)))+IF(ISBLANK(M260),0,IF(M260=1,3,0))+IF(ISBLANK(L260),0,IF(L260&gt;=2,1,0))+IF(ISBLANK(E260),0,IF(E260&lt;12,1,0))</f>
        <v>1</v>
      </c>
      <c r="U260" s="0" t="str">
        <f aca="false">IF((ISBLANK(B260)*1+ISBLANK(C260)*1+ISBLANK(D260)*1+ISBLANK(E260)*1+ISBLANK(F260)*1+ISBLANK(I260)*1+ISBLANK(J260)*1+ISBLANK(K260)*1+ISBLANK(L260)*1+ISBLANK(M260)*1+ISBLANK(N260)*1+ISBLANK(O260)*1)&gt;0,"Missing Data","OK")</f>
        <v>OK</v>
      </c>
      <c r="V260" s="0" t="str">
        <f aca="false">IF(T260&gt;=6,"High Risk",IF(T260&gt;=3,"Medium Risk","Low Risk"))</f>
        <v>Low Risk</v>
      </c>
    </row>
    <row r="261" customFormat="false" ht="12.8" hidden="false" customHeight="false" outlineLevel="0" collapsed="false">
      <c r="A261" s="1" t="s">
        <v>291</v>
      </c>
      <c r="B261" s="1" t="s">
        <v>23</v>
      </c>
      <c r="C261" s="1" t="s">
        <v>34</v>
      </c>
      <c r="D261" s="1" t="n">
        <v>20.65</v>
      </c>
      <c r="E261" s="1" t="n">
        <v>24</v>
      </c>
      <c r="F261" s="4" t="n">
        <v>44186</v>
      </c>
      <c r="G261" s="1" t="s">
        <v>25</v>
      </c>
      <c r="H261" s="1" t="n">
        <v>1</v>
      </c>
      <c r="I261" s="1" t="n">
        <v>29.6</v>
      </c>
      <c r="J261" s="1" t="n">
        <v>7</v>
      </c>
      <c r="K261" s="1" t="n">
        <v>4</v>
      </c>
      <c r="L261" s="1" t="n">
        <v>2</v>
      </c>
      <c r="M261" s="1" t="n">
        <v>1</v>
      </c>
      <c r="N261" s="1" t="n">
        <v>495.6</v>
      </c>
      <c r="O261" s="1" t="n">
        <v>0</v>
      </c>
      <c r="Q261" s="4" t="n">
        <v>44916</v>
      </c>
      <c r="R261" s="0" t="n">
        <f aca="false">IF(ISBLANK(F261),"Missing",IFERROR(YEAR(F261),"Missing"))</f>
        <v>2020</v>
      </c>
      <c r="S261" s="0" t="str">
        <f aca="false">IF(ISBLANK(E261),"Missing",IF(E261&lt;6,"0-6mo",IF(E261&lt;12,"6-12mo",IF(E261&lt;24,"12-24mo","24mo+"))))</f>
        <v>24mo+</v>
      </c>
      <c r="T261" s="0" t="n">
        <f aca="false">IF(ISBLANK(C261),0,IF(C261="Month-to-month",2,IF(C261="One year",1,0)))+IF(ISBLANK(I261),0,IF(I261&lt;40,2,IF(I261&lt;55,1,0)))+IF(ISBLANK(M261),0,IF(M261=1,3,0))+IF(ISBLANK(L261),0,IF(L261&gt;=2,1,0))+IF(ISBLANK(E261),0,IF(E261&lt;12,1,0))</f>
        <v>7</v>
      </c>
      <c r="U261" s="0" t="str">
        <f aca="false">IF((ISBLANK(B261)*1+ISBLANK(C261)*1+ISBLANK(D261)*1+ISBLANK(E261)*1+ISBLANK(F261)*1+ISBLANK(I261)*1+ISBLANK(J261)*1+ISBLANK(K261)*1+ISBLANK(L261)*1+ISBLANK(M261)*1+ISBLANK(N261)*1+ISBLANK(O261)*1)&gt;0,"Missing Data","OK")</f>
        <v>OK</v>
      </c>
      <c r="V261" s="0" t="str">
        <f aca="false">IF(T261&gt;=6,"High Risk",IF(T261&gt;=3,"Medium Risk","Low Risk"))</f>
        <v>High Risk</v>
      </c>
    </row>
    <row r="262" customFormat="false" ht="12.8" hidden="false" customHeight="false" outlineLevel="0" collapsed="false">
      <c r="A262" s="1" t="s">
        <v>292</v>
      </c>
      <c r="B262" s="1" t="s">
        <v>36</v>
      </c>
      <c r="C262" s="1" t="s">
        <v>34</v>
      </c>
      <c r="D262" s="1" t="n">
        <v>8.8</v>
      </c>
      <c r="E262" s="1" t="n">
        <v>13</v>
      </c>
      <c r="F262" s="4" t="n">
        <v>44187</v>
      </c>
      <c r="G262" s="1" t="s">
        <v>27</v>
      </c>
      <c r="H262" s="1" t="n">
        <v>1</v>
      </c>
      <c r="I262" s="1" t="n">
        <v>83.3</v>
      </c>
      <c r="J262" s="1" t="n">
        <v>30</v>
      </c>
      <c r="K262" s="1" t="n">
        <v>5</v>
      </c>
      <c r="L262" s="1" t="n">
        <v>0</v>
      </c>
      <c r="M262" s="1" t="n">
        <v>0</v>
      </c>
      <c r="N262" s="1" t="n">
        <v>114.4</v>
      </c>
      <c r="O262" s="1" t="n">
        <v>0</v>
      </c>
      <c r="Q262" s="4" t="n">
        <v>44582</v>
      </c>
      <c r="R262" s="0" t="n">
        <f aca="false">IF(ISBLANK(F262),"Missing",IFERROR(YEAR(F262),"Missing"))</f>
        <v>2020</v>
      </c>
      <c r="S262" s="0" t="str">
        <f aca="false">IF(ISBLANK(E262),"Missing",IF(E262&lt;6,"0-6mo",IF(E262&lt;12,"6-12mo",IF(E262&lt;24,"12-24mo","24mo+"))))</f>
        <v>12-24mo</v>
      </c>
      <c r="T262" s="0" t="n">
        <f aca="false">IF(ISBLANK(C262),0,IF(C262="Month-to-month",2,IF(C262="One year",1,0)))+IF(ISBLANK(I262),0,IF(I262&lt;40,2,IF(I262&lt;55,1,0)))+IF(ISBLANK(M262),0,IF(M262=1,3,0))+IF(ISBLANK(L262),0,IF(L262&gt;=2,1,0))+IF(ISBLANK(E262),0,IF(E262&lt;12,1,0))</f>
        <v>1</v>
      </c>
      <c r="U262" s="0" t="str">
        <f aca="false">IF((ISBLANK(B262)*1+ISBLANK(C262)*1+ISBLANK(D262)*1+ISBLANK(E262)*1+ISBLANK(F262)*1+ISBLANK(I262)*1+ISBLANK(J262)*1+ISBLANK(K262)*1+ISBLANK(L262)*1+ISBLANK(M262)*1+ISBLANK(N262)*1+ISBLANK(O262)*1)&gt;0,"Missing Data","OK")</f>
        <v>OK</v>
      </c>
      <c r="V262" s="0" t="str">
        <f aca="false">IF(T262&gt;=6,"High Risk",IF(T262&gt;=3,"Medium Risk","Low Risk"))</f>
        <v>Low Risk</v>
      </c>
    </row>
    <row r="263" customFormat="false" ht="12.8" hidden="false" customHeight="false" outlineLevel="0" collapsed="false">
      <c r="A263" s="1" t="s">
        <v>293</v>
      </c>
      <c r="B263" s="1" t="s">
        <v>23</v>
      </c>
      <c r="C263" s="1" t="s">
        <v>24</v>
      </c>
      <c r="D263" s="1" t="n">
        <v>20.4</v>
      </c>
      <c r="E263" s="1" t="n">
        <v>25</v>
      </c>
      <c r="F263" s="4" t="n">
        <v>44189</v>
      </c>
      <c r="G263" s="1" t="s">
        <v>25</v>
      </c>
      <c r="H263" s="1" t="n">
        <v>0</v>
      </c>
      <c r="I263" s="1" t="n">
        <v>35</v>
      </c>
      <c r="J263" s="1" t="n">
        <v>8</v>
      </c>
      <c r="K263" s="1" t="n">
        <v>4</v>
      </c>
      <c r="L263" s="1" t="n">
        <v>1</v>
      </c>
      <c r="M263" s="1" t="n">
        <v>1</v>
      </c>
      <c r="N263" s="1" t="n">
        <v>510</v>
      </c>
      <c r="O263" s="1" t="n">
        <v>0</v>
      </c>
      <c r="Q263" s="4" t="n">
        <v>44950</v>
      </c>
      <c r="R263" s="0" t="n">
        <f aca="false">IF(ISBLANK(F263),"Missing",IFERROR(YEAR(F263),"Missing"))</f>
        <v>2020</v>
      </c>
      <c r="S263" s="0" t="str">
        <f aca="false">IF(ISBLANK(E263),"Missing",IF(E263&lt;6,"0-6mo",IF(E263&lt;12,"6-12mo",IF(E263&lt;24,"12-24mo","24mo+"))))</f>
        <v>24mo+</v>
      </c>
      <c r="T263" s="0" t="n">
        <f aca="false">IF(ISBLANK(C263),0,IF(C263="Month-to-month",2,IF(C263="One year",1,0)))+IF(ISBLANK(I263),0,IF(I263&lt;40,2,IF(I263&lt;55,1,0)))+IF(ISBLANK(M263),0,IF(M263=1,3,0))+IF(ISBLANK(L263),0,IF(L263&gt;=2,1,0))+IF(ISBLANK(E263),0,IF(E263&lt;12,1,0))</f>
        <v>7</v>
      </c>
      <c r="U263" s="0" t="str">
        <f aca="false">IF((ISBLANK(B263)*1+ISBLANK(C263)*1+ISBLANK(D263)*1+ISBLANK(E263)*1+ISBLANK(F263)*1+ISBLANK(I263)*1+ISBLANK(J263)*1+ISBLANK(K263)*1+ISBLANK(L263)*1+ISBLANK(M263)*1+ISBLANK(N263)*1+ISBLANK(O263)*1)&gt;0,"Missing Data","OK")</f>
        <v>OK</v>
      </c>
      <c r="V263" s="0" t="str">
        <f aca="false">IF(T263&gt;=6,"High Risk",IF(T263&gt;=3,"Medium Risk","Low Risk"))</f>
        <v>High Risk</v>
      </c>
    </row>
    <row r="264" customFormat="false" ht="12.8" hidden="false" customHeight="false" outlineLevel="0" collapsed="false">
      <c r="A264" s="1" t="s">
        <v>294</v>
      </c>
      <c r="B264" s="1" t="s">
        <v>29</v>
      </c>
      <c r="C264" s="1" t="s">
        <v>34</v>
      </c>
      <c r="D264" s="1" t="n">
        <v>41.24</v>
      </c>
      <c r="E264" s="1" t="n">
        <v>29</v>
      </c>
      <c r="F264" s="4" t="n">
        <v>44190</v>
      </c>
      <c r="G264" s="1" t="s">
        <v>39</v>
      </c>
      <c r="H264" s="1" t="n">
        <v>1</v>
      </c>
      <c r="I264" s="1" t="n">
        <v>10.9</v>
      </c>
      <c r="J264" s="1" t="n">
        <v>4</v>
      </c>
      <c r="K264" s="1" t="n">
        <v>0</v>
      </c>
      <c r="L264" s="1" t="n">
        <v>4</v>
      </c>
      <c r="M264" s="1" t="n">
        <v>1</v>
      </c>
      <c r="N264" s="1" t="n">
        <v>1195.96</v>
      </c>
      <c r="O264" s="1" t="n">
        <v>0</v>
      </c>
      <c r="Q264" s="4" t="n">
        <v>45072</v>
      </c>
      <c r="R264" s="0" t="n">
        <f aca="false">IF(ISBLANK(F264),"Missing",IFERROR(YEAR(F264),"Missing"))</f>
        <v>2020</v>
      </c>
      <c r="S264" s="0" t="str">
        <f aca="false">IF(ISBLANK(E264),"Missing",IF(E264&lt;6,"0-6mo",IF(E264&lt;12,"6-12mo",IF(E264&lt;24,"12-24mo","24mo+"))))</f>
        <v>24mo+</v>
      </c>
      <c r="T264" s="0" t="n">
        <f aca="false">IF(ISBLANK(C264),0,IF(C264="Month-to-month",2,IF(C264="One year",1,0)))+IF(ISBLANK(I264),0,IF(I264&lt;40,2,IF(I264&lt;55,1,0)))+IF(ISBLANK(M264),0,IF(M264=1,3,0))+IF(ISBLANK(L264),0,IF(L264&gt;=2,1,0))+IF(ISBLANK(E264),0,IF(E264&lt;12,1,0))</f>
        <v>7</v>
      </c>
      <c r="U264" s="0" t="str">
        <f aca="false">IF((ISBLANK(B264)*1+ISBLANK(C264)*1+ISBLANK(D264)*1+ISBLANK(E264)*1+ISBLANK(F264)*1+ISBLANK(I264)*1+ISBLANK(J264)*1+ISBLANK(K264)*1+ISBLANK(L264)*1+ISBLANK(M264)*1+ISBLANK(N264)*1+ISBLANK(O264)*1)&gt;0,"Missing Data","OK")</f>
        <v>OK</v>
      </c>
      <c r="V264" s="0" t="str">
        <f aca="false">IF(T264&gt;=6,"High Risk",IF(T264&gt;=3,"Medium Risk","Low Risk"))</f>
        <v>High Risk</v>
      </c>
    </row>
    <row r="265" customFormat="false" ht="12.8" hidden="false" customHeight="false" outlineLevel="0" collapsed="false">
      <c r="A265" s="1" t="s">
        <v>295</v>
      </c>
      <c r="B265" s="1" t="s">
        <v>29</v>
      </c>
      <c r="C265" s="1" t="s">
        <v>24</v>
      </c>
      <c r="D265" s="1" t="n">
        <v>43.1</v>
      </c>
      <c r="E265" s="1" t="n">
        <v>37</v>
      </c>
      <c r="F265" s="4" t="n">
        <v>44193</v>
      </c>
      <c r="G265" s="1" t="s">
        <v>27</v>
      </c>
      <c r="H265" s="1" t="n">
        <v>1</v>
      </c>
      <c r="I265" s="1" t="n">
        <v>34.6</v>
      </c>
      <c r="J265" s="1" t="n">
        <v>7</v>
      </c>
      <c r="K265" s="1" t="n">
        <v>2</v>
      </c>
      <c r="L265" s="1" t="n">
        <v>1</v>
      </c>
      <c r="M265" s="1" t="n">
        <v>0</v>
      </c>
      <c r="N265" s="1" t="n">
        <v>1594.7</v>
      </c>
      <c r="O265" s="1" t="n">
        <v>0</v>
      </c>
      <c r="Q265" s="4" t="n">
        <v>45319</v>
      </c>
      <c r="R265" s="0" t="n">
        <f aca="false">IF(ISBLANK(F265),"Missing",IFERROR(YEAR(F265),"Missing"))</f>
        <v>2020</v>
      </c>
      <c r="S265" s="0" t="str">
        <f aca="false">IF(ISBLANK(E265),"Missing",IF(E265&lt;6,"0-6mo",IF(E265&lt;12,"6-12mo",IF(E265&lt;24,"12-24mo","24mo+"))))</f>
        <v>24mo+</v>
      </c>
      <c r="T265" s="0" t="n">
        <f aca="false">IF(ISBLANK(C265),0,IF(C265="Month-to-month",2,IF(C265="One year",1,0)))+IF(ISBLANK(I265),0,IF(I265&lt;40,2,IF(I265&lt;55,1,0)))+IF(ISBLANK(M265),0,IF(M265=1,3,0))+IF(ISBLANK(L265),0,IF(L265&gt;=2,1,0))+IF(ISBLANK(E265),0,IF(E265&lt;12,1,0))</f>
        <v>4</v>
      </c>
      <c r="U265" s="0" t="str">
        <f aca="false">IF((ISBLANK(B265)*1+ISBLANK(C265)*1+ISBLANK(D265)*1+ISBLANK(E265)*1+ISBLANK(F265)*1+ISBLANK(I265)*1+ISBLANK(J265)*1+ISBLANK(K265)*1+ISBLANK(L265)*1+ISBLANK(M265)*1+ISBLANK(N265)*1+ISBLANK(O265)*1)&gt;0,"Missing Data","OK")</f>
        <v>OK</v>
      </c>
      <c r="V265" s="0" t="str">
        <f aca="false">IF(T265&gt;=6,"High Risk",IF(T265&gt;=3,"Medium Risk","Low Risk"))</f>
        <v>Medium Risk</v>
      </c>
    </row>
    <row r="266" customFormat="false" ht="12.8" hidden="false" customHeight="false" outlineLevel="0" collapsed="false">
      <c r="A266" s="1" t="s">
        <v>296</v>
      </c>
      <c r="B266" s="1" t="s">
        <v>36</v>
      </c>
      <c r="C266" s="1" t="s">
        <v>34</v>
      </c>
      <c r="D266" s="1" t="n">
        <v>9.73</v>
      </c>
      <c r="E266" s="1" t="n">
        <v>16</v>
      </c>
      <c r="F266" s="4" t="n">
        <v>44196</v>
      </c>
      <c r="G266" s="1" t="s">
        <v>39</v>
      </c>
      <c r="H266" s="1" t="n">
        <v>0</v>
      </c>
      <c r="I266" s="1" t="n">
        <v>28.2</v>
      </c>
      <c r="J266" s="1" t="n">
        <v>15</v>
      </c>
      <c r="K266" s="1" t="n">
        <v>3</v>
      </c>
      <c r="L266" s="1" t="n">
        <v>2</v>
      </c>
      <c r="M266" s="1" t="n">
        <v>1</v>
      </c>
      <c r="N266" s="1" t="n">
        <v>155.68</v>
      </c>
      <c r="O266" s="1" t="n">
        <v>0</v>
      </c>
      <c r="Q266" s="4" t="n">
        <v>44683</v>
      </c>
      <c r="R266" s="0" t="n">
        <f aca="false">IF(ISBLANK(F266),"Missing",IFERROR(YEAR(F266),"Missing"))</f>
        <v>2020</v>
      </c>
      <c r="S266" s="0" t="str">
        <f aca="false">IF(ISBLANK(E266),"Missing",IF(E266&lt;6,"0-6mo",IF(E266&lt;12,"6-12mo",IF(E266&lt;24,"12-24mo","24mo+"))))</f>
        <v>12-24mo</v>
      </c>
      <c r="T266" s="0" t="n">
        <f aca="false">IF(ISBLANK(C266),0,IF(C266="Month-to-month",2,IF(C266="One year",1,0)))+IF(ISBLANK(I266),0,IF(I266&lt;40,2,IF(I266&lt;55,1,0)))+IF(ISBLANK(M266),0,IF(M266=1,3,0))+IF(ISBLANK(L266),0,IF(L266&gt;=2,1,0))+IF(ISBLANK(E266),0,IF(E266&lt;12,1,0))</f>
        <v>7</v>
      </c>
      <c r="U266" s="0" t="str">
        <f aca="false">IF((ISBLANK(B266)*1+ISBLANK(C266)*1+ISBLANK(D266)*1+ISBLANK(E266)*1+ISBLANK(F266)*1+ISBLANK(I266)*1+ISBLANK(J266)*1+ISBLANK(K266)*1+ISBLANK(L266)*1+ISBLANK(M266)*1+ISBLANK(N266)*1+ISBLANK(O266)*1)&gt;0,"Missing Data","OK")</f>
        <v>OK</v>
      </c>
      <c r="V266" s="0" t="str">
        <f aca="false">IF(T266&gt;=6,"High Risk",IF(T266&gt;=3,"Medium Risk","Low Risk"))</f>
        <v>High Risk</v>
      </c>
    </row>
    <row r="267" customFormat="false" ht="12.8" hidden="false" customHeight="false" outlineLevel="0" collapsed="false">
      <c r="A267" s="1" t="s">
        <v>297</v>
      </c>
      <c r="B267" s="1" t="s">
        <v>36</v>
      </c>
      <c r="C267" s="1" t="s">
        <v>24</v>
      </c>
      <c r="D267" s="1" t="n">
        <v>9.93</v>
      </c>
      <c r="E267" s="1" t="n">
        <v>8</v>
      </c>
      <c r="F267" s="4" t="n">
        <v>44196</v>
      </c>
      <c r="G267" s="1" t="s">
        <v>25</v>
      </c>
      <c r="H267" s="1" t="n">
        <v>1</v>
      </c>
      <c r="I267" s="1" t="n">
        <v>43.7</v>
      </c>
      <c r="J267" s="1" t="n">
        <v>13</v>
      </c>
      <c r="K267" s="1" t="n">
        <v>6</v>
      </c>
      <c r="L267" s="1" t="n">
        <v>2</v>
      </c>
      <c r="M267" s="1" t="n">
        <v>0</v>
      </c>
      <c r="N267" s="1" t="n">
        <v>79.44</v>
      </c>
      <c r="O267" s="1" t="n">
        <v>0</v>
      </c>
      <c r="Q267" s="4" t="n">
        <v>44439</v>
      </c>
      <c r="R267" s="0" t="n">
        <f aca="false">IF(ISBLANK(F267),"Missing",IFERROR(YEAR(F267),"Missing"))</f>
        <v>2020</v>
      </c>
      <c r="S267" s="0" t="str">
        <f aca="false">IF(ISBLANK(E267),"Missing",IF(E267&lt;6,"0-6mo",IF(E267&lt;12,"6-12mo",IF(E267&lt;24,"12-24mo","24mo+"))))</f>
        <v>6-12mo</v>
      </c>
      <c r="T267" s="0" t="n">
        <f aca="false">IF(ISBLANK(C267),0,IF(C267="Month-to-month",2,IF(C267="One year",1,0)))+IF(ISBLANK(I267),0,IF(I267&lt;40,2,IF(I267&lt;55,1,0)))+IF(ISBLANK(M267),0,IF(M267=1,3,0))+IF(ISBLANK(L267),0,IF(L267&gt;=2,1,0))+IF(ISBLANK(E267),0,IF(E267&lt;12,1,0))</f>
        <v>5</v>
      </c>
      <c r="U267" s="0" t="str">
        <f aca="false">IF((ISBLANK(B267)*1+ISBLANK(C267)*1+ISBLANK(D267)*1+ISBLANK(E267)*1+ISBLANK(F267)*1+ISBLANK(I267)*1+ISBLANK(J267)*1+ISBLANK(K267)*1+ISBLANK(L267)*1+ISBLANK(M267)*1+ISBLANK(N267)*1+ISBLANK(O267)*1)&gt;0,"Missing Data","OK")</f>
        <v>OK</v>
      </c>
      <c r="V267" s="0" t="str">
        <f aca="false">IF(T267&gt;=6,"High Risk",IF(T267&gt;=3,"Medium Risk","Low Risk"))</f>
        <v>Medium Risk</v>
      </c>
    </row>
    <row r="268" customFormat="false" ht="12.8" hidden="false" customHeight="false" outlineLevel="0" collapsed="false">
      <c r="A268" s="1" t="s">
        <v>298</v>
      </c>
      <c r="B268" s="1" t="s">
        <v>36</v>
      </c>
      <c r="C268" s="1" t="s">
        <v>24</v>
      </c>
      <c r="D268" s="1" t="n">
        <v>8.38</v>
      </c>
      <c r="E268" s="1" t="n">
        <v>12</v>
      </c>
      <c r="F268" s="4" t="n">
        <v>44197</v>
      </c>
      <c r="G268" s="1" t="s">
        <v>39</v>
      </c>
      <c r="H268" s="1" t="n">
        <v>0</v>
      </c>
      <c r="I268" s="1" t="n">
        <v>61.6</v>
      </c>
      <c r="J268" s="1" t="n">
        <v>21</v>
      </c>
      <c r="K268" s="1" t="n">
        <v>6</v>
      </c>
      <c r="L268" s="1" t="n">
        <v>2</v>
      </c>
      <c r="M268" s="1" t="n">
        <v>0</v>
      </c>
      <c r="N268" s="1" t="n">
        <v>100.56</v>
      </c>
      <c r="O268" s="1" t="n">
        <v>0</v>
      </c>
      <c r="Q268" s="4" t="n">
        <v>44562</v>
      </c>
      <c r="R268" s="0" t="n">
        <f aca="false">IF(ISBLANK(F268),"Missing",IFERROR(YEAR(F268),"Missing"))</f>
        <v>2021</v>
      </c>
      <c r="S268" s="0" t="str">
        <f aca="false">IF(ISBLANK(E268),"Missing",IF(E268&lt;6,"0-6mo",IF(E268&lt;12,"6-12mo",IF(E268&lt;24,"12-24mo","24mo+"))))</f>
        <v>12-24mo</v>
      </c>
      <c r="T268" s="0" t="n">
        <f aca="false">IF(ISBLANK(C268),0,IF(C268="Month-to-month",2,IF(C268="One year",1,0)))+IF(ISBLANK(I268),0,IF(I268&lt;40,2,IF(I268&lt;55,1,0)))+IF(ISBLANK(M268),0,IF(M268=1,3,0))+IF(ISBLANK(L268),0,IF(L268&gt;=2,1,0))+IF(ISBLANK(E268),0,IF(E268&lt;12,1,0))</f>
        <v>3</v>
      </c>
      <c r="U268" s="0" t="str">
        <f aca="false">IF((ISBLANK(B268)*1+ISBLANK(C268)*1+ISBLANK(D268)*1+ISBLANK(E268)*1+ISBLANK(F268)*1+ISBLANK(I268)*1+ISBLANK(J268)*1+ISBLANK(K268)*1+ISBLANK(L268)*1+ISBLANK(M268)*1+ISBLANK(N268)*1+ISBLANK(O268)*1)&gt;0,"Missing Data","OK")</f>
        <v>OK</v>
      </c>
      <c r="V268" s="0" t="str">
        <f aca="false">IF(T268&gt;=6,"High Risk",IF(T268&gt;=3,"Medium Risk","Low Risk"))</f>
        <v>Medium Risk</v>
      </c>
    </row>
    <row r="269" customFormat="false" ht="12.8" hidden="false" customHeight="false" outlineLevel="0" collapsed="false">
      <c r="A269" s="1" t="s">
        <v>299</v>
      </c>
      <c r="B269" s="1" t="s">
        <v>36</v>
      </c>
      <c r="C269" s="1" t="s">
        <v>34</v>
      </c>
      <c r="D269" s="1" t="n">
        <v>10.7</v>
      </c>
      <c r="E269" s="1" t="n">
        <v>7</v>
      </c>
      <c r="F269" s="4" t="n">
        <v>44201</v>
      </c>
      <c r="G269" s="1" t="s">
        <v>27</v>
      </c>
      <c r="H269" s="1" t="n">
        <v>0</v>
      </c>
      <c r="I269" s="1" t="n">
        <v>35.4</v>
      </c>
      <c r="J269" s="1" t="n">
        <v>16</v>
      </c>
      <c r="K269" s="1" t="n">
        <v>3</v>
      </c>
      <c r="L269" s="1" t="n">
        <v>1</v>
      </c>
      <c r="M269" s="1" t="n">
        <v>0</v>
      </c>
      <c r="N269" s="1" t="n">
        <v>74.9</v>
      </c>
      <c r="O269" s="1" t="n">
        <v>0</v>
      </c>
      <c r="Q269" s="4" t="n">
        <v>44414</v>
      </c>
      <c r="R269" s="0" t="n">
        <f aca="false">IF(ISBLANK(F269),"Missing",IFERROR(YEAR(F269),"Missing"))</f>
        <v>2021</v>
      </c>
      <c r="S269" s="0" t="str">
        <f aca="false">IF(ISBLANK(E269),"Missing",IF(E269&lt;6,"0-6mo",IF(E269&lt;12,"6-12mo",IF(E269&lt;24,"12-24mo","24mo+"))))</f>
        <v>6-12mo</v>
      </c>
      <c r="T269" s="0" t="n">
        <f aca="false">IF(ISBLANK(C269),0,IF(C269="Month-to-month",2,IF(C269="One year",1,0)))+IF(ISBLANK(I269),0,IF(I269&lt;40,2,IF(I269&lt;55,1,0)))+IF(ISBLANK(M269),0,IF(M269=1,3,0))+IF(ISBLANK(L269),0,IF(L269&gt;=2,1,0))+IF(ISBLANK(E269),0,IF(E269&lt;12,1,0))</f>
        <v>4</v>
      </c>
      <c r="U269" s="0" t="str">
        <f aca="false">IF((ISBLANK(B269)*1+ISBLANK(C269)*1+ISBLANK(D269)*1+ISBLANK(E269)*1+ISBLANK(F269)*1+ISBLANK(I269)*1+ISBLANK(J269)*1+ISBLANK(K269)*1+ISBLANK(L269)*1+ISBLANK(M269)*1+ISBLANK(N269)*1+ISBLANK(O269)*1)&gt;0,"Missing Data","OK")</f>
        <v>OK</v>
      </c>
      <c r="V269" s="0" t="str">
        <f aca="false">IF(T269&gt;=6,"High Risk",IF(T269&gt;=3,"Medium Risk","Low Risk"))</f>
        <v>Medium Risk</v>
      </c>
    </row>
    <row r="270" customFormat="false" ht="12.8" hidden="false" customHeight="false" outlineLevel="0" collapsed="false">
      <c r="A270" s="1" t="s">
        <v>300</v>
      </c>
      <c r="B270" s="1" t="s">
        <v>29</v>
      </c>
      <c r="C270" s="1" t="s">
        <v>24</v>
      </c>
      <c r="D270" s="1" t="n">
        <v>40</v>
      </c>
      <c r="E270" s="1" t="n">
        <v>24</v>
      </c>
      <c r="F270" s="4" t="n">
        <v>44203</v>
      </c>
      <c r="G270" s="1" t="s">
        <v>25</v>
      </c>
      <c r="H270" s="1" t="n">
        <v>1</v>
      </c>
      <c r="I270" s="1" t="n">
        <v>13.5</v>
      </c>
      <c r="J270" s="1" t="n">
        <v>0</v>
      </c>
      <c r="K270" s="1" t="n">
        <v>0</v>
      </c>
      <c r="L270" s="1" t="n">
        <v>6</v>
      </c>
      <c r="M270" s="1" t="n">
        <v>1</v>
      </c>
      <c r="N270" s="1" t="n">
        <v>960</v>
      </c>
      <c r="O270" s="1" t="n">
        <v>0</v>
      </c>
      <c r="Q270" s="4" t="n">
        <v>44933</v>
      </c>
      <c r="R270" s="0" t="n">
        <f aca="false">IF(ISBLANK(F270),"Missing",IFERROR(YEAR(F270),"Missing"))</f>
        <v>2021</v>
      </c>
      <c r="S270" s="0" t="str">
        <f aca="false">IF(ISBLANK(E270),"Missing",IF(E270&lt;6,"0-6mo",IF(E270&lt;12,"6-12mo",IF(E270&lt;24,"12-24mo","24mo+"))))</f>
        <v>24mo+</v>
      </c>
      <c r="T270" s="0" t="n">
        <f aca="false">IF(ISBLANK(C270),0,IF(C270="Month-to-month",2,IF(C270="One year",1,0)))+IF(ISBLANK(I270),0,IF(I270&lt;40,2,IF(I270&lt;55,1,0)))+IF(ISBLANK(M270),0,IF(M270=1,3,0))+IF(ISBLANK(L270),0,IF(L270&gt;=2,1,0))+IF(ISBLANK(E270),0,IF(E270&lt;12,1,0))</f>
        <v>8</v>
      </c>
      <c r="U270" s="0" t="str">
        <f aca="false">IF((ISBLANK(B270)*1+ISBLANK(C270)*1+ISBLANK(D270)*1+ISBLANK(E270)*1+ISBLANK(F270)*1+ISBLANK(I270)*1+ISBLANK(J270)*1+ISBLANK(K270)*1+ISBLANK(L270)*1+ISBLANK(M270)*1+ISBLANK(N270)*1+ISBLANK(O270)*1)&gt;0,"Missing Data","OK")</f>
        <v>OK</v>
      </c>
      <c r="V270" s="0" t="str">
        <f aca="false">IF(T270&gt;=6,"High Risk",IF(T270&gt;=3,"Medium Risk","Low Risk"))</f>
        <v>High Risk</v>
      </c>
    </row>
    <row r="271" customFormat="false" ht="12.8" hidden="false" customHeight="false" outlineLevel="0" collapsed="false">
      <c r="A271" s="1" t="s">
        <v>301</v>
      </c>
      <c r="B271" s="1" t="s">
        <v>29</v>
      </c>
      <c r="C271" s="1" t="s">
        <v>24</v>
      </c>
      <c r="D271" s="1" t="n">
        <v>39.87</v>
      </c>
      <c r="E271" s="1" t="n">
        <v>8</v>
      </c>
      <c r="F271" s="4" t="n">
        <v>44204</v>
      </c>
      <c r="G271" s="1" t="s">
        <v>27</v>
      </c>
      <c r="H271" s="1" t="n">
        <v>1</v>
      </c>
      <c r="I271" s="1" t="n">
        <v>39.7</v>
      </c>
      <c r="J271" s="1" t="n">
        <v>8</v>
      </c>
      <c r="K271" s="1" t="n">
        <v>4</v>
      </c>
      <c r="L271" s="1" t="n">
        <v>3</v>
      </c>
      <c r="M271" s="1" t="n">
        <v>0</v>
      </c>
      <c r="N271" s="1" t="n">
        <v>318.96</v>
      </c>
      <c r="O271" s="1" t="n">
        <v>0</v>
      </c>
      <c r="Q271" s="4" t="n">
        <v>44447</v>
      </c>
      <c r="R271" s="0" t="n">
        <f aca="false">IF(ISBLANK(F271),"Missing",IFERROR(YEAR(F271),"Missing"))</f>
        <v>2021</v>
      </c>
      <c r="S271" s="0" t="str">
        <f aca="false">IF(ISBLANK(E271),"Missing",IF(E271&lt;6,"0-6mo",IF(E271&lt;12,"6-12mo",IF(E271&lt;24,"12-24mo","24mo+"))))</f>
        <v>6-12mo</v>
      </c>
      <c r="T271" s="0" t="n">
        <f aca="false">IF(ISBLANK(C271),0,IF(C271="Month-to-month",2,IF(C271="One year",1,0)))+IF(ISBLANK(I271),0,IF(I271&lt;40,2,IF(I271&lt;55,1,0)))+IF(ISBLANK(M271),0,IF(M271=1,3,0))+IF(ISBLANK(L271),0,IF(L271&gt;=2,1,0))+IF(ISBLANK(E271),0,IF(E271&lt;12,1,0))</f>
        <v>6</v>
      </c>
      <c r="U271" s="0" t="str">
        <f aca="false">IF((ISBLANK(B271)*1+ISBLANK(C271)*1+ISBLANK(D271)*1+ISBLANK(E271)*1+ISBLANK(F271)*1+ISBLANK(I271)*1+ISBLANK(J271)*1+ISBLANK(K271)*1+ISBLANK(L271)*1+ISBLANK(M271)*1+ISBLANK(N271)*1+ISBLANK(O271)*1)&gt;0,"Missing Data","OK")</f>
        <v>OK</v>
      </c>
      <c r="V271" s="0" t="str">
        <f aca="false">IF(T271&gt;=6,"High Risk",IF(T271&gt;=3,"Medium Risk","Low Risk"))</f>
        <v>High Risk</v>
      </c>
    </row>
    <row r="272" customFormat="false" ht="12.8" hidden="false" customHeight="false" outlineLevel="0" collapsed="false">
      <c r="A272" s="1" t="s">
        <v>302</v>
      </c>
      <c r="B272" s="1" t="s">
        <v>36</v>
      </c>
      <c r="C272" s="1" t="s">
        <v>24</v>
      </c>
      <c r="D272" s="1" t="n">
        <v>11.77</v>
      </c>
      <c r="E272" s="1" t="n">
        <v>29</v>
      </c>
      <c r="F272" s="4" t="n">
        <v>44206</v>
      </c>
      <c r="G272" s="1" t="s">
        <v>25</v>
      </c>
      <c r="H272" s="1" t="n">
        <v>1</v>
      </c>
      <c r="I272" s="1" t="n">
        <v>100</v>
      </c>
      <c r="J272" s="1" t="n">
        <v>30</v>
      </c>
      <c r="K272" s="1" t="n">
        <v>10</v>
      </c>
      <c r="L272" s="1" t="n">
        <v>0</v>
      </c>
      <c r="M272" s="1" t="n">
        <v>0</v>
      </c>
      <c r="N272" s="1" t="n">
        <v>341.33</v>
      </c>
      <c r="O272" s="1" t="n">
        <v>0</v>
      </c>
      <c r="Q272" s="4" t="n">
        <v>45088</v>
      </c>
      <c r="R272" s="0" t="n">
        <f aca="false">IF(ISBLANK(F272),"Missing",IFERROR(YEAR(F272),"Missing"))</f>
        <v>2021</v>
      </c>
      <c r="S272" s="0" t="str">
        <f aca="false">IF(ISBLANK(E272),"Missing",IF(E272&lt;6,"0-6mo",IF(E272&lt;12,"6-12mo",IF(E272&lt;24,"12-24mo","24mo+"))))</f>
        <v>24mo+</v>
      </c>
      <c r="T272" s="0" t="n">
        <f aca="false">IF(ISBLANK(C272),0,IF(C272="Month-to-month",2,IF(C272="One year",1,0)))+IF(ISBLANK(I272),0,IF(I272&lt;40,2,IF(I272&lt;55,1,0)))+IF(ISBLANK(M272),0,IF(M272=1,3,0))+IF(ISBLANK(L272),0,IF(L272&gt;=2,1,0))+IF(ISBLANK(E272),0,IF(E272&lt;12,1,0))</f>
        <v>2</v>
      </c>
      <c r="U272" s="0" t="str">
        <f aca="false">IF((ISBLANK(B272)*1+ISBLANK(C272)*1+ISBLANK(D272)*1+ISBLANK(E272)*1+ISBLANK(F272)*1+ISBLANK(I272)*1+ISBLANK(J272)*1+ISBLANK(K272)*1+ISBLANK(L272)*1+ISBLANK(M272)*1+ISBLANK(N272)*1+ISBLANK(O272)*1)&gt;0,"Missing Data","OK")</f>
        <v>OK</v>
      </c>
      <c r="V272" s="0" t="str">
        <f aca="false">IF(T272&gt;=6,"High Risk",IF(T272&gt;=3,"Medium Risk","Low Risk"))</f>
        <v>Low Risk</v>
      </c>
    </row>
    <row r="273" customFormat="false" ht="12.8" hidden="false" customHeight="false" outlineLevel="0" collapsed="false">
      <c r="A273" s="1" t="s">
        <v>303</v>
      </c>
      <c r="B273" s="1" t="s">
        <v>29</v>
      </c>
      <c r="C273" s="1" t="s">
        <v>24</v>
      </c>
      <c r="D273" s="1" t="n">
        <v>40.27</v>
      </c>
      <c r="E273" s="1" t="n">
        <v>26</v>
      </c>
      <c r="F273" s="4" t="n">
        <v>44209</v>
      </c>
      <c r="G273" s="1" t="s">
        <v>30</v>
      </c>
      <c r="H273" s="1" t="n">
        <v>1</v>
      </c>
      <c r="I273" s="1" t="n">
        <v>57.5</v>
      </c>
      <c r="J273" s="1" t="n">
        <v>12</v>
      </c>
      <c r="K273" s="1" t="n">
        <v>4</v>
      </c>
      <c r="L273" s="1" t="n">
        <v>3</v>
      </c>
      <c r="M273" s="1" t="n">
        <v>0</v>
      </c>
      <c r="N273" s="1" t="n">
        <v>1047.02</v>
      </c>
      <c r="O273" s="1" t="n">
        <v>0</v>
      </c>
      <c r="Q273" s="4" t="n">
        <v>45000</v>
      </c>
      <c r="R273" s="0" t="n">
        <f aca="false">IF(ISBLANK(F273),"Missing",IFERROR(YEAR(F273),"Missing"))</f>
        <v>2021</v>
      </c>
      <c r="S273" s="0" t="str">
        <f aca="false">IF(ISBLANK(E273),"Missing",IF(E273&lt;6,"0-6mo",IF(E273&lt;12,"6-12mo",IF(E273&lt;24,"12-24mo","24mo+"))))</f>
        <v>24mo+</v>
      </c>
      <c r="T273" s="0" t="n">
        <f aca="false">IF(ISBLANK(C273),0,IF(C273="Month-to-month",2,IF(C273="One year",1,0)))+IF(ISBLANK(I273),0,IF(I273&lt;40,2,IF(I273&lt;55,1,0)))+IF(ISBLANK(M273),0,IF(M273=1,3,0))+IF(ISBLANK(L273),0,IF(L273&gt;=2,1,0))+IF(ISBLANK(E273),0,IF(E273&lt;12,1,0))</f>
        <v>3</v>
      </c>
      <c r="U273" s="0" t="str">
        <f aca="false">IF((ISBLANK(B273)*1+ISBLANK(C273)*1+ISBLANK(D273)*1+ISBLANK(E273)*1+ISBLANK(F273)*1+ISBLANK(I273)*1+ISBLANK(J273)*1+ISBLANK(K273)*1+ISBLANK(L273)*1+ISBLANK(M273)*1+ISBLANK(N273)*1+ISBLANK(O273)*1)&gt;0,"Missing Data","OK")</f>
        <v>OK</v>
      </c>
      <c r="V273" s="0" t="str">
        <f aca="false">IF(T273&gt;=6,"High Risk",IF(T273&gt;=3,"Medium Risk","Low Risk"))</f>
        <v>Medium Risk</v>
      </c>
    </row>
    <row r="274" customFormat="false" ht="12.8" hidden="false" customHeight="false" outlineLevel="0" collapsed="false">
      <c r="A274" s="1" t="s">
        <v>304</v>
      </c>
      <c r="B274" s="1" t="s">
        <v>36</v>
      </c>
      <c r="C274" s="1" t="s">
        <v>34</v>
      </c>
      <c r="D274" s="1" t="n">
        <v>11.05</v>
      </c>
      <c r="E274" s="1" t="n">
        <v>14</v>
      </c>
      <c r="F274" s="4" t="n">
        <v>44209</v>
      </c>
      <c r="G274" s="1" t="s">
        <v>25</v>
      </c>
      <c r="H274" s="1" t="n">
        <v>1</v>
      </c>
      <c r="I274" s="1" t="n">
        <v>80.7</v>
      </c>
      <c r="J274" s="1" t="n">
        <v>23</v>
      </c>
      <c r="K274" s="1" t="n">
        <v>4</v>
      </c>
      <c r="L274" s="1" t="n">
        <v>3</v>
      </c>
      <c r="M274" s="1" t="n">
        <v>0</v>
      </c>
      <c r="N274" s="1" t="n">
        <v>154.7</v>
      </c>
      <c r="O274" s="1" t="n">
        <v>0</v>
      </c>
      <c r="Q274" s="4" t="n">
        <v>44635</v>
      </c>
      <c r="R274" s="0" t="n">
        <f aca="false">IF(ISBLANK(F274),"Missing",IFERROR(YEAR(F274),"Missing"))</f>
        <v>2021</v>
      </c>
      <c r="S274" s="0" t="str">
        <f aca="false">IF(ISBLANK(E274),"Missing",IF(E274&lt;6,"0-6mo",IF(E274&lt;12,"6-12mo",IF(E274&lt;24,"12-24mo","24mo+"))))</f>
        <v>12-24mo</v>
      </c>
      <c r="T274" s="0" t="n">
        <f aca="false">IF(ISBLANK(C274),0,IF(C274="Month-to-month",2,IF(C274="One year",1,0)))+IF(ISBLANK(I274),0,IF(I274&lt;40,2,IF(I274&lt;55,1,0)))+IF(ISBLANK(M274),0,IF(M274=1,3,0))+IF(ISBLANK(L274),0,IF(L274&gt;=2,1,0))+IF(ISBLANK(E274),0,IF(E274&lt;12,1,0))</f>
        <v>2</v>
      </c>
      <c r="U274" s="0" t="str">
        <f aca="false">IF((ISBLANK(B274)*1+ISBLANK(C274)*1+ISBLANK(D274)*1+ISBLANK(E274)*1+ISBLANK(F274)*1+ISBLANK(I274)*1+ISBLANK(J274)*1+ISBLANK(K274)*1+ISBLANK(L274)*1+ISBLANK(M274)*1+ISBLANK(N274)*1+ISBLANK(O274)*1)&gt;0,"Missing Data","OK")</f>
        <v>OK</v>
      </c>
      <c r="V274" s="0" t="str">
        <f aca="false">IF(T274&gt;=6,"High Risk",IF(T274&gt;=3,"Medium Risk","Low Risk"))</f>
        <v>Low Risk</v>
      </c>
    </row>
    <row r="275" customFormat="false" ht="12.8" hidden="false" customHeight="false" outlineLevel="0" collapsed="false">
      <c r="A275" s="1" t="s">
        <v>305</v>
      </c>
      <c r="B275" s="1" t="s">
        <v>23</v>
      </c>
      <c r="C275" s="1" t="s">
        <v>51</v>
      </c>
      <c r="D275" s="1" t="n">
        <v>20.75</v>
      </c>
      <c r="E275" s="1" t="n">
        <v>54</v>
      </c>
      <c r="F275" s="4" t="n">
        <v>44209</v>
      </c>
      <c r="G275" s="1" t="s">
        <v>25</v>
      </c>
      <c r="H275" s="1" t="n">
        <v>0</v>
      </c>
      <c r="I275" s="1" t="n">
        <v>66.1</v>
      </c>
      <c r="J275" s="1" t="n">
        <v>26</v>
      </c>
      <c r="K275" s="1" t="n">
        <v>6</v>
      </c>
      <c r="L275" s="1" t="n">
        <v>3</v>
      </c>
      <c r="M275" s="1" t="n">
        <v>0</v>
      </c>
      <c r="N275" s="1" t="n">
        <v>1120.5</v>
      </c>
      <c r="O275" s="1" t="n">
        <v>0</v>
      </c>
      <c r="Q275" s="4" t="n">
        <v>45852</v>
      </c>
      <c r="R275" s="0" t="n">
        <f aca="false">IF(ISBLANK(F275),"Missing",IFERROR(YEAR(F275),"Missing"))</f>
        <v>2021</v>
      </c>
      <c r="S275" s="0" t="str">
        <f aca="false">IF(ISBLANK(E275),"Missing",IF(E275&lt;6,"0-6mo",IF(E275&lt;12,"6-12mo",IF(E275&lt;24,"12-24mo","24mo+"))))</f>
        <v>24mo+</v>
      </c>
      <c r="T275" s="0" t="n">
        <f aca="false">IF(ISBLANK(C275),0,IF(C275="Month-to-month",2,IF(C275="One year",1,0)))+IF(ISBLANK(I275),0,IF(I275&lt;40,2,IF(I275&lt;55,1,0)))+IF(ISBLANK(M275),0,IF(M275=1,3,0))+IF(ISBLANK(L275),0,IF(L275&gt;=2,1,0))+IF(ISBLANK(E275),0,IF(E275&lt;12,1,0))</f>
        <v>1</v>
      </c>
      <c r="U275" s="0" t="str">
        <f aca="false">IF((ISBLANK(B275)*1+ISBLANK(C275)*1+ISBLANK(D275)*1+ISBLANK(E275)*1+ISBLANK(F275)*1+ISBLANK(I275)*1+ISBLANK(J275)*1+ISBLANK(K275)*1+ISBLANK(L275)*1+ISBLANK(M275)*1+ISBLANK(N275)*1+ISBLANK(O275)*1)&gt;0,"Missing Data","OK")</f>
        <v>OK</v>
      </c>
      <c r="V275" s="0" t="str">
        <f aca="false">IF(T275&gt;=6,"High Risk",IF(T275&gt;=3,"Medium Risk","Low Risk"))</f>
        <v>Low Risk</v>
      </c>
    </row>
    <row r="276" customFormat="false" ht="12.8" hidden="false" customHeight="false" outlineLevel="0" collapsed="false">
      <c r="A276" s="1" t="s">
        <v>306</v>
      </c>
      <c r="B276" s="1" t="s">
        <v>23</v>
      </c>
      <c r="C276" s="1" t="s">
        <v>34</v>
      </c>
      <c r="D276" s="1" t="n">
        <v>20.94</v>
      </c>
      <c r="E276" s="1" t="n">
        <v>5</v>
      </c>
      <c r="F276" s="4" t="n">
        <v>44209</v>
      </c>
      <c r="G276" s="1" t="s">
        <v>39</v>
      </c>
      <c r="H276" s="1" t="n">
        <v>0</v>
      </c>
      <c r="I276" s="1" t="n">
        <v>77.7</v>
      </c>
      <c r="J276" s="1" t="n">
        <v>16</v>
      </c>
      <c r="K276" s="1" t="n">
        <v>9</v>
      </c>
      <c r="L276" s="1" t="n">
        <v>1</v>
      </c>
      <c r="M276" s="1" t="n">
        <v>1</v>
      </c>
      <c r="N276" s="1" t="n">
        <v>104.7</v>
      </c>
      <c r="O276" s="1" t="n">
        <v>0</v>
      </c>
      <c r="Q276" s="4" t="n">
        <v>44361</v>
      </c>
      <c r="R276" s="0" t="n">
        <f aca="false">IF(ISBLANK(F276),"Missing",IFERROR(YEAR(F276),"Missing"))</f>
        <v>2021</v>
      </c>
      <c r="S276" s="0" t="str">
        <f aca="false">IF(ISBLANK(E276),"Missing",IF(E276&lt;6,"0-6mo",IF(E276&lt;12,"6-12mo",IF(E276&lt;24,"12-24mo","24mo+"))))</f>
        <v>0-6mo</v>
      </c>
      <c r="T276" s="0" t="n">
        <f aca="false">IF(ISBLANK(C276),0,IF(C276="Month-to-month",2,IF(C276="One year",1,0)))+IF(ISBLANK(I276),0,IF(I276&lt;40,2,IF(I276&lt;55,1,0)))+IF(ISBLANK(M276),0,IF(M276=1,3,0))+IF(ISBLANK(L276),0,IF(L276&gt;=2,1,0))+IF(ISBLANK(E276),0,IF(E276&lt;12,1,0))</f>
        <v>5</v>
      </c>
      <c r="U276" s="0" t="str">
        <f aca="false">IF((ISBLANK(B276)*1+ISBLANK(C276)*1+ISBLANK(D276)*1+ISBLANK(E276)*1+ISBLANK(F276)*1+ISBLANK(I276)*1+ISBLANK(J276)*1+ISBLANK(K276)*1+ISBLANK(L276)*1+ISBLANK(M276)*1+ISBLANK(N276)*1+ISBLANK(O276)*1)&gt;0,"Missing Data","OK")</f>
        <v>OK</v>
      </c>
      <c r="V276" s="0" t="str">
        <f aca="false">IF(T276&gt;=6,"High Risk",IF(T276&gt;=3,"Medium Risk","Low Risk"))</f>
        <v>Medium Risk</v>
      </c>
    </row>
    <row r="277" customFormat="false" ht="12.8" hidden="false" customHeight="false" outlineLevel="0" collapsed="false">
      <c r="A277" s="1" t="s">
        <v>307</v>
      </c>
      <c r="B277" s="1" t="s">
        <v>29</v>
      </c>
      <c r="C277" s="1" t="s">
        <v>34</v>
      </c>
      <c r="D277" s="1" t="n">
        <v>39.66</v>
      </c>
      <c r="E277" s="1" t="n">
        <v>11</v>
      </c>
      <c r="F277" s="4" t="n">
        <v>44210</v>
      </c>
      <c r="G277" s="1" t="s">
        <v>39</v>
      </c>
      <c r="H277" s="1" t="n">
        <v>1</v>
      </c>
      <c r="I277" s="1" t="n">
        <v>70.9</v>
      </c>
      <c r="J277" s="1" t="n">
        <v>23</v>
      </c>
      <c r="K277" s="1" t="n">
        <v>7</v>
      </c>
      <c r="L277" s="1" t="n">
        <v>3</v>
      </c>
      <c r="M277" s="1" t="n">
        <v>0</v>
      </c>
      <c r="N277" s="1" t="n">
        <v>436.26</v>
      </c>
      <c r="O277" s="1" t="n">
        <v>0</v>
      </c>
      <c r="Q277" s="4" t="n">
        <v>44544</v>
      </c>
      <c r="R277" s="0" t="n">
        <f aca="false">IF(ISBLANK(F277),"Missing",IFERROR(YEAR(F277),"Missing"))</f>
        <v>2021</v>
      </c>
      <c r="S277" s="0" t="str">
        <f aca="false">IF(ISBLANK(E277),"Missing",IF(E277&lt;6,"0-6mo",IF(E277&lt;12,"6-12mo",IF(E277&lt;24,"12-24mo","24mo+"))))</f>
        <v>6-12mo</v>
      </c>
      <c r="T277" s="0" t="n">
        <f aca="false">IF(ISBLANK(C277),0,IF(C277="Month-to-month",2,IF(C277="One year",1,0)))+IF(ISBLANK(I277),0,IF(I277&lt;40,2,IF(I277&lt;55,1,0)))+IF(ISBLANK(M277),0,IF(M277=1,3,0))+IF(ISBLANK(L277),0,IF(L277&gt;=2,1,0))+IF(ISBLANK(E277),0,IF(E277&lt;12,1,0))</f>
        <v>3</v>
      </c>
      <c r="U277" s="0" t="str">
        <f aca="false">IF((ISBLANK(B277)*1+ISBLANK(C277)*1+ISBLANK(D277)*1+ISBLANK(E277)*1+ISBLANK(F277)*1+ISBLANK(I277)*1+ISBLANK(J277)*1+ISBLANK(K277)*1+ISBLANK(L277)*1+ISBLANK(M277)*1+ISBLANK(N277)*1+ISBLANK(O277)*1)&gt;0,"Missing Data","OK")</f>
        <v>OK</v>
      </c>
      <c r="V277" s="0" t="str">
        <f aca="false">IF(T277&gt;=6,"High Risk",IF(T277&gt;=3,"Medium Risk","Low Risk"))</f>
        <v>Medium Risk</v>
      </c>
    </row>
    <row r="278" customFormat="false" ht="12.8" hidden="false" customHeight="false" outlineLevel="0" collapsed="false">
      <c r="A278" s="1" t="s">
        <v>308</v>
      </c>
      <c r="B278" s="1" t="s">
        <v>36</v>
      </c>
      <c r="C278" s="1" t="s">
        <v>34</v>
      </c>
      <c r="D278" s="1" t="n">
        <v>9.54</v>
      </c>
      <c r="E278" s="1" t="n">
        <v>2</v>
      </c>
      <c r="F278" s="4" t="n">
        <v>44211</v>
      </c>
      <c r="G278" s="1" t="s">
        <v>39</v>
      </c>
      <c r="H278" s="1" t="n">
        <v>1</v>
      </c>
      <c r="I278" s="1" t="n">
        <v>29.9</v>
      </c>
      <c r="J278" s="1" t="n">
        <v>16</v>
      </c>
      <c r="K278" s="1" t="n">
        <v>3</v>
      </c>
      <c r="L278" s="1" t="n">
        <v>1</v>
      </c>
      <c r="M278" s="1" t="n">
        <v>0</v>
      </c>
      <c r="N278" s="1" t="n">
        <v>19.08</v>
      </c>
      <c r="O278" s="1" t="n">
        <v>0</v>
      </c>
      <c r="Q278" s="4" t="n">
        <v>44271</v>
      </c>
      <c r="R278" s="0" t="n">
        <f aca="false">IF(ISBLANK(F278),"Missing",IFERROR(YEAR(F278),"Missing"))</f>
        <v>2021</v>
      </c>
      <c r="S278" s="0" t="str">
        <f aca="false">IF(ISBLANK(E278),"Missing",IF(E278&lt;6,"0-6mo",IF(E278&lt;12,"6-12mo",IF(E278&lt;24,"12-24mo","24mo+"))))</f>
        <v>0-6mo</v>
      </c>
      <c r="T278" s="0" t="n">
        <f aca="false">IF(ISBLANK(C278),0,IF(C278="Month-to-month",2,IF(C278="One year",1,0)))+IF(ISBLANK(I278),0,IF(I278&lt;40,2,IF(I278&lt;55,1,0)))+IF(ISBLANK(M278),0,IF(M278=1,3,0))+IF(ISBLANK(L278),0,IF(L278&gt;=2,1,0))+IF(ISBLANK(E278),0,IF(E278&lt;12,1,0))</f>
        <v>4</v>
      </c>
      <c r="U278" s="0" t="str">
        <f aca="false">IF((ISBLANK(B278)*1+ISBLANK(C278)*1+ISBLANK(D278)*1+ISBLANK(E278)*1+ISBLANK(F278)*1+ISBLANK(I278)*1+ISBLANK(J278)*1+ISBLANK(K278)*1+ISBLANK(L278)*1+ISBLANK(M278)*1+ISBLANK(N278)*1+ISBLANK(O278)*1)&gt;0,"Missing Data","OK")</f>
        <v>OK</v>
      </c>
      <c r="V278" s="0" t="str">
        <f aca="false">IF(T278&gt;=6,"High Risk",IF(T278&gt;=3,"Medium Risk","Low Risk"))</f>
        <v>Medium Risk</v>
      </c>
    </row>
    <row r="279" customFormat="false" ht="12.8" hidden="false" customHeight="false" outlineLevel="0" collapsed="false">
      <c r="A279" s="1" t="s">
        <v>309</v>
      </c>
      <c r="B279" s="1" t="s">
        <v>36</v>
      </c>
      <c r="C279" s="1" t="s">
        <v>24</v>
      </c>
      <c r="D279" s="1" t="n">
        <v>9.32</v>
      </c>
      <c r="E279" s="1" t="n">
        <v>39</v>
      </c>
      <c r="F279" s="4" t="n">
        <v>44214</v>
      </c>
      <c r="G279" s="1" t="s">
        <v>30</v>
      </c>
      <c r="H279" s="1" t="n">
        <v>1</v>
      </c>
      <c r="I279" s="1" t="n">
        <v>29.3</v>
      </c>
      <c r="J279" s="1" t="n">
        <v>8</v>
      </c>
      <c r="K279" s="1" t="n">
        <v>6</v>
      </c>
      <c r="L279" s="1" t="n">
        <v>0</v>
      </c>
      <c r="M279" s="1" t="n">
        <v>0</v>
      </c>
      <c r="N279" s="1" t="n">
        <v>363.48</v>
      </c>
      <c r="O279" s="1" t="n">
        <v>0</v>
      </c>
      <c r="Q279" s="4" t="n">
        <v>45401</v>
      </c>
      <c r="R279" s="0" t="n">
        <f aca="false">IF(ISBLANK(F279),"Missing",IFERROR(YEAR(F279),"Missing"))</f>
        <v>2021</v>
      </c>
      <c r="S279" s="0" t="str">
        <f aca="false">IF(ISBLANK(E279),"Missing",IF(E279&lt;6,"0-6mo",IF(E279&lt;12,"6-12mo",IF(E279&lt;24,"12-24mo","24mo+"))))</f>
        <v>24mo+</v>
      </c>
      <c r="T279" s="0" t="n">
        <f aca="false">IF(ISBLANK(C279),0,IF(C279="Month-to-month",2,IF(C279="One year",1,0)))+IF(ISBLANK(I279),0,IF(I279&lt;40,2,IF(I279&lt;55,1,0)))+IF(ISBLANK(M279),0,IF(M279=1,3,0))+IF(ISBLANK(L279),0,IF(L279&gt;=2,1,0))+IF(ISBLANK(E279),0,IF(E279&lt;12,1,0))</f>
        <v>4</v>
      </c>
      <c r="U279" s="0" t="str">
        <f aca="false">IF((ISBLANK(B279)*1+ISBLANK(C279)*1+ISBLANK(D279)*1+ISBLANK(E279)*1+ISBLANK(F279)*1+ISBLANK(I279)*1+ISBLANK(J279)*1+ISBLANK(K279)*1+ISBLANK(L279)*1+ISBLANK(M279)*1+ISBLANK(N279)*1+ISBLANK(O279)*1)&gt;0,"Missing Data","OK")</f>
        <v>OK</v>
      </c>
      <c r="V279" s="0" t="str">
        <f aca="false">IF(T279&gt;=6,"High Risk",IF(T279&gt;=3,"Medium Risk","Low Risk"))</f>
        <v>Medium Risk</v>
      </c>
    </row>
    <row r="280" customFormat="false" ht="12.8" hidden="false" customHeight="false" outlineLevel="0" collapsed="false">
      <c r="A280" s="1" t="s">
        <v>310</v>
      </c>
      <c r="B280" s="1" t="s">
        <v>36</v>
      </c>
      <c r="C280" s="1" t="s">
        <v>34</v>
      </c>
      <c r="D280" s="1" t="n">
        <v>10.49</v>
      </c>
      <c r="E280" s="1" t="n">
        <v>4</v>
      </c>
      <c r="F280" s="4" t="n">
        <v>44215</v>
      </c>
      <c r="G280" s="1" t="s">
        <v>39</v>
      </c>
      <c r="H280" s="1" t="n">
        <v>1</v>
      </c>
      <c r="I280" s="1" t="n">
        <v>41.6</v>
      </c>
      <c r="J280" s="1" t="n">
        <v>10</v>
      </c>
      <c r="K280" s="1" t="n">
        <v>3</v>
      </c>
      <c r="L280" s="1" t="n">
        <v>3</v>
      </c>
      <c r="M280" s="1" t="n">
        <v>0</v>
      </c>
      <c r="N280" s="1" t="n">
        <v>41.96</v>
      </c>
      <c r="O280" s="1" t="n">
        <v>1</v>
      </c>
      <c r="P280" s="4" t="n">
        <v>44336</v>
      </c>
      <c r="Q280" s="4" t="n">
        <v>44336</v>
      </c>
      <c r="R280" s="0" t="n">
        <f aca="false">IF(ISBLANK(F280),"Missing",IFERROR(YEAR(F280),"Missing"))</f>
        <v>2021</v>
      </c>
      <c r="S280" s="0" t="str">
        <f aca="false">IF(ISBLANK(E280),"Missing",IF(E280&lt;6,"0-6mo",IF(E280&lt;12,"6-12mo",IF(E280&lt;24,"12-24mo","24mo+"))))</f>
        <v>0-6mo</v>
      </c>
      <c r="T280" s="0" t="n">
        <f aca="false">IF(ISBLANK(C280),0,IF(C280="Month-to-month",2,IF(C280="One year",1,0)))+IF(ISBLANK(I280),0,IF(I280&lt;40,2,IF(I280&lt;55,1,0)))+IF(ISBLANK(M280),0,IF(M280=1,3,0))+IF(ISBLANK(L280),0,IF(L280&gt;=2,1,0))+IF(ISBLANK(E280),0,IF(E280&lt;12,1,0))</f>
        <v>4</v>
      </c>
      <c r="U280" s="0" t="str">
        <f aca="false">IF((ISBLANK(B280)*1+ISBLANK(C280)*1+ISBLANK(D280)*1+ISBLANK(E280)*1+ISBLANK(F280)*1+ISBLANK(I280)*1+ISBLANK(J280)*1+ISBLANK(K280)*1+ISBLANK(L280)*1+ISBLANK(M280)*1+ISBLANK(N280)*1+ISBLANK(O280)*1)&gt;0,"Missing Data","OK")</f>
        <v>OK</v>
      </c>
      <c r="V280" s="0" t="str">
        <f aca="false">IF(T280&gt;=6,"High Risk",IF(T280&gt;=3,"Medium Risk","Low Risk"))</f>
        <v>Medium Risk</v>
      </c>
    </row>
    <row r="281" customFormat="false" ht="12.8" hidden="false" customHeight="false" outlineLevel="0" collapsed="false">
      <c r="A281" s="1" t="s">
        <v>311</v>
      </c>
      <c r="B281" s="1" t="s">
        <v>36</v>
      </c>
      <c r="C281" s="1" t="s">
        <v>24</v>
      </c>
      <c r="D281" s="1" t="n">
        <v>8.4</v>
      </c>
      <c r="E281" s="1" t="n">
        <v>21</v>
      </c>
      <c r="F281" s="4" t="n">
        <v>44216</v>
      </c>
      <c r="G281" s="1" t="s">
        <v>25</v>
      </c>
      <c r="H281" s="1" t="n">
        <v>1</v>
      </c>
      <c r="I281" s="1" t="n">
        <v>38.1</v>
      </c>
      <c r="J281" s="1" t="n">
        <v>14</v>
      </c>
      <c r="K281" s="1" t="n">
        <v>3</v>
      </c>
      <c r="L281" s="1" t="n">
        <v>0</v>
      </c>
      <c r="M281" s="1" t="n">
        <v>0</v>
      </c>
      <c r="N281" s="1" t="n">
        <v>176.4</v>
      </c>
      <c r="O281" s="1" t="n">
        <v>1</v>
      </c>
      <c r="P281" s="4" t="n">
        <v>44855</v>
      </c>
      <c r="Q281" s="4" t="n">
        <v>44855</v>
      </c>
      <c r="R281" s="0" t="n">
        <f aca="false">IF(ISBLANK(F281),"Missing",IFERROR(YEAR(F281),"Missing"))</f>
        <v>2021</v>
      </c>
      <c r="S281" s="0" t="str">
        <f aca="false">IF(ISBLANK(E281),"Missing",IF(E281&lt;6,"0-6mo",IF(E281&lt;12,"6-12mo",IF(E281&lt;24,"12-24mo","24mo+"))))</f>
        <v>12-24mo</v>
      </c>
      <c r="T281" s="0" t="n">
        <f aca="false">IF(ISBLANK(C281),0,IF(C281="Month-to-month",2,IF(C281="One year",1,0)))+IF(ISBLANK(I281),0,IF(I281&lt;40,2,IF(I281&lt;55,1,0)))+IF(ISBLANK(M281),0,IF(M281=1,3,0))+IF(ISBLANK(L281),0,IF(L281&gt;=2,1,0))+IF(ISBLANK(E281),0,IF(E281&lt;12,1,0))</f>
        <v>4</v>
      </c>
      <c r="U281" s="0" t="str">
        <f aca="false">IF((ISBLANK(B281)*1+ISBLANK(C281)*1+ISBLANK(D281)*1+ISBLANK(E281)*1+ISBLANK(F281)*1+ISBLANK(I281)*1+ISBLANK(J281)*1+ISBLANK(K281)*1+ISBLANK(L281)*1+ISBLANK(M281)*1+ISBLANK(N281)*1+ISBLANK(O281)*1)&gt;0,"Missing Data","OK")</f>
        <v>OK</v>
      </c>
      <c r="V281" s="0" t="str">
        <f aca="false">IF(T281&gt;=6,"High Risk",IF(T281&gt;=3,"Medium Risk","Low Risk"))</f>
        <v>Medium Risk</v>
      </c>
    </row>
    <row r="282" customFormat="false" ht="12.8" hidden="false" customHeight="false" outlineLevel="0" collapsed="false">
      <c r="A282" s="1" t="s">
        <v>312</v>
      </c>
      <c r="B282" s="1" t="s">
        <v>23</v>
      </c>
      <c r="C282" s="1" t="s">
        <v>24</v>
      </c>
      <c r="D282" s="1" t="n">
        <v>21.11</v>
      </c>
      <c r="E282" s="1" t="n">
        <v>0</v>
      </c>
      <c r="F282" s="4" t="n">
        <v>44217</v>
      </c>
      <c r="G282" s="1" t="s">
        <v>39</v>
      </c>
      <c r="H282" s="1" t="n">
        <v>1</v>
      </c>
      <c r="I282" s="1" t="n">
        <v>46.6</v>
      </c>
      <c r="J282" s="1" t="n">
        <v>16</v>
      </c>
      <c r="K282" s="1" t="n">
        <v>6</v>
      </c>
      <c r="L282" s="1" t="n">
        <v>1</v>
      </c>
      <c r="M282" s="1" t="n">
        <v>1</v>
      </c>
      <c r="N282" s="1" t="n">
        <v>0</v>
      </c>
      <c r="O282" s="1" t="n">
        <v>0</v>
      </c>
      <c r="Q282" s="4" t="n">
        <v>44217</v>
      </c>
      <c r="R282" s="0" t="n">
        <f aca="false">IF(ISBLANK(F282),"Missing",IFERROR(YEAR(F282),"Missing"))</f>
        <v>2021</v>
      </c>
      <c r="S282" s="0" t="str">
        <f aca="false">IF(ISBLANK(E282),"Missing",IF(E282&lt;6,"0-6mo",IF(E282&lt;12,"6-12mo",IF(E282&lt;24,"12-24mo","24mo+"))))</f>
        <v>0-6mo</v>
      </c>
      <c r="T282" s="0" t="n">
        <f aca="false">IF(ISBLANK(C282),0,IF(C282="Month-to-month",2,IF(C282="One year",1,0)))+IF(ISBLANK(I282),0,IF(I282&lt;40,2,IF(I282&lt;55,1,0)))+IF(ISBLANK(M282),0,IF(M282=1,3,0))+IF(ISBLANK(L282),0,IF(L282&gt;=2,1,0))+IF(ISBLANK(E282),0,IF(E282&lt;12,1,0))</f>
        <v>7</v>
      </c>
      <c r="U282" s="0" t="str">
        <f aca="false">IF((ISBLANK(B282)*1+ISBLANK(C282)*1+ISBLANK(D282)*1+ISBLANK(E282)*1+ISBLANK(F282)*1+ISBLANK(I282)*1+ISBLANK(J282)*1+ISBLANK(K282)*1+ISBLANK(L282)*1+ISBLANK(M282)*1+ISBLANK(N282)*1+ISBLANK(O282)*1)&gt;0,"Missing Data","OK")</f>
        <v>OK</v>
      </c>
      <c r="V282" s="0" t="str">
        <f aca="false">IF(T282&gt;=6,"High Risk",IF(T282&gt;=3,"Medium Risk","Low Risk"))</f>
        <v>High Risk</v>
      </c>
    </row>
    <row r="283" customFormat="false" ht="12.8" hidden="false" customHeight="false" outlineLevel="0" collapsed="false">
      <c r="A283" s="1" t="s">
        <v>313</v>
      </c>
      <c r="B283" s="1" t="s">
        <v>23</v>
      </c>
      <c r="C283" s="1" t="s">
        <v>51</v>
      </c>
      <c r="D283" s="1" t="n">
        <v>21.25</v>
      </c>
      <c r="E283" s="1" t="n">
        <v>43</v>
      </c>
      <c r="F283" s="4" t="n">
        <v>44218</v>
      </c>
      <c r="G283" s="1" t="s">
        <v>39</v>
      </c>
      <c r="H283" s="1" t="n">
        <v>0</v>
      </c>
      <c r="I283" s="1" t="n">
        <v>74.2</v>
      </c>
      <c r="J283" s="1" t="n">
        <v>18</v>
      </c>
      <c r="K283" s="1" t="n">
        <v>8</v>
      </c>
      <c r="L283" s="1" t="n">
        <v>2</v>
      </c>
      <c r="M283" s="1" t="n">
        <v>1</v>
      </c>
      <c r="N283" s="1" t="n">
        <v>913.75</v>
      </c>
      <c r="O283" s="1" t="n">
        <v>0</v>
      </c>
      <c r="Q283" s="4" t="n">
        <v>45526</v>
      </c>
      <c r="R283" s="0" t="n">
        <f aca="false">IF(ISBLANK(F283),"Missing",IFERROR(YEAR(F283),"Missing"))</f>
        <v>2021</v>
      </c>
      <c r="S283" s="0" t="str">
        <f aca="false">IF(ISBLANK(E283),"Missing",IF(E283&lt;6,"0-6mo",IF(E283&lt;12,"6-12mo",IF(E283&lt;24,"12-24mo","24mo+"))))</f>
        <v>24mo+</v>
      </c>
      <c r="T283" s="0" t="n">
        <f aca="false">IF(ISBLANK(C283),0,IF(C283="Month-to-month",2,IF(C283="One year",1,0)))+IF(ISBLANK(I283),0,IF(I283&lt;40,2,IF(I283&lt;55,1,0)))+IF(ISBLANK(M283),0,IF(M283=1,3,0))+IF(ISBLANK(L283),0,IF(L283&gt;=2,1,0))+IF(ISBLANK(E283),0,IF(E283&lt;12,1,0))</f>
        <v>4</v>
      </c>
      <c r="U283" s="0" t="str">
        <f aca="false">IF((ISBLANK(B283)*1+ISBLANK(C283)*1+ISBLANK(D283)*1+ISBLANK(E283)*1+ISBLANK(F283)*1+ISBLANK(I283)*1+ISBLANK(J283)*1+ISBLANK(K283)*1+ISBLANK(L283)*1+ISBLANK(M283)*1+ISBLANK(N283)*1+ISBLANK(O283)*1)&gt;0,"Missing Data","OK")</f>
        <v>OK</v>
      </c>
      <c r="V283" s="0" t="str">
        <f aca="false">IF(T283&gt;=6,"High Risk",IF(T283&gt;=3,"Medium Risk","Low Risk"))</f>
        <v>Medium Risk</v>
      </c>
    </row>
    <row r="284" customFormat="false" ht="12.8" hidden="false" customHeight="false" outlineLevel="0" collapsed="false">
      <c r="A284" s="1" t="s">
        <v>314</v>
      </c>
      <c r="B284" s="1" t="s">
        <v>36</v>
      </c>
      <c r="C284" s="1" t="s">
        <v>24</v>
      </c>
      <c r="D284" s="1" t="n">
        <v>8.92</v>
      </c>
      <c r="E284" s="1" t="n">
        <v>13</v>
      </c>
      <c r="F284" s="4" t="n">
        <v>44219</v>
      </c>
      <c r="G284" s="1" t="s">
        <v>27</v>
      </c>
      <c r="H284" s="1" t="n">
        <v>0</v>
      </c>
      <c r="I284" s="1" t="n">
        <v>23.6</v>
      </c>
      <c r="J284" s="1" t="n">
        <v>6</v>
      </c>
      <c r="K284" s="1" t="n">
        <v>5</v>
      </c>
      <c r="L284" s="1" t="n">
        <v>2</v>
      </c>
      <c r="M284" s="1" t="n">
        <v>1</v>
      </c>
      <c r="N284" s="1" t="n">
        <v>115.96</v>
      </c>
      <c r="O284" s="1" t="n">
        <v>1</v>
      </c>
      <c r="P284" s="4" t="n">
        <v>44614</v>
      </c>
      <c r="Q284" s="4" t="n">
        <v>44614</v>
      </c>
      <c r="R284" s="0" t="n">
        <f aca="false">IF(ISBLANK(F284),"Missing",IFERROR(YEAR(F284),"Missing"))</f>
        <v>2021</v>
      </c>
      <c r="S284" s="0" t="str">
        <f aca="false">IF(ISBLANK(E284),"Missing",IF(E284&lt;6,"0-6mo",IF(E284&lt;12,"6-12mo",IF(E284&lt;24,"12-24mo","24mo+"))))</f>
        <v>12-24mo</v>
      </c>
      <c r="T284" s="0" t="n">
        <f aca="false">IF(ISBLANK(C284),0,IF(C284="Month-to-month",2,IF(C284="One year",1,0)))+IF(ISBLANK(I284),0,IF(I284&lt;40,2,IF(I284&lt;55,1,0)))+IF(ISBLANK(M284),0,IF(M284=1,3,0))+IF(ISBLANK(L284),0,IF(L284&gt;=2,1,0))+IF(ISBLANK(E284),0,IF(E284&lt;12,1,0))</f>
        <v>8</v>
      </c>
      <c r="U284" s="0" t="str">
        <f aca="false">IF((ISBLANK(B284)*1+ISBLANK(C284)*1+ISBLANK(D284)*1+ISBLANK(E284)*1+ISBLANK(F284)*1+ISBLANK(I284)*1+ISBLANK(J284)*1+ISBLANK(K284)*1+ISBLANK(L284)*1+ISBLANK(M284)*1+ISBLANK(N284)*1+ISBLANK(O284)*1)&gt;0,"Missing Data","OK")</f>
        <v>OK</v>
      </c>
      <c r="V284" s="0" t="str">
        <f aca="false">IF(T284&gt;=6,"High Risk",IF(T284&gt;=3,"Medium Risk","Low Risk"))</f>
        <v>High Risk</v>
      </c>
    </row>
    <row r="285" customFormat="false" ht="12.8" hidden="false" customHeight="false" outlineLevel="0" collapsed="false">
      <c r="A285" s="1" t="s">
        <v>315</v>
      </c>
      <c r="B285" s="1" t="s">
        <v>36</v>
      </c>
      <c r="C285" s="1" t="s">
        <v>24</v>
      </c>
      <c r="D285" s="1" t="n">
        <v>9.99</v>
      </c>
      <c r="E285" s="1" t="n">
        <v>16</v>
      </c>
      <c r="F285" s="4" t="n">
        <v>44219</v>
      </c>
      <c r="G285" s="1" t="s">
        <v>39</v>
      </c>
      <c r="H285" s="1" t="n">
        <v>1</v>
      </c>
      <c r="I285" s="1" t="n">
        <v>26.2</v>
      </c>
      <c r="J285" s="1" t="n">
        <v>7</v>
      </c>
      <c r="K285" s="1" t="n">
        <v>1</v>
      </c>
      <c r="L285" s="1" t="n">
        <v>2</v>
      </c>
      <c r="M285" s="1" t="n">
        <v>1</v>
      </c>
      <c r="N285" s="1" t="n">
        <v>159.84</v>
      </c>
      <c r="O285" s="1" t="n">
        <v>1</v>
      </c>
      <c r="P285" s="4" t="n">
        <v>44706</v>
      </c>
      <c r="Q285" s="4" t="n">
        <v>44706</v>
      </c>
      <c r="R285" s="0" t="n">
        <f aca="false">IF(ISBLANK(F285),"Missing",IFERROR(YEAR(F285),"Missing"))</f>
        <v>2021</v>
      </c>
      <c r="S285" s="0" t="str">
        <f aca="false">IF(ISBLANK(E285),"Missing",IF(E285&lt;6,"0-6mo",IF(E285&lt;12,"6-12mo",IF(E285&lt;24,"12-24mo","24mo+"))))</f>
        <v>12-24mo</v>
      </c>
      <c r="T285" s="0" t="n">
        <f aca="false">IF(ISBLANK(C285),0,IF(C285="Month-to-month",2,IF(C285="One year",1,0)))+IF(ISBLANK(I285),0,IF(I285&lt;40,2,IF(I285&lt;55,1,0)))+IF(ISBLANK(M285),0,IF(M285=1,3,0))+IF(ISBLANK(L285),0,IF(L285&gt;=2,1,0))+IF(ISBLANK(E285),0,IF(E285&lt;12,1,0))</f>
        <v>8</v>
      </c>
      <c r="U285" s="0" t="str">
        <f aca="false">IF((ISBLANK(B285)*1+ISBLANK(C285)*1+ISBLANK(D285)*1+ISBLANK(E285)*1+ISBLANK(F285)*1+ISBLANK(I285)*1+ISBLANK(J285)*1+ISBLANK(K285)*1+ISBLANK(L285)*1+ISBLANK(M285)*1+ISBLANK(N285)*1+ISBLANK(O285)*1)&gt;0,"Missing Data","OK")</f>
        <v>OK</v>
      </c>
      <c r="V285" s="0" t="str">
        <f aca="false">IF(T285&gt;=6,"High Risk",IF(T285&gt;=3,"Medium Risk","Low Risk"))</f>
        <v>High Risk</v>
      </c>
    </row>
    <row r="286" customFormat="false" ht="12.8" hidden="false" customHeight="false" outlineLevel="0" collapsed="false">
      <c r="A286" s="1" t="s">
        <v>316</v>
      </c>
      <c r="B286" s="1" t="s">
        <v>36</v>
      </c>
      <c r="C286" s="1" t="s">
        <v>51</v>
      </c>
      <c r="D286" s="1" t="n">
        <v>10.71</v>
      </c>
      <c r="E286" s="1" t="n">
        <v>72</v>
      </c>
      <c r="F286" s="4" t="n">
        <v>44220</v>
      </c>
      <c r="G286" s="1" t="s">
        <v>25</v>
      </c>
      <c r="H286" s="1" t="n">
        <v>1</v>
      </c>
      <c r="I286" s="1" t="n">
        <v>73</v>
      </c>
      <c r="J286" s="1" t="n">
        <v>24</v>
      </c>
      <c r="K286" s="1" t="n">
        <v>7</v>
      </c>
      <c r="L286" s="1" t="n">
        <v>2</v>
      </c>
      <c r="M286" s="1" t="n">
        <v>0</v>
      </c>
      <c r="N286" s="1" t="n">
        <v>771.12</v>
      </c>
      <c r="O286" s="1" t="n">
        <v>0</v>
      </c>
      <c r="Q286" s="4" t="n">
        <v>46293</v>
      </c>
      <c r="R286" s="0" t="n">
        <f aca="false">IF(ISBLANK(F286),"Missing",IFERROR(YEAR(F286),"Missing"))</f>
        <v>2021</v>
      </c>
      <c r="S286" s="0" t="str">
        <f aca="false">IF(ISBLANK(E286),"Missing",IF(E286&lt;6,"0-6mo",IF(E286&lt;12,"6-12mo",IF(E286&lt;24,"12-24mo","24mo+"))))</f>
        <v>24mo+</v>
      </c>
      <c r="T286" s="0" t="n">
        <f aca="false">IF(ISBLANK(C286),0,IF(C286="Month-to-month",2,IF(C286="One year",1,0)))+IF(ISBLANK(I286),0,IF(I286&lt;40,2,IF(I286&lt;55,1,0)))+IF(ISBLANK(M286),0,IF(M286=1,3,0))+IF(ISBLANK(L286),0,IF(L286&gt;=2,1,0))+IF(ISBLANK(E286),0,IF(E286&lt;12,1,0))</f>
        <v>1</v>
      </c>
      <c r="U286" s="0" t="str">
        <f aca="false">IF((ISBLANK(B286)*1+ISBLANK(C286)*1+ISBLANK(D286)*1+ISBLANK(E286)*1+ISBLANK(F286)*1+ISBLANK(I286)*1+ISBLANK(J286)*1+ISBLANK(K286)*1+ISBLANK(L286)*1+ISBLANK(M286)*1+ISBLANK(N286)*1+ISBLANK(O286)*1)&gt;0,"Missing Data","OK")</f>
        <v>OK</v>
      </c>
      <c r="V286" s="0" t="str">
        <f aca="false">IF(T286&gt;=6,"High Risk",IF(T286&gt;=3,"Medium Risk","Low Risk"))</f>
        <v>Low Risk</v>
      </c>
    </row>
    <row r="287" customFormat="false" ht="12.8" hidden="false" customHeight="false" outlineLevel="0" collapsed="false">
      <c r="A287" s="1" t="s">
        <v>317</v>
      </c>
      <c r="B287" s="1" t="s">
        <v>23</v>
      </c>
      <c r="C287" s="1" t="s">
        <v>24</v>
      </c>
      <c r="D287" s="1" t="n">
        <v>19.58</v>
      </c>
      <c r="E287" s="1" t="n">
        <v>72</v>
      </c>
      <c r="F287" s="4" t="n">
        <v>44221</v>
      </c>
      <c r="G287" s="1" t="s">
        <v>30</v>
      </c>
      <c r="H287" s="1" t="n">
        <v>0</v>
      </c>
      <c r="I287" s="1" t="n">
        <v>79.9</v>
      </c>
      <c r="J287" s="1" t="n">
        <v>21</v>
      </c>
      <c r="K287" s="1" t="n">
        <v>6</v>
      </c>
      <c r="L287" s="1" t="n">
        <v>3</v>
      </c>
      <c r="M287" s="1" t="n">
        <v>0</v>
      </c>
      <c r="N287" s="1" t="n">
        <v>1409.76</v>
      </c>
      <c r="O287" s="1" t="n">
        <v>0</v>
      </c>
      <c r="Q287" s="4" t="n">
        <v>46293</v>
      </c>
      <c r="R287" s="0" t="n">
        <f aca="false">IF(ISBLANK(F287),"Missing",IFERROR(YEAR(F287),"Missing"))</f>
        <v>2021</v>
      </c>
      <c r="S287" s="0" t="str">
        <f aca="false">IF(ISBLANK(E287),"Missing",IF(E287&lt;6,"0-6mo",IF(E287&lt;12,"6-12mo",IF(E287&lt;24,"12-24mo","24mo+"))))</f>
        <v>24mo+</v>
      </c>
      <c r="T287" s="0" t="n">
        <f aca="false">IF(ISBLANK(C287),0,IF(C287="Month-to-month",2,IF(C287="One year",1,0)))+IF(ISBLANK(I287),0,IF(I287&lt;40,2,IF(I287&lt;55,1,0)))+IF(ISBLANK(M287),0,IF(M287=1,3,0))+IF(ISBLANK(L287),0,IF(L287&gt;=2,1,0))+IF(ISBLANK(E287),0,IF(E287&lt;12,1,0))</f>
        <v>3</v>
      </c>
      <c r="U287" s="0" t="str">
        <f aca="false">IF((ISBLANK(B287)*1+ISBLANK(C287)*1+ISBLANK(D287)*1+ISBLANK(E287)*1+ISBLANK(F287)*1+ISBLANK(I287)*1+ISBLANK(J287)*1+ISBLANK(K287)*1+ISBLANK(L287)*1+ISBLANK(M287)*1+ISBLANK(N287)*1+ISBLANK(O287)*1)&gt;0,"Missing Data","OK")</f>
        <v>OK</v>
      </c>
      <c r="V287" s="0" t="str">
        <f aca="false">IF(T287&gt;=6,"High Risk",IF(T287&gt;=3,"Medium Risk","Low Risk"))</f>
        <v>Medium Risk</v>
      </c>
    </row>
    <row r="288" customFormat="false" ht="12.8" hidden="false" customHeight="false" outlineLevel="0" collapsed="false">
      <c r="A288" s="1" t="s">
        <v>318</v>
      </c>
      <c r="B288" s="1" t="s">
        <v>36</v>
      </c>
      <c r="C288" s="1" t="s">
        <v>34</v>
      </c>
      <c r="D288" s="1" t="n">
        <v>9.77</v>
      </c>
      <c r="E288" s="1" t="n">
        <v>23</v>
      </c>
      <c r="F288" s="4" t="n">
        <v>44222</v>
      </c>
      <c r="G288" s="1" t="s">
        <v>30</v>
      </c>
      <c r="H288" s="1" t="n">
        <v>1</v>
      </c>
      <c r="I288" s="1" t="n">
        <v>70.1</v>
      </c>
      <c r="J288" s="1" t="n">
        <v>20</v>
      </c>
      <c r="K288" s="1" t="n">
        <v>8</v>
      </c>
      <c r="L288" s="1" t="n">
        <v>1</v>
      </c>
      <c r="M288" s="1" t="n">
        <v>1</v>
      </c>
      <c r="N288" s="1" t="n">
        <v>224.71</v>
      </c>
      <c r="O288" s="1" t="n">
        <v>0</v>
      </c>
      <c r="Q288" s="4" t="n">
        <v>44922</v>
      </c>
      <c r="R288" s="0" t="n">
        <f aca="false">IF(ISBLANK(F288),"Missing",IFERROR(YEAR(F288),"Missing"))</f>
        <v>2021</v>
      </c>
      <c r="S288" s="0" t="str">
        <f aca="false">IF(ISBLANK(E288),"Missing",IF(E288&lt;6,"0-6mo",IF(E288&lt;12,"6-12mo",IF(E288&lt;24,"12-24mo","24mo+"))))</f>
        <v>12-24mo</v>
      </c>
      <c r="T288" s="0" t="n">
        <f aca="false">IF(ISBLANK(C288),0,IF(C288="Month-to-month",2,IF(C288="One year",1,0)))+IF(ISBLANK(I288),0,IF(I288&lt;40,2,IF(I288&lt;55,1,0)))+IF(ISBLANK(M288),0,IF(M288=1,3,0))+IF(ISBLANK(L288),0,IF(L288&gt;=2,1,0))+IF(ISBLANK(E288),0,IF(E288&lt;12,1,0))</f>
        <v>4</v>
      </c>
      <c r="U288" s="0" t="str">
        <f aca="false">IF((ISBLANK(B288)*1+ISBLANK(C288)*1+ISBLANK(D288)*1+ISBLANK(E288)*1+ISBLANK(F288)*1+ISBLANK(I288)*1+ISBLANK(J288)*1+ISBLANK(K288)*1+ISBLANK(L288)*1+ISBLANK(M288)*1+ISBLANK(N288)*1+ISBLANK(O288)*1)&gt;0,"Missing Data","OK")</f>
        <v>OK</v>
      </c>
      <c r="V288" s="0" t="str">
        <f aca="false">IF(T288&gt;=6,"High Risk",IF(T288&gt;=3,"Medium Risk","Low Risk"))</f>
        <v>Medium Risk</v>
      </c>
    </row>
    <row r="289" customFormat="false" ht="12.8" hidden="false" customHeight="false" outlineLevel="0" collapsed="false">
      <c r="A289" s="1" t="s">
        <v>319</v>
      </c>
      <c r="B289" s="1" t="s">
        <v>36</v>
      </c>
      <c r="C289" s="1" t="s">
        <v>34</v>
      </c>
      <c r="D289" s="1" t="n">
        <v>10.27</v>
      </c>
      <c r="E289" s="1" t="n">
        <v>27</v>
      </c>
      <c r="F289" s="4" t="n">
        <v>44222</v>
      </c>
      <c r="G289" s="1" t="s">
        <v>39</v>
      </c>
      <c r="H289" s="1" t="n">
        <v>1</v>
      </c>
      <c r="I289" s="1" t="n">
        <v>34.1</v>
      </c>
      <c r="J289" s="1" t="n">
        <v>9</v>
      </c>
      <c r="K289" s="1" t="n">
        <v>3</v>
      </c>
      <c r="L289" s="1" t="n">
        <v>2</v>
      </c>
      <c r="M289" s="1" t="n">
        <v>0</v>
      </c>
      <c r="N289" s="1" t="n">
        <v>277.29</v>
      </c>
      <c r="O289" s="1" t="n">
        <v>0</v>
      </c>
      <c r="Q289" s="4" t="n">
        <v>45043</v>
      </c>
      <c r="R289" s="0" t="n">
        <f aca="false">IF(ISBLANK(F289),"Missing",IFERROR(YEAR(F289),"Missing"))</f>
        <v>2021</v>
      </c>
      <c r="S289" s="0" t="str">
        <f aca="false">IF(ISBLANK(E289),"Missing",IF(E289&lt;6,"0-6mo",IF(E289&lt;12,"6-12mo",IF(E289&lt;24,"12-24mo","24mo+"))))</f>
        <v>24mo+</v>
      </c>
      <c r="T289" s="0" t="n">
        <f aca="false">IF(ISBLANK(C289),0,IF(C289="Month-to-month",2,IF(C289="One year",1,0)))+IF(ISBLANK(I289),0,IF(I289&lt;40,2,IF(I289&lt;55,1,0)))+IF(ISBLANK(M289),0,IF(M289=1,3,0))+IF(ISBLANK(L289),0,IF(L289&gt;=2,1,0))+IF(ISBLANK(E289),0,IF(E289&lt;12,1,0))</f>
        <v>4</v>
      </c>
      <c r="U289" s="0" t="str">
        <f aca="false">IF((ISBLANK(B289)*1+ISBLANK(C289)*1+ISBLANK(D289)*1+ISBLANK(E289)*1+ISBLANK(F289)*1+ISBLANK(I289)*1+ISBLANK(J289)*1+ISBLANK(K289)*1+ISBLANK(L289)*1+ISBLANK(M289)*1+ISBLANK(N289)*1+ISBLANK(O289)*1)&gt;0,"Missing Data","OK")</f>
        <v>OK</v>
      </c>
      <c r="V289" s="0" t="str">
        <f aca="false">IF(T289&gt;=6,"High Risk",IF(T289&gt;=3,"Medium Risk","Low Risk"))</f>
        <v>Medium Risk</v>
      </c>
    </row>
    <row r="290" customFormat="false" ht="12.8" hidden="false" customHeight="false" outlineLevel="0" collapsed="false">
      <c r="A290" s="1" t="s">
        <v>320</v>
      </c>
      <c r="B290" s="1" t="s">
        <v>36</v>
      </c>
      <c r="C290" s="1" t="s">
        <v>24</v>
      </c>
      <c r="D290" s="1" t="n">
        <v>9.58</v>
      </c>
      <c r="E290" s="1" t="n">
        <v>72</v>
      </c>
      <c r="F290" s="4" t="n">
        <v>44225</v>
      </c>
      <c r="G290" s="1" t="s">
        <v>25</v>
      </c>
      <c r="H290" s="1" t="n">
        <v>1</v>
      </c>
      <c r="I290" s="1" t="n">
        <v>53.3</v>
      </c>
      <c r="J290" s="1" t="n">
        <v>21</v>
      </c>
      <c r="K290" s="1" t="n">
        <v>6</v>
      </c>
      <c r="L290" s="1" t="n">
        <v>1</v>
      </c>
      <c r="M290" s="1" t="n">
        <v>0</v>
      </c>
      <c r="N290" s="1" t="n">
        <v>689.76</v>
      </c>
      <c r="O290" s="1" t="n">
        <v>0</v>
      </c>
      <c r="Q290" s="4" t="n">
        <v>46293</v>
      </c>
      <c r="R290" s="0" t="n">
        <f aca="false">IF(ISBLANK(F290),"Missing",IFERROR(YEAR(F290),"Missing"))</f>
        <v>2021</v>
      </c>
      <c r="S290" s="0" t="str">
        <f aca="false">IF(ISBLANK(E290),"Missing",IF(E290&lt;6,"0-6mo",IF(E290&lt;12,"6-12mo",IF(E290&lt;24,"12-24mo","24mo+"))))</f>
        <v>24mo+</v>
      </c>
      <c r="T290" s="0" t="n">
        <f aca="false">IF(ISBLANK(C290),0,IF(C290="Month-to-month",2,IF(C290="One year",1,0)))+IF(ISBLANK(I290),0,IF(I290&lt;40,2,IF(I290&lt;55,1,0)))+IF(ISBLANK(M290),0,IF(M290=1,3,0))+IF(ISBLANK(L290),0,IF(L290&gt;=2,1,0))+IF(ISBLANK(E290),0,IF(E290&lt;12,1,0))</f>
        <v>3</v>
      </c>
      <c r="U290" s="0" t="str">
        <f aca="false">IF((ISBLANK(B290)*1+ISBLANK(C290)*1+ISBLANK(D290)*1+ISBLANK(E290)*1+ISBLANK(F290)*1+ISBLANK(I290)*1+ISBLANK(J290)*1+ISBLANK(K290)*1+ISBLANK(L290)*1+ISBLANK(M290)*1+ISBLANK(N290)*1+ISBLANK(O290)*1)&gt;0,"Missing Data","OK")</f>
        <v>OK</v>
      </c>
      <c r="V290" s="0" t="str">
        <f aca="false">IF(T290&gt;=6,"High Risk",IF(T290&gt;=3,"Medium Risk","Low Risk"))</f>
        <v>Medium Risk</v>
      </c>
    </row>
    <row r="291" customFormat="false" ht="12.8" hidden="false" customHeight="false" outlineLevel="0" collapsed="false">
      <c r="A291" s="1" t="s">
        <v>321</v>
      </c>
      <c r="B291" s="1" t="s">
        <v>29</v>
      </c>
      <c r="C291" s="1" t="s">
        <v>34</v>
      </c>
      <c r="D291" s="1" t="n">
        <v>39.62</v>
      </c>
      <c r="E291" s="1" t="n">
        <v>0</v>
      </c>
      <c r="F291" s="4" t="n">
        <v>44230</v>
      </c>
      <c r="G291" s="1" t="s">
        <v>25</v>
      </c>
      <c r="H291" s="1" t="n">
        <v>1</v>
      </c>
      <c r="I291" s="1" t="n">
        <v>84.1</v>
      </c>
      <c r="J291" s="1" t="n">
        <v>21</v>
      </c>
      <c r="K291" s="1" t="n">
        <v>10</v>
      </c>
      <c r="L291" s="1" t="n">
        <v>1</v>
      </c>
      <c r="M291" s="1" t="n">
        <v>0</v>
      </c>
      <c r="N291" s="1" t="n">
        <v>0</v>
      </c>
      <c r="O291" s="1" t="n">
        <v>0</v>
      </c>
      <c r="Q291" s="4" t="n">
        <v>44230</v>
      </c>
      <c r="R291" s="0" t="n">
        <f aca="false">IF(ISBLANK(F291),"Missing",IFERROR(YEAR(F291),"Missing"))</f>
        <v>2021</v>
      </c>
      <c r="S291" s="0" t="str">
        <f aca="false">IF(ISBLANK(E291),"Missing",IF(E291&lt;6,"0-6mo",IF(E291&lt;12,"6-12mo",IF(E291&lt;24,"12-24mo","24mo+"))))</f>
        <v>0-6mo</v>
      </c>
      <c r="T291" s="0" t="n">
        <f aca="false">IF(ISBLANK(C291),0,IF(C291="Month-to-month",2,IF(C291="One year",1,0)))+IF(ISBLANK(I291),0,IF(I291&lt;40,2,IF(I291&lt;55,1,0)))+IF(ISBLANK(M291),0,IF(M291=1,3,0))+IF(ISBLANK(L291),0,IF(L291&gt;=2,1,0))+IF(ISBLANK(E291),0,IF(E291&lt;12,1,0))</f>
        <v>2</v>
      </c>
      <c r="U291" s="0" t="str">
        <f aca="false">IF((ISBLANK(B291)*1+ISBLANK(C291)*1+ISBLANK(D291)*1+ISBLANK(E291)*1+ISBLANK(F291)*1+ISBLANK(I291)*1+ISBLANK(J291)*1+ISBLANK(K291)*1+ISBLANK(L291)*1+ISBLANK(M291)*1+ISBLANK(N291)*1+ISBLANK(O291)*1)&gt;0,"Missing Data","OK")</f>
        <v>OK</v>
      </c>
      <c r="V291" s="0" t="str">
        <f aca="false">IF(T291&gt;=6,"High Risk",IF(T291&gt;=3,"Medium Risk","Low Risk"))</f>
        <v>Low Risk</v>
      </c>
    </row>
    <row r="292" customFormat="false" ht="12.8" hidden="false" customHeight="false" outlineLevel="0" collapsed="false">
      <c r="A292" s="1" t="s">
        <v>322</v>
      </c>
      <c r="B292" s="1" t="s">
        <v>36</v>
      </c>
      <c r="C292" s="1" t="s">
        <v>34</v>
      </c>
      <c r="D292" s="1" t="n">
        <v>10.15</v>
      </c>
      <c r="E292" s="1" t="n">
        <v>5</v>
      </c>
      <c r="F292" s="4" t="n">
        <v>44230</v>
      </c>
      <c r="G292" s="1" t="s">
        <v>39</v>
      </c>
      <c r="H292" s="1" t="n">
        <v>0</v>
      </c>
      <c r="I292" s="1" t="n">
        <v>61.3</v>
      </c>
      <c r="J292" s="1" t="n">
        <v>14</v>
      </c>
      <c r="K292" s="1" t="n">
        <v>4</v>
      </c>
      <c r="L292" s="1" t="n">
        <v>2</v>
      </c>
      <c r="M292" s="1" t="n">
        <v>1</v>
      </c>
      <c r="N292" s="1" t="n">
        <v>50.75</v>
      </c>
      <c r="O292" s="1" t="n">
        <v>1</v>
      </c>
      <c r="P292" s="4" t="n">
        <v>44382</v>
      </c>
      <c r="Q292" s="4" t="n">
        <v>44382</v>
      </c>
      <c r="R292" s="0" t="n">
        <f aca="false">IF(ISBLANK(F292),"Missing",IFERROR(YEAR(F292),"Missing"))</f>
        <v>2021</v>
      </c>
      <c r="S292" s="0" t="str">
        <f aca="false">IF(ISBLANK(E292),"Missing",IF(E292&lt;6,"0-6mo",IF(E292&lt;12,"6-12mo",IF(E292&lt;24,"12-24mo","24mo+"))))</f>
        <v>0-6mo</v>
      </c>
      <c r="T292" s="0" t="n">
        <f aca="false">IF(ISBLANK(C292),0,IF(C292="Month-to-month",2,IF(C292="One year",1,0)))+IF(ISBLANK(I292),0,IF(I292&lt;40,2,IF(I292&lt;55,1,0)))+IF(ISBLANK(M292),0,IF(M292=1,3,0))+IF(ISBLANK(L292),0,IF(L292&gt;=2,1,0))+IF(ISBLANK(E292),0,IF(E292&lt;12,1,0))</f>
        <v>6</v>
      </c>
      <c r="U292" s="0" t="str">
        <f aca="false">IF((ISBLANK(B292)*1+ISBLANK(C292)*1+ISBLANK(D292)*1+ISBLANK(E292)*1+ISBLANK(F292)*1+ISBLANK(I292)*1+ISBLANK(J292)*1+ISBLANK(K292)*1+ISBLANK(L292)*1+ISBLANK(M292)*1+ISBLANK(N292)*1+ISBLANK(O292)*1)&gt;0,"Missing Data","OK")</f>
        <v>OK</v>
      </c>
      <c r="V292" s="0" t="str">
        <f aca="false">IF(T292&gt;=6,"High Risk",IF(T292&gt;=3,"Medium Risk","Low Risk"))</f>
        <v>High Risk</v>
      </c>
    </row>
    <row r="293" customFormat="false" ht="12.8" hidden="false" customHeight="false" outlineLevel="0" collapsed="false">
      <c r="A293" s="1" t="s">
        <v>323</v>
      </c>
      <c r="B293" s="1" t="s">
        <v>23</v>
      </c>
      <c r="C293" s="1" t="s">
        <v>24</v>
      </c>
      <c r="D293" s="1" t="n">
        <v>20.58</v>
      </c>
      <c r="E293" s="1" t="n">
        <v>31</v>
      </c>
      <c r="F293" s="4" t="n">
        <v>44231</v>
      </c>
      <c r="G293" s="1" t="s">
        <v>25</v>
      </c>
      <c r="H293" s="1" t="n">
        <v>1</v>
      </c>
      <c r="I293" s="1" t="n">
        <v>26.9</v>
      </c>
      <c r="J293" s="1" t="n">
        <v>7</v>
      </c>
      <c r="K293" s="1" t="n">
        <v>4</v>
      </c>
      <c r="L293" s="1" t="n">
        <v>2</v>
      </c>
      <c r="M293" s="1" t="n">
        <v>1</v>
      </c>
      <c r="N293" s="1" t="n">
        <v>637.98</v>
      </c>
      <c r="O293" s="1" t="n">
        <v>0</v>
      </c>
      <c r="Q293" s="4" t="n">
        <v>45174</v>
      </c>
      <c r="R293" s="0" t="n">
        <f aca="false">IF(ISBLANK(F293),"Missing",IFERROR(YEAR(F293),"Missing"))</f>
        <v>2021</v>
      </c>
      <c r="S293" s="0" t="str">
        <f aca="false">IF(ISBLANK(E293),"Missing",IF(E293&lt;6,"0-6mo",IF(E293&lt;12,"6-12mo",IF(E293&lt;24,"12-24mo","24mo+"))))</f>
        <v>24mo+</v>
      </c>
      <c r="T293" s="0" t="n">
        <f aca="false">IF(ISBLANK(C293),0,IF(C293="Month-to-month",2,IF(C293="One year",1,0)))+IF(ISBLANK(I293),0,IF(I293&lt;40,2,IF(I293&lt;55,1,0)))+IF(ISBLANK(M293),0,IF(M293=1,3,0))+IF(ISBLANK(L293),0,IF(L293&gt;=2,1,0))+IF(ISBLANK(E293),0,IF(E293&lt;12,1,0))</f>
        <v>8</v>
      </c>
      <c r="U293" s="0" t="str">
        <f aca="false">IF((ISBLANK(B293)*1+ISBLANK(C293)*1+ISBLANK(D293)*1+ISBLANK(E293)*1+ISBLANK(F293)*1+ISBLANK(I293)*1+ISBLANK(J293)*1+ISBLANK(K293)*1+ISBLANK(L293)*1+ISBLANK(M293)*1+ISBLANK(N293)*1+ISBLANK(O293)*1)&gt;0,"Missing Data","OK")</f>
        <v>OK</v>
      </c>
      <c r="V293" s="0" t="str">
        <f aca="false">IF(T293&gt;=6,"High Risk",IF(T293&gt;=3,"Medium Risk","Low Risk"))</f>
        <v>High Risk</v>
      </c>
    </row>
    <row r="294" customFormat="false" ht="12.8" hidden="false" customHeight="false" outlineLevel="0" collapsed="false">
      <c r="A294" s="1" t="s">
        <v>324</v>
      </c>
      <c r="B294" s="1" t="s">
        <v>29</v>
      </c>
      <c r="C294" s="1" t="s">
        <v>24</v>
      </c>
      <c r="D294" s="1" t="n">
        <v>40.88</v>
      </c>
      <c r="E294" s="1" t="n">
        <v>30</v>
      </c>
      <c r="F294" s="4" t="n">
        <v>44232</v>
      </c>
      <c r="G294" s="1" t="s">
        <v>30</v>
      </c>
      <c r="H294" s="1" t="n">
        <v>0</v>
      </c>
      <c r="I294" s="1" t="n">
        <v>83.4</v>
      </c>
      <c r="J294" s="1" t="n">
        <v>28</v>
      </c>
      <c r="K294" s="1" t="n">
        <v>8</v>
      </c>
      <c r="L294" s="1" t="n">
        <v>1</v>
      </c>
      <c r="M294" s="1" t="n">
        <v>0</v>
      </c>
      <c r="N294" s="1" t="n">
        <v>1226.4</v>
      </c>
      <c r="O294" s="1" t="n">
        <v>1</v>
      </c>
      <c r="P294" s="4" t="n">
        <v>45145</v>
      </c>
      <c r="Q294" s="4" t="n">
        <v>45145</v>
      </c>
      <c r="R294" s="0" t="n">
        <f aca="false">IF(ISBLANK(F294),"Missing",IFERROR(YEAR(F294),"Missing"))</f>
        <v>2021</v>
      </c>
      <c r="S294" s="0" t="str">
        <f aca="false">IF(ISBLANK(E294),"Missing",IF(E294&lt;6,"0-6mo",IF(E294&lt;12,"6-12mo",IF(E294&lt;24,"12-24mo","24mo+"))))</f>
        <v>24mo+</v>
      </c>
      <c r="T294" s="0" t="n">
        <f aca="false">IF(ISBLANK(C294),0,IF(C294="Month-to-month",2,IF(C294="One year",1,0)))+IF(ISBLANK(I294),0,IF(I294&lt;40,2,IF(I294&lt;55,1,0)))+IF(ISBLANK(M294),0,IF(M294=1,3,0))+IF(ISBLANK(L294),0,IF(L294&gt;=2,1,0))+IF(ISBLANK(E294),0,IF(E294&lt;12,1,0))</f>
        <v>2</v>
      </c>
      <c r="U294" s="0" t="str">
        <f aca="false">IF((ISBLANK(B294)*1+ISBLANK(C294)*1+ISBLANK(D294)*1+ISBLANK(E294)*1+ISBLANK(F294)*1+ISBLANK(I294)*1+ISBLANK(J294)*1+ISBLANK(K294)*1+ISBLANK(L294)*1+ISBLANK(M294)*1+ISBLANK(N294)*1+ISBLANK(O294)*1)&gt;0,"Missing Data","OK")</f>
        <v>OK</v>
      </c>
      <c r="V294" s="0" t="str">
        <f aca="false">IF(T294&gt;=6,"High Risk",IF(T294&gt;=3,"Medium Risk","Low Risk"))</f>
        <v>Low Risk</v>
      </c>
    </row>
    <row r="295" customFormat="false" ht="12.8" hidden="false" customHeight="false" outlineLevel="0" collapsed="false">
      <c r="A295" s="1" t="s">
        <v>325</v>
      </c>
      <c r="B295" s="1" t="s">
        <v>29</v>
      </c>
      <c r="C295" s="1" t="s">
        <v>24</v>
      </c>
      <c r="D295" s="1" t="n">
        <v>38.99</v>
      </c>
      <c r="E295" s="1" t="n">
        <v>15</v>
      </c>
      <c r="F295" s="4" t="n">
        <v>44232</v>
      </c>
      <c r="G295" s="1" t="s">
        <v>27</v>
      </c>
      <c r="H295" s="1" t="n">
        <v>0</v>
      </c>
      <c r="I295" s="1" t="n">
        <v>68.2</v>
      </c>
      <c r="J295" s="1" t="n">
        <v>20</v>
      </c>
      <c r="K295" s="1" t="n">
        <v>5</v>
      </c>
      <c r="L295" s="1" t="n">
        <v>1</v>
      </c>
      <c r="M295" s="1" t="n">
        <v>1</v>
      </c>
      <c r="N295" s="1" t="n">
        <v>584.85</v>
      </c>
      <c r="O295" s="1" t="n">
        <v>0</v>
      </c>
      <c r="Q295" s="4" t="n">
        <v>44688</v>
      </c>
      <c r="R295" s="0" t="n">
        <f aca="false">IF(ISBLANK(F295),"Missing",IFERROR(YEAR(F295),"Missing"))</f>
        <v>2021</v>
      </c>
      <c r="S295" s="0" t="str">
        <f aca="false">IF(ISBLANK(E295),"Missing",IF(E295&lt;6,"0-6mo",IF(E295&lt;12,"6-12mo",IF(E295&lt;24,"12-24mo","24mo+"))))</f>
        <v>12-24mo</v>
      </c>
      <c r="T295" s="0" t="n">
        <f aca="false">IF(ISBLANK(C295),0,IF(C295="Month-to-month",2,IF(C295="One year",1,0)))+IF(ISBLANK(I295),0,IF(I295&lt;40,2,IF(I295&lt;55,1,0)))+IF(ISBLANK(M295),0,IF(M295=1,3,0))+IF(ISBLANK(L295),0,IF(L295&gt;=2,1,0))+IF(ISBLANK(E295),0,IF(E295&lt;12,1,0))</f>
        <v>5</v>
      </c>
      <c r="U295" s="0" t="str">
        <f aca="false">IF((ISBLANK(B295)*1+ISBLANK(C295)*1+ISBLANK(D295)*1+ISBLANK(E295)*1+ISBLANK(F295)*1+ISBLANK(I295)*1+ISBLANK(J295)*1+ISBLANK(K295)*1+ISBLANK(L295)*1+ISBLANK(M295)*1+ISBLANK(N295)*1+ISBLANK(O295)*1)&gt;0,"Missing Data","OK")</f>
        <v>OK</v>
      </c>
      <c r="V295" s="0" t="str">
        <f aca="false">IF(T295&gt;=6,"High Risk",IF(T295&gt;=3,"Medium Risk","Low Risk"))</f>
        <v>Medium Risk</v>
      </c>
    </row>
    <row r="296" customFormat="false" ht="12.8" hidden="false" customHeight="false" outlineLevel="0" collapsed="false">
      <c r="A296" s="1" t="s">
        <v>326</v>
      </c>
      <c r="B296" s="1" t="s">
        <v>23</v>
      </c>
      <c r="C296" s="1" t="s">
        <v>34</v>
      </c>
      <c r="D296" s="1" t="n">
        <v>19.58</v>
      </c>
      <c r="E296" s="1" t="n">
        <v>6</v>
      </c>
      <c r="F296" s="4" t="n">
        <v>44234</v>
      </c>
      <c r="G296" s="1" t="s">
        <v>39</v>
      </c>
      <c r="H296" s="1" t="n">
        <v>1</v>
      </c>
      <c r="I296" s="1" t="n">
        <v>54.6</v>
      </c>
      <c r="J296" s="1" t="n">
        <v>10</v>
      </c>
      <c r="K296" s="1" t="n">
        <v>7</v>
      </c>
      <c r="L296" s="1" t="n">
        <v>1</v>
      </c>
      <c r="M296" s="1" t="n">
        <v>0</v>
      </c>
      <c r="N296" s="1" t="n">
        <v>117.48</v>
      </c>
      <c r="O296" s="1" t="n">
        <v>0</v>
      </c>
      <c r="Q296" s="4" t="n">
        <v>44416</v>
      </c>
      <c r="R296" s="0" t="n">
        <f aca="false">IF(ISBLANK(F296),"Missing",IFERROR(YEAR(F296),"Missing"))</f>
        <v>2021</v>
      </c>
      <c r="S296" s="0" t="str">
        <f aca="false">IF(ISBLANK(E296),"Missing",IF(E296&lt;6,"0-6mo",IF(E296&lt;12,"6-12mo",IF(E296&lt;24,"12-24mo","24mo+"))))</f>
        <v>6-12mo</v>
      </c>
      <c r="T296" s="0" t="n">
        <f aca="false">IF(ISBLANK(C296),0,IF(C296="Month-to-month",2,IF(C296="One year",1,0)))+IF(ISBLANK(I296),0,IF(I296&lt;40,2,IF(I296&lt;55,1,0)))+IF(ISBLANK(M296),0,IF(M296=1,3,0))+IF(ISBLANK(L296),0,IF(L296&gt;=2,1,0))+IF(ISBLANK(E296),0,IF(E296&lt;12,1,0))</f>
        <v>3</v>
      </c>
      <c r="U296" s="0" t="str">
        <f aca="false">IF((ISBLANK(B296)*1+ISBLANK(C296)*1+ISBLANK(D296)*1+ISBLANK(E296)*1+ISBLANK(F296)*1+ISBLANK(I296)*1+ISBLANK(J296)*1+ISBLANK(K296)*1+ISBLANK(L296)*1+ISBLANK(M296)*1+ISBLANK(N296)*1+ISBLANK(O296)*1)&gt;0,"Missing Data","OK")</f>
        <v>OK</v>
      </c>
      <c r="V296" s="0" t="str">
        <f aca="false">IF(T296&gt;=6,"High Risk",IF(T296&gt;=3,"Medium Risk","Low Risk"))</f>
        <v>Medium Risk</v>
      </c>
    </row>
    <row r="297" customFormat="false" ht="12.8" hidden="false" customHeight="false" outlineLevel="0" collapsed="false">
      <c r="A297" s="1" t="s">
        <v>327</v>
      </c>
      <c r="B297" s="1" t="s">
        <v>23</v>
      </c>
      <c r="C297" s="1" t="s">
        <v>24</v>
      </c>
      <c r="D297" s="1" t="n">
        <v>20.55</v>
      </c>
      <c r="E297" s="1" t="n">
        <v>11</v>
      </c>
      <c r="F297" s="4" t="n">
        <v>44236</v>
      </c>
      <c r="G297" s="1" t="s">
        <v>25</v>
      </c>
      <c r="H297" s="1" t="n">
        <v>1</v>
      </c>
      <c r="I297" s="1" t="n">
        <v>74</v>
      </c>
      <c r="J297" s="1" t="n">
        <v>21</v>
      </c>
      <c r="K297" s="1" t="n">
        <v>8</v>
      </c>
      <c r="L297" s="1" t="n">
        <v>1</v>
      </c>
      <c r="M297" s="1" t="n">
        <v>0</v>
      </c>
      <c r="N297" s="1" t="n">
        <v>226.05</v>
      </c>
      <c r="O297" s="1" t="n">
        <v>0</v>
      </c>
      <c r="Q297" s="4" t="n">
        <v>44570</v>
      </c>
      <c r="R297" s="0" t="n">
        <f aca="false">IF(ISBLANK(F297),"Missing",IFERROR(YEAR(F297),"Missing"))</f>
        <v>2021</v>
      </c>
      <c r="S297" s="0" t="str">
        <f aca="false">IF(ISBLANK(E297),"Missing",IF(E297&lt;6,"0-6mo",IF(E297&lt;12,"6-12mo",IF(E297&lt;24,"12-24mo","24mo+"))))</f>
        <v>6-12mo</v>
      </c>
      <c r="T297" s="0" t="n">
        <f aca="false">IF(ISBLANK(C297),0,IF(C297="Month-to-month",2,IF(C297="One year",1,0)))+IF(ISBLANK(I297),0,IF(I297&lt;40,2,IF(I297&lt;55,1,0)))+IF(ISBLANK(M297),0,IF(M297=1,3,0))+IF(ISBLANK(L297),0,IF(L297&gt;=2,1,0))+IF(ISBLANK(E297),0,IF(E297&lt;12,1,0))</f>
        <v>3</v>
      </c>
      <c r="U297" s="0" t="str">
        <f aca="false">IF((ISBLANK(B297)*1+ISBLANK(C297)*1+ISBLANK(D297)*1+ISBLANK(E297)*1+ISBLANK(F297)*1+ISBLANK(I297)*1+ISBLANK(J297)*1+ISBLANK(K297)*1+ISBLANK(L297)*1+ISBLANK(M297)*1+ISBLANK(N297)*1+ISBLANK(O297)*1)&gt;0,"Missing Data","OK")</f>
        <v>OK</v>
      </c>
      <c r="V297" s="0" t="str">
        <f aca="false">IF(T297&gt;=6,"High Risk",IF(T297&gt;=3,"Medium Risk","Low Risk"))</f>
        <v>Medium Risk</v>
      </c>
    </row>
    <row r="298" customFormat="false" ht="12.8" hidden="false" customHeight="false" outlineLevel="0" collapsed="false">
      <c r="A298" s="1" t="s">
        <v>328</v>
      </c>
      <c r="B298" s="1" t="s">
        <v>36</v>
      </c>
      <c r="C298" s="1" t="s">
        <v>24</v>
      </c>
      <c r="D298" s="1" t="n">
        <v>8.92</v>
      </c>
      <c r="E298" s="1" t="n">
        <v>17</v>
      </c>
      <c r="F298" s="4" t="n">
        <v>44236</v>
      </c>
      <c r="G298" s="1" t="s">
        <v>25</v>
      </c>
      <c r="H298" s="1" t="n">
        <v>0</v>
      </c>
      <c r="I298" s="1" t="n">
        <v>65</v>
      </c>
      <c r="J298" s="1" t="n">
        <v>21</v>
      </c>
      <c r="K298" s="1" t="n">
        <v>8</v>
      </c>
      <c r="L298" s="1" t="n">
        <v>2</v>
      </c>
      <c r="M298" s="1" t="n">
        <v>0</v>
      </c>
      <c r="N298" s="1" t="n">
        <v>151.64</v>
      </c>
      <c r="O298" s="1" t="n">
        <v>0</v>
      </c>
      <c r="Q298" s="4" t="n">
        <v>44753</v>
      </c>
      <c r="R298" s="0" t="n">
        <f aca="false">IF(ISBLANK(F298),"Missing",IFERROR(YEAR(F298),"Missing"))</f>
        <v>2021</v>
      </c>
      <c r="S298" s="0" t="str">
        <f aca="false">IF(ISBLANK(E298),"Missing",IF(E298&lt;6,"0-6mo",IF(E298&lt;12,"6-12mo",IF(E298&lt;24,"12-24mo","24mo+"))))</f>
        <v>12-24mo</v>
      </c>
      <c r="T298" s="0" t="n">
        <f aca="false">IF(ISBLANK(C298),0,IF(C298="Month-to-month",2,IF(C298="One year",1,0)))+IF(ISBLANK(I298),0,IF(I298&lt;40,2,IF(I298&lt;55,1,0)))+IF(ISBLANK(M298),0,IF(M298=1,3,0))+IF(ISBLANK(L298),0,IF(L298&gt;=2,1,0))+IF(ISBLANK(E298),0,IF(E298&lt;12,1,0))</f>
        <v>3</v>
      </c>
      <c r="U298" s="0" t="str">
        <f aca="false">IF((ISBLANK(B298)*1+ISBLANK(C298)*1+ISBLANK(D298)*1+ISBLANK(E298)*1+ISBLANK(F298)*1+ISBLANK(I298)*1+ISBLANK(J298)*1+ISBLANK(K298)*1+ISBLANK(L298)*1+ISBLANK(M298)*1+ISBLANK(N298)*1+ISBLANK(O298)*1)&gt;0,"Missing Data","OK")</f>
        <v>OK</v>
      </c>
      <c r="V298" s="0" t="str">
        <f aca="false">IF(T298&gt;=6,"High Risk",IF(T298&gt;=3,"Medium Risk","Low Risk"))</f>
        <v>Medium Risk</v>
      </c>
    </row>
    <row r="299" customFormat="false" ht="12.8" hidden="false" customHeight="false" outlineLevel="0" collapsed="false">
      <c r="A299" s="1" t="s">
        <v>329</v>
      </c>
      <c r="B299" s="1" t="s">
        <v>36</v>
      </c>
      <c r="C299" s="1" t="s">
        <v>51</v>
      </c>
      <c r="D299" s="1" t="n">
        <v>11.51</v>
      </c>
      <c r="E299" s="1" t="n">
        <v>13</v>
      </c>
      <c r="F299" s="4" t="n">
        <v>44242</v>
      </c>
      <c r="G299" s="1" t="s">
        <v>25</v>
      </c>
      <c r="H299" s="1" t="n">
        <v>0</v>
      </c>
      <c r="I299" s="1" t="n">
        <v>43.1</v>
      </c>
      <c r="J299" s="1" t="n">
        <v>6</v>
      </c>
      <c r="K299" s="1" t="n">
        <v>6</v>
      </c>
      <c r="L299" s="1" t="n">
        <v>0</v>
      </c>
      <c r="M299" s="1" t="n">
        <v>0</v>
      </c>
      <c r="N299" s="1" t="n">
        <v>149.63</v>
      </c>
      <c r="O299" s="1" t="n">
        <v>0</v>
      </c>
      <c r="Q299" s="4" t="n">
        <v>44637</v>
      </c>
      <c r="R299" s="0" t="n">
        <f aca="false">IF(ISBLANK(F299),"Missing",IFERROR(YEAR(F299),"Missing"))</f>
        <v>2021</v>
      </c>
      <c r="S299" s="0" t="str">
        <f aca="false">IF(ISBLANK(E299),"Missing",IF(E299&lt;6,"0-6mo",IF(E299&lt;12,"6-12mo",IF(E299&lt;24,"12-24mo","24mo+"))))</f>
        <v>12-24mo</v>
      </c>
      <c r="T299" s="0" t="n">
        <f aca="false">IF(ISBLANK(C299),0,IF(C299="Month-to-month",2,IF(C299="One year",1,0)))+IF(ISBLANK(I299),0,IF(I299&lt;40,2,IF(I299&lt;55,1,0)))+IF(ISBLANK(M299),0,IF(M299=1,3,0))+IF(ISBLANK(L299),0,IF(L299&gt;=2,1,0))+IF(ISBLANK(E299),0,IF(E299&lt;12,1,0))</f>
        <v>1</v>
      </c>
      <c r="U299" s="0" t="str">
        <f aca="false">IF((ISBLANK(B299)*1+ISBLANK(C299)*1+ISBLANK(D299)*1+ISBLANK(E299)*1+ISBLANK(F299)*1+ISBLANK(I299)*1+ISBLANK(J299)*1+ISBLANK(K299)*1+ISBLANK(L299)*1+ISBLANK(M299)*1+ISBLANK(N299)*1+ISBLANK(O299)*1)&gt;0,"Missing Data","OK")</f>
        <v>OK</v>
      </c>
      <c r="V299" s="0" t="str">
        <f aca="false">IF(T299&gt;=6,"High Risk",IF(T299&gt;=3,"Medium Risk","Low Risk"))</f>
        <v>Low Risk</v>
      </c>
    </row>
    <row r="300" customFormat="false" ht="12.8" hidden="false" customHeight="false" outlineLevel="0" collapsed="false">
      <c r="A300" s="1" t="s">
        <v>330</v>
      </c>
      <c r="B300" s="1" t="s">
        <v>23</v>
      </c>
      <c r="C300" s="1" t="s">
        <v>24</v>
      </c>
      <c r="D300" s="1" t="n">
        <v>20.92</v>
      </c>
      <c r="E300" s="1" t="n">
        <v>1</v>
      </c>
      <c r="F300" s="4" t="n">
        <v>44245</v>
      </c>
      <c r="G300" s="1" t="s">
        <v>25</v>
      </c>
      <c r="H300" s="1" t="n">
        <v>1</v>
      </c>
      <c r="I300" s="1" t="n">
        <v>26.6</v>
      </c>
      <c r="J300" s="1" t="n">
        <v>1</v>
      </c>
      <c r="K300" s="1" t="n">
        <v>5</v>
      </c>
      <c r="L300" s="1" t="n">
        <v>4</v>
      </c>
      <c r="M300" s="1" t="n">
        <v>1</v>
      </c>
      <c r="N300" s="1" t="n">
        <v>20.92</v>
      </c>
      <c r="O300" s="1" t="n">
        <v>0</v>
      </c>
      <c r="Q300" s="4" t="n">
        <v>44275</v>
      </c>
      <c r="R300" s="0" t="n">
        <f aca="false">IF(ISBLANK(F300),"Missing",IFERROR(YEAR(F300),"Missing"))</f>
        <v>2021</v>
      </c>
      <c r="S300" s="0" t="str">
        <f aca="false">IF(ISBLANK(E300),"Missing",IF(E300&lt;6,"0-6mo",IF(E300&lt;12,"6-12mo",IF(E300&lt;24,"12-24mo","24mo+"))))</f>
        <v>0-6mo</v>
      </c>
      <c r="T300" s="0" t="n">
        <f aca="false">IF(ISBLANK(C300),0,IF(C300="Month-to-month",2,IF(C300="One year",1,0)))+IF(ISBLANK(I300),0,IF(I300&lt;40,2,IF(I300&lt;55,1,0)))+IF(ISBLANK(M300),0,IF(M300=1,3,0))+IF(ISBLANK(L300),0,IF(L300&gt;=2,1,0))+IF(ISBLANK(E300),0,IF(E300&lt;12,1,0))</f>
        <v>9</v>
      </c>
      <c r="U300" s="0" t="str">
        <f aca="false">IF((ISBLANK(B300)*1+ISBLANK(C300)*1+ISBLANK(D300)*1+ISBLANK(E300)*1+ISBLANK(F300)*1+ISBLANK(I300)*1+ISBLANK(J300)*1+ISBLANK(K300)*1+ISBLANK(L300)*1+ISBLANK(M300)*1+ISBLANK(N300)*1+ISBLANK(O300)*1)&gt;0,"Missing Data","OK")</f>
        <v>OK</v>
      </c>
      <c r="V300" s="0" t="str">
        <f aca="false">IF(T300&gt;=6,"High Risk",IF(T300&gt;=3,"Medium Risk","Low Risk"))</f>
        <v>High Risk</v>
      </c>
    </row>
    <row r="301" customFormat="false" ht="12.8" hidden="false" customHeight="false" outlineLevel="0" collapsed="false">
      <c r="A301" s="1" t="s">
        <v>331</v>
      </c>
      <c r="B301" s="1" t="s">
        <v>36</v>
      </c>
      <c r="C301" s="1" t="s">
        <v>24</v>
      </c>
      <c r="D301" s="1" t="n">
        <v>10.29</v>
      </c>
      <c r="E301" s="1" t="n">
        <v>1</v>
      </c>
      <c r="F301" s="4" t="n">
        <v>44246</v>
      </c>
      <c r="G301" s="1" t="s">
        <v>25</v>
      </c>
      <c r="H301" s="1" t="n">
        <v>1</v>
      </c>
      <c r="I301" s="1" t="n">
        <v>65.2</v>
      </c>
      <c r="J301" s="1" t="n">
        <v>22</v>
      </c>
      <c r="K301" s="1" t="n">
        <v>7</v>
      </c>
      <c r="L301" s="1" t="n">
        <v>3</v>
      </c>
      <c r="M301" s="1" t="n">
        <v>0</v>
      </c>
      <c r="N301" s="1" t="n">
        <v>10.29</v>
      </c>
      <c r="O301" s="1" t="n">
        <v>0</v>
      </c>
      <c r="Q301" s="4" t="n">
        <v>44276</v>
      </c>
      <c r="R301" s="0" t="n">
        <f aca="false">IF(ISBLANK(F301),"Missing",IFERROR(YEAR(F301),"Missing"))</f>
        <v>2021</v>
      </c>
      <c r="S301" s="0" t="str">
        <f aca="false">IF(ISBLANK(E301),"Missing",IF(E301&lt;6,"0-6mo",IF(E301&lt;12,"6-12mo",IF(E301&lt;24,"12-24mo","24mo+"))))</f>
        <v>0-6mo</v>
      </c>
      <c r="T301" s="0" t="n">
        <f aca="false">IF(ISBLANK(C301),0,IF(C301="Month-to-month",2,IF(C301="One year",1,0)))+IF(ISBLANK(I301),0,IF(I301&lt;40,2,IF(I301&lt;55,1,0)))+IF(ISBLANK(M301),0,IF(M301=1,3,0))+IF(ISBLANK(L301),0,IF(L301&gt;=2,1,0))+IF(ISBLANK(E301),0,IF(E301&lt;12,1,0))</f>
        <v>4</v>
      </c>
      <c r="U301" s="0" t="str">
        <f aca="false">IF((ISBLANK(B301)*1+ISBLANK(C301)*1+ISBLANK(D301)*1+ISBLANK(E301)*1+ISBLANK(F301)*1+ISBLANK(I301)*1+ISBLANK(J301)*1+ISBLANK(K301)*1+ISBLANK(L301)*1+ISBLANK(M301)*1+ISBLANK(N301)*1+ISBLANK(O301)*1)&gt;0,"Missing Data","OK")</f>
        <v>OK</v>
      </c>
      <c r="V301" s="0" t="str">
        <f aca="false">IF(T301&gt;=6,"High Risk",IF(T301&gt;=3,"Medium Risk","Low Risk"))</f>
        <v>Medium Risk</v>
      </c>
    </row>
    <row r="302" customFormat="false" ht="12.8" hidden="false" customHeight="false" outlineLevel="0" collapsed="false">
      <c r="A302" s="1" t="s">
        <v>332</v>
      </c>
      <c r="B302" s="1" t="s">
        <v>23</v>
      </c>
      <c r="C302" s="1" t="s">
        <v>24</v>
      </c>
      <c r="D302" s="1" t="n">
        <v>19.92</v>
      </c>
      <c r="E302" s="1" t="n">
        <v>3</v>
      </c>
      <c r="F302" s="4" t="n">
        <v>44247</v>
      </c>
      <c r="G302" s="1" t="s">
        <v>39</v>
      </c>
      <c r="H302" s="1" t="n">
        <v>1</v>
      </c>
      <c r="I302" s="1" t="n">
        <v>42.9</v>
      </c>
      <c r="J302" s="1" t="n">
        <v>12</v>
      </c>
      <c r="K302" s="1" t="n">
        <v>3</v>
      </c>
      <c r="L302" s="1" t="n">
        <v>2</v>
      </c>
      <c r="M302" s="1" t="n">
        <v>0</v>
      </c>
      <c r="N302" s="1" t="n">
        <v>59.76</v>
      </c>
      <c r="O302" s="1" t="n">
        <v>1</v>
      </c>
      <c r="P302" s="4" t="n">
        <v>44338</v>
      </c>
      <c r="Q302" s="4" t="n">
        <v>44338</v>
      </c>
      <c r="R302" s="0" t="n">
        <f aca="false">IF(ISBLANK(F302),"Missing",IFERROR(YEAR(F302),"Missing"))</f>
        <v>2021</v>
      </c>
      <c r="S302" s="0" t="str">
        <f aca="false">IF(ISBLANK(E302),"Missing",IF(E302&lt;6,"0-6mo",IF(E302&lt;12,"6-12mo",IF(E302&lt;24,"12-24mo","24mo+"))))</f>
        <v>0-6mo</v>
      </c>
      <c r="T302" s="0" t="n">
        <f aca="false">IF(ISBLANK(C302),0,IF(C302="Month-to-month",2,IF(C302="One year",1,0)))+IF(ISBLANK(I302),0,IF(I302&lt;40,2,IF(I302&lt;55,1,0)))+IF(ISBLANK(M302),0,IF(M302=1,3,0))+IF(ISBLANK(L302),0,IF(L302&gt;=2,1,0))+IF(ISBLANK(E302),0,IF(E302&lt;12,1,0))</f>
        <v>5</v>
      </c>
      <c r="U302" s="0" t="str">
        <f aca="false">IF((ISBLANK(B302)*1+ISBLANK(C302)*1+ISBLANK(D302)*1+ISBLANK(E302)*1+ISBLANK(F302)*1+ISBLANK(I302)*1+ISBLANK(J302)*1+ISBLANK(K302)*1+ISBLANK(L302)*1+ISBLANK(M302)*1+ISBLANK(N302)*1+ISBLANK(O302)*1)&gt;0,"Missing Data","OK")</f>
        <v>OK</v>
      </c>
      <c r="V302" s="0" t="str">
        <f aca="false">IF(T302&gt;=6,"High Risk",IF(T302&gt;=3,"Medium Risk","Low Risk"))</f>
        <v>Medium Risk</v>
      </c>
    </row>
    <row r="303" customFormat="false" ht="12.8" hidden="false" customHeight="false" outlineLevel="0" collapsed="false">
      <c r="A303" s="1" t="s">
        <v>333</v>
      </c>
      <c r="B303" s="1" t="s">
        <v>36</v>
      </c>
      <c r="C303" s="1" t="s">
        <v>34</v>
      </c>
      <c r="D303" s="1" t="n">
        <v>9.07</v>
      </c>
      <c r="E303" s="1" t="n">
        <v>29</v>
      </c>
      <c r="F303" s="4" t="n">
        <v>44247</v>
      </c>
      <c r="G303" s="1" t="s">
        <v>30</v>
      </c>
      <c r="H303" s="1" t="n">
        <v>0</v>
      </c>
      <c r="I303" s="1" t="n">
        <v>49.7</v>
      </c>
      <c r="J303" s="1" t="n">
        <v>21</v>
      </c>
      <c r="K303" s="1" t="n">
        <v>3</v>
      </c>
      <c r="L303" s="1" t="n">
        <v>2</v>
      </c>
      <c r="M303" s="1" t="n">
        <v>0</v>
      </c>
      <c r="N303" s="1" t="n">
        <v>263.03</v>
      </c>
      <c r="O303" s="1" t="n">
        <v>0</v>
      </c>
      <c r="Q303" s="4" t="n">
        <v>45129</v>
      </c>
      <c r="R303" s="0" t="n">
        <f aca="false">IF(ISBLANK(F303),"Missing",IFERROR(YEAR(F303),"Missing"))</f>
        <v>2021</v>
      </c>
      <c r="S303" s="0" t="str">
        <f aca="false">IF(ISBLANK(E303),"Missing",IF(E303&lt;6,"0-6mo",IF(E303&lt;12,"6-12mo",IF(E303&lt;24,"12-24mo","24mo+"))))</f>
        <v>24mo+</v>
      </c>
      <c r="T303" s="0" t="n">
        <f aca="false">IF(ISBLANK(C303),0,IF(C303="Month-to-month",2,IF(C303="One year",1,0)))+IF(ISBLANK(I303),0,IF(I303&lt;40,2,IF(I303&lt;55,1,0)))+IF(ISBLANK(M303),0,IF(M303=1,3,0))+IF(ISBLANK(L303),0,IF(L303&gt;=2,1,0))+IF(ISBLANK(E303),0,IF(E303&lt;12,1,0))</f>
        <v>3</v>
      </c>
      <c r="U303" s="0" t="str">
        <f aca="false">IF((ISBLANK(B303)*1+ISBLANK(C303)*1+ISBLANK(D303)*1+ISBLANK(E303)*1+ISBLANK(F303)*1+ISBLANK(I303)*1+ISBLANK(J303)*1+ISBLANK(K303)*1+ISBLANK(L303)*1+ISBLANK(M303)*1+ISBLANK(N303)*1+ISBLANK(O303)*1)&gt;0,"Missing Data","OK")</f>
        <v>OK</v>
      </c>
      <c r="V303" s="0" t="str">
        <f aca="false">IF(T303&gt;=6,"High Risk",IF(T303&gt;=3,"Medium Risk","Low Risk"))</f>
        <v>Medium Risk</v>
      </c>
    </row>
    <row r="304" customFormat="false" ht="12.8" hidden="false" customHeight="false" outlineLevel="0" collapsed="false">
      <c r="A304" s="1" t="s">
        <v>334</v>
      </c>
      <c r="B304" s="1" t="s">
        <v>23</v>
      </c>
      <c r="C304" s="1" t="s">
        <v>34</v>
      </c>
      <c r="D304" s="1" t="n">
        <v>19.33</v>
      </c>
      <c r="E304" s="1" t="n">
        <v>1</v>
      </c>
      <c r="F304" s="4" t="n">
        <v>44249</v>
      </c>
      <c r="G304" s="1" t="s">
        <v>25</v>
      </c>
      <c r="H304" s="1" t="n">
        <v>1</v>
      </c>
      <c r="I304" s="1" t="n">
        <v>67.4</v>
      </c>
      <c r="J304" s="1" t="n">
        <v>16</v>
      </c>
      <c r="K304" s="1" t="n">
        <v>8</v>
      </c>
      <c r="L304" s="1" t="n">
        <v>2</v>
      </c>
      <c r="M304" s="1" t="n">
        <v>1</v>
      </c>
      <c r="N304" s="1" t="n">
        <v>19.33</v>
      </c>
      <c r="O304" s="1" t="n">
        <v>0</v>
      </c>
      <c r="Q304" s="4" t="n">
        <v>44279</v>
      </c>
      <c r="R304" s="0" t="n">
        <f aca="false">IF(ISBLANK(F304),"Missing",IFERROR(YEAR(F304),"Missing"))</f>
        <v>2021</v>
      </c>
      <c r="S304" s="0" t="str">
        <f aca="false">IF(ISBLANK(E304),"Missing",IF(E304&lt;6,"0-6mo",IF(E304&lt;12,"6-12mo",IF(E304&lt;24,"12-24mo","24mo+"))))</f>
        <v>0-6mo</v>
      </c>
      <c r="T304" s="0" t="n">
        <f aca="false">IF(ISBLANK(C304),0,IF(C304="Month-to-month",2,IF(C304="One year",1,0)))+IF(ISBLANK(I304),0,IF(I304&lt;40,2,IF(I304&lt;55,1,0)))+IF(ISBLANK(M304),0,IF(M304=1,3,0))+IF(ISBLANK(L304),0,IF(L304&gt;=2,1,0))+IF(ISBLANK(E304),0,IF(E304&lt;12,1,0))</f>
        <v>6</v>
      </c>
      <c r="U304" s="0" t="str">
        <f aca="false">IF((ISBLANK(B304)*1+ISBLANK(C304)*1+ISBLANK(D304)*1+ISBLANK(E304)*1+ISBLANK(F304)*1+ISBLANK(I304)*1+ISBLANK(J304)*1+ISBLANK(K304)*1+ISBLANK(L304)*1+ISBLANK(M304)*1+ISBLANK(N304)*1+ISBLANK(O304)*1)&gt;0,"Missing Data","OK")</f>
        <v>OK</v>
      </c>
      <c r="V304" s="0" t="str">
        <f aca="false">IF(T304&gt;=6,"High Risk",IF(T304&gt;=3,"Medium Risk","Low Risk"))</f>
        <v>High Risk</v>
      </c>
    </row>
    <row r="305" customFormat="false" ht="12.8" hidden="false" customHeight="false" outlineLevel="0" collapsed="false">
      <c r="A305" s="1" t="s">
        <v>335</v>
      </c>
      <c r="B305" s="1" t="s">
        <v>23</v>
      </c>
      <c r="C305" s="1" t="s">
        <v>34</v>
      </c>
      <c r="D305" s="1" t="n">
        <v>20.82</v>
      </c>
      <c r="E305" s="1" t="n">
        <v>22</v>
      </c>
      <c r="F305" s="4" t="n">
        <v>44249</v>
      </c>
      <c r="G305" s="1" t="s">
        <v>25</v>
      </c>
      <c r="H305" s="1" t="n">
        <v>1</v>
      </c>
      <c r="I305" s="1" t="n">
        <v>84.3</v>
      </c>
      <c r="J305" s="1" t="n">
        <v>22</v>
      </c>
      <c r="K305" s="1" t="n">
        <v>9</v>
      </c>
      <c r="L305" s="1" t="n">
        <v>2</v>
      </c>
      <c r="M305" s="1" t="n">
        <v>0</v>
      </c>
      <c r="N305" s="1" t="n">
        <v>458.04</v>
      </c>
      <c r="O305" s="1" t="n">
        <v>0</v>
      </c>
      <c r="Q305" s="4" t="n">
        <v>44918</v>
      </c>
      <c r="R305" s="0" t="n">
        <f aca="false">IF(ISBLANK(F305),"Missing",IFERROR(YEAR(F305),"Missing"))</f>
        <v>2021</v>
      </c>
      <c r="S305" s="0" t="str">
        <f aca="false">IF(ISBLANK(E305),"Missing",IF(E305&lt;6,"0-6mo",IF(E305&lt;12,"6-12mo",IF(E305&lt;24,"12-24mo","24mo+"))))</f>
        <v>12-24mo</v>
      </c>
      <c r="T305" s="0" t="n">
        <f aca="false">IF(ISBLANK(C305),0,IF(C305="Month-to-month",2,IF(C305="One year",1,0)))+IF(ISBLANK(I305),0,IF(I305&lt;40,2,IF(I305&lt;55,1,0)))+IF(ISBLANK(M305),0,IF(M305=1,3,0))+IF(ISBLANK(L305),0,IF(L305&gt;=2,1,0))+IF(ISBLANK(E305),0,IF(E305&lt;12,1,0))</f>
        <v>2</v>
      </c>
      <c r="U305" s="0" t="str">
        <f aca="false">IF((ISBLANK(B305)*1+ISBLANK(C305)*1+ISBLANK(D305)*1+ISBLANK(E305)*1+ISBLANK(F305)*1+ISBLANK(I305)*1+ISBLANK(J305)*1+ISBLANK(K305)*1+ISBLANK(L305)*1+ISBLANK(M305)*1+ISBLANK(N305)*1+ISBLANK(O305)*1)&gt;0,"Missing Data","OK")</f>
        <v>OK</v>
      </c>
      <c r="V305" s="0" t="str">
        <f aca="false">IF(T305&gt;=6,"High Risk",IF(T305&gt;=3,"Medium Risk","Low Risk"))</f>
        <v>Low Risk</v>
      </c>
    </row>
    <row r="306" customFormat="false" ht="12.8" hidden="false" customHeight="false" outlineLevel="0" collapsed="false">
      <c r="A306" s="1" t="s">
        <v>336</v>
      </c>
      <c r="B306" s="1" t="s">
        <v>36</v>
      </c>
      <c r="C306" s="1" t="s">
        <v>51</v>
      </c>
      <c r="D306" s="1" t="n">
        <v>10.05</v>
      </c>
      <c r="E306" s="1" t="n">
        <v>6</v>
      </c>
      <c r="F306" s="4" t="n">
        <v>44251</v>
      </c>
      <c r="G306" s="1" t="s">
        <v>25</v>
      </c>
      <c r="H306" s="1" t="n">
        <v>0</v>
      </c>
      <c r="I306" s="1" t="n">
        <v>73</v>
      </c>
      <c r="J306" s="1" t="n">
        <v>30</v>
      </c>
      <c r="K306" s="1" t="n">
        <v>9</v>
      </c>
      <c r="L306" s="1" t="n">
        <v>3</v>
      </c>
      <c r="M306" s="1" t="n">
        <v>0</v>
      </c>
      <c r="N306" s="1" t="n">
        <v>60.3</v>
      </c>
      <c r="O306" s="1" t="n">
        <v>0</v>
      </c>
      <c r="Q306" s="4" t="n">
        <v>44433</v>
      </c>
      <c r="R306" s="0" t="n">
        <f aca="false">IF(ISBLANK(F306),"Missing",IFERROR(YEAR(F306),"Missing"))</f>
        <v>2021</v>
      </c>
      <c r="S306" s="0" t="str">
        <f aca="false">IF(ISBLANK(E306),"Missing",IF(E306&lt;6,"0-6mo",IF(E306&lt;12,"6-12mo",IF(E306&lt;24,"12-24mo","24mo+"))))</f>
        <v>6-12mo</v>
      </c>
      <c r="T306" s="0" t="n">
        <f aca="false">IF(ISBLANK(C306),0,IF(C306="Month-to-month",2,IF(C306="One year",1,0)))+IF(ISBLANK(I306),0,IF(I306&lt;40,2,IF(I306&lt;55,1,0)))+IF(ISBLANK(M306),0,IF(M306=1,3,0))+IF(ISBLANK(L306),0,IF(L306&gt;=2,1,0))+IF(ISBLANK(E306),0,IF(E306&lt;12,1,0))</f>
        <v>2</v>
      </c>
      <c r="U306" s="0" t="str">
        <f aca="false">IF((ISBLANK(B306)*1+ISBLANK(C306)*1+ISBLANK(D306)*1+ISBLANK(E306)*1+ISBLANK(F306)*1+ISBLANK(I306)*1+ISBLANK(J306)*1+ISBLANK(K306)*1+ISBLANK(L306)*1+ISBLANK(M306)*1+ISBLANK(N306)*1+ISBLANK(O306)*1)&gt;0,"Missing Data","OK")</f>
        <v>OK</v>
      </c>
      <c r="V306" s="0" t="str">
        <f aca="false">IF(T306&gt;=6,"High Risk",IF(T306&gt;=3,"Medium Risk","Low Risk"))</f>
        <v>Low Risk</v>
      </c>
    </row>
    <row r="307" customFormat="false" ht="12.8" hidden="false" customHeight="false" outlineLevel="0" collapsed="false">
      <c r="A307" s="1" t="s">
        <v>337</v>
      </c>
      <c r="B307" s="1" t="s">
        <v>29</v>
      </c>
      <c r="C307" s="1" t="s">
        <v>24</v>
      </c>
      <c r="D307" s="1" t="n">
        <v>40</v>
      </c>
      <c r="E307" s="1" t="n">
        <v>53</v>
      </c>
      <c r="F307" s="4" t="n">
        <v>44252</v>
      </c>
      <c r="G307" s="1" t="s">
        <v>39</v>
      </c>
      <c r="H307" s="1" t="n">
        <v>1</v>
      </c>
      <c r="I307" s="1" t="n">
        <v>48.9</v>
      </c>
      <c r="J307" s="1" t="n">
        <v>14</v>
      </c>
      <c r="K307" s="1" t="n">
        <v>5</v>
      </c>
      <c r="L307" s="1" t="n">
        <v>1</v>
      </c>
      <c r="M307" s="1" t="n">
        <v>0</v>
      </c>
      <c r="N307" s="1" t="n">
        <v>2120</v>
      </c>
      <c r="O307" s="1" t="n">
        <v>1</v>
      </c>
      <c r="P307" s="4" t="n">
        <v>45865</v>
      </c>
      <c r="Q307" s="4" t="n">
        <v>45865</v>
      </c>
      <c r="R307" s="0" t="n">
        <f aca="false">IF(ISBLANK(F307),"Missing",IFERROR(YEAR(F307),"Missing"))</f>
        <v>2021</v>
      </c>
      <c r="S307" s="0" t="str">
        <f aca="false">IF(ISBLANK(E307),"Missing",IF(E307&lt;6,"0-6mo",IF(E307&lt;12,"6-12mo",IF(E307&lt;24,"12-24mo","24mo+"))))</f>
        <v>24mo+</v>
      </c>
      <c r="T307" s="0" t="n">
        <f aca="false">IF(ISBLANK(C307),0,IF(C307="Month-to-month",2,IF(C307="One year",1,0)))+IF(ISBLANK(I307),0,IF(I307&lt;40,2,IF(I307&lt;55,1,0)))+IF(ISBLANK(M307),0,IF(M307=1,3,0))+IF(ISBLANK(L307),0,IF(L307&gt;=2,1,0))+IF(ISBLANK(E307),0,IF(E307&lt;12,1,0))</f>
        <v>3</v>
      </c>
      <c r="U307" s="0" t="str">
        <f aca="false">IF((ISBLANK(B307)*1+ISBLANK(C307)*1+ISBLANK(D307)*1+ISBLANK(E307)*1+ISBLANK(F307)*1+ISBLANK(I307)*1+ISBLANK(J307)*1+ISBLANK(K307)*1+ISBLANK(L307)*1+ISBLANK(M307)*1+ISBLANK(N307)*1+ISBLANK(O307)*1)&gt;0,"Missing Data","OK")</f>
        <v>OK</v>
      </c>
      <c r="V307" s="0" t="str">
        <f aca="false">IF(T307&gt;=6,"High Risk",IF(T307&gt;=3,"Medium Risk","Low Risk"))</f>
        <v>Medium Risk</v>
      </c>
    </row>
    <row r="308" customFormat="false" ht="12.8" hidden="false" customHeight="false" outlineLevel="0" collapsed="false">
      <c r="A308" s="1" t="s">
        <v>338</v>
      </c>
      <c r="B308" s="1" t="s">
        <v>23</v>
      </c>
      <c r="C308" s="1" t="s">
        <v>24</v>
      </c>
      <c r="D308" s="1" t="n">
        <v>19.4</v>
      </c>
      <c r="E308" s="1" t="n">
        <v>22</v>
      </c>
      <c r="F308" s="4" t="n">
        <v>44253</v>
      </c>
      <c r="G308" s="1" t="s">
        <v>25</v>
      </c>
      <c r="H308" s="1" t="n">
        <v>1</v>
      </c>
      <c r="I308" s="1" t="n">
        <v>40.7</v>
      </c>
      <c r="J308" s="1" t="n">
        <v>9</v>
      </c>
      <c r="K308" s="1" t="n">
        <v>6</v>
      </c>
      <c r="L308" s="1" t="n">
        <v>2</v>
      </c>
      <c r="M308" s="1" t="n">
        <v>0</v>
      </c>
      <c r="N308" s="1" t="n">
        <v>426.8</v>
      </c>
      <c r="O308" s="1" t="n">
        <v>0</v>
      </c>
      <c r="Q308" s="4" t="n">
        <v>44922</v>
      </c>
      <c r="R308" s="0" t="n">
        <f aca="false">IF(ISBLANK(F308),"Missing",IFERROR(YEAR(F308),"Missing"))</f>
        <v>2021</v>
      </c>
      <c r="S308" s="0" t="str">
        <f aca="false">IF(ISBLANK(E308),"Missing",IF(E308&lt;6,"0-6mo",IF(E308&lt;12,"6-12mo",IF(E308&lt;24,"12-24mo","24mo+"))))</f>
        <v>12-24mo</v>
      </c>
      <c r="T308" s="0" t="n">
        <f aca="false">IF(ISBLANK(C308),0,IF(C308="Month-to-month",2,IF(C308="One year",1,0)))+IF(ISBLANK(I308),0,IF(I308&lt;40,2,IF(I308&lt;55,1,0)))+IF(ISBLANK(M308),0,IF(M308=1,3,0))+IF(ISBLANK(L308),0,IF(L308&gt;=2,1,0))+IF(ISBLANK(E308),0,IF(E308&lt;12,1,0))</f>
        <v>4</v>
      </c>
      <c r="U308" s="0" t="str">
        <f aca="false">IF((ISBLANK(B308)*1+ISBLANK(C308)*1+ISBLANK(D308)*1+ISBLANK(E308)*1+ISBLANK(F308)*1+ISBLANK(I308)*1+ISBLANK(J308)*1+ISBLANK(K308)*1+ISBLANK(L308)*1+ISBLANK(M308)*1+ISBLANK(N308)*1+ISBLANK(O308)*1)&gt;0,"Missing Data","OK")</f>
        <v>OK</v>
      </c>
      <c r="V308" s="0" t="str">
        <f aca="false">IF(T308&gt;=6,"High Risk",IF(T308&gt;=3,"Medium Risk","Low Risk"))</f>
        <v>Medium Risk</v>
      </c>
    </row>
    <row r="309" customFormat="false" ht="12.8" hidden="false" customHeight="false" outlineLevel="0" collapsed="false">
      <c r="A309" s="1" t="s">
        <v>339</v>
      </c>
      <c r="B309" s="1" t="s">
        <v>23</v>
      </c>
      <c r="C309" s="1" t="s">
        <v>34</v>
      </c>
      <c r="D309" s="1" t="n">
        <v>20.5</v>
      </c>
      <c r="E309" s="1" t="n">
        <v>72</v>
      </c>
      <c r="F309" s="4" t="n">
        <v>44254</v>
      </c>
      <c r="G309" s="1" t="s">
        <v>25</v>
      </c>
      <c r="H309" s="1" t="n">
        <v>0</v>
      </c>
      <c r="I309" s="1" t="n">
        <v>71.4</v>
      </c>
      <c r="J309" s="1" t="n">
        <v>19</v>
      </c>
      <c r="K309" s="1" t="n">
        <v>5</v>
      </c>
      <c r="L309" s="1" t="n">
        <v>0</v>
      </c>
      <c r="M309" s="1" t="n">
        <v>0</v>
      </c>
      <c r="N309" s="1" t="n">
        <v>1476</v>
      </c>
      <c r="O309" s="1" t="n">
        <v>0</v>
      </c>
      <c r="Q309" s="4" t="n">
        <v>46293</v>
      </c>
      <c r="R309" s="0" t="n">
        <f aca="false">IF(ISBLANK(F309),"Missing",IFERROR(YEAR(F309),"Missing"))</f>
        <v>2021</v>
      </c>
      <c r="S309" s="0" t="str">
        <f aca="false">IF(ISBLANK(E309),"Missing",IF(E309&lt;6,"0-6mo",IF(E309&lt;12,"6-12mo",IF(E309&lt;24,"12-24mo","24mo+"))))</f>
        <v>24mo+</v>
      </c>
      <c r="T309" s="0" t="n">
        <f aca="false">IF(ISBLANK(C309),0,IF(C309="Month-to-month",2,IF(C309="One year",1,0)))+IF(ISBLANK(I309),0,IF(I309&lt;40,2,IF(I309&lt;55,1,0)))+IF(ISBLANK(M309),0,IF(M309=1,3,0))+IF(ISBLANK(L309),0,IF(L309&gt;=2,1,0))+IF(ISBLANK(E309),0,IF(E309&lt;12,1,0))</f>
        <v>1</v>
      </c>
      <c r="U309" s="0" t="str">
        <f aca="false">IF((ISBLANK(B309)*1+ISBLANK(C309)*1+ISBLANK(D309)*1+ISBLANK(E309)*1+ISBLANK(F309)*1+ISBLANK(I309)*1+ISBLANK(J309)*1+ISBLANK(K309)*1+ISBLANK(L309)*1+ISBLANK(M309)*1+ISBLANK(N309)*1+ISBLANK(O309)*1)&gt;0,"Missing Data","OK")</f>
        <v>OK</v>
      </c>
      <c r="V309" s="0" t="str">
        <f aca="false">IF(T309&gt;=6,"High Risk",IF(T309&gt;=3,"Medium Risk","Low Risk"))</f>
        <v>Low Risk</v>
      </c>
    </row>
    <row r="310" customFormat="false" ht="12.8" hidden="false" customHeight="false" outlineLevel="0" collapsed="false">
      <c r="A310" s="1" t="s">
        <v>340</v>
      </c>
      <c r="B310" s="1" t="s">
        <v>23</v>
      </c>
      <c r="C310" s="1" t="s">
        <v>34</v>
      </c>
      <c r="D310" s="1" t="n">
        <v>19.68</v>
      </c>
      <c r="E310" s="1" t="n">
        <v>18</v>
      </c>
      <c r="F310" s="4" t="n">
        <v>44257</v>
      </c>
      <c r="G310" s="1" t="s">
        <v>25</v>
      </c>
      <c r="H310" s="1" t="n">
        <v>1</v>
      </c>
      <c r="I310" s="1" t="n">
        <v>25.1</v>
      </c>
      <c r="J310" s="1" t="n">
        <v>7</v>
      </c>
      <c r="K310" s="1" t="n">
        <v>0</v>
      </c>
      <c r="L310" s="1" t="n">
        <v>1</v>
      </c>
      <c r="M310" s="1" t="n">
        <v>0</v>
      </c>
      <c r="N310" s="1" t="n">
        <v>354.24</v>
      </c>
      <c r="O310" s="1" t="n">
        <v>1</v>
      </c>
      <c r="P310" s="4" t="n">
        <v>44804</v>
      </c>
      <c r="Q310" s="4" t="n">
        <v>44804</v>
      </c>
      <c r="R310" s="0" t="n">
        <f aca="false">IF(ISBLANK(F310),"Missing",IFERROR(YEAR(F310),"Missing"))</f>
        <v>2021</v>
      </c>
      <c r="S310" s="0" t="str">
        <f aca="false">IF(ISBLANK(E310),"Missing",IF(E310&lt;6,"0-6mo",IF(E310&lt;12,"6-12mo",IF(E310&lt;24,"12-24mo","24mo+"))))</f>
        <v>12-24mo</v>
      </c>
      <c r="T310" s="0" t="n">
        <f aca="false">IF(ISBLANK(C310),0,IF(C310="Month-to-month",2,IF(C310="One year",1,0)))+IF(ISBLANK(I310),0,IF(I310&lt;40,2,IF(I310&lt;55,1,0)))+IF(ISBLANK(M310),0,IF(M310=1,3,0))+IF(ISBLANK(L310),0,IF(L310&gt;=2,1,0))+IF(ISBLANK(E310),0,IF(E310&lt;12,1,0))</f>
        <v>3</v>
      </c>
      <c r="U310" s="0" t="str">
        <f aca="false">IF((ISBLANK(B310)*1+ISBLANK(C310)*1+ISBLANK(D310)*1+ISBLANK(E310)*1+ISBLANK(F310)*1+ISBLANK(I310)*1+ISBLANK(J310)*1+ISBLANK(K310)*1+ISBLANK(L310)*1+ISBLANK(M310)*1+ISBLANK(N310)*1+ISBLANK(O310)*1)&gt;0,"Missing Data","OK")</f>
        <v>OK</v>
      </c>
      <c r="V310" s="0" t="str">
        <f aca="false">IF(T310&gt;=6,"High Risk",IF(T310&gt;=3,"Medium Risk","Low Risk"))</f>
        <v>Medium Risk</v>
      </c>
    </row>
    <row r="311" customFormat="false" ht="12.8" hidden="false" customHeight="false" outlineLevel="0" collapsed="false">
      <c r="A311" s="1" t="s">
        <v>341</v>
      </c>
      <c r="B311" s="1" t="s">
        <v>36</v>
      </c>
      <c r="C311" s="1" t="s">
        <v>34</v>
      </c>
      <c r="D311" s="1" t="n">
        <v>9.32</v>
      </c>
      <c r="E311" s="1" t="n">
        <v>20</v>
      </c>
      <c r="F311" s="4" t="n">
        <v>44258</v>
      </c>
      <c r="G311" s="1" t="s">
        <v>25</v>
      </c>
      <c r="H311" s="1" t="n">
        <v>0</v>
      </c>
      <c r="I311" s="1" t="n">
        <v>82.8</v>
      </c>
      <c r="J311" s="1" t="n">
        <v>21</v>
      </c>
      <c r="K311" s="1" t="n">
        <v>7</v>
      </c>
      <c r="L311" s="1" t="n">
        <v>2</v>
      </c>
      <c r="M311" s="1" t="n">
        <v>1</v>
      </c>
      <c r="N311" s="1" t="n">
        <v>186.4</v>
      </c>
      <c r="O311" s="1" t="n">
        <v>0</v>
      </c>
      <c r="Q311" s="4" t="n">
        <v>44866</v>
      </c>
      <c r="R311" s="0" t="n">
        <f aca="false">IF(ISBLANK(F311),"Missing",IFERROR(YEAR(F311),"Missing"))</f>
        <v>2021</v>
      </c>
      <c r="S311" s="0" t="str">
        <f aca="false">IF(ISBLANK(E311),"Missing",IF(E311&lt;6,"0-6mo",IF(E311&lt;12,"6-12mo",IF(E311&lt;24,"12-24mo","24mo+"))))</f>
        <v>12-24mo</v>
      </c>
      <c r="T311" s="0" t="n">
        <f aca="false">IF(ISBLANK(C311),0,IF(C311="Month-to-month",2,IF(C311="One year",1,0)))+IF(ISBLANK(I311),0,IF(I311&lt;40,2,IF(I311&lt;55,1,0)))+IF(ISBLANK(M311),0,IF(M311=1,3,0))+IF(ISBLANK(L311),0,IF(L311&gt;=2,1,0))+IF(ISBLANK(E311),0,IF(E311&lt;12,1,0))</f>
        <v>5</v>
      </c>
      <c r="U311" s="0" t="str">
        <f aca="false">IF((ISBLANK(B311)*1+ISBLANK(C311)*1+ISBLANK(D311)*1+ISBLANK(E311)*1+ISBLANK(F311)*1+ISBLANK(I311)*1+ISBLANK(J311)*1+ISBLANK(K311)*1+ISBLANK(L311)*1+ISBLANK(M311)*1+ISBLANK(N311)*1+ISBLANK(O311)*1)&gt;0,"Missing Data","OK")</f>
        <v>OK</v>
      </c>
      <c r="V311" s="0" t="str">
        <f aca="false">IF(T311&gt;=6,"High Risk",IF(T311&gt;=3,"Medium Risk","Low Risk"))</f>
        <v>Medium Risk</v>
      </c>
    </row>
    <row r="312" customFormat="false" ht="12.8" hidden="false" customHeight="false" outlineLevel="0" collapsed="false">
      <c r="A312" s="1" t="s">
        <v>342</v>
      </c>
      <c r="B312" s="1" t="s">
        <v>36</v>
      </c>
      <c r="C312" s="1" t="s">
        <v>24</v>
      </c>
      <c r="D312" s="1" t="n">
        <v>9.05</v>
      </c>
      <c r="E312" s="1" t="n">
        <v>18</v>
      </c>
      <c r="F312" s="4" t="n">
        <v>44260</v>
      </c>
      <c r="G312" s="1" t="s">
        <v>27</v>
      </c>
      <c r="H312" s="1" t="n">
        <v>1</v>
      </c>
      <c r="I312" s="1" t="n">
        <v>50.1</v>
      </c>
      <c r="J312" s="1" t="n">
        <v>18</v>
      </c>
      <c r="K312" s="1" t="n">
        <v>5</v>
      </c>
      <c r="L312" s="1" t="n">
        <v>1</v>
      </c>
      <c r="M312" s="1" t="n">
        <v>0</v>
      </c>
      <c r="N312" s="1" t="n">
        <v>162.9</v>
      </c>
      <c r="O312" s="1" t="n">
        <v>1</v>
      </c>
      <c r="P312" s="4" t="n">
        <v>44807</v>
      </c>
      <c r="Q312" s="4" t="n">
        <v>44807</v>
      </c>
      <c r="R312" s="0" t="n">
        <f aca="false">IF(ISBLANK(F312),"Missing",IFERROR(YEAR(F312),"Missing"))</f>
        <v>2021</v>
      </c>
      <c r="S312" s="0" t="str">
        <f aca="false">IF(ISBLANK(E312),"Missing",IF(E312&lt;6,"0-6mo",IF(E312&lt;12,"6-12mo",IF(E312&lt;24,"12-24mo","24mo+"))))</f>
        <v>12-24mo</v>
      </c>
      <c r="T312" s="0" t="n">
        <f aca="false">IF(ISBLANK(C312),0,IF(C312="Month-to-month",2,IF(C312="One year",1,0)))+IF(ISBLANK(I312),0,IF(I312&lt;40,2,IF(I312&lt;55,1,0)))+IF(ISBLANK(M312),0,IF(M312=1,3,0))+IF(ISBLANK(L312),0,IF(L312&gt;=2,1,0))+IF(ISBLANK(E312),0,IF(E312&lt;12,1,0))</f>
        <v>3</v>
      </c>
      <c r="U312" s="0" t="str">
        <f aca="false">IF((ISBLANK(B312)*1+ISBLANK(C312)*1+ISBLANK(D312)*1+ISBLANK(E312)*1+ISBLANK(F312)*1+ISBLANK(I312)*1+ISBLANK(J312)*1+ISBLANK(K312)*1+ISBLANK(L312)*1+ISBLANK(M312)*1+ISBLANK(N312)*1+ISBLANK(O312)*1)&gt;0,"Missing Data","OK")</f>
        <v>OK</v>
      </c>
      <c r="V312" s="0" t="str">
        <f aca="false">IF(T312&gt;=6,"High Risk",IF(T312&gt;=3,"Medium Risk","Low Risk"))</f>
        <v>Medium Risk</v>
      </c>
    </row>
    <row r="313" customFormat="false" ht="12.8" hidden="false" customHeight="false" outlineLevel="0" collapsed="false">
      <c r="A313" s="1" t="s">
        <v>343</v>
      </c>
      <c r="B313" s="1" t="s">
        <v>36</v>
      </c>
      <c r="C313" s="1" t="s">
        <v>34</v>
      </c>
      <c r="D313" s="1" t="n">
        <v>7.87</v>
      </c>
      <c r="E313" s="1" t="n">
        <v>32</v>
      </c>
      <c r="F313" s="4" t="n">
        <v>44260</v>
      </c>
      <c r="G313" s="1" t="s">
        <v>39</v>
      </c>
      <c r="H313" s="1" t="n">
        <v>1</v>
      </c>
      <c r="I313" s="1" t="n">
        <v>10.6</v>
      </c>
      <c r="J313" s="1" t="n">
        <v>1</v>
      </c>
      <c r="K313" s="1" t="n">
        <v>2</v>
      </c>
      <c r="L313" s="1" t="n">
        <v>3</v>
      </c>
      <c r="M313" s="1" t="n">
        <v>1</v>
      </c>
      <c r="N313" s="1" t="n">
        <v>251.84</v>
      </c>
      <c r="O313" s="1" t="n">
        <v>0</v>
      </c>
      <c r="Q313" s="4" t="n">
        <v>45234</v>
      </c>
      <c r="R313" s="0" t="n">
        <f aca="false">IF(ISBLANK(F313),"Missing",IFERROR(YEAR(F313),"Missing"))</f>
        <v>2021</v>
      </c>
      <c r="S313" s="0" t="str">
        <f aca="false">IF(ISBLANK(E313),"Missing",IF(E313&lt;6,"0-6mo",IF(E313&lt;12,"6-12mo",IF(E313&lt;24,"12-24mo","24mo+"))))</f>
        <v>24mo+</v>
      </c>
      <c r="T313" s="0" t="n">
        <f aca="false">IF(ISBLANK(C313),0,IF(C313="Month-to-month",2,IF(C313="One year",1,0)))+IF(ISBLANK(I313),0,IF(I313&lt;40,2,IF(I313&lt;55,1,0)))+IF(ISBLANK(M313),0,IF(M313=1,3,0))+IF(ISBLANK(L313),0,IF(L313&gt;=2,1,0))+IF(ISBLANK(E313),0,IF(E313&lt;12,1,0))</f>
        <v>7</v>
      </c>
      <c r="U313" s="0" t="str">
        <f aca="false">IF((ISBLANK(B313)*1+ISBLANK(C313)*1+ISBLANK(D313)*1+ISBLANK(E313)*1+ISBLANK(F313)*1+ISBLANK(I313)*1+ISBLANK(J313)*1+ISBLANK(K313)*1+ISBLANK(L313)*1+ISBLANK(M313)*1+ISBLANK(N313)*1+ISBLANK(O313)*1)&gt;0,"Missing Data","OK")</f>
        <v>OK</v>
      </c>
      <c r="V313" s="0" t="str">
        <f aca="false">IF(T313&gt;=6,"High Risk",IF(T313&gt;=3,"Medium Risk","Low Risk"))</f>
        <v>High Risk</v>
      </c>
    </row>
    <row r="314" customFormat="false" ht="12.8" hidden="false" customHeight="false" outlineLevel="0" collapsed="false">
      <c r="A314" s="1" t="s">
        <v>344</v>
      </c>
      <c r="B314" s="1" t="s">
        <v>36</v>
      </c>
      <c r="C314" s="1" t="s">
        <v>24</v>
      </c>
      <c r="D314" s="1" t="n">
        <v>9.34</v>
      </c>
      <c r="E314" s="1" t="n">
        <v>45</v>
      </c>
      <c r="F314" s="4" t="n">
        <v>44260</v>
      </c>
      <c r="G314" s="1" t="s">
        <v>25</v>
      </c>
      <c r="H314" s="1" t="n">
        <v>0</v>
      </c>
      <c r="I314" s="1" t="n">
        <v>36.5</v>
      </c>
      <c r="J314" s="1" t="n">
        <v>7</v>
      </c>
      <c r="K314" s="1" t="n">
        <v>4</v>
      </c>
      <c r="L314" s="1" t="n">
        <v>0</v>
      </c>
      <c r="M314" s="1" t="n">
        <v>0</v>
      </c>
      <c r="N314" s="1" t="n">
        <v>420.3</v>
      </c>
      <c r="O314" s="1" t="n">
        <v>0</v>
      </c>
      <c r="Q314" s="4" t="n">
        <v>45629</v>
      </c>
      <c r="R314" s="0" t="n">
        <f aca="false">IF(ISBLANK(F314),"Missing",IFERROR(YEAR(F314),"Missing"))</f>
        <v>2021</v>
      </c>
      <c r="S314" s="0" t="str">
        <f aca="false">IF(ISBLANK(E314),"Missing",IF(E314&lt;6,"0-6mo",IF(E314&lt;12,"6-12mo",IF(E314&lt;24,"12-24mo","24mo+"))))</f>
        <v>24mo+</v>
      </c>
      <c r="T314" s="0" t="n">
        <f aca="false">IF(ISBLANK(C314),0,IF(C314="Month-to-month",2,IF(C314="One year",1,0)))+IF(ISBLANK(I314),0,IF(I314&lt;40,2,IF(I314&lt;55,1,0)))+IF(ISBLANK(M314),0,IF(M314=1,3,0))+IF(ISBLANK(L314),0,IF(L314&gt;=2,1,0))+IF(ISBLANK(E314),0,IF(E314&lt;12,1,0))</f>
        <v>4</v>
      </c>
      <c r="U314" s="0" t="str">
        <f aca="false">IF((ISBLANK(B314)*1+ISBLANK(C314)*1+ISBLANK(D314)*1+ISBLANK(E314)*1+ISBLANK(F314)*1+ISBLANK(I314)*1+ISBLANK(J314)*1+ISBLANK(K314)*1+ISBLANK(L314)*1+ISBLANK(M314)*1+ISBLANK(N314)*1+ISBLANK(O314)*1)&gt;0,"Missing Data","OK")</f>
        <v>OK</v>
      </c>
      <c r="V314" s="0" t="str">
        <f aca="false">IF(T314&gt;=6,"High Risk",IF(T314&gt;=3,"Medium Risk","Low Risk"))</f>
        <v>Medium Risk</v>
      </c>
    </row>
    <row r="315" customFormat="false" ht="12.8" hidden="false" customHeight="false" outlineLevel="0" collapsed="false">
      <c r="A315" s="1" t="s">
        <v>345</v>
      </c>
      <c r="B315" s="1" t="s">
        <v>36</v>
      </c>
      <c r="C315" s="1" t="s">
        <v>24</v>
      </c>
      <c r="D315" s="1" t="n">
        <v>9.89</v>
      </c>
      <c r="E315" s="1" t="n">
        <v>11</v>
      </c>
      <c r="F315" s="4" t="n">
        <v>44260</v>
      </c>
      <c r="G315" s="1" t="s">
        <v>25</v>
      </c>
      <c r="H315" s="1" t="n">
        <v>0</v>
      </c>
      <c r="I315" s="1" t="n">
        <v>49.3</v>
      </c>
      <c r="J315" s="1" t="n">
        <v>23</v>
      </c>
      <c r="K315" s="1" t="n">
        <v>5</v>
      </c>
      <c r="L315" s="1" t="n">
        <v>2</v>
      </c>
      <c r="M315" s="1" t="n">
        <v>0</v>
      </c>
      <c r="N315" s="1" t="n">
        <v>108.79</v>
      </c>
      <c r="O315" s="1" t="n">
        <v>1</v>
      </c>
      <c r="P315" s="4" t="n">
        <v>44594</v>
      </c>
      <c r="Q315" s="4" t="n">
        <v>44594</v>
      </c>
      <c r="R315" s="0" t="n">
        <f aca="false">IF(ISBLANK(F315),"Missing",IFERROR(YEAR(F315),"Missing"))</f>
        <v>2021</v>
      </c>
      <c r="S315" s="0" t="str">
        <f aca="false">IF(ISBLANK(E315),"Missing",IF(E315&lt;6,"0-6mo",IF(E315&lt;12,"6-12mo",IF(E315&lt;24,"12-24mo","24mo+"))))</f>
        <v>6-12mo</v>
      </c>
      <c r="T315" s="0" t="n">
        <f aca="false">IF(ISBLANK(C315),0,IF(C315="Month-to-month",2,IF(C315="One year",1,0)))+IF(ISBLANK(I315),0,IF(I315&lt;40,2,IF(I315&lt;55,1,0)))+IF(ISBLANK(M315),0,IF(M315=1,3,0))+IF(ISBLANK(L315),0,IF(L315&gt;=2,1,0))+IF(ISBLANK(E315),0,IF(E315&lt;12,1,0))</f>
        <v>5</v>
      </c>
      <c r="U315" s="0" t="str">
        <f aca="false">IF((ISBLANK(B315)*1+ISBLANK(C315)*1+ISBLANK(D315)*1+ISBLANK(E315)*1+ISBLANK(F315)*1+ISBLANK(I315)*1+ISBLANK(J315)*1+ISBLANK(K315)*1+ISBLANK(L315)*1+ISBLANK(M315)*1+ISBLANK(N315)*1+ISBLANK(O315)*1)&gt;0,"Missing Data","OK")</f>
        <v>OK</v>
      </c>
      <c r="V315" s="0" t="str">
        <f aca="false">IF(T315&gt;=6,"High Risk",IF(T315&gt;=3,"Medium Risk","Low Risk"))</f>
        <v>Medium Risk</v>
      </c>
    </row>
    <row r="316" customFormat="false" ht="12.8" hidden="false" customHeight="false" outlineLevel="0" collapsed="false">
      <c r="A316" s="1" t="s">
        <v>346</v>
      </c>
      <c r="B316" s="1" t="s">
        <v>36</v>
      </c>
      <c r="C316" s="1" t="s">
        <v>24</v>
      </c>
      <c r="D316" s="1" t="n">
        <v>10.68</v>
      </c>
      <c r="E316" s="1" t="n">
        <v>41</v>
      </c>
      <c r="F316" s="4" t="n">
        <v>44260</v>
      </c>
      <c r="G316" s="1" t="s">
        <v>39</v>
      </c>
      <c r="H316" s="1" t="n">
        <v>1</v>
      </c>
      <c r="I316" s="1" t="n">
        <v>63.8</v>
      </c>
      <c r="J316" s="1" t="n">
        <v>19</v>
      </c>
      <c r="K316" s="1" t="n">
        <v>9</v>
      </c>
      <c r="L316" s="1" t="n">
        <v>0</v>
      </c>
      <c r="M316" s="1" t="n">
        <v>0</v>
      </c>
      <c r="N316" s="1" t="n">
        <v>437.88</v>
      </c>
      <c r="O316" s="1" t="n">
        <v>0</v>
      </c>
      <c r="Q316" s="4" t="n">
        <v>45508</v>
      </c>
      <c r="R316" s="0" t="n">
        <f aca="false">IF(ISBLANK(F316),"Missing",IFERROR(YEAR(F316),"Missing"))</f>
        <v>2021</v>
      </c>
      <c r="S316" s="0" t="str">
        <f aca="false">IF(ISBLANK(E316),"Missing",IF(E316&lt;6,"0-6mo",IF(E316&lt;12,"6-12mo",IF(E316&lt;24,"12-24mo","24mo+"))))</f>
        <v>24mo+</v>
      </c>
      <c r="T316" s="0" t="n">
        <f aca="false">IF(ISBLANK(C316),0,IF(C316="Month-to-month",2,IF(C316="One year",1,0)))+IF(ISBLANK(I316),0,IF(I316&lt;40,2,IF(I316&lt;55,1,0)))+IF(ISBLANK(M316),0,IF(M316=1,3,0))+IF(ISBLANK(L316),0,IF(L316&gt;=2,1,0))+IF(ISBLANK(E316),0,IF(E316&lt;12,1,0))</f>
        <v>2</v>
      </c>
      <c r="U316" s="0" t="str">
        <f aca="false">IF((ISBLANK(B316)*1+ISBLANK(C316)*1+ISBLANK(D316)*1+ISBLANK(E316)*1+ISBLANK(F316)*1+ISBLANK(I316)*1+ISBLANK(J316)*1+ISBLANK(K316)*1+ISBLANK(L316)*1+ISBLANK(M316)*1+ISBLANK(N316)*1+ISBLANK(O316)*1)&gt;0,"Missing Data","OK")</f>
        <v>OK</v>
      </c>
      <c r="V316" s="0" t="str">
        <f aca="false">IF(T316&gt;=6,"High Risk",IF(T316&gt;=3,"Medium Risk","Low Risk"))</f>
        <v>Low Risk</v>
      </c>
    </row>
    <row r="317" customFormat="false" ht="12.8" hidden="false" customHeight="false" outlineLevel="0" collapsed="false">
      <c r="A317" s="1" t="s">
        <v>347</v>
      </c>
      <c r="B317" s="1" t="s">
        <v>23</v>
      </c>
      <c r="C317" s="1" t="s">
        <v>34</v>
      </c>
      <c r="D317" s="1" t="n">
        <v>19.14</v>
      </c>
      <c r="E317" s="1" t="n">
        <v>19</v>
      </c>
      <c r="F317" s="4" t="n">
        <v>44262</v>
      </c>
      <c r="G317" s="1" t="s">
        <v>25</v>
      </c>
      <c r="H317" s="1" t="n">
        <v>1</v>
      </c>
      <c r="I317" s="1" t="n">
        <v>50.7</v>
      </c>
      <c r="J317" s="1" t="n">
        <v>14</v>
      </c>
      <c r="K317" s="1" t="n">
        <v>5</v>
      </c>
      <c r="L317" s="1" t="n">
        <v>1</v>
      </c>
      <c r="M317" s="1" t="n">
        <v>1</v>
      </c>
      <c r="N317" s="1" t="n">
        <v>363.66</v>
      </c>
      <c r="O317" s="1" t="n">
        <v>0</v>
      </c>
      <c r="Q317" s="4" t="n">
        <v>44840</v>
      </c>
      <c r="R317" s="0" t="n">
        <f aca="false">IF(ISBLANK(F317),"Missing",IFERROR(YEAR(F317),"Missing"))</f>
        <v>2021</v>
      </c>
      <c r="S317" s="0" t="str">
        <f aca="false">IF(ISBLANK(E317),"Missing",IF(E317&lt;6,"0-6mo",IF(E317&lt;12,"6-12mo",IF(E317&lt;24,"12-24mo","24mo+"))))</f>
        <v>12-24mo</v>
      </c>
      <c r="T317" s="0" t="n">
        <f aca="false">IF(ISBLANK(C317),0,IF(C317="Month-to-month",2,IF(C317="One year",1,0)))+IF(ISBLANK(I317),0,IF(I317&lt;40,2,IF(I317&lt;55,1,0)))+IF(ISBLANK(M317),0,IF(M317=1,3,0))+IF(ISBLANK(L317),0,IF(L317&gt;=2,1,0))+IF(ISBLANK(E317),0,IF(E317&lt;12,1,0))</f>
        <v>5</v>
      </c>
      <c r="U317" s="0" t="str">
        <f aca="false">IF((ISBLANK(B317)*1+ISBLANK(C317)*1+ISBLANK(D317)*1+ISBLANK(E317)*1+ISBLANK(F317)*1+ISBLANK(I317)*1+ISBLANK(J317)*1+ISBLANK(K317)*1+ISBLANK(L317)*1+ISBLANK(M317)*1+ISBLANK(N317)*1+ISBLANK(O317)*1)&gt;0,"Missing Data","OK")</f>
        <v>OK</v>
      </c>
      <c r="V317" s="0" t="str">
        <f aca="false">IF(T317&gt;=6,"High Risk",IF(T317&gt;=3,"Medium Risk","Low Risk"))</f>
        <v>Medium Risk</v>
      </c>
    </row>
    <row r="318" customFormat="false" ht="12.8" hidden="false" customHeight="false" outlineLevel="0" collapsed="false">
      <c r="A318" s="1" t="s">
        <v>348</v>
      </c>
      <c r="B318" s="1" t="s">
        <v>23</v>
      </c>
      <c r="C318" s="1" t="s">
        <v>34</v>
      </c>
      <c r="D318" s="1" t="n">
        <v>19.68</v>
      </c>
      <c r="E318" s="1" t="n">
        <v>53</v>
      </c>
      <c r="F318" s="4" t="n">
        <v>44263</v>
      </c>
      <c r="G318" s="1" t="s">
        <v>39</v>
      </c>
      <c r="H318" s="1" t="n">
        <v>0</v>
      </c>
      <c r="I318" s="1" t="n">
        <v>41.3</v>
      </c>
      <c r="J318" s="1" t="n">
        <v>8</v>
      </c>
      <c r="K318" s="1" t="n">
        <v>3</v>
      </c>
      <c r="L318" s="1" t="n">
        <v>1</v>
      </c>
      <c r="M318" s="1" t="n">
        <v>0</v>
      </c>
      <c r="N318" s="1" t="n">
        <v>1043.04</v>
      </c>
      <c r="O318" s="1" t="n">
        <v>0</v>
      </c>
      <c r="Q318" s="4" t="n">
        <v>45876</v>
      </c>
      <c r="R318" s="0" t="n">
        <f aca="false">IF(ISBLANK(F318),"Missing",IFERROR(YEAR(F318),"Missing"))</f>
        <v>2021</v>
      </c>
      <c r="S318" s="0" t="str">
        <f aca="false">IF(ISBLANK(E318),"Missing",IF(E318&lt;6,"0-6mo",IF(E318&lt;12,"6-12mo",IF(E318&lt;24,"12-24mo","24mo+"))))</f>
        <v>24mo+</v>
      </c>
      <c r="T318" s="0" t="n">
        <f aca="false">IF(ISBLANK(C318),0,IF(C318="Month-to-month",2,IF(C318="One year",1,0)))+IF(ISBLANK(I318),0,IF(I318&lt;40,2,IF(I318&lt;55,1,0)))+IF(ISBLANK(M318),0,IF(M318=1,3,0))+IF(ISBLANK(L318),0,IF(L318&gt;=2,1,0))+IF(ISBLANK(E318),0,IF(E318&lt;12,1,0))</f>
        <v>2</v>
      </c>
      <c r="U318" s="0" t="str">
        <f aca="false">IF((ISBLANK(B318)*1+ISBLANK(C318)*1+ISBLANK(D318)*1+ISBLANK(E318)*1+ISBLANK(F318)*1+ISBLANK(I318)*1+ISBLANK(J318)*1+ISBLANK(K318)*1+ISBLANK(L318)*1+ISBLANK(M318)*1+ISBLANK(N318)*1+ISBLANK(O318)*1)&gt;0,"Missing Data","OK")</f>
        <v>OK</v>
      </c>
      <c r="V318" s="0" t="str">
        <f aca="false">IF(T318&gt;=6,"High Risk",IF(T318&gt;=3,"Medium Risk","Low Risk"))</f>
        <v>Low Risk</v>
      </c>
    </row>
    <row r="319" customFormat="false" ht="12.8" hidden="false" customHeight="false" outlineLevel="0" collapsed="false">
      <c r="A319" s="1" t="s">
        <v>349</v>
      </c>
      <c r="B319" s="1" t="s">
        <v>23</v>
      </c>
      <c r="C319" s="1" t="s">
        <v>24</v>
      </c>
      <c r="D319" s="1" t="n">
        <v>21.31</v>
      </c>
      <c r="E319" s="1" t="n">
        <v>8</v>
      </c>
      <c r="F319" s="4" t="n">
        <v>44265</v>
      </c>
      <c r="G319" s="1" t="s">
        <v>39</v>
      </c>
      <c r="H319" s="1" t="n">
        <v>0</v>
      </c>
      <c r="I319" s="1" t="n">
        <v>41.9</v>
      </c>
      <c r="J319" s="1" t="n">
        <v>11</v>
      </c>
      <c r="K319" s="1" t="n">
        <v>5</v>
      </c>
      <c r="L319" s="1" t="n">
        <v>0</v>
      </c>
      <c r="M319" s="1" t="n">
        <v>0</v>
      </c>
      <c r="N319" s="1" t="n">
        <v>170.48</v>
      </c>
      <c r="O319" s="1" t="n">
        <v>1</v>
      </c>
      <c r="P319" s="4" t="n">
        <v>44508</v>
      </c>
      <c r="Q319" s="4" t="n">
        <v>44508</v>
      </c>
      <c r="R319" s="0" t="n">
        <f aca="false">IF(ISBLANK(F319),"Missing",IFERROR(YEAR(F319),"Missing"))</f>
        <v>2021</v>
      </c>
      <c r="S319" s="0" t="str">
        <f aca="false">IF(ISBLANK(E319),"Missing",IF(E319&lt;6,"0-6mo",IF(E319&lt;12,"6-12mo",IF(E319&lt;24,"12-24mo","24mo+"))))</f>
        <v>6-12mo</v>
      </c>
      <c r="T319" s="0" t="n">
        <f aca="false">IF(ISBLANK(C319),0,IF(C319="Month-to-month",2,IF(C319="One year",1,0)))+IF(ISBLANK(I319),0,IF(I319&lt;40,2,IF(I319&lt;55,1,0)))+IF(ISBLANK(M319),0,IF(M319=1,3,0))+IF(ISBLANK(L319),0,IF(L319&gt;=2,1,0))+IF(ISBLANK(E319),0,IF(E319&lt;12,1,0))</f>
        <v>4</v>
      </c>
      <c r="U319" s="0" t="str">
        <f aca="false">IF((ISBLANK(B319)*1+ISBLANK(C319)*1+ISBLANK(D319)*1+ISBLANK(E319)*1+ISBLANK(F319)*1+ISBLANK(I319)*1+ISBLANK(J319)*1+ISBLANK(K319)*1+ISBLANK(L319)*1+ISBLANK(M319)*1+ISBLANK(N319)*1+ISBLANK(O319)*1)&gt;0,"Missing Data","OK")</f>
        <v>OK</v>
      </c>
      <c r="V319" s="0" t="str">
        <f aca="false">IF(T319&gt;=6,"High Risk",IF(T319&gt;=3,"Medium Risk","Low Risk"))</f>
        <v>Medium Risk</v>
      </c>
    </row>
    <row r="320" customFormat="false" ht="12.8" hidden="false" customHeight="false" outlineLevel="0" collapsed="false">
      <c r="A320" s="1" t="s">
        <v>350</v>
      </c>
      <c r="B320" s="1" t="s">
        <v>23</v>
      </c>
      <c r="C320" s="1" t="s">
        <v>24</v>
      </c>
      <c r="D320" s="1" t="n">
        <v>19.74</v>
      </c>
      <c r="E320" s="1" t="n">
        <v>7</v>
      </c>
      <c r="F320" s="4" t="n">
        <v>44266</v>
      </c>
      <c r="G320" s="1" t="s">
        <v>30</v>
      </c>
      <c r="H320" s="1" t="n">
        <v>1</v>
      </c>
      <c r="I320" s="1" t="n">
        <v>32.5</v>
      </c>
      <c r="J320" s="1" t="n">
        <v>10</v>
      </c>
      <c r="K320" s="1" t="n">
        <v>3</v>
      </c>
      <c r="L320" s="1" t="n">
        <v>1</v>
      </c>
      <c r="M320" s="1" t="n">
        <v>0</v>
      </c>
      <c r="N320" s="1" t="n">
        <v>138.18</v>
      </c>
      <c r="O320" s="1" t="n">
        <v>1</v>
      </c>
      <c r="P320" s="4" t="n">
        <v>44479</v>
      </c>
      <c r="Q320" s="4" t="n">
        <v>44479</v>
      </c>
      <c r="R320" s="0" t="n">
        <f aca="false">IF(ISBLANK(F320),"Missing",IFERROR(YEAR(F320),"Missing"))</f>
        <v>2021</v>
      </c>
      <c r="S320" s="0" t="str">
        <f aca="false">IF(ISBLANK(E320),"Missing",IF(E320&lt;6,"0-6mo",IF(E320&lt;12,"6-12mo",IF(E320&lt;24,"12-24mo","24mo+"))))</f>
        <v>6-12mo</v>
      </c>
      <c r="T320" s="0" t="n">
        <f aca="false">IF(ISBLANK(C320),0,IF(C320="Month-to-month",2,IF(C320="One year",1,0)))+IF(ISBLANK(I320),0,IF(I320&lt;40,2,IF(I320&lt;55,1,0)))+IF(ISBLANK(M320),0,IF(M320=1,3,0))+IF(ISBLANK(L320),0,IF(L320&gt;=2,1,0))+IF(ISBLANK(E320),0,IF(E320&lt;12,1,0))</f>
        <v>5</v>
      </c>
      <c r="U320" s="0" t="str">
        <f aca="false">IF((ISBLANK(B320)*1+ISBLANK(C320)*1+ISBLANK(D320)*1+ISBLANK(E320)*1+ISBLANK(F320)*1+ISBLANK(I320)*1+ISBLANK(J320)*1+ISBLANK(K320)*1+ISBLANK(L320)*1+ISBLANK(M320)*1+ISBLANK(N320)*1+ISBLANK(O320)*1)&gt;0,"Missing Data","OK")</f>
        <v>OK</v>
      </c>
      <c r="V320" s="0" t="str">
        <f aca="false">IF(T320&gt;=6,"High Risk",IF(T320&gt;=3,"Medium Risk","Low Risk"))</f>
        <v>Medium Risk</v>
      </c>
    </row>
    <row r="321" customFormat="false" ht="12.8" hidden="false" customHeight="false" outlineLevel="0" collapsed="false">
      <c r="A321" s="1" t="s">
        <v>351</v>
      </c>
      <c r="B321" s="1" t="s">
        <v>23</v>
      </c>
      <c r="C321" s="1" t="s">
        <v>34</v>
      </c>
      <c r="D321" s="1" t="n">
        <v>18.62</v>
      </c>
      <c r="E321" s="1" t="n">
        <v>14</v>
      </c>
      <c r="F321" s="4" t="n">
        <v>44266</v>
      </c>
      <c r="G321" s="1" t="s">
        <v>25</v>
      </c>
      <c r="H321" s="1" t="n">
        <v>1</v>
      </c>
      <c r="I321" s="1" t="n">
        <v>18.9</v>
      </c>
      <c r="J321" s="1" t="n">
        <v>5</v>
      </c>
      <c r="K321" s="1" t="n">
        <v>3</v>
      </c>
      <c r="L321" s="1" t="n">
        <v>3</v>
      </c>
      <c r="M321" s="1" t="n">
        <v>0</v>
      </c>
      <c r="N321" s="1" t="n">
        <v>260.68</v>
      </c>
      <c r="O321" s="1" t="n">
        <v>0</v>
      </c>
      <c r="Q321" s="4" t="n">
        <v>44692</v>
      </c>
      <c r="R321" s="0" t="n">
        <f aca="false">IF(ISBLANK(F321),"Missing",IFERROR(YEAR(F321),"Missing"))</f>
        <v>2021</v>
      </c>
      <c r="S321" s="0" t="str">
        <f aca="false">IF(ISBLANK(E321),"Missing",IF(E321&lt;6,"0-6mo",IF(E321&lt;12,"6-12mo",IF(E321&lt;24,"12-24mo","24mo+"))))</f>
        <v>12-24mo</v>
      </c>
      <c r="T321" s="0" t="n">
        <f aca="false">IF(ISBLANK(C321),0,IF(C321="Month-to-month",2,IF(C321="One year",1,0)))+IF(ISBLANK(I321),0,IF(I321&lt;40,2,IF(I321&lt;55,1,0)))+IF(ISBLANK(M321),0,IF(M321=1,3,0))+IF(ISBLANK(L321),0,IF(L321&gt;=2,1,0))+IF(ISBLANK(E321),0,IF(E321&lt;12,1,0))</f>
        <v>4</v>
      </c>
      <c r="U321" s="0" t="str">
        <f aca="false">IF((ISBLANK(B321)*1+ISBLANK(C321)*1+ISBLANK(D321)*1+ISBLANK(E321)*1+ISBLANK(F321)*1+ISBLANK(I321)*1+ISBLANK(J321)*1+ISBLANK(K321)*1+ISBLANK(L321)*1+ISBLANK(M321)*1+ISBLANK(N321)*1+ISBLANK(O321)*1)&gt;0,"Missing Data","OK")</f>
        <v>OK</v>
      </c>
      <c r="V321" s="0" t="str">
        <f aca="false">IF(T321&gt;=6,"High Risk",IF(T321&gt;=3,"Medium Risk","Low Risk"))</f>
        <v>Medium Risk</v>
      </c>
    </row>
    <row r="322" customFormat="false" ht="12.8" hidden="false" customHeight="false" outlineLevel="0" collapsed="false">
      <c r="A322" s="1" t="s">
        <v>352</v>
      </c>
      <c r="B322" s="1" t="s">
        <v>36</v>
      </c>
      <c r="C322" s="1" t="s">
        <v>51</v>
      </c>
      <c r="D322" s="1" t="n">
        <v>8.98</v>
      </c>
      <c r="E322" s="1" t="n">
        <v>72</v>
      </c>
      <c r="F322" s="4" t="n">
        <v>44269</v>
      </c>
      <c r="G322" s="1" t="s">
        <v>25</v>
      </c>
      <c r="H322" s="1" t="n">
        <v>0</v>
      </c>
      <c r="I322" s="1" t="n">
        <v>52.4</v>
      </c>
      <c r="J322" s="1" t="n">
        <v>14</v>
      </c>
      <c r="K322" s="1" t="n">
        <v>7</v>
      </c>
      <c r="L322" s="1" t="n">
        <v>1</v>
      </c>
      <c r="M322" s="1" t="n">
        <v>1</v>
      </c>
      <c r="N322" s="1" t="n">
        <v>646.56</v>
      </c>
      <c r="O322" s="1" t="n">
        <v>0</v>
      </c>
      <c r="Q322" s="4" t="n">
        <v>46293</v>
      </c>
      <c r="R322" s="0" t="n">
        <f aca="false">IF(ISBLANK(F322),"Missing",IFERROR(YEAR(F322),"Missing"))</f>
        <v>2021</v>
      </c>
      <c r="S322" s="0" t="str">
        <f aca="false">IF(ISBLANK(E322),"Missing",IF(E322&lt;6,"0-6mo",IF(E322&lt;12,"6-12mo",IF(E322&lt;24,"12-24mo","24mo+"))))</f>
        <v>24mo+</v>
      </c>
      <c r="T322" s="0" t="n">
        <f aca="false">IF(ISBLANK(C322),0,IF(C322="Month-to-month",2,IF(C322="One year",1,0)))+IF(ISBLANK(I322),0,IF(I322&lt;40,2,IF(I322&lt;55,1,0)))+IF(ISBLANK(M322),0,IF(M322=1,3,0))+IF(ISBLANK(L322),0,IF(L322&gt;=2,1,0))+IF(ISBLANK(E322),0,IF(E322&lt;12,1,0))</f>
        <v>4</v>
      </c>
      <c r="U322" s="0" t="str">
        <f aca="false">IF((ISBLANK(B322)*1+ISBLANK(C322)*1+ISBLANK(D322)*1+ISBLANK(E322)*1+ISBLANK(F322)*1+ISBLANK(I322)*1+ISBLANK(J322)*1+ISBLANK(K322)*1+ISBLANK(L322)*1+ISBLANK(M322)*1+ISBLANK(N322)*1+ISBLANK(O322)*1)&gt;0,"Missing Data","OK")</f>
        <v>OK</v>
      </c>
      <c r="V322" s="0" t="str">
        <f aca="false">IF(T322&gt;=6,"High Risk",IF(T322&gt;=3,"Medium Risk","Low Risk"))</f>
        <v>Medium Risk</v>
      </c>
    </row>
    <row r="323" customFormat="false" ht="12.8" hidden="false" customHeight="false" outlineLevel="0" collapsed="false">
      <c r="A323" s="1" t="s">
        <v>353</v>
      </c>
      <c r="B323" s="1" t="s">
        <v>23</v>
      </c>
      <c r="C323" s="1" t="s">
        <v>34</v>
      </c>
      <c r="D323" s="1" t="n">
        <v>19.38</v>
      </c>
      <c r="E323" s="1" t="n">
        <v>1</v>
      </c>
      <c r="F323" s="4" t="n">
        <v>44270</v>
      </c>
      <c r="G323" s="1" t="s">
        <v>30</v>
      </c>
      <c r="H323" s="1" t="n">
        <v>1</v>
      </c>
      <c r="I323" s="1" t="n">
        <v>82</v>
      </c>
      <c r="J323" s="1" t="n">
        <v>17</v>
      </c>
      <c r="K323" s="1" t="n">
        <v>4</v>
      </c>
      <c r="L323" s="1" t="n">
        <v>0</v>
      </c>
      <c r="M323" s="1" t="n">
        <v>0</v>
      </c>
      <c r="N323" s="1" t="n">
        <v>19.38</v>
      </c>
      <c r="O323" s="1" t="n">
        <v>0</v>
      </c>
      <c r="Q323" s="4" t="n">
        <v>44300</v>
      </c>
      <c r="R323" s="0" t="n">
        <f aca="false">IF(ISBLANK(F323),"Missing",IFERROR(YEAR(F323),"Missing"))</f>
        <v>2021</v>
      </c>
      <c r="S323" s="0" t="str">
        <f aca="false">IF(ISBLANK(E323),"Missing",IF(E323&lt;6,"0-6mo",IF(E323&lt;12,"6-12mo",IF(E323&lt;24,"12-24mo","24mo+"))))</f>
        <v>0-6mo</v>
      </c>
      <c r="T323" s="0" t="n">
        <f aca="false">IF(ISBLANK(C323),0,IF(C323="Month-to-month",2,IF(C323="One year",1,0)))+IF(ISBLANK(I323),0,IF(I323&lt;40,2,IF(I323&lt;55,1,0)))+IF(ISBLANK(M323),0,IF(M323=1,3,0))+IF(ISBLANK(L323),0,IF(L323&gt;=2,1,0))+IF(ISBLANK(E323),0,IF(E323&lt;12,1,0))</f>
        <v>2</v>
      </c>
      <c r="U323" s="0" t="str">
        <f aca="false">IF((ISBLANK(B323)*1+ISBLANK(C323)*1+ISBLANK(D323)*1+ISBLANK(E323)*1+ISBLANK(F323)*1+ISBLANK(I323)*1+ISBLANK(J323)*1+ISBLANK(K323)*1+ISBLANK(L323)*1+ISBLANK(M323)*1+ISBLANK(N323)*1+ISBLANK(O323)*1)&gt;0,"Missing Data","OK")</f>
        <v>OK</v>
      </c>
      <c r="V323" s="0" t="str">
        <f aca="false">IF(T323&gt;=6,"High Risk",IF(T323&gt;=3,"Medium Risk","Low Risk"))</f>
        <v>Low Risk</v>
      </c>
    </row>
    <row r="324" customFormat="false" ht="12.8" hidden="false" customHeight="false" outlineLevel="0" collapsed="false">
      <c r="A324" s="1" t="s">
        <v>354</v>
      </c>
      <c r="B324" s="1" t="s">
        <v>23</v>
      </c>
      <c r="C324" s="1" t="s">
        <v>24</v>
      </c>
      <c r="D324" s="1" t="n">
        <v>20.08</v>
      </c>
      <c r="E324" s="1" t="n">
        <v>3</v>
      </c>
      <c r="F324" s="4" t="n">
        <v>44271</v>
      </c>
      <c r="G324" s="1" t="s">
        <v>39</v>
      </c>
      <c r="H324" s="1" t="n">
        <v>0</v>
      </c>
      <c r="I324" s="1" t="n">
        <v>51.2</v>
      </c>
      <c r="J324" s="1" t="n">
        <v>20</v>
      </c>
      <c r="K324" s="1" t="n">
        <v>6</v>
      </c>
      <c r="L324" s="1" t="n">
        <v>1</v>
      </c>
      <c r="M324" s="1" t="n">
        <v>0</v>
      </c>
      <c r="N324" s="1" t="n">
        <v>60.24</v>
      </c>
      <c r="O324" s="1" t="n">
        <v>0</v>
      </c>
      <c r="Q324" s="4" t="n">
        <v>44362</v>
      </c>
      <c r="R324" s="0" t="n">
        <f aca="false">IF(ISBLANK(F324),"Missing",IFERROR(YEAR(F324),"Missing"))</f>
        <v>2021</v>
      </c>
      <c r="S324" s="0" t="str">
        <f aca="false">IF(ISBLANK(E324),"Missing",IF(E324&lt;6,"0-6mo",IF(E324&lt;12,"6-12mo",IF(E324&lt;24,"12-24mo","24mo+"))))</f>
        <v>0-6mo</v>
      </c>
      <c r="T324" s="0" t="n">
        <f aca="false">IF(ISBLANK(C324),0,IF(C324="Month-to-month",2,IF(C324="One year",1,0)))+IF(ISBLANK(I324),0,IF(I324&lt;40,2,IF(I324&lt;55,1,0)))+IF(ISBLANK(M324),0,IF(M324=1,3,0))+IF(ISBLANK(L324),0,IF(L324&gt;=2,1,0))+IF(ISBLANK(E324),0,IF(E324&lt;12,1,0))</f>
        <v>4</v>
      </c>
      <c r="U324" s="0" t="str">
        <f aca="false">IF((ISBLANK(B324)*1+ISBLANK(C324)*1+ISBLANK(D324)*1+ISBLANK(E324)*1+ISBLANK(F324)*1+ISBLANK(I324)*1+ISBLANK(J324)*1+ISBLANK(K324)*1+ISBLANK(L324)*1+ISBLANK(M324)*1+ISBLANK(N324)*1+ISBLANK(O324)*1)&gt;0,"Missing Data","OK")</f>
        <v>OK</v>
      </c>
      <c r="V324" s="0" t="str">
        <f aca="false">IF(T324&gt;=6,"High Risk",IF(T324&gt;=3,"Medium Risk","Low Risk"))</f>
        <v>Medium Risk</v>
      </c>
    </row>
    <row r="325" customFormat="false" ht="12.8" hidden="false" customHeight="false" outlineLevel="0" collapsed="false">
      <c r="A325" s="1" t="s">
        <v>355</v>
      </c>
      <c r="B325" s="1" t="s">
        <v>36</v>
      </c>
      <c r="C325" s="1" t="s">
        <v>51</v>
      </c>
      <c r="D325" s="1" t="n">
        <v>11.1</v>
      </c>
      <c r="E325" s="1" t="n">
        <v>6</v>
      </c>
      <c r="F325" s="4" t="n">
        <v>44273</v>
      </c>
      <c r="G325" s="1" t="s">
        <v>25</v>
      </c>
      <c r="H325" s="1" t="n">
        <v>1</v>
      </c>
      <c r="I325" s="1" t="n">
        <v>51.3</v>
      </c>
      <c r="J325" s="1" t="n">
        <v>16</v>
      </c>
      <c r="K325" s="1" t="n">
        <v>5</v>
      </c>
      <c r="L325" s="1" t="n">
        <v>4</v>
      </c>
      <c r="M325" s="1" t="n">
        <v>0</v>
      </c>
      <c r="N325" s="1" t="n">
        <v>66.6</v>
      </c>
      <c r="O325" s="1" t="n">
        <v>0</v>
      </c>
      <c r="Q325" s="4" t="n">
        <v>44455</v>
      </c>
      <c r="R325" s="0" t="n">
        <f aca="false">IF(ISBLANK(F325),"Missing",IFERROR(YEAR(F325),"Missing"))</f>
        <v>2021</v>
      </c>
      <c r="S325" s="0" t="str">
        <f aca="false">IF(ISBLANK(E325),"Missing",IF(E325&lt;6,"0-6mo",IF(E325&lt;12,"6-12mo",IF(E325&lt;24,"12-24mo","24mo+"))))</f>
        <v>6-12mo</v>
      </c>
      <c r="T325" s="0" t="n">
        <f aca="false">IF(ISBLANK(C325),0,IF(C325="Month-to-month",2,IF(C325="One year",1,0)))+IF(ISBLANK(I325),0,IF(I325&lt;40,2,IF(I325&lt;55,1,0)))+IF(ISBLANK(M325),0,IF(M325=1,3,0))+IF(ISBLANK(L325),0,IF(L325&gt;=2,1,0))+IF(ISBLANK(E325),0,IF(E325&lt;12,1,0))</f>
        <v>3</v>
      </c>
      <c r="U325" s="0" t="str">
        <f aca="false">IF((ISBLANK(B325)*1+ISBLANK(C325)*1+ISBLANK(D325)*1+ISBLANK(E325)*1+ISBLANK(F325)*1+ISBLANK(I325)*1+ISBLANK(J325)*1+ISBLANK(K325)*1+ISBLANK(L325)*1+ISBLANK(M325)*1+ISBLANK(N325)*1+ISBLANK(O325)*1)&gt;0,"Missing Data","OK")</f>
        <v>OK</v>
      </c>
      <c r="V325" s="0" t="str">
        <f aca="false">IF(T325&gt;=6,"High Risk",IF(T325&gt;=3,"Medium Risk","Low Risk"))</f>
        <v>Medium Risk</v>
      </c>
    </row>
    <row r="326" customFormat="false" ht="12.8" hidden="false" customHeight="false" outlineLevel="0" collapsed="false">
      <c r="A326" s="1" t="s">
        <v>356</v>
      </c>
      <c r="B326" s="1" t="s">
        <v>36</v>
      </c>
      <c r="C326" s="1" t="s">
        <v>24</v>
      </c>
      <c r="D326" s="1" t="n">
        <v>11.37</v>
      </c>
      <c r="E326" s="1" t="n">
        <v>4</v>
      </c>
      <c r="F326" s="4" t="n">
        <v>44273</v>
      </c>
      <c r="G326" s="1" t="s">
        <v>27</v>
      </c>
      <c r="H326" s="1" t="n">
        <v>1</v>
      </c>
      <c r="I326" s="1" t="n">
        <v>47</v>
      </c>
      <c r="J326" s="1" t="n">
        <v>20</v>
      </c>
      <c r="K326" s="1" t="n">
        <v>6</v>
      </c>
      <c r="L326" s="1" t="n">
        <v>1</v>
      </c>
      <c r="M326" s="1" t="n">
        <v>1</v>
      </c>
      <c r="N326" s="1" t="n">
        <v>45.48</v>
      </c>
      <c r="O326" s="1" t="n">
        <v>1</v>
      </c>
      <c r="P326" s="4" t="n">
        <v>44394</v>
      </c>
      <c r="Q326" s="4" t="n">
        <v>44394</v>
      </c>
      <c r="R326" s="0" t="n">
        <f aca="false">IF(ISBLANK(F326),"Missing",IFERROR(YEAR(F326),"Missing"))</f>
        <v>2021</v>
      </c>
      <c r="S326" s="0" t="str">
        <f aca="false">IF(ISBLANK(E326),"Missing",IF(E326&lt;6,"0-6mo",IF(E326&lt;12,"6-12mo",IF(E326&lt;24,"12-24mo","24mo+"))))</f>
        <v>0-6mo</v>
      </c>
      <c r="T326" s="0" t="n">
        <f aca="false">IF(ISBLANK(C326),0,IF(C326="Month-to-month",2,IF(C326="One year",1,0)))+IF(ISBLANK(I326),0,IF(I326&lt;40,2,IF(I326&lt;55,1,0)))+IF(ISBLANK(M326),0,IF(M326=1,3,0))+IF(ISBLANK(L326),0,IF(L326&gt;=2,1,0))+IF(ISBLANK(E326),0,IF(E326&lt;12,1,0))</f>
        <v>7</v>
      </c>
      <c r="U326" s="0" t="str">
        <f aca="false">IF((ISBLANK(B326)*1+ISBLANK(C326)*1+ISBLANK(D326)*1+ISBLANK(E326)*1+ISBLANK(F326)*1+ISBLANK(I326)*1+ISBLANK(J326)*1+ISBLANK(K326)*1+ISBLANK(L326)*1+ISBLANK(M326)*1+ISBLANK(N326)*1+ISBLANK(O326)*1)&gt;0,"Missing Data","OK")</f>
        <v>OK</v>
      </c>
      <c r="V326" s="0" t="str">
        <f aca="false">IF(T326&gt;=6,"High Risk",IF(T326&gt;=3,"Medium Risk","Low Risk"))</f>
        <v>High Risk</v>
      </c>
    </row>
    <row r="327" customFormat="false" ht="12.8" hidden="false" customHeight="false" outlineLevel="0" collapsed="false">
      <c r="A327" s="1" t="s">
        <v>357</v>
      </c>
      <c r="B327" s="1" t="s">
        <v>36</v>
      </c>
      <c r="C327" s="1" t="s">
        <v>51</v>
      </c>
      <c r="D327" s="1" t="n">
        <v>10.91</v>
      </c>
      <c r="E327" s="1" t="n">
        <v>22</v>
      </c>
      <c r="F327" s="4" t="n">
        <v>44276</v>
      </c>
      <c r="G327" s="1" t="s">
        <v>27</v>
      </c>
      <c r="H327" s="1" t="n">
        <v>1</v>
      </c>
      <c r="I327" s="1" t="n">
        <v>64</v>
      </c>
      <c r="J327" s="1" t="n">
        <v>18</v>
      </c>
      <c r="K327" s="1" t="n">
        <v>6</v>
      </c>
      <c r="L327" s="1" t="n">
        <v>0</v>
      </c>
      <c r="M327" s="1" t="n">
        <v>0</v>
      </c>
      <c r="N327" s="1" t="n">
        <v>240.02</v>
      </c>
      <c r="O327" s="1" t="n">
        <v>0</v>
      </c>
      <c r="Q327" s="4" t="n">
        <v>44945</v>
      </c>
      <c r="R327" s="0" t="n">
        <f aca="false">IF(ISBLANK(F327),"Missing",IFERROR(YEAR(F327),"Missing"))</f>
        <v>2021</v>
      </c>
      <c r="S327" s="0" t="str">
        <f aca="false">IF(ISBLANK(E327),"Missing",IF(E327&lt;6,"0-6mo",IF(E327&lt;12,"6-12mo",IF(E327&lt;24,"12-24mo","24mo+"))))</f>
        <v>12-24mo</v>
      </c>
      <c r="T327" s="0" t="n">
        <f aca="false">IF(ISBLANK(C327),0,IF(C327="Month-to-month",2,IF(C327="One year",1,0)))+IF(ISBLANK(I327),0,IF(I327&lt;40,2,IF(I327&lt;55,1,0)))+IF(ISBLANK(M327),0,IF(M327=1,3,0))+IF(ISBLANK(L327),0,IF(L327&gt;=2,1,0))+IF(ISBLANK(E327),0,IF(E327&lt;12,1,0))</f>
        <v>0</v>
      </c>
      <c r="U327" s="0" t="str">
        <f aca="false">IF((ISBLANK(B327)*1+ISBLANK(C327)*1+ISBLANK(D327)*1+ISBLANK(E327)*1+ISBLANK(F327)*1+ISBLANK(I327)*1+ISBLANK(J327)*1+ISBLANK(K327)*1+ISBLANK(L327)*1+ISBLANK(M327)*1+ISBLANK(N327)*1+ISBLANK(O327)*1)&gt;0,"Missing Data","OK")</f>
        <v>OK</v>
      </c>
      <c r="V327" s="0" t="str">
        <f aca="false">IF(T327&gt;=6,"High Risk",IF(T327&gt;=3,"Medium Risk","Low Risk"))</f>
        <v>Low Risk</v>
      </c>
    </row>
    <row r="328" customFormat="false" ht="12.8" hidden="false" customHeight="false" outlineLevel="0" collapsed="false">
      <c r="A328" s="1" t="s">
        <v>358</v>
      </c>
      <c r="B328" s="1" t="s">
        <v>36</v>
      </c>
      <c r="C328" s="1" t="s">
        <v>34</v>
      </c>
      <c r="D328" s="1" t="n">
        <v>9.86</v>
      </c>
      <c r="E328" s="1" t="n">
        <v>17</v>
      </c>
      <c r="F328" s="4" t="n">
        <v>44277</v>
      </c>
      <c r="G328" s="1" t="s">
        <v>39</v>
      </c>
      <c r="H328" s="1" t="n">
        <v>0</v>
      </c>
      <c r="I328" s="1" t="n">
        <v>39.8</v>
      </c>
      <c r="J328" s="1" t="n">
        <v>11</v>
      </c>
      <c r="K328" s="1" t="n">
        <v>5</v>
      </c>
      <c r="L328" s="1" t="n">
        <v>3</v>
      </c>
      <c r="M328" s="1" t="n">
        <v>0</v>
      </c>
      <c r="N328" s="1" t="n">
        <v>167.62</v>
      </c>
      <c r="O328" s="1" t="n">
        <v>0</v>
      </c>
      <c r="Q328" s="4" t="n">
        <v>44794</v>
      </c>
      <c r="R328" s="0" t="n">
        <f aca="false">IF(ISBLANK(F328),"Missing",IFERROR(YEAR(F328),"Missing"))</f>
        <v>2021</v>
      </c>
      <c r="S328" s="0" t="str">
        <f aca="false">IF(ISBLANK(E328),"Missing",IF(E328&lt;6,"0-6mo",IF(E328&lt;12,"6-12mo",IF(E328&lt;24,"12-24mo","24mo+"))))</f>
        <v>12-24mo</v>
      </c>
      <c r="T328" s="0" t="n">
        <f aca="false">IF(ISBLANK(C328),0,IF(C328="Month-to-month",2,IF(C328="One year",1,0)))+IF(ISBLANK(I328),0,IF(I328&lt;40,2,IF(I328&lt;55,1,0)))+IF(ISBLANK(M328),0,IF(M328=1,3,0))+IF(ISBLANK(L328),0,IF(L328&gt;=2,1,0))+IF(ISBLANK(E328),0,IF(E328&lt;12,1,0))</f>
        <v>4</v>
      </c>
      <c r="U328" s="0" t="str">
        <f aca="false">IF((ISBLANK(B328)*1+ISBLANK(C328)*1+ISBLANK(D328)*1+ISBLANK(E328)*1+ISBLANK(F328)*1+ISBLANK(I328)*1+ISBLANK(J328)*1+ISBLANK(K328)*1+ISBLANK(L328)*1+ISBLANK(M328)*1+ISBLANK(N328)*1+ISBLANK(O328)*1)&gt;0,"Missing Data","OK")</f>
        <v>OK</v>
      </c>
      <c r="V328" s="0" t="str">
        <f aca="false">IF(T328&gt;=6,"High Risk",IF(T328&gt;=3,"Medium Risk","Low Risk"))</f>
        <v>Medium Risk</v>
      </c>
    </row>
    <row r="329" customFormat="false" ht="12.8" hidden="false" customHeight="false" outlineLevel="0" collapsed="false">
      <c r="A329" s="1" t="s">
        <v>359</v>
      </c>
      <c r="B329" s="1" t="s">
        <v>23</v>
      </c>
      <c r="C329" s="1" t="s">
        <v>34</v>
      </c>
      <c r="D329" s="1" t="n">
        <v>17.46</v>
      </c>
      <c r="E329" s="1" t="n">
        <v>4</v>
      </c>
      <c r="F329" s="4" t="n">
        <v>44277</v>
      </c>
      <c r="G329" s="1" t="s">
        <v>39</v>
      </c>
      <c r="H329" s="1" t="n">
        <v>0</v>
      </c>
      <c r="I329" s="1" t="n">
        <v>43.4</v>
      </c>
      <c r="J329" s="1" t="n">
        <v>15</v>
      </c>
      <c r="K329" s="1" t="n">
        <v>4</v>
      </c>
      <c r="L329" s="1" t="n">
        <v>0</v>
      </c>
      <c r="M329" s="1" t="n">
        <v>0</v>
      </c>
      <c r="N329" s="1" t="n">
        <v>69.84</v>
      </c>
      <c r="O329" s="1" t="n">
        <v>0</v>
      </c>
      <c r="Q329" s="4" t="n">
        <v>44398</v>
      </c>
      <c r="R329" s="0" t="n">
        <f aca="false">IF(ISBLANK(F329),"Missing",IFERROR(YEAR(F329),"Missing"))</f>
        <v>2021</v>
      </c>
      <c r="S329" s="0" t="str">
        <f aca="false">IF(ISBLANK(E329),"Missing",IF(E329&lt;6,"0-6mo",IF(E329&lt;12,"6-12mo",IF(E329&lt;24,"12-24mo","24mo+"))))</f>
        <v>0-6mo</v>
      </c>
      <c r="T329" s="0" t="n">
        <f aca="false">IF(ISBLANK(C329),0,IF(C329="Month-to-month",2,IF(C329="One year",1,0)))+IF(ISBLANK(I329),0,IF(I329&lt;40,2,IF(I329&lt;55,1,0)))+IF(ISBLANK(M329),0,IF(M329=1,3,0))+IF(ISBLANK(L329),0,IF(L329&gt;=2,1,0))+IF(ISBLANK(E329),0,IF(E329&lt;12,1,0))</f>
        <v>3</v>
      </c>
      <c r="U329" s="0" t="str">
        <f aca="false">IF((ISBLANK(B329)*1+ISBLANK(C329)*1+ISBLANK(D329)*1+ISBLANK(E329)*1+ISBLANK(F329)*1+ISBLANK(I329)*1+ISBLANK(J329)*1+ISBLANK(K329)*1+ISBLANK(L329)*1+ISBLANK(M329)*1+ISBLANK(N329)*1+ISBLANK(O329)*1)&gt;0,"Missing Data","OK")</f>
        <v>OK</v>
      </c>
      <c r="V329" s="0" t="str">
        <f aca="false">IF(T329&gt;=6,"High Risk",IF(T329&gt;=3,"Medium Risk","Low Risk"))</f>
        <v>Medium Risk</v>
      </c>
    </row>
    <row r="330" customFormat="false" ht="12.8" hidden="false" customHeight="false" outlineLevel="0" collapsed="false">
      <c r="A330" s="1" t="s">
        <v>360</v>
      </c>
      <c r="B330" s="1" t="s">
        <v>23</v>
      </c>
      <c r="C330" s="1" t="s">
        <v>24</v>
      </c>
      <c r="D330" s="1" t="n">
        <v>20.48</v>
      </c>
      <c r="E330" s="1" t="n">
        <v>2</v>
      </c>
      <c r="F330" s="4" t="n">
        <v>44280</v>
      </c>
      <c r="G330" s="1" t="s">
        <v>30</v>
      </c>
      <c r="H330" s="1" t="n">
        <v>1</v>
      </c>
      <c r="I330" s="1" t="n">
        <v>68.7</v>
      </c>
      <c r="J330" s="1" t="n">
        <v>18</v>
      </c>
      <c r="K330" s="1" t="n">
        <v>7</v>
      </c>
      <c r="L330" s="1" t="n">
        <v>0</v>
      </c>
      <c r="M330" s="1" t="n">
        <v>0</v>
      </c>
      <c r="N330" s="1" t="n">
        <v>40.96</v>
      </c>
      <c r="O330" s="1" t="n">
        <v>1</v>
      </c>
      <c r="P330" s="4" t="n">
        <v>44340</v>
      </c>
      <c r="Q330" s="4" t="n">
        <v>44340</v>
      </c>
      <c r="R330" s="0" t="n">
        <f aca="false">IF(ISBLANK(F330),"Missing",IFERROR(YEAR(F330),"Missing"))</f>
        <v>2021</v>
      </c>
      <c r="S330" s="0" t="str">
        <f aca="false">IF(ISBLANK(E330),"Missing",IF(E330&lt;6,"0-6mo",IF(E330&lt;12,"6-12mo",IF(E330&lt;24,"12-24mo","24mo+"))))</f>
        <v>0-6mo</v>
      </c>
      <c r="T330" s="0" t="n">
        <f aca="false">IF(ISBLANK(C330),0,IF(C330="Month-to-month",2,IF(C330="One year",1,0)))+IF(ISBLANK(I330),0,IF(I330&lt;40,2,IF(I330&lt;55,1,0)))+IF(ISBLANK(M330),0,IF(M330=1,3,0))+IF(ISBLANK(L330),0,IF(L330&gt;=2,1,0))+IF(ISBLANK(E330),0,IF(E330&lt;12,1,0))</f>
        <v>3</v>
      </c>
      <c r="U330" s="0" t="str">
        <f aca="false">IF((ISBLANK(B330)*1+ISBLANK(C330)*1+ISBLANK(D330)*1+ISBLANK(E330)*1+ISBLANK(F330)*1+ISBLANK(I330)*1+ISBLANK(J330)*1+ISBLANK(K330)*1+ISBLANK(L330)*1+ISBLANK(M330)*1+ISBLANK(N330)*1+ISBLANK(O330)*1)&gt;0,"Missing Data","OK")</f>
        <v>OK</v>
      </c>
      <c r="V330" s="0" t="str">
        <f aca="false">IF(T330&gt;=6,"High Risk",IF(T330&gt;=3,"Medium Risk","Low Risk"))</f>
        <v>Medium Risk</v>
      </c>
    </row>
    <row r="331" customFormat="false" ht="12.8" hidden="false" customHeight="false" outlineLevel="0" collapsed="false">
      <c r="A331" s="1" t="s">
        <v>361</v>
      </c>
      <c r="B331" s="1" t="s">
        <v>23</v>
      </c>
      <c r="C331" s="1" t="s">
        <v>34</v>
      </c>
      <c r="D331" s="1" t="n">
        <v>20.77</v>
      </c>
      <c r="E331" s="1" t="n">
        <v>35</v>
      </c>
      <c r="F331" s="4" t="n">
        <v>44281</v>
      </c>
      <c r="G331" s="1" t="s">
        <v>27</v>
      </c>
      <c r="H331" s="1" t="n">
        <v>0</v>
      </c>
      <c r="I331" s="1" t="n">
        <v>60.6</v>
      </c>
      <c r="J331" s="1" t="n">
        <v>17</v>
      </c>
      <c r="K331" s="1" t="n">
        <v>7</v>
      </c>
      <c r="L331" s="1" t="n">
        <v>3</v>
      </c>
      <c r="M331" s="1" t="n">
        <v>0</v>
      </c>
      <c r="N331" s="1" t="n">
        <v>726.95</v>
      </c>
      <c r="O331" s="1" t="n">
        <v>0</v>
      </c>
      <c r="Q331" s="4" t="n">
        <v>45346</v>
      </c>
      <c r="R331" s="0" t="n">
        <f aca="false">IF(ISBLANK(F331),"Missing",IFERROR(YEAR(F331),"Missing"))</f>
        <v>2021</v>
      </c>
      <c r="S331" s="0" t="str">
        <f aca="false">IF(ISBLANK(E331),"Missing",IF(E331&lt;6,"0-6mo",IF(E331&lt;12,"6-12mo",IF(E331&lt;24,"12-24mo","24mo+"))))</f>
        <v>24mo+</v>
      </c>
      <c r="T331" s="0" t="n">
        <f aca="false">IF(ISBLANK(C331),0,IF(C331="Month-to-month",2,IF(C331="One year",1,0)))+IF(ISBLANK(I331),0,IF(I331&lt;40,2,IF(I331&lt;55,1,0)))+IF(ISBLANK(M331),0,IF(M331=1,3,0))+IF(ISBLANK(L331),0,IF(L331&gt;=2,1,0))+IF(ISBLANK(E331),0,IF(E331&lt;12,1,0))</f>
        <v>2</v>
      </c>
      <c r="U331" s="0" t="str">
        <f aca="false">IF((ISBLANK(B331)*1+ISBLANK(C331)*1+ISBLANK(D331)*1+ISBLANK(E331)*1+ISBLANK(F331)*1+ISBLANK(I331)*1+ISBLANK(J331)*1+ISBLANK(K331)*1+ISBLANK(L331)*1+ISBLANK(M331)*1+ISBLANK(N331)*1+ISBLANK(O331)*1)&gt;0,"Missing Data","OK")</f>
        <v>OK</v>
      </c>
      <c r="V331" s="0" t="str">
        <f aca="false">IF(T331&gt;=6,"High Risk",IF(T331&gt;=3,"Medium Risk","Low Risk"))</f>
        <v>Low Risk</v>
      </c>
    </row>
    <row r="332" customFormat="false" ht="12.8" hidden="false" customHeight="false" outlineLevel="0" collapsed="false">
      <c r="A332" s="1" t="s">
        <v>362</v>
      </c>
      <c r="B332" s="1" t="s">
        <v>23</v>
      </c>
      <c r="C332" s="1" t="s">
        <v>51</v>
      </c>
      <c r="D332" s="1" t="n">
        <v>22.08</v>
      </c>
      <c r="E332" s="1" t="n">
        <v>17</v>
      </c>
      <c r="F332" s="4" t="n">
        <v>44285</v>
      </c>
      <c r="G332" s="1" t="s">
        <v>30</v>
      </c>
      <c r="H332" s="1" t="n">
        <v>1</v>
      </c>
      <c r="I332" s="1" t="n">
        <v>58.4</v>
      </c>
      <c r="J332" s="1" t="n">
        <v>15</v>
      </c>
      <c r="K332" s="1" t="n">
        <v>5</v>
      </c>
      <c r="L332" s="1" t="n">
        <v>1</v>
      </c>
      <c r="M332" s="1" t="n">
        <v>0</v>
      </c>
      <c r="N332" s="1" t="n">
        <v>375.36</v>
      </c>
      <c r="O332" s="1" t="n">
        <v>0</v>
      </c>
      <c r="Q332" s="4" t="n">
        <v>44802</v>
      </c>
      <c r="R332" s="0" t="n">
        <f aca="false">IF(ISBLANK(F332),"Missing",IFERROR(YEAR(F332),"Missing"))</f>
        <v>2021</v>
      </c>
      <c r="S332" s="0" t="str">
        <f aca="false">IF(ISBLANK(E332),"Missing",IF(E332&lt;6,"0-6mo",IF(E332&lt;12,"6-12mo",IF(E332&lt;24,"12-24mo","24mo+"))))</f>
        <v>12-24mo</v>
      </c>
      <c r="T332" s="0" t="n">
        <f aca="false">IF(ISBLANK(C332),0,IF(C332="Month-to-month",2,IF(C332="One year",1,0)))+IF(ISBLANK(I332),0,IF(I332&lt;40,2,IF(I332&lt;55,1,0)))+IF(ISBLANK(M332),0,IF(M332=1,3,0))+IF(ISBLANK(L332),0,IF(L332&gt;=2,1,0))+IF(ISBLANK(E332),0,IF(E332&lt;12,1,0))</f>
        <v>0</v>
      </c>
      <c r="U332" s="0" t="str">
        <f aca="false">IF((ISBLANK(B332)*1+ISBLANK(C332)*1+ISBLANK(D332)*1+ISBLANK(E332)*1+ISBLANK(F332)*1+ISBLANK(I332)*1+ISBLANK(J332)*1+ISBLANK(K332)*1+ISBLANK(L332)*1+ISBLANK(M332)*1+ISBLANK(N332)*1+ISBLANK(O332)*1)&gt;0,"Missing Data","OK")</f>
        <v>OK</v>
      </c>
      <c r="V332" s="0" t="str">
        <f aca="false">IF(T332&gt;=6,"High Risk",IF(T332&gt;=3,"Medium Risk","Low Risk"))</f>
        <v>Low Risk</v>
      </c>
    </row>
    <row r="333" customFormat="false" ht="12.8" hidden="false" customHeight="false" outlineLevel="0" collapsed="false">
      <c r="A333" s="1" t="s">
        <v>363</v>
      </c>
      <c r="B333" s="1" t="s">
        <v>29</v>
      </c>
      <c r="C333" s="1" t="s">
        <v>34</v>
      </c>
      <c r="D333" s="1" t="n">
        <v>40.13</v>
      </c>
      <c r="E333" s="1" t="n">
        <v>6</v>
      </c>
      <c r="F333" s="4" t="n">
        <v>44285</v>
      </c>
      <c r="G333" s="1" t="s">
        <v>39</v>
      </c>
      <c r="H333" s="1" t="n">
        <v>1</v>
      </c>
      <c r="I333" s="1" t="n">
        <v>69.3</v>
      </c>
      <c r="J333" s="1" t="n">
        <v>21</v>
      </c>
      <c r="K333" s="1" t="n">
        <v>5</v>
      </c>
      <c r="L333" s="1" t="n">
        <v>3</v>
      </c>
      <c r="M333" s="1" t="n">
        <v>0</v>
      </c>
      <c r="N333" s="1" t="n">
        <v>240.78</v>
      </c>
      <c r="O333" s="1" t="n">
        <v>0</v>
      </c>
      <c r="Q333" s="4" t="n">
        <v>44467</v>
      </c>
      <c r="R333" s="0" t="n">
        <f aca="false">IF(ISBLANK(F333),"Missing",IFERROR(YEAR(F333),"Missing"))</f>
        <v>2021</v>
      </c>
      <c r="S333" s="0" t="str">
        <f aca="false">IF(ISBLANK(E333),"Missing",IF(E333&lt;6,"0-6mo",IF(E333&lt;12,"6-12mo",IF(E333&lt;24,"12-24mo","24mo+"))))</f>
        <v>6-12mo</v>
      </c>
      <c r="T333" s="0" t="n">
        <f aca="false">IF(ISBLANK(C333),0,IF(C333="Month-to-month",2,IF(C333="One year",1,0)))+IF(ISBLANK(I333),0,IF(I333&lt;40,2,IF(I333&lt;55,1,0)))+IF(ISBLANK(M333),0,IF(M333=1,3,0))+IF(ISBLANK(L333),0,IF(L333&gt;=2,1,0))+IF(ISBLANK(E333),0,IF(E333&lt;12,1,0))</f>
        <v>3</v>
      </c>
      <c r="U333" s="0" t="str">
        <f aca="false">IF((ISBLANK(B333)*1+ISBLANK(C333)*1+ISBLANK(D333)*1+ISBLANK(E333)*1+ISBLANK(F333)*1+ISBLANK(I333)*1+ISBLANK(J333)*1+ISBLANK(K333)*1+ISBLANK(L333)*1+ISBLANK(M333)*1+ISBLANK(N333)*1+ISBLANK(O333)*1)&gt;0,"Missing Data","OK")</f>
        <v>OK</v>
      </c>
      <c r="V333" s="0" t="str">
        <f aca="false">IF(T333&gt;=6,"High Risk",IF(T333&gt;=3,"Medium Risk","Low Risk"))</f>
        <v>Medium Risk</v>
      </c>
    </row>
    <row r="334" customFormat="false" ht="12.8" hidden="false" customHeight="false" outlineLevel="0" collapsed="false">
      <c r="A334" s="1" t="s">
        <v>364</v>
      </c>
      <c r="B334" s="1" t="s">
        <v>23</v>
      </c>
      <c r="C334" s="1" t="s">
        <v>24</v>
      </c>
      <c r="D334" s="1" t="n">
        <v>19.39</v>
      </c>
      <c r="E334" s="1" t="n">
        <v>24</v>
      </c>
      <c r="F334" s="4" t="n">
        <v>44286</v>
      </c>
      <c r="G334" s="1" t="s">
        <v>25</v>
      </c>
      <c r="H334" s="1" t="n">
        <v>1</v>
      </c>
      <c r="I334" s="1" t="n">
        <v>17.5</v>
      </c>
      <c r="J334" s="1" t="n">
        <v>4</v>
      </c>
      <c r="K334" s="1" t="n">
        <v>5</v>
      </c>
      <c r="L334" s="1" t="n">
        <v>2</v>
      </c>
      <c r="M334" s="1" t="n">
        <v>0</v>
      </c>
      <c r="N334" s="1" t="n">
        <v>465.36</v>
      </c>
      <c r="O334" s="1" t="n">
        <v>0</v>
      </c>
      <c r="Q334" s="4" t="n">
        <v>45016</v>
      </c>
      <c r="R334" s="0" t="n">
        <f aca="false">IF(ISBLANK(F334),"Missing",IFERROR(YEAR(F334),"Missing"))</f>
        <v>2021</v>
      </c>
      <c r="S334" s="0" t="str">
        <f aca="false">IF(ISBLANK(E334),"Missing",IF(E334&lt;6,"0-6mo",IF(E334&lt;12,"6-12mo",IF(E334&lt;24,"12-24mo","24mo+"))))</f>
        <v>24mo+</v>
      </c>
      <c r="T334" s="0" t="n">
        <f aca="false">IF(ISBLANK(C334),0,IF(C334="Month-to-month",2,IF(C334="One year",1,0)))+IF(ISBLANK(I334),0,IF(I334&lt;40,2,IF(I334&lt;55,1,0)))+IF(ISBLANK(M334),0,IF(M334=1,3,0))+IF(ISBLANK(L334),0,IF(L334&gt;=2,1,0))+IF(ISBLANK(E334),0,IF(E334&lt;12,1,0))</f>
        <v>5</v>
      </c>
      <c r="U334" s="0" t="str">
        <f aca="false">IF((ISBLANK(B334)*1+ISBLANK(C334)*1+ISBLANK(D334)*1+ISBLANK(E334)*1+ISBLANK(F334)*1+ISBLANK(I334)*1+ISBLANK(J334)*1+ISBLANK(K334)*1+ISBLANK(L334)*1+ISBLANK(M334)*1+ISBLANK(N334)*1+ISBLANK(O334)*1)&gt;0,"Missing Data","OK")</f>
        <v>OK</v>
      </c>
      <c r="V334" s="0" t="str">
        <f aca="false">IF(T334&gt;=6,"High Risk",IF(T334&gt;=3,"Medium Risk","Low Risk"))</f>
        <v>Medium Risk</v>
      </c>
    </row>
    <row r="335" customFormat="false" ht="12.8" hidden="false" customHeight="false" outlineLevel="0" collapsed="false">
      <c r="A335" s="1" t="s">
        <v>365</v>
      </c>
      <c r="B335" s="1" t="s">
        <v>23</v>
      </c>
      <c r="C335" s="1" t="s">
        <v>24</v>
      </c>
      <c r="D335" s="1" t="n">
        <v>21.66</v>
      </c>
      <c r="E335" s="1" t="n">
        <v>2</v>
      </c>
      <c r="F335" s="4" t="n">
        <v>44287</v>
      </c>
      <c r="G335" s="1" t="s">
        <v>25</v>
      </c>
      <c r="H335" s="1" t="n">
        <v>1</v>
      </c>
      <c r="I335" s="1" t="n">
        <v>43.9</v>
      </c>
      <c r="J335" s="1" t="n">
        <v>7</v>
      </c>
      <c r="K335" s="1" t="n">
        <v>3</v>
      </c>
      <c r="L335" s="1" t="n">
        <v>2</v>
      </c>
      <c r="M335" s="1" t="n">
        <v>0</v>
      </c>
      <c r="N335" s="1" t="n">
        <v>43.32</v>
      </c>
      <c r="O335" s="1" t="n">
        <v>0</v>
      </c>
      <c r="Q335" s="4" t="n">
        <v>44347</v>
      </c>
      <c r="R335" s="0" t="n">
        <f aca="false">IF(ISBLANK(F335),"Missing",IFERROR(YEAR(F335),"Missing"))</f>
        <v>2021</v>
      </c>
      <c r="S335" s="0" t="str">
        <f aca="false">IF(ISBLANK(E335),"Missing",IF(E335&lt;6,"0-6mo",IF(E335&lt;12,"6-12mo",IF(E335&lt;24,"12-24mo","24mo+"))))</f>
        <v>0-6mo</v>
      </c>
      <c r="T335" s="0" t="n">
        <f aca="false">IF(ISBLANK(C335),0,IF(C335="Month-to-month",2,IF(C335="One year",1,0)))+IF(ISBLANK(I335),0,IF(I335&lt;40,2,IF(I335&lt;55,1,0)))+IF(ISBLANK(M335),0,IF(M335=1,3,0))+IF(ISBLANK(L335),0,IF(L335&gt;=2,1,0))+IF(ISBLANK(E335),0,IF(E335&lt;12,1,0))</f>
        <v>5</v>
      </c>
      <c r="U335" s="0" t="str">
        <f aca="false">IF((ISBLANK(B335)*1+ISBLANK(C335)*1+ISBLANK(D335)*1+ISBLANK(E335)*1+ISBLANK(F335)*1+ISBLANK(I335)*1+ISBLANK(J335)*1+ISBLANK(K335)*1+ISBLANK(L335)*1+ISBLANK(M335)*1+ISBLANK(N335)*1+ISBLANK(O335)*1)&gt;0,"Missing Data","OK")</f>
        <v>OK</v>
      </c>
      <c r="V335" s="0" t="str">
        <f aca="false">IF(T335&gt;=6,"High Risk",IF(T335&gt;=3,"Medium Risk","Low Risk"))</f>
        <v>Medium Risk</v>
      </c>
    </row>
    <row r="336" customFormat="false" ht="12.8" hidden="false" customHeight="false" outlineLevel="0" collapsed="false">
      <c r="A336" s="1" t="s">
        <v>366</v>
      </c>
      <c r="B336" s="1" t="s">
        <v>23</v>
      </c>
      <c r="C336" s="1" t="s">
        <v>24</v>
      </c>
      <c r="D336" s="1" t="n">
        <v>20.91</v>
      </c>
      <c r="E336" s="1" t="n">
        <v>19</v>
      </c>
      <c r="F336" s="4" t="n">
        <v>44289</v>
      </c>
      <c r="G336" s="1" t="s">
        <v>39</v>
      </c>
      <c r="H336" s="1" t="n">
        <v>0</v>
      </c>
      <c r="I336" s="1" t="n">
        <v>62.3</v>
      </c>
      <c r="J336" s="1" t="n">
        <v>21</v>
      </c>
      <c r="K336" s="1" t="n">
        <v>10</v>
      </c>
      <c r="L336" s="1" t="n">
        <v>2</v>
      </c>
      <c r="M336" s="1" t="n">
        <v>0</v>
      </c>
      <c r="N336" s="1" t="n">
        <v>397.29</v>
      </c>
      <c r="O336" s="1" t="n">
        <v>0</v>
      </c>
      <c r="Q336" s="4" t="n">
        <v>44867</v>
      </c>
      <c r="R336" s="0" t="n">
        <f aca="false">IF(ISBLANK(F336),"Missing",IFERROR(YEAR(F336),"Missing"))</f>
        <v>2021</v>
      </c>
      <c r="S336" s="0" t="str">
        <f aca="false">IF(ISBLANK(E336),"Missing",IF(E336&lt;6,"0-6mo",IF(E336&lt;12,"6-12mo",IF(E336&lt;24,"12-24mo","24mo+"))))</f>
        <v>12-24mo</v>
      </c>
      <c r="T336" s="0" t="n">
        <f aca="false">IF(ISBLANK(C336),0,IF(C336="Month-to-month",2,IF(C336="One year",1,0)))+IF(ISBLANK(I336),0,IF(I336&lt;40,2,IF(I336&lt;55,1,0)))+IF(ISBLANK(M336),0,IF(M336=1,3,0))+IF(ISBLANK(L336),0,IF(L336&gt;=2,1,0))+IF(ISBLANK(E336),0,IF(E336&lt;12,1,0))</f>
        <v>3</v>
      </c>
      <c r="U336" s="0" t="str">
        <f aca="false">IF((ISBLANK(B336)*1+ISBLANK(C336)*1+ISBLANK(D336)*1+ISBLANK(E336)*1+ISBLANK(F336)*1+ISBLANK(I336)*1+ISBLANK(J336)*1+ISBLANK(K336)*1+ISBLANK(L336)*1+ISBLANK(M336)*1+ISBLANK(N336)*1+ISBLANK(O336)*1)&gt;0,"Missing Data","OK")</f>
        <v>OK</v>
      </c>
      <c r="V336" s="0" t="str">
        <f aca="false">IF(T336&gt;=6,"High Risk",IF(T336&gt;=3,"Medium Risk","Low Risk"))</f>
        <v>Medium Risk</v>
      </c>
    </row>
    <row r="337" customFormat="false" ht="12.8" hidden="false" customHeight="false" outlineLevel="0" collapsed="false">
      <c r="A337" s="1" t="s">
        <v>367</v>
      </c>
      <c r="B337" s="1" t="s">
        <v>29</v>
      </c>
      <c r="C337" s="1" t="s">
        <v>34</v>
      </c>
      <c r="D337" s="1" t="n">
        <v>38.43</v>
      </c>
      <c r="E337" s="1" t="n">
        <v>38</v>
      </c>
      <c r="F337" s="4" t="n">
        <v>44290</v>
      </c>
      <c r="G337" s="1" t="s">
        <v>25</v>
      </c>
      <c r="H337" s="1" t="n">
        <v>0</v>
      </c>
      <c r="I337" s="1" t="n">
        <v>54.2</v>
      </c>
      <c r="J337" s="1" t="n">
        <v>12</v>
      </c>
      <c r="K337" s="1" t="n">
        <v>6</v>
      </c>
      <c r="L337" s="1" t="n">
        <v>0</v>
      </c>
      <c r="M337" s="1" t="n">
        <v>0</v>
      </c>
      <c r="N337" s="1" t="n">
        <v>1460.34</v>
      </c>
      <c r="O337" s="1" t="n">
        <v>0</v>
      </c>
      <c r="Q337" s="4" t="n">
        <v>45446</v>
      </c>
      <c r="R337" s="0" t="n">
        <f aca="false">IF(ISBLANK(F337),"Missing",IFERROR(YEAR(F337),"Missing"))</f>
        <v>2021</v>
      </c>
      <c r="S337" s="0" t="str">
        <f aca="false">IF(ISBLANK(E337),"Missing",IF(E337&lt;6,"0-6mo",IF(E337&lt;12,"6-12mo",IF(E337&lt;24,"12-24mo","24mo+"))))</f>
        <v>24mo+</v>
      </c>
      <c r="T337" s="0" t="n">
        <f aca="false">IF(ISBLANK(C337),0,IF(C337="Month-to-month",2,IF(C337="One year",1,0)))+IF(ISBLANK(I337),0,IF(I337&lt;40,2,IF(I337&lt;55,1,0)))+IF(ISBLANK(M337),0,IF(M337=1,3,0))+IF(ISBLANK(L337),0,IF(L337&gt;=2,1,0))+IF(ISBLANK(E337),0,IF(E337&lt;12,1,0))</f>
        <v>2</v>
      </c>
      <c r="U337" s="0" t="str">
        <f aca="false">IF((ISBLANK(B337)*1+ISBLANK(C337)*1+ISBLANK(D337)*1+ISBLANK(E337)*1+ISBLANK(F337)*1+ISBLANK(I337)*1+ISBLANK(J337)*1+ISBLANK(K337)*1+ISBLANK(L337)*1+ISBLANK(M337)*1+ISBLANK(N337)*1+ISBLANK(O337)*1)&gt;0,"Missing Data","OK")</f>
        <v>OK</v>
      </c>
      <c r="V337" s="0" t="str">
        <f aca="false">IF(T337&gt;=6,"High Risk",IF(T337&gt;=3,"Medium Risk","Low Risk"))</f>
        <v>Low Risk</v>
      </c>
    </row>
    <row r="338" customFormat="false" ht="12.8" hidden="false" customHeight="false" outlineLevel="0" collapsed="false">
      <c r="A338" s="1" t="s">
        <v>368</v>
      </c>
      <c r="B338" s="1" t="s">
        <v>29</v>
      </c>
      <c r="C338" s="1" t="s">
        <v>34</v>
      </c>
      <c r="D338" s="1" t="n">
        <v>40.79</v>
      </c>
      <c r="E338" s="1" t="n">
        <v>13</v>
      </c>
      <c r="F338" s="4" t="n">
        <v>44291</v>
      </c>
      <c r="G338" s="1" t="s">
        <v>30</v>
      </c>
      <c r="H338" s="1" t="n">
        <v>1</v>
      </c>
      <c r="I338" s="1" t="n">
        <v>33.1</v>
      </c>
      <c r="J338" s="1" t="n">
        <v>5</v>
      </c>
      <c r="K338" s="1" t="n">
        <v>3</v>
      </c>
      <c r="L338" s="1" t="n">
        <v>1</v>
      </c>
      <c r="M338" s="1" t="n">
        <v>1</v>
      </c>
      <c r="N338" s="1" t="n">
        <v>530.27</v>
      </c>
      <c r="O338" s="1" t="n">
        <v>0</v>
      </c>
      <c r="Q338" s="4" t="n">
        <v>44686</v>
      </c>
      <c r="R338" s="0" t="n">
        <f aca="false">IF(ISBLANK(F338),"Missing",IFERROR(YEAR(F338),"Missing"))</f>
        <v>2021</v>
      </c>
      <c r="S338" s="0" t="str">
        <f aca="false">IF(ISBLANK(E338),"Missing",IF(E338&lt;6,"0-6mo",IF(E338&lt;12,"6-12mo",IF(E338&lt;24,"12-24mo","24mo+"))))</f>
        <v>12-24mo</v>
      </c>
      <c r="T338" s="0" t="n">
        <f aca="false">IF(ISBLANK(C338),0,IF(C338="Month-to-month",2,IF(C338="One year",1,0)))+IF(ISBLANK(I338),0,IF(I338&lt;40,2,IF(I338&lt;55,1,0)))+IF(ISBLANK(M338),0,IF(M338=1,3,0))+IF(ISBLANK(L338),0,IF(L338&gt;=2,1,0))+IF(ISBLANK(E338),0,IF(E338&lt;12,1,0))</f>
        <v>6</v>
      </c>
      <c r="U338" s="0" t="str">
        <f aca="false">IF((ISBLANK(B338)*1+ISBLANK(C338)*1+ISBLANK(D338)*1+ISBLANK(E338)*1+ISBLANK(F338)*1+ISBLANK(I338)*1+ISBLANK(J338)*1+ISBLANK(K338)*1+ISBLANK(L338)*1+ISBLANK(M338)*1+ISBLANK(N338)*1+ISBLANK(O338)*1)&gt;0,"Missing Data","OK")</f>
        <v>OK</v>
      </c>
      <c r="V338" s="0" t="str">
        <f aca="false">IF(T338&gt;=6,"High Risk",IF(T338&gt;=3,"Medium Risk","Low Risk"))</f>
        <v>High Risk</v>
      </c>
    </row>
    <row r="339" customFormat="false" ht="12.8" hidden="false" customHeight="false" outlineLevel="0" collapsed="false">
      <c r="A339" s="1" t="s">
        <v>369</v>
      </c>
      <c r="B339" s="1" t="s">
        <v>36</v>
      </c>
      <c r="C339" s="1" t="s">
        <v>51</v>
      </c>
      <c r="D339" s="1" t="n">
        <v>9.81</v>
      </c>
      <c r="E339" s="1" t="n">
        <v>16</v>
      </c>
      <c r="F339" s="4" t="n">
        <v>44292</v>
      </c>
      <c r="G339" s="1" t="s">
        <v>25</v>
      </c>
      <c r="H339" s="1" t="n">
        <v>1</v>
      </c>
      <c r="I339" s="1" t="n">
        <v>43.9</v>
      </c>
      <c r="J339" s="1" t="n">
        <v>6</v>
      </c>
      <c r="K339" s="1" t="n">
        <v>5</v>
      </c>
      <c r="L339" s="1" t="n">
        <v>1</v>
      </c>
      <c r="M339" s="1" t="n">
        <v>1</v>
      </c>
      <c r="N339" s="1" t="n">
        <v>156.96</v>
      </c>
      <c r="O339" s="1" t="n">
        <v>0</v>
      </c>
      <c r="Q339" s="4" t="n">
        <v>44779</v>
      </c>
      <c r="R339" s="0" t="n">
        <f aca="false">IF(ISBLANK(F339),"Missing",IFERROR(YEAR(F339),"Missing"))</f>
        <v>2021</v>
      </c>
      <c r="S339" s="0" t="str">
        <f aca="false">IF(ISBLANK(E339),"Missing",IF(E339&lt;6,"0-6mo",IF(E339&lt;12,"6-12mo",IF(E339&lt;24,"12-24mo","24mo+"))))</f>
        <v>12-24mo</v>
      </c>
      <c r="T339" s="0" t="n">
        <f aca="false">IF(ISBLANK(C339),0,IF(C339="Month-to-month",2,IF(C339="One year",1,0)))+IF(ISBLANK(I339),0,IF(I339&lt;40,2,IF(I339&lt;55,1,0)))+IF(ISBLANK(M339),0,IF(M339=1,3,0))+IF(ISBLANK(L339),0,IF(L339&gt;=2,1,0))+IF(ISBLANK(E339),0,IF(E339&lt;12,1,0))</f>
        <v>4</v>
      </c>
      <c r="U339" s="0" t="str">
        <f aca="false">IF((ISBLANK(B339)*1+ISBLANK(C339)*1+ISBLANK(D339)*1+ISBLANK(E339)*1+ISBLANK(F339)*1+ISBLANK(I339)*1+ISBLANK(J339)*1+ISBLANK(K339)*1+ISBLANK(L339)*1+ISBLANK(M339)*1+ISBLANK(N339)*1+ISBLANK(O339)*1)&gt;0,"Missing Data","OK")</f>
        <v>OK</v>
      </c>
      <c r="V339" s="0" t="str">
        <f aca="false">IF(T339&gt;=6,"High Risk",IF(T339&gt;=3,"Medium Risk","Low Risk"))</f>
        <v>Medium Risk</v>
      </c>
    </row>
    <row r="340" customFormat="false" ht="12.8" hidden="false" customHeight="false" outlineLevel="0" collapsed="false">
      <c r="A340" s="1" t="s">
        <v>370</v>
      </c>
      <c r="B340" s="1" t="s">
        <v>29</v>
      </c>
      <c r="C340" s="1" t="s">
        <v>24</v>
      </c>
      <c r="D340" s="1" t="n">
        <v>39.96</v>
      </c>
      <c r="E340" s="1" t="n">
        <v>21</v>
      </c>
      <c r="F340" s="4" t="n">
        <v>44292</v>
      </c>
      <c r="G340" s="1" t="s">
        <v>27</v>
      </c>
      <c r="H340" s="1" t="n">
        <v>1</v>
      </c>
      <c r="I340" s="1" t="n">
        <v>49</v>
      </c>
      <c r="J340" s="1" t="n">
        <v>18</v>
      </c>
      <c r="K340" s="1" t="n">
        <v>3</v>
      </c>
      <c r="L340" s="1" t="n">
        <v>1</v>
      </c>
      <c r="M340" s="1" t="n">
        <v>0</v>
      </c>
      <c r="N340" s="1" t="n">
        <v>839.16</v>
      </c>
      <c r="O340" s="1" t="n">
        <v>0</v>
      </c>
      <c r="Q340" s="4" t="n">
        <v>44931</v>
      </c>
      <c r="R340" s="0" t="n">
        <f aca="false">IF(ISBLANK(F340),"Missing",IFERROR(YEAR(F340),"Missing"))</f>
        <v>2021</v>
      </c>
      <c r="S340" s="0" t="str">
        <f aca="false">IF(ISBLANK(E340),"Missing",IF(E340&lt;6,"0-6mo",IF(E340&lt;12,"6-12mo",IF(E340&lt;24,"12-24mo","24mo+"))))</f>
        <v>12-24mo</v>
      </c>
      <c r="T340" s="0" t="n">
        <f aca="false">IF(ISBLANK(C340),0,IF(C340="Month-to-month",2,IF(C340="One year",1,0)))+IF(ISBLANK(I340),0,IF(I340&lt;40,2,IF(I340&lt;55,1,0)))+IF(ISBLANK(M340),0,IF(M340=1,3,0))+IF(ISBLANK(L340),0,IF(L340&gt;=2,1,0))+IF(ISBLANK(E340),0,IF(E340&lt;12,1,0))</f>
        <v>3</v>
      </c>
      <c r="U340" s="0" t="str">
        <f aca="false">IF((ISBLANK(B340)*1+ISBLANK(C340)*1+ISBLANK(D340)*1+ISBLANK(E340)*1+ISBLANK(F340)*1+ISBLANK(I340)*1+ISBLANK(J340)*1+ISBLANK(K340)*1+ISBLANK(L340)*1+ISBLANK(M340)*1+ISBLANK(N340)*1+ISBLANK(O340)*1)&gt;0,"Missing Data","OK")</f>
        <v>OK</v>
      </c>
      <c r="V340" s="0" t="str">
        <f aca="false">IF(T340&gt;=6,"High Risk",IF(T340&gt;=3,"Medium Risk","Low Risk"))</f>
        <v>Medium Risk</v>
      </c>
    </row>
    <row r="341" customFormat="false" ht="12.8" hidden="false" customHeight="false" outlineLevel="0" collapsed="false">
      <c r="A341" s="1" t="s">
        <v>371</v>
      </c>
      <c r="B341" s="1" t="s">
        <v>29</v>
      </c>
      <c r="C341" s="1" t="s">
        <v>24</v>
      </c>
      <c r="D341" s="1" t="n">
        <v>38.92</v>
      </c>
      <c r="E341" s="1" t="n">
        <v>67</v>
      </c>
      <c r="F341" s="4" t="n">
        <v>44293</v>
      </c>
      <c r="G341" s="1" t="s">
        <v>25</v>
      </c>
      <c r="H341" s="1" t="n">
        <v>1</v>
      </c>
      <c r="I341" s="1" t="n">
        <v>61.5</v>
      </c>
      <c r="J341" s="1" t="n">
        <v>22</v>
      </c>
      <c r="K341" s="1" t="n">
        <v>6</v>
      </c>
      <c r="L341" s="1" t="n">
        <v>2</v>
      </c>
      <c r="M341" s="1" t="n">
        <v>0</v>
      </c>
      <c r="N341" s="1" t="n">
        <v>2607.64</v>
      </c>
      <c r="O341" s="1" t="n">
        <v>1</v>
      </c>
      <c r="P341" s="4" t="n">
        <v>46293</v>
      </c>
      <c r="Q341" s="4" t="n">
        <v>46293</v>
      </c>
      <c r="R341" s="0" t="n">
        <f aca="false">IF(ISBLANK(F341),"Missing",IFERROR(YEAR(F341),"Missing"))</f>
        <v>2021</v>
      </c>
      <c r="S341" s="0" t="str">
        <f aca="false">IF(ISBLANK(E341),"Missing",IF(E341&lt;6,"0-6mo",IF(E341&lt;12,"6-12mo",IF(E341&lt;24,"12-24mo","24mo+"))))</f>
        <v>24mo+</v>
      </c>
      <c r="T341" s="0" t="n">
        <f aca="false">IF(ISBLANK(C341),0,IF(C341="Month-to-month",2,IF(C341="One year",1,0)))+IF(ISBLANK(I341),0,IF(I341&lt;40,2,IF(I341&lt;55,1,0)))+IF(ISBLANK(M341),0,IF(M341=1,3,0))+IF(ISBLANK(L341),0,IF(L341&gt;=2,1,0))+IF(ISBLANK(E341),0,IF(E341&lt;12,1,0))</f>
        <v>3</v>
      </c>
      <c r="U341" s="0" t="str">
        <f aca="false">IF((ISBLANK(B341)*1+ISBLANK(C341)*1+ISBLANK(D341)*1+ISBLANK(E341)*1+ISBLANK(F341)*1+ISBLANK(I341)*1+ISBLANK(J341)*1+ISBLANK(K341)*1+ISBLANK(L341)*1+ISBLANK(M341)*1+ISBLANK(N341)*1+ISBLANK(O341)*1)&gt;0,"Missing Data","OK")</f>
        <v>OK</v>
      </c>
      <c r="V341" s="0" t="str">
        <f aca="false">IF(T341&gt;=6,"High Risk",IF(T341&gt;=3,"Medium Risk","Low Risk"))</f>
        <v>Medium Risk</v>
      </c>
    </row>
    <row r="342" customFormat="false" ht="12.8" hidden="false" customHeight="false" outlineLevel="0" collapsed="false">
      <c r="A342" s="1" t="s">
        <v>372</v>
      </c>
      <c r="B342" s="1" t="s">
        <v>36</v>
      </c>
      <c r="C342" s="1" t="s">
        <v>34</v>
      </c>
      <c r="D342" s="1" t="n">
        <v>7.4</v>
      </c>
      <c r="E342" s="1" t="n">
        <v>56</v>
      </c>
      <c r="F342" s="4" t="n">
        <v>44293</v>
      </c>
      <c r="G342" s="1" t="s">
        <v>25</v>
      </c>
      <c r="H342" s="1" t="n">
        <v>1</v>
      </c>
      <c r="I342" s="1" t="n">
        <v>71.2</v>
      </c>
      <c r="J342" s="1" t="n">
        <v>19</v>
      </c>
      <c r="K342" s="1" t="n">
        <v>8</v>
      </c>
      <c r="L342" s="1" t="n">
        <v>0</v>
      </c>
      <c r="M342" s="1" t="n">
        <v>0</v>
      </c>
      <c r="N342" s="1" t="n">
        <v>414.4</v>
      </c>
      <c r="O342" s="1" t="n">
        <v>0</v>
      </c>
      <c r="Q342" s="4" t="n">
        <v>45997</v>
      </c>
      <c r="R342" s="0" t="n">
        <f aca="false">IF(ISBLANK(F342),"Missing",IFERROR(YEAR(F342),"Missing"))</f>
        <v>2021</v>
      </c>
      <c r="S342" s="0" t="str">
        <f aca="false">IF(ISBLANK(E342),"Missing",IF(E342&lt;6,"0-6mo",IF(E342&lt;12,"6-12mo",IF(E342&lt;24,"12-24mo","24mo+"))))</f>
        <v>24mo+</v>
      </c>
      <c r="T342" s="0" t="n">
        <f aca="false">IF(ISBLANK(C342),0,IF(C342="Month-to-month",2,IF(C342="One year",1,0)))+IF(ISBLANK(I342),0,IF(I342&lt;40,2,IF(I342&lt;55,1,0)))+IF(ISBLANK(M342),0,IF(M342=1,3,0))+IF(ISBLANK(L342),0,IF(L342&gt;=2,1,0))+IF(ISBLANK(E342),0,IF(E342&lt;12,1,0))</f>
        <v>1</v>
      </c>
      <c r="U342" s="0" t="str">
        <f aca="false">IF((ISBLANK(B342)*1+ISBLANK(C342)*1+ISBLANK(D342)*1+ISBLANK(E342)*1+ISBLANK(F342)*1+ISBLANK(I342)*1+ISBLANK(J342)*1+ISBLANK(K342)*1+ISBLANK(L342)*1+ISBLANK(M342)*1+ISBLANK(N342)*1+ISBLANK(O342)*1)&gt;0,"Missing Data","OK")</f>
        <v>OK</v>
      </c>
      <c r="V342" s="0" t="str">
        <f aca="false">IF(T342&gt;=6,"High Risk",IF(T342&gt;=3,"Medium Risk","Low Risk"))</f>
        <v>Low Risk</v>
      </c>
    </row>
    <row r="343" customFormat="false" ht="12.8" hidden="false" customHeight="false" outlineLevel="0" collapsed="false">
      <c r="A343" s="1" t="s">
        <v>373</v>
      </c>
      <c r="B343" s="1" t="s">
        <v>36</v>
      </c>
      <c r="C343" s="1" t="s">
        <v>24</v>
      </c>
      <c r="D343" s="1" t="n">
        <v>9.81</v>
      </c>
      <c r="E343" s="1" t="n">
        <v>14</v>
      </c>
      <c r="F343" s="4" t="n">
        <v>44296</v>
      </c>
      <c r="G343" s="1" t="s">
        <v>30</v>
      </c>
      <c r="H343" s="1" t="n">
        <v>1</v>
      </c>
      <c r="I343" s="1" t="n">
        <v>33</v>
      </c>
      <c r="J343" s="1" t="n">
        <v>7</v>
      </c>
      <c r="K343" s="1" t="n">
        <v>1</v>
      </c>
      <c r="L343" s="1" t="n">
        <v>0</v>
      </c>
      <c r="M343" s="1" t="n">
        <v>0</v>
      </c>
      <c r="N343" s="1" t="n">
        <v>137.34</v>
      </c>
      <c r="O343" s="1" t="n">
        <v>1</v>
      </c>
      <c r="P343" s="4" t="n">
        <v>44722</v>
      </c>
      <c r="Q343" s="4" t="n">
        <v>44722</v>
      </c>
      <c r="R343" s="0" t="n">
        <f aca="false">IF(ISBLANK(F343),"Missing",IFERROR(YEAR(F343),"Missing"))</f>
        <v>2021</v>
      </c>
      <c r="S343" s="0" t="str">
        <f aca="false">IF(ISBLANK(E343),"Missing",IF(E343&lt;6,"0-6mo",IF(E343&lt;12,"6-12mo",IF(E343&lt;24,"12-24mo","24mo+"))))</f>
        <v>12-24mo</v>
      </c>
      <c r="T343" s="0" t="n">
        <f aca="false">IF(ISBLANK(C343),0,IF(C343="Month-to-month",2,IF(C343="One year",1,0)))+IF(ISBLANK(I343),0,IF(I343&lt;40,2,IF(I343&lt;55,1,0)))+IF(ISBLANK(M343),0,IF(M343=1,3,0))+IF(ISBLANK(L343),0,IF(L343&gt;=2,1,0))+IF(ISBLANK(E343),0,IF(E343&lt;12,1,0))</f>
        <v>4</v>
      </c>
      <c r="U343" s="0" t="str">
        <f aca="false">IF((ISBLANK(B343)*1+ISBLANK(C343)*1+ISBLANK(D343)*1+ISBLANK(E343)*1+ISBLANK(F343)*1+ISBLANK(I343)*1+ISBLANK(J343)*1+ISBLANK(K343)*1+ISBLANK(L343)*1+ISBLANK(M343)*1+ISBLANK(N343)*1+ISBLANK(O343)*1)&gt;0,"Missing Data","OK")</f>
        <v>OK</v>
      </c>
      <c r="V343" s="0" t="str">
        <f aca="false">IF(T343&gt;=6,"High Risk",IF(T343&gt;=3,"Medium Risk","Low Risk"))</f>
        <v>Medium Risk</v>
      </c>
    </row>
    <row r="344" customFormat="false" ht="12.8" hidden="false" customHeight="false" outlineLevel="0" collapsed="false">
      <c r="A344" s="1" t="s">
        <v>374</v>
      </c>
      <c r="B344" s="1" t="s">
        <v>36</v>
      </c>
      <c r="C344" s="1" t="s">
        <v>24</v>
      </c>
      <c r="D344" s="1" t="n">
        <v>9</v>
      </c>
      <c r="E344" s="1" t="n">
        <v>28</v>
      </c>
      <c r="F344" s="4" t="n">
        <v>44297</v>
      </c>
      <c r="G344" s="1" t="s">
        <v>30</v>
      </c>
      <c r="H344" s="1" t="n">
        <v>1</v>
      </c>
      <c r="I344" s="1" t="n">
        <v>39.5</v>
      </c>
      <c r="J344" s="1" t="n">
        <v>18</v>
      </c>
      <c r="K344" s="1" t="n">
        <v>3</v>
      </c>
      <c r="L344" s="1" t="n">
        <v>1</v>
      </c>
      <c r="M344" s="1" t="n">
        <v>1</v>
      </c>
      <c r="N344" s="1" t="n">
        <v>252</v>
      </c>
      <c r="O344" s="1" t="n">
        <v>1</v>
      </c>
      <c r="P344" s="4" t="n">
        <v>45149</v>
      </c>
      <c r="Q344" s="4" t="n">
        <v>45149</v>
      </c>
      <c r="R344" s="0" t="n">
        <f aca="false">IF(ISBLANK(F344),"Missing",IFERROR(YEAR(F344),"Missing"))</f>
        <v>2021</v>
      </c>
      <c r="S344" s="0" t="str">
        <f aca="false">IF(ISBLANK(E344),"Missing",IF(E344&lt;6,"0-6mo",IF(E344&lt;12,"6-12mo",IF(E344&lt;24,"12-24mo","24mo+"))))</f>
        <v>24mo+</v>
      </c>
      <c r="T344" s="0" t="n">
        <f aca="false">IF(ISBLANK(C344),0,IF(C344="Month-to-month",2,IF(C344="One year",1,0)))+IF(ISBLANK(I344),0,IF(I344&lt;40,2,IF(I344&lt;55,1,0)))+IF(ISBLANK(M344),0,IF(M344=1,3,0))+IF(ISBLANK(L344),0,IF(L344&gt;=2,1,0))+IF(ISBLANK(E344),0,IF(E344&lt;12,1,0))</f>
        <v>7</v>
      </c>
      <c r="U344" s="0" t="str">
        <f aca="false">IF((ISBLANK(B344)*1+ISBLANK(C344)*1+ISBLANK(D344)*1+ISBLANK(E344)*1+ISBLANK(F344)*1+ISBLANK(I344)*1+ISBLANK(J344)*1+ISBLANK(K344)*1+ISBLANK(L344)*1+ISBLANK(M344)*1+ISBLANK(N344)*1+ISBLANK(O344)*1)&gt;0,"Missing Data","OK")</f>
        <v>OK</v>
      </c>
      <c r="V344" s="0" t="str">
        <f aca="false">IF(T344&gt;=6,"High Risk",IF(T344&gt;=3,"Medium Risk","Low Risk"))</f>
        <v>High Risk</v>
      </c>
    </row>
    <row r="345" customFormat="false" ht="12.8" hidden="false" customHeight="false" outlineLevel="0" collapsed="false">
      <c r="A345" s="1" t="s">
        <v>375</v>
      </c>
      <c r="B345" s="1" t="s">
        <v>29</v>
      </c>
      <c r="C345" s="1" t="s">
        <v>24</v>
      </c>
      <c r="D345" s="1" t="n">
        <v>39.34</v>
      </c>
      <c r="E345" s="1" t="n">
        <v>24</v>
      </c>
      <c r="F345" s="4" t="n">
        <v>44300</v>
      </c>
      <c r="G345" s="1" t="s">
        <v>25</v>
      </c>
      <c r="H345" s="1" t="n">
        <v>1</v>
      </c>
      <c r="I345" s="1" t="n">
        <v>55.2</v>
      </c>
      <c r="J345" s="1" t="n">
        <v>11</v>
      </c>
      <c r="K345" s="1" t="n">
        <v>7</v>
      </c>
      <c r="L345" s="1" t="n">
        <v>1</v>
      </c>
      <c r="M345" s="1" t="n">
        <v>0</v>
      </c>
      <c r="N345" s="1" t="n">
        <v>944.16</v>
      </c>
      <c r="O345" s="1" t="n">
        <v>0</v>
      </c>
      <c r="Q345" s="4" t="n">
        <v>45030</v>
      </c>
      <c r="R345" s="0" t="n">
        <f aca="false">IF(ISBLANK(F345),"Missing",IFERROR(YEAR(F345),"Missing"))</f>
        <v>2021</v>
      </c>
      <c r="S345" s="0" t="str">
        <f aca="false">IF(ISBLANK(E345),"Missing",IF(E345&lt;6,"0-6mo",IF(E345&lt;12,"6-12mo",IF(E345&lt;24,"12-24mo","24mo+"))))</f>
        <v>24mo+</v>
      </c>
      <c r="T345" s="0" t="n">
        <f aca="false">IF(ISBLANK(C345),0,IF(C345="Month-to-month",2,IF(C345="One year",1,0)))+IF(ISBLANK(I345),0,IF(I345&lt;40,2,IF(I345&lt;55,1,0)))+IF(ISBLANK(M345),0,IF(M345=1,3,0))+IF(ISBLANK(L345),0,IF(L345&gt;=2,1,0))+IF(ISBLANK(E345),0,IF(E345&lt;12,1,0))</f>
        <v>2</v>
      </c>
      <c r="U345" s="0" t="str">
        <f aca="false">IF((ISBLANK(B345)*1+ISBLANK(C345)*1+ISBLANK(D345)*1+ISBLANK(E345)*1+ISBLANK(F345)*1+ISBLANK(I345)*1+ISBLANK(J345)*1+ISBLANK(K345)*1+ISBLANK(L345)*1+ISBLANK(M345)*1+ISBLANK(N345)*1+ISBLANK(O345)*1)&gt;0,"Missing Data","OK")</f>
        <v>OK</v>
      </c>
      <c r="V345" s="0" t="str">
        <f aca="false">IF(T345&gt;=6,"High Risk",IF(T345&gt;=3,"Medium Risk","Low Risk"))</f>
        <v>Low Risk</v>
      </c>
    </row>
    <row r="346" customFormat="false" ht="12.8" hidden="false" customHeight="false" outlineLevel="0" collapsed="false">
      <c r="A346" s="1" t="s">
        <v>376</v>
      </c>
      <c r="B346" s="1" t="s">
        <v>36</v>
      </c>
      <c r="C346" s="1" t="s">
        <v>24</v>
      </c>
      <c r="D346" s="1" t="n">
        <v>8.21</v>
      </c>
      <c r="E346" s="1" t="n">
        <v>35</v>
      </c>
      <c r="F346" s="4" t="n">
        <v>44303</v>
      </c>
      <c r="G346" s="1" t="s">
        <v>30</v>
      </c>
      <c r="H346" s="1" t="n">
        <v>1</v>
      </c>
      <c r="I346" s="1" t="n">
        <v>75.4</v>
      </c>
      <c r="J346" s="1" t="n">
        <v>19</v>
      </c>
      <c r="K346" s="1" t="n">
        <v>8</v>
      </c>
      <c r="L346" s="1" t="n">
        <v>2</v>
      </c>
      <c r="M346" s="1" t="n">
        <v>1</v>
      </c>
      <c r="N346" s="1" t="n">
        <v>287.35</v>
      </c>
      <c r="O346" s="1" t="n">
        <v>0</v>
      </c>
      <c r="Q346" s="4" t="n">
        <v>45368</v>
      </c>
      <c r="R346" s="0" t="n">
        <f aca="false">IF(ISBLANK(F346),"Missing",IFERROR(YEAR(F346),"Missing"))</f>
        <v>2021</v>
      </c>
      <c r="S346" s="0" t="str">
        <f aca="false">IF(ISBLANK(E346),"Missing",IF(E346&lt;6,"0-6mo",IF(E346&lt;12,"6-12mo",IF(E346&lt;24,"12-24mo","24mo+"))))</f>
        <v>24mo+</v>
      </c>
      <c r="T346" s="0" t="n">
        <f aca="false">IF(ISBLANK(C346),0,IF(C346="Month-to-month",2,IF(C346="One year",1,0)))+IF(ISBLANK(I346),0,IF(I346&lt;40,2,IF(I346&lt;55,1,0)))+IF(ISBLANK(M346),0,IF(M346=1,3,0))+IF(ISBLANK(L346),0,IF(L346&gt;=2,1,0))+IF(ISBLANK(E346),0,IF(E346&lt;12,1,0))</f>
        <v>6</v>
      </c>
      <c r="U346" s="0" t="str">
        <f aca="false">IF((ISBLANK(B346)*1+ISBLANK(C346)*1+ISBLANK(D346)*1+ISBLANK(E346)*1+ISBLANK(F346)*1+ISBLANK(I346)*1+ISBLANK(J346)*1+ISBLANK(K346)*1+ISBLANK(L346)*1+ISBLANK(M346)*1+ISBLANK(N346)*1+ISBLANK(O346)*1)&gt;0,"Missing Data","OK")</f>
        <v>OK</v>
      </c>
      <c r="V346" s="0" t="str">
        <f aca="false">IF(T346&gt;=6,"High Risk",IF(T346&gt;=3,"Medium Risk","Low Risk"))</f>
        <v>High Risk</v>
      </c>
    </row>
    <row r="347" customFormat="false" ht="12.8" hidden="false" customHeight="false" outlineLevel="0" collapsed="false">
      <c r="A347" s="1" t="s">
        <v>377</v>
      </c>
      <c r="B347" s="1" t="s">
        <v>23</v>
      </c>
      <c r="C347" s="1" t="s">
        <v>34</v>
      </c>
      <c r="D347" s="1" t="n">
        <v>18.64</v>
      </c>
      <c r="E347" s="1" t="n">
        <v>44</v>
      </c>
      <c r="F347" s="4" t="n">
        <v>44304</v>
      </c>
      <c r="G347" s="1" t="s">
        <v>25</v>
      </c>
      <c r="H347" s="1" t="n">
        <v>0</v>
      </c>
      <c r="I347" s="1" t="n">
        <v>41.4</v>
      </c>
      <c r="J347" s="1" t="n">
        <v>10</v>
      </c>
      <c r="K347" s="1" t="n">
        <v>2</v>
      </c>
      <c r="L347" s="1" t="n">
        <v>3</v>
      </c>
      <c r="M347" s="1" t="n">
        <v>1</v>
      </c>
      <c r="N347" s="1" t="n">
        <v>820.16</v>
      </c>
      <c r="O347" s="1" t="n">
        <v>0</v>
      </c>
      <c r="Q347" s="4" t="n">
        <v>45643</v>
      </c>
      <c r="R347" s="0" t="n">
        <f aca="false">IF(ISBLANK(F347),"Missing",IFERROR(YEAR(F347),"Missing"))</f>
        <v>2021</v>
      </c>
      <c r="S347" s="0" t="str">
        <f aca="false">IF(ISBLANK(E347),"Missing",IF(E347&lt;6,"0-6mo",IF(E347&lt;12,"6-12mo",IF(E347&lt;24,"12-24mo","24mo+"))))</f>
        <v>24mo+</v>
      </c>
      <c r="T347" s="0" t="n">
        <f aca="false">IF(ISBLANK(C347),0,IF(C347="Month-to-month",2,IF(C347="One year",1,0)))+IF(ISBLANK(I347),0,IF(I347&lt;40,2,IF(I347&lt;55,1,0)))+IF(ISBLANK(M347),0,IF(M347=1,3,0))+IF(ISBLANK(L347),0,IF(L347&gt;=2,1,0))+IF(ISBLANK(E347),0,IF(E347&lt;12,1,0))</f>
        <v>6</v>
      </c>
      <c r="U347" s="0" t="str">
        <f aca="false">IF((ISBLANK(B347)*1+ISBLANK(C347)*1+ISBLANK(D347)*1+ISBLANK(E347)*1+ISBLANK(F347)*1+ISBLANK(I347)*1+ISBLANK(J347)*1+ISBLANK(K347)*1+ISBLANK(L347)*1+ISBLANK(M347)*1+ISBLANK(N347)*1+ISBLANK(O347)*1)&gt;0,"Missing Data","OK")</f>
        <v>OK</v>
      </c>
      <c r="V347" s="0" t="str">
        <f aca="false">IF(T347&gt;=6,"High Risk",IF(T347&gt;=3,"Medium Risk","Low Risk"))</f>
        <v>High Risk</v>
      </c>
    </row>
    <row r="348" customFormat="false" ht="12.8" hidden="false" customHeight="false" outlineLevel="0" collapsed="false">
      <c r="A348" s="1" t="s">
        <v>378</v>
      </c>
      <c r="B348" s="1" t="s">
        <v>36</v>
      </c>
      <c r="C348" s="1" t="s">
        <v>34</v>
      </c>
      <c r="D348" s="1" t="n">
        <v>10.01</v>
      </c>
      <c r="E348" s="1" t="n">
        <v>55</v>
      </c>
      <c r="F348" s="4" t="n">
        <v>44305</v>
      </c>
      <c r="G348" s="1" t="s">
        <v>39</v>
      </c>
      <c r="H348" s="1" t="n">
        <v>1</v>
      </c>
      <c r="I348" s="1" t="n">
        <v>50.3</v>
      </c>
      <c r="J348" s="1" t="n">
        <v>15</v>
      </c>
      <c r="K348" s="1" t="n">
        <v>7</v>
      </c>
      <c r="L348" s="1" t="n">
        <v>2</v>
      </c>
      <c r="M348" s="1" t="n">
        <v>1</v>
      </c>
      <c r="N348" s="1" t="n">
        <v>550.55</v>
      </c>
      <c r="O348" s="1" t="n">
        <v>0</v>
      </c>
      <c r="Q348" s="4" t="n">
        <v>45979</v>
      </c>
      <c r="R348" s="0" t="n">
        <f aca="false">IF(ISBLANK(F348),"Missing",IFERROR(YEAR(F348),"Missing"))</f>
        <v>2021</v>
      </c>
      <c r="S348" s="0" t="str">
        <f aca="false">IF(ISBLANK(E348),"Missing",IF(E348&lt;6,"0-6mo",IF(E348&lt;12,"6-12mo",IF(E348&lt;24,"12-24mo","24mo+"))))</f>
        <v>24mo+</v>
      </c>
      <c r="T348" s="0" t="n">
        <f aca="false">IF(ISBLANK(C348),0,IF(C348="Month-to-month",2,IF(C348="One year",1,0)))+IF(ISBLANK(I348),0,IF(I348&lt;40,2,IF(I348&lt;55,1,0)))+IF(ISBLANK(M348),0,IF(M348=1,3,0))+IF(ISBLANK(L348),0,IF(L348&gt;=2,1,0))+IF(ISBLANK(E348),0,IF(E348&lt;12,1,0))</f>
        <v>6</v>
      </c>
      <c r="U348" s="0" t="str">
        <f aca="false">IF((ISBLANK(B348)*1+ISBLANK(C348)*1+ISBLANK(D348)*1+ISBLANK(E348)*1+ISBLANK(F348)*1+ISBLANK(I348)*1+ISBLANK(J348)*1+ISBLANK(K348)*1+ISBLANK(L348)*1+ISBLANK(M348)*1+ISBLANK(N348)*1+ISBLANK(O348)*1)&gt;0,"Missing Data","OK")</f>
        <v>OK</v>
      </c>
      <c r="V348" s="0" t="str">
        <f aca="false">IF(T348&gt;=6,"High Risk",IF(T348&gt;=3,"Medium Risk","Low Risk"))</f>
        <v>High Risk</v>
      </c>
    </row>
    <row r="349" customFormat="false" ht="12.8" hidden="false" customHeight="false" outlineLevel="0" collapsed="false">
      <c r="A349" s="1" t="s">
        <v>379</v>
      </c>
      <c r="B349" s="1" t="s">
        <v>23</v>
      </c>
      <c r="C349" s="1" t="s">
        <v>51</v>
      </c>
      <c r="D349" s="1" t="n">
        <v>19.93</v>
      </c>
      <c r="E349" s="1" t="n">
        <v>1</v>
      </c>
      <c r="F349" s="4" t="n">
        <v>44307</v>
      </c>
      <c r="G349" s="1" t="s">
        <v>27</v>
      </c>
      <c r="H349" s="1" t="n">
        <v>0</v>
      </c>
      <c r="I349" s="1" t="n">
        <v>47.7</v>
      </c>
      <c r="J349" s="1" t="n">
        <v>15</v>
      </c>
      <c r="K349" s="1" t="n">
        <v>7</v>
      </c>
      <c r="L349" s="1" t="n">
        <v>2</v>
      </c>
      <c r="M349" s="1" t="n">
        <v>0</v>
      </c>
      <c r="N349" s="1" t="n">
        <v>19.93</v>
      </c>
      <c r="O349" s="1" t="n">
        <v>0</v>
      </c>
      <c r="Q349" s="4" t="n">
        <v>44337</v>
      </c>
      <c r="R349" s="0" t="n">
        <f aca="false">IF(ISBLANK(F349),"Missing",IFERROR(YEAR(F349),"Missing"))</f>
        <v>2021</v>
      </c>
      <c r="S349" s="0" t="str">
        <f aca="false">IF(ISBLANK(E349),"Missing",IF(E349&lt;6,"0-6mo",IF(E349&lt;12,"6-12mo",IF(E349&lt;24,"12-24mo","24mo+"))))</f>
        <v>0-6mo</v>
      </c>
      <c r="T349" s="0" t="n">
        <f aca="false">IF(ISBLANK(C349),0,IF(C349="Month-to-month",2,IF(C349="One year",1,0)))+IF(ISBLANK(I349),0,IF(I349&lt;40,2,IF(I349&lt;55,1,0)))+IF(ISBLANK(M349),0,IF(M349=1,3,0))+IF(ISBLANK(L349),0,IF(L349&gt;=2,1,0))+IF(ISBLANK(E349),0,IF(E349&lt;12,1,0))</f>
        <v>3</v>
      </c>
      <c r="U349" s="0" t="str">
        <f aca="false">IF((ISBLANK(B349)*1+ISBLANK(C349)*1+ISBLANK(D349)*1+ISBLANK(E349)*1+ISBLANK(F349)*1+ISBLANK(I349)*1+ISBLANK(J349)*1+ISBLANK(K349)*1+ISBLANK(L349)*1+ISBLANK(M349)*1+ISBLANK(N349)*1+ISBLANK(O349)*1)&gt;0,"Missing Data","OK")</f>
        <v>OK</v>
      </c>
      <c r="V349" s="0" t="str">
        <f aca="false">IF(T349&gt;=6,"High Risk",IF(T349&gt;=3,"Medium Risk","Low Risk"))</f>
        <v>Medium Risk</v>
      </c>
    </row>
    <row r="350" customFormat="false" ht="12.8" hidden="false" customHeight="false" outlineLevel="0" collapsed="false">
      <c r="A350" s="1" t="s">
        <v>380</v>
      </c>
      <c r="B350" s="1" t="s">
        <v>23</v>
      </c>
      <c r="C350" s="1" t="s">
        <v>24</v>
      </c>
      <c r="D350" s="1" t="n">
        <v>18.88</v>
      </c>
      <c r="E350" s="1" t="n">
        <v>23</v>
      </c>
      <c r="F350" s="4" t="n">
        <v>44307</v>
      </c>
      <c r="G350" s="1" t="s">
        <v>39</v>
      </c>
      <c r="H350" s="1" t="n">
        <v>1</v>
      </c>
      <c r="I350" s="1" t="n">
        <v>12.8</v>
      </c>
      <c r="J350" s="1" t="n">
        <v>3</v>
      </c>
      <c r="K350" s="1" t="n">
        <v>2</v>
      </c>
      <c r="L350" s="1" t="n">
        <v>5</v>
      </c>
      <c r="M350" s="1" t="n">
        <v>0</v>
      </c>
      <c r="N350" s="1" t="n">
        <v>434.24</v>
      </c>
      <c r="O350" s="1" t="n">
        <v>0</v>
      </c>
      <c r="Q350" s="4" t="n">
        <v>45007</v>
      </c>
      <c r="R350" s="0" t="n">
        <f aca="false">IF(ISBLANK(F350),"Missing",IFERROR(YEAR(F350),"Missing"))</f>
        <v>2021</v>
      </c>
      <c r="S350" s="0" t="str">
        <f aca="false">IF(ISBLANK(E350),"Missing",IF(E350&lt;6,"0-6mo",IF(E350&lt;12,"6-12mo",IF(E350&lt;24,"12-24mo","24mo+"))))</f>
        <v>12-24mo</v>
      </c>
      <c r="T350" s="0" t="n">
        <f aca="false">IF(ISBLANK(C350),0,IF(C350="Month-to-month",2,IF(C350="One year",1,0)))+IF(ISBLANK(I350),0,IF(I350&lt;40,2,IF(I350&lt;55,1,0)))+IF(ISBLANK(M350),0,IF(M350=1,3,0))+IF(ISBLANK(L350),0,IF(L350&gt;=2,1,0))+IF(ISBLANK(E350),0,IF(E350&lt;12,1,0))</f>
        <v>5</v>
      </c>
      <c r="U350" s="0" t="str">
        <f aca="false">IF((ISBLANK(B350)*1+ISBLANK(C350)*1+ISBLANK(D350)*1+ISBLANK(E350)*1+ISBLANK(F350)*1+ISBLANK(I350)*1+ISBLANK(J350)*1+ISBLANK(K350)*1+ISBLANK(L350)*1+ISBLANK(M350)*1+ISBLANK(N350)*1+ISBLANK(O350)*1)&gt;0,"Missing Data","OK")</f>
        <v>OK</v>
      </c>
      <c r="V350" s="0" t="str">
        <f aca="false">IF(T350&gt;=6,"High Risk",IF(T350&gt;=3,"Medium Risk","Low Risk"))</f>
        <v>Medium Risk</v>
      </c>
    </row>
    <row r="351" customFormat="false" ht="12.8" hidden="false" customHeight="false" outlineLevel="0" collapsed="false">
      <c r="A351" s="1" t="s">
        <v>381</v>
      </c>
      <c r="B351" s="1" t="s">
        <v>36</v>
      </c>
      <c r="C351" s="1" t="s">
        <v>24</v>
      </c>
      <c r="D351" s="1" t="n">
        <v>9.38</v>
      </c>
      <c r="E351" s="1" t="n">
        <v>58</v>
      </c>
      <c r="F351" s="4" t="n">
        <v>44310</v>
      </c>
      <c r="G351" s="1" t="s">
        <v>25</v>
      </c>
      <c r="H351" s="1" t="n">
        <v>1</v>
      </c>
      <c r="I351" s="1" t="n">
        <v>15.4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544.04</v>
      </c>
      <c r="O351" s="1" t="n">
        <v>0</v>
      </c>
      <c r="Q351" s="4" t="n">
        <v>46075</v>
      </c>
      <c r="R351" s="0" t="n">
        <f aca="false">IF(ISBLANK(F351),"Missing",IFERROR(YEAR(F351),"Missing"))</f>
        <v>2021</v>
      </c>
      <c r="S351" s="0" t="str">
        <f aca="false">IF(ISBLANK(E351),"Missing",IF(E351&lt;6,"0-6mo",IF(E351&lt;12,"6-12mo",IF(E351&lt;24,"12-24mo","24mo+"))))</f>
        <v>24mo+</v>
      </c>
      <c r="T351" s="0" t="n">
        <f aca="false">IF(ISBLANK(C351),0,IF(C351="Month-to-month",2,IF(C351="One year",1,0)))+IF(ISBLANK(I351),0,IF(I351&lt;40,2,IF(I351&lt;55,1,0)))+IF(ISBLANK(M351),0,IF(M351=1,3,0))+IF(ISBLANK(L351),0,IF(L351&gt;=2,1,0))+IF(ISBLANK(E351),0,IF(E351&lt;12,1,0))</f>
        <v>4</v>
      </c>
      <c r="U351" s="0" t="str">
        <f aca="false">IF((ISBLANK(B351)*1+ISBLANK(C351)*1+ISBLANK(D351)*1+ISBLANK(E351)*1+ISBLANK(F351)*1+ISBLANK(I351)*1+ISBLANK(J351)*1+ISBLANK(K351)*1+ISBLANK(L351)*1+ISBLANK(M351)*1+ISBLANK(N351)*1+ISBLANK(O351)*1)&gt;0,"Missing Data","OK")</f>
        <v>OK</v>
      </c>
      <c r="V351" s="0" t="str">
        <f aca="false">IF(T351&gt;=6,"High Risk",IF(T351&gt;=3,"Medium Risk","Low Risk"))</f>
        <v>Medium Risk</v>
      </c>
    </row>
    <row r="352" customFormat="false" ht="12.8" hidden="false" customHeight="false" outlineLevel="0" collapsed="false">
      <c r="A352" s="1" t="s">
        <v>382</v>
      </c>
      <c r="B352" s="1" t="s">
        <v>23</v>
      </c>
      <c r="C352" s="1" t="s">
        <v>24</v>
      </c>
      <c r="D352" s="1" t="n">
        <v>20.74</v>
      </c>
      <c r="E352" s="1" t="n">
        <v>8</v>
      </c>
      <c r="F352" s="4" t="n">
        <v>44311</v>
      </c>
      <c r="G352" s="1" t="s">
        <v>25</v>
      </c>
      <c r="H352" s="1" t="n">
        <v>1</v>
      </c>
      <c r="I352" s="1" t="n">
        <v>74.9</v>
      </c>
      <c r="J352" s="1" t="n">
        <v>24</v>
      </c>
      <c r="K352" s="1" t="n">
        <v>9</v>
      </c>
      <c r="L352" s="1" t="n">
        <v>1</v>
      </c>
      <c r="M352" s="1" t="n">
        <v>0</v>
      </c>
      <c r="N352" s="1" t="n">
        <v>165.92</v>
      </c>
      <c r="O352" s="1" t="n">
        <v>0</v>
      </c>
      <c r="Q352" s="4" t="n">
        <v>44554</v>
      </c>
      <c r="R352" s="0" t="n">
        <f aca="false">IF(ISBLANK(F352),"Missing",IFERROR(YEAR(F352),"Missing"))</f>
        <v>2021</v>
      </c>
      <c r="S352" s="0" t="str">
        <f aca="false">IF(ISBLANK(E352),"Missing",IF(E352&lt;6,"0-6mo",IF(E352&lt;12,"6-12mo",IF(E352&lt;24,"12-24mo","24mo+"))))</f>
        <v>6-12mo</v>
      </c>
      <c r="T352" s="0" t="n">
        <f aca="false">IF(ISBLANK(C352),0,IF(C352="Month-to-month",2,IF(C352="One year",1,0)))+IF(ISBLANK(I352),0,IF(I352&lt;40,2,IF(I352&lt;55,1,0)))+IF(ISBLANK(M352),0,IF(M352=1,3,0))+IF(ISBLANK(L352),0,IF(L352&gt;=2,1,0))+IF(ISBLANK(E352),0,IF(E352&lt;12,1,0))</f>
        <v>3</v>
      </c>
      <c r="U352" s="0" t="str">
        <f aca="false">IF((ISBLANK(B352)*1+ISBLANK(C352)*1+ISBLANK(D352)*1+ISBLANK(E352)*1+ISBLANK(F352)*1+ISBLANK(I352)*1+ISBLANK(J352)*1+ISBLANK(K352)*1+ISBLANK(L352)*1+ISBLANK(M352)*1+ISBLANK(N352)*1+ISBLANK(O352)*1)&gt;0,"Missing Data","OK")</f>
        <v>OK</v>
      </c>
      <c r="V352" s="0" t="str">
        <f aca="false">IF(T352&gt;=6,"High Risk",IF(T352&gt;=3,"Medium Risk","Low Risk"))</f>
        <v>Medium Risk</v>
      </c>
    </row>
    <row r="353" customFormat="false" ht="12.8" hidden="false" customHeight="false" outlineLevel="0" collapsed="false">
      <c r="A353" s="1" t="s">
        <v>383</v>
      </c>
      <c r="B353" s="1" t="s">
        <v>36</v>
      </c>
      <c r="C353" s="1" t="s">
        <v>34</v>
      </c>
      <c r="D353" s="1" t="n">
        <v>10.77</v>
      </c>
      <c r="E353" s="1" t="n">
        <v>13</v>
      </c>
      <c r="F353" s="4" t="n">
        <v>44311</v>
      </c>
      <c r="G353" s="1" t="s">
        <v>25</v>
      </c>
      <c r="H353" s="1" t="n">
        <v>0</v>
      </c>
      <c r="I353" s="1" t="n">
        <v>78.6</v>
      </c>
      <c r="J353" s="1" t="n">
        <v>19</v>
      </c>
      <c r="K353" s="1" t="n">
        <v>8</v>
      </c>
      <c r="L353" s="1" t="n">
        <v>0</v>
      </c>
      <c r="M353" s="1" t="n">
        <v>0</v>
      </c>
      <c r="N353" s="1" t="n">
        <v>140.01</v>
      </c>
      <c r="O353" s="1" t="n">
        <v>0</v>
      </c>
      <c r="Q353" s="4" t="n">
        <v>44706</v>
      </c>
      <c r="R353" s="0" t="n">
        <f aca="false">IF(ISBLANK(F353),"Missing",IFERROR(YEAR(F353),"Missing"))</f>
        <v>2021</v>
      </c>
      <c r="S353" s="0" t="str">
        <f aca="false">IF(ISBLANK(E353),"Missing",IF(E353&lt;6,"0-6mo",IF(E353&lt;12,"6-12mo",IF(E353&lt;24,"12-24mo","24mo+"))))</f>
        <v>12-24mo</v>
      </c>
      <c r="T353" s="0" t="n">
        <f aca="false">IF(ISBLANK(C353),0,IF(C353="Month-to-month",2,IF(C353="One year",1,0)))+IF(ISBLANK(I353),0,IF(I353&lt;40,2,IF(I353&lt;55,1,0)))+IF(ISBLANK(M353),0,IF(M353=1,3,0))+IF(ISBLANK(L353),0,IF(L353&gt;=2,1,0))+IF(ISBLANK(E353),0,IF(E353&lt;12,1,0))</f>
        <v>1</v>
      </c>
      <c r="U353" s="0" t="str">
        <f aca="false">IF((ISBLANK(B353)*1+ISBLANK(C353)*1+ISBLANK(D353)*1+ISBLANK(E353)*1+ISBLANK(F353)*1+ISBLANK(I353)*1+ISBLANK(J353)*1+ISBLANK(K353)*1+ISBLANK(L353)*1+ISBLANK(M353)*1+ISBLANK(N353)*1+ISBLANK(O353)*1)&gt;0,"Missing Data","OK")</f>
        <v>OK</v>
      </c>
      <c r="V353" s="0" t="str">
        <f aca="false">IF(T353&gt;=6,"High Risk",IF(T353&gt;=3,"Medium Risk","Low Risk"))</f>
        <v>Low Risk</v>
      </c>
    </row>
    <row r="354" customFormat="false" ht="12.8" hidden="false" customHeight="false" outlineLevel="0" collapsed="false">
      <c r="A354" s="1" t="s">
        <v>384</v>
      </c>
      <c r="B354" s="1" t="s">
        <v>36</v>
      </c>
      <c r="C354" s="1" t="s">
        <v>34</v>
      </c>
      <c r="D354" s="1" t="n">
        <v>9.53</v>
      </c>
      <c r="E354" s="1" t="n">
        <v>44</v>
      </c>
      <c r="F354" s="4" t="n">
        <v>44312</v>
      </c>
      <c r="G354" s="1" t="s">
        <v>27</v>
      </c>
      <c r="H354" s="1" t="n">
        <v>1</v>
      </c>
      <c r="I354" s="1" t="n">
        <v>38.8</v>
      </c>
      <c r="J354" s="1" t="n">
        <v>10</v>
      </c>
      <c r="K354" s="1" t="n">
        <v>4</v>
      </c>
      <c r="L354" s="1" t="n">
        <v>1</v>
      </c>
      <c r="M354" s="1" t="n">
        <v>1</v>
      </c>
      <c r="N354" s="1" t="n">
        <v>419.32</v>
      </c>
      <c r="O354" s="1" t="n">
        <v>1</v>
      </c>
      <c r="P354" s="4" t="n">
        <v>45651</v>
      </c>
      <c r="Q354" s="4" t="n">
        <v>45651</v>
      </c>
      <c r="R354" s="0" t="n">
        <f aca="false">IF(ISBLANK(F354),"Missing",IFERROR(YEAR(F354),"Missing"))</f>
        <v>2021</v>
      </c>
      <c r="S354" s="0" t="str">
        <f aca="false">IF(ISBLANK(E354),"Missing",IF(E354&lt;6,"0-6mo",IF(E354&lt;12,"6-12mo",IF(E354&lt;24,"12-24mo","24mo+"))))</f>
        <v>24mo+</v>
      </c>
      <c r="T354" s="0" t="n">
        <f aca="false">IF(ISBLANK(C354),0,IF(C354="Month-to-month",2,IF(C354="One year",1,0)))+IF(ISBLANK(I354),0,IF(I354&lt;40,2,IF(I354&lt;55,1,0)))+IF(ISBLANK(M354),0,IF(M354=1,3,0))+IF(ISBLANK(L354),0,IF(L354&gt;=2,1,0))+IF(ISBLANK(E354),0,IF(E354&lt;12,1,0))</f>
        <v>6</v>
      </c>
      <c r="U354" s="0" t="str">
        <f aca="false">IF((ISBLANK(B354)*1+ISBLANK(C354)*1+ISBLANK(D354)*1+ISBLANK(E354)*1+ISBLANK(F354)*1+ISBLANK(I354)*1+ISBLANK(J354)*1+ISBLANK(K354)*1+ISBLANK(L354)*1+ISBLANK(M354)*1+ISBLANK(N354)*1+ISBLANK(O354)*1)&gt;0,"Missing Data","OK")</f>
        <v>OK</v>
      </c>
      <c r="V354" s="0" t="str">
        <f aca="false">IF(T354&gt;=6,"High Risk",IF(T354&gt;=3,"Medium Risk","Low Risk"))</f>
        <v>High Risk</v>
      </c>
    </row>
    <row r="355" customFormat="false" ht="12.8" hidden="false" customHeight="false" outlineLevel="0" collapsed="false">
      <c r="A355" s="1" t="s">
        <v>385</v>
      </c>
      <c r="B355" s="1" t="s">
        <v>36</v>
      </c>
      <c r="C355" s="1" t="s">
        <v>34</v>
      </c>
      <c r="D355" s="1" t="n">
        <v>8.44</v>
      </c>
      <c r="E355" s="1" t="n">
        <v>10</v>
      </c>
      <c r="F355" s="4" t="n">
        <v>44312</v>
      </c>
      <c r="G355" s="1" t="s">
        <v>25</v>
      </c>
      <c r="H355" s="1" t="n">
        <v>1</v>
      </c>
      <c r="I355" s="1" t="n">
        <v>44.4</v>
      </c>
      <c r="J355" s="1" t="n">
        <v>15</v>
      </c>
      <c r="K355" s="1" t="n">
        <v>6</v>
      </c>
      <c r="L355" s="1" t="n">
        <v>1</v>
      </c>
      <c r="M355" s="1" t="n">
        <v>0</v>
      </c>
      <c r="N355" s="1" t="n">
        <v>84.4</v>
      </c>
      <c r="O355" s="1" t="n">
        <v>0</v>
      </c>
      <c r="Q355" s="4" t="n">
        <v>44616</v>
      </c>
      <c r="R355" s="0" t="n">
        <f aca="false">IF(ISBLANK(F355),"Missing",IFERROR(YEAR(F355),"Missing"))</f>
        <v>2021</v>
      </c>
      <c r="S355" s="0" t="str">
        <f aca="false">IF(ISBLANK(E355),"Missing",IF(E355&lt;6,"0-6mo",IF(E355&lt;12,"6-12mo",IF(E355&lt;24,"12-24mo","24mo+"))))</f>
        <v>6-12mo</v>
      </c>
      <c r="T355" s="0" t="n">
        <f aca="false">IF(ISBLANK(C355),0,IF(C355="Month-to-month",2,IF(C355="One year",1,0)))+IF(ISBLANK(I355),0,IF(I355&lt;40,2,IF(I355&lt;55,1,0)))+IF(ISBLANK(M355),0,IF(M355=1,3,0))+IF(ISBLANK(L355),0,IF(L355&gt;=2,1,0))+IF(ISBLANK(E355),0,IF(E355&lt;12,1,0))</f>
        <v>3</v>
      </c>
      <c r="U355" s="0" t="str">
        <f aca="false">IF((ISBLANK(B355)*1+ISBLANK(C355)*1+ISBLANK(D355)*1+ISBLANK(E355)*1+ISBLANK(F355)*1+ISBLANK(I355)*1+ISBLANK(J355)*1+ISBLANK(K355)*1+ISBLANK(L355)*1+ISBLANK(M355)*1+ISBLANK(N355)*1+ISBLANK(O355)*1)&gt;0,"Missing Data","OK")</f>
        <v>OK</v>
      </c>
      <c r="V355" s="0" t="str">
        <f aca="false">IF(T355&gt;=6,"High Risk",IF(T355&gt;=3,"Medium Risk","Low Risk"))</f>
        <v>Medium Risk</v>
      </c>
    </row>
    <row r="356" customFormat="false" ht="12.8" hidden="false" customHeight="false" outlineLevel="0" collapsed="false">
      <c r="A356" s="1" t="s">
        <v>386</v>
      </c>
      <c r="B356" s="1" t="s">
        <v>23</v>
      </c>
      <c r="C356" s="1" t="s">
        <v>24</v>
      </c>
      <c r="D356" s="1" t="n">
        <v>19.6</v>
      </c>
      <c r="E356" s="1" t="n">
        <v>29</v>
      </c>
      <c r="F356" s="4" t="n">
        <v>44313</v>
      </c>
      <c r="G356" s="1" t="s">
        <v>25</v>
      </c>
      <c r="H356" s="1" t="n">
        <v>1</v>
      </c>
      <c r="I356" s="1" t="n">
        <v>81.2</v>
      </c>
      <c r="J356" s="1" t="n">
        <v>24</v>
      </c>
      <c r="K356" s="1" t="n">
        <v>7</v>
      </c>
      <c r="L356" s="1" t="n">
        <v>0</v>
      </c>
      <c r="M356" s="1" t="n">
        <v>0</v>
      </c>
      <c r="N356" s="1" t="n">
        <v>568.4</v>
      </c>
      <c r="O356" s="1" t="n">
        <v>0</v>
      </c>
      <c r="Q356" s="4" t="n">
        <v>45195</v>
      </c>
      <c r="R356" s="0" t="n">
        <f aca="false">IF(ISBLANK(F356),"Missing",IFERROR(YEAR(F356),"Missing"))</f>
        <v>2021</v>
      </c>
      <c r="S356" s="0" t="str">
        <f aca="false">IF(ISBLANK(E356),"Missing",IF(E356&lt;6,"0-6mo",IF(E356&lt;12,"6-12mo",IF(E356&lt;24,"12-24mo","24mo+"))))</f>
        <v>24mo+</v>
      </c>
      <c r="T356" s="0" t="n">
        <f aca="false">IF(ISBLANK(C356),0,IF(C356="Month-to-month",2,IF(C356="One year",1,0)))+IF(ISBLANK(I356),0,IF(I356&lt;40,2,IF(I356&lt;55,1,0)))+IF(ISBLANK(M356),0,IF(M356=1,3,0))+IF(ISBLANK(L356),0,IF(L356&gt;=2,1,0))+IF(ISBLANK(E356),0,IF(E356&lt;12,1,0))</f>
        <v>2</v>
      </c>
      <c r="U356" s="0" t="str">
        <f aca="false">IF((ISBLANK(B356)*1+ISBLANK(C356)*1+ISBLANK(D356)*1+ISBLANK(E356)*1+ISBLANK(F356)*1+ISBLANK(I356)*1+ISBLANK(J356)*1+ISBLANK(K356)*1+ISBLANK(L356)*1+ISBLANK(M356)*1+ISBLANK(N356)*1+ISBLANK(O356)*1)&gt;0,"Missing Data","OK")</f>
        <v>OK</v>
      </c>
      <c r="V356" s="0" t="str">
        <f aca="false">IF(T356&gt;=6,"High Risk",IF(T356&gt;=3,"Medium Risk","Low Risk"))</f>
        <v>Low Risk</v>
      </c>
    </row>
    <row r="357" customFormat="false" ht="12.8" hidden="false" customHeight="false" outlineLevel="0" collapsed="false">
      <c r="A357" s="1" t="s">
        <v>387</v>
      </c>
      <c r="B357" s="1" t="s">
        <v>36</v>
      </c>
      <c r="C357" s="1" t="s">
        <v>51</v>
      </c>
      <c r="D357" s="1" t="n">
        <v>9.35</v>
      </c>
      <c r="E357" s="1" t="n">
        <v>2</v>
      </c>
      <c r="F357" s="4" t="n">
        <v>44315</v>
      </c>
      <c r="G357" s="1" t="s">
        <v>25</v>
      </c>
      <c r="H357" s="1" t="n">
        <v>1</v>
      </c>
      <c r="I357" s="1" t="n">
        <v>36.3</v>
      </c>
      <c r="J357" s="1" t="n">
        <v>17</v>
      </c>
      <c r="K357" s="1" t="n">
        <v>1</v>
      </c>
      <c r="L357" s="1" t="n">
        <v>1</v>
      </c>
      <c r="M357" s="1" t="n">
        <v>1</v>
      </c>
      <c r="N357" s="1" t="n">
        <v>18.7</v>
      </c>
      <c r="O357" s="1" t="n">
        <v>0</v>
      </c>
      <c r="Q357" s="4" t="n">
        <v>44375</v>
      </c>
      <c r="R357" s="0" t="n">
        <f aca="false">IF(ISBLANK(F357),"Missing",IFERROR(YEAR(F357),"Missing"))</f>
        <v>2021</v>
      </c>
      <c r="S357" s="0" t="str">
        <f aca="false">IF(ISBLANK(E357),"Missing",IF(E357&lt;6,"0-6mo",IF(E357&lt;12,"6-12mo",IF(E357&lt;24,"12-24mo","24mo+"))))</f>
        <v>0-6mo</v>
      </c>
      <c r="T357" s="0" t="n">
        <f aca="false">IF(ISBLANK(C357),0,IF(C357="Month-to-month",2,IF(C357="One year",1,0)))+IF(ISBLANK(I357),0,IF(I357&lt;40,2,IF(I357&lt;55,1,0)))+IF(ISBLANK(M357),0,IF(M357=1,3,0))+IF(ISBLANK(L357),0,IF(L357&gt;=2,1,0))+IF(ISBLANK(E357),0,IF(E357&lt;12,1,0))</f>
        <v>6</v>
      </c>
      <c r="U357" s="0" t="str">
        <f aca="false">IF((ISBLANK(B357)*1+ISBLANK(C357)*1+ISBLANK(D357)*1+ISBLANK(E357)*1+ISBLANK(F357)*1+ISBLANK(I357)*1+ISBLANK(J357)*1+ISBLANK(K357)*1+ISBLANK(L357)*1+ISBLANK(M357)*1+ISBLANK(N357)*1+ISBLANK(O357)*1)&gt;0,"Missing Data","OK")</f>
        <v>OK</v>
      </c>
      <c r="V357" s="0" t="str">
        <f aca="false">IF(T357&gt;=6,"High Risk",IF(T357&gt;=3,"Medium Risk","Low Risk"))</f>
        <v>High Risk</v>
      </c>
    </row>
    <row r="358" customFormat="false" ht="12.8" hidden="false" customHeight="false" outlineLevel="0" collapsed="false">
      <c r="A358" s="1" t="s">
        <v>388</v>
      </c>
      <c r="B358" s="1" t="s">
        <v>23</v>
      </c>
      <c r="C358" s="1" t="s">
        <v>24</v>
      </c>
      <c r="D358" s="1" t="n">
        <v>19.35</v>
      </c>
      <c r="E358" s="1" t="n">
        <v>16</v>
      </c>
      <c r="F358" s="4" t="n">
        <v>44315</v>
      </c>
      <c r="G358" s="1" t="s">
        <v>25</v>
      </c>
      <c r="H358" s="1" t="n">
        <v>0</v>
      </c>
      <c r="I358" s="1" t="n">
        <v>46.1</v>
      </c>
      <c r="J358" s="1" t="n">
        <v>15</v>
      </c>
      <c r="K358" s="1" t="n">
        <v>6</v>
      </c>
      <c r="L358" s="1" t="n">
        <v>2</v>
      </c>
      <c r="M358" s="1" t="n">
        <v>0</v>
      </c>
      <c r="N358" s="1" t="n">
        <v>309.6</v>
      </c>
      <c r="O358" s="1" t="n">
        <v>1</v>
      </c>
      <c r="P358" s="4" t="n">
        <v>44802</v>
      </c>
      <c r="Q358" s="4" t="n">
        <v>44802</v>
      </c>
      <c r="R358" s="0" t="n">
        <f aca="false">IF(ISBLANK(F358),"Missing",IFERROR(YEAR(F358),"Missing"))</f>
        <v>2021</v>
      </c>
      <c r="S358" s="0" t="str">
        <f aca="false">IF(ISBLANK(E358),"Missing",IF(E358&lt;6,"0-6mo",IF(E358&lt;12,"6-12mo",IF(E358&lt;24,"12-24mo","24mo+"))))</f>
        <v>12-24mo</v>
      </c>
      <c r="T358" s="0" t="n">
        <f aca="false">IF(ISBLANK(C358),0,IF(C358="Month-to-month",2,IF(C358="One year",1,0)))+IF(ISBLANK(I358),0,IF(I358&lt;40,2,IF(I358&lt;55,1,0)))+IF(ISBLANK(M358),0,IF(M358=1,3,0))+IF(ISBLANK(L358),0,IF(L358&gt;=2,1,0))+IF(ISBLANK(E358),0,IF(E358&lt;12,1,0))</f>
        <v>4</v>
      </c>
      <c r="U358" s="0" t="str">
        <f aca="false">IF((ISBLANK(B358)*1+ISBLANK(C358)*1+ISBLANK(D358)*1+ISBLANK(E358)*1+ISBLANK(F358)*1+ISBLANK(I358)*1+ISBLANK(J358)*1+ISBLANK(K358)*1+ISBLANK(L358)*1+ISBLANK(M358)*1+ISBLANK(N358)*1+ISBLANK(O358)*1)&gt;0,"Missing Data","OK")</f>
        <v>OK</v>
      </c>
      <c r="V358" s="0" t="str">
        <f aca="false">IF(T358&gt;=6,"High Risk",IF(T358&gt;=3,"Medium Risk","Low Risk"))</f>
        <v>Medium Risk</v>
      </c>
    </row>
    <row r="359" customFormat="false" ht="12.8" hidden="false" customHeight="false" outlineLevel="0" collapsed="false">
      <c r="A359" s="1" t="s">
        <v>389</v>
      </c>
      <c r="B359" s="1" t="s">
        <v>36</v>
      </c>
      <c r="C359" s="1" t="s">
        <v>51</v>
      </c>
      <c r="D359" s="1" t="n">
        <v>10.08</v>
      </c>
      <c r="E359" s="1" t="n">
        <v>11</v>
      </c>
      <c r="F359" s="4" t="n">
        <v>44316</v>
      </c>
      <c r="G359" s="1" t="s">
        <v>30</v>
      </c>
      <c r="H359" s="1" t="n">
        <v>1</v>
      </c>
      <c r="I359" s="1" t="n">
        <v>62.8</v>
      </c>
      <c r="J359" s="1" t="n">
        <v>14</v>
      </c>
      <c r="K359" s="1" t="n">
        <v>5</v>
      </c>
      <c r="L359" s="1" t="n">
        <v>1</v>
      </c>
      <c r="M359" s="1" t="n">
        <v>1</v>
      </c>
      <c r="N359" s="1" t="n">
        <v>110.88</v>
      </c>
      <c r="O359" s="1" t="n">
        <v>0</v>
      </c>
      <c r="Q359" s="4" t="n">
        <v>44650</v>
      </c>
      <c r="R359" s="0" t="n">
        <f aca="false">IF(ISBLANK(F359),"Missing",IFERROR(YEAR(F359),"Missing"))</f>
        <v>2021</v>
      </c>
      <c r="S359" s="0" t="str">
        <f aca="false">IF(ISBLANK(E359),"Missing",IF(E359&lt;6,"0-6mo",IF(E359&lt;12,"6-12mo",IF(E359&lt;24,"12-24mo","24mo+"))))</f>
        <v>6-12mo</v>
      </c>
      <c r="T359" s="0" t="n">
        <f aca="false">IF(ISBLANK(C359),0,IF(C359="Month-to-month",2,IF(C359="One year",1,0)))+IF(ISBLANK(I359),0,IF(I359&lt;40,2,IF(I359&lt;55,1,0)))+IF(ISBLANK(M359),0,IF(M359=1,3,0))+IF(ISBLANK(L359),0,IF(L359&gt;=2,1,0))+IF(ISBLANK(E359),0,IF(E359&lt;12,1,0))</f>
        <v>4</v>
      </c>
      <c r="U359" s="0" t="str">
        <f aca="false">IF((ISBLANK(B359)*1+ISBLANK(C359)*1+ISBLANK(D359)*1+ISBLANK(E359)*1+ISBLANK(F359)*1+ISBLANK(I359)*1+ISBLANK(J359)*1+ISBLANK(K359)*1+ISBLANK(L359)*1+ISBLANK(M359)*1+ISBLANK(N359)*1+ISBLANK(O359)*1)&gt;0,"Missing Data","OK")</f>
        <v>OK</v>
      </c>
      <c r="V359" s="0" t="str">
        <f aca="false">IF(T359&gt;=6,"High Risk",IF(T359&gt;=3,"Medium Risk","Low Risk"))</f>
        <v>Medium Risk</v>
      </c>
    </row>
    <row r="360" customFormat="false" ht="12.8" hidden="false" customHeight="false" outlineLevel="0" collapsed="false">
      <c r="A360" s="1" t="s">
        <v>390</v>
      </c>
      <c r="B360" s="1" t="s">
        <v>36</v>
      </c>
      <c r="C360" s="1" t="s">
        <v>24</v>
      </c>
      <c r="D360" s="1" t="n">
        <v>9.2</v>
      </c>
      <c r="E360" s="1" t="n">
        <v>72</v>
      </c>
      <c r="F360" s="4" t="n">
        <v>44317</v>
      </c>
      <c r="G360" s="1" t="s">
        <v>39</v>
      </c>
      <c r="H360" s="1" t="n">
        <v>1</v>
      </c>
      <c r="I360" s="1" t="n">
        <v>45.2</v>
      </c>
      <c r="J360" s="1" t="n">
        <v>17</v>
      </c>
      <c r="K360" s="1" t="n">
        <v>2</v>
      </c>
      <c r="L360" s="1" t="n">
        <v>2</v>
      </c>
      <c r="M360" s="1" t="n">
        <v>0</v>
      </c>
      <c r="N360" s="1" t="n">
        <v>662.4</v>
      </c>
      <c r="O360" s="1" t="n">
        <v>0</v>
      </c>
      <c r="Q360" s="4" t="n">
        <v>46293</v>
      </c>
      <c r="R360" s="0" t="n">
        <f aca="false">IF(ISBLANK(F360),"Missing",IFERROR(YEAR(F360),"Missing"))</f>
        <v>2021</v>
      </c>
      <c r="S360" s="0" t="str">
        <f aca="false">IF(ISBLANK(E360),"Missing",IF(E360&lt;6,"0-6mo",IF(E360&lt;12,"6-12mo",IF(E360&lt;24,"12-24mo","24mo+"))))</f>
        <v>24mo+</v>
      </c>
      <c r="T360" s="0" t="n">
        <f aca="false">IF(ISBLANK(C360),0,IF(C360="Month-to-month",2,IF(C360="One year",1,0)))+IF(ISBLANK(I360),0,IF(I360&lt;40,2,IF(I360&lt;55,1,0)))+IF(ISBLANK(M360),0,IF(M360=1,3,0))+IF(ISBLANK(L360),0,IF(L360&gt;=2,1,0))+IF(ISBLANK(E360),0,IF(E360&lt;12,1,0))</f>
        <v>4</v>
      </c>
      <c r="U360" s="0" t="str">
        <f aca="false">IF((ISBLANK(B360)*1+ISBLANK(C360)*1+ISBLANK(D360)*1+ISBLANK(E360)*1+ISBLANK(F360)*1+ISBLANK(I360)*1+ISBLANK(J360)*1+ISBLANK(K360)*1+ISBLANK(L360)*1+ISBLANK(M360)*1+ISBLANK(N360)*1+ISBLANK(O360)*1)&gt;0,"Missing Data","OK")</f>
        <v>OK</v>
      </c>
      <c r="V360" s="0" t="str">
        <f aca="false">IF(T360&gt;=6,"High Risk",IF(T360&gt;=3,"Medium Risk","Low Risk"))</f>
        <v>Medium Risk</v>
      </c>
    </row>
    <row r="361" customFormat="false" ht="12.8" hidden="false" customHeight="false" outlineLevel="0" collapsed="false">
      <c r="A361" s="1" t="s">
        <v>391</v>
      </c>
      <c r="B361" s="1" t="s">
        <v>29</v>
      </c>
      <c r="C361" s="1" t="s">
        <v>24</v>
      </c>
      <c r="D361" s="1" t="n">
        <v>40.87</v>
      </c>
      <c r="E361" s="1" t="n">
        <v>7</v>
      </c>
      <c r="F361" s="4" t="n">
        <v>44318</v>
      </c>
      <c r="G361" s="1" t="s">
        <v>25</v>
      </c>
      <c r="H361" s="1" t="n">
        <v>1</v>
      </c>
      <c r="I361" s="1" t="n">
        <v>76.1</v>
      </c>
      <c r="J361" s="1" t="n">
        <v>25</v>
      </c>
      <c r="K361" s="1" t="n">
        <v>8</v>
      </c>
      <c r="L361" s="1" t="n">
        <v>0</v>
      </c>
      <c r="M361" s="1" t="n">
        <v>0</v>
      </c>
      <c r="N361" s="1" t="n">
        <v>286.09</v>
      </c>
      <c r="O361" s="1" t="n">
        <v>0</v>
      </c>
      <c r="Q361" s="4" t="n">
        <v>44531</v>
      </c>
      <c r="R361" s="0" t="n">
        <f aca="false">IF(ISBLANK(F361),"Missing",IFERROR(YEAR(F361),"Missing"))</f>
        <v>2021</v>
      </c>
      <c r="S361" s="0" t="str">
        <f aca="false">IF(ISBLANK(E361),"Missing",IF(E361&lt;6,"0-6mo",IF(E361&lt;12,"6-12mo",IF(E361&lt;24,"12-24mo","24mo+"))))</f>
        <v>6-12mo</v>
      </c>
      <c r="T361" s="0" t="n">
        <f aca="false">IF(ISBLANK(C361),0,IF(C361="Month-to-month",2,IF(C361="One year",1,0)))+IF(ISBLANK(I361),0,IF(I361&lt;40,2,IF(I361&lt;55,1,0)))+IF(ISBLANK(M361),0,IF(M361=1,3,0))+IF(ISBLANK(L361),0,IF(L361&gt;=2,1,0))+IF(ISBLANK(E361),0,IF(E361&lt;12,1,0))</f>
        <v>3</v>
      </c>
      <c r="U361" s="0" t="str">
        <f aca="false">IF((ISBLANK(B361)*1+ISBLANK(C361)*1+ISBLANK(D361)*1+ISBLANK(E361)*1+ISBLANK(F361)*1+ISBLANK(I361)*1+ISBLANK(J361)*1+ISBLANK(K361)*1+ISBLANK(L361)*1+ISBLANK(M361)*1+ISBLANK(N361)*1+ISBLANK(O361)*1)&gt;0,"Missing Data","OK")</f>
        <v>OK</v>
      </c>
      <c r="V361" s="0" t="str">
        <f aca="false">IF(T361&gt;=6,"High Risk",IF(T361&gt;=3,"Medium Risk","Low Risk"))</f>
        <v>Medium Risk</v>
      </c>
    </row>
    <row r="362" customFormat="false" ht="12.8" hidden="false" customHeight="false" outlineLevel="0" collapsed="false">
      <c r="A362" s="1" t="s">
        <v>392</v>
      </c>
      <c r="B362" s="1" t="s">
        <v>36</v>
      </c>
      <c r="C362" s="1" t="s">
        <v>24</v>
      </c>
      <c r="D362" s="1" t="n">
        <v>8.49</v>
      </c>
      <c r="E362" s="1" t="n">
        <v>20</v>
      </c>
      <c r="F362" s="4" t="n">
        <v>44319</v>
      </c>
      <c r="G362" s="1" t="s">
        <v>25</v>
      </c>
      <c r="H362" s="1" t="n">
        <v>1</v>
      </c>
      <c r="I362" s="1" t="n">
        <v>37.6</v>
      </c>
      <c r="J362" s="1" t="n">
        <v>19</v>
      </c>
      <c r="K362" s="1" t="n">
        <v>3</v>
      </c>
      <c r="L362" s="1" t="n">
        <v>1</v>
      </c>
      <c r="M362" s="1" t="n">
        <v>1</v>
      </c>
      <c r="N362" s="1" t="n">
        <v>169.8</v>
      </c>
      <c r="O362" s="1" t="n">
        <v>0</v>
      </c>
      <c r="Q362" s="4" t="n">
        <v>44927</v>
      </c>
      <c r="R362" s="0" t="n">
        <f aca="false">IF(ISBLANK(F362),"Missing",IFERROR(YEAR(F362),"Missing"))</f>
        <v>2021</v>
      </c>
      <c r="S362" s="0" t="str">
        <f aca="false">IF(ISBLANK(E362),"Missing",IF(E362&lt;6,"0-6mo",IF(E362&lt;12,"6-12mo",IF(E362&lt;24,"12-24mo","24mo+"))))</f>
        <v>12-24mo</v>
      </c>
      <c r="T362" s="0" t="n">
        <f aca="false">IF(ISBLANK(C362),0,IF(C362="Month-to-month",2,IF(C362="One year",1,0)))+IF(ISBLANK(I362),0,IF(I362&lt;40,2,IF(I362&lt;55,1,0)))+IF(ISBLANK(M362),0,IF(M362=1,3,0))+IF(ISBLANK(L362),0,IF(L362&gt;=2,1,0))+IF(ISBLANK(E362),0,IF(E362&lt;12,1,0))</f>
        <v>7</v>
      </c>
      <c r="U362" s="0" t="str">
        <f aca="false">IF((ISBLANK(B362)*1+ISBLANK(C362)*1+ISBLANK(D362)*1+ISBLANK(E362)*1+ISBLANK(F362)*1+ISBLANK(I362)*1+ISBLANK(J362)*1+ISBLANK(K362)*1+ISBLANK(L362)*1+ISBLANK(M362)*1+ISBLANK(N362)*1+ISBLANK(O362)*1)&gt;0,"Missing Data","OK")</f>
        <v>OK</v>
      </c>
      <c r="V362" s="0" t="str">
        <f aca="false">IF(T362&gt;=6,"High Risk",IF(T362&gt;=3,"Medium Risk","Low Risk"))</f>
        <v>High Risk</v>
      </c>
    </row>
    <row r="363" customFormat="false" ht="12.8" hidden="false" customHeight="false" outlineLevel="0" collapsed="false">
      <c r="A363" s="1" t="s">
        <v>393</v>
      </c>
      <c r="B363" s="1" t="s">
        <v>23</v>
      </c>
      <c r="C363" s="1" t="s">
        <v>24</v>
      </c>
      <c r="D363" s="1" t="n">
        <v>19.36</v>
      </c>
      <c r="E363" s="1" t="n">
        <v>65</v>
      </c>
      <c r="F363" s="4" t="n">
        <v>44320</v>
      </c>
      <c r="G363" s="1" t="s">
        <v>25</v>
      </c>
      <c r="H363" s="1" t="n">
        <v>1</v>
      </c>
      <c r="I363" s="1" t="n">
        <v>39.6</v>
      </c>
      <c r="J363" s="1" t="n">
        <v>10</v>
      </c>
      <c r="K363" s="1" t="n">
        <v>3</v>
      </c>
      <c r="L363" s="1" t="n">
        <v>1</v>
      </c>
      <c r="M363" s="1" t="n">
        <v>1</v>
      </c>
      <c r="N363" s="1" t="n">
        <v>1258.4</v>
      </c>
      <c r="O363" s="1" t="n">
        <v>1</v>
      </c>
      <c r="P363" s="4" t="n">
        <v>46293</v>
      </c>
      <c r="Q363" s="4" t="n">
        <v>46293</v>
      </c>
      <c r="R363" s="0" t="n">
        <f aca="false">IF(ISBLANK(F363),"Missing",IFERROR(YEAR(F363),"Missing"))</f>
        <v>2021</v>
      </c>
      <c r="S363" s="0" t="str">
        <f aca="false">IF(ISBLANK(E363),"Missing",IF(E363&lt;6,"0-6mo",IF(E363&lt;12,"6-12mo",IF(E363&lt;24,"12-24mo","24mo+"))))</f>
        <v>24mo+</v>
      </c>
      <c r="T363" s="0" t="n">
        <f aca="false">IF(ISBLANK(C363),0,IF(C363="Month-to-month",2,IF(C363="One year",1,0)))+IF(ISBLANK(I363),0,IF(I363&lt;40,2,IF(I363&lt;55,1,0)))+IF(ISBLANK(M363),0,IF(M363=1,3,0))+IF(ISBLANK(L363),0,IF(L363&gt;=2,1,0))+IF(ISBLANK(E363),0,IF(E363&lt;12,1,0))</f>
        <v>7</v>
      </c>
      <c r="U363" s="0" t="str">
        <f aca="false">IF((ISBLANK(B363)*1+ISBLANK(C363)*1+ISBLANK(D363)*1+ISBLANK(E363)*1+ISBLANK(F363)*1+ISBLANK(I363)*1+ISBLANK(J363)*1+ISBLANK(K363)*1+ISBLANK(L363)*1+ISBLANK(M363)*1+ISBLANK(N363)*1+ISBLANK(O363)*1)&gt;0,"Missing Data","OK")</f>
        <v>OK</v>
      </c>
      <c r="V363" s="0" t="str">
        <f aca="false">IF(T363&gt;=6,"High Risk",IF(T363&gt;=3,"Medium Risk","Low Risk"))</f>
        <v>High Risk</v>
      </c>
    </row>
    <row r="364" customFormat="false" ht="12.8" hidden="false" customHeight="false" outlineLevel="0" collapsed="false">
      <c r="A364" s="1" t="s">
        <v>394</v>
      </c>
      <c r="B364" s="1" t="s">
        <v>23</v>
      </c>
      <c r="C364" s="1" t="s">
        <v>34</v>
      </c>
      <c r="D364" s="1" t="n">
        <v>18.79</v>
      </c>
      <c r="E364" s="1" t="n">
        <v>12</v>
      </c>
      <c r="F364" s="4" t="n">
        <v>44328</v>
      </c>
      <c r="G364" s="1" t="s">
        <v>25</v>
      </c>
      <c r="H364" s="1" t="n">
        <v>1</v>
      </c>
      <c r="I364" s="1" t="n">
        <v>30.5</v>
      </c>
      <c r="J364" s="1" t="n">
        <v>8</v>
      </c>
      <c r="K364" s="1" t="n">
        <v>2</v>
      </c>
      <c r="L364" s="1" t="n">
        <v>2</v>
      </c>
      <c r="M364" s="1" t="n">
        <v>0</v>
      </c>
      <c r="N364" s="1" t="n">
        <v>225.48</v>
      </c>
      <c r="O364" s="1" t="n">
        <v>0</v>
      </c>
      <c r="Q364" s="4" t="n">
        <v>44693</v>
      </c>
      <c r="R364" s="0" t="n">
        <f aca="false">IF(ISBLANK(F364),"Missing",IFERROR(YEAR(F364),"Missing"))</f>
        <v>2021</v>
      </c>
      <c r="S364" s="0" t="str">
        <f aca="false">IF(ISBLANK(E364),"Missing",IF(E364&lt;6,"0-6mo",IF(E364&lt;12,"6-12mo",IF(E364&lt;24,"12-24mo","24mo+"))))</f>
        <v>12-24mo</v>
      </c>
      <c r="T364" s="0" t="n">
        <f aca="false">IF(ISBLANK(C364),0,IF(C364="Month-to-month",2,IF(C364="One year",1,0)))+IF(ISBLANK(I364),0,IF(I364&lt;40,2,IF(I364&lt;55,1,0)))+IF(ISBLANK(M364),0,IF(M364=1,3,0))+IF(ISBLANK(L364),0,IF(L364&gt;=2,1,0))+IF(ISBLANK(E364),0,IF(E364&lt;12,1,0))</f>
        <v>4</v>
      </c>
      <c r="U364" s="0" t="str">
        <f aca="false">IF((ISBLANK(B364)*1+ISBLANK(C364)*1+ISBLANK(D364)*1+ISBLANK(E364)*1+ISBLANK(F364)*1+ISBLANK(I364)*1+ISBLANK(J364)*1+ISBLANK(K364)*1+ISBLANK(L364)*1+ISBLANK(M364)*1+ISBLANK(N364)*1+ISBLANK(O364)*1)&gt;0,"Missing Data","OK")</f>
        <v>OK</v>
      </c>
      <c r="V364" s="0" t="str">
        <f aca="false">IF(T364&gt;=6,"High Risk",IF(T364&gt;=3,"Medium Risk","Low Risk"))</f>
        <v>Medium Risk</v>
      </c>
    </row>
    <row r="365" customFormat="false" ht="12.8" hidden="false" customHeight="false" outlineLevel="0" collapsed="false">
      <c r="A365" s="1" t="s">
        <v>395</v>
      </c>
      <c r="B365" s="1" t="s">
        <v>36</v>
      </c>
      <c r="C365" s="1" t="s">
        <v>34</v>
      </c>
      <c r="D365" s="1" t="n">
        <v>11.3</v>
      </c>
      <c r="E365" s="1" t="n">
        <v>15</v>
      </c>
      <c r="F365" s="4" t="n">
        <v>44328</v>
      </c>
      <c r="G365" s="1" t="s">
        <v>25</v>
      </c>
      <c r="H365" s="1" t="n">
        <v>1</v>
      </c>
      <c r="I365" s="1" t="n">
        <v>79.6</v>
      </c>
      <c r="J365" s="1" t="n">
        <v>28</v>
      </c>
      <c r="K365" s="1" t="n">
        <v>6</v>
      </c>
      <c r="L365" s="1" t="n">
        <v>3</v>
      </c>
      <c r="M365" s="1" t="n">
        <v>0</v>
      </c>
      <c r="N365" s="1" t="n">
        <v>169.5</v>
      </c>
      <c r="O365" s="1" t="n">
        <v>0</v>
      </c>
      <c r="Q365" s="4" t="n">
        <v>44784</v>
      </c>
      <c r="R365" s="0" t="n">
        <f aca="false">IF(ISBLANK(F365),"Missing",IFERROR(YEAR(F365),"Missing"))</f>
        <v>2021</v>
      </c>
      <c r="S365" s="0" t="str">
        <f aca="false">IF(ISBLANK(E365),"Missing",IF(E365&lt;6,"0-6mo",IF(E365&lt;12,"6-12mo",IF(E365&lt;24,"12-24mo","24mo+"))))</f>
        <v>12-24mo</v>
      </c>
      <c r="T365" s="0" t="n">
        <f aca="false">IF(ISBLANK(C365),0,IF(C365="Month-to-month",2,IF(C365="One year",1,0)))+IF(ISBLANK(I365),0,IF(I365&lt;40,2,IF(I365&lt;55,1,0)))+IF(ISBLANK(M365),0,IF(M365=1,3,0))+IF(ISBLANK(L365),0,IF(L365&gt;=2,1,0))+IF(ISBLANK(E365),0,IF(E365&lt;12,1,0))</f>
        <v>2</v>
      </c>
      <c r="U365" s="0" t="str">
        <f aca="false">IF((ISBLANK(B365)*1+ISBLANK(C365)*1+ISBLANK(D365)*1+ISBLANK(E365)*1+ISBLANK(F365)*1+ISBLANK(I365)*1+ISBLANK(J365)*1+ISBLANK(K365)*1+ISBLANK(L365)*1+ISBLANK(M365)*1+ISBLANK(N365)*1+ISBLANK(O365)*1)&gt;0,"Missing Data","OK")</f>
        <v>OK</v>
      </c>
      <c r="V365" s="0" t="str">
        <f aca="false">IF(T365&gt;=6,"High Risk",IF(T365&gt;=3,"Medium Risk","Low Risk"))</f>
        <v>Low Risk</v>
      </c>
    </row>
    <row r="366" customFormat="false" ht="12.8" hidden="false" customHeight="false" outlineLevel="0" collapsed="false">
      <c r="A366" s="1" t="s">
        <v>396</v>
      </c>
      <c r="B366" s="1" t="s">
        <v>23</v>
      </c>
      <c r="C366" s="1" t="s">
        <v>24</v>
      </c>
      <c r="D366" s="1" t="n">
        <v>19.55</v>
      </c>
      <c r="E366" s="1" t="n">
        <v>23</v>
      </c>
      <c r="F366" s="4" t="n">
        <v>44330</v>
      </c>
      <c r="G366" s="1" t="s">
        <v>25</v>
      </c>
      <c r="H366" s="1" t="n">
        <v>1</v>
      </c>
      <c r="I366" s="1" t="n">
        <v>59.9</v>
      </c>
      <c r="J366" s="1" t="n">
        <v>15</v>
      </c>
      <c r="K366" s="1" t="n">
        <v>7</v>
      </c>
      <c r="L366" s="1" t="n">
        <v>0</v>
      </c>
      <c r="M366" s="1" t="n">
        <v>0</v>
      </c>
      <c r="N366" s="1" t="n">
        <v>449.65</v>
      </c>
      <c r="O366" s="1" t="n">
        <v>0</v>
      </c>
      <c r="Q366" s="4" t="n">
        <v>45030</v>
      </c>
      <c r="R366" s="0" t="n">
        <f aca="false">IF(ISBLANK(F366),"Missing",IFERROR(YEAR(F366),"Missing"))</f>
        <v>2021</v>
      </c>
      <c r="S366" s="0" t="str">
        <f aca="false">IF(ISBLANK(E366),"Missing",IF(E366&lt;6,"0-6mo",IF(E366&lt;12,"6-12mo",IF(E366&lt;24,"12-24mo","24mo+"))))</f>
        <v>12-24mo</v>
      </c>
      <c r="T366" s="0" t="n">
        <f aca="false">IF(ISBLANK(C366),0,IF(C366="Month-to-month",2,IF(C366="One year",1,0)))+IF(ISBLANK(I366),0,IF(I366&lt;40,2,IF(I366&lt;55,1,0)))+IF(ISBLANK(M366),0,IF(M366=1,3,0))+IF(ISBLANK(L366),0,IF(L366&gt;=2,1,0))+IF(ISBLANK(E366),0,IF(E366&lt;12,1,0))</f>
        <v>2</v>
      </c>
      <c r="U366" s="0" t="str">
        <f aca="false">IF((ISBLANK(B366)*1+ISBLANK(C366)*1+ISBLANK(D366)*1+ISBLANK(E366)*1+ISBLANK(F366)*1+ISBLANK(I366)*1+ISBLANK(J366)*1+ISBLANK(K366)*1+ISBLANK(L366)*1+ISBLANK(M366)*1+ISBLANK(N366)*1+ISBLANK(O366)*1)&gt;0,"Missing Data","OK")</f>
        <v>OK</v>
      </c>
      <c r="V366" s="0" t="str">
        <f aca="false">IF(T366&gt;=6,"High Risk",IF(T366&gt;=3,"Medium Risk","Low Risk"))</f>
        <v>Low Risk</v>
      </c>
    </row>
    <row r="367" customFormat="false" ht="12.8" hidden="false" customHeight="false" outlineLevel="0" collapsed="false">
      <c r="A367" s="1" t="s">
        <v>397</v>
      </c>
      <c r="B367" s="1" t="s">
        <v>36</v>
      </c>
      <c r="C367" s="1" t="s">
        <v>34</v>
      </c>
      <c r="D367" s="1" t="n">
        <v>10.78</v>
      </c>
      <c r="E367" s="1" t="n">
        <v>3</v>
      </c>
      <c r="F367" s="4" t="n">
        <v>44330</v>
      </c>
      <c r="G367" s="1" t="s">
        <v>30</v>
      </c>
      <c r="H367" s="1" t="n">
        <v>1</v>
      </c>
      <c r="I367" s="1" t="n">
        <v>68.6</v>
      </c>
      <c r="J367" s="1" t="n">
        <v>17</v>
      </c>
      <c r="K367" s="1" t="n">
        <v>7</v>
      </c>
      <c r="L367" s="1" t="n">
        <v>1</v>
      </c>
      <c r="M367" s="1" t="n">
        <v>1</v>
      </c>
      <c r="N367" s="1" t="n">
        <v>32.34</v>
      </c>
      <c r="O367" s="1" t="n">
        <v>1</v>
      </c>
      <c r="P367" s="4" t="n">
        <v>44421</v>
      </c>
      <c r="Q367" s="4" t="n">
        <v>44421</v>
      </c>
      <c r="R367" s="0" t="n">
        <f aca="false">IF(ISBLANK(F367),"Missing",IFERROR(YEAR(F367),"Missing"))</f>
        <v>2021</v>
      </c>
      <c r="S367" s="0" t="str">
        <f aca="false">IF(ISBLANK(E367),"Missing",IF(E367&lt;6,"0-6mo",IF(E367&lt;12,"6-12mo",IF(E367&lt;24,"12-24mo","24mo+"))))</f>
        <v>0-6mo</v>
      </c>
      <c r="T367" s="0" t="n">
        <f aca="false">IF(ISBLANK(C367),0,IF(C367="Month-to-month",2,IF(C367="One year",1,0)))+IF(ISBLANK(I367),0,IF(I367&lt;40,2,IF(I367&lt;55,1,0)))+IF(ISBLANK(M367),0,IF(M367=1,3,0))+IF(ISBLANK(L367),0,IF(L367&gt;=2,1,0))+IF(ISBLANK(E367),0,IF(E367&lt;12,1,0))</f>
        <v>5</v>
      </c>
      <c r="U367" s="0" t="str">
        <f aca="false">IF((ISBLANK(B367)*1+ISBLANK(C367)*1+ISBLANK(D367)*1+ISBLANK(E367)*1+ISBLANK(F367)*1+ISBLANK(I367)*1+ISBLANK(J367)*1+ISBLANK(K367)*1+ISBLANK(L367)*1+ISBLANK(M367)*1+ISBLANK(N367)*1+ISBLANK(O367)*1)&gt;0,"Missing Data","OK")</f>
        <v>OK</v>
      </c>
      <c r="V367" s="0" t="str">
        <f aca="false">IF(T367&gt;=6,"High Risk",IF(T367&gt;=3,"Medium Risk","Low Risk"))</f>
        <v>Medium Risk</v>
      </c>
    </row>
    <row r="368" customFormat="false" ht="12.8" hidden="false" customHeight="false" outlineLevel="0" collapsed="false">
      <c r="A368" s="1" t="s">
        <v>398</v>
      </c>
      <c r="B368" s="1" t="s">
        <v>36</v>
      </c>
      <c r="C368" s="1" t="s">
        <v>24</v>
      </c>
      <c r="D368" s="1" t="n">
        <v>12.16</v>
      </c>
      <c r="E368" s="1" t="n">
        <v>1</v>
      </c>
      <c r="F368" s="4" t="n">
        <v>44331</v>
      </c>
      <c r="G368" s="1" t="s">
        <v>25</v>
      </c>
      <c r="H368" s="1" t="n">
        <v>0</v>
      </c>
      <c r="I368" s="1" t="n">
        <v>36.8</v>
      </c>
      <c r="J368" s="1" t="n">
        <v>5</v>
      </c>
      <c r="K368" s="1" t="n">
        <v>4</v>
      </c>
      <c r="L368" s="1" t="n">
        <v>0</v>
      </c>
      <c r="M368" s="1" t="n">
        <v>0</v>
      </c>
      <c r="N368" s="1" t="n">
        <v>12.16</v>
      </c>
      <c r="O368" s="1" t="n">
        <v>0</v>
      </c>
      <c r="Q368" s="4" t="n">
        <v>44361</v>
      </c>
      <c r="R368" s="0" t="n">
        <f aca="false">IF(ISBLANK(F368),"Missing",IFERROR(YEAR(F368),"Missing"))</f>
        <v>2021</v>
      </c>
      <c r="S368" s="0" t="str">
        <f aca="false">IF(ISBLANK(E368),"Missing",IF(E368&lt;6,"0-6mo",IF(E368&lt;12,"6-12mo",IF(E368&lt;24,"12-24mo","24mo+"))))</f>
        <v>0-6mo</v>
      </c>
      <c r="T368" s="0" t="n">
        <f aca="false">IF(ISBLANK(C368),0,IF(C368="Month-to-month",2,IF(C368="One year",1,0)))+IF(ISBLANK(I368),0,IF(I368&lt;40,2,IF(I368&lt;55,1,0)))+IF(ISBLANK(M368),0,IF(M368=1,3,0))+IF(ISBLANK(L368),0,IF(L368&gt;=2,1,0))+IF(ISBLANK(E368),0,IF(E368&lt;12,1,0))</f>
        <v>5</v>
      </c>
      <c r="U368" s="0" t="str">
        <f aca="false">IF((ISBLANK(B368)*1+ISBLANK(C368)*1+ISBLANK(D368)*1+ISBLANK(E368)*1+ISBLANK(F368)*1+ISBLANK(I368)*1+ISBLANK(J368)*1+ISBLANK(K368)*1+ISBLANK(L368)*1+ISBLANK(M368)*1+ISBLANK(N368)*1+ISBLANK(O368)*1)&gt;0,"Missing Data","OK")</f>
        <v>OK</v>
      </c>
      <c r="V368" s="0" t="str">
        <f aca="false">IF(T368&gt;=6,"High Risk",IF(T368&gt;=3,"Medium Risk","Low Risk"))</f>
        <v>Medium Risk</v>
      </c>
    </row>
    <row r="369" customFormat="false" ht="12.8" hidden="false" customHeight="false" outlineLevel="0" collapsed="false">
      <c r="A369" s="1" t="s">
        <v>399</v>
      </c>
      <c r="B369" s="1" t="s">
        <v>29</v>
      </c>
      <c r="C369" s="1" t="s">
        <v>51</v>
      </c>
      <c r="D369" s="1" t="n">
        <v>39.45</v>
      </c>
      <c r="E369" s="1" t="n">
        <v>4</v>
      </c>
      <c r="F369" s="4" t="n">
        <v>44331</v>
      </c>
      <c r="G369" s="1" t="s">
        <v>27</v>
      </c>
      <c r="H369" s="1" t="n">
        <v>0</v>
      </c>
      <c r="I369" s="1" t="n">
        <v>16.2</v>
      </c>
      <c r="J369" s="1" t="n">
        <v>5</v>
      </c>
      <c r="K369" s="1" t="n">
        <v>1</v>
      </c>
      <c r="L369" s="1" t="n">
        <v>7</v>
      </c>
      <c r="M369" s="1" t="n">
        <v>0</v>
      </c>
      <c r="N369" s="1" t="n">
        <v>157.8</v>
      </c>
      <c r="O369" s="1" t="n">
        <v>1</v>
      </c>
      <c r="P369" s="4" t="n">
        <v>44452</v>
      </c>
      <c r="Q369" s="4" t="n">
        <v>44452</v>
      </c>
      <c r="R369" s="0" t="n">
        <f aca="false">IF(ISBLANK(F369),"Missing",IFERROR(YEAR(F369),"Missing"))</f>
        <v>2021</v>
      </c>
      <c r="S369" s="0" t="str">
        <f aca="false">IF(ISBLANK(E369),"Missing",IF(E369&lt;6,"0-6mo",IF(E369&lt;12,"6-12mo",IF(E369&lt;24,"12-24mo","24mo+"))))</f>
        <v>0-6mo</v>
      </c>
      <c r="T369" s="0" t="n">
        <f aca="false">IF(ISBLANK(C369),0,IF(C369="Month-to-month",2,IF(C369="One year",1,0)))+IF(ISBLANK(I369),0,IF(I369&lt;40,2,IF(I369&lt;55,1,0)))+IF(ISBLANK(M369),0,IF(M369=1,3,0))+IF(ISBLANK(L369),0,IF(L369&gt;=2,1,0))+IF(ISBLANK(E369),0,IF(E369&lt;12,1,0))</f>
        <v>4</v>
      </c>
      <c r="U369" s="0" t="str">
        <f aca="false">IF((ISBLANK(B369)*1+ISBLANK(C369)*1+ISBLANK(D369)*1+ISBLANK(E369)*1+ISBLANK(F369)*1+ISBLANK(I369)*1+ISBLANK(J369)*1+ISBLANK(K369)*1+ISBLANK(L369)*1+ISBLANK(M369)*1+ISBLANK(N369)*1+ISBLANK(O369)*1)&gt;0,"Missing Data","OK")</f>
        <v>OK</v>
      </c>
      <c r="V369" s="0" t="str">
        <f aca="false">IF(T369&gt;=6,"High Risk",IF(T369&gt;=3,"Medium Risk","Low Risk"))</f>
        <v>Medium Risk</v>
      </c>
    </row>
    <row r="370" customFormat="false" ht="12.8" hidden="false" customHeight="false" outlineLevel="0" collapsed="false">
      <c r="A370" s="1" t="s">
        <v>400</v>
      </c>
      <c r="B370" s="1" t="s">
        <v>36</v>
      </c>
      <c r="C370" s="1" t="s">
        <v>51</v>
      </c>
      <c r="D370" s="1" t="n">
        <v>9.16</v>
      </c>
      <c r="E370" s="1" t="n">
        <v>43</v>
      </c>
      <c r="F370" s="4" t="n">
        <v>44333</v>
      </c>
      <c r="G370" s="1" t="s">
        <v>39</v>
      </c>
      <c r="H370" s="1" t="n">
        <v>1</v>
      </c>
      <c r="I370" s="1" t="n">
        <v>97.4</v>
      </c>
      <c r="J370" s="1" t="n">
        <v>35</v>
      </c>
      <c r="K370" s="1" t="n">
        <v>8</v>
      </c>
      <c r="L370" s="1" t="n">
        <v>3</v>
      </c>
      <c r="M370" s="1" t="n">
        <v>1</v>
      </c>
      <c r="N370" s="1" t="n">
        <v>393.88</v>
      </c>
      <c r="O370" s="1" t="n">
        <v>0</v>
      </c>
      <c r="Q370" s="4" t="n">
        <v>45641</v>
      </c>
      <c r="R370" s="0" t="n">
        <f aca="false">IF(ISBLANK(F370),"Missing",IFERROR(YEAR(F370),"Missing"))</f>
        <v>2021</v>
      </c>
      <c r="S370" s="0" t="str">
        <f aca="false">IF(ISBLANK(E370),"Missing",IF(E370&lt;6,"0-6mo",IF(E370&lt;12,"6-12mo",IF(E370&lt;24,"12-24mo","24mo+"))))</f>
        <v>24mo+</v>
      </c>
      <c r="T370" s="0" t="n">
        <f aca="false">IF(ISBLANK(C370),0,IF(C370="Month-to-month",2,IF(C370="One year",1,0)))+IF(ISBLANK(I370),0,IF(I370&lt;40,2,IF(I370&lt;55,1,0)))+IF(ISBLANK(M370),0,IF(M370=1,3,0))+IF(ISBLANK(L370),0,IF(L370&gt;=2,1,0))+IF(ISBLANK(E370),0,IF(E370&lt;12,1,0))</f>
        <v>4</v>
      </c>
      <c r="U370" s="0" t="str">
        <f aca="false">IF((ISBLANK(B370)*1+ISBLANK(C370)*1+ISBLANK(D370)*1+ISBLANK(E370)*1+ISBLANK(F370)*1+ISBLANK(I370)*1+ISBLANK(J370)*1+ISBLANK(K370)*1+ISBLANK(L370)*1+ISBLANK(M370)*1+ISBLANK(N370)*1+ISBLANK(O370)*1)&gt;0,"Missing Data","OK")</f>
        <v>OK</v>
      </c>
      <c r="V370" s="0" t="str">
        <f aca="false">IF(T370&gt;=6,"High Risk",IF(T370&gt;=3,"Medium Risk","Low Risk"))</f>
        <v>Medium Risk</v>
      </c>
    </row>
    <row r="371" customFormat="false" ht="12.8" hidden="false" customHeight="false" outlineLevel="0" collapsed="false">
      <c r="A371" s="1" t="s">
        <v>401</v>
      </c>
      <c r="B371" s="1" t="s">
        <v>29</v>
      </c>
      <c r="C371" s="1" t="s">
        <v>24</v>
      </c>
      <c r="D371" s="1" t="n">
        <v>39.59</v>
      </c>
      <c r="E371" s="1" t="n">
        <v>65</v>
      </c>
      <c r="F371" s="4" t="n">
        <v>44334</v>
      </c>
      <c r="G371" s="1" t="s">
        <v>25</v>
      </c>
      <c r="H371" s="1" t="n">
        <v>1</v>
      </c>
      <c r="I371" s="1" t="n">
        <v>70.5</v>
      </c>
      <c r="J371" s="1" t="n">
        <v>26</v>
      </c>
      <c r="K371" s="1" t="n">
        <v>9</v>
      </c>
      <c r="L371" s="1" t="n">
        <v>1</v>
      </c>
      <c r="M371" s="1" t="n">
        <v>0</v>
      </c>
      <c r="N371" s="1" t="n">
        <v>2573.35</v>
      </c>
      <c r="O371" s="1" t="n">
        <v>0</v>
      </c>
      <c r="Q371" s="4" t="n">
        <v>46293</v>
      </c>
      <c r="R371" s="0" t="n">
        <f aca="false">IF(ISBLANK(F371),"Missing",IFERROR(YEAR(F371),"Missing"))</f>
        <v>2021</v>
      </c>
      <c r="S371" s="0" t="str">
        <f aca="false">IF(ISBLANK(E371),"Missing",IF(E371&lt;6,"0-6mo",IF(E371&lt;12,"6-12mo",IF(E371&lt;24,"12-24mo","24mo+"))))</f>
        <v>24mo+</v>
      </c>
      <c r="T371" s="0" t="n">
        <f aca="false">IF(ISBLANK(C371),0,IF(C371="Month-to-month",2,IF(C371="One year",1,0)))+IF(ISBLANK(I371),0,IF(I371&lt;40,2,IF(I371&lt;55,1,0)))+IF(ISBLANK(M371),0,IF(M371=1,3,0))+IF(ISBLANK(L371),0,IF(L371&gt;=2,1,0))+IF(ISBLANK(E371),0,IF(E371&lt;12,1,0))</f>
        <v>2</v>
      </c>
      <c r="U371" s="0" t="str">
        <f aca="false">IF((ISBLANK(B371)*1+ISBLANK(C371)*1+ISBLANK(D371)*1+ISBLANK(E371)*1+ISBLANK(F371)*1+ISBLANK(I371)*1+ISBLANK(J371)*1+ISBLANK(K371)*1+ISBLANK(L371)*1+ISBLANK(M371)*1+ISBLANK(N371)*1+ISBLANK(O371)*1)&gt;0,"Missing Data","OK")</f>
        <v>OK</v>
      </c>
      <c r="V371" s="0" t="str">
        <f aca="false">IF(T371&gt;=6,"High Risk",IF(T371&gt;=3,"Medium Risk","Low Risk"))</f>
        <v>Low Risk</v>
      </c>
    </row>
    <row r="372" customFormat="false" ht="12.8" hidden="false" customHeight="false" outlineLevel="0" collapsed="false">
      <c r="A372" s="1" t="s">
        <v>402</v>
      </c>
      <c r="B372" s="1" t="s">
        <v>29</v>
      </c>
      <c r="C372" s="1" t="s">
        <v>34</v>
      </c>
      <c r="D372" s="1" t="n">
        <v>39.76</v>
      </c>
      <c r="E372" s="1" t="n">
        <v>23</v>
      </c>
      <c r="F372" s="4" t="n">
        <v>44335</v>
      </c>
      <c r="G372" s="1" t="s">
        <v>25</v>
      </c>
      <c r="H372" s="1" t="n">
        <v>1</v>
      </c>
      <c r="I372" s="1" t="n">
        <v>54</v>
      </c>
      <c r="J372" s="1" t="n">
        <v>18</v>
      </c>
      <c r="K372" s="1" t="n">
        <v>4</v>
      </c>
      <c r="L372" s="1" t="n">
        <v>1</v>
      </c>
      <c r="M372" s="1" t="n">
        <v>0</v>
      </c>
      <c r="N372" s="1" t="n">
        <v>914.48</v>
      </c>
      <c r="O372" s="1" t="n">
        <v>0</v>
      </c>
      <c r="Q372" s="4" t="n">
        <v>45035</v>
      </c>
      <c r="R372" s="0" t="n">
        <f aca="false">IF(ISBLANK(F372),"Missing",IFERROR(YEAR(F372),"Missing"))</f>
        <v>2021</v>
      </c>
      <c r="S372" s="0" t="str">
        <f aca="false">IF(ISBLANK(E372),"Missing",IF(E372&lt;6,"0-6mo",IF(E372&lt;12,"6-12mo",IF(E372&lt;24,"12-24mo","24mo+"))))</f>
        <v>12-24mo</v>
      </c>
      <c r="T372" s="0" t="n">
        <f aca="false">IF(ISBLANK(C372),0,IF(C372="Month-to-month",2,IF(C372="One year",1,0)))+IF(ISBLANK(I372),0,IF(I372&lt;40,2,IF(I372&lt;55,1,0)))+IF(ISBLANK(M372),0,IF(M372=1,3,0))+IF(ISBLANK(L372),0,IF(L372&gt;=2,1,0))+IF(ISBLANK(E372),0,IF(E372&lt;12,1,0))</f>
        <v>2</v>
      </c>
      <c r="U372" s="0" t="str">
        <f aca="false">IF((ISBLANK(B372)*1+ISBLANK(C372)*1+ISBLANK(D372)*1+ISBLANK(E372)*1+ISBLANK(F372)*1+ISBLANK(I372)*1+ISBLANK(J372)*1+ISBLANK(K372)*1+ISBLANK(L372)*1+ISBLANK(M372)*1+ISBLANK(N372)*1+ISBLANK(O372)*1)&gt;0,"Missing Data","OK")</f>
        <v>OK</v>
      </c>
      <c r="V372" s="0" t="str">
        <f aca="false">IF(T372&gt;=6,"High Risk",IF(T372&gt;=3,"Medium Risk","Low Risk"))</f>
        <v>Low Risk</v>
      </c>
    </row>
    <row r="373" customFormat="false" ht="12.8" hidden="false" customHeight="false" outlineLevel="0" collapsed="false">
      <c r="A373" s="1" t="s">
        <v>403</v>
      </c>
      <c r="B373" s="1" t="s">
        <v>36</v>
      </c>
      <c r="C373" s="1" t="s">
        <v>24</v>
      </c>
      <c r="D373" s="1" t="n">
        <v>10.95</v>
      </c>
      <c r="E373" s="1" t="n">
        <v>32</v>
      </c>
      <c r="F373" s="4" t="n">
        <v>44338</v>
      </c>
      <c r="G373" s="1" t="s">
        <v>30</v>
      </c>
      <c r="H373" s="1" t="n">
        <v>1</v>
      </c>
      <c r="I373" s="1" t="n">
        <v>81.1</v>
      </c>
      <c r="J373" s="1" t="n">
        <v>25</v>
      </c>
      <c r="K373" s="1" t="n">
        <v>6</v>
      </c>
      <c r="L373" s="1" t="n">
        <v>0</v>
      </c>
      <c r="M373" s="1" t="n">
        <v>0</v>
      </c>
      <c r="N373" s="1" t="n">
        <v>350.4</v>
      </c>
      <c r="O373" s="1" t="n">
        <v>1</v>
      </c>
      <c r="P373" s="4" t="n">
        <v>45312</v>
      </c>
      <c r="Q373" s="4" t="n">
        <v>45312</v>
      </c>
      <c r="R373" s="0" t="n">
        <f aca="false">IF(ISBLANK(F373),"Missing",IFERROR(YEAR(F373),"Missing"))</f>
        <v>2021</v>
      </c>
      <c r="S373" s="0" t="str">
        <f aca="false">IF(ISBLANK(E373),"Missing",IF(E373&lt;6,"0-6mo",IF(E373&lt;12,"6-12mo",IF(E373&lt;24,"12-24mo","24mo+"))))</f>
        <v>24mo+</v>
      </c>
      <c r="T373" s="0" t="n">
        <f aca="false">IF(ISBLANK(C373),0,IF(C373="Month-to-month",2,IF(C373="One year",1,0)))+IF(ISBLANK(I373),0,IF(I373&lt;40,2,IF(I373&lt;55,1,0)))+IF(ISBLANK(M373),0,IF(M373=1,3,0))+IF(ISBLANK(L373),0,IF(L373&gt;=2,1,0))+IF(ISBLANK(E373),0,IF(E373&lt;12,1,0))</f>
        <v>2</v>
      </c>
      <c r="U373" s="0" t="str">
        <f aca="false">IF((ISBLANK(B373)*1+ISBLANK(C373)*1+ISBLANK(D373)*1+ISBLANK(E373)*1+ISBLANK(F373)*1+ISBLANK(I373)*1+ISBLANK(J373)*1+ISBLANK(K373)*1+ISBLANK(L373)*1+ISBLANK(M373)*1+ISBLANK(N373)*1+ISBLANK(O373)*1)&gt;0,"Missing Data","OK")</f>
        <v>OK</v>
      </c>
      <c r="V373" s="0" t="str">
        <f aca="false">IF(T373&gt;=6,"High Risk",IF(T373&gt;=3,"Medium Risk","Low Risk"))</f>
        <v>Low Risk</v>
      </c>
    </row>
    <row r="374" customFormat="false" ht="12.8" hidden="false" customHeight="false" outlineLevel="0" collapsed="false">
      <c r="A374" s="1" t="s">
        <v>404</v>
      </c>
      <c r="B374" s="1" t="s">
        <v>29</v>
      </c>
      <c r="C374" s="1" t="s">
        <v>51</v>
      </c>
      <c r="D374" s="1" t="n">
        <v>40.67</v>
      </c>
      <c r="E374" s="1" t="n">
        <v>34</v>
      </c>
      <c r="F374" s="4" t="n">
        <v>44338</v>
      </c>
      <c r="G374" s="1" t="s">
        <v>30</v>
      </c>
      <c r="H374" s="1" t="n">
        <v>1</v>
      </c>
      <c r="I374" s="1" t="n">
        <v>64.1</v>
      </c>
      <c r="J374" s="1" t="n">
        <v>21</v>
      </c>
      <c r="K374" s="1" t="n">
        <v>7</v>
      </c>
      <c r="L374" s="1" t="n">
        <v>2</v>
      </c>
      <c r="M374" s="1" t="n">
        <v>0</v>
      </c>
      <c r="N374" s="1" t="n">
        <v>1382.78</v>
      </c>
      <c r="O374" s="1" t="n">
        <v>0</v>
      </c>
      <c r="Q374" s="4" t="n">
        <v>45372</v>
      </c>
      <c r="R374" s="0" t="n">
        <f aca="false">IF(ISBLANK(F374),"Missing",IFERROR(YEAR(F374),"Missing"))</f>
        <v>2021</v>
      </c>
      <c r="S374" s="0" t="str">
        <f aca="false">IF(ISBLANK(E374),"Missing",IF(E374&lt;6,"0-6mo",IF(E374&lt;12,"6-12mo",IF(E374&lt;24,"12-24mo","24mo+"))))</f>
        <v>24mo+</v>
      </c>
      <c r="T374" s="0" t="n">
        <f aca="false">IF(ISBLANK(C374),0,IF(C374="Month-to-month",2,IF(C374="One year",1,0)))+IF(ISBLANK(I374),0,IF(I374&lt;40,2,IF(I374&lt;55,1,0)))+IF(ISBLANK(M374),0,IF(M374=1,3,0))+IF(ISBLANK(L374),0,IF(L374&gt;=2,1,0))+IF(ISBLANK(E374),0,IF(E374&lt;12,1,0))</f>
        <v>1</v>
      </c>
      <c r="U374" s="0" t="str">
        <f aca="false">IF((ISBLANK(B374)*1+ISBLANK(C374)*1+ISBLANK(D374)*1+ISBLANK(E374)*1+ISBLANK(F374)*1+ISBLANK(I374)*1+ISBLANK(J374)*1+ISBLANK(K374)*1+ISBLANK(L374)*1+ISBLANK(M374)*1+ISBLANK(N374)*1+ISBLANK(O374)*1)&gt;0,"Missing Data","OK")</f>
        <v>OK</v>
      </c>
      <c r="V374" s="0" t="str">
        <f aca="false">IF(T374&gt;=6,"High Risk",IF(T374&gt;=3,"Medium Risk","Low Risk"))</f>
        <v>Low Risk</v>
      </c>
    </row>
    <row r="375" customFormat="false" ht="12.8" hidden="false" customHeight="false" outlineLevel="0" collapsed="false">
      <c r="A375" s="1" t="s">
        <v>405</v>
      </c>
      <c r="B375" s="1" t="s">
        <v>23</v>
      </c>
      <c r="C375" s="1" t="s">
        <v>24</v>
      </c>
      <c r="D375" s="1" t="n">
        <v>19.6</v>
      </c>
      <c r="E375" s="1" t="n">
        <v>5</v>
      </c>
      <c r="F375" s="4" t="n">
        <v>44338</v>
      </c>
      <c r="G375" s="1" t="s">
        <v>39</v>
      </c>
      <c r="H375" s="1" t="n">
        <v>1</v>
      </c>
      <c r="I375" s="1" t="n">
        <v>45.6</v>
      </c>
      <c r="J375" s="1" t="n">
        <v>10</v>
      </c>
      <c r="K375" s="1" t="n">
        <v>5</v>
      </c>
      <c r="L375" s="1" t="n">
        <v>2</v>
      </c>
      <c r="M375" s="1" t="n">
        <v>0</v>
      </c>
      <c r="N375" s="1" t="n">
        <v>98</v>
      </c>
      <c r="O375" s="1" t="n">
        <v>1</v>
      </c>
      <c r="P375" s="4" t="n">
        <v>44490</v>
      </c>
      <c r="Q375" s="4" t="n">
        <v>44490</v>
      </c>
      <c r="R375" s="0" t="n">
        <f aca="false">IF(ISBLANK(F375),"Missing",IFERROR(YEAR(F375),"Missing"))</f>
        <v>2021</v>
      </c>
      <c r="S375" s="0" t="str">
        <f aca="false">IF(ISBLANK(E375),"Missing",IF(E375&lt;6,"0-6mo",IF(E375&lt;12,"6-12mo",IF(E375&lt;24,"12-24mo","24mo+"))))</f>
        <v>0-6mo</v>
      </c>
      <c r="T375" s="0" t="n">
        <f aca="false">IF(ISBLANK(C375),0,IF(C375="Month-to-month",2,IF(C375="One year",1,0)))+IF(ISBLANK(I375),0,IF(I375&lt;40,2,IF(I375&lt;55,1,0)))+IF(ISBLANK(M375),0,IF(M375=1,3,0))+IF(ISBLANK(L375),0,IF(L375&gt;=2,1,0))+IF(ISBLANK(E375),0,IF(E375&lt;12,1,0))</f>
        <v>5</v>
      </c>
      <c r="U375" s="0" t="str">
        <f aca="false">IF((ISBLANK(B375)*1+ISBLANK(C375)*1+ISBLANK(D375)*1+ISBLANK(E375)*1+ISBLANK(F375)*1+ISBLANK(I375)*1+ISBLANK(J375)*1+ISBLANK(K375)*1+ISBLANK(L375)*1+ISBLANK(M375)*1+ISBLANK(N375)*1+ISBLANK(O375)*1)&gt;0,"Missing Data","OK")</f>
        <v>OK</v>
      </c>
      <c r="V375" s="0" t="str">
        <f aca="false">IF(T375&gt;=6,"High Risk",IF(T375&gt;=3,"Medium Risk","Low Risk"))</f>
        <v>Medium Risk</v>
      </c>
    </row>
    <row r="376" customFormat="false" ht="12.8" hidden="false" customHeight="false" outlineLevel="0" collapsed="false">
      <c r="A376" s="1" t="s">
        <v>406</v>
      </c>
      <c r="B376" s="1" t="s">
        <v>36</v>
      </c>
      <c r="C376" s="1" t="s">
        <v>34</v>
      </c>
      <c r="D376" s="1" t="n">
        <v>9.78</v>
      </c>
      <c r="E376" s="1" t="n">
        <v>2</v>
      </c>
      <c r="F376" s="4" t="n">
        <v>44341</v>
      </c>
      <c r="G376" s="1" t="s">
        <v>27</v>
      </c>
      <c r="H376" s="1" t="n">
        <v>0</v>
      </c>
      <c r="I376" s="1" t="n">
        <v>41.4</v>
      </c>
      <c r="J376" s="1" t="n">
        <v>12</v>
      </c>
      <c r="K376" s="1" t="n">
        <v>3</v>
      </c>
      <c r="L376" s="1" t="n">
        <v>1</v>
      </c>
      <c r="M376" s="1" t="n">
        <v>0</v>
      </c>
      <c r="N376" s="1" t="n">
        <v>19.56</v>
      </c>
      <c r="O376" s="1" t="n">
        <v>0</v>
      </c>
      <c r="Q376" s="4" t="n">
        <v>44401</v>
      </c>
      <c r="R376" s="0" t="n">
        <f aca="false">IF(ISBLANK(F376),"Missing",IFERROR(YEAR(F376),"Missing"))</f>
        <v>2021</v>
      </c>
      <c r="S376" s="0" t="str">
        <f aca="false">IF(ISBLANK(E376),"Missing",IF(E376&lt;6,"0-6mo",IF(E376&lt;12,"6-12mo",IF(E376&lt;24,"12-24mo","24mo+"))))</f>
        <v>0-6mo</v>
      </c>
      <c r="T376" s="0" t="n">
        <f aca="false">IF(ISBLANK(C376),0,IF(C376="Month-to-month",2,IF(C376="One year",1,0)))+IF(ISBLANK(I376),0,IF(I376&lt;40,2,IF(I376&lt;55,1,0)))+IF(ISBLANK(M376),0,IF(M376=1,3,0))+IF(ISBLANK(L376),0,IF(L376&gt;=2,1,0))+IF(ISBLANK(E376),0,IF(E376&lt;12,1,0))</f>
        <v>3</v>
      </c>
      <c r="U376" s="0" t="str">
        <f aca="false">IF((ISBLANK(B376)*1+ISBLANK(C376)*1+ISBLANK(D376)*1+ISBLANK(E376)*1+ISBLANK(F376)*1+ISBLANK(I376)*1+ISBLANK(J376)*1+ISBLANK(K376)*1+ISBLANK(L376)*1+ISBLANK(M376)*1+ISBLANK(N376)*1+ISBLANK(O376)*1)&gt;0,"Missing Data","OK")</f>
        <v>OK</v>
      </c>
      <c r="V376" s="0" t="str">
        <f aca="false">IF(T376&gt;=6,"High Risk",IF(T376&gt;=3,"Medium Risk","Low Risk"))</f>
        <v>Medium Risk</v>
      </c>
    </row>
    <row r="377" customFormat="false" ht="12.8" hidden="false" customHeight="false" outlineLevel="0" collapsed="false">
      <c r="A377" s="1" t="s">
        <v>407</v>
      </c>
      <c r="B377" s="1" t="s">
        <v>29</v>
      </c>
      <c r="C377" s="1" t="s">
        <v>24</v>
      </c>
      <c r="D377" s="1" t="n">
        <v>39.17</v>
      </c>
      <c r="E377" s="1" t="n">
        <v>64</v>
      </c>
      <c r="F377" s="4" t="n">
        <v>44341</v>
      </c>
      <c r="G377" s="1" t="s">
        <v>39</v>
      </c>
      <c r="H377" s="1" t="n">
        <v>1</v>
      </c>
      <c r="I377" s="1" t="n">
        <v>53.1</v>
      </c>
      <c r="J377" s="1" t="n">
        <v>21</v>
      </c>
      <c r="K377" s="1" t="n">
        <v>6</v>
      </c>
      <c r="L377" s="1" t="n">
        <v>0</v>
      </c>
      <c r="M377" s="1" t="n">
        <v>0</v>
      </c>
      <c r="N377" s="1" t="n">
        <v>2506.88</v>
      </c>
      <c r="O377" s="1" t="n">
        <v>0</v>
      </c>
      <c r="Q377" s="4" t="n">
        <v>46289</v>
      </c>
      <c r="R377" s="0" t="n">
        <f aca="false">IF(ISBLANK(F377),"Missing",IFERROR(YEAR(F377),"Missing"))</f>
        <v>2021</v>
      </c>
      <c r="S377" s="0" t="str">
        <f aca="false">IF(ISBLANK(E377),"Missing",IF(E377&lt;6,"0-6mo",IF(E377&lt;12,"6-12mo",IF(E377&lt;24,"12-24mo","24mo+"))))</f>
        <v>24mo+</v>
      </c>
      <c r="T377" s="0" t="n">
        <f aca="false">IF(ISBLANK(C377),0,IF(C377="Month-to-month",2,IF(C377="One year",1,0)))+IF(ISBLANK(I377),0,IF(I377&lt;40,2,IF(I377&lt;55,1,0)))+IF(ISBLANK(M377),0,IF(M377=1,3,0))+IF(ISBLANK(L377),0,IF(L377&gt;=2,1,0))+IF(ISBLANK(E377),0,IF(E377&lt;12,1,0))</f>
        <v>3</v>
      </c>
      <c r="U377" s="0" t="str">
        <f aca="false">IF((ISBLANK(B377)*1+ISBLANK(C377)*1+ISBLANK(D377)*1+ISBLANK(E377)*1+ISBLANK(F377)*1+ISBLANK(I377)*1+ISBLANK(J377)*1+ISBLANK(K377)*1+ISBLANK(L377)*1+ISBLANK(M377)*1+ISBLANK(N377)*1+ISBLANK(O377)*1)&gt;0,"Missing Data","OK")</f>
        <v>OK</v>
      </c>
      <c r="V377" s="0" t="str">
        <f aca="false">IF(T377&gt;=6,"High Risk",IF(T377&gt;=3,"Medium Risk","Low Risk"))</f>
        <v>Medium Risk</v>
      </c>
    </row>
    <row r="378" customFormat="false" ht="12.8" hidden="false" customHeight="false" outlineLevel="0" collapsed="false">
      <c r="A378" s="1" t="s">
        <v>408</v>
      </c>
      <c r="B378" s="1" t="s">
        <v>36</v>
      </c>
      <c r="C378" s="1" t="s">
        <v>24</v>
      </c>
      <c r="D378" s="1" t="n">
        <v>10.6</v>
      </c>
      <c r="E378" s="1" t="n">
        <v>5</v>
      </c>
      <c r="F378" s="4" t="n">
        <v>44342</v>
      </c>
      <c r="G378" s="1" t="s">
        <v>25</v>
      </c>
      <c r="H378" s="1" t="n">
        <v>1</v>
      </c>
      <c r="I378" s="1" t="n">
        <v>79.2</v>
      </c>
      <c r="J378" s="1" t="n">
        <v>23</v>
      </c>
      <c r="K378" s="1" t="n">
        <v>6</v>
      </c>
      <c r="L378" s="1" t="n">
        <v>1</v>
      </c>
      <c r="M378" s="1" t="n">
        <v>0</v>
      </c>
      <c r="N378" s="1" t="n">
        <v>53</v>
      </c>
      <c r="O378" s="1" t="n">
        <v>0</v>
      </c>
      <c r="Q378" s="4" t="n">
        <v>44494</v>
      </c>
      <c r="R378" s="0" t="n">
        <f aca="false">IF(ISBLANK(F378),"Missing",IFERROR(YEAR(F378),"Missing"))</f>
        <v>2021</v>
      </c>
      <c r="S378" s="0" t="str">
        <f aca="false">IF(ISBLANK(E378),"Missing",IF(E378&lt;6,"0-6mo",IF(E378&lt;12,"6-12mo",IF(E378&lt;24,"12-24mo","24mo+"))))</f>
        <v>0-6mo</v>
      </c>
      <c r="T378" s="0" t="n">
        <f aca="false">IF(ISBLANK(C378),0,IF(C378="Month-to-month",2,IF(C378="One year",1,0)))+IF(ISBLANK(I378),0,IF(I378&lt;40,2,IF(I378&lt;55,1,0)))+IF(ISBLANK(M378),0,IF(M378=1,3,0))+IF(ISBLANK(L378),0,IF(L378&gt;=2,1,0))+IF(ISBLANK(E378),0,IF(E378&lt;12,1,0))</f>
        <v>3</v>
      </c>
      <c r="U378" s="0" t="str">
        <f aca="false">IF((ISBLANK(B378)*1+ISBLANK(C378)*1+ISBLANK(D378)*1+ISBLANK(E378)*1+ISBLANK(F378)*1+ISBLANK(I378)*1+ISBLANK(J378)*1+ISBLANK(K378)*1+ISBLANK(L378)*1+ISBLANK(M378)*1+ISBLANK(N378)*1+ISBLANK(O378)*1)&gt;0,"Missing Data","OK")</f>
        <v>OK</v>
      </c>
      <c r="V378" s="0" t="str">
        <f aca="false">IF(T378&gt;=6,"High Risk",IF(T378&gt;=3,"Medium Risk","Low Risk"))</f>
        <v>Medium Risk</v>
      </c>
    </row>
    <row r="379" customFormat="false" ht="12.8" hidden="false" customHeight="false" outlineLevel="0" collapsed="false">
      <c r="A379" s="1" t="s">
        <v>409</v>
      </c>
      <c r="B379" s="1" t="s">
        <v>29</v>
      </c>
      <c r="C379" s="1" t="s">
        <v>24</v>
      </c>
      <c r="D379" s="1" t="n">
        <v>39.78</v>
      </c>
      <c r="E379" s="1" t="n">
        <v>1</v>
      </c>
      <c r="F379" s="4" t="n">
        <v>44344</v>
      </c>
      <c r="G379" s="1" t="s">
        <v>25</v>
      </c>
      <c r="H379" s="1" t="n">
        <v>1</v>
      </c>
      <c r="I379" s="1" t="n">
        <v>22.5</v>
      </c>
      <c r="J379" s="1" t="n">
        <v>8</v>
      </c>
      <c r="K379" s="1" t="n">
        <v>5</v>
      </c>
      <c r="L379" s="1" t="n">
        <v>0</v>
      </c>
      <c r="M379" s="1" t="n">
        <v>0</v>
      </c>
      <c r="N379" s="1" t="n">
        <v>39.78</v>
      </c>
      <c r="O379" s="1" t="n">
        <v>1</v>
      </c>
      <c r="P379" s="4" t="n">
        <v>44374</v>
      </c>
      <c r="Q379" s="4" t="n">
        <v>44374</v>
      </c>
      <c r="R379" s="0" t="n">
        <f aca="false">IF(ISBLANK(F379),"Missing",IFERROR(YEAR(F379),"Missing"))</f>
        <v>2021</v>
      </c>
      <c r="S379" s="0" t="str">
        <f aca="false">IF(ISBLANK(E379),"Missing",IF(E379&lt;6,"0-6mo",IF(E379&lt;12,"6-12mo",IF(E379&lt;24,"12-24mo","24mo+"))))</f>
        <v>0-6mo</v>
      </c>
      <c r="T379" s="0" t="n">
        <f aca="false">IF(ISBLANK(C379),0,IF(C379="Month-to-month",2,IF(C379="One year",1,0)))+IF(ISBLANK(I379),0,IF(I379&lt;40,2,IF(I379&lt;55,1,0)))+IF(ISBLANK(M379),0,IF(M379=1,3,0))+IF(ISBLANK(L379),0,IF(L379&gt;=2,1,0))+IF(ISBLANK(E379),0,IF(E379&lt;12,1,0))</f>
        <v>5</v>
      </c>
      <c r="U379" s="0" t="str">
        <f aca="false">IF((ISBLANK(B379)*1+ISBLANK(C379)*1+ISBLANK(D379)*1+ISBLANK(E379)*1+ISBLANK(F379)*1+ISBLANK(I379)*1+ISBLANK(J379)*1+ISBLANK(K379)*1+ISBLANK(L379)*1+ISBLANK(M379)*1+ISBLANK(N379)*1+ISBLANK(O379)*1)&gt;0,"Missing Data","OK")</f>
        <v>OK</v>
      </c>
      <c r="V379" s="0" t="str">
        <f aca="false">IF(T379&gt;=6,"High Risk",IF(T379&gt;=3,"Medium Risk","Low Risk"))</f>
        <v>Medium Risk</v>
      </c>
    </row>
    <row r="380" customFormat="false" ht="12.8" hidden="false" customHeight="false" outlineLevel="0" collapsed="false">
      <c r="A380" s="1" t="s">
        <v>410</v>
      </c>
      <c r="B380" s="1" t="s">
        <v>23</v>
      </c>
      <c r="C380" s="1" t="s">
        <v>51</v>
      </c>
      <c r="D380" s="1" t="n">
        <v>21.06</v>
      </c>
      <c r="E380" s="1" t="n">
        <v>22</v>
      </c>
      <c r="F380" s="4" t="n">
        <v>44345</v>
      </c>
      <c r="G380" s="1" t="s">
        <v>25</v>
      </c>
      <c r="H380" s="1" t="n">
        <v>1</v>
      </c>
      <c r="I380" s="1" t="n">
        <v>40.2</v>
      </c>
      <c r="J380" s="1" t="n">
        <v>11</v>
      </c>
      <c r="K380" s="1" t="n">
        <v>3</v>
      </c>
      <c r="L380" s="1" t="n">
        <v>3</v>
      </c>
      <c r="M380" s="1" t="n">
        <v>1</v>
      </c>
      <c r="N380" s="1" t="n">
        <v>463.32</v>
      </c>
      <c r="O380" s="1" t="n">
        <v>0</v>
      </c>
      <c r="Q380" s="4" t="n">
        <v>45014</v>
      </c>
      <c r="R380" s="0" t="n">
        <f aca="false">IF(ISBLANK(F380),"Missing",IFERROR(YEAR(F380),"Missing"))</f>
        <v>2021</v>
      </c>
      <c r="S380" s="0" t="str">
        <f aca="false">IF(ISBLANK(E380),"Missing",IF(E380&lt;6,"0-6mo",IF(E380&lt;12,"6-12mo",IF(E380&lt;24,"12-24mo","24mo+"))))</f>
        <v>12-24mo</v>
      </c>
      <c r="T380" s="0" t="n">
        <f aca="false">IF(ISBLANK(C380),0,IF(C380="Month-to-month",2,IF(C380="One year",1,0)))+IF(ISBLANK(I380),0,IF(I380&lt;40,2,IF(I380&lt;55,1,0)))+IF(ISBLANK(M380),0,IF(M380=1,3,0))+IF(ISBLANK(L380),0,IF(L380&gt;=2,1,0))+IF(ISBLANK(E380),0,IF(E380&lt;12,1,0))</f>
        <v>5</v>
      </c>
      <c r="U380" s="0" t="str">
        <f aca="false">IF((ISBLANK(B380)*1+ISBLANK(C380)*1+ISBLANK(D380)*1+ISBLANK(E380)*1+ISBLANK(F380)*1+ISBLANK(I380)*1+ISBLANK(J380)*1+ISBLANK(K380)*1+ISBLANK(L380)*1+ISBLANK(M380)*1+ISBLANK(N380)*1+ISBLANK(O380)*1)&gt;0,"Missing Data","OK")</f>
        <v>OK</v>
      </c>
      <c r="V380" s="0" t="str">
        <f aca="false">IF(T380&gt;=6,"High Risk",IF(T380&gt;=3,"Medium Risk","Low Risk"))</f>
        <v>Medium Risk</v>
      </c>
    </row>
    <row r="381" customFormat="false" ht="12.8" hidden="false" customHeight="false" outlineLevel="0" collapsed="false">
      <c r="A381" s="1" t="s">
        <v>411</v>
      </c>
      <c r="B381" s="1" t="s">
        <v>36</v>
      </c>
      <c r="C381" s="1" t="s">
        <v>51</v>
      </c>
      <c r="D381" s="1" t="n">
        <v>10.5</v>
      </c>
      <c r="E381" s="1" t="n">
        <v>63</v>
      </c>
      <c r="F381" s="4" t="n">
        <v>44345</v>
      </c>
      <c r="G381" s="1" t="s">
        <v>25</v>
      </c>
      <c r="H381" s="1" t="n">
        <v>1</v>
      </c>
      <c r="I381" s="1" t="n">
        <v>84.9</v>
      </c>
      <c r="J381" s="1" t="n">
        <v>28</v>
      </c>
      <c r="K381" s="1" t="n">
        <v>10</v>
      </c>
      <c r="L381" s="1" t="n">
        <v>3</v>
      </c>
      <c r="M381" s="1" t="n">
        <v>0</v>
      </c>
      <c r="N381" s="1" t="n">
        <v>661.5</v>
      </c>
      <c r="O381" s="1" t="n">
        <v>0</v>
      </c>
      <c r="Q381" s="4" t="n">
        <v>46262</v>
      </c>
      <c r="R381" s="0" t="n">
        <f aca="false">IF(ISBLANK(F381),"Missing",IFERROR(YEAR(F381),"Missing"))</f>
        <v>2021</v>
      </c>
      <c r="S381" s="0" t="str">
        <f aca="false">IF(ISBLANK(E381),"Missing",IF(E381&lt;6,"0-6mo",IF(E381&lt;12,"6-12mo",IF(E381&lt;24,"12-24mo","24mo+"))))</f>
        <v>24mo+</v>
      </c>
      <c r="T381" s="0" t="n">
        <f aca="false">IF(ISBLANK(C381),0,IF(C381="Month-to-month",2,IF(C381="One year",1,0)))+IF(ISBLANK(I381),0,IF(I381&lt;40,2,IF(I381&lt;55,1,0)))+IF(ISBLANK(M381),0,IF(M381=1,3,0))+IF(ISBLANK(L381),0,IF(L381&gt;=2,1,0))+IF(ISBLANK(E381),0,IF(E381&lt;12,1,0))</f>
        <v>1</v>
      </c>
      <c r="U381" s="0" t="str">
        <f aca="false">IF((ISBLANK(B381)*1+ISBLANK(C381)*1+ISBLANK(D381)*1+ISBLANK(E381)*1+ISBLANK(F381)*1+ISBLANK(I381)*1+ISBLANK(J381)*1+ISBLANK(K381)*1+ISBLANK(L381)*1+ISBLANK(M381)*1+ISBLANK(N381)*1+ISBLANK(O381)*1)&gt;0,"Missing Data","OK")</f>
        <v>OK</v>
      </c>
      <c r="V381" s="0" t="str">
        <f aca="false">IF(T381&gt;=6,"High Risk",IF(T381&gt;=3,"Medium Risk","Low Risk"))</f>
        <v>Low Risk</v>
      </c>
    </row>
    <row r="382" customFormat="false" ht="12.8" hidden="false" customHeight="false" outlineLevel="0" collapsed="false">
      <c r="A382" s="1" t="s">
        <v>412</v>
      </c>
      <c r="B382" s="1" t="s">
        <v>36</v>
      </c>
      <c r="C382" s="1" t="s">
        <v>24</v>
      </c>
      <c r="D382" s="1" t="n">
        <v>9.19</v>
      </c>
      <c r="E382" s="1" t="n">
        <v>14</v>
      </c>
      <c r="F382" s="4" t="n">
        <v>44346</v>
      </c>
      <c r="G382" s="1" t="s">
        <v>30</v>
      </c>
      <c r="H382" s="1" t="n">
        <v>0</v>
      </c>
      <c r="I382" s="1" t="n">
        <v>19.6</v>
      </c>
      <c r="J382" s="1" t="n">
        <v>0</v>
      </c>
      <c r="K382" s="1" t="n">
        <v>4</v>
      </c>
      <c r="L382" s="1" t="n">
        <v>2</v>
      </c>
      <c r="M382" s="1" t="n">
        <v>0</v>
      </c>
      <c r="N382" s="1" t="n">
        <v>128.66</v>
      </c>
      <c r="O382" s="1" t="n">
        <v>1</v>
      </c>
      <c r="P382" s="4" t="n">
        <v>44772</v>
      </c>
      <c r="Q382" s="4" t="n">
        <v>44772</v>
      </c>
      <c r="R382" s="0" t="n">
        <f aca="false">IF(ISBLANK(F382),"Missing",IFERROR(YEAR(F382),"Missing"))</f>
        <v>2021</v>
      </c>
      <c r="S382" s="0" t="str">
        <f aca="false">IF(ISBLANK(E382),"Missing",IF(E382&lt;6,"0-6mo",IF(E382&lt;12,"6-12mo",IF(E382&lt;24,"12-24mo","24mo+"))))</f>
        <v>12-24mo</v>
      </c>
      <c r="T382" s="0" t="n">
        <f aca="false">IF(ISBLANK(C382),0,IF(C382="Month-to-month",2,IF(C382="One year",1,0)))+IF(ISBLANK(I382),0,IF(I382&lt;40,2,IF(I382&lt;55,1,0)))+IF(ISBLANK(M382),0,IF(M382=1,3,0))+IF(ISBLANK(L382),0,IF(L382&gt;=2,1,0))+IF(ISBLANK(E382),0,IF(E382&lt;12,1,0))</f>
        <v>5</v>
      </c>
      <c r="U382" s="0" t="str">
        <f aca="false">IF((ISBLANK(B382)*1+ISBLANK(C382)*1+ISBLANK(D382)*1+ISBLANK(E382)*1+ISBLANK(F382)*1+ISBLANK(I382)*1+ISBLANK(J382)*1+ISBLANK(K382)*1+ISBLANK(L382)*1+ISBLANK(M382)*1+ISBLANK(N382)*1+ISBLANK(O382)*1)&gt;0,"Missing Data","OK")</f>
        <v>OK</v>
      </c>
      <c r="V382" s="0" t="str">
        <f aca="false">IF(T382&gt;=6,"High Risk",IF(T382&gt;=3,"Medium Risk","Low Risk"))</f>
        <v>Medium Risk</v>
      </c>
    </row>
    <row r="383" customFormat="false" ht="12.8" hidden="false" customHeight="false" outlineLevel="0" collapsed="false">
      <c r="A383" s="1" t="s">
        <v>413</v>
      </c>
      <c r="B383" s="1" t="s">
        <v>23</v>
      </c>
      <c r="C383" s="1" t="s">
        <v>34</v>
      </c>
      <c r="D383" s="1" t="n">
        <v>18.96</v>
      </c>
      <c r="E383" s="1" t="n">
        <v>10</v>
      </c>
      <c r="F383" s="4" t="n">
        <v>44347</v>
      </c>
      <c r="G383" s="1" t="s">
        <v>39</v>
      </c>
      <c r="H383" s="1" t="n">
        <v>1</v>
      </c>
      <c r="I383" s="1" t="n">
        <v>38.7</v>
      </c>
      <c r="J383" s="1" t="n">
        <v>6</v>
      </c>
      <c r="K383" s="1" t="n">
        <v>2</v>
      </c>
      <c r="L383" s="1" t="n">
        <v>2</v>
      </c>
      <c r="M383" s="1" t="n">
        <v>1</v>
      </c>
      <c r="N383" s="1" t="n">
        <v>189.6</v>
      </c>
      <c r="O383" s="1" t="n">
        <v>0</v>
      </c>
      <c r="Q383" s="4" t="n">
        <v>44651</v>
      </c>
      <c r="R383" s="0" t="n">
        <f aca="false">IF(ISBLANK(F383),"Missing",IFERROR(YEAR(F383),"Missing"))</f>
        <v>2021</v>
      </c>
      <c r="S383" s="0" t="str">
        <f aca="false">IF(ISBLANK(E383),"Missing",IF(E383&lt;6,"0-6mo",IF(E383&lt;12,"6-12mo",IF(E383&lt;24,"12-24mo","24mo+"))))</f>
        <v>6-12mo</v>
      </c>
      <c r="T383" s="0" t="n">
        <f aca="false">IF(ISBLANK(C383),0,IF(C383="Month-to-month",2,IF(C383="One year",1,0)))+IF(ISBLANK(I383),0,IF(I383&lt;40,2,IF(I383&lt;55,1,0)))+IF(ISBLANK(M383),0,IF(M383=1,3,0))+IF(ISBLANK(L383),0,IF(L383&gt;=2,1,0))+IF(ISBLANK(E383),0,IF(E383&lt;12,1,0))</f>
        <v>8</v>
      </c>
      <c r="U383" s="0" t="str">
        <f aca="false">IF((ISBLANK(B383)*1+ISBLANK(C383)*1+ISBLANK(D383)*1+ISBLANK(E383)*1+ISBLANK(F383)*1+ISBLANK(I383)*1+ISBLANK(J383)*1+ISBLANK(K383)*1+ISBLANK(L383)*1+ISBLANK(M383)*1+ISBLANK(N383)*1+ISBLANK(O383)*1)&gt;0,"Missing Data","OK")</f>
        <v>OK</v>
      </c>
      <c r="V383" s="0" t="str">
        <f aca="false">IF(T383&gt;=6,"High Risk",IF(T383&gt;=3,"Medium Risk","Low Risk"))</f>
        <v>High Risk</v>
      </c>
    </row>
    <row r="384" customFormat="false" ht="12.8" hidden="false" customHeight="false" outlineLevel="0" collapsed="false">
      <c r="A384" s="1" t="s">
        <v>414</v>
      </c>
      <c r="B384" s="1" t="s">
        <v>23</v>
      </c>
      <c r="C384" s="1" t="s">
        <v>34</v>
      </c>
      <c r="D384" s="1" t="n">
        <v>18.85</v>
      </c>
      <c r="E384" s="1" t="n">
        <v>18</v>
      </c>
      <c r="F384" s="4" t="n">
        <v>44347</v>
      </c>
      <c r="G384" s="1" t="s">
        <v>27</v>
      </c>
      <c r="H384" s="1" t="n">
        <v>0</v>
      </c>
      <c r="I384" s="1" t="n">
        <v>47.3</v>
      </c>
      <c r="J384" s="1" t="n">
        <v>15</v>
      </c>
      <c r="K384" s="1" t="n">
        <v>5</v>
      </c>
      <c r="L384" s="1" t="n">
        <v>1</v>
      </c>
      <c r="M384" s="1" t="n">
        <v>0</v>
      </c>
      <c r="N384" s="1" t="n">
        <v>339.3</v>
      </c>
      <c r="O384" s="1" t="n">
        <v>0</v>
      </c>
      <c r="Q384" s="4" t="n">
        <v>44894</v>
      </c>
      <c r="R384" s="0" t="n">
        <f aca="false">IF(ISBLANK(F384),"Missing",IFERROR(YEAR(F384),"Missing"))</f>
        <v>2021</v>
      </c>
      <c r="S384" s="0" t="str">
        <f aca="false">IF(ISBLANK(E384),"Missing",IF(E384&lt;6,"0-6mo",IF(E384&lt;12,"6-12mo",IF(E384&lt;24,"12-24mo","24mo+"))))</f>
        <v>12-24mo</v>
      </c>
      <c r="T384" s="0" t="n">
        <f aca="false">IF(ISBLANK(C384),0,IF(C384="Month-to-month",2,IF(C384="One year",1,0)))+IF(ISBLANK(I384),0,IF(I384&lt;40,2,IF(I384&lt;55,1,0)))+IF(ISBLANK(M384),0,IF(M384=1,3,0))+IF(ISBLANK(L384),0,IF(L384&gt;=2,1,0))+IF(ISBLANK(E384),0,IF(E384&lt;12,1,0))</f>
        <v>2</v>
      </c>
      <c r="U384" s="0" t="str">
        <f aca="false">IF((ISBLANK(B384)*1+ISBLANK(C384)*1+ISBLANK(D384)*1+ISBLANK(E384)*1+ISBLANK(F384)*1+ISBLANK(I384)*1+ISBLANK(J384)*1+ISBLANK(K384)*1+ISBLANK(L384)*1+ISBLANK(M384)*1+ISBLANK(N384)*1+ISBLANK(O384)*1)&gt;0,"Missing Data","OK")</f>
        <v>OK</v>
      </c>
      <c r="V384" s="0" t="str">
        <f aca="false">IF(T384&gt;=6,"High Risk",IF(T384&gt;=3,"Medium Risk","Low Risk"))</f>
        <v>Low Risk</v>
      </c>
    </row>
    <row r="385" customFormat="false" ht="12.8" hidden="false" customHeight="false" outlineLevel="0" collapsed="false">
      <c r="A385" s="1" t="s">
        <v>415</v>
      </c>
      <c r="B385" s="1" t="s">
        <v>23</v>
      </c>
      <c r="C385" s="1" t="s">
        <v>24</v>
      </c>
      <c r="D385" s="1" t="n">
        <v>19.82</v>
      </c>
      <c r="E385" s="1" t="n">
        <v>18</v>
      </c>
      <c r="F385" s="4" t="n">
        <v>44348</v>
      </c>
      <c r="G385" s="1" t="s">
        <v>30</v>
      </c>
      <c r="H385" s="1" t="n">
        <v>1</v>
      </c>
      <c r="I385" s="1" t="n">
        <v>18.4</v>
      </c>
      <c r="J385" s="1" t="n">
        <v>6</v>
      </c>
      <c r="K385" s="1" t="n">
        <v>0</v>
      </c>
      <c r="L385" s="1" t="n">
        <v>4</v>
      </c>
      <c r="M385" s="1" t="n">
        <v>1</v>
      </c>
      <c r="N385" s="1" t="n">
        <v>356.76</v>
      </c>
      <c r="O385" s="1" t="n">
        <v>1</v>
      </c>
      <c r="P385" s="4" t="n">
        <v>44895</v>
      </c>
      <c r="Q385" s="4" t="n">
        <v>44895</v>
      </c>
      <c r="R385" s="0" t="n">
        <f aca="false">IF(ISBLANK(F385),"Missing",IFERROR(YEAR(F385),"Missing"))</f>
        <v>2021</v>
      </c>
      <c r="S385" s="0" t="str">
        <f aca="false">IF(ISBLANK(E385),"Missing",IF(E385&lt;6,"0-6mo",IF(E385&lt;12,"6-12mo",IF(E385&lt;24,"12-24mo","24mo+"))))</f>
        <v>12-24mo</v>
      </c>
      <c r="T385" s="0" t="n">
        <f aca="false">IF(ISBLANK(C385),0,IF(C385="Month-to-month",2,IF(C385="One year",1,0)))+IF(ISBLANK(I385),0,IF(I385&lt;40,2,IF(I385&lt;55,1,0)))+IF(ISBLANK(M385),0,IF(M385=1,3,0))+IF(ISBLANK(L385),0,IF(L385&gt;=2,1,0))+IF(ISBLANK(E385),0,IF(E385&lt;12,1,0))</f>
        <v>8</v>
      </c>
      <c r="U385" s="0" t="str">
        <f aca="false">IF((ISBLANK(B385)*1+ISBLANK(C385)*1+ISBLANK(D385)*1+ISBLANK(E385)*1+ISBLANK(F385)*1+ISBLANK(I385)*1+ISBLANK(J385)*1+ISBLANK(K385)*1+ISBLANK(L385)*1+ISBLANK(M385)*1+ISBLANK(N385)*1+ISBLANK(O385)*1)&gt;0,"Missing Data","OK")</f>
        <v>OK</v>
      </c>
      <c r="V385" s="0" t="str">
        <f aca="false">IF(T385&gt;=6,"High Risk",IF(T385&gt;=3,"Medium Risk","Low Risk"))</f>
        <v>High Risk</v>
      </c>
    </row>
    <row r="386" customFormat="false" ht="12.8" hidden="false" customHeight="false" outlineLevel="0" collapsed="false">
      <c r="A386" s="1" t="s">
        <v>416</v>
      </c>
      <c r="B386" s="1" t="s">
        <v>36</v>
      </c>
      <c r="C386" s="1" t="s">
        <v>24</v>
      </c>
      <c r="D386" s="1" t="n">
        <v>9.98</v>
      </c>
      <c r="E386" s="1" t="n">
        <v>21</v>
      </c>
      <c r="F386" s="4" t="n">
        <v>44349</v>
      </c>
      <c r="G386" s="1" t="s">
        <v>25</v>
      </c>
      <c r="H386" s="1" t="n">
        <v>1</v>
      </c>
      <c r="I386" s="1" t="n">
        <v>75.8</v>
      </c>
      <c r="J386" s="1" t="n">
        <v>25</v>
      </c>
      <c r="K386" s="1" t="n">
        <v>6</v>
      </c>
      <c r="L386" s="1" t="n">
        <v>1</v>
      </c>
      <c r="M386" s="1" t="n">
        <v>1</v>
      </c>
      <c r="N386" s="1" t="n">
        <v>209.58</v>
      </c>
      <c r="O386" s="1" t="n">
        <v>0</v>
      </c>
      <c r="Q386" s="4" t="n">
        <v>44988</v>
      </c>
      <c r="R386" s="0" t="n">
        <f aca="false">IF(ISBLANK(F386),"Missing",IFERROR(YEAR(F386),"Missing"))</f>
        <v>2021</v>
      </c>
      <c r="S386" s="0" t="str">
        <f aca="false">IF(ISBLANK(E386),"Missing",IF(E386&lt;6,"0-6mo",IF(E386&lt;12,"6-12mo",IF(E386&lt;24,"12-24mo","24mo+"))))</f>
        <v>12-24mo</v>
      </c>
      <c r="T386" s="0" t="n">
        <f aca="false">IF(ISBLANK(C386),0,IF(C386="Month-to-month",2,IF(C386="One year",1,0)))+IF(ISBLANK(I386),0,IF(I386&lt;40,2,IF(I386&lt;55,1,0)))+IF(ISBLANK(M386),0,IF(M386=1,3,0))+IF(ISBLANK(L386),0,IF(L386&gt;=2,1,0))+IF(ISBLANK(E386),0,IF(E386&lt;12,1,0))</f>
        <v>5</v>
      </c>
      <c r="U386" s="0" t="str">
        <f aca="false">IF((ISBLANK(B386)*1+ISBLANK(C386)*1+ISBLANK(D386)*1+ISBLANK(E386)*1+ISBLANK(F386)*1+ISBLANK(I386)*1+ISBLANK(J386)*1+ISBLANK(K386)*1+ISBLANK(L386)*1+ISBLANK(M386)*1+ISBLANK(N386)*1+ISBLANK(O386)*1)&gt;0,"Missing Data","OK")</f>
        <v>OK</v>
      </c>
      <c r="V386" s="0" t="str">
        <f aca="false">IF(T386&gt;=6,"High Risk",IF(T386&gt;=3,"Medium Risk","Low Risk"))</f>
        <v>Medium Risk</v>
      </c>
    </row>
    <row r="387" customFormat="false" ht="12.8" hidden="false" customHeight="false" outlineLevel="0" collapsed="false">
      <c r="A387" s="1" t="s">
        <v>417</v>
      </c>
      <c r="B387" s="1" t="s">
        <v>29</v>
      </c>
      <c r="C387" s="1" t="s">
        <v>24</v>
      </c>
      <c r="D387" s="1" t="n">
        <v>41.57</v>
      </c>
      <c r="E387" s="1" t="n">
        <v>5</v>
      </c>
      <c r="F387" s="4" t="n">
        <v>44349</v>
      </c>
      <c r="G387" s="1" t="s">
        <v>39</v>
      </c>
      <c r="H387" s="1" t="n">
        <v>0</v>
      </c>
      <c r="I387" s="1" t="n">
        <v>20.1</v>
      </c>
      <c r="J387" s="1" t="n">
        <v>13</v>
      </c>
      <c r="K387" s="1" t="n">
        <v>2</v>
      </c>
      <c r="L387" s="1" t="n">
        <v>1</v>
      </c>
      <c r="M387" s="1" t="n">
        <v>0</v>
      </c>
      <c r="N387" s="1" t="n">
        <v>207.85</v>
      </c>
      <c r="O387" s="1" t="n">
        <v>1</v>
      </c>
      <c r="P387" s="4" t="n">
        <v>44501</v>
      </c>
      <c r="Q387" s="4" t="n">
        <v>44501</v>
      </c>
      <c r="R387" s="0" t="n">
        <f aca="false">IF(ISBLANK(F387),"Missing",IFERROR(YEAR(F387),"Missing"))</f>
        <v>2021</v>
      </c>
      <c r="S387" s="0" t="str">
        <f aca="false">IF(ISBLANK(E387),"Missing",IF(E387&lt;6,"0-6mo",IF(E387&lt;12,"6-12mo",IF(E387&lt;24,"12-24mo","24mo+"))))</f>
        <v>0-6mo</v>
      </c>
      <c r="T387" s="0" t="n">
        <f aca="false">IF(ISBLANK(C387),0,IF(C387="Month-to-month",2,IF(C387="One year",1,0)))+IF(ISBLANK(I387),0,IF(I387&lt;40,2,IF(I387&lt;55,1,0)))+IF(ISBLANK(M387),0,IF(M387=1,3,0))+IF(ISBLANK(L387),0,IF(L387&gt;=2,1,0))+IF(ISBLANK(E387),0,IF(E387&lt;12,1,0))</f>
        <v>5</v>
      </c>
      <c r="U387" s="0" t="str">
        <f aca="false">IF((ISBLANK(B387)*1+ISBLANK(C387)*1+ISBLANK(D387)*1+ISBLANK(E387)*1+ISBLANK(F387)*1+ISBLANK(I387)*1+ISBLANK(J387)*1+ISBLANK(K387)*1+ISBLANK(L387)*1+ISBLANK(M387)*1+ISBLANK(N387)*1+ISBLANK(O387)*1)&gt;0,"Missing Data","OK")</f>
        <v>OK</v>
      </c>
      <c r="V387" s="0" t="str">
        <f aca="false">IF(T387&gt;=6,"High Risk",IF(T387&gt;=3,"Medium Risk","Low Risk"))</f>
        <v>Medium Risk</v>
      </c>
    </row>
    <row r="388" customFormat="false" ht="12.8" hidden="false" customHeight="false" outlineLevel="0" collapsed="false">
      <c r="A388" s="1" t="s">
        <v>418</v>
      </c>
      <c r="B388" s="1" t="s">
        <v>36</v>
      </c>
      <c r="C388" s="1" t="s">
        <v>24</v>
      </c>
      <c r="D388" s="1" t="n">
        <v>9.3</v>
      </c>
      <c r="E388" s="1" t="n">
        <v>24</v>
      </c>
      <c r="F388" s="4" t="n">
        <v>44351</v>
      </c>
      <c r="G388" s="1" t="s">
        <v>39</v>
      </c>
      <c r="H388" s="1" t="n">
        <v>0</v>
      </c>
      <c r="I388" s="1" t="n">
        <v>61.9</v>
      </c>
      <c r="J388" s="1" t="n">
        <v>19</v>
      </c>
      <c r="K388" s="1" t="n">
        <v>9</v>
      </c>
      <c r="L388" s="1" t="n">
        <v>0</v>
      </c>
      <c r="M388" s="1" t="n">
        <v>0</v>
      </c>
      <c r="N388" s="1" t="n">
        <v>223.2</v>
      </c>
      <c r="O388" s="1" t="n">
        <v>0</v>
      </c>
      <c r="Q388" s="4" t="n">
        <v>45081</v>
      </c>
      <c r="R388" s="0" t="n">
        <f aca="false">IF(ISBLANK(F388),"Missing",IFERROR(YEAR(F388),"Missing"))</f>
        <v>2021</v>
      </c>
      <c r="S388" s="0" t="str">
        <f aca="false">IF(ISBLANK(E388),"Missing",IF(E388&lt;6,"0-6mo",IF(E388&lt;12,"6-12mo",IF(E388&lt;24,"12-24mo","24mo+"))))</f>
        <v>24mo+</v>
      </c>
      <c r="T388" s="0" t="n">
        <f aca="false">IF(ISBLANK(C388),0,IF(C388="Month-to-month",2,IF(C388="One year",1,0)))+IF(ISBLANK(I388),0,IF(I388&lt;40,2,IF(I388&lt;55,1,0)))+IF(ISBLANK(M388),0,IF(M388=1,3,0))+IF(ISBLANK(L388),0,IF(L388&gt;=2,1,0))+IF(ISBLANK(E388),0,IF(E388&lt;12,1,0))</f>
        <v>2</v>
      </c>
      <c r="U388" s="0" t="str">
        <f aca="false">IF((ISBLANK(B388)*1+ISBLANK(C388)*1+ISBLANK(D388)*1+ISBLANK(E388)*1+ISBLANK(F388)*1+ISBLANK(I388)*1+ISBLANK(J388)*1+ISBLANK(K388)*1+ISBLANK(L388)*1+ISBLANK(M388)*1+ISBLANK(N388)*1+ISBLANK(O388)*1)&gt;0,"Missing Data","OK")</f>
        <v>OK</v>
      </c>
      <c r="V388" s="0" t="str">
        <f aca="false">IF(T388&gt;=6,"High Risk",IF(T388&gt;=3,"Medium Risk","Low Risk"))</f>
        <v>Low Risk</v>
      </c>
    </row>
    <row r="389" customFormat="false" ht="12.8" hidden="false" customHeight="false" outlineLevel="0" collapsed="false">
      <c r="A389" s="1" t="s">
        <v>419</v>
      </c>
      <c r="B389" s="1" t="s">
        <v>36</v>
      </c>
      <c r="C389" s="1" t="s">
        <v>24</v>
      </c>
      <c r="D389" s="1" t="n">
        <v>12.05</v>
      </c>
      <c r="E389" s="1" t="n">
        <v>10</v>
      </c>
      <c r="F389" s="4" t="n">
        <v>44351</v>
      </c>
      <c r="G389" s="1" t="s">
        <v>25</v>
      </c>
      <c r="H389" s="1" t="n">
        <v>1</v>
      </c>
      <c r="I389" s="1" t="n">
        <v>78.5</v>
      </c>
      <c r="J389" s="1" t="n">
        <v>30</v>
      </c>
      <c r="K389" s="1" t="n">
        <v>7</v>
      </c>
      <c r="L389" s="1" t="n">
        <v>1</v>
      </c>
      <c r="M389" s="1" t="n">
        <v>0</v>
      </c>
      <c r="N389" s="1" t="n">
        <v>120.5</v>
      </c>
      <c r="O389" s="1" t="n">
        <v>1</v>
      </c>
      <c r="P389" s="4" t="n">
        <v>44655</v>
      </c>
      <c r="Q389" s="4" t="n">
        <v>44655</v>
      </c>
      <c r="R389" s="0" t="n">
        <f aca="false">IF(ISBLANK(F389),"Missing",IFERROR(YEAR(F389),"Missing"))</f>
        <v>2021</v>
      </c>
      <c r="S389" s="0" t="str">
        <f aca="false">IF(ISBLANK(E389),"Missing",IF(E389&lt;6,"0-6mo",IF(E389&lt;12,"6-12mo",IF(E389&lt;24,"12-24mo","24mo+"))))</f>
        <v>6-12mo</v>
      </c>
      <c r="T389" s="0" t="n">
        <f aca="false">IF(ISBLANK(C389),0,IF(C389="Month-to-month",2,IF(C389="One year",1,0)))+IF(ISBLANK(I389),0,IF(I389&lt;40,2,IF(I389&lt;55,1,0)))+IF(ISBLANK(M389),0,IF(M389=1,3,0))+IF(ISBLANK(L389),0,IF(L389&gt;=2,1,0))+IF(ISBLANK(E389),0,IF(E389&lt;12,1,0))</f>
        <v>3</v>
      </c>
      <c r="U389" s="0" t="str">
        <f aca="false">IF((ISBLANK(B389)*1+ISBLANK(C389)*1+ISBLANK(D389)*1+ISBLANK(E389)*1+ISBLANK(F389)*1+ISBLANK(I389)*1+ISBLANK(J389)*1+ISBLANK(K389)*1+ISBLANK(L389)*1+ISBLANK(M389)*1+ISBLANK(N389)*1+ISBLANK(O389)*1)&gt;0,"Missing Data","OK")</f>
        <v>OK</v>
      </c>
      <c r="V389" s="0" t="str">
        <f aca="false">IF(T389&gt;=6,"High Risk",IF(T389&gt;=3,"Medium Risk","Low Risk"))</f>
        <v>Medium Risk</v>
      </c>
    </row>
    <row r="390" customFormat="false" ht="12.8" hidden="false" customHeight="false" outlineLevel="0" collapsed="false">
      <c r="A390" s="1" t="s">
        <v>420</v>
      </c>
      <c r="B390" s="1" t="s">
        <v>23</v>
      </c>
      <c r="C390" s="1" t="s">
        <v>24</v>
      </c>
      <c r="D390" s="1" t="n">
        <v>19.19</v>
      </c>
      <c r="E390" s="1" t="n">
        <v>44</v>
      </c>
      <c r="F390" s="4" t="n">
        <v>44353</v>
      </c>
      <c r="G390" s="1" t="s">
        <v>30</v>
      </c>
      <c r="H390" s="1" t="n">
        <v>0</v>
      </c>
      <c r="I390" s="1" t="n">
        <v>22.9</v>
      </c>
      <c r="J390" s="1" t="n">
        <v>9</v>
      </c>
      <c r="K390" s="1" t="n">
        <v>4</v>
      </c>
      <c r="L390" s="1" t="n">
        <v>0</v>
      </c>
      <c r="M390" s="1" t="n">
        <v>0</v>
      </c>
      <c r="N390" s="1" t="n">
        <v>844.36</v>
      </c>
      <c r="O390" s="1" t="n">
        <v>0</v>
      </c>
      <c r="Q390" s="4" t="n">
        <v>45692</v>
      </c>
      <c r="R390" s="0" t="n">
        <f aca="false">IF(ISBLANK(F390),"Missing",IFERROR(YEAR(F390),"Missing"))</f>
        <v>2021</v>
      </c>
      <c r="S390" s="0" t="str">
        <f aca="false">IF(ISBLANK(E390),"Missing",IF(E390&lt;6,"0-6mo",IF(E390&lt;12,"6-12mo",IF(E390&lt;24,"12-24mo","24mo+"))))</f>
        <v>24mo+</v>
      </c>
      <c r="T390" s="0" t="n">
        <f aca="false">IF(ISBLANK(C390),0,IF(C390="Month-to-month",2,IF(C390="One year",1,0)))+IF(ISBLANK(I390),0,IF(I390&lt;40,2,IF(I390&lt;55,1,0)))+IF(ISBLANK(M390),0,IF(M390=1,3,0))+IF(ISBLANK(L390),0,IF(L390&gt;=2,1,0))+IF(ISBLANK(E390),0,IF(E390&lt;12,1,0))</f>
        <v>4</v>
      </c>
      <c r="U390" s="0" t="str">
        <f aca="false">IF((ISBLANK(B390)*1+ISBLANK(C390)*1+ISBLANK(D390)*1+ISBLANK(E390)*1+ISBLANK(F390)*1+ISBLANK(I390)*1+ISBLANK(J390)*1+ISBLANK(K390)*1+ISBLANK(L390)*1+ISBLANK(M390)*1+ISBLANK(N390)*1+ISBLANK(O390)*1)&gt;0,"Missing Data","OK")</f>
        <v>OK</v>
      </c>
      <c r="V390" s="0" t="str">
        <f aca="false">IF(T390&gt;=6,"High Risk",IF(T390&gt;=3,"Medium Risk","Low Risk"))</f>
        <v>Medium Risk</v>
      </c>
    </row>
    <row r="391" customFormat="false" ht="12.8" hidden="false" customHeight="false" outlineLevel="0" collapsed="false">
      <c r="A391" s="1" t="s">
        <v>421</v>
      </c>
      <c r="B391" s="1" t="s">
        <v>23</v>
      </c>
      <c r="C391" s="1" t="s">
        <v>24</v>
      </c>
      <c r="D391" s="1" t="n">
        <v>21.45</v>
      </c>
      <c r="E391" s="1" t="n">
        <v>4</v>
      </c>
      <c r="F391" s="4" t="n">
        <v>44355</v>
      </c>
      <c r="G391" s="1" t="s">
        <v>30</v>
      </c>
      <c r="H391" s="1" t="n">
        <v>1</v>
      </c>
      <c r="I391" s="1" t="n">
        <v>38.2</v>
      </c>
      <c r="J391" s="1" t="n">
        <v>16</v>
      </c>
      <c r="K391" s="1" t="n">
        <v>2</v>
      </c>
      <c r="L391" s="1" t="n">
        <v>0</v>
      </c>
      <c r="M391" s="1" t="n">
        <v>0</v>
      </c>
      <c r="N391" s="1" t="n">
        <v>85.8</v>
      </c>
      <c r="O391" s="1" t="n">
        <v>0</v>
      </c>
      <c r="Q391" s="4" t="n">
        <v>44476</v>
      </c>
      <c r="R391" s="0" t="n">
        <f aca="false">IF(ISBLANK(F391),"Missing",IFERROR(YEAR(F391),"Missing"))</f>
        <v>2021</v>
      </c>
      <c r="S391" s="0" t="str">
        <f aca="false">IF(ISBLANK(E391),"Missing",IF(E391&lt;6,"0-6mo",IF(E391&lt;12,"6-12mo",IF(E391&lt;24,"12-24mo","24mo+"))))</f>
        <v>0-6mo</v>
      </c>
      <c r="T391" s="0" t="n">
        <f aca="false">IF(ISBLANK(C391),0,IF(C391="Month-to-month",2,IF(C391="One year",1,0)))+IF(ISBLANK(I391),0,IF(I391&lt;40,2,IF(I391&lt;55,1,0)))+IF(ISBLANK(M391),0,IF(M391=1,3,0))+IF(ISBLANK(L391),0,IF(L391&gt;=2,1,0))+IF(ISBLANK(E391),0,IF(E391&lt;12,1,0))</f>
        <v>5</v>
      </c>
      <c r="U391" s="0" t="str">
        <f aca="false">IF((ISBLANK(B391)*1+ISBLANK(C391)*1+ISBLANK(D391)*1+ISBLANK(E391)*1+ISBLANK(F391)*1+ISBLANK(I391)*1+ISBLANK(J391)*1+ISBLANK(K391)*1+ISBLANK(L391)*1+ISBLANK(M391)*1+ISBLANK(N391)*1+ISBLANK(O391)*1)&gt;0,"Missing Data","OK")</f>
        <v>OK</v>
      </c>
      <c r="V391" s="0" t="str">
        <f aca="false">IF(T391&gt;=6,"High Risk",IF(T391&gt;=3,"Medium Risk","Low Risk"))</f>
        <v>Medium Risk</v>
      </c>
    </row>
    <row r="392" customFormat="false" ht="12.8" hidden="false" customHeight="false" outlineLevel="0" collapsed="false">
      <c r="A392" s="1" t="s">
        <v>422</v>
      </c>
      <c r="B392" s="1" t="s">
        <v>29</v>
      </c>
      <c r="C392" s="1" t="s">
        <v>34</v>
      </c>
      <c r="D392" s="1" t="n">
        <v>41.18</v>
      </c>
      <c r="E392" s="1" t="n">
        <v>16</v>
      </c>
      <c r="F392" s="4" t="n">
        <v>44357</v>
      </c>
      <c r="G392" s="1" t="s">
        <v>25</v>
      </c>
      <c r="H392" s="1" t="n">
        <v>1</v>
      </c>
      <c r="I392" s="1" t="n">
        <v>52.5</v>
      </c>
      <c r="J392" s="1" t="n">
        <v>16</v>
      </c>
      <c r="K392" s="1" t="n">
        <v>4</v>
      </c>
      <c r="L392" s="1" t="n">
        <v>0</v>
      </c>
      <c r="M392" s="1" t="n">
        <v>0</v>
      </c>
      <c r="N392" s="1" t="n">
        <v>658.88</v>
      </c>
      <c r="O392" s="1" t="n">
        <v>1</v>
      </c>
      <c r="P392" s="4" t="n">
        <v>44844</v>
      </c>
      <c r="Q392" s="4" t="n">
        <v>44844</v>
      </c>
      <c r="R392" s="0" t="n">
        <f aca="false">IF(ISBLANK(F392),"Missing",IFERROR(YEAR(F392),"Missing"))</f>
        <v>2021</v>
      </c>
      <c r="S392" s="0" t="str">
        <f aca="false">IF(ISBLANK(E392),"Missing",IF(E392&lt;6,"0-6mo",IF(E392&lt;12,"6-12mo",IF(E392&lt;24,"12-24mo","24mo+"))))</f>
        <v>12-24mo</v>
      </c>
      <c r="T392" s="0" t="n">
        <f aca="false">IF(ISBLANK(C392),0,IF(C392="Month-to-month",2,IF(C392="One year",1,0)))+IF(ISBLANK(I392),0,IF(I392&lt;40,2,IF(I392&lt;55,1,0)))+IF(ISBLANK(M392),0,IF(M392=1,3,0))+IF(ISBLANK(L392),0,IF(L392&gt;=2,1,0))+IF(ISBLANK(E392),0,IF(E392&lt;12,1,0))</f>
        <v>2</v>
      </c>
      <c r="U392" s="0" t="str">
        <f aca="false">IF((ISBLANK(B392)*1+ISBLANK(C392)*1+ISBLANK(D392)*1+ISBLANK(E392)*1+ISBLANK(F392)*1+ISBLANK(I392)*1+ISBLANK(J392)*1+ISBLANK(K392)*1+ISBLANK(L392)*1+ISBLANK(M392)*1+ISBLANK(N392)*1+ISBLANK(O392)*1)&gt;0,"Missing Data","OK")</f>
        <v>OK</v>
      </c>
      <c r="V392" s="0" t="str">
        <f aca="false">IF(T392&gt;=6,"High Risk",IF(T392&gt;=3,"Medium Risk","Low Risk"))</f>
        <v>Low Risk</v>
      </c>
    </row>
    <row r="393" customFormat="false" ht="12.8" hidden="false" customHeight="false" outlineLevel="0" collapsed="false">
      <c r="A393" s="1" t="s">
        <v>423</v>
      </c>
      <c r="B393" s="1" t="s">
        <v>36</v>
      </c>
      <c r="C393" s="1" t="s">
        <v>34</v>
      </c>
      <c r="D393" s="1" t="n">
        <v>10.03</v>
      </c>
      <c r="E393" s="1" t="n">
        <v>71</v>
      </c>
      <c r="F393" s="4" t="n">
        <v>44357</v>
      </c>
      <c r="G393" s="1" t="s">
        <v>30</v>
      </c>
      <c r="H393" s="1" t="n">
        <v>1</v>
      </c>
      <c r="I393" s="1" t="n">
        <v>56.5</v>
      </c>
      <c r="J393" s="1" t="n">
        <v>27</v>
      </c>
      <c r="K393" s="1" t="n">
        <v>5</v>
      </c>
      <c r="L393" s="1" t="n">
        <v>2</v>
      </c>
      <c r="M393" s="1" t="n">
        <v>0</v>
      </c>
      <c r="N393" s="1" t="n">
        <v>712.13</v>
      </c>
      <c r="O393" s="1" t="n">
        <v>0</v>
      </c>
      <c r="Q393" s="4" t="n">
        <v>46293</v>
      </c>
      <c r="R393" s="0" t="n">
        <f aca="false">IF(ISBLANK(F393),"Missing",IFERROR(YEAR(F393),"Missing"))</f>
        <v>2021</v>
      </c>
      <c r="S393" s="0" t="str">
        <f aca="false">IF(ISBLANK(E393),"Missing",IF(E393&lt;6,"0-6mo",IF(E393&lt;12,"6-12mo",IF(E393&lt;24,"12-24mo","24mo+"))))</f>
        <v>24mo+</v>
      </c>
      <c r="T393" s="0" t="n">
        <f aca="false">IF(ISBLANK(C393),0,IF(C393="Month-to-month",2,IF(C393="One year",1,0)))+IF(ISBLANK(I393),0,IF(I393&lt;40,2,IF(I393&lt;55,1,0)))+IF(ISBLANK(M393),0,IF(M393=1,3,0))+IF(ISBLANK(L393),0,IF(L393&gt;=2,1,0))+IF(ISBLANK(E393),0,IF(E393&lt;12,1,0))</f>
        <v>2</v>
      </c>
      <c r="U393" s="0" t="str">
        <f aca="false">IF((ISBLANK(B393)*1+ISBLANK(C393)*1+ISBLANK(D393)*1+ISBLANK(E393)*1+ISBLANK(F393)*1+ISBLANK(I393)*1+ISBLANK(J393)*1+ISBLANK(K393)*1+ISBLANK(L393)*1+ISBLANK(M393)*1+ISBLANK(N393)*1+ISBLANK(O393)*1)&gt;0,"Missing Data","OK")</f>
        <v>OK</v>
      </c>
      <c r="V393" s="0" t="str">
        <f aca="false">IF(T393&gt;=6,"High Risk",IF(T393&gt;=3,"Medium Risk","Low Risk"))</f>
        <v>Low Risk</v>
      </c>
    </row>
    <row r="394" customFormat="false" ht="12.8" hidden="false" customHeight="false" outlineLevel="0" collapsed="false">
      <c r="A394" s="1" t="s">
        <v>424</v>
      </c>
      <c r="B394" s="1" t="s">
        <v>23</v>
      </c>
      <c r="C394" s="1" t="s">
        <v>24</v>
      </c>
      <c r="D394" s="1" t="n">
        <v>18.23</v>
      </c>
      <c r="E394" s="1" t="n">
        <v>0</v>
      </c>
      <c r="F394" s="4" t="n">
        <v>44358</v>
      </c>
      <c r="G394" s="1" t="s">
        <v>25</v>
      </c>
      <c r="H394" s="1" t="n">
        <v>1</v>
      </c>
      <c r="I394" s="1" t="n">
        <v>62.6</v>
      </c>
      <c r="J394" s="1" t="n">
        <v>28</v>
      </c>
      <c r="K394" s="1" t="n">
        <v>4</v>
      </c>
      <c r="L394" s="1" t="n">
        <v>1</v>
      </c>
      <c r="M394" s="1" t="n">
        <v>0</v>
      </c>
      <c r="N394" s="1" t="n">
        <v>0</v>
      </c>
      <c r="O394" s="1" t="n">
        <v>0</v>
      </c>
      <c r="Q394" s="4" t="n">
        <v>44358</v>
      </c>
      <c r="R394" s="0" t="n">
        <f aca="false">IF(ISBLANK(F394),"Missing",IFERROR(YEAR(F394),"Missing"))</f>
        <v>2021</v>
      </c>
      <c r="S394" s="0" t="str">
        <f aca="false">IF(ISBLANK(E394),"Missing",IF(E394&lt;6,"0-6mo",IF(E394&lt;12,"6-12mo",IF(E394&lt;24,"12-24mo","24mo+"))))</f>
        <v>0-6mo</v>
      </c>
      <c r="T394" s="0" t="n">
        <f aca="false">IF(ISBLANK(C394),0,IF(C394="Month-to-month",2,IF(C394="One year",1,0)))+IF(ISBLANK(I394),0,IF(I394&lt;40,2,IF(I394&lt;55,1,0)))+IF(ISBLANK(M394),0,IF(M394=1,3,0))+IF(ISBLANK(L394),0,IF(L394&gt;=2,1,0))+IF(ISBLANK(E394),0,IF(E394&lt;12,1,0))</f>
        <v>3</v>
      </c>
      <c r="U394" s="0" t="str">
        <f aca="false">IF((ISBLANK(B394)*1+ISBLANK(C394)*1+ISBLANK(D394)*1+ISBLANK(E394)*1+ISBLANK(F394)*1+ISBLANK(I394)*1+ISBLANK(J394)*1+ISBLANK(K394)*1+ISBLANK(L394)*1+ISBLANK(M394)*1+ISBLANK(N394)*1+ISBLANK(O394)*1)&gt;0,"Missing Data","OK")</f>
        <v>OK</v>
      </c>
      <c r="V394" s="0" t="str">
        <f aca="false">IF(T394&gt;=6,"High Risk",IF(T394&gt;=3,"Medium Risk","Low Risk"))</f>
        <v>Medium Risk</v>
      </c>
    </row>
    <row r="395" customFormat="false" ht="12.8" hidden="false" customHeight="false" outlineLevel="0" collapsed="false">
      <c r="A395" s="1" t="s">
        <v>425</v>
      </c>
      <c r="B395" s="1" t="s">
        <v>23</v>
      </c>
      <c r="C395" s="1" t="s">
        <v>24</v>
      </c>
      <c r="D395" s="1" t="n">
        <v>19.86</v>
      </c>
      <c r="E395" s="1" t="n">
        <v>35</v>
      </c>
      <c r="F395" s="4" t="n">
        <v>44360</v>
      </c>
      <c r="G395" s="1" t="s">
        <v>39</v>
      </c>
      <c r="H395" s="1" t="n">
        <v>1</v>
      </c>
      <c r="I395" s="1" t="n">
        <v>72.1</v>
      </c>
      <c r="J395" s="1" t="n">
        <v>15</v>
      </c>
      <c r="K395" s="1" t="n">
        <v>9</v>
      </c>
      <c r="L395" s="1" t="n">
        <v>1</v>
      </c>
      <c r="M395" s="1" t="n">
        <v>0</v>
      </c>
      <c r="N395" s="1" t="n">
        <v>695.1</v>
      </c>
      <c r="O395" s="1" t="n">
        <v>1</v>
      </c>
      <c r="P395" s="4" t="n">
        <v>45425</v>
      </c>
      <c r="Q395" s="4" t="n">
        <v>45425</v>
      </c>
      <c r="R395" s="0" t="n">
        <f aca="false">IF(ISBLANK(F395),"Missing",IFERROR(YEAR(F395),"Missing"))</f>
        <v>2021</v>
      </c>
      <c r="S395" s="0" t="str">
        <f aca="false">IF(ISBLANK(E395),"Missing",IF(E395&lt;6,"0-6mo",IF(E395&lt;12,"6-12mo",IF(E395&lt;24,"12-24mo","24mo+"))))</f>
        <v>24mo+</v>
      </c>
      <c r="T395" s="0" t="n">
        <f aca="false">IF(ISBLANK(C395),0,IF(C395="Month-to-month",2,IF(C395="One year",1,0)))+IF(ISBLANK(I395),0,IF(I395&lt;40,2,IF(I395&lt;55,1,0)))+IF(ISBLANK(M395),0,IF(M395=1,3,0))+IF(ISBLANK(L395),0,IF(L395&gt;=2,1,0))+IF(ISBLANK(E395),0,IF(E395&lt;12,1,0))</f>
        <v>2</v>
      </c>
      <c r="U395" s="0" t="str">
        <f aca="false">IF((ISBLANK(B395)*1+ISBLANK(C395)*1+ISBLANK(D395)*1+ISBLANK(E395)*1+ISBLANK(F395)*1+ISBLANK(I395)*1+ISBLANK(J395)*1+ISBLANK(K395)*1+ISBLANK(L395)*1+ISBLANK(M395)*1+ISBLANK(N395)*1+ISBLANK(O395)*1)&gt;0,"Missing Data","OK")</f>
        <v>OK</v>
      </c>
      <c r="V395" s="0" t="str">
        <f aca="false">IF(T395&gt;=6,"High Risk",IF(T395&gt;=3,"Medium Risk","Low Risk"))</f>
        <v>Low Risk</v>
      </c>
    </row>
    <row r="396" customFormat="false" ht="12.8" hidden="false" customHeight="false" outlineLevel="0" collapsed="false">
      <c r="A396" s="1" t="s">
        <v>426</v>
      </c>
      <c r="B396" s="1" t="s">
        <v>23</v>
      </c>
      <c r="C396" s="1" t="s">
        <v>24</v>
      </c>
      <c r="D396" s="1" t="n">
        <v>20.96</v>
      </c>
      <c r="E396" s="1" t="n">
        <v>21</v>
      </c>
      <c r="F396" s="4" t="n">
        <v>44361</v>
      </c>
      <c r="G396" s="1" t="s">
        <v>25</v>
      </c>
      <c r="H396" s="1" t="n">
        <v>0</v>
      </c>
      <c r="I396" s="1" t="n">
        <v>35.4</v>
      </c>
      <c r="J396" s="1" t="n">
        <v>9</v>
      </c>
      <c r="K396" s="1" t="n">
        <v>2</v>
      </c>
      <c r="L396" s="1" t="n">
        <v>1</v>
      </c>
      <c r="M396" s="1" t="n">
        <v>0</v>
      </c>
      <c r="N396" s="1" t="n">
        <v>440.16</v>
      </c>
      <c r="O396" s="1" t="n">
        <v>1</v>
      </c>
      <c r="P396" s="4" t="n">
        <v>45000</v>
      </c>
      <c r="Q396" s="4" t="n">
        <v>45000</v>
      </c>
      <c r="R396" s="0" t="n">
        <f aca="false">IF(ISBLANK(F396),"Missing",IFERROR(YEAR(F396),"Missing"))</f>
        <v>2021</v>
      </c>
      <c r="S396" s="0" t="str">
        <f aca="false">IF(ISBLANK(E396),"Missing",IF(E396&lt;6,"0-6mo",IF(E396&lt;12,"6-12mo",IF(E396&lt;24,"12-24mo","24mo+"))))</f>
        <v>12-24mo</v>
      </c>
      <c r="T396" s="0" t="n">
        <f aca="false">IF(ISBLANK(C396),0,IF(C396="Month-to-month",2,IF(C396="One year",1,0)))+IF(ISBLANK(I396),0,IF(I396&lt;40,2,IF(I396&lt;55,1,0)))+IF(ISBLANK(M396),0,IF(M396=1,3,0))+IF(ISBLANK(L396),0,IF(L396&gt;=2,1,0))+IF(ISBLANK(E396),0,IF(E396&lt;12,1,0))</f>
        <v>4</v>
      </c>
      <c r="U396" s="0" t="str">
        <f aca="false">IF((ISBLANK(B396)*1+ISBLANK(C396)*1+ISBLANK(D396)*1+ISBLANK(E396)*1+ISBLANK(F396)*1+ISBLANK(I396)*1+ISBLANK(J396)*1+ISBLANK(K396)*1+ISBLANK(L396)*1+ISBLANK(M396)*1+ISBLANK(N396)*1+ISBLANK(O396)*1)&gt;0,"Missing Data","OK")</f>
        <v>OK</v>
      </c>
      <c r="V396" s="0" t="str">
        <f aca="false">IF(T396&gt;=6,"High Risk",IF(T396&gt;=3,"Medium Risk","Low Risk"))</f>
        <v>Medium Risk</v>
      </c>
    </row>
    <row r="397" customFormat="false" ht="12.8" hidden="false" customHeight="false" outlineLevel="0" collapsed="false">
      <c r="A397" s="1" t="s">
        <v>427</v>
      </c>
      <c r="B397" s="1" t="s">
        <v>23</v>
      </c>
      <c r="C397" s="1" t="s">
        <v>24</v>
      </c>
      <c r="D397" s="1" t="n">
        <v>20.01</v>
      </c>
      <c r="E397" s="1" t="n">
        <v>7</v>
      </c>
      <c r="F397" s="4" t="n">
        <v>44361</v>
      </c>
      <c r="G397" s="1" t="s">
        <v>25</v>
      </c>
      <c r="H397" s="1" t="n">
        <v>1</v>
      </c>
      <c r="I397" s="1" t="n">
        <v>81.4</v>
      </c>
      <c r="J397" s="1" t="n">
        <v>27</v>
      </c>
      <c r="K397" s="1" t="n">
        <v>9</v>
      </c>
      <c r="L397" s="1" t="n">
        <v>0</v>
      </c>
      <c r="M397" s="1" t="n">
        <v>0</v>
      </c>
      <c r="N397" s="1" t="n">
        <v>140.07</v>
      </c>
      <c r="O397" s="1" t="n">
        <v>1</v>
      </c>
      <c r="P397" s="4" t="n">
        <v>44574</v>
      </c>
      <c r="Q397" s="4" t="n">
        <v>44574</v>
      </c>
      <c r="R397" s="0" t="n">
        <f aca="false">IF(ISBLANK(F397),"Missing",IFERROR(YEAR(F397),"Missing"))</f>
        <v>2021</v>
      </c>
      <c r="S397" s="0" t="str">
        <f aca="false">IF(ISBLANK(E397),"Missing",IF(E397&lt;6,"0-6mo",IF(E397&lt;12,"6-12mo",IF(E397&lt;24,"12-24mo","24mo+"))))</f>
        <v>6-12mo</v>
      </c>
      <c r="T397" s="0" t="n">
        <f aca="false">IF(ISBLANK(C397),0,IF(C397="Month-to-month",2,IF(C397="One year",1,0)))+IF(ISBLANK(I397),0,IF(I397&lt;40,2,IF(I397&lt;55,1,0)))+IF(ISBLANK(M397),0,IF(M397=1,3,0))+IF(ISBLANK(L397),0,IF(L397&gt;=2,1,0))+IF(ISBLANK(E397),0,IF(E397&lt;12,1,0))</f>
        <v>3</v>
      </c>
      <c r="U397" s="0" t="str">
        <f aca="false">IF((ISBLANK(B397)*1+ISBLANK(C397)*1+ISBLANK(D397)*1+ISBLANK(E397)*1+ISBLANK(F397)*1+ISBLANK(I397)*1+ISBLANK(J397)*1+ISBLANK(K397)*1+ISBLANK(L397)*1+ISBLANK(M397)*1+ISBLANK(N397)*1+ISBLANK(O397)*1)&gt;0,"Missing Data","OK")</f>
        <v>OK</v>
      </c>
      <c r="V397" s="0" t="str">
        <f aca="false">IF(T397&gt;=6,"High Risk",IF(T397&gt;=3,"Medium Risk","Low Risk"))</f>
        <v>Medium Risk</v>
      </c>
    </row>
    <row r="398" customFormat="false" ht="12.8" hidden="false" customHeight="false" outlineLevel="0" collapsed="false">
      <c r="A398" s="1" t="s">
        <v>428</v>
      </c>
      <c r="B398" s="1" t="s">
        <v>36</v>
      </c>
      <c r="C398" s="1" t="s">
        <v>24</v>
      </c>
      <c r="D398" s="1" t="n">
        <v>9.38</v>
      </c>
      <c r="E398" s="1" t="n">
        <v>13</v>
      </c>
      <c r="F398" s="4" t="n">
        <v>44364</v>
      </c>
      <c r="G398" s="1" t="s">
        <v>27</v>
      </c>
      <c r="H398" s="1" t="n">
        <v>1</v>
      </c>
      <c r="I398" s="1" t="n">
        <v>15.7</v>
      </c>
      <c r="J398" s="1" t="n">
        <v>4</v>
      </c>
      <c r="K398" s="1" t="n">
        <v>2</v>
      </c>
      <c r="L398" s="1" t="n">
        <v>4</v>
      </c>
      <c r="M398" s="1" t="n">
        <v>0</v>
      </c>
      <c r="N398" s="1" t="n">
        <v>121.94</v>
      </c>
      <c r="O398" s="1" t="n">
        <v>1</v>
      </c>
      <c r="P398" s="4" t="n">
        <v>44759</v>
      </c>
      <c r="Q398" s="4" t="n">
        <v>44759</v>
      </c>
      <c r="R398" s="0" t="n">
        <f aca="false">IF(ISBLANK(F398),"Missing",IFERROR(YEAR(F398),"Missing"))</f>
        <v>2021</v>
      </c>
      <c r="S398" s="0" t="str">
        <f aca="false">IF(ISBLANK(E398),"Missing",IF(E398&lt;6,"0-6mo",IF(E398&lt;12,"6-12mo",IF(E398&lt;24,"12-24mo","24mo+"))))</f>
        <v>12-24mo</v>
      </c>
      <c r="T398" s="0" t="n">
        <f aca="false">IF(ISBLANK(C398),0,IF(C398="Month-to-month",2,IF(C398="One year",1,0)))+IF(ISBLANK(I398),0,IF(I398&lt;40,2,IF(I398&lt;55,1,0)))+IF(ISBLANK(M398),0,IF(M398=1,3,0))+IF(ISBLANK(L398),0,IF(L398&gt;=2,1,0))+IF(ISBLANK(E398),0,IF(E398&lt;12,1,0))</f>
        <v>5</v>
      </c>
      <c r="U398" s="0" t="str">
        <f aca="false">IF((ISBLANK(B398)*1+ISBLANK(C398)*1+ISBLANK(D398)*1+ISBLANK(E398)*1+ISBLANK(F398)*1+ISBLANK(I398)*1+ISBLANK(J398)*1+ISBLANK(K398)*1+ISBLANK(L398)*1+ISBLANK(M398)*1+ISBLANK(N398)*1+ISBLANK(O398)*1)&gt;0,"Missing Data","OK")</f>
        <v>OK</v>
      </c>
      <c r="V398" s="0" t="str">
        <f aca="false">IF(T398&gt;=6,"High Risk",IF(T398&gt;=3,"Medium Risk","Low Risk"))</f>
        <v>Medium Risk</v>
      </c>
    </row>
    <row r="399" customFormat="false" ht="12.8" hidden="false" customHeight="false" outlineLevel="0" collapsed="false">
      <c r="A399" s="1" t="s">
        <v>429</v>
      </c>
      <c r="B399" s="1" t="s">
        <v>36</v>
      </c>
      <c r="C399" s="1" t="s">
        <v>34</v>
      </c>
      <c r="D399" s="1" t="n">
        <v>11.41</v>
      </c>
      <c r="E399" s="1" t="n">
        <v>25</v>
      </c>
      <c r="F399" s="4" t="n">
        <v>44364</v>
      </c>
      <c r="G399" s="1" t="s">
        <v>25</v>
      </c>
      <c r="H399" s="1" t="n">
        <v>1</v>
      </c>
      <c r="I399" s="1" t="n">
        <v>45.5</v>
      </c>
      <c r="J399" s="1" t="n">
        <v>9</v>
      </c>
      <c r="K399" s="1" t="n">
        <v>6</v>
      </c>
      <c r="L399" s="1" t="n">
        <v>1</v>
      </c>
      <c r="M399" s="1" t="n">
        <v>0</v>
      </c>
      <c r="N399" s="1" t="n">
        <v>285.25</v>
      </c>
      <c r="O399" s="1" t="n">
        <v>0</v>
      </c>
      <c r="Q399" s="4" t="n">
        <v>45125</v>
      </c>
      <c r="R399" s="0" t="n">
        <f aca="false">IF(ISBLANK(F399),"Missing",IFERROR(YEAR(F399),"Missing"))</f>
        <v>2021</v>
      </c>
      <c r="S399" s="0" t="str">
        <f aca="false">IF(ISBLANK(E399),"Missing",IF(E399&lt;6,"0-6mo",IF(E399&lt;12,"6-12mo",IF(E399&lt;24,"12-24mo","24mo+"))))</f>
        <v>24mo+</v>
      </c>
      <c r="T399" s="0" t="n">
        <f aca="false">IF(ISBLANK(C399),0,IF(C399="Month-to-month",2,IF(C399="One year",1,0)))+IF(ISBLANK(I399),0,IF(I399&lt;40,2,IF(I399&lt;55,1,0)))+IF(ISBLANK(M399),0,IF(M399=1,3,0))+IF(ISBLANK(L399),0,IF(L399&gt;=2,1,0))+IF(ISBLANK(E399),0,IF(E399&lt;12,1,0))</f>
        <v>2</v>
      </c>
      <c r="U399" s="0" t="str">
        <f aca="false">IF((ISBLANK(B399)*1+ISBLANK(C399)*1+ISBLANK(D399)*1+ISBLANK(E399)*1+ISBLANK(F399)*1+ISBLANK(I399)*1+ISBLANK(J399)*1+ISBLANK(K399)*1+ISBLANK(L399)*1+ISBLANK(M399)*1+ISBLANK(N399)*1+ISBLANK(O399)*1)&gt;0,"Missing Data","OK")</f>
        <v>OK</v>
      </c>
      <c r="V399" s="0" t="str">
        <f aca="false">IF(T399&gt;=6,"High Risk",IF(T399&gt;=3,"Medium Risk","Low Risk"))</f>
        <v>Low Risk</v>
      </c>
    </row>
    <row r="400" customFormat="false" ht="12.8" hidden="false" customHeight="false" outlineLevel="0" collapsed="false">
      <c r="A400" s="1" t="s">
        <v>430</v>
      </c>
      <c r="B400" s="1" t="s">
        <v>23</v>
      </c>
      <c r="C400" s="1" t="s">
        <v>24</v>
      </c>
      <c r="D400" s="1" t="n">
        <v>20.97</v>
      </c>
      <c r="E400" s="1" t="n">
        <v>31</v>
      </c>
      <c r="F400" s="4" t="n">
        <v>44367</v>
      </c>
      <c r="G400" s="1" t="s">
        <v>30</v>
      </c>
      <c r="H400" s="1" t="n">
        <v>1</v>
      </c>
      <c r="I400" s="1" t="n">
        <v>69.5</v>
      </c>
      <c r="J400" s="1" t="n">
        <v>18</v>
      </c>
      <c r="K400" s="1" t="n">
        <v>6</v>
      </c>
      <c r="L400" s="1" t="n">
        <v>4</v>
      </c>
      <c r="M400" s="1" t="n">
        <v>1</v>
      </c>
      <c r="N400" s="1" t="n">
        <v>650.07</v>
      </c>
      <c r="O400" s="1" t="n">
        <v>0</v>
      </c>
      <c r="Q400" s="4" t="n">
        <v>45310</v>
      </c>
      <c r="R400" s="0" t="n">
        <f aca="false">IF(ISBLANK(F400),"Missing",IFERROR(YEAR(F400),"Missing"))</f>
        <v>2021</v>
      </c>
      <c r="S400" s="0" t="str">
        <f aca="false">IF(ISBLANK(E400),"Missing",IF(E400&lt;6,"0-6mo",IF(E400&lt;12,"6-12mo",IF(E400&lt;24,"12-24mo","24mo+"))))</f>
        <v>24mo+</v>
      </c>
      <c r="T400" s="0" t="n">
        <f aca="false">IF(ISBLANK(C400),0,IF(C400="Month-to-month",2,IF(C400="One year",1,0)))+IF(ISBLANK(I400),0,IF(I400&lt;40,2,IF(I400&lt;55,1,0)))+IF(ISBLANK(M400),0,IF(M400=1,3,0))+IF(ISBLANK(L400),0,IF(L400&gt;=2,1,0))+IF(ISBLANK(E400),0,IF(E400&lt;12,1,0))</f>
        <v>6</v>
      </c>
      <c r="U400" s="0" t="str">
        <f aca="false">IF((ISBLANK(B400)*1+ISBLANK(C400)*1+ISBLANK(D400)*1+ISBLANK(E400)*1+ISBLANK(F400)*1+ISBLANK(I400)*1+ISBLANK(J400)*1+ISBLANK(K400)*1+ISBLANK(L400)*1+ISBLANK(M400)*1+ISBLANK(N400)*1+ISBLANK(O400)*1)&gt;0,"Missing Data","OK")</f>
        <v>OK</v>
      </c>
      <c r="V400" s="0" t="str">
        <f aca="false">IF(T400&gt;=6,"High Risk",IF(T400&gt;=3,"Medium Risk","Low Risk"))</f>
        <v>High Risk</v>
      </c>
    </row>
    <row r="401" customFormat="false" ht="12.8" hidden="false" customHeight="false" outlineLevel="0" collapsed="false">
      <c r="A401" s="1" t="s">
        <v>431</v>
      </c>
      <c r="B401" s="1" t="s">
        <v>23</v>
      </c>
      <c r="C401" s="1" t="s">
        <v>34</v>
      </c>
      <c r="D401" s="1" t="n">
        <v>20.04</v>
      </c>
      <c r="E401" s="1" t="n">
        <v>29</v>
      </c>
      <c r="F401" s="4" t="n">
        <v>44368</v>
      </c>
      <c r="G401" s="1" t="s">
        <v>39</v>
      </c>
      <c r="H401" s="1" t="n">
        <v>1</v>
      </c>
      <c r="I401" s="1" t="n">
        <v>47.8</v>
      </c>
      <c r="J401" s="1" t="n">
        <v>15</v>
      </c>
      <c r="K401" s="1" t="n">
        <v>5</v>
      </c>
      <c r="L401" s="1" t="n">
        <v>0</v>
      </c>
      <c r="M401" s="1" t="n">
        <v>0</v>
      </c>
      <c r="N401" s="1" t="n">
        <v>581.16</v>
      </c>
      <c r="O401" s="1" t="n">
        <v>0</v>
      </c>
      <c r="Q401" s="4" t="n">
        <v>45250</v>
      </c>
      <c r="R401" s="0" t="n">
        <f aca="false">IF(ISBLANK(F401),"Missing",IFERROR(YEAR(F401),"Missing"))</f>
        <v>2021</v>
      </c>
      <c r="S401" s="0" t="str">
        <f aca="false">IF(ISBLANK(E401),"Missing",IF(E401&lt;6,"0-6mo",IF(E401&lt;12,"6-12mo",IF(E401&lt;24,"12-24mo","24mo+"))))</f>
        <v>24mo+</v>
      </c>
      <c r="T401" s="0" t="n">
        <f aca="false">IF(ISBLANK(C401),0,IF(C401="Month-to-month",2,IF(C401="One year",1,0)))+IF(ISBLANK(I401),0,IF(I401&lt;40,2,IF(I401&lt;55,1,0)))+IF(ISBLANK(M401),0,IF(M401=1,3,0))+IF(ISBLANK(L401),0,IF(L401&gt;=2,1,0))+IF(ISBLANK(E401),0,IF(E401&lt;12,1,0))</f>
        <v>2</v>
      </c>
      <c r="U401" s="0" t="str">
        <f aca="false">IF((ISBLANK(B401)*1+ISBLANK(C401)*1+ISBLANK(D401)*1+ISBLANK(E401)*1+ISBLANK(F401)*1+ISBLANK(I401)*1+ISBLANK(J401)*1+ISBLANK(K401)*1+ISBLANK(L401)*1+ISBLANK(M401)*1+ISBLANK(N401)*1+ISBLANK(O401)*1)&gt;0,"Missing Data","OK")</f>
        <v>OK</v>
      </c>
      <c r="V401" s="0" t="str">
        <f aca="false">IF(T401&gt;=6,"High Risk",IF(T401&gt;=3,"Medium Risk","Low Risk"))</f>
        <v>Low Risk</v>
      </c>
    </row>
    <row r="402" customFormat="false" ht="12.8" hidden="false" customHeight="false" outlineLevel="0" collapsed="false">
      <c r="A402" s="1" t="s">
        <v>432</v>
      </c>
      <c r="B402" s="1" t="s">
        <v>36</v>
      </c>
      <c r="C402" s="1" t="s">
        <v>24</v>
      </c>
      <c r="D402" s="1" t="n">
        <v>11.04</v>
      </c>
      <c r="E402" s="1" t="n">
        <v>15</v>
      </c>
      <c r="F402" s="4" t="n">
        <v>44369</v>
      </c>
      <c r="G402" s="1" t="s">
        <v>30</v>
      </c>
      <c r="H402" s="1" t="n">
        <v>1</v>
      </c>
      <c r="I402" s="1" t="n">
        <v>42.9</v>
      </c>
      <c r="J402" s="1" t="n">
        <v>15</v>
      </c>
      <c r="K402" s="1" t="n">
        <v>2</v>
      </c>
      <c r="L402" s="1" t="n">
        <v>0</v>
      </c>
      <c r="M402" s="1" t="n">
        <v>0</v>
      </c>
      <c r="N402" s="1" t="n">
        <v>165.6</v>
      </c>
      <c r="O402" s="1" t="n">
        <v>0</v>
      </c>
      <c r="Q402" s="4" t="n">
        <v>44825</v>
      </c>
      <c r="R402" s="0" t="n">
        <f aca="false">IF(ISBLANK(F402),"Missing",IFERROR(YEAR(F402),"Missing"))</f>
        <v>2021</v>
      </c>
      <c r="S402" s="0" t="str">
        <f aca="false">IF(ISBLANK(E402),"Missing",IF(E402&lt;6,"0-6mo",IF(E402&lt;12,"6-12mo",IF(E402&lt;24,"12-24mo","24mo+"))))</f>
        <v>12-24mo</v>
      </c>
      <c r="T402" s="0" t="n">
        <f aca="false">IF(ISBLANK(C402),0,IF(C402="Month-to-month",2,IF(C402="One year",1,0)))+IF(ISBLANK(I402),0,IF(I402&lt;40,2,IF(I402&lt;55,1,0)))+IF(ISBLANK(M402),0,IF(M402=1,3,0))+IF(ISBLANK(L402),0,IF(L402&gt;=2,1,0))+IF(ISBLANK(E402),0,IF(E402&lt;12,1,0))</f>
        <v>3</v>
      </c>
      <c r="U402" s="0" t="str">
        <f aca="false">IF((ISBLANK(B402)*1+ISBLANK(C402)*1+ISBLANK(D402)*1+ISBLANK(E402)*1+ISBLANK(F402)*1+ISBLANK(I402)*1+ISBLANK(J402)*1+ISBLANK(K402)*1+ISBLANK(L402)*1+ISBLANK(M402)*1+ISBLANK(N402)*1+ISBLANK(O402)*1)&gt;0,"Missing Data","OK")</f>
        <v>OK</v>
      </c>
      <c r="V402" s="0" t="str">
        <f aca="false">IF(T402&gt;=6,"High Risk",IF(T402&gt;=3,"Medium Risk","Low Risk"))</f>
        <v>Medium Risk</v>
      </c>
    </row>
    <row r="403" customFormat="false" ht="12.8" hidden="false" customHeight="false" outlineLevel="0" collapsed="false">
      <c r="A403" s="1" t="s">
        <v>433</v>
      </c>
      <c r="B403" s="1" t="s">
        <v>36</v>
      </c>
      <c r="C403" s="1" t="s">
        <v>34</v>
      </c>
      <c r="D403" s="1" t="n">
        <v>11.09</v>
      </c>
      <c r="E403" s="1" t="n">
        <v>4</v>
      </c>
      <c r="F403" s="4" t="n">
        <v>44372</v>
      </c>
      <c r="G403" s="1" t="s">
        <v>39</v>
      </c>
      <c r="H403" s="1" t="n">
        <v>1</v>
      </c>
      <c r="I403" s="1" t="n">
        <v>53.8</v>
      </c>
      <c r="J403" s="1" t="n">
        <v>11</v>
      </c>
      <c r="K403" s="1" t="n">
        <v>5</v>
      </c>
      <c r="L403" s="1" t="n">
        <v>1</v>
      </c>
      <c r="M403" s="1" t="n">
        <v>0</v>
      </c>
      <c r="N403" s="1" t="n">
        <v>44.36</v>
      </c>
      <c r="O403" s="1" t="n">
        <v>0</v>
      </c>
      <c r="Q403" s="4" t="n">
        <v>44493</v>
      </c>
      <c r="R403" s="0" t="n">
        <f aca="false">IF(ISBLANK(F403),"Missing",IFERROR(YEAR(F403),"Missing"))</f>
        <v>2021</v>
      </c>
      <c r="S403" s="0" t="str">
        <f aca="false">IF(ISBLANK(E403),"Missing",IF(E403&lt;6,"0-6mo",IF(E403&lt;12,"6-12mo",IF(E403&lt;24,"12-24mo","24mo+"))))</f>
        <v>0-6mo</v>
      </c>
      <c r="T403" s="0" t="n">
        <f aca="false">IF(ISBLANK(C403),0,IF(C403="Month-to-month",2,IF(C403="One year",1,0)))+IF(ISBLANK(I403),0,IF(I403&lt;40,2,IF(I403&lt;55,1,0)))+IF(ISBLANK(M403),0,IF(M403=1,3,0))+IF(ISBLANK(L403),0,IF(L403&gt;=2,1,0))+IF(ISBLANK(E403),0,IF(E403&lt;12,1,0))</f>
        <v>3</v>
      </c>
      <c r="U403" s="0" t="str">
        <f aca="false">IF((ISBLANK(B403)*1+ISBLANK(C403)*1+ISBLANK(D403)*1+ISBLANK(E403)*1+ISBLANK(F403)*1+ISBLANK(I403)*1+ISBLANK(J403)*1+ISBLANK(K403)*1+ISBLANK(L403)*1+ISBLANK(M403)*1+ISBLANK(N403)*1+ISBLANK(O403)*1)&gt;0,"Missing Data","OK")</f>
        <v>OK</v>
      </c>
      <c r="V403" s="0" t="str">
        <f aca="false">IF(T403&gt;=6,"High Risk",IF(T403&gt;=3,"Medium Risk","Low Risk"))</f>
        <v>Medium Risk</v>
      </c>
    </row>
    <row r="404" customFormat="false" ht="12.8" hidden="false" customHeight="false" outlineLevel="0" collapsed="false">
      <c r="A404" s="1" t="s">
        <v>434</v>
      </c>
      <c r="B404" s="1" t="s">
        <v>36</v>
      </c>
      <c r="C404" s="1" t="s">
        <v>24</v>
      </c>
      <c r="D404" s="1" t="n">
        <v>8.57</v>
      </c>
      <c r="E404" s="1" t="n">
        <v>20</v>
      </c>
      <c r="F404" s="4" t="n">
        <v>44372</v>
      </c>
      <c r="G404" s="1" t="s">
        <v>25</v>
      </c>
      <c r="H404" s="1" t="n">
        <v>1</v>
      </c>
      <c r="I404" s="1" t="n">
        <v>39.7</v>
      </c>
      <c r="J404" s="1" t="n">
        <v>16</v>
      </c>
      <c r="K404" s="1" t="n">
        <v>3</v>
      </c>
      <c r="L404" s="1" t="n">
        <v>0</v>
      </c>
      <c r="M404" s="1" t="n">
        <v>0</v>
      </c>
      <c r="N404" s="1" t="n">
        <v>171.4</v>
      </c>
      <c r="O404" s="1" t="n">
        <v>0</v>
      </c>
      <c r="Q404" s="4" t="n">
        <v>44980</v>
      </c>
      <c r="R404" s="0" t="n">
        <f aca="false">IF(ISBLANK(F404),"Missing",IFERROR(YEAR(F404),"Missing"))</f>
        <v>2021</v>
      </c>
      <c r="S404" s="0" t="str">
        <f aca="false">IF(ISBLANK(E404),"Missing",IF(E404&lt;6,"0-6mo",IF(E404&lt;12,"6-12mo",IF(E404&lt;24,"12-24mo","24mo+"))))</f>
        <v>12-24mo</v>
      </c>
      <c r="T404" s="0" t="n">
        <f aca="false">IF(ISBLANK(C404),0,IF(C404="Month-to-month",2,IF(C404="One year",1,0)))+IF(ISBLANK(I404),0,IF(I404&lt;40,2,IF(I404&lt;55,1,0)))+IF(ISBLANK(M404),0,IF(M404=1,3,0))+IF(ISBLANK(L404),0,IF(L404&gt;=2,1,0))+IF(ISBLANK(E404),0,IF(E404&lt;12,1,0))</f>
        <v>4</v>
      </c>
      <c r="U404" s="0" t="str">
        <f aca="false">IF((ISBLANK(B404)*1+ISBLANK(C404)*1+ISBLANK(D404)*1+ISBLANK(E404)*1+ISBLANK(F404)*1+ISBLANK(I404)*1+ISBLANK(J404)*1+ISBLANK(K404)*1+ISBLANK(L404)*1+ISBLANK(M404)*1+ISBLANK(N404)*1+ISBLANK(O404)*1)&gt;0,"Missing Data","OK")</f>
        <v>OK</v>
      </c>
      <c r="V404" s="0" t="str">
        <f aca="false">IF(T404&gt;=6,"High Risk",IF(T404&gt;=3,"Medium Risk","Low Risk"))</f>
        <v>Medium Risk</v>
      </c>
    </row>
    <row r="405" customFormat="false" ht="12.8" hidden="false" customHeight="false" outlineLevel="0" collapsed="false">
      <c r="A405" s="1" t="s">
        <v>435</v>
      </c>
      <c r="B405" s="1" t="s">
        <v>23</v>
      </c>
      <c r="C405" s="1" t="s">
        <v>24</v>
      </c>
      <c r="D405" s="1" t="n">
        <v>20.67</v>
      </c>
      <c r="E405" s="1" t="n">
        <v>10</v>
      </c>
      <c r="F405" s="4" t="n">
        <v>44373</v>
      </c>
      <c r="G405" s="1" t="s">
        <v>39</v>
      </c>
      <c r="H405" s="1" t="n">
        <v>1</v>
      </c>
      <c r="I405" s="1" t="n">
        <v>45.9</v>
      </c>
      <c r="J405" s="1" t="n">
        <v>23</v>
      </c>
      <c r="K405" s="1" t="n">
        <v>5</v>
      </c>
      <c r="L405" s="1" t="n">
        <v>1</v>
      </c>
      <c r="M405" s="1" t="n">
        <v>1</v>
      </c>
      <c r="N405" s="1" t="n">
        <v>206.7</v>
      </c>
      <c r="O405" s="1" t="n">
        <v>0</v>
      </c>
      <c r="Q405" s="4" t="n">
        <v>44677</v>
      </c>
      <c r="R405" s="0" t="n">
        <f aca="false">IF(ISBLANK(F405),"Missing",IFERROR(YEAR(F405),"Missing"))</f>
        <v>2021</v>
      </c>
      <c r="S405" s="0" t="str">
        <f aca="false">IF(ISBLANK(E405),"Missing",IF(E405&lt;6,"0-6mo",IF(E405&lt;12,"6-12mo",IF(E405&lt;24,"12-24mo","24mo+"))))</f>
        <v>6-12mo</v>
      </c>
      <c r="T405" s="0" t="n">
        <f aca="false">IF(ISBLANK(C405),0,IF(C405="Month-to-month",2,IF(C405="One year",1,0)))+IF(ISBLANK(I405),0,IF(I405&lt;40,2,IF(I405&lt;55,1,0)))+IF(ISBLANK(M405),0,IF(M405=1,3,0))+IF(ISBLANK(L405),0,IF(L405&gt;=2,1,0))+IF(ISBLANK(E405),0,IF(E405&lt;12,1,0))</f>
        <v>7</v>
      </c>
      <c r="U405" s="0" t="str">
        <f aca="false">IF((ISBLANK(B405)*1+ISBLANK(C405)*1+ISBLANK(D405)*1+ISBLANK(E405)*1+ISBLANK(F405)*1+ISBLANK(I405)*1+ISBLANK(J405)*1+ISBLANK(K405)*1+ISBLANK(L405)*1+ISBLANK(M405)*1+ISBLANK(N405)*1+ISBLANK(O405)*1)&gt;0,"Missing Data","OK")</f>
        <v>OK</v>
      </c>
      <c r="V405" s="0" t="str">
        <f aca="false">IF(T405&gt;=6,"High Risk",IF(T405&gt;=3,"Medium Risk","Low Risk"))</f>
        <v>High Risk</v>
      </c>
    </row>
    <row r="406" customFormat="false" ht="12.8" hidden="false" customHeight="false" outlineLevel="0" collapsed="false">
      <c r="A406" s="1" t="s">
        <v>436</v>
      </c>
      <c r="B406" s="1" t="s">
        <v>36</v>
      </c>
      <c r="C406" s="1" t="s">
        <v>24</v>
      </c>
      <c r="D406" s="1" t="n">
        <v>9.98</v>
      </c>
      <c r="E406" s="1" t="n">
        <v>33</v>
      </c>
      <c r="F406" s="4" t="n">
        <v>44374</v>
      </c>
      <c r="G406" s="1" t="s">
        <v>27</v>
      </c>
      <c r="H406" s="1" t="n">
        <v>1</v>
      </c>
      <c r="I406" s="1" t="n">
        <v>17.3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329.34</v>
      </c>
      <c r="O406" s="1" t="n">
        <v>1</v>
      </c>
      <c r="P406" s="4" t="n">
        <v>45378</v>
      </c>
      <c r="Q406" s="4" t="n">
        <v>45378</v>
      </c>
      <c r="R406" s="0" t="n">
        <f aca="false">IF(ISBLANK(F406),"Missing",IFERROR(YEAR(F406),"Missing"))</f>
        <v>2021</v>
      </c>
      <c r="S406" s="0" t="str">
        <f aca="false">IF(ISBLANK(E406),"Missing",IF(E406&lt;6,"0-6mo",IF(E406&lt;12,"6-12mo",IF(E406&lt;24,"12-24mo","24mo+"))))</f>
        <v>24mo+</v>
      </c>
      <c r="T406" s="0" t="n">
        <f aca="false">IF(ISBLANK(C406),0,IF(C406="Month-to-month",2,IF(C406="One year",1,0)))+IF(ISBLANK(I406),0,IF(I406&lt;40,2,IF(I406&lt;55,1,0)))+IF(ISBLANK(M406),0,IF(M406=1,3,0))+IF(ISBLANK(L406),0,IF(L406&gt;=2,1,0))+IF(ISBLANK(E406),0,IF(E406&lt;12,1,0))</f>
        <v>4</v>
      </c>
      <c r="U406" s="0" t="str">
        <f aca="false">IF((ISBLANK(B406)*1+ISBLANK(C406)*1+ISBLANK(D406)*1+ISBLANK(E406)*1+ISBLANK(F406)*1+ISBLANK(I406)*1+ISBLANK(J406)*1+ISBLANK(K406)*1+ISBLANK(L406)*1+ISBLANK(M406)*1+ISBLANK(N406)*1+ISBLANK(O406)*1)&gt;0,"Missing Data","OK")</f>
        <v>OK</v>
      </c>
      <c r="V406" s="0" t="str">
        <f aca="false">IF(T406&gt;=6,"High Risk",IF(T406&gt;=3,"Medium Risk","Low Risk"))</f>
        <v>Medium Risk</v>
      </c>
    </row>
    <row r="407" customFormat="false" ht="12.8" hidden="false" customHeight="false" outlineLevel="0" collapsed="false">
      <c r="A407" s="1" t="s">
        <v>437</v>
      </c>
      <c r="B407" s="1" t="s">
        <v>23</v>
      </c>
      <c r="C407" s="1" t="s">
        <v>24</v>
      </c>
      <c r="D407" s="1" t="n">
        <v>19.15</v>
      </c>
      <c r="E407" s="1" t="n">
        <v>5</v>
      </c>
      <c r="F407" s="4" t="n">
        <v>44376</v>
      </c>
      <c r="G407" s="1" t="s">
        <v>25</v>
      </c>
      <c r="H407" s="1" t="n">
        <v>1</v>
      </c>
      <c r="I407" s="1" t="n">
        <v>55.3</v>
      </c>
      <c r="J407" s="1" t="n">
        <v>21</v>
      </c>
      <c r="K407" s="1" t="n">
        <v>3</v>
      </c>
      <c r="L407" s="1" t="n">
        <v>2</v>
      </c>
      <c r="M407" s="1" t="n">
        <v>0</v>
      </c>
      <c r="N407" s="1" t="n">
        <v>95.75</v>
      </c>
      <c r="O407" s="1" t="n">
        <v>0</v>
      </c>
      <c r="Q407" s="4" t="n">
        <v>44528</v>
      </c>
      <c r="R407" s="0" t="n">
        <f aca="false">IF(ISBLANK(F407),"Missing",IFERROR(YEAR(F407),"Missing"))</f>
        <v>2021</v>
      </c>
      <c r="S407" s="0" t="str">
        <f aca="false">IF(ISBLANK(E407),"Missing",IF(E407&lt;6,"0-6mo",IF(E407&lt;12,"6-12mo",IF(E407&lt;24,"12-24mo","24mo+"))))</f>
        <v>0-6mo</v>
      </c>
      <c r="T407" s="0" t="n">
        <f aca="false">IF(ISBLANK(C407),0,IF(C407="Month-to-month",2,IF(C407="One year",1,0)))+IF(ISBLANK(I407),0,IF(I407&lt;40,2,IF(I407&lt;55,1,0)))+IF(ISBLANK(M407),0,IF(M407=1,3,0))+IF(ISBLANK(L407),0,IF(L407&gt;=2,1,0))+IF(ISBLANK(E407),0,IF(E407&lt;12,1,0))</f>
        <v>4</v>
      </c>
      <c r="U407" s="0" t="str">
        <f aca="false">IF((ISBLANK(B407)*1+ISBLANK(C407)*1+ISBLANK(D407)*1+ISBLANK(E407)*1+ISBLANK(F407)*1+ISBLANK(I407)*1+ISBLANK(J407)*1+ISBLANK(K407)*1+ISBLANK(L407)*1+ISBLANK(M407)*1+ISBLANK(N407)*1+ISBLANK(O407)*1)&gt;0,"Missing Data","OK")</f>
        <v>OK</v>
      </c>
      <c r="V407" s="0" t="str">
        <f aca="false">IF(T407&gt;=6,"High Risk",IF(T407&gt;=3,"Medium Risk","Low Risk"))</f>
        <v>Medium Risk</v>
      </c>
    </row>
    <row r="408" customFormat="false" ht="12.8" hidden="false" customHeight="false" outlineLevel="0" collapsed="false">
      <c r="A408" s="1" t="s">
        <v>438</v>
      </c>
      <c r="B408" s="1" t="s">
        <v>36</v>
      </c>
      <c r="C408" s="1" t="s">
        <v>51</v>
      </c>
      <c r="D408" s="1" t="n">
        <v>9.43</v>
      </c>
      <c r="E408" s="1" t="n">
        <v>10</v>
      </c>
      <c r="F408" s="4" t="n">
        <v>44378</v>
      </c>
      <c r="G408" s="1" t="s">
        <v>30</v>
      </c>
      <c r="H408" s="1" t="n">
        <v>1</v>
      </c>
      <c r="I408" s="1" t="n">
        <v>85.8</v>
      </c>
      <c r="J408" s="1" t="n">
        <v>31</v>
      </c>
      <c r="K408" s="1" t="n">
        <v>6</v>
      </c>
      <c r="L408" s="1" t="n">
        <v>1</v>
      </c>
      <c r="M408" s="1" t="n">
        <v>0</v>
      </c>
      <c r="N408" s="1" t="n">
        <v>94.3</v>
      </c>
      <c r="O408" s="1" t="n">
        <v>0</v>
      </c>
      <c r="Q408" s="4" t="n">
        <v>44682</v>
      </c>
      <c r="R408" s="0" t="n">
        <f aca="false">IF(ISBLANK(F408),"Missing",IFERROR(YEAR(F408),"Missing"))</f>
        <v>2021</v>
      </c>
      <c r="S408" s="0" t="str">
        <f aca="false">IF(ISBLANK(E408),"Missing",IF(E408&lt;6,"0-6mo",IF(E408&lt;12,"6-12mo",IF(E408&lt;24,"12-24mo","24mo+"))))</f>
        <v>6-12mo</v>
      </c>
      <c r="T408" s="0" t="n">
        <f aca="false">IF(ISBLANK(C408),0,IF(C408="Month-to-month",2,IF(C408="One year",1,0)))+IF(ISBLANK(I408),0,IF(I408&lt;40,2,IF(I408&lt;55,1,0)))+IF(ISBLANK(M408),0,IF(M408=1,3,0))+IF(ISBLANK(L408),0,IF(L408&gt;=2,1,0))+IF(ISBLANK(E408),0,IF(E408&lt;12,1,0))</f>
        <v>1</v>
      </c>
      <c r="U408" s="0" t="str">
        <f aca="false">IF((ISBLANK(B408)*1+ISBLANK(C408)*1+ISBLANK(D408)*1+ISBLANK(E408)*1+ISBLANK(F408)*1+ISBLANK(I408)*1+ISBLANK(J408)*1+ISBLANK(K408)*1+ISBLANK(L408)*1+ISBLANK(M408)*1+ISBLANK(N408)*1+ISBLANK(O408)*1)&gt;0,"Missing Data","OK")</f>
        <v>OK</v>
      </c>
      <c r="V408" s="0" t="str">
        <f aca="false">IF(T408&gt;=6,"High Risk",IF(T408&gt;=3,"Medium Risk","Low Risk"))</f>
        <v>Low Risk</v>
      </c>
    </row>
    <row r="409" customFormat="false" ht="12.8" hidden="false" customHeight="false" outlineLevel="0" collapsed="false">
      <c r="A409" s="1" t="s">
        <v>439</v>
      </c>
      <c r="B409" s="1" t="s">
        <v>36</v>
      </c>
      <c r="C409" s="1" t="s">
        <v>24</v>
      </c>
      <c r="D409" s="1" t="n">
        <v>11.21</v>
      </c>
      <c r="E409" s="1" t="n">
        <v>72</v>
      </c>
      <c r="F409" s="4" t="n">
        <v>44381</v>
      </c>
      <c r="G409" s="1" t="s">
        <v>30</v>
      </c>
      <c r="H409" s="1" t="n">
        <v>1</v>
      </c>
      <c r="I409" s="1" t="n">
        <v>51.2</v>
      </c>
      <c r="J409" s="1" t="n">
        <v>23</v>
      </c>
      <c r="K409" s="1" t="n">
        <v>5</v>
      </c>
      <c r="L409" s="1" t="n">
        <v>0</v>
      </c>
      <c r="M409" s="1" t="n">
        <v>0</v>
      </c>
      <c r="N409" s="1" t="n">
        <v>807.12</v>
      </c>
      <c r="O409" s="1" t="n">
        <v>0</v>
      </c>
      <c r="Q409" s="4" t="n">
        <v>46293</v>
      </c>
      <c r="R409" s="0" t="n">
        <f aca="false">IF(ISBLANK(F409),"Missing",IFERROR(YEAR(F409),"Missing"))</f>
        <v>2021</v>
      </c>
      <c r="S409" s="0" t="str">
        <f aca="false">IF(ISBLANK(E409),"Missing",IF(E409&lt;6,"0-6mo",IF(E409&lt;12,"6-12mo",IF(E409&lt;24,"12-24mo","24mo+"))))</f>
        <v>24mo+</v>
      </c>
      <c r="T409" s="0" t="n">
        <f aca="false">IF(ISBLANK(C409),0,IF(C409="Month-to-month",2,IF(C409="One year",1,0)))+IF(ISBLANK(I409),0,IF(I409&lt;40,2,IF(I409&lt;55,1,0)))+IF(ISBLANK(M409),0,IF(M409=1,3,0))+IF(ISBLANK(L409),0,IF(L409&gt;=2,1,0))+IF(ISBLANK(E409),0,IF(E409&lt;12,1,0))</f>
        <v>3</v>
      </c>
      <c r="U409" s="0" t="str">
        <f aca="false">IF((ISBLANK(B409)*1+ISBLANK(C409)*1+ISBLANK(D409)*1+ISBLANK(E409)*1+ISBLANK(F409)*1+ISBLANK(I409)*1+ISBLANK(J409)*1+ISBLANK(K409)*1+ISBLANK(L409)*1+ISBLANK(M409)*1+ISBLANK(N409)*1+ISBLANK(O409)*1)&gt;0,"Missing Data","OK")</f>
        <v>OK</v>
      </c>
      <c r="V409" s="0" t="str">
        <f aca="false">IF(T409&gt;=6,"High Risk",IF(T409&gt;=3,"Medium Risk","Low Risk"))</f>
        <v>Medium Risk</v>
      </c>
    </row>
    <row r="410" customFormat="false" ht="12.8" hidden="false" customHeight="false" outlineLevel="0" collapsed="false">
      <c r="A410" s="1" t="s">
        <v>440</v>
      </c>
      <c r="B410" s="1" t="s">
        <v>23</v>
      </c>
      <c r="C410" s="1" t="s">
        <v>24</v>
      </c>
      <c r="D410" s="1" t="n">
        <v>19.25</v>
      </c>
      <c r="E410" s="1" t="n">
        <v>6</v>
      </c>
      <c r="F410" s="4" t="n">
        <v>44381</v>
      </c>
      <c r="G410" s="1" t="s">
        <v>25</v>
      </c>
      <c r="H410" s="1" t="n">
        <v>1</v>
      </c>
      <c r="I410" s="1" t="n">
        <v>39.3</v>
      </c>
      <c r="J410" s="1" t="n">
        <v>14</v>
      </c>
      <c r="K410" s="1" t="n">
        <v>7</v>
      </c>
      <c r="L410" s="1" t="n">
        <v>1</v>
      </c>
      <c r="M410" s="1" t="n">
        <v>0</v>
      </c>
      <c r="N410" s="1" t="n">
        <v>115.5</v>
      </c>
      <c r="O410" s="1" t="n">
        <v>0</v>
      </c>
      <c r="Q410" s="4" t="n">
        <v>44563</v>
      </c>
      <c r="R410" s="0" t="n">
        <f aca="false">IF(ISBLANK(F410),"Missing",IFERROR(YEAR(F410),"Missing"))</f>
        <v>2021</v>
      </c>
      <c r="S410" s="0" t="str">
        <f aca="false">IF(ISBLANK(E410),"Missing",IF(E410&lt;6,"0-6mo",IF(E410&lt;12,"6-12mo",IF(E410&lt;24,"12-24mo","24mo+"))))</f>
        <v>6-12mo</v>
      </c>
      <c r="T410" s="0" t="n">
        <f aca="false">IF(ISBLANK(C410),0,IF(C410="Month-to-month",2,IF(C410="One year",1,0)))+IF(ISBLANK(I410),0,IF(I410&lt;40,2,IF(I410&lt;55,1,0)))+IF(ISBLANK(M410),0,IF(M410=1,3,0))+IF(ISBLANK(L410),0,IF(L410&gt;=2,1,0))+IF(ISBLANK(E410),0,IF(E410&lt;12,1,0))</f>
        <v>5</v>
      </c>
      <c r="U410" s="0" t="str">
        <f aca="false">IF((ISBLANK(B410)*1+ISBLANK(C410)*1+ISBLANK(D410)*1+ISBLANK(E410)*1+ISBLANK(F410)*1+ISBLANK(I410)*1+ISBLANK(J410)*1+ISBLANK(K410)*1+ISBLANK(L410)*1+ISBLANK(M410)*1+ISBLANK(N410)*1+ISBLANK(O410)*1)&gt;0,"Missing Data","OK")</f>
        <v>OK</v>
      </c>
      <c r="V410" s="0" t="str">
        <f aca="false">IF(T410&gt;=6,"High Risk",IF(T410&gt;=3,"Medium Risk","Low Risk"))</f>
        <v>Medium Risk</v>
      </c>
    </row>
    <row r="411" customFormat="false" ht="12.8" hidden="false" customHeight="false" outlineLevel="0" collapsed="false">
      <c r="A411" s="1" t="s">
        <v>441</v>
      </c>
      <c r="B411" s="1" t="s">
        <v>23</v>
      </c>
      <c r="C411" s="1" t="s">
        <v>51</v>
      </c>
      <c r="D411" s="1" t="n">
        <v>20.91</v>
      </c>
      <c r="E411" s="1" t="n">
        <v>42</v>
      </c>
      <c r="F411" s="4" t="n">
        <v>44381</v>
      </c>
      <c r="G411" s="1" t="s">
        <v>39</v>
      </c>
      <c r="H411" s="1" t="n">
        <v>1</v>
      </c>
      <c r="I411" s="1" t="n">
        <v>68.8</v>
      </c>
      <c r="J411" s="1" t="n">
        <v>23</v>
      </c>
      <c r="K411" s="1" t="n">
        <v>9</v>
      </c>
      <c r="L411" s="1" t="n">
        <v>1</v>
      </c>
      <c r="M411" s="1" t="n">
        <v>0</v>
      </c>
      <c r="N411" s="1" t="n">
        <v>878.22</v>
      </c>
      <c r="O411" s="1" t="n">
        <v>0</v>
      </c>
      <c r="Q411" s="4" t="n">
        <v>45659</v>
      </c>
      <c r="R411" s="0" t="n">
        <f aca="false">IF(ISBLANK(F411),"Missing",IFERROR(YEAR(F411),"Missing"))</f>
        <v>2021</v>
      </c>
      <c r="S411" s="0" t="str">
        <f aca="false">IF(ISBLANK(E411),"Missing",IF(E411&lt;6,"0-6mo",IF(E411&lt;12,"6-12mo",IF(E411&lt;24,"12-24mo","24mo+"))))</f>
        <v>24mo+</v>
      </c>
      <c r="T411" s="0" t="n">
        <f aca="false">IF(ISBLANK(C411),0,IF(C411="Month-to-month",2,IF(C411="One year",1,0)))+IF(ISBLANK(I411),0,IF(I411&lt;40,2,IF(I411&lt;55,1,0)))+IF(ISBLANK(M411),0,IF(M411=1,3,0))+IF(ISBLANK(L411),0,IF(L411&gt;=2,1,0))+IF(ISBLANK(E411),0,IF(E411&lt;12,1,0))</f>
        <v>0</v>
      </c>
      <c r="U411" s="0" t="str">
        <f aca="false">IF((ISBLANK(B411)*1+ISBLANK(C411)*1+ISBLANK(D411)*1+ISBLANK(E411)*1+ISBLANK(F411)*1+ISBLANK(I411)*1+ISBLANK(J411)*1+ISBLANK(K411)*1+ISBLANK(L411)*1+ISBLANK(M411)*1+ISBLANK(N411)*1+ISBLANK(O411)*1)&gt;0,"Missing Data","OK")</f>
        <v>OK</v>
      </c>
      <c r="V411" s="0" t="str">
        <f aca="false">IF(T411&gt;=6,"High Risk",IF(T411&gt;=3,"Medium Risk","Low Risk"))</f>
        <v>Low Risk</v>
      </c>
    </row>
    <row r="412" customFormat="false" ht="12.8" hidden="false" customHeight="false" outlineLevel="0" collapsed="false">
      <c r="A412" s="1" t="s">
        <v>442</v>
      </c>
      <c r="B412" s="1" t="s">
        <v>23</v>
      </c>
      <c r="C412" s="1" t="s">
        <v>24</v>
      </c>
      <c r="D412" s="1" t="n">
        <v>19.37</v>
      </c>
      <c r="E412" s="1" t="n">
        <v>31</v>
      </c>
      <c r="F412" s="4" t="n">
        <v>44382</v>
      </c>
      <c r="G412" s="1" t="s">
        <v>30</v>
      </c>
      <c r="H412" s="1" t="n">
        <v>1</v>
      </c>
      <c r="I412" s="1" t="n">
        <v>38.3</v>
      </c>
      <c r="J412" s="1" t="n">
        <v>12</v>
      </c>
      <c r="K412" s="1" t="n">
        <v>4</v>
      </c>
      <c r="L412" s="1" t="n">
        <v>0</v>
      </c>
      <c r="M412" s="1" t="n">
        <v>0</v>
      </c>
      <c r="N412" s="1" t="n">
        <v>600.47</v>
      </c>
      <c r="O412" s="1" t="n">
        <v>0</v>
      </c>
      <c r="Q412" s="4" t="n">
        <v>45325</v>
      </c>
      <c r="R412" s="0" t="n">
        <f aca="false">IF(ISBLANK(F412),"Missing",IFERROR(YEAR(F412),"Missing"))</f>
        <v>2021</v>
      </c>
      <c r="S412" s="0" t="str">
        <f aca="false">IF(ISBLANK(E412),"Missing",IF(E412&lt;6,"0-6mo",IF(E412&lt;12,"6-12mo",IF(E412&lt;24,"12-24mo","24mo+"))))</f>
        <v>24mo+</v>
      </c>
      <c r="T412" s="0" t="n">
        <f aca="false">IF(ISBLANK(C412),0,IF(C412="Month-to-month",2,IF(C412="One year",1,0)))+IF(ISBLANK(I412),0,IF(I412&lt;40,2,IF(I412&lt;55,1,0)))+IF(ISBLANK(M412),0,IF(M412=1,3,0))+IF(ISBLANK(L412),0,IF(L412&gt;=2,1,0))+IF(ISBLANK(E412),0,IF(E412&lt;12,1,0))</f>
        <v>4</v>
      </c>
      <c r="U412" s="0" t="str">
        <f aca="false">IF((ISBLANK(B412)*1+ISBLANK(C412)*1+ISBLANK(D412)*1+ISBLANK(E412)*1+ISBLANK(F412)*1+ISBLANK(I412)*1+ISBLANK(J412)*1+ISBLANK(K412)*1+ISBLANK(L412)*1+ISBLANK(M412)*1+ISBLANK(N412)*1+ISBLANK(O412)*1)&gt;0,"Missing Data","OK")</f>
        <v>OK</v>
      </c>
      <c r="V412" s="0" t="str">
        <f aca="false">IF(T412&gt;=6,"High Risk",IF(T412&gt;=3,"Medium Risk","Low Risk"))</f>
        <v>Medium Risk</v>
      </c>
    </row>
    <row r="413" customFormat="false" ht="12.8" hidden="false" customHeight="false" outlineLevel="0" collapsed="false">
      <c r="A413" s="1" t="s">
        <v>443</v>
      </c>
      <c r="B413" s="1" t="s">
        <v>36</v>
      </c>
      <c r="C413" s="1" t="s">
        <v>34</v>
      </c>
      <c r="D413" s="1" t="n">
        <v>9.02</v>
      </c>
      <c r="E413" s="1" t="n">
        <v>6</v>
      </c>
      <c r="F413" s="4" t="n">
        <v>44383</v>
      </c>
      <c r="G413" s="1" t="s">
        <v>30</v>
      </c>
      <c r="H413" s="1" t="n">
        <v>1</v>
      </c>
      <c r="I413" s="1" t="n">
        <v>36.3</v>
      </c>
      <c r="J413" s="1" t="n">
        <v>13</v>
      </c>
      <c r="K413" s="1" t="n">
        <v>2</v>
      </c>
      <c r="L413" s="1" t="n">
        <v>1</v>
      </c>
      <c r="M413" s="1" t="n">
        <v>0</v>
      </c>
      <c r="N413" s="1" t="n">
        <v>54.12</v>
      </c>
      <c r="O413" s="1" t="n">
        <v>0</v>
      </c>
      <c r="Q413" s="4" t="n">
        <v>44565</v>
      </c>
      <c r="R413" s="0" t="n">
        <f aca="false">IF(ISBLANK(F413),"Missing",IFERROR(YEAR(F413),"Missing"))</f>
        <v>2021</v>
      </c>
      <c r="S413" s="0" t="str">
        <f aca="false">IF(ISBLANK(E413),"Missing",IF(E413&lt;6,"0-6mo",IF(E413&lt;12,"6-12mo",IF(E413&lt;24,"12-24mo","24mo+"))))</f>
        <v>6-12mo</v>
      </c>
      <c r="T413" s="0" t="n">
        <f aca="false">IF(ISBLANK(C413),0,IF(C413="Month-to-month",2,IF(C413="One year",1,0)))+IF(ISBLANK(I413),0,IF(I413&lt;40,2,IF(I413&lt;55,1,0)))+IF(ISBLANK(M413),0,IF(M413=1,3,0))+IF(ISBLANK(L413),0,IF(L413&gt;=2,1,0))+IF(ISBLANK(E413),0,IF(E413&lt;12,1,0))</f>
        <v>4</v>
      </c>
      <c r="U413" s="0" t="str">
        <f aca="false">IF((ISBLANK(B413)*1+ISBLANK(C413)*1+ISBLANK(D413)*1+ISBLANK(E413)*1+ISBLANK(F413)*1+ISBLANK(I413)*1+ISBLANK(J413)*1+ISBLANK(K413)*1+ISBLANK(L413)*1+ISBLANK(M413)*1+ISBLANK(N413)*1+ISBLANK(O413)*1)&gt;0,"Missing Data","OK")</f>
        <v>OK</v>
      </c>
      <c r="V413" s="0" t="str">
        <f aca="false">IF(T413&gt;=6,"High Risk",IF(T413&gt;=3,"Medium Risk","Low Risk"))</f>
        <v>Medium Risk</v>
      </c>
    </row>
    <row r="414" customFormat="false" ht="12.8" hidden="false" customHeight="false" outlineLevel="0" collapsed="false">
      <c r="A414" s="1" t="s">
        <v>444</v>
      </c>
      <c r="B414" s="1" t="s">
        <v>23</v>
      </c>
      <c r="C414" s="1" t="s">
        <v>24</v>
      </c>
      <c r="D414" s="1" t="n">
        <v>20.01</v>
      </c>
      <c r="E414" s="1" t="n">
        <v>10</v>
      </c>
      <c r="F414" s="4" t="n">
        <v>44384</v>
      </c>
      <c r="G414" s="1" t="s">
        <v>25</v>
      </c>
      <c r="H414" s="1" t="n">
        <v>0</v>
      </c>
      <c r="I414" s="1" t="n">
        <v>60.6</v>
      </c>
      <c r="J414" s="1" t="n">
        <v>17</v>
      </c>
      <c r="K414" s="1" t="n">
        <v>6</v>
      </c>
      <c r="L414" s="1" t="n">
        <v>3</v>
      </c>
      <c r="M414" s="1" t="n">
        <v>0</v>
      </c>
      <c r="N414" s="1" t="n">
        <v>200.1</v>
      </c>
      <c r="O414" s="1" t="n">
        <v>1</v>
      </c>
      <c r="P414" s="4" t="n">
        <v>44688</v>
      </c>
      <c r="Q414" s="4" t="n">
        <v>44688</v>
      </c>
      <c r="R414" s="0" t="n">
        <f aca="false">IF(ISBLANK(F414),"Missing",IFERROR(YEAR(F414),"Missing"))</f>
        <v>2021</v>
      </c>
      <c r="S414" s="0" t="str">
        <f aca="false">IF(ISBLANK(E414),"Missing",IF(E414&lt;6,"0-6mo",IF(E414&lt;12,"6-12mo",IF(E414&lt;24,"12-24mo","24mo+"))))</f>
        <v>6-12mo</v>
      </c>
      <c r="T414" s="0" t="n">
        <f aca="false">IF(ISBLANK(C414),0,IF(C414="Month-to-month",2,IF(C414="One year",1,0)))+IF(ISBLANK(I414),0,IF(I414&lt;40,2,IF(I414&lt;55,1,0)))+IF(ISBLANK(M414),0,IF(M414=1,3,0))+IF(ISBLANK(L414),0,IF(L414&gt;=2,1,0))+IF(ISBLANK(E414),0,IF(E414&lt;12,1,0))</f>
        <v>4</v>
      </c>
      <c r="U414" s="0" t="str">
        <f aca="false">IF((ISBLANK(B414)*1+ISBLANK(C414)*1+ISBLANK(D414)*1+ISBLANK(E414)*1+ISBLANK(F414)*1+ISBLANK(I414)*1+ISBLANK(J414)*1+ISBLANK(K414)*1+ISBLANK(L414)*1+ISBLANK(M414)*1+ISBLANK(N414)*1+ISBLANK(O414)*1)&gt;0,"Missing Data","OK")</f>
        <v>OK</v>
      </c>
      <c r="V414" s="0" t="str">
        <f aca="false">IF(T414&gt;=6,"High Risk",IF(T414&gt;=3,"Medium Risk","Low Risk"))</f>
        <v>Medium Risk</v>
      </c>
    </row>
    <row r="415" customFormat="false" ht="12.8" hidden="false" customHeight="false" outlineLevel="0" collapsed="false">
      <c r="A415" s="1" t="s">
        <v>445</v>
      </c>
      <c r="B415" s="1" t="s">
        <v>23</v>
      </c>
      <c r="C415" s="1" t="s">
        <v>51</v>
      </c>
      <c r="D415" s="1" t="n">
        <v>19.8</v>
      </c>
      <c r="E415" s="1" t="n">
        <v>69</v>
      </c>
      <c r="F415" s="4" t="n">
        <v>44385</v>
      </c>
      <c r="G415" s="1" t="s">
        <v>25</v>
      </c>
      <c r="H415" s="1" t="n">
        <v>0</v>
      </c>
      <c r="I415" s="1" t="n">
        <v>81.9</v>
      </c>
      <c r="J415" s="1" t="n">
        <v>22</v>
      </c>
      <c r="K415" s="1" t="n">
        <v>7</v>
      </c>
      <c r="L415" s="1" t="n">
        <v>1</v>
      </c>
      <c r="M415" s="1" t="n">
        <v>1</v>
      </c>
      <c r="N415" s="1" t="n">
        <v>1366.2</v>
      </c>
      <c r="O415" s="1" t="n">
        <v>0</v>
      </c>
      <c r="Q415" s="4" t="n">
        <v>46293</v>
      </c>
      <c r="R415" s="0" t="n">
        <f aca="false">IF(ISBLANK(F415),"Missing",IFERROR(YEAR(F415),"Missing"))</f>
        <v>2021</v>
      </c>
      <c r="S415" s="0" t="str">
        <f aca="false">IF(ISBLANK(E415),"Missing",IF(E415&lt;6,"0-6mo",IF(E415&lt;12,"6-12mo",IF(E415&lt;24,"12-24mo","24mo+"))))</f>
        <v>24mo+</v>
      </c>
      <c r="T415" s="0" t="n">
        <f aca="false">IF(ISBLANK(C415),0,IF(C415="Month-to-month",2,IF(C415="One year",1,0)))+IF(ISBLANK(I415),0,IF(I415&lt;40,2,IF(I415&lt;55,1,0)))+IF(ISBLANK(M415),0,IF(M415=1,3,0))+IF(ISBLANK(L415),0,IF(L415&gt;=2,1,0))+IF(ISBLANK(E415),0,IF(E415&lt;12,1,0))</f>
        <v>3</v>
      </c>
      <c r="U415" s="0" t="str">
        <f aca="false">IF((ISBLANK(B415)*1+ISBLANK(C415)*1+ISBLANK(D415)*1+ISBLANK(E415)*1+ISBLANK(F415)*1+ISBLANK(I415)*1+ISBLANK(J415)*1+ISBLANK(K415)*1+ISBLANK(L415)*1+ISBLANK(M415)*1+ISBLANK(N415)*1+ISBLANK(O415)*1)&gt;0,"Missing Data","OK")</f>
        <v>OK</v>
      </c>
      <c r="V415" s="0" t="str">
        <f aca="false">IF(T415&gt;=6,"High Risk",IF(T415&gt;=3,"Medium Risk","Low Risk"))</f>
        <v>Medium Risk</v>
      </c>
    </row>
    <row r="416" customFormat="false" ht="12.8" hidden="false" customHeight="false" outlineLevel="0" collapsed="false">
      <c r="A416" s="1" t="s">
        <v>446</v>
      </c>
      <c r="B416" s="1" t="s">
        <v>23</v>
      </c>
      <c r="C416" s="1" t="s">
        <v>34</v>
      </c>
      <c r="D416" s="1" t="n">
        <v>20.81</v>
      </c>
      <c r="E416" s="1" t="n">
        <v>23</v>
      </c>
      <c r="F416" s="4" t="n">
        <v>44386</v>
      </c>
      <c r="G416" s="1" t="s">
        <v>25</v>
      </c>
      <c r="H416" s="1" t="n">
        <v>0</v>
      </c>
      <c r="I416" s="1" t="n">
        <v>45.8</v>
      </c>
      <c r="J416" s="1" t="n">
        <v>15</v>
      </c>
      <c r="K416" s="1" t="n">
        <v>5</v>
      </c>
      <c r="L416" s="1" t="n">
        <v>6</v>
      </c>
      <c r="M416" s="1" t="n">
        <v>1</v>
      </c>
      <c r="N416" s="1" t="n">
        <v>478.63</v>
      </c>
      <c r="O416" s="1" t="n">
        <v>0</v>
      </c>
      <c r="Q416" s="4" t="n">
        <v>45086</v>
      </c>
      <c r="R416" s="0" t="n">
        <f aca="false">IF(ISBLANK(F416),"Missing",IFERROR(YEAR(F416),"Missing"))</f>
        <v>2021</v>
      </c>
      <c r="S416" s="0" t="str">
        <f aca="false">IF(ISBLANK(E416),"Missing",IF(E416&lt;6,"0-6mo",IF(E416&lt;12,"6-12mo",IF(E416&lt;24,"12-24mo","24mo+"))))</f>
        <v>12-24mo</v>
      </c>
      <c r="T416" s="0" t="n">
        <f aca="false">IF(ISBLANK(C416),0,IF(C416="Month-to-month",2,IF(C416="One year",1,0)))+IF(ISBLANK(I416),0,IF(I416&lt;40,2,IF(I416&lt;55,1,0)))+IF(ISBLANK(M416),0,IF(M416=1,3,0))+IF(ISBLANK(L416),0,IF(L416&gt;=2,1,0))+IF(ISBLANK(E416),0,IF(E416&lt;12,1,0))</f>
        <v>6</v>
      </c>
      <c r="U416" s="0" t="str">
        <f aca="false">IF((ISBLANK(B416)*1+ISBLANK(C416)*1+ISBLANK(D416)*1+ISBLANK(E416)*1+ISBLANK(F416)*1+ISBLANK(I416)*1+ISBLANK(J416)*1+ISBLANK(K416)*1+ISBLANK(L416)*1+ISBLANK(M416)*1+ISBLANK(N416)*1+ISBLANK(O416)*1)&gt;0,"Missing Data","OK")</f>
        <v>OK</v>
      </c>
      <c r="V416" s="0" t="str">
        <f aca="false">IF(T416&gt;=6,"High Risk",IF(T416&gt;=3,"Medium Risk","Low Risk"))</f>
        <v>High Risk</v>
      </c>
    </row>
    <row r="417" customFormat="false" ht="12.8" hidden="false" customHeight="false" outlineLevel="0" collapsed="false">
      <c r="A417" s="1" t="s">
        <v>447</v>
      </c>
      <c r="B417" s="1" t="s">
        <v>36</v>
      </c>
      <c r="C417" s="1" t="s">
        <v>34</v>
      </c>
      <c r="D417" s="1" t="n">
        <v>9.76</v>
      </c>
      <c r="E417" s="1" t="n">
        <v>3</v>
      </c>
      <c r="F417" s="4" t="n">
        <v>44388</v>
      </c>
      <c r="G417" s="1" t="s">
        <v>27</v>
      </c>
      <c r="H417" s="1" t="n">
        <v>1</v>
      </c>
      <c r="I417" s="1" t="n">
        <v>31.4</v>
      </c>
      <c r="J417" s="1" t="n">
        <v>10</v>
      </c>
      <c r="K417" s="1" t="n">
        <v>2</v>
      </c>
      <c r="L417" s="1" t="n">
        <v>0</v>
      </c>
      <c r="M417" s="1" t="n">
        <v>0</v>
      </c>
      <c r="N417" s="1" t="n">
        <v>29.28</v>
      </c>
      <c r="O417" s="1" t="n">
        <v>0</v>
      </c>
      <c r="Q417" s="4" t="n">
        <v>44479</v>
      </c>
      <c r="R417" s="0" t="n">
        <f aca="false">IF(ISBLANK(F417),"Missing",IFERROR(YEAR(F417),"Missing"))</f>
        <v>2021</v>
      </c>
      <c r="S417" s="0" t="str">
        <f aca="false">IF(ISBLANK(E417),"Missing",IF(E417&lt;6,"0-6mo",IF(E417&lt;12,"6-12mo",IF(E417&lt;24,"12-24mo","24mo+"))))</f>
        <v>0-6mo</v>
      </c>
      <c r="T417" s="0" t="n">
        <f aca="false">IF(ISBLANK(C417),0,IF(C417="Month-to-month",2,IF(C417="One year",1,0)))+IF(ISBLANK(I417),0,IF(I417&lt;40,2,IF(I417&lt;55,1,0)))+IF(ISBLANK(M417),0,IF(M417=1,3,0))+IF(ISBLANK(L417),0,IF(L417&gt;=2,1,0))+IF(ISBLANK(E417),0,IF(E417&lt;12,1,0))</f>
        <v>4</v>
      </c>
      <c r="U417" s="0" t="str">
        <f aca="false">IF((ISBLANK(B417)*1+ISBLANK(C417)*1+ISBLANK(D417)*1+ISBLANK(E417)*1+ISBLANK(F417)*1+ISBLANK(I417)*1+ISBLANK(J417)*1+ISBLANK(K417)*1+ISBLANK(L417)*1+ISBLANK(M417)*1+ISBLANK(N417)*1+ISBLANK(O417)*1)&gt;0,"Missing Data","OK")</f>
        <v>OK</v>
      </c>
      <c r="V417" s="0" t="str">
        <f aca="false">IF(T417&gt;=6,"High Risk",IF(T417&gt;=3,"Medium Risk","Low Risk"))</f>
        <v>Medium Risk</v>
      </c>
    </row>
    <row r="418" customFormat="false" ht="12.8" hidden="false" customHeight="false" outlineLevel="0" collapsed="false">
      <c r="A418" s="1" t="s">
        <v>448</v>
      </c>
      <c r="B418" s="1" t="s">
        <v>29</v>
      </c>
      <c r="C418" s="1" t="s">
        <v>51</v>
      </c>
      <c r="D418" s="1" t="n">
        <v>41.8</v>
      </c>
      <c r="E418" s="1" t="n">
        <v>7</v>
      </c>
      <c r="F418" s="4" t="n">
        <v>44389</v>
      </c>
      <c r="G418" s="1" t="s">
        <v>30</v>
      </c>
      <c r="H418" s="1" t="n">
        <v>1</v>
      </c>
      <c r="I418" s="1" t="n">
        <v>65.7</v>
      </c>
      <c r="J418" s="1" t="n">
        <v>19</v>
      </c>
      <c r="K418" s="1" t="n">
        <v>5</v>
      </c>
      <c r="L418" s="1" t="n">
        <v>5</v>
      </c>
      <c r="M418" s="1" t="n">
        <v>0</v>
      </c>
      <c r="N418" s="1" t="n">
        <v>292.6</v>
      </c>
      <c r="O418" s="1" t="n">
        <v>0</v>
      </c>
      <c r="Q418" s="4" t="n">
        <v>44602</v>
      </c>
      <c r="R418" s="0" t="n">
        <f aca="false">IF(ISBLANK(F418),"Missing",IFERROR(YEAR(F418),"Missing"))</f>
        <v>2021</v>
      </c>
      <c r="S418" s="0" t="str">
        <f aca="false">IF(ISBLANK(E418),"Missing",IF(E418&lt;6,"0-6mo",IF(E418&lt;12,"6-12mo",IF(E418&lt;24,"12-24mo","24mo+"))))</f>
        <v>6-12mo</v>
      </c>
      <c r="T418" s="0" t="n">
        <f aca="false">IF(ISBLANK(C418),0,IF(C418="Month-to-month",2,IF(C418="One year",1,0)))+IF(ISBLANK(I418),0,IF(I418&lt;40,2,IF(I418&lt;55,1,0)))+IF(ISBLANK(M418),0,IF(M418=1,3,0))+IF(ISBLANK(L418),0,IF(L418&gt;=2,1,0))+IF(ISBLANK(E418),0,IF(E418&lt;12,1,0))</f>
        <v>2</v>
      </c>
      <c r="U418" s="0" t="str">
        <f aca="false">IF((ISBLANK(B418)*1+ISBLANK(C418)*1+ISBLANK(D418)*1+ISBLANK(E418)*1+ISBLANK(F418)*1+ISBLANK(I418)*1+ISBLANK(J418)*1+ISBLANK(K418)*1+ISBLANK(L418)*1+ISBLANK(M418)*1+ISBLANK(N418)*1+ISBLANK(O418)*1)&gt;0,"Missing Data","OK")</f>
        <v>OK</v>
      </c>
      <c r="V418" s="0" t="str">
        <f aca="false">IF(T418&gt;=6,"High Risk",IF(T418&gt;=3,"Medium Risk","Low Risk"))</f>
        <v>Low Risk</v>
      </c>
    </row>
    <row r="419" customFormat="false" ht="12.8" hidden="false" customHeight="false" outlineLevel="0" collapsed="false">
      <c r="A419" s="1" t="s">
        <v>449</v>
      </c>
      <c r="B419" s="1" t="s">
        <v>36</v>
      </c>
      <c r="C419" s="1" t="s">
        <v>24</v>
      </c>
      <c r="D419" s="1" t="n">
        <v>9.76</v>
      </c>
      <c r="E419" s="1" t="n">
        <v>9</v>
      </c>
      <c r="F419" s="4" t="n">
        <v>44390</v>
      </c>
      <c r="G419" s="1" t="s">
        <v>30</v>
      </c>
      <c r="H419" s="1" t="n">
        <v>1</v>
      </c>
      <c r="I419" s="1" t="n">
        <v>48.5</v>
      </c>
      <c r="J419" s="1" t="n">
        <v>9</v>
      </c>
      <c r="K419" s="1" t="n">
        <v>5</v>
      </c>
      <c r="L419" s="1" t="n">
        <v>3</v>
      </c>
      <c r="M419" s="1" t="n">
        <v>1</v>
      </c>
      <c r="N419" s="1" t="n">
        <v>87.84</v>
      </c>
      <c r="O419" s="1" t="n">
        <v>1</v>
      </c>
      <c r="P419" s="4" t="n">
        <v>44663</v>
      </c>
      <c r="Q419" s="4" t="n">
        <v>44663</v>
      </c>
      <c r="R419" s="0" t="n">
        <f aca="false">IF(ISBLANK(F419),"Missing",IFERROR(YEAR(F419),"Missing"))</f>
        <v>2021</v>
      </c>
      <c r="S419" s="0" t="str">
        <f aca="false">IF(ISBLANK(E419),"Missing",IF(E419&lt;6,"0-6mo",IF(E419&lt;12,"6-12mo",IF(E419&lt;24,"12-24mo","24mo+"))))</f>
        <v>6-12mo</v>
      </c>
      <c r="T419" s="0" t="n">
        <f aca="false">IF(ISBLANK(C419),0,IF(C419="Month-to-month",2,IF(C419="One year",1,0)))+IF(ISBLANK(I419),0,IF(I419&lt;40,2,IF(I419&lt;55,1,0)))+IF(ISBLANK(M419),0,IF(M419=1,3,0))+IF(ISBLANK(L419),0,IF(L419&gt;=2,1,0))+IF(ISBLANK(E419),0,IF(E419&lt;12,1,0))</f>
        <v>8</v>
      </c>
      <c r="U419" s="0" t="str">
        <f aca="false">IF((ISBLANK(B419)*1+ISBLANK(C419)*1+ISBLANK(D419)*1+ISBLANK(E419)*1+ISBLANK(F419)*1+ISBLANK(I419)*1+ISBLANK(J419)*1+ISBLANK(K419)*1+ISBLANK(L419)*1+ISBLANK(M419)*1+ISBLANK(N419)*1+ISBLANK(O419)*1)&gt;0,"Missing Data","OK")</f>
        <v>OK</v>
      </c>
      <c r="V419" s="0" t="str">
        <f aca="false">IF(T419&gt;=6,"High Risk",IF(T419&gt;=3,"Medium Risk","Low Risk"))</f>
        <v>High Risk</v>
      </c>
    </row>
    <row r="420" customFormat="false" ht="12.8" hidden="false" customHeight="false" outlineLevel="0" collapsed="false">
      <c r="A420" s="1" t="s">
        <v>450</v>
      </c>
      <c r="B420" s="1" t="s">
        <v>36</v>
      </c>
      <c r="C420" s="1" t="s">
        <v>24</v>
      </c>
      <c r="D420" s="1" t="n">
        <v>9.21</v>
      </c>
      <c r="E420" s="1" t="n">
        <v>16</v>
      </c>
      <c r="F420" s="4" t="n">
        <v>44391</v>
      </c>
      <c r="G420" s="1" t="s">
        <v>39</v>
      </c>
      <c r="H420" s="1" t="n">
        <v>0</v>
      </c>
      <c r="I420" s="1" t="n">
        <v>73</v>
      </c>
      <c r="J420" s="1" t="n">
        <v>22</v>
      </c>
      <c r="K420" s="1" t="n">
        <v>6</v>
      </c>
      <c r="L420" s="1" t="n">
        <v>2</v>
      </c>
      <c r="M420" s="1" t="n">
        <v>1</v>
      </c>
      <c r="N420" s="1" t="n">
        <v>147.36</v>
      </c>
      <c r="O420" s="1" t="n">
        <v>0</v>
      </c>
      <c r="Q420" s="4" t="n">
        <v>44878</v>
      </c>
      <c r="R420" s="0" t="n">
        <f aca="false">IF(ISBLANK(F420),"Missing",IFERROR(YEAR(F420),"Missing"))</f>
        <v>2021</v>
      </c>
      <c r="S420" s="0" t="str">
        <f aca="false">IF(ISBLANK(E420),"Missing",IF(E420&lt;6,"0-6mo",IF(E420&lt;12,"6-12mo",IF(E420&lt;24,"12-24mo","24mo+"))))</f>
        <v>12-24mo</v>
      </c>
      <c r="T420" s="0" t="n">
        <f aca="false">IF(ISBLANK(C420),0,IF(C420="Month-to-month",2,IF(C420="One year",1,0)))+IF(ISBLANK(I420),0,IF(I420&lt;40,2,IF(I420&lt;55,1,0)))+IF(ISBLANK(M420),0,IF(M420=1,3,0))+IF(ISBLANK(L420),0,IF(L420&gt;=2,1,0))+IF(ISBLANK(E420),0,IF(E420&lt;12,1,0))</f>
        <v>6</v>
      </c>
      <c r="U420" s="0" t="str">
        <f aca="false">IF((ISBLANK(B420)*1+ISBLANK(C420)*1+ISBLANK(D420)*1+ISBLANK(E420)*1+ISBLANK(F420)*1+ISBLANK(I420)*1+ISBLANK(J420)*1+ISBLANK(K420)*1+ISBLANK(L420)*1+ISBLANK(M420)*1+ISBLANK(N420)*1+ISBLANK(O420)*1)&gt;0,"Missing Data","OK")</f>
        <v>OK</v>
      </c>
      <c r="V420" s="0" t="str">
        <f aca="false">IF(T420&gt;=6,"High Risk",IF(T420&gt;=3,"Medium Risk","Low Risk"))</f>
        <v>High Risk</v>
      </c>
    </row>
    <row r="421" customFormat="false" ht="12.8" hidden="false" customHeight="false" outlineLevel="0" collapsed="false">
      <c r="A421" s="1" t="s">
        <v>451</v>
      </c>
      <c r="B421" s="1" t="s">
        <v>23</v>
      </c>
      <c r="C421" s="1" t="s">
        <v>51</v>
      </c>
      <c r="D421" s="1" t="n">
        <v>19.8</v>
      </c>
      <c r="E421" s="1" t="n">
        <v>9</v>
      </c>
      <c r="F421" s="4" t="n">
        <v>44392</v>
      </c>
      <c r="G421" s="1" t="s">
        <v>25</v>
      </c>
      <c r="H421" s="1" t="n">
        <v>1</v>
      </c>
      <c r="I421" s="1" t="n">
        <v>46.9</v>
      </c>
      <c r="J421" s="1" t="n">
        <v>15</v>
      </c>
      <c r="K421" s="1" t="n">
        <v>7</v>
      </c>
      <c r="L421" s="1" t="n">
        <v>4</v>
      </c>
      <c r="M421" s="1" t="n">
        <v>0</v>
      </c>
      <c r="N421" s="1" t="n">
        <v>178.2</v>
      </c>
      <c r="O421" s="1" t="n">
        <v>0</v>
      </c>
      <c r="Q421" s="4" t="n">
        <v>44665</v>
      </c>
      <c r="R421" s="0" t="n">
        <f aca="false">IF(ISBLANK(F421),"Missing",IFERROR(YEAR(F421),"Missing"))</f>
        <v>2021</v>
      </c>
      <c r="S421" s="0" t="str">
        <f aca="false">IF(ISBLANK(E421),"Missing",IF(E421&lt;6,"0-6mo",IF(E421&lt;12,"6-12mo",IF(E421&lt;24,"12-24mo","24mo+"))))</f>
        <v>6-12mo</v>
      </c>
      <c r="T421" s="0" t="n">
        <f aca="false">IF(ISBLANK(C421),0,IF(C421="Month-to-month",2,IF(C421="One year",1,0)))+IF(ISBLANK(I421),0,IF(I421&lt;40,2,IF(I421&lt;55,1,0)))+IF(ISBLANK(M421),0,IF(M421=1,3,0))+IF(ISBLANK(L421),0,IF(L421&gt;=2,1,0))+IF(ISBLANK(E421),0,IF(E421&lt;12,1,0))</f>
        <v>3</v>
      </c>
      <c r="U421" s="0" t="str">
        <f aca="false">IF((ISBLANK(B421)*1+ISBLANK(C421)*1+ISBLANK(D421)*1+ISBLANK(E421)*1+ISBLANK(F421)*1+ISBLANK(I421)*1+ISBLANK(J421)*1+ISBLANK(K421)*1+ISBLANK(L421)*1+ISBLANK(M421)*1+ISBLANK(N421)*1+ISBLANK(O421)*1)&gt;0,"Missing Data","OK")</f>
        <v>OK</v>
      </c>
      <c r="V421" s="0" t="str">
        <f aca="false">IF(T421&gt;=6,"High Risk",IF(T421&gt;=3,"Medium Risk","Low Risk"))</f>
        <v>Medium Risk</v>
      </c>
    </row>
    <row r="422" customFormat="false" ht="12.8" hidden="false" customHeight="false" outlineLevel="0" collapsed="false">
      <c r="A422" s="1" t="s">
        <v>452</v>
      </c>
      <c r="B422" s="1" t="s">
        <v>36</v>
      </c>
      <c r="C422" s="1" t="s">
        <v>34</v>
      </c>
      <c r="D422" s="1" t="n">
        <v>11.47</v>
      </c>
      <c r="E422" s="1" t="n">
        <v>27</v>
      </c>
      <c r="F422" s="4" t="n">
        <v>44393</v>
      </c>
      <c r="G422" s="1" t="s">
        <v>25</v>
      </c>
      <c r="H422" s="1" t="n">
        <v>1</v>
      </c>
      <c r="I422" s="1" t="n">
        <v>52.6</v>
      </c>
      <c r="J422" s="1" t="n">
        <v>15</v>
      </c>
      <c r="K422" s="1" t="n">
        <v>3</v>
      </c>
      <c r="L422" s="1" t="n">
        <v>3</v>
      </c>
      <c r="M422" s="1" t="n">
        <v>0</v>
      </c>
      <c r="N422" s="1" t="n">
        <v>309.69</v>
      </c>
      <c r="O422" s="1" t="n">
        <v>0</v>
      </c>
      <c r="Q422" s="4" t="n">
        <v>45214</v>
      </c>
      <c r="R422" s="0" t="n">
        <f aca="false">IF(ISBLANK(F422),"Missing",IFERROR(YEAR(F422),"Missing"))</f>
        <v>2021</v>
      </c>
      <c r="S422" s="0" t="str">
        <f aca="false">IF(ISBLANK(E422),"Missing",IF(E422&lt;6,"0-6mo",IF(E422&lt;12,"6-12mo",IF(E422&lt;24,"12-24mo","24mo+"))))</f>
        <v>24mo+</v>
      </c>
      <c r="T422" s="0" t="n">
        <f aca="false">IF(ISBLANK(C422),0,IF(C422="Month-to-month",2,IF(C422="One year",1,0)))+IF(ISBLANK(I422),0,IF(I422&lt;40,2,IF(I422&lt;55,1,0)))+IF(ISBLANK(M422),0,IF(M422=1,3,0))+IF(ISBLANK(L422),0,IF(L422&gt;=2,1,0))+IF(ISBLANK(E422),0,IF(E422&lt;12,1,0))</f>
        <v>3</v>
      </c>
      <c r="U422" s="0" t="str">
        <f aca="false">IF((ISBLANK(B422)*1+ISBLANK(C422)*1+ISBLANK(D422)*1+ISBLANK(E422)*1+ISBLANK(F422)*1+ISBLANK(I422)*1+ISBLANK(J422)*1+ISBLANK(K422)*1+ISBLANK(L422)*1+ISBLANK(M422)*1+ISBLANK(N422)*1+ISBLANK(O422)*1)&gt;0,"Missing Data","OK")</f>
        <v>OK</v>
      </c>
      <c r="V422" s="0" t="str">
        <f aca="false">IF(T422&gt;=6,"High Risk",IF(T422&gt;=3,"Medium Risk","Low Risk"))</f>
        <v>Medium Risk</v>
      </c>
    </row>
    <row r="423" customFormat="false" ht="12.8" hidden="false" customHeight="false" outlineLevel="0" collapsed="false">
      <c r="A423" s="1" t="s">
        <v>453</v>
      </c>
      <c r="B423" s="1" t="s">
        <v>29</v>
      </c>
      <c r="C423" s="1" t="s">
        <v>24</v>
      </c>
      <c r="D423" s="1" t="n">
        <v>40.11</v>
      </c>
      <c r="E423" s="1" t="n">
        <v>48</v>
      </c>
      <c r="F423" s="4" t="n">
        <v>44394</v>
      </c>
      <c r="G423" s="1" t="s">
        <v>27</v>
      </c>
      <c r="H423" s="1" t="n">
        <v>1</v>
      </c>
      <c r="I423" s="1" t="n">
        <v>40</v>
      </c>
      <c r="J423" s="1" t="n">
        <v>17</v>
      </c>
      <c r="K423" s="1" t="n">
        <v>3</v>
      </c>
      <c r="L423" s="1" t="n">
        <v>1</v>
      </c>
      <c r="M423" s="1" t="n">
        <v>0</v>
      </c>
      <c r="N423" s="1" t="n">
        <v>1925.28</v>
      </c>
      <c r="O423" s="1" t="n">
        <v>1</v>
      </c>
      <c r="P423" s="4" t="n">
        <v>45855</v>
      </c>
      <c r="Q423" s="4" t="n">
        <v>45855</v>
      </c>
      <c r="R423" s="0" t="n">
        <f aca="false">IF(ISBLANK(F423),"Missing",IFERROR(YEAR(F423),"Missing"))</f>
        <v>2021</v>
      </c>
      <c r="S423" s="0" t="str">
        <f aca="false">IF(ISBLANK(E423),"Missing",IF(E423&lt;6,"0-6mo",IF(E423&lt;12,"6-12mo",IF(E423&lt;24,"12-24mo","24mo+"))))</f>
        <v>24mo+</v>
      </c>
      <c r="T423" s="0" t="n">
        <f aca="false">IF(ISBLANK(C423),0,IF(C423="Month-to-month",2,IF(C423="One year",1,0)))+IF(ISBLANK(I423),0,IF(I423&lt;40,2,IF(I423&lt;55,1,0)))+IF(ISBLANK(M423),0,IF(M423=1,3,0))+IF(ISBLANK(L423),0,IF(L423&gt;=2,1,0))+IF(ISBLANK(E423),0,IF(E423&lt;12,1,0))</f>
        <v>3</v>
      </c>
      <c r="U423" s="0" t="str">
        <f aca="false">IF((ISBLANK(B423)*1+ISBLANK(C423)*1+ISBLANK(D423)*1+ISBLANK(E423)*1+ISBLANK(F423)*1+ISBLANK(I423)*1+ISBLANK(J423)*1+ISBLANK(K423)*1+ISBLANK(L423)*1+ISBLANK(M423)*1+ISBLANK(N423)*1+ISBLANK(O423)*1)&gt;0,"Missing Data","OK")</f>
        <v>OK</v>
      </c>
      <c r="V423" s="0" t="str">
        <f aca="false">IF(T423&gt;=6,"High Risk",IF(T423&gt;=3,"Medium Risk","Low Risk"))</f>
        <v>Medium Risk</v>
      </c>
    </row>
    <row r="424" customFormat="false" ht="12.8" hidden="false" customHeight="false" outlineLevel="0" collapsed="false">
      <c r="A424" s="1" t="s">
        <v>454</v>
      </c>
      <c r="B424" s="1" t="s">
        <v>36</v>
      </c>
      <c r="C424" s="1" t="s">
        <v>34</v>
      </c>
      <c r="D424" s="1" t="n">
        <v>9.89</v>
      </c>
      <c r="E424" s="1" t="n">
        <v>14</v>
      </c>
      <c r="F424" s="4" t="n">
        <v>44395</v>
      </c>
      <c r="G424" s="1" t="s">
        <v>25</v>
      </c>
      <c r="H424" s="1" t="n">
        <v>0</v>
      </c>
      <c r="I424" s="1" t="n">
        <v>56.7</v>
      </c>
      <c r="J424" s="1" t="n">
        <v>14</v>
      </c>
      <c r="K424" s="1" t="n">
        <v>5</v>
      </c>
      <c r="L424" s="1" t="n">
        <v>1</v>
      </c>
      <c r="M424" s="1" t="n">
        <v>0</v>
      </c>
      <c r="N424" s="1" t="n">
        <v>138.46</v>
      </c>
      <c r="O424" s="1" t="n">
        <v>0</v>
      </c>
      <c r="Q424" s="4" t="n">
        <v>44821</v>
      </c>
      <c r="R424" s="0" t="n">
        <f aca="false">IF(ISBLANK(F424),"Missing",IFERROR(YEAR(F424),"Missing"))</f>
        <v>2021</v>
      </c>
      <c r="S424" s="0" t="str">
        <f aca="false">IF(ISBLANK(E424),"Missing",IF(E424&lt;6,"0-6mo",IF(E424&lt;12,"6-12mo",IF(E424&lt;24,"12-24mo","24mo+"))))</f>
        <v>12-24mo</v>
      </c>
      <c r="T424" s="0" t="n">
        <f aca="false">IF(ISBLANK(C424),0,IF(C424="Month-to-month",2,IF(C424="One year",1,0)))+IF(ISBLANK(I424),0,IF(I424&lt;40,2,IF(I424&lt;55,1,0)))+IF(ISBLANK(M424),0,IF(M424=1,3,0))+IF(ISBLANK(L424),0,IF(L424&gt;=2,1,0))+IF(ISBLANK(E424),0,IF(E424&lt;12,1,0))</f>
        <v>1</v>
      </c>
      <c r="U424" s="0" t="str">
        <f aca="false">IF((ISBLANK(B424)*1+ISBLANK(C424)*1+ISBLANK(D424)*1+ISBLANK(E424)*1+ISBLANK(F424)*1+ISBLANK(I424)*1+ISBLANK(J424)*1+ISBLANK(K424)*1+ISBLANK(L424)*1+ISBLANK(M424)*1+ISBLANK(N424)*1+ISBLANK(O424)*1)&gt;0,"Missing Data","OK")</f>
        <v>OK</v>
      </c>
      <c r="V424" s="0" t="str">
        <f aca="false">IF(T424&gt;=6,"High Risk",IF(T424&gt;=3,"Medium Risk","Low Risk"))</f>
        <v>Low Risk</v>
      </c>
    </row>
    <row r="425" customFormat="false" ht="12.8" hidden="false" customHeight="false" outlineLevel="0" collapsed="false">
      <c r="A425" s="1" t="s">
        <v>455</v>
      </c>
      <c r="B425" s="1" t="s">
        <v>36</v>
      </c>
      <c r="C425" s="1" t="s">
        <v>34</v>
      </c>
      <c r="D425" s="1" t="n">
        <v>10.15</v>
      </c>
      <c r="E425" s="1" t="n">
        <v>10</v>
      </c>
      <c r="F425" s="4" t="n">
        <v>44397</v>
      </c>
      <c r="G425" s="1" t="s">
        <v>39</v>
      </c>
      <c r="H425" s="1" t="n">
        <v>0</v>
      </c>
      <c r="I425" s="1" t="n">
        <v>72.3</v>
      </c>
      <c r="J425" s="1" t="n">
        <v>21</v>
      </c>
      <c r="K425" s="1" t="n">
        <v>9</v>
      </c>
      <c r="L425" s="1" t="n">
        <v>1</v>
      </c>
      <c r="M425" s="1" t="n">
        <v>0</v>
      </c>
      <c r="N425" s="1" t="n">
        <v>101.5</v>
      </c>
      <c r="O425" s="1" t="n">
        <v>0</v>
      </c>
      <c r="Q425" s="4" t="n">
        <v>44701</v>
      </c>
      <c r="R425" s="0" t="n">
        <f aca="false">IF(ISBLANK(F425),"Missing",IFERROR(YEAR(F425),"Missing"))</f>
        <v>2021</v>
      </c>
      <c r="S425" s="0" t="str">
        <f aca="false">IF(ISBLANK(E425),"Missing",IF(E425&lt;6,"0-6mo",IF(E425&lt;12,"6-12mo",IF(E425&lt;24,"12-24mo","24mo+"))))</f>
        <v>6-12mo</v>
      </c>
      <c r="T425" s="0" t="n">
        <f aca="false">IF(ISBLANK(C425),0,IF(C425="Month-to-month",2,IF(C425="One year",1,0)))+IF(ISBLANK(I425),0,IF(I425&lt;40,2,IF(I425&lt;55,1,0)))+IF(ISBLANK(M425),0,IF(M425=1,3,0))+IF(ISBLANK(L425),0,IF(L425&gt;=2,1,0))+IF(ISBLANK(E425),0,IF(E425&lt;12,1,0))</f>
        <v>2</v>
      </c>
      <c r="U425" s="0" t="str">
        <f aca="false">IF((ISBLANK(B425)*1+ISBLANK(C425)*1+ISBLANK(D425)*1+ISBLANK(E425)*1+ISBLANK(F425)*1+ISBLANK(I425)*1+ISBLANK(J425)*1+ISBLANK(K425)*1+ISBLANK(L425)*1+ISBLANK(M425)*1+ISBLANK(N425)*1+ISBLANK(O425)*1)&gt;0,"Missing Data","OK")</f>
        <v>OK</v>
      </c>
      <c r="V425" s="0" t="str">
        <f aca="false">IF(T425&gt;=6,"High Risk",IF(T425&gt;=3,"Medium Risk","Low Risk"))</f>
        <v>Low Risk</v>
      </c>
    </row>
    <row r="426" customFormat="false" ht="12.8" hidden="false" customHeight="false" outlineLevel="0" collapsed="false">
      <c r="A426" s="1" t="s">
        <v>456</v>
      </c>
      <c r="B426" s="1" t="s">
        <v>36</v>
      </c>
      <c r="C426" s="1" t="s">
        <v>24</v>
      </c>
      <c r="D426" s="1" t="n">
        <v>10.85</v>
      </c>
      <c r="E426" s="1" t="n">
        <v>22</v>
      </c>
      <c r="F426" s="4" t="n">
        <v>44397</v>
      </c>
      <c r="G426" s="1" t="s">
        <v>30</v>
      </c>
      <c r="H426" s="1" t="n">
        <v>1</v>
      </c>
      <c r="I426" s="1" t="n">
        <v>39.2</v>
      </c>
      <c r="J426" s="1" t="n">
        <v>15</v>
      </c>
      <c r="K426" s="1" t="n">
        <v>4</v>
      </c>
      <c r="L426" s="1" t="n">
        <v>1</v>
      </c>
      <c r="M426" s="1" t="n">
        <v>0</v>
      </c>
      <c r="N426" s="1" t="n">
        <v>238.7</v>
      </c>
      <c r="O426" s="1" t="n">
        <v>1</v>
      </c>
      <c r="P426" s="4" t="n">
        <v>45066</v>
      </c>
      <c r="Q426" s="4" t="n">
        <v>45066</v>
      </c>
      <c r="R426" s="0" t="n">
        <f aca="false">IF(ISBLANK(F426),"Missing",IFERROR(YEAR(F426),"Missing"))</f>
        <v>2021</v>
      </c>
      <c r="S426" s="0" t="str">
        <f aca="false">IF(ISBLANK(E426),"Missing",IF(E426&lt;6,"0-6mo",IF(E426&lt;12,"6-12mo",IF(E426&lt;24,"12-24mo","24mo+"))))</f>
        <v>12-24mo</v>
      </c>
      <c r="T426" s="0" t="n">
        <f aca="false">IF(ISBLANK(C426),0,IF(C426="Month-to-month",2,IF(C426="One year",1,0)))+IF(ISBLANK(I426),0,IF(I426&lt;40,2,IF(I426&lt;55,1,0)))+IF(ISBLANK(M426),0,IF(M426=1,3,0))+IF(ISBLANK(L426),0,IF(L426&gt;=2,1,0))+IF(ISBLANK(E426),0,IF(E426&lt;12,1,0))</f>
        <v>4</v>
      </c>
      <c r="U426" s="0" t="str">
        <f aca="false">IF((ISBLANK(B426)*1+ISBLANK(C426)*1+ISBLANK(D426)*1+ISBLANK(E426)*1+ISBLANK(F426)*1+ISBLANK(I426)*1+ISBLANK(J426)*1+ISBLANK(K426)*1+ISBLANK(L426)*1+ISBLANK(M426)*1+ISBLANK(N426)*1+ISBLANK(O426)*1)&gt;0,"Missing Data","OK")</f>
        <v>OK</v>
      </c>
      <c r="V426" s="0" t="str">
        <f aca="false">IF(T426&gt;=6,"High Risk",IF(T426&gt;=3,"Medium Risk","Low Risk"))</f>
        <v>Medium Risk</v>
      </c>
    </row>
    <row r="427" customFormat="false" ht="12.8" hidden="false" customHeight="false" outlineLevel="0" collapsed="false">
      <c r="A427" s="1" t="s">
        <v>457</v>
      </c>
      <c r="B427" s="1" t="s">
        <v>23</v>
      </c>
      <c r="C427" s="1" t="s">
        <v>24</v>
      </c>
      <c r="D427" s="1" t="n">
        <v>20.68</v>
      </c>
      <c r="E427" s="1" t="n">
        <v>4</v>
      </c>
      <c r="F427" s="4" t="n">
        <v>44404</v>
      </c>
      <c r="G427" s="1" t="s">
        <v>25</v>
      </c>
      <c r="H427" s="1" t="n">
        <v>0</v>
      </c>
      <c r="I427" s="1" t="n">
        <v>14</v>
      </c>
      <c r="J427" s="1" t="n">
        <v>8</v>
      </c>
      <c r="K427" s="1" t="n">
        <v>0</v>
      </c>
      <c r="L427" s="1" t="n">
        <v>3</v>
      </c>
      <c r="M427" s="1" t="n">
        <v>0</v>
      </c>
      <c r="N427" s="1" t="n">
        <v>82.72</v>
      </c>
      <c r="O427" s="1" t="n">
        <v>1</v>
      </c>
      <c r="P427" s="4" t="n">
        <v>44525</v>
      </c>
      <c r="Q427" s="4" t="n">
        <v>44525</v>
      </c>
      <c r="R427" s="0" t="n">
        <f aca="false">IF(ISBLANK(F427),"Missing",IFERROR(YEAR(F427),"Missing"))</f>
        <v>2021</v>
      </c>
      <c r="S427" s="0" t="str">
        <f aca="false">IF(ISBLANK(E427),"Missing",IF(E427&lt;6,"0-6mo",IF(E427&lt;12,"6-12mo",IF(E427&lt;24,"12-24mo","24mo+"))))</f>
        <v>0-6mo</v>
      </c>
      <c r="T427" s="0" t="n">
        <f aca="false">IF(ISBLANK(C427),0,IF(C427="Month-to-month",2,IF(C427="One year",1,0)))+IF(ISBLANK(I427),0,IF(I427&lt;40,2,IF(I427&lt;55,1,0)))+IF(ISBLANK(M427),0,IF(M427=1,3,0))+IF(ISBLANK(L427),0,IF(L427&gt;=2,1,0))+IF(ISBLANK(E427),0,IF(E427&lt;12,1,0))</f>
        <v>6</v>
      </c>
      <c r="U427" s="0" t="str">
        <f aca="false">IF((ISBLANK(B427)*1+ISBLANK(C427)*1+ISBLANK(D427)*1+ISBLANK(E427)*1+ISBLANK(F427)*1+ISBLANK(I427)*1+ISBLANK(J427)*1+ISBLANK(K427)*1+ISBLANK(L427)*1+ISBLANK(M427)*1+ISBLANK(N427)*1+ISBLANK(O427)*1)&gt;0,"Missing Data","OK")</f>
        <v>OK</v>
      </c>
      <c r="V427" s="0" t="str">
        <f aca="false">IF(T427&gt;=6,"High Risk",IF(T427&gt;=3,"Medium Risk","Low Risk"))</f>
        <v>High Risk</v>
      </c>
    </row>
    <row r="428" customFormat="false" ht="12.8" hidden="false" customHeight="false" outlineLevel="0" collapsed="false">
      <c r="A428" s="1" t="s">
        <v>458</v>
      </c>
      <c r="B428" s="1" t="s">
        <v>23</v>
      </c>
      <c r="C428" s="1" t="s">
        <v>34</v>
      </c>
      <c r="D428" s="1" t="n">
        <v>20.5</v>
      </c>
      <c r="E428" s="1" t="n">
        <v>9</v>
      </c>
      <c r="F428" s="4" t="n">
        <v>44405</v>
      </c>
      <c r="G428" s="1" t="s">
        <v>25</v>
      </c>
      <c r="H428" s="1" t="n">
        <v>1</v>
      </c>
      <c r="I428" s="1" t="n">
        <v>100</v>
      </c>
      <c r="J428" s="1" t="n">
        <v>36</v>
      </c>
      <c r="K428" s="1" t="n">
        <v>10</v>
      </c>
      <c r="L428" s="1" t="n">
        <v>3</v>
      </c>
      <c r="M428" s="1" t="n">
        <v>0</v>
      </c>
      <c r="N428" s="1" t="n">
        <v>184.5</v>
      </c>
      <c r="O428" s="1" t="n">
        <v>0</v>
      </c>
      <c r="Q428" s="4" t="n">
        <v>44678</v>
      </c>
      <c r="R428" s="0" t="n">
        <f aca="false">IF(ISBLANK(F428),"Missing",IFERROR(YEAR(F428),"Missing"))</f>
        <v>2021</v>
      </c>
      <c r="S428" s="0" t="str">
        <f aca="false">IF(ISBLANK(E428),"Missing",IF(E428&lt;6,"0-6mo",IF(E428&lt;12,"6-12mo",IF(E428&lt;24,"12-24mo","24mo+"))))</f>
        <v>6-12mo</v>
      </c>
      <c r="T428" s="0" t="n">
        <f aca="false">IF(ISBLANK(C428),0,IF(C428="Month-to-month",2,IF(C428="One year",1,0)))+IF(ISBLANK(I428),0,IF(I428&lt;40,2,IF(I428&lt;55,1,0)))+IF(ISBLANK(M428),0,IF(M428=1,3,0))+IF(ISBLANK(L428),0,IF(L428&gt;=2,1,0))+IF(ISBLANK(E428),0,IF(E428&lt;12,1,0))</f>
        <v>3</v>
      </c>
      <c r="U428" s="0" t="str">
        <f aca="false">IF((ISBLANK(B428)*1+ISBLANK(C428)*1+ISBLANK(D428)*1+ISBLANK(E428)*1+ISBLANK(F428)*1+ISBLANK(I428)*1+ISBLANK(J428)*1+ISBLANK(K428)*1+ISBLANK(L428)*1+ISBLANK(M428)*1+ISBLANK(N428)*1+ISBLANK(O428)*1)&gt;0,"Missing Data","OK")</f>
        <v>OK</v>
      </c>
      <c r="V428" s="0" t="str">
        <f aca="false">IF(T428&gt;=6,"High Risk",IF(T428&gt;=3,"Medium Risk","Low Risk"))</f>
        <v>Medium Risk</v>
      </c>
    </row>
    <row r="429" customFormat="false" ht="12.8" hidden="false" customHeight="false" outlineLevel="0" collapsed="false">
      <c r="A429" s="1" t="s">
        <v>459</v>
      </c>
      <c r="B429" s="1" t="s">
        <v>23</v>
      </c>
      <c r="C429" s="1" t="s">
        <v>24</v>
      </c>
      <c r="D429" s="1" t="n">
        <v>20</v>
      </c>
      <c r="E429" s="1" t="n">
        <v>26</v>
      </c>
      <c r="F429" s="4" t="n">
        <v>44405</v>
      </c>
      <c r="G429" s="1" t="s">
        <v>25</v>
      </c>
      <c r="H429" s="1" t="n">
        <v>1</v>
      </c>
      <c r="I429" s="1" t="n">
        <v>66.4</v>
      </c>
      <c r="J429" s="1" t="n">
        <v>22</v>
      </c>
      <c r="K429" s="1" t="n">
        <v>6</v>
      </c>
      <c r="L429" s="1" t="n">
        <v>0</v>
      </c>
      <c r="M429" s="1" t="n">
        <v>0</v>
      </c>
      <c r="N429" s="1" t="n">
        <v>520</v>
      </c>
      <c r="O429" s="1" t="n">
        <v>0</v>
      </c>
      <c r="Q429" s="4" t="n">
        <v>45196</v>
      </c>
      <c r="R429" s="0" t="n">
        <f aca="false">IF(ISBLANK(F429),"Missing",IFERROR(YEAR(F429),"Missing"))</f>
        <v>2021</v>
      </c>
      <c r="S429" s="0" t="str">
        <f aca="false">IF(ISBLANK(E429),"Missing",IF(E429&lt;6,"0-6mo",IF(E429&lt;12,"6-12mo",IF(E429&lt;24,"12-24mo","24mo+"))))</f>
        <v>24mo+</v>
      </c>
      <c r="T429" s="0" t="n">
        <f aca="false">IF(ISBLANK(C429),0,IF(C429="Month-to-month",2,IF(C429="One year",1,0)))+IF(ISBLANK(I429),0,IF(I429&lt;40,2,IF(I429&lt;55,1,0)))+IF(ISBLANK(M429),0,IF(M429=1,3,0))+IF(ISBLANK(L429),0,IF(L429&gt;=2,1,0))+IF(ISBLANK(E429),0,IF(E429&lt;12,1,0))</f>
        <v>2</v>
      </c>
      <c r="U429" s="0" t="str">
        <f aca="false">IF((ISBLANK(B429)*1+ISBLANK(C429)*1+ISBLANK(D429)*1+ISBLANK(E429)*1+ISBLANK(F429)*1+ISBLANK(I429)*1+ISBLANK(J429)*1+ISBLANK(K429)*1+ISBLANK(L429)*1+ISBLANK(M429)*1+ISBLANK(N429)*1+ISBLANK(O429)*1)&gt;0,"Missing Data","OK")</f>
        <v>OK</v>
      </c>
      <c r="V429" s="0" t="str">
        <f aca="false">IF(T429&gt;=6,"High Risk",IF(T429&gt;=3,"Medium Risk","Low Risk"))</f>
        <v>Low Risk</v>
      </c>
    </row>
    <row r="430" customFormat="false" ht="12.8" hidden="false" customHeight="false" outlineLevel="0" collapsed="false">
      <c r="A430" s="1" t="s">
        <v>460</v>
      </c>
      <c r="B430" s="1" t="s">
        <v>29</v>
      </c>
      <c r="C430" s="1" t="s">
        <v>34</v>
      </c>
      <c r="D430" s="1" t="n">
        <v>38.92</v>
      </c>
      <c r="E430" s="1" t="n">
        <v>37</v>
      </c>
      <c r="F430" s="4" t="n">
        <v>44406</v>
      </c>
      <c r="G430" s="1" t="s">
        <v>30</v>
      </c>
      <c r="H430" s="1" t="n">
        <v>1</v>
      </c>
      <c r="I430" s="1" t="n">
        <v>42.8</v>
      </c>
      <c r="J430" s="1" t="n">
        <v>8</v>
      </c>
      <c r="K430" s="1" t="n">
        <v>2</v>
      </c>
      <c r="L430" s="1" t="n">
        <v>0</v>
      </c>
      <c r="M430" s="1" t="n">
        <v>0</v>
      </c>
      <c r="N430" s="1" t="n">
        <v>1440.04</v>
      </c>
      <c r="O430" s="1" t="n">
        <v>0</v>
      </c>
      <c r="Q430" s="4" t="n">
        <v>45532</v>
      </c>
      <c r="R430" s="0" t="n">
        <f aca="false">IF(ISBLANK(F430),"Missing",IFERROR(YEAR(F430),"Missing"))</f>
        <v>2021</v>
      </c>
      <c r="S430" s="0" t="str">
        <f aca="false">IF(ISBLANK(E430),"Missing",IF(E430&lt;6,"0-6mo",IF(E430&lt;12,"6-12mo",IF(E430&lt;24,"12-24mo","24mo+"))))</f>
        <v>24mo+</v>
      </c>
      <c r="T430" s="0" t="n">
        <f aca="false">IF(ISBLANK(C430),0,IF(C430="Month-to-month",2,IF(C430="One year",1,0)))+IF(ISBLANK(I430),0,IF(I430&lt;40,2,IF(I430&lt;55,1,0)))+IF(ISBLANK(M430),0,IF(M430=1,3,0))+IF(ISBLANK(L430),0,IF(L430&gt;=2,1,0))+IF(ISBLANK(E430),0,IF(E430&lt;12,1,0))</f>
        <v>2</v>
      </c>
      <c r="U430" s="0" t="str">
        <f aca="false">IF((ISBLANK(B430)*1+ISBLANK(C430)*1+ISBLANK(D430)*1+ISBLANK(E430)*1+ISBLANK(F430)*1+ISBLANK(I430)*1+ISBLANK(J430)*1+ISBLANK(K430)*1+ISBLANK(L430)*1+ISBLANK(M430)*1+ISBLANK(N430)*1+ISBLANK(O430)*1)&gt;0,"Missing Data","OK")</f>
        <v>OK</v>
      </c>
      <c r="V430" s="0" t="str">
        <f aca="false">IF(T430&gt;=6,"High Risk",IF(T430&gt;=3,"Medium Risk","Low Risk"))</f>
        <v>Low Risk</v>
      </c>
    </row>
    <row r="431" customFormat="false" ht="12.8" hidden="false" customHeight="false" outlineLevel="0" collapsed="false">
      <c r="A431" s="1" t="s">
        <v>461</v>
      </c>
      <c r="B431" s="1" t="s">
        <v>23</v>
      </c>
      <c r="C431" s="1" t="s">
        <v>24</v>
      </c>
      <c r="D431" s="1" t="n">
        <v>20.59</v>
      </c>
      <c r="E431" s="1" t="n">
        <v>10</v>
      </c>
      <c r="F431" s="4" t="n">
        <v>44408</v>
      </c>
      <c r="G431" s="1" t="s">
        <v>25</v>
      </c>
      <c r="H431" s="1" t="n">
        <v>1</v>
      </c>
      <c r="I431" s="1" t="n">
        <v>46.5</v>
      </c>
      <c r="J431" s="1" t="n">
        <v>17</v>
      </c>
      <c r="K431" s="1" t="n">
        <v>5</v>
      </c>
      <c r="L431" s="1" t="n">
        <v>4</v>
      </c>
      <c r="M431" s="1" t="n">
        <v>0</v>
      </c>
      <c r="N431" s="1" t="n">
        <v>205.9</v>
      </c>
      <c r="O431" s="1" t="n">
        <v>1</v>
      </c>
      <c r="P431" s="4" t="n">
        <v>44712</v>
      </c>
      <c r="Q431" s="4" t="n">
        <v>44712</v>
      </c>
      <c r="R431" s="0" t="n">
        <f aca="false">IF(ISBLANK(F431),"Missing",IFERROR(YEAR(F431),"Missing"))</f>
        <v>2021</v>
      </c>
      <c r="S431" s="0" t="str">
        <f aca="false">IF(ISBLANK(E431),"Missing",IF(E431&lt;6,"0-6mo",IF(E431&lt;12,"6-12mo",IF(E431&lt;24,"12-24mo","24mo+"))))</f>
        <v>6-12mo</v>
      </c>
      <c r="T431" s="0" t="n">
        <f aca="false">IF(ISBLANK(C431),0,IF(C431="Month-to-month",2,IF(C431="One year",1,0)))+IF(ISBLANK(I431),0,IF(I431&lt;40,2,IF(I431&lt;55,1,0)))+IF(ISBLANK(M431),0,IF(M431=1,3,0))+IF(ISBLANK(L431),0,IF(L431&gt;=2,1,0))+IF(ISBLANK(E431),0,IF(E431&lt;12,1,0))</f>
        <v>5</v>
      </c>
      <c r="U431" s="0" t="str">
        <f aca="false">IF((ISBLANK(B431)*1+ISBLANK(C431)*1+ISBLANK(D431)*1+ISBLANK(E431)*1+ISBLANK(F431)*1+ISBLANK(I431)*1+ISBLANK(J431)*1+ISBLANK(K431)*1+ISBLANK(L431)*1+ISBLANK(M431)*1+ISBLANK(N431)*1+ISBLANK(O431)*1)&gt;0,"Missing Data","OK")</f>
        <v>OK</v>
      </c>
      <c r="V431" s="0" t="str">
        <f aca="false">IF(T431&gt;=6,"High Risk",IF(T431&gt;=3,"Medium Risk","Low Risk"))</f>
        <v>Medium Risk</v>
      </c>
    </row>
    <row r="432" customFormat="false" ht="12.8" hidden="false" customHeight="false" outlineLevel="0" collapsed="false">
      <c r="A432" s="1" t="s">
        <v>462</v>
      </c>
      <c r="B432" s="1" t="s">
        <v>23</v>
      </c>
      <c r="C432" s="1" t="s">
        <v>24</v>
      </c>
      <c r="D432" s="1" t="n">
        <v>19.75</v>
      </c>
      <c r="E432" s="1" t="n">
        <v>18</v>
      </c>
      <c r="F432" s="4" t="n">
        <v>44411</v>
      </c>
      <c r="G432" s="1" t="s">
        <v>25</v>
      </c>
      <c r="H432" s="1" t="n">
        <v>1</v>
      </c>
      <c r="I432" s="1" t="n">
        <v>76.5</v>
      </c>
      <c r="J432" s="1" t="n">
        <v>25</v>
      </c>
      <c r="K432" s="1" t="n">
        <v>6</v>
      </c>
      <c r="L432" s="1" t="n">
        <v>2</v>
      </c>
      <c r="M432" s="1" t="n">
        <v>0</v>
      </c>
      <c r="N432" s="1" t="n">
        <v>355.5</v>
      </c>
      <c r="O432" s="1" t="n">
        <v>0</v>
      </c>
      <c r="Q432" s="4" t="n">
        <v>44958</v>
      </c>
      <c r="R432" s="0" t="n">
        <f aca="false">IF(ISBLANK(F432),"Missing",IFERROR(YEAR(F432),"Missing"))</f>
        <v>2021</v>
      </c>
      <c r="S432" s="0" t="str">
        <f aca="false">IF(ISBLANK(E432),"Missing",IF(E432&lt;6,"0-6mo",IF(E432&lt;12,"6-12mo",IF(E432&lt;24,"12-24mo","24mo+"))))</f>
        <v>12-24mo</v>
      </c>
      <c r="T432" s="0" t="n">
        <f aca="false">IF(ISBLANK(C432),0,IF(C432="Month-to-month",2,IF(C432="One year",1,0)))+IF(ISBLANK(I432),0,IF(I432&lt;40,2,IF(I432&lt;55,1,0)))+IF(ISBLANK(M432),0,IF(M432=1,3,0))+IF(ISBLANK(L432),0,IF(L432&gt;=2,1,0))+IF(ISBLANK(E432),0,IF(E432&lt;12,1,0))</f>
        <v>3</v>
      </c>
      <c r="U432" s="0" t="str">
        <f aca="false">IF((ISBLANK(B432)*1+ISBLANK(C432)*1+ISBLANK(D432)*1+ISBLANK(E432)*1+ISBLANK(F432)*1+ISBLANK(I432)*1+ISBLANK(J432)*1+ISBLANK(K432)*1+ISBLANK(L432)*1+ISBLANK(M432)*1+ISBLANK(N432)*1+ISBLANK(O432)*1)&gt;0,"Missing Data","OK")</f>
        <v>OK</v>
      </c>
      <c r="V432" s="0" t="str">
        <f aca="false">IF(T432&gt;=6,"High Risk",IF(T432&gt;=3,"Medium Risk","Low Risk"))</f>
        <v>Medium Risk</v>
      </c>
    </row>
    <row r="433" customFormat="false" ht="12.8" hidden="false" customHeight="false" outlineLevel="0" collapsed="false">
      <c r="A433" s="1" t="s">
        <v>463</v>
      </c>
      <c r="B433" s="1" t="s">
        <v>36</v>
      </c>
      <c r="C433" s="1" t="s">
        <v>24</v>
      </c>
      <c r="D433" s="1" t="n">
        <v>9.03</v>
      </c>
      <c r="E433" s="1" t="n">
        <v>5</v>
      </c>
      <c r="F433" s="4" t="n">
        <v>44412</v>
      </c>
      <c r="G433" s="1" t="s">
        <v>30</v>
      </c>
      <c r="H433" s="1" t="n">
        <v>0</v>
      </c>
      <c r="I433" s="1" t="n">
        <v>54.8</v>
      </c>
      <c r="J433" s="1" t="n">
        <v>18</v>
      </c>
      <c r="K433" s="1" t="n">
        <v>6</v>
      </c>
      <c r="L433" s="1" t="n">
        <v>0</v>
      </c>
      <c r="M433" s="1" t="n">
        <v>0</v>
      </c>
      <c r="N433" s="1" t="n">
        <v>45.15</v>
      </c>
      <c r="O433" s="1" t="n">
        <v>0</v>
      </c>
      <c r="Q433" s="4" t="n">
        <v>44564</v>
      </c>
      <c r="R433" s="0" t="n">
        <f aca="false">IF(ISBLANK(F433),"Missing",IFERROR(YEAR(F433),"Missing"))</f>
        <v>2021</v>
      </c>
      <c r="S433" s="0" t="str">
        <f aca="false">IF(ISBLANK(E433),"Missing",IF(E433&lt;6,"0-6mo",IF(E433&lt;12,"6-12mo",IF(E433&lt;24,"12-24mo","24mo+"))))</f>
        <v>0-6mo</v>
      </c>
      <c r="T433" s="0" t="n">
        <f aca="false">IF(ISBLANK(C433),0,IF(C433="Month-to-month",2,IF(C433="One year",1,0)))+IF(ISBLANK(I433),0,IF(I433&lt;40,2,IF(I433&lt;55,1,0)))+IF(ISBLANK(M433),0,IF(M433=1,3,0))+IF(ISBLANK(L433),0,IF(L433&gt;=2,1,0))+IF(ISBLANK(E433),0,IF(E433&lt;12,1,0))</f>
        <v>4</v>
      </c>
      <c r="U433" s="0" t="str">
        <f aca="false">IF((ISBLANK(B433)*1+ISBLANK(C433)*1+ISBLANK(D433)*1+ISBLANK(E433)*1+ISBLANK(F433)*1+ISBLANK(I433)*1+ISBLANK(J433)*1+ISBLANK(K433)*1+ISBLANK(L433)*1+ISBLANK(M433)*1+ISBLANK(N433)*1+ISBLANK(O433)*1)&gt;0,"Missing Data","OK")</f>
        <v>OK</v>
      </c>
      <c r="V433" s="0" t="str">
        <f aca="false">IF(T433&gt;=6,"High Risk",IF(T433&gt;=3,"Medium Risk","Low Risk"))</f>
        <v>Medium Risk</v>
      </c>
    </row>
    <row r="434" customFormat="false" ht="12.8" hidden="false" customHeight="false" outlineLevel="0" collapsed="false">
      <c r="A434" s="1" t="s">
        <v>464</v>
      </c>
      <c r="B434" s="1" t="s">
        <v>23</v>
      </c>
      <c r="C434" s="1" t="s">
        <v>34</v>
      </c>
      <c r="D434" s="1" t="n">
        <v>19.85</v>
      </c>
      <c r="E434" s="1" t="n">
        <v>0</v>
      </c>
      <c r="F434" s="4" t="n">
        <v>44413</v>
      </c>
      <c r="G434" s="1" t="s">
        <v>25</v>
      </c>
      <c r="H434" s="1" t="n">
        <v>0</v>
      </c>
      <c r="I434" s="1" t="n">
        <v>38.2</v>
      </c>
      <c r="J434" s="1" t="n">
        <v>14</v>
      </c>
      <c r="K434" s="1" t="n">
        <v>3</v>
      </c>
      <c r="L434" s="1" t="n">
        <v>1</v>
      </c>
      <c r="M434" s="1" t="n">
        <v>0</v>
      </c>
      <c r="N434" s="1" t="n">
        <v>0</v>
      </c>
      <c r="O434" s="1" t="n">
        <v>1</v>
      </c>
      <c r="P434" s="4" t="n">
        <v>44413</v>
      </c>
      <c r="Q434" s="4" t="n">
        <v>44413</v>
      </c>
      <c r="R434" s="0" t="n">
        <f aca="false">IF(ISBLANK(F434),"Missing",IFERROR(YEAR(F434),"Missing"))</f>
        <v>2021</v>
      </c>
      <c r="S434" s="0" t="str">
        <f aca="false">IF(ISBLANK(E434),"Missing",IF(E434&lt;6,"0-6mo",IF(E434&lt;12,"6-12mo",IF(E434&lt;24,"12-24mo","24mo+"))))</f>
        <v>0-6mo</v>
      </c>
      <c r="T434" s="0" t="n">
        <f aca="false">IF(ISBLANK(C434),0,IF(C434="Month-to-month",2,IF(C434="One year",1,0)))+IF(ISBLANK(I434),0,IF(I434&lt;40,2,IF(I434&lt;55,1,0)))+IF(ISBLANK(M434),0,IF(M434=1,3,0))+IF(ISBLANK(L434),0,IF(L434&gt;=2,1,0))+IF(ISBLANK(E434),0,IF(E434&lt;12,1,0))</f>
        <v>4</v>
      </c>
      <c r="U434" s="0" t="str">
        <f aca="false">IF((ISBLANK(B434)*1+ISBLANK(C434)*1+ISBLANK(D434)*1+ISBLANK(E434)*1+ISBLANK(F434)*1+ISBLANK(I434)*1+ISBLANK(J434)*1+ISBLANK(K434)*1+ISBLANK(L434)*1+ISBLANK(M434)*1+ISBLANK(N434)*1+ISBLANK(O434)*1)&gt;0,"Missing Data","OK")</f>
        <v>OK</v>
      </c>
      <c r="V434" s="0" t="str">
        <f aca="false">IF(T434&gt;=6,"High Risk",IF(T434&gt;=3,"Medium Risk","Low Risk"))</f>
        <v>Medium Risk</v>
      </c>
    </row>
    <row r="435" customFormat="false" ht="12.8" hidden="false" customHeight="false" outlineLevel="0" collapsed="false">
      <c r="A435" s="1" t="s">
        <v>465</v>
      </c>
      <c r="B435" s="1" t="s">
        <v>36</v>
      </c>
      <c r="C435" s="1" t="s">
        <v>34</v>
      </c>
      <c r="D435" s="1" t="n">
        <v>8.89</v>
      </c>
      <c r="E435" s="1" t="n">
        <v>1</v>
      </c>
      <c r="F435" s="4" t="n">
        <v>44415</v>
      </c>
      <c r="G435" s="1" t="s">
        <v>27</v>
      </c>
      <c r="H435" s="1" t="n">
        <v>1</v>
      </c>
      <c r="I435" s="1" t="n">
        <v>82.8</v>
      </c>
      <c r="J435" s="1" t="n">
        <v>26</v>
      </c>
      <c r="K435" s="1" t="n">
        <v>9</v>
      </c>
      <c r="L435" s="1" t="n">
        <v>0</v>
      </c>
      <c r="M435" s="1" t="n">
        <v>0</v>
      </c>
      <c r="N435" s="1" t="n">
        <v>8.89</v>
      </c>
      <c r="O435" s="1" t="n">
        <v>0</v>
      </c>
      <c r="Q435" s="4" t="n">
        <v>44445</v>
      </c>
      <c r="R435" s="0" t="n">
        <f aca="false">IF(ISBLANK(F435),"Missing",IFERROR(YEAR(F435),"Missing"))</f>
        <v>2021</v>
      </c>
      <c r="S435" s="0" t="str">
        <f aca="false">IF(ISBLANK(E435),"Missing",IF(E435&lt;6,"0-6mo",IF(E435&lt;12,"6-12mo",IF(E435&lt;24,"12-24mo","24mo+"))))</f>
        <v>0-6mo</v>
      </c>
      <c r="T435" s="0" t="n">
        <f aca="false">IF(ISBLANK(C435),0,IF(C435="Month-to-month",2,IF(C435="One year",1,0)))+IF(ISBLANK(I435),0,IF(I435&lt;40,2,IF(I435&lt;55,1,0)))+IF(ISBLANK(M435),0,IF(M435=1,3,0))+IF(ISBLANK(L435),0,IF(L435&gt;=2,1,0))+IF(ISBLANK(E435),0,IF(E435&lt;12,1,0))</f>
        <v>2</v>
      </c>
      <c r="U435" s="0" t="str">
        <f aca="false">IF((ISBLANK(B435)*1+ISBLANK(C435)*1+ISBLANK(D435)*1+ISBLANK(E435)*1+ISBLANK(F435)*1+ISBLANK(I435)*1+ISBLANK(J435)*1+ISBLANK(K435)*1+ISBLANK(L435)*1+ISBLANK(M435)*1+ISBLANK(N435)*1+ISBLANK(O435)*1)&gt;0,"Missing Data","OK")</f>
        <v>OK</v>
      </c>
      <c r="V435" s="0" t="str">
        <f aca="false">IF(T435&gt;=6,"High Risk",IF(T435&gt;=3,"Medium Risk","Low Risk"))</f>
        <v>Low Risk</v>
      </c>
    </row>
    <row r="436" customFormat="false" ht="12.8" hidden="false" customHeight="false" outlineLevel="0" collapsed="false">
      <c r="A436" s="1" t="s">
        <v>466</v>
      </c>
      <c r="B436" s="1" t="s">
        <v>36</v>
      </c>
      <c r="C436" s="1" t="s">
        <v>24</v>
      </c>
      <c r="D436" s="1" t="n">
        <v>10.45</v>
      </c>
      <c r="E436" s="1" t="n">
        <v>1</v>
      </c>
      <c r="F436" s="4" t="n">
        <v>44416</v>
      </c>
      <c r="G436" s="1" t="s">
        <v>39</v>
      </c>
      <c r="H436" s="1" t="n">
        <v>0</v>
      </c>
      <c r="I436" s="1" t="n">
        <v>70.2</v>
      </c>
      <c r="J436" s="1" t="n">
        <v>27</v>
      </c>
      <c r="K436" s="1" t="n">
        <v>8</v>
      </c>
      <c r="L436" s="1" t="n">
        <v>0</v>
      </c>
      <c r="M436" s="1" t="n">
        <v>0</v>
      </c>
      <c r="N436" s="1" t="n">
        <v>10.45</v>
      </c>
      <c r="O436" s="1" t="n">
        <v>1</v>
      </c>
      <c r="P436" s="4" t="n">
        <v>44446</v>
      </c>
      <c r="Q436" s="4" t="n">
        <v>44446</v>
      </c>
      <c r="R436" s="0" t="n">
        <f aca="false">IF(ISBLANK(F436),"Missing",IFERROR(YEAR(F436),"Missing"))</f>
        <v>2021</v>
      </c>
      <c r="S436" s="0" t="str">
        <f aca="false">IF(ISBLANK(E436),"Missing",IF(E436&lt;6,"0-6mo",IF(E436&lt;12,"6-12mo",IF(E436&lt;24,"12-24mo","24mo+"))))</f>
        <v>0-6mo</v>
      </c>
      <c r="T436" s="0" t="n">
        <f aca="false">IF(ISBLANK(C436),0,IF(C436="Month-to-month",2,IF(C436="One year",1,0)))+IF(ISBLANK(I436),0,IF(I436&lt;40,2,IF(I436&lt;55,1,0)))+IF(ISBLANK(M436),0,IF(M436=1,3,0))+IF(ISBLANK(L436),0,IF(L436&gt;=2,1,0))+IF(ISBLANK(E436),0,IF(E436&lt;12,1,0))</f>
        <v>3</v>
      </c>
      <c r="U436" s="0" t="str">
        <f aca="false">IF((ISBLANK(B436)*1+ISBLANK(C436)*1+ISBLANK(D436)*1+ISBLANK(E436)*1+ISBLANK(F436)*1+ISBLANK(I436)*1+ISBLANK(J436)*1+ISBLANK(K436)*1+ISBLANK(L436)*1+ISBLANK(M436)*1+ISBLANK(N436)*1+ISBLANK(O436)*1)&gt;0,"Missing Data","OK")</f>
        <v>OK</v>
      </c>
      <c r="V436" s="0" t="str">
        <f aca="false">IF(T436&gt;=6,"High Risk",IF(T436&gt;=3,"Medium Risk","Low Risk"))</f>
        <v>Medium Risk</v>
      </c>
    </row>
    <row r="437" customFormat="false" ht="12.8" hidden="false" customHeight="false" outlineLevel="0" collapsed="false">
      <c r="A437" s="1" t="s">
        <v>467</v>
      </c>
      <c r="B437" s="1" t="s">
        <v>36</v>
      </c>
      <c r="C437" s="1" t="s">
        <v>51</v>
      </c>
      <c r="D437" s="1" t="n">
        <v>11.72</v>
      </c>
      <c r="E437" s="1" t="n">
        <v>46</v>
      </c>
      <c r="F437" s="4" t="n">
        <v>44416</v>
      </c>
      <c r="G437" s="1" t="s">
        <v>30</v>
      </c>
      <c r="H437" s="1" t="n">
        <v>1</v>
      </c>
      <c r="I437" s="1" t="n">
        <v>28.4</v>
      </c>
      <c r="J437" s="1" t="n">
        <v>1</v>
      </c>
      <c r="K437" s="1" t="n">
        <v>4</v>
      </c>
      <c r="L437" s="1" t="n">
        <v>3</v>
      </c>
      <c r="M437" s="1" t="n">
        <v>0</v>
      </c>
      <c r="N437" s="1" t="n">
        <v>539.12</v>
      </c>
      <c r="O437" s="1" t="n">
        <v>0</v>
      </c>
      <c r="Q437" s="4" t="n">
        <v>45816</v>
      </c>
      <c r="R437" s="0" t="n">
        <f aca="false">IF(ISBLANK(F437),"Missing",IFERROR(YEAR(F437),"Missing"))</f>
        <v>2021</v>
      </c>
      <c r="S437" s="0" t="str">
        <f aca="false">IF(ISBLANK(E437),"Missing",IF(E437&lt;6,"0-6mo",IF(E437&lt;12,"6-12mo",IF(E437&lt;24,"12-24mo","24mo+"))))</f>
        <v>24mo+</v>
      </c>
      <c r="T437" s="0" t="n">
        <f aca="false">IF(ISBLANK(C437),0,IF(C437="Month-to-month",2,IF(C437="One year",1,0)))+IF(ISBLANK(I437),0,IF(I437&lt;40,2,IF(I437&lt;55,1,0)))+IF(ISBLANK(M437),0,IF(M437=1,3,0))+IF(ISBLANK(L437),0,IF(L437&gt;=2,1,0))+IF(ISBLANK(E437),0,IF(E437&lt;12,1,0))</f>
        <v>3</v>
      </c>
      <c r="U437" s="0" t="str">
        <f aca="false">IF((ISBLANK(B437)*1+ISBLANK(C437)*1+ISBLANK(D437)*1+ISBLANK(E437)*1+ISBLANK(F437)*1+ISBLANK(I437)*1+ISBLANK(J437)*1+ISBLANK(K437)*1+ISBLANK(L437)*1+ISBLANK(M437)*1+ISBLANK(N437)*1+ISBLANK(O437)*1)&gt;0,"Missing Data","OK")</f>
        <v>OK</v>
      </c>
      <c r="V437" s="0" t="str">
        <f aca="false">IF(T437&gt;=6,"High Risk",IF(T437&gt;=3,"Medium Risk","Low Risk"))</f>
        <v>Medium Risk</v>
      </c>
    </row>
    <row r="438" customFormat="false" ht="12.8" hidden="false" customHeight="false" outlineLevel="0" collapsed="false">
      <c r="A438" s="1" t="s">
        <v>468</v>
      </c>
      <c r="B438" s="1" t="s">
        <v>23</v>
      </c>
      <c r="C438" s="1" t="s">
        <v>24</v>
      </c>
      <c r="D438" s="1" t="n">
        <v>20.73</v>
      </c>
      <c r="E438" s="1" t="n">
        <v>20</v>
      </c>
      <c r="F438" s="4" t="n">
        <v>44417</v>
      </c>
      <c r="G438" s="1" t="s">
        <v>39</v>
      </c>
      <c r="H438" s="1" t="n">
        <v>1</v>
      </c>
      <c r="I438" s="1" t="n">
        <v>62.7</v>
      </c>
      <c r="J438" s="1" t="n">
        <v>14</v>
      </c>
      <c r="K438" s="1" t="n">
        <v>7</v>
      </c>
      <c r="L438" s="1" t="n">
        <v>1</v>
      </c>
      <c r="M438" s="1" t="n">
        <v>1</v>
      </c>
      <c r="N438" s="1" t="n">
        <v>414.6</v>
      </c>
      <c r="O438" s="1" t="n">
        <v>1</v>
      </c>
      <c r="P438" s="4" t="n">
        <v>45025</v>
      </c>
      <c r="Q438" s="4" t="n">
        <v>45025</v>
      </c>
      <c r="R438" s="0" t="n">
        <f aca="false">IF(ISBLANK(F438),"Missing",IFERROR(YEAR(F438),"Missing"))</f>
        <v>2021</v>
      </c>
      <c r="S438" s="0" t="str">
        <f aca="false">IF(ISBLANK(E438),"Missing",IF(E438&lt;6,"0-6mo",IF(E438&lt;12,"6-12mo",IF(E438&lt;24,"12-24mo","24mo+"))))</f>
        <v>12-24mo</v>
      </c>
      <c r="T438" s="0" t="n">
        <f aca="false">IF(ISBLANK(C438),0,IF(C438="Month-to-month",2,IF(C438="One year",1,0)))+IF(ISBLANK(I438),0,IF(I438&lt;40,2,IF(I438&lt;55,1,0)))+IF(ISBLANK(M438),0,IF(M438=1,3,0))+IF(ISBLANK(L438),0,IF(L438&gt;=2,1,0))+IF(ISBLANK(E438),0,IF(E438&lt;12,1,0))</f>
        <v>5</v>
      </c>
      <c r="U438" s="0" t="str">
        <f aca="false">IF((ISBLANK(B438)*1+ISBLANK(C438)*1+ISBLANK(D438)*1+ISBLANK(E438)*1+ISBLANK(F438)*1+ISBLANK(I438)*1+ISBLANK(J438)*1+ISBLANK(K438)*1+ISBLANK(L438)*1+ISBLANK(M438)*1+ISBLANK(N438)*1+ISBLANK(O438)*1)&gt;0,"Missing Data","OK")</f>
        <v>OK</v>
      </c>
      <c r="V438" s="0" t="str">
        <f aca="false">IF(T438&gt;=6,"High Risk",IF(T438&gt;=3,"Medium Risk","Low Risk"))</f>
        <v>Medium Risk</v>
      </c>
    </row>
    <row r="439" customFormat="false" ht="12.8" hidden="false" customHeight="false" outlineLevel="0" collapsed="false">
      <c r="A439" s="1" t="s">
        <v>469</v>
      </c>
      <c r="B439" s="1" t="s">
        <v>36</v>
      </c>
      <c r="C439" s="1" t="s">
        <v>24</v>
      </c>
      <c r="D439" s="1" t="n">
        <v>9.66</v>
      </c>
      <c r="E439" s="1" t="n">
        <v>48</v>
      </c>
      <c r="F439" s="4" t="n">
        <v>44417</v>
      </c>
      <c r="G439" s="1" t="s">
        <v>25</v>
      </c>
      <c r="H439" s="1" t="n">
        <v>1</v>
      </c>
      <c r="I439" s="1" t="n">
        <v>74.3</v>
      </c>
      <c r="J439" s="1" t="n">
        <v>28</v>
      </c>
      <c r="K439" s="1" t="n">
        <v>10</v>
      </c>
      <c r="L439" s="1" t="n">
        <v>1</v>
      </c>
      <c r="M439" s="1" t="n">
        <v>1</v>
      </c>
      <c r="N439" s="1" t="n">
        <v>463.68</v>
      </c>
      <c r="O439" s="1" t="n">
        <v>0</v>
      </c>
      <c r="Q439" s="4" t="n">
        <v>45878</v>
      </c>
      <c r="R439" s="0" t="n">
        <f aca="false">IF(ISBLANK(F439),"Missing",IFERROR(YEAR(F439),"Missing"))</f>
        <v>2021</v>
      </c>
      <c r="S439" s="0" t="str">
        <f aca="false">IF(ISBLANK(E439),"Missing",IF(E439&lt;6,"0-6mo",IF(E439&lt;12,"6-12mo",IF(E439&lt;24,"12-24mo","24mo+"))))</f>
        <v>24mo+</v>
      </c>
      <c r="T439" s="0" t="n">
        <f aca="false">IF(ISBLANK(C439),0,IF(C439="Month-to-month",2,IF(C439="One year",1,0)))+IF(ISBLANK(I439),0,IF(I439&lt;40,2,IF(I439&lt;55,1,0)))+IF(ISBLANK(M439),0,IF(M439=1,3,0))+IF(ISBLANK(L439),0,IF(L439&gt;=2,1,0))+IF(ISBLANK(E439),0,IF(E439&lt;12,1,0))</f>
        <v>5</v>
      </c>
      <c r="U439" s="0" t="str">
        <f aca="false">IF((ISBLANK(B439)*1+ISBLANK(C439)*1+ISBLANK(D439)*1+ISBLANK(E439)*1+ISBLANK(F439)*1+ISBLANK(I439)*1+ISBLANK(J439)*1+ISBLANK(K439)*1+ISBLANK(L439)*1+ISBLANK(M439)*1+ISBLANK(N439)*1+ISBLANK(O439)*1)&gt;0,"Missing Data","OK")</f>
        <v>OK</v>
      </c>
      <c r="V439" s="0" t="str">
        <f aca="false">IF(T439&gt;=6,"High Risk",IF(T439&gt;=3,"Medium Risk","Low Risk"))</f>
        <v>Medium Risk</v>
      </c>
    </row>
    <row r="440" customFormat="false" ht="12.8" hidden="false" customHeight="false" outlineLevel="0" collapsed="false">
      <c r="A440" s="1" t="s">
        <v>470</v>
      </c>
      <c r="B440" s="1" t="s">
        <v>36</v>
      </c>
      <c r="C440" s="1" t="s">
        <v>34</v>
      </c>
      <c r="D440" s="1" t="n">
        <v>8.66</v>
      </c>
      <c r="E440" s="1" t="n">
        <v>7</v>
      </c>
      <c r="F440" s="4" t="n">
        <v>44419</v>
      </c>
      <c r="G440" s="1" t="s">
        <v>25</v>
      </c>
      <c r="H440" s="1" t="n">
        <v>1</v>
      </c>
      <c r="I440" s="1" t="n">
        <v>47.7</v>
      </c>
      <c r="J440" s="1" t="n">
        <v>15</v>
      </c>
      <c r="K440" s="1" t="n">
        <v>6</v>
      </c>
      <c r="L440" s="1" t="n">
        <v>1</v>
      </c>
      <c r="M440" s="1" t="n">
        <v>0</v>
      </c>
      <c r="N440" s="1" t="n">
        <v>60.62</v>
      </c>
      <c r="O440" s="1" t="n">
        <v>0</v>
      </c>
      <c r="Q440" s="4" t="n">
        <v>44632</v>
      </c>
      <c r="R440" s="0" t="n">
        <f aca="false">IF(ISBLANK(F440),"Missing",IFERROR(YEAR(F440),"Missing"))</f>
        <v>2021</v>
      </c>
      <c r="S440" s="0" t="str">
        <f aca="false">IF(ISBLANK(E440),"Missing",IF(E440&lt;6,"0-6mo",IF(E440&lt;12,"6-12mo",IF(E440&lt;24,"12-24mo","24mo+"))))</f>
        <v>6-12mo</v>
      </c>
      <c r="T440" s="0" t="n">
        <f aca="false">IF(ISBLANK(C440),0,IF(C440="Month-to-month",2,IF(C440="One year",1,0)))+IF(ISBLANK(I440),0,IF(I440&lt;40,2,IF(I440&lt;55,1,0)))+IF(ISBLANK(M440),0,IF(M440=1,3,0))+IF(ISBLANK(L440),0,IF(L440&gt;=2,1,0))+IF(ISBLANK(E440),0,IF(E440&lt;12,1,0))</f>
        <v>3</v>
      </c>
      <c r="U440" s="0" t="str">
        <f aca="false">IF((ISBLANK(B440)*1+ISBLANK(C440)*1+ISBLANK(D440)*1+ISBLANK(E440)*1+ISBLANK(F440)*1+ISBLANK(I440)*1+ISBLANK(J440)*1+ISBLANK(K440)*1+ISBLANK(L440)*1+ISBLANK(M440)*1+ISBLANK(N440)*1+ISBLANK(O440)*1)&gt;0,"Missing Data","OK")</f>
        <v>OK</v>
      </c>
      <c r="V440" s="0" t="str">
        <f aca="false">IF(T440&gt;=6,"High Risk",IF(T440&gt;=3,"Medium Risk","Low Risk"))</f>
        <v>Medium Risk</v>
      </c>
    </row>
    <row r="441" customFormat="false" ht="12.8" hidden="false" customHeight="false" outlineLevel="0" collapsed="false">
      <c r="A441" s="1" t="s">
        <v>471</v>
      </c>
      <c r="B441" s="1" t="s">
        <v>23</v>
      </c>
      <c r="C441" s="1" t="s">
        <v>34</v>
      </c>
      <c r="D441" s="1" t="n">
        <v>20.26</v>
      </c>
      <c r="E441" s="1" t="n">
        <v>44</v>
      </c>
      <c r="F441" s="4" t="n">
        <v>44426</v>
      </c>
      <c r="G441" s="1" t="s">
        <v>25</v>
      </c>
      <c r="H441" s="1" t="n">
        <v>1</v>
      </c>
      <c r="I441" s="1" t="n">
        <v>56.8</v>
      </c>
      <c r="J441" s="1" t="n">
        <v>16</v>
      </c>
      <c r="K441" s="1" t="n">
        <v>6</v>
      </c>
      <c r="L441" s="1" t="n">
        <v>0</v>
      </c>
      <c r="M441" s="1" t="n">
        <v>0</v>
      </c>
      <c r="N441" s="1" t="n">
        <v>891.44</v>
      </c>
      <c r="O441" s="1" t="n">
        <v>0</v>
      </c>
      <c r="Q441" s="4" t="n">
        <v>45765</v>
      </c>
      <c r="R441" s="0" t="n">
        <f aca="false">IF(ISBLANK(F441),"Missing",IFERROR(YEAR(F441),"Missing"))</f>
        <v>2021</v>
      </c>
      <c r="S441" s="0" t="str">
        <f aca="false">IF(ISBLANK(E441),"Missing",IF(E441&lt;6,"0-6mo",IF(E441&lt;12,"6-12mo",IF(E441&lt;24,"12-24mo","24mo+"))))</f>
        <v>24mo+</v>
      </c>
      <c r="T441" s="0" t="n">
        <f aca="false">IF(ISBLANK(C441),0,IF(C441="Month-to-month",2,IF(C441="One year",1,0)))+IF(ISBLANK(I441),0,IF(I441&lt;40,2,IF(I441&lt;55,1,0)))+IF(ISBLANK(M441),0,IF(M441=1,3,0))+IF(ISBLANK(L441),0,IF(L441&gt;=2,1,0))+IF(ISBLANK(E441),0,IF(E441&lt;12,1,0))</f>
        <v>1</v>
      </c>
      <c r="U441" s="0" t="str">
        <f aca="false">IF((ISBLANK(B441)*1+ISBLANK(C441)*1+ISBLANK(D441)*1+ISBLANK(E441)*1+ISBLANK(F441)*1+ISBLANK(I441)*1+ISBLANK(J441)*1+ISBLANK(K441)*1+ISBLANK(L441)*1+ISBLANK(M441)*1+ISBLANK(N441)*1+ISBLANK(O441)*1)&gt;0,"Missing Data","OK")</f>
        <v>OK</v>
      </c>
      <c r="V441" s="0" t="str">
        <f aca="false">IF(T441&gt;=6,"High Risk",IF(T441&gt;=3,"Medium Risk","Low Risk"))</f>
        <v>Low Risk</v>
      </c>
    </row>
    <row r="442" customFormat="false" ht="12.8" hidden="false" customHeight="false" outlineLevel="0" collapsed="false">
      <c r="A442" s="1" t="s">
        <v>472</v>
      </c>
      <c r="B442" s="1" t="s">
        <v>36</v>
      </c>
      <c r="C442" s="1" t="s">
        <v>24</v>
      </c>
      <c r="D442" s="1" t="n">
        <v>9.38</v>
      </c>
      <c r="E442" s="1" t="n">
        <v>1</v>
      </c>
      <c r="F442" s="4" t="n">
        <v>44427</v>
      </c>
      <c r="G442" s="1" t="s">
        <v>25</v>
      </c>
      <c r="H442" s="1" t="n">
        <v>1</v>
      </c>
      <c r="I442" s="1" t="n">
        <v>72.6</v>
      </c>
      <c r="J442" s="1" t="n">
        <v>24</v>
      </c>
      <c r="K442" s="1" t="n">
        <v>6</v>
      </c>
      <c r="L442" s="1" t="n">
        <v>0</v>
      </c>
      <c r="M442" s="1" t="n">
        <v>0</v>
      </c>
      <c r="N442" s="1" t="n">
        <v>9.38</v>
      </c>
      <c r="O442" s="1" t="n">
        <v>0</v>
      </c>
      <c r="Q442" s="4" t="n">
        <v>44457</v>
      </c>
      <c r="R442" s="0" t="n">
        <f aca="false">IF(ISBLANK(F442),"Missing",IFERROR(YEAR(F442),"Missing"))</f>
        <v>2021</v>
      </c>
      <c r="S442" s="0" t="str">
        <f aca="false">IF(ISBLANK(E442),"Missing",IF(E442&lt;6,"0-6mo",IF(E442&lt;12,"6-12mo",IF(E442&lt;24,"12-24mo","24mo+"))))</f>
        <v>0-6mo</v>
      </c>
      <c r="T442" s="0" t="n">
        <f aca="false">IF(ISBLANK(C442),0,IF(C442="Month-to-month",2,IF(C442="One year",1,0)))+IF(ISBLANK(I442),0,IF(I442&lt;40,2,IF(I442&lt;55,1,0)))+IF(ISBLANK(M442),0,IF(M442=1,3,0))+IF(ISBLANK(L442),0,IF(L442&gt;=2,1,0))+IF(ISBLANK(E442),0,IF(E442&lt;12,1,0))</f>
        <v>3</v>
      </c>
      <c r="U442" s="0" t="str">
        <f aca="false">IF((ISBLANK(B442)*1+ISBLANK(C442)*1+ISBLANK(D442)*1+ISBLANK(E442)*1+ISBLANK(F442)*1+ISBLANK(I442)*1+ISBLANK(J442)*1+ISBLANK(K442)*1+ISBLANK(L442)*1+ISBLANK(M442)*1+ISBLANK(N442)*1+ISBLANK(O442)*1)&gt;0,"Missing Data","OK")</f>
        <v>OK</v>
      </c>
      <c r="V442" s="0" t="str">
        <f aca="false">IF(T442&gt;=6,"High Risk",IF(T442&gt;=3,"Medium Risk","Low Risk"))</f>
        <v>Medium Risk</v>
      </c>
    </row>
    <row r="443" customFormat="false" ht="12.8" hidden="false" customHeight="false" outlineLevel="0" collapsed="false">
      <c r="A443" s="1" t="s">
        <v>473</v>
      </c>
      <c r="B443" s="1" t="s">
        <v>36</v>
      </c>
      <c r="C443" s="1" t="s">
        <v>24</v>
      </c>
      <c r="D443" s="1" t="n">
        <v>10.11</v>
      </c>
      <c r="E443" s="1" t="n">
        <v>29</v>
      </c>
      <c r="F443" s="4" t="n">
        <v>44428</v>
      </c>
      <c r="G443" s="1" t="s">
        <v>39</v>
      </c>
      <c r="H443" s="1" t="n">
        <v>0</v>
      </c>
      <c r="I443" s="1" t="n">
        <v>81.7</v>
      </c>
      <c r="J443" s="1" t="n">
        <v>22</v>
      </c>
      <c r="K443" s="1" t="n">
        <v>8</v>
      </c>
      <c r="L443" s="1" t="n">
        <v>0</v>
      </c>
      <c r="M443" s="1" t="n">
        <v>0</v>
      </c>
      <c r="N443" s="1" t="n">
        <v>293.19</v>
      </c>
      <c r="O443" s="1" t="n">
        <v>0</v>
      </c>
      <c r="Q443" s="4" t="n">
        <v>45310</v>
      </c>
      <c r="R443" s="0" t="n">
        <f aca="false">IF(ISBLANK(F443),"Missing",IFERROR(YEAR(F443),"Missing"))</f>
        <v>2021</v>
      </c>
      <c r="S443" s="0" t="str">
        <f aca="false">IF(ISBLANK(E443),"Missing",IF(E443&lt;6,"0-6mo",IF(E443&lt;12,"6-12mo",IF(E443&lt;24,"12-24mo","24mo+"))))</f>
        <v>24mo+</v>
      </c>
      <c r="T443" s="0" t="n">
        <f aca="false">IF(ISBLANK(C443),0,IF(C443="Month-to-month",2,IF(C443="One year",1,0)))+IF(ISBLANK(I443),0,IF(I443&lt;40,2,IF(I443&lt;55,1,0)))+IF(ISBLANK(M443),0,IF(M443=1,3,0))+IF(ISBLANK(L443),0,IF(L443&gt;=2,1,0))+IF(ISBLANK(E443),0,IF(E443&lt;12,1,0))</f>
        <v>2</v>
      </c>
      <c r="U443" s="0" t="str">
        <f aca="false">IF((ISBLANK(B443)*1+ISBLANK(C443)*1+ISBLANK(D443)*1+ISBLANK(E443)*1+ISBLANK(F443)*1+ISBLANK(I443)*1+ISBLANK(J443)*1+ISBLANK(K443)*1+ISBLANK(L443)*1+ISBLANK(M443)*1+ISBLANK(N443)*1+ISBLANK(O443)*1)&gt;0,"Missing Data","OK")</f>
        <v>OK</v>
      </c>
      <c r="V443" s="0" t="str">
        <f aca="false">IF(T443&gt;=6,"High Risk",IF(T443&gt;=3,"Medium Risk","Low Risk"))</f>
        <v>Low Risk</v>
      </c>
    </row>
    <row r="444" customFormat="false" ht="12.8" hidden="false" customHeight="false" outlineLevel="0" collapsed="false">
      <c r="A444" s="1" t="s">
        <v>474</v>
      </c>
      <c r="B444" s="1" t="s">
        <v>36</v>
      </c>
      <c r="C444" s="1" t="s">
        <v>34</v>
      </c>
      <c r="D444" s="1" t="n">
        <v>11.1</v>
      </c>
      <c r="E444" s="1" t="n">
        <v>12</v>
      </c>
      <c r="F444" s="4" t="n">
        <v>44428</v>
      </c>
      <c r="G444" s="1" t="s">
        <v>39</v>
      </c>
      <c r="H444" s="1" t="n">
        <v>1</v>
      </c>
      <c r="I444" s="1" t="n">
        <v>52.7</v>
      </c>
      <c r="J444" s="1" t="n">
        <v>13</v>
      </c>
      <c r="K444" s="1" t="n">
        <v>5</v>
      </c>
      <c r="L444" s="1" t="n">
        <v>1</v>
      </c>
      <c r="M444" s="1" t="n">
        <v>0</v>
      </c>
      <c r="N444" s="1" t="n">
        <v>133.2</v>
      </c>
      <c r="O444" s="1" t="n">
        <v>0</v>
      </c>
      <c r="Q444" s="4" t="n">
        <v>44793</v>
      </c>
      <c r="R444" s="0" t="n">
        <f aca="false">IF(ISBLANK(F444),"Missing",IFERROR(YEAR(F444),"Missing"))</f>
        <v>2021</v>
      </c>
      <c r="S444" s="0" t="str">
        <f aca="false">IF(ISBLANK(E444),"Missing",IF(E444&lt;6,"0-6mo",IF(E444&lt;12,"6-12mo",IF(E444&lt;24,"12-24mo","24mo+"))))</f>
        <v>12-24mo</v>
      </c>
      <c r="T444" s="0" t="n">
        <f aca="false">IF(ISBLANK(C444),0,IF(C444="Month-to-month",2,IF(C444="One year",1,0)))+IF(ISBLANK(I444),0,IF(I444&lt;40,2,IF(I444&lt;55,1,0)))+IF(ISBLANK(M444),0,IF(M444=1,3,0))+IF(ISBLANK(L444),0,IF(L444&gt;=2,1,0))+IF(ISBLANK(E444),0,IF(E444&lt;12,1,0))</f>
        <v>2</v>
      </c>
      <c r="U444" s="0" t="str">
        <f aca="false">IF((ISBLANK(B444)*1+ISBLANK(C444)*1+ISBLANK(D444)*1+ISBLANK(E444)*1+ISBLANK(F444)*1+ISBLANK(I444)*1+ISBLANK(J444)*1+ISBLANK(K444)*1+ISBLANK(L444)*1+ISBLANK(M444)*1+ISBLANK(N444)*1+ISBLANK(O444)*1)&gt;0,"Missing Data","OK")</f>
        <v>OK</v>
      </c>
      <c r="V444" s="0" t="str">
        <f aca="false">IF(T444&gt;=6,"High Risk",IF(T444&gt;=3,"Medium Risk","Low Risk"))</f>
        <v>Low Risk</v>
      </c>
    </row>
    <row r="445" customFormat="false" ht="12.8" hidden="false" customHeight="false" outlineLevel="0" collapsed="false">
      <c r="A445" s="1" t="s">
        <v>475</v>
      </c>
      <c r="B445" s="1" t="s">
        <v>29</v>
      </c>
      <c r="C445" s="1" t="s">
        <v>51</v>
      </c>
      <c r="D445" s="1" t="n">
        <v>40.62</v>
      </c>
      <c r="E445" s="1" t="n">
        <v>29</v>
      </c>
      <c r="F445" s="4" t="n">
        <v>44429</v>
      </c>
      <c r="G445" s="1" t="s">
        <v>25</v>
      </c>
      <c r="H445" s="1" t="n">
        <v>1</v>
      </c>
      <c r="I445" s="1" t="n">
        <v>51.8</v>
      </c>
      <c r="J445" s="1" t="n">
        <v>11</v>
      </c>
      <c r="K445" s="1" t="n">
        <v>6</v>
      </c>
      <c r="L445" s="1" t="n">
        <v>2</v>
      </c>
      <c r="M445" s="1" t="n">
        <v>0</v>
      </c>
      <c r="N445" s="1" t="n">
        <v>1177.98</v>
      </c>
      <c r="O445" s="1" t="n">
        <v>0</v>
      </c>
      <c r="Q445" s="4" t="n">
        <v>45311</v>
      </c>
      <c r="R445" s="0" t="n">
        <f aca="false">IF(ISBLANK(F445),"Missing",IFERROR(YEAR(F445),"Missing"))</f>
        <v>2021</v>
      </c>
      <c r="S445" s="0" t="str">
        <f aca="false">IF(ISBLANK(E445),"Missing",IF(E445&lt;6,"0-6mo",IF(E445&lt;12,"6-12mo",IF(E445&lt;24,"12-24mo","24mo+"))))</f>
        <v>24mo+</v>
      </c>
      <c r="T445" s="0" t="n">
        <f aca="false">IF(ISBLANK(C445),0,IF(C445="Month-to-month",2,IF(C445="One year",1,0)))+IF(ISBLANK(I445),0,IF(I445&lt;40,2,IF(I445&lt;55,1,0)))+IF(ISBLANK(M445),0,IF(M445=1,3,0))+IF(ISBLANK(L445),0,IF(L445&gt;=2,1,0))+IF(ISBLANK(E445),0,IF(E445&lt;12,1,0))</f>
        <v>2</v>
      </c>
      <c r="U445" s="0" t="str">
        <f aca="false">IF((ISBLANK(B445)*1+ISBLANK(C445)*1+ISBLANK(D445)*1+ISBLANK(E445)*1+ISBLANK(F445)*1+ISBLANK(I445)*1+ISBLANK(J445)*1+ISBLANK(K445)*1+ISBLANK(L445)*1+ISBLANK(M445)*1+ISBLANK(N445)*1+ISBLANK(O445)*1)&gt;0,"Missing Data","OK")</f>
        <v>OK</v>
      </c>
      <c r="V445" s="0" t="str">
        <f aca="false">IF(T445&gt;=6,"High Risk",IF(T445&gt;=3,"Medium Risk","Low Risk"))</f>
        <v>Low Risk</v>
      </c>
    </row>
    <row r="446" customFormat="false" ht="12.8" hidden="false" customHeight="false" outlineLevel="0" collapsed="false">
      <c r="A446" s="1" t="s">
        <v>476</v>
      </c>
      <c r="B446" s="1" t="s">
        <v>23</v>
      </c>
      <c r="C446" s="1" t="s">
        <v>24</v>
      </c>
      <c r="D446" s="1" t="n">
        <v>20.11</v>
      </c>
      <c r="E446" s="1" t="n">
        <v>0</v>
      </c>
      <c r="F446" s="4" t="n">
        <v>44429</v>
      </c>
      <c r="G446" s="1" t="s">
        <v>39</v>
      </c>
      <c r="H446" s="1" t="n">
        <v>0</v>
      </c>
      <c r="I446" s="1" t="n">
        <v>47.5</v>
      </c>
      <c r="J446" s="1" t="n">
        <v>12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  <c r="Q446" s="4" t="n">
        <v>44429</v>
      </c>
      <c r="R446" s="0" t="n">
        <f aca="false">IF(ISBLANK(F446),"Missing",IFERROR(YEAR(F446),"Missing"))</f>
        <v>2021</v>
      </c>
      <c r="S446" s="0" t="str">
        <f aca="false">IF(ISBLANK(E446),"Missing",IF(E446&lt;6,"0-6mo",IF(E446&lt;12,"6-12mo",IF(E446&lt;24,"12-24mo","24mo+"))))</f>
        <v>0-6mo</v>
      </c>
      <c r="T446" s="0" t="n">
        <f aca="false">IF(ISBLANK(C446),0,IF(C446="Month-to-month",2,IF(C446="One year",1,0)))+IF(ISBLANK(I446),0,IF(I446&lt;40,2,IF(I446&lt;55,1,0)))+IF(ISBLANK(M446),0,IF(M446=1,3,0))+IF(ISBLANK(L446),0,IF(L446&gt;=2,1,0))+IF(ISBLANK(E446),0,IF(E446&lt;12,1,0))</f>
        <v>4</v>
      </c>
      <c r="U446" s="0" t="str">
        <f aca="false">IF((ISBLANK(B446)*1+ISBLANK(C446)*1+ISBLANK(D446)*1+ISBLANK(E446)*1+ISBLANK(F446)*1+ISBLANK(I446)*1+ISBLANK(J446)*1+ISBLANK(K446)*1+ISBLANK(L446)*1+ISBLANK(M446)*1+ISBLANK(N446)*1+ISBLANK(O446)*1)&gt;0,"Missing Data","OK")</f>
        <v>OK</v>
      </c>
      <c r="V446" s="0" t="str">
        <f aca="false">IF(T446&gt;=6,"High Risk",IF(T446&gt;=3,"Medium Risk","Low Risk"))</f>
        <v>Medium Risk</v>
      </c>
    </row>
    <row r="447" customFormat="false" ht="12.8" hidden="false" customHeight="false" outlineLevel="0" collapsed="false">
      <c r="A447" s="1" t="s">
        <v>477</v>
      </c>
      <c r="B447" s="1" t="s">
        <v>36</v>
      </c>
      <c r="C447" s="1" t="s">
        <v>24</v>
      </c>
      <c r="D447" s="1" t="n">
        <v>9.24</v>
      </c>
      <c r="E447" s="1" t="n">
        <v>5</v>
      </c>
      <c r="F447" s="4" t="n">
        <v>44431</v>
      </c>
      <c r="G447" s="1" t="s">
        <v>39</v>
      </c>
      <c r="H447" s="1" t="n">
        <v>1</v>
      </c>
      <c r="I447" s="1" t="n">
        <v>37.1</v>
      </c>
      <c r="J447" s="1" t="n">
        <v>16</v>
      </c>
      <c r="K447" s="1" t="n">
        <v>3</v>
      </c>
      <c r="L447" s="1" t="n">
        <v>1</v>
      </c>
      <c r="M447" s="1" t="n">
        <v>0</v>
      </c>
      <c r="N447" s="1" t="n">
        <v>46.2</v>
      </c>
      <c r="O447" s="1" t="n">
        <v>0</v>
      </c>
      <c r="Q447" s="4" t="n">
        <v>44583</v>
      </c>
      <c r="R447" s="0" t="n">
        <f aca="false">IF(ISBLANK(F447),"Missing",IFERROR(YEAR(F447),"Missing"))</f>
        <v>2021</v>
      </c>
      <c r="S447" s="0" t="str">
        <f aca="false">IF(ISBLANK(E447),"Missing",IF(E447&lt;6,"0-6mo",IF(E447&lt;12,"6-12mo",IF(E447&lt;24,"12-24mo","24mo+"))))</f>
        <v>0-6mo</v>
      </c>
      <c r="T447" s="0" t="n">
        <f aca="false">IF(ISBLANK(C447),0,IF(C447="Month-to-month",2,IF(C447="One year",1,0)))+IF(ISBLANK(I447),0,IF(I447&lt;40,2,IF(I447&lt;55,1,0)))+IF(ISBLANK(M447),0,IF(M447=1,3,0))+IF(ISBLANK(L447),0,IF(L447&gt;=2,1,0))+IF(ISBLANK(E447),0,IF(E447&lt;12,1,0))</f>
        <v>5</v>
      </c>
      <c r="U447" s="0" t="str">
        <f aca="false">IF((ISBLANK(B447)*1+ISBLANK(C447)*1+ISBLANK(D447)*1+ISBLANK(E447)*1+ISBLANK(F447)*1+ISBLANK(I447)*1+ISBLANK(J447)*1+ISBLANK(K447)*1+ISBLANK(L447)*1+ISBLANK(M447)*1+ISBLANK(N447)*1+ISBLANK(O447)*1)&gt;0,"Missing Data","OK")</f>
        <v>OK</v>
      </c>
      <c r="V447" s="0" t="str">
        <f aca="false">IF(T447&gt;=6,"High Risk",IF(T447&gt;=3,"Medium Risk","Low Risk"))</f>
        <v>Medium Risk</v>
      </c>
    </row>
    <row r="448" customFormat="false" ht="12.8" hidden="false" customHeight="false" outlineLevel="0" collapsed="false">
      <c r="A448" s="1" t="s">
        <v>478</v>
      </c>
      <c r="B448" s="1" t="s">
        <v>36</v>
      </c>
      <c r="C448" s="1" t="s">
        <v>24</v>
      </c>
      <c r="D448" s="1" t="n">
        <v>9.31</v>
      </c>
      <c r="E448" s="1" t="n">
        <v>25</v>
      </c>
      <c r="F448" s="4" t="n">
        <v>44431</v>
      </c>
      <c r="G448" s="1" t="s">
        <v>25</v>
      </c>
      <c r="H448" s="1" t="n">
        <v>1</v>
      </c>
      <c r="I448" s="1" t="n">
        <v>20.6</v>
      </c>
      <c r="J448" s="1" t="n">
        <v>5</v>
      </c>
      <c r="K448" s="1" t="n">
        <v>2</v>
      </c>
      <c r="L448" s="1" t="n">
        <v>2</v>
      </c>
      <c r="M448" s="1" t="n">
        <v>0</v>
      </c>
      <c r="N448" s="1" t="n">
        <v>232.75</v>
      </c>
      <c r="O448" s="1" t="n">
        <v>1</v>
      </c>
      <c r="P448" s="4" t="n">
        <v>45192</v>
      </c>
      <c r="Q448" s="4" t="n">
        <v>45192</v>
      </c>
      <c r="R448" s="0" t="n">
        <f aca="false">IF(ISBLANK(F448),"Missing",IFERROR(YEAR(F448),"Missing"))</f>
        <v>2021</v>
      </c>
      <c r="S448" s="0" t="str">
        <f aca="false">IF(ISBLANK(E448),"Missing",IF(E448&lt;6,"0-6mo",IF(E448&lt;12,"6-12mo",IF(E448&lt;24,"12-24mo","24mo+"))))</f>
        <v>24mo+</v>
      </c>
      <c r="T448" s="0" t="n">
        <f aca="false">IF(ISBLANK(C448),0,IF(C448="Month-to-month",2,IF(C448="One year",1,0)))+IF(ISBLANK(I448),0,IF(I448&lt;40,2,IF(I448&lt;55,1,0)))+IF(ISBLANK(M448),0,IF(M448=1,3,0))+IF(ISBLANK(L448),0,IF(L448&gt;=2,1,0))+IF(ISBLANK(E448),0,IF(E448&lt;12,1,0))</f>
        <v>5</v>
      </c>
      <c r="U448" s="0" t="str">
        <f aca="false">IF((ISBLANK(B448)*1+ISBLANK(C448)*1+ISBLANK(D448)*1+ISBLANK(E448)*1+ISBLANK(F448)*1+ISBLANK(I448)*1+ISBLANK(J448)*1+ISBLANK(K448)*1+ISBLANK(L448)*1+ISBLANK(M448)*1+ISBLANK(N448)*1+ISBLANK(O448)*1)&gt;0,"Missing Data","OK")</f>
        <v>OK</v>
      </c>
      <c r="V448" s="0" t="str">
        <f aca="false">IF(T448&gt;=6,"High Risk",IF(T448&gt;=3,"Medium Risk","Low Risk"))</f>
        <v>Medium Risk</v>
      </c>
    </row>
    <row r="449" customFormat="false" ht="12.8" hidden="false" customHeight="false" outlineLevel="0" collapsed="false">
      <c r="A449" s="1" t="s">
        <v>479</v>
      </c>
      <c r="B449" s="1" t="s">
        <v>23</v>
      </c>
      <c r="C449" s="1" t="s">
        <v>51</v>
      </c>
      <c r="D449" s="1" t="n">
        <v>19.8</v>
      </c>
      <c r="E449" s="1" t="n">
        <v>18</v>
      </c>
      <c r="F449" s="4" t="n">
        <v>44434</v>
      </c>
      <c r="G449" s="1" t="s">
        <v>25</v>
      </c>
      <c r="H449" s="1" t="n">
        <v>1</v>
      </c>
      <c r="I449" s="1" t="n">
        <v>77.1</v>
      </c>
      <c r="J449" s="1" t="n">
        <v>22</v>
      </c>
      <c r="K449" s="1" t="n">
        <v>10</v>
      </c>
      <c r="L449" s="1" t="n">
        <v>2</v>
      </c>
      <c r="M449" s="1" t="n">
        <v>0</v>
      </c>
      <c r="N449" s="1" t="n">
        <v>356.4</v>
      </c>
      <c r="O449" s="1" t="n">
        <v>0</v>
      </c>
      <c r="Q449" s="4" t="n">
        <v>44981</v>
      </c>
      <c r="R449" s="0" t="n">
        <f aca="false">IF(ISBLANK(F449),"Missing",IFERROR(YEAR(F449),"Missing"))</f>
        <v>2021</v>
      </c>
      <c r="S449" s="0" t="str">
        <f aca="false">IF(ISBLANK(E449),"Missing",IF(E449&lt;6,"0-6mo",IF(E449&lt;12,"6-12mo",IF(E449&lt;24,"12-24mo","24mo+"))))</f>
        <v>12-24mo</v>
      </c>
      <c r="T449" s="0" t="n">
        <f aca="false">IF(ISBLANK(C449),0,IF(C449="Month-to-month",2,IF(C449="One year",1,0)))+IF(ISBLANK(I449),0,IF(I449&lt;40,2,IF(I449&lt;55,1,0)))+IF(ISBLANK(M449),0,IF(M449=1,3,0))+IF(ISBLANK(L449),0,IF(L449&gt;=2,1,0))+IF(ISBLANK(E449),0,IF(E449&lt;12,1,0))</f>
        <v>1</v>
      </c>
      <c r="U449" s="0" t="str">
        <f aca="false">IF((ISBLANK(B449)*1+ISBLANK(C449)*1+ISBLANK(D449)*1+ISBLANK(E449)*1+ISBLANK(F449)*1+ISBLANK(I449)*1+ISBLANK(J449)*1+ISBLANK(K449)*1+ISBLANK(L449)*1+ISBLANK(M449)*1+ISBLANK(N449)*1+ISBLANK(O449)*1)&gt;0,"Missing Data","OK")</f>
        <v>OK</v>
      </c>
      <c r="V449" s="0" t="str">
        <f aca="false">IF(T449&gt;=6,"High Risk",IF(T449&gt;=3,"Medium Risk","Low Risk"))</f>
        <v>Low Risk</v>
      </c>
    </row>
    <row r="450" customFormat="false" ht="12.8" hidden="false" customHeight="false" outlineLevel="0" collapsed="false">
      <c r="A450" s="1" t="s">
        <v>480</v>
      </c>
      <c r="B450" s="1" t="s">
        <v>36</v>
      </c>
      <c r="C450" s="1" t="s">
        <v>34</v>
      </c>
      <c r="D450" s="1" t="n">
        <v>9.65</v>
      </c>
      <c r="E450" s="1" t="n">
        <v>19</v>
      </c>
      <c r="F450" s="4" t="n">
        <v>44435</v>
      </c>
      <c r="G450" s="1" t="s">
        <v>39</v>
      </c>
      <c r="H450" s="1" t="n">
        <v>1</v>
      </c>
      <c r="I450" s="1" t="n">
        <v>41.6</v>
      </c>
      <c r="J450" s="1" t="n">
        <v>7</v>
      </c>
      <c r="K450" s="1" t="n">
        <v>5</v>
      </c>
      <c r="L450" s="1" t="n">
        <v>1</v>
      </c>
      <c r="M450" s="1" t="n">
        <v>0</v>
      </c>
      <c r="N450" s="1" t="n">
        <v>183.35</v>
      </c>
      <c r="O450" s="1" t="n">
        <v>0</v>
      </c>
      <c r="Q450" s="4" t="n">
        <v>45013</v>
      </c>
      <c r="R450" s="0" t="n">
        <f aca="false">IF(ISBLANK(F450),"Missing",IFERROR(YEAR(F450),"Missing"))</f>
        <v>2021</v>
      </c>
      <c r="S450" s="0" t="str">
        <f aca="false">IF(ISBLANK(E450),"Missing",IF(E450&lt;6,"0-6mo",IF(E450&lt;12,"6-12mo",IF(E450&lt;24,"12-24mo","24mo+"))))</f>
        <v>12-24mo</v>
      </c>
      <c r="T450" s="0" t="n">
        <f aca="false">IF(ISBLANK(C450),0,IF(C450="Month-to-month",2,IF(C450="One year",1,0)))+IF(ISBLANK(I450),0,IF(I450&lt;40,2,IF(I450&lt;55,1,0)))+IF(ISBLANK(M450),0,IF(M450=1,3,0))+IF(ISBLANK(L450),0,IF(L450&gt;=2,1,0))+IF(ISBLANK(E450),0,IF(E450&lt;12,1,0))</f>
        <v>2</v>
      </c>
      <c r="U450" s="0" t="str">
        <f aca="false">IF((ISBLANK(B450)*1+ISBLANK(C450)*1+ISBLANK(D450)*1+ISBLANK(E450)*1+ISBLANK(F450)*1+ISBLANK(I450)*1+ISBLANK(J450)*1+ISBLANK(K450)*1+ISBLANK(L450)*1+ISBLANK(M450)*1+ISBLANK(N450)*1+ISBLANK(O450)*1)&gt;0,"Missing Data","OK")</f>
        <v>OK</v>
      </c>
      <c r="V450" s="0" t="str">
        <f aca="false">IF(T450&gt;=6,"High Risk",IF(T450&gt;=3,"Medium Risk","Low Risk"))</f>
        <v>Low Risk</v>
      </c>
    </row>
    <row r="451" customFormat="false" ht="12.8" hidden="false" customHeight="false" outlineLevel="0" collapsed="false">
      <c r="A451" s="1" t="s">
        <v>481</v>
      </c>
      <c r="B451" s="1" t="s">
        <v>23</v>
      </c>
      <c r="C451" s="1" t="s">
        <v>24</v>
      </c>
      <c r="D451" s="1" t="n">
        <v>19.18</v>
      </c>
      <c r="E451" s="1" t="n">
        <v>27</v>
      </c>
      <c r="F451" s="4" t="n">
        <v>44435</v>
      </c>
      <c r="G451" s="1" t="s">
        <v>30</v>
      </c>
      <c r="H451" s="1" t="n">
        <v>1</v>
      </c>
      <c r="I451" s="1" t="n">
        <v>50.5</v>
      </c>
      <c r="J451" s="1" t="n">
        <v>15</v>
      </c>
      <c r="K451" s="1" t="n">
        <v>4</v>
      </c>
      <c r="L451" s="1" t="n">
        <v>0</v>
      </c>
      <c r="M451" s="1" t="n">
        <v>0</v>
      </c>
      <c r="N451" s="1" t="n">
        <v>517.86</v>
      </c>
      <c r="O451" s="1" t="n">
        <v>0</v>
      </c>
      <c r="Q451" s="4" t="n">
        <v>45256</v>
      </c>
      <c r="R451" s="0" t="n">
        <f aca="false">IF(ISBLANK(F451),"Missing",IFERROR(YEAR(F451),"Missing"))</f>
        <v>2021</v>
      </c>
      <c r="S451" s="0" t="str">
        <f aca="false">IF(ISBLANK(E451),"Missing",IF(E451&lt;6,"0-6mo",IF(E451&lt;12,"6-12mo",IF(E451&lt;24,"12-24mo","24mo+"))))</f>
        <v>24mo+</v>
      </c>
      <c r="T451" s="0" t="n">
        <f aca="false">IF(ISBLANK(C451),0,IF(C451="Month-to-month",2,IF(C451="One year",1,0)))+IF(ISBLANK(I451),0,IF(I451&lt;40,2,IF(I451&lt;55,1,0)))+IF(ISBLANK(M451),0,IF(M451=1,3,0))+IF(ISBLANK(L451),0,IF(L451&gt;=2,1,0))+IF(ISBLANK(E451),0,IF(E451&lt;12,1,0))</f>
        <v>3</v>
      </c>
      <c r="U451" s="0" t="str">
        <f aca="false">IF((ISBLANK(B451)*1+ISBLANK(C451)*1+ISBLANK(D451)*1+ISBLANK(E451)*1+ISBLANK(F451)*1+ISBLANK(I451)*1+ISBLANK(J451)*1+ISBLANK(K451)*1+ISBLANK(L451)*1+ISBLANK(M451)*1+ISBLANK(N451)*1+ISBLANK(O451)*1)&gt;0,"Missing Data","OK")</f>
        <v>OK</v>
      </c>
      <c r="V451" s="0" t="str">
        <f aca="false">IF(T451&gt;=6,"High Risk",IF(T451&gt;=3,"Medium Risk","Low Risk"))</f>
        <v>Medium Risk</v>
      </c>
    </row>
    <row r="452" customFormat="false" ht="12.8" hidden="false" customHeight="false" outlineLevel="0" collapsed="false">
      <c r="A452" s="1" t="s">
        <v>482</v>
      </c>
      <c r="B452" s="1" t="s">
        <v>23</v>
      </c>
      <c r="C452" s="1" t="s">
        <v>24</v>
      </c>
      <c r="D452" s="1" t="n">
        <v>19.67</v>
      </c>
      <c r="E452" s="1" t="n">
        <v>3</v>
      </c>
      <c r="F452" s="4" t="n">
        <v>44436</v>
      </c>
      <c r="G452" s="1" t="s">
        <v>25</v>
      </c>
      <c r="H452" s="1" t="n">
        <v>1</v>
      </c>
      <c r="I452" s="1" t="n">
        <v>36.7</v>
      </c>
      <c r="J452" s="1" t="n">
        <v>18</v>
      </c>
      <c r="K452" s="1" t="n">
        <v>4</v>
      </c>
      <c r="L452" s="1" t="n">
        <v>2</v>
      </c>
      <c r="M452" s="1" t="n">
        <v>1</v>
      </c>
      <c r="N452" s="1" t="n">
        <v>59.01</v>
      </c>
      <c r="O452" s="1" t="n">
        <v>1</v>
      </c>
      <c r="P452" s="4" t="n">
        <v>44527</v>
      </c>
      <c r="Q452" s="4" t="n">
        <v>44527</v>
      </c>
      <c r="R452" s="0" t="n">
        <f aca="false">IF(ISBLANK(F452),"Missing",IFERROR(YEAR(F452),"Missing"))</f>
        <v>2021</v>
      </c>
      <c r="S452" s="0" t="str">
        <f aca="false">IF(ISBLANK(E452),"Missing",IF(E452&lt;6,"0-6mo",IF(E452&lt;12,"6-12mo",IF(E452&lt;24,"12-24mo","24mo+"))))</f>
        <v>0-6mo</v>
      </c>
      <c r="T452" s="0" t="n">
        <f aca="false">IF(ISBLANK(C452),0,IF(C452="Month-to-month",2,IF(C452="One year",1,0)))+IF(ISBLANK(I452),0,IF(I452&lt;40,2,IF(I452&lt;55,1,0)))+IF(ISBLANK(M452),0,IF(M452=1,3,0))+IF(ISBLANK(L452),0,IF(L452&gt;=2,1,0))+IF(ISBLANK(E452),0,IF(E452&lt;12,1,0))</f>
        <v>9</v>
      </c>
      <c r="U452" s="0" t="str">
        <f aca="false">IF((ISBLANK(B452)*1+ISBLANK(C452)*1+ISBLANK(D452)*1+ISBLANK(E452)*1+ISBLANK(F452)*1+ISBLANK(I452)*1+ISBLANK(J452)*1+ISBLANK(K452)*1+ISBLANK(L452)*1+ISBLANK(M452)*1+ISBLANK(N452)*1+ISBLANK(O452)*1)&gt;0,"Missing Data","OK")</f>
        <v>OK</v>
      </c>
      <c r="V452" s="0" t="str">
        <f aca="false">IF(T452&gt;=6,"High Risk",IF(T452&gt;=3,"Medium Risk","Low Risk"))</f>
        <v>High Risk</v>
      </c>
    </row>
    <row r="453" customFormat="false" ht="12.8" hidden="false" customHeight="false" outlineLevel="0" collapsed="false">
      <c r="A453" s="1" t="s">
        <v>483</v>
      </c>
      <c r="B453" s="1" t="s">
        <v>23</v>
      </c>
      <c r="C453" s="1" t="s">
        <v>24</v>
      </c>
      <c r="D453" s="1" t="n">
        <v>20.74</v>
      </c>
      <c r="E453" s="1" t="n">
        <v>11</v>
      </c>
      <c r="F453" s="4" t="n">
        <v>44436</v>
      </c>
      <c r="G453" s="1" t="s">
        <v>30</v>
      </c>
      <c r="H453" s="1" t="n">
        <v>1</v>
      </c>
      <c r="I453" s="1" t="n">
        <v>44.4</v>
      </c>
      <c r="J453" s="1" t="n">
        <v>8</v>
      </c>
      <c r="K453" s="1" t="n">
        <v>6</v>
      </c>
      <c r="L453" s="1" t="n">
        <v>0</v>
      </c>
      <c r="M453" s="1" t="n">
        <v>0</v>
      </c>
      <c r="N453" s="1" t="n">
        <v>228.14</v>
      </c>
      <c r="O453" s="1" t="n">
        <v>0</v>
      </c>
      <c r="Q453" s="4" t="n">
        <v>44770</v>
      </c>
      <c r="R453" s="0" t="n">
        <f aca="false">IF(ISBLANK(F453),"Missing",IFERROR(YEAR(F453),"Missing"))</f>
        <v>2021</v>
      </c>
      <c r="S453" s="0" t="str">
        <f aca="false">IF(ISBLANK(E453),"Missing",IF(E453&lt;6,"0-6mo",IF(E453&lt;12,"6-12mo",IF(E453&lt;24,"12-24mo","24mo+"))))</f>
        <v>6-12mo</v>
      </c>
      <c r="T453" s="0" t="n">
        <f aca="false">IF(ISBLANK(C453),0,IF(C453="Month-to-month",2,IF(C453="One year",1,0)))+IF(ISBLANK(I453),0,IF(I453&lt;40,2,IF(I453&lt;55,1,0)))+IF(ISBLANK(M453),0,IF(M453=1,3,0))+IF(ISBLANK(L453),0,IF(L453&gt;=2,1,0))+IF(ISBLANK(E453),0,IF(E453&lt;12,1,0))</f>
        <v>4</v>
      </c>
      <c r="U453" s="0" t="str">
        <f aca="false">IF((ISBLANK(B453)*1+ISBLANK(C453)*1+ISBLANK(D453)*1+ISBLANK(E453)*1+ISBLANK(F453)*1+ISBLANK(I453)*1+ISBLANK(J453)*1+ISBLANK(K453)*1+ISBLANK(L453)*1+ISBLANK(M453)*1+ISBLANK(N453)*1+ISBLANK(O453)*1)&gt;0,"Missing Data","OK")</f>
        <v>OK</v>
      </c>
      <c r="V453" s="0" t="str">
        <f aca="false">IF(T453&gt;=6,"High Risk",IF(T453&gt;=3,"Medium Risk","Low Risk"))</f>
        <v>Medium Risk</v>
      </c>
    </row>
    <row r="454" customFormat="false" ht="12.8" hidden="false" customHeight="false" outlineLevel="0" collapsed="false">
      <c r="A454" s="1" t="s">
        <v>484</v>
      </c>
      <c r="B454" s="1" t="s">
        <v>36</v>
      </c>
      <c r="C454" s="1" t="s">
        <v>24</v>
      </c>
      <c r="D454" s="1" t="n">
        <v>10.41</v>
      </c>
      <c r="E454" s="1" t="n">
        <v>60</v>
      </c>
      <c r="F454" s="4" t="n">
        <v>44437</v>
      </c>
      <c r="G454" s="1" t="s">
        <v>25</v>
      </c>
      <c r="H454" s="1" t="n">
        <v>1</v>
      </c>
      <c r="I454" s="1" t="n">
        <v>57.9</v>
      </c>
      <c r="J454" s="1" t="n">
        <v>14</v>
      </c>
      <c r="K454" s="1" t="n">
        <v>8</v>
      </c>
      <c r="L454" s="1" t="n">
        <v>0</v>
      </c>
      <c r="M454" s="1" t="n">
        <v>0</v>
      </c>
      <c r="N454" s="1" t="n">
        <v>624.6</v>
      </c>
      <c r="O454" s="1" t="n">
        <v>0</v>
      </c>
      <c r="Q454" s="4" t="n">
        <v>46263</v>
      </c>
      <c r="R454" s="0" t="n">
        <f aca="false">IF(ISBLANK(F454),"Missing",IFERROR(YEAR(F454),"Missing"))</f>
        <v>2021</v>
      </c>
      <c r="S454" s="0" t="str">
        <f aca="false">IF(ISBLANK(E454),"Missing",IF(E454&lt;6,"0-6mo",IF(E454&lt;12,"6-12mo",IF(E454&lt;24,"12-24mo","24mo+"))))</f>
        <v>24mo+</v>
      </c>
      <c r="T454" s="0" t="n">
        <f aca="false">IF(ISBLANK(C454),0,IF(C454="Month-to-month",2,IF(C454="One year",1,0)))+IF(ISBLANK(I454),0,IF(I454&lt;40,2,IF(I454&lt;55,1,0)))+IF(ISBLANK(M454),0,IF(M454=1,3,0))+IF(ISBLANK(L454),0,IF(L454&gt;=2,1,0))+IF(ISBLANK(E454),0,IF(E454&lt;12,1,0))</f>
        <v>2</v>
      </c>
      <c r="U454" s="0" t="str">
        <f aca="false">IF((ISBLANK(B454)*1+ISBLANK(C454)*1+ISBLANK(D454)*1+ISBLANK(E454)*1+ISBLANK(F454)*1+ISBLANK(I454)*1+ISBLANK(J454)*1+ISBLANK(K454)*1+ISBLANK(L454)*1+ISBLANK(M454)*1+ISBLANK(N454)*1+ISBLANK(O454)*1)&gt;0,"Missing Data","OK")</f>
        <v>OK</v>
      </c>
      <c r="V454" s="0" t="str">
        <f aca="false">IF(T454&gt;=6,"High Risk",IF(T454&gt;=3,"Medium Risk","Low Risk"))</f>
        <v>Low Risk</v>
      </c>
    </row>
    <row r="455" customFormat="false" ht="12.8" hidden="false" customHeight="false" outlineLevel="0" collapsed="false">
      <c r="A455" s="1" t="s">
        <v>485</v>
      </c>
      <c r="B455" s="1" t="s">
        <v>29</v>
      </c>
      <c r="C455" s="1" t="s">
        <v>51</v>
      </c>
      <c r="D455" s="1" t="n">
        <v>39.66</v>
      </c>
      <c r="E455" s="1" t="n">
        <v>1</v>
      </c>
      <c r="F455" s="4" t="n">
        <v>44438</v>
      </c>
      <c r="G455" s="1" t="s">
        <v>25</v>
      </c>
      <c r="H455" s="1" t="n">
        <v>0</v>
      </c>
      <c r="I455" s="1" t="n">
        <v>82.3</v>
      </c>
      <c r="J455" s="1" t="n">
        <v>26</v>
      </c>
      <c r="K455" s="1" t="n">
        <v>6</v>
      </c>
      <c r="L455" s="1" t="n">
        <v>2</v>
      </c>
      <c r="M455" s="1" t="n">
        <v>0</v>
      </c>
      <c r="N455" s="1" t="n">
        <v>39.66</v>
      </c>
      <c r="O455" s="1" t="n">
        <v>0</v>
      </c>
      <c r="Q455" s="4" t="n">
        <v>44468</v>
      </c>
      <c r="R455" s="0" t="n">
        <f aca="false">IF(ISBLANK(F455),"Missing",IFERROR(YEAR(F455),"Missing"))</f>
        <v>2021</v>
      </c>
      <c r="S455" s="0" t="str">
        <f aca="false">IF(ISBLANK(E455),"Missing",IF(E455&lt;6,"0-6mo",IF(E455&lt;12,"6-12mo",IF(E455&lt;24,"12-24mo","24mo+"))))</f>
        <v>0-6mo</v>
      </c>
      <c r="T455" s="0" t="n">
        <f aca="false">IF(ISBLANK(C455),0,IF(C455="Month-to-month",2,IF(C455="One year",1,0)))+IF(ISBLANK(I455),0,IF(I455&lt;40,2,IF(I455&lt;55,1,0)))+IF(ISBLANK(M455),0,IF(M455=1,3,0))+IF(ISBLANK(L455),0,IF(L455&gt;=2,1,0))+IF(ISBLANK(E455),0,IF(E455&lt;12,1,0))</f>
        <v>2</v>
      </c>
      <c r="U455" s="0" t="str">
        <f aca="false">IF((ISBLANK(B455)*1+ISBLANK(C455)*1+ISBLANK(D455)*1+ISBLANK(E455)*1+ISBLANK(F455)*1+ISBLANK(I455)*1+ISBLANK(J455)*1+ISBLANK(K455)*1+ISBLANK(L455)*1+ISBLANK(M455)*1+ISBLANK(N455)*1+ISBLANK(O455)*1)&gt;0,"Missing Data","OK")</f>
        <v>OK</v>
      </c>
      <c r="V455" s="0" t="str">
        <f aca="false">IF(T455&gt;=6,"High Risk",IF(T455&gt;=3,"Medium Risk","Low Risk"))</f>
        <v>Low Risk</v>
      </c>
    </row>
    <row r="456" customFormat="false" ht="12.8" hidden="false" customHeight="false" outlineLevel="0" collapsed="false">
      <c r="A456" s="1" t="s">
        <v>486</v>
      </c>
      <c r="B456" s="1" t="s">
        <v>29</v>
      </c>
      <c r="C456" s="1" t="s">
        <v>24</v>
      </c>
      <c r="D456" s="1" t="n">
        <v>38.9</v>
      </c>
      <c r="E456" s="1" t="n">
        <v>34</v>
      </c>
      <c r="F456" s="4" t="n">
        <v>44439</v>
      </c>
      <c r="G456" s="1" t="s">
        <v>25</v>
      </c>
      <c r="H456" s="1" t="n">
        <v>0</v>
      </c>
      <c r="I456" s="1" t="n">
        <v>89.6</v>
      </c>
      <c r="J456" s="1" t="n">
        <v>28</v>
      </c>
      <c r="K456" s="1" t="n">
        <v>7</v>
      </c>
      <c r="L456" s="1" t="n">
        <v>2</v>
      </c>
      <c r="M456" s="1" t="n">
        <v>1</v>
      </c>
      <c r="N456" s="1" t="n">
        <v>1322.6</v>
      </c>
      <c r="O456" s="1" t="n">
        <v>1</v>
      </c>
      <c r="P456" s="4" t="n">
        <v>45473</v>
      </c>
      <c r="Q456" s="4" t="n">
        <v>45473</v>
      </c>
      <c r="R456" s="0" t="n">
        <f aca="false">IF(ISBLANK(F456),"Missing",IFERROR(YEAR(F456),"Missing"))</f>
        <v>2021</v>
      </c>
      <c r="S456" s="0" t="str">
        <f aca="false">IF(ISBLANK(E456),"Missing",IF(E456&lt;6,"0-6mo",IF(E456&lt;12,"6-12mo",IF(E456&lt;24,"12-24mo","24mo+"))))</f>
        <v>24mo+</v>
      </c>
      <c r="T456" s="0" t="n">
        <f aca="false">IF(ISBLANK(C456),0,IF(C456="Month-to-month",2,IF(C456="One year",1,0)))+IF(ISBLANK(I456),0,IF(I456&lt;40,2,IF(I456&lt;55,1,0)))+IF(ISBLANK(M456),0,IF(M456=1,3,0))+IF(ISBLANK(L456),0,IF(L456&gt;=2,1,0))+IF(ISBLANK(E456),0,IF(E456&lt;12,1,0))</f>
        <v>6</v>
      </c>
      <c r="U456" s="0" t="str">
        <f aca="false">IF((ISBLANK(B456)*1+ISBLANK(C456)*1+ISBLANK(D456)*1+ISBLANK(E456)*1+ISBLANK(F456)*1+ISBLANK(I456)*1+ISBLANK(J456)*1+ISBLANK(K456)*1+ISBLANK(L456)*1+ISBLANK(M456)*1+ISBLANK(N456)*1+ISBLANK(O456)*1)&gt;0,"Missing Data","OK")</f>
        <v>OK</v>
      </c>
      <c r="V456" s="0" t="str">
        <f aca="false">IF(T456&gt;=6,"High Risk",IF(T456&gt;=3,"Medium Risk","Low Risk"))</f>
        <v>High Risk</v>
      </c>
    </row>
    <row r="457" customFormat="false" ht="12.8" hidden="false" customHeight="false" outlineLevel="0" collapsed="false">
      <c r="A457" s="1" t="s">
        <v>487</v>
      </c>
      <c r="B457" s="1" t="s">
        <v>29</v>
      </c>
      <c r="C457" s="1" t="s">
        <v>24</v>
      </c>
      <c r="D457" s="1" t="n">
        <v>40.53</v>
      </c>
      <c r="E457" s="1" t="n">
        <v>17</v>
      </c>
      <c r="F457" s="4" t="n">
        <v>44441</v>
      </c>
      <c r="G457" s="1" t="s">
        <v>27</v>
      </c>
      <c r="H457" s="1" t="n">
        <v>0</v>
      </c>
      <c r="I457" s="1" t="n">
        <v>73.6</v>
      </c>
      <c r="J457" s="1" t="n">
        <v>24</v>
      </c>
      <c r="K457" s="1" t="n">
        <v>6</v>
      </c>
      <c r="L457" s="1" t="n">
        <v>0</v>
      </c>
      <c r="M457" s="1" t="n">
        <v>0</v>
      </c>
      <c r="N457" s="1" t="n">
        <v>689.01</v>
      </c>
      <c r="O457" s="1" t="n">
        <v>0</v>
      </c>
      <c r="Q457" s="4" t="n">
        <v>44958</v>
      </c>
      <c r="R457" s="0" t="n">
        <f aca="false">IF(ISBLANK(F457),"Missing",IFERROR(YEAR(F457),"Missing"))</f>
        <v>2021</v>
      </c>
      <c r="S457" s="0" t="str">
        <f aca="false">IF(ISBLANK(E457),"Missing",IF(E457&lt;6,"0-6mo",IF(E457&lt;12,"6-12mo",IF(E457&lt;24,"12-24mo","24mo+"))))</f>
        <v>12-24mo</v>
      </c>
      <c r="T457" s="0" t="n">
        <f aca="false">IF(ISBLANK(C457),0,IF(C457="Month-to-month",2,IF(C457="One year",1,0)))+IF(ISBLANK(I457),0,IF(I457&lt;40,2,IF(I457&lt;55,1,0)))+IF(ISBLANK(M457),0,IF(M457=1,3,0))+IF(ISBLANK(L457),0,IF(L457&gt;=2,1,0))+IF(ISBLANK(E457),0,IF(E457&lt;12,1,0))</f>
        <v>2</v>
      </c>
      <c r="U457" s="0" t="str">
        <f aca="false">IF((ISBLANK(B457)*1+ISBLANK(C457)*1+ISBLANK(D457)*1+ISBLANK(E457)*1+ISBLANK(F457)*1+ISBLANK(I457)*1+ISBLANK(J457)*1+ISBLANK(K457)*1+ISBLANK(L457)*1+ISBLANK(M457)*1+ISBLANK(N457)*1+ISBLANK(O457)*1)&gt;0,"Missing Data","OK")</f>
        <v>OK</v>
      </c>
      <c r="V457" s="0" t="str">
        <f aca="false">IF(T457&gt;=6,"High Risk",IF(T457&gt;=3,"Medium Risk","Low Risk"))</f>
        <v>Low Risk</v>
      </c>
    </row>
    <row r="458" customFormat="false" ht="12.8" hidden="false" customHeight="false" outlineLevel="0" collapsed="false">
      <c r="A458" s="1" t="s">
        <v>488</v>
      </c>
      <c r="B458" s="1" t="s">
        <v>23</v>
      </c>
      <c r="C458" s="1" t="s">
        <v>34</v>
      </c>
      <c r="D458" s="1" t="n">
        <v>20.32</v>
      </c>
      <c r="E458" s="1" t="n">
        <v>72</v>
      </c>
      <c r="F458" s="4" t="n">
        <v>44441</v>
      </c>
      <c r="G458" s="1" t="s">
        <v>25</v>
      </c>
      <c r="H458" s="1" t="n">
        <v>1</v>
      </c>
      <c r="I458" s="1" t="n">
        <v>40.9</v>
      </c>
      <c r="J458" s="1" t="n">
        <v>11</v>
      </c>
      <c r="K458" s="1" t="n">
        <v>4</v>
      </c>
      <c r="L458" s="1" t="n">
        <v>2</v>
      </c>
      <c r="M458" s="1" t="n">
        <v>1</v>
      </c>
      <c r="N458" s="1" t="n">
        <v>1463.04</v>
      </c>
      <c r="O458" s="1" t="n">
        <v>0</v>
      </c>
      <c r="Q458" s="4" t="n">
        <v>46293</v>
      </c>
      <c r="R458" s="0" t="n">
        <f aca="false">IF(ISBLANK(F458),"Missing",IFERROR(YEAR(F458),"Missing"))</f>
        <v>2021</v>
      </c>
      <c r="S458" s="0" t="str">
        <f aca="false">IF(ISBLANK(E458),"Missing",IF(E458&lt;6,"0-6mo",IF(E458&lt;12,"6-12mo",IF(E458&lt;24,"12-24mo","24mo+"))))</f>
        <v>24mo+</v>
      </c>
      <c r="T458" s="0" t="n">
        <f aca="false">IF(ISBLANK(C458),0,IF(C458="Month-to-month",2,IF(C458="One year",1,0)))+IF(ISBLANK(I458),0,IF(I458&lt;40,2,IF(I458&lt;55,1,0)))+IF(ISBLANK(M458),0,IF(M458=1,3,0))+IF(ISBLANK(L458),0,IF(L458&gt;=2,1,0))+IF(ISBLANK(E458),0,IF(E458&lt;12,1,0))</f>
        <v>6</v>
      </c>
      <c r="U458" s="0" t="str">
        <f aca="false">IF((ISBLANK(B458)*1+ISBLANK(C458)*1+ISBLANK(D458)*1+ISBLANK(E458)*1+ISBLANK(F458)*1+ISBLANK(I458)*1+ISBLANK(J458)*1+ISBLANK(K458)*1+ISBLANK(L458)*1+ISBLANK(M458)*1+ISBLANK(N458)*1+ISBLANK(O458)*1)&gt;0,"Missing Data","OK")</f>
        <v>OK</v>
      </c>
      <c r="V458" s="0" t="str">
        <f aca="false">IF(T458&gt;=6,"High Risk",IF(T458&gt;=3,"Medium Risk","Low Risk"))</f>
        <v>High Risk</v>
      </c>
    </row>
    <row r="459" customFormat="false" ht="12.8" hidden="false" customHeight="false" outlineLevel="0" collapsed="false">
      <c r="A459" s="1" t="s">
        <v>489</v>
      </c>
      <c r="B459" s="1" t="s">
        <v>23</v>
      </c>
      <c r="C459" s="1" t="s">
        <v>34</v>
      </c>
      <c r="D459" s="1" t="n">
        <v>19.58</v>
      </c>
      <c r="E459" s="1" t="n">
        <v>3</v>
      </c>
      <c r="F459" s="4" t="n">
        <v>44442</v>
      </c>
      <c r="G459" s="1" t="s">
        <v>25</v>
      </c>
      <c r="H459" s="1" t="n">
        <v>0</v>
      </c>
      <c r="I459" s="1" t="n">
        <v>37.2</v>
      </c>
      <c r="J459" s="1" t="n">
        <v>11</v>
      </c>
      <c r="K459" s="1" t="n">
        <v>6</v>
      </c>
      <c r="L459" s="1" t="n">
        <v>2</v>
      </c>
      <c r="M459" s="1" t="n">
        <v>0</v>
      </c>
      <c r="N459" s="1" t="n">
        <v>58.74</v>
      </c>
      <c r="O459" s="1" t="n">
        <v>0</v>
      </c>
      <c r="Q459" s="4" t="n">
        <v>44533</v>
      </c>
      <c r="R459" s="0" t="n">
        <f aca="false">IF(ISBLANK(F459),"Missing",IFERROR(YEAR(F459),"Missing"))</f>
        <v>2021</v>
      </c>
      <c r="S459" s="0" t="str">
        <f aca="false">IF(ISBLANK(E459),"Missing",IF(E459&lt;6,"0-6mo",IF(E459&lt;12,"6-12mo",IF(E459&lt;24,"12-24mo","24mo+"))))</f>
        <v>0-6mo</v>
      </c>
      <c r="T459" s="0" t="n">
        <f aca="false">IF(ISBLANK(C459),0,IF(C459="Month-to-month",2,IF(C459="One year",1,0)))+IF(ISBLANK(I459),0,IF(I459&lt;40,2,IF(I459&lt;55,1,0)))+IF(ISBLANK(M459),0,IF(M459=1,3,0))+IF(ISBLANK(L459),0,IF(L459&gt;=2,1,0))+IF(ISBLANK(E459),0,IF(E459&lt;12,1,0))</f>
        <v>5</v>
      </c>
      <c r="U459" s="0" t="str">
        <f aca="false">IF((ISBLANK(B459)*1+ISBLANK(C459)*1+ISBLANK(D459)*1+ISBLANK(E459)*1+ISBLANK(F459)*1+ISBLANK(I459)*1+ISBLANK(J459)*1+ISBLANK(K459)*1+ISBLANK(L459)*1+ISBLANK(M459)*1+ISBLANK(N459)*1+ISBLANK(O459)*1)&gt;0,"Missing Data","OK")</f>
        <v>OK</v>
      </c>
      <c r="V459" s="0" t="str">
        <f aca="false">IF(T459&gt;=6,"High Risk",IF(T459&gt;=3,"Medium Risk","Low Risk"))</f>
        <v>Medium Risk</v>
      </c>
    </row>
    <row r="460" customFormat="false" ht="12.8" hidden="false" customHeight="false" outlineLevel="0" collapsed="false">
      <c r="A460" s="1" t="s">
        <v>490</v>
      </c>
      <c r="B460" s="1" t="s">
        <v>23</v>
      </c>
      <c r="C460" s="1" t="s">
        <v>24</v>
      </c>
      <c r="D460" s="1" t="n">
        <v>20.29</v>
      </c>
      <c r="E460" s="1" t="n">
        <v>19</v>
      </c>
      <c r="F460" s="4" t="n">
        <v>44444</v>
      </c>
      <c r="G460" s="1" t="s">
        <v>27</v>
      </c>
      <c r="H460" s="1" t="n">
        <v>1</v>
      </c>
      <c r="I460" s="1" t="n">
        <v>31.5</v>
      </c>
      <c r="J460" s="1" t="n">
        <v>9</v>
      </c>
      <c r="K460" s="1" t="n">
        <v>3</v>
      </c>
      <c r="L460" s="1" t="n">
        <v>1</v>
      </c>
      <c r="M460" s="1" t="n">
        <v>0</v>
      </c>
      <c r="N460" s="1" t="n">
        <v>385.51</v>
      </c>
      <c r="O460" s="1" t="n">
        <v>1</v>
      </c>
      <c r="P460" s="4" t="n">
        <v>45022</v>
      </c>
      <c r="Q460" s="4" t="n">
        <v>45022</v>
      </c>
      <c r="R460" s="0" t="n">
        <f aca="false">IF(ISBLANK(F460),"Missing",IFERROR(YEAR(F460),"Missing"))</f>
        <v>2021</v>
      </c>
      <c r="S460" s="0" t="str">
        <f aca="false">IF(ISBLANK(E460),"Missing",IF(E460&lt;6,"0-6mo",IF(E460&lt;12,"6-12mo",IF(E460&lt;24,"12-24mo","24mo+"))))</f>
        <v>12-24mo</v>
      </c>
      <c r="T460" s="0" t="n">
        <f aca="false">IF(ISBLANK(C460),0,IF(C460="Month-to-month",2,IF(C460="One year",1,0)))+IF(ISBLANK(I460),0,IF(I460&lt;40,2,IF(I460&lt;55,1,0)))+IF(ISBLANK(M460),0,IF(M460=1,3,0))+IF(ISBLANK(L460),0,IF(L460&gt;=2,1,0))+IF(ISBLANK(E460),0,IF(E460&lt;12,1,0))</f>
        <v>4</v>
      </c>
      <c r="U460" s="0" t="str">
        <f aca="false">IF((ISBLANK(B460)*1+ISBLANK(C460)*1+ISBLANK(D460)*1+ISBLANK(E460)*1+ISBLANK(F460)*1+ISBLANK(I460)*1+ISBLANK(J460)*1+ISBLANK(K460)*1+ISBLANK(L460)*1+ISBLANK(M460)*1+ISBLANK(N460)*1+ISBLANK(O460)*1)&gt;0,"Missing Data","OK")</f>
        <v>OK</v>
      </c>
      <c r="V460" s="0" t="str">
        <f aca="false">IF(T460&gt;=6,"High Risk",IF(T460&gt;=3,"Medium Risk","Low Risk"))</f>
        <v>Medium Risk</v>
      </c>
    </row>
    <row r="461" customFormat="false" ht="12.8" hidden="false" customHeight="false" outlineLevel="0" collapsed="false">
      <c r="A461" s="1" t="s">
        <v>491</v>
      </c>
      <c r="B461" s="1" t="s">
        <v>23</v>
      </c>
      <c r="C461" s="1" t="s">
        <v>24</v>
      </c>
      <c r="D461" s="1" t="n">
        <v>21.44</v>
      </c>
      <c r="E461" s="1" t="n">
        <v>72</v>
      </c>
      <c r="F461" s="4" t="n">
        <v>44445</v>
      </c>
      <c r="G461" s="1" t="s">
        <v>39</v>
      </c>
      <c r="H461" s="1" t="n">
        <v>1</v>
      </c>
      <c r="I461" s="1" t="n">
        <v>50.1</v>
      </c>
      <c r="J461" s="1" t="n">
        <v>12</v>
      </c>
      <c r="K461" s="1" t="n">
        <v>7</v>
      </c>
      <c r="L461" s="1" t="n">
        <v>1</v>
      </c>
      <c r="M461" s="1" t="n">
        <v>1</v>
      </c>
      <c r="N461" s="1" t="n">
        <v>1543.68</v>
      </c>
      <c r="O461" s="1" t="n">
        <v>0</v>
      </c>
      <c r="Q461" s="4" t="n">
        <v>46293</v>
      </c>
      <c r="R461" s="0" t="n">
        <f aca="false">IF(ISBLANK(F461),"Missing",IFERROR(YEAR(F461),"Missing"))</f>
        <v>2021</v>
      </c>
      <c r="S461" s="0" t="str">
        <f aca="false">IF(ISBLANK(E461),"Missing",IF(E461&lt;6,"0-6mo",IF(E461&lt;12,"6-12mo",IF(E461&lt;24,"12-24mo","24mo+"))))</f>
        <v>24mo+</v>
      </c>
      <c r="T461" s="0" t="n">
        <f aca="false">IF(ISBLANK(C461),0,IF(C461="Month-to-month",2,IF(C461="One year",1,0)))+IF(ISBLANK(I461),0,IF(I461&lt;40,2,IF(I461&lt;55,1,0)))+IF(ISBLANK(M461),0,IF(M461=1,3,0))+IF(ISBLANK(L461),0,IF(L461&gt;=2,1,0))+IF(ISBLANK(E461),0,IF(E461&lt;12,1,0))</f>
        <v>6</v>
      </c>
      <c r="U461" s="0" t="str">
        <f aca="false">IF((ISBLANK(B461)*1+ISBLANK(C461)*1+ISBLANK(D461)*1+ISBLANK(E461)*1+ISBLANK(F461)*1+ISBLANK(I461)*1+ISBLANK(J461)*1+ISBLANK(K461)*1+ISBLANK(L461)*1+ISBLANK(M461)*1+ISBLANK(N461)*1+ISBLANK(O461)*1)&gt;0,"Missing Data","OK")</f>
        <v>OK</v>
      </c>
      <c r="V461" s="0" t="str">
        <f aca="false">IF(T461&gt;=6,"High Risk",IF(T461&gt;=3,"Medium Risk","Low Risk"))</f>
        <v>High Risk</v>
      </c>
    </row>
    <row r="462" customFormat="false" ht="12.8" hidden="false" customHeight="false" outlineLevel="0" collapsed="false">
      <c r="A462" s="1" t="s">
        <v>492</v>
      </c>
      <c r="B462" s="1" t="s">
        <v>29</v>
      </c>
      <c r="C462" s="1" t="s">
        <v>24</v>
      </c>
      <c r="D462" s="1" t="n">
        <v>41.75</v>
      </c>
      <c r="E462" s="1" t="n">
        <v>18</v>
      </c>
      <c r="F462" s="4" t="n">
        <v>44446</v>
      </c>
      <c r="G462" s="1" t="s">
        <v>39</v>
      </c>
      <c r="H462" s="1" t="n">
        <v>0</v>
      </c>
      <c r="I462" s="1" t="n">
        <v>62.9</v>
      </c>
      <c r="J462" s="1" t="n">
        <v>24</v>
      </c>
      <c r="K462" s="1" t="n">
        <v>3</v>
      </c>
      <c r="L462" s="1" t="n">
        <v>3</v>
      </c>
      <c r="M462" s="1" t="n">
        <v>0</v>
      </c>
      <c r="N462" s="1" t="n">
        <v>751.5</v>
      </c>
      <c r="O462" s="1" t="n">
        <v>0</v>
      </c>
      <c r="Q462" s="4" t="n">
        <v>44993</v>
      </c>
      <c r="R462" s="0" t="n">
        <f aca="false">IF(ISBLANK(F462),"Missing",IFERROR(YEAR(F462),"Missing"))</f>
        <v>2021</v>
      </c>
      <c r="S462" s="0" t="str">
        <f aca="false">IF(ISBLANK(E462),"Missing",IF(E462&lt;6,"0-6mo",IF(E462&lt;12,"6-12mo",IF(E462&lt;24,"12-24mo","24mo+"))))</f>
        <v>12-24mo</v>
      </c>
      <c r="T462" s="0" t="n">
        <f aca="false">IF(ISBLANK(C462),0,IF(C462="Month-to-month",2,IF(C462="One year",1,0)))+IF(ISBLANK(I462),0,IF(I462&lt;40,2,IF(I462&lt;55,1,0)))+IF(ISBLANK(M462),0,IF(M462=1,3,0))+IF(ISBLANK(L462),0,IF(L462&gt;=2,1,0))+IF(ISBLANK(E462),0,IF(E462&lt;12,1,0))</f>
        <v>3</v>
      </c>
      <c r="U462" s="0" t="str">
        <f aca="false">IF((ISBLANK(B462)*1+ISBLANK(C462)*1+ISBLANK(D462)*1+ISBLANK(E462)*1+ISBLANK(F462)*1+ISBLANK(I462)*1+ISBLANK(J462)*1+ISBLANK(K462)*1+ISBLANK(L462)*1+ISBLANK(M462)*1+ISBLANK(N462)*1+ISBLANK(O462)*1)&gt;0,"Missing Data","OK")</f>
        <v>OK</v>
      </c>
      <c r="V462" s="0" t="str">
        <f aca="false">IF(T462&gt;=6,"High Risk",IF(T462&gt;=3,"Medium Risk","Low Risk"))</f>
        <v>Medium Risk</v>
      </c>
    </row>
    <row r="463" customFormat="false" ht="12.8" hidden="false" customHeight="false" outlineLevel="0" collapsed="false">
      <c r="A463" s="1" t="s">
        <v>493</v>
      </c>
      <c r="B463" s="1" t="s">
        <v>36</v>
      </c>
      <c r="C463" s="1" t="s">
        <v>24</v>
      </c>
      <c r="D463" s="1" t="n">
        <v>9.98</v>
      </c>
      <c r="E463" s="1" t="n">
        <v>37</v>
      </c>
      <c r="F463" s="4" t="n">
        <v>44447</v>
      </c>
      <c r="G463" s="1" t="s">
        <v>25</v>
      </c>
      <c r="H463" s="1" t="n">
        <v>1</v>
      </c>
      <c r="I463" s="1" t="n">
        <v>46.1</v>
      </c>
      <c r="J463" s="1" t="n">
        <v>16</v>
      </c>
      <c r="K463" s="1" t="n">
        <v>4</v>
      </c>
      <c r="L463" s="1" t="n">
        <v>0</v>
      </c>
      <c r="M463" s="1" t="n">
        <v>0</v>
      </c>
      <c r="N463" s="1" t="n">
        <v>369.26</v>
      </c>
      <c r="O463" s="1" t="n">
        <v>0</v>
      </c>
      <c r="Q463" s="4" t="n">
        <v>45573</v>
      </c>
      <c r="R463" s="0" t="n">
        <f aca="false">IF(ISBLANK(F463),"Missing",IFERROR(YEAR(F463),"Missing"))</f>
        <v>2021</v>
      </c>
      <c r="S463" s="0" t="str">
        <f aca="false">IF(ISBLANK(E463),"Missing",IF(E463&lt;6,"0-6mo",IF(E463&lt;12,"6-12mo",IF(E463&lt;24,"12-24mo","24mo+"))))</f>
        <v>24mo+</v>
      </c>
      <c r="T463" s="0" t="n">
        <f aca="false">IF(ISBLANK(C463),0,IF(C463="Month-to-month",2,IF(C463="One year",1,0)))+IF(ISBLANK(I463),0,IF(I463&lt;40,2,IF(I463&lt;55,1,0)))+IF(ISBLANK(M463),0,IF(M463=1,3,0))+IF(ISBLANK(L463),0,IF(L463&gt;=2,1,0))+IF(ISBLANK(E463),0,IF(E463&lt;12,1,0))</f>
        <v>3</v>
      </c>
      <c r="U463" s="0" t="str">
        <f aca="false">IF((ISBLANK(B463)*1+ISBLANK(C463)*1+ISBLANK(D463)*1+ISBLANK(E463)*1+ISBLANK(F463)*1+ISBLANK(I463)*1+ISBLANK(J463)*1+ISBLANK(K463)*1+ISBLANK(L463)*1+ISBLANK(M463)*1+ISBLANK(N463)*1+ISBLANK(O463)*1)&gt;0,"Missing Data","OK")</f>
        <v>OK</v>
      </c>
      <c r="V463" s="0" t="str">
        <f aca="false">IF(T463&gt;=6,"High Risk",IF(T463&gt;=3,"Medium Risk","Low Risk"))</f>
        <v>Medium Risk</v>
      </c>
    </row>
    <row r="464" customFormat="false" ht="12.8" hidden="false" customHeight="false" outlineLevel="0" collapsed="false">
      <c r="A464" s="1" t="s">
        <v>494</v>
      </c>
      <c r="B464" s="1" t="s">
        <v>29</v>
      </c>
      <c r="C464" s="1" t="s">
        <v>24</v>
      </c>
      <c r="D464" s="1" t="n">
        <v>39.96</v>
      </c>
      <c r="E464" s="1" t="n">
        <v>0</v>
      </c>
      <c r="F464" s="4" t="n">
        <v>44447</v>
      </c>
      <c r="G464" s="1" t="s">
        <v>30</v>
      </c>
      <c r="H464" s="1" t="n">
        <v>1</v>
      </c>
      <c r="I464" s="1" t="n">
        <v>100</v>
      </c>
      <c r="J464" s="1" t="n">
        <v>38</v>
      </c>
      <c r="K464" s="1" t="n">
        <v>10</v>
      </c>
      <c r="L464" s="1" t="n">
        <v>1</v>
      </c>
      <c r="M464" s="1" t="n">
        <v>0</v>
      </c>
      <c r="N464" s="1" t="n">
        <v>0</v>
      </c>
      <c r="O464" s="1" t="n">
        <v>0</v>
      </c>
      <c r="Q464" s="4" t="n">
        <v>44447</v>
      </c>
      <c r="R464" s="0" t="n">
        <f aca="false">IF(ISBLANK(F464),"Missing",IFERROR(YEAR(F464),"Missing"))</f>
        <v>2021</v>
      </c>
      <c r="S464" s="0" t="str">
        <f aca="false">IF(ISBLANK(E464),"Missing",IF(E464&lt;6,"0-6mo",IF(E464&lt;12,"6-12mo",IF(E464&lt;24,"12-24mo","24mo+"))))</f>
        <v>0-6mo</v>
      </c>
      <c r="T464" s="0" t="n">
        <f aca="false">IF(ISBLANK(C464),0,IF(C464="Month-to-month",2,IF(C464="One year",1,0)))+IF(ISBLANK(I464),0,IF(I464&lt;40,2,IF(I464&lt;55,1,0)))+IF(ISBLANK(M464),0,IF(M464=1,3,0))+IF(ISBLANK(L464),0,IF(L464&gt;=2,1,0))+IF(ISBLANK(E464),0,IF(E464&lt;12,1,0))</f>
        <v>3</v>
      </c>
      <c r="U464" s="0" t="str">
        <f aca="false">IF((ISBLANK(B464)*1+ISBLANK(C464)*1+ISBLANK(D464)*1+ISBLANK(E464)*1+ISBLANK(F464)*1+ISBLANK(I464)*1+ISBLANK(J464)*1+ISBLANK(K464)*1+ISBLANK(L464)*1+ISBLANK(M464)*1+ISBLANK(N464)*1+ISBLANK(O464)*1)&gt;0,"Missing Data","OK")</f>
        <v>OK</v>
      </c>
      <c r="V464" s="0" t="str">
        <f aca="false">IF(T464&gt;=6,"High Risk",IF(T464&gt;=3,"Medium Risk","Low Risk"))</f>
        <v>Medium Risk</v>
      </c>
    </row>
    <row r="465" customFormat="false" ht="12.8" hidden="false" customHeight="false" outlineLevel="0" collapsed="false">
      <c r="A465" s="1" t="s">
        <v>495</v>
      </c>
      <c r="B465" s="1" t="s">
        <v>36</v>
      </c>
      <c r="C465" s="1" t="s">
        <v>24</v>
      </c>
      <c r="D465" s="1" t="n">
        <v>11.48</v>
      </c>
      <c r="E465" s="1" t="n">
        <v>56</v>
      </c>
      <c r="F465" s="4" t="n">
        <v>44447</v>
      </c>
      <c r="G465" s="1" t="s">
        <v>39</v>
      </c>
      <c r="H465" s="1" t="n">
        <v>0</v>
      </c>
      <c r="I465" s="1" t="n">
        <v>80.5</v>
      </c>
      <c r="J465" s="1" t="n">
        <v>21</v>
      </c>
      <c r="K465" s="1" t="n">
        <v>9</v>
      </c>
      <c r="L465" s="1" t="n">
        <v>0</v>
      </c>
      <c r="M465" s="1" t="n">
        <v>0</v>
      </c>
      <c r="N465" s="1" t="n">
        <v>642.88</v>
      </c>
      <c r="O465" s="1" t="n">
        <v>0</v>
      </c>
      <c r="Q465" s="4" t="n">
        <v>46151</v>
      </c>
      <c r="R465" s="0" t="n">
        <f aca="false">IF(ISBLANK(F465),"Missing",IFERROR(YEAR(F465),"Missing"))</f>
        <v>2021</v>
      </c>
      <c r="S465" s="0" t="str">
        <f aca="false">IF(ISBLANK(E465),"Missing",IF(E465&lt;6,"0-6mo",IF(E465&lt;12,"6-12mo",IF(E465&lt;24,"12-24mo","24mo+"))))</f>
        <v>24mo+</v>
      </c>
      <c r="T465" s="0" t="n">
        <f aca="false">IF(ISBLANK(C465),0,IF(C465="Month-to-month",2,IF(C465="One year",1,0)))+IF(ISBLANK(I465),0,IF(I465&lt;40,2,IF(I465&lt;55,1,0)))+IF(ISBLANK(M465),0,IF(M465=1,3,0))+IF(ISBLANK(L465),0,IF(L465&gt;=2,1,0))+IF(ISBLANK(E465),0,IF(E465&lt;12,1,0))</f>
        <v>2</v>
      </c>
      <c r="U465" s="0" t="str">
        <f aca="false">IF((ISBLANK(B465)*1+ISBLANK(C465)*1+ISBLANK(D465)*1+ISBLANK(E465)*1+ISBLANK(F465)*1+ISBLANK(I465)*1+ISBLANK(J465)*1+ISBLANK(K465)*1+ISBLANK(L465)*1+ISBLANK(M465)*1+ISBLANK(N465)*1+ISBLANK(O465)*1)&gt;0,"Missing Data","OK")</f>
        <v>OK</v>
      </c>
      <c r="V465" s="0" t="str">
        <f aca="false">IF(T465&gt;=6,"High Risk",IF(T465&gt;=3,"Medium Risk","Low Risk"))</f>
        <v>Low Risk</v>
      </c>
    </row>
    <row r="466" customFormat="false" ht="12.8" hidden="false" customHeight="false" outlineLevel="0" collapsed="false">
      <c r="A466" s="1" t="s">
        <v>496</v>
      </c>
      <c r="B466" s="1" t="s">
        <v>36</v>
      </c>
      <c r="C466" s="1" t="s">
        <v>24</v>
      </c>
      <c r="D466" s="1" t="n">
        <v>10.32</v>
      </c>
      <c r="E466" s="1" t="n">
        <v>9</v>
      </c>
      <c r="F466" s="4" t="n">
        <v>44447</v>
      </c>
      <c r="G466" s="1" t="s">
        <v>39</v>
      </c>
      <c r="H466" s="1" t="n">
        <v>0</v>
      </c>
      <c r="I466" s="1" t="n">
        <v>50.2</v>
      </c>
      <c r="J466" s="1" t="n">
        <v>16</v>
      </c>
      <c r="K466" s="1" t="n">
        <v>4</v>
      </c>
      <c r="L466" s="1" t="n">
        <v>0</v>
      </c>
      <c r="M466" s="1" t="n">
        <v>0</v>
      </c>
      <c r="N466" s="1" t="n">
        <v>92.88</v>
      </c>
      <c r="O466" s="1" t="n">
        <v>1</v>
      </c>
      <c r="P466" s="4" t="n">
        <v>44720</v>
      </c>
      <c r="Q466" s="4" t="n">
        <v>44720</v>
      </c>
      <c r="R466" s="0" t="n">
        <f aca="false">IF(ISBLANK(F466),"Missing",IFERROR(YEAR(F466),"Missing"))</f>
        <v>2021</v>
      </c>
      <c r="S466" s="0" t="str">
        <f aca="false">IF(ISBLANK(E466),"Missing",IF(E466&lt;6,"0-6mo",IF(E466&lt;12,"6-12mo",IF(E466&lt;24,"12-24mo","24mo+"))))</f>
        <v>6-12mo</v>
      </c>
      <c r="T466" s="0" t="n">
        <f aca="false">IF(ISBLANK(C466),0,IF(C466="Month-to-month",2,IF(C466="One year",1,0)))+IF(ISBLANK(I466),0,IF(I466&lt;40,2,IF(I466&lt;55,1,0)))+IF(ISBLANK(M466),0,IF(M466=1,3,0))+IF(ISBLANK(L466),0,IF(L466&gt;=2,1,0))+IF(ISBLANK(E466),0,IF(E466&lt;12,1,0))</f>
        <v>4</v>
      </c>
      <c r="U466" s="0" t="str">
        <f aca="false">IF((ISBLANK(B466)*1+ISBLANK(C466)*1+ISBLANK(D466)*1+ISBLANK(E466)*1+ISBLANK(F466)*1+ISBLANK(I466)*1+ISBLANK(J466)*1+ISBLANK(K466)*1+ISBLANK(L466)*1+ISBLANK(M466)*1+ISBLANK(N466)*1+ISBLANK(O466)*1)&gt;0,"Missing Data","OK")</f>
        <v>OK</v>
      </c>
      <c r="V466" s="0" t="str">
        <f aca="false">IF(T466&gt;=6,"High Risk",IF(T466&gt;=3,"Medium Risk","Low Risk"))</f>
        <v>Medium Risk</v>
      </c>
    </row>
    <row r="467" customFormat="false" ht="12.8" hidden="false" customHeight="false" outlineLevel="0" collapsed="false">
      <c r="A467" s="1" t="s">
        <v>497</v>
      </c>
      <c r="B467" s="1" t="s">
        <v>23</v>
      </c>
      <c r="C467" s="1" t="s">
        <v>34</v>
      </c>
      <c r="D467" s="1" t="n">
        <v>19.52</v>
      </c>
      <c r="E467" s="1" t="n">
        <v>40</v>
      </c>
      <c r="F467" s="4" t="n">
        <v>44448</v>
      </c>
      <c r="G467" s="1" t="s">
        <v>39</v>
      </c>
      <c r="H467" s="1" t="n">
        <v>0</v>
      </c>
      <c r="I467" s="1" t="n">
        <v>56.9</v>
      </c>
      <c r="J467" s="1" t="n">
        <v>23</v>
      </c>
      <c r="K467" s="1" t="n">
        <v>6</v>
      </c>
      <c r="L467" s="1" t="n">
        <v>0</v>
      </c>
      <c r="M467" s="1" t="n">
        <v>0</v>
      </c>
      <c r="N467" s="1" t="n">
        <v>780.8</v>
      </c>
      <c r="O467" s="1" t="n">
        <v>0</v>
      </c>
      <c r="Q467" s="4" t="n">
        <v>45665</v>
      </c>
      <c r="R467" s="0" t="n">
        <f aca="false">IF(ISBLANK(F467),"Missing",IFERROR(YEAR(F467),"Missing"))</f>
        <v>2021</v>
      </c>
      <c r="S467" s="0" t="str">
        <f aca="false">IF(ISBLANK(E467),"Missing",IF(E467&lt;6,"0-6mo",IF(E467&lt;12,"6-12mo",IF(E467&lt;24,"12-24mo","24mo+"))))</f>
        <v>24mo+</v>
      </c>
      <c r="T467" s="0" t="n">
        <f aca="false">IF(ISBLANK(C467),0,IF(C467="Month-to-month",2,IF(C467="One year",1,0)))+IF(ISBLANK(I467),0,IF(I467&lt;40,2,IF(I467&lt;55,1,0)))+IF(ISBLANK(M467),0,IF(M467=1,3,0))+IF(ISBLANK(L467),0,IF(L467&gt;=2,1,0))+IF(ISBLANK(E467),0,IF(E467&lt;12,1,0))</f>
        <v>1</v>
      </c>
      <c r="U467" s="0" t="str">
        <f aca="false">IF((ISBLANK(B467)*1+ISBLANK(C467)*1+ISBLANK(D467)*1+ISBLANK(E467)*1+ISBLANK(F467)*1+ISBLANK(I467)*1+ISBLANK(J467)*1+ISBLANK(K467)*1+ISBLANK(L467)*1+ISBLANK(M467)*1+ISBLANK(N467)*1+ISBLANK(O467)*1)&gt;0,"Missing Data","OK")</f>
        <v>OK</v>
      </c>
      <c r="V467" s="0" t="str">
        <f aca="false">IF(T467&gt;=6,"High Risk",IF(T467&gt;=3,"Medium Risk","Low Risk"))</f>
        <v>Low Risk</v>
      </c>
    </row>
    <row r="468" customFormat="false" ht="12.8" hidden="false" customHeight="false" outlineLevel="0" collapsed="false">
      <c r="A468" s="1" t="s">
        <v>498</v>
      </c>
      <c r="B468" s="1" t="s">
        <v>29</v>
      </c>
      <c r="C468" s="1" t="s">
        <v>34</v>
      </c>
      <c r="D468" s="1" t="n">
        <v>37.44</v>
      </c>
      <c r="E468" s="1" t="n">
        <v>4</v>
      </c>
      <c r="F468" s="4" t="n">
        <v>44449</v>
      </c>
      <c r="G468" s="1" t="s">
        <v>39</v>
      </c>
      <c r="H468" s="1" t="n">
        <v>1</v>
      </c>
      <c r="I468" s="1" t="n">
        <v>54.5</v>
      </c>
      <c r="J468" s="1" t="n">
        <v>21</v>
      </c>
      <c r="K468" s="1" t="n">
        <v>4</v>
      </c>
      <c r="L468" s="1" t="n">
        <v>1</v>
      </c>
      <c r="M468" s="1" t="n">
        <v>0</v>
      </c>
      <c r="N468" s="1" t="n">
        <v>149.76</v>
      </c>
      <c r="O468" s="1" t="n">
        <v>0</v>
      </c>
      <c r="Q468" s="4" t="n">
        <v>44570</v>
      </c>
      <c r="R468" s="0" t="n">
        <f aca="false">IF(ISBLANK(F468),"Missing",IFERROR(YEAR(F468),"Missing"))</f>
        <v>2021</v>
      </c>
      <c r="S468" s="0" t="str">
        <f aca="false">IF(ISBLANK(E468),"Missing",IF(E468&lt;6,"0-6mo",IF(E468&lt;12,"6-12mo",IF(E468&lt;24,"12-24mo","24mo+"))))</f>
        <v>0-6mo</v>
      </c>
      <c r="T468" s="0" t="n">
        <f aca="false">IF(ISBLANK(C468),0,IF(C468="Month-to-month",2,IF(C468="One year",1,0)))+IF(ISBLANK(I468),0,IF(I468&lt;40,2,IF(I468&lt;55,1,0)))+IF(ISBLANK(M468),0,IF(M468=1,3,0))+IF(ISBLANK(L468),0,IF(L468&gt;=2,1,0))+IF(ISBLANK(E468),0,IF(E468&lt;12,1,0))</f>
        <v>3</v>
      </c>
      <c r="U468" s="0" t="str">
        <f aca="false">IF((ISBLANK(B468)*1+ISBLANK(C468)*1+ISBLANK(D468)*1+ISBLANK(E468)*1+ISBLANK(F468)*1+ISBLANK(I468)*1+ISBLANK(J468)*1+ISBLANK(K468)*1+ISBLANK(L468)*1+ISBLANK(M468)*1+ISBLANK(N468)*1+ISBLANK(O468)*1)&gt;0,"Missing Data","OK")</f>
        <v>OK</v>
      </c>
      <c r="V468" s="0" t="str">
        <f aca="false">IF(T468&gt;=6,"High Risk",IF(T468&gt;=3,"Medium Risk","Low Risk"))</f>
        <v>Medium Risk</v>
      </c>
    </row>
    <row r="469" customFormat="false" ht="12.8" hidden="false" customHeight="false" outlineLevel="0" collapsed="false">
      <c r="A469" s="1" t="s">
        <v>499</v>
      </c>
      <c r="B469" s="1" t="s">
        <v>29</v>
      </c>
      <c r="C469" s="1" t="s">
        <v>34</v>
      </c>
      <c r="D469" s="1" t="n">
        <v>39.01</v>
      </c>
      <c r="E469" s="1" t="n">
        <v>38</v>
      </c>
      <c r="F469" s="4" t="n">
        <v>44449</v>
      </c>
      <c r="G469" s="1" t="s">
        <v>30</v>
      </c>
      <c r="H469" s="1" t="n">
        <v>0</v>
      </c>
      <c r="I469" s="1" t="n">
        <v>59.9</v>
      </c>
      <c r="J469" s="1" t="n">
        <v>15</v>
      </c>
      <c r="K469" s="1" t="n">
        <v>6</v>
      </c>
      <c r="L469" s="1" t="n">
        <v>2</v>
      </c>
      <c r="M469" s="1" t="n">
        <v>0</v>
      </c>
      <c r="N469" s="1" t="n">
        <v>1482.38</v>
      </c>
      <c r="O469" s="1" t="n">
        <v>0</v>
      </c>
      <c r="Q469" s="4" t="n">
        <v>45605</v>
      </c>
      <c r="R469" s="0" t="n">
        <f aca="false">IF(ISBLANK(F469),"Missing",IFERROR(YEAR(F469),"Missing"))</f>
        <v>2021</v>
      </c>
      <c r="S469" s="0" t="str">
        <f aca="false">IF(ISBLANK(E469),"Missing",IF(E469&lt;6,"0-6mo",IF(E469&lt;12,"6-12mo",IF(E469&lt;24,"12-24mo","24mo+"))))</f>
        <v>24mo+</v>
      </c>
      <c r="T469" s="0" t="n">
        <f aca="false">IF(ISBLANK(C469),0,IF(C469="Month-to-month",2,IF(C469="One year",1,0)))+IF(ISBLANK(I469),0,IF(I469&lt;40,2,IF(I469&lt;55,1,0)))+IF(ISBLANK(M469),0,IF(M469=1,3,0))+IF(ISBLANK(L469),0,IF(L469&gt;=2,1,0))+IF(ISBLANK(E469),0,IF(E469&lt;12,1,0))</f>
        <v>2</v>
      </c>
      <c r="U469" s="0" t="str">
        <f aca="false">IF((ISBLANK(B469)*1+ISBLANK(C469)*1+ISBLANK(D469)*1+ISBLANK(E469)*1+ISBLANK(F469)*1+ISBLANK(I469)*1+ISBLANK(J469)*1+ISBLANK(K469)*1+ISBLANK(L469)*1+ISBLANK(M469)*1+ISBLANK(N469)*1+ISBLANK(O469)*1)&gt;0,"Missing Data","OK")</f>
        <v>OK</v>
      </c>
      <c r="V469" s="0" t="str">
        <f aca="false">IF(T469&gt;=6,"High Risk",IF(T469&gt;=3,"Medium Risk","Low Risk"))</f>
        <v>Low Risk</v>
      </c>
    </row>
    <row r="470" customFormat="false" ht="12.8" hidden="false" customHeight="false" outlineLevel="0" collapsed="false">
      <c r="A470" s="1" t="s">
        <v>500</v>
      </c>
      <c r="B470" s="1" t="s">
        <v>29</v>
      </c>
      <c r="C470" s="1" t="s">
        <v>34</v>
      </c>
      <c r="D470" s="1" t="n">
        <v>40.31</v>
      </c>
      <c r="E470" s="1" t="n">
        <v>53</v>
      </c>
      <c r="F470" s="4" t="n">
        <v>44450</v>
      </c>
      <c r="G470" s="1" t="s">
        <v>30</v>
      </c>
      <c r="H470" s="1" t="n">
        <v>1</v>
      </c>
      <c r="I470" s="1" t="n">
        <v>5.2</v>
      </c>
      <c r="J470" s="1" t="n">
        <v>2</v>
      </c>
      <c r="K470" s="1" t="n">
        <v>0</v>
      </c>
      <c r="L470" s="1" t="n">
        <v>3</v>
      </c>
      <c r="M470" s="1" t="n">
        <v>0</v>
      </c>
      <c r="N470" s="1" t="n">
        <v>2136.43</v>
      </c>
      <c r="O470" s="1" t="n">
        <v>1</v>
      </c>
      <c r="P470" s="4" t="n">
        <v>46063</v>
      </c>
      <c r="Q470" s="4" t="n">
        <v>46063</v>
      </c>
      <c r="R470" s="0" t="n">
        <f aca="false">IF(ISBLANK(F470),"Missing",IFERROR(YEAR(F470),"Missing"))</f>
        <v>2021</v>
      </c>
      <c r="S470" s="0" t="str">
        <f aca="false">IF(ISBLANK(E470),"Missing",IF(E470&lt;6,"0-6mo",IF(E470&lt;12,"6-12mo",IF(E470&lt;24,"12-24mo","24mo+"))))</f>
        <v>24mo+</v>
      </c>
      <c r="T470" s="0" t="n">
        <f aca="false">IF(ISBLANK(C470),0,IF(C470="Month-to-month",2,IF(C470="One year",1,0)))+IF(ISBLANK(I470),0,IF(I470&lt;40,2,IF(I470&lt;55,1,0)))+IF(ISBLANK(M470),0,IF(M470=1,3,0))+IF(ISBLANK(L470),0,IF(L470&gt;=2,1,0))+IF(ISBLANK(E470),0,IF(E470&lt;12,1,0))</f>
        <v>4</v>
      </c>
      <c r="U470" s="0" t="str">
        <f aca="false">IF((ISBLANK(B470)*1+ISBLANK(C470)*1+ISBLANK(D470)*1+ISBLANK(E470)*1+ISBLANK(F470)*1+ISBLANK(I470)*1+ISBLANK(J470)*1+ISBLANK(K470)*1+ISBLANK(L470)*1+ISBLANK(M470)*1+ISBLANK(N470)*1+ISBLANK(O470)*1)&gt;0,"Missing Data","OK")</f>
        <v>OK</v>
      </c>
      <c r="V470" s="0" t="str">
        <f aca="false">IF(T470&gt;=6,"High Risk",IF(T470&gt;=3,"Medium Risk","Low Risk"))</f>
        <v>Medium Risk</v>
      </c>
    </row>
    <row r="471" customFormat="false" ht="12.8" hidden="false" customHeight="false" outlineLevel="0" collapsed="false">
      <c r="A471" s="1" t="s">
        <v>501</v>
      </c>
      <c r="B471" s="1" t="s">
        <v>36</v>
      </c>
      <c r="C471" s="1" t="s">
        <v>34</v>
      </c>
      <c r="D471" s="1" t="n">
        <v>12.43</v>
      </c>
      <c r="E471" s="1" t="n">
        <v>3</v>
      </c>
      <c r="F471" s="4" t="n">
        <v>44451</v>
      </c>
      <c r="G471" s="1" t="s">
        <v>25</v>
      </c>
      <c r="H471" s="1" t="n">
        <v>1</v>
      </c>
      <c r="I471" s="1" t="n">
        <v>86.6</v>
      </c>
      <c r="J471" s="1" t="n">
        <v>25</v>
      </c>
      <c r="K471" s="1" t="n">
        <v>6</v>
      </c>
      <c r="L471" s="1" t="n">
        <v>1</v>
      </c>
      <c r="M471" s="1" t="n">
        <v>0</v>
      </c>
      <c r="N471" s="1" t="n">
        <v>37.29</v>
      </c>
      <c r="O471" s="1" t="n">
        <v>0</v>
      </c>
      <c r="Q471" s="4" t="n">
        <v>44542</v>
      </c>
      <c r="R471" s="0" t="n">
        <f aca="false">IF(ISBLANK(F471),"Missing",IFERROR(YEAR(F471),"Missing"))</f>
        <v>2021</v>
      </c>
      <c r="S471" s="0" t="str">
        <f aca="false">IF(ISBLANK(E471),"Missing",IF(E471&lt;6,"0-6mo",IF(E471&lt;12,"6-12mo",IF(E471&lt;24,"12-24mo","24mo+"))))</f>
        <v>0-6mo</v>
      </c>
      <c r="T471" s="0" t="n">
        <f aca="false">IF(ISBLANK(C471),0,IF(C471="Month-to-month",2,IF(C471="One year",1,0)))+IF(ISBLANK(I471),0,IF(I471&lt;40,2,IF(I471&lt;55,1,0)))+IF(ISBLANK(M471),0,IF(M471=1,3,0))+IF(ISBLANK(L471),0,IF(L471&gt;=2,1,0))+IF(ISBLANK(E471),0,IF(E471&lt;12,1,0))</f>
        <v>2</v>
      </c>
      <c r="U471" s="0" t="str">
        <f aca="false">IF((ISBLANK(B471)*1+ISBLANK(C471)*1+ISBLANK(D471)*1+ISBLANK(E471)*1+ISBLANK(F471)*1+ISBLANK(I471)*1+ISBLANK(J471)*1+ISBLANK(K471)*1+ISBLANK(L471)*1+ISBLANK(M471)*1+ISBLANK(N471)*1+ISBLANK(O471)*1)&gt;0,"Missing Data","OK")</f>
        <v>OK</v>
      </c>
      <c r="V471" s="0" t="str">
        <f aca="false">IF(T471&gt;=6,"High Risk",IF(T471&gt;=3,"Medium Risk","Low Risk"))</f>
        <v>Low Risk</v>
      </c>
    </row>
    <row r="472" customFormat="false" ht="12.8" hidden="false" customHeight="false" outlineLevel="0" collapsed="false">
      <c r="A472" s="1" t="s">
        <v>502</v>
      </c>
      <c r="B472" s="1" t="s">
        <v>23</v>
      </c>
      <c r="C472" s="1" t="s">
        <v>34</v>
      </c>
      <c r="D472" s="1" t="n">
        <v>20.07</v>
      </c>
      <c r="E472" s="1" t="n">
        <v>27</v>
      </c>
      <c r="F472" s="4" t="n">
        <v>44452</v>
      </c>
      <c r="G472" s="1" t="s">
        <v>25</v>
      </c>
      <c r="H472" s="1" t="n">
        <v>0</v>
      </c>
      <c r="I472" s="1" t="n">
        <v>26.2</v>
      </c>
      <c r="J472" s="1" t="n">
        <v>5</v>
      </c>
      <c r="K472" s="1" t="n">
        <v>4</v>
      </c>
      <c r="L472" s="1" t="n">
        <v>1</v>
      </c>
      <c r="M472" s="1" t="n">
        <v>1</v>
      </c>
      <c r="N472" s="1" t="n">
        <v>541.89</v>
      </c>
      <c r="O472" s="1" t="n">
        <v>0</v>
      </c>
      <c r="Q472" s="4" t="n">
        <v>45273</v>
      </c>
      <c r="R472" s="0" t="n">
        <f aca="false">IF(ISBLANK(F472),"Missing",IFERROR(YEAR(F472),"Missing"))</f>
        <v>2021</v>
      </c>
      <c r="S472" s="0" t="str">
        <f aca="false">IF(ISBLANK(E472),"Missing",IF(E472&lt;6,"0-6mo",IF(E472&lt;12,"6-12mo",IF(E472&lt;24,"12-24mo","24mo+"))))</f>
        <v>24mo+</v>
      </c>
      <c r="T472" s="0" t="n">
        <f aca="false">IF(ISBLANK(C472),0,IF(C472="Month-to-month",2,IF(C472="One year",1,0)))+IF(ISBLANK(I472),0,IF(I472&lt;40,2,IF(I472&lt;55,1,0)))+IF(ISBLANK(M472),0,IF(M472=1,3,0))+IF(ISBLANK(L472),0,IF(L472&gt;=2,1,0))+IF(ISBLANK(E472),0,IF(E472&lt;12,1,0))</f>
        <v>6</v>
      </c>
      <c r="U472" s="0" t="str">
        <f aca="false">IF((ISBLANK(B472)*1+ISBLANK(C472)*1+ISBLANK(D472)*1+ISBLANK(E472)*1+ISBLANK(F472)*1+ISBLANK(I472)*1+ISBLANK(J472)*1+ISBLANK(K472)*1+ISBLANK(L472)*1+ISBLANK(M472)*1+ISBLANK(N472)*1+ISBLANK(O472)*1)&gt;0,"Missing Data","OK")</f>
        <v>OK</v>
      </c>
      <c r="V472" s="0" t="str">
        <f aca="false">IF(T472&gt;=6,"High Risk",IF(T472&gt;=3,"Medium Risk","Low Risk"))</f>
        <v>High Risk</v>
      </c>
    </row>
    <row r="473" customFormat="false" ht="12.8" hidden="false" customHeight="false" outlineLevel="0" collapsed="false">
      <c r="A473" s="1" t="s">
        <v>503</v>
      </c>
      <c r="B473" s="1" t="s">
        <v>36</v>
      </c>
      <c r="C473" s="1" t="s">
        <v>24</v>
      </c>
      <c r="D473" s="1" t="n">
        <v>10.69</v>
      </c>
      <c r="E473" s="1" t="n">
        <v>15</v>
      </c>
      <c r="F473" s="4" t="n">
        <v>44452</v>
      </c>
      <c r="G473" s="1" t="s">
        <v>30</v>
      </c>
      <c r="H473" s="1" t="n">
        <v>0</v>
      </c>
      <c r="I473" s="1" t="n">
        <v>45.3</v>
      </c>
      <c r="J473" s="1" t="n">
        <v>10</v>
      </c>
      <c r="K473" s="1" t="n">
        <v>6</v>
      </c>
      <c r="L473" s="1" t="n">
        <v>1</v>
      </c>
      <c r="M473" s="1" t="n">
        <v>1</v>
      </c>
      <c r="N473" s="1" t="n">
        <v>160.35</v>
      </c>
      <c r="O473" s="1" t="n">
        <v>1</v>
      </c>
      <c r="P473" s="4" t="n">
        <v>44908</v>
      </c>
      <c r="Q473" s="4" t="n">
        <v>44908</v>
      </c>
      <c r="R473" s="0" t="n">
        <f aca="false">IF(ISBLANK(F473),"Missing",IFERROR(YEAR(F473),"Missing"))</f>
        <v>2021</v>
      </c>
      <c r="S473" s="0" t="str">
        <f aca="false">IF(ISBLANK(E473),"Missing",IF(E473&lt;6,"0-6mo",IF(E473&lt;12,"6-12mo",IF(E473&lt;24,"12-24mo","24mo+"))))</f>
        <v>12-24mo</v>
      </c>
      <c r="T473" s="0" t="n">
        <f aca="false">IF(ISBLANK(C473),0,IF(C473="Month-to-month",2,IF(C473="One year",1,0)))+IF(ISBLANK(I473),0,IF(I473&lt;40,2,IF(I473&lt;55,1,0)))+IF(ISBLANK(M473),0,IF(M473=1,3,0))+IF(ISBLANK(L473),0,IF(L473&gt;=2,1,0))+IF(ISBLANK(E473),0,IF(E473&lt;12,1,0))</f>
        <v>6</v>
      </c>
      <c r="U473" s="0" t="str">
        <f aca="false">IF((ISBLANK(B473)*1+ISBLANK(C473)*1+ISBLANK(D473)*1+ISBLANK(E473)*1+ISBLANK(F473)*1+ISBLANK(I473)*1+ISBLANK(J473)*1+ISBLANK(K473)*1+ISBLANK(L473)*1+ISBLANK(M473)*1+ISBLANK(N473)*1+ISBLANK(O473)*1)&gt;0,"Missing Data","OK")</f>
        <v>OK</v>
      </c>
      <c r="V473" s="0" t="str">
        <f aca="false">IF(T473&gt;=6,"High Risk",IF(T473&gt;=3,"Medium Risk","Low Risk"))</f>
        <v>High Risk</v>
      </c>
    </row>
    <row r="474" customFormat="false" ht="12.8" hidden="false" customHeight="false" outlineLevel="0" collapsed="false">
      <c r="A474" s="1" t="s">
        <v>504</v>
      </c>
      <c r="B474" s="1" t="s">
        <v>29</v>
      </c>
      <c r="C474" s="1" t="s">
        <v>24</v>
      </c>
      <c r="D474" s="1" t="n">
        <v>39.67</v>
      </c>
      <c r="E474" s="1" t="n">
        <v>7</v>
      </c>
      <c r="F474" s="4" t="n">
        <v>44453</v>
      </c>
      <c r="G474" s="1" t="s">
        <v>25</v>
      </c>
      <c r="H474" s="1" t="n">
        <v>1</v>
      </c>
      <c r="I474" s="1" t="n">
        <v>9.9</v>
      </c>
      <c r="J474" s="1" t="n">
        <v>7</v>
      </c>
      <c r="K474" s="1" t="n">
        <v>0</v>
      </c>
      <c r="L474" s="1" t="n">
        <v>4</v>
      </c>
      <c r="M474" s="1" t="n">
        <v>0</v>
      </c>
      <c r="N474" s="1" t="n">
        <v>277.69</v>
      </c>
      <c r="O474" s="1" t="n">
        <v>0</v>
      </c>
      <c r="Q474" s="4" t="n">
        <v>44666</v>
      </c>
      <c r="R474" s="0" t="n">
        <f aca="false">IF(ISBLANK(F474),"Missing",IFERROR(YEAR(F474),"Missing"))</f>
        <v>2021</v>
      </c>
      <c r="S474" s="0" t="str">
        <f aca="false">IF(ISBLANK(E474),"Missing",IF(E474&lt;6,"0-6mo",IF(E474&lt;12,"6-12mo",IF(E474&lt;24,"12-24mo","24mo+"))))</f>
        <v>6-12mo</v>
      </c>
      <c r="T474" s="0" t="n">
        <f aca="false">IF(ISBLANK(C474),0,IF(C474="Month-to-month",2,IF(C474="One year",1,0)))+IF(ISBLANK(I474),0,IF(I474&lt;40,2,IF(I474&lt;55,1,0)))+IF(ISBLANK(M474),0,IF(M474=1,3,0))+IF(ISBLANK(L474),0,IF(L474&gt;=2,1,0))+IF(ISBLANK(E474),0,IF(E474&lt;12,1,0))</f>
        <v>6</v>
      </c>
      <c r="U474" s="0" t="str">
        <f aca="false">IF((ISBLANK(B474)*1+ISBLANK(C474)*1+ISBLANK(D474)*1+ISBLANK(E474)*1+ISBLANK(F474)*1+ISBLANK(I474)*1+ISBLANK(J474)*1+ISBLANK(K474)*1+ISBLANK(L474)*1+ISBLANK(M474)*1+ISBLANK(N474)*1+ISBLANK(O474)*1)&gt;0,"Missing Data","OK")</f>
        <v>OK</v>
      </c>
      <c r="V474" s="0" t="str">
        <f aca="false">IF(T474&gt;=6,"High Risk",IF(T474&gt;=3,"Medium Risk","Low Risk"))</f>
        <v>High Risk</v>
      </c>
    </row>
    <row r="475" customFormat="false" ht="12.8" hidden="false" customHeight="false" outlineLevel="0" collapsed="false">
      <c r="A475" s="1" t="s">
        <v>505</v>
      </c>
      <c r="B475" s="1" t="s">
        <v>23</v>
      </c>
      <c r="C475" s="1" t="s">
        <v>51</v>
      </c>
      <c r="D475" s="1" t="n">
        <v>21.01</v>
      </c>
      <c r="E475" s="1" t="n">
        <v>1</v>
      </c>
      <c r="F475" s="4" t="n">
        <v>44453</v>
      </c>
      <c r="G475" s="1" t="s">
        <v>30</v>
      </c>
      <c r="H475" s="1" t="n">
        <v>0</v>
      </c>
      <c r="I475" s="1" t="n">
        <v>33.9</v>
      </c>
      <c r="J475" s="1" t="n">
        <v>9</v>
      </c>
      <c r="K475" s="1" t="n">
        <v>2</v>
      </c>
      <c r="L475" s="1" t="n">
        <v>3</v>
      </c>
      <c r="M475" s="1" t="n">
        <v>1</v>
      </c>
      <c r="N475" s="1" t="n">
        <v>21.01</v>
      </c>
      <c r="O475" s="1" t="n">
        <v>0</v>
      </c>
      <c r="Q475" s="4" t="n">
        <v>44483</v>
      </c>
      <c r="R475" s="0" t="n">
        <f aca="false">IF(ISBLANK(F475),"Missing",IFERROR(YEAR(F475),"Missing"))</f>
        <v>2021</v>
      </c>
      <c r="S475" s="0" t="str">
        <f aca="false">IF(ISBLANK(E475),"Missing",IF(E475&lt;6,"0-6mo",IF(E475&lt;12,"6-12mo",IF(E475&lt;24,"12-24mo","24mo+"))))</f>
        <v>0-6mo</v>
      </c>
      <c r="T475" s="0" t="n">
        <f aca="false">IF(ISBLANK(C475),0,IF(C475="Month-to-month",2,IF(C475="One year",1,0)))+IF(ISBLANK(I475),0,IF(I475&lt;40,2,IF(I475&lt;55,1,0)))+IF(ISBLANK(M475),0,IF(M475=1,3,0))+IF(ISBLANK(L475),0,IF(L475&gt;=2,1,0))+IF(ISBLANK(E475),0,IF(E475&lt;12,1,0))</f>
        <v>7</v>
      </c>
      <c r="U475" s="0" t="str">
        <f aca="false">IF((ISBLANK(B475)*1+ISBLANK(C475)*1+ISBLANK(D475)*1+ISBLANK(E475)*1+ISBLANK(F475)*1+ISBLANK(I475)*1+ISBLANK(J475)*1+ISBLANK(K475)*1+ISBLANK(L475)*1+ISBLANK(M475)*1+ISBLANK(N475)*1+ISBLANK(O475)*1)&gt;0,"Missing Data","OK")</f>
        <v>OK</v>
      </c>
      <c r="V475" s="0" t="str">
        <f aca="false">IF(T475&gt;=6,"High Risk",IF(T475&gt;=3,"Medium Risk","Low Risk"))</f>
        <v>High Risk</v>
      </c>
    </row>
    <row r="476" customFormat="false" ht="12.8" hidden="false" customHeight="false" outlineLevel="0" collapsed="false">
      <c r="A476" s="1" t="s">
        <v>506</v>
      </c>
      <c r="B476" s="1" t="s">
        <v>36</v>
      </c>
      <c r="C476" s="1" t="s">
        <v>24</v>
      </c>
      <c r="D476" s="1" t="n">
        <v>9.34</v>
      </c>
      <c r="E476" s="1" t="n">
        <v>4</v>
      </c>
      <c r="F476" s="4" t="n">
        <v>44455</v>
      </c>
      <c r="G476" s="1" t="s">
        <v>30</v>
      </c>
      <c r="H476" s="1" t="n">
        <v>0</v>
      </c>
      <c r="I476" s="1" t="n">
        <v>100</v>
      </c>
      <c r="J476" s="1" t="n">
        <v>27</v>
      </c>
      <c r="K476" s="1" t="n">
        <v>10</v>
      </c>
      <c r="L476" s="1" t="n">
        <v>1</v>
      </c>
      <c r="M476" s="1" t="n">
        <v>0</v>
      </c>
      <c r="N476" s="1" t="n">
        <v>37.36</v>
      </c>
      <c r="O476" s="1" t="n">
        <v>0</v>
      </c>
      <c r="Q476" s="4" t="n">
        <v>44576</v>
      </c>
      <c r="R476" s="0" t="n">
        <f aca="false">IF(ISBLANK(F476),"Missing",IFERROR(YEAR(F476),"Missing"))</f>
        <v>2021</v>
      </c>
      <c r="S476" s="0" t="str">
        <f aca="false">IF(ISBLANK(E476),"Missing",IF(E476&lt;6,"0-6mo",IF(E476&lt;12,"6-12mo",IF(E476&lt;24,"12-24mo","24mo+"))))</f>
        <v>0-6mo</v>
      </c>
      <c r="T476" s="0" t="n">
        <f aca="false">IF(ISBLANK(C476),0,IF(C476="Month-to-month",2,IF(C476="One year",1,0)))+IF(ISBLANK(I476),0,IF(I476&lt;40,2,IF(I476&lt;55,1,0)))+IF(ISBLANK(M476),0,IF(M476=1,3,0))+IF(ISBLANK(L476),0,IF(L476&gt;=2,1,0))+IF(ISBLANK(E476),0,IF(E476&lt;12,1,0))</f>
        <v>3</v>
      </c>
      <c r="U476" s="0" t="str">
        <f aca="false">IF((ISBLANK(B476)*1+ISBLANK(C476)*1+ISBLANK(D476)*1+ISBLANK(E476)*1+ISBLANK(F476)*1+ISBLANK(I476)*1+ISBLANK(J476)*1+ISBLANK(K476)*1+ISBLANK(L476)*1+ISBLANK(M476)*1+ISBLANK(N476)*1+ISBLANK(O476)*1)&gt;0,"Missing Data","OK")</f>
        <v>OK</v>
      </c>
      <c r="V476" s="0" t="str">
        <f aca="false">IF(T476&gt;=6,"High Risk",IF(T476&gt;=3,"Medium Risk","Low Risk"))</f>
        <v>Medium Risk</v>
      </c>
    </row>
    <row r="477" customFormat="false" ht="12.8" hidden="false" customHeight="false" outlineLevel="0" collapsed="false">
      <c r="A477" s="1" t="s">
        <v>507</v>
      </c>
      <c r="B477" s="1" t="s">
        <v>36</v>
      </c>
      <c r="C477" s="1" t="s">
        <v>34</v>
      </c>
      <c r="D477" s="1" t="n">
        <v>9.47</v>
      </c>
      <c r="E477" s="1" t="n">
        <v>72</v>
      </c>
      <c r="F477" s="4" t="n">
        <v>44459</v>
      </c>
      <c r="G477" s="1" t="s">
        <v>25</v>
      </c>
      <c r="H477" s="1" t="n">
        <v>1</v>
      </c>
      <c r="I477" s="1" t="n">
        <v>39.4</v>
      </c>
      <c r="J477" s="1" t="n">
        <v>5</v>
      </c>
      <c r="K477" s="1" t="n">
        <v>4</v>
      </c>
      <c r="L477" s="1" t="n">
        <v>0</v>
      </c>
      <c r="M477" s="1" t="n">
        <v>0</v>
      </c>
      <c r="N477" s="1" t="n">
        <v>681.84</v>
      </c>
      <c r="O477" s="1" t="n">
        <v>0</v>
      </c>
      <c r="Q477" s="4" t="n">
        <v>46293</v>
      </c>
      <c r="R477" s="0" t="n">
        <f aca="false">IF(ISBLANK(F477),"Missing",IFERROR(YEAR(F477),"Missing"))</f>
        <v>2021</v>
      </c>
      <c r="S477" s="0" t="str">
        <f aca="false">IF(ISBLANK(E477),"Missing",IF(E477&lt;6,"0-6mo",IF(E477&lt;12,"6-12mo",IF(E477&lt;24,"12-24mo","24mo+"))))</f>
        <v>24mo+</v>
      </c>
      <c r="T477" s="0" t="n">
        <f aca="false">IF(ISBLANK(C477),0,IF(C477="Month-to-month",2,IF(C477="One year",1,0)))+IF(ISBLANK(I477),0,IF(I477&lt;40,2,IF(I477&lt;55,1,0)))+IF(ISBLANK(M477),0,IF(M477=1,3,0))+IF(ISBLANK(L477),0,IF(L477&gt;=2,1,0))+IF(ISBLANK(E477),0,IF(E477&lt;12,1,0))</f>
        <v>3</v>
      </c>
      <c r="U477" s="0" t="str">
        <f aca="false">IF((ISBLANK(B477)*1+ISBLANK(C477)*1+ISBLANK(D477)*1+ISBLANK(E477)*1+ISBLANK(F477)*1+ISBLANK(I477)*1+ISBLANK(J477)*1+ISBLANK(K477)*1+ISBLANK(L477)*1+ISBLANK(M477)*1+ISBLANK(N477)*1+ISBLANK(O477)*1)&gt;0,"Missing Data","OK")</f>
        <v>OK</v>
      </c>
      <c r="V477" s="0" t="str">
        <f aca="false">IF(T477&gt;=6,"High Risk",IF(T477&gt;=3,"Medium Risk","Low Risk"))</f>
        <v>Medium Risk</v>
      </c>
    </row>
    <row r="478" customFormat="false" ht="12.8" hidden="false" customHeight="false" outlineLevel="0" collapsed="false">
      <c r="A478" s="1" t="s">
        <v>508</v>
      </c>
      <c r="B478" s="1" t="s">
        <v>36</v>
      </c>
      <c r="C478" s="1" t="s">
        <v>24</v>
      </c>
      <c r="D478" s="1" t="n">
        <v>10.19</v>
      </c>
      <c r="E478" s="1" t="n">
        <v>19</v>
      </c>
      <c r="F478" s="4" t="n">
        <v>44461</v>
      </c>
      <c r="G478" s="1" t="s">
        <v>25</v>
      </c>
      <c r="H478" s="1" t="n">
        <v>1</v>
      </c>
      <c r="I478" s="1" t="n">
        <v>50.5</v>
      </c>
      <c r="J478" s="1" t="n">
        <v>24</v>
      </c>
      <c r="K478" s="1" t="n">
        <v>3</v>
      </c>
      <c r="L478" s="1" t="n">
        <v>1</v>
      </c>
      <c r="M478" s="1" t="n">
        <v>0</v>
      </c>
      <c r="N478" s="1" t="n">
        <v>193.61</v>
      </c>
      <c r="O478" s="1" t="n">
        <v>0</v>
      </c>
      <c r="Q478" s="4" t="n">
        <v>45039</v>
      </c>
      <c r="R478" s="0" t="n">
        <f aca="false">IF(ISBLANK(F478),"Missing",IFERROR(YEAR(F478),"Missing"))</f>
        <v>2021</v>
      </c>
      <c r="S478" s="0" t="str">
        <f aca="false">IF(ISBLANK(E478),"Missing",IF(E478&lt;6,"0-6mo",IF(E478&lt;12,"6-12mo",IF(E478&lt;24,"12-24mo","24mo+"))))</f>
        <v>12-24mo</v>
      </c>
      <c r="T478" s="0" t="n">
        <f aca="false">IF(ISBLANK(C478),0,IF(C478="Month-to-month",2,IF(C478="One year",1,0)))+IF(ISBLANK(I478),0,IF(I478&lt;40,2,IF(I478&lt;55,1,0)))+IF(ISBLANK(M478),0,IF(M478=1,3,0))+IF(ISBLANK(L478),0,IF(L478&gt;=2,1,0))+IF(ISBLANK(E478),0,IF(E478&lt;12,1,0))</f>
        <v>3</v>
      </c>
      <c r="U478" s="0" t="str">
        <f aca="false">IF((ISBLANK(B478)*1+ISBLANK(C478)*1+ISBLANK(D478)*1+ISBLANK(E478)*1+ISBLANK(F478)*1+ISBLANK(I478)*1+ISBLANK(J478)*1+ISBLANK(K478)*1+ISBLANK(L478)*1+ISBLANK(M478)*1+ISBLANK(N478)*1+ISBLANK(O478)*1)&gt;0,"Missing Data","OK")</f>
        <v>OK</v>
      </c>
      <c r="V478" s="0" t="str">
        <f aca="false">IF(T478&gt;=6,"High Risk",IF(T478&gt;=3,"Medium Risk","Low Risk"))</f>
        <v>Medium Risk</v>
      </c>
    </row>
    <row r="479" customFormat="false" ht="12.8" hidden="false" customHeight="false" outlineLevel="0" collapsed="false">
      <c r="A479" s="1" t="s">
        <v>509</v>
      </c>
      <c r="B479" s="1" t="s">
        <v>29</v>
      </c>
      <c r="C479" s="1" t="s">
        <v>24</v>
      </c>
      <c r="D479" s="1" t="n">
        <v>39.81</v>
      </c>
      <c r="E479" s="1" t="n">
        <v>35</v>
      </c>
      <c r="F479" s="4" t="n">
        <v>44469</v>
      </c>
      <c r="G479" s="1" t="s">
        <v>25</v>
      </c>
      <c r="H479" s="1" t="n">
        <v>0</v>
      </c>
      <c r="I479" s="1" t="n">
        <v>50.9</v>
      </c>
      <c r="J479" s="1" t="n">
        <v>16</v>
      </c>
      <c r="K479" s="1" t="n">
        <v>2</v>
      </c>
      <c r="L479" s="1" t="n">
        <v>0</v>
      </c>
      <c r="M479" s="1" t="n">
        <v>0</v>
      </c>
      <c r="N479" s="1" t="n">
        <v>1393.35</v>
      </c>
      <c r="O479" s="1" t="n">
        <v>0</v>
      </c>
      <c r="Q479" s="4" t="n">
        <v>45534</v>
      </c>
      <c r="R479" s="0" t="n">
        <f aca="false">IF(ISBLANK(F479),"Missing",IFERROR(YEAR(F479),"Missing"))</f>
        <v>2021</v>
      </c>
      <c r="S479" s="0" t="str">
        <f aca="false">IF(ISBLANK(E479),"Missing",IF(E479&lt;6,"0-6mo",IF(E479&lt;12,"6-12mo",IF(E479&lt;24,"12-24mo","24mo+"))))</f>
        <v>24mo+</v>
      </c>
      <c r="T479" s="0" t="n">
        <f aca="false">IF(ISBLANK(C479),0,IF(C479="Month-to-month",2,IF(C479="One year",1,0)))+IF(ISBLANK(I479),0,IF(I479&lt;40,2,IF(I479&lt;55,1,0)))+IF(ISBLANK(M479),0,IF(M479=1,3,0))+IF(ISBLANK(L479),0,IF(L479&gt;=2,1,0))+IF(ISBLANK(E479),0,IF(E479&lt;12,1,0))</f>
        <v>3</v>
      </c>
      <c r="U479" s="0" t="str">
        <f aca="false">IF((ISBLANK(B479)*1+ISBLANK(C479)*1+ISBLANK(D479)*1+ISBLANK(E479)*1+ISBLANK(F479)*1+ISBLANK(I479)*1+ISBLANK(J479)*1+ISBLANK(K479)*1+ISBLANK(L479)*1+ISBLANK(M479)*1+ISBLANK(N479)*1+ISBLANK(O479)*1)&gt;0,"Missing Data","OK")</f>
        <v>OK</v>
      </c>
      <c r="V479" s="0" t="str">
        <f aca="false">IF(T479&gt;=6,"High Risk",IF(T479&gt;=3,"Medium Risk","Low Risk"))</f>
        <v>Medium Risk</v>
      </c>
    </row>
    <row r="480" customFormat="false" ht="12.8" hidden="false" customHeight="false" outlineLevel="0" collapsed="false">
      <c r="A480" s="1" t="s">
        <v>510</v>
      </c>
      <c r="B480" s="1" t="s">
        <v>36</v>
      </c>
      <c r="C480" s="1" t="s">
        <v>24</v>
      </c>
      <c r="D480" s="1" t="n">
        <v>7.63</v>
      </c>
      <c r="E480" s="1" t="n">
        <v>33</v>
      </c>
      <c r="F480" s="4" t="n">
        <v>44470</v>
      </c>
      <c r="G480" s="1" t="s">
        <v>25</v>
      </c>
      <c r="H480" s="1" t="n">
        <v>0</v>
      </c>
      <c r="I480" s="1" t="n">
        <v>39.8</v>
      </c>
      <c r="J480" s="1" t="n">
        <v>6</v>
      </c>
      <c r="K480" s="1" t="n">
        <v>4</v>
      </c>
      <c r="L480" s="1" t="n">
        <v>1</v>
      </c>
      <c r="M480" s="1" t="n">
        <v>0</v>
      </c>
      <c r="N480" s="1" t="n">
        <v>251.79</v>
      </c>
      <c r="O480" s="1" t="n">
        <v>0</v>
      </c>
      <c r="Q480" s="4" t="n">
        <v>45474</v>
      </c>
      <c r="R480" s="0" t="n">
        <f aca="false">IF(ISBLANK(F480),"Missing",IFERROR(YEAR(F480),"Missing"))</f>
        <v>2021</v>
      </c>
      <c r="S480" s="0" t="str">
        <f aca="false">IF(ISBLANK(E480),"Missing",IF(E480&lt;6,"0-6mo",IF(E480&lt;12,"6-12mo",IF(E480&lt;24,"12-24mo","24mo+"))))</f>
        <v>24mo+</v>
      </c>
      <c r="T480" s="0" t="n">
        <f aca="false">IF(ISBLANK(C480),0,IF(C480="Month-to-month",2,IF(C480="One year",1,0)))+IF(ISBLANK(I480),0,IF(I480&lt;40,2,IF(I480&lt;55,1,0)))+IF(ISBLANK(M480),0,IF(M480=1,3,0))+IF(ISBLANK(L480),0,IF(L480&gt;=2,1,0))+IF(ISBLANK(E480),0,IF(E480&lt;12,1,0))</f>
        <v>4</v>
      </c>
      <c r="U480" s="0" t="str">
        <f aca="false">IF((ISBLANK(B480)*1+ISBLANK(C480)*1+ISBLANK(D480)*1+ISBLANK(E480)*1+ISBLANK(F480)*1+ISBLANK(I480)*1+ISBLANK(J480)*1+ISBLANK(K480)*1+ISBLANK(L480)*1+ISBLANK(M480)*1+ISBLANK(N480)*1+ISBLANK(O480)*1)&gt;0,"Missing Data","OK")</f>
        <v>OK</v>
      </c>
      <c r="V480" s="0" t="str">
        <f aca="false">IF(T480&gt;=6,"High Risk",IF(T480&gt;=3,"Medium Risk","Low Risk"))</f>
        <v>Medium Risk</v>
      </c>
    </row>
    <row r="481" customFormat="false" ht="12.8" hidden="false" customHeight="false" outlineLevel="0" collapsed="false">
      <c r="A481" s="1" t="s">
        <v>511</v>
      </c>
      <c r="B481" s="1" t="s">
        <v>23</v>
      </c>
      <c r="C481" s="1" t="s">
        <v>51</v>
      </c>
      <c r="D481" s="1" t="n">
        <v>19.56</v>
      </c>
      <c r="E481" s="1" t="n">
        <v>5</v>
      </c>
      <c r="F481" s="4" t="n">
        <v>44474</v>
      </c>
      <c r="G481" s="1" t="s">
        <v>25</v>
      </c>
      <c r="H481" s="1" t="n">
        <v>0</v>
      </c>
      <c r="I481" s="1" t="n">
        <v>36.2</v>
      </c>
      <c r="J481" s="1" t="n">
        <v>10</v>
      </c>
      <c r="K481" s="1" t="n">
        <v>4</v>
      </c>
      <c r="L481" s="1" t="n">
        <v>2</v>
      </c>
      <c r="M481" s="1" t="n">
        <v>1</v>
      </c>
      <c r="N481" s="1" t="n">
        <v>97.8</v>
      </c>
      <c r="O481" s="1" t="n">
        <v>1</v>
      </c>
      <c r="P481" s="4" t="n">
        <v>44626</v>
      </c>
      <c r="Q481" s="4" t="n">
        <v>44626</v>
      </c>
      <c r="R481" s="0" t="n">
        <f aca="false">IF(ISBLANK(F481),"Missing",IFERROR(YEAR(F481),"Missing"))</f>
        <v>2021</v>
      </c>
      <c r="S481" s="0" t="str">
        <f aca="false">IF(ISBLANK(E481),"Missing",IF(E481&lt;6,"0-6mo",IF(E481&lt;12,"6-12mo",IF(E481&lt;24,"12-24mo","24mo+"))))</f>
        <v>0-6mo</v>
      </c>
      <c r="T481" s="0" t="n">
        <f aca="false">IF(ISBLANK(C481),0,IF(C481="Month-to-month",2,IF(C481="One year",1,0)))+IF(ISBLANK(I481),0,IF(I481&lt;40,2,IF(I481&lt;55,1,0)))+IF(ISBLANK(M481),0,IF(M481=1,3,0))+IF(ISBLANK(L481),0,IF(L481&gt;=2,1,0))+IF(ISBLANK(E481),0,IF(E481&lt;12,1,0))</f>
        <v>7</v>
      </c>
      <c r="U481" s="0" t="str">
        <f aca="false">IF((ISBLANK(B481)*1+ISBLANK(C481)*1+ISBLANK(D481)*1+ISBLANK(E481)*1+ISBLANK(F481)*1+ISBLANK(I481)*1+ISBLANK(J481)*1+ISBLANK(K481)*1+ISBLANK(L481)*1+ISBLANK(M481)*1+ISBLANK(N481)*1+ISBLANK(O481)*1)&gt;0,"Missing Data","OK")</f>
        <v>OK</v>
      </c>
      <c r="V481" s="0" t="str">
        <f aca="false">IF(T481&gt;=6,"High Risk",IF(T481&gt;=3,"Medium Risk","Low Risk"))</f>
        <v>High Risk</v>
      </c>
    </row>
    <row r="482" customFormat="false" ht="12.8" hidden="false" customHeight="false" outlineLevel="0" collapsed="false">
      <c r="A482" s="1" t="s">
        <v>512</v>
      </c>
      <c r="B482" s="1" t="s">
        <v>29</v>
      </c>
      <c r="C482" s="1" t="s">
        <v>24</v>
      </c>
      <c r="D482" s="1" t="n">
        <v>38.88</v>
      </c>
      <c r="E482" s="1" t="n">
        <v>18</v>
      </c>
      <c r="F482" s="4" t="n">
        <v>44474</v>
      </c>
      <c r="G482" s="1" t="s">
        <v>25</v>
      </c>
      <c r="H482" s="1" t="n">
        <v>0</v>
      </c>
      <c r="I482" s="1" t="n">
        <v>33.4</v>
      </c>
      <c r="J482" s="1" t="n">
        <v>14</v>
      </c>
      <c r="K482" s="1" t="n">
        <v>4</v>
      </c>
      <c r="L482" s="1" t="n">
        <v>0</v>
      </c>
      <c r="M482" s="1" t="n">
        <v>0</v>
      </c>
      <c r="N482" s="1" t="n">
        <v>699.84</v>
      </c>
      <c r="O482" s="1" t="n">
        <v>1</v>
      </c>
      <c r="P482" s="4" t="n">
        <v>45021</v>
      </c>
      <c r="Q482" s="4" t="n">
        <v>45021</v>
      </c>
      <c r="R482" s="0" t="n">
        <f aca="false">IF(ISBLANK(F482),"Missing",IFERROR(YEAR(F482),"Missing"))</f>
        <v>2021</v>
      </c>
      <c r="S482" s="0" t="str">
        <f aca="false">IF(ISBLANK(E482),"Missing",IF(E482&lt;6,"0-6mo",IF(E482&lt;12,"6-12mo",IF(E482&lt;24,"12-24mo","24mo+"))))</f>
        <v>12-24mo</v>
      </c>
      <c r="T482" s="0" t="n">
        <f aca="false">IF(ISBLANK(C482),0,IF(C482="Month-to-month",2,IF(C482="One year",1,0)))+IF(ISBLANK(I482),0,IF(I482&lt;40,2,IF(I482&lt;55,1,0)))+IF(ISBLANK(M482),0,IF(M482=1,3,0))+IF(ISBLANK(L482),0,IF(L482&gt;=2,1,0))+IF(ISBLANK(E482),0,IF(E482&lt;12,1,0))</f>
        <v>4</v>
      </c>
      <c r="U482" s="0" t="str">
        <f aca="false">IF((ISBLANK(B482)*1+ISBLANK(C482)*1+ISBLANK(D482)*1+ISBLANK(E482)*1+ISBLANK(F482)*1+ISBLANK(I482)*1+ISBLANK(J482)*1+ISBLANK(K482)*1+ISBLANK(L482)*1+ISBLANK(M482)*1+ISBLANK(N482)*1+ISBLANK(O482)*1)&gt;0,"Missing Data","OK")</f>
        <v>OK</v>
      </c>
      <c r="V482" s="0" t="str">
        <f aca="false">IF(T482&gt;=6,"High Risk",IF(T482&gt;=3,"Medium Risk","Low Risk"))</f>
        <v>Medium Risk</v>
      </c>
    </row>
    <row r="483" customFormat="false" ht="12.8" hidden="false" customHeight="false" outlineLevel="0" collapsed="false">
      <c r="A483" s="1" t="s">
        <v>513</v>
      </c>
      <c r="B483" s="1" t="s">
        <v>36</v>
      </c>
      <c r="C483" s="1" t="s">
        <v>24</v>
      </c>
      <c r="D483" s="1" t="n">
        <v>9.83</v>
      </c>
      <c r="E483" s="1" t="n">
        <v>29</v>
      </c>
      <c r="F483" s="4" t="n">
        <v>44474</v>
      </c>
      <c r="G483" s="1" t="s">
        <v>25</v>
      </c>
      <c r="H483" s="1" t="n">
        <v>0</v>
      </c>
      <c r="I483" s="1" t="n">
        <v>81.7</v>
      </c>
      <c r="J483" s="1" t="n">
        <v>24</v>
      </c>
      <c r="K483" s="1" t="n">
        <v>10</v>
      </c>
      <c r="L483" s="1" t="n">
        <v>0</v>
      </c>
      <c r="M483" s="1" t="n">
        <v>0</v>
      </c>
      <c r="N483" s="1" t="n">
        <v>285.07</v>
      </c>
      <c r="O483" s="1" t="n">
        <v>1</v>
      </c>
      <c r="P483" s="4" t="n">
        <v>45356</v>
      </c>
      <c r="Q483" s="4" t="n">
        <v>45356</v>
      </c>
      <c r="R483" s="0" t="n">
        <f aca="false">IF(ISBLANK(F483),"Missing",IFERROR(YEAR(F483),"Missing"))</f>
        <v>2021</v>
      </c>
      <c r="S483" s="0" t="str">
        <f aca="false">IF(ISBLANK(E483),"Missing",IF(E483&lt;6,"0-6mo",IF(E483&lt;12,"6-12mo",IF(E483&lt;24,"12-24mo","24mo+"))))</f>
        <v>24mo+</v>
      </c>
      <c r="T483" s="0" t="n">
        <f aca="false">IF(ISBLANK(C483),0,IF(C483="Month-to-month",2,IF(C483="One year",1,0)))+IF(ISBLANK(I483),0,IF(I483&lt;40,2,IF(I483&lt;55,1,0)))+IF(ISBLANK(M483),0,IF(M483=1,3,0))+IF(ISBLANK(L483),0,IF(L483&gt;=2,1,0))+IF(ISBLANK(E483),0,IF(E483&lt;12,1,0))</f>
        <v>2</v>
      </c>
      <c r="U483" s="0" t="str">
        <f aca="false">IF((ISBLANK(B483)*1+ISBLANK(C483)*1+ISBLANK(D483)*1+ISBLANK(E483)*1+ISBLANK(F483)*1+ISBLANK(I483)*1+ISBLANK(J483)*1+ISBLANK(K483)*1+ISBLANK(L483)*1+ISBLANK(M483)*1+ISBLANK(N483)*1+ISBLANK(O483)*1)&gt;0,"Missing Data","OK")</f>
        <v>OK</v>
      </c>
      <c r="V483" s="0" t="str">
        <f aca="false">IF(T483&gt;=6,"High Risk",IF(T483&gt;=3,"Medium Risk","Low Risk"))</f>
        <v>Low Risk</v>
      </c>
    </row>
    <row r="484" customFormat="false" ht="12.8" hidden="false" customHeight="false" outlineLevel="0" collapsed="false">
      <c r="A484" s="1" t="s">
        <v>514</v>
      </c>
      <c r="B484" s="1" t="s">
        <v>23</v>
      </c>
      <c r="C484" s="1" t="s">
        <v>51</v>
      </c>
      <c r="D484" s="1" t="n">
        <v>21.26</v>
      </c>
      <c r="E484" s="1" t="n">
        <v>59</v>
      </c>
      <c r="F484" s="4" t="n">
        <v>44478</v>
      </c>
      <c r="G484" s="1" t="s">
        <v>39</v>
      </c>
      <c r="H484" s="1" t="n">
        <v>1</v>
      </c>
      <c r="I484" s="1" t="n">
        <v>33.8</v>
      </c>
      <c r="J484" s="1" t="n">
        <v>12</v>
      </c>
      <c r="K484" s="1" t="n">
        <v>1</v>
      </c>
      <c r="L484" s="1" t="n">
        <v>2</v>
      </c>
      <c r="M484" s="1" t="n">
        <v>0</v>
      </c>
      <c r="N484" s="1" t="n">
        <v>1254.34</v>
      </c>
      <c r="O484" s="1" t="n">
        <v>0</v>
      </c>
      <c r="Q484" s="4" t="n">
        <v>46273</v>
      </c>
      <c r="R484" s="0" t="n">
        <f aca="false">IF(ISBLANK(F484),"Missing",IFERROR(YEAR(F484),"Missing"))</f>
        <v>2021</v>
      </c>
      <c r="S484" s="0" t="str">
        <f aca="false">IF(ISBLANK(E484),"Missing",IF(E484&lt;6,"0-6mo",IF(E484&lt;12,"6-12mo",IF(E484&lt;24,"12-24mo","24mo+"))))</f>
        <v>24mo+</v>
      </c>
      <c r="T484" s="0" t="n">
        <f aca="false">IF(ISBLANK(C484),0,IF(C484="Month-to-month",2,IF(C484="One year",1,0)))+IF(ISBLANK(I484),0,IF(I484&lt;40,2,IF(I484&lt;55,1,0)))+IF(ISBLANK(M484),0,IF(M484=1,3,0))+IF(ISBLANK(L484),0,IF(L484&gt;=2,1,0))+IF(ISBLANK(E484),0,IF(E484&lt;12,1,0))</f>
        <v>3</v>
      </c>
      <c r="U484" s="0" t="str">
        <f aca="false">IF((ISBLANK(B484)*1+ISBLANK(C484)*1+ISBLANK(D484)*1+ISBLANK(E484)*1+ISBLANK(F484)*1+ISBLANK(I484)*1+ISBLANK(J484)*1+ISBLANK(K484)*1+ISBLANK(L484)*1+ISBLANK(M484)*1+ISBLANK(N484)*1+ISBLANK(O484)*1)&gt;0,"Missing Data","OK")</f>
        <v>OK</v>
      </c>
      <c r="V484" s="0" t="str">
        <f aca="false">IF(T484&gt;=6,"High Risk",IF(T484&gt;=3,"Medium Risk","Low Risk"))</f>
        <v>Medium Risk</v>
      </c>
    </row>
    <row r="485" customFormat="false" ht="12.8" hidden="false" customHeight="false" outlineLevel="0" collapsed="false">
      <c r="A485" s="1" t="s">
        <v>515</v>
      </c>
      <c r="B485" s="1" t="s">
        <v>36</v>
      </c>
      <c r="C485" s="1" t="s">
        <v>51</v>
      </c>
      <c r="D485" s="1" t="n">
        <v>10.67</v>
      </c>
      <c r="E485" s="1" t="n">
        <v>41</v>
      </c>
      <c r="F485" s="4" t="n">
        <v>44485</v>
      </c>
      <c r="G485" s="1" t="s">
        <v>39</v>
      </c>
      <c r="H485" s="1" t="n">
        <v>0</v>
      </c>
      <c r="I485" s="1" t="n">
        <v>28.8</v>
      </c>
      <c r="J485" s="1" t="n">
        <v>5</v>
      </c>
      <c r="K485" s="1" t="n">
        <v>5</v>
      </c>
      <c r="L485" s="1" t="n">
        <v>5</v>
      </c>
      <c r="M485" s="1" t="n">
        <v>0</v>
      </c>
      <c r="N485" s="1" t="n">
        <v>437.47</v>
      </c>
      <c r="O485" s="1" t="n">
        <v>0</v>
      </c>
      <c r="Q485" s="4" t="n">
        <v>45733</v>
      </c>
      <c r="R485" s="0" t="n">
        <f aca="false">IF(ISBLANK(F485),"Missing",IFERROR(YEAR(F485),"Missing"))</f>
        <v>2021</v>
      </c>
      <c r="S485" s="0" t="str">
        <f aca="false">IF(ISBLANK(E485),"Missing",IF(E485&lt;6,"0-6mo",IF(E485&lt;12,"6-12mo",IF(E485&lt;24,"12-24mo","24mo+"))))</f>
        <v>24mo+</v>
      </c>
      <c r="T485" s="0" t="n">
        <f aca="false">IF(ISBLANK(C485),0,IF(C485="Month-to-month",2,IF(C485="One year",1,0)))+IF(ISBLANK(I485),0,IF(I485&lt;40,2,IF(I485&lt;55,1,0)))+IF(ISBLANK(M485),0,IF(M485=1,3,0))+IF(ISBLANK(L485),0,IF(L485&gt;=2,1,0))+IF(ISBLANK(E485),0,IF(E485&lt;12,1,0))</f>
        <v>3</v>
      </c>
      <c r="U485" s="0" t="str">
        <f aca="false">IF((ISBLANK(B485)*1+ISBLANK(C485)*1+ISBLANK(D485)*1+ISBLANK(E485)*1+ISBLANK(F485)*1+ISBLANK(I485)*1+ISBLANK(J485)*1+ISBLANK(K485)*1+ISBLANK(L485)*1+ISBLANK(M485)*1+ISBLANK(N485)*1+ISBLANK(O485)*1)&gt;0,"Missing Data","OK")</f>
        <v>OK</v>
      </c>
      <c r="V485" s="0" t="str">
        <f aca="false">IF(T485&gt;=6,"High Risk",IF(T485&gt;=3,"Medium Risk","Low Risk"))</f>
        <v>Medium Risk</v>
      </c>
    </row>
    <row r="486" customFormat="false" ht="12.8" hidden="false" customHeight="false" outlineLevel="0" collapsed="false">
      <c r="A486" s="1" t="s">
        <v>516</v>
      </c>
      <c r="B486" s="1" t="s">
        <v>23</v>
      </c>
      <c r="C486" s="1" t="s">
        <v>24</v>
      </c>
      <c r="D486" s="1" t="n">
        <v>18.96</v>
      </c>
      <c r="E486" s="1" t="n">
        <v>11</v>
      </c>
      <c r="F486" s="4" t="n">
        <v>44489</v>
      </c>
      <c r="G486" s="1" t="s">
        <v>30</v>
      </c>
      <c r="H486" s="1" t="n">
        <v>0</v>
      </c>
      <c r="I486" s="1" t="n">
        <v>41</v>
      </c>
      <c r="J486" s="1" t="n">
        <v>8</v>
      </c>
      <c r="K486" s="1" t="n">
        <v>3</v>
      </c>
      <c r="L486" s="1" t="n">
        <v>3</v>
      </c>
      <c r="M486" s="1" t="n">
        <v>0</v>
      </c>
      <c r="N486" s="1" t="n">
        <v>208.56</v>
      </c>
      <c r="O486" s="1" t="n">
        <v>0</v>
      </c>
      <c r="Q486" s="4" t="n">
        <v>44823</v>
      </c>
      <c r="R486" s="0" t="n">
        <f aca="false">IF(ISBLANK(F486),"Missing",IFERROR(YEAR(F486),"Missing"))</f>
        <v>2021</v>
      </c>
      <c r="S486" s="0" t="str">
        <f aca="false">IF(ISBLANK(E486),"Missing",IF(E486&lt;6,"0-6mo",IF(E486&lt;12,"6-12mo",IF(E486&lt;24,"12-24mo","24mo+"))))</f>
        <v>6-12mo</v>
      </c>
      <c r="T486" s="0" t="n">
        <f aca="false">IF(ISBLANK(C486),0,IF(C486="Month-to-month",2,IF(C486="One year",1,0)))+IF(ISBLANK(I486),0,IF(I486&lt;40,2,IF(I486&lt;55,1,0)))+IF(ISBLANK(M486),0,IF(M486=1,3,0))+IF(ISBLANK(L486),0,IF(L486&gt;=2,1,0))+IF(ISBLANK(E486),0,IF(E486&lt;12,1,0))</f>
        <v>5</v>
      </c>
      <c r="U486" s="0" t="str">
        <f aca="false">IF((ISBLANK(B486)*1+ISBLANK(C486)*1+ISBLANK(D486)*1+ISBLANK(E486)*1+ISBLANK(F486)*1+ISBLANK(I486)*1+ISBLANK(J486)*1+ISBLANK(K486)*1+ISBLANK(L486)*1+ISBLANK(M486)*1+ISBLANK(N486)*1+ISBLANK(O486)*1)&gt;0,"Missing Data","OK")</f>
        <v>OK</v>
      </c>
      <c r="V486" s="0" t="str">
        <f aca="false">IF(T486&gt;=6,"High Risk",IF(T486&gt;=3,"Medium Risk","Low Risk"))</f>
        <v>Medium Risk</v>
      </c>
    </row>
    <row r="487" customFormat="false" ht="12.8" hidden="false" customHeight="false" outlineLevel="0" collapsed="false">
      <c r="A487" s="1" t="s">
        <v>517</v>
      </c>
      <c r="B487" s="1" t="s">
        <v>36</v>
      </c>
      <c r="C487" s="1" t="s">
        <v>24</v>
      </c>
      <c r="D487" s="1" t="n">
        <v>9.29</v>
      </c>
      <c r="E487" s="1" t="n">
        <v>16</v>
      </c>
      <c r="F487" s="4" t="n">
        <v>44490</v>
      </c>
      <c r="G487" s="1" t="s">
        <v>30</v>
      </c>
      <c r="H487" s="1" t="n">
        <v>1</v>
      </c>
      <c r="I487" s="1" t="n">
        <v>65.7</v>
      </c>
      <c r="J487" s="1" t="n">
        <v>25</v>
      </c>
      <c r="K487" s="1" t="n">
        <v>7</v>
      </c>
      <c r="L487" s="1" t="n">
        <v>2</v>
      </c>
      <c r="M487" s="1" t="n">
        <v>0</v>
      </c>
      <c r="N487" s="1" t="n">
        <v>148.64</v>
      </c>
      <c r="O487" s="1" t="n">
        <v>0</v>
      </c>
      <c r="Q487" s="4" t="n">
        <v>44977</v>
      </c>
      <c r="R487" s="0" t="n">
        <f aca="false">IF(ISBLANK(F487),"Missing",IFERROR(YEAR(F487),"Missing"))</f>
        <v>2021</v>
      </c>
      <c r="S487" s="0" t="str">
        <f aca="false">IF(ISBLANK(E487),"Missing",IF(E487&lt;6,"0-6mo",IF(E487&lt;12,"6-12mo",IF(E487&lt;24,"12-24mo","24mo+"))))</f>
        <v>12-24mo</v>
      </c>
      <c r="T487" s="0" t="n">
        <f aca="false">IF(ISBLANK(C487),0,IF(C487="Month-to-month",2,IF(C487="One year",1,0)))+IF(ISBLANK(I487),0,IF(I487&lt;40,2,IF(I487&lt;55,1,0)))+IF(ISBLANK(M487),0,IF(M487=1,3,0))+IF(ISBLANK(L487),0,IF(L487&gt;=2,1,0))+IF(ISBLANK(E487),0,IF(E487&lt;12,1,0))</f>
        <v>3</v>
      </c>
      <c r="U487" s="0" t="str">
        <f aca="false">IF((ISBLANK(B487)*1+ISBLANK(C487)*1+ISBLANK(D487)*1+ISBLANK(E487)*1+ISBLANK(F487)*1+ISBLANK(I487)*1+ISBLANK(J487)*1+ISBLANK(K487)*1+ISBLANK(L487)*1+ISBLANK(M487)*1+ISBLANK(N487)*1+ISBLANK(O487)*1)&gt;0,"Missing Data","OK")</f>
        <v>OK</v>
      </c>
      <c r="V487" s="0" t="str">
        <f aca="false">IF(T487&gt;=6,"High Risk",IF(T487&gt;=3,"Medium Risk","Low Risk"))</f>
        <v>Medium Risk</v>
      </c>
    </row>
    <row r="488" customFormat="false" ht="12.8" hidden="false" customHeight="false" outlineLevel="0" collapsed="false">
      <c r="A488" s="1" t="s">
        <v>518</v>
      </c>
      <c r="B488" s="1" t="s">
        <v>36</v>
      </c>
      <c r="C488" s="1" t="s">
        <v>24</v>
      </c>
      <c r="D488" s="1" t="n">
        <v>9.56</v>
      </c>
      <c r="E488" s="1" t="n">
        <v>1</v>
      </c>
      <c r="F488" s="4" t="n">
        <v>44491</v>
      </c>
      <c r="G488" s="1" t="s">
        <v>25</v>
      </c>
      <c r="H488" s="1" t="n">
        <v>1</v>
      </c>
      <c r="I488" s="1" t="n">
        <v>52.8</v>
      </c>
      <c r="J488" s="1" t="n">
        <v>18</v>
      </c>
      <c r="K488" s="1" t="n">
        <v>7</v>
      </c>
      <c r="L488" s="1" t="n">
        <v>0</v>
      </c>
      <c r="M488" s="1" t="n">
        <v>0</v>
      </c>
      <c r="N488" s="1" t="n">
        <v>9.56</v>
      </c>
      <c r="O488" s="1" t="n">
        <v>0</v>
      </c>
      <c r="Q488" s="4" t="n">
        <v>44521</v>
      </c>
      <c r="R488" s="0" t="n">
        <f aca="false">IF(ISBLANK(F488),"Missing",IFERROR(YEAR(F488),"Missing"))</f>
        <v>2021</v>
      </c>
      <c r="S488" s="0" t="str">
        <f aca="false">IF(ISBLANK(E488),"Missing",IF(E488&lt;6,"0-6mo",IF(E488&lt;12,"6-12mo",IF(E488&lt;24,"12-24mo","24mo+"))))</f>
        <v>0-6mo</v>
      </c>
      <c r="T488" s="0" t="n">
        <f aca="false">IF(ISBLANK(C488),0,IF(C488="Month-to-month",2,IF(C488="One year",1,0)))+IF(ISBLANK(I488),0,IF(I488&lt;40,2,IF(I488&lt;55,1,0)))+IF(ISBLANK(M488),0,IF(M488=1,3,0))+IF(ISBLANK(L488),0,IF(L488&gt;=2,1,0))+IF(ISBLANK(E488),0,IF(E488&lt;12,1,0))</f>
        <v>4</v>
      </c>
      <c r="U488" s="0" t="str">
        <f aca="false">IF((ISBLANK(B488)*1+ISBLANK(C488)*1+ISBLANK(D488)*1+ISBLANK(E488)*1+ISBLANK(F488)*1+ISBLANK(I488)*1+ISBLANK(J488)*1+ISBLANK(K488)*1+ISBLANK(L488)*1+ISBLANK(M488)*1+ISBLANK(N488)*1+ISBLANK(O488)*1)&gt;0,"Missing Data","OK")</f>
        <v>OK</v>
      </c>
      <c r="V488" s="0" t="str">
        <f aca="false">IF(T488&gt;=6,"High Risk",IF(T488&gt;=3,"Medium Risk","Low Risk"))</f>
        <v>Medium Risk</v>
      </c>
    </row>
    <row r="489" customFormat="false" ht="12.8" hidden="false" customHeight="false" outlineLevel="0" collapsed="false">
      <c r="A489" s="1" t="s">
        <v>519</v>
      </c>
      <c r="B489" s="1" t="s">
        <v>36</v>
      </c>
      <c r="C489" s="1" t="s">
        <v>34</v>
      </c>
      <c r="D489" s="1" t="n">
        <v>9.88</v>
      </c>
      <c r="E489" s="1" t="n">
        <v>1</v>
      </c>
      <c r="F489" s="4" t="n">
        <v>44491</v>
      </c>
      <c r="G489" s="1" t="s">
        <v>25</v>
      </c>
      <c r="H489" s="1" t="n">
        <v>1</v>
      </c>
      <c r="I489" s="1" t="n">
        <v>78.3</v>
      </c>
      <c r="J489" s="1" t="n">
        <v>21</v>
      </c>
      <c r="K489" s="1" t="n">
        <v>9</v>
      </c>
      <c r="L489" s="1" t="n">
        <v>1</v>
      </c>
      <c r="M489" s="1" t="n">
        <v>0</v>
      </c>
      <c r="N489" s="1" t="n">
        <v>9.88</v>
      </c>
      <c r="O489" s="1" t="n">
        <v>0</v>
      </c>
      <c r="Q489" s="4" t="n">
        <v>44521</v>
      </c>
      <c r="R489" s="0" t="n">
        <f aca="false">IF(ISBLANK(F489),"Missing",IFERROR(YEAR(F489),"Missing"))</f>
        <v>2021</v>
      </c>
      <c r="S489" s="0" t="str">
        <f aca="false">IF(ISBLANK(E489),"Missing",IF(E489&lt;6,"0-6mo",IF(E489&lt;12,"6-12mo",IF(E489&lt;24,"12-24mo","24mo+"))))</f>
        <v>0-6mo</v>
      </c>
      <c r="T489" s="0" t="n">
        <f aca="false">IF(ISBLANK(C489),0,IF(C489="Month-to-month",2,IF(C489="One year",1,0)))+IF(ISBLANK(I489),0,IF(I489&lt;40,2,IF(I489&lt;55,1,0)))+IF(ISBLANK(M489),0,IF(M489=1,3,0))+IF(ISBLANK(L489),0,IF(L489&gt;=2,1,0))+IF(ISBLANK(E489),0,IF(E489&lt;12,1,0))</f>
        <v>2</v>
      </c>
      <c r="U489" s="0" t="str">
        <f aca="false">IF((ISBLANK(B489)*1+ISBLANK(C489)*1+ISBLANK(D489)*1+ISBLANK(E489)*1+ISBLANK(F489)*1+ISBLANK(I489)*1+ISBLANK(J489)*1+ISBLANK(K489)*1+ISBLANK(L489)*1+ISBLANK(M489)*1+ISBLANK(N489)*1+ISBLANK(O489)*1)&gt;0,"Missing Data","OK")</f>
        <v>OK</v>
      </c>
      <c r="V489" s="0" t="str">
        <f aca="false">IF(T489&gt;=6,"High Risk",IF(T489&gt;=3,"Medium Risk","Low Risk"))</f>
        <v>Low Risk</v>
      </c>
    </row>
    <row r="490" customFormat="false" ht="12.8" hidden="false" customHeight="false" outlineLevel="0" collapsed="false">
      <c r="A490" s="1" t="s">
        <v>520</v>
      </c>
      <c r="B490" s="1" t="s">
        <v>23</v>
      </c>
      <c r="C490" s="1" t="s">
        <v>24</v>
      </c>
      <c r="D490" s="1" t="n">
        <v>19.27</v>
      </c>
      <c r="E490" s="1" t="n">
        <v>5</v>
      </c>
      <c r="F490" s="4" t="n">
        <v>44495</v>
      </c>
      <c r="G490" s="1" t="s">
        <v>25</v>
      </c>
      <c r="H490" s="1" t="n">
        <v>0</v>
      </c>
      <c r="I490" s="1" t="n">
        <v>62.9</v>
      </c>
      <c r="J490" s="1" t="n">
        <v>17</v>
      </c>
      <c r="K490" s="1" t="n">
        <v>7</v>
      </c>
      <c r="L490" s="1" t="n">
        <v>0</v>
      </c>
      <c r="M490" s="1" t="n">
        <v>0</v>
      </c>
      <c r="N490" s="1" t="n">
        <v>96.35</v>
      </c>
      <c r="O490" s="1" t="n">
        <v>0</v>
      </c>
      <c r="Q490" s="4" t="n">
        <v>44647</v>
      </c>
      <c r="R490" s="0" t="n">
        <f aca="false">IF(ISBLANK(F490),"Missing",IFERROR(YEAR(F490),"Missing"))</f>
        <v>2021</v>
      </c>
      <c r="S490" s="0" t="str">
        <f aca="false">IF(ISBLANK(E490),"Missing",IF(E490&lt;6,"0-6mo",IF(E490&lt;12,"6-12mo",IF(E490&lt;24,"12-24mo","24mo+"))))</f>
        <v>0-6mo</v>
      </c>
      <c r="T490" s="0" t="n">
        <f aca="false">IF(ISBLANK(C490),0,IF(C490="Month-to-month",2,IF(C490="One year",1,0)))+IF(ISBLANK(I490),0,IF(I490&lt;40,2,IF(I490&lt;55,1,0)))+IF(ISBLANK(M490),0,IF(M490=1,3,0))+IF(ISBLANK(L490),0,IF(L490&gt;=2,1,0))+IF(ISBLANK(E490),0,IF(E490&lt;12,1,0))</f>
        <v>3</v>
      </c>
      <c r="U490" s="0" t="str">
        <f aca="false">IF((ISBLANK(B490)*1+ISBLANK(C490)*1+ISBLANK(D490)*1+ISBLANK(E490)*1+ISBLANK(F490)*1+ISBLANK(I490)*1+ISBLANK(J490)*1+ISBLANK(K490)*1+ISBLANK(L490)*1+ISBLANK(M490)*1+ISBLANK(N490)*1+ISBLANK(O490)*1)&gt;0,"Missing Data","OK")</f>
        <v>OK</v>
      </c>
      <c r="V490" s="0" t="str">
        <f aca="false">IF(T490&gt;=6,"High Risk",IF(T490&gt;=3,"Medium Risk","Low Risk"))</f>
        <v>Medium Risk</v>
      </c>
    </row>
    <row r="491" customFormat="false" ht="12.8" hidden="false" customHeight="false" outlineLevel="0" collapsed="false">
      <c r="A491" s="1" t="s">
        <v>521</v>
      </c>
      <c r="B491" s="1" t="s">
        <v>23</v>
      </c>
      <c r="C491" s="1" t="s">
        <v>24</v>
      </c>
      <c r="D491" s="1" t="n">
        <v>20.59</v>
      </c>
      <c r="E491" s="1" t="n">
        <v>24</v>
      </c>
      <c r="F491" s="4" t="n">
        <v>44495</v>
      </c>
      <c r="G491" s="1" t="s">
        <v>25</v>
      </c>
      <c r="H491" s="1" t="n">
        <v>0</v>
      </c>
      <c r="I491" s="1" t="n">
        <v>40.3</v>
      </c>
      <c r="J491" s="1" t="n">
        <v>14</v>
      </c>
      <c r="K491" s="1" t="n">
        <v>6</v>
      </c>
      <c r="L491" s="1" t="n">
        <v>0</v>
      </c>
      <c r="M491" s="1" t="n">
        <v>0</v>
      </c>
      <c r="N491" s="1" t="n">
        <v>494.16</v>
      </c>
      <c r="O491" s="1" t="n">
        <v>0</v>
      </c>
      <c r="Q491" s="4" t="n">
        <v>45225</v>
      </c>
      <c r="R491" s="0" t="n">
        <f aca="false">IF(ISBLANK(F491),"Missing",IFERROR(YEAR(F491),"Missing"))</f>
        <v>2021</v>
      </c>
      <c r="S491" s="0" t="str">
        <f aca="false">IF(ISBLANK(E491),"Missing",IF(E491&lt;6,"0-6mo",IF(E491&lt;12,"6-12mo",IF(E491&lt;24,"12-24mo","24mo+"))))</f>
        <v>24mo+</v>
      </c>
      <c r="T491" s="0" t="n">
        <f aca="false">IF(ISBLANK(C491),0,IF(C491="Month-to-month",2,IF(C491="One year",1,0)))+IF(ISBLANK(I491),0,IF(I491&lt;40,2,IF(I491&lt;55,1,0)))+IF(ISBLANK(M491),0,IF(M491=1,3,0))+IF(ISBLANK(L491),0,IF(L491&gt;=2,1,0))+IF(ISBLANK(E491),0,IF(E491&lt;12,1,0))</f>
        <v>3</v>
      </c>
      <c r="U491" s="0" t="str">
        <f aca="false">IF((ISBLANK(B491)*1+ISBLANK(C491)*1+ISBLANK(D491)*1+ISBLANK(E491)*1+ISBLANK(F491)*1+ISBLANK(I491)*1+ISBLANK(J491)*1+ISBLANK(K491)*1+ISBLANK(L491)*1+ISBLANK(M491)*1+ISBLANK(N491)*1+ISBLANK(O491)*1)&gt;0,"Missing Data","OK")</f>
        <v>OK</v>
      </c>
      <c r="V491" s="0" t="str">
        <f aca="false">IF(T491&gt;=6,"High Risk",IF(T491&gt;=3,"Medium Risk","Low Risk"))</f>
        <v>Medium Risk</v>
      </c>
    </row>
    <row r="492" customFormat="false" ht="12.8" hidden="false" customHeight="false" outlineLevel="0" collapsed="false">
      <c r="A492" s="1" t="s">
        <v>522</v>
      </c>
      <c r="B492" s="1" t="s">
        <v>29</v>
      </c>
      <c r="C492" s="1" t="s">
        <v>51</v>
      </c>
      <c r="D492" s="1" t="n">
        <v>40.6</v>
      </c>
      <c r="E492" s="1" t="n">
        <v>4</v>
      </c>
      <c r="F492" s="4" t="n">
        <v>44496</v>
      </c>
      <c r="G492" s="1" t="s">
        <v>30</v>
      </c>
      <c r="H492" s="1" t="n">
        <v>1</v>
      </c>
      <c r="I492" s="1" t="n">
        <v>30.5</v>
      </c>
      <c r="J492" s="1" t="n">
        <v>11</v>
      </c>
      <c r="K492" s="1" t="n">
        <v>4</v>
      </c>
      <c r="L492" s="1" t="n">
        <v>2</v>
      </c>
      <c r="M492" s="1" t="n">
        <v>0</v>
      </c>
      <c r="N492" s="1" t="n">
        <v>162.4</v>
      </c>
      <c r="O492" s="1" t="n">
        <v>0</v>
      </c>
      <c r="Q492" s="4" t="n">
        <v>44617</v>
      </c>
      <c r="R492" s="0" t="n">
        <f aca="false">IF(ISBLANK(F492),"Missing",IFERROR(YEAR(F492),"Missing"))</f>
        <v>2021</v>
      </c>
      <c r="S492" s="0" t="str">
        <f aca="false">IF(ISBLANK(E492),"Missing",IF(E492&lt;6,"0-6mo",IF(E492&lt;12,"6-12mo",IF(E492&lt;24,"12-24mo","24mo+"))))</f>
        <v>0-6mo</v>
      </c>
      <c r="T492" s="0" t="n">
        <f aca="false">IF(ISBLANK(C492),0,IF(C492="Month-to-month",2,IF(C492="One year",1,0)))+IF(ISBLANK(I492),0,IF(I492&lt;40,2,IF(I492&lt;55,1,0)))+IF(ISBLANK(M492),0,IF(M492=1,3,0))+IF(ISBLANK(L492),0,IF(L492&gt;=2,1,0))+IF(ISBLANK(E492),0,IF(E492&lt;12,1,0))</f>
        <v>4</v>
      </c>
      <c r="U492" s="0" t="str">
        <f aca="false">IF((ISBLANK(B492)*1+ISBLANK(C492)*1+ISBLANK(D492)*1+ISBLANK(E492)*1+ISBLANK(F492)*1+ISBLANK(I492)*1+ISBLANK(J492)*1+ISBLANK(K492)*1+ISBLANK(L492)*1+ISBLANK(M492)*1+ISBLANK(N492)*1+ISBLANK(O492)*1)&gt;0,"Missing Data","OK")</f>
        <v>OK</v>
      </c>
      <c r="V492" s="0" t="str">
        <f aca="false">IF(T492&gt;=6,"High Risk",IF(T492&gt;=3,"Medium Risk","Low Risk"))</f>
        <v>Medium Risk</v>
      </c>
    </row>
    <row r="493" customFormat="false" ht="12.8" hidden="false" customHeight="false" outlineLevel="0" collapsed="false">
      <c r="A493" s="1" t="s">
        <v>523</v>
      </c>
      <c r="B493" s="1" t="s">
        <v>29</v>
      </c>
      <c r="C493" s="1" t="s">
        <v>24</v>
      </c>
      <c r="D493" s="1" t="n">
        <v>42.28</v>
      </c>
      <c r="E493" s="1" t="n">
        <v>3</v>
      </c>
      <c r="F493" s="4" t="n">
        <v>44496</v>
      </c>
      <c r="G493" s="1" t="s">
        <v>25</v>
      </c>
      <c r="H493" s="1" t="n">
        <v>1</v>
      </c>
      <c r="I493" s="1" t="n">
        <v>33.1</v>
      </c>
      <c r="J493" s="1" t="n">
        <v>5</v>
      </c>
      <c r="K493" s="1" t="n">
        <v>3</v>
      </c>
      <c r="L493" s="1" t="n">
        <v>2</v>
      </c>
      <c r="M493" s="1" t="n">
        <v>0</v>
      </c>
      <c r="N493" s="1" t="n">
        <v>126.84</v>
      </c>
      <c r="O493" s="1" t="n">
        <v>0</v>
      </c>
      <c r="Q493" s="4" t="n">
        <v>44587</v>
      </c>
      <c r="R493" s="0" t="n">
        <f aca="false">IF(ISBLANK(F493),"Missing",IFERROR(YEAR(F493),"Missing"))</f>
        <v>2021</v>
      </c>
      <c r="S493" s="0" t="str">
        <f aca="false">IF(ISBLANK(E493),"Missing",IF(E493&lt;6,"0-6mo",IF(E493&lt;12,"6-12mo",IF(E493&lt;24,"12-24mo","24mo+"))))</f>
        <v>0-6mo</v>
      </c>
      <c r="T493" s="0" t="n">
        <f aca="false">IF(ISBLANK(C493),0,IF(C493="Month-to-month",2,IF(C493="One year",1,0)))+IF(ISBLANK(I493),0,IF(I493&lt;40,2,IF(I493&lt;55,1,0)))+IF(ISBLANK(M493),0,IF(M493=1,3,0))+IF(ISBLANK(L493),0,IF(L493&gt;=2,1,0))+IF(ISBLANK(E493),0,IF(E493&lt;12,1,0))</f>
        <v>6</v>
      </c>
      <c r="U493" s="0" t="str">
        <f aca="false">IF((ISBLANK(B493)*1+ISBLANK(C493)*1+ISBLANK(D493)*1+ISBLANK(E493)*1+ISBLANK(F493)*1+ISBLANK(I493)*1+ISBLANK(J493)*1+ISBLANK(K493)*1+ISBLANK(L493)*1+ISBLANK(M493)*1+ISBLANK(N493)*1+ISBLANK(O493)*1)&gt;0,"Missing Data","OK")</f>
        <v>OK</v>
      </c>
      <c r="V493" s="0" t="str">
        <f aca="false">IF(T493&gt;=6,"High Risk",IF(T493&gt;=3,"Medium Risk","Low Risk"))</f>
        <v>High Risk</v>
      </c>
    </row>
    <row r="494" customFormat="false" ht="12.8" hidden="false" customHeight="false" outlineLevel="0" collapsed="false">
      <c r="A494" s="1" t="s">
        <v>524</v>
      </c>
      <c r="B494" s="1" t="s">
        <v>23</v>
      </c>
      <c r="C494" s="1" t="s">
        <v>24</v>
      </c>
      <c r="D494" s="1" t="n">
        <v>20.44</v>
      </c>
      <c r="E494" s="1" t="n">
        <v>25</v>
      </c>
      <c r="F494" s="4" t="n">
        <v>44498</v>
      </c>
      <c r="G494" s="1" t="s">
        <v>25</v>
      </c>
      <c r="H494" s="1" t="n">
        <v>1</v>
      </c>
      <c r="I494" s="1" t="n">
        <v>54</v>
      </c>
      <c r="J494" s="1" t="n">
        <v>17</v>
      </c>
      <c r="K494" s="1" t="n">
        <v>4</v>
      </c>
      <c r="L494" s="1" t="n">
        <v>3</v>
      </c>
      <c r="M494" s="1" t="n">
        <v>1</v>
      </c>
      <c r="N494" s="1" t="n">
        <v>511</v>
      </c>
      <c r="O494" s="1" t="n">
        <v>0</v>
      </c>
      <c r="Q494" s="4" t="n">
        <v>45259</v>
      </c>
      <c r="R494" s="0" t="n">
        <f aca="false">IF(ISBLANK(F494),"Missing",IFERROR(YEAR(F494),"Missing"))</f>
        <v>2021</v>
      </c>
      <c r="S494" s="0" t="str">
        <f aca="false">IF(ISBLANK(E494),"Missing",IF(E494&lt;6,"0-6mo",IF(E494&lt;12,"6-12mo",IF(E494&lt;24,"12-24mo","24mo+"))))</f>
        <v>24mo+</v>
      </c>
      <c r="T494" s="0" t="n">
        <f aca="false">IF(ISBLANK(C494),0,IF(C494="Month-to-month",2,IF(C494="One year",1,0)))+IF(ISBLANK(I494),0,IF(I494&lt;40,2,IF(I494&lt;55,1,0)))+IF(ISBLANK(M494),0,IF(M494=1,3,0))+IF(ISBLANK(L494),0,IF(L494&gt;=2,1,0))+IF(ISBLANK(E494),0,IF(E494&lt;12,1,0))</f>
        <v>7</v>
      </c>
      <c r="U494" s="0" t="str">
        <f aca="false">IF((ISBLANK(B494)*1+ISBLANK(C494)*1+ISBLANK(D494)*1+ISBLANK(E494)*1+ISBLANK(F494)*1+ISBLANK(I494)*1+ISBLANK(J494)*1+ISBLANK(K494)*1+ISBLANK(L494)*1+ISBLANK(M494)*1+ISBLANK(N494)*1+ISBLANK(O494)*1)&gt;0,"Missing Data","OK")</f>
        <v>OK</v>
      </c>
      <c r="V494" s="0" t="str">
        <f aca="false">IF(T494&gt;=6,"High Risk",IF(T494&gt;=3,"Medium Risk","Low Risk"))</f>
        <v>High Risk</v>
      </c>
    </row>
    <row r="495" customFormat="false" ht="12.8" hidden="false" customHeight="false" outlineLevel="0" collapsed="false">
      <c r="A495" s="1" t="s">
        <v>525</v>
      </c>
      <c r="B495" s="1" t="s">
        <v>23</v>
      </c>
      <c r="C495" s="1" t="s">
        <v>34</v>
      </c>
      <c r="D495" s="1" t="n">
        <v>20.84</v>
      </c>
      <c r="E495" s="1" t="n">
        <v>13</v>
      </c>
      <c r="F495" s="4" t="n">
        <v>44499</v>
      </c>
      <c r="G495" s="1" t="s">
        <v>25</v>
      </c>
      <c r="H495" s="1" t="n">
        <v>1</v>
      </c>
      <c r="I495" s="1" t="n">
        <v>84.1</v>
      </c>
      <c r="J495" s="1" t="n">
        <v>19</v>
      </c>
      <c r="K495" s="1" t="n">
        <v>7</v>
      </c>
      <c r="L495" s="1" t="n">
        <v>0</v>
      </c>
      <c r="M495" s="1" t="n">
        <v>0</v>
      </c>
      <c r="N495" s="1" t="n">
        <v>270.92</v>
      </c>
      <c r="O495" s="1" t="n">
        <v>0</v>
      </c>
      <c r="Q495" s="4" t="n">
        <v>44894</v>
      </c>
      <c r="R495" s="0" t="n">
        <f aca="false">IF(ISBLANK(F495),"Missing",IFERROR(YEAR(F495),"Missing"))</f>
        <v>2021</v>
      </c>
      <c r="S495" s="0" t="str">
        <f aca="false">IF(ISBLANK(E495),"Missing",IF(E495&lt;6,"0-6mo",IF(E495&lt;12,"6-12mo",IF(E495&lt;24,"12-24mo","24mo+"))))</f>
        <v>12-24mo</v>
      </c>
      <c r="T495" s="0" t="n">
        <f aca="false">IF(ISBLANK(C495),0,IF(C495="Month-to-month",2,IF(C495="One year",1,0)))+IF(ISBLANK(I495),0,IF(I495&lt;40,2,IF(I495&lt;55,1,0)))+IF(ISBLANK(M495),0,IF(M495=1,3,0))+IF(ISBLANK(L495),0,IF(L495&gt;=2,1,0))+IF(ISBLANK(E495),0,IF(E495&lt;12,1,0))</f>
        <v>1</v>
      </c>
      <c r="U495" s="0" t="str">
        <f aca="false">IF((ISBLANK(B495)*1+ISBLANK(C495)*1+ISBLANK(D495)*1+ISBLANK(E495)*1+ISBLANK(F495)*1+ISBLANK(I495)*1+ISBLANK(J495)*1+ISBLANK(K495)*1+ISBLANK(L495)*1+ISBLANK(M495)*1+ISBLANK(N495)*1+ISBLANK(O495)*1)&gt;0,"Missing Data","OK")</f>
        <v>OK</v>
      </c>
      <c r="V495" s="0" t="str">
        <f aca="false">IF(T495&gt;=6,"High Risk",IF(T495&gt;=3,"Medium Risk","Low Risk"))</f>
        <v>Low Risk</v>
      </c>
    </row>
    <row r="496" customFormat="false" ht="12.8" hidden="false" customHeight="false" outlineLevel="0" collapsed="false">
      <c r="A496" s="1" t="s">
        <v>526</v>
      </c>
      <c r="B496" s="1" t="s">
        <v>36</v>
      </c>
      <c r="C496" s="1" t="s">
        <v>34</v>
      </c>
      <c r="D496" s="1" t="n">
        <v>10.41</v>
      </c>
      <c r="E496" s="1" t="n">
        <v>15</v>
      </c>
      <c r="F496" s="4" t="n">
        <v>44500</v>
      </c>
      <c r="G496" s="1" t="s">
        <v>25</v>
      </c>
      <c r="H496" s="1" t="n">
        <v>0</v>
      </c>
      <c r="I496" s="1" t="n">
        <v>62.9</v>
      </c>
      <c r="J496" s="1" t="n">
        <v>17</v>
      </c>
      <c r="K496" s="1" t="n">
        <v>8</v>
      </c>
      <c r="L496" s="1" t="n">
        <v>1</v>
      </c>
      <c r="M496" s="1" t="n">
        <v>0</v>
      </c>
      <c r="N496" s="1" t="n">
        <v>156.15</v>
      </c>
      <c r="O496" s="1" t="n">
        <v>0</v>
      </c>
      <c r="Q496" s="4" t="n">
        <v>44956</v>
      </c>
      <c r="R496" s="0" t="n">
        <f aca="false">IF(ISBLANK(F496),"Missing",IFERROR(YEAR(F496),"Missing"))</f>
        <v>2021</v>
      </c>
      <c r="S496" s="0" t="str">
        <f aca="false">IF(ISBLANK(E496),"Missing",IF(E496&lt;6,"0-6mo",IF(E496&lt;12,"6-12mo",IF(E496&lt;24,"12-24mo","24mo+"))))</f>
        <v>12-24mo</v>
      </c>
      <c r="T496" s="0" t="n">
        <f aca="false">IF(ISBLANK(C496),0,IF(C496="Month-to-month",2,IF(C496="One year",1,0)))+IF(ISBLANK(I496),0,IF(I496&lt;40,2,IF(I496&lt;55,1,0)))+IF(ISBLANK(M496),0,IF(M496=1,3,0))+IF(ISBLANK(L496),0,IF(L496&gt;=2,1,0))+IF(ISBLANK(E496),0,IF(E496&lt;12,1,0))</f>
        <v>1</v>
      </c>
      <c r="U496" s="0" t="str">
        <f aca="false">IF((ISBLANK(B496)*1+ISBLANK(C496)*1+ISBLANK(D496)*1+ISBLANK(E496)*1+ISBLANK(F496)*1+ISBLANK(I496)*1+ISBLANK(J496)*1+ISBLANK(K496)*1+ISBLANK(L496)*1+ISBLANK(M496)*1+ISBLANK(N496)*1+ISBLANK(O496)*1)&gt;0,"Missing Data","OK")</f>
        <v>OK</v>
      </c>
      <c r="V496" s="0" t="str">
        <f aca="false">IF(T496&gt;=6,"High Risk",IF(T496&gt;=3,"Medium Risk","Low Risk"))</f>
        <v>Low Risk</v>
      </c>
    </row>
    <row r="497" customFormat="false" ht="12.8" hidden="false" customHeight="false" outlineLevel="0" collapsed="false">
      <c r="A497" s="1" t="s">
        <v>527</v>
      </c>
      <c r="B497" s="1" t="s">
        <v>23</v>
      </c>
      <c r="C497" s="1" t="s">
        <v>24</v>
      </c>
      <c r="D497" s="1" t="n">
        <v>19.09</v>
      </c>
      <c r="E497" s="1" t="n">
        <v>9</v>
      </c>
      <c r="F497" s="4" t="n">
        <v>44503</v>
      </c>
      <c r="G497" s="1" t="s">
        <v>39</v>
      </c>
      <c r="H497" s="1" t="n">
        <v>1</v>
      </c>
      <c r="I497" s="1" t="n">
        <v>61.1</v>
      </c>
      <c r="J497" s="1" t="n">
        <v>14</v>
      </c>
      <c r="K497" s="1" t="n">
        <v>6</v>
      </c>
      <c r="L497" s="1" t="n">
        <v>2</v>
      </c>
      <c r="M497" s="1" t="n">
        <v>0</v>
      </c>
      <c r="N497" s="1" t="n">
        <v>171.81</v>
      </c>
      <c r="O497" s="1" t="n">
        <v>1</v>
      </c>
      <c r="P497" s="4" t="n">
        <v>44776</v>
      </c>
      <c r="Q497" s="4" t="n">
        <v>44776</v>
      </c>
      <c r="R497" s="0" t="n">
        <f aca="false">IF(ISBLANK(F497),"Missing",IFERROR(YEAR(F497),"Missing"))</f>
        <v>2021</v>
      </c>
      <c r="S497" s="0" t="str">
        <f aca="false">IF(ISBLANK(E497),"Missing",IF(E497&lt;6,"0-6mo",IF(E497&lt;12,"6-12mo",IF(E497&lt;24,"12-24mo","24mo+"))))</f>
        <v>6-12mo</v>
      </c>
      <c r="T497" s="0" t="n">
        <f aca="false">IF(ISBLANK(C497),0,IF(C497="Month-to-month",2,IF(C497="One year",1,0)))+IF(ISBLANK(I497),0,IF(I497&lt;40,2,IF(I497&lt;55,1,0)))+IF(ISBLANK(M497),0,IF(M497=1,3,0))+IF(ISBLANK(L497),0,IF(L497&gt;=2,1,0))+IF(ISBLANK(E497),0,IF(E497&lt;12,1,0))</f>
        <v>4</v>
      </c>
      <c r="U497" s="0" t="str">
        <f aca="false">IF((ISBLANK(B497)*1+ISBLANK(C497)*1+ISBLANK(D497)*1+ISBLANK(E497)*1+ISBLANK(F497)*1+ISBLANK(I497)*1+ISBLANK(J497)*1+ISBLANK(K497)*1+ISBLANK(L497)*1+ISBLANK(M497)*1+ISBLANK(N497)*1+ISBLANK(O497)*1)&gt;0,"Missing Data","OK")</f>
        <v>OK</v>
      </c>
      <c r="V497" s="0" t="str">
        <f aca="false">IF(T497&gt;=6,"High Risk",IF(T497&gt;=3,"Medium Risk","Low Risk"))</f>
        <v>Medium Risk</v>
      </c>
    </row>
    <row r="498" customFormat="false" ht="12.8" hidden="false" customHeight="false" outlineLevel="0" collapsed="false">
      <c r="A498" s="1" t="s">
        <v>528</v>
      </c>
      <c r="B498" s="1" t="s">
        <v>36</v>
      </c>
      <c r="C498" s="1" t="s">
        <v>51</v>
      </c>
      <c r="D498" s="1" t="n">
        <v>11.5</v>
      </c>
      <c r="E498" s="1" t="n">
        <v>4</v>
      </c>
      <c r="F498" s="4" t="n">
        <v>44504</v>
      </c>
      <c r="G498" s="1" t="s">
        <v>30</v>
      </c>
      <c r="H498" s="1" t="n">
        <v>1</v>
      </c>
      <c r="I498" s="1" t="n">
        <v>52.8</v>
      </c>
      <c r="J498" s="1" t="n">
        <v>16</v>
      </c>
      <c r="K498" s="1" t="n">
        <v>3</v>
      </c>
      <c r="L498" s="1" t="n">
        <v>2</v>
      </c>
      <c r="M498" s="1" t="n">
        <v>0</v>
      </c>
      <c r="N498" s="1" t="n">
        <v>46</v>
      </c>
      <c r="O498" s="1" t="n">
        <v>0</v>
      </c>
      <c r="Q498" s="4" t="n">
        <v>44625</v>
      </c>
      <c r="R498" s="0" t="n">
        <f aca="false">IF(ISBLANK(F498),"Missing",IFERROR(YEAR(F498),"Missing"))</f>
        <v>2021</v>
      </c>
      <c r="S498" s="0" t="str">
        <f aca="false">IF(ISBLANK(E498),"Missing",IF(E498&lt;6,"0-6mo",IF(E498&lt;12,"6-12mo",IF(E498&lt;24,"12-24mo","24mo+"))))</f>
        <v>0-6mo</v>
      </c>
      <c r="T498" s="0" t="n">
        <f aca="false">IF(ISBLANK(C498),0,IF(C498="Month-to-month",2,IF(C498="One year",1,0)))+IF(ISBLANK(I498),0,IF(I498&lt;40,2,IF(I498&lt;55,1,0)))+IF(ISBLANK(M498),0,IF(M498=1,3,0))+IF(ISBLANK(L498),0,IF(L498&gt;=2,1,0))+IF(ISBLANK(E498),0,IF(E498&lt;12,1,0))</f>
        <v>3</v>
      </c>
      <c r="U498" s="0" t="str">
        <f aca="false">IF((ISBLANK(B498)*1+ISBLANK(C498)*1+ISBLANK(D498)*1+ISBLANK(E498)*1+ISBLANK(F498)*1+ISBLANK(I498)*1+ISBLANK(J498)*1+ISBLANK(K498)*1+ISBLANK(L498)*1+ISBLANK(M498)*1+ISBLANK(N498)*1+ISBLANK(O498)*1)&gt;0,"Missing Data","OK")</f>
        <v>OK</v>
      </c>
      <c r="V498" s="0" t="str">
        <f aca="false">IF(T498&gt;=6,"High Risk",IF(T498&gt;=3,"Medium Risk","Low Risk"))</f>
        <v>Medium Risk</v>
      </c>
    </row>
    <row r="499" customFormat="false" ht="12.8" hidden="false" customHeight="false" outlineLevel="0" collapsed="false">
      <c r="A499" s="1" t="s">
        <v>529</v>
      </c>
      <c r="B499" s="1" t="s">
        <v>23</v>
      </c>
      <c r="C499" s="1" t="s">
        <v>24</v>
      </c>
      <c r="D499" s="1" t="n">
        <v>21.33</v>
      </c>
      <c r="E499" s="1" t="n">
        <v>10</v>
      </c>
      <c r="F499" s="4" t="n">
        <v>44504</v>
      </c>
      <c r="G499" s="1" t="s">
        <v>25</v>
      </c>
      <c r="H499" s="1" t="n">
        <v>1</v>
      </c>
      <c r="I499" s="1" t="n">
        <v>85.1</v>
      </c>
      <c r="J499" s="1" t="n">
        <v>25</v>
      </c>
      <c r="K499" s="1" t="n">
        <v>9</v>
      </c>
      <c r="L499" s="1" t="n">
        <v>2</v>
      </c>
      <c r="M499" s="1" t="n">
        <v>1</v>
      </c>
      <c r="N499" s="1" t="n">
        <v>213.3</v>
      </c>
      <c r="O499" s="1" t="n">
        <v>1</v>
      </c>
      <c r="P499" s="4" t="n">
        <v>44808</v>
      </c>
      <c r="Q499" s="4" t="n">
        <v>44808</v>
      </c>
      <c r="R499" s="0" t="n">
        <f aca="false">IF(ISBLANK(F499),"Missing",IFERROR(YEAR(F499),"Missing"))</f>
        <v>2021</v>
      </c>
      <c r="S499" s="0" t="str">
        <f aca="false">IF(ISBLANK(E499),"Missing",IF(E499&lt;6,"0-6mo",IF(E499&lt;12,"6-12mo",IF(E499&lt;24,"12-24mo","24mo+"))))</f>
        <v>6-12mo</v>
      </c>
      <c r="T499" s="0" t="n">
        <f aca="false">IF(ISBLANK(C499),0,IF(C499="Month-to-month",2,IF(C499="One year",1,0)))+IF(ISBLANK(I499),0,IF(I499&lt;40,2,IF(I499&lt;55,1,0)))+IF(ISBLANK(M499),0,IF(M499=1,3,0))+IF(ISBLANK(L499),0,IF(L499&gt;=2,1,0))+IF(ISBLANK(E499),0,IF(E499&lt;12,1,0))</f>
        <v>7</v>
      </c>
      <c r="U499" s="0" t="str">
        <f aca="false">IF((ISBLANK(B499)*1+ISBLANK(C499)*1+ISBLANK(D499)*1+ISBLANK(E499)*1+ISBLANK(F499)*1+ISBLANK(I499)*1+ISBLANK(J499)*1+ISBLANK(K499)*1+ISBLANK(L499)*1+ISBLANK(M499)*1+ISBLANK(N499)*1+ISBLANK(O499)*1)&gt;0,"Missing Data","OK")</f>
        <v>OK</v>
      </c>
      <c r="V499" s="0" t="str">
        <f aca="false">IF(T499&gt;=6,"High Risk",IF(T499&gt;=3,"Medium Risk","Low Risk"))</f>
        <v>High Risk</v>
      </c>
    </row>
    <row r="500" customFormat="false" ht="12.8" hidden="false" customHeight="false" outlineLevel="0" collapsed="false">
      <c r="A500" s="1" t="s">
        <v>530</v>
      </c>
      <c r="B500" s="1" t="s">
        <v>23</v>
      </c>
      <c r="C500" s="1" t="s">
        <v>24</v>
      </c>
      <c r="D500" s="1" t="n">
        <v>20.1</v>
      </c>
      <c r="E500" s="1" t="n">
        <v>9</v>
      </c>
      <c r="F500" s="4" t="n">
        <v>44505</v>
      </c>
      <c r="G500" s="1" t="s">
        <v>39</v>
      </c>
      <c r="H500" s="1" t="n">
        <v>1</v>
      </c>
      <c r="I500" s="1" t="n">
        <v>39.5</v>
      </c>
      <c r="J500" s="1" t="n">
        <v>9</v>
      </c>
      <c r="K500" s="1" t="n">
        <v>4</v>
      </c>
      <c r="L500" s="1" t="n">
        <v>0</v>
      </c>
      <c r="M500" s="1" t="n">
        <v>0</v>
      </c>
      <c r="N500" s="1" t="n">
        <v>180.9</v>
      </c>
      <c r="O500" s="1" t="n">
        <v>1</v>
      </c>
      <c r="P500" s="4" t="n">
        <v>44778</v>
      </c>
      <c r="Q500" s="4" t="n">
        <v>44778</v>
      </c>
      <c r="R500" s="0" t="n">
        <f aca="false">IF(ISBLANK(F500),"Missing",IFERROR(YEAR(F500),"Missing"))</f>
        <v>2021</v>
      </c>
      <c r="S500" s="0" t="str">
        <f aca="false">IF(ISBLANK(E500),"Missing",IF(E500&lt;6,"0-6mo",IF(E500&lt;12,"6-12mo",IF(E500&lt;24,"12-24mo","24mo+"))))</f>
        <v>6-12mo</v>
      </c>
      <c r="T500" s="0" t="n">
        <f aca="false">IF(ISBLANK(C500),0,IF(C500="Month-to-month",2,IF(C500="One year",1,0)))+IF(ISBLANK(I500),0,IF(I500&lt;40,2,IF(I500&lt;55,1,0)))+IF(ISBLANK(M500),0,IF(M500=1,3,0))+IF(ISBLANK(L500),0,IF(L500&gt;=2,1,0))+IF(ISBLANK(E500),0,IF(E500&lt;12,1,0))</f>
        <v>5</v>
      </c>
      <c r="U500" s="0" t="str">
        <f aca="false">IF((ISBLANK(B500)*1+ISBLANK(C500)*1+ISBLANK(D500)*1+ISBLANK(E500)*1+ISBLANK(F500)*1+ISBLANK(I500)*1+ISBLANK(J500)*1+ISBLANK(K500)*1+ISBLANK(L500)*1+ISBLANK(M500)*1+ISBLANK(N500)*1+ISBLANK(O500)*1)&gt;0,"Missing Data","OK")</f>
        <v>OK</v>
      </c>
      <c r="V500" s="0" t="str">
        <f aca="false">IF(T500&gt;=6,"High Risk",IF(T500&gt;=3,"Medium Risk","Low Risk"))</f>
        <v>Medium Risk</v>
      </c>
    </row>
    <row r="501" customFormat="false" ht="12.8" hidden="false" customHeight="false" outlineLevel="0" collapsed="false">
      <c r="A501" s="1" t="s">
        <v>531</v>
      </c>
      <c r="B501" s="1" t="s">
        <v>23</v>
      </c>
      <c r="C501" s="1" t="s">
        <v>34</v>
      </c>
      <c r="D501" s="1" t="n">
        <v>19.6</v>
      </c>
      <c r="E501" s="1" t="n">
        <v>15</v>
      </c>
      <c r="F501" s="4" t="n">
        <v>44506</v>
      </c>
      <c r="G501" s="1" t="s">
        <v>25</v>
      </c>
      <c r="H501" s="1" t="n">
        <v>1</v>
      </c>
      <c r="I501" s="1" t="n">
        <v>63.1</v>
      </c>
      <c r="J501" s="1" t="n">
        <v>20</v>
      </c>
      <c r="K501" s="1" t="n">
        <v>6</v>
      </c>
      <c r="L501" s="1" t="n">
        <v>2</v>
      </c>
      <c r="M501" s="1" t="n">
        <v>0</v>
      </c>
      <c r="N501" s="1" t="n">
        <v>294</v>
      </c>
      <c r="O501" s="1" t="n">
        <v>0</v>
      </c>
      <c r="Q501" s="4" t="n">
        <v>44962</v>
      </c>
      <c r="R501" s="0" t="n">
        <f aca="false">IF(ISBLANK(F501),"Missing",IFERROR(YEAR(F501),"Missing"))</f>
        <v>2021</v>
      </c>
      <c r="S501" s="0" t="str">
        <f aca="false">IF(ISBLANK(E501),"Missing",IF(E501&lt;6,"0-6mo",IF(E501&lt;12,"6-12mo",IF(E501&lt;24,"12-24mo","24mo+"))))</f>
        <v>12-24mo</v>
      </c>
      <c r="T501" s="0" t="n">
        <f aca="false">IF(ISBLANK(C501),0,IF(C501="Month-to-month",2,IF(C501="One year",1,0)))+IF(ISBLANK(I501),0,IF(I501&lt;40,2,IF(I501&lt;55,1,0)))+IF(ISBLANK(M501),0,IF(M501=1,3,0))+IF(ISBLANK(L501),0,IF(L501&gt;=2,1,0))+IF(ISBLANK(E501),0,IF(E501&lt;12,1,0))</f>
        <v>2</v>
      </c>
      <c r="U501" s="0" t="str">
        <f aca="false">IF((ISBLANK(B501)*1+ISBLANK(C501)*1+ISBLANK(D501)*1+ISBLANK(E501)*1+ISBLANK(F501)*1+ISBLANK(I501)*1+ISBLANK(J501)*1+ISBLANK(K501)*1+ISBLANK(L501)*1+ISBLANK(M501)*1+ISBLANK(N501)*1+ISBLANK(O501)*1)&gt;0,"Missing Data","OK")</f>
        <v>OK</v>
      </c>
      <c r="V501" s="0" t="str">
        <f aca="false">IF(T501&gt;=6,"High Risk",IF(T501&gt;=3,"Medium Risk","Low Risk"))</f>
        <v>Low Risk</v>
      </c>
    </row>
    <row r="502" customFormat="false" ht="12.8" hidden="false" customHeight="false" outlineLevel="0" collapsed="false">
      <c r="A502" s="1" t="s">
        <v>532</v>
      </c>
      <c r="B502" s="1" t="s">
        <v>23</v>
      </c>
      <c r="C502" s="1" t="s">
        <v>34</v>
      </c>
      <c r="D502" s="1" t="n">
        <v>21.52</v>
      </c>
      <c r="E502" s="1" t="n">
        <v>8</v>
      </c>
      <c r="F502" s="4" t="n">
        <v>44506</v>
      </c>
      <c r="G502" s="1" t="s">
        <v>39</v>
      </c>
      <c r="H502" s="1" t="n">
        <v>1</v>
      </c>
      <c r="I502" s="1" t="n">
        <v>88.3</v>
      </c>
      <c r="J502" s="1" t="n">
        <v>23</v>
      </c>
      <c r="K502" s="1" t="n">
        <v>10</v>
      </c>
      <c r="L502" s="1" t="n">
        <v>0</v>
      </c>
      <c r="M502" s="1" t="n">
        <v>0</v>
      </c>
      <c r="N502" s="1" t="n">
        <v>172.16</v>
      </c>
      <c r="O502" s="1" t="n">
        <v>0</v>
      </c>
      <c r="Q502" s="4" t="n">
        <v>44749</v>
      </c>
      <c r="R502" s="0" t="n">
        <f aca="false">IF(ISBLANK(F502),"Missing",IFERROR(YEAR(F502),"Missing"))</f>
        <v>2021</v>
      </c>
      <c r="S502" s="0" t="str">
        <f aca="false">IF(ISBLANK(E502),"Missing",IF(E502&lt;6,"0-6mo",IF(E502&lt;12,"6-12mo",IF(E502&lt;24,"12-24mo","24mo+"))))</f>
        <v>6-12mo</v>
      </c>
      <c r="T502" s="0" t="n">
        <f aca="false">IF(ISBLANK(C502),0,IF(C502="Month-to-month",2,IF(C502="One year",1,0)))+IF(ISBLANK(I502),0,IF(I502&lt;40,2,IF(I502&lt;55,1,0)))+IF(ISBLANK(M502),0,IF(M502=1,3,0))+IF(ISBLANK(L502),0,IF(L502&gt;=2,1,0))+IF(ISBLANK(E502),0,IF(E502&lt;12,1,0))</f>
        <v>2</v>
      </c>
      <c r="U502" s="0" t="str">
        <f aca="false">IF((ISBLANK(B502)*1+ISBLANK(C502)*1+ISBLANK(D502)*1+ISBLANK(E502)*1+ISBLANK(F502)*1+ISBLANK(I502)*1+ISBLANK(J502)*1+ISBLANK(K502)*1+ISBLANK(L502)*1+ISBLANK(M502)*1+ISBLANK(N502)*1+ISBLANK(O502)*1)&gt;0,"Missing Data","OK")</f>
        <v>OK</v>
      </c>
      <c r="V502" s="0" t="str">
        <f aca="false">IF(T502&gt;=6,"High Risk",IF(T502&gt;=3,"Medium Risk","Low Risk"))</f>
        <v>Low Risk</v>
      </c>
    </row>
    <row r="503" customFormat="false" ht="12.8" hidden="false" customHeight="false" outlineLevel="0" collapsed="false">
      <c r="A503" s="1" t="s">
        <v>533</v>
      </c>
      <c r="B503" s="1" t="s">
        <v>36</v>
      </c>
      <c r="C503" s="1" t="s">
        <v>51</v>
      </c>
      <c r="D503" s="1" t="n">
        <v>11.08</v>
      </c>
      <c r="E503" s="1" t="n">
        <v>2</v>
      </c>
      <c r="F503" s="4" t="n">
        <v>44508</v>
      </c>
      <c r="G503" s="1" t="s">
        <v>39</v>
      </c>
      <c r="H503" s="1" t="n">
        <v>1</v>
      </c>
      <c r="I503" s="1" t="n">
        <v>51.3</v>
      </c>
      <c r="J503" s="1" t="n">
        <v>18</v>
      </c>
      <c r="K503" s="1" t="n">
        <v>8</v>
      </c>
      <c r="L503" s="1" t="n">
        <v>0</v>
      </c>
      <c r="M503" s="1" t="n">
        <v>0</v>
      </c>
      <c r="N503" s="1" t="n">
        <v>22.16</v>
      </c>
      <c r="O503" s="1" t="n">
        <v>0</v>
      </c>
      <c r="Q503" s="4" t="n">
        <v>44568</v>
      </c>
      <c r="R503" s="0" t="n">
        <f aca="false">IF(ISBLANK(F503),"Missing",IFERROR(YEAR(F503),"Missing"))</f>
        <v>2021</v>
      </c>
      <c r="S503" s="0" t="str">
        <f aca="false">IF(ISBLANK(E503),"Missing",IF(E503&lt;6,"0-6mo",IF(E503&lt;12,"6-12mo",IF(E503&lt;24,"12-24mo","24mo+"))))</f>
        <v>0-6mo</v>
      </c>
      <c r="T503" s="0" t="n">
        <f aca="false">IF(ISBLANK(C503),0,IF(C503="Month-to-month",2,IF(C503="One year",1,0)))+IF(ISBLANK(I503),0,IF(I503&lt;40,2,IF(I503&lt;55,1,0)))+IF(ISBLANK(M503),0,IF(M503=1,3,0))+IF(ISBLANK(L503),0,IF(L503&gt;=2,1,0))+IF(ISBLANK(E503),0,IF(E503&lt;12,1,0))</f>
        <v>2</v>
      </c>
      <c r="U503" s="0" t="str">
        <f aca="false">IF((ISBLANK(B503)*1+ISBLANK(C503)*1+ISBLANK(D503)*1+ISBLANK(E503)*1+ISBLANK(F503)*1+ISBLANK(I503)*1+ISBLANK(J503)*1+ISBLANK(K503)*1+ISBLANK(L503)*1+ISBLANK(M503)*1+ISBLANK(N503)*1+ISBLANK(O503)*1)&gt;0,"Missing Data","OK")</f>
        <v>OK</v>
      </c>
      <c r="V503" s="0" t="str">
        <f aca="false">IF(T503&gt;=6,"High Risk",IF(T503&gt;=3,"Medium Risk","Low Risk"))</f>
        <v>Low Risk</v>
      </c>
    </row>
    <row r="504" customFormat="false" ht="12.8" hidden="false" customHeight="false" outlineLevel="0" collapsed="false">
      <c r="A504" s="1" t="s">
        <v>534</v>
      </c>
      <c r="B504" s="1" t="s">
        <v>29</v>
      </c>
      <c r="C504" s="1" t="s">
        <v>34</v>
      </c>
      <c r="D504" s="1" t="n">
        <v>38.95</v>
      </c>
      <c r="E504" s="1" t="n">
        <v>18</v>
      </c>
      <c r="F504" s="4" t="n">
        <v>44510</v>
      </c>
      <c r="G504" s="1" t="s">
        <v>25</v>
      </c>
      <c r="H504" s="1" t="n">
        <v>0</v>
      </c>
      <c r="I504" s="1" t="n">
        <v>30.8</v>
      </c>
      <c r="J504" s="1" t="n">
        <v>7</v>
      </c>
      <c r="K504" s="1" t="n">
        <v>4</v>
      </c>
      <c r="L504" s="1" t="n">
        <v>1</v>
      </c>
      <c r="M504" s="1" t="n">
        <v>0</v>
      </c>
      <c r="N504" s="1" t="n">
        <v>701.1</v>
      </c>
      <c r="O504" s="1" t="n">
        <v>0</v>
      </c>
      <c r="Q504" s="4" t="n">
        <v>45057</v>
      </c>
      <c r="R504" s="0" t="n">
        <f aca="false">IF(ISBLANK(F504),"Missing",IFERROR(YEAR(F504),"Missing"))</f>
        <v>2021</v>
      </c>
      <c r="S504" s="0" t="str">
        <f aca="false">IF(ISBLANK(E504),"Missing",IF(E504&lt;6,"0-6mo",IF(E504&lt;12,"6-12mo",IF(E504&lt;24,"12-24mo","24mo+"))))</f>
        <v>12-24mo</v>
      </c>
      <c r="T504" s="0" t="n">
        <f aca="false">IF(ISBLANK(C504),0,IF(C504="Month-to-month",2,IF(C504="One year",1,0)))+IF(ISBLANK(I504),0,IF(I504&lt;40,2,IF(I504&lt;55,1,0)))+IF(ISBLANK(M504),0,IF(M504=1,3,0))+IF(ISBLANK(L504),0,IF(L504&gt;=2,1,0))+IF(ISBLANK(E504),0,IF(E504&lt;12,1,0))</f>
        <v>3</v>
      </c>
      <c r="U504" s="0" t="str">
        <f aca="false">IF((ISBLANK(B504)*1+ISBLANK(C504)*1+ISBLANK(D504)*1+ISBLANK(E504)*1+ISBLANK(F504)*1+ISBLANK(I504)*1+ISBLANK(J504)*1+ISBLANK(K504)*1+ISBLANK(L504)*1+ISBLANK(M504)*1+ISBLANK(N504)*1+ISBLANK(O504)*1)&gt;0,"Missing Data","OK")</f>
        <v>OK</v>
      </c>
      <c r="V504" s="0" t="str">
        <f aca="false">IF(T504&gt;=6,"High Risk",IF(T504&gt;=3,"Medium Risk","Low Risk"))</f>
        <v>Medium Risk</v>
      </c>
    </row>
    <row r="505" customFormat="false" ht="12.8" hidden="false" customHeight="false" outlineLevel="0" collapsed="false">
      <c r="A505" s="1" t="s">
        <v>535</v>
      </c>
      <c r="B505" s="1" t="s">
        <v>29</v>
      </c>
      <c r="C505" s="1" t="s">
        <v>51</v>
      </c>
      <c r="D505" s="1" t="n">
        <v>42.57</v>
      </c>
      <c r="E505" s="1" t="n">
        <v>36</v>
      </c>
      <c r="F505" s="4" t="n">
        <v>44512</v>
      </c>
      <c r="G505" s="1" t="s">
        <v>39</v>
      </c>
      <c r="H505" s="1" t="n">
        <v>0</v>
      </c>
      <c r="I505" s="1" t="n">
        <v>33.4</v>
      </c>
      <c r="J505" s="1" t="n">
        <v>12</v>
      </c>
      <c r="K505" s="1" t="n">
        <v>5</v>
      </c>
      <c r="L505" s="1" t="n">
        <v>3</v>
      </c>
      <c r="M505" s="1" t="n">
        <v>1</v>
      </c>
      <c r="N505" s="1" t="n">
        <v>1532.52</v>
      </c>
      <c r="O505" s="1" t="n">
        <v>0</v>
      </c>
      <c r="Q505" s="4" t="n">
        <v>45607</v>
      </c>
      <c r="R505" s="0" t="n">
        <f aca="false">IF(ISBLANK(F505),"Missing",IFERROR(YEAR(F505),"Missing"))</f>
        <v>2021</v>
      </c>
      <c r="S505" s="0" t="str">
        <f aca="false">IF(ISBLANK(E505),"Missing",IF(E505&lt;6,"0-6mo",IF(E505&lt;12,"6-12mo",IF(E505&lt;24,"12-24mo","24mo+"))))</f>
        <v>24mo+</v>
      </c>
      <c r="T505" s="0" t="n">
        <f aca="false">IF(ISBLANK(C505),0,IF(C505="Month-to-month",2,IF(C505="One year",1,0)))+IF(ISBLANK(I505),0,IF(I505&lt;40,2,IF(I505&lt;55,1,0)))+IF(ISBLANK(M505),0,IF(M505=1,3,0))+IF(ISBLANK(L505),0,IF(L505&gt;=2,1,0))+IF(ISBLANK(E505),0,IF(E505&lt;12,1,0))</f>
        <v>6</v>
      </c>
      <c r="U505" s="0" t="str">
        <f aca="false">IF((ISBLANK(B505)*1+ISBLANK(C505)*1+ISBLANK(D505)*1+ISBLANK(E505)*1+ISBLANK(F505)*1+ISBLANK(I505)*1+ISBLANK(J505)*1+ISBLANK(K505)*1+ISBLANK(L505)*1+ISBLANK(M505)*1+ISBLANK(N505)*1+ISBLANK(O505)*1)&gt;0,"Missing Data","OK")</f>
        <v>OK</v>
      </c>
      <c r="V505" s="0" t="str">
        <f aca="false">IF(T505&gt;=6,"High Risk",IF(T505&gt;=3,"Medium Risk","Low Risk"))</f>
        <v>High Risk</v>
      </c>
    </row>
    <row r="506" customFormat="false" ht="12.8" hidden="false" customHeight="false" outlineLevel="0" collapsed="false">
      <c r="A506" s="1" t="s">
        <v>536</v>
      </c>
      <c r="B506" s="1" t="s">
        <v>23</v>
      </c>
      <c r="C506" s="1" t="s">
        <v>34</v>
      </c>
      <c r="D506" s="1" t="n">
        <v>19</v>
      </c>
      <c r="E506" s="1" t="n">
        <v>0</v>
      </c>
      <c r="F506" s="4" t="n">
        <v>44514</v>
      </c>
      <c r="G506" s="1" t="s">
        <v>39</v>
      </c>
      <c r="H506" s="1" t="n">
        <v>1</v>
      </c>
      <c r="I506" s="1" t="n">
        <v>73</v>
      </c>
      <c r="J506" s="1" t="n">
        <v>20</v>
      </c>
      <c r="K506" s="1" t="n">
        <v>10</v>
      </c>
      <c r="L506" s="1" t="n">
        <v>0</v>
      </c>
      <c r="M506" s="1" t="n">
        <v>0</v>
      </c>
      <c r="N506" s="1" t="n">
        <v>0</v>
      </c>
      <c r="O506" s="1" t="n">
        <v>0</v>
      </c>
      <c r="Q506" s="4" t="n">
        <v>44514</v>
      </c>
      <c r="R506" s="0" t="n">
        <f aca="false">IF(ISBLANK(F506),"Missing",IFERROR(YEAR(F506),"Missing"))</f>
        <v>2021</v>
      </c>
      <c r="S506" s="0" t="str">
        <f aca="false">IF(ISBLANK(E506),"Missing",IF(E506&lt;6,"0-6mo",IF(E506&lt;12,"6-12mo",IF(E506&lt;24,"12-24mo","24mo+"))))</f>
        <v>0-6mo</v>
      </c>
      <c r="T506" s="0" t="n">
        <f aca="false">IF(ISBLANK(C506),0,IF(C506="Month-to-month",2,IF(C506="One year",1,0)))+IF(ISBLANK(I506),0,IF(I506&lt;40,2,IF(I506&lt;55,1,0)))+IF(ISBLANK(M506),0,IF(M506=1,3,0))+IF(ISBLANK(L506),0,IF(L506&gt;=2,1,0))+IF(ISBLANK(E506),0,IF(E506&lt;12,1,0))</f>
        <v>2</v>
      </c>
      <c r="U506" s="0" t="str">
        <f aca="false">IF((ISBLANK(B506)*1+ISBLANK(C506)*1+ISBLANK(D506)*1+ISBLANK(E506)*1+ISBLANK(F506)*1+ISBLANK(I506)*1+ISBLANK(J506)*1+ISBLANK(K506)*1+ISBLANK(L506)*1+ISBLANK(M506)*1+ISBLANK(N506)*1+ISBLANK(O506)*1)&gt;0,"Missing Data","OK")</f>
        <v>OK</v>
      </c>
      <c r="V506" s="0" t="str">
        <f aca="false">IF(T506&gt;=6,"High Risk",IF(T506&gt;=3,"Medium Risk","Low Risk"))</f>
        <v>Low Risk</v>
      </c>
    </row>
    <row r="507" customFormat="false" ht="12.8" hidden="false" customHeight="false" outlineLevel="0" collapsed="false">
      <c r="A507" s="1" t="s">
        <v>537</v>
      </c>
      <c r="B507" s="1" t="s">
        <v>23</v>
      </c>
      <c r="C507" s="1" t="s">
        <v>24</v>
      </c>
      <c r="D507" s="1" t="n">
        <v>19.48</v>
      </c>
      <c r="E507" s="1" t="n">
        <v>72</v>
      </c>
      <c r="F507" s="4" t="n">
        <v>44514</v>
      </c>
      <c r="G507" s="1" t="s">
        <v>39</v>
      </c>
      <c r="H507" s="1" t="n">
        <v>1</v>
      </c>
      <c r="I507" s="1" t="n">
        <v>96.2</v>
      </c>
      <c r="J507" s="1" t="n">
        <v>25</v>
      </c>
      <c r="K507" s="1" t="n">
        <v>8</v>
      </c>
      <c r="L507" s="1" t="n">
        <v>3</v>
      </c>
      <c r="M507" s="1" t="n">
        <v>1</v>
      </c>
      <c r="N507" s="1" t="n">
        <v>1402.56</v>
      </c>
      <c r="O507" s="1" t="n">
        <v>0</v>
      </c>
      <c r="Q507" s="4" t="n">
        <v>46293</v>
      </c>
      <c r="R507" s="0" t="n">
        <f aca="false">IF(ISBLANK(F507),"Missing",IFERROR(YEAR(F507),"Missing"))</f>
        <v>2021</v>
      </c>
      <c r="S507" s="0" t="str">
        <f aca="false">IF(ISBLANK(E507),"Missing",IF(E507&lt;6,"0-6mo",IF(E507&lt;12,"6-12mo",IF(E507&lt;24,"12-24mo","24mo+"))))</f>
        <v>24mo+</v>
      </c>
      <c r="T507" s="0" t="n">
        <f aca="false">IF(ISBLANK(C507),0,IF(C507="Month-to-month",2,IF(C507="One year",1,0)))+IF(ISBLANK(I507),0,IF(I507&lt;40,2,IF(I507&lt;55,1,0)))+IF(ISBLANK(M507),0,IF(M507=1,3,0))+IF(ISBLANK(L507),0,IF(L507&gt;=2,1,0))+IF(ISBLANK(E507),0,IF(E507&lt;12,1,0))</f>
        <v>6</v>
      </c>
      <c r="U507" s="0" t="str">
        <f aca="false">IF((ISBLANK(B507)*1+ISBLANK(C507)*1+ISBLANK(D507)*1+ISBLANK(E507)*1+ISBLANK(F507)*1+ISBLANK(I507)*1+ISBLANK(J507)*1+ISBLANK(K507)*1+ISBLANK(L507)*1+ISBLANK(M507)*1+ISBLANK(N507)*1+ISBLANK(O507)*1)&gt;0,"Missing Data","OK")</f>
        <v>OK</v>
      </c>
      <c r="V507" s="0" t="str">
        <f aca="false">IF(T507&gt;=6,"High Risk",IF(T507&gt;=3,"Medium Risk","Low Risk"))</f>
        <v>High Risk</v>
      </c>
    </row>
    <row r="508" customFormat="false" ht="12.8" hidden="false" customHeight="false" outlineLevel="0" collapsed="false">
      <c r="A508" s="1" t="s">
        <v>538</v>
      </c>
      <c r="B508" s="1" t="s">
        <v>36</v>
      </c>
      <c r="C508" s="1" t="s">
        <v>24</v>
      </c>
      <c r="D508" s="1" t="n">
        <v>8.98</v>
      </c>
      <c r="E508" s="1" t="n">
        <v>41</v>
      </c>
      <c r="F508" s="4" t="n">
        <v>44515</v>
      </c>
      <c r="G508" s="1" t="s">
        <v>39</v>
      </c>
      <c r="H508" s="1" t="n">
        <v>1</v>
      </c>
      <c r="I508" s="1" t="n">
        <v>75.4</v>
      </c>
      <c r="J508" s="1" t="n">
        <v>33</v>
      </c>
      <c r="K508" s="1" t="n">
        <v>9</v>
      </c>
      <c r="L508" s="1" t="n">
        <v>0</v>
      </c>
      <c r="M508" s="1" t="n">
        <v>0</v>
      </c>
      <c r="N508" s="1" t="n">
        <v>368.18</v>
      </c>
      <c r="O508" s="1" t="n">
        <v>0</v>
      </c>
      <c r="Q508" s="4" t="n">
        <v>45763</v>
      </c>
      <c r="R508" s="0" t="n">
        <f aca="false">IF(ISBLANK(F508),"Missing",IFERROR(YEAR(F508),"Missing"))</f>
        <v>2021</v>
      </c>
      <c r="S508" s="0" t="str">
        <f aca="false">IF(ISBLANK(E508),"Missing",IF(E508&lt;6,"0-6mo",IF(E508&lt;12,"6-12mo",IF(E508&lt;24,"12-24mo","24mo+"))))</f>
        <v>24mo+</v>
      </c>
      <c r="T508" s="0" t="n">
        <f aca="false">IF(ISBLANK(C508),0,IF(C508="Month-to-month",2,IF(C508="One year",1,0)))+IF(ISBLANK(I508),0,IF(I508&lt;40,2,IF(I508&lt;55,1,0)))+IF(ISBLANK(M508),0,IF(M508=1,3,0))+IF(ISBLANK(L508),0,IF(L508&gt;=2,1,0))+IF(ISBLANK(E508),0,IF(E508&lt;12,1,0))</f>
        <v>2</v>
      </c>
      <c r="U508" s="0" t="str">
        <f aca="false">IF((ISBLANK(B508)*1+ISBLANK(C508)*1+ISBLANK(D508)*1+ISBLANK(E508)*1+ISBLANK(F508)*1+ISBLANK(I508)*1+ISBLANK(J508)*1+ISBLANK(K508)*1+ISBLANK(L508)*1+ISBLANK(M508)*1+ISBLANK(N508)*1+ISBLANK(O508)*1)&gt;0,"Missing Data","OK")</f>
        <v>OK</v>
      </c>
      <c r="V508" s="0" t="str">
        <f aca="false">IF(T508&gt;=6,"High Risk",IF(T508&gt;=3,"Medium Risk","Low Risk"))</f>
        <v>Low Risk</v>
      </c>
    </row>
    <row r="509" customFormat="false" ht="12.8" hidden="false" customHeight="false" outlineLevel="0" collapsed="false">
      <c r="A509" s="1" t="s">
        <v>539</v>
      </c>
      <c r="B509" s="1" t="s">
        <v>36</v>
      </c>
      <c r="C509" s="1" t="s">
        <v>34</v>
      </c>
      <c r="D509" s="1" t="n">
        <v>9.93</v>
      </c>
      <c r="E509" s="1" t="n">
        <v>38</v>
      </c>
      <c r="F509" s="4" t="n">
        <v>44516</v>
      </c>
      <c r="G509" s="1" t="s">
        <v>30</v>
      </c>
      <c r="H509" s="1" t="n">
        <v>1</v>
      </c>
      <c r="I509" s="1" t="n">
        <v>28.9</v>
      </c>
      <c r="J509" s="1" t="n">
        <v>10</v>
      </c>
      <c r="K509" s="1" t="n">
        <v>4</v>
      </c>
      <c r="L509" s="1" t="n">
        <v>0</v>
      </c>
      <c r="M509" s="1" t="n">
        <v>0</v>
      </c>
      <c r="N509" s="1" t="n">
        <v>377.34</v>
      </c>
      <c r="O509" s="1" t="n">
        <v>1</v>
      </c>
      <c r="P509" s="4" t="n">
        <v>45672</v>
      </c>
      <c r="Q509" s="4" t="n">
        <v>45672</v>
      </c>
      <c r="R509" s="0" t="n">
        <f aca="false">IF(ISBLANK(F509),"Missing",IFERROR(YEAR(F509),"Missing"))</f>
        <v>2021</v>
      </c>
      <c r="S509" s="0" t="str">
        <f aca="false">IF(ISBLANK(E509),"Missing",IF(E509&lt;6,"0-6mo",IF(E509&lt;12,"6-12mo",IF(E509&lt;24,"12-24mo","24mo+"))))</f>
        <v>24mo+</v>
      </c>
      <c r="T509" s="0" t="n">
        <f aca="false">IF(ISBLANK(C509),0,IF(C509="Month-to-month",2,IF(C509="One year",1,0)))+IF(ISBLANK(I509),0,IF(I509&lt;40,2,IF(I509&lt;55,1,0)))+IF(ISBLANK(M509),0,IF(M509=1,3,0))+IF(ISBLANK(L509),0,IF(L509&gt;=2,1,0))+IF(ISBLANK(E509),0,IF(E509&lt;12,1,0))</f>
        <v>3</v>
      </c>
      <c r="U509" s="0" t="str">
        <f aca="false">IF((ISBLANK(B509)*1+ISBLANK(C509)*1+ISBLANK(D509)*1+ISBLANK(E509)*1+ISBLANK(F509)*1+ISBLANK(I509)*1+ISBLANK(J509)*1+ISBLANK(K509)*1+ISBLANK(L509)*1+ISBLANK(M509)*1+ISBLANK(N509)*1+ISBLANK(O509)*1)&gt;0,"Missing Data","OK")</f>
        <v>OK</v>
      </c>
      <c r="V509" s="0" t="str">
        <f aca="false">IF(T509&gt;=6,"High Risk",IF(T509&gt;=3,"Medium Risk","Low Risk"))</f>
        <v>Medium Risk</v>
      </c>
    </row>
    <row r="510" customFormat="false" ht="12.8" hidden="false" customHeight="false" outlineLevel="0" collapsed="false">
      <c r="A510" s="1" t="s">
        <v>540</v>
      </c>
      <c r="B510" s="1" t="s">
        <v>36</v>
      </c>
      <c r="C510" s="1" t="s">
        <v>34</v>
      </c>
      <c r="D510" s="1" t="n">
        <v>7.43</v>
      </c>
      <c r="E510" s="1" t="n">
        <v>4</v>
      </c>
      <c r="F510" s="4" t="n">
        <v>44519</v>
      </c>
      <c r="G510" s="1" t="s">
        <v>25</v>
      </c>
      <c r="H510" s="1" t="n">
        <v>0</v>
      </c>
      <c r="I510" s="1" t="n">
        <v>37.9</v>
      </c>
      <c r="J510" s="1" t="n">
        <v>12</v>
      </c>
      <c r="K510" s="1" t="n">
        <v>5</v>
      </c>
      <c r="L510" s="1" t="n">
        <v>0</v>
      </c>
      <c r="M510" s="1" t="n">
        <v>0</v>
      </c>
      <c r="N510" s="1" t="n">
        <v>29.72</v>
      </c>
      <c r="O510" s="1" t="n">
        <v>0</v>
      </c>
      <c r="Q510" s="4" t="n">
        <v>44640</v>
      </c>
      <c r="R510" s="0" t="n">
        <f aca="false">IF(ISBLANK(F510),"Missing",IFERROR(YEAR(F510),"Missing"))</f>
        <v>2021</v>
      </c>
      <c r="S510" s="0" t="str">
        <f aca="false">IF(ISBLANK(E510),"Missing",IF(E510&lt;6,"0-6mo",IF(E510&lt;12,"6-12mo",IF(E510&lt;24,"12-24mo","24mo+"))))</f>
        <v>0-6mo</v>
      </c>
      <c r="T510" s="0" t="n">
        <f aca="false">IF(ISBLANK(C510),0,IF(C510="Month-to-month",2,IF(C510="One year",1,0)))+IF(ISBLANK(I510),0,IF(I510&lt;40,2,IF(I510&lt;55,1,0)))+IF(ISBLANK(M510),0,IF(M510=1,3,0))+IF(ISBLANK(L510),0,IF(L510&gt;=2,1,0))+IF(ISBLANK(E510),0,IF(E510&lt;12,1,0))</f>
        <v>4</v>
      </c>
      <c r="U510" s="0" t="str">
        <f aca="false">IF((ISBLANK(B510)*1+ISBLANK(C510)*1+ISBLANK(D510)*1+ISBLANK(E510)*1+ISBLANK(F510)*1+ISBLANK(I510)*1+ISBLANK(J510)*1+ISBLANK(K510)*1+ISBLANK(L510)*1+ISBLANK(M510)*1+ISBLANK(N510)*1+ISBLANK(O510)*1)&gt;0,"Missing Data","OK")</f>
        <v>OK</v>
      </c>
      <c r="V510" s="0" t="str">
        <f aca="false">IF(T510&gt;=6,"High Risk",IF(T510&gt;=3,"Medium Risk","Low Risk"))</f>
        <v>Medium Risk</v>
      </c>
    </row>
    <row r="511" customFormat="false" ht="12.8" hidden="false" customHeight="false" outlineLevel="0" collapsed="false">
      <c r="A511" s="1" t="s">
        <v>541</v>
      </c>
      <c r="B511" s="1" t="s">
        <v>36</v>
      </c>
      <c r="C511" s="1" t="s">
        <v>34</v>
      </c>
      <c r="D511" s="1" t="n">
        <v>10.4</v>
      </c>
      <c r="E511" s="1" t="n">
        <v>31</v>
      </c>
      <c r="F511" s="4" t="n">
        <v>44519</v>
      </c>
      <c r="G511" s="1" t="s">
        <v>27</v>
      </c>
      <c r="H511" s="1" t="n">
        <v>0</v>
      </c>
      <c r="I511" s="1" t="n">
        <v>56.1</v>
      </c>
      <c r="J511" s="1" t="n">
        <v>21</v>
      </c>
      <c r="K511" s="1" t="n">
        <v>8</v>
      </c>
      <c r="L511" s="1" t="n">
        <v>0</v>
      </c>
      <c r="M511" s="1" t="n">
        <v>0</v>
      </c>
      <c r="N511" s="1" t="n">
        <v>322.4</v>
      </c>
      <c r="O511" s="1" t="n">
        <v>0</v>
      </c>
      <c r="Q511" s="4" t="n">
        <v>45462</v>
      </c>
      <c r="R511" s="0" t="n">
        <f aca="false">IF(ISBLANK(F511),"Missing",IFERROR(YEAR(F511),"Missing"))</f>
        <v>2021</v>
      </c>
      <c r="S511" s="0" t="str">
        <f aca="false">IF(ISBLANK(E511),"Missing",IF(E511&lt;6,"0-6mo",IF(E511&lt;12,"6-12mo",IF(E511&lt;24,"12-24mo","24mo+"))))</f>
        <v>24mo+</v>
      </c>
      <c r="T511" s="0" t="n">
        <f aca="false">IF(ISBLANK(C511),0,IF(C511="Month-to-month",2,IF(C511="One year",1,0)))+IF(ISBLANK(I511),0,IF(I511&lt;40,2,IF(I511&lt;55,1,0)))+IF(ISBLANK(M511),0,IF(M511=1,3,0))+IF(ISBLANK(L511),0,IF(L511&gt;=2,1,0))+IF(ISBLANK(E511),0,IF(E511&lt;12,1,0))</f>
        <v>1</v>
      </c>
      <c r="U511" s="0" t="str">
        <f aca="false">IF((ISBLANK(B511)*1+ISBLANK(C511)*1+ISBLANK(D511)*1+ISBLANK(E511)*1+ISBLANK(F511)*1+ISBLANK(I511)*1+ISBLANK(J511)*1+ISBLANK(K511)*1+ISBLANK(L511)*1+ISBLANK(M511)*1+ISBLANK(N511)*1+ISBLANK(O511)*1)&gt;0,"Missing Data","OK")</f>
        <v>OK</v>
      </c>
      <c r="V511" s="0" t="str">
        <f aca="false">IF(T511&gt;=6,"High Risk",IF(T511&gt;=3,"Medium Risk","Low Risk"))</f>
        <v>Low Risk</v>
      </c>
    </row>
    <row r="512" customFormat="false" ht="12.8" hidden="false" customHeight="false" outlineLevel="0" collapsed="false">
      <c r="A512" s="1" t="s">
        <v>542</v>
      </c>
      <c r="B512" s="1" t="s">
        <v>23</v>
      </c>
      <c r="C512" s="1" t="s">
        <v>24</v>
      </c>
      <c r="D512" s="1" t="n">
        <v>18.51</v>
      </c>
      <c r="E512" s="1" t="n">
        <v>35</v>
      </c>
      <c r="F512" s="4" t="n">
        <v>44520</v>
      </c>
      <c r="G512" s="1" t="s">
        <v>39</v>
      </c>
      <c r="H512" s="1" t="n">
        <v>1</v>
      </c>
      <c r="I512" s="1" t="n">
        <v>80.4</v>
      </c>
      <c r="J512" s="1" t="n">
        <v>26</v>
      </c>
      <c r="K512" s="1" t="n">
        <v>9</v>
      </c>
      <c r="L512" s="1" t="n">
        <v>0</v>
      </c>
      <c r="M512" s="1" t="n">
        <v>0</v>
      </c>
      <c r="N512" s="1" t="n">
        <v>647.85</v>
      </c>
      <c r="O512" s="1" t="n">
        <v>1</v>
      </c>
      <c r="P512" s="4" t="n">
        <v>45585</v>
      </c>
      <c r="Q512" s="4" t="n">
        <v>45585</v>
      </c>
      <c r="R512" s="0" t="n">
        <f aca="false">IF(ISBLANK(F512),"Missing",IFERROR(YEAR(F512),"Missing"))</f>
        <v>2021</v>
      </c>
      <c r="S512" s="0" t="str">
        <f aca="false">IF(ISBLANK(E512),"Missing",IF(E512&lt;6,"0-6mo",IF(E512&lt;12,"6-12mo",IF(E512&lt;24,"12-24mo","24mo+"))))</f>
        <v>24mo+</v>
      </c>
      <c r="T512" s="0" t="n">
        <f aca="false">IF(ISBLANK(C512),0,IF(C512="Month-to-month",2,IF(C512="One year",1,0)))+IF(ISBLANK(I512),0,IF(I512&lt;40,2,IF(I512&lt;55,1,0)))+IF(ISBLANK(M512),0,IF(M512=1,3,0))+IF(ISBLANK(L512),0,IF(L512&gt;=2,1,0))+IF(ISBLANK(E512),0,IF(E512&lt;12,1,0))</f>
        <v>2</v>
      </c>
      <c r="U512" s="0" t="str">
        <f aca="false">IF((ISBLANK(B512)*1+ISBLANK(C512)*1+ISBLANK(D512)*1+ISBLANK(E512)*1+ISBLANK(F512)*1+ISBLANK(I512)*1+ISBLANK(J512)*1+ISBLANK(K512)*1+ISBLANK(L512)*1+ISBLANK(M512)*1+ISBLANK(N512)*1+ISBLANK(O512)*1)&gt;0,"Missing Data","OK")</f>
        <v>OK</v>
      </c>
      <c r="V512" s="0" t="str">
        <f aca="false">IF(T512&gt;=6,"High Risk",IF(T512&gt;=3,"Medium Risk","Low Risk"))</f>
        <v>Low Risk</v>
      </c>
    </row>
    <row r="513" customFormat="false" ht="12.8" hidden="false" customHeight="false" outlineLevel="0" collapsed="false">
      <c r="A513" s="1" t="s">
        <v>543</v>
      </c>
      <c r="B513" s="1" t="s">
        <v>29</v>
      </c>
      <c r="C513" s="1" t="s">
        <v>24</v>
      </c>
      <c r="D513" s="1" t="n">
        <v>40.42</v>
      </c>
      <c r="E513" s="1" t="n">
        <v>72</v>
      </c>
      <c r="F513" s="4" t="n">
        <v>44522</v>
      </c>
      <c r="G513" s="1" t="s">
        <v>27</v>
      </c>
      <c r="H513" s="1" t="n">
        <v>1</v>
      </c>
      <c r="I513" s="1" t="n">
        <v>57.9</v>
      </c>
      <c r="J513" s="1" t="n">
        <v>12</v>
      </c>
      <c r="K513" s="1" t="n">
        <v>7</v>
      </c>
      <c r="L513" s="1" t="n">
        <v>1</v>
      </c>
      <c r="M513" s="1" t="n">
        <v>0</v>
      </c>
      <c r="N513" s="1" t="n">
        <v>2910.24</v>
      </c>
      <c r="O513" s="1" t="n">
        <v>0</v>
      </c>
      <c r="Q513" s="4" t="n">
        <v>46293</v>
      </c>
      <c r="R513" s="0" t="n">
        <f aca="false">IF(ISBLANK(F513),"Missing",IFERROR(YEAR(F513),"Missing"))</f>
        <v>2021</v>
      </c>
      <c r="S513" s="0" t="str">
        <f aca="false">IF(ISBLANK(E513),"Missing",IF(E513&lt;6,"0-6mo",IF(E513&lt;12,"6-12mo",IF(E513&lt;24,"12-24mo","24mo+"))))</f>
        <v>24mo+</v>
      </c>
      <c r="T513" s="0" t="n">
        <f aca="false">IF(ISBLANK(C513),0,IF(C513="Month-to-month",2,IF(C513="One year",1,0)))+IF(ISBLANK(I513),0,IF(I513&lt;40,2,IF(I513&lt;55,1,0)))+IF(ISBLANK(M513),0,IF(M513=1,3,0))+IF(ISBLANK(L513),0,IF(L513&gt;=2,1,0))+IF(ISBLANK(E513),0,IF(E513&lt;12,1,0))</f>
        <v>2</v>
      </c>
      <c r="U513" s="0" t="str">
        <f aca="false">IF((ISBLANK(B513)*1+ISBLANK(C513)*1+ISBLANK(D513)*1+ISBLANK(E513)*1+ISBLANK(F513)*1+ISBLANK(I513)*1+ISBLANK(J513)*1+ISBLANK(K513)*1+ISBLANK(L513)*1+ISBLANK(M513)*1+ISBLANK(N513)*1+ISBLANK(O513)*1)&gt;0,"Missing Data","OK")</f>
        <v>OK</v>
      </c>
      <c r="V513" s="0" t="str">
        <f aca="false">IF(T513&gt;=6,"High Risk",IF(T513&gt;=3,"Medium Risk","Low Risk"))</f>
        <v>Low Risk</v>
      </c>
    </row>
    <row r="514" customFormat="false" ht="12.8" hidden="false" customHeight="false" outlineLevel="0" collapsed="false">
      <c r="A514" s="1" t="s">
        <v>544</v>
      </c>
      <c r="B514" s="1" t="s">
        <v>29</v>
      </c>
      <c r="C514" s="1" t="s">
        <v>51</v>
      </c>
      <c r="D514" s="1" t="n">
        <v>39.78</v>
      </c>
      <c r="E514" s="1" t="n">
        <v>16</v>
      </c>
      <c r="F514" s="4" t="n">
        <v>44524</v>
      </c>
      <c r="G514" s="1" t="s">
        <v>39</v>
      </c>
      <c r="H514" s="1" t="n">
        <v>1</v>
      </c>
      <c r="I514" s="1" t="n">
        <v>45</v>
      </c>
      <c r="J514" s="1" t="n">
        <v>18</v>
      </c>
      <c r="K514" s="1" t="n">
        <v>3</v>
      </c>
      <c r="L514" s="1" t="n">
        <v>0</v>
      </c>
      <c r="M514" s="1" t="n">
        <v>0</v>
      </c>
      <c r="N514" s="1" t="n">
        <v>636.48</v>
      </c>
      <c r="O514" s="1" t="n">
        <v>0</v>
      </c>
      <c r="Q514" s="4" t="n">
        <v>45011</v>
      </c>
      <c r="R514" s="0" t="n">
        <f aca="false">IF(ISBLANK(F514),"Missing",IFERROR(YEAR(F514),"Missing"))</f>
        <v>2021</v>
      </c>
      <c r="S514" s="0" t="str">
        <f aca="false">IF(ISBLANK(E514),"Missing",IF(E514&lt;6,"0-6mo",IF(E514&lt;12,"6-12mo",IF(E514&lt;24,"12-24mo","24mo+"))))</f>
        <v>12-24mo</v>
      </c>
      <c r="T514" s="0" t="n">
        <f aca="false">IF(ISBLANK(C514),0,IF(C514="Month-to-month",2,IF(C514="One year",1,0)))+IF(ISBLANK(I514),0,IF(I514&lt;40,2,IF(I514&lt;55,1,0)))+IF(ISBLANK(M514),0,IF(M514=1,3,0))+IF(ISBLANK(L514),0,IF(L514&gt;=2,1,0))+IF(ISBLANK(E514),0,IF(E514&lt;12,1,0))</f>
        <v>1</v>
      </c>
      <c r="U514" s="0" t="str">
        <f aca="false">IF((ISBLANK(B514)*1+ISBLANK(C514)*1+ISBLANK(D514)*1+ISBLANK(E514)*1+ISBLANK(F514)*1+ISBLANK(I514)*1+ISBLANK(J514)*1+ISBLANK(K514)*1+ISBLANK(L514)*1+ISBLANK(M514)*1+ISBLANK(N514)*1+ISBLANK(O514)*1)&gt;0,"Missing Data","OK")</f>
        <v>OK</v>
      </c>
      <c r="V514" s="0" t="str">
        <f aca="false">IF(T514&gt;=6,"High Risk",IF(T514&gt;=3,"Medium Risk","Low Risk"))</f>
        <v>Low Risk</v>
      </c>
    </row>
    <row r="515" customFormat="false" ht="12.8" hidden="false" customHeight="false" outlineLevel="0" collapsed="false">
      <c r="A515" s="1" t="s">
        <v>545</v>
      </c>
      <c r="B515" s="1" t="s">
        <v>36</v>
      </c>
      <c r="C515" s="1" t="s">
        <v>24</v>
      </c>
      <c r="D515" s="1" t="n">
        <v>9.12</v>
      </c>
      <c r="E515" s="1" t="n">
        <v>2</v>
      </c>
      <c r="F515" s="4" t="n">
        <v>44524</v>
      </c>
      <c r="G515" s="1" t="s">
        <v>39</v>
      </c>
      <c r="H515" s="1" t="n">
        <v>1</v>
      </c>
      <c r="I515" s="1" t="n">
        <v>83.9</v>
      </c>
      <c r="J515" s="1" t="n">
        <v>30</v>
      </c>
      <c r="K515" s="1" t="n">
        <v>9</v>
      </c>
      <c r="L515" s="1" t="n">
        <v>1</v>
      </c>
      <c r="M515" s="1" t="n">
        <v>0</v>
      </c>
      <c r="N515" s="1" t="n">
        <v>18.24</v>
      </c>
      <c r="O515" s="1" t="n">
        <v>0</v>
      </c>
      <c r="Q515" s="4" t="n">
        <v>44584</v>
      </c>
      <c r="R515" s="0" t="n">
        <f aca="false">IF(ISBLANK(F515),"Missing",IFERROR(YEAR(F515),"Missing"))</f>
        <v>2021</v>
      </c>
      <c r="S515" s="0" t="str">
        <f aca="false">IF(ISBLANK(E515),"Missing",IF(E515&lt;6,"0-6mo",IF(E515&lt;12,"6-12mo",IF(E515&lt;24,"12-24mo","24mo+"))))</f>
        <v>0-6mo</v>
      </c>
      <c r="T515" s="0" t="n">
        <f aca="false">IF(ISBLANK(C515),0,IF(C515="Month-to-month",2,IF(C515="One year",1,0)))+IF(ISBLANK(I515),0,IF(I515&lt;40,2,IF(I515&lt;55,1,0)))+IF(ISBLANK(M515),0,IF(M515=1,3,0))+IF(ISBLANK(L515),0,IF(L515&gt;=2,1,0))+IF(ISBLANK(E515),0,IF(E515&lt;12,1,0))</f>
        <v>3</v>
      </c>
      <c r="U515" s="0" t="str">
        <f aca="false">IF((ISBLANK(B515)*1+ISBLANK(C515)*1+ISBLANK(D515)*1+ISBLANK(E515)*1+ISBLANK(F515)*1+ISBLANK(I515)*1+ISBLANK(J515)*1+ISBLANK(K515)*1+ISBLANK(L515)*1+ISBLANK(M515)*1+ISBLANK(N515)*1+ISBLANK(O515)*1)&gt;0,"Missing Data","OK")</f>
        <v>OK</v>
      </c>
      <c r="V515" s="0" t="str">
        <f aca="false">IF(T515&gt;=6,"High Risk",IF(T515&gt;=3,"Medium Risk","Low Risk"))</f>
        <v>Medium Risk</v>
      </c>
    </row>
    <row r="516" customFormat="false" ht="12.8" hidden="false" customHeight="false" outlineLevel="0" collapsed="false">
      <c r="A516" s="1" t="s">
        <v>546</v>
      </c>
      <c r="B516" s="1" t="s">
        <v>36</v>
      </c>
      <c r="C516" s="1" t="s">
        <v>24</v>
      </c>
      <c r="D516" s="1" t="n">
        <v>9.46</v>
      </c>
      <c r="E516" s="1" t="n">
        <v>52</v>
      </c>
      <c r="F516" s="4" t="n">
        <v>44525</v>
      </c>
      <c r="G516" s="1" t="s">
        <v>30</v>
      </c>
      <c r="H516" s="1" t="n">
        <v>1</v>
      </c>
      <c r="I516" s="1" t="n">
        <v>34.8</v>
      </c>
      <c r="J516" s="1" t="n">
        <v>15</v>
      </c>
      <c r="K516" s="1" t="n">
        <v>5</v>
      </c>
      <c r="L516" s="1" t="n">
        <v>1</v>
      </c>
      <c r="M516" s="1" t="n">
        <v>0</v>
      </c>
      <c r="N516" s="1" t="n">
        <v>491.92</v>
      </c>
      <c r="O516" s="1" t="n">
        <v>0</v>
      </c>
      <c r="Q516" s="4" t="n">
        <v>46107</v>
      </c>
      <c r="R516" s="0" t="n">
        <f aca="false">IF(ISBLANK(F516),"Missing",IFERROR(YEAR(F516),"Missing"))</f>
        <v>2021</v>
      </c>
      <c r="S516" s="0" t="str">
        <f aca="false">IF(ISBLANK(E516),"Missing",IF(E516&lt;6,"0-6mo",IF(E516&lt;12,"6-12mo",IF(E516&lt;24,"12-24mo","24mo+"))))</f>
        <v>24mo+</v>
      </c>
      <c r="T516" s="0" t="n">
        <f aca="false">IF(ISBLANK(C516),0,IF(C516="Month-to-month",2,IF(C516="One year",1,0)))+IF(ISBLANK(I516),0,IF(I516&lt;40,2,IF(I516&lt;55,1,0)))+IF(ISBLANK(M516),0,IF(M516=1,3,0))+IF(ISBLANK(L516),0,IF(L516&gt;=2,1,0))+IF(ISBLANK(E516),0,IF(E516&lt;12,1,0))</f>
        <v>4</v>
      </c>
      <c r="U516" s="0" t="str">
        <f aca="false">IF((ISBLANK(B516)*1+ISBLANK(C516)*1+ISBLANK(D516)*1+ISBLANK(E516)*1+ISBLANK(F516)*1+ISBLANK(I516)*1+ISBLANK(J516)*1+ISBLANK(K516)*1+ISBLANK(L516)*1+ISBLANK(M516)*1+ISBLANK(N516)*1+ISBLANK(O516)*1)&gt;0,"Missing Data","OK")</f>
        <v>OK</v>
      </c>
      <c r="V516" s="0" t="str">
        <f aca="false">IF(T516&gt;=6,"High Risk",IF(T516&gt;=3,"Medium Risk","Low Risk"))</f>
        <v>Medium Risk</v>
      </c>
    </row>
    <row r="517" customFormat="false" ht="12.8" hidden="false" customHeight="false" outlineLevel="0" collapsed="false">
      <c r="A517" s="1" t="s">
        <v>547</v>
      </c>
      <c r="B517" s="1" t="s">
        <v>36</v>
      </c>
      <c r="C517" s="1" t="s">
        <v>24</v>
      </c>
      <c r="D517" s="1" t="n">
        <v>10.7</v>
      </c>
      <c r="E517" s="1" t="n">
        <v>28</v>
      </c>
      <c r="F517" s="4" t="n">
        <v>44526</v>
      </c>
      <c r="G517" s="1" t="s">
        <v>25</v>
      </c>
      <c r="H517" s="1" t="n">
        <v>0</v>
      </c>
      <c r="I517" s="1" t="n">
        <v>47.2</v>
      </c>
      <c r="J517" s="1" t="n">
        <v>12</v>
      </c>
      <c r="K517" s="1" t="n">
        <v>5</v>
      </c>
      <c r="L517" s="1" t="n">
        <v>1</v>
      </c>
      <c r="M517" s="1" t="n">
        <v>1</v>
      </c>
      <c r="N517" s="1" t="n">
        <v>299.6</v>
      </c>
      <c r="O517" s="1" t="n">
        <v>1</v>
      </c>
      <c r="P517" s="4" t="n">
        <v>45378</v>
      </c>
      <c r="Q517" s="4" t="n">
        <v>45378</v>
      </c>
      <c r="R517" s="0" t="n">
        <f aca="false">IF(ISBLANK(F517),"Missing",IFERROR(YEAR(F517),"Missing"))</f>
        <v>2021</v>
      </c>
      <c r="S517" s="0" t="str">
        <f aca="false">IF(ISBLANK(E517),"Missing",IF(E517&lt;6,"0-6mo",IF(E517&lt;12,"6-12mo",IF(E517&lt;24,"12-24mo","24mo+"))))</f>
        <v>24mo+</v>
      </c>
      <c r="T517" s="0" t="n">
        <f aca="false">IF(ISBLANK(C517),0,IF(C517="Month-to-month",2,IF(C517="One year",1,0)))+IF(ISBLANK(I517),0,IF(I517&lt;40,2,IF(I517&lt;55,1,0)))+IF(ISBLANK(M517),0,IF(M517=1,3,0))+IF(ISBLANK(L517),0,IF(L517&gt;=2,1,0))+IF(ISBLANK(E517),0,IF(E517&lt;12,1,0))</f>
        <v>6</v>
      </c>
      <c r="U517" s="0" t="str">
        <f aca="false">IF((ISBLANK(B517)*1+ISBLANK(C517)*1+ISBLANK(D517)*1+ISBLANK(E517)*1+ISBLANK(F517)*1+ISBLANK(I517)*1+ISBLANK(J517)*1+ISBLANK(K517)*1+ISBLANK(L517)*1+ISBLANK(M517)*1+ISBLANK(N517)*1+ISBLANK(O517)*1)&gt;0,"Missing Data","OK")</f>
        <v>OK</v>
      </c>
      <c r="V517" s="0" t="str">
        <f aca="false">IF(T517&gt;=6,"High Risk",IF(T517&gt;=3,"Medium Risk","Low Risk"))</f>
        <v>High Risk</v>
      </c>
    </row>
    <row r="518" customFormat="false" ht="12.8" hidden="false" customHeight="false" outlineLevel="0" collapsed="false">
      <c r="A518" s="1" t="s">
        <v>548</v>
      </c>
      <c r="B518" s="1" t="s">
        <v>29</v>
      </c>
      <c r="C518" s="1" t="s">
        <v>51</v>
      </c>
      <c r="D518" s="1" t="n">
        <v>39.6</v>
      </c>
      <c r="E518" s="1" t="n">
        <v>21</v>
      </c>
      <c r="F518" s="4" t="n">
        <v>44527</v>
      </c>
      <c r="G518" s="1" t="s">
        <v>39</v>
      </c>
      <c r="H518" s="1" t="n">
        <v>1</v>
      </c>
      <c r="I518" s="1" t="n">
        <v>73.1</v>
      </c>
      <c r="J518" s="1" t="n">
        <v>20</v>
      </c>
      <c r="K518" s="1" t="n">
        <v>7</v>
      </c>
      <c r="L518" s="1" t="n">
        <v>1</v>
      </c>
      <c r="M518" s="1" t="n">
        <v>1</v>
      </c>
      <c r="N518" s="1" t="n">
        <v>831.6</v>
      </c>
      <c r="O518" s="1" t="n">
        <v>0</v>
      </c>
      <c r="Q518" s="4" t="n">
        <v>45166</v>
      </c>
      <c r="R518" s="0" t="n">
        <f aca="false">IF(ISBLANK(F518),"Missing",IFERROR(YEAR(F518),"Missing"))</f>
        <v>2021</v>
      </c>
      <c r="S518" s="0" t="str">
        <f aca="false">IF(ISBLANK(E518),"Missing",IF(E518&lt;6,"0-6mo",IF(E518&lt;12,"6-12mo",IF(E518&lt;24,"12-24mo","24mo+"))))</f>
        <v>12-24mo</v>
      </c>
      <c r="T518" s="0" t="n">
        <f aca="false">IF(ISBLANK(C518),0,IF(C518="Month-to-month",2,IF(C518="One year",1,0)))+IF(ISBLANK(I518),0,IF(I518&lt;40,2,IF(I518&lt;55,1,0)))+IF(ISBLANK(M518),0,IF(M518=1,3,0))+IF(ISBLANK(L518),0,IF(L518&gt;=2,1,0))+IF(ISBLANK(E518),0,IF(E518&lt;12,1,0))</f>
        <v>3</v>
      </c>
      <c r="U518" s="0" t="str">
        <f aca="false">IF((ISBLANK(B518)*1+ISBLANK(C518)*1+ISBLANK(D518)*1+ISBLANK(E518)*1+ISBLANK(F518)*1+ISBLANK(I518)*1+ISBLANK(J518)*1+ISBLANK(K518)*1+ISBLANK(L518)*1+ISBLANK(M518)*1+ISBLANK(N518)*1+ISBLANK(O518)*1)&gt;0,"Missing Data","OK")</f>
        <v>OK</v>
      </c>
      <c r="V518" s="0" t="str">
        <f aca="false">IF(T518&gt;=6,"High Risk",IF(T518&gt;=3,"Medium Risk","Low Risk"))</f>
        <v>Medium Risk</v>
      </c>
    </row>
    <row r="519" customFormat="false" ht="12.8" hidden="false" customHeight="false" outlineLevel="0" collapsed="false">
      <c r="A519" s="1" t="s">
        <v>549</v>
      </c>
      <c r="B519" s="1" t="s">
        <v>29</v>
      </c>
      <c r="C519" s="1" t="s">
        <v>34</v>
      </c>
      <c r="D519" s="1" t="n">
        <v>40.31</v>
      </c>
      <c r="E519" s="1" t="n">
        <v>2</v>
      </c>
      <c r="F519" s="4" t="n">
        <v>44527</v>
      </c>
      <c r="G519" s="1" t="s">
        <v>30</v>
      </c>
      <c r="H519" s="1" t="n">
        <v>0</v>
      </c>
      <c r="I519" s="1" t="n">
        <v>54.1</v>
      </c>
      <c r="J519" s="1" t="n">
        <v>15</v>
      </c>
      <c r="K519" s="1" t="n">
        <v>5</v>
      </c>
      <c r="L519" s="1" t="n">
        <v>2</v>
      </c>
      <c r="M519" s="1" t="n">
        <v>1</v>
      </c>
      <c r="N519" s="1" t="n">
        <v>80.62</v>
      </c>
      <c r="O519" s="1" t="n">
        <v>1</v>
      </c>
      <c r="P519" s="4" t="n">
        <v>44587</v>
      </c>
      <c r="Q519" s="4" t="n">
        <v>44587</v>
      </c>
      <c r="R519" s="0" t="n">
        <f aca="false">IF(ISBLANK(F519),"Missing",IFERROR(YEAR(F519),"Missing"))</f>
        <v>2021</v>
      </c>
      <c r="S519" s="0" t="str">
        <f aca="false">IF(ISBLANK(E519),"Missing",IF(E519&lt;6,"0-6mo",IF(E519&lt;12,"6-12mo",IF(E519&lt;24,"12-24mo","24mo+"))))</f>
        <v>0-6mo</v>
      </c>
      <c r="T519" s="0" t="n">
        <f aca="false">IF(ISBLANK(C519),0,IF(C519="Month-to-month",2,IF(C519="One year",1,0)))+IF(ISBLANK(I519),0,IF(I519&lt;40,2,IF(I519&lt;55,1,0)))+IF(ISBLANK(M519),0,IF(M519=1,3,0))+IF(ISBLANK(L519),0,IF(L519&gt;=2,1,0))+IF(ISBLANK(E519),0,IF(E519&lt;12,1,0))</f>
        <v>7</v>
      </c>
      <c r="U519" s="0" t="str">
        <f aca="false">IF((ISBLANK(B519)*1+ISBLANK(C519)*1+ISBLANK(D519)*1+ISBLANK(E519)*1+ISBLANK(F519)*1+ISBLANK(I519)*1+ISBLANK(J519)*1+ISBLANK(K519)*1+ISBLANK(L519)*1+ISBLANK(M519)*1+ISBLANK(N519)*1+ISBLANK(O519)*1)&gt;0,"Missing Data","OK")</f>
        <v>OK</v>
      </c>
      <c r="V519" s="0" t="str">
        <f aca="false">IF(T519&gt;=6,"High Risk",IF(T519&gt;=3,"Medium Risk","Low Risk"))</f>
        <v>High Risk</v>
      </c>
    </row>
    <row r="520" customFormat="false" ht="12.8" hidden="false" customHeight="false" outlineLevel="0" collapsed="false">
      <c r="A520" s="1" t="s">
        <v>550</v>
      </c>
      <c r="B520" s="1" t="s">
        <v>23</v>
      </c>
      <c r="C520" s="1" t="s">
        <v>24</v>
      </c>
      <c r="D520" s="1" t="n">
        <v>18.23</v>
      </c>
      <c r="E520" s="1" t="n">
        <v>58</v>
      </c>
      <c r="F520" s="4" t="n">
        <v>44530</v>
      </c>
      <c r="G520" s="1" t="s">
        <v>30</v>
      </c>
      <c r="H520" s="1" t="n">
        <v>1</v>
      </c>
      <c r="I520" s="1" t="n">
        <v>54.2</v>
      </c>
      <c r="J520" s="1" t="n">
        <v>16</v>
      </c>
      <c r="K520" s="1" t="n">
        <v>6</v>
      </c>
      <c r="L520" s="1" t="n">
        <v>1</v>
      </c>
      <c r="M520" s="1" t="n">
        <v>1</v>
      </c>
      <c r="N520" s="1" t="n">
        <v>1057.34</v>
      </c>
      <c r="O520" s="1" t="n">
        <v>0</v>
      </c>
      <c r="Q520" s="4" t="n">
        <v>46293</v>
      </c>
      <c r="R520" s="0" t="n">
        <f aca="false">IF(ISBLANK(F520),"Missing",IFERROR(YEAR(F520),"Missing"))</f>
        <v>2021</v>
      </c>
      <c r="S520" s="0" t="str">
        <f aca="false">IF(ISBLANK(E520),"Missing",IF(E520&lt;6,"0-6mo",IF(E520&lt;12,"6-12mo",IF(E520&lt;24,"12-24mo","24mo+"))))</f>
        <v>24mo+</v>
      </c>
      <c r="T520" s="0" t="n">
        <f aca="false">IF(ISBLANK(C520),0,IF(C520="Month-to-month",2,IF(C520="One year",1,0)))+IF(ISBLANK(I520),0,IF(I520&lt;40,2,IF(I520&lt;55,1,0)))+IF(ISBLANK(M520),0,IF(M520=1,3,0))+IF(ISBLANK(L520),0,IF(L520&gt;=2,1,0))+IF(ISBLANK(E520),0,IF(E520&lt;12,1,0))</f>
        <v>6</v>
      </c>
      <c r="U520" s="0" t="str">
        <f aca="false">IF((ISBLANK(B520)*1+ISBLANK(C520)*1+ISBLANK(D520)*1+ISBLANK(E520)*1+ISBLANK(F520)*1+ISBLANK(I520)*1+ISBLANK(J520)*1+ISBLANK(K520)*1+ISBLANK(L520)*1+ISBLANK(M520)*1+ISBLANK(N520)*1+ISBLANK(O520)*1)&gt;0,"Missing Data","OK")</f>
        <v>OK</v>
      </c>
      <c r="V520" s="0" t="str">
        <f aca="false">IF(T520&gt;=6,"High Risk",IF(T520&gt;=3,"Medium Risk","Low Risk"))</f>
        <v>High Risk</v>
      </c>
    </row>
    <row r="521" customFormat="false" ht="12.8" hidden="false" customHeight="false" outlineLevel="0" collapsed="false">
      <c r="A521" s="1" t="s">
        <v>551</v>
      </c>
      <c r="B521" s="1" t="s">
        <v>29</v>
      </c>
      <c r="C521" s="1" t="s">
        <v>34</v>
      </c>
      <c r="D521" s="1" t="n">
        <v>39.6</v>
      </c>
      <c r="E521" s="1" t="n">
        <v>36</v>
      </c>
      <c r="F521" s="4" t="n">
        <v>44530</v>
      </c>
      <c r="G521" s="1" t="s">
        <v>30</v>
      </c>
      <c r="H521" s="1" t="n">
        <v>1</v>
      </c>
      <c r="I521" s="1" t="n">
        <v>83.7</v>
      </c>
      <c r="J521" s="1" t="n">
        <v>22</v>
      </c>
      <c r="K521" s="1" t="n">
        <v>6</v>
      </c>
      <c r="L521" s="1" t="n">
        <v>1</v>
      </c>
      <c r="M521" s="1" t="n">
        <v>1</v>
      </c>
      <c r="N521" s="1" t="n">
        <v>1425.6</v>
      </c>
      <c r="O521" s="1" t="n">
        <v>0</v>
      </c>
      <c r="Q521" s="4" t="n">
        <v>45625</v>
      </c>
      <c r="R521" s="0" t="n">
        <f aca="false">IF(ISBLANK(F521),"Missing",IFERROR(YEAR(F521),"Missing"))</f>
        <v>2021</v>
      </c>
      <c r="S521" s="0" t="str">
        <f aca="false">IF(ISBLANK(E521),"Missing",IF(E521&lt;6,"0-6mo",IF(E521&lt;12,"6-12mo",IF(E521&lt;24,"12-24mo","24mo+"))))</f>
        <v>24mo+</v>
      </c>
      <c r="T521" s="0" t="n">
        <f aca="false">IF(ISBLANK(C521),0,IF(C521="Month-to-month",2,IF(C521="One year",1,0)))+IF(ISBLANK(I521),0,IF(I521&lt;40,2,IF(I521&lt;55,1,0)))+IF(ISBLANK(M521),0,IF(M521=1,3,0))+IF(ISBLANK(L521),0,IF(L521&gt;=2,1,0))+IF(ISBLANK(E521),0,IF(E521&lt;12,1,0))</f>
        <v>4</v>
      </c>
      <c r="U521" s="0" t="str">
        <f aca="false">IF((ISBLANK(B521)*1+ISBLANK(C521)*1+ISBLANK(D521)*1+ISBLANK(E521)*1+ISBLANK(F521)*1+ISBLANK(I521)*1+ISBLANK(J521)*1+ISBLANK(K521)*1+ISBLANK(L521)*1+ISBLANK(M521)*1+ISBLANK(N521)*1+ISBLANK(O521)*1)&gt;0,"Missing Data","OK")</f>
        <v>OK</v>
      </c>
      <c r="V521" s="0" t="str">
        <f aca="false">IF(T521&gt;=6,"High Risk",IF(T521&gt;=3,"Medium Risk","Low Risk"))</f>
        <v>Medium Risk</v>
      </c>
    </row>
    <row r="522" customFormat="false" ht="12.8" hidden="false" customHeight="false" outlineLevel="0" collapsed="false">
      <c r="A522" s="1" t="s">
        <v>552</v>
      </c>
      <c r="B522" s="1" t="s">
        <v>36</v>
      </c>
      <c r="C522" s="1" t="s">
        <v>24</v>
      </c>
      <c r="D522" s="1" t="n">
        <v>9.62</v>
      </c>
      <c r="E522" s="1" t="n">
        <v>9</v>
      </c>
      <c r="F522" s="4" t="n">
        <v>44534</v>
      </c>
      <c r="G522" s="1" t="s">
        <v>25</v>
      </c>
      <c r="H522" s="1" t="n">
        <v>1</v>
      </c>
      <c r="I522" s="1" t="n">
        <v>89.6</v>
      </c>
      <c r="J522" s="1" t="n">
        <v>23</v>
      </c>
      <c r="K522" s="1" t="n">
        <v>7</v>
      </c>
      <c r="L522" s="1" t="n">
        <v>1</v>
      </c>
      <c r="M522" s="1" t="n">
        <v>1</v>
      </c>
      <c r="N522" s="1" t="n">
        <v>86.58</v>
      </c>
      <c r="O522" s="1" t="n">
        <v>1</v>
      </c>
      <c r="P522" s="4" t="n">
        <v>44807</v>
      </c>
      <c r="Q522" s="4" t="n">
        <v>44807</v>
      </c>
      <c r="R522" s="0" t="n">
        <f aca="false">IF(ISBLANK(F522),"Missing",IFERROR(YEAR(F522),"Missing"))</f>
        <v>2021</v>
      </c>
      <c r="S522" s="0" t="str">
        <f aca="false">IF(ISBLANK(E522),"Missing",IF(E522&lt;6,"0-6mo",IF(E522&lt;12,"6-12mo",IF(E522&lt;24,"12-24mo","24mo+"))))</f>
        <v>6-12mo</v>
      </c>
      <c r="T522" s="0" t="n">
        <f aca="false">IF(ISBLANK(C522),0,IF(C522="Month-to-month",2,IF(C522="One year",1,0)))+IF(ISBLANK(I522),0,IF(I522&lt;40,2,IF(I522&lt;55,1,0)))+IF(ISBLANK(M522),0,IF(M522=1,3,0))+IF(ISBLANK(L522),0,IF(L522&gt;=2,1,0))+IF(ISBLANK(E522),0,IF(E522&lt;12,1,0))</f>
        <v>6</v>
      </c>
      <c r="U522" s="0" t="str">
        <f aca="false">IF((ISBLANK(B522)*1+ISBLANK(C522)*1+ISBLANK(D522)*1+ISBLANK(E522)*1+ISBLANK(F522)*1+ISBLANK(I522)*1+ISBLANK(J522)*1+ISBLANK(K522)*1+ISBLANK(L522)*1+ISBLANK(M522)*1+ISBLANK(N522)*1+ISBLANK(O522)*1)&gt;0,"Missing Data","OK")</f>
        <v>OK</v>
      </c>
      <c r="V522" s="0" t="str">
        <f aca="false">IF(T522&gt;=6,"High Risk",IF(T522&gt;=3,"Medium Risk","Low Risk"))</f>
        <v>High Risk</v>
      </c>
    </row>
    <row r="523" customFormat="false" ht="12.8" hidden="false" customHeight="false" outlineLevel="0" collapsed="false">
      <c r="A523" s="1" t="s">
        <v>553</v>
      </c>
      <c r="B523" s="1" t="s">
        <v>36</v>
      </c>
      <c r="C523" s="1" t="s">
        <v>24</v>
      </c>
      <c r="D523" s="1" t="n">
        <v>10.3</v>
      </c>
      <c r="E523" s="1" t="n">
        <v>7</v>
      </c>
      <c r="F523" s="4" t="n">
        <v>44535</v>
      </c>
      <c r="G523" s="1" t="s">
        <v>30</v>
      </c>
      <c r="H523" s="1" t="n">
        <v>1</v>
      </c>
      <c r="I523" s="1" t="n">
        <v>49.2</v>
      </c>
      <c r="J523" s="1" t="n">
        <v>10</v>
      </c>
      <c r="K523" s="1" t="n">
        <v>4</v>
      </c>
      <c r="L523" s="1" t="n">
        <v>0</v>
      </c>
      <c r="M523" s="1" t="n">
        <v>0</v>
      </c>
      <c r="N523" s="1" t="n">
        <v>72.1</v>
      </c>
      <c r="O523" s="1" t="n">
        <v>0</v>
      </c>
      <c r="Q523" s="4" t="n">
        <v>44748</v>
      </c>
      <c r="R523" s="0" t="n">
        <f aca="false">IF(ISBLANK(F523),"Missing",IFERROR(YEAR(F523),"Missing"))</f>
        <v>2021</v>
      </c>
      <c r="S523" s="0" t="str">
        <f aca="false">IF(ISBLANK(E523),"Missing",IF(E523&lt;6,"0-6mo",IF(E523&lt;12,"6-12mo",IF(E523&lt;24,"12-24mo","24mo+"))))</f>
        <v>6-12mo</v>
      </c>
      <c r="T523" s="0" t="n">
        <f aca="false">IF(ISBLANK(C523),0,IF(C523="Month-to-month",2,IF(C523="One year",1,0)))+IF(ISBLANK(I523),0,IF(I523&lt;40,2,IF(I523&lt;55,1,0)))+IF(ISBLANK(M523),0,IF(M523=1,3,0))+IF(ISBLANK(L523),0,IF(L523&gt;=2,1,0))+IF(ISBLANK(E523),0,IF(E523&lt;12,1,0))</f>
        <v>4</v>
      </c>
      <c r="U523" s="0" t="str">
        <f aca="false">IF((ISBLANK(B523)*1+ISBLANK(C523)*1+ISBLANK(D523)*1+ISBLANK(E523)*1+ISBLANK(F523)*1+ISBLANK(I523)*1+ISBLANK(J523)*1+ISBLANK(K523)*1+ISBLANK(L523)*1+ISBLANK(M523)*1+ISBLANK(N523)*1+ISBLANK(O523)*1)&gt;0,"Missing Data","OK")</f>
        <v>OK</v>
      </c>
      <c r="V523" s="0" t="str">
        <f aca="false">IF(T523&gt;=6,"High Risk",IF(T523&gt;=3,"Medium Risk","Low Risk"))</f>
        <v>Medium Risk</v>
      </c>
    </row>
    <row r="524" customFormat="false" ht="12.8" hidden="false" customHeight="false" outlineLevel="0" collapsed="false">
      <c r="A524" s="1" t="s">
        <v>554</v>
      </c>
      <c r="B524" s="1" t="s">
        <v>36</v>
      </c>
      <c r="C524" s="1" t="s">
        <v>24</v>
      </c>
      <c r="D524" s="1" t="n">
        <v>10.54</v>
      </c>
      <c r="E524" s="1" t="n">
        <v>14</v>
      </c>
      <c r="F524" s="4" t="n">
        <v>44536</v>
      </c>
      <c r="G524" s="1" t="s">
        <v>30</v>
      </c>
      <c r="H524" s="1" t="n">
        <v>1</v>
      </c>
      <c r="I524" s="1" t="n">
        <v>52.7</v>
      </c>
      <c r="J524" s="1" t="n">
        <v>19</v>
      </c>
      <c r="K524" s="1" t="n">
        <v>6</v>
      </c>
      <c r="L524" s="1" t="n">
        <v>1</v>
      </c>
      <c r="M524" s="1" t="n">
        <v>0</v>
      </c>
      <c r="N524" s="1" t="n">
        <v>147.56</v>
      </c>
      <c r="O524" s="1" t="n">
        <v>1</v>
      </c>
      <c r="P524" s="4" t="n">
        <v>44962</v>
      </c>
      <c r="Q524" s="4" t="n">
        <v>44962</v>
      </c>
      <c r="R524" s="0" t="n">
        <f aca="false">IF(ISBLANK(F524),"Missing",IFERROR(YEAR(F524),"Missing"))</f>
        <v>2021</v>
      </c>
      <c r="S524" s="0" t="str">
        <f aca="false">IF(ISBLANK(E524),"Missing",IF(E524&lt;6,"0-6mo",IF(E524&lt;12,"6-12mo",IF(E524&lt;24,"12-24mo","24mo+"))))</f>
        <v>12-24mo</v>
      </c>
      <c r="T524" s="0" t="n">
        <f aca="false">IF(ISBLANK(C524),0,IF(C524="Month-to-month",2,IF(C524="One year",1,0)))+IF(ISBLANK(I524),0,IF(I524&lt;40,2,IF(I524&lt;55,1,0)))+IF(ISBLANK(M524),0,IF(M524=1,3,0))+IF(ISBLANK(L524),0,IF(L524&gt;=2,1,0))+IF(ISBLANK(E524),0,IF(E524&lt;12,1,0))</f>
        <v>3</v>
      </c>
      <c r="U524" s="0" t="str">
        <f aca="false">IF((ISBLANK(B524)*1+ISBLANK(C524)*1+ISBLANK(D524)*1+ISBLANK(E524)*1+ISBLANK(F524)*1+ISBLANK(I524)*1+ISBLANK(J524)*1+ISBLANK(K524)*1+ISBLANK(L524)*1+ISBLANK(M524)*1+ISBLANK(N524)*1+ISBLANK(O524)*1)&gt;0,"Missing Data","OK")</f>
        <v>OK</v>
      </c>
      <c r="V524" s="0" t="str">
        <f aca="false">IF(T524&gt;=6,"High Risk",IF(T524&gt;=3,"Medium Risk","Low Risk"))</f>
        <v>Medium Risk</v>
      </c>
    </row>
    <row r="525" customFormat="false" ht="12.8" hidden="false" customHeight="false" outlineLevel="0" collapsed="false">
      <c r="A525" s="1" t="s">
        <v>555</v>
      </c>
      <c r="B525" s="1" t="s">
        <v>36</v>
      </c>
      <c r="C525" s="1" t="s">
        <v>24</v>
      </c>
      <c r="D525" s="1" t="n">
        <v>10.71</v>
      </c>
      <c r="E525" s="1" t="n">
        <v>5</v>
      </c>
      <c r="F525" s="4" t="n">
        <v>44537</v>
      </c>
      <c r="G525" s="1" t="s">
        <v>25</v>
      </c>
      <c r="H525" s="1" t="n">
        <v>0</v>
      </c>
      <c r="I525" s="1" t="n">
        <v>37.9</v>
      </c>
      <c r="J525" s="1" t="n">
        <v>12</v>
      </c>
      <c r="K525" s="1" t="n">
        <v>3</v>
      </c>
      <c r="L525" s="1" t="n">
        <v>2</v>
      </c>
      <c r="M525" s="1" t="n">
        <v>1</v>
      </c>
      <c r="N525" s="1" t="n">
        <v>53.55</v>
      </c>
      <c r="O525" s="1" t="n">
        <v>1</v>
      </c>
      <c r="P525" s="4" t="n">
        <v>44689</v>
      </c>
      <c r="Q525" s="4" t="n">
        <v>44689</v>
      </c>
      <c r="R525" s="0" t="n">
        <f aca="false">IF(ISBLANK(F525),"Missing",IFERROR(YEAR(F525),"Missing"))</f>
        <v>2021</v>
      </c>
      <c r="S525" s="0" t="str">
        <f aca="false">IF(ISBLANK(E525),"Missing",IF(E525&lt;6,"0-6mo",IF(E525&lt;12,"6-12mo",IF(E525&lt;24,"12-24mo","24mo+"))))</f>
        <v>0-6mo</v>
      </c>
      <c r="T525" s="0" t="n">
        <f aca="false">IF(ISBLANK(C525),0,IF(C525="Month-to-month",2,IF(C525="One year",1,0)))+IF(ISBLANK(I525),0,IF(I525&lt;40,2,IF(I525&lt;55,1,0)))+IF(ISBLANK(M525),0,IF(M525=1,3,0))+IF(ISBLANK(L525),0,IF(L525&gt;=2,1,0))+IF(ISBLANK(E525),0,IF(E525&lt;12,1,0))</f>
        <v>9</v>
      </c>
      <c r="U525" s="0" t="str">
        <f aca="false">IF((ISBLANK(B525)*1+ISBLANK(C525)*1+ISBLANK(D525)*1+ISBLANK(E525)*1+ISBLANK(F525)*1+ISBLANK(I525)*1+ISBLANK(J525)*1+ISBLANK(K525)*1+ISBLANK(L525)*1+ISBLANK(M525)*1+ISBLANK(N525)*1+ISBLANK(O525)*1)&gt;0,"Missing Data","OK")</f>
        <v>OK</v>
      </c>
      <c r="V525" s="0" t="str">
        <f aca="false">IF(T525&gt;=6,"High Risk",IF(T525&gt;=3,"Medium Risk","Low Risk"))</f>
        <v>High Risk</v>
      </c>
    </row>
    <row r="526" customFormat="false" ht="12.8" hidden="false" customHeight="false" outlineLevel="0" collapsed="false">
      <c r="A526" s="1" t="s">
        <v>556</v>
      </c>
      <c r="B526" s="1" t="s">
        <v>23</v>
      </c>
      <c r="C526" s="1" t="s">
        <v>34</v>
      </c>
      <c r="D526" s="1" t="n">
        <v>20.17</v>
      </c>
      <c r="E526" s="1" t="n">
        <v>72</v>
      </c>
      <c r="F526" s="4" t="n">
        <v>44538</v>
      </c>
      <c r="G526" s="1" t="s">
        <v>39</v>
      </c>
      <c r="H526" s="1" t="n">
        <v>1</v>
      </c>
      <c r="I526" s="1" t="n">
        <v>86.1</v>
      </c>
      <c r="J526" s="1" t="n">
        <v>26</v>
      </c>
      <c r="K526" s="1" t="n">
        <v>4</v>
      </c>
      <c r="L526" s="1" t="n">
        <v>1</v>
      </c>
      <c r="M526" s="1" t="n">
        <v>0</v>
      </c>
      <c r="N526" s="1" t="n">
        <v>1452.24</v>
      </c>
      <c r="O526" s="1" t="n">
        <v>0</v>
      </c>
      <c r="Q526" s="4" t="n">
        <v>46293</v>
      </c>
      <c r="R526" s="0" t="n">
        <f aca="false">IF(ISBLANK(F526),"Missing",IFERROR(YEAR(F526),"Missing"))</f>
        <v>2021</v>
      </c>
      <c r="S526" s="0" t="str">
        <f aca="false">IF(ISBLANK(E526),"Missing",IF(E526&lt;6,"0-6mo",IF(E526&lt;12,"6-12mo",IF(E526&lt;24,"12-24mo","24mo+"))))</f>
        <v>24mo+</v>
      </c>
      <c r="T526" s="0" t="n">
        <f aca="false">IF(ISBLANK(C526),0,IF(C526="Month-to-month",2,IF(C526="One year",1,0)))+IF(ISBLANK(I526),0,IF(I526&lt;40,2,IF(I526&lt;55,1,0)))+IF(ISBLANK(M526),0,IF(M526=1,3,0))+IF(ISBLANK(L526),0,IF(L526&gt;=2,1,0))+IF(ISBLANK(E526),0,IF(E526&lt;12,1,0))</f>
        <v>1</v>
      </c>
      <c r="U526" s="0" t="str">
        <f aca="false">IF((ISBLANK(B526)*1+ISBLANK(C526)*1+ISBLANK(D526)*1+ISBLANK(E526)*1+ISBLANK(F526)*1+ISBLANK(I526)*1+ISBLANK(J526)*1+ISBLANK(K526)*1+ISBLANK(L526)*1+ISBLANK(M526)*1+ISBLANK(N526)*1+ISBLANK(O526)*1)&gt;0,"Missing Data","OK")</f>
        <v>OK</v>
      </c>
      <c r="V526" s="0" t="str">
        <f aca="false">IF(T526&gt;=6,"High Risk",IF(T526&gt;=3,"Medium Risk","Low Risk"))</f>
        <v>Low Risk</v>
      </c>
    </row>
    <row r="527" customFormat="false" ht="12.8" hidden="false" customHeight="false" outlineLevel="0" collapsed="false">
      <c r="A527" s="1" t="s">
        <v>557</v>
      </c>
      <c r="B527" s="1" t="s">
        <v>23</v>
      </c>
      <c r="C527" s="1" t="s">
        <v>24</v>
      </c>
      <c r="D527" s="1" t="n">
        <v>18.97</v>
      </c>
      <c r="E527" s="1" t="n">
        <v>5</v>
      </c>
      <c r="F527" s="4" t="n">
        <v>44540</v>
      </c>
      <c r="G527" s="1" t="s">
        <v>39</v>
      </c>
      <c r="H527" s="1" t="n">
        <v>1</v>
      </c>
      <c r="I527" s="1" t="n">
        <v>58.1</v>
      </c>
      <c r="J527" s="1" t="n">
        <v>20</v>
      </c>
      <c r="K527" s="1" t="n">
        <v>8</v>
      </c>
      <c r="L527" s="1" t="n">
        <v>5</v>
      </c>
      <c r="M527" s="1" t="n">
        <v>0</v>
      </c>
      <c r="N527" s="1" t="n">
        <v>94.85</v>
      </c>
      <c r="O527" s="1" t="n">
        <v>0</v>
      </c>
      <c r="Q527" s="4" t="n">
        <v>44692</v>
      </c>
      <c r="R527" s="0" t="n">
        <f aca="false">IF(ISBLANK(F527),"Missing",IFERROR(YEAR(F527),"Missing"))</f>
        <v>2021</v>
      </c>
      <c r="S527" s="0" t="str">
        <f aca="false">IF(ISBLANK(E527),"Missing",IF(E527&lt;6,"0-6mo",IF(E527&lt;12,"6-12mo",IF(E527&lt;24,"12-24mo","24mo+"))))</f>
        <v>0-6mo</v>
      </c>
      <c r="T527" s="0" t="n">
        <f aca="false">IF(ISBLANK(C527),0,IF(C527="Month-to-month",2,IF(C527="One year",1,0)))+IF(ISBLANK(I527),0,IF(I527&lt;40,2,IF(I527&lt;55,1,0)))+IF(ISBLANK(M527),0,IF(M527=1,3,0))+IF(ISBLANK(L527),0,IF(L527&gt;=2,1,0))+IF(ISBLANK(E527),0,IF(E527&lt;12,1,0))</f>
        <v>4</v>
      </c>
      <c r="U527" s="0" t="str">
        <f aca="false">IF((ISBLANK(B527)*1+ISBLANK(C527)*1+ISBLANK(D527)*1+ISBLANK(E527)*1+ISBLANK(F527)*1+ISBLANK(I527)*1+ISBLANK(J527)*1+ISBLANK(K527)*1+ISBLANK(L527)*1+ISBLANK(M527)*1+ISBLANK(N527)*1+ISBLANK(O527)*1)&gt;0,"Missing Data","OK")</f>
        <v>OK</v>
      </c>
      <c r="V527" s="0" t="str">
        <f aca="false">IF(T527&gt;=6,"High Risk",IF(T527&gt;=3,"Medium Risk","Low Risk"))</f>
        <v>Medium Risk</v>
      </c>
    </row>
    <row r="528" customFormat="false" ht="12.8" hidden="false" customHeight="false" outlineLevel="0" collapsed="false">
      <c r="A528" s="1" t="s">
        <v>558</v>
      </c>
      <c r="B528" s="1" t="s">
        <v>36</v>
      </c>
      <c r="C528" s="1" t="s">
        <v>24</v>
      </c>
      <c r="D528" s="1" t="n">
        <v>8.31</v>
      </c>
      <c r="E528" s="1" t="n">
        <v>13</v>
      </c>
      <c r="F528" s="4" t="n">
        <v>44540</v>
      </c>
      <c r="G528" s="1" t="s">
        <v>39</v>
      </c>
      <c r="H528" s="1" t="n">
        <v>0</v>
      </c>
      <c r="I528" s="1" t="n">
        <v>90</v>
      </c>
      <c r="J528" s="1" t="n">
        <v>25</v>
      </c>
      <c r="K528" s="1" t="n">
        <v>9</v>
      </c>
      <c r="L528" s="1" t="n">
        <v>0</v>
      </c>
      <c r="M528" s="1" t="n">
        <v>0</v>
      </c>
      <c r="N528" s="1" t="n">
        <v>108.03</v>
      </c>
      <c r="O528" s="1" t="n">
        <v>0</v>
      </c>
      <c r="Q528" s="4" t="n">
        <v>44935</v>
      </c>
      <c r="R528" s="0" t="n">
        <f aca="false">IF(ISBLANK(F528),"Missing",IFERROR(YEAR(F528),"Missing"))</f>
        <v>2021</v>
      </c>
      <c r="S528" s="0" t="str">
        <f aca="false">IF(ISBLANK(E528),"Missing",IF(E528&lt;6,"0-6mo",IF(E528&lt;12,"6-12mo",IF(E528&lt;24,"12-24mo","24mo+"))))</f>
        <v>12-24mo</v>
      </c>
      <c r="T528" s="0" t="n">
        <f aca="false">IF(ISBLANK(C528),0,IF(C528="Month-to-month",2,IF(C528="One year",1,0)))+IF(ISBLANK(I528),0,IF(I528&lt;40,2,IF(I528&lt;55,1,0)))+IF(ISBLANK(M528),0,IF(M528=1,3,0))+IF(ISBLANK(L528),0,IF(L528&gt;=2,1,0))+IF(ISBLANK(E528),0,IF(E528&lt;12,1,0))</f>
        <v>2</v>
      </c>
      <c r="U528" s="0" t="str">
        <f aca="false">IF((ISBLANK(B528)*1+ISBLANK(C528)*1+ISBLANK(D528)*1+ISBLANK(E528)*1+ISBLANK(F528)*1+ISBLANK(I528)*1+ISBLANK(J528)*1+ISBLANK(K528)*1+ISBLANK(L528)*1+ISBLANK(M528)*1+ISBLANK(N528)*1+ISBLANK(O528)*1)&gt;0,"Missing Data","OK")</f>
        <v>OK</v>
      </c>
      <c r="V528" s="0" t="str">
        <f aca="false">IF(T528&gt;=6,"High Risk",IF(T528&gt;=3,"Medium Risk","Low Risk"))</f>
        <v>Low Risk</v>
      </c>
    </row>
    <row r="529" customFormat="false" ht="12.8" hidden="false" customHeight="false" outlineLevel="0" collapsed="false">
      <c r="A529" s="1" t="s">
        <v>559</v>
      </c>
      <c r="B529" s="1" t="s">
        <v>36</v>
      </c>
      <c r="C529" s="1" t="s">
        <v>24</v>
      </c>
      <c r="D529" s="1" t="n">
        <v>9.3</v>
      </c>
      <c r="E529" s="1" t="n">
        <v>0</v>
      </c>
      <c r="F529" s="4" t="n">
        <v>44542</v>
      </c>
      <c r="G529" s="1" t="s">
        <v>30</v>
      </c>
      <c r="H529" s="1" t="n">
        <v>0</v>
      </c>
      <c r="I529" s="1" t="n">
        <v>71.2</v>
      </c>
      <c r="J529" s="1" t="n">
        <v>20</v>
      </c>
      <c r="K529" s="1" t="n">
        <v>6</v>
      </c>
      <c r="L529" s="1" t="n">
        <v>0</v>
      </c>
      <c r="M529" s="1" t="n">
        <v>0</v>
      </c>
      <c r="N529" s="1" t="n">
        <v>0</v>
      </c>
      <c r="O529" s="1" t="n">
        <v>1</v>
      </c>
      <c r="P529" s="4" t="n">
        <v>44542</v>
      </c>
      <c r="Q529" s="4" t="n">
        <v>44542</v>
      </c>
      <c r="R529" s="0" t="n">
        <f aca="false">IF(ISBLANK(F529),"Missing",IFERROR(YEAR(F529),"Missing"))</f>
        <v>2021</v>
      </c>
      <c r="S529" s="0" t="str">
        <f aca="false">IF(ISBLANK(E529),"Missing",IF(E529&lt;6,"0-6mo",IF(E529&lt;12,"6-12mo",IF(E529&lt;24,"12-24mo","24mo+"))))</f>
        <v>0-6mo</v>
      </c>
      <c r="T529" s="0" t="n">
        <f aca="false">IF(ISBLANK(C529),0,IF(C529="Month-to-month",2,IF(C529="One year",1,0)))+IF(ISBLANK(I529),0,IF(I529&lt;40,2,IF(I529&lt;55,1,0)))+IF(ISBLANK(M529),0,IF(M529=1,3,0))+IF(ISBLANK(L529),0,IF(L529&gt;=2,1,0))+IF(ISBLANK(E529),0,IF(E529&lt;12,1,0))</f>
        <v>3</v>
      </c>
      <c r="U529" s="0" t="str">
        <f aca="false">IF((ISBLANK(B529)*1+ISBLANK(C529)*1+ISBLANK(D529)*1+ISBLANK(E529)*1+ISBLANK(F529)*1+ISBLANK(I529)*1+ISBLANK(J529)*1+ISBLANK(K529)*1+ISBLANK(L529)*1+ISBLANK(M529)*1+ISBLANK(N529)*1+ISBLANK(O529)*1)&gt;0,"Missing Data","OK")</f>
        <v>OK</v>
      </c>
      <c r="V529" s="0" t="str">
        <f aca="false">IF(T529&gt;=6,"High Risk",IF(T529&gt;=3,"Medium Risk","Low Risk"))</f>
        <v>Medium Risk</v>
      </c>
    </row>
    <row r="530" customFormat="false" ht="12.8" hidden="false" customHeight="false" outlineLevel="0" collapsed="false">
      <c r="A530" s="1" t="s">
        <v>560</v>
      </c>
      <c r="B530" s="1" t="s">
        <v>23</v>
      </c>
      <c r="C530" s="1" t="s">
        <v>24</v>
      </c>
      <c r="D530" s="1" t="n">
        <v>20.23</v>
      </c>
      <c r="E530" s="1" t="n">
        <v>2</v>
      </c>
      <c r="F530" s="4" t="n">
        <v>44543</v>
      </c>
      <c r="G530" s="1" t="s">
        <v>27</v>
      </c>
      <c r="H530" s="1" t="n">
        <v>1</v>
      </c>
      <c r="I530" s="1" t="n">
        <v>48.2</v>
      </c>
      <c r="J530" s="1" t="n">
        <v>10</v>
      </c>
      <c r="K530" s="1" t="n">
        <v>4</v>
      </c>
      <c r="L530" s="1" t="n">
        <v>0</v>
      </c>
      <c r="M530" s="1" t="n">
        <v>0</v>
      </c>
      <c r="N530" s="1" t="n">
        <v>40.46</v>
      </c>
      <c r="O530" s="1" t="n">
        <v>0</v>
      </c>
      <c r="Q530" s="4" t="n">
        <v>44603</v>
      </c>
      <c r="R530" s="0" t="n">
        <f aca="false">IF(ISBLANK(F530),"Missing",IFERROR(YEAR(F530),"Missing"))</f>
        <v>2021</v>
      </c>
      <c r="S530" s="0" t="str">
        <f aca="false">IF(ISBLANK(E530),"Missing",IF(E530&lt;6,"0-6mo",IF(E530&lt;12,"6-12mo",IF(E530&lt;24,"12-24mo","24mo+"))))</f>
        <v>0-6mo</v>
      </c>
      <c r="T530" s="0" t="n">
        <f aca="false">IF(ISBLANK(C530),0,IF(C530="Month-to-month",2,IF(C530="One year",1,0)))+IF(ISBLANK(I530),0,IF(I530&lt;40,2,IF(I530&lt;55,1,0)))+IF(ISBLANK(M530),0,IF(M530=1,3,0))+IF(ISBLANK(L530),0,IF(L530&gt;=2,1,0))+IF(ISBLANK(E530),0,IF(E530&lt;12,1,0))</f>
        <v>4</v>
      </c>
      <c r="U530" s="0" t="str">
        <f aca="false">IF((ISBLANK(B530)*1+ISBLANK(C530)*1+ISBLANK(D530)*1+ISBLANK(E530)*1+ISBLANK(F530)*1+ISBLANK(I530)*1+ISBLANK(J530)*1+ISBLANK(K530)*1+ISBLANK(L530)*1+ISBLANK(M530)*1+ISBLANK(N530)*1+ISBLANK(O530)*1)&gt;0,"Missing Data","OK")</f>
        <v>OK</v>
      </c>
      <c r="V530" s="0" t="str">
        <f aca="false">IF(T530&gt;=6,"High Risk",IF(T530&gt;=3,"Medium Risk","Low Risk"))</f>
        <v>Medium Risk</v>
      </c>
    </row>
    <row r="531" customFormat="false" ht="12.8" hidden="false" customHeight="false" outlineLevel="0" collapsed="false">
      <c r="A531" s="1" t="s">
        <v>561</v>
      </c>
      <c r="B531" s="1" t="s">
        <v>29</v>
      </c>
      <c r="C531" s="1" t="s">
        <v>24</v>
      </c>
      <c r="D531" s="1" t="n">
        <v>40.43</v>
      </c>
      <c r="E531" s="1" t="n">
        <v>8</v>
      </c>
      <c r="F531" s="4" t="n">
        <v>44543</v>
      </c>
      <c r="G531" s="1" t="s">
        <v>25</v>
      </c>
      <c r="H531" s="1" t="n">
        <v>1</v>
      </c>
      <c r="I531" s="1" t="n">
        <v>44.7</v>
      </c>
      <c r="J531" s="1" t="n">
        <v>19</v>
      </c>
      <c r="K531" s="1" t="n">
        <v>3</v>
      </c>
      <c r="L531" s="1" t="n">
        <v>0</v>
      </c>
      <c r="M531" s="1" t="n">
        <v>0</v>
      </c>
      <c r="N531" s="1" t="n">
        <v>323.44</v>
      </c>
      <c r="O531" s="1" t="n">
        <v>0</v>
      </c>
      <c r="Q531" s="4" t="n">
        <v>44786</v>
      </c>
      <c r="R531" s="0" t="n">
        <f aca="false">IF(ISBLANK(F531),"Missing",IFERROR(YEAR(F531),"Missing"))</f>
        <v>2021</v>
      </c>
      <c r="S531" s="0" t="str">
        <f aca="false">IF(ISBLANK(E531),"Missing",IF(E531&lt;6,"0-6mo",IF(E531&lt;12,"6-12mo",IF(E531&lt;24,"12-24mo","24mo+"))))</f>
        <v>6-12mo</v>
      </c>
      <c r="T531" s="0" t="n">
        <f aca="false">IF(ISBLANK(C531),0,IF(C531="Month-to-month",2,IF(C531="One year",1,0)))+IF(ISBLANK(I531),0,IF(I531&lt;40,2,IF(I531&lt;55,1,0)))+IF(ISBLANK(M531),0,IF(M531=1,3,0))+IF(ISBLANK(L531),0,IF(L531&gt;=2,1,0))+IF(ISBLANK(E531),0,IF(E531&lt;12,1,0))</f>
        <v>4</v>
      </c>
      <c r="U531" s="0" t="str">
        <f aca="false">IF((ISBLANK(B531)*1+ISBLANK(C531)*1+ISBLANK(D531)*1+ISBLANK(E531)*1+ISBLANK(F531)*1+ISBLANK(I531)*1+ISBLANK(J531)*1+ISBLANK(K531)*1+ISBLANK(L531)*1+ISBLANK(M531)*1+ISBLANK(N531)*1+ISBLANK(O531)*1)&gt;0,"Missing Data","OK")</f>
        <v>OK</v>
      </c>
      <c r="V531" s="0" t="str">
        <f aca="false">IF(T531&gt;=6,"High Risk",IF(T531&gt;=3,"Medium Risk","Low Risk"))</f>
        <v>Medium Risk</v>
      </c>
    </row>
    <row r="532" customFormat="false" ht="12.8" hidden="false" customHeight="false" outlineLevel="0" collapsed="false">
      <c r="A532" s="1" t="s">
        <v>562</v>
      </c>
      <c r="B532" s="1" t="s">
        <v>23</v>
      </c>
      <c r="C532" s="1" t="s">
        <v>24</v>
      </c>
      <c r="D532" s="1" t="n">
        <v>21.19</v>
      </c>
      <c r="E532" s="1" t="n">
        <v>8</v>
      </c>
      <c r="F532" s="4" t="n">
        <v>44543</v>
      </c>
      <c r="G532" s="1" t="s">
        <v>39</v>
      </c>
      <c r="H532" s="1" t="n">
        <v>0</v>
      </c>
      <c r="I532" s="1" t="n">
        <v>65.1</v>
      </c>
      <c r="J532" s="1" t="n">
        <v>26</v>
      </c>
      <c r="K532" s="1" t="n">
        <v>8</v>
      </c>
      <c r="L532" s="1" t="n">
        <v>3</v>
      </c>
      <c r="M532" s="1" t="n">
        <v>0</v>
      </c>
      <c r="N532" s="1" t="n">
        <v>169.52</v>
      </c>
      <c r="O532" s="1" t="n">
        <v>1</v>
      </c>
      <c r="P532" s="4" t="n">
        <v>44786</v>
      </c>
      <c r="Q532" s="4" t="n">
        <v>44786</v>
      </c>
      <c r="R532" s="0" t="n">
        <f aca="false">IF(ISBLANK(F532),"Missing",IFERROR(YEAR(F532),"Missing"))</f>
        <v>2021</v>
      </c>
      <c r="S532" s="0" t="str">
        <f aca="false">IF(ISBLANK(E532),"Missing",IF(E532&lt;6,"0-6mo",IF(E532&lt;12,"6-12mo",IF(E532&lt;24,"12-24mo","24mo+"))))</f>
        <v>6-12mo</v>
      </c>
      <c r="T532" s="0" t="n">
        <f aca="false">IF(ISBLANK(C532),0,IF(C532="Month-to-month",2,IF(C532="One year",1,0)))+IF(ISBLANK(I532),0,IF(I532&lt;40,2,IF(I532&lt;55,1,0)))+IF(ISBLANK(M532),0,IF(M532=1,3,0))+IF(ISBLANK(L532),0,IF(L532&gt;=2,1,0))+IF(ISBLANK(E532),0,IF(E532&lt;12,1,0))</f>
        <v>4</v>
      </c>
      <c r="U532" s="0" t="str">
        <f aca="false">IF((ISBLANK(B532)*1+ISBLANK(C532)*1+ISBLANK(D532)*1+ISBLANK(E532)*1+ISBLANK(F532)*1+ISBLANK(I532)*1+ISBLANK(J532)*1+ISBLANK(K532)*1+ISBLANK(L532)*1+ISBLANK(M532)*1+ISBLANK(N532)*1+ISBLANK(O532)*1)&gt;0,"Missing Data","OK")</f>
        <v>OK</v>
      </c>
      <c r="V532" s="0" t="str">
        <f aca="false">IF(T532&gt;=6,"High Risk",IF(T532&gt;=3,"Medium Risk","Low Risk"))</f>
        <v>Medium Risk</v>
      </c>
    </row>
    <row r="533" customFormat="false" ht="12.8" hidden="false" customHeight="false" outlineLevel="0" collapsed="false">
      <c r="A533" s="1" t="s">
        <v>563</v>
      </c>
      <c r="B533" s="1" t="s">
        <v>36</v>
      </c>
      <c r="C533" s="1" t="s">
        <v>24</v>
      </c>
      <c r="D533" s="1" t="n">
        <v>10.42</v>
      </c>
      <c r="E533" s="1" t="n">
        <v>4</v>
      </c>
      <c r="F533" s="4" t="n">
        <v>44544</v>
      </c>
      <c r="G533" s="1" t="s">
        <v>39</v>
      </c>
      <c r="H533" s="1" t="n">
        <v>0</v>
      </c>
      <c r="I533" s="1" t="n">
        <v>38.5</v>
      </c>
      <c r="J533" s="1" t="n">
        <v>10</v>
      </c>
      <c r="K533" s="1" t="n">
        <v>2</v>
      </c>
      <c r="L533" s="1" t="n">
        <v>2</v>
      </c>
      <c r="M533" s="1" t="n">
        <v>1</v>
      </c>
      <c r="N533" s="1" t="n">
        <v>41.68</v>
      </c>
      <c r="O533" s="1" t="n">
        <v>1</v>
      </c>
      <c r="P533" s="4" t="n">
        <v>44665</v>
      </c>
      <c r="Q533" s="4" t="n">
        <v>44665</v>
      </c>
      <c r="R533" s="0" t="n">
        <f aca="false">IF(ISBLANK(F533),"Missing",IFERROR(YEAR(F533),"Missing"))</f>
        <v>2021</v>
      </c>
      <c r="S533" s="0" t="str">
        <f aca="false">IF(ISBLANK(E533),"Missing",IF(E533&lt;6,"0-6mo",IF(E533&lt;12,"6-12mo",IF(E533&lt;24,"12-24mo","24mo+"))))</f>
        <v>0-6mo</v>
      </c>
      <c r="T533" s="0" t="n">
        <f aca="false">IF(ISBLANK(C533),0,IF(C533="Month-to-month",2,IF(C533="One year",1,0)))+IF(ISBLANK(I533),0,IF(I533&lt;40,2,IF(I533&lt;55,1,0)))+IF(ISBLANK(M533),0,IF(M533=1,3,0))+IF(ISBLANK(L533),0,IF(L533&gt;=2,1,0))+IF(ISBLANK(E533),0,IF(E533&lt;12,1,0))</f>
        <v>9</v>
      </c>
      <c r="U533" s="0" t="str">
        <f aca="false">IF((ISBLANK(B533)*1+ISBLANK(C533)*1+ISBLANK(D533)*1+ISBLANK(E533)*1+ISBLANK(F533)*1+ISBLANK(I533)*1+ISBLANK(J533)*1+ISBLANK(K533)*1+ISBLANK(L533)*1+ISBLANK(M533)*1+ISBLANK(N533)*1+ISBLANK(O533)*1)&gt;0,"Missing Data","OK")</f>
        <v>OK</v>
      </c>
      <c r="V533" s="0" t="str">
        <f aca="false">IF(T533&gt;=6,"High Risk",IF(T533&gt;=3,"Medium Risk","Low Risk"))</f>
        <v>High Risk</v>
      </c>
    </row>
    <row r="534" customFormat="false" ht="12.8" hidden="false" customHeight="false" outlineLevel="0" collapsed="false">
      <c r="A534" s="1" t="s">
        <v>564</v>
      </c>
      <c r="B534" s="1" t="s">
        <v>36</v>
      </c>
      <c r="C534" s="1" t="s">
        <v>24</v>
      </c>
      <c r="D534" s="1" t="n">
        <v>8.99</v>
      </c>
      <c r="E534" s="1" t="n">
        <v>1</v>
      </c>
      <c r="F534" s="4" t="n">
        <v>44545</v>
      </c>
      <c r="G534" s="1" t="s">
        <v>25</v>
      </c>
      <c r="H534" s="1" t="n">
        <v>1</v>
      </c>
      <c r="I534" s="1" t="n">
        <v>63.2</v>
      </c>
      <c r="J534" s="1" t="n">
        <v>22</v>
      </c>
      <c r="K534" s="1" t="n">
        <v>3</v>
      </c>
      <c r="L534" s="1" t="n">
        <v>0</v>
      </c>
      <c r="M534" s="1" t="n">
        <v>0</v>
      </c>
      <c r="N534" s="1" t="n">
        <v>8.99</v>
      </c>
      <c r="O534" s="1" t="n">
        <v>0</v>
      </c>
      <c r="Q534" s="4" t="n">
        <v>44575</v>
      </c>
      <c r="R534" s="0" t="n">
        <f aca="false">IF(ISBLANK(F534),"Missing",IFERROR(YEAR(F534),"Missing"))</f>
        <v>2021</v>
      </c>
      <c r="S534" s="0" t="str">
        <f aca="false">IF(ISBLANK(E534),"Missing",IF(E534&lt;6,"0-6mo",IF(E534&lt;12,"6-12mo",IF(E534&lt;24,"12-24mo","24mo+"))))</f>
        <v>0-6mo</v>
      </c>
      <c r="T534" s="0" t="n">
        <f aca="false">IF(ISBLANK(C534),0,IF(C534="Month-to-month",2,IF(C534="One year",1,0)))+IF(ISBLANK(I534),0,IF(I534&lt;40,2,IF(I534&lt;55,1,0)))+IF(ISBLANK(M534),0,IF(M534=1,3,0))+IF(ISBLANK(L534),0,IF(L534&gt;=2,1,0))+IF(ISBLANK(E534),0,IF(E534&lt;12,1,0))</f>
        <v>3</v>
      </c>
      <c r="U534" s="0" t="str">
        <f aca="false">IF((ISBLANK(B534)*1+ISBLANK(C534)*1+ISBLANK(D534)*1+ISBLANK(E534)*1+ISBLANK(F534)*1+ISBLANK(I534)*1+ISBLANK(J534)*1+ISBLANK(K534)*1+ISBLANK(L534)*1+ISBLANK(M534)*1+ISBLANK(N534)*1+ISBLANK(O534)*1)&gt;0,"Missing Data","OK")</f>
        <v>OK</v>
      </c>
      <c r="V534" s="0" t="str">
        <f aca="false">IF(T534&gt;=6,"High Risk",IF(T534&gt;=3,"Medium Risk","Low Risk"))</f>
        <v>Medium Risk</v>
      </c>
    </row>
    <row r="535" customFormat="false" ht="12.8" hidden="false" customHeight="false" outlineLevel="0" collapsed="false">
      <c r="A535" s="1" t="s">
        <v>565</v>
      </c>
      <c r="B535" s="1" t="s">
        <v>29</v>
      </c>
      <c r="C535" s="1" t="s">
        <v>24</v>
      </c>
      <c r="D535" s="1" t="n">
        <v>39.04</v>
      </c>
      <c r="E535" s="1" t="n">
        <v>21</v>
      </c>
      <c r="F535" s="4" t="n">
        <v>44548</v>
      </c>
      <c r="G535" s="1" t="s">
        <v>25</v>
      </c>
      <c r="H535" s="1" t="n">
        <v>1</v>
      </c>
      <c r="I535" s="1" t="n">
        <v>91</v>
      </c>
      <c r="J535" s="1" t="n">
        <v>27</v>
      </c>
      <c r="K535" s="1" t="n">
        <v>9</v>
      </c>
      <c r="L535" s="1" t="n">
        <v>1</v>
      </c>
      <c r="M535" s="1" t="n">
        <v>0</v>
      </c>
      <c r="N535" s="1" t="n">
        <v>819.84</v>
      </c>
      <c r="O535" s="1" t="n">
        <v>1</v>
      </c>
      <c r="P535" s="4" t="n">
        <v>45187</v>
      </c>
      <c r="Q535" s="4" t="n">
        <v>45187</v>
      </c>
      <c r="R535" s="0" t="n">
        <f aca="false">IF(ISBLANK(F535),"Missing",IFERROR(YEAR(F535),"Missing"))</f>
        <v>2021</v>
      </c>
      <c r="S535" s="0" t="str">
        <f aca="false">IF(ISBLANK(E535),"Missing",IF(E535&lt;6,"0-6mo",IF(E535&lt;12,"6-12mo",IF(E535&lt;24,"12-24mo","24mo+"))))</f>
        <v>12-24mo</v>
      </c>
      <c r="T535" s="0" t="n">
        <f aca="false">IF(ISBLANK(C535),0,IF(C535="Month-to-month",2,IF(C535="One year",1,0)))+IF(ISBLANK(I535),0,IF(I535&lt;40,2,IF(I535&lt;55,1,0)))+IF(ISBLANK(M535),0,IF(M535=1,3,0))+IF(ISBLANK(L535),0,IF(L535&gt;=2,1,0))+IF(ISBLANK(E535),0,IF(E535&lt;12,1,0))</f>
        <v>2</v>
      </c>
      <c r="U535" s="0" t="str">
        <f aca="false">IF((ISBLANK(B535)*1+ISBLANK(C535)*1+ISBLANK(D535)*1+ISBLANK(E535)*1+ISBLANK(F535)*1+ISBLANK(I535)*1+ISBLANK(J535)*1+ISBLANK(K535)*1+ISBLANK(L535)*1+ISBLANK(M535)*1+ISBLANK(N535)*1+ISBLANK(O535)*1)&gt;0,"Missing Data","OK")</f>
        <v>OK</v>
      </c>
      <c r="V535" s="0" t="str">
        <f aca="false">IF(T535&gt;=6,"High Risk",IF(T535&gt;=3,"Medium Risk","Low Risk"))</f>
        <v>Low Risk</v>
      </c>
    </row>
    <row r="536" customFormat="false" ht="12.8" hidden="false" customHeight="false" outlineLevel="0" collapsed="false">
      <c r="A536" s="1" t="s">
        <v>566</v>
      </c>
      <c r="B536" s="1" t="s">
        <v>23</v>
      </c>
      <c r="C536" s="1" t="s">
        <v>24</v>
      </c>
      <c r="D536" s="1" t="n">
        <v>19.51</v>
      </c>
      <c r="E536" s="1" t="n">
        <v>30</v>
      </c>
      <c r="F536" s="4" t="n">
        <v>44550</v>
      </c>
      <c r="G536" s="1" t="s">
        <v>39</v>
      </c>
      <c r="H536" s="1" t="n">
        <v>1</v>
      </c>
      <c r="I536" s="1" t="n">
        <v>54.2</v>
      </c>
      <c r="J536" s="1" t="n">
        <v>18</v>
      </c>
      <c r="K536" s="1" t="n">
        <v>5</v>
      </c>
      <c r="L536" s="1" t="n">
        <v>1</v>
      </c>
      <c r="M536" s="1" t="n">
        <v>0</v>
      </c>
      <c r="N536" s="1" t="n">
        <v>585.3</v>
      </c>
      <c r="O536" s="1" t="n">
        <v>0</v>
      </c>
      <c r="Q536" s="4" t="n">
        <v>45463</v>
      </c>
      <c r="R536" s="0" t="n">
        <f aca="false">IF(ISBLANK(F536),"Missing",IFERROR(YEAR(F536),"Missing"))</f>
        <v>2021</v>
      </c>
      <c r="S536" s="0" t="str">
        <f aca="false">IF(ISBLANK(E536),"Missing",IF(E536&lt;6,"0-6mo",IF(E536&lt;12,"6-12mo",IF(E536&lt;24,"12-24mo","24mo+"))))</f>
        <v>24mo+</v>
      </c>
      <c r="T536" s="0" t="n">
        <f aca="false">IF(ISBLANK(C536),0,IF(C536="Month-to-month",2,IF(C536="One year",1,0)))+IF(ISBLANK(I536),0,IF(I536&lt;40,2,IF(I536&lt;55,1,0)))+IF(ISBLANK(M536),0,IF(M536=1,3,0))+IF(ISBLANK(L536),0,IF(L536&gt;=2,1,0))+IF(ISBLANK(E536),0,IF(E536&lt;12,1,0))</f>
        <v>3</v>
      </c>
      <c r="U536" s="0" t="str">
        <f aca="false">IF((ISBLANK(B536)*1+ISBLANK(C536)*1+ISBLANK(D536)*1+ISBLANK(E536)*1+ISBLANK(F536)*1+ISBLANK(I536)*1+ISBLANK(J536)*1+ISBLANK(K536)*1+ISBLANK(L536)*1+ISBLANK(M536)*1+ISBLANK(N536)*1+ISBLANK(O536)*1)&gt;0,"Missing Data","OK")</f>
        <v>OK</v>
      </c>
      <c r="V536" s="0" t="str">
        <f aca="false">IF(T536&gt;=6,"High Risk",IF(T536&gt;=3,"Medium Risk","Low Risk"))</f>
        <v>Medium Risk</v>
      </c>
    </row>
    <row r="537" customFormat="false" ht="12.8" hidden="false" customHeight="false" outlineLevel="0" collapsed="false">
      <c r="A537" s="1" t="s">
        <v>567</v>
      </c>
      <c r="B537" s="1" t="s">
        <v>23</v>
      </c>
      <c r="C537" s="1" t="s">
        <v>24</v>
      </c>
      <c r="D537" s="1" t="n">
        <v>19.85</v>
      </c>
      <c r="E537" s="1" t="n">
        <v>2</v>
      </c>
      <c r="F537" s="4" t="n">
        <v>44552</v>
      </c>
      <c r="G537" s="1" t="s">
        <v>25</v>
      </c>
      <c r="H537" s="1" t="n">
        <v>1</v>
      </c>
      <c r="I537" s="1" t="n">
        <v>46.7</v>
      </c>
      <c r="J537" s="1" t="n">
        <v>9</v>
      </c>
      <c r="K537" s="1" t="n">
        <v>4</v>
      </c>
      <c r="L537" s="1" t="n">
        <v>3</v>
      </c>
      <c r="M537" s="1" t="n">
        <v>0</v>
      </c>
      <c r="N537" s="1" t="n">
        <v>39.7</v>
      </c>
      <c r="O537" s="1" t="n">
        <v>0</v>
      </c>
      <c r="Q537" s="4" t="n">
        <v>44612</v>
      </c>
      <c r="R537" s="0" t="n">
        <f aca="false">IF(ISBLANK(F537),"Missing",IFERROR(YEAR(F537),"Missing"))</f>
        <v>2021</v>
      </c>
      <c r="S537" s="0" t="str">
        <f aca="false">IF(ISBLANK(E537),"Missing",IF(E537&lt;6,"0-6mo",IF(E537&lt;12,"6-12mo",IF(E537&lt;24,"12-24mo","24mo+"))))</f>
        <v>0-6mo</v>
      </c>
      <c r="T537" s="0" t="n">
        <f aca="false">IF(ISBLANK(C537),0,IF(C537="Month-to-month",2,IF(C537="One year",1,0)))+IF(ISBLANK(I537),0,IF(I537&lt;40,2,IF(I537&lt;55,1,0)))+IF(ISBLANK(M537),0,IF(M537=1,3,0))+IF(ISBLANK(L537),0,IF(L537&gt;=2,1,0))+IF(ISBLANK(E537),0,IF(E537&lt;12,1,0))</f>
        <v>5</v>
      </c>
      <c r="U537" s="0" t="str">
        <f aca="false">IF((ISBLANK(B537)*1+ISBLANK(C537)*1+ISBLANK(D537)*1+ISBLANK(E537)*1+ISBLANK(F537)*1+ISBLANK(I537)*1+ISBLANK(J537)*1+ISBLANK(K537)*1+ISBLANK(L537)*1+ISBLANK(M537)*1+ISBLANK(N537)*1+ISBLANK(O537)*1)&gt;0,"Missing Data","OK")</f>
        <v>OK</v>
      </c>
      <c r="V537" s="0" t="str">
        <f aca="false">IF(T537&gt;=6,"High Risk",IF(T537&gt;=3,"Medium Risk","Low Risk"))</f>
        <v>Medium Risk</v>
      </c>
    </row>
    <row r="538" customFormat="false" ht="12.8" hidden="false" customHeight="false" outlineLevel="0" collapsed="false">
      <c r="A538" s="1" t="s">
        <v>568</v>
      </c>
      <c r="B538" s="1" t="s">
        <v>23</v>
      </c>
      <c r="C538" s="1" t="s">
        <v>24</v>
      </c>
      <c r="D538" s="1" t="n">
        <v>20.8</v>
      </c>
      <c r="E538" s="1" t="n">
        <v>11</v>
      </c>
      <c r="F538" s="4" t="n">
        <v>44552</v>
      </c>
      <c r="G538" s="1" t="s">
        <v>30</v>
      </c>
      <c r="H538" s="1" t="n">
        <v>0</v>
      </c>
      <c r="I538" s="1" t="n">
        <v>33.5</v>
      </c>
      <c r="J538" s="1" t="n">
        <v>12</v>
      </c>
      <c r="K538" s="1" t="n">
        <v>2</v>
      </c>
      <c r="L538" s="1" t="n">
        <v>2</v>
      </c>
      <c r="M538" s="1" t="n">
        <v>0</v>
      </c>
      <c r="N538" s="1" t="n">
        <v>228.8</v>
      </c>
      <c r="O538" s="1" t="n">
        <v>1</v>
      </c>
      <c r="P538" s="4" t="n">
        <v>44886</v>
      </c>
      <c r="Q538" s="4" t="n">
        <v>44886</v>
      </c>
      <c r="R538" s="0" t="n">
        <f aca="false">IF(ISBLANK(F538),"Missing",IFERROR(YEAR(F538),"Missing"))</f>
        <v>2021</v>
      </c>
      <c r="S538" s="0" t="str">
        <f aca="false">IF(ISBLANK(E538),"Missing",IF(E538&lt;6,"0-6mo",IF(E538&lt;12,"6-12mo",IF(E538&lt;24,"12-24mo","24mo+"))))</f>
        <v>6-12mo</v>
      </c>
      <c r="T538" s="0" t="n">
        <f aca="false">IF(ISBLANK(C538),0,IF(C538="Month-to-month",2,IF(C538="One year",1,0)))+IF(ISBLANK(I538),0,IF(I538&lt;40,2,IF(I538&lt;55,1,0)))+IF(ISBLANK(M538),0,IF(M538=1,3,0))+IF(ISBLANK(L538),0,IF(L538&gt;=2,1,0))+IF(ISBLANK(E538),0,IF(E538&lt;12,1,0))</f>
        <v>6</v>
      </c>
      <c r="U538" s="0" t="str">
        <f aca="false">IF((ISBLANK(B538)*1+ISBLANK(C538)*1+ISBLANK(D538)*1+ISBLANK(E538)*1+ISBLANK(F538)*1+ISBLANK(I538)*1+ISBLANK(J538)*1+ISBLANK(K538)*1+ISBLANK(L538)*1+ISBLANK(M538)*1+ISBLANK(N538)*1+ISBLANK(O538)*1)&gt;0,"Missing Data","OK")</f>
        <v>OK</v>
      </c>
      <c r="V538" s="0" t="str">
        <f aca="false">IF(T538&gt;=6,"High Risk",IF(T538&gt;=3,"Medium Risk","Low Risk"))</f>
        <v>High Risk</v>
      </c>
    </row>
    <row r="539" customFormat="false" ht="12.8" hidden="false" customHeight="false" outlineLevel="0" collapsed="false">
      <c r="A539" s="1" t="s">
        <v>569</v>
      </c>
      <c r="B539" s="1" t="s">
        <v>29</v>
      </c>
      <c r="C539" s="1" t="s">
        <v>24</v>
      </c>
      <c r="D539" s="1" t="n">
        <v>39.86</v>
      </c>
      <c r="E539" s="1" t="n">
        <v>2</v>
      </c>
      <c r="F539" s="4" t="n">
        <v>44554</v>
      </c>
      <c r="G539" s="1" t="s">
        <v>30</v>
      </c>
      <c r="H539" s="1" t="n">
        <v>0</v>
      </c>
      <c r="I539" s="1" t="n">
        <v>58.7</v>
      </c>
      <c r="J539" s="1" t="n">
        <v>18</v>
      </c>
      <c r="K539" s="1" t="n">
        <v>6</v>
      </c>
      <c r="L539" s="1" t="n">
        <v>0</v>
      </c>
      <c r="M539" s="1" t="n">
        <v>0</v>
      </c>
      <c r="N539" s="1" t="n">
        <v>79.72</v>
      </c>
      <c r="O539" s="1" t="n">
        <v>0</v>
      </c>
      <c r="Q539" s="4" t="n">
        <v>44614</v>
      </c>
      <c r="R539" s="0" t="n">
        <f aca="false">IF(ISBLANK(F539),"Missing",IFERROR(YEAR(F539),"Missing"))</f>
        <v>2021</v>
      </c>
      <c r="S539" s="0" t="str">
        <f aca="false">IF(ISBLANK(E539),"Missing",IF(E539&lt;6,"0-6mo",IF(E539&lt;12,"6-12mo",IF(E539&lt;24,"12-24mo","24mo+"))))</f>
        <v>0-6mo</v>
      </c>
      <c r="T539" s="0" t="n">
        <f aca="false">IF(ISBLANK(C539),0,IF(C539="Month-to-month",2,IF(C539="One year",1,0)))+IF(ISBLANK(I539),0,IF(I539&lt;40,2,IF(I539&lt;55,1,0)))+IF(ISBLANK(M539),0,IF(M539=1,3,0))+IF(ISBLANK(L539),0,IF(L539&gt;=2,1,0))+IF(ISBLANK(E539),0,IF(E539&lt;12,1,0))</f>
        <v>3</v>
      </c>
      <c r="U539" s="0" t="str">
        <f aca="false">IF((ISBLANK(B539)*1+ISBLANK(C539)*1+ISBLANK(D539)*1+ISBLANK(E539)*1+ISBLANK(F539)*1+ISBLANK(I539)*1+ISBLANK(J539)*1+ISBLANK(K539)*1+ISBLANK(L539)*1+ISBLANK(M539)*1+ISBLANK(N539)*1+ISBLANK(O539)*1)&gt;0,"Missing Data","OK")</f>
        <v>OK</v>
      </c>
      <c r="V539" s="0" t="str">
        <f aca="false">IF(T539&gt;=6,"High Risk",IF(T539&gt;=3,"Medium Risk","Low Risk"))</f>
        <v>Medium Risk</v>
      </c>
    </row>
    <row r="540" customFormat="false" ht="12.8" hidden="false" customHeight="false" outlineLevel="0" collapsed="false">
      <c r="A540" s="1" t="s">
        <v>570</v>
      </c>
      <c r="B540" s="1" t="s">
        <v>23</v>
      </c>
      <c r="C540" s="1" t="s">
        <v>34</v>
      </c>
      <c r="D540" s="1" t="n">
        <v>18.41</v>
      </c>
      <c r="E540" s="1" t="n">
        <v>2</v>
      </c>
      <c r="F540" s="4" t="n">
        <v>44559</v>
      </c>
      <c r="G540" s="1" t="s">
        <v>39</v>
      </c>
      <c r="H540" s="1" t="n">
        <v>1</v>
      </c>
      <c r="I540" s="1" t="n">
        <v>100</v>
      </c>
      <c r="J540" s="1" t="n">
        <v>32</v>
      </c>
      <c r="K540" s="1" t="n">
        <v>9</v>
      </c>
      <c r="L540" s="1" t="n">
        <v>0</v>
      </c>
      <c r="M540" s="1" t="n">
        <v>0</v>
      </c>
      <c r="N540" s="1" t="n">
        <v>36.82</v>
      </c>
      <c r="O540" s="1" t="n">
        <v>0</v>
      </c>
      <c r="Q540" s="4" t="n">
        <v>44619</v>
      </c>
      <c r="R540" s="0" t="n">
        <f aca="false">IF(ISBLANK(F540),"Missing",IFERROR(YEAR(F540),"Missing"))</f>
        <v>2021</v>
      </c>
      <c r="S540" s="0" t="str">
        <f aca="false">IF(ISBLANK(E540),"Missing",IF(E540&lt;6,"0-6mo",IF(E540&lt;12,"6-12mo",IF(E540&lt;24,"12-24mo","24mo+"))))</f>
        <v>0-6mo</v>
      </c>
      <c r="T540" s="0" t="n">
        <f aca="false">IF(ISBLANK(C540),0,IF(C540="Month-to-month",2,IF(C540="One year",1,0)))+IF(ISBLANK(I540),0,IF(I540&lt;40,2,IF(I540&lt;55,1,0)))+IF(ISBLANK(M540),0,IF(M540=1,3,0))+IF(ISBLANK(L540),0,IF(L540&gt;=2,1,0))+IF(ISBLANK(E540),0,IF(E540&lt;12,1,0))</f>
        <v>2</v>
      </c>
      <c r="U540" s="0" t="str">
        <f aca="false">IF((ISBLANK(B540)*1+ISBLANK(C540)*1+ISBLANK(D540)*1+ISBLANK(E540)*1+ISBLANK(F540)*1+ISBLANK(I540)*1+ISBLANK(J540)*1+ISBLANK(K540)*1+ISBLANK(L540)*1+ISBLANK(M540)*1+ISBLANK(N540)*1+ISBLANK(O540)*1)&gt;0,"Missing Data","OK")</f>
        <v>OK</v>
      </c>
      <c r="V540" s="0" t="str">
        <f aca="false">IF(T540&gt;=6,"High Risk",IF(T540&gt;=3,"Medium Risk","Low Risk"))</f>
        <v>Low Risk</v>
      </c>
    </row>
    <row r="541" customFormat="false" ht="12.8" hidden="false" customHeight="false" outlineLevel="0" collapsed="false">
      <c r="A541" s="1" t="s">
        <v>571</v>
      </c>
      <c r="B541" s="1" t="s">
        <v>29</v>
      </c>
      <c r="C541" s="1" t="s">
        <v>24</v>
      </c>
      <c r="D541" s="1" t="n">
        <v>41.59</v>
      </c>
      <c r="E541" s="1" t="n">
        <v>23</v>
      </c>
      <c r="F541" s="4" t="n">
        <v>44559</v>
      </c>
      <c r="G541" s="1" t="s">
        <v>39</v>
      </c>
      <c r="H541" s="1" t="n">
        <v>1</v>
      </c>
      <c r="I541" s="1" t="n">
        <v>45.8</v>
      </c>
      <c r="J541" s="1" t="n">
        <v>15</v>
      </c>
      <c r="K541" s="1" t="n">
        <v>6</v>
      </c>
      <c r="L541" s="1" t="n">
        <v>0</v>
      </c>
      <c r="M541" s="1" t="n">
        <v>0</v>
      </c>
      <c r="N541" s="1" t="n">
        <v>956.57</v>
      </c>
      <c r="O541" s="1" t="n">
        <v>0</v>
      </c>
      <c r="Q541" s="4" t="n">
        <v>45259</v>
      </c>
      <c r="R541" s="0" t="n">
        <f aca="false">IF(ISBLANK(F541),"Missing",IFERROR(YEAR(F541),"Missing"))</f>
        <v>2021</v>
      </c>
      <c r="S541" s="0" t="str">
        <f aca="false">IF(ISBLANK(E541),"Missing",IF(E541&lt;6,"0-6mo",IF(E541&lt;12,"6-12mo",IF(E541&lt;24,"12-24mo","24mo+"))))</f>
        <v>12-24mo</v>
      </c>
      <c r="T541" s="0" t="n">
        <f aca="false">IF(ISBLANK(C541),0,IF(C541="Month-to-month",2,IF(C541="One year",1,0)))+IF(ISBLANK(I541),0,IF(I541&lt;40,2,IF(I541&lt;55,1,0)))+IF(ISBLANK(M541),0,IF(M541=1,3,0))+IF(ISBLANK(L541),0,IF(L541&gt;=2,1,0))+IF(ISBLANK(E541),0,IF(E541&lt;12,1,0))</f>
        <v>3</v>
      </c>
      <c r="U541" s="0" t="str">
        <f aca="false">IF((ISBLANK(B541)*1+ISBLANK(C541)*1+ISBLANK(D541)*1+ISBLANK(E541)*1+ISBLANK(F541)*1+ISBLANK(I541)*1+ISBLANK(J541)*1+ISBLANK(K541)*1+ISBLANK(L541)*1+ISBLANK(M541)*1+ISBLANK(N541)*1+ISBLANK(O541)*1)&gt;0,"Missing Data","OK")</f>
        <v>OK</v>
      </c>
      <c r="V541" s="0" t="str">
        <f aca="false">IF(T541&gt;=6,"High Risk",IF(T541&gt;=3,"Medium Risk","Low Risk"))</f>
        <v>Medium Risk</v>
      </c>
    </row>
    <row r="542" customFormat="false" ht="12.8" hidden="false" customHeight="false" outlineLevel="0" collapsed="false">
      <c r="A542" s="1" t="s">
        <v>572</v>
      </c>
      <c r="B542" s="1" t="s">
        <v>29</v>
      </c>
      <c r="C542" s="1" t="s">
        <v>34</v>
      </c>
      <c r="D542" s="1" t="n">
        <v>41.12</v>
      </c>
      <c r="E542" s="1" t="n">
        <v>22</v>
      </c>
      <c r="F542" s="4" t="n">
        <v>44563</v>
      </c>
      <c r="G542" s="1" t="s">
        <v>25</v>
      </c>
      <c r="H542" s="1" t="n">
        <v>1</v>
      </c>
      <c r="I542" s="1" t="n">
        <v>47.8</v>
      </c>
      <c r="J542" s="1" t="n">
        <v>8</v>
      </c>
      <c r="K542" s="1" t="n">
        <v>8</v>
      </c>
      <c r="L542" s="1" t="n">
        <v>0</v>
      </c>
      <c r="M542" s="1" t="n">
        <v>0</v>
      </c>
      <c r="N542" s="1" t="n">
        <v>904.64</v>
      </c>
      <c r="O542" s="1" t="n">
        <v>0</v>
      </c>
      <c r="Q542" s="4" t="n">
        <v>45232</v>
      </c>
      <c r="R542" s="0" t="n">
        <f aca="false">IF(ISBLANK(F542),"Missing",IFERROR(YEAR(F542),"Missing"))</f>
        <v>2022</v>
      </c>
      <c r="S542" s="0" t="str">
        <f aca="false">IF(ISBLANK(E542),"Missing",IF(E542&lt;6,"0-6mo",IF(E542&lt;12,"6-12mo",IF(E542&lt;24,"12-24mo","24mo+"))))</f>
        <v>12-24mo</v>
      </c>
      <c r="T542" s="0" t="n">
        <f aca="false">IF(ISBLANK(C542),0,IF(C542="Month-to-month",2,IF(C542="One year",1,0)))+IF(ISBLANK(I542),0,IF(I542&lt;40,2,IF(I542&lt;55,1,0)))+IF(ISBLANK(M542),0,IF(M542=1,3,0))+IF(ISBLANK(L542),0,IF(L542&gt;=2,1,0))+IF(ISBLANK(E542),0,IF(E542&lt;12,1,0))</f>
        <v>2</v>
      </c>
      <c r="U542" s="0" t="str">
        <f aca="false">IF((ISBLANK(B542)*1+ISBLANK(C542)*1+ISBLANK(D542)*1+ISBLANK(E542)*1+ISBLANK(F542)*1+ISBLANK(I542)*1+ISBLANK(J542)*1+ISBLANK(K542)*1+ISBLANK(L542)*1+ISBLANK(M542)*1+ISBLANK(N542)*1+ISBLANK(O542)*1)&gt;0,"Missing Data","OK")</f>
        <v>OK</v>
      </c>
      <c r="V542" s="0" t="str">
        <f aca="false">IF(T542&gt;=6,"High Risk",IF(T542&gt;=3,"Medium Risk","Low Risk"))</f>
        <v>Low Risk</v>
      </c>
    </row>
    <row r="543" customFormat="false" ht="12.8" hidden="false" customHeight="false" outlineLevel="0" collapsed="false">
      <c r="A543" s="1" t="s">
        <v>573</v>
      </c>
      <c r="B543" s="1" t="s">
        <v>23</v>
      </c>
      <c r="C543" s="1" t="s">
        <v>34</v>
      </c>
      <c r="D543" s="1" t="n">
        <v>21.48</v>
      </c>
      <c r="E543" s="1" t="n">
        <v>70</v>
      </c>
      <c r="F543" s="4" t="n">
        <v>44565</v>
      </c>
      <c r="G543" s="1" t="s">
        <v>25</v>
      </c>
      <c r="H543" s="1" t="n">
        <v>1</v>
      </c>
      <c r="I543" s="1" t="n">
        <v>68.7</v>
      </c>
      <c r="J543" s="1" t="n">
        <v>22</v>
      </c>
      <c r="K543" s="1" t="n">
        <v>10</v>
      </c>
      <c r="L543" s="1" t="n">
        <v>1</v>
      </c>
      <c r="M543" s="1" t="n">
        <v>1</v>
      </c>
      <c r="N543" s="1" t="n">
        <v>1503.6</v>
      </c>
      <c r="O543" s="1" t="n">
        <v>0</v>
      </c>
      <c r="Q543" s="4" t="n">
        <v>46293</v>
      </c>
      <c r="R543" s="0" t="n">
        <f aca="false">IF(ISBLANK(F543),"Missing",IFERROR(YEAR(F543),"Missing"))</f>
        <v>2022</v>
      </c>
      <c r="S543" s="0" t="str">
        <f aca="false">IF(ISBLANK(E543),"Missing",IF(E543&lt;6,"0-6mo",IF(E543&lt;12,"6-12mo",IF(E543&lt;24,"12-24mo","24mo+"))))</f>
        <v>24mo+</v>
      </c>
      <c r="T543" s="0" t="n">
        <f aca="false">IF(ISBLANK(C543),0,IF(C543="Month-to-month",2,IF(C543="One year",1,0)))+IF(ISBLANK(I543),0,IF(I543&lt;40,2,IF(I543&lt;55,1,0)))+IF(ISBLANK(M543),0,IF(M543=1,3,0))+IF(ISBLANK(L543),0,IF(L543&gt;=2,1,0))+IF(ISBLANK(E543),0,IF(E543&lt;12,1,0))</f>
        <v>4</v>
      </c>
      <c r="U543" s="0" t="str">
        <f aca="false">IF((ISBLANK(B543)*1+ISBLANK(C543)*1+ISBLANK(D543)*1+ISBLANK(E543)*1+ISBLANK(F543)*1+ISBLANK(I543)*1+ISBLANK(J543)*1+ISBLANK(K543)*1+ISBLANK(L543)*1+ISBLANK(M543)*1+ISBLANK(N543)*1+ISBLANK(O543)*1)&gt;0,"Missing Data","OK")</f>
        <v>OK</v>
      </c>
      <c r="V543" s="0" t="str">
        <f aca="false">IF(T543&gt;=6,"High Risk",IF(T543&gt;=3,"Medium Risk","Low Risk"))</f>
        <v>Medium Risk</v>
      </c>
    </row>
    <row r="544" customFormat="false" ht="12.8" hidden="false" customHeight="false" outlineLevel="0" collapsed="false">
      <c r="A544" s="1" t="s">
        <v>574</v>
      </c>
      <c r="B544" s="1" t="s">
        <v>23</v>
      </c>
      <c r="C544" s="1" t="s">
        <v>34</v>
      </c>
      <c r="D544" s="1" t="n">
        <v>20.17</v>
      </c>
      <c r="E544" s="1" t="n">
        <v>9</v>
      </c>
      <c r="F544" s="4" t="n">
        <v>44566</v>
      </c>
      <c r="G544" s="1" t="s">
        <v>25</v>
      </c>
      <c r="H544" s="1" t="n">
        <v>0</v>
      </c>
      <c r="I544" s="1" t="n">
        <v>36.2</v>
      </c>
      <c r="J544" s="1" t="n">
        <v>11</v>
      </c>
      <c r="K544" s="1" t="n">
        <v>4</v>
      </c>
      <c r="L544" s="1" t="n">
        <v>2</v>
      </c>
      <c r="M544" s="1" t="n">
        <v>0</v>
      </c>
      <c r="N544" s="1" t="n">
        <v>181.53</v>
      </c>
      <c r="O544" s="1" t="n">
        <v>0</v>
      </c>
      <c r="Q544" s="4" t="n">
        <v>44839</v>
      </c>
      <c r="R544" s="0" t="n">
        <f aca="false">IF(ISBLANK(F544),"Missing",IFERROR(YEAR(F544),"Missing"))</f>
        <v>2022</v>
      </c>
      <c r="S544" s="0" t="str">
        <f aca="false">IF(ISBLANK(E544),"Missing",IF(E544&lt;6,"0-6mo",IF(E544&lt;12,"6-12mo",IF(E544&lt;24,"12-24mo","24mo+"))))</f>
        <v>6-12mo</v>
      </c>
      <c r="T544" s="0" t="n">
        <f aca="false">IF(ISBLANK(C544),0,IF(C544="Month-to-month",2,IF(C544="One year",1,0)))+IF(ISBLANK(I544),0,IF(I544&lt;40,2,IF(I544&lt;55,1,0)))+IF(ISBLANK(M544),0,IF(M544=1,3,0))+IF(ISBLANK(L544),0,IF(L544&gt;=2,1,0))+IF(ISBLANK(E544),0,IF(E544&lt;12,1,0))</f>
        <v>5</v>
      </c>
      <c r="U544" s="0" t="str">
        <f aca="false">IF((ISBLANK(B544)*1+ISBLANK(C544)*1+ISBLANK(D544)*1+ISBLANK(E544)*1+ISBLANK(F544)*1+ISBLANK(I544)*1+ISBLANK(J544)*1+ISBLANK(K544)*1+ISBLANK(L544)*1+ISBLANK(M544)*1+ISBLANK(N544)*1+ISBLANK(O544)*1)&gt;0,"Missing Data","OK")</f>
        <v>OK</v>
      </c>
      <c r="V544" s="0" t="str">
        <f aca="false">IF(T544&gt;=6,"High Risk",IF(T544&gt;=3,"Medium Risk","Low Risk"))</f>
        <v>Medium Risk</v>
      </c>
    </row>
    <row r="545" customFormat="false" ht="12.8" hidden="false" customHeight="false" outlineLevel="0" collapsed="false">
      <c r="A545" s="1" t="s">
        <v>575</v>
      </c>
      <c r="B545" s="1" t="s">
        <v>36</v>
      </c>
      <c r="C545" s="1" t="s">
        <v>24</v>
      </c>
      <c r="D545" s="1" t="n">
        <v>9.03</v>
      </c>
      <c r="E545" s="1" t="n">
        <v>2</v>
      </c>
      <c r="F545" s="4" t="n">
        <v>44566</v>
      </c>
      <c r="G545" s="1" t="s">
        <v>25</v>
      </c>
      <c r="H545" s="1" t="n">
        <v>1</v>
      </c>
      <c r="I545" s="1" t="n">
        <v>55.6</v>
      </c>
      <c r="J545" s="1" t="n">
        <v>23</v>
      </c>
      <c r="K545" s="1" t="n">
        <v>4</v>
      </c>
      <c r="L545" s="1" t="n">
        <v>4</v>
      </c>
      <c r="M545" s="1" t="n">
        <v>0</v>
      </c>
      <c r="N545" s="1" t="n">
        <v>18.06</v>
      </c>
      <c r="O545" s="1" t="n">
        <v>1</v>
      </c>
      <c r="P545" s="4" t="n">
        <v>44626</v>
      </c>
      <c r="Q545" s="4" t="n">
        <v>44626</v>
      </c>
      <c r="R545" s="0" t="n">
        <f aca="false">IF(ISBLANK(F545),"Missing",IFERROR(YEAR(F545),"Missing"))</f>
        <v>2022</v>
      </c>
      <c r="S545" s="0" t="str">
        <f aca="false">IF(ISBLANK(E545),"Missing",IF(E545&lt;6,"0-6mo",IF(E545&lt;12,"6-12mo",IF(E545&lt;24,"12-24mo","24mo+"))))</f>
        <v>0-6mo</v>
      </c>
      <c r="T545" s="0" t="n">
        <f aca="false">IF(ISBLANK(C545),0,IF(C545="Month-to-month",2,IF(C545="One year",1,0)))+IF(ISBLANK(I545),0,IF(I545&lt;40,2,IF(I545&lt;55,1,0)))+IF(ISBLANK(M545),0,IF(M545=1,3,0))+IF(ISBLANK(L545),0,IF(L545&gt;=2,1,0))+IF(ISBLANK(E545),0,IF(E545&lt;12,1,0))</f>
        <v>4</v>
      </c>
      <c r="U545" s="0" t="str">
        <f aca="false">IF((ISBLANK(B545)*1+ISBLANK(C545)*1+ISBLANK(D545)*1+ISBLANK(E545)*1+ISBLANK(F545)*1+ISBLANK(I545)*1+ISBLANK(J545)*1+ISBLANK(K545)*1+ISBLANK(L545)*1+ISBLANK(M545)*1+ISBLANK(N545)*1+ISBLANK(O545)*1)&gt;0,"Missing Data","OK")</f>
        <v>OK</v>
      </c>
      <c r="V545" s="0" t="str">
        <f aca="false">IF(T545&gt;=6,"High Risk",IF(T545&gt;=3,"Medium Risk","Low Risk"))</f>
        <v>Medium Risk</v>
      </c>
    </row>
    <row r="546" customFormat="false" ht="12.8" hidden="false" customHeight="false" outlineLevel="0" collapsed="false">
      <c r="A546" s="1" t="s">
        <v>576</v>
      </c>
      <c r="B546" s="1" t="s">
        <v>23</v>
      </c>
      <c r="C546" s="1" t="s">
        <v>51</v>
      </c>
      <c r="D546" s="1" t="n">
        <v>20.22</v>
      </c>
      <c r="E546" s="1" t="n">
        <v>13</v>
      </c>
      <c r="F546" s="4" t="n">
        <v>44567</v>
      </c>
      <c r="G546" s="1" t="s">
        <v>39</v>
      </c>
      <c r="H546" s="1" t="n">
        <v>1</v>
      </c>
      <c r="I546" s="1" t="n">
        <v>53.1</v>
      </c>
      <c r="J546" s="1" t="n">
        <v>19</v>
      </c>
      <c r="K546" s="1" t="n">
        <v>6</v>
      </c>
      <c r="L546" s="1" t="n">
        <v>0</v>
      </c>
      <c r="M546" s="1" t="n">
        <v>0</v>
      </c>
      <c r="N546" s="1" t="n">
        <v>262.86</v>
      </c>
      <c r="O546" s="1" t="n">
        <v>0</v>
      </c>
      <c r="Q546" s="4" t="n">
        <v>44962</v>
      </c>
      <c r="R546" s="0" t="n">
        <f aca="false">IF(ISBLANK(F546),"Missing",IFERROR(YEAR(F546),"Missing"))</f>
        <v>2022</v>
      </c>
      <c r="S546" s="0" t="str">
        <f aca="false">IF(ISBLANK(E546),"Missing",IF(E546&lt;6,"0-6mo",IF(E546&lt;12,"6-12mo",IF(E546&lt;24,"12-24mo","24mo+"))))</f>
        <v>12-24mo</v>
      </c>
      <c r="T546" s="0" t="n">
        <f aca="false">IF(ISBLANK(C546),0,IF(C546="Month-to-month",2,IF(C546="One year",1,0)))+IF(ISBLANK(I546),0,IF(I546&lt;40,2,IF(I546&lt;55,1,0)))+IF(ISBLANK(M546),0,IF(M546=1,3,0))+IF(ISBLANK(L546),0,IF(L546&gt;=2,1,0))+IF(ISBLANK(E546),0,IF(E546&lt;12,1,0))</f>
        <v>1</v>
      </c>
      <c r="U546" s="0" t="str">
        <f aca="false">IF((ISBLANK(B546)*1+ISBLANK(C546)*1+ISBLANK(D546)*1+ISBLANK(E546)*1+ISBLANK(F546)*1+ISBLANK(I546)*1+ISBLANK(J546)*1+ISBLANK(K546)*1+ISBLANK(L546)*1+ISBLANK(M546)*1+ISBLANK(N546)*1+ISBLANK(O546)*1)&gt;0,"Missing Data","OK")</f>
        <v>OK</v>
      </c>
      <c r="V546" s="0" t="str">
        <f aca="false">IF(T546&gt;=6,"High Risk",IF(T546&gt;=3,"Medium Risk","Low Risk"))</f>
        <v>Low Risk</v>
      </c>
    </row>
    <row r="547" customFormat="false" ht="12.8" hidden="false" customHeight="false" outlineLevel="0" collapsed="false">
      <c r="A547" s="1" t="s">
        <v>577</v>
      </c>
      <c r="B547" s="1" t="s">
        <v>23</v>
      </c>
      <c r="C547" s="1" t="s">
        <v>34</v>
      </c>
      <c r="D547" s="1" t="n">
        <v>19.97</v>
      </c>
      <c r="E547" s="1" t="n">
        <v>22</v>
      </c>
      <c r="F547" s="4" t="n">
        <v>44568</v>
      </c>
      <c r="G547" s="1" t="s">
        <v>25</v>
      </c>
      <c r="H547" s="1" t="n">
        <v>1</v>
      </c>
      <c r="I547" s="1" t="n">
        <v>30.3</v>
      </c>
      <c r="J547" s="1" t="n">
        <v>6</v>
      </c>
      <c r="K547" s="1" t="n">
        <v>2</v>
      </c>
      <c r="L547" s="1" t="n">
        <v>1</v>
      </c>
      <c r="M547" s="1" t="n">
        <v>0</v>
      </c>
      <c r="N547" s="1" t="n">
        <v>439.34</v>
      </c>
      <c r="O547" s="1" t="n">
        <v>1</v>
      </c>
      <c r="P547" s="4" t="n">
        <v>45237</v>
      </c>
      <c r="Q547" s="4" t="n">
        <v>45237</v>
      </c>
      <c r="R547" s="0" t="n">
        <f aca="false">IF(ISBLANK(F547),"Missing",IFERROR(YEAR(F547),"Missing"))</f>
        <v>2022</v>
      </c>
      <c r="S547" s="0" t="str">
        <f aca="false">IF(ISBLANK(E547),"Missing",IF(E547&lt;6,"0-6mo",IF(E547&lt;12,"6-12mo",IF(E547&lt;24,"12-24mo","24mo+"))))</f>
        <v>12-24mo</v>
      </c>
      <c r="T547" s="0" t="n">
        <f aca="false">IF(ISBLANK(C547),0,IF(C547="Month-to-month",2,IF(C547="One year",1,0)))+IF(ISBLANK(I547),0,IF(I547&lt;40,2,IF(I547&lt;55,1,0)))+IF(ISBLANK(M547),0,IF(M547=1,3,0))+IF(ISBLANK(L547),0,IF(L547&gt;=2,1,0))+IF(ISBLANK(E547),0,IF(E547&lt;12,1,0))</f>
        <v>3</v>
      </c>
      <c r="U547" s="0" t="str">
        <f aca="false">IF((ISBLANK(B547)*1+ISBLANK(C547)*1+ISBLANK(D547)*1+ISBLANK(E547)*1+ISBLANK(F547)*1+ISBLANK(I547)*1+ISBLANK(J547)*1+ISBLANK(K547)*1+ISBLANK(L547)*1+ISBLANK(M547)*1+ISBLANK(N547)*1+ISBLANK(O547)*1)&gt;0,"Missing Data","OK")</f>
        <v>OK</v>
      </c>
      <c r="V547" s="0" t="str">
        <f aca="false">IF(T547&gt;=6,"High Risk",IF(T547&gt;=3,"Medium Risk","Low Risk"))</f>
        <v>Medium Risk</v>
      </c>
    </row>
    <row r="548" customFormat="false" ht="12.8" hidden="false" customHeight="false" outlineLevel="0" collapsed="false">
      <c r="A548" s="1" t="s">
        <v>578</v>
      </c>
      <c r="B548" s="1" t="s">
        <v>36</v>
      </c>
      <c r="C548" s="1" t="s">
        <v>51</v>
      </c>
      <c r="D548" s="1" t="n">
        <v>11.4</v>
      </c>
      <c r="E548" s="1" t="n">
        <v>34</v>
      </c>
      <c r="F548" s="4" t="n">
        <v>44572</v>
      </c>
      <c r="G548" s="1" t="s">
        <v>39</v>
      </c>
      <c r="H548" s="1" t="n">
        <v>1</v>
      </c>
      <c r="I548" s="1" t="n">
        <v>38.9</v>
      </c>
      <c r="J548" s="1" t="n">
        <v>13</v>
      </c>
      <c r="K548" s="1" t="n">
        <v>4</v>
      </c>
      <c r="L548" s="1" t="n">
        <v>2</v>
      </c>
      <c r="M548" s="1" t="n">
        <v>0</v>
      </c>
      <c r="N548" s="1" t="n">
        <v>387.6</v>
      </c>
      <c r="O548" s="1" t="n">
        <v>0</v>
      </c>
      <c r="Q548" s="4" t="n">
        <v>45606</v>
      </c>
      <c r="R548" s="0" t="n">
        <f aca="false">IF(ISBLANK(F548),"Missing",IFERROR(YEAR(F548),"Missing"))</f>
        <v>2022</v>
      </c>
      <c r="S548" s="0" t="str">
        <f aca="false">IF(ISBLANK(E548),"Missing",IF(E548&lt;6,"0-6mo",IF(E548&lt;12,"6-12mo",IF(E548&lt;24,"12-24mo","24mo+"))))</f>
        <v>24mo+</v>
      </c>
      <c r="T548" s="0" t="n">
        <f aca="false">IF(ISBLANK(C548),0,IF(C548="Month-to-month",2,IF(C548="One year",1,0)))+IF(ISBLANK(I548),0,IF(I548&lt;40,2,IF(I548&lt;55,1,0)))+IF(ISBLANK(M548),0,IF(M548=1,3,0))+IF(ISBLANK(L548),0,IF(L548&gt;=2,1,0))+IF(ISBLANK(E548),0,IF(E548&lt;12,1,0))</f>
        <v>3</v>
      </c>
      <c r="U548" s="0" t="str">
        <f aca="false">IF((ISBLANK(B548)*1+ISBLANK(C548)*1+ISBLANK(D548)*1+ISBLANK(E548)*1+ISBLANK(F548)*1+ISBLANK(I548)*1+ISBLANK(J548)*1+ISBLANK(K548)*1+ISBLANK(L548)*1+ISBLANK(M548)*1+ISBLANK(N548)*1+ISBLANK(O548)*1)&gt;0,"Missing Data","OK")</f>
        <v>OK</v>
      </c>
      <c r="V548" s="0" t="str">
        <f aca="false">IF(T548&gt;=6,"High Risk",IF(T548&gt;=3,"Medium Risk","Low Risk"))</f>
        <v>Medium Risk</v>
      </c>
    </row>
    <row r="549" customFormat="false" ht="12.8" hidden="false" customHeight="false" outlineLevel="0" collapsed="false">
      <c r="A549" s="1" t="s">
        <v>579</v>
      </c>
      <c r="B549" s="1" t="s">
        <v>29</v>
      </c>
      <c r="C549" s="1" t="s">
        <v>24</v>
      </c>
      <c r="D549" s="1" t="n">
        <v>39.84</v>
      </c>
      <c r="E549" s="1" t="n">
        <v>12</v>
      </c>
      <c r="F549" s="4" t="n">
        <v>44573</v>
      </c>
      <c r="G549" s="1" t="s">
        <v>39</v>
      </c>
      <c r="H549" s="1" t="n">
        <v>0</v>
      </c>
      <c r="I549" s="1" t="n">
        <v>74.4</v>
      </c>
      <c r="J549" s="1" t="n">
        <v>15</v>
      </c>
      <c r="K549" s="1" t="n">
        <v>5</v>
      </c>
      <c r="L549" s="1" t="n">
        <v>2</v>
      </c>
      <c r="M549" s="1" t="n">
        <v>1</v>
      </c>
      <c r="N549" s="1" t="n">
        <v>478.08</v>
      </c>
      <c r="O549" s="1" t="n">
        <v>0</v>
      </c>
      <c r="Q549" s="4" t="n">
        <v>44938</v>
      </c>
      <c r="R549" s="0" t="n">
        <f aca="false">IF(ISBLANK(F549),"Missing",IFERROR(YEAR(F549),"Missing"))</f>
        <v>2022</v>
      </c>
      <c r="S549" s="0" t="str">
        <f aca="false">IF(ISBLANK(E549),"Missing",IF(E549&lt;6,"0-6mo",IF(E549&lt;12,"6-12mo",IF(E549&lt;24,"12-24mo","24mo+"))))</f>
        <v>12-24mo</v>
      </c>
      <c r="T549" s="0" t="n">
        <f aca="false">IF(ISBLANK(C549),0,IF(C549="Month-to-month",2,IF(C549="One year",1,0)))+IF(ISBLANK(I549),0,IF(I549&lt;40,2,IF(I549&lt;55,1,0)))+IF(ISBLANK(M549),0,IF(M549=1,3,0))+IF(ISBLANK(L549),0,IF(L549&gt;=2,1,0))+IF(ISBLANK(E549),0,IF(E549&lt;12,1,0))</f>
        <v>6</v>
      </c>
      <c r="U549" s="0" t="str">
        <f aca="false">IF((ISBLANK(B549)*1+ISBLANK(C549)*1+ISBLANK(D549)*1+ISBLANK(E549)*1+ISBLANK(F549)*1+ISBLANK(I549)*1+ISBLANK(J549)*1+ISBLANK(K549)*1+ISBLANK(L549)*1+ISBLANK(M549)*1+ISBLANK(N549)*1+ISBLANK(O549)*1)&gt;0,"Missing Data","OK")</f>
        <v>OK</v>
      </c>
      <c r="V549" s="0" t="str">
        <f aca="false">IF(T549&gt;=6,"High Risk",IF(T549&gt;=3,"Medium Risk","Low Risk"))</f>
        <v>High Risk</v>
      </c>
    </row>
    <row r="550" customFormat="false" ht="12.8" hidden="false" customHeight="false" outlineLevel="0" collapsed="false">
      <c r="A550" s="1" t="s">
        <v>580</v>
      </c>
      <c r="B550" s="1" t="s">
        <v>36</v>
      </c>
      <c r="C550" s="1" t="s">
        <v>51</v>
      </c>
      <c r="D550" s="1" t="n">
        <v>8.02</v>
      </c>
      <c r="E550" s="1" t="n">
        <v>6</v>
      </c>
      <c r="F550" s="4" t="n">
        <v>44574</v>
      </c>
      <c r="G550" s="1" t="s">
        <v>25</v>
      </c>
      <c r="H550" s="1" t="n">
        <v>1</v>
      </c>
      <c r="I550" s="1" t="n">
        <v>73.1</v>
      </c>
      <c r="J550" s="1" t="n">
        <v>19</v>
      </c>
      <c r="K550" s="1" t="n">
        <v>10</v>
      </c>
      <c r="L550" s="1" t="n">
        <v>3</v>
      </c>
      <c r="M550" s="1" t="n">
        <v>0</v>
      </c>
      <c r="N550" s="1" t="n">
        <v>48.12</v>
      </c>
      <c r="O550" s="1" t="n">
        <v>0</v>
      </c>
      <c r="Q550" s="4" t="n">
        <v>44756</v>
      </c>
      <c r="R550" s="0" t="n">
        <f aca="false">IF(ISBLANK(F550),"Missing",IFERROR(YEAR(F550),"Missing"))</f>
        <v>2022</v>
      </c>
      <c r="S550" s="0" t="str">
        <f aca="false">IF(ISBLANK(E550),"Missing",IF(E550&lt;6,"0-6mo",IF(E550&lt;12,"6-12mo",IF(E550&lt;24,"12-24mo","24mo+"))))</f>
        <v>6-12mo</v>
      </c>
      <c r="T550" s="0" t="n">
        <f aca="false">IF(ISBLANK(C550),0,IF(C550="Month-to-month",2,IF(C550="One year",1,0)))+IF(ISBLANK(I550),0,IF(I550&lt;40,2,IF(I550&lt;55,1,0)))+IF(ISBLANK(M550),0,IF(M550=1,3,0))+IF(ISBLANK(L550),0,IF(L550&gt;=2,1,0))+IF(ISBLANK(E550),0,IF(E550&lt;12,1,0))</f>
        <v>2</v>
      </c>
      <c r="U550" s="0" t="str">
        <f aca="false">IF((ISBLANK(B550)*1+ISBLANK(C550)*1+ISBLANK(D550)*1+ISBLANK(E550)*1+ISBLANK(F550)*1+ISBLANK(I550)*1+ISBLANK(J550)*1+ISBLANK(K550)*1+ISBLANK(L550)*1+ISBLANK(M550)*1+ISBLANK(N550)*1+ISBLANK(O550)*1)&gt;0,"Missing Data","OK")</f>
        <v>OK</v>
      </c>
      <c r="V550" s="0" t="str">
        <f aca="false">IF(T550&gt;=6,"High Risk",IF(T550&gt;=3,"Medium Risk","Low Risk"))</f>
        <v>Low Risk</v>
      </c>
    </row>
    <row r="551" customFormat="false" ht="12.8" hidden="false" customHeight="false" outlineLevel="0" collapsed="false">
      <c r="A551" s="1" t="s">
        <v>581</v>
      </c>
      <c r="B551" s="1" t="s">
        <v>23</v>
      </c>
      <c r="C551" s="1" t="s">
        <v>24</v>
      </c>
      <c r="D551" s="1" t="n">
        <v>20.46</v>
      </c>
      <c r="E551" s="1" t="n">
        <v>6</v>
      </c>
      <c r="F551" s="4" t="n">
        <v>44575</v>
      </c>
      <c r="G551" s="1" t="s">
        <v>25</v>
      </c>
      <c r="H551" s="1" t="n">
        <v>0</v>
      </c>
      <c r="I551" s="1" t="n">
        <v>78.1</v>
      </c>
      <c r="J551" s="1" t="n">
        <v>20</v>
      </c>
      <c r="K551" s="1" t="n">
        <v>7</v>
      </c>
      <c r="L551" s="1" t="n">
        <v>1</v>
      </c>
      <c r="M551" s="1" t="n">
        <v>0</v>
      </c>
      <c r="N551" s="1" t="n">
        <v>122.76</v>
      </c>
      <c r="O551" s="1" t="n">
        <v>0</v>
      </c>
      <c r="Q551" s="4" t="n">
        <v>44757</v>
      </c>
      <c r="R551" s="0" t="n">
        <f aca="false">IF(ISBLANK(F551),"Missing",IFERROR(YEAR(F551),"Missing"))</f>
        <v>2022</v>
      </c>
      <c r="S551" s="0" t="str">
        <f aca="false">IF(ISBLANK(E551),"Missing",IF(E551&lt;6,"0-6mo",IF(E551&lt;12,"6-12mo",IF(E551&lt;24,"12-24mo","24mo+"))))</f>
        <v>6-12mo</v>
      </c>
      <c r="T551" s="0" t="n">
        <f aca="false">IF(ISBLANK(C551),0,IF(C551="Month-to-month",2,IF(C551="One year",1,0)))+IF(ISBLANK(I551),0,IF(I551&lt;40,2,IF(I551&lt;55,1,0)))+IF(ISBLANK(M551),0,IF(M551=1,3,0))+IF(ISBLANK(L551),0,IF(L551&gt;=2,1,0))+IF(ISBLANK(E551),0,IF(E551&lt;12,1,0))</f>
        <v>3</v>
      </c>
      <c r="U551" s="0" t="str">
        <f aca="false">IF((ISBLANK(B551)*1+ISBLANK(C551)*1+ISBLANK(D551)*1+ISBLANK(E551)*1+ISBLANK(F551)*1+ISBLANK(I551)*1+ISBLANK(J551)*1+ISBLANK(K551)*1+ISBLANK(L551)*1+ISBLANK(M551)*1+ISBLANK(N551)*1+ISBLANK(O551)*1)&gt;0,"Missing Data","OK")</f>
        <v>OK</v>
      </c>
      <c r="V551" s="0" t="str">
        <f aca="false">IF(T551&gt;=6,"High Risk",IF(T551&gt;=3,"Medium Risk","Low Risk"))</f>
        <v>Medium Risk</v>
      </c>
    </row>
    <row r="552" customFormat="false" ht="12.8" hidden="false" customHeight="false" outlineLevel="0" collapsed="false">
      <c r="A552" s="1" t="s">
        <v>582</v>
      </c>
      <c r="B552" s="1" t="s">
        <v>23</v>
      </c>
      <c r="C552" s="1" t="s">
        <v>24</v>
      </c>
      <c r="D552" s="1" t="n">
        <v>18.77</v>
      </c>
      <c r="E552" s="1" t="n">
        <v>3</v>
      </c>
      <c r="F552" s="4" t="n">
        <v>44579</v>
      </c>
      <c r="G552" s="1" t="s">
        <v>30</v>
      </c>
      <c r="H552" s="1" t="n">
        <v>1</v>
      </c>
      <c r="I552" s="1" t="n">
        <v>30.8</v>
      </c>
      <c r="J552" s="1" t="n">
        <v>7</v>
      </c>
      <c r="K552" s="1" t="n">
        <v>5</v>
      </c>
      <c r="L552" s="1" t="n">
        <v>0</v>
      </c>
      <c r="M552" s="1" t="n">
        <v>0</v>
      </c>
      <c r="N552" s="1" t="n">
        <v>56.31</v>
      </c>
      <c r="O552" s="1" t="n">
        <v>1</v>
      </c>
      <c r="P552" s="4" t="n">
        <v>44670</v>
      </c>
      <c r="Q552" s="4" t="n">
        <v>44670</v>
      </c>
      <c r="R552" s="0" t="n">
        <f aca="false">IF(ISBLANK(F552),"Missing",IFERROR(YEAR(F552),"Missing"))</f>
        <v>2022</v>
      </c>
      <c r="S552" s="0" t="str">
        <f aca="false">IF(ISBLANK(E552),"Missing",IF(E552&lt;6,"0-6mo",IF(E552&lt;12,"6-12mo",IF(E552&lt;24,"12-24mo","24mo+"))))</f>
        <v>0-6mo</v>
      </c>
      <c r="T552" s="0" t="n">
        <f aca="false">IF(ISBLANK(C552),0,IF(C552="Month-to-month",2,IF(C552="One year",1,0)))+IF(ISBLANK(I552),0,IF(I552&lt;40,2,IF(I552&lt;55,1,0)))+IF(ISBLANK(M552),0,IF(M552=1,3,0))+IF(ISBLANK(L552),0,IF(L552&gt;=2,1,0))+IF(ISBLANK(E552),0,IF(E552&lt;12,1,0))</f>
        <v>5</v>
      </c>
      <c r="U552" s="0" t="str">
        <f aca="false">IF((ISBLANK(B552)*1+ISBLANK(C552)*1+ISBLANK(D552)*1+ISBLANK(E552)*1+ISBLANK(F552)*1+ISBLANK(I552)*1+ISBLANK(J552)*1+ISBLANK(K552)*1+ISBLANK(L552)*1+ISBLANK(M552)*1+ISBLANK(N552)*1+ISBLANK(O552)*1)&gt;0,"Missing Data","OK")</f>
        <v>OK</v>
      </c>
      <c r="V552" s="0" t="str">
        <f aca="false">IF(T552&gt;=6,"High Risk",IF(T552&gt;=3,"Medium Risk","Low Risk"))</f>
        <v>Medium Risk</v>
      </c>
    </row>
    <row r="553" customFormat="false" ht="12.8" hidden="false" customHeight="false" outlineLevel="0" collapsed="false">
      <c r="A553" s="1" t="s">
        <v>583</v>
      </c>
      <c r="B553" s="1" t="s">
        <v>29</v>
      </c>
      <c r="C553" s="1" t="s">
        <v>24</v>
      </c>
      <c r="D553" s="1" t="n">
        <v>40.53</v>
      </c>
      <c r="E553" s="1" t="n">
        <v>2</v>
      </c>
      <c r="F553" s="4" t="n">
        <v>44581</v>
      </c>
      <c r="G553" s="1" t="s">
        <v>39</v>
      </c>
      <c r="H553" s="1" t="n">
        <v>1</v>
      </c>
      <c r="I553" s="1" t="n">
        <v>52.4</v>
      </c>
      <c r="J553" s="1" t="n">
        <v>17</v>
      </c>
      <c r="K553" s="1" t="n">
        <v>5</v>
      </c>
      <c r="L553" s="1" t="n">
        <v>1</v>
      </c>
      <c r="M553" s="1" t="n">
        <v>1</v>
      </c>
      <c r="N553" s="1" t="n">
        <v>81.06</v>
      </c>
      <c r="O553" s="1" t="n">
        <v>1</v>
      </c>
      <c r="P553" s="4" t="n">
        <v>44641</v>
      </c>
      <c r="Q553" s="4" t="n">
        <v>44641</v>
      </c>
      <c r="R553" s="0" t="n">
        <f aca="false">IF(ISBLANK(F553),"Missing",IFERROR(YEAR(F553),"Missing"))</f>
        <v>2022</v>
      </c>
      <c r="S553" s="0" t="str">
        <f aca="false">IF(ISBLANK(E553),"Missing",IF(E553&lt;6,"0-6mo",IF(E553&lt;12,"6-12mo",IF(E553&lt;24,"12-24mo","24mo+"))))</f>
        <v>0-6mo</v>
      </c>
      <c r="T553" s="0" t="n">
        <f aca="false">IF(ISBLANK(C553),0,IF(C553="Month-to-month",2,IF(C553="One year",1,0)))+IF(ISBLANK(I553),0,IF(I553&lt;40,2,IF(I553&lt;55,1,0)))+IF(ISBLANK(M553),0,IF(M553=1,3,0))+IF(ISBLANK(L553),0,IF(L553&gt;=2,1,0))+IF(ISBLANK(E553),0,IF(E553&lt;12,1,0))</f>
        <v>7</v>
      </c>
      <c r="U553" s="0" t="str">
        <f aca="false">IF((ISBLANK(B553)*1+ISBLANK(C553)*1+ISBLANK(D553)*1+ISBLANK(E553)*1+ISBLANK(F553)*1+ISBLANK(I553)*1+ISBLANK(J553)*1+ISBLANK(K553)*1+ISBLANK(L553)*1+ISBLANK(M553)*1+ISBLANK(N553)*1+ISBLANK(O553)*1)&gt;0,"Missing Data","OK")</f>
        <v>OK</v>
      </c>
      <c r="V553" s="0" t="str">
        <f aca="false">IF(T553&gt;=6,"High Risk",IF(T553&gt;=3,"Medium Risk","Low Risk"))</f>
        <v>High Risk</v>
      </c>
    </row>
    <row r="554" customFormat="false" ht="12.8" hidden="false" customHeight="false" outlineLevel="0" collapsed="false">
      <c r="A554" s="1" t="s">
        <v>584</v>
      </c>
      <c r="B554" s="1" t="s">
        <v>23</v>
      </c>
      <c r="C554" s="1" t="s">
        <v>34</v>
      </c>
      <c r="D554" s="1" t="n">
        <v>20.02</v>
      </c>
      <c r="E554" s="1" t="n">
        <v>11</v>
      </c>
      <c r="F554" s="4" t="n">
        <v>44582</v>
      </c>
      <c r="G554" s="1" t="s">
        <v>25</v>
      </c>
      <c r="H554" s="1" t="n">
        <v>0</v>
      </c>
      <c r="I554" s="1" t="n">
        <v>34.2</v>
      </c>
      <c r="J554" s="1" t="n">
        <v>11</v>
      </c>
      <c r="K554" s="1" t="n">
        <v>4</v>
      </c>
      <c r="L554" s="1" t="n">
        <v>1</v>
      </c>
      <c r="M554" s="1" t="n">
        <v>0</v>
      </c>
      <c r="N554" s="1" t="n">
        <v>220.22</v>
      </c>
      <c r="O554" s="1" t="n">
        <v>0</v>
      </c>
      <c r="Q554" s="4" t="n">
        <v>44916</v>
      </c>
      <c r="R554" s="0" t="n">
        <f aca="false">IF(ISBLANK(F554),"Missing",IFERROR(YEAR(F554),"Missing"))</f>
        <v>2022</v>
      </c>
      <c r="S554" s="0" t="str">
        <f aca="false">IF(ISBLANK(E554),"Missing",IF(E554&lt;6,"0-6mo",IF(E554&lt;12,"6-12mo",IF(E554&lt;24,"12-24mo","24mo+"))))</f>
        <v>6-12mo</v>
      </c>
      <c r="T554" s="0" t="n">
        <f aca="false">IF(ISBLANK(C554),0,IF(C554="Month-to-month",2,IF(C554="One year",1,0)))+IF(ISBLANK(I554),0,IF(I554&lt;40,2,IF(I554&lt;55,1,0)))+IF(ISBLANK(M554),0,IF(M554=1,3,0))+IF(ISBLANK(L554),0,IF(L554&gt;=2,1,0))+IF(ISBLANK(E554),0,IF(E554&lt;12,1,0))</f>
        <v>4</v>
      </c>
      <c r="U554" s="0" t="str">
        <f aca="false">IF((ISBLANK(B554)*1+ISBLANK(C554)*1+ISBLANK(D554)*1+ISBLANK(E554)*1+ISBLANK(F554)*1+ISBLANK(I554)*1+ISBLANK(J554)*1+ISBLANK(K554)*1+ISBLANK(L554)*1+ISBLANK(M554)*1+ISBLANK(N554)*1+ISBLANK(O554)*1)&gt;0,"Missing Data","OK")</f>
        <v>OK</v>
      </c>
      <c r="V554" s="0" t="str">
        <f aca="false">IF(T554&gt;=6,"High Risk",IF(T554&gt;=3,"Medium Risk","Low Risk"))</f>
        <v>Medium Risk</v>
      </c>
    </row>
    <row r="555" customFormat="false" ht="12.8" hidden="false" customHeight="false" outlineLevel="0" collapsed="false">
      <c r="A555" s="1" t="s">
        <v>585</v>
      </c>
      <c r="B555" s="1" t="s">
        <v>29</v>
      </c>
      <c r="C555" s="1" t="s">
        <v>24</v>
      </c>
      <c r="D555" s="1" t="n">
        <v>40.66</v>
      </c>
      <c r="E555" s="1" t="n">
        <v>9</v>
      </c>
      <c r="F555" s="4" t="n">
        <v>44583</v>
      </c>
      <c r="G555" s="1" t="s">
        <v>25</v>
      </c>
      <c r="H555" s="1" t="n">
        <v>1</v>
      </c>
      <c r="I555" s="1" t="n">
        <v>70.3</v>
      </c>
      <c r="J555" s="1" t="n">
        <v>26</v>
      </c>
      <c r="K555" s="1" t="n">
        <v>8</v>
      </c>
      <c r="L555" s="1" t="n">
        <v>2</v>
      </c>
      <c r="M555" s="1" t="n">
        <v>1</v>
      </c>
      <c r="N555" s="1" t="n">
        <v>365.94</v>
      </c>
      <c r="O555" s="1" t="n">
        <v>1</v>
      </c>
      <c r="P555" s="4" t="n">
        <v>44856</v>
      </c>
      <c r="Q555" s="4" t="n">
        <v>44856</v>
      </c>
      <c r="R555" s="0" t="n">
        <f aca="false">IF(ISBLANK(F555),"Missing",IFERROR(YEAR(F555),"Missing"))</f>
        <v>2022</v>
      </c>
      <c r="S555" s="0" t="str">
        <f aca="false">IF(ISBLANK(E555),"Missing",IF(E555&lt;6,"0-6mo",IF(E555&lt;12,"6-12mo",IF(E555&lt;24,"12-24mo","24mo+"))))</f>
        <v>6-12mo</v>
      </c>
      <c r="T555" s="0" t="n">
        <f aca="false">IF(ISBLANK(C555),0,IF(C555="Month-to-month",2,IF(C555="One year",1,0)))+IF(ISBLANK(I555),0,IF(I555&lt;40,2,IF(I555&lt;55,1,0)))+IF(ISBLANK(M555),0,IF(M555=1,3,0))+IF(ISBLANK(L555),0,IF(L555&gt;=2,1,0))+IF(ISBLANK(E555),0,IF(E555&lt;12,1,0))</f>
        <v>7</v>
      </c>
      <c r="U555" s="0" t="str">
        <f aca="false">IF((ISBLANK(B555)*1+ISBLANK(C555)*1+ISBLANK(D555)*1+ISBLANK(E555)*1+ISBLANK(F555)*1+ISBLANK(I555)*1+ISBLANK(J555)*1+ISBLANK(K555)*1+ISBLANK(L555)*1+ISBLANK(M555)*1+ISBLANK(N555)*1+ISBLANK(O555)*1)&gt;0,"Missing Data","OK")</f>
        <v>OK</v>
      </c>
      <c r="V555" s="0" t="str">
        <f aca="false">IF(T555&gt;=6,"High Risk",IF(T555&gt;=3,"Medium Risk","Low Risk"))</f>
        <v>High Risk</v>
      </c>
    </row>
    <row r="556" customFormat="false" ht="12.8" hidden="false" customHeight="false" outlineLevel="0" collapsed="false">
      <c r="A556" s="1" t="s">
        <v>586</v>
      </c>
      <c r="B556" s="1" t="s">
        <v>36</v>
      </c>
      <c r="C556" s="1" t="s">
        <v>51</v>
      </c>
      <c r="D556" s="1" t="n">
        <v>8.8</v>
      </c>
      <c r="E556" s="1" t="n">
        <v>36</v>
      </c>
      <c r="F556" s="4" t="n">
        <v>44584</v>
      </c>
      <c r="G556" s="1" t="s">
        <v>25</v>
      </c>
      <c r="H556" s="1" t="n">
        <v>0</v>
      </c>
      <c r="I556" s="1" t="n">
        <v>55.2</v>
      </c>
      <c r="J556" s="1" t="n">
        <v>15</v>
      </c>
      <c r="K556" s="1" t="n">
        <v>5</v>
      </c>
      <c r="L556" s="1" t="n">
        <v>2</v>
      </c>
      <c r="M556" s="1" t="n">
        <v>0</v>
      </c>
      <c r="N556" s="1" t="n">
        <v>316.8</v>
      </c>
      <c r="O556" s="1" t="n">
        <v>0</v>
      </c>
      <c r="Q556" s="4" t="n">
        <v>45679</v>
      </c>
      <c r="R556" s="0" t="n">
        <f aca="false">IF(ISBLANK(F556),"Missing",IFERROR(YEAR(F556),"Missing"))</f>
        <v>2022</v>
      </c>
      <c r="S556" s="0" t="str">
        <f aca="false">IF(ISBLANK(E556),"Missing",IF(E556&lt;6,"0-6mo",IF(E556&lt;12,"6-12mo",IF(E556&lt;24,"12-24mo","24mo+"))))</f>
        <v>24mo+</v>
      </c>
      <c r="T556" s="0" t="n">
        <f aca="false">IF(ISBLANK(C556),0,IF(C556="Month-to-month",2,IF(C556="One year",1,0)))+IF(ISBLANK(I556),0,IF(I556&lt;40,2,IF(I556&lt;55,1,0)))+IF(ISBLANK(M556),0,IF(M556=1,3,0))+IF(ISBLANK(L556),0,IF(L556&gt;=2,1,0))+IF(ISBLANK(E556),0,IF(E556&lt;12,1,0))</f>
        <v>1</v>
      </c>
      <c r="U556" s="0" t="str">
        <f aca="false">IF((ISBLANK(B556)*1+ISBLANK(C556)*1+ISBLANK(D556)*1+ISBLANK(E556)*1+ISBLANK(F556)*1+ISBLANK(I556)*1+ISBLANK(J556)*1+ISBLANK(K556)*1+ISBLANK(L556)*1+ISBLANK(M556)*1+ISBLANK(N556)*1+ISBLANK(O556)*1)&gt;0,"Missing Data","OK")</f>
        <v>OK</v>
      </c>
      <c r="V556" s="0" t="str">
        <f aca="false">IF(T556&gt;=6,"High Risk",IF(T556&gt;=3,"Medium Risk","Low Risk"))</f>
        <v>Low Risk</v>
      </c>
    </row>
    <row r="557" customFormat="false" ht="12.8" hidden="false" customHeight="false" outlineLevel="0" collapsed="false">
      <c r="A557" s="1" t="s">
        <v>587</v>
      </c>
      <c r="B557" s="1" t="s">
        <v>23</v>
      </c>
      <c r="C557" s="1" t="s">
        <v>51</v>
      </c>
      <c r="D557" s="1" t="n">
        <v>19.76</v>
      </c>
      <c r="E557" s="1" t="n">
        <v>2</v>
      </c>
      <c r="F557" s="4" t="n">
        <v>44585</v>
      </c>
      <c r="G557" s="1" t="s">
        <v>39</v>
      </c>
      <c r="H557" s="1" t="n">
        <v>1</v>
      </c>
      <c r="I557" s="1" t="n">
        <v>90.7</v>
      </c>
      <c r="J557" s="1" t="n">
        <v>20</v>
      </c>
      <c r="K557" s="1" t="n">
        <v>7</v>
      </c>
      <c r="L557" s="1" t="n">
        <v>1</v>
      </c>
      <c r="M557" s="1" t="n">
        <v>1</v>
      </c>
      <c r="N557" s="1" t="n">
        <v>39.52</v>
      </c>
      <c r="O557" s="1" t="n">
        <v>0</v>
      </c>
      <c r="Q557" s="4" t="n">
        <v>44645</v>
      </c>
      <c r="R557" s="0" t="n">
        <f aca="false">IF(ISBLANK(F557),"Missing",IFERROR(YEAR(F557),"Missing"))</f>
        <v>2022</v>
      </c>
      <c r="S557" s="0" t="str">
        <f aca="false">IF(ISBLANK(E557),"Missing",IF(E557&lt;6,"0-6mo",IF(E557&lt;12,"6-12mo",IF(E557&lt;24,"12-24mo","24mo+"))))</f>
        <v>0-6mo</v>
      </c>
      <c r="T557" s="0" t="n">
        <f aca="false">IF(ISBLANK(C557),0,IF(C557="Month-to-month",2,IF(C557="One year",1,0)))+IF(ISBLANK(I557),0,IF(I557&lt;40,2,IF(I557&lt;55,1,0)))+IF(ISBLANK(M557),0,IF(M557=1,3,0))+IF(ISBLANK(L557),0,IF(L557&gt;=2,1,0))+IF(ISBLANK(E557),0,IF(E557&lt;12,1,0))</f>
        <v>4</v>
      </c>
      <c r="U557" s="0" t="str">
        <f aca="false">IF((ISBLANK(B557)*1+ISBLANK(C557)*1+ISBLANK(D557)*1+ISBLANK(E557)*1+ISBLANK(F557)*1+ISBLANK(I557)*1+ISBLANK(J557)*1+ISBLANK(K557)*1+ISBLANK(L557)*1+ISBLANK(M557)*1+ISBLANK(N557)*1+ISBLANK(O557)*1)&gt;0,"Missing Data","OK")</f>
        <v>OK</v>
      </c>
      <c r="V557" s="0" t="str">
        <f aca="false">IF(T557&gt;=6,"High Risk",IF(T557&gt;=3,"Medium Risk","Low Risk"))</f>
        <v>Medium Risk</v>
      </c>
    </row>
    <row r="558" customFormat="false" ht="12.8" hidden="false" customHeight="false" outlineLevel="0" collapsed="false">
      <c r="A558" s="1" t="s">
        <v>588</v>
      </c>
      <c r="B558" s="1" t="s">
        <v>23</v>
      </c>
      <c r="C558" s="1" t="s">
        <v>24</v>
      </c>
      <c r="D558" s="1" t="n">
        <v>21.76</v>
      </c>
      <c r="E558" s="1" t="n">
        <v>43</v>
      </c>
      <c r="F558" s="4" t="n">
        <v>44586</v>
      </c>
      <c r="G558" s="1" t="s">
        <v>25</v>
      </c>
      <c r="H558" s="1" t="n">
        <v>1</v>
      </c>
      <c r="I558" s="1" t="n">
        <v>59.9</v>
      </c>
      <c r="J558" s="1" t="n">
        <v>23</v>
      </c>
      <c r="K558" s="1" t="n">
        <v>4</v>
      </c>
      <c r="L558" s="1" t="n">
        <v>6</v>
      </c>
      <c r="M558" s="1" t="n">
        <v>0</v>
      </c>
      <c r="N558" s="1" t="n">
        <v>935.68</v>
      </c>
      <c r="O558" s="1" t="n">
        <v>0</v>
      </c>
      <c r="Q558" s="4" t="n">
        <v>45894</v>
      </c>
      <c r="R558" s="0" t="n">
        <f aca="false">IF(ISBLANK(F558),"Missing",IFERROR(YEAR(F558),"Missing"))</f>
        <v>2022</v>
      </c>
      <c r="S558" s="0" t="str">
        <f aca="false">IF(ISBLANK(E558),"Missing",IF(E558&lt;6,"0-6mo",IF(E558&lt;12,"6-12mo",IF(E558&lt;24,"12-24mo","24mo+"))))</f>
        <v>24mo+</v>
      </c>
      <c r="T558" s="0" t="n">
        <f aca="false">IF(ISBLANK(C558),0,IF(C558="Month-to-month",2,IF(C558="One year",1,0)))+IF(ISBLANK(I558),0,IF(I558&lt;40,2,IF(I558&lt;55,1,0)))+IF(ISBLANK(M558),0,IF(M558=1,3,0))+IF(ISBLANK(L558),0,IF(L558&gt;=2,1,0))+IF(ISBLANK(E558),0,IF(E558&lt;12,1,0))</f>
        <v>3</v>
      </c>
      <c r="U558" s="0" t="str">
        <f aca="false">IF((ISBLANK(B558)*1+ISBLANK(C558)*1+ISBLANK(D558)*1+ISBLANK(E558)*1+ISBLANK(F558)*1+ISBLANK(I558)*1+ISBLANK(J558)*1+ISBLANK(K558)*1+ISBLANK(L558)*1+ISBLANK(M558)*1+ISBLANK(N558)*1+ISBLANK(O558)*1)&gt;0,"Missing Data","OK")</f>
        <v>OK</v>
      </c>
      <c r="V558" s="0" t="str">
        <f aca="false">IF(T558&gt;=6,"High Risk",IF(T558&gt;=3,"Medium Risk","Low Risk"))</f>
        <v>Medium Risk</v>
      </c>
    </row>
    <row r="559" customFormat="false" ht="12.8" hidden="false" customHeight="false" outlineLevel="0" collapsed="false">
      <c r="A559" s="1" t="s">
        <v>589</v>
      </c>
      <c r="B559" s="1" t="s">
        <v>36</v>
      </c>
      <c r="C559" s="1" t="s">
        <v>24</v>
      </c>
      <c r="D559" s="1" t="n">
        <v>9.41</v>
      </c>
      <c r="E559" s="1" t="n">
        <v>59</v>
      </c>
      <c r="F559" s="4" t="n">
        <v>44586</v>
      </c>
      <c r="G559" s="1" t="s">
        <v>25</v>
      </c>
      <c r="H559" s="1" t="n">
        <v>1</v>
      </c>
      <c r="I559" s="1" t="n">
        <v>36.9</v>
      </c>
      <c r="J559" s="1" t="n">
        <v>3</v>
      </c>
      <c r="K559" s="1" t="n">
        <v>4</v>
      </c>
      <c r="L559" s="1" t="n">
        <v>3</v>
      </c>
      <c r="M559" s="1" t="n">
        <v>0</v>
      </c>
      <c r="N559" s="1" t="n">
        <v>555.19</v>
      </c>
      <c r="O559" s="1" t="n">
        <v>1</v>
      </c>
      <c r="P559" s="4" t="n">
        <v>46293</v>
      </c>
      <c r="Q559" s="4" t="n">
        <v>46293</v>
      </c>
      <c r="R559" s="0" t="n">
        <f aca="false">IF(ISBLANK(F559),"Missing",IFERROR(YEAR(F559),"Missing"))</f>
        <v>2022</v>
      </c>
      <c r="S559" s="0" t="str">
        <f aca="false">IF(ISBLANK(E559),"Missing",IF(E559&lt;6,"0-6mo",IF(E559&lt;12,"6-12mo",IF(E559&lt;24,"12-24mo","24mo+"))))</f>
        <v>24mo+</v>
      </c>
      <c r="T559" s="0" t="n">
        <f aca="false">IF(ISBLANK(C559),0,IF(C559="Month-to-month",2,IF(C559="One year",1,0)))+IF(ISBLANK(I559),0,IF(I559&lt;40,2,IF(I559&lt;55,1,0)))+IF(ISBLANK(M559),0,IF(M559=1,3,0))+IF(ISBLANK(L559),0,IF(L559&gt;=2,1,0))+IF(ISBLANK(E559),0,IF(E559&lt;12,1,0))</f>
        <v>5</v>
      </c>
      <c r="U559" s="0" t="str">
        <f aca="false">IF((ISBLANK(B559)*1+ISBLANK(C559)*1+ISBLANK(D559)*1+ISBLANK(E559)*1+ISBLANK(F559)*1+ISBLANK(I559)*1+ISBLANK(J559)*1+ISBLANK(K559)*1+ISBLANK(L559)*1+ISBLANK(M559)*1+ISBLANK(N559)*1+ISBLANK(O559)*1)&gt;0,"Missing Data","OK")</f>
        <v>OK</v>
      </c>
      <c r="V559" s="0" t="str">
        <f aca="false">IF(T559&gt;=6,"High Risk",IF(T559&gt;=3,"Medium Risk","Low Risk"))</f>
        <v>Medium Risk</v>
      </c>
    </row>
    <row r="560" customFormat="false" ht="12.8" hidden="false" customHeight="false" outlineLevel="0" collapsed="false">
      <c r="A560" s="1" t="s">
        <v>590</v>
      </c>
      <c r="B560" s="1" t="s">
        <v>23</v>
      </c>
      <c r="C560" s="1" t="s">
        <v>51</v>
      </c>
      <c r="D560" s="1" t="n">
        <v>21.03</v>
      </c>
      <c r="E560" s="1" t="n">
        <v>6</v>
      </c>
      <c r="F560" s="4" t="n">
        <v>44586</v>
      </c>
      <c r="G560" s="1" t="s">
        <v>25</v>
      </c>
      <c r="H560" s="1" t="n">
        <v>1</v>
      </c>
      <c r="I560" s="1" t="n">
        <v>84.5</v>
      </c>
      <c r="J560" s="1" t="n">
        <v>24</v>
      </c>
      <c r="K560" s="1" t="n">
        <v>9</v>
      </c>
      <c r="L560" s="1" t="n">
        <v>1</v>
      </c>
      <c r="M560" s="1" t="n">
        <v>0</v>
      </c>
      <c r="N560" s="1" t="n">
        <v>126.18</v>
      </c>
      <c r="O560" s="1" t="n">
        <v>0</v>
      </c>
      <c r="Q560" s="4" t="n">
        <v>44768</v>
      </c>
      <c r="R560" s="0" t="n">
        <f aca="false">IF(ISBLANK(F560),"Missing",IFERROR(YEAR(F560),"Missing"))</f>
        <v>2022</v>
      </c>
      <c r="S560" s="0" t="str">
        <f aca="false">IF(ISBLANK(E560),"Missing",IF(E560&lt;6,"0-6mo",IF(E560&lt;12,"6-12mo",IF(E560&lt;24,"12-24mo","24mo+"))))</f>
        <v>6-12mo</v>
      </c>
      <c r="T560" s="0" t="n">
        <f aca="false">IF(ISBLANK(C560),0,IF(C560="Month-to-month",2,IF(C560="One year",1,0)))+IF(ISBLANK(I560),0,IF(I560&lt;40,2,IF(I560&lt;55,1,0)))+IF(ISBLANK(M560),0,IF(M560=1,3,0))+IF(ISBLANK(L560),0,IF(L560&gt;=2,1,0))+IF(ISBLANK(E560),0,IF(E560&lt;12,1,0))</f>
        <v>1</v>
      </c>
      <c r="U560" s="0" t="str">
        <f aca="false">IF((ISBLANK(B560)*1+ISBLANK(C560)*1+ISBLANK(D560)*1+ISBLANK(E560)*1+ISBLANK(F560)*1+ISBLANK(I560)*1+ISBLANK(J560)*1+ISBLANK(K560)*1+ISBLANK(L560)*1+ISBLANK(M560)*1+ISBLANK(N560)*1+ISBLANK(O560)*1)&gt;0,"Missing Data","OK")</f>
        <v>OK</v>
      </c>
      <c r="V560" s="0" t="str">
        <f aca="false">IF(T560&gt;=6,"High Risk",IF(T560&gt;=3,"Medium Risk","Low Risk"))</f>
        <v>Low Risk</v>
      </c>
    </row>
    <row r="561" customFormat="false" ht="12.8" hidden="false" customHeight="false" outlineLevel="0" collapsed="false">
      <c r="A561" s="1" t="s">
        <v>591</v>
      </c>
      <c r="B561" s="1" t="s">
        <v>23</v>
      </c>
      <c r="C561" s="1" t="s">
        <v>24</v>
      </c>
      <c r="D561" s="1" t="n">
        <v>19.89</v>
      </c>
      <c r="E561" s="1" t="n">
        <v>4</v>
      </c>
      <c r="F561" s="4" t="n">
        <v>44587</v>
      </c>
      <c r="G561" s="1" t="s">
        <v>25</v>
      </c>
      <c r="H561" s="1" t="n">
        <v>1</v>
      </c>
      <c r="I561" s="1" t="n">
        <v>31.1</v>
      </c>
      <c r="J561" s="1" t="n">
        <v>14</v>
      </c>
      <c r="K561" s="1" t="n">
        <v>4</v>
      </c>
      <c r="L561" s="1" t="n">
        <v>0</v>
      </c>
      <c r="M561" s="1" t="n">
        <v>0</v>
      </c>
      <c r="N561" s="1" t="n">
        <v>79.56</v>
      </c>
      <c r="O561" s="1" t="n">
        <v>0</v>
      </c>
      <c r="Q561" s="4" t="n">
        <v>44708</v>
      </c>
      <c r="R561" s="0" t="n">
        <f aca="false">IF(ISBLANK(F561),"Missing",IFERROR(YEAR(F561),"Missing"))</f>
        <v>2022</v>
      </c>
      <c r="S561" s="0" t="str">
        <f aca="false">IF(ISBLANK(E561),"Missing",IF(E561&lt;6,"0-6mo",IF(E561&lt;12,"6-12mo",IF(E561&lt;24,"12-24mo","24mo+"))))</f>
        <v>0-6mo</v>
      </c>
      <c r="T561" s="0" t="n">
        <f aca="false">IF(ISBLANK(C561),0,IF(C561="Month-to-month",2,IF(C561="One year",1,0)))+IF(ISBLANK(I561),0,IF(I561&lt;40,2,IF(I561&lt;55,1,0)))+IF(ISBLANK(M561),0,IF(M561=1,3,0))+IF(ISBLANK(L561),0,IF(L561&gt;=2,1,0))+IF(ISBLANK(E561),0,IF(E561&lt;12,1,0))</f>
        <v>5</v>
      </c>
      <c r="U561" s="0" t="str">
        <f aca="false">IF((ISBLANK(B561)*1+ISBLANK(C561)*1+ISBLANK(D561)*1+ISBLANK(E561)*1+ISBLANK(F561)*1+ISBLANK(I561)*1+ISBLANK(J561)*1+ISBLANK(K561)*1+ISBLANK(L561)*1+ISBLANK(M561)*1+ISBLANK(N561)*1+ISBLANK(O561)*1)&gt;0,"Missing Data","OK")</f>
        <v>OK</v>
      </c>
      <c r="V561" s="0" t="str">
        <f aca="false">IF(T561&gt;=6,"High Risk",IF(T561&gt;=3,"Medium Risk","Low Risk"))</f>
        <v>Medium Risk</v>
      </c>
    </row>
    <row r="562" customFormat="false" ht="12.8" hidden="false" customHeight="false" outlineLevel="0" collapsed="false">
      <c r="A562" s="1" t="s">
        <v>592</v>
      </c>
      <c r="B562" s="1" t="s">
        <v>29</v>
      </c>
      <c r="C562" s="1" t="s">
        <v>24</v>
      </c>
      <c r="D562" s="1" t="n">
        <v>40.36</v>
      </c>
      <c r="E562" s="1" t="n">
        <v>19</v>
      </c>
      <c r="F562" s="4" t="n">
        <v>44590</v>
      </c>
      <c r="G562" s="1" t="s">
        <v>27</v>
      </c>
      <c r="H562" s="1" t="n">
        <v>1</v>
      </c>
      <c r="I562" s="1" t="n">
        <v>88</v>
      </c>
      <c r="J562" s="1" t="n">
        <v>23</v>
      </c>
      <c r="K562" s="1" t="n">
        <v>10</v>
      </c>
      <c r="L562" s="1" t="n">
        <v>1</v>
      </c>
      <c r="M562" s="1" t="n">
        <v>1</v>
      </c>
      <c r="N562" s="1" t="n">
        <v>766.84</v>
      </c>
      <c r="O562" s="1" t="n">
        <v>0</v>
      </c>
      <c r="Q562" s="4" t="n">
        <v>45168</v>
      </c>
      <c r="R562" s="0" t="n">
        <f aca="false">IF(ISBLANK(F562),"Missing",IFERROR(YEAR(F562),"Missing"))</f>
        <v>2022</v>
      </c>
      <c r="S562" s="0" t="str">
        <f aca="false">IF(ISBLANK(E562),"Missing",IF(E562&lt;6,"0-6mo",IF(E562&lt;12,"6-12mo",IF(E562&lt;24,"12-24mo","24mo+"))))</f>
        <v>12-24mo</v>
      </c>
      <c r="T562" s="0" t="n">
        <f aca="false">IF(ISBLANK(C562),0,IF(C562="Month-to-month",2,IF(C562="One year",1,0)))+IF(ISBLANK(I562),0,IF(I562&lt;40,2,IF(I562&lt;55,1,0)))+IF(ISBLANK(M562),0,IF(M562=1,3,0))+IF(ISBLANK(L562),0,IF(L562&gt;=2,1,0))+IF(ISBLANK(E562),0,IF(E562&lt;12,1,0))</f>
        <v>5</v>
      </c>
      <c r="U562" s="0" t="str">
        <f aca="false">IF((ISBLANK(B562)*1+ISBLANK(C562)*1+ISBLANK(D562)*1+ISBLANK(E562)*1+ISBLANK(F562)*1+ISBLANK(I562)*1+ISBLANK(J562)*1+ISBLANK(K562)*1+ISBLANK(L562)*1+ISBLANK(M562)*1+ISBLANK(N562)*1+ISBLANK(O562)*1)&gt;0,"Missing Data","OK")</f>
        <v>OK</v>
      </c>
      <c r="V562" s="0" t="str">
        <f aca="false">IF(T562&gt;=6,"High Risk",IF(T562&gt;=3,"Medium Risk","Low Risk"))</f>
        <v>Medium Risk</v>
      </c>
    </row>
    <row r="563" customFormat="false" ht="12.8" hidden="false" customHeight="false" outlineLevel="0" collapsed="false">
      <c r="A563" s="1" t="s">
        <v>593</v>
      </c>
      <c r="B563" s="1" t="s">
        <v>23</v>
      </c>
      <c r="C563" s="1" t="s">
        <v>24</v>
      </c>
      <c r="D563" s="1" t="n">
        <v>20.22</v>
      </c>
      <c r="E563" s="1" t="n">
        <v>17</v>
      </c>
      <c r="F563" s="4" t="n">
        <v>44592</v>
      </c>
      <c r="G563" s="1" t="s">
        <v>30</v>
      </c>
      <c r="H563" s="1" t="n">
        <v>0</v>
      </c>
      <c r="I563" s="1" t="n">
        <v>44.9</v>
      </c>
      <c r="J563" s="1" t="n">
        <v>7</v>
      </c>
      <c r="K563" s="1" t="n">
        <v>4</v>
      </c>
      <c r="L563" s="1" t="n">
        <v>2</v>
      </c>
      <c r="M563" s="1" t="n">
        <v>0</v>
      </c>
      <c r="N563" s="1" t="n">
        <v>343.74</v>
      </c>
      <c r="O563" s="1" t="n">
        <v>0</v>
      </c>
      <c r="Q563" s="4" t="n">
        <v>45109</v>
      </c>
      <c r="R563" s="0" t="n">
        <f aca="false">IF(ISBLANK(F563),"Missing",IFERROR(YEAR(F563),"Missing"))</f>
        <v>2022</v>
      </c>
      <c r="S563" s="0" t="str">
        <f aca="false">IF(ISBLANK(E563),"Missing",IF(E563&lt;6,"0-6mo",IF(E563&lt;12,"6-12mo",IF(E563&lt;24,"12-24mo","24mo+"))))</f>
        <v>12-24mo</v>
      </c>
      <c r="T563" s="0" t="n">
        <f aca="false">IF(ISBLANK(C563),0,IF(C563="Month-to-month",2,IF(C563="One year",1,0)))+IF(ISBLANK(I563),0,IF(I563&lt;40,2,IF(I563&lt;55,1,0)))+IF(ISBLANK(M563),0,IF(M563=1,3,0))+IF(ISBLANK(L563),0,IF(L563&gt;=2,1,0))+IF(ISBLANK(E563),0,IF(E563&lt;12,1,0))</f>
        <v>4</v>
      </c>
      <c r="U563" s="0" t="str">
        <f aca="false">IF((ISBLANK(B563)*1+ISBLANK(C563)*1+ISBLANK(D563)*1+ISBLANK(E563)*1+ISBLANK(F563)*1+ISBLANK(I563)*1+ISBLANK(J563)*1+ISBLANK(K563)*1+ISBLANK(L563)*1+ISBLANK(M563)*1+ISBLANK(N563)*1+ISBLANK(O563)*1)&gt;0,"Missing Data","OK")</f>
        <v>OK</v>
      </c>
      <c r="V563" s="0" t="str">
        <f aca="false">IF(T563&gt;=6,"High Risk",IF(T563&gt;=3,"Medium Risk","Low Risk"))</f>
        <v>Medium Risk</v>
      </c>
    </row>
    <row r="564" customFormat="false" ht="12.8" hidden="false" customHeight="false" outlineLevel="0" collapsed="false">
      <c r="A564" s="1" t="s">
        <v>594</v>
      </c>
      <c r="B564" s="1" t="s">
        <v>29</v>
      </c>
      <c r="C564" s="1" t="s">
        <v>34</v>
      </c>
      <c r="D564" s="1" t="n">
        <v>40.64</v>
      </c>
      <c r="E564" s="1" t="n">
        <v>17</v>
      </c>
      <c r="F564" s="4" t="n">
        <v>44592</v>
      </c>
      <c r="G564" s="1" t="s">
        <v>25</v>
      </c>
      <c r="H564" s="1" t="n">
        <v>1</v>
      </c>
      <c r="I564" s="1" t="n">
        <v>42.3</v>
      </c>
      <c r="J564" s="1" t="n">
        <v>14</v>
      </c>
      <c r="K564" s="1" t="n">
        <v>4</v>
      </c>
      <c r="L564" s="1" t="n">
        <v>1</v>
      </c>
      <c r="M564" s="1" t="n">
        <v>0</v>
      </c>
      <c r="N564" s="1" t="n">
        <v>690.88</v>
      </c>
      <c r="O564" s="1" t="n">
        <v>0</v>
      </c>
      <c r="Q564" s="4" t="n">
        <v>45109</v>
      </c>
      <c r="R564" s="0" t="n">
        <f aca="false">IF(ISBLANK(F564),"Missing",IFERROR(YEAR(F564),"Missing"))</f>
        <v>2022</v>
      </c>
      <c r="S564" s="0" t="str">
        <f aca="false">IF(ISBLANK(E564),"Missing",IF(E564&lt;6,"0-6mo",IF(E564&lt;12,"6-12mo",IF(E564&lt;24,"12-24mo","24mo+"))))</f>
        <v>12-24mo</v>
      </c>
      <c r="T564" s="0" t="n">
        <f aca="false">IF(ISBLANK(C564),0,IF(C564="Month-to-month",2,IF(C564="One year",1,0)))+IF(ISBLANK(I564),0,IF(I564&lt;40,2,IF(I564&lt;55,1,0)))+IF(ISBLANK(M564),0,IF(M564=1,3,0))+IF(ISBLANK(L564),0,IF(L564&gt;=2,1,0))+IF(ISBLANK(E564),0,IF(E564&lt;12,1,0))</f>
        <v>2</v>
      </c>
      <c r="U564" s="0" t="str">
        <f aca="false">IF((ISBLANK(B564)*1+ISBLANK(C564)*1+ISBLANK(D564)*1+ISBLANK(E564)*1+ISBLANK(F564)*1+ISBLANK(I564)*1+ISBLANK(J564)*1+ISBLANK(K564)*1+ISBLANK(L564)*1+ISBLANK(M564)*1+ISBLANK(N564)*1+ISBLANK(O564)*1)&gt;0,"Missing Data","OK")</f>
        <v>OK</v>
      </c>
      <c r="V564" s="0" t="str">
        <f aca="false">IF(T564&gt;=6,"High Risk",IF(T564&gt;=3,"Medium Risk","Low Risk"))</f>
        <v>Low Risk</v>
      </c>
    </row>
    <row r="565" customFormat="false" ht="12.8" hidden="false" customHeight="false" outlineLevel="0" collapsed="false">
      <c r="A565" s="1" t="s">
        <v>595</v>
      </c>
      <c r="B565" s="1" t="s">
        <v>23</v>
      </c>
      <c r="C565" s="1" t="s">
        <v>24</v>
      </c>
      <c r="D565" s="1" t="n">
        <v>20.59</v>
      </c>
      <c r="E565" s="1" t="n">
        <v>1</v>
      </c>
      <c r="F565" s="4" t="n">
        <v>44594</v>
      </c>
      <c r="G565" s="1" t="s">
        <v>27</v>
      </c>
      <c r="H565" s="1" t="n">
        <v>1</v>
      </c>
      <c r="I565" s="1" t="n">
        <v>40.2</v>
      </c>
      <c r="J565" s="1" t="n">
        <v>8</v>
      </c>
      <c r="K565" s="1" t="n">
        <v>3</v>
      </c>
      <c r="L565" s="1" t="n">
        <v>1</v>
      </c>
      <c r="M565" s="1" t="n">
        <v>1</v>
      </c>
      <c r="N565" s="1" t="n">
        <v>20.59</v>
      </c>
      <c r="O565" s="1" t="n">
        <v>1</v>
      </c>
      <c r="P565" s="4" t="n">
        <v>44624</v>
      </c>
      <c r="Q565" s="4" t="n">
        <v>44624</v>
      </c>
      <c r="R565" s="0" t="n">
        <f aca="false">IF(ISBLANK(F565),"Missing",IFERROR(YEAR(F565),"Missing"))</f>
        <v>2022</v>
      </c>
      <c r="S565" s="0" t="str">
        <f aca="false">IF(ISBLANK(E565),"Missing",IF(E565&lt;6,"0-6mo",IF(E565&lt;12,"6-12mo",IF(E565&lt;24,"12-24mo","24mo+"))))</f>
        <v>0-6mo</v>
      </c>
      <c r="T565" s="0" t="n">
        <f aca="false">IF(ISBLANK(C565),0,IF(C565="Month-to-month",2,IF(C565="One year",1,0)))+IF(ISBLANK(I565),0,IF(I565&lt;40,2,IF(I565&lt;55,1,0)))+IF(ISBLANK(M565),0,IF(M565=1,3,0))+IF(ISBLANK(L565),0,IF(L565&gt;=2,1,0))+IF(ISBLANK(E565),0,IF(E565&lt;12,1,0))</f>
        <v>7</v>
      </c>
      <c r="U565" s="0" t="str">
        <f aca="false">IF((ISBLANK(B565)*1+ISBLANK(C565)*1+ISBLANK(D565)*1+ISBLANK(E565)*1+ISBLANK(F565)*1+ISBLANK(I565)*1+ISBLANK(J565)*1+ISBLANK(K565)*1+ISBLANK(L565)*1+ISBLANK(M565)*1+ISBLANK(N565)*1+ISBLANK(O565)*1)&gt;0,"Missing Data","OK")</f>
        <v>OK</v>
      </c>
      <c r="V565" s="0" t="str">
        <f aca="false">IF(T565&gt;=6,"High Risk",IF(T565&gt;=3,"Medium Risk","Low Risk"))</f>
        <v>High Risk</v>
      </c>
    </row>
    <row r="566" customFormat="false" ht="12.8" hidden="false" customHeight="false" outlineLevel="0" collapsed="false">
      <c r="A566" s="1" t="s">
        <v>596</v>
      </c>
      <c r="B566" s="1" t="s">
        <v>36</v>
      </c>
      <c r="C566" s="1" t="s">
        <v>51</v>
      </c>
      <c r="D566" s="1" t="n">
        <v>9.62</v>
      </c>
      <c r="E566" s="1" t="n">
        <v>9</v>
      </c>
      <c r="F566" s="4" t="n">
        <v>44596</v>
      </c>
      <c r="G566" s="1" t="s">
        <v>25</v>
      </c>
      <c r="H566" s="1" t="n">
        <v>1</v>
      </c>
      <c r="I566" s="1" t="n">
        <v>83.6</v>
      </c>
      <c r="J566" s="1" t="n">
        <v>28</v>
      </c>
      <c r="K566" s="1" t="n">
        <v>9</v>
      </c>
      <c r="L566" s="1" t="n">
        <v>1</v>
      </c>
      <c r="M566" s="1" t="n">
        <v>0</v>
      </c>
      <c r="N566" s="1" t="n">
        <v>86.58</v>
      </c>
      <c r="O566" s="1" t="n">
        <v>0</v>
      </c>
      <c r="Q566" s="4" t="n">
        <v>44869</v>
      </c>
      <c r="R566" s="0" t="n">
        <f aca="false">IF(ISBLANK(F566),"Missing",IFERROR(YEAR(F566),"Missing"))</f>
        <v>2022</v>
      </c>
      <c r="S566" s="0" t="str">
        <f aca="false">IF(ISBLANK(E566),"Missing",IF(E566&lt;6,"0-6mo",IF(E566&lt;12,"6-12mo",IF(E566&lt;24,"12-24mo","24mo+"))))</f>
        <v>6-12mo</v>
      </c>
      <c r="T566" s="0" t="n">
        <f aca="false">IF(ISBLANK(C566),0,IF(C566="Month-to-month",2,IF(C566="One year",1,0)))+IF(ISBLANK(I566),0,IF(I566&lt;40,2,IF(I566&lt;55,1,0)))+IF(ISBLANK(M566),0,IF(M566=1,3,0))+IF(ISBLANK(L566),0,IF(L566&gt;=2,1,0))+IF(ISBLANK(E566),0,IF(E566&lt;12,1,0))</f>
        <v>1</v>
      </c>
      <c r="U566" s="0" t="str">
        <f aca="false">IF((ISBLANK(B566)*1+ISBLANK(C566)*1+ISBLANK(D566)*1+ISBLANK(E566)*1+ISBLANK(F566)*1+ISBLANK(I566)*1+ISBLANK(J566)*1+ISBLANK(K566)*1+ISBLANK(L566)*1+ISBLANK(M566)*1+ISBLANK(N566)*1+ISBLANK(O566)*1)&gt;0,"Missing Data","OK")</f>
        <v>OK</v>
      </c>
      <c r="V566" s="0" t="str">
        <f aca="false">IF(T566&gt;=6,"High Risk",IF(T566&gt;=3,"Medium Risk","Low Risk"))</f>
        <v>Low Risk</v>
      </c>
    </row>
    <row r="567" customFormat="false" ht="12.8" hidden="false" customHeight="false" outlineLevel="0" collapsed="false">
      <c r="A567" s="1" t="s">
        <v>597</v>
      </c>
      <c r="B567" s="1" t="s">
        <v>36</v>
      </c>
      <c r="C567" s="1" t="s">
        <v>24</v>
      </c>
      <c r="D567" s="1" t="n">
        <v>10.19</v>
      </c>
      <c r="E567" s="1" t="n">
        <v>5</v>
      </c>
      <c r="F567" s="4" t="n">
        <v>44596</v>
      </c>
      <c r="G567" s="1" t="s">
        <v>39</v>
      </c>
      <c r="H567" s="1" t="n">
        <v>1</v>
      </c>
      <c r="I567" s="1" t="n">
        <v>36</v>
      </c>
      <c r="J567" s="1" t="n">
        <v>10</v>
      </c>
      <c r="K567" s="1" t="n">
        <v>4</v>
      </c>
      <c r="L567" s="1" t="n">
        <v>4</v>
      </c>
      <c r="M567" s="1" t="n">
        <v>0</v>
      </c>
      <c r="N567" s="1" t="n">
        <v>50.95</v>
      </c>
      <c r="O567" s="1" t="n">
        <v>1</v>
      </c>
      <c r="P567" s="4" t="n">
        <v>44748</v>
      </c>
      <c r="Q567" s="4" t="n">
        <v>44748</v>
      </c>
      <c r="R567" s="0" t="n">
        <f aca="false">IF(ISBLANK(F567),"Missing",IFERROR(YEAR(F567),"Missing"))</f>
        <v>2022</v>
      </c>
      <c r="S567" s="0" t="str">
        <f aca="false">IF(ISBLANK(E567),"Missing",IF(E567&lt;6,"0-6mo",IF(E567&lt;12,"6-12mo",IF(E567&lt;24,"12-24mo","24mo+"))))</f>
        <v>0-6mo</v>
      </c>
      <c r="T567" s="0" t="n">
        <f aca="false">IF(ISBLANK(C567),0,IF(C567="Month-to-month",2,IF(C567="One year",1,0)))+IF(ISBLANK(I567),0,IF(I567&lt;40,2,IF(I567&lt;55,1,0)))+IF(ISBLANK(M567),0,IF(M567=1,3,0))+IF(ISBLANK(L567),0,IF(L567&gt;=2,1,0))+IF(ISBLANK(E567),0,IF(E567&lt;12,1,0))</f>
        <v>6</v>
      </c>
      <c r="U567" s="0" t="str">
        <f aca="false">IF((ISBLANK(B567)*1+ISBLANK(C567)*1+ISBLANK(D567)*1+ISBLANK(E567)*1+ISBLANK(F567)*1+ISBLANK(I567)*1+ISBLANK(J567)*1+ISBLANK(K567)*1+ISBLANK(L567)*1+ISBLANK(M567)*1+ISBLANK(N567)*1+ISBLANK(O567)*1)&gt;0,"Missing Data","OK")</f>
        <v>OK</v>
      </c>
      <c r="V567" s="0" t="str">
        <f aca="false">IF(T567&gt;=6,"High Risk",IF(T567&gt;=3,"Medium Risk","Low Risk"))</f>
        <v>High Risk</v>
      </c>
    </row>
    <row r="568" customFormat="false" ht="12.8" hidden="false" customHeight="false" outlineLevel="0" collapsed="false">
      <c r="A568" s="1" t="s">
        <v>598</v>
      </c>
      <c r="B568" s="1" t="s">
        <v>23</v>
      </c>
      <c r="C568" s="1" t="s">
        <v>24</v>
      </c>
      <c r="D568" s="1" t="n">
        <v>21.73</v>
      </c>
      <c r="E568" s="1" t="n">
        <v>15</v>
      </c>
      <c r="F568" s="4" t="n">
        <v>44597</v>
      </c>
      <c r="G568" s="1" t="s">
        <v>25</v>
      </c>
      <c r="H568" s="1" t="n">
        <v>0</v>
      </c>
      <c r="I568" s="1" t="n">
        <v>100</v>
      </c>
      <c r="J568" s="1" t="n">
        <v>28</v>
      </c>
      <c r="K568" s="1" t="n">
        <v>9</v>
      </c>
      <c r="L568" s="1" t="n">
        <v>3</v>
      </c>
      <c r="M568" s="1" t="n">
        <v>1</v>
      </c>
      <c r="N568" s="1" t="n">
        <v>325.95</v>
      </c>
      <c r="O568" s="1" t="n">
        <v>0</v>
      </c>
      <c r="Q568" s="4" t="n">
        <v>45053</v>
      </c>
      <c r="R568" s="0" t="n">
        <f aca="false">IF(ISBLANK(F568),"Missing",IFERROR(YEAR(F568),"Missing"))</f>
        <v>2022</v>
      </c>
      <c r="S568" s="0" t="str">
        <f aca="false">IF(ISBLANK(E568),"Missing",IF(E568&lt;6,"0-6mo",IF(E568&lt;12,"6-12mo",IF(E568&lt;24,"12-24mo","24mo+"))))</f>
        <v>12-24mo</v>
      </c>
      <c r="T568" s="0" t="n">
        <f aca="false">IF(ISBLANK(C568),0,IF(C568="Month-to-month",2,IF(C568="One year",1,0)))+IF(ISBLANK(I568),0,IF(I568&lt;40,2,IF(I568&lt;55,1,0)))+IF(ISBLANK(M568),0,IF(M568=1,3,0))+IF(ISBLANK(L568),0,IF(L568&gt;=2,1,0))+IF(ISBLANK(E568),0,IF(E568&lt;12,1,0))</f>
        <v>6</v>
      </c>
      <c r="U568" s="0" t="str">
        <f aca="false">IF((ISBLANK(B568)*1+ISBLANK(C568)*1+ISBLANK(D568)*1+ISBLANK(E568)*1+ISBLANK(F568)*1+ISBLANK(I568)*1+ISBLANK(J568)*1+ISBLANK(K568)*1+ISBLANK(L568)*1+ISBLANK(M568)*1+ISBLANK(N568)*1+ISBLANK(O568)*1)&gt;0,"Missing Data","OK")</f>
        <v>OK</v>
      </c>
      <c r="V568" s="0" t="str">
        <f aca="false">IF(T568&gt;=6,"High Risk",IF(T568&gt;=3,"Medium Risk","Low Risk"))</f>
        <v>High Risk</v>
      </c>
    </row>
    <row r="569" customFormat="false" ht="12.8" hidden="false" customHeight="false" outlineLevel="0" collapsed="false">
      <c r="A569" s="1" t="s">
        <v>599</v>
      </c>
      <c r="B569" s="1" t="s">
        <v>36</v>
      </c>
      <c r="C569" s="1" t="s">
        <v>24</v>
      </c>
      <c r="D569" s="1" t="n">
        <v>11.23</v>
      </c>
      <c r="E569" s="1" t="n">
        <v>3</v>
      </c>
      <c r="F569" s="4" t="n">
        <v>44599</v>
      </c>
      <c r="G569" s="1" t="s">
        <v>25</v>
      </c>
      <c r="H569" s="1" t="n">
        <v>1</v>
      </c>
      <c r="I569" s="1" t="n">
        <v>58.3</v>
      </c>
      <c r="J569" s="1" t="n">
        <v>20</v>
      </c>
      <c r="K569" s="1" t="n">
        <v>9</v>
      </c>
      <c r="L569" s="1" t="n">
        <v>0</v>
      </c>
      <c r="M569" s="1" t="n">
        <v>0</v>
      </c>
      <c r="N569" s="1" t="n">
        <v>33.69</v>
      </c>
      <c r="O569" s="1" t="n">
        <v>0</v>
      </c>
      <c r="Q569" s="4" t="n">
        <v>44690</v>
      </c>
      <c r="R569" s="0" t="n">
        <f aca="false">IF(ISBLANK(F569),"Missing",IFERROR(YEAR(F569),"Missing"))</f>
        <v>2022</v>
      </c>
      <c r="S569" s="0" t="str">
        <f aca="false">IF(ISBLANK(E569),"Missing",IF(E569&lt;6,"0-6mo",IF(E569&lt;12,"6-12mo",IF(E569&lt;24,"12-24mo","24mo+"))))</f>
        <v>0-6mo</v>
      </c>
      <c r="T569" s="0" t="n">
        <f aca="false">IF(ISBLANK(C569),0,IF(C569="Month-to-month",2,IF(C569="One year",1,0)))+IF(ISBLANK(I569),0,IF(I569&lt;40,2,IF(I569&lt;55,1,0)))+IF(ISBLANK(M569),0,IF(M569=1,3,0))+IF(ISBLANK(L569),0,IF(L569&gt;=2,1,0))+IF(ISBLANK(E569),0,IF(E569&lt;12,1,0))</f>
        <v>3</v>
      </c>
      <c r="U569" s="0" t="str">
        <f aca="false">IF((ISBLANK(B569)*1+ISBLANK(C569)*1+ISBLANK(D569)*1+ISBLANK(E569)*1+ISBLANK(F569)*1+ISBLANK(I569)*1+ISBLANK(J569)*1+ISBLANK(K569)*1+ISBLANK(L569)*1+ISBLANK(M569)*1+ISBLANK(N569)*1+ISBLANK(O569)*1)&gt;0,"Missing Data","OK")</f>
        <v>OK</v>
      </c>
      <c r="V569" s="0" t="str">
        <f aca="false">IF(T569&gt;=6,"High Risk",IF(T569&gt;=3,"Medium Risk","Low Risk"))</f>
        <v>Medium Risk</v>
      </c>
    </row>
    <row r="570" customFormat="false" ht="12.8" hidden="false" customHeight="false" outlineLevel="0" collapsed="false">
      <c r="A570" s="1" t="s">
        <v>600</v>
      </c>
      <c r="B570" s="1" t="s">
        <v>23</v>
      </c>
      <c r="C570" s="1" t="s">
        <v>24</v>
      </c>
      <c r="D570" s="1" t="n">
        <v>20.42</v>
      </c>
      <c r="E570" s="1" t="n">
        <v>8</v>
      </c>
      <c r="F570" s="4" t="n">
        <v>44599</v>
      </c>
      <c r="G570" s="1" t="s">
        <v>39</v>
      </c>
      <c r="H570" s="1" t="n">
        <v>0</v>
      </c>
      <c r="I570" s="1" t="n">
        <v>61.5</v>
      </c>
      <c r="J570" s="1" t="n">
        <v>17</v>
      </c>
      <c r="K570" s="1" t="n">
        <v>6</v>
      </c>
      <c r="L570" s="1" t="n">
        <v>0</v>
      </c>
      <c r="M570" s="1" t="n">
        <v>0</v>
      </c>
      <c r="N570" s="1" t="n">
        <v>163.36</v>
      </c>
      <c r="O570" s="1" t="n">
        <v>0</v>
      </c>
      <c r="Q570" s="4" t="n">
        <v>44842</v>
      </c>
      <c r="R570" s="0" t="n">
        <f aca="false">IF(ISBLANK(F570),"Missing",IFERROR(YEAR(F570),"Missing"))</f>
        <v>2022</v>
      </c>
      <c r="S570" s="0" t="str">
        <f aca="false">IF(ISBLANK(E570),"Missing",IF(E570&lt;6,"0-6mo",IF(E570&lt;12,"6-12mo",IF(E570&lt;24,"12-24mo","24mo+"))))</f>
        <v>6-12mo</v>
      </c>
      <c r="T570" s="0" t="n">
        <f aca="false">IF(ISBLANK(C570),0,IF(C570="Month-to-month",2,IF(C570="One year",1,0)))+IF(ISBLANK(I570),0,IF(I570&lt;40,2,IF(I570&lt;55,1,0)))+IF(ISBLANK(M570),0,IF(M570=1,3,0))+IF(ISBLANK(L570),0,IF(L570&gt;=2,1,0))+IF(ISBLANK(E570),0,IF(E570&lt;12,1,0))</f>
        <v>3</v>
      </c>
      <c r="U570" s="0" t="str">
        <f aca="false">IF((ISBLANK(B570)*1+ISBLANK(C570)*1+ISBLANK(D570)*1+ISBLANK(E570)*1+ISBLANK(F570)*1+ISBLANK(I570)*1+ISBLANK(J570)*1+ISBLANK(K570)*1+ISBLANK(L570)*1+ISBLANK(M570)*1+ISBLANK(N570)*1+ISBLANK(O570)*1)&gt;0,"Missing Data","OK")</f>
        <v>OK</v>
      </c>
      <c r="V570" s="0" t="str">
        <f aca="false">IF(T570&gt;=6,"High Risk",IF(T570&gt;=3,"Medium Risk","Low Risk"))</f>
        <v>Medium Risk</v>
      </c>
    </row>
    <row r="571" customFormat="false" ht="12.8" hidden="false" customHeight="false" outlineLevel="0" collapsed="false">
      <c r="A571" s="1" t="s">
        <v>601</v>
      </c>
      <c r="B571" s="1" t="s">
        <v>36</v>
      </c>
      <c r="C571" s="1" t="s">
        <v>34</v>
      </c>
      <c r="D571" s="1" t="n">
        <v>11.62</v>
      </c>
      <c r="E571" s="1" t="n">
        <v>62</v>
      </c>
      <c r="F571" s="4" t="n">
        <v>44600</v>
      </c>
      <c r="G571" s="1" t="s">
        <v>39</v>
      </c>
      <c r="H571" s="1" t="n">
        <v>0</v>
      </c>
      <c r="I571" s="1" t="n">
        <v>56.1</v>
      </c>
      <c r="J571" s="1" t="n">
        <v>13</v>
      </c>
      <c r="K571" s="1" t="n">
        <v>5</v>
      </c>
      <c r="L571" s="1" t="n">
        <v>0</v>
      </c>
      <c r="M571" s="1" t="n">
        <v>0</v>
      </c>
      <c r="N571" s="1" t="n">
        <v>720.44</v>
      </c>
      <c r="O571" s="1" t="n">
        <v>0</v>
      </c>
      <c r="Q571" s="4" t="n">
        <v>46293</v>
      </c>
      <c r="R571" s="0" t="n">
        <f aca="false">IF(ISBLANK(F571),"Missing",IFERROR(YEAR(F571),"Missing"))</f>
        <v>2022</v>
      </c>
      <c r="S571" s="0" t="str">
        <f aca="false">IF(ISBLANK(E571),"Missing",IF(E571&lt;6,"0-6mo",IF(E571&lt;12,"6-12mo",IF(E571&lt;24,"12-24mo","24mo+"))))</f>
        <v>24mo+</v>
      </c>
      <c r="T571" s="0" t="n">
        <f aca="false">IF(ISBLANK(C571),0,IF(C571="Month-to-month",2,IF(C571="One year",1,0)))+IF(ISBLANK(I571),0,IF(I571&lt;40,2,IF(I571&lt;55,1,0)))+IF(ISBLANK(M571),0,IF(M571=1,3,0))+IF(ISBLANK(L571),0,IF(L571&gt;=2,1,0))+IF(ISBLANK(E571),0,IF(E571&lt;12,1,0))</f>
        <v>1</v>
      </c>
      <c r="U571" s="0" t="str">
        <f aca="false">IF((ISBLANK(B571)*1+ISBLANK(C571)*1+ISBLANK(D571)*1+ISBLANK(E571)*1+ISBLANK(F571)*1+ISBLANK(I571)*1+ISBLANK(J571)*1+ISBLANK(K571)*1+ISBLANK(L571)*1+ISBLANK(M571)*1+ISBLANK(N571)*1+ISBLANK(O571)*1)&gt;0,"Missing Data","OK")</f>
        <v>OK</v>
      </c>
      <c r="V571" s="0" t="str">
        <f aca="false">IF(T571&gt;=6,"High Risk",IF(T571&gt;=3,"Medium Risk","Low Risk"))</f>
        <v>Low Risk</v>
      </c>
    </row>
    <row r="572" customFormat="false" ht="12.8" hidden="false" customHeight="false" outlineLevel="0" collapsed="false">
      <c r="A572" s="1" t="s">
        <v>602</v>
      </c>
      <c r="B572" s="1" t="s">
        <v>36</v>
      </c>
      <c r="C572" s="1" t="s">
        <v>34</v>
      </c>
      <c r="D572" s="1" t="n">
        <v>9.74</v>
      </c>
      <c r="E572" s="1" t="n">
        <v>13</v>
      </c>
      <c r="F572" s="4" t="n">
        <v>44601</v>
      </c>
      <c r="G572" s="1" t="s">
        <v>25</v>
      </c>
      <c r="H572" s="1" t="n">
        <v>1</v>
      </c>
      <c r="I572" s="1" t="n">
        <v>59</v>
      </c>
      <c r="J572" s="1" t="n">
        <v>15</v>
      </c>
      <c r="K572" s="1" t="n">
        <v>6</v>
      </c>
      <c r="L572" s="1" t="n">
        <v>2</v>
      </c>
      <c r="M572" s="1" t="n">
        <v>0</v>
      </c>
      <c r="N572" s="1" t="n">
        <v>126.62</v>
      </c>
      <c r="O572" s="1" t="n">
        <v>0</v>
      </c>
      <c r="Q572" s="4" t="n">
        <v>44996</v>
      </c>
      <c r="R572" s="0" t="n">
        <f aca="false">IF(ISBLANK(F572),"Missing",IFERROR(YEAR(F572),"Missing"))</f>
        <v>2022</v>
      </c>
      <c r="S572" s="0" t="str">
        <f aca="false">IF(ISBLANK(E572),"Missing",IF(E572&lt;6,"0-6mo",IF(E572&lt;12,"6-12mo",IF(E572&lt;24,"12-24mo","24mo+"))))</f>
        <v>12-24mo</v>
      </c>
      <c r="T572" s="0" t="n">
        <f aca="false">IF(ISBLANK(C572),0,IF(C572="Month-to-month",2,IF(C572="One year",1,0)))+IF(ISBLANK(I572),0,IF(I572&lt;40,2,IF(I572&lt;55,1,0)))+IF(ISBLANK(M572),0,IF(M572=1,3,0))+IF(ISBLANK(L572),0,IF(L572&gt;=2,1,0))+IF(ISBLANK(E572),0,IF(E572&lt;12,1,0))</f>
        <v>2</v>
      </c>
      <c r="U572" s="0" t="str">
        <f aca="false">IF((ISBLANK(B572)*1+ISBLANK(C572)*1+ISBLANK(D572)*1+ISBLANK(E572)*1+ISBLANK(F572)*1+ISBLANK(I572)*1+ISBLANK(J572)*1+ISBLANK(K572)*1+ISBLANK(L572)*1+ISBLANK(M572)*1+ISBLANK(N572)*1+ISBLANK(O572)*1)&gt;0,"Missing Data","OK")</f>
        <v>OK</v>
      </c>
      <c r="V572" s="0" t="str">
        <f aca="false">IF(T572&gt;=6,"High Risk",IF(T572&gt;=3,"Medium Risk","Low Risk"))</f>
        <v>Low Risk</v>
      </c>
    </row>
    <row r="573" customFormat="false" ht="12.8" hidden="false" customHeight="false" outlineLevel="0" collapsed="false">
      <c r="A573" s="1" t="s">
        <v>603</v>
      </c>
      <c r="B573" s="1" t="s">
        <v>29</v>
      </c>
      <c r="C573" s="1" t="s">
        <v>51</v>
      </c>
      <c r="D573" s="1" t="n">
        <v>41.18</v>
      </c>
      <c r="E573" s="1" t="n">
        <v>32</v>
      </c>
      <c r="F573" s="4" t="n">
        <v>44602</v>
      </c>
      <c r="G573" s="1" t="s">
        <v>27</v>
      </c>
      <c r="H573" s="1" t="n">
        <v>1</v>
      </c>
      <c r="I573" s="1" t="n">
        <v>27.3</v>
      </c>
      <c r="J573" s="1" t="n">
        <v>2</v>
      </c>
      <c r="K573" s="1" t="n">
        <v>1</v>
      </c>
      <c r="L573" s="1" t="n">
        <v>5</v>
      </c>
      <c r="M573" s="1" t="n">
        <v>1</v>
      </c>
      <c r="N573" s="1" t="n">
        <v>1317.76</v>
      </c>
      <c r="O573" s="1" t="n">
        <v>0</v>
      </c>
      <c r="Q573" s="4" t="n">
        <v>45576</v>
      </c>
      <c r="R573" s="0" t="n">
        <f aca="false">IF(ISBLANK(F573),"Missing",IFERROR(YEAR(F573),"Missing"))</f>
        <v>2022</v>
      </c>
      <c r="S573" s="0" t="str">
        <f aca="false">IF(ISBLANK(E573),"Missing",IF(E573&lt;6,"0-6mo",IF(E573&lt;12,"6-12mo",IF(E573&lt;24,"12-24mo","24mo+"))))</f>
        <v>24mo+</v>
      </c>
      <c r="T573" s="0" t="n">
        <f aca="false">IF(ISBLANK(C573),0,IF(C573="Month-to-month",2,IF(C573="One year",1,0)))+IF(ISBLANK(I573),0,IF(I573&lt;40,2,IF(I573&lt;55,1,0)))+IF(ISBLANK(M573),0,IF(M573=1,3,0))+IF(ISBLANK(L573),0,IF(L573&gt;=2,1,0))+IF(ISBLANK(E573),0,IF(E573&lt;12,1,0))</f>
        <v>6</v>
      </c>
      <c r="U573" s="0" t="str">
        <f aca="false">IF((ISBLANK(B573)*1+ISBLANK(C573)*1+ISBLANK(D573)*1+ISBLANK(E573)*1+ISBLANK(F573)*1+ISBLANK(I573)*1+ISBLANK(J573)*1+ISBLANK(K573)*1+ISBLANK(L573)*1+ISBLANK(M573)*1+ISBLANK(N573)*1+ISBLANK(O573)*1)&gt;0,"Missing Data","OK")</f>
        <v>OK</v>
      </c>
      <c r="V573" s="0" t="str">
        <f aca="false">IF(T573&gt;=6,"High Risk",IF(T573&gt;=3,"Medium Risk","Low Risk"))</f>
        <v>High Risk</v>
      </c>
    </row>
    <row r="574" customFormat="false" ht="12.8" hidden="false" customHeight="false" outlineLevel="0" collapsed="false">
      <c r="A574" s="1" t="s">
        <v>604</v>
      </c>
      <c r="B574" s="1" t="s">
        <v>36</v>
      </c>
      <c r="C574" s="1" t="s">
        <v>24</v>
      </c>
      <c r="D574" s="1" t="n">
        <v>8.73</v>
      </c>
      <c r="E574" s="1" t="n">
        <v>35</v>
      </c>
      <c r="F574" s="4" t="n">
        <v>44603</v>
      </c>
      <c r="G574" s="1" t="s">
        <v>30</v>
      </c>
      <c r="H574" s="1" t="n">
        <v>0</v>
      </c>
      <c r="I574" s="1" t="n">
        <v>68.3</v>
      </c>
      <c r="J574" s="1" t="n">
        <v>27</v>
      </c>
      <c r="K574" s="1" t="n">
        <v>10</v>
      </c>
      <c r="L574" s="1" t="n">
        <v>1</v>
      </c>
      <c r="M574" s="1" t="n">
        <v>1</v>
      </c>
      <c r="N574" s="1" t="n">
        <v>305.55</v>
      </c>
      <c r="O574" s="1" t="n">
        <v>0</v>
      </c>
      <c r="Q574" s="4" t="n">
        <v>45668</v>
      </c>
      <c r="R574" s="0" t="n">
        <f aca="false">IF(ISBLANK(F574),"Missing",IFERROR(YEAR(F574),"Missing"))</f>
        <v>2022</v>
      </c>
      <c r="S574" s="0" t="str">
        <f aca="false">IF(ISBLANK(E574),"Missing",IF(E574&lt;6,"0-6mo",IF(E574&lt;12,"6-12mo",IF(E574&lt;24,"12-24mo","24mo+"))))</f>
        <v>24mo+</v>
      </c>
      <c r="T574" s="0" t="n">
        <f aca="false">IF(ISBLANK(C574),0,IF(C574="Month-to-month",2,IF(C574="One year",1,0)))+IF(ISBLANK(I574),0,IF(I574&lt;40,2,IF(I574&lt;55,1,0)))+IF(ISBLANK(M574),0,IF(M574=1,3,0))+IF(ISBLANK(L574),0,IF(L574&gt;=2,1,0))+IF(ISBLANK(E574),0,IF(E574&lt;12,1,0))</f>
        <v>5</v>
      </c>
      <c r="U574" s="0" t="str">
        <f aca="false">IF((ISBLANK(B574)*1+ISBLANK(C574)*1+ISBLANK(D574)*1+ISBLANK(E574)*1+ISBLANK(F574)*1+ISBLANK(I574)*1+ISBLANK(J574)*1+ISBLANK(K574)*1+ISBLANK(L574)*1+ISBLANK(M574)*1+ISBLANK(N574)*1+ISBLANK(O574)*1)&gt;0,"Missing Data","OK")</f>
        <v>OK</v>
      </c>
      <c r="V574" s="0" t="str">
        <f aca="false">IF(T574&gt;=6,"High Risk",IF(T574&gt;=3,"Medium Risk","Low Risk"))</f>
        <v>Medium Risk</v>
      </c>
    </row>
    <row r="575" customFormat="false" ht="12.8" hidden="false" customHeight="false" outlineLevel="0" collapsed="false">
      <c r="A575" s="1" t="s">
        <v>605</v>
      </c>
      <c r="B575" s="1" t="s">
        <v>36</v>
      </c>
      <c r="C575" s="1" t="s">
        <v>24</v>
      </c>
      <c r="D575" s="1" t="n">
        <v>8.87</v>
      </c>
      <c r="E575" s="1" t="n">
        <v>0</v>
      </c>
      <c r="F575" s="4" t="n">
        <v>44603</v>
      </c>
      <c r="G575" s="1" t="s">
        <v>39</v>
      </c>
      <c r="H575" s="1" t="n">
        <v>0</v>
      </c>
      <c r="I575" s="1" t="n">
        <v>80.8</v>
      </c>
      <c r="J575" s="1" t="n">
        <v>23</v>
      </c>
      <c r="K575" s="1" t="n">
        <v>8</v>
      </c>
      <c r="L575" s="1" t="n">
        <v>1</v>
      </c>
      <c r="M575" s="1" t="n">
        <v>0</v>
      </c>
      <c r="N575" s="1" t="n">
        <v>0</v>
      </c>
      <c r="O575" s="1" t="n">
        <v>1</v>
      </c>
      <c r="P575" s="4" t="n">
        <v>44603</v>
      </c>
      <c r="Q575" s="4" t="n">
        <v>44603</v>
      </c>
      <c r="R575" s="0" t="n">
        <f aca="false">IF(ISBLANK(F575),"Missing",IFERROR(YEAR(F575),"Missing"))</f>
        <v>2022</v>
      </c>
      <c r="S575" s="0" t="str">
        <f aca="false">IF(ISBLANK(E575),"Missing",IF(E575&lt;6,"0-6mo",IF(E575&lt;12,"6-12mo",IF(E575&lt;24,"12-24mo","24mo+"))))</f>
        <v>0-6mo</v>
      </c>
      <c r="T575" s="0" t="n">
        <f aca="false">IF(ISBLANK(C575),0,IF(C575="Month-to-month",2,IF(C575="One year",1,0)))+IF(ISBLANK(I575),0,IF(I575&lt;40,2,IF(I575&lt;55,1,0)))+IF(ISBLANK(M575),0,IF(M575=1,3,0))+IF(ISBLANK(L575),0,IF(L575&gt;=2,1,0))+IF(ISBLANK(E575),0,IF(E575&lt;12,1,0))</f>
        <v>3</v>
      </c>
      <c r="U575" s="0" t="str">
        <f aca="false">IF((ISBLANK(B575)*1+ISBLANK(C575)*1+ISBLANK(D575)*1+ISBLANK(E575)*1+ISBLANK(F575)*1+ISBLANK(I575)*1+ISBLANK(J575)*1+ISBLANK(K575)*1+ISBLANK(L575)*1+ISBLANK(M575)*1+ISBLANK(N575)*1+ISBLANK(O575)*1)&gt;0,"Missing Data","OK")</f>
        <v>OK</v>
      </c>
      <c r="V575" s="0" t="str">
        <f aca="false">IF(T575&gt;=6,"High Risk",IF(T575&gt;=3,"Medium Risk","Low Risk"))</f>
        <v>Medium Risk</v>
      </c>
    </row>
    <row r="576" customFormat="false" ht="12.8" hidden="false" customHeight="false" outlineLevel="0" collapsed="false">
      <c r="A576" s="1" t="s">
        <v>606</v>
      </c>
      <c r="B576" s="1" t="s">
        <v>36</v>
      </c>
      <c r="C576" s="1" t="s">
        <v>24</v>
      </c>
      <c r="D576" s="1" t="n">
        <v>10.98</v>
      </c>
      <c r="E576" s="1" t="n">
        <v>44</v>
      </c>
      <c r="F576" s="4" t="n">
        <v>44604</v>
      </c>
      <c r="G576" s="1" t="s">
        <v>39</v>
      </c>
      <c r="H576" s="1" t="n">
        <v>0</v>
      </c>
      <c r="I576" s="1" t="n">
        <v>100</v>
      </c>
      <c r="J576" s="1" t="n">
        <v>30</v>
      </c>
      <c r="K576" s="1" t="n">
        <v>10</v>
      </c>
      <c r="L576" s="1" t="n">
        <v>1</v>
      </c>
      <c r="M576" s="1" t="n">
        <v>0</v>
      </c>
      <c r="N576" s="1" t="n">
        <v>483.12</v>
      </c>
      <c r="O576" s="1" t="n">
        <v>0</v>
      </c>
      <c r="Q576" s="4" t="n">
        <v>45943</v>
      </c>
      <c r="R576" s="0" t="n">
        <f aca="false">IF(ISBLANK(F576),"Missing",IFERROR(YEAR(F576),"Missing"))</f>
        <v>2022</v>
      </c>
      <c r="S576" s="0" t="str">
        <f aca="false">IF(ISBLANK(E576),"Missing",IF(E576&lt;6,"0-6mo",IF(E576&lt;12,"6-12mo",IF(E576&lt;24,"12-24mo","24mo+"))))</f>
        <v>24mo+</v>
      </c>
      <c r="T576" s="0" t="n">
        <f aca="false">IF(ISBLANK(C576),0,IF(C576="Month-to-month",2,IF(C576="One year",1,0)))+IF(ISBLANK(I576),0,IF(I576&lt;40,2,IF(I576&lt;55,1,0)))+IF(ISBLANK(M576),0,IF(M576=1,3,0))+IF(ISBLANK(L576),0,IF(L576&gt;=2,1,0))+IF(ISBLANK(E576),0,IF(E576&lt;12,1,0))</f>
        <v>2</v>
      </c>
      <c r="U576" s="0" t="str">
        <f aca="false">IF((ISBLANK(B576)*1+ISBLANK(C576)*1+ISBLANK(D576)*1+ISBLANK(E576)*1+ISBLANK(F576)*1+ISBLANK(I576)*1+ISBLANK(J576)*1+ISBLANK(K576)*1+ISBLANK(L576)*1+ISBLANK(M576)*1+ISBLANK(N576)*1+ISBLANK(O576)*1)&gt;0,"Missing Data","OK")</f>
        <v>OK</v>
      </c>
      <c r="V576" s="0" t="str">
        <f aca="false">IF(T576&gt;=6,"High Risk",IF(T576&gt;=3,"Medium Risk","Low Risk"))</f>
        <v>Low Risk</v>
      </c>
    </row>
    <row r="577" customFormat="false" ht="12.8" hidden="false" customHeight="false" outlineLevel="0" collapsed="false">
      <c r="A577" s="1" t="s">
        <v>607</v>
      </c>
      <c r="B577" s="1" t="s">
        <v>29</v>
      </c>
      <c r="C577" s="1" t="s">
        <v>24</v>
      </c>
      <c r="D577" s="1" t="n">
        <v>41.36</v>
      </c>
      <c r="E577" s="1" t="n">
        <v>10</v>
      </c>
      <c r="F577" s="4" t="n">
        <v>44604</v>
      </c>
      <c r="G577" s="1" t="s">
        <v>25</v>
      </c>
      <c r="H577" s="1" t="n">
        <v>1</v>
      </c>
      <c r="I577" s="1" t="n">
        <v>90.9</v>
      </c>
      <c r="J577" s="1" t="n">
        <v>24</v>
      </c>
      <c r="K577" s="1" t="n">
        <v>10</v>
      </c>
      <c r="L577" s="1" t="n">
        <v>1</v>
      </c>
      <c r="M577" s="1" t="n">
        <v>0</v>
      </c>
      <c r="N577" s="1" t="n">
        <v>413.6</v>
      </c>
      <c r="O577" s="1" t="n">
        <v>0</v>
      </c>
      <c r="Q577" s="4" t="n">
        <v>44908</v>
      </c>
      <c r="R577" s="0" t="n">
        <f aca="false">IF(ISBLANK(F577),"Missing",IFERROR(YEAR(F577),"Missing"))</f>
        <v>2022</v>
      </c>
      <c r="S577" s="0" t="str">
        <f aca="false">IF(ISBLANK(E577),"Missing",IF(E577&lt;6,"0-6mo",IF(E577&lt;12,"6-12mo",IF(E577&lt;24,"12-24mo","24mo+"))))</f>
        <v>6-12mo</v>
      </c>
      <c r="T577" s="0" t="n">
        <f aca="false">IF(ISBLANK(C577),0,IF(C577="Month-to-month",2,IF(C577="One year",1,0)))+IF(ISBLANK(I577),0,IF(I577&lt;40,2,IF(I577&lt;55,1,0)))+IF(ISBLANK(M577),0,IF(M577=1,3,0))+IF(ISBLANK(L577),0,IF(L577&gt;=2,1,0))+IF(ISBLANK(E577),0,IF(E577&lt;12,1,0))</f>
        <v>3</v>
      </c>
      <c r="U577" s="0" t="str">
        <f aca="false">IF((ISBLANK(B577)*1+ISBLANK(C577)*1+ISBLANK(D577)*1+ISBLANK(E577)*1+ISBLANK(F577)*1+ISBLANK(I577)*1+ISBLANK(J577)*1+ISBLANK(K577)*1+ISBLANK(L577)*1+ISBLANK(M577)*1+ISBLANK(N577)*1+ISBLANK(O577)*1)&gt;0,"Missing Data","OK")</f>
        <v>OK</v>
      </c>
      <c r="V577" s="0" t="str">
        <f aca="false">IF(T577&gt;=6,"High Risk",IF(T577&gt;=3,"Medium Risk","Low Risk"))</f>
        <v>Medium Risk</v>
      </c>
    </row>
    <row r="578" customFormat="false" ht="12.8" hidden="false" customHeight="false" outlineLevel="0" collapsed="false">
      <c r="A578" s="1" t="s">
        <v>608</v>
      </c>
      <c r="B578" s="1" t="s">
        <v>29</v>
      </c>
      <c r="C578" s="1" t="s">
        <v>24</v>
      </c>
      <c r="D578" s="1" t="n">
        <v>40.07</v>
      </c>
      <c r="E578" s="1" t="n">
        <v>1</v>
      </c>
      <c r="F578" s="4" t="n">
        <v>44605</v>
      </c>
      <c r="G578" s="1" t="s">
        <v>27</v>
      </c>
      <c r="H578" s="1" t="n">
        <v>0</v>
      </c>
      <c r="I578" s="1" t="n">
        <v>91.9</v>
      </c>
      <c r="J578" s="1" t="n">
        <v>29</v>
      </c>
      <c r="K578" s="1" t="n">
        <v>10</v>
      </c>
      <c r="L578" s="1" t="n">
        <v>1</v>
      </c>
      <c r="M578" s="1" t="n">
        <v>0</v>
      </c>
      <c r="N578" s="1" t="n">
        <v>40.07</v>
      </c>
      <c r="O578" s="1" t="n">
        <v>0</v>
      </c>
      <c r="Q578" s="4" t="n">
        <v>44635</v>
      </c>
      <c r="R578" s="0" t="n">
        <f aca="false">IF(ISBLANK(F578),"Missing",IFERROR(YEAR(F578),"Missing"))</f>
        <v>2022</v>
      </c>
      <c r="S578" s="0" t="str">
        <f aca="false">IF(ISBLANK(E578),"Missing",IF(E578&lt;6,"0-6mo",IF(E578&lt;12,"6-12mo",IF(E578&lt;24,"12-24mo","24mo+"))))</f>
        <v>0-6mo</v>
      </c>
      <c r="T578" s="0" t="n">
        <f aca="false">IF(ISBLANK(C578),0,IF(C578="Month-to-month",2,IF(C578="One year",1,0)))+IF(ISBLANK(I578),0,IF(I578&lt;40,2,IF(I578&lt;55,1,0)))+IF(ISBLANK(M578),0,IF(M578=1,3,0))+IF(ISBLANK(L578),0,IF(L578&gt;=2,1,0))+IF(ISBLANK(E578),0,IF(E578&lt;12,1,0))</f>
        <v>3</v>
      </c>
      <c r="U578" s="0" t="str">
        <f aca="false">IF((ISBLANK(B578)*1+ISBLANK(C578)*1+ISBLANK(D578)*1+ISBLANK(E578)*1+ISBLANK(F578)*1+ISBLANK(I578)*1+ISBLANK(J578)*1+ISBLANK(K578)*1+ISBLANK(L578)*1+ISBLANK(M578)*1+ISBLANK(N578)*1+ISBLANK(O578)*1)&gt;0,"Missing Data","OK")</f>
        <v>OK</v>
      </c>
      <c r="V578" s="0" t="str">
        <f aca="false">IF(T578&gt;=6,"High Risk",IF(T578&gt;=3,"Medium Risk","Low Risk"))</f>
        <v>Medium Risk</v>
      </c>
    </row>
    <row r="579" customFormat="false" ht="12.8" hidden="false" customHeight="false" outlineLevel="0" collapsed="false">
      <c r="A579" s="1" t="s">
        <v>609</v>
      </c>
      <c r="B579" s="1" t="s">
        <v>36</v>
      </c>
      <c r="C579" s="1" t="s">
        <v>51</v>
      </c>
      <c r="D579" s="1" t="n">
        <v>10.77</v>
      </c>
      <c r="E579" s="1" t="n">
        <v>3</v>
      </c>
      <c r="F579" s="4" t="n">
        <v>44607</v>
      </c>
      <c r="G579" s="1" t="s">
        <v>39</v>
      </c>
      <c r="H579" s="1" t="n">
        <v>0</v>
      </c>
      <c r="I579" s="1" t="n">
        <v>68.3</v>
      </c>
      <c r="J579" s="1" t="n">
        <v>21</v>
      </c>
      <c r="K579" s="1" t="n">
        <v>6</v>
      </c>
      <c r="L579" s="1" t="n">
        <v>0</v>
      </c>
      <c r="M579" s="1" t="n">
        <v>0</v>
      </c>
      <c r="N579" s="1" t="n">
        <v>32.31</v>
      </c>
      <c r="O579" s="1" t="n">
        <v>0</v>
      </c>
      <c r="Q579" s="4" t="n">
        <v>44698</v>
      </c>
      <c r="R579" s="0" t="n">
        <f aca="false">IF(ISBLANK(F579),"Missing",IFERROR(YEAR(F579),"Missing"))</f>
        <v>2022</v>
      </c>
      <c r="S579" s="0" t="str">
        <f aca="false">IF(ISBLANK(E579),"Missing",IF(E579&lt;6,"0-6mo",IF(E579&lt;12,"6-12mo",IF(E579&lt;24,"12-24mo","24mo+"))))</f>
        <v>0-6mo</v>
      </c>
      <c r="T579" s="0" t="n">
        <f aca="false">IF(ISBLANK(C579),0,IF(C579="Month-to-month",2,IF(C579="One year",1,0)))+IF(ISBLANK(I579),0,IF(I579&lt;40,2,IF(I579&lt;55,1,0)))+IF(ISBLANK(M579),0,IF(M579=1,3,0))+IF(ISBLANK(L579),0,IF(L579&gt;=2,1,0))+IF(ISBLANK(E579),0,IF(E579&lt;12,1,0))</f>
        <v>1</v>
      </c>
      <c r="U579" s="0" t="str">
        <f aca="false">IF((ISBLANK(B579)*1+ISBLANK(C579)*1+ISBLANK(D579)*1+ISBLANK(E579)*1+ISBLANK(F579)*1+ISBLANK(I579)*1+ISBLANK(J579)*1+ISBLANK(K579)*1+ISBLANK(L579)*1+ISBLANK(M579)*1+ISBLANK(N579)*1+ISBLANK(O579)*1)&gt;0,"Missing Data","OK")</f>
        <v>OK</v>
      </c>
      <c r="V579" s="0" t="str">
        <f aca="false">IF(T579&gt;=6,"High Risk",IF(T579&gt;=3,"Medium Risk","Low Risk"))</f>
        <v>Low Risk</v>
      </c>
    </row>
    <row r="580" customFormat="false" ht="12.8" hidden="false" customHeight="false" outlineLevel="0" collapsed="false">
      <c r="A580" s="1" t="s">
        <v>610</v>
      </c>
      <c r="B580" s="1" t="s">
        <v>23</v>
      </c>
      <c r="C580" s="1" t="s">
        <v>34</v>
      </c>
      <c r="D580" s="1" t="n">
        <v>18</v>
      </c>
      <c r="E580" s="1" t="n">
        <v>4</v>
      </c>
      <c r="F580" s="4" t="n">
        <v>44607</v>
      </c>
      <c r="G580" s="1" t="s">
        <v>25</v>
      </c>
      <c r="H580" s="1" t="n">
        <v>1</v>
      </c>
      <c r="I580" s="1" t="n">
        <v>65.1</v>
      </c>
      <c r="J580" s="1" t="n">
        <v>16</v>
      </c>
      <c r="K580" s="1" t="n">
        <v>4</v>
      </c>
      <c r="L580" s="1" t="n">
        <v>2</v>
      </c>
      <c r="M580" s="1" t="n">
        <v>0</v>
      </c>
      <c r="N580" s="1" t="n">
        <v>72</v>
      </c>
      <c r="O580" s="1" t="n">
        <v>0</v>
      </c>
      <c r="Q580" s="4" t="n">
        <v>44728</v>
      </c>
      <c r="R580" s="0" t="n">
        <f aca="false">IF(ISBLANK(F580),"Missing",IFERROR(YEAR(F580),"Missing"))</f>
        <v>2022</v>
      </c>
      <c r="S580" s="0" t="str">
        <f aca="false">IF(ISBLANK(E580),"Missing",IF(E580&lt;6,"0-6mo",IF(E580&lt;12,"6-12mo",IF(E580&lt;24,"12-24mo","24mo+"))))</f>
        <v>0-6mo</v>
      </c>
      <c r="T580" s="0" t="n">
        <f aca="false">IF(ISBLANK(C580),0,IF(C580="Month-to-month",2,IF(C580="One year",1,0)))+IF(ISBLANK(I580),0,IF(I580&lt;40,2,IF(I580&lt;55,1,0)))+IF(ISBLANK(M580),0,IF(M580=1,3,0))+IF(ISBLANK(L580),0,IF(L580&gt;=2,1,0))+IF(ISBLANK(E580),0,IF(E580&lt;12,1,0))</f>
        <v>3</v>
      </c>
      <c r="U580" s="0" t="str">
        <f aca="false">IF((ISBLANK(B580)*1+ISBLANK(C580)*1+ISBLANK(D580)*1+ISBLANK(E580)*1+ISBLANK(F580)*1+ISBLANK(I580)*1+ISBLANK(J580)*1+ISBLANK(K580)*1+ISBLANK(L580)*1+ISBLANK(M580)*1+ISBLANK(N580)*1+ISBLANK(O580)*1)&gt;0,"Missing Data","OK")</f>
        <v>OK</v>
      </c>
      <c r="V580" s="0" t="str">
        <f aca="false">IF(T580&gt;=6,"High Risk",IF(T580&gt;=3,"Medium Risk","Low Risk"))</f>
        <v>Medium Risk</v>
      </c>
    </row>
    <row r="581" customFormat="false" ht="12.8" hidden="false" customHeight="false" outlineLevel="0" collapsed="false">
      <c r="A581" s="1" t="s">
        <v>611</v>
      </c>
      <c r="B581" s="1" t="s">
        <v>23</v>
      </c>
      <c r="C581" s="1" t="s">
        <v>24</v>
      </c>
      <c r="D581" s="1" t="n">
        <v>19.95</v>
      </c>
      <c r="E581" s="1" t="n">
        <v>7</v>
      </c>
      <c r="F581" s="4" t="n">
        <v>44608</v>
      </c>
      <c r="G581" s="1" t="s">
        <v>30</v>
      </c>
      <c r="H581" s="1" t="n">
        <v>1</v>
      </c>
      <c r="I581" s="1" t="n">
        <v>32</v>
      </c>
      <c r="J581" s="1" t="n">
        <v>9</v>
      </c>
      <c r="K581" s="1" t="n">
        <v>2</v>
      </c>
      <c r="L581" s="1" t="n">
        <v>1</v>
      </c>
      <c r="M581" s="1" t="n">
        <v>1</v>
      </c>
      <c r="N581" s="1" t="n">
        <v>139.65</v>
      </c>
      <c r="O581" s="1" t="n">
        <v>0</v>
      </c>
      <c r="Q581" s="4" t="n">
        <v>44821</v>
      </c>
      <c r="R581" s="0" t="n">
        <f aca="false">IF(ISBLANK(F581),"Missing",IFERROR(YEAR(F581),"Missing"))</f>
        <v>2022</v>
      </c>
      <c r="S581" s="0" t="str">
        <f aca="false">IF(ISBLANK(E581),"Missing",IF(E581&lt;6,"0-6mo",IF(E581&lt;12,"6-12mo",IF(E581&lt;24,"12-24mo","24mo+"))))</f>
        <v>6-12mo</v>
      </c>
      <c r="T581" s="0" t="n">
        <f aca="false">IF(ISBLANK(C581),0,IF(C581="Month-to-month",2,IF(C581="One year",1,0)))+IF(ISBLANK(I581),0,IF(I581&lt;40,2,IF(I581&lt;55,1,0)))+IF(ISBLANK(M581),0,IF(M581=1,3,0))+IF(ISBLANK(L581),0,IF(L581&gt;=2,1,0))+IF(ISBLANK(E581),0,IF(E581&lt;12,1,0))</f>
        <v>8</v>
      </c>
      <c r="U581" s="0" t="str">
        <f aca="false">IF((ISBLANK(B581)*1+ISBLANK(C581)*1+ISBLANK(D581)*1+ISBLANK(E581)*1+ISBLANK(F581)*1+ISBLANK(I581)*1+ISBLANK(J581)*1+ISBLANK(K581)*1+ISBLANK(L581)*1+ISBLANK(M581)*1+ISBLANK(N581)*1+ISBLANK(O581)*1)&gt;0,"Missing Data","OK")</f>
        <v>OK</v>
      </c>
      <c r="V581" s="0" t="str">
        <f aca="false">IF(T581&gt;=6,"High Risk",IF(T581&gt;=3,"Medium Risk","Low Risk"))</f>
        <v>High Risk</v>
      </c>
    </row>
    <row r="582" customFormat="false" ht="12.8" hidden="false" customHeight="false" outlineLevel="0" collapsed="false">
      <c r="A582" s="1" t="s">
        <v>612</v>
      </c>
      <c r="B582" s="1" t="s">
        <v>29</v>
      </c>
      <c r="C582" s="1" t="s">
        <v>34</v>
      </c>
      <c r="D582" s="1" t="n">
        <v>40.55</v>
      </c>
      <c r="E582" s="1" t="n">
        <v>5</v>
      </c>
      <c r="F582" s="4" t="n">
        <v>44611</v>
      </c>
      <c r="G582" s="1" t="s">
        <v>27</v>
      </c>
      <c r="H582" s="1" t="n">
        <v>1</v>
      </c>
      <c r="I582" s="1" t="n">
        <v>57.6</v>
      </c>
      <c r="J582" s="1" t="n">
        <v>17</v>
      </c>
      <c r="K582" s="1" t="n">
        <v>3</v>
      </c>
      <c r="L582" s="1" t="n">
        <v>3</v>
      </c>
      <c r="M582" s="1" t="n">
        <v>0</v>
      </c>
      <c r="N582" s="1" t="n">
        <v>202.75</v>
      </c>
      <c r="O582" s="1" t="n">
        <v>0</v>
      </c>
      <c r="Q582" s="4" t="n">
        <v>44763</v>
      </c>
      <c r="R582" s="0" t="n">
        <f aca="false">IF(ISBLANK(F582),"Missing",IFERROR(YEAR(F582),"Missing"))</f>
        <v>2022</v>
      </c>
      <c r="S582" s="0" t="str">
        <f aca="false">IF(ISBLANK(E582),"Missing",IF(E582&lt;6,"0-6mo",IF(E582&lt;12,"6-12mo",IF(E582&lt;24,"12-24mo","24mo+"))))</f>
        <v>0-6mo</v>
      </c>
      <c r="T582" s="0" t="n">
        <f aca="false">IF(ISBLANK(C582),0,IF(C582="Month-to-month",2,IF(C582="One year",1,0)))+IF(ISBLANK(I582),0,IF(I582&lt;40,2,IF(I582&lt;55,1,0)))+IF(ISBLANK(M582),0,IF(M582=1,3,0))+IF(ISBLANK(L582),0,IF(L582&gt;=2,1,0))+IF(ISBLANK(E582),0,IF(E582&lt;12,1,0))</f>
        <v>3</v>
      </c>
      <c r="U582" s="0" t="str">
        <f aca="false">IF((ISBLANK(B582)*1+ISBLANK(C582)*1+ISBLANK(D582)*1+ISBLANK(E582)*1+ISBLANK(F582)*1+ISBLANK(I582)*1+ISBLANK(J582)*1+ISBLANK(K582)*1+ISBLANK(L582)*1+ISBLANK(M582)*1+ISBLANK(N582)*1+ISBLANK(O582)*1)&gt;0,"Missing Data","OK")</f>
        <v>OK</v>
      </c>
      <c r="V582" s="0" t="str">
        <f aca="false">IF(T582&gt;=6,"High Risk",IF(T582&gt;=3,"Medium Risk","Low Risk"))</f>
        <v>Medium Risk</v>
      </c>
    </row>
    <row r="583" customFormat="false" ht="12.8" hidden="false" customHeight="false" outlineLevel="0" collapsed="false">
      <c r="A583" s="1" t="s">
        <v>613</v>
      </c>
      <c r="B583" s="1" t="s">
        <v>36</v>
      </c>
      <c r="C583" s="1" t="s">
        <v>51</v>
      </c>
      <c r="D583" s="1" t="n">
        <v>9.38</v>
      </c>
      <c r="E583" s="1" t="n">
        <v>14</v>
      </c>
      <c r="F583" s="4" t="n">
        <v>44611</v>
      </c>
      <c r="G583" s="1" t="s">
        <v>27</v>
      </c>
      <c r="H583" s="1" t="n">
        <v>1</v>
      </c>
      <c r="I583" s="1" t="n">
        <v>33</v>
      </c>
      <c r="J583" s="1" t="n">
        <v>9</v>
      </c>
      <c r="K583" s="1" t="n">
        <v>2</v>
      </c>
      <c r="L583" s="1" t="n">
        <v>3</v>
      </c>
      <c r="M583" s="1" t="n">
        <v>0</v>
      </c>
      <c r="N583" s="1" t="n">
        <v>131.32</v>
      </c>
      <c r="O583" s="1" t="n">
        <v>0</v>
      </c>
      <c r="Q583" s="4" t="n">
        <v>45037</v>
      </c>
      <c r="R583" s="0" t="n">
        <f aca="false">IF(ISBLANK(F583),"Missing",IFERROR(YEAR(F583),"Missing"))</f>
        <v>2022</v>
      </c>
      <c r="S583" s="0" t="str">
        <f aca="false">IF(ISBLANK(E583),"Missing",IF(E583&lt;6,"0-6mo",IF(E583&lt;12,"6-12mo",IF(E583&lt;24,"12-24mo","24mo+"))))</f>
        <v>12-24mo</v>
      </c>
      <c r="T583" s="0" t="n">
        <f aca="false">IF(ISBLANK(C583),0,IF(C583="Month-to-month",2,IF(C583="One year",1,0)))+IF(ISBLANK(I583),0,IF(I583&lt;40,2,IF(I583&lt;55,1,0)))+IF(ISBLANK(M583),0,IF(M583=1,3,0))+IF(ISBLANK(L583),0,IF(L583&gt;=2,1,0))+IF(ISBLANK(E583),0,IF(E583&lt;12,1,0))</f>
        <v>3</v>
      </c>
      <c r="U583" s="0" t="str">
        <f aca="false">IF((ISBLANK(B583)*1+ISBLANK(C583)*1+ISBLANK(D583)*1+ISBLANK(E583)*1+ISBLANK(F583)*1+ISBLANK(I583)*1+ISBLANK(J583)*1+ISBLANK(K583)*1+ISBLANK(L583)*1+ISBLANK(M583)*1+ISBLANK(N583)*1+ISBLANK(O583)*1)&gt;0,"Missing Data","OK")</f>
        <v>OK</v>
      </c>
      <c r="V583" s="0" t="str">
        <f aca="false">IF(T583&gt;=6,"High Risk",IF(T583&gt;=3,"Medium Risk","Low Risk"))</f>
        <v>Medium Risk</v>
      </c>
    </row>
    <row r="584" customFormat="false" ht="12.8" hidden="false" customHeight="false" outlineLevel="0" collapsed="false">
      <c r="A584" s="1" t="s">
        <v>614</v>
      </c>
      <c r="B584" s="1" t="s">
        <v>23</v>
      </c>
      <c r="C584" s="1" t="s">
        <v>24</v>
      </c>
      <c r="D584" s="1" t="n">
        <v>17.07</v>
      </c>
      <c r="E584" s="1" t="n">
        <v>20</v>
      </c>
      <c r="F584" s="4" t="n">
        <v>44613</v>
      </c>
      <c r="G584" s="1" t="s">
        <v>25</v>
      </c>
      <c r="H584" s="1" t="n">
        <v>1</v>
      </c>
      <c r="I584" s="1" t="n">
        <v>64.1</v>
      </c>
      <c r="J584" s="1" t="n">
        <v>22</v>
      </c>
      <c r="K584" s="1" t="n">
        <v>6</v>
      </c>
      <c r="L584" s="1" t="n">
        <v>1</v>
      </c>
      <c r="M584" s="1" t="n">
        <v>1</v>
      </c>
      <c r="N584" s="1" t="n">
        <v>341.4</v>
      </c>
      <c r="O584" s="1" t="n">
        <v>1</v>
      </c>
      <c r="P584" s="4" t="n">
        <v>45221</v>
      </c>
      <c r="Q584" s="4" t="n">
        <v>45221</v>
      </c>
      <c r="R584" s="0" t="n">
        <f aca="false">IF(ISBLANK(F584),"Missing",IFERROR(YEAR(F584),"Missing"))</f>
        <v>2022</v>
      </c>
      <c r="S584" s="0" t="str">
        <f aca="false">IF(ISBLANK(E584),"Missing",IF(E584&lt;6,"0-6mo",IF(E584&lt;12,"6-12mo",IF(E584&lt;24,"12-24mo","24mo+"))))</f>
        <v>12-24mo</v>
      </c>
      <c r="T584" s="0" t="n">
        <f aca="false">IF(ISBLANK(C584),0,IF(C584="Month-to-month",2,IF(C584="One year",1,0)))+IF(ISBLANK(I584),0,IF(I584&lt;40,2,IF(I584&lt;55,1,0)))+IF(ISBLANK(M584),0,IF(M584=1,3,0))+IF(ISBLANK(L584),0,IF(L584&gt;=2,1,0))+IF(ISBLANK(E584),0,IF(E584&lt;12,1,0))</f>
        <v>5</v>
      </c>
      <c r="U584" s="0" t="str">
        <f aca="false">IF((ISBLANK(B584)*1+ISBLANK(C584)*1+ISBLANK(D584)*1+ISBLANK(E584)*1+ISBLANK(F584)*1+ISBLANK(I584)*1+ISBLANK(J584)*1+ISBLANK(K584)*1+ISBLANK(L584)*1+ISBLANK(M584)*1+ISBLANK(N584)*1+ISBLANK(O584)*1)&gt;0,"Missing Data","OK")</f>
        <v>OK</v>
      </c>
      <c r="V584" s="0" t="str">
        <f aca="false">IF(T584&gt;=6,"High Risk",IF(T584&gt;=3,"Medium Risk","Low Risk"))</f>
        <v>Medium Risk</v>
      </c>
    </row>
    <row r="585" customFormat="false" ht="12.8" hidden="false" customHeight="false" outlineLevel="0" collapsed="false">
      <c r="A585" s="1" t="s">
        <v>615</v>
      </c>
      <c r="B585" s="1" t="s">
        <v>23</v>
      </c>
      <c r="C585" s="1" t="s">
        <v>34</v>
      </c>
      <c r="D585" s="1" t="n">
        <v>20.09</v>
      </c>
      <c r="E585" s="1" t="n">
        <v>7</v>
      </c>
      <c r="F585" s="4" t="n">
        <v>44615</v>
      </c>
      <c r="G585" s="1" t="s">
        <v>30</v>
      </c>
      <c r="H585" s="1" t="n">
        <v>1</v>
      </c>
      <c r="I585" s="1" t="n">
        <v>16</v>
      </c>
      <c r="J585" s="1" t="n">
        <v>0</v>
      </c>
      <c r="K585" s="1" t="n">
        <v>0</v>
      </c>
      <c r="L585" s="1" t="n">
        <v>2</v>
      </c>
      <c r="M585" s="1" t="n">
        <v>0</v>
      </c>
      <c r="N585" s="1" t="n">
        <v>140.63</v>
      </c>
      <c r="O585" s="1" t="n">
        <v>0</v>
      </c>
      <c r="Q585" s="4" t="n">
        <v>44828</v>
      </c>
      <c r="R585" s="0" t="n">
        <f aca="false">IF(ISBLANK(F585),"Missing",IFERROR(YEAR(F585),"Missing"))</f>
        <v>2022</v>
      </c>
      <c r="S585" s="0" t="str">
        <f aca="false">IF(ISBLANK(E585),"Missing",IF(E585&lt;6,"0-6mo",IF(E585&lt;12,"6-12mo",IF(E585&lt;24,"12-24mo","24mo+"))))</f>
        <v>6-12mo</v>
      </c>
      <c r="T585" s="0" t="n">
        <f aca="false">IF(ISBLANK(C585),0,IF(C585="Month-to-month",2,IF(C585="One year",1,0)))+IF(ISBLANK(I585),0,IF(I585&lt;40,2,IF(I585&lt;55,1,0)))+IF(ISBLANK(M585),0,IF(M585=1,3,0))+IF(ISBLANK(L585),0,IF(L585&gt;=2,1,0))+IF(ISBLANK(E585),0,IF(E585&lt;12,1,0))</f>
        <v>5</v>
      </c>
      <c r="U585" s="0" t="str">
        <f aca="false">IF((ISBLANK(B585)*1+ISBLANK(C585)*1+ISBLANK(D585)*1+ISBLANK(E585)*1+ISBLANK(F585)*1+ISBLANK(I585)*1+ISBLANK(J585)*1+ISBLANK(K585)*1+ISBLANK(L585)*1+ISBLANK(M585)*1+ISBLANK(N585)*1+ISBLANK(O585)*1)&gt;0,"Missing Data","OK")</f>
        <v>OK</v>
      </c>
      <c r="V585" s="0" t="str">
        <f aca="false">IF(T585&gt;=6,"High Risk",IF(T585&gt;=3,"Medium Risk","Low Risk"))</f>
        <v>Medium Risk</v>
      </c>
    </row>
    <row r="586" customFormat="false" ht="12.8" hidden="false" customHeight="false" outlineLevel="0" collapsed="false">
      <c r="A586" s="1" t="s">
        <v>616</v>
      </c>
      <c r="B586" s="1" t="s">
        <v>23</v>
      </c>
      <c r="C586" s="1" t="s">
        <v>24</v>
      </c>
      <c r="D586" s="1" t="n">
        <v>19.38</v>
      </c>
      <c r="E586" s="1" t="n">
        <v>4</v>
      </c>
      <c r="F586" s="4" t="n">
        <v>44616</v>
      </c>
      <c r="G586" s="1" t="s">
        <v>39</v>
      </c>
      <c r="H586" s="1" t="n">
        <v>0</v>
      </c>
      <c r="I586" s="1" t="n">
        <v>64.8</v>
      </c>
      <c r="J586" s="1" t="n">
        <v>17</v>
      </c>
      <c r="K586" s="1" t="n">
        <v>7</v>
      </c>
      <c r="L586" s="1" t="n">
        <v>1</v>
      </c>
      <c r="M586" s="1" t="n">
        <v>1</v>
      </c>
      <c r="N586" s="1" t="n">
        <v>77.52</v>
      </c>
      <c r="O586" s="1" t="n">
        <v>1</v>
      </c>
      <c r="P586" s="4" t="n">
        <v>44737</v>
      </c>
      <c r="Q586" s="4" t="n">
        <v>44737</v>
      </c>
      <c r="R586" s="0" t="n">
        <f aca="false">IF(ISBLANK(F586),"Missing",IFERROR(YEAR(F586),"Missing"))</f>
        <v>2022</v>
      </c>
      <c r="S586" s="0" t="str">
        <f aca="false">IF(ISBLANK(E586),"Missing",IF(E586&lt;6,"0-6mo",IF(E586&lt;12,"6-12mo",IF(E586&lt;24,"12-24mo","24mo+"))))</f>
        <v>0-6mo</v>
      </c>
      <c r="T586" s="0" t="n">
        <f aca="false">IF(ISBLANK(C586),0,IF(C586="Month-to-month",2,IF(C586="One year",1,0)))+IF(ISBLANK(I586),0,IF(I586&lt;40,2,IF(I586&lt;55,1,0)))+IF(ISBLANK(M586),0,IF(M586=1,3,0))+IF(ISBLANK(L586),0,IF(L586&gt;=2,1,0))+IF(ISBLANK(E586),0,IF(E586&lt;12,1,0))</f>
        <v>6</v>
      </c>
      <c r="U586" s="0" t="str">
        <f aca="false">IF((ISBLANK(B586)*1+ISBLANK(C586)*1+ISBLANK(D586)*1+ISBLANK(E586)*1+ISBLANK(F586)*1+ISBLANK(I586)*1+ISBLANK(J586)*1+ISBLANK(K586)*1+ISBLANK(L586)*1+ISBLANK(M586)*1+ISBLANK(N586)*1+ISBLANK(O586)*1)&gt;0,"Missing Data","OK")</f>
        <v>OK</v>
      </c>
      <c r="V586" s="0" t="str">
        <f aca="false">IF(T586&gt;=6,"High Risk",IF(T586&gt;=3,"Medium Risk","Low Risk"))</f>
        <v>High Risk</v>
      </c>
    </row>
    <row r="587" customFormat="false" ht="12.8" hidden="false" customHeight="false" outlineLevel="0" collapsed="false">
      <c r="A587" s="1" t="s">
        <v>617</v>
      </c>
      <c r="B587" s="1" t="s">
        <v>36</v>
      </c>
      <c r="C587" s="1" t="s">
        <v>51</v>
      </c>
      <c r="D587" s="1" t="n">
        <v>7.84</v>
      </c>
      <c r="E587" s="1" t="n">
        <v>15</v>
      </c>
      <c r="F587" s="4" t="n">
        <v>44618</v>
      </c>
      <c r="G587" s="1" t="s">
        <v>27</v>
      </c>
      <c r="H587" s="1" t="n">
        <v>1</v>
      </c>
      <c r="I587" s="1" t="n">
        <v>50</v>
      </c>
      <c r="J587" s="1" t="n">
        <v>22</v>
      </c>
      <c r="K587" s="1" t="n">
        <v>4</v>
      </c>
      <c r="L587" s="1" t="n">
        <v>4</v>
      </c>
      <c r="M587" s="1" t="n">
        <v>0</v>
      </c>
      <c r="N587" s="1" t="n">
        <v>117.6</v>
      </c>
      <c r="O587" s="1" t="n">
        <v>0</v>
      </c>
      <c r="Q587" s="4" t="n">
        <v>45074</v>
      </c>
      <c r="R587" s="0" t="n">
        <f aca="false">IF(ISBLANK(F587),"Missing",IFERROR(YEAR(F587),"Missing"))</f>
        <v>2022</v>
      </c>
      <c r="S587" s="0" t="str">
        <f aca="false">IF(ISBLANK(E587),"Missing",IF(E587&lt;6,"0-6mo",IF(E587&lt;12,"6-12mo",IF(E587&lt;24,"12-24mo","24mo+"))))</f>
        <v>12-24mo</v>
      </c>
      <c r="T587" s="0" t="n">
        <f aca="false">IF(ISBLANK(C587),0,IF(C587="Month-to-month",2,IF(C587="One year",1,0)))+IF(ISBLANK(I587),0,IF(I587&lt;40,2,IF(I587&lt;55,1,0)))+IF(ISBLANK(M587),0,IF(M587=1,3,0))+IF(ISBLANK(L587),0,IF(L587&gt;=2,1,0))+IF(ISBLANK(E587),0,IF(E587&lt;12,1,0))</f>
        <v>2</v>
      </c>
      <c r="U587" s="0" t="str">
        <f aca="false">IF((ISBLANK(B587)*1+ISBLANK(C587)*1+ISBLANK(D587)*1+ISBLANK(E587)*1+ISBLANK(F587)*1+ISBLANK(I587)*1+ISBLANK(J587)*1+ISBLANK(K587)*1+ISBLANK(L587)*1+ISBLANK(M587)*1+ISBLANK(N587)*1+ISBLANK(O587)*1)&gt;0,"Missing Data","OK")</f>
        <v>OK</v>
      </c>
      <c r="V587" s="0" t="str">
        <f aca="false">IF(T587&gt;=6,"High Risk",IF(T587&gt;=3,"Medium Risk","Low Risk"))</f>
        <v>Low Risk</v>
      </c>
    </row>
    <row r="588" customFormat="false" ht="12.8" hidden="false" customHeight="false" outlineLevel="0" collapsed="false">
      <c r="A588" s="1" t="s">
        <v>618</v>
      </c>
      <c r="B588" s="1" t="s">
        <v>36</v>
      </c>
      <c r="C588" s="1" t="s">
        <v>24</v>
      </c>
      <c r="D588" s="1" t="n">
        <v>9.72</v>
      </c>
      <c r="E588" s="1" t="n">
        <v>39</v>
      </c>
      <c r="F588" s="4" t="n">
        <v>44621</v>
      </c>
      <c r="G588" s="1" t="s">
        <v>39</v>
      </c>
      <c r="H588" s="1" t="n">
        <v>0</v>
      </c>
      <c r="I588" s="1" t="n">
        <v>55.4</v>
      </c>
      <c r="J588" s="1" t="n">
        <v>25</v>
      </c>
      <c r="K588" s="1" t="n">
        <v>5</v>
      </c>
      <c r="L588" s="1" t="n">
        <v>0</v>
      </c>
      <c r="M588" s="1" t="n">
        <v>0</v>
      </c>
      <c r="N588" s="1" t="n">
        <v>379.08</v>
      </c>
      <c r="O588" s="1" t="n">
        <v>0</v>
      </c>
      <c r="Q588" s="4" t="n">
        <v>45808</v>
      </c>
      <c r="R588" s="0" t="n">
        <f aca="false">IF(ISBLANK(F588),"Missing",IFERROR(YEAR(F588),"Missing"))</f>
        <v>2022</v>
      </c>
      <c r="S588" s="0" t="str">
        <f aca="false">IF(ISBLANK(E588),"Missing",IF(E588&lt;6,"0-6mo",IF(E588&lt;12,"6-12mo",IF(E588&lt;24,"12-24mo","24mo+"))))</f>
        <v>24mo+</v>
      </c>
      <c r="T588" s="0" t="n">
        <f aca="false">IF(ISBLANK(C588),0,IF(C588="Month-to-month",2,IF(C588="One year",1,0)))+IF(ISBLANK(I588),0,IF(I588&lt;40,2,IF(I588&lt;55,1,0)))+IF(ISBLANK(M588),0,IF(M588=1,3,0))+IF(ISBLANK(L588),0,IF(L588&gt;=2,1,0))+IF(ISBLANK(E588),0,IF(E588&lt;12,1,0))</f>
        <v>2</v>
      </c>
      <c r="U588" s="0" t="str">
        <f aca="false">IF((ISBLANK(B588)*1+ISBLANK(C588)*1+ISBLANK(D588)*1+ISBLANK(E588)*1+ISBLANK(F588)*1+ISBLANK(I588)*1+ISBLANK(J588)*1+ISBLANK(K588)*1+ISBLANK(L588)*1+ISBLANK(M588)*1+ISBLANK(N588)*1+ISBLANK(O588)*1)&gt;0,"Missing Data","OK")</f>
        <v>OK</v>
      </c>
      <c r="V588" s="0" t="str">
        <f aca="false">IF(T588&gt;=6,"High Risk",IF(T588&gt;=3,"Medium Risk","Low Risk"))</f>
        <v>Low Risk</v>
      </c>
    </row>
    <row r="589" customFormat="false" ht="12.8" hidden="false" customHeight="false" outlineLevel="0" collapsed="false">
      <c r="A589" s="1" t="s">
        <v>619</v>
      </c>
      <c r="B589" s="1" t="s">
        <v>29</v>
      </c>
      <c r="C589" s="1" t="s">
        <v>24</v>
      </c>
      <c r="D589" s="1" t="n">
        <v>40.65</v>
      </c>
      <c r="E589" s="1" t="n">
        <v>23</v>
      </c>
      <c r="F589" s="4" t="n">
        <v>44621</v>
      </c>
      <c r="G589" s="1" t="s">
        <v>30</v>
      </c>
      <c r="H589" s="1" t="n">
        <v>1</v>
      </c>
      <c r="I589" s="1" t="n">
        <v>68.9</v>
      </c>
      <c r="J589" s="1" t="n">
        <v>17</v>
      </c>
      <c r="K589" s="1" t="n">
        <v>8</v>
      </c>
      <c r="L589" s="1" t="n">
        <v>4</v>
      </c>
      <c r="M589" s="1" t="n">
        <v>1</v>
      </c>
      <c r="N589" s="1" t="n">
        <v>934.95</v>
      </c>
      <c r="O589" s="1" t="n">
        <v>0</v>
      </c>
      <c r="Q589" s="4" t="n">
        <v>45321</v>
      </c>
      <c r="R589" s="0" t="n">
        <f aca="false">IF(ISBLANK(F589),"Missing",IFERROR(YEAR(F589),"Missing"))</f>
        <v>2022</v>
      </c>
      <c r="S589" s="0" t="str">
        <f aca="false">IF(ISBLANK(E589),"Missing",IF(E589&lt;6,"0-6mo",IF(E589&lt;12,"6-12mo",IF(E589&lt;24,"12-24mo","24mo+"))))</f>
        <v>12-24mo</v>
      </c>
      <c r="T589" s="0" t="n">
        <f aca="false">IF(ISBLANK(C589),0,IF(C589="Month-to-month",2,IF(C589="One year",1,0)))+IF(ISBLANK(I589),0,IF(I589&lt;40,2,IF(I589&lt;55,1,0)))+IF(ISBLANK(M589),0,IF(M589=1,3,0))+IF(ISBLANK(L589),0,IF(L589&gt;=2,1,0))+IF(ISBLANK(E589),0,IF(E589&lt;12,1,0))</f>
        <v>6</v>
      </c>
      <c r="U589" s="0" t="str">
        <f aca="false">IF((ISBLANK(B589)*1+ISBLANK(C589)*1+ISBLANK(D589)*1+ISBLANK(E589)*1+ISBLANK(F589)*1+ISBLANK(I589)*1+ISBLANK(J589)*1+ISBLANK(K589)*1+ISBLANK(L589)*1+ISBLANK(M589)*1+ISBLANK(N589)*1+ISBLANK(O589)*1)&gt;0,"Missing Data","OK")</f>
        <v>OK</v>
      </c>
      <c r="V589" s="0" t="str">
        <f aca="false">IF(T589&gt;=6,"High Risk",IF(T589&gt;=3,"Medium Risk","Low Risk"))</f>
        <v>High Risk</v>
      </c>
    </row>
    <row r="590" customFormat="false" ht="12.8" hidden="false" customHeight="false" outlineLevel="0" collapsed="false">
      <c r="A590" s="1" t="s">
        <v>620</v>
      </c>
      <c r="B590" s="1" t="s">
        <v>23</v>
      </c>
      <c r="C590" s="1" t="s">
        <v>34</v>
      </c>
      <c r="D590" s="1" t="n">
        <v>19.68</v>
      </c>
      <c r="E590" s="1" t="n">
        <v>3</v>
      </c>
      <c r="F590" s="4" t="n">
        <v>44622</v>
      </c>
      <c r="G590" s="1" t="s">
        <v>39</v>
      </c>
      <c r="H590" s="1" t="n">
        <v>1</v>
      </c>
      <c r="I590" s="1" t="n">
        <v>52.9</v>
      </c>
      <c r="J590" s="1" t="n">
        <v>17</v>
      </c>
      <c r="K590" s="1" t="n">
        <v>4</v>
      </c>
      <c r="L590" s="1" t="n">
        <v>0</v>
      </c>
      <c r="M590" s="1" t="n">
        <v>0</v>
      </c>
      <c r="N590" s="1" t="n">
        <v>59.04</v>
      </c>
      <c r="O590" s="1" t="n">
        <v>0</v>
      </c>
      <c r="Q590" s="4" t="n">
        <v>44713</v>
      </c>
      <c r="R590" s="0" t="n">
        <f aca="false">IF(ISBLANK(F590),"Missing",IFERROR(YEAR(F590),"Missing"))</f>
        <v>2022</v>
      </c>
      <c r="S590" s="0" t="str">
        <f aca="false">IF(ISBLANK(E590),"Missing",IF(E590&lt;6,"0-6mo",IF(E590&lt;12,"6-12mo",IF(E590&lt;24,"12-24mo","24mo+"))))</f>
        <v>0-6mo</v>
      </c>
      <c r="T590" s="0" t="n">
        <f aca="false">IF(ISBLANK(C590),0,IF(C590="Month-to-month",2,IF(C590="One year",1,0)))+IF(ISBLANK(I590),0,IF(I590&lt;40,2,IF(I590&lt;55,1,0)))+IF(ISBLANK(M590),0,IF(M590=1,3,0))+IF(ISBLANK(L590),0,IF(L590&gt;=2,1,0))+IF(ISBLANK(E590),0,IF(E590&lt;12,1,0))</f>
        <v>3</v>
      </c>
      <c r="U590" s="0" t="str">
        <f aca="false">IF((ISBLANK(B590)*1+ISBLANK(C590)*1+ISBLANK(D590)*1+ISBLANK(E590)*1+ISBLANK(F590)*1+ISBLANK(I590)*1+ISBLANK(J590)*1+ISBLANK(K590)*1+ISBLANK(L590)*1+ISBLANK(M590)*1+ISBLANK(N590)*1+ISBLANK(O590)*1)&gt;0,"Missing Data","OK")</f>
        <v>OK</v>
      </c>
      <c r="V590" s="0" t="str">
        <f aca="false">IF(T590&gt;=6,"High Risk",IF(T590&gt;=3,"Medium Risk","Low Risk"))</f>
        <v>Medium Risk</v>
      </c>
    </row>
    <row r="591" customFormat="false" ht="12.8" hidden="false" customHeight="false" outlineLevel="0" collapsed="false">
      <c r="A591" s="1" t="s">
        <v>621</v>
      </c>
      <c r="B591" s="1" t="s">
        <v>29</v>
      </c>
      <c r="C591" s="1" t="s">
        <v>24</v>
      </c>
      <c r="D591" s="1" t="n">
        <v>41.95</v>
      </c>
      <c r="E591" s="1" t="n">
        <v>1</v>
      </c>
      <c r="F591" s="4" t="n">
        <v>44626</v>
      </c>
      <c r="G591" s="1" t="s">
        <v>30</v>
      </c>
      <c r="H591" s="1" t="n">
        <v>1</v>
      </c>
      <c r="I591" s="1" t="n">
        <v>71.5</v>
      </c>
      <c r="J591" s="1" t="n">
        <v>19</v>
      </c>
      <c r="K591" s="1" t="n">
        <v>6</v>
      </c>
      <c r="L591" s="1" t="n">
        <v>0</v>
      </c>
      <c r="M591" s="1" t="n">
        <v>0</v>
      </c>
      <c r="N591" s="1" t="n">
        <v>41.95</v>
      </c>
      <c r="O591" s="1" t="n">
        <v>0</v>
      </c>
      <c r="Q591" s="4" t="n">
        <v>44656</v>
      </c>
      <c r="R591" s="0" t="n">
        <f aca="false">IF(ISBLANK(F591),"Missing",IFERROR(YEAR(F591),"Missing"))</f>
        <v>2022</v>
      </c>
      <c r="S591" s="0" t="str">
        <f aca="false">IF(ISBLANK(E591),"Missing",IF(E591&lt;6,"0-6mo",IF(E591&lt;12,"6-12mo",IF(E591&lt;24,"12-24mo","24mo+"))))</f>
        <v>0-6mo</v>
      </c>
      <c r="T591" s="0" t="n">
        <f aca="false">IF(ISBLANK(C591),0,IF(C591="Month-to-month",2,IF(C591="One year",1,0)))+IF(ISBLANK(I591),0,IF(I591&lt;40,2,IF(I591&lt;55,1,0)))+IF(ISBLANK(M591),0,IF(M591=1,3,0))+IF(ISBLANK(L591),0,IF(L591&gt;=2,1,0))+IF(ISBLANK(E591),0,IF(E591&lt;12,1,0))</f>
        <v>3</v>
      </c>
      <c r="U591" s="0" t="str">
        <f aca="false">IF((ISBLANK(B591)*1+ISBLANK(C591)*1+ISBLANK(D591)*1+ISBLANK(E591)*1+ISBLANK(F591)*1+ISBLANK(I591)*1+ISBLANK(J591)*1+ISBLANK(K591)*1+ISBLANK(L591)*1+ISBLANK(M591)*1+ISBLANK(N591)*1+ISBLANK(O591)*1)&gt;0,"Missing Data","OK")</f>
        <v>OK</v>
      </c>
      <c r="V591" s="0" t="str">
        <f aca="false">IF(T591&gt;=6,"High Risk",IF(T591&gt;=3,"Medium Risk","Low Risk"))</f>
        <v>Medium Risk</v>
      </c>
    </row>
    <row r="592" customFormat="false" ht="12.8" hidden="false" customHeight="false" outlineLevel="0" collapsed="false">
      <c r="A592" s="1" t="s">
        <v>622</v>
      </c>
      <c r="B592" s="1" t="s">
        <v>36</v>
      </c>
      <c r="C592" s="1" t="s">
        <v>24</v>
      </c>
      <c r="D592" s="1" t="n">
        <v>8.85</v>
      </c>
      <c r="E592" s="1" t="n">
        <v>44</v>
      </c>
      <c r="F592" s="4" t="n">
        <v>44629</v>
      </c>
      <c r="G592" s="1" t="s">
        <v>39</v>
      </c>
      <c r="H592" s="1" t="n">
        <v>1</v>
      </c>
      <c r="I592" s="1" t="n">
        <v>66</v>
      </c>
      <c r="J592" s="1" t="n">
        <v>14</v>
      </c>
      <c r="K592" s="1" t="n">
        <v>9</v>
      </c>
      <c r="L592" s="1" t="n">
        <v>3</v>
      </c>
      <c r="M592" s="1" t="n">
        <v>0</v>
      </c>
      <c r="N592" s="1" t="n">
        <v>389.4</v>
      </c>
      <c r="O592" s="1" t="n">
        <v>0</v>
      </c>
      <c r="Q592" s="4" t="n">
        <v>45968</v>
      </c>
      <c r="R592" s="0" t="n">
        <f aca="false">IF(ISBLANK(F592),"Missing",IFERROR(YEAR(F592),"Missing"))</f>
        <v>2022</v>
      </c>
      <c r="S592" s="0" t="str">
        <f aca="false">IF(ISBLANK(E592),"Missing",IF(E592&lt;6,"0-6mo",IF(E592&lt;12,"6-12mo",IF(E592&lt;24,"12-24mo","24mo+"))))</f>
        <v>24mo+</v>
      </c>
      <c r="T592" s="0" t="n">
        <f aca="false">IF(ISBLANK(C592),0,IF(C592="Month-to-month",2,IF(C592="One year",1,0)))+IF(ISBLANK(I592),0,IF(I592&lt;40,2,IF(I592&lt;55,1,0)))+IF(ISBLANK(M592),0,IF(M592=1,3,0))+IF(ISBLANK(L592),0,IF(L592&gt;=2,1,0))+IF(ISBLANK(E592),0,IF(E592&lt;12,1,0))</f>
        <v>3</v>
      </c>
      <c r="U592" s="0" t="str">
        <f aca="false">IF((ISBLANK(B592)*1+ISBLANK(C592)*1+ISBLANK(D592)*1+ISBLANK(E592)*1+ISBLANK(F592)*1+ISBLANK(I592)*1+ISBLANK(J592)*1+ISBLANK(K592)*1+ISBLANK(L592)*1+ISBLANK(M592)*1+ISBLANK(N592)*1+ISBLANK(O592)*1)&gt;0,"Missing Data","OK")</f>
        <v>OK</v>
      </c>
      <c r="V592" s="0" t="str">
        <f aca="false">IF(T592&gt;=6,"High Risk",IF(T592&gt;=3,"Medium Risk","Low Risk"))</f>
        <v>Medium Risk</v>
      </c>
    </row>
    <row r="593" customFormat="false" ht="12.8" hidden="false" customHeight="false" outlineLevel="0" collapsed="false">
      <c r="A593" s="1" t="s">
        <v>623</v>
      </c>
      <c r="B593" s="1" t="s">
        <v>36</v>
      </c>
      <c r="C593" s="1" t="s">
        <v>24</v>
      </c>
      <c r="D593" s="1" t="n">
        <v>9.17</v>
      </c>
      <c r="E593" s="1" t="n">
        <v>44</v>
      </c>
      <c r="F593" s="4" t="n">
        <v>44630</v>
      </c>
      <c r="G593" s="1" t="s">
        <v>39</v>
      </c>
      <c r="H593" s="1" t="n">
        <v>0</v>
      </c>
      <c r="I593" s="1" t="n">
        <v>20</v>
      </c>
      <c r="J593" s="1" t="n">
        <v>0</v>
      </c>
      <c r="K593" s="1" t="n">
        <v>3</v>
      </c>
      <c r="L593" s="1" t="n">
        <v>3</v>
      </c>
      <c r="M593" s="1" t="n">
        <v>1</v>
      </c>
      <c r="N593" s="1" t="n">
        <v>403.48</v>
      </c>
      <c r="O593" s="1" t="n">
        <v>0</v>
      </c>
      <c r="Q593" s="4" t="n">
        <v>45969</v>
      </c>
      <c r="R593" s="0" t="n">
        <f aca="false">IF(ISBLANK(F593),"Missing",IFERROR(YEAR(F593),"Missing"))</f>
        <v>2022</v>
      </c>
      <c r="S593" s="0" t="str">
        <f aca="false">IF(ISBLANK(E593),"Missing",IF(E593&lt;6,"0-6mo",IF(E593&lt;12,"6-12mo",IF(E593&lt;24,"12-24mo","24mo+"))))</f>
        <v>24mo+</v>
      </c>
      <c r="T593" s="0" t="n">
        <f aca="false">IF(ISBLANK(C593),0,IF(C593="Month-to-month",2,IF(C593="One year",1,0)))+IF(ISBLANK(I593),0,IF(I593&lt;40,2,IF(I593&lt;55,1,0)))+IF(ISBLANK(M593),0,IF(M593=1,3,0))+IF(ISBLANK(L593),0,IF(L593&gt;=2,1,0))+IF(ISBLANK(E593),0,IF(E593&lt;12,1,0))</f>
        <v>8</v>
      </c>
      <c r="U593" s="0" t="str">
        <f aca="false">IF((ISBLANK(B593)*1+ISBLANK(C593)*1+ISBLANK(D593)*1+ISBLANK(E593)*1+ISBLANK(F593)*1+ISBLANK(I593)*1+ISBLANK(J593)*1+ISBLANK(K593)*1+ISBLANK(L593)*1+ISBLANK(M593)*1+ISBLANK(N593)*1+ISBLANK(O593)*1)&gt;0,"Missing Data","OK")</f>
        <v>OK</v>
      </c>
      <c r="V593" s="0" t="str">
        <f aca="false">IF(T593&gt;=6,"High Risk",IF(T593&gt;=3,"Medium Risk","Low Risk"))</f>
        <v>High Risk</v>
      </c>
    </row>
    <row r="594" customFormat="false" ht="12.8" hidden="false" customHeight="false" outlineLevel="0" collapsed="false">
      <c r="A594" s="1" t="s">
        <v>624</v>
      </c>
      <c r="B594" s="1" t="s">
        <v>36</v>
      </c>
      <c r="C594" s="1" t="s">
        <v>24</v>
      </c>
      <c r="D594" s="1" t="n">
        <v>9.16</v>
      </c>
      <c r="E594" s="1" t="n">
        <v>32</v>
      </c>
      <c r="F594" s="4" t="n">
        <v>44630</v>
      </c>
      <c r="G594" s="1" t="s">
        <v>39</v>
      </c>
      <c r="H594" s="1" t="n">
        <v>0</v>
      </c>
      <c r="I594" s="1" t="n">
        <v>43.2</v>
      </c>
      <c r="J594" s="1" t="n">
        <v>12</v>
      </c>
      <c r="K594" s="1" t="n">
        <v>3</v>
      </c>
      <c r="L594" s="1" t="n">
        <v>1</v>
      </c>
      <c r="M594" s="1" t="n">
        <v>0</v>
      </c>
      <c r="N594" s="1" t="n">
        <v>293.12</v>
      </c>
      <c r="O594" s="1" t="n">
        <v>0</v>
      </c>
      <c r="Q594" s="4" t="n">
        <v>45604</v>
      </c>
      <c r="R594" s="0" t="n">
        <f aca="false">IF(ISBLANK(F594),"Missing",IFERROR(YEAR(F594),"Missing"))</f>
        <v>2022</v>
      </c>
      <c r="S594" s="0" t="str">
        <f aca="false">IF(ISBLANK(E594),"Missing",IF(E594&lt;6,"0-6mo",IF(E594&lt;12,"6-12mo",IF(E594&lt;24,"12-24mo","24mo+"))))</f>
        <v>24mo+</v>
      </c>
      <c r="T594" s="0" t="n">
        <f aca="false">IF(ISBLANK(C594),0,IF(C594="Month-to-month",2,IF(C594="One year",1,0)))+IF(ISBLANK(I594),0,IF(I594&lt;40,2,IF(I594&lt;55,1,0)))+IF(ISBLANK(M594),0,IF(M594=1,3,0))+IF(ISBLANK(L594),0,IF(L594&gt;=2,1,0))+IF(ISBLANK(E594),0,IF(E594&lt;12,1,0))</f>
        <v>3</v>
      </c>
      <c r="U594" s="0" t="str">
        <f aca="false">IF((ISBLANK(B594)*1+ISBLANK(C594)*1+ISBLANK(D594)*1+ISBLANK(E594)*1+ISBLANK(F594)*1+ISBLANK(I594)*1+ISBLANK(J594)*1+ISBLANK(K594)*1+ISBLANK(L594)*1+ISBLANK(M594)*1+ISBLANK(N594)*1+ISBLANK(O594)*1)&gt;0,"Missing Data","OK")</f>
        <v>OK</v>
      </c>
      <c r="V594" s="0" t="str">
        <f aca="false">IF(T594&gt;=6,"High Risk",IF(T594&gt;=3,"Medium Risk","Low Risk"))</f>
        <v>Medium Risk</v>
      </c>
    </row>
    <row r="595" customFormat="false" ht="12.8" hidden="false" customHeight="false" outlineLevel="0" collapsed="false">
      <c r="A595" s="1" t="s">
        <v>625</v>
      </c>
      <c r="B595" s="1" t="s">
        <v>23</v>
      </c>
      <c r="C595" s="1" t="s">
        <v>24</v>
      </c>
      <c r="D595" s="1" t="n">
        <v>21.66</v>
      </c>
      <c r="E595" s="1" t="n">
        <v>72</v>
      </c>
      <c r="F595" s="4" t="n">
        <v>44632</v>
      </c>
      <c r="G595" s="1" t="s">
        <v>25</v>
      </c>
      <c r="H595" s="1" t="n">
        <v>1</v>
      </c>
      <c r="I595" s="1" t="n">
        <v>19.4</v>
      </c>
      <c r="J595" s="1" t="n">
        <v>2</v>
      </c>
      <c r="K595" s="1" t="n">
        <v>3</v>
      </c>
      <c r="L595" s="1" t="n">
        <v>2</v>
      </c>
      <c r="M595" s="1" t="n">
        <v>0</v>
      </c>
      <c r="N595" s="1" t="n">
        <v>1559.52</v>
      </c>
      <c r="O595" s="1" t="n">
        <v>0</v>
      </c>
      <c r="Q595" s="4" t="n">
        <v>46293</v>
      </c>
      <c r="R595" s="0" t="n">
        <f aca="false">IF(ISBLANK(F595),"Missing",IFERROR(YEAR(F595),"Missing"))</f>
        <v>2022</v>
      </c>
      <c r="S595" s="0" t="str">
        <f aca="false">IF(ISBLANK(E595),"Missing",IF(E595&lt;6,"0-6mo",IF(E595&lt;12,"6-12mo",IF(E595&lt;24,"12-24mo","24mo+"))))</f>
        <v>24mo+</v>
      </c>
      <c r="T595" s="0" t="n">
        <f aca="false">IF(ISBLANK(C595),0,IF(C595="Month-to-month",2,IF(C595="One year",1,0)))+IF(ISBLANK(I595),0,IF(I595&lt;40,2,IF(I595&lt;55,1,0)))+IF(ISBLANK(M595),0,IF(M595=1,3,0))+IF(ISBLANK(L595),0,IF(L595&gt;=2,1,0))+IF(ISBLANK(E595),0,IF(E595&lt;12,1,0))</f>
        <v>5</v>
      </c>
      <c r="U595" s="0" t="str">
        <f aca="false">IF((ISBLANK(B595)*1+ISBLANK(C595)*1+ISBLANK(D595)*1+ISBLANK(E595)*1+ISBLANK(F595)*1+ISBLANK(I595)*1+ISBLANK(J595)*1+ISBLANK(K595)*1+ISBLANK(L595)*1+ISBLANK(M595)*1+ISBLANK(N595)*1+ISBLANK(O595)*1)&gt;0,"Missing Data","OK")</f>
        <v>OK</v>
      </c>
      <c r="V595" s="0" t="str">
        <f aca="false">IF(T595&gt;=6,"High Risk",IF(T595&gt;=3,"Medium Risk","Low Risk"))</f>
        <v>Medium Risk</v>
      </c>
    </row>
    <row r="596" customFormat="false" ht="12.8" hidden="false" customHeight="false" outlineLevel="0" collapsed="false">
      <c r="A596" s="1" t="s">
        <v>626</v>
      </c>
      <c r="B596" s="1" t="s">
        <v>23</v>
      </c>
      <c r="C596" s="1" t="s">
        <v>24</v>
      </c>
      <c r="D596" s="1" t="n">
        <v>18.54</v>
      </c>
      <c r="E596" s="1" t="n">
        <v>32</v>
      </c>
      <c r="F596" s="4" t="n">
        <v>44633</v>
      </c>
      <c r="G596" s="1" t="s">
        <v>25</v>
      </c>
      <c r="H596" s="1" t="n">
        <v>0</v>
      </c>
      <c r="I596" s="1" t="n">
        <v>42.5</v>
      </c>
      <c r="J596" s="1" t="n">
        <v>13</v>
      </c>
      <c r="K596" s="1" t="n">
        <v>3</v>
      </c>
      <c r="L596" s="1" t="n">
        <v>2</v>
      </c>
      <c r="M596" s="1" t="n">
        <v>1</v>
      </c>
      <c r="N596" s="1" t="n">
        <v>593.28</v>
      </c>
      <c r="O596" s="1" t="n">
        <v>0</v>
      </c>
      <c r="Q596" s="4" t="n">
        <v>45607</v>
      </c>
      <c r="R596" s="0" t="n">
        <f aca="false">IF(ISBLANK(F596),"Missing",IFERROR(YEAR(F596),"Missing"))</f>
        <v>2022</v>
      </c>
      <c r="S596" s="0" t="str">
        <f aca="false">IF(ISBLANK(E596),"Missing",IF(E596&lt;6,"0-6mo",IF(E596&lt;12,"6-12mo",IF(E596&lt;24,"12-24mo","24mo+"))))</f>
        <v>24mo+</v>
      </c>
      <c r="T596" s="0" t="n">
        <f aca="false">IF(ISBLANK(C596),0,IF(C596="Month-to-month",2,IF(C596="One year",1,0)))+IF(ISBLANK(I596),0,IF(I596&lt;40,2,IF(I596&lt;55,1,0)))+IF(ISBLANK(M596),0,IF(M596=1,3,0))+IF(ISBLANK(L596),0,IF(L596&gt;=2,1,0))+IF(ISBLANK(E596),0,IF(E596&lt;12,1,0))</f>
        <v>7</v>
      </c>
      <c r="U596" s="0" t="str">
        <f aca="false">IF((ISBLANK(B596)*1+ISBLANK(C596)*1+ISBLANK(D596)*1+ISBLANK(E596)*1+ISBLANK(F596)*1+ISBLANK(I596)*1+ISBLANK(J596)*1+ISBLANK(K596)*1+ISBLANK(L596)*1+ISBLANK(M596)*1+ISBLANK(N596)*1+ISBLANK(O596)*1)&gt;0,"Missing Data","OK")</f>
        <v>OK</v>
      </c>
      <c r="V596" s="0" t="str">
        <f aca="false">IF(T596&gt;=6,"High Risk",IF(T596&gt;=3,"Medium Risk","Low Risk"))</f>
        <v>High Risk</v>
      </c>
    </row>
    <row r="597" customFormat="false" ht="12.8" hidden="false" customHeight="false" outlineLevel="0" collapsed="false">
      <c r="A597" s="1" t="s">
        <v>627</v>
      </c>
      <c r="B597" s="1" t="s">
        <v>23</v>
      </c>
      <c r="C597" s="1" t="s">
        <v>24</v>
      </c>
      <c r="D597" s="1" t="n">
        <v>19.14</v>
      </c>
      <c r="E597" s="1" t="n">
        <v>21</v>
      </c>
      <c r="F597" s="4" t="n">
        <v>44633</v>
      </c>
      <c r="G597" s="1" t="s">
        <v>25</v>
      </c>
      <c r="H597" s="1" t="n">
        <v>1</v>
      </c>
      <c r="I597" s="1" t="n">
        <v>50.7</v>
      </c>
      <c r="J597" s="1" t="n">
        <v>20</v>
      </c>
      <c r="K597" s="1" t="n">
        <v>7</v>
      </c>
      <c r="L597" s="1" t="n">
        <v>0</v>
      </c>
      <c r="M597" s="1" t="n">
        <v>0</v>
      </c>
      <c r="N597" s="1" t="n">
        <v>401.94</v>
      </c>
      <c r="O597" s="1" t="n">
        <v>0</v>
      </c>
      <c r="Q597" s="4" t="n">
        <v>45272</v>
      </c>
      <c r="R597" s="0" t="n">
        <f aca="false">IF(ISBLANK(F597),"Missing",IFERROR(YEAR(F597),"Missing"))</f>
        <v>2022</v>
      </c>
      <c r="S597" s="0" t="str">
        <f aca="false">IF(ISBLANK(E597),"Missing",IF(E597&lt;6,"0-6mo",IF(E597&lt;12,"6-12mo",IF(E597&lt;24,"12-24mo","24mo+"))))</f>
        <v>12-24mo</v>
      </c>
      <c r="T597" s="0" t="n">
        <f aca="false">IF(ISBLANK(C597),0,IF(C597="Month-to-month",2,IF(C597="One year",1,0)))+IF(ISBLANK(I597),0,IF(I597&lt;40,2,IF(I597&lt;55,1,0)))+IF(ISBLANK(M597),0,IF(M597=1,3,0))+IF(ISBLANK(L597),0,IF(L597&gt;=2,1,0))+IF(ISBLANK(E597),0,IF(E597&lt;12,1,0))</f>
        <v>3</v>
      </c>
      <c r="U597" s="0" t="str">
        <f aca="false">IF((ISBLANK(B597)*1+ISBLANK(C597)*1+ISBLANK(D597)*1+ISBLANK(E597)*1+ISBLANK(F597)*1+ISBLANK(I597)*1+ISBLANK(J597)*1+ISBLANK(K597)*1+ISBLANK(L597)*1+ISBLANK(M597)*1+ISBLANK(N597)*1+ISBLANK(O597)*1)&gt;0,"Missing Data","OK")</f>
        <v>OK</v>
      </c>
      <c r="V597" s="0" t="str">
        <f aca="false">IF(T597&gt;=6,"High Risk",IF(T597&gt;=3,"Medium Risk","Low Risk"))</f>
        <v>Medium Risk</v>
      </c>
    </row>
    <row r="598" customFormat="false" ht="12.8" hidden="false" customHeight="false" outlineLevel="0" collapsed="false">
      <c r="A598" s="1" t="s">
        <v>628</v>
      </c>
      <c r="B598" s="1" t="s">
        <v>23</v>
      </c>
      <c r="C598" s="1" t="s">
        <v>34</v>
      </c>
      <c r="D598" s="1" t="n">
        <v>19.67</v>
      </c>
      <c r="E598" s="1" t="n">
        <v>5</v>
      </c>
      <c r="F598" s="4" t="n">
        <v>44635</v>
      </c>
      <c r="G598" s="1" t="s">
        <v>30</v>
      </c>
      <c r="H598" s="1" t="n">
        <v>1</v>
      </c>
      <c r="I598" s="1" t="n">
        <v>73.6</v>
      </c>
      <c r="J598" s="1" t="n">
        <v>18</v>
      </c>
      <c r="K598" s="1" t="n">
        <v>9</v>
      </c>
      <c r="L598" s="1" t="n">
        <v>1</v>
      </c>
      <c r="M598" s="1" t="n">
        <v>0</v>
      </c>
      <c r="N598" s="1" t="n">
        <v>98.35</v>
      </c>
      <c r="O598" s="1" t="n">
        <v>0</v>
      </c>
      <c r="Q598" s="4" t="n">
        <v>44787</v>
      </c>
      <c r="R598" s="0" t="n">
        <f aca="false">IF(ISBLANK(F598),"Missing",IFERROR(YEAR(F598),"Missing"))</f>
        <v>2022</v>
      </c>
      <c r="S598" s="0" t="str">
        <f aca="false">IF(ISBLANK(E598),"Missing",IF(E598&lt;6,"0-6mo",IF(E598&lt;12,"6-12mo",IF(E598&lt;24,"12-24mo","24mo+"))))</f>
        <v>0-6mo</v>
      </c>
      <c r="T598" s="0" t="n">
        <f aca="false">IF(ISBLANK(C598),0,IF(C598="Month-to-month",2,IF(C598="One year",1,0)))+IF(ISBLANK(I598),0,IF(I598&lt;40,2,IF(I598&lt;55,1,0)))+IF(ISBLANK(M598),0,IF(M598=1,3,0))+IF(ISBLANK(L598),0,IF(L598&gt;=2,1,0))+IF(ISBLANK(E598),0,IF(E598&lt;12,1,0))</f>
        <v>2</v>
      </c>
      <c r="U598" s="0" t="str">
        <f aca="false">IF((ISBLANK(B598)*1+ISBLANK(C598)*1+ISBLANK(D598)*1+ISBLANK(E598)*1+ISBLANK(F598)*1+ISBLANK(I598)*1+ISBLANK(J598)*1+ISBLANK(K598)*1+ISBLANK(L598)*1+ISBLANK(M598)*1+ISBLANK(N598)*1+ISBLANK(O598)*1)&gt;0,"Missing Data","OK")</f>
        <v>OK</v>
      </c>
      <c r="V598" s="0" t="str">
        <f aca="false">IF(T598&gt;=6,"High Risk",IF(T598&gt;=3,"Medium Risk","Low Risk"))</f>
        <v>Low Risk</v>
      </c>
    </row>
    <row r="599" customFormat="false" ht="12.8" hidden="false" customHeight="false" outlineLevel="0" collapsed="false">
      <c r="A599" s="1" t="s">
        <v>629</v>
      </c>
      <c r="B599" s="1" t="s">
        <v>23</v>
      </c>
      <c r="C599" s="1" t="s">
        <v>34</v>
      </c>
      <c r="D599" s="1" t="n">
        <v>21.4</v>
      </c>
      <c r="E599" s="1" t="n">
        <v>6</v>
      </c>
      <c r="F599" s="4" t="n">
        <v>44635</v>
      </c>
      <c r="G599" s="1" t="s">
        <v>25</v>
      </c>
      <c r="H599" s="1" t="n">
        <v>0</v>
      </c>
      <c r="I599" s="1" t="n">
        <v>60.4</v>
      </c>
      <c r="J599" s="1" t="n">
        <v>19</v>
      </c>
      <c r="K599" s="1" t="n">
        <v>4</v>
      </c>
      <c r="L599" s="1" t="n">
        <v>4</v>
      </c>
      <c r="M599" s="1" t="n">
        <v>0</v>
      </c>
      <c r="N599" s="1" t="n">
        <v>128.4</v>
      </c>
      <c r="O599" s="1" t="n">
        <v>0</v>
      </c>
      <c r="Q599" s="4" t="n">
        <v>44817</v>
      </c>
      <c r="R599" s="0" t="n">
        <f aca="false">IF(ISBLANK(F599),"Missing",IFERROR(YEAR(F599),"Missing"))</f>
        <v>2022</v>
      </c>
      <c r="S599" s="0" t="str">
        <f aca="false">IF(ISBLANK(E599),"Missing",IF(E599&lt;6,"0-6mo",IF(E599&lt;12,"6-12mo",IF(E599&lt;24,"12-24mo","24mo+"))))</f>
        <v>6-12mo</v>
      </c>
      <c r="T599" s="0" t="n">
        <f aca="false">IF(ISBLANK(C599),0,IF(C599="Month-to-month",2,IF(C599="One year",1,0)))+IF(ISBLANK(I599),0,IF(I599&lt;40,2,IF(I599&lt;55,1,0)))+IF(ISBLANK(M599),0,IF(M599=1,3,0))+IF(ISBLANK(L599),0,IF(L599&gt;=2,1,0))+IF(ISBLANK(E599),0,IF(E599&lt;12,1,0))</f>
        <v>3</v>
      </c>
      <c r="U599" s="0" t="str">
        <f aca="false">IF((ISBLANK(B599)*1+ISBLANK(C599)*1+ISBLANK(D599)*1+ISBLANK(E599)*1+ISBLANK(F599)*1+ISBLANK(I599)*1+ISBLANK(J599)*1+ISBLANK(K599)*1+ISBLANK(L599)*1+ISBLANK(M599)*1+ISBLANK(N599)*1+ISBLANK(O599)*1)&gt;0,"Missing Data","OK")</f>
        <v>OK</v>
      </c>
      <c r="V599" s="0" t="str">
        <f aca="false">IF(T599&gt;=6,"High Risk",IF(T599&gt;=3,"Medium Risk","Low Risk"))</f>
        <v>Medium Risk</v>
      </c>
    </row>
    <row r="600" customFormat="false" ht="12.8" hidden="false" customHeight="false" outlineLevel="0" collapsed="false">
      <c r="A600" s="1" t="s">
        <v>630</v>
      </c>
      <c r="B600" s="1" t="s">
        <v>23</v>
      </c>
      <c r="C600" s="1" t="s">
        <v>34</v>
      </c>
      <c r="D600" s="1" t="n">
        <v>20.36</v>
      </c>
      <c r="E600" s="1" t="n">
        <v>13</v>
      </c>
      <c r="F600" s="4" t="n">
        <v>44635</v>
      </c>
      <c r="G600" s="1" t="s">
        <v>25</v>
      </c>
      <c r="H600" s="1" t="n">
        <v>1</v>
      </c>
      <c r="I600" s="1" t="n">
        <v>74.2</v>
      </c>
      <c r="J600" s="1" t="n">
        <v>17</v>
      </c>
      <c r="K600" s="1" t="n">
        <v>10</v>
      </c>
      <c r="L600" s="1" t="n">
        <v>0</v>
      </c>
      <c r="M600" s="1" t="n">
        <v>0</v>
      </c>
      <c r="N600" s="1" t="n">
        <v>264.68</v>
      </c>
      <c r="O600" s="1" t="n">
        <v>0</v>
      </c>
      <c r="Q600" s="4" t="n">
        <v>45030</v>
      </c>
      <c r="R600" s="0" t="n">
        <f aca="false">IF(ISBLANK(F600),"Missing",IFERROR(YEAR(F600),"Missing"))</f>
        <v>2022</v>
      </c>
      <c r="S600" s="0" t="str">
        <f aca="false">IF(ISBLANK(E600),"Missing",IF(E600&lt;6,"0-6mo",IF(E600&lt;12,"6-12mo",IF(E600&lt;24,"12-24mo","24mo+"))))</f>
        <v>12-24mo</v>
      </c>
      <c r="T600" s="0" t="n">
        <f aca="false">IF(ISBLANK(C600),0,IF(C600="Month-to-month",2,IF(C600="One year",1,0)))+IF(ISBLANK(I600),0,IF(I600&lt;40,2,IF(I600&lt;55,1,0)))+IF(ISBLANK(M600),0,IF(M600=1,3,0))+IF(ISBLANK(L600),0,IF(L600&gt;=2,1,0))+IF(ISBLANK(E600),0,IF(E600&lt;12,1,0))</f>
        <v>1</v>
      </c>
      <c r="U600" s="0" t="str">
        <f aca="false">IF((ISBLANK(B600)*1+ISBLANK(C600)*1+ISBLANK(D600)*1+ISBLANK(E600)*1+ISBLANK(F600)*1+ISBLANK(I600)*1+ISBLANK(J600)*1+ISBLANK(K600)*1+ISBLANK(L600)*1+ISBLANK(M600)*1+ISBLANK(N600)*1+ISBLANK(O600)*1)&gt;0,"Missing Data","OK")</f>
        <v>OK</v>
      </c>
      <c r="V600" s="0" t="str">
        <f aca="false">IF(T600&gt;=6,"High Risk",IF(T600&gt;=3,"Medium Risk","Low Risk"))</f>
        <v>Low Risk</v>
      </c>
    </row>
    <row r="601" customFormat="false" ht="12.8" hidden="false" customHeight="false" outlineLevel="0" collapsed="false">
      <c r="A601" s="1" t="s">
        <v>631</v>
      </c>
      <c r="B601" s="1" t="s">
        <v>36</v>
      </c>
      <c r="C601" s="1" t="s">
        <v>51</v>
      </c>
      <c r="D601" s="1" t="n">
        <v>9.51</v>
      </c>
      <c r="E601" s="1" t="n">
        <v>36</v>
      </c>
      <c r="F601" s="4" t="n">
        <v>44639</v>
      </c>
      <c r="G601" s="1" t="s">
        <v>25</v>
      </c>
      <c r="H601" s="1" t="n">
        <v>0</v>
      </c>
      <c r="I601" s="1" t="n">
        <v>32.6</v>
      </c>
      <c r="J601" s="1" t="n">
        <v>4</v>
      </c>
      <c r="K601" s="1" t="n">
        <v>2</v>
      </c>
      <c r="L601" s="1" t="n">
        <v>1</v>
      </c>
      <c r="M601" s="1" t="n">
        <v>1</v>
      </c>
      <c r="N601" s="1" t="n">
        <v>342.36</v>
      </c>
      <c r="O601" s="1" t="n">
        <v>0</v>
      </c>
      <c r="Q601" s="4" t="n">
        <v>45734</v>
      </c>
      <c r="R601" s="0" t="n">
        <f aca="false">IF(ISBLANK(F601),"Missing",IFERROR(YEAR(F601),"Missing"))</f>
        <v>2022</v>
      </c>
      <c r="S601" s="0" t="str">
        <f aca="false">IF(ISBLANK(E601),"Missing",IF(E601&lt;6,"0-6mo",IF(E601&lt;12,"6-12mo",IF(E601&lt;24,"12-24mo","24mo+"))))</f>
        <v>24mo+</v>
      </c>
      <c r="T601" s="0" t="n">
        <f aca="false">IF(ISBLANK(C601),0,IF(C601="Month-to-month",2,IF(C601="One year",1,0)))+IF(ISBLANK(I601),0,IF(I601&lt;40,2,IF(I601&lt;55,1,0)))+IF(ISBLANK(M601),0,IF(M601=1,3,0))+IF(ISBLANK(L601),0,IF(L601&gt;=2,1,0))+IF(ISBLANK(E601),0,IF(E601&lt;12,1,0))</f>
        <v>5</v>
      </c>
      <c r="U601" s="0" t="str">
        <f aca="false">IF((ISBLANK(B601)*1+ISBLANK(C601)*1+ISBLANK(D601)*1+ISBLANK(E601)*1+ISBLANK(F601)*1+ISBLANK(I601)*1+ISBLANK(J601)*1+ISBLANK(K601)*1+ISBLANK(L601)*1+ISBLANK(M601)*1+ISBLANK(N601)*1+ISBLANK(O601)*1)&gt;0,"Missing Data","OK")</f>
        <v>OK</v>
      </c>
      <c r="V601" s="0" t="str">
        <f aca="false">IF(T601&gt;=6,"High Risk",IF(T601&gt;=3,"Medium Risk","Low Risk"))</f>
        <v>Medium Risk</v>
      </c>
    </row>
    <row r="602" customFormat="false" ht="12.8" hidden="false" customHeight="false" outlineLevel="0" collapsed="false">
      <c r="A602" s="1" t="s">
        <v>632</v>
      </c>
      <c r="B602" s="1" t="s">
        <v>29</v>
      </c>
      <c r="C602" s="1" t="s">
        <v>51</v>
      </c>
      <c r="D602" s="1" t="n">
        <v>39.99</v>
      </c>
      <c r="E602" s="1" t="n">
        <v>6</v>
      </c>
      <c r="F602" s="4" t="n">
        <v>44640</v>
      </c>
      <c r="G602" s="1" t="s">
        <v>39</v>
      </c>
      <c r="H602" s="1" t="n">
        <v>0</v>
      </c>
      <c r="I602" s="1" t="n">
        <v>46.3</v>
      </c>
      <c r="J602" s="1" t="n">
        <v>11</v>
      </c>
      <c r="K602" s="1" t="n">
        <v>8</v>
      </c>
      <c r="L602" s="1" t="n">
        <v>2</v>
      </c>
      <c r="M602" s="1" t="n">
        <v>1</v>
      </c>
      <c r="N602" s="1" t="n">
        <v>239.94</v>
      </c>
      <c r="O602" s="1" t="n">
        <v>0</v>
      </c>
      <c r="Q602" s="4" t="n">
        <v>44822</v>
      </c>
      <c r="R602" s="0" t="n">
        <f aca="false">IF(ISBLANK(F602),"Missing",IFERROR(YEAR(F602),"Missing"))</f>
        <v>2022</v>
      </c>
      <c r="S602" s="0" t="str">
        <f aca="false">IF(ISBLANK(E602),"Missing",IF(E602&lt;6,"0-6mo",IF(E602&lt;12,"6-12mo",IF(E602&lt;24,"12-24mo","24mo+"))))</f>
        <v>6-12mo</v>
      </c>
      <c r="T602" s="0" t="n">
        <f aca="false">IF(ISBLANK(C602),0,IF(C602="Month-to-month",2,IF(C602="One year",1,0)))+IF(ISBLANK(I602),0,IF(I602&lt;40,2,IF(I602&lt;55,1,0)))+IF(ISBLANK(M602),0,IF(M602=1,3,0))+IF(ISBLANK(L602),0,IF(L602&gt;=2,1,0))+IF(ISBLANK(E602),0,IF(E602&lt;12,1,0))</f>
        <v>6</v>
      </c>
      <c r="U602" s="0" t="str">
        <f aca="false">IF((ISBLANK(B602)*1+ISBLANK(C602)*1+ISBLANK(D602)*1+ISBLANK(E602)*1+ISBLANK(F602)*1+ISBLANK(I602)*1+ISBLANK(J602)*1+ISBLANK(K602)*1+ISBLANK(L602)*1+ISBLANK(M602)*1+ISBLANK(N602)*1+ISBLANK(O602)*1)&gt;0,"Missing Data","OK")</f>
        <v>OK</v>
      </c>
      <c r="V602" s="0" t="str">
        <f aca="false">IF(T602&gt;=6,"High Risk",IF(T602&gt;=3,"Medium Risk","Low Risk"))</f>
        <v>High Risk</v>
      </c>
    </row>
    <row r="603" customFormat="false" ht="12.8" hidden="false" customHeight="false" outlineLevel="0" collapsed="false">
      <c r="A603" s="1" t="s">
        <v>633</v>
      </c>
      <c r="B603" s="1" t="s">
        <v>23</v>
      </c>
      <c r="C603" s="1" t="s">
        <v>34</v>
      </c>
      <c r="D603" s="1" t="n">
        <v>19.5</v>
      </c>
      <c r="E603" s="1" t="n">
        <v>1</v>
      </c>
      <c r="F603" s="4" t="n">
        <v>44642</v>
      </c>
      <c r="G603" s="1" t="s">
        <v>25</v>
      </c>
      <c r="H603" s="1" t="n">
        <v>1</v>
      </c>
      <c r="I603" s="1" t="n">
        <v>38.6</v>
      </c>
      <c r="J603" s="1" t="n">
        <v>16</v>
      </c>
      <c r="K603" s="1" t="n">
        <v>4</v>
      </c>
      <c r="L603" s="1" t="n">
        <v>1</v>
      </c>
      <c r="M603" s="1" t="n">
        <v>1</v>
      </c>
      <c r="N603" s="1" t="n">
        <v>19.5</v>
      </c>
      <c r="O603" s="1" t="n">
        <v>0</v>
      </c>
      <c r="Q603" s="4" t="n">
        <v>44672</v>
      </c>
      <c r="R603" s="0" t="n">
        <f aca="false">IF(ISBLANK(F603),"Missing",IFERROR(YEAR(F603),"Missing"))</f>
        <v>2022</v>
      </c>
      <c r="S603" s="0" t="str">
        <f aca="false">IF(ISBLANK(E603),"Missing",IF(E603&lt;6,"0-6mo",IF(E603&lt;12,"6-12mo",IF(E603&lt;24,"12-24mo","24mo+"))))</f>
        <v>0-6mo</v>
      </c>
      <c r="T603" s="0" t="n">
        <f aca="false">IF(ISBLANK(C603),0,IF(C603="Month-to-month",2,IF(C603="One year",1,0)))+IF(ISBLANK(I603),0,IF(I603&lt;40,2,IF(I603&lt;55,1,0)))+IF(ISBLANK(M603),0,IF(M603=1,3,0))+IF(ISBLANK(L603),0,IF(L603&gt;=2,1,0))+IF(ISBLANK(E603),0,IF(E603&lt;12,1,0))</f>
        <v>7</v>
      </c>
      <c r="U603" s="0" t="str">
        <f aca="false">IF((ISBLANK(B603)*1+ISBLANK(C603)*1+ISBLANK(D603)*1+ISBLANK(E603)*1+ISBLANK(F603)*1+ISBLANK(I603)*1+ISBLANK(J603)*1+ISBLANK(K603)*1+ISBLANK(L603)*1+ISBLANK(M603)*1+ISBLANK(N603)*1+ISBLANK(O603)*1)&gt;0,"Missing Data","OK")</f>
        <v>OK</v>
      </c>
      <c r="V603" s="0" t="str">
        <f aca="false">IF(T603&gt;=6,"High Risk",IF(T603&gt;=3,"Medium Risk","Low Risk"))</f>
        <v>High Risk</v>
      </c>
    </row>
    <row r="604" customFormat="false" ht="12.8" hidden="false" customHeight="false" outlineLevel="0" collapsed="false">
      <c r="A604" s="1" t="s">
        <v>634</v>
      </c>
      <c r="B604" s="1" t="s">
        <v>29</v>
      </c>
      <c r="C604" s="1" t="s">
        <v>24</v>
      </c>
      <c r="D604" s="1" t="n">
        <v>40.46</v>
      </c>
      <c r="E604" s="1" t="n">
        <v>22</v>
      </c>
      <c r="F604" s="4" t="n">
        <v>44642</v>
      </c>
      <c r="G604" s="1" t="s">
        <v>27</v>
      </c>
      <c r="H604" s="1" t="n">
        <v>1</v>
      </c>
      <c r="I604" s="1" t="n">
        <v>33.3</v>
      </c>
      <c r="J604" s="1" t="n">
        <v>14</v>
      </c>
      <c r="K604" s="1" t="n">
        <v>1</v>
      </c>
      <c r="L604" s="1" t="n">
        <v>0</v>
      </c>
      <c r="M604" s="1" t="n">
        <v>0</v>
      </c>
      <c r="N604" s="1" t="n">
        <v>890.12</v>
      </c>
      <c r="O604" s="1" t="n">
        <v>0</v>
      </c>
      <c r="Q604" s="4" t="n">
        <v>45311</v>
      </c>
      <c r="R604" s="0" t="n">
        <f aca="false">IF(ISBLANK(F604),"Missing",IFERROR(YEAR(F604),"Missing"))</f>
        <v>2022</v>
      </c>
      <c r="S604" s="0" t="str">
        <f aca="false">IF(ISBLANK(E604),"Missing",IF(E604&lt;6,"0-6mo",IF(E604&lt;12,"6-12mo",IF(E604&lt;24,"12-24mo","24mo+"))))</f>
        <v>12-24mo</v>
      </c>
      <c r="T604" s="0" t="n">
        <f aca="false">IF(ISBLANK(C604),0,IF(C604="Month-to-month",2,IF(C604="One year",1,0)))+IF(ISBLANK(I604),0,IF(I604&lt;40,2,IF(I604&lt;55,1,0)))+IF(ISBLANK(M604),0,IF(M604=1,3,0))+IF(ISBLANK(L604),0,IF(L604&gt;=2,1,0))+IF(ISBLANK(E604),0,IF(E604&lt;12,1,0))</f>
        <v>4</v>
      </c>
      <c r="U604" s="0" t="str">
        <f aca="false">IF((ISBLANK(B604)*1+ISBLANK(C604)*1+ISBLANK(D604)*1+ISBLANK(E604)*1+ISBLANK(F604)*1+ISBLANK(I604)*1+ISBLANK(J604)*1+ISBLANK(K604)*1+ISBLANK(L604)*1+ISBLANK(M604)*1+ISBLANK(N604)*1+ISBLANK(O604)*1)&gt;0,"Missing Data","OK")</f>
        <v>OK</v>
      </c>
      <c r="V604" s="0" t="str">
        <f aca="false">IF(T604&gt;=6,"High Risk",IF(T604&gt;=3,"Medium Risk","Low Risk"))</f>
        <v>Medium Risk</v>
      </c>
    </row>
    <row r="605" customFormat="false" ht="12.8" hidden="false" customHeight="false" outlineLevel="0" collapsed="false">
      <c r="A605" s="1" t="s">
        <v>635</v>
      </c>
      <c r="B605" s="1" t="s">
        <v>36</v>
      </c>
      <c r="C605" s="1" t="s">
        <v>34</v>
      </c>
      <c r="D605" s="1" t="n">
        <v>8.38</v>
      </c>
      <c r="E605" s="1" t="n">
        <v>9</v>
      </c>
      <c r="F605" s="4" t="n">
        <v>44647</v>
      </c>
      <c r="G605" s="1" t="s">
        <v>27</v>
      </c>
      <c r="H605" s="1" t="n">
        <v>0</v>
      </c>
      <c r="I605" s="1" t="n">
        <v>43.2</v>
      </c>
      <c r="J605" s="1" t="n">
        <v>16</v>
      </c>
      <c r="K605" s="1" t="n">
        <v>6</v>
      </c>
      <c r="L605" s="1" t="n">
        <v>1</v>
      </c>
      <c r="M605" s="1" t="n">
        <v>1</v>
      </c>
      <c r="N605" s="1" t="n">
        <v>75.42</v>
      </c>
      <c r="O605" s="1" t="n">
        <v>1</v>
      </c>
      <c r="P605" s="4" t="n">
        <v>44920</v>
      </c>
      <c r="Q605" s="4" t="n">
        <v>44920</v>
      </c>
      <c r="R605" s="0" t="n">
        <f aca="false">IF(ISBLANK(F605),"Missing",IFERROR(YEAR(F605),"Missing"))</f>
        <v>2022</v>
      </c>
      <c r="S605" s="0" t="str">
        <f aca="false">IF(ISBLANK(E605),"Missing",IF(E605&lt;6,"0-6mo",IF(E605&lt;12,"6-12mo",IF(E605&lt;24,"12-24mo","24mo+"))))</f>
        <v>6-12mo</v>
      </c>
      <c r="T605" s="0" t="n">
        <f aca="false">IF(ISBLANK(C605),0,IF(C605="Month-to-month",2,IF(C605="One year",1,0)))+IF(ISBLANK(I605),0,IF(I605&lt;40,2,IF(I605&lt;55,1,0)))+IF(ISBLANK(M605),0,IF(M605=1,3,0))+IF(ISBLANK(L605),0,IF(L605&gt;=2,1,0))+IF(ISBLANK(E605),0,IF(E605&lt;12,1,0))</f>
        <v>6</v>
      </c>
      <c r="U605" s="0" t="str">
        <f aca="false">IF((ISBLANK(B605)*1+ISBLANK(C605)*1+ISBLANK(D605)*1+ISBLANK(E605)*1+ISBLANK(F605)*1+ISBLANK(I605)*1+ISBLANK(J605)*1+ISBLANK(K605)*1+ISBLANK(L605)*1+ISBLANK(M605)*1+ISBLANK(N605)*1+ISBLANK(O605)*1)&gt;0,"Missing Data","OK")</f>
        <v>OK</v>
      </c>
      <c r="V605" s="0" t="str">
        <f aca="false">IF(T605&gt;=6,"High Risk",IF(T605&gt;=3,"Medium Risk","Low Risk"))</f>
        <v>High Risk</v>
      </c>
    </row>
    <row r="606" customFormat="false" ht="12.8" hidden="false" customHeight="false" outlineLevel="0" collapsed="false">
      <c r="A606" s="1" t="s">
        <v>636</v>
      </c>
      <c r="B606" s="1" t="s">
        <v>36</v>
      </c>
      <c r="C606" s="1" t="s">
        <v>34</v>
      </c>
      <c r="D606" s="1" t="n">
        <v>9.62</v>
      </c>
      <c r="E606" s="1" t="n">
        <v>0</v>
      </c>
      <c r="F606" s="4" t="n">
        <v>44647</v>
      </c>
      <c r="G606" s="1" t="s">
        <v>30</v>
      </c>
      <c r="H606" s="1" t="n">
        <v>1</v>
      </c>
      <c r="I606" s="1" t="n">
        <v>45</v>
      </c>
      <c r="J606" s="1" t="n">
        <v>7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1</v>
      </c>
      <c r="P606" s="4" t="n">
        <v>44647</v>
      </c>
      <c r="Q606" s="4" t="n">
        <v>44647</v>
      </c>
      <c r="R606" s="0" t="n">
        <f aca="false">IF(ISBLANK(F606),"Missing",IFERROR(YEAR(F606),"Missing"))</f>
        <v>2022</v>
      </c>
      <c r="S606" s="0" t="str">
        <f aca="false">IF(ISBLANK(E606),"Missing",IF(E606&lt;6,"0-6mo",IF(E606&lt;12,"6-12mo",IF(E606&lt;24,"12-24mo","24mo+"))))</f>
        <v>0-6mo</v>
      </c>
      <c r="T606" s="0" t="n">
        <f aca="false">IF(ISBLANK(C606),0,IF(C606="Month-to-month",2,IF(C606="One year",1,0)))+IF(ISBLANK(I606),0,IF(I606&lt;40,2,IF(I606&lt;55,1,0)))+IF(ISBLANK(M606),0,IF(M606=1,3,0))+IF(ISBLANK(L606),0,IF(L606&gt;=2,1,0))+IF(ISBLANK(E606),0,IF(E606&lt;12,1,0))</f>
        <v>3</v>
      </c>
      <c r="U606" s="0" t="str">
        <f aca="false">IF((ISBLANK(B606)*1+ISBLANK(C606)*1+ISBLANK(D606)*1+ISBLANK(E606)*1+ISBLANK(F606)*1+ISBLANK(I606)*1+ISBLANK(J606)*1+ISBLANK(K606)*1+ISBLANK(L606)*1+ISBLANK(M606)*1+ISBLANK(N606)*1+ISBLANK(O606)*1)&gt;0,"Missing Data","OK")</f>
        <v>OK</v>
      </c>
      <c r="V606" s="0" t="str">
        <f aca="false">IF(T606&gt;=6,"High Risk",IF(T606&gt;=3,"Medium Risk","Low Risk"))</f>
        <v>Medium Risk</v>
      </c>
    </row>
    <row r="607" customFormat="false" ht="12.8" hidden="false" customHeight="false" outlineLevel="0" collapsed="false">
      <c r="A607" s="1" t="s">
        <v>637</v>
      </c>
      <c r="B607" s="1" t="s">
        <v>36</v>
      </c>
      <c r="C607" s="1" t="s">
        <v>24</v>
      </c>
      <c r="D607" s="1" t="n">
        <v>9.96</v>
      </c>
      <c r="E607" s="1" t="n">
        <v>9</v>
      </c>
      <c r="F607" s="4" t="n">
        <v>44649</v>
      </c>
      <c r="G607" s="1" t="s">
        <v>30</v>
      </c>
      <c r="H607" s="1" t="n">
        <v>1</v>
      </c>
      <c r="I607" s="1" t="n">
        <v>96.8</v>
      </c>
      <c r="J607" s="1" t="n">
        <v>25</v>
      </c>
      <c r="K607" s="1" t="n">
        <v>7</v>
      </c>
      <c r="L607" s="1" t="n">
        <v>5</v>
      </c>
      <c r="M607" s="1" t="n">
        <v>0</v>
      </c>
      <c r="N607" s="1" t="n">
        <v>89.64</v>
      </c>
      <c r="O607" s="1" t="n">
        <v>0</v>
      </c>
      <c r="Q607" s="4" t="n">
        <v>44922</v>
      </c>
      <c r="R607" s="0" t="n">
        <f aca="false">IF(ISBLANK(F607),"Missing",IFERROR(YEAR(F607),"Missing"))</f>
        <v>2022</v>
      </c>
      <c r="S607" s="0" t="str">
        <f aca="false">IF(ISBLANK(E607),"Missing",IF(E607&lt;6,"0-6mo",IF(E607&lt;12,"6-12mo",IF(E607&lt;24,"12-24mo","24mo+"))))</f>
        <v>6-12mo</v>
      </c>
      <c r="T607" s="0" t="n">
        <f aca="false">IF(ISBLANK(C607),0,IF(C607="Month-to-month",2,IF(C607="One year",1,0)))+IF(ISBLANK(I607),0,IF(I607&lt;40,2,IF(I607&lt;55,1,0)))+IF(ISBLANK(M607),0,IF(M607=1,3,0))+IF(ISBLANK(L607),0,IF(L607&gt;=2,1,0))+IF(ISBLANK(E607),0,IF(E607&lt;12,1,0))</f>
        <v>4</v>
      </c>
      <c r="U607" s="0" t="str">
        <f aca="false">IF((ISBLANK(B607)*1+ISBLANK(C607)*1+ISBLANK(D607)*1+ISBLANK(E607)*1+ISBLANK(F607)*1+ISBLANK(I607)*1+ISBLANK(J607)*1+ISBLANK(K607)*1+ISBLANK(L607)*1+ISBLANK(M607)*1+ISBLANK(N607)*1+ISBLANK(O607)*1)&gt;0,"Missing Data","OK")</f>
        <v>OK</v>
      </c>
      <c r="V607" s="0" t="str">
        <f aca="false">IF(T607&gt;=6,"High Risk",IF(T607&gt;=3,"Medium Risk","Low Risk"))</f>
        <v>Medium Risk</v>
      </c>
    </row>
    <row r="608" customFormat="false" ht="12.8" hidden="false" customHeight="false" outlineLevel="0" collapsed="false">
      <c r="A608" s="1" t="s">
        <v>638</v>
      </c>
      <c r="B608" s="1" t="s">
        <v>23</v>
      </c>
      <c r="C608" s="1" t="s">
        <v>24</v>
      </c>
      <c r="D608" s="1" t="n">
        <v>18.62</v>
      </c>
      <c r="E608" s="1" t="n">
        <v>12</v>
      </c>
      <c r="F608" s="4" t="n">
        <v>44649</v>
      </c>
      <c r="G608" s="1" t="s">
        <v>30</v>
      </c>
      <c r="H608" s="1" t="n">
        <v>0</v>
      </c>
      <c r="I608" s="1" t="n">
        <v>71.9</v>
      </c>
      <c r="J608" s="1" t="n">
        <v>24</v>
      </c>
      <c r="K608" s="1" t="n">
        <v>9</v>
      </c>
      <c r="L608" s="1" t="n">
        <v>7</v>
      </c>
      <c r="M608" s="1" t="n">
        <v>0</v>
      </c>
      <c r="N608" s="1" t="n">
        <v>223.44</v>
      </c>
      <c r="O608" s="1" t="n">
        <v>1</v>
      </c>
      <c r="P608" s="4" t="n">
        <v>45014</v>
      </c>
      <c r="Q608" s="4" t="n">
        <v>45014</v>
      </c>
      <c r="R608" s="0" t="n">
        <f aca="false">IF(ISBLANK(F608),"Missing",IFERROR(YEAR(F608),"Missing"))</f>
        <v>2022</v>
      </c>
      <c r="S608" s="0" t="str">
        <f aca="false">IF(ISBLANK(E608),"Missing",IF(E608&lt;6,"0-6mo",IF(E608&lt;12,"6-12mo",IF(E608&lt;24,"12-24mo","24mo+"))))</f>
        <v>12-24mo</v>
      </c>
      <c r="T608" s="0" t="n">
        <f aca="false">IF(ISBLANK(C608),0,IF(C608="Month-to-month",2,IF(C608="One year",1,0)))+IF(ISBLANK(I608),0,IF(I608&lt;40,2,IF(I608&lt;55,1,0)))+IF(ISBLANK(M608),0,IF(M608=1,3,0))+IF(ISBLANK(L608),0,IF(L608&gt;=2,1,0))+IF(ISBLANK(E608),0,IF(E608&lt;12,1,0))</f>
        <v>3</v>
      </c>
      <c r="U608" s="0" t="str">
        <f aca="false">IF((ISBLANK(B608)*1+ISBLANK(C608)*1+ISBLANK(D608)*1+ISBLANK(E608)*1+ISBLANK(F608)*1+ISBLANK(I608)*1+ISBLANK(J608)*1+ISBLANK(K608)*1+ISBLANK(L608)*1+ISBLANK(M608)*1+ISBLANK(N608)*1+ISBLANK(O608)*1)&gt;0,"Missing Data","OK")</f>
        <v>OK</v>
      </c>
      <c r="V608" s="0" t="str">
        <f aca="false">IF(T608&gt;=6,"High Risk",IF(T608&gt;=3,"Medium Risk","Low Risk"))</f>
        <v>Medium Risk</v>
      </c>
    </row>
    <row r="609" customFormat="false" ht="12.8" hidden="false" customHeight="false" outlineLevel="0" collapsed="false">
      <c r="A609" s="1" t="s">
        <v>639</v>
      </c>
      <c r="B609" s="1" t="s">
        <v>29</v>
      </c>
      <c r="C609" s="1" t="s">
        <v>24</v>
      </c>
      <c r="D609" s="1" t="n">
        <v>39.44</v>
      </c>
      <c r="E609" s="1" t="n">
        <v>26</v>
      </c>
      <c r="F609" s="4" t="n">
        <v>44649</v>
      </c>
      <c r="G609" s="1" t="s">
        <v>25</v>
      </c>
      <c r="H609" s="1" t="n">
        <v>1</v>
      </c>
      <c r="I609" s="1" t="n">
        <v>53.5</v>
      </c>
      <c r="J609" s="1" t="n">
        <v>16</v>
      </c>
      <c r="K609" s="1" t="n">
        <v>6</v>
      </c>
      <c r="L609" s="1" t="n">
        <v>1</v>
      </c>
      <c r="M609" s="1" t="n">
        <v>1</v>
      </c>
      <c r="N609" s="1" t="n">
        <v>1025.44</v>
      </c>
      <c r="O609" s="1" t="n">
        <v>1</v>
      </c>
      <c r="P609" s="4" t="n">
        <v>45440</v>
      </c>
      <c r="Q609" s="4" t="n">
        <v>45440</v>
      </c>
      <c r="R609" s="0" t="n">
        <f aca="false">IF(ISBLANK(F609),"Missing",IFERROR(YEAR(F609),"Missing"))</f>
        <v>2022</v>
      </c>
      <c r="S609" s="0" t="str">
        <f aca="false">IF(ISBLANK(E609),"Missing",IF(E609&lt;6,"0-6mo",IF(E609&lt;12,"6-12mo",IF(E609&lt;24,"12-24mo","24mo+"))))</f>
        <v>24mo+</v>
      </c>
      <c r="T609" s="0" t="n">
        <f aca="false">IF(ISBLANK(C609),0,IF(C609="Month-to-month",2,IF(C609="One year",1,0)))+IF(ISBLANK(I609),0,IF(I609&lt;40,2,IF(I609&lt;55,1,0)))+IF(ISBLANK(M609),0,IF(M609=1,3,0))+IF(ISBLANK(L609),0,IF(L609&gt;=2,1,0))+IF(ISBLANK(E609),0,IF(E609&lt;12,1,0))</f>
        <v>6</v>
      </c>
      <c r="U609" s="0" t="str">
        <f aca="false">IF((ISBLANK(B609)*1+ISBLANK(C609)*1+ISBLANK(D609)*1+ISBLANK(E609)*1+ISBLANK(F609)*1+ISBLANK(I609)*1+ISBLANK(J609)*1+ISBLANK(K609)*1+ISBLANK(L609)*1+ISBLANK(M609)*1+ISBLANK(N609)*1+ISBLANK(O609)*1)&gt;0,"Missing Data","OK")</f>
        <v>OK</v>
      </c>
      <c r="V609" s="0" t="str">
        <f aca="false">IF(T609&gt;=6,"High Risk",IF(T609&gt;=3,"Medium Risk","Low Risk"))</f>
        <v>High Risk</v>
      </c>
    </row>
    <row r="610" customFormat="false" ht="12.8" hidden="false" customHeight="false" outlineLevel="0" collapsed="false">
      <c r="A610" s="1" t="s">
        <v>640</v>
      </c>
      <c r="B610" s="1" t="s">
        <v>29</v>
      </c>
      <c r="C610" s="1" t="s">
        <v>24</v>
      </c>
      <c r="D610" s="1" t="n">
        <v>40.07</v>
      </c>
      <c r="E610" s="1" t="n">
        <v>11</v>
      </c>
      <c r="F610" s="4" t="n">
        <v>44650</v>
      </c>
      <c r="G610" s="1" t="s">
        <v>25</v>
      </c>
      <c r="H610" s="1" t="n">
        <v>1</v>
      </c>
      <c r="I610" s="1" t="n">
        <v>52.7</v>
      </c>
      <c r="J610" s="1" t="n">
        <v>17</v>
      </c>
      <c r="K610" s="1" t="n">
        <v>6</v>
      </c>
      <c r="L610" s="1" t="n">
        <v>3</v>
      </c>
      <c r="M610" s="1" t="n">
        <v>0</v>
      </c>
      <c r="N610" s="1" t="n">
        <v>440.77</v>
      </c>
      <c r="O610" s="1" t="n">
        <v>1</v>
      </c>
      <c r="P610" s="4" t="n">
        <v>44984</v>
      </c>
      <c r="Q610" s="4" t="n">
        <v>44984</v>
      </c>
      <c r="R610" s="0" t="n">
        <f aca="false">IF(ISBLANK(F610),"Missing",IFERROR(YEAR(F610),"Missing"))</f>
        <v>2022</v>
      </c>
      <c r="S610" s="0" t="str">
        <f aca="false">IF(ISBLANK(E610),"Missing",IF(E610&lt;6,"0-6mo",IF(E610&lt;12,"6-12mo",IF(E610&lt;24,"12-24mo","24mo+"))))</f>
        <v>6-12mo</v>
      </c>
      <c r="T610" s="0" t="n">
        <f aca="false">IF(ISBLANK(C610),0,IF(C610="Month-to-month",2,IF(C610="One year",1,0)))+IF(ISBLANK(I610),0,IF(I610&lt;40,2,IF(I610&lt;55,1,0)))+IF(ISBLANK(M610),0,IF(M610=1,3,0))+IF(ISBLANK(L610),0,IF(L610&gt;=2,1,0))+IF(ISBLANK(E610),0,IF(E610&lt;12,1,0))</f>
        <v>5</v>
      </c>
      <c r="U610" s="0" t="str">
        <f aca="false">IF((ISBLANK(B610)*1+ISBLANK(C610)*1+ISBLANK(D610)*1+ISBLANK(E610)*1+ISBLANK(F610)*1+ISBLANK(I610)*1+ISBLANK(J610)*1+ISBLANK(K610)*1+ISBLANK(L610)*1+ISBLANK(M610)*1+ISBLANK(N610)*1+ISBLANK(O610)*1)&gt;0,"Missing Data","OK")</f>
        <v>OK</v>
      </c>
      <c r="V610" s="0" t="str">
        <f aca="false">IF(T610&gt;=6,"High Risk",IF(T610&gt;=3,"Medium Risk","Low Risk"))</f>
        <v>Medium Risk</v>
      </c>
    </row>
    <row r="611" customFormat="false" ht="12.8" hidden="false" customHeight="false" outlineLevel="0" collapsed="false">
      <c r="A611" s="1" t="s">
        <v>641</v>
      </c>
      <c r="B611" s="1" t="s">
        <v>23</v>
      </c>
      <c r="C611" s="1" t="s">
        <v>24</v>
      </c>
      <c r="D611" s="1" t="n">
        <v>19.15</v>
      </c>
      <c r="E611" s="1" t="n">
        <v>8</v>
      </c>
      <c r="F611" s="4" t="n">
        <v>44651</v>
      </c>
      <c r="G611" s="1" t="s">
        <v>39</v>
      </c>
      <c r="H611" s="1" t="n">
        <v>1</v>
      </c>
      <c r="I611" s="1" t="n">
        <v>52.5</v>
      </c>
      <c r="J611" s="1" t="n">
        <v>19</v>
      </c>
      <c r="K611" s="1" t="n">
        <v>3</v>
      </c>
      <c r="L611" s="1" t="n">
        <v>1</v>
      </c>
      <c r="M611" s="1" t="n">
        <v>1</v>
      </c>
      <c r="N611" s="1" t="n">
        <v>153.2</v>
      </c>
      <c r="O611" s="1" t="n">
        <v>0</v>
      </c>
      <c r="Q611" s="4" t="n">
        <v>44894</v>
      </c>
      <c r="R611" s="0" t="n">
        <f aca="false">IF(ISBLANK(F611),"Missing",IFERROR(YEAR(F611),"Missing"))</f>
        <v>2022</v>
      </c>
      <c r="S611" s="0" t="str">
        <f aca="false">IF(ISBLANK(E611),"Missing",IF(E611&lt;6,"0-6mo",IF(E611&lt;12,"6-12mo",IF(E611&lt;24,"12-24mo","24mo+"))))</f>
        <v>6-12mo</v>
      </c>
      <c r="T611" s="0" t="n">
        <f aca="false">IF(ISBLANK(C611),0,IF(C611="Month-to-month",2,IF(C611="One year",1,0)))+IF(ISBLANK(I611),0,IF(I611&lt;40,2,IF(I611&lt;55,1,0)))+IF(ISBLANK(M611),0,IF(M611=1,3,0))+IF(ISBLANK(L611),0,IF(L611&gt;=2,1,0))+IF(ISBLANK(E611),0,IF(E611&lt;12,1,0))</f>
        <v>7</v>
      </c>
      <c r="U611" s="0" t="str">
        <f aca="false">IF((ISBLANK(B611)*1+ISBLANK(C611)*1+ISBLANK(D611)*1+ISBLANK(E611)*1+ISBLANK(F611)*1+ISBLANK(I611)*1+ISBLANK(J611)*1+ISBLANK(K611)*1+ISBLANK(L611)*1+ISBLANK(M611)*1+ISBLANK(N611)*1+ISBLANK(O611)*1)&gt;0,"Missing Data","OK")</f>
        <v>OK</v>
      </c>
      <c r="V611" s="0" t="str">
        <f aca="false">IF(T611&gt;=6,"High Risk",IF(T611&gt;=3,"Medium Risk","Low Risk"))</f>
        <v>High Risk</v>
      </c>
    </row>
    <row r="612" customFormat="false" ht="12.8" hidden="false" customHeight="false" outlineLevel="0" collapsed="false">
      <c r="A612" s="1" t="s">
        <v>642</v>
      </c>
      <c r="B612" s="1" t="s">
        <v>29</v>
      </c>
      <c r="C612" s="1" t="s">
        <v>24</v>
      </c>
      <c r="D612" s="1" t="n">
        <v>38.11</v>
      </c>
      <c r="E612" s="1" t="n">
        <v>10</v>
      </c>
      <c r="F612" s="4" t="n">
        <v>44651</v>
      </c>
      <c r="G612" s="1" t="s">
        <v>30</v>
      </c>
      <c r="H612" s="1" t="n">
        <v>0</v>
      </c>
      <c r="I612" s="1" t="n">
        <v>13.6</v>
      </c>
      <c r="J612" s="1" t="n">
        <v>4</v>
      </c>
      <c r="K612" s="1" t="n">
        <v>2</v>
      </c>
      <c r="L612" s="1" t="n">
        <v>1</v>
      </c>
      <c r="M612" s="1" t="n">
        <v>1</v>
      </c>
      <c r="N612" s="1" t="n">
        <v>381.1</v>
      </c>
      <c r="O612" s="1" t="n">
        <v>1</v>
      </c>
      <c r="P612" s="4" t="n">
        <v>44955</v>
      </c>
      <c r="Q612" s="4" t="n">
        <v>44955</v>
      </c>
      <c r="R612" s="0" t="n">
        <f aca="false">IF(ISBLANK(F612),"Missing",IFERROR(YEAR(F612),"Missing"))</f>
        <v>2022</v>
      </c>
      <c r="S612" s="0" t="str">
        <f aca="false">IF(ISBLANK(E612),"Missing",IF(E612&lt;6,"0-6mo",IF(E612&lt;12,"6-12mo",IF(E612&lt;24,"12-24mo","24mo+"))))</f>
        <v>6-12mo</v>
      </c>
      <c r="T612" s="0" t="n">
        <f aca="false">IF(ISBLANK(C612),0,IF(C612="Month-to-month",2,IF(C612="One year",1,0)))+IF(ISBLANK(I612),0,IF(I612&lt;40,2,IF(I612&lt;55,1,0)))+IF(ISBLANK(M612),0,IF(M612=1,3,0))+IF(ISBLANK(L612),0,IF(L612&gt;=2,1,0))+IF(ISBLANK(E612),0,IF(E612&lt;12,1,0))</f>
        <v>8</v>
      </c>
      <c r="U612" s="0" t="str">
        <f aca="false">IF((ISBLANK(B612)*1+ISBLANK(C612)*1+ISBLANK(D612)*1+ISBLANK(E612)*1+ISBLANK(F612)*1+ISBLANK(I612)*1+ISBLANK(J612)*1+ISBLANK(K612)*1+ISBLANK(L612)*1+ISBLANK(M612)*1+ISBLANK(N612)*1+ISBLANK(O612)*1)&gt;0,"Missing Data","OK")</f>
        <v>OK</v>
      </c>
      <c r="V612" s="0" t="str">
        <f aca="false">IF(T612&gt;=6,"High Risk",IF(T612&gt;=3,"Medium Risk","Low Risk"))</f>
        <v>High Risk</v>
      </c>
    </row>
    <row r="613" customFormat="false" ht="12.8" hidden="false" customHeight="false" outlineLevel="0" collapsed="false">
      <c r="A613" s="1" t="s">
        <v>643</v>
      </c>
      <c r="B613" s="1" t="s">
        <v>36</v>
      </c>
      <c r="C613" s="1" t="s">
        <v>51</v>
      </c>
      <c r="D613" s="1" t="n">
        <v>9.26</v>
      </c>
      <c r="E613" s="1" t="n">
        <v>16</v>
      </c>
      <c r="F613" s="4" t="n">
        <v>44652</v>
      </c>
      <c r="G613" s="1" t="s">
        <v>30</v>
      </c>
      <c r="H613" s="1" t="n">
        <v>1</v>
      </c>
      <c r="I613" s="1" t="n">
        <v>54.2</v>
      </c>
      <c r="J613" s="1" t="n">
        <v>18</v>
      </c>
      <c r="K613" s="1" t="n">
        <v>5</v>
      </c>
      <c r="L613" s="1" t="n">
        <v>4</v>
      </c>
      <c r="M613" s="1" t="n">
        <v>0</v>
      </c>
      <c r="N613" s="1" t="n">
        <v>148.16</v>
      </c>
      <c r="O613" s="1" t="n">
        <v>0</v>
      </c>
      <c r="Q613" s="4" t="n">
        <v>45139</v>
      </c>
      <c r="R613" s="0" t="n">
        <f aca="false">IF(ISBLANK(F613),"Missing",IFERROR(YEAR(F613),"Missing"))</f>
        <v>2022</v>
      </c>
      <c r="S613" s="0" t="str">
        <f aca="false">IF(ISBLANK(E613),"Missing",IF(E613&lt;6,"0-6mo",IF(E613&lt;12,"6-12mo",IF(E613&lt;24,"12-24mo","24mo+"))))</f>
        <v>12-24mo</v>
      </c>
      <c r="T613" s="0" t="n">
        <f aca="false">IF(ISBLANK(C613),0,IF(C613="Month-to-month",2,IF(C613="One year",1,0)))+IF(ISBLANK(I613),0,IF(I613&lt;40,2,IF(I613&lt;55,1,0)))+IF(ISBLANK(M613),0,IF(M613=1,3,0))+IF(ISBLANK(L613),0,IF(L613&gt;=2,1,0))+IF(ISBLANK(E613),0,IF(E613&lt;12,1,0))</f>
        <v>2</v>
      </c>
      <c r="U613" s="0" t="str">
        <f aca="false">IF((ISBLANK(B613)*1+ISBLANK(C613)*1+ISBLANK(D613)*1+ISBLANK(E613)*1+ISBLANK(F613)*1+ISBLANK(I613)*1+ISBLANK(J613)*1+ISBLANK(K613)*1+ISBLANK(L613)*1+ISBLANK(M613)*1+ISBLANK(N613)*1+ISBLANK(O613)*1)&gt;0,"Missing Data","OK")</f>
        <v>OK</v>
      </c>
      <c r="V613" s="0" t="str">
        <f aca="false">IF(T613&gt;=6,"High Risk",IF(T613&gt;=3,"Medium Risk","Low Risk"))</f>
        <v>Low Risk</v>
      </c>
    </row>
    <row r="614" customFormat="false" ht="12.8" hidden="false" customHeight="false" outlineLevel="0" collapsed="false">
      <c r="A614" s="1" t="s">
        <v>644</v>
      </c>
      <c r="B614" s="1" t="s">
        <v>23</v>
      </c>
      <c r="C614" s="1" t="s">
        <v>51</v>
      </c>
      <c r="D614" s="1" t="n">
        <v>20.39</v>
      </c>
      <c r="E614" s="1" t="n">
        <v>12</v>
      </c>
      <c r="F614" s="4" t="n">
        <v>44653</v>
      </c>
      <c r="G614" s="1" t="s">
        <v>25</v>
      </c>
      <c r="H614" s="1" t="n">
        <v>1</v>
      </c>
      <c r="I614" s="1" t="n">
        <v>66.4</v>
      </c>
      <c r="J614" s="1" t="n">
        <v>13</v>
      </c>
      <c r="K614" s="1" t="n">
        <v>6</v>
      </c>
      <c r="L614" s="1" t="n">
        <v>2</v>
      </c>
      <c r="M614" s="1" t="n">
        <v>1</v>
      </c>
      <c r="N614" s="1" t="n">
        <v>244.68</v>
      </c>
      <c r="O614" s="1" t="n">
        <v>0</v>
      </c>
      <c r="Q614" s="4" t="n">
        <v>45018</v>
      </c>
      <c r="R614" s="0" t="n">
        <f aca="false">IF(ISBLANK(F614),"Missing",IFERROR(YEAR(F614),"Missing"))</f>
        <v>2022</v>
      </c>
      <c r="S614" s="0" t="str">
        <f aca="false">IF(ISBLANK(E614),"Missing",IF(E614&lt;6,"0-6mo",IF(E614&lt;12,"6-12mo",IF(E614&lt;24,"12-24mo","24mo+"))))</f>
        <v>12-24mo</v>
      </c>
      <c r="T614" s="0" t="n">
        <f aca="false">IF(ISBLANK(C614),0,IF(C614="Month-to-month",2,IF(C614="One year",1,0)))+IF(ISBLANK(I614),0,IF(I614&lt;40,2,IF(I614&lt;55,1,0)))+IF(ISBLANK(M614),0,IF(M614=1,3,0))+IF(ISBLANK(L614),0,IF(L614&gt;=2,1,0))+IF(ISBLANK(E614),0,IF(E614&lt;12,1,0))</f>
        <v>4</v>
      </c>
      <c r="U614" s="0" t="str">
        <f aca="false">IF((ISBLANK(B614)*1+ISBLANK(C614)*1+ISBLANK(D614)*1+ISBLANK(E614)*1+ISBLANK(F614)*1+ISBLANK(I614)*1+ISBLANK(J614)*1+ISBLANK(K614)*1+ISBLANK(L614)*1+ISBLANK(M614)*1+ISBLANK(N614)*1+ISBLANK(O614)*1)&gt;0,"Missing Data","OK")</f>
        <v>OK</v>
      </c>
      <c r="V614" s="0" t="str">
        <f aca="false">IF(T614&gt;=6,"High Risk",IF(T614&gt;=3,"Medium Risk","Low Risk"))</f>
        <v>Medium Risk</v>
      </c>
    </row>
    <row r="615" customFormat="false" ht="12.8" hidden="false" customHeight="false" outlineLevel="0" collapsed="false">
      <c r="A615" s="1" t="s">
        <v>645</v>
      </c>
      <c r="B615" s="1" t="s">
        <v>29</v>
      </c>
      <c r="C615" s="1" t="s">
        <v>24</v>
      </c>
      <c r="D615" s="1" t="n">
        <v>38.99</v>
      </c>
      <c r="E615" s="1" t="n">
        <v>12</v>
      </c>
      <c r="F615" s="4" t="n">
        <v>44655</v>
      </c>
      <c r="G615" s="1" t="s">
        <v>39</v>
      </c>
      <c r="H615" s="1" t="n">
        <v>1</v>
      </c>
      <c r="I615" s="1" t="n">
        <v>46.7</v>
      </c>
      <c r="J615" s="1" t="n">
        <v>16</v>
      </c>
      <c r="K615" s="1" t="n">
        <v>7</v>
      </c>
      <c r="L615" s="1" t="n">
        <v>2</v>
      </c>
      <c r="M615" s="1" t="n">
        <v>1</v>
      </c>
      <c r="N615" s="1" t="n">
        <v>467.88</v>
      </c>
      <c r="O615" s="1" t="n">
        <v>1</v>
      </c>
      <c r="P615" s="4" t="n">
        <v>45020</v>
      </c>
      <c r="Q615" s="4" t="n">
        <v>45020</v>
      </c>
      <c r="R615" s="0" t="n">
        <f aca="false">IF(ISBLANK(F615),"Missing",IFERROR(YEAR(F615),"Missing"))</f>
        <v>2022</v>
      </c>
      <c r="S615" s="0" t="str">
        <f aca="false">IF(ISBLANK(E615),"Missing",IF(E615&lt;6,"0-6mo",IF(E615&lt;12,"6-12mo",IF(E615&lt;24,"12-24mo","24mo+"))))</f>
        <v>12-24mo</v>
      </c>
      <c r="T615" s="0" t="n">
        <f aca="false">IF(ISBLANK(C615),0,IF(C615="Month-to-month",2,IF(C615="One year",1,0)))+IF(ISBLANK(I615),0,IF(I615&lt;40,2,IF(I615&lt;55,1,0)))+IF(ISBLANK(M615),0,IF(M615=1,3,0))+IF(ISBLANK(L615),0,IF(L615&gt;=2,1,0))+IF(ISBLANK(E615),0,IF(E615&lt;12,1,0))</f>
        <v>7</v>
      </c>
      <c r="U615" s="0" t="str">
        <f aca="false">IF((ISBLANK(B615)*1+ISBLANK(C615)*1+ISBLANK(D615)*1+ISBLANK(E615)*1+ISBLANK(F615)*1+ISBLANK(I615)*1+ISBLANK(J615)*1+ISBLANK(K615)*1+ISBLANK(L615)*1+ISBLANK(M615)*1+ISBLANK(N615)*1+ISBLANK(O615)*1)&gt;0,"Missing Data","OK")</f>
        <v>OK</v>
      </c>
      <c r="V615" s="0" t="str">
        <f aca="false">IF(T615&gt;=6,"High Risk",IF(T615&gt;=3,"Medium Risk","Low Risk"))</f>
        <v>High Risk</v>
      </c>
    </row>
    <row r="616" customFormat="false" ht="12.8" hidden="false" customHeight="false" outlineLevel="0" collapsed="false">
      <c r="A616" s="1" t="s">
        <v>646</v>
      </c>
      <c r="B616" s="1" t="s">
        <v>36</v>
      </c>
      <c r="C616" s="1" t="s">
        <v>34</v>
      </c>
      <c r="D616" s="1" t="n">
        <v>10.51</v>
      </c>
      <c r="E616" s="1" t="n">
        <v>19</v>
      </c>
      <c r="F616" s="4" t="n">
        <v>44656</v>
      </c>
      <c r="G616" s="1" t="s">
        <v>25</v>
      </c>
      <c r="H616" s="1" t="n">
        <v>1</v>
      </c>
      <c r="I616" s="1" t="n">
        <v>32.5</v>
      </c>
      <c r="J616" s="1" t="n">
        <v>11</v>
      </c>
      <c r="K616" s="1" t="n">
        <v>3</v>
      </c>
      <c r="L616" s="1" t="n">
        <v>4</v>
      </c>
      <c r="M616" s="1" t="n">
        <v>1</v>
      </c>
      <c r="N616" s="1" t="n">
        <v>199.69</v>
      </c>
      <c r="O616" s="1" t="n">
        <v>0</v>
      </c>
      <c r="Q616" s="4" t="n">
        <v>45234</v>
      </c>
      <c r="R616" s="0" t="n">
        <f aca="false">IF(ISBLANK(F616),"Missing",IFERROR(YEAR(F616),"Missing"))</f>
        <v>2022</v>
      </c>
      <c r="S616" s="0" t="str">
        <f aca="false">IF(ISBLANK(E616),"Missing",IF(E616&lt;6,"0-6mo",IF(E616&lt;12,"6-12mo",IF(E616&lt;24,"12-24mo","24mo+"))))</f>
        <v>12-24mo</v>
      </c>
      <c r="T616" s="0" t="n">
        <f aca="false">IF(ISBLANK(C616),0,IF(C616="Month-to-month",2,IF(C616="One year",1,0)))+IF(ISBLANK(I616),0,IF(I616&lt;40,2,IF(I616&lt;55,1,0)))+IF(ISBLANK(M616),0,IF(M616=1,3,0))+IF(ISBLANK(L616),0,IF(L616&gt;=2,1,0))+IF(ISBLANK(E616),0,IF(E616&lt;12,1,0))</f>
        <v>7</v>
      </c>
      <c r="U616" s="0" t="str">
        <f aca="false">IF((ISBLANK(B616)*1+ISBLANK(C616)*1+ISBLANK(D616)*1+ISBLANK(E616)*1+ISBLANK(F616)*1+ISBLANK(I616)*1+ISBLANK(J616)*1+ISBLANK(K616)*1+ISBLANK(L616)*1+ISBLANK(M616)*1+ISBLANK(N616)*1+ISBLANK(O616)*1)&gt;0,"Missing Data","OK")</f>
        <v>OK</v>
      </c>
      <c r="V616" s="0" t="str">
        <f aca="false">IF(T616&gt;=6,"High Risk",IF(T616&gt;=3,"Medium Risk","Low Risk"))</f>
        <v>High Risk</v>
      </c>
    </row>
    <row r="617" customFormat="false" ht="12.8" hidden="false" customHeight="false" outlineLevel="0" collapsed="false">
      <c r="A617" s="1" t="s">
        <v>647</v>
      </c>
      <c r="B617" s="1" t="s">
        <v>36</v>
      </c>
      <c r="C617" s="1" t="s">
        <v>24</v>
      </c>
      <c r="D617" s="1" t="n">
        <v>12.4</v>
      </c>
      <c r="E617" s="1" t="n">
        <v>22</v>
      </c>
      <c r="F617" s="4" t="n">
        <v>44658</v>
      </c>
      <c r="G617" s="1" t="s">
        <v>25</v>
      </c>
      <c r="H617" s="1" t="n">
        <v>0</v>
      </c>
      <c r="I617" s="1" t="n">
        <v>60.4</v>
      </c>
      <c r="J617" s="1" t="n">
        <v>27</v>
      </c>
      <c r="K617" s="1" t="n">
        <v>4</v>
      </c>
      <c r="L617" s="1" t="n">
        <v>0</v>
      </c>
      <c r="M617" s="1" t="n">
        <v>0</v>
      </c>
      <c r="N617" s="1" t="n">
        <v>272.8</v>
      </c>
      <c r="O617" s="1" t="n">
        <v>0</v>
      </c>
      <c r="Q617" s="4" t="n">
        <v>45327</v>
      </c>
      <c r="R617" s="0" t="n">
        <f aca="false">IF(ISBLANK(F617),"Missing",IFERROR(YEAR(F617),"Missing"))</f>
        <v>2022</v>
      </c>
      <c r="S617" s="0" t="str">
        <f aca="false">IF(ISBLANK(E617),"Missing",IF(E617&lt;6,"0-6mo",IF(E617&lt;12,"6-12mo",IF(E617&lt;24,"12-24mo","24mo+"))))</f>
        <v>12-24mo</v>
      </c>
      <c r="T617" s="0" t="n">
        <f aca="false">IF(ISBLANK(C617),0,IF(C617="Month-to-month",2,IF(C617="One year",1,0)))+IF(ISBLANK(I617),0,IF(I617&lt;40,2,IF(I617&lt;55,1,0)))+IF(ISBLANK(M617),0,IF(M617=1,3,0))+IF(ISBLANK(L617),0,IF(L617&gt;=2,1,0))+IF(ISBLANK(E617),0,IF(E617&lt;12,1,0))</f>
        <v>2</v>
      </c>
      <c r="U617" s="0" t="str">
        <f aca="false">IF((ISBLANK(B617)*1+ISBLANK(C617)*1+ISBLANK(D617)*1+ISBLANK(E617)*1+ISBLANK(F617)*1+ISBLANK(I617)*1+ISBLANK(J617)*1+ISBLANK(K617)*1+ISBLANK(L617)*1+ISBLANK(M617)*1+ISBLANK(N617)*1+ISBLANK(O617)*1)&gt;0,"Missing Data","OK")</f>
        <v>OK</v>
      </c>
      <c r="V617" s="0" t="str">
        <f aca="false">IF(T617&gt;=6,"High Risk",IF(T617&gt;=3,"Medium Risk","Low Risk"))</f>
        <v>Low Risk</v>
      </c>
    </row>
    <row r="618" customFormat="false" ht="12.8" hidden="false" customHeight="false" outlineLevel="0" collapsed="false">
      <c r="A618" s="1" t="s">
        <v>648</v>
      </c>
      <c r="B618" s="1" t="s">
        <v>36</v>
      </c>
      <c r="C618" s="1" t="s">
        <v>24</v>
      </c>
      <c r="D618" s="1" t="n">
        <v>7.77</v>
      </c>
      <c r="E618" s="1" t="n">
        <v>10</v>
      </c>
      <c r="F618" s="4" t="n">
        <v>44659</v>
      </c>
      <c r="G618" s="1" t="s">
        <v>30</v>
      </c>
      <c r="H618" s="1" t="n">
        <v>1</v>
      </c>
      <c r="I618" s="1" t="n">
        <v>54.7</v>
      </c>
      <c r="J618" s="1" t="n">
        <v>16</v>
      </c>
      <c r="K618" s="1" t="n">
        <v>5</v>
      </c>
      <c r="L618" s="1" t="n">
        <v>3</v>
      </c>
      <c r="M618" s="1" t="n">
        <v>0</v>
      </c>
      <c r="N618" s="1" t="n">
        <v>77.7</v>
      </c>
      <c r="O618" s="1" t="n">
        <v>0</v>
      </c>
      <c r="Q618" s="4" t="n">
        <v>44963</v>
      </c>
      <c r="R618" s="0" t="n">
        <f aca="false">IF(ISBLANK(F618),"Missing",IFERROR(YEAR(F618),"Missing"))</f>
        <v>2022</v>
      </c>
      <c r="S618" s="0" t="str">
        <f aca="false">IF(ISBLANK(E618),"Missing",IF(E618&lt;6,"0-6mo",IF(E618&lt;12,"6-12mo",IF(E618&lt;24,"12-24mo","24mo+"))))</f>
        <v>6-12mo</v>
      </c>
      <c r="T618" s="0" t="n">
        <f aca="false">IF(ISBLANK(C618),0,IF(C618="Month-to-month",2,IF(C618="One year",1,0)))+IF(ISBLANK(I618),0,IF(I618&lt;40,2,IF(I618&lt;55,1,0)))+IF(ISBLANK(M618),0,IF(M618=1,3,0))+IF(ISBLANK(L618),0,IF(L618&gt;=2,1,0))+IF(ISBLANK(E618),0,IF(E618&lt;12,1,0))</f>
        <v>5</v>
      </c>
      <c r="U618" s="0" t="str">
        <f aca="false">IF((ISBLANK(B618)*1+ISBLANK(C618)*1+ISBLANK(D618)*1+ISBLANK(E618)*1+ISBLANK(F618)*1+ISBLANK(I618)*1+ISBLANK(J618)*1+ISBLANK(K618)*1+ISBLANK(L618)*1+ISBLANK(M618)*1+ISBLANK(N618)*1+ISBLANK(O618)*1)&gt;0,"Missing Data","OK")</f>
        <v>OK</v>
      </c>
      <c r="V618" s="0" t="str">
        <f aca="false">IF(T618&gt;=6,"High Risk",IF(T618&gt;=3,"Medium Risk","Low Risk"))</f>
        <v>Medium Risk</v>
      </c>
    </row>
    <row r="619" customFormat="false" ht="12.8" hidden="false" customHeight="false" outlineLevel="0" collapsed="false">
      <c r="A619" s="1" t="s">
        <v>649</v>
      </c>
      <c r="B619" s="1" t="s">
        <v>23</v>
      </c>
      <c r="C619" s="1" t="s">
        <v>34</v>
      </c>
      <c r="D619" s="1" t="n">
        <v>19.91</v>
      </c>
      <c r="E619" s="1" t="n">
        <v>13</v>
      </c>
      <c r="F619" s="4" t="n">
        <v>44659</v>
      </c>
      <c r="G619" s="1" t="s">
        <v>39</v>
      </c>
      <c r="H619" s="1" t="n">
        <v>0</v>
      </c>
      <c r="I619" s="1" t="n">
        <v>69.3</v>
      </c>
      <c r="J619" s="1" t="n">
        <v>21</v>
      </c>
      <c r="K619" s="1" t="n">
        <v>8</v>
      </c>
      <c r="L619" s="1" t="n">
        <v>1</v>
      </c>
      <c r="M619" s="1" t="n">
        <v>1</v>
      </c>
      <c r="N619" s="1" t="n">
        <v>258.83</v>
      </c>
      <c r="O619" s="1" t="n">
        <v>0</v>
      </c>
      <c r="Q619" s="4" t="n">
        <v>45054</v>
      </c>
      <c r="R619" s="0" t="n">
        <f aca="false">IF(ISBLANK(F619),"Missing",IFERROR(YEAR(F619),"Missing"))</f>
        <v>2022</v>
      </c>
      <c r="S619" s="0" t="str">
        <f aca="false">IF(ISBLANK(E619),"Missing",IF(E619&lt;6,"0-6mo",IF(E619&lt;12,"6-12mo",IF(E619&lt;24,"12-24mo","24mo+"))))</f>
        <v>12-24mo</v>
      </c>
      <c r="T619" s="0" t="n">
        <f aca="false">IF(ISBLANK(C619),0,IF(C619="Month-to-month",2,IF(C619="One year",1,0)))+IF(ISBLANK(I619),0,IF(I619&lt;40,2,IF(I619&lt;55,1,0)))+IF(ISBLANK(M619),0,IF(M619=1,3,0))+IF(ISBLANK(L619),0,IF(L619&gt;=2,1,0))+IF(ISBLANK(E619),0,IF(E619&lt;12,1,0))</f>
        <v>4</v>
      </c>
      <c r="U619" s="0" t="str">
        <f aca="false">IF((ISBLANK(B619)*1+ISBLANK(C619)*1+ISBLANK(D619)*1+ISBLANK(E619)*1+ISBLANK(F619)*1+ISBLANK(I619)*1+ISBLANK(J619)*1+ISBLANK(K619)*1+ISBLANK(L619)*1+ISBLANK(M619)*1+ISBLANK(N619)*1+ISBLANK(O619)*1)&gt;0,"Missing Data","OK")</f>
        <v>OK</v>
      </c>
      <c r="V619" s="0" t="str">
        <f aca="false">IF(T619&gt;=6,"High Risk",IF(T619&gt;=3,"Medium Risk","Low Risk"))</f>
        <v>Medium Risk</v>
      </c>
    </row>
    <row r="620" customFormat="false" ht="12.8" hidden="false" customHeight="false" outlineLevel="0" collapsed="false">
      <c r="A620" s="1" t="s">
        <v>650</v>
      </c>
      <c r="B620" s="1" t="s">
        <v>36</v>
      </c>
      <c r="C620" s="1" t="s">
        <v>24</v>
      </c>
      <c r="D620" s="1" t="n">
        <v>11.86</v>
      </c>
      <c r="E620" s="1" t="n">
        <v>39</v>
      </c>
      <c r="F620" s="4" t="n">
        <v>44660</v>
      </c>
      <c r="G620" s="1" t="s">
        <v>30</v>
      </c>
      <c r="H620" s="1" t="n">
        <v>1</v>
      </c>
      <c r="I620" s="1" t="n">
        <v>39.9</v>
      </c>
      <c r="J620" s="1" t="n">
        <v>7</v>
      </c>
      <c r="K620" s="1" t="n">
        <v>4</v>
      </c>
      <c r="L620" s="1" t="n">
        <v>1</v>
      </c>
      <c r="M620" s="1" t="n">
        <v>1</v>
      </c>
      <c r="N620" s="1" t="n">
        <v>462.54</v>
      </c>
      <c r="O620" s="1" t="n">
        <v>0</v>
      </c>
      <c r="Q620" s="4" t="n">
        <v>45847</v>
      </c>
      <c r="R620" s="0" t="n">
        <f aca="false">IF(ISBLANK(F620),"Missing",IFERROR(YEAR(F620),"Missing"))</f>
        <v>2022</v>
      </c>
      <c r="S620" s="0" t="str">
        <f aca="false">IF(ISBLANK(E620),"Missing",IF(E620&lt;6,"0-6mo",IF(E620&lt;12,"6-12mo",IF(E620&lt;24,"12-24mo","24mo+"))))</f>
        <v>24mo+</v>
      </c>
      <c r="T620" s="0" t="n">
        <f aca="false">IF(ISBLANK(C620),0,IF(C620="Month-to-month",2,IF(C620="One year",1,0)))+IF(ISBLANK(I620),0,IF(I620&lt;40,2,IF(I620&lt;55,1,0)))+IF(ISBLANK(M620),0,IF(M620=1,3,0))+IF(ISBLANK(L620),0,IF(L620&gt;=2,1,0))+IF(ISBLANK(E620),0,IF(E620&lt;12,1,0))</f>
        <v>7</v>
      </c>
      <c r="U620" s="0" t="str">
        <f aca="false">IF((ISBLANK(B620)*1+ISBLANK(C620)*1+ISBLANK(D620)*1+ISBLANK(E620)*1+ISBLANK(F620)*1+ISBLANK(I620)*1+ISBLANK(J620)*1+ISBLANK(K620)*1+ISBLANK(L620)*1+ISBLANK(M620)*1+ISBLANK(N620)*1+ISBLANK(O620)*1)&gt;0,"Missing Data","OK")</f>
        <v>OK</v>
      </c>
      <c r="V620" s="0" t="str">
        <f aca="false">IF(T620&gt;=6,"High Risk",IF(T620&gt;=3,"Medium Risk","Low Risk"))</f>
        <v>High Risk</v>
      </c>
    </row>
    <row r="621" customFormat="false" ht="12.8" hidden="false" customHeight="false" outlineLevel="0" collapsed="false">
      <c r="A621" s="1" t="s">
        <v>651</v>
      </c>
      <c r="B621" s="1" t="s">
        <v>36</v>
      </c>
      <c r="C621" s="1" t="s">
        <v>34</v>
      </c>
      <c r="D621" s="1" t="n">
        <v>10.01</v>
      </c>
      <c r="E621" s="1" t="n">
        <v>0</v>
      </c>
      <c r="F621" s="4" t="n">
        <v>44663</v>
      </c>
      <c r="G621" s="1" t="s">
        <v>25</v>
      </c>
      <c r="H621" s="1" t="n">
        <v>1</v>
      </c>
      <c r="I621" s="1" t="n">
        <v>53.4</v>
      </c>
      <c r="J621" s="1" t="n">
        <v>18</v>
      </c>
      <c r="K621" s="1" t="n">
        <v>7</v>
      </c>
      <c r="L621" s="1" t="n">
        <v>2</v>
      </c>
      <c r="M621" s="1" t="n">
        <v>0</v>
      </c>
      <c r="N621" s="1" t="n">
        <v>0</v>
      </c>
      <c r="O621" s="1" t="n">
        <v>0</v>
      </c>
      <c r="Q621" s="4" t="n">
        <v>44663</v>
      </c>
      <c r="R621" s="0" t="n">
        <f aca="false">IF(ISBLANK(F621),"Missing",IFERROR(YEAR(F621),"Missing"))</f>
        <v>2022</v>
      </c>
      <c r="S621" s="0" t="str">
        <f aca="false">IF(ISBLANK(E621),"Missing",IF(E621&lt;6,"0-6mo",IF(E621&lt;12,"6-12mo",IF(E621&lt;24,"12-24mo","24mo+"))))</f>
        <v>0-6mo</v>
      </c>
      <c r="T621" s="0" t="n">
        <f aca="false">IF(ISBLANK(C621),0,IF(C621="Month-to-month",2,IF(C621="One year",1,0)))+IF(ISBLANK(I621),0,IF(I621&lt;40,2,IF(I621&lt;55,1,0)))+IF(ISBLANK(M621),0,IF(M621=1,3,0))+IF(ISBLANK(L621),0,IF(L621&gt;=2,1,0))+IF(ISBLANK(E621),0,IF(E621&lt;12,1,0))</f>
        <v>4</v>
      </c>
      <c r="U621" s="0" t="str">
        <f aca="false">IF((ISBLANK(B621)*1+ISBLANK(C621)*1+ISBLANK(D621)*1+ISBLANK(E621)*1+ISBLANK(F621)*1+ISBLANK(I621)*1+ISBLANK(J621)*1+ISBLANK(K621)*1+ISBLANK(L621)*1+ISBLANK(M621)*1+ISBLANK(N621)*1+ISBLANK(O621)*1)&gt;0,"Missing Data","OK")</f>
        <v>OK</v>
      </c>
      <c r="V621" s="0" t="str">
        <f aca="false">IF(T621&gt;=6,"High Risk",IF(T621&gt;=3,"Medium Risk","Low Risk"))</f>
        <v>Medium Risk</v>
      </c>
    </row>
    <row r="622" customFormat="false" ht="12.8" hidden="false" customHeight="false" outlineLevel="0" collapsed="false">
      <c r="A622" s="1" t="s">
        <v>652</v>
      </c>
      <c r="B622" s="1" t="s">
        <v>36</v>
      </c>
      <c r="C622" s="1" t="s">
        <v>34</v>
      </c>
      <c r="D622" s="1" t="n">
        <v>9.8</v>
      </c>
      <c r="E622" s="1" t="n">
        <v>7</v>
      </c>
      <c r="F622" s="4" t="n">
        <v>44663</v>
      </c>
      <c r="G622" s="1" t="s">
        <v>27</v>
      </c>
      <c r="H622" s="1" t="n">
        <v>1</v>
      </c>
      <c r="I622" s="1" t="n">
        <v>44.7</v>
      </c>
      <c r="J622" s="1" t="n">
        <v>16</v>
      </c>
      <c r="K622" s="1" t="n">
        <v>2</v>
      </c>
      <c r="L622" s="1" t="n">
        <v>2</v>
      </c>
      <c r="M622" s="1" t="n">
        <v>0</v>
      </c>
      <c r="N622" s="1" t="n">
        <v>68.6</v>
      </c>
      <c r="O622" s="1" t="n">
        <v>0</v>
      </c>
      <c r="Q622" s="4" t="n">
        <v>44876</v>
      </c>
      <c r="R622" s="0" t="n">
        <f aca="false">IF(ISBLANK(F622),"Missing",IFERROR(YEAR(F622),"Missing"))</f>
        <v>2022</v>
      </c>
      <c r="S622" s="0" t="str">
        <f aca="false">IF(ISBLANK(E622),"Missing",IF(E622&lt;6,"0-6mo",IF(E622&lt;12,"6-12mo",IF(E622&lt;24,"12-24mo","24mo+"))))</f>
        <v>6-12mo</v>
      </c>
      <c r="T622" s="0" t="n">
        <f aca="false">IF(ISBLANK(C622),0,IF(C622="Month-to-month",2,IF(C622="One year",1,0)))+IF(ISBLANK(I622),0,IF(I622&lt;40,2,IF(I622&lt;55,1,0)))+IF(ISBLANK(M622),0,IF(M622=1,3,0))+IF(ISBLANK(L622),0,IF(L622&gt;=2,1,0))+IF(ISBLANK(E622),0,IF(E622&lt;12,1,0))</f>
        <v>4</v>
      </c>
      <c r="U622" s="0" t="str">
        <f aca="false">IF((ISBLANK(B622)*1+ISBLANK(C622)*1+ISBLANK(D622)*1+ISBLANK(E622)*1+ISBLANK(F622)*1+ISBLANK(I622)*1+ISBLANK(J622)*1+ISBLANK(K622)*1+ISBLANK(L622)*1+ISBLANK(M622)*1+ISBLANK(N622)*1+ISBLANK(O622)*1)&gt;0,"Missing Data","OK")</f>
        <v>OK</v>
      </c>
      <c r="V622" s="0" t="str">
        <f aca="false">IF(T622&gt;=6,"High Risk",IF(T622&gt;=3,"Medium Risk","Low Risk"))</f>
        <v>Medium Risk</v>
      </c>
    </row>
    <row r="623" customFormat="false" ht="12.8" hidden="false" customHeight="false" outlineLevel="0" collapsed="false">
      <c r="A623" s="1" t="s">
        <v>653</v>
      </c>
      <c r="B623" s="1" t="s">
        <v>36</v>
      </c>
      <c r="C623" s="1" t="s">
        <v>34</v>
      </c>
      <c r="D623" s="1" t="n">
        <v>10.33</v>
      </c>
      <c r="E623" s="1" t="n">
        <v>27</v>
      </c>
      <c r="F623" s="4" t="n">
        <v>44668</v>
      </c>
      <c r="G623" s="1" t="s">
        <v>39</v>
      </c>
      <c r="H623" s="1" t="n">
        <v>1</v>
      </c>
      <c r="I623" s="1" t="n">
        <v>32.3</v>
      </c>
      <c r="J623" s="1" t="n">
        <v>5</v>
      </c>
      <c r="K623" s="1" t="n">
        <v>3</v>
      </c>
      <c r="L623" s="1" t="n">
        <v>2</v>
      </c>
      <c r="M623" s="1" t="n">
        <v>0</v>
      </c>
      <c r="N623" s="1" t="n">
        <v>278.91</v>
      </c>
      <c r="O623" s="1" t="n">
        <v>0</v>
      </c>
      <c r="Q623" s="4" t="n">
        <v>45489</v>
      </c>
      <c r="R623" s="0" t="n">
        <f aca="false">IF(ISBLANK(F623),"Missing",IFERROR(YEAR(F623),"Missing"))</f>
        <v>2022</v>
      </c>
      <c r="S623" s="0" t="str">
        <f aca="false">IF(ISBLANK(E623),"Missing",IF(E623&lt;6,"0-6mo",IF(E623&lt;12,"6-12mo",IF(E623&lt;24,"12-24mo","24mo+"))))</f>
        <v>24mo+</v>
      </c>
      <c r="T623" s="0" t="n">
        <f aca="false">IF(ISBLANK(C623),0,IF(C623="Month-to-month",2,IF(C623="One year",1,0)))+IF(ISBLANK(I623),0,IF(I623&lt;40,2,IF(I623&lt;55,1,0)))+IF(ISBLANK(M623),0,IF(M623=1,3,0))+IF(ISBLANK(L623),0,IF(L623&gt;=2,1,0))+IF(ISBLANK(E623),0,IF(E623&lt;12,1,0))</f>
        <v>4</v>
      </c>
      <c r="U623" s="0" t="str">
        <f aca="false">IF((ISBLANK(B623)*1+ISBLANK(C623)*1+ISBLANK(D623)*1+ISBLANK(E623)*1+ISBLANK(F623)*1+ISBLANK(I623)*1+ISBLANK(J623)*1+ISBLANK(K623)*1+ISBLANK(L623)*1+ISBLANK(M623)*1+ISBLANK(N623)*1+ISBLANK(O623)*1)&gt;0,"Missing Data","OK")</f>
        <v>OK</v>
      </c>
      <c r="V623" s="0" t="str">
        <f aca="false">IF(T623&gt;=6,"High Risk",IF(T623&gt;=3,"Medium Risk","Low Risk"))</f>
        <v>Medium Risk</v>
      </c>
    </row>
    <row r="624" customFormat="false" ht="12.8" hidden="false" customHeight="false" outlineLevel="0" collapsed="false">
      <c r="A624" s="1" t="s">
        <v>654</v>
      </c>
      <c r="B624" s="1" t="s">
        <v>36</v>
      </c>
      <c r="C624" s="1" t="s">
        <v>51</v>
      </c>
      <c r="D624" s="1" t="n">
        <v>9.97</v>
      </c>
      <c r="E624" s="1" t="n">
        <v>2</v>
      </c>
      <c r="F624" s="4" t="n">
        <v>44671</v>
      </c>
      <c r="G624" s="1" t="s">
        <v>25</v>
      </c>
      <c r="H624" s="1" t="n">
        <v>1</v>
      </c>
      <c r="I624" s="1" t="n">
        <v>42.4</v>
      </c>
      <c r="J624" s="1" t="n">
        <v>24</v>
      </c>
      <c r="K624" s="1" t="n">
        <v>5</v>
      </c>
      <c r="L624" s="1" t="n">
        <v>0</v>
      </c>
      <c r="M624" s="1" t="n">
        <v>0</v>
      </c>
      <c r="N624" s="1" t="n">
        <v>19.94</v>
      </c>
      <c r="O624" s="1" t="n">
        <v>0</v>
      </c>
      <c r="Q624" s="4" t="n">
        <v>44731</v>
      </c>
      <c r="R624" s="0" t="n">
        <f aca="false">IF(ISBLANK(F624),"Missing",IFERROR(YEAR(F624),"Missing"))</f>
        <v>2022</v>
      </c>
      <c r="S624" s="0" t="str">
        <f aca="false">IF(ISBLANK(E624),"Missing",IF(E624&lt;6,"0-6mo",IF(E624&lt;12,"6-12mo",IF(E624&lt;24,"12-24mo","24mo+"))))</f>
        <v>0-6mo</v>
      </c>
      <c r="T624" s="0" t="n">
        <f aca="false">IF(ISBLANK(C624),0,IF(C624="Month-to-month",2,IF(C624="One year",1,0)))+IF(ISBLANK(I624),0,IF(I624&lt;40,2,IF(I624&lt;55,1,0)))+IF(ISBLANK(M624),0,IF(M624=1,3,0))+IF(ISBLANK(L624),0,IF(L624&gt;=2,1,0))+IF(ISBLANK(E624),0,IF(E624&lt;12,1,0))</f>
        <v>2</v>
      </c>
      <c r="U624" s="0" t="str">
        <f aca="false">IF((ISBLANK(B624)*1+ISBLANK(C624)*1+ISBLANK(D624)*1+ISBLANK(E624)*1+ISBLANK(F624)*1+ISBLANK(I624)*1+ISBLANK(J624)*1+ISBLANK(K624)*1+ISBLANK(L624)*1+ISBLANK(M624)*1+ISBLANK(N624)*1+ISBLANK(O624)*1)&gt;0,"Missing Data","OK")</f>
        <v>OK</v>
      </c>
      <c r="V624" s="0" t="str">
        <f aca="false">IF(T624&gt;=6,"High Risk",IF(T624&gt;=3,"Medium Risk","Low Risk"))</f>
        <v>Low Risk</v>
      </c>
    </row>
    <row r="625" customFormat="false" ht="12.8" hidden="false" customHeight="false" outlineLevel="0" collapsed="false">
      <c r="A625" s="1" t="s">
        <v>655</v>
      </c>
      <c r="B625" s="1" t="s">
        <v>23</v>
      </c>
      <c r="C625" s="1" t="s">
        <v>24</v>
      </c>
      <c r="D625" s="1" t="n">
        <v>20.45</v>
      </c>
      <c r="E625" s="1" t="n">
        <v>40</v>
      </c>
      <c r="F625" s="4" t="n">
        <v>44673</v>
      </c>
      <c r="G625" s="1" t="s">
        <v>25</v>
      </c>
      <c r="H625" s="1" t="n">
        <v>1</v>
      </c>
      <c r="I625" s="1" t="n">
        <v>42.4</v>
      </c>
      <c r="J625" s="1" t="n">
        <v>15</v>
      </c>
      <c r="K625" s="1" t="n">
        <v>6</v>
      </c>
      <c r="L625" s="1" t="n">
        <v>0</v>
      </c>
      <c r="M625" s="1" t="n">
        <v>0</v>
      </c>
      <c r="N625" s="1" t="n">
        <v>818</v>
      </c>
      <c r="O625" s="1" t="n">
        <v>0</v>
      </c>
      <c r="Q625" s="4" t="n">
        <v>45890</v>
      </c>
      <c r="R625" s="0" t="n">
        <f aca="false">IF(ISBLANK(F625),"Missing",IFERROR(YEAR(F625),"Missing"))</f>
        <v>2022</v>
      </c>
      <c r="S625" s="0" t="str">
        <f aca="false">IF(ISBLANK(E625),"Missing",IF(E625&lt;6,"0-6mo",IF(E625&lt;12,"6-12mo",IF(E625&lt;24,"12-24mo","24mo+"))))</f>
        <v>24mo+</v>
      </c>
      <c r="T625" s="0" t="n">
        <f aca="false">IF(ISBLANK(C625),0,IF(C625="Month-to-month",2,IF(C625="One year",1,0)))+IF(ISBLANK(I625),0,IF(I625&lt;40,2,IF(I625&lt;55,1,0)))+IF(ISBLANK(M625),0,IF(M625=1,3,0))+IF(ISBLANK(L625),0,IF(L625&gt;=2,1,0))+IF(ISBLANK(E625),0,IF(E625&lt;12,1,0))</f>
        <v>3</v>
      </c>
      <c r="U625" s="0" t="str">
        <f aca="false">IF((ISBLANK(B625)*1+ISBLANK(C625)*1+ISBLANK(D625)*1+ISBLANK(E625)*1+ISBLANK(F625)*1+ISBLANK(I625)*1+ISBLANK(J625)*1+ISBLANK(K625)*1+ISBLANK(L625)*1+ISBLANK(M625)*1+ISBLANK(N625)*1+ISBLANK(O625)*1)&gt;0,"Missing Data","OK")</f>
        <v>OK</v>
      </c>
      <c r="V625" s="0" t="str">
        <f aca="false">IF(T625&gt;=6,"High Risk",IF(T625&gt;=3,"Medium Risk","Low Risk"))</f>
        <v>Medium Risk</v>
      </c>
    </row>
    <row r="626" customFormat="false" ht="12.8" hidden="false" customHeight="false" outlineLevel="0" collapsed="false">
      <c r="A626" s="1" t="s">
        <v>656</v>
      </c>
      <c r="B626" s="1" t="s">
        <v>36</v>
      </c>
      <c r="C626" s="1" t="s">
        <v>24</v>
      </c>
      <c r="D626" s="1" t="n">
        <v>10.82</v>
      </c>
      <c r="E626" s="1" t="n">
        <v>2</v>
      </c>
      <c r="F626" s="4" t="n">
        <v>44674</v>
      </c>
      <c r="G626" s="1" t="s">
        <v>27</v>
      </c>
      <c r="H626" s="1" t="n">
        <v>1</v>
      </c>
      <c r="I626" s="1" t="n">
        <v>57.9</v>
      </c>
      <c r="J626" s="1" t="n">
        <v>21</v>
      </c>
      <c r="K626" s="1" t="n">
        <v>4</v>
      </c>
      <c r="L626" s="1" t="n">
        <v>2</v>
      </c>
      <c r="M626" s="1" t="n">
        <v>0</v>
      </c>
      <c r="N626" s="1" t="n">
        <v>21.64</v>
      </c>
      <c r="O626" s="1" t="n">
        <v>1</v>
      </c>
      <c r="P626" s="4" t="n">
        <v>44734</v>
      </c>
      <c r="Q626" s="4" t="n">
        <v>44734</v>
      </c>
      <c r="R626" s="0" t="n">
        <f aca="false">IF(ISBLANK(F626),"Missing",IFERROR(YEAR(F626),"Missing"))</f>
        <v>2022</v>
      </c>
      <c r="S626" s="0" t="str">
        <f aca="false">IF(ISBLANK(E626),"Missing",IF(E626&lt;6,"0-6mo",IF(E626&lt;12,"6-12mo",IF(E626&lt;24,"12-24mo","24mo+"))))</f>
        <v>0-6mo</v>
      </c>
      <c r="T626" s="0" t="n">
        <f aca="false">IF(ISBLANK(C626),0,IF(C626="Month-to-month",2,IF(C626="One year",1,0)))+IF(ISBLANK(I626),0,IF(I626&lt;40,2,IF(I626&lt;55,1,0)))+IF(ISBLANK(M626),0,IF(M626=1,3,0))+IF(ISBLANK(L626),0,IF(L626&gt;=2,1,0))+IF(ISBLANK(E626),0,IF(E626&lt;12,1,0))</f>
        <v>4</v>
      </c>
      <c r="U626" s="0" t="str">
        <f aca="false">IF((ISBLANK(B626)*1+ISBLANK(C626)*1+ISBLANK(D626)*1+ISBLANK(E626)*1+ISBLANK(F626)*1+ISBLANK(I626)*1+ISBLANK(J626)*1+ISBLANK(K626)*1+ISBLANK(L626)*1+ISBLANK(M626)*1+ISBLANK(N626)*1+ISBLANK(O626)*1)&gt;0,"Missing Data","OK")</f>
        <v>OK</v>
      </c>
      <c r="V626" s="0" t="str">
        <f aca="false">IF(T626&gt;=6,"High Risk",IF(T626&gt;=3,"Medium Risk","Low Risk"))</f>
        <v>Medium Risk</v>
      </c>
    </row>
    <row r="627" customFormat="false" ht="12.8" hidden="false" customHeight="false" outlineLevel="0" collapsed="false">
      <c r="A627" s="1" t="s">
        <v>657</v>
      </c>
      <c r="B627" s="1" t="s">
        <v>36</v>
      </c>
      <c r="C627" s="1" t="s">
        <v>34</v>
      </c>
      <c r="D627" s="1" t="n">
        <v>10.38</v>
      </c>
      <c r="E627" s="1" t="n">
        <v>6</v>
      </c>
      <c r="F627" s="4" t="n">
        <v>44674</v>
      </c>
      <c r="G627" s="1" t="s">
        <v>39</v>
      </c>
      <c r="H627" s="1" t="n">
        <v>1</v>
      </c>
      <c r="I627" s="1" t="n">
        <v>57.1</v>
      </c>
      <c r="J627" s="1" t="n">
        <v>27</v>
      </c>
      <c r="K627" s="1" t="n">
        <v>3</v>
      </c>
      <c r="L627" s="1" t="n">
        <v>1</v>
      </c>
      <c r="M627" s="1" t="n">
        <v>1</v>
      </c>
      <c r="N627" s="1" t="n">
        <v>62.28</v>
      </c>
      <c r="O627" s="1" t="n">
        <v>0</v>
      </c>
      <c r="Q627" s="4" t="n">
        <v>44856</v>
      </c>
      <c r="R627" s="0" t="n">
        <f aca="false">IF(ISBLANK(F627),"Missing",IFERROR(YEAR(F627),"Missing"))</f>
        <v>2022</v>
      </c>
      <c r="S627" s="0" t="str">
        <f aca="false">IF(ISBLANK(E627),"Missing",IF(E627&lt;6,"0-6mo",IF(E627&lt;12,"6-12mo",IF(E627&lt;24,"12-24mo","24mo+"))))</f>
        <v>6-12mo</v>
      </c>
      <c r="T627" s="0" t="n">
        <f aca="false">IF(ISBLANK(C627),0,IF(C627="Month-to-month",2,IF(C627="One year",1,0)))+IF(ISBLANK(I627),0,IF(I627&lt;40,2,IF(I627&lt;55,1,0)))+IF(ISBLANK(M627),0,IF(M627=1,3,0))+IF(ISBLANK(L627),0,IF(L627&gt;=2,1,0))+IF(ISBLANK(E627),0,IF(E627&lt;12,1,0))</f>
        <v>5</v>
      </c>
      <c r="U627" s="0" t="str">
        <f aca="false">IF((ISBLANK(B627)*1+ISBLANK(C627)*1+ISBLANK(D627)*1+ISBLANK(E627)*1+ISBLANK(F627)*1+ISBLANK(I627)*1+ISBLANK(J627)*1+ISBLANK(K627)*1+ISBLANK(L627)*1+ISBLANK(M627)*1+ISBLANK(N627)*1+ISBLANK(O627)*1)&gt;0,"Missing Data","OK")</f>
        <v>OK</v>
      </c>
      <c r="V627" s="0" t="str">
        <f aca="false">IF(T627&gt;=6,"High Risk",IF(T627&gt;=3,"Medium Risk","Low Risk"))</f>
        <v>Medium Risk</v>
      </c>
    </row>
    <row r="628" customFormat="false" ht="12.8" hidden="false" customHeight="false" outlineLevel="0" collapsed="false">
      <c r="A628" s="1" t="s">
        <v>658</v>
      </c>
      <c r="B628" s="1" t="s">
        <v>36</v>
      </c>
      <c r="C628" s="1" t="s">
        <v>34</v>
      </c>
      <c r="D628" s="1" t="n">
        <v>9.8</v>
      </c>
      <c r="E628" s="1" t="n">
        <v>12</v>
      </c>
      <c r="F628" s="4" t="n">
        <v>44676</v>
      </c>
      <c r="G628" s="1" t="s">
        <v>30</v>
      </c>
      <c r="H628" s="1" t="n">
        <v>0</v>
      </c>
      <c r="I628" s="1" t="n">
        <v>43</v>
      </c>
      <c r="J628" s="1" t="n">
        <v>19</v>
      </c>
      <c r="K628" s="1" t="n">
        <v>3</v>
      </c>
      <c r="L628" s="1" t="n">
        <v>4</v>
      </c>
      <c r="M628" s="1" t="n">
        <v>1</v>
      </c>
      <c r="N628" s="1" t="n">
        <v>117.6</v>
      </c>
      <c r="O628" s="1" t="n">
        <v>0</v>
      </c>
      <c r="Q628" s="4" t="n">
        <v>45041</v>
      </c>
      <c r="R628" s="0" t="n">
        <f aca="false">IF(ISBLANK(F628),"Missing",IFERROR(YEAR(F628),"Missing"))</f>
        <v>2022</v>
      </c>
      <c r="S628" s="0" t="str">
        <f aca="false">IF(ISBLANK(E628),"Missing",IF(E628&lt;6,"0-6mo",IF(E628&lt;12,"6-12mo",IF(E628&lt;24,"12-24mo","24mo+"))))</f>
        <v>12-24mo</v>
      </c>
      <c r="T628" s="0" t="n">
        <f aca="false">IF(ISBLANK(C628),0,IF(C628="Month-to-month",2,IF(C628="One year",1,0)))+IF(ISBLANK(I628),0,IF(I628&lt;40,2,IF(I628&lt;55,1,0)))+IF(ISBLANK(M628),0,IF(M628=1,3,0))+IF(ISBLANK(L628),0,IF(L628&gt;=2,1,0))+IF(ISBLANK(E628),0,IF(E628&lt;12,1,0))</f>
        <v>6</v>
      </c>
      <c r="U628" s="0" t="str">
        <f aca="false">IF((ISBLANK(B628)*1+ISBLANK(C628)*1+ISBLANK(D628)*1+ISBLANK(E628)*1+ISBLANK(F628)*1+ISBLANK(I628)*1+ISBLANK(J628)*1+ISBLANK(K628)*1+ISBLANK(L628)*1+ISBLANK(M628)*1+ISBLANK(N628)*1+ISBLANK(O628)*1)&gt;0,"Missing Data","OK")</f>
        <v>OK</v>
      </c>
      <c r="V628" s="0" t="str">
        <f aca="false">IF(T628&gt;=6,"High Risk",IF(T628&gt;=3,"Medium Risk","Low Risk"))</f>
        <v>High Risk</v>
      </c>
    </row>
    <row r="629" customFormat="false" ht="12.8" hidden="false" customHeight="false" outlineLevel="0" collapsed="false">
      <c r="A629" s="1" t="s">
        <v>659</v>
      </c>
      <c r="B629" s="1" t="s">
        <v>36</v>
      </c>
      <c r="C629" s="1" t="s">
        <v>24</v>
      </c>
      <c r="D629" s="1" t="n">
        <v>8.19</v>
      </c>
      <c r="E629" s="1" t="n">
        <v>2</v>
      </c>
      <c r="F629" s="4" t="n">
        <v>44679</v>
      </c>
      <c r="G629" s="1" t="s">
        <v>27</v>
      </c>
      <c r="H629" s="1" t="n">
        <v>1</v>
      </c>
      <c r="I629" s="1" t="n">
        <v>35</v>
      </c>
      <c r="J629" s="1" t="n">
        <v>6</v>
      </c>
      <c r="K629" s="1" t="n">
        <v>4</v>
      </c>
      <c r="L629" s="1" t="n">
        <v>1</v>
      </c>
      <c r="M629" s="1" t="n">
        <v>0</v>
      </c>
      <c r="N629" s="1" t="n">
        <v>16.38</v>
      </c>
      <c r="O629" s="1" t="n">
        <v>0</v>
      </c>
      <c r="Q629" s="4" t="n">
        <v>44739</v>
      </c>
      <c r="R629" s="0" t="n">
        <f aca="false">IF(ISBLANK(F629),"Missing",IFERROR(YEAR(F629),"Missing"))</f>
        <v>2022</v>
      </c>
      <c r="S629" s="0" t="str">
        <f aca="false">IF(ISBLANK(E629),"Missing",IF(E629&lt;6,"0-6mo",IF(E629&lt;12,"6-12mo",IF(E629&lt;24,"12-24mo","24mo+"))))</f>
        <v>0-6mo</v>
      </c>
      <c r="T629" s="0" t="n">
        <f aca="false">IF(ISBLANK(C629),0,IF(C629="Month-to-month",2,IF(C629="One year",1,0)))+IF(ISBLANK(I629),0,IF(I629&lt;40,2,IF(I629&lt;55,1,0)))+IF(ISBLANK(M629),0,IF(M629=1,3,0))+IF(ISBLANK(L629),0,IF(L629&gt;=2,1,0))+IF(ISBLANK(E629),0,IF(E629&lt;12,1,0))</f>
        <v>5</v>
      </c>
      <c r="U629" s="0" t="str">
        <f aca="false">IF((ISBLANK(B629)*1+ISBLANK(C629)*1+ISBLANK(D629)*1+ISBLANK(E629)*1+ISBLANK(F629)*1+ISBLANK(I629)*1+ISBLANK(J629)*1+ISBLANK(K629)*1+ISBLANK(L629)*1+ISBLANK(M629)*1+ISBLANK(N629)*1+ISBLANK(O629)*1)&gt;0,"Missing Data","OK")</f>
        <v>OK</v>
      </c>
      <c r="V629" s="0" t="str">
        <f aca="false">IF(T629&gt;=6,"High Risk",IF(T629&gt;=3,"Medium Risk","Low Risk"))</f>
        <v>Medium Risk</v>
      </c>
    </row>
    <row r="630" customFormat="false" ht="12.8" hidden="false" customHeight="false" outlineLevel="0" collapsed="false">
      <c r="A630" s="1" t="s">
        <v>660</v>
      </c>
      <c r="B630" s="1" t="s">
        <v>23</v>
      </c>
      <c r="C630" s="1" t="s">
        <v>24</v>
      </c>
      <c r="D630" s="1" t="n">
        <v>21.23</v>
      </c>
      <c r="E630" s="1" t="n">
        <v>9</v>
      </c>
      <c r="F630" s="4" t="n">
        <v>44681</v>
      </c>
      <c r="G630" s="1" t="s">
        <v>27</v>
      </c>
      <c r="H630" s="1" t="n">
        <v>1</v>
      </c>
      <c r="I630" s="1" t="n">
        <v>76.5</v>
      </c>
      <c r="J630" s="1" t="n">
        <v>28</v>
      </c>
      <c r="K630" s="1" t="n">
        <v>9</v>
      </c>
      <c r="L630" s="1" t="n">
        <v>1</v>
      </c>
      <c r="M630" s="1" t="n">
        <v>1</v>
      </c>
      <c r="N630" s="1" t="n">
        <v>191.07</v>
      </c>
      <c r="O630" s="1" t="n">
        <v>1</v>
      </c>
      <c r="P630" s="4" t="n">
        <v>44954</v>
      </c>
      <c r="Q630" s="4" t="n">
        <v>44954</v>
      </c>
      <c r="R630" s="0" t="n">
        <f aca="false">IF(ISBLANK(F630),"Missing",IFERROR(YEAR(F630),"Missing"))</f>
        <v>2022</v>
      </c>
      <c r="S630" s="0" t="str">
        <f aca="false">IF(ISBLANK(E630),"Missing",IF(E630&lt;6,"0-6mo",IF(E630&lt;12,"6-12mo",IF(E630&lt;24,"12-24mo","24mo+"))))</f>
        <v>6-12mo</v>
      </c>
      <c r="T630" s="0" t="n">
        <f aca="false">IF(ISBLANK(C630),0,IF(C630="Month-to-month",2,IF(C630="One year",1,0)))+IF(ISBLANK(I630),0,IF(I630&lt;40,2,IF(I630&lt;55,1,0)))+IF(ISBLANK(M630),0,IF(M630=1,3,0))+IF(ISBLANK(L630),0,IF(L630&gt;=2,1,0))+IF(ISBLANK(E630),0,IF(E630&lt;12,1,0))</f>
        <v>6</v>
      </c>
      <c r="U630" s="0" t="str">
        <f aca="false">IF((ISBLANK(B630)*1+ISBLANK(C630)*1+ISBLANK(D630)*1+ISBLANK(E630)*1+ISBLANK(F630)*1+ISBLANK(I630)*1+ISBLANK(J630)*1+ISBLANK(K630)*1+ISBLANK(L630)*1+ISBLANK(M630)*1+ISBLANK(N630)*1+ISBLANK(O630)*1)&gt;0,"Missing Data","OK")</f>
        <v>OK</v>
      </c>
      <c r="V630" s="0" t="str">
        <f aca="false">IF(T630&gt;=6,"High Risk",IF(T630&gt;=3,"Medium Risk","Low Risk"))</f>
        <v>High Risk</v>
      </c>
    </row>
    <row r="631" customFormat="false" ht="12.8" hidden="false" customHeight="false" outlineLevel="0" collapsed="false">
      <c r="A631" s="1" t="s">
        <v>661</v>
      </c>
      <c r="B631" s="1" t="s">
        <v>36</v>
      </c>
      <c r="C631" s="1" t="s">
        <v>24</v>
      </c>
      <c r="D631" s="1" t="n">
        <v>9.02</v>
      </c>
      <c r="E631" s="1" t="n">
        <v>8</v>
      </c>
      <c r="F631" s="4" t="n">
        <v>44684</v>
      </c>
      <c r="G631" s="1" t="s">
        <v>30</v>
      </c>
      <c r="H631" s="1" t="n">
        <v>1</v>
      </c>
      <c r="I631" s="1" t="n">
        <v>49.4</v>
      </c>
      <c r="J631" s="1" t="n">
        <v>24</v>
      </c>
      <c r="K631" s="1" t="n">
        <v>5</v>
      </c>
      <c r="L631" s="1" t="n">
        <v>2</v>
      </c>
      <c r="M631" s="1" t="n">
        <v>1</v>
      </c>
      <c r="N631" s="1" t="n">
        <v>72.16</v>
      </c>
      <c r="O631" s="1" t="n">
        <v>0</v>
      </c>
      <c r="Q631" s="4" t="n">
        <v>44927</v>
      </c>
      <c r="R631" s="0" t="n">
        <f aca="false">IF(ISBLANK(F631),"Missing",IFERROR(YEAR(F631),"Missing"))</f>
        <v>2022</v>
      </c>
      <c r="S631" s="0" t="str">
        <f aca="false">IF(ISBLANK(E631),"Missing",IF(E631&lt;6,"0-6mo",IF(E631&lt;12,"6-12mo",IF(E631&lt;24,"12-24mo","24mo+"))))</f>
        <v>6-12mo</v>
      </c>
      <c r="T631" s="0" t="n">
        <f aca="false">IF(ISBLANK(C631),0,IF(C631="Month-to-month",2,IF(C631="One year",1,0)))+IF(ISBLANK(I631),0,IF(I631&lt;40,2,IF(I631&lt;55,1,0)))+IF(ISBLANK(M631),0,IF(M631=1,3,0))+IF(ISBLANK(L631),0,IF(L631&gt;=2,1,0))+IF(ISBLANK(E631),0,IF(E631&lt;12,1,0))</f>
        <v>8</v>
      </c>
      <c r="U631" s="0" t="str">
        <f aca="false">IF((ISBLANK(B631)*1+ISBLANK(C631)*1+ISBLANK(D631)*1+ISBLANK(E631)*1+ISBLANK(F631)*1+ISBLANK(I631)*1+ISBLANK(J631)*1+ISBLANK(K631)*1+ISBLANK(L631)*1+ISBLANK(M631)*1+ISBLANK(N631)*1+ISBLANK(O631)*1)&gt;0,"Missing Data","OK")</f>
        <v>OK</v>
      </c>
      <c r="V631" s="0" t="str">
        <f aca="false">IF(T631&gt;=6,"High Risk",IF(T631&gt;=3,"Medium Risk","Low Risk"))</f>
        <v>High Risk</v>
      </c>
    </row>
    <row r="632" customFormat="false" ht="12.8" hidden="false" customHeight="false" outlineLevel="0" collapsed="false">
      <c r="A632" s="1" t="s">
        <v>662</v>
      </c>
      <c r="B632" s="1" t="s">
        <v>23</v>
      </c>
      <c r="C632" s="1" t="s">
        <v>34</v>
      </c>
      <c r="D632" s="1" t="n">
        <v>20.47</v>
      </c>
      <c r="E632" s="1" t="n">
        <v>0</v>
      </c>
      <c r="F632" s="4" t="n">
        <v>44685</v>
      </c>
      <c r="G632" s="1" t="s">
        <v>39</v>
      </c>
      <c r="H632" s="1" t="n">
        <v>0</v>
      </c>
      <c r="I632" s="1" t="n">
        <v>27.6</v>
      </c>
      <c r="J632" s="1" t="n">
        <v>10</v>
      </c>
      <c r="K632" s="1" t="n">
        <v>4</v>
      </c>
      <c r="L632" s="1" t="n">
        <v>1</v>
      </c>
      <c r="M632" s="1" t="n">
        <v>1</v>
      </c>
      <c r="N632" s="1" t="n">
        <v>0</v>
      </c>
      <c r="O632" s="1" t="n">
        <v>0</v>
      </c>
      <c r="Q632" s="4" t="n">
        <v>44685</v>
      </c>
      <c r="R632" s="0" t="n">
        <f aca="false">IF(ISBLANK(F632),"Missing",IFERROR(YEAR(F632),"Missing"))</f>
        <v>2022</v>
      </c>
      <c r="S632" s="0" t="str">
        <f aca="false">IF(ISBLANK(E632),"Missing",IF(E632&lt;6,"0-6mo",IF(E632&lt;12,"6-12mo",IF(E632&lt;24,"12-24mo","24mo+"))))</f>
        <v>0-6mo</v>
      </c>
      <c r="T632" s="0" t="n">
        <f aca="false">IF(ISBLANK(C632),0,IF(C632="Month-to-month",2,IF(C632="One year",1,0)))+IF(ISBLANK(I632),0,IF(I632&lt;40,2,IF(I632&lt;55,1,0)))+IF(ISBLANK(M632),0,IF(M632=1,3,0))+IF(ISBLANK(L632),0,IF(L632&gt;=2,1,0))+IF(ISBLANK(E632),0,IF(E632&lt;12,1,0))</f>
        <v>7</v>
      </c>
      <c r="U632" s="0" t="str">
        <f aca="false">IF((ISBLANK(B632)*1+ISBLANK(C632)*1+ISBLANK(D632)*1+ISBLANK(E632)*1+ISBLANK(F632)*1+ISBLANK(I632)*1+ISBLANK(J632)*1+ISBLANK(K632)*1+ISBLANK(L632)*1+ISBLANK(M632)*1+ISBLANK(N632)*1+ISBLANK(O632)*1)&gt;0,"Missing Data","OK")</f>
        <v>OK</v>
      </c>
      <c r="V632" s="0" t="str">
        <f aca="false">IF(T632&gt;=6,"High Risk",IF(T632&gt;=3,"Medium Risk","Low Risk"))</f>
        <v>High Risk</v>
      </c>
    </row>
    <row r="633" customFormat="false" ht="12.8" hidden="false" customHeight="false" outlineLevel="0" collapsed="false">
      <c r="A633" s="1" t="s">
        <v>663</v>
      </c>
      <c r="B633" s="1" t="s">
        <v>23</v>
      </c>
      <c r="C633" s="1" t="s">
        <v>34</v>
      </c>
      <c r="D633" s="1" t="n">
        <v>21.11</v>
      </c>
      <c r="E633" s="1" t="n">
        <v>54</v>
      </c>
      <c r="F633" s="4" t="n">
        <v>44686</v>
      </c>
      <c r="G633" s="1" t="s">
        <v>30</v>
      </c>
      <c r="H633" s="1" t="n">
        <v>1</v>
      </c>
      <c r="I633" s="1" t="n">
        <v>54.3</v>
      </c>
      <c r="J633" s="1" t="n">
        <v>13</v>
      </c>
      <c r="K633" s="1" t="n">
        <v>4</v>
      </c>
      <c r="L633" s="1" t="n">
        <v>1</v>
      </c>
      <c r="M633" s="1" t="n">
        <v>0</v>
      </c>
      <c r="N633" s="1" t="n">
        <v>1139.94</v>
      </c>
      <c r="O633" s="1" t="n">
        <v>0</v>
      </c>
      <c r="Q633" s="4" t="n">
        <v>46293</v>
      </c>
      <c r="R633" s="0" t="n">
        <f aca="false">IF(ISBLANK(F633),"Missing",IFERROR(YEAR(F633),"Missing"))</f>
        <v>2022</v>
      </c>
      <c r="S633" s="0" t="str">
        <f aca="false">IF(ISBLANK(E633),"Missing",IF(E633&lt;6,"0-6mo",IF(E633&lt;12,"6-12mo",IF(E633&lt;24,"12-24mo","24mo+"))))</f>
        <v>24mo+</v>
      </c>
      <c r="T633" s="0" t="n">
        <f aca="false">IF(ISBLANK(C633),0,IF(C633="Month-to-month",2,IF(C633="One year",1,0)))+IF(ISBLANK(I633),0,IF(I633&lt;40,2,IF(I633&lt;55,1,0)))+IF(ISBLANK(M633),0,IF(M633=1,3,0))+IF(ISBLANK(L633),0,IF(L633&gt;=2,1,0))+IF(ISBLANK(E633),0,IF(E633&lt;12,1,0))</f>
        <v>2</v>
      </c>
      <c r="U633" s="0" t="str">
        <f aca="false">IF((ISBLANK(B633)*1+ISBLANK(C633)*1+ISBLANK(D633)*1+ISBLANK(E633)*1+ISBLANK(F633)*1+ISBLANK(I633)*1+ISBLANK(J633)*1+ISBLANK(K633)*1+ISBLANK(L633)*1+ISBLANK(M633)*1+ISBLANK(N633)*1+ISBLANK(O633)*1)&gt;0,"Missing Data","OK")</f>
        <v>OK</v>
      </c>
      <c r="V633" s="0" t="str">
        <f aca="false">IF(T633&gt;=6,"High Risk",IF(T633&gt;=3,"Medium Risk","Low Risk"))</f>
        <v>Low Risk</v>
      </c>
    </row>
    <row r="634" customFormat="false" ht="12.8" hidden="false" customHeight="false" outlineLevel="0" collapsed="false">
      <c r="A634" s="1" t="s">
        <v>664</v>
      </c>
      <c r="B634" s="1" t="s">
        <v>23</v>
      </c>
      <c r="C634" s="1" t="s">
        <v>24</v>
      </c>
      <c r="D634" s="1" t="n">
        <v>20.75</v>
      </c>
      <c r="E634" s="1" t="n">
        <v>9</v>
      </c>
      <c r="F634" s="4" t="n">
        <v>44687</v>
      </c>
      <c r="G634" s="1" t="s">
        <v>27</v>
      </c>
      <c r="H634" s="1" t="n">
        <v>1</v>
      </c>
      <c r="I634" s="1" t="n">
        <v>41.7</v>
      </c>
      <c r="J634" s="1" t="n">
        <v>8</v>
      </c>
      <c r="K634" s="1" t="n">
        <v>4</v>
      </c>
      <c r="L634" s="1" t="n">
        <v>0</v>
      </c>
      <c r="M634" s="1" t="n">
        <v>0</v>
      </c>
      <c r="N634" s="1" t="n">
        <v>186.75</v>
      </c>
      <c r="O634" s="1" t="n">
        <v>0</v>
      </c>
      <c r="Q634" s="4" t="n">
        <v>44960</v>
      </c>
      <c r="R634" s="0" t="n">
        <f aca="false">IF(ISBLANK(F634),"Missing",IFERROR(YEAR(F634),"Missing"))</f>
        <v>2022</v>
      </c>
      <c r="S634" s="0" t="str">
        <f aca="false">IF(ISBLANK(E634),"Missing",IF(E634&lt;6,"0-6mo",IF(E634&lt;12,"6-12mo",IF(E634&lt;24,"12-24mo","24mo+"))))</f>
        <v>6-12mo</v>
      </c>
      <c r="T634" s="0" t="n">
        <f aca="false">IF(ISBLANK(C634),0,IF(C634="Month-to-month",2,IF(C634="One year",1,0)))+IF(ISBLANK(I634),0,IF(I634&lt;40,2,IF(I634&lt;55,1,0)))+IF(ISBLANK(M634),0,IF(M634=1,3,0))+IF(ISBLANK(L634),0,IF(L634&gt;=2,1,0))+IF(ISBLANK(E634),0,IF(E634&lt;12,1,0))</f>
        <v>4</v>
      </c>
      <c r="U634" s="0" t="str">
        <f aca="false">IF((ISBLANK(B634)*1+ISBLANK(C634)*1+ISBLANK(D634)*1+ISBLANK(E634)*1+ISBLANK(F634)*1+ISBLANK(I634)*1+ISBLANK(J634)*1+ISBLANK(K634)*1+ISBLANK(L634)*1+ISBLANK(M634)*1+ISBLANK(N634)*1+ISBLANK(O634)*1)&gt;0,"Missing Data","OK")</f>
        <v>OK</v>
      </c>
      <c r="V634" s="0" t="str">
        <f aca="false">IF(T634&gt;=6,"High Risk",IF(T634&gt;=3,"Medium Risk","Low Risk"))</f>
        <v>Medium Risk</v>
      </c>
    </row>
    <row r="635" customFormat="false" ht="12.8" hidden="false" customHeight="false" outlineLevel="0" collapsed="false">
      <c r="A635" s="1" t="s">
        <v>665</v>
      </c>
      <c r="B635" s="1" t="s">
        <v>29</v>
      </c>
      <c r="C635" s="1" t="s">
        <v>24</v>
      </c>
      <c r="D635" s="1" t="n">
        <v>41.22</v>
      </c>
      <c r="E635" s="1" t="n">
        <v>14</v>
      </c>
      <c r="F635" s="4" t="n">
        <v>44689</v>
      </c>
      <c r="G635" s="1" t="s">
        <v>25</v>
      </c>
      <c r="H635" s="1" t="n">
        <v>1</v>
      </c>
      <c r="I635" s="1" t="n">
        <v>60.4</v>
      </c>
      <c r="J635" s="1" t="n">
        <v>16</v>
      </c>
      <c r="K635" s="1" t="n">
        <v>7</v>
      </c>
      <c r="L635" s="1" t="n">
        <v>1</v>
      </c>
      <c r="M635" s="1" t="n">
        <v>0</v>
      </c>
      <c r="N635" s="1" t="n">
        <v>577.08</v>
      </c>
      <c r="O635" s="1" t="n">
        <v>0</v>
      </c>
      <c r="Q635" s="4" t="n">
        <v>45115</v>
      </c>
      <c r="R635" s="0" t="n">
        <f aca="false">IF(ISBLANK(F635),"Missing",IFERROR(YEAR(F635),"Missing"))</f>
        <v>2022</v>
      </c>
      <c r="S635" s="0" t="str">
        <f aca="false">IF(ISBLANK(E635),"Missing",IF(E635&lt;6,"0-6mo",IF(E635&lt;12,"6-12mo",IF(E635&lt;24,"12-24mo","24mo+"))))</f>
        <v>12-24mo</v>
      </c>
      <c r="T635" s="0" t="n">
        <f aca="false">IF(ISBLANK(C635),0,IF(C635="Month-to-month",2,IF(C635="One year",1,0)))+IF(ISBLANK(I635),0,IF(I635&lt;40,2,IF(I635&lt;55,1,0)))+IF(ISBLANK(M635),0,IF(M635=1,3,0))+IF(ISBLANK(L635),0,IF(L635&gt;=2,1,0))+IF(ISBLANK(E635),0,IF(E635&lt;12,1,0))</f>
        <v>2</v>
      </c>
      <c r="U635" s="0" t="str">
        <f aca="false">IF((ISBLANK(B635)*1+ISBLANK(C635)*1+ISBLANK(D635)*1+ISBLANK(E635)*1+ISBLANK(F635)*1+ISBLANK(I635)*1+ISBLANK(J635)*1+ISBLANK(K635)*1+ISBLANK(L635)*1+ISBLANK(M635)*1+ISBLANK(N635)*1+ISBLANK(O635)*1)&gt;0,"Missing Data","OK")</f>
        <v>OK</v>
      </c>
      <c r="V635" s="0" t="str">
        <f aca="false">IF(T635&gt;=6,"High Risk",IF(T635&gt;=3,"Medium Risk","Low Risk"))</f>
        <v>Low Risk</v>
      </c>
    </row>
    <row r="636" customFormat="false" ht="12.8" hidden="false" customHeight="false" outlineLevel="0" collapsed="false">
      <c r="A636" s="1" t="s">
        <v>666</v>
      </c>
      <c r="B636" s="1" t="s">
        <v>36</v>
      </c>
      <c r="C636" s="1" t="s">
        <v>51</v>
      </c>
      <c r="D636" s="1" t="n">
        <v>10.38</v>
      </c>
      <c r="E636" s="1" t="n">
        <v>35</v>
      </c>
      <c r="F636" s="4" t="n">
        <v>44690</v>
      </c>
      <c r="G636" s="1" t="s">
        <v>39</v>
      </c>
      <c r="H636" s="1" t="n">
        <v>1</v>
      </c>
      <c r="I636" s="1" t="n">
        <v>42.7</v>
      </c>
      <c r="J636" s="1" t="n">
        <v>17</v>
      </c>
      <c r="K636" s="1" t="n">
        <v>4</v>
      </c>
      <c r="L636" s="1" t="n">
        <v>3</v>
      </c>
      <c r="M636" s="1" t="n">
        <v>0</v>
      </c>
      <c r="N636" s="1" t="n">
        <v>363.3</v>
      </c>
      <c r="O636" s="1" t="n">
        <v>0</v>
      </c>
      <c r="Q636" s="4" t="n">
        <v>45755</v>
      </c>
      <c r="R636" s="0" t="n">
        <f aca="false">IF(ISBLANK(F636),"Missing",IFERROR(YEAR(F636),"Missing"))</f>
        <v>2022</v>
      </c>
      <c r="S636" s="0" t="str">
        <f aca="false">IF(ISBLANK(E636),"Missing",IF(E636&lt;6,"0-6mo",IF(E636&lt;12,"6-12mo",IF(E636&lt;24,"12-24mo","24mo+"))))</f>
        <v>24mo+</v>
      </c>
      <c r="T636" s="0" t="n">
        <f aca="false">IF(ISBLANK(C636),0,IF(C636="Month-to-month",2,IF(C636="One year",1,0)))+IF(ISBLANK(I636),0,IF(I636&lt;40,2,IF(I636&lt;55,1,0)))+IF(ISBLANK(M636),0,IF(M636=1,3,0))+IF(ISBLANK(L636),0,IF(L636&gt;=2,1,0))+IF(ISBLANK(E636),0,IF(E636&lt;12,1,0))</f>
        <v>2</v>
      </c>
      <c r="U636" s="0" t="str">
        <f aca="false">IF((ISBLANK(B636)*1+ISBLANK(C636)*1+ISBLANK(D636)*1+ISBLANK(E636)*1+ISBLANK(F636)*1+ISBLANK(I636)*1+ISBLANK(J636)*1+ISBLANK(K636)*1+ISBLANK(L636)*1+ISBLANK(M636)*1+ISBLANK(N636)*1+ISBLANK(O636)*1)&gt;0,"Missing Data","OK")</f>
        <v>OK</v>
      </c>
      <c r="V636" s="0" t="str">
        <f aca="false">IF(T636&gt;=6,"High Risk",IF(T636&gt;=3,"Medium Risk","Low Risk"))</f>
        <v>Low Risk</v>
      </c>
    </row>
    <row r="637" customFormat="false" ht="12.8" hidden="false" customHeight="false" outlineLevel="0" collapsed="false">
      <c r="A637" s="1" t="s">
        <v>667</v>
      </c>
      <c r="B637" s="1" t="s">
        <v>36</v>
      </c>
      <c r="C637" s="1" t="s">
        <v>24</v>
      </c>
      <c r="D637" s="1" t="n">
        <v>11.14</v>
      </c>
      <c r="E637" s="1" t="n">
        <v>19</v>
      </c>
      <c r="F637" s="4" t="n">
        <v>44690</v>
      </c>
      <c r="G637" s="1" t="s">
        <v>30</v>
      </c>
      <c r="H637" s="1" t="n">
        <v>1</v>
      </c>
      <c r="I637" s="1" t="n">
        <v>61</v>
      </c>
      <c r="J637" s="1" t="n">
        <v>15</v>
      </c>
      <c r="K637" s="1" t="n">
        <v>6</v>
      </c>
      <c r="L637" s="1" t="n">
        <v>2</v>
      </c>
      <c r="M637" s="1" t="n">
        <v>1</v>
      </c>
      <c r="N637" s="1" t="n">
        <v>211.66</v>
      </c>
      <c r="O637" s="1" t="n">
        <v>0</v>
      </c>
      <c r="Q637" s="4" t="n">
        <v>45268</v>
      </c>
      <c r="R637" s="0" t="n">
        <f aca="false">IF(ISBLANK(F637),"Missing",IFERROR(YEAR(F637),"Missing"))</f>
        <v>2022</v>
      </c>
      <c r="S637" s="0" t="str">
        <f aca="false">IF(ISBLANK(E637),"Missing",IF(E637&lt;6,"0-6mo",IF(E637&lt;12,"6-12mo",IF(E637&lt;24,"12-24mo","24mo+"))))</f>
        <v>12-24mo</v>
      </c>
      <c r="T637" s="0" t="n">
        <f aca="false">IF(ISBLANK(C637),0,IF(C637="Month-to-month",2,IF(C637="One year",1,0)))+IF(ISBLANK(I637),0,IF(I637&lt;40,2,IF(I637&lt;55,1,0)))+IF(ISBLANK(M637),0,IF(M637=1,3,0))+IF(ISBLANK(L637),0,IF(L637&gt;=2,1,0))+IF(ISBLANK(E637),0,IF(E637&lt;12,1,0))</f>
        <v>6</v>
      </c>
      <c r="U637" s="0" t="str">
        <f aca="false">IF((ISBLANK(B637)*1+ISBLANK(C637)*1+ISBLANK(D637)*1+ISBLANK(E637)*1+ISBLANK(F637)*1+ISBLANK(I637)*1+ISBLANK(J637)*1+ISBLANK(K637)*1+ISBLANK(L637)*1+ISBLANK(M637)*1+ISBLANK(N637)*1+ISBLANK(O637)*1)&gt;0,"Missing Data","OK")</f>
        <v>OK</v>
      </c>
      <c r="V637" s="0" t="str">
        <f aca="false">IF(T637&gt;=6,"High Risk",IF(T637&gt;=3,"Medium Risk","Low Risk"))</f>
        <v>High Risk</v>
      </c>
    </row>
    <row r="638" customFormat="false" ht="12.8" hidden="false" customHeight="false" outlineLevel="0" collapsed="false">
      <c r="A638" s="1" t="s">
        <v>668</v>
      </c>
      <c r="B638" s="1" t="s">
        <v>29</v>
      </c>
      <c r="C638" s="1" t="s">
        <v>51</v>
      </c>
      <c r="D638" s="1" t="n">
        <v>40.99</v>
      </c>
      <c r="E638" s="1" t="n">
        <v>22</v>
      </c>
      <c r="F638" s="4" t="n">
        <v>44691</v>
      </c>
      <c r="G638" s="1" t="s">
        <v>27</v>
      </c>
      <c r="H638" s="1" t="n">
        <v>1</v>
      </c>
      <c r="I638" s="1" t="n">
        <v>89.9</v>
      </c>
      <c r="J638" s="1" t="n">
        <v>26</v>
      </c>
      <c r="K638" s="1" t="n">
        <v>10</v>
      </c>
      <c r="L638" s="1" t="n">
        <v>1</v>
      </c>
      <c r="M638" s="1" t="n">
        <v>0</v>
      </c>
      <c r="N638" s="1" t="n">
        <v>901.78</v>
      </c>
      <c r="O638" s="1" t="n">
        <v>0</v>
      </c>
      <c r="Q638" s="4" t="n">
        <v>45360</v>
      </c>
      <c r="R638" s="0" t="n">
        <f aca="false">IF(ISBLANK(F638),"Missing",IFERROR(YEAR(F638),"Missing"))</f>
        <v>2022</v>
      </c>
      <c r="S638" s="0" t="str">
        <f aca="false">IF(ISBLANK(E638),"Missing",IF(E638&lt;6,"0-6mo",IF(E638&lt;12,"6-12mo",IF(E638&lt;24,"12-24mo","24mo+"))))</f>
        <v>12-24mo</v>
      </c>
      <c r="T638" s="0" t="n">
        <f aca="false">IF(ISBLANK(C638),0,IF(C638="Month-to-month",2,IF(C638="One year",1,0)))+IF(ISBLANK(I638),0,IF(I638&lt;40,2,IF(I638&lt;55,1,0)))+IF(ISBLANK(M638),0,IF(M638=1,3,0))+IF(ISBLANK(L638),0,IF(L638&gt;=2,1,0))+IF(ISBLANK(E638),0,IF(E638&lt;12,1,0))</f>
        <v>0</v>
      </c>
      <c r="U638" s="0" t="str">
        <f aca="false">IF((ISBLANK(B638)*1+ISBLANK(C638)*1+ISBLANK(D638)*1+ISBLANK(E638)*1+ISBLANK(F638)*1+ISBLANK(I638)*1+ISBLANK(J638)*1+ISBLANK(K638)*1+ISBLANK(L638)*1+ISBLANK(M638)*1+ISBLANK(N638)*1+ISBLANK(O638)*1)&gt;0,"Missing Data","OK")</f>
        <v>OK</v>
      </c>
      <c r="V638" s="0" t="str">
        <f aca="false">IF(T638&gt;=6,"High Risk",IF(T638&gt;=3,"Medium Risk","Low Risk"))</f>
        <v>Low Risk</v>
      </c>
    </row>
    <row r="639" customFormat="false" ht="12.8" hidden="false" customHeight="false" outlineLevel="0" collapsed="false">
      <c r="A639" s="1" t="s">
        <v>669</v>
      </c>
      <c r="B639" s="1" t="s">
        <v>36</v>
      </c>
      <c r="C639" s="1" t="s">
        <v>24</v>
      </c>
      <c r="D639" s="1" t="n">
        <v>9.59</v>
      </c>
      <c r="E639" s="1" t="n">
        <v>7</v>
      </c>
      <c r="F639" s="4" t="n">
        <v>44691</v>
      </c>
      <c r="G639" s="1" t="s">
        <v>25</v>
      </c>
      <c r="H639" s="1" t="n">
        <v>1</v>
      </c>
      <c r="I639" s="1" t="n">
        <v>71.1</v>
      </c>
      <c r="J639" s="1" t="n">
        <v>18</v>
      </c>
      <c r="K639" s="1" t="n">
        <v>10</v>
      </c>
      <c r="L639" s="1" t="n">
        <v>1</v>
      </c>
      <c r="M639" s="1" t="n">
        <v>0</v>
      </c>
      <c r="N639" s="1" t="n">
        <v>67.13</v>
      </c>
      <c r="O639" s="1" t="n">
        <v>1</v>
      </c>
      <c r="P639" s="4" t="n">
        <v>44904</v>
      </c>
      <c r="Q639" s="4" t="n">
        <v>44904</v>
      </c>
      <c r="R639" s="0" t="n">
        <f aca="false">IF(ISBLANK(F639),"Missing",IFERROR(YEAR(F639),"Missing"))</f>
        <v>2022</v>
      </c>
      <c r="S639" s="0" t="str">
        <f aca="false">IF(ISBLANK(E639),"Missing",IF(E639&lt;6,"0-6mo",IF(E639&lt;12,"6-12mo",IF(E639&lt;24,"12-24mo","24mo+"))))</f>
        <v>6-12mo</v>
      </c>
      <c r="T639" s="0" t="n">
        <f aca="false">IF(ISBLANK(C639),0,IF(C639="Month-to-month",2,IF(C639="One year",1,0)))+IF(ISBLANK(I639),0,IF(I639&lt;40,2,IF(I639&lt;55,1,0)))+IF(ISBLANK(M639),0,IF(M639=1,3,0))+IF(ISBLANK(L639),0,IF(L639&gt;=2,1,0))+IF(ISBLANK(E639),0,IF(E639&lt;12,1,0))</f>
        <v>3</v>
      </c>
      <c r="U639" s="0" t="str">
        <f aca="false">IF((ISBLANK(B639)*1+ISBLANK(C639)*1+ISBLANK(D639)*1+ISBLANK(E639)*1+ISBLANK(F639)*1+ISBLANK(I639)*1+ISBLANK(J639)*1+ISBLANK(K639)*1+ISBLANK(L639)*1+ISBLANK(M639)*1+ISBLANK(N639)*1+ISBLANK(O639)*1)&gt;0,"Missing Data","OK")</f>
        <v>OK</v>
      </c>
      <c r="V639" s="0" t="str">
        <f aca="false">IF(T639&gt;=6,"High Risk",IF(T639&gt;=3,"Medium Risk","Low Risk"))</f>
        <v>Medium Risk</v>
      </c>
    </row>
    <row r="640" customFormat="false" ht="12.8" hidden="false" customHeight="false" outlineLevel="0" collapsed="false">
      <c r="A640" s="1" t="s">
        <v>670</v>
      </c>
      <c r="B640" s="1" t="s">
        <v>29</v>
      </c>
      <c r="C640" s="1" t="s">
        <v>51</v>
      </c>
      <c r="D640" s="1" t="n">
        <v>40.22</v>
      </c>
      <c r="E640" s="1" t="n">
        <v>13</v>
      </c>
      <c r="F640" s="4" t="n">
        <v>44692</v>
      </c>
      <c r="G640" s="1" t="s">
        <v>27</v>
      </c>
      <c r="H640" s="1" t="n">
        <v>1</v>
      </c>
      <c r="I640" s="1" t="n">
        <v>84</v>
      </c>
      <c r="J640" s="1" t="n">
        <v>25</v>
      </c>
      <c r="K640" s="1" t="n">
        <v>8</v>
      </c>
      <c r="L640" s="1" t="n">
        <v>2</v>
      </c>
      <c r="M640" s="1" t="n">
        <v>1</v>
      </c>
      <c r="N640" s="1" t="n">
        <v>522.86</v>
      </c>
      <c r="O640" s="1" t="n">
        <v>0</v>
      </c>
      <c r="Q640" s="4" t="n">
        <v>45087</v>
      </c>
      <c r="R640" s="0" t="n">
        <f aca="false">IF(ISBLANK(F640),"Missing",IFERROR(YEAR(F640),"Missing"))</f>
        <v>2022</v>
      </c>
      <c r="S640" s="0" t="str">
        <f aca="false">IF(ISBLANK(E640),"Missing",IF(E640&lt;6,"0-6mo",IF(E640&lt;12,"6-12mo",IF(E640&lt;24,"12-24mo","24mo+"))))</f>
        <v>12-24mo</v>
      </c>
      <c r="T640" s="0" t="n">
        <f aca="false">IF(ISBLANK(C640),0,IF(C640="Month-to-month",2,IF(C640="One year",1,0)))+IF(ISBLANK(I640),0,IF(I640&lt;40,2,IF(I640&lt;55,1,0)))+IF(ISBLANK(M640),0,IF(M640=1,3,0))+IF(ISBLANK(L640),0,IF(L640&gt;=2,1,0))+IF(ISBLANK(E640),0,IF(E640&lt;12,1,0))</f>
        <v>4</v>
      </c>
      <c r="U640" s="0" t="str">
        <f aca="false">IF((ISBLANK(B640)*1+ISBLANK(C640)*1+ISBLANK(D640)*1+ISBLANK(E640)*1+ISBLANK(F640)*1+ISBLANK(I640)*1+ISBLANK(J640)*1+ISBLANK(K640)*1+ISBLANK(L640)*1+ISBLANK(M640)*1+ISBLANK(N640)*1+ISBLANK(O640)*1)&gt;0,"Missing Data","OK")</f>
        <v>OK</v>
      </c>
      <c r="V640" s="0" t="str">
        <f aca="false">IF(T640&gt;=6,"High Risk",IF(T640&gt;=3,"Medium Risk","Low Risk"))</f>
        <v>Medium Risk</v>
      </c>
    </row>
    <row r="641" customFormat="false" ht="12.8" hidden="false" customHeight="false" outlineLevel="0" collapsed="false">
      <c r="A641" s="1" t="s">
        <v>671</v>
      </c>
      <c r="B641" s="1" t="s">
        <v>29</v>
      </c>
      <c r="C641" s="1" t="s">
        <v>24</v>
      </c>
      <c r="D641" s="1" t="n">
        <v>41.36</v>
      </c>
      <c r="E641" s="1" t="n">
        <v>13</v>
      </c>
      <c r="F641" s="4" t="n">
        <v>44693</v>
      </c>
      <c r="G641" s="1" t="s">
        <v>25</v>
      </c>
      <c r="H641" s="1" t="n">
        <v>1</v>
      </c>
      <c r="I641" s="1" t="n">
        <v>100</v>
      </c>
      <c r="J641" s="1" t="n">
        <v>31</v>
      </c>
      <c r="K641" s="1" t="n">
        <v>10</v>
      </c>
      <c r="L641" s="1" t="n">
        <v>2</v>
      </c>
      <c r="M641" s="1" t="n">
        <v>0</v>
      </c>
      <c r="N641" s="1" t="n">
        <v>537.68</v>
      </c>
      <c r="O641" s="1" t="n">
        <v>1</v>
      </c>
      <c r="P641" s="4" t="n">
        <v>45088</v>
      </c>
      <c r="Q641" s="4" t="n">
        <v>45088</v>
      </c>
      <c r="R641" s="0" t="n">
        <f aca="false">IF(ISBLANK(F641),"Missing",IFERROR(YEAR(F641),"Missing"))</f>
        <v>2022</v>
      </c>
      <c r="S641" s="0" t="str">
        <f aca="false">IF(ISBLANK(E641),"Missing",IF(E641&lt;6,"0-6mo",IF(E641&lt;12,"6-12mo",IF(E641&lt;24,"12-24mo","24mo+"))))</f>
        <v>12-24mo</v>
      </c>
      <c r="T641" s="0" t="n">
        <f aca="false">IF(ISBLANK(C641),0,IF(C641="Month-to-month",2,IF(C641="One year",1,0)))+IF(ISBLANK(I641),0,IF(I641&lt;40,2,IF(I641&lt;55,1,0)))+IF(ISBLANK(M641),0,IF(M641=1,3,0))+IF(ISBLANK(L641),0,IF(L641&gt;=2,1,0))+IF(ISBLANK(E641),0,IF(E641&lt;12,1,0))</f>
        <v>3</v>
      </c>
      <c r="U641" s="0" t="str">
        <f aca="false">IF((ISBLANK(B641)*1+ISBLANK(C641)*1+ISBLANK(D641)*1+ISBLANK(E641)*1+ISBLANK(F641)*1+ISBLANK(I641)*1+ISBLANK(J641)*1+ISBLANK(K641)*1+ISBLANK(L641)*1+ISBLANK(M641)*1+ISBLANK(N641)*1+ISBLANK(O641)*1)&gt;0,"Missing Data","OK")</f>
        <v>OK</v>
      </c>
      <c r="V641" s="0" t="str">
        <f aca="false">IF(T641&gt;=6,"High Risk",IF(T641&gt;=3,"Medium Risk","Low Risk"))</f>
        <v>Medium Risk</v>
      </c>
    </row>
    <row r="642" customFormat="false" ht="12.8" hidden="false" customHeight="false" outlineLevel="0" collapsed="false">
      <c r="A642" s="1" t="s">
        <v>672</v>
      </c>
      <c r="B642" s="1" t="s">
        <v>23</v>
      </c>
      <c r="C642" s="1" t="s">
        <v>24</v>
      </c>
      <c r="D642" s="1" t="n">
        <v>19.77</v>
      </c>
      <c r="E642" s="1" t="n">
        <v>6</v>
      </c>
      <c r="F642" s="4" t="n">
        <v>44693</v>
      </c>
      <c r="G642" s="1" t="s">
        <v>39</v>
      </c>
      <c r="H642" s="1" t="n">
        <v>1</v>
      </c>
      <c r="I642" s="1" t="n">
        <v>62.9</v>
      </c>
      <c r="J642" s="1" t="n">
        <v>12</v>
      </c>
      <c r="K642" s="1" t="n">
        <v>5</v>
      </c>
      <c r="L642" s="1" t="n">
        <v>0</v>
      </c>
      <c r="M642" s="1" t="n">
        <v>0</v>
      </c>
      <c r="N642" s="1" t="n">
        <v>118.62</v>
      </c>
      <c r="O642" s="1" t="n">
        <v>0</v>
      </c>
      <c r="Q642" s="4" t="n">
        <v>44875</v>
      </c>
      <c r="R642" s="0" t="n">
        <f aca="false">IF(ISBLANK(F642),"Missing",IFERROR(YEAR(F642),"Missing"))</f>
        <v>2022</v>
      </c>
      <c r="S642" s="0" t="str">
        <f aca="false">IF(ISBLANK(E642),"Missing",IF(E642&lt;6,"0-6mo",IF(E642&lt;12,"6-12mo",IF(E642&lt;24,"12-24mo","24mo+"))))</f>
        <v>6-12mo</v>
      </c>
      <c r="T642" s="0" t="n">
        <f aca="false">IF(ISBLANK(C642),0,IF(C642="Month-to-month",2,IF(C642="One year",1,0)))+IF(ISBLANK(I642),0,IF(I642&lt;40,2,IF(I642&lt;55,1,0)))+IF(ISBLANK(M642),0,IF(M642=1,3,0))+IF(ISBLANK(L642),0,IF(L642&gt;=2,1,0))+IF(ISBLANK(E642),0,IF(E642&lt;12,1,0))</f>
        <v>3</v>
      </c>
      <c r="U642" s="0" t="str">
        <f aca="false">IF((ISBLANK(B642)*1+ISBLANK(C642)*1+ISBLANK(D642)*1+ISBLANK(E642)*1+ISBLANK(F642)*1+ISBLANK(I642)*1+ISBLANK(J642)*1+ISBLANK(K642)*1+ISBLANK(L642)*1+ISBLANK(M642)*1+ISBLANK(N642)*1+ISBLANK(O642)*1)&gt;0,"Missing Data","OK")</f>
        <v>OK</v>
      </c>
      <c r="V642" s="0" t="str">
        <f aca="false">IF(T642&gt;=6,"High Risk",IF(T642&gt;=3,"Medium Risk","Low Risk"))</f>
        <v>Medium Risk</v>
      </c>
    </row>
    <row r="643" customFormat="false" ht="12.8" hidden="false" customHeight="false" outlineLevel="0" collapsed="false">
      <c r="A643" s="1" t="s">
        <v>673</v>
      </c>
      <c r="B643" s="1" t="s">
        <v>36</v>
      </c>
      <c r="C643" s="1" t="s">
        <v>34</v>
      </c>
      <c r="D643" s="1" t="n">
        <v>10.11</v>
      </c>
      <c r="E643" s="1" t="n">
        <v>55</v>
      </c>
      <c r="F643" s="4" t="n">
        <v>44693</v>
      </c>
      <c r="G643" s="1" t="s">
        <v>25</v>
      </c>
      <c r="H643" s="1" t="n">
        <v>1</v>
      </c>
      <c r="I643" s="1" t="n">
        <v>47.7</v>
      </c>
      <c r="J643" s="1" t="n">
        <v>16</v>
      </c>
      <c r="K643" s="1" t="n">
        <v>2</v>
      </c>
      <c r="L643" s="1" t="n">
        <v>2</v>
      </c>
      <c r="M643" s="1" t="n">
        <v>0</v>
      </c>
      <c r="N643" s="1" t="n">
        <v>556.05</v>
      </c>
      <c r="O643" s="1" t="n">
        <v>0</v>
      </c>
      <c r="Q643" s="4" t="n">
        <v>46293</v>
      </c>
      <c r="R643" s="0" t="n">
        <f aca="false">IF(ISBLANK(F643),"Missing",IFERROR(YEAR(F643),"Missing"))</f>
        <v>2022</v>
      </c>
      <c r="S643" s="0" t="str">
        <f aca="false">IF(ISBLANK(E643),"Missing",IF(E643&lt;6,"0-6mo",IF(E643&lt;12,"6-12mo",IF(E643&lt;24,"12-24mo","24mo+"))))</f>
        <v>24mo+</v>
      </c>
      <c r="T643" s="0" t="n">
        <f aca="false">IF(ISBLANK(C643),0,IF(C643="Month-to-month",2,IF(C643="One year",1,0)))+IF(ISBLANK(I643),0,IF(I643&lt;40,2,IF(I643&lt;55,1,0)))+IF(ISBLANK(M643),0,IF(M643=1,3,0))+IF(ISBLANK(L643),0,IF(L643&gt;=2,1,0))+IF(ISBLANK(E643),0,IF(E643&lt;12,1,0))</f>
        <v>3</v>
      </c>
      <c r="U643" s="0" t="str">
        <f aca="false">IF((ISBLANK(B643)*1+ISBLANK(C643)*1+ISBLANK(D643)*1+ISBLANK(E643)*1+ISBLANK(F643)*1+ISBLANK(I643)*1+ISBLANK(J643)*1+ISBLANK(K643)*1+ISBLANK(L643)*1+ISBLANK(M643)*1+ISBLANK(N643)*1+ISBLANK(O643)*1)&gt;0,"Missing Data","OK")</f>
        <v>OK</v>
      </c>
      <c r="V643" s="0" t="str">
        <f aca="false">IF(T643&gt;=6,"High Risk",IF(T643&gt;=3,"Medium Risk","Low Risk"))</f>
        <v>Medium Risk</v>
      </c>
    </row>
    <row r="644" customFormat="false" ht="12.8" hidden="false" customHeight="false" outlineLevel="0" collapsed="false">
      <c r="A644" s="1" t="s">
        <v>674</v>
      </c>
      <c r="B644" s="1" t="s">
        <v>36</v>
      </c>
      <c r="C644" s="1" t="s">
        <v>24</v>
      </c>
      <c r="D644" s="1" t="n">
        <v>9.11</v>
      </c>
      <c r="E644" s="1" t="n">
        <v>11</v>
      </c>
      <c r="F644" s="4" t="n">
        <v>44695</v>
      </c>
      <c r="G644" s="1" t="s">
        <v>27</v>
      </c>
      <c r="H644" s="1" t="n">
        <v>1</v>
      </c>
      <c r="I644" s="1" t="n">
        <v>84.4</v>
      </c>
      <c r="J644" s="1" t="n">
        <v>25</v>
      </c>
      <c r="K644" s="1" t="n">
        <v>10</v>
      </c>
      <c r="L644" s="1" t="n">
        <v>1</v>
      </c>
      <c r="M644" s="1" t="n">
        <v>0</v>
      </c>
      <c r="N644" s="1" t="n">
        <v>100.21</v>
      </c>
      <c r="O644" s="1" t="n">
        <v>0</v>
      </c>
      <c r="Q644" s="4" t="n">
        <v>45029</v>
      </c>
      <c r="R644" s="0" t="n">
        <f aca="false">IF(ISBLANK(F644),"Missing",IFERROR(YEAR(F644),"Missing"))</f>
        <v>2022</v>
      </c>
      <c r="S644" s="0" t="str">
        <f aca="false">IF(ISBLANK(E644),"Missing",IF(E644&lt;6,"0-6mo",IF(E644&lt;12,"6-12mo",IF(E644&lt;24,"12-24mo","24mo+"))))</f>
        <v>6-12mo</v>
      </c>
      <c r="T644" s="0" t="n">
        <f aca="false">IF(ISBLANK(C644),0,IF(C644="Month-to-month",2,IF(C644="One year",1,0)))+IF(ISBLANK(I644),0,IF(I644&lt;40,2,IF(I644&lt;55,1,0)))+IF(ISBLANK(M644),0,IF(M644=1,3,0))+IF(ISBLANK(L644),0,IF(L644&gt;=2,1,0))+IF(ISBLANK(E644),0,IF(E644&lt;12,1,0))</f>
        <v>3</v>
      </c>
      <c r="U644" s="0" t="str">
        <f aca="false">IF((ISBLANK(B644)*1+ISBLANK(C644)*1+ISBLANK(D644)*1+ISBLANK(E644)*1+ISBLANK(F644)*1+ISBLANK(I644)*1+ISBLANK(J644)*1+ISBLANK(K644)*1+ISBLANK(L644)*1+ISBLANK(M644)*1+ISBLANK(N644)*1+ISBLANK(O644)*1)&gt;0,"Missing Data","OK")</f>
        <v>OK</v>
      </c>
      <c r="V644" s="0" t="str">
        <f aca="false">IF(T644&gt;=6,"High Risk",IF(T644&gt;=3,"Medium Risk","Low Risk"))</f>
        <v>Medium Risk</v>
      </c>
    </row>
    <row r="645" customFormat="false" ht="12.8" hidden="false" customHeight="false" outlineLevel="0" collapsed="false">
      <c r="A645" s="1" t="s">
        <v>675</v>
      </c>
      <c r="B645" s="1" t="s">
        <v>29</v>
      </c>
      <c r="C645" s="1" t="s">
        <v>24</v>
      </c>
      <c r="D645" s="1" t="n">
        <v>39.14</v>
      </c>
      <c r="E645" s="1" t="n">
        <v>18</v>
      </c>
      <c r="F645" s="4" t="n">
        <v>44697</v>
      </c>
      <c r="G645" s="1" t="s">
        <v>39</v>
      </c>
      <c r="H645" s="1" t="n">
        <v>1</v>
      </c>
      <c r="I645" s="1" t="n">
        <v>41.7</v>
      </c>
      <c r="J645" s="1" t="n">
        <v>18</v>
      </c>
      <c r="K645" s="1" t="n">
        <v>5</v>
      </c>
      <c r="L645" s="1" t="n">
        <v>1</v>
      </c>
      <c r="M645" s="1" t="n">
        <v>1</v>
      </c>
      <c r="N645" s="1" t="n">
        <v>704.52</v>
      </c>
      <c r="O645" s="1" t="n">
        <v>0</v>
      </c>
      <c r="Q645" s="4" t="n">
        <v>45244</v>
      </c>
      <c r="R645" s="0" t="n">
        <f aca="false">IF(ISBLANK(F645),"Missing",IFERROR(YEAR(F645),"Missing"))</f>
        <v>2022</v>
      </c>
      <c r="S645" s="0" t="str">
        <f aca="false">IF(ISBLANK(E645),"Missing",IF(E645&lt;6,"0-6mo",IF(E645&lt;12,"6-12mo",IF(E645&lt;24,"12-24mo","24mo+"))))</f>
        <v>12-24mo</v>
      </c>
      <c r="T645" s="0" t="n">
        <f aca="false">IF(ISBLANK(C645),0,IF(C645="Month-to-month",2,IF(C645="One year",1,0)))+IF(ISBLANK(I645),0,IF(I645&lt;40,2,IF(I645&lt;55,1,0)))+IF(ISBLANK(M645),0,IF(M645=1,3,0))+IF(ISBLANK(L645),0,IF(L645&gt;=2,1,0))+IF(ISBLANK(E645),0,IF(E645&lt;12,1,0))</f>
        <v>6</v>
      </c>
      <c r="U645" s="0" t="str">
        <f aca="false">IF((ISBLANK(B645)*1+ISBLANK(C645)*1+ISBLANK(D645)*1+ISBLANK(E645)*1+ISBLANK(F645)*1+ISBLANK(I645)*1+ISBLANK(J645)*1+ISBLANK(K645)*1+ISBLANK(L645)*1+ISBLANK(M645)*1+ISBLANK(N645)*1+ISBLANK(O645)*1)&gt;0,"Missing Data","OK")</f>
        <v>OK</v>
      </c>
      <c r="V645" s="0" t="str">
        <f aca="false">IF(T645&gt;=6,"High Risk",IF(T645&gt;=3,"Medium Risk","Low Risk"))</f>
        <v>High Risk</v>
      </c>
    </row>
    <row r="646" customFormat="false" ht="12.8" hidden="false" customHeight="false" outlineLevel="0" collapsed="false">
      <c r="A646" s="1" t="s">
        <v>676</v>
      </c>
      <c r="B646" s="1" t="s">
        <v>23</v>
      </c>
      <c r="C646" s="1" t="s">
        <v>24</v>
      </c>
      <c r="D646" s="1" t="n">
        <v>19.8</v>
      </c>
      <c r="E646" s="1" t="n">
        <v>16</v>
      </c>
      <c r="F646" s="4" t="n">
        <v>44699</v>
      </c>
      <c r="G646" s="1" t="s">
        <v>27</v>
      </c>
      <c r="H646" s="1" t="n">
        <v>1</v>
      </c>
      <c r="I646" s="1" t="n">
        <v>25</v>
      </c>
      <c r="J646" s="1" t="n">
        <v>10</v>
      </c>
      <c r="K646" s="1" t="n">
        <v>3</v>
      </c>
      <c r="L646" s="1" t="n">
        <v>5</v>
      </c>
      <c r="M646" s="1" t="n">
        <v>1</v>
      </c>
      <c r="N646" s="1" t="n">
        <v>316.8</v>
      </c>
      <c r="O646" s="1" t="n">
        <v>1</v>
      </c>
      <c r="P646" s="4" t="n">
        <v>45186</v>
      </c>
      <c r="Q646" s="4" t="n">
        <v>45186</v>
      </c>
      <c r="R646" s="0" t="n">
        <f aca="false">IF(ISBLANK(F646),"Missing",IFERROR(YEAR(F646),"Missing"))</f>
        <v>2022</v>
      </c>
      <c r="S646" s="0" t="str">
        <f aca="false">IF(ISBLANK(E646),"Missing",IF(E646&lt;6,"0-6mo",IF(E646&lt;12,"6-12mo",IF(E646&lt;24,"12-24mo","24mo+"))))</f>
        <v>12-24mo</v>
      </c>
      <c r="T646" s="0" t="n">
        <f aca="false">IF(ISBLANK(C646),0,IF(C646="Month-to-month",2,IF(C646="One year",1,0)))+IF(ISBLANK(I646),0,IF(I646&lt;40,2,IF(I646&lt;55,1,0)))+IF(ISBLANK(M646),0,IF(M646=1,3,0))+IF(ISBLANK(L646),0,IF(L646&gt;=2,1,0))+IF(ISBLANK(E646),0,IF(E646&lt;12,1,0))</f>
        <v>8</v>
      </c>
      <c r="U646" s="0" t="str">
        <f aca="false">IF((ISBLANK(B646)*1+ISBLANK(C646)*1+ISBLANK(D646)*1+ISBLANK(E646)*1+ISBLANK(F646)*1+ISBLANK(I646)*1+ISBLANK(J646)*1+ISBLANK(K646)*1+ISBLANK(L646)*1+ISBLANK(M646)*1+ISBLANK(N646)*1+ISBLANK(O646)*1)&gt;0,"Missing Data","OK")</f>
        <v>OK</v>
      </c>
      <c r="V646" s="0" t="str">
        <f aca="false">IF(T646&gt;=6,"High Risk",IF(T646&gt;=3,"Medium Risk","Low Risk"))</f>
        <v>High Risk</v>
      </c>
    </row>
    <row r="647" customFormat="false" ht="12.8" hidden="false" customHeight="false" outlineLevel="0" collapsed="false">
      <c r="A647" s="1" t="s">
        <v>677</v>
      </c>
      <c r="B647" s="1" t="s">
        <v>23</v>
      </c>
      <c r="C647" s="1" t="s">
        <v>24</v>
      </c>
      <c r="D647" s="1" t="n">
        <v>21.35</v>
      </c>
      <c r="E647" s="1" t="n">
        <v>4</v>
      </c>
      <c r="F647" s="4" t="n">
        <v>44702</v>
      </c>
      <c r="G647" s="1" t="s">
        <v>27</v>
      </c>
      <c r="H647" s="1" t="n">
        <v>1</v>
      </c>
      <c r="I647" s="1" t="n">
        <v>40.8</v>
      </c>
      <c r="J647" s="1" t="n">
        <v>16</v>
      </c>
      <c r="K647" s="1" t="n">
        <v>5</v>
      </c>
      <c r="L647" s="1" t="n">
        <v>2</v>
      </c>
      <c r="M647" s="1" t="n">
        <v>1</v>
      </c>
      <c r="N647" s="1" t="n">
        <v>85.4</v>
      </c>
      <c r="O647" s="1" t="n">
        <v>0</v>
      </c>
      <c r="Q647" s="4" t="n">
        <v>44823</v>
      </c>
      <c r="R647" s="0" t="n">
        <f aca="false">IF(ISBLANK(F647),"Missing",IFERROR(YEAR(F647),"Missing"))</f>
        <v>2022</v>
      </c>
      <c r="S647" s="0" t="str">
        <f aca="false">IF(ISBLANK(E647),"Missing",IF(E647&lt;6,"0-6mo",IF(E647&lt;12,"6-12mo",IF(E647&lt;24,"12-24mo","24mo+"))))</f>
        <v>0-6mo</v>
      </c>
      <c r="T647" s="0" t="n">
        <f aca="false">IF(ISBLANK(C647),0,IF(C647="Month-to-month",2,IF(C647="One year",1,0)))+IF(ISBLANK(I647),0,IF(I647&lt;40,2,IF(I647&lt;55,1,0)))+IF(ISBLANK(M647),0,IF(M647=1,3,0))+IF(ISBLANK(L647),0,IF(L647&gt;=2,1,0))+IF(ISBLANK(E647),0,IF(E647&lt;12,1,0))</f>
        <v>8</v>
      </c>
      <c r="U647" s="0" t="str">
        <f aca="false">IF((ISBLANK(B647)*1+ISBLANK(C647)*1+ISBLANK(D647)*1+ISBLANK(E647)*1+ISBLANK(F647)*1+ISBLANK(I647)*1+ISBLANK(J647)*1+ISBLANK(K647)*1+ISBLANK(L647)*1+ISBLANK(M647)*1+ISBLANK(N647)*1+ISBLANK(O647)*1)&gt;0,"Missing Data","OK")</f>
        <v>OK</v>
      </c>
      <c r="V647" s="0" t="str">
        <f aca="false">IF(T647&gt;=6,"High Risk",IF(T647&gt;=3,"Medium Risk","Low Risk"))</f>
        <v>High Risk</v>
      </c>
    </row>
    <row r="648" customFormat="false" ht="12.8" hidden="false" customHeight="false" outlineLevel="0" collapsed="false">
      <c r="A648" s="1" t="s">
        <v>678</v>
      </c>
      <c r="B648" s="1" t="s">
        <v>23</v>
      </c>
      <c r="C648" s="1" t="s">
        <v>24</v>
      </c>
      <c r="D648" s="1" t="n">
        <v>19.88</v>
      </c>
      <c r="E648" s="1" t="n">
        <v>27</v>
      </c>
      <c r="F648" s="4" t="n">
        <v>44703</v>
      </c>
      <c r="G648" s="1" t="s">
        <v>30</v>
      </c>
      <c r="H648" s="1" t="n">
        <v>1</v>
      </c>
      <c r="I648" s="1" t="n">
        <v>54.8</v>
      </c>
      <c r="J648" s="1" t="n">
        <v>19</v>
      </c>
      <c r="K648" s="1" t="n">
        <v>4</v>
      </c>
      <c r="L648" s="1" t="n">
        <v>1</v>
      </c>
      <c r="M648" s="1" t="n">
        <v>0</v>
      </c>
      <c r="N648" s="1" t="n">
        <v>536.76</v>
      </c>
      <c r="O648" s="1" t="n">
        <v>0</v>
      </c>
      <c r="Q648" s="4" t="n">
        <v>45524</v>
      </c>
      <c r="R648" s="0" t="n">
        <f aca="false">IF(ISBLANK(F648),"Missing",IFERROR(YEAR(F648),"Missing"))</f>
        <v>2022</v>
      </c>
      <c r="S648" s="0" t="str">
        <f aca="false">IF(ISBLANK(E648),"Missing",IF(E648&lt;6,"0-6mo",IF(E648&lt;12,"6-12mo",IF(E648&lt;24,"12-24mo","24mo+"))))</f>
        <v>24mo+</v>
      </c>
      <c r="T648" s="0" t="n">
        <f aca="false">IF(ISBLANK(C648),0,IF(C648="Month-to-month",2,IF(C648="One year",1,0)))+IF(ISBLANK(I648),0,IF(I648&lt;40,2,IF(I648&lt;55,1,0)))+IF(ISBLANK(M648),0,IF(M648=1,3,0))+IF(ISBLANK(L648),0,IF(L648&gt;=2,1,0))+IF(ISBLANK(E648),0,IF(E648&lt;12,1,0))</f>
        <v>3</v>
      </c>
      <c r="U648" s="0" t="str">
        <f aca="false">IF((ISBLANK(B648)*1+ISBLANK(C648)*1+ISBLANK(D648)*1+ISBLANK(E648)*1+ISBLANK(F648)*1+ISBLANK(I648)*1+ISBLANK(J648)*1+ISBLANK(K648)*1+ISBLANK(L648)*1+ISBLANK(M648)*1+ISBLANK(N648)*1+ISBLANK(O648)*1)&gt;0,"Missing Data","OK")</f>
        <v>OK</v>
      </c>
      <c r="V648" s="0" t="str">
        <f aca="false">IF(T648&gt;=6,"High Risk",IF(T648&gt;=3,"Medium Risk","Low Risk"))</f>
        <v>Medium Risk</v>
      </c>
    </row>
    <row r="649" customFormat="false" ht="12.8" hidden="false" customHeight="false" outlineLevel="0" collapsed="false">
      <c r="A649" s="1" t="s">
        <v>679</v>
      </c>
      <c r="B649" s="1" t="s">
        <v>23</v>
      </c>
      <c r="C649" s="1" t="s">
        <v>24</v>
      </c>
      <c r="D649" s="1" t="n">
        <v>20.54</v>
      </c>
      <c r="E649" s="1" t="n">
        <v>34</v>
      </c>
      <c r="F649" s="4" t="n">
        <v>44705</v>
      </c>
      <c r="G649" s="1" t="s">
        <v>25</v>
      </c>
      <c r="H649" s="1" t="n">
        <v>0</v>
      </c>
      <c r="I649" s="1" t="n">
        <v>49.2</v>
      </c>
      <c r="J649" s="1" t="n">
        <v>16</v>
      </c>
      <c r="K649" s="1" t="n">
        <v>3</v>
      </c>
      <c r="L649" s="1" t="n">
        <v>0</v>
      </c>
      <c r="M649" s="1" t="n">
        <v>0</v>
      </c>
      <c r="N649" s="1" t="n">
        <v>698.36</v>
      </c>
      <c r="O649" s="1" t="n">
        <v>0</v>
      </c>
      <c r="Q649" s="4" t="n">
        <v>45739</v>
      </c>
      <c r="R649" s="0" t="n">
        <f aca="false">IF(ISBLANK(F649),"Missing",IFERROR(YEAR(F649),"Missing"))</f>
        <v>2022</v>
      </c>
      <c r="S649" s="0" t="str">
        <f aca="false">IF(ISBLANK(E649),"Missing",IF(E649&lt;6,"0-6mo",IF(E649&lt;12,"6-12mo",IF(E649&lt;24,"12-24mo","24mo+"))))</f>
        <v>24mo+</v>
      </c>
      <c r="T649" s="0" t="n">
        <f aca="false">IF(ISBLANK(C649),0,IF(C649="Month-to-month",2,IF(C649="One year",1,0)))+IF(ISBLANK(I649),0,IF(I649&lt;40,2,IF(I649&lt;55,1,0)))+IF(ISBLANK(M649),0,IF(M649=1,3,0))+IF(ISBLANK(L649),0,IF(L649&gt;=2,1,0))+IF(ISBLANK(E649),0,IF(E649&lt;12,1,0))</f>
        <v>3</v>
      </c>
      <c r="U649" s="0" t="str">
        <f aca="false">IF((ISBLANK(B649)*1+ISBLANK(C649)*1+ISBLANK(D649)*1+ISBLANK(E649)*1+ISBLANK(F649)*1+ISBLANK(I649)*1+ISBLANK(J649)*1+ISBLANK(K649)*1+ISBLANK(L649)*1+ISBLANK(M649)*1+ISBLANK(N649)*1+ISBLANK(O649)*1)&gt;0,"Missing Data","OK")</f>
        <v>OK</v>
      </c>
      <c r="V649" s="0" t="str">
        <f aca="false">IF(T649&gt;=6,"High Risk",IF(T649&gt;=3,"Medium Risk","Low Risk"))</f>
        <v>Medium Risk</v>
      </c>
    </row>
    <row r="650" customFormat="false" ht="12.8" hidden="false" customHeight="false" outlineLevel="0" collapsed="false">
      <c r="A650" s="1" t="s">
        <v>680</v>
      </c>
      <c r="B650" s="1" t="s">
        <v>29</v>
      </c>
      <c r="C650" s="1" t="s">
        <v>24</v>
      </c>
      <c r="D650" s="1" t="n">
        <v>39.23</v>
      </c>
      <c r="E650" s="1" t="n">
        <v>44</v>
      </c>
      <c r="F650" s="4" t="n">
        <v>44708</v>
      </c>
      <c r="G650" s="1" t="s">
        <v>30</v>
      </c>
      <c r="H650" s="1" t="n">
        <v>1</v>
      </c>
      <c r="I650" s="1" t="n">
        <v>37</v>
      </c>
      <c r="J650" s="1" t="n">
        <v>7</v>
      </c>
      <c r="K650" s="1" t="n">
        <v>1</v>
      </c>
      <c r="L650" s="1" t="n">
        <v>1</v>
      </c>
      <c r="M650" s="1" t="n">
        <v>1</v>
      </c>
      <c r="N650" s="1" t="n">
        <v>1726.12</v>
      </c>
      <c r="O650" s="1" t="n">
        <v>0</v>
      </c>
      <c r="Q650" s="4" t="n">
        <v>46047</v>
      </c>
      <c r="R650" s="0" t="n">
        <f aca="false">IF(ISBLANK(F650),"Missing",IFERROR(YEAR(F650),"Missing"))</f>
        <v>2022</v>
      </c>
      <c r="S650" s="0" t="str">
        <f aca="false">IF(ISBLANK(E650),"Missing",IF(E650&lt;6,"0-6mo",IF(E650&lt;12,"6-12mo",IF(E650&lt;24,"12-24mo","24mo+"))))</f>
        <v>24mo+</v>
      </c>
      <c r="T650" s="0" t="n">
        <f aca="false">IF(ISBLANK(C650),0,IF(C650="Month-to-month",2,IF(C650="One year",1,0)))+IF(ISBLANK(I650),0,IF(I650&lt;40,2,IF(I650&lt;55,1,0)))+IF(ISBLANK(M650),0,IF(M650=1,3,0))+IF(ISBLANK(L650),0,IF(L650&gt;=2,1,0))+IF(ISBLANK(E650),0,IF(E650&lt;12,1,0))</f>
        <v>7</v>
      </c>
      <c r="U650" s="0" t="str">
        <f aca="false">IF((ISBLANK(B650)*1+ISBLANK(C650)*1+ISBLANK(D650)*1+ISBLANK(E650)*1+ISBLANK(F650)*1+ISBLANK(I650)*1+ISBLANK(J650)*1+ISBLANK(K650)*1+ISBLANK(L650)*1+ISBLANK(M650)*1+ISBLANK(N650)*1+ISBLANK(O650)*1)&gt;0,"Missing Data","OK")</f>
        <v>OK</v>
      </c>
      <c r="V650" s="0" t="str">
        <f aca="false">IF(T650&gt;=6,"High Risk",IF(T650&gt;=3,"Medium Risk","Low Risk"))</f>
        <v>High Risk</v>
      </c>
    </row>
    <row r="651" customFormat="false" ht="12.8" hidden="false" customHeight="false" outlineLevel="0" collapsed="false">
      <c r="A651" s="1" t="s">
        <v>681</v>
      </c>
      <c r="B651" s="1" t="s">
        <v>36</v>
      </c>
      <c r="C651" s="1" t="s">
        <v>24</v>
      </c>
      <c r="D651" s="1" t="n">
        <v>8.48</v>
      </c>
      <c r="E651" s="1" t="n">
        <v>13</v>
      </c>
      <c r="F651" s="4" t="n">
        <v>44709</v>
      </c>
      <c r="G651" s="1" t="s">
        <v>25</v>
      </c>
      <c r="H651" s="1" t="n">
        <v>1</v>
      </c>
      <c r="I651" s="1" t="n">
        <v>38</v>
      </c>
      <c r="J651" s="1" t="n">
        <v>6</v>
      </c>
      <c r="K651" s="1" t="n">
        <v>2</v>
      </c>
      <c r="L651" s="1" t="n">
        <v>2</v>
      </c>
      <c r="M651" s="1" t="n">
        <v>1</v>
      </c>
      <c r="N651" s="1" t="n">
        <v>110.24</v>
      </c>
      <c r="O651" s="1" t="n">
        <v>0</v>
      </c>
      <c r="Q651" s="4" t="n">
        <v>45104</v>
      </c>
      <c r="R651" s="0" t="n">
        <f aca="false">IF(ISBLANK(F651),"Missing",IFERROR(YEAR(F651),"Missing"))</f>
        <v>2022</v>
      </c>
      <c r="S651" s="0" t="str">
        <f aca="false">IF(ISBLANK(E651),"Missing",IF(E651&lt;6,"0-6mo",IF(E651&lt;12,"6-12mo",IF(E651&lt;24,"12-24mo","24mo+"))))</f>
        <v>12-24mo</v>
      </c>
      <c r="T651" s="0" t="n">
        <f aca="false">IF(ISBLANK(C651),0,IF(C651="Month-to-month",2,IF(C651="One year",1,0)))+IF(ISBLANK(I651),0,IF(I651&lt;40,2,IF(I651&lt;55,1,0)))+IF(ISBLANK(M651),0,IF(M651=1,3,0))+IF(ISBLANK(L651),0,IF(L651&gt;=2,1,0))+IF(ISBLANK(E651),0,IF(E651&lt;12,1,0))</f>
        <v>8</v>
      </c>
      <c r="U651" s="0" t="str">
        <f aca="false">IF((ISBLANK(B651)*1+ISBLANK(C651)*1+ISBLANK(D651)*1+ISBLANK(E651)*1+ISBLANK(F651)*1+ISBLANK(I651)*1+ISBLANK(J651)*1+ISBLANK(K651)*1+ISBLANK(L651)*1+ISBLANK(M651)*1+ISBLANK(N651)*1+ISBLANK(O651)*1)&gt;0,"Missing Data","OK")</f>
        <v>OK</v>
      </c>
      <c r="V651" s="0" t="str">
        <f aca="false">IF(T651&gt;=6,"High Risk",IF(T651&gt;=3,"Medium Risk","Low Risk"))</f>
        <v>High Risk</v>
      </c>
    </row>
    <row r="652" customFormat="false" ht="12.8" hidden="false" customHeight="false" outlineLevel="0" collapsed="false">
      <c r="A652" s="1" t="s">
        <v>682</v>
      </c>
      <c r="B652" s="1" t="s">
        <v>29</v>
      </c>
      <c r="C652" s="1" t="s">
        <v>34</v>
      </c>
      <c r="D652" s="1" t="n">
        <v>40.5</v>
      </c>
      <c r="E652" s="1" t="n">
        <v>35</v>
      </c>
      <c r="F652" s="4" t="n">
        <v>44709</v>
      </c>
      <c r="G652" s="1" t="s">
        <v>39</v>
      </c>
      <c r="H652" s="1" t="n">
        <v>0</v>
      </c>
      <c r="I652" s="1" t="n">
        <v>51</v>
      </c>
      <c r="J652" s="1" t="n">
        <v>19</v>
      </c>
      <c r="K652" s="1" t="n">
        <v>4</v>
      </c>
      <c r="L652" s="1" t="n">
        <v>2</v>
      </c>
      <c r="M652" s="1" t="n">
        <v>0</v>
      </c>
      <c r="N652" s="1" t="n">
        <v>1417.5</v>
      </c>
      <c r="O652" s="1" t="n">
        <v>0</v>
      </c>
      <c r="Q652" s="4" t="n">
        <v>45774</v>
      </c>
      <c r="R652" s="0" t="n">
        <f aca="false">IF(ISBLANK(F652),"Missing",IFERROR(YEAR(F652),"Missing"))</f>
        <v>2022</v>
      </c>
      <c r="S652" s="0" t="str">
        <f aca="false">IF(ISBLANK(E652),"Missing",IF(E652&lt;6,"0-6mo",IF(E652&lt;12,"6-12mo",IF(E652&lt;24,"12-24mo","24mo+"))))</f>
        <v>24mo+</v>
      </c>
      <c r="T652" s="0" t="n">
        <f aca="false">IF(ISBLANK(C652),0,IF(C652="Month-to-month",2,IF(C652="One year",1,0)))+IF(ISBLANK(I652),0,IF(I652&lt;40,2,IF(I652&lt;55,1,0)))+IF(ISBLANK(M652),0,IF(M652=1,3,0))+IF(ISBLANK(L652),0,IF(L652&gt;=2,1,0))+IF(ISBLANK(E652),0,IF(E652&lt;12,1,0))</f>
        <v>3</v>
      </c>
      <c r="U652" s="0" t="str">
        <f aca="false">IF((ISBLANK(B652)*1+ISBLANK(C652)*1+ISBLANK(D652)*1+ISBLANK(E652)*1+ISBLANK(F652)*1+ISBLANK(I652)*1+ISBLANK(J652)*1+ISBLANK(K652)*1+ISBLANK(L652)*1+ISBLANK(M652)*1+ISBLANK(N652)*1+ISBLANK(O652)*1)&gt;0,"Missing Data","OK")</f>
        <v>OK</v>
      </c>
      <c r="V652" s="0" t="str">
        <f aca="false">IF(T652&gt;=6,"High Risk",IF(T652&gt;=3,"Medium Risk","Low Risk"))</f>
        <v>Medium Risk</v>
      </c>
    </row>
    <row r="653" customFormat="false" ht="12.8" hidden="false" customHeight="false" outlineLevel="0" collapsed="false">
      <c r="A653" s="1" t="s">
        <v>683</v>
      </c>
      <c r="B653" s="1" t="s">
        <v>36</v>
      </c>
      <c r="C653" s="1" t="s">
        <v>34</v>
      </c>
      <c r="D653" s="1" t="n">
        <v>10.16</v>
      </c>
      <c r="E653" s="1" t="n">
        <v>8</v>
      </c>
      <c r="F653" s="4" t="n">
        <v>44710</v>
      </c>
      <c r="G653" s="1" t="s">
        <v>30</v>
      </c>
      <c r="H653" s="1" t="n">
        <v>1</v>
      </c>
      <c r="I653" s="1" t="n">
        <v>69.6</v>
      </c>
      <c r="J653" s="1" t="n">
        <v>14</v>
      </c>
      <c r="K653" s="1" t="n">
        <v>8</v>
      </c>
      <c r="L653" s="1" t="n">
        <v>3</v>
      </c>
      <c r="M653" s="1" t="n">
        <v>0</v>
      </c>
      <c r="N653" s="1" t="n">
        <v>81.28</v>
      </c>
      <c r="O653" s="1" t="n">
        <v>0</v>
      </c>
      <c r="Q653" s="4" t="n">
        <v>44953</v>
      </c>
      <c r="R653" s="0" t="n">
        <f aca="false">IF(ISBLANK(F653),"Missing",IFERROR(YEAR(F653),"Missing"))</f>
        <v>2022</v>
      </c>
      <c r="S653" s="0" t="str">
        <f aca="false">IF(ISBLANK(E653),"Missing",IF(E653&lt;6,"0-6mo",IF(E653&lt;12,"6-12mo",IF(E653&lt;24,"12-24mo","24mo+"))))</f>
        <v>6-12mo</v>
      </c>
      <c r="T653" s="0" t="n">
        <f aca="false">IF(ISBLANK(C653),0,IF(C653="Month-to-month",2,IF(C653="One year",1,0)))+IF(ISBLANK(I653),0,IF(I653&lt;40,2,IF(I653&lt;55,1,0)))+IF(ISBLANK(M653),0,IF(M653=1,3,0))+IF(ISBLANK(L653),0,IF(L653&gt;=2,1,0))+IF(ISBLANK(E653),0,IF(E653&lt;12,1,0))</f>
        <v>3</v>
      </c>
      <c r="U653" s="0" t="str">
        <f aca="false">IF((ISBLANK(B653)*1+ISBLANK(C653)*1+ISBLANK(D653)*1+ISBLANK(E653)*1+ISBLANK(F653)*1+ISBLANK(I653)*1+ISBLANK(J653)*1+ISBLANK(K653)*1+ISBLANK(L653)*1+ISBLANK(M653)*1+ISBLANK(N653)*1+ISBLANK(O653)*1)&gt;0,"Missing Data","OK")</f>
        <v>OK</v>
      </c>
      <c r="V653" s="0" t="str">
        <f aca="false">IF(T653&gt;=6,"High Risk",IF(T653&gt;=3,"Medium Risk","Low Risk"))</f>
        <v>Medium Risk</v>
      </c>
    </row>
    <row r="654" customFormat="false" ht="12.8" hidden="false" customHeight="false" outlineLevel="0" collapsed="false">
      <c r="A654" s="1" t="s">
        <v>684</v>
      </c>
      <c r="B654" s="1" t="s">
        <v>29</v>
      </c>
      <c r="C654" s="1" t="s">
        <v>24</v>
      </c>
      <c r="D654" s="1" t="n">
        <v>40.2</v>
      </c>
      <c r="E654" s="1" t="n">
        <v>24</v>
      </c>
      <c r="F654" s="4" t="n">
        <v>44710</v>
      </c>
      <c r="G654" s="1" t="s">
        <v>25</v>
      </c>
      <c r="H654" s="1" t="n">
        <v>0</v>
      </c>
      <c r="I654" s="1" t="n">
        <v>87.1</v>
      </c>
      <c r="J654" s="1" t="n">
        <v>28</v>
      </c>
      <c r="K654" s="1" t="n">
        <v>9</v>
      </c>
      <c r="L654" s="1" t="n">
        <v>1</v>
      </c>
      <c r="M654" s="1" t="n">
        <v>0</v>
      </c>
      <c r="N654" s="1" t="n">
        <v>964.8</v>
      </c>
      <c r="O654" s="1" t="n">
        <v>0</v>
      </c>
      <c r="Q654" s="4" t="n">
        <v>45440</v>
      </c>
      <c r="R654" s="0" t="n">
        <f aca="false">IF(ISBLANK(F654),"Missing",IFERROR(YEAR(F654),"Missing"))</f>
        <v>2022</v>
      </c>
      <c r="S654" s="0" t="str">
        <f aca="false">IF(ISBLANK(E654),"Missing",IF(E654&lt;6,"0-6mo",IF(E654&lt;12,"6-12mo",IF(E654&lt;24,"12-24mo","24mo+"))))</f>
        <v>24mo+</v>
      </c>
      <c r="T654" s="0" t="n">
        <f aca="false">IF(ISBLANK(C654),0,IF(C654="Month-to-month",2,IF(C654="One year",1,0)))+IF(ISBLANK(I654),0,IF(I654&lt;40,2,IF(I654&lt;55,1,0)))+IF(ISBLANK(M654),0,IF(M654=1,3,0))+IF(ISBLANK(L654),0,IF(L654&gt;=2,1,0))+IF(ISBLANK(E654),0,IF(E654&lt;12,1,0))</f>
        <v>2</v>
      </c>
      <c r="U654" s="0" t="str">
        <f aca="false">IF((ISBLANK(B654)*1+ISBLANK(C654)*1+ISBLANK(D654)*1+ISBLANK(E654)*1+ISBLANK(F654)*1+ISBLANK(I654)*1+ISBLANK(J654)*1+ISBLANK(K654)*1+ISBLANK(L654)*1+ISBLANK(M654)*1+ISBLANK(N654)*1+ISBLANK(O654)*1)&gt;0,"Missing Data","OK")</f>
        <v>OK</v>
      </c>
      <c r="V654" s="0" t="str">
        <f aca="false">IF(T654&gt;=6,"High Risk",IF(T654&gt;=3,"Medium Risk","Low Risk"))</f>
        <v>Low Risk</v>
      </c>
    </row>
    <row r="655" customFormat="false" ht="12.8" hidden="false" customHeight="false" outlineLevel="0" collapsed="false">
      <c r="A655" s="1" t="s">
        <v>685</v>
      </c>
      <c r="B655" s="1" t="s">
        <v>29</v>
      </c>
      <c r="C655" s="1" t="s">
        <v>24</v>
      </c>
      <c r="D655" s="1" t="n">
        <v>40.34</v>
      </c>
      <c r="E655" s="1" t="n">
        <v>72</v>
      </c>
      <c r="F655" s="4" t="n">
        <v>44711</v>
      </c>
      <c r="G655" s="1" t="s">
        <v>25</v>
      </c>
      <c r="H655" s="1" t="n">
        <v>1</v>
      </c>
      <c r="I655" s="1" t="n">
        <v>20.8</v>
      </c>
      <c r="J655" s="1" t="n">
        <v>7</v>
      </c>
      <c r="K655" s="1" t="n">
        <v>1</v>
      </c>
      <c r="L655" s="1" t="n">
        <v>1</v>
      </c>
      <c r="M655" s="1" t="n">
        <v>0</v>
      </c>
      <c r="N655" s="1" t="n">
        <v>2904.48</v>
      </c>
      <c r="O655" s="1" t="n">
        <v>0</v>
      </c>
      <c r="Q655" s="4" t="n">
        <v>46293</v>
      </c>
      <c r="R655" s="0" t="n">
        <f aca="false">IF(ISBLANK(F655),"Missing",IFERROR(YEAR(F655),"Missing"))</f>
        <v>2022</v>
      </c>
      <c r="S655" s="0" t="str">
        <f aca="false">IF(ISBLANK(E655),"Missing",IF(E655&lt;6,"0-6mo",IF(E655&lt;12,"6-12mo",IF(E655&lt;24,"12-24mo","24mo+"))))</f>
        <v>24mo+</v>
      </c>
      <c r="T655" s="0" t="n">
        <f aca="false">IF(ISBLANK(C655),0,IF(C655="Month-to-month",2,IF(C655="One year",1,0)))+IF(ISBLANK(I655),0,IF(I655&lt;40,2,IF(I655&lt;55,1,0)))+IF(ISBLANK(M655),0,IF(M655=1,3,0))+IF(ISBLANK(L655),0,IF(L655&gt;=2,1,0))+IF(ISBLANK(E655),0,IF(E655&lt;12,1,0))</f>
        <v>4</v>
      </c>
      <c r="U655" s="0" t="str">
        <f aca="false">IF((ISBLANK(B655)*1+ISBLANK(C655)*1+ISBLANK(D655)*1+ISBLANK(E655)*1+ISBLANK(F655)*1+ISBLANK(I655)*1+ISBLANK(J655)*1+ISBLANK(K655)*1+ISBLANK(L655)*1+ISBLANK(M655)*1+ISBLANK(N655)*1+ISBLANK(O655)*1)&gt;0,"Missing Data","OK")</f>
        <v>OK</v>
      </c>
      <c r="V655" s="0" t="str">
        <f aca="false">IF(T655&gt;=6,"High Risk",IF(T655&gt;=3,"Medium Risk","Low Risk"))</f>
        <v>Medium Risk</v>
      </c>
    </row>
    <row r="656" customFormat="false" ht="12.8" hidden="false" customHeight="false" outlineLevel="0" collapsed="false">
      <c r="A656" s="1" t="s">
        <v>686</v>
      </c>
      <c r="B656" s="1" t="s">
        <v>36</v>
      </c>
      <c r="C656" s="1" t="s">
        <v>34</v>
      </c>
      <c r="D656" s="1" t="n">
        <v>10.94</v>
      </c>
      <c r="E656" s="1" t="n">
        <v>16</v>
      </c>
      <c r="F656" s="4" t="n">
        <v>44712</v>
      </c>
      <c r="G656" s="1" t="s">
        <v>39</v>
      </c>
      <c r="H656" s="1" t="n">
        <v>1</v>
      </c>
      <c r="I656" s="1" t="n">
        <v>28</v>
      </c>
      <c r="J656" s="1" t="n">
        <v>9</v>
      </c>
      <c r="K656" s="1" t="n">
        <v>2</v>
      </c>
      <c r="L656" s="1" t="n">
        <v>4</v>
      </c>
      <c r="M656" s="1" t="n">
        <v>0</v>
      </c>
      <c r="N656" s="1" t="n">
        <v>175.04</v>
      </c>
      <c r="O656" s="1" t="n">
        <v>0</v>
      </c>
      <c r="Q656" s="4" t="n">
        <v>45199</v>
      </c>
      <c r="R656" s="0" t="n">
        <f aca="false">IF(ISBLANK(F656),"Missing",IFERROR(YEAR(F656),"Missing"))</f>
        <v>2022</v>
      </c>
      <c r="S656" s="0" t="str">
        <f aca="false">IF(ISBLANK(E656),"Missing",IF(E656&lt;6,"0-6mo",IF(E656&lt;12,"6-12mo",IF(E656&lt;24,"12-24mo","24mo+"))))</f>
        <v>12-24mo</v>
      </c>
      <c r="T656" s="0" t="n">
        <f aca="false">IF(ISBLANK(C656),0,IF(C656="Month-to-month",2,IF(C656="One year",1,0)))+IF(ISBLANK(I656),0,IF(I656&lt;40,2,IF(I656&lt;55,1,0)))+IF(ISBLANK(M656),0,IF(M656=1,3,0))+IF(ISBLANK(L656),0,IF(L656&gt;=2,1,0))+IF(ISBLANK(E656),0,IF(E656&lt;12,1,0))</f>
        <v>4</v>
      </c>
      <c r="U656" s="0" t="str">
        <f aca="false">IF((ISBLANK(B656)*1+ISBLANK(C656)*1+ISBLANK(D656)*1+ISBLANK(E656)*1+ISBLANK(F656)*1+ISBLANK(I656)*1+ISBLANK(J656)*1+ISBLANK(K656)*1+ISBLANK(L656)*1+ISBLANK(M656)*1+ISBLANK(N656)*1+ISBLANK(O656)*1)&gt;0,"Missing Data","OK")</f>
        <v>OK</v>
      </c>
      <c r="V656" s="0" t="str">
        <f aca="false">IF(T656&gt;=6,"High Risk",IF(T656&gt;=3,"Medium Risk","Low Risk"))</f>
        <v>Medium Risk</v>
      </c>
    </row>
    <row r="657" customFormat="false" ht="12.8" hidden="false" customHeight="false" outlineLevel="0" collapsed="false">
      <c r="A657" s="1" t="s">
        <v>687</v>
      </c>
      <c r="B657" s="1" t="s">
        <v>29</v>
      </c>
      <c r="C657" s="1" t="s">
        <v>24</v>
      </c>
      <c r="D657" s="1" t="n">
        <v>39.55</v>
      </c>
      <c r="E657" s="1" t="n">
        <v>6</v>
      </c>
      <c r="F657" s="4" t="n">
        <v>44712</v>
      </c>
      <c r="G657" s="1" t="s">
        <v>25</v>
      </c>
      <c r="H657" s="1" t="n">
        <v>0</v>
      </c>
      <c r="I657" s="1" t="n">
        <v>54.9</v>
      </c>
      <c r="J657" s="1" t="n">
        <v>18</v>
      </c>
      <c r="K657" s="1" t="n">
        <v>6</v>
      </c>
      <c r="L657" s="1" t="n">
        <v>2</v>
      </c>
      <c r="M657" s="1" t="n">
        <v>0</v>
      </c>
      <c r="N657" s="1" t="n">
        <v>237.3</v>
      </c>
      <c r="O657" s="1" t="n">
        <v>1</v>
      </c>
      <c r="P657" s="4" t="n">
        <v>44894</v>
      </c>
      <c r="Q657" s="4" t="n">
        <v>44894</v>
      </c>
      <c r="R657" s="0" t="n">
        <f aca="false">IF(ISBLANK(F657),"Missing",IFERROR(YEAR(F657),"Missing"))</f>
        <v>2022</v>
      </c>
      <c r="S657" s="0" t="str">
        <f aca="false">IF(ISBLANK(E657),"Missing",IF(E657&lt;6,"0-6mo",IF(E657&lt;12,"6-12mo",IF(E657&lt;24,"12-24mo","24mo+"))))</f>
        <v>6-12mo</v>
      </c>
      <c r="T657" s="0" t="n">
        <f aca="false">IF(ISBLANK(C657),0,IF(C657="Month-to-month",2,IF(C657="One year",1,0)))+IF(ISBLANK(I657),0,IF(I657&lt;40,2,IF(I657&lt;55,1,0)))+IF(ISBLANK(M657),0,IF(M657=1,3,0))+IF(ISBLANK(L657),0,IF(L657&gt;=2,1,0))+IF(ISBLANK(E657),0,IF(E657&lt;12,1,0))</f>
        <v>5</v>
      </c>
      <c r="U657" s="0" t="str">
        <f aca="false">IF((ISBLANK(B657)*1+ISBLANK(C657)*1+ISBLANK(D657)*1+ISBLANK(E657)*1+ISBLANK(F657)*1+ISBLANK(I657)*1+ISBLANK(J657)*1+ISBLANK(K657)*1+ISBLANK(L657)*1+ISBLANK(M657)*1+ISBLANK(N657)*1+ISBLANK(O657)*1)&gt;0,"Missing Data","OK")</f>
        <v>OK</v>
      </c>
      <c r="V657" s="0" t="str">
        <f aca="false">IF(T657&gt;=6,"High Risk",IF(T657&gt;=3,"Medium Risk","Low Risk"))</f>
        <v>Medium Risk</v>
      </c>
    </row>
    <row r="658" customFormat="false" ht="12.8" hidden="false" customHeight="false" outlineLevel="0" collapsed="false">
      <c r="A658" s="1" t="s">
        <v>688</v>
      </c>
      <c r="B658" s="1" t="s">
        <v>36</v>
      </c>
      <c r="C658" s="1" t="s">
        <v>34</v>
      </c>
      <c r="D658" s="1" t="n">
        <v>8.76</v>
      </c>
      <c r="E658" s="1" t="n">
        <v>19</v>
      </c>
      <c r="F658" s="4" t="n">
        <v>44713</v>
      </c>
      <c r="G658" s="1" t="s">
        <v>30</v>
      </c>
      <c r="H658" s="1" t="n">
        <v>1</v>
      </c>
      <c r="I658" s="1" t="n">
        <v>33.7</v>
      </c>
      <c r="J658" s="1" t="n">
        <v>10</v>
      </c>
      <c r="K658" s="1" t="n">
        <v>2</v>
      </c>
      <c r="L658" s="1" t="n">
        <v>1</v>
      </c>
      <c r="M658" s="1" t="n">
        <v>0</v>
      </c>
      <c r="N658" s="1" t="n">
        <v>166.44</v>
      </c>
      <c r="O658" s="1" t="n">
        <v>0</v>
      </c>
      <c r="Q658" s="4" t="n">
        <v>45291</v>
      </c>
      <c r="R658" s="0" t="n">
        <f aca="false">IF(ISBLANK(F658),"Missing",IFERROR(YEAR(F658),"Missing"))</f>
        <v>2022</v>
      </c>
      <c r="S658" s="0" t="str">
        <f aca="false">IF(ISBLANK(E658),"Missing",IF(E658&lt;6,"0-6mo",IF(E658&lt;12,"6-12mo",IF(E658&lt;24,"12-24mo","24mo+"))))</f>
        <v>12-24mo</v>
      </c>
      <c r="T658" s="0" t="n">
        <f aca="false">IF(ISBLANK(C658),0,IF(C658="Month-to-month",2,IF(C658="One year",1,0)))+IF(ISBLANK(I658),0,IF(I658&lt;40,2,IF(I658&lt;55,1,0)))+IF(ISBLANK(M658),0,IF(M658=1,3,0))+IF(ISBLANK(L658),0,IF(L658&gt;=2,1,0))+IF(ISBLANK(E658),0,IF(E658&lt;12,1,0))</f>
        <v>3</v>
      </c>
      <c r="U658" s="0" t="str">
        <f aca="false">IF((ISBLANK(B658)*1+ISBLANK(C658)*1+ISBLANK(D658)*1+ISBLANK(E658)*1+ISBLANK(F658)*1+ISBLANK(I658)*1+ISBLANK(J658)*1+ISBLANK(K658)*1+ISBLANK(L658)*1+ISBLANK(M658)*1+ISBLANK(N658)*1+ISBLANK(O658)*1)&gt;0,"Missing Data","OK")</f>
        <v>OK</v>
      </c>
      <c r="V658" s="0" t="str">
        <f aca="false">IF(T658&gt;=6,"High Risk",IF(T658&gt;=3,"Medium Risk","Low Risk"))</f>
        <v>Medium Risk</v>
      </c>
    </row>
    <row r="659" customFormat="false" ht="12.8" hidden="false" customHeight="false" outlineLevel="0" collapsed="false">
      <c r="A659" s="1" t="s">
        <v>689</v>
      </c>
      <c r="B659" s="1" t="s">
        <v>23</v>
      </c>
      <c r="C659" s="1" t="s">
        <v>24</v>
      </c>
      <c r="D659" s="1" t="n">
        <v>19.43</v>
      </c>
      <c r="E659" s="1" t="n">
        <v>52</v>
      </c>
      <c r="F659" s="4" t="n">
        <v>44716</v>
      </c>
      <c r="G659" s="1" t="s">
        <v>39</v>
      </c>
      <c r="H659" s="1" t="n">
        <v>1</v>
      </c>
      <c r="I659" s="1" t="n">
        <v>47.8</v>
      </c>
      <c r="J659" s="1" t="n">
        <v>18</v>
      </c>
      <c r="K659" s="1" t="n">
        <v>7</v>
      </c>
      <c r="L659" s="1" t="n">
        <v>1</v>
      </c>
      <c r="M659" s="1" t="n">
        <v>0</v>
      </c>
      <c r="N659" s="1" t="n">
        <v>1010.36</v>
      </c>
      <c r="O659" s="1" t="n">
        <v>0</v>
      </c>
      <c r="Q659" s="4" t="n">
        <v>46293</v>
      </c>
      <c r="R659" s="0" t="n">
        <f aca="false">IF(ISBLANK(F659),"Missing",IFERROR(YEAR(F659),"Missing"))</f>
        <v>2022</v>
      </c>
      <c r="S659" s="0" t="str">
        <f aca="false">IF(ISBLANK(E659),"Missing",IF(E659&lt;6,"0-6mo",IF(E659&lt;12,"6-12mo",IF(E659&lt;24,"12-24mo","24mo+"))))</f>
        <v>24mo+</v>
      </c>
      <c r="T659" s="0" t="n">
        <f aca="false">IF(ISBLANK(C659),0,IF(C659="Month-to-month",2,IF(C659="One year",1,0)))+IF(ISBLANK(I659),0,IF(I659&lt;40,2,IF(I659&lt;55,1,0)))+IF(ISBLANK(M659),0,IF(M659=1,3,0))+IF(ISBLANK(L659),0,IF(L659&gt;=2,1,0))+IF(ISBLANK(E659),0,IF(E659&lt;12,1,0))</f>
        <v>3</v>
      </c>
      <c r="U659" s="0" t="str">
        <f aca="false">IF((ISBLANK(B659)*1+ISBLANK(C659)*1+ISBLANK(D659)*1+ISBLANK(E659)*1+ISBLANK(F659)*1+ISBLANK(I659)*1+ISBLANK(J659)*1+ISBLANK(K659)*1+ISBLANK(L659)*1+ISBLANK(M659)*1+ISBLANK(N659)*1+ISBLANK(O659)*1)&gt;0,"Missing Data","OK")</f>
        <v>OK</v>
      </c>
      <c r="V659" s="0" t="str">
        <f aca="false">IF(T659&gt;=6,"High Risk",IF(T659&gt;=3,"Medium Risk","Low Risk"))</f>
        <v>Medium Risk</v>
      </c>
    </row>
    <row r="660" customFormat="false" ht="12.8" hidden="false" customHeight="false" outlineLevel="0" collapsed="false">
      <c r="A660" s="1" t="s">
        <v>690</v>
      </c>
      <c r="B660" s="1" t="s">
        <v>29</v>
      </c>
      <c r="C660" s="1" t="s">
        <v>24</v>
      </c>
      <c r="D660" s="1" t="n">
        <v>39.03</v>
      </c>
      <c r="E660" s="1" t="n">
        <v>31</v>
      </c>
      <c r="F660" s="4" t="n">
        <v>44718</v>
      </c>
      <c r="G660" s="1" t="s">
        <v>25</v>
      </c>
      <c r="H660" s="1" t="n">
        <v>0</v>
      </c>
      <c r="I660" s="1" t="n">
        <v>46.4</v>
      </c>
      <c r="J660" s="1" t="n">
        <v>21</v>
      </c>
      <c r="K660" s="1" t="n">
        <v>6</v>
      </c>
      <c r="L660" s="1" t="n">
        <v>0</v>
      </c>
      <c r="M660" s="1" t="n">
        <v>0</v>
      </c>
      <c r="N660" s="1" t="n">
        <v>1209.93</v>
      </c>
      <c r="O660" s="1" t="n">
        <v>1</v>
      </c>
      <c r="P660" s="4" t="n">
        <v>45661</v>
      </c>
      <c r="Q660" s="4" t="n">
        <v>45661</v>
      </c>
      <c r="R660" s="0" t="n">
        <f aca="false">IF(ISBLANK(F660),"Missing",IFERROR(YEAR(F660),"Missing"))</f>
        <v>2022</v>
      </c>
      <c r="S660" s="0" t="str">
        <f aca="false">IF(ISBLANK(E660),"Missing",IF(E660&lt;6,"0-6mo",IF(E660&lt;12,"6-12mo",IF(E660&lt;24,"12-24mo","24mo+"))))</f>
        <v>24mo+</v>
      </c>
      <c r="T660" s="0" t="n">
        <f aca="false">IF(ISBLANK(C660),0,IF(C660="Month-to-month",2,IF(C660="One year",1,0)))+IF(ISBLANK(I660),0,IF(I660&lt;40,2,IF(I660&lt;55,1,0)))+IF(ISBLANK(M660),0,IF(M660=1,3,0))+IF(ISBLANK(L660),0,IF(L660&gt;=2,1,0))+IF(ISBLANK(E660),0,IF(E660&lt;12,1,0))</f>
        <v>3</v>
      </c>
      <c r="U660" s="0" t="str">
        <f aca="false">IF((ISBLANK(B660)*1+ISBLANK(C660)*1+ISBLANK(D660)*1+ISBLANK(E660)*1+ISBLANK(F660)*1+ISBLANK(I660)*1+ISBLANK(J660)*1+ISBLANK(K660)*1+ISBLANK(L660)*1+ISBLANK(M660)*1+ISBLANK(N660)*1+ISBLANK(O660)*1)&gt;0,"Missing Data","OK")</f>
        <v>OK</v>
      </c>
      <c r="V660" s="0" t="str">
        <f aca="false">IF(T660&gt;=6,"High Risk",IF(T660&gt;=3,"Medium Risk","Low Risk"))</f>
        <v>Medium Risk</v>
      </c>
    </row>
    <row r="661" customFormat="false" ht="12.8" hidden="false" customHeight="false" outlineLevel="0" collapsed="false">
      <c r="A661" s="1" t="s">
        <v>691</v>
      </c>
      <c r="B661" s="1" t="s">
        <v>23</v>
      </c>
      <c r="C661" s="1" t="s">
        <v>34</v>
      </c>
      <c r="D661" s="1" t="n">
        <v>20.27</v>
      </c>
      <c r="E661" s="1" t="n">
        <v>2</v>
      </c>
      <c r="F661" s="4" t="n">
        <v>44719</v>
      </c>
      <c r="G661" s="1" t="s">
        <v>25</v>
      </c>
      <c r="H661" s="1" t="n">
        <v>1</v>
      </c>
      <c r="I661" s="1" t="n">
        <v>67</v>
      </c>
      <c r="J661" s="1" t="n">
        <v>23</v>
      </c>
      <c r="K661" s="1" t="n">
        <v>7</v>
      </c>
      <c r="L661" s="1" t="n">
        <v>2</v>
      </c>
      <c r="M661" s="1" t="n">
        <v>0</v>
      </c>
      <c r="N661" s="1" t="n">
        <v>40.54</v>
      </c>
      <c r="O661" s="1" t="n">
        <v>0</v>
      </c>
      <c r="Q661" s="4" t="n">
        <v>44779</v>
      </c>
      <c r="R661" s="0" t="n">
        <f aca="false">IF(ISBLANK(F661),"Missing",IFERROR(YEAR(F661),"Missing"))</f>
        <v>2022</v>
      </c>
      <c r="S661" s="0" t="str">
        <f aca="false">IF(ISBLANK(E661),"Missing",IF(E661&lt;6,"0-6mo",IF(E661&lt;12,"6-12mo",IF(E661&lt;24,"12-24mo","24mo+"))))</f>
        <v>0-6mo</v>
      </c>
      <c r="T661" s="0" t="n">
        <f aca="false">IF(ISBLANK(C661),0,IF(C661="Month-to-month",2,IF(C661="One year",1,0)))+IF(ISBLANK(I661),0,IF(I661&lt;40,2,IF(I661&lt;55,1,0)))+IF(ISBLANK(M661),0,IF(M661=1,3,0))+IF(ISBLANK(L661),0,IF(L661&gt;=2,1,0))+IF(ISBLANK(E661),0,IF(E661&lt;12,1,0))</f>
        <v>3</v>
      </c>
      <c r="U661" s="0" t="str">
        <f aca="false">IF((ISBLANK(B661)*1+ISBLANK(C661)*1+ISBLANK(D661)*1+ISBLANK(E661)*1+ISBLANK(F661)*1+ISBLANK(I661)*1+ISBLANK(J661)*1+ISBLANK(K661)*1+ISBLANK(L661)*1+ISBLANK(M661)*1+ISBLANK(N661)*1+ISBLANK(O661)*1)&gt;0,"Missing Data","OK")</f>
        <v>OK</v>
      </c>
      <c r="V661" s="0" t="str">
        <f aca="false">IF(T661&gt;=6,"High Risk",IF(T661&gt;=3,"Medium Risk","Low Risk"))</f>
        <v>Medium Risk</v>
      </c>
    </row>
    <row r="662" customFormat="false" ht="12.8" hidden="false" customHeight="false" outlineLevel="0" collapsed="false">
      <c r="A662" s="1" t="s">
        <v>692</v>
      </c>
      <c r="B662" s="1" t="s">
        <v>23</v>
      </c>
      <c r="C662" s="1" t="s">
        <v>24</v>
      </c>
      <c r="D662" s="1" t="n">
        <v>20.12</v>
      </c>
      <c r="E662" s="1" t="n">
        <v>6</v>
      </c>
      <c r="F662" s="4" t="n">
        <v>44720</v>
      </c>
      <c r="G662" s="1" t="s">
        <v>25</v>
      </c>
      <c r="H662" s="1" t="n">
        <v>0</v>
      </c>
      <c r="I662" s="1" t="n">
        <v>67.3</v>
      </c>
      <c r="J662" s="1" t="n">
        <v>24</v>
      </c>
      <c r="K662" s="1" t="n">
        <v>9</v>
      </c>
      <c r="L662" s="1" t="n">
        <v>0</v>
      </c>
      <c r="M662" s="1" t="n">
        <v>0</v>
      </c>
      <c r="N662" s="1" t="n">
        <v>120.72</v>
      </c>
      <c r="O662" s="1" t="n">
        <v>1</v>
      </c>
      <c r="P662" s="4" t="n">
        <v>44902</v>
      </c>
      <c r="Q662" s="4" t="n">
        <v>44902</v>
      </c>
      <c r="R662" s="0" t="n">
        <f aca="false">IF(ISBLANK(F662),"Missing",IFERROR(YEAR(F662),"Missing"))</f>
        <v>2022</v>
      </c>
      <c r="S662" s="0" t="str">
        <f aca="false">IF(ISBLANK(E662),"Missing",IF(E662&lt;6,"0-6mo",IF(E662&lt;12,"6-12mo",IF(E662&lt;24,"12-24mo","24mo+"))))</f>
        <v>6-12mo</v>
      </c>
      <c r="T662" s="0" t="n">
        <f aca="false">IF(ISBLANK(C662),0,IF(C662="Month-to-month",2,IF(C662="One year",1,0)))+IF(ISBLANK(I662),0,IF(I662&lt;40,2,IF(I662&lt;55,1,0)))+IF(ISBLANK(M662),0,IF(M662=1,3,0))+IF(ISBLANK(L662),0,IF(L662&gt;=2,1,0))+IF(ISBLANK(E662),0,IF(E662&lt;12,1,0))</f>
        <v>3</v>
      </c>
      <c r="U662" s="0" t="str">
        <f aca="false">IF((ISBLANK(B662)*1+ISBLANK(C662)*1+ISBLANK(D662)*1+ISBLANK(E662)*1+ISBLANK(F662)*1+ISBLANK(I662)*1+ISBLANK(J662)*1+ISBLANK(K662)*1+ISBLANK(L662)*1+ISBLANK(M662)*1+ISBLANK(N662)*1+ISBLANK(O662)*1)&gt;0,"Missing Data","OK")</f>
        <v>OK</v>
      </c>
      <c r="V662" s="0" t="str">
        <f aca="false">IF(T662&gt;=6,"High Risk",IF(T662&gt;=3,"Medium Risk","Low Risk"))</f>
        <v>Medium Risk</v>
      </c>
    </row>
    <row r="663" customFormat="false" ht="12.8" hidden="false" customHeight="false" outlineLevel="0" collapsed="false">
      <c r="A663" s="1" t="s">
        <v>693</v>
      </c>
      <c r="B663" s="1" t="s">
        <v>29</v>
      </c>
      <c r="C663" s="1" t="s">
        <v>34</v>
      </c>
      <c r="D663" s="1" t="n">
        <v>39.94</v>
      </c>
      <c r="E663" s="1" t="n">
        <v>0</v>
      </c>
      <c r="F663" s="4" t="n">
        <v>44721</v>
      </c>
      <c r="G663" s="1" t="s">
        <v>25</v>
      </c>
      <c r="H663" s="1" t="n">
        <v>1</v>
      </c>
      <c r="I663" s="1" t="n">
        <v>75.6</v>
      </c>
      <c r="J663" s="1" t="n">
        <v>22</v>
      </c>
      <c r="K663" s="1" t="n">
        <v>8</v>
      </c>
      <c r="L663" s="1" t="n">
        <v>0</v>
      </c>
      <c r="M663" s="1" t="n">
        <v>0</v>
      </c>
      <c r="N663" s="1" t="n">
        <v>0</v>
      </c>
      <c r="O663" s="1" t="n">
        <v>0</v>
      </c>
      <c r="Q663" s="4" t="n">
        <v>44721</v>
      </c>
      <c r="R663" s="0" t="n">
        <f aca="false">IF(ISBLANK(F663),"Missing",IFERROR(YEAR(F663),"Missing"))</f>
        <v>2022</v>
      </c>
      <c r="S663" s="0" t="str">
        <f aca="false">IF(ISBLANK(E663),"Missing",IF(E663&lt;6,"0-6mo",IF(E663&lt;12,"6-12mo",IF(E663&lt;24,"12-24mo","24mo+"))))</f>
        <v>0-6mo</v>
      </c>
      <c r="T663" s="0" t="n">
        <f aca="false">IF(ISBLANK(C663),0,IF(C663="Month-to-month",2,IF(C663="One year",1,0)))+IF(ISBLANK(I663),0,IF(I663&lt;40,2,IF(I663&lt;55,1,0)))+IF(ISBLANK(M663),0,IF(M663=1,3,0))+IF(ISBLANK(L663),0,IF(L663&gt;=2,1,0))+IF(ISBLANK(E663),0,IF(E663&lt;12,1,0))</f>
        <v>2</v>
      </c>
      <c r="U663" s="0" t="str">
        <f aca="false">IF((ISBLANK(B663)*1+ISBLANK(C663)*1+ISBLANK(D663)*1+ISBLANK(E663)*1+ISBLANK(F663)*1+ISBLANK(I663)*1+ISBLANK(J663)*1+ISBLANK(K663)*1+ISBLANK(L663)*1+ISBLANK(M663)*1+ISBLANK(N663)*1+ISBLANK(O663)*1)&gt;0,"Missing Data","OK")</f>
        <v>OK</v>
      </c>
      <c r="V663" s="0" t="str">
        <f aca="false">IF(T663&gt;=6,"High Risk",IF(T663&gt;=3,"Medium Risk","Low Risk"))</f>
        <v>Low Risk</v>
      </c>
    </row>
    <row r="664" customFormat="false" ht="12.8" hidden="false" customHeight="false" outlineLevel="0" collapsed="false">
      <c r="A664" s="1" t="s">
        <v>694</v>
      </c>
      <c r="B664" s="1" t="s">
        <v>36</v>
      </c>
      <c r="C664" s="1" t="s">
        <v>24</v>
      </c>
      <c r="D664" s="1" t="n">
        <v>7.12</v>
      </c>
      <c r="E664" s="1" t="n">
        <v>19</v>
      </c>
      <c r="F664" s="4" t="n">
        <v>44722</v>
      </c>
      <c r="G664" s="1" t="s">
        <v>27</v>
      </c>
      <c r="H664" s="1" t="n">
        <v>1</v>
      </c>
      <c r="I664" s="1" t="n">
        <v>19.1</v>
      </c>
      <c r="J664" s="1" t="n">
        <v>11</v>
      </c>
      <c r="K664" s="1" t="n">
        <v>1</v>
      </c>
      <c r="L664" s="1" t="n">
        <v>4</v>
      </c>
      <c r="M664" s="1" t="n">
        <v>0</v>
      </c>
      <c r="N664" s="1" t="n">
        <v>135.28</v>
      </c>
      <c r="O664" s="1" t="n">
        <v>0</v>
      </c>
      <c r="Q664" s="4" t="n">
        <v>45300</v>
      </c>
      <c r="R664" s="0" t="n">
        <f aca="false">IF(ISBLANK(F664),"Missing",IFERROR(YEAR(F664),"Missing"))</f>
        <v>2022</v>
      </c>
      <c r="S664" s="0" t="str">
        <f aca="false">IF(ISBLANK(E664),"Missing",IF(E664&lt;6,"0-6mo",IF(E664&lt;12,"6-12mo",IF(E664&lt;24,"12-24mo","24mo+"))))</f>
        <v>12-24mo</v>
      </c>
      <c r="T664" s="0" t="n">
        <f aca="false">IF(ISBLANK(C664),0,IF(C664="Month-to-month",2,IF(C664="One year",1,0)))+IF(ISBLANK(I664),0,IF(I664&lt;40,2,IF(I664&lt;55,1,0)))+IF(ISBLANK(M664),0,IF(M664=1,3,0))+IF(ISBLANK(L664),0,IF(L664&gt;=2,1,0))+IF(ISBLANK(E664),0,IF(E664&lt;12,1,0))</f>
        <v>5</v>
      </c>
      <c r="U664" s="0" t="str">
        <f aca="false">IF((ISBLANK(B664)*1+ISBLANK(C664)*1+ISBLANK(D664)*1+ISBLANK(E664)*1+ISBLANK(F664)*1+ISBLANK(I664)*1+ISBLANK(J664)*1+ISBLANK(K664)*1+ISBLANK(L664)*1+ISBLANK(M664)*1+ISBLANK(N664)*1+ISBLANK(O664)*1)&gt;0,"Missing Data","OK")</f>
        <v>OK</v>
      </c>
      <c r="V664" s="0" t="str">
        <f aca="false">IF(T664&gt;=6,"High Risk",IF(T664&gt;=3,"Medium Risk","Low Risk"))</f>
        <v>Medium Risk</v>
      </c>
    </row>
    <row r="665" customFormat="false" ht="12.8" hidden="false" customHeight="false" outlineLevel="0" collapsed="false">
      <c r="A665" s="1" t="s">
        <v>695</v>
      </c>
      <c r="B665" s="1" t="s">
        <v>36</v>
      </c>
      <c r="C665" s="1" t="s">
        <v>34</v>
      </c>
      <c r="D665" s="1" t="n">
        <v>10.23</v>
      </c>
      <c r="E665" s="1" t="n">
        <v>15</v>
      </c>
      <c r="F665" s="4" t="n">
        <v>44723</v>
      </c>
      <c r="G665" s="1" t="s">
        <v>27</v>
      </c>
      <c r="H665" s="1" t="n">
        <v>0</v>
      </c>
      <c r="I665" s="1" t="n">
        <v>36.4</v>
      </c>
      <c r="J665" s="1" t="n">
        <v>14</v>
      </c>
      <c r="K665" s="1" t="n">
        <v>5</v>
      </c>
      <c r="L665" s="1" t="n">
        <v>1</v>
      </c>
      <c r="M665" s="1" t="n">
        <v>0</v>
      </c>
      <c r="N665" s="1" t="n">
        <v>153.45</v>
      </c>
      <c r="O665" s="1" t="n">
        <v>0</v>
      </c>
      <c r="Q665" s="4" t="n">
        <v>45179</v>
      </c>
      <c r="R665" s="0" t="n">
        <f aca="false">IF(ISBLANK(F665),"Missing",IFERROR(YEAR(F665),"Missing"))</f>
        <v>2022</v>
      </c>
      <c r="S665" s="0" t="str">
        <f aca="false">IF(ISBLANK(E665),"Missing",IF(E665&lt;6,"0-6mo",IF(E665&lt;12,"6-12mo",IF(E665&lt;24,"12-24mo","24mo+"))))</f>
        <v>12-24mo</v>
      </c>
      <c r="T665" s="0" t="n">
        <f aca="false">IF(ISBLANK(C665),0,IF(C665="Month-to-month",2,IF(C665="One year",1,0)))+IF(ISBLANK(I665),0,IF(I665&lt;40,2,IF(I665&lt;55,1,0)))+IF(ISBLANK(M665),0,IF(M665=1,3,0))+IF(ISBLANK(L665),0,IF(L665&gt;=2,1,0))+IF(ISBLANK(E665),0,IF(E665&lt;12,1,0))</f>
        <v>3</v>
      </c>
      <c r="U665" s="0" t="str">
        <f aca="false">IF((ISBLANK(B665)*1+ISBLANK(C665)*1+ISBLANK(D665)*1+ISBLANK(E665)*1+ISBLANK(F665)*1+ISBLANK(I665)*1+ISBLANK(J665)*1+ISBLANK(K665)*1+ISBLANK(L665)*1+ISBLANK(M665)*1+ISBLANK(N665)*1+ISBLANK(O665)*1)&gt;0,"Missing Data","OK")</f>
        <v>OK</v>
      </c>
      <c r="V665" s="0" t="str">
        <f aca="false">IF(T665&gt;=6,"High Risk",IF(T665&gt;=3,"Medium Risk","Low Risk"))</f>
        <v>Medium Risk</v>
      </c>
    </row>
    <row r="666" customFormat="false" ht="12.8" hidden="false" customHeight="false" outlineLevel="0" collapsed="false">
      <c r="A666" s="1" t="s">
        <v>696</v>
      </c>
      <c r="B666" s="1" t="s">
        <v>36</v>
      </c>
      <c r="C666" s="1" t="s">
        <v>24</v>
      </c>
      <c r="D666" s="1" t="n">
        <v>10.31</v>
      </c>
      <c r="E666" s="1" t="n">
        <v>14</v>
      </c>
      <c r="F666" s="4" t="n">
        <v>44726</v>
      </c>
      <c r="G666" s="1" t="s">
        <v>27</v>
      </c>
      <c r="H666" s="1" t="n">
        <v>0</v>
      </c>
      <c r="I666" s="1" t="n">
        <v>51.5</v>
      </c>
      <c r="J666" s="1" t="n">
        <v>16</v>
      </c>
      <c r="K666" s="1" t="n">
        <v>6</v>
      </c>
      <c r="L666" s="1" t="n">
        <v>1</v>
      </c>
      <c r="M666" s="1" t="n">
        <v>1</v>
      </c>
      <c r="N666" s="1" t="n">
        <v>144.34</v>
      </c>
      <c r="O666" s="1" t="n">
        <v>0</v>
      </c>
      <c r="Q666" s="4" t="n">
        <v>45152</v>
      </c>
      <c r="R666" s="0" t="n">
        <f aca="false">IF(ISBLANK(F666),"Missing",IFERROR(YEAR(F666),"Missing"))</f>
        <v>2022</v>
      </c>
      <c r="S666" s="0" t="str">
        <f aca="false">IF(ISBLANK(E666),"Missing",IF(E666&lt;6,"0-6mo",IF(E666&lt;12,"6-12mo",IF(E666&lt;24,"12-24mo","24mo+"))))</f>
        <v>12-24mo</v>
      </c>
      <c r="T666" s="0" t="n">
        <f aca="false">IF(ISBLANK(C666),0,IF(C666="Month-to-month",2,IF(C666="One year",1,0)))+IF(ISBLANK(I666),0,IF(I666&lt;40,2,IF(I666&lt;55,1,0)))+IF(ISBLANK(M666),0,IF(M666=1,3,0))+IF(ISBLANK(L666),0,IF(L666&gt;=2,1,0))+IF(ISBLANK(E666),0,IF(E666&lt;12,1,0))</f>
        <v>6</v>
      </c>
      <c r="U666" s="0" t="str">
        <f aca="false">IF((ISBLANK(B666)*1+ISBLANK(C666)*1+ISBLANK(D666)*1+ISBLANK(E666)*1+ISBLANK(F666)*1+ISBLANK(I666)*1+ISBLANK(J666)*1+ISBLANK(K666)*1+ISBLANK(L666)*1+ISBLANK(M666)*1+ISBLANK(N666)*1+ISBLANK(O666)*1)&gt;0,"Missing Data","OK")</f>
        <v>OK</v>
      </c>
      <c r="V666" s="0" t="str">
        <f aca="false">IF(T666&gt;=6,"High Risk",IF(T666&gt;=3,"Medium Risk","Low Risk"))</f>
        <v>High Risk</v>
      </c>
    </row>
    <row r="667" customFormat="false" ht="12.8" hidden="false" customHeight="false" outlineLevel="0" collapsed="false">
      <c r="A667" s="1" t="s">
        <v>697</v>
      </c>
      <c r="B667" s="1" t="s">
        <v>36</v>
      </c>
      <c r="C667" s="1" t="s">
        <v>24</v>
      </c>
      <c r="D667" s="1" t="n">
        <v>9.86</v>
      </c>
      <c r="E667" s="1" t="n">
        <v>27</v>
      </c>
      <c r="F667" s="4" t="n">
        <v>44728</v>
      </c>
      <c r="G667" s="1" t="s">
        <v>25</v>
      </c>
      <c r="H667" s="1" t="n">
        <v>0</v>
      </c>
      <c r="I667" s="1" t="n">
        <v>52</v>
      </c>
      <c r="J667" s="1" t="n">
        <v>23</v>
      </c>
      <c r="K667" s="1" t="n">
        <v>5</v>
      </c>
      <c r="L667" s="1" t="n">
        <v>1</v>
      </c>
      <c r="M667" s="1" t="n">
        <v>1</v>
      </c>
      <c r="N667" s="1" t="n">
        <v>266.22</v>
      </c>
      <c r="O667" s="1" t="n">
        <v>0</v>
      </c>
      <c r="Q667" s="4" t="n">
        <v>45549</v>
      </c>
      <c r="R667" s="0" t="n">
        <f aca="false">IF(ISBLANK(F667),"Missing",IFERROR(YEAR(F667),"Missing"))</f>
        <v>2022</v>
      </c>
      <c r="S667" s="0" t="str">
        <f aca="false">IF(ISBLANK(E667),"Missing",IF(E667&lt;6,"0-6mo",IF(E667&lt;12,"6-12mo",IF(E667&lt;24,"12-24mo","24mo+"))))</f>
        <v>24mo+</v>
      </c>
      <c r="T667" s="0" t="n">
        <f aca="false">IF(ISBLANK(C667),0,IF(C667="Month-to-month",2,IF(C667="One year",1,0)))+IF(ISBLANK(I667),0,IF(I667&lt;40,2,IF(I667&lt;55,1,0)))+IF(ISBLANK(M667),0,IF(M667=1,3,0))+IF(ISBLANK(L667),0,IF(L667&gt;=2,1,0))+IF(ISBLANK(E667),0,IF(E667&lt;12,1,0))</f>
        <v>6</v>
      </c>
      <c r="U667" s="0" t="str">
        <f aca="false">IF((ISBLANK(B667)*1+ISBLANK(C667)*1+ISBLANK(D667)*1+ISBLANK(E667)*1+ISBLANK(F667)*1+ISBLANK(I667)*1+ISBLANK(J667)*1+ISBLANK(K667)*1+ISBLANK(L667)*1+ISBLANK(M667)*1+ISBLANK(N667)*1+ISBLANK(O667)*1)&gt;0,"Missing Data","OK")</f>
        <v>OK</v>
      </c>
      <c r="V667" s="0" t="str">
        <f aca="false">IF(T667&gt;=6,"High Risk",IF(T667&gt;=3,"Medium Risk","Low Risk"))</f>
        <v>High Risk</v>
      </c>
    </row>
    <row r="668" customFormat="false" ht="12.8" hidden="false" customHeight="false" outlineLevel="0" collapsed="false">
      <c r="A668" s="1" t="s">
        <v>698</v>
      </c>
      <c r="B668" s="1" t="s">
        <v>23</v>
      </c>
      <c r="C668" s="1" t="s">
        <v>24</v>
      </c>
      <c r="D668" s="1" t="n">
        <v>21.19</v>
      </c>
      <c r="E668" s="1" t="n">
        <v>17</v>
      </c>
      <c r="F668" s="4" t="n">
        <v>44731</v>
      </c>
      <c r="G668" s="1" t="s">
        <v>39</v>
      </c>
      <c r="H668" s="1" t="n">
        <v>1</v>
      </c>
      <c r="I668" s="1" t="n">
        <v>65.4</v>
      </c>
      <c r="J668" s="1" t="n">
        <v>24</v>
      </c>
      <c r="K668" s="1" t="n">
        <v>7</v>
      </c>
      <c r="L668" s="1" t="n">
        <v>0</v>
      </c>
      <c r="M668" s="1" t="n">
        <v>0</v>
      </c>
      <c r="N668" s="1" t="n">
        <v>360.23</v>
      </c>
      <c r="O668" s="1" t="n">
        <v>0</v>
      </c>
      <c r="Q668" s="4" t="n">
        <v>45248</v>
      </c>
      <c r="R668" s="0" t="n">
        <f aca="false">IF(ISBLANK(F668),"Missing",IFERROR(YEAR(F668),"Missing"))</f>
        <v>2022</v>
      </c>
      <c r="S668" s="0" t="str">
        <f aca="false">IF(ISBLANK(E668),"Missing",IF(E668&lt;6,"0-6mo",IF(E668&lt;12,"6-12mo",IF(E668&lt;24,"12-24mo","24mo+"))))</f>
        <v>12-24mo</v>
      </c>
      <c r="T668" s="0" t="n">
        <f aca="false">IF(ISBLANK(C668),0,IF(C668="Month-to-month",2,IF(C668="One year",1,0)))+IF(ISBLANK(I668),0,IF(I668&lt;40,2,IF(I668&lt;55,1,0)))+IF(ISBLANK(M668),0,IF(M668=1,3,0))+IF(ISBLANK(L668),0,IF(L668&gt;=2,1,0))+IF(ISBLANK(E668),0,IF(E668&lt;12,1,0))</f>
        <v>2</v>
      </c>
      <c r="U668" s="0" t="str">
        <f aca="false">IF((ISBLANK(B668)*1+ISBLANK(C668)*1+ISBLANK(D668)*1+ISBLANK(E668)*1+ISBLANK(F668)*1+ISBLANK(I668)*1+ISBLANK(J668)*1+ISBLANK(K668)*1+ISBLANK(L668)*1+ISBLANK(M668)*1+ISBLANK(N668)*1+ISBLANK(O668)*1)&gt;0,"Missing Data","OK")</f>
        <v>OK</v>
      </c>
      <c r="V668" s="0" t="str">
        <f aca="false">IF(T668&gt;=6,"High Risk",IF(T668&gt;=3,"Medium Risk","Low Risk"))</f>
        <v>Low Risk</v>
      </c>
    </row>
    <row r="669" customFormat="false" ht="12.8" hidden="false" customHeight="false" outlineLevel="0" collapsed="false">
      <c r="A669" s="1" t="s">
        <v>699</v>
      </c>
      <c r="B669" s="1" t="s">
        <v>23</v>
      </c>
      <c r="C669" s="1" t="s">
        <v>24</v>
      </c>
      <c r="D669" s="1" t="n">
        <v>19.91</v>
      </c>
      <c r="E669" s="1" t="n">
        <v>9</v>
      </c>
      <c r="F669" s="4" t="n">
        <v>44732</v>
      </c>
      <c r="G669" s="1" t="s">
        <v>39</v>
      </c>
      <c r="H669" s="1" t="n">
        <v>1</v>
      </c>
      <c r="I669" s="1" t="n">
        <v>46</v>
      </c>
      <c r="J669" s="1" t="n">
        <v>16</v>
      </c>
      <c r="K669" s="1" t="n">
        <v>5</v>
      </c>
      <c r="L669" s="1" t="n">
        <v>3</v>
      </c>
      <c r="M669" s="1" t="n">
        <v>0</v>
      </c>
      <c r="N669" s="1" t="n">
        <v>179.19</v>
      </c>
      <c r="O669" s="1" t="n">
        <v>0</v>
      </c>
      <c r="Q669" s="4" t="n">
        <v>45005</v>
      </c>
      <c r="R669" s="0" t="n">
        <f aca="false">IF(ISBLANK(F669),"Missing",IFERROR(YEAR(F669),"Missing"))</f>
        <v>2022</v>
      </c>
      <c r="S669" s="0" t="str">
        <f aca="false">IF(ISBLANK(E669),"Missing",IF(E669&lt;6,"0-6mo",IF(E669&lt;12,"6-12mo",IF(E669&lt;24,"12-24mo","24mo+"))))</f>
        <v>6-12mo</v>
      </c>
      <c r="T669" s="0" t="n">
        <f aca="false">IF(ISBLANK(C669),0,IF(C669="Month-to-month",2,IF(C669="One year",1,0)))+IF(ISBLANK(I669),0,IF(I669&lt;40,2,IF(I669&lt;55,1,0)))+IF(ISBLANK(M669),0,IF(M669=1,3,0))+IF(ISBLANK(L669),0,IF(L669&gt;=2,1,0))+IF(ISBLANK(E669),0,IF(E669&lt;12,1,0))</f>
        <v>5</v>
      </c>
      <c r="U669" s="0" t="str">
        <f aca="false">IF((ISBLANK(B669)*1+ISBLANK(C669)*1+ISBLANK(D669)*1+ISBLANK(E669)*1+ISBLANK(F669)*1+ISBLANK(I669)*1+ISBLANK(J669)*1+ISBLANK(K669)*1+ISBLANK(L669)*1+ISBLANK(M669)*1+ISBLANK(N669)*1+ISBLANK(O669)*1)&gt;0,"Missing Data","OK")</f>
        <v>OK</v>
      </c>
      <c r="V669" s="0" t="str">
        <f aca="false">IF(T669&gt;=6,"High Risk",IF(T669&gt;=3,"Medium Risk","Low Risk"))</f>
        <v>Medium Risk</v>
      </c>
    </row>
    <row r="670" customFormat="false" ht="12.8" hidden="false" customHeight="false" outlineLevel="0" collapsed="false">
      <c r="A670" s="1" t="s">
        <v>700</v>
      </c>
      <c r="B670" s="1" t="s">
        <v>36</v>
      </c>
      <c r="C670" s="1" t="s">
        <v>24</v>
      </c>
      <c r="D670" s="1" t="n">
        <v>10.3</v>
      </c>
      <c r="E670" s="1" t="n">
        <v>4</v>
      </c>
      <c r="F670" s="4" t="n">
        <v>44734</v>
      </c>
      <c r="G670" s="1" t="s">
        <v>25</v>
      </c>
      <c r="H670" s="1" t="n">
        <v>0</v>
      </c>
      <c r="I670" s="1" t="n">
        <v>57.2</v>
      </c>
      <c r="J670" s="1" t="n">
        <v>22</v>
      </c>
      <c r="K670" s="1" t="n">
        <v>6</v>
      </c>
      <c r="L670" s="1" t="n">
        <v>4</v>
      </c>
      <c r="M670" s="1" t="n">
        <v>0</v>
      </c>
      <c r="N670" s="1" t="n">
        <v>41.2</v>
      </c>
      <c r="O670" s="1" t="n">
        <v>1</v>
      </c>
      <c r="P670" s="4" t="n">
        <v>44855</v>
      </c>
      <c r="Q670" s="4" t="n">
        <v>44855</v>
      </c>
      <c r="R670" s="0" t="n">
        <f aca="false">IF(ISBLANK(F670),"Missing",IFERROR(YEAR(F670),"Missing"))</f>
        <v>2022</v>
      </c>
      <c r="S670" s="0" t="str">
        <f aca="false">IF(ISBLANK(E670),"Missing",IF(E670&lt;6,"0-6mo",IF(E670&lt;12,"6-12mo",IF(E670&lt;24,"12-24mo","24mo+"))))</f>
        <v>0-6mo</v>
      </c>
      <c r="T670" s="0" t="n">
        <f aca="false">IF(ISBLANK(C670),0,IF(C670="Month-to-month",2,IF(C670="One year",1,0)))+IF(ISBLANK(I670),0,IF(I670&lt;40,2,IF(I670&lt;55,1,0)))+IF(ISBLANK(M670),0,IF(M670=1,3,0))+IF(ISBLANK(L670),0,IF(L670&gt;=2,1,0))+IF(ISBLANK(E670),0,IF(E670&lt;12,1,0))</f>
        <v>4</v>
      </c>
      <c r="U670" s="0" t="str">
        <f aca="false">IF((ISBLANK(B670)*1+ISBLANK(C670)*1+ISBLANK(D670)*1+ISBLANK(E670)*1+ISBLANK(F670)*1+ISBLANK(I670)*1+ISBLANK(J670)*1+ISBLANK(K670)*1+ISBLANK(L670)*1+ISBLANK(M670)*1+ISBLANK(N670)*1+ISBLANK(O670)*1)&gt;0,"Missing Data","OK")</f>
        <v>OK</v>
      </c>
      <c r="V670" s="0" t="str">
        <f aca="false">IF(T670&gt;=6,"High Risk",IF(T670&gt;=3,"Medium Risk","Low Risk"))</f>
        <v>Medium Risk</v>
      </c>
    </row>
    <row r="671" customFormat="false" ht="12.8" hidden="false" customHeight="false" outlineLevel="0" collapsed="false">
      <c r="A671" s="1" t="s">
        <v>701</v>
      </c>
      <c r="B671" s="1" t="s">
        <v>36</v>
      </c>
      <c r="C671" s="1" t="s">
        <v>51</v>
      </c>
      <c r="D671" s="1" t="n">
        <v>10.14</v>
      </c>
      <c r="E671" s="1" t="n">
        <v>25</v>
      </c>
      <c r="F671" s="4" t="n">
        <v>44735</v>
      </c>
      <c r="G671" s="1" t="s">
        <v>30</v>
      </c>
      <c r="H671" s="1" t="n">
        <v>1</v>
      </c>
      <c r="I671" s="1" t="n">
        <v>42</v>
      </c>
      <c r="J671" s="1" t="n">
        <v>15</v>
      </c>
      <c r="K671" s="1" t="n">
        <v>7</v>
      </c>
      <c r="L671" s="1" t="n">
        <v>0</v>
      </c>
      <c r="M671" s="1" t="n">
        <v>0</v>
      </c>
      <c r="N671" s="1" t="n">
        <v>253.5</v>
      </c>
      <c r="O671" s="1" t="n">
        <v>0</v>
      </c>
      <c r="Q671" s="4" t="n">
        <v>45496</v>
      </c>
      <c r="R671" s="0" t="n">
        <f aca="false">IF(ISBLANK(F671),"Missing",IFERROR(YEAR(F671),"Missing"))</f>
        <v>2022</v>
      </c>
      <c r="S671" s="0" t="str">
        <f aca="false">IF(ISBLANK(E671),"Missing",IF(E671&lt;6,"0-6mo",IF(E671&lt;12,"6-12mo",IF(E671&lt;24,"12-24mo","24mo+"))))</f>
        <v>24mo+</v>
      </c>
      <c r="T671" s="0" t="n">
        <f aca="false">IF(ISBLANK(C671),0,IF(C671="Month-to-month",2,IF(C671="One year",1,0)))+IF(ISBLANK(I671),0,IF(I671&lt;40,2,IF(I671&lt;55,1,0)))+IF(ISBLANK(M671),0,IF(M671=1,3,0))+IF(ISBLANK(L671),0,IF(L671&gt;=2,1,0))+IF(ISBLANK(E671),0,IF(E671&lt;12,1,0))</f>
        <v>1</v>
      </c>
      <c r="U671" s="0" t="str">
        <f aca="false">IF((ISBLANK(B671)*1+ISBLANK(C671)*1+ISBLANK(D671)*1+ISBLANK(E671)*1+ISBLANK(F671)*1+ISBLANK(I671)*1+ISBLANK(J671)*1+ISBLANK(K671)*1+ISBLANK(L671)*1+ISBLANK(M671)*1+ISBLANK(N671)*1+ISBLANK(O671)*1)&gt;0,"Missing Data","OK")</f>
        <v>OK</v>
      </c>
      <c r="V671" s="0" t="str">
        <f aca="false">IF(T671&gt;=6,"High Risk",IF(T671&gt;=3,"Medium Risk","Low Risk"))</f>
        <v>Low Risk</v>
      </c>
    </row>
    <row r="672" customFormat="false" ht="12.8" hidden="false" customHeight="false" outlineLevel="0" collapsed="false">
      <c r="A672" s="1" t="s">
        <v>702</v>
      </c>
      <c r="B672" s="1" t="s">
        <v>36</v>
      </c>
      <c r="C672" s="1" t="s">
        <v>51</v>
      </c>
      <c r="D672" s="1" t="n">
        <v>10.58</v>
      </c>
      <c r="E672" s="1" t="n">
        <v>10</v>
      </c>
      <c r="F672" s="4" t="n">
        <v>44735</v>
      </c>
      <c r="G672" s="1" t="s">
        <v>30</v>
      </c>
      <c r="H672" s="1" t="n">
        <v>0</v>
      </c>
      <c r="I672" s="1" t="n">
        <v>34.5</v>
      </c>
      <c r="J672" s="1" t="n">
        <v>19</v>
      </c>
      <c r="K672" s="1" t="n">
        <v>3</v>
      </c>
      <c r="L672" s="1" t="n">
        <v>2</v>
      </c>
      <c r="M672" s="1" t="n">
        <v>0</v>
      </c>
      <c r="N672" s="1" t="n">
        <v>105.8</v>
      </c>
      <c r="O672" s="1" t="n">
        <v>0</v>
      </c>
      <c r="Q672" s="4" t="n">
        <v>45039</v>
      </c>
      <c r="R672" s="0" t="n">
        <f aca="false">IF(ISBLANK(F672),"Missing",IFERROR(YEAR(F672),"Missing"))</f>
        <v>2022</v>
      </c>
      <c r="S672" s="0" t="str">
        <f aca="false">IF(ISBLANK(E672),"Missing",IF(E672&lt;6,"0-6mo",IF(E672&lt;12,"6-12mo",IF(E672&lt;24,"12-24mo","24mo+"))))</f>
        <v>6-12mo</v>
      </c>
      <c r="T672" s="0" t="n">
        <f aca="false">IF(ISBLANK(C672),0,IF(C672="Month-to-month",2,IF(C672="One year",1,0)))+IF(ISBLANK(I672),0,IF(I672&lt;40,2,IF(I672&lt;55,1,0)))+IF(ISBLANK(M672),0,IF(M672=1,3,0))+IF(ISBLANK(L672),0,IF(L672&gt;=2,1,0))+IF(ISBLANK(E672),0,IF(E672&lt;12,1,0))</f>
        <v>4</v>
      </c>
      <c r="U672" s="0" t="str">
        <f aca="false">IF((ISBLANK(B672)*1+ISBLANK(C672)*1+ISBLANK(D672)*1+ISBLANK(E672)*1+ISBLANK(F672)*1+ISBLANK(I672)*1+ISBLANK(J672)*1+ISBLANK(K672)*1+ISBLANK(L672)*1+ISBLANK(M672)*1+ISBLANK(N672)*1+ISBLANK(O672)*1)&gt;0,"Missing Data","OK")</f>
        <v>OK</v>
      </c>
      <c r="V672" s="0" t="str">
        <f aca="false">IF(T672&gt;=6,"High Risk",IF(T672&gt;=3,"Medium Risk","Low Risk"))</f>
        <v>Medium Risk</v>
      </c>
    </row>
    <row r="673" customFormat="false" ht="12.8" hidden="false" customHeight="false" outlineLevel="0" collapsed="false">
      <c r="A673" s="1" t="s">
        <v>703</v>
      </c>
      <c r="B673" s="1" t="s">
        <v>36</v>
      </c>
      <c r="C673" s="1" t="s">
        <v>24</v>
      </c>
      <c r="D673" s="1" t="n">
        <v>8.89</v>
      </c>
      <c r="E673" s="1" t="n">
        <v>6</v>
      </c>
      <c r="F673" s="4" t="n">
        <v>44738</v>
      </c>
      <c r="G673" s="1" t="s">
        <v>39</v>
      </c>
      <c r="H673" s="1" t="n">
        <v>0</v>
      </c>
      <c r="I673" s="1" t="n">
        <v>93.9</v>
      </c>
      <c r="J673" s="1" t="n">
        <v>21</v>
      </c>
      <c r="K673" s="1" t="n">
        <v>10</v>
      </c>
      <c r="L673" s="1" t="n">
        <v>2</v>
      </c>
      <c r="M673" s="1" t="n">
        <v>0</v>
      </c>
      <c r="N673" s="1" t="n">
        <v>53.34</v>
      </c>
      <c r="O673" s="1" t="n">
        <v>0</v>
      </c>
      <c r="Q673" s="4" t="n">
        <v>44920</v>
      </c>
      <c r="R673" s="0" t="n">
        <f aca="false">IF(ISBLANK(F673),"Missing",IFERROR(YEAR(F673),"Missing"))</f>
        <v>2022</v>
      </c>
      <c r="S673" s="0" t="str">
        <f aca="false">IF(ISBLANK(E673),"Missing",IF(E673&lt;6,"0-6mo",IF(E673&lt;12,"6-12mo",IF(E673&lt;24,"12-24mo","24mo+"))))</f>
        <v>6-12mo</v>
      </c>
      <c r="T673" s="0" t="n">
        <f aca="false">IF(ISBLANK(C673),0,IF(C673="Month-to-month",2,IF(C673="One year",1,0)))+IF(ISBLANK(I673),0,IF(I673&lt;40,2,IF(I673&lt;55,1,0)))+IF(ISBLANK(M673),0,IF(M673=1,3,0))+IF(ISBLANK(L673),0,IF(L673&gt;=2,1,0))+IF(ISBLANK(E673),0,IF(E673&lt;12,1,0))</f>
        <v>4</v>
      </c>
      <c r="U673" s="0" t="str">
        <f aca="false">IF((ISBLANK(B673)*1+ISBLANK(C673)*1+ISBLANK(D673)*1+ISBLANK(E673)*1+ISBLANK(F673)*1+ISBLANK(I673)*1+ISBLANK(J673)*1+ISBLANK(K673)*1+ISBLANK(L673)*1+ISBLANK(M673)*1+ISBLANK(N673)*1+ISBLANK(O673)*1)&gt;0,"Missing Data","OK")</f>
        <v>OK</v>
      </c>
      <c r="V673" s="0" t="str">
        <f aca="false">IF(T673&gt;=6,"High Risk",IF(T673&gt;=3,"Medium Risk","Low Risk"))</f>
        <v>Medium Risk</v>
      </c>
    </row>
    <row r="674" customFormat="false" ht="12.8" hidden="false" customHeight="false" outlineLevel="0" collapsed="false">
      <c r="A674" s="1" t="s">
        <v>704</v>
      </c>
      <c r="B674" s="1" t="s">
        <v>23</v>
      </c>
      <c r="C674" s="1" t="s">
        <v>24</v>
      </c>
      <c r="D674" s="1" t="n">
        <v>20.51</v>
      </c>
      <c r="E674" s="1" t="n">
        <v>1</v>
      </c>
      <c r="F674" s="4" t="n">
        <v>44738</v>
      </c>
      <c r="G674" s="1" t="s">
        <v>25</v>
      </c>
      <c r="H674" s="1" t="n">
        <v>1</v>
      </c>
      <c r="I674" s="1" t="n">
        <v>69.3</v>
      </c>
      <c r="J674" s="1" t="n">
        <v>28</v>
      </c>
      <c r="K674" s="1" t="n">
        <v>6</v>
      </c>
      <c r="L674" s="1" t="n">
        <v>1</v>
      </c>
      <c r="M674" s="1" t="n">
        <v>1</v>
      </c>
      <c r="N674" s="1" t="n">
        <v>20.51</v>
      </c>
      <c r="O674" s="1" t="n">
        <v>1</v>
      </c>
      <c r="P674" s="4" t="n">
        <v>44768</v>
      </c>
      <c r="Q674" s="4" t="n">
        <v>44768</v>
      </c>
      <c r="R674" s="0" t="n">
        <f aca="false">IF(ISBLANK(F674),"Missing",IFERROR(YEAR(F674),"Missing"))</f>
        <v>2022</v>
      </c>
      <c r="S674" s="0" t="str">
        <f aca="false">IF(ISBLANK(E674),"Missing",IF(E674&lt;6,"0-6mo",IF(E674&lt;12,"6-12mo",IF(E674&lt;24,"12-24mo","24mo+"))))</f>
        <v>0-6mo</v>
      </c>
      <c r="T674" s="0" t="n">
        <f aca="false">IF(ISBLANK(C674),0,IF(C674="Month-to-month",2,IF(C674="One year",1,0)))+IF(ISBLANK(I674),0,IF(I674&lt;40,2,IF(I674&lt;55,1,0)))+IF(ISBLANK(M674),0,IF(M674=1,3,0))+IF(ISBLANK(L674),0,IF(L674&gt;=2,1,0))+IF(ISBLANK(E674),0,IF(E674&lt;12,1,0))</f>
        <v>6</v>
      </c>
      <c r="U674" s="0" t="str">
        <f aca="false">IF((ISBLANK(B674)*1+ISBLANK(C674)*1+ISBLANK(D674)*1+ISBLANK(E674)*1+ISBLANK(F674)*1+ISBLANK(I674)*1+ISBLANK(J674)*1+ISBLANK(K674)*1+ISBLANK(L674)*1+ISBLANK(M674)*1+ISBLANK(N674)*1+ISBLANK(O674)*1)&gt;0,"Missing Data","OK")</f>
        <v>OK</v>
      </c>
      <c r="V674" s="0" t="str">
        <f aca="false">IF(T674&gt;=6,"High Risk",IF(T674&gt;=3,"Medium Risk","Low Risk"))</f>
        <v>High Risk</v>
      </c>
    </row>
    <row r="675" customFormat="false" ht="12.8" hidden="false" customHeight="false" outlineLevel="0" collapsed="false">
      <c r="A675" s="1" t="s">
        <v>705</v>
      </c>
      <c r="B675" s="1" t="s">
        <v>29</v>
      </c>
      <c r="C675" s="1" t="s">
        <v>51</v>
      </c>
      <c r="D675" s="1" t="n">
        <v>42.05</v>
      </c>
      <c r="E675" s="1" t="n">
        <v>49</v>
      </c>
      <c r="F675" s="4" t="n">
        <v>44741</v>
      </c>
      <c r="G675" s="1" t="s">
        <v>39</v>
      </c>
      <c r="H675" s="1" t="n">
        <v>1</v>
      </c>
      <c r="I675" s="1" t="n">
        <v>28.8</v>
      </c>
      <c r="J675" s="1" t="n">
        <v>11</v>
      </c>
      <c r="K675" s="1" t="n">
        <v>5</v>
      </c>
      <c r="L675" s="1" t="n">
        <v>4</v>
      </c>
      <c r="M675" s="1" t="n">
        <v>1</v>
      </c>
      <c r="N675" s="1" t="n">
        <v>2060.45</v>
      </c>
      <c r="O675" s="1" t="n">
        <v>1</v>
      </c>
      <c r="P675" s="4" t="n">
        <v>46232</v>
      </c>
      <c r="Q675" s="4" t="n">
        <v>46232</v>
      </c>
      <c r="R675" s="0" t="n">
        <f aca="false">IF(ISBLANK(F675),"Missing",IFERROR(YEAR(F675),"Missing"))</f>
        <v>2022</v>
      </c>
      <c r="S675" s="0" t="str">
        <f aca="false">IF(ISBLANK(E675),"Missing",IF(E675&lt;6,"0-6mo",IF(E675&lt;12,"6-12mo",IF(E675&lt;24,"12-24mo","24mo+"))))</f>
        <v>24mo+</v>
      </c>
      <c r="T675" s="0" t="n">
        <f aca="false">IF(ISBLANK(C675),0,IF(C675="Month-to-month",2,IF(C675="One year",1,0)))+IF(ISBLANK(I675),0,IF(I675&lt;40,2,IF(I675&lt;55,1,0)))+IF(ISBLANK(M675),0,IF(M675=1,3,0))+IF(ISBLANK(L675),0,IF(L675&gt;=2,1,0))+IF(ISBLANK(E675),0,IF(E675&lt;12,1,0))</f>
        <v>6</v>
      </c>
      <c r="U675" s="0" t="str">
        <f aca="false">IF((ISBLANK(B675)*1+ISBLANK(C675)*1+ISBLANK(D675)*1+ISBLANK(E675)*1+ISBLANK(F675)*1+ISBLANK(I675)*1+ISBLANK(J675)*1+ISBLANK(K675)*1+ISBLANK(L675)*1+ISBLANK(M675)*1+ISBLANK(N675)*1+ISBLANK(O675)*1)&gt;0,"Missing Data","OK")</f>
        <v>OK</v>
      </c>
      <c r="V675" s="0" t="str">
        <f aca="false">IF(T675&gt;=6,"High Risk",IF(T675&gt;=3,"Medium Risk","Low Risk"))</f>
        <v>High Risk</v>
      </c>
    </row>
    <row r="676" customFormat="false" ht="12.8" hidden="false" customHeight="false" outlineLevel="0" collapsed="false">
      <c r="A676" s="1" t="s">
        <v>706</v>
      </c>
      <c r="B676" s="1" t="s">
        <v>36</v>
      </c>
      <c r="C676" s="1" t="s">
        <v>34</v>
      </c>
      <c r="D676" s="1" t="n">
        <v>10.62</v>
      </c>
      <c r="E676" s="1" t="n">
        <v>8</v>
      </c>
      <c r="F676" s="4" t="n">
        <v>44742</v>
      </c>
      <c r="G676" s="1" t="s">
        <v>30</v>
      </c>
      <c r="H676" s="1" t="n">
        <v>0</v>
      </c>
      <c r="I676" s="1" t="n">
        <v>23.6</v>
      </c>
      <c r="J676" s="1" t="n">
        <v>6</v>
      </c>
      <c r="K676" s="1" t="n">
        <v>0</v>
      </c>
      <c r="L676" s="1" t="n">
        <v>3</v>
      </c>
      <c r="M676" s="1" t="n">
        <v>0</v>
      </c>
      <c r="N676" s="1" t="n">
        <v>84.96</v>
      </c>
      <c r="O676" s="1" t="n">
        <v>1</v>
      </c>
      <c r="P676" s="4" t="n">
        <v>44985</v>
      </c>
      <c r="Q676" s="4" t="n">
        <v>44985</v>
      </c>
      <c r="R676" s="0" t="n">
        <f aca="false">IF(ISBLANK(F676),"Missing",IFERROR(YEAR(F676),"Missing"))</f>
        <v>2022</v>
      </c>
      <c r="S676" s="0" t="str">
        <f aca="false">IF(ISBLANK(E676),"Missing",IF(E676&lt;6,"0-6mo",IF(E676&lt;12,"6-12mo",IF(E676&lt;24,"12-24mo","24mo+"))))</f>
        <v>6-12mo</v>
      </c>
      <c r="T676" s="0" t="n">
        <f aca="false">IF(ISBLANK(C676),0,IF(C676="Month-to-month",2,IF(C676="One year",1,0)))+IF(ISBLANK(I676),0,IF(I676&lt;40,2,IF(I676&lt;55,1,0)))+IF(ISBLANK(M676),0,IF(M676=1,3,0))+IF(ISBLANK(L676),0,IF(L676&gt;=2,1,0))+IF(ISBLANK(E676),0,IF(E676&lt;12,1,0))</f>
        <v>5</v>
      </c>
      <c r="U676" s="0" t="str">
        <f aca="false">IF((ISBLANK(B676)*1+ISBLANK(C676)*1+ISBLANK(D676)*1+ISBLANK(E676)*1+ISBLANK(F676)*1+ISBLANK(I676)*1+ISBLANK(J676)*1+ISBLANK(K676)*1+ISBLANK(L676)*1+ISBLANK(M676)*1+ISBLANK(N676)*1+ISBLANK(O676)*1)&gt;0,"Missing Data","OK")</f>
        <v>OK</v>
      </c>
      <c r="V676" s="0" t="str">
        <f aca="false">IF(T676&gt;=6,"High Risk",IF(T676&gt;=3,"Medium Risk","Low Risk"))</f>
        <v>Medium Risk</v>
      </c>
    </row>
    <row r="677" customFormat="false" ht="12.8" hidden="false" customHeight="false" outlineLevel="0" collapsed="false">
      <c r="A677" s="1" t="s">
        <v>707</v>
      </c>
      <c r="B677" s="1" t="s">
        <v>23</v>
      </c>
      <c r="C677" s="1" t="s">
        <v>24</v>
      </c>
      <c r="D677" s="1" t="n">
        <v>20.64</v>
      </c>
      <c r="E677" s="1" t="n">
        <v>30</v>
      </c>
      <c r="F677" s="4" t="n">
        <v>44742</v>
      </c>
      <c r="G677" s="1" t="s">
        <v>25</v>
      </c>
      <c r="H677" s="1" t="n">
        <v>1</v>
      </c>
      <c r="I677" s="1" t="n">
        <v>50.3</v>
      </c>
      <c r="J677" s="1" t="n">
        <v>14</v>
      </c>
      <c r="K677" s="1" t="n">
        <v>5</v>
      </c>
      <c r="L677" s="1" t="n">
        <v>2</v>
      </c>
      <c r="M677" s="1" t="n">
        <v>0</v>
      </c>
      <c r="N677" s="1" t="n">
        <v>619.2</v>
      </c>
      <c r="O677" s="1" t="n">
        <v>0</v>
      </c>
      <c r="Q677" s="4" t="n">
        <v>45655</v>
      </c>
      <c r="R677" s="0" t="n">
        <f aca="false">IF(ISBLANK(F677),"Missing",IFERROR(YEAR(F677),"Missing"))</f>
        <v>2022</v>
      </c>
      <c r="S677" s="0" t="str">
        <f aca="false">IF(ISBLANK(E677),"Missing",IF(E677&lt;6,"0-6mo",IF(E677&lt;12,"6-12mo",IF(E677&lt;24,"12-24mo","24mo+"))))</f>
        <v>24mo+</v>
      </c>
      <c r="T677" s="0" t="n">
        <f aca="false">IF(ISBLANK(C677),0,IF(C677="Month-to-month",2,IF(C677="One year",1,0)))+IF(ISBLANK(I677),0,IF(I677&lt;40,2,IF(I677&lt;55,1,0)))+IF(ISBLANK(M677),0,IF(M677=1,3,0))+IF(ISBLANK(L677),0,IF(L677&gt;=2,1,0))+IF(ISBLANK(E677),0,IF(E677&lt;12,1,0))</f>
        <v>4</v>
      </c>
      <c r="U677" s="0" t="str">
        <f aca="false">IF((ISBLANK(B677)*1+ISBLANK(C677)*1+ISBLANK(D677)*1+ISBLANK(E677)*1+ISBLANK(F677)*1+ISBLANK(I677)*1+ISBLANK(J677)*1+ISBLANK(K677)*1+ISBLANK(L677)*1+ISBLANK(M677)*1+ISBLANK(N677)*1+ISBLANK(O677)*1)&gt;0,"Missing Data","OK")</f>
        <v>OK</v>
      </c>
      <c r="V677" s="0" t="str">
        <f aca="false">IF(T677&gt;=6,"High Risk",IF(T677&gt;=3,"Medium Risk","Low Risk"))</f>
        <v>Medium Risk</v>
      </c>
    </row>
    <row r="678" customFormat="false" ht="12.8" hidden="false" customHeight="false" outlineLevel="0" collapsed="false">
      <c r="A678" s="1" t="s">
        <v>708</v>
      </c>
      <c r="B678" s="1" t="s">
        <v>23</v>
      </c>
      <c r="C678" s="1" t="s">
        <v>51</v>
      </c>
      <c r="D678" s="1" t="n">
        <v>19.06</v>
      </c>
      <c r="E678" s="1" t="n">
        <v>1</v>
      </c>
      <c r="F678" s="4" t="n">
        <v>44743</v>
      </c>
      <c r="G678" s="1" t="s">
        <v>30</v>
      </c>
      <c r="H678" s="1" t="n">
        <v>1</v>
      </c>
      <c r="I678" s="1" t="n">
        <v>61.1</v>
      </c>
      <c r="J678" s="1" t="n">
        <v>17</v>
      </c>
      <c r="K678" s="1" t="n">
        <v>5</v>
      </c>
      <c r="L678" s="1" t="n">
        <v>1</v>
      </c>
      <c r="M678" s="1" t="n">
        <v>0</v>
      </c>
      <c r="N678" s="1" t="n">
        <v>19.06</v>
      </c>
      <c r="O678" s="1" t="n">
        <v>0</v>
      </c>
      <c r="Q678" s="4" t="n">
        <v>44773</v>
      </c>
      <c r="R678" s="0" t="n">
        <f aca="false">IF(ISBLANK(F678),"Missing",IFERROR(YEAR(F678),"Missing"))</f>
        <v>2022</v>
      </c>
      <c r="S678" s="0" t="str">
        <f aca="false">IF(ISBLANK(E678),"Missing",IF(E678&lt;6,"0-6mo",IF(E678&lt;12,"6-12mo",IF(E678&lt;24,"12-24mo","24mo+"))))</f>
        <v>0-6mo</v>
      </c>
      <c r="T678" s="0" t="n">
        <f aca="false">IF(ISBLANK(C678),0,IF(C678="Month-to-month",2,IF(C678="One year",1,0)))+IF(ISBLANK(I678),0,IF(I678&lt;40,2,IF(I678&lt;55,1,0)))+IF(ISBLANK(M678),0,IF(M678=1,3,0))+IF(ISBLANK(L678),0,IF(L678&gt;=2,1,0))+IF(ISBLANK(E678),0,IF(E678&lt;12,1,0))</f>
        <v>1</v>
      </c>
      <c r="U678" s="0" t="str">
        <f aca="false">IF((ISBLANK(B678)*1+ISBLANK(C678)*1+ISBLANK(D678)*1+ISBLANK(E678)*1+ISBLANK(F678)*1+ISBLANK(I678)*1+ISBLANK(J678)*1+ISBLANK(K678)*1+ISBLANK(L678)*1+ISBLANK(M678)*1+ISBLANK(N678)*1+ISBLANK(O678)*1)&gt;0,"Missing Data","OK")</f>
        <v>OK</v>
      </c>
      <c r="V678" s="0" t="str">
        <f aca="false">IF(T678&gt;=6,"High Risk",IF(T678&gt;=3,"Medium Risk","Low Risk"))</f>
        <v>Low Risk</v>
      </c>
    </row>
    <row r="679" customFormat="false" ht="12.8" hidden="false" customHeight="false" outlineLevel="0" collapsed="false">
      <c r="A679" s="1" t="s">
        <v>709</v>
      </c>
      <c r="B679" s="1" t="s">
        <v>36</v>
      </c>
      <c r="C679" s="1" t="s">
        <v>24</v>
      </c>
      <c r="D679" s="1" t="n">
        <v>9.16</v>
      </c>
      <c r="E679" s="1" t="n">
        <v>28</v>
      </c>
      <c r="F679" s="4" t="n">
        <v>44743</v>
      </c>
      <c r="G679" s="1" t="s">
        <v>39</v>
      </c>
      <c r="H679" s="1" t="n">
        <v>1</v>
      </c>
      <c r="I679" s="1" t="n">
        <v>39.5</v>
      </c>
      <c r="J679" s="1" t="n">
        <v>15</v>
      </c>
      <c r="K679" s="1" t="n">
        <v>4</v>
      </c>
      <c r="L679" s="1" t="n">
        <v>3</v>
      </c>
      <c r="M679" s="1" t="n">
        <v>1</v>
      </c>
      <c r="N679" s="1" t="n">
        <v>256.48</v>
      </c>
      <c r="O679" s="1" t="n">
        <v>1</v>
      </c>
      <c r="P679" s="4" t="n">
        <v>45595</v>
      </c>
      <c r="Q679" s="4" t="n">
        <v>45595</v>
      </c>
      <c r="R679" s="0" t="n">
        <f aca="false">IF(ISBLANK(F679),"Missing",IFERROR(YEAR(F679),"Missing"))</f>
        <v>2022</v>
      </c>
      <c r="S679" s="0" t="str">
        <f aca="false">IF(ISBLANK(E679),"Missing",IF(E679&lt;6,"0-6mo",IF(E679&lt;12,"6-12mo",IF(E679&lt;24,"12-24mo","24mo+"))))</f>
        <v>24mo+</v>
      </c>
      <c r="T679" s="0" t="n">
        <f aca="false">IF(ISBLANK(C679),0,IF(C679="Month-to-month",2,IF(C679="One year",1,0)))+IF(ISBLANK(I679),0,IF(I679&lt;40,2,IF(I679&lt;55,1,0)))+IF(ISBLANK(M679),0,IF(M679=1,3,0))+IF(ISBLANK(L679),0,IF(L679&gt;=2,1,0))+IF(ISBLANK(E679),0,IF(E679&lt;12,1,0))</f>
        <v>8</v>
      </c>
      <c r="U679" s="0" t="str">
        <f aca="false">IF((ISBLANK(B679)*1+ISBLANK(C679)*1+ISBLANK(D679)*1+ISBLANK(E679)*1+ISBLANK(F679)*1+ISBLANK(I679)*1+ISBLANK(J679)*1+ISBLANK(K679)*1+ISBLANK(L679)*1+ISBLANK(M679)*1+ISBLANK(N679)*1+ISBLANK(O679)*1)&gt;0,"Missing Data","OK")</f>
        <v>OK</v>
      </c>
      <c r="V679" s="0" t="str">
        <f aca="false">IF(T679&gt;=6,"High Risk",IF(T679&gt;=3,"Medium Risk","Low Risk"))</f>
        <v>High Risk</v>
      </c>
    </row>
    <row r="680" customFormat="false" ht="12.8" hidden="false" customHeight="false" outlineLevel="0" collapsed="false">
      <c r="A680" s="1" t="s">
        <v>710</v>
      </c>
      <c r="B680" s="1" t="s">
        <v>36</v>
      </c>
      <c r="C680" s="1" t="s">
        <v>24</v>
      </c>
      <c r="D680" s="1" t="n">
        <v>10.66</v>
      </c>
      <c r="E680" s="1" t="n">
        <v>3</v>
      </c>
      <c r="F680" s="4" t="n">
        <v>44743</v>
      </c>
      <c r="G680" s="1" t="s">
        <v>25</v>
      </c>
      <c r="H680" s="1" t="n">
        <v>0</v>
      </c>
      <c r="I680" s="1" t="n">
        <v>62.1</v>
      </c>
      <c r="J680" s="1" t="n">
        <v>21</v>
      </c>
      <c r="K680" s="1" t="n">
        <v>8</v>
      </c>
      <c r="L680" s="1" t="n">
        <v>5</v>
      </c>
      <c r="M680" s="1" t="n">
        <v>1</v>
      </c>
      <c r="N680" s="1" t="n">
        <v>31.98</v>
      </c>
      <c r="O680" s="1" t="n">
        <v>0</v>
      </c>
      <c r="Q680" s="4" t="n">
        <v>44834</v>
      </c>
      <c r="R680" s="0" t="n">
        <f aca="false">IF(ISBLANK(F680),"Missing",IFERROR(YEAR(F680),"Missing"))</f>
        <v>2022</v>
      </c>
      <c r="S680" s="0" t="str">
        <f aca="false">IF(ISBLANK(E680),"Missing",IF(E680&lt;6,"0-6mo",IF(E680&lt;12,"6-12mo",IF(E680&lt;24,"12-24mo","24mo+"))))</f>
        <v>0-6mo</v>
      </c>
      <c r="T680" s="0" t="n">
        <f aca="false">IF(ISBLANK(C680),0,IF(C680="Month-to-month",2,IF(C680="One year",1,0)))+IF(ISBLANK(I680),0,IF(I680&lt;40,2,IF(I680&lt;55,1,0)))+IF(ISBLANK(M680),0,IF(M680=1,3,0))+IF(ISBLANK(L680),0,IF(L680&gt;=2,1,0))+IF(ISBLANK(E680),0,IF(E680&lt;12,1,0))</f>
        <v>7</v>
      </c>
      <c r="U680" s="0" t="str">
        <f aca="false">IF((ISBLANK(B680)*1+ISBLANK(C680)*1+ISBLANK(D680)*1+ISBLANK(E680)*1+ISBLANK(F680)*1+ISBLANK(I680)*1+ISBLANK(J680)*1+ISBLANK(K680)*1+ISBLANK(L680)*1+ISBLANK(M680)*1+ISBLANK(N680)*1+ISBLANK(O680)*1)&gt;0,"Missing Data","OK")</f>
        <v>OK</v>
      </c>
      <c r="V680" s="0" t="str">
        <f aca="false">IF(T680&gt;=6,"High Risk",IF(T680&gt;=3,"Medium Risk","Low Risk"))</f>
        <v>High Risk</v>
      </c>
    </row>
    <row r="681" customFormat="false" ht="12.8" hidden="false" customHeight="false" outlineLevel="0" collapsed="false">
      <c r="A681" s="1" t="s">
        <v>711</v>
      </c>
      <c r="B681" s="1" t="s">
        <v>23</v>
      </c>
      <c r="C681" s="1" t="s">
        <v>24</v>
      </c>
      <c r="D681" s="1" t="n">
        <v>18.92</v>
      </c>
      <c r="E681" s="1" t="n">
        <v>67</v>
      </c>
      <c r="F681" s="4" t="n">
        <v>44744</v>
      </c>
      <c r="G681" s="1" t="s">
        <v>30</v>
      </c>
      <c r="H681" s="1" t="n">
        <v>1</v>
      </c>
      <c r="I681" s="1" t="n">
        <v>97.9</v>
      </c>
      <c r="J681" s="1" t="n">
        <v>25</v>
      </c>
      <c r="K681" s="1" t="n">
        <v>10</v>
      </c>
      <c r="L681" s="1" t="n">
        <v>0</v>
      </c>
      <c r="M681" s="1" t="n">
        <v>0</v>
      </c>
      <c r="N681" s="1" t="n">
        <v>1267.64</v>
      </c>
      <c r="O681" s="1" t="n">
        <v>0</v>
      </c>
      <c r="Q681" s="4" t="n">
        <v>46293</v>
      </c>
      <c r="R681" s="0" t="n">
        <f aca="false">IF(ISBLANK(F681),"Missing",IFERROR(YEAR(F681),"Missing"))</f>
        <v>2022</v>
      </c>
      <c r="S681" s="0" t="str">
        <f aca="false">IF(ISBLANK(E681),"Missing",IF(E681&lt;6,"0-6mo",IF(E681&lt;12,"6-12mo",IF(E681&lt;24,"12-24mo","24mo+"))))</f>
        <v>24mo+</v>
      </c>
      <c r="T681" s="0" t="n">
        <f aca="false">IF(ISBLANK(C681),0,IF(C681="Month-to-month",2,IF(C681="One year",1,0)))+IF(ISBLANK(I681),0,IF(I681&lt;40,2,IF(I681&lt;55,1,0)))+IF(ISBLANK(M681),0,IF(M681=1,3,0))+IF(ISBLANK(L681),0,IF(L681&gt;=2,1,0))+IF(ISBLANK(E681),0,IF(E681&lt;12,1,0))</f>
        <v>2</v>
      </c>
      <c r="U681" s="0" t="str">
        <f aca="false">IF((ISBLANK(B681)*1+ISBLANK(C681)*1+ISBLANK(D681)*1+ISBLANK(E681)*1+ISBLANK(F681)*1+ISBLANK(I681)*1+ISBLANK(J681)*1+ISBLANK(K681)*1+ISBLANK(L681)*1+ISBLANK(M681)*1+ISBLANK(N681)*1+ISBLANK(O681)*1)&gt;0,"Missing Data","OK")</f>
        <v>OK</v>
      </c>
      <c r="V681" s="0" t="str">
        <f aca="false">IF(T681&gt;=6,"High Risk",IF(T681&gt;=3,"Medium Risk","Low Risk"))</f>
        <v>Low Risk</v>
      </c>
    </row>
    <row r="682" customFormat="false" ht="12.8" hidden="false" customHeight="false" outlineLevel="0" collapsed="false">
      <c r="A682" s="1" t="s">
        <v>712</v>
      </c>
      <c r="B682" s="1" t="s">
        <v>23</v>
      </c>
      <c r="C682" s="1" t="s">
        <v>34</v>
      </c>
      <c r="D682" s="1" t="n">
        <v>20.91</v>
      </c>
      <c r="E682" s="1" t="n">
        <v>12</v>
      </c>
      <c r="F682" s="4" t="n">
        <v>44746</v>
      </c>
      <c r="G682" s="1" t="s">
        <v>39</v>
      </c>
      <c r="H682" s="1" t="n">
        <v>1</v>
      </c>
      <c r="I682" s="1" t="n">
        <v>72.3</v>
      </c>
      <c r="J682" s="1" t="n">
        <v>25</v>
      </c>
      <c r="K682" s="1" t="n">
        <v>7</v>
      </c>
      <c r="L682" s="1" t="n">
        <v>1</v>
      </c>
      <c r="M682" s="1" t="n">
        <v>1</v>
      </c>
      <c r="N682" s="1" t="n">
        <v>250.92</v>
      </c>
      <c r="O682" s="1" t="n">
        <v>0</v>
      </c>
      <c r="Q682" s="4" t="n">
        <v>45111</v>
      </c>
      <c r="R682" s="0" t="n">
        <f aca="false">IF(ISBLANK(F682),"Missing",IFERROR(YEAR(F682),"Missing"))</f>
        <v>2022</v>
      </c>
      <c r="S682" s="0" t="str">
        <f aca="false">IF(ISBLANK(E682),"Missing",IF(E682&lt;6,"0-6mo",IF(E682&lt;12,"6-12mo",IF(E682&lt;24,"12-24mo","24mo+"))))</f>
        <v>12-24mo</v>
      </c>
      <c r="T682" s="0" t="n">
        <f aca="false">IF(ISBLANK(C682),0,IF(C682="Month-to-month",2,IF(C682="One year",1,0)))+IF(ISBLANK(I682),0,IF(I682&lt;40,2,IF(I682&lt;55,1,0)))+IF(ISBLANK(M682),0,IF(M682=1,3,0))+IF(ISBLANK(L682),0,IF(L682&gt;=2,1,0))+IF(ISBLANK(E682),0,IF(E682&lt;12,1,0))</f>
        <v>4</v>
      </c>
      <c r="U682" s="0" t="str">
        <f aca="false">IF((ISBLANK(B682)*1+ISBLANK(C682)*1+ISBLANK(D682)*1+ISBLANK(E682)*1+ISBLANK(F682)*1+ISBLANK(I682)*1+ISBLANK(J682)*1+ISBLANK(K682)*1+ISBLANK(L682)*1+ISBLANK(M682)*1+ISBLANK(N682)*1+ISBLANK(O682)*1)&gt;0,"Missing Data","OK")</f>
        <v>OK</v>
      </c>
      <c r="V682" s="0" t="str">
        <f aca="false">IF(T682&gt;=6,"High Risk",IF(T682&gt;=3,"Medium Risk","Low Risk"))</f>
        <v>Medium Risk</v>
      </c>
    </row>
    <row r="683" customFormat="false" ht="12.8" hidden="false" customHeight="false" outlineLevel="0" collapsed="false">
      <c r="A683" s="1" t="s">
        <v>713</v>
      </c>
      <c r="B683" s="1" t="s">
        <v>29</v>
      </c>
      <c r="C683" s="1" t="s">
        <v>34</v>
      </c>
      <c r="D683" s="1" t="n">
        <v>41.02</v>
      </c>
      <c r="E683" s="1" t="n">
        <v>0</v>
      </c>
      <c r="F683" s="4" t="n">
        <v>44748</v>
      </c>
      <c r="G683" s="1" t="s">
        <v>27</v>
      </c>
      <c r="H683" s="1" t="n">
        <v>1</v>
      </c>
      <c r="I683" s="1" t="n">
        <v>57.5</v>
      </c>
      <c r="J683" s="1" t="n">
        <v>14</v>
      </c>
      <c r="K683" s="1" t="n">
        <v>3</v>
      </c>
      <c r="L683" s="1" t="n">
        <v>1</v>
      </c>
      <c r="M683" s="1" t="n">
        <v>0</v>
      </c>
      <c r="N683" s="1" t="n">
        <v>0</v>
      </c>
      <c r="O683" s="1" t="n">
        <v>0</v>
      </c>
      <c r="Q683" s="4" t="n">
        <v>44748</v>
      </c>
      <c r="R683" s="0" t="n">
        <f aca="false">IF(ISBLANK(F683),"Missing",IFERROR(YEAR(F683),"Missing"))</f>
        <v>2022</v>
      </c>
      <c r="S683" s="0" t="str">
        <f aca="false">IF(ISBLANK(E683),"Missing",IF(E683&lt;6,"0-6mo",IF(E683&lt;12,"6-12mo",IF(E683&lt;24,"12-24mo","24mo+"))))</f>
        <v>0-6mo</v>
      </c>
      <c r="T683" s="0" t="n">
        <f aca="false">IF(ISBLANK(C683),0,IF(C683="Month-to-month",2,IF(C683="One year",1,0)))+IF(ISBLANK(I683),0,IF(I683&lt;40,2,IF(I683&lt;55,1,0)))+IF(ISBLANK(M683),0,IF(M683=1,3,0))+IF(ISBLANK(L683),0,IF(L683&gt;=2,1,0))+IF(ISBLANK(E683),0,IF(E683&lt;12,1,0))</f>
        <v>2</v>
      </c>
      <c r="U683" s="0" t="str">
        <f aca="false">IF((ISBLANK(B683)*1+ISBLANK(C683)*1+ISBLANK(D683)*1+ISBLANK(E683)*1+ISBLANK(F683)*1+ISBLANK(I683)*1+ISBLANK(J683)*1+ISBLANK(K683)*1+ISBLANK(L683)*1+ISBLANK(M683)*1+ISBLANK(N683)*1+ISBLANK(O683)*1)&gt;0,"Missing Data","OK")</f>
        <v>OK</v>
      </c>
      <c r="V683" s="0" t="str">
        <f aca="false">IF(T683&gt;=6,"High Risk",IF(T683&gt;=3,"Medium Risk","Low Risk"))</f>
        <v>Low Risk</v>
      </c>
    </row>
    <row r="684" customFormat="false" ht="12.8" hidden="false" customHeight="false" outlineLevel="0" collapsed="false">
      <c r="A684" s="1" t="s">
        <v>714</v>
      </c>
      <c r="B684" s="1" t="s">
        <v>36</v>
      </c>
      <c r="C684" s="1" t="s">
        <v>24</v>
      </c>
      <c r="D684" s="1" t="n">
        <v>11.23</v>
      </c>
      <c r="E684" s="1" t="n">
        <v>24</v>
      </c>
      <c r="F684" s="4" t="n">
        <v>44751</v>
      </c>
      <c r="G684" s="1" t="s">
        <v>25</v>
      </c>
      <c r="H684" s="1" t="n">
        <v>1</v>
      </c>
      <c r="I684" s="1" t="n">
        <v>63</v>
      </c>
      <c r="J684" s="1" t="n">
        <v>20</v>
      </c>
      <c r="K684" s="1" t="n">
        <v>6</v>
      </c>
      <c r="L684" s="1" t="n">
        <v>1</v>
      </c>
      <c r="M684" s="1" t="n">
        <v>0</v>
      </c>
      <c r="N684" s="1" t="n">
        <v>269.52</v>
      </c>
      <c r="O684" s="1" t="n">
        <v>0</v>
      </c>
      <c r="Q684" s="4" t="n">
        <v>45481</v>
      </c>
      <c r="R684" s="0" t="n">
        <f aca="false">IF(ISBLANK(F684),"Missing",IFERROR(YEAR(F684),"Missing"))</f>
        <v>2022</v>
      </c>
      <c r="S684" s="0" t="str">
        <f aca="false">IF(ISBLANK(E684),"Missing",IF(E684&lt;6,"0-6mo",IF(E684&lt;12,"6-12mo",IF(E684&lt;24,"12-24mo","24mo+"))))</f>
        <v>24mo+</v>
      </c>
      <c r="T684" s="0" t="n">
        <f aca="false">IF(ISBLANK(C684),0,IF(C684="Month-to-month",2,IF(C684="One year",1,0)))+IF(ISBLANK(I684),0,IF(I684&lt;40,2,IF(I684&lt;55,1,0)))+IF(ISBLANK(M684),0,IF(M684=1,3,0))+IF(ISBLANK(L684),0,IF(L684&gt;=2,1,0))+IF(ISBLANK(E684),0,IF(E684&lt;12,1,0))</f>
        <v>2</v>
      </c>
      <c r="U684" s="0" t="str">
        <f aca="false">IF((ISBLANK(B684)*1+ISBLANK(C684)*1+ISBLANK(D684)*1+ISBLANK(E684)*1+ISBLANK(F684)*1+ISBLANK(I684)*1+ISBLANK(J684)*1+ISBLANK(K684)*1+ISBLANK(L684)*1+ISBLANK(M684)*1+ISBLANK(N684)*1+ISBLANK(O684)*1)&gt;0,"Missing Data","OK")</f>
        <v>OK</v>
      </c>
      <c r="V684" s="0" t="str">
        <f aca="false">IF(T684&gt;=6,"High Risk",IF(T684&gt;=3,"Medium Risk","Low Risk"))</f>
        <v>Low Risk</v>
      </c>
    </row>
    <row r="685" customFormat="false" ht="12.8" hidden="false" customHeight="false" outlineLevel="0" collapsed="false">
      <c r="A685" s="1" t="s">
        <v>715</v>
      </c>
      <c r="B685" s="1" t="s">
        <v>36</v>
      </c>
      <c r="C685" s="1" t="s">
        <v>24</v>
      </c>
      <c r="D685" s="1" t="n">
        <v>10.16</v>
      </c>
      <c r="E685" s="1" t="n">
        <v>13</v>
      </c>
      <c r="F685" s="4" t="n">
        <v>44752</v>
      </c>
      <c r="G685" s="1" t="s">
        <v>25</v>
      </c>
      <c r="H685" s="1" t="n">
        <v>1</v>
      </c>
      <c r="I685" s="1" t="n">
        <v>63.9</v>
      </c>
      <c r="J685" s="1" t="n">
        <v>9</v>
      </c>
      <c r="K685" s="1" t="n">
        <v>7</v>
      </c>
      <c r="L685" s="1" t="n">
        <v>2</v>
      </c>
      <c r="M685" s="1" t="n">
        <v>1</v>
      </c>
      <c r="N685" s="1" t="n">
        <v>132.08</v>
      </c>
      <c r="O685" s="1" t="n">
        <v>1</v>
      </c>
      <c r="P685" s="4" t="n">
        <v>45147</v>
      </c>
      <c r="Q685" s="4" t="n">
        <v>45147</v>
      </c>
      <c r="R685" s="0" t="n">
        <f aca="false">IF(ISBLANK(F685),"Missing",IFERROR(YEAR(F685),"Missing"))</f>
        <v>2022</v>
      </c>
      <c r="S685" s="0" t="str">
        <f aca="false">IF(ISBLANK(E685),"Missing",IF(E685&lt;6,"0-6mo",IF(E685&lt;12,"6-12mo",IF(E685&lt;24,"12-24mo","24mo+"))))</f>
        <v>12-24mo</v>
      </c>
      <c r="T685" s="0" t="n">
        <f aca="false">IF(ISBLANK(C685),0,IF(C685="Month-to-month",2,IF(C685="One year",1,0)))+IF(ISBLANK(I685),0,IF(I685&lt;40,2,IF(I685&lt;55,1,0)))+IF(ISBLANK(M685),0,IF(M685=1,3,0))+IF(ISBLANK(L685),0,IF(L685&gt;=2,1,0))+IF(ISBLANK(E685),0,IF(E685&lt;12,1,0))</f>
        <v>6</v>
      </c>
      <c r="U685" s="0" t="str">
        <f aca="false">IF((ISBLANK(B685)*1+ISBLANK(C685)*1+ISBLANK(D685)*1+ISBLANK(E685)*1+ISBLANK(F685)*1+ISBLANK(I685)*1+ISBLANK(J685)*1+ISBLANK(K685)*1+ISBLANK(L685)*1+ISBLANK(M685)*1+ISBLANK(N685)*1+ISBLANK(O685)*1)&gt;0,"Missing Data","OK")</f>
        <v>OK</v>
      </c>
      <c r="V685" s="0" t="str">
        <f aca="false">IF(T685&gt;=6,"High Risk",IF(T685&gt;=3,"Medium Risk","Low Risk"))</f>
        <v>High Risk</v>
      </c>
    </row>
    <row r="686" customFormat="false" ht="12.8" hidden="false" customHeight="false" outlineLevel="0" collapsed="false">
      <c r="A686" s="1" t="s">
        <v>716</v>
      </c>
      <c r="B686" s="1" t="s">
        <v>36</v>
      </c>
      <c r="C686" s="1" t="s">
        <v>51</v>
      </c>
      <c r="D686" s="1" t="n">
        <v>9.02</v>
      </c>
      <c r="E686" s="1" t="n">
        <v>1</v>
      </c>
      <c r="F686" s="4" t="n">
        <v>44752</v>
      </c>
      <c r="G686" s="1" t="s">
        <v>25</v>
      </c>
      <c r="H686" s="1" t="n">
        <v>1</v>
      </c>
      <c r="I686" s="1" t="n">
        <v>42.4</v>
      </c>
      <c r="J686" s="1" t="n">
        <v>13</v>
      </c>
      <c r="K686" s="1" t="n">
        <v>4</v>
      </c>
      <c r="L686" s="1" t="n">
        <v>1</v>
      </c>
      <c r="M686" s="1" t="n">
        <v>1</v>
      </c>
      <c r="N686" s="1" t="n">
        <v>9.02</v>
      </c>
      <c r="O686" s="1" t="n">
        <v>0</v>
      </c>
      <c r="Q686" s="4" t="n">
        <v>44782</v>
      </c>
      <c r="R686" s="0" t="n">
        <f aca="false">IF(ISBLANK(F686),"Missing",IFERROR(YEAR(F686),"Missing"))</f>
        <v>2022</v>
      </c>
      <c r="S686" s="0" t="str">
        <f aca="false">IF(ISBLANK(E686),"Missing",IF(E686&lt;6,"0-6mo",IF(E686&lt;12,"6-12mo",IF(E686&lt;24,"12-24mo","24mo+"))))</f>
        <v>0-6mo</v>
      </c>
      <c r="T686" s="0" t="n">
        <f aca="false">IF(ISBLANK(C686),0,IF(C686="Month-to-month",2,IF(C686="One year",1,0)))+IF(ISBLANK(I686),0,IF(I686&lt;40,2,IF(I686&lt;55,1,0)))+IF(ISBLANK(M686),0,IF(M686=1,3,0))+IF(ISBLANK(L686),0,IF(L686&gt;=2,1,0))+IF(ISBLANK(E686),0,IF(E686&lt;12,1,0))</f>
        <v>5</v>
      </c>
      <c r="U686" s="0" t="str">
        <f aca="false">IF((ISBLANK(B686)*1+ISBLANK(C686)*1+ISBLANK(D686)*1+ISBLANK(E686)*1+ISBLANK(F686)*1+ISBLANK(I686)*1+ISBLANK(J686)*1+ISBLANK(K686)*1+ISBLANK(L686)*1+ISBLANK(M686)*1+ISBLANK(N686)*1+ISBLANK(O686)*1)&gt;0,"Missing Data","OK")</f>
        <v>OK</v>
      </c>
      <c r="V686" s="0" t="str">
        <f aca="false">IF(T686&gt;=6,"High Risk",IF(T686&gt;=3,"Medium Risk","Low Risk"))</f>
        <v>Medium Risk</v>
      </c>
    </row>
    <row r="687" customFormat="false" ht="12.8" hidden="false" customHeight="false" outlineLevel="0" collapsed="false">
      <c r="A687" s="1" t="s">
        <v>717</v>
      </c>
      <c r="B687" s="1" t="s">
        <v>36</v>
      </c>
      <c r="C687" s="1" t="s">
        <v>24</v>
      </c>
      <c r="D687" s="1" t="n">
        <v>9.64</v>
      </c>
      <c r="E687" s="1" t="n">
        <v>11</v>
      </c>
      <c r="F687" s="4" t="n">
        <v>44752</v>
      </c>
      <c r="G687" s="1" t="s">
        <v>27</v>
      </c>
      <c r="H687" s="1" t="n">
        <v>1</v>
      </c>
      <c r="I687" s="1" t="n">
        <v>82.5</v>
      </c>
      <c r="J687" s="1" t="n">
        <v>23</v>
      </c>
      <c r="K687" s="1" t="n">
        <v>7</v>
      </c>
      <c r="L687" s="1" t="n">
        <v>1</v>
      </c>
      <c r="M687" s="1" t="n">
        <v>0</v>
      </c>
      <c r="N687" s="1" t="n">
        <v>106.04</v>
      </c>
      <c r="O687" s="1" t="n">
        <v>1</v>
      </c>
      <c r="P687" s="4" t="n">
        <v>45086</v>
      </c>
      <c r="Q687" s="4" t="n">
        <v>45086</v>
      </c>
      <c r="R687" s="0" t="n">
        <f aca="false">IF(ISBLANK(F687),"Missing",IFERROR(YEAR(F687),"Missing"))</f>
        <v>2022</v>
      </c>
      <c r="S687" s="0" t="str">
        <f aca="false">IF(ISBLANK(E687),"Missing",IF(E687&lt;6,"0-6mo",IF(E687&lt;12,"6-12mo",IF(E687&lt;24,"12-24mo","24mo+"))))</f>
        <v>6-12mo</v>
      </c>
      <c r="T687" s="0" t="n">
        <f aca="false">IF(ISBLANK(C687),0,IF(C687="Month-to-month",2,IF(C687="One year",1,0)))+IF(ISBLANK(I687),0,IF(I687&lt;40,2,IF(I687&lt;55,1,0)))+IF(ISBLANK(M687),0,IF(M687=1,3,0))+IF(ISBLANK(L687),0,IF(L687&gt;=2,1,0))+IF(ISBLANK(E687),0,IF(E687&lt;12,1,0))</f>
        <v>3</v>
      </c>
      <c r="U687" s="0" t="str">
        <f aca="false">IF((ISBLANK(B687)*1+ISBLANK(C687)*1+ISBLANK(D687)*1+ISBLANK(E687)*1+ISBLANK(F687)*1+ISBLANK(I687)*1+ISBLANK(J687)*1+ISBLANK(K687)*1+ISBLANK(L687)*1+ISBLANK(M687)*1+ISBLANK(N687)*1+ISBLANK(O687)*1)&gt;0,"Missing Data","OK")</f>
        <v>OK</v>
      </c>
      <c r="V687" s="0" t="str">
        <f aca="false">IF(T687&gt;=6,"High Risk",IF(T687&gt;=3,"Medium Risk","Low Risk"))</f>
        <v>Medium Risk</v>
      </c>
    </row>
    <row r="688" customFormat="false" ht="12.8" hidden="false" customHeight="false" outlineLevel="0" collapsed="false">
      <c r="A688" s="1" t="s">
        <v>718</v>
      </c>
      <c r="B688" s="1" t="s">
        <v>36</v>
      </c>
      <c r="C688" s="1" t="s">
        <v>34</v>
      </c>
      <c r="D688" s="1" t="n">
        <v>10.67</v>
      </c>
      <c r="E688" s="1" t="n">
        <v>71</v>
      </c>
      <c r="F688" s="4" t="n">
        <v>44754</v>
      </c>
      <c r="G688" s="1" t="s">
        <v>25</v>
      </c>
      <c r="H688" s="1" t="n">
        <v>1</v>
      </c>
      <c r="I688" s="1" t="n">
        <v>36.4</v>
      </c>
      <c r="J688" s="1" t="n">
        <v>10</v>
      </c>
      <c r="K688" s="1" t="n">
        <v>5</v>
      </c>
      <c r="L688" s="1" t="n">
        <v>1</v>
      </c>
      <c r="M688" s="1" t="n">
        <v>0</v>
      </c>
      <c r="N688" s="1" t="n">
        <v>757.57</v>
      </c>
      <c r="O688" s="1" t="n">
        <v>0</v>
      </c>
      <c r="Q688" s="4" t="n">
        <v>46293</v>
      </c>
      <c r="R688" s="0" t="n">
        <f aca="false">IF(ISBLANK(F688),"Missing",IFERROR(YEAR(F688),"Missing"))</f>
        <v>2022</v>
      </c>
      <c r="S688" s="0" t="str">
        <f aca="false">IF(ISBLANK(E688),"Missing",IF(E688&lt;6,"0-6mo",IF(E688&lt;12,"6-12mo",IF(E688&lt;24,"12-24mo","24mo+"))))</f>
        <v>24mo+</v>
      </c>
      <c r="T688" s="0" t="n">
        <f aca="false">IF(ISBLANK(C688),0,IF(C688="Month-to-month",2,IF(C688="One year",1,0)))+IF(ISBLANK(I688),0,IF(I688&lt;40,2,IF(I688&lt;55,1,0)))+IF(ISBLANK(M688),0,IF(M688=1,3,0))+IF(ISBLANK(L688),0,IF(L688&gt;=2,1,0))+IF(ISBLANK(E688),0,IF(E688&lt;12,1,0))</f>
        <v>3</v>
      </c>
      <c r="U688" s="0" t="str">
        <f aca="false">IF((ISBLANK(B688)*1+ISBLANK(C688)*1+ISBLANK(D688)*1+ISBLANK(E688)*1+ISBLANK(F688)*1+ISBLANK(I688)*1+ISBLANK(J688)*1+ISBLANK(K688)*1+ISBLANK(L688)*1+ISBLANK(M688)*1+ISBLANK(N688)*1+ISBLANK(O688)*1)&gt;0,"Missing Data","OK")</f>
        <v>OK</v>
      </c>
      <c r="V688" s="0" t="str">
        <f aca="false">IF(T688&gt;=6,"High Risk",IF(T688&gt;=3,"Medium Risk","Low Risk"))</f>
        <v>Medium Risk</v>
      </c>
    </row>
    <row r="689" customFormat="false" ht="12.8" hidden="false" customHeight="false" outlineLevel="0" collapsed="false">
      <c r="A689" s="1" t="s">
        <v>719</v>
      </c>
      <c r="B689" s="1" t="s">
        <v>23</v>
      </c>
      <c r="C689" s="1" t="s">
        <v>51</v>
      </c>
      <c r="D689" s="1" t="n">
        <v>20.41</v>
      </c>
      <c r="E689" s="1" t="n">
        <v>72</v>
      </c>
      <c r="F689" s="4" t="n">
        <v>44755</v>
      </c>
      <c r="G689" s="1" t="s">
        <v>25</v>
      </c>
      <c r="H689" s="1" t="n">
        <v>0</v>
      </c>
      <c r="I689" s="1" t="n">
        <v>32.4</v>
      </c>
      <c r="J689" s="1" t="n">
        <v>6</v>
      </c>
      <c r="K689" s="1" t="n">
        <v>3</v>
      </c>
      <c r="L689" s="1" t="n">
        <v>1</v>
      </c>
      <c r="M689" s="1" t="n">
        <v>0</v>
      </c>
      <c r="N689" s="1" t="n">
        <v>1469.52</v>
      </c>
      <c r="O689" s="1" t="n">
        <v>0</v>
      </c>
      <c r="Q689" s="4" t="n">
        <v>46293</v>
      </c>
      <c r="R689" s="0" t="n">
        <f aca="false">IF(ISBLANK(F689),"Missing",IFERROR(YEAR(F689),"Missing"))</f>
        <v>2022</v>
      </c>
      <c r="S689" s="0" t="str">
        <f aca="false">IF(ISBLANK(E689),"Missing",IF(E689&lt;6,"0-6mo",IF(E689&lt;12,"6-12mo",IF(E689&lt;24,"12-24mo","24mo+"))))</f>
        <v>24mo+</v>
      </c>
      <c r="T689" s="0" t="n">
        <f aca="false">IF(ISBLANK(C689),0,IF(C689="Month-to-month",2,IF(C689="One year",1,0)))+IF(ISBLANK(I689),0,IF(I689&lt;40,2,IF(I689&lt;55,1,0)))+IF(ISBLANK(M689),0,IF(M689=1,3,0))+IF(ISBLANK(L689),0,IF(L689&gt;=2,1,0))+IF(ISBLANK(E689),0,IF(E689&lt;12,1,0))</f>
        <v>2</v>
      </c>
      <c r="U689" s="0" t="str">
        <f aca="false">IF((ISBLANK(B689)*1+ISBLANK(C689)*1+ISBLANK(D689)*1+ISBLANK(E689)*1+ISBLANK(F689)*1+ISBLANK(I689)*1+ISBLANK(J689)*1+ISBLANK(K689)*1+ISBLANK(L689)*1+ISBLANK(M689)*1+ISBLANK(N689)*1+ISBLANK(O689)*1)&gt;0,"Missing Data","OK")</f>
        <v>OK</v>
      </c>
      <c r="V689" s="0" t="str">
        <f aca="false">IF(T689&gt;=6,"High Risk",IF(T689&gt;=3,"Medium Risk","Low Risk"))</f>
        <v>Low Risk</v>
      </c>
    </row>
    <row r="690" customFormat="false" ht="12.8" hidden="false" customHeight="false" outlineLevel="0" collapsed="false">
      <c r="A690" s="1" t="s">
        <v>720</v>
      </c>
      <c r="B690" s="1" t="s">
        <v>29</v>
      </c>
      <c r="C690" s="1" t="s">
        <v>51</v>
      </c>
      <c r="D690" s="1" t="n">
        <v>41.43</v>
      </c>
      <c r="E690" s="1" t="n">
        <v>1</v>
      </c>
      <c r="F690" s="4" t="n">
        <v>44759</v>
      </c>
      <c r="G690" s="1" t="s">
        <v>25</v>
      </c>
      <c r="H690" s="1" t="n">
        <v>1</v>
      </c>
      <c r="I690" s="1" t="n">
        <v>46.2</v>
      </c>
      <c r="J690" s="1" t="n">
        <v>9</v>
      </c>
      <c r="K690" s="1" t="n">
        <v>6</v>
      </c>
      <c r="L690" s="1" t="n">
        <v>0</v>
      </c>
      <c r="M690" s="1" t="n">
        <v>0</v>
      </c>
      <c r="N690" s="1" t="n">
        <v>41.43</v>
      </c>
      <c r="O690" s="1" t="n">
        <v>0</v>
      </c>
      <c r="Q690" s="4" t="n">
        <v>44789</v>
      </c>
      <c r="R690" s="0" t="n">
        <f aca="false">IF(ISBLANK(F690),"Missing",IFERROR(YEAR(F690),"Missing"))</f>
        <v>2022</v>
      </c>
      <c r="S690" s="0" t="str">
        <f aca="false">IF(ISBLANK(E690),"Missing",IF(E690&lt;6,"0-6mo",IF(E690&lt;12,"6-12mo",IF(E690&lt;24,"12-24mo","24mo+"))))</f>
        <v>0-6mo</v>
      </c>
      <c r="T690" s="0" t="n">
        <f aca="false">IF(ISBLANK(C690),0,IF(C690="Month-to-month",2,IF(C690="One year",1,0)))+IF(ISBLANK(I690),0,IF(I690&lt;40,2,IF(I690&lt;55,1,0)))+IF(ISBLANK(M690),0,IF(M690=1,3,0))+IF(ISBLANK(L690),0,IF(L690&gt;=2,1,0))+IF(ISBLANK(E690),0,IF(E690&lt;12,1,0))</f>
        <v>2</v>
      </c>
      <c r="U690" s="0" t="str">
        <f aca="false">IF((ISBLANK(B690)*1+ISBLANK(C690)*1+ISBLANK(D690)*1+ISBLANK(E690)*1+ISBLANK(F690)*1+ISBLANK(I690)*1+ISBLANK(J690)*1+ISBLANK(K690)*1+ISBLANK(L690)*1+ISBLANK(M690)*1+ISBLANK(N690)*1+ISBLANK(O690)*1)&gt;0,"Missing Data","OK")</f>
        <v>OK</v>
      </c>
      <c r="V690" s="0" t="str">
        <f aca="false">IF(T690&gt;=6,"High Risk",IF(T690&gt;=3,"Medium Risk","Low Risk"))</f>
        <v>Low Risk</v>
      </c>
    </row>
    <row r="691" customFormat="false" ht="12.8" hidden="false" customHeight="false" outlineLevel="0" collapsed="false">
      <c r="A691" s="1" t="s">
        <v>721</v>
      </c>
      <c r="B691" s="1" t="s">
        <v>36</v>
      </c>
      <c r="C691" s="1" t="s">
        <v>24</v>
      </c>
      <c r="D691" s="1" t="n">
        <v>10.43</v>
      </c>
      <c r="E691" s="1" t="n">
        <v>37</v>
      </c>
      <c r="F691" s="4" t="n">
        <v>44760</v>
      </c>
      <c r="G691" s="1" t="s">
        <v>30</v>
      </c>
      <c r="H691" s="1" t="n">
        <v>1</v>
      </c>
      <c r="I691" s="1" t="n">
        <v>83.5</v>
      </c>
      <c r="J691" s="1" t="n">
        <v>29</v>
      </c>
      <c r="K691" s="1" t="n">
        <v>10</v>
      </c>
      <c r="L691" s="1" t="n">
        <v>0</v>
      </c>
      <c r="M691" s="1" t="n">
        <v>0</v>
      </c>
      <c r="N691" s="1" t="n">
        <v>385.91</v>
      </c>
      <c r="O691" s="1" t="n">
        <v>0</v>
      </c>
      <c r="Q691" s="4" t="n">
        <v>45886</v>
      </c>
      <c r="R691" s="0" t="n">
        <f aca="false">IF(ISBLANK(F691),"Missing",IFERROR(YEAR(F691),"Missing"))</f>
        <v>2022</v>
      </c>
      <c r="S691" s="0" t="str">
        <f aca="false">IF(ISBLANK(E691),"Missing",IF(E691&lt;6,"0-6mo",IF(E691&lt;12,"6-12mo",IF(E691&lt;24,"12-24mo","24mo+"))))</f>
        <v>24mo+</v>
      </c>
      <c r="T691" s="0" t="n">
        <f aca="false">IF(ISBLANK(C691),0,IF(C691="Month-to-month",2,IF(C691="One year",1,0)))+IF(ISBLANK(I691),0,IF(I691&lt;40,2,IF(I691&lt;55,1,0)))+IF(ISBLANK(M691),0,IF(M691=1,3,0))+IF(ISBLANK(L691),0,IF(L691&gt;=2,1,0))+IF(ISBLANK(E691),0,IF(E691&lt;12,1,0))</f>
        <v>2</v>
      </c>
      <c r="U691" s="0" t="str">
        <f aca="false">IF((ISBLANK(B691)*1+ISBLANK(C691)*1+ISBLANK(D691)*1+ISBLANK(E691)*1+ISBLANK(F691)*1+ISBLANK(I691)*1+ISBLANK(J691)*1+ISBLANK(K691)*1+ISBLANK(L691)*1+ISBLANK(M691)*1+ISBLANK(N691)*1+ISBLANK(O691)*1)&gt;0,"Missing Data","OK")</f>
        <v>OK</v>
      </c>
      <c r="V691" s="0" t="str">
        <f aca="false">IF(T691&gt;=6,"High Risk",IF(T691&gt;=3,"Medium Risk","Low Risk"))</f>
        <v>Low Risk</v>
      </c>
    </row>
    <row r="692" customFormat="false" ht="12.8" hidden="false" customHeight="false" outlineLevel="0" collapsed="false">
      <c r="A692" s="1" t="s">
        <v>722</v>
      </c>
      <c r="B692" s="1" t="s">
        <v>36</v>
      </c>
      <c r="C692" s="1" t="s">
        <v>24</v>
      </c>
      <c r="D692" s="1" t="n">
        <v>9.98</v>
      </c>
      <c r="E692" s="1" t="n">
        <v>14</v>
      </c>
      <c r="F692" s="4" t="n">
        <v>44761</v>
      </c>
      <c r="G692" s="1" t="s">
        <v>39</v>
      </c>
      <c r="H692" s="1" t="n">
        <v>0</v>
      </c>
      <c r="I692" s="1" t="n">
        <v>33.5</v>
      </c>
      <c r="J692" s="1" t="n">
        <v>8</v>
      </c>
      <c r="K692" s="1" t="n">
        <v>4</v>
      </c>
      <c r="L692" s="1" t="n">
        <v>0</v>
      </c>
      <c r="M692" s="1" t="n">
        <v>0</v>
      </c>
      <c r="N692" s="1" t="n">
        <v>139.72</v>
      </c>
      <c r="O692" s="1" t="n">
        <v>1</v>
      </c>
      <c r="P692" s="4" t="n">
        <v>45187</v>
      </c>
      <c r="Q692" s="4" t="n">
        <v>45187</v>
      </c>
      <c r="R692" s="0" t="n">
        <f aca="false">IF(ISBLANK(F692),"Missing",IFERROR(YEAR(F692),"Missing"))</f>
        <v>2022</v>
      </c>
      <c r="S692" s="0" t="str">
        <f aca="false">IF(ISBLANK(E692),"Missing",IF(E692&lt;6,"0-6mo",IF(E692&lt;12,"6-12mo",IF(E692&lt;24,"12-24mo","24mo+"))))</f>
        <v>12-24mo</v>
      </c>
      <c r="T692" s="0" t="n">
        <f aca="false">IF(ISBLANK(C692),0,IF(C692="Month-to-month",2,IF(C692="One year",1,0)))+IF(ISBLANK(I692),0,IF(I692&lt;40,2,IF(I692&lt;55,1,0)))+IF(ISBLANK(M692),0,IF(M692=1,3,0))+IF(ISBLANK(L692),0,IF(L692&gt;=2,1,0))+IF(ISBLANK(E692),0,IF(E692&lt;12,1,0))</f>
        <v>4</v>
      </c>
      <c r="U692" s="0" t="str">
        <f aca="false">IF((ISBLANK(B692)*1+ISBLANK(C692)*1+ISBLANK(D692)*1+ISBLANK(E692)*1+ISBLANK(F692)*1+ISBLANK(I692)*1+ISBLANK(J692)*1+ISBLANK(K692)*1+ISBLANK(L692)*1+ISBLANK(M692)*1+ISBLANK(N692)*1+ISBLANK(O692)*1)&gt;0,"Missing Data","OK")</f>
        <v>OK</v>
      </c>
      <c r="V692" s="0" t="str">
        <f aca="false">IF(T692&gt;=6,"High Risk",IF(T692&gt;=3,"Medium Risk","Low Risk"))</f>
        <v>Medium Risk</v>
      </c>
    </row>
    <row r="693" customFormat="false" ht="12.8" hidden="false" customHeight="false" outlineLevel="0" collapsed="false">
      <c r="A693" s="1" t="s">
        <v>723</v>
      </c>
      <c r="B693" s="1" t="s">
        <v>36</v>
      </c>
      <c r="C693" s="1" t="s">
        <v>24</v>
      </c>
      <c r="D693" s="1" t="n">
        <v>8.74</v>
      </c>
      <c r="E693" s="1" t="n">
        <v>31</v>
      </c>
      <c r="F693" s="4" t="n">
        <v>44761</v>
      </c>
      <c r="G693" s="1" t="s">
        <v>39</v>
      </c>
      <c r="H693" s="1" t="n">
        <v>1</v>
      </c>
      <c r="I693" s="1" t="n">
        <v>43.8</v>
      </c>
      <c r="J693" s="1" t="n">
        <v>9</v>
      </c>
      <c r="K693" s="1" t="n">
        <v>5</v>
      </c>
      <c r="L693" s="1" t="n">
        <v>1</v>
      </c>
      <c r="M693" s="1" t="n">
        <v>0</v>
      </c>
      <c r="N693" s="1" t="n">
        <v>270.94</v>
      </c>
      <c r="O693" s="1" t="n">
        <v>1</v>
      </c>
      <c r="P693" s="4" t="n">
        <v>45704</v>
      </c>
      <c r="Q693" s="4" t="n">
        <v>45704</v>
      </c>
      <c r="R693" s="0" t="n">
        <f aca="false">IF(ISBLANK(F693),"Missing",IFERROR(YEAR(F693),"Missing"))</f>
        <v>2022</v>
      </c>
      <c r="S693" s="0" t="str">
        <f aca="false">IF(ISBLANK(E693),"Missing",IF(E693&lt;6,"0-6mo",IF(E693&lt;12,"6-12mo",IF(E693&lt;24,"12-24mo","24mo+"))))</f>
        <v>24mo+</v>
      </c>
      <c r="T693" s="0" t="n">
        <f aca="false">IF(ISBLANK(C693),0,IF(C693="Month-to-month",2,IF(C693="One year",1,0)))+IF(ISBLANK(I693),0,IF(I693&lt;40,2,IF(I693&lt;55,1,0)))+IF(ISBLANK(M693),0,IF(M693=1,3,0))+IF(ISBLANK(L693),0,IF(L693&gt;=2,1,0))+IF(ISBLANK(E693),0,IF(E693&lt;12,1,0))</f>
        <v>3</v>
      </c>
      <c r="U693" s="0" t="str">
        <f aca="false">IF((ISBLANK(B693)*1+ISBLANK(C693)*1+ISBLANK(D693)*1+ISBLANK(E693)*1+ISBLANK(F693)*1+ISBLANK(I693)*1+ISBLANK(J693)*1+ISBLANK(K693)*1+ISBLANK(L693)*1+ISBLANK(M693)*1+ISBLANK(N693)*1+ISBLANK(O693)*1)&gt;0,"Missing Data","OK")</f>
        <v>OK</v>
      </c>
      <c r="V693" s="0" t="str">
        <f aca="false">IF(T693&gt;=6,"High Risk",IF(T693&gt;=3,"Medium Risk","Low Risk"))</f>
        <v>Medium Risk</v>
      </c>
    </row>
    <row r="694" customFormat="false" ht="12.8" hidden="false" customHeight="false" outlineLevel="0" collapsed="false">
      <c r="A694" s="1" t="s">
        <v>724</v>
      </c>
      <c r="B694" s="1" t="s">
        <v>36</v>
      </c>
      <c r="C694" s="1" t="s">
        <v>24</v>
      </c>
      <c r="D694" s="1" t="n">
        <v>11.7</v>
      </c>
      <c r="E694" s="1" t="n">
        <v>4</v>
      </c>
      <c r="F694" s="4" t="n">
        <v>44763</v>
      </c>
      <c r="G694" s="1" t="s">
        <v>30</v>
      </c>
      <c r="H694" s="1" t="n">
        <v>1</v>
      </c>
      <c r="I694" s="1" t="n">
        <v>51.7</v>
      </c>
      <c r="J694" s="1" t="n">
        <v>20</v>
      </c>
      <c r="K694" s="1" t="n">
        <v>6</v>
      </c>
      <c r="L694" s="1" t="n">
        <v>1</v>
      </c>
      <c r="M694" s="1" t="n">
        <v>0</v>
      </c>
      <c r="N694" s="1" t="n">
        <v>46.8</v>
      </c>
      <c r="O694" s="1" t="n">
        <v>0</v>
      </c>
      <c r="Q694" s="4" t="n">
        <v>44884</v>
      </c>
      <c r="R694" s="0" t="n">
        <f aca="false">IF(ISBLANK(F694),"Missing",IFERROR(YEAR(F694),"Missing"))</f>
        <v>2022</v>
      </c>
      <c r="S694" s="0" t="str">
        <f aca="false">IF(ISBLANK(E694),"Missing",IF(E694&lt;6,"0-6mo",IF(E694&lt;12,"6-12mo",IF(E694&lt;24,"12-24mo","24mo+"))))</f>
        <v>0-6mo</v>
      </c>
      <c r="T694" s="0" t="n">
        <f aca="false">IF(ISBLANK(C694),0,IF(C694="Month-to-month",2,IF(C694="One year",1,0)))+IF(ISBLANK(I694),0,IF(I694&lt;40,2,IF(I694&lt;55,1,0)))+IF(ISBLANK(M694),0,IF(M694=1,3,0))+IF(ISBLANK(L694),0,IF(L694&gt;=2,1,0))+IF(ISBLANK(E694),0,IF(E694&lt;12,1,0))</f>
        <v>4</v>
      </c>
      <c r="U694" s="0" t="str">
        <f aca="false">IF((ISBLANK(B694)*1+ISBLANK(C694)*1+ISBLANK(D694)*1+ISBLANK(E694)*1+ISBLANK(F694)*1+ISBLANK(I694)*1+ISBLANK(J694)*1+ISBLANK(K694)*1+ISBLANK(L694)*1+ISBLANK(M694)*1+ISBLANK(N694)*1+ISBLANK(O694)*1)&gt;0,"Missing Data","OK")</f>
        <v>OK</v>
      </c>
      <c r="V694" s="0" t="str">
        <f aca="false">IF(T694&gt;=6,"High Risk",IF(T694&gt;=3,"Medium Risk","Low Risk"))</f>
        <v>Medium Risk</v>
      </c>
    </row>
    <row r="695" customFormat="false" ht="12.8" hidden="false" customHeight="false" outlineLevel="0" collapsed="false">
      <c r="A695" s="1" t="s">
        <v>725</v>
      </c>
      <c r="B695" s="1" t="s">
        <v>23</v>
      </c>
      <c r="C695" s="1" t="s">
        <v>34</v>
      </c>
      <c r="D695" s="1" t="n">
        <v>20.34</v>
      </c>
      <c r="E695" s="1" t="n">
        <v>7</v>
      </c>
      <c r="F695" s="4" t="n">
        <v>44764</v>
      </c>
      <c r="G695" s="1" t="s">
        <v>25</v>
      </c>
      <c r="H695" s="1" t="n">
        <v>1</v>
      </c>
      <c r="I695" s="1" t="n">
        <v>87.1</v>
      </c>
      <c r="J695" s="1" t="n">
        <v>31</v>
      </c>
      <c r="K695" s="1" t="n">
        <v>6</v>
      </c>
      <c r="L695" s="1" t="n">
        <v>3</v>
      </c>
      <c r="M695" s="1" t="n">
        <v>0</v>
      </c>
      <c r="N695" s="1" t="n">
        <v>142.38</v>
      </c>
      <c r="O695" s="1" t="n">
        <v>0</v>
      </c>
      <c r="Q695" s="4" t="n">
        <v>44977</v>
      </c>
      <c r="R695" s="0" t="n">
        <f aca="false">IF(ISBLANK(F695),"Missing",IFERROR(YEAR(F695),"Missing"))</f>
        <v>2022</v>
      </c>
      <c r="S695" s="0" t="str">
        <f aca="false">IF(ISBLANK(E695),"Missing",IF(E695&lt;6,"0-6mo",IF(E695&lt;12,"6-12mo",IF(E695&lt;24,"12-24mo","24mo+"))))</f>
        <v>6-12mo</v>
      </c>
      <c r="T695" s="0" t="n">
        <f aca="false">IF(ISBLANK(C695),0,IF(C695="Month-to-month",2,IF(C695="One year",1,0)))+IF(ISBLANK(I695),0,IF(I695&lt;40,2,IF(I695&lt;55,1,0)))+IF(ISBLANK(M695),0,IF(M695=1,3,0))+IF(ISBLANK(L695),0,IF(L695&gt;=2,1,0))+IF(ISBLANK(E695),0,IF(E695&lt;12,1,0))</f>
        <v>3</v>
      </c>
      <c r="U695" s="0" t="str">
        <f aca="false">IF((ISBLANK(B695)*1+ISBLANK(C695)*1+ISBLANK(D695)*1+ISBLANK(E695)*1+ISBLANK(F695)*1+ISBLANK(I695)*1+ISBLANK(J695)*1+ISBLANK(K695)*1+ISBLANK(L695)*1+ISBLANK(M695)*1+ISBLANK(N695)*1+ISBLANK(O695)*1)&gt;0,"Missing Data","OK")</f>
        <v>OK</v>
      </c>
      <c r="V695" s="0" t="str">
        <f aca="false">IF(T695&gt;=6,"High Risk",IF(T695&gt;=3,"Medium Risk","Low Risk"))</f>
        <v>Medium Risk</v>
      </c>
    </row>
    <row r="696" customFormat="false" ht="12.8" hidden="false" customHeight="false" outlineLevel="0" collapsed="false">
      <c r="A696" s="1" t="s">
        <v>726</v>
      </c>
      <c r="B696" s="1" t="s">
        <v>23</v>
      </c>
      <c r="C696" s="1" t="s">
        <v>24</v>
      </c>
      <c r="D696" s="1" t="n">
        <v>20.66</v>
      </c>
      <c r="E696" s="1" t="n">
        <v>21</v>
      </c>
      <c r="F696" s="4" t="n">
        <v>44764</v>
      </c>
      <c r="G696" s="1" t="s">
        <v>39</v>
      </c>
      <c r="H696" s="1" t="n">
        <v>0</v>
      </c>
      <c r="I696" s="1" t="n">
        <v>57.2</v>
      </c>
      <c r="J696" s="1" t="n">
        <v>20</v>
      </c>
      <c r="K696" s="1" t="n">
        <v>5</v>
      </c>
      <c r="L696" s="1" t="n">
        <v>1</v>
      </c>
      <c r="M696" s="1" t="n">
        <v>0</v>
      </c>
      <c r="N696" s="1" t="n">
        <v>433.86</v>
      </c>
      <c r="O696" s="1" t="n">
        <v>0</v>
      </c>
      <c r="Q696" s="4" t="n">
        <v>45403</v>
      </c>
      <c r="R696" s="0" t="n">
        <f aca="false">IF(ISBLANK(F696),"Missing",IFERROR(YEAR(F696),"Missing"))</f>
        <v>2022</v>
      </c>
      <c r="S696" s="0" t="str">
        <f aca="false">IF(ISBLANK(E696),"Missing",IF(E696&lt;6,"0-6mo",IF(E696&lt;12,"6-12mo",IF(E696&lt;24,"12-24mo","24mo+"))))</f>
        <v>12-24mo</v>
      </c>
      <c r="T696" s="0" t="n">
        <f aca="false">IF(ISBLANK(C696),0,IF(C696="Month-to-month",2,IF(C696="One year",1,0)))+IF(ISBLANK(I696),0,IF(I696&lt;40,2,IF(I696&lt;55,1,0)))+IF(ISBLANK(M696),0,IF(M696=1,3,0))+IF(ISBLANK(L696),0,IF(L696&gt;=2,1,0))+IF(ISBLANK(E696),0,IF(E696&lt;12,1,0))</f>
        <v>2</v>
      </c>
      <c r="U696" s="0" t="str">
        <f aca="false">IF((ISBLANK(B696)*1+ISBLANK(C696)*1+ISBLANK(D696)*1+ISBLANK(E696)*1+ISBLANK(F696)*1+ISBLANK(I696)*1+ISBLANK(J696)*1+ISBLANK(K696)*1+ISBLANK(L696)*1+ISBLANK(M696)*1+ISBLANK(N696)*1+ISBLANK(O696)*1)&gt;0,"Missing Data","OK")</f>
        <v>OK</v>
      </c>
      <c r="V696" s="0" t="str">
        <f aca="false">IF(T696&gt;=6,"High Risk",IF(T696&gt;=3,"Medium Risk","Low Risk"))</f>
        <v>Low Risk</v>
      </c>
    </row>
    <row r="697" customFormat="false" ht="12.8" hidden="false" customHeight="false" outlineLevel="0" collapsed="false">
      <c r="A697" s="1" t="s">
        <v>727</v>
      </c>
      <c r="B697" s="1" t="s">
        <v>29</v>
      </c>
      <c r="C697" s="1" t="s">
        <v>24</v>
      </c>
      <c r="D697" s="1" t="n">
        <v>38.51</v>
      </c>
      <c r="E697" s="1" t="n">
        <v>29</v>
      </c>
      <c r="F697" s="4" t="n">
        <v>44766</v>
      </c>
      <c r="G697" s="1" t="s">
        <v>25</v>
      </c>
      <c r="H697" s="1" t="n">
        <v>0</v>
      </c>
      <c r="I697" s="1" t="n">
        <v>72.6</v>
      </c>
      <c r="J697" s="1" t="n">
        <v>16</v>
      </c>
      <c r="K697" s="1" t="n">
        <v>6</v>
      </c>
      <c r="L697" s="1" t="n">
        <v>0</v>
      </c>
      <c r="M697" s="1" t="n">
        <v>0</v>
      </c>
      <c r="N697" s="1" t="n">
        <v>1116.79</v>
      </c>
      <c r="O697" s="1" t="n">
        <v>0</v>
      </c>
      <c r="Q697" s="4" t="n">
        <v>45648</v>
      </c>
      <c r="R697" s="0" t="n">
        <f aca="false">IF(ISBLANK(F697),"Missing",IFERROR(YEAR(F697),"Missing"))</f>
        <v>2022</v>
      </c>
      <c r="S697" s="0" t="str">
        <f aca="false">IF(ISBLANK(E697),"Missing",IF(E697&lt;6,"0-6mo",IF(E697&lt;12,"6-12mo",IF(E697&lt;24,"12-24mo","24mo+"))))</f>
        <v>24mo+</v>
      </c>
      <c r="T697" s="0" t="n">
        <f aca="false">IF(ISBLANK(C697),0,IF(C697="Month-to-month",2,IF(C697="One year",1,0)))+IF(ISBLANK(I697),0,IF(I697&lt;40,2,IF(I697&lt;55,1,0)))+IF(ISBLANK(M697),0,IF(M697=1,3,0))+IF(ISBLANK(L697),0,IF(L697&gt;=2,1,0))+IF(ISBLANK(E697),0,IF(E697&lt;12,1,0))</f>
        <v>2</v>
      </c>
      <c r="U697" s="0" t="str">
        <f aca="false">IF((ISBLANK(B697)*1+ISBLANK(C697)*1+ISBLANK(D697)*1+ISBLANK(E697)*1+ISBLANK(F697)*1+ISBLANK(I697)*1+ISBLANK(J697)*1+ISBLANK(K697)*1+ISBLANK(L697)*1+ISBLANK(M697)*1+ISBLANK(N697)*1+ISBLANK(O697)*1)&gt;0,"Missing Data","OK")</f>
        <v>OK</v>
      </c>
      <c r="V697" s="0" t="str">
        <f aca="false">IF(T697&gt;=6,"High Risk",IF(T697&gt;=3,"Medium Risk","Low Risk"))</f>
        <v>Low Risk</v>
      </c>
    </row>
    <row r="698" customFormat="false" ht="12.8" hidden="false" customHeight="false" outlineLevel="0" collapsed="false">
      <c r="A698" s="1" t="s">
        <v>728</v>
      </c>
      <c r="B698" s="1" t="s">
        <v>23</v>
      </c>
      <c r="C698" s="1" t="s">
        <v>24</v>
      </c>
      <c r="D698" s="1" t="n">
        <v>20.01</v>
      </c>
      <c r="E698" s="1" t="n">
        <v>12</v>
      </c>
      <c r="F698" s="4" t="n">
        <v>44767</v>
      </c>
      <c r="G698" s="1" t="s">
        <v>25</v>
      </c>
      <c r="H698" s="1" t="n">
        <v>0</v>
      </c>
      <c r="I698" s="1" t="n">
        <v>47.1</v>
      </c>
      <c r="J698" s="1" t="n">
        <v>8</v>
      </c>
      <c r="K698" s="1" t="n">
        <v>4</v>
      </c>
      <c r="L698" s="1" t="n">
        <v>2</v>
      </c>
      <c r="M698" s="1" t="n">
        <v>0</v>
      </c>
      <c r="N698" s="1" t="n">
        <v>240.12</v>
      </c>
      <c r="O698" s="1" t="n">
        <v>1</v>
      </c>
      <c r="P698" s="4" t="n">
        <v>45132</v>
      </c>
      <c r="Q698" s="4" t="n">
        <v>45132</v>
      </c>
      <c r="R698" s="0" t="n">
        <f aca="false">IF(ISBLANK(F698),"Missing",IFERROR(YEAR(F698),"Missing"))</f>
        <v>2022</v>
      </c>
      <c r="S698" s="0" t="str">
        <f aca="false">IF(ISBLANK(E698),"Missing",IF(E698&lt;6,"0-6mo",IF(E698&lt;12,"6-12mo",IF(E698&lt;24,"12-24mo","24mo+"))))</f>
        <v>12-24mo</v>
      </c>
      <c r="T698" s="0" t="n">
        <f aca="false">IF(ISBLANK(C698),0,IF(C698="Month-to-month",2,IF(C698="One year",1,0)))+IF(ISBLANK(I698),0,IF(I698&lt;40,2,IF(I698&lt;55,1,0)))+IF(ISBLANK(M698),0,IF(M698=1,3,0))+IF(ISBLANK(L698),0,IF(L698&gt;=2,1,0))+IF(ISBLANK(E698),0,IF(E698&lt;12,1,0))</f>
        <v>4</v>
      </c>
      <c r="U698" s="0" t="str">
        <f aca="false">IF((ISBLANK(B698)*1+ISBLANK(C698)*1+ISBLANK(D698)*1+ISBLANK(E698)*1+ISBLANK(F698)*1+ISBLANK(I698)*1+ISBLANK(J698)*1+ISBLANK(K698)*1+ISBLANK(L698)*1+ISBLANK(M698)*1+ISBLANK(N698)*1+ISBLANK(O698)*1)&gt;0,"Missing Data","OK")</f>
        <v>OK</v>
      </c>
      <c r="V698" s="0" t="str">
        <f aca="false">IF(T698&gt;=6,"High Risk",IF(T698&gt;=3,"Medium Risk","Low Risk"))</f>
        <v>Medium Risk</v>
      </c>
    </row>
    <row r="699" customFormat="false" ht="12.8" hidden="false" customHeight="false" outlineLevel="0" collapsed="false">
      <c r="A699" s="1" t="s">
        <v>729</v>
      </c>
      <c r="B699" s="1" t="s">
        <v>36</v>
      </c>
      <c r="C699" s="1" t="s">
        <v>34</v>
      </c>
      <c r="D699" s="1" t="n">
        <v>10.13</v>
      </c>
      <c r="E699" s="1" t="n">
        <v>25</v>
      </c>
      <c r="F699" s="4" t="n">
        <v>44768</v>
      </c>
      <c r="G699" s="1" t="s">
        <v>27</v>
      </c>
      <c r="H699" s="1" t="n">
        <v>1</v>
      </c>
      <c r="I699" s="1" t="n">
        <v>52.3</v>
      </c>
      <c r="J699" s="1" t="n">
        <v>19</v>
      </c>
      <c r="K699" s="1" t="n">
        <v>5</v>
      </c>
      <c r="L699" s="1" t="n">
        <v>2</v>
      </c>
      <c r="M699" s="1" t="n">
        <v>0</v>
      </c>
      <c r="N699" s="1" t="n">
        <v>253.25</v>
      </c>
      <c r="O699" s="1" t="n">
        <v>0</v>
      </c>
      <c r="Q699" s="4" t="n">
        <v>45529</v>
      </c>
      <c r="R699" s="0" t="n">
        <f aca="false">IF(ISBLANK(F699),"Missing",IFERROR(YEAR(F699),"Missing"))</f>
        <v>2022</v>
      </c>
      <c r="S699" s="0" t="str">
        <f aca="false">IF(ISBLANK(E699),"Missing",IF(E699&lt;6,"0-6mo",IF(E699&lt;12,"6-12mo",IF(E699&lt;24,"12-24mo","24mo+"))))</f>
        <v>24mo+</v>
      </c>
      <c r="T699" s="0" t="n">
        <f aca="false">IF(ISBLANK(C699),0,IF(C699="Month-to-month",2,IF(C699="One year",1,0)))+IF(ISBLANK(I699),0,IF(I699&lt;40,2,IF(I699&lt;55,1,0)))+IF(ISBLANK(M699),0,IF(M699=1,3,0))+IF(ISBLANK(L699),0,IF(L699&gt;=2,1,0))+IF(ISBLANK(E699),0,IF(E699&lt;12,1,0))</f>
        <v>3</v>
      </c>
      <c r="U699" s="0" t="str">
        <f aca="false">IF((ISBLANK(B699)*1+ISBLANK(C699)*1+ISBLANK(D699)*1+ISBLANK(E699)*1+ISBLANK(F699)*1+ISBLANK(I699)*1+ISBLANK(J699)*1+ISBLANK(K699)*1+ISBLANK(L699)*1+ISBLANK(M699)*1+ISBLANK(N699)*1+ISBLANK(O699)*1)&gt;0,"Missing Data","OK")</f>
        <v>OK</v>
      </c>
      <c r="V699" s="0" t="str">
        <f aca="false">IF(T699&gt;=6,"High Risk",IF(T699&gt;=3,"Medium Risk","Low Risk"))</f>
        <v>Medium Risk</v>
      </c>
    </row>
    <row r="700" customFormat="false" ht="12.8" hidden="false" customHeight="false" outlineLevel="0" collapsed="false">
      <c r="A700" s="1" t="s">
        <v>730</v>
      </c>
      <c r="B700" s="1" t="s">
        <v>36</v>
      </c>
      <c r="C700" s="1" t="s">
        <v>34</v>
      </c>
      <c r="D700" s="1" t="n">
        <v>11.74</v>
      </c>
      <c r="E700" s="1" t="n">
        <v>54</v>
      </c>
      <c r="F700" s="4" t="n">
        <v>44768</v>
      </c>
      <c r="G700" s="1" t="s">
        <v>25</v>
      </c>
      <c r="H700" s="1" t="n">
        <v>1</v>
      </c>
      <c r="I700" s="1" t="n">
        <v>75.1</v>
      </c>
      <c r="J700" s="1" t="n">
        <v>28</v>
      </c>
      <c r="K700" s="1" t="n">
        <v>5</v>
      </c>
      <c r="L700" s="1" t="n">
        <v>2</v>
      </c>
      <c r="M700" s="1" t="n">
        <v>0</v>
      </c>
      <c r="N700" s="1" t="n">
        <v>633.96</v>
      </c>
      <c r="O700" s="1" t="n">
        <v>1</v>
      </c>
      <c r="P700" s="4" t="n">
        <v>46293</v>
      </c>
      <c r="Q700" s="4" t="n">
        <v>46293</v>
      </c>
      <c r="R700" s="0" t="n">
        <f aca="false">IF(ISBLANK(F700),"Missing",IFERROR(YEAR(F700),"Missing"))</f>
        <v>2022</v>
      </c>
      <c r="S700" s="0" t="str">
        <f aca="false">IF(ISBLANK(E700),"Missing",IF(E700&lt;6,"0-6mo",IF(E700&lt;12,"6-12mo",IF(E700&lt;24,"12-24mo","24mo+"))))</f>
        <v>24mo+</v>
      </c>
      <c r="T700" s="0" t="n">
        <f aca="false">IF(ISBLANK(C700),0,IF(C700="Month-to-month",2,IF(C700="One year",1,0)))+IF(ISBLANK(I700),0,IF(I700&lt;40,2,IF(I700&lt;55,1,0)))+IF(ISBLANK(M700),0,IF(M700=1,3,0))+IF(ISBLANK(L700),0,IF(L700&gt;=2,1,0))+IF(ISBLANK(E700),0,IF(E700&lt;12,1,0))</f>
        <v>2</v>
      </c>
      <c r="U700" s="0" t="str">
        <f aca="false">IF((ISBLANK(B700)*1+ISBLANK(C700)*1+ISBLANK(D700)*1+ISBLANK(E700)*1+ISBLANK(F700)*1+ISBLANK(I700)*1+ISBLANK(J700)*1+ISBLANK(K700)*1+ISBLANK(L700)*1+ISBLANK(M700)*1+ISBLANK(N700)*1+ISBLANK(O700)*1)&gt;0,"Missing Data","OK")</f>
        <v>OK</v>
      </c>
      <c r="V700" s="0" t="str">
        <f aca="false">IF(T700&gt;=6,"High Risk",IF(T700&gt;=3,"Medium Risk","Low Risk"))</f>
        <v>Low Risk</v>
      </c>
    </row>
    <row r="701" customFormat="false" ht="12.8" hidden="false" customHeight="false" outlineLevel="0" collapsed="false">
      <c r="A701" s="1" t="s">
        <v>731</v>
      </c>
      <c r="B701" s="1" t="s">
        <v>29</v>
      </c>
      <c r="C701" s="1" t="s">
        <v>24</v>
      </c>
      <c r="D701" s="1" t="n">
        <v>39.69</v>
      </c>
      <c r="E701" s="1" t="n">
        <v>2</v>
      </c>
      <c r="F701" s="4" t="n">
        <v>44768</v>
      </c>
      <c r="G701" s="1" t="s">
        <v>25</v>
      </c>
      <c r="H701" s="1" t="n">
        <v>1</v>
      </c>
      <c r="I701" s="1" t="n">
        <v>27</v>
      </c>
      <c r="J701" s="1" t="n">
        <v>14</v>
      </c>
      <c r="K701" s="1" t="n">
        <v>3</v>
      </c>
      <c r="L701" s="1" t="n">
        <v>5</v>
      </c>
      <c r="M701" s="1" t="n">
        <v>1</v>
      </c>
      <c r="N701" s="1" t="n">
        <v>79.38</v>
      </c>
      <c r="O701" s="1" t="n">
        <v>0</v>
      </c>
      <c r="Q701" s="4" t="n">
        <v>44828</v>
      </c>
      <c r="R701" s="0" t="n">
        <f aca="false">IF(ISBLANK(F701),"Missing",IFERROR(YEAR(F701),"Missing"))</f>
        <v>2022</v>
      </c>
      <c r="S701" s="0" t="str">
        <f aca="false">IF(ISBLANK(E701),"Missing",IF(E701&lt;6,"0-6mo",IF(E701&lt;12,"6-12mo",IF(E701&lt;24,"12-24mo","24mo+"))))</f>
        <v>0-6mo</v>
      </c>
      <c r="T701" s="0" t="n">
        <f aca="false">IF(ISBLANK(C701),0,IF(C701="Month-to-month",2,IF(C701="One year",1,0)))+IF(ISBLANK(I701),0,IF(I701&lt;40,2,IF(I701&lt;55,1,0)))+IF(ISBLANK(M701),0,IF(M701=1,3,0))+IF(ISBLANK(L701),0,IF(L701&gt;=2,1,0))+IF(ISBLANK(E701),0,IF(E701&lt;12,1,0))</f>
        <v>9</v>
      </c>
      <c r="U701" s="0" t="str">
        <f aca="false">IF((ISBLANK(B701)*1+ISBLANK(C701)*1+ISBLANK(D701)*1+ISBLANK(E701)*1+ISBLANK(F701)*1+ISBLANK(I701)*1+ISBLANK(J701)*1+ISBLANK(K701)*1+ISBLANK(L701)*1+ISBLANK(M701)*1+ISBLANK(N701)*1+ISBLANK(O701)*1)&gt;0,"Missing Data","OK")</f>
        <v>OK</v>
      </c>
      <c r="V701" s="0" t="str">
        <f aca="false">IF(T701&gt;=6,"High Risk",IF(T701&gt;=3,"Medium Risk","Low Risk"))</f>
        <v>High Risk</v>
      </c>
    </row>
    <row r="702" customFormat="false" ht="12.8" hidden="false" customHeight="false" outlineLevel="0" collapsed="false">
      <c r="A702" s="1" t="s">
        <v>732</v>
      </c>
      <c r="B702" s="1" t="s">
        <v>29</v>
      </c>
      <c r="C702" s="1" t="s">
        <v>24</v>
      </c>
      <c r="D702" s="1" t="n">
        <v>41.19</v>
      </c>
      <c r="E702" s="1" t="n">
        <v>2</v>
      </c>
      <c r="F702" s="4" t="n">
        <v>44770</v>
      </c>
      <c r="G702" s="1" t="s">
        <v>39</v>
      </c>
      <c r="H702" s="1" t="n">
        <v>1</v>
      </c>
      <c r="I702" s="1" t="n">
        <v>47.7</v>
      </c>
      <c r="J702" s="1" t="n">
        <v>17</v>
      </c>
      <c r="K702" s="1" t="n">
        <v>5</v>
      </c>
      <c r="L702" s="1" t="n">
        <v>0</v>
      </c>
      <c r="M702" s="1" t="n">
        <v>0</v>
      </c>
      <c r="N702" s="1" t="n">
        <v>82.38</v>
      </c>
      <c r="O702" s="1" t="n">
        <v>0</v>
      </c>
      <c r="Q702" s="4" t="n">
        <v>44830</v>
      </c>
      <c r="R702" s="0" t="n">
        <f aca="false">IF(ISBLANK(F702),"Missing",IFERROR(YEAR(F702),"Missing"))</f>
        <v>2022</v>
      </c>
      <c r="S702" s="0" t="str">
        <f aca="false">IF(ISBLANK(E702),"Missing",IF(E702&lt;6,"0-6mo",IF(E702&lt;12,"6-12mo",IF(E702&lt;24,"12-24mo","24mo+"))))</f>
        <v>0-6mo</v>
      </c>
      <c r="T702" s="0" t="n">
        <f aca="false">IF(ISBLANK(C702),0,IF(C702="Month-to-month",2,IF(C702="One year",1,0)))+IF(ISBLANK(I702),0,IF(I702&lt;40,2,IF(I702&lt;55,1,0)))+IF(ISBLANK(M702),0,IF(M702=1,3,0))+IF(ISBLANK(L702),0,IF(L702&gt;=2,1,0))+IF(ISBLANK(E702),0,IF(E702&lt;12,1,0))</f>
        <v>4</v>
      </c>
      <c r="U702" s="0" t="str">
        <f aca="false">IF((ISBLANK(B702)*1+ISBLANK(C702)*1+ISBLANK(D702)*1+ISBLANK(E702)*1+ISBLANK(F702)*1+ISBLANK(I702)*1+ISBLANK(J702)*1+ISBLANK(K702)*1+ISBLANK(L702)*1+ISBLANK(M702)*1+ISBLANK(N702)*1+ISBLANK(O702)*1)&gt;0,"Missing Data","OK")</f>
        <v>OK</v>
      </c>
      <c r="V702" s="0" t="str">
        <f aca="false">IF(T702&gt;=6,"High Risk",IF(T702&gt;=3,"Medium Risk","Low Risk"))</f>
        <v>Medium Risk</v>
      </c>
    </row>
    <row r="703" customFormat="false" ht="12.8" hidden="false" customHeight="false" outlineLevel="0" collapsed="false">
      <c r="A703" s="1" t="s">
        <v>733</v>
      </c>
      <c r="B703" s="1" t="s">
        <v>23</v>
      </c>
      <c r="C703" s="1" t="s">
        <v>24</v>
      </c>
      <c r="D703" s="1" t="n">
        <v>19.81</v>
      </c>
      <c r="E703" s="1" t="n">
        <v>3</v>
      </c>
      <c r="F703" s="4" t="n">
        <v>44771</v>
      </c>
      <c r="G703" s="1" t="s">
        <v>27</v>
      </c>
      <c r="H703" s="1" t="n">
        <v>1</v>
      </c>
      <c r="I703" s="1" t="n">
        <v>58.2</v>
      </c>
      <c r="J703" s="1" t="n">
        <v>20</v>
      </c>
      <c r="K703" s="1" t="n">
        <v>5</v>
      </c>
      <c r="L703" s="1" t="n">
        <v>0</v>
      </c>
      <c r="M703" s="1" t="n">
        <v>0</v>
      </c>
      <c r="N703" s="1" t="n">
        <v>59.43</v>
      </c>
      <c r="O703" s="1" t="n">
        <v>0</v>
      </c>
      <c r="Q703" s="4" t="n">
        <v>44862</v>
      </c>
      <c r="R703" s="0" t="n">
        <f aca="false">IF(ISBLANK(F703),"Missing",IFERROR(YEAR(F703),"Missing"))</f>
        <v>2022</v>
      </c>
      <c r="S703" s="0" t="str">
        <f aca="false">IF(ISBLANK(E703),"Missing",IF(E703&lt;6,"0-6mo",IF(E703&lt;12,"6-12mo",IF(E703&lt;24,"12-24mo","24mo+"))))</f>
        <v>0-6mo</v>
      </c>
      <c r="T703" s="0" t="n">
        <f aca="false">IF(ISBLANK(C703),0,IF(C703="Month-to-month",2,IF(C703="One year",1,0)))+IF(ISBLANK(I703),0,IF(I703&lt;40,2,IF(I703&lt;55,1,0)))+IF(ISBLANK(M703),0,IF(M703=1,3,0))+IF(ISBLANK(L703),0,IF(L703&gt;=2,1,0))+IF(ISBLANK(E703),0,IF(E703&lt;12,1,0))</f>
        <v>3</v>
      </c>
      <c r="U703" s="0" t="str">
        <f aca="false">IF((ISBLANK(B703)*1+ISBLANK(C703)*1+ISBLANK(D703)*1+ISBLANK(E703)*1+ISBLANK(F703)*1+ISBLANK(I703)*1+ISBLANK(J703)*1+ISBLANK(K703)*1+ISBLANK(L703)*1+ISBLANK(M703)*1+ISBLANK(N703)*1+ISBLANK(O703)*1)&gt;0,"Missing Data","OK")</f>
        <v>OK</v>
      </c>
      <c r="V703" s="0" t="str">
        <f aca="false">IF(T703&gt;=6,"High Risk",IF(T703&gt;=3,"Medium Risk","Low Risk"))</f>
        <v>Medium Risk</v>
      </c>
    </row>
    <row r="704" customFormat="false" ht="12.8" hidden="false" customHeight="false" outlineLevel="0" collapsed="false">
      <c r="A704" s="1" t="s">
        <v>734</v>
      </c>
      <c r="B704" s="1" t="s">
        <v>23</v>
      </c>
      <c r="C704" s="1" t="s">
        <v>24</v>
      </c>
      <c r="D704" s="1" t="n">
        <v>20.45</v>
      </c>
      <c r="E704" s="1" t="n">
        <v>4</v>
      </c>
      <c r="F704" s="4" t="n">
        <v>44771</v>
      </c>
      <c r="G704" s="1" t="s">
        <v>39</v>
      </c>
      <c r="H704" s="1" t="n">
        <v>1</v>
      </c>
      <c r="I704" s="1" t="n">
        <v>14.7</v>
      </c>
      <c r="J704" s="1" t="n">
        <v>5</v>
      </c>
      <c r="K704" s="1" t="n">
        <v>1</v>
      </c>
      <c r="L704" s="1" t="n">
        <v>1</v>
      </c>
      <c r="M704" s="1" t="n">
        <v>1</v>
      </c>
      <c r="N704" s="1" t="n">
        <v>81.8</v>
      </c>
      <c r="O704" s="1" t="n">
        <v>0</v>
      </c>
      <c r="Q704" s="4" t="n">
        <v>44892</v>
      </c>
      <c r="R704" s="0" t="n">
        <f aca="false">IF(ISBLANK(F704),"Missing",IFERROR(YEAR(F704),"Missing"))</f>
        <v>2022</v>
      </c>
      <c r="S704" s="0" t="str">
        <f aca="false">IF(ISBLANK(E704),"Missing",IF(E704&lt;6,"0-6mo",IF(E704&lt;12,"6-12mo",IF(E704&lt;24,"12-24mo","24mo+"))))</f>
        <v>0-6mo</v>
      </c>
      <c r="T704" s="0" t="n">
        <f aca="false">IF(ISBLANK(C704),0,IF(C704="Month-to-month",2,IF(C704="One year",1,0)))+IF(ISBLANK(I704),0,IF(I704&lt;40,2,IF(I704&lt;55,1,0)))+IF(ISBLANK(M704),0,IF(M704=1,3,0))+IF(ISBLANK(L704),0,IF(L704&gt;=2,1,0))+IF(ISBLANK(E704),0,IF(E704&lt;12,1,0))</f>
        <v>8</v>
      </c>
      <c r="U704" s="0" t="str">
        <f aca="false">IF((ISBLANK(B704)*1+ISBLANK(C704)*1+ISBLANK(D704)*1+ISBLANK(E704)*1+ISBLANK(F704)*1+ISBLANK(I704)*1+ISBLANK(J704)*1+ISBLANK(K704)*1+ISBLANK(L704)*1+ISBLANK(M704)*1+ISBLANK(N704)*1+ISBLANK(O704)*1)&gt;0,"Missing Data","OK")</f>
        <v>OK</v>
      </c>
      <c r="V704" s="0" t="str">
        <f aca="false">IF(T704&gt;=6,"High Risk",IF(T704&gt;=3,"Medium Risk","Low Risk"))</f>
        <v>High Risk</v>
      </c>
    </row>
    <row r="705" customFormat="false" ht="12.8" hidden="false" customHeight="false" outlineLevel="0" collapsed="false">
      <c r="A705" s="1" t="s">
        <v>735</v>
      </c>
      <c r="B705" s="1" t="s">
        <v>36</v>
      </c>
      <c r="C705" s="1" t="s">
        <v>24</v>
      </c>
      <c r="D705" s="1" t="n">
        <v>10.39</v>
      </c>
      <c r="E705" s="1" t="n">
        <v>1</v>
      </c>
      <c r="F705" s="4" t="n">
        <v>44774</v>
      </c>
      <c r="G705" s="1" t="s">
        <v>39</v>
      </c>
      <c r="H705" s="1" t="n">
        <v>1</v>
      </c>
      <c r="I705" s="1" t="n">
        <v>37.5</v>
      </c>
      <c r="J705" s="1" t="n">
        <v>9</v>
      </c>
      <c r="K705" s="1" t="n">
        <v>5</v>
      </c>
      <c r="L705" s="1" t="n">
        <v>2</v>
      </c>
      <c r="M705" s="1" t="n">
        <v>1</v>
      </c>
      <c r="N705" s="1" t="n">
        <v>10.39</v>
      </c>
      <c r="O705" s="1" t="n">
        <v>1</v>
      </c>
      <c r="P705" s="4" t="n">
        <v>44804</v>
      </c>
      <c r="Q705" s="4" t="n">
        <v>44804</v>
      </c>
      <c r="R705" s="0" t="n">
        <f aca="false">IF(ISBLANK(F705),"Missing",IFERROR(YEAR(F705),"Missing"))</f>
        <v>2022</v>
      </c>
      <c r="S705" s="0" t="str">
        <f aca="false">IF(ISBLANK(E705),"Missing",IF(E705&lt;6,"0-6mo",IF(E705&lt;12,"6-12mo",IF(E705&lt;24,"12-24mo","24mo+"))))</f>
        <v>0-6mo</v>
      </c>
      <c r="T705" s="0" t="n">
        <f aca="false">IF(ISBLANK(C705),0,IF(C705="Month-to-month",2,IF(C705="One year",1,0)))+IF(ISBLANK(I705),0,IF(I705&lt;40,2,IF(I705&lt;55,1,0)))+IF(ISBLANK(M705),0,IF(M705=1,3,0))+IF(ISBLANK(L705),0,IF(L705&gt;=2,1,0))+IF(ISBLANK(E705),0,IF(E705&lt;12,1,0))</f>
        <v>9</v>
      </c>
      <c r="U705" s="0" t="str">
        <f aca="false">IF((ISBLANK(B705)*1+ISBLANK(C705)*1+ISBLANK(D705)*1+ISBLANK(E705)*1+ISBLANK(F705)*1+ISBLANK(I705)*1+ISBLANK(J705)*1+ISBLANK(K705)*1+ISBLANK(L705)*1+ISBLANK(M705)*1+ISBLANK(N705)*1+ISBLANK(O705)*1)&gt;0,"Missing Data","OK")</f>
        <v>OK</v>
      </c>
      <c r="V705" s="0" t="str">
        <f aca="false">IF(T705&gt;=6,"High Risk",IF(T705&gt;=3,"Medium Risk","Low Risk"))</f>
        <v>High Risk</v>
      </c>
    </row>
    <row r="706" customFormat="false" ht="12.8" hidden="false" customHeight="false" outlineLevel="0" collapsed="false">
      <c r="A706" s="1" t="s">
        <v>736</v>
      </c>
      <c r="B706" s="1" t="s">
        <v>23</v>
      </c>
      <c r="C706" s="1" t="s">
        <v>24</v>
      </c>
      <c r="D706" s="1" t="n">
        <v>18.84</v>
      </c>
      <c r="E706" s="1" t="n">
        <v>26</v>
      </c>
      <c r="F706" s="4" t="n">
        <v>44774</v>
      </c>
      <c r="G706" s="1" t="s">
        <v>25</v>
      </c>
      <c r="H706" s="1" t="n">
        <v>1</v>
      </c>
      <c r="I706" s="1" t="n">
        <v>49.9</v>
      </c>
      <c r="J706" s="1" t="n">
        <v>17</v>
      </c>
      <c r="K706" s="1" t="n">
        <v>5</v>
      </c>
      <c r="L706" s="1" t="n">
        <v>1</v>
      </c>
      <c r="M706" s="1" t="n">
        <v>0</v>
      </c>
      <c r="N706" s="1" t="n">
        <v>489.84</v>
      </c>
      <c r="O706" s="1" t="n">
        <v>0</v>
      </c>
      <c r="Q706" s="4" t="n">
        <v>45565</v>
      </c>
      <c r="R706" s="0" t="n">
        <f aca="false">IF(ISBLANK(F706),"Missing",IFERROR(YEAR(F706),"Missing"))</f>
        <v>2022</v>
      </c>
      <c r="S706" s="0" t="str">
        <f aca="false">IF(ISBLANK(E706),"Missing",IF(E706&lt;6,"0-6mo",IF(E706&lt;12,"6-12mo",IF(E706&lt;24,"12-24mo","24mo+"))))</f>
        <v>24mo+</v>
      </c>
      <c r="T706" s="0" t="n">
        <f aca="false">IF(ISBLANK(C706),0,IF(C706="Month-to-month",2,IF(C706="One year",1,0)))+IF(ISBLANK(I706),0,IF(I706&lt;40,2,IF(I706&lt;55,1,0)))+IF(ISBLANK(M706),0,IF(M706=1,3,0))+IF(ISBLANK(L706),0,IF(L706&gt;=2,1,0))+IF(ISBLANK(E706),0,IF(E706&lt;12,1,0))</f>
        <v>3</v>
      </c>
      <c r="U706" s="0" t="str">
        <f aca="false">IF((ISBLANK(B706)*1+ISBLANK(C706)*1+ISBLANK(D706)*1+ISBLANK(E706)*1+ISBLANK(F706)*1+ISBLANK(I706)*1+ISBLANK(J706)*1+ISBLANK(K706)*1+ISBLANK(L706)*1+ISBLANK(M706)*1+ISBLANK(N706)*1+ISBLANK(O706)*1)&gt;0,"Missing Data","OK")</f>
        <v>OK</v>
      </c>
      <c r="V706" s="0" t="str">
        <f aca="false">IF(T706&gt;=6,"High Risk",IF(T706&gt;=3,"Medium Risk","Low Risk"))</f>
        <v>Medium Risk</v>
      </c>
    </row>
    <row r="707" customFormat="false" ht="12.8" hidden="false" customHeight="false" outlineLevel="0" collapsed="false">
      <c r="A707" s="1" t="s">
        <v>737</v>
      </c>
      <c r="B707" s="1" t="s">
        <v>29</v>
      </c>
      <c r="C707" s="1" t="s">
        <v>24</v>
      </c>
      <c r="D707" s="1" t="n">
        <v>39.24</v>
      </c>
      <c r="E707" s="1" t="n">
        <v>13</v>
      </c>
      <c r="F707" s="4" t="n">
        <v>44775</v>
      </c>
      <c r="G707" s="1" t="s">
        <v>25</v>
      </c>
      <c r="H707" s="1" t="n">
        <v>1</v>
      </c>
      <c r="I707" s="1" t="n">
        <v>56.2</v>
      </c>
      <c r="J707" s="1" t="n">
        <v>14</v>
      </c>
      <c r="K707" s="1" t="n">
        <v>8</v>
      </c>
      <c r="L707" s="1" t="n">
        <v>2</v>
      </c>
      <c r="M707" s="1" t="n">
        <v>0</v>
      </c>
      <c r="N707" s="1" t="n">
        <v>510.12</v>
      </c>
      <c r="O707" s="1" t="n">
        <v>0</v>
      </c>
      <c r="Q707" s="4" t="n">
        <v>45170</v>
      </c>
      <c r="R707" s="0" t="n">
        <f aca="false">IF(ISBLANK(F707),"Missing",IFERROR(YEAR(F707),"Missing"))</f>
        <v>2022</v>
      </c>
      <c r="S707" s="0" t="str">
        <f aca="false">IF(ISBLANK(E707),"Missing",IF(E707&lt;6,"0-6mo",IF(E707&lt;12,"6-12mo",IF(E707&lt;24,"12-24mo","24mo+"))))</f>
        <v>12-24mo</v>
      </c>
      <c r="T707" s="0" t="n">
        <f aca="false">IF(ISBLANK(C707),0,IF(C707="Month-to-month",2,IF(C707="One year",1,0)))+IF(ISBLANK(I707),0,IF(I707&lt;40,2,IF(I707&lt;55,1,0)))+IF(ISBLANK(M707),0,IF(M707=1,3,0))+IF(ISBLANK(L707),0,IF(L707&gt;=2,1,0))+IF(ISBLANK(E707),0,IF(E707&lt;12,1,0))</f>
        <v>3</v>
      </c>
      <c r="U707" s="0" t="str">
        <f aca="false">IF((ISBLANK(B707)*1+ISBLANK(C707)*1+ISBLANK(D707)*1+ISBLANK(E707)*1+ISBLANK(F707)*1+ISBLANK(I707)*1+ISBLANK(J707)*1+ISBLANK(K707)*1+ISBLANK(L707)*1+ISBLANK(M707)*1+ISBLANK(N707)*1+ISBLANK(O707)*1)&gt;0,"Missing Data","OK")</f>
        <v>OK</v>
      </c>
      <c r="V707" s="0" t="str">
        <f aca="false">IF(T707&gt;=6,"High Risk",IF(T707&gt;=3,"Medium Risk","Low Risk"))</f>
        <v>Medium Risk</v>
      </c>
    </row>
    <row r="708" customFormat="false" ht="12.8" hidden="false" customHeight="false" outlineLevel="0" collapsed="false">
      <c r="A708" s="1" t="s">
        <v>738</v>
      </c>
      <c r="B708" s="1" t="s">
        <v>23</v>
      </c>
      <c r="C708" s="1" t="s">
        <v>24</v>
      </c>
      <c r="D708" s="1" t="n">
        <v>20.32</v>
      </c>
      <c r="E708" s="1" t="n">
        <v>40</v>
      </c>
      <c r="F708" s="4" t="n">
        <v>44776</v>
      </c>
      <c r="G708" s="1" t="s">
        <v>39</v>
      </c>
      <c r="H708" s="1" t="n">
        <v>0</v>
      </c>
      <c r="I708" s="1" t="n">
        <v>74.9</v>
      </c>
      <c r="J708" s="1" t="n">
        <v>23</v>
      </c>
      <c r="K708" s="1" t="n">
        <v>8</v>
      </c>
      <c r="L708" s="1" t="n">
        <v>0</v>
      </c>
      <c r="M708" s="1" t="n">
        <v>0</v>
      </c>
      <c r="N708" s="1" t="n">
        <v>812.8</v>
      </c>
      <c r="O708" s="1" t="n">
        <v>0</v>
      </c>
      <c r="Q708" s="4" t="n">
        <v>45993</v>
      </c>
      <c r="R708" s="0" t="n">
        <f aca="false">IF(ISBLANK(F708),"Missing",IFERROR(YEAR(F708),"Missing"))</f>
        <v>2022</v>
      </c>
      <c r="S708" s="0" t="str">
        <f aca="false">IF(ISBLANK(E708),"Missing",IF(E708&lt;6,"0-6mo",IF(E708&lt;12,"6-12mo",IF(E708&lt;24,"12-24mo","24mo+"))))</f>
        <v>24mo+</v>
      </c>
      <c r="T708" s="0" t="n">
        <f aca="false">IF(ISBLANK(C708),0,IF(C708="Month-to-month",2,IF(C708="One year",1,0)))+IF(ISBLANK(I708),0,IF(I708&lt;40,2,IF(I708&lt;55,1,0)))+IF(ISBLANK(M708),0,IF(M708=1,3,0))+IF(ISBLANK(L708),0,IF(L708&gt;=2,1,0))+IF(ISBLANK(E708),0,IF(E708&lt;12,1,0))</f>
        <v>2</v>
      </c>
      <c r="U708" s="0" t="str">
        <f aca="false">IF((ISBLANK(B708)*1+ISBLANK(C708)*1+ISBLANK(D708)*1+ISBLANK(E708)*1+ISBLANK(F708)*1+ISBLANK(I708)*1+ISBLANK(J708)*1+ISBLANK(K708)*1+ISBLANK(L708)*1+ISBLANK(M708)*1+ISBLANK(N708)*1+ISBLANK(O708)*1)&gt;0,"Missing Data","OK")</f>
        <v>OK</v>
      </c>
      <c r="V708" s="0" t="str">
        <f aca="false">IF(T708&gt;=6,"High Risk",IF(T708&gt;=3,"Medium Risk","Low Risk"))</f>
        <v>Low Risk</v>
      </c>
    </row>
    <row r="709" customFormat="false" ht="12.8" hidden="false" customHeight="false" outlineLevel="0" collapsed="false">
      <c r="A709" s="1" t="s">
        <v>739</v>
      </c>
      <c r="B709" s="1" t="s">
        <v>36</v>
      </c>
      <c r="C709" s="1" t="s">
        <v>24</v>
      </c>
      <c r="D709" s="1" t="n">
        <v>10.67</v>
      </c>
      <c r="E709" s="1" t="n">
        <v>15</v>
      </c>
      <c r="F709" s="4" t="n">
        <v>44780</v>
      </c>
      <c r="G709" s="1" t="s">
        <v>39</v>
      </c>
      <c r="H709" s="1" t="n">
        <v>1</v>
      </c>
      <c r="I709" s="1" t="n">
        <v>39</v>
      </c>
      <c r="J709" s="1" t="n">
        <v>13</v>
      </c>
      <c r="K709" s="1" t="n">
        <v>5</v>
      </c>
      <c r="L709" s="1" t="n">
        <v>1</v>
      </c>
      <c r="M709" s="1" t="n">
        <v>1</v>
      </c>
      <c r="N709" s="1" t="n">
        <v>160.05</v>
      </c>
      <c r="O709" s="1" t="n">
        <v>1</v>
      </c>
      <c r="P709" s="4" t="n">
        <v>45236</v>
      </c>
      <c r="Q709" s="4" t="n">
        <v>45236</v>
      </c>
      <c r="R709" s="0" t="n">
        <f aca="false">IF(ISBLANK(F709),"Missing",IFERROR(YEAR(F709),"Missing"))</f>
        <v>2022</v>
      </c>
      <c r="S709" s="0" t="str">
        <f aca="false">IF(ISBLANK(E709),"Missing",IF(E709&lt;6,"0-6mo",IF(E709&lt;12,"6-12mo",IF(E709&lt;24,"12-24mo","24mo+"))))</f>
        <v>12-24mo</v>
      </c>
      <c r="T709" s="0" t="n">
        <f aca="false">IF(ISBLANK(C709),0,IF(C709="Month-to-month",2,IF(C709="One year",1,0)))+IF(ISBLANK(I709),0,IF(I709&lt;40,2,IF(I709&lt;55,1,0)))+IF(ISBLANK(M709),0,IF(M709=1,3,0))+IF(ISBLANK(L709),0,IF(L709&gt;=2,1,0))+IF(ISBLANK(E709),0,IF(E709&lt;12,1,0))</f>
        <v>7</v>
      </c>
      <c r="U709" s="0" t="str">
        <f aca="false">IF((ISBLANK(B709)*1+ISBLANK(C709)*1+ISBLANK(D709)*1+ISBLANK(E709)*1+ISBLANK(F709)*1+ISBLANK(I709)*1+ISBLANK(J709)*1+ISBLANK(K709)*1+ISBLANK(L709)*1+ISBLANK(M709)*1+ISBLANK(N709)*1+ISBLANK(O709)*1)&gt;0,"Missing Data","OK")</f>
        <v>OK</v>
      </c>
      <c r="V709" s="0" t="str">
        <f aca="false">IF(T709&gt;=6,"High Risk",IF(T709&gt;=3,"Medium Risk","Low Risk"))</f>
        <v>High Risk</v>
      </c>
    </row>
    <row r="710" customFormat="false" ht="12.8" hidden="false" customHeight="false" outlineLevel="0" collapsed="false">
      <c r="A710" s="1" t="s">
        <v>740</v>
      </c>
      <c r="B710" s="1" t="s">
        <v>36</v>
      </c>
      <c r="C710" s="1" t="s">
        <v>51</v>
      </c>
      <c r="D710" s="1" t="n">
        <v>10.46</v>
      </c>
      <c r="E710" s="1" t="n">
        <v>5</v>
      </c>
      <c r="F710" s="4" t="n">
        <v>44781</v>
      </c>
      <c r="G710" s="1" t="s">
        <v>25</v>
      </c>
      <c r="H710" s="1" t="n">
        <v>1</v>
      </c>
      <c r="I710" s="1" t="n">
        <v>40.6</v>
      </c>
      <c r="J710" s="1" t="n">
        <v>11</v>
      </c>
      <c r="K710" s="1" t="n">
        <v>4</v>
      </c>
      <c r="L710" s="1" t="n">
        <v>1</v>
      </c>
      <c r="M710" s="1" t="n">
        <v>1</v>
      </c>
      <c r="N710" s="1" t="n">
        <v>52.3</v>
      </c>
      <c r="O710" s="1" t="n">
        <v>0</v>
      </c>
      <c r="Q710" s="4" t="n">
        <v>44933</v>
      </c>
      <c r="R710" s="0" t="n">
        <f aca="false">IF(ISBLANK(F710),"Missing",IFERROR(YEAR(F710),"Missing"))</f>
        <v>2022</v>
      </c>
      <c r="S710" s="0" t="str">
        <f aca="false">IF(ISBLANK(E710),"Missing",IF(E710&lt;6,"0-6mo",IF(E710&lt;12,"6-12mo",IF(E710&lt;24,"12-24mo","24mo+"))))</f>
        <v>0-6mo</v>
      </c>
      <c r="T710" s="0" t="n">
        <f aca="false">IF(ISBLANK(C710),0,IF(C710="Month-to-month",2,IF(C710="One year",1,0)))+IF(ISBLANK(I710),0,IF(I710&lt;40,2,IF(I710&lt;55,1,0)))+IF(ISBLANK(M710),0,IF(M710=1,3,0))+IF(ISBLANK(L710),0,IF(L710&gt;=2,1,0))+IF(ISBLANK(E710),0,IF(E710&lt;12,1,0))</f>
        <v>5</v>
      </c>
      <c r="U710" s="0" t="str">
        <f aca="false">IF((ISBLANK(B710)*1+ISBLANK(C710)*1+ISBLANK(D710)*1+ISBLANK(E710)*1+ISBLANK(F710)*1+ISBLANK(I710)*1+ISBLANK(J710)*1+ISBLANK(K710)*1+ISBLANK(L710)*1+ISBLANK(M710)*1+ISBLANK(N710)*1+ISBLANK(O710)*1)&gt;0,"Missing Data","OK")</f>
        <v>OK</v>
      </c>
      <c r="V710" s="0" t="str">
        <f aca="false">IF(T710&gt;=6,"High Risk",IF(T710&gt;=3,"Medium Risk","Low Risk"))</f>
        <v>Medium Risk</v>
      </c>
    </row>
    <row r="711" customFormat="false" ht="12.8" hidden="false" customHeight="false" outlineLevel="0" collapsed="false">
      <c r="A711" s="1" t="s">
        <v>741</v>
      </c>
      <c r="B711" s="1" t="s">
        <v>29</v>
      </c>
      <c r="C711" s="1" t="s">
        <v>24</v>
      </c>
      <c r="D711" s="1" t="n">
        <v>42.08</v>
      </c>
      <c r="E711" s="1" t="n">
        <v>21</v>
      </c>
      <c r="F711" s="4" t="n">
        <v>44781</v>
      </c>
      <c r="G711" s="1" t="s">
        <v>25</v>
      </c>
      <c r="H711" s="1" t="n">
        <v>1</v>
      </c>
      <c r="I711" s="1" t="n">
        <v>66.3</v>
      </c>
      <c r="J711" s="1" t="n">
        <v>22</v>
      </c>
      <c r="K711" s="1" t="n">
        <v>5</v>
      </c>
      <c r="L711" s="1" t="n">
        <v>0</v>
      </c>
      <c r="M711" s="1" t="n">
        <v>0</v>
      </c>
      <c r="N711" s="1" t="n">
        <v>883.68</v>
      </c>
      <c r="O711" s="1" t="n">
        <v>0</v>
      </c>
      <c r="Q711" s="4" t="n">
        <v>45420</v>
      </c>
      <c r="R711" s="0" t="n">
        <f aca="false">IF(ISBLANK(F711),"Missing",IFERROR(YEAR(F711),"Missing"))</f>
        <v>2022</v>
      </c>
      <c r="S711" s="0" t="str">
        <f aca="false">IF(ISBLANK(E711),"Missing",IF(E711&lt;6,"0-6mo",IF(E711&lt;12,"6-12mo",IF(E711&lt;24,"12-24mo","24mo+"))))</f>
        <v>12-24mo</v>
      </c>
      <c r="T711" s="0" t="n">
        <f aca="false">IF(ISBLANK(C711),0,IF(C711="Month-to-month",2,IF(C711="One year",1,0)))+IF(ISBLANK(I711),0,IF(I711&lt;40,2,IF(I711&lt;55,1,0)))+IF(ISBLANK(M711),0,IF(M711=1,3,0))+IF(ISBLANK(L711),0,IF(L711&gt;=2,1,0))+IF(ISBLANK(E711),0,IF(E711&lt;12,1,0))</f>
        <v>2</v>
      </c>
      <c r="U711" s="0" t="str">
        <f aca="false">IF((ISBLANK(B711)*1+ISBLANK(C711)*1+ISBLANK(D711)*1+ISBLANK(E711)*1+ISBLANK(F711)*1+ISBLANK(I711)*1+ISBLANK(J711)*1+ISBLANK(K711)*1+ISBLANK(L711)*1+ISBLANK(M711)*1+ISBLANK(N711)*1+ISBLANK(O711)*1)&gt;0,"Missing Data","OK")</f>
        <v>OK</v>
      </c>
      <c r="V711" s="0" t="str">
        <f aca="false">IF(T711&gt;=6,"High Risk",IF(T711&gt;=3,"Medium Risk","Low Risk"))</f>
        <v>Low Risk</v>
      </c>
    </row>
    <row r="712" customFormat="false" ht="12.8" hidden="false" customHeight="false" outlineLevel="0" collapsed="false">
      <c r="A712" s="1" t="s">
        <v>742</v>
      </c>
      <c r="B712" s="1" t="s">
        <v>23</v>
      </c>
      <c r="C712" s="1" t="s">
        <v>24</v>
      </c>
      <c r="D712" s="1" t="n">
        <v>20.25</v>
      </c>
      <c r="E712" s="1" t="n">
        <v>22</v>
      </c>
      <c r="F712" s="4" t="n">
        <v>44782</v>
      </c>
      <c r="G712" s="1" t="s">
        <v>30</v>
      </c>
      <c r="H712" s="1" t="n">
        <v>0</v>
      </c>
      <c r="I712" s="1" t="n">
        <v>38</v>
      </c>
      <c r="J712" s="1" t="n">
        <v>17</v>
      </c>
      <c r="K712" s="1" t="n">
        <v>2</v>
      </c>
      <c r="L712" s="1" t="n">
        <v>1</v>
      </c>
      <c r="M712" s="1" t="n">
        <v>0</v>
      </c>
      <c r="N712" s="1" t="n">
        <v>445.5</v>
      </c>
      <c r="O712" s="1" t="n">
        <v>0</v>
      </c>
      <c r="Q712" s="4" t="n">
        <v>45451</v>
      </c>
      <c r="R712" s="0" t="n">
        <f aca="false">IF(ISBLANK(F712),"Missing",IFERROR(YEAR(F712),"Missing"))</f>
        <v>2022</v>
      </c>
      <c r="S712" s="0" t="str">
        <f aca="false">IF(ISBLANK(E712),"Missing",IF(E712&lt;6,"0-6mo",IF(E712&lt;12,"6-12mo",IF(E712&lt;24,"12-24mo","24mo+"))))</f>
        <v>12-24mo</v>
      </c>
      <c r="T712" s="0" t="n">
        <f aca="false">IF(ISBLANK(C712),0,IF(C712="Month-to-month",2,IF(C712="One year",1,0)))+IF(ISBLANK(I712),0,IF(I712&lt;40,2,IF(I712&lt;55,1,0)))+IF(ISBLANK(M712),0,IF(M712=1,3,0))+IF(ISBLANK(L712),0,IF(L712&gt;=2,1,0))+IF(ISBLANK(E712),0,IF(E712&lt;12,1,0))</f>
        <v>4</v>
      </c>
      <c r="U712" s="0" t="str">
        <f aca="false">IF((ISBLANK(B712)*1+ISBLANK(C712)*1+ISBLANK(D712)*1+ISBLANK(E712)*1+ISBLANK(F712)*1+ISBLANK(I712)*1+ISBLANK(J712)*1+ISBLANK(K712)*1+ISBLANK(L712)*1+ISBLANK(M712)*1+ISBLANK(N712)*1+ISBLANK(O712)*1)&gt;0,"Missing Data","OK")</f>
        <v>OK</v>
      </c>
      <c r="V712" s="0" t="str">
        <f aca="false">IF(T712&gt;=6,"High Risk",IF(T712&gt;=3,"Medium Risk","Low Risk"))</f>
        <v>Medium Risk</v>
      </c>
    </row>
    <row r="713" customFormat="false" ht="12.8" hidden="false" customHeight="false" outlineLevel="0" collapsed="false">
      <c r="A713" s="1" t="s">
        <v>743</v>
      </c>
      <c r="B713" s="1" t="s">
        <v>23</v>
      </c>
      <c r="C713" s="1" t="s">
        <v>34</v>
      </c>
      <c r="D713" s="1" t="n">
        <v>20.33</v>
      </c>
      <c r="E713" s="1" t="n">
        <v>20</v>
      </c>
      <c r="F713" s="4" t="n">
        <v>44785</v>
      </c>
      <c r="G713" s="1" t="s">
        <v>25</v>
      </c>
      <c r="H713" s="1" t="n">
        <v>0</v>
      </c>
      <c r="I713" s="1" t="n">
        <v>65.4</v>
      </c>
      <c r="J713" s="1" t="n">
        <v>20</v>
      </c>
      <c r="K713" s="1" t="n">
        <v>6</v>
      </c>
      <c r="L713" s="1" t="n">
        <v>1</v>
      </c>
      <c r="M713" s="1" t="n">
        <v>0</v>
      </c>
      <c r="N713" s="1" t="n">
        <v>406.6</v>
      </c>
      <c r="O713" s="1" t="n">
        <v>0</v>
      </c>
      <c r="Q713" s="4" t="n">
        <v>45393</v>
      </c>
      <c r="R713" s="0" t="n">
        <f aca="false">IF(ISBLANK(F713),"Missing",IFERROR(YEAR(F713),"Missing"))</f>
        <v>2022</v>
      </c>
      <c r="S713" s="0" t="str">
        <f aca="false">IF(ISBLANK(E713),"Missing",IF(E713&lt;6,"0-6mo",IF(E713&lt;12,"6-12mo",IF(E713&lt;24,"12-24mo","24mo+"))))</f>
        <v>12-24mo</v>
      </c>
      <c r="T713" s="0" t="n">
        <f aca="false">IF(ISBLANK(C713),0,IF(C713="Month-to-month",2,IF(C713="One year",1,0)))+IF(ISBLANK(I713),0,IF(I713&lt;40,2,IF(I713&lt;55,1,0)))+IF(ISBLANK(M713),0,IF(M713=1,3,0))+IF(ISBLANK(L713),0,IF(L713&gt;=2,1,0))+IF(ISBLANK(E713),0,IF(E713&lt;12,1,0))</f>
        <v>1</v>
      </c>
      <c r="U713" s="0" t="str">
        <f aca="false">IF((ISBLANK(B713)*1+ISBLANK(C713)*1+ISBLANK(D713)*1+ISBLANK(E713)*1+ISBLANK(F713)*1+ISBLANK(I713)*1+ISBLANK(J713)*1+ISBLANK(K713)*1+ISBLANK(L713)*1+ISBLANK(M713)*1+ISBLANK(N713)*1+ISBLANK(O713)*1)&gt;0,"Missing Data","OK")</f>
        <v>OK</v>
      </c>
      <c r="V713" s="0" t="str">
        <f aca="false">IF(T713&gt;=6,"High Risk",IF(T713&gt;=3,"Medium Risk","Low Risk"))</f>
        <v>Low Risk</v>
      </c>
    </row>
    <row r="714" customFormat="false" ht="12.8" hidden="false" customHeight="false" outlineLevel="0" collapsed="false">
      <c r="A714" s="1" t="s">
        <v>744</v>
      </c>
      <c r="B714" s="1" t="s">
        <v>36</v>
      </c>
      <c r="C714" s="1" t="s">
        <v>24</v>
      </c>
      <c r="D714" s="1" t="n">
        <v>11.21</v>
      </c>
      <c r="E714" s="1" t="n">
        <v>13</v>
      </c>
      <c r="F714" s="4" t="n">
        <v>44786</v>
      </c>
      <c r="G714" s="1" t="s">
        <v>39</v>
      </c>
      <c r="H714" s="1" t="n">
        <v>1</v>
      </c>
      <c r="I714" s="1" t="n">
        <v>40.4</v>
      </c>
      <c r="J714" s="1" t="n">
        <v>12</v>
      </c>
      <c r="K714" s="1" t="n">
        <v>6</v>
      </c>
      <c r="L714" s="1" t="n">
        <v>2</v>
      </c>
      <c r="M714" s="1" t="n">
        <v>1</v>
      </c>
      <c r="N714" s="1" t="n">
        <v>145.73</v>
      </c>
      <c r="O714" s="1" t="n">
        <v>1</v>
      </c>
      <c r="P714" s="4" t="n">
        <v>45181</v>
      </c>
      <c r="Q714" s="4" t="n">
        <v>45181</v>
      </c>
      <c r="R714" s="0" t="n">
        <f aca="false">IF(ISBLANK(F714),"Missing",IFERROR(YEAR(F714),"Missing"))</f>
        <v>2022</v>
      </c>
      <c r="S714" s="0" t="str">
        <f aca="false">IF(ISBLANK(E714),"Missing",IF(E714&lt;6,"0-6mo",IF(E714&lt;12,"6-12mo",IF(E714&lt;24,"12-24mo","24mo+"))))</f>
        <v>12-24mo</v>
      </c>
      <c r="T714" s="0" t="n">
        <f aca="false">IF(ISBLANK(C714),0,IF(C714="Month-to-month",2,IF(C714="One year",1,0)))+IF(ISBLANK(I714),0,IF(I714&lt;40,2,IF(I714&lt;55,1,0)))+IF(ISBLANK(M714),0,IF(M714=1,3,0))+IF(ISBLANK(L714),0,IF(L714&gt;=2,1,0))+IF(ISBLANK(E714),0,IF(E714&lt;12,1,0))</f>
        <v>7</v>
      </c>
      <c r="U714" s="0" t="str">
        <f aca="false">IF((ISBLANK(B714)*1+ISBLANK(C714)*1+ISBLANK(D714)*1+ISBLANK(E714)*1+ISBLANK(F714)*1+ISBLANK(I714)*1+ISBLANK(J714)*1+ISBLANK(K714)*1+ISBLANK(L714)*1+ISBLANK(M714)*1+ISBLANK(N714)*1+ISBLANK(O714)*1)&gt;0,"Missing Data","OK")</f>
        <v>OK</v>
      </c>
      <c r="V714" s="0" t="str">
        <f aca="false">IF(T714&gt;=6,"High Risk",IF(T714&gt;=3,"Medium Risk","Low Risk"))</f>
        <v>High Risk</v>
      </c>
    </row>
    <row r="715" customFormat="false" ht="12.8" hidden="false" customHeight="false" outlineLevel="0" collapsed="false">
      <c r="A715" s="1" t="s">
        <v>745</v>
      </c>
      <c r="B715" s="1" t="s">
        <v>36</v>
      </c>
      <c r="C715" s="1" t="s">
        <v>34</v>
      </c>
      <c r="D715" s="1" t="n">
        <v>9.54</v>
      </c>
      <c r="E715" s="1" t="n">
        <v>52</v>
      </c>
      <c r="F715" s="4" t="n">
        <v>44786</v>
      </c>
      <c r="G715" s="1" t="s">
        <v>39</v>
      </c>
      <c r="H715" s="1" t="n">
        <v>0</v>
      </c>
      <c r="I715" s="1" t="n">
        <v>68.7</v>
      </c>
      <c r="J715" s="1" t="n">
        <v>27</v>
      </c>
      <c r="K715" s="1" t="n">
        <v>5</v>
      </c>
      <c r="L715" s="1" t="n">
        <v>0</v>
      </c>
      <c r="M715" s="1" t="n">
        <v>0</v>
      </c>
      <c r="N715" s="1" t="n">
        <v>496.08</v>
      </c>
      <c r="O715" s="1" t="n">
        <v>0</v>
      </c>
      <c r="Q715" s="4" t="n">
        <v>46293</v>
      </c>
      <c r="R715" s="0" t="n">
        <f aca="false">IF(ISBLANK(F715),"Missing",IFERROR(YEAR(F715),"Missing"))</f>
        <v>2022</v>
      </c>
      <c r="S715" s="0" t="str">
        <f aca="false">IF(ISBLANK(E715),"Missing",IF(E715&lt;6,"0-6mo",IF(E715&lt;12,"6-12mo",IF(E715&lt;24,"12-24mo","24mo+"))))</f>
        <v>24mo+</v>
      </c>
      <c r="T715" s="0" t="n">
        <f aca="false">IF(ISBLANK(C715),0,IF(C715="Month-to-month",2,IF(C715="One year",1,0)))+IF(ISBLANK(I715),0,IF(I715&lt;40,2,IF(I715&lt;55,1,0)))+IF(ISBLANK(M715),0,IF(M715=1,3,0))+IF(ISBLANK(L715),0,IF(L715&gt;=2,1,0))+IF(ISBLANK(E715),0,IF(E715&lt;12,1,0))</f>
        <v>1</v>
      </c>
      <c r="U715" s="0" t="str">
        <f aca="false">IF((ISBLANK(B715)*1+ISBLANK(C715)*1+ISBLANK(D715)*1+ISBLANK(E715)*1+ISBLANK(F715)*1+ISBLANK(I715)*1+ISBLANK(J715)*1+ISBLANK(K715)*1+ISBLANK(L715)*1+ISBLANK(M715)*1+ISBLANK(N715)*1+ISBLANK(O715)*1)&gt;0,"Missing Data","OK")</f>
        <v>OK</v>
      </c>
      <c r="V715" s="0" t="str">
        <f aca="false">IF(T715&gt;=6,"High Risk",IF(T715&gt;=3,"Medium Risk","Low Risk"))</f>
        <v>Low Risk</v>
      </c>
    </row>
    <row r="716" customFormat="false" ht="12.8" hidden="false" customHeight="false" outlineLevel="0" collapsed="false">
      <c r="A716" s="1" t="s">
        <v>746</v>
      </c>
      <c r="B716" s="1" t="s">
        <v>36</v>
      </c>
      <c r="C716" s="1" t="s">
        <v>24</v>
      </c>
      <c r="D716" s="1" t="n">
        <v>9.71</v>
      </c>
      <c r="E716" s="1" t="n">
        <v>10</v>
      </c>
      <c r="F716" s="4" t="n">
        <v>44786</v>
      </c>
      <c r="G716" s="1" t="s">
        <v>25</v>
      </c>
      <c r="H716" s="1" t="n">
        <v>1</v>
      </c>
      <c r="I716" s="1" t="n">
        <v>41.7</v>
      </c>
      <c r="J716" s="1" t="n">
        <v>17</v>
      </c>
      <c r="K716" s="1" t="n">
        <v>4</v>
      </c>
      <c r="L716" s="1" t="n">
        <v>1</v>
      </c>
      <c r="M716" s="1" t="n">
        <v>0</v>
      </c>
      <c r="N716" s="1" t="n">
        <v>97.1</v>
      </c>
      <c r="O716" s="1" t="n">
        <v>0</v>
      </c>
      <c r="Q716" s="4" t="n">
        <v>45090</v>
      </c>
      <c r="R716" s="0" t="n">
        <f aca="false">IF(ISBLANK(F716),"Missing",IFERROR(YEAR(F716),"Missing"))</f>
        <v>2022</v>
      </c>
      <c r="S716" s="0" t="str">
        <f aca="false">IF(ISBLANK(E716),"Missing",IF(E716&lt;6,"0-6mo",IF(E716&lt;12,"6-12mo",IF(E716&lt;24,"12-24mo","24mo+"))))</f>
        <v>6-12mo</v>
      </c>
      <c r="T716" s="0" t="n">
        <f aca="false">IF(ISBLANK(C716),0,IF(C716="Month-to-month",2,IF(C716="One year",1,0)))+IF(ISBLANK(I716),0,IF(I716&lt;40,2,IF(I716&lt;55,1,0)))+IF(ISBLANK(M716),0,IF(M716=1,3,0))+IF(ISBLANK(L716),0,IF(L716&gt;=2,1,0))+IF(ISBLANK(E716),0,IF(E716&lt;12,1,0))</f>
        <v>4</v>
      </c>
      <c r="U716" s="0" t="str">
        <f aca="false">IF((ISBLANK(B716)*1+ISBLANK(C716)*1+ISBLANK(D716)*1+ISBLANK(E716)*1+ISBLANK(F716)*1+ISBLANK(I716)*1+ISBLANK(J716)*1+ISBLANK(K716)*1+ISBLANK(L716)*1+ISBLANK(M716)*1+ISBLANK(N716)*1+ISBLANK(O716)*1)&gt;0,"Missing Data","OK")</f>
        <v>OK</v>
      </c>
      <c r="V716" s="0" t="str">
        <f aca="false">IF(T716&gt;=6,"High Risk",IF(T716&gt;=3,"Medium Risk","Low Risk"))</f>
        <v>Medium Risk</v>
      </c>
    </row>
    <row r="717" customFormat="false" ht="12.8" hidden="false" customHeight="false" outlineLevel="0" collapsed="false">
      <c r="A717" s="1" t="s">
        <v>747</v>
      </c>
      <c r="B717" s="1" t="s">
        <v>23</v>
      </c>
      <c r="C717" s="1" t="s">
        <v>24</v>
      </c>
      <c r="D717" s="1" t="n">
        <v>19.94</v>
      </c>
      <c r="E717" s="1" t="n">
        <v>60</v>
      </c>
      <c r="F717" s="4" t="n">
        <v>44789</v>
      </c>
      <c r="G717" s="1" t="s">
        <v>39</v>
      </c>
      <c r="H717" s="1" t="n">
        <v>1</v>
      </c>
      <c r="I717" s="1" t="n">
        <v>46.9</v>
      </c>
      <c r="J717" s="1" t="n">
        <v>18</v>
      </c>
      <c r="K717" s="1" t="n">
        <v>3</v>
      </c>
      <c r="L717" s="1" t="n">
        <v>0</v>
      </c>
      <c r="M717" s="1" t="n">
        <v>0</v>
      </c>
      <c r="N717" s="1" t="n">
        <v>1196.4</v>
      </c>
      <c r="O717" s="1" t="n">
        <v>0</v>
      </c>
      <c r="Q717" s="4" t="n">
        <v>46293</v>
      </c>
      <c r="R717" s="0" t="n">
        <f aca="false">IF(ISBLANK(F717),"Missing",IFERROR(YEAR(F717),"Missing"))</f>
        <v>2022</v>
      </c>
      <c r="S717" s="0" t="str">
        <f aca="false">IF(ISBLANK(E717),"Missing",IF(E717&lt;6,"0-6mo",IF(E717&lt;12,"6-12mo",IF(E717&lt;24,"12-24mo","24mo+"))))</f>
        <v>24mo+</v>
      </c>
      <c r="T717" s="0" t="n">
        <f aca="false">IF(ISBLANK(C717),0,IF(C717="Month-to-month",2,IF(C717="One year",1,0)))+IF(ISBLANK(I717),0,IF(I717&lt;40,2,IF(I717&lt;55,1,0)))+IF(ISBLANK(M717),0,IF(M717=1,3,0))+IF(ISBLANK(L717),0,IF(L717&gt;=2,1,0))+IF(ISBLANK(E717),0,IF(E717&lt;12,1,0))</f>
        <v>3</v>
      </c>
      <c r="U717" s="0" t="str">
        <f aca="false">IF((ISBLANK(B717)*1+ISBLANK(C717)*1+ISBLANK(D717)*1+ISBLANK(E717)*1+ISBLANK(F717)*1+ISBLANK(I717)*1+ISBLANK(J717)*1+ISBLANK(K717)*1+ISBLANK(L717)*1+ISBLANK(M717)*1+ISBLANK(N717)*1+ISBLANK(O717)*1)&gt;0,"Missing Data","OK")</f>
        <v>OK</v>
      </c>
      <c r="V717" s="0" t="str">
        <f aca="false">IF(T717&gt;=6,"High Risk",IF(T717&gt;=3,"Medium Risk","Low Risk"))</f>
        <v>Medium Risk</v>
      </c>
    </row>
    <row r="718" customFormat="false" ht="12.8" hidden="false" customHeight="false" outlineLevel="0" collapsed="false">
      <c r="A718" s="1" t="s">
        <v>748</v>
      </c>
      <c r="B718" s="1" t="s">
        <v>23</v>
      </c>
      <c r="C718" s="1" t="s">
        <v>34</v>
      </c>
      <c r="D718" s="1" t="n">
        <v>19.2</v>
      </c>
      <c r="E718" s="1" t="n">
        <v>37</v>
      </c>
      <c r="F718" s="4" t="n">
        <v>44790</v>
      </c>
      <c r="G718" s="1" t="s">
        <v>39</v>
      </c>
      <c r="H718" s="1" t="n">
        <v>0</v>
      </c>
      <c r="I718" s="1" t="n">
        <v>56.9</v>
      </c>
      <c r="J718" s="1" t="n">
        <v>21</v>
      </c>
      <c r="K718" s="1" t="n">
        <v>6</v>
      </c>
      <c r="L718" s="1" t="n">
        <v>0</v>
      </c>
      <c r="M718" s="1" t="n">
        <v>0</v>
      </c>
      <c r="N718" s="1" t="n">
        <v>710.4</v>
      </c>
      <c r="O718" s="1" t="n">
        <v>0</v>
      </c>
      <c r="Q718" s="4" t="n">
        <v>45916</v>
      </c>
      <c r="R718" s="0" t="n">
        <f aca="false">IF(ISBLANK(F718),"Missing",IFERROR(YEAR(F718),"Missing"))</f>
        <v>2022</v>
      </c>
      <c r="S718" s="0" t="str">
        <f aca="false">IF(ISBLANK(E718),"Missing",IF(E718&lt;6,"0-6mo",IF(E718&lt;12,"6-12mo",IF(E718&lt;24,"12-24mo","24mo+"))))</f>
        <v>24mo+</v>
      </c>
      <c r="T718" s="0" t="n">
        <f aca="false">IF(ISBLANK(C718),0,IF(C718="Month-to-month",2,IF(C718="One year",1,0)))+IF(ISBLANK(I718),0,IF(I718&lt;40,2,IF(I718&lt;55,1,0)))+IF(ISBLANK(M718),0,IF(M718=1,3,0))+IF(ISBLANK(L718),0,IF(L718&gt;=2,1,0))+IF(ISBLANK(E718),0,IF(E718&lt;12,1,0))</f>
        <v>1</v>
      </c>
      <c r="U718" s="0" t="str">
        <f aca="false">IF((ISBLANK(B718)*1+ISBLANK(C718)*1+ISBLANK(D718)*1+ISBLANK(E718)*1+ISBLANK(F718)*1+ISBLANK(I718)*1+ISBLANK(J718)*1+ISBLANK(K718)*1+ISBLANK(L718)*1+ISBLANK(M718)*1+ISBLANK(N718)*1+ISBLANK(O718)*1)&gt;0,"Missing Data","OK")</f>
        <v>OK</v>
      </c>
      <c r="V718" s="0" t="str">
        <f aca="false">IF(T718&gt;=6,"High Risk",IF(T718&gt;=3,"Medium Risk","Low Risk"))</f>
        <v>Low Risk</v>
      </c>
    </row>
    <row r="719" customFormat="false" ht="12.8" hidden="false" customHeight="false" outlineLevel="0" collapsed="false">
      <c r="A719" s="1" t="s">
        <v>749</v>
      </c>
      <c r="B719" s="1" t="s">
        <v>29</v>
      </c>
      <c r="C719" s="1" t="s">
        <v>24</v>
      </c>
      <c r="D719" s="1" t="n">
        <v>40.84</v>
      </c>
      <c r="E719" s="1" t="n">
        <v>63</v>
      </c>
      <c r="F719" s="4" t="n">
        <v>44791</v>
      </c>
      <c r="G719" s="1" t="s">
        <v>25</v>
      </c>
      <c r="H719" s="1" t="n">
        <v>1</v>
      </c>
      <c r="I719" s="1" t="n">
        <v>69.1</v>
      </c>
      <c r="J719" s="1" t="n">
        <v>20</v>
      </c>
      <c r="K719" s="1" t="n">
        <v>7</v>
      </c>
      <c r="L719" s="1" t="n">
        <v>0</v>
      </c>
      <c r="M719" s="1" t="n">
        <v>0</v>
      </c>
      <c r="N719" s="1" t="n">
        <v>2572.92</v>
      </c>
      <c r="O719" s="1" t="n">
        <v>0</v>
      </c>
      <c r="Q719" s="4" t="n">
        <v>46293</v>
      </c>
      <c r="R719" s="0" t="n">
        <f aca="false">IF(ISBLANK(F719),"Missing",IFERROR(YEAR(F719),"Missing"))</f>
        <v>2022</v>
      </c>
      <c r="S719" s="0" t="str">
        <f aca="false">IF(ISBLANK(E719),"Missing",IF(E719&lt;6,"0-6mo",IF(E719&lt;12,"6-12mo",IF(E719&lt;24,"12-24mo","24mo+"))))</f>
        <v>24mo+</v>
      </c>
      <c r="T719" s="0" t="n">
        <f aca="false">IF(ISBLANK(C719),0,IF(C719="Month-to-month",2,IF(C719="One year",1,0)))+IF(ISBLANK(I719),0,IF(I719&lt;40,2,IF(I719&lt;55,1,0)))+IF(ISBLANK(M719),0,IF(M719=1,3,0))+IF(ISBLANK(L719),0,IF(L719&gt;=2,1,0))+IF(ISBLANK(E719),0,IF(E719&lt;12,1,0))</f>
        <v>2</v>
      </c>
      <c r="U719" s="0" t="str">
        <f aca="false">IF((ISBLANK(B719)*1+ISBLANK(C719)*1+ISBLANK(D719)*1+ISBLANK(E719)*1+ISBLANK(F719)*1+ISBLANK(I719)*1+ISBLANK(J719)*1+ISBLANK(K719)*1+ISBLANK(L719)*1+ISBLANK(M719)*1+ISBLANK(N719)*1+ISBLANK(O719)*1)&gt;0,"Missing Data","OK")</f>
        <v>OK</v>
      </c>
      <c r="V719" s="0" t="str">
        <f aca="false">IF(T719&gt;=6,"High Risk",IF(T719&gt;=3,"Medium Risk","Low Risk"))</f>
        <v>Low Risk</v>
      </c>
    </row>
    <row r="720" customFormat="false" ht="12.8" hidden="false" customHeight="false" outlineLevel="0" collapsed="false">
      <c r="A720" s="1" t="s">
        <v>750</v>
      </c>
      <c r="B720" s="1" t="s">
        <v>36</v>
      </c>
      <c r="C720" s="1" t="s">
        <v>34</v>
      </c>
      <c r="D720" s="1" t="n">
        <v>10.85</v>
      </c>
      <c r="E720" s="1" t="n">
        <v>22</v>
      </c>
      <c r="F720" s="4" t="n">
        <v>44795</v>
      </c>
      <c r="G720" s="1" t="s">
        <v>39</v>
      </c>
      <c r="H720" s="1" t="n">
        <v>0</v>
      </c>
      <c r="I720" s="1" t="n">
        <v>55.7</v>
      </c>
      <c r="J720" s="1" t="n">
        <v>13</v>
      </c>
      <c r="K720" s="1" t="n">
        <v>6</v>
      </c>
      <c r="L720" s="1" t="n">
        <v>2</v>
      </c>
      <c r="M720" s="1" t="n">
        <v>1</v>
      </c>
      <c r="N720" s="1" t="n">
        <v>238.7</v>
      </c>
      <c r="O720" s="1" t="n">
        <v>0</v>
      </c>
      <c r="Q720" s="4" t="n">
        <v>45464</v>
      </c>
      <c r="R720" s="0" t="n">
        <f aca="false">IF(ISBLANK(F720),"Missing",IFERROR(YEAR(F720),"Missing"))</f>
        <v>2022</v>
      </c>
      <c r="S720" s="0" t="str">
        <f aca="false">IF(ISBLANK(E720),"Missing",IF(E720&lt;6,"0-6mo",IF(E720&lt;12,"6-12mo",IF(E720&lt;24,"12-24mo","24mo+"))))</f>
        <v>12-24mo</v>
      </c>
      <c r="T720" s="0" t="n">
        <f aca="false">IF(ISBLANK(C720),0,IF(C720="Month-to-month",2,IF(C720="One year",1,0)))+IF(ISBLANK(I720),0,IF(I720&lt;40,2,IF(I720&lt;55,1,0)))+IF(ISBLANK(M720),0,IF(M720=1,3,0))+IF(ISBLANK(L720),0,IF(L720&gt;=2,1,0))+IF(ISBLANK(E720),0,IF(E720&lt;12,1,0))</f>
        <v>5</v>
      </c>
      <c r="U720" s="0" t="str">
        <f aca="false">IF((ISBLANK(B720)*1+ISBLANK(C720)*1+ISBLANK(D720)*1+ISBLANK(E720)*1+ISBLANK(F720)*1+ISBLANK(I720)*1+ISBLANK(J720)*1+ISBLANK(K720)*1+ISBLANK(L720)*1+ISBLANK(M720)*1+ISBLANK(N720)*1+ISBLANK(O720)*1)&gt;0,"Missing Data","OK")</f>
        <v>OK</v>
      </c>
      <c r="V720" s="0" t="str">
        <f aca="false">IF(T720&gt;=6,"High Risk",IF(T720&gt;=3,"Medium Risk","Low Risk"))</f>
        <v>Medium Risk</v>
      </c>
    </row>
    <row r="721" customFormat="false" ht="12.8" hidden="false" customHeight="false" outlineLevel="0" collapsed="false">
      <c r="A721" s="1" t="s">
        <v>751</v>
      </c>
      <c r="B721" s="1" t="s">
        <v>36</v>
      </c>
      <c r="C721" s="1" t="s">
        <v>24</v>
      </c>
      <c r="D721" s="1" t="n">
        <v>9.28</v>
      </c>
      <c r="E721" s="1" t="n">
        <v>4</v>
      </c>
      <c r="F721" s="4" t="n">
        <v>44796</v>
      </c>
      <c r="G721" s="1" t="s">
        <v>25</v>
      </c>
      <c r="H721" s="1" t="n">
        <v>0</v>
      </c>
      <c r="I721" s="1" t="n">
        <v>78.8</v>
      </c>
      <c r="J721" s="1" t="n">
        <v>23</v>
      </c>
      <c r="K721" s="1" t="n">
        <v>6</v>
      </c>
      <c r="L721" s="1" t="n">
        <v>0</v>
      </c>
      <c r="M721" s="1" t="n">
        <v>0</v>
      </c>
      <c r="N721" s="1" t="n">
        <v>37.12</v>
      </c>
      <c r="O721" s="1" t="n">
        <v>0</v>
      </c>
      <c r="Q721" s="4" t="n">
        <v>44917</v>
      </c>
      <c r="R721" s="0" t="n">
        <f aca="false">IF(ISBLANK(F721),"Missing",IFERROR(YEAR(F721),"Missing"))</f>
        <v>2022</v>
      </c>
      <c r="S721" s="0" t="str">
        <f aca="false">IF(ISBLANK(E721),"Missing",IF(E721&lt;6,"0-6mo",IF(E721&lt;12,"6-12mo",IF(E721&lt;24,"12-24mo","24mo+"))))</f>
        <v>0-6mo</v>
      </c>
      <c r="T721" s="0" t="n">
        <f aca="false">IF(ISBLANK(C721),0,IF(C721="Month-to-month",2,IF(C721="One year",1,0)))+IF(ISBLANK(I721),0,IF(I721&lt;40,2,IF(I721&lt;55,1,0)))+IF(ISBLANK(M721),0,IF(M721=1,3,0))+IF(ISBLANK(L721),0,IF(L721&gt;=2,1,0))+IF(ISBLANK(E721),0,IF(E721&lt;12,1,0))</f>
        <v>3</v>
      </c>
      <c r="U721" s="0" t="str">
        <f aca="false">IF((ISBLANK(B721)*1+ISBLANK(C721)*1+ISBLANK(D721)*1+ISBLANK(E721)*1+ISBLANK(F721)*1+ISBLANK(I721)*1+ISBLANK(J721)*1+ISBLANK(K721)*1+ISBLANK(L721)*1+ISBLANK(M721)*1+ISBLANK(N721)*1+ISBLANK(O721)*1)&gt;0,"Missing Data","OK")</f>
        <v>OK</v>
      </c>
      <c r="V721" s="0" t="str">
        <f aca="false">IF(T721&gt;=6,"High Risk",IF(T721&gt;=3,"Medium Risk","Low Risk"))</f>
        <v>Medium Risk</v>
      </c>
    </row>
    <row r="722" customFormat="false" ht="12.8" hidden="false" customHeight="false" outlineLevel="0" collapsed="false">
      <c r="A722" s="1" t="s">
        <v>752</v>
      </c>
      <c r="B722" s="1" t="s">
        <v>36</v>
      </c>
      <c r="C722" s="1" t="s">
        <v>24</v>
      </c>
      <c r="D722" s="1" t="n">
        <v>10.77</v>
      </c>
      <c r="E722" s="1" t="n">
        <v>12</v>
      </c>
      <c r="F722" s="4" t="n">
        <v>44798</v>
      </c>
      <c r="G722" s="1" t="s">
        <v>30</v>
      </c>
      <c r="H722" s="1" t="n">
        <v>1</v>
      </c>
      <c r="I722" s="1" t="n">
        <v>78.3</v>
      </c>
      <c r="J722" s="1" t="n">
        <v>25</v>
      </c>
      <c r="K722" s="1" t="n">
        <v>9</v>
      </c>
      <c r="L722" s="1" t="n">
        <v>1</v>
      </c>
      <c r="M722" s="1" t="n">
        <v>0</v>
      </c>
      <c r="N722" s="1" t="n">
        <v>129.24</v>
      </c>
      <c r="O722" s="1" t="n">
        <v>0</v>
      </c>
      <c r="Q722" s="4" t="n">
        <v>45163</v>
      </c>
      <c r="R722" s="0" t="n">
        <f aca="false">IF(ISBLANK(F722),"Missing",IFERROR(YEAR(F722),"Missing"))</f>
        <v>2022</v>
      </c>
      <c r="S722" s="0" t="str">
        <f aca="false">IF(ISBLANK(E722),"Missing",IF(E722&lt;6,"0-6mo",IF(E722&lt;12,"6-12mo",IF(E722&lt;24,"12-24mo","24mo+"))))</f>
        <v>12-24mo</v>
      </c>
      <c r="T722" s="0" t="n">
        <f aca="false">IF(ISBLANK(C722),0,IF(C722="Month-to-month",2,IF(C722="One year",1,0)))+IF(ISBLANK(I722),0,IF(I722&lt;40,2,IF(I722&lt;55,1,0)))+IF(ISBLANK(M722),0,IF(M722=1,3,0))+IF(ISBLANK(L722),0,IF(L722&gt;=2,1,0))+IF(ISBLANK(E722),0,IF(E722&lt;12,1,0))</f>
        <v>2</v>
      </c>
      <c r="U722" s="0" t="str">
        <f aca="false">IF((ISBLANK(B722)*1+ISBLANK(C722)*1+ISBLANK(D722)*1+ISBLANK(E722)*1+ISBLANK(F722)*1+ISBLANK(I722)*1+ISBLANK(J722)*1+ISBLANK(K722)*1+ISBLANK(L722)*1+ISBLANK(M722)*1+ISBLANK(N722)*1+ISBLANK(O722)*1)&gt;0,"Missing Data","OK")</f>
        <v>OK</v>
      </c>
      <c r="V722" s="0" t="str">
        <f aca="false">IF(T722&gt;=6,"High Risk",IF(T722&gt;=3,"Medium Risk","Low Risk"))</f>
        <v>Low Risk</v>
      </c>
    </row>
    <row r="723" customFormat="false" ht="12.8" hidden="false" customHeight="false" outlineLevel="0" collapsed="false">
      <c r="A723" s="1" t="s">
        <v>753</v>
      </c>
      <c r="B723" s="1" t="s">
        <v>36</v>
      </c>
      <c r="C723" s="1" t="s">
        <v>24</v>
      </c>
      <c r="D723" s="1" t="n">
        <v>10.5</v>
      </c>
      <c r="E723" s="1" t="n">
        <v>13</v>
      </c>
      <c r="F723" s="4" t="n">
        <v>44800</v>
      </c>
      <c r="G723" s="1" t="s">
        <v>25</v>
      </c>
      <c r="H723" s="1" t="n">
        <v>1</v>
      </c>
      <c r="I723" s="1" t="n">
        <v>78.6</v>
      </c>
      <c r="J723" s="1" t="n">
        <v>28</v>
      </c>
      <c r="K723" s="1" t="n">
        <v>9</v>
      </c>
      <c r="L723" s="1" t="n">
        <v>1</v>
      </c>
      <c r="M723" s="1" t="n">
        <v>0</v>
      </c>
      <c r="N723" s="1" t="n">
        <v>136.5</v>
      </c>
      <c r="O723" s="1" t="n">
        <v>0</v>
      </c>
      <c r="Q723" s="4" t="n">
        <v>45195</v>
      </c>
      <c r="R723" s="0" t="n">
        <f aca="false">IF(ISBLANK(F723),"Missing",IFERROR(YEAR(F723),"Missing"))</f>
        <v>2022</v>
      </c>
      <c r="S723" s="0" t="str">
        <f aca="false">IF(ISBLANK(E723),"Missing",IF(E723&lt;6,"0-6mo",IF(E723&lt;12,"6-12mo",IF(E723&lt;24,"12-24mo","24mo+"))))</f>
        <v>12-24mo</v>
      </c>
      <c r="T723" s="0" t="n">
        <f aca="false">IF(ISBLANK(C723),0,IF(C723="Month-to-month",2,IF(C723="One year",1,0)))+IF(ISBLANK(I723),0,IF(I723&lt;40,2,IF(I723&lt;55,1,0)))+IF(ISBLANK(M723),0,IF(M723=1,3,0))+IF(ISBLANK(L723),0,IF(L723&gt;=2,1,0))+IF(ISBLANK(E723),0,IF(E723&lt;12,1,0))</f>
        <v>2</v>
      </c>
      <c r="U723" s="0" t="str">
        <f aca="false">IF((ISBLANK(B723)*1+ISBLANK(C723)*1+ISBLANK(D723)*1+ISBLANK(E723)*1+ISBLANK(F723)*1+ISBLANK(I723)*1+ISBLANK(J723)*1+ISBLANK(K723)*1+ISBLANK(L723)*1+ISBLANK(M723)*1+ISBLANK(N723)*1+ISBLANK(O723)*1)&gt;0,"Missing Data","OK")</f>
        <v>OK</v>
      </c>
      <c r="V723" s="0" t="str">
        <f aca="false">IF(T723&gt;=6,"High Risk",IF(T723&gt;=3,"Medium Risk","Low Risk"))</f>
        <v>Low Risk</v>
      </c>
    </row>
    <row r="724" customFormat="false" ht="12.8" hidden="false" customHeight="false" outlineLevel="0" collapsed="false">
      <c r="A724" s="1" t="s">
        <v>754</v>
      </c>
      <c r="B724" s="1" t="s">
        <v>23</v>
      </c>
      <c r="C724" s="1" t="s">
        <v>34</v>
      </c>
      <c r="D724" s="1" t="n">
        <v>20.17</v>
      </c>
      <c r="E724" s="1" t="n">
        <v>18</v>
      </c>
      <c r="F724" s="4" t="n">
        <v>44801</v>
      </c>
      <c r="G724" s="1" t="s">
        <v>39</v>
      </c>
      <c r="H724" s="1" t="n">
        <v>1</v>
      </c>
      <c r="I724" s="1" t="n">
        <v>48.5</v>
      </c>
      <c r="J724" s="1" t="n">
        <v>18</v>
      </c>
      <c r="K724" s="1" t="n">
        <v>3</v>
      </c>
      <c r="L724" s="1" t="n">
        <v>1</v>
      </c>
      <c r="M724" s="1" t="n">
        <v>1</v>
      </c>
      <c r="N724" s="1" t="n">
        <v>363.06</v>
      </c>
      <c r="O724" s="1" t="n">
        <v>0</v>
      </c>
      <c r="Q724" s="4" t="n">
        <v>45348</v>
      </c>
      <c r="R724" s="0" t="n">
        <f aca="false">IF(ISBLANK(F724),"Missing",IFERROR(YEAR(F724),"Missing"))</f>
        <v>2022</v>
      </c>
      <c r="S724" s="0" t="str">
        <f aca="false">IF(ISBLANK(E724),"Missing",IF(E724&lt;6,"0-6mo",IF(E724&lt;12,"6-12mo",IF(E724&lt;24,"12-24mo","24mo+"))))</f>
        <v>12-24mo</v>
      </c>
      <c r="T724" s="0" t="n">
        <f aca="false">IF(ISBLANK(C724),0,IF(C724="Month-to-month",2,IF(C724="One year",1,0)))+IF(ISBLANK(I724),0,IF(I724&lt;40,2,IF(I724&lt;55,1,0)))+IF(ISBLANK(M724),0,IF(M724=1,3,0))+IF(ISBLANK(L724),0,IF(L724&gt;=2,1,0))+IF(ISBLANK(E724),0,IF(E724&lt;12,1,0))</f>
        <v>5</v>
      </c>
      <c r="U724" s="0" t="str">
        <f aca="false">IF((ISBLANK(B724)*1+ISBLANK(C724)*1+ISBLANK(D724)*1+ISBLANK(E724)*1+ISBLANK(F724)*1+ISBLANK(I724)*1+ISBLANK(J724)*1+ISBLANK(K724)*1+ISBLANK(L724)*1+ISBLANK(M724)*1+ISBLANK(N724)*1+ISBLANK(O724)*1)&gt;0,"Missing Data","OK")</f>
        <v>OK</v>
      </c>
      <c r="V724" s="0" t="str">
        <f aca="false">IF(T724&gt;=6,"High Risk",IF(T724&gt;=3,"Medium Risk","Low Risk"))</f>
        <v>Medium Risk</v>
      </c>
    </row>
    <row r="725" customFormat="false" ht="12.8" hidden="false" customHeight="false" outlineLevel="0" collapsed="false">
      <c r="A725" s="1" t="s">
        <v>755</v>
      </c>
      <c r="B725" s="1" t="s">
        <v>36</v>
      </c>
      <c r="C725" s="1" t="s">
        <v>24</v>
      </c>
      <c r="D725" s="1" t="n">
        <v>9.49</v>
      </c>
      <c r="E725" s="1" t="n">
        <v>19</v>
      </c>
      <c r="F725" s="4" t="n">
        <v>44803</v>
      </c>
      <c r="G725" s="1" t="s">
        <v>25</v>
      </c>
      <c r="H725" s="1" t="n">
        <v>1</v>
      </c>
      <c r="I725" s="1" t="n">
        <v>48.2</v>
      </c>
      <c r="J725" s="1" t="n">
        <v>14</v>
      </c>
      <c r="K725" s="1" t="n">
        <v>6</v>
      </c>
      <c r="L725" s="1" t="n">
        <v>0</v>
      </c>
      <c r="M725" s="1" t="n">
        <v>0</v>
      </c>
      <c r="N725" s="1" t="n">
        <v>180.31</v>
      </c>
      <c r="O725" s="1" t="n">
        <v>0</v>
      </c>
      <c r="Q725" s="4" t="n">
        <v>45381</v>
      </c>
      <c r="R725" s="0" t="n">
        <f aca="false">IF(ISBLANK(F725),"Missing",IFERROR(YEAR(F725),"Missing"))</f>
        <v>2022</v>
      </c>
      <c r="S725" s="0" t="str">
        <f aca="false">IF(ISBLANK(E725),"Missing",IF(E725&lt;6,"0-6mo",IF(E725&lt;12,"6-12mo",IF(E725&lt;24,"12-24mo","24mo+"))))</f>
        <v>12-24mo</v>
      </c>
      <c r="T725" s="0" t="n">
        <f aca="false">IF(ISBLANK(C725),0,IF(C725="Month-to-month",2,IF(C725="One year",1,0)))+IF(ISBLANK(I725),0,IF(I725&lt;40,2,IF(I725&lt;55,1,0)))+IF(ISBLANK(M725),0,IF(M725=1,3,0))+IF(ISBLANK(L725),0,IF(L725&gt;=2,1,0))+IF(ISBLANK(E725),0,IF(E725&lt;12,1,0))</f>
        <v>3</v>
      </c>
      <c r="U725" s="0" t="str">
        <f aca="false">IF((ISBLANK(B725)*1+ISBLANK(C725)*1+ISBLANK(D725)*1+ISBLANK(E725)*1+ISBLANK(F725)*1+ISBLANK(I725)*1+ISBLANK(J725)*1+ISBLANK(K725)*1+ISBLANK(L725)*1+ISBLANK(M725)*1+ISBLANK(N725)*1+ISBLANK(O725)*1)&gt;0,"Missing Data","OK")</f>
        <v>OK</v>
      </c>
      <c r="V725" s="0" t="str">
        <f aca="false">IF(T725&gt;=6,"High Risk",IF(T725&gt;=3,"Medium Risk","Low Risk"))</f>
        <v>Medium Risk</v>
      </c>
    </row>
    <row r="726" customFormat="false" ht="12.8" hidden="false" customHeight="false" outlineLevel="0" collapsed="false">
      <c r="A726" s="1" t="s">
        <v>756</v>
      </c>
      <c r="B726" s="1" t="s">
        <v>36</v>
      </c>
      <c r="C726" s="1" t="s">
        <v>51</v>
      </c>
      <c r="D726" s="1" t="n">
        <v>10.26</v>
      </c>
      <c r="E726" s="1" t="n">
        <v>72</v>
      </c>
      <c r="F726" s="4" t="n">
        <v>44805</v>
      </c>
      <c r="G726" s="1" t="s">
        <v>39</v>
      </c>
      <c r="H726" s="1" t="n">
        <v>1</v>
      </c>
      <c r="I726" s="1" t="n">
        <v>91.4</v>
      </c>
      <c r="J726" s="1" t="n">
        <v>32</v>
      </c>
      <c r="K726" s="1" t="n">
        <v>7</v>
      </c>
      <c r="L726" s="1" t="n">
        <v>0</v>
      </c>
      <c r="M726" s="1" t="n">
        <v>0</v>
      </c>
      <c r="N726" s="1" t="n">
        <v>738.72</v>
      </c>
      <c r="O726" s="1" t="n">
        <v>0</v>
      </c>
      <c r="Q726" s="4" t="n">
        <v>46293</v>
      </c>
      <c r="R726" s="0" t="n">
        <f aca="false">IF(ISBLANK(F726),"Missing",IFERROR(YEAR(F726),"Missing"))</f>
        <v>2022</v>
      </c>
      <c r="S726" s="0" t="str">
        <f aca="false">IF(ISBLANK(E726),"Missing",IF(E726&lt;6,"0-6mo",IF(E726&lt;12,"6-12mo",IF(E726&lt;24,"12-24mo","24mo+"))))</f>
        <v>24mo+</v>
      </c>
      <c r="T726" s="0" t="n">
        <f aca="false">IF(ISBLANK(C726),0,IF(C726="Month-to-month",2,IF(C726="One year",1,0)))+IF(ISBLANK(I726),0,IF(I726&lt;40,2,IF(I726&lt;55,1,0)))+IF(ISBLANK(M726),0,IF(M726=1,3,0))+IF(ISBLANK(L726),0,IF(L726&gt;=2,1,0))+IF(ISBLANK(E726),0,IF(E726&lt;12,1,0))</f>
        <v>0</v>
      </c>
      <c r="U726" s="0" t="str">
        <f aca="false">IF((ISBLANK(B726)*1+ISBLANK(C726)*1+ISBLANK(D726)*1+ISBLANK(E726)*1+ISBLANK(F726)*1+ISBLANK(I726)*1+ISBLANK(J726)*1+ISBLANK(K726)*1+ISBLANK(L726)*1+ISBLANK(M726)*1+ISBLANK(N726)*1+ISBLANK(O726)*1)&gt;0,"Missing Data","OK")</f>
        <v>OK</v>
      </c>
      <c r="V726" s="0" t="str">
        <f aca="false">IF(T726&gt;=6,"High Risk",IF(T726&gt;=3,"Medium Risk","Low Risk"))</f>
        <v>Low Risk</v>
      </c>
    </row>
    <row r="727" customFormat="false" ht="12.8" hidden="false" customHeight="false" outlineLevel="0" collapsed="false">
      <c r="A727" s="1" t="s">
        <v>757</v>
      </c>
      <c r="B727" s="1" t="s">
        <v>23</v>
      </c>
      <c r="C727" s="1" t="s">
        <v>51</v>
      </c>
      <c r="D727" s="1" t="n">
        <v>19.92</v>
      </c>
      <c r="E727" s="1" t="n">
        <v>28</v>
      </c>
      <c r="F727" s="4" t="n">
        <v>44806</v>
      </c>
      <c r="G727" s="1" t="s">
        <v>25</v>
      </c>
      <c r="H727" s="1" t="n">
        <v>0</v>
      </c>
      <c r="I727" s="1" t="n">
        <v>44.7</v>
      </c>
      <c r="J727" s="1" t="n">
        <v>8</v>
      </c>
      <c r="K727" s="1" t="n">
        <v>4</v>
      </c>
      <c r="L727" s="1" t="n">
        <v>1</v>
      </c>
      <c r="M727" s="1" t="n">
        <v>0</v>
      </c>
      <c r="N727" s="1" t="n">
        <v>557.76</v>
      </c>
      <c r="O727" s="1" t="n">
        <v>0</v>
      </c>
      <c r="Q727" s="4" t="n">
        <v>45658</v>
      </c>
      <c r="R727" s="0" t="n">
        <f aca="false">IF(ISBLANK(F727),"Missing",IFERROR(YEAR(F727),"Missing"))</f>
        <v>2022</v>
      </c>
      <c r="S727" s="0" t="str">
        <f aca="false">IF(ISBLANK(E727),"Missing",IF(E727&lt;6,"0-6mo",IF(E727&lt;12,"6-12mo",IF(E727&lt;24,"12-24mo","24mo+"))))</f>
        <v>24mo+</v>
      </c>
      <c r="T727" s="0" t="n">
        <f aca="false">IF(ISBLANK(C727),0,IF(C727="Month-to-month",2,IF(C727="One year",1,0)))+IF(ISBLANK(I727),0,IF(I727&lt;40,2,IF(I727&lt;55,1,0)))+IF(ISBLANK(M727),0,IF(M727=1,3,0))+IF(ISBLANK(L727),0,IF(L727&gt;=2,1,0))+IF(ISBLANK(E727),0,IF(E727&lt;12,1,0))</f>
        <v>1</v>
      </c>
      <c r="U727" s="0" t="str">
        <f aca="false">IF((ISBLANK(B727)*1+ISBLANK(C727)*1+ISBLANK(D727)*1+ISBLANK(E727)*1+ISBLANK(F727)*1+ISBLANK(I727)*1+ISBLANK(J727)*1+ISBLANK(K727)*1+ISBLANK(L727)*1+ISBLANK(M727)*1+ISBLANK(N727)*1+ISBLANK(O727)*1)&gt;0,"Missing Data","OK")</f>
        <v>OK</v>
      </c>
      <c r="V727" s="0" t="str">
        <f aca="false">IF(T727&gt;=6,"High Risk",IF(T727&gt;=3,"Medium Risk","Low Risk"))</f>
        <v>Low Risk</v>
      </c>
    </row>
    <row r="728" customFormat="false" ht="12.8" hidden="false" customHeight="false" outlineLevel="0" collapsed="false">
      <c r="A728" s="1" t="s">
        <v>758</v>
      </c>
      <c r="B728" s="1" t="s">
        <v>36</v>
      </c>
      <c r="C728" s="1" t="s">
        <v>51</v>
      </c>
      <c r="D728" s="1" t="n">
        <v>11.18</v>
      </c>
      <c r="E728" s="1" t="n">
        <v>4</v>
      </c>
      <c r="F728" s="4" t="n">
        <v>44806</v>
      </c>
      <c r="G728" s="1" t="s">
        <v>25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2</v>
      </c>
      <c r="M728" s="1" t="n">
        <v>0</v>
      </c>
      <c r="N728" s="1" t="n">
        <v>44.72</v>
      </c>
      <c r="O728" s="1" t="n">
        <v>0</v>
      </c>
      <c r="Q728" s="4" t="n">
        <v>44927</v>
      </c>
      <c r="R728" s="0" t="n">
        <f aca="false">IF(ISBLANK(F728),"Missing",IFERROR(YEAR(F728),"Missing"))</f>
        <v>2022</v>
      </c>
      <c r="S728" s="0" t="str">
        <f aca="false">IF(ISBLANK(E728),"Missing",IF(E728&lt;6,"0-6mo",IF(E728&lt;12,"6-12mo",IF(E728&lt;24,"12-24mo","24mo+"))))</f>
        <v>0-6mo</v>
      </c>
      <c r="T728" s="0" t="n">
        <f aca="false">IF(ISBLANK(C728),0,IF(C728="Month-to-month",2,IF(C728="One year",1,0)))+IF(ISBLANK(I728),0,IF(I728&lt;40,2,IF(I728&lt;55,1,0)))+IF(ISBLANK(M728),0,IF(M728=1,3,0))+IF(ISBLANK(L728),0,IF(L728&gt;=2,1,0))+IF(ISBLANK(E728),0,IF(E728&lt;12,1,0))</f>
        <v>4</v>
      </c>
      <c r="U728" s="0" t="str">
        <f aca="false">IF((ISBLANK(B728)*1+ISBLANK(C728)*1+ISBLANK(D728)*1+ISBLANK(E728)*1+ISBLANK(F728)*1+ISBLANK(I728)*1+ISBLANK(J728)*1+ISBLANK(K728)*1+ISBLANK(L728)*1+ISBLANK(M728)*1+ISBLANK(N728)*1+ISBLANK(O728)*1)&gt;0,"Missing Data","OK")</f>
        <v>OK</v>
      </c>
      <c r="V728" s="0" t="str">
        <f aca="false">IF(T728&gt;=6,"High Risk",IF(T728&gt;=3,"Medium Risk","Low Risk"))</f>
        <v>Medium Risk</v>
      </c>
    </row>
    <row r="729" customFormat="false" ht="12.8" hidden="false" customHeight="false" outlineLevel="0" collapsed="false">
      <c r="A729" s="1" t="s">
        <v>759</v>
      </c>
      <c r="B729" s="1" t="s">
        <v>23</v>
      </c>
      <c r="C729" s="1" t="s">
        <v>24</v>
      </c>
      <c r="D729" s="1" t="n">
        <v>19.78</v>
      </c>
      <c r="E729" s="1" t="n">
        <v>72</v>
      </c>
      <c r="F729" s="4" t="n">
        <v>44807</v>
      </c>
      <c r="G729" s="1" t="s">
        <v>39</v>
      </c>
      <c r="H729" s="1" t="n">
        <v>0</v>
      </c>
      <c r="I729" s="1" t="n">
        <v>81.8</v>
      </c>
      <c r="J729" s="1" t="n">
        <v>29</v>
      </c>
      <c r="K729" s="1" t="n">
        <v>10</v>
      </c>
      <c r="L729" s="1" t="n">
        <v>0</v>
      </c>
      <c r="M729" s="1" t="n">
        <v>0</v>
      </c>
      <c r="N729" s="1" t="n">
        <v>1424.16</v>
      </c>
      <c r="O729" s="1" t="n">
        <v>0</v>
      </c>
      <c r="Q729" s="4" t="n">
        <v>46293</v>
      </c>
      <c r="R729" s="0" t="n">
        <f aca="false">IF(ISBLANK(F729),"Missing",IFERROR(YEAR(F729),"Missing"))</f>
        <v>2022</v>
      </c>
      <c r="S729" s="0" t="str">
        <f aca="false">IF(ISBLANK(E729),"Missing",IF(E729&lt;6,"0-6mo",IF(E729&lt;12,"6-12mo",IF(E729&lt;24,"12-24mo","24mo+"))))</f>
        <v>24mo+</v>
      </c>
      <c r="T729" s="0" t="n">
        <f aca="false">IF(ISBLANK(C729),0,IF(C729="Month-to-month",2,IF(C729="One year",1,0)))+IF(ISBLANK(I729),0,IF(I729&lt;40,2,IF(I729&lt;55,1,0)))+IF(ISBLANK(M729),0,IF(M729=1,3,0))+IF(ISBLANK(L729),0,IF(L729&gt;=2,1,0))+IF(ISBLANK(E729),0,IF(E729&lt;12,1,0))</f>
        <v>2</v>
      </c>
      <c r="U729" s="0" t="str">
        <f aca="false">IF((ISBLANK(B729)*1+ISBLANK(C729)*1+ISBLANK(D729)*1+ISBLANK(E729)*1+ISBLANK(F729)*1+ISBLANK(I729)*1+ISBLANK(J729)*1+ISBLANK(K729)*1+ISBLANK(L729)*1+ISBLANK(M729)*1+ISBLANK(N729)*1+ISBLANK(O729)*1)&gt;0,"Missing Data","OK")</f>
        <v>OK</v>
      </c>
      <c r="V729" s="0" t="str">
        <f aca="false">IF(T729&gt;=6,"High Risk",IF(T729&gt;=3,"Medium Risk","Low Risk"))</f>
        <v>Low Risk</v>
      </c>
    </row>
    <row r="730" customFormat="false" ht="12.8" hidden="false" customHeight="false" outlineLevel="0" collapsed="false">
      <c r="A730" s="1" t="s">
        <v>760</v>
      </c>
      <c r="B730" s="1" t="s">
        <v>23</v>
      </c>
      <c r="C730" s="1" t="s">
        <v>24</v>
      </c>
      <c r="D730" s="1" t="n">
        <v>21.14</v>
      </c>
      <c r="E730" s="1" t="n">
        <v>1</v>
      </c>
      <c r="F730" s="4" t="n">
        <v>44808</v>
      </c>
      <c r="G730" s="1" t="s">
        <v>30</v>
      </c>
      <c r="H730" s="1" t="n">
        <v>1</v>
      </c>
      <c r="I730" s="1" t="n">
        <v>58.9</v>
      </c>
      <c r="J730" s="1" t="n">
        <v>13</v>
      </c>
      <c r="K730" s="1" t="n">
        <v>5</v>
      </c>
      <c r="L730" s="1" t="n">
        <v>2</v>
      </c>
      <c r="M730" s="1" t="n">
        <v>0</v>
      </c>
      <c r="N730" s="1" t="n">
        <v>21.14</v>
      </c>
      <c r="O730" s="1" t="n">
        <v>0</v>
      </c>
      <c r="Q730" s="4" t="n">
        <v>44838</v>
      </c>
      <c r="R730" s="0" t="n">
        <f aca="false">IF(ISBLANK(F730),"Missing",IFERROR(YEAR(F730),"Missing"))</f>
        <v>2022</v>
      </c>
      <c r="S730" s="0" t="str">
        <f aca="false">IF(ISBLANK(E730),"Missing",IF(E730&lt;6,"0-6mo",IF(E730&lt;12,"6-12mo",IF(E730&lt;24,"12-24mo","24mo+"))))</f>
        <v>0-6mo</v>
      </c>
      <c r="T730" s="0" t="n">
        <f aca="false">IF(ISBLANK(C730),0,IF(C730="Month-to-month",2,IF(C730="One year",1,0)))+IF(ISBLANK(I730),0,IF(I730&lt;40,2,IF(I730&lt;55,1,0)))+IF(ISBLANK(M730),0,IF(M730=1,3,0))+IF(ISBLANK(L730),0,IF(L730&gt;=2,1,0))+IF(ISBLANK(E730),0,IF(E730&lt;12,1,0))</f>
        <v>4</v>
      </c>
      <c r="U730" s="0" t="str">
        <f aca="false">IF((ISBLANK(B730)*1+ISBLANK(C730)*1+ISBLANK(D730)*1+ISBLANK(E730)*1+ISBLANK(F730)*1+ISBLANK(I730)*1+ISBLANK(J730)*1+ISBLANK(K730)*1+ISBLANK(L730)*1+ISBLANK(M730)*1+ISBLANK(N730)*1+ISBLANK(O730)*1)&gt;0,"Missing Data","OK")</f>
        <v>OK</v>
      </c>
      <c r="V730" s="0" t="str">
        <f aca="false">IF(T730&gt;=6,"High Risk",IF(T730&gt;=3,"Medium Risk","Low Risk"))</f>
        <v>Medium Risk</v>
      </c>
    </row>
    <row r="731" customFormat="false" ht="12.8" hidden="false" customHeight="false" outlineLevel="0" collapsed="false">
      <c r="A731" s="1" t="s">
        <v>761</v>
      </c>
      <c r="B731" s="1" t="s">
        <v>29</v>
      </c>
      <c r="C731" s="1" t="s">
        <v>24</v>
      </c>
      <c r="D731" s="1" t="n">
        <v>40.83</v>
      </c>
      <c r="E731" s="1" t="n">
        <v>14</v>
      </c>
      <c r="F731" s="4" t="n">
        <v>44810</v>
      </c>
      <c r="G731" s="1" t="s">
        <v>30</v>
      </c>
      <c r="H731" s="1" t="n">
        <v>0</v>
      </c>
      <c r="I731" s="1" t="n">
        <v>84.2</v>
      </c>
      <c r="J731" s="1" t="n">
        <v>21</v>
      </c>
      <c r="K731" s="1" t="n">
        <v>6</v>
      </c>
      <c r="L731" s="1" t="n">
        <v>0</v>
      </c>
      <c r="M731" s="1" t="n">
        <v>0</v>
      </c>
      <c r="N731" s="1" t="n">
        <v>571.62</v>
      </c>
      <c r="O731" s="1" t="n">
        <v>0</v>
      </c>
      <c r="Q731" s="4" t="n">
        <v>45236</v>
      </c>
      <c r="R731" s="0" t="n">
        <f aca="false">IF(ISBLANK(F731),"Missing",IFERROR(YEAR(F731),"Missing"))</f>
        <v>2022</v>
      </c>
      <c r="S731" s="0" t="str">
        <f aca="false">IF(ISBLANK(E731),"Missing",IF(E731&lt;6,"0-6mo",IF(E731&lt;12,"6-12mo",IF(E731&lt;24,"12-24mo","24mo+"))))</f>
        <v>12-24mo</v>
      </c>
      <c r="T731" s="0" t="n">
        <f aca="false">IF(ISBLANK(C731),0,IF(C731="Month-to-month",2,IF(C731="One year",1,0)))+IF(ISBLANK(I731),0,IF(I731&lt;40,2,IF(I731&lt;55,1,0)))+IF(ISBLANK(M731),0,IF(M731=1,3,0))+IF(ISBLANK(L731),0,IF(L731&gt;=2,1,0))+IF(ISBLANK(E731),0,IF(E731&lt;12,1,0))</f>
        <v>2</v>
      </c>
      <c r="U731" s="0" t="str">
        <f aca="false">IF((ISBLANK(B731)*1+ISBLANK(C731)*1+ISBLANK(D731)*1+ISBLANK(E731)*1+ISBLANK(F731)*1+ISBLANK(I731)*1+ISBLANK(J731)*1+ISBLANK(K731)*1+ISBLANK(L731)*1+ISBLANK(M731)*1+ISBLANK(N731)*1+ISBLANK(O731)*1)&gt;0,"Missing Data","OK")</f>
        <v>OK</v>
      </c>
      <c r="V731" s="0" t="str">
        <f aca="false">IF(T731&gt;=6,"High Risk",IF(T731&gt;=3,"Medium Risk","Low Risk"))</f>
        <v>Low Risk</v>
      </c>
    </row>
    <row r="732" customFormat="false" ht="12.8" hidden="false" customHeight="false" outlineLevel="0" collapsed="false">
      <c r="A732" s="1" t="s">
        <v>762</v>
      </c>
      <c r="B732" s="1" t="s">
        <v>36</v>
      </c>
      <c r="C732" s="1" t="s">
        <v>34</v>
      </c>
      <c r="D732" s="1" t="n">
        <v>11.45</v>
      </c>
      <c r="E732" s="1" t="n">
        <v>31</v>
      </c>
      <c r="F732" s="4" t="n">
        <v>44810</v>
      </c>
      <c r="G732" s="1" t="s">
        <v>30</v>
      </c>
      <c r="H732" s="1" t="n">
        <v>0</v>
      </c>
      <c r="I732" s="1" t="n">
        <v>58.3</v>
      </c>
      <c r="J732" s="1" t="n">
        <v>24</v>
      </c>
      <c r="K732" s="1" t="n">
        <v>6</v>
      </c>
      <c r="L732" s="1" t="n">
        <v>2</v>
      </c>
      <c r="M732" s="1" t="n">
        <v>1</v>
      </c>
      <c r="N732" s="1" t="n">
        <v>354.95</v>
      </c>
      <c r="O732" s="1" t="n">
        <v>0</v>
      </c>
      <c r="Q732" s="4" t="n">
        <v>45753</v>
      </c>
      <c r="R732" s="0" t="n">
        <f aca="false">IF(ISBLANK(F732),"Missing",IFERROR(YEAR(F732),"Missing"))</f>
        <v>2022</v>
      </c>
      <c r="S732" s="0" t="str">
        <f aca="false">IF(ISBLANK(E732),"Missing",IF(E732&lt;6,"0-6mo",IF(E732&lt;12,"6-12mo",IF(E732&lt;24,"12-24mo","24mo+"))))</f>
        <v>24mo+</v>
      </c>
      <c r="T732" s="0" t="n">
        <f aca="false">IF(ISBLANK(C732),0,IF(C732="Month-to-month",2,IF(C732="One year",1,0)))+IF(ISBLANK(I732),0,IF(I732&lt;40,2,IF(I732&lt;55,1,0)))+IF(ISBLANK(M732),0,IF(M732=1,3,0))+IF(ISBLANK(L732),0,IF(L732&gt;=2,1,0))+IF(ISBLANK(E732),0,IF(E732&lt;12,1,0))</f>
        <v>5</v>
      </c>
      <c r="U732" s="0" t="str">
        <f aca="false">IF((ISBLANK(B732)*1+ISBLANK(C732)*1+ISBLANK(D732)*1+ISBLANK(E732)*1+ISBLANK(F732)*1+ISBLANK(I732)*1+ISBLANK(J732)*1+ISBLANK(K732)*1+ISBLANK(L732)*1+ISBLANK(M732)*1+ISBLANK(N732)*1+ISBLANK(O732)*1)&gt;0,"Missing Data","OK")</f>
        <v>OK</v>
      </c>
      <c r="V732" s="0" t="str">
        <f aca="false">IF(T732&gt;=6,"High Risk",IF(T732&gt;=3,"Medium Risk","Low Risk"))</f>
        <v>Medium Risk</v>
      </c>
    </row>
    <row r="733" customFormat="false" ht="12.8" hidden="false" customHeight="false" outlineLevel="0" collapsed="false">
      <c r="A733" s="1" t="s">
        <v>763</v>
      </c>
      <c r="B733" s="1" t="s">
        <v>29</v>
      </c>
      <c r="C733" s="1" t="s">
        <v>51</v>
      </c>
      <c r="D733" s="1" t="n">
        <v>41.79</v>
      </c>
      <c r="E733" s="1" t="n">
        <v>17</v>
      </c>
      <c r="F733" s="4" t="n">
        <v>44812</v>
      </c>
      <c r="G733" s="1" t="s">
        <v>25</v>
      </c>
      <c r="H733" s="1" t="n">
        <v>1</v>
      </c>
      <c r="I733" s="1" t="n">
        <v>57.5</v>
      </c>
      <c r="J733" s="1" t="n">
        <v>14</v>
      </c>
      <c r="K733" s="1" t="n">
        <v>3</v>
      </c>
      <c r="L733" s="1" t="n">
        <v>3</v>
      </c>
      <c r="M733" s="1" t="n">
        <v>0</v>
      </c>
      <c r="N733" s="1" t="n">
        <v>710.43</v>
      </c>
      <c r="O733" s="1" t="n">
        <v>0</v>
      </c>
      <c r="Q733" s="4" t="n">
        <v>45329</v>
      </c>
      <c r="R733" s="0" t="n">
        <f aca="false">IF(ISBLANK(F733),"Missing",IFERROR(YEAR(F733),"Missing"))</f>
        <v>2022</v>
      </c>
      <c r="S733" s="0" t="str">
        <f aca="false">IF(ISBLANK(E733),"Missing",IF(E733&lt;6,"0-6mo",IF(E733&lt;12,"6-12mo",IF(E733&lt;24,"12-24mo","24mo+"))))</f>
        <v>12-24mo</v>
      </c>
      <c r="T733" s="0" t="n">
        <f aca="false">IF(ISBLANK(C733),0,IF(C733="Month-to-month",2,IF(C733="One year",1,0)))+IF(ISBLANK(I733),0,IF(I733&lt;40,2,IF(I733&lt;55,1,0)))+IF(ISBLANK(M733),0,IF(M733=1,3,0))+IF(ISBLANK(L733),0,IF(L733&gt;=2,1,0))+IF(ISBLANK(E733),0,IF(E733&lt;12,1,0))</f>
        <v>1</v>
      </c>
      <c r="U733" s="0" t="str">
        <f aca="false">IF((ISBLANK(B733)*1+ISBLANK(C733)*1+ISBLANK(D733)*1+ISBLANK(E733)*1+ISBLANK(F733)*1+ISBLANK(I733)*1+ISBLANK(J733)*1+ISBLANK(K733)*1+ISBLANK(L733)*1+ISBLANK(M733)*1+ISBLANK(N733)*1+ISBLANK(O733)*1)&gt;0,"Missing Data","OK")</f>
        <v>OK</v>
      </c>
      <c r="V733" s="0" t="str">
        <f aca="false">IF(T733&gt;=6,"High Risk",IF(T733&gt;=3,"Medium Risk","Low Risk"))</f>
        <v>Low Risk</v>
      </c>
    </row>
    <row r="734" customFormat="false" ht="12.8" hidden="false" customHeight="false" outlineLevel="0" collapsed="false">
      <c r="A734" s="1" t="s">
        <v>764</v>
      </c>
      <c r="B734" s="1" t="s">
        <v>23</v>
      </c>
      <c r="C734" s="1" t="s">
        <v>24</v>
      </c>
      <c r="D734" s="1" t="n">
        <v>20.49</v>
      </c>
      <c r="E734" s="1" t="n">
        <v>12</v>
      </c>
      <c r="F734" s="4" t="n">
        <v>44813</v>
      </c>
      <c r="G734" s="1" t="s">
        <v>39</v>
      </c>
      <c r="H734" s="1" t="n">
        <v>1</v>
      </c>
      <c r="I734" s="1" t="n">
        <v>64.3</v>
      </c>
      <c r="J734" s="1" t="n">
        <v>18</v>
      </c>
      <c r="K734" s="1" t="n">
        <v>8</v>
      </c>
      <c r="L734" s="1" t="n">
        <v>1</v>
      </c>
      <c r="M734" s="1" t="n">
        <v>0</v>
      </c>
      <c r="N734" s="1" t="n">
        <v>245.88</v>
      </c>
      <c r="O734" s="1" t="n">
        <v>0</v>
      </c>
      <c r="Q734" s="4" t="n">
        <v>45178</v>
      </c>
      <c r="R734" s="0" t="n">
        <f aca="false">IF(ISBLANK(F734),"Missing",IFERROR(YEAR(F734),"Missing"))</f>
        <v>2022</v>
      </c>
      <c r="S734" s="0" t="str">
        <f aca="false">IF(ISBLANK(E734),"Missing",IF(E734&lt;6,"0-6mo",IF(E734&lt;12,"6-12mo",IF(E734&lt;24,"12-24mo","24mo+"))))</f>
        <v>12-24mo</v>
      </c>
      <c r="T734" s="0" t="n">
        <f aca="false">IF(ISBLANK(C734),0,IF(C734="Month-to-month",2,IF(C734="One year",1,0)))+IF(ISBLANK(I734),0,IF(I734&lt;40,2,IF(I734&lt;55,1,0)))+IF(ISBLANK(M734),0,IF(M734=1,3,0))+IF(ISBLANK(L734),0,IF(L734&gt;=2,1,0))+IF(ISBLANK(E734),0,IF(E734&lt;12,1,0))</f>
        <v>2</v>
      </c>
      <c r="U734" s="0" t="str">
        <f aca="false">IF((ISBLANK(B734)*1+ISBLANK(C734)*1+ISBLANK(D734)*1+ISBLANK(E734)*1+ISBLANK(F734)*1+ISBLANK(I734)*1+ISBLANK(J734)*1+ISBLANK(K734)*1+ISBLANK(L734)*1+ISBLANK(M734)*1+ISBLANK(N734)*1+ISBLANK(O734)*1)&gt;0,"Missing Data","OK")</f>
        <v>OK</v>
      </c>
      <c r="V734" s="0" t="str">
        <f aca="false">IF(T734&gt;=6,"High Risk",IF(T734&gt;=3,"Medium Risk","Low Risk"))</f>
        <v>Low Risk</v>
      </c>
    </row>
    <row r="735" customFormat="false" ht="12.8" hidden="false" customHeight="false" outlineLevel="0" collapsed="false">
      <c r="A735" s="1" t="s">
        <v>765</v>
      </c>
      <c r="B735" s="1" t="s">
        <v>23</v>
      </c>
      <c r="C735" s="1" t="s">
        <v>34</v>
      </c>
      <c r="D735" s="1" t="n">
        <v>21.05</v>
      </c>
      <c r="E735" s="1" t="n">
        <v>21</v>
      </c>
      <c r="F735" s="4" t="n">
        <v>44815</v>
      </c>
      <c r="G735" s="1" t="s">
        <v>30</v>
      </c>
      <c r="H735" s="1" t="n">
        <v>0</v>
      </c>
      <c r="I735" s="1" t="n">
        <v>54.9</v>
      </c>
      <c r="J735" s="1" t="n">
        <v>9</v>
      </c>
      <c r="K735" s="1" t="n">
        <v>6</v>
      </c>
      <c r="L735" s="1" t="n">
        <v>1</v>
      </c>
      <c r="M735" s="1" t="n">
        <v>1</v>
      </c>
      <c r="N735" s="1" t="n">
        <v>442.05</v>
      </c>
      <c r="O735" s="1" t="n">
        <v>0</v>
      </c>
      <c r="Q735" s="4" t="n">
        <v>45454</v>
      </c>
      <c r="R735" s="0" t="n">
        <f aca="false">IF(ISBLANK(F735),"Missing",IFERROR(YEAR(F735),"Missing"))</f>
        <v>2022</v>
      </c>
      <c r="S735" s="0" t="str">
        <f aca="false">IF(ISBLANK(E735),"Missing",IF(E735&lt;6,"0-6mo",IF(E735&lt;12,"6-12mo",IF(E735&lt;24,"12-24mo","24mo+"))))</f>
        <v>12-24mo</v>
      </c>
      <c r="T735" s="0" t="n">
        <f aca="false">IF(ISBLANK(C735),0,IF(C735="Month-to-month",2,IF(C735="One year",1,0)))+IF(ISBLANK(I735),0,IF(I735&lt;40,2,IF(I735&lt;55,1,0)))+IF(ISBLANK(M735),0,IF(M735=1,3,0))+IF(ISBLANK(L735),0,IF(L735&gt;=2,1,0))+IF(ISBLANK(E735),0,IF(E735&lt;12,1,0))</f>
        <v>5</v>
      </c>
      <c r="U735" s="0" t="str">
        <f aca="false">IF((ISBLANK(B735)*1+ISBLANK(C735)*1+ISBLANK(D735)*1+ISBLANK(E735)*1+ISBLANK(F735)*1+ISBLANK(I735)*1+ISBLANK(J735)*1+ISBLANK(K735)*1+ISBLANK(L735)*1+ISBLANK(M735)*1+ISBLANK(N735)*1+ISBLANK(O735)*1)&gt;0,"Missing Data","OK")</f>
        <v>OK</v>
      </c>
      <c r="V735" s="0" t="str">
        <f aca="false">IF(T735&gt;=6,"High Risk",IF(T735&gt;=3,"Medium Risk","Low Risk"))</f>
        <v>Medium Risk</v>
      </c>
    </row>
    <row r="736" customFormat="false" ht="12.8" hidden="false" customHeight="false" outlineLevel="0" collapsed="false">
      <c r="A736" s="1" t="s">
        <v>766</v>
      </c>
      <c r="B736" s="1" t="s">
        <v>29</v>
      </c>
      <c r="C736" s="1" t="s">
        <v>24</v>
      </c>
      <c r="D736" s="1" t="n">
        <v>42.22</v>
      </c>
      <c r="E736" s="1" t="n">
        <v>6</v>
      </c>
      <c r="F736" s="4" t="n">
        <v>44819</v>
      </c>
      <c r="G736" s="1" t="s">
        <v>25</v>
      </c>
      <c r="H736" s="1" t="n">
        <v>0</v>
      </c>
      <c r="I736" s="1" t="n">
        <v>78.4</v>
      </c>
      <c r="J736" s="1" t="n">
        <v>25</v>
      </c>
      <c r="K736" s="1" t="n">
        <v>8</v>
      </c>
      <c r="L736" s="1" t="n">
        <v>2</v>
      </c>
      <c r="M736" s="1" t="n">
        <v>0</v>
      </c>
      <c r="N736" s="1" t="n">
        <v>253.32</v>
      </c>
      <c r="O736" s="1" t="n">
        <v>0</v>
      </c>
      <c r="Q736" s="4" t="n">
        <v>45001</v>
      </c>
      <c r="R736" s="0" t="n">
        <f aca="false">IF(ISBLANK(F736),"Missing",IFERROR(YEAR(F736),"Missing"))</f>
        <v>2022</v>
      </c>
      <c r="S736" s="0" t="str">
        <f aca="false">IF(ISBLANK(E736),"Missing",IF(E736&lt;6,"0-6mo",IF(E736&lt;12,"6-12mo",IF(E736&lt;24,"12-24mo","24mo+"))))</f>
        <v>6-12mo</v>
      </c>
      <c r="T736" s="0" t="n">
        <f aca="false">IF(ISBLANK(C736),0,IF(C736="Month-to-month",2,IF(C736="One year",1,0)))+IF(ISBLANK(I736),0,IF(I736&lt;40,2,IF(I736&lt;55,1,0)))+IF(ISBLANK(M736),0,IF(M736=1,3,0))+IF(ISBLANK(L736),0,IF(L736&gt;=2,1,0))+IF(ISBLANK(E736),0,IF(E736&lt;12,1,0))</f>
        <v>4</v>
      </c>
      <c r="U736" s="0" t="str">
        <f aca="false">IF((ISBLANK(B736)*1+ISBLANK(C736)*1+ISBLANK(D736)*1+ISBLANK(E736)*1+ISBLANK(F736)*1+ISBLANK(I736)*1+ISBLANK(J736)*1+ISBLANK(K736)*1+ISBLANK(L736)*1+ISBLANK(M736)*1+ISBLANK(N736)*1+ISBLANK(O736)*1)&gt;0,"Missing Data","OK")</f>
        <v>OK</v>
      </c>
      <c r="V736" s="0" t="str">
        <f aca="false">IF(T736&gt;=6,"High Risk",IF(T736&gt;=3,"Medium Risk","Low Risk"))</f>
        <v>Medium Risk</v>
      </c>
    </row>
    <row r="737" customFormat="false" ht="12.8" hidden="false" customHeight="false" outlineLevel="0" collapsed="false">
      <c r="A737" s="1" t="s">
        <v>767</v>
      </c>
      <c r="B737" s="1" t="s">
        <v>36</v>
      </c>
      <c r="C737" s="1" t="s">
        <v>34</v>
      </c>
      <c r="D737" s="1" t="n">
        <v>9.31</v>
      </c>
      <c r="E737" s="1" t="n">
        <v>16</v>
      </c>
      <c r="F737" s="4" t="n">
        <v>44819</v>
      </c>
      <c r="G737" s="1" t="s">
        <v>30</v>
      </c>
      <c r="H737" s="1" t="n">
        <v>1</v>
      </c>
      <c r="I737" s="1" t="n">
        <v>59.5</v>
      </c>
      <c r="J737" s="1" t="n">
        <v>18</v>
      </c>
      <c r="K737" s="1" t="n">
        <v>5</v>
      </c>
      <c r="L737" s="1" t="n">
        <v>1</v>
      </c>
      <c r="M737" s="1" t="n">
        <v>0</v>
      </c>
      <c r="N737" s="1" t="n">
        <v>148.96</v>
      </c>
      <c r="O737" s="1" t="n">
        <v>0</v>
      </c>
      <c r="Q737" s="4" t="n">
        <v>45306</v>
      </c>
      <c r="R737" s="0" t="n">
        <f aca="false">IF(ISBLANK(F737),"Missing",IFERROR(YEAR(F737),"Missing"))</f>
        <v>2022</v>
      </c>
      <c r="S737" s="0" t="str">
        <f aca="false">IF(ISBLANK(E737),"Missing",IF(E737&lt;6,"0-6mo",IF(E737&lt;12,"6-12mo",IF(E737&lt;24,"12-24mo","24mo+"))))</f>
        <v>12-24mo</v>
      </c>
      <c r="T737" s="0" t="n">
        <f aca="false">IF(ISBLANK(C737),0,IF(C737="Month-to-month",2,IF(C737="One year",1,0)))+IF(ISBLANK(I737),0,IF(I737&lt;40,2,IF(I737&lt;55,1,0)))+IF(ISBLANK(M737),0,IF(M737=1,3,0))+IF(ISBLANK(L737),0,IF(L737&gt;=2,1,0))+IF(ISBLANK(E737),0,IF(E737&lt;12,1,0))</f>
        <v>1</v>
      </c>
      <c r="U737" s="0" t="str">
        <f aca="false">IF((ISBLANK(B737)*1+ISBLANK(C737)*1+ISBLANK(D737)*1+ISBLANK(E737)*1+ISBLANK(F737)*1+ISBLANK(I737)*1+ISBLANK(J737)*1+ISBLANK(K737)*1+ISBLANK(L737)*1+ISBLANK(M737)*1+ISBLANK(N737)*1+ISBLANK(O737)*1)&gt;0,"Missing Data","OK")</f>
        <v>OK</v>
      </c>
      <c r="V737" s="0" t="str">
        <f aca="false">IF(T737&gt;=6,"High Risk",IF(T737&gt;=3,"Medium Risk","Low Risk"))</f>
        <v>Low Risk</v>
      </c>
    </row>
    <row r="738" customFormat="false" ht="12.8" hidden="false" customHeight="false" outlineLevel="0" collapsed="false">
      <c r="A738" s="1" t="s">
        <v>768</v>
      </c>
      <c r="B738" s="1" t="s">
        <v>36</v>
      </c>
      <c r="C738" s="1" t="s">
        <v>24</v>
      </c>
      <c r="D738" s="1" t="n">
        <v>9.99</v>
      </c>
      <c r="E738" s="1" t="n">
        <v>72</v>
      </c>
      <c r="F738" s="4" t="n">
        <v>44820</v>
      </c>
      <c r="G738" s="1" t="s">
        <v>30</v>
      </c>
      <c r="H738" s="1" t="n">
        <v>1</v>
      </c>
      <c r="I738" s="1" t="n">
        <v>33.9</v>
      </c>
      <c r="J738" s="1" t="n">
        <v>5</v>
      </c>
      <c r="K738" s="1" t="n">
        <v>5</v>
      </c>
      <c r="L738" s="1" t="n">
        <v>1</v>
      </c>
      <c r="M738" s="1" t="n">
        <v>0</v>
      </c>
      <c r="N738" s="1" t="n">
        <v>719.28</v>
      </c>
      <c r="O738" s="1" t="n">
        <v>0</v>
      </c>
      <c r="Q738" s="4" t="n">
        <v>46293</v>
      </c>
      <c r="R738" s="0" t="n">
        <f aca="false">IF(ISBLANK(F738),"Missing",IFERROR(YEAR(F738),"Missing"))</f>
        <v>2022</v>
      </c>
      <c r="S738" s="0" t="str">
        <f aca="false">IF(ISBLANK(E738),"Missing",IF(E738&lt;6,"0-6mo",IF(E738&lt;12,"6-12mo",IF(E738&lt;24,"12-24mo","24mo+"))))</f>
        <v>24mo+</v>
      </c>
      <c r="T738" s="0" t="n">
        <f aca="false">IF(ISBLANK(C738),0,IF(C738="Month-to-month",2,IF(C738="One year",1,0)))+IF(ISBLANK(I738),0,IF(I738&lt;40,2,IF(I738&lt;55,1,0)))+IF(ISBLANK(M738),0,IF(M738=1,3,0))+IF(ISBLANK(L738),0,IF(L738&gt;=2,1,0))+IF(ISBLANK(E738),0,IF(E738&lt;12,1,0))</f>
        <v>4</v>
      </c>
      <c r="U738" s="0" t="str">
        <f aca="false">IF((ISBLANK(B738)*1+ISBLANK(C738)*1+ISBLANK(D738)*1+ISBLANK(E738)*1+ISBLANK(F738)*1+ISBLANK(I738)*1+ISBLANK(J738)*1+ISBLANK(K738)*1+ISBLANK(L738)*1+ISBLANK(M738)*1+ISBLANK(N738)*1+ISBLANK(O738)*1)&gt;0,"Missing Data","OK")</f>
        <v>OK</v>
      </c>
      <c r="V738" s="0" t="str">
        <f aca="false">IF(T738&gt;=6,"High Risk",IF(T738&gt;=3,"Medium Risk","Low Risk"))</f>
        <v>Medium Risk</v>
      </c>
    </row>
    <row r="739" customFormat="false" ht="12.8" hidden="false" customHeight="false" outlineLevel="0" collapsed="false">
      <c r="A739" s="1" t="s">
        <v>769</v>
      </c>
      <c r="B739" s="1" t="s">
        <v>29</v>
      </c>
      <c r="C739" s="1" t="s">
        <v>24</v>
      </c>
      <c r="D739" s="1" t="n">
        <v>41.36</v>
      </c>
      <c r="E739" s="1" t="n">
        <v>2</v>
      </c>
      <c r="F739" s="4" t="n">
        <v>44820</v>
      </c>
      <c r="G739" s="1" t="s">
        <v>25</v>
      </c>
      <c r="H739" s="1" t="n">
        <v>1</v>
      </c>
      <c r="I739" s="1" t="n">
        <v>49</v>
      </c>
      <c r="J739" s="1" t="n">
        <v>18</v>
      </c>
      <c r="K739" s="1" t="n">
        <v>7</v>
      </c>
      <c r="L739" s="1" t="n">
        <v>2</v>
      </c>
      <c r="M739" s="1" t="n">
        <v>1</v>
      </c>
      <c r="N739" s="1" t="n">
        <v>82.72</v>
      </c>
      <c r="O739" s="1" t="n">
        <v>1</v>
      </c>
      <c r="P739" s="4" t="n">
        <v>44880</v>
      </c>
      <c r="Q739" s="4" t="n">
        <v>44880</v>
      </c>
      <c r="R739" s="0" t="n">
        <f aca="false">IF(ISBLANK(F739),"Missing",IFERROR(YEAR(F739),"Missing"))</f>
        <v>2022</v>
      </c>
      <c r="S739" s="0" t="str">
        <f aca="false">IF(ISBLANK(E739),"Missing",IF(E739&lt;6,"0-6mo",IF(E739&lt;12,"6-12mo",IF(E739&lt;24,"12-24mo","24mo+"))))</f>
        <v>0-6mo</v>
      </c>
      <c r="T739" s="0" t="n">
        <f aca="false">IF(ISBLANK(C739),0,IF(C739="Month-to-month",2,IF(C739="One year",1,0)))+IF(ISBLANK(I739),0,IF(I739&lt;40,2,IF(I739&lt;55,1,0)))+IF(ISBLANK(M739),0,IF(M739=1,3,0))+IF(ISBLANK(L739),0,IF(L739&gt;=2,1,0))+IF(ISBLANK(E739),0,IF(E739&lt;12,1,0))</f>
        <v>8</v>
      </c>
      <c r="U739" s="0" t="str">
        <f aca="false">IF((ISBLANK(B739)*1+ISBLANK(C739)*1+ISBLANK(D739)*1+ISBLANK(E739)*1+ISBLANK(F739)*1+ISBLANK(I739)*1+ISBLANK(J739)*1+ISBLANK(K739)*1+ISBLANK(L739)*1+ISBLANK(M739)*1+ISBLANK(N739)*1+ISBLANK(O739)*1)&gt;0,"Missing Data","OK")</f>
        <v>OK</v>
      </c>
      <c r="V739" s="0" t="str">
        <f aca="false">IF(T739&gt;=6,"High Risk",IF(T739&gt;=3,"Medium Risk","Low Risk"))</f>
        <v>High Risk</v>
      </c>
    </row>
    <row r="740" customFormat="false" ht="12.8" hidden="false" customHeight="false" outlineLevel="0" collapsed="false">
      <c r="A740" s="1" t="s">
        <v>770</v>
      </c>
      <c r="B740" s="1" t="s">
        <v>36</v>
      </c>
      <c r="C740" s="1" t="s">
        <v>24</v>
      </c>
      <c r="D740" s="1" t="n">
        <v>8.67</v>
      </c>
      <c r="E740" s="1" t="n">
        <v>66</v>
      </c>
      <c r="F740" s="4" t="n">
        <v>44825</v>
      </c>
      <c r="G740" s="1" t="s">
        <v>25</v>
      </c>
      <c r="H740" s="1" t="n">
        <v>1</v>
      </c>
      <c r="I740" s="1" t="n">
        <v>77</v>
      </c>
      <c r="J740" s="1" t="n">
        <v>25</v>
      </c>
      <c r="K740" s="1" t="n">
        <v>10</v>
      </c>
      <c r="L740" s="1" t="n">
        <v>4</v>
      </c>
      <c r="M740" s="1" t="n">
        <v>0</v>
      </c>
      <c r="N740" s="1" t="n">
        <v>572.22</v>
      </c>
      <c r="O740" s="1" t="n">
        <v>0</v>
      </c>
      <c r="Q740" s="4" t="n">
        <v>46293</v>
      </c>
      <c r="R740" s="0" t="n">
        <f aca="false">IF(ISBLANK(F740),"Missing",IFERROR(YEAR(F740),"Missing"))</f>
        <v>2022</v>
      </c>
      <c r="S740" s="0" t="str">
        <f aca="false">IF(ISBLANK(E740),"Missing",IF(E740&lt;6,"0-6mo",IF(E740&lt;12,"6-12mo",IF(E740&lt;24,"12-24mo","24mo+"))))</f>
        <v>24mo+</v>
      </c>
      <c r="T740" s="0" t="n">
        <f aca="false">IF(ISBLANK(C740),0,IF(C740="Month-to-month",2,IF(C740="One year",1,0)))+IF(ISBLANK(I740),0,IF(I740&lt;40,2,IF(I740&lt;55,1,0)))+IF(ISBLANK(M740),0,IF(M740=1,3,0))+IF(ISBLANK(L740),0,IF(L740&gt;=2,1,0))+IF(ISBLANK(E740),0,IF(E740&lt;12,1,0))</f>
        <v>3</v>
      </c>
      <c r="U740" s="0" t="str">
        <f aca="false">IF((ISBLANK(B740)*1+ISBLANK(C740)*1+ISBLANK(D740)*1+ISBLANK(E740)*1+ISBLANK(F740)*1+ISBLANK(I740)*1+ISBLANK(J740)*1+ISBLANK(K740)*1+ISBLANK(L740)*1+ISBLANK(M740)*1+ISBLANK(N740)*1+ISBLANK(O740)*1)&gt;0,"Missing Data","OK")</f>
        <v>OK</v>
      </c>
      <c r="V740" s="0" t="str">
        <f aca="false">IF(T740&gt;=6,"High Risk",IF(T740&gt;=3,"Medium Risk","Low Risk"))</f>
        <v>Medium Risk</v>
      </c>
    </row>
    <row r="741" customFormat="false" ht="12.8" hidden="false" customHeight="false" outlineLevel="0" collapsed="false">
      <c r="A741" s="1" t="s">
        <v>771</v>
      </c>
      <c r="B741" s="1" t="s">
        <v>36</v>
      </c>
      <c r="C741" s="1" t="s">
        <v>24</v>
      </c>
      <c r="D741" s="1" t="n">
        <v>11.18</v>
      </c>
      <c r="E741" s="1" t="n">
        <v>72</v>
      </c>
      <c r="F741" s="4" t="n">
        <v>44827</v>
      </c>
      <c r="G741" s="1" t="s">
        <v>27</v>
      </c>
      <c r="H741" s="1" t="n">
        <v>1</v>
      </c>
      <c r="I741" s="1" t="n">
        <v>65</v>
      </c>
      <c r="J741" s="1" t="n">
        <v>21</v>
      </c>
      <c r="K741" s="1" t="n">
        <v>7</v>
      </c>
      <c r="L741" s="1" t="n">
        <v>2</v>
      </c>
      <c r="M741" s="1" t="n">
        <v>0</v>
      </c>
      <c r="N741" s="1" t="n">
        <v>804.96</v>
      </c>
      <c r="O741" s="1" t="n">
        <v>0</v>
      </c>
      <c r="Q741" s="4" t="n">
        <v>46293</v>
      </c>
      <c r="R741" s="0" t="n">
        <f aca="false">IF(ISBLANK(F741),"Missing",IFERROR(YEAR(F741),"Missing"))</f>
        <v>2022</v>
      </c>
      <c r="S741" s="0" t="str">
        <f aca="false">IF(ISBLANK(E741),"Missing",IF(E741&lt;6,"0-6mo",IF(E741&lt;12,"6-12mo",IF(E741&lt;24,"12-24mo","24mo+"))))</f>
        <v>24mo+</v>
      </c>
      <c r="T741" s="0" t="n">
        <f aca="false">IF(ISBLANK(C741),0,IF(C741="Month-to-month",2,IF(C741="One year",1,0)))+IF(ISBLANK(I741),0,IF(I741&lt;40,2,IF(I741&lt;55,1,0)))+IF(ISBLANK(M741),0,IF(M741=1,3,0))+IF(ISBLANK(L741),0,IF(L741&gt;=2,1,0))+IF(ISBLANK(E741),0,IF(E741&lt;12,1,0))</f>
        <v>3</v>
      </c>
      <c r="U741" s="0" t="str">
        <f aca="false">IF((ISBLANK(B741)*1+ISBLANK(C741)*1+ISBLANK(D741)*1+ISBLANK(E741)*1+ISBLANK(F741)*1+ISBLANK(I741)*1+ISBLANK(J741)*1+ISBLANK(K741)*1+ISBLANK(L741)*1+ISBLANK(M741)*1+ISBLANK(N741)*1+ISBLANK(O741)*1)&gt;0,"Missing Data","OK")</f>
        <v>OK</v>
      </c>
      <c r="V741" s="0" t="str">
        <f aca="false">IF(T741&gt;=6,"High Risk",IF(T741&gt;=3,"Medium Risk","Low Risk"))</f>
        <v>Medium Risk</v>
      </c>
    </row>
    <row r="742" customFormat="false" ht="12.8" hidden="false" customHeight="false" outlineLevel="0" collapsed="false">
      <c r="A742" s="1" t="s">
        <v>772</v>
      </c>
      <c r="B742" s="1" t="s">
        <v>23</v>
      </c>
      <c r="C742" s="1" t="s">
        <v>34</v>
      </c>
      <c r="D742" s="1" t="n">
        <v>19.27</v>
      </c>
      <c r="E742" s="1" t="n">
        <v>39</v>
      </c>
      <c r="F742" s="4" t="n">
        <v>44827</v>
      </c>
      <c r="G742" s="1" t="s">
        <v>39</v>
      </c>
      <c r="H742" s="1" t="n">
        <v>0</v>
      </c>
      <c r="I742" s="1" t="n">
        <v>55</v>
      </c>
      <c r="J742" s="1" t="n">
        <v>9</v>
      </c>
      <c r="K742" s="1" t="n">
        <v>4</v>
      </c>
      <c r="L742" s="1" t="n">
        <v>1</v>
      </c>
      <c r="M742" s="1" t="n">
        <v>0</v>
      </c>
      <c r="N742" s="1" t="n">
        <v>751.53</v>
      </c>
      <c r="O742" s="1" t="n">
        <v>0</v>
      </c>
      <c r="Q742" s="4" t="n">
        <v>46014</v>
      </c>
      <c r="R742" s="0" t="n">
        <f aca="false">IF(ISBLANK(F742),"Missing",IFERROR(YEAR(F742),"Missing"))</f>
        <v>2022</v>
      </c>
      <c r="S742" s="0" t="str">
        <f aca="false">IF(ISBLANK(E742),"Missing",IF(E742&lt;6,"0-6mo",IF(E742&lt;12,"6-12mo",IF(E742&lt;24,"12-24mo","24mo+"))))</f>
        <v>24mo+</v>
      </c>
      <c r="T742" s="0" t="n">
        <f aca="false">IF(ISBLANK(C742),0,IF(C742="Month-to-month",2,IF(C742="One year",1,0)))+IF(ISBLANK(I742),0,IF(I742&lt;40,2,IF(I742&lt;55,1,0)))+IF(ISBLANK(M742),0,IF(M742=1,3,0))+IF(ISBLANK(L742),0,IF(L742&gt;=2,1,0))+IF(ISBLANK(E742),0,IF(E742&lt;12,1,0))</f>
        <v>1</v>
      </c>
      <c r="U742" s="0" t="str">
        <f aca="false">IF((ISBLANK(B742)*1+ISBLANK(C742)*1+ISBLANK(D742)*1+ISBLANK(E742)*1+ISBLANK(F742)*1+ISBLANK(I742)*1+ISBLANK(J742)*1+ISBLANK(K742)*1+ISBLANK(L742)*1+ISBLANK(M742)*1+ISBLANK(N742)*1+ISBLANK(O742)*1)&gt;0,"Missing Data","OK")</f>
        <v>OK</v>
      </c>
      <c r="V742" s="0" t="str">
        <f aca="false">IF(T742&gt;=6,"High Risk",IF(T742&gt;=3,"Medium Risk","Low Risk"))</f>
        <v>Low Risk</v>
      </c>
    </row>
    <row r="743" customFormat="false" ht="12.8" hidden="false" customHeight="false" outlineLevel="0" collapsed="false">
      <c r="A743" s="1" t="s">
        <v>773</v>
      </c>
      <c r="B743" s="1" t="s">
        <v>36</v>
      </c>
      <c r="C743" s="1" t="s">
        <v>24</v>
      </c>
      <c r="D743" s="1" t="n">
        <v>11.44</v>
      </c>
      <c r="E743" s="1" t="n">
        <v>34</v>
      </c>
      <c r="F743" s="4" t="n">
        <v>44829</v>
      </c>
      <c r="G743" s="1" t="s">
        <v>27</v>
      </c>
      <c r="H743" s="1" t="n">
        <v>1</v>
      </c>
      <c r="I743" s="1" t="n">
        <v>81.2</v>
      </c>
      <c r="J743" s="1" t="n">
        <v>22</v>
      </c>
      <c r="K743" s="1" t="n">
        <v>6</v>
      </c>
      <c r="L743" s="1" t="n">
        <v>2</v>
      </c>
      <c r="M743" s="1" t="n">
        <v>0</v>
      </c>
      <c r="N743" s="1" t="n">
        <v>388.96</v>
      </c>
      <c r="O743" s="1" t="n">
        <v>0</v>
      </c>
      <c r="Q743" s="4" t="n">
        <v>45863</v>
      </c>
      <c r="R743" s="0" t="n">
        <f aca="false">IF(ISBLANK(F743),"Missing",IFERROR(YEAR(F743),"Missing"))</f>
        <v>2022</v>
      </c>
      <c r="S743" s="0" t="str">
        <f aca="false">IF(ISBLANK(E743),"Missing",IF(E743&lt;6,"0-6mo",IF(E743&lt;12,"6-12mo",IF(E743&lt;24,"12-24mo","24mo+"))))</f>
        <v>24mo+</v>
      </c>
      <c r="T743" s="0" t="n">
        <f aca="false">IF(ISBLANK(C743),0,IF(C743="Month-to-month",2,IF(C743="One year",1,0)))+IF(ISBLANK(I743),0,IF(I743&lt;40,2,IF(I743&lt;55,1,0)))+IF(ISBLANK(M743),0,IF(M743=1,3,0))+IF(ISBLANK(L743),0,IF(L743&gt;=2,1,0))+IF(ISBLANK(E743),0,IF(E743&lt;12,1,0))</f>
        <v>3</v>
      </c>
      <c r="U743" s="0" t="str">
        <f aca="false">IF((ISBLANK(B743)*1+ISBLANK(C743)*1+ISBLANK(D743)*1+ISBLANK(E743)*1+ISBLANK(F743)*1+ISBLANK(I743)*1+ISBLANK(J743)*1+ISBLANK(K743)*1+ISBLANK(L743)*1+ISBLANK(M743)*1+ISBLANK(N743)*1+ISBLANK(O743)*1)&gt;0,"Missing Data","OK")</f>
        <v>OK</v>
      </c>
      <c r="V743" s="0" t="str">
        <f aca="false">IF(T743&gt;=6,"High Risk",IF(T743&gt;=3,"Medium Risk","Low Risk"))</f>
        <v>Medium Risk</v>
      </c>
    </row>
    <row r="744" customFormat="false" ht="12.8" hidden="false" customHeight="false" outlineLevel="0" collapsed="false">
      <c r="A744" s="1" t="s">
        <v>774</v>
      </c>
      <c r="B744" s="1" t="s">
        <v>36</v>
      </c>
      <c r="C744" s="1" t="s">
        <v>24</v>
      </c>
      <c r="D744" s="1" t="n">
        <v>8.68</v>
      </c>
      <c r="E744" s="1" t="n">
        <v>56</v>
      </c>
      <c r="F744" s="4" t="n">
        <v>44831</v>
      </c>
      <c r="G744" s="1" t="s">
        <v>25</v>
      </c>
      <c r="H744" s="1" t="n">
        <v>1</v>
      </c>
      <c r="I744" s="1" t="n">
        <v>57.3</v>
      </c>
      <c r="J744" s="1" t="n">
        <v>18</v>
      </c>
      <c r="K744" s="1" t="n">
        <v>8</v>
      </c>
      <c r="L744" s="1" t="n">
        <v>3</v>
      </c>
      <c r="M744" s="1" t="n">
        <v>1</v>
      </c>
      <c r="N744" s="1" t="n">
        <v>486.08</v>
      </c>
      <c r="O744" s="1" t="n">
        <v>0</v>
      </c>
      <c r="Q744" s="4" t="n">
        <v>46293</v>
      </c>
      <c r="R744" s="0" t="n">
        <f aca="false">IF(ISBLANK(F744),"Missing",IFERROR(YEAR(F744),"Missing"))</f>
        <v>2022</v>
      </c>
      <c r="S744" s="0" t="str">
        <f aca="false">IF(ISBLANK(E744),"Missing",IF(E744&lt;6,"0-6mo",IF(E744&lt;12,"6-12mo",IF(E744&lt;24,"12-24mo","24mo+"))))</f>
        <v>24mo+</v>
      </c>
      <c r="T744" s="0" t="n">
        <f aca="false">IF(ISBLANK(C744),0,IF(C744="Month-to-month",2,IF(C744="One year",1,0)))+IF(ISBLANK(I744),0,IF(I744&lt;40,2,IF(I744&lt;55,1,0)))+IF(ISBLANK(M744),0,IF(M744=1,3,0))+IF(ISBLANK(L744),0,IF(L744&gt;=2,1,0))+IF(ISBLANK(E744),0,IF(E744&lt;12,1,0))</f>
        <v>6</v>
      </c>
      <c r="U744" s="0" t="str">
        <f aca="false">IF((ISBLANK(B744)*1+ISBLANK(C744)*1+ISBLANK(D744)*1+ISBLANK(E744)*1+ISBLANK(F744)*1+ISBLANK(I744)*1+ISBLANK(J744)*1+ISBLANK(K744)*1+ISBLANK(L744)*1+ISBLANK(M744)*1+ISBLANK(N744)*1+ISBLANK(O744)*1)&gt;0,"Missing Data","OK")</f>
        <v>OK</v>
      </c>
      <c r="V744" s="0" t="str">
        <f aca="false">IF(T744&gt;=6,"High Risk",IF(T744&gt;=3,"Medium Risk","Low Risk"))</f>
        <v>High Risk</v>
      </c>
    </row>
    <row r="745" customFormat="false" ht="12.8" hidden="false" customHeight="false" outlineLevel="0" collapsed="false">
      <c r="A745" s="1" t="s">
        <v>775</v>
      </c>
      <c r="B745" s="1" t="s">
        <v>23</v>
      </c>
      <c r="C745" s="1" t="s">
        <v>24</v>
      </c>
      <c r="D745" s="1" t="n">
        <v>19.95</v>
      </c>
      <c r="E745" s="1" t="n">
        <v>28</v>
      </c>
      <c r="F745" s="4" t="n">
        <v>44832</v>
      </c>
      <c r="G745" s="1" t="s">
        <v>25</v>
      </c>
      <c r="H745" s="1" t="n">
        <v>1</v>
      </c>
      <c r="I745" s="1" t="n">
        <v>74.3</v>
      </c>
      <c r="J745" s="1" t="n">
        <v>23</v>
      </c>
      <c r="K745" s="1" t="n">
        <v>7</v>
      </c>
      <c r="L745" s="1" t="n">
        <v>0</v>
      </c>
      <c r="M745" s="1" t="n">
        <v>0</v>
      </c>
      <c r="N745" s="1" t="n">
        <v>558.6</v>
      </c>
      <c r="O745" s="1" t="n">
        <v>0</v>
      </c>
      <c r="Q745" s="4" t="n">
        <v>45684</v>
      </c>
      <c r="R745" s="0" t="n">
        <f aca="false">IF(ISBLANK(F745),"Missing",IFERROR(YEAR(F745),"Missing"))</f>
        <v>2022</v>
      </c>
      <c r="S745" s="0" t="str">
        <f aca="false">IF(ISBLANK(E745),"Missing",IF(E745&lt;6,"0-6mo",IF(E745&lt;12,"6-12mo",IF(E745&lt;24,"12-24mo","24mo+"))))</f>
        <v>24mo+</v>
      </c>
      <c r="T745" s="0" t="n">
        <f aca="false">IF(ISBLANK(C745),0,IF(C745="Month-to-month",2,IF(C745="One year",1,0)))+IF(ISBLANK(I745),0,IF(I745&lt;40,2,IF(I745&lt;55,1,0)))+IF(ISBLANK(M745),0,IF(M745=1,3,0))+IF(ISBLANK(L745),0,IF(L745&gt;=2,1,0))+IF(ISBLANK(E745),0,IF(E745&lt;12,1,0))</f>
        <v>2</v>
      </c>
      <c r="U745" s="0" t="str">
        <f aca="false">IF((ISBLANK(B745)*1+ISBLANK(C745)*1+ISBLANK(D745)*1+ISBLANK(E745)*1+ISBLANK(F745)*1+ISBLANK(I745)*1+ISBLANK(J745)*1+ISBLANK(K745)*1+ISBLANK(L745)*1+ISBLANK(M745)*1+ISBLANK(N745)*1+ISBLANK(O745)*1)&gt;0,"Missing Data","OK")</f>
        <v>OK</v>
      </c>
      <c r="V745" s="0" t="str">
        <f aca="false">IF(T745&gt;=6,"High Risk",IF(T745&gt;=3,"Medium Risk","Low Risk"))</f>
        <v>Low Risk</v>
      </c>
    </row>
    <row r="746" customFormat="false" ht="12.8" hidden="false" customHeight="false" outlineLevel="0" collapsed="false">
      <c r="A746" s="1" t="s">
        <v>776</v>
      </c>
      <c r="B746" s="1" t="s">
        <v>23</v>
      </c>
      <c r="C746" s="1" t="s">
        <v>34</v>
      </c>
      <c r="D746" s="1" t="n">
        <v>19.34</v>
      </c>
      <c r="E746" s="1" t="n">
        <v>21</v>
      </c>
      <c r="F746" s="4" t="n">
        <v>44834</v>
      </c>
      <c r="G746" s="1" t="s">
        <v>39</v>
      </c>
      <c r="H746" s="1" t="n">
        <v>1</v>
      </c>
      <c r="I746" s="1" t="n">
        <v>76.5</v>
      </c>
      <c r="J746" s="1" t="n">
        <v>21</v>
      </c>
      <c r="K746" s="1" t="n">
        <v>5</v>
      </c>
      <c r="L746" s="1" t="n">
        <v>0</v>
      </c>
      <c r="M746" s="1" t="n">
        <v>0</v>
      </c>
      <c r="N746" s="1" t="n">
        <v>406.14</v>
      </c>
      <c r="O746" s="1" t="n">
        <v>0</v>
      </c>
      <c r="Q746" s="4" t="n">
        <v>45473</v>
      </c>
      <c r="R746" s="0" t="n">
        <f aca="false">IF(ISBLANK(F746),"Missing",IFERROR(YEAR(F746),"Missing"))</f>
        <v>2022</v>
      </c>
      <c r="S746" s="0" t="str">
        <f aca="false">IF(ISBLANK(E746),"Missing",IF(E746&lt;6,"0-6mo",IF(E746&lt;12,"6-12mo",IF(E746&lt;24,"12-24mo","24mo+"))))</f>
        <v>12-24mo</v>
      </c>
      <c r="T746" s="0" t="n">
        <f aca="false">IF(ISBLANK(C746),0,IF(C746="Month-to-month",2,IF(C746="One year",1,0)))+IF(ISBLANK(I746),0,IF(I746&lt;40,2,IF(I746&lt;55,1,0)))+IF(ISBLANK(M746),0,IF(M746=1,3,0))+IF(ISBLANK(L746),0,IF(L746&gt;=2,1,0))+IF(ISBLANK(E746),0,IF(E746&lt;12,1,0))</f>
        <v>1</v>
      </c>
      <c r="U746" s="0" t="str">
        <f aca="false">IF((ISBLANK(B746)*1+ISBLANK(C746)*1+ISBLANK(D746)*1+ISBLANK(E746)*1+ISBLANK(F746)*1+ISBLANK(I746)*1+ISBLANK(J746)*1+ISBLANK(K746)*1+ISBLANK(L746)*1+ISBLANK(M746)*1+ISBLANK(N746)*1+ISBLANK(O746)*1)&gt;0,"Missing Data","OK")</f>
        <v>OK</v>
      </c>
      <c r="V746" s="0" t="str">
        <f aca="false">IF(T746&gt;=6,"High Risk",IF(T746&gt;=3,"Medium Risk","Low Risk"))</f>
        <v>Low Risk</v>
      </c>
    </row>
    <row r="747" customFormat="false" ht="12.8" hidden="false" customHeight="false" outlineLevel="0" collapsed="false">
      <c r="A747" s="1" t="s">
        <v>777</v>
      </c>
      <c r="B747" s="1" t="s">
        <v>29</v>
      </c>
      <c r="C747" s="1" t="s">
        <v>24</v>
      </c>
      <c r="D747" s="1" t="n">
        <v>40.69</v>
      </c>
      <c r="E747" s="1" t="n">
        <v>2</v>
      </c>
      <c r="F747" s="4" t="n">
        <v>44835</v>
      </c>
      <c r="G747" s="1" t="s">
        <v>30</v>
      </c>
      <c r="H747" s="1" t="n">
        <v>1</v>
      </c>
      <c r="I747" s="1" t="n">
        <v>73.6</v>
      </c>
      <c r="J747" s="1" t="n">
        <v>13</v>
      </c>
      <c r="K747" s="1" t="n">
        <v>10</v>
      </c>
      <c r="L747" s="1" t="n">
        <v>2</v>
      </c>
      <c r="M747" s="1" t="n">
        <v>0</v>
      </c>
      <c r="N747" s="1" t="n">
        <v>81.38</v>
      </c>
      <c r="O747" s="1" t="n">
        <v>0</v>
      </c>
      <c r="Q747" s="4" t="n">
        <v>44895</v>
      </c>
      <c r="R747" s="0" t="n">
        <f aca="false">IF(ISBLANK(F747),"Missing",IFERROR(YEAR(F747),"Missing"))</f>
        <v>2022</v>
      </c>
      <c r="S747" s="0" t="str">
        <f aca="false">IF(ISBLANK(E747),"Missing",IF(E747&lt;6,"0-6mo",IF(E747&lt;12,"6-12mo",IF(E747&lt;24,"12-24mo","24mo+"))))</f>
        <v>0-6mo</v>
      </c>
      <c r="T747" s="0" t="n">
        <f aca="false">IF(ISBLANK(C747),0,IF(C747="Month-to-month",2,IF(C747="One year",1,0)))+IF(ISBLANK(I747),0,IF(I747&lt;40,2,IF(I747&lt;55,1,0)))+IF(ISBLANK(M747),0,IF(M747=1,3,0))+IF(ISBLANK(L747),0,IF(L747&gt;=2,1,0))+IF(ISBLANK(E747),0,IF(E747&lt;12,1,0))</f>
        <v>4</v>
      </c>
      <c r="U747" s="0" t="str">
        <f aca="false">IF((ISBLANK(B747)*1+ISBLANK(C747)*1+ISBLANK(D747)*1+ISBLANK(E747)*1+ISBLANK(F747)*1+ISBLANK(I747)*1+ISBLANK(J747)*1+ISBLANK(K747)*1+ISBLANK(L747)*1+ISBLANK(M747)*1+ISBLANK(N747)*1+ISBLANK(O747)*1)&gt;0,"Missing Data","OK")</f>
        <v>OK</v>
      </c>
      <c r="V747" s="0" t="str">
        <f aca="false">IF(T747&gt;=6,"High Risk",IF(T747&gt;=3,"Medium Risk","Low Risk"))</f>
        <v>Medium Risk</v>
      </c>
    </row>
    <row r="748" customFormat="false" ht="12.8" hidden="false" customHeight="false" outlineLevel="0" collapsed="false">
      <c r="A748" s="1" t="s">
        <v>778</v>
      </c>
      <c r="B748" s="1" t="s">
        <v>36</v>
      </c>
      <c r="C748" s="1" t="s">
        <v>24</v>
      </c>
      <c r="D748" s="1" t="n">
        <v>11.38</v>
      </c>
      <c r="E748" s="1" t="n">
        <v>18</v>
      </c>
      <c r="F748" s="4" t="n">
        <v>44835</v>
      </c>
      <c r="G748" s="1" t="s">
        <v>27</v>
      </c>
      <c r="H748" s="1" t="n">
        <v>1</v>
      </c>
      <c r="I748" s="1" t="n">
        <v>27.9</v>
      </c>
      <c r="J748" s="1" t="n">
        <v>10</v>
      </c>
      <c r="K748" s="1" t="n">
        <v>1</v>
      </c>
      <c r="L748" s="1" t="n">
        <v>1</v>
      </c>
      <c r="M748" s="1" t="n">
        <v>1</v>
      </c>
      <c r="N748" s="1" t="n">
        <v>204.84</v>
      </c>
      <c r="O748" s="1" t="n">
        <v>0</v>
      </c>
      <c r="Q748" s="4" t="n">
        <v>45382</v>
      </c>
      <c r="R748" s="0" t="n">
        <f aca="false">IF(ISBLANK(F748),"Missing",IFERROR(YEAR(F748),"Missing"))</f>
        <v>2022</v>
      </c>
      <c r="S748" s="0" t="str">
        <f aca="false">IF(ISBLANK(E748),"Missing",IF(E748&lt;6,"0-6mo",IF(E748&lt;12,"6-12mo",IF(E748&lt;24,"12-24mo","24mo+"))))</f>
        <v>12-24mo</v>
      </c>
      <c r="T748" s="0" t="n">
        <f aca="false">IF(ISBLANK(C748),0,IF(C748="Month-to-month",2,IF(C748="One year",1,0)))+IF(ISBLANK(I748),0,IF(I748&lt;40,2,IF(I748&lt;55,1,0)))+IF(ISBLANK(M748),0,IF(M748=1,3,0))+IF(ISBLANK(L748),0,IF(L748&gt;=2,1,0))+IF(ISBLANK(E748),0,IF(E748&lt;12,1,0))</f>
        <v>7</v>
      </c>
      <c r="U748" s="0" t="str">
        <f aca="false">IF((ISBLANK(B748)*1+ISBLANK(C748)*1+ISBLANK(D748)*1+ISBLANK(E748)*1+ISBLANK(F748)*1+ISBLANK(I748)*1+ISBLANK(J748)*1+ISBLANK(K748)*1+ISBLANK(L748)*1+ISBLANK(M748)*1+ISBLANK(N748)*1+ISBLANK(O748)*1)&gt;0,"Missing Data","OK")</f>
        <v>OK</v>
      </c>
      <c r="V748" s="0" t="str">
        <f aca="false">IF(T748&gt;=6,"High Risk",IF(T748&gt;=3,"Medium Risk","Low Risk"))</f>
        <v>High Risk</v>
      </c>
    </row>
    <row r="749" customFormat="false" ht="12.8" hidden="false" customHeight="false" outlineLevel="0" collapsed="false">
      <c r="A749" s="1" t="s">
        <v>779</v>
      </c>
      <c r="B749" s="1" t="s">
        <v>23</v>
      </c>
      <c r="C749" s="1" t="s">
        <v>24</v>
      </c>
      <c r="D749" s="1" t="n">
        <v>20.57</v>
      </c>
      <c r="E749" s="1" t="n">
        <v>2</v>
      </c>
      <c r="F749" s="4" t="n">
        <v>44835</v>
      </c>
      <c r="G749" s="1" t="s">
        <v>25</v>
      </c>
      <c r="H749" s="1" t="n">
        <v>1</v>
      </c>
      <c r="I749" s="1" t="n">
        <v>94.4</v>
      </c>
      <c r="J749" s="1" t="n">
        <v>27</v>
      </c>
      <c r="K749" s="1" t="n">
        <v>10</v>
      </c>
      <c r="L749" s="1" t="n">
        <v>0</v>
      </c>
      <c r="M749" s="1" t="n">
        <v>0</v>
      </c>
      <c r="N749" s="1" t="n">
        <v>41.14</v>
      </c>
      <c r="O749" s="1" t="n">
        <v>0</v>
      </c>
      <c r="Q749" s="4" t="n">
        <v>44895</v>
      </c>
      <c r="R749" s="0" t="n">
        <f aca="false">IF(ISBLANK(F749),"Missing",IFERROR(YEAR(F749),"Missing"))</f>
        <v>2022</v>
      </c>
      <c r="S749" s="0" t="str">
        <f aca="false">IF(ISBLANK(E749),"Missing",IF(E749&lt;6,"0-6mo",IF(E749&lt;12,"6-12mo",IF(E749&lt;24,"12-24mo","24mo+"))))</f>
        <v>0-6mo</v>
      </c>
      <c r="T749" s="0" t="n">
        <f aca="false">IF(ISBLANK(C749),0,IF(C749="Month-to-month",2,IF(C749="One year",1,0)))+IF(ISBLANK(I749),0,IF(I749&lt;40,2,IF(I749&lt;55,1,0)))+IF(ISBLANK(M749),0,IF(M749=1,3,0))+IF(ISBLANK(L749),0,IF(L749&gt;=2,1,0))+IF(ISBLANK(E749),0,IF(E749&lt;12,1,0))</f>
        <v>3</v>
      </c>
      <c r="U749" s="0" t="str">
        <f aca="false">IF((ISBLANK(B749)*1+ISBLANK(C749)*1+ISBLANK(D749)*1+ISBLANK(E749)*1+ISBLANK(F749)*1+ISBLANK(I749)*1+ISBLANK(J749)*1+ISBLANK(K749)*1+ISBLANK(L749)*1+ISBLANK(M749)*1+ISBLANK(N749)*1+ISBLANK(O749)*1)&gt;0,"Missing Data","OK")</f>
        <v>OK</v>
      </c>
      <c r="V749" s="0" t="str">
        <f aca="false">IF(T749&gt;=6,"High Risk",IF(T749&gt;=3,"Medium Risk","Low Risk"))</f>
        <v>Medium Risk</v>
      </c>
    </row>
    <row r="750" customFormat="false" ht="12.8" hidden="false" customHeight="false" outlineLevel="0" collapsed="false">
      <c r="A750" s="1" t="s">
        <v>780</v>
      </c>
      <c r="B750" s="1" t="s">
        <v>36</v>
      </c>
      <c r="C750" s="1" t="s">
        <v>24</v>
      </c>
      <c r="D750" s="1" t="n">
        <v>8.64</v>
      </c>
      <c r="E750" s="1" t="n">
        <v>8</v>
      </c>
      <c r="F750" s="4" t="n">
        <v>44836</v>
      </c>
      <c r="G750" s="1" t="s">
        <v>25</v>
      </c>
      <c r="H750" s="1" t="n">
        <v>0</v>
      </c>
      <c r="I750" s="1" t="n">
        <v>66.5</v>
      </c>
      <c r="J750" s="1" t="n">
        <v>21</v>
      </c>
      <c r="K750" s="1" t="n">
        <v>7</v>
      </c>
      <c r="L750" s="1" t="n">
        <v>1</v>
      </c>
      <c r="M750" s="1" t="n">
        <v>0</v>
      </c>
      <c r="N750" s="1" t="n">
        <v>69.12</v>
      </c>
      <c r="O750" s="1" t="n">
        <v>0</v>
      </c>
      <c r="Q750" s="4" t="n">
        <v>45079</v>
      </c>
      <c r="R750" s="0" t="n">
        <f aca="false">IF(ISBLANK(F750),"Missing",IFERROR(YEAR(F750),"Missing"))</f>
        <v>2022</v>
      </c>
      <c r="S750" s="0" t="str">
        <f aca="false">IF(ISBLANK(E750),"Missing",IF(E750&lt;6,"0-6mo",IF(E750&lt;12,"6-12mo",IF(E750&lt;24,"12-24mo","24mo+"))))</f>
        <v>6-12mo</v>
      </c>
      <c r="T750" s="0" t="n">
        <f aca="false">IF(ISBLANK(C750),0,IF(C750="Month-to-month",2,IF(C750="One year",1,0)))+IF(ISBLANK(I750),0,IF(I750&lt;40,2,IF(I750&lt;55,1,0)))+IF(ISBLANK(M750),0,IF(M750=1,3,0))+IF(ISBLANK(L750),0,IF(L750&gt;=2,1,0))+IF(ISBLANK(E750),0,IF(E750&lt;12,1,0))</f>
        <v>3</v>
      </c>
      <c r="U750" s="0" t="str">
        <f aca="false">IF((ISBLANK(B750)*1+ISBLANK(C750)*1+ISBLANK(D750)*1+ISBLANK(E750)*1+ISBLANK(F750)*1+ISBLANK(I750)*1+ISBLANK(J750)*1+ISBLANK(K750)*1+ISBLANK(L750)*1+ISBLANK(M750)*1+ISBLANK(N750)*1+ISBLANK(O750)*1)&gt;0,"Missing Data","OK")</f>
        <v>OK</v>
      </c>
      <c r="V750" s="0" t="str">
        <f aca="false">IF(T750&gt;=6,"High Risk",IF(T750&gt;=3,"Medium Risk","Low Risk"))</f>
        <v>Medium Risk</v>
      </c>
    </row>
    <row r="751" customFormat="false" ht="12.8" hidden="false" customHeight="false" outlineLevel="0" collapsed="false">
      <c r="A751" s="1" t="s">
        <v>781</v>
      </c>
      <c r="B751" s="1" t="s">
        <v>23</v>
      </c>
      <c r="C751" s="1" t="s">
        <v>24</v>
      </c>
      <c r="D751" s="1" t="n">
        <v>22.05</v>
      </c>
      <c r="E751" s="1" t="n">
        <v>2</v>
      </c>
      <c r="F751" s="4" t="n">
        <v>44836</v>
      </c>
      <c r="G751" s="1" t="s">
        <v>39</v>
      </c>
      <c r="H751" s="1" t="n">
        <v>1</v>
      </c>
      <c r="I751" s="1" t="n">
        <v>38</v>
      </c>
      <c r="J751" s="1" t="n">
        <v>16</v>
      </c>
      <c r="K751" s="1" t="n">
        <v>6</v>
      </c>
      <c r="L751" s="1" t="n">
        <v>3</v>
      </c>
      <c r="M751" s="1" t="n">
        <v>0</v>
      </c>
      <c r="N751" s="1" t="n">
        <v>44.1</v>
      </c>
      <c r="O751" s="1" t="n">
        <v>0</v>
      </c>
      <c r="Q751" s="4" t="n">
        <v>44896</v>
      </c>
      <c r="R751" s="0" t="n">
        <f aca="false">IF(ISBLANK(F751),"Missing",IFERROR(YEAR(F751),"Missing"))</f>
        <v>2022</v>
      </c>
      <c r="S751" s="0" t="str">
        <f aca="false">IF(ISBLANK(E751),"Missing",IF(E751&lt;6,"0-6mo",IF(E751&lt;12,"6-12mo",IF(E751&lt;24,"12-24mo","24mo+"))))</f>
        <v>0-6mo</v>
      </c>
      <c r="T751" s="0" t="n">
        <f aca="false">IF(ISBLANK(C751),0,IF(C751="Month-to-month",2,IF(C751="One year",1,0)))+IF(ISBLANK(I751),0,IF(I751&lt;40,2,IF(I751&lt;55,1,0)))+IF(ISBLANK(M751),0,IF(M751=1,3,0))+IF(ISBLANK(L751),0,IF(L751&gt;=2,1,0))+IF(ISBLANK(E751),0,IF(E751&lt;12,1,0))</f>
        <v>6</v>
      </c>
      <c r="U751" s="0" t="str">
        <f aca="false">IF((ISBLANK(B751)*1+ISBLANK(C751)*1+ISBLANK(D751)*1+ISBLANK(E751)*1+ISBLANK(F751)*1+ISBLANK(I751)*1+ISBLANK(J751)*1+ISBLANK(K751)*1+ISBLANK(L751)*1+ISBLANK(M751)*1+ISBLANK(N751)*1+ISBLANK(O751)*1)&gt;0,"Missing Data","OK")</f>
        <v>OK</v>
      </c>
      <c r="V751" s="0" t="str">
        <f aca="false">IF(T751&gt;=6,"High Risk",IF(T751&gt;=3,"Medium Risk","Low Risk"))</f>
        <v>High Risk</v>
      </c>
    </row>
    <row r="752" customFormat="false" ht="12.8" hidden="false" customHeight="false" outlineLevel="0" collapsed="false">
      <c r="A752" s="1" t="s">
        <v>782</v>
      </c>
      <c r="B752" s="1" t="s">
        <v>23</v>
      </c>
      <c r="C752" s="1" t="s">
        <v>24</v>
      </c>
      <c r="D752" s="1" t="n">
        <v>20.71</v>
      </c>
      <c r="E752" s="1" t="n">
        <v>5</v>
      </c>
      <c r="F752" s="4" t="n">
        <v>44838</v>
      </c>
      <c r="G752" s="1" t="s">
        <v>39</v>
      </c>
      <c r="H752" s="1" t="n">
        <v>1</v>
      </c>
      <c r="I752" s="1" t="n">
        <v>64.4</v>
      </c>
      <c r="J752" s="1" t="n">
        <v>15</v>
      </c>
      <c r="K752" s="1" t="n">
        <v>8</v>
      </c>
      <c r="L752" s="1" t="n">
        <v>0</v>
      </c>
      <c r="M752" s="1" t="n">
        <v>0</v>
      </c>
      <c r="N752" s="1" t="n">
        <v>103.55</v>
      </c>
      <c r="O752" s="1" t="n">
        <v>0</v>
      </c>
      <c r="Q752" s="4" t="n">
        <v>44990</v>
      </c>
      <c r="R752" s="0" t="n">
        <f aca="false">IF(ISBLANK(F752),"Missing",IFERROR(YEAR(F752),"Missing"))</f>
        <v>2022</v>
      </c>
      <c r="S752" s="0" t="str">
        <f aca="false">IF(ISBLANK(E752),"Missing",IF(E752&lt;6,"0-6mo",IF(E752&lt;12,"6-12mo",IF(E752&lt;24,"12-24mo","24mo+"))))</f>
        <v>0-6mo</v>
      </c>
      <c r="T752" s="0" t="n">
        <f aca="false">IF(ISBLANK(C752),0,IF(C752="Month-to-month",2,IF(C752="One year",1,0)))+IF(ISBLANK(I752),0,IF(I752&lt;40,2,IF(I752&lt;55,1,0)))+IF(ISBLANK(M752),0,IF(M752=1,3,0))+IF(ISBLANK(L752),0,IF(L752&gt;=2,1,0))+IF(ISBLANK(E752),0,IF(E752&lt;12,1,0))</f>
        <v>3</v>
      </c>
      <c r="U752" s="0" t="str">
        <f aca="false">IF((ISBLANK(B752)*1+ISBLANK(C752)*1+ISBLANK(D752)*1+ISBLANK(E752)*1+ISBLANK(F752)*1+ISBLANK(I752)*1+ISBLANK(J752)*1+ISBLANK(K752)*1+ISBLANK(L752)*1+ISBLANK(M752)*1+ISBLANK(N752)*1+ISBLANK(O752)*1)&gt;0,"Missing Data","OK")</f>
        <v>OK</v>
      </c>
      <c r="V752" s="0" t="str">
        <f aca="false">IF(T752&gt;=6,"High Risk",IF(T752&gt;=3,"Medium Risk","Low Risk"))</f>
        <v>Medium Risk</v>
      </c>
    </row>
    <row r="753" customFormat="false" ht="12.8" hidden="false" customHeight="false" outlineLevel="0" collapsed="false">
      <c r="A753" s="1" t="s">
        <v>783</v>
      </c>
      <c r="B753" s="1" t="s">
        <v>23</v>
      </c>
      <c r="C753" s="1" t="s">
        <v>24</v>
      </c>
      <c r="D753" s="1" t="n">
        <v>19.53</v>
      </c>
      <c r="E753" s="1" t="n">
        <v>0</v>
      </c>
      <c r="F753" s="4" t="n">
        <v>44838</v>
      </c>
      <c r="G753" s="1" t="s">
        <v>25</v>
      </c>
      <c r="H753" s="1" t="n">
        <v>1</v>
      </c>
      <c r="I753" s="1" t="n">
        <v>64.5</v>
      </c>
      <c r="J753" s="1" t="n">
        <v>23</v>
      </c>
      <c r="K753" s="1" t="n">
        <v>7</v>
      </c>
      <c r="L753" s="1" t="n">
        <v>1</v>
      </c>
      <c r="M753" s="1" t="n">
        <v>1</v>
      </c>
      <c r="N753" s="1" t="n">
        <v>0</v>
      </c>
      <c r="O753" s="1" t="n">
        <v>0</v>
      </c>
      <c r="Q753" s="4" t="n">
        <v>44838</v>
      </c>
      <c r="R753" s="0" t="n">
        <f aca="false">IF(ISBLANK(F753),"Missing",IFERROR(YEAR(F753),"Missing"))</f>
        <v>2022</v>
      </c>
      <c r="S753" s="0" t="str">
        <f aca="false">IF(ISBLANK(E753),"Missing",IF(E753&lt;6,"0-6mo",IF(E753&lt;12,"6-12mo",IF(E753&lt;24,"12-24mo","24mo+"))))</f>
        <v>0-6mo</v>
      </c>
      <c r="T753" s="0" t="n">
        <f aca="false">IF(ISBLANK(C753),0,IF(C753="Month-to-month",2,IF(C753="One year",1,0)))+IF(ISBLANK(I753),0,IF(I753&lt;40,2,IF(I753&lt;55,1,0)))+IF(ISBLANK(M753),0,IF(M753=1,3,0))+IF(ISBLANK(L753),0,IF(L753&gt;=2,1,0))+IF(ISBLANK(E753),0,IF(E753&lt;12,1,0))</f>
        <v>6</v>
      </c>
      <c r="U753" s="0" t="str">
        <f aca="false">IF((ISBLANK(B753)*1+ISBLANK(C753)*1+ISBLANK(D753)*1+ISBLANK(E753)*1+ISBLANK(F753)*1+ISBLANK(I753)*1+ISBLANK(J753)*1+ISBLANK(K753)*1+ISBLANK(L753)*1+ISBLANK(M753)*1+ISBLANK(N753)*1+ISBLANK(O753)*1)&gt;0,"Missing Data","OK")</f>
        <v>OK</v>
      </c>
      <c r="V753" s="0" t="str">
        <f aca="false">IF(T753&gt;=6,"High Risk",IF(T753&gt;=3,"Medium Risk","Low Risk"))</f>
        <v>High Risk</v>
      </c>
    </row>
    <row r="754" customFormat="false" ht="12.8" hidden="false" customHeight="false" outlineLevel="0" collapsed="false">
      <c r="A754" s="1" t="s">
        <v>784</v>
      </c>
      <c r="B754" s="1" t="s">
        <v>23</v>
      </c>
      <c r="C754" s="1" t="s">
        <v>34</v>
      </c>
      <c r="D754" s="1" t="n">
        <v>20.46</v>
      </c>
      <c r="E754" s="1" t="n">
        <v>9</v>
      </c>
      <c r="F754" s="4" t="n">
        <v>44839</v>
      </c>
      <c r="G754" s="1" t="s">
        <v>25</v>
      </c>
      <c r="H754" s="1" t="n">
        <v>1</v>
      </c>
      <c r="I754" s="1" t="n">
        <v>75</v>
      </c>
      <c r="J754" s="1" t="n">
        <v>16</v>
      </c>
      <c r="K754" s="1" t="n">
        <v>6</v>
      </c>
      <c r="L754" s="1" t="n">
        <v>1</v>
      </c>
      <c r="M754" s="1" t="n">
        <v>1</v>
      </c>
      <c r="N754" s="1" t="n">
        <v>184.14</v>
      </c>
      <c r="O754" s="1" t="n">
        <v>0</v>
      </c>
      <c r="Q754" s="4" t="n">
        <v>45112</v>
      </c>
      <c r="R754" s="0" t="n">
        <f aca="false">IF(ISBLANK(F754),"Missing",IFERROR(YEAR(F754),"Missing"))</f>
        <v>2022</v>
      </c>
      <c r="S754" s="0" t="str">
        <f aca="false">IF(ISBLANK(E754),"Missing",IF(E754&lt;6,"0-6mo",IF(E754&lt;12,"6-12mo",IF(E754&lt;24,"12-24mo","24mo+"))))</f>
        <v>6-12mo</v>
      </c>
      <c r="T754" s="0" t="n">
        <f aca="false">IF(ISBLANK(C754),0,IF(C754="Month-to-month",2,IF(C754="One year",1,0)))+IF(ISBLANK(I754),0,IF(I754&lt;40,2,IF(I754&lt;55,1,0)))+IF(ISBLANK(M754),0,IF(M754=1,3,0))+IF(ISBLANK(L754),0,IF(L754&gt;=2,1,0))+IF(ISBLANK(E754),0,IF(E754&lt;12,1,0))</f>
        <v>5</v>
      </c>
      <c r="U754" s="0" t="str">
        <f aca="false">IF((ISBLANK(B754)*1+ISBLANK(C754)*1+ISBLANK(D754)*1+ISBLANK(E754)*1+ISBLANK(F754)*1+ISBLANK(I754)*1+ISBLANK(J754)*1+ISBLANK(K754)*1+ISBLANK(L754)*1+ISBLANK(M754)*1+ISBLANK(N754)*1+ISBLANK(O754)*1)&gt;0,"Missing Data","OK")</f>
        <v>OK</v>
      </c>
      <c r="V754" s="0" t="str">
        <f aca="false">IF(T754&gt;=6,"High Risk",IF(T754&gt;=3,"Medium Risk","Low Risk"))</f>
        <v>Medium Risk</v>
      </c>
    </row>
    <row r="755" customFormat="false" ht="12.8" hidden="false" customHeight="false" outlineLevel="0" collapsed="false">
      <c r="A755" s="1" t="s">
        <v>785</v>
      </c>
      <c r="B755" s="1" t="s">
        <v>29</v>
      </c>
      <c r="C755" s="1" t="s">
        <v>24</v>
      </c>
      <c r="D755" s="1" t="n">
        <v>40.35</v>
      </c>
      <c r="E755" s="1" t="n">
        <v>23</v>
      </c>
      <c r="F755" s="4" t="n">
        <v>44841</v>
      </c>
      <c r="G755" s="1" t="s">
        <v>25</v>
      </c>
      <c r="H755" s="1" t="n">
        <v>1</v>
      </c>
      <c r="I755" s="1" t="n">
        <v>37</v>
      </c>
      <c r="J755" s="1" t="n">
        <v>10</v>
      </c>
      <c r="K755" s="1" t="n">
        <v>4</v>
      </c>
      <c r="L755" s="1" t="n">
        <v>3</v>
      </c>
      <c r="M755" s="1" t="n">
        <v>0</v>
      </c>
      <c r="N755" s="1" t="n">
        <v>928.05</v>
      </c>
      <c r="O755" s="1" t="n">
        <v>0</v>
      </c>
      <c r="Q755" s="4" t="n">
        <v>45541</v>
      </c>
      <c r="R755" s="0" t="n">
        <f aca="false">IF(ISBLANK(F755),"Missing",IFERROR(YEAR(F755),"Missing"))</f>
        <v>2022</v>
      </c>
      <c r="S755" s="0" t="str">
        <f aca="false">IF(ISBLANK(E755),"Missing",IF(E755&lt;6,"0-6mo",IF(E755&lt;12,"6-12mo",IF(E755&lt;24,"12-24mo","24mo+"))))</f>
        <v>12-24mo</v>
      </c>
      <c r="T755" s="0" t="n">
        <f aca="false">IF(ISBLANK(C755),0,IF(C755="Month-to-month",2,IF(C755="One year",1,0)))+IF(ISBLANK(I755),0,IF(I755&lt;40,2,IF(I755&lt;55,1,0)))+IF(ISBLANK(M755),0,IF(M755=1,3,0))+IF(ISBLANK(L755),0,IF(L755&gt;=2,1,0))+IF(ISBLANK(E755),0,IF(E755&lt;12,1,0))</f>
        <v>5</v>
      </c>
      <c r="U755" s="0" t="str">
        <f aca="false">IF((ISBLANK(B755)*1+ISBLANK(C755)*1+ISBLANK(D755)*1+ISBLANK(E755)*1+ISBLANK(F755)*1+ISBLANK(I755)*1+ISBLANK(J755)*1+ISBLANK(K755)*1+ISBLANK(L755)*1+ISBLANK(M755)*1+ISBLANK(N755)*1+ISBLANK(O755)*1)&gt;0,"Missing Data","OK")</f>
        <v>OK</v>
      </c>
      <c r="V755" s="0" t="str">
        <f aca="false">IF(T755&gt;=6,"High Risk",IF(T755&gt;=3,"Medium Risk","Low Risk"))</f>
        <v>Medium Risk</v>
      </c>
    </row>
    <row r="756" customFormat="false" ht="12.8" hidden="false" customHeight="false" outlineLevel="0" collapsed="false">
      <c r="A756" s="1" t="s">
        <v>786</v>
      </c>
      <c r="B756" s="1" t="s">
        <v>23</v>
      </c>
      <c r="C756" s="1" t="s">
        <v>24</v>
      </c>
      <c r="D756" s="1" t="n">
        <v>20.57</v>
      </c>
      <c r="E756" s="1" t="n">
        <v>4</v>
      </c>
      <c r="F756" s="4" t="n">
        <v>44842</v>
      </c>
      <c r="G756" s="1" t="s">
        <v>39</v>
      </c>
      <c r="H756" s="1" t="n">
        <v>0</v>
      </c>
      <c r="I756" s="1" t="n">
        <v>64.5</v>
      </c>
      <c r="J756" s="1" t="n">
        <v>22</v>
      </c>
      <c r="K756" s="1" t="n">
        <v>7</v>
      </c>
      <c r="L756" s="1" t="n">
        <v>1</v>
      </c>
      <c r="M756" s="1" t="n">
        <v>0</v>
      </c>
      <c r="N756" s="1" t="n">
        <v>82.28</v>
      </c>
      <c r="O756" s="1" t="n">
        <v>1</v>
      </c>
      <c r="P756" s="4" t="n">
        <v>44963</v>
      </c>
      <c r="Q756" s="4" t="n">
        <v>44963</v>
      </c>
      <c r="R756" s="0" t="n">
        <f aca="false">IF(ISBLANK(F756),"Missing",IFERROR(YEAR(F756),"Missing"))</f>
        <v>2022</v>
      </c>
      <c r="S756" s="0" t="str">
        <f aca="false">IF(ISBLANK(E756),"Missing",IF(E756&lt;6,"0-6mo",IF(E756&lt;12,"6-12mo",IF(E756&lt;24,"12-24mo","24mo+"))))</f>
        <v>0-6mo</v>
      </c>
      <c r="T756" s="0" t="n">
        <f aca="false">IF(ISBLANK(C756),0,IF(C756="Month-to-month",2,IF(C756="One year",1,0)))+IF(ISBLANK(I756),0,IF(I756&lt;40,2,IF(I756&lt;55,1,0)))+IF(ISBLANK(M756),0,IF(M756=1,3,0))+IF(ISBLANK(L756),0,IF(L756&gt;=2,1,0))+IF(ISBLANK(E756),0,IF(E756&lt;12,1,0))</f>
        <v>3</v>
      </c>
      <c r="U756" s="0" t="str">
        <f aca="false">IF((ISBLANK(B756)*1+ISBLANK(C756)*1+ISBLANK(D756)*1+ISBLANK(E756)*1+ISBLANK(F756)*1+ISBLANK(I756)*1+ISBLANK(J756)*1+ISBLANK(K756)*1+ISBLANK(L756)*1+ISBLANK(M756)*1+ISBLANK(N756)*1+ISBLANK(O756)*1)&gt;0,"Missing Data","OK")</f>
        <v>OK</v>
      </c>
      <c r="V756" s="0" t="str">
        <f aca="false">IF(T756&gt;=6,"High Risk",IF(T756&gt;=3,"Medium Risk","Low Risk"))</f>
        <v>Medium Risk</v>
      </c>
    </row>
    <row r="757" customFormat="false" ht="12.8" hidden="false" customHeight="false" outlineLevel="0" collapsed="false">
      <c r="A757" s="1" t="s">
        <v>787</v>
      </c>
      <c r="B757" s="1" t="s">
        <v>23</v>
      </c>
      <c r="C757" s="1" t="s">
        <v>34</v>
      </c>
      <c r="D757" s="1" t="n">
        <v>20.84</v>
      </c>
      <c r="E757" s="1" t="n">
        <v>22</v>
      </c>
      <c r="F757" s="4" t="n">
        <v>44844</v>
      </c>
      <c r="G757" s="1" t="s">
        <v>25</v>
      </c>
      <c r="H757" s="1" t="n">
        <v>0</v>
      </c>
      <c r="I757" s="1" t="n">
        <v>41.8</v>
      </c>
      <c r="J757" s="1" t="n">
        <v>9</v>
      </c>
      <c r="K757" s="1" t="n">
        <v>6</v>
      </c>
      <c r="L757" s="1" t="n">
        <v>2</v>
      </c>
      <c r="M757" s="1" t="n">
        <v>0</v>
      </c>
      <c r="N757" s="1" t="n">
        <v>458.48</v>
      </c>
      <c r="O757" s="1" t="n">
        <v>0</v>
      </c>
      <c r="Q757" s="4" t="n">
        <v>45513</v>
      </c>
      <c r="R757" s="0" t="n">
        <f aca="false">IF(ISBLANK(F757),"Missing",IFERROR(YEAR(F757),"Missing"))</f>
        <v>2022</v>
      </c>
      <c r="S757" s="0" t="str">
        <f aca="false">IF(ISBLANK(E757),"Missing",IF(E757&lt;6,"0-6mo",IF(E757&lt;12,"6-12mo",IF(E757&lt;24,"12-24mo","24mo+"))))</f>
        <v>12-24mo</v>
      </c>
      <c r="T757" s="0" t="n">
        <f aca="false">IF(ISBLANK(C757),0,IF(C757="Month-to-month",2,IF(C757="One year",1,0)))+IF(ISBLANK(I757),0,IF(I757&lt;40,2,IF(I757&lt;55,1,0)))+IF(ISBLANK(M757),0,IF(M757=1,3,0))+IF(ISBLANK(L757),0,IF(L757&gt;=2,1,0))+IF(ISBLANK(E757),0,IF(E757&lt;12,1,0))</f>
        <v>3</v>
      </c>
      <c r="U757" s="0" t="str">
        <f aca="false">IF((ISBLANK(B757)*1+ISBLANK(C757)*1+ISBLANK(D757)*1+ISBLANK(E757)*1+ISBLANK(F757)*1+ISBLANK(I757)*1+ISBLANK(J757)*1+ISBLANK(K757)*1+ISBLANK(L757)*1+ISBLANK(M757)*1+ISBLANK(N757)*1+ISBLANK(O757)*1)&gt;0,"Missing Data","OK")</f>
        <v>OK</v>
      </c>
      <c r="V757" s="0" t="str">
        <f aca="false">IF(T757&gt;=6,"High Risk",IF(T757&gt;=3,"Medium Risk","Low Risk"))</f>
        <v>Medium Risk</v>
      </c>
    </row>
    <row r="758" customFormat="false" ht="12.8" hidden="false" customHeight="false" outlineLevel="0" collapsed="false">
      <c r="A758" s="1" t="s">
        <v>788</v>
      </c>
      <c r="B758" s="1" t="s">
        <v>36</v>
      </c>
      <c r="C758" s="1" t="s">
        <v>24</v>
      </c>
      <c r="D758" s="1" t="n">
        <v>10.81</v>
      </c>
      <c r="E758" s="1" t="n">
        <v>8</v>
      </c>
      <c r="F758" s="4" t="n">
        <v>44845</v>
      </c>
      <c r="G758" s="1" t="s">
        <v>30</v>
      </c>
      <c r="H758" s="1" t="n">
        <v>1</v>
      </c>
      <c r="I758" s="1" t="n">
        <v>34.2</v>
      </c>
      <c r="J758" s="1" t="n">
        <v>9</v>
      </c>
      <c r="K758" s="1" t="n">
        <v>4</v>
      </c>
      <c r="L758" s="1" t="n">
        <v>2</v>
      </c>
      <c r="M758" s="1" t="n">
        <v>0</v>
      </c>
      <c r="N758" s="1" t="n">
        <v>86.48</v>
      </c>
      <c r="O758" s="1" t="n">
        <v>0</v>
      </c>
      <c r="Q758" s="4" t="n">
        <v>45088</v>
      </c>
      <c r="R758" s="0" t="n">
        <f aca="false">IF(ISBLANK(F758),"Missing",IFERROR(YEAR(F758),"Missing"))</f>
        <v>2022</v>
      </c>
      <c r="S758" s="0" t="str">
        <f aca="false">IF(ISBLANK(E758),"Missing",IF(E758&lt;6,"0-6mo",IF(E758&lt;12,"6-12mo",IF(E758&lt;24,"12-24mo","24mo+"))))</f>
        <v>6-12mo</v>
      </c>
      <c r="T758" s="0" t="n">
        <f aca="false">IF(ISBLANK(C758),0,IF(C758="Month-to-month",2,IF(C758="One year",1,0)))+IF(ISBLANK(I758),0,IF(I758&lt;40,2,IF(I758&lt;55,1,0)))+IF(ISBLANK(M758),0,IF(M758=1,3,0))+IF(ISBLANK(L758),0,IF(L758&gt;=2,1,0))+IF(ISBLANK(E758),0,IF(E758&lt;12,1,0))</f>
        <v>6</v>
      </c>
      <c r="U758" s="0" t="str">
        <f aca="false">IF((ISBLANK(B758)*1+ISBLANK(C758)*1+ISBLANK(D758)*1+ISBLANK(E758)*1+ISBLANK(F758)*1+ISBLANK(I758)*1+ISBLANK(J758)*1+ISBLANK(K758)*1+ISBLANK(L758)*1+ISBLANK(M758)*1+ISBLANK(N758)*1+ISBLANK(O758)*1)&gt;0,"Missing Data","OK")</f>
        <v>OK</v>
      </c>
      <c r="V758" s="0" t="str">
        <f aca="false">IF(T758&gt;=6,"High Risk",IF(T758&gt;=3,"Medium Risk","Low Risk"))</f>
        <v>High Risk</v>
      </c>
    </row>
    <row r="759" customFormat="false" ht="12.8" hidden="false" customHeight="false" outlineLevel="0" collapsed="false">
      <c r="A759" s="1" t="s">
        <v>789</v>
      </c>
      <c r="B759" s="1" t="s">
        <v>29</v>
      </c>
      <c r="C759" s="1" t="s">
        <v>34</v>
      </c>
      <c r="D759" s="1" t="n">
        <v>38.57</v>
      </c>
      <c r="E759" s="1" t="n">
        <v>14</v>
      </c>
      <c r="F759" s="4" t="n">
        <v>44846</v>
      </c>
      <c r="G759" s="1" t="s">
        <v>30</v>
      </c>
      <c r="H759" s="1" t="n">
        <v>1</v>
      </c>
      <c r="I759" s="1" t="n">
        <v>53.9</v>
      </c>
      <c r="J759" s="1" t="n">
        <v>29</v>
      </c>
      <c r="K759" s="1" t="n">
        <v>4</v>
      </c>
      <c r="L759" s="1" t="n">
        <v>0</v>
      </c>
      <c r="M759" s="1" t="n">
        <v>0</v>
      </c>
      <c r="N759" s="1" t="n">
        <v>539.98</v>
      </c>
      <c r="O759" s="1" t="n">
        <v>0</v>
      </c>
      <c r="Q759" s="4" t="n">
        <v>45272</v>
      </c>
      <c r="R759" s="0" t="n">
        <f aca="false">IF(ISBLANK(F759),"Missing",IFERROR(YEAR(F759),"Missing"))</f>
        <v>2022</v>
      </c>
      <c r="S759" s="0" t="str">
        <f aca="false">IF(ISBLANK(E759),"Missing",IF(E759&lt;6,"0-6mo",IF(E759&lt;12,"6-12mo",IF(E759&lt;24,"12-24mo","24mo+"))))</f>
        <v>12-24mo</v>
      </c>
      <c r="T759" s="0" t="n">
        <f aca="false">IF(ISBLANK(C759),0,IF(C759="Month-to-month",2,IF(C759="One year",1,0)))+IF(ISBLANK(I759),0,IF(I759&lt;40,2,IF(I759&lt;55,1,0)))+IF(ISBLANK(M759),0,IF(M759=1,3,0))+IF(ISBLANK(L759),0,IF(L759&gt;=2,1,0))+IF(ISBLANK(E759),0,IF(E759&lt;12,1,0))</f>
        <v>2</v>
      </c>
      <c r="U759" s="0" t="str">
        <f aca="false">IF((ISBLANK(B759)*1+ISBLANK(C759)*1+ISBLANK(D759)*1+ISBLANK(E759)*1+ISBLANK(F759)*1+ISBLANK(I759)*1+ISBLANK(J759)*1+ISBLANK(K759)*1+ISBLANK(L759)*1+ISBLANK(M759)*1+ISBLANK(N759)*1+ISBLANK(O759)*1)&gt;0,"Missing Data","OK")</f>
        <v>OK</v>
      </c>
      <c r="V759" s="0" t="str">
        <f aca="false">IF(T759&gt;=6,"High Risk",IF(T759&gt;=3,"Medium Risk","Low Risk"))</f>
        <v>Low Risk</v>
      </c>
    </row>
    <row r="760" customFormat="false" ht="12.8" hidden="false" customHeight="false" outlineLevel="0" collapsed="false">
      <c r="A760" s="1" t="s">
        <v>790</v>
      </c>
      <c r="B760" s="1" t="s">
        <v>36</v>
      </c>
      <c r="C760" s="1" t="s">
        <v>24</v>
      </c>
      <c r="D760" s="1" t="n">
        <v>9.67</v>
      </c>
      <c r="E760" s="1" t="n">
        <v>12</v>
      </c>
      <c r="F760" s="4" t="n">
        <v>44846</v>
      </c>
      <c r="G760" s="1" t="s">
        <v>30</v>
      </c>
      <c r="H760" s="1" t="n">
        <v>0</v>
      </c>
      <c r="I760" s="1" t="n">
        <v>52.9</v>
      </c>
      <c r="J760" s="1" t="n">
        <v>10</v>
      </c>
      <c r="K760" s="1" t="n">
        <v>7</v>
      </c>
      <c r="L760" s="1" t="n">
        <v>0</v>
      </c>
      <c r="M760" s="1" t="n">
        <v>0</v>
      </c>
      <c r="N760" s="1" t="n">
        <v>116.04</v>
      </c>
      <c r="O760" s="1" t="n">
        <v>0</v>
      </c>
      <c r="Q760" s="4" t="n">
        <v>45211</v>
      </c>
      <c r="R760" s="0" t="n">
        <f aca="false">IF(ISBLANK(F760),"Missing",IFERROR(YEAR(F760),"Missing"))</f>
        <v>2022</v>
      </c>
      <c r="S760" s="0" t="str">
        <f aca="false">IF(ISBLANK(E760),"Missing",IF(E760&lt;6,"0-6mo",IF(E760&lt;12,"6-12mo",IF(E760&lt;24,"12-24mo","24mo+"))))</f>
        <v>12-24mo</v>
      </c>
      <c r="T760" s="0" t="n">
        <f aca="false">IF(ISBLANK(C760),0,IF(C760="Month-to-month",2,IF(C760="One year",1,0)))+IF(ISBLANK(I760),0,IF(I760&lt;40,2,IF(I760&lt;55,1,0)))+IF(ISBLANK(M760),0,IF(M760=1,3,0))+IF(ISBLANK(L760),0,IF(L760&gt;=2,1,0))+IF(ISBLANK(E760),0,IF(E760&lt;12,1,0))</f>
        <v>3</v>
      </c>
      <c r="U760" s="0" t="str">
        <f aca="false">IF((ISBLANK(B760)*1+ISBLANK(C760)*1+ISBLANK(D760)*1+ISBLANK(E760)*1+ISBLANK(F760)*1+ISBLANK(I760)*1+ISBLANK(J760)*1+ISBLANK(K760)*1+ISBLANK(L760)*1+ISBLANK(M760)*1+ISBLANK(N760)*1+ISBLANK(O760)*1)&gt;0,"Missing Data","OK")</f>
        <v>OK</v>
      </c>
      <c r="V760" s="0" t="str">
        <f aca="false">IF(T760&gt;=6,"High Risk",IF(T760&gt;=3,"Medium Risk","Low Risk"))</f>
        <v>Medium Risk</v>
      </c>
    </row>
    <row r="761" customFormat="false" ht="12.8" hidden="false" customHeight="false" outlineLevel="0" collapsed="false">
      <c r="A761" s="1" t="s">
        <v>791</v>
      </c>
      <c r="B761" s="1" t="s">
        <v>36</v>
      </c>
      <c r="C761" s="1" t="s">
        <v>24</v>
      </c>
      <c r="D761" s="1" t="n">
        <v>10.18</v>
      </c>
      <c r="E761" s="1" t="n">
        <v>7</v>
      </c>
      <c r="F761" s="4" t="n">
        <v>44847</v>
      </c>
      <c r="G761" s="1" t="s">
        <v>25</v>
      </c>
      <c r="H761" s="1" t="n">
        <v>1</v>
      </c>
      <c r="I761" s="1" t="n">
        <v>12.9</v>
      </c>
      <c r="J761" s="1" t="n">
        <v>0</v>
      </c>
      <c r="K761" s="1" t="n">
        <v>3</v>
      </c>
      <c r="L761" s="1" t="n">
        <v>2</v>
      </c>
      <c r="M761" s="1" t="n">
        <v>0</v>
      </c>
      <c r="N761" s="1" t="n">
        <v>71.26</v>
      </c>
      <c r="O761" s="1" t="n">
        <v>1</v>
      </c>
      <c r="P761" s="4" t="n">
        <v>45060</v>
      </c>
      <c r="Q761" s="4" t="n">
        <v>45060</v>
      </c>
      <c r="R761" s="0" t="n">
        <f aca="false">IF(ISBLANK(F761),"Missing",IFERROR(YEAR(F761),"Missing"))</f>
        <v>2022</v>
      </c>
      <c r="S761" s="0" t="str">
        <f aca="false">IF(ISBLANK(E761),"Missing",IF(E761&lt;6,"0-6mo",IF(E761&lt;12,"6-12mo",IF(E761&lt;24,"12-24mo","24mo+"))))</f>
        <v>6-12mo</v>
      </c>
      <c r="T761" s="0" t="n">
        <f aca="false">IF(ISBLANK(C761),0,IF(C761="Month-to-month",2,IF(C761="One year",1,0)))+IF(ISBLANK(I761),0,IF(I761&lt;40,2,IF(I761&lt;55,1,0)))+IF(ISBLANK(M761),0,IF(M761=1,3,0))+IF(ISBLANK(L761),0,IF(L761&gt;=2,1,0))+IF(ISBLANK(E761),0,IF(E761&lt;12,1,0))</f>
        <v>6</v>
      </c>
      <c r="U761" s="0" t="str">
        <f aca="false">IF((ISBLANK(B761)*1+ISBLANK(C761)*1+ISBLANK(D761)*1+ISBLANK(E761)*1+ISBLANK(F761)*1+ISBLANK(I761)*1+ISBLANK(J761)*1+ISBLANK(K761)*1+ISBLANK(L761)*1+ISBLANK(M761)*1+ISBLANK(N761)*1+ISBLANK(O761)*1)&gt;0,"Missing Data","OK")</f>
        <v>OK</v>
      </c>
      <c r="V761" s="0" t="str">
        <f aca="false">IF(T761&gt;=6,"High Risk",IF(T761&gt;=3,"Medium Risk","Low Risk"))</f>
        <v>High Risk</v>
      </c>
    </row>
    <row r="762" customFormat="false" ht="12.8" hidden="false" customHeight="false" outlineLevel="0" collapsed="false">
      <c r="A762" s="1" t="s">
        <v>792</v>
      </c>
      <c r="B762" s="1" t="s">
        <v>29</v>
      </c>
      <c r="C762" s="1" t="s">
        <v>24</v>
      </c>
      <c r="D762" s="1" t="n">
        <v>40.18</v>
      </c>
      <c r="E762" s="1" t="n">
        <v>23</v>
      </c>
      <c r="F762" s="4" t="n">
        <v>44848</v>
      </c>
      <c r="G762" s="1" t="s">
        <v>25</v>
      </c>
      <c r="H762" s="1" t="n">
        <v>1</v>
      </c>
      <c r="I762" s="1" t="n">
        <v>50.7</v>
      </c>
      <c r="J762" s="1" t="n">
        <v>20</v>
      </c>
      <c r="K762" s="1" t="n">
        <v>7</v>
      </c>
      <c r="L762" s="1" t="n">
        <v>2</v>
      </c>
      <c r="M762" s="1" t="n">
        <v>0</v>
      </c>
      <c r="N762" s="1" t="n">
        <v>924.14</v>
      </c>
      <c r="O762" s="1" t="n">
        <v>0</v>
      </c>
      <c r="Q762" s="4" t="n">
        <v>45548</v>
      </c>
      <c r="R762" s="0" t="n">
        <f aca="false">IF(ISBLANK(F762),"Missing",IFERROR(YEAR(F762),"Missing"))</f>
        <v>2022</v>
      </c>
      <c r="S762" s="0" t="str">
        <f aca="false">IF(ISBLANK(E762),"Missing",IF(E762&lt;6,"0-6mo",IF(E762&lt;12,"6-12mo",IF(E762&lt;24,"12-24mo","24mo+"))))</f>
        <v>12-24mo</v>
      </c>
      <c r="T762" s="0" t="n">
        <f aca="false">IF(ISBLANK(C762),0,IF(C762="Month-to-month",2,IF(C762="One year",1,0)))+IF(ISBLANK(I762),0,IF(I762&lt;40,2,IF(I762&lt;55,1,0)))+IF(ISBLANK(M762),0,IF(M762=1,3,0))+IF(ISBLANK(L762),0,IF(L762&gt;=2,1,0))+IF(ISBLANK(E762),0,IF(E762&lt;12,1,0))</f>
        <v>4</v>
      </c>
      <c r="U762" s="0" t="str">
        <f aca="false">IF((ISBLANK(B762)*1+ISBLANK(C762)*1+ISBLANK(D762)*1+ISBLANK(E762)*1+ISBLANK(F762)*1+ISBLANK(I762)*1+ISBLANK(J762)*1+ISBLANK(K762)*1+ISBLANK(L762)*1+ISBLANK(M762)*1+ISBLANK(N762)*1+ISBLANK(O762)*1)&gt;0,"Missing Data","OK")</f>
        <v>OK</v>
      </c>
      <c r="V762" s="0" t="str">
        <f aca="false">IF(T762&gt;=6,"High Risk",IF(T762&gt;=3,"Medium Risk","Low Risk"))</f>
        <v>Medium Risk</v>
      </c>
    </row>
    <row r="763" customFormat="false" ht="12.8" hidden="false" customHeight="false" outlineLevel="0" collapsed="false">
      <c r="A763" s="1" t="s">
        <v>793</v>
      </c>
      <c r="B763" s="1" t="s">
        <v>29</v>
      </c>
      <c r="C763" s="1" t="s">
        <v>24</v>
      </c>
      <c r="D763" s="1" t="n">
        <v>39.74</v>
      </c>
      <c r="E763" s="1" t="n">
        <v>21</v>
      </c>
      <c r="F763" s="4" t="n">
        <v>44848</v>
      </c>
      <c r="G763" s="1" t="s">
        <v>30</v>
      </c>
      <c r="H763" s="1" t="n">
        <v>1</v>
      </c>
      <c r="I763" s="1" t="n">
        <v>61.7</v>
      </c>
      <c r="J763" s="1" t="n">
        <v>19</v>
      </c>
      <c r="K763" s="1" t="n">
        <v>7</v>
      </c>
      <c r="L763" s="1" t="n">
        <v>2</v>
      </c>
      <c r="M763" s="1" t="n">
        <v>0</v>
      </c>
      <c r="N763" s="1" t="n">
        <v>834.54</v>
      </c>
      <c r="O763" s="1" t="n">
        <v>0</v>
      </c>
      <c r="Q763" s="4" t="n">
        <v>45487</v>
      </c>
      <c r="R763" s="0" t="n">
        <f aca="false">IF(ISBLANK(F763),"Missing",IFERROR(YEAR(F763),"Missing"))</f>
        <v>2022</v>
      </c>
      <c r="S763" s="0" t="str">
        <f aca="false">IF(ISBLANK(E763),"Missing",IF(E763&lt;6,"0-6mo",IF(E763&lt;12,"6-12mo",IF(E763&lt;24,"12-24mo","24mo+"))))</f>
        <v>12-24mo</v>
      </c>
      <c r="T763" s="0" t="n">
        <f aca="false">IF(ISBLANK(C763),0,IF(C763="Month-to-month",2,IF(C763="One year",1,0)))+IF(ISBLANK(I763),0,IF(I763&lt;40,2,IF(I763&lt;55,1,0)))+IF(ISBLANK(M763),0,IF(M763=1,3,0))+IF(ISBLANK(L763),0,IF(L763&gt;=2,1,0))+IF(ISBLANK(E763),0,IF(E763&lt;12,1,0))</f>
        <v>3</v>
      </c>
      <c r="U763" s="0" t="str">
        <f aca="false">IF((ISBLANK(B763)*1+ISBLANK(C763)*1+ISBLANK(D763)*1+ISBLANK(E763)*1+ISBLANK(F763)*1+ISBLANK(I763)*1+ISBLANK(J763)*1+ISBLANK(K763)*1+ISBLANK(L763)*1+ISBLANK(M763)*1+ISBLANK(N763)*1+ISBLANK(O763)*1)&gt;0,"Missing Data","OK")</f>
        <v>OK</v>
      </c>
      <c r="V763" s="0" t="str">
        <f aca="false">IF(T763&gt;=6,"High Risk",IF(T763&gt;=3,"Medium Risk","Low Risk"))</f>
        <v>Medium Risk</v>
      </c>
    </row>
    <row r="764" customFormat="false" ht="12.8" hidden="false" customHeight="false" outlineLevel="0" collapsed="false">
      <c r="A764" s="1" t="s">
        <v>794</v>
      </c>
      <c r="B764" s="1" t="s">
        <v>29</v>
      </c>
      <c r="C764" s="1" t="s">
        <v>24</v>
      </c>
      <c r="D764" s="1" t="n">
        <v>39.5</v>
      </c>
      <c r="E764" s="1" t="n">
        <v>25</v>
      </c>
      <c r="F764" s="4" t="n">
        <v>44852</v>
      </c>
      <c r="G764" s="1" t="s">
        <v>39</v>
      </c>
      <c r="H764" s="1" t="n">
        <v>1</v>
      </c>
      <c r="I764" s="1" t="n">
        <v>13.4</v>
      </c>
      <c r="J764" s="1" t="n">
        <v>0</v>
      </c>
      <c r="K764" s="1" t="n">
        <v>1</v>
      </c>
      <c r="L764" s="1" t="n">
        <v>6</v>
      </c>
      <c r="M764" s="1" t="n">
        <v>1</v>
      </c>
      <c r="N764" s="1" t="n">
        <v>987.5</v>
      </c>
      <c r="O764" s="1" t="n">
        <v>1</v>
      </c>
      <c r="P764" s="4" t="n">
        <v>45613</v>
      </c>
      <c r="Q764" s="4" t="n">
        <v>45613</v>
      </c>
      <c r="R764" s="0" t="n">
        <f aca="false">IF(ISBLANK(F764),"Missing",IFERROR(YEAR(F764),"Missing"))</f>
        <v>2022</v>
      </c>
      <c r="S764" s="0" t="str">
        <f aca="false">IF(ISBLANK(E764),"Missing",IF(E764&lt;6,"0-6mo",IF(E764&lt;12,"6-12mo",IF(E764&lt;24,"12-24mo","24mo+"))))</f>
        <v>24mo+</v>
      </c>
      <c r="T764" s="0" t="n">
        <f aca="false">IF(ISBLANK(C764),0,IF(C764="Month-to-month",2,IF(C764="One year",1,0)))+IF(ISBLANK(I764),0,IF(I764&lt;40,2,IF(I764&lt;55,1,0)))+IF(ISBLANK(M764),0,IF(M764=1,3,0))+IF(ISBLANK(L764),0,IF(L764&gt;=2,1,0))+IF(ISBLANK(E764),0,IF(E764&lt;12,1,0))</f>
        <v>8</v>
      </c>
      <c r="U764" s="0" t="str">
        <f aca="false">IF((ISBLANK(B764)*1+ISBLANK(C764)*1+ISBLANK(D764)*1+ISBLANK(E764)*1+ISBLANK(F764)*1+ISBLANK(I764)*1+ISBLANK(J764)*1+ISBLANK(K764)*1+ISBLANK(L764)*1+ISBLANK(M764)*1+ISBLANK(N764)*1+ISBLANK(O764)*1)&gt;0,"Missing Data","OK")</f>
        <v>OK</v>
      </c>
      <c r="V764" s="0" t="str">
        <f aca="false">IF(T764&gt;=6,"High Risk",IF(T764&gt;=3,"Medium Risk","Low Risk"))</f>
        <v>High Risk</v>
      </c>
    </row>
    <row r="765" customFormat="false" ht="12.8" hidden="false" customHeight="false" outlineLevel="0" collapsed="false">
      <c r="A765" s="1" t="s">
        <v>795</v>
      </c>
      <c r="B765" s="1" t="s">
        <v>36</v>
      </c>
      <c r="C765" s="1" t="s">
        <v>34</v>
      </c>
      <c r="D765" s="1" t="n">
        <v>10.99</v>
      </c>
      <c r="E765" s="1" t="n">
        <v>72</v>
      </c>
      <c r="F765" s="4" t="n">
        <v>44855</v>
      </c>
      <c r="G765" s="1" t="s">
        <v>30</v>
      </c>
      <c r="H765" s="1" t="n">
        <v>1</v>
      </c>
      <c r="I765" s="1" t="n">
        <v>70.7</v>
      </c>
      <c r="J765" s="1" t="n">
        <v>23</v>
      </c>
      <c r="K765" s="1" t="n">
        <v>9</v>
      </c>
      <c r="L765" s="1" t="n">
        <v>2</v>
      </c>
      <c r="M765" s="1" t="n">
        <v>1</v>
      </c>
      <c r="N765" s="1" t="n">
        <v>791.28</v>
      </c>
      <c r="O765" s="1" t="n">
        <v>0</v>
      </c>
      <c r="Q765" s="4" t="n">
        <v>46293</v>
      </c>
      <c r="R765" s="0" t="n">
        <f aca="false">IF(ISBLANK(F765),"Missing",IFERROR(YEAR(F765),"Missing"))</f>
        <v>2022</v>
      </c>
      <c r="S765" s="0" t="str">
        <f aca="false">IF(ISBLANK(E765),"Missing",IF(E765&lt;6,"0-6mo",IF(E765&lt;12,"6-12mo",IF(E765&lt;24,"12-24mo","24mo+"))))</f>
        <v>24mo+</v>
      </c>
      <c r="T765" s="0" t="n">
        <f aca="false">IF(ISBLANK(C765),0,IF(C765="Month-to-month",2,IF(C765="One year",1,0)))+IF(ISBLANK(I765),0,IF(I765&lt;40,2,IF(I765&lt;55,1,0)))+IF(ISBLANK(M765),0,IF(M765=1,3,0))+IF(ISBLANK(L765),0,IF(L765&gt;=2,1,0))+IF(ISBLANK(E765),0,IF(E765&lt;12,1,0))</f>
        <v>5</v>
      </c>
      <c r="U765" s="0" t="str">
        <f aca="false">IF((ISBLANK(B765)*1+ISBLANK(C765)*1+ISBLANK(D765)*1+ISBLANK(E765)*1+ISBLANK(F765)*1+ISBLANK(I765)*1+ISBLANK(J765)*1+ISBLANK(K765)*1+ISBLANK(L765)*1+ISBLANK(M765)*1+ISBLANK(N765)*1+ISBLANK(O765)*1)&gt;0,"Missing Data","OK")</f>
        <v>OK</v>
      </c>
      <c r="V765" s="0" t="str">
        <f aca="false">IF(T765&gt;=6,"High Risk",IF(T765&gt;=3,"Medium Risk","Low Risk"))</f>
        <v>Medium Risk</v>
      </c>
    </row>
    <row r="766" customFormat="false" ht="12.8" hidden="false" customHeight="false" outlineLevel="0" collapsed="false">
      <c r="A766" s="1" t="s">
        <v>796</v>
      </c>
      <c r="B766" s="1" t="s">
        <v>36</v>
      </c>
      <c r="C766" s="1" t="s">
        <v>34</v>
      </c>
      <c r="D766" s="1" t="n">
        <v>10.26</v>
      </c>
      <c r="E766" s="1" t="n">
        <v>2</v>
      </c>
      <c r="F766" s="4" t="n">
        <v>44856</v>
      </c>
      <c r="G766" s="1" t="s">
        <v>39</v>
      </c>
      <c r="H766" s="1" t="n">
        <v>1</v>
      </c>
      <c r="I766" s="1" t="n">
        <v>34</v>
      </c>
      <c r="J766" s="1" t="n">
        <v>14</v>
      </c>
      <c r="K766" s="1" t="n">
        <v>3</v>
      </c>
      <c r="L766" s="1" t="n">
        <v>2</v>
      </c>
      <c r="M766" s="1" t="n">
        <v>0</v>
      </c>
      <c r="N766" s="1" t="n">
        <v>20.52</v>
      </c>
      <c r="O766" s="1" t="n">
        <v>0</v>
      </c>
      <c r="Q766" s="4" t="n">
        <v>44916</v>
      </c>
      <c r="R766" s="0" t="n">
        <f aca="false">IF(ISBLANK(F766),"Missing",IFERROR(YEAR(F766),"Missing"))</f>
        <v>2022</v>
      </c>
      <c r="S766" s="0" t="str">
        <f aca="false">IF(ISBLANK(E766),"Missing",IF(E766&lt;6,"0-6mo",IF(E766&lt;12,"6-12mo",IF(E766&lt;24,"12-24mo","24mo+"))))</f>
        <v>0-6mo</v>
      </c>
      <c r="T766" s="0" t="n">
        <f aca="false">IF(ISBLANK(C766),0,IF(C766="Month-to-month",2,IF(C766="One year",1,0)))+IF(ISBLANK(I766),0,IF(I766&lt;40,2,IF(I766&lt;55,1,0)))+IF(ISBLANK(M766),0,IF(M766=1,3,0))+IF(ISBLANK(L766),0,IF(L766&gt;=2,1,0))+IF(ISBLANK(E766),0,IF(E766&lt;12,1,0))</f>
        <v>5</v>
      </c>
      <c r="U766" s="0" t="str">
        <f aca="false">IF((ISBLANK(B766)*1+ISBLANK(C766)*1+ISBLANK(D766)*1+ISBLANK(E766)*1+ISBLANK(F766)*1+ISBLANK(I766)*1+ISBLANK(J766)*1+ISBLANK(K766)*1+ISBLANK(L766)*1+ISBLANK(M766)*1+ISBLANK(N766)*1+ISBLANK(O766)*1)&gt;0,"Missing Data","OK")</f>
        <v>OK</v>
      </c>
      <c r="V766" s="0" t="str">
        <f aca="false">IF(T766&gt;=6,"High Risk",IF(T766&gt;=3,"Medium Risk","Low Risk"))</f>
        <v>Medium Risk</v>
      </c>
    </row>
    <row r="767" customFormat="false" ht="12.8" hidden="false" customHeight="false" outlineLevel="0" collapsed="false">
      <c r="A767" s="1" t="s">
        <v>797</v>
      </c>
      <c r="B767" s="1" t="s">
        <v>23</v>
      </c>
      <c r="C767" s="1" t="s">
        <v>34</v>
      </c>
      <c r="D767" s="1" t="n">
        <v>18.85</v>
      </c>
      <c r="E767" s="1" t="n">
        <v>3</v>
      </c>
      <c r="F767" s="4" t="n">
        <v>44857</v>
      </c>
      <c r="G767" s="1" t="s">
        <v>39</v>
      </c>
      <c r="H767" s="1" t="n">
        <v>1</v>
      </c>
      <c r="I767" s="1" t="n">
        <v>57</v>
      </c>
      <c r="J767" s="1" t="n">
        <v>22</v>
      </c>
      <c r="K767" s="1" t="n">
        <v>5</v>
      </c>
      <c r="L767" s="1" t="n">
        <v>2</v>
      </c>
      <c r="M767" s="1" t="n">
        <v>0</v>
      </c>
      <c r="N767" s="1" t="n">
        <v>56.55</v>
      </c>
      <c r="O767" s="1" t="n">
        <v>0</v>
      </c>
      <c r="Q767" s="4" t="n">
        <v>44948</v>
      </c>
      <c r="R767" s="0" t="n">
        <f aca="false">IF(ISBLANK(F767),"Missing",IFERROR(YEAR(F767),"Missing"))</f>
        <v>2022</v>
      </c>
      <c r="S767" s="0" t="str">
        <f aca="false">IF(ISBLANK(E767),"Missing",IF(E767&lt;6,"0-6mo",IF(E767&lt;12,"6-12mo",IF(E767&lt;24,"12-24mo","24mo+"))))</f>
        <v>0-6mo</v>
      </c>
      <c r="T767" s="0" t="n">
        <f aca="false">IF(ISBLANK(C767),0,IF(C767="Month-to-month",2,IF(C767="One year",1,0)))+IF(ISBLANK(I767),0,IF(I767&lt;40,2,IF(I767&lt;55,1,0)))+IF(ISBLANK(M767),0,IF(M767=1,3,0))+IF(ISBLANK(L767),0,IF(L767&gt;=2,1,0))+IF(ISBLANK(E767),0,IF(E767&lt;12,1,0))</f>
        <v>3</v>
      </c>
      <c r="U767" s="0" t="str">
        <f aca="false">IF((ISBLANK(B767)*1+ISBLANK(C767)*1+ISBLANK(D767)*1+ISBLANK(E767)*1+ISBLANK(F767)*1+ISBLANK(I767)*1+ISBLANK(J767)*1+ISBLANK(K767)*1+ISBLANK(L767)*1+ISBLANK(M767)*1+ISBLANK(N767)*1+ISBLANK(O767)*1)&gt;0,"Missing Data","OK")</f>
        <v>OK</v>
      </c>
      <c r="V767" s="0" t="str">
        <f aca="false">IF(T767&gt;=6,"High Risk",IF(T767&gt;=3,"Medium Risk","Low Risk"))</f>
        <v>Medium Risk</v>
      </c>
    </row>
    <row r="768" customFormat="false" ht="12.8" hidden="false" customHeight="false" outlineLevel="0" collapsed="false">
      <c r="A768" s="1" t="s">
        <v>798</v>
      </c>
      <c r="B768" s="1" t="s">
        <v>36</v>
      </c>
      <c r="C768" s="1" t="s">
        <v>24</v>
      </c>
      <c r="D768" s="1" t="n">
        <v>10.55</v>
      </c>
      <c r="E768" s="1" t="n">
        <v>41</v>
      </c>
      <c r="F768" s="4" t="n">
        <v>44861</v>
      </c>
      <c r="G768" s="1" t="s">
        <v>39</v>
      </c>
      <c r="H768" s="1" t="n">
        <v>1</v>
      </c>
      <c r="I768" s="1" t="n">
        <v>69.1</v>
      </c>
      <c r="J768" s="1" t="n">
        <v>15</v>
      </c>
      <c r="K768" s="1" t="n">
        <v>9</v>
      </c>
      <c r="L768" s="1" t="n">
        <v>2</v>
      </c>
      <c r="M768" s="1" t="n">
        <v>1</v>
      </c>
      <c r="N768" s="1" t="n">
        <v>432.55</v>
      </c>
      <c r="O768" s="1" t="n">
        <v>0</v>
      </c>
      <c r="Q768" s="4" t="n">
        <v>46109</v>
      </c>
      <c r="R768" s="0" t="n">
        <f aca="false">IF(ISBLANK(F768),"Missing",IFERROR(YEAR(F768),"Missing"))</f>
        <v>2022</v>
      </c>
      <c r="S768" s="0" t="str">
        <f aca="false">IF(ISBLANK(E768),"Missing",IF(E768&lt;6,"0-6mo",IF(E768&lt;12,"6-12mo",IF(E768&lt;24,"12-24mo","24mo+"))))</f>
        <v>24mo+</v>
      </c>
      <c r="T768" s="0" t="n">
        <f aca="false">IF(ISBLANK(C768),0,IF(C768="Month-to-month",2,IF(C768="One year",1,0)))+IF(ISBLANK(I768),0,IF(I768&lt;40,2,IF(I768&lt;55,1,0)))+IF(ISBLANK(M768),0,IF(M768=1,3,0))+IF(ISBLANK(L768),0,IF(L768&gt;=2,1,0))+IF(ISBLANK(E768),0,IF(E768&lt;12,1,0))</f>
        <v>6</v>
      </c>
      <c r="U768" s="0" t="str">
        <f aca="false">IF((ISBLANK(B768)*1+ISBLANK(C768)*1+ISBLANK(D768)*1+ISBLANK(E768)*1+ISBLANK(F768)*1+ISBLANK(I768)*1+ISBLANK(J768)*1+ISBLANK(K768)*1+ISBLANK(L768)*1+ISBLANK(M768)*1+ISBLANK(N768)*1+ISBLANK(O768)*1)&gt;0,"Missing Data","OK")</f>
        <v>OK</v>
      </c>
      <c r="V768" s="0" t="str">
        <f aca="false">IF(T768&gt;=6,"High Risk",IF(T768&gt;=3,"Medium Risk","Low Risk"))</f>
        <v>High Risk</v>
      </c>
    </row>
    <row r="769" customFormat="false" ht="12.8" hidden="false" customHeight="false" outlineLevel="0" collapsed="false">
      <c r="A769" s="1" t="s">
        <v>799</v>
      </c>
      <c r="B769" s="1" t="s">
        <v>36</v>
      </c>
      <c r="C769" s="1" t="s">
        <v>34</v>
      </c>
      <c r="D769" s="1" t="n">
        <v>8.87</v>
      </c>
      <c r="E769" s="1" t="n">
        <v>8</v>
      </c>
      <c r="F769" s="4" t="n">
        <v>44862</v>
      </c>
      <c r="G769" s="1" t="s">
        <v>25</v>
      </c>
      <c r="H769" s="1" t="n">
        <v>1</v>
      </c>
      <c r="I769" s="1" t="n">
        <v>17.5</v>
      </c>
      <c r="J769" s="1" t="n">
        <v>8</v>
      </c>
      <c r="K769" s="1" t="n">
        <v>3</v>
      </c>
      <c r="L769" s="1" t="n">
        <v>3</v>
      </c>
      <c r="M769" s="1" t="n">
        <v>1</v>
      </c>
      <c r="N769" s="1" t="n">
        <v>70.96</v>
      </c>
      <c r="O769" s="1" t="n">
        <v>1</v>
      </c>
      <c r="P769" s="4" t="n">
        <v>45105</v>
      </c>
      <c r="Q769" s="4" t="n">
        <v>45105</v>
      </c>
      <c r="R769" s="0" t="n">
        <f aca="false">IF(ISBLANK(F769),"Missing",IFERROR(YEAR(F769),"Missing"))</f>
        <v>2022</v>
      </c>
      <c r="S769" s="0" t="str">
        <f aca="false">IF(ISBLANK(E769),"Missing",IF(E769&lt;6,"0-6mo",IF(E769&lt;12,"6-12mo",IF(E769&lt;24,"12-24mo","24mo+"))))</f>
        <v>6-12mo</v>
      </c>
      <c r="T769" s="0" t="n">
        <f aca="false">IF(ISBLANK(C769),0,IF(C769="Month-to-month",2,IF(C769="One year",1,0)))+IF(ISBLANK(I769),0,IF(I769&lt;40,2,IF(I769&lt;55,1,0)))+IF(ISBLANK(M769),0,IF(M769=1,3,0))+IF(ISBLANK(L769),0,IF(L769&gt;=2,1,0))+IF(ISBLANK(E769),0,IF(E769&lt;12,1,0))</f>
        <v>8</v>
      </c>
      <c r="U769" s="0" t="str">
        <f aca="false">IF((ISBLANK(B769)*1+ISBLANK(C769)*1+ISBLANK(D769)*1+ISBLANK(E769)*1+ISBLANK(F769)*1+ISBLANK(I769)*1+ISBLANK(J769)*1+ISBLANK(K769)*1+ISBLANK(L769)*1+ISBLANK(M769)*1+ISBLANK(N769)*1+ISBLANK(O769)*1)&gt;0,"Missing Data","OK")</f>
        <v>OK</v>
      </c>
      <c r="V769" s="0" t="str">
        <f aca="false">IF(T769&gt;=6,"High Risk",IF(T769&gt;=3,"Medium Risk","Low Risk"))</f>
        <v>High Risk</v>
      </c>
    </row>
    <row r="770" customFormat="false" ht="12.8" hidden="false" customHeight="false" outlineLevel="0" collapsed="false">
      <c r="A770" s="1" t="s">
        <v>800</v>
      </c>
      <c r="B770" s="1" t="s">
        <v>36</v>
      </c>
      <c r="C770" s="1" t="s">
        <v>51</v>
      </c>
      <c r="D770" s="1" t="n">
        <v>12.59</v>
      </c>
      <c r="E770" s="1" t="n">
        <v>5</v>
      </c>
      <c r="F770" s="4" t="n">
        <v>44862</v>
      </c>
      <c r="G770" s="1" t="s">
        <v>25</v>
      </c>
      <c r="H770" s="1" t="n">
        <v>1</v>
      </c>
      <c r="I770" s="1" t="n">
        <v>68.3</v>
      </c>
      <c r="J770" s="1" t="n">
        <v>24</v>
      </c>
      <c r="K770" s="1" t="n">
        <v>7</v>
      </c>
      <c r="L770" s="1" t="n">
        <v>0</v>
      </c>
      <c r="M770" s="1" t="n">
        <v>0</v>
      </c>
      <c r="N770" s="1" t="n">
        <v>62.95</v>
      </c>
      <c r="O770" s="1" t="n">
        <v>0</v>
      </c>
      <c r="Q770" s="4" t="n">
        <v>45014</v>
      </c>
      <c r="R770" s="0" t="n">
        <f aca="false">IF(ISBLANK(F770),"Missing",IFERROR(YEAR(F770),"Missing"))</f>
        <v>2022</v>
      </c>
      <c r="S770" s="0" t="str">
        <f aca="false">IF(ISBLANK(E770),"Missing",IF(E770&lt;6,"0-6mo",IF(E770&lt;12,"6-12mo",IF(E770&lt;24,"12-24mo","24mo+"))))</f>
        <v>0-6mo</v>
      </c>
      <c r="T770" s="0" t="n">
        <f aca="false">IF(ISBLANK(C770),0,IF(C770="Month-to-month",2,IF(C770="One year",1,0)))+IF(ISBLANK(I770),0,IF(I770&lt;40,2,IF(I770&lt;55,1,0)))+IF(ISBLANK(M770),0,IF(M770=1,3,0))+IF(ISBLANK(L770),0,IF(L770&gt;=2,1,0))+IF(ISBLANK(E770),0,IF(E770&lt;12,1,0))</f>
        <v>1</v>
      </c>
      <c r="U770" s="0" t="str">
        <f aca="false">IF((ISBLANK(B770)*1+ISBLANK(C770)*1+ISBLANK(D770)*1+ISBLANK(E770)*1+ISBLANK(F770)*1+ISBLANK(I770)*1+ISBLANK(J770)*1+ISBLANK(K770)*1+ISBLANK(L770)*1+ISBLANK(M770)*1+ISBLANK(N770)*1+ISBLANK(O770)*1)&gt;0,"Missing Data","OK")</f>
        <v>OK</v>
      </c>
      <c r="V770" s="0" t="str">
        <f aca="false">IF(T770&gt;=6,"High Risk",IF(T770&gt;=3,"Medium Risk","Low Risk"))</f>
        <v>Low Risk</v>
      </c>
    </row>
    <row r="771" customFormat="false" ht="12.8" hidden="false" customHeight="false" outlineLevel="0" collapsed="false">
      <c r="A771" s="1" t="s">
        <v>801</v>
      </c>
      <c r="B771" s="1" t="s">
        <v>23</v>
      </c>
      <c r="C771" s="1" t="s">
        <v>24</v>
      </c>
      <c r="D771" s="1" t="n">
        <v>20.71</v>
      </c>
      <c r="E771" s="1" t="n">
        <v>19</v>
      </c>
      <c r="F771" s="4" t="n">
        <v>44862</v>
      </c>
      <c r="G771" s="1" t="s">
        <v>25</v>
      </c>
      <c r="H771" s="1" t="n">
        <v>1</v>
      </c>
      <c r="I771" s="1" t="n">
        <v>55.8</v>
      </c>
      <c r="J771" s="1" t="n">
        <v>20</v>
      </c>
      <c r="K771" s="1" t="n">
        <v>5</v>
      </c>
      <c r="L771" s="1" t="n">
        <v>1</v>
      </c>
      <c r="M771" s="1" t="n">
        <v>1</v>
      </c>
      <c r="N771" s="1" t="n">
        <v>393.49</v>
      </c>
      <c r="O771" s="1" t="n">
        <v>0</v>
      </c>
      <c r="Q771" s="4" t="n">
        <v>45440</v>
      </c>
      <c r="R771" s="0" t="n">
        <f aca="false">IF(ISBLANK(F771),"Missing",IFERROR(YEAR(F771),"Missing"))</f>
        <v>2022</v>
      </c>
      <c r="S771" s="0" t="str">
        <f aca="false">IF(ISBLANK(E771),"Missing",IF(E771&lt;6,"0-6mo",IF(E771&lt;12,"6-12mo",IF(E771&lt;24,"12-24mo","24mo+"))))</f>
        <v>12-24mo</v>
      </c>
      <c r="T771" s="0" t="n">
        <f aca="false">IF(ISBLANK(C771),0,IF(C771="Month-to-month",2,IF(C771="One year",1,0)))+IF(ISBLANK(I771),0,IF(I771&lt;40,2,IF(I771&lt;55,1,0)))+IF(ISBLANK(M771),0,IF(M771=1,3,0))+IF(ISBLANK(L771),0,IF(L771&gt;=2,1,0))+IF(ISBLANK(E771),0,IF(E771&lt;12,1,0))</f>
        <v>5</v>
      </c>
      <c r="U771" s="0" t="str">
        <f aca="false">IF((ISBLANK(B771)*1+ISBLANK(C771)*1+ISBLANK(D771)*1+ISBLANK(E771)*1+ISBLANK(F771)*1+ISBLANK(I771)*1+ISBLANK(J771)*1+ISBLANK(K771)*1+ISBLANK(L771)*1+ISBLANK(M771)*1+ISBLANK(N771)*1+ISBLANK(O771)*1)&gt;0,"Missing Data","OK")</f>
        <v>OK</v>
      </c>
      <c r="V771" s="0" t="str">
        <f aca="false">IF(T771&gt;=6,"High Risk",IF(T771&gt;=3,"Medium Risk","Low Risk"))</f>
        <v>Medium Risk</v>
      </c>
    </row>
    <row r="772" customFormat="false" ht="12.8" hidden="false" customHeight="false" outlineLevel="0" collapsed="false">
      <c r="A772" s="1" t="s">
        <v>802</v>
      </c>
      <c r="B772" s="1" t="s">
        <v>23</v>
      </c>
      <c r="C772" s="1" t="s">
        <v>34</v>
      </c>
      <c r="D772" s="1" t="n">
        <v>20.58</v>
      </c>
      <c r="E772" s="1" t="n">
        <v>7</v>
      </c>
      <c r="F772" s="4" t="n">
        <v>44862</v>
      </c>
      <c r="G772" s="1" t="s">
        <v>25</v>
      </c>
      <c r="H772" s="1" t="n">
        <v>1</v>
      </c>
      <c r="I772" s="1" t="n">
        <v>53.7</v>
      </c>
      <c r="J772" s="1" t="n">
        <v>13</v>
      </c>
      <c r="K772" s="1" t="n">
        <v>6</v>
      </c>
      <c r="L772" s="1" t="n">
        <v>0</v>
      </c>
      <c r="M772" s="1" t="n">
        <v>0</v>
      </c>
      <c r="N772" s="1" t="n">
        <v>144.06</v>
      </c>
      <c r="O772" s="1" t="n">
        <v>0</v>
      </c>
      <c r="Q772" s="4" t="n">
        <v>45075</v>
      </c>
      <c r="R772" s="0" t="n">
        <f aca="false">IF(ISBLANK(F772),"Missing",IFERROR(YEAR(F772),"Missing"))</f>
        <v>2022</v>
      </c>
      <c r="S772" s="0" t="str">
        <f aca="false">IF(ISBLANK(E772),"Missing",IF(E772&lt;6,"0-6mo",IF(E772&lt;12,"6-12mo",IF(E772&lt;24,"12-24mo","24mo+"))))</f>
        <v>6-12mo</v>
      </c>
      <c r="T772" s="0" t="n">
        <f aca="false">IF(ISBLANK(C772),0,IF(C772="Month-to-month",2,IF(C772="One year",1,0)))+IF(ISBLANK(I772),0,IF(I772&lt;40,2,IF(I772&lt;55,1,0)))+IF(ISBLANK(M772),0,IF(M772=1,3,0))+IF(ISBLANK(L772),0,IF(L772&gt;=2,1,0))+IF(ISBLANK(E772),0,IF(E772&lt;12,1,0))</f>
        <v>3</v>
      </c>
      <c r="U772" s="0" t="str">
        <f aca="false">IF((ISBLANK(B772)*1+ISBLANK(C772)*1+ISBLANK(D772)*1+ISBLANK(E772)*1+ISBLANK(F772)*1+ISBLANK(I772)*1+ISBLANK(J772)*1+ISBLANK(K772)*1+ISBLANK(L772)*1+ISBLANK(M772)*1+ISBLANK(N772)*1+ISBLANK(O772)*1)&gt;0,"Missing Data","OK")</f>
        <v>OK</v>
      </c>
      <c r="V772" s="0" t="str">
        <f aca="false">IF(T772&gt;=6,"High Risk",IF(T772&gt;=3,"Medium Risk","Low Risk"))</f>
        <v>Medium Risk</v>
      </c>
    </row>
    <row r="773" customFormat="false" ht="12.8" hidden="false" customHeight="false" outlineLevel="0" collapsed="false">
      <c r="A773" s="1" t="s">
        <v>803</v>
      </c>
      <c r="B773" s="1" t="s">
        <v>36</v>
      </c>
      <c r="C773" s="1" t="s">
        <v>34</v>
      </c>
      <c r="D773" s="1" t="n">
        <v>10.56</v>
      </c>
      <c r="E773" s="1" t="n">
        <v>17</v>
      </c>
      <c r="F773" s="4" t="n">
        <v>44863</v>
      </c>
      <c r="G773" s="1" t="s">
        <v>25</v>
      </c>
      <c r="H773" s="1" t="n">
        <v>0</v>
      </c>
      <c r="I773" s="1" t="n">
        <v>48.5</v>
      </c>
      <c r="J773" s="1" t="n">
        <v>13</v>
      </c>
      <c r="K773" s="1" t="n">
        <v>4</v>
      </c>
      <c r="L773" s="1" t="n">
        <v>2</v>
      </c>
      <c r="M773" s="1" t="n">
        <v>0</v>
      </c>
      <c r="N773" s="1" t="n">
        <v>179.52</v>
      </c>
      <c r="O773" s="1" t="n">
        <v>0</v>
      </c>
      <c r="Q773" s="4" t="n">
        <v>45380</v>
      </c>
      <c r="R773" s="0" t="n">
        <f aca="false">IF(ISBLANK(F773),"Missing",IFERROR(YEAR(F773),"Missing"))</f>
        <v>2022</v>
      </c>
      <c r="S773" s="0" t="str">
        <f aca="false">IF(ISBLANK(E773),"Missing",IF(E773&lt;6,"0-6mo",IF(E773&lt;12,"6-12mo",IF(E773&lt;24,"12-24mo","24mo+"))))</f>
        <v>12-24mo</v>
      </c>
      <c r="T773" s="0" t="n">
        <f aca="false">IF(ISBLANK(C773),0,IF(C773="Month-to-month",2,IF(C773="One year",1,0)))+IF(ISBLANK(I773),0,IF(I773&lt;40,2,IF(I773&lt;55,1,0)))+IF(ISBLANK(M773),0,IF(M773=1,3,0))+IF(ISBLANK(L773),0,IF(L773&gt;=2,1,0))+IF(ISBLANK(E773),0,IF(E773&lt;12,1,0))</f>
        <v>3</v>
      </c>
      <c r="U773" s="0" t="str">
        <f aca="false">IF((ISBLANK(B773)*1+ISBLANK(C773)*1+ISBLANK(D773)*1+ISBLANK(E773)*1+ISBLANK(F773)*1+ISBLANK(I773)*1+ISBLANK(J773)*1+ISBLANK(K773)*1+ISBLANK(L773)*1+ISBLANK(M773)*1+ISBLANK(N773)*1+ISBLANK(O773)*1)&gt;0,"Missing Data","OK")</f>
        <v>OK</v>
      </c>
      <c r="V773" s="0" t="str">
        <f aca="false">IF(T773&gt;=6,"High Risk",IF(T773&gt;=3,"Medium Risk","Low Risk"))</f>
        <v>Medium Risk</v>
      </c>
    </row>
    <row r="774" customFormat="false" ht="12.8" hidden="false" customHeight="false" outlineLevel="0" collapsed="false">
      <c r="A774" s="1" t="s">
        <v>804</v>
      </c>
      <c r="B774" s="1" t="s">
        <v>29</v>
      </c>
      <c r="C774" s="1" t="s">
        <v>24</v>
      </c>
      <c r="D774" s="1" t="n">
        <v>40.21</v>
      </c>
      <c r="E774" s="1" t="n">
        <v>33</v>
      </c>
      <c r="F774" s="4" t="n">
        <v>44866</v>
      </c>
      <c r="G774" s="1" t="s">
        <v>25</v>
      </c>
      <c r="H774" s="1" t="n">
        <v>1</v>
      </c>
      <c r="I774" s="1" t="n">
        <v>63</v>
      </c>
      <c r="J774" s="1" t="n">
        <v>23</v>
      </c>
      <c r="K774" s="1" t="n">
        <v>7</v>
      </c>
      <c r="L774" s="1" t="n">
        <v>0</v>
      </c>
      <c r="M774" s="1" t="n">
        <v>0</v>
      </c>
      <c r="N774" s="1" t="n">
        <v>1326.93</v>
      </c>
      <c r="O774" s="1" t="n">
        <v>0</v>
      </c>
      <c r="Q774" s="4" t="n">
        <v>45870</v>
      </c>
      <c r="R774" s="0" t="n">
        <f aca="false">IF(ISBLANK(F774),"Missing",IFERROR(YEAR(F774),"Missing"))</f>
        <v>2022</v>
      </c>
      <c r="S774" s="0" t="str">
        <f aca="false">IF(ISBLANK(E774),"Missing",IF(E774&lt;6,"0-6mo",IF(E774&lt;12,"6-12mo",IF(E774&lt;24,"12-24mo","24mo+"))))</f>
        <v>24mo+</v>
      </c>
      <c r="T774" s="0" t="n">
        <f aca="false">IF(ISBLANK(C774),0,IF(C774="Month-to-month",2,IF(C774="One year",1,0)))+IF(ISBLANK(I774),0,IF(I774&lt;40,2,IF(I774&lt;55,1,0)))+IF(ISBLANK(M774),0,IF(M774=1,3,0))+IF(ISBLANK(L774),0,IF(L774&gt;=2,1,0))+IF(ISBLANK(E774),0,IF(E774&lt;12,1,0))</f>
        <v>2</v>
      </c>
      <c r="U774" s="0" t="str">
        <f aca="false">IF((ISBLANK(B774)*1+ISBLANK(C774)*1+ISBLANK(D774)*1+ISBLANK(E774)*1+ISBLANK(F774)*1+ISBLANK(I774)*1+ISBLANK(J774)*1+ISBLANK(K774)*1+ISBLANK(L774)*1+ISBLANK(M774)*1+ISBLANK(N774)*1+ISBLANK(O774)*1)&gt;0,"Missing Data","OK")</f>
        <v>OK</v>
      </c>
      <c r="V774" s="0" t="str">
        <f aca="false">IF(T774&gt;=6,"High Risk",IF(T774&gt;=3,"Medium Risk","Low Risk"))</f>
        <v>Low Risk</v>
      </c>
    </row>
    <row r="775" customFormat="false" ht="12.8" hidden="false" customHeight="false" outlineLevel="0" collapsed="false">
      <c r="A775" s="1" t="s">
        <v>805</v>
      </c>
      <c r="B775" s="1" t="s">
        <v>29</v>
      </c>
      <c r="C775" s="1" t="s">
        <v>34</v>
      </c>
      <c r="D775" s="1" t="n">
        <v>40.5</v>
      </c>
      <c r="E775" s="1" t="n">
        <v>15</v>
      </c>
      <c r="F775" s="4" t="n">
        <v>44868</v>
      </c>
      <c r="G775" s="1" t="s">
        <v>39</v>
      </c>
      <c r="H775" s="1" t="n">
        <v>1</v>
      </c>
      <c r="I775" s="1" t="n">
        <v>42.8</v>
      </c>
      <c r="J775" s="1" t="n">
        <v>13</v>
      </c>
      <c r="K775" s="1" t="n">
        <v>2</v>
      </c>
      <c r="L775" s="1" t="n">
        <v>1</v>
      </c>
      <c r="M775" s="1" t="n">
        <v>0</v>
      </c>
      <c r="N775" s="1" t="n">
        <v>607.5</v>
      </c>
      <c r="O775" s="1" t="n">
        <v>0</v>
      </c>
      <c r="Q775" s="4" t="n">
        <v>45324</v>
      </c>
      <c r="R775" s="0" t="n">
        <f aca="false">IF(ISBLANK(F775),"Missing",IFERROR(YEAR(F775),"Missing"))</f>
        <v>2022</v>
      </c>
      <c r="S775" s="0" t="str">
        <f aca="false">IF(ISBLANK(E775),"Missing",IF(E775&lt;6,"0-6mo",IF(E775&lt;12,"6-12mo",IF(E775&lt;24,"12-24mo","24mo+"))))</f>
        <v>12-24mo</v>
      </c>
      <c r="T775" s="0" t="n">
        <f aca="false">IF(ISBLANK(C775),0,IF(C775="Month-to-month",2,IF(C775="One year",1,0)))+IF(ISBLANK(I775),0,IF(I775&lt;40,2,IF(I775&lt;55,1,0)))+IF(ISBLANK(M775),0,IF(M775=1,3,0))+IF(ISBLANK(L775),0,IF(L775&gt;=2,1,0))+IF(ISBLANK(E775),0,IF(E775&lt;12,1,0))</f>
        <v>2</v>
      </c>
      <c r="U775" s="0" t="str">
        <f aca="false">IF((ISBLANK(B775)*1+ISBLANK(C775)*1+ISBLANK(D775)*1+ISBLANK(E775)*1+ISBLANK(F775)*1+ISBLANK(I775)*1+ISBLANK(J775)*1+ISBLANK(K775)*1+ISBLANK(L775)*1+ISBLANK(M775)*1+ISBLANK(N775)*1+ISBLANK(O775)*1)&gt;0,"Missing Data","OK")</f>
        <v>OK</v>
      </c>
      <c r="V775" s="0" t="str">
        <f aca="false">IF(T775&gt;=6,"High Risk",IF(T775&gt;=3,"Medium Risk","Low Risk"))</f>
        <v>Low Risk</v>
      </c>
    </row>
    <row r="776" customFormat="false" ht="12.8" hidden="false" customHeight="false" outlineLevel="0" collapsed="false">
      <c r="A776" s="1" t="s">
        <v>806</v>
      </c>
      <c r="B776" s="1" t="s">
        <v>36</v>
      </c>
      <c r="C776" s="1" t="s">
        <v>24</v>
      </c>
      <c r="D776" s="1" t="n">
        <v>9.99</v>
      </c>
      <c r="E776" s="1" t="n">
        <v>1</v>
      </c>
      <c r="F776" s="4" t="n">
        <v>44868</v>
      </c>
      <c r="G776" s="1" t="s">
        <v>39</v>
      </c>
      <c r="H776" s="1" t="n">
        <v>1</v>
      </c>
      <c r="I776" s="1" t="n">
        <v>25.6</v>
      </c>
      <c r="J776" s="1" t="n">
        <v>6</v>
      </c>
      <c r="K776" s="1" t="n">
        <v>3</v>
      </c>
      <c r="L776" s="1" t="n">
        <v>3</v>
      </c>
      <c r="M776" s="1" t="n">
        <v>0</v>
      </c>
      <c r="N776" s="1" t="n">
        <v>9.99</v>
      </c>
      <c r="O776" s="1" t="n">
        <v>0</v>
      </c>
      <c r="Q776" s="4" t="n">
        <v>44898</v>
      </c>
      <c r="R776" s="0" t="n">
        <f aca="false">IF(ISBLANK(F776),"Missing",IFERROR(YEAR(F776),"Missing"))</f>
        <v>2022</v>
      </c>
      <c r="S776" s="0" t="str">
        <f aca="false">IF(ISBLANK(E776),"Missing",IF(E776&lt;6,"0-6mo",IF(E776&lt;12,"6-12mo",IF(E776&lt;24,"12-24mo","24mo+"))))</f>
        <v>0-6mo</v>
      </c>
      <c r="T776" s="0" t="n">
        <f aca="false">IF(ISBLANK(C776),0,IF(C776="Month-to-month",2,IF(C776="One year",1,0)))+IF(ISBLANK(I776),0,IF(I776&lt;40,2,IF(I776&lt;55,1,0)))+IF(ISBLANK(M776),0,IF(M776=1,3,0))+IF(ISBLANK(L776),0,IF(L776&gt;=2,1,0))+IF(ISBLANK(E776),0,IF(E776&lt;12,1,0))</f>
        <v>6</v>
      </c>
      <c r="U776" s="0" t="str">
        <f aca="false">IF((ISBLANK(B776)*1+ISBLANK(C776)*1+ISBLANK(D776)*1+ISBLANK(E776)*1+ISBLANK(F776)*1+ISBLANK(I776)*1+ISBLANK(J776)*1+ISBLANK(K776)*1+ISBLANK(L776)*1+ISBLANK(M776)*1+ISBLANK(N776)*1+ISBLANK(O776)*1)&gt;0,"Missing Data","OK")</f>
        <v>OK</v>
      </c>
      <c r="V776" s="0" t="str">
        <f aca="false">IF(T776&gt;=6,"High Risk",IF(T776&gt;=3,"Medium Risk","Low Risk"))</f>
        <v>High Risk</v>
      </c>
    </row>
    <row r="777" customFormat="false" ht="12.8" hidden="false" customHeight="false" outlineLevel="0" collapsed="false">
      <c r="A777" s="1" t="s">
        <v>807</v>
      </c>
      <c r="B777" s="1" t="s">
        <v>36</v>
      </c>
      <c r="C777" s="1" t="s">
        <v>24</v>
      </c>
      <c r="D777" s="1" t="n">
        <v>9.5</v>
      </c>
      <c r="E777" s="1" t="n">
        <v>15</v>
      </c>
      <c r="F777" s="4" t="n">
        <v>44868</v>
      </c>
      <c r="G777" s="1" t="s">
        <v>25</v>
      </c>
      <c r="H777" s="1" t="n">
        <v>1</v>
      </c>
      <c r="I777" s="1" t="n">
        <v>59.4</v>
      </c>
      <c r="J777" s="1" t="n">
        <v>18</v>
      </c>
      <c r="K777" s="1" t="n">
        <v>9</v>
      </c>
      <c r="L777" s="1" t="n">
        <v>0</v>
      </c>
      <c r="M777" s="1" t="n">
        <v>0</v>
      </c>
      <c r="N777" s="1" t="n">
        <v>142.5</v>
      </c>
      <c r="O777" s="1" t="n">
        <v>0</v>
      </c>
      <c r="Q777" s="4" t="n">
        <v>45324</v>
      </c>
      <c r="R777" s="0" t="n">
        <f aca="false">IF(ISBLANK(F777),"Missing",IFERROR(YEAR(F777),"Missing"))</f>
        <v>2022</v>
      </c>
      <c r="S777" s="0" t="str">
        <f aca="false">IF(ISBLANK(E777),"Missing",IF(E777&lt;6,"0-6mo",IF(E777&lt;12,"6-12mo",IF(E777&lt;24,"12-24mo","24mo+"))))</f>
        <v>12-24mo</v>
      </c>
      <c r="T777" s="0" t="n">
        <f aca="false">IF(ISBLANK(C777),0,IF(C777="Month-to-month",2,IF(C777="One year",1,0)))+IF(ISBLANK(I777),0,IF(I777&lt;40,2,IF(I777&lt;55,1,0)))+IF(ISBLANK(M777),0,IF(M777=1,3,0))+IF(ISBLANK(L777),0,IF(L777&gt;=2,1,0))+IF(ISBLANK(E777),0,IF(E777&lt;12,1,0))</f>
        <v>2</v>
      </c>
      <c r="U777" s="0" t="str">
        <f aca="false">IF((ISBLANK(B777)*1+ISBLANK(C777)*1+ISBLANK(D777)*1+ISBLANK(E777)*1+ISBLANK(F777)*1+ISBLANK(I777)*1+ISBLANK(J777)*1+ISBLANK(K777)*1+ISBLANK(L777)*1+ISBLANK(M777)*1+ISBLANK(N777)*1+ISBLANK(O777)*1)&gt;0,"Missing Data","OK")</f>
        <v>OK</v>
      </c>
      <c r="V777" s="0" t="str">
        <f aca="false">IF(T777&gt;=6,"High Risk",IF(T777&gt;=3,"Medium Risk","Low Risk"))</f>
        <v>Low Risk</v>
      </c>
    </row>
    <row r="778" customFormat="false" ht="12.8" hidden="false" customHeight="false" outlineLevel="0" collapsed="false">
      <c r="A778" s="1" t="s">
        <v>808</v>
      </c>
      <c r="B778" s="1" t="s">
        <v>29</v>
      </c>
      <c r="C778" s="1" t="s">
        <v>24</v>
      </c>
      <c r="D778" s="1" t="n">
        <v>40.16</v>
      </c>
      <c r="E778" s="1" t="n">
        <v>14</v>
      </c>
      <c r="F778" s="4" t="n">
        <v>44868</v>
      </c>
      <c r="G778" s="1" t="s">
        <v>39</v>
      </c>
      <c r="H778" s="1" t="n">
        <v>1</v>
      </c>
      <c r="I778" s="1" t="n">
        <v>16.1</v>
      </c>
      <c r="J778" s="1" t="n">
        <v>4</v>
      </c>
      <c r="K778" s="1" t="n">
        <v>3</v>
      </c>
      <c r="L778" s="1" t="n">
        <v>3</v>
      </c>
      <c r="M778" s="1" t="n">
        <v>1</v>
      </c>
      <c r="N778" s="1" t="n">
        <v>562.24</v>
      </c>
      <c r="O778" s="1" t="n">
        <v>0</v>
      </c>
      <c r="Q778" s="4" t="n">
        <v>45294</v>
      </c>
      <c r="R778" s="0" t="n">
        <f aca="false">IF(ISBLANK(F778),"Missing",IFERROR(YEAR(F778),"Missing"))</f>
        <v>2022</v>
      </c>
      <c r="S778" s="0" t="str">
        <f aca="false">IF(ISBLANK(E778),"Missing",IF(E778&lt;6,"0-6mo",IF(E778&lt;12,"6-12mo",IF(E778&lt;24,"12-24mo","24mo+"))))</f>
        <v>12-24mo</v>
      </c>
      <c r="T778" s="0" t="n">
        <f aca="false">IF(ISBLANK(C778),0,IF(C778="Month-to-month",2,IF(C778="One year",1,0)))+IF(ISBLANK(I778),0,IF(I778&lt;40,2,IF(I778&lt;55,1,0)))+IF(ISBLANK(M778),0,IF(M778=1,3,0))+IF(ISBLANK(L778),0,IF(L778&gt;=2,1,0))+IF(ISBLANK(E778),0,IF(E778&lt;12,1,0))</f>
        <v>8</v>
      </c>
      <c r="U778" s="0" t="str">
        <f aca="false">IF((ISBLANK(B778)*1+ISBLANK(C778)*1+ISBLANK(D778)*1+ISBLANK(E778)*1+ISBLANK(F778)*1+ISBLANK(I778)*1+ISBLANK(J778)*1+ISBLANK(K778)*1+ISBLANK(L778)*1+ISBLANK(M778)*1+ISBLANK(N778)*1+ISBLANK(O778)*1)&gt;0,"Missing Data","OK")</f>
        <v>OK</v>
      </c>
      <c r="V778" s="0" t="str">
        <f aca="false">IF(T778&gt;=6,"High Risk",IF(T778&gt;=3,"Medium Risk","Low Risk"))</f>
        <v>High Risk</v>
      </c>
    </row>
    <row r="779" customFormat="false" ht="12.8" hidden="false" customHeight="false" outlineLevel="0" collapsed="false">
      <c r="A779" s="1" t="s">
        <v>809</v>
      </c>
      <c r="B779" s="1" t="s">
        <v>23</v>
      </c>
      <c r="C779" s="1" t="s">
        <v>51</v>
      </c>
      <c r="D779" s="1" t="n">
        <v>20.08</v>
      </c>
      <c r="E779" s="1" t="n">
        <v>7</v>
      </c>
      <c r="F779" s="4" t="n">
        <v>44870</v>
      </c>
      <c r="G779" s="1" t="s">
        <v>30</v>
      </c>
      <c r="H779" s="1" t="n">
        <v>1</v>
      </c>
      <c r="I779" s="1" t="n">
        <v>70.5</v>
      </c>
      <c r="J779" s="1" t="n">
        <v>20</v>
      </c>
      <c r="K779" s="1" t="n">
        <v>6</v>
      </c>
      <c r="L779" s="1" t="n">
        <v>3</v>
      </c>
      <c r="M779" s="1" t="n">
        <v>0</v>
      </c>
      <c r="N779" s="1" t="n">
        <v>140.56</v>
      </c>
      <c r="O779" s="1" t="n">
        <v>0</v>
      </c>
      <c r="Q779" s="4" t="n">
        <v>45083</v>
      </c>
      <c r="R779" s="0" t="n">
        <f aca="false">IF(ISBLANK(F779),"Missing",IFERROR(YEAR(F779),"Missing"))</f>
        <v>2022</v>
      </c>
      <c r="S779" s="0" t="str">
        <f aca="false">IF(ISBLANK(E779),"Missing",IF(E779&lt;6,"0-6mo",IF(E779&lt;12,"6-12mo",IF(E779&lt;24,"12-24mo","24mo+"))))</f>
        <v>6-12mo</v>
      </c>
      <c r="T779" s="0" t="n">
        <f aca="false">IF(ISBLANK(C779),0,IF(C779="Month-to-month",2,IF(C779="One year",1,0)))+IF(ISBLANK(I779),0,IF(I779&lt;40,2,IF(I779&lt;55,1,0)))+IF(ISBLANK(M779),0,IF(M779=1,3,0))+IF(ISBLANK(L779),0,IF(L779&gt;=2,1,0))+IF(ISBLANK(E779),0,IF(E779&lt;12,1,0))</f>
        <v>2</v>
      </c>
      <c r="U779" s="0" t="str">
        <f aca="false">IF((ISBLANK(B779)*1+ISBLANK(C779)*1+ISBLANK(D779)*1+ISBLANK(E779)*1+ISBLANK(F779)*1+ISBLANK(I779)*1+ISBLANK(J779)*1+ISBLANK(K779)*1+ISBLANK(L779)*1+ISBLANK(M779)*1+ISBLANK(N779)*1+ISBLANK(O779)*1)&gt;0,"Missing Data","OK")</f>
        <v>OK</v>
      </c>
      <c r="V779" s="0" t="str">
        <f aca="false">IF(T779&gt;=6,"High Risk",IF(T779&gt;=3,"Medium Risk","Low Risk"))</f>
        <v>Low Risk</v>
      </c>
    </row>
    <row r="780" customFormat="false" ht="12.8" hidden="false" customHeight="false" outlineLevel="0" collapsed="false">
      <c r="A780" s="1" t="s">
        <v>810</v>
      </c>
      <c r="B780" s="1" t="s">
        <v>23</v>
      </c>
      <c r="C780" s="1" t="s">
        <v>24</v>
      </c>
      <c r="D780" s="1" t="n">
        <v>22.09</v>
      </c>
      <c r="E780" s="1" t="n">
        <v>6</v>
      </c>
      <c r="F780" s="4" t="n">
        <v>44870</v>
      </c>
      <c r="G780" s="1" t="s">
        <v>39</v>
      </c>
      <c r="H780" s="1" t="n">
        <v>0</v>
      </c>
      <c r="I780" s="1" t="n">
        <v>43.3</v>
      </c>
      <c r="J780" s="1" t="n">
        <v>14</v>
      </c>
      <c r="K780" s="1" t="n">
        <v>4</v>
      </c>
      <c r="L780" s="1" t="n">
        <v>2</v>
      </c>
      <c r="M780" s="1" t="n">
        <v>0</v>
      </c>
      <c r="N780" s="1" t="n">
        <v>132.54</v>
      </c>
      <c r="O780" s="1" t="n">
        <v>1</v>
      </c>
      <c r="P780" s="4" t="n">
        <v>45052</v>
      </c>
      <c r="Q780" s="4" t="n">
        <v>45052</v>
      </c>
      <c r="R780" s="0" t="n">
        <f aca="false">IF(ISBLANK(F780),"Missing",IFERROR(YEAR(F780),"Missing"))</f>
        <v>2022</v>
      </c>
      <c r="S780" s="0" t="str">
        <f aca="false">IF(ISBLANK(E780),"Missing",IF(E780&lt;6,"0-6mo",IF(E780&lt;12,"6-12mo",IF(E780&lt;24,"12-24mo","24mo+"))))</f>
        <v>6-12mo</v>
      </c>
      <c r="T780" s="0" t="n">
        <f aca="false">IF(ISBLANK(C780),0,IF(C780="Month-to-month",2,IF(C780="One year",1,0)))+IF(ISBLANK(I780),0,IF(I780&lt;40,2,IF(I780&lt;55,1,0)))+IF(ISBLANK(M780),0,IF(M780=1,3,0))+IF(ISBLANK(L780),0,IF(L780&gt;=2,1,0))+IF(ISBLANK(E780),0,IF(E780&lt;12,1,0))</f>
        <v>5</v>
      </c>
      <c r="U780" s="0" t="str">
        <f aca="false">IF((ISBLANK(B780)*1+ISBLANK(C780)*1+ISBLANK(D780)*1+ISBLANK(E780)*1+ISBLANK(F780)*1+ISBLANK(I780)*1+ISBLANK(J780)*1+ISBLANK(K780)*1+ISBLANK(L780)*1+ISBLANK(M780)*1+ISBLANK(N780)*1+ISBLANK(O780)*1)&gt;0,"Missing Data","OK")</f>
        <v>OK</v>
      </c>
      <c r="V780" s="0" t="str">
        <f aca="false">IF(T780&gt;=6,"High Risk",IF(T780&gt;=3,"Medium Risk","Low Risk"))</f>
        <v>Medium Risk</v>
      </c>
    </row>
    <row r="781" customFormat="false" ht="12.8" hidden="false" customHeight="false" outlineLevel="0" collapsed="false">
      <c r="A781" s="1" t="s">
        <v>811</v>
      </c>
      <c r="B781" s="1" t="s">
        <v>29</v>
      </c>
      <c r="C781" s="1" t="s">
        <v>24</v>
      </c>
      <c r="D781" s="1" t="n">
        <v>39.84</v>
      </c>
      <c r="E781" s="1" t="n">
        <v>20</v>
      </c>
      <c r="F781" s="4" t="n">
        <v>44871</v>
      </c>
      <c r="G781" s="1" t="s">
        <v>25</v>
      </c>
      <c r="H781" s="1" t="n">
        <v>0</v>
      </c>
      <c r="I781" s="1" t="n">
        <v>54.8</v>
      </c>
      <c r="J781" s="1" t="n">
        <v>20</v>
      </c>
      <c r="K781" s="1" t="n">
        <v>5</v>
      </c>
      <c r="L781" s="1" t="n">
        <v>1</v>
      </c>
      <c r="M781" s="1" t="n">
        <v>1</v>
      </c>
      <c r="N781" s="1" t="n">
        <v>796.8</v>
      </c>
      <c r="O781" s="1" t="n">
        <v>1</v>
      </c>
      <c r="P781" s="4" t="n">
        <v>45479</v>
      </c>
      <c r="Q781" s="4" t="n">
        <v>45479</v>
      </c>
      <c r="R781" s="0" t="n">
        <f aca="false">IF(ISBLANK(F781),"Missing",IFERROR(YEAR(F781),"Missing"))</f>
        <v>2022</v>
      </c>
      <c r="S781" s="0" t="str">
        <f aca="false">IF(ISBLANK(E781),"Missing",IF(E781&lt;6,"0-6mo",IF(E781&lt;12,"6-12mo",IF(E781&lt;24,"12-24mo","24mo+"))))</f>
        <v>12-24mo</v>
      </c>
      <c r="T781" s="0" t="n">
        <f aca="false">IF(ISBLANK(C781),0,IF(C781="Month-to-month",2,IF(C781="One year",1,0)))+IF(ISBLANK(I781),0,IF(I781&lt;40,2,IF(I781&lt;55,1,0)))+IF(ISBLANK(M781),0,IF(M781=1,3,0))+IF(ISBLANK(L781),0,IF(L781&gt;=2,1,0))+IF(ISBLANK(E781),0,IF(E781&lt;12,1,0))</f>
        <v>6</v>
      </c>
      <c r="U781" s="0" t="str">
        <f aca="false">IF((ISBLANK(B781)*1+ISBLANK(C781)*1+ISBLANK(D781)*1+ISBLANK(E781)*1+ISBLANK(F781)*1+ISBLANK(I781)*1+ISBLANK(J781)*1+ISBLANK(K781)*1+ISBLANK(L781)*1+ISBLANK(M781)*1+ISBLANK(N781)*1+ISBLANK(O781)*1)&gt;0,"Missing Data","OK")</f>
        <v>OK</v>
      </c>
      <c r="V781" s="0" t="str">
        <f aca="false">IF(T781&gt;=6,"High Risk",IF(T781&gt;=3,"Medium Risk","Low Risk"))</f>
        <v>High Risk</v>
      </c>
    </row>
    <row r="782" customFormat="false" ht="12.8" hidden="false" customHeight="false" outlineLevel="0" collapsed="false">
      <c r="A782" s="1" t="s">
        <v>812</v>
      </c>
      <c r="B782" s="1" t="s">
        <v>36</v>
      </c>
      <c r="C782" s="1" t="s">
        <v>24</v>
      </c>
      <c r="D782" s="1" t="n">
        <v>11.03</v>
      </c>
      <c r="E782" s="1" t="n">
        <v>7</v>
      </c>
      <c r="F782" s="4" t="n">
        <v>44873</v>
      </c>
      <c r="G782" s="1" t="s">
        <v>25</v>
      </c>
      <c r="H782" s="1" t="n">
        <v>1</v>
      </c>
      <c r="I782" s="1" t="n">
        <v>47.2</v>
      </c>
      <c r="J782" s="1" t="n">
        <v>10</v>
      </c>
      <c r="K782" s="1" t="n">
        <v>3</v>
      </c>
      <c r="L782" s="1" t="n">
        <v>3</v>
      </c>
      <c r="M782" s="1" t="n">
        <v>1</v>
      </c>
      <c r="N782" s="1" t="n">
        <v>77.21</v>
      </c>
      <c r="O782" s="1" t="n">
        <v>0</v>
      </c>
      <c r="Q782" s="4" t="n">
        <v>45086</v>
      </c>
      <c r="R782" s="0" t="n">
        <f aca="false">IF(ISBLANK(F782),"Missing",IFERROR(YEAR(F782),"Missing"))</f>
        <v>2022</v>
      </c>
      <c r="S782" s="0" t="str">
        <f aca="false">IF(ISBLANK(E782),"Missing",IF(E782&lt;6,"0-6mo",IF(E782&lt;12,"6-12mo",IF(E782&lt;24,"12-24mo","24mo+"))))</f>
        <v>6-12mo</v>
      </c>
      <c r="T782" s="0" t="n">
        <f aca="false">IF(ISBLANK(C782),0,IF(C782="Month-to-month",2,IF(C782="One year",1,0)))+IF(ISBLANK(I782),0,IF(I782&lt;40,2,IF(I782&lt;55,1,0)))+IF(ISBLANK(M782),0,IF(M782=1,3,0))+IF(ISBLANK(L782),0,IF(L782&gt;=2,1,0))+IF(ISBLANK(E782),0,IF(E782&lt;12,1,0))</f>
        <v>8</v>
      </c>
      <c r="U782" s="0" t="str">
        <f aca="false">IF((ISBLANK(B782)*1+ISBLANK(C782)*1+ISBLANK(D782)*1+ISBLANK(E782)*1+ISBLANK(F782)*1+ISBLANK(I782)*1+ISBLANK(J782)*1+ISBLANK(K782)*1+ISBLANK(L782)*1+ISBLANK(M782)*1+ISBLANK(N782)*1+ISBLANK(O782)*1)&gt;0,"Missing Data","OK")</f>
        <v>OK</v>
      </c>
      <c r="V782" s="0" t="str">
        <f aca="false">IF(T782&gt;=6,"High Risk",IF(T782&gt;=3,"Medium Risk","Low Risk"))</f>
        <v>High Risk</v>
      </c>
    </row>
    <row r="783" customFormat="false" ht="12.8" hidden="false" customHeight="false" outlineLevel="0" collapsed="false">
      <c r="A783" s="1" t="s">
        <v>813</v>
      </c>
      <c r="B783" s="1" t="s">
        <v>29</v>
      </c>
      <c r="C783" s="1" t="s">
        <v>24</v>
      </c>
      <c r="D783" s="1" t="n">
        <v>41.53</v>
      </c>
      <c r="E783" s="1" t="n">
        <v>11</v>
      </c>
      <c r="F783" s="4" t="n">
        <v>44875</v>
      </c>
      <c r="G783" s="1" t="s">
        <v>25</v>
      </c>
      <c r="H783" s="1" t="n">
        <v>1</v>
      </c>
      <c r="I783" s="1" t="n">
        <v>51.1</v>
      </c>
      <c r="J783" s="1" t="n">
        <v>19</v>
      </c>
      <c r="K783" s="1" t="n">
        <v>6</v>
      </c>
      <c r="L783" s="1" t="n">
        <v>0</v>
      </c>
      <c r="M783" s="1" t="n">
        <v>0</v>
      </c>
      <c r="N783" s="1" t="n">
        <v>456.83</v>
      </c>
      <c r="O783" s="1" t="n">
        <v>0</v>
      </c>
      <c r="Q783" s="4" t="n">
        <v>45209</v>
      </c>
      <c r="R783" s="0" t="n">
        <f aca="false">IF(ISBLANK(F783),"Missing",IFERROR(YEAR(F783),"Missing"))</f>
        <v>2022</v>
      </c>
      <c r="S783" s="0" t="str">
        <f aca="false">IF(ISBLANK(E783),"Missing",IF(E783&lt;6,"0-6mo",IF(E783&lt;12,"6-12mo",IF(E783&lt;24,"12-24mo","24mo+"))))</f>
        <v>6-12mo</v>
      </c>
      <c r="T783" s="0" t="n">
        <f aca="false">IF(ISBLANK(C783),0,IF(C783="Month-to-month",2,IF(C783="One year",1,0)))+IF(ISBLANK(I783),0,IF(I783&lt;40,2,IF(I783&lt;55,1,0)))+IF(ISBLANK(M783),0,IF(M783=1,3,0))+IF(ISBLANK(L783),0,IF(L783&gt;=2,1,0))+IF(ISBLANK(E783),0,IF(E783&lt;12,1,0))</f>
        <v>4</v>
      </c>
      <c r="U783" s="0" t="str">
        <f aca="false">IF((ISBLANK(B783)*1+ISBLANK(C783)*1+ISBLANK(D783)*1+ISBLANK(E783)*1+ISBLANK(F783)*1+ISBLANK(I783)*1+ISBLANK(J783)*1+ISBLANK(K783)*1+ISBLANK(L783)*1+ISBLANK(M783)*1+ISBLANK(N783)*1+ISBLANK(O783)*1)&gt;0,"Missing Data","OK")</f>
        <v>OK</v>
      </c>
      <c r="V783" s="0" t="str">
        <f aca="false">IF(T783&gt;=6,"High Risk",IF(T783&gt;=3,"Medium Risk","Low Risk"))</f>
        <v>Medium Risk</v>
      </c>
    </row>
    <row r="784" customFormat="false" ht="12.8" hidden="false" customHeight="false" outlineLevel="0" collapsed="false">
      <c r="A784" s="1" t="s">
        <v>814</v>
      </c>
      <c r="B784" s="1" t="s">
        <v>36</v>
      </c>
      <c r="C784" s="1" t="s">
        <v>24</v>
      </c>
      <c r="D784" s="1" t="n">
        <v>11.71</v>
      </c>
      <c r="E784" s="1" t="n">
        <v>7</v>
      </c>
      <c r="F784" s="4" t="n">
        <v>44875</v>
      </c>
      <c r="G784" s="1" t="s">
        <v>25</v>
      </c>
      <c r="H784" s="1" t="n">
        <v>0</v>
      </c>
      <c r="I784" s="1" t="n">
        <v>23.3</v>
      </c>
      <c r="J784" s="1" t="n">
        <v>13</v>
      </c>
      <c r="K784" s="1" t="n">
        <v>3</v>
      </c>
      <c r="L784" s="1" t="n">
        <v>3</v>
      </c>
      <c r="M784" s="1" t="n">
        <v>1</v>
      </c>
      <c r="N784" s="1" t="n">
        <v>81.97</v>
      </c>
      <c r="O784" s="1" t="n">
        <v>0</v>
      </c>
      <c r="Q784" s="4" t="n">
        <v>45088</v>
      </c>
      <c r="R784" s="0" t="n">
        <f aca="false">IF(ISBLANK(F784),"Missing",IFERROR(YEAR(F784),"Missing"))</f>
        <v>2022</v>
      </c>
      <c r="S784" s="0" t="str">
        <f aca="false">IF(ISBLANK(E784),"Missing",IF(E784&lt;6,"0-6mo",IF(E784&lt;12,"6-12mo",IF(E784&lt;24,"12-24mo","24mo+"))))</f>
        <v>6-12mo</v>
      </c>
      <c r="T784" s="0" t="n">
        <f aca="false">IF(ISBLANK(C784),0,IF(C784="Month-to-month",2,IF(C784="One year",1,0)))+IF(ISBLANK(I784),0,IF(I784&lt;40,2,IF(I784&lt;55,1,0)))+IF(ISBLANK(M784),0,IF(M784=1,3,0))+IF(ISBLANK(L784),0,IF(L784&gt;=2,1,0))+IF(ISBLANK(E784),0,IF(E784&lt;12,1,0))</f>
        <v>9</v>
      </c>
      <c r="U784" s="0" t="str">
        <f aca="false">IF((ISBLANK(B784)*1+ISBLANK(C784)*1+ISBLANK(D784)*1+ISBLANK(E784)*1+ISBLANK(F784)*1+ISBLANK(I784)*1+ISBLANK(J784)*1+ISBLANK(K784)*1+ISBLANK(L784)*1+ISBLANK(M784)*1+ISBLANK(N784)*1+ISBLANK(O784)*1)&gt;0,"Missing Data","OK")</f>
        <v>OK</v>
      </c>
      <c r="V784" s="0" t="str">
        <f aca="false">IF(T784&gt;=6,"High Risk",IF(T784&gt;=3,"Medium Risk","Low Risk"))</f>
        <v>High Risk</v>
      </c>
    </row>
    <row r="785" customFormat="false" ht="12.8" hidden="false" customHeight="false" outlineLevel="0" collapsed="false">
      <c r="A785" s="1" t="s">
        <v>815</v>
      </c>
      <c r="B785" s="1" t="s">
        <v>23</v>
      </c>
      <c r="C785" s="1" t="s">
        <v>24</v>
      </c>
      <c r="D785" s="1" t="n">
        <v>19.07</v>
      </c>
      <c r="E785" s="1" t="n">
        <v>12</v>
      </c>
      <c r="F785" s="4" t="n">
        <v>44882</v>
      </c>
      <c r="G785" s="1" t="s">
        <v>30</v>
      </c>
      <c r="H785" s="1" t="n">
        <v>1</v>
      </c>
      <c r="I785" s="1" t="n">
        <v>77.6</v>
      </c>
      <c r="J785" s="1" t="n">
        <v>24</v>
      </c>
      <c r="K785" s="1" t="n">
        <v>5</v>
      </c>
      <c r="L785" s="1" t="n">
        <v>3</v>
      </c>
      <c r="M785" s="1" t="n">
        <v>1</v>
      </c>
      <c r="N785" s="1" t="n">
        <v>228.84</v>
      </c>
      <c r="O785" s="1" t="n">
        <v>0</v>
      </c>
      <c r="Q785" s="4" t="n">
        <v>45247</v>
      </c>
      <c r="R785" s="0" t="n">
        <f aca="false">IF(ISBLANK(F785),"Missing",IFERROR(YEAR(F785),"Missing"))</f>
        <v>2022</v>
      </c>
      <c r="S785" s="0" t="str">
        <f aca="false">IF(ISBLANK(E785),"Missing",IF(E785&lt;6,"0-6mo",IF(E785&lt;12,"6-12mo",IF(E785&lt;24,"12-24mo","24mo+"))))</f>
        <v>12-24mo</v>
      </c>
      <c r="T785" s="0" t="n">
        <f aca="false">IF(ISBLANK(C785),0,IF(C785="Month-to-month",2,IF(C785="One year",1,0)))+IF(ISBLANK(I785),0,IF(I785&lt;40,2,IF(I785&lt;55,1,0)))+IF(ISBLANK(M785),0,IF(M785=1,3,0))+IF(ISBLANK(L785),0,IF(L785&gt;=2,1,0))+IF(ISBLANK(E785),0,IF(E785&lt;12,1,0))</f>
        <v>6</v>
      </c>
      <c r="U785" s="0" t="str">
        <f aca="false">IF((ISBLANK(B785)*1+ISBLANK(C785)*1+ISBLANK(D785)*1+ISBLANK(E785)*1+ISBLANK(F785)*1+ISBLANK(I785)*1+ISBLANK(J785)*1+ISBLANK(K785)*1+ISBLANK(L785)*1+ISBLANK(M785)*1+ISBLANK(N785)*1+ISBLANK(O785)*1)&gt;0,"Missing Data","OK")</f>
        <v>OK</v>
      </c>
      <c r="V785" s="0" t="str">
        <f aca="false">IF(T785&gt;=6,"High Risk",IF(T785&gt;=3,"Medium Risk","Low Risk"))</f>
        <v>High Risk</v>
      </c>
    </row>
    <row r="786" customFormat="false" ht="12.8" hidden="false" customHeight="false" outlineLevel="0" collapsed="false">
      <c r="A786" s="1" t="s">
        <v>816</v>
      </c>
      <c r="B786" s="1" t="s">
        <v>36</v>
      </c>
      <c r="C786" s="1" t="s">
        <v>24</v>
      </c>
      <c r="D786" s="1" t="n">
        <v>10.08</v>
      </c>
      <c r="E786" s="1" t="n">
        <v>2</v>
      </c>
      <c r="F786" s="4" t="n">
        <v>44883</v>
      </c>
      <c r="G786" s="1" t="s">
        <v>25</v>
      </c>
      <c r="H786" s="1" t="n">
        <v>1</v>
      </c>
      <c r="I786" s="1" t="n">
        <v>44.8</v>
      </c>
      <c r="J786" s="1" t="n">
        <v>18</v>
      </c>
      <c r="K786" s="1" t="n">
        <v>3</v>
      </c>
      <c r="L786" s="1" t="n">
        <v>0</v>
      </c>
      <c r="M786" s="1" t="n">
        <v>0</v>
      </c>
      <c r="N786" s="1" t="n">
        <v>20.16</v>
      </c>
      <c r="O786" s="1" t="n">
        <v>0</v>
      </c>
      <c r="Q786" s="4" t="n">
        <v>44943</v>
      </c>
      <c r="R786" s="0" t="n">
        <f aca="false">IF(ISBLANK(F786),"Missing",IFERROR(YEAR(F786),"Missing"))</f>
        <v>2022</v>
      </c>
      <c r="S786" s="0" t="str">
        <f aca="false">IF(ISBLANK(E786),"Missing",IF(E786&lt;6,"0-6mo",IF(E786&lt;12,"6-12mo",IF(E786&lt;24,"12-24mo","24mo+"))))</f>
        <v>0-6mo</v>
      </c>
      <c r="T786" s="0" t="n">
        <f aca="false">IF(ISBLANK(C786),0,IF(C786="Month-to-month",2,IF(C786="One year",1,0)))+IF(ISBLANK(I786),0,IF(I786&lt;40,2,IF(I786&lt;55,1,0)))+IF(ISBLANK(M786),0,IF(M786=1,3,0))+IF(ISBLANK(L786),0,IF(L786&gt;=2,1,0))+IF(ISBLANK(E786),0,IF(E786&lt;12,1,0))</f>
        <v>4</v>
      </c>
      <c r="U786" s="0" t="str">
        <f aca="false">IF((ISBLANK(B786)*1+ISBLANK(C786)*1+ISBLANK(D786)*1+ISBLANK(E786)*1+ISBLANK(F786)*1+ISBLANK(I786)*1+ISBLANK(J786)*1+ISBLANK(K786)*1+ISBLANK(L786)*1+ISBLANK(M786)*1+ISBLANK(N786)*1+ISBLANK(O786)*1)&gt;0,"Missing Data","OK")</f>
        <v>OK</v>
      </c>
      <c r="V786" s="0" t="str">
        <f aca="false">IF(T786&gt;=6,"High Risk",IF(T786&gt;=3,"Medium Risk","Low Risk"))</f>
        <v>Medium Risk</v>
      </c>
    </row>
    <row r="787" customFormat="false" ht="12.8" hidden="false" customHeight="false" outlineLevel="0" collapsed="false">
      <c r="A787" s="1" t="s">
        <v>817</v>
      </c>
      <c r="B787" s="1" t="s">
        <v>29</v>
      </c>
      <c r="C787" s="1" t="s">
        <v>24</v>
      </c>
      <c r="D787" s="1" t="n">
        <v>39.77</v>
      </c>
      <c r="E787" s="1" t="n">
        <v>28</v>
      </c>
      <c r="F787" s="4" t="n">
        <v>44883</v>
      </c>
      <c r="G787" s="1" t="s">
        <v>25</v>
      </c>
      <c r="H787" s="1" t="n">
        <v>0</v>
      </c>
      <c r="I787" s="1" t="n">
        <v>54.4</v>
      </c>
      <c r="J787" s="1" t="n">
        <v>16</v>
      </c>
      <c r="K787" s="1" t="n">
        <v>5</v>
      </c>
      <c r="L787" s="1" t="n">
        <v>0</v>
      </c>
      <c r="M787" s="1" t="n">
        <v>0</v>
      </c>
      <c r="N787" s="1" t="n">
        <v>1113.56</v>
      </c>
      <c r="O787" s="1" t="n">
        <v>0</v>
      </c>
      <c r="Q787" s="4" t="n">
        <v>45735</v>
      </c>
      <c r="R787" s="0" t="n">
        <f aca="false">IF(ISBLANK(F787),"Missing",IFERROR(YEAR(F787),"Missing"))</f>
        <v>2022</v>
      </c>
      <c r="S787" s="0" t="str">
        <f aca="false">IF(ISBLANK(E787),"Missing",IF(E787&lt;6,"0-6mo",IF(E787&lt;12,"6-12mo",IF(E787&lt;24,"12-24mo","24mo+"))))</f>
        <v>24mo+</v>
      </c>
      <c r="T787" s="0" t="n">
        <f aca="false">IF(ISBLANK(C787),0,IF(C787="Month-to-month",2,IF(C787="One year",1,0)))+IF(ISBLANK(I787),0,IF(I787&lt;40,2,IF(I787&lt;55,1,0)))+IF(ISBLANK(M787),0,IF(M787=1,3,0))+IF(ISBLANK(L787),0,IF(L787&gt;=2,1,0))+IF(ISBLANK(E787),0,IF(E787&lt;12,1,0))</f>
        <v>3</v>
      </c>
      <c r="U787" s="0" t="str">
        <f aca="false">IF((ISBLANK(B787)*1+ISBLANK(C787)*1+ISBLANK(D787)*1+ISBLANK(E787)*1+ISBLANK(F787)*1+ISBLANK(I787)*1+ISBLANK(J787)*1+ISBLANK(K787)*1+ISBLANK(L787)*1+ISBLANK(M787)*1+ISBLANK(N787)*1+ISBLANK(O787)*1)&gt;0,"Missing Data","OK")</f>
        <v>OK</v>
      </c>
      <c r="V787" s="0" t="str">
        <f aca="false">IF(T787&gt;=6,"High Risk",IF(T787&gt;=3,"Medium Risk","Low Risk"))</f>
        <v>Medium Risk</v>
      </c>
    </row>
    <row r="788" customFormat="false" ht="12.8" hidden="false" customHeight="false" outlineLevel="0" collapsed="false">
      <c r="A788" s="1" t="s">
        <v>818</v>
      </c>
      <c r="B788" s="1" t="s">
        <v>36</v>
      </c>
      <c r="C788" s="1" t="s">
        <v>51</v>
      </c>
      <c r="D788" s="1" t="n">
        <v>10.06</v>
      </c>
      <c r="E788" s="1" t="n">
        <v>4</v>
      </c>
      <c r="F788" s="4" t="n">
        <v>44884</v>
      </c>
      <c r="G788" s="1" t="s">
        <v>39</v>
      </c>
      <c r="H788" s="1" t="n">
        <v>1</v>
      </c>
      <c r="I788" s="1" t="n">
        <v>67.6</v>
      </c>
      <c r="J788" s="1" t="n">
        <v>20</v>
      </c>
      <c r="K788" s="1" t="n">
        <v>6</v>
      </c>
      <c r="L788" s="1" t="n">
        <v>2</v>
      </c>
      <c r="M788" s="1" t="n">
        <v>1</v>
      </c>
      <c r="N788" s="1" t="n">
        <v>40.24</v>
      </c>
      <c r="O788" s="1" t="n">
        <v>0</v>
      </c>
      <c r="Q788" s="4" t="n">
        <v>45005</v>
      </c>
      <c r="R788" s="0" t="n">
        <f aca="false">IF(ISBLANK(F788),"Missing",IFERROR(YEAR(F788),"Missing"))</f>
        <v>2022</v>
      </c>
      <c r="S788" s="0" t="str">
        <f aca="false">IF(ISBLANK(E788),"Missing",IF(E788&lt;6,"0-6mo",IF(E788&lt;12,"6-12mo",IF(E788&lt;24,"12-24mo","24mo+"))))</f>
        <v>0-6mo</v>
      </c>
      <c r="T788" s="0" t="n">
        <f aca="false">IF(ISBLANK(C788),0,IF(C788="Month-to-month",2,IF(C788="One year",1,0)))+IF(ISBLANK(I788),0,IF(I788&lt;40,2,IF(I788&lt;55,1,0)))+IF(ISBLANK(M788),0,IF(M788=1,3,0))+IF(ISBLANK(L788),0,IF(L788&gt;=2,1,0))+IF(ISBLANK(E788),0,IF(E788&lt;12,1,0))</f>
        <v>5</v>
      </c>
      <c r="U788" s="0" t="str">
        <f aca="false">IF((ISBLANK(B788)*1+ISBLANK(C788)*1+ISBLANK(D788)*1+ISBLANK(E788)*1+ISBLANK(F788)*1+ISBLANK(I788)*1+ISBLANK(J788)*1+ISBLANK(K788)*1+ISBLANK(L788)*1+ISBLANK(M788)*1+ISBLANK(N788)*1+ISBLANK(O788)*1)&gt;0,"Missing Data","OK")</f>
        <v>OK</v>
      </c>
      <c r="V788" s="0" t="str">
        <f aca="false">IF(T788&gt;=6,"High Risk",IF(T788&gt;=3,"Medium Risk","Low Risk"))</f>
        <v>Medium Risk</v>
      </c>
    </row>
    <row r="789" customFormat="false" ht="12.8" hidden="false" customHeight="false" outlineLevel="0" collapsed="false">
      <c r="A789" s="1" t="s">
        <v>819</v>
      </c>
      <c r="B789" s="1" t="s">
        <v>23</v>
      </c>
      <c r="C789" s="1" t="s">
        <v>24</v>
      </c>
      <c r="D789" s="1" t="n">
        <v>20.07</v>
      </c>
      <c r="E789" s="1" t="n">
        <v>9</v>
      </c>
      <c r="F789" s="4" t="n">
        <v>44886</v>
      </c>
      <c r="G789" s="1" t="s">
        <v>30</v>
      </c>
      <c r="H789" s="1" t="n">
        <v>0</v>
      </c>
      <c r="I789" s="1" t="n">
        <v>12.3</v>
      </c>
      <c r="J789" s="1" t="n">
        <v>6</v>
      </c>
      <c r="K789" s="1" t="n">
        <v>0</v>
      </c>
      <c r="L789" s="1" t="n">
        <v>3</v>
      </c>
      <c r="M789" s="1" t="n">
        <v>1</v>
      </c>
      <c r="N789" s="1" t="n">
        <v>180.63</v>
      </c>
      <c r="O789" s="1" t="n">
        <v>1</v>
      </c>
      <c r="P789" s="4" t="n">
        <v>45159</v>
      </c>
      <c r="Q789" s="4" t="n">
        <v>45159</v>
      </c>
      <c r="R789" s="0" t="n">
        <f aca="false">IF(ISBLANK(F789),"Missing",IFERROR(YEAR(F789),"Missing"))</f>
        <v>2022</v>
      </c>
      <c r="S789" s="0" t="str">
        <f aca="false">IF(ISBLANK(E789),"Missing",IF(E789&lt;6,"0-6mo",IF(E789&lt;12,"6-12mo",IF(E789&lt;24,"12-24mo","24mo+"))))</f>
        <v>6-12mo</v>
      </c>
      <c r="T789" s="0" t="n">
        <f aca="false">IF(ISBLANK(C789),0,IF(C789="Month-to-month",2,IF(C789="One year",1,0)))+IF(ISBLANK(I789),0,IF(I789&lt;40,2,IF(I789&lt;55,1,0)))+IF(ISBLANK(M789),0,IF(M789=1,3,0))+IF(ISBLANK(L789),0,IF(L789&gt;=2,1,0))+IF(ISBLANK(E789),0,IF(E789&lt;12,1,0))</f>
        <v>9</v>
      </c>
      <c r="U789" s="0" t="str">
        <f aca="false">IF((ISBLANK(B789)*1+ISBLANK(C789)*1+ISBLANK(D789)*1+ISBLANK(E789)*1+ISBLANK(F789)*1+ISBLANK(I789)*1+ISBLANK(J789)*1+ISBLANK(K789)*1+ISBLANK(L789)*1+ISBLANK(M789)*1+ISBLANK(N789)*1+ISBLANK(O789)*1)&gt;0,"Missing Data","OK")</f>
        <v>OK</v>
      </c>
      <c r="V789" s="0" t="str">
        <f aca="false">IF(T789&gt;=6,"High Risk",IF(T789&gt;=3,"Medium Risk","Low Risk"))</f>
        <v>High Risk</v>
      </c>
    </row>
    <row r="790" customFormat="false" ht="12.8" hidden="false" customHeight="false" outlineLevel="0" collapsed="false">
      <c r="A790" s="1" t="s">
        <v>820</v>
      </c>
      <c r="B790" s="1" t="s">
        <v>36</v>
      </c>
      <c r="C790" s="1" t="s">
        <v>24</v>
      </c>
      <c r="D790" s="1" t="n">
        <v>9.34</v>
      </c>
      <c r="E790" s="1" t="n">
        <v>48</v>
      </c>
      <c r="F790" s="4" t="n">
        <v>44886</v>
      </c>
      <c r="G790" s="1" t="s">
        <v>25</v>
      </c>
      <c r="H790" s="1" t="n">
        <v>1</v>
      </c>
      <c r="I790" s="1" t="n">
        <v>37.9</v>
      </c>
      <c r="J790" s="1" t="n">
        <v>6</v>
      </c>
      <c r="K790" s="1" t="n">
        <v>4</v>
      </c>
      <c r="L790" s="1" t="n">
        <v>1</v>
      </c>
      <c r="M790" s="1" t="n">
        <v>1</v>
      </c>
      <c r="N790" s="1" t="n">
        <v>448.32</v>
      </c>
      <c r="O790" s="1" t="n">
        <v>1</v>
      </c>
      <c r="P790" s="4" t="n">
        <v>46293</v>
      </c>
      <c r="Q790" s="4" t="n">
        <v>46293</v>
      </c>
      <c r="R790" s="0" t="n">
        <f aca="false">IF(ISBLANK(F790),"Missing",IFERROR(YEAR(F790),"Missing"))</f>
        <v>2022</v>
      </c>
      <c r="S790" s="0" t="str">
        <f aca="false">IF(ISBLANK(E790),"Missing",IF(E790&lt;6,"0-6mo",IF(E790&lt;12,"6-12mo",IF(E790&lt;24,"12-24mo","24mo+"))))</f>
        <v>24mo+</v>
      </c>
      <c r="T790" s="0" t="n">
        <f aca="false">IF(ISBLANK(C790),0,IF(C790="Month-to-month",2,IF(C790="One year",1,0)))+IF(ISBLANK(I790),0,IF(I790&lt;40,2,IF(I790&lt;55,1,0)))+IF(ISBLANK(M790),0,IF(M790=1,3,0))+IF(ISBLANK(L790),0,IF(L790&gt;=2,1,0))+IF(ISBLANK(E790),0,IF(E790&lt;12,1,0))</f>
        <v>7</v>
      </c>
      <c r="U790" s="0" t="str">
        <f aca="false">IF((ISBLANK(B790)*1+ISBLANK(C790)*1+ISBLANK(D790)*1+ISBLANK(E790)*1+ISBLANK(F790)*1+ISBLANK(I790)*1+ISBLANK(J790)*1+ISBLANK(K790)*1+ISBLANK(L790)*1+ISBLANK(M790)*1+ISBLANK(N790)*1+ISBLANK(O790)*1)&gt;0,"Missing Data","OK")</f>
        <v>OK</v>
      </c>
      <c r="V790" s="0" t="str">
        <f aca="false">IF(T790&gt;=6,"High Risk",IF(T790&gt;=3,"Medium Risk","Low Risk"))</f>
        <v>High Risk</v>
      </c>
    </row>
    <row r="791" customFormat="false" ht="12.8" hidden="false" customHeight="false" outlineLevel="0" collapsed="false">
      <c r="A791" s="1" t="s">
        <v>821</v>
      </c>
      <c r="B791" s="1" t="s">
        <v>23</v>
      </c>
      <c r="C791" s="1" t="s">
        <v>51</v>
      </c>
      <c r="D791" s="1" t="n">
        <v>21.11</v>
      </c>
      <c r="E791" s="1" t="n">
        <v>13</v>
      </c>
      <c r="F791" s="4" t="n">
        <v>44887</v>
      </c>
      <c r="G791" s="1" t="s">
        <v>39</v>
      </c>
      <c r="H791" s="1" t="n">
        <v>0</v>
      </c>
      <c r="I791" s="1" t="n">
        <v>100</v>
      </c>
      <c r="J791" s="1" t="n">
        <v>29</v>
      </c>
      <c r="K791" s="1" t="n">
        <v>10</v>
      </c>
      <c r="L791" s="1" t="n">
        <v>0</v>
      </c>
      <c r="M791" s="1" t="n">
        <v>0</v>
      </c>
      <c r="N791" s="1" t="n">
        <v>274.43</v>
      </c>
      <c r="O791" s="1" t="n">
        <v>0</v>
      </c>
      <c r="Q791" s="4" t="n">
        <v>45282</v>
      </c>
      <c r="R791" s="0" t="n">
        <f aca="false">IF(ISBLANK(F791),"Missing",IFERROR(YEAR(F791),"Missing"))</f>
        <v>2022</v>
      </c>
      <c r="S791" s="0" t="str">
        <f aca="false">IF(ISBLANK(E791),"Missing",IF(E791&lt;6,"0-6mo",IF(E791&lt;12,"6-12mo",IF(E791&lt;24,"12-24mo","24mo+"))))</f>
        <v>12-24mo</v>
      </c>
      <c r="T791" s="0" t="n">
        <f aca="false">IF(ISBLANK(C791),0,IF(C791="Month-to-month",2,IF(C791="One year",1,0)))+IF(ISBLANK(I791),0,IF(I791&lt;40,2,IF(I791&lt;55,1,0)))+IF(ISBLANK(M791),0,IF(M791=1,3,0))+IF(ISBLANK(L791),0,IF(L791&gt;=2,1,0))+IF(ISBLANK(E791),0,IF(E791&lt;12,1,0))</f>
        <v>0</v>
      </c>
      <c r="U791" s="0" t="str">
        <f aca="false">IF((ISBLANK(B791)*1+ISBLANK(C791)*1+ISBLANK(D791)*1+ISBLANK(E791)*1+ISBLANK(F791)*1+ISBLANK(I791)*1+ISBLANK(J791)*1+ISBLANK(K791)*1+ISBLANK(L791)*1+ISBLANK(M791)*1+ISBLANK(N791)*1+ISBLANK(O791)*1)&gt;0,"Missing Data","OK")</f>
        <v>OK</v>
      </c>
      <c r="V791" s="0" t="str">
        <f aca="false">IF(T791&gt;=6,"High Risk",IF(T791&gt;=3,"Medium Risk","Low Risk"))</f>
        <v>Low Risk</v>
      </c>
    </row>
    <row r="792" customFormat="false" ht="12.8" hidden="false" customHeight="false" outlineLevel="0" collapsed="false">
      <c r="A792" s="1" t="s">
        <v>822</v>
      </c>
      <c r="B792" s="1" t="s">
        <v>36</v>
      </c>
      <c r="C792" s="1" t="s">
        <v>24</v>
      </c>
      <c r="D792" s="1" t="n">
        <v>9.19</v>
      </c>
      <c r="E792" s="1" t="n">
        <v>49</v>
      </c>
      <c r="F792" s="4" t="n">
        <v>44887</v>
      </c>
      <c r="G792" s="1" t="s">
        <v>25</v>
      </c>
      <c r="H792" s="1" t="n">
        <v>1</v>
      </c>
      <c r="I792" s="1" t="n">
        <v>41.6</v>
      </c>
      <c r="J792" s="1" t="n">
        <v>11</v>
      </c>
      <c r="K792" s="1" t="n">
        <v>4</v>
      </c>
      <c r="L792" s="1" t="n">
        <v>4</v>
      </c>
      <c r="M792" s="1" t="n">
        <v>1</v>
      </c>
      <c r="N792" s="1" t="n">
        <v>450.31</v>
      </c>
      <c r="O792" s="1" t="n">
        <v>0</v>
      </c>
      <c r="Q792" s="4" t="n">
        <v>46293</v>
      </c>
      <c r="R792" s="0" t="n">
        <f aca="false">IF(ISBLANK(F792),"Missing",IFERROR(YEAR(F792),"Missing"))</f>
        <v>2022</v>
      </c>
      <c r="S792" s="0" t="str">
        <f aca="false">IF(ISBLANK(E792),"Missing",IF(E792&lt;6,"0-6mo",IF(E792&lt;12,"6-12mo",IF(E792&lt;24,"12-24mo","24mo+"))))</f>
        <v>24mo+</v>
      </c>
      <c r="T792" s="0" t="n">
        <f aca="false">IF(ISBLANK(C792),0,IF(C792="Month-to-month",2,IF(C792="One year",1,0)))+IF(ISBLANK(I792),0,IF(I792&lt;40,2,IF(I792&lt;55,1,0)))+IF(ISBLANK(M792),0,IF(M792=1,3,0))+IF(ISBLANK(L792),0,IF(L792&gt;=2,1,0))+IF(ISBLANK(E792),0,IF(E792&lt;12,1,0))</f>
        <v>7</v>
      </c>
      <c r="U792" s="0" t="str">
        <f aca="false">IF((ISBLANK(B792)*1+ISBLANK(C792)*1+ISBLANK(D792)*1+ISBLANK(E792)*1+ISBLANK(F792)*1+ISBLANK(I792)*1+ISBLANK(J792)*1+ISBLANK(K792)*1+ISBLANK(L792)*1+ISBLANK(M792)*1+ISBLANK(N792)*1+ISBLANK(O792)*1)&gt;0,"Missing Data","OK")</f>
        <v>OK</v>
      </c>
      <c r="V792" s="0" t="str">
        <f aca="false">IF(T792&gt;=6,"High Risk",IF(T792&gt;=3,"Medium Risk","Low Risk"))</f>
        <v>High Risk</v>
      </c>
    </row>
    <row r="793" customFormat="false" ht="12.8" hidden="false" customHeight="false" outlineLevel="0" collapsed="false">
      <c r="A793" s="1" t="s">
        <v>823</v>
      </c>
      <c r="B793" s="1" t="s">
        <v>29</v>
      </c>
      <c r="C793" s="1" t="s">
        <v>24</v>
      </c>
      <c r="D793" s="1" t="n">
        <v>38.64</v>
      </c>
      <c r="E793" s="1" t="n">
        <v>32</v>
      </c>
      <c r="F793" s="4" t="n">
        <v>44888</v>
      </c>
      <c r="G793" s="1" t="s">
        <v>25</v>
      </c>
      <c r="H793" s="1" t="n">
        <v>0</v>
      </c>
      <c r="I793" s="1" t="n">
        <v>69.8</v>
      </c>
      <c r="J793" s="1" t="n">
        <v>20</v>
      </c>
      <c r="K793" s="1" t="n">
        <v>6</v>
      </c>
      <c r="L793" s="1" t="n">
        <v>0</v>
      </c>
      <c r="M793" s="1" t="n">
        <v>0</v>
      </c>
      <c r="N793" s="1" t="n">
        <v>1236.48</v>
      </c>
      <c r="O793" s="1" t="n">
        <v>0</v>
      </c>
      <c r="Q793" s="4" t="n">
        <v>45862</v>
      </c>
      <c r="R793" s="0" t="n">
        <f aca="false">IF(ISBLANK(F793),"Missing",IFERROR(YEAR(F793),"Missing"))</f>
        <v>2022</v>
      </c>
      <c r="S793" s="0" t="str">
        <f aca="false">IF(ISBLANK(E793),"Missing",IF(E793&lt;6,"0-6mo",IF(E793&lt;12,"6-12mo",IF(E793&lt;24,"12-24mo","24mo+"))))</f>
        <v>24mo+</v>
      </c>
      <c r="T793" s="0" t="n">
        <f aca="false">IF(ISBLANK(C793),0,IF(C793="Month-to-month",2,IF(C793="One year",1,0)))+IF(ISBLANK(I793),0,IF(I793&lt;40,2,IF(I793&lt;55,1,0)))+IF(ISBLANK(M793),0,IF(M793=1,3,0))+IF(ISBLANK(L793),0,IF(L793&gt;=2,1,0))+IF(ISBLANK(E793),0,IF(E793&lt;12,1,0))</f>
        <v>2</v>
      </c>
      <c r="U793" s="0" t="str">
        <f aca="false">IF((ISBLANK(B793)*1+ISBLANK(C793)*1+ISBLANK(D793)*1+ISBLANK(E793)*1+ISBLANK(F793)*1+ISBLANK(I793)*1+ISBLANK(J793)*1+ISBLANK(K793)*1+ISBLANK(L793)*1+ISBLANK(M793)*1+ISBLANK(N793)*1+ISBLANK(O793)*1)&gt;0,"Missing Data","OK")</f>
        <v>OK</v>
      </c>
      <c r="V793" s="0" t="str">
        <f aca="false">IF(T793&gt;=6,"High Risk",IF(T793&gt;=3,"Medium Risk","Low Risk"))</f>
        <v>Low Risk</v>
      </c>
    </row>
    <row r="794" customFormat="false" ht="12.8" hidden="false" customHeight="false" outlineLevel="0" collapsed="false">
      <c r="A794" s="1" t="s">
        <v>824</v>
      </c>
      <c r="B794" s="1" t="s">
        <v>36</v>
      </c>
      <c r="C794" s="1" t="s">
        <v>24</v>
      </c>
      <c r="D794" s="1" t="n">
        <v>9.86</v>
      </c>
      <c r="E794" s="1" t="n">
        <v>22</v>
      </c>
      <c r="F794" s="4" t="n">
        <v>44890</v>
      </c>
      <c r="G794" s="1" t="s">
        <v>25</v>
      </c>
      <c r="H794" s="1" t="n">
        <v>1</v>
      </c>
      <c r="I794" s="1" t="n">
        <v>38.5</v>
      </c>
      <c r="J794" s="1" t="n">
        <v>14</v>
      </c>
      <c r="K794" s="1" t="n">
        <v>5</v>
      </c>
      <c r="L794" s="1" t="n">
        <v>4</v>
      </c>
      <c r="M794" s="1" t="n">
        <v>0</v>
      </c>
      <c r="N794" s="1" t="n">
        <v>216.92</v>
      </c>
      <c r="O794" s="1" t="n">
        <v>0</v>
      </c>
      <c r="Q794" s="4" t="n">
        <v>45559</v>
      </c>
      <c r="R794" s="0" t="n">
        <f aca="false">IF(ISBLANK(F794),"Missing",IFERROR(YEAR(F794),"Missing"))</f>
        <v>2022</v>
      </c>
      <c r="S794" s="0" t="str">
        <f aca="false">IF(ISBLANK(E794),"Missing",IF(E794&lt;6,"0-6mo",IF(E794&lt;12,"6-12mo",IF(E794&lt;24,"12-24mo","24mo+"))))</f>
        <v>12-24mo</v>
      </c>
      <c r="T794" s="0" t="n">
        <f aca="false">IF(ISBLANK(C794),0,IF(C794="Month-to-month",2,IF(C794="One year",1,0)))+IF(ISBLANK(I794),0,IF(I794&lt;40,2,IF(I794&lt;55,1,0)))+IF(ISBLANK(M794),0,IF(M794=1,3,0))+IF(ISBLANK(L794),0,IF(L794&gt;=2,1,0))+IF(ISBLANK(E794),0,IF(E794&lt;12,1,0))</f>
        <v>5</v>
      </c>
      <c r="U794" s="0" t="str">
        <f aca="false">IF((ISBLANK(B794)*1+ISBLANK(C794)*1+ISBLANK(D794)*1+ISBLANK(E794)*1+ISBLANK(F794)*1+ISBLANK(I794)*1+ISBLANK(J794)*1+ISBLANK(K794)*1+ISBLANK(L794)*1+ISBLANK(M794)*1+ISBLANK(N794)*1+ISBLANK(O794)*1)&gt;0,"Missing Data","OK")</f>
        <v>OK</v>
      </c>
      <c r="V794" s="0" t="str">
        <f aca="false">IF(T794&gt;=6,"High Risk",IF(T794&gt;=3,"Medium Risk","Low Risk"))</f>
        <v>Medium Risk</v>
      </c>
    </row>
    <row r="795" customFormat="false" ht="12.8" hidden="false" customHeight="false" outlineLevel="0" collapsed="false">
      <c r="A795" s="1" t="s">
        <v>825</v>
      </c>
      <c r="B795" s="1" t="s">
        <v>23</v>
      </c>
      <c r="C795" s="1" t="s">
        <v>34</v>
      </c>
      <c r="D795" s="1" t="n">
        <v>19.87</v>
      </c>
      <c r="E795" s="1" t="n">
        <v>10</v>
      </c>
      <c r="F795" s="4" t="n">
        <v>44891</v>
      </c>
      <c r="G795" s="1" t="s">
        <v>25</v>
      </c>
      <c r="H795" s="1" t="n">
        <v>1</v>
      </c>
      <c r="I795" s="1" t="n">
        <v>52.1</v>
      </c>
      <c r="J795" s="1" t="n">
        <v>21</v>
      </c>
      <c r="K795" s="1" t="n">
        <v>6</v>
      </c>
      <c r="L795" s="1" t="n">
        <v>2</v>
      </c>
      <c r="M795" s="1" t="n">
        <v>0</v>
      </c>
      <c r="N795" s="1" t="n">
        <v>198.7</v>
      </c>
      <c r="O795" s="1" t="n">
        <v>0</v>
      </c>
      <c r="Q795" s="4" t="n">
        <v>45195</v>
      </c>
      <c r="R795" s="0" t="n">
        <f aca="false">IF(ISBLANK(F795),"Missing",IFERROR(YEAR(F795),"Missing"))</f>
        <v>2022</v>
      </c>
      <c r="S795" s="0" t="str">
        <f aca="false">IF(ISBLANK(E795),"Missing",IF(E795&lt;6,"0-6mo",IF(E795&lt;12,"6-12mo",IF(E795&lt;24,"12-24mo","24mo+"))))</f>
        <v>6-12mo</v>
      </c>
      <c r="T795" s="0" t="n">
        <f aca="false">IF(ISBLANK(C795),0,IF(C795="Month-to-month",2,IF(C795="One year",1,0)))+IF(ISBLANK(I795),0,IF(I795&lt;40,2,IF(I795&lt;55,1,0)))+IF(ISBLANK(M795),0,IF(M795=1,3,0))+IF(ISBLANK(L795),0,IF(L795&gt;=2,1,0))+IF(ISBLANK(E795),0,IF(E795&lt;12,1,0))</f>
        <v>4</v>
      </c>
      <c r="U795" s="0" t="str">
        <f aca="false">IF((ISBLANK(B795)*1+ISBLANK(C795)*1+ISBLANK(D795)*1+ISBLANK(E795)*1+ISBLANK(F795)*1+ISBLANK(I795)*1+ISBLANK(J795)*1+ISBLANK(K795)*1+ISBLANK(L795)*1+ISBLANK(M795)*1+ISBLANK(N795)*1+ISBLANK(O795)*1)&gt;0,"Missing Data","OK")</f>
        <v>OK</v>
      </c>
      <c r="V795" s="0" t="str">
        <f aca="false">IF(T795&gt;=6,"High Risk",IF(T795&gt;=3,"Medium Risk","Low Risk"))</f>
        <v>Medium Risk</v>
      </c>
    </row>
    <row r="796" customFormat="false" ht="12.8" hidden="false" customHeight="false" outlineLevel="0" collapsed="false">
      <c r="A796" s="1" t="s">
        <v>826</v>
      </c>
      <c r="B796" s="1" t="s">
        <v>23</v>
      </c>
      <c r="C796" s="1" t="s">
        <v>34</v>
      </c>
      <c r="D796" s="1" t="n">
        <v>19.89</v>
      </c>
      <c r="E796" s="1" t="n">
        <v>9</v>
      </c>
      <c r="F796" s="4" t="n">
        <v>44892</v>
      </c>
      <c r="G796" s="1" t="s">
        <v>25</v>
      </c>
      <c r="H796" s="1" t="n">
        <v>1</v>
      </c>
      <c r="I796" s="1" t="n">
        <v>79</v>
      </c>
      <c r="J796" s="1" t="n">
        <v>22</v>
      </c>
      <c r="K796" s="1" t="n">
        <v>7</v>
      </c>
      <c r="L796" s="1" t="n">
        <v>1</v>
      </c>
      <c r="M796" s="1" t="n">
        <v>0</v>
      </c>
      <c r="N796" s="1" t="n">
        <v>179.01</v>
      </c>
      <c r="O796" s="1" t="n">
        <v>0</v>
      </c>
      <c r="Q796" s="4" t="n">
        <v>45165</v>
      </c>
      <c r="R796" s="0" t="n">
        <f aca="false">IF(ISBLANK(F796),"Missing",IFERROR(YEAR(F796),"Missing"))</f>
        <v>2022</v>
      </c>
      <c r="S796" s="0" t="str">
        <f aca="false">IF(ISBLANK(E796),"Missing",IF(E796&lt;6,"0-6mo",IF(E796&lt;12,"6-12mo",IF(E796&lt;24,"12-24mo","24mo+"))))</f>
        <v>6-12mo</v>
      </c>
      <c r="T796" s="0" t="n">
        <f aca="false">IF(ISBLANK(C796),0,IF(C796="Month-to-month",2,IF(C796="One year",1,0)))+IF(ISBLANK(I796),0,IF(I796&lt;40,2,IF(I796&lt;55,1,0)))+IF(ISBLANK(M796),0,IF(M796=1,3,0))+IF(ISBLANK(L796),0,IF(L796&gt;=2,1,0))+IF(ISBLANK(E796),0,IF(E796&lt;12,1,0))</f>
        <v>2</v>
      </c>
      <c r="U796" s="0" t="str">
        <f aca="false">IF((ISBLANK(B796)*1+ISBLANK(C796)*1+ISBLANK(D796)*1+ISBLANK(E796)*1+ISBLANK(F796)*1+ISBLANK(I796)*1+ISBLANK(J796)*1+ISBLANK(K796)*1+ISBLANK(L796)*1+ISBLANK(M796)*1+ISBLANK(N796)*1+ISBLANK(O796)*1)&gt;0,"Missing Data","OK")</f>
        <v>OK</v>
      </c>
      <c r="V796" s="0" t="str">
        <f aca="false">IF(T796&gt;=6,"High Risk",IF(T796&gt;=3,"Medium Risk","Low Risk"))</f>
        <v>Low Risk</v>
      </c>
    </row>
    <row r="797" customFormat="false" ht="12.8" hidden="false" customHeight="false" outlineLevel="0" collapsed="false">
      <c r="A797" s="1" t="s">
        <v>827</v>
      </c>
      <c r="B797" s="1" t="s">
        <v>23</v>
      </c>
      <c r="C797" s="1" t="s">
        <v>51</v>
      </c>
      <c r="D797" s="1" t="n">
        <v>19.84</v>
      </c>
      <c r="E797" s="1" t="n">
        <v>54</v>
      </c>
      <c r="F797" s="4" t="n">
        <v>44893</v>
      </c>
      <c r="G797" s="1" t="s">
        <v>39</v>
      </c>
      <c r="H797" s="1" t="n">
        <v>1</v>
      </c>
      <c r="I797" s="1" t="n">
        <v>67.5</v>
      </c>
      <c r="J797" s="1" t="n">
        <v>24</v>
      </c>
      <c r="K797" s="1" t="n">
        <v>3</v>
      </c>
      <c r="L797" s="1" t="n">
        <v>0</v>
      </c>
      <c r="M797" s="1" t="n">
        <v>0</v>
      </c>
      <c r="N797" s="1" t="n">
        <v>1071.36</v>
      </c>
      <c r="O797" s="1" t="n">
        <v>0</v>
      </c>
      <c r="Q797" s="4" t="n">
        <v>46293</v>
      </c>
      <c r="R797" s="0" t="n">
        <f aca="false">IF(ISBLANK(F797),"Missing",IFERROR(YEAR(F797),"Missing"))</f>
        <v>2022</v>
      </c>
      <c r="S797" s="0" t="str">
        <f aca="false">IF(ISBLANK(E797),"Missing",IF(E797&lt;6,"0-6mo",IF(E797&lt;12,"6-12mo",IF(E797&lt;24,"12-24mo","24mo+"))))</f>
        <v>24mo+</v>
      </c>
      <c r="T797" s="0" t="n">
        <f aca="false">IF(ISBLANK(C797),0,IF(C797="Month-to-month",2,IF(C797="One year",1,0)))+IF(ISBLANK(I797),0,IF(I797&lt;40,2,IF(I797&lt;55,1,0)))+IF(ISBLANK(M797),0,IF(M797=1,3,0))+IF(ISBLANK(L797),0,IF(L797&gt;=2,1,0))+IF(ISBLANK(E797),0,IF(E797&lt;12,1,0))</f>
        <v>0</v>
      </c>
      <c r="U797" s="0" t="str">
        <f aca="false">IF((ISBLANK(B797)*1+ISBLANK(C797)*1+ISBLANK(D797)*1+ISBLANK(E797)*1+ISBLANK(F797)*1+ISBLANK(I797)*1+ISBLANK(J797)*1+ISBLANK(K797)*1+ISBLANK(L797)*1+ISBLANK(M797)*1+ISBLANK(N797)*1+ISBLANK(O797)*1)&gt;0,"Missing Data","OK")</f>
        <v>OK</v>
      </c>
      <c r="V797" s="0" t="str">
        <f aca="false">IF(T797&gt;=6,"High Risk",IF(T797&gt;=3,"Medium Risk","Low Risk"))</f>
        <v>Low Risk</v>
      </c>
    </row>
    <row r="798" customFormat="false" ht="12.8" hidden="false" customHeight="false" outlineLevel="0" collapsed="false">
      <c r="A798" s="1" t="s">
        <v>828</v>
      </c>
      <c r="B798" s="1" t="s">
        <v>36</v>
      </c>
      <c r="C798" s="1" t="s">
        <v>24</v>
      </c>
      <c r="D798" s="1" t="n">
        <v>9.76</v>
      </c>
      <c r="E798" s="1" t="n">
        <v>5</v>
      </c>
      <c r="F798" s="4" t="n">
        <v>44893</v>
      </c>
      <c r="G798" s="1" t="s">
        <v>25</v>
      </c>
      <c r="H798" s="1" t="n">
        <v>1</v>
      </c>
      <c r="I798" s="1" t="n">
        <v>18.2</v>
      </c>
      <c r="J798" s="1" t="n">
        <v>6</v>
      </c>
      <c r="K798" s="1" t="n">
        <v>2</v>
      </c>
      <c r="L798" s="1" t="n">
        <v>0</v>
      </c>
      <c r="M798" s="1" t="n">
        <v>0</v>
      </c>
      <c r="N798" s="1" t="n">
        <v>48.8</v>
      </c>
      <c r="O798" s="1" t="n">
        <v>0</v>
      </c>
      <c r="Q798" s="4" t="n">
        <v>45045</v>
      </c>
      <c r="R798" s="0" t="n">
        <f aca="false">IF(ISBLANK(F798),"Missing",IFERROR(YEAR(F798),"Missing"))</f>
        <v>2022</v>
      </c>
      <c r="S798" s="0" t="str">
        <f aca="false">IF(ISBLANK(E798),"Missing",IF(E798&lt;6,"0-6mo",IF(E798&lt;12,"6-12mo",IF(E798&lt;24,"12-24mo","24mo+"))))</f>
        <v>0-6mo</v>
      </c>
      <c r="T798" s="0" t="n">
        <f aca="false">IF(ISBLANK(C798),0,IF(C798="Month-to-month",2,IF(C798="One year",1,0)))+IF(ISBLANK(I798),0,IF(I798&lt;40,2,IF(I798&lt;55,1,0)))+IF(ISBLANK(M798),0,IF(M798=1,3,0))+IF(ISBLANK(L798),0,IF(L798&gt;=2,1,0))+IF(ISBLANK(E798),0,IF(E798&lt;12,1,0))</f>
        <v>5</v>
      </c>
      <c r="U798" s="0" t="str">
        <f aca="false">IF((ISBLANK(B798)*1+ISBLANK(C798)*1+ISBLANK(D798)*1+ISBLANK(E798)*1+ISBLANK(F798)*1+ISBLANK(I798)*1+ISBLANK(J798)*1+ISBLANK(K798)*1+ISBLANK(L798)*1+ISBLANK(M798)*1+ISBLANK(N798)*1+ISBLANK(O798)*1)&gt;0,"Missing Data","OK")</f>
        <v>OK</v>
      </c>
      <c r="V798" s="0" t="str">
        <f aca="false">IF(T798&gt;=6,"High Risk",IF(T798&gt;=3,"Medium Risk","Low Risk"))</f>
        <v>Medium Risk</v>
      </c>
    </row>
    <row r="799" customFormat="false" ht="12.8" hidden="false" customHeight="false" outlineLevel="0" collapsed="false">
      <c r="A799" s="1" t="s">
        <v>829</v>
      </c>
      <c r="B799" s="1" t="s">
        <v>36</v>
      </c>
      <c r="C799" s="1" t="s">
        <v>51</v>
      </c>
      <c r="D799" s="1" t="n">
        <v>11.12</v>
      </c>
      <c r="E799" s="1" t="n">
        <v>0</v>
      </c>
      <c r="F799" s="4" t="n">
        <v>44894</v>
      </c>
      <c r="G799" s="1" t="s">
        <v>39</v>
      </c>
      <c r="H799" s="1" t="n">
        <v>1</v>
      </c>
      <c r="I799" s="1" t="n">
        <v>83.9</v>
      </c>
      <c r="J799" s="1" t="n">
        <v>28</v>
      </c>
      <c r="K799" s="1" t="n">
        <v>10</v>
      </c>
      <c r="L799" s="1" t="n">
        <v>1</v>
      </c>
      <c r="M799" s="1" t="n">
        <v>0</v>
      </c>
      <c r="N799" s="1" t="n">
        <v>0</v>
      </c>
      <c r="O799" s="1" t="n">
        <v>0</v>
      </c>
      <c r="Q799" s="4" t="n">
        <v>44894</v>
      </c>
      <c r="R799" s="0" t="n">
        <f aca="false">IF(ISBLANK(F799),"Missing",IFERROR(YEAR(F799),"Missing"))</f>
        <v>2022</v>
      </c>
      <c r="S799" s="0" t="str">
        <f aca="false">IF(ISBLANK(E799),"Missing",IF(E799&lt;6,"0-6mo",IF(E799&lt;12,"6-12mo",IF(E799&lt;24,"12-24mo","24mo+"))))</f>
        <v>0-6mo</v>
      </c>
      <c r="T799" s="0" t="n">
        <f aca="false">IF(ISBLANK(C799),0,IF(C799="Month-to-month",2,IF(C799="One year",1,0)))+IF(ISBLANK(I799),0,IF(I799&lt;40,2,IF(I799&lt;55,1,0)))+IF(ISBLANK(M799),0,IF(M799=1,3,0))+IF(ISBLANK(L799),0,IF(L799&gt;=2,1,0))+IF(ISBLANK(E799),0,IF(E799&lt;12,1,0))</f>
        <v>1</v>
      </c>
      <c r="U799" s="0" t="str">
        <f aca="false">IF((ISBLANK(B799)*1+ISBLANK(C799)*1+ISBLANK(D799)*1+ISBLANK(E799)*1+ISBLANK(F799)*1+ISBLANK(I799)*1+ISBLANK(J799)*1+ISBLANK(K799)*1+ISBLANK(L799)*1+ISBLANK(M799)*1+ISBLANK(N799)*1+ISBLANK(O799)*1)&gt;0,"Missing Data","OK")</f>
        <v>OK</v>
      </c>
      <c r="V799" s="0" t="str">
        <f aca="false">IF(T799&gt;=6,"High Risk",IF(T799&gt;=3,"Medium Risk","Low Risk"))</f>
        <v>Low Risk</v>
      </c>
    </row>
    <row r="800" customFormat="false" ht="12.8" hidden="false" customHeight="false" outlineLevel="0" collapsed="false">
      <c r="A800" s="1" t="s">
        <v>830</v>
      </c>
      <c r="B800" s="1" t="s">
        <v>23</v>
      </c>
      <c r="C800" s="1" t="s">
        <v>24</v>
      </c>
      <c r="D800" s="1" t="n">
        <v>21.29</v>
      </c>
      <c r="E800" s="1" t="n">
        <v>10</v>
      </c>
      <c r="F800" s="4" t="n">
        <v>44894</v>
      </c>
      <c r="G800" s="1" t="s">
        <v>39</v>
      </c>
      <c r="H800" s="1" t="n">
        <v>0</v>
      </c>
      <c r="I800" s="1" t="n">
        <v>50</v>
      </c>
      <c r="J800" s="1" t="n">
        <v>13</v>
      </c>
      <c r="K800" s="1" t="n">
        <v>6</v>
      </c>
      <c r="L800" s="1" t="n">
        <v>1</v>
      </c>
      <c r="M800" s="1" t="n">
        <v>0</v>
      </c>
      <c r="N800" s="1" t="n">
        <v>212.9</v>
      </c>
      <c r="O800" s="1" t="n">
        <v>1</v>
      </c>
      <c r="P800" s="4" t="n">
        <v>45198</v>
      </c>
      <c r="Q800" s="4" t="n">
        <v>45198</v>
      </c>
      <c r="R800" s="0" t="n">
        <f aca="false">IF(ISBLANK(F800),"Missing",IFERROR(YEAR(F800),"Missing"))</f>
        <v>2022</v>
      </c>
      <c r="S800" s="0" t="str">
        <f aca="false">IF(ISBLANK(E800),"Missing",IF(E800&lt;6,"0-6mo",IF(E800&lt;12,"6-12mo",IF(E800&lt;24,"12-24mo","24mo+"))))</f>
        <v>6-12mo</v>
      </c>
      <c r="T800" s="0" t="n">
        <f aca="false">IF(ISBLANK(C800),0,IF(C800="Month-to-month",2,IF(C800="One year",1,0)))+IF(ISBLANK(I800),0,IF(I800&lt;40,2,IF(I800&lt;55,1,0)))+IF(ISBLANK(M800),0,IF(M800=1,3,0))+IF(ISBLANK(L800),0,IF(L800&gt;=2,1,0))+IF(ISBLANK(E800),0,IF(E800&lt;12,1,0))</f>
        <v>4</v>
      </c>
      <c r="U800" s="0" t="str">
        <f aca="false">IF((ISBLANK(B800)*1+ISBLANK(C800)*1+ISBLANK(D800)*1+ISBLANK(E800)*1+ISBLANK(F800)*1+ISBLANK(I800)*1+ISBLANK(J800)*1+ISBLANK(K800)*1+ISBLANK(L800)*1+ISBLANK(M800)*1+ISBLANK(N800)*1+ISBLANK(O800)*1)&gt;0,"Missing Data","OK")</f>
        <v>OK</v>
      </c>
      <c r="V800" s="0" t="str">
        <f aca="false">IF(T800&gt;=6,"High Risk",IF(T800&gt;=3,"Medium Risk","Low Risk"))</f>
        <v>Medium Risk</v>
      </c>
    </row>
    <row r="801" customFormat="false" ht="12.8" hidden="false" customHeight="false" outlineLevel="0" collapsed="false">
      <c r="A801" s="1" t="s">
        <v>831</v>
      </c>
      <c r="B801" s="1" t="s">
        <v>29</v>
      </c>
      <c r="C801" s="1" t="s">
        <v>34</v>
      </c>
      <c r="D801" s="1" t="n">
        <v>38.94</v>
      </c>
      <c r="E801" s="1" t="n">
        <v>10</v>
      </c>
      <c r="F801" s="4" t="n">
        <v>44894</v>
      </c>
      <c r="G801" s="1" t="s">
        <v>25</v>
      </c>
      <c r="H801" s="1" t="n">
        <v>1</v>
      </c>
      <c r="I801" s="1" t="n">
        <v>17</v>
      </c>
      <c r="J801" s="1" t="n">
        <v>0</v>
      </c>
      <c r="K801" s="1" t="n">
        <v>0</v>
      </c>
      <c r="L801" s="1" t="n">
        <v>6</v>
      </c>
      <c r="M801" s="1" t="n">
        <v>1</v>
      </c>
      <c r="N801" s="1" t="n">
        <v>389.4</v>
      </c>
      <c r="O801" s="1" t="n">
        <v>0</v>
      </c>
      <c r="Q801" s="4" t="n">
        <v>45198</v>
      </c>
      <c r="R801" s="0" t="n">
        <f aca="false">IF(ISBLANK(F801),"Missing",IFERROR(YEAR(F801),"Missing"))</f>
        <v>2022</v>
      </c>
      <c r="S801" s="0" t="str">
        <f aca="false">IF(ISBLANK(E801),"Missing",IF(E801&lt;6,"0-6mo",IF(E801&lt;12,"6-12mo",IF(E801&lt;24,"12-24mo","24mo+"))))</f>
        <v>6-12mo</v>
      </c>
      <c r="T801" s="0" t="n">
        <f aca="false">IF(ISBLANK(C801),0,IF(C801="Month-to-month",2,IF(C801="One year",1,0)))+IF(ISBLANK(I801),0,IF(I801&lt;40,2,IF(I801&lt;55,1,0)))+IF(ISBLANK(M801),0,IF(M801=1,3,0))+IF(ISBLANK(L801),0,IF(L801&gt;=2,1,0))+IF(ISBLANK(E801),0,IF(E801&lt;12,1,0))</f>
        <v>8</v>
      </c>
      <c r="U801" s="0" t="str">
        <f aca="false">IF((ISBLANK(B801)*1+ISBLANK(C801)*1+ISBLANK(D801)*1+ISBLANK(E801)*1+ISBLANK(F801)*1+ISBLANK(I801)*1+ISBLANK(J801)*1+ISBLANK(K801)*1+ISBLANK(L801)*1+ISBLANK(M801)*1+ISBLANK(N801)*1+ISBLANK(O801)*1)&gt;0,"Missing Data","OK")</f>
        <v>OK</v>
      </c>
      <c r="V801" s="0" t="str">
        <f aca="false">IF(T801&gt;=6,"High Risk",IF(T801&gt;=3,"Medium Risk","Low Risk"))</f>
        <v>High Risk</v>
      </c>
    </row>
    <row r="802" customFormat="false" ht="12.8" hidden="false" customHeight="false" outlineLevel="0" collapsed="false">
      <c r="A802" s="1" t="s">
        <v>832</v>
      </c>
      <c r="B802" s="1" t="s">
        <v>23</v>
      </c>
      <c r="C802" s="1" t="s">
        <v>24</v>
      </c>
      <c r="D802" s="1" t="n">
        <v>18.11</v>
      </c>
      <c r="E802" s="1" t="n">
        <v>19</v>
      </c>
      <c r="F802" s="4" t="n">
        <v>44894</v>
      </c>
      <c r="G802" s="1" t="s">
        <v>39</v>
      </c>
      <c r="H802" s="1" t="n">
        <v>1</v>
      </c>
      <c r="I802" s="1" t="n">
        <v>63.8</v>
      </c>
      <c r="J802" s="1" t="n">
        <v>18</v>
      </c>
      <c r="K802" s="1" t="n">
        <v>5</v>
      </c>
      <c r="L802" s="1" t="n">
        <v>1</v>
      </c>
      <c r="M802" s="1" t="n">
        <v>0</v>
      </c>
      <c r="N802" s="1" t="n">
        <v>344.09</v>
      </c>
      <c r="O802" s="1" t="n">
        <v>0</v>
      </c>
      <c r="Q802" s="4" t="n">
        <v>45472</v>
      </c>
      <c r="R802" s="0" t="n">
        <f aca="false">IF(ISBLANK(F802),"Missing",IFERROR(YEAR(F802),"Missing"))</f>
        <v>2022</v>
      </c>
      <c r="S802" s="0" t="str">
        <f aca="false">IF(ISBLANK(E802),"Missing",IF(E802&lt;6,"0-6mo",IF(E802&lt;12,"6-12mo",IF(E802&lt;24,"12-24mo","24mo+"))))</f>
        <v>12-24mo</v>
      </c>
      <c r="T802" s="0" t="n">
        <f aca="false">IF(ISBLANK(C802),0,IF(C802="Month-to-month",2,IF(C802="One year",1,0)))+IF(ISBLANK(I802),0,IF(I802&lt;40,2,IF(I802&lt;55,1,0)))+IF(ISBLANK(M802),0,IF(M802=1,3,0))+IF(ISBLANK(L802),0,IF(L802&gt;=2,1,0))+IF(ISBLANK(E802),0,IF(E802&lt;12,1,0))</f>
        <v>2</v>
      </c>
      <c r="U802" s="0" t="str">
        <f aca="false">IF((ISBLANK(B802)*1+ISBLANK(C802)*1+ISBLANK(D802)*1+ISBLANK(E802)*1+ISBLANK(F802)*1+ISBLANK(I802)*1+ISBLANK(J802)*1+ISBLANK(K802)*1+ISBLANK(L802)*1+ISBLANK(M802)*1+ISBLANK(N802)*1+ISBLANK(O802)*1)&gt;0,"Missing Data","OK")</f>
        <v>OK</v>
      </c>
      <c r="V802" s="0" t="str">
        <f aca="false">IF(T802&gt;=6,"High Risk",IF(T802&gt;=3,"Medium Risk","Low Risk"))</f>
        <v>Low Risk</v>
      </c>
    </row>
    <row r="803" customFormat="false" ht="12.8" hidden="false" customHeight="false" outlineLevel="0" collapsed="false">
      <c r="A803" s="1" t="s">
        <v>833</v>
      </c>
      <c r="B803" s="1" t="s">
        <v>23</v>
      </c>
      <c r="C803" s="1" t="s">
        <v>24</v>
      </c>
      <c r="D803" s="1" t="n">
        <v>18.49</v>
      </c>
      <c r="E803" s="1" t="n">
        <v>72</v>
      </c>
      <c r="F803" s="4" t="n">
        <v>44897</v>
      </c>
      <c r="G803" s="1" t="s">
        <v>27</v>
      </c>
      <c r="H803" s="1" t="n">
        <v>1</v>
      </c>
      <c r="I803" s="1" t="n">
        <v>79.2</v>
      </c>
      <c r="J803" s="1" t="n">
        <v>26</v>
      </c>
      <c r="K803" s="1" t="n">
        <v>6</v>
      </c>
      <c r="L803" s="1" t="n">
        <v>0</v>
      </c>
      <c r="M803" s="1" t="n">
        <v>0</v>
      </c>
      <c r="N803" s="1" t="n">
        <v>1331.28</v>
      </c>
      <c r="O803" s="1" t="n">
        <v>0</v>
      </c>
      <c r="Q803" s="4" t="n">
        <v>46293</v>
      </c>
      <c r="R803" s="0" t="n">
        <f aca="false">IF(ISBLANK(F803),"Missing",IFERROR(YEAR(F803),"Missing"))</f>
        <v>2022</v>
      </c>
      <c r="S803" s="0" t="str">
        <f aca="false">IF(ISBLANK(E803),"Missing",IF(E803&lt;6,"0-6mo",IF(E803&lt;12,"6-12mo",IF(E803&lt;24,"12-24mo","24mo+"))))</f>
        <v>24mo+</v>
      </c>
      <c r="T803" s="0" t="n">
        <f aca="false">IF(ISBLANK(C803),0,IF(C803="Month-to-month",2,IF(C803="One year",1,0)))+IF(ISBLANK(I803),0,IF(I803&lt;40,2,IF(I803&lt;55,1,0)))+IF(ISBLANK(M803),0,IF(M803=1,3,0))+IF(ISBLANK(L803),0,IF(L803&gt;=2,1,0))+IF(ISBLANK(E803),0,IF(E803&lt;12,1,0))</f>
        <v>2</v>
      </c>
      <c r="U803" s="0" t="str">
        <f aca="false">IF((ISBLANK(B803)*1+ISBLANK(C803)*1+ISBLANK(D803)*1+ISBLANK(E803)*1+ISBLANK(F803)*1+ISBLANK(I803)*1+ISBLANK(J803)*1+ISBLANK(K803)*1+ISBLANK(L803)*1+ISBLANK(M803)*1+ISBLANK(N803)*1+ISBLANK(O803)*1)&gt;0,"Missing Data","OK")</f>
        <v>OK</v>
      </c>
      <c r="V803" s="0" t="str">
        <f aca="false">IF(T803&gt;=6,"High Risk",IF(T803&gt;=3,"Medium Risk","Low Risk"))</f>
        <v>Low Risk</v>
      </c>
    </row>
    <row r="804" customFormat="false" ht="12.8" hidden="false" customHeight="false" outlineLevel="0" collapsed="false">
      <c r="A804" s="1" t="s">
        <v>834</v>
      </c>
      <c r="B804" s="1" t="s">
        <v>36</v>
      </c>
      <c r="C804" s="1" t="s">
        <v>24</v>
      </c>
      <c r="D804" s="1" t="n">
        <v>10.03</v>
      </c>
      <c r="E804" s="1" t="n">
        <v>8</v>
      </c>
      <c r="F804" s="4" t="n">
        <v>44898</v>
      </c>
      <c r="G804" s="1" t="s">
        <v>30</v>
      </c>
      <c r="H804" s="1" t="n">
        <v>1</v>
      </c>
      <c r="I804" s="1" t="n">
        <v>63.8</v>
      </c>
      <c r="J804" s="1" t="n">
        <v>16</v>
      </c>
      <c r="K804" s="1" t="n">
        <v>6</v>
      </c>
      <c r="L804" s="1" t="n">
        <v>1</v>
      </c>
      <c r="M804" s="1" t="n">
        <v>1</v>
      </c>
      <c r="N804" s="1" t="n">
        <v>80.24</v>
      </c>
      <c r="O804" s="1" t="n">
        <v>0</v>
      </c>
      <c r="Q804" s="4" t="n">
        <v>45141</v>
      </c>
      <c r="R804" s="0" t="n">
        <f aca="false">IF(ISBLANK(F804),"Missing",IFERROR(YEAR(F804),"Missing"))</f>
        <v>2022</v>
      </c>
      <c r="S804" s="0" t="str">
        <f aca="false">IF(ISBLANK(E804),"Missing",IF(E804&lt;6,"0-6mo",IF(E804&lt;12,"6-12mo",IF(E804&lt;24,"12-24mo","24mo+"))))</f>
        <v>6-12mo</v>
      </c>
      <c r="T804" s="0" t="n">
        <f aca="false">IF(ISBLANK(C804),0,IF(C804="Month-to-month",2,IF(C804="One year",1,0)))+IF(ISBLANK(I804),0,IF(I804&lt;40,2,IF(I804&lt;55,1,0)))+IF(ISBLANK(M804),0,IF(M804=1,3,0))+IF(ISBLANK(L804),0,IF(L804&gt;=2,1,0))+IF(ISBLANK(E804),0,IF(E804&lt;12,1,0))</f>
        <v>6</v>
      </c>
      <c r="U804" s="0" t="str">
        <f aca="false">IF((ISBLANK(B804)*1+ISBLANK(C804)*1+ISBLANK(D804)*1+ISBLANK(E804)*1+ISBLANK(F804)*1+ISBLANK(I804)*1+ISBLANK(J804)*1+ISBLANK(K804)*1+ISBLANK(L804)*1+ISBLANK(M804)*1+ISBLANK(N804)*1+ISBLANK(O804)*1)&gt;0,"Missing Data","OK")</f>
        <v>OK</v>
      </c>
      <c r="V804" s="0" t="str">
        <f aca="false">IF(T804&gt;=6,"High Risk",IF(T804&gt;=3,"Medium Risk","Low Risk"))</f>
        <v>High Risk</v>
      </c>
    </row>
    <row r="805" customFormat="false" ht="12.8" hidden="false" customHeight="false" outlineLevel="0" collapsed="false">
      <c r="A805" s="1" t="s">
        <v>835</v>
      </c>
      <c r="B805" s="1" t="s">
        <v>36</v>
      </c>
      <c r="C805" s="1" t="s">
        <v>24</v>
      </c>
      <c r="D805" s="1" t="n">
        <v>8.78</v>
      </c>
      <c r="E805" s="1" t="n">
        <v>4</v>
      </c>
      <c r="F805" s="4" t="n">
        <v>44898</v>
      </c>
      <c r="G805" s="1" t="s">
        <v>25</v>
      </c>
      <c r="H805" s="1" t="n">
        <v>1</v>
      </c>
      <c r="I805" s="1" t="n">
        <v>38.6</v>
      </c>
      <c r="J805" s="1" t="n">
        <v>7</v>
      </c>
      <c r="K805" s="1" t="n">
        <v>5</v>
      </c>
      <c r="L805" s="1" t="n">
        <v>2</v>
      </c>
      <c r="M805" s="1" t="n">
        <v>1</v>
      </c>
      <c r="N805" s="1" t="n">
        <v>35.12</v>
      </c>
      <c r="O805" s="1" t="n">
        <v>0</v>
      </c>
      <c r="Q805" s="4" t="n">
        <v>45019</v>
      </c>
      <c r="R805" s="0" t="n">
        <f aca="false">IF(ISBLANK(F805),"Missing",IFERROR(YEAR(F805),"Missing"))</f>
        <v>2022</v>
      </c>
      <c r="S805" s="0" t="str">
        <f aca="false">IF(ISBLANK(E805),"Missing",IF(E805&lt;6,"0-6mo",IF(E805&lt;12,"6-12mo",IF(E805&lt;24,"12-24mo","24mo+"))))</f>
        <v>0-6mo</v>
      </c>
      <c r="T805" s="0" t="n">
        <f aca="false">IF(ISBLANK(C805),0,IF(C805="Month-to-month",2,IF(C805="One year",1,0)))+IF(ISBLANK(I805),0,IF(I805&lt;40,2,IF(I805&lt;55,1,0)))+IF(ISBLANK(M805),0,IF(M805=1,3,0))+IF(ISBLANK(L805),0,IF(L805&gt;=2,1,0))+IF(ISBLANK(E805),0,IF(E805&lt;12,1,0))</f>
        <v>9</v>
      </c>
      <c r="U805" s="0" t="str">
        <f aca="false">IF((ISBLANK(B805)*1+ISBLANK(C805)*1+ISBLANK(D805)*1+ISBLANK(E805)*1+ISBLANK(F805)*1+ISBLANK(I805)*1+ISBLANK(J805)*1+ISBLANK(K805)*1+ISBLANK(L805)*1+ISBLANK(M805)*1+ISBLANK(N805)*1+ISBLANK(O805)*1)&gt;0,"Missing Data","OK")</f>
        <v>OK</v>
      </c>
      <c r="V805" s="0" t="str">
        <f aca="false">IF(T805&gt;=6,"High Risk",IF(T805&gt;=3,"Medium Risk","Low Risk"))</f>
        <v>High Risk</v>
      </c>
    </row>
    <row r="806" customFormat="false" ht="12.8" hidden="false" customHeight="false" outlineLevel="0" collapsed="false">
      <c r="A806" s="1" t="s">
        <v>836</v>
      </c>
      <c r="B806" s="1" t="s">
        <v>36</v>
      </c>
      <c r="C806" s="1" t="s">
        <v>34</v>
      </c>
      <c r="D806" s="1" t="n">
        <v>11.23</v>
      </c>
      <c r="E806" s="1" t="n">
        <v>9</v>
      </c>
      <c r="F806" s="4" t="n">
        <v>44899</v>
      </c>
      <c r="G806" s="1" t="s">
        <v>25</v>
      </c>
      <c r="H806" s="1" t="n">
        <v>1</v>
      </c>
      <c r="I806" s="1" t="n">
        <v>35.4</v>
      </c>
      <c r="J806" s="1" t="n">
        <v>10</v>
      </c>
      <c r="K806" s="1" t="n">
        <v>5</v>
      </c>
      <c r="L806" s="1" t="n">
        <v>3</v>
      </c>
      <c r="M806" s="1" t="n">
        <v>0</v>
      </c>
      <c r="N806" s="1" t="n">
        <v>101.07</v>
      </c>
      <c r="O806" s="1" t="n">
        <v>0</v>
      </c>
      <c r="Q806" s="4" t="n">
        <v>45172</v>
      </c>
      <c r="R806" s="0" t="n">
        <f aca="false">IF(ISBLANK(F806),"Missing",IFERROR(YEAR(F806),"Missing"))</f>
        <v>2022</v>
      </c>
      <c r="S806" s="0" t="str">
        <f aca="false">IF(ISBLANK(E806),"Missing",IF(E806&lt;6,"0-6mo",IF(E806&lt;12,"6-12mo",IF(E806&lt;24,"12-24mo","24mo+"))))</f>
        <v>6-12mo</v>
      </c>
      <c r="T806" s="0" t="n">
        <f aca="false">IF(ISBLANK(C806),0,IF(C806="Month-to-month",2,IF(C806="One year",1,0)))+IF(ISBLANK(I806),0,IF(I806&lt;40,2,IF(I806&lt;55,1,0)))+IF(ISBLANK(M806),0,IF(M806=1,3,0))+IF(ISBLANK(L806),0,IF(L806&gt;=2,1,0))+IF(ISBLANK(E806),0,IF(E806&lt;12,1,0))</f>
        <v>5</v>
      </c>
      <c r="U806" s="0" t="str">
        <f aca="false">IF((ISBLANK(B806)*1+ISBLANK(C806)*1+ISBLANK(D806)*1+ISBLANK(E806)*1+ISBLANK(F806)*1+ISBLANK(I806)*1+ISBLANK(J806)*1+ISBLANK(K806)*1+ISBLANK(L806)*1+ISBLANK(M806)*1+ISBLANK(N806)*1+ISBLANK(O806)*1)&gt;0,"Missing Data","OK")</f>
        <v>OK</v>
      </c>
      <c r="V806" s="0" t="str">
        <f aca="false">IF(T806&gt;=6,"High Risk",IF(T806&gt;=3,"Medium Risk","Low Risk"))</f>
        <v>Medium Risk</v>
      </c>
    </row>
    <row r="807" customFormat="false" ht="12.8" hidden="false" customHeight="false" outlineLevel="0" collapsed="false">
      <c r="A807" s="1" t="s">
        <v>837</v>
      </c>
      <c r="B807" s="1" t="s">
        <v>36</v>
      </c>
      <c r="C807" s="1" t="s">
        <v>24</v>
      </c>
      <c r="D807" s="1" t="n">
        <v>12.15</v>
      </c>
      <c r="E807" s="1" t="n">
        <v>18</v>
      </c>
      <c r="F807" s="4" t="n">
        <v>44899</v>
      </c>
      <c r="G807" s="1" t="s">
        <v>25</v>
      </c>
      <c r="H807" s="1" t="n">
        <v>0</v>
      </c>
      <c r="I807" s="1" t="n">
        <v>81.1</v>
      </c>
      <c r="J807" s="1" t="n">
        <v>19</v>
      </c>
      <c r="K807" s="1" t="n">
        <v>9</v>
      </c>
      <c r="L807" s="1" t="n">
        <v>1</v>
      </c>
      <c r="M807" s="1" t="n">
        <v>1</v>
      </c>
      <c r="N807" s="1" t="n">
        <v>218.7</v>
      </c>
      <c r="O807" s="1" t="n">
        <v>0</v>
      </c>
      <c r="Q807" s="4" t="n">
        <v>45446</v>
      </c>
      <c r="R807" s="0" t="n">
        <f aca="false">IF(ISBLANK(F807),"Missing",IFERROR(YEAR(F807),"Missing"))</f>
        <v>2022</v>
      </c>
      <c r="S807" s="0" t="str">
        <f aca="false">IF(ISBLANK(E807),"Missing",IF(E807&lt;6,"0-6mo",IF(E807&lt;12,"6-12mo",IF(E807&lt;24,"12-24mo","24mo+"))))</f>
        <v>12-24mo</v>
      </c>
      <c r="T807" s="0" t="n">
        <f aca="false">IF(ISBLANK(C807),0,IF(C807="Month-to-month",2,IF(C807="One year",1,0)))+IF(ISBLANK(I807),0,IF(I807&lt;40,2,IF(I807&lt;55,1,0)))+IF(ISBLANK(M807),0,IF(M807=1,3,0))+IF(ISBLANK(L807),0,IF(L807&gt;=2,1,0))+IF(ISBLANK(E807),0,IF(E807&lt;12,1,0))</f>
        <v>5</v>
      </c>
      <c r="U807" s="0" t="str">
        <f aca="false">IF((ISBLANK(B807)*1+ISBLANK(C807)*1+ISBLANK(D807)*1+ISBLANK(E807)*1+ISBLANK(F807)*1+ISBLANK(I807)*1+ISBLANK(J807)*1+ISBLANK(K807)*1+ISBLANK(L807)*1+ISBLANK(M807)*1+ISBLANK(N807)*1+ISBLANK(O807)*1)&gt;0,"Missing Data","OK")</f>
        <v>OK</v>
      </c>
      <c r="V807" s="0" t="str">
        <f aca="false">IF(T807&gt;=6,"High Risk",IF(T807&gt;=3,"Medium Risk","Low Risk"))</f>
        <v>Medium Risk</v>
      </c>
    </row>
    <row r="808" customFormat="false" ht="12.8" hidden="false" customHeight="false" outlineLevel="0" collapsed="false">
      <c r="A808" s="1" t="s">
        <v>838</v>
      </c>
      <c r="B808" s="1" t="s">
        <v>36</v>
      </c>
      <c r="C808" s="1" t="s">
        <v>34</v>
      </c>
      <c r="D808" s="1" t="n">
        <v>10.32</v>
      </c>
      <c r="E808" s="1" t="n">
        <v>72</v>
      </c>
      <c r="F808" s="4" t="n">
        <v>44899</v>
      </c>
      <c r="G808" s="1" t="s">
        <v>25</v>
      </c>
      <c r="H808" s="1" t="n">
        <v>1</v>
      </c>
      <c r="I808" s="1" t="n">
        <v>61.9</v>
      </c>
      <c r="J808" s="1" t="n">
        <v>23</v>
      </c>
      <c r="K808" s="1" t="n">
        <v>7</v>
      </c>
      <c r="L808" s="1" t="n">
        <v>1</v>
      </c>
      <c r="M808" s="1" t="n">
        <v>1</v>
      </c>
      <c r="N808" s="1" t="n">
        <v>743.04</v>
      </c>
      <c r="O808" s="1" t="n">
        <v>0</v>
      </c>
      <c r="Q808" s="4" t="n">
        <v>46293</v>
      </c>
      <c r="R808" s="0" t="n">
        <f aca="false">IF(ISBLANK(F808),"Missing",IFERROR(YEAR(F808),"Missing"))</f>
        <v>2022</v>
      </c>
      <c r="S808" s="0" t="str">
        <f aca="false">IF(ISBLANK(E808),"Missing",IF(E808&lt;6,"0-6mo",IF(E808&lt;12,"6-12mo",IF(E808&lt;24,"12-24mo","24mo+"))))</f>
        <v>24mo+</v>
      </c>
      <c r="T808" s="0" t="n">
        <f aca="false">IF(ISBLANK(C808),0,IF(C808="Month-to-month",2,IF(C808="One year",1,0)))+IF(ISBLANK(I808),0,IF(I808&lt;40,2,IF(I808&lt;55,1,0)))+IF(ISBLANK(M808),0,IF(M808=1,3,0))+IF(ISBLANK(L808),0,IF(L808&gt;=2,1,0))+IF(ISBLANK(E808),0,IF(E808&lt;12,1,0))</f>
        <v>4</v>
      </c>
      <c r="U808" s="0" t="str">
        <f aca="false">IF((ISBLANK(B808)*1+ISBLANK(C808)*1+ISBLANK(D808)*1+ISBLANK(E808)*1+ISBLANK(F808)*1+ISBLANK(I808)*1+ISBLANK(J808)*1+ISBLANK(K808)*1+ISBLANK(L808)*1+ISBLANK(M808)*1+ISBLANK(N808)*1+ISBLANK(O808)*1)&gt;0,"Missing Data","OK")</f>
        <v>OK</v>
      </c>
      <c r="V808" s="0" t="str">
        <f aca="false">IF(T808&gt;=6,"High Risk",IF(T808&gt;=3,"Medium Risk","Low Risk"))</f>
        <v>Medium Risk</v>
      </c>
    </row>
    <row r="809" customFormat="false" ht="12.8" hidden="false" customHeight="false" outlineLevel="0" collapsed="false">
      <c r="A809" s="1" t="s">
        <v>839</v>
      </c>
      <c r="B809" s="1" t="s">
        <v>36</v>
      </c>
      <c r="C809" s="1" t="s">
        <v>24</v>
      </c>
      <c r="D809" s="1" t="n">
        <v>10.82</v>
      </c>
      <c r="E809" s="1" t="n">
        <v>17</v>
      </c>
      <c r="F809" s="4" t="n">
        <v>44902</v>
      </c>
      <c r="G809" s="1" t="s">
        <v>25</v>
      </c>
      <c r="H809" s="1" t="n">
        <v>1</v>
      </c>
      <c r="I809" s="1" t="n">
        <v>45.3</v>
      </c>
      <c r="J809" s="1" t="n">
        <v>14</v>
      </c>
      <c r="K809" s="1" t="n">
        <v>3</v>
      </c>
      <c r="L809" s="1" t="n">
        <v>0</v>
      </c>
      <c r="M809" s="1" t="n">
        <v>0</v>
      </c>
      <c r="N809" s="1" t="n">
        <v>183.94</v>
      </c>
      <c r="O809" s="1" t="n">
        <v>0</v>
      </c>
      <c r="Q809" s="4" t="n">
        <v>45419</v>
      </c>
      <c r="R809" s="0" t="n">
        <f aca="false">IF(ISBLANK(F809),"Missing",IFERROR(YEAR(F809),"Missing"))</f>
        <v>2022</v>
      </c>
      <c r="S809" s="0" t="str">
        <f aca="false">IF(ISBLANK(E809),"Missing",IF(E809&lt;6,"0-6mo",IF(E809&lt;12,"6-12mo",IF(E809&lt;24,"12-24mo","24mo+"))))</f>
        <v>12-24mo</v>
      </c>
      <c r="T809" s="0" t="n">
        <f aca="false">IF(ISBLANK(C809),0,IF(C809="Month-to-month",2,IF(C809="One year",1,0)))+IF(ISBLANK(I809),0,IF(I809&lt;40,2,IF(I809&lt;55,1,0)))+IF(ISBLANK(M809),0,IF(M809=1,3,0))+IF(ISBLANK(L809),0,IF(L809&gt;=2,1,0))+IF(ISBLANK(E809),0,IF(E809&lt;12,1,0))</f>
        <v>3</v>
      </c>
      <c r="U809" s="0" t="str">
        <f aca="false">IF((ISBLANK(B809)*1+ISBLANK(C809)*1+ISBLANK(D809)*1+ISBLANK(E809)*1+ISBLANK(F809)*1+ISBLANK(I809)*1+ISBLANK(J809)*1+ISBLANK(K809)*1+ISBLANK(L809)*1+ISBLANK(M809)*1+ISBLANK(N809)*1+ISBLANK(O809)*1)&gt;0,"Missing Data","OK")</f>
        <v>OK</v>
      </c>
      <c r="V809" s="0" t="str">
        <f aca="false">IF(T809&gt;=6,"High Risk",IF(T809&gt;=3,"Medium Risk","Low Risk"))</f>
        <v>Medium Risk</v>
      </c>
    </row>
    <row r="810" customFormat="false" ht="12.8" hidden="false" customHeight="false" outlineLevel="0" collapsed="false">
      <c r="A810" s="1" t="s">
        <v>840</v>
      </c>
      <c r="B810" s="1" t="s">
        <v>36</v>
      </c>
      <c r="C810" s="1" t="s">
        <v>51</v>
      </c>
      <c r="D810" s="1" t="n">
        <v>9.13</v>
      </c>
      <c r="E810" s="1" t="n">
        <v>11</v>
      </c>
      <c r="F810" s="4" t="n">
        <v>44904</v>
      </c>
      <c r="G810" s="1" t="s">
        <v>39</v>
      </c>
      <c r="H810" s="1" t="n">
        <v>1</v>
      </c>
      <c r="I810" s="1" t="n">
        <v>61.3</v>
      </c>
      <c r="J810" s="1" t="n">
        <v>18</v>
      </c>
      <c r="K810" s="1" t="n">
        <v>6</v>
      </c>
      <c r="L810" s="1" t="n">
        <v>3</v>
      </c>
      <c r="M810" s="1" t="n">
        <v>1</v>
      </c>
      <c r="N810" s="1" t="n">
        <v>100.43</v>
      </c>
      <c r="O810" s="1" t="n">
        <v>0</v>
      </c>
      <c r="Q810" s="4" t="n">
        <v>45238</v>
      </c>
      <c r="R810" s="0" t="n">
        <f aca="false">IF(ISBLANK(F810),"Missing",IFERROR(YEAR(F810),"Missing"))</f>
        <v>2022</v>
      </c>
      <c r="S810" s="0" t="str">
        <f aca="false">IF(ISBLANK(E810),"Missing",IF(E810&lt;6,"0-6mo",IF(E810&lt;12,"6-12mo",IF(E810&lt;24,"12-24mo","24mo+"))))</f>
        <v>6-12mo</v>
      </c>
      <c r="T810" s="0" t="n">
        <f aca="false">IF(ISBLANK(C810),0,IF(C810="Month-to-month",2,IF(C810="One year",1,0)))+IF(ISBLANK(I810),0,IF(I810&lt;40,2,IF(I810&lt;55,1,0)))+IF(ISBLANK(M810),0,IF(M810=1,3,0))+IF(ISBLANK(L810),0,IF(L810&gt;=2,1,0))+IF(ISBLANK(E810),0,IF(E810&lt;12,1,0))</f>
        <v>5</v>
      </c>
      <c r="U810" s="0" t="str">
        <f aca="false">IF((ISBLANK(B810)*1+ISBLANK(C810)*1+ISBLANK(D810)*1+ISBLANK(E810)*1+ISBLANK(F810)*1+ISBLANK(I810)*1+ISBLANK(J810)*1+ISBLANK(K810)*1+ISBLANK(L810)*1+ISBLANK(M810)*1+ISBLANK(N810)*1+ISBLANK(O810)*1)&gt;0,"Missing Data","OK")</f>
        <v>OK</v>
      </c>
      <c r="V810" s="0" t="str">
        <f aca="false">IF(T810&gt;=6,"High Risk",IF(T810&gt;=3,"Medium Risk","Low Risk"))</f>
        <v>Medium Risk</v>
      </c>
    </row>
    <row r="811" customFormat="false" ht="12.8" hidden="false" customHeight="false" outlineLevel="0" collapsed="false">
      <c r="A811" s="1" t="s">
        <v>841</v>
      </c>
      <c r="B811" s="1" t="s">
        <v>36</v>
      </c>
      <c r="C811" s="1" t="s">
        <v>24</v>
      </c>
      <c r="D811" s="1" t="n">
        <v>10.28</v>
      </c>
      <c r="E811" s="1" t="n">
        <v>1</v>
      </c>
      <c r="F811" s="4" t="n">
        <v>44905</v>
      </c>
      <c r="G811" s="1" t="s">
        <v>25</v>
      </c>
      <c r="H811" s="1" t="n">
        <v>0</v>
      </c>
      <c r="I811" s="1" t="n">
        <v>79.6</v>
      </c>
      <c r="J811" s="1" t="n">
        <v>21</v>
      </c>
      <c r="K811" s="1" t="n">
        <v>8</v>
      </c>
      <c r="L811" s="1" t="n">
        <v>2</v>
      </c>
      <c r="M811" s="1" t="n">
        <v>0</v>
      </c>
      <c r="N811" s="1" t="n">
        <v>10.28</v>
      </c>
      <c r="O811" s="1" t="n">
        <v>0</v>
      </c>
      <c r="Q811" s="4" t="n">
        <v>44935</v>
      </c>
      <c r="R811" s="0" t="n">
        <f aca="false">IF(ISBLANK(F811),"Missing",IFERROR(YEAR(F811),"Missing"))</f>
        <v>2022</v>
      </c>
      <c r="S811" s="0" t="str">
        <f aca="false">IF(ISBLANK(E811),"Missing",IF(E811&lt;6,"0-6mo",IF(E811&lt;12,"6-12mo",IF(E811&lt;24,"12-24mo","24mo+"))))</f>
        <v>0-6mo</v>
      </c>
      <c r="T811" s="0" t="n">
        <f aca="false">IF(ISBLANK(C811),0,IF(C811="Month-to-month",2,IF(C811="One year",1,0)))+IF(ISBLANK(I811),0,IF(I811&lt;40,2,IF(I811&lt;55,1,0)))+IF(ISBLANK(M811),0,IF(M811=1,3,0))+IF(ISBLANK(L811),0,IF(L811&gt;=2,1,0))+IF(ISBLANK(E811),0,IF(E811&lt;12,1,0))</f>
        <v>4</v>
      </c>
      <c r="U811" s="0" t="str">
        <f aca="false">IF((ISBLANK(B811)*1+ISBLANK(C811)*1+ISBLANK(D811)*1+ISBLANK(E811)*1+ISBLANK(F811)*1+ISBLANK(I811)*1+ISBLANK(J811)*1+ISBLANK(K811)*1+ISBLANK(L811)*1+ISBLANK(M811)*1+ISBLANK(N811)*1+ISBLANK(O811)*1)&gt;0,"Missing Data","OK")</f>
        <v>OK</v>
      </c>
      <c r="V811" s="0" t="str">
        <f aca="false">IF(T811&gt;=6,"High Risk",IF(T811&gt;=3,"Medium Risk","Low Risk"))</f>
        <v>Medium Risk</v>
      </c>
    </row>
    <row r="812" customFormat="false" ht="12.8" hidden="false" customHeight="false" outlineLevel="0" collapsed="false">
      <c r="A812" s="1" t="s">
        <v>842</v>
      </c>
      <c r="B812" s="1" t="s">
        <v>36</v>
      </c>
      <c r="C812" s="1" t="s">
        <v>24</v>
      </c>
      <c r="D812" s="1" t="n">
        <v>9.07</v>
      </c>
      <c r="E812" s="1" t="n">
        <v>18</v>
      </c>
      <c r="F812" s="4" t="n">
        <v>44906</v>
      </c>
      <c r="G812" s="1" t="s">
        <v>30</v>
      </c>
      <c r="H812" s="1" t="n">
        <v>0</v>
      </c>
      <c r="I812" s="1" t="n">
        <v>31.6</v>
      </c>
      <c r="J812" s="1" t="n">
        <v>8</v>
      </c>
      <c r="K812" s="1" t="n">
        <v>2</v>
      </c>
      <c r="L812" s="1" t="n">
        <v>1</v>
      </c>
      <c r="M812" s="1" t="n">
        <v>0</v>
      </c>
      <c r="N812" s="1" t="n">
        <v>163.26</v>
      </c>
      <c r="O812" s="1" t="n">
        <v>0</v>
      </c>
      <c r="Q812" s="4" t="n">
        <v>45453</v>
      </c>
      <c r="R812" s="0" t="n">
        <f aca="false">IF(ISBLANK(F812),"Missing",IFERROR(YEAR(F812),"Missing"))</f>
        <v>2022</v>
      </c>
      <c r="S812" s="0" t="str">
        <f aca="false">IF(ISBLANK(E812),"Missing",IF(E812&lt;6,"0-6mo",IF(E812&lt;12,"6-12mo",IF(E812&lt;24,"12-24mo","24mo+"))))</f>
        <v>12-24mo</v>
      </c>
      <c r="T812" s="0" t="n">
        <f aca="false">IF(ISBLANK(C812),0,IF(C812="Month-to-month",2,IF(C812="One year",1,0)))+IF(ISBLANK(I812),0,IF(I812&lt;40,2,IF(I812&lt;55,1,0)))+IF(ISBLANK(M812),0,IF(M812=1,3,0))+IF(ISBLANK(L812),0,IF(L812&gt;=2,1,0))+IF(ISBLANK(E812),0,IF(E812&lt;12,1,0))</f>
        <v>4</v>
      </c>
      <c r="U812" s="0" t="str">
        <f aca="false">IF((ISBLANK(B812)*1+ISBLANK(C812)*1+ISBLANK(D812)*1+ISBLANK(E812)*1+ISBLANK(F812)*1+ISBLANK(I812)*1+ISBLANK(J812)*1+ISBLANK(K812)*1+ISBLANK(L812)*1+ISBLANK(M812)*1+ISBLANK(N812)*1+ISBLANK(O812)*1)&gt;0,"Missing Data","OK")</f>
        <v>OK</v>
      </c>
      <c r="V812" s="0" t="str">
        <f aca="false">IF(T812&gt;=6,"High Risk",IF(T812&gt;=3,"Medium Risk","Low Risk"))</f>
        <v>Medium Risk</v>
      </c>
    </row>
    <row r="813" customFormat="false" ht="12.8" hidden="false" customHeight="false" outlineLevel="0" collapsed="false">
      <c r="A813" s="1" t="s">
        <v>843</v>
      </c>
      <c r="B813" s="1" t="s">
        <v>23</v>
      </c>
      <c r="C813" s="1" t="s">
        <v>34</v>
      </c>
      <c r="D813" s="1" t="n">
        <v>20.09</v>
      </c>
      <c r="E813" s="1" t="n">
        <v>2</v>
      </c>
      <c r="F813" s="4" t="n">
        <v>44907</v>
      </c>
      <c r="G813" s="1" t="s">
        <v>39</v>
      </c>
      <c r="H813" s="1" t="n">
        <v>1</v>
      </c>
      <c r="I813" s="1" t="n">
        <v>78.7</v>
      </c>
      <c r="J813" s="1" t="n">
        <v>24</v>
      </c>
      <c r="K813" s="1" t="n">
        <v>8</v>
      </c>
      <c r="L813" s="1" t="n">
        <v>1</v>
      </c>
      <c r="M813" s="1" t="n">
        <v>0</v>
      </c>
      <c r="N813" s="1" t="n">
        <v>40.18</v>
      </c>
      <c r="O813" s="1" t="n">
        <v>0</v>
      </c>
      <c r="Q813" s="4" t="n">
        <v>44967</v>
      </c>
      <c r="R813" s="0" t="n">
        <f aca="false">IF(ISBLANK(F813),"Missing",IFERROR(YEAR(F813),"Missing"))</f>
        <v>2022</v>
      </c>
      <c r="S813" s="0" t="str">
        <f aca="false">IF(ISBLANK(E813),"Missing",IF(E813&lt;6,"0-6mo",IF(E813&lt;12,"6-12mo",IF(E813&lt;24,"12-24mo","24mo+"))))</f>
        <v>0-6mo</v>
      </c>
      <c r="T813" s="0" t="n">
        <f aca="false">IF(ISBLANK(C813),0,IF(C813="Month-to-month",2,IF(C813="One year",1,0)))+IF(ISBLANK(I813),0,IF(I813&lt;40,2,IF(I813&lt;55,1,0)))+IF(ISBLANK(M813),0,IF(M813=1,3,0))+IF(ISBLANK(L813),0,IF(L813&gt;=2,1,0))+IF(ISBLANK(E813),0,IF(E813&lt;12,1,0))</f>
        <v>2</v>
      </c>
      <c r="U813" s="0" t="str">
        <f aca="false">IF((ISBLANK(B813)*1+ISBLANK(C813)*1+ISBLANK(D813)*1+ISBLANK(E813)*1+ISBLANK(F813)*1+ISBLANK(I813)*1+ISBLANK(J813)*1+ISBLANK(K813)*1+ISBLANK(L813)*1+ISBLANK(M813)*1+ISBLANK(N813)*1+ISBLANK(O813)*1)&gt;0,"Missing Data","OK")</f>
        <v>OK</v>
      </c>
      <c r="V813" s="0" t="str">
        <f aca="false">IF(T813&gt;=6,"High Risk",IF(T813&gt;=3,"Medium Risk","Low Risk"))</f>
        <v>Low Risk</v>
      </c>
    </row>
    <row r="814" customFormat="false" ht="12.8" hidden="false" customHeight="false" outlineLevel="0" collapsed="false">
      <c r="A814" s="1" t="s">
        <v>844</v>
      </c>
      <c r="B814" s="1" t="s">
        <v>23</v>
      </c>
      <c r="C814" s="1" t="s">
        <v>51</v>
      </c>
      <c r="D814" s="1" t="n">
        <v>20.54</v>
      </c>
      <c r="E814" s="1" t="n">
        <v>10</v>
      </c>
      <c r="F814" s="4" t="n">
        <v>44908</v>
      </c>
      <c r="G814" s="1" t="s">
        <v>27</v>
      </c>
      <c r="H814" s="1" t="n">
        <v>1</v>
      </c>
      <c r="I814" s="1" t="n">
        <v>93.3</v>
      </c>
      <c r="J814" s="1" t="n">
        <v>23</v>
      </c>
      <c r="K814" s="1" t="n">
        <v>7</v>
      </c>
      <c r="L814" s="1" t="n">
        <v>2</v>
      </c>
      <c r="M814" s="1" t="n">
        <v>1</v>
      </c>
      <c r="N814" s="1" t="n">
        <v>205.4</v>
      </c>
      <c r="O814" s="1" t="n">
        <v>0</v>
      </c>
      <c r="Q814" s="4" t="n">
        <v>45212</v>
      </c>
      <c r="R814" s="0" t="n">
        <f aca="false">IF(ISBLANK(F814),"Missing",IFERROR(YEAR(F814),"Missing"))</f>
        <v>2022</v>
      </c>
      <c r="S814" s="0" t="str">
        <f aca="false">IF(ISBLANK(E814),"Missing",IF(E814&lt;6,"0-6mo",IF(E814&lt;12,"6-12mo",IF(E814&lt;24,"12-24mo","24mo+"))))</f>
        <v>6-12mo</v>
      </c>
      <c r="T814" s="0" t="n">
        <f aca="false">IF(ISBLANK(C814),0,IF(C814="Month-to-month",2,IF(C814="One year",1,0)))+IF(ISBLANK(I814),0,IF(I814&lt;40,2,IF(I814&lt;55,1,0)))+IF(ISBLANK(M814),0,IF(M814=1,3,0))+IF(ISBLANK(L814),0,IF(L814&gt;=2,1,0))+IF(ISBLANK(E814),0,IF(E814&lt;12,1,0))</f>
        <v>5</v>
      </c>
      <c r="U814" s="0" t="str">
        <f aca="false">IF((ISBLANK(B814)*1+ISBLANK(C814)*1+ISBLANK(D814)*1+ISBLANK(E814)*1+ISBLANK(F814)*1+ISBLANK(I814)*1+ISBLANK(J814)*1+ISBLANK(K814)*1+ISBLANK(L814)*1+ISBLANK(M814)*1+ISBLANK(N814)*1+ISBLANK(O814)*1)&gt;0,"Missing Data","OK")</f>
        <v>OK</v>
      </c>
      <c r="V814" s="0" t="str">
        <f aca="false">IF(T814&gt;=6,"High Risk",IF(T814&gt;=3,"Medium Risk","Low Risk"))</f>
        <v>Medium Risk</v>
      </c>
    </row>
    <row r="815" customFormat="false" ht="12.8" hidden="false" customHeight="false" outlineLevel="0" collapsed="false">
      <c r="A815" s="1" t="s">
        <v>845</v>
      </c>
      <c r="B815" s="1" t="s">
        <v>23</v>
      </c>
      <c r="C815" s="1" t="s">
        <v>24</v>
      </c>
      <c r="D815" s="1" t="n">
        <v>20.92</v>
      </c>
      <c r="E815" s="1" t="n">
        <v>26</v>
      </c>
      <c r="F815" s="4" t="n">
        <v>44910</v>
      </c>
      <c r="G815" s="1" t="s">
        <v>25</v>
      </c>
      <c r="H815" s="1" t="n">
        <v>1</v>
      </c>
      <c r="I815" s="1" t="n">
        <v>60.7</v>
      </c>
      <c r="J815" s="1" t="n">
        <v>18</v>
      </c>
      <c r="K815" s="1" t="n">
        <v>5</v>
      </c>
      <c r="L815" s="1" t="n">
        <v>3</v>
      </c>
      <c r="M815" s="1" t="n">
        <v>0</v>
      </c>
      <c r="N815" s="1" t="n">
        <v>543.92</v>
      </c>
      <c r="O815" s="1" t="n">
        <v>0</v>
      </c>
      <c r="Q815" s="4" t="n">
        <v>45701</v>
      </c>
      <c r="R815" s="0" t="n">
        <f aca="false">IF(ISBLANK(F815),"Missing",IFERROR(YEAR(F815),"Missing"))</f>
        <v>2022</v>
      </c>
      <c r="S815" s="0" t="str">
        <f aca="false">IF(ISBLANK(E815),"Missing",IF(E815&lt;6,"0-6mo",IF(E815&lt;12,"6-12mo",IF(E815&lt;24,"12-24mo","24mo+"))))</f>
        <v>24mo+</v>
      </c>
      <c r="T815" s="0" t="n">
        <f aca="false">IF(ISBLANK(C815),0,IF(C815="Month-to-month",2,IF(C815="One year",1,0)))+IF(ISBLANK(I815),0,IF(I815&lt;40,2,IF(I815&lt;55,1,0)))+IF(ISBLANK(M815),0,IF(M815=1,3,0))+IF(ISBLANK(L815),0,IF(L815&gt;=2,1,0))+IF(ISBLANK(E815),0,IF(E815&lt;12,1,0))</f>
        <v>3</v>
      </c>
      <c r="U815" s="0" t="str">
        <f aca="false">IF((ISBLANK(B815)*1+ISBLANK(C815)*1+ISBLANK(D815)*1+ISBLANK(E815)*1+ISBLANK(F815)*1+ISBLANK(I815)*1+ISBLANK(J815)*1+ISBLANK(K815)*1+ISBLANK(L815)*1+ISBLANK(M815)*1+ISBLANK(N815)*1+ISBLANK(O815)*1)&gt;0,"Missing Data","OK")</f>
        <v>OK</v>
      </c>
      <c r="V815" s="0" t="str">
        <f aca="false">IF(T815&gt;=6,"High Risk",IF(T815&gt;=3,"Medium Risk","Low Risk"))</f>
        <v>Medium Risk</v>
      </c>
    </row>
    <row r="816" customFormat="false" ht="12.8" hidden="false" customHeight="false" outlineLevel="0" collapsed="false">
      <c r="A816" s="1" t="s">
        <v>846</v>
      </c>
      <c r="B816" s="1" t="s">
        <v>29</v>
      </c>
      <c r="C816" s="1" t="s">
        <v>24</v>
      </c>
      <c r="D816" s="1" t="n">
        <v>39.37</v>
      </c>
      <c r="E816" s="1" t="n">
        <v>9</v>
      </c>
      <c r="F816" s="4" t="n">
        <v>44912</v>
      </c>
      <c r="G816" s="1" t="s">
        <v>25</v>
      </c>
      <c r="H816" s="1" t="n">
        <v>1</v>
      </c>
      <c r="I816" s="1" t="n">
        <v>73.9</v>
      </c>
      <c r="J816" s="1" t="n">
        <v>20</v>
      </c>
      <c r="K816" s="1" t="n">
        <v>6</v>
      </c>
      <c r="L816" s="1" t="n">
        <v>1</v>
      </c>
      <c r="M816" s="1" t="n">
        <v>1</v>
      </c>
      <c r="N816" s="1" t="n">
        <v>354.33</v>
      </c>
      <c r="O816" s="1" t="n">
        <v>0</v>
      </c>
      <c r="Q816" s="4" t="n">
        <v>45185</v>
      </c>
      <c r="R816" s="0" t="n">
        <f aca="false">IF(ISBLANK(F816),"Missing",IFERROR(YEAR(F816),"Missing"))</f>
        <v>2022</v>
      </c>
      <c r="S816" s="0" t="str">
        <f aca="false">IF(ISBLANK(E816),"Missing",IF(E816&lt;6,"0-6mo",IF(E816&lt;12,"6-12mo",IF(E816&lt;24,"12-24mo","24mo+"))))</f>
        <v>6-12mo</v>
      </c>
      <c r="T816" s="0" t="n">
        <f aca="false">IF(ISBLANK(C816),0,IF(C816="Month-to-month",2,IF(C816="One year",1,0)))+IF(ISBLANK(I816),0,IF(I816&lt;40,2,IF(I816&lt;55,1,0)))+IF(ISBLANK(M816),0,IF(M816=1,3,0))+IF(ISBLANK(L816),0,IF(L816&gt;=2,1,0))+IF(ISBLANK(E816),0,IF(E816&lt;12,1,0))</f>
        <v>6</v>
      </c>
      <c r="U816" s="0" t="str">
        <f aca="false">IF((ISBLANK(B816)*1+ISBLANK(C816)*1+ISBLANK(D816)*1+ISBLANK(E816)*1+ISBLANK(F816)*1+ISBLANK(I816)*1+ISBLANK(J816)*1+ISBLANK(K816)*1+ISBLANK(L816)*1+ISBLANK(M816)*1+ISBLANK(N816)*1+ISBLANK(O816)*1)&gt;0,"Missing Data","OK")</f>
        <v>OK</v>
      </c>
      <c r="V816" s="0" t="str">
        <f aca="false">IF(T816&gt;=6,"High Risk",IF(T816&gt;=3,"Medium Risk","Low Risk"))</f>
        <v>High Risk</v>
      </c>
    </row>
    <row r="817" customFormat="false" ht="12.8" hidden="false" customHeight="false" outlineLevel="0" collapsed="false">
      <c r="A817" s="1" t="s">
        <v>847</v>
      </c>
      <c r="B817" s="1" t="s">
        <v>36</v>
      </c>
      <c r="C817" s="1" t="s">
        <v>51</v>
      </c>
      <c r="D817" s="1" t="n">
        <v>9.56</v>
      </c>
      <c r="E817" s="1" t="n">
        <v>13</v>
      </c>
      <c r="F817" s="4" t="n">
        <v>44913</v>
      </c>
      <c r="G817" s="1" t="s">
        <v>25</v>
      </c>
      <c r="H817" s="1" t="n">
        <v>1</v>
      </c>
      <c r="I817" s="1" t="n">
        <v>58.2</v>
      </c>
      <c r="J817" s="1" t="n">
        <v>19</v>
      </c>
      <c r="K817" s="1" t="n">
        <v>5</v>
      </c>
      <c r="L817" s="1" t="n">
        <v>0</v>
      </c>
      <c r="M817" s="1" t="n">
        <v>0</v>
      </c>
      <c r="N817" s="1" t="n">
        <v>124.28</v>
      </c>
      <c r="O817" s="1" t="n">
        <v>0</v>
      </c>
      <c r="Q817" s="4" t="n">
        <v>45308</v>
      </c>
      <c r="R817" s="0" t="n">
        <f aca="false">IF(ISBLANK(F817),"Missing",IFERROR(YEAR(F817),"Missing"))</f>
        <v>2022</v>
      </c>
      <c r="S817" s="0" t="str">
        <f aca="false">IF(ISBLANK(E817),"Missing",IF(E817&lt;6,"0-6mo",IF(E817&lt;12,"6-12mo",IF(E817&lt;24,"12-24mo","24mo+"))))</f>
        <v>12-24mo</v>
      </c>
      <c r="T817" s="0" t="n">
        <f aca="false">IF(ISBLANK(C817),0,IF(C817="Month-to-month",2,IF(C817="One year",1,0)))+IF(ISBLANK(I817),0,IF(I817&lt;40,2,IF(I817&lt;55,1,0)))+IF(ISBLANK(M817),0,IF(M817=1,3,0))+IF(ISBLANK(L817),0,IF(L817&gt;=2,1,0))+IF(ISBLANK(E817),0,IF(E817&lt;12,1,0))</f>
        <v>0</v>
      </c>
      <c r="U817" s="0" t="str">
        <f aca="false">IF((ISBLANK(B817)*1+ISBLANK(C817)*1+ISBLANK(D817)*1+ISBLANK(E817)*1+ISBLANK(F817)*1+ISBLANK(I817)*1+ISBLANK(J817)*1+ISBLANK(K817)*1+ISBLANK(L817)*1+ISBLANK(M817)*1+ISBLANK(N817)*1+ISBLANK(O817)*1)&gt;0,"Missing Data","OK")</f>
        <v>OK</v>
      </c>
      <c r="V817" s="0" t="str">
        <f aca="false">IF(T817&gt;=6,"High Risk",IF(T817&gt;=3,"Medium Risk","Low Risk"))</f>
        <v>Low Risk</v>
      </c>
    </row>
    <row r="818" customFormat="false" ht="12.8" hidden="false" customHeight="false" outlineLevel="0" collapsed="false">
      <c r="A818" s="1" t="s">
        <v>848</v>
      </c>
      <c r="B818" s="1" t="s">
        <v>36</v>
      </c>
      <c r="C818" s="1" t="s">
        <v>24</v>
      </c>
      <c r="D818" s="1" t="n">
        <v>12.16</v>
      </c>
      <c r="E818" s="1" t="n">
        <v>7</v>
      </c>
      <c r="F818" s="4" t="n">
        <v>44916</v>
      </c>
      <c r="G818" s="1" t="s">
        <v>30</v>
      </c>
      <c r="H818" s="1" t="n">
        <v>0</v>
      </c>
      <c r="I818" s="1" t="n">
        <v>42.6</v>
      </c>
      <c r="J818" s="1" t="n">
        <v>7</v>
      </c>
      <c r="K818" s="1" t="n">
        <v>5</v>
      </c>
      <c r="L818" s="1" t="n">
        <v>3</v>
      </c>
      <c r="M818" s="1" t="n">
        <v>1</v>
      </c>
      <c r="N818" s="1" t="n">
        <v>85.12</v>
      </c>
      <c r="O818" s="1" t="n">
        <v>1</v>
      </c>
      <c r="P818" s="4" t="n">
        <v>45129</v>
      </c>
      <c r="Q818" s="4" t="n">
        <v>45129</v>
      </c>
      <c r="R818" s="0" t="n">
        <f aca="false">IF(ISBLANK(F818),"Missing",IFERROR(YEAR(F818),"Missing"))</f>
        <v>2022</v>
      </c>
      <c r="S818" s="0" t="str">
        <f aca="false">IF(ISBLANK(E818),"Missing",IF(E818&lt;6,"0-6mo",IF(E818&lt;12,"6-12mo",IF(E818&lt;24,"12-24mo","24mo+"))))</f>
        <v>6-12mo</v>
      </c>
      <c r="T818" s="0" t="n">
        <f aca="false">IF(ISBLANK(C818),0,IF(C818="Month-to-month",2,IF(C818="One year",1,0)))+IF(ISBLANK(I818),0,IF(I818&lt;40,2,IF(I818&lt;55,1,0)))+IF(ISBLANK(M818),0,IF(M818=1,3,0))+IF(ISBLANK(L818),0,IF(L818&gt;=2,1,0))+IF(ISBLANK(E818),0,IF(E818&lt;12,1,0))</f>
        <v>8</v>
      </c>
      <c r="U818" s="0" t="str">
        <f aca="false">IF((ISBLANK(B818)*1+ISBLANK(C818)*1+ISBLANK(D818)*1+ISBLANK(E818)*1+ISBLANK(F818)*1+ISBLANK(I818)*1+ISBLANK(J818)*1+ISBLANK(K818)*1+ISBLANK(L818)*1+ISBLANK(M818)*1+ISBLANK(N818)*1+ISBLANK(O818)*1)&gt;0,"Missing Data","OK")</f>
        <v>OK</v>
      </c>
      <c r="V818" s="0" t="str">
        <f aca="false">IF(T818&gt;=6,"High Risk",IF(T818&gt;=3,"Medium Risk","Low Risk"))</f>
        <v>High Risk</v>
      </c>
    </row>
    <row r="819" customFormat="false" ht="12.8" hidden="false" customHeight="false" outlineLevel="0" collapsed="false">
      <c r="A819" s="1" t="s">
        <v>849</v>
      </c>
      <c r="B819" s="1" t="s">
        <v>23</v>
      </c>
      <c r="C819" s="1" t="s">
        <v>24</v>
      </c>
      <c r="D819" s="1" t="n">
        <v>21.13</v>
      </c>
      <c r="E819" s="1" t="n">
        <v>19</v>
      </c>
      <c r="F819" s="4" t="n">
        <v>44916</v>
      </c>
      <c r="G819" s="1" t="s">
        <v>27</v>
      </c>
      <c r="H819" s="1" t="n">
        <v>1</v>
      </c>
      <c r="I819" s="1" t="n">
        <v>38.1</v>
      </c>
      <c r="J819" s="1" t="n">
        <v>14</v>
      </c>
      <c r="K819" s="1" t="n">
        <v>4</v>
      </c>
      <c r="L819" s="1" t="n">
        <v>1</v>
      </c>
      <c r="M819" s="1" t="n">
        <v>0</v>
      </c>
      <c r="N819" s="1" t="n">
        <v>401.47</v>
      </c>
      <c r="O819" s="1" t="n">
        <v>0</v>
      </c>
      <c r="Q819" s="4" t="n">
        <v>45494</v>
      </c>
      <c r="R819" s="0" t="n">
        <f aca="false">IF(ISBLANK(F819),"Missing",IFERROR(YEAR(F819),"Missing"))</f>
        <v>2022</v>
      </c>
      <c r="S819" s="0" t="str">
        <f aca="false">IF(ISBLANK(E819),"Missing",IF(E819&lt;6,"0-6mo",IF(E819&lt;12,"6-12mo",IF(E819&lt;24,"12-24mo","24mo+"))))</f>
        <v>12-24mo</v>
      </c>
      <c r="T819" s="0" t="n">
        <f aca="false">IF(ISBLANK(C819),0,IF(C819="Month-to-month",2,IF(C819="One year",1,0)))+IF(ISBLANK(I819),0,IF(I819&lt;40,2,IF(I819&lt;55,1,0)))+IF(ISBLANK(M819),0,IF(M819=1,3,0))+IF(ISBLANK(L819),0,IF(L819&gt;=2,1,0))+IF(ISBLANK(E819),0,IF(E819&lt;12,1,0))</f>
        <v>4</v>
      </c>
      <c r="U819" s="0" t="str">
        <f aca="false">IF((ISBLANK(B819)*1+ISBLANK(C819)*1+ISBLANK(D819)*1+ISBLANK(E819)*1+ISBLANK(F819)*1+ISBLANK(I819)*1+ISBLANK(J819)*1+ISBLANK(K819)*1+ISBLANK(L819)*1+ISBLANK(M819)*1+ISBLANK(N819)*1+ISBLANK(O819)*1)&gt;0,"Missing Data","OK")</f>
        <v>OK</v>
      </c>
      <c r="V819" s="0" t="str">
        <f aca="false">IF(T819&gt;=6,"High Risk",IF(T819&gt;=3,"Medium Risk","Low Risk"))</f>
        <v>Medium Risk</v>
      </c>
    </row>
    <row r="820" customFormat="false" ht="12.8" hidden="false" customHeight="false" outlineLevel="0" collapsed="false">
      <c r="A820" s="1" t="s">
        <v>850</v>
      </c>
      <c r="B820" s="1" t="s">
        <v>36</v>
      </c>
      <c r="C820" s="1" t="s">
        <v>34</v>
      </c>
      <c r="D820" s="1" t="n">
        <v>9.67</v>
      </c>
      <c r="E820" s="1" t="n">
        <v>11</v>
      </c>
      <c r="F820" s="4" t="n">
        <v>44916</v>
      </c>
      <c r="G820" s="1" t="s">
        <v>25</v>
      </c>
      <c r="H820" s="1" t="n">
        <v>0</v>
      </c>
      <c r="I820" s="1" t="n">
        <v>46.3</v>
      </c>
      <c r="J820" s="1" t="n">
        <v>10</v>
      </c>
      <c r="K820" s="1" t="n">
        <v>5</v>
      </c>
      <c r="L820" s="1" t="n">
        <v>1</v>
      </c>
      <c r="M820" s="1" t="n">
        <v>0</v>
      </c>
      <c r="N820" s="1" t="n">
        <v>106.37</v>
      </c>
      <c r="O820" s="1" t="n">
        <v>0</v>
      </c>
      <c r="Q820" s="4" t="n">
        <v>45250</v>
      </c>
      <c r="R820" s="0" t="n">
        <f aca="false">IF(ISBLANK(F820),"Missing",IFERROR(YEAR(F820),"Missing"))</f>
        <v>2022</v>
      </c>
      <c r="S820" s="0" t="str">
        <f aca="false">IF(ISBLANK(E820),"Missing",IF(E820&lt;6,"0-6mo",IF(E820&lt;12,"6-12mo",IF(E820&lt;24,"12-24mo","24mo+"))))</f>
        <v>6-12mo</v>
      </c>
      <c r="T820" s="0" t="n">
        <f aca="false">IF(ISBLANK(C820),0,IF(C820="Month-to-month",2,IF(C820="One year",1,0)))+IF(ISBLANK(I820),0,IF(I820&lt;40,2,IF(I820&lt;55,1,0)))+IF(ISBLANK(M820),0,IF(M820=1,3,0))+IF(ISBLANK(L820),0,IF(L820&gt;=2,1,0))+IF(ISBLANK(E820),0,IF(E820&lt;12,1,0))</f>
        <v>3</v>
      </c>
      <c r="U820" s="0" t="str">
        <f aca="false">IF((ISBLANK(B820)*1+ISBLANK(C820)*1+ISBLANK(D820)*1+ISBLANK(E820)*1+ISBLANK(F820)*1+ISBLANK(I820)*1+ISBLANK(J820)*1+ISBLANK(K820)*1+ISBLANK(L820)*1+ISBLANK(M820)*1+ISBLANK(N820)*1+ISBLANK(O820)*1)&gt;0,"Missing Data","OK")</f>
        <v>OK</v>
      </c>
      <c r="V820" s="0" t="str">
        <f aca="false">IF(T820&gt;=6,"High Risk",IF(T820&gt;=3,"Medium Risk","Low Risk"))</f>
        <v>Medium Risk</v>
      </c>
    </row>
    <row r="821" customFormat="false" ht="12.8" hidden="false" customHeight="false" outlineLevel="0" collapsed="false">
      <c r="A821" s="1" t="s">
        <v>851</v>
      </c>
      <c r="B821" s="1" t="s">
        <v>23</v>
      </c>
      <c r="C821" s="1" t="s">
        <v>24</v>
      </c>
      <c r="D821" s="1" t="n">
        <v>20.57</v>
      </c>
      <c r="E821" s="1" t="n">
        <v>47</v>
      </c>
      <c r="F821" s="4" t="n">
        <v>44917</v>
      </c>
      <c r="G821" s="1" t="s">
        <v>25</v>
      </c>
      <c r="H821" s="1" t="n">
        <v>1</v>
      </c>
      <c r="I821" s="1" t="n">
        <v>81.9</v>
      </c>
      <c r="J821" s="1" t="n">
        <v>25</v>
      </c>
      <c r="K821" s="1" t="n">
        <v>7</v>
      </c>
      <c r="L821" s="1" t="n">
        <v>0</v>
      </c>
      <c r="M821" s="1" t="n">
        <v>0</v>
      </c>
      <c r="N821" s="1" t="n">
        <v>966.79</v>
      </c>
      <c r="O821" s="1" t="n">
        <v>0</v>
      </c>
      <c r="Q821" s="4" t="n">
        <v>46293</v>
      </c>
      <c r="R821" s="0" t="n">
        <f aca="false">IF(ISBLANK(F821),"Missing",IFERROR(YEAR(F821),"Missing"))</f>
        <v>2022</v>
      </c>
      <c r="S821" s="0" t="str">
        <f aca="false">IF(ISBLANK(E821),"Missing",IF(E821&lt;6,"0-6mo",IF(E821&lt;12,"6-12mo",IF(E821&lt;24,"12-24mo","24mo+"))))</f>
        <v>24mo+</v>
      </c>
      <c r="T821" s="0" t="n">
        <f aca="false">IF(ISBLANK(C821),0,IF(C821="Month-to-month",2,IF(C821="One year",1,0)))+IF(ISBLANK(I821),0,IF(I821&lt;40,2,IF(I821&lt;55,1,0)))+IF(ISBLANK(M821),0,IF(M821=1,3,0))+IF(ISBLANK(L821),0,IF(L821&gt;=2,1,0))+IF(ISBLANK(E821),0,IF(E821&lt;12,1,0))</f>
        <v>2</v>
      </c>
      <c r="U821" s="0" t="str">
        <f aca="false">IF((ISBLANK(B821)*1+ISBLANK(C821)*1+ISBLANK(D821)*1+ISBLANK(E821)*1+ISBLANK(F821)*1+ISBLANK(I821)*1+ISBLANK(J821)*1+ISBLANK(K821)*1+ISBLANK(L821)*1+ISBLANK(M821)*1+ISBLANK(N821)*1+ISBLANK(O821)*1)&gt;0,"Missing Data","OK")</f>
        <v>OK</v>
      </c>
      <c r="V821" s="0" t="str">
        <f aca="false">IF(T821&gt;=6,"High Risk",IF(T821&gt;=3,"Medium Risk","Low Risk"))</f>
        <v>Low Risk</v>
      </c>
    </row>
    <row r="822" customFormat="false" ht="12.8" hidden="false" customHeight="false" outlineLevel="0" collapsed="false">
      <c r="A822" s="1" t="s">
        <v>852</v>
      </c>
      <c r="B822" s="1" t="s">
        <v>36</v>
      </c>
      <c r="C822" s="1" t="s">
        <v>34</v>
      </c>
      <c r="D822" s="1" t="n">
        <v>10</v>
      </c>
      <c r="E822" s="1" t="n">
        <v>14</v>
      </c>
      <c r="F822" s="4" t="n">
        <v>44917</v>
      </c>
      <c r="G822" s="1" t="s">
        <v>25</v>
      </c>
      <c r="H822" s="1" t="n">
        <v>0</v>
      </c>
      <c r="I822" s="1" t="n">
        <v>20.2</v>
      </c>
      <c r="J822" s="1" t="n">
        <v>3</v>
      </c>
      <c r="K822" s="1" t="n">
        <v>3</v>
      </c>
      <c r="L822" s="1" t="n">
        <v>1</v>
      </c>
      <c r="M822" s="1" t="n">
        <v>0</v>
      </c>
      <c r="N822" s="1" t="n">
        <v>140</v>
      </c>
      <c r="O822" s="1" t="n">
        <v>0</v>
      </c>
      <c r="Q822" s="4" t="n">
        <v>45343</v>
      </c>
      <c r="R822" s="0" t="n">
        <f aca="false">IF(ISBLANK(F822),"Missing",IFERROR(YEAR(F822),"Missing"))</f>
        <v>2022</v>
      </c>
      <c r="S822" s="0" t="str">
        <f aca="false">IF(ISBLANK(E822),"Missing",IF(E822&lt;6,"0-6mo",IF(E822&lt;12,"6-12mo",IF(E822&lt;24,"12-24mo","24mo+"))))</f>
        <v>12-24mo</v>
      </c>
      <c r="T822" s="0" t="n">
        <f aca="false">IF(ISBLANK(C822),0,IF(C822="Month-to-month",2,IF(C822="One year",1,0)))+IF(ISBLANK(I822),0,IF(I822&lt;40,2,IF(I822&lt;55,1,0)))+IF(ISBLANK(M822),0,IF(M822=1,3,0))+IF(ISBLANK(L822),0,IF(L822&gt;=2,1,0))+IF(ISBLANK(E822),0,IF(E822&lt;12,1,0))</f>
        <v>3</v>
      </c>
      <c r="U822" s="0" t="str">
        <f aca="false">IF((ISBLANK(B822)*1+ISBLANK(C822)*1+ISBLANK(D822)*1+ISBLANK(E822)*1+ISBLANK(F822)*1+ISBLANK(I822)*1+ISBLANK(J822)*1+ISBLANK(K822)*1+ISBLANK(L822)*1+ISBLANK(M822)*1+ISBLANK(N822)*1+ISBLANK(O822)*1)&gt;0,"Missing Data","OK")</f>
        <v>OK</v>
      </c>
      <c r="V822" s="0" t="str">
        <f aca="false">IF(T822&gt;=6,"High Risk",IF(T822&gt;=3,"Medium Risk","Low Risk"))</f>
        <v>Medium Risk</v>
      </c>
    </row>
    <row r="823" customFormat="false" ht="12.8" hidden="false" customHeight="false" outlineLevel="0" collapsed="false">
      <c r="A823" s="1" t="s">
        <v>853</v>
      </c>
      <c r="B823" s="1" t="s">
        <v>29</v>
      </c>
      <c r="C823" s="1" t="s">
        <v>24</v>
      </c>
      <c r="D823" s="1" t="n">
        <v>39.67</v>
      </c>
      <c r="E823" s="1" t="n">
        <v>0</v>
      </c>
      <c r="F823" s="4" t="n">
        <v>44920</v>
      </c>
      <c r="G823" s="1" t="s">
        <v>25</v>
      </c>
      <c r="H823" s="1" t="n">
        <v>1</v>
      </c>
      <c r="I823" s="1" t="n">
        <v>67.2</v>
      </c>
      <c r="J823" s="1" t="n">
        <v>19</v>
      </c>
      <c r="K823" s="1" t="n">
        <v>7</v>
      </c>
      <c r="L823" s="1" t="n">
        <v>0</v>
      </c>
      <c r="M823" s="1" t="n">
        <v>0</v>
      </c>
      <c r="N823" s="1" t="n">
        <v>0</v>
      </c>
      <c r="O823" s="1" t="n">
        <v>0</v>
      </c>
      <c r="Q823" s="4" t="n">
        <v>44920</v>
      </c>
      <c r="R823" s="0" t="n">
        <f aca="false">IF(ISBLANK(F823),"Missing",IFERROR(YEAR(F823),"Missing"))</f>
        <v>2022</v>
      </c>
      <c r="S823" s="0" t="str">
        <f aca="false">IF(ISBLANK(E823),"Missing",IF(E823&lt;6,"0-6mo",IF(E823&lt;12,"6-12mo",IF(E823&lt;24,"12-24mo","24mo+"))))</f>
        <v>0-6mo</v>
      </c>
      <c r="T823" s="0" t="n">
        <f aca="false">IF(ISBLANK(C823),0,IF(C823="Month-to-month",2,IF(C823="One year",1,0)))+IF(ISBLANK(I823),0,IF(I823&lt;40,2,IF(I823&lt;55,1,0)))+IF(ISBLANK(M823),0,IF(M823=1,3,0))+IF(ISBLANK(L823),0,IF(L823&gt;=2,1,0))+IF(ISBLANK(E823),0,IF(E823&lt;12,1,0))</f>
        <v>3</v>
      </c>
      <c r="U823" s="0" t="str">
        <f aca="false">IF((ISBLANK(B823)*1+ISBLANK(C823)*1+ISBLANK(D823)*1+ISBLANK(E823)*1+ISBLANK(F823)*1+ISBLANK(I823)*1+ISBLANK(J823)*1+ISBLANK(K823)*1+ISBLANK(L823)*1+ISBLANK(M823)*1+ISBLANK(N823)*1+ISBLANK(O823)*1)&gt;0,"Missing Data","OK")</f>
        <v>OK</v>
      </c>
      <c r="V823" s="0" t="str">
        <f aca="false">IF(T823&gt;=6,"High Risk",IF(T823&gt;=3,"Medium Risk","Low Risk"))</f>
        <v>Medium Risk</v>
      </c>
    </row>
    <row r="824" customFormat="false" ht="12.8" hidden="false" customHeight="false" outlineLevel="0" collapsed="false">
      <c r="A824" s="1" t="s">
        <v>854</v>
      </c>
      <c r="B824" s="1" t="s">
        <v>36</v>
      </c>
      <c r="C824" s="1" t="s">
        <v>24</v>
      </c>
      <c r="D824" s="1" t="n">
        <v>10.06</v>
      </c>
      <c r="E824" s="1" t="n">
        <v>7</v>
      </c>
      <c r="F824" s="4" t="n">
        <v>44920</v>
      </c>
      <c r="G824" s="1" t="s">
        <v>39</v>
      </c>
      <c r="H824" s="1" t="n">
        <v>0</v>
      </c>
      <c r="I824" s="1" t="n">
        <v>38.8</v>
      </c>
      <c r="J824" s="1" t="n">
        <v>11</v>
      </c>
      <c r="K824" s="1" t="n">
        <v>0</v>
      </c>
      <c r="L824" s="1" t="n">
        <v>1</v>
      </c>
      <c r="M824" s="1" t="n">
        <v>0</v>
      </c>
      <c r="N824" s="1" t="n">
        <v>70.42</v>
      </c>
      <c r="O824" s="1" t="n">
        <v>0</v>
      </c>
      <c r="Q824" s="4" t="n">
        <v>45133</v>
      </c>
      <c r="R824" s="0" t="n">
        <f aca="false">IF(ISBLANK(F824),"Missing",IFERROR(YEAR(F824),"Missing"))</f>
        <v>2022</v>
      </c>
      <c r="S824" s="0" t="str">
        <f aca="false">IF(ISBLANK(E824),"Missing",IF(E824&lt;6,"0-6mo",IF(E824&lt;12,"6-12mo",IF(E824&lt;24,"12-24mo","24mo+"))))</f>
        <v>6-12mo</v>
      </c>
      <c r="T824" s="0" t="n">
        <f aca="false">IF(ISBLANK(C824),0,IF(C824="Month-to-month",2,IF(C824="One year",1,0)))+IF(ISBLANK(I824),0,IF(I824&lt;40,2,IF(I824&lt;55,1,0)))+IF(ISBLANK(M824),0,IF(M824=1,3,0))+IF(ISBLANK(L824),0,IF(L824&gt;=2,1,0))+IF(ISBLANK(E824),0,IF(E824&lt;12,1,0))</f>
        <v>5</v>
      </c>
      <c r="U824" s="0" t="str">
        <f aca="false">IF((ISBLANK(B824)*1+ISBLANK(C824)*1+ISBLANK(D824)*1+ISBLANK(E824)*1+ISBLANK(F824)*1+ISBLANK(I824)*1+ISBLANK(J824)*1+ISBLANK(K824)*1+ISBLANK(L824)*1+ISBLANK(M824)*1+ISBLANK(N824)*1+ISBLANK(O824)*1)&gt;0,"Missing Data","OK")</f>
        <v>OK</v>
      </c>
      <c r="V824" s="0" t="str">
        <f aca="false">IF(T824&gt;=6,"High Risk",IF(T824&gt;=3,"Medium Risk","Low Risk"))</f>
        <v>Medium Risk</v>
      </c>
    </row>
    <row r="825" customFormat="false" ht="12.8" hidden="false" customHeight="false" outlineLevel="0" collapsed="false">
      <c r="A825" s="1" t="s">
        <v>855</v>
      </c>
      <c r="B825" s="1" t="s">
        <v>29</v>
      </c>
      <c r="C825" s="1" t="s">
        <v>24</v>
      </c>
      <c r="D825" s="1" t="n">
        <v>41.51</v>
      </c>
      <c r="E825" s="1" t="n">
        <v>0</v>
      </c>
      <c r="F825" s="4" t="n">
        <v>44923</v>
      </c>
      <c r="G825" s="1" t="s">
        <v>39</v>
      </c>
      <c r="H825" s="1" t="n">
        <v>0</v>
      </c>
      <c r="I825" s="1" t="n">
        <v>53.4</v>
      </c>
      <c r="J825" s="1" t="n">
        <v>8</v>
      </c>
      <c r="K825" s="1" t="n">
        <v>4</v>
      </c>
      <c r="L825" s="1" t="n">
        <v>2</v>
      </c>
      <c r="M825" s="1" t="n">
        <v>0</v>
      </c>
      <c r="N825" s="1" t="n">
        <v>0</v>
      </c>
      <c r="O825" s="1" t="n">
        <v>0</v>
      </c>
      <c r="Q825" s="4" t="n">
        <v>44923</v>
      </c>
      <c r="R825" s="0" t="n">
        <f aca="false">IF(ISBLANK(F825),"Missing",IFERROR(YEAR(F825),"Missing"))</f>
        <v>2022</v>
      </c>
      <c r="S825" s="0" t="str">
        <f aca="false">IF(ISBLANK(E825),"Missing",IF(E825&lt;6,"0-6mo",IF(E825&lt;12,"6-12mo",IF(E825&lt;24,"12-24mo","24mo+"))))</f>
        <v>0-6mo</v>
      </c>
      <c r="T825" s="0" t="n">
        <f aca="false">IF(ISBLANK(C825),0,IF(C825="Month-to-month",2,IF(C825="One year",1,0)))+IF(ISBLANK(I825),0,IF(I825&lt;40,2,IF(I825&lt;55,1,0)))+IF(ISBLANK(M825),0,IF(M825=1,3,0))+IF(ISBLANK(L825),0,IF(L825&gt;=2,1,0))+IF(ISBLANK(E825),0,IF(E825&lt;12,1,0))</f>
        <v>5</v>
      </c>
      <c r="U825" s="0" t="str">
        <f aca="false">IF((ISBLANK(B825)*1+ISBLANK(C825)*1+ISBLANK(D825)*1+ISBLANK(E825)*1+ISBLANK(F825)*1+ISBLANK(I825)*1+ISBLANK(J825)*1+ISBLANK(K825)*1+ISBLANK(L825)*1+ISBLANK(M825)*1+ISBLANK(N825)*1+ISBLANK(O825)*1)&gt;0,"Missing Data","OK")</f>
        <v>OK</v>
      </c>
      <c r="V825" s="0" t="str">
        <f aca="false">IF(T825&gt;=6,"High Risk",IF(T825&gt;=3,"Medium Risk","Low Risk"))</f>
        <v>Medium Risk</v>
      </c>
    </row>
    <row r="826" customFormat="false" ht="12.8" hidden="false" customHeight="false" outlineLevel="0" collapsed="false">
      <c r="A826" s="1" t="s">
        <v>856</v>
      </c>
      <c r="B826" s="1" t="s">
        <v>29</v>
      </c>
      <c r="C826" s="1" t="s">
        <v>34</v>
      </c>
      <c r="D826" s="1" t="n">
        <v>41.18</v>
      </c>
      <c r="E826" s="1" t="n">
        <v>24</v>
      </c>
      <c r="F826" s="4" t="n">
        <v>44930</v>
      </c>
      <c r="G826" s="1" t="s">
        <v>39</v>
      </c>
      <c r="H826" s="1" t="n">
        <v>1</v>
      </c>
      <c r="I826" s="1" t="n">
        <v>45.9</v>
      </c>
      <c r="J826" s="1" t="n">
        <v>15</v>
      </c>
      <c r="K826" s="1" t="n">
        <v>6</v>
      </c>
      <c r="L826" s="1" t="n">
        <v>2</v>
      </c>
      <c r="M826" s="1" t="n">
        <v>0</v>
      </c>
      <c r="N826" s="1" t="n">
        <v>988.32</v>
      </c>
      <c r="O826" s="1" t="n">
        <v>0</v>
      </c>
      <c r="Q826" s="4" t="n">
        <v>45660</v>
      </c>
      <c r="R826" s="0" t="n">
        <f aca="false">IF(ISBLANK(F826),"Missing",IFERROR(YEAR(F826),"Missing"))</f>
        <v>2023</v>
      </c>
      <c r="S826" s="0" t="str">
        <f aca="false">IF(ISBLANK(E826),"Missing",IF(E826&lt;6,"0-6mo",IF(E826&lt;12,"6-12mo",IF(E826&lt;24,"12-24mo","24mo+"))))</f>
        <v>24mo+</v>
      </c>
      <c r="T826" s="0" t="n">
        <f aca="false">IF(ISBLANK(C826),0,IF(C826="Month-to-month",2,IF(C826="One year",1,0)))+IF(ISBLANK(I826),0,IF(I826&lt;40,2,IF(I826&lt;55,1,0)))+IF(ISBLANK(M826),0,IF(M826=1,3,0))+IF(ISBLANK(L826),0,IF(L826&gt;=2,1,0))+IF(ISBLANK(E826),0,IF(E826&lt;12,1,0))</f>
        <v>3</v>
      </c>
      <c r="U826" s="0" t="str">
        <f aca="false">IF((ISBLANK(B826)*1+ISBLANK(C826)*1+ISBLANK(D826)*1+ISBLANK(E826)*1+ISBLANK(F826)*1+ISBLANK(I826)*1+ISBLANK(J826)*1+ISBLANK(K826)*1+ISBLANK(L826)*1+ISBLANK(M826)*1+ISBLANK(N826)*1+ISBLANK(O826)*1)&gt;0,"Missing Data","OK")</f>
        <v>OK</v>
      </c>
      <c r="V826" s="0" t="str">
        <f aca="false">IF(T826&gt;=6,"High Risk",IF(T826&gt;=3,"Medium Risk","Low Risk"))</f>
        <v>Medium Risk</v>
      </c>
    </row>
    <row r="827" customFormat="false" ht="12.8" hidden="false" customHeight="false" outlineLevel="0" collapsed="false">
      <c r="A827" s="1" t="s">
        <v>857</v>
      </c>
      <c r="B827" s="1" t="s">
        <v>36</v>
      </c>
      <c r="C827" s="1" t="s">
        <v>34</v>
      </c>
      <c r="D827" s="1" t="n">
        <v>9.64</v>
      </c>
      <c r="E827" s="1" t="n">
        <v>15</v>
      </c>
      <c r="F827" s="4" t="n">
        <v>44933</v>
      </c>
      <c r="G827" s="1" t="s">
        <v>39</v>
      </c>
      <c r="H827" s="1" t="n">
        <v>1</v>
      </c>
      <c r="I827" s="1" t="n">
        <v>64.3</v>
      </c>
      <c r="J827" s="1" t="n">
        <v>20</v>
      </c>
      <c r="K827" s="1" t="n">
        <v>6</v>
      </c>
      <c r="L827" s="1" t="n">
        <v>0</v>
      </c>
      <c r="M827" s="1" t="n">
        <v>0</v>
      </c>
      <c r="N827" s="1" t="n">
        <v>144.6</v>
      </c>
      <c r="O827" s="1" t="n">
        <v>0</v>
      </c>
      <c r="Q827" s="4" t="n">
        <v>45389</v>
      </c>
      <c r="R827" s="0" t="n">
        <f aca="false">IF(ISBLANK(F827),"Missing",IFERROR(YEAR(F827),"Missing"))</f>
        <v>2023</v>
      </c>
      <c r="S827" s="0" t="str">
        <f aca="false">IF(ISBLANK(E827),"Missing",IF(E827&lt;6,"0-6mo",IF(E827&lt;12,"6-12mo",IF(E827&lt;24,"12-24mo","24mo+"))))</f>
        <v>12-24mo</v>
      </c>
      <c r="T827" s="0" t="n">
        <f aca="false">IF(ISBLANK(C827),0,IF(C827="Month-to-month",2,IF(C827="One year",1,0)))+IF(ISBLANK(I827),0,IF(I827&lt;40,2,IF(I827&lt;55,1,0)))+IF(ISBLANK(M827),0,IF(M827=1,3,0))+IF(ISBLANK(L827),0,IF(L827&gt;=2,1,0))+IF(ISBLANK(E827),0,IF(E827&lt;12,1,0))</f>
        <v>1</v>
      </c>
      <c r="U827" s="0" t="str">
        <f aca="false">IF((ISBLANK(B827)*1+ISBLANK(C827)*1+ISBLANK(D827)*1+ISBLANK(E827)*1+ISBLANK(F827)*1+ISBLANK(I827)*1+ISBLANK(J827)*1+ISBLANK(K827)*1+ISBLANK(L827)*1+ISBLANK(M827)*1+ISBLANK(N827)*1+ISBLANK(O827)*1)&gt;0,"Missing Data","OK")</f>
        <v>OK</v>
      </c>
      <c r="V827" s="0" t="str">
        <f aca="false">IF(T827&gt;=6,"High Risk",IF(T827&gt;=3,"Medium Risk","Low Risk"))</f>
        <v>Low Risk</v>
      </c>
    </row>
    <row r="828" customFormat="false" ht="12.8" hidden="false" customHeight="false" outlineLevel="0" collapsed="false">
      <c r="A828" s="1" t="s">
        <v>858</v>
      </c>
      <c r="B828" s="1" t="s">
        <v>23</v>
      </c>
      <c r="C828" s="1" t="s">
        <v>24</v>
      </c>
      <c r="D828" s="1" t="n">
        <v>19.41</v>
      </c>
      <c r="E828" s="1" t="n">
        <v>12</v>
      </c>
      <c r="F828" s="4" t="n">
        <v>44935</v>
      </c>
      <c r="G828" s="1" t="s">
        <v>25</v>
      </c>
      <c r="H828" s="1" t="n">
        <v>1</v>
      </c>
      <c r="I828" s="1" t="n">
        <v>76.3</v>
      </c>
      <c r="J828" s="1" t="n">
        <v>28</v>
      </c>
      <c r="K828" s="1" t="n">
        <v>10</v>
      </c>
      <c r="L828" s="1" t="n">
        <v>4</v>
      </c>
      <c r="M828" s="1" t="n">
        <v>0</v>
      </c>
      <c r="N828" s="1" t="n">
        <v>232.92</v>
      </c>
      <c r="O828" s="1" t="n">
        <v>0</v>
      </c>
      <c r="Q828" s="4" t="n">
        <v>45300</v>
      </c>
      <c r="R828" s="0" t="n">
        <f aca="false">IF(ISBLANK(F828),"Missing",IFERROR(YEAR(F828),"Missing"))</f>
        <v>2023</v>
      </c>
      <c r="S828" s="0" t="str">
        <f aca="false">IF(ISBLANK(E828),"Missing",IF(E828&lt;6,"0-6mo",IF(E828&lt;12,"6-12mo",IF(E828&lt;24,"12-24mo","24mo+"))))</f>
        <v>12-24mo</v>
      </c>
      <c r="T828" s="0" t="n">
        <f aca="false">IF(ISBLANK(C828),0,IF(C828="Month-to-month",2,IF(C828="One year",1,0)))+IF(ISBLANK(I828),0,IF(I828&lt;40,2,IF(I828&lt;55,1,0)))+IF(ISBLANK(M828),0,IF(M828=1,3,0))+IF(ISBLANK(L828),0,IF(L828&gt;=2,1,0))+IF(ISBLANK(E828),0,IF(E828&lt;12,1,0))</f>
        <v>3</v>
      </c>
      <c r="U828" s="0" t="str">
        <f aca="false">IF((ISBLANK(B828)*1+ISBLANK(C828)*1+ISBLANK(D828)*1+ISBLANK(E828)*1+ISBLANK(F828)*1+ISBLANK(I828)*1+ISBLANK(J828)*1+ISBLANK(K828)*1+ISBLANK(L828)*1+ISBLANK(M828)*1+ISBLANK(N828)*1+ISBLANK(O828)*1)&gt;0,"Missing Data","OK")</f>
        <v>OK</v>
      </c>
      <c r="V828" s="0" t="str">
        <f aca="false">IF(T828&gt;=6,"High Risk",IF(T828&gt;=3,"Medium Risk","Low Risk"))</f>
        <v>Medium Risk</v>
      </c>
    </row>
    <row r="829" customFormat="false" ht="12.8" hidden="false" customHeight="false" outlineLevel="0" collapsed="false">
      <c r="A829" s="1" t="s">
        <v>859</v>
      </c>
      <c r="B829" s="1" t="s">
        <v>36</v>
      </c>
      <c r="C829" s="1" t="s">
        <v>24</v>
      </c>
      <c r="D829" s="1" t="n">
        <v>9.23</v>
      </c>
      <c r="E829" s="1" t="n">
        <v>12</v>
      </c>
      <c r="F829" s="4" t="n">
        <v>44935</v>
      </c>
      <c r="G829" s="1" t="s">
        <v>39</v>
      </c>
      <c r="H829" s="1" t="n">
        <v>0</v>
      </c>
      <c r="I829" s="1" t="n">
        <v>51.7</v>
      </c>
      <c r="J829" s="1" t="n">
        <v>14</v>
      </c>
      <c r="K829" s="1" t="n">
        <v>6</v>
      </c>
      <c r="L829" s="1" t="n">
        <v>0</v>
      </c>
      <c r="M829" s="1" t="n">
        <v>0</v>
      </c>
      <c r="N829" s="1" t="n">
        <v>110.76</v>
      </c>
      <c r="O829" s="1" t="n">
        <v>0</v>
      </c>
      <c r="Q829" s="4" t="n">
        <v>45300</v>
      </c>
      <c r="R829" s="0" t="n">
        <f aca="false">IF(ISBLANK(F829),"Missing",IFERROR(YEAR(F829),"Missing"))</f>
        <v>2023</v>
      </c>
      <c r="S829" s="0" t="str">
        <f aca="false">IF(ISBLANK(E829),"Missing",IF(E829&lt;6,"0-6mo",IF(E829&lt;12,"6-12mo",IF(E829&lt;24,"12-24mo","24mo+"))))</f>
        <v>12-24mo</v>
      </c>
      <c r="T829" s="0" t="n">
        <f aca="false">IF(ISBLANK(C829),0,IF(C829="Month-to-month",2,IF(C829="One year",1,0)))+IF(ISBLANK(I829),0,IF(I829&lt;40,2,IF(I829&lt;55,1,0)))+IF(ISBLANK(M829),0,IF(M829=1,3,0))+IF(ISBLANK(L829),0,IF(L829&gt;=2,1,0))+IF(ISBLANK(E829),0,IF(E829&lt;12,1,0))</f>
        <v>3</v>
      </c>
      <c r="U829" s="0" t="str">
        <f aca="false">IF((ISBLANK(B829)*1+ISBLANK(C829)*1+ISBLANK(D829)*1+ISBLANK(E829)*1+ISBLANK(F829)*1+ISBLANK(I829)*1+ISBLANK(J829)*1+ISBLANK(K829)*1+ISBLANK(L829)*1+ISBLANK(M829)*1+ISBLANK(N829)*1+ISBLANK(O829)*1)&gt;0,"Missing Data","OK")</f>
        <v>OK</v>
      </c>
      <c r="V829" s="0" t="str">
        <f aca="false">IF(T829&gt;=6,"High Risk",IF(T829&gt;=3,"Medium Risk","Low Risk"))</f>
        <v>Medium Risk</v>
      </c>
    </row>
    <row r="830" customFormat="false" ht="12.8" hidden="false" customHeight="false" outlineLevel="0" collapsed="false">
      <c r="A830" s="1" t="s">
        <v>860</v>
      </c>
      <c r="B830" s="1" t="s">
        <v>23</v>
      </c>
      <c r="C830" s="1" t="s">
        <v>24</v>
      </c>
      <c r="D830" s="1" t="n">
        <v>20.93</v>
      </c>
      <c r="E830" s="1" t="n">
        <v>38</v>
      </c>
      <c r="F830" s="4" t="n">
        <v>44936</v>
      </c>
      <c r="G830" s="1" t="s">
        <v>39</v>
      </c>
      <c r="H830" s="1" t="n">
        <v>1</v>
      </c>
      <c r="I830" s="1" t="n">
        <v>0</v>
      </c>
      <c r="J830" s="1" t="n">
        <v>0</v>
      </c>
      <c r="K830" s="1" t="n">
        <v>0</v>
      </c>
      <c r="L830" s="1" t="n">
        <v>11</v>
      </c>
      <c r="M830" s="1" t="n">
        <v>0</v>
      </c>
      <c r="N830" s="1" t="n">
        <v>795.34</v>
      </c>
      <c r="O830" s="1" t="n">
        <v>1</v>
      </c>
      <c r="P830" s="4" t="n">
        <v>46092</v>
      </c>
      <c r="Q830" s="4" t="n">
        <v>46092</v>
      </c>
      <c r="R830" s="0" t="n">
        <f aca="false">IF(ISBLANK(F830),"Missing",IFERROR(YEAR(F830),"Missing"))</f>
        <v>2023</v>
      </c>
      <c r="S830" s="0" t="str">
        <f aca="false">IF(ISBLANK(E830),"Missing",IF(E830&lt;6,"0-6mo",IF(E830&lt;12,"6-12mo",IF(E830&lt;24,"12-24mo","24mo+"))))</f>
        <v>24mo+</v>
      </c>
      <c r="T830" s="0" t="n">
        <f aca="false">IF(ISBLANK(C830),0,IF(C830="Month-to-month",2,IF(C830="One year",1,0)))+IF(ISBLANK(I830),0,IF(I830&lt;40,2,IF(I830&lt;55,1,0)))+IF(ISBLANK(M830),0,IF(M830=1,3,0))+IF(ISBLANK(L830),0,IF(L830&gt;=2,1,0))+IF(ISBLANK(E830),0,IF(E830&lt;12,1,0))</f>
        <v>5</v>
      </c>
      <c r="U830" s="0" t="str">
        <f aca="false">IF((ISBLANK(B830)*1+ISBLANK(C830)*1+ISBLANK(D830)*1+ISBLANK(E830)*1+ISBLANK(F830)*1+ISBLANK(I830)*1+ISBLANK(J830)*1+ISBLANK(K830)*1+ISBLANK(L830)*1+ISBLANK(M830)*1+ISBLANK(N830)*1+ISBLANK(O830)*1)&gt;0,"Missing Data","OK")</f>
        <v>OK</v>
      </c>
      <c r="V830" s="0" t="str">
        <f aca="false">IF(T830&gt;=6,"High Risk",IF(T830&gt;=3,"Medium Risk","Low Risk"))</f>
        <v>Medium Risk</v>
      </c>
    </row>
    <row r="831" customFormat="false" ht="12.8" hidden="false" customHeight="false" outlineLevel="0" collapsed="false">
      <c r="A831" s="1" t="s">
        <v>861</v>
      </c>
      <c r="B831" s="1" t="s">
        <v>36</v>
      </c>
      <c r="C831" s="1" t="s">
        <v>34</v>
      </c>
      <c r="D831" s="1" t="n">
        <v>10.51</v>
      </c>
      <c r="E831" s="1" t="n">
        <v>33</v>
      </c>
      <c r="F831" s="4" t="n">
        <v>44936</v>
      </c>
      <c r="G831" s="1" t="s">
        <v>25</v>
      </c>
      <c r="H831" s="1" t="n">
        <v>0</v>
      </c>
      <c r="I831" s="1" t="n">
        <v>58.8</v>
      </c>
      <c r="J831" s="1" t="n">
        <v>21</v>
      </c>
      <c r="K831" s="1" t="n">
        <v>7</v>
      </c>
      <c r="L831" s="1" t="n">
        <v>2</v>
      </c>
      <c r="M831" s="1" t="n">
        <v>0</v>
      </c>
      <c r="N831" s="1" t="n">
        <v>346.83</v>
      </c>
      <c r="O831" s="1" t="n">
        <v>0</v>
      </c>
      <c r="Q831" s="4" t="n">
        <v>45940</v>
      </c>
      <c r="R831" s="0" t="n">
        <f aca="false">IF(ISBLANK(F831),"Missing",IFERROR(YEAR(F831),"Missing"))</f>
        <v>2023</v>
      </c>
      <c r="S831" s="0" t="str">
        <f aca="false">IF(ISBLANK(E831),"Missing",IF(E831&lt;6,"0-6mo",IF(E831&lt;12,"6-12mo",IF(E831&lt;24,"12-24mo","24mo+"))))</f>
        <v>24mo+</v>
      </c>
      <c r="T831" s="0" t="n">
        <f aca="false">IF(ISBLANK(C831),0,IF(C831="Month-to-month",2,IF(C831="One year",1,0)))+IF(ISBLANK(I831),0,IF(I831&lt;40,2,IF(I831&lt;55,1,0)))+IF(ISBLANK(M831),0,IF(M831=1,3,0))+IF(ISBLANK(L831),0,IF(L831&gt;=2,1,0))+IF(ISBLANK(E831),0,IF(E831&lt;12,1,0))</f>
        <v>2</v>
      </c>
      <c r="U831" s="0" t="str">
        <f aca="false">IF((ISBLANK(B831)*1+ISBLANK(C831)*1+ISBLANK(D831)*1+ISBLANK(E831)*1+ISBLANK(F831)*1+ISBLANK(I831)*1+ISBLANK(J831)*1+ISBLANK(K831)*1+ISBLANK(L831)*1+ISBLANK(M831)*1+ISBLANK(N831)*1+ISBLANK(O831)*1)&gt;0,"Missing Data","OK")</f>
        <v>OK</v>
      </c>
      <c r="V831" s="0" t="str">
        <f aca="false">IF(T831&gt;=6,"High Risk",IF(T831&gt;=3,"Medium Risk","Low Risk"))</f>
        <v>Low Risk</v>
      </c>
    </row>
    <row r="832" customFormat="false" ht="12.8" hidden="false" customHeight="false" outlineLevel="0" collapsed="false">
      <c r="A832" s="1" t="s">
        <v>862</v>
      </c>
      <c r="B832" s="1" t="s">
        <v>29</v>
      </c>
      <c r="C832" s="1" t="s">
        <v>24</v>
      </c>
      <c r="D832" s="1" t="n">
        <v>38.74</v>
      </c>
      <c r="E832" s="1" t="n">
        <v>72</v>
      </c>
      <c r="F832" s="4" t="n">
        <v>44937</v>
      </c>
      <c r="G832" s="1" t="s">
        <v>25</v>
      </c>
      <c r="H832" s="1" t="n">
        <v>0</v>
      </c>
      <c r="I832" s="1" t="n">
        <v>61.7</v>
      </c>
      <c r="J832" s="1" t="n">
        <v>22</v>
      </c>
      <c r="K832" s="1" t="n">
        <v>5</v>
      </c>
      <c r="L832" s="1" t="n">
        <v>0</v>
      </c>
      <c r="M832" s="1" t="n">
        <v>0</v>
      </c>
      <c r="N832" s="1" t="n">
        <v>2789.28</v>
      </c>
      <c r="O832" s="1" t="n">
        <v>1</v>
      </c>
      <c r="P832" s="4" t="n">
        <v>46293</v>
      </c>
      <c r="Q832" s="4" t="n">
        <v>46293</v>
      </c>
      <c r="R832" s="0" t="n">
        <f aca="false">IF(ISBLANK(F832),"Missing",IFERROR(YEAR(F832),"Missing"))</f>
        <v>2023</v>
      </c>
      <c r="S832" s="0" t="str">
        <f aca="false">IF(ISBLANK(E832),"Missing",IF(E832&lt;6,"0-6mo",IF(E832&lt;12,"6-12mo",IF(E832&lt;24,"12-24mo","24mo+"))))</f>
        <v>24mo+</v>
      </c>
      <c r="T832" s="0" t="n">
        <f aca="false">IF(ISBLANK(C832),0,IF(C832="Month-to-month",2,IF(C832="One year",1,0)))+IF(ISBLANK(I832),0,IF(I832&lt;40,2,IF(I832&lt;55,1,0)))+IF(ISBLANK(M832),0,IF(M832=1,3,0))+IF(ISBLANK(L832),0,IF(L832&gt;=2,1,0))+IF(ISBLANK(E832),0,IF(E832&lt;12,1,0))</f>
        <v>2</v>
      </c>
      <c r="U832" s="0" t="str">
        <f aca="false">IF((ISBLANK(B832)*1+ISBLANK(C832)*1+ISBLANK(D832)*1+ISBLANK(E832)*1+ISBLANK(F832)*1+ISBLANK(I832)*1+ISBLANK(J832)*1+ISBLANK(K832)*1+ISBLANK(L832)*1+ISBLANK(M832)*1+ISBLANK(N832)*1+ISBLANK(O832)*1)&gt;0,"Missing Data","OK")</f>
        <v>OK</v>
      </c>
      <c r="V832" s="0" t="str">
        <f aca="false">IF(T832&gt;=6,"High Risk",IF(T832&gt;=3,"Medium Risk","Low Risk"))</f>
        <v>Low Risk</v>
      </c>
    </row>
    <row r="833" customFormat="false" ht="12.8" hidden="false" customHeight="false" outlineLevel="0" collapsed="false">
      <c r="A833" s="1" t="s">
        <v>863</v>
      </c>
      <c r="B833" s="1" t="s">
        <v>23</v>
      </c>
      <c r="C833" s="1" t="s">
        <v>24</v>
      </c>
      <c r="D833" s="1" t="n">
        <v>21.2</v>
      </c>
      <c r="E833" s="1" t="n">
        <v>72</v>
      </c>
      <c r="F833" s="4" t="n">
        <v>44937</v>
      </c>
      <c r="G833" s="1" t="s">
        <v>39</v>
      </c>
      <c r="H833" s="1" t="n">
        <v>1</v>
      </c>
      <c r="I833" s="1" t="n">
        <v>77</v>
      </c>
      <c r="J833" s="1" t="n">
        <v>24</v>
      </c>
      <c r="K833" s="1" t="n">
        <v>8</v>
      </c>
      <c r="L833" s="1" t="n">
        <v>5</v>
      </c>
      <c r="M833" s="1" t="n">
        <v>1</v>
      </c>
      <c r="N833" s="1" t="n">
        <v>1526.4</v>
      </c>
      <c r="O833" s="1" t="n">
        <v>0</v>
      </c>
      <c r="Q833" s="4" t="n">
        <v>46293</v>
      </c>
      <c r="R833" s="0" t="n">
        <f aca="false">IF(ISBLANK(F833),"Missing",IFERROR(YEAR(F833),"Missing"))</f>
        <v>2023</v>
      </c>
      <c r="S833" s="0" t="str">
        <f aca="false">IF(ISBLANK(E833),"Missing",IF(E833&lt;6,"0-6mo",IF(E833&lt;12,"6-12mo",IF(E833&lt;24,"12-24mo","24mo+"))))</f>
        <v>24mo+</v>
      </c>
      <c r="T833" s="0" t="n">
        <f aca="false">IF(ISBLANK(C833),0,IF(C833="Month-to-month",2,IF(C833="One year",1,0)))+IF(ISBLANK(I833),0,IF(I833&lt;40,2,IF(I833&lt;55,1,0)))+IF(ISBLANK(M833),0,IF(M833=1,3,0))+IF(ISBLANK(L833),0,IF(L833&gt;=2,1,0))+IF(ISBLANK(E833),0,IF(E833&lt;12,1,0))</f>
        <v>6</v>
      </c>
      <c r="U833" s="0" t="str">
        <f aca="false">IF((ISBLANK(B833)*1+ISBLANK(C833)*1+ISBLANK(D833)*1+ISBLANK(E833)*1+ISBLANK(F833)*1+ISBLANK(I833)*1+ISBLANK(J833)*1+ISBLANK(K833)*1+ISBLANK(L833)*1+ISBLANK(M833)*1+ISBLANK(N833)*1+ISBLANK(O833)*1)&gt;0,"Missing Data","OK")</f>
        <v>OK</v>
      </c>
      <c r="V833" s="0" t="str">
        <f aca="false">IF(T833&gt;=6,"High Risk",IF(T833&gt;=3,"Medium Risk","Low Risk"))</f>
        <v>High Risk</v>
      </c>
    </row>
    <row r="834" customFormat="false" ht="12.8" hidden="false" customHeight="false" outlineLevel="0" collapsed="false">
      <c r="A834" s="1" t="s">
        <v>864</v>
      </c>
      <c r="B834" s="1" t="s">
        <v>23</v>
      </c>
      <c r="C834" s="1" t="s">
        <v>51</v>
      </c>
      <c r="D834" s="1" t="n">
        <v>20.14</v>
      </c>
      <c r="E834" s="1" t="n">
        <v>32</v>
      </c>
      <c r="F834" s="4" t="n">
        <v>44941</v>
      </c>
      <c r="G834" s="1" t="s">
        <v>25</v>
      </c>
      <c r="H834" s="1" t="n">
        <v>0</v>
      </c>
      <c r="I834" s="1" t="n">
        <v>39.9</v>
      </c>
      <c r="J834" s="1" t="n">
        <v>10</v>
      </c>
      <c r="K834" s="1" t="n">
        <v>4</v>
      </c>
      <c r="L834" s="1" t="n">
        <v>2</v>
      </c>
      <c r="M834" s="1" t="n">
        <v>1</v>
      </c>
      <c r="N834" s="1" t="n">
        <v>644.48</v>
      </c>
      <c r="O834" s="1" t="n">
        <v>0</v>
      </c>
      <c r="Q834" s="4" t="n">
        <v>45915</v>
      </c>
      <c r="R834" s="0" t="n">
        <f aca="false">IF(ISBLANK(F834),"Missing",IFERROR(YEAR(F834),"Missing"))</f>
        <v>2023</v>
      </c>
      <c r="S834" s="0" t="str">
        <f aca="false">IF(ISBLANK(E834),"Missing",IF(E834&lt;6,"0-6mo",IF(E834&lt;12,"6-12mo",IF(E834&lt;24,"12-24mo","24mo+"))))</f>
        <v>24mo+</v>
      </c>
      <c r="T834" s="0" t="n">
        <f aca="false">IF(ISBLANK(C834),0,IF(C834="Month-to-month",2,IF(C834="One year",1,0)))+IF(ISBLANK(I834),0,IF(I834&lt;40,2,IF(I834&lt;55,1,0)))+IF(ISBLANK(M834),0,IF(M834=1,3,0))+IF(ISBLANK(L834),0,IF(L834&gt;=2,1,0))+IF(ISBLANK(E834),0,IF(E834&lt;12,1,0))</f>
        <v>6</v>
      </c>
      <c r="U834" s="0" t="str">
        <f aca="false">IF((ISBLANK(B834)*1+ISBLANK(C834)*1+ISBLANK(D834)*1+ISBLANK(E834)*1+ISBLANK(F834)*1+ISBLANK(I834)*1+ISBLANK(J834)*1+ISBLANK(K834)*1+ISBLANK(L834)*1+ISBLANK(M834)*1+ISBLANK(N834)*1+ISBLANK(O834)*1)&gt;0,"Missing Data","OK")</f>
        <v>OK</v>
      </c>
      <c r="V834" s="0" t="str">
        <f aca="false">IF(T834&gt;=6,"High Risk",IF(T834&gt;=3,"Medium Risk","Low Risk"))</f>
        <v>High Risk</v>
      </c>
    </row>
    <row r="835" customFormat="false" ht="12.8" hidden="false" customHeight="false" outlineLevel="0" collapsed="false">
      <c r="A835" s="1" t="s">
        <v>865</v>
      </c>
      <c r="B835" s="1" t="s">
        <v>36</v>
      </c>
      <c r="C835" s="1" t="s">
        <v>34</v>
      </c>
      <c r="D835" s="1" t="n">
        <v>9.74</v>
      </c>
      <c r="E835" s="1" t="n">
        <v>15</v>
      </c>
      <c r="F835" s="4" t="n">
        <v>44944</v>
      </c>
      <c r="G835" s="1" t="s">
        <v>39</v>
      </c>
      <c r="H835" s="1" t="n">
        <v>1</v>
      </c>
      <c r="I835" s="1" t="n">
        <v>63.2</v>
      </c>
      <c r="J835" s="1" t="n">
        <v>20</v>
      </c>
      <c r="K835" s="1" t="n">
        <v>7</v>
      </c>
      <c r="L835" s="1" t="n">
        <v>1</v>
      </c>
      <c r="M835" s="1" t="n">
        <v>1</v>
      </c>
      <c r="N835" s="1" t="n">
        <v>146.1</v>
      </c>
      <c r="O835" s="1" t="n">
        <v>0</v>
      </c>
      <c r="Q835" s="4" t="n">
        <v>45400</v>
      </c>
      <c r="R835" s="0" t="n">
        <f aca="false">IF(ISBLANK(F835),"Missing",IFERROR(YEAR(F835),"Missing"))</f>
        <v>2023</v>
      </c>
      <c r="S835" s="0" t="str">
        <f aca="false">IF(ISBLANK(E835),"Missing",IF(E835&lt;6,"0-6mo",IF(E835&lt;12,"6-12mo",IF(E835&lt;24,"12-24mo","24mo+"))))</f>
        <v>12-24mo</v>
      </c>
      <c r="T835" s="0" t="n">
        <f aca="false">IF(ISBLANK(C835),0,IF(C835="Month-to-month",2,IF(C835="One year",1,0)))+IF(ISBLANK(I835),0,IF(I835&lt;40,2,IF(I835&lt;55,1,0)))+IF(ISBLANK(M835),0,IF(M835=1,3,0))+IF(ISBLANK(L835),0,IF(L835&gt;=2,1,0))+IF(ISBLANK(E835),0,IF(E835&lt;12,1,0))</f>
        <v>4</v>
      </c>
      <c r="U835" s="0" t="str">
        <f aca="false">IF((ISBLANK(B835)*1+ISBLANK(C835)*1+ISBLANK(D835)*1+ISBLANK(E835)*1+ISBLANK(F835)*1+ISBLANK(I835)*1+ISBLANK(J835)*1+ISBLANK(K835)*1+ISBLANK(L835)*1+ISBLANK(M835)*1+ISBLANK(N835)*1+ISBLANK(O835)*1)&gt;0,"Missing Data","OK")</f>
        <v>OK</v>
      </c>
      <c r="V835" s="0" t="str">
        <f aca="false">IF(T835&gt;=6,"High Risk",IF(T835&gt;=3,"Medium Risk","Low Risk"))</f>
        <v>Medium Risk</v>
      </c>
    </row>
    <row r="836" customFormat="false" ht="12.8" hidden="false" customHeight="false" outlineLevel="0" collapsed="false">
      <c r="A836" s="1" t="s">
        <v>866</v>
      </c>
      <c r="B836" s="1" t="s">
        <v>29</v>
      </c>
      <c r="C836" s="1" t="s">
        <v>24</v>
      </c>
      <c r="D836" s="1" t="n">
        <v>39.62</v>
      </c>
      <c r="E836" s="1" t="n">
        <v>24</v>
      </c>
      <c r="F836" s="4" t="n">
        <v>44944</v>
      </c>
      <c r="G836" s="1" t="s">
        <v>25</v>
      </c>
      <c r="H836" s="1" t="n">
        <v>1</v>
      </c>
      <c r="I836" s="1" t="n">
        <v>43.9</v>
      </c>
      <c r="J836" s="1" t="n">
        <v>16</v>
      </c>
      <c r="K836" s="1" t="n">
        <v>4</v>
      </c>
      <c r="L836" s="1" t="n">
        <v>1</v>
      </c>
      <c r="M836" s="1" t="n">
        <v>0</v>
      </c>
      <c r="N836" s="1" t="n">
        <v>950.88</v>
      </c>
      <c r="O836" s="1" t="n">
        <v>0</v>
      </c>
      <c r="Q836" s="4" t="n">
        <v>45674</v>
      </c>
      <c r="R836" s="0" t="n">
        <f aca="false">IF(ISBLANK(F836),"Missing",IFERROR(YEAR(F836),"Missing"))</f>
        <v>2023</v>
      </c>
      <c r="S836" s="0" t="str">
        <f aca="false">IF(ISBLANK(E836),"Missing",IF(E836&lt;6,"0-6mo",IF(E836&lt;12,"6-12mo",IF(E836&lt;24,"12-24mo","24mo+"))))</f>
        <v>24mo+</v>
      </c>
      <c r="T836" s="0" t="n">
        <f aca="false">IF(ISBLANK(C836),0,IF(C836="Month-to-month",2,IF(C836="One year",1,0)))+IF(ISBLANK(I836),0,IF(I836&lt;40,2,IF(I836&lt;55,1,0)))+IF(ISBLANK(M836),0,IF(M836=1,3,0))+IF(ISBLANK(L836),0,IF(L836&gt;=2,1,0))+IF(ISBLANK(E836),0,IF(E836&lt;12,1,0))</f>
        <v>3</v>
      </c>
      <c r="U836" s="0" t="str">
        <f aca="false">IF((ISBLANK(B836)*1+ISBLANK(C836)*1+ISBLANK(D836)*1+ISBLANK(E836)*1+ISBLANK(F836)*1+ISBLANK(I836)*1+ISBLANK(J836)*1+ISBLANK(K836)*1+ISBLANK(L836)*1+ISBLANK(M836)*1+ISBLANK(N836)*1+ISBLANK(O836)*1)&gt;0,"Missing Data","OK")</f>
        <v>OK</v>
      </c>
      <c r="V836" s="0" t="str">
        <f aca="false">IF(T836&gt;=6,"High Risk",IF(T836&gt;=3,"Medium Risk","Low Risk"))</f>
        <v>Medium Risk</v>
      </c>
    </row>
    <row r="837" customFormat="false" ht="12.8" hidden="false" customHeight="false" outlineLevel="0" collapsed="false">
      <c r="A837" s="1" t="s">
        <v>867</v>
      </c>
      <c r="B837" s="1" t="s">
        <v>36</v>
      </c>
      <c r="C837" s="1" t="s">
        <v>24</v>
      </c>
      <c r="D837" s="1" t="n">
        <v>8.49</v>
      </c>
      <c r="E837" s="1" t="n">
        <v>4</v>
      </c>
      <c r="F837" s="4" t="n">
        <v>44945</v>
      </c>
      <c r="G837" s="1" t="s">
        <v>27</v>
      </c>
      <c r="H837" s="1" t="n">
        <v>0</v>
      </c>
      <c r="I837" s="1" t="n">
        <v>64.2</v>
      </c>
      <c r="J837" s="1" t="n">
        <v>19</v>
      </c>
      <c r="K837" s="1" t="n">
        <v>7</v>
      </c>
      <c r="L837" s="1" t="n">
        <v>2</v>
      </c>
      <c r="M837" s="1" t="n">
        <v>1</v>
      </c>
      <c r="N837" s="1" t="n">
        <v>33.96</v>
      </c>
      <c r="O837" s="1" t="n">
        <v>0</v>
      </c>
      <c r="Q837" s="4" t="n">
        <v>45066</v>
      </c>
      <c r="R837" s="0" t="n">
        <f aca="false">IF(ISBLANK(F837),"Missing",IFERROR(YEAR(F837),"Missing"))</f>
        <v>2023</v>
      </c>
      <c r="S837" s="0" t="str">
        <f aca="false">IF(ISBLANK(E837),"Missing",IF(E837&lt;6,"0-6mo",IF(E837&lt;12,"6-12mo",IF(E837&lt;24,"12-24mo","24mo+"))))</f>
        <v>0-6mo</v>
      </c>
      <c r="T837" s="0" t="n">
        <f aca="false">IF(ISBLANK(C837),0,IF(C837="Month-to-month",2,IF(C837="One year",1,0)))+IF(ISBLANK(I837),0,IF(I837&lt;40,2,IF(I837&lt;55,1,0)))+IF(ISBLANK(M837),0,IF(M837=1,3,0))+IF(ISBLANK(L837),0,IF(L837&gt;=2,1,0))+IF(ISBLANK(E837),0,IF(E837&lt;12,1,0))</f>
        <v>7</v>
      </c>
      <c r="U837" s="0" t="str">
        <f aca="false">IF((ISBLANK(B837)*1+ISBLANK(C837)*1+ISBLANK(D837)*1+ISBLANK(E837)*1+ISBLANK(F837)*1+ISBLANK(I837)*1+ISBLANK(J837)*1+ISBLANK(K837)*1+ISBLANK(L837)*1+ISBLANK(M837)*1+ISBLANK(N837)*1+ISBLANK(O837)*1)&gt;0,"Missing Data","OK")</f>
        <v>OK</v>
      </c>
      <c r="V837" s="0" t="str">
        <f aca="false">IF(T837&gt;=6,"High Risk",IF(T837&gt;=3,"Medium Risk","Low Risk"))</f>
        <v>High Risk</v>
      </c>
    </row>
    <row r="838" customFormat="false" ht="12.8" hidden="false" customHeight="false" outlineLevel="0" collapsed="false">
      <c r="A838" s="1" t="s">
        <v>868</v>
      </c>
      <c r="B838" s="1" t="s">
        <v>23</v>
      </c>
      <c r="C838" s="1" t="s">
        <v>24</v>
      </c>
      <c r="D838" s="1" t="n">
        <v>18.93</v>
      </c>
      <c r="E838" s="1" t="n">
        <v>29</v>
      </c>
      <c r="F838" s="4" t="n">
        <v>44946</v>
      </c>
      <c r="G838" s="1" t="s">
        <v>25</v>
      </c>
      <c r="H838" s="1" t="n">
        <v>1</v>
      </c>
      <c r="I838" s="1" t="n">
        <v>55.3</v>
      </c>
      <c r="J838" s="1" t="n">
        <v>17</v>
      </c>
      <c r="K838" s="1" t="n">
        <v>4</v>
      </c>
      <c r="L838" s="1" t="n">
        <v>1</v>
      </c>
      <c r="M838" s="1" t="n">
        <v>0</v>
      </c>
      <c r="N838" s="1" t="n">
        <v>548.97</v>
      </c>
      <c r="O838" s="1" t="n">
        <v>1</v>
      </c>
      <c r="P838" s="4" t="n">
        <v>45828</v>
      </c>
      <c r="Q838" s="4" t="n">
        <v>45828</v>
      </c>
      <c r="R838" s="0" t="n">
        <f aca="false">IF(ISBLANK(F838),"Missing",IFERROR(YEAR(F838),"Missing"))</f>
        <v>2023</v>
      </c>
      <c r="S838" s="0" t="str">
        <f aca="false">IF(ISBLANK(E838),"Missing",IF(E838&lt;6,"0-6mo",IF(E838&lt;12,"6-12mo",IF(E838&lt;24,"12-24mo","24mo+"))))</f>
        <v>24mo+</v>
      </c>
      <c r="T838" s="0" t="n">
        <f aca="false">IF(ISBLANK(C838),0,IF(C838="Month-to-month",2,IF(C838="One year",1,0)))+IF(ISBLANK(I838),0,IF(I838&lt;40,2,IF(I838&lt;55,1,0)))+IF(ISBLANK(M838),0,IF(M838=1,3,0))+IF(ISBLANK(L838),0,IF(L838&gt;=2,1,0))+IF(ISBLANK(E838),0,IF(E838&lt;12,1,0))</f>
        <v>2</v>
      </c>
      <c r="U838" s="0" t="str">
        <f aca="false">IF((ISBLANK(B838)*1+ISBLANK(C838)*1+ISBLANK(D838)*1+ISBLANK(E838)*1+ISBLANK(F838)*1+ISBLANK(I838)*1+ISBLANK(J838)*1+ISBLANK(K838)*1+ISBLANK(L838)*1+ISBLANK(M838)*1+ISBLANK(N838)*1+ISBLANK(O838)*1)&gt;0,"Missing Data","OK")</f>
        <v>OK</v>
      </c>
      <c r="V838" s="0" t="str">
        <f aca="false">IF(T838&gt;=6,"High Risk",IF(T838&gt;=3,"Medium Risk","Low Risk"))</f>
        <v>Low Risk</v>
      </c>
    </row>
    <row r="839" customFormat="false" ht="12.8" hidden="false" customHeight="false" outlineLevel="0" collapsed="false">
      <c r="A839" s="1" t="s">
        <v>869</v>
      </c>
      <c r="B839" s="1" t="s">
        <v>23</v>
      </c>
      <c r="C839" s="1" t="s">
        <v>34</v>
      </c>
      <c r="D839" s="1" t="n">
        <v>20.45</v>
      </c>
      <c r="E839" s="1" t="n">
        <v>17</v>
      </c>
      <c r="F839" s="4" t="n">
        <v>44948</v>
      </c>
      <c r="G839" s="1" t="s">
        <v>25</v>
      </c>
      <c r="H839" s="1" t="n">
        <v>0</v>
      </c>
      <c r="I839" s="1" t="n">
        <v>69.2</v>
      </c>
      <c r="J839" s="1" t="n">
        <v>15</v>
      </c>
      <c r="K839" s="1" t="n">
        <v>5</v>
      </c>
      <c r="L839" s="1" t="n">
        <v>2</v>
      </c>
      <c r="M839" s="1" t="n">
        <v>0</v>
      </c>
      <c r="N839" s="1" t="n">
        <v>347.65</v>
      </c>
      <c r="O839" s="1" t="n">
        <v>0</v>
      </c>
      <c r="Q839" s="4" t="n">
        <v>45465</v>
      </c>
      <c r="R839" s="0" t="n">
        <f aca="false">IF(ISBLANK(F839),"Missing",IFERROR(YEAR(F839),"Missing"))</f>
        <v>2023</v>
      </c>
      <c r="S839" s="0" t="str">
        <f aca="false">IF(ISBLANK(E839),"Missing",IF(E839&lt;6,"0-6mo",IF(E839&lt;12,"6-12mo",IF(E839&lt;24,"12-24mo","24mo+"))))</f>
        <v>12-24mo</v>
      </c>
      <c r="T839" s="0" t="n">
        <f aca="false">IF(ISBLANK(C839),0,IF(C839="Month-to-month",2,IF(C839="One year",1,0)))+IF(ISBLANK(I839),0,IF(I839&lt;40,2,IF(I839&lt;55,1,0)))+IF(ISBLANK(M839),0,IF(M839=1,3,0))+IF(ISBLANK(L839),0,IF(L839&gt;=2,1,0))+IF(ISBLANK(E839),0,IF(E839&lt;12,1,0))</f>
        <v>2</v>
      </c>
      <c r="U839" s="0" t="str">
        <f aca="false">IF((ISBLANK(B839)*1+ISBLANK(C839)*1+ISBLANK(D839)*1+ISBLANK(E839)*1+ISBLANK(F839)*1+ISBLANK(I839)*1+ISBLANK(J839)*1+ISBLANK(K839)*1+ISBLANK(L839)*1+ISBLANK(M839)*1+ISBLANK(N839)*1+ISBLANK(O839)*1)&gt;0,"Missing Data","OK")</f>
        <v>OK</v>
      </c>
      <c r="V839" s="0" t="str">
        <f aca="false">IF(T839&gt;=6,"High Risk",IF(T839&gt;=3,"Medium Risk","Low Risk"))</f>
        <v>Low Risk</v>
      </c>
    </row>
    <row r="840" customFormat="false" ht="12.8" hidden="false" customHeight="false" outlineLevel="0" collapsed="false">
      <c r="A840" s="1" t="s">
        <v>870</v>
      </c>
      <c r="B840" s="1" t="s">
        <v>29</v>
      </c>
      <c r="C840" s="1" t="s">
        <v>34</v>
      </c>
      <c r="D840" s="1" t="n">
        <v>39.21</v>
      </c>
      <c r="E840" s="1" t="n">
        <v>10</v>
      </c>
      <c r="F840" s="4" t="n">
        <v>44948</v>
      </c>
      <c r="G840" s="1" t="s">
        <v>39</v>
      </c>
      <c r="H840" s="1" t="n">
        <v>0</v>
      </c>
      <c r="I840" s="1" t="n">
        <v>57.9</v>
      </c>
      <c r="J840" s="1" t="n">
        <v>16</v>
      </c>
      <c r="K840" s="1" t="n">
        <v>6</v>
      </c>
      <c r="L840" s="1" t="n">
        <v>1</v>
      </c>
      <c r="M840" s="1" t="n">
        <v>1</v>
      </c>
      <c r="N840" s="1" t="n">
        <v>392.1</v>
      </c>
      <c r="O840" s="1" t="n">
        <v>0</v>
      </c>
      <c r="Q840" s="4" t="n">
        <v>45252</v>
      </c>
      <c r="R840" s="0" t="n">
        <f aca="false">IF(ISBLANK(F840),"Missing",IFERROR(YEAR(F840),"Missing"))</f>
        <v>2023</v>
      </c>
      <c r="S840" s="0" t="str">
        <f aca="false">IF(ISBLANK(E840),"Missing",IF(E840&lt;6,"0-6mo",IF(E840&lt;12,"6-12mo",IF(E840&lt;24,"12-24mo","24mo+"))))</f>
        <v>6-12mo</v>
      </c>
      <c r="T840" s="0" t="n">
        <f aca="false">IF(ISBLANK(C840),0,IF(C840="Month-to-month",2,IF(C840="One year",1,0)))+IF(ISBLANK(I840),0,IF(I840&lt;40,2,IF(I840&lt;55,1,0)))+IF(ISBLANK(M840),0,IF(M840=1,3,0))+IF(ISBLANK(L840),0,IF(L840&gt;=2,1,0))+IF(ISBLANK(E840),0,IF(E840&lt;12,1,0))</f>
        <v>5</v>
      </c>
      <c r="U840" s="0" t="str">
        <f aca="false">IF((ISBLANK(B840)*1+ISBLANK(C840)*1+ISBLANK(D840)*1+ISBLANK(E840)*1+ISBLANK(F840)*1+ISBLANK(I840)*1+ISBLANK(J840)*1+ISBLANK(K840)*1+ISBLANK(L840)*1+ISBLANK(M840)*1+ISBLANK(N840)*1+ISBLANK(O840)*1)&gt;0,"Missing Data","OK")</f>
        <v>OK</v>
      </c>
      <c r="V840" s="0" t="str">
        <f aca="false">IF(T840&gt;=6,"High Risk",IF(T840&gt;=3,"Medium Risk","Low Risk"))</f>
        <v>Medium Risk</v>
      </c>
    </row>
    <row r="841" customFormat="false" ht="12.8" hidden="false" customHeight="false" outlineLevel="0" collapsed="false">
      <c r="A841" s="1" t="s">
        <v>871</v>
      </c>
      <c r="B841" s="1" t="s">
        <v>36</v>
      </c>
      <c r="C841" s="1" t="s">
        <v>24</v>
      </c>
      <c r="D841" s="1" t="n">
        <v>8.74</v>
      </c>
      <c r="E841" s="1" t="n">
        <v>11</v>
      </c>
      <c r="F841" s="4" t="n">
        <v>44948</v>
      </c>
      <c r="G841" s="1" t="s">
        <v>39</v>
      </c>
      <c r="H841" s="1" t="n">
        <v>1</v>
      </c>
      <c r="I841" s="1" t="n">
        <v>57.4</v>
      </c>
      <c r="J841" s="1" t="n">
        <v>13</v>
      </c>
      <c r="K841" s="1" t="n">
        <v>6</v>
      </c>
      <c r="L841" s="1" t="n">
        <v>2</v>
      </c>
      <c r="M841" s="1" t="n">
        <v>0</v>
      </c>
      <c r="N841" s="1" t="n">
        <v>96.14</v>
      </c>
      <c r="O841" s="1" t="n">
        <v>0</v>
      </c>
      <c r="Q841" s="4" t="n">
        <v>45282</v>
      </c>
      <c r="R841" s="0" t="n">
        <f aca="false">IF(ISBLANK(F841),"Missing",IFERROR(YEAR(F841),"Missing"))</f>
        <v>2023</v>
      </c>
      <c r="S841" s="0" t="str">
        <f aca="false">IF(ISBLANK(E841),"Missing",IF(E841&lt;6,"0-6mo",IF(E841&lt;12,"6-12mo",IF(E841&lt;24,"12-24mo","24mo+"))))</f>
        <v>6-12mo</v>
      </c>
      <c r="T841" s="0" t="n">
        <f aca="false">IF(ISBLANK(C841),0,IF(C841="Month-to-month",2,IF(C841="One year",1,0)))+IF(ISBLANK(I841),0,IF(I841&lt;40,2,IF(I841&lt;55,1,0)))+IF(ISBLANK(M841),0,IF(M841=1,3,0))+IF(ISBLANK(L841),0,IF(L841&gt;=2,1,0))+IF(ISBLANK(E841),0,IF(E841&lt;12,1,0))</f>
        <v>4</v>
      </c>
      <c r="U841" s="0" t="str">
        <f aca="false">IF((ISBLANK(B841)*1+ISBLANK(C841)*1+ISBLANK(D841)*1+ISBLANK(E841)*1+ISBLANK(F841)*1+ISBLANK(I841)*1+ISBLANK(J841)*1+ISBLANK(K841)*1+ISBLANK(L841)*1+ISBLANK(M841)*1+ISBLANK(N841)*1+ISBLANK(O841)*1)&gt;0,"Missing Data","OK")</f>
        <v>OK</v>
      </c>
      <c r="V841" s="0" t="str">
        <f aca="false">IF(T841&gt;=6,"High Risk",IF(T841&gt;=3,"Medium Risk","Low Risk"))</f>
        <v>Medium Risk</v>
      </c>
    </row>
    <row r="842" customFormat="false" ht="12.8" hidden="false" customHeight="false" outlineLevel="0" collapsed="false">
      <c r="A842" s="1" t="s">
        <v>872</v>
      </c>
      <c r="B842" s="1" t="s">
        <v>36</v>
      </c>
      <c r="C842" s="1" t="s">
        <v>34</v>
      </c>
      <c r="D842" s="1" t="n">
        <v>10.92</v>
      </c>
      <c r="E842" s="1" t="n">
        <v>10</v>
      </c>
      <c r="F842" s="4" t="n">
        <v>44949</v>
      </c>
      <c r="G842" s="1" t="s">
        <v>30</v>
      </c>
      <c r="H842" s="1" t="n">
        <v>1</v>
      </c>
      <c r="I842" s="1" t="n">
        <v>62.1</v>
      </c>
      <c r="J842" s="1" t="n">
        <v>16</v>
      </c>
      <c r="K842" s="1" t="n">
        <v>8</v>
      </c>
      <c r="L842" s="1" t="n">
        <v>2</v>
      </c>
      <c r="M842" s="1" t="n">
        <v>1</v>
      </c>
      <c r="N842" s="1" t="n">
        <v>109.2</v>
      </c>
      <c r="O842" s="1" t="n">
        <v>1</v>
      </c>
      <c r="P842" s="4" t="n">
        <v>45253</v>
      </c>
      <c r="Q842" s="4" t="n">
        <v>45253</v>
      </c>
      <c r="R842" s="0" t="n">
        <f aca="false">IF(ISBLANK(F842),"Missing",IFERROR(YEAR(F842),"Missing"))</f>
        <v>2023</v>
      </c>
      <c r="S842" s="0" t="str">
        <f aca="false">IF(ISBLANK(E842),"Missing",IF(E842&lt;6,"0-6mo",IF(E842&lt;12,"6-12mo",IF(E842&lt;24,"12-24mo","24mo+"))))</f>
        <v>6-12mo</v>
      </c>
      <c r="T842" s="0" t="n">
        <f aca="false">IF(ISBLANK(C842),0,IF(C842="Month-to-month",2,IF(C842="One year",1,0)))+IF(ISBLANK(I842),0,IF(I842&lt;40,2,IF(I842&lt;55,1,0)))+IF(ISBLANK(M842),0,IF(M842=1,3,0))+IF(ISBLANK(L842),0,IF(L842&gt;=2,1,0))+IF(ISBLANK(E842),0,IF(E842&lt;12,1,0))</f>
        <v>6</v>
      </c>
      <c r="U842" s="0" t="str">
        <f aca="false">IF((ISBLANK(B842)*1+ISBLANK(C842)*1+ISBLANK(D842)*1+ISBLANK(E842)*1+ISBLANK(F842)*1+ISBLANK(I842)*1+ISBLANK(J842)*1+ISBLANK(K842)*1+ISBLANK(L842)*1+ISBLANK(M842)*1+ISBLANK(N842)*1+ISBLANK(O842)*1)&gt;0,"Missing Data","OK")</f>
        <v>OK</v>
      </c>
      <c r="V842" s="0" t="str">
        <f aca="false">IF(T842&gt;=6,"High Risk",IF(T842&gt;=3,"Medium Risk","Low Risk"))</f>
        <v>High Risk</v>
      </c>
    </row>
    <row r="843" customFormat="false" ht="12.8" hidden="false" customHeight="false" outlineLevel="0" collapsed="false">
      <c r="A843" s="1" t="s">
        <v>873</v>
      </c>
      <c r="B843" s="1" t="s">
        <v>36</v>
      </c>
      <c r="C843" s="1" t="s">
        <v>24</v>
      </c>
      <c r="D843" s="1" t="n">
        <v>10.73</v>
      </c>
      <c r="E843" s="1" t="n">
        <v>4</v>
      </c>
      <c r="F843" s="4" t="n">
        <v>44951</v>
      </c>
      <c r="G843" s="1" t="s">
        <v>25</v>
      </c>
      <c r="H843" s="1" t="n">
        <v>1</v>
      </c>
      <c r="I843" s="1" t="n">
        <v>53.8</v>
      </c>
      <c r="J843" s="1" t="n">
        <v>12</v>
      </c>
      <c r="K843" s="1" t="n">
        <v>7</v>
      </c>
      <c r="L843" s="1" t="n">
        <v>1</v>
      </c>
      <c r="M843" s="1" t="n">
        <v>1</v>
      </c>
      <c r="N843" s="1" t="n">
        <v>42.92</v>
      </c>
      <c r="O843" s="1" t="n">
        <v>0</v>
      </c>
      <c r="Q843" s="4" t="n">
        <v>45072</v>
      </c>
      <c r="R843" s="0" t="n">
        <f aca="false">IF(ISBLANK(F843),"Missing",IFERROR(YEAR(F843),"Missing"))</f>
        <v>2023</v>
      </c>
      <c r="S843" s="0" t="str">
        <f aca="false">IF(ISBLANK(E843),"Missing",IF(E843&lt;6,"0-6mo",IF(E843&lt;12,"6-12mo",IF(E843&lt;24,"12-24mo","24mo+"))))</f>
        <v>0-6mo</v>
      </c>
      <c r="T843" s="0" t="n">
        <f aca="false">IF(ISBLANK(C843),0,IF(C843="Month-to-month",2,IF(C843="One year",1,0)))+IF(ISBLANK(I843),0,IF(I843&lt;40,2,IF(I843&lt;55,1,0)))+IF(ISBLANK(M843),0,IF(M843=1,3,0))+IF(ISBLANK(L843),0,IF(L843&gt;=2,1,0))+IF(ISBLANK(E843),0,IF(E843&lt;12,1,0))</f>
        <v>7</v>
      </c>
      <c r="U843" s="0" t="str">
        <f aca="false">IF((ISBLANK(B843)*1+ISBLANK(C843)*1+ISBLANK(D843)*1+ISBLANK(E843)*1+ISBLANK(F843)*1+ISBLANK(I843)*1+ISBLANK(J843)*1+ISBLANK(K843)*1+ISBLANK(L843)*1+ISBLANK(M843)*1+ISBLANK(N843)*1+ISBLANK(O843)*1)&gt;0,"Missing Data","OK")</f>
        <v>OK</v>
      </c>
      <c r="V843" s="0" t="str">
        <f aca="false">IF(T843&gt;=6,"High Risk",IF(T843&gt;=3,"Medium Risk","Low Risk"))</f>
        <v>High Risk</v>
      </c>
    </row>
    <row r="844" customFormat="false" ht="12.8" hidden="false" customHeight="false" outlineLevel="0" collapsed="false">
      <c r="A844" s="1" t="s">
        <v>874</v>
      </c>
      <c r="B844" s="1" t="s">
        <v>23</v>
      </c>
      <c r="C844" s="1" t="s">
        <v>51</v>
      </c>
      <c r="D844" s="1" t="n">
        <v>18.07</v>
      </c>
      <c r="E844" s="1" t="n">
        <v>3</v>
      </c>
      <c r="F844" s="4" t="n">
        <v>44952</v>
      </c>
      <c r="G844" s="1" t="s">
        <v>39</v>
      </c>
      <c r="H844" s="1" t="n">
        <v>1</v>
      </c>
      <c r="I844" s="1" t="n">
        <v>14</v>
      </c>
      <c r="J844" s="1" t="n">
        <v>1</v>
      </c>
      <c r="K844" s="1" t="n">
        <v>1</v>
      </c>
      <c r="L844" s="1" t="n">
        <v>3</v>
      </c>
      <c r="M844" s="1" t="n">
        <v>0</v>
      </c>
      <c r="N844" s="1" t="n">
        <v>54.21</v>
      </c>
      <c r="O844" s="1" t="n">
        <v>0</v>
      </c>
      <c r="Q844" s="4" t="n">
        <v>45043</v>
      </c>
      <c r="R844" s="0" t="n">
        <f aca="false">IF(ISBLANK(F844),"Missing",IFERROR(YEAR(F844),"Missing"))</f>
        <v>2023</v>
      </c>
      <c r="S844" s="0" t="str">
        <f aca="false">IF(ISBLANK(E844),"Missing",IF(E844&lt;6,"0-6mo",IF(E844&lt;12,"6-12mo",IF(E844&lt;24,"12-24mo","24mo+"))))</f>
        <v>0-6mo</v>
      </c>
      <c r="T844" s="0" t="n">
        <f aca="false">IF(ISBLANK(C844),0,IF(C844="Month-to-month",2,IF(C844="One year",1,0)))+IF(ISBLANK(I844),0,IF(I844&lt;40,2,IF(I844&lt;55,1,0)))+IF(ISBLANK(M844),0,IF(M844=1,3,0))+IF(ISBLANK(L844),0,IF(L844&gt;=2,1,0))+IF(ISBLANK(E844),0,IF(E844&lt;12,1,0))</f>
        <v>4</v>
      </c>
      <c r="U844" s="0" t="str">
        <f aca="false">IF((ISBLANK(B844)*1+ISBLANK(C844)*1+ISBLANK(D844)*1+ISBLANK(E844)*1+ISBLANK(F844)*1+ISBLANK(I844)*1+ISBLANK(J844)*1+ISBLANK(K844)*1+ISBLANK(L844)*1+ISBLANK(M844)*1+ISBLANK(N844)*1+ISBLANK(O844)*1)&gt;0,"Missing Data","OK")</f>
        <v>OK</v>
      </c>
      <c r="V844" s="0" t="str">
        <f aca="false">IF(T844&gt;=6,"High Risk",IF(T844&gt;=3,"Medium Risk","Low Risk"))</f>
        <v>Medium Risk</v>
      </c>
    </row>
    <row r="845" customFormat="false" ht="12.8" hidden="false" customHeight="false" outlineLevel="0" collapsed="false">
      <c r="A845" s="1" t="s">
        <v>875</v>
      </c>
      <c r="B845" s="1" t="s">
        <v>23</v>
      </c>
      <c r="C845" s="1" t="s">
        <v>24</v>
      </c>
      <c r="D845" s="1" t="n">
        <v>20.88</v>
      </c>
      <c r="E845" s="1" t="n">
        <v>13</v>
      </c>
      <c r="F845" s="4" t="n">
        <v>44953</v>
      </c>
      <c r="G845" s="1" t="s">
        <v>39</v>
      </c>
      <c r="H845" s="1" t="n">
        <v>0</v>
      </c>
      <c r="I845" s="1" t="n">
        <v>26.8</v>
      </c>
      <c r="J845" s="1" t="n">
        <v>14</v>
      </c>
      <c r="K845" s="1" t="n">
        <v>6</v>
      </c>
      <c r="L845" s="1" t="n">
        <v>6</v>
      </c>
      <c r="M845" s="1" t="n">
        <v>0</v>
      </c>
      <c r="N845" s="1" t="n">
        <v>271.44</v>
      </c>
      <c r="O845" s="1" t="n">
        <v>1</v>
      </c>
      <c r="P845" s="4" t="n">
        <v>45348</v>
      </c>
      <c r="Q845" s="4" t="n">
        <v>45348</v>
      </c>
      <c r="R845" s="0" t="n">
        <f aca="false">IF(ISBLANK(F845),"Missing",IFERROR(YEAR(F845),"Missing"))</f>
        <v>2023</v>
      </c>
      <c r="S845" s="0" t="str">
        <f aca="false">IF(ISBLANK(E845),"Missing",IF(E845&lt;6,"0-6mo",IF(E845&lt;12,"6-12mo",IF(E845&lt;24,"12-24mo","24mo+"))))</f>
        <v>12-24mo</v>
      </c>
      <c r="T845" s="0" t="n">
        <f aca="false">IF(ISBLANK(C845),0,IF(C845="Month-to-month",2,IF(C845="One year",1,0)))+IF(ISBLANK(I845),0,IF(I845&lt;40,2,IF(I845&lt;55,1,0)))+IF(ISBLANK(M845),0,IF(M845=1,3,0))+IF(ISBLANK(L845),0,IF(L845&gt;=2,1,0))+IF(ISBLANK(E845),0,IF(E845&lt;12,1,0))</f>
        <v>5</v>
      </c>
      <c r="U845" s="0" t="str">
        <f aca="false">IF((ISBLANK(B845)*1+ISBLANK(C845)*1+ISBLANK(D845)*1+ISBLANK(E845)*1+ISBLANK(F845)*1+ISBLANK(I845)*1+ISBLANK(J845)*1+ISBLANK(K845)*1+ISBLANK(L845)*1+ISBLANK(M845)*1+ISBLANK(N845)*1+ISBLANK(O845)*1)&gt;0,"Missing Data","OK")</f>
        <v>OK</v>
      </c>
      <c r="V845" s="0" t="str">
        <f aca="false">IF(T845&gt;=6,"High Risk",IF(T845&gt;=3,"Medium Risk","Low Risk"))</f>
        <v>Medium Risk</v>
      </c>
    </row>
    <row r="846" customFormat="false" ht="12.8" hidden="false" customHeight="false" outlineLevel="0" collapsed="false">
      <c r="A846" s="1" t="s">
        <v>876</v>
      </c>
      <c r="B846" s="1" t="s">
        <v>36</v>
      </c>
      <c r="C846" s="1" t="s">
        <v>34</v>
      </c>
      <c r="D846" s="1" t="n">
        <v>9.76</v>
      </c>
      <c r="E846" s="1" t="n">
        <v>1</v>
      </c>
      <c r="F846" s="4" t="n">
        <v>44955</v>
      </c>
      <c r="G846" s="1" t="s">
        <v>30</v>
      </c>
      <c r="H846" s="1" t="n">
        <v>1</v>
      </c>
      <c r="I846" s="1" t="n">
        <v>64.2</v>
      </c>
      <c r="J846" s="1" t="n">
        <v>17</v>
      </c>
      <c r="K846" s="1" t="n">
        <v>8</v>
      </c>
      <c r="L846" s="1" t="n">
        <v>3</v>
      </c>
      <c r="M846" s="1" t="n">
        <v>0</v>
      </c>
      <c r="N846" s="1" t="n">
        <v>9.76</v>
      </c>
      <c r="O846" s="1" t="n">
        <v>0</v>
      </c>
      <c r="Q846" s="4" t="n">
        <v>44985</v>
      </c>
      <c r="R846" s="0" t="n">
        <f aca="false">IF(ISBLANK(F846),"Missing",IFERROR(YEAR(F846),"Missing"))</f>
        <v>2023</v>
      </c>
      <c r="S846" s="0" t="str">
        <f aca="false">IF(ISBLANK(E846),"Missing",IF(E846&lt;6,"0-6mo",IF(E846&lt;12,"6-12mo",IF(E846&lt;24,"12-24mo","24mo+"))))</f>
        <v>0-6mo</v>
      </c>
      <c r="T846" s="0" t="n">
        <f aca="false">IF(ISBLANK(C846),0,IF(C846="Month-to-month",2,IF(C846="One year",1,0)))+IF(ISBLANK(I846),0,IF(I846&lt;40,2,IF(I846&lt;55,1,0)))+IF(ISBLANK(M846),0,IF(M846=1,3,0))+IF(ISBLANK(L846),0,IF(L846&gt;=2,1,0))+IF(ISBLANK(E846),0,IF(E846&lt;12,1,0))</f>
        <v>3</v>
      </c>
      <c r="U846" s="0" t="str">
        <f aca="false">IF((ISBLANK(B846)*1+ISBLANK(C846)*1+ISBLANK(D846)*1+ISBLANK(E846)*1+ISBLANK(F846)*1+ISBLANK(I846)*1+ISBLANK(J846)*1+ISBLANK(K846)*1+ISBLANK(L846)*1+ISBLANK(M846)*1+ISBLANK(N846)*1+ISBLANK(O846)*1)&gt;0,"Missing Data","OK")</f>
        <v>OK</v>
      </c>
      <c r="V846" s="0" t="str">
        <f aca="false">IF(T846&gt;=6,"High Risk",IF(T846&gt;=3,"Medium Risk","Low Risk"))</f>
        <v>Medium Risk</v>
      </c>
    </row>
    <row r="847" customFormat="false" ht="12.8" hidden="false" customHeight="false" outlineLevel="0" collapsed="false">
      <c r="A847" s="1" t="s">
        <v>877</v>
      </c>
      <c r="B847" s="1" t="s">
        <v>36</v>
      </c>
      <c r="C847" s="1" t="s">
        <v>34</v>
      </c>
      <c r="D847" s="1" t="n">
        <v>10.72</v>
      </c>
      <c r="E847" s="1" t="n">
        <v>5</v>
      </c>
      <c r="F847" s="4" t="n">
        <v>44955</v>
      </c>
      <c r="G847" s="1" t="s">
        <v>25</v>
      </c>
      <c r="H847" s="1" t="n">
        <v>1</v>
      </c>
      <c r="I847" s="1" t="n">
        <v>40.9</v>
      </c>
      <c r="J847" s="1" t="n">
        <v>7</v>
      </c>
      <c r="K847" s="1" t="n">
        <v>5</v>
      </c>
      <c r="L847" s="1" t="n">
        <v>1</v>
      </c>
      <c r="M847" s="1" t="n">
        <v>1</v>
      </c>
      <c r="N847" s="1" t="n">
        <v>53.6</v>
      </c>
      <c r="O847" s="1" t="n">
        <v>0</v>
      </c>
      <c r="Q847" s="4" t="n">
        <v>45107</v>
      </c>
      <c r="R847" s="0" t="n">
        <f aca="false">IF(ISBLANK(F847),"Missing",IFERROR(YEAR(F847),"Missing"))</f>
        <v>2023</v>
      </c>
      <c r="S847" s="0" t="str">
        <f aca="false">IF(ISBLANK(E847),"Missing",IF(E847&lt;6,"0-6mo",IF(E847&lt;12,"6-12mo",IF(E847&lt;24,"12-24mo","24mo+"))))</f>
        <v>0-6mo</v>
      </c>
      <c r="T847" s="0" t="n">
        <f aca="false">IF(ISBLANK(C847),0,IF(C847="Month-to-month",2,IF(C847="One year",1,0)))+IF(ISBLANK(I847),0,IF(I847&lt;40,2,IF(I847&lt;55,1,0)))+IF(ISBLANK(M847),0,IF(M847=1,3,0))+IF(ISBLANK(L847),0,IF(L847&gt;=2,1,0))+IF(ISBLANK(E847),0,IF(E847&lt;12,1,0))</f>
        <v>6</v>
      </c>
      <c r="U847" s="0" t="str">
        <f aca="false">IF((ISBLANK(B847)*1+ISBLANK(C847)*1+ISBLANK(D847)*1+ISBLANK(E847)*1+ISBLANK(F847)*1+ISBLANK(I847)*1+ISBLANK(J847)*1+ISBLANK(K847)*1+ISBLANK(L847)*1+ISBLANK(M847)*1+ISBLANK(N847)*1+ISBLANK(O847)*1)&gt;0,"Missing Data","OK")</f>
        <v>OK</v>
      </c>
      <c r="V847" s="0" t="str">
        <f aca="false">IF(T847&gt;=6,"High Risk",IF(T847&gt;=3,"Medium Risk","Low Risk"))</f>
        <v>High Risk</v>
      </c>
    </row>
    <row r="848" customFormat="false" ht="12.8" hidden="false" customHeight="false" outlineLevel="0" collapsed="false">
      <c r="A848" s="1" t="s">
        <v>878</v>
      </c>
      <c r="B848" s="1" t="s">
        <v>23</v>
      </c>
      <c r="C848" s="1" t="s">
        <v>24</v>
      </c>
      <c r="D848" s="1" t="n">
        <v>21.16</v>
      </c>
      <c r="E848" s="1" t="n">
        <v>7</v>
      </c>
      <c r="F848" s="4" t="n">
        <v>44955</v>
      </c>
      <c r="G848" s="1" t="s">
        <v>25</v>
      </c>
      <c r="H848" s="1" t="n">
        <v>0</v>
      </c>
      <c r="I848" s="1" t="n">
        <v>54.4</v>
      </c>
      <c r="J848" s="1" t="n">
        <v>16</v>
      </c>
      <c r="K848" s="1" t="n">
        <v>4</v>
      </c>
      <c r="L848" s="1" t="n">
        <v>1</v>
      </c>
      <c r="M848" s="1" t="n">
        <v>1</v>
      </c>
      <c r="N848" s="1" t="n">
        <v>148.12</v>
      </c>
      <c r="O848" s="1" t="n">
        <v>1</v>
      </c>
      <c r="P848" s="4" t="n">
        <v>45168</v>
      </c>
      <c r="Q848" s="4" t="n">
        <v>45168</v>
      </c>
      <c r="R848" s="0" t="n">
        <f aca="false">IF(ISBLANK(F848),"Missing",IFERROR(YEAR(F848),"Missing"))</f>
        <v>2023</v>
      </c>
      <c r="S848" s="0" t="str">
        <f aca="false">IF(ISBLANK(E848),"Missing",IF(E848&lt;6,"0-6mo",IF(E848&lt;12,"6-12mo",IF(E848&lt;24,"12-24mo","24mo+"))))</f>
        <v>6-12mo</v>
      </c>
      <c r="T848" s="0" t="n">
        <f aca="false">IF(ISBLANK(C848),0,IF(C848="Month-to-month",2,IF(C848="One year",1,0)))+IF(ISBLANK(I848),0,IF(I848&lt;40,2,IF(I848&lt;55,1,0)))+IF(ISBLANK(M848),0,IF(M848=1,3,0))+IF(ISBLANK(L848),0,IF(L848&gt;=2,1,0))+IF(ISBLANK(E848),0,IF(E848&lt;12,1,0))</f>
        <v>7</v>
      </c>
      <c r="U848" s="0" t="str">
        <f aca="false">IF((ISBLANK(B848)*1+ISBLANK(C848)*1+ISBLANK(D848)*1+ISBLANK(E848)*1+ISBLANK(F848)*1+ISBLANK(I848)*1+ISBLANK(J848)*1+ISBLANK(K848)*1+ISBLANK(L848)*1+ISBLANK(M848)*1+ISBLANK(N848)*1+ISBLANK(O848)*1)&gt;0,"Missing Data","OK")</f>
        <v>OK</v>
      </c>
      <c r="V848" s="0" t="str">
        <f aca="false">IF(T848&gt;=6,"High Risk",IF(T848&gt;=3,"Medium Risk","Low Risk"))</f>
        <v>High Risk</v>
      </c>
    </row>
    <row r="849" customFormat="false" ht="12.8" hidden="false" customHeight="false" outlineLevel="0" collapsed="false">
      <c r="A849" s="1" t="s">
        <v>879</v>
      </c>
      <c r="B849" s="1" t="s">
        <v>23</v>
      </c>
      <c r="C849" s="1" t="s">
        <v>24</v>
      </c>
      <c r="D849" s="1" t="n">
        <v>20.88</v>
      </c>
      <c r="E849" s="1" t="n">
        <v>19</v>
      </c>
      <c r="F849" s="4" t="n">
        <v>44957</v>
      </c>
      <c r="G849" s="1" t="s">
        <v>25</v>
      </c>
      <c r="H849" s="1" t="n">
        <v>0</v>
      </c>
      <c r="I849" s="1" t="n">
        <v>64.4</v>
      </c>
      <c r="J849" s="1" t="n">
        <v>21</v>
      </c>
      <c r="K849" s="1" t="n">
        <v>7</v>
      </c>
      <c r="L849" s="1" t="n">
        <v>3</v>
      </c>
      <c r="M849" s="1" t="n">
        <v>0</v>
      </c>
      <c r="N849" s="1" t="n">
        <v>396.72</v>
      </c>
      <c r="O849" s="1" t="n">
        <v>0</v>
      </c>
      <c r="Q849" s="4" t="n">
        <v>45535</v>
      </c>
      <c r="R849" s="0" t="n">
        <f aca="false">IF(ISBLANK(F849),"Missing",IFERROR(YEAR(F849),"Missing"))</f>
        <v>2023</v>
      </c>
      <c r="S849" s="0" t="str">
        <f aca="false">IF(ISBLANK(E849),"Missing",IF(E849&lt;6,"0-6mo",IF(E849&lt;12,"6-12mo",IF(E849&lt;24,"12-24mo","24mo+"))))</f>
        <v>12-24mo</v>
      </c>
      <c r="T849" s="0" t="n">
        <f aca="false">IF(ISBLANK(C849),0,IF(C849="Month-to-month",2,IF(C849="One year",1,0)))+IF(ISBLANK(I849),0,IF(I849&lt;40,2,IF(I849&lt;55,1,0)))+IF(ISBLANK(M849),0,IF(M849=1,3,0))+IF(ISBLANK(L849),0,IF(L849&gt;=2,1,0))+IF(ISBLANK(E849),0,IF(E849&lt;12,1,0))</f>
        <v>3</v>
      </c>
      <c r="U849" s="0" t="str">
        <f aca="false">IF((ISBLANK(B849)*1+ISBLANK(C849)*1+ISBLANK(D849)*1+ISBLANK(E849)*1+ISBLANK(F849)*1+ISBLANK(I849)*1+ISBLANK(J849)*1+ISBLANK(K849)*1+ISBLANK(L849)*1+ISBLANK(M849)*1+ISBLANK(N849)*1+ISBLANK(O849)*1)&gt;0,"Missing Data","OK")</f>
        <v>OK</v>
      </c>
      <c r="V849" s="0" t="str">
        <f aca="false">IF(T849&gt;=6,"High Risk",IF(T849&gt;=3,"Medium Risk","Low Risk"))</f>
        <v>Medium Risk</v>
      </c>
    </row>
    <row r="850" customFormat="false" ht="12.8" hidden="false" customHeight="false" outlineLevel="0" collapsed="false">
      <c r="A850" s="1" t="s">
        <v>880</v>
      </c>
      <c r="B850" s="1" t="s">
        <v>23</v>
      </c>
      <c r="C850" s="1" t="s">
        <v>24</v>
      </c>
      <c r="D850" s="1" t="n">
        <v>19.24</v>
      </c>
      <c r="E850" s="1" t="n">
        <v>72</v>
      </c>
      <c r="F850" s="4" t="n">
        <v>44957</v>
      </c>
      <c r="G850" s="1" t="s">
        <v>27</v>
      </c>
      <c r="H850" s="1" t="n">
        <v>1</v>
      </c>
      <c r="I850" s="1" t="n">
        <v>85.7</v>
      </c>
      <c r="J850" s="1" t="n">
        <v>22</v>
      </c>
      <c r="K850" s="1" t="n">
        <v>6</v>
      </c>
      <c r="L850" s="1" t="n">
        <v>1</v>
      </c>
      <c r="M850" s="1" t="n">
        <v>0</v>
      </c>
      <c r="N850" s="1" t="n">
        <v>1385.28</v>
      </c>
      <c r="O850" s="1" t="n">
        <v>0</v>
      </c>
      <c r="Q850" s="4" t="n">
        <v>46293</v>
      </c>
      <c r="R850" s="0" t="n">
        <f aca="false">IF(ISBLANK(F850),"Missing",IFERROR(YEAR(F850),"Missing"))</f>
        <v>2023</v>
      </c>
      <c r="S850" s="0" t="str">
        <f aca="false">IF(ISBLANK(E850),"Missing",IF(E850&lt;6,"0-6mo",IF(E850&lt;12,"6-12mo",IF(E850&lt;24,"12-24mo","24mo+"))))</f>
        <v>24mo+</v>
      </c>
      <c r="T850" s="0" t="n">
        <f aca="false">IF(ISBLANK(C850),0,IF(C850="Month-to-month",2,IF(C850="One year",1,0)))+IF(ISBLANK(I850),0,IF(I850&lt;40,2,IF(I850&lt;55,1,0)))+IF(ISBLANK(M850),0,IF(M850=1,3,0))+IF(ISBLANK(L850),0,IF(L850&gt;=2,1,0))+IF(ISBLANK(E850),0,IF(E850&lt;12,1,0))</f>
        <v>2</v>
      </c>
      <c r="U850" s="0" t="str">
        <f aca="false">IF((ISBLANK(B850)*1+ISBLANK(C850)*1+ISBLANK(D850)*1+ISBLANK(E850)*1+ISBLANK(F850)*1+ISBLANK(I850)*1+ISBLANK(J850)*1+ISBLANK(K850)*1+ISBLANK(L850)*1+ISBLANK(M850)*1+ISBLANK(N850)*1+ISBLANK(O850)*1)&gt;0,"Missing Data","OK")</f>
        <v>OK</v>
      </c>
      <c r="V850" s="0" t="str">
        <f aca="false">IF(T850&gt;=6,"High Risk",IF(T850&gt;=3,"Medium Risk","Low Risk"))</f>
        <v>Low Risk</v>
      </c>
    </row>
    <row r="851" customFormat="false" ht="12.8" hidden="false" customHeight="false" outlineLevel="0" collapsed="false">
      <c r="A851" s="1" t="s">
        <v>881</v>
      </c>
      <c r="B851" s="1" t="s">
        <v>23</v>
      </c>
      <c r="C851" s="1" t="s">
        <v>24</v>
      </c>
      <c r="D851" s="1" t="n">
        <v>21.37</v>
      </c>
      <c r="E851" s="1" t="n">
        <v>14</v>
      </c>
      <c r="F851" s="4" t="n">
        <v>44957</v>
      </c>
      <c r="G851" s="1" t="s">
        <v>25</v>
      </c>
      <c r="H851" s="1" t="n">
        <v>1</v>
      </c>
      <c r="I851" s="1" t="n">
        <v>60.9</v>
      </c>
      <c r="J851" s="1" t="n">
        <v>24</v>
      </c>
      <c r="K851" s="1" t="n">
        <v>6</v>
      </c>
      <c r="L851" s="1" t="n">
        <v>0</v>
      </c>
      <c r="M851" s="1" t="n">
        <v>0</v>
      </c>
      <c r="N851" s="1" t="n">
        <v>299.18</v>
      </c>
      <c r="O851" s="1" t="n">
        <v>0</v>
      </c>
      <c r="Q851" s="4" t="n">
        <v>45383</v>
      </c>
      <c r="R851" s="0" t="n">
        <f aca="false">IF(ISBLANK(F851),"Missing",IFERROR(YEAR(F851),"Missing"))</f>
        <v>2023</v>
      </c>
      <c r="S851" s="0" t="str">
        <f aca="false">IF(ISBLANK(E851),"Missing",IF(E851&lt;6,"0-6mo",IF(E851&lt;12,"6-12mo",IF(E851&lt;24,"12-24mo","24mo+"))))</f>
        <v>12-24mo</v>
      </c>
      <c r="T851" s="0" t="n">
        <f aca="false">IF(ISBLANK(C851),0,IF(C851="Month-to-month",2,IF(C851="One year",1,0)))+IF(ISBLANK(I851),0,IF(I851&lt;40,2,IF(I851&lt;55,1,0)))+IF(ISBLANK(M851),0,IF(M851=1,3,0))+IF(ISBLANK(L851),0,IF(L851&gt;=2,1,0))+IF(ISBLANK(E851),0,IF(E851&lt;12,1,0))</f>
        <v>2</v>
      </c>
      <c r="U851" s="0" t="str">
        <f aca="false">IF((ISBLANK(B851)*1+ISBLANK(C851)*1+ISBLANK(D851)*1+ISBLANK(E851)*1+ISBLANK(F851)*1+ISBLANK(I851)*1+ISBLANK(J851)*1+ISBLANK(K851)*1+ISBLANK(L851)*1+ISBLANK(M851)*1+ISBLANK(N851)*1+ISBLANK(O851)*1)&gt;0,"Missing Data","OK")</f>
        <v>OK</v>
      </c>
      <c r="V851" s="0" t="str">
        <f aca="false">IF(T851&gt;=6,"High Risk",IF(T851&gt;=3,"Medium Risk","Low Risk"))</f>
        <v>Low Risk</v>
      </c>
    </row>
    <row r="852" customFormat="false" ht="12.8" hidden="false" customHeight="false" outlineLevel="0" collapsed="false">
      <c r="A852" s="1" t="s">
        <v>882</v>
      </c>
      <c r="B852" s="1" t="s">
        <v>23</v>
      </c>
      <c r="C852" s="1" t="s">
        <v>24</v>
      </c>
      <c r="D852" s="1" t="n">
        <v>19.23</v>
      </c>
      <c r="E852" s="1" t="n">
        <v>7</v>
      </c>
      <c r="F852" s="4" t="n">
        <v>44958</v>
      </c>
      <c r="G852" s="1" t="s">
        <v>30</v>
      </c>
      <c r="H852" s="1" t="n">
        <v>1</v>
      </c>
      <c r="I852" s="1" t="n">
        <v>63</v>
      </c>
      <c r="J852" s="1" t="n">
        <v>16</v>
      </c>
      <c r="K852" s="1" t="n">
        <v>7</v>
      </c>
      <c r="L852" s="1" t="n">
        <v>1</v>
      </c>
      <c r="M852" s="1" t="n">
        <v>1</v>
      </c>
      <c r="N852" s="1" t="n">
        <v>134.61</v>
      </c>
      <c r="O852" s="1" t="n">
        <v>0</v>
      </c>
      <c r="Q852" s="4" t="n">
        <v>45171</v>
      </c>
      <c r="R852" s="0" t="n">
        <f aca="false">IF(ISBLANK(F852),"Missing",IFERROR(YEAR(F852),"Missing"))</f>
        <v>2023</v>
      </c>
      <c r="S852" s="0" t="str">
        <f aca="false">IF(ISBLANK(E852),"Missing",IF(E852&lt;6,"0-6mo",IF(E852&lt;12,"6-12mo",IF(E852&lt;24,"12-24mo","24mo+"))))</f>
        <v>6-12mo</v>
      </c>
      <c r="T852" s="0" t="n">
        <f aca="false">IF(ISBLANK(C852),0,IF(C852="Month-to-month",2,IF(C852="One year",1,0)))+IF(ISBLANK(I852),0,IF(I852&lt;40,2,IF(I852&lt;55,1,0)))+IF(ISBLANK(M852),0,IF(M852=1,3,0))+IF(ISBLANK(L852),0,IF(L852&gt;=2,1,0))+IF(ISBLANK(E852),0,IF(E852&lt;12,1,0))</f>
        <v>6</v>
      </c>
      <c r="U852" s="0" t="str">
        <f aca="false">IF((ISBLANK(B852)*1+ISBLANK(C852)*1+ISBLANK(D852)*1+ISBLANK(E852)*1+ISBLANK(F852)*1+ISBLANK(I852)*1+ISBLANK(J852)*1+ISBLANK(K852)*1+ISBLANK(L852)*1+ISBLANK(M852)*1+ISBLANK(N852)*1+ISBLANK(O852)*1)&gt;0,"Missing Data","OK")</f>
        <v>OK</v>
      </c>
      <c r="V852" s="0" t="str">
        <f aca="false">IF(T852&gt;=6,"High Risk",IF(T852&gt;=3,"Medium Risk","Low Risk"))</f>
        <v>High Risk</v>
      </c>
    </row>
    <row r="853" customFormat="false" ht="12.8" hidden="false" customHeight="false" outlineLevel="0" collapsed="false">
      <c r="A853" s="1" t="s">
        <v>883</v>
      </c>
      <c r="B853" s="1" t="s">
        <v>29</v>
      </c>
      <c r="C853" s="1" t="s">
        <v>34</v>
      </c>
      <c r="D853" s="1" t="n">
        <v>39.25</v>
      </c>
      <c r="E853" s="1" t="n">
        <v>36</v>
      </c>
      <c r="F853" s="4" t="n">
        <v>44959</v>
      </c>
      <c r="G853" s="1" t="s">
        <v>25</v>
      </c>
      <c r="H853" s="1" t="n">
        <v>1</v>
      </c>
      <c r="I853" s="1" t="n">
        <v>26.5</v>
      </c>
      <c r="J853" s="1" t="n">
        <v>11</v>
      </c>
      <c r="K853" s="1" t="n">
        <v>2</v>
      </c>
      <c r="L853" s="1" t="n">
        <v>1</v>
      </c>
      <c r="M853" s="1" t="n">
        <v>1</v>
      </c>
      <c r="N853" s="1" t="n">
        <v>1413</v>
      </c>
      <c r="O853" s="1" t="n">
        <v>0</v>
      </c>
      <c r="Q853" s="4" t="n">
        <v>46054</v>
      </c>
      <c r="R853" s="0" t="n">
        <f aca="false">IF(ISBLANK(F853),"Missing",IFERROR(YEAR(F853),"Missing"))</f>
        <v>2023</v>
      </c>
      <c r="S853" s="0" t="str">
        <f aca="false">IF(ISBLANK(E853),"Missing",IF(E853&lt;6,"0-6mo",IF(E853&lt;12,"6-12mo",IF(E853&lt;24,"12-24mo","24mo+"))))</f>
        <v>24mo+</v>
      </c>
      <c r="T853" s="0" t="n">
        <f aca="false">IF(ISBLANK(C853),0,IF(C853="Month-to-month",2,IF(C853="One year",1,0)))+IF(ISBLANK(I853),0,IF(I853&lt;40,2,IF(I853&lt;55,1,0)))+IF(ISBLANK(M853),0,IF(M853=1,3,0))+IF(ISBLANK(L853),0,IF(L853&gt;=2,1,0))+IF(ISBLANK(E853),0,IF(E853&lt;12,1,0))</f>
        <v>6</v>
      </c>
      <c r="U853" s="0" t="str">
        <f aca="false">IF((ISBLANK(B853)*1+ISBLANK(C853)*1+ISBLANK(D853)*1+ISBLANK(E853)*1+ISBLANK(F853)*1+ISBLANK(I853)*1+ISBLANK(J853)*1+ISBLANK(K853)*1+ISBLANK(L853)*1+ISBLANK(M853)*1+ISBLANK(N853)*1+ISBLANK(O853)*1)&gt;0,"Missing Data","OK")</f>
        <v>OK</v>
      </c>
      <c r="V853" s="0" t="str">
        <f aca="false">IF(T853&gt;=6,"High Risk",IF(T853&gt;=3,"Medium Risk","Low Risk"))</f>
        <v>High Risk</v>
      </c>
    </row>
    <row r="854" customFormat="false" ht="12.8" hidden="false" customHeight="false" outlineLevel="0" collapsed="false">
      <c r="A854" s="1" t="s">
        <v>884</v>
      </c>
      <c r="B854" s="1" t="s">
        <v>23</v>
      </c>
      <c r="C854" s="1" t="s">
        <v>24</v>
      </c>
      <c r="D854" s="1" t="n">
        <v>21.4</v>
      </c>
      <c r="E854" s="1" t="n">
        <v>1</v>
      </c>
      <c r="F854" s="4" t="n">
        <v>44965</v>
      </c>
      <c r="G854" s="1" t="s">
        <v>25</v>
      </c>
      <c r="H854" s="1" t="n">
        <v>1</v>
      </c>
      <c r="I854" s="1" t="n">
        <v>68.3</v>
      </c>
      <c r="J854" s="1" t="n">
        <v>25</v>
      </c>
      <c r="K854" s="1" t="n">
        <v>4</v>
      </c>
      <c r="L854" s="1" t="n">
        <v>3</v>
      </c>
      <c r="M854" s="1" t="n">
        <v>1</v>
      </c>
      <c r="N854" s="1" t="n">
        <v>21.4</v>
      </c>
      <c r="O854" s="1" t="n">
        <v>0</v>
      </c>
      <c r="Q854" s="4" t="n">
        <v>44995</v>
      </c>
      <c r="R854" s="0" t="n">
        <f aca="false">IF(ISBLANK(F854),"Missing",IFERROR(YEAR(F854),"Missing"))</f>
        <v>2023</v>
      </c>
      <c r="S854" s="0" t="str">
        <f aca="false">IF(ISBLANK(E854),"Missing",IF(E854&lt;6,"0-6mo",IF(E854&lt;12,"6-12mo",IF(E854&lt;24,"12-24mo","24mo+"))))</f>
        <v>0-6mo</v>
      </c>
      <c r="T854" s="0" t="n">
        <f aca="false">IF(ISBLANK(C854),0,IF(C854="Month-to-month",2,IF(C854="One year",1,0)))+IF(ISBLANK(I854),0,IF(I854&lt;40,2,IF(I854&lt;55,1,0)))+IF(ISBLANK(M854),0,IF(M854=1,3,0))+IF(ISBLANK(L854),0,IF(L854&gt;=2,1,0))+IF(ISBLANK(E854),0,IF(E854&lt;12,1,0))</f>
        <v>7</v>
      </c>
      <c r="U854" s="0" t="str">
        <f aca="false">IF((ISBLANK(B854)*1+ISBLANK(C854)*1+ISBLANK(D854)*1+ISBLANK(E854)*1+ISBLANK(F854)*1+ISBLANK(I854)*1+ISBLANK(J854)*1+ISBLANK(K854)*1+ISBLANK(L854)*1+ISBLANK(M854)*1+ISBLANK(N854)*1+ISBLANK(O854)*1)&gt;0,"Missing Data","OK")</f>
        <v>OK</v>
      </c>
      <c r="V854" s="0" t="str">
        <f aca="false">IF(T854&gt;=6,"High Risk",IF(T854&gt;=3,"Medium Risk","Low Risk"))</f>
        <v>High Risk</v>
      </c>
    </row>
    <row r="855" customFormat="false" ht="12.8" hidden="false" customHeight="false" outlineLevel="0" collapsed="false">
      <c r="A855" s="1" t="s">
        <v>885</v>
      </c>
      <c r="B855" s="1" t="s">
        <v>36</v>
      </c>
      <c r="C855" s="1" t="s">
        <v>51</v>
      </c>
      <c r="D855" s="1" t="n">
        <v>9.9</v>
      </c>
      <c r="E855" s="1" t="n">
        <v>31</v>
      </c>
      <c r="F855" s="4" t="n">
        <v>44968</v>
      </c>
      <c r="G855" s="1" t="s">
        <v>25</v>
      </c>
      <c r="H855" s="1" t="n">
        <v>1</v>
      </c>
      <c r="I855" s="1" t="n">
        <v>53.2</v>
      </c>
      <c r="J855" s="1" t="n">
        <v>15</v>
      </c>
      <c r="K855" s="1" t="n">
        <v>4</v>
      </c>
      <c r="L855" s="1" t="n">
        <v>0</v>
      </c>
      <c r="M855" s="1" t="n">
        <v>0</v>
      </c>
      <c r="N855" s="1" t="n">
        <v>306.9</v>
      </c>
      <c r="O855" s="1" t="n">
        <v>0</v>
      </c>
      <c r="Q855" s="4" t="n">
        <v>45911</v>
      </c>
      <c r="R855" s="0" t="n">
        <f aca="false">IF(ISBLANK(F855),"Missing",IFERROR(YEAR(F855),"Missing"))</f>
        <v>2023</v>
      </c>
      <c r="S855" s="0" t="str">
        <f aca="false">IF(ISBLANK(E855),"Missing",IF(E855&lt;6,"0-6mo",IF(E855&lt;12,"6-12mo",IF(E855&lt;24,"12-24mo","24mo+"))))</f>
        <v>24mo+</v>
      </c>
      <c r="T855" s="0" t="n">
        <f aca="false">IF(ISBLANK(C855),0,IF(C855="Month-to-month",2,IF(C855="One year",1,0)))+IF(ISBLANK(I855),0,IF(I855&lt;40,2,IF(I855&lt;55,1,0)))+IF(ISBLANK(M855),0,IF(M855=1,3,0))+IF(ISBLANK(L855),0,IF(L855&gt;=2,1,0))+IF(ISBLANK(E855),0,IF(E855&lt;12,1,0))</f>
        <v>1</v>
      </c>
      <c r="U855" s="0" t="str">
        <f aca="false">IF((ISBLANK(B855)*1+ISBLANK(C855)*1+ISBLANK(D855)*1+ISBLANK(E855)*1+ISBLANK(F855)*1+ISBLANK(I855)*1+ISBLANK(J855)*1+ISBLANK(K855)*1+ISBLANK(L855)*1+ISBLANK(M855)*1+ISBLANK(N855)*1+ISBLANK(O855)*1)&gt;0,"Missing Data","OK")</f>
        <v>OK</v>
      </c>
      <c r="V855" s="0" t="str">
        <f aca="false">IF(T855&gt;=6,"High Risk",IF(T855&gt;=3,"Medium Risk","Low Risk"))</f>
        <v>Low Risk</v>
      </c>
    </row>
    <row r="856" customFormat="false" ht="12.8" hidden="false" customHeight="false" outlineLevel="0" collapsed="false">
      <c r="A856" s="1" t="s">
        <v>886</v>
      </c>
      <c r="B856" s="1" t="s">
        <v>23</v>
      </c>
      <c r="C856" s="1" t="s">
        <v>24</v>
      </c>
      <c r="D856" s="1" t="n">
        <v>19.98</v>
      </c>
      <c r="E856" s="1" t="n">
        <v>36</v>
      </c>
      <c r="F856" s="4" t="n">
        <v>44968</v>
      </c>
      <c r="G856" s="1" t="s">
        <v>25</v>
      </c>
      <c r="H856" s="1" t="n">
        <v>1</v>
      </c>
      <c r="I856" s="1" t="n">
        <v>35.4</v>
      </c>
      <c r="J856" s="1" t="n">
        <v>10</v>
      </c>
      <c r="K856" s="1" t="n">
        <v>3</v>
      </c>
      <c r="L856" s="1" t="n">
        <v>1</v>
      </c>
      <c r="M856" s="1" t="n">
        <v>0</v>
      </c>
      <c r="N856" s="1" t="n">
        <v>719.28</v>
      </c>
      <c r="O856" s="1" t="n">
        <v>1</v>
      </c>
      <c r="P856" s="4" t="n">
        <v>46063</v>
      </c>
      <c r="Q856" s="4" t="n">
        <v>46063</v>
      </c>
      <c r="R856" s="0" t="n">
        <f aca="false">IF(ISBLANK(F856),"Missing",IFERROR(YEAR(F856),"Missing"))</f>
        <v>2023</v>
      </c>
      <c r="S856" s="0" t="str">
        <f aca="false">IF(ISBLANK(E856),"Missing",IF(E856&lt;6,"0-6mo",IF(E856&lt;12,"6-12mo",IF(E856&lt;24,"12-24mo","24mo+"))))</f>
        <v>24mo+</v>
      </c>
      <c r="T856" s="0" t="n">
        <f aca="false">IF(ISBLANK(C856),0,IF(C856="Month-to-month",2,IF(C856="One year",1,0)))+IF(ISBLANK(I856),0,IF(I856&lt;40,2,IF(I856&lt;55,1,0)))+IF(ISBLANK(M856),0,IF(M856=1,3,0))+IF(ISBLANK(L856),0,IF(L856&gt;=2,1,0))+IF(ISBLANK(E856),0,IF(E856&lt;12,1,0))</f>
        <v>4</v>
      </c>
      <c r="U856" s="0" t="str">
        <f aca="false">IF((ISBLANK(B856)*1+ISBLANK(C856)*1+ISBLANK(D856)*1+ISBLANK(E856)*1+ISBLANK(F856)*1+ISBLANK(I856)*1+ISBLANK(J856)*1+ISBLANK(K856)*1+ISBLANK(L856)*1+ISBLANK(M856)*1+ISBLANK(N856)*1+ISBLANK(O856)*1)&gt;0,"Missing Data","OK")</f>
        <v>OK</v>
      </c>
      <c r="V856" s="0" t="str">
        <f aca="false">IF(T856&gt;=6,"High Risk",IF(T856&gt;=3,"Medium Risk","Low Risk"))</f>
        <v>Medium Risk</v>
      </c>
    </row>
    <row r="857" customFormat="false" ht="12.8" hidden="false" customHeight="false" outlineLevel="0" collapsed="false">
      <c r="A857" s="1" t="s">
        <v>887</v>
      </c>
      <c r="B857" s="1" t="s">
        <v>23</v>
      </c>
      <c r="C857" s="1" t="s">
        <v>24</v>
      </c>
      <c r="D857" s="1" t="n">
        <v>23.13</v>
      </c>
      <c r="E857" s="1" t="n">
        <v>19</v>
      </c>
      <c r="F857" s="4" t="n">
        <v>44970</v>
      </c>
      <c r="G857" s="1" t="s">
        <v>39</v>
      </c>
      <c r="H857" s="1" t="n">
        <v>1</v>
      </c>
      <c r="I857" s="1" t="n">
        <v>44.5</v>
      </c>
      <c r="J857" s="1" t="n">
        <v>18</v>
      </c>
      <c r="K857" s="1" t="n">
        <v>3</v>
      </c>
      <c r="L857" s="1" t="n">
        <v>0</v>
      </c>
      <c r="M857" s="1" t="n">
        <v>0</v>
      </c>
      <c r="N857" s="1" t="n">
        <v>439.47</v>
      </c>
      <c r="O857" s="1" t="n">
        <v>0</v>
      </c>
      <c r="Q857" s="4" t="n">
        <v>45548</v>
      </c>
      <c r="R857" s="0" t="n">
        <f aca="false">IF(ISBLANK(F857),"Missing",IFERROR(YEAR(F857),"Missing"))</f>
        <v>2023</v>
      </c>
      <c r="S857" s="0" t="str">
        <f aca="false">IF(ISBLANK(E857),"Missing",IF(E857&lt;6,"0-6mo",IF(E857&lt;12,"6-12mo",IF(E857&lt;24,"12-24mo","24mo+"))))</f>
        <v>12-24mo</v>
      </c>
      <c r="T857" s="0" t="n">
        <f aca="false">IF(ISBLANK(C857),0,IF(C857="Month-to-month",2,IF(C857="One year",1,0)))+IF(ISBLANK(I857),0,IF(I857&lt;40,2,IF(I857&lt;55,1,0)))+IF(ISBLANK(M857),0,IF(M857=1,3,0))+IF(ISBLANK(L857),0,IF(L857&gt;=2,1,0))+IF(ISBLANK(E857),0,IF(E857&lt;12,1,0))</f>
        <v>3</v>
      </c>
      <c r="U857" s="0" t="str">
        <f aca="false">IF((ISBLANK(B857)*1+ISBLANK(C857)*1+ISBLANK(D857)*1+ISBLANK(E857)*1+ISBLANK(F857)*1+ISBLANK(I857)*1+ISBLANK(J857)*1+ISBLANK(K857)*1+ISBLANK(L857)*1+ISBLANK(M857)*1+ISBLANK(N857)*1+ISBLANK(O857)*1)&gt;0,"Missing Data","OK")</f>
        <v>OK</v>
      </c>
      <c r="V857" s="0" t="str">
        <f aca="false">IF(T857&gt;=6,"High Risk",IF(T857&gt;=3,"Medium Risk","Low Risk"))</f>
        <v>Medium Risk</v>
      </c>
    </row>
    <row r="858" customFormat="false" ht="12.8" hidden="false" customHeight="false" outlineLevel="0" collapsed="false">
      <c r="A858" s="1" t="s">
        <v>888</v>
      </c>
      <c r="B858" s="1" t="s">
        <v>36</v>
      </c>
      <c r="C858" s="1" t="s">
        <v>34</v>
      </c>
      <c r="D858" s="1" t="n">
        <v>9.81</v>
      </c>
      <c r="E858" s="1" t="n">
        <v>49</v>
      </c>
      <c r="F858" s="4" t="n">
        <v>44970</v>
      </c>
      <c r="G858" s="1" t="s">
        <v>39</v>
      </c>
      <c r="H858" s="1" t="n">
        <v>0</v>
      </c>
      <c r="I858" s="1" t="n">
        <v>82.2</v>
      </c>
      <c r="J858" s="1" t="n">
        <v>27</v>
      </c>
      <c r="K858" s="1" t="n">
        <v>8</v>
      </c>
      <c r="L858" s="1" t="n">
        <v>0</v>
      </c>
      <c r="M858" s="1" t="n">
        <v>0</v>
      </c>
      <c r="N858" s="1" t="n">
        <v>480.69</v>
      </c>
      <c r="O858" s="1" t="n">
        <v>0</v>
      </c>
      <c r="Q858" s="4" t="n">
        <v>46293</v>
      </c>
      <c r="R858" s="0" t="n">
        <f aca="false">IF(ISBLANK(F858),"Missing",IFERROR(YEAR(F858),"Missing"))</f>
        <v>2023</v>
      </c>
      <c r="S858" s="0" t="str">
        <f aca="false">IF(ISBLANK(E858),"Missing",IF(E858&lt;6,"0-6mo",IF(E858&lt;12,"6-12mo",IF(E858&lt;24,"12-24mo","24mo+"))))</f>
        <v>24mo+</v>
      </c>
      <c r="T858" s="0" t="n">
        <f aca="false">IF(ISBLANK(C858),0,IF(C858="Month-to-month",2,IF(C858="One year",1,0)))+IF(ISBLANK(I858),0,IF(I858&lt;40,2,IF(I858&lt;55,1,0)))+IF(ISBLANK(M858),0,IF(M858=1,3,0))+IF(ISBLANK(L858),0,IF(L858&gt;=2,1,0))+IF(ISBLANK(E858),0,IF(E858&lt;12,1,0))</f>
        <v>1</v>
      </c>
      <c r="U858" s="0" t="str">
        <f aca="false">IF((ISBLANK(B858)*1+ISBLANK(C858)*1+ISBLANK(D858)*1+ISBLANK(E858)*1+ISBLANK(F858)*1+ISBLANK(I858)*1+ISBLANK(J858)*1+ISBLANK(K858)*1+ISBLANK(L858)*1+ISBLANK(M858)*1+ISBLANK(N858)*1+ISBLANK(O858)*1)&gt;0,"Missing Data","OK")</f>
        <v>OK</v>
      </c>
      <c r="V858" s="0" t="str">
        <f aca="false">IF(T858&gt;=6,"High Risk",IF(T858&gt;=3,"Medium Risk","Low Risk"))</f>
        <v>Low Risk</v>
      </c>
    </row>
    <row r="859" customFormat="false" ht="12.8" hidden="false" customHeight="false" outlineLevel="0" collapsed="false">
      <c r="A859" s="1" t="s">
        <v>889</v>
      </c>
      <c r="B859" s="1" t="s">
        <v>36</v>
      </c>
      <c r="C859" s="1" t="s">
        <v>34</v>
      </c>
      <c r="D859" s="1" t="n">
        <v>10.29</v>
      </c>
      <c r="E859" s="1" t="n">
        <v>1</v>
      </c>
      <c r="F859" s="4" t="n">
        <v>44970</v>
      </c>
      <c r="G859" s="1" t="s">
        <v>25</v>
      </c>
      <c r="H859" s="1" t="n">
        <v>1</v>
      </c>
      <c r="I859" s="1" t="n">
        <v>49.8</v>
      </c>
      <c r="J859" s="1" t="n">
        <v>14</v>
      </c>
      <c r="K859" s="1" t="n">
        <v>6</v>
      </c>
      <c r="L859" s="1" t="n">
        <v>0</v>
      </c>
      <c r="M859" s="1" t="n">
        <v>0</v>
      </c>
      <c r="N859" s="1" t="n">
        <v>10.29</v>
      </c>
      <c r="O859" s="1" t="n">
        <v>0</v>
      </c>
      <c r="Q859" s="4" t="n">
        <v>45000</v>
      </c>
      <c r="R859" s="0" t="n">
        <f aca="false">IF(ISBLANK(F859),"Missing",IFERROR(YEAR(F859),"Missing"))</f>
        <v>2023</v>
      </c>
      <c r="S859" s="0" t="str">
        <f aca="false">IF(ISBLANK(E859),"Missing",IF(E859&lt;6,"0-6mo",IF(E859&lt;12,"6-12mo",IF(E859&lt;24,"12-24mo","24mo+"))))</f>
        <v>0-6mo</v>
      </c>
      <c r="T859" s="0" t="n">
        <f aca="false">IF(ISBLANK(C859),0,IF(C859="Month-to-month",2,IF(C859="One year",1,0)))+IF(ISBLANK(I859),0,IF(I859&lt;40,2,IF(I859&lt;55,1,0)))+IF(ISBLANK(M859),0,IF(M859=1,3,0))+IF(ISBLANK(L859),0,IF(L859&gt;=2,1,0))+IF(ISBLANK(E859),0,IF(E859&lt;12,1,0))</f>
        <v>3</v>
      </c>
      <c r="U859" s="0" t="str">
        <f aca="false">IF((ISBLANK(B859)*1+ISBLANK(C859)*1+ISBLANK(D859)*1+ISBLANK(E859)*1+ISBLANK(F859)*1+ISBLANK(I859)*1+ISBLANK(J859)*1+ISBLANK(K859)*1+ISBLANK(L859)*1+ISBLANK(M859)*1+ISBLANK(N859)*1+ISBLANK(O859)*1)&gt;0,"Missing Data","OK")</f>
        <v>OK</v>
      </c>
      <c r="V859" s="0" t="str">
        <f aca="false">IF(T859&gt;=6,"High Risk",IF(T859&gt;=3,"Medium Risk","Low Risk"))</f>
        <v>Medium Risk</v>
      </c>
    </row>
    <row r="860" customFormat="false" ht="12.8" hidden="false" customHeight="false" outlineLevel="0" collapsed="false">
      <c r="A860" s="1" t="s">
        <v>890</v>
      </c>
      <c r="B860" s="1" t="s">
        <v>36</v>
      </c>
      <c r="C860" s="1" t="s">
        <v>24</v>
      </c>
      <c r="D860" s="1" t="n">
        <v>10.17</v>
      </c>
      <c r="E860" s="1" t="n">
        <v>7</v>
      </c>
      <c r="F860" s="4" t="n">
        <v>44972</v>
      </c>
      <c r="G860" s="1" t="s">
        <v>25</v>
      </c>
      <c r="H860" s="1" t="n">
        <v>1</v>
      </c>
      <c r="I860" s="1" t="n">
        <v>80.1</v>
      </c>
      <c r="J860" s="1" t="n">
        <v>27</v>
      </c>
      <c r="K860" s="1" t="n">
        <v>7</v>
      </c>
      <c r="L860" s="1" t="n">
        <v>1</v>
      </c>
      <c r="M860" s="1" t="n">
        <v>1</v>
      </c>
      <c r="N860" s="1" t="n">
        <v>71.19</v>
      </c>
      <c r="O860" s="1" t="n">
        <v>1</v>
      </c>
      <c r="P860" s="4" t="n">
        <v>45185</v>
      </c>
      <c r="Q860" s="4" t="n">
        <v>45185</v>
      </c>
      <c r="R860" s="0" t="n">
        <f aca="false">IF(ISBLANK(F860),"Missing",IFERROR(YEAR(F860),"Missing"))</f>
        <v>2023</v>
      </c>
      <c r="S860" s="0" t="str">
        <f aca="false">IF(ISBLANK(E860),"Missing",IF(E860&lt;6,"0-6mo",IF(E860&lt;12,"6-12mo",IF(E860&lt;24,"12-24mo","24mo+"))))</f>
        <v>6-12mo</v>
      </c>
      <c r="T860" s="0" t="n">
        <f aca="false">IF(ISBLANK(C860),0,IF(C860="Month-to-month",2,IF(C860="One year",1,0)))+IF(ISBLANK(I860),0,IF(I860&lt;40,2,IF(I860&lt;55,1,0)))+IF(ISBLANK(M860),0,IF(M860=1,3,0))+IF(ISBLANK(L860),0,IF(L860&gt;=2,1,0))+IF(ISBLANK(E860),0,IF(E860&lt;12,1,0))</f>
        <v>6</v>
      </c>
      <c r="U860" s="0" t="str">
        <f aca="false">IF((ISBLANK(B860)*1+ISBLANK(C860)*1+ISBLANK(D860)*1+ISBLANK(E860)*1+ISBLANK(F860)*1+ISBLANK(I860)*1+ISBLANK(J860)*1+ISBLANK(K860)*1+ISBLANK(L860)*1+ISBLANK(M860)*1+ISBLANK(N860)*1+ISBLANK(O860)*1)&gt;0,"Missing Data","OK")</f>
        <v>OK</v>
      </c>
      <c r="V860" s="0" t="str">
        <f aca="false">IF(T860&gt;=6,"High Risk",IF(T860&gt;=3,"Medium Risk","Low Risk"))</f>
        <v>High Risk</v>
      </c>
    </row>
    <row r="861" customFormat="false" ht="12.8" hidden="false" customHeight="false" outlineLevel="0" collapsed="false">
      <c r="A861" s="1" t="s">
        <v>891</v>
      </c>
      <c r="B861" s="1" t="s">
        <v>23</v>
      </c>
      <c r="C861" s="1" t="s">
        <v>34</v>
      </c>
      <c r="D861" s="1" t="n">
        <v>18.61</v>
      </c>
      <c r="E861" s="1" t="n">
        <v>9</v>
      </c>
      <c r="F861" s="4" t="n">
        <v>44973</v>
      </c>
      <c r="G861" s="1" t="s">
        <v>25</v>
      </c>
      <c r="H861" s="1" t="n">
        <v>1</v>
      </c>
      <c r="I861" s="1" t="n">
        <v>34.2</v>
      </c>
      <c r="J861" s="1" t="n">
        <v>18</v>
      </c>
      <c r="K861" s="1" t="n">
        <v>5</v>
      </c>
      <c r="L861" s="1" t="n">
        <v>2</v>
      </c>
      <c r="M861" s="1" t="n">
        <v>1</v>
      </c>
      <c r="N861" s="1" t="n">
        <v>167.49</v>
      </c>
      <c r="O861" s="1" t="n">
        <v>0</v>
      </c>
      <c r="Q861" s="4" t="n">
        <v>45246</v>
      </c>
      <c r="R861" s="0" t="n">
        <f aca="false">IF(ISBLANK(F861),"Missing",IFERROR(YEAR(F861),"Missing"))</f>
        <v>2023</v>
      </c>
      <c r="S861" s="0" t="str">
        <f aca="false">IF(ISBLANK(E861),"Missing",IF(E861&lt;6,"0-6mo",IF(E861&lt;12,"6-12mo",IF(E861&lt;24,"12-24mo","24mo+"))))</f>
        <v>6-12mo</v>
      </c>
      <c r="T861" s="0" t="n">
        <f aca="false">IF(ISBLANK(C861),0,IF(C861="Month-to-month",2,IF(C861="One year",1,0)))+IF(ISBLANK(I861),0,IF(I861&lt;40,2,IF(I861&lt;55,1,0)))+IF(ISBLANK(M861),0,IF(M861=1,3,0))+IF(ISBLANK(L861),0,IF(L861&gt;=2,1,0))+IF(ISBLANK(E861),0,IF(E861&lt;12,1,0))</f>
        <v>8</v>
      </c>
      <c r="U861" s="0" t="str">
        <f aca="false">IF((ISBLANK(B861)*1+ISBLANK(C861)*1+ISBLANK(D861)*1+ISBLANK(E861)*1+ISBLANK(F861)*1+ISBLANK(I861)*1+ISBLANK(J861)*1+ISBLANK(K861)*1+ISBLANK(L861)*1+ISBLANK(M861)*1+ISBLANK(N861)*1+ISBLANK(O861)*1)&gt;0,"Missing Data","OK")</f>
        <v>OK</v>
      </c>
      <c r="V861" s="0" t="str">
        <f aca="false">IF(T861&gt;=6,"High Risk",IF(T861&gt;=3,"Medium Risk","Low Risk"))</f>
        <v>High Risk</v>
      </c>
    </row>
    <row r="862" customFormat="false" ht="12.8" hidden="false" customHeight="false" outlineLevel="0" collapsed="false">
      <c r="A862" s="1" t="s">
        <v>892</v>
      </c>
      <c r="B862" s="1" t="s">
        <v>36</v>
      </c>
      <c r="C862" s="1" t="s">
        <v>34</v>
      </c>
      <c r="D862" s="1" t="n">
        <v>8.75</v>
      </c>
      <c r="E862" s="1" t="n">
        <v>22</v>
      </c>
      <c r="F862" s="4" t="n">
        <v>44974</v>
      </c>
      <c r="G862" s="1" t="s">
        <v>27</v>
      </c>
      <c r="H862" s="1" t="n">
        <v>1</v>
      </c>
      <c r="I862" s="1" t="n">
        <v>68.7</v>
      </c>
      <c r="J862" s="1" t="n">
        <v>25</v>
      </c>
      <c r="K862" s="1" t="n">
        <v>5</v>
      </c>
      <c r="L862" s="1" t="n">
        <v>2</v>
      </c>
      <c r="M862" s="1" t="n">
        <v>0</v>
      </c>
      <c r="N862" s="1" t="n">
        <v>192.5</v>
      </c>
      <c r="O862" s="1" t="n">
        <v>0</v>
      </c>
      <c r="Q862" s="4" t="n">
        <v>45643</v>
      </c>
      <c r="R862" s="0" t="n">
        <f aca="false">IF(ISBLANK(F862),"Missing",IFERROR(YEAR(F862),"Missing"))</f>
        <v>2023</v>
      </c>
      <c r="S862" s="0" t="str">
        <f aca="false">IF(ISBLANK(E862),"Missing",IF(E862&lt;6,"0-6mo",IF(E862&lt;12,"6-12mo",IF(E862&lt;24,"12-24mo","24mo+"))))</f>
        <v>12-24mo</v>
      </c>
      <c r="T862" s="0" t="n">
        <f aca="false">IF(ISBLANK(C862),0,IF(C862="Month-to-month",2,IF(C862="One year",1,0)))+IF(ISBLANK(I862),0,IF(I862&lt;40,2,IF(I862&lt;55,1,0)))+IF(ISBLANK(M862),0,IF(M862=1,3,0))+IF(ISBLANK(L862),0,IF(L862&gt;=2,1,0))+IF(ISBLANK(E862),0,IF(E862&lt;12,1,0))</f>
        <v>2</v>
      </c>
      <c r="U862" s="0" t="str">
        <f aca="false">IF((ISBLANK(B862)*1+ISBLANK(C862)*1+ISBLANK(D862)*1+ISBLANK(E862)*1+ISBLANK(F862)*1+ISBLANK(I862)*1+ISBLANK(J862)*1+ISBLANK(K862)*1+ISBLANK(L862)*1+ISBLANK(M862)*1+ISBLANK(N862)*1+ISBLANK(O862)*1)&gt;0,"Missing Data","OK")</f>
        <v>OK</v>
      </c>
      <c r="V862" s="0" t="str">
        <f aca="false">IF(T862&gt;=6,"High Risk",IF(T862&gt;=3,"Medium Risk","Low Risk"))</f>
        <v>Low Risk</v>
      </c>
    </row>
    <row r="863" customFormat="false" ht="12.8" hidden="false" customHeight="false" outlineLevel="0" collapsed="false">
      <c r="A863" s="1" t="s">
        <v>893</v>
      </c>
      <c r="B863" s="1" t="s">
        <v>23</v>
      </c>
      <c r="C863" s="1" t="s">
        <v>24</v>
      </c>
      <c r="D863" s="1" t="n">
        <v>19.33</v>
      </c>
      <c r="E863" s="1" t="n">
        <v>17</v>
      </c>
      <c r="F863" s="4" t="n">
        <v>44975</v>
      </c>
      <c r="G863" s="1" t="s">
        <v>39</v>
      </c>
      <c r="H863" s="1" t="n">
        <v>1</v>
      </c>
      <c r="I863" s="1" t="n">
        <v>80.7</v>
      </c>
      <c r="J863" s="1" t="n">
        <v>22</v>
      </c>
      <c r="K863" s="1" t="n">
        <v>8</v>
      </c>
      <c r="L863" s="1" t="n">
        <v>4</v>
      </c>
      <c r="M863" s="1" t="n">
        <v>0</v>
      </c>
      <c r="N863" s="1" t="n">
        <v>328.61</v>
      </c>
      <c r="O863" s="1" t="n">
        <v>0</v>
      </c>
      <c r="Q863" s="4" t="n">
        <v>45492</v>
      </c>
      <c r="R863" s="0" t="n">
        <f aca="false">IF(ISBLANK(F863),"Missing",IFERROR(YEAR(F863),"Missing"))</f>
        <v>2023</v>
      </c>
      <c r="S863" s="0" t="str">
        <f aca="false">IF(ISBLANK(E863),"Missing",IF(E863&lt;6,"0-6mo",IF(E863&lt;12,"6-12mo",IF(E863&lt;24,"12-24mo","24mo+"))))</f>
        <v>12-24mo</v>
      </c>
      <c r="T863" s="0" t="n">
        <f aca="false">IF(ISBLANK(C863),0,IF(C863="Month-to-month",2,IF(C863="One year",1,0)))+IF(ISBLANK(I863),0,IF(I863&lt;40,2,IF(I863&lt;55,1,0)))+IF(ISBLANK(M863),0,IF(M863=1,3,0))+IF(ISBLANK(L863),0,IF(L863&gt;=2,1,0))+IF(ISBLANK(E863),0,IF(E863&lt;12,1,0))</f>
        <v>3</v>
      </c>
      <c r="U863" s="0" t="str">
        <f aca="false">IF((ISBLANK(B863)*1+ISBLANK(C863)*1+ISBLANK(D863)*1+ISBLANK(E863)*1+ISBLANK(F863)*1+ISBLANK(I863)*1+ISBLANK(J863)*1+ISBLANK(K863)*1+ISBLANK(L863)*1+ISBLANK(M863)*1+ISBLANK(N863)*1+ISBLANK(O863)*1)&gt;0,"Missing Data","OK")</f>
        <v>OK</v>
      </c>
      <c r="V863" s="0" t="str">
        <f aca="false">IF(T863&gt;=6,"High Risk",IF(T863&gt;=3,"Medium Risk","Low Risk"))</f>
        <v>Medium Risk</v>
      </c>
    </row>
    <row r="864" customFormat="false" ht="12.8" hidden="false" customHeight="false" outlineLevel="0" collapsed="false">
      <c r="A864" s="1" t="s">
        <v>894</v>
      </c>
      <c r="B864" s="1" t="s">
        <v>36</v>
      </c>
      <c r="C864" s="1" t="s">
        <v>34</v>
      </c>
      <c r="D864" s="1" t="n">
        <v>10.83</v>
      </c>
      <c r="E864" s="1" t="n">
        <v>20</v>
      </c>
      <c r="F864" s="4" t="n">
        <v>44977</v>
      </c>
      <c r="G864" s="1" t="s">
        <v>30</v>
      </c>
      <c r="H864" s="1" t="n">
        <v>1</v>
      </c>
      <c r="I864" s="1" t="n">
        <v>49.2</v>
      </c>
      <c r="J864" s="1" t="n">
        <v>14</v>
      </c>
      <c r="K864" s="1" t="n">
        <v>6</v>
      </c>
      <c r="L864" s="1" t="n">
        <v>2</v>
      </c>
      <c r="M864" s="1" t="n">
        <v>0</v>
      </c>
      <c r="N864" s="1" t="n">
        <v>216.6</v>
      </c>
      <c r="O864" s="1" t="n">
        <v>0</v>
      </c>
      <c r="Q864" s="4" t="n">
        <v>45585</v>
      </c>
      <c r="R864" s="0" t="n">
        <f aca="false">IF(ISBLANK(F864),"Missing",IFERROR(YEAR(F864),"Missing"))</f>
        <v>2023</v>
      </c>
      <c r="S864" s="0" t="str">
        <f aca="false">IF(ISBLANK(E864),"Missing",IF(E864&lt;6,"0-6mo",IF(E864&lt;12,"6-12mo",IF(E864&lt;24,"12-24mo","24mo+"))))</f>
        <v>12-24mo</v>
      </c>
      <c r="T864" s="0" t="n">
        <f aca="false">IF(ISBLANK(C864),0,IF(C864="Month-to-month",2,IF(C864="One year",1,0)))+IF(ISBLANK(I864),0,IF(I864&lt;40,2,IF(I864&lt;55,1,0)))+IF(ISBLANK(M864),0,IF(M864=1,3,0))+IF(ISBLANK(L864),0,IF(L864&gt;=2,1,0))+IF(ISBLANK(E864),0,IF(E864&lt;12,1,0))</f>
        <v>3</v>
      </c>
      <c r="U864" s="0" t="str">
        <f aca="false">IF((ISBLANK(B864)*1+ISBLANK(C864)*1+ISBLANK(D864)*1+ISBLANK(E864)*1+ISBLANK(F864)*1+ISBLANK(I864)*1+ISBLANK(J864)*1+ISBLANK(K864)*1+ISBLANK(L864)*1+ISBLANK(M864)*1+ISBLANK(N864)*1+ISBLANK(O864)*1)&gt;0,"Missing Data","OK")</f>
        <v>OK</v>
      </c>
      <c r="V864" s="0" t="str">
        <f aca="false">IF(T864&gt;=6,"High Risk",IF(T864&gt;=3,"Medium Risk","Low Risk"))</f>
        <v>Medium Risk</v>
      </c>
    </row>
    <row r="865" customFormat="false" ht="12.8" hidden="false" customHeight="false" outlineLevel="0" collapsed="false">
      <c r="A865" s="1" t="s">
        <v>895</v>
      </c>
      <c r="B865" s="1" t="s">
        <v>29</v>
      </c>
      <c r="C865" s="1" t="s">
        <v>34</v>
      </c>
      <c r="D865" s="1" t="n">
        <v>40.28</v>
      </c>
      <c r="E865" s="1" t="n">
        <v>61</v>
      </c>
      <c r="F865" s="4" t="n">
        <v>44977</v>
      </c>
      <c r="G865" s="1" t="s">
        <v>27</v>
      </c>
      <c r="H865" s="1" t="n">
        <v>0</v>
      </c>
      <c r="I865" s="1" t="n">
        <v>30.5</v>
      </c>
      <c r="J865" s="1" t="n">
        <v>2</v>
      </c>
      <c r="K865" s="1" t="n">
        <v>2</v>
      </c>
      <c r="L865" s="1" t="n">
        <v>1</v>
      </c>
      <c r="M865" s="1" t="n">
        <v>0</v>
      </c>
      <c r="N865" s="1" t="n">
        <v>2457.08</v>
      </c>
      <c r="O865" s="1" t="n">
        <v>0</v>
      </c>
      <c r="Q865" s="4" t="n">
        <v>46293</v>
      </c>
      <c r="R865" s="0" t="n">
        <f aca="false">IF(ISBLANK(F865),"Missing",IFERROR(YEAR(F865),"Missing"))</f>
        <v>2023</v>
      </c>
      <c r="S865" s="0" t="str">
        <f aca="false">IF(ISBLANK(E865),"Missing",IF(E865&lt;6,"0-6mo",IF(E865&lt;12,"6-12mo",IF(E865&lt;24,"12-24mo","24mo+"))))</f>
        <v>24mo+</v>
      </c>
      <c r="T865" s="0" t="n">
        <f aca="false">IF(ISBLANK(C865),0,IF(C865="Month-to-month",2,IF(C865="One year",1,0)))+IF(ISBLANK(I865),0,IF(I865&lt;40,2,IF(I865&lt;55,1,0)))+IF(ISBLANK(M865),0,IF(M865=1,3,0))+IF(ISBLANK(L865),0,IF(L865&gt;=2,1,0))+IF(ISBLANK(E865),0,IF(E865&lt;12,1,0))</f>
        <v>3</v>
      </c>
      <c r="U865" s="0" t="str">
        <f aca="false">IF((ISBLANK(B865)*1+ISBLANK(C865)*1+ISBLANK(D865)*1+ISBLANK(E865)*1+ISBLANK(F865)*1+ISBLANK(I865)*1+ISBLANK(J865)*1+ISBLANK(K865)*1+ISBLANK(L865)*1+ISBLANK(M865)*1+ISBLANK(N865)*1+ISBLANK(O865)*1)&gt;0,"Missing Data","OK")</f>
        <v>OK</v>
      </c>
      <c r="V865" s="0" t="str">
        <f aca="false">IF(T865&gt;=6,"High Risk",IF(T865&gt;=3,"Medium Risk","Low Risk"))</f>
        <v>Medium Risk</v>
      </c>
    </row>
    <row r="866" customFormat="false" ht="12.8" hidden="false" customHeight="false" outlineLevel="0" collapsed="false">
      <c r="A866" s="1" t="s">
        <v>896</v>
      </c>
      <c r="B866" s="1" t="s">
        <v>36</v>
      </c>
      <c r="C866" s="1" t="s">
        <v>24</v>
      </c>
      <c r="D866" s="1" t="n">
        <v>10.04</v>
      </c>
      <c r="E866" s="1" t="n">
        <v>3</v>
      </c>
      <c r="F866" s="4" t="n">
        <v>44980</v>
      </c>
      <c r="G866" s="1" t="s">
        <v>27</v>
      </c>
      <c r="H866" s="1" t="n">
        <v>0</v>
      </c>
      <c r="I866" s="1" t="n">
        <v>67.2</v>
      </c>
      <c r="J866" s="1" t="n">
        <v>15</v>
      </c>
      <c r="K866" s="1" t="n">
        <v>8</v>
      </c>
      <c r="L866" s="1" t="n">
        <v>1</v>
      </c>
      <c r="M866" s="1" t="n">
        <v>0</v>
      </c>
      <c r="N866" s="1" t="n">
        <v>30.12</v>
      </c>
      <c r="O866" s="1" t="n">
        <v>1</v>
      </c>
      <c r="P866" s="4" t="n">
        <v>45071</v>
      </c>
      <c r="Q866" s="4" t="n">
        <v>45071</v>
      </c>
      <c r="R866" s="0" t="n">
        <f aca="false">IF(ISBLANK(F866),"Missing",IFERROR(YEAR(F866),"Missing"))</f>
        <v>2023</v>
      </c>
      <c r="S866" s="0" t="str">
        <f aca="false">IF(ISBLANK(E866),"Missing",IF(E866&lt;6,"0-6mo",IF(E866&lt;12,"6-12mo",IF(E866&lt;24,"12-24mo","24mo+"))))</f>
        <v>0-6mo</v>
      </c>
      <c r="T866" s="0" t="n">
        <f aca="false">IF(ISBLANK(C866),0,IF(C866="Month-to-month",2,IF(C866="One year",1,0)))+IF(ISBLANK(I866),0,IF(I866&lt;40,2,IF(I866&lt;55,1,0)))+IF(ISBLANK(M866),0,IF(M866=1,3,0))+IF(ISBLANK(L866),0,IF(L866&gt;=2,1,0))+IF(ISBLANK(E866),0,IF(E866&lt;12,1,0))</f>
        <v>3</v>
      </c>
      <c r="U866" s="0" t="str">
        <f aca="false">IF((ISBLANK(B866)*1+ISBLANK(C866)*1+ISBLANK(D866)*1+ISBLANK(E866)*1+ISBLANK(F866)*1+ISBLANK(I866)*1+ISBLANK(J866)*1+ISBLANK(K866)*1+ISBLANK(L866)*1+ISBLANK(M866)*1+ISBLANK(N866)*1+ISBLANK(O866)*1)&gt;0,"Missing Data","OK")</f>
        <v>OK</v>
      </c>
      <c r="V866" s="0" t="str">
        <f aca="false">IF(T866&gt;=6,"High Risk",IF(T866&gt;=3,"Medium Risk","Low Risk"))</f>
        <v>Medium Risk</v>
      </c>
    </row>
    <row r="867" customFormat="false" ht="12.8" hidden="false" customHeight="false" outlineLevel="0" collapsed="false">
      <c r="A867" s="1" t="s">
        <v>897</v>
      </c>
      <c r="B867" s="1" t="s">
        <v>36</v>
      </c>
      <c r="C867" s="1" t="s">
        <v>34</v>
      </c>
      <c r="D867" s="1" t="n">
        <v>8.58</v>
      </c>
      <c r="E867" s="1" t="n">
        <v>50</v>
      </c>
      <c r="F867" s="4" t="n">
        <v>44981</v>
      </c>
      <c r="G867" s="1" t="s">
        <v>30</v>
      </c>
      <c r="H867" s="1" t="n">
        <v>0</v>
      </c>
      <c r="I867" s="1" t="n">
        <v>74.6</v>
      </c>
      <c r="J867" s="1" t="n">
        <v>20</v>
      </c>
      <c r="K867" s="1" t="n">
        <v>9</v>
      </c>
      <c r="L867" s="1" t="n">
        <v>3</v>
      </c>
      <c r="M867" s="1" t="n">
        <v>0</v>
      </c>
      <c r="N867" s="1" t="n">
        <v>429</v>
      </c>
      <c r="O867" s="1" t="n">
        <v>0</v>
      </c>
      <c r="Q867" s="4" t="n">
        <v>46293</v>
      </c>
      <c r="R867" s="0" t="n">
        <f aca="false">IF(ISBLANK(F867),"Missing",IFERROR(YEAR(F867),"Missing"))</f>
        <v>2023</v>
      </c>
      <c r="S867" s="0" t="str">
        <f aca="false">IF(ISBLANK(E867),"Missing",IF(E867&lt;6,"0-6mo",IF(E867&lt;12,"6-12mo",IF(E867&lt;24,"12-24mo","24mo+"))))</f>
        <v>24mo+</v>
      </c>
      <c r="T867" s="0" t="n">
        <f aca="false">IF(ISBLANK(C867),0,IF(C867="Month-to-month",2,IF(C867="One year",1,0)))+IF(ISBLANK(I867),0,IF(I867&lt;40,2,IF(I867&lt;55,1,0)))+IF(ISBLANK(M867),0,IF(M867=1,3,0))+IF(ISBLANK(L867),0,IF(L867&gt;=2,1,0))+IF(ISBLANK(E867),0,IF(E867&lt;12,1,0))</f>
        <v>2</v>
      </c>
      <c r="U867" s="0" t="str">
        <f aca="false">IF((ISBLANK(B867)*1+ISBLANK(C867)*1+ISBLANK(D867)*1+ISBLANK(E867)*1+ISBLANK(F867)*1+ISBLANK(I867)*1+ISBLANK(J867)*1+ISBLANK(K867)*1+ISBLANK(L867)*1+ISBLANK(M867)*1+ISBLANK(N867)*1+ISBLANK(O867)*1)&gt;0,"Missing Data","OK")</f>
        <v>OK</v>
      </c>
      <c r="V867" s="0" t="str">
        <f aca="false">IF(T867&gt;=6,"High Risk",IF(T867&gt;=3,"Medium Risk","Low Risk"))</f>
        <v>Low Risk</v>
      </c>
    </row>
    <row r="868" customFormat="false" ht="12.8" hidden="false" customHeight="false" outlineLevel="0" collapsed="false">
      <c r="A868" s="1" t="s">
        <v>898</v>
      </c>
      <c r="B868" s="1" t="s">
        <v>36</v>
      </c>
      <c r="C868" s="1" t="s">
        <v>24</v>
      </c>
      <c r="D868" s="1" t="n">
        <v>10.66</v>
      </c>
      <c r="E868" s="1" t="n">
        <v>29</v>
      </c>
      <c r="F868" s="4" t="n">
        <v>44984</v>
      </c>
      <c r="G868" s="1" t="s">
        <v>25</v>
      </c>
      <c r="H868" s="1" t="n">
        <v>1</v>
      </c>
      <c r="I868" s="1" t="n">
        <v>35.9</v>
      </c>
      <c r="J868" s="1" t="n">
        <v>11</v>
      </c>
      <c r="K868" s="1" t="n">
        <v>3</v>
      </c>
      <c r="L868" s="1" t="n">
        <v>2</v>
      </c>
      <c r="M868" s="1" t="n">
        <v>0</v>
      </c>
      <c r="N868" s="1" t="n">
        <v>309.14</v>
      </c>
      <c r="O868" s="1" t="n">
        <v>0</v>
      </c>
      <c r="Q868" s="4" t="n">
        <v>45866</v>
      </c>
      <c r="R868" s="0" t="n">
        <f aca="false">IF(ISBLANK(F868),"Missing",IFERROR(YEAR(F868),"Missing"))</f>
        <v>2023</v>
      </c>
      <c r="S868" s="0" t="str">
        <f aca="false">IF(ISBLANK(E868),"Missing",IF(E868&lt;6,"0-6mo",IF(E868&lt;12,"6-12mo",IF(E868&lt;24,"12-24mo","24mo+"))))</f>
        <v>24mo+</v>
      </c>
      <c r="T868" s="0" t="n">
        <f aca="false">IF(ISBLANK(C868),0,IF(C868="Month-to-month",2,IF(C868="One year",1,0)))+IF(ISBLANK(I868),0,IF(I868&lt;40,2,IF(I868&lt;55,1,0)))+IF(ISBLANK(M868),0,IF(M868=1,3,0))+IF(ISBLANK(L868),0,IF(L868&gt;=2,1,0))+IF(ISBLANK(E868),0,IF(E868&lt;12,1,0))</f>
        <v>5</v>
      </c>
      <c r="U868" s="0" t="str">
        <f aca="false">IF((ISBLANK(B868)*1+ISBLANK(C868)*1+ISBLANK(D868)*1+ISBLANK(E868)*1+ISBLANK(F868)*1+ISBLANK(I868)*1+ISBLANK(J868)*1+ISBLANK(K868)*1+ISBLANK(L868)*1+ISBLANK(M868)*1+ISBLANK(N868)*1+ISBLANK(O868)*1)&gt;0,"Missing Data","OK")</f>
        <v>OK</v>
      </c>
      <c r="V868" s="0" t="str">
        <f aca="false">IF(T868&gt;=6,"High Risk",IF(T868&gt;=3,"Medium Risk","Low Risk"))</f>
        <v>Medium Risk</v>
      </c>
    </row>
    <row r="869" customFormat="false" ht="12.8" hidden="false" customHeight="false" outlineLevel="0" collapsed="false">
      <c r="A869" s="1" t="s">
        <v>899</v>
      </c>
      <c r="B869" s="1" t="s">
        <v>23</v>
      </c>
      <c r="C869" s="1" t="s">
        <v>24</v>
      </c>
      <c r="D869" s="1" t="n">
        <v>19.74</v>
      </c>
      <c r="E869" s="1" t="n">
        <v>27</v>
      </c>
      <c r="F869" s="4" t="n">
        <v>44986</v>
      </c>
      <c r="G869" s="1" t="s">
        <v>25</v>
      </c>
      <c r="H869" s="1" t="n">
        <v>0</v>
      </c>
      <c r="I869" s="1" t="n">
        <v>100</v>
      </c>
      <c r="J869" s="1" t="n">
        <v>36</v>
      </c>
      <c r="K869" s="1" t="n">
        <v>10</v>
      </c>
      <c r="L869" s="1" t="n">
        <v>2</v>
      </c>
      <c r="M869" s="1" t="n">
        <v>0</v>
      </c>
      <c r="N869" s="1" t="n">
        <v>532.98</v>
      </c>
      <c r="O869" s="1" t="n">
        <v>0</v>
      </c>
      <c r="Q869" s="4" t="n">
        <v>45807</v>
      </c>
      <c r="R869" s="0" t="n">
        <f aca="false">IF(ISBLANK(F869),"Missing",IFERROR(YEAR(F869),"Missing"))</f>
        <v>2023</v>
      </c>
      <c r="S869" s="0" t="str">
        <f aca="false">IF(ISBLANK(E869),"Missing",IF(E869&lt;6,"0-6mo",IF(E869&lt;12,"6-12mo",IF(E869&lt;24,"12-24mo","24mo+"))))</f>
        <v>24mo+</v>
      </c>
      <c r="T869" s="0" t="n">
        <f aca="false">IF(ISBLANK(C869),0,IF(C869="Month-to-month",2,IF(C869="One year",1,0)))+IF(ISBLANK(I869),0,IF(I869&lt;40,2,IF(I869&lt;55,1,0)))+IF(ISBLANK(M869),0,IF(M869=1,3,0))+IF(ISBLANK(L869),0,IF(L869&gt;=2,1,0))+IF(ISBLANK(E869),0,IF(E869&lt;12,1,0))</f>
        <v>3</v>
      </c>
      <c r="U869" s="0" t="str">
        <f aca="false">IF((ISBLANK(B869)*1+ISBLANK(C869)*1+ISBLANK(D869)*1+ISBLANK(E869)*1+ISBLANK(F869)*1+ISBLANK(I869)*1+ISBLANK(J869)*1+ISBLANK(K869)*1+ISBLANK(L869)*1+ISBLANK(M869)*1+ISBLANK(N869)*1+ISBLANK(O869)*1)&gt;0,"Missing Data","OK")</f>
        <v>OK</v>
      </c>
      <c r="V869" s="0" t="str">
        <f aca="false">IF(T869&gt;=6,"High Risk",IF(T869&gt;=3,"Medium Risk","Low Risk"))</f>
        <v>Medium Risk</v>
      </c>
    </row>
    <row r="870" customFormat="false" ht="12.8" hidden="false" customHeight="false" outlineLevel="0" collapsed="false">
      <c r="A870" s="1" t="s">
        <v>900</v>
      </c>
      <c r="B870" s="1" t="s">
        <v>23</v>
      </c>
      <c r="C870" s="1" t="s">
        <v>24</v>
      </c>
      <c r="D870" s="1" t="n">
        <v>18.78</v>
      </c>
      <c r="E870" s="1" t="n">
        <v>5</v>
      </c>
      <c r="F870" s="4" t="n">
        <v>44987</v>
      </c>
      <c r="G870" s="1" t="s">
        <v>39</v>
      </c>
      <c r="H870" s="1" t="n">
        <v>1</v>
      </c>
      <c r="I870" s="1" t="n">
        <v>68.6</v>
      </c>
      <c r="J870" s="1" t="n">
        <v>25</v>
      </c>
      <c r="K870" s="1" t="n">
        <v>5</v>
      </c>
      <c r="L870" s="1" t="n">
        <v>0</v>
      </c>
      <c r="M870" s="1" t="n">
        <v>0</v>
      </c>
      <c r="N870" s="1" t="n">
        <v>93.9</v>
      </c>
      <c r="O870" s="1" t="n">
        <v>1</v>
      </c>
      <c r="P870" s="4" t="n">
        <v>45139</v>
      </c>
      <c r="Q870" s="4" t="n">
        <v>45139</v>
      </c>
      <c r="R870" s="0" t="n">
        <f aca="false">IF(ISBLANK(F870),"Missing",IFERROR(YEAR(F870),"Missing"))</f>
        <v>2023</v>
      </c>
      <c r="S870" s="0" t="str">
        <f aca="false">IF(ISBLANK(E870),"Missing",IF(E870&lt;6,"0-6mo",IF(E870&lt;12,"6-12mo",IF(E870&lt;24,"12-24mo","24mo+"))))</f>
        <v>0-6mo</v>
      </c>
      <c r="T870" s="0" t="n">
        <f aca="false">IF(ISBLANK(C870),0,IF(C870="Month-to-month",2,IF(C870="One year",1,0)))+IF(ISBLANK(I870),0,IF(I870&lt;40,2,IF(I870&lt;55,1,0)))+IF(ISBLANK(M870),0,IF(M870=1,3,0))+IF(ISBLANK(L870),0,IF(L870&gt;=2,1,0))+IF(ISBLANK(E870),0,IF(E870&lt;12,1,0))</f>
        <v>3</v>
      </c>
      <c r="U870" s="0" t="str">
        <f aca="false">IF((ISBLANK(B870)*1+ISBLANK(C870)*1+ISBLANK(D870)*1+ISBLANK(E870)*1+ISBLANK(F870)*1+ISBLANK(I870)*1+ISBLANK(J870)*1+ISBLANK(K870)*1+ISBLANK(L870)*1+ISBLANK(M870)*1+ISBLANK(N870)*1+ISBLANK(O870)*1)&gt;0,"Missing Data","OK")</f>
        <v>OK</v>
      </c>
      <c r="V870" s="0" t="str">
        <f aca="false">IF(T870&gt;=6,"High Risk",IF(T870&gt;=3,"Medium Risk","Low Risk"))</f>
        <v>Medium Risk</v>
      </c>
    </row>
    <row r="871" customFormat="false" ht="12.8" hidden="false" customHeight="false" outlineLevel="0" collapsed="false">
      <c r="A871" s="1" t="s">
        <v>901</v>
      </c>
      <c r="B871" s="1" t="s">
        <v>36</v>
      </c>
      <c r="C871" s="1" t="s">
        <v>24</v>
      </c>
      <c r="D871" s="1" t="n">
        <v>8.12</v>
      </c>
      <c r="E871" s="1" t="n">
        <v>1</v>
      </c>
      <c r="F871" s="4" t="n">
        <v>44987</v>
      </c>
      <c r="G871" s="1" t="s">
        <v>25</v>
      </c>
      <c r="H871" s="1" t="n">
        <v>0</v>
      </c>
      <c r="I871" s="1" t="n">
        <v>40.1</v>
      </c>
      <c r="J871" s="1" t="n">
        <v>10</v>
      </c>
      <c r="K871" s="1" t="n">
        <v>4</v>
      </c>
      <c r="L871" s="1" t="n">
        <v>0</v>
      </c>
      <c r="M871" s="1" t="n">
        <v>0</v>
      </c>
      <c r="N871" s="1" t="n">
        <v>8.12</v>
      </c>
      <c r="O871" s="1" t="n">
        <v>1</v>
      </c>
      <c r="P871" s="4" t="n">
        <v>45017</v>
      </c>
      <c r="Q871" s="4" t="n">
        <v>45017</v>
      </c>
      <c r="R871" s="0" t="n">
        <f aca="false">IF(ISBLANK(F871),"Missing",IFERROR(YEAR(F871),"Missing"))</f>
        <v>2023</v>
      </c>
      <c r="S871" s="0" t="str">
        <f aca="false">IF(ISBLANK(E871),"Missing",IF(E871&lt;6,"0-6mo",IF(E871&lt;12,"6-12mo",IF(E871&lt;24,"12-24mo","24mo+"))))</f>
        <v>0-6mo</v>
      </c>
      <c r="T871" s="0" t="n">
        <f aca="false">IF(ISBLANK(C871),0,IF(C871="Month-to-month",2,IF(C871="One year",1,0)))+IF(ISBLANK(I871),0,IF(I871&lt;40,2,IF(I871&lt;55,1,0)))+IF(ISBLANK(M871),0,IF(M871=1,3,0))+IF(ISBLANK(L871),0,IF(L871&gt;=2,1,0))+IF(ISBLANK(E871),0,IF(E871&lt;12,1,0))</f>
        <v>4</v>
      </c>
      <c r="U871" s="0" t="str">
        <f aca="false">IF((ISBLANK(B871)*1+ISBLANK(C871)*1+ISBLANK(D871)*1+ISBLANK(E871)*1+ISBLANK(F871)*1+ISBLANK(I871)*1+ISBLANK(J871)*1+ISBLANK(K871)*1+ISBLANK(L871)*1+ISBLANK(M871)*1+ISBLANK(N871)*1+ISBLANK(O871)*1)&gt;0,"Missing Data","OK")</f>
        <v>OK</v>
      </c>
      <c r="V871" s="0" t="str">
        <f aca="false">IF(T871&gt;=6,"High Risk",IF(T871&gt;=3,"Medium Risk","Low Risk"))</f>
        <v>Medium Risk</v>
      </c>
    </row>
    <row r="872" customFormat="false" ht="12.8" hidden="false" customHeight="false" outlineLevel="0" collapsed="false">
      <c r="A872" s="1" t="s">
        <v>902</v>
      </c>
      <c r="B872" s="1" t="s">
        <v>23</v>
      </c>
      <c r="C872" s="1" t="s">
        <v>34</v>
      </c>
      <c r="D872" s="1" t="n">
        <v>21.61</v>
      </c>
      <c r="E872" s="1" t="n">
        <v>71</v>
      </c>
      <c r="F872" s="4" t="n">
        <v>44987</v>
      </c>
      <c r="G872" s="1" t="s">
        <v>30</v>
      </c>
      <c r="H872" s="1" t="n">
        <v>1</v>
      </c>
      <c r="I872" s="1" t="n">
        <v>36.3</v>
      </c>
      <c r="J872" s="1" t="n">
        <v>18</v>
      </c>
      <c r="K872" s="1" t="n">
        <v>4</v>
      </c>
      <c r="L872" s="1" t="n">
        <v>2</v>
      </c>
      <c r="M872" s="1" t="n">
        <v>1</v>
      </c>
      <c r="N872" s="1" t="n">
        <v>1534.31</v>
      </c>
      <c r="O872" s="1" t="n">
        <v>0</v>
      </c>
      <c r="Q872" s="4" t="n">
        <v>46293</v>
      </c>
      <c r="R872" s="0" t="n">
        <f aca="false">IF(ISBLANK(F872),"Missing",IFERROR(YEAR(F872),"Missing"))</f>
        <v>2023</v>
      </c>
      <c r="S872" s="0" t="str">
        <f aca="false">IF(ISBLANK(E872),"Missing",IF(E872&lt;6,"0-6mo",IF(E872&lt;12,"6-12mo",IF(E872&lt;24,"12-24mo","24mo+"))))</f>
        <v>24mo+</v>
      </c>
      <c r="T872" s="0" t="n">
        <f aca="false">IF(ISBLANK(C872),0,IF(C872="Month-to-month",2,IF(C872="One year",1,0)))+IF(ISBLANK(I872),0,IF(I872&lt;40,2,IF(I872&lt;55,1,0)))+IF(ISBLANK(M872),0,IF(M872=1,3,0))+IF(ISBLANK(L872),0,IF(L872&gt;=2,1,0))+IF(ISBLANK(E872),0,IF(E872&lt;12,1,0))</f>
        <v>7</v>
      </c>
      <c r="U872" s="0" t="str">
        <f aca="false">IF((ISBLANK(B872)*1+ISBLANK(C872)*1+ISBLANK(D872)*1+ISBLANK(E872)*1+ISBLANK(F872)*1+ISBLANK(I872)*1+ISBLANK(J872)*1+ISBLANK(K872)*1+ISBLANK(L872)*1+ISBLANK(M872)*1+ISBLANK(N872)*1+ISBLANK(O872)*1)&gt;0,"Missing Data","OK")</f>
        <v>OK</v>
      </c>
      <c r="V872" s="0" t="str">
        <f aca="false">IF(T872&gt;=6,"High Risk",IF(T872&gt;=3,"Medium Risk","Low Risk"))</f>
        <v>High Risk</v>
      </c>
    </row>
    <row r="873" customFormat="false" ht="12.8" hidden="false" customHeight="false" outlineLevel="0" collapsed="false">
      <c r="A873" s="1" t="s">
        <v>903</v>
      </c>
      <c r="B873" s="1" t="s">
        <v>23</v>
      </c>
      <c r="C873" s="1" t="s">
        <v>24</v>
      </c>
      <c r="D873" s="1" t="n">
        <v>19.69</v>
      </c>
      <c r="E873" s="1" t="n">
        <v>40</v>
      </c>
      <c r="F873" s="4" t="n">
        <v>44987</v>
      </c>
      <c r="G873" s="1" t="s">
        <v>25</v>
      </c>
      <c r="H873" s="1" t="n">
        <v>0</v>
      </c>
      <c r="I873" s="1" t="n">
        <v>31.6</v>
      </c>
      <c r="J873" s="1" t="n">
        <v>8</v>
      </c>
      <c r="K873" s="1" t="n">
        <v>3</v>
      </c>
      <c r="L873" s="1" t="n">
        <v>1</v>
      </c>
      <c r="M873" s="1" t="n">
        <v>0</v>
      </c>
      <c r="N873" s="1" t="n">
        <v>787.6</v>
      </c>
      <c r="O873" s="1" t="n">
        <v>0</v>
      </c>
      <c r="Q873" s="4" t="n">
        <v>46204</v>
      </c>
      <c r="R873" s="0" t="n">
        <f aca="false">IF(ISBLANK(F873),"Missing",IFERROR(YEAR(F873),"Missing"))</f>
        <v>2023</v>
      </c>
      <c r="S873" s="0" t="str">
        <f aca="false">IF(ISBLANK(E873),"Missing",IF(E873&lt;6,"0-6mo",IF(E873&lt;12,"6-12mo",IF(E873&lt;24,"12-24mo","24mo+"))))</f>
        <v>24mo+</v>
      </c>
      <c r="T873" s="0" t="n">
        <f aca="false">IF(ISBLANK(C873),0,IF(C873="Month-to-month",2,IF(C873="One year",1,0)))+IF(ISBLANK(I873),0,IF(I873&lt;40,2,IF(I873&lt;55,1,0)))+IF(ISBLANK(M873),0,IF(M873=1,3,0))+IF(ISBLANK(L873),0,IF(L873&gt;=2,1,0))+IF(ISBLANK(E873),0,IF(E873&lt;12,1,0))</f>
        <v>4</v>
      </c>
      <c r="U873" s="0" t="str">
        <f aca="false">IF((ISBLANK(B873)*1+ISBLANK(C873)*1+ISBLANK(D873)*1+ISBLANK(E873)*1+ISBLANK(F873)*1+ISBLANK(I873)*1+ISBLANK(J873)*1+ISBLANK(K873)*1+ISBLANK(L873)*1+ISBLANK(M873)*1+ISBLANK(N873)*1+ISBLANK(O873)*1)&gt;0,"Missing Data","OK")</f>
        <v>OK</v>
      </c>
      <c r="V873" s="0" t="str">
        <f aca="false">IF(T873&gt;=6,"High Risk",IF(T873&gt;=3,"Medium Risk","Low Risk"))</f>
        <v>Medium Risk</v>
      </c>
    </row>
    <row r="874" customFormat="false" ht="12.8" hidden="false" customHeight="false" outlineLevel="0" collapsed="false">
      <c r="A874" s="1" t="s">
        <v>904</v>
      </c>
      <c r="B874" s="1" t="s">
        <v>23</v>
      </c>
      <c r="C874" s="1" t="s">
        <v>34</v>
      </c>
      <c r="D874" s="1" t="n">
        <v>18.34</v>
      </c>
      <c r="E874" s="1" t="n">
        <v>37</v>
      </c>
      <c r="F874" s="4" t="n">
        <v>44990</v>
      </c>
      <c r="G874" s="1" t="s">
        <v>30</v>
      </c>
      <c r="H874" s="1" t="n">
        <v>1</v>
      </c>
      <c r="I874" s="1" t="n">
        <v>92.3</v>
      </c>
      <c r="J874" s="1" t="n">
        <v>32</v>
      </c>
      <c r="K874" s="1" t="n">
        <v>9</v>
      </c>
      <c r="L874" s="1" t="n">
        <v>1</v>
      </c>
      <c r="M874" s="1" t="n">
        <v>1</v>
      </c>
      <c r="N874" s="1" t="n">
        <v>678.58</v>
      </c>
      <c r="O874" s="1" t="n">
        <v>0</v>
      </c>
      <c r="Q874" s="4" t="n">
        <v>46116</v>
      </c>
      <c r="R874" s="0" t="n">
        <f aca="false">IF(ISBLANK(F874),"Missing",IFERROR(YEAR(F874),"Missing"))</f>
        <v>2023</v>
      </c>
      <c r="S874" s="0" t="str">
        <f aca="false">IF(ISBLANK(E874),"Missing",IF(E874&lt;6,"0-6mo",IF(E874&lt;12,"6-12mo",IF(E874&lt;24,"12-24mo","24mo+"))))</f>
        <v>24mo+</v>
      </c>
      <c r="T874" s="0" t="n">
        <f aca="false">IF(ISBLANK(C874),0,IF(C874="Month-to-month",2,IF(C874="One year",1,0)))+IF(ISBLANK(I874),0,IF(I874&lt;40,2,IF(I874&lt;55,1,0)))+IF(ISBLANK(M874),0,IF(M874=1,3,0))+IF(ISBLANK(L874),0,IF(L874&gt;=2,1,0))+IF(ISBLANK(E874),0,IF(E874&lt;12,1,0))</f>
        <v>4</v>
      </c>
      <c r="U874" s="0" t="str">
        <f aca="false">IF((ISBLANK(B874)*1+ISBLANK(C874)*1+ISBLANK(D874)*1+ISBLANK(E874)*1+ISBLANK(F874)*1+ISBLANK(I874)*1+ISBLANK(J874)*1+ISBLANK(K874)*1+ISBLANK(L874)*1+ISBLANK(M874)*1+ISBLANK(N874)*1+ISBLANK(O874)*1)&gt;0,"Missing Data","OK")</f>
        <v>OK</v>
      </c>
      <c r="V874" s="0" t="str">
        <f aca="false">IF(T874&gt;=6,"High Risk",IF(T874&gt;=3,"Medium Risk","Low Risk"))</f>
        <v>Medium Risk</v>
      </c>
    </row>
    <row r="875" customFormat="false" ht="12.8" hidden="false" customHeight="false" outlineLevel="0" collapsed="false">
      <c r="A875" s="1" t="s">
        <v>905</v>
      </c>
      <c r="B875" s="1" t="s">
        <v>23</v>
      </c>
      <c r="C875" s="1" t="s">
        <v>51</v>
      </c>
      <c r="D875" s="1" t="n">
        <v>20.91</v>
      </c>
      <c r="E875" s="1" t="n">
        <v>15</v>
      </c>
      <c r="F875" s="4" t="n">
        <v>44990</v>
      </c>
      <c r="G875" s="1" t="s">
        <v>39</v>
      </c>
      <c r="H875" s="1" t="n">
        <v>1</v>
      </c>
      <c r="I875" s="1" t="n">
        <v>60.1</v>
      </c>
      <c r="J875" s="1" t="n">
        <v>16</v>
      </c>
      <c r="K875" s="1" t="n">
        <v>7</v>
      </c>
      <c r="L875" s="1" t="n">
        <v>3</v>
      </c>
      <c r="M875" s="1" t="n">
        <v>0</v>
      </c>
      <c r="N875" s="1" t="n">
        <v>313.65</v>
      </c>
      <c r="O875" s="1" t="n">
        <v>0</v>
      </c>
      <c r="Q875" s="4" t="n">
        <v>45446</v>
      </c>
      <c r="R875" s="0" t="n">
        <f aca="false">IF(ISBLANK(F875),"Missing",IFERROR(YEAR(F875),"Missing"))</f>
        <v>2023</v>
      </c>
      <c r="S875" s="0" t="str">
        <f aca="false">IF(ISBLANK(E875),"Missing",IF(E875&lt;6,"0-6mo",IF(E875&lt;12,"6-12mo",IF(E875&lt;24,"12-24mo","24mo+"))))</f>
        <v>12-24mo</v>
      </c>
      <c r="T875" s="0" t="n">
        <f aca="false">IF(ISBLANK(C875),0,IF(C875="Month-to-month",2,IF(C875="One year",1,0)))+IF(ISBLANK(I875),0,IF(I875&lt;40,2,IF(I875&lt;55,1,0)))+IF(ISBLANK(M875),0,IF(M875=1,3,0))+IF(ISBLANK(L875),0,IF(L875&gt;=2,1,0))+IF(ISBLANK(E875),0,IF(E875&lt;12,1,0))</f>
        <v>1</v>
      </c>
      <c r="U875" s="0" t="str">
        <f aca="false">IF((ISBLANK(B875)*1+ISBLANK(C875)*1+ISBLANK(D875)*1+ISBLANK(E875)*1+ISBLANK(F875)*1+ISBLANK(I875)*1+ISBLANK(J875)*1+ISBLANK(K875)*1+ISBLANK(L875)*1+ISBLANK(M875)*1+ISBLANK(N875)*1+ISBLANK(O875)*1)&gt;0,"Missing Data","OK")</f>
        <v>OK</v>
      </c>
      <c r="V875" s="0" t="str">
        <f aca="false">IF(T875&gt;=6,"High Risk",IF(T875&gt;=3,"Medium Risk","Low Risk"))</f>
        <v>Low Risk</v>
      </c>
    </row>
    <row r="876" customFormat="false" ht="12.8" hidden="false" customHeight="false" outlineLevel="0" collapsed="false">
      <c r="A876" s="1" t="s">
        <v>906</v>
      </c>
      <c r="B876" s="1" t="s">
        <v>36</v>
      </c>
      <c r="C876" s="1" t="s">
        <v>34</v>
      </c>
      <c r="D876" s="1" t="n">
        <v>9.45</v>
      </c>
      <c r="E876" s="1" t="n">
        <v>24</v>
      </c>
      <c r="F876" s="4" t="n">
        <v>44990</v>
      </c>
      <c r="G876" s="1" t="s">
        <v>25</v>
      </c>
      <c r="H876" s="1" t="n">
        <v>0</v>
      </c>
      <c r="I876" s="1" t="n">
        <v>97.7</v>
      </c>
      <c r="J876" s="1" t="n">
        <v>33</v>
      </c>
      <c r="K876" s="1" t="n">
        <v>10</v>
      </c>
      <c r="L876" s="1" t="n">
        <v>1</v>
      </c>
      <c r="M876" s="1" t="n">
        <v>0</v>
      </c>
      <c r="N876" s="1" t="n">
        <v>226.8</v>
      </c>
      <c r="O876" s="1" t="n">
        <v>1</v>
      </c>
      <c r="P876" s="4" t="n">
        <v>45720</v>
      </c>
      <c r="Q876" s="4" t="n">
        <v>45720</v>
      </c>
      <c r="R876" s="0" t="n">
        <f aca="false">IF(ISBLANK(F876),"Missing",IFERROR(YEAR(F876),"Missing"))</f>
        <v>2023</v>
      </c>
      <c r="S876" s="0" t="str">
        <f aca="false">IF(ISBLANK(E876),"Missing",IF(E876&lt;6,"0-6mo",IF(E876&lt;12,"6-12mo",IF(E876&lt;24,"12-24mo","24mo+"))))</f>
        <v>24mo+</v>
      </c>
      <c r="T876" s="0" t="n">
        <f aca="false">IF(ISBLANK(C876),0,IF(C876="Month-to-month",2,IF(C876="One year",1,0)))+IF(ISBLANK(I876),0,IF(I876&lt;40,2,IF(I876&lt;55,1,0)))+IF(ISBLANK(M876),0,IF(M876=1,3,0))+IF(ISBLANK(L876),0,IF(L876&gt;=2,1,0))+IF(ISBLANK(E876),0,IF(E876&lt;12,1,0))</f>
        <v>1</v>
      </c>
      <c r="U876" s="0" t="str">
        <f aca="false">IF((ISBLANK(B876)*1+ISBLANK(C876)*1+ISBLANK(D876)*1+ISBLANK(E876)*1+ISBLANK(F876)*1+ISBLANK(I876)*1+ISBLANK(J876)*1+ISBLANK(K876)*1+ISBLANK(L876)*1+ISBLANK(M876)*1+ISBLANK(N876)*1+ISBLANK(O876)*1)&gt;0,"Missing Data","OK")</f>
        <v>OK</v>
      </c>
      <c r="V876" s="0" t="str">
        <f aca="false">IF(T876&gt;=6,"High Risk",IF(T876&gt;=3,"Medium Risk","Low Risk"))</f>
        <v>Low Risk</v>
      </c>
    </row>
    <row r="877" customFormat="false" ht="12.8" hidden="false" customHeight="false" outlineLevel="0" collapsed="false">
      <c r="A877" s="1" t="s">
        <v>907</v>
      </c>
      <c r="B877" s="1" t="s">
        <v>36</v>
      </c>
      <c r="C877" s="1" t="s">
        <v>34</v>
      </c>
      <c r="D877" s="1" t="n">
        <v>10.69</v>
      </c>
      <c r="E877" s="1" t="n">
        <v>66</v>
      </c>
      <c r="F877" s="4" t="n">
        <v>44991</v>
      </c>
      <c r="G877" s="1" t="s">
        <v>27</v>
      </c>
      <c r="H877" s="1" t="n">
        <v>0</v>
      </c>
      <c r="I877" s="1" t="n">
        <v>82.4</v>
      </c>
      <c r="J877" s="1" t="n">
        <v>23</v>
      </c>
      <c r="K877" s="1" t="n">
        <v>10</v>
      </c>
      <c r="L877" s="1" t="n">
        <v>0</v>
      </c>
      <c r="M877" s="1" t="n">
        <v>0</v>
      </c>
      <c r="N877" s="1" t="n">
        <v>705.54</v>
      </c>
      <c r="O877" s="1" t="n">
        <v>0</v>
      </c>
      <c r="Q877" s="4" t="n">
        <v>46293</v>
      </c>
      <c r="R877" s="0" t="n">
        <f aca="false">IF(ISBLANK(F877),"Missing",IFERROR(YEAR(F877),"Missing"))</f>
        <v>2023</v>
      </c>
      <c r="S877" s="0" t="str">
        <f aca="false">IF(ISBLANK(E877),"Missing",IF(E877&lt;6,"0-6mo",IF(E877&lt;12,"6-12mo",IF(E877&lt;24,"12-24mo","24mo+"))))</f>
        <v>24mo+</v>
      </c>
      <c r="T877" s="0" t="n">
        <f aca="false">IF(ISBLANK(C877),0,IF(C877="Month-to-month",2,IF(C877="One year",1,0)))+IF(ISBLANK(I877),0,IF(I877&lt;40,2,IF(I877&lt;55,1,0)))+IF(ISBLANK(M877),0,IF(M877=1,3,0))+IF(ISBLANK(L877),0,IF(L877&gt;=2,1,0))+IF(ISBLANK(E877),0,IF(E877&lt;12,1,0))</f>
        <v>1</v>
      </c>
      <c r="U877" s="0" t="str">
        <f aca="false">IF((ISBLANK(B877)*1+ISBLANK(C877)*1+ISBLANK(D877)*1+ISBLANK(E877)*1+ISBLANK(F877)*1+ISBLANK(I877)*1+ISBLANK(J877)*1+ISBLANK(K877)*1+ISBLANK(L877)*1+ISBLANK(M877)*1+ISBLANK(N877)*1+ISBLANK(O877)*1)&gt;0,"Missing Data","OK")</f>
        <v>OK</v>
      </c>
      <c r="V877" s="0" t="str">
        <f aca="false">IF(T877&gt;=6,"High Risk",IF(T877&gt;=3,"Medium Risk","Low Risk"))</f>
        <v>Low Risk</v>
      </c>
    </row>
    <row r="878" customFormat="false" ht="12.8" hidden="false" customHeight="false" outlineLevel="0" collapsed="false">
      <c r="A878" s="1" t="s">
        <v>908</v>
      </c>
      <c r="B878" s="1" t="s">
        <v>23</v>
      </c>
      <c r="C878" s="1" t="s">
        <v>24</v>
      </c>
      <c r="D878" s="1" t="n">
        <v>19.82</v>
      </c>
      <c r="E878" s="1" t="n">
        <v>20</v>
      </c>
      <c r="F878" s="4" t="n">
        <v>44995</v>
      </c>
      <c r="G878" s="1" t="s">
        <v>27</v>
      </c>
      <c r="H878" s="1" t="n">
        <v>1</v>
      </c>
      <c r="I878" s="1" t="n">
        <v>63.8</v>
      </c>
      <c r="J878" s="1" t="n">
        <v>20</v>
      </c>
      <c r="K878" s="1" t="n">
        <v>6</v>
      </c>
      <c r="L878" s="1" t="n">
        <v>1</v>
      </c>
      <c r="M878" s="1" t="n">
        <v>0</v>
      </c>
      <c r="N878" s="1" t="n">
        <v>396.4</v>
      </c>
      <c r="O878" s="1" t="n">
        <v>0</v>
      </c>
      <c r="Q878" s="4" t="n">
        <v>45603</v>
      </c>
      <c r="R878" s="0" t="n">
        <f aca="false">IF(ISBLANK(F878),"Missing",IFERROR(YEAR(F878),"Missing"))</f>
        <v>2023</v>
      </c>
      <c r="S878" s="0" t="str">
        <f aca="false">IF(ISBLANK(E878),"Missing",IF(E878&lt;6,"0-6mo",IF(E878&lt;12,"6-12mo",IF(E878&lt;24,"12-24mo","24mo+"))))</f>
        <v>12-24mo</v>
      </c>
      <c r="T878" s="0" t="n">
        <f aca="false">IF(ISBLANK(C878),0,IF(C878="Month-to-month",2,IF(C878="One year",1,0)))+IF(ISBLANK(I878),0,IF(I878&lt;40,2,IF(I878&lt;55,1,0)))+IF(ISBLANK(M878),0,IF(M878=1,3,0))+IF(ISBLANK(L878),0,IF(L878&gt;=2,1,0))+IF(ISBLANK(E878),0,IF(E878&lt;12,1,0))</f>
        <v>2</v>
      </c>
      <c r="U878" s="0" t="str">
        <f aca="false">IF((ISBLANK(B878)*1+ISBLANK(C878)*1+ISBLANK(D878)*1+ISBLANK(E878)*1+ISBLANK(F878)*1+ISBLANK(I878)*1+ISBLANK(J878)*1+ISBLANK(K878)*1+ISBLANK(L878)*1+ISBLANK(M878)*1+ISBLANK(N878)*1+ISBLANK(O878)*1)&gt;0,"Missing Data","OK")</f>
        <v>OK</v>
      </c>
      <c r="V878" s="0" t="str">
        <f aca="false">IF(T878&gt;=6,"High Risk",IF(T878&gt;=3,"Medium Risk","Low Risk"))</f>
        <v>Low Risk</v>
      </c>
    </row>
    <row r="879" customFormat="false" ht="12.8" hidden="false" customHeight="false" outlineLevel="0" collapsed="false">
      <c r="A879" s="1" t="s">
        <v>909</v>
      </c>
      <c r="B879" s="1" t="s">
        <v>23</v>
      </c>
      <c r="C879" s="1" t="s">
        <v>24</v>
      </c>
      <c r="D879" s="1" t="n">
        <v>20.86</v>
      </c>
      <c r="E879" s="1" t="n">
        <v>1</v>
      </c>
      <c r="F879" s="4" t="n">
        <v>44995</v>
      </c>
      <c r="G879" s="1" t="s">
        <v>30</v>
      </c>
      <c r="H879" s="1" t="n">
        <v>1</v>
      </c>
      <c r="I879" s="1" t="n">
        <v>41.7</v>
      </c>
      <c r="J879" s="1" t="n">
        <v>12</v>
      </c>
      <c r="K879" s="1" t="n">
        <v>4</v>
      </c>
      <c r="L879" s="1" t="n">
        <v>0</v>
      </c>
      <c r="M879" s="1" t="n">
        <v>0</v>
      </c>
      <c r="N879" s="1" t="n">
        <v>20.86</v>
      </c>
      <c r="O879" s="1" t="n">
        <v>0</v>
      </c>
      <c r="Q879" s="4" t="n">
        <v>45025</v>
      </c>
      <c r="R879" s="0" t="n">
        <f aca="false">IF(ISBLANK(F879),"Missing",IFERROR(YEAR(F879),"Missing"))</f>
        <v>2023</v>
      </c>
      <c r="S879" s="0" t="str">
        <f aca="false">IF(ISBLANK(E879),"Missing",IF(E879&lt;6,"0-6mo",IF(E879&lt;12,"6-12mo",IF(E879&lt;24,"12-24mo","24mo+"))))</f>
        <v>0-6mo</v>
      </c>
      <c r="T879" s="0" t="n">
        <f aca="false">IF(ISBLANK(C879),0,IF(C879="Month-to-month",2,IF(C879="One year",1,0)))+IF(ISBLANK(I879),0,IF(I879&lt;40,2,IF(I879&lt;55,1,0)))+IF(ISBLANK(M879),0,IF(M879=1,3,0))+IF(ISBLANK(L879),0,IF(L879&gt;=2,1,0))+IF(ISBLANK(E879),0,IF(E879&lt;12,1,0))</f>
        <v>4</v>
      </c>
      <c r="U879" s="0" t="str">
        <f aca="false">IF((ISBLANK(B879)*1+ISBLANK(C879)*1+ISBLANK(D879)*1+ISBLANK(E879)*1+ISBLANK(F879)*1+ISBLANK(I879)*1+ISBLANK(J879)*1+ISBLANK(K879)*1+ISBLANK(L879)*1+ISBLANK(M879)*1+ISBLANK(N879)*1+ISBLANK(O879)*1)&gt;0,"Missing Data","OK")</f>
        <v>OK</v>
      </c>
      <c r="V879" s="0" t="str">
        <f aca="false">IF(T879&gt;=6,"High Risk",IF(T879&gt;=3,"Medium Risk","Low Risk"))</f>
        <v>Medium Risk</v>
      </c>
    </row>
    <row r="880" customFormat="false" ht="12.8" hidden="false" customHeight="false" outlineLevel="0" collapsed="false">
      <c r="A880" s="1" t="s">
        <v>910</v>
      </c>
      <c r="B880" s="1" t="s">
        <v>23</v>
      </c>
      <c r="C880" s="1" t="s">
        <v>34</v>
      </c>
      <c r="D880" s="1" t="n">
        <v>17.99</v>
      </c>
      <c r="E880" s="1" t="n">
        <v>3</v>
      </c>
      <c r="F880" s="4" t="n">
        <v>44998</v>
      </c>
      <c r="G880" s="1" t="s">
        <v>25</v>
      </c>
      <c r="H880" s="1" t="n">
        <v>1</v>
      </c>
      <c r="I880" s="1" t="n">
        <v>54.5</v>
      </c>
      <c r="J880" s="1" t="n">
        <v>25</v>
      </c>
      <c r="K880" s="1" t="n">
        <v>3</v>
      </c>
      <c r="L880" s="1" t="n">
        <v>1</v>
      </c>
      <c r="M880" s="1" t="n">
        <v>0</v>
      </c>
      <c r="N880" s="1" t="n">
        <v>53.97</v>
      </c>
      <c r="O880" s="1" t="n">
        <v>0</v>
      </c>
      <c r="Q880" s="4" t="n">
        <v>45089</v>
      </c>
      <c r="R880" s="0" t="n">
        <f aca="false">IF(ISBLANK(F880),"Missing",IFERROR(YEAR(F880),"Missing"))</f>
        <v>2023</v>
      </c>
      <c r="S880" s="0" t="str">
        <f aca="false">IF(ISBLANK(E880),"Missing",IF(E880&lt;6,"0-6mo",IF(E880&lt;12,"6-12mo",IF(E880&lt;24,"12-24mo","24mo+"))))</f>
        <v>0-6mo</v>
      </c>
      <c r="T880" s="0" t="n">
        <f aca="false">IF(ISBLANK(C880),0,IF(C880="Month-to-month",2,IF(C880="One year",1,0)))+IF(ISBLANK(I880),0,IF(I880&lt;40,2,IF(I880&lt;55,1,0)))+IF(ISBLANK(M880),0,IF(M880=1,3,0))+IF(ISBLANK(L880),0,IF(L880&gt;=2,1,0))+IF(ISBLANK(E880),0,IF(E880&lt;12,1,0))</f>
        <v>3</v>
      </c>
      <c r="U880" s="0" t="str">
        <f aca="false">IF((ISBLANK(B880)*1+ISBLANK(C880)*1+ISBLANK(D880)*1+ISBLANK(E880)*1+ISBLANK(F880)*1+ISBLANK(I880)*1+ISBLANK(J880)*1+ISBLANK(K880)*1+ISBLANK(L880)*1+ISBLANK(M880)*1+ISBLANK(N880)*1+ISBLANK(O880)*1)&gt;0,"Missing Data","OK")</f>
        <v>OK</v>
      </c>
      <c r="V880" s="0" t="str">
        <f aca="false">IF(T880&gt;=6,"High Risk",IF(T880&gt;=3,"Medium Risk","Low Risk"))</f>
        <v>Medium Risk</v>
      </c>
    </row>
    <row r="881" customFormat="false" ht="12.8" hidden="false" customHeight="false" outlineLevel="0" collapsed="false">
      <c r="A881" s="1" t="s">
        <v>911</v>
      </c>
      <c r="B881" s="1" t="s">
        <v>36</v>
      </c>
      <c r="C881" s="1" t="s">
        <v>24</v>
      </c>
      <c r="D881" s="1" t="n">
        <v>9.34</v>
      </c>
      <c r="E881" s="1" t="n">
        <v>7</v>
      </c>
      <c r="F881" s="4" t="n">
        <v>44998</v>
      </c>
      <c r="G881" s="1" t="s">
        <v>25</v>
      </c>
      <c r="H881" s="1" t="n">
        <v>1</v>
      </c>
      <c r="I881" s="1" t="n">
        <v>60.1</v>
      </c>
      <c r="J881" s="1" t="n">
        <v>16</v>
      </c>
      <c r="K881" s="1" t="n">
        <v>4</v>
      </c>
      <c r="L881" s="1" t="n">
        <v>1</v>
      </c>
      <c r="M881" s="1" t="n">
        <v>0</v>
      </c>
      <c r="N881" s="1" t="n">
        <v>65.38</v>
      </c>
      <c r="O881" s="1" t="n">
        <v>0</v>
      </c>
      <c r="Q881" s="4" t="n">
        <v>45211</v>
      </c>
      <c r="R881" s="0" t="n">
        <f aca="false">IF(ISBLANK(F881),"Missing",IFERROR(YEAR(F881),"Missing"))</f>
        <v>2023</v>
      </c>
      <c r="S881" s="0" t="str">
        <f aca="false">IF(ISBLANK(E881),"Missing",IF(E881&lt;6,"0-6mo",IF(E881&lt;12,"6-12mo",IF(E881&lt;24,"12-24mo","24mo+"))))</f>
        <v>6-12mo</v>
      </c>
      <c r="T881" s="0" t="n">
        <f aca="false">IF(ISBLANK(C881),0,IF(C881="Month-to-month",2,IF(C881="One year",1,0)))+IF(ISBLANK(I881),0,IF(I881&lt;40,2,IF(I881&lt;55,1,0)))+IF(ISBLANK(M881),0,IF(M881=1,3,0))+IF(ISBLANK(L881),0,IF(L881&gt;=2,1,0))+IF(ISBLANK(E881),0,IF(E881&lt;12,1,0))</f>
        <v>3</v>
      </c>
      <c r="U881" s="0" t="str">
        <f aca="false">IF((ISBLANK(B881)*1+ISBLANK(C881)*1+ISBLANK(D881)*1+ISBLANK(E881)*1+ISBLANK(F881)*1+ISBLANK(I881)*1+ISBLANK(J881)*1+ISBLANK(K881)*1+ISBLANK(L881)*1+ISBLANK(M881)*1+ISBLANK(N881)*1+ISBLANK(O881)*1)&gt;0,"Missing Data","OK")</f>
        <v>OK</v>
      </c>
      <c r="V881" s="0" t="str">
        <f aca="false">IF(T881&gt;=6,"High Risk",IF(T881&gt;=3,"Medium Risk","Low Risk"))</f>
        <v>Medium Risk</v>
      </c>
    </row>
    <row r="882" customFormat="false" ht="12.8" hidden="false" customHeight="false" outlineLevel="0" collapsed="false">
      <c r="A882" s="1" t="s">
        <v>912</v>
      </c>
      <c r="B882" s="1" t="s">
        <v>36</v>
      </c>
      <c r="C882" s="1" t="s">
        <v>34</v>
      </c>
      <c r="D882" s="1" t="n">
        <v>11.02</v>
      </c>
      <c r="E882" s="1" t="n">
        <v>37</v>
      </c>
      <c r="F882" s="4" t="n">
        <v>44998</v>
      </c>
      <c r="G882" s="1" t="s">
        <v>39</v>
      </c>
      <c r="H882" s="1" t="n">
        <v>1</v>
      </c>
      <c r="I882" s="1" t="n">
        <v>31.7</v>
      </c>
      <c r="J882" s="1" t="n">
        <v>18</v>
      </c>
      <c r="K882" s="1" t="n">
        <v>4</v>
      </c>
      <c r="L882" s="1" t="n">
        <v>3</v>
      </c>
      <c r="M882" s="1" t="n">
        <v>0</v>
      </c>
      <c r="N882" s="1" t="n">
        <v>407.74</v>
      </c>
      <c r="O882" s="1" t="n">
        <v>0</v>
      </c>
      <c r="Q882" s="4" t="n">
        <v>46124</v>
      </c>
      <c r="R882" s="0" t="n">
        <f aca="false">IF(ISBLANK(F882),"Missing",IFERROR(YEAR(F882),"Missing"))</f>
        <v>2023</v>
      </c>
      <c r="S882" s="0" t="str">
        <f aca="false">IF(ISBLANK(E882),"Missing",IF(E882&lt;6,"0-6mo",IF(E882&lt;12,"6-12mo",IF(E882&lt;24,"12-24mo","24mo+"))))</f>
        <v>24mo+</v>
      </c>
      <c r="T882" s="0" t="n">
        <f aca="false">IF(ISBLANK(C882),0,IF(C882="Month-to-month",2,IF(C882="One year",1,0)))+IF(ISBLANK(I882),0,IF(I882&lt;40,2,IF(I882&lt;55,1,0)))+IF(ISBLANK(M882),0,IF(M882=1,3,0))+IF(ISBLANK(L882),0,IF(L882&gt;=2,1,0))+IF(ISBLANK(E882),0,IF(E882&lt;12,1,0))</f>
        <v>4</v>
      </c>
      <c r="U882" s="0" t="str">
        <f aca="false">IF((ISBLANK(B882)*1+ISBLANK(C882)*1+ISBLANK(D882)*1+ISBLANK(E882)*1+ISBLANK(F882)*1+ISBLANK(I882)*1+ISBLANK(J882)*1+ISBLANK(K882)*1+ISBLANK(L882)*1+ISBLANK(M882)*1+ISBLANK(N882)*1+ISBLANK(O882)*1)&gt;0,"Missing Data","OK")</f>
        <v>OK</v>
      </c>
      <c r="V882" s="0" t="str">
        <f aca="false">IF(T882&gt;=6,"High Risk",IF(T882&gt;=3,"Medium Risk","Low Risk"))</f>
        <v>Medium Risk</v>
      </c>
    </row>
    <row r="883" customFormat="false" ht="12.8" hidden="false" customHeight="false" outlineLevel="0" collapsed="false">
      <c r="A883" s="1" t="s">
        <v>913</v>
      </c>
      <c r="B883" s="1" t="s">
        <v>29</v>
      </c>
      <c r="C883" s="1" t="s">
        <v>24</v>
      </c>
      <c r="D883" s="1" t="n">
        <v>42.05</v>
      </c>
      <c r="E883" s="1" t="n">
        <v>71</v>
      </c>
      <c r="F883" s="4" t="n">
        <v>44999</v>
      </c>
      <c r="G883" s="1" t="s">
        <v>27</v>
      </c>
      <c r="H883" s="1" t="n">
        <v>0</v>
      </c>
      <c r="I883" s="1" t="n">
        <v>41.9</v>
      </c>
      <c r="J883" s="1" t="n">
        <v>16</v>
      </c>
      <c r="K883" s="1" t="n">
        <v>5</v>
      </c>
      <c r="L883" s="1" t="n">
        <v>0</v>
      </c>
      <c r="M883" s="1" t="n">
        <v>0</v>
      </c>
      <c r="N883" s="1" t="n">
        <v>2985.55</v>
      </c>
      <c r="O883" s="1" t="n">
        <v>0</v>
      </c>
      <c r="Q883" s="4" t="n">
        <v>46293</v>
      </c>
      <c r="R883" s="0" t="n">
        <f aca="false">IF(ISBLANK(F883),"Missing",IFERROR(YEAR(F883),"Missing"))</f>
        <v>2023</v>
      </c>
      <c r="S883" s="0" t="str">
        <f aca="false">IF(ISBLANK(E883),"Missing",IF(E883&lt;6,"0-6mo",IF(E883&lt;12,"6-12mo",IF(E883&lt;24,"12-24mo","24mo+"))))</f>
        <v>24mo+</v>
      </c>
      <c r="T883" s="0" t="n">
        <f aca="false">IF(ISBLANK(C883),0,IF(C883="Month-to-month",2,IF(C883="One year",1,0)))+IF(ISBLANK(I883),0,IF(I883&lt;40,2,IF(I883&lt;55,1,0)))+IF(ISBLANK(M883),0,IF(M883=1,3,0))+IF(ISBLANK(L883),0,IF(L883&gt;=2,1,0))+IF(ISBLANK(E883),0,IF(E883&lt;12,1,0))</f>
        <v>3</v>
      </c>
      <c r="U883" s="0" t="str">
        <f aca="false">IF((ISBLANK(B883)*1+ISBLANK(C883)*1+ISBLANK(D883)*1+ISBLANK(E883)*1+ISBLANK(F883)*1+ISBLANK(I883)*1+ISBLANK(J883)*1+ISBLANK(K883)*1+ISBLANK(L883)*1+ISBLANK(M883)*1+ISBLANK(N883)*1+ISBLANK(O883)*1)&gt;0,"Missing Data","OK")</f>
        <v>OK</v>
      </c>
      <c r="V883" s="0" t="str">
        <f aca="false">IF(T883&gt;=6,"High Risk",IF(T883&gt;=3,"Medium Risk","Low Risk"))</f>
        <v>Medium Risk</v>
      </c>
    </row>
    <row r="884" customFormat="false" ht="12.8" hidden="false" customHeight="false" outlineLevel="0" collapsed="false">
      <c r="A884" s="1" t="s">
        <v>914</v>
      </c>
      <c r="B884" s="1" t="s">
        <v>36</v>
      </c>
      <c r="C884" s="1" t="s">
        <v>34</v>
      </c>
      <c r="D884" s="1" t="n">
        <v>10.95</v>
      </c>
      <c r="E884" s="1" t="n">
        <v>31</v>
      </c>
      <c r="F884" s="4" t="n">
        <v>45001</v>
      </c>
      <c r="G884" s="1" t="s">
        <v>30</v>
      </c>
      <c r="H884" s="1" t="n">
        <v>0</v>
      </c>
      <c r="I884" s="1" t="n">
        <v>38.6</v>
      </c>
      <c r="J884" s="1" t="n">
        <v>9</v>
      </c>
      <c r="K884" s="1" t="n">
        <v>5</v>
      </c>
      <c r="L884" s="1" t="n">
        <v>2</v>
      </c>
      <c r="M884" s="1" t="n">
        <v>1</v>
      </c>
      <c r="N884" s="1" t="n">
        <v>339.45</v>
      </c>
      <c r="O884" s="1" t="n">
        <v>0</v>
      </c>
      <c r="Q884" s="4" t="n">
        <v>45944</v>
      </c>
      <c r="R884" s="0" t="n">
        <f aca="false">IF(ISBLANK(F884),"Missing",IFERROR(YEAR(F884),"Missing"))</f>
        <v>2023</v>
      </c>
      <c r="S884" s="0" t="str">
        <f aca="false">IF(ISBLANK(E884),"Missing",IF(E884&lt;6,"0-6mo",IF(E884&lt;12,"6-12mo",IF(E884&lt;24,"12-24mo","24mo+"))))</f>
        <v>24mo+</v>
      </c>
      <c r="T884" s="0" t="n">
        <f aca="false">IF(ISBLANK(C884),0,IF(C884="Month-to-month",2,IF(C884="One year",1,0)))+IF(ISBLANK(I884),0,IF(I884&lt;40,2,IF(I884&lt;55,1,0)))+IF(ISBLANK(M884),0,IF(M884=1,3,0))+IF(ISBLANK(L884),0,IF(L884&gt;=2,1,0))+IF(ISBLANK(E884),0,IF(E884&lt;12,1,0))</f>
        <v>7</v>
      </c>
      <c r="U884" s="0" t="str">
        <f aca="false">IF((ISBLANK(B884)*1+ISBLANK(C884)*1+ISBLANK(D884)*1+ISBLANK(E884)*1+ISBLANK(F884)*1+ISBLANK(I884)*1+ISBLANK(J884)*1+ISBLANK(K884)*1+ISBLANK(L884)*1+ISBLANK(M884)*1+ISBLANK(N884)*1+ISBLANK(O884)*1)&gt;0,"Missing Data","OK")</f>
        <v>OK</v>
      </c>
      <c r="V884" s="0" t="str">
        <f aca="false">IF(T884&gt;=6,"High Risk",IF(T884&gt;=3,"Medium Risk","Low Risk"))</f>
        <v>High Risk</v>
      </c>
    </row>
    <row r="885" customFormat="false" ht="12.8" hidden="false" customHeight="false" outlineLevel="0" collapsed="false">
      <c r="A885" s="1" t="s">
        <v>915</v>
      </c>
      <c r="B885" s="1" t="s">
        <v>36</v>
      </c>
      <c r="C885" s="1" t="s">
        <v>24</v>
      </c>
      <c r="D885" s="1" t="n">
        <v>10.65</v>
      </c>
      <c r="E885" s="1" t="n">
        <v>27</v>
      </c>
      <c r="F885" s="4" t="n">
        <v>45001</v>
      </c>
      <c r="G885" s="1" t="s">
        <v>25</v>
      </c>
      <c r="H885" s="1" t="n">
        <v>0</v>
      </c>
      <c r="I885" s="1" t="n">
        <v>72.5</v>
      </c>
      <c r="J885" s="1" t="n">
        <v>23</v>
      </c>
      <c r="K885" s="1" t="n">
        <v>5</v>
      </c>
      <c r="L885" s="1" t="n">
        <v>2</v>
      </c>
      <c r="M885" s="1" t="n">
        <v>0</v>
      </c>
      <c r="N885" s="1" t="n">
        <v>287.55</v>
      </c>
      <c r="O885" s="1" t="n">
        <v>0</v>
      </c>
      <c r="Q885" s="4" t="n">
        <v>45822</v>
      </c>
      <c r="R885" s="0" t="n">
        <f aca="false">IF(ISBLANK(F885),"Missing",IFERROR(YEAR(F885),"Missing"))</f>
        <v>2023</v>
      </c>
      <c r="S885" s="0" t="str">
        <f aca="false">IF(ISBLANK(E885),"Missing",IF(E885&lt;6,"0-6mo",IF(E885&lt;12,"6-12mo",IF(E885&lt;24,"12-24mo","24mo+"))))</f>
        <v>24mo+</v>
      </c>
      <c r="T885" s="0" t="n">
        <f aca="false">IF(ISBLANK(C885),0,IF(C885="Month-to-month",2,IF(C885="One year",1,0)))+IF(ISBLANK(I885),0,IF(I885&lt;40,2,IF(I885&lt;55,1,0)))+IF(ISBLANK(M885),0,IF(M885=1,3,0))+IF(ISBLANK(L885),0,IF(L885&gt;=2,1,0))+IF(ISBLANK(E885),0,IF(E885&lt;12,1,0))</f>
        <v>3</v>
      </c>
      <c r="U885" s="0" t="str">
        <f aca="false">IF((ISBLANK(B885)*1+ISBLANK(C885)*1+ISBLANK(D885)*1+ISBLANK(E885)*1+ISBLANK(F885)*1+ISBLANK(I885)*1+ISBLANK(J885)*1+ISBLANK(K885)*1+ISBLANK(L885)*1+ISBLANK(M885)*1+ISBLANK(N885)*1+ISBLANK(O885)*1)&gt;0,"Missing Data","OK")</f>
        <v>OK</v>
      </c>
      <c r="V885" s="0" t="str">
        <f aca="false">IF(T885&gt;=6,"High Risk",IF(T885&gt;=3,"Medium Risk","Low Risk"))</f>
        <v>Medium Risk</v>
      </c>
    </row>
    <row r="886" customFormat="false" ht="12.8" hidden="false" customHeight="false" outlineLevel="0" collapsed="false">
      <c r="A886" s="1" t="s">
        <v>916</v>
      </c>
      <c r="B886" s="1" t="s">
        <v>23</v>
      </c>
      <c r="C886" s="1" t="s">
        <v>51</v>
      </c>
      <c r="D886" s="1" t="n">
        <v>19.37</v>
      </c>
      <c r="E886" s="1" t="n">
        <v>31</v>
      </c>
      <c r="F886" s="4" t="n">
        <v>45003</v>
      </c>
      <c r="G886" s="1" t="s">
        <v>30</v>
      </c>
      <c r="H886" s="1" t="n">
        <v>1</v>
      </c>
      <c r="I886" s="1" t="n">
        <v>91.1</v>
      </c>
      <c r="J886" s="1" t="n">
        <v>27</v>
      </c>
      <c r="K886" s="1" t="n">
        <v>8</v>
      </c>
      <c r="L886" s="1" t="n">
        <v>5</v>
      </c>
      <c r="M886" s="1" t="n">
        <v>1</v>
      </c>
      <c r="N886" s="1" t="n">
        <v>600.47</v>
      </c>
      <c r="O886" s="1" t="n">
        <v>0</v>
      </c>
      <c r="Q886" s="4" t="n">
        <v>45946</v>
      </c>
      <c r="R886" s="0" t="n">
        <f aca="false">IF(ISBLANK(F886),"Missing",IFERROR(YEAR(F886),"Missing"))</f>
        <v>2023</v>
      </c>
      <c r="S886" s="0" t="str">
        <f aca="false">IF(ISBLANK(E886),"Missing",IF(E886&lt;6,"0-6mo",IF(E886&lt;12,"6-12mo",IF(E886&lt;24,"12-24mo","24mo+"))))</f>
        <v>24mo+</v>
      </c>
      <c r="T886" s="0" t="n">
        <f aca="false">IF(ISBLANK(C886),0,IF(C886="Month-to-month",2,IF(C886="One year",1,0)))+IF(ISBLANK(I886),0,IF(I886&lt;40,2,IF(I886&lt;55,1,0)))+IF(ISBLANK(M886),0,IF(M886=1,3,0))+IF(ISBLANK(L886),0,IF(L886&gt;=2,1,0))+IF(ISBLANK(E886),0,IF(E886&lt;12,1,0))</f>
        <v>4</v>
      </c>
      <c r="U886" s="0" t="str">
        <f aca="false">IF((ISBLANK(B886)*1+ISBLANK(C886)*1+ISBLANK(D886)*1+ISBLANK(E886)*1+ISBLANK(F886)*1+ISBLANK(I886)*1+ISBLANK(J886)*1+ISBLANK(K886)*1+ISBLANK(L886)*1+ISBLANK(M886)*1+ISBLANK(N886)*1+ISBLANK(O886)*1)&gt;0,"Missing Data","OK")</f>
        <v>OK</v>
      </c>
      <c r="V886" s="0" t="str">
        <f aca="false">IF(T886&gt;=6,"High Risk",IF(T886&gt;=3,"Medium Risk","Low Risk"))</f>
        <v>Medium Risk</v>
      </c>
    </row>
    <row r="887" customFormat="false" ht="12.8" hidden="false" customHeight="false" outlineLevel="0" collapsed="false">
      <c r="A887" s="1" t="s">
        <v>917</v>
      </c>
      <c r="B887" s="1" t="s">
        <v>36</v>
      </c>
      <c r="C887" s="1" t="s">
        <v>51</v>
      </c>
      <c r="D887" s="1" t="n">
        <v>10.15</v>
      </c>
      <c r="E887" s="1" t="n">
        <v>17</v>
      </c>
      <c r="F887" s="4" t="n">
        <v>45003</v>
      </c>
      <c r="G887" s="1" t="s">
        <v>27</v>
      </c>
      <c r="H887" s="1" t="n">
        <v>1</v>
      </c>
      <c r="I887" s="1" t="n">
        <v>50.5</v>
      </c>
      <c r="J887" s="1" t="n">
        <v>14</v>
      </c>
      <c r="K887" s="1" t="n">
        <v>3</v>
      </c>
      <c r="L887" s="1" t="n">
        <v>3</v>
      </c>
      <c r="M887" s="1" t="n">
        <v>0</v>
      </c>
      <c r="N887" s="1" t="n">
        <v>172.55</v>
      </c>
      <c r="O887" s="1" t="n">
        <v>0</v>
      </c>
      <c r="Q887" s="4" t="n">
        <v>45520</v>
      </c>
      <c r="R887" s="0" t="n">
        <f aca="false">IF(ISBLANK(F887),"Missing",IFERROR(YEAR(F887),"Missing"))</f>
        <v>2023</v>
      </c>
      <c r="S887" s="0" t="str">
        <f aca="false">IF(ISBLANK(E887),"Missing",IF(E887&lt;6,"0-6mo",IF(E887&lt;12,"6-12mo",IF(E887&lt;24,"12-24mo","24mo+"))))</f>
        <v>12-24mo</v>
      </c>
      <c r="T887" s="0" t="n">
        <f aca="false">IF(ISBLANK(C887),0,IF(C887="Month-to-month",2,IF(C887="One year",1,0)))+IF(ISBLANK(I887),0,IF(I887&lt;40,2,IF(I887&lt;55,1,0)))+IF(ISBLANK(M887),0,IF(M887=1,3,0))+IF(ISBLANK(L887),0,IF(L887&gt;=2,1,0))+IF(ISBLANK(E887),0,IF(E887&lt;12,1,0))</f>
        <v>2</v>
      </c>
      <c r="U887" s="0" t="str">
        <f aca="false">IF((ISBLANK(B887)*1+ISBLANK(C887)*1+ISBLANK(D887)*1+ISBLANK(E887)*1+ISBLANK(F887)*1+ISBLANK(I887)*1+ISBLANK(J887)*1+ISBLANK(K887)*1+ISBLANK(L887)*1+ISBLANK(M887)*1+ISBLANK(N887)*1+ISBLANK(O887)*1)&gt;0,"Missing Data","OK")</f>
        <v>OK</v>
      </c>
      <c r="V887" s="0" t="str">
        <f aca="false">IF(T887&gt;=6,"High Risk",IF(T887&gt;=3,"Medium Risk","Low Risk"))</f>
        <v>Low Risk</v>
      </c>
    </row>
    <row r="888" customFormat="false" ht="12.8" hidden="false" customHeight="false" outlineLevel="0" collapsed="false">
      <c r="A888" s="1" t="s">
        <v>918</v>
      </c>
      <c r="B888" s="1" t="s">
        <v>36</v>
      </c>
      <c r="C888" s="1" t="s">
        <v>24</v>
      </c>
      <c r="D888" s="1" t="n">
        <v>9.39</v>
      </c>
      <c r="E888" s="1" t="n">
        <v>2</v>
      </c>
      <c r="F888" s="4" t="n">
        <v>45004</v>
      </c>
      <c r="G888" s="1" t="s">
        <v>25</v>
      </c>
      <c r="H888" s="1" t="n">
        <v>1</v>
      </c>
      <c r="I888" s="1" t="n">
        <v>51.3</v>
      </c>
      <c r="J888" s="1" t="n">
        <v>14</v>
      </c>
      <c r="K888" s="1" t="n">
        <v>5</v>
      </c>
      <c r="L888" s="1" t="n">
        <v>1</v>
      </c>
      <c r="M888" s="1" t="n">
        <v>0</v>
      </c>
      <c r="N888" s="1" t="n">
        <v>18.78</v>
      </c>
      <c r="O888" s="1" t="n">
        <v>1</v>
      </c>
      <c r="P888" s="4" t="n">
        <v>45064</v>
      </c>
      <c r="Q888" s="4" t="n">
        <v>45064</v>
      </c>
      <c r="R888" s="0" t="n">
        <f aca="false">IF(ISBLANK(F888),"Missing",IFERROR(YEAR(F888),"Missing"))</f>
        <v>2023</v>
      </c>
      <c r="S888" s="0" t="str">
        <f aca="false">IF(ISBLANK(E888),"Missing",IF(E888&lt;6,"0-6mo",IF(E888&lt;12,"6-12mo",IF(E888&lt;24,"12-24mo","24mo+"))))</f>
        <v>0-6mo</v>
      </c>
      <c r="T888" s="0" t="n">
        <f aca="false">IF(ISBLANK(C888),0,IF(C888="Month-to-month",2,IF(C888="One year",1,0)))+IF(ISBLANK(I888),0,IF(I888&lt;40,2,IF(I888&lt;55,1,0)))+IF(ISBLANK(M888),0,IF(M888=1,3,0))+IF(ISBLANK(L888),0,IF(L888&gt;=2,1,0))+IF(ISBLANK(E888),0,IF(E888&lt;12,1,0))</f>
        <v>4</v>
      </c>
      <c r="U888" s="0" t="str">
        <f aca="false">IF((ISBLANK(B888)*1+ISBLANK(C888)*1+ISBLANK(D888)*1+ISBLANK(E888)*1+ISBLANK(F888)*1+ISBLANK(I888)*1+ISBLANK(J888)*1+ISBLANK(K888)*1+ISBLANK(L888)*1+ISBLANK(M888)*1+ISBLANK(N888)*1+ISBLANK(O888)*1)&gt;0,"Missing Data","OK")</f>
        <v>OK</v>
      </c>
      <c r="V888" s="0" t="str">
        <f aca="false">IF(T888&gt;=6,"High Risk",IF(T888&gt;=3,"Medium Risk","Low Risk"))</f>
        <v>Medium Risk</v>
      </c>
    </row>
    <row r="889" customFormat="false" ht="12.8" hidden="false" customHeight="false" outlineLevel="0" collapsed="false">
      <c r="A889" s="1" t="s">
        <v>919</v>
      </c>
      <c r="B889" s="1" t="s">
        <v>29</v>
      </c>
      <c r="C889" s="1" t="s">
        <v>51</v>
      </c>
      <c r="D889" s="1" t="n">
        <v>40.63</v>
      </c>
      <c r="E889" s="1" t="n">
        <v>7</v>
      </c>
      <c r="F889" s="4" t="n">
        <v>45005</v>
      </c>
      <c r="G889" s="1" t="s">
        <v>25</v>
      </c>
      <c r="H889" s="1" t="n">
        <v>1</v>
      </c>
      <c r="I889" s="1" t="n">
        <v>2</v>
      </c>
      <c r="J889" s="1" t="n">
        <v>0</v>
      </c>
      <c r="K889" s="1" t="n">
        <v>0</v>
      </c>
      <c r="L889" s="1" t="n">
        <v>5</v>
      </c>
      <c r="M889" s="1" t="n">
        <v>0</v>
      </c>
      <c r="N889" s="1" t="n">
        <v>284.41</v>
      </c>
      <c r="O889" s="1" t="n">
        <v>0</v>
      </c>
      <c r="Q889" s="4" t="n">
        <v>45218</v>
      </c>
      <c r="R889" s="0" t="n">
        <f aca="false">IF(ISBLANK(F889),"Missing",IFERROR(YEAR(F889),"Missing"))</f>
        <v>2023</v>
      </c>
      <c r="S889" s="0" t="str">
        <f aca="false">IF(ISBLANK(E889),"Missing",IF(E889&lt;6,"0-6mo",IF(E889&lt;12,"6-12mo",IF(E889&lt;24,"12-24mo","24mo+"))))</f>
        <v>6-12mo</v>
      </c>
      <c r="T889" s="0" t="n">
        <f aca="false">IF(ISBLANK(C889),0,IF(C889="Month-to-month",2,IF(C889="One year",1,0)))+IF(ISBLANK(I889),0,IF(I889&lt;40,2,IF(I889&lt;55,1,0)))+IF(ISBLANK(M889),0,IF(M889=1,3,0))+IF(ISBLANK(L889),0,IF(L889&gt;=2,1,0))+IF(ISBLANK(E889),0,IF(E889&lt;12,1,0))</f>
        <v>4</v>
      </c>
      <c r="U889" s="0" t="str">
        <f aca="false">IF((ISBLANK(B889)*1+ISBLANK(C889)*1+ISBLANK(D889)*1+ISBLANK(E889)*1+ISBLANK(F889)*1+ISBLANK(I889)*1+ISBLANK(J889)*1+ISBLANK(K889)*1+ISBLANK(L889)*1+ISBLANK(M889)*1+ISBLANK(N889)*1+ISBLANK(O889)*1)&gt;0,"Missing Data","OK")</f>
        <v>OK</v>
      </c>
      <c r="V889" s="0" t="str">
        <f aca="false">IF(T889&gt;=6,"High Risk",IF(T889&gt;=3,"Medium Risk","Low Risk"))</f>
        <v>Medium Risk</v>
      </c>
    </row>
    <row r="890" customFormat="false" ht="12.8" hidden="false" customHeight="false" outlineLevel="0" collapsed="false">
      <c r="A890" s="1" t="s">
        <v>920</v>
      </c>
      <c r="B890" s="1" t="s">
        <v>36</v>
      </c>
      <c r="C890" s="1" t="s">
        <v>34</v>
      </c>
      <c r="D890" s="1" t="n">
        <v>10.2</v>
      </c>
      <c r="E890" s="1" t="n">
        <v>16</v>
      </c>
      <c r="F890" s="4" t="n">
        <v>45011</v>
      </c>
      <c r="G890" s="1" t="s">
        <v>25</v>
      </c>
      <c r="H890" s="1" t="n">
        <v>1</v>
      </c>
      <c r="I890" s="1" t="n">
        <v>62.7</v>
      </c>
      <c r="J890" s="1" t="n">
        <v>23</v>
      </c>
      <c r="K890" s="1" t="n">
        <v>10</v>
      </c>
      <c r="L890" s="1" t="n">
        <v>2</v>
      </c>
      <c r="M890" s="1" t="n">
        <v>1</v>
      </c>
      <c r="N890" s="1" t="n">
        <v>163.2</v>
      </c>
      <c r="O890" s="1" t="n">
        <v>0</v>
      </c>
      <c r="Q890" s="4" t="n">
        <v>45498</v>
      </c>
      <c r="R890" s="0" t="n">
        <f aca="false">IF(ISBLANK(F890),"Missing",IFERROR(YEAR(F890),"Missing"))</f>
        <v>2023</v>
      </c>
      <c r="S890" s="0" t="str">
        <f aca="false">IF(ISBLANK(E890),"Missing",IF(E890&lt;6,"0-6mo",IF(E890&lt;12,"6-12mo",IF(E890&lt;24,"12-24mo","24mo+"))))</f>
        <v>12-24mo</v>
      </c>
      <c r="T890" s="0" t="n">
        <f aca="false">IF(ISBLANK(C890),0,IF(C890="Month-to-month",2,IF(C890="One year",1,0)))+IF(ISBLANK(I890),0,IF(I890&lt;40,2,IF(I890&lt;55,1,0)))+IF(ISBLANK(M890),0,IF(M890=1,3,0))+IF(ISBLANK(L890),0,IF(L890&gt;=2,1,0))+IF(ISBLANK(E890),0,IF(E890&lt;12,1,0))</f>
        <v>5</v>
      </c>
      <c r="U890" s="0" t="str">
        <f aca="false">IF((ISBLANK(B890)*1+ISBLANK(C890)*1+ISBLANK(D890)*1+ISBLANK(E890)*1+ISBLANK(F890)*1+ISBLANK(I890)*1+ISBLANK(J890)*1+ISBLANK(K890)*1+ISBLANK(L890)*1+ISBLANK(M890)*1+ISBLANK(N890)*1+ISBLANK(O890)*1)&gt;0,"Missing Data","OK")</f>
        <v>OK</v>
      </c>
      <c r="V890" s="0" t="str">
        <f aca="false">IF(T890&gt;=6,"High Risk",IF(T890&gt;=3,"Medium Risk","Low Risk"))</f>
        <v>Medium Risk</v>
      </c>
    </row>
    <row r="891" customFormat="false" ht="12.8" hidden="false" customHeight="false" outlineLevel="0" collapsed="false">
      <c r="A891" s="1" t="s">
        <v>921</v>
      </c>
      <c r="B891" s="1" t="s">
        <v>36</v>
      </c>
      <c r="C891" s="1" t="s">
        <v>24</v>
      </c>
      <c r="D891" s="1" t="n">
        <v>9.9</v>
      </c>
      <c r="E891" s="1" t="n">
        <v>8</v>
      </c>
      <c r="F891" s="4" t="n">
        <v>45012</v>
      </c>
      <c r="G891" s="1" t="s">
        <v>25</v>
      </c>
      <c r="H891" s="1" t="n">
        <v>0</v>
      </c>
      <c r="I891" s="1" t="n">
        <v>7.3</v>
      </c>
      <c r="J891" s="1" t="n">
        <v>8</v>
      </c>
      <c r="K891" s="1" t="n">
        <v>2</v>
      </c>
      <c r="L891" s="1" t="n">
        <v>3</v>
      </c>
      <c r="M891" s="1" t="n">
        <v>0</v>
      </c>
      <c r="N891" s="1" t="n">
        <v>79.2</v>
      </c>
      <c r="O891" s="1" t="n">
        <v>1</v>
      </c>
      <c r="P891" s="4" t="n">
        <v>45255</v>
      </c>
      <c r="Q891" s="4" t="n">
        <v>45255</v>
      </c>
      <c r="R891" s="0" t="n">
        <f aca="false">IF(ISBLANK(F891),"Missing",IFERROR(YEAR(F891),"Missing"))</f>
        <v>2023</v>
      </c>
      <c r="S891" s="0" t="str">
        <f aca="false">IF(ISBLANK(E891),"Missing",IF(E891&lt;6,"0-6mo",IF(E891&lt;12,"6-12mo",IF(E891&lt;24,"12-24mo","24mo+"))))</f>
        <v>6-12mo</v>
      </c>
      <c r="T891" s="0" t="n">
        <f aca="false">IF(ISBLANK(C891),0,IF(C891="Month-to-month",2,IF(C891="One year",1,0)))+IF(ISBLANK(I891),0,IF(I891&lt;40,2,IF(I891&lt;55,1,0)))+IF(ISBLANK(M891),0,IF(M891=1,3,0))+IF(ISBLANK(L891),0,IF(L891&gt;=2,1,0))+IF(ISBLANK(E891),0,IF(E891&lt;12,1,0))</f>
        <v>6</v>
      </c>
      <c r="U891" s="0" t="str">
        <f aca="false">IF((ISBLANK(B891)*1+ISBLANK(C891)*1+ISBLANK(D891)*1+ISBLANK(E891)*1+ISBLANK(F891)*1+ISBLANK(I891)*1+ISBLANK(J891)*1+ISBLANK(K891)*1+ISBLANK(L891)*1+ISBLANK(M891)*1+ISBLANK(N891)*1+ISBLANK(O891)*1)&gt;0,"Missing Data","OK")</f>
        <v>OK</v>
      </c>
      <c r="V891" s="0" t="str">
        <f aca="false">IF(T891&gt;=6,"High Risk",IF(T891&gt;=3,"Medium Risk","Low Risk"))</f>
        <v>High Risk</v>
      </c>
    </row>
    <row r="892" customFormat="false" ht="12.8" hidden="false" customHeight="false" outlineLevel="0" collapsed="false">
      <c r="A892" s="1" t="s">
        <v>922</v>
      </c>
      <c r="B892" s="1" t="s">
        <v>36</v>
      </c>
      <c r="C892" s="1" t="s">
        <v>24</v>
      </c>
      <c r="D892" s="1" t="n">
        <v>9.76</v>
      </c>
      <c r="E892" s="1" t="n">
        <v>11</v>
      </c>
      <c r="F892" s="4" t="n">
        <v>45013</v>
      </c>
      <c r="G892" s="1" t="s">
        <v>25</v>
      </c>
      <c r="H892" s="1" t="n">
        <v>1</v>
      </c>
      <c r="I892" s="1" t="n">
        <v>29.6</v>
      </c>
      <c r="J892" s="1" t="n">
        <v>15</v>
      </c>
      <c r="K892" s="1" t="n">
        <v>3</v>
      </c>
      <c r="L892" s="1" t="n">
        <v>4</v>
      </c>
      <c r="M892" s="1" t="n">
        <v>0</v>
      </c>
      <c r="N892" s="1" t="n">
        <v>107.36</v>
      </c>
      <c r="O892" s="1" t="n">
        <v>0</v>
      </c>
      <c r="Q892" s="4" t="n">
        <v>45347</v>
      </c>
      <c r="R892" s="0" t="n">
        <f aca="false">IF(ISBLANK(F892),"Missing",IFERROR(YEAR(F892),"Missing"))</f>
        <v>2023</v>
      </c>
      <c r="S892" s="0" t="str">
        <f aca="false">IF(ISBLANK(E892),"Missing",IF(E892&lt;6,"0-6mo",IF(E892&lt;12,"6-12mo",IF(E892&lt;24,"12-24mo","24mo+"))))</f>
        <v>6-12mo</v>
      </c>
      <c r="T892" s="0" t="n">
        <f aca="false">IF(ISBLANK(C892),0,IF(C892="Month-to-month",2,IF(C892="One year",1,0)))+IF(ISBLANK(I892),0,IF(I892&lt;40,2,IF(I892&lt;55,1,0)))+IF(ISBLANK(M892),0,IF(M892=1,3,0))+IF(ISBLANK(L892),0,IF(L892&gt;=2,1,0))+IF(ISBLANK(E892),0,IF(E892&lt;12,1,0))</f>
        <v>6</v>
      </c>
      <c r="U892" s="0" t="str">
        <f aca="false">IF((ISBLANK(B892)*1+ISBLANK(C892)*1+ISBLANK(D892)*1+ISBLANK(E892)*1+ISBLANK(F892)*1+ISBLANK(I892)*1+ISBLANK(J892)*1+ISBLANK(K892)*1+ISBLANK(L892)*1+ISBLANK(M892)*1+ISBLANK(N892)*1+ISBLANK(O892)*1)&gt;0,"Missing Data","OK")</f>
        <v>OK</v>
      </c>
      <c r="V892" s="0" t="str">
        <f aca="false">IF(T892&gt;=6,"High Risk",IF(T892&gt;=3,"Medium Risk","Low Risk"))</f>
        <v>High Risk</v>
      </c>
    </row>
    <row r="893" customFormat="false" ht="12.8" hidden="false" customHeight="false" outlineLevel="0" collapsed="false">
      <c r="A893" s="1" t="s">
        <v>923</v>
      </c>
      <c r="B893" s="1" t="s">
        <v>23</v>
      </c>
      <c r="C893" s="1" t="s">
        <v>34</v>
      </c>
      <c r="D893" s="1" t="n">
        <v>19.09</v>
      </c>
      <c r="E893" s="1" t="n">
        <v>34</v>
      </c>
      <c r="F893" s="4" t="n">
        <v>45015</v>
      </c>
      <c r="G893" s="1" t="s">
        <v>25</v>
      </c>
      <c r="H893" s="1" t="n">
        <v>0</v>
      </c>
      <c r="I893" s="1" t="n">
        <v>76.5</v>
      </c>
      <c r="J893" s="1" t="n">
        <v>25</v>
      </c>
      <c r="K893" s="1" t="n">
        <v>8</v>
      </c>
      <c r="L893" s="1" t="n">
        <v>0</v>
      </c>
      <c r="M893" s="1" t="n">
        <v>0</v>
      </c>
      <c r="N893" s="1" t="n">
        <v>649.06</v>
      </c>
      <c r="O893" s="1" t="n">
        <v>0</v>
      </c>
      <c r="Q893" s="4" t="n">
        <v>46049</v>
      </c>
      <c r="R893" s="0" t="n">
        <f aca="false">IF(ISBLANK(F893),"Missing",IFERROR(YEAR(F893),"Missing"))</f>
        <v>2023</v>
      </c>
      <c r="S893" s="0" t="str">
        <f aca="false">IF(ISBLANK(E893),"Missing",IF(E893&lt;6,"0-6mo",IF(E893&lt;12,"6-12mo",IF(E893&lt;24,"12-24mo","24mo+"))))</f>
        <v>24mo+</v>
      </c>
      <c r="T893" s="0" t="n">
        <f aca="false">IF(ISBLANK(C893),0,IF(C893="Month-to-month",2,IF(C893="One year",1,0)))+IF(ISBLANK(I893),0,IF(I893&lt;40,2,IF(I893&lt;55,1,0)))+IF(ISBLANK(M893),0,IF(M893=1,3,0))+IF(ISBLANK(L893),0,IF(L893&gt;=2,1,0))+IF(ISBLANK(E893),0,IF(E893&lt;12,1,0))</f>
        <v>1</v>
      </c>
      <c r="U893" s="0" t="str">
        <f aca="false">IF((ISBLANK(B893)*1+ISBLANK(C893)*1+ISBLANK(D893)*1+ISBLANK(E893)*1+ISBLANK(F893)*1+ISBLANK(I893)*1+ISBLANK(J893)*1+ISBLANK(K893)*1+ISBLANK(L893)*1+ISBLANK(M893)*1+ISBLANK(N893)*1+ISBLANK(O893)*1)&gt;0,"Missing Data","OK")</f>
        <v>OK</v>
      </c>
      <c r="V893" s="0" t="str">
        <f aca="false">IF(T893&gt;=6,"High Risk",IF(T893&gt;=3,"Medium Risk","Low Risk"))</f>
        <v>Low Risk</v>
      </c>
    </row>
    <row r="894" customFormat="false" ht="12.8" hidden="false" customHeight="false" outlineLevel="0" collapsed="false">
      <c r="A894" s="1" t="s">
        <v>924</v>
      </c>
      <c r="B894" s="1" t="s">
        <v>36</v>
      </c>
      <c r="C894" s="1" t="s">
        <v>34</v>
      </c>
      <c r="D894" s="1" t="n">
        <v>11.53</v>
      </c>
      <c r="E894" s="1" t="n">
        <v>7</v>
      </c>
      <c r="F894" s="4" t="n">
        <v>45016</v>
      </c>
      <c r="G894" s="1" t="s">
        <v>39</v>
      </c>
      <c r="H894" s="1" t="n">
        <v>0</v>
      </c>
      <c r="I894" s="1" t="n">
        <v>41.3</v>
      </c>
      <c r="J894" s="1" t="n">
        <v>11</v>
      </c>
      <c r="K894" s="1" t="n">
        <v>5</v>
      </c>
      <c r="L894" s="1" t="n">
        <v>1</v>
      </c>
      <c r="M894" s="1" t="n">
        <v>0</v>
      </c>
      <c r="N894" s="1" t="n">
        <v>80.71</v>
      </c>
      <c r="O894" s="1" t="n">
        <v>0</v>
      </c>
      <c r="Q894" s="4" t="n">
        <v>45229</v>
      </c>
      <c r="R894" s="0" t="n">
        <f aca="false">IF(ISBLANK(F894),"Missing",IFERROR(YEAR(F894),"Missing"))</f>
        <v>2023</v>
      </c>
      <c r="S894" s="0" t="str">
        <f aca="false">IF(ISBLANK(E894),"Missing",IF(E894&lt;6,"0-6mo",IF(E894&lt;12,"6-12mo",IF(E894&lt;24,"12-24mo","24mo+"))))</f>
        <v>6-12mo</v>
      </c>
      <c r="T894" s="0" t="n">
        <f aca="false">IF(ISBLANK(C894),0,IF(C894="Month-to-month",2,IF(C894="One year",1,0)))+IF(ISBLANK(I894),0,IF(I894&lt;40,2,IF(I894&lt;55,1,0)))+IF(ISBLANK(M894),0,IF(M894=1,3,0))+IF(ISBLANK(L894),0,IF(L894&gt;=2,1,0))+IF(ISBLANK(E894),0,IF(E894&lt;12,1,0))</f>
        <v>3</v>
      </c>
      <c r="U894" s="0" t="str">
        <f aca="false">IF((ISBLANK(B894)*1+ISBLANK(C894)*1+ISBLANK(D894)*1+ISBLANK(E894)*1+ISBLANK(F894)*1+ISBLANK(I894)*1+ISBLANK(J894)*1+ISBLANK(K894)*1+ISBLANK(L894)*1+ISBLANK(M894)*1+ISBLANK(N894)*1+ISBLANK(O894)*1)&gt;0,"Missing Data","OK")</f>
        <v>OK</v>
      </c>
      <c r="V894" s="0" t="str">
        <f aca="false">IF(T894&gt;=6,"High Risk",IF(T894&gt;=3,"Medium Risk","Low Risk"))</f>
        <v>Medium Risk</v>
      </c>
    </row>
    <row r="895" customFormat="false" ht="12.8" hidden="false" customHeight="false" outlineLevel="0" collapsed="false">
      <c r="A895" s="1" t="s">
        <v>925</v>
      </c>
      <c r="B895" s="1" t="s">
        <v>23</v>
      </c>
      <c r="C895" s="1" t="s">
        <v>24</v>
      </c>
      <c r="D895" s="1" t="n">
        <v>18.85</v>
      </c>
      <c r="E895" s="1" t="n">
        <v>12</v>
      </c>
      <c r="F895" s="4" t="n">
        <v>45016</v>
      </c>
      <c r="G895" s="1" t="s">
        <v>25</v>
      </c>
      <c r="H895" s="1" t="n">
        <v>1</v>
      </c>
      <c r="I895" s="1" t="n">
        <v>54.7</v>
      </c>
      <c r="J895" s="1" t="n">
        <v>12</v>
      </c>
      <c r="K895" s="1" t="n">
        <v>6</v>
      </c>
      <c r="L895" s="1" t="n">
        <v>2</v>
      </c>
      <c r="M895" s="1" t="n">
        <v>1</v>
      </c>
      <c r="N895" s="1" t="n">
        <v>226.2</v>
      </c>
      <c r="O895" s="1" t="n">
        <v>0</v>
      </c>
      <c r="Q895" s="4" t="n">
        <v>45381</v>
      </c>
      <c r="R895" s="0" t="n">
        <f aca="false">IF(ISBLANK(F895),"Missing",IFERROR(YEAR(F895),"Missing"))</f>
        <v>2023</v>
      </c>
      <c r="S895" s="0" t="str">
        <f aca="false">IF(ISBLANK(E895),"Missing",IF(E895&lt;6,"0-6mo",IF(E895&lt;12,"6-12mo",IF(E895&lt;24,"12-24mo","24mo+"))))</f>
        <v>12-24mo</v>
      </c>
      <c r="T895" s="0" t="n">
        <f aca="false">IF(ISBLANK(C895),0,IF(C895="Month-to-month",2,IF(C895="One year",1,0)))+IF(ISBLANK(I895),0,IF(I895&lt;40,2,IF(I895&lt;55,1,0)))+IF(ISBLANK(M895),0,IF(M895=1,3,0))+IF(ISBLANK(L895),0,IF(L895&gt;=2,1,0))+IF(ISBLANK(E895),0,IF(E895&lt;12,1,0))</f>
        <v>7</v>
      </c>
      <c r="U895" s="0" t="str">
        <f aca="false">IF((ISBLANK(B895)*1+ISBLANK(C895)*1+ISBLANK(D895)*1+ISBLANK(E895)*1+ISBLANK(F895)*1+ISBLANK(I895)*1+ISBLANK(J895)*1+ISBLANK(K895)*1+ISBLANK(L895)*1+ISBLANK(M895)*1+ISBLANK(N895)*1+ISBLANK(O895)*1)&gt;0,"Missing Data","OK")</f>
        <v>OK</v>
      </c>
      <c r="V895" s="0" t="str">
        <f aca="false">IF(T895&gt;=6,"High Risk",IF(T895&gt;=3,"Medium Risk","Low Risk"))</f>
        <v>High Risk</v>
      </c>
    </row>
    <row r="896" customFormat="false" ht="12.8" hidden="false" customHeight="false" outlineLevel="0" collapsed="false">
      <c r="A896" s="1" t="s">
        <v>926</v>
      </c>
      <c r="B896" s="1" t="s">
        <v>29</v>
      </c>
      <c r="C896" s="1" t="s">
        <v>24</v>
      </c>
      <c r="D896" s="1" t="n">
        <v>41.86</v>
      </c>
      <c r="E896" s="1" t="n">
        <v>6</v>
      </c>
      <c r="F896" s="4" t="n">
        <v>45016</v>
      </c>
      <c r="G896" s="1" t="s">
        <v>27</v>
      </c>
      <c r="H896" s="1" t="n">
        <v>0</v>
      </c>
      <c r="I896" s="1" t="n">
        <v>40.6</v>
      </c>
      <c r="J896" s="1" t="n">
        <v>5</v>
      </c>
      <c r="K896" s="1" t="n">
        <v>3</v>
      </c>
      <c r="L896" s="1" t="n">
        <v>0</v>
      </c>
      <c r="M896" s="1" t="n">
        <v>0</v>
      </c>
      <c r="N896" s="1" t="n">
        <v>251.16</v>
      </c>
      <c r="O896" s="1" t="n">
        <v>1</v>
      </c>
      <c r="P896" s="4" t="n">
        <v>45198</v>
      </c>
      <c r="Q896" s="4" t="n">
        <v>45198</v>
      </c>
      <c r="R896" s="0" t="n">
        <f aca="false">IF(ISBLANK(F896),"Missing",IFERROR(YEAR(F896),"Missing"))</f>
        <v>2023</v>
      </c>
      <c r="S896" s="0" t="str">
        <f aca="false">IF(ISBLANK(E896),"Missing",IF(E896&lt;6,"0-6mo",IF(E896&lt;12,"6-12mo",IF(E896&lt;24,"12-24mo","24mo+"))))</f>
        <v>6-12mo</v>
      </c>
      <c r="T896" s="0" t="n">
        <f aca="false">IF(ISBLANK(C896),0,IF(C896="Month-to-month",2,IF(C896="One year",1,0)))+IF(ISBLANK(I896),0,IF(I896&lt;40,2,IF(I896&lt;55,1,0)))+IF(ISBLANK(M896),0,IF(M896=1,3,0))+IF(ISBLANK(L896),0,IF(L896&gt;=2,1,0))+IF(ISBLANK(E896),0,IF(E896&lt;12,1,0))</f>
        <v>4</v>
      </c>
      <c r="U896" s="0" t="str">
        <f aca="false">IF((ISBLANK(B896)*1+ISBLANK(C896)*1+ISBLANK(D896)*1+ISBLANK(E896)*1+ISBLANK(F896)*1+ISBLANK(I896)*1+ISBLANK(J896)*1+ISBLANK(K896)*1+ISBLANK(L896)*1+ISBLANK(M896)*1+ISBLANK(N896)*1+ISBLANK(O896)*1)&gt;0,"Missing Data","OK")</f>
        <v>OK</v>
      </c>
      <c r="V896" s="0" t="str">
        <f aca="false">IF(T896&gt;=6,"High Risk",IF(T896&gt;=3,"Medium Risk","Low Risk"))</f>
        <v>Medium Risk</v>
      </c>
    </row>
    <row r="897" customFormat="false" ht="12.8" hidden="false" customHeight="false" outlineLevel="0" collapsed="false">
      <c r="A897" s="1" t="s">
        <v>927</v>
      </c>
      <c r="B897" s="1" t="s">
        <v>23</v>
      </c>
      <c r="C897" s="1" t="s">
        <v>24</v>
      </c>
      <c r="D897" s="1" t="n">
        <v>19.33</v>
      </c>
      <c r="E897" s="1" t="n">
        <v>4</v>
      </c>
      <c r="F897" s="4" t="n">
        <v>45016</v>
      </c>
      <c r="G897" s="1" t="s">
        <v>25</v>
      </c>
      <c r="H897" s="1" t="n">
        <v>0</v>
      </c>
      <c r="I897" s="1" t="n">
        <v>67.8</v>
      </c>
      <c r="J897" s="1" t="n">
        <v>22</v>
      </c>
      <c r="K897" s="1" t="n">
        <v>5</v>
      </c>
      <c r="L897" s="1" t="n">
        <v>2</v>
      </c>
      <c r="M897" s="1" t="n">
        <v>0</v>
      </c>
      <c r="N897" s="1" t="n">
        <v>77.32</v>
      </c>
      <c r="O897" s="1" t="n">
        <v>0</v>
      </c>
      <c r="Q897" s="4" t="n">
        <v>45137</v>
      </c>
      <c r="R897" s="0" t="n">
        <f aca="false">IF(ISBLANK(F897),"Missing",IFERROR(YEAR(F897),"Missing"))</f>
        <v>2023</v>
      </c>
      <c r="S897" s="0" t="str">
        <f aca="false">IF(ISBLANK(E897),"Missing",IF(E897&lt;6,"0-6mo",IF(E897&lt;12,"6-12mo",IF(E897&lt;24,"12-24mo","24mo+"))))</f>
        <v>0-6mo</v>
      </c>
      <c r="T897" s="0" t="n">
        <f aca="false">IF(ISBLANK(C897),0,IF(C897="Month-to-month",2,IF(C897="One year",1,0)))+IF(ISBLANK(I897),0,IF(I897&lt;40,2,IF(I897&lt;55,1,0)))+IF(ISBLANK(M897),0,IF(M897=1,3,0))+IF(ISBLANK(L897),0,IF(L897&gt;=2,1,0))+IF(ISBLANK(E897),0,IF(E897&lt;12,1,0))</f>
        <v>4</v>
      </c>
      <c r="U897" s="0" t="str">
        <f aca="false">IF((ISBLANK(B897)*1+ISBLANK(C897)*1+ISBLANK(D897)*1+ISBLANK(E897)*1+ISBLANK(F897)*1+ISBLANK(I897)*1+ISBLANK(J897)*1+ISBLANK(K897)*1+ISBLANK(L897)*1+ISBLANK(M897)*1+ISBLANK(N897)*1+ISBLANK(O897)*1)&gt;0,"Missing Data","OK")</f>
        <v>OK</v>
      </c>
      <c r="V897" s="0" t="str">
        <f aca="false">IF(T897&gt;=6,"High Risk",IF(T897&gt;=3,"Medium Risk","Low Risk"))</f>
        <v>Medium Risk</v>
      </c>
    </row>
    <row r="898" customFormat="false" ht="12.8" hidden="false" customHeight="false" outlineLevel="0" collapsed="false">
      <c r="A898" s="1" t="s">
        <v>928</v>
      </c>
      <c r="B898" s="1" t="s">
        <v>36</v>
      </c>
      <c r="C898" s="1" t="s">
        <v>24</v>
      </c>
      <c r="D898" s="1" t="n">
        <v>9.66</v>
      </c>
      <c r="E898" s="1" t="n">
        <v>53</v>
      </c>
      <c r="F898" s="4" t="n">
        <v>45017</v>
      </c>
      <c r="G898" s="1" t="s">
        <v>25</v>
      </c>
      <c r="H898" s="1" t="n">
        <v>0</v>
      </c>
      <c r="I898" s="1" t="n">
        <v>56.1</v>
      </c>
      <c r="J898" s="1" t="n">
        <v>14</v>
      </c>
      <c r="K898" s="1" t="n">
        <v>7</v>
      </c>
      <c r="L898" s="1" t="n">
        <v>2</v>
      </c>
      <c r="M898" s="1" t="n">
        <v>1</v>
      </c>
      <c r="N898" s="1" t="n">
        <v>511.98</v>
      </c>
      <c r="O898" s="1" t="n">
        <v>0</v>
      </c>
      <c r="Q898" s="4" t="n">
        <v>46293</v>
      </c>
      <c r="R898" s="0" t="n">
        <f aca="false">IF(ISBLANK(F898),"Missing",IFERROR(YEAR(F898),"Missing"))</f>
        <v>2023</v>
      </c>
      <c r="S898" s="0" t="str">
        <f aca="false">IF(ISBLANK(E898),"Missing",IF(E898&lt;6,"0-6mo",IF(E898&lt;12,"6-12mo",IF(E898&lt;24,"12-24mo","24mo+"))))</f>
        <v>24mo+</v>
      </c>
      <c r="T898" s="0" t="n">
        <f aca="false">IF(ISBLANK(C898),0,IF(C898="Month-to-month",2,IF(C898="One year",1,0)))+IF(ISBLANK(I898),0,IF(I898&lt;40,2,IF(I898&lt;55,1,0)))+IF(ISBLANK(M898),0,IF(M898=1,3,0))+IF(ISBLANK(L898),0,IF(L898&gt;=2,1,0))+IF(ISBLANK(E898),0,IF(E898&lt;12,1,0))</f>
        <v>6</v>
      </c>
      <c r="U898" s="0" t="str">
        <f aca="false">IF((ISBLANK(B898)*1+ISBLANK(C898)*1+ISBLANK(D898)*1+ISBLANK(E898)*1+ISBLANK(F898)*1+ISBLANK(I898)*1+ISBLANK(J898)*1+ISBLANK(K898)*1+ISBLANK(L898)*1+ISBLANK(M898)*1+ISBLANK(N898)*1+ISBLANK(O898)*1)&gt;0,"Missing Data","OK")</f>
        <v>OK</v>
      </c>
      <c r="V898" s="0" t="str">
        <f aca="false">IF(T898&gt;=6,"High Risk",IF(T898&gt;=3,"Medium Risk","Low Risk"))</f>
        <v>High Risk</v>
      </c>
    </row>
    <row r="899" customFormat="false" ht="12.8" hidden="false" customHeight="false" outlineLevel="0" collapsed="false">
      <c r="A899" s="1" t="s">
        <v>929</v>
      </c>
      <c r="B899" s="1" t="s">
        <v>23</v>
      </c>
      <c r="C899" s="1" t="s">
        <v>51</v>
      </c>
      <c r="D899" s="1" t="n">
        <v>20.38</v>
      </c>
      <c r="E899" s="1" t="n">
        <v>12</v>
      </c>
      <c r="F899" s="4" t="n">
        <v>45018</v>
      </c>
      <c r="G899" s="1" t="s">
        <v>27</v>
      </c>
      <c r="H899" s="1" t="n">
        <v>0</v>
      </c>
      <c r="I899" s="1" t="n">
        <v>44.9</v>
      </c>
      <c r="J899" s="1" t="n">
        <v>8</v>
      </c>
      <c r="K899" s="1" t="n">
        <v>5</v>
      </c>
      <c r="L899" s="1" t="n">
        <v>1</v>
      </c>
      <c r="M899" s="1" t="n">
        <v>0</v>
      </c>
      <c r="N899" s="1" t="n">
        <v>244.56</v>
      </c>
      <c r="O899" s="1" t="n">
        <v>0</v>
      </c>
      <c r="Q899" s="4" t="n">
        <v>45383</v>
      </c>
      <c r="R899" s="0" t="n">
        <f aca="false">IF(ISBLANK(F899),"Missing",IFERROR(YEAR(F899),"Missing"))</f>
        <v>2023</v>
      </c>
      <c r="S899" s="0" t="str">
        <f aca="false">IF(ISBLANK(E899),"Missing",IF(E899&lt;6,"0-6mo",IF(E899&lt;12,"6-12mo",IF(E899&lt;24,"12-24mo","24mo+"))))</f>
        <v>12-24mo</v>
      </c>
      <c r="T899" s="0" t="n">
        <f aca="false">IF(ISBLANK(C899),0,IF(C899="Month-to-month",2,IF(C899="One year",1,0)))+IF(ISBLANK(I899),0,IF(I899&lt;40,2,IF(I899&lt;55,1,0)))+IF(ISBLANK(M899),0,IF(M899=1,3,0))+IF(ISBLANK(L899),0,IF(L899&gt;=2,1,0))+IF(ISBLANK(E899),0,IF(E899&lt;12,1,0))</f>
        <v>1</v>
      </c>
      <c r="U899" s="0" t="str">
        <f aca="false">IF((ISBLANK(B899)*1+ISBLANK(C899)*1+ISBLANK(D899)*1+ISBLANK(E899)*1+ISBLANK(F899)*1+ISBLANK(I899)*1+ISBLANK(J899)*1+ISBLANK(K899)*1+ISBLANK(L899)*1+ISBLANK(M899)*1+ISBLANK(N899)*1+ISBLANK(O899)*1)&gt;0,"Missing Data","OK")</f>
        <v>OK</v>
      </c>
      <c r="V899" s="0" t="str">
        <f aca="false">IF(T899&gt;=6,"High Risk",IF(T899&gt;=3,"Medium Risk","Low Risk"))</f>
        <v>Low Risk</v>
      </c>
    </row>
    <row r="900" customFormat="false" ht="12.8" hidden="false" customHeight="false" outlineLevel="0" collapsed="false">
      <c r="A900" s="1" t="s">
        <v>930</v>
      </c>
      <c r="B900" s="1" t="s">
        <v>23</v>
      </c>
      <c r="C900" s="1" t="s">
        <v>34</v>
      </c>
      <c r="D900" s="1" t="n">
        <v>21.2</v>
      </c>
      <c r="E900" s="1" t="n">
        <v>27</v>
      </c>
      <c r="F900" s="4" t="n">
        <v>45018</v>
      </c>
      <c r="G900" s="1" t="s">
        <v>25</v>
      </c>
      <c r="H900" s="1" t="n">
        <v>1</v>
      </c>
      <c r="I900" s="1" t="n">
        <v>68.9</v>
      </c>
      <c r="J900" s="1" t="n">
        <v>15</v>
      </c>
      <c r="K900" s="1" t="n">
        <v>8</v>
      </c>
      <c r="L900" s="1" t="n">
        <v>0</v>
      </c>
      <c r="M900" s="1" t="n">
        <v>0</v>
      </c>
      <c r="N900" s="1" t="n">
        <v>572.4</v>
      </c>
      <c r="O900" s="1" t="n">
        <v>0</v>
      </c>
      <c r="Q900" s="4" t="n">
        <v>45839</v>
      </c>
      <c r="R900" s="0" t="n">
        <f aca="false">IF(ISBLANK(F900),"Missing",IFERROR(YEAR(F900),"Missing"))</f>
        <v>2023</v>
      </c>
      <c r="S900" s="0" t="str">
        <f aca="false">IF(ISBLANK(E900),"Missing",IF(E900&lt;6,"0-6mo",IF(E900&lt;12,"6-12mo",IF(E900&lt;24,"12-24mo","24mo+"))))</f>
        <v>24mo+</v>
      </c>
      <c r="T900" s="0" t="n">
        <f aca="false">IF(ISBLANK(C900),0,IF(C900="Month-to-month",2,IF(C900="One year",1,0)))+IF(ISBLANK(I900),0,IF(I900&lt;40,2,IF(I900&lt;55,1,0)))+IF(ISBLANK(M900),0,IF(M900=1,3,0))+IF(ISBLANK(L900),0,IF(L900&gt;=2,1,0))+IF(ISBLANK(E900),0,IF(E900&lt;12,1,0))</f>
        <v>1</v>
      </c>
      <c r="U900" s="0" t="str">
        <f aca="false">IF((ISBLANK(B900)*1+ISBLANK(C900)*1+ISBLANK(D900)*1+ISBLANK(E900)*1+ISBLANK(F900)*1+ISBLANK(I900)*1+ISBLANK(J900)*1+ISBLANK(K900)*1+ISBLANK(L900)*1+ISBLANK(M900)*1+ISBLANK(N900)*1+ISBLANK(O900)*1)&gt;0,"Missing Data","OK")</f>
        <v>OK</v>
      </c>
      <c r="V900" s="0" t="str">
        <f aca="false">IF(T900&gt;=6,"High Risk",IF(T900&gt;=3,"Medium Risk","Low Risk"))</f>
        <v>Low Risk</v>
      </c>
    </row>
    <row r="901" customFormat="false" ht="12.8" hidden="false" customHeight="false" outlineLevel="0" collapsed="false">
      <c r="A901" s="1" t="s">
        <v>931</v>
      </c>
      <c r="B901" s="1" t="s">
        <v>29</v>
      </c>
      <c r="C901" s="1" t="s">
        <v>34</v>
      </c>
      <c r="D901" s="1" t="n">
        <v>39.86</v>
      </c>
      <c r="E901" s="1" t="n">
        <v>8</v>
      </c>
      <c r="F901" s="4" t="n">
        <v>45020</v>
      </c>
      <c r="G901" s="1" t="s">
        <v>39</v>
      </c>
      <c r="H901" s="1" t="n">
        <v>1</v>
      </c>
      <c r="I901" s="1" t="n">
        <v>0</v>
      </c>
      <c r="J901" s="1" t="n">
        <v>0</v>
      </c>
      <c r="K901" s="1" t="n">
        <v>0</v>
      </c>
      <c r="L901" s="1" t="n">
        <v>4</v>
      </c>
      <c r="M901" s="1" t="n">
        <v>1</v>
      </c>
      <c r="N901" s="1" t="n">
        <v>318.88</v>
      </c>
      <c r="O901" s="1" t="n">
        <v>1</v>
      </c>
      <c r="P901" s="4" t="n">
        <v>45263</v>
      </c>
      <c r="Q901" s="4" t="n">
        <v>45263</v>
      </c>
      <c r="R901" s="0" t="n">
        <f aca="false">IF(ISBLANK(F901),"Missing",IFERROR(YEAR(F901),"Missing"))</f>
        <v>2023</v>
      </c>
      <c r="S901" s="0" t="str">
        <f aca="false">IF(ISBLANK(E901),"Missing",IF(E901&lt;6,"0-6mo",IF(E901&lt;12,"6-12mo",IF(E901&lt;24,"12-24mo","24mo+"))))</f>
        <v>6-12mo</v>
      </c>
      <c r="T901" s="0" t="n">
        <f aca="false">IF(ISBLANK(C901),0,IF(C901="Month-to-month",2,IF(C901="One year",1,0)))+IF(ISBLANK(I901),0,IF(I901&lt;40,2,IF(I901&lt;55,1,0)))+IF(ISBLANK(M901),0,IF(M901=1,3,0))+IF(ISBLANK(L901),0,IF(L901&gt;=2,1,0))+IF(ISBLANK(E901),0,IF(E901&lt;12,1,0))</f>
        <v>8</v>
      </c>
      <c r="U901" s="0" t="str">
        <f aca="false">IF((ISBLANK(B901)*1+ISBLANK(C901)*1+ISBLANK(D901)*1+ISBLANK(E901)*1+ISBLANK(F901)*1+ISBLANK(I901)*1+ISBLANK(J901)*1+ISBLANK(K901)*1+ISBLANK(L901)*1+ISBLANK(M901)*1+ISBLANK(N901)*1+ISBLANK(O901)*1)&gt;0,"Missing Data","OK")</f>
        <v>OK</v>
      </c>
      <c r="V901" s="0" t="str">
        <f aca="false">IF(T901&gt;=6,"High Risk",IF(T901&gt;=3,"Medium Risk","Low Risk"))</f>
        <v>High Risk</v>
      </c>
    </row>
    <row r="902" customFormat="false" ht="12.8" hidden="false" customHeight="false" outlineLevel="0" collapsed="false">
      <c r="A902" s="1" t="s">
        <v>932</v>
      </c>
      <c r="B902" s="1" t="s">
        <v>36</v>
      </c>
      <c r="C902" s="1" t="s">
        <v>34</v>
      </c>
      <c r="D902" s="1" t="n">
        <v>9.31</v>
      </c>
      <c r="E902" s="1" t="n">
        <v>49</v>
      </c>
      <c r="F902" s="4" t="n">
        <v>45020</v>
      </c>
      <c r="G902" s="1" t="s">
        <v>25</v>
      </c>
      <c r="H902" s="1" t="n">
        <v>1</v>
      </c>
      <c r="I902" s="1" t="n">
        <v>70.3</v>
      </c>
      <c r="J902" s="1" t="n">
        <v>20</v>
      </c>
      <c r="K902" s="1" t="n">
        <v>7</v>
      </c>
      <c r="L902" s="1" t="n">
        <v>1</v>
      </c>
      <c r="M902" s="1" t="n">
        <v>0</v>
      </c>
      <c r="N902" s="1" t="n">
        <v>456.19</v>
      </c>
      <c r="O902" s="1" t="n">
        <v>0</v>
      </c>
      <c r="Q902" s="4" t="n">
        <v>46293</v>
      </c>
      <c r="R902" s="0" t="n">
        <f aca="false">IF(ISBLANK(F902),"Missing",IFERROR(YEAR(F902),"Missing"))</f>
        <v>2023</v>
      </c>
      <c r="S902" s="0" t="str">
        <f aca="false">IF(ISBLANK(E902),"Missing",IF(E902&lt;6,"0-6mo",IF(E902&lt;12,"6-12mo",IF(E902&lt;24,"12-24mo","24mo+"))))</f>
        <v>24mo+</v>
      </c>
      <c r="T902" s="0" t="n">
        <f aca="false">IF(ISBLANK(C902),0,IF(C902="Month-to-month",2,IF(C902="One year",1,0)))+IF(ISBLANK(I902),0,IF(I902&lt;40,2,IF(I902&lt;55,1,0)))+IF(ISBLANK(M902),0,IF(M902=1,3,0))+IF(ISBLANK(L902),0,IF(L902&gt;=2,1,0))+IF(ISBLANK(E902),0,IF(E902&lt;12,1,0))</f>
        <v>1</v>
      </c>
      <c r="U902" s="0" t="str">
        <f aca="false">IF((ISBLANK(B902)*1+ISBLANK(C902)*1+ISBLANK(D902)*1+ISBLANK(E902)*1+ISBLANK(F902)*1+ISBLANK(I902)*1+ISBLANK(J902)*1+ISBLANK(K902)*1+ISBLANK(L902)*1+ISBLANK(M902)*1+ISBLANK(N902)*1+ISBLANK(O902)*1)&gt;0,"Missing Data","OK")</f>
        <v>OK</v>
      </c>
      <c r="V902" s="0" t="str">
        <f aca="false">IF(T902&gt;=6,"High Risk",IF(T902&gt;=3,"Medium Risk","Low Risk"))</f>
        <v>Low Risk</v>
      </c>
    </row>
    <row r="903" customFormat="false" ht="12.8" hidden="false" customHeight="false" outlineLevel="0" collapsed="false">
      <c r="A903" s="1" t="s">
        <v>933</v>
      </c>
      <c r="B903" s="1" t="s">
        <v>36</v>
      </c>
      <c r="C903" s="1" t="s">
        <v>24</v>
      </c>
      <c r="D903" s="1" t="n">
        <v>7.49</v>
      </c>
      <c r="E903" s="1" t="n">
        <v>9</v>
      </c>
      <c r="F903" s="4" t="n">
        <v>45020</v>
      </c>
      <c r="G903" s="1" t="s">
        <v>25</v>
      </c>
      <c r="H903" s="1" t="n">
        <v>1</v>
      </c>
      <c r="I903" s="1" t="n">
        <v>44</v>
      </c>
      <c r="J903" s="1" t="n">
        <v>17</v>
      </c>
      <c r="K903" s="1" t="n">
        <v>7</v>
      </c>
      <c r="L903" s="1" t="n">
        <v>1</v>
      </c>
      <c r="M903" s="1" t="n">
        <v>0</v>
      </c>
      <c r="N903" s="1" t="n">
        <v>67.41</v>
      </c>
      <c r="O903" s="1" t="n">
        <v>0</v>
      </c>
      <c r="Q903" s="4" t="n">
        <v>45293</v>
      </c>
      <c r="R903" s="0" t="n">
        <f aca="false">IF(ISBLANK(F903),"Missing",IFERROR(YEAR(F903),"Missing"))</f>
        <v>2023</v>
      </c>
      <c r="S903" s="0" t="str">
        <f aca="false">IF(ISBLANK(E903),"Missing",IF(E903&lt;6,"0-6mo",IF(E903&lt;12,"6-12mo",IF(E903&lt;24,"12-24mo","24mo+"))))</f>
        <v>6-12mo</v>
      </c>
      <c r="T903" s="0" t="n">
        <f aca="false">IF(ISBLANK(C903),0,IF(C903="Month-to-month",2,IF(C903="One year",1,0)))+IF(ISBLANK(I903),0,IF(I903&lt;40,2,IF(I903&lt;55,1,0)))+IF(ISBLANK(M903),0,IF(M903=1,3,0))+IF(ISBLANK(L903),0,IF(L903&gt;=2,1,0))+IF(ISBLANK(E903),0,IF(E903&lt;12,1,0))</f>
        <v>4</v>
      </c>
      <c r="U903" s="0" t="str">
        <f aca="false">IF((ISBLANK(B903)*1+ISBLANK(C903)*1+ISBLANK(D903)*1+ISBLANK(E903)*1+ISBLANK(F903)*1+ISBLANK(I903)*1+ISBLANK(J903)*1+ISBLANK(K903)*1+ISBLANK(L903)*1+ISBLANK(M903)*1+ISBLANK(N903)*1+ISBLANK(O903)*1)&gt;0,"Missing Data","OK")</f>
        <v>OK</v>
      </c>
      <c r="V903" s="0" t="str">
        <f aca="false">IF(T903&gt;=6,"High Risk",IF(T903&gt;=3,"Medium Risk","Low Risk"))</f>
        <v>Medium Risk</v>
      </c>
    </row>
    <row r="904" customFormat="false" ht="12.8" hidden="false" customHeight="false" outlineLevel="0" collapsed="false">
      <c r="A904" s="1" t="s">
        <v>934</v>
      </c>
      <c r="B904" s="1" t="s">
        <v>29</v>
      </c>
      <c r="C904" s="1" t="s">
        <v>24</v>
      </c>
      <c r="D904" s="1" t="n">
        <v>40.8</v>
      </c>
      <c r="E904" s="1" t="n">
        <v>6</v>
      </c>
      <c r="F904" s="4" t="n">
        <v>45022</v>
      </c>
      <c r="G904" s="1" t="s">
        <v>25</v>
      </c>
      <c r="H904" s="1" t="n">
        <v>0</v>
      </c>
      <c r="I904" s="1" t="n">
        <v>79.7</v>
      </c>
      <c r="J904" s="1" t="n">
        <v>25</v>
      </c>
      <c r="K904" s="1" t="n">
        <v>7</v>
      </c>
      <c r="L904" s="1" t="n">
        <v>1</v>
      </c>
      <c r="M904" s="1" t="n">
        <v>0</v>
      </c>
      <c r="N904" s="1" t="n">
        <v>244.8</v>
      </c>
      <c r="O904" s="1" t="n">
        <v>0</v>
      </c>
      <c r="Q904" s="4" t="n">
        <v>45204</v>
      </c>
      <c r="R904" s="0" t="n">
        <f aca="false">IF(ISBLANK(F904),"Missing",IFERROR(YEAR(F904),"Missing"))</f>
        <v>2023</v>
      </c>
      <c r="S904" s="0" t="str">
        <f aca="false">IF(ISBLANK(E904),"Missing",IF(E904&lt;6,"0-6mo",IF(E904&lt;12,"6-12mo",IF(E904&lt;24,"12-24mo","24mo+"))))</f>
        <v>6-12mo</v>
      </c>
      <c r="T904" s="0" t="n">
        <f aca="false">IF(ISBLANK(C904),0,IF(C904="Month-to-month",2,IF(C904="One year",1,0)))+IF(ISBLANK(I904),0,IF(I904&lt;40,2,IF(I904&lt;55,1,0)))+IF(ISBLANK(M904),0,IF(M904=1,3,0))+IF(ISBLANK(L904),0,IF(L904&gt;=2,1,0))+IF(ISBLANK(E904),0,IF(E904&lt;12,1,0))</f>
        <v>3</v>
      </c>
      <c r="U904" s="0" t="str">
        <f aca="false">IF((ISBLANK(B904)*1+ISBLANK(C904)*1+ISBLANK(D904)*1+ISBLANK(E904)*1+ISBLANK(F904)*1+ISBLANK(I904)*1+ISBLANK(J904)*1+ISBLANK(K904)*1+ISBLANK(L904)*1+ISBLANK(M904)*1+ISBLANK(N904)*1+ISBLANK(O904)*1)&gt;0,"Missing Data","OK")</f>
        <v>OK</v>
      </c>
      <c r="V904" s="0" t="str">
        <f aca="false">IF(T904&gt;=6,"High Risk",IF(T904&gt;=3,"Medium Risk","Low Risk"))</f>
        <v>Medium Risk</v>
      </c>
    </row>
    <row r="905" customFormat="false" ht="12.8" hidden="false" customHeight="false" outlineLevel="0" collapsed="false">
      <c r="A905" s="1" t="s">
        <v>935</v>
      </c>
      <c r="B905" s="1" t="s">
        <v>23</v>
      </c>
      <c r="C905" s="1" t="s">
        <v>34</v>
      </c>
      <c r="D905" s="1" t="n">
        <v>19.84</v>
      </c>
      <c r="E905" s="1" t="n">
        <v>10</v>
      </c>
      <c r="F905" s="4" t="n">
        <v>45022</v>
      </c>
      <c r="G905" s="1" t="s">
        <v>27</v>
      </c>
      <c r="H905" s="1" t="n">
        <v>1</v>
      </c>
      <c r="I905" s="1" t="n">
        <v>45.6</v>
      </c>
      <c r="J905" s="1" t="n">
        <v>11</v>
      </c>
      <c r="K905" s="1" t="n">
        <v>0</v>
      </c>
      <c r="L905" s="1" t="n">
        <v>0</v>
      </c>
      <c r="M905" s="1" t="n">
        <v>0</v>
      </c>
      <c r="N905" s="1" t="n">
        <v>198.4</v>
      </c>
      <c r="O905" s="1" t="n">
        <v>0</v>
      </c>
      <c r="Q905" s="4" t="n">
        <v>45326</v>
      </c>
      <c r="R905" s="0" t="n">
        <f aca="false">IF(ISBLANK(F905),"Missing",IFERROR(YEAR(F905),"Missing"))</f>
        <v>2023</v>
      </c>
      <c r="S905" s="0" t="str">
        <f aca="false">IF(ISBLANK(E905),"Missing",IF(E905&lt;6,"0-6mo",IF(E905&lt;12,"6-12mo",IF(E905&lt;24,"12-24mo","24mo+"))))</f>
        <v>6-12mo</v>
      </c>
      <c r="T905" s="0" t="n">
        <f aca="false">IF(ISBLANK(C905),0,IF(C905="Month-to-month",2,IF(C905="One year",1,0)))+IF(ISBLANK(I905),0,IF(I905&lt;40,2,IF(I905&lt;55,1,0)))+IF(ISBLANK(M905),0,IF(M905=1,3,0))+IF(ISBLANK(L905),0,IF(L905&gt;=2,1,0))+IF(ISBLANK(E905),0,IF(E905&lt;12,1,0))</f>
        <v>3</v>
      </c>
      <c r="U905" s="0" t="str">
        <f aca="false">IF((ISBLANK(B905)*1+ISBLANK(C905)*1+ISBLANK(D905)*1+ISBLANK(E905)*1+ISBLANK(F905)*1+ISBLANK(I905)*1+ISBLANK(J905)*1+ISBLANK(K905)*1+ISBLANK(L905)*1+ISBLANK(M905)*1+ISBLANK(N905)*1+ISBLANK(O905)*1)&gt;0,"Missing Data","OK")</f>
        <v>OK</v>
      </c>
      <c r="V905" s="0" t="str">
        <f aca="false">IF(T905&gt;=6,"High Risk",IF(T905&gt;=3,"Medium Risk","Low Risk"))</f>
        <v>Medium Risk</v>
      </c>
    </row>
    <row r="906" customFormat="false" ht="12.8" hidden="false" customHeight="false" outlineLevel="0" collapsed="false">
      <c r="A906" s="1" t="s">
        <v>936</v>
      </c>
      <c r="B906" s="1" t="s">
        <v>23</v>
      </c>
      <c r="C906" s="1" t="s">
        <v>51</v>
      </c>
      <c r="D906" s="1" t="n">
        <v>20.71</v>
      </c>
      <c r="E906" s="1" t="n">
        <v>24</v>
      </c>
      <c r="F906" s="4" t="n">
        <v>45024</v>
      </c>
      <c r="G906" s="1" t="s">
        <v>25</v>
      </c>
      <c r="H906" s="1" t="n">
        <v>0</v>
      </c>
      <c r="I906" s="1" t="n">
        <v>48</v>
      </c>
      <c r="J906" s="1" t="n">
        <v>5</v>
      </c>
      <c r="K906" s="1" t="n">
        <v>6</v>
      </c>
      <c r="L906" s="1" t="n">
        <v>4</v>
      </c>
      <c r="M906" s="1" t="n">
        <v>1</v>
      </c>
      <c r="N906" s="1" t="n">
        <v>497.04</v>
      </c>
      <c r="O906" s="1" t="n">
        <v>0</v>
      </c>
      <c r="Q906" s="4" t="n">
        <v>45754</v>
      </c>
      <c r="R906" s="0" t="n">
        <f aca="false">IF(ISBLANK(F906),"Missing",IFERROR(YEAR(F906),"Missing"))</f>
        <v>2023</v>
      </c>
      <c r="S906" s="0" t="str">
        <f aca="false">IF(ISBLANK(E906),"Missing",IF(E906&lt;6,"0-6mo",IF(E906&lt;12,"6-12mo",IF(E906&lt;24,"12-24mo","24mo+"))))</f>
        <v>24mo+</v>
      </c>
      <c r="T906" s="0" t="n">
        <f aca="false">IF(ISBLANK(C906),0,IF(C906="Month-to-month",2,IF(C906="One year",1,0)))+IF(ISBLANK(I906),0,IF(I906&lt;40,2,IF(I906&lt;55,1,0)))+IF(ISBLANK(M906),0,IF(M906=1,3,0))+IF(ISBLANK(L906),0,IF(L906&gt;=2,1,0))+IF(ISBLANK(E906),0,IF(E906&lt;12,1,0))</f>
        <v>5</v>
      </c>
      <c r="U906" s="0" t="str">
        <f aca="false">IF((ISBLANK(B906)*1+ISBLANK(C906)*1+ISBLANK(D906)*1+ISBLANK(E906)*1+ISBLANK(F906)*1+ISBLANK(I906)*1+ISBLANK(J906)*1+ISBLANK(K906)*1+ISBLANK(L906)*1+ISBLANK(M906)*1+ISBLANK(N906)*1+ISBLANK(O906)*1)&gt;0,"Missing Data","OK")</f>
        <v>OK</v>
      </c>
      <c r="V906" s="0" t="str">
        <f aca="false">IF(T906&gt;=6,"High Risk",IF(T906&gt;=3,"Medium Risk","Low Risk"))</f>
        <v>Medium Risk</v>
      </c>
    </row>
    <row r="907" customFormat="false" ht="12.8" hidden="false" customHeight="false" outlineLevel="0" collapsed="false">
      <c r="A907" s="1" t="s">
        <v>937</v>
      </c>
      <c r="B907" s="1" t="s">
        <v>23</v>
      </c>
      <c r="C907" s="1" t="s">
        <v>34</v>
      </c>
      <c r="D907" s="1" t="n">
        <v>18.75</v>
      </c>
      <c r="E907" s="1" t="n">
        <v>45</v>
      </c>
      <c r="F907" s="4" t="n">
        <v>45024</v>
      </c>
      <c r="G907" s="1" t="s">
        <v>39</v>
      </c>
      <c r="H907" s="1" t="n">
        <v>0</v>
      </c>
      <c r="I907" s="1" t="n">
        <v>46.7</v>
      </c>
      <c r="J907" s="1" t="n">
        <v>16</v>
      </c>
      <c r="K907" s="1" t="n">
        <v>7</v>
      </c>
      <c r="L907" s="1" t="n">
        <v>1</v>
      </c>
      <c r="M907" s="1" t="n">
        <v>1</v>
      </c>
      <c r="N907" s="1" t="n">
        <v>843.75</v>
      </c>
      <c r="O907" s="1" t="n">
        <v>1</v>
      </c>
      <c r="P907" s="4" t="n">
        <v>46293</v>
      </c>
      <c r="Q907" s="4" t="n">
        <v>46293</v>
      </c>
      <c r="R907" s="0" t="n">
        <f aca="false">IF(ISBLANK(F907),"Missing",IFERROR(YEAR(F907),"Missing"))</f>
        <v>2023</v>
      </c>
      <c r="S907" s="0" t="str">
        <f aca="false">IF(ISBLANK(E907),"Missing",IF(E907&lt;6,"0-6mo",IF(E907&lt;12,"6-12mo",IF(E907&lt;24,"12-24mo","24mo+"))))</f>
        <v>24mo+</v>
      </c>
      <c r="T907" s="0" t="n">
        <f aca="false">IF(ISBLANK(C907),0,IF(C907="Month-to-month",2,IF(C907="One year",1,0)))+IF(ISBLANK(I907),0,IF(I907&lt;40,2,IF(I907&lt;55,1,0)))+IF(ISBLANK(M907),0,IF(M907=1,3,0))+IF(ISBLANK(L907),0,IF(L907&gt;=2,1,0))+IF(ISBLANK(E907),0,IF(E907&lt;12,1,0))</f>
        <v>5</v>
      </c>
      <c r="U907" s="0" t="str">
        <f aca="false">IF((ISBLANK(B907)*1+ISBLANK(C907)*1+ISBLANK(D907)*1+ISBLANK(E907)*1+ISBLANK(F907)*1+ISBLANK(I907)*1+ISBLANK(J907)*1+ISBLANK(K907)*1+ISBLANK(L907)*1+ISBLANK(M907)*1+ISBLANK(N907)*1+ISBLANK(O907)*1)&gt;0,"Missing Data","OK")</f>
        <v>OK</v>
      </c>
      <c r="V907" s="0" t="str">
        <f aca="false">IF(T907&gt;=6,"High Risk",IF(T907&gt;=3,"Medium Risk","Low Risk"))</f>
        <v>Medium Risk</v>
      </c>
    </row>
    <row r="908" customFormat="false" ht="12.8" hidden="false" customHeight="false" outlineLevel="0" collapsed="false">
      <c r="A908" s="1" t="s">
        <v>938</v>
      </c>
      <c r="B908" s="1" t="s">
        <v>36</v>
      </c>
      <c r="C908" s="1" t="s">
        <v>34</v>
      </c>
      <c r="D908" s="1" t="n">
        <v>9.12</v>
      </c>
      <c r="E908" s="1" t="n">
        <v>20</v>
      </c>
      <c r="F908" s="4" t="n">
        <v>45025</v>
      </c>
      <c r="G908" s="1" t="s">
        <v>39</v>
      </c>
      <c r="H908" s="1" t="n">
        <v>0</v>
      </c>
      <c r="I908" s="1" t="n">
        <v>91.1</v>
      </c>
      <c r="J908" s="1" t="n">
        <v>29</v>
      </c>
      <c r="K908" s="1" t="n">
        <v>9</v>
      </c>
      <c r="L908" s="1" t="n">
        <v>2</v>
      </c>
      <c r="M908" s="1" t="n">
        <v>1</v>
      </c>
      <c r="N908" s="1" t="n">
        <v>182.4</v>
      </c>
      <c r="O908" s="1" t="n">
        <v>1</v>
      </c>
      <c r="P908" s="4" t="n">
        <v>45633</v>
      </c>
      <c r="Q908" s="4" t="n">
        <v>45633</v>
      </c>
      <c r="R908" s="0" t="n">
        <f aca="false">IF(ISBLANK(F908),"Missing",IFERROR(YEAR(F908),"Missing"))</f>
        <v>2023</v>
      </c>
      <c r="S908" s="0" t="str">
        <f aca="false">IF(ISBLANK(E908),"Missing",IF(E908&lt;6,"0-6mo",IF(E908&lt;12,"6-12mo",IF(E908&lt;24,"12-24mo","24mo+"))))</f>
        <v>12-24mo</v>
      </c>
      <c r="T908" s="0" t="n">
        <f aca="false">IF(ISBLANK(C908),0,IF(C908="Month-to-month",2,IF(C908="One year",1,0)))+IF(ISBLANK(I908),0,IF(I908&lt;40,2,IF(I908&lt;55,1,0)))+IF(ISBLANK(M908),0,IF(M908=1,3,0))+IF(ISBLANK(L908),0,IF(L908&gt;=2,1,0))+IF(ISBLANK(E908),0,IF(E908&lt;12,1,0))</f>
        <v>5</v>
      </c>
      <c r="U908" s="0" t="str">
        <f aca="false">IF((ISBLANK(B908)*1+ISBLANK(C908)*1+ISBLANK(D908)*1+ISBLANK(E908)*1+ISBLANK(F908)*1+ISBLANK(I908)*1+ISBLANK(J908)*1+ISBLANK(K908)*1+ISBLANK(L908)*1+ISBLANK(M908)*1+ISBLANK(N908)*1+ISBLANK(O908)*1)&gt;0,"Missing Data","OK")</f>
        <v>OK</v>
      </c>
      <c r="V908" s="0" t="str">
        <f aca="false">IF(T908&gt;=6,"High Risk",IF(T908&gt;=3,"Medium Risk","Low Risk"))</f>
        <v>Medium Risk</v>
      </c>
    </row>
    <row r="909" customFormat="false" ht="12.8" hidden="false" customHeight="false" outlineLevel="0" collapsed="false">
      <c r="A909" s="1" t="s">
        <v>939</v>
      </c>
      <c r="B909" s="1" t="s">
        <v>23</v>
      </c>
      <c r="C909" s="1" t="s">
        <v>24</v>
      </c>
      <c r="D909" s="1" t="n">
        <v>19.26</v>
      </c>
      <c r="E909" s="1" t="n">
        <v>17</v>
      </c>
      <c r="F909" s="4" t="n">
        <v>45028</v>
      </c>
      <c r="G909" s="1" t="s">
        <v>25</v>
      </c>
      <c r="H909" s="1" t="n">
        <v>0</v>
      </c>
      <c r="I909" s="1" t="n">
        <v>85.4</v>
      </c>
      <c r="J909" s="1" t="n">
        <v>27</v>
      </c>
      <c r="K909" s="1" t="n">
        <v>10</v>
      </c>
      <c r="L909" s="1" t="n">
        <v>0</v>
      </c>
      <c r="M909" s="1" t="n">
        <v>0</v>
      </c>
      <c r="N909" s="1" t="n">
        <v>327.42</v>
      </c>
      <c r="O909" s="1" t="n">
        <v>0</v>
      </c>
      <c r="Q909" s="4" t="n">
        <v>45545</v>
      </c>
      <c r="R909" s="0" t="n">
        <f aca="false">IF(ISBLANK(F909),"Missing",IFERROR(YEAR(F909),"Missing"))</f>
        <v>2023</v>
      </c>
      <c r="S909" s="0" t="str">
        <f aca="false">IF(ISBLANK(E909),"Missing",IF(E909&lt;6,"0-6mo",IF(E909&lt;12,"6-12mo",IF(E909&lt;24,"12-24mo","24mo+"))))</f>
        <v>12-24mo</v>
      </c>
      <c r="T909" s="0" t="n">
        <f aca="false">IF(ISBLANK(C909),0,IF(C909="Month-to-month",2,IF(C909="One year",1,0)))+IF(ISBLANK(I909),0,IF(I909&lt;40,2,IF(I909&lt;55,1,0)))+IF(ISBLANK(M909),0,IF(M909=1,3,0))+IF(ISBLANK(L909),0,IF(L909&gt;=2,1,0))+IF(ISBLANK(E909),0,IF(E909&lt;12,1,0))</f>
        <v>2</v>
      </c>
      <c r="U909" s="0" t="str">
        <f aca="false">IF((ISBLANK(B909)*1+ISBLANK(C909)*1+ISBLANK(D909)*1+ISBLANK(E909)*1+ISBLANK(F909)*1+ISBLANK(I909)*1+ISBLANK(J909)*1+ISBLANK(K909)*1+ISBLANK(L909)*1+ISBLANK(M909)*1+ISBLANK(N909)*1+ISBLANK(O909)*1)&gt;0,"Missing Data","OK")</f>
        <v>OK</v>
      </c>
      <c r="V909" s="0" t="str">
        <f aca="false">IF(T909&gt;=6,"High Risk",IF(T909&gt;=3,"Medium Risk","Low Risk"))</f>
        <v>Low Risk</v>
      </c>
    </row>
    <row r="910" customFormat="false" ht="12.8" hidden="false" customHeight="false" outlineLevel="0" collapsed="false">
      <c r="A910" s="1" t="s">
        <v>940</v>
      </c>
      <c r="B910" s="1" t="s">
        <v>36</v>
      </c>
      <c r="C910" s="1" t="s">
        <v>24</v>
      </c>
      <c r="D910" s="1" t="n">
        <v>10.14</v>
      </c>
      <c r="E910" s="1" t="n">
        <v>14</v>
      </c>
      <c r="F910" s="4" t="n">
        <v>45028</v>
      </c>
      <c r="G910" s="1" t="s">
        <v>25</v>
      </c>
      <c r="H910" s="1" t="n">
        <v>1</v>
      </c>
      <c r="I910" s="1" t="n">
        <v>46.9</v>
      </c>
      <c r="J910" s="1" t="n">
        <v>13</v>
      </c>
      <c r="K910" s="1" t="n">
        <v>5</v>
      </c>
      <c r="L910" s="1" t="n">
        <v>0</v>
      </c>
      <c r="M910" s="1" t="n">
        <v>0</v>
      </c>
      <c r="N910" s="1" t="n">
        <v>141.96</v>
      </c>
      <c r="O910" s="1" t="n">
        <v>0</v>
      </c>
      <c r="Q910" s="4" t="n">
        <v>45454</v>
      </c>
      <c r="R910" s="0" t="n">
        <f aca="false">IF(ISBLANK(F910),"Missing",IFERROR(YEAR(F910),"Missing"))</f>
        <v>2023</v>
      </c>
      <c r="S910" s="0" t="str">
        <f aca="false">IF(ISBLANK(E910),"Missing",IF(E910&lt;6,"0-6mo",IF(E910&lt;12,"6-12mo",IF(E910&lt;24,"12-24mo","24mo+"))))</f>
        <v>12-24mo</v>
      </c>
      <c r="T910" s="0" t="n">
        <f aca="false">IF(ISBLANK(C910),0,IF(C910="Month-to-month",2,IF(C910="One year",1,0)))+IF(ISBLANK(I910),0,IF(I910&lt;40,2,IF(I910&lt;55,1,0)))+IF(ISBLANK(M910),0,IF(M910=1,3,0))+IF(ISBLANK(L910),0,IF(L910&gt;=2,1,0))+IF(ISBLANK(E910),0,IF(E910&lt;12,1,0))</f>
        <v>3</v>
      </c>
      <c r="U910" s="0" t="str">
        <f aca="false">IF((ISBLANK(B910)*1+ISBLANK(C910)*1+ISBLANK(D910)*1+ISBLANK(E910)*1+ISBLANK(F910)*1+ISBLANK(I910)*1+ISBLANK(J910)*1+ISBLANK(K910)*1+ISBLANK(L910)*1+ISBLANK(M910)*1+ISBLANK(N910)*1+ISBLANK(O910)*1)&gt;0,"Missing Data","OK")</f>
        <v>OK</v>
      </c>
      <c r="V910" s="0" t="str">
        <f aca="false">IF(T910&gt;=6,"High Risk",IF(T910&gt;=3,"Medium Risk","Low Risk"))</f>
        <v>Medium Risk</v>
      </c>
    </row>
    <row r="911" customFormat="false" ht="12.8" hidden="false" customHeight="false" outlineLevel="0" collapsed="false">
      <c r="A911" s="1" t="s">
        <v>941</v>
      </c>
      <c r="B911" s="1" t="s">
        <v>36</v>
      </c>
      <c r="C911" s="1" t="s">
        <v>34</v>
      </c>
      <c r="D911" s="1" t="n">
        <v>8.77</v>
      </c>
      <c r="E911" s="1" t="n">
        <v>1</v>
      </c>
      <c r="F911" s="4" t="n">
        <v>45031</v>
      </c>
      <c r="G911" s="1" t="s">
        <v>27</v>
      </c>
      <c r="H911" s="1" t="n">
        <v>1</v>
      </c>
      <c r="I911" s="1" t="n">
        <v>42.7</v>
      </c>
      <c r="J911" s="1" t="n">
        <v>13</v>
      </c>
      <c r="K911" s="1" t="n">
        <v>0</v>
      </c>
      <c r="L911" s="1" t="n">
        <v>0</v>
      </c>
      <c r="M911" s="1" t="n">
        <v>0</v>
      </c>
      <c r="N911" s="1" t="n">
        <v>8.77</v>
      </c>
      <c r="O911" s="1" t="n">
        <v>0</v>
      </c>
      <c r="Q911" s="4" t="n">
        <v>45061</v>
      </c>
      <c r="R911" s="0" t="n">
        <f aca="false">IF(ISBLANK(F911),"Missing",IFERROR(YEAR(F911),"Missing"))</f>
        <v>2023</v>
      </c>
      <c r="S911" s="0" t="str">
        <f aca="false">IF(ISBLANK(E911),"Missing",IF(E911&lt;6,"0-6mo",IF(E911&lt;12,"6-12mo",IF(E911&lt;24,"12-24mo","24mo+"))))</f>
        <v>0-6mo</v>
      </c>
      <c r="T911" s="0" t="n">
        <f aca="false">IF(ISBLANK(C911),0,IF(C911="Month-to-month",2,IF(C911="One year",1,0)))+IF(ISBLANK(I911),0,IF(I911&lt;40,2,IF(I911&lt;55,1,0)))+IF(ISBLANK(M911),0,IF(M911=1,3,0))+IF(ISBLANK(L911),0,IF(L911&gt;=2,1,0))+IF(ISBLANK(E911),0,IF(E911&lt;12,1,0))</f>
        <v>3</v>
      </c>
      <c r="U911" s="0" t="str">
        <f aca="false">IF((ISBLANK(B911)*1+ISBLANK(C911)*1+ISBLANK(D911)*1+ISBLANK(E911)*1+ISBLANK(F911)*1+ISBLANK(I911)*1+ISBLANK(J911)*1+ISBLANK(K911)*1+ISBLANK(L911)*1+ISBLANK(M911)*1+ISBLANK(N911)*1+ISBLANK(O911)*1)&gt;0,"Missing Data","OK")</f>
        <v>OK</v>
      </c>
      <c r="V911" s="0" t="str">
        <f aca="false">IF(T911&gt;=6,"High Risk",IF(T911&gt;=3,"Medium Risk","Low Risk"))</f>
        <v>Medium Risk</v>
      </c>
    </row>
    <row r="912" customFormat="false" ht="12.8" hidden="false" customHeight="false" outlineLevel="0" collapsed="false">
      <c r="A912" s="1" t="s">
        <v>942</v>
      </c>
      <c r="B912" s="1" t="s">
        <v>36</v>
      </c>
      <c r="C912" s="1" t="s">
        <v>24</v>
      </c>
      <c r="D912" s="1" t="n">
        <v>10.33</v>
      </c>
      <c r="E912" s="1" t="n">
        <v>64</v>
      </c>
      <c r="F912" s="4" t="n">
        <v>45032</v>
      </c>
      <c r="G912" s="1" t="s">
        <v>25</v>
      </c>
      <c r="H912" s="1" t="n">
        <v>0</v>
      </c>
      <c r="I912" s="1" t="n">
        <v>48.8</v>
      </c>
      <c r="J912" s="1" t="n">
        <v>15</v>
      </c>
      <c r="K912" s="1" t="n">
        <v>8</v>
      </c>
      <c r="L912" s="1" t="n">
        <v>0</v>
      </c>
      <c r="M912" s="1" t="n">
        <v>0</v>
      </c>
      <c r="N912" s="1" t="n">
        <v>661.12</v>
      </c>
      <c r="O912" s="1" t="n">
        <v>0</v>
      </c>
      <c r="Q912" s="4" t="n">
        <v>46293</v>
      </c>
      <c r="R912" s="0" t="n">
        <f aca="false">IF(ISBLANK(F912),"Missing",IFERROR(YEAR(F912),"Missing"))</f>
        <v>2023</v>
      </c>
      <c r="S912" s="0" t="str">
        <f aca="false">IF(ISBLANK(E912),"Missing",IF(E912&lt;6,"0-6mo",IF(E912&lt;12,"6-12mo",IF(E912&lt;24,"12-24mo","24mo+"))))</f>
        <v>24mo+</v>
      </c>
      <c r="T912" s="0" t="n">
        <f aca="false">IF(ISBLANK(C912),0,IF(C912="Month-to-month",2,IF(C912="One year",1,0)))+IF(ISBLANK(I912),0,IF(I912&lt;40,2,IF(I912&lt;55,1,0)))+IF(ISBLANK(M912),0,IF(M912=1,3,0))+IF(ISBLANK(L912),0,IF(L912&gt;=2,1,0))+IF(ISBLANK(E912),0,IF(E912&lt;12,1,0))</f>
        <v>3</v>
      </c>
      <c r="U912" s="0" t="str">
        <f aca="false">IF((ISBLANK(B912)*1+ISBLANK(C912)*1+ISBLANK(D912)*1+ISBLANK(E912)*1+ISBLANK(F912)*1+ISBLANK(I912)*1+ISBLANK(J912)*1+ISBLANK(K912)*1+ISBLANK(L912)*1+ISBLANK(M912)*1+ISBLANK(N912)*1+ISBLANK(O912)*1)&gt;0,"Missing Data","OK")</f>
        <v>OK</v>
      </c>
      <c r="V912" s="0" t="str">
        <f aca="false">IF(T912&gt;=6,"High Risk",IF(T912&gt;=3,"Medium Risk","Low Risk"))</f>
        <v>Medium Risk</v>
      </c>
    </row>
    <row r="913" customFormat="false" ht="12.8" hidden="false" customHeight="false" outlineLevel="0" collapsed="false">
      <c r="A913" s="1" t="s">
        <v>943</v>
      </c>
      <c r="B913" s="1" t="s">
        <v>23</v>
      </c>
      <c r="C913" s="1" t="s">
        <v>34</v>
      </c>
      <c r="D913" s="1" t="n">
        <v>20.46</v>
      </c>
      <c r="E913" s="1" t="n">
        <v>14</v>
      </c>
      <c r="F913" s="4" t="n">
        <v>45034</v>
      </c>
      <c r="G913" s="1" t="s">
        <v>25</v>
      </c>
      <c r="H913" s="1" t="n">
        <v>0</v>
      </c>
      <c r="I913" s="1" t="n">
        <v>51.4</v>
      </c>
      <c r="J913" s="1" t="n">
        <v>19</v>
      </c>
      <c r="K913" s="1" t="n">
        <v>5</v>
      </c>
      <c r="L913" s="1" t="n">
        <v>1</v>
      </c>
      <c r="M913" s="1" t="n">
        <v>0</v>
      </c>
      <c r="N913" s="1" t="n">
        <v>286.44</v>
      </c>
      <c r="O913" s="1" t="n">
        <v>0</v>
      </c>
      <c r="Q913" s="4" t="n">
        <v>45460</v>
      </c>
      <c r="R913" s="0" t="n">
        <f aca="false">IF(ISBLANK(F913),"Missing",IFERROR(YEAR(F913),"Missing"))</f>
        <v>2023</v>
      </c>
      <c r="S913" s="0" t="str">
        <f aca="false">IF(ISBLANK(E913),"Missing",IF(E913&lt;6,"0-6mo",IF(E913&lt;12,"6-12mo",IF(E913&lt;24,"12-24mo","24mo+"))))</f>
        <v>12-24mo</v>
      </c>
      <c r="T913" s="0" t="n">
        <f aca="false">IF(ISBLANK(C913),0,IF(C913="Month-to-month",2,IF(C913="One year",1,0)))+IF(ISBLANK(I913),0,IF(I913&lt;40,2,IF(I913&lt;55,1,0)))+IF(ISBLANK(M913),0,IF(M913=1,3,0))+IF(ISBLANK(L913),0,IF(L913&gt;=2,1,0))+IF(ISBLANK(E913),0,IF(E913&lt;12,1,0))</f>
        <v>2</v>
      </c>
      <c r="U913" s="0" t="str">
        <f aca="false">IF((ISBLANK(B913)*1+ISBLANK(C913)*1+ISBLANK(D913)*1+ISBLANK(E913)*1+ISBLANK(F913)*1+ISBLANK(I913)*1+ISBLANK(J913)*1+ISBLANK(K913)*1+ISBLANK(L913)*1+ISBLANK(M913)*1+ISBLANK(N913)*1+ISBLANK(O913)*1)&gt;0,"Missing Data","OK")</f>
        <v>OK</v>
      </c>
      <c r="V913" s="0" t="str">
        <f aca="false">IF(T913&gt;=6,"High Risk",IF(T913&gt;=3,"Medium Risk","Low Risk"))</f>
        <v>Low Risk</v>
      </c>
    </row>
    <row r="914" customFormat="false" ht="12.8" hidden="false" customHeight="false" outlineLevel="0" collapsed="false">
      <c r="A914" s="1" t="s">
        <v>944</v>
      </c>
      <c r="B914" s="1" t="s">
        <v>36</v>
      </c>
      <c r="C914" s="1" t="s">
        <v>51</v>
      </c>
      <c r="D914" s="1" t="n">
        <v>10.4</v>
      </c>
      <c r="E914" s="1" t="n">
        <v>34</v>
      </c>
      <c r="F914" s="4" t="n">
        <v>45039</v>
      </c>
      <c r="G914" s="1" t="s">
        <v>30</v>
      </c>
      <c r="H914" s="1" t="n">
        <v>1</v>
      </c>
      <c r="I914" s="1" t="n">
        <v>82.3</v>
      </c>
      <c r="J914" s="1" t="n">
        <v>27</v>
      </c>
      <c r="K914" s="1" t="n">
        <v>5</v>
      </c>
      <c r="L914" s="1" t="n">
        <v>1</v>
      </c>
      <c r="M914" s="1" t="n">
        <v>0</v>
      </c>
      <c r="N914" s="1" t="n">
        <v>353.6</v>
      </c>
      <c r="O914" s="1" t="n">
        <v>0</v>
      </c>
      <c r="Q914" s="4" t="n">
        <v>46073</v>
      </c>
      <c r="R914" s="0" t="n">
        <f aca="false">IF(ISBLANK(F914),"Missing",IFERROR(YEAR(F914),"Missing"))</f>
        <v>2023</v>
      </c>
      <c r="S914" s="0" t="str">
        <f aca="false">IF(ISBLANK(E914),"Missing",IF(E914&lt;6,"0-6mo",IF(E914&lt;12,"6-12mo",IF(E914&lt;24,"12-24mo","24mo+"))))</f>
        <v>24mo+</v>
      </c>
      <c r="T914" s="0" t="n">
        <f aca="false">IF(ISBLANK(C914),0,IF(C914="Month-to-month",2,IF(C914="One year",1,0)))+IF(ISBLANK(I914),0,IF(I914&lt;40,2,IF(I914&lt;55,1,0)))+IF(ISBLANK(M914),0,IF(M914=1,3,0))+IF(ISBLANK(L914),0,IF(L914&gt;=2,1,0))+IF(ISBLANK(E914),0,IF(E914&lt;12,1,0))</f>
        <v>0</v>
      </c>
      <c r="U914" s="0" t="str">
        <f aca="false">IF((ISBLANK(B914)*1+ISBLANK(C914)*1+ISBLANK(D914)*1+ISBLANK(E914)*1+ISBLANK(F914)*1+ISBLANK(I914)*1+ISBLANK(J914)*1+ISBLANK(K914)*1+ISBLANK(L914)*1+ISBLANK(M914)*1+ISBLANK(N914)*1+ISBLANK(O914)*1)&gt;0,"Missing Data","OK")</f>
        <v>OK</v>
      </c>
      <c r="V914" s="0" t="str">
        <f aca="false">IF(T914&gt;=6,"High Risk",IF(T914&gt;=3,"Medium Risk","Low Risk"))</f>
        <v>Low Risk</v>
      </c>
    </row>
    <row r="915" customFormat="false" ht="12.8" hidden="false" customHeight="false" outlineLevel="0" collapsed="false">
      <c r="A915" s="1" t="s">
        <v>945</v>
      </c>
      <c r="B915" s="1" t="s">
        <v>36</v>
      </c>
      <c r="C915" s="1" t="s">
        <v>24</v>
      </c>
      <c r="D915" s="1" t="n">
        <v>9.91</v>
      </c>
      <c r="E915" s="1" t="n">
        <v>23</v>
      </c>
      <c r="F915" s="4" t="n">
        <v>45041</v>
      </c>
      <c r="G915" s="1" t="s">
        <v>39</v>
      </c>
      <c r="H915" s="1" t="n">
        <v>0</v>
      </c>
      <c r="I915" s="1" t="n">
        <v>91.7</v>
      </c>
      <c r="J915" s="1" t="n">
        <v>22</v>
      </c>
      <c r="K915" s="1" t="n">
        <v>10</v>
      </c>
      <c r="L915" s="1" t="n">
        <v>1</v>
      </c>
      <c r="M915" s="1" t="n">
        <v>0</v>
      </c>
      <c r="N915" s="1" t="n">
        <v>227.93</v>
      </c>
      <c r="O915" s="1" t="n">
        <v>0</v>
      </c>
      <c r="Q915" s="4" t="n">
        <v>45741</v>
      </c>
      <c r="R915" s="0" t="n">
        <f aca="false">IF(ISBLANK(F915),"Missing",IFERROR(YEAR(F915),"Missing"))</f>
        <v>2023</v>
      </c>
      <c r="S915" s="0" t="str">
        <f aca="false">IF(ISBLANK(E915),"Missing",IF(E915&lt;6,"0-6mo",IF(E915&lt;12,"6-12mo",IF(E915&lt;24,"12-24mo","24mo+"))))</f>
        <v>12-24mo</v>
      </c>
      <c r="T915" s="0" t="n">
        <f aca="false">IF(ISBLANK(C915),0,IF(C915="Month-to-month",2,IF(C915="One year",1,0)))+IF(ISBLANK(I915),0,IF(I915&lt;40,2,IF(I915&lt;55,1,0)))+IF(ISBLANK(M915),0,IF(M915=1,3,0))+IF(ISBLANK(L915),0,IF(L915&gt;=2,1,0))+IF(ISBLANK(E915),0,IF(E915&lt;12,1,0))</f>
        <v>2</v>
      </c>
      <c r="U915" s="0" t="str">
        <f aca="false">IF((ISBLANK(B915)*1+ISBLANK(C915)*1+ISBLANK(D915)*1+ISBLANK(E915)*1+ISBLANK(F915)*1+ISBLANK(I915)*1+ISBLANK(J915)*1+ISBLANK(K915)*1+ISBLANK(L915)*1+ISBLANK(M915)*1+ISBLANK(N915)*1+ISBLANK(O915)*1)&gt;0,"Missing Data","OK")</f>
        <v>OK</v>
      </c>
      <c r="V915" s="0" t="str">
        <f aca="false">IF(T915&gt;=6,"High Risk",IF(T915&gt;=3,"Medium Risk","Low Risk"))</f>
        <v>Low Risk</v>
      </c>
    </row>
    <row r="916" customFormat="false" ht="12.8" hidden="false" customHeight="false" outlineLevel="0" collapsed="false">
      <c r="A916" s="1" t="s">
        <v>946</v>
      </c>
      <c r="B916" s="1" t="s">
        <v>29</v>
      </c>
      <c r="C916" s="1" t="s">
        <v>34</v>
      </c>
      <c r="D916" s="1" t="n">
        <v>40.2</v>
      </c>
      <c r="E916" s="1" t="n">
        <v>2</v>
      </c>
      <c r="F916" s="4" t="n">
        <v>45041</v>
      </c>
      <c r="G916" s="1" t="s">
        <v>25</v>
      </c>
      <c r="H916" s="1" t="n">
        <v>1</v>
      </c>
      <c r="I916" s="1" t="n">
        <v>24.7</v>
      </c>
      <c r="J916" s="1" t="n">
        <v>9</v>
      </c>
      <c r="K916" s="1" t="n">
        <v>5</v>
      </c>
      <c r="L916" s="1" t="n">
        <v>2</v>
      </c>
      <c r="M916" s="1" t="n">
        <v>0</v>
      </c>
      <c r="N916" s="1" t="n">
        <v>80.4</v>
      </c>
      <c r="O916" s="1" t="n">
        <v>0</v>
      </c>
      <c r="Q916" s="4" t="n">
        <v>45101</v>
      </c>
      <c r="R916" s="0" t="n">
        <f aca="false">IF(ISBLANK(F916),"Missing",IFERROR(YEAR(F916),"Missing"))</f>
        <v>2023</v>
      </c>
      <c r="S916" s="0" t="str">
        <f aca="false">IF(ISBLANK(E916),"Missing",IF(E916&lt;6,"0-6mo",IF(E916&lt;12,"6-12mo",IF(E916&lt;24,"12-24mo","24mo+"))))</f>
        <v>0-6mo</v>
      </c>
      <c r="T916" s="0" t="n">
        <f aca="false">IF(ISBLANK(C916),0,IF(C916="Month-to-month",2,IF(C916="One year",1,0)))+IF(ISBLANK(I916),0,IF(I916&lt;40,2,IF(I916&lt;55,1,0)))+IF(ISBLANK(M916),0,IF(M916=1,3,0))+IF(ISBLANK(L916),0,IF(L916&gt;=2,1,0))+IF(ISBLANK(E916),0,IF(E916&lt;12,1,0))</f>
        <v>5</v>
      </c>
      <c r="U916" s="0" t="str">
        <f aca="false">IF((ISBLANK(B916)*1+ISBLANK(C916)*1+ISBLANK(D916)*1+ISBLANK(E916)*1+ISBLANK(F916)*1+ISBLANK(I916)*1+ISBLANK(J916)*1+ISBLANK(K916)*1+ISBLANK(L916)*1+ISBLANK(M916)*1+ISBLANK(N916)*1+ISBLANK(O916)*1)&gt;0,"Missing Data","OK")</f>
        <v>OK</v>
      </c>
      <c r="V916" s="0" t="str">
        <f aca="false">IF(T916&gt;=6,"High Risk",IF(T916&gt;=3,"Medium Risk","Low Risk"))</f>
        <v>Medium Risk</v>
      </c>
    </row>
    <row r="917" customFormat="false" ht="12.8" hidden="false" customHeight="false" outlineLevel="0" collapsed="false">
      <c r="A917" s="1" t="s">
        <v>947</v>
      </c>
      <c r="B917" s="1" t="s">
        <v>36</v>
      </c>
      <c r="C917" s="1" t="s">
        <v>34</v>
      </c>
      <c r="D917" s="1" t="n">
        <v>9.65</v>
      </c>
      <c r="E917" s="1" t="n">
        <v>19</v>
      </c>
      <c r="F917" s="4" t="n">
        <v>45041</v>
      </c>
      <c r="G917" s="1" t="s">
        <v>30</v>
      </c>
      <c r="H917" s="1" t="n">
        <v>1</v>
      </c>
      <c r="I917" s="1" t="n">
        <v>77</v>
      </c>
      <c r="J917" s="1" t="n">
        <v>22</v>
      </c>
      <c r="K917" s="1" t="n">
        <v>6</v>
      </c>
      <c r="L917" s="1" t="n">
        <v>0</v>
      </c>
      <c r="M917" s="1" t="n">
        <v>0</v>
      </c>
      <c r="N917" s="1" t="n">
        <v>183.35</v>
      </c>
      <c r="O917" s="1" t="n">
        <v>0</v>
      </c>
      <c r="Q917" s="4" t="n">
        <v>45619</v>
      </c>
      <c r="R917" s="0" t="n">
        <f aca="false">IF(ISBLANK(F917),"Missing",IFERROR(YEAR(F917),"Missing"))</f>
        <v>2023</v>
      </c>
      <c r="S917" s="0" t="str">
        <f aca="false">IF(ISBLANK(E917),"Missing",IF(E917&lt;6,"0-6mo",IF(E917&lt;12,"6-12mo",IF(E917&lt;24,"12-24mo","24mo+"))))</f>
        <v>12-24mo</v>
      </c>
      <c r="T917" s="0" t="n">
        <f aca="false">IF(ISBLANK(C917),0,IF(C917="Month-to-month",2,IF(C917="One year",1,0)))+IF(ISBLANK(I917),0,IF(I917&lt;40,2,IF(I917&lt;55,1,0)))+IF(ISBLANK(M917),0,IF(M917=1,3,0))+IF(ISBLANK(L917),0,IF(L917&gt;=2,1,0))+IF(ISBLANK(E917),0,IF(E917&lt;12,1,0))</f>
        <v>1</v>
      </c>
      <c r="U917" s="0" t="str">
        <f aca="false">IF((ISBLANK(B917)*1+ISBLANK(C917)*1+ISBLANK(D917)*1+ISBLANK(E917)*1+ISBLANK(F917)*1+ISBLANK(I917)*1+ISBLANK(J917)*1+ISBLANK(K917)*1+ISBLANK(L917)*1+ISBLANK(M917)*1+ISBLANK(N917)*1+ISBLANK(O917)*1)&gt;0,"Missing Data","OK")</f>
        <v>OK</v>
      </c>
      <c r="V917" s="0" t="str">
        <f aca="false">IF(T917&gt;=6,"High Risk",IF(T917&gt;=3,"Medium Risk","Low Risk"))</f>
        <v>Low Risk</v>
      </c>
    </row>
    <row r="918" customFormat="false" ht="12.8" hidden="false" customHeight="false" outlineLevel="0" collapsed="false">
      <c r="A918" s="1" t="s">
        <v>948</v>
      </c>
      <c r="B918" s="1" t="s">
        <v>36</v>
      </c>
      <c r="C918" s="1" t="s">
        <v>24</v>
      </c>
      <c r="D918" s="1" t="n">
        <v>9.08</v>
      </c>
      <c r="E918" s="1" t="n">
        <v>17</v>
      </c>
      <c r="F918" s="4" t="n">
        <v>45042</v>
      </c>
      <c r="G918" s="1" t="s">
        <v>25</v>
      </c>
      <c r="H918" s="1" t="n">
        <v>1</v>
      </c>
      <c r="I918" s="1" t="n">
        <v>63.2</v>
      </c>
      <c r="J918" s="1" t="n">
        <v>15</v>
      </c>
      <c r="K918" s="1" t="n">
        <v>6</v>
      </c>
      <c r="L918" s="1" t="n">
        <v>1</v>
      </c>
      <c r="M918" s="1" t="n">
        <v>0</v>
      </c>
      <c r="N918" s="1" t="n">
        <v>154.36</v>
      </c>
      <c r="O918" s="1" t="n">
        <v>0</v>
      </c>
      <c r="Q918" s="4" t="n">
        <v>45559</v>
      </c>
      <c r="R918" s="0" t="n">
        <f aca="false">IF(ISBLANK(F918),"Missing",IFERROR(YEAR(F918),"Missing"))</f>
        <v>2023</v>
      </c>
      <c r="S918" s="0" t="str">
        <f aca="false">IF(ISBLANK(E918),"Missing",IF(E918&lt;6,"0-6mo",IF(E918&lt;12,"6-12mo",IF(E918&lt;24,"12-24mo","24mo+"))))</f>
        <v>12-24mo</v>
      </c>
      <c r="T918" s="0" t="n">
        <f aca="false">IF(ISBLANK(C918),0,IF(C918="Month-to-month",2,IF(C918="One year",1,0)))+IF(ISBLANK(I918),0,IF(I918&lt;40,2,IF(I918&lt;55,1,0)))+IF(ISBLANK(M918),0,IF(M918=1,3,0))+IF(ISBLANK(L918),0,IF(L918&gt;=2,1,0))+IF(ISBLANK(E918),0,IF(E918&lt;12,1,0))</f>
        <v>2</v>
      </c>
      <c r="U918" s="0" t="str">
        <f aca="false">IF((ISBLANK(B918)*1+ISBLANK(C918)*1+ISBLANK(D918)*1+ISBLANK(E918)*1+ISBLANK(F918)*1+ISBLANK(I918)*1+ISBLANK(J918)*1+ISBLANK(K918)*1+ISBLANK(L918)*1+ISBLANK(M918)*1+ISBLANK(N918)*1+ISBLANK(O918)*1)&gt;0,"Missing Data","OK")</f>
        <v>OK</v>
      </c>
      <c r="V918" s="0" t="str">
        <f aca="false">IF(T918&gt;=6,"High Risk",IF(T918&gt;=3,"Medium Risk","Low Risk"))</f>
        <v>Low Risk</v>
      </c>
    </row>
    <row r="919" customFormat="false" ht="12.8" hidden="false" customHeight="false" outlineLevel="0" collapsed="false">
      <c r="A919" s="1" t="s">
        <v>949</v>
      </c>
      <c r="B919" s="1" t="s">
        <v>23</v>
      </c>
      <c r="C919" s="1" t="s">
        <v>51</v>
      </c>
      <c r="D919" s="1" t="n">
        <v>18.63</v>
      </c>
      <c r="E919" s="1" t="n">
        <v>9</v>
      </c>
      <c r="F919" s="4" t="n">
        <v>45043</v>
      </c>
      <c r="G919" s="1" t="s">
        <v>25</v>
      </c>
      <c r="H919" s="1" t="n">
        <v>0</v>
      </c>
      <c r="I919" s="1" t="n">
        <v>98.9</v>
      </c>
      <c r="J919" s="1" t="n">
        <v>25</v>
      </c>
      <c r="K919" s="1" t="n">
        <v>7</v>
      </c>
      <c r="L919" s="1" t="n">
        <v>2</v>
      </c>
      <c r="M919" s="1" t="n">
        <v>1</v>
      </c>
      <c r="N919" s="1" t="n">
        <v>167.67</v>
      </c>
      <c r="O919" s="1" t="n">
        <v>0</v>
      </c>
      <c r="Q919" s="4" t="n">
        <v>45316</v>
      </c>
      <c r="R919" s="0" t="n">
        <f aca="false">IF(ISBLANK(F919),"Missing",IFERROR(YEAR(F919),"Missing"))</f>
        <v>2023</v>
      </c>
      <c r="S919" s="0" t="str">
        <f aca="false">IF(ISBLANK(E919),"Missing",IF(E919&lt;6,"0-6mo",IF(E919&lt;12,"6-12mo",IF(E919&lt;24,"12-24mo","24mo+"))))</f>
        <v>6-12mo</v>
      </c>
      <c r="T919" s="0" t="n">
        <f aca="false">IF(ISBLANK(C919),0,IF(C919="Month-to-month",2,IF(C919="One year",1,0)))+IF(ISBLANK(I919),0,IF(I919&lt;40,2,IF(I919&lt;55,1,0)))+IF(ISBLANK(M919),0,IF(M919=1,3,0))+IF(ISBLANK(L919),0,IF(L919&gt;=2,1,0))+IF(ISBLANK(E919),0,IF(E919&lt;12,1,0))</f>
        <v>5</v>
      </c>
      <c r="U919" s="0" t="str">
        <f aca="false">IF((ISBLANK(B919)*1+ISBLANK(C919)*1+ISBLANK(D919)*1+ISBLANK(E919)*1+ISBLANK(F919)*1+ISBLANK(I919)*1+ISBLANK(J919)*1+ISBLANK(K919)*1+ISBLANK(L919)*1+ISBLANK(M919)*1+ISBLANK(N919)*1+ISBLANK(O919)*1)&gt;0,"Missing Data","OK")</f>
        <v>OK</v>
      </c>
      <c r="V919" s="0" t="str">
        <f aca="false">IF(T919&gt;=6,"High Risk",IF(T919&gt;=3,"Medium Risk","Low Risk"))</f>
        <v>Medium Risk</v>
      </c>
    </row>
    <row r="920" customFormat="false" ht="12.8" hidden="false" customHeight="false" outlineLevel="0" collapsed="false">
      <c r="A920" s="1" t="s">
        <v>950</v>
      </c>
      <c r="B920" s="1" t="s">
        <v>23</v>
      </c>
      <c r="C920" s="1" t="s">
        <v>34</v>
      </c>
      <c r="D920" s="1" t="n">
        <v>20.41</v>
      </c>
      <c r="E920" s="1" t="n">
        <v>42</v>
      </c>
      <c r="F920" s="4" t="n">
        <v>45043</v>
      </c>
      <c r="G920" s="1" t="s">
        <v>39</v>
      </c>
      <c r="H920" s="1" t="n">
        <v>0</v>
      </c>
      <c r="I920" s="1" t="n">
        <v>72.3</v>
      </c>
      <c r="J920" s="1" t="n">
        <v>19</v>
      </c>
      <c r="K920" s="1" t="n">
        <v>10</v>
      </c>
      <c r="L920" s="1" t="n">
        <v>1</v>
      </c>
      <c r="M920" s="1" t="n">
        <v>1</v>
      </c>
      <c r="N920" s="1" t="n">
        <v>857.22</v>
      </c>
      <c r="O920" s="1" t="n">
        <v>0</v>
      </c>
      <c r="Q920" s="4" t="n">
        <v>46293</v>
      </c>
      <c r="R920" s="0" t="n">
        <f aca="false">IF(ISBLANK(F920),"Missing",IFERROR(YEAR(F920),"Missing"))</f>
        <v>2023</v>
      </c>
      <c r="S920" s="0" t="str">
        <f aca="false">IF(ISBLANK(E920),"Missing",IF(E920&lt;6,"0-6mo",IF(E920&lt;12,"6-12mo",IF(E920&lt;24,"12-24mo","24mo+"))))</f>
        <v>24mo+</v>
      </c>
      <c r="T920" s="0" t="n">
        <f aca="false">IF(ISBLANK(C920),0,IF(C920="Month-to-month",2,IF(C920="One year",1,0)))+IF(ISBLANK(I920),0,IF(I920&lt;40,2,IF(I920&lt;55,1,0)))+IF(ISBLANK(M920),0,IF(M920=1,3,0))+IF(ISBLANK(L920),0,IF(L920&gt;=2,1,0))+IF(ISBLANK(E920),0,IF(E920&lt;12,1,0))</f>
        <v>4</v>
      </c>
      <c r="U920" s="0" t="str">
        <f aca="false">IF((ISBLANK(B920)*1+ISBLANK(C920)*1+ISBLANK(D920)*1+ISBLANK(E920)*1+ISBLANK(F920)*1+ISBLANK(I920)*1+ISBLANK(J920)*1+ISBLANK(K920)*1+ISBLANK(L920)*1+ISBLANK(M920)*1+ISBLANK(N920)*1+ISBLANK(O920)*1)&gt;0,"Missing Data","OK")</f>
        <v>OK</v>
      </c>
      <c r="V920" s="0" t="str">
        <f aca="false">IF(T920&gt;=6,"High Risk",IF(T920&gt;=3,"Medium Risk","Low Risk"))</f>
        <v>Medium Risk</v>
      </c>
    </row>
    <row r="921" customFormat="false" ht="12.8" hidden="false" customHeight="false" outlineLevel="0" collapsed="false">
      <c r="A921" s="1" t="s">
        <v>951</v>
      </c>
      <c r="B921" s="1" t="s">
        <v>23</v>
      </c>
      <c r="C921" s="1" t="s">
        <v>34</v>
      </c>
      <c r="D921" s="1" t="n">
        <v>20.36</v>
      </c>
      <c r="E921" s="1" t="n">
        <v>30</v>
      </c>
      <c r="F921" s="4" t="n">
        <v>45044</v>
      </c>
      <c r="G921" s="1" t="s">
        <v>25</v>
      </c>
      <c r="H921" s="1" t="n">
        <v>1</v>
      </c>
      <c r="I921" s="1" t="n">
        <v>63.7</v>
      </c>
      <c r="J921" s="1" t="n">
        <v>17</v>
      </c>
      <c r="K921" s="1" t="n">
        <v>7</v>
      </c>
      <c r="L921" s="1" t="n">
        <v>1</v>
      </c>
      <c r="M921" s="1" t="n">
        <v>1</v>
      </c>
      <c r="N921" s="1" t="n">
        <v>610.8</v>
      </c>
      <c r="O921" s="1" t="n">
        <v>1</v>
      </c>
      <c r="P921" s="4" t="n">
        <v>45957</v>
      </c>
      <c r="Q921" s="4" t="n">
        <v>45957</v>
      </c>
      <c r="R921" s="0" t="n">
        <f aca="false">IF(ISBLANK(F921),"Missing",IFERROR(YEAR(F921),"Missing"))</f>
        <v>2023</v>
      </c>
      <c r="S921" s="0" t="str">
        <f aca="false">IF(ISBLANK(E921),"Missing",IF(E921&lt;6,"0-6mo",IF(E921&lt;12,"6-12mo",IF(E921&lt;24,"12-24mo","24mo+"))))</f>
        <v>24mo+</v>
      </c>
      <c r="T921" s="0" t="n">
        <f aca="false">IF(ISBLANK(C921),0,IF(C921="Month-to-month",2,IF(C921="One year",1,0)))+IF(ISBLANK(I921),0,IF(I921&lt;40,2,IF(I921&lt;55,1,0)))+IF(ISBLANK(M921),0,IF(M921=1,3,0))+IF(ISBLANK(L921),0,IF(L921&gt;=2,1,0))+IF(ISBLANK(E921),0,IF(E921&lt;12,1,0))</f>
        <v>4</v>
      </c>
      <c r="U921" s="0" t="str">
        <f aca="false">IF((ISBLANK(B921)*1+ISBLANK(C921)*1+ISBLANK(D921)*1+ISBLANK(E921)*1+ISBLANK(F921)*1+ISBLANK(I921)*1+ISBLANK(J921)*1+ISBLANK(K921)*1+ISBLANK(L921)*1+ISBLANK(M921)*1+ISBLANK(N921)*1+ISBLANK(O921)*1)&gt;0,"Missing Data","OK")</f>
        <v>OK</v>
      </c>
      <c r="V921" s="0" t="str">
        <f aca="false">IF(T921&gt;=6,"High Risk",IF(T921&gt;=3,"Medium Risk","Low Risk"))</f>
        <v>Medium Risk</v>
      </c>
    </row>
    <row r="922" customFormat="false" ht="12.8" hidden="false" customHeight="false" outlineLevel="0" collapsed="false">
      <c r="A922" s="1" t="s">
        <v>952</v>
      </c>
      <c r="B922" s="1" t="s">
        <v>36</v>
      </c>
      <c r="C922" s="1" t="s">
        <v>24</v>
      </c>
      <c r="D922" s="1" t="n">
        <v>10.8</v>
      </c>
      <c r="E922" s="1" t="n">
        <v>21</v>
      </c>
      <c r="F922" s="4" t="n">
        <v>45045</v>
      </c>
      <c r="G922" s="1" t="s">
        <v>39</v>
      </c>
      <c r="H922" s="1" t="n">
        <v>1</v>
      </c>
      <c r="I922" s="1" t="n">
        <v>79.1</v>
      </c>
      <c r="J922" s="1" t="n">
        <v>21</v>
      </c>
      <c r="K922" s="1" t="n">
        <v>7</v>
      </c>
      <c r="L922" s="1" t="n">
        <v>1</v>
      </c>
      <c r="M922" s="1" t="n">
        <v>0</v>
      </c>
      <c r="N922" s="1" t="n">
        <v>226.8</v>
      </c>
      <c r="O922" s="1" t="n">
        <v>0</v>
      </c>
      <c r="Q922" s="4" t="n">
        <v>45684</v>
      </c>
      <c r="R922" s="0" t="n">
        <f aca="false">IF(ISBLANK(F922),"Missing",IFERROR(YEAR(F922),"Missing"))</f>
        <v>2023</v>
      </c>
      <c r="S922" s="0" t="str">
        <f aca="false">IF(ISBLANK(E922),"Missing",IF(E922&lt;6,"0-6mo",IF(E922&lt;12,"6-12mo",IF(E922&lt;24,"12-24mo","24mo+"))))</f>
        <v>12-24mo</v>
      </c>
      <c r="T922" s="0" t="n">
        <f aca="false">IF(ISBLANK(C922),0,IF(C922="Month-to-month",2,IF(C922="One year",1,0)))+IF(ISBLANK(I922),0,IF(I922&lt;40,2,IF(I922&lt;55,1,0)))+IF(ISBLANK(M922),0,IF(M922=1,3,0))+IF(ISBLANK(L922),0,IF(L922&gt;=2,1,0))+IF(ISBLANK(E922),0,IF(E922&lt;12,1,0))</f>
        <v>2</v>
      </c>
      <c r="U922" s="0" t="str">
        <f aca="false">IF((ISBLANK(B922)*1+ISBLANK(C922)*1+ISBLANK(D922)*1+ISBLANK(E922)*1+ISBLANK(F922)*1+ISBLANK(I922)*1+ISBLANK(J922)*1+ISBLANK(K922)*1+ISBLANK(L922)*1+ISBLANK(M922)*1+ISBLANK(N922)*1+ISBLANK(O922)*1)&gt;0,"Missing Data","OK")</f>
        <v>OK</v>
      </c>
      <c r="V922" s="0" t="str">
        <f aca="false">IF(T922&gt;=6,"High Risk",IF(T922&gt;=3,"Medium Risk","Low Risk"))</f>
        <v>Low Risk</v>
      </c>
    </row>
    <row r="923" customFormat="false" ht="12.8" hidden="false" customHeight="false" outlineLevel="0" collapsed="false">
      <c r="A923" s="1" t="s">
        <v>953</v>
      </c>
      <c r="B923" s="1" t="s">
        <v>36</v>
      </c>
      <c r="C923" s="1" t="s">
        <v>34</v>
      </c>
      <c r="D923" s="1" t="n">
        <v>9.85</v>
      </c>
      <c r="E923" s="1" t="n">
        <v>5</v>
      </c>
      <c r="F923" s="4" t="n">
        <v>45046</v>
      </c>
      <c r="G923" s="1" t="s">
        <v>25</v>
      </c>
      <c r="H923" s="1" t="n">
        <v>1</v>
      </c>
      <c r="I923" s="1" t="n">
        <v>79.5</v>
      </c>
      <c r="J923" s="1" t="n">
        <v>24</v>
      </c>
      <c r="K923" s="1" t="n">
        <v>8</v>
      </c>
      <c r="L923" s="1" t="n">
        <v>2</v>
      </c>
      <c r="M923" s="1" t="n">
        <v>0</v>
      </c>
      <c r="N923" s="1" t="n">
        <v>49.25</v>
      </c>
      <c r="O923" s="1" t="n">
        <v>0</v>
      </c>
      <c r="Q923" s="4" t="n">
        <v>45198</v>
      </c>
      <c r="R923" s="0" t="n">
        <f aca="false">IF(ISBLANK(F923),"Missing",IFERROR(YEAR(F923),"Missing"))</f>
        <v>2023</v>
      </c>
      <c r="S923" s="0" t="str">
        <f aca="false">IF(ISBLANK(E923),"Missing",IF(E923&lt;6,"0-6mo",IF(E923&lt;12,"6-12mo",IF(E923&lt;24,"12-24mo","24mo+"))))</f>
        <v>0-6mo</v>
      </c>
      <c r="T923" s="0" t="n">
        <f aca="false">IF(ISBLANK(C923),0,IF(C923="Month-to-month",2,IF(C923="One year",1,0)))+IF(ISBLANK(I923),0,IF(I923&lt;40,2,IF(I923&lt;55,1,0)))+IF(ISBLANK(M923),0,IF(M923=1,3,0))+IF(ISBLANK(L923),0,IF(L923&gt;=2,1,0))+IF(ISBLANK(E923),0,IF(E923&lt;12,1,0))</f>
        <v>3</v>
      </c>
      <c r="U923" s="0" t="str">
        <f aca="false">IF((ISBLANK(B923)*1+ISBLANK(C923)*1+ISBLANK(D923)*1+ISBLANK(E923)*1+ISBLANK(F923)*1+ISBLANK(I923)*1+ISBLANK(J923)*1+ISBLANK(K923)*1+ISBLANK(L923)*1+ISBLANK(M923)*1+ISBLANK(N923)*1+ISBLANK(O923)*1)&gt;0,"Missing Data","OK")</f>
        <v>OK</v>
      </c>
      <c r="V923" s="0" t="str">
        <f aca="false">IF(T923&gt;=6,"High Risk",IF(T923&gt;=3,"Medium Risk","Low Risk"))</f>
        <v>Medium Risk</v>
      </c>
    </row>
    <row r="924" customFormat="false" ht="12.8" hidden="false" customHeight="false" outlineLevel="0" collapsed="false">
      <c r="A924" s="1" t="s">
        <v>954</v>
      </c>
      <c r="B924" s="1" t="s">
        <v>23</v>
      </c>
      <c r="C924" s="1" t="s">
        <v>34</v>
      </c>
      <c r="D924" s="1" t="n">
        <v>18.92</v>
      </c>
      <c r="E924" s="1" t="n">
        <v>16</v>
      </c>
      <c r="F924" s="4" t="n">
        <v>45046</v>
      </c>
      <c r="G924" s="1" t="s">
        <v>25</v>
      </c>
      <c r="H924" s="1" t="n">
        <v>0</v>
      </c>
      <c r="I924" s="1" t="n">
        <v>44</v>
      </c>
      <c r="J924" s="1" t="n">
        <v>12</v>
      </c>
      <c r="K924" s="1" t="n">
        <v>4</v>
      </c>
      <c r="L924" s="1" t="n">
        <v>0</v>
      </c>
      <c r="M924" s="1" t="n">
        <v>0</v>
      </c>
      <c r="N924" s="1" t="n">
        <v>302.72</v>
      </c>
      <c r="O924" s="1" t="n">
        <v>0</v>
      </c>
      <c r="Q924" s="4" t="n">
        <v>45533</v>
      </c>
      <c r="R924" s="0" t="n">
        <f aca="false">IF(ISBLANK(F924),"Missing",IFERROR(YEAR(F924),"Missing"))</f>
        <v>2023</v>
      </c>
      <c r="S924" s="0" t="str">
        <f aca="false">IF(ISBLANK(E924),"Missing",IF(E924&lt;6,"0-6mo",IF(E924&lt;12,"6-12mo",IF(E924&lt;24,"12-24mo","24mo+"))))</f>
        <v>12-24mo</v>
      </c>
      <c r="T924" s="0" t="n">
        <f aca="false">IF(ISBLANK(C924),0,IF(C924="Month-to-month",2,IF(C924="One year",1,0)))+IF(ISBLANK(I924),0,IF(I924&lt;40,2,IF(I924&lt;55,1,0)))+IF(ISBLANK(M924),0,IF(M924=1,3,0))+IF(ISBLANK(L924),0,IF(L924&gt;=2,1,0))+IF(ISBLANK(E924),0,IF(E924&lt;12,1,0))</f>
        <v>2</v>
      </c>
      <c r="U924" s="0" t="str">
        <f aca="false">IF((ISBLANK(B924)*1+ISBLANK(C924)*1+ISBLANK(D924)*1+ISBLANK(E924)*1+ISBLANK(F924)*1+ISBLANK(I924)*1+ISBLANK(J924)*1+ISBLANK(K924)*1+ISBLANK(L924)*1+ISBLANK(M924)*1+ISBLANK(N924)*1+ISBLANK(O924)*1)&gt;0,"Missing Data","OK")</f>
        <v>OK</v>
      </c>
      <c r="V924" s="0" t="str">
        <f aca="false">IF(T924&gt;=6,"High Risk",IF(T924&gt;=3,"Medium Risk","Low Risk"))</f>
        <v>Low Risk</v>
      </c>
    </row>
    <row r="925" customFormat="false" ht="12.8" hidden="false" customHeight="false" outlineLevel="0" collapsed="false">
      <c r="A925" s="1" t="s">
        <v>955</v>
      </c>
      <c r="B925" s="1" t="s">
        <v>29</v>
      </c>
      <c r="C925" s="1" t="s">
        <v>24</v>
      </c>
      <c r="D925" s="1" t="n">
        <v>41.87</v>
      </c>
      <c r="E925" s="1" t="n">
        <v>26</v>
      </c>
      <c r="F925" s="4" t="n">
        <v>45047</v>
      </c>
      <c r="G925" s="1" t="s">
        <v>27</v>
      </c>
      <c r="H925" s="1" t="n">
        <v>0</v>
      </c>
      <c r="I925" s="1" t="n">
        <v>84.5</v>
      </c>
      <c r="J925" s="1" t="n">
        <v>30</v>
      </c>
      <c r="K925" s="1" t="n">
        <v>7</v>
      </c>
      <c r="L925" s="1" t="n">
        <v>0</v>
      </c>
      <c r="M925" s="1" t="n">
        <v>0</v>
      </c>
      <c r="N925" s="1" t="n">
        <v>1088.62</v>
      </c>
      <c r="O925" s="1" t="n">
        <v>0</v>
      </c>
      <c r="Q925" s="4" t="n">
        <v>45838</v>
      </c>
      <c r="R925" s="0" t="n">
        <f aca="false">IF(ISBLANK(F925),"Missing",IFERROR(YEAR(F925),"Missing"))</f>
        <v>2023</v>
      </c>
      <c r="S925" s="0" t="str">
        <f aca="false">IF(ISBLANK(E925),"Missing",IF(E925&lt;6,"0-6mo",IF(E925&lt;12,"6-12mo",IF(E925&lt;24,"12-24mo","24mo+"))))</f>
        <v>24mo+</v>
      </c>
      <c r="T925" s="0" t="n">
        <f aca="false">IF(ISBLANK(C925),0,IF(C925="Month-to-month",2,IF(C925="One year",1,0)))+IF(ISBLANK(I925),0,IF(I925&lt;40,2,IF(I925&lt;55,1,0)))+IF(ISBLANK(M925),0,IF(M925=1,3,0))+IF(ISBLANK(L925),0,IF(L925&gt;=2,1,0))+IF(ISBLANK(E925),0,IF(E925&lt;12,1,0))</f>
        <v>2</v>
      </c>
      <c r="U925" s="0" t="str">
        <f aca="false">IF((ISBLANK(B925)*1+ISBLANK(C925)*1+ISBLANK(D925)*1+ISBLANK(E925)*1+ISBLANK(F925)*1+ISBLANK(I925)*1+ISBLANK(J925)*1+ISBLANK(K925)*1+ISBLANK(L925)*1+ISBLANK(M925)*1+ISBLANK(N925)*1+ISBLANK(O925)*1)&gt;0,"Missing Data","OK")</f>
        <v>OK</v>
      </c>
      <c r="V925" s="0" t="str">
        <f aca="false">IF(T925&gt;=6,"High Risk",IF(T925&gt;=3,"Medium Risk","Low Risk"))</f>
        <v>Low Risk</v>
      </c>
    </row>
    <row r="926" customFormat="false" ht="12.8" hidden="false" customHeight="false" outlineLevel="0" collapsed="false">
      <c r="A926" s="1" t="s">
        <v>956</v>
      </c>
      <c r="B926" s="1" t="s">
        <v>36</v>
      </c>
      <c r="C926" s="1" t="s">
        <v>34</v>
      </c>
      <c r="D926" s="1" t="n">
        <v>9.87</v>
      </c>
      <c r="E926" s="1" t="n">
        <v>3</v>
      </c>
      <c r="F926" s="4" t="n">
        <v>45048</v>
      </c>
      <c r="G926" s="1" t="s">
        <v>30</v>
      </c>
      <c r="H926" s="1" t="n">
        <v>0</v>
      </c>
      <c r="I926" s="1" t="n">
        <v>88.8</v>
      </c>
      <c r="J926" s="1" t="n">
        <v>24</v>
      </c>
      <c r="K926" s="1" t="n">
        <v>10</v>
      </c>
      <c r="L926" s="1" t="n">
        <v>0</v>
      </c>
      <c r="M926" s="1" t="n">
        <v>0</v>
      </c>
      <c r="N926" s="1" t="n">
        <v>29.61</v>
      </c>
      <c r="O926" s="1" t="n">
        <v>1</v>
      </c>
      <c r="P926" s="4" t="n">
        <v>45139</v>
      </c>
      <c r="Q926" s="4" t="n">
        <v>45139</v>
      </c>
      <c r="R926" s="0" t="n">
        <f aca="false">IF(ISBLANK(F926),"Missing",IFERROR(YEAR(F926),"Missing"))</f>
        <v>2023</v>
      </c>
      <c r="S926" s="0" t="str">
        <f aca="false">IF(ISBLANK(E926),"Missing",IF(E926&lt;6,"0-6mo",IF(E926&lt;12,"6-12mo",IF(E926&lt;24,"12-24mo","24mo+"))))</f>
        <v>0-6mo</v>
      </c>
      <c r="T926" s="0" t="n">
        <f aca="false">IF(ISBLANK(C926),0,IF(C926="Month-to-month",2,IF(C926="One year",1,0)))+IF(ISBLANK(I926),0,IF(I926&lt;40,2,IF(I926&lt;55,1,0)))+IF(ISBLANK(M926),0,IF(M926=1,3,0))+IF(ISBLANK(L926),0,IF(L926&gt;=2,1,0))+IF(ISBLANK(E926),0,IF(E926&lt;12,1,0))</f>
        <v>2</v>
      </c>
      <c r="U926" s="0" t="str">
        <f aca="false">IF((ISBLANK(B926)*1+ISBLANK(C926)*1+ISBLANK(D926)*1+ISBLANK(E926)*1+ISBLANK(F926)*1+ISBLANK(I926)*1+ISBLANK(J926)*1+ISBLANK(K926)*1+ISBLANK(L926)*1+ISBLANK(M926)*1+ISBLANK(N926)*1+ISBLANK(O926)*1)&gt;0,"Missing Data","OK")</f>
        <v>OK</v>
      </c>
      <c r="V926" s="0" t="str">
        <f aca="false">IF(T926&gt;=6,"High Risk",IF(T926&gt;=3,"Medium Risk","Low Risk"))</f>
        <v>Low Risk</v>
      </c>
    </row>
    <row r="927" customFormat="false" ht="12.8" hidden="false" customHeight="false" outlineLevel="0" collapsed="false">
      <c r="A927" s="1" t="s">
        <v>957</v>
      </c>
      <c r="B927" s="1" t="s">
        <v>23</v>
      </c>
      <c r="C927" s="1" t="s">
        <v>34</v>
      </c>
      <c r="D927" s="1" t="n">
        <v>19.12</v>
      </c>
      <c r="E927" s="1" t="n">
        <v>21</v>
      </c>
      <c r="F927" s="4" t="n">
        <v>45050</v>
      </c>
      <c r="G927" s="1" t="s">
        <v>30</v>
      </c>
      <c r="H927" s="1" t="n">
        <v>1</v>
      </c>
      <c r="I927" s="1" t="n">
        <v>55.7</v>
      </c>
      <c r="J927" s="1" t="n">
        <v>21</v>
      </c>
      <c r="K927" s="1" t="n">
        <v>5</v>
      </c>
      <c r="L927" s="1" t="n">
        <v>3</v>
      </c>
      <c r="M927" s="1" t="n">
        <v>1</v>
      </c>
      <c r="N927" s="1" t="n">
        <v>401.52</v>
      </c>
      <c r="O927" s="1" t="n">
        <v>0</v>
      </c>
      <c r="Q927" s="4" t="n">
        <v>45689</v>
      </c>
      <c r="R927" s="0" t="n">
        <f aca="false">IF(ISBLANK(F927),"Missing",IFERROR(YEAR(F927),"Missing"))</f>
        <v>2023</v>
      </c>
      <c r="S927" s="0" t="str">
        <f aca="false">IF(ISBLANK(E927),"Missing",IF(E927&lt;6,"0-6mo",IF(E927&lt;12,"6-12mo",IF(E927&lt;24,"12-24mo","24mo+"))))</f>
        <v>12-24mo</v>
      </c>
      <c r="T927" s="0" t="n">
        <f aca="false">IF(ISBLANK(C927),0,IF(C927="Month-to-month",2,IF(C927="One year",1,0)))+IF(ISBLANK(I927),0,IF(I927&lt;40,2,IF(I927&lt;55,1,0)))+IF(ISBLANK(M927),0,IF(M927=1,3,0))+IF(ISBLANK(L927),0,IF(L927&gt;=2,1,0))+IF(ISBLANK(E927),0,IF(E927&lt;12,1,0))</f>
        <v>5</v>
      </c>
      <c r="U927" s="0" t="str">
        <f aca="false">IF((ISBLANK(B927)*1+ISBLANK(C927)*1+ISBLANK(D927)*1+ISBLANK(E927)*1+ISBLANK(F927)*1+ISBLANK(I927)*1+ISBLANK(J927)*1+ISBLANK(K927)*1+ISBLANK(L927)*1+ISBLANK(M927)*1+ISBLANK(N927)*1+ISBLANK(O927)*1)&gt;0,"Missing Data","OK")</f>
        <v>OK</v>
      </c>
      <c r="V927" s="0" t="str">
        <f aca="false">IF(T927&gt;=6,"High Risk",IF(T927&gt;=3,"Medium Risk","Low Risk"))</f>
        <v>Medium Risk</v>
      </c>
    </row>
    <row r="928" customFormat="false" ht="12.8" hidden="false" customHeight="false" outlineLevel="0" collapsed="false">
      <c r="A928" s="1" t="s">
        <v>958</v>
      </c>
      <c r="B928" s="1" t="s">
        <v>23</v>
      </c>
      <c r="C928" s="1" t="s">
        <v>24</v>
      </c>
      <c r="D928" s="1" t="n">
        <v>20.55</v>
      </c>
      <c r="E928" s="1" t="n">
        <v>42</v>
      </c>
      <c r="F928" s="4" t="n">
        <v>45051</v>
      </c>
      <c r="G928" s="1" t="s">
        <v>25</v>
      </c>
      <c r="H928" s="1" t="n">
        <v>0</v>
      </c>
      <c r="I928" s="1" t="n">
        <v>69.7</v>
      </c>
      <c r="J928" s="1" t="n">
        <v>23</v>
      </c>
      <c r="K928" s="1" t="n">
        <v>7</v>
      </c>
      <c r="L928" s="1" t="n">
        <v>1</v>
      </c>
      <c r="M928" s="1" t="n">
        <v>1</v>
      </c>
      <c r="N928" s="1" t="n">
        <v>863.1</v>
      </c>
      <c r="O928" s="1" t="n">
        <v>0</v>
      </c>
      <c r="Q928" s="4" t="n">
        <v>46293</v>
      </c>
      <c r="R928" s="0" t="n">
        <f aca="false">IF(ISBLANK(F928),"Missing",IFERROR(YEAR(F928),"Missing"))</f>
        <v>2023</v>
      </c>
      <c r="S928" s="0" t="str">
        <f aca="false">IF(ISBLANK(E928),"Missing",IF(E928&lt;6,"0-6mo",IF(E928&lt;12,"6-12mo",IF(E928&lt;24,"12-24mo","24mo+"))))</f>
        <v>24mo+</v>
      </c>
      <c r="T928" s="0" t="n">
        <f aca="false">IF(ISBLANK(C928),0,IF(C928="Month-to-month",2,IF(C928="One year",1,0)))+IF(ISBLANK(I928),0,IF(I928&lt;40,2,IF(I928&lt;55,1,0)))+IF(ISBLANK(M928),0,IF(M928=1,3,0))+IF(ISBLANK(L928),0,IF(L928&gt;=2,1,0))+IF(ISBLANK(E928),0,IF(E928&lt;12,1,0))</f>
        <v>5</v>
      </c>
      <c r="U928" s="0" t="str">
        <f aca="false">IF((ISBLANK(B928)*1+ISBLANK(C928)*1+ISBLANK(D928)*1+ISBLANK(E928)*1+ISBLANK(F928)*1+ISBLANK(I928)*1+ISBLANK(J928)*1+ISBLANK(K928)*1+ISBLANK(L928)*1+ISBLANK(M928)*1+ISBLANK(N928)*1+ISBLANK(O928)*1)&gt;0,"Missing Data","OK")</f>
        <v>OK</v>
      </c>
      <c r="V928" s="0" t="str">
        <f aca="false">IF(T928&gt;=6,"High Risk",IF(T928&gt;=3,"Medium Risk","Low Risk"))</f>
        <v>Medium Risk</v>
      </c>
    </row>
    <row r="929" customFormat="false" ht="12.8" hidden="false" customHeight="false" outlineLevel="0" collapsed="false">
      <c r="A929" s="1" t="s">
        <v>959</v>
      </c>
      <c r="B929" s="1" t="s">
        <v>36</v>
      </c>
      <c r="C929" s="1" t="s">
        <v>24</v>
      </c>
      <c r="D929" s="1" t="n">
        <v>10.1</v>
      </c>
      <c r="E929" s="1" t="n">
        <v>1</v>
      </c>
      <c r="F929" s="4" t="n">
        <v>45051</v>
      </c>
      <c r="G929" s="1" t="s">
        <v>25</v>
      </c>
      <c r="H929" s="1" t="n">
        <v>1</v>
      </c>
      <c r="I929" s="1" t="n">
        <v>71.7</v>
      </c>
      <c r="J929" s="1" t="n">
        <v>21</v>
      </c>
      <c r="K929" s="1" t="n">
        <v>7</v>
      </c>
      <c r="L929" s="1" t="n">
        <v>1</v>
      </c>
      <c r="M929" s="1" t="n">
        <v>1</v>
      </c>
      <c r="N929" s="1" t="n">
        <v>10.1</v>
      </c>
      <c r="O929" s="1" t="n">
        <v>1</v>
      </c>
      <c r="P929" s="4" t="n">
        <v>45081</v>
      </c>
      <c r="Q929" s="4" t="n">
        <v>45081</v>
      </c>
      <c r="R929" s="0" t="n">
        <f aca="false">IF(ISBLANK(F929),"Missing",IFERROR(YEAR(F929),"Missing"))</f>
        <v>2023</v>
      </c>
      <c r="S929" s="0" t="str">
        <f aca="false">IF(ISBLANK(E929),"Missing",IF(E929&lt;6,"0-6mo",IF(E929&lt;12,"6-12mo",IF(E929&lt;24,"12-24mo","24mo+"))))</f>
        <v>0-6mo</v>
      </c>
      <c r="T929" s="0" t="n">
        <f aca="false">IF(ISBLANK(C929),0,IF(C929="Month-to-month",2,IF(C929="One year",1,0)))+IF(ISBLANK(I929),0,IF(I929&lt;40,2,IF(I929&lt;55,1,0)))+IF(ISBLANK(M929),0,IF(M929=1,3,0))+IF(ISBLANK(L929),0,IF(L929&gt;=2,1,0))+IF(ISBLANK(E929),0,IF(E929&lt;12,1,0))</f>
        <v>6</v>
      </c>
      <c r="U929" s="0" t="str">
        <f aca="false">IF((ISBLANK(B929)*1+ISBLANK(C929)*1+ISBLANK(D929)*1+ISBLANK(E929)*1+ISBLANK(F929)*1+ISBLANK(I929)*1+ISBLANK(J929)*1+ISBLANK(K929)*1+ISBLANK(L929)*1+ISBLANK(M929)*1+ISBLANK(N929)*1+ISBLANK(O929)*1)&gt;0,"Missing Data","OK")</f>
        <v>OK</v>
      </c>
      <c r="V929" s="0" t="str">
        <f aca="false">IF(T929&gt;=6,"High Risk",IF(T929&gt;=3,"Medium Risk","Low Risk"))</f>
        <v>High Risk</v>
      </c>
    </row>
    <row r="930" customFormat="false" ht="12.8" hidden="false" customHeight="false" outlineLevel="0" collapsed="false">
      <c r="A930" s="1" t="s">
        <v>960</v>
      </c>
      <c r="B930" s="1" t="s">
        <v>23</v>
      </c>
      <c r="C930" s="1" t="s">
        <v>24</v>
      </c>
      <c r="D930" s="1" t="n">
        <v>17.57</v>
      </c>
      <c r="E930" s="1" t="n">
        <v>42</v>
      </c>
      <c r="F930" s="4" t="n">
        <v>45053</v>
      </c>
      <c r="G930" s="1" t="s">
        <v>30</v>
      </c>
      <c r="H930" s="1" t="n">
        <v>1</v>
      </c>
      <c r="I930" s="1" t="n">
        <v>73.3</v>
      </c>
      <c r="J930" s="1" t="n">
        <v>20</v>
      </c>
      <c r="K930" s="1" t="n">
        <v>8</v>
      </c>
      <c r="L930" s="1" t="n">
        <v>2</v>
      </c>
      <c r="M930" s="1" t="n">
        <v>0</v>
      </c>
      <c r="N930" s="1" t="n">
        <v>737.94</v>
      </c>
      <c r="O930" s="1" t="n">
        <v>0</v>
      </c>
      <c r="Q930" s="4" t="n">
        <v>46293</v>
      </c>
      <c r="R930" s="0" t="n">
        <f aca="false">IF(ISBLANK(F930),"Missing",IFERROR(YEAR(F930),"Missing"))</f>
        <v>2023</v>
      </c>
      <c r="S930" s="0" t="str">
        <f aca="false">IF(ISBLANK(E930),"Missing",IF(E930&lt;6,"0-6mo",IF(E930&lt;12,"6-12mo",IF(E930&lt;24,"12-24mo","24mo+"))))</f>
        <v>24mo+</v>
      </c>
      <c r="T930" s="0" t="n">
        <f aca="false">IF(ISBLANK(C930),0,IF(C930="Month-to-month",2,IF(C930="One year",1,0)))+IF(ISBLANK(I930),0,IF(I930&lt;40,2,IF(I930&lt;55,1,0)))+IF(ISBLANK(M930),0,IF(M930=1,3,0))+IF(ISBLANK(L930),0,IF(L930&gt;=2,1,0))+IF(ISBLANK(E930),0,IF(E930&lt;12,1,0))</f>
        <v>3</v>
      </c>
      <c r="U930" s="0" t="str">
        <f aca="false">IF((ISBLANK(B930)*1+ISBLANK(C930)*1+ISBLANK(D930)*1+ISBLANK(E930)*1+ISBLANK(F930)*1+ISBLANK(I930)*1+ISBLANK(J930)*1+ISBLANK(K930)*1+ISBLANK(L930)*1+ISBLANK(M930)*1+ISBLANK(N930)*1+ISBLANK(O930)*1)&gt;0,"Missing Data","OK")</f>
        <v>OK</v>
      </c>
      <c r="V930" s="0" t="str">
        <f aca="false">IF(T930&gt;=6,"High Risk",IF(T930&gt;=3,"Medium Risk","Low Risk"))</f>
        <v>Medium Risk</v>
      </c>
    </row>
    <row r="931" customFormat="false" ht="12.8" hidden="false" customHeight="false" outlineLevel="0" collapsed="false">
      <c r="A931" s="1" t="s">
        <v>961</v>
      </c>
      <c r="B931" s="1" t="s">
        <v>29</v>
      </c>
      <c r="C931" s="1" t="s">
        <v>34</v>
      </c>
      <c r="D931" s="1" t="n">
        <v>39.52</v>
      </c>
      <c r="E931" s="1" t="n">
        <v>13</v>
      </c>
      <c r="F931" s="4" t="n">
        <v>45054</v>
      </c>
      <c r="G931" s="1" t="s">
        <v>25</v>
      </c>
      <c r="H931" s="1" t="n">
        <v>0</v>
      </c>
      <c r="I931" s="1" t="n">
        <v>37.3</v>
      </c>
      <c r="J931" s="1" t="n">
        <v>4</v>
      </c>
      <c r="K931" s="1" t="n">
        <v>5</v>
      </c>
      <c r="L931" s="1" t="n">
        <v>1</v>
      </c>
      <c r="M931" s="1" t="n">
        <v>0</v>
      </c>
      <c r="N931" s="1" t="n">
        <v>513.76</v>
      </c>
      <c r="O931" s="1" t="n">
        <v>0</v>
      </c>
      <c r="Q931" s="4" t="n">
        <v>45449</v>
      </c>
      <c r="R931" s="0" t="n">
        <f aca="false">IF(ISBLANK(F931),"Missing",IFERROR(YEAR(F931),"Missing"))</f>
        <v>2023</v>
      </c>
      <c r="S931" s="0" t="str">
        <f aca="false">IF(ISBLANK(E931),"Missing",IF(E931&lt;6,"0-6mo",IF(E931&lt;12,"6-12mo",IF(E931&lt;24,"12-24mo","24mo+"))))</f>
        <v>12-24mo</v>
      </c>
      <c r="T931" s="0" t="n">
        <f aca="false">IF(ISBLANK(C931),0,IF(C931="Month-to-month",2,IF(C931="One year",1,0)))+IF(ISBLANK(I931),0,IF(I931&lt;40,2,IF(I931&lt;55,1,0)))+IF(ISBLANK(M931),0,IF(M931=1,3,0))+IF(ISBLANK(L931),0,IF(L931&gt;=2,1,0))+IF(ISBLANK(E931),0,IF(E931&lt;12,1,0))</f>
        <v>3</v>
      </c>
      <c r="U931" s="0" t="str">
        <f aca="false">IF((ISBLANK(B931)*1+ISBLANK(C931)*1+ISBLANK(D931)*1+ISBLANK(E931)*1+ISBLANK(F931)*1+ISBLANK(I931)*1+ISBLANK(J931)*1+ISBLANK(K931)*1+ISBLANK(L931)*1+ISBLANK(M931)*1+ISBLANK(N931)*1+ISBLANK(O931)*1)&gt;0,"Missing Data","OK")</f>
        <v>OK</v>
      </c>
      <c r="V931" s="0" t="str">
        <f aca="false">IF(T931&gt;=6,"High Risk",IF(T931&gt;=3,"Medium Risk","Low Risk"))</f>
        <v>Medium Risk</v>
      </c>
    </row>
    <row r="932" customFormat="false" ht="12.8" hidden="false" customHeight="false" outlineLevel="0" collapsed="false">
      <c r="A932" s="1" t="s">
        <v>962</v>
      </c>
      <c r="B932" s="1" t="s">
        <v>36</v>
      </c>
      <c r="C932" s="1" t="s">
        <v>34</v>
      </c>
      <c r="D932" s="1" t="n">
        <v>10.94</v>
      </c>
      <c r="E932" s="1" t="n">
        <v>4</v>
      </c>
      <c r="F932" s="4" t="n">
        <v>45057</v>
      </c>
      <c r="G932" s="1" t="s">
        <v>25</v>
      </c>
      <c r="H932" s="1" t="n">
        <v>1</v>
      </c>
      <c r="I932" s="1" t="n">
        <v>63.8</v>
      </c>
      <c r="J932" s="1" t="n">
        <v>20</v>
      </c>
      <c r="K932" s="1" t="n">
        <v>5</v>
      </c>
      <c r="L932" s="1" t="n">
        <v>0</v>
      </c>
      <c r="M932" s="1" t="n">
        <v>0</v>
      </c>
      <c r="N932" s="1" t="n">
        <v>43.76</v>
      </c>
      <c r="O932" s="1" t="n">
        <v>0</v>
      </c>
      <c r="Q932" s="4" t="n">
        <v>45178</v>
      </c>
      <c r="R932" s="0" t="n">
        <f aca="false">IF(ISBLANK(F932),"Missing",IFERROR(YEAR(F932),"Missing"))</f>
        <v>2023</v>
      </c>
      <c r="S932" s="0" t="str">
        <f aca="false">IF(ISBLANK(E932),"Missing",IF(E932&lt;6,"0-6mo",IF(E932&lt;12,"6-12mo",IF(E932&lt;24,"12-24mo","24mo+"))))</f>
        <v>0-6mo</v>
      </c>
      <c r="T932" s="0" t="n">
        <f aca="false">IF(ISBLANK(C932),0,IF(C932="Month-to-month",2,IF(C932="One year",1,0)))+IF(ISBLANK(I932),0,IF(I932&lt;40,2,IF(I932&lt;55,1,0)))+IF(ISBLANK(M932),0,IF(M932=1,3,0))+IF(ISBLANK(L932),0,IF(L932&gt;=2,1,0))+IF(ISBLANK(E932),0,IF(E932&lt;12,1,0))</f>
        <v>2</v>
      </c>
      <c r="U932" s="0" t="str">
        <f aca="false">IF((ISBLANK(B932)*1+ISBLANK(C932)*1+ISBLANK(D932)*1+ISBLANK(E932)*1+ISBLANK(F932)*1+ISBLANK(I932)*1+ISBLANK(J932)*1+ISBLANK(K932)*1+ISBLANK(L932)*1+ISBLANK(M932)*1+ISBLANK(N932)*1+ISBLANK(O932)*1)&gt;0,"Missing Data","OK")</f>
        <v>OK</v>
      </c>
      <c r="V932" s="0" t="str">
        <f aca="false">IF(T932&gt;=6,"High Risk",IF(T932&gt;=3,"Medium Risk","Low Risk"))</f>
        <v>Low Risk</v>
      </c>
    </row>
    <row r="933" customFormat="false" ht="12.8" hidden="false" customHeight="false" outlineLevel="0" collapsed="false">
      <c r="A933" s="1" t="s">
        <v>963</v>
      </c>
      <c r="B933" s="1" t="s">
        <v>36</v>
      </c>
      <c r="C933" s="1" t="s">
        <v>24</v>
      </c>
      <c r="D933" s="1" t="n">
        <v>10.37</v>
      </c>
      <c r="E933" s="1" t="n">
        <v>13</v>
      </c>
      <c r="F933" s="4" t="n">
        <v>45058</v>
      </c>
      <c r="G933" s="1" t="s">
        <v>30</v>
      </c>
      <c r="H933" s="1" t="n">
        <v>1</v>
      </c>
      <c r="I933" s="1" t="n">
        <v>78.6</v>
      </c>
      <c r="J933" s="1" t="n">
        <v>20</v>
      </c>
      <c r="K933" s="1" t="n">
        <v>9</v>
      </c>
      <c r="L933" s="1" t="n">
        <v>1</v>
      </c>
      <c r="M933" s="1" t="n">
        <v>1</v>
      </c>
      <c r="N933" s="1" t="n">
        <v>134.81</v>
      </c>
      <c r="O933" s="1" t="n">
        <v>0</v>
      </c>
      <c r="Q933" s="4" t="n">
        <v>45453</v>
      </c>
      <c r="R933" s="0" t="n">
        <f aca="false">IF(ISBLANK(F933),"Missing",IFERROR(YEAR(F933),"Missing"))</f>
        <v>2023</v>
      </c>
      <c r="S933" s="0" t="str">
        <f aca="false">IF(ISBLANK(E933),"Missing",IF(E933&lt;6,"0-6mo",IF(E933&lt;12,"6-12mo",IF(E933&lt;24,"12-24mo","24mo+"))))</f>
        <v>12-24mo</v>
      </c>
      <c r="T933" s="0" t="n">
        <f aca="false">IF(ISBLANK(C933),0,IF(C933="Month-to-month",2,IF(C933="One year",1,0)))+IF(ISBLANK(I933),0,IF(I933&lt;40,2,IF(I933&lt;55,1,0)))+IF(ISBLANK(M933),0,IF(M933=1,3,0))+IF(ISBLANK(L933),0,IF(L933&gt;=2,1,0))+IF(ISBLANK(E933),0,IF(E933&lt;12,1,0))</f>
        <v>5</v>
      </c>
      <c r="U933" s="0" t="str">
        <f aca="false">IF((ISBLANK(B933)*1+ISBLANK(C933)*1+ISBLANK(D933)*1+ISBLANK(E933)*1+ISBLANK(F933)*1+ISBLANK(I933)*1+ISBLANK(J933)*1+ISBLANK(K933)*1+ISBLANK(L933)*1+ISBLANK(M933)*1+ISBLANK(N933)*1+ISBLANK(O933)*1)&gt;0,"Missing Data","OK")</f>
        <v>OK</v>
      </c>
      <c r="V933" s="0" t="str">
        <f aca="false">IF(T933&gt;=6,"High Risk",IF(T933&gt;=3,"Medium Risk","Low Risk"))</f>
        <v>Medium Risk</v>
      </c>
    </row>
    <row r="934" customFormat="false" ht="12.8" hidden="false" customHeight="false" outlineLevel="0" collapsed="false">
      <c r="A934" s="1" t="s">
        <v>964</v>
      </c>
      <c r="B934" s="1" t="s">
        <v>29</v>
      </c>
      <c r="C934" s="1" t="s">
        <v>51</v>
      </c>
      <c r="D934" s="1" t="n">
        <v>39.02</v>
      </c>
      <c r="E934" s="1" t="n">
        <v>0</v>
      </c>
      <c r="F934" s="4" t="n">
        <v>45058</v>
      </c>
      <c r="G934" s="1" t="s">
        <v>25</v>
      </c>
      <c r="H934" s="1" t="n">
        <v>1</v>
      </c>
      <c r="I934" s="1" t="n">
        <v>65.1</v>
      </c>
      <c r="J934" s="1" t="n">
        <v>15</v>
      </c>
      <c r="K934" s="1" t="n">
        <v>6</v>
      </c>
      <c r="L934" s="1" t="n">
        <v>0</v>
      </c>
      <c r="M934" s="1" t="n">
        <v>0</v>
      </c>
      <c r="N934" s="1" t="n">
        <v>0</v>
      </c>
      <c r="O934" s="1" t="n">
        <v>0</v>
      </c>
      <c r="Q934" s="4" t="n">
        <v>45058</v>
      </c>
      <c r="R934" s="0" t="n">
        <f aca="false">IF(ISBLANK(F934),"Missing",IFERROR(YEAR(F934),"Missing"))</f>
        <v>2023</v>
      </c>
      <c r="S934" s="0" t="str">
        <f aca="false">IF(ISBLANK(E934),"Missing",IF(E934&lt;6,"0-6mo",IF(E934&lt;12,"6-12mo",IF(E934&lt;24,"12-24mo","24mo+"))))</f>
        <v>0-6mo</v>
      </c>
      <c r="T934" s="0" t="n">
        <f aca="false">IF(ISBLANK(C934),0,IF(C934="Month-to-month",2,IF(C934="One year",1,0)))+IF(ISBLANK(I934),0,IF(I934&lt;40,2,IF(I934&lt;55,1,0)))+IF(ISBLANK(M934),0,IF(M934=1,3,0))+IF(ISBLANK(L934),0,IF(L934&gt;=2,1,0))+IF(ISBLANK(E934),0,IF(E934&lt;12,1,0))</f>
        <v>1</v>
      </c>
      <c r="U934" s="0" t="str">
        <f aca="false">IF((ISBLANK(B934)*1+ISBLANK(C934)*1+ISBLANK(D934)*1+ISBLANK(E934)*1+ISBLANK(F934)*1+ISBLANK(I934)*1+ISBLANK(J934)*1+ISBLANK(K934)*1+ISBLANK(L934)*1+ISBLANK(M934)*1+ISBLANK(N934)*1+ISBLANK(O934)*1)&gt;0,"Missing Data","OK")</f>
        <v>OK</v>
      </c>
      <c r="V934" s="0" t="str">
        <f aca="false">IF(T934&gt;=6,"High Risk",IF(T934&gt;=3,"Medium Risk","Low Risk"))</f>
        <v>Low Risk</v>
      </c>
    </row>
    <row r="935" customFormat="false" ht="12.8" hidden="false" customHeight="false" outlineLevel="0" collapsed="false">
      <c r="A935" s="1" t="s">
        <v>965</v>
      </c>
      <c r="B935" s="1" t="s">
        <v>23</v>
      </c>
      <c r="C935" s="1" t="s">
        <v>24</v>
      </c>
      <c r="D935" s="1" t="n">
        <v>19.24</v>
      </c>
      <c r="E935" s="1" t="n">
        <v>7</v>
      </c>
      <c r="F935" s="4" t="n">
        <v>45061</v>
      </c>
      <c r="G935" s="1" t="s">
        <v>25</v>
      </c>
      <c r="H935" s="1" t="n">
        <v>1</v>
      </c>
      <c r="I935" s="1" t="n">
        <v>54.8</v>
      </c>
      <c r="J935" s="1" t="n">
        <v>15</v>
      </c>
      <c r="K935" s="1" t="n">
        <v>5</v>
      </c>
      <c r="L935" s="1" t="n">
        <v>1</v>
      </c>
      <c r="M935" s="1" t="n">
        <v>1</v>
      </c>
      <c r="N935" s="1" t="n">
        <v>134.68</v>
      </c>
      <c r="O935" s="1" t="n">
        <v>0</v>
      </c>
      <c r="Q935" s="4" t="n">
        <v>45274</v>
      </c>
      <c r="R935" s="0" t="n">
        <f aca="false">IF(ISBLANK(F935),"Missing",IFERROR(YEAR(F935),"Missing"))</f>
        <v>2023</v>
      </c>
      <c r="S935" s="0" t="str">
        <f aca="false">IF(ISBLANK(E935),"Missing",IF(E935&lt;6,"0-6mo",IF(E935&lt;12,"6-12mo",IF(E935&lt;24,"12-24mo","24mo+"))))</f>
        <v>6-12mo</v>
      </c>
      <c r="T935" s="0" t="n">
        <f aca="false">IF(ISBLANK(C935),0,IF(C935="Month-to-month",2,IF(C935="One year",1,0)))+IF(ISBLANK(I935),0,IF(I935&lt;40,2,IF(I935&lt;55,1,0)))+IF(ISBLANK(M935),0,IF(M935=1,3,0))+IF(ISBLANK(L935),0,IF(L935&gt;=2,1,0))+IF(ISBLANK(E935),0,IF(E935&lt;12,1,0))</f>
        <v>7</v>
      </c>
      <c r="U935" s="0" t="str">
        <f aca="false">IF((ISBLANK(B935)*1+ISBLANK(C935)*1+ISBLANK(D935)*1+ISBLANK(E935)*1+ISBLANK(F935)*1+ISBLANK(I935)*1+ISBLANK(J935)*1+ISBLANK(K935)*1+ISBLANK(L935)*1+ISBLANK(M935)*1+ISBLANK(N935)*1+ISBLANK(O935)*1)&gt;0,"Missing Data","OK")</f>
        <v>OK</v>
      </c>
      <c r="V935" s="0" t="str">
        <f aca="false">IF(T935&gt;=6,"High Risk",IF(T935&gt;=3,"Medium Risk","Low Risk"))</f>
        <v>High Risk</v>
      </c>
    </row>
    <row r="936" customFormat="false" ht="12.8" hidden="false" customHeight="false" outlineLevel="0" collapsed="false">
      <c r="A936" s="1" t="s">
        <v>966</v>
      </c>
      <c r="B936" s="1" t="s">
        <v>29</v>
      </c>
      <c r="C936" s="1" t="s">
        <v>24</v>
      </c>
      <c r="D936" s="1" t="n">
        <v>42.05</v>
      </c>
      <c r="E936" s="1" t="n">
        <v>22</v>
      </c>
      <c r="F936" s="4" t="n">
        <v>45061</v>
      </c>
      <c r="G936" s="1" t="s">
        <v>25</v>
      </c>
      <c r="H936" s="1" t="n">
        <v>0</v>
      </c>
      <c r="I936" s="1" t="n">
        <v>36</v>
      </c>
      <c r="J936" s="1" t="n">
        <v>5</v>
      </c>
      <c r="K936" s="1" t="n">
        <v>2</v>
      </c>
      <c r="L936" s="1" t="n">
        <v>1</v>
      </c>
      <c r="M936" s="1" t="n">
        <v>0</v>
      </c>
      <c r="N936" s="1" t="n">
        <v>925.1</v>
      </c>
      <c r="O936" s="1" t="n">
        <v>0</v>
      </c>
      <c r="Q936" s="4" t="n">
        <v>45730</v>
      </c>
      <c r="R936" s="0" t="n">
        <f aca="false">IF(ISBLANK(F936),"Missing",IFERROR(YEAR(F936),"Missing"))</f>
        <v>2023</v>
      </c>
      <c r="S936" s="0" t="str">
        <f aca="false">IF(ISBLANK(E936),"Missing",IF(E936&lt;6,"0-6mo",IF(E936&lt;12,"6-12mo",IF(E936&lt;24,"12-24mo","24mo+"))))</f>
        <v>12-24mo</v>
      </c>
      <c r="T936" s="0" t="n">
        <f aca="false">IF(ISBLANK(C936),0,IF(C936="Month-to-month",2,IF(C936="One year",1,0)))+IF(ISBLANK(I936),0,IF(I936&lt;40,2,IF(I936&lt;55,1,0)))+IF(ISBLANK(M936),0,IF(M936=1,3,0))+IF(ISBLANK(L936),0,IF(L936&gt;=2,1,0))+IF(ISBLANK(E936),0,IF(E936&lt;12,1,0))</f>
        <v>4</v>
      </c>
      <c r="U936" s="0" t="str">
        <f aca="false">IF((ISBLANK(B936)*1+ISBLANK(C936)*1+ISBLANK(D936)*1+ISBLANK(E936)*1+ISBLANK(F936)*1+ISBLANK(I936)*1+ISBLANK(J936)*1+ISBLANK(K936)*1+ISBLANK(L936)*1+ISBLANK(M936)*1+ISBLANK(N936)*1+ISBLANK(O936)*1)&gt;0,"Missing Data","OK")</f>
        <v>OK</v>
      </c>
      <c r="V936" s="0" t="str">
        <f aca="false">IF(T936&gt;=6,"High Risk",IF(T936&gt;=3,"Medium Risk","Low Risk"))</f>
        <v>Medium Risk</v>
      </c>
    </row>
    <row r="937" customFormat="false" ht="12.8" hidden="false" customHeight="false" outlineLevel="0" collapsed="false">
      <c r="A937" s="1" t="s">
        <v>967</v>
      </c>
      <c r="B937" s="1" t="s">
        <v>36</v>
      </c>
      <c r="C937" s="1" t="s">
        <v>24</v>
      </c>
      <c r="D937" s="1" t="n">
        <v>8.38</v>
      </c>
      <c r="E937" s="1" t="n">
        <v>4</v>
      </c>
      <c r="F937" s="4" t="n">
        <v>45063</v>
      </c>
      <c r="G937" s="1" t="s">
        <v>39</v>
      </c>
      <c r="H937" s="1" t="n">
        <v>1</v>
      </c>
      <c r="I937" s="1" t="n">
        <v>74.4</v>
      </c>
      <c r="J937" s="1" t="n">
        <v>17</v>
      </c>
      <c r="K937" s="1" t="n">
        <v>5</v>
      </c>
      <c r="L937" s="1" t="n">
        <v>1</v>
      </c>
      <c r="M937" s="1" t="n">
        <v>0</v>
      </c>
      <c r="N937" s="1" t="n">
        <v>33.52</v>
      </c>
      <c r="O937" s="1" t="n">
        <v>0</v>
      </c>
      <c r="Q937" s="4" t="n">
        <v>45184</v>
      </c>
      <c r="R937" s="0" t="n">
        <f aca="false">IF(ISBLANK(F937),"Missing",IFERROR(YEAR(F937),"Missing"))</f>
        <v>2023</v>
      </c>
      <c r="S937" s="0" t="str">
        <f aca="false">IF(ISBLANK(E937),"Missing",IF(E937&lt;6,"0-6mo",IF(E937&lt;12,"6-12mo",IF(E937&lt;24,"12-24mo","24mo+"))))</f>
        <v>0-6mo</v>
      </c>
      <c r="T937" s="0" t="n">
        <f aca="false">IF(ISBLANK(C937),0,IF(C937="Month-to-month",2,IF(C937="One year",1,0)))+IF(ISBLANK(I937),0,IF(I937&lt;40,2,IF(I937&lt;55,1,0)))+IF(ISBLANK(M937),0,IF(M937=1,3,0))+IF(ISBLANK(L937),0,IF(L937&gt;=2,1,0))+IF(ISBLANK(E937),0,IF(E937&lt;12,1,0))</f>
        <v>3</v>
      </c>
      <c r="U937" s="0" t="str">
        <f aca="false">IF((ISBLANK(B937)*1+ISBLANK(C937)*1+ISBLANK(D937)*1+ISBLANK(E937)*1+ISBLANK(F937)*1+ISBLANK(I937)*1+ISBLANK(J937)*1+ISBLANK(K937)*1+ISBLANK(L937)*1+ISBLANK(M937)*1+ISBLANK(N937)*1+ISBLANK(O937)*1)&gt;0,"Missing Data","OK")</f>
        <v>OK</v>
      </c>
      <c r="V937" s="0" t="str">
        <f aca="false">IF(T937&gt;=6,"High Risk",IF(T937&gt;=3,"Medium Risk","Low Risk"))</f>
        <v>Medium Risk</v>
      </c>
    </row>
    <row r="938" customFormat="false" ht="12.8" hidden="false" customHeight="false" outlineLevel="0" collapsed="false">
      <c r="A938" s="1" t="s">
        <v>968</v>
      </c>
      <c r="B938" s="1" t="s">
        <v>36</v>
      </c>
      <c r="C938" s="1" t="s">
        <v>24</v>
      </c>
      <c r="D938" s="1" t="n">
        <v>10.78</v>
      </c>
      <c r="E938" s="1" t="n">
        <v>2</v>
      </c>
      <c r="F938" s="4" t="n">
        <v>45065</v>
      </c>
      <c r="G938" s="1" t="s">
        <v>25</v>
      </c>
      <c r="H938" s="1" t="n">
        <v>1</v>
      </c>
      <c r="I938" s="1" t="n">
        <v>40.3</v>
      </c>
      <c r="J938" s="1" t="n">
        <v>15</v>
      </c>
      <c r="K938" s="1" t="n">
        <v>1</v>
      </c>
      <c r="L938" s="1" t="n">
        <v>1</v>
      </c>
      <c r="M938" s="1" t="n">
        <v>0</v>
      </c>
      <c r="N938" s="1" t="n">
        <v>21.56</v>
      </c>
      <c r="O938" s="1" t="n">
        <v>0</v>
      </c>
      <c r="Q938" s="4" t="n">
        <v>45125</v>
      </c>
      <c r="R938" s="0" t="n">
        <f aca="false">IF(ISBLANK(F938),"Missing",IFERROR(YEAR(F938),"Missing"))</f>
        <v>2023</v>
      </c>
      <c r="S938" s="0" t="str">
        <f aca="false">IF(ISBLANK(E938),"Missing",IF(E938&lt;6,"0-6mo",IF(E938&lt;12,"6-12mo",IF(E938&lt;24,"12-24mo","24mo+"))))</f>
        <v>0-6mo</v>
      </c>
      <c r="T938" s="0" t="n">
        <f aca="false">IF(ISBLANK(C938),0,IF(C938="Month-to-month",2,IF(C938="One year",1,0)))+IF(ISBLANK(I938),0,IF(I938&lt;40,2,IF(I938&lt;55,1,0)))+IF(ISBLANK(M938),0,IF(M938=1,3,0))+IF(ISBLANK(L938),0,IF(L938&gt;=2,1,0))+IF(ISBLANK(E938),0,IF(E938&lt;12,1,0))</f>
        <v>4</v>
      </c>
      <c r="U938" s="0" t="str">
        <f aca="false">IF((ISBLANK(B938)*1+ISBLANK(C938)*1+ISBLANK(D938)*1+ISBLANK(E938)*1+ISBLANK(F938)*1+ISBLANK(I938)*1+ISBLANK(J938)*1+ISBLANK(K938)*1+ISBLANK(L938)*1+ISBLANK(M938)*1+ISBLANK(N938)*1+ISBLANK(O938)*1)&gt;0,"Missing Data","OK")</f>
        <v>OK</v>
      </c>
      <c r="V938" s="0" t="str">
        <f aca="false">IF(T938&gt;=6,"High Risk",IF(T938&gt;=3,"Medium Risk","Low Risk"))</f>
        <v>Medium Risk</v>
      </c>
    </row>
    <row r="939" customFormat="false" ht="12.8" hidden="false" customHeight="false" outlineLevel="0" collapsed="false">
      <c r="A939" s="1" t="s">
        <v>969</v>
      </c>
      <c r="B939" s="1" t="s">
        <v>23</v>
      </c>
      <c r="C939" s="1" t="s">
        <v>24</v>
      </c>
      <c r="D939" s="1" t="n">
        <v>21.12</v>
      </c>
      <c r="E939" s="1" t="n">
        <v>2</v>
      </c>
      <c r="F939" s="4" t="n">
        <v>45065</v>
      </c>
      <c r="G939" s="1" t="s">
        <v>25</v>
      </c>
      <c r="H939" s="1" t="n">
        <v>0</v>
      </c>
      <c r="I939" s="1" t="n">
        <v>54.6</v>
      </c>
      <c r="J939" s="1" t="n">
        <v>19</v>
      </c>
      <c r="K939" s="1" t="n">
        <v>4</v>
      </c>
      <c r="L939" s="1" t="n">
        <v>3</v>
      </c>
      <c r="M939" s="1" t="n">
        <v>0</v>
      </c>
      <c r="N939" s="1" t="n">
        <v>42.24</v>
      </c>
      <c r="O939" s="1" t="n">
        <v>0</v>
      </c>
      <c r="Q939" s="4" t="n">
        <v>45125</v>
      </c>
      <c r="R939" s="0" t="n">
        <f aca="false">IF(ISBLANK(F939),"Missing",IFERROR(YEAR(F939),"Missing"))</f>
        <v>2023</v>
      </c>
      <c r="S939" s="0" t="str">
        <f aca="false">IF(ISBLANK(E939),"Missing",IF(E939&lt;6,"0-6mo",IF(E939&lt;12,"6-12mo",IF(E939&lt;24,"12-24mo","24mo+"))))</f>
        <v>0-6mo</v>
      </c>
      <c r="T939" s="0" t="n">
        <f aca="false">IF(ISBLANK(C939),0,IF(C939="Month-to-month",2,IF(C939="One year",1,0)))+IF(ISBLANK(I939),0,IF(I939&lt;40,2,IF(I939&lt;55,1,0)))+IF(ISBLANK(M939),0,IF(M939=1,3,0))+IF(ISBLANK(L939),0,IF(L939&gt;=2,1,0))+IF(ISBLANK(E939),0,IF(E939&lt;12,1,0))</f>
        <v>5</v>
      </c>
      <c r="U939" s="0" t="str">
        <f aca="false">IF((ISBLANK(B939)*1+ISBLANK(C939)*1+ISBLANK(D939)*1+ISBLANK(E939)*1+ISBLANK(F939)*1+ISBLANK(I939)*1+ISBLANK(J939)*1+ISBLANK(K939)*1+ISBLANK(L939)*1+ISBLANK(M939)*1+ISBLANK(N939)*1+ISBLANK(O939)*1)&gt;0,"Missing Data","OK")</f>
        <v>OK</v>
      </c>
      <c r="V939" s="0" t="str">
        <f aca="false">IF(T939&gt;=6,"High Risk",IF(T939&gt;=3,"Medium Risk","Low Risk"))</f>
        <v>Medium Risk</v>
      </c>
    </row>
    <row r="940" customFormat="false" ht="12.8" hidden="false" customHeight="false" outlineLevel="0" collapsed="false">
      <c r="A940" s="1" t="s">
        <v>970</v>
      </c>
      <c r="B940" s="1" t="s">
        <v>36</v>
      </c>
      <c r="C940" s="1" t="s">
        <v>34</v>
      </c>
      <c r="D940" s="1" t="n">
        <v>11.48</v>
      </c>
      <c r="E940" s="1" t="n">
        <v>7</v>
      </c>
      <c r="F940" s="4" t="n">
        <v>45065</v>
      </c>
      <c r="G940" s="1" t="s">
        <v>39</v>
      </c>
      <c r="H940" s="1" t="n">
        <v>0</v>
      </c>
      <c r="I940" s="1" t="n">
        <v>45</v>
      </c>
      <c r="J940" s="1" t="n">
        <v>14</v>
      </c>
      <c r="K940" s="1" t="n">
        <v>4</v>
      </c>
      <c r="L940" s="1" t="n">
        <v>0</v>
      </c>
      <c r="M940" s="1" t="n">
        <v>0</v>
      </c>
      <c r="N940" s="1" t="n">
        <v>80.36</v>
      </c>
      <c r="O940" s="1" t="n">
        <v>0</v>
      </c>
      <c r="Q940" s="4" t="n">
        <v>45278</v>
      </c>
      <c r="R940" s="0" t="n">
        <f aca="false">IF(ISBLANK(F940),"Missing",IFERROR(YEAR(F940),"Missing"))</f>
        <v>2023</v>
      </c>
      <c r="S940" s="0" t="str">
        <f aca="false">IF(ISBLANK(E940),"Missing",IF(E940&lt;6,"0-6mo",IF(E940&lt;12,"6-12mo",IF(E940&lt;24,"12-24mo","24mo+"))))</f>
        <v>6-12mo</v>
      </c>
      <c r="T940" s="0" t="n">
        <f aca="false">IF(ISBLANK(C940),0,IF(C940="Month-to-month",2,IF(C940="One year",1,0)))+IF(ISBLANK(I940),0,IF(I940&lt;40,2,IF(I940&lt;55,1,0)))+IF(ISBLANK(M940),0,IF(M940=1,3,0))+IF(ISBLANK(L940),0,IF(L940&gt;=2,1,0))+IF(ISBLANK(E940),0,IF(E940&lt;12,1,0))</f>
        <v>3</v>
      </c>
      <c r="U940" s="0" t="str">
        <f aca="false">IF((ISBLANK(B940)*1+ISBLANK(C940)*1+ISBLANK(D940)*1+ISBLANK(E940)*1+ISBLANK(F940)*1+ISBLANK(I940)*1+ISBLANK(J940)*1+ISBLANK(K940)*1+ISBLANK(L940)*1+ISBLANK(M940)*1+ISBLANK(N940)*1+ISBLANK(O940)*1)&gt;0,"Missing Data","OK")</f>
        <v>OK</v>
      </c>
      <c r="V940" s="0" t="str">
        <f aca="false">IF(T940&gt;=6,"High Risk",IF(T940&gt;=3,"Medium Risk","Low Risk"))</f>
        <v>Medium Risk</v>
      </c>
    </row>
    <row r="941" customFormat="false" ht="12.8" hidden="false" customHeight="false" outlineLevel="0" collapsed="false">
      <c r="A941" s="1" t="s">
        <v>971</v>
      </c>
      <c r="B941" s="1" t="s">
        <v>36</v>
      </c>
      <c r="C941" s="1" t="s">
        <v>51</v>
      </c>
      <c r="D941" s="1" t="n">
        <v>9.44</v>
      </c>
      <c r="E941" s="1" t="n">
        <v>9</v>
      </c>
      <c r="F941" s="4" t="n">
        <v>45066</v>
      </c>
      <c r="G941" s="1" t="s">
        <v>25</v>
      </c>
      <c r="H941" s="1" t="n">
        <v>1</v>
      </c>
      <c r="I941" s="1" t="n">
        <v>51.3</v>
      </c>
      <c r="J941" s="1" t="n">
        <v>11</v>
      </c>
      <c r="K941" s="1" t="n">
        <v>6</v>
      </c>
      <c r="L941" s="1" t="n">
        <v>1</v>
      </c>
      <c r="M941" s="1" t="n">
        <v>0</v>
      </c>
      <c r="N941" s="1" t="n">
        <v>84.96</v>
      </c>
      <c r="O941" s="1" t="n">
        <v>0</v>
      </c>
      <c r="Q941" s="4" t="n">
        <v>45339</v>
      </c>
      <c r="R941" s="0" t="n">
        <f aca="false">IF(ISBLANK(F941),"Missing",IFERROR(YEAR(F941),"Missing"))</f>
        <v>2023</v>
      </c>
      <c r="S941" s="0" t="str">
        <f aca="false">IF(ISBLANK(E941),"Missing",IF(E941&lt;6,"0-6mo",IF(E941&lt;12,"6-12mo",IF(E941&lt;24,"12-24mo","24mo+"))))</f>
        <v>6-12mo</v>
      </c>
      <c r="T941" s="0" t="n">
        <f aca="false">IF(ISBLANK(C941),0,IF(C941="Month-to-month",2,IF(C941="One year",1,0)))+IF(ISBLANK(I941),0,IF(I941&lt;40,2,IF(I941&lt;55,1,0)))+IF(ISBLANK(M941),0,IF(M941=1,3,0))+IF(ISBLANK(L941),0,IF(L941&gt;=2,1,0))+IF(ISBLANK(E941),0,IF(E941&lt;12,1,0))</f>
        <v>2</v>
      </c>
      <c r="U941" s="0" t="str">
        <f aca="false">IF((ISBLANK(B941)*1+ISBLANK(C941)*1+ISBLANK(D941)*1+ISBLANK(E941)*1+ISBLANK(F941)*1+ISBLANK(I941)*1+ISBLANK(J941)*1+ISBLANK(K941)*1+ISBLANK(L941)*1+ISBLANK(M941)*1+ISBLANK(N941)*1+ISBLANK(O941)*1)&gt;0,"Missing Data","OK")</f>
        <v>OK</v>
      </c>
      <c r="V941" s="0" t="str">
        <f aca="false">IF(T941&gt;=6,"High Risk",IF(T941&gt;=3,"Medium Risk","Low Risk"))</f>
        <v>Low Risk</v>
      </c>
    </row>
    <row r="942" customFormat="false" ht="12.8" hidden="false" customHeight="false" outlineLevel="0" collapsed="false">
      <c r="A942" s="1" t="s">
        <v>972</v>
      </c>
      <c r="B942" s="1" t="s">
        <v>23</v>
      </c>
      <c r="C942" s="1" t="s">
        <v>34</v>
      </c>
      <c r="D942" s="1" t="n">
        <v>20.02</v>
      </c>
      <c r="E942" s="1" t="n">
        <v>18</v>
      </c>
      <c r="F942" s="4" t="n">
        <v>45066</v>
      </c>
      <c r="G942" s="1" t="s">
        <v>25</v>
      </c>
      <c r="H942" s="1" t="n">
        <v>1</v>
      </c>
      <c r="I942" s="1" t="n">
        <v>16.1</v>
      </c>
      <c r="J942" s="1" t="n">
        <v>8</v>
      </c>
      <c r="K942" s="1" t="n">
        <v>3</v>
      </c>
      <c r="L942" s="1" t="n">
        <v>3</v>
      </c>
      <c r="M942" s="1" t="n">
        <v>1</v>
      </c>
      <c r="N942" s="1" t="n">
        <v>360.36</v>
      </c>
      <c r="O942" s="1" t="n">
        <v>0</v>
      </c>
      <c r="Q942" s="4" t="n">
        <v>45613</v>
      </c>
      <c r="R942" s="0" t="n">
        <f aca="false">IF(ISBLANK(F942),"Missing",IFERROR(YEAR(F942),"Missing"))</f>
        <v>2023</v>
      </c>
      <c r="S942" s="0" t="str">
        <f aca="false">IF(ISBLANK(E942),"Missing",IF(E942&lt;6,"0-6mo",IF(E942&lt;12,"6-12mo",IF(E942&lt;24,"12-24mo","24mo+"))))</f>
        <v>12-24mo</v>
      </c>
      <c r="T942" s="0" t="n">
        <f aca="false">IF(ISBLANK(C942),0,IF(C942="Month-to-month",2,IF(C942="One year",1,0)))+IF(ISBLANK(I942),0,IF(I942&lt;40,2,IF(I942&lt;55,1,0)))+IF(ISBLANK(M942),0,IF(M942=1,3,0))+IF(ISBLANK(L942),0,IF(L942&gt;=2,1,0))+IF(ISBLANK(E942),0,IF(E942&lt;12,1,0))</f>
        <v>7</v>
      </c>
      <c r="U942" s="0" t="str">
        <f aca="false">IF((ISBLANK(B942)*1+ISBLANK(C942)*1+ISBLANK(D942)*1+ISBLANK(E942)*1+ISBLANK(F942)*1+ISBLANK(I942)*1+ISBLANK(J942)*1+ISBLANK(K942)*1+ISBLANK(L942)*1+ISBLANK(M942)*1+ISBLANK(N942)*1+ISBLANK(O942)*1)&gt;0,"Missing Data","OK")</f>
        <v>OK</v>
      </c>
      <c r="V942" s="0" t="str">
        <f aca="false">IF(T942&gt;=6,"High Risk",IF(T942&gt;=3,"Medium Risk","Low Risk"))</f>
        <v>High Risk</v>
      </c>
    </row>
    <row r="943" customFormat="false" ht="12.8" hidden="false" customHeight="false" outlineLevel="0" collapsed="false">
      <c r="A943" s="1" t="s">
        <v>973</v>
      </c>
      <c r="B943" s="1" t="s">
        <v>23</v>
      </c>
      <c r="C943" s="1" t="s">
        <v>24</v>
      </c>
      <c r="D943" s="1" t="n">
        <v>20.67</v>
      </c>
      <c r="E943" s="1" t="n">
        <v>32</v>
      </c>
      <c r="F943" s="4" t="n">
        <v>45067</v>
      </c>
      <c r="G943" s="1" t="s">
        <v>39</v>
      </c>
      <c r="H943" s="1" t="n">
        <v>1</v>
      </c>
      <c r="I943" s="1" t="n">
        <v>32.3</v>
      </c>
      <c r="J943" s="1" t="n">
        <v>15</v>
      </c>
      <c r="K943" s="1" t="n">
        <v>4</v>
      </c>
      <c r="L943" s="1" t="n">
        <v>1</v>
      </c>
      <c r="M943" s="1" t="n">
        <v>0</v>
      </c>
      <c r="N943" s="1" t="n">
        <v>661.44</v>
      </c>
      <c r="O943" s="1" t="n">
        <v>1</v>
      </c>
      <c r="P943" s="4" t="n">
        <v>46041</v>
      </c>
      <c r="Q943" s="4" t="n">
        <v>46041</v>
      </c>
      <c r="R943" s="0" t="n">
        <f aca="false">IF(ISBLANK(F943),"Missing",IFERROR(YEAR(F943),"Missing"))</f>
        <v>2023</v>
      </c>
      <c r="S943" s="0" t="str">
        <f aca="false">IF(ISBLANK(E943),"Missing",IF(E943&lt;6,"0-6mo",IF(E943&lt;12,"6-12mo",IF(E943&lt;24,"12-24mo","24mo+"))))</f>
        <v>24mo+</v>
      </c>
      <c r="T943" s="0" t="n">
        <f aca="false">IF(ISBLANK(C943),0,IF(C943="Month-to-month",2,IF(C943="One year",1,0)))+IF(ISBLANK(I943),0,IF(I943&lt;40,2,IF(I943&lt;55,1,0)))+IF(ISBLANK(M943),0,IF(M943=1,3,0))+IF(ISBLANK(L943),0,IF(L943&gt;=2,1,0))+IF(ISBLANK(E943),0,IF(E943&lt;12,1,0))</f>
        <v>4</v>
      </c>
      <c r="U943" s="0" t="str">
        <f aca="false">IF((ISBLANK(B943)*1+ISBLANK(C943)*1+ISBLANK(D943)*1+ISBLANK(E943)*1+ISBLANK(F943)*1+ISBLANK(I943)*1+ISBLANK(J943)*1+ISBLANK(K943)*1+ISBLANK(L943)*1+ISBLANK(M943)*1+ISBLANK(N943)*1+ISBLANK(O943)*1)&gt;0,"Missing Data","OK")</f>
        <v>OK</v>
      </c>
      <c r="V943" s="0" t="str">
        <f aca="false">IF(T943&gt;=6,"High Risk",IF(T943&gt;=3,"Medium Risk","Low Risk"))</f>
        <v>Medium Risk</v>
      </c>
    </row>
    <row r="944" customFormat="false" ht="12.8" hidden="false" customHeight="false" outlineLevel="0" collapsed="false">
      <c r="A944" s="1" t="s">
        <v>974</v>
      </c>
      <c r="B944" s="1" t="s">
        <v>29</v>
      </c>
      <c r="C944" s="1" t="s">
        <v>24</v>
      </c>
      <c r="D944" s="1" t="n">
        <v>40.49</v>
      </c>
      <c r="E944" s="1" t="n">
        <v>40</v>
      </c>
      <c r="F944" s="4" t="n">
        <v>45068</v>
      </c>
      <c r="G944" s="1" t="s">
        <v>39</v>
      </c>
      <c r="H944" s="1" t="n">
        <v>1</v>
      </c>
      <c r="I944" s="1" t="n">
        <v>54</v>
      </c>
      <c r="J944" s="1" t="n">
        <v>22</v>
      </c>
      <c r="K944" s="1" t="n">
        <v>6</v>
      </c>
      <c r="L944" s="1" t="n">
        <v>1</v>
      </c>
      <c r="M944" s="1" t="n">
        <v>1</v>
      </c>
      <c r="N944" s="1" t="n">
        <v>1619.6</v>
      </c>
      <c r="O944" s="1" t="n">
        <v>1</v>
      </c>
      <c r="P944" s="4" t="n">
        <v>46285</v>
      </c>
      <c r="Q944" s="4" t="n">
        <v>46285</v>
      </c>
      <c r="R944" s="0" t="n">
        <f aca="false">IF(ISBLANK(F944),"Missing",IFERROR(YEAR(F944),"Missing"))</f>
        <v>2023</v>
      </c>
      <c r="S944" s="0" t="str">
        <f aca="false">IF(ISBLANK(E944),"Missing",IF(E944&lt;6,"0-6mo",IF(E944&lt;12,"6-12mo",IF(E944&lt;24,"12-24mo","24mo+"))))</f>
        <v>24mo+</v>
      </c>
      <c r="T944" s="0" t="n">
        <f aca="false">IF(ISBLANK(C944),0,IF(C944="Month-to-month",2,IF(C944="One year",1,0)))+IF(ISBLANK(I944),0,IF(I944&lt;40,2,IF(I944&lt;55,1,0)))+IF(ISBLANK(M944),0,IF(M944=1,3,0))+IF(ISBLANK(L944),0,IF(L944&gt;=2,1,0))+IF(ISBLANK(E944),0,IF(E944&lt;12,1,0))</f>
        <v>6</v>
      </c>
      <c r="U944" s="0" t="str">
        <f aca="false">IF((ISBLANK(B944)*1+ISBLANK(C944)*1+ISBLANK(D944)*1+ISBLANK(E944)*1+ISBLANK(F944)*1+ISBLANK(I944)*1+ISBLANK(J944)*1+ISBLANK(K944)*1+ISBLANK(L944)*1+ISBLANK(M944)*1+ISBLANK(N944)*1+ISBLANK(O944)*1)&gt;0,"Missing Data","OK")</f>
        <v>OK</v>
      </c>
      <c r="V944" s="0" t="str">
        <f aca="false">IF(T944&gt;=6,"High Risk",IF(T944&gt;=3,"Medium Risk","Low Risk"))</f>
        <v>High Risk</v>
      </c>
    </row>
    <row r="945" customFormat="false" ht="12.8" hidden="false" customHeight="false" outlineLevel="0" collapsed="false">
      <c r="A945" s="1" t="s">
        <v>975</v>
      </c>
      <c r="B945" s="1" t="s">
        <v>29</v>
      </c>
      <c r="C945" s="1" t="s">
        <v>24</v>
      </c>
      <c r="D945" s="1" t="n">
        <v>42.58</v>
      </c>
      <c r="E945" s="1" t="n">
        <v>11</v>
      </c>
      <c r="F945" s="4" t="n">
        <v>45069</v>
      </c>
      <c r="G945" s="1" t="s">
        <v>25</v>
      </c>
      <c r="H945" s="1" t="n">
        <v>1</v>
      </c>
      <c r="I945" s="1" t="n">
        <v>41.1</v>
      </c>
      <c r="J945" s="1" t="n">
        <v>16</v>
      </c>
      <c r="K945" s="1" t="n">
        <v>5</v>
      </c>
      <c r="L945" s="1" t="n">
        <v>0</v>
      </c>
      <c r="M945" s="1" t="n">
        <v>0</v>
      </c>
      <c r="N945" s="1" t="n">
        <v>468.38</v>
      </c>
      <c r="O945" s="1" t="n">
        <v>0</v>
      </c>
      <c r="Q945" s="4" t="n">
        <v>45403</v>
      </c>
      <c r="R945" s="0" t="n">
        <f aca="false">IF(ISBLANK(F945),"Missing",IFERROR(YEAR(F945),"Missing"))</f>
        <v>2023</v>
      </c>
      <c r="S945" s="0" t="str">
        <f aca="false">IF(ISBLANK(E945),"Missing",IF(E945&lt;6,"0-6mo",IF(E945&lt;12,"6-12mo",IF(E945&lt;24,"12-24mo","24mo+"))))</f>
        <v>6-12mo</v>
      </c>
      <c r="T945" s="0" t="n">
        <f aca="false">IF(ISBLANK(C945),0,IF(C945="Month-to-month",2,IF(C945="One year",1,0)))+IF(ISBLANK(I945),0,IF(I945&lt;40,2,IF(I945&lt;55,1,0)))+IF(ISBLANK(M945),0,IF(M945=1,3,0))+IF(ISBLANK(L945),0,IF(L945&gt;=2,1,0))+IF(ISBLANK(E945),0,IF(E945&lt;12,1,0))</f>
        <v>4</v>
      </c>
      <c r="U945" s="0" t="str">
        <f aca="false">IF((ISBLANK(B945)*1+ISBLANK(C945)*1+ISBLANK(D945)*1+ISBLANK(E945)*1+ISBLANK(F945)*1+ISBLANK(I945)*1+ISBLANK(J945)*1+ISBLANK(K945)*1+ISBLANK(L945)*1+ISBLANK(M945)*1+ISBLANK(N945)*1+ISBLANK(O945)*1)&gt;0,"Missing Data","OK")</f>
        <v>OK</v>
      </c>
      <c r="V945" s="0" t="str">
        <f aca="false">IF(T945&gt;=6,"High Risk",IF(T945&gt;=3,"Medium Risk","Low Risk"))</f>
        <v>Medium Risk</v>
      </c>
    </row>
    <row r="946" customFormat="false" ht="12.8" hidden="false" customHeight="false" outlineLevel="0" collapsed="false">
      <c r="A946" s="1" t="s">
        <v>976</v>
      </c>
      <c r="B946" s="1" t="s">
        <v>23</v>
      </c>
      <c r="C946" s="1" t="s">
        <v>24</v>
      </c>
      <c r="D946" s="1" t="n">
        <v>21.67</v>
      </c>
      <c r="E946" s="1" t="n">
        <v>41</v>
      </c>
      <c r="F946" s="4" t="n">
        <v>45069</v>
      </c>
      <c r="G946" s="1" t="s">
        <v>30</v>
      </c>
      <c r="H946" s="1" t="n">
        <v>1</v>
      </c>
      <c r="I946" s="1" t="n">
        <v>73.2</v>
      </c>
      <c r="J946" s="1" t="n">
        <v>26</v>
      </c>
      <c r="K946" s="1" t="n">
        <v>7</v>
      </c>
      <c r="L946" s="1" t="n">
        <v>3</v>
      </c>
      <c r="M946" s="1" t="n">
        <v>0</v>
      </c>
      <c r="N946" s="1" t="n">
        <v>888.47</v>
      </c>
      <c r="O946" s="1" t="n">
        <v>0</v>
      </c>
      <c r="Q946" s="4" t="n">
        <v>46293</v>
      </c>
      <c r="R946" s="0" t="n">
        <f aca="false">IF(ISBLANK(F946),"Missing",IFERROR(YEAR(F946),"Missing"))</f>
        <v>2023</v>
      </c>
      <c r="S946" s="0" t="str">
        <f aca="false">IF(ISBLANK(E946),"Missing",IF(E946&lt;6,"0-6mo",IF(E946&lt;12,"6-12mo",IF(E946&lt;24,"12-24mo","24mo+"))))</f>
        <v>24mo+</v>
      </c>
      <c r="T946" s="0" t="n">
        <f aca="false">IF(ISBLANK(C946),0,IF(C946="Month-to-month",2,IF(C946="One year",1,0)))+IF(ISBLANK(I946),0,IF(I946&lt;40,2,IF(I946&lt;55,1,0)))+IF(ISBLANK(M946),0,IF(M946=1,3,0))+IF(ISBLANK(L946),0,IF(L946&gt;=2,1,0))+IF(ISBLANK(E946),0,IF(E946&lt;12,1,0))</f>
        <v>3</v>
      </c>
      <c r="U946" s="0" t="str">
        <f aca="false">IF((ISBLANK(B946)*1+ISBLANK(C946)*1+ISBLANK(D946)*1+ISBLANK(E946)*1+ISBLANK(F946)*1+ISBLANK(I946)*1+ISBLANK(J946)*1+ISBLANK(K946)*1+ISBLANK(L946)*1+ISBLANK(M946)*1+ISBLANK(N946)*1+ISBLANK(O946)*1)&gt;0,"Missing Data","OK")</f>
        <v>OK</v>
      </c>
      <c r="V946" s="0" t="str">
        <f aca="false">IF(T946&gt;=6,"High Risk",IF(T946&gt;=3,"Medium Risk","Low Risk"))</f>
        <v>Medium Risk</v>
      </c>
    </row>
    <row r="947" customFormat="false" ht="12.8" hidden="false" customHeight="false" outlineLevel="0" collapsed="false">
      <c r="A947" s="1" t="s">
        <v>977</v>
      </c>
      <c r="B947" s="1" t="s">
        <v>23</v>
      </c>
      <c r="C947" s="1" t="s">
        <v>34</v>
      </c>
      <c r="D947" s="1" t="n">
        <v>20.25</v>
      </c>
      <c r="E947" s="1" t="n">
        <v>17</v>
      </c>
      <c r="F947" s="4" t="n">
        <v>45070</v>
      </c>
      <c r="G947" s="1" t="s">
        <v>25</v>
      </c>
      <c r="H947" s="1" t="n">
        <v>1</v>
      </c>
      <c r="I947" s="1" t="n">
        <v>42.5</v>
      </c>
      <c r="J947" s="1" t="n">
        <v>19</v>
      </c>
      <c r="K947" s="1" t="n">
        <v>4</v>
      </c>
      <c r="L947" s="1" t="n">
        <v>1</v>
      </c>
      <c r="M947" s="1" t="n">
        <v>0</v>
      </c>
      <c r="N947" s="1" t="n">
        <v>344.25</v>
      </c>
      <c r="O947" s="1" t="n">
        <v>0</v>
      </c>
      <c r="Q947" s="4" t="n">
        <v>45587</v>
      </c>
      <c r="R947" s="0" t="n">
        <f aca="false">IF(ISBLANK(F947),"Missing",IFERROR(YEAR(F947),"Missing"))</f>
        <v>2023</v>
      </c>
      <c r="S947" s="0" t="str">
        <f aca="false">IF(ISBLANK(E947),"Missing",IF(E947&lt;6,"0-6mo",IF(E947&lt;12,"6-12mo",IF(E947&lt;24,"12-24mo","24mo+"))))</f>
        <v>12-24mo</v>
      </c>
      <c r="T947" s="0" t="n">
        <f aca="false">IF(ISBLANK(C947),0,IF(C947="Month-to-month",2,IF(C947="One year",1,0)))+IF(ISBLANK(I947),0,IF(I947&lt;40,2,IF(I947&lt;55,1,0)))+IF(ISBLANK(M947),0,IF(M947=1,3,0))+IF(ISBLANK(L947),0,IF(L947&gt;=2,1,0))+IF(ISBLANK(E947),0,IF(E947&lt;12,1,0))</f>
        <v>2</v>
      </c>
      <c r="U947" s="0" t="str">
        <f aca="false">IF((ISBLANK(B947)*1+ISBLANK(C947)*1+ISBLANK(D947)*1+ISBLANK(E947)*1+ISBLANK(F947)*1+ISBLANK(I947)*1+ISBLANK(J947)*1+ISBLANK(K947)*1+ISBLANK(L947)*1+ISBLANK(M947)*1+ISBLANK(N947)*1+ISBLANK(O947)*1)&gt;0,"Missing Data","OK")</f>
        <v>OK</v>
      </c>
      <c r="V947" s="0" t="str">
        <f aca="false">IF(T947&gt;=6,"High Risk",IF(T947&gt;=3,"Medium Risk","Low Risk"))</f>
        <v>Low Risk</v>
      </c>
    </row>
    <row r="948" customFormat="false" ht="12.8" hidden="false" customHeight="false" outlineLevel="0" collapsed="false">
      <c r="A948" s="1" t="s">
        <v>978</v>
      </c>
      <c r="B948" s="1" t="s">
        <v>23</v>
      </c>
      <c r="C948" s="1" t="s">
        <v>24</v>
      </c>
      <c r="D948" s="1" t="n">
        <v>19.68</v>
      </c>
      <c r="E948" s="1" t="n">
        <v>27</v>
      </c>
      <c r="F948" s="4" t="n">
        <v>45071</v>
      </c>
      <c r="G948" s="1" t="s">
        <v>25</v>
      </c>
      <c r="H948" s="1" t="n">
        <v>1</v>
      </c>
      <c r="I948" s="1" t="n">
        <v>24.1</v>
      </c>
      <c r="J948" s="1" t="n">
        <v>4</v>
      </c>
      <c r="K948" s="1" t="n">
        <v>4</v>
      </c>
      <c r="L948" s="1" t="n">
        <v>2</v>
      </c>
      <c r="M948" s="1" t="n">
        <v>1</v>
      </c>
      <c r="N948" s="1" t="n">
        <v>531.36</v>
      </c>
      <c r="O948" s="1" t="n">
        <v>1</v>
      </c>
      <c r="P948" s="4" t="n">
        <v>45892</v>
      </c>
      <c r="Q948" s="4" t="n">
        <v>45892</v>
      </c>
      <c r="R948" s="0" t="n">
        <f aca="false">IF(ISBLANK(F948),"Missing",IFERROR(YEAR(F948),"Missing"))</f>
        <v>2023</v>
      </c>
      <c r="S948" s="0" t="str">
        <f aca="false">IF(ISBLANK(E948),"Missing",IF(E948&lt;6,"0-6mo",IF(E948&lt;12,"6-12mo",IF(E948&lt;24,"12-24mo","24mo+"))))</f>
        <v>24mo+</v>
      </c>
      <c r="T948" s="0" t="n">
        <f aca="false">IF(ISBLANK(C948),0,IF(C948="Month-to-month",2,IF(C948="One year",1,0)))+IF(ISBLANK(I948),0,IF(I948&lt;40,2,IF(I948&lt;55,1,0)))+IF(ISBLANK(M948),0,IF(M948=1,3,0))+IF(ISBLANK(L948),0,IF(L948&gt;=2,1,0))+IF(ISBLANK(E948),0,IF(E948&lt;12,1,0))</f>
        <v>8</v>
      </c>
      <c r="U948" s="0" t="str">
        <f aca="false">IF((ISBLANK(B948)*1+ISBLANK(C948)*1+ISBLANK(D948)*1+ISBLANK(E948)*1+ISBLANK(F948)*1+ISBLANK(I948)*1+ISBLANK(J948)*1+ISBLANK(K948)*1+ISBLANK(L948)*1+ISBLANK(M948)*1+ISBLANK(N948)*1+ISBLANK(O948)*1)&gt;0,"Missing Data","OK")</f>
        <v>OK</v>
      </c>
      <c r="V948" s="0" t="str">
        <f aca="false">IF(T948&gt;=6,"High Risk",IF(T948&gt;=3,"Medium Risk","Low Risk"))</f>
        <v>High Risk</v>
      </c>
    </row>
    <row r="949" customFormat="false" ht="12.8" hidden="false" customHeight="false" outlineLevel="0" collapsed="false">
      <c r="A949" s="1" t="s">
        <v>979</v>
      </c>
      <c r="B949" s="1" t="s">
        <v>23</v>
      </c>
      <c r="C949" s="1" t="s">
        <v>34</v>
      </c>
      <c r="D949" s="1" t="n">
        <v>21.28</v>
      </c>
      <c r="E949" s="1" t="n">
        <v>3</v>
      </c>
      <c r="F949" s="4" t="n">
        <v>45073</v>
      </c>
      <c r="G949" s="1" t="s">
        <v>30</v>
      </c>
      <c r="H949" s="1" t="n">
        <v>1</v>
      </c>
      <c r="I949" s="1" t="n">
        <v>53.7</v>
      </c>
      <c r="J949" s="1" t="n">
        <v>23</v>
      </c>
      <c r="K949" s="1" t="n">
        <v>5</v>
      </c>
      <c r="L949" s="1" t="n">
        <v>1</v>
      </c>
      <c r="M949" s="1" t="n">
        <v>0</v>
      </c>
      <c r="N949" s="1" t="n">
        <v>63.84</v>
      </c>
      <c r="O949" s="1" t="n">
        <v>0</v>
      </c>
      <c r="Q949" s="4" t="n">
        <v>45164</v>
      </c>
      <c r="R949" s="0" t="n">
        <f aca="false">IF(ISBLANK(F949),"Missing",IFERROR(YEAR(F949),"Missing"))</f>
        <v>2023</v>
      </c>
      <c r="S949" s="0" t="str">
        <f aca="false">IF(ISBLANK(E949),"Missing",IF(E949&lt;6,"0-6mo",IF(E949&lt;12,"6-12mo",IF(E949&lt;24,"12-24mo","24mo+"))))</f>
        <v>0-6mo</v>
      </c>
      <c r="T949" s="0" t="n">
        <f aca="false">IF(ISBLANK(C949),0,IF(C949="Month-to-month",2,IF(C949="One year",1,0)))+IF(ISBLANK(I949),0,IF(I949&lt;40,2,IF(I949&lt;55,1,0)))+IF(ISBLANK(M949),0,IF(M949=1,3,0))+IF(ISBLANK(L949),0,IF(L949&gt;=2,1,0))+IF(ISBLANK(E949),0,IF(E949&lt;12,1,0))</f>
        <v>3</v>
      </c>
      <c r="U949" s="0" t="str">
        <f aca="false">IF((ISBLANK(B949)*1+ISBLANK(C949)*1+ISBLANK(D949)*1+ISBLANK(E949)*1+ISBLANK(F949)*1+ISBLANK(I949)*1+ISBLANK(J949)*1+ISBLANK(K949)*1+ISBLANK(L949)*1+ISBLANK(M949)*1+ISBLANK(N949)*1+ISBLANK(O949)*1)&gt;0,"Missing Data","OK")</f>
        <v>OK</v>
      </c>
      <c r="V949" s="0" t="str">
        <f aca="false">IF(T949&gt;=6,"High Risk",IF(T949&gt;=3,"Medium Risk","Low Risk"))</f>
        <v>Medium Risk</v>
      </c>
    </row>
    <row r="950" customFormat="false" ht="12.8" hidden="false" customHeight="false" outlineLevel="0" collapsed="false">
      <c r="A950" s="1" t="s">
        <v>980</v>
      </c>
      <c r="B950" s="1" t="s">
        <v>23</v>
      </c>
      <c r="C950" s="1" t="s">
        <v>24</v>
      </c>
      <c r="D950" s="1" t="n">
        <v>20.31</v>
      </c>
      <c r="E950" s="1" t="n">
        <v>41</v>
      </c>
      <c r="F950" s="4" t="n">
        <v>45076</v>
      </c>
      <c r="G950" s="1" t="s">
        <v>39</v>
      </c>
      <c r="H950" s="1" t="n">
        <v>0</v>
      </c>
      <c r="I950" s="1" t="n">
        <v>83.7</v>
      </c>
      <c r="J950" s="1" t="n">
        <v>25</v>
      </c>
      <c r="K950" s="1" t="n">
        <v>9</v>
      </c>
      <c r="L950" s="1" t="n">
        <v>1</v>
      </c>
      <c r="M950" s="1" t="n">
        <v>0</v>
      </c>
      <c r="N950" s="1" t="n">
        <v>832.71</v>
      </c>
      <c r="O950" s="1" t="n">
        <v>0</v>
      </c>
      <c r="Q950" s="4" t="n">
        <v>46293</v>
      </c>
      <c r="R950" s="0" t="n">
        <f aca="false">IF(ISBLANK(F950),"Missing",IFERROR(YEAR(F950),"Missing"))</f>
        <v>2023</v>
      </c>
      <c r="S950" s="0" t="str">
        <f aca="false">IF(ISBLANK(E950),"Missing",IF(E950&lt;6,"0-6mo",IF(E950&lt;12,"6-12mo",IF(E950&lt;24,"12-24mo","24mo+"))))</f>
        <v>24mo+</v>
      </c>
      <c r="T950" s="0" t="n">
        <f aca="false">IF(ISBLANK(C950),0,IF(C950="Month-to-month",2,IF(C950="One year",1,0)))+IF(ISBLANK(I950),0,IF(I950&lt;40,2,IF(I950&lt;55,1,0)))+IF(ISBLANK(M950),0,IF(M950=1,3,0))+IF(ISBLANK(L950),0,IF(L950&gt;=2,1,0))+IF(ISBLANK(E950),0,IF(E950&lt;12,1,0))</f>
        <v>2</v>
      </c>
      <c r="U950" s="0" t="str">
        <f aca="false">IF((ISBLANK(B950)*1+ISBLANK(C950)*1+ISBLANK(D950)*1+ISBLANK(E950)*1+ISBLANK(F950)*1+ISBLANK(I950)*1+ISBLANK(J950)*1+ISBLANK(K950)*1+ISBLANK(L950)*1+ISBLANK(M950)*1+ISBLANK(N950)*1+ISBLANK(O950)*1)&gt;0,"Missing Data","OK")</f>
        <v>OK</v>
      </c>
      <c r="V950" s="0" t="str">
        <f aca="false">IF(T950&gt;=6,"High Risk",IF(T950&gt;=3,"Medium Risk","Low Risk"))</f>
        <v>Low Risk</v>
      </c>
    </row>
    <row r="951" customFormat="false" ht="12.8" hidden="false" customHeight="false" outlineLevel="0" collapsed="false">
      <c r="A951" s="1" t="s">
        <v>981</v>
      </c>
      <c r="B951" s="1" t="s">
        <v>29</v>
      </c>
      <c r="C951" s="1" t="s">
        <v>34</v>
      </c>
      <c r="D951" s="1" t="n">
        <v>41.39</v>
      </c>
      <c r="E951" s="1" t="n">
        <v>16</v>
      </c>
      <c r="F951" s="4" t="n">
        <v>45077</v>
      </c>
      <c r="G951" s="1" t="s">
        <v>25</v>
      </c>
      <c r="H951" s="1" t="n">
        <v>0</v>
      </c>
      <c r="I951" s="1" t="n">
        <v>34.4</v>
      </c>
      <c r="J951" s="1" t="n">
        <v>5</v>
      </c>
      <c r="K951" s="1" t="n">
        <v>5</v>
      </c>
      <c r="L951" s="1" t="n">
        <v>1</v>
      </c>
      <c r="M951" s="1" t="n">
        <v>0</v>
      </c>
      <c r="N951" s="1" t="n">
        <v>662.24</v>
      </c>
      <c r="O951" s="1" t="n">
        <v>0</v>
      </c>
      <c r="Q951" s="4" t="n">
        <v>45564</v>
      </c>
      <c r="R951" s="0" t="n">
        <f aca="false">IF(ISBLANK(F951),"Missing",IFERROR(YEAR(F951),"Missing"))</f>
        <v>2023</v>
      </c>
      <c r="S951" s="0" t="str">
        <f aca="false">IF(ISBLANK(E951),"Missing",IF(E951&lt;6,"0-6mo",IF(E951&lt;12,"6-12mo",IF(E951&lt;24,"12-24mo","24mo+"))))</f>
        <v>12-24mo</v>
      </c>
      <c r="T951" s="0" t="n">
        <f aca="false">IF(ISBLANK(C951),0,IF(C951="Month-to-month",2,IF(C951="One year",1,0)))+IF(ISBLANK(I951),0,IF(I951&lt;40,2,IF(I951&lt;55,1,0)))+IF(ISBLANK(M951),0,IF(M951=1,3,0))+IF(ISBLANK(L951),0,IF(L951&gt;=2,1,0))+IF(ISBLANK(E951),0,IF(E951&lt;12,1,0))</f>
        <v>3</v>
      </c>
      <c r="U951" s="0" t="str">
        <f aca="false">IF((ISBLANK(B951)*1+ISBLANK(C951)*1+ISBLANK(D951)*1+ISBLANK(E951)*1+ISBLANK(F951)*1+ISBLANK(I951)*1+ISBLANK(J951)*1+ISBLANK(K951)*1+ISBLANK(L951)*1+ISBLANK(M951)*1+ISBLANK(N951)*1+ISBLANK(O951)*1)&gt;0,"Missing Data","OK")</f>
        <v>OK</v>
      </c>
      <c r="V951" s="0" t="str">
        <f aca="false">IF(T951&gt;=6,"High Risk",IF(T951&gt;=3,"Medium Risk","Low Risk"))</f>
        <v>Medium Risk</v>
      </c>
    </row>
    <row r="952" customFormat="false" ht="12.8" hidden="false" customHeight="false" outlineLevel="0" collapsed="false">
      <c r="A952" s="1" t="s">
        <v>982</v>
      </c>
      <c r="B952" s="1" t="s">
        <v>36</v>
      </c>
      <c r="C952" s="1" t="s">
        <v>24</v>
      </c>
      <c r="D952" s="1" t="n">
        <v>9.06</v>
      </c>
      <c r="E952" s="1" t="n">
        <v>23</v>
      </c>
      <c r="F952" s="4" t="n">
        <v>45077</v>
      </c>
      <c r="G952" s="1" t="s">
        <v>25</v>
      </c>
      <c r="H952" s="1" t="n">
        <v>1</v>
      </c>
      <c r="I952" s="1" t="n">
        <v>55.6</v>
      </c>
      <c r="J952" s="1" t="n">
        <v>15</v>
      </c>
      <c r="K952" s="1" t="n">
        <v>5</v>
      </c>
      <c r="L952" s="1" t="n">
        <v>1</v>
      </c>
      <c r="M952" s="1" t="n">
        <v>1</v>
      </c>
      <c r="N952" s="1" t="n">
        <v>208.38</v>
      </c>
      <c r="O952" s="1" t="n">
        <v>0</v>
      </c>
      <c r="Q952" s="4" t="n">
        <v>45777</v>
      </c>
      <c r="R952" s="0" t="n">
        <f aca="false">IF(ISBLANK(F952),"Missing",IFERROR(YEAR(F952),"Missing"))</f>
        <v>2023</v>
      </c>
      <c r="S952" s="0" t="str">
        <f aca="false">IF(ISBLANK(E952),"Missing",IF(E952&lt;6,"0-6mo",IF(E952&lt;12,"6-12mo",IF(E952&lt;24,"12-24mo","24mo+"))))</f>
        <v>12-24mo</v>
      </c>
      <c r="T952" s="0" t="n">
        <f aca="false">IF(ISBLANK(C952),0,IF(C952="Month-to-month",2,IF(C952="One year",1,0)))+IF(ISBLANK(I952),0,IF(I952&lt;40,2,IF(I952&lt;55,1,0)))+IF(ISBLANK(M952),0,IF(M952=1,3,0))+IF(ISBLANK(L952),0,IF(L952&gt;=2,1,0))+IF(ISBLANK(E952),0,IF(E952&lt;12,1,0))</f>
        <v>5</v>
      </c>
      <c r="U952" s="0" t="str">
        <f aca="false">IF((ISBLANK(B952)*1+ISBLANK(C952)*1+ISBLANK(D952)*1+ISBLANK(E952)*1+ISBLANK(F952)*1+ISBLANK(I952)*1+ISBLANK(J952)*1+ISBLANK(K952)*1+ISBLANK(L952)*1+ISBLANK(M952)*1+ISBLANK(N952)*1+ISBLANK(O952)*1)&gt;0,"Missing Data","OK")</f>
        <v>OK</v>
      </c>
      <c r="V952" s="0" t="str">
        <f aca="false">IF(T952&gt;=6,"High Risk",IF(T952&gt;=3,"Medium Risk","Low Risk"))</f>
        <v>Medium Risk</v>
      </c>
    </row>
    <row r="953" customFormat="false" ht="12.8" hidden="false" customHeight="false" outlineLevel="0" collapsed="false">
      <c r="A953" s="1" t="s">
        <v>983</v>
      </c>
      <c r="B953" s="1" t="s">
        <v>23</v>
      </c>
      <c r="C953" s="1" t="s">
        <v>24</v>
      </c>
      <c r="D953" s="1" t="n">
        <v>20.24</v>
      </c>
      <c r="E953" s="1" t="n">
        <v>5</v>
      </c>
      <c r="F953" s="4" t="n">
        <v>45077</v>
      </c>
      <c r="G953" s="1" t="s">
        <v>39</v>
      </c>
      <c r="H953" s="1" t="n">
        <v>1</v>
      </c>
      <c r="I953" s="1" t="n">
        <v>56.3</v>
      </c>
      <c r="J953" s="1" t="n">
        <v>15</v>
      </c>
      <c r="K953" s="1" t="n">
        <v>6</v>
      </c>
      <c r="L953" s="1" t="n">
        <v>2</v>
      </c>
      <c r="M953" s="1" t="n">
        <v>0</v>
      </c>
      <c r="N953" s="1" t="n">
        <v>101.2</v>
      </c>
      <c r="O953" s="1" t="n">
        <v>0</v>
      </c>
      <c r="Q953" s="4" t="n">
        <v>45229</v>
      </c>
      <c r="R953" s="0" t="n">
        <f aca="false">IF(ISBLANK(F953),"Missing",IFERROR(YEAR(F953),"Missing"))</f>
        <v>2023</v>
      </c>
      <c r="S953" s="0" t="str">
        <f aca="false">IF(ISBLANK(E953),"Missing",IF(E953&lt;6,"0-6mo",IF(E953&lt;12,"6-12mo",IF(E953&lt;24,"12-24mo","24mo+"))))</f>
        <v>0-6mo</v>
      </c>
      <c r="T953" s="0" t="n">
        <f aca="false">IF(ISBLANK(C953),0,IF(C953="Month-to-month",2,IF(C953="One year",1,0)))+IF(ISBLANK(I953),0,IF(I953&lt;40,2,IF(I953&lt;55,1,0)))+IF(ISBLANK(M953),0,IF(M953=1,3,0))+IF(ISBLANK(L953),0,IF(L953&gt;=2,1,0))+IF(ISBLANK(E953),0,IF(E953&lt;12,1,0))</f>
        <v>4</v>
      </c>
      <c r="U953" s="0" t="str">
        <f aca="false">IF((ISBLANK(B953)*1+ISBLANK(C953)*1+ISBLANK(D953)*1+ISBLANK(E953)*1+ISBLANK(F953)*1+ISBLANK(I953)*1+ISBLANK(J953)*1+ISBLANK(K953)*1+ISBLANK(L953)*1+ISBLANK(M953)*1+ISBLANK(N953)*1+ISBLANK(O953)*1)&gt;0,"Missing Data","OK")</f>
        <v>OK</v>
      </c>
      <c r="V953" s="0" t="str">
        <f aca="false">IF(T953&gt;=6,"High Risk",IF(T953&gt;=3,"Medium Risk","Low Risk"))</f>
        <v>Medium Risk</v>
      </c>
    </row>
    <row r="954" customFormat="false" ht="12.8" hidden="false" customHeight="false" outlineLevel="0" collapsed="false">
      <c r="A954" s="1" t="s">
        <v>984</v>
      </c>
      <c r="B954" s="1" t="s">
        <v>36</v>
      </c>
      <c r="C954" s="1" t="s">
        <v>24</v>
      </c>
      <c r="D954" s="1" t="n">
        <v>10.84</v>
      </c>
      <c r="E954" s="1" t="n">
        <v>33</v>
      </c>
      <c r="F954" s="4" t="n">
        <v>45079</v>
      </c>
      <c r="G954" s="1" t="s">
        <v>25</v>
      </c>
      <c r="H954" s="1" t="n">
        <v>1</v>
      </c>
      <c r="I954" s="1" t="n">
        <v>92</v>
      </c>
      <c r="J954" s="1" t="n">
        <v>22</v>
      </c>
      <c r="K954" s="1" t="n">
        <v>10</v>
      </c>
      <c r="L954" s="1" t="n">
        <v>0</v>
      </c>
      <c r="M954" s="1" t="n">
        <v>0</v>
      </c>
      <c r="N954" s="1" t="n">
        <v>357.72</v>
      </c>
      <c r="O954" s="1" t="n">
        <v>0</v>
      </c>
      <c r="Q954" s="4" t="n">
        <v>46083</v>
      </c>
      <c r="R954" s="0" t="n">
        <f aca="false">IF(ISBLANK(F954),"Missing",IFERROR(YEAR(F954),"Missing"))</f>
        <v>2023</v>
      </c>
      <c r="S954" s="0" t="str">
        <f aca="false">IF(ISBLANK(E954),"Missing",IF(E954&lt;6,"0-6mo",IF(E954&lt;12,"6-12mo",IF(E954&lt;24,"12-24mo","24mo+"))))</f>
        <v>24mo+</v>
      </c>
      <c r="T954" s="0" t="n">
        <f aca="false">IF(ISBLANK(C954),0,IF(C954="Month-to-month",2,IF(C954="One year",1,0)))+IF(ISBLANK(I954),0,IF(I954&lt;40,2,IF(I954&lt;55,1,0)))+IF(ISBLANK(M954),0,IF(M954=1,3,0))+IF(ISBLANK(L954),0,IF(L954&gt;=2,1,0))+IF(ISBLANK(E954),0,IF(E954&lt;12,1,0))</f>
        <v>2</v>
      </c>
      <c r="U954" s="0" t="str">
        <f aca="false">IF((ISBLANK(B954)*1+ISBLANK(C954)*1+ISBLANK(D954)*1+ISBLANK(E954)*1+ISBLANK(F954)*1+ISBLANK(I954)*1+ISBLANK(J954)*1+ISBLANK(K954)*1+ISBLANK(L954)*1+ISBLANK(M954)*1+ISBLANK(N954)*1+ISBLANK(O954)*1)&gt;0,"Missing Data","OK")</f>
        <v>OK</v>
      </c>
      <c r="V954" s="0" t="str">
        <f aca="false">IF(T954&gt;=6,"High Risk",IF(T954&gt;=3,"Medium Risk","Low Risk"))</f>
        <v>Low Risk</v>
      </c>
    </row>
    <row r="955" customFormat="false" ht="12.8" hidden="false" customHeight="false" outlineLevel="0" collapsed="false">
      <c r="A955" s="1" t="s">
        <v>985</v>
      </c>
      <c r="B955" s="1" t="s">
        <v>36</v>
      </c>
      <c r="C955" s="1" t="s">
        <v>34</v>
      </c>
      <c r="D955" s="1" t="n">
        <v>10.2</v>
      </c>
      <c r="E955" s="1" t="n">
        <v>72</v>
      </c>
      <c r="F955" s="4" t="n">
        <v>45080</v>
      </c>
      <c r="G955" s="1" t="s">
        <v>25</v>
      </c>
      <c r="H955" s="1" t="n">
        <v>1</v>
      </c>
      <c r="I955" s="1" t="n">
        <v>43.9</v>
      </c>
      <c r="J955" s="1" t="n">
        <v>21</v>
      </c>
      <c r="K955" s="1" t="n">
        <v>5</v>
      </c>
      <c r="L955" s="1" t="n">
        <v>1</v>
      </c>
      <c r="M955" s="1" t="n">
        <v>1</v>
      </c>
      <c r="N955" s="1" t="n">
        <v>734.4</v>
      </c>
      <c r="O955" s="1" t="n">
        <v>0</v>
      </c>
      <c r="Q955" s="4" t="n">
        <v>46293</v>
      </c>
      <c r="R955" s="0" t="n">
        <f aca="false">IF(ISBLANK(F955),"Missing",IFERROR(YEAR(F955),"Missing"))</f>
        <v>2023</v>
      </c>
      <c r="S955" s="0" t="str">
        <f aca="false">IF(ISBLANK(E955),"Missing",IF(E955&lt;6,"0-6mo",IF(E955&lt;12,"6-12mo",IF(E955&lt;24,"12-24mo","24mo+"))))</f>
        <v>24mo+</v>
      </c>
      <c r="T955" s="0" t="n">
        <f aca="false">IF(ISBLANK(C955),0,IF(C955="Month-to-month",2,IF(C955="One year",1,0)))+IF(ISBLANK(I955),0,IF(I955&lt;40,2,IF(I955&lt;55,1,0)))+IF(ISBLANK(M955),0,IF(M955=1,3,0))+IF(ISBLANK(L955),0,IF(L955&gt;=2,1,0))+IF(ISBLANK(E955),0,IF(E955&lt;12,1,0))</f>
        <v>5</v>
      </c>
      <c r="U955" s="0" t="str">
        <f aca="false">IF((ISBLANK(B955)*1+ISBLANK(C955)*1+ISBLANK(D955)*1+ISBLANK(E955)*1+ISBLANK(F955)*1+ISBLANK(I955)*1+ISBLANK(J955)*1+ISBLANK(K955)*1+ISBLANK(L955)*1+ISBLANK(M955)*1+ISBLANK(N955)*1+ISBLANK(O955)*1)&gt;0,"Missing Data","OK")</f>
        <v>OK</v>
      </c>
      <c r="V955" s="0" t="str">
        <f aca="false">IF(T955&gt;=6,"High Risk",IF(T955&gt;=3,"Medium Risk","Low Risk"))</f>
        <v>Medium Risk</v>
      </c>
    </row>
    <row r="956" customFormat="false" ht="12.8" hidden="false" customHeight="false" outlineLevel="0" collapsed="false">
      <c r="A956" s="1" t="s">
        <v>986</v>
      </c>
      <c r="B956" s="1" t="s">
        <v>36</v>
      </c>
      <c r="C956" s="1" t="s">
        <v>34</v>
      </c>
      <c r="D956" s="1" t="n">
        <v>9.55</v>
      </c>
      <c r="E956" s="1" t="n">
        <v>62</v>
      </c>
      <c r="F956" s="4" t="n">
        <v>45080</v>
      </c>
      <c r="G956" s="1" t="s">
        <v>25</v>
      </c>
      <c r="H956" s="1" t="n">
        <v>0</v>
      </c>
      <c r="I956" s="1" t="n">
        <v>61.8</v>
      </c>
      <c r="J956" s="1" t="n">
        <v>22</v>
      </c>
      <c r="K956" s="1" t="n">
        <v>6</v>
      </c>
      <c r="L956" s="1" t="n">
        <v>1</v>
      </c>
      <c r="M956" s="1" t="n">
        <v>0</v>
      </c>
      <c r="N956" s="1" t="n">
        <v>592.1</v>
      </c>
      <c r="O956" s="1" t="n">
        <v>0</v>
      </c>
      <c r="Q956" s="4" t="n">
        <v>46293</v>
      </c>
      <c r="R956" s="0" t="n">
        <f aca="false">IF(ISBLANK(F956),"Missing",IFERROR(YEAR(F956),"Missing"))</f>
        <v>2023</v>
      </c>
      <c r="S956" s="0" t="str">
        <f aca="false">IF(ISBLANK(E956),"Missing",IF(E956&lt;6,"0-6mo",IF(E956&lt;12,"6-12mo",IF(E956&lt;24,"12-24mo","24mo+"))))</f>
        <v>24mo+</v>
      </c>
      <c r="T956" s="0" t="n">
        <f aca="false">IF(ISBLANK(C956),0,IF(C956="Month-to-month",2,IF(C956="One year",1,0)))+IF(ISBLANK(I956),0,IF(I956&lt;40,2,IF(I956&lt;55,1,0)))+IF(ISBLANK(M956),0,IF(M956=1,3,0))+IF(ISBLANK(L956),0,IF(L956&gt;=2,1,0))+IF(ISBLANK(E956),0,IF(E956&lt;12,1,0))</f>
        <v>1</v>
      </c>
      <c r="U956" s="0" t="str">
        <f aca="false">IF((ISBLANK(B956)*1+ISBLANK(C956)*1+ISBLANK(D956)*1+ISBLANK(E956)*1+ISBLANK(F956)*1+ISBLANK(I956)*1+ISBLANK(J956)*1+ISBLANK(K956)*1+ISBLANK(L956)*1+ISBLANK(M956)*1+ISBLANK(N956)*1+ISBLANK(O956)*1)&gt;0,"Missing Data","OK")</f>
        <v>OK</v>
      </c>
      <c r="V956" s="0" t="str">
        <f aca="false">IF(T956&gt;=6,"High Risk",IF(T956&gt;=3,"Medium Risk","Low Risk"))</f>
        <v>Low Risk</v>
      </c>
    </row>
    <row r="957" customFormat="false" ht="12.8" hidden="false" customHeight="false" outlineLevel="0" collapsed="false">
      <c r="A957" s="1" t="s">
        <v>987</v>
      </c>
      <c r="B957" s="1" t="s">
        <v>23</v>
      </c>
      <c r="C957" s="1" t="s">
        <v>51</v>
      </c>
      <c r="D957" s="1" t="n">
        <v>21.79</v>
      </c>
      <c r="E957" s="1" t="n">
        <v>13</v>
      </c>
      <c r="F957" s="4" t="n">
        <v>45081</v>
      </c>
      <c r="G957" s="1" t="s">
        <v>39</v>
      </c>
      <c r="H957" s="1" t="n">
        <v>1</v>
      </c>
      <c r="I957" s="1" t="n">
        <v>68.8</v>
      </c>
      <c r="J957" s="1" t="n">
        <v>18</v>
      </c>
      <c r="K957" s="1" t="n">
        <v>9</v>
      </c>
      <c r="L957" s="1" t="n">
        <v>1</v>
      </c>
      <c r="M957" s="1" t="n">
        <v>0</v>
      </c>
      <c r="N957" s="1" t="n">
        <v>283.27</v>
      </c>
      <c r="O957" s="1" t="n">
        <v>0</v>
      </c>
      <c r="Q957" s="4" t="n">
        <v>45476</v>
      </c>
      <c r="R957" s="0" t="n">
        <f aca="false">IF(ISBLANK(F957),"Missing",IFERROR(YEAR(F957),"Missing"))</f>
        <v>2023</v>
      </c>
      <c r="S957" s="0" t="str">
        <f aca="false">IF(ISBLANK(E957),"Missing",IF(E957&lt;6,"0-6mo",IF(E957&lt;12,"6-12mo",IF(E957&lt;24,"12-24mo","24mo+"))))</f>
        <v>12-24mo</v>
      </c>
      <c r="T957" s="0" t="n">
        <f aca="false">IF(ISBLANK(C957),0,IF(C957="Month-to-month",2,IF(C957="One year",1,0)))+IF(ISBLANK(I957),0,IF(I957&lt;40,2,IF(I957&lt;55,1,0)))+IF(ISBLANK(M957),0,IF(M957=1,3,0))+IF(ISBLANK(L957),0,IF(L957&gt;=2,1,0))+IF(ISBLANK(E957),0,IF(E957&lt;12,1,0))</f>
        <v>0</v>
      </c>
      <c r="U957" s="0" t="str">
        <f aca="false">IF((ISBLANK(B957)*1+ISBLANK(C957)*1+ISBLANK(D957)*1+ISBLANK(E957)*1+ISBLANK(F957)*1+ISBLANK(I957)*1+ISBLANK(J957)*1+ISBLANK(K957)*1+ISBLANK(L957)*1+ISBLANK(M957)*1+ISBLANK(N957)*1+ISBLANK(O957)*1)&gt;0,"Missing Data","OK")</f>
        <v>OK</v>
      </c>
      <c r="V957" s="0" t="str">
        <f aca="false">IF(T957&gt;=6,"High Risk",IF(T957&gt;=3,"Medium Risk","Low Risk"))</f>
        <v>Low Risk</v>
      </c>
    </row>
    <row r="958" customFormat="false" ht="12.8" hidden="false" customHeight="false" outlineLevel="0" collapsed="false">
      <c r="A958" s="1" t="s">
        <v>988</v>
      </c>
      <c r="B958" s="1" t="s">
        <v>29</v>
      </c>
      <c r="C958" s="1" t="s">
        <v>34</v>
      </c>
      <c r="D958" s="1" t="n">
        <v>40.58</v>
      </c>
      <c r="E958" s="1" t="n">
        <v>19</v>
      </c>
      <c r="F958" s="4" t="n">
        <v>45085</v>
      </c>
      <c r="G958" s="1" t="s">
        <v>27</v>
      </c>
      <c r="H958" s="1" t="n">
        <v>1</v>
      </c>
      <c r="I958" s="1" t="n">
        <v>60.8</v>
      </c>
      <c r="J958" s="1" t="n">
        <v>18</v>
      </c>
      <c r="K958" s="1" t="n">
        <v>7</v>
      </c>
      <c r="L958" s="1" t="n">
        <v>0</v>
      </c>
      <c r="M958" s="1" t="n">
        <v>0</v>
      </c>
      <c r="N958" s="1" t="n">
        <v>771.02</v>
      </c>
      <c r="O958" s="1" t="n">
        <v>0</v>
      </c>
      <c r="Q958" s="4" t="n">
        <v>45663</v>
      </c>
      <c r="R958" s="0" t="n">
        <f aca="false">IF(ISBLANK(F958),"Missing",IFERROR(YEAR(F958),"Missing"))</f>
        <v>2023</v>
      </c>
      <c r="S958" s="0" t="str">
        <f aca="false">IF(ISBLANK(E958),"Missing",IF(E958&lt;6,"0-6mo",IF(E958&lt;12,"6-12mo",IF(E958&lt;24,"12-24mo","24mo+"))))</f>
        <v>12-24mo</v>
      </c>
      <c r="T958" s="0" t="n">
        <f aca="false">IF(ISBLANK(C958),0,IF(C958="Month-to-month",2,IF(C958="One year",1,0)))+IF(ISBLANK(I958),0,IF(I958&lt;40,2,IF(I958&lt;55,1,0)))+IF(ISBLANK(M958),0,IF(M958=1,3,0))+IF(ISBLANK(L958),0,IF(L958&gt;=2,1,0))+IF(ISBLANK(E958),0,IF(E958&lt;12,1,0))</f>
        <v>1</v>
      </c>
      <c r="U958" s="0" t="str">
        <f aca="false">IF((ISBLANK(B958)*1+ISBLANK(C958)*1+ISBLANK(D958)*1+ISBLANK(E958)*1+ISBLANK(F958)*1+ISBLANK(I958)*1+ISBLANK(J958)*1+ISBLANK(K958)*1+ISBLANK(L958)*1+ISBLANK(M958)*1+ISBLANK(N958)*1+ISBLANK(O958)*1)&gt;0,"Missing Data","OK")</f>
        <v>OK</v>
      </c>
      <c r="V958" s="0" t="str">
        <f aca="false">IF(T958&gt;=6,"High Risk",IF(T958&gt;=3,"Medium Risk","Low Risk"))</f>
        <v>Low Risk</v>
      </c>
    </row>
    <row r="959" customFormat="false" ht="12.8" hidden="false" customHeight="false" outlineLevel="0" collapsed="false">
      <c r="A959" s="1" t="s">
        <v>989</v>
      </c>
      <c r="B959" s="1" t="s">
        <v>36</v>
      </c>
      <c r="C959" s="1" t="s">
        <v>24</v>
      </c>
      <c r="D959" s="1" t="n">
        <v>11.06</v>
      </c>
      <c r="E959" s="1" t="n">
        <v>18</v>
      </c>
      <c r="F959" s="4" t="n">
        <v>45086</v>
      </c>
      <c r="G959" s="1" t="s">
        <v>30</v>
      </c>
      <c r="H959" s="1" t="n">
        <v>0</v>
      </c>
      <c r="I959" s="1" t="n">
        <v>89.9</v>
      </c>
      <c r="J959" s="1" t="n">
        <v>28</v>
      </c>
      <c r="K959" s="1" t="n">
        <v>8</v>
      </c>
      <c r="L959" s="1" t="n">
        <v>1</v>
      </c>
      <c r="M959" s="1" t="n">
        <v>1</v>
      </c>
      <c r="N959" s="1" t="n">
        <v>199.08</v>
      </c>
      <c r="O959" s="1" t="n">
        <v>0</v>
      </c>
      <c r="Q959" s="4" t="n">
        <v>45633</v>
      </c>
      <c r="R959" s="0" t="n">
        <f aca="false">IF(ISBLANK(F959),"Missing",IFERROR(YEAR(F959),"Missing"))</f>
        <v>2023</v>
      </c>
      <c r="S959" s="0" t="str">
        <f aca="false">IF(ISBLANK(E959),"Missing",IF(E959&lt;6,"0-6mo",IF(E959&lt;12,"6-12mo",IF(E959&lt;24,"12-24mo","24mo+"))))</f>
        <v>12-24mo</v>
      </c>
      <c r="T959" s="0" t="n">
        <f aca="false">IF(ISBLANK(C959),0,IF(C959="Month-to-month",2,IF(C959="One year",1,0)))+IF(ISBLANK(I959),0,IF(I959&lt;40,2,IF(I959&lt;55,1,0)))+IF(ISBLANK(M959),0,IF(M959=1,3,0))+IF(ISBLANK(L959),0,IF(L959&gt;=2,1,0))+IF(ISBLANK(E959),0,IF(E959&lt;12,1,0))</f>
        <v>5</v>
      </c>
      <c r="U959" s="0" t="str">
        <f aca="false">IF((ISBLANK(B959)*1+ISBLANK(C959)*1+ISBLANK(D959)*1+ISBLANK(E959)*1+ISBLANK(F959)*1+ISBLANK(I959)*1+ISBLANK(J959)*1+ISBLANK(K959)*1+ISBLANK(L959)*1+ISBLANK(M959)*1+ISBLANK(N959)*1+ISBLANK(O959)*1)&gt;0,"Missing Data","OK")</f>
        <v>OK</v>
      </c>
      <c r="V959" s="0" t="str">
        <f aca="false">IF(T959&gt;=6,"High Risk",IF(T959&gt;=3,"Medium Risk","Low Risk"))</f>
        <v>Medium Risk</v>
      </c>
    </row>
    <row r="960" customFormat="false" ht="12.8" hidden="false" customHeight="false" outlineLevel="0" collapsed="false">
      <c r="A960" s="1" t="s">
        <v>990</v>
      </c>
      <c r="B960" s="1" t="s">
        <v>23</v>
      </c>
      <c r="C960" s="1" t="s">
        <v>24</v>
      </c>
      <c r="D960" s="1" t="n">
        <v>20.89</v>
      </c>
      <c r="E960" s="1" t="n">
        <v>22</v>
      </c>
      <c r="F960" s="4" t="n">
        <v>45086</v>
      </c>
      <c r="G960" s="1" t="s">
        <v>30</v>
      </c>
      <c r="H960" s="1" t="n">
        <v>0</v>
      </c>
      <c r="I960" s="1" t="n">
        <v>20.5</v>
      </c>
      <c r="J960" s="1" t="n">
        <v>9</v>
      </c>
      <c r="K960" s="1" t="n">
        <v>1</v>
      </c>
      <c r="L960" s="1" t="n">
        <v>0</v>
      </c>
      <c r="M960" s="1" t="n">
        <v>0</v>
      </c>
      <c r="N960" s="1" t="n">
        <v>459.58</v>
      </c>
      <c r="O960" s="1" t="n">
        <v>0</v>
      </c>
      <c r="Q960" s="4" t="n">
        <v>45755</v>
      </c>
      <c r="R960" s="0" t="n">
        <f aca="false">IF(ISBLANK(F960),"Missing",IFERROR(YEAR(F960),"Missing"))</f>
        <v>2023</v>
      </c>
      <c r="S960" s="0" t="str">
        <f aca="false">IF(ISBLANK(E960),"Missing",IF(E960&lt;6,"0-6mo",IF(E960&lt;12,"6-12mo",IF(E960&lt;24,"12-24mo","24mo+"))))</f>
        <v>12-24mo</v>
      </c>
      <c r="T960" s="0" t="n">
        <f aca="false">IF(ISBLANK(C960),0,IF(C960="Month-to-month",2,IF(C960="One year",1,0)))+IF(ISBLANK(I960),0,IF(I960&lt;40,2,IF(I960&lt;55,1,0)))+IF(ISBLANK(M960),0,IF(M960=1,3,0))+IF(ISBLANK(L960),0,IF(L960&gt;=2,1,0))+IF(ISBLANK(E960),0,IF(E960&lt;12,1,0))</f>
        <v>4</v>
      </c>
      <c r="U960" s="0" t="str">
        <f aca="false">IF((ISBLANK(B960)*1+ISBLANK(C960)*1+ISBLANK(D960)*1+ISBLANK(E960)*1+ISBLANK(F960)*1+ISBLANK(I960)*1+ISBLANK(J960)*1+ISBLANK(K960)*1+ISBLANK(L960)*1+ISBLANK(M960)*1+ISBLANK(N960)*1+ISBLANK(O960)*1)&gt;0,"Missing Data","OK")</f>
        <v>OK</v>
      </c>
      <c r="V960" s="0" t="str">
        <f aca="false">IF(T960&gt;=6,"High Risk",IF(T960&gt;=3,"Medium Risk","Low Risk"))</f>
        <v>Medium Risk</v>
      </c>
    </row>
    <row r="961" customFormat="false" ht="12.8" hidden="false" customHeight="false" outlineLevel="0" collapsed="false">
      <c r="A961" s="1" t="s">
        <v>991</v>
      </c>
      <c r="B961" s="1" t="s">
        <v>29</v>
      </c>
      <c r="C961" s="1" t="s">
        <v>34</v>
      </c>
      <c r="D961" s="1" t="n">
        <v>39.43</v>
      </c>
      <c r="E961" s="1" t="n">
        <v>2</v>
      </c>
      <c r="F961" s="4" t="n">
        <v>45086</v>
      </c>
      <c r="G961" s="1" t="s">
        <v>25</v>
      </c>
      <c r="H961" s="1" t="n">
        <v>0</v>
      </c>
      <c r="I961" s="1" t="n">
        <v>31.2</v>
      </c>
      <c r="J961" s="1" t="n">
        <v>3</v>
      </c>
      <c r="K961" s="1" t="n">
        <v>3</v>
      </c>
      <c r="L961" s="1" t="n">
        <v>1</v>
      </c>
      <c r="M961" s="1" t="n">
        <v>0</v>
      </c>
      <c r="N961" s="1" t="n">
        <v>78.86</v>
      </c>
      <c r="O961" s="1" t="n">
        <v>0</v>
      </c>
      <c r="Q961" s="4" t="n">
        <v>45146</v>
      </c>
      <c r="R961" s="0" t="n">
        <f aca="false">IF(ISBLANK(F961),"Missing",IFERROR(YEAR(F961),"Missing"))</f>
        <v>2023</v>
      </c>
      <c r="S961" s="0" t="str">
        <f aca="false">IF(ISBLANK(E961),"Missing",IF(E961&lt;6,"0-6mo",IF(E961&lt;12,"6-12mo",IF(E961&lt;24,"12-24mo","24mo+"))))</f>
        <v>0-6mo</v>
      </c>
      <c r="T961" s="0" t="n">
        <f aca="false">IF(ISBLANK(C961),0,IF(C961="Month-to-month",2,IF(C961="One year",1,0)))+IF(ISBLANK(I961),0,IF(I961&lt;40,2,IF(I961&lt;55,1,0)))+IF(ISBLANK(M961),0,IF(M961=1,3,0))+IF(ISBLANK(L961),0,IF(L961&gt;=2,1,0))+IF(ISBLANK(E961),0,IF(E961&lt;12,1,0))</f>
        <v>4</v>
      </c>
      <c r="U961" s="0" t="str">
        <f aca="false">IF((ISBLANK(B961)*1+ISBLANK(C961)*1+ISBLANK(D961)*1+ISBLANK(E961)*1+ISBLANK(F961)*1+ISBLANK(I961)*1+ISBLANK(J961)*1+ISBLANK(K961)*1+ISBLANK(L961)*1+ISBLANK(M961)*1+ISBLANK(N961)*1+ISBLANK(O961)*1)&gt;0,"Missing Data","OK")</f>
        <v>OK</v>
      </c>
      <c r="V961" s="0" t="str">
        <f aca="false">IF(T961&gt;=6,"High Risk",IF(T961&gt;=3,"Medium Risk","Low Risk"))</f>
        <v>Medium Risk</v>
      </c>
    </row>
    <row r="962" customFormat="false" ht="12.8" hidden="false" customHeight="false" outlineLevel="0" collapsed="false">
      <c r="A962" s="1" t="s">
        <v>992</v>
      </c>
      <c r="B962" s="1" t="s">
        <v>23</v>
      </c>
      <c r="C962" s="1" t="s">
        <v>34</v>
      </c>
      <c r="D962" s="1" t="n">
        <v>19.78</v>
      </c>
      <c r="E962" s="1" t="n">
        <v>16</v>
      </c>
      <c r="F962" s="4" t="n">
        <v>45088</v>
      </c>
      <c r="G962" s="1" t="s">
        <v>39</v>
      </c>
      <c r="H962" s="1" t="n">
        <v>1</v>
      </c>
      <c r="I962" s="1" t="n">
        <v>42.6</v>
      </c>
      <c r="J962" s="1" t="n">
        <v>11</v>
      </c>
      <c r="K962" s="1" t="n">
        <v>5</v>
      </c>
      <c r="L962" s="1" t="n">
        <v>0</v>
      </c>
      <c r="M962" s="1" t="n">
        <v>0</v>
      </c>
      <c r="N962" s="1" t="n">
        <v>316.48</v>
      </c>
      <c r="O962" s="1" t="n">
        <v>0</v>
      </c>
      <c r="Q962" s="4" t="n">
        <v>45575</v>
      </c>
      <c r="R962" s="0" t="n">
        <f aca="false">IF(ISBLANK(F962),"Missing",IFERROR(YEAR(F962),"Missing"))</f>
        <v>2023</v>
      </c>
      <c r="S962" s="0" t="str">
        <f aca="false">IF(ISBLANK(E962),"Missing",IF(E962&lt;6,"0-6mo",IF(E962&lt;12,"6-12mo",IF(E962&lt;24,"12-24mo","24mo+"))))</f>
        <v>12-24mo</v>
      </c>
      <c r="T962" s="0" t="n">
        <f aca="false">IF(ISBLANK(C962),0,IF(C962="Month-to-month",2,IF(C962="One year",1,0)))+IF(ISBLANK(I962),0,IF(I962&lt;40,2,IF(I962&lt;55,1,0)))+IF(ISBLANK(M962),0,IF(M962=1,3,0))+IF(ISBLANK(L962),0,IF(L962&gt;=2,1,0))+IF(ISBLANK(E962),0,IF(E962&lt;12,1,0))</f>
        <v>2</v>
      </c>
      <c r="U962" s="0" t="str">
        <f aca="false">IF((ISBLANK(B962)*1+ISBLANK(C962)*1+ISBLANK(D962)*1+ISBLANK(E962)*1+ISBLANK(F962)*1+ISBLANK(I962)*1+ISBLANK(J962)*1+ISBLANK(K962)*1+ISBLANK(L962)*1+ISBLANK(M962)*1+ISBLANK(N962)*1+ISBLANK(O962)*1)&gt;0,"Missing Data","OK")</f>
        <v>OK</v>
      </c>
      <c r="V962" s="0" t="str">
        <f aca="false">IF(T962&gt;=6,"High Risk",IF(T962&gt;=3,"Medium Risk","Low Risk"))</f>
        <v>Low Risk</v>
      </c>
    </row>
    <row r="963" customFormat="false" ht="12.8" hidden="false" customHeight="false" outlineLevel="0" collapsed="false">
      <c r="A963" s="1" t="s">
        <v>993</v>
      </c>
      <c r="B963" s="1" t="s">
        <v>29</v>
      </c>
      <c r="C963" s="1" t="s">
        <v>24</v>
      </c>
      <c r="D963" s="1" t="n">
        <v>38.98</v>
      </c>
      <c r="E963" s="1" t="n">
        <v>15</v>
      </c>
      <c r="F963" s="4" t="n">
        <v>45089</v>
      </c>
      <c r="G963" s="1" t="s">
        <v>39</v>
      </c>
      <c r="H963" s="1" t="n">
        <v>1</v>
      </c>
      <c r="I963" s="1" t="n">
        <v>32.4</v>
      </c>
      <c r="J963" s="1" t="n">
        <v>19</v>
      </c>
      <c r="K963" s="1" t="n">
        <v>5</v>
      </c>
      <c r="L963" s="1" t="n">
        <v>0</v>
      </c>
      <c r="M963" s="1" t="n">
        <v>0</v>
      </c>
      <c r="N963" s="1" t="n">
        <v>584.7</v>
      </c>
      <c r="O963" s="1" t="n">
        <v>0</v>
      </c>
      <c r="Q963" s="4" t="n">
        <v>45545</v>
      </c>
      <c r="R963" s="0" t="n">
        <f aca="false">IF(ISBLANK(F963),"Missing",IFERROR(YEAR(F963),"Missing"))</f>
        <v>2023</v>
      </c>
      <c r="S963" s="0" t="str">
        <f aca="false">IF(ISBLANK(E963),"Missing",IF(E963&lt;6,"0-6mo",IF(E963&lt;12,"6-12mo",IF(E963&lt;24,"12-24mo","24mo+"))))</f>
        <v>12-24mo</v>
      </c>
      <c r="T963" s="0" t="n">
        <f aca="false">IF(ISBLANK(C963),0,IF(C963="Month-to-month",2,IF(C963="One year",1,0)))+IF(ISBLANK(I963),0,IF(I963&lt;40,2,IF(I963&lt;55,1,0)))+IF(ISBLANK(M963),0,IF(M963=1,3,0))+IF(ISBLANK(L963),0,IF(L963&gt;=2,1,0))+IF(ISBLANK(E963),0,IF(E963&lt;12,1,0))</f>
        <v>4</v>
      </c>
      <c r="U963" s="0" t="str">
        <f aca="false">IF((ISBLANK(B963)*1+ISBLANK(C963)*1+ISBLANK(D963)*1+ISBLANK(E963)*1+ISBLANK(F963)*1+ISBLANK(I963)*1+ISBLANK(J963)*1+ISBLANK(K963)*1+ISBLANK(L963)*1+ISBLANK(M963)*1+ISBLANK(N963)*1+ISBLANK(O963)*1)&gt;0,"Missing Data","OK")</f>
        <v>OK</v>
      </c>
      <c r="V963" s="0" t="str">
        <f aca="false">IF(T963&gt;=6,"High Risk",IF(T963&gt;=3,"Medium Risk","Low Risk"))</f>
        <v>Medium Risk</v>
      </c>
    </row>
    <row r="964" customFormat="false" ht="12.8" hidden="false" customHeight="false" outlineLevel="0" collapsed="false">
      <c r="A964" s="1" t="s">
        <v>994</v>
      </c>
      <c r="B964" s="1" t="s">
        <v>36</v>
      </c>
      <c r="C964" s="1" t="s">
        <v>34</v>
      </c>
      <c r="D964" s="1" t="n">
        <v>11.54</v>
      </c>
      <c r="E964" s="1" t="n">
        <v>0</v>
      </c>
      <c r="F964" s="4" t="n">
        <v>45090</v>
      </c>
      <c r="G964" s="1" t="s">
        <v>39</v>
      </c>
      <c r="H964" s="1" t="n">
        <v>0</v>
      </c>
      <c r="I964" s="1" t="n">
        <v>35.7</v>
      </c>
      <c r="J964" s="1" t="n">
        <v>12</v>
      </c>
      <c r="K964" s="1" t="n">
        <v>4</v>
      </c>
      <c r="L964" s="1" t="n">
        <v>0</v>
      </c>
      <c r="M964" s="1" t="n">
        <v>0</v>
      </c>
      <c r="N964" s="1" t="n">
        <v>0</v>
      </c>
      <c r="O964" s="1" t="n">
        <v>0</v>
      </c>
      <c r="Q964" s="4" t="n">
        <v>45090</v>
      </c>
      <c r="R964" s="0" t="n">
        <f aca="false">IF(ISBLANK(F964),"Missing",IFERROR(YEAR(F964),"Missing"))</f>
        <v>2023</v>
      </c>
      <c r="S964" s="0" t="str">
        <f aca="false">IF(ISBLANK(E964),"Missing",IF(E964&lt;6,"0-6mo",IF(E964&lt;12,"6-12mo",IF(E964&lt;24,"12-24mo","24mo+"))))</f>
        <v>0-6mo</v>
      </c>
      <c r="T964" s="0" t="n">
        <f aca="false">IF(ISBLANK(C964),0,IF(C964="Month-to-month",2,IF(C964="One year",1,0)))+IF(ISBLANK(I964),0,IF(I964&lt;40,2,IF(I964&lt;55,1,0)))+IF(ISBLANK(M964),0,IF(M964=1,3,0))+IF(ISBLANK(L964),0,IF(L964&gt;=2,1,0))+IF(ISBLANK(E964),0,IF(E964&lt;12,1,0))</f>
        <v>4</v>
      </c>
      <c r="U964" s="0" t="str">
        <f aca="false">IF((ISBLANK(B964)*1+ISBLANK(C964)*1+ISBLANK(D964)*1+ISBLANK(E964)*1+ISBLANK(F964)*1+ISBLANK(I964)*1+ISBLANK(J964)*1+ISBLANK(K964)*1+ISBLANK(L964)*1+ISBLANK(M964)*1+ISBLANK(N964)*1+ISBLANK(O964)*1)&gt;0,"Missing Data","OK")</f>
        <v>OK</v>
      </c>
      <c r="V964" s="0" t="str">
        <f aca="false">IF(T964&gt;=6,"High Risk",IF(T964&gt;=3,"Medium Risk","Low Risk"))</f>
        <v>Medium Risk</v>
      </c>
    </row>
    <row r="965" customFormat="false" ht="12.8" hidden="false" customHeight="false" outlineLevel="0" collapsed="false">
      <c r="A965" s="1" t="s">
        <v>995</v>
      </c>
      <c r="B965" s="1" t="s">
        <v>29</v>
      </c>
      <c r="C965" s="1" t="s">
        <v>24</v>
      </c>
      <c r="D965" s="1" t="n">
        <v>40.81</v>
      </c>
      <c r="E965" s="1" t="n">
        <v>1</v>
      </c>
      <c r="F965" s="4" t="n">
        <v>45091</v>
      </c>
      <c r="G965" s="1" t="s">
        <v>39</v>
      </c>
      <c r="H965" s="1" t="n">
        <v>0</v>
      </c>
      <c r="I965" s="1" t="n">
        <v>48.7</v>
      </c>
      <c r="J965" s="1" t="n">
        <v>17</v>
      </c>
      <c r="K965" s="1" t="n">
        <v>7</v>
      </c>
      <c r="L965" s="1" t="n">
        <v>1</v>
      </c>
      <c r="M965" s="1" t="n">
        <v>0</v>
      </c>
      <c r="N965" s="1" t="n">
        <v>40.81</v>
      </c>
      <c r="O965" s="1" t="n">
        <v>0</v>
      </c>
      <c r="Q965" s="4" t="n">
        <v>45121</v>
      </c>
      <c r="R965" s="0" t="n">
        <f aca="false">IF(ISBLANK(F965),"Missing",IFERROR(YEAR(F965),"Missing"))</f>
        <v>2023</v>
      </c>
      <c r="S965" s="0" t="str">
        <f aca="false">IF(ISBLANK(E965),"Missing",IF(E965&lt;6,"0-6mo",IF(E965&lt;12,"6-12mo",IF(E965&lt;24,"12-24mo","24mo+"))))</f>
        <v>0-6mo</v>
      </c>
      <c r="T965" s="0" t="n">
        <f aca="false">IF(ISBLANK(C965),0,IF(C965="Month-to-month",2,IF(C965="One year",1,0)))+IF(ISBLANK(I965),0,IF(I965&lt;40,2,IF(I965&lt;55,1,0)))+IF(ISBLANK(M965),0,IF(M965=1,3,0))+IF(ISBLANK(L965),0,IF(L965&gt;=2,1,0))+IF(ISBLANK(E965),0,IF(E965&lt;12,1,0))</f>
        <v>4</v>
      </c>
      <c r="U965" s="0" t="str">
        <f aca="false">IF((ISBLANK(B965)*1+ISBLANK(C965)*1+ISBLANK(D965)*1+ISBLANK(E965)*1+ISBLANK(F965)*1+ISBLANK(I965)*1+ISBLANK(J965)*1+ISBLANK(K965)*1+ISBLANK(L965)*1+ISBLANK(M965)*1+ISBLANK(N965)*1+ISBLANK(O965)*1)&gt;0,"Missing Data","OK")</f>
        <v>OK</v>
      </c>
      <c r="V965" s="0" t="str">
        <f aca="false">IF(T965&gt;=6,"High Risk",IF(T965&gt;=3,"Medium Risk","Low Risk"))</f>
        <v>Medium Risk</v>
      </c>
    </row>
    <row r="966" customFormat="false" ht="12.8" hidden="false" customHeight="false" outlineLevel="0" collapsed="false">
      <c r="A966" s="1" t="s">
        <v>996</v>
      </c>
      <c r="B966" s="1" t="s">
        <v>36</v>
      </c>
      <c r="C966" s="1" t="s">
        <v>34</v>
      </c>
      <c r="D966" s="1" t="n">
        <v>9.9</v>
      </c>
      <c r="E966" s="1" t="n">
        <v>6</v>
      </c>
      <c r="F966" s="4" t="n">
        <v>45092</v>
      </c>
      <c r="G966" s="1" t="s">
        <v>25</v>
      </c>
      <c r="H966" s="1" t="n">
        <v>1</v>
      </c>
      <c r="I966" s="1" t="n">
        <v>72.6</v>
      </c>
      <c r="J966" s="1" t="n">
        <v>21</v>
      </c>
      <c r="K966" s="1" t="n">
        <v>7</v>
      </c>
      <c r="L966" s="1" t="n">
        <v>2</v>
      </c>
      <c r="M966" s="1" t="n">
        <v>0</v>
      </c>
      <c r="N966" s="1" t="n">
        <v>59.4</v>
      </c>
      <c r="O966" s="1" t="n">
        <v>0</v>
      </c>
      <c r="Q966" s="4" t="n">
        <v>45274</v>
      </c>
      <c r="R966" s="0" t="n">
        <f aca="false">IF(ISBLANK(F966),"Missing",IFERROR(YEAR(F966),"Missing"))</f>
        <v>2023</v>
      </c>
      <c r="S966" s="0" t="str">
        <f aca="false">IF(ISBLANK(E966),"Missing",IF(E966&lt;6,"0-6mo",IF(E966&lt;12,"6-12mo",IF(E966&lt;24,"12-24mo","24mo+"))))</f>
        <v>6-12mo</v>
      </c>
      <c r="T966" s="0" t="n">
        <f aca="false">IF(ISBLANK(C966),0,IF(C966="Month-to-month",2,IF(C966="One year",1,0)))+IF(ISBLANK(I966),0,IF(I966&lt;40,2,IF(I966&lt;55,1,0)))+IF(ISBLANK(M966),0,IF(M966=1,3,0))+IF(ISBLANK(L966),0,IF(L966&gt;=2,1,0))+IF(ISBLANK(E966),0,IF(E966&lt;12,1,0))</f>
        <v>3</v>
      </c>
      <c r="U966" s="0" t="str">
        <f aca="false">IF((ISBLANK(B966)*1+ISBLANK(C966)*1+ISBLANK(D966)*1+ISBLANK(E966)*1+ISBLANK(F966)*1+ISBLANK(I966)*1+ISBLANK(J966)*1+ISBLANK(K966)*1+ISBLANK(L966)*1+ISBLANK(M966)*1+ISBLANK(N966)*1+ISBLANK(O966)*1)&gt;0,"Missing Data","OK")</f>
        <v>OK</v>
      </c>
      <c r="V966" s="0" t="str">
        <f aca="false">IF(T966&gt;=6,"High Risk",IF(T966&gt;=3,"Medium Risk","Low Risk"))</f>
        <v>Medium Risk</v>
      </c>
    </row>
    <row r="967" customFormat="false" ht="12.8" hidden="false" customHeight="false" outlineLevel="0" collapsed="false">
      <c r="A967" s="1" t="s">
        <v>997</v>
      </c>
      <c r="B967" s="1" t="s">
        <v>36</v>
      </c>
      <c r="C967" s="1" t="s">
        <v>34</v>
      </c>
      <c r="D967" s="1" t="n">
        <v>11.03</v>
      </c>
      <c r="E967" s="1" t="n">
        <v>29</v>
      </c>
      <c r="F967" s="4" t="n">
        <v>45092</v>
      </c>
      <c r="G967" s="1" t="s">
        <v>27</v>
      </c>
      <c r="H967" s="1" t="n">
        <v>0</v>
      </c>
      <c r="I967" s="1" t="n">
        <v>23.9</v>
      </c>
      <c r="J967" s="1" t="n">
        <v>8</v>
      </c>
      <c r="K967" s="1" t="n">
        <v>1</v>
      </c>
      <c r="L967" s="1" t="n">
        <v>2</v>
      </c>
      <c r="M967" s="1" t="n">
        <v>1</v>
      </c>
      <c r="N967" s="1" t="n">
        <v>319.87</v>
      </c>
      <c r="O967" s="1" t="n">
        <v>0</v>
      </c>
      <c r="Q967" s="4" t="n">
        <v>45974</v>
      </c>
      <c r="R967" s="0" t="n">
        <f aca="false">IF(ISBLANK(F967),"Missing",IFERROR(YEAR(F967),"Missing"))</f>
        <v>2023</v>
      </c>
      <c r="S967" s="0" t="str">
        <f aca="false">IF(ISBLANK(E967),"Missing",IF(E967&lt;6,"0-6mo",IF(E967&lt;12,"6-12mo",IF(E967&lt;24,"12-24mo","24mo+"))))</f>
        <v>24mo+</v>
      </c>
      <c r="T967" s="0" t="n">
        <f aca="false">IF(ISBLANK(C967),0,IF(C967="Month-to-month",2,IF(C967="One year",1,0)))+IF(ISBLANK(I967),0,IF(I967&lt;40,2,IF(I967&lt;55,1,0)))+IF(ISBLANK(M967),0,IF(M967=1,3,0))+IF(ISBLANK(L967),0,IF(L967&gt;=2,1,0))+IF(ISBLANK(E967),0,IF(E967&lt;12,1,0))</f>
        <v>7</v>
      </c>
      <c r="U967" s="0" t="str">
        <f aca="false">IF((ISBLANK(B967)*1+ISBLANK(C967)*1+ISBLANK(D967)*1+ISBLANK(E967)*1+ISBLANK(F967)*1+ISBLANK(I967)*1+ISBLANK(J967)*1+ISBLANK(K967)*1+ISBLANK(L967)*1+ISBLANK(M967)*1+ISBLANK(N967)*1+ISBLANK(O967)*1)&gt;0,"Missing Data","OK")</f>
        <v>OK</v>
      </c>
      <c r="V967" s="0" t="str">
        <f aca="false">IF(T967&gt;=6,"High Risk",IF(T967&gt;=3,"Medium Risk","Low Risk"))</f>
        <v>High Risk</v>
      </c>
    </row>
    <row r="968" customFormat="false" ht="12.8" hidden="false" customHeight="false" outlineLevel="0" collapsed="false">
      <c r="A968" s="1" t="s">
        <v>998</v>
      </c>
      <c r="B968" s="1" t="s">
        <v>29</v>
      </c>
      <c r="C968" s="1" t="s">
        <v>24</v>
      </c>
      <c r="D968" s="1" t="n">
        <v>40.03</v>
      </c>
      <c r="E968" s="1" t="n">
        <v>39</v>
      </c>
      <c r="F968" s="4" t="n">
        <v>45092</v>
      </c>
      <c r="G968" s="1" t="s">
        <v>39</v>
      </c>
      <c r="H968" s="1" t="n">
        <v>0</v>
      </c>
      <c r="I968" s="1" t="n">
        <v>39.5</v>
      </c>
      <c r="J968" s="1" t="n">
        <v>16</v>
      </c>
      <c r="K968" s="1" t="n">
        <v>1</v>
      </c>
      <c r="L968" s="1" t="n">
        <v>4</v>
      </c>
      <c r="M968" s="1" t="n">
        <v>0</v>
      </c>
      <c r="N968" s="1" t="n">
        <v>1561.17</v>
      </c>
      <c r="O968" s="1" t="n">
        <v>1</v>
      </c>
      <c r="P968" s="4" t="n">
        <v>46279</v>
      </c>
      <c r="Q968" s="4" t="n">
        <v>46279</v>
      </c>
      <c r="R968" s="0" t="n">
        <f aca="false">IF(ISBLANK(F968),"Missing",IFERROR(YEAR(F968),"Missing"))</f>
        <v>2023</v>
      </c>
      <c r="S968" s="0" t="str">
        <f aca="false">IF(ISBLANK(E968),"Missing",IF(E968&lt;6,"0-6mo",IF(E968&lt;12,"6-12mo",IF(E968&lt;24,"12-24mo","24mo+"))))</f>
        <v>24mo+</v>
      </c>
      <c r="T968" s="0" t="n">
        <f aca="false">IF(ISBLANK(C968),0,IF(C968="Month-to-month",2,IF(C968="One year",1,0)))+IF(ISBLANK(I968),0,IF(I968&lt;40,2,IF(I968&lt;55,1,0)))+IF(ISBLANK(M968),0,IF(M968=1,3,0))+IF(ISBLANK(L968),0,IF(L968&gt;=2,1,0))+IF(ISBLANK(E968),0,IF(E968&lt;12,1,0))</f>
        <v>5</v>
      </c>
      <c r="U968" s="0" t="str">
        <f aca="false">IF((ISBLANK(B968)*1+ISBLANK(C968)*1+ISBLANK(D968)*1+ISBLANK(E968)*1+ISBLANK(F968)*1+ISBLANK(I968)*1+ISBLANK(J968)*1+ISBLANK(K968)*1+ISBLANK(L968)*1+ISBLANK(M968)*1+ISBLANK(N968)*1+ISBLANK(O968)*1)&gt;0,"Missing Data","OK")</f>
        <v>OK</v>
      </c>
      <c r="V968" s="0" t="str">
        <f aca="false">IF(T968&gt;=6,"High Risk",IF(T968&gt;=3,"Medium Risk","Low Risk"))</f>
        <v>Medium Risk</v>
      </c>
    </row>
    <row r="969" customFormat="false" ht="12.8" hidden="false" customHeight="false" outlineLevel="0" collapsed="false">
      <c r="A969" s="1" t="s">
        <v>999</v>
      </c>
      <c r="B969" s="1" t="s">
        <v>29</v>
      </c>
      <c r="C969" s="1" t="s">
        <v>51</v>
      </c>
      <c r="D969" s="1" t="n">
        <v>39.41</v>
      </c>
      <c r="E969" s="1" t="n">
        <v>28</v>
      </c>
      <c r="F969" s="4" t="n">
        <v>45093</v>
      </c>
      <c r="G969" s="1" t="s">
        <v>27</v>
      </c>
      <c r="H969" s="1" t="n">
        <v>1</v>
      </c>
      <c r="I969" s="1" t="n">
        <v>47.2</v>
      </c>
      <c r="J969" s="1" t="n">
        <v>19</v>
      </c>
      <c r="K969" s="1" t="n">
        <v>4</v>
      </c>
      <c r="L969" s="1" t="n">
        <v>0</v>
      </c>
      <c r="M969" s="1" t="n">
        <v>0</v>
      </c>
      <c r="N969" s="1" t="n">
        <v>1103.48</v>
      </c>
      <c r="O969" s="1" t="n">
        <v>0</v>
      </c>
      <c r="Q969" s="4" t="n">
        <v>45945</v>
      </c>
      <c r="R969" s="0" t="n">
        <f aca="false">IF(ISBLANK(F969),"Missing",IFERROR(YEAR(F969),"Missing"))</f>
        <v>2023</v>
      </c>
      <c r="S969" s="0" t="str">
        <f aca="false">IF(ISBLANK(E969),"Missing",IF(E969&lt;6,"0-6mo",IF(E969&lt;12,"6-12mo",IF(E969&lt;24,"12-24mo","24mo+"))))</f>
        <v>24mo+</v>
      </c>
      <c r="T969" s="0" t="n">
        <f aca="false">IF(ISBLANK(C969),0,IF(C969="Month-to-month",2,IF(C969="One year",1,0)))+IF(ISBLANK(I969),0,IF(I969&lt;40,2,IF(I969&lt;55,1,0)))+IF(ISBLANK(M969),0,IF(M969=1,3,0))+IF(ISBLANK(L969),0,IF(L969&gt;=2,1,0))+IF(ISBLANK(E969),0,IF(E969&lt;12,1,0))</f>
        <v>1</v>
      </c>
      <c r="U969" s="0" t="str">
        <f aca="false">IF((ISBLANK(B969)*1+ISBLANK(C969)*1+ISBLANK(D969)*1+ISBLANK(E969)*1+ISBLANK(F969)*1+ISBLANK(I969)*1+ISBLANK(J969)*1+ISBLANK(K969)*1+ISBLANK(L969)*1+ISBLANK(M969)*1+ISBLANK(N969)*1+ISBLANK(O969)*1)&gt;0,"Missing Data","OK")</f>
        <v>OK</v>
      </c>
      <c r="V969" s="0" t="str">
        <f aca="false">IF(T969&gt;=6,"High Risk",IF(T969&gt;=3,"Medium Risk","Low Risk"))</f>
        <v>Low Risk</v>
      </c>
    </row>
    <row r="970" customFormat="false" ht="12.8" hidden="false" customHeight="false" outlineLevel="0" collapsed="false">
      <c r="A970" s="1" t="s">
        <v>1000</v>
      </c>
      <c r="B970" s="1" t="s">
        <v>36</v>
      </c>
      <c r="C970" s="1" t="s">
        <v>24</v>
      </c>
      <c r="D970" s="1" t="n">
        <v>10.03</v>
      </c>
      <c r="E970" s="1" t="n">
        <v>6</v>
      </c>
      <c r="F970" s="4" t="n">
        <v>45097</v>
      </c>
      <c r="G970" s="1" t="s">
        <v>25</v>
      </c>
      <c r="H970" s="1" t="n">
        <v>1</v>
      </c>
      <c r="I970" s="1" t="n">
        <v>59.7</v>
      </c>
      <c r="J970" s="1" t="n">
        <v>25</v>
      </c>
      <c r="K970" s="1" t="n">
        <v>6</v>
      </c>
      <c r="L970" s="1" t="n">
        <v>0</v>
      </c>
      <c r="M970" s="1" t="n">
        <v>0</v>
      </c>
      <c r="N970" s="1" t="n">
        <v>60.18</v>
      </c>
      <c r="O970" s="1" t="n">
        <v>1</v>
      </c>
      <c r="P970" s="4" t="n">
        <v>45279</v>
      </c>
      <c r="Q970" s="4" t="n">
        <v>45279</v>
      </c>
      <c r="R970" s="0" t="n">
        <f aca="false">IF(ISBLANK(F970),"Missing",IFERROR(YEAR(F970),"Missing"))</f>
        <v>2023</v>
      </c>
      <c r="S970" s="0" t="str">
        <f aca="false">IF(ISBLANK(E970),"Missing",IF(E970&lt;6,"0-6mo",IF(E970&lt;12,"6-12mo",IF(E970&lt;24,"12-24mo","24mo+"))))</f>
        <v>6-12mo</v>
      </c>
      <c r="T970" s="0" t="n">
        <f aca="false">IF(ISBLANK(C970),0,IF(C970="Month-to-month",2,IF(C970="One year",1,0)))+IF(ISBLANK(I970),0,IF(I970&lt;40,2,IF(I970&lt;55,1,0)))+IF(ISBLANK(M970),0,IF(M970=1,3,0))+IF(ISBLANK(L970),0,IF(L970&gt;=2,1,0))+IF(ISBLANK(E970),0,IF(E970&lt;12,1,0))</f>
        <v>3</v>
      </c>
      <c r="U970" s="0" t="str">
        <f aca="false">IF((ISBLANK(B970)*1+ISBLANK(C970)*1+ISBLANK(D970)*1+ISBLANK(E970)*1+ISBLANK(F970)*1+ISBLANK(I970)*1+ISBLANK(J970)*1+ISBLANK(K970)*1+ISBLANK(L970)*1+ISBLANK(M970)*1+ISBLANK(N970)*1+ISBLANK(O970)*1)&gt;0,"Missing Data","OK")</f>
        <v>OK</v>
      </c>
      <c r="V970" s="0" t="str">
        <f aca="false">IF(T970&gt;=6,"High Risk",IF(T970&gt;=3,"Medium Risk","Low Risk"))</f>
        <v>Medium Risk</v>
      </c>
    </row>
    <row r="971" customFormat="false" ht="12.8" hidden="false" customHeight="false" outlineLevel="0" collapsed="false">
      <c r="A971" s="1" t="s">
        <v>1001</v>
      </c>
      <c r="B971" s="1" t="s">
        <v>29</v>
      </c>
      <c r="C971" s="1" t="s">
        <v>34</v>
      </c>
      <c r="D971" s="1" t="n">
        <v>40.73</v>
      </c>
      <c r="E971" s="1" t="n">
        <v>72</v>
      </c>
      <c r="F971" s="4" t="n">
        <v>45097</v>
      </c>
      <c r="G971" s="1" t="s">
        <v>39</v>
      </c>
      <c r="H971" s="1" t="n">
        <v>0</v>
      </c>
      <c r="I971" s="1" t="n">
        <v>57.4</v>
      </c>
      <c r="J971" s="1" t="n">
        <v>22</v>
      </c>
      <c r="K971" s="1" t="n">
        <v>8</v>
      </c>
      <c r="L971" s="1" t="n">
        <v>0</v>
      </c>
      <c r="M971" s="1" t="n">
        <v>0</v>
      </c>
      <c r="N971" s="1" t="n">
        <v>2932.56</v>
      </c>
      <c r="O971" s="1" t="n">
        <v>0</v>
      </c>
      <c r="Q971" s="4" t="n">
        <v>46293</v>
      </c>
      <c r="R971" s="0" t="n">
        <f aca="false">IF(ISBLANK(F971),"Missing",IFERROR(YEAR(F971),"Missing"))</f>
        <v>2023</v>
      </c>
      <c r="S971" s="0" t="str">
        <f aca="false">IF(ISBLANK(E971),"Missing",IF(E971&lt;6,"0-6mo",IF(E971&lt;12,"6-12mo",IF(E971&lt;24,"12-24mo","24mo+"))))</f>
        <v>24mo+</v>
      </c>
      <c r="T971" s="0" t="n">
        <f aca="false">IF(ISBLANK(C971),0,IF(C971="Month-to-month",2,IF(C971="One year",1,0)))+IF(ISBLANK(I971),0,IF(I971&lt;40,2,IF(I971&lt;55,1,0)))+IF(ISBLANK(M971),0,IF(M971=1,3,0))+IF(ISBLANK(L971),0,IF(L971&gt;=2,1,0))+IF(ISBLANK(E971),0,IF(E971&lt;12,1,0))</f>
        <v>1</v>
      </c>
      <c r="U971" s="0" t="str">
        <f aca="false">IF((ISBLANK(B971)*1+ISBLANK(C971)*1+ISBLANK(D971)*1+ISBLANK(E971)*1+ISBLANK(F971)*1+ISBLANK(I971)*1+ISBLANK(J971)*1+ISBLANK(K971)*1+ISBLANK(L971)*1+ISBLANK(M971)*1+ISBLANK(N971)*1+ISBLANK(O971)*1)&gt;0,"Missing Data","OK")</f>
        <v>OK</v>
      </c>
      <c r="V971" s="0" t="str">
        <f aca="false">IF(T971&gt;=6,"High Risk",IF(T971&gt;=3,"Medium Risk","Low Risk"))</f>
        <v>Low Risk</v>
      </c>
    </row>
    <row r="972" customFormat="false" ht="12.8" hidden="false" customHeight="false" outlineLevel="0" collapsed="false">
      <c r="A972" s="1" t="s">
        <v>1002</v>
      </c>
      <c r="B972" s="1" t="s">
        <v>29</v>
      </c>
      <c r="C972" s="1" t="s">
        <v>24</v>
      </c>
      <c r="D972" s="1" t="n">
        <v>41.93</v>
      </c>
      <c r="E972" s="1" t="n">
        <v>72</v>
      </c>
      <c r="F972" s="4" t="n">
        <v>45097</v>
      </c>
      <c r="G972" s="1" t="s">
        <v>25</v>
      </c>
      <c r="H972" s="1" t="n">
        <v>1</v>
      </c>
      <c r="I972" s="1" t="n">
        <v>65.2</v>
      </c>
      <c r="J972" s="1" t="n">
        <v>23</v>
      </c>
      <c r="K972" s="1" t="n">
        <v>6</v>
      </c>
      <c r="L972" s="1" t="n">
        <v>2</v>
      </c>
      <c r="M972" s="1" t="n">
        <v>0</v>
      </c>
      <c r="N972" s="1" t="n">
        <v>3018.96</v>
      </c>
      <c r="O972" s="1" t="n">
        <v>0</v>
      </c>
      <c r="Q972" s="4" t="n">
        <v>46293</v>
      </c>
      <c r="R972" s="0" t="n">
        <f aca="false">IF(ISBLANK(F972),"Missing",IFERROR(YEAR(F972),"Missing"))</f>
        <v>2023</v>
      </c>
      <c r="S972" s="0" t="str">
        <f aca="false">IF(ISBLANK(E972),"Missing",IF(E972&lt;6,"0-6mo",IF(E972&lt;12,"6-12mo",IF(E972&lt;24,"12-24mo","24mo+"))))</f>
        <v>24mo+</v>
      </c>
      <c r="T972" s="0" t="n">
        <f aca="false">IF(ISBLANK(C972),0,IF(C972="Month-to-month",2,IF(C972="One year",1,0)))+IF(ISBLANK(I972),0,IF(I972&lt;40,2,IF(I972&lt;55,1,0)))+IF(ISBLANK(M972),0,IF(M972=1,3,0))+IF(ISBLANK(L972),0,IF(L972&gt;=2,1,0))+IF(ISBLANK(E972),0,IF(E972&lt;12,1,0))</f>
        <v>3</v>
      </c>
      <c r="U972" s="0" t="str">
        <f aca="false">IF((ISBLANK(B972)*1+ISBLANK(C972)*1+ISBLANK(D972)*1+ISBLANK(E972)*1+ISBLANK(F972)*1+ISBLANK(I972)*1+ISBLANK(J972)*1+ISBLANK(K972)*1+ISBLANK(L972)*1+ISBLANK(M972)*1+ISBLANK(N972)*1+ISBLANK(O972)*1)&gt;0,"Missing Data","OK")</f>
        <v>OK</v>
      </c>
      <c r="V972" s="0" t="str">
        <f aca="false">IF(T972&gt;=6,"High Risk",IF(T972&gt;=3,"Medium Risk","Low Risk"))</f>
        <v>Medium Risk</v>
      </c>
    </row>
    <row r="973" customFormat="false" ht="12.8" hidden="false" customHeight="false" outlineLevel="0" collapsed="false">
      <c r="A973" s="1" t="s">
        <v>1003</v>
      </c>
      <c r="B973" s="1" t="s">
        <v>23</v>
      </c>
      <c r="C973" s="1" t="s">
        <v>34</v>
      </c>
      <c r="D973" s="1" t="n">
        <v>19.55</v>
      </c>
      <c r="E973" s="1" t="n">
        <v>4</v>
      </c>
      <c r="F973" s="4" t="n">
        <v>45099</v>
      </c>
      <c r="G973" s="1" t="s">
        <v>25</v>
      </c>
      <c r="H973" s="1" t="n">
        <v>1</v>
      </c>
      <c r="I973" s="1" t="n">
        <v>53.3</v>
      </c>
      <c r="J973" s="1" t="n">
        <v>14</v>
      </c>
      <c r="K973" s="1" t="n">
        <v>6</v>
      </c>
      <c r="L973" s="1" t="n">
        <v>1</v>
      </c>
      <c r="M973" s="1" t="n">
        <v>0</v>
      </c>
      <c r="N973" s="1" t="n">
        <v>78.2</v>
      </c>
      <c r="O973" s="1" t="n">
        <v>0</v>
      </c>
      <c r="Q973" s="4" t="n">
        <v>45220</v>
      </c>
      <c r="R973" s="0" t="n">
        <f aca="false">IF(ISBLANK(F973),"Missing",IFERROR(YEAR(F973),"Missing"))</f>
        <v>2023</v>
      </c>
      <c r="S973" s="0" t="str">
        <f aca="false">IF(ISBLANK(E973),"Missing",IF(E973&lt;6,"0-6mo",IF(E973&lt;12,"6-12mo",IF(E973&lt;24,"12-24mo","24mo+"))))</f>
        <v>0-6mo</v>
      </c>
      <c r="T973" s="0" t="n">
        <f aca="false">IF(ISBLANK(C973),0,IF(C973="Month-to-month",2,IF(C973="One year",1,0)))+IF(ISBLANK(I973),0,IF(I973&lt;40,2,IF(I973&lt;55,1,0)))+IF(ISBLANK(M973),0,IF(M973=1,3,0))+IF(ISBLANK(L973),0,IF(L973&gt;=2,1,0))+IF(ISBLANK(E973),0,IF(E973&lt;12,1,0))</f>
        <v>3</v>
      </c>
      <c r="U973" s="0" t="str">
        <f aca="false">IF((ISBLANK(B973)*1+ISBLANK(C973)*1+ISBLANK(D973)*1+ISBLANK(E973)*1+ISBLANK(F973)*1+ISBLANK(I973)*1+ISBLANK(J973)*1+ISBLANK(K973)*1+ISBLANK(L973)*1+ISBLANK(M973)*1+ISBLANK(N973)*1+ISBLANK(O973)*1)&gt;0,"Missing Data","OK")</f>
        <v>OK</v>
      </c>
      <c r="V973" s="0" t="str">
        <f aca="false">IF(T973&gt;=6,"High Risk",IF(T973&gt;=3,"Medium Risk","Low Risk"))</f>
        <v>Medium Risk</v>
      </c>
    </row>
    <row r="974" customFormat="false" ht="12.8" hidden="false" customHeight="false" outlineLevel="0" collapsed="false">
      <c r="A974" s="1" t="s">
        <v>1004</v>
      </c>
      <c r="B974" s="1" t="s">
        <v>23</v>
      </c>
      <c r="C974" s="1" t="s">
        <v>24</v>
      </c>
      <c r="D974" s="1" t="n">
        <v>21.72</v>
      </c>
      <c r="E974" s="1" t="n">
        <v>61</v>
      </c>
      <c r="F974" s="4" t="n">
        <v>45100</v>
      </c>
      <c r="G974" s="1" t="s">
        <v>39</v>
      </c>
      <c r="H974" s="1" t="n">
        <v>1</v>
      </c>
      <c r="I974" s="1" t="n">
        <v>47.6</v>
      </c>
      <c r="J974" s="1" t="n">
        <v>7</v>
      </c>
      <c r="K974" s="1" t="n">
        <v>6</v>
      </c>
      <c r="L974" s="1" t="n">
        <v>3</v>
      </c>
      <c r="M974" s="1" t="n">
        <v>1</v>
      </c>
      <c r="N974" s="1" t="n">
        <v>1324.92</v>
      </c>
      <c r="O974" s="1" t="n">
        <v>0</v>
      </c>
      <c r="Q974" s="4" t="n">
        <v>46293</v>
      </c>
      <c r="R974" s="0" t="n">
        <f aca="false">IF(ISBLANK(F974),"Missing",IFERROR(YEAR(F974),"Missing"))</f>
        <v>2023</v>
      </c>
      <c r="S974" s="0" t="str">
        <f aca="false">IF(ISBLANK(E974),"Missing",IF(E974&lt;6,"0-6mo",IF(E974&lt;12,"6-12mo",IF(E974&lt;24,"12-24mo","24mo+"))))</f>
        <v>24mo+</v>
      </c>
      <c r="T974" s="0" t="n">
        <f aca="false">IF(ISBLANK(C974),0,IF(C974="Month-to-month",2,IF(C974="One year",1,0)))+IF(ISBLANK(I974),0,IF(I974&lt;40,2,IF(I974&lt;55,1,0)))+IF(ISBLANK(M974),0,IF(M974=1,3,0))+IF(ISBLANK(L974),0,IF(L974&gt;=2,1,0))+IF(ISBLANK(E974),0,IF(E974&lt;12,1,0))</f>
        <v>7</v>
      </c>
      <c r="U974" s="0" t="str">
        <f aca="false">IF((ISBLANK(B974)*1+ISBLANK(C974)*1+ISBLANK(D974)*1+ISBLANK(E974)*1+ISBLANK(F974)*1+ISBLANK(I974)*1+ISBLANK(J974)*1+ISBLANK(K974)*1+ISBLANK(L974)*1+ISBLANK(M974)*1+ISBLANK(N974)*1+ISBLANK(O974)*1)&gt;0,"Missing Data","OK")</f>
        <v>OK</v>
      </c>
      <c r="V974" s="0" t="str">
        <f aca="false">IF(T974&gt;=6,"High Risk",IF(T974&gt;=3,"Medium Risk","Low Risk"))</f>
        <v>High Risk</v>
      </c>
    </row>
    <row r="975" customFormat="false" ht="12.8" hidden="false" customHeight="false" outlineLevel="0" collapsed="false">
      <c r="A975" s="1" t="s">
        <v>1005</v>
      </c>
      <c r="B975" s="1" t="s">
        <v>23</v>
      </c>
      <c r="C975" s="1" t="s">
        <v>34</v>
      </c>
      <c r="D975" s="1" t="n">
        <v>20.05</v>
      </c>
      <c r="E975" s="1" t="n">
        <v>8</v>
      </c>
      <c r="F975" s="4" t="n">
        <v>45101</v>
      </c>
      <c r="G975" s="1" t="s">
        <v>25</v>
      </c>
      <c r="H975" s="1" t="n">
        <v>1</v>
      </c>
      <c r="I975" s="1" t="n">
        <v>69.1</v>
      </c>
      <c r="J975" s="1" t="n">
        <v>22</v>
      </c>
      <c r="K975" s="1" t="n">
        <v>5</v>
      </c>
      <c r="L975" s="1" t="n">
        <v>2</v>
      </c>
      <c r="M975" s="1" t="n">
        <v>1</v>
      </c>
      <c r="N975" s="1" t="n">
        <v>160.4</v>
      </c>
      <c r="O975" s="1" t="n">
        <v>0</v>
      </c>
      <c r="Q975" s="4" t="n">
        <v>45344</v>
      </c>
      <c r="R975" s="0" t="n">
        <f aca="false">IF(ISBLANK(F975),"Missing",IFERROR(YEAR(F975),"Missing"))</f>
        <v>2023</v>
      </c>
      <c r="S975" s="0" t="str">
        <f aca="false">IF(ISBLANK(E975),"Missing",IF(E975&lt;6,"0-6mo",IF(E975&lt;12,"6-12mo",IF(E975&lt;24,"12-24mo","24mo+"))))</f>
        <v>6-12mo</v>
      </c>
      <c r="T975" s="0" t="n">
        <f aca="false">IF(ISBLANK(C975),0,IF(C975="Month-to-month",2,IF(C975="One year",1,0)))+IF(ISBLANK(I975),0,IF(I975&lt;40,2,IF(I975&lt;55,1,0)))+IF(ISBLANK(M975),0,IF(M975=1,3,0))+IF(ISBLANK(L975),0,IF(L975&gt;=2,1,0))+IF(ISBLANK(E975),0,IF(E975&lt;12,1,0))</f>
        <v>6</v>
      </c>
      <c r="U975" s="0" t="str">
        <f aca="false">IF((ISBLANK(B975)*1+ISBLANK(C975)*1+ISBLANK(D975)*1+ISBLANK(E975)*1+ISBLANK(F975)*1+ISBLANK(I975)*1+ISBLANK(J975)*1+ISBLANK(K975)*1+ISBLANK(L975)*1+ISBLANK(M975)*1+ISBLANK(N975)*1+ISBLANK(O975)*1)&gt;0,"Missing Data","OK")</f>
        <v>OK</v>
      </c>
      <c r="V975" s="0" t="str">
        <f aca="false">IF(T975&gt;=6,"High Risk",IF(T975&gt;=3,"Medium Risk","Low Risk"))</f>
        <v>High Risk</v>
      </c>
    </row>
    <row r="976" customFormat="false" ht="12.8" hidden="false" customHeight="false" outlineLevel="0" collapsed="false">
      <c r="A976" s="1" t="s">
        <v>1006</v>
      </c>
      <c r="B976" s="1" t="s">
        <v>36</v>
      </c>
      <c r="C976" s="1" t="s">
        <v>34</v>
      </c>
      <c r="D976" s="1" t="n">
        <v>8.22</v>
      </c>
      <c r="E976" s="1" t="n">
        <v>23</v>
      </c>
      <c r="F976" s="4" t="n">
        <v>45101</v>
      </c>
      <c r="G976" s="1" t="s">
        <v>25</v>
      </c>
      <c r="H976" s="1" t="n">
        <v>1</v>
      </c>
      <c r="I976" s="1" t="n">
        <v>28.6</v>
      </c>
      <c r="J976" s="1" t="n">
        <v>11</v>
      </c>
      <c r="K976" s="1" t="n">
        <v>2</v>
      </c>
      <c r="L976" s="1" t="n">
        <v>2</v>
      </c>
      <c r="M976" s="1" t="n">
        <v>1</v>
      </c>
      <c r="N976" s="1" t="n">
        <v>189.06</v>
      </c>
      <c r="O976" s="1" t="n">
        <v>0</v>
      </c>
      <c r="Q976" s="4" t="n">
        <v>45801</v>
      </c>
      <c r="R976" s="0" t="n">
        <f aca="false">IF(ISBLANK(F976),"Missing",IFERROR(YEAR(F976),"Missing"))</f>
        <v>2023</v>
      </c>
      <c r="S976" s="0" t="str">
        <f aca="false">IF(ISBLANK(E976),"Missing",IF(E976&lt;6,"0-6mo",IF(E976&lt;12,"6-12mo",IF(E976&lt;24,"12-24mo","24mo+"))))</f>
        <v>12-24mo</v>
      </c>
      <c r="T976" s="0" t="n">
        <f aca="false">IF(ISBLANK(C976),0,IF(C976="Month-to-month",2,IF(C976="One year",1,0)))+IF(ISBLANK(I976),0,IF(I976&lt;40,2,IF(I976&lt;55,1,0)))+IF(ISBLANK(M976),0,IF(M976=1,3,0))+IF(ISBLANK(L976),0,IF(L976&gt;=2,1,0))+IF(ISBLANK(E976),0,IF(E976&lt;12,1,0))</f>
        <v>7</v>
      </c>
      <c r="U976" s="0" t="str">
        <f aca="false">IF((ISBLANK(B976)*1+ISBLANK(C976)*1+ISBLANK(D976)*1+ISBLANK(E976)*1+ISBLANK(F976)*1+ISBLANK(I976)*1+ISBLANK(J976)*1+ISBLANK(K976)*1+ISBLANK(L976)*1+ISBLANK(M976)*1+ISBLANK(N976)*1+ISBLANK(O976)*1)&gt;0,"Missing Data","OK")</f>
        <v>OK</v>
      </c>
      <c r="V976" s="0" t="str">
        <f aca="false">IF(T976&gt;=6,"High Risk",IF(T976&gt;=3,"Medium Risk","Low Risk"))</f>
        <v>High Risk</v>
      </c>
    </row>
    <row r="977" customFormat="false" ht="12.8" hidden="false" customHeight="false" outlineLevel="0" collapsed="false">
      <c r="A977" s="1" t="s">
        <v>1007</v>
      </c>
      <c r="B977" s="1" t="s">
        <v>23</v>
      </c>
      <c r="C977" s="1" t="s">
        <v>24</v>
      </c>
      <c r="D977" s="1" t="n">
        <v>19.44</v>
      </c>
      <c r="E977" s="1" t="n">
        <v>15</v>
      </c>
      <c r="F977" s="4" t="n">
        <v>45102</v>
      </c>
      <c r="G977" s="1" t="s">
        <v>25</v>
      </c>
      <c r="H977" s="1" t="n">
        <v>0</v>
      </c>
      <c r="I977" s="1" t="n">
        <v>57.3</v>
      </c>
      <c r="J977" s="1" t="n">
        <v>23</v>
      </c>
      <c r="K977" s="1" t="n">
        <v>7</v>
      </c>
      <c r="L977" s="1" t="n">
        <v>1</v>
      </c>
      <c r="M977" s="1" t="n">
        <v>0</v>
      </c>
      <c r="N977" s="1" t="n">
        <v>291.6</v>
      </c>
      <c r="O977" s="1" t="n">
        <v>0</v>
      </c>
      <c r="Q977" s="4" t="n">
        <v>45558</v>
      </c>
      <c r="R977" s="0" t="n">
        <f aca="false">IF(ISBLANK(F977),"Missing",IFERROR(YEAR(F977),"Missing"))</f>
        <v>2023</v>
      </c>
      <c r="S977" s="0" t="str">
        <f aca="false">IF(ISBLANK(E977),"Missing",IF(E977&lt;6,"0-6mo",IF(E977&lt;12,"6-12mo",IF(E977&lt;24,"12-24mo","24mo+"))))</f>
        <v>12-24mo</v>
      </c>
      <c r="T977" s="0" t="n">
        <f aca="false">IF(ISBLANK(C977),0,IF(C977="Month-to-month",2,IF(C977="One year",1,0)))+IF(ISBLANK(I977),0,IF(I977&lt;40,2,IF(I977&lt;55,1,0)))+IF(ISBLANK(M977),0,IF(M977=1,3,0))+IF(ISBLANK(L977),0,IF(L977&gt;=2,1,0))+IF(ISBLANK(E977),0,IF(E977&lt;12,1,0))</f>
        <v>2</v>
      </c>
      <c r="U977" s="0" t="str">
        <f aca="false">IF((ISBLANK(B977)*1+ISBLANK(C977)*1+ISBLANK(D977)*1+ISBLANK(E977)*1+ISBLANK(F977)*1+ISBLANK(I977)*1+ISBLANK(J977)*1+ISBLANK(K977)*1+ISBLANK(L977)*1+ISBLANK(M977)*1+ISBLANK(N977)*1+ISBLANK(O977)*1)&gt;0,"Missing Data","OK")</f>
        <v>OK</v>
      </c>
      <c r="V977" s="0" t="str">
        <f aca="false">IF(T977&gt;=6,"High Risk",IF(T977&gt;=3,"Medium Risk","Low Risk"))</f>
        <v>Low Risk</v>
      </c>
    </row>
    <row r="978" customFormat="false" ht="12.8" hidden="false" customHeight="false" outlineLevel="0" collapsed="false">
      <c r="A978" s="1" t="s">
        <v>1008</v>
      </c>
      <c r="B978" s="1" t="s">
        <v>23</v>
      </c>
      <c r="C978" s="1" t="s">
        <v>24</v>
      </c>
      <c r="D978" s="1" t="n">
        <v>19.32</v>
      </c>
      <c r="E978" s="1" t="n">
        <v>72</v>
      </c>
      <c r="F978" s="4" t="n">
        <v>45103</v>
      </c>
      <c r="G978" s="1" t="s">
        <v>39</v>
      </c>
      <c r="H978" s="1" t="n">
        <v>1</v>
      </c>
      <c r="I978" s="1" t="n">
        <v>44.2</v>
      </c>
      <c r="J978" s="1" t="n">
        <v>17</v>
      </c>
      <c r="K978" s="1" t="n">
        <v>3</v>
      </c>
      <c r="L978" s="1" t="n">
        <v>1</v>
      </c>
      <c r="M978" s="1" t="n">
        <v>0</v>
      </c>
      <c r="N978" s="1" t="n">
        <v>1391.04</v>
      </c>
      <c r="O978" s="1" t="n">
        <v>0</v>
      </c>
      <c r="Q978" s="4" t="n">
        <v>46293</v>
      </c>
      <c r="R978" s="0" t="n">
        <f aca="false">IF(ISBLANK(F978),"Missing",IFERROR(YEAR(F978),"Missing"))</f>
        <v>2023</v>
      </c>
      <c r="S978" s="0" t="str">
        <f aca="false">IF(ISBLANK(E978),"Missing",IF(E978&lt;6,"0-6mo",IF(E978&lt;12,"6-12mo",IF(E978&lt;24,"12-24mo","24mo+"))))</f>
        <v>24mo+</v>
      </c>
      <c r="T978" s="0" t="n">
        <f aca="false">IF(ISBLANK(C978),0,IF(C978="Month-to-month",2,IF(C978="One year",1,0)))+IF(ISBLANK(I978),0,IF(I978&lt;40,2,IF(I978&lt;55,1,0)))+IF(ISBLANK(M978),0,IF(M978=1,3,0))+IF(ISBLANK(L978),0,IF(L978&gt;=2,1,0))+IF(ISBLANK(E978),0,IF(E978&lt;12,1,0))</f>
        <v>3</v>
      </c>
      <c r="U978" s="0" t="str">
        <f aca="false">IF((ISBLANK(B978)*1+ISBLANK(C978)*1+ISBLANK(D978)*1+ISBLANK(E978)*1+ISBLANK(F978)*1+ISBLANK(I978)*1+ISBLANK(J978)*1+ISBLANK(K978)*1+ISBLANK(L978)*1+ISBLANK(M978)*1+ISBLANK(N978)*1+ISBLANK(O978)*1)&gt;0,"Missing Data","OK")</f>
        <v>OK</v>
      </c>
      <c r="V978" s="0" t="str">
        <f aca="false">IF(T978&gt;=6,"High Risk",IF(T978&gt;=3,"Medium Risk","Low Risk"))</f>
        <v>Medium Risk</v>
      </c>
    </row>
    <row r="979" customFormat="false" ht="12.8" hidden="false" customHeight="false" outlineLevel="0" collapsed="false">
      <c r="A979" s="1" t="s">
        <v>1009</v>
      </c>
      <c r="B979" s="1" t="s">
        <v>23</v>
      </c>
      <c r="C979" s="1" t="s">
        <v>34</v>
      </c>
      <c r="D979" s="1" t="n">
        <v>21.66</v>
      </c>
      <c r="E979" s="1" t="n">
        <v>0</v>
      </c>
      <c r="F979" s="4" t="n">
        <v>45103</v>
      </c>
      <c r="G979" s="1" t="s">
        <v>25</v>
      </c>
      <c r="H979" s="1" t="n">
        <v>0</v>
      </c>
      <c r="I979" s="1" t="n">
        <v>80.4</v>
      </c>
      <c r="J979" s="1" t="n">
        <v>25</v>
      </c>
      <c r="K979" s="1" t="n">
        <v>8</v>
      </c>
      <c r="L979" s="1" t="n">
        <v>0</v>
      </c>
      <c r="M979" s="1" t="n">
        <v>0</v>
      </c>
      <c r="N979" s="1" t="n">
        <v>0</v>
      </c>
      <c r="O979" s="1" t="n">
        <v>0</v>
      </c>
      <c r="Q979" s="4" t="n">
        <v>45103</v>
      </c>
      <c r="R979" s="0" t="n">
        <f aca="false">IF(ISBLANK(F979),"Missing",IFERROR(YEAR(F979),"Missing"))</f>
        <v>2023</v>
      </c>
      <c r="S979" s="0" t="str">
        <f aca="false">IF(ISBLANK(E979),"Missing",IF(E979&lt;6,"0-6mo",IF(E979&lt;12,"6-12mo",IF(E979&lt;24,"12-24mo","24mo+"))))</f>
        <v>0-6mo</v>
      </c>
      <c r="T979" s="0" t="n">
        <f aca="false">IF(ISBLANK(C979),0,IF(C979="Month-to-month",2,IF(C979="One year",1,0)))+IF(ISBLANK(I979),0,IF(I979&lt;40,2,IF(I979&lt;55,1,0)))+IF(ISBLANK(M979),0,IF(M979=1,3,0))+IF(ISBLANK(L979),0,IF(L979&gt;=2,1,0))+IF(ISBLANK(E979),0,IF(E979&lt;12,1,0))</f>
        <v>2</v>
      </c>
      <c r="U979" s="0" t="str">
        <f aca="false">IF((ISBLANK(B979)*1+ISBLANK(C979)*1+ISBLANK(D979)*1+ISBLANK(E979)*1+ISBLANK(F979)*1+ISBLANK(I979)*1+ISBLANK(J979)*1+ISBLANK(K979)*1+ISBLANK(L979)*1+ISBLANK(M979)*1+ISBLANK(N979)*1+ISBLANK(O979)*1)&gt;0,"Missing Data","OK")</f>
        <v>OK</v>
      </c>
      <c r="V979" s="0" t="str">
        <f aca="false">IF(T979&gt;=6,"High Risk",IF(T979&gt;=3,"Medium Risk","Low Risk"))</f>
        <v>Low Risk</v>
      </c>
    </row>
    <row r="980" customFormat="false" ht="12.8" hidden="false" customHeight="false" outlineLevel="0" collapsed="false">
      <c r="A980" s="1" t="s">
        <v>1010</v>
      </c>
      <c r="B980" s="1" t="s">
        <v>29</v>
      </c>
      <c r="C980" s="1" t="s">
        <v>51</v>
      </c>
      <c r="D980" s="1" t="n">
        <v>38.99</v>
      </c>
      <c r="E980" s="1" t="n">
        <v>69</v>
      </c>
      <c r="F980" s="4" t="n">
        <v>45104</v>
      </c>
      <c r="G980" s="1" t="s">
        <v>25</v>
      </c>
      <c r="H980" s="1" t="n">
        <v>0</v>
      </c>
      <c r="I980" s="1" t="n">
        <v>71.2</v>
      </c>
      <c r="J980" s="1" t="n">
        <v>25</v>
      </c>
      <c r="K980" s="1" t="n">
        <v>8</v>
      </c>
      <c r="L980" s="1" t="n">
        <v>0</v>
      </c>
      <c r="M980" s="1" t="n">
        <v>0</v>
      </c>
      <c r="N980" s="1" t="n">
        <v>2690.31</v>
      </c>
      <c r="O980" s="1" t="n">
        <v>0</v>
      </c>
      <c r="Q980" s="4" t="n">
        <v>46293</v>
      </c>
      <c r="R980" s="0" t="n">
        <f aca="false">IF(ISBLANK(F980),"Missing",IFERROR(YEAR(F980),"Missing"))</f>
        <v>2023</v>
      </c>
      <c r="S980" s="0" t="str">
        <f aca="false">IF(ISBLANK(E980),"Missing",IF(E980&lt;6,"0-6mo",IF(E980&lt;12,"6-12mo",IF(E980&lt;24,"12-24mo","24mo+"))))</f>
        <v>24mo+</v>
      </c>
      <c r="T980" s="0" t="n">
        <f aca="false">IF(ISBLANK(C980),0,IF(C980="Month-to-month",2,IF(C980="One year",1,0)))+IF(ISBLANK(I980),0,IF(I980&lt;40,2,IF(I980&lt;55,1,0)))+IF(ISBLANK(M980),0,IF(M980=1,3,0))+IF(ISBLANK(L980),0,IF(L980&gt;=2,1,0))+IF(ISBLANK(E980),0,IF(E980&lt;12,1,0))</f>
        <v>0</v>
      </c>
      <c r="U980" s="0" t="str">
        <f aca="false">IF((ISBLANK(B980)*1+ISBLANK(C980)*1+ISBLANK(D980)*1+ISBLANK(E980)*1+ISBLANK(F980)*1+ISBLANK(I980)*1+ISBLANK(J980)*1+ISBLANK(K980)*1+ISBLANK(L980)*1+ISBLANK(M980)*1+ISBLANK(N980)*1+ISBLANK(O980)*1)&gt;0,"Missing Data","OK")</f>
        <v>OK</v>
      </c>
      <c r="V980" s="0" t="str">
        <f aca="false">IF(T980&gt;=6,"High Risk",IF(T980&gt;=3,"Medium Risk","Low Risk"))</f>
        <v>Low Risk</v>
      </c>
    </row>
    <row r="981" customFormat="false" ht="12.8" hidden="false" customHeight="false" outlineLevel="0" collapsed="false">
      <c r="A981" s="1" t="s">
        <v>1011</v>
      </c>
      <c r="B981" s="1" t="s">
        <v>36</v>
      </c>
      <c r="C981" s="1" t="s">
        <v>24</v>
      </c>
      <c r="D981" s="1" t="n">
        <v>8.69</v>
      </c>
      <c r="E981" s="1" t="n">
        <v>56</v>
      </c>
      <c r="F981" s="4" t="n">
        <v>45105</v>
      </c>
      <c r="G981" s="1" t="s">
        <v>27</v>
      </c>
      <c r="H981" s="1" t="n">
        <v>1</v>
      </c>
      <c r="I981" s="1" t="n">
        <v>70.5</v>
      </c>
      <c r="J981" s="1" t="n">
        <v>20</v>
      </c>
      <c r="K981" s="1" t="n">
        <v>8</v>
      </c>
      <c r="L981" s="1" t="n">
        <v>0</v>
      </c>
      <c r="M981" s="1" t="n">
        <v>0</v>
      </c>
      <c r="N981" s="1" t="n">
        <v>486.64</v>
      </c>
      <c r="O981" s="1" t="n">
        <v>0</v>
      </c>
      <c r="Q981" s="4" t="n">
        <v>46293</v>
      </c>
      <c r="R981" s="0" t="n">
        <f aca="false">IF(ISBLANK(F981),"Missing",IFERROR(YEAR(F981),"Missing"))</f>
        <v>2023</v>
      </c>
      <c r="S981" s="0" t="str">
        <f aca="false">IF(ISBLANK(E981),"Missing",IF(E981&lt;6,"0-6mo",IF(E981&lt;12,"6-12mo",IF(E981&lt;24,"12-24mo","24mo+"))))</f>
        <v>24mo+</v>
      </c>
      <c r="T981" s="0" t="n">
        <f aca="false">IF(ISBLANK(C981),0,IF(C981="Month-to-month",2,IF(C981="One year",1,0)))+IF(ISBLANK(I981),0,IF(I981&lt;40,2,IF(I981&lt;55,1,0)))+IF(ISBLANK(M981),0,IF(M981=1,3,0))+IF(ISBLANK(L981),0,IF(L981&gt;=2,1,0))+IF(ISBLANK(E981),0,IF(E981&lt;12,1,0))</f>
        <v>2</v>
      </c>
      <c r="U981" s="0" t="str">
        <f aca="false">IF((ISBLANK(B981)*1+ISBLANK(C981)*1+ISBLANK(D981)*1+ISBLANK(E981)*1+ISBLANK(F981)*1+ISBLANK(I981)*1+ISBLANK(J981)*1+ISBLANK(K981)*1+ISBLANK(L981)*1+ISBLANK(M981)*1+ISBLANK(N981)*1+ISBLANK(O981)*1)&gt;0,"Missing Data","OK")</f>
        <v>OK</v>
      </c>
      <c r="V981" s="0" t="str">
        <f aca="false">IF(T981&gt;=6,"High Risk",IF(T981&gt;=3,"Medium Risk","Low Risk"))</f>
        <v>Low Risk</v>
      </c>
    </row>
    <row r="982" customFormat="false" ht="12.8" hidden="false" customHeight="false" outlineLevel="0" collapsed="false">
      <c r="A982" s="1" t="s">
        <v>1012</v>
      </c>
      <c r="B982" s="1" t="s">
        <v>29</v>
      </c>
      <c r="C982" s="1" t="s">
        <v>24</v>
      </c>
      <c r="D982" s="1" t="n">
        <v>40.25</v>
      </c>
      <c r="E982" s="1" t="n">
        <v>8</v>
      </c>
      <c r="F982" s="4" t="n">
        <v>45105</v>
      </c>
      <c r="G982" s="1" t="s">
        <v>39</v>
      </c>
      <c r="H982" s="1" t="n">
        <v>1</v>
      </c>
      <c r="I982" s="1" t="n">
        <v>18.3</v>
      </c>
      <c r="J982" s="1" t="n">
        <v>14</v>
      </c>
      <c r="K982" s="1" t="n">
        <v>1</v>
      </c>
      <c r="L982" s="1" t="n">
        <v>4</v>
      </c>
      <c r="M982" s="1" t="n">
        <v>1</v>
      </c>
      <c r="N982" s="1" t="n">
        <v>322</v>
      </c>
      <c r="O982" s="1" t="n">
        <v>0</v>
      </c>
      <c r="Q982" s="4" t="n">
        <v>45348</v>
      </c>
      <c r="R982" s="0" t="n">
        <f aca="false">IF(ISBLANK(F982),"Missing",IFERROR(YEAR(F982),"Missing"))</f>
        <v>2023</v>
      </c>
      <c r="S982" s="0" t="str">
        <f aca="false">IF(ISBLANK(E982),"Missing",IF(E982&lt;6,"0-6mo",IF(E982&lt;12,"6-12mo",IF(E982&lt;24,"12-24mo","24mo+"))))</f>
        <v>6-12mo</v>
      </c>
      <c r="T982" s="0" t="n">
        <f aca="false">IF(ISBLANK(C982),0,IF(C982="Month-to-month",2,IF(C982="One year",1,0)))+IF(ISBLANK(I982),0,IF(I982&lt;40,2,IF(I982&lt;55,1,0)))+IF(ISBLANK(M982),0,IF(M982=1,3,0))+IF(ISBLANK(L982),0,IF(L982&gt;=2,1,0))+IF(ISBLANK(E982),0,IF(E982&lt;12,1,0))</f>
        <v>9</v>
      </c>
      <c r="U982" s="0" t="str">
        <f aca="false">IF((ISBLANK(B982)*1+ISBLANK(C982)*1+ISBLANK(D982)*1+ISBLANK(E982)*1+ISBLANK(F982)*1+ISBLANK(I982)*1+ISBLANK(J982)*1+ISBLANK(K982)*1+ISBLANK(L982)*1+ISBLANK(M982)*1+ISBLANK(N982)*1+ISBLANK(O982)*1)&gt;0,"Missing Data","OK")</f>
        <v>OK</v>
      </c>
      <c r="V982" s="0" t="str">
        <f aca="false">IF(T982&gt;=6,"High Risk",IF(T982&gt;=3,"Medium Risk","Low Risk"))</f>
        <v>High Risk</v>
      </c>
    </row>
    <row r="983" customFormat="false" ht="12.8" hidden="false" customHeight="false" outlineLevel="0" collapsed="false">
      <c r="A983" s="1" t="s">
        <v>1013</v>
      </c>
      <c r="B983" s="1" t="s">
        <v>36</v>
      </c>
      <c r="C983" s="1" t="s">
        <v>51</v>
      </c>
      <c r="D983" s="1" t="n">
        <v>9.86</v>
      </c>
      <c r="E983" s="1" t="n">
        <v>2</v>
      </c>
      <c r="F983" s="4" t="n">
        <v>45105</v>
      </c>
      <c r="G983" s="1" t="s">
        <v>25</v>
      </c>
      <c r="H983" s="1" t="n">
        <v>1</v>
      </c>
      <c r="I983" s="1" t="n">
        <v>10.1</v>
      </c>
      <c r="J983" s="1" t="n">
        <v>4</v>
      </c>
      <c r="K983" s="1" t="n">
        <v>0</v>
      </c>
      <c r="L983" s="1" t="n">
        <v>1</v>
      </c>
      <c r="M983" s="1" t="n">
        <v>0</v>
      </c>
      <c r="N983" s="1" t="n">
        <v>19.72</v>
      </c>
      <c r="O983" s="1" t="n">
        <v>0</v>
      </c>
      <c r="Q983" s="4" t="n">
        <v>45165</v>
      </c>
      <c r="R983" s="0" t="n">
        <f aca="false">IF(ISBLANK(F983),"Missing",IFERROR(YEAR(F983),"Missing"))</f>
        <v>2023</v>
      </c>
      <c r="S983" s="0" t="str">
        <f aca="false">IF(ISBLANK(E983),"Missing",IF(E983&lt;6,"0-6mo",IF(E983&lt;12,"6-12mo",IF(E983&lt;24,"12-24mo","24mo+"))))</f>
        <v>0-6mo</v>
      </c>
      <c r="T983" s="0" t="n">
        <f aca="false">IF(ISBLANK(C983),0,IF(C983="Month-to-month",2,IF(C983="One year",1,0)))+IF(ISBLANK(I983),0,IF(I983&lt;40,2,IF(I983&lt;55,1,0)))+IF(ISBLANK(M983),0,IF(M983=1,3,0))+IF(ISBLANK(L983),0,IF(L983&gt;=2,1,0))+IF(ISBLANK(E983),0,IF(E983&lt;12,1,0))</f>
        <v>3</v>
      </c>
      <c r="U983" s="0" t="str">
        <f aca="false">IF((ISBLANK(B983)*1+ISBLANK(C983)*1+ISBLANK(D983)*1+ISBLANK(E983)*1+ISBLANK(F983)*1+ISBLANK(I983)*1+ISBLANK(J983)*1+ISBLANK(K983)*1+ISBLANK(L983)*1+ISBLANK(M983)*1+ISBLANK(N983)*1+ISBLANK(O983)*1)&gt;0,"Missing Data","OK")</f>
        <v>OK</v>
      </c>
      <c r="V983" s="0" t="str">
        <f aca="false">IF(T983&gt;=6,"High Risk",IF(T983&gt;=3,"Medium Risk","Low Risk"))</f>
        <v>Medium Risk</v>
      </c>
    </row>
    <row r="984" customFormat="false" ht="12.8" hidden="false" customHeight="false" outlineLevel="0" collapsed="false">
      <c r="A984" s="1" t="s">
        <v>1014</v>
      </c>
      <c r="B984" s="1" t="s">
        <v>36</v>
      </c>
      <c r="C984" s="1" t="s">
        <v>34</v>
      </c>
      <c r="D984" s="1" t="n">
        <v>10.87</v>
      </c>
      <c r="E984" s="1" t="n">
        <v>3</v>
      </c>
      <c r="F984" s="4" t="n">
        <v>45106</v>
      </c>
      <c r="G984" s="1" t="s">
        <v>30</v>
      </c>
      <c r="H984" s="1" t="n">
        <v>1</v>
      </c>
      <c r="I984" s="1" t="n">
        <v>40</v>
      </c>
      <c r="J984" s="1" t="n">
        <v>10</v>
      </c>
      <c r="K984" s="1" t="n">
        <v>4</v>
      </c>
      <c r="L984" s="1" t="n">
        <v>1</v>
      </c>
      <c r="M984" s="1" t="n">
        <v>0</v>
      </c>
      <c r="N984" s="1" t="n">
        <v>32.61</v>
      </c>
      <c r="O984" s="1" t="n">
        <v>0</v>
      </c>
      <c r="Q984" s="4" t="n">
        <v>45197</v>
      </c>
      <c r="R984" s="0" t="n">
        <f aca="false">IF(ISBLANK(F984),"Missing",IFERROR(YEAR(F984),"Missing"))</f>
        <v>2023</v>
      </c>
      <c r="S984" s="0" t="str">
        <f aca="false">IF(ISBLANK(E984),"Missing",IF(E984&lt;6,"0-6mo",IF(E984&lt;12,"6-12mo",IF(E984&lt;24,"12-24mo","24mo+"))))</f>
        <v>0-6mo</v>
      </c>
      <c r="T984" s="0" t="n">
        <f aca="false">IF(ISBLANK(C984),0,IF(C984="Month-to-month",2,IF(C984="One year",1,0)))+IF(ISBLANK(I984),0,IF(I984&lt;40,2,IF(I984&lt;55,1,0)))+IF(ISBLANK(M984),0,IF(M984=1,3,0))+IF(ISBLANK(L984),0,IF(L984&gt;=2,1,0))+IF(ISBLANK(E984),0,IF(E984&lt;12,1,0))</f>
        <v>3</v>
      </c>
      <c r="U984" s="0" t="str">
        <f aca="false">IF((ISBLANK(B984)*1+ISBLANK(C984)*1+ISBLANK(D984)*1+ISBLANK(E984)*1+ISBLANK(F984)*1+ISBLANK(I984)*1+ISBLANK(J984)*1+ISBLANK(K984)*1+ISBLANK(L984)*1+ISBLANK(M984)*1+ISBLANK(N984)*1+ISBLANK(O984)*1)&gt;0,"Missing Data","OK")</f>
        <v>OK</v>
      </c>
      <c r="V984" s="0" t="str">
        <f aca="false">IF(T984&gt;=6,"High Risk",IF(T984&gt;=3,"Medium Risk","Low Risk"))</f>
        <v>Medium Risk</v>
      </c>
    </row>
    <row r="985" customFormat="false" ht="12.8" hidden="false" customHeight="false" outlineLevel="0" collapsed="false">
      <c r="A985" s="1" t="s">
        <v>1015</v>
      </c>
      <c r="B985" s="1" t="s">
        <v>29</v>
      </c>
      <c r="C985" s="1" t="s">
        <v>24</v>
      </c>
      <c r="D985" s="1" t="n">
        <v>38.99</v>
      </c>
      <c r="E985" s="1" t="n">
        <v>1</v>
      </c>
      <c r="F985" s="4" t="n">
        <v>45107</v>
      </c>
      <c r="G985" s="1" t="s">
        <v>25</v>
      </c>
      <c r="H985" s="1" t="n">
        <v>0</v>
      </c>
      <c r="I985" s="1" t="n">
        <v>37</v>
      </c>
      <c r="J985" s="1" t="n">
        <v>14</v>
      </c>
      <c r="K985" s="1" t="n">
        <v>4</v>
      </c>
      <c r="L985" s="1" t="n">
        <v>3</v>
      </c>
      <c r="M985" s="1" t="n">
        <v>0</v>
      </c>
      <c r="N985" s="1" t="n">
        <v>38.99</v>
      </c>
      <c r="O985" s="1" t="n">
        <v>0</v>
      </c>
      <c r="Q985" s="4" t="n">
        <v>45137</v>
      </c>
      <c r="R985" s="0" t="n">
        <f aca="false">IF(ISBLANK(F985),"Missing",IFERROR(YEAR(F985),"Missing"))</f>
        <v>2023</v>
      </c>
      <c r="S985" s="0" t="str">
        <f aca="false">IF(ISBLANK(E985),"Missing",IF(E985&lt;6,"0-6mo",IF(E985&lt;12,"6-12mo",IF(E985&lt;24,"12-24mo","24mo+"))))</f>
        <v>0-6mo</v>
      </c>
      <c r="T985" s="0" t="n">
        <f aca="false">IF(ISBLANK(C985),0,IF(C985="Month-to-month",2,IF(C985="One year",1,0)))+IF(ISBLANK(I985),0,IF(I985&lt;40,2,IF(I985&lt;55,1,0)))+IF(ISBLANK(M985),0,IF(M985=1,3,0))+IF(ISBLANK(L985),0,IF(L985&gt;=2,1,0))+IF(ISBLANK(E985),0,IF(E985&lt;12,1,0))</f>
        <v>6</v>
      </c>
      <c r="U985" s="0" t="str">
        <f aca="false">IF((ISBLANK(B985)*1+ISBLANK(C985)*1+ISBLANK(D985)*1+ISBLANK(E985)*1+ISBLANK(F985)*1+ISBLANK(I985)*1+ISBLANK(J985)*1+ISBLANK(K985)*1+ISBLANK(L985)*1+ISBLANK(M985)*1+ISBLANK(N985)*1+ISBLANK(O985)*1)&gt;0,"Missing Data","OK")</f>
        <v>OK</v>
      </c>
      <c r="V985" s="0" t="str">
        <f aca="false">IF(T985&gt;=6,"High Risk",IF(T985&gt;=3,"Medium Risk","Low Risk"))</f>
        <v>High Risk</v>
      </c>
    </row>
    <row r="986" customFormat="false" ht="12.8" hidden="false" customHeight="false" outlineLevel="0" collapsed="false">
      <c r="A986" s="1" t="s">
        <v>1016</v>
      </c>
      <c r="B986" s="1" t="s">
        <v>36</v>
      </c>
      <c r="C986" s="1" t="s">
        <v>34</v>
      </c>
      <c r="D986" s="1" t="n">
        <v>9.1</v>
      </c>
      <c r="E986" s="1" t="n">
        <v>30</v>
      </c>
      <c r="F986" s="4" t="n">
        <v>45108</v>
      </c>
      <c r="G986" s="1" t="s">
        <v>39</v>
      </c>
      <c r="H986" s="1" t="n">
        <v>1</v>
      </c>
      <c r="I986" s="1" t="n">
        <v>0.9</v>
      </c>
      <c r="J986" s="1" t="n">
        <v>9</v>
      </c>
      <c r="K986" s="1" t="n">
        <v>0</v>
      </c>
      <c r="L986" s="1" t="n">
        <v>0</v>
      </c>
      <c r="M986" s="1" t="n">
        <v>0</v>
      </c>
      <c r="N986" s="1" t="n">
        <v>273</v>
      </c>
      <c r="O986" s="1" t="n">
        <v>0</v>
      </c>
      <c r="Q986" s="4" t="n">
        <v>46021</v>
      </c>
      <c r="R986" s="0" t="n">
        <f aca="false">IF(ISBLANK(F986),"Missing",IFERROR(YEAR(F986),"Missing"))</f>
        <v>2023</v>
      </c>
      <c r="S986" s="0" t="str">
        <f aca="false">IF(ISBLANK(E986),"Missing",IF(E986&lt;6,"0-6mo",IF(E986&lt;12,"6-12mo",IF(E986&lt;24,"12-24mo","24mo+"))))</f>
        <v>24mo+</v>
      </c>
      <c r="T986" s="0" t="n">
        <f aca="false">IF(ISBLANK(C986),0,IF(C986="Month-to-month",2,IF(C986="One year",1,0)))+IF(ISBLANK(I986),0,IF(I986&lt;40,2,IF(I986&lt;55,1,0)))+IF(ISBLANK(M986),0,IF(M986=1,3,0))+IF(ISBLANK(L986),0,IF(L986&gt;=2,1,0))+IF(ISBLANK(E986),0,IF(E986&lt;12,1,0))</f>
        <v>3</v>
      </c>
      <c r="U986" s="0" t="str">
        <f aca="false">IF((ISBLANK(B986)*1+ISBLANK(C986)*1+ISBLANK(D986)*1+ISBLANK(E986)*1+ISBLANK(F986)*1+ISBLANK(I986)*1+ISBLANK(J986)*1+ISBLANK(K986)*1+ISBLANK(L986)*1+ISBLANK(M986)*1+ISBLANK(N986)*1+ISBLANK(O986)*1)&gt;0,"Missing Data","OK")</f>
        <v>OK</v>
      </c>
      <c r="V986" s="0" t="str">
        <f aca="false">IF(T986&gt;=6,"High Risk",IF(T986&gt;=3,"Medium Risk","Low Risk"))</f>
        <v>Medium Risk</v>
      </c>
    </row>
    <row r="987" customFormat="false" ht="12.8" hidden="false" customHeight="false" outlineLevel="0" collapsed="false">
      <c r="A987" s="1" t="s">
        <v>1017</v>
      </c>
      <c r="B987" s="1" t="s">
        <v>29</v>
      </c>
      <c r="C987" s="1" t="s">
        <v>24</v>
      </c>
      <c r="D987" s="1" t="n">
        <v>38.82</v>
      </c>
      <c r="E987" s="1" t="n">
        <v>27</v>
      </c>
      <c r="F987" s="4" t="n">
        <v>45110</v>
      </c>
      <c r="G987" s="1" t="s">
        <v>39</v>
      </c>
      <c r="H987" s="1" t="n">
        <v>0</v>
      </c>
      <c r="I987" s="1" t="n">
        <v>60.1</v>
      </c>
      <c r="J987" s="1" t="n">
        <v>19</v>
      </c>
      <c r="K987" s="1" t="n">
        <v>4</v>
      </c>
      <c r="L987" s="1" t="n">
        <v>1</v>
      </c>
      <c r="M987" s="1" t="n">
        <v>1</v>
      </c>
      <c r="N987" s="1" t="n">
        <v>1048.14</v>
      </c>
      <c r="O987" s="1" t="n">
        <v>0</v>
      </c>
      <c r="Q987" s="4" t="n">
        <v>45931</v>
      </c>
      <c r="R987" s="0" t="n">
        <f aca="false">IF(ISBLANK(F987),"Missing",IFERROR(YEAR(F987),"Missing"))</f>
        <v>2023</v>
      </c>
      <c r="S987" s="0" t="str">
        <f aca="false">IF(ISBLANK(E987),"Missing",IF(E987&lt;6,"0-6mo",IF(E987&lt;12,"6-12mo",IF(E987&lt;24,"12-24mo","24mo+"))))</f>
        <v>24mo+</v>
      </c>
      <c r="T987" s="0" t="n">
        <f aca="false">IF(ISBLANK(C987),0,IF(C987="Month-to-month",2,IF(C987="One year",1,0)))+IF(ISBLANK(I987),0,IF(I987&lt;40,2,IF(I987&lt;55,1,0)))+IF(ISBLANK(M987),0,IF(M987=1,3,0))+IF(ISBLANK(L987),0,IF(L987&gt;=2,1,0))+IF(ISBLANK(E987),0,IF(E987&lt;12,1,0))</f>
        <v>5</v>
      </c>
      <c r="U987" s="0" t="str">
        <f aca="false">IF((ISBLANK(B987)*1+ISBLANK(C987)*1+ISBLANK(D987)*1+ISBLANK(E987)*1+ISBLANK(F987)*1+ISBLANK(I987)*1+ISBLANK(J987)*1+ISBLANK(K987)*1+ISBLANK(L987)*1+ISBLANK(M987)*1+ISBLANK(N987)*1+ISBLANK(O987)*1)&gt;0,"Missing Data","OK")</f>
        <v>OK</v>
      </c>
      <c r="V987" s="0" t="str">
        <f aca="false">IF(T987&gt;=6,"High Risk",IF(T987&gt;=3,"Medium Risk","Low Risk"))</f>
        <v>Medium Risk</v>
      </c>
    </row>
    <row r="988" customFormat="false" ht="12.8" hidden="false" customHeight="false" outlineLevel="0" collapsed="false">
      <c r="A988" s="1" t="s">
        <v>1018</v>
      </c>
      <c r="B988" s="1" t="s">
        <v>29</v>
      </c>
      <c r="C988" s="1" t="s">
        <v>34</v>
      </c>
      <c r="D988" s="1" t="n">
        <v>37.05</v>
      </c>
      <c r="E988" s="1" t="n">
        <v>4</v>
      </c>
      <c r="F988" s="4" t="n">
        <v>45110</v>
      </c>
      <c r="G988" s="1" t="s">
        <v>30</v>
      </c>
      <c r="H988" s="1" t="n">
        <v>1</v>
      </c>
      <c r="I988" s="1" t="n">
        <v>55.6</v>
      </c>
      <c r="J988" s="1" t="n">
        <v>19</v>
      </c>
      <c r="K988" s="1" t="n">
        <v>7</v>
      </c>
      <c r="L988" s="1" t="n">
        <v>0</v>
      </c>
      <c r="M988" s="1" t="n">
        <v>0</v>
      </c>
      <c r="N988" s="1" t="n">
        <v>148.2</v>
      </c>
      <c r="O988" s="1" t="n">
        <v>0</v>
      </c>
      <c r="Q988" s="4" t="n">
        <v>45231</v>
      </c>
      <c r="R988" s="0" t="n">
        <f aca="false">IF(ISBLANK(F988),"Missing",IFERROR(YEAR(F988),"Missing"))</f>
        <v>2023</v>
      </c>
      <c r="S988" s="0" t="str">
        <f aca="false">IF(ISBLANK(E988),"Missing",IF(E988&lt;6,"0-6mo",IF(E988&lt;12,"6-12mo",IF(E988&lt;24,"12-24mo","24mo+"))))</f>
        <v>0-6mo</v>
      </c>
      <c r="T988" s="0" t="n">
        <f aca="false">IF(ISBLANK(C988),0,IF(C988="Month-to-month",2,IF(C988="One year",1,0)))+IF(ISBLANK(I988),0,IF(I988&lt;40,2,IF(I988&lt;55,1,0)))+IF(ISBLANK(M988),0,IF(M988=1,3,0))+IF(ISBLANK(L988),0,IF(L988&gt;=2,1,0))+IF(ISBLANK(E988),0,IF(E988&lt;12,1,0))</f>
        <v>2</v>
      </c>
      <c r="U988" s="0" t="str">
        <f aca="false">IF((ISBLANK(B988)*1+ISBLANK(C988)*1+ISBLANK(D988)*1+ISBLANK(E988)*1+ISBLANK(F988)*1+ISBLANK(I988)*1+ISBLANK(J988)*1+ISBLANK(K988)*1+ISBLANK(L988)*1+ISBLANK(M988)*1+ISBLANK(N988)*1+ISBLANK(O988)*1)&gt;0,"Missing Data","OK")</f>
        <v>OK</v>
      </c>
      <c r="V988" s="0" t="str">
        <f aca="false">IF(T988&gt;=6,"High Risk",IF(T988&gt;=3,"Medium Risk","Low Risk"))</f>
        <v>Low Risk</v>
      </c>
    </row>
    <row r="989" customFormat="false" ht="12.8" hidden="false" customHeight="false" outlineLevel="0" collapsed="false">
      <c r="A989" s="1" t="s">
        <v>1019</v>
      </c>
      <c r="B989" s="1" t="s">
        <v>36</v>
      </c>
      <c r="C989" s="1" t="s">
        <v>34</v>
      </c>
      <c r="D989" s="1" t="n">
        <v>9.73</v>
      </c>
      <c r="E989" s="1" t="n">
        <v>6</v>
      </c>
      <c r="F989" s="4" t="n">
        <v>45111</v>
      </c>
      <c r="G989" s="1" t="s">
        <v>39</v>
      </c>
      <c r="H989" s="1" t="n">
        <v>0</v>
      </c>
      <c r="I989" s="1" t="n">
        <v>51.1</v>
      </c>
      <c r="J989" s="1" t="n">
        <v>22</v>
      </c>
      <c r="K989" s="1" t="n">
        <v>4</v>
      </c>
      <c r="L989" s="1" t="n">
        <v>1</v>
      </c>
      <c r="M989" s="1" t="n">
        <v>0</v>
      </c>
      <c r="N989" s="1" t="n">
        <v>58.38</v>
      </c>
      <c r="O989" s="1" t="n">
        <v>0</v>
      </c>
      <c r="Q989" s="4" t="n">
        <v>45293</v>
      </c>
      <c r="R989" s="0" t="n">
        <f aca="false">IF(ISBLANK(F989),"Missing",IFERROR(YEAR(F989),"Missing"))</f>
        <v>2023</v>
      </c>
      <c r="S989" s="0" t="str">
        <f aca="false">IF(ISBLANK(E989),"Missing",IF(E989&lt;6,"0-6mo",IF(E989&lt;12,"6-12mo",IF(E989&lt;24,"12-24mo","24mo+"))))</f>
        <v>6-12mo</v>
      </c>
      <c r="T989" s="0" t="n">
        <f aca="false">IF(ISBLANK(C989),0,IF(C989="Month-to-month",2,IF(C989="One year",1,0)))+IF(ISBLANK(I989),0,IF(I989&lt;40,2,IF(I989&lt;55,1,0)))+IF(ISBLANK(M989),0,IF(M989=1,3,0))+IF(ISBLANK(L989),0,IF(L989&gt;=2,1,0))+IF(ISBLANK(E989),0,IF(E989&lt;12,1,0))</f>
        <v>3</v>
      </c>
      <c r="U989" s="0" t="str">
        <f aca="false">IF((ISBLANK(B989)*1+ISBLANK(C989)*1+ISBLANK(D989)*1+ISBLANK(E989)*1+ISBLANK(F989)*1+ISBLANK(I989)*1+ISBLANK(J989)*1+ISBLANK(K989)*1+ISBLANK(L989)*1+ISBLANK(M989)*1+ISBLANK(N989)*1+ISBLANK(O989)*1)&gt;0,"Missing Data","OK")</f>
        <v>OK</v>
      </c>
      <c r="V989" s="0" t="str">
        <f aca="false">IF(T989&gt;=6,"High Risk",IF(T989&gt;=3,"Medium Risk","Low Risk"))</f>
        <v>Medium Risk</v>
      </c>
    </row>
    <row r="990" customFormat="false" ht="12.8" hidden="false" customHeight="false" outlineLevel="0" collapsed="false">
      <c r="A990" s="1" t="s">
        <v>1020</v>
      </c>
      <c r="B990" s="1" t="s">
        <v>36</v>
      </c>
      <c r="C990" s="1" t="s">
        <v>51</v>
      </c>
      <c r="D990" s="1" t="n">
        <v>11.63</v>
      </c>
      <c r="E990" s="1" t="n">
        <v>72</v>
      </c>
      <c r="F990" s="4" t="n">
        <v>45114</v>
      </c>
      <c r="G990" s="1" t="s">
        <v>39</v>
      </c>
      <c r="H990" s="1" t="n">
        <v>1</v>
      </c>
      <c r="I990" s="1" t="n">
        <v>64.5</v>
      </c>
      <c r="J990" s="1" t="n">
        <v>11</v>
      </c>
      <c r="K990" s="1" t="n">
        <v>8</v>
      </c>
      <c r="L990" s="1" t="n">
        <v>0</v>
      </c>
      <c r="M990" s="1" t="n">
        <v>0</v>
      </c>
      <c r="N990" s="1" t="n">
        <v>837.36</v>
      </c>
      <c r="O990" s="1" t="n">
        <v>0</v>
      </c>
      <c r="Q990" s="4" t="n">
        <v>46293</v>
      </c>
      <c r="R990" s="0" t="n">
        <f aca="false">IF(ISBLANK(F990),"Missing",IFERROR(YEAR(F990),"Missing"))</f>
        <v>2023</v>
      </c>
      <c r="S990" s="0" t="str">
        <f aca="false">IF(ISBLANK(E990),"Missing",IF(E990&lt;6,"0-6mo",IF(E990&lt;12,"6-12mo",IF(E990&lt;24,"12-24mo","24mo+"))))</f>
        <v>24mo+</v>
      </c>
      <c r="T990" s="0" t="n">
        <f aca="false">IF(ISBLANK(C990),0,IF(C990="Month-to-month",2,IF(C990="One year",1,0)))+IF(ISBLANK(I990),0,IF(I990&lt;40,2,IF(I990&lt;55,1,0)))+IF(ISBLANK(M990),0,IF(M990=1,3,0))+IF(ISBLANK(L990),0,IF(L990&gt;=2,1,0))+IF(ISBLANK(E990),0,IF(E990&lt;12,1,0))</f>
        <v>0</v>
      </c>
      <c r="U990" s="0" t="str">
        <f aca="false">IF((ISBLANK(B990)*1+ISBLANK(C990)*1+ISBLANK(D990)*1+ISBLANK(E990)*1+ISBLANK(F990)*1+ISBLANK(I990)*1+ISBLANK(J990)*1+ISBLANK(K990)*1+ISBLANK(L990)*1+ISBLANK(M990)*1+ISBLANK(N990)*1+ISBLANK(O990)*1)&gt;0,"Missing Data","OK")</f>
        <v>OK</v>
      </c>
      <c r="V990" s="0" t="str">
        <f aca="false">IF(T990&gt;=6,"High Risk",IF(T990&gt;=3,"Medium Risk","Low Risk"))</f>
        <v>Low Risk</v>
      </c>
    </row>
    <row r="991" customFormat="false" ht="12.8" hidden="false" customHeight="false" outlineLevel="0" collapsed="false">
      <c r="A991" s="1" t="s">
        <v>1021</v>
      </c>
      <c r="B991" s="1" t="s">
        <v>36</v>
      </c>
      <c r="C991" s="1" t="s">
        <v>24</v>
      </c>
      <c r="D991" s="1" t="n">
        <v>11.15</v>
      </c>
      <c r="E991" s="1" t="n">
        <v>2</v>
      </c>
      <c r="F991" s="4" t="n">
        <v>45116</v>
      </c>
      <c r="G991" s="1" t="s">
        <v>25</v>
      </c>
      <c r="H991" s="1" t="n">
        <v>1</v>
      </c>
      <c r="I991" s="1" t="n">
        <v>49.7</v>
      </c>
      <c r="J991" s="1" t="n">
        <v>3</v>
      </c>
      <c r="K991" s="1" t="n">
        <v>5</v>
      </c>
      <c r="L991" s="1" t="n">
        <v>2</v>
      </c>
      <c r="M991" s="1" t="n">
        <v>1</v>
      </c>
      <c r="N991" s="1" t="n">
        <v>22.3</v>
      </c>
      <c r="O991" s="1" t="n">
        <v>1</v>
      </c>
      <c r="P991" s="4" t="n">
        <v>45176</v>
      </c>
      <c r="Q991" s="4" t="n">
        <v>45176</v>
      </c>
      <c r="R991" s="0" t="n">
        <f aca="false">IF(ISBLANK(F991),"Missing",IFERROR(YEAR(F991),"Missing"))</f>
        <v>2023</v>
      </c>
      <c r="S991" s="0" t="str">
        <f aca="false">IF(ISBLANK(E991),"Missing",IF(E991&lt;6,"0-6mo",IF(E991&lt;12,"6-12mo",IF(E991&lt;24,"12-24mo","24mo+"))))</f>
        <v>0-6mo</v>
      </c>
      <c r="T991" s="0" t="n">
        <f aca="false">IF(ISBLANK(C991),0,IF(C991="Month-to-month",2,IF(C991="One year",1,0)))+IF(ISBLANK(I991),0,IF(I991&lt;40,2,IF(I991&lt;55,1,0)))+IF(ISBLANK(M991),0,IF(M991=1,3,0))+IF(ISBLANK(L991),0,IF(L991&gt;=2,1,0))+IF(ISBLANK(E991),0,IF(E991&lt;12,1,0))</f>
        <v>8</v>
      </c>
      <c r="U991" s="0" t="str">
        <f aca="false">IF((ISBLANK(B991)*1+ISBLANK(C991)*1+ISBLANK(D991)*1+ISBLANK(E991)*1+ISBLANK(F991)*1+ISBLANK(I991)*1+ISBLANK(J991)*1+ISBLANK(K991)*1+ISBLANK(L991)*1+ISBLANK(M991)*1+ISBLANK(N991)*1+ISBLANK(O991)*1)&gt;0,"Missing Data","OK")</f>
        <v>OK</v>
      </c>
      <c r="V991" s="0" t="str">
        <f aca="false">IF(T991&gt;=6,"High Risk",IF(T991&gt;=3,"Medium Risk","Low Risk"))</f>
        <v>High Risk</v>
      </c>
    </row>
    <row r="992" customFormat="false" ht="12.8" hidden="false" customHeight="false" outlineLevel="0" collapsed="false">
      <c r="A992" s="1" t="s">
        <v>1022</v>
      </c>
      <c r="B992" s="1" t="s">
        <v>36</v>
      </c>
      <c r="C992" s="1" t="s">
        <v>24</v>
      </c>
      <c r="D992" s="1" t="n">
        <v>10.43</v>
      </c>
      <c r="E992" s="1" t="n">
        <v>3</v>
      </c>
      <c r="F992" s="4" t="n">
        <v>45117</v>
      </c>
      <c r="G992" s="1" t="s">
        <v>25</v>
      </c>
      <c r="H992" s="1" t="n">
        <v>0</v>
      </c>
      <c r="I992" s="1" t="n">
        <v>75.6</v>
      </c>
      <c r="J992" s="1" t="n">
        <v>24</v>
      </c>
      <c r="K992" s="1" t="n">
        <v>8</v>
      </c>
      <c r="L992" s="1" t="n">
        <v>1</v>
      </c>
      <c r="M992" s="1" t="n">
        <v>1</v>
      </c>
      <c r="N992" s="1" t="n">
        <v>31.29</v>
      </c>
      <c r="O992" s="1" t="n">
        <v>0</v>
      </c>
      <c r="Q992" s="4" t="n">
        <v>45208</v>
      </c>
      <c r="R992" s="0" t="n">
        <f aca="false">IF(ISBLANK(F992),"Missing",IFERROR(YEAR(F992),"Missing"))</f>
        <v>2023</v>
      </c>
      <c r="S992" s="0" t="str">
        <f aca="false">IF(ISBLANK(E992),"Missing",IF(E992&lt;6,"0-6mo",IF(E992&lt;12,"6-12mo",IF(E992&lt;24,"12-24mo","24mo+"))))</f>
        <v>0-6mo</v>
      </c>
      <c r="T992" s="0" t="n">
        <f aca="false">IF(ISBLANK(C992),0,IF(C992="Month-to-month",2,IF(C992="One year",1,0)))+IF(ISBLANK(I992),0,IF(I992&lt;40,2,IF(I992&lt;55,1,0)))+IF(ISBLANK(M992),0,IF(M992=1,3,0))+IF(ISBLANK(L992),0,IF(L992&gt;=2,1,0))+IF(ISBLANK(E992),0,IF(E992&lt;12,1,0))</f>
        <v>6</v>
      </c>
      <c r="U992" s="0" t="str">
        <f aca="false">IF((ISBLANK(B992)*1+ISBLANK(C992)*1+ISBLANK(D992)*1+ISBLANK(E992)*1+ISBLANK(F992)*1+ISBLANK(I992)*1+ISBLANK(J992)*1+ISBLANK(K992)*1+ISBLANK(L992)*1+ISBLANK(M992)*1+ISBLANK(N992)*1+ISBLANK(O992)*1)&gt;0,"Missing Data","OK")</f>
        <v>OK</v>
      </c>
      <c r="V992" s="0" t="str">
        <f aca="false">IF(T992&gt;=6,"High Risk",IF(T992&gt;=3,"Medium Risk","Low Risk"))</f>
        <v>High Risk</v>
      </c>
    </row>
    <row r="993" customFormat="false" ht="12.8" hidden="false" customHeight="false" outlineLevel="0" collapsed="false">
      <c r="A993" s="1" t="s">
        <v>1023</v>
      </c>
      <c r="B993" s="1" t="s">
        <v>36</v>
      </c>
      <c r="C993" s="1" t="s">
        <v>34</v>
      </c>
      <c r="D993" s="1" t="n">
        <v>12.14</v>
      </c>
      <c r="E993" s="1" t="n">
        <v>6</v>
      </c>
      <c r="F993" s="4" t="n">
        <v>45119</v>
      </c>
      <c r="G993" s="1" t="s">
        <v>25</v>
      </c>
      <c r="H993" s="1" t="n">
        <v>1</v>
      </c>
      <c r="I993" s="1" t="n">
        <v>48.4</v>
      </c>
      <c r="J993" s="1" t="n">
        <v>9</v>
      </c>
      <c r="K993" s="1" t="n">
        <v>4</v>
      </c>
      <c r="L993" s="1" t="n">
        <v>0</v>
      </c>
      <c r="M993" s="1" t="n">
        <v>0</v>
      </c>
      <c r="N993" s="1" t="n">
        <v>72.84</v>
      </c>
      <c r="O993" s="1" t="n">
        <v>0</v>
      </c>
      <c r="Q993" s="4" t="n">
        <v>45301</v>
      </c>
      <c r="R993" s="0" t="n">
        <f aca="false">IF(ISBLANK(F993),"Missing",IFERROR(YEAR(F993),"Missing"))</f>
        <v>2023</v>
      </c>
      <c r="S993" s="0" t="str">
        <f aca="false">IF(ISBLANK(E993),"Missing",IF(E993&lt;6,"0-6mo",IF(E993&lt;12,"6-12mo",IF(E993&lt;24,"12-24mo","24mo+"))))</f>
        <v>6-12mo</v>
      </c>
      <c r="T993" s="0" t="n">
        <f aca="false">IF(ISBLANK(C993),0,IF(C993="Month-to-month",2,IF(C993="One year",1,0)))+IF(ISBLANK(I993),0,IF(I993&lt;40,2,IF(I993&lt;55,1,0)))+IF(ISBLANK(M993),0,IF(M993=1,3,0))+IF(ISBLANK(L993),0,IF(L993&gt;=2,1,0))+IF(ISBLANK(E993),0,IF(E993&lt;12,1,0))</f>
        <v>3</v>
      </c>
      <c r="U993" s="0" t="str">
        <f aca="false">IF((ISBLANK(B993)*1+ISBLANK(C993)*1+ISBLANK(D993)*1+ISBLANK(E993)*1+ISBLANK(F993)*1+ISBLANK(I993)*1+ISBLANK(J993)*1+ISBLANK(K993)*1+ISBLANK(L993)*1+ISBLANK(M993)*1+ISBLANK(N993)*1+ISBLANK(O993)*1)&gt;0,"Missing Data","OK")</f>
        <v>OK</v>
      </c>
      <c r="V993" s="0" t="str">
        <f aca="false">IF(T993&gt;=6,"High Risk",IF(T993&gt;=3,"Medium Risk","Low Risk"))</f>
        <v>Medium Risk</v>
      </c>
    </row>
    <row r="994" customFormat="false" ht="12.8" hidden="false" customHeight="false" outlineLevel="0" collapsed="false">
      <c r="A994" s="1" t="s">
        <v>1024</v>
      </c>
      <c r="B994" s="1" t="s">
        <v>36</v>
      </c>
      <c r="C994" s="1" t="s">
        <v>34</v>
      </c>
      <c r="D994" s="1" t="n">
        <v>10.61</v>
      </c>
      <c r="E994" s="1" t="n">
        <v>31</v>
      </c>
      <c r="F994" s="4" t="n">
        <v>45122</v>
      </c>
      <c r="G994" s="1" t="s">
        <v>25</v>
      </c>
      <c r="H994" s="1" t="n">
        <v>1</v>
      </c>
      <c r="I994" s="1" t="n">
        <v>62.6</v>
      </c>
      <c r="J994" s="1" t="n">
        <v>15</v>
      </c>
      <c r="K994" s="1" t="n">
        <v>6</v>
      </c>
      <c r="L994" s="1" t="n">
        <v>3</v>
      </c>
      <c r="M994" s="1" t="n">
        <v>0</v>
      </c>
      <c r="N994" s="1" t="n">
        <v>328.91</v>
      </c>
      <c r="O994" s="1" t="n">
        <v>0</v>
      </c>
      <c r="Q994" s="4" t="n">
        <v>46065</v>
      </c>
      <c r="R994" s="0" t="n">
        <f aca="false">IF(ISBLANK(F994),"Missing",IFERROR(YEAR(F994),"Missing"))</f>
        <v>2023</v>
      </c>
      <c r="S994" s="0" t="str">
        <f aca="false">IF(ISBLANK(E994),"Missing",IF(E994&lt;6,"0-6mo",IF(E994&lt;12,"6-12mo",IF(E994&lt;24,"12-24mo","24mo+"))))</f>
        <v>24mo+</v>
      </c>
      <c r="T994" s="0" t="n">
        <f aca="false">IF(ISBLANK(C994),0,IF(C994="Month-to-month",2,IF(C994="One year",1,0)))+IF(ISBLANK(I994),0,IF(I994&lt;40,2,IF(I994&lt;55,1,0)))+IF(ISBLANK(M994),0,IF(M994=1,3,0))+IF(ISBLANK(L994),0,IF(L994&gt;=2,1,0))+IF(ISBLANK(E994),0,IF(E994&lt;12,1,0))</f>
        <v>2</v>
      </c>
      <c r="U994" s="0" t="str">
        <f aca="false">IF((ISBLANK(B994)*1+ISBLANK(C994)*1+ISBLANK(D994)*1+ISBLANK(E994)*1+ISBLANK(F994)*1+ISBLANK(I994)*1+ISBLANK(J994)*1+ISBLANK(K994)*1+ISBLANK(L994)*1+ISBLANK(M994)*1+ISBLANK(N994)*1+ISBLANK(O994)*1)&gt;0,"Missing Data","OK")</f>
        <v>OK</v>
      </c>
      <c r="V994" s="0" t="str">
        <f aca="false">IF(T994&gt;=6,"High Risk",IF(T994&gt;=3,"Medium Risk","Low Risk"))</f>
        <v>Low Risk</v>
      </c>
    </row>
    <row r="995" customFormat="false" ht="12.8" hidden="false" customHeight="false" outlineLevel="0" collapsed="false">
      <c r="A995" s="1" t="s">
        <v>1025</v>
      </c>
      <c r="B995" s="1" t="s">
        <v>23</v>
      </c>
      <c r="C995" s="1" t="s">
        <v>24</v>
      </c>
      <c r="D995" s="1" t="n">
        <v>20.13</v>
      </c>
      <c r="E995" s="1" t="n">
        <v>40</v>
      </c>
      <c r="F995" s="4" t="n">
        <v>45123</v>
      </c>
      <c r="G995" s="1" t="s">
        <v>27</v>
      </c>
      <c r="H995" s="1" t="n">
        <v>1</v>
      </c>
      <c r="I995" s="1" t="n">
        <v>69.1</v>
      </c>
      <c r="J995" s="1" t="n">
        <v>22</v>
      </c>
      <c r="K995" s="1" t="n">
        <v>9</v>
      </c>
      <c r="L995" s="1" t="n">
        <v>1</v>
      </c>
      <c r="M995" s="1" t="n">
        <v>0</v>
      </c>
      <c r="N995" s="1" t="n">
        <v>805.2</v>
      </c>
      <c r="O995" s="1" t="n">
        <v>0</v>
      </c>
      <c r="Q995" s="4" t="n">
        <v>46293</v>
      </c>
      <c r="R995" s="0" t="n">
        <f aca="false">IF(ISBLANK(F995),"Missing",IFERROR(YEAR(F995),"Missing"))</f>
        <v>2023</v>
      </c>
      <c r="S995" s="0" t="str">
        <f aca="false">IF(ISBLANK(E995),"Missing",IF(E995&lt;6,"0-6mo",IF(E995&lt;12,"6-12mo",IF(E995&lt;24,"12-24mo","24mo+"))))</f>
        <v>24mo+</v>
      </c>
      <c r="T995" s="0" t="n">
        <f aca="false">IF(ISBLANK(C995),0,IF(C995="Month-to-month",2,IF(C995="One year",1,0)))+IF(ISBLANK(I995),0,IF(I995&lt;40,2,IF(I995&lt;55,1,0)))+IF(ISBLANK(M995),0,IF(M995=1,3,0))+IF(ISBLANK(L995),0,IF(L995&gt;=2,1,0))+IF(ISBLANK(E995),0,IF(E995&lt;12,1,0))</f>
        <v>2</v>
      </c>
      <c r="U995" s="0" t="str">
        <f aca="false">IF((ISBLANK(B995)*1+ISBLANK(C995)*1+ISBLANK(D995)*1+ISBLANK(E995)*1+ISBLANK(F995)*1+ISBLANK(I995)*1+ISBLANK(J995)*1+ISBLANK(K995)*1+ISBLANK(L995)*1+ISBLANK(M995)*1+ISBLANK(N995)*1+ISBLANK(O995)*1)&gt;0,"Missing Data","OK")</f>
        <v>OK</v>
      </c>
      <c r="V995" s="0" t="str">
        <f aca="false">IF(T995&gt;=6,"High Risk",IF(T995&gt;=3,"Medium Risk","Low Risk"))</f>
        <v>Low Risk</v>
      </c>
    </row>
    <row r="996" customFormat="false" ht="12.8" hidden="false" customHeight="false" outlineLevel="0" collapsed="false">
      <c r="A996" s="1" t="s">
        <v>1026</v>
      </c>
      <c r="B996" s="1" t="s">
        <v>29</v>
      </c>
      <c r="C996" s="1" t="s">
        <v>24</v>
      </c>
      <c r="D996" s="1" t="n">
        <v>39.07</v>
      </c>
      <c r="E996" s="1" t="n">
        <v>5</v>
      </c>
      <c r="F996" s="4" t="n">
        <v>45123</v>
      </c>
      <c r="G996" s="1" t="s">
        <v>25</v>
      </c>
      <c r="H996" s="1" t="n">
        <v>1</v>
      </c>
      <c r="I996" s="1" t="n">
        <v>60.7</v>
      </c>
      <c r="J996" s="1" t="n">
        <v>14</v>
      </c>
      <c r="K996" s="1" t="n">
        <v>6</v>
      </c>
      <c r="L996" s="1" t="n">
        <v>1</v>
      </c>
      <c r="M996" s="1" t="n">
        <v>0</v>
      </c>
      <c r="N996" s="1" t="n">
        <v>195.35</v>
      </c>
      <c r="O996" s="1" t="n">
        <v>0</v>
      </c>
      <c r="Q996" s="4" t="n">
        <v>45275</v>
      </c>
      <c r="R996" s="0" t="n">
        <f aca="false">IF(ISBLANK(F996),"Missing",IFERROR(YEAR(F996),"Missing"))</f>
        <v>2023</v>
      </c>
      <c r="S996" s="0" t="str">
        <f aca="false">IF(ISBLANK(E996),"Missing",IF(E996&lt;6,"0-6mo",IF(E996&lt;12,"6-12mo",IF(E996&lt;24,"12-24mo","24mo+"))))</f>
        <v>0-6mo</v>
      </c>
      <c r="T996" s="0" t="n">
        <f aca="false">IF(ISBLANK(C996),0,IF(C996="Month-to-month",2,IF(C996="One year",1,0)))+IF(ISBLANK(I996),0,IF(I996&lt;40,2,IF(I996&lt;55,1,0)))+IF(ISBLANK(M996),0,IF(M996=1,3,0))+IF(ISBLANK(L996),0,IF(L996&gt;=2,1,0))+IF(ISBLANK(E996),0,IF(E996&lt;12,1,0))</f>
        <v>3</v>
      </c>
      <c r="U996" s="0" t="str">
        <f aca="false">IF((ISBLANK(B996)*1+ISBLANK(C996)*1+ISBLANK(D996)*1+ISBLANK(E996)*1+ISBLANK(F996)*1+ISBLANK(I996)*1+ISBLANK(J996)*1+ISBLANK(K996)*1+ISBLANK(L996)*1+ISBLANK(M996)*1+ISBLANK(N996)*1+ISBLANK(O996)*1)&gt;0,"Missing Data","OK")</f>
        <v>OK</v>
      </c>
      <c r="V996" s="0" t="str">
        <f aca="false">IF(T996&gt;=6,"High Risk",IF(T996&gt;=3,"Medium Risk","Low Risk"))</f>
        <v>Medium Risk</v>
      </c>
    </row>
    <row r="997" customFormat="false" ht="12.8" hidden="false" customHeight="false" outlineLevel="0" collapsed="false">
      <c r="A997" s="1" t="s">
        <v>1027</v>
      </c>
      <c r="B997" s="1" t="s">
        <v>36</v>
      </c>
      <c r="C997" s="1" t="s">
        <v>24</v>
      </c>
      <c r="D997" s="1" t="n">
        <v>9.94</v>
      </c>
      <c r="E997" s="1" t="n">
        <v>4</v>
      </c>
      <c r="F997" s="4" t="n">
        <v>45125</v>
      </c>
      <c r="G997" s="1" t="s">
        <v>39</v>
      </c>
      <c r="H997" s="1" t="n">
        <v>1</v>
      </c>
      <c r="I997" s="1" t="n">
        <v>47.2</v>
      </c>
      <c r="J997" s="1" t="n">
        <v>13</v>
      </c>
      <c r="K997" s="1" t="n">
        <v>4</v>
      </c>
      <c r="L997" s="1" t="n">
        <v>1</v>
      </c>
      <c r="M997" s="1" t="n">
        <v>0</v>
      </c>
      <c r="N997" s="1" t="n">
        <v>39.76</v>
      </c>
      <c r="O997" s="1" t="n">
        <v>0</v>
      </c>
      <c r="Q997" s="4" t="n">
        <v>45246</v>
      </c>
      <c r="R997" s="0" t="n">
        <f aca="false">IF(ISBLANK(F997),"Missing",IFERROR(YEAR(F997),"Missing"))</f>
        <v>2023</v>
      </c>
      <c r="S997" s="0" t="str">
        <f aca="false">IF(ISBLANK(E997),"Missing",IF(E997&lt;6,"0-6mo",IF(E997&lt;12,"6-12mo",IF(E997&lt;24,"12-24mo","24mo+"))))</f>
        <v>0-6mo</v>
      </c>
      <c r="T997" s="0" t="n">
        <f aca="false">IF(ISBLANK(C997),0,IF(C997="Month-to-month",2,IF(C997="One year",1,0)))+IF(ISBLANK(I997),0,IF(I997&lt;40,2,IF(I997&lt;55,1,0)))+IF(ISBLANK(M997),0,IF(M997=1,3,0))+IF(ISBLANK(L997),0,IF(L997&gt;=2,1,0))+IF(ISBLANK(E997),0,IF(E997&lt;12,1,0))</f>
        <v>4</v>
      </c>
      <c r="U997" s="0" t="str">
        <f aca="false">IF((ISBLANK(B997)*1+ISBLANK(C997)*1+ISBLANK(D997)*1+ISBLANK(E997)*1+ISBLANK(F997)*1+ISBLANK(I997)*1+ISBLANK(J997)*1+ISBLANK(K997)*1+ISBLANK(L997)*1+ISBLANK(M997)*1+ISBLANK(N997)*1+ISBLANK(O997)*1)&gt;0,"Missing Data","OK")</f>
        <v>OK</v>
      </c>
      <c r="V997" s="0" t="str">
        <f aca="false">IF(T997&gt;=6,"High Risk",IF(T997&gt;=3,"Medium Risk","Low Risk"))</f>
        <v>Medium Risk</v>
      </c>
    </row>
    <row r="998" customFormat="false" ht="12.8" hidden="false" customHeight="false" outlineLevel="0" collapsed="false">
      <c r="A998" s="1" t="s">
        <v>1028</v>
      </c>
      <c r="B998" s="1" t="s">
        <v>23</v>
      </c>
      <c r="C998" s="1" t="s">
        <v>24</v>
      </c>
      <c r="D998" s="1" t="n">
        <v>18.64</v>
      </c>
      <c r="E998" s="1" t="n">
        <v>31</v>
      </c>
      <c r="F998" s="4" t="n">
        <v>45126</v>
      </c>
      <c r="G998" s="1" t="s">
        <v>25</v>
      </c>
      <c r="H998" s="1" t="n">
        <v>1</v>
      </c>
      <c r="I998" s="1" t="n">
        <v>68.5</v>
      </c>
      <c r="J998" s="1" t="n">
        <v>20</v>
      </c>
      <c r="K998" s="1" t="n">
        <v>7</v>
      </c>
      <c r="L998" s="1" t="n">
        <v>1</v>
      </c>
      <c r="M998" s="1" t="n">
        <v>1</v>
      </c>
      <c r="N998" s="1" t="n">
        <v>577.84</v>
      </c>
      <c r="O998" s="1" t="n">
        <v>0</v>
      </c>
      <c r="Q998" s="4" t="n">
        <v>46069</v>
      </c>
      <c r="R998" s="0" t="n">
        <f aca="false">IF(ISBLANK(F998),"Missing",IFERROR(YEAR(F998),"Missing"))</f>
        <v>2023</v>
      </c>
      <c r="S998" s="0" t="str">
        <f aca="false">IF(ISBLANK(E998),"Missing",IF(E998&lt;6,"0-6mo",IF(E998&lt;12,"6-12mo",IF(E998&lt;24,"12-24mo","24mo+"))))</f>
        <v>24mo+</v>
      </c>
      <c r="T998" s="0" t="n">
        <f aca="false">IF(ISBLANK(C998),0,IF(C998="Month-to-month",2,IF(C998="One year",1,0)))+IF(ISBLANK(I998),0,IF(I998&lt;40,2,IF(I998&lt;55,1,0)))+IF(ISBLANK(M998),0,IF(M998=1,3,0))+IF(ISBLANK(L998),0,IF(L998&gt;=2,1,0))+IF(ISBLANK(E998),0,IF(E998&lt;12,1,0))</f>
        <v>5</v>
      </c>
      <c r="U998" s="0" t="str">
        <f aca="false">IF((ISBLANK(B998)*1+ISBLANK(C998)*1+ISBLANK(D998)*1+ISBLANK(E998)*1+ISBLANK(F998)*1+ISBLANK(I998)*1+ISBLANK(J998)*1+ISBLANK(K998)*1+ISBLANK(L998)*1+ISBLANK(M998)*1+ISBLANK(N998)*1+ISBLANK(O998)*1)&gt;0,"Missing Data","OK")</f>
        <v>OK</v>
      </c>
      <c r="V998" s="0" t="str">
        <f aca="false">IF(T998&gt;=6,"High Risk",IF(T998&gt;=3,"Medium Risk","Low Risk"))</f>
        <v>Medium Risk</v>
      </c>
    </row>
    <row r="999" customFormat="false" ht="12.8" hidden="false" customHeight="false" outlineLevel="0" collapsed="false">
      <c r="A999" s="1" t="s">
        <v>1029</v>
      </c>
      <c r="B999" s="1" t="s">
        <v>23</v>
      </c>
      <c r="C999" s="1" t="s">
        <v>24</v>
      </c>
      <c r="D999" s="1" t="n">
        <v>20.29</v>
      </c>
      <c r="E999" s="1" t="n">
        <v>4</v>
      </c>
      <c r="F999" s="4" t="n">
        <v>45127</v>
      </c>
      <c r="G999" s="1" t="s">
        <v>39</v>
      </c>
      <c r="H999" s="1" t="n">
        <v>1</v>
      </c>
      <c r="I999" s="1" t="n">
        <v>70</v>
      </c>
      <c r="J999" s="1" t="n">
        <v>17</v>
      </c>
      <c r="K999" s="1" t="n">
        <v>8</v>
      </c>
      <c r="L999" s="1" t="n">
        <v>0</v>
      </c>
      <c r="M999" s="1" t="n">
        <v>0</v>
      </c>
      <c r="N999" s="1" t="n">
        <v>81.16</v>
      </c>
      <c r="O999" s="1" t="n">
        <v>0</v>
      </c>
      <c r="Q999" s="4" t="n">
        <v>45248</v>
      </c>
      <c r="R999" s="0" t="n">
        <f aca="false">IF(ISBLANK(F999),"Missing",IFERROR(YEAR(F999),"Missing"))</f>
        <v>2023</v>
      </c>
      <c r="S999" s="0" t="str">
        <f aca="false">IF(ISBLANK(E999),"Missing",IF(E999&lt;6,"0-6mo",IF(E999&lt;12,"6-12mo",IF(E999&lt;24,"12-24mo","24mo+"))))</f>
        <v>0-6mo</v>
      </c>
      <c r="T999" s="0" t="n">
        <f aca="false">IF(ISBLANK(C999),0,IF(C999="Month-to-month",2,IF(C999="One year",1,0)))+IF(ISBLANK(I999),0,IF(I999&lt;40,2,IF(I999&lt;55,1,0)))+IF(ISBLANK(M999),0,IF(M999=1,3,0))+IF(ISBLANK(L999),0,IF(L999&gt;=2,1,0))+IF(ISBLANK(E999),0,IF(E999&lt;12,1,0))</f>
        <v>3</v>
      </c>
      <c r="U999" s="0" t="str">
        <f aca="false">IF((ISBLANK(B999)*1+ISBLANK(C999)*1+ISBLANK(D999)*1+ISBLANK(E999)*1+ISBLANK(F999)*1+ISBLANK(I999)*1+ISBLANK(J999)*1+ISBLANK(K999)*1+ISBLANK(L999)*1+ISBLANK(M999)*1+ISBLANK(N999)*1+ISBLANK(O999)*1)&gt;0,"Missing Data","OK")</f>
        <v>OK</v>
      </c>
      <c r="V999" s="0" t="str">
        <f aca="false">IF(T999&gt;=6,"High Risk",IF(T999&gt;=3,"Medium Risk","Low Risk"))</f>
        <v>Medium Risk</v>
      </c>
    </row>
    <row r="1000" customFormat="false" ht="12.8" hidden="false" customHeight="false" outlineLevel="0" collapsed="false">
      <c r="A1000" s="1" t="s">
        <v>1030</v>
      </c>
      <c r="B1000" s="1" t="s">
        <v>36</v>
      </c>
      <c r="C1000" s="1" t="s">
        <v>24</v>
      </c>
      <c r="D1000" s="1" t="n">
        <v>8.99</v>
      </c>
      <c r="E1000" s="1" t="n">
        <v>26</v>
      </c>
      <c r="F1000" s="4" t="n">
        <v>45128</v>
      </c>
      <c r="G1000" s="1" t="s">
        <v>25</v>
      </c>
      <c r="H1000" s="1" t="n">
        <v>1</v>
      </c>
      <c r="I1000" s="1" t="n">
        <v>83.6</v>
      </c>
      <c r="J1000" s="1" t="n">
        <v>17</v>
      </c>
      <c r="K1000" s="1" t="n">
        <v>9</v>
      </c>
      <c r="L1000" s="1" t="n">
        <v>2</v>
      </c>
      <c r="M1000" s="1" t="n">
        <v>1</v>
      </c>
      <c r="N1000" s="1" t="n">
        <v>233.74</v>
      </c>
      <c r="O1000" s="1" t="n">
        <v>0</v>
      </c>
      <c r="Q1000" s="4" t="n">
        <v>45919</v>
      </c>
      <c r="R1000" s="0" t="n">
        <f aca="false">IF(ISBLANK(F1000),"Missing",IFERROR(YEAR(F1000),"Missing"))</f>
        <v>2023</v>
      </c>
      <c r="S1000" s="0" t="str">
        <f aca="false">IF(ISBLANK(E1000),"Missing",IF(E1000&lt;6,"0-6mo",IF(E1000&lt;12,"6-12mo",IF(E1000&lt;24,"12-24mo","24mo+"))))</f>
        <v>24mo+</v>
      </c>
      <c r="T1000" s="0" t="n">
        <f aca="false">IF(ISBLANK(C1000),0,IF(C1000="Month-to-month",2,IF(C1000="One year",1,0)))+IF(ISBLANK(I1000),0,IF(I1000&lt;40,2,IF(I1000&lt;55,1,0)))+IF(ISBLANK(M1000),0,IF(M1000=1,3,0))+IF(ISBLANK(L1000),0,IF(L1000&gt;=2,1,0))+IF(ISBLANK(E1000),0,IF(E1000&lt;12,1,0))</f>
        <v>6</v>
      </c>
      <c r="U1000" s="0" t="str">
        <f aca="false">IF((ISBLANK(B1000)*1+ISBLANK(C1000)*1+ISBLANK(D1000)*1+ISBLANK(E1000)*1+ISBLANK(F1000)*1+ISBLANK(I1000)*1+ISBLANK(J1000)*1+ISBLANK(K1000)*1+ISBLANK(L1000)*1+ISBLANK(M1000)*1+ISBLANK(N1000)*1+ISBLANK(O1000)*1)&gt;0,"Missing Data","OK")</f>
        <v>OK</v>
      </c>
      <c r="V1000" s="0" t="str">
        <f aca="false">IF(T1000&gt;=6,"High Risk",IF(T1000&gt;=3,"Medium Risk","Low Risk"))</f>
        <v>High Risk</v>
      </c>
    </row>
    <row r="1001" customFormat="false" ht="12.8" hidden="false" customHeight="false" outlineLevel="0" collapsed="false">
      <c r="A1001" s="1" t="s">
        <v>1031</v>
      </c>
      <c r="B1001" s="1" t="s">
        <v>29</v>
      </c>
      <c r="C1001" s="1" t="s">
        <v>24</v>
      </c>
      <c r="D1001" s="1" t="n">
        <v>40.58</v>
      </c>
      <c r="E1001" s="1" t="n">
        <v>2</v>
      </c>
      <c r="F1001" s="4" t="n">
        <v>45128</v>
      </c>
      <c r="G1001" s="1" t="s">
        <v>30</v>
      </c>
      <c r="H1001" s="1" t="n">
        <v>1</v>
      </c>
      <c r="I1001" s="1" t="n">
        <v>88.6</v>
      </c>
      <c r="J1001" s="1" t="n">
        <v>27</v>
      </c>
      <c r="K1001" s="1" t="n">
        <v>7</v>
      </c>
      <c r="L1001" s="1" t="n">
        <v>0</v>
      </c>
      <c r="M1001" s="1" t="n">
        <v>0</v>
      </c>
      <c r="N1001" s="1" t="n">
        <v>81.16</v>
      </c>
      <c r="O1001" s="1" t="n">
        <v>0</v>
      </c>
      <c r="Q1001" s="4" t="n">
        <v>45188</v>
      </c>
      <c r="R1001" s="0" t="n">
        <f aca="false">IF(ISBLANK(F1001),"Missing",IFERROR(YEAR(F1001),"Missing"))</f>
        <v>2023</v>
      </c>
      <c r="S1001" s="0" t="str">
        <f aca="false">IF(ISBLANK(E1001),"Missing",IF(E1001&lt;6,"0-6mo",IF(E1001&lt;12,"6-12mo",IF(E1001&lt;24,"12-24mo","24mo+"))))</f>
        <v>0-6mo</v>
      </c>
      <c r="T1001" s="0" t="n">
        <f aca="false">IF(ISBLANK(C1001),0,IF(C1001="Month-to-month",2,IF(C1001="One year",1,0)))+IF(ISBLANK(I1001),0,IF(I1001&lt;40,2,IF(I1001&lt;55,1,0)))+IF(ISBLANK(M1001),0,IF(M1001=1,3,0))+IF(ISBLANK(L1001),0,IF(L1001&gt;=2,1,0))+IF(ISBLANK(E1001),0,IF(E1001&lt;12,1,0))</f>
        <v>3</v>
      </c>
      <c r="U1001" s="0" t="str">
        <f aca="false">IF((ISBLANK(B1001)*1+ISBLANK(C1001)*1+ISBLANK(D1001)*1+ISBLANK(E1001)*1+ISBLANK(F1001)*1+ISBLANK(I1001)*1+ISBLANK(J1001)*1+ISBLANK(K1001)*1+ISBLANK(L1001)*1+ISBLANK(M1001)*1+ISBLANK(N1001)*1+ISBLANK(O1001)*1)&gt;0,"Missing Data","OK")</f>
        <v>OK</v>
      </c>
      <c r="V1001" s="0" t="str">
        <f aca="false">IF(T1001&gt;=6,"High Risk",IF(T1001&gt;=3,"Medium Risk","Low Risk"))</f>
        <v>Medium Risk</v>
      </c>
    </row>
    <row r="1002" customFormat="false" ht="12.8" hidden="false" customHeight="false" outlineLevel="0" collapsed="false">
      <c r="A1002" s="1" t="s">
        <v>1032</v>
      </c>
      <c r="B1002" s="1" t="s">
        <v>29</v>
      </c>
      <c r="C1002" s="1" t="s">
        <v>24</v>
      </c>
      <c r="D1002" s="1" t="n">
        <v>39.84</v>
      </c>
      <c r="E1002" s="1" t="n">
        <v>8</v>
      </c>
      <c r="F1002" s="4" t="n">
        <v>45129</v>
      </c>
      <c r="G1002" s="1" t="s">
        <v>30</v>
      </c>
      <c r="H1002" s="1" t="n">
        <v>0</v>
      </c>
      <c r="I1002" s="1" t="n">
        <v>82.1</v>
      </c>
      <c r="J1002" s="1" t="n">
        <v>21</v>
      </c>
      <c r="K1002" s="1" t="n">
        <v>7</v>
      </c>
      <c r="L1002" s="1" t="n">
        <v>0</v>
      </c>
      <c r="M1002" s="1" t="n">
        <v>0</v>
      </c>
      <c r="N1002" s="1" t="n">
        <v>318.72</v>
      </c>
      <c r="O1002" s="1" t="n">
        <v>1</v>
      </c>
      <c r="P1002" s="4" t="n">
        <v>45372</v>
      </c>
      <c r="Q1002" s="4" t="n">
        <v>45372</v>
      </c>
      <c r="R1002" s="0" t="n">
        <f aca="false">IF(ISBLANK(F1002),"Missing",IFERROR(YEAR(F1002),"Missing"))</f>
        <v>2023</v>
      </c>
      <c r="S1002" s="0" t="str">
        <f aca="false">IF(ISBLANK(E1002),"Missing",IF(E1002&lt;6,"0-6mo",IF(E1002&lt;12,"6-12mo",IF(E1002&lt;24,"12-24mo","24mo+"))))</f>
        <v>6-12mo</v>
      </c>
      <c r="T1002" s="0" t="n">
        <f aca="false">IF(ISBLANK(C1002),0,IF(C1002="Month-to-month",2,IF(C1002="One year",1,0)))+IF(ISBLANK(I1002),0,IF(I1002&lt;40,2,IF(I1002&lt;55,1,0)))+IF(ISBLANK(M1002),0,IF(M1002=1,3,0))+IF(ISBLANK(L1002),0,IF(L1002&gt;=2,1,0))+IF(ISBLANK(E1002),0,IF(E1002&lt;12,1,0))</f>
        <v>3</v>
      </c>
      <c r="U1002" s="0" t="str">
        <f aca="false">IF((ISBLANK(B1002)*1+ISBLANK(C1002)*1+ISBLANK(D1002)*1+ISBLANK(E1002)*1+ISBLANK(F1002)*1+ISBLANK(I1002)*1+ISBLANK(J1002)*1+ISBLANK(K1002)*1+ISBLANK(L1002)*1+ISBLANK(M1002)*1+ISBLANK(N1002)*1+ISBLANK(O1002)*1)&gt;0,"Missing Data","OK")</f>
        <v>OK</v>
      </c>
      <c r="V1002" s="0" t="str">
        <f aca="false">IF(T1002&gt;=6,"High Risk",IF(T1002&gt;=3,"Medium Risk","Low Risk"))</f>
        <v>Medium Risk</v>
      </c>
    </row>
    <row r="1003" customFormat="false" ht="12.8" hidden="false" customHeight="false" outlineLevel="0" collapsed="false">
      <c r="A1003" s="1" t="s">
        <v>1033</v>
      </c>
      <c r="B1003" s="1" t="s">
        <v>36</v>
      </c>
      <c r="C1003" s="1" t="s">
        <v>24</v>
      </c>
      <c r="D1003" s="1" t="n">
        <v>10.5</v>
      </c>
      <c r="E1003" s="1" t="n">
        <v>20</v>
      </c>
      <c r="F1003" s="4" t="n">
        <v>45133</v>
      </c>
      <c r="G1003" s="1" t="s">
        <v>25</v>
      </c>
      <c r="H1003" s="1" t="n">
        <v>1</v>
      </c>
      <c r="I1003" s="1" t="n">
        <v>57.5</v>
      </c>
      <c r="J1003" s="1" t="n">
        <v>16</v>
      </c>
      <c r="K1003" s="1" t="n">
        <v>5</v>
      </c>
      <c r="L1003" s="1" t="n">
        <v>2</v>
      </c>
      <c r="M1003" s="1" t="n">
        <v>0</v>
      </c>
      <c r="N1003" s="1" t="n">
        <v>210</v>
      </c>
      <c r="O1003" s="1" t="n">
        <v>1</v>
      </c>
      <c r="P1003" s="4" t="n">
        <v>45741</v>
      </c>
      <c r="Q1003" s="4" t="n">
        <v>45741</v>
      </c>
      <c r="R1003" s="0" t="n">
        <f aca="false">IF(ISBLANK(F1003),"Missing",IFERROR(YEAR(F1003),"Missing"))</f>
        <v>2023</v>
      </c>
      <c r="S1003" s="0" t="str">
        <f aca="false">IF(ISBLANK(E1003),"Missing",IF(E1003&lt;6,"0-6mo",IF(E1003&lt;12,"6-12mo",IF(E1003&lt;24,"12-24mo","24mo+"))))</f>
        <v>12-24mo</v>
      </c>
      <c r="T1003" s="0" t="n">
        <f aca="false">IF(ISBLANK(C1003),0,IF(C1003="Month-to-month",2,IF(C1003="One year",1,0)))+IF(ISBLANK(I1003),0,IF(I1003&lt;40,2,IF(I1003&lt;55,1,0)))+IF(ISBLANK(M1003),0,IF(M1003=1,3,0))+IF(ISBLANK(L1003),0,IF(L1003&gt;=2,1,0))+IF(ISBLANK(E1003),0,IF(E1003&lt;12,1,0))</f>
        <v>3</v>
      </c>
      <c r="U1003" s="0" t="str">
        <f aca="false">IF((ISBLANK(B1003)*1+ISBLANK(C1003)*1+ISBLANK(D1003)*1+ISBLANK(E1003)*1+ISBLANK(F1003)*1+ISBLANK(I1003)*1+ISBLANK(J1003)*1+ISBLANK(K1003)*1+ISBLANK(L1003)*1+ISBLANK(M1003)*1+ISBLANK(N1003)*1+ISBLANK(O1003)*1)&gt;0,"Missing Data","OK")</f>
        <v>OK</v>
      </c>
      <c r="V1003" s="0" t="str">
        <f aca="false">IF(T1003&gt;=6,"High Risk",IF(T1003&gt;=3,"Medium Risk","Low Risk"))</f>
        <v>Medium Risk</v>
      </c>
    </row>
    <row r="1004" customFormat="false" ht="12.8" hidden="false" customHeight="false" outlineLevel="0" collapsed="false">
      <c r="A1004" s="1" t="s">
        <v>1034</v>
      </c>
      <c r="B1004" s="1" t="s">
        <v>29</v>
      </c>
      <c r="C1004" s="1" t="s">
        <v>51</v>
      </c>
      <c r="D1004" s="1" t="n">
        <v>39.8</v>
      </c>
      <c r="E1004" s="1" t="n">
        <v>1</v>
      </c>
      <c r="F1004" s="4" t="n">
        <v>45133</v>
      </c>
      <c r="G1004" s="1" t="s">
        <v>30</v>
      </c>
      <c r="H1004" s="1" t="n">
        <v>0</v>
      </c>
      <c r="I1004" s="1" t="n">
        <v>72.3</v>
      </c>
      <c r="J1004" s="1" t="n">
        <v>24</v>
      </c>
      <c r="K1004" s="1" t="n">
        <v>6</v>
      </c>
      <c r="L1004" s="1" t="n">
        <v>2</v>
      </c>
      <c r="M1004" s="1" t="n">
        <v>0</v>
      </c>
      <c r="N1004" s="1" t="n">
        <v>39.8</v>
      </c>
      <c r="O1004" s="1" t="n">
        <v>0</v>
      </c>
      <c r="Q1004" s="4" t="n">
        <v>45163</v>
      </c>
      <c r="R1004" s="0" t="n">
        <f aca="false">IF(ISBLANK(F1004),"Missing",IFERROR(YEAR(F1004),"Missing"))</f>
        <v>2023</v>
      </c>
      <c r="S1004" s="0" t="str">
        <f aca="false">IF(ISBLANK(E1004),"Missing",IF(E1004&lt;6,"0-6mo",IF(E1004&lt;12,"6-12mo",IF(E1004&lt;24,"12-24mo","24mo+"))))</f>
        <v>0-6mo</v>
      </c>
      <c r="T1004" s="0" t="n">
        <f aca="false">IF(ISBLANK(C1004),0,IF(C1004="Month-to-month",2,IF(C1004="One year",1,0)))+IF(ISBLANK(I1004),0,IF(I1004&lt;40,2,IF(I1004&lt;55,1,0)))+IF(ISBLANK(M1004),0,IF(M1004=1,3,0))+IF(ISBLANK(L1004),0,IF(L1004&gt;=2,1,0))+IF(ISBLANK(E1004),0,IF(E1004&lt;12,1,0))</f>
        <v>2</v>
      </c>
      <c r="U1004" s="0" t="str">
        <f aca="false">IF((ISBLANK(B1004)*1+ISBLANK(C1004)*1+ISBLANK(D1004)*1+ISBLANK(E1004)*1+ISBLANK(F1004)*1+ISBLANK(I1004)*1+ISBLANK(J1004)*1+ISBLANK(K1004)*1+ISBLANK(L1004)*1+ISBLANK(M1004)*1+ISBLANK(N1004)*1+ISBLANK(O1004)*1)&gt;0,"Missing Data","OK")</f>
        <v>OK</v>
      </c>
      <c r="V1004" s="0" t="str">
        <f aca="false">IF(T1004&gt;=6,"High Risk",IF(T1004&gt;=3,"Medium Risk","Low Risk"))</f>
        <v>Low Risk</v>
      </c>
    </row>
    <row r="1005" customFormat="false" ht="12.8" hidden="false" customHeight="false" outlineLevel="0" collapsed="false">
      <c r="A1005" s="1" t="s">
        <v>1035</v>
      </c>
      <c r="B1005" s="1" t="s">
        <v>36</v>
      </c>
      <c r="C1005" s="1" t="s">
        <v>34</v>
      </c>
      <c r="D1005" s="1" t="n">
        <v>8.9</v>
      </c>
      <c r="E1005" s="1" t="n">
        <v>22</v>
      </c>
      <c r="F1005" s="4" t="n">
        <v>45136</v>
      </c>
      <c r="G1005" s="1" t="s">
        <v>39</v>
      </c>
      <c r="H1005" s="1" t="n">
        <v>1</v>
      </c>
      <c r="I1005" s="1" t="n">
        <v>37.8</v>
      </c>
      <c r="J1005" s="1" t="n">
        <v>9</v>
      </c>
      <c r="K1005" s="1" t="n">
        <v>5</v>
      </c>
      <c r="L1005" s="1" t="n">
        <v>3</v>
      </c>
      <c r="M1005" s="1" t="n">
        <v>1</v>
      </c>
      <c r="N1005" s="1" t="n">
        <v>195.8</v>
      </c>
      <c r="O1005" s="1" t="n">
        <v>0</v>
      </c>
      <c r="Q1005" s="4" t="n">
        <v>45805</v>
      </c>
      <c r="R1005" s="0" t="n">
        <f aca="false">IF(ISBLANK(F1005),"Missing",IFERROR(YEAR(F1005),"Missing"))</f>
        <v>2023</v>
      </c>
      <c r="S1005" s="0" t="str">
        <f aca="false">IF(ISBLANK(E1005),"Missing",IF(E1005&lt;6,"0-6mo",IF(E1005&lt;12,"6-12mo",IF(E1005&lt;24,"12-24mo","24mo+"))))</f>
        <v>12-24mo</v>
      </c>
      <c r="T1005" s="0" t="n">
        <f aca="false">IF(ISBLANK(C1005),0,IF(C1005="Month-to-month",2,IF(C1005="One year",1,0)))+IF(ISBLANK(I1005),0,IF(I1005&lt;40,2,IF(I1005&lt;55,1,0)))+IF(ISBLANK(M1005),0,IF(M1005=1,3,0))+IF(ISBLANK(L1005),0,IF(L1005&gt;=2,1,0))+IF(ISBLANK(E1005),0,IF(E1005&lt;12,1,0))</f>
        <v>7</v>
      </c>
      <c r="U1005" s="0" t="str">
        <f aca="false">IF((ISBLANK(B1005)*1+ISBLANK(C1005)*1+ISBLANK(D1005)*1+ISBLANK(E1005)*1+ISBLANK(F1005)*1+ISBLANK(I1005)*1+ISBLANK(J1005)*1+ISBLANK(K1005)*1+ISBLANK(L1005)*1+ISBLANK(M1005)*1+ISBLANK(N1005)*1+ISBLANK(O1005)*1)&gt;0,"Missing Data","OK")</f>
        <v>OK</v>
      </c>
      <c r="V1005" s="0" t="str">
        <f aca="false">IF(T1005&gt;=6,"High Risk",IF(T1005&gt;=3,"Medium Risk","Low Risk"))</f>
        <v>High Risk</v>
      </c>
    </row>
    <row r="1006" customFormat="false" ht="12.8" hidden="false" customHeight="false" outlineLevel="0" collapsed="false">
      <c r="A1006" s="1" t="s">
        <v>1036</v>
      </c>
      <c r="B1006" s="1" t="s">
        <v>23</v>
      </c>
      <c r="C1006" s="1" t="s">
        <v>24</v>
      </c>
      <c r="D1006" s="1" t="n">
        <v>22</v>
      </c>
      <c r="E1006" s="1" t="n">
        <v>12</v>
      </c>
      <c r="F1006" s="4" t="n">
        <v>45140</v>
      </c>
      <c r="G1006" s="1" t="s">
        <v>27</v>
      </c>
      <c r="H1006" s="1" t="n">
        <v>1</v>
      </c>
      <c r="I1006" s="1" t="n">
        <v>25.4</v>
      </c>
      <c r="J1006" s="1" t="n">
        <v>7</v>
      </c>
      <c r="K1006" s="1" t="n">
        <v>2</v>
      </c>
      <c r="L1006" s="1" t="n">
        <v>1</v>
      </c>
      <c r="M1006" s="1" t="n">
        <v>0</v>
      </c>
      <c r="N1006" s="1" t="n">
        <v>264</v>
      </c>
      <c r="O1006" s="1" t="n">
        <v>0</v>
      </c>
      <c r="Q1006" s="4" t="n">
        <v>45505</v>
      </c>
      <c r="R1006" s="0" t="n">
        <f aca="false">IF(ISBLANK(F1006),"Missing",IFERROR(YEAR(F1006),"Missing"))</f>
        <v>2023</v>
      </c>
      <c r="S1006" s="0" t="str">
        <f aca="false">IF(ISBLANK(E1006),"Missing",IF(E1006&lt;6,"0-6mo",IF(E1006&lt;12,"6-12mo",IF(E1006&lt;24,"12-24mo","24mo+"))))</f>
        <v>12-24mo</v>
      </c>
      <c r="T1006" s="0" t="n">
        <f aca="false">IF(ISBLANK(C1006),0,IF(C1006="Month-to-month",2,IF(C1006="One year",1,0)))+IF(ISBLANK(I1006),0,IF(I1006&lt;40,2,IF(I1006&lt;55,1,0)))+IF(ISBLANK(M1006),0,IF(M1006=1,3,0))+IF(ISBLANK(L1006),0,IF(L1006&gt;=2,1,0))+IF(ISBLANK(E1006),0,IF(E1006&lt;12,1,0))</f>
        <v>4</v>
      </c>
      <c r="U1006" s="0" t="str">
        <f aca="false">IF((ISBLANK(B1006)*1+ISBLANK(C1006)*1+ISBLANK(D1006)*1+ISBLANK(E1006)*1+ISBLANK(F1006)*1+ISBLANK(I1006)*1+ISBLANK(J1006)*1+ISBLANK(K1006)*1+ISBLANK(L1006)*1+ISBLANK(M1006)*1+ISBLANK(N1006)*1+ISBLANK(O1006)*1)&gt;0,"Missing Data","OK")</f>
        <v>OK</v>
      </c>
      <c r="V1006" s="0" t="str">
        <f aca="false">IF(T1006&gt;=6,"High Risk",IF(T1006&gt;=3,"Medium Risk","Low Risk"))</f>
        <v>Medium Risk</v>
      </c>
    </row>
    <row r="1007" customFormat="false" ht="12.8" hidden="false" customHeight="false" outlineLevel="0" collapsed="false">
      <c r="A1007" s="1" t="s">
        <v>1037</v>
      </c>
      <c r="B1007" s="1" t="s">
        <v>29</v>
      </c>
      <c r="C1007" s="1" t="s">
        <v>24</v>
      </c>
      <c r="D1007" s="1" t="n">
        <v>39.91</v>
      </c>
      <c r="E1007" s="1" t="n">
        <v>19</v>
      </c>
      <c r="F1007" s="4" t="n">
        <v>45140</v>
      </c>
      <c r="G1007" s="1" t="s">
        <v>30</v>
      </c>
      <c r="H1007" s="1" t="n">
        <v>1</v>
      </c>
      <c r="I1007" s="1" t="n">
        <v>61.8</v>
      </c>
      <c r="J1007" s="1" t="n">
        <v>12</v>
      </c>
      <c r="K1007" s="1" t="n">
        <v>8</v>
      </c>
      <c r="L1007" s="1" t="n">
        <v>0</v>
      </c>
      <c r="M1007" s="1" t="n">
        <v>0</v>
      </c>
      <c r="N1007" s="1" t="n">
        <v>758.29</v>
      </c>
      <c r="O1007" s="1" t="n">
        <v>1</v>
      </c>
      <c r="P1007" s="4" t="n">
        <v>45718</v>
      </c>
      <c r="Q1007" s="4" t="n">
        <v>45718</v>
      </c>
      <c r="R1007" s="0" t="n">
        <f aca="false">IF(ISBLANK(F1007),"Missing",IFERROR(YEAR(F1007),"Missing"))</f>
        <v>2023</v>
      </c>
      <c r="S1007" s="0" t="str">
        <f aca="false">IF(ISBLANK(E1007),"Missing",IF(E1007&lt;6,"0-6mo",IF(E1007&lt;12,"6-12mo",IF(E1007&lt;24,"12-24mo","24mo+"))))</f>
        <v>12-24mo</v>
      </c>
      <c r="T1007" s="0" t="n">
        <f aca="false">IF(ISBLANK(C1007),0,IF(C1007="Month-to-month",2,IF(C1007="One year",1,0)))+IF(ISBLANK(I1007),0,IF(I1007&lt;40,2,IF(I1007&lt;55,1,0)))+IF(ISBLANK(M1007),0,IF(M1007=1,3,0))+IF(ISBLANK(L1007),0,IF(L1007&gt;=2,1,0))+IF(ISBLANK(E1007),0,IF(E1007&lt;12,1,0))</f>
        <v>2</v>
      </c>
      <c r="U1007" s="0" t="str">
        <f aca="false">IF((ISBLANK(B1007)*1+ISBLANK(C1007)*1+ISBLANK(D1007)*1+ISBLANK(E1007)*1+ISBLANK(F1007)*1+ISBLANK(I1007)*1+ISBLANK(J1007)*1+ISBLANK(K1007)*1+ISBLANK(L1007)*1+ISBLANK(M1007)*1+ISBLANK(N1007)*1+ISBLANK(O1007)*1)&gt;0,"Missing Data","OK")</f>
        <v>OK</v>
      </c>
      <c r="V1007" s="0" t="str">
        <f aca="false">IF(T1007&gt;=6,"High Risk",IF(T1007&gt;=3,"Medium Risk","Low Risk"))</f>
        <v>Low Risk</v>
      </c>
    </row>
    <row r="1008" customFormat="false" ht="12.8" hidden="false" customHeight="false" outlineLevel="0" collapsed="false">
      <c r="A1008" s="1" t="s">
        <v>1038</v>
      </c>
      <c r="B1008" s="1" t="s">
        <v>36</v>
      </c>
      <c r="C1008" s="1" t="s">
        <v>34</v>
      </c>
      <c r="D1008" s="1" t="n">
        <v>10.66</v>
      </c>
      <c r="E1008" s="1" t="n">
        <v>6</v>
      </c>
      <c r="F1008" s="4" t="n">
        <v>45140</v>
      </c>
      <c r="G1008" s="1" t="s">
        <v>25</v>
      </c>
      <c r="H1008" s="1" t="n">
        <v>1</v>
      </c>
      <c r="I1008" s="1" t="n">
        <v>41.9</v>
      </c>
      <c r="J1008" s="1" t="n">
        <v>18</v>
      </c>
      <c r="K1008" s="1" t="n">
        <v>2</v>
      </c>
      <c r="L1008" s="1" t="n">
        <v>2</v>
      </c>
      <c r="M1008" s="1" t="n">
        <v>0</v>
      </c>
      <c r="N1008" s="1" t="n">
        <v>63.96</v>
      </c>
      <c r="O1008" s="1" t="n">
        <v>0</v>
      </c>
      <c r="Q1008" s="4" t="n">
        <v>45322</v>
      </c>
      <c r="R1008" s="0" t="n">
        <f aca="false">IF(ISBLANK(F1008),"Missing",IFERROR(YEAR(F1008),"Missing"))</f>
        <v>2023</v>
      </c>
      <c r="S1008" s="0" t="str">
        <f aca="false">IF(ISBLANK(E1008),"Missing",IF(E1008&lt;6,"0-6mo",IF(E1008&lt;12,"6-12mo",IF(E1008&lt;24,"12-24mo","24mo+"))))</f>
        <v>6-12mo</v>
      </c>
      <c r="T1008" s="0" t="n">
        <f aca="false">IF(ISBLANK(C1008),0,IF(C1008="Month-to-month",2,IF(C1008="One year",1,0)))+IF(ISBLANK(I1008),0,IF(I1008&lt;40,2,IF(I1008&lt;55,1,0)))+IF(ISBLANK(M1008),0,IF(M1008=1,3,0))+IF(ISBLANK(L1008),0,IF(L1008&gt;=2,1,0))+IF(ISBLANK(E1008),0,IF(E1008&lt;12,1,0))</f>
        <v>4</v>
      </c>
      <c r="U1008" s="0" t="str">
        <f aca="false">IF((ISBLANK(B1008)*1+ISBLANK(C1008)*1+ISBLANK(D1008)*1+ISBLANK(E1008)*1+ISBLANK(F1008)*1+ISBLANK(I1008)*1+ISBLANK(J1008)*1+ISBLANK(K1008)*1+ISBLANK(L1008)*1+ISBLANK(M1008)*1+ISBLANK(N1008)*1+ISBLANK(O1008)*1)&gt;0,"Missing Data","OK")</f>
        <v>OK</v>
      </c>
      <c r="V1008" s="0" t="str">
        <f aca="false">IF(T1008&gt;=6,"High Risk",IF(T1008&gt;=3,"Medium Risk","Low Risk"))</f>
        <v>Medium Risk</v>
      </c>
    </row>
    <row r="1009" customFormat="false" ht="12.8" hidden="false" customHeight="false" outlineLevel="0" collapsed="false">
      <c r="A1009" s="1" t="s">
        <v>1039</v>
      </c>
      <c r="B1009" s="1" t="s">
        <v>36</v>
      </c>
      <c r="C1009" s="1" t="s">
        <v>24</v>
      </c>
      <c r="D1009" s="1" t="n">
        <v>10.15</v>
      </c>
      <c r="E1009" s="1" t="n">
        <v>14</v>
      </c>
      <c r="F1009" s="4" t="n">
        <v>45141</v>
      </c>
      <c r="G1009" s="1" t="s">
        <v>39</v>
      </c>
      <c r="H1009" s="1" t="n">
        <v>0</v>
      </c>
      <c r="I1009" s="1" t="n">
        <v>96.2</v>
      </c>
      <c r="J1009" s="1" t="n">
        <v>24</v>
      </c>
      <c r="K1009" s="1" t="n">
        <v>10</v>
      </c>
      <c r="L1009" s="1" t="n">
        <v>2</v>
      </c>
      <c r="M1009" s="1" t="n">
        <v>1</v>
      </c>
      <c r="N1009" s="1" t="n">
        <v>142.1</v>
      </c>
      <c r="O1009" s="1" t="n">
        <v>0</v>
      </c>
      <c r="Q1009" s="4" t="n">
        <v>45567</v>
      </c>
      <c r="R1009" s="0" t="n">
        <f aca="false">IF(ISBLANK(F1009),"Missing",IFERROR(YEAR(F1009),"Missing"))</f>
        <v>2023</v>
      </c>
      <c r="S1009" s="0" t="str">
        <f aca="false">IF(ISBLANK(E1009),"Missing",IF(E1009&lt;6,"0-6mo",IF(E1009&lt;12,"6-12mo",IF(E1009&lt;24,"12-24mo","24mo+"))))</f>
        <v>12-24mo</v>
      </c>
      <c r="T1009" s="0" t="n">
        <f aca="false">IF(ISBLANK(C1009),0,IF(C1009="Month-to-month",2,IF(C1009="One year",1,0)))+IF(ISBLANK(I1009),0,IF(I1009&lt;40,2,IF(I1009&lt;55,1,0)))+IF(ISBLANK(M1009),0,IF(M1009=1,3,0))+IF(ISBLANK(L1009),0,IF(L1009&gt;=2,1,0))+IF(ISBLANK(E1009),0,IF(E1009&lt;12,1,0))</f>
        <v>6</v>
      </c>
      <c r="U1009" s="0" t="str">
        <f aca="false">IF((ISBLANK(B1009)*1+ISBLANK(C1009)*1+ISBLANK(D1009)*1+ISBLANK(E1009)*1+ISBLANK(F1009)*1+ISBLANK(I1009)*1+ISBLANK(J1009)*1+ISBLANK(K1009)*1+ISBLANK(L1009)*1+ISBLANK(M1009)*1+ISBLANK(N1009)*1+ISBLANK(O1009)*1)&gt;0,"Missing Data","OK")</f>
        <v>OK</v>
      </c>
      <c r="V1009" s="0" t="str">
        <f aca="false">IF(T1009&gt;=6,"High Risk",IF(T1009&gt;=3,"Medium Risk","Low Risk"))</f>
        <v>High Risk</v>
      </c>
    </row>
    <row r="1010" customFormat="false" ht="12.8" hidden="false" customHeight="false" outlineLevel="0" collapsed="false">
      <c r="A1010" s="1" t="s">
        <v>1040</v>
      </c>
      <c r="B1010" s="1" t="s">
        <v>36</v>
      </c>
      <c r="C1010" s="1" t="s">
        <v>24</v>
      </c>
      <c r="D1010" s="1" t="n">
        <v>8.68</v>
      </c>
      <c r="E1010" s="1" t="n">
        <v>12</v>
      </c>
      <c r="F1010" s="4" t="n">
        <v>45142</v>
      </c>
      <c r="G1010" s="1" t="s">
        <v>25</v>
      </c>
      <c r="H1010" s="1" t="n">
        <v>1</v>
      </c>
      <c r="I1010" s="1" t="n">
        <v>50.3</v>
      </c>
      <c r="J1010" s="1" t="n">
        <v>12</v>
      </c>
      <c r="K1010" s="1" t="n">
        <v>6</v>
      </c>
      <c r="L1010" s="1" t="n">
        <v>1</v>
      </c>
      <c r="M1010" s="1" t="n">
        <v>0</v>
      </c>
      <c r="N1010" s="1" t="n">
        <v>104.16</v>
      </c>
      <c r="O1010" s="1" t="n">
        <v>0</v>
      </c>
      <c r="Q1010" s="4" t="n">
        <v>45507</v>
      </c>
      <c r="R1010" s="0" t="n">
        <f aca="false">IF(ISBLANK(F1010),"Missing",IFERROR(YEAR(F1010),"Missing"))</f>
        <v>2023</v>
      </c>
      <c r="S1010" s="0" t="str">
        <f aca="false">IF(ISBLANK(E1010),"Missing",IF(E1010&lt;6,"0-6mo",IF(E1010&lt;12,"6-12mo",IF(E1010&lt;24,"12-24mo","24mo+"))))</f>
        <v>12-24mo</v>
      </c>
      <c r="T1010" s="0" t="n">
        <f aca="false">IF(ISBLANK(C1010),0,IF(C1010="Month-to-month",2,IF(C1010="One year",1,0)))+IF(ISBLANK(I1010),0,IF(I1010&lt;40,2,IF(I1010&lt;55,1,0)))+IF(ISBLANK(M1010),0,IF(M1010=1,3,0))+IF(ISBLANK(L1010),0,IF(L1010&gt;=2,1,0))+IF(ISBLANK(E1010),0,IF(E1010&lt;12,1,0))</f>
        <v>3</v>
      </c>
      <c r="U1010" s="0" t="str">
        <f aca="false">IF((ISBLANK(B1010)*1+ISBLANK(C1010)*1+ISBLANK(D1010)*1+ISBLANK(E1010)*1+ISBLANK(F1010)*1+ISBLANK(I1010)*1+ISBLANK(J1010)*1+ISBLANK(K1010)*1+ISBLANK(L1010)*1+ISBLANK(M1010)*1+ISBLANK(N1010)*1+ISBLANK(O1010)*1)&gt;0,"Missing Data","OK")</f>
        <v>OK</v>
      </c>
      <c r="V1010" s="0" t="str">
        <f aca="false">IF(T1010&gt;=6,"High Risk",IF(T1010&gt;=3,"Medium Risk","Low Risk"))</f>
        <v>Medium Risk</v>
      </c>
    </row>
    <row r="1011" customFormat="false" ht="12.8" hidden="false" customHeight="false" outlineLevel="0" collapsed="false">
      <c r="A1011" s="1" t="s">
        <v>1041</v>
      </c>
      <c r="B1011" s="1" t="s">
        <v>23</v>
      </c>
      <c r="C1011" s="1" t="s">
        <v>24</v>
      </c>
      <c r="D1011" s="1" t="n">
        <v>21.22</v>
      </c>
      <c r="E1011" s="1" t="n">
        <v>17</v>
      </c>
      <c r="F1011" s="4" t="n">
        <v>45144</v>
      </c>
      <c r="G1011" s="1" t="s">
        <v>25</v>
      </c>
      <c r="H1011" s="1" t="n">
        <v>0</v>
      </c>
      <c r="I1011" s="1" t="n">
        <v>31.2</v>
      </c>
      <c r="J1011" s="1" t="n">
        <v>10</v>
      </c>
      <c r="K1011" s="1" t="n">
        <v>6</v>
      </c>
      <c r="L1011" s="1" t="n">
        <v>0</v>
      </c>
      <c r="M1011" s="1" t="n">
        <v>0</v>
      </c>
      <c r="N1011" s="1" t="n">
        <v>360.74</v>
      </c>
      <c r="O1011" s="1" t="n">
        <v>0</v>
      </c>
      <c r="Q1011" s="4" t="n">
        <v>45661</v>
      </c>
      <c r="R1011" s="0" t="n">
        <f aca="false">IF(ISBLANK(F1011),"Missing",IFERROR(YEAR(F1011),"Missing"))</f>
        <v>2023</v>
      </c>
      <c r="S1011" s="0" t="str">
        <f aca="false">IF(ISBLANK(E1011),"Missing",IF(E1011&lt;6,"0-6mo",IF(E1011&lt;12,"6-12mo",IF(E1011&lt;24,"12-24mo","24mo+"))))</f>
        <v>12-24mo</v>
      </c>
      <c r="T1011" s="0" t="n">
        <f aca="false">IF(ISBLANK(C1011),0,IF(C1011="Month-to-month",2,IF(C1011="One year",1,0)))+IF(ISBLANK(I1011),0,IF(I1011&lt;40,2,IF(I1011&lt;55,1,0)))+IF(ISBLANK(M1011),0,IF(M1011=1,3,0))+IF(ISBLANK(L1011),0,IF(L1011&gt;=2,1,0))+IF(ISBLANK(E1011),0,IF(E1011&lt;12,1,0))</f>
        <v>4</v>
      </c>
      <c r="U1011" s="0" t="str">
        <f aca="false">IF((ISBLANK(B1011)*1+ISBLANK(C1011)*1+ISBLANK(D1011)*1+ISBLANK(E1011)*1+ISBLANK(F1011)*1+ISBLANK(I1011)*1+ISBLANK(J1011)*1+ISBLANK(K1011)*1+ISBLANK(L1011)*1+ISBLANK(M1011)*1+ISBLANK(N1011)*1+ISBLANK(O1011)*1)&gt;0,"Missing Data","OK")</f>
        <v>OK</v>
      </c>
      <c r="V1011" s="0" t="str">
        <f aca="false">IF(T1011&gt;=6,"High Risk",IF(T1011&gt;=3,"Medium Risk","Low Risk"))</f>
        <v>Medium Risk</v>
      </c>
    </row>
    <row r="1012" customFormat="false" ht="12.8" hidden="false" customHeight="false" outlineLevel="0" collapsed="false">
      <c r="A1012" s="1" t="s">
        <v>1042</v>
      </c>
      <c r="B1012" s="1" t="s">
        <v>36</v>
      </c>
      <c r="C1012" s="1" t="s">
        <v>51</v>
      </c>
      <c r="D1012" s="1" t="n">
        <v>10.25</v>
      </c>
      <c r="E1012" s="1" t="n">
        <v>13</v>
      </c>
      <c r="F1012" s="4" t="n">
        <v>45146</v>
      </c>
      <c r="G1012" s="1" t="s">
        <v>39</v>
      </c>
      <c r="H1012" s="1" t="n">
        <v>1</v>
      </c>
      <c r="I1012" s="1" t="n">
        <v>50</v>
      </c>
      <c r="J1012" s="1" t="n">
        <v>18</v>
      </c>
      <c r="K1012" s="1" t="n">
        <v>5</v>
      </c>
      <c r="L1012" s="1" t="n">
        <v>0</v>
      </c>
      <c r="M1012" s="1" t="n">
        <v>0</v>
      </c>
      <c r="N1012" s="1" t="n">
        <v>133.25</v>
      </c>
      <c r="O1012" s="1" t="n">
        <v>0</v>
      </c>
      <c r="Q1012" s="4" t="n">
        <v>45541</v>
      </c>
      <c r="R1012" s="0" t="n">
        <f aca="false">IF(ISBLANK(F1012),"Missing",IFERROR(YEAR(F1012),"Missing"))</f>
        <v>2023</v>
      </c>
      <c r="S1012" s="0" t="str">
        <f aca="false">IF(ISBLANK(E1012),"Missing",IF(E1012&lt;6,"0-6mo",IF(E1012&lt;12,"6-12mo",IF(E1012&lt;24,"12-24mo","24mo+"))))</f>
        <v>12-24mo</v>
      </c>
      <c r="T1012" s="0" t="n">
        <f aca="false">IF(ISBLANK(C1012),0,IF(C1012="Month-to-month",2,IF(C1012="One year",1,0)))+IF(ISBLANK(I1012),0,IF(I1012&lt;40,2,IF(I1012&lt;55,1,0)))+IF(ISBLANK(M1012),0,IF(M1012=1,3,0))+IF(ISBLANK(L1012),0,IF(L1012&gt;=2,1,0))+IF(ISBLANK(E1012),0,IF(E1012&lt;12,1,0))</f>
        <v>1</v>
      </c>
      <c r="U1012" s="0" t="str">
        <f aca="false">IF((ISBLANK(B1012)*1+ISBLANK(C1012)*1+ISBLANK(D1012)*1+ISBLANK(E1012)*1+ISBLANK(F1012)*1+ISBLANK(I1012)*1+ISBLANK(J1012)*1+ISBLANK(K1012)*1+ISBLANK(L1012)*1+ISBLANK(M1012)*1+ISBLANK(N1012)*1+ISBLANK(O1012)*1)&gt;0,"Missing Data","OK")</f>
        <v>OK</v>
      </c>
      <c r="V1012" s="0" t="str">
        <f aca="false">IF(T1012&gt;=6,"High Risk",IF(T1012&gt;=3,"Medium Risk","Low Risk"))</f>
        <v>Low Risk</v>
      </c>
    </row>
    <row r="1013" customFormat="false" ht="12.8" hidden="false" customHeight="false" outlineLevel="0" collapsed="false">
      <c r="A1013" s="1" t="s">
        <v>1043</v>
      </c>
      <c r="B1013" s="1" t="s">
        <v>23</v>
      </c>
      <c r="C1013" s="1" t="s">
        <v>24</v>
      </c>
      <c r="D1013" s="1" t="n">
        <v>21.52</v>
      </c>
      <c r="E1013" s="1" t="n">
        <v>21</v>
      </c>
      <c r="F1013" s="4" t="n">
        <v>45146</v>
      </c>
      <c r="G1013" s="1" t="s">
        <v>39</v>
      </c>
      <c r="H1013" s="1" t="n">
        <v>1</v>
      </c>
      <c r="I1013" s="1" t="n">
        <v>49.8</v>
      </c>
      <c r="J1013" s="1" t="n">
        <v>21</v>
      </c>
      <c r="K1013" s="1" t="n">
        <v>3</v>
      </c>
      <c r="L1013" s="1" t="n">
        <v>0</v>
      </c>
      <c r="M1013" s="1" t="n">
        <v>0</v>
      </c>
      <c r="N1013" s="1" t="n">
        <v>451.92</v>
      </c>
      <c r="O1013" s="1" t="n">
        <v>1</v>
      </c>
      <c r="P1013" s="4" t="n">
        <v>45785</v>
      </c>
      <c r="Q1013" s="4" t="n">
        <v>45785</v>
      </c>
      <c r="R1013" s="0" t="n">
        <f aca="false">IF(ISBLANK(F1013),"Missing",IFERROR(YEAR(F1013),"Missing"))</f>
        <v>2023</v>
      </c>
      <c r="S1013" s="0" t="str">
        <f aca="false">IF(ISBLANK(E1013),"Missing",IF(E1013&lt;6,"0-6mo",IF(E1013&lt;12,"6-12mo",IF(E1013&lt;24,"12-24mo","24mo+"))))</f>
        <v>12-24mo</v>
      </c>
      <c r="T1013" s="0" t="n">
        <f aca="false">IF(ISBLANK(C1013),0,IF(C1013="Month-to-month",2,IF(C1013="One year",1,0)))+IF(ISBLANK(I1013),0,IF(I1013&lt;40,2,IF(I1013&lt;55,1,0)))+IF(ISBLANK(M1013),0,IF(M1013=1,3,0))+IF(ISBLANK(L1013),0,IF(L1013&gt;=2,1,0))+IF(ISBLANK(E1013),0,IF(E1013&lt;12,1,0))</f>
        <v>3</v>
      </c>
      <c r="U1013" s="0" t="str">
        <f aca="false">IF((ISBLANK(B1013)*1+ISBLANK(C1013)*1+ISBLANK(D1013)*1+ISBLANK(E1013)*1+ISBLANK(F1013)*1+ISBLANK(I1013)*1+ISBLANK(J1013)*1+ISBLANK(K1013)*1+ISBLANK(L1013)*1+ISBLANK(M1013)*1+ISBLANK(N1013)*1+ISBLANK(O1013)*1)&gt;0,"Missing Data","OK")</f>
        <v>OK</v>
      </c>
      <c r="V1013" s="0" t="str">
        <f aca="false">IF(T1013&gt;=6,"High Risk",IF(T1013&gt;=3,"Medium Risk","Low Risk"))</f>
        <v>Medium Risk</v>
      </c>
    </row>
    <row r="1014" customFormat="false" ht="12.8" hidden="false" customHeight="false" outlineLevel="0" collapsed="false">
      <c r="A1014" s="1" t="s">
        <v>1044</v>
      </c>
      <c r="B1014" s="1" t="s">
        <v>36</v>
      </c>
      <c r="C1014" s="1" t="s">
        <v>24</v>
      </c>
      <c r="D1014" s="1" t="n">
        <v>8.63</v>
      </c>
      <c r="E1014" s="1" t="n">
        <v>16</v>
      </c>
      <c r="F1014" s="4" t="n">
        <v>45146</v>
      </c>
      <c r="G1014" s="1" t="s">
        <v>25</v>
      </c>
      <c r="H1014" s="1" t="n">
        <v>1</v>
      </c>
      <c r="I1014" s="1" t="n">
        <v>69.5</v>
      </c>
      <c r="J1014" s="1" t="n">
        <v>13</v>
      </c>
      <c r="K1014" s="1" t="n">
        <v>5</v>
      </c>
      <c r="L1014" s="1" t="n">
        <v>1</v>
      </c>
      <c r="M1014" s="1" t="n">
        <v>1</v>
      </c>
      <c r="N1014" s="1" t="n">
        <v>138.08</v>
      </c>
      <c r="O1014" s="1" t="n">
        <v>1</v>
      </c>
      <c r="P1014" s="4" t="n">
        <v>45633</v>
      </c>
      <c r="Q1014" s="4" t="n">
        <v>45633</v>
      </c>
      <c r="R1014" s="0" t="n">
        <f aca="false">IF(ISBLANK(F1014),"Missing",IFERROR(YEAR(F1014),"Missing"))</f>
        <v>2023</v>
      </c>
      <c r="S1014" s="0" t="str">
        <f aca="false">IF(ISBLANK(E1014),"Missing",IF(E1014&lt;6,"0-6mo",IF(E1014&lt;12,"6-12mo",IF(E1014&lt;24,"12-24mo","24mo+"))))</f>
        <v>12-24mo</v>
      </c>
      <c r="T1014" s="0" t="n">
        <f aca="false">IF(ISBLANK(C1014),0,IF(C1014="Month-to-month",2,IF(C1014="One year",1,0)))+IF(ISBLANK(I1014),0,IF(I1014&lt;40,2,IF(I1014&lt;55,1,0)))+IF(ISBLANK(M1014),0,IF(M1014=1,3,0))+IF(ISBLANK(L1014),0,IF(L1014&gt;=2,1,0))+IF(ISBLANK(E1014),0,IF(E1014&lt;12,1,0))</f>
        <v>5</v>
      </c>
      <c r="U1014" s="0" t="str">
        <f aca="false">IF((ISBLANK(B1014)*1+ISBLANK(C1014)*1+ISBLANK(D1014)*1+ISBLANK(E1014)*1+ISBLANK(F1014)*1+ISBLANK(I1014)*1+ISBLANK(J1014)*1+ISBLANK(K1014)*1+ISBLANK(L1014)*1+ISBLANK(M1014)*1+ISBLANK(N1014)*1+ISBLANK(O1014)*1)&gt;0,"Missing Data","OK")</f>
        <v>OK</v>
      </c>
      <c r="V1014" s="0" t="str">
        <f aca="false">IF(T1014&gt;=6,"High Risk",IF(T1014&gt;=3,"Medium Risk","Low Risk"))</f>
        <v>Medium Risk</v>
      </c>
    </row>
    <row r="1015" customFormat="false" ht="12.8" hidden="false" customHeight="false" outlineLevel="0" collapsed="false">
      <c r="A1015" s="1" t="s">
        <v>1045</v>
      </c>
      <c r="B1015" s="1" t="s">
        <v>36</v>
      </c>
      <c r="C1015" s="1" t="s">
        <v>51</v>
      </c>
      <c r="D1015" s="1" t="n">
        <v>11.21</v>
      </c>
      <c r="E1015" s="1" t="n">
        <v>6</v>
      </c>
      <c r="F1015" s="4" t="n">
        <v>45151</v>
      </c>
      <c r="G1015" s="1" t="s">
        <v>25</v>
      </c>
      <c r="H1015" s="1" t="n">
        <v>1</v>
      </c>
      <c r="I1015" s="1" t="n">
        <v>76</v>
      </c>
      <c r="J1015" s="1" t="n">
        <v>29</v>
      </c>
      <c r="K1015" s="1" t="n">
        <v>8</v>
      </c>
      <c r="L1015" s="1" t="n">
        <v>0</v>
      </c>
      <c r="M1015" s="1" t="n">
        <v>0</v>
      </c>
      <c r="N1015" s="1" t="n">
        <v>67.26</v>
      </c>
      <c r="O1015" s="1" t="n">
        <v>0</v>
      </c>
      <c r="Q1015" s="4" t="n">
        <v>45333</v>
      </c>
      <c r="R1015" s="0" t="n">
        <f aca="false">IF(ISBLANK(F1015),"Missing",IFERROR(YEAR(F1015),"Missing"))</f>
        <v>2023</v>
      </c>
      <c r="S1015" s="0" t="str">
        <f aca="false">IF(ISBLANK(E1015),"Missing",IF(E1015&lt;6,"0-6mo",IF(E1015&lt;12,"6-12mo",IF(E1015&lt;24,"12-24mo","24mo+"))))</f>
        <v>6-12mo</v>
      </c>
      <c r="T1015" s="0" t="n">
        <f aca="false">IF(ISBLANK(C1015),0,IF(C1015="Month-to-month",2,IF(C1015="One year",1,0)))+IF(ISBLANK(I1015),0,IF(I1015&lt;40,2,IF(I1015&lt;55,1,0)))+IF(ISBLANK(M1015),0,IF(M1015=1,3,0))+IF(ISBLANK(L1015),0,IF(L1015&gt;=2,1,0))+IF(ISBLANK(E1015),0,IF(E1015&lt;12,1,0))</f>
        <v>1</v>
      </c>
      <c r="U1015" s="0" t="str">
        <f aca="false">IF((ISBLANK(B1015)*1+ISBLANK(C1015)*1+ISBLANK(D1015)*1+ISBLANK(E1015)*1+ISBLANK(F1015)*1+ISBLANK(I1015)*1+ISBLANK(J1015)*1+ISBLANK(K1015)*1+ISBLANK(L1015)*1+ISBLANK(M1015)*1+ISBLANK(N1015)*1+ISBLANK(O1015)*1)&gt;0,"Missing Data","OK")</f>
        <v>OK</v>
      </c>
      <c r="V1015" s="0" t="str">
        <f aca="false">IF(T1015&gt;=6,"High Risk",IF(T1015&gt;=3,"Medium Risk","Low Risk"))</f>
        <v>Low Risk</v>
      </c>
    </row>
    <row r="1016" customFormat="false" ht="12.8" hidden="false" customHeight="false" outlineLevel="0" collapsed="false">
      <c r="A1016" s="1" t="s">
        <v>1046</v>
      </c>
      <c r="B1016" s="1" t="s">
        <v>36</v>
      </c>
      <c r="C1016" s="1" t="s">
        <v>24</v>
      </c>
      <c r="D1016" s="1" t="n">
        <v>10.54</v>
      </c>
      <c r="E1016" s="1" t="n">
        <v>9</v>
      </c>
      <c r="F1016" s="4" t="n">
        <v>45152</v>
      </c>
      <c r="G1016" s="1" t="s">
        <v>30</v>
      </c>
      <c r="H1016" s="1" t="n">
        <v>1</v>
      </c>
      <c r="I1016" s="1" t="n">
        <v>39.4</v>
      </c>
      <c r="J1016" s="1" t="n">
        <v>9</v>
      </c>
      <c r="K1016" s="1" t="n">
        <v>3</v>
      </c>
      <c r="L1016" s="1" t="n">
        <v>0</v>
      </c>
      <c r="M1016" s="1" t="n">
        <v>0</v>
      </c>
      <c r="N1016" s="1" t="n">
        <v>94.86</v>
      </c>
      <c r="O1016" s="1" t="n">
        <v>0</v>
      </c>
      <c r="Q1016" s="4" t="n">
        <v>45425</v>
      </c>
      <c r="R1016" s="0" t="n">
        <f aca="false">IF(ISBLANK(F1016),"Missing",IFERROR(YEAR(F1016),"Missing"))</f>
        <v>2023</v>
      </c>
      <c r="S1016" s="0" t="str">
        <f aca="false">IF(ISBLANK(E1016),"Missing",IF(E1016&lt;6,"0-6mo",IF(E1016&lt;12,"6-12mo",IF(E1016&lt;24,"12-24mo","24mo+"))))</f>
        <v>6-12mo</v>
      </c>
      <c r="T1016" s="0" t="n">
        <f aca="false">IF(ISBLANK(C1016),0,IF(C1016="Month-to-month",2,IF(C1016="One year",1,0)))+IF(ISBLANK(I1016),0,IF(I1016&lt;40,2,IF(I1016&lt;55,1,0)))+IF(ISBLANK(M1016),0,IF(M1016=1,3,0))+IF(ISBLANK(L1016),0,IF(L1016&gt;=2,1,0))+IF(ISBLANK(E1016),0,IF(E1016&lt;12,1,0))</f>
        <v>5</v>
      </c>
      <c r="U1016" s="0" t="str">
        <f aca="false">IF((ISBLANK(B1016)*1+ISBLANK(C1016)*1+ISBLANK(D1016)*1+ISBLANK(E1016)*1+ISBLANK(F1016)*1+ISBLANK(I1016)*1+ISBLANK(J1016)*1+ISBLANK(K1016)*1+ISBLANK(L1016)*1+ISBLANK(M1016)*1+ISBLANK(N1016)*1+ISBLANK(O1016)*1)&gt;0,"Missing Data","OK")</f>
        <v>OK</v>
      </c>
      <c r="V1016" s="0" t="str">
        <f aca="false">IF(T1016&gt;=6,"High Risk",IF(T1016&gt;=3,"Medium Risk","Low Risk"))</f>
        <v>Medium Risk</v>
      </c>
    </row>
    <row r="1017" customFormat="false" ht="12.8" hidden="false" customHeight="false" outlineLevel="0" collapsed="false">
      <c r="A1017" s="1" t="s">
        <v>1047</v>
      </c>
      <c r="B1017" s="1" t="s">
        <v>36</v>
      </c>
      <c r="C1017" s="1" t="s">
        <v>24</v>
      </c>
      <c r="D1017" s="1" t="n">
        <v>9.63</v>
      </c>
      <c r="E1017" s="1" t="n">
        <v>54</v>
      </c>
      <c r="F1017" s="4" t="n">
        <v>45152</v>
      </c>
      <c r="G1017" s="1" t="s">
        <v>27</v>
      </c>
      <c r="H1017" s="1" t="n">
        <v>0</v>
      </c>
      <c r="I1017" s="1" t="n">
        <v>9.5</v>
      </c>
      <c r="J1017" s="1" t="n">
        <v>4</v>
      </c>
      <c r="K1017" s="1" t="n">
        <v>1</v>
      </c>
      <c r="L1017" s="1" t="n">
        <v>1</v>
      </c>
      <c r="M1017" s="1" t="n">
        <v>0</v>
      </c>
      <c r="N1017" s="1" t="n">
        <v>520.02</v>
      </c>
      <c r="O1017" s="1" t="n">
        <v>1</v>
      </c>
      <c r="P1017" s="4" t="n">
        <v>46293</v>
      </c>
      <c r="Q1017" s="4" t="n">
        <v>46293</v>
      </c>
      <c r="R1017" s="0" t="n">
        <f aca="false">IF(ISBLANK(F1017),"Missing",IFERROR(YEAR(F1017),"Missing"))</f>
        <v>2023</v>
      </c>
      <c r="S1017" s="0" t="str">
        <f aca="false">IF(ISBLANK(E1017),"Missing",IF(E1017&lt;6,"0-6mo",IF(E1017&lt;12,"6-12mo",IF(E1017&lt;24,"12-24mo","24mo+"))))</f>
        <v>24mo+</v>
      </c>
      <c r="T1017" s="0" t="n">
        <f aca="false">IF(ISBLANK(C1017),0,IF(C1017="Month-to-month",2,IF(C1017="One year",1,0)))+IF(ISBLANK(I1017),0,IF(I1017&lt;40,2,IF(I1017&lt;55,1,0)))+IF(ISBLANK(M1017),0,IF(M1017=1,3,0))+IF(ISBLANK(L1017),0,IF(L1017&gt;=2,1,0))+IF(ISBLANK(E1017),0,IF(E1017&lt;12,1,0))</f>
        <v>4</v>
      </c>
      <c r="U1017" s="0" t="str">
        <f aca="false">IF((ISBLANK(B1017)*1+ISBLANK(C1017)*1+ISBLANK(D1017)*1+ISBLANK(E1017)*1+ISBLANK(F1017)*1+ISBLANK(I1017)*1+ISBLANK(J1017)*1+ISBLANK(K1017)*1+ISBLANK(L1017)*1+ISBLANK(M1017)*1+ISBLANK(N1017)*1+ISBLANK(O1017)*1)&gt;0,"Missing Data","OK")</f>
        <v>OK</v>
      </c>
      <c r="V1017" s="0" t="str">
        <f aca="false">IF(T1017&gt;=6,"High Risk",IF(T1017&gt;=3,"Medium Risk","Low Risk"))</f>
        <v>Medium Risk</v>
      </c>
    </row>
    <row r="1018" customFormat="false" ht="12.8" hidden="false" customHeight="false" outlineLevel="0" collapsed="false">
      <c r="A1018" s="1" t="s">
        <v>1048</v>
      </c>
      <c r="B1018" s="1" t="s">
        <v>36</v>
      </c>
      <c r="C1018" s="1" t="s">
        <v>24</v>
      </c>
      <c r="D1018" s="1" t="n">
        <v>9.85</v>
      </c>
      <c r="E1018" s="1" t="n">
        <v>1</v>
      </c>
      <c r="F1018" s="4" t="n">
        <v>45155</v>
      </c>
      <c r="G1018" s="1" t="s">
        <v>25</v>
      </c>
      <c r="H1018" s="1" t="n">
        <v>1</v>
      </c>
      <c r="I1018" s="1" t="n">
        <v>52.5</v>
      </c>
      <c r="J1018" s="1" t="n">
        <v>13</v>
      </c>
      <c r="K1018" s="1" t="n">
        <v>6</v>
      </c>
      <c r="L1018" s="1" t="n">
        <v>0</v>
      </c>
      <c r="M1018" s="1" t="n">
        <v>0</v>
      </c>
      <c r="N1018" s="1" t="n">
        <v>9.85</v>
      </c>
      <c r="O1018" s="1" t="n">
        <v>0</v>
      </c>
      <c r="Q1018" s="4" t="n">
        <v>45185</v>
      </c>
      <c r="R1018" s="0" t="n">
        <f aca="false">IF(ISBLANK(F1018),"Missing",IFERROR(YEAR(F1018),"Missing"))</f>
        <v>2023</v>
      </c>
      <c r="S1018" s="0" t="str">
        <f aca="false">IF(ISBLANK(E1018),"Missing",IF(E1018&lt;6,"0-6mo",IF(E1018&lt;12,"6-12mo",IF(E1018&lt;24,"12-24mo","24mo+"))))</f>
        <v>0-6mo</v>
      </c>
      <c r="T1018" s="0" t="n">
        <f aca="false">IF(ISBLANK(C1018),0,IF(C1018="Month-to-month",2,IF(C1018="One year",1,0)))+IF(ISBLANK(I1018),0,IF(I1018&lt;40,2,IF(I1018&lt;55,1,0)))+IF(ISBLANK(M1018),0,IF(M1018=1,3,0))+IF(ISBLANK(L1018),0,IF(L1018&gt;=2,1,0))+IF(ISBLANK(E1018),0,IF(E1018&lt;12,1,0))</f>
        <v>4</v>
      </c>
      <c r="U1018" s="0" t="str">
        <f aca="false">IF((ISBLANK(B1018)*1+ISBLANK(C1018)*1+ISBLANK(D1018)*1+ISBLANK(E1018)*1+ISBLANK(F1018)*1+ISBLANK(I1018)*1+ISBLANK(J1018)*1+ISBLANK(K1018)*1+ISBLANK(L1018)*1+ISBLANK(M1018)*1+ISBLANK(N1018)*1+ISBLANK(O1018)*1)&gt;0,"Missing Data","OK")</f>
        <v>OK</v>
      </c>
      <c r="V1018" s="0" t="str">
        <f aca="false">IF(T1018&gt;=6,"High Risk",IF(T1018&gt;=3,"Medium Risk","Low Risk"))</f>
        <v>Medium Risk</v>
      </c>
    </row>
    <row r="1019" customFormat="false" ht="12.8" hidden="false" customHeight="false" outlineLevel="0" collapsed="false">
      <c r="A1019" s="1" t="s">
        <v>1049</v>
      </c>
      <c r="B1019" s="1" t="s">
        <v>23</v>
      </c>
      <c r="C1019" s="1" t="s">
        <v>34</v>
      </c>
      <c r="D1019" s="1" t="n">
        <v>19.33</v>
      </c>
      <c r="E1019" s="1" t="n">
        <v>31</v>
      </c>
      <c r="F1019" s="4" t="n">
        <v>45156</v>
      </c>
      <c r="G1019" s="1" t="s">
        <v>25</v>
      </c>
      <c r="H1019" s="1" t="n">
        <v>1</v>
      </c>
      <c r="I1019" s="1" t="n">
        <v>62.9</v>
      </c>
      <c r="J1019" s="1" t="n">
        <v>16</v>
      </c>
      <c r="K1019" s="1" t="n">
        <v>6</v>
      </c>
      <c r="L1019" s="1" t="n">
        <v>0</v>
      </c>
      <c r="M1019" s="1" t="n">
        <v>0</v>
      </c>
      <c r="N1019" s="1" t="n">
        <v>599.23</v>
      </c>
      <c r="O1019" s="1" t="n">
        <v>0</v>
      </c>
      <c r="Q1019" s="4" t="n">
        <v>46099</v>
      </c>
      <c r="R1019" s="0" t="n">
        <f aca="false">IF(ISBLANK(F1019),"Missing",IFERROR(YEAR(F1019),"Missing"))</f>
        <v>2023</v>
      </c>
      <c r="S1019" s="0" t="str">
        <f aca="false">IF(ISBLANK(E1019),"Missing",IF(E1019&lt;6,"0-6mo",IF(E1019&lt;12,"6-12mo",IF(E1019&lt;24,"12-24mo","24mo+"))))</f>
        <v>24mo+</v>
      </c>
      <c r="T1019" s="0" t="n">
        <f aca="false">IF(ISBLANK(C1019),0,IF(C1019="Month-to-month",2,IF(C1019="One year",1,0)))+IF(ISBLANK(I1019),0,IF(I1019&lt;40,2,IF(I1019&lt;55,1,0)))+IF(ISBLANK(M1019),0,IF(M1019=1,3,0))+IF(ISBLANK(L1019),0,IF(L1019&gt;=2,1,0))+IF(ISBLANK(E1019),0,IF(E1019&lt;12,1,0))</f>
        <v>1</v>
      </c>
      <c r="U1019" s="0" t="str">
        <f aca="false">IF((ISBLANK(B1019)*1+ISBLANK(C1019)*1+ISBLANK(D1019)*1+ISBLANK(E1019)*1+ISBLANK(F1019)*1+ISBLANK(I1019)*1+ISBLANK(J1019)*1+ISBLANK(K1019)*1+ISBLANK(L1019)*1+ISBLANK(M1019)*1+ISBLANK(N1019)*1+ISBLANK(O1019)*1)&gt;0,"Missing Data","OK")</f>
        <v>OK</v>
      </c>
      <c r="V1019" s="0" t="str">
        <f aca="false">IF(T1019&gt;=6,"High Risk",IF(T1019&gt;=3,"Medium Risk","Low Risk"))</f>
        <v>Low Risk</v>
      </c>
    </row>
    <row r="1020" customFormat="false" ht="12.8" hidden="false" customHeight="false" outlineLevel="0" collapsed="false">
      <c r="A1020" s="1" t="s">
        <v>1050</v>
      </c>
      <c r="B1020" s="1" t="s">
        <v>36</v>
      </c>
      <c r="C1020" s="1" t="s">
        <v>51</v>
      </c>
      <c r="D1020" s="1" t="n">
        <v>10.99</v>
      </c>
      <c r="E1020" s="1" t="n">
        <v>5</v>
      </c>
      <c r="F1020" s="4" t="n">
        <v>45157</v>
      </c>
      <c r="G1020" s="1" t="s">
        <v>25</v>
      </c>
      <c r="H1020" s="1" t="n">
        <v>1</v>
      </c>
      <c r="I1020" s="1" t="n">
        <v>68.7</v>
      </c>
      <c r="J1020" s="1" t="n">
        <v>13</v>
      </c>
      <c r="K1020" s="1" t="n">
        <v>6</v>
      </c>
      <c r="L1020" s="1" t="n">
        <v>1</v>
      </c>
      <c r="M1020" s="1" t="n">
        <v>1</v>
      </c>
      <c r="N1020" s="1" t="n">
        <v>54.95</v>
      </c>
      <c r="O1020" s="1" t="n">
        <v>0</v>
      </c>
      <c r="Q1020" s="4" t="n">
        <v>45309</v>
      </c>
      <c r="R1020" s="0" t="n">
        <f aca="false">IF(ISBLANK(F1020),"Missing",IFERROR(YEAR(F1020),"Missing"))</f>
        <v>2023</v>
      </c>
      <c r="S1020" s="0" t="str">
        <f aca="false">IF(ISBLANK(E1020),"Missing",IF(E1020&lt;6,"0-6mo",IF(E1020&lt;12,"6-12mo",IF(E1020&lt;24,"12-24mo","24mo+"))))</f>
        <v>0-6mo</v>
      </c>
      <c r="T1020" s="0" t="n">
        <f aca="false">IF(ISBLANK(C1020),0,IF(C1020="Month-to-month",2,IF(C1020="One year",1,0)))+IF(ISBLANK(I1020),0,IF(I1020&lt;40,2,IF(I1020&lt;55,1,0)))+IF(ISBLANK(M1020),0,IF(M1020=1,3,0))+IF(ISBLANK(L1020),0,IF(L1020&gt;=2,1,0))+IF(ISBLANK(E1020),0,IF(E1020&lt;12,1,0))</f>
        <v>4</v>
      </c>
      <c r="U1020" s="0" t="str">
        <f aca="false">IF((ISBLANK(B1020)*1+ISBLANK(C1020)*1+ISBLANK(D1020)*1+ISBLANK(E1020)*1+ISBLANK(F1020)*1+ISBLANK(I1020)*1+ISBLANK(J1020)*1+ISBLANK(K1020)*1+ISBLANK(L1020)*1+ISBLANK(M1020)*1+ISBLANK(N1020)*1+ISBLANK(O1020)*1)&gt;0,"Missing Data","OK")</f>
        <v>OK</v>
      </c>
      <c r="V1020" s="0" t="str">
        <f aca="false">IF(T1020&gt;=6,"High Risk",IF(T1020&gt;=3,"Medium Risk","Low Risk"))</f>
        <v>Medium Risk</v>
      </c>
    </row>
    <row r="1021" customFormat="false" ht="12.8" hidden="false" customHeight="false" outlineLevel="0" collapsed="false">
      <c r="A1021" s="1" t="s">
        <v>1051</v>
      </c>
      <c r="B1021" s="1" t="s">
        <v>23</v>
      </c>
      <c r="C1021" s="1" t="s">
        <v>24</v>
      </c>
      <c r="D1021" s="1" t="n">
        <v>18.9</v>
      </c>
      <c r="E1021" s="1" t="n">
        <v>6</v>
      </c>
      <c r="F1021" s="4" t="n">
        <v>45159</v>
      </c>
      <c r="G1021" s="1" t="s">
        <v>25</v>
      </c>
      <c r="H1021" s="1" t="n">
        <v>1</v>
      </c>
      <c r="I1021" s="1" t="n">
        <v>75.6</v>
      </c>
      <c r="J1021" s="1" t="n">
        <v>29</v>
      </c>
      <c r="K1021" s="1" t="n">
        <v>10</v>
      </c>
      <c r="L1021" s="1" t="n">
        <v>2</v>
      </c>
      <c r="M1021" s="1" t="n">
        <v>1</v>
      </c>
      <c r="N1021" s="1" t="n">
        <v>113.4</v>
      </c>
      <c r="O1021" s="1" t="n">
        <v>0</v>
      </c>
      <c r="Q1021" s="4" t="n">
        <v>45341</v>
      </c>
      <c r="R1021" s="0" t="n">
        <f aca="false">IF(ISBLANK(F1021),"Missing",IFERROR(YEAR(F1021),"Missing"))</f>
        <v>2023</v>
      </c>
      <c r="S1021" s="0" t="str">
        <f aca="false">IF(ISBLANK(E1021),"Missing",IF(E1021&lt;6,"0-6mo",IF(E1021&lt;12,"6-12mo",IF(E1021&lt;24,"12-24mo","24mo+"))))</f>
        <v>6-12mo</v>
      </c>
      <c r="T1021" s="0" t="n">
        <f aca="false">IF(ISBLANK(C1021),0,IF(C1021="Month-to-month",2,IF(C1021="One year",1,0)))+IF(ISBLANK(I1021),0,IF(I1021&lt;40,2,IF(I1021&lt;55,1,0)))+IF(ISBLANK(M1021),0,IF(M1021=1,3,0))+IF(ISBLANK(L1021),0,IF(L1021&gt;=2,1,0))+IF(ISBLANK(E1021),0,IF(E1021&lt;12,1,0))</f>
        <v>7</v>
      </c>
      <c r="U1021" s="0" t="str">
        <f aca="false">IF((ISBLANK(B1021)*1+ISBLANK(C1021)*1+ISBLANK(D1021)*1+ISBLANK(E1021)*1+ISBLANK(F1021)*1+ISBLANK(I1021)*1+ISBLANK(J1021)*1+ISBLANK(K1021)*1+ISBLANK(L1021)*1+ISBLANK(M1021)*1+ISBLANK(N1021)*1+ISBLANK(O1021)*1)&gt;0,"Missing Data","OK")</f>
        <v>OK</v>
      </c>
      <c r="V1021" s="0" t="str">
        <f aca="false">IF(T1021&gt;=6,"High Risk",IF(T1021&gt;=3,"Medium Risk","Low Risk"))</f>
        <v>High Risk</v>
      </c>
    </row>
    <row r="1022" customFormat="false" ht="12.8" hidden="false" customHeight="false" outlineLevel="0" collapsed="false">
      <c r="A1022" s="1" t="s">
        <v>1052</v>
      </c>
      <c r="B1022" s="1" t="s">
        <v>36</v>
      </c>
      <c r="C1022" s="1" t="s">
        <v>34</v>
      </c>
      <c r="D1022" s="1" t="n">
        <v>9.88</v>
      </c>
      <c r="E1022" s="1" t="n">
        <v>1</v>
      </c>
      <c r="F1022" s="4" t="n">
        <v>45161</v>
      </c>
      <c r="G1022" s="1" t="s">
        <v>30</v>
      </c>
      <c r="H1022" s="1" t="n">
        <v>1</v>
      </c>
      <c r="I1022" s="1" t="n">
        <v>19.1</v>
      </c>
      <c r="J1022" s="1" t="n">
        <v>6</v>
      </c>
      <c r="K1022" s="1" t="n">
        <v>2</v>
      </c>
      <c r="L1022" s="1" t="n">
        <v>0</v>
      </c>
      <c r="M1022" s="1" t="n">
        <v>0</v>
      </c>
      <c r="N1022" s="1" t="n">
        <v>9.88</v>
      </c>
      <c r="O1022" s="1" t="n">
        <v>0</v>
      </c>
      <c r="Q1022" s="4" t="n">
        <v>45191</v>
      </c>
      <c r="R1022" s="0" t="n">
        <f aca="false">IF(ISBLANK(F1022),"Missing",IFERROR(YEAR(F1022),"Missing"))</f>
        <v>2023</v>
      </c>
      <c r="S1022" s="0" t="str">
        <f aca="false">IF(ISBLANK(E1022),"Missing",IF(E1022&lt;6,"0-6mo",IF(E1022&lt;12,"6-12mo",IF(E1022&lt;24,"12-24mo","24mo+"))))</f>
        <v>0-6mo</v>
      </c>
      <c r="T1022" s="0" t="n">
        <f aca="false">IF(ISBLANK(C1022),0,IF(C1022="Month-to-month",2,IF(C1022="One year",1,0)))+IF(ISBLANK(I1022),0,IF(I1022&lt;40,2,IF(I1022&lt;55,1,0)))+IF(ISBLANK(M1022),0,IF(M1022=1,3,0))+IF(ISBLANK(L1022),0,IF(L1022&gt;=2,1,0))+IF(ISBLANK(E1022),0,IF(E1022&lt;12,1,0))</f>
        <v>4</v>
      </c>
      <c r="U1022" s="0" t="str">
        <f aca="false">IF((ISBLANK(B1022)*1+ISBLANK(C1022)*1+ISBLANK(D1022)*1+ISBLANK(E1022)*1+ISBLANK(F1022)*1+ISBLANK(I1022)*1+ISBLANK(J1022)*1+ISBLANK(K1022)*1+ISBLANK(L1022)*1+ISBLANK(M1022)*1+ISBLANK(N1022)*1+ISBLANK(O1022)*1)&gt;0,"Missing Data","OK")</f>
        <v>OK</v>
      </c>
      <c r="V1022" s="0" t="str">
        <f aca="false">IF(T1022&gt;=6,"High Risk",IF(T1022&gt;=3,"Medium Risk","Low Risk"))</f>
        <v>Medium Risk</v>
      </c>
    </row>
    <row r="1023" customFormat="false" ht="12.8" hidden="false" customHeight="false" outlineLevel="0" collapsed="false">
      <c r="A1023" s="1" t="s">
        <v>1053</v>
      </c>
      <c r="B1023" s="1" t="s">
        <v>23</v>
      </c>
      <c r="C1023" s="1" t="s">
        <v>34</v>
      </c>
      <c r="D1023" s="1" t="n">
        <v>19.16</v>
      </c>
      <c r="E1023" s="1" t="n">
        <v>46</v>
      </c>
      <c r="F1023" s="4" t="n">
        <v>45161</v>
      </c>
      <c r="G1023" s="1" t="s">
        <v>25</v>
      </c>
      <c r="H1023" s="1" t="n">
        <v>0</v>
      </c>
      <c r="I1023" s="1" t="n">
        <v>42.6</v>
      </c>
      <c r="J1023" s="1" t="n">
        <v>11</v>
      </c>
      <c r="K1023" s="1" t="n">
        <v>6</v>
      </c>
      <c r="L1023" s="1" t="n">
        <v>1</v>
      </c>
      <c r="M1023" s="1" t="n">
        <v>1</v>
      </c>
      <c r="N1023" s="1" t="n">
        <v>881.36</v>
      </c>
      <c r="O1023" s="1" t="n">
        <v>0</v>
      </c>
      <c r="Q1023" s="4" t="n">
        <v>46293</v>
      </c>
      <c r="R1023" s="0" t="n">
        <f aca="false">IF(ISBLANK(F1023),"Missing",IFERROR(YEAR(F1023),"Missing"))</f>
        <v>2023</v>
      </c>
      <c r="S1023" s="0" t="str">
        <f aca="false">IF(ISBLANK(E1023),"Missing",IF(E1023&lt;6,"0-6mo",IF(E1023&lt;12,"6-12mo",IF(E1023&lt;24,"12-24mo","24mo+"))))</f>
        <v>24mo+</v>
      </c>
      <c r="T1023" s="0" t="n">
        <f aca="false">IF(ISBLANK(C1023),0,IF(C1023="Month-to-month",2,IF(C1023="One year",1,0)))+IF(ISBLANK(I1023),0,IF(I1023&lt;40,2,IF(I1023&lt;55,1,0)))+IF(ISBLANK(M1023),0,IF(M1023=1,3,0))+IF(ISBLANK(L1023),0,IF(L1023&gt;=2,1,0))+IF(ISBLANK(E1023),0,IF(E1023&lt;12,1,0))</f>
        <v>5</v>
      </c>
      <c r="U1023" s="0" t="str">
        <f aca="false">IF((ISBLANK(B1023)*1+ISBLANK(C1023)*1+ISBLANK(D1023)*1+ISBLANK(E1023)*1+ISBLANK(F1023)*1+ISBLANK(I1023)*1+ISBLANK(J1023)*1+ISBLANK(K1023)*1+ISBLANK(L1023)*1+ISBLANK(M1023)*1+ISBLANK(N1023)*1+ISBLANK(O1023)*1)&gt;0,"Missing Data","OK")</f>
        <v>OK</v>
      </c>
      <c r="V1023" s="0" t="str">
        <f aca="false">IF(T1023&gt;=6,"High Risk",IF(T1023&gt;=3,"Medium Risk","Low Risk"))</f>
        <v>Medium Risk</v>
      </c>
    </row>
    <row r="1024" customFormat="false" ht="12.8" hidden="false" customHeight="false" outlineLevel="0" collapsed="false">
      <c r="A1024" s="1" t="s">
        <v>1054</v>
      </c>
      <c r="B1024" s="1" t="s">
        <v>23</v>
      </c>
      <c r="C1024" s="1" t="s">
        <v>24</v>
      </c>
      <c r="D1024" s="1" t="n">
        <v>18.52</v>
      </c>
      <c r="E1024" s="1" t="n">
        <v>5</v>
      </c>
      <c r="F1024" s="4" t="n">
        <v>45162</v>
      </c>
      <c r="G1024" s="1" t="s">
        <v>25</v>
      </c>
      <c r="H1024" s="1" t="n">
        <v>1</v>
      </c>
      <c r="I1024" s="1" t="n">
        <v>40.5</v>
      </c>
      <c r="J1024" s="1" t="n">
        <v>6</v>
      </c>
      <c r="K1024" s="1" t="n">
        <v>6</v>
      </c>
      <c r="L1024" s="1" t="n">
        <v>1</v>
      </c>
      <c r="M1024" s="1" t="n">
        <v>1</v>
      </c>
      <c r="N1024" s="1" t="n">
        <v>92.6</v>
      </c>
      <c r="O1024" s="1" t="n">
        <v>1</v>
      </c>
      <c r="P1024" s="4" t="n">
        <v>45314</v>
      </c>
      <c r="Q1024" s="4" t="n">
        <v>45314</v>
      </c>
      <c r="R1024" s="0" t="n">
        <f aca="false">IF(ISBLANK(F1024),"Missing",IFERROR(YEAR(F1024),"Missing"))</f>
        <v>2023</v>
      </c>
      <c r="S1024" s="0" t="str">
        <f aca="false">IF(ISBLANK(E1024),"Missing",IF(E1024&lt;6,"0-6mo",IF(E1024&lt;12,"6-12mo",IF(E1024&lt;24,"12-24mo","24mo+"))))</f>
        <v>0-6mo</v>
      </c>
      <c r="T1024" s="0" t="n">
        <f aca="false">IF(ISBLANK(C1024),0,IF(C1024="Month-to-month",2,IF(C1024="One year",1,0)))+IF(ISBLANK(I1024),0,IF(I1024&lt;40,2,IF(I1024&lt;55,1,0)))+IF(ISBLANK(M1024),0,IF(M1024=1,3,0))+IF(ISBLANK(L1024),0,IF(L1024&gt;=2,1,0))+IF(ISBLANK(E1024),0,IF(E1024&lt;12,1,0))</f>
        <v>7</v>
      </c>
      <c r="U1024" s="0" t="str">
        <f aca="false">IF((ISBLANK(B1024)*1+ISBLANK(C1024)*1+ISBLANK(D1024)*1+ISBLANK(E1024)*1+ISBLANK(F1024)*1+ISBLANK(I1024)*1+ISBLANK(J1024)*1+ISBLANK(K1024)*1+ISBLANK(L1024)*1+ISBLANK(M1024)*1+ISBLANK(N1024)*1+ISBLANK(O1024)*1)&gt;0,"Missing Data","OK")</f>
        <v>OK</v>
      </c>
      <c r="V1024" s="0" t="str">
        <f aca="false">IF(T1024&gt;=6,"High Risk",IF(T1024&gt;=3,"Medium Risk","Low Risk"))</f>
        <v>High Risk</v>
      </c>
    </row>
    <row r="1025" customFormat="false" ht="12.8" hidden="false" customHeight="false" outlineLevel="0" collapsed="false">
      <c r="A1025" s="1" t="s">
        <v>1055</v>
      </c>
      <c r="B1025" s="1" t="s">
        <v>29</v>
      </c>
      <c r="C1025" s="1" t="s">
        <v>24</v>
      </c>
      <c r="D1025" s="1" t="n">
        <v>40.08</v>
      </c>
      <c r="E1025" s="1" t="n">
        <v>4</v>
      </c>
      <c r="F1025" s="4" t="n">
        <v>45165</v>
      </c>
      <c r="G1025" s="1" t="s">
        <v>25</v>
      </c>
      <c r="H1025" s="1" t="n">
        <v>1</v>
      </c>
      <c r="I1025" s="1" t="n">
        <v>81.3</v>
      </c>
      <c r="J1025" s="1" t="n">
        <v>24</v>
      </c>
      <c r="K1025" s="1" t="n">
        <v>9</v>
      </c>
      <c r="L1025" s="1" t="n">
        <v>1</v>
      </c>
      <c r="M1025" s="1" t="n">
        <v>1</v>
      </c>
      <c r="N1025" s="1" t="n">
        <v>160.32</v>
      </c>
      <c r="O1025" s="1" t="n">
        <v>0</v>
      </c>
      <c r="Q1025" s="4" t="n">
        <v>45286</v>
      </c>
      <c r="R1025" s="0" t="n">
        <f aca="false">IF(ISBLANK(F1025),"Missing",IFERROR(YEAR(F1025),"Missing"))</f>
        <v>2023</v>
      </c>
      <c r="S1025" s="0" t="str">
        <f aca="false">IF(ISBLANK(E1025),"Missing",IF(E1025&lt;6,"0-6mo",IF(E1025&lt;12,"6-12mo",IF(E1025&lt;24,"12-24mo","24mo+"))))</f>
        <v>0-6mo</v>
      </c>
      <c r="T1025" s="0" t="n">
        <f aca="false">IF(ISBLANK(C1025),0,IF(C1025="Month-to-month",2,IF(C1025="One year",1,0)))+IF(ISBLANK(I1025),0,IF(I1025&lt;40,2,IF(I1025&lt;55,1,0)))+IF(ISBLANK(M1025),0,IF(M1025=1,3,0))+IF(ISBLANK(L1025),0,IF(L1025&gt;=2,1,0))+IF(ISBLANK(E1025),0,IF(E1025&lt;12,1,0))</f>
        <v>6</v>
      </c>
      <c r="U1025" s="0" t="str">
        <f aca="false">IF((ISBLANK(B1025)*1+ISBLANK(C1025)*1+ISBLANK(D1025)*1+ISBLANK(E1025)*1+ISBLANK(F1025)*1+ISBLANK(I1025)*1+ISBLANK(J1025)*1+ISBLANK(K1025)*1+ISBLANK(L1025)*1+ISBLANK(M1025)*1+ISBLANK(N1025)*1+ISBLANK(O1025)*1)&gt;0,"Missing Data","OK")</f>
        <v>OK</v>
      </c>
      <c r="V1025" s="0" t="str">
        <f aca="false">IF(T1025&gt;=6,"High Risk",IF(T1025&gt;=3,"Medium Risk","Low Risk"))</f>
        <v>High Risk</v>
      </c>
    </row>
    <row r="1026" customFormat="false" ht="12.8" hidden="false" customHeight="false" outlineLevel="0" collapsed="false">
      <c r="A1026" s="1" t="s">
        <v>1056</v>
      </c>
      <c r="B1026" s="1" t="s">
        <v>36</v>
      </c>
      <c r="C1026" s="1" t="s">
        <v>34</v>
      </c>
      <c r="D1026" s="1" t="n">
        <v>9.69</v>
      </c>
      <c r="E1026" s="1" t="n">
        <v>5</v>
      </c>
      <c r="F1026" s="4" t="n">
        <v>45166</v>
      </c>
      <c r="G1026" s="1" t="s">
        <v>27</v>
      </c>
      <c r="H1026" s="1" t="n">
        <v>1</v>
      </c>
      <c r="I1026" s="1" t="n">
        <v>33.4</v>
      </c>
      <c r="J1026" s="1" t="n">
        <v>14</v>
      </c>
      <c r="K1026" s="1" t="n">
        <v>2</v>
      </c>
      <c r="L1026" s="1" t="n">
        <v>2</v>
      </c>
      <c r="M1026" s="1" t="n">
        <v>0</v>
      </c>
      <c r="N1026" s="1" t="n">
        <v>48.45</v>
      </c>
      <c r="O1026" s="1" t="n">
        <v>0</v>
      </c>
      <c r="Q1026" s="4" t="n">
        <v>45318</v>
      </c>
      <c r="R1026" s="0" t="n">
        <f aca="false">IF(ISBLANK(F1026),"Missing",IFERROR(YEAR(F1026),"Missing"))</f>
        <v>2023</v>
      </c>
      <c r="S1026" s="0" t="str">
        <f aca="false">IF(ISBLANK(E1026),"Missing",IF(E1026&lt;6,"0-6mo",IF(E1026&lt;12,"6-12mo",IF(E1026&lt;24,"12-24mo","24mo+"))))</f>
        <v>0-6mo</v>
      </c>
      <c r="T1026" s="0" t="n">
        <f aca="false">IF(ISBLANK(C1026),0,IF(C1026="Month-to-month",2,IF(C1026="One year",1,0)))+IF(ISBLANK(I1026),0,IF(I1026&lt;40,2,IF(I1026&lt;55,1,0)))+IF(ISBLANK(M1026),0,IF(M1026=1,3,0))+IF(ISBLANK(L1026),0,IF(L1026&gt;=2,1,0))+IF(ISBLANK(E1026),0,IF(E1026&lt;12,1,0))</f>
        <v>5</v>
      </c>
      <c r="U1026" s="0" t="str">
        <f aca="false">IF((ISBLANK(B1026)*1+ISBLANK(C1026)*1+ISBLANK(D1026)*1+ISBLANK(E1026)*1+ISBLANK(F1026)*1+ISBLANK(I1026)*1+ISBLANK(J1026)*1+ISBLANK(K1026)*1+ISBLANK(L1026)*1+ISBLANK(M1026)*1+ISBLANK(N1026)*1+ISBLANK(O1026)*1)&gt;0,"Missing Data","OK")</f>
        <v>OK</v>
      </c>
      <c r="V1026" s="0" t="str">
        <f aca="false">IF(T1026&gt;=6,"High Risk",IF(T1026&gt;=3,"Medium Risk","Low Risk"))</f>
        <v>Medium Risk</v>
      </c>
    </row>
    <row r="1027" customFormat="false" ht="12.8" hidden="false" customHeight="false" outlineLevel="0" collapsed="false">
      <c r="A1027" s="1" t="s">
        <v>1057</v>
      </c>
      <c r="B1027" s="1" t="s">
        <v>23</v>
      </c>
      <c r="C1027" s="1" t="s">
        <v>24</v>
      </c>
      <c r="D1027" s="1" t="n">
        <v>20.49</v>
      </c>
      <c r="E1027" s="1" t="n">
        <v>2</v>
      </c>
      <c r="F1027" s="4" t="n">
        <v>45166</v>
      </c>
      <c r="G1027" s="1" t="s">
        <v>25</v>
      </c>
      <c r="H1027" s="1" t="n">
        <v>1</v>
      </c>
      <c r="I1027" s="1" t="n">
        <v>78.6</v>
      </c>
      <c r="J1027" s="1" t="n">
        <v>16</v>
      </c>
      <c r="K1027" s="1" t="n">
        <v>7</v>
      </c>
      <c r="L1027" s="1" t="n">
        <v>0</v>
      </c>
      <c r="M1027" s="1" t="n">
        <v>0</v>
      </c>
      <c r="N1027" s="1" t="n">
        <v>40.98</v>
      </c>
      <c r="O1027" s="1" t="n">
        <v>0</v>
      </c>
      <c r="Q1027" s="4" t="n">
        <v>45226</v>
      </c>
      <c r="R1027" s="0" t="n">
        <f aca="false">IF(ISBLANK(F1027),"Missing",IFERROR(YEAR(F1027),"Missing"))</f>
        <v>2023</v>
      </c>
      <c r="S1027" s="0" t="str">
        <f aca="false">IF(ISBLANK(E1027),"Missing",IF(E1027&lt;6,"0-6mo",IF(E1027&lt;12,"6-12mo",IF(E1027&lt;24,"12-24mo","24mo+"))))</f>
        <v>0-6mo</v>
      </c>
      <c r="T1027" s="0" t="n">
        <f aca="false">IF(ISBLANK(C1027),0,IF(C1027="Month-to-month",2,IF(C1027="One year",1,0)))+IF(ISBLANK(I1027),0,IF(I1027&lt;40,2,IF(I1027&lt;55,1,0)))+IF(ISBLANK(M1027),0,IF(M1027=1,3,0))+IF(ISBLANK(L1027),0,IF(L1027&gt;=2,1,0))+IF(ISBLANK(E1027),0,IF(E1027&lt;12,1,0))</f>
        <v>3</v>
      </c>
      <c r="U1027" s="0" t="str">
        <f aca="false">IF((ISBLANK(B1027)*1+ISBLANK(C1027)*1+ISBLANK(D1027)*1+ISBLANK(E1027)*1+ISBLANK(F1027)*1+ISBLANK(I1027)*1+ISBLANK(J1027)*1+ISBLANK(K1027)*1+ISBLANK(L1027)*1+ISBLANK(M1027)*1+ISBLANK(N1027)*1+ISBLANK(O1027)*1)&gt;0,"Missing Data","OK")</f>
        <v>OK</v>
      </c>
      <c r="V1027" s="0" t="str">
        <f aca="false">IF(T1027&gt;=6,"High Risk",IF(T1027&gt;=3,"Medium Risk","Low Risk"))</f>
        <v>Medium Risk</v>
      </c>
    </row>
    <row r="1028" customFormat="false" ht="12.8" hidden="false" customHeight="false" outlineLevel="0" collapsed="false">
      <c r="A1028" s="1" t="s">
        <v>1058</v>
      </c>
      <c r="B1028" s="1" t="s">
        <v>23</v>
      </c>
      <c r="C1028" s="1" t="s">
        <v>24</v>
      </c>
      <c r="D1028" s="1" t="n">
        <v>20.25</v>
      </c>
      <c r="E1028" s="1" t="n">
        <v>0</v>
      </c>
      <c r="F1028" s="4" t="n">
        <v>45166</v>
      </c>
      <c r="G1028" s="1" t="s">
        <v>39</v>
      </c>
      <c r="H1028" s="1" t="n">
        <v>0</v>
      </c>
      <c r="I1028" s="1" t="n">
        <v>25.5</v>
      </c>
      <c r="J1028" s="1" t="n">
        <v>7</v>
      </c>
      <c r="K1028" s="1" t="n">
        <v>4</v>
      </c>
      <c r="L1028" s="1" t="n">
        <v>2</v>
      </c>
      <c r="M1028" s="1" t="n">
        <v>1</v>
      </c>
      <c r="N1028" s="1" t="n">
        <v>0</v>
      </c>
      <c r="O1028" s="1" t="n">
        <v>0</v>
      </c>
      <c r="Q1028" s="4" t="n">
        <v>45166</v>
      </c>
      <c r="R1028" s="0" t="n">
        <f aca="false">IF(ISBLANK(F1028),"Missing",IFERROR(YEAR(F1028),"Missing"))</f>
        <v>2023</v>
      </c>
      <c r="S1028" s="0" t="str">
        <f aca="false">IF(ISBLANK(E1028),"Missing",IF(E1028&lt;6,"0-6mo",IF(E1028&lt;12,"6-12mo",IF(E1028&lt;24,"12-24mo","24mo+"))))</f>
        <v>0-6mo</v>
      </c>
      <c r="T1028" s="0" t="n">
        <f aca="false">IF(ISBLANK(C1028),0,IF(C1028="Month-to-month",2,IF(C1028="One year",1,0)))+IF(ISBLANK(I1028),0,IF(I1028&lt;40,2,IF(I1028&lt;55,1,0)))+IF(ISBLANK(M1028),0,IF(M1028=1,3,0))+IF(ISBLANK(L1028),0,IF(L1028&gt;=2,1,0))+IF(ISBLANK(E1028),0,IF(E1028&lt;12,1,0))</f>
        <v>9</v>
      </c>
      <c r="U1028" s="0" t="str">
        <f aca="false">IF((ISBLANK(B1028)*1+ISBLANK(C1028)*1+ISBLANK(D1028)*1+ISBLANK(E1028)*1+ISBLANK(F1028)*1+ISBLANK(I1028)*1+ISBLANK(J1028)*1+ISBLANK(K1028)*1+ISBLANK(L1028)*1+ISBLANK(M1028)*1+ISBLANK(N1028)*1+ISBLANK(O1028)*1)&gt;0,"Missing Data","OK")</f>
        <v>OK</v>
      </c>
      <c r="V1028" s="0" t="str">
        <f aca="false">IF(T1028&gt;=6,"High Risk",IF(T1028&gt;=3,"Medium Risk","Low Risk"))</f>
        <v>High Risk</v>
      </c>
    </row>
    <row r="1029" customFormat="false" ht="12.8" hidden="false" customHeight="false" outlineLevel="0" collapsed="false">
      <c r="A1029" s="1" t="s">
        <v>1059</v>
      </c>
      <c r="B1029" s="1" t="s">
        <v>29</v>
      </c>
      <c r="C1029" s="1" t="s">
        <v>24</v>
      </c>
      <c r="D1029" s="1" t="n">
        <v>40.86</v>
      </c>
      <c r="E1029" s="1" t="n">
        <v>11</v>
      </c>
      <c r="F1029" s="4" t="n">
        <v>45166</v>
      </c>
      <c r="G1029" s="1" t="s">
        <v>25</v>
      </c>
      <c r="H1029" s="1" t="n">
        <v>1</v>
      </c>
      <c r="I1029" s="1" t="n">
        <v>57.9</v>
      </c>
      <c r="J1029" s="1" t="n">
        <v>9</v>
      </c>
      <c r="K1029" s="1" t="n">
        <v>8</v>
      </c>
      <c r="L1029" s="1" t="n">
        <v>3</v>
      </c>
      <c r="M1029" s="1" t="n">
        <v>1</v>
      </c>
      <c r="N1029" s="1" t="n">
        <v>449.46</v>
      </c>
      <c r="O1029" s="1" t="n">
        <v>1</v>
      </c>
      <c r="P1029" s="4" t="n">
        <v>45500</v>
      </c>
      <c r="Q1029" s="4" t="n">
        <v>45500</v>
      </c>
      <c r="R1029" s="0" t="n">
        <f aca="false">IF(ISBLANK(F1029),"Missing",IFERROR(YEAR(F1029),"Missing"))</f>
        <v>2023</v>
      </c>
      <c r="S1029" s="0" t="str">
        <f aca="false">IF(ISBLANK(E1029),"Missing",IF(E1029&lt;6,"0-6mo",IF(E1029&lt;12,"6-12mo",IF(E1029&lt;24,"12-24mo","24mo+"))))</f>
        <v>6-12mo</v>
      </c>
      <c r="T1029" s="0" t="n">
        <f aca="false">IF(ISBLANK(C1029),0,IF(C1029="Month-to-month",2,IF(C1029="One year",1,0)))+IF(ISBLANK(I1029),0,IF(I1029&lt;40,2,IF(I1029&lt;55,1,0)))+IF(ISBLANK(M1029),0,IF(M1029=1,3,0))+IF(ISBLANK(L1029),0,IF(L1029&gt;=2,1,0))+IF(ISBLANK(E1029),0,IF(E1029&lt;12,1,0))</f>
        <v>7</v>
      </c>
      <c r="U1029" s="0" t="str">
        <f aca="false">IF((ISBLANK(B1029)*1+ISBLANK(C1029)*1+ISBLANK(D1029)*1+ISBLANK(E1029)*1+ISBLANK(F1029)*1+ISBLANK(I1029)*1+ISBLANK(J1029)*1+ISBLANK(K1029)*1+ISBLANK(L1029)*1+ISBLANK(M1029)*1+ISBLANK(N1029)*1+ISBLANK(O1029)*1)&gt;0,"Missing Data","OK")</f>
        <v>OK</v>
      </c>
      <c r="V1029" s="0" t="str">
        <f aca="false">IF(T1029&gt;=6,"High Risk",IF(T1029&gt;=3,"Medium Risk","Low Risk"))</f>
        <v>High Risk</v>
      </c>
    </row>
    <row r="1030" customFormat="false" ht="12.8" hidden="false" customHeight="false" outlineLevel="0" collapsed="false">
      <c r="A1030" s="1" t="s">
        <v>1060</v>
      </c>
      <c r="B1030" s="1" t="s">
        <v>36</v>
      </c>
      <c r="C1030" s="1" t="s">
        <v>24</v>
      </c>
      <c r="D1030" s="1" t="n">
        <v>9.69</v>
      </c>
      <c r="E1030" s="1" t="n">
        <v>8</v>
      </c>
      <c r="F1030" s="4" t="n">
        <v>45166</v>
      </c>
      <c r="G1030" s="1" t="s">
        <v>25</v>
      </c>
      <c r="H1030" s="1" t="n">
        <v>1</v>
      </c>
      <c r="I1030" s="1" t="n">
        <v>78.8</v>
      </c>
      <c r="J1030" s="1" t="n">
        <v>24</v>
      </c>
      <c r="K1030" s="1" t="n">
        <v>6</v>
      </c>
      <c r="L1030" s="1" t="n">
        <v>2</v>
      </c>
      <c r="M1030" s="1" t="n">
        <v>0</v>
      </c>
      <c r="N1030" s="1" t="n">
        <v>77.52</v>
      </c>
      <c r="O1030" s="1" t="n">
        <v>0</v>
      </c>
      <c r="Q1030" s="4" t="n">
        <v>45409</v>
      </c>
      <c r="R1030" s="0" t="n">
        <f aca="false">IF(ISBLANK(F1030),"Missing",IFERROR(YEAR(F1030),"Missing"))</f>
        <v>2023</v>
      </c>
      <c r="S1030" s="0" t="str">
        <f aca="false">IF(ISBLANK(E1030),"Missing",IF(E1030&lt;6,"0-6mo",IF(E1030&lt;12,"6-12mo",IF(E1030&lt;24,"12-24mo","24mo+"))))</f>
        <v>6-12mo</v>
      </c>
      <c r="T1030" s="0" t="n">
        <f aca="false">IF(ISBLANK(C1030),0,IF(C1030="Month-to-month",2,IF(C1030="One year",1,0)))+IF(ISBLANK(I1030),0,IF(I1030&lt;40,2,IF(I1030&lt;55,1,0)))+IF(ISBLANK(M1030),0,IF(M1030=1,3,0))+IF(ISBLANK(L1030),0,IF(L1030&gt;=2,1,0))+IF(ISBLANK(E1030),0,IF(E1030&lt;12,1,0))</f>
        <v>4</v>
      </c>
      <c r="U1030" s="0" t="str">
        <f aca="false">IF((ISBLANK(B1030)*1+ISBLANK(C1030)*1+ISBLANK(D1030)*1+ISBLANK(E1030)*1+ISBLANK(F1030)*1+ISBLANK(I1030)*1+ISBLANK(J1030)*1+ISBLANK(K1030)*1+ISBLANK(L1030)*1+ISBLANK(M1030)*1+ISBLANK(N1030)*1+ISBLANK(O1030)*1)&gt;0,"Missing Data","OK")</f>
        <v>OK</v>
      </c>
      <c r="V1030" s="0" t="str">
        <f aca="false">IF(T1030&gt;=6,"High Risk",IF(T1030&gt;=3,"Medium Risk","Low Risk"))</f>
        <v>Medium Risk</v>
      </c>
    </row>
    <row r="1031" customFormat="false" ht="12.8" hidden="false" customHeight="false" outlineLevel="0" collapsed="false">
      <c r="A1031" s="1" t="s">
        <v>1061</v>
      </c>
      <c r="B1031" s="1" t="s">
        <v>23</v>
      </c>
      <c r="C1031" s="1" t="s">
        <v>24</v>
      </c>
      <c r="D1031" s="1" t="n">
        <v>19.98</v>
      </c>
      <c r="E1031" s="1" t="n">
        <v>6</v>
      </c>
      <c r="F1031" s="4" t="n">
        <v>45166</v>
      </c>
      <c r="G1031" s="1" t="s">
        <v>25</v>
      </c>
      <c r="H1031" s="1" t="n">
        <v>1</v>
      </c>
      <c r="I1031" s="1" t="n">
        <v>80.2</v>
      </c>
      <c r="J1031" s="1" t="n">
        <v>24</v>
      </c>
      <c r="K1031" s="1" t="n">
        <v>10</v>
      </c>
      <c r="L1031" s="1" t="n">
        <v>0</v>
      </c>
      <c r="M1031" s="1" t="n">
        <v>0</v>
      </c>
      <c r="N1031" s="1" t="n">
        <v>119.88</v>
      </c>
      <c r="O1031" s="1" t="n">
        <v>0</v>
      </c>
      <c r="Q1031" s="4" t="n">
        <v>45348</v>
      </c>
      <c r="R1031" s="0" t="n">
        <f aca="false">IF(ISBLANK(F1031),"Missing",IFERROR(YEAR(F1031),"Missing"))</f>
        <v>2023</v>
      </c>
      <c r="S1031" s="0" t="str">
        <f aca="false">IF(ISBLANK(E1031),"Missing",IF(E1031&lt;6,"0-6mo",IF(E1031&lt;12,"6-12mo",IF(E1031&lt;24,"12-24mo","24mo+"))))</f>
        <v>6-12mo</v>
      </c>
      <c r="T1031" s="0" t="n">
        <f aca="false">IF(ISBLANK(C1031),0,IF(C1031="Month-to-month",2,IF(C1031="One year",1,0)))+IF(ISBLANK(I1031),0,IF(I1031&lt;40,2,IF(I1031&lt;55,1,0)))+IF(ISBLANK(M1031),0,IF(M1031=1,3,0))+IF(ISBLANK(L1031),0,IF(L1031&gt;=2,1,0))+IF(ISBLANK(E1031),0,IF(E1031&lt;12,1,0))</f>
        <v>3</v>
      </c>
      <c r="U1031" s="0" t="str">
        <f aca="false">IF((ISBLANK(B1031)*1+ISBLANK(C1031)*1+ISBLANK(D1031)*1+ISBLANK(E1031)*1+ISBLANK(F1031)*1+ISBLANK(I1031)*1+ISBLANK(J1031)*1+ISBLANK(K1031)*1+ISBLANK(L1031)*1+ISBLANK(M1031)*1+ISBLANK(N1031)*1+ISBLANK(O1031)*1)&gt;0,"Missing Data","OK")</f>
        <v>OK</v>
      </c>
      <c r="V1031" s="0" t="str">
        <f aca="false">IF(T1031&gt;=6,"High Risk",IF(T1031&gt;=3,"Medium Risk","Low Risk"))</f>
        <v>Medium Risk</v>
      </c>
    </row>
    <row r="1032" customFormat="false" ht="12.8" hidden="false" customHeight="false" outlineLevel="0" collapsed="false">
      <c r="A1032" s="1" t="s">
        <v>1062</v>
      </c>
      <c r="B1032" s="1" t="s">
        <v>23</v>
      </c>
      <c r="C1032" s="1" t="s">
        <v>51</v>
      </c>
      <c r="D1032" s="1" t="n">
        <v>20.05</v>
      </c>
      <c r="E1032" s="1" t="n">
        <v>28</v>
      </c>
      <c r="F1032" s="4" t="n">
        <v>45168</v>
      </c>
      <c r="G1032" s="1" t="s">
        <v>39</v>
      </c>
      <c r="H1032" s="1" t="n">
        <v>0</v>
      </c>
      <c r="I1032" s="1" t="n">
        <v>54.2</v>
      </c>
      <c r="J1032" s="1" t="n">
        <v>16</v>
      </c>
      <c r="K1032" s="1" t="n">
        <v>7</v>
      </c>
      <c r="L1032" s="1" t="n">
        <v>2</v>
      </c>
      <c r="M1032" s="1" t="n">
        <v>0</v>
      </c>
      <c r="N1032" s="1" t="n">
        <v>561.4</v>
      </c>
      <c r="O1032" s="1" t="n">
        <v>0</v>
      </c>
      <c r="Q1032" s="4" t="n">
        <v>46020</v>
      </c>
      <c r="R1032" s="0" t="n">
        <f aca="false">IF(ISBLANK(F1032),"Missing",IFERROR(YEAR(F1032),"Missing"))</f>
        <v>2023</v>
      </c>
      <c r="S1032" s="0" t="str">
        <f aca="false">IF(ISBLANK(E1032),"Missing",IF(E1032&lt;6,"0-6mo",IF(E1032&lt;12,"6-12mo",IF(E1032&lt;24,"12-24mo","24mo+"))))</f>
        <v>24mo+</v>
      </c>
      <c r="T1032" s="0" t="n">
        <f aca="false">IF(ISBLANK(C1032),0,IF(C1032="Month-to-month",2,IF(C1032="One year",1,0)))+IF(ISBLANK(I1032),0,IF(I1032&lt;40,2,IF(I1032&lt;55,1,0)))+IF(ISBLANK(M1032),0,IF(M1032=1,3,0))+IF(ISBLANK(L1032),0,IF(L1032&gt;=2,1,0))+IF(ISBLANK(E1032),0,IF(E1032&lt;12,1,0))</f>
        <v>2</v>
      </c>
      <c r="U1032" s="0" t="str">
        <f aca="false">IF((ISBLANK(B1032)*1+ISBLANK(C1032)*1+ISBLANK(D1032)*1+ISBLANK(E1032)*1+ISBLANK(F1032)*1+ISBLANK(I1032)*1+ISBLANK(J1032)*1+ISBLANK(K1032)*1+ISBLANK(L1032)*1+ISBLANK(M1032)*1+ISBLANK(N1032)*1+ISBLANK(O1032)*1)&gt;0,"Missing Data","OK")</f>
        <v>OK</v>
      </c>
      <c r="V1032" s="0" t="str">
        <f aca="false">IF(T1032&gt;=6,"High Risk",IF(T1032&gt;=3,"Medium Risk","Low Risk"))</f>
        <v>Low Risk</v>
      </c>
    </row>
    <row r="1033" customFormat="false" ht="12.8" hidden="false" customHeight="false" outlineLevel="0" collapsed="false">
      <c r="A1033" s="1" t="s">
        <v>1063</v>
      </c>
      <c r="B1033" s="1" t="s">
        <v>23</v>
      </c>
      <c r="C1033" s="1" t="s">
        <v>24</v>
      </c>
      <c r="D1033" s="1" t="n">
        <v>18.43</v>
      </c>
      <c r="E1033" s="1" t="n">
        <v>30</v>
      </c>
      <c r="F1033" s="4" t="n">
        <v>45168</v>
      </c>
      <c r="G1033" s="1" t="s">
        <v>25</v>
      </c>
      <c r="H1033" s="1" t="n">
        <v>1</v>
      </c>
      <c r="I1033" s="1" t="n">
        <v>48.7</v>
      </c>
      <c r="J1033" s="1" t="n">
        <v>19</v>
      </c>
      <c r="K1033" s="1" t="n">
        <v>6</v>
      </c>
      <c r="L1033" s="1" t="n">
        <v>1</v>
      </c>
      <c r="M1033" s="1" t="n">
        <v>0</v>
      </c>
      <c r="N1033" s="1" t="n">
        <v>552.9</v>
      </c>
      <c r="O1033" s="1" t="n">
        <v>0</v>
      </c>
      <c r="Q1033" s="4" t="n">
        <v>46081</v>
      </c>
      <c r="R1033" s="0" t="n">
        <f aca="false">IF(ISBLANK(F1033),"Missing",IFERROR(YEAR(F1033),"Missing"))</f>
        <v>2023</v>
      </c>
      <c r="S1033" s="0" t="str">
        <f aca="false">IF(ISBLANK(E1033),"Missing",IF(E1033&lt;6,"0-6mo",IF(E1033&lt;12,"6-12mo",IF(E1033&lt;24,"12-24mo","24mo+"))))</f>
        <v>24mo+</v>
      </c>
      <c r="T1033" s="0" t="n">
        <f aca="false">IF(ISBLANK(C1033),0,IF(C1033="Month-to-month",2,IF(C1033="One year",1,0)))+IF(ISBLANK(I1033),0,IF(I1033&lt;40,2,IF(I1033&lt;55,1,0)))+IF(ISBLANK(M1033),0,IF(M1033=1,3,0))+IF(ISBLANK(L1033),0,IF(L1033&gt;=2,1,0))+IF(ISBLANK(E1033),0,IF(E1033&lt;12,1,0))</f>
        <v>3</v>
      </c>
      <c r="U1033" s="0" t="str">
        <f aca="false">IF((ISBLANK(B1033)*1+ISBLANK(C1033)*1+ISBLANK(D1033)*1+ISBLANK(E1033)*1+ISBLANK(F1033)*1+ISBLANK(I1033)*1+ISBLANK(J1033)*1+ISBLANK(K1033)*1+ISBLANK(L1033)*1+ISBLANK(M1033)*1+ISBLANK(N1033)*1+ISBLANK(O1033)*1)&gt;0,"Missing Data","OK")</f>
        <v>OK</v>
      </c>
      <c r="V1033" s="0" t="str">
        <f aca="false">IF(T1033&gt;=6,"High Risk",IF(T1033&gt;=3,"Medium Risk","Low Risk"))</f>
        <v>Medium Risk</v>
      </c>
    </row>
    <row r="1034" customFormat="false" ht="12.8" hidden="false" customHeight="false" outlineLevel="0" collapsed="false">
      <c r="A1034" s="1" t="s">
        <v>1064</v>
      </c>
      <c r="B1034" s="1" t="s">
        <v>23</v>
      </c>
      <c r="C1034" s="1" t="s">
        <v>24</v>
      </c>
      <c r="D1034" s="1" t="n">
        <v>19</v>
      </c>
      <c r="E1034" s="1" t="n">
        <v>8</v>
      </c>
      <c r="F1034" s="4" t="n">
        <v>45169</v>
      </c>
      <c r="G1034" s="1" t="s">
        <v>25</v>
      </c>
      <c r="H1034" s="1" t="n">
        <v>1</v>
      </c>
      <c r="I1034" s="1" t="n">
        <v>65.4</v>
      </c>
      <c r="J1034" s="1" t="n">
        <v>26</v>
      </c>
      <c r="K1034" s="1" t="n">
        <v>4</v>
      </c>
      <c r="L1034" s="1" t="n">
        <v>1</v>
      </c>
      <c r="M1034" s="1" t="n">
        <v>0</v>
      </c>
      <c r="N1034" s="1" t="n">
        <v>152</v>
      </c>
      <c r="O1034" s="1" t="n">
        <v>0</v>
      </c>
      <c r="Q1034" s="4" t="n">
        <v>45412</v>
      </c>
      <c r="R1034" s="0" t="n">
        <f aca="false">IF(ISBLANK(F1034),"Missing",IFERROR(YEAR(F1034),"Missing"))</f>
        <v>2023</v>
      </c>
      <c r="S1034" s="0" t="str">
        <f aca="false">IF(ISBLANK(E1034),"Missing",IF(E1034&lt;6,"0-6mo",IF(E1034&lt;12,"6-12mo",IF(E1034&lt;24,"12-24mo","24mo+"))))</f>
        <v>6-12mo</v>
      </c>
      <c r="T1034" s="0" t="n">
        <f aca="false">IF(ISBLANK(C1034),0,IF(C1034="Month-to-month",2,IF(C1034="One year",1,0)))+IF(ISBLANK(I1034),0,IF(I1034&lt;40,2,IF(I1034&lt;55,1,0)))+IF(ISBLANK(M1034),0,IF(M1034=1,3,0))+IF(ISBLANK(L1034),0,IF(L1034&gt;=2,1,0))+IF(ISBLANK(E1034),0,IF(E1034&lt;12,1,0))</f>
        <v>3</v>
      </c>
      <c r="U1034" s="0" t="str">
        <f aca="false">IF((ISBLANK(B1034)*1+ISBLANK(C1034)*1+ISBLANK(D1034)*1+ISBLANK(E1034)*1+ISBLANK(F1034)*1+ISBLANK(I1034)*1+ISBLANK(J1034)*1+ISBLANK(K1034)*1+ISBLANK(L1034)*1+ISBLANK(M1034)*1+ISBLANK(N1034)*1+ISBLANK(O1034)*1)&gt;0,"Missing Data","OK")</f>
        <v>OK</v>
      </c>
      <c r="V1034" s="0" t="str">
        <f aca="false">IF(T1034&gt;=6,"High Risk",IF(T1034&gt;=3,"Medium Risk","Low Risk"))</f>
        <v>Medium Risk</v>
      </c>
    </row>
    <row r="1035" customFormat="false" ht="12.8" hidden="false" customHeight="false" outlineLevel="0" collapsed="false">
      <c r="A1035" s="1" t="s">
        <v>1065</v>
      </c>
      <c r="B1035" s="1" t="s">
        <v>36</v>
      </c>
      <c r="C1035" s="1" t="s">
        <v>34</v>
      </c>
      <c r="D1035" s="1" t="n">
        <v>9.37</v>
      </c>
      <c r="E1035" s="1" t="n">
        <v>16</v>
      </c>
      <c r="F1035" s="4" t="n">
        <v>45170</v>
      </c>
      <c r="G1035" s="1" t="s">
        <v>39</v>
      </c>
      <c r="H1035" s="1" t="n">
        <v>0</v>
      </c>
      <c r="I1035" s="1" t="n">
        <v>61</v>
      </c>
      <c r="J1035" s="1" t="n">
        <v>22</v>
      </c>
      <c r="K1035" s="1" t="n">
        <v>7</v>
      </c>
      <c r="L1035" s="1" t="n">
        <v>0</v>
      </c>
      <c r="M1035" s="1" t="n">
        <v>0</v>
      </c>
      <c r="N1035" s="1" t="n">
        <v>149.92</v>
      </c>
      <c r="O1035" s="1" t="n">
        <v>0</v>
      </c>
      <c r="Q1035" s="4" t="n">
        <v>45657</v>
      </c>
      <c r="R1035" s="0" t="n">
        <f aca="false">IF(ISBLANK(F1035),"Missing",IFERROR(YEAR(F1035),"Missing"))</f>
        <v>2023</v>
      </c>
      <c r="S1035" s="0" t="str">
        <f aca="false">IF(ISBLANK(E1035),"Missing",IF(E1035&lt;6,"0-6mo",IF(E1035&lt;12,"6-12mo",IF(E1035&lt;24,"12-24mo","24mo+"))))</f>
        <v>12-24mo</v>
      </c>
      <c r="T1035" s="0" t="n">
        <f aca="false">IF(ISBLANK(C1035),0,IF(C1035="Month-to-month",2,IF(C1035="One year",1,0)))+IF(ISBLANK(I1035),0,IF(I1035&lt;40,2,IF(I1035&lt;55,1,0)))+IF(ISBLANK(M1035),0,IF(M1035=1,3,0))+IF(ISBLANK(L1035),0,IF(L1035&gt;=2,1,0))+IF(ISBLANK(E1035),0,IF(E1035&lt;12,1,0))</f>
        <v>1</v>
      </c>
      <c r="U1035" s="0" t="str">
        <f aca="false">IF((ISBLANK(B1035)*1+ISBLANK(C1035)*1+ISBLANK(D1035)*1+ISBLANK(E1035)*1+ISBLANK(F1035)*1+ISBLANK(I1035)*1+ISBLANK(J1035)*1+ISBLANK(K1035)*1+ISBLANK(L1035)*1+ISBLANK(M1035)*1+ISBLANK(N1035)*1+ISBLANK(O1035)*1)&gt;0,"Missing Data","OK")</f>
        <v>OK</v>
      </c>
      <c r="V1035" s="0" t="str">
        <f aca="false">IF(T1035&gt;=6,"High Risk",IF(T1035&gt;=3,"Medium Risk","Low Risk"))</f>
        <v>Low Risk</v>
      </c>
    </row>
    <row r="1036" customFormat="false" ht="12.8" hidden="false" customHeight="false" outlineLevel="0" collapsed="false">
      <c r="A1036" s="1" t="s">
        <v>1066</v>
      </c>
      <c r="B1036" s="1" t="s">
        <v>29</v>
      </c>
      <c r="C1036" s="1" t="s">
        <v>34</v>
      </c>
      <c r="D1036" s="1" t="n">
        <v>39.49</v>
      </c>
      <c r="E1036" s="1" t="n">
        <v>33</v>
      </c>
      <c r="F1036" s="4" t="n">
        <v>45171</v>
      </c>
      <c r="G1036" s="1" t="s">
        <v>25</v>
      </c>
      <c r="H1036" s="1" t="n">
        <v>1</v>
      </c>
      <c r="I1036" s="1" t="n">
        <v>55.6</v>
      </c>
      <c r="J1036" s="1" t="n">
        <v>10</v>
      </c>
      <c r="K1036" s="1" t="n">
        <v>7</v>
      </c>
      <c r="L1036" s="1" t="n">
        <v>1</v>
      </c>
      <c r="M1036" s="1" t="n">
        <v>0</v>
      </c>
      <c r="N1036" s="1" t="n">
        <v>1303.17</v>
      </c>
      <c r="O1036" s="1" t="n">
        <v>1</v>
      </c>
      <c r="P1036" s="4" t="n">
        <v>46175</v>
      </c>
      <c r="Q1036" s="4" t="n">
        <v>46175</v>
      </c>
      <c r="R1036" s="0" t="n">
        <f aca="false">IF(ISBLANK(F1036),"Missing",IFERROR(YEAR(F1036),"Missing"))</f>
        <v>2023</v>
      </c>
      <c r="S1036" s="0" t="str">
        <f aca="false">IF(ISBLANK(E1036),"Missing",IF(E1036&lt;6,"0-6mo",IF(E1036&lt;12,"6-12mo",IF(E1036&lt;24,"12-24mo","24mo+"))))</f>
        <v>24mo+</v>
      </c>
      <c r="T1036" s="0" t="n">
        <f aca="false">IF(ISBLANK(C1036),0,IF(C1036="Month-to-month",2,IF(C1036="One year",1,0)))+IF(ISBLANK(I1036),0,IF(I1036&lt;40,2,IF(I1036&lt;55,1,0)))+IF(ISBLANK(M1036),0,IF(M1036=1,3,0))+IF(ISBLANK(L1036),0,IF(L1036&gt;=2,1,0))+IF(ISBLANK(E1036),0,IF(E1036&lt;12,1,0))</f>
        <v>1</v>
      </c>
      <c r="U1036" s="0" t="str">
        <f aca="false">IF((ISBLANK(B1036)*1+ISBLANK(C1036)*1+ISBLANK(D1036)*1+ISBLANK(E1036)*1+ISBLANK(F1036)*1+ISBLANK(I1036)*1+ISBLANK(J1036)*1+ISBLANK(K1036)*1+ISBLANK(L1036)*1+ISBLANK(M1036)*1+ISBLANK(N1036)*1+ISBLANK(O1036)*1)&gt;0,"Missing Data","OK")</f>
        <v>OK</v>
      </c>
      <c r="V1036" s="0" t="str">
        <f aca="false">IF(T1036&gt;=6,"High Risk",IF(T1036&gt;=3,"Medium Risk","Low Risk"))</f>
        <v>Low Risk</v>
      </c>
    </row>
    <row r="1037" customFormat="false" ht="12.8" hidden="false" customHeight="false" outlineLevel="0" collapsed="false">
      <c r="A1037" s="1" t="s">
        <v>1067</v>
      </c>
      <c r="B1037" s="1" t="s">
        <v>23</v>
      </c>
      <c r="C1037" s="1" t="s">
        <v>24</v>
      </c>
      <c r="D1037" s="1" t="n">
        <v>21.18</v>
      </c>
      <c r="E1037" s="1" t="n">
        <v>18</v>
      </c>
      <c r="F1037" s="4" t="n">
        <v>45171</v>
      </c>
      <c r="G1037" s="1" t="s">
        <v>27</v>
      </c>
      <c r="H1037" s="1" t="n">
        <v>0</v>
      </c>
      <c r="I1037" s="1" t="n">
        <v>78.9</v>
      </c>
      <c r="J1037" s="1" t="n">
        <v>22</v>
      </c>
      <c r="K1037" s="1" t="n">
        <v>7</v>
      </c>
      <c r="L1037" s="1" t="n">
        <v>1</v>
      </c>
      <c r="M1037" s="1" t="n">
        <v>0</v>
      </c>
      <c r="N1037" s="1" t="n">
        <v>381.24</v>
      </c>
      <c r="O1037" s="1" t="n">
        <v>0</v>
      </c>
      <c r="Q1037" s="4" t="n">
        <v>45718</v>
      </c>
      <c r="R1037" s="0" t="n">
        <f aca="false">IF(ISBLANK(F1037),"Missing",IFERROR(YEAR(F1037),"Missing"))</f>
        <v>2023</v>
      </c>
      <c r="S1037" s="0" t="str">
        <f aca="false">IF(ISBLANK(E1037),"Missing",IF(E1037&lt;6,"0-6mo",IF(E1037&lt;12,"6-12mo",IF(E1037&lt;24,"12-24mo","24mo+"))))</f>
        <v>12-24mo</v>
      </c>
      <c r="T1037" s="0" t="n">
        <f aca="false">IF(ISBLANK(C1037),0,IF(C1037="Month-to-month",2,IF(C1037="One year",1,0)))+IF(ISBLANK(I1037),0,IF(I1037&lt;40,2,IF(I1037&lt;55,1,0)))+IF(ISBLANK(M1037),0,IF(M1037=1,3,0))+IF(ISBLANK(L1037),0,IF(L1037&gt;=2,1,0))+IF(ISBLANK(E1037),0,IF(E1037&lt;12,1,0))</f>
        <v>2</v>
      </c>
      <c r="U1037" s="0" t="str">
        <f aca="false">IF((ISBLANK(B1037)*1+ISBLANK(C1037)*1+ISBLANK(D1037)*1+ISBLANK(E1037)*1+ISBLANK(F1037)*1+ISBLANK(I1037)*1+ISBLANK(J1037)*1+ISBLANK(K1037)*1+ISBLANK(L1037)*1+ISBLANK(M1037)*1+ISBLANK(N1037)*1+ISBLANK(O1037)*1)&gt;0,"Missing Data","OK")</f>
        <v>OK</v>
      </c>
      <c r="V1037" s="0" t="str">
        <f aca="false">IF(T1037&gt;=6,"High Risk",IF(T1037&gt;=3,"Medium Risk","Low Risk"))</f>
        <v>Low Risk</v>
      </c>
    </row>
    <row r="1038" customFormat="false" ht="12.8" hidden="false" customHeight="false" outlineLevel="0" collapsed="false">
      <c r="A1038" s="1" t="s">
        <v>1068</v>
      </c>
      <c r="B1038" s="1" t="s">
        <v>23</v>
      </c>
      <c r="C1038" s="1" t="s">
        <v>24</v>
      </c>
      <c r="D1038" s="1" t="n">
        <v>20.48</v>
      </c>
      <c r="E1038" s="1" t="n">
        <v>12</v>
      </c>
      <c r="F1038" s="4" t="n">
        <v>45171</v>
      </c>
      <c r="G1038" s="1" t="s">
        <v>30</v>
      </c>
      <c r="H1038" s="1" t="n">
        <v>1</v>
      </c>
      <c r="I1038" s="1" t="n">
        <v>47.1</v>
      </c>
      <c r="J1038" s="1" t="n">
        <v>14</v>
      </c>
      <c r="K1038" s="1" t="n">
        <v>3</v>
      </c>
      <c r="L1038" s="1" t="n">
        <v>1</v>
      </c>
      <c r="M1038" s="1" t="n">
        <v>0</v>
      </c>
      <c r="N1038" s="1" t="n">
        <v>245.76</v>
      </c>
      <c r="O1038" s="1" t="n">
        <v>0</v>
      </c>
      <c r="Q1038" s="4" t="n">
        <v>45536</v>
      </c>
      <c r="R1038" s="0" t="n">
        <f aca="false">IF(ISBLANK(F1038),"Missing",IFERROR(YEAR(F1038),"Missing"))</f>
        <v>2023</v>
      </c>
      <c r="S1038" s="0" t="str">
        <f aca="false">IF(ISBLANK(E1038),"Missing",IF(E1038&lt;6,"0-6mo",IF(E1038&lt;12,"6-12mo",IF(E1038&lt;24,"12-24mo","24mo+"))))</f>
        <v>12-24mo</v>
      </c>
      <c r="T1038" s="0" t="n">
        <f aca="false">IF(ISBLANK(C1038),0,IF(C1038="Month-to-month",2,IF(C1038="One year",1,0)))+IF(ISBLANK(I1038),0,IF(I1038&lt;40,2,IF(I1038&lt;55,1,0)))+IF(ISBLANK(M1038),0,IF(M1038=1,3,0))+IF(ISBLANK(L1038),0,IF(L1038&gt;=2,1,0))+IF(ISBLANK(E1038),0,IF(E1038&lt;12,1,0))</f>
        <v>3</v>
      </c>
      <c r="U1038" s="0" t="str">
        <f aca="false">IF((ISBLANK(B1038)*1+ISBLANK(C1038)*1+ISBLANK(D1038)*1+ISBLANK(E1038)*1+ISBLANK(F1038)*1+ISBLANK(I1038)*1+ISBLANK(J1038)*1+ISBLANK(K1038)*1+ISBLANK(L1038)*1+ISBLANK(M1038)*1+ISBLANK(N1038)*1+ISBLANK(O1038)*1)&gt;0,"Missing Data","OK")</f>
        <v>OK</v>
      </c>
      <c r="V1038" s="0" t="str">
        <f aca="false">IF(T1038&gt;=6,"High Risk",IF(T1038&gt;=3,"Medium Risk","Low Risk"))</f>
        <v>Medium Risk</v>
      </c>
    </row>
    <row r="1039" customFormat="false" ht="12.8" hidden="false" customHeight="false" outlineLevel="0" collapsed="false">
      <c r="A1039" s="1" t="s">
        <v>1069</v>
      </c>
      <c r="B1039" s="1" t="s">
        <v>29</v>
      </c>
      <c r="C1039" s="1" t="s">
        <v>24</v>
      </c>
      <c r="D1039" s="1" t="n">
        <v>41.23</v>
      </c>
      <c r="E1039" s="1" t="n">
        <v>0</v>
      </c>
      <c r="F1039" s="4" t="n">
        <v>45172</v>
      </c>
      <c r="G1039" s="1" t="s">
        <v>25</v>
      </c>
      <c r="H1039" s="1" t="n">
        <v>1</v>
      </c>
      <c r="I1039" s="1" t="n">
        <v>78.6</v>
      </c>
      <c r="J1039" s="1" t="n">
        <v>26</v>
      </c>
      <c r="K1039" s="1" t="n">
        <v>8</v>
      </c>
      <c r="L1039" s="1" t="n">
        <v>0</v>
      </c>
      <c r="M1039" s="1" t="n">
        <v>0</v>
      </c>
      <c r="N1039" s="1" t="n">
        <v>0</v>
      </c>
      <c r="O1039" s="1" t="n">
        <v>0</v>
      </c>
      <c r="Q1039" s="4" t="n">
        <v>45172</v>
      </c>
      <c r="R1039" s="0" t="n">
        <f aca="false">IF(ISBLANK(F1039),"Missing",IFERROR(YEAR(F1039),"Missing"))</f>
        <v>2023</v>
      </c>
      <c r="S1039" s="0" t="str">
        <f aca="false">IF(ISBLANK(E1039),"Missing",IF(E1039&lt;6,"0-6mo",IF(E1039&lt;12,"6-12mo",IF(E1039&lt;24,"12-24mo","24mo+"))))</f>
        <v>0-6mo</v>
      </c>
      <c r="T1039" s="0" t="n">
        <f aca="false">IF(ISBLANK(C1039),0,IF(C1039="Month-to-month",2,IF(C1039="One year",1,0)))+IF(ISBLANK(I1039),0,IF(I1039&lt;40,2,IF(I1039&lt;55,1,0)))+IF(ISBLANK(M1039),0,IF(M1039=1,3,0))+IF(ISBLANK(L1039),0,IF(L1039&gt;=2,1,0))+IF(ISBLANK(E1039),0,IF(E1039&lt;12,1,0))</f>
        <v>3</v>
      </c>
      <c r="U1039" s="0" t="str">
        <f aca="false">IF((ISBLANK(B1039)*1+ISBLANK(C1039)*1+ISBLANK(D1039)*1+ISBLANK(E1039)*1+ISBLANK(F1039)*1+ISBLANK(I1039)*1+ISBLANK(J1039)*1+ISBLANK(K1039)*1+ISBLANK(L1039)*1+ISBLANK(M1039)*1+ISBLANK(N1039)*1+ISBLANK(O1039)*1)&gt;0,"Missing Data","OK")</f>
        <v>OK</v>
      </c>
      <c r="V1039" s="0" t="str">
        <f aca="false">IF(T1039&gt;=6,"High Risk",IF(T1039&gt;=3,"Medium Risk","Low Risk"))</f>
        <v>Medium Risk</v>
      </c>
    </row>
    <row r="1040" customFormat="false" ht="12.8" hidden="false" customHeight="false" outlineLevel="0" collapsed="false">
      <c r="A1040" s="1" t="s">
        <v>1070</v>
      </c>
      <c r="B1040" s="1" t="s">
        <v>23</v>
      </c>
      <c r="C1040" s="1" t="s">
        <v>24</v>
      </c>
      <c r="D1040" s="1" t="n">
        <v>19.98</v>
      </c>
      <c r="E1040" s="1" t="n">
        <v>0</v>
      </c>
      <c r="F1040" s="4" t="n">
        <v>45176</v>
      </c>
      <c r="G1040" s="1" t="s">
        <v>39</v>
      </c>
      <c r="H1040" s="1" t="n">
        <v>0</v>
      </c>
      <c r="I1040" s="1" t="n">
        <v>64.7</v>
      </c>
      <c r="J1040" s="1" t="n">
        <v>22</v>
      </c>
      <c r="K1040" s="1" t="n">
        <v>4</v>
      </c>
      <c r="L1040" s="1" t="n">
        <v>1</v>
      </c>
      <c r="M1040" s="1" t="n">
        <v>1</v>
      </c>
      <c r="N1040" s="1" t="n">
        <v>0</v>
      </c>
      <c r="O1040" s="1" t="n">
        <v>0</v>
      </c>
      <c r="Q1040" s="4" t="n">
        <v>45176</v>
      </c>
      <c r="R1040" s="0" t="n">
        <f aca="false">IF(ISBLANK(F1040),"Missing",IFERROR(YEAR(F1040),"Missing"))</f>
        <v>2023</v>
      </c>
      <c r="S1040" s="0" t="str">
        <f aca="false">IF(ISBLANK(E1040),"Missing",IF(E1040&lt;6,"0-6mo",IF(E1040&lt;12,"6-12mo",IF(E1040&lt;24,"12-24mo","24mo+"))))</f>
        <v>0-6mo</v>
      </c>
      <c r="T1040" s="0" t="n">
        <f aca="false">IF(ISBLANK(C1040),0,IF(C1040="Month-to-month",2,IF(C1040="One year",1,0)))+IF(ISBLANK(I1040),0,IF(I1040&lt;40,2,IF(I1040&lt;55,1,0)))+IF(ISBLANK(M1040),0,IF(M1040=1,3,0))+IF(ISBLANK(L1040),0,IF(L1040&gt;=2,1,0))+IF(ISBLANK(E1040),0,IF(E1040&lt;12,1,0))</f>
        <v>6</v>
      </c>
      <c r="U1040" s="0" t="str">
        <f aca="false">IF((ISBLANK(B1040)*1+ISBLANK(C1040)*1+ISBLANK(D1040)*1+ISBLANK(E1040)*1+ISBLANK(F1040)*1+ISBLANK(I1040)*1+ISBLANK(J1040)*1+ISBLANK(K1040)*1+ISBLANK(L1040)*1+ISBLANK(M1040)*1+ISBLANK(N1040)*1+ISBLANK(O1040)*1)&gt;0,"Missing Data","OK")</f>
        <v>OK</v>
      </c>
      <c r="V1040" s="0" t="str">
        <f aca="false">IF(T1040&gt;=6,"High Risk",IF(T1040&gt;=3,"Medium Risk","Low Risk"))</f>
        <v>High Risk</v>
      </c>
    </row>
    <row r="1041" customFormat="false" ht="12.8" hidden="false" customHeight="false" outlineLevel="0" collapsed="false">
      <c r="A1041" s="1" t="s">
        <v>1071</v>
      </c>
      <c r="B1041" s="1" t="s">
        <v>36</v>
      </c>
      <c r="C1041" s="1" t="s">
        <v>34</v>
      </c>
      <c r="D1041" s="1" t="n">
        <v>7.84</v>
      </c>
      <c r="E1041" s="1" t="n">
        <v>22</v>
      </c>
      <c r="F1041" s="4" t="n">
        <v>45178</v>
      </c>
      <c r="G1041" s="1" t="s">
        <v>27</v>
      </c>
      <c r="H1041" s="1" t="n">
        <v>0</v>
      </c>
      <c r="I1041" s="1" t="n">
        <v>58</v>
      </c>
      <c r="J1041" s="1" t="n">
        <v>17</v>
      </c>
      <c r="K1041" s="1" t="n">
        <v>5</v>
      </c>
      <c r="L1041" s="1" t="n">
        <v>1</v>
      </c>
      <c r="M1041" s="1" t="n">
        <v>1</v>
      </c>
      <c r="N1041" s="1" t="n">
        <v>172.48</v>
      </c>
      <c r="O1041" s="1" t="n">
        <v>0</v>
      </c>
      <c r="Q1041" s="4" t="n">
        <v>45847</v>
      </c>
      <c r="R1041" s="0" t="n">
        <f aca="false">IF(ISBLANK(F1041),"Missing",IFERROR(YEAR(F1041),"Missing"))</f>
        <v>2023</v>
      </c>
      <c r="S1041" s="0" t="str">
        <f aca="false">IF(ISBLANK(E1041),"Missing",IF(E1041&lt;6,"0-6mo",IF(E1041&lt;12,"6-12mo",IF(E1041&lt;24,"12-24mo","24mo+"))))</f>
        <v>12-24mo</v>
      </c>
      <c r="T1041" s="0" t="n">
        <f aca="false">IF(ISBLANK(C1041),0,IF(C1041="Month-to-month",2,IF(C1041="One year",1,0)))+IF(ISBLANK(I1041),0,IF(I1041&lt;40,2,IF(I1041&lt;55,1,0)))+IF(ISBLANK(M1041),0,IF(M1041=1,3,0))+IF(ISBLANK(L1041),0,IF(L1041&gt;=2,1,0))+IF(ISBLANK(E1041),0,IF(E1041&lt;12,1,0))</f>
        <v>4</v>
      </c>
      <c r="U1041" s="0" t="str">
        <f aca="false">IF((ISBLANK(B1041)*1+ISBLANK(C1041)*1+ISBLANK(D1041)*1+ISBLANK(E1041)*1+ISBLANK(F1041)*1+ISBLANK(I1041)*1+ISBLANK(J1041)*1+ISBLANK(K1041)*1+ISBLANK(L1041)*1+ISBLANK(M1041)*1+ISBLANK(N1041)*1+ISBLANK(O1041)*1)&gt;0,"Missing Data","OK")</f>
        <v>OK</v>
      </c>
      <c r="V1041" s="0" t="str">
        <f aca="false">IF(T1041&gt;=6,"High Risk",IF(T1041&gt;=3,"Medium Risk","Low Risk"))</f>
        <v>Medium Risk</v>
      </c>
    </row>
    <row r="1042" customFormat="false" ht="12.8" hidden="false" customHeight="false" outlineLevel="0" collapsed="false">
      <c r="A1042" s="1" t="s">
        <v>1072</v>
      </c>
      <c r="B1042" s="1" t="s">
        <v>23</v>
      </c>
      <c r="C1042" s="1" t="s">
        <v>24</v>
      </c>
      <c r="D1042" s="1" t="n">
        <v>19.58</v>
      </c>
      <c r="E1042" s="1" t="n">
        <v>57</v>
      </c>
      <c r="F1042" s="4" t="n">
        <v>45180</v>
      </c>
      <c r="G1042" s="1" t="s">
        <v>30</v>
      </c>
      <c r="H1042" s="1" t="n">
        <v>0</v>
      </c>
      <c r="I1042" s="1" t="n">
        <v>40.4</v>
      </c>
      <c r="J1042" s="1" t="n">
        <v>11</v>
      </c>
      <c r="K1042" s="1" t="n">
        <v>1</v>
      </c>
      <c r="L1042" s="1" t="n">
        <v>0</v>
      </c>
      <c r="M1042" s="1" t="n">
        <v>0</v>
      </c>
      <c r="N1042" s="1" t="n">
        <v>1116.06</v>
      </c>
      <c r="O1042" s="1" t="n">
        <v>1</v>
      </c>
      <c r="P1042" s="4" t="n">
        <v>46293</v>
      </c>
      <c r="Q1042" s="4" t="n">
        <v>46293</v>
      </c>
      <c r="R1042" s="0" t="n">
        <f aca="false">IF(ISBLANK(F1042),"Missing",IFERROR(YEAR(F1042),"Missing"))</f>
        <v>2023</v>
      </c>
      <c r="S1042" s="0" t="str">
        <f aca="false">IF(ISBLANK(E1042),"Missing",IF(E1042&lt;6,"0-6mo",IF(E1042&lt;12,"6-12mo",IF(E1042&lt;24,"12-24mo","24mo+"))))</f>
        <v>24mo+</v>
      </c>
      <c r="T1042" s="0" t="n">
        <f aca="false">IF(ISBLANK(C1042),0,IF(C1042="Month-to-month",2,IF(C1042="One year",1,0)))+IF(ISBLANK(I1042),0,IF(I1042&lt;40,2,IF(I1042&lt;55,1,0)))+IF(ISBLANK(M1042),0,IF(M1042=1,3,0))+IF(ISBLANK(L1042),0,IF(L1042&gt;=2,1,0))+IF(ISBLANK(E1042),0,IF(E1042&lt;12,1,0))</f>
        <v>3</v>
      </c>
      <c r="U1042" s="0" t="str">
        <f aca="false">IF((ISBLANK(B1042)*1+ISBLANK(C1042)*1+ISBLANK(D1042)*1+ISBLANK(E1042)*1+ISBLANK(F1042)*1+ISBLANK(I1042)*1+ISBLANK(J1042)*1+ISBLANK(K1042)*1+ISBLANK(L1042)*1+ISBLANK(M1042)*1+ISBLANK(N1042)*1+ISBLANK(O1042)*1)&gt;0,"Missing Data","OK")</f>
        <v>OK</v>
      </c>
      <c r="V1042" s="0" t="str">
        <f aca="false">IF(T1042&gt;=6,"High Risk",IF(T1042&gt;=3,"Medium Risk","Low Risk"))</f>
        <v>Medium Risk</v>
      </c>
    </row>
    <row r="1043" customFormat="false" ht="12.8" hidden="false" customHeight="false" outlineLevel="0" collapsed="false">
      <c r="A1043" s="1" t="s">
        <v>1073</v>
      </c>
      <c r="B1043" s="1" t="s">
        <v>36</v>
      </c>
      <c r="C1043" s="1" t="s">
        <v>24</v>
      </c>
      <c r="D1043" s="1" t="n">
        <v>9.75</v>
      </c>
      <c r="E1043" s="1" t="n">
        <v>7</v>
      </c>
      <c r="F1043" s="4" t="n">
        <v>45181</v>
      </c>
      <c r="G1043" s="1" t="s">
        <v>27</v>
      </c>
      <c r="H1043" s="1" t="n">
        <v>1</v>
      </c>
      <c r="I1043" s="1" t="n">
        <v>36.6</v>
      </c>
      <c r="J1043" s="1" t="n">
        <v>6</v>
      </c>
      <c r="K1043" s="1" t="n">
        <v>5</v>
      </c>
      <c r="L1043" s="1" t="n">
        <v>2</v>
      </c>
      <c r="M1043" s="1" t="n">
        <v>1</v>
      </c>
      <c r="N1043" s="1" t="n">
        <v>68.25</v>
      </c>
      <c r="O1043" s="1" t="n">
        <v>1</v>
      </c>
      <c r="P1043" s="4" t="n">
        <v>45394</v>
      </c>
      <c r="Q1043" s="4" t="n">
        <v>45394</v>
      </c>
      <c r="R1043" s="0" t="n">
        <f aca="false">IF(ISBLANK(F1043),"Missing",IFERROR(YEAR(F1043),"Missing"))</f>
        <v>2023</v>
      </c>
      <c r="S1043" s="0" t="str">
        <f aca="false">IF(ISBLANK(E1043),"Missing",IF(E1043&lt;6,"0-6mo",IF(E1043&lt;12,"6-12mo",IF(E1043&lt;24,"12-24mo","24mo+"))))</f>
        <v>6-12mo</v>
      </c>
      <c r="T1043" s="0" t="n">
        <f aca="false">IF(ISBLANK(C1043),0,IF(C1043="Month-to-month",2,IF(C1043="One year",1,0)))+IF(ISBLANK(I1043),0,IF(I1043&lt;40,2,IF(I1043&lt;55,1,0)))+IF(ISBLANK(M1043),0,IF(M1043=1,3,0))+IF(ISBLANK(L1043),0,IF(L1043&gt;=2,1,0))+IF(ISBLANK(E1043),0,IF(E1043&lt;12,1,0))</f>
        <v>9</v>
      </c>
      <c r="U1043" s="0" t="str">
        <f aca="false">IF((ISBLANK(B1043)*1+ISBLANK(C1043)*1+ISBLANK(D1043)*1+ISBLANK(E1043)*1+ISBLANK(F1043)*1+ISBLANK(I1043)*1+ISBLANK(J1043)*1+ISBLANK(K1043)*1+ISBLANK(L1043)*1+ISBLANK(M1043)*1+ISBLANK(N1043)*1+ISBLANK(O1043)*1)&gt;0,"Missing Data","OK")</f>
        <v>OK</v>
      </c>
      <c r="V1043" s="0" t="str">
        <f aca="false">IF(T1043&gt;=6,"High Risk",IF(T1043&gt;=3,"Medium Risk","Low Risk"))</f>
        <v>High Risk</v>
      </c>
    </row>
    <row r="1044" customFormat="false" ht="12.8" hidden="false" customHeight="false" outlineLevel="0" collapsed="false">
      <c r="A1044" s="1" t="s">
        <v>1074</v>
      </c>
      <c r="B1044" s="1" t="s">
        <v>36</v>
      </c>
      <c r="C1044" s="1" t="s">
        <v>34</v>
      </c>
      <c r="D1044" s="1" t="n">
        <v>9.68</v>
      </c>
      <c r="E1044" s="1" t="n">
        <v>1</v>
      </c>
      <c r="F1044" s="4" t="n">
        <v>45182</v>
      </c>
      <c r="G1044" s="1" t="s">
        <v>39</v>
      </c>
      <c r="H1044" s="1" t="n">
        <v>0</v>
      </c>
      <c r="I1044" s="1" t="n">
        <v>82.3</v>
      </c>
      <c r="J1044" s="1" t="n">
        <v>26</v>
      </c>
      <c r="K1044" s="1" t="n">
        <v>5</v>
      </c>
      <c r="L1044" s="1" t="n">
        <v>1</v>
      </c>
      <c r="M1044" s="1" t="n">
        <v>0</v>
      </c>
      <c r="N1044" s="1" t="n">
        <v>9.68</v>
      </c>
      <c r="O1044" s="1" t="n">
        <v>0</v>
      </c>
      <c r="Q1044" s="4" t="n">
        <v>45212</v>
      </c>
      <c r="R1044" s="0" t="n">
        <f aca="false">IF(ISBLANK(F1044),"Missing",IFERROR(YEAR(F1044),"Missing"))</f>
        <v>2023</v>
      </c>
      <c r="S1044" s="0" t="str">
        <f aca="false">IF(ISBLANK(E1044),"Missing",IF(E1044&lt;6,"0-6mo",IF(E1044&lt;12,"6-12mo",IF(E1044&lt;24,"12-24mo","24mo+"))))</f>
        <v>0-6mo</v>
      </c>
      <c r="T1044" s="0" t="n">
        <f aca="false">IF(ISBLANK(C1044),0,IF(C1044="Month-to-month",2,IF(C1044="One year",1,0)))+IF(ISBLANK(I1044),0,IF(I1044&lt;40,2,IF(I1044&lt;55,1,0)))+IF(ISBLANK(M1044),0,IF(M1044=1,3,0))+IF(ISBLANK(L1044),0,IF(L1044&gt;=2,1,0))+IF(ISBLANK(E1044),0,IF(E1044&lt;12,1,0))</f>
        <v>2</v>
      </c>
      <c r="U1044" s="0" t="str">
        <f aca="false">IF((ISBLANK(B1044)*1+ISBLANK(C1044)*1+ISBLANK(D1044)*1+ISBLANK(E1044)*1+ISBLANK(F1044)*1+ISBLANK(I1044)*1+ISBLANK(J1044)*1+ISBLANK(K1044)*1+ISBLANK(L1044)*1+ISBLANK(M1044)*1+ISBLANK(N1044)*1+ISBLANK(O1044)*1)&gt;0,"Missing Data","OK")</f>
        <v>OK</v>
      </c>
      <c r="V1044" s="0" t="str">
        <f aca="false">IF(T1044&gt;=6,"High Risk",IF(T1044&gt;=3,"Medium Risk","Low Risk"))</f>
        <v>Low Risk</v>
      </c>
    </row>
    <row r="1045" customFormat="false" ht="12.8" hidden="false" customHeight="false" outlineLevel="0" collapsed="false">
      <c r="A1045" s="1" t="s">
        <v>1075</v>
      </c>
      <c r="B1045" s="1" t="s">
        <v>29</v>
      </c>
      <c r="C1045" s="1" t="s">
        <v>34</v>
      </c>
      <c r="D1045" s="1" t="n">
        <v>38.01</v>
      </c>
      <c r="E1045" s="1" t="n">
        <v>16</v>
      </c>
      <c r="F1045" s="4" t="n">
        <v>45182</v>
      </c>
      <c r="G1045" s="1" t="s">
        <v>27</v>
      </c>
      <c r="H1045" s="1" t="n">
        <v>0</v>
      </c>
      <c r="I1045" s="1" t="n">
        <v>90.7</v>
      </c>
      <c r="J1045" s="1" t="n">
        <v>23</v>
      </c>
      <c r="K1045" s="1" t="n">
        <v>7</v>
      </c>
      <c r="L1045" s="1" t="n">
        <v>2</v>
      </c>
      <c r="M1045" s="1" t="n">
        <v>0</v>
      </c>
      <c r="N1045" s="1" t="n">
        <v>608.16</v>
      </c>
      <c r="O1045" s="1" t="n">
        <v>0</v>
      </c>
      <c r="Q1045" s="4" t="n">
        <v>45669</v>
      </c>
      <c r="R1045" s="0" t="n">
        <f aca="false">IF(ISBLANK(F1045),"Missing",IFERROR(YEAR(F1045),"Missing"))</f>
        <v>2023</v>
      </c>
      <c r="S1045" s="0" t="str">
        <f aca="false">IF(ISBLANK(E1045),"Missing",IF(E1045&lt;6,"0-6mo",IF(E1045&lt;12,"6-12mo",IF(E1045&lt;24,"12-24mo","24mo+"))))</f>
        <v>12-24mo</v>
      </c>
      <c r="T1045" s="0" t="n">
        <f aca="false">IF(ISBLANK(C1045),0,IF(C1045="Month-to-month",2,IF(C1045="One year",1,0)))+IF(ISBLANK(I1045),0,IF(I1045&lt;40,2,IF(I1045&lt;55,1,0)))+IF(ISBLANK(M1045),0,IF(M1045=1,3,0))+IF(ISBLANK(L1045),0,IF(L1045&gt;=2,1,0))+IF(ISBLANK(E1045),0,IF(E1045&lt;12,1,0))</f>
        <v>2</v>
      </c>
      <c r="U1045" s="0" t="str">
        <f aca="false">IF((ISBLANK(B1045)*1+ISBLANK(C1045)*1+ISBLANK(D1045)*1+ISBLANK(E1045)*1+ISBLANK(F1045)*1+ISBLANK(I1045)*1+ISBLANK(J1045)*1+ISBLANK(K1045)*1+ISBLANK(L1045)*1+ISBLANK(M1045)*1+ISBLANK(N1045)*1+ISBLANK(O1045)*1)&gt;0,"Missing Data","OK")</f>
        <v>OK</v>
      </c>
      <c r="V1045" s="0" t="str">
        <f aca="false">IF(T1045&gt;=6,"High Risk",IF(T1045&gt;=3,"Medium Risk","Low Risk"))</f>
        <v>Low Risk</v>
      </c>
    </row>
    <row r="1046" customFormat="false" ht="12.8" hidden="false" customHeight="false" outlineLevel="0" collapsed="false">
      <c r="A1046" s="1" t="s">
        <v>1076</v>
      </c>
      <c r="B1046" s="1" t="s">
        <v>36</v>
      </c>
      <c r="C1046" s="1" t="s">
        <v>24</v>
      </c>
      <c r="D1046" s="1" t="n">
        <v>9.42</v>
      </c>
      <c r="E1046" s="1" t="n">
        <v>3</v>
      </c>
      <c r="F1046" s="4" t="n">
        <v>45184</v>
      </c>
      <c r="G1046" s="1" t="s">
        <v>25</v>
      </c>
      <c r="H1046" s="1" t="n">
        <v>1</v>
      </c>
      <c r="I1046" s="1" t="n">
        <v>62.2</v>
      </c>
      <c r="J1046" s="1" t="n">
        <v>22</v>
      </c>
      <c r="K1046" s="1" t="n">
        <v>6</v>
      </c>
      <c r="L1046" s="1" t="n">
        <v>1</v>
      </c>
      <c r="M1046" s="1" t="n">
        <v>0</v>
      </c>
      <c r="N1046" s="1" t="n">
        <v>28.26</v>
      </c>
      <c r="O1046" s="1" t="n">
        <v>0</v>
      </c>
      <c r="Q1046" s="4" t="n">
        <v>45275</v>
      </c>
      <c r="R1046" s="0" t="n">
        <f aca="false">IF(ISBLANK(F1046),"Missing",IFERROR(YEAR(F1046),"Missing"))</f>
        <v>2023</v>
      </c>
      <c r="S1046" s="0" t="str">
        <f aca="false">IF(ISBLANK(E1046),"Missing",IF(E1046&lt;6,"0-6mo",IF(E1046&lt;12,"6-12mo",IF(E1046&lt;24,"12-24mo","24mo+"))))</f>
        <v>0-6mo</v>
      </c>
      <c r="T1046" s="0" t="n">
        <f aca="false">IF(ISBLANK(C1046),0,IF(C1046="Month-to-month",2,IF(C1046="One year",1,0)))+IF(ISBLANK(I1046),0,IF(I1046&lt;40,2,IF(I1046&lt;55,1,0)))+IF(ISBLANK(M1046),0,IF(M1046=1,3,0))+IF(ISBLANK(L1046),0,IF(L1046&gt;=2,1,0))+IF(ISBLANK(E1046),0,IF(E1046&lt;12,1,0))</f>
        <v>3</v>
      </c>
      <c r="U1046" s="0" t="str">
        <f aca="false">IF((ISBLANK(B1046)*1+ISBLANK(C1046)*1+ISBLANK(D1046)*1+ISBLANK(E1046)*1+ISBLANK(F1046)*1+ISBLANK(I1046)*1+ISBLANK(J1046)*1+ISBLANK(K1046)*1+ISBLANK(L1046)*1+ISBLANK(M1046)*1+ISBLANK(N1046)*1+ISBLANK(O1046)*1)&gt;0,"Missing Data","OK")</f>
        <v>OK</v>
      </c>
      <c r="V1046" s="0" t="str">
        <f aca="false">IF(T1046&gt;=6,"High Risk",IF(T1046&gt;=3,"Medium Risk","Low Risk"))</f>
        <v>Medium Risk</v>
      </c>
    </row>
    <row r="1047" customFormat="false" ht="12.8" hidden="false" customHeight="false" outlineLevel="0" collapsed="false">
      <c r="A1047" s="1" t="s">
        <v>1077</v>
      </c>
      <c r="B1047" s="1" t="s">
        <v>36</v>
      </c>
      <c r="C1047" s="1" t="s">
        <v>34</v>
      </c>
      <c r="D1047" s="1" t="n">
        <v>8.11</v>
      </c>
      <c r="E1047" s="1" t="n">
        <v>23</v>
      </c>
      <c r="F1047" s="4" t="n">
        <v>45184</v>
      </c>
      <c r="G1047" s="1" t="s">
        <v>30</v>
      </c>
      <c r="H1047" s="1" t="n">
        <v>1</v>
      </c>
      <c r="I1047" s="1" t="n">
        <v>67.2</v>
      </c>
      <c r="J1047" s="1" t="n">
        <v>19</v>
      </c>
      <c r="K1047" s="1" t="n">
        <v>6</v>
      </c>
      <c r="L1047" s="1" t="n">
        <v>1</v>
      </c>
      <c r="M1047" s="1" t="n">
        <v>0</v>
      </c>
      <c r="N1047" s="1" t="n">
        <v>186.53</v>
      </c>
      <c r="O1047" s="1" t="n">
        <v>0</v>
      </c>
      <c r="Q1047" s="4" t="n">
        <v>45884</v>
      </c>
      <c r="R1047" s="0" t="n">
        <f aca="false">IF(ISBLANK(F1047),"Missing",IFERROR(YEAR(F1047),"Missing"))</f>
        <v>2023</v>
      </c>
      <c r="S1047" s="0" t="str">
        <f aca="false">IF(ISBLANK(E1047),"Missing",IF(E1047&lt;6,"0-6mo",IF(E1047&lt;12,"6-12mo",IF(E1047&lt;24,"12-24mo","24mo+"))))</f>
        <v>12-24mo</v>
      </c>
      <c r="T1047" s="0" t="n">
        <f aca="false">IF(ISBLANK(C1047),0,IF(C1047="Month-to-month",2,IF(C1047="One year",1,0)))+IF(ISBLANK(I1047),0,IF(I1047&lt;40,2,IF(I1047&lt;55,1,0)))+IF(ISBLANK(M1047),0,IF(M1047=1,3,0))+IF(ISBLANK(L1047),0,IF(L1047&gt;=2,1,0))+IF(ISBLANK(E1047),0,IF(E1047&lt;12,1,0))</f>
        <v>1</v>
      </c>
      <c r="U1047" s="0" t="str">
        <f aca="false">IF((ISBLANK(B1047)*1+ISBLANK(C1047)*1+ISBLANK(D1047)*1+ISBLANK(E1047)*1+ISBLANK(F1047)*1+ISBLANK(I1047)*1+ISBLANK(J1047)*1+ISBLANK(K1047)*1+ISBLANK(L1047)*1+ISBLANK(M1047)*1+ISBLANK(N1047)*1+ISBLANK(O1047)*1)&gt;0,"Missing Data","OK")</f>
        <v>OK</v>
      </c>
      <c r="V1047" s="0" t="str">
        <f aca="false">IF(T1047&gt;=6,"High Risk",IF(T1047&gt;=3,"Medium Risk","Low Risk"))</f>
        <v>Low Risk</v>
      </c>
    </row>
    <row r="1048" customFormat="false" ht="12.8" hidden="false" customHeight="false" outlineLevel="0" collapsed="false">
      <c r="A1048" s="1" t="s">
        <v>1078</v>
      </c>
      <c r="B1048" s="1" t="s">
        <v>36</v>
      </c>
      <c r="C1048" s="1" t="s">
        <v>34</v>
      </c>
      <c r="D1048" s="1" t="n">
        <v>10.45</v>
      </c>
      <c r="E1048" s="1" t="n">
        <v>28</v>
      </c>
      <c r="F1048" s="4" t="n">
        <v>45189</v>
      </c>
      <c r="G1048" s="1" t="s">
        <v>39</v>
      </c>
      <c r="H1048" s="1" t="n">
        <v>0</v>
      </c>
      <c r="I1048" s="1" t="n">
        <v>76.2</v>
      </c>
      <c r="J1048" s="1" t="n">
        <v>21</v>
      </c>
      <c r="K1048" s="1" t="n">
        <v>8</v>
      </c>
      <c r="L1048" s="1" t="n">
        <v>0</v>
      </c>
      <c r="M1048" s="1" t="n">
        <v>0</v>
      </c>
      <c r="N1048" s="1" t="n">
        <v>292.6</v>
      </c>
      <c r="O1048" s="1" t="n">
        <v>0</v>
      </c>
      <c r="Q1048" s="4" t="n">
        <v>46041</v>
      </c>
      <c r="R1048" s="0" t="n">
        <f aca="false">IF(ISBLANK(F1048),"Missing",IFERROR(YEAR(F1048),"Missing"))</f>
        <v>2023</v>
      </c>
      <c r="S1048" s="0" t="str">
        <f aca="false">IF(ISBLANK(E1048),"Missing",IF(E1048&lt;6,"0-6mo",IF(E1048&lt;12,"6-12mo",IF(E1048&lt;24,"12-24mo","24mo+"))))</f>
        <v>24mo+</v>
      </c>
      <c r="T1048" s="0" t="n">
        <f aca="false">IF(ISBLANK(C1048),0,IF(C1048="Month-to-month",2,IF(C1048="One year",1,0)))+IF(ISBLANK(I1048),0,IF(I1048&lt;40,2,IF(I1048&lt;55,1,0)))+IF(ISBLANK(M1048),0,IF(M1048=1,3,0))+IF(ISBLANK(L1048),0,IF(L1048&gt;=2,1,0))+IF(ISBLANK(E1048),0,IF(E1048&lt;12,1,0))</f>
        <v>1</v>
      </c>
      <c r="U1048" s="0" t="str">
        <f aca="false">IF((ISBLANK(B1048)*1+ISBLANK(C1048)*1+ISBLANK(D1048)*1+ISBLANK(E1048)*1+ISBLANK(F1048)*1+ISBLANK(I1048)*1+ISBLANK(J1048)*1+ISBLANK(K1048)*1+ISBLANK(L1048)*1+ISBLANK(M1048)*1+ISBLANK(N1048)*1+ISBLANK(O1048)*1)&gt;0,"Missing Data","OK")</f>
        <v>OK</v>
      </c>
      <c r="V1048" s="0" t="str">
        <f aca="false">IF(T1048&gt;=6,"High Risk",IF(T1048&gt;=3,"Medium Risk","Low Risk"))</f>
        <v>Low Risk</v>
      </c>
    </row>
    <row r="1049" customFormat="false" ht="12.8" hidden="false" customHeight="false" outlineLevel="0" collapsed="false">
      <c r="A1049" s="1" t="s">
        <v>1079</v>
      </c>
      <c r="B1049" s="1" t="s">
        <v>23</v>
      </c>
      <c r="C1049" s="1" t="s">
        <v>51</v>
      </c>
      <c r="D1049" s="1" t="n">
        <v>20.69</v>
      </c>
      <c r="E1049" s="1" t="n">
        <v>44</v>
      </c>
      <c r="F1049" s="4" t="n">
        <v>45190</v>
      </c>
      <c r="G1049" s="1" t="s">
        <v>25</v>
      </c>
      <c r="H1049" s="1" t="n">
        <v>1</v>
      </c>
      <c r="I1049" s="1" t="n">
        <v>46.4</v>
      </c>
      <c r="J1049" s="1" t="n">
        <v>11</v>
      </c>
      <c r="K1049" s="1" t="n">
        <v>4</v>
      </c>
      <c r="L1049" s="1" t="n">
        <v>1</v>
      </c>
      <c r="M1049" s="1" t="n">
        <v>0</v>
      </c>
      <c r="N1049" s="1" t="n">
        <v>910.36</v>
      </c>
      <c r="O1049" s="1" t="n">
        <v>0</v>
      </c>
      <c r="Q1049" s="4" t="n">
        <v>46293</v>
      </c>
      <c r="R1049" s="0" t="n">
        <f aca="false">IF(ISBLANK(F1049),"Missing",IFERROR(YEAR(F1049),"Missing"))</f>
        <v>2023</v>
      </c>
      <c r="S1049" s="0" t="str">
        <f aca="false">IF(ISBLANK(E1049),"Missing",IF(E1049&lt;6,"0-6mo",IF(E1049&lt;12,"6-12mo",IF(E1049&lt;24,"12-24mo","24mo+"))))</f>
        <v>24mo+</v>
      </c>
      <c r="T1049" s="0" t="n">
        <f aca="false">IF(ISBLANK(C1049),0,IF(C1049="Month-to-month",2,IF(C1049="One year",1,0)))+IF(ISBLANK(I1049),0,IF(I1049&lt;40,2,IF(I1049&lt;55,1,0)))+IF(ISBLANK(M1049),0,IF(M1049=1,3,0))+IF(ISBLANK(L1049),0,IF(L1049&gt;=2,1,0))+IF(ISBLANK(E1049),0,IF(E1049&lt;12,1,0))</f>
        <v>1</v>
      </c>
      <c r="U1049" s="0" t="str">
        <f aca="false">IF((ISBLANK(B1049)*1+ISBLANK(C1049)*1+ISBLANK(D1049)*1+ISBLANK(E1049)*1+ISBLANK(F1049)*1+ISBLANK(I1049)*1+ISBLANK(J1049)*1+ISBLANK(K1049)*1+ISBLANK(L1049)*1+ISBLANK(M1049)*1+ISBLANK(N1049)*1+ISBLANK(O1049)*1)&gt;0,"Missing Data","OK")</f>
        <v>OK</v>
      </c>
      <c r="V1049" s="0" t="str">
        <f aca="false">IF(T1049&gt;=6,"High Risk",IF(T1049&gt;=3,"Medium Risk","Low Risk"))</f>
        <v>Low Risk</v>
      </c>
    </row>
    <row r="1050" customFormat="false" ht="12.8" hidden="false" customHeight="false" outlineLevel="0" collapsed="false">
      <c r="A1050" s="1" t="s">
        <v>1080</v>
      </c>
      <c r="B1050" s="1" t="s">
        <v>36</v>
      </c>
      <c r="C1050" s="1" t="s">
        <v>24</v>
      </c>
      <c r="D1050" s="1" t="n">
        <v>9.76</v>
      </c>
      <c r="E1050" s="1" t="n">
        <v>2</v>
      </c>
      <c r="F1050" s="4" t="n">
        <v>45191</v>
      </c>
      <c r="G1050" s="1" t="s">
        <v>27</v>
      </c>
      <c r="H1050" s="1" t="n">
        <v>0</v>
      </c>
      <c r="I1050" s="1" t="n">
        <v>37.6</v>
      </c>
      <c r="J1050" s="1" t="n">
        <v>5</v>
      </c>
      <c r="K1050" s="1" t="n">
        <v>4</v>
      </c>
      <c r="L1050" s="1" t="n">
        <v>2</v>
      </c>
      <c r="M1050" s="1" t="n">
        <v>0</v>
      </c>
      <c r="N1050" s="1" t="n">
        <v>19.52</v>
      </c>
      <c r="O1050" s="1" t="n">
        <v>0</v>
      </c>
      <c r="Q1050" s="4" t="n">
        <v>45251</v>
      </c>
      <c r="R1050" s="0" t="n">
        <f aca="false">IF(ISBLANK(F1050),"Missing",IFERROR(YEAR(F1050),"Missing"))</f>
        <v>2023</v>
      </c>
      <c r="S1050" s="0" t="str">
        <f aca="false">IF(ISBLANK(E1050),"Missing",IF(E1050&lt;6,"0-6mo",IF(E1050&lt;12,"6-12mo",IF(E1050&lt;24,"12-24mo","24mo+"))))</f>
        <v>0-6mo</v>
      </c>
      <c r="T1050" s="0" t="n">
        <f aca="false">IF(ISBLANK(C1050),0,IF(C1050="Month-to-month",2,IF(C1050="One year",1,0)))+IF(ISBLANK(I1050),0,IF(I1050&lt;40,2,IF(I1050&lt;55,1,0)))+IF(ISBLANK(M1050),0,IF(M1050=1,3,0))+IF(ISBLANK(L1050),0,IF(L1050&gt;=2,1,0))+IF(ISBLANK(E1050),0,IF(E1050&lt;12,1,0))</f>
        <v>6</v>
      </c>
      <c r="U1050" s="0" t="str">
        <f aca="false">IF((ISBLANK(B1050)*1+ISBLANK(C1050)*1+ISBLANK(D1050)*1+ISBLANK(E1050)*1+ISBLANK(F1050)*1+ISBLANK(I1050)*1+ISBLANK(J1050)*1+ISBLANK(K1050)*1+ISBLANK(L1050)*1+ISBLANK(M1050)*1+ISBLANK(N1050)*1+ISBLANK(O1050)*1)&gt;0,"Missing Data","OK")</f>
        <v>OK</v>
      </c>
      <c r="V1050" s="0" t="str">
        <f aca="false">IF(T1050&gt;=6,"High Risk",IF(T1050&gt;=3,"Medium Risk","Low Risk"))</f>
        <v>High Risk</v>
      </c>
    </row>
    <row r="1051" customFormat="false" ht="12.8" hidden="false" customHeight="false" outlineLevel="0" collapsed="false">
      <c r="A1051" s="1" t="s">
        <v>1081</v>
      </c>
      <c r="B1051" s="1" t="s">
        <v>36</v>
      </c>
      <c r="C1051" s="1" t="s">
        <v>51</v>
      </c>
      <c r="D1051" s="1" t="n">
        <v>10.56</v>
      </c>
      <c r="E1051" s="1" t="n">
        <v>34</v>
      </c>
      <c r="F1051" s="4" t="n">
        <v>45196</v>
      </c>
      <c r="G1051" s="1" t="s">
        <v>39</v>
      </c>
      <c r="H1051" s="1" t="n">
        <v>1</v>
      </c>
      <c r="I1051" s="1" t="n">
        <v>30.8</v>
      </c>
      <c r="J1051" s="1" t="n">
        <v>8</v>
      </c>
      <c r="K1051" s="1" t="n">
        <v>2</v>
      </c>
      <c r="L1051" s="1" t="n">
        <v>0</v>
      </c>
      <c r="M1051" s="1" t="n">
        <v>0</v>
      </c>
      <c r="N1051" s="1" t="n">
        <v>359.04</v>
      </c>
      <c r="O1051" s="1" t="n">
        <v>0</v>
      </c>
      <c r="Q1051" s="4" t="n">
        <v>46230</v>
      </c>
      <c r="R1051" s="0" t="n">
        <f aca="false">IF(ISBLANK(F1051),"Missing",IFERROR(YEAR(F1051),"Missing"))</f>
        <v>2023</v>
      </c>
      <c r="S1051" s="0" t="str">
        <f aca="false">IF(ISBLANK(E1051),"Missing",IF(E1051&lt;6,"0-6mo",IF(E1051&lt;12,"6-12mo",IF(E1051&lt;24,"12-24mo","24mo+"))))</f>
        <v>24mo+</v>
      </c>
      <c r="T1051" s="0" t="n">
        <f aca="false">IF(ISBLANK(C1051),0,IF(C1051="Month-to-month",2,IF(C1051="One year",1,0)))+IF(ISBLANK(I1051),0,IF(I1051&lt;40,2,IF(I1051&lt;55,1,0)))+IF(ISBLANK(M1051),0,IF(M1051=1,3,0))+IF(ISBLANK(L1051),0,IF(L1051&gt;=2,1,0))+IF(ISBLANK(E1051),0,IF(E1051&lt;12,1,0))</f>
        <v>2</v>
      </c>
      <c r="U1051" s="0" t="str">
        <f aca="false">IF((ISBLANK(B1051)*1+ISBLANK(C1051)*1+ISBLANK(D1051)*1+ISBLANK(E1051)*1+ISBLANK(F1051)*1+ISBLANK(I1051)*1+ISBLANK(J1051)*1+ISBLANK(K1051)*1+ISBLANK(L1051)*1+ISBLANK(M1051)*1+ISBLANK(N1051)*1+ISBLANK(O1051)*1)&gt;0,"Missing Data","OK")</f>
        <v>OK</v>
      </c>
      <c r="V1051" s="0" t="str">
        <f aca="false">IF(T1051&gt;=6,"High Risk",IF(T1051&gt;=3,"Medium Risk","Low Risk"))</f>
        <v>Low Risk</v>
      </c>
    </row>
    <row r="1052" customFormat="false" ht="12.8" hidden="false" customHeight="false" outlineLevel="0" collapsed="false">
      <c r="A1052" s="1" t="s">
        <v>1082</v>
      </c>
      <c r="B1052" s="1" t="s">
        <v>36</v>
      </c>
      <c r="C1052" s="1" t="s">
        <v>34</v>
      </c>
      <c r="D1052" s="1" t="n">
        <v>8.76</v>
      </c>
      <c r="E1052" s="1" t="n">
        <v>58</v>
      </c>
      <c r="F1052" s="4" t="n">
        <v>45197</v>
      </c>
      <c r="G1052" s="1" t="s">
        <v>25</v>
      </c>
      <c r="H1052" s="1" t="n">
        <v>1</v>
      </c>
      <c r="I1052" s="1" t="n">
        <v>63.6</v>
      </c>
      <c r="J1052" s="1" t="n">
        <v>17</v>
      </c>
      <c r="K1052" s="1" t="n">
        <v>4</v>
      </c>
      <c r="L1052" s="1" t="n">
        <v>3</v>
      </c>
      <c r="M1052" s="1" t="n">
        <v>0</v>
      </c>
      <c r="N1052" s="1" t="n">
        <v>508.08</v>
      </c>
      <c r="O1052" s="1" t="n">
        <v>0</v>
      </c>
      <c r="Q1052" s="4" t="n">
        <v>46293</v>
      </c>
      <c r="R1052" s="0" t="n">
        <f aca="false">IF(ISBLANK(F1052),"Missing",IFERROR(YEAR(F1052),"Missing"))</f>
        <v>2023</v>
      </c>
      <c r="S1052" s="0" t="str">
        <f aca="false">IF(ISBLANK(E1052),"Missing",IF(E1052&lt;6,"0-6mo",IF(E1052&lt;12,"6-12mo",IF(E1052&lt;24,"12-24mo","24mo+"))))</f>
        <v>24mo+</v>
      </c>
      <c r="T1052" s="0" t="n">
        <f aca="false">IF(ISBLANK(C1052),0,IF(C1052="Month-to-month",2,IF(C1052="One year",1,0)))+IF(ISBLANK(I1052),0,IF(I1052&lt;40,2,IF(I1052&lt;55,1,0)))+IF(ISBLANK(M1052),0,IF(M1052=1,3,0))+IF(ISBLANK(L1052),0,IF(L1052&gt;=2,1,0))+IF(ISBLANK(E1052),0,IF(E1052&lt;12,1,0))</f>
        <v>2</v>
      </c>
      <c r="U1052" s="0" t="str">
        <f aca="false">IF((ISBLANK(B1052)*1+ISBLANK(C1052)*1+ISBLANK(D1052)*1+ISBLANK(E1052)*1+ISBLANK(F1052)*1+ISBLANK(I1052)*1+ISBLANK(J1052)*1+ISBLANK(K1052)*1+ISBLANK(L1052)*1+ISBLANK(M1052)*1+ISBLANK(N1052)*1+ISBLANK(O1052)*1)&gt;0,"Missing Data","OK")</f>
        <v>OK</v>
      </c>
      <c r="V1052" s="0" t="str">
        <f aca="false">IF(T1052&gt;=6,"High Risk",IF(T1052&gt;=3,"Medium Risk","Low Risk"))</f>
        <v>Low Risk</v>
      </c>
    </row>
    <row r="1053" customFormat="false" ht="12.8" hidden="false" customHeight="false" outlineLevel="0" collapsed="false">
      <c r="A1053" s="1" t="s">
        <v>1083</v>
      </c>
      <c r="B1053" s="1" t="s">
        <v>23</v>
      </c>
      <c r="C1053" s="1" t="s">
        <v>24</v>
      </c>
      <c r="D1053" s="1" t="n">
        <v>21.63</v>
      </c>
      <c r="E1053" s="1" t="n">
        <v>12</v>
      </c>
      <c r="F1053" s="4" t="n">
        <v>45197</v>
      </c>
      <c r="G1053" s="1" t="s">
        <v>25</v>
      </c>
      <c r="H1053" s="1" t="n">
        <v>1</v>
      </c>
      <c r="I1053" s="1" t="n">
        <v>56.7</v>
      </c>
      <c r="J1053" s="1" t="n">
        <v>19</v>
      </c>
      <c r="K1053" s="1" t="n">
        <v>3</v>
      </c>
      <c r="L1053" s="1" t="n">
        <v>1</v>
      </c>
      <c r="M1053" s="1" t="n">
        <v>1</v>
      </c>
      <c r="N1053" s="1" t="n">
        <v>259.56</v>
      </c>
      <c r="O1053" s="1" t="n">
        <v>0</v>
      </c>
      <c r="Q1053" s="4" t="n">
        <v>45562</v>
      </c>
      <c r="R1053" s="0" t="n">
        <f aca="false">IF(ISBLANK(F1053),"Missing",IFERROR(YEAR(F1053),"Missing"))</f>
        <v>2023</v>
      </c>
      <c r="S1053" s="0" t="str">
        <f aca="false">IF(ISBLANK(E1053),"Missing",IF(E1053&lt;6,"0-6mo",IF(E1053&lt;12,"6-12mo",IF(E1053&lt;24,"12-24mo","24mo+"))))</f>
        <v>12-24mo</v>
      </c>
      <c r="T1053" s="0" t="n">
        <f aca="false">IF(ISBLANK(C1053),0,IF(C1053="Month-to-month",2,IF(C1053="One year",1,0)))+IF(ISBLANK(I1053),0,IF(I1053&lt;40,2,IF(I1053&lt;55,1,0)))+IF(ISBLANK(M1053),0,IF(M1053=1,3,0))+IF(ISBLANK(L1053),0,IF(L1053&gt;=2,1,0))+IF(ISBLANK(E1053),0,IF(E1053&lt;12,1,0))</f>
        <v>5</v>
      </c>
      <c r="U1053" s="0" t="str">
        <f aca="false">IF((ISBLANK(B1053)*1+ISBLANK(C1053)*1+ISBLANK(D1053)*1+ISBLANK(E1053)*1+ISBLANK(F1053)*1+ISBLANK(I1053)*1+ISBLANK(J1053)*1+ISBLANK(K1053)*1+ISBLANK(L1053)*1+ISBLANK(M1053)*1+ISBLANK(N1053)*1+ISBLANK(O1053)*1)&gt;0,"Missing Data","OK")</f>
        <v>OK</v>
      </c>
      <c r="V1053" s="0" t="str">
        <f aca="false">IF(T1053&gt;=6,"High Risk",IF(T1053&gt;=3,"Medium Risk","Low Risk"))</f>
        <v>Medium Risk</v>
      </c>
    </row>
    <row r="1054" customFormat="false" ht="12.8" hidden="false" customHeight="false" outlineLevel="0" collapsed="false">
      <c r="A1054" s="1" t="s">
        <v>1084</v>
      </c>
      <c r="B1054" s="1" t="s">
        <v>23</v>
      </c>
      <c r="C1054" s="1" t="s">
        <v>34</v>
      </c>
      <c r="D1054" s="1" t="n">
        <v>17.69</v>
      </c>
      <c r="E1054" s="1" t="n">
        <v>5</v>
      </c>
      <c r="F1054" s="4" t="n">
        <v>45198</v>
      </c>
      <c r="G1054" s="1" t="s">
        <v>30</v>
      </c>
      <c r="H1054" s="1" t="n">
        <v>1</v>
      </c>
      <c r="I1054" s="1" t="n">
        <v>54.1</v>
      </c>
      <c r="J1054" s="1" t="n">
        <v>21</v>
      </c>
      <c r="K1054" s="1" t="n">
        <v>3</v>
      </c>
      <c r="L1054" s="1" t="n">
        <v>0</v>
      </c>
      <c r="M1054" s="1" t="n">
        <v>0</v>
      </c>
      <c r="N1054" s="1" t="n">
        <v>88.45</v>
      </c>
      <c r="O1054" s="1" t="n">
        <v>0</v>
      </c>
      <c r="Q1054" s="4" t="n">
        <v>45350</v>
      </c>
      <c r="R1054" s="0" t="n">
        <f aca="false">IF(ISBLANK(F1054),"Missing",IFERROR(YEAR(F1054),"Missing"))</f>
        <v>2023</v>
      </c>
      <c r="S1054" s="0" t="str">
        <f aca="false">IF(ISBLANK(E1054),"Missing",IF(E1054&lt;6,"0-6mo",IF(E1054&lt;12,"6-12mo",IF(E1054&lt;24,"12-24mo","24mo+"))))</f>
        <v>0-6mo</v>
      </c>
      <c r="T1054" s="0" t="n">
        <f aca="false">IF(ISBLANK(C1054),0,IF(C1054="Month-to-month",2,IF(C1054="One year",1,0)))+IF(ISBLANK(I1054),0,IF(I1054&lt;40,2,IF(I1054&lt;55,1,0)))+IF(ISBLANK(M1054),0,IF(M1054=1,3,0))+IF(ISBLANK(L1054),0,IF(L1054&gt;=2,1,0))+IF(ISBLANK(E1054),0,IF(E1054&lt;12,1,0))</f>
        <v>3</v>
      </c>
      <c r="U1054" s="0" t="str">
        <f aca="false">IF((ISBLANK(B1054)*1+ISBLANK(C1054)*1+ISBLANK(D1054)*1+ISBLANK(E1054)*1+ISBLANK(F1054)*1+ISBLANK(I1054)*1+ISBLANK(J1054)*1+ISBLANK(K1054)*1+ISBLANK(L1054)*1+ISBLANK(M1054)*1+ISBLANK(N1054)*1+ISBLANK(O1054)*1)&gt;0,"Missing Data","OK")</f>
        <v>OK</v>
      </c>
      <c r="V1054" s="0" t="str">
        <f aca="false">IF(T1054&gt;=6,"High Risk",IF(T1054&gt;=3,"Medium Risk","Low Risk"))</f>
        <v>Medium Risk</v>
      </c>
    </row>
    <row r="1055" customFormat="false" ht="12.8" hidden="false" customHeight="false" outlineLevel="0" collapsed="false">
      <c r="A1055" s="1" t="s">
        <v>1085</v>
      </c>
      <c r="B1055" s="1" t="s">
        <v>29</v>
      </c>
      <c r="C1055" s="1" t="s">
        <v>24</v>
      </c>
      <c r="D1055" s="1" t="n">
        <v>39.12</v>
      </c>
      <c r="E1055" s="1" t="n">
        <v>12</v>
      </c>
      <c r="F1055" s="4" t="n">
        <v>45199</v>
      </c>
      <c r="G1055" s="1" t="s">
        <v>25</v>
      </c>
      <c r="H1055" s="1" t="n">
        <v>1</v>
      </c>
      <c r="I1055" s="1" t="n">
        <v>88.5</v>
      </c>
      <c r="J1055" s="1" t="n">
        <v>20</v>
      </c>
      <c r="K1055" s="1" t="n">
        <v>7</v>
      </c>
      <c r="L1055" s="1" t="n">
        <v>0</v>
      </c>
      <c r="M1055" s="1" t="n">
        <v>0</v>
      </c>
      <c r="N1055" s="1" t="n">
        <v>469.44</v>
      </c>
      <c r="O1055" s="1" t="n">
        <v>0</v>
      </c>
      <c r="Q1055" s="4" t="n">
        <v>45564</v>
      </c>
      <c r="R1055" s="0" t="n">
        <f aca="false">IF(ISBLANK(F1055),"Missing",IFERROR(YEAR(F1055),"Missing"))</f>
        <v>2023</v>
      </c>
      <c r="S1055" s="0" t="str">
        <f aca="false">IF(ISBLANK(E1055),"Missing",IF(E1055&lt;6,"0-6mo",IF(E1055&lt;12,"6-12mo",IF(E1055&lt;24,"12-24mo","24mo+"))))</f>
        <v>12-24mo</v>
      </c>
      <c r="T1055" s="0" t="n">
        <f aca="false">IF(ISBLANK(C1055),0,IF(C1055="Month-to-month",2,IF(C1055="One year",1,0)))+IF(ISBLANK(I1055),0,IF(I1055&lt;40,2,IF(I1055&lt;55,1,0)))+IF(ISBLANK(M1055),0,IF(M1055=1,3,0))+IF(ISBLANK(L1055),0,IF(L1055&gt;=2,1,0))+IF(ISBLANK(E1055),0,IF(E1055&lt;12,1,0))</f>
        <v>2</v>
      </c>
      <c r="U1055" s="0" t="str">
        <f aca="false">IF((ISBLANK(B1055)*1+ISBLANK(C1055)*1+ISBLANK(D1055)*1+ISBLANK(E1055)*1+ISBLANK(F1055)*1+ISBLANK(I1055)*1+ISBLANK(J1055)*1+ISBLANK(K1055)*1+ISBLANK(L1055)*1+ISBLANK(M1055)*1+ISBLANK(N1055)*1+ISBLANK(O1055)*1)&gt;0,"Missing Data","OK")</f>
        <v>OK</v>
      </c>
      <c r="V1055" s="0" t="str">
        <f aca="false">IF(T1055&gt;=6,"High Risk",IF(T1055&gt;=3,"Medium Risk","Low Risk"))</f>
        <v>Low Risk</v>
      </c>
    </row>
    <row r="1056" customFormat="false" ht="12.8" hidden="false" customHeight="false" outlineLevel="0" collapsed="false">
      <c r="A1056" s="1" t="s">
        <v>1086</v>
      </c>
      <c r="B1056" s="1" t="s">
        <v>36</v>
      </c>
      <c r="C1056" s="1" t="s">
        <v>24</v>
      </c>
      <c r="D1056" s="1" t="n">
        <v>10.42</v>
      </c>
      <c r="E1056" s="1" t="n">
        <v>7</v>
      </c>
      <c r="F1056" s="4" t="n">
        <v>45199</v>
      </c>
      <c r="G1056" s="1" t="s">
        <v>30</v>
      </c>
      <c r="H1056" s="1" t="n">
        <v>0</v>
      </c>
      <c r="I1056" s="1" t="n">
        <v>41.9</v>
      </c>
      <c r="J1056" s="1" t="n">
        <v>11</v>
      </c>
      <c r="K1056" s="1" t="n">
        <v>2</v>
      </c>
      <c r="L1056" s="1" t="n">
        <v>2</v>
      </c>
      <c r="M1056" s="1" t="n">
        <v>0</v>
      </c>
      <c r="N1056" s="1" t="n">
        <v>72.94</v>
      </c>
      <c r="O1056" s="1" t="n">
        <v>1</v>
      </c>
      <c r="P1056" s="4" t="n">
        <v>45412</v>
      </c>
      <c r="Q1056" s="4" t="n">
        <v>45412</v>
      </c>
      <c r="R1056" s="0" t="n">
        <f aca="false">IF(ISBLANK(F1056),"Missing",IFERROR(YEAR(F1056),"Missing"))</f>
        <v>2023</v>
      </c>
      <c r="S1056" s="0" t="str">
        <f aca="false">IF(ISBLANK(E1056),"Missing",IF(E1056&lt;6,"0-6mo",IF(E1056&lt;12,"6-12mo",IF(E1056&lt;24,"12-24mo","24mo+"))))</f>
        <v>6-12mo</v>
      </c>
      <c r="T1056" s="0" t="n">
        <f aca="false">IF(ISBLANK(C1056),0,IF(C1056="Month-to-month",2,IF(C1056="One year",1,0)))+IF(ISBLANK(I1056),0,IF(I1056&lt;40,2,IF(I1056&lt;55,1,0)))+IF(ISBLANK(M1056),0,IF(M1056=1,3,0))+IF(ISBLANK(L1056),0,IF(L1056&gt;=2,1,0))+IF(ISBLANK(E1056),0,IF(E1056&lt;12,1,0))</f>
        <v>5</v>
      </c>
      <c r="U1056" s="0" t="str">
        <f aca="false">IF((ISBLANK(B1056)*1+ISBLANK(C1056)*1+ISBLANK(D1056)*1+ISBLANK(E1056)*1+ISBLANK(F1056)*1+ISBLANK(I1056)*1+ISBLANK(J1056)*1+ISBLANK(K1056)*1+ISBLANK(L1056)*1+ISBLANK(M1056)*1+ISBLANK(N1056)*1+ISBLANK(O1056)*1)&gt;0,"Missing Data","OK")</f>
        <v>OK</v>
      </c>
      <c r="V1056" s="0" t="str">
        <f aca="false">IF(T1056&gt;=6,"High Risk",IF(T1056&gt;=3,"Medium Risk","Low Risk"))</f>
        <v>Medium Risk</v>
      </c>
    </row>
    <row r="1057" customFormat="false" ht="12.8" hidden="false" customHeight="false" outlineLevel="0" collapsed="false">
      <c r="A1057" s="1" t="s">
        <v>1087</v>
      </c>
      <c r="B1057" s="1" t="s">
        <v>29</v>
      </c>
      <c r="C1057" s="1" t="s">
        <v>24</v>
      </c>
      <c r="D1057" s="1" t="n">
        <v>38.4</v>
      </c>
      <c r="E1057" s="1" t="n">
        <v>0</v>
      </c>
      <c r="F1057" s="4" t="n">
        <v>45201</v>
      </c>
      <c r="G1057" s="1" t="s">
        <v>39</v>
      </c>
      <c r="H1057" s="1" t="n">
        <v>0</v>
      </c>
      <c r="I1057" s="1" t="n">
        <v>50.6</v>
      </c>
      <c r="J1057" s="1" t="n">
        <v>16</v>
      </c>
      <c r="K1057" s="1" t="n">
        <v>7</v>
      </c>
      <c r="L1057" s="1" t="n">
        <v>2</v>
      </c>
      <c r="M1057" s="1" t="n">
        <v>0</v>
      </c>
      <c r="N1057" s="1" t="n">
        <v>0</v>
      </c>
      <c r="O1057" s="1" t="n">
        <v>1</v>
      </c>
      <c r="P1057" s="4" t="n">
        <v>45201</v>
      </c>
      <c r="Q1057" s="4" t="n">
        <v>45201</v>
      </c>
      <c r="R1057" s="0" t="n">
        <f aca="false">IF(ISBLANK(F1057),"Missing",IFERROR(YEAR(F1057),"Missing"))</f>
        <v>2023</v>
      </c>
      <c r="S1057" s="0" t="str">
        <f aca="false">IF(ISBLANK(E1057),"Missing",IF(E1057&lt;6,"0-6mo",IF(E1057&lt;12,"6-12mo",IF(E1057&lt;24,"12-24mo","24mo+"))))</f>
        <v>0-6mo</v>
      </c>
      <c r="T1057" s="0" t="n">
        <f aca="false">IF(ISBLANK(C1057),0,IF(C1057="Month-to-month",2,IF(C1057="One year",1,0)))+IF(ISBLANK(I1057),0,IF(I1057&lt;40,2,IF(I1057&lt;55,1,0)))+IF(ISBLANK(M1057),0,IF(M1057=1,3,0))+IF(ISBLANK(L1057),0,IF(L1057&gt;=2,1,0))+IF(ISBLANK(E1057),0,IF(E1057&lt;12,1,0))</f>
        <v>5</v>
      </c>
      <c r="U1057" s="0" t="str">
        <f aca="false">IF((ISBLANK(B1057)*1+ISBLANK(C1057)*1+ISBLANK(D1057)*1+ISBLANK(E1057)*1+ISBLANK(F1057)*1+ISBLANK(I1057)*1+ISBLANK(J1057)*1+ISBLANK(K1057)*1+ISBLANK(L1057)*1+ISBLANK(M1057)*1+ISBLANK(N1057)*1+ISBLANK(O1057)*1)&gt;0,"Missing Data","OK")</f>
        <v>OK</v>
      </c>
      <c r="V1057" s="0" t="str">
        <f aca="false">IF(T1057&gt;=6,"High Risk",IF(T1057&gt;=3,"Medium Risk","Low Risk"))</f>
        <v>Medium Risk</v>
      </c>
    </row>
    <row r="1058" customFormat="false" ht="12.8" hidden="false" customHeight="false" outlineLevel="0" collapsed="false">
      <c r="A1058" s="1" t="s">
        <v>1088</v>
      </c>
      <c r="B1058" s="1" t="s">
        <v>36</v>
      </c>
      <c r="C1058" s="1" t="s">
        <v>24</v>
      </c>
      <c r="D1058" s="1" t="n">
        <v>9.71</v>
      </c>
      <c r="E1058" s="1" t="n">
        <v>13</v>
      </c>
      <c r="F1058" s="4" t="n">
        <v>45201</v>
      </c>
      <c r="G1058" s="1" t="s">
        <v>39</v>
      </c>
      <c r="H1058" s="1" t="n">
        <v>1</v>
      </c>
      <c r="I1058" s="1" t="n">
        <v>22.2</v>
      </c>
      <c r="J1058" s="1" t="n">
        <v>9</v>
      </c>
      <c r="K1058" s="1" t="n">
        <v>4</v>
      </c>
      <c r="L1058" s="1" t="n">
        <v>0</v>
      </c>
      <c r="M1058" s="1" t="n">
        <v>0</v>
      </c>
      <c r="N1058" s="1" t="n">
        <v>126.23</v>
      </c>
      <c r="O1058" s="1" t="n">
        <v>0</v>
      </c>
      <c r="Q1058" s="4" t="n">
        <v>45596</v>
      </c>
      <c r="R1058" s="0" t="n">
        <f aca="false">IF(ISBLANK(F1058),"Missing",IFERROR(YEAR(F1058),"Missing"))</f>
        <v>2023</v>
      </c>
      <c r="S1058" s="0" t="str">
        <f aca="false">IF(ISBLANK(E1058),"Missing",IF(E1058&lt;6,"0-6mo",IF(E1058&lt;12,"6-12mo",IF(E1058&lt;24,"12-24mo","24mo+"))))</f>
        <v>12-24mo</v>
      </c>
      <c r="T1058" s="0" t="n">
        <f aca="false">IF(ISBLANK(C1058),0,IF(C1058="Month-to-month",2,IF(C1058="One year",1,0)))+IF(ISBLANK(I1058),0,IF(I1058&lt;40,2,IF(I1058&lt;55,1,0)))+IF(ISBLANK(M1058),0,IF(M1058=1,3,0))+IF(ISBLANK(L1058),0,IF(L1058&gt;=2,1,0))+IF(ISBLANK(E1058),0,IF(E1058&lt;12,1,0))</f>
        <v>4</v>
      </c>
      <c r="U1058" s="0" t="str">
        <f aca="false">IF((ISBLANK(B1058)*1+ISBLANK(C1058)*1+ISBLANK(D1058)*1+ISBLANK(E1058)*1+ISBLANK(F1058)*1+ISBLANK(I1058)*1+ISBLANK(J1058)*1+ISBLANK(K1058)*1+ISBLANK(L1058)*1+ISBLANK(M1058)*1+ISBLANK(N1058)*1+ISBLANK(O1058)*1)&gt;0,"Missing Data","OK")</f>
        <v>OK</v>
      </c>
      <c r="V1058" s="0" t="str">
        <f aca="false">IF(T1058&gt;=6,"High Risk",IF(T1058&gt;=3,"Medium Risk","Low Risk"))</f>
        <v>Medium Risk</v>
      </c>
    </row>
    <row r="1059" customFormat="false" ht="12.8" hidden="false" customHeight="false" outlineLevel="0" collapsed="false">
      <c r="A1059" s="1" t="s">
        <v>1089</v>
      </c>
      <c r="B1059" s="1" t="s">
        <v>29</v>
      </c>
      <c r="C1059" s="1" t="s">
        <v>24</v>
      </c>
      <c r="D1059" s="1" t="n">
        <v>40.38</v>
      </c>
      <c r="E1059" s="1" t="n">
        <v>8</v>
      </c>
      <c r="F1059" s="4" t="n">
        <v>45202</v>
      </c>
      <c r="G1059" s="1" t="s">
        <v>39</v>
      </c>
      <c r="H1059" s="1" t="n">
        <v>1</v>
      </c>
      <c r="I1059" s="1" t="n">
        <v>29.3</v>
      </c>
      <c r="J1059" s="1" t="n">
        <v>8</v>
      </c>
      <c r="K1059" s="1" t="n">
        <v>2</v>
      </c>
      <c r="L1059" s="1" t="n">
        <v>0</v>
      </c>
      <c r="M1059" s="1" t="n">
        <v>0</v>
      </c>
      <c r="N1059" s="1" t="n">
        <v>323.04</v>
      </c>
      <c r="O1059" s="1" t="n">
        <v>0</v>
      </c>
      <c r="Q1059" s="4" t="n">
        <v>45445</v>
      </c>
      <c r="R1059" s="0" t="n">
        <f aca="false">IF(ISBLANK(F1059),"Missing",IFERROR(YEAR(F1059),"Missing"))</f>
        <v>2023</v>
      </c>
      <c r="S1059" s="0" t="str">
        <f aca="false">IF(ISBLANK(E1059),"Missing",IF(E1059&lt;6,"0-6mo",IF(E1059&lt;12,"6-12mo",IF(E1059&lt;24,"12-24mo","24mo+"))))</f>
        <v>6-12mo</v>
      </c>
      <c r="T1059" s="0" t="n">
        <f aca="false">IF(ISBLANK(C1059),0,IF(C1059="Month-to-month",2,IF(C1059="One year",1,0)))+IF(ISBLANK(I1059),0,IF(I1059&lt;40,2,IF(I1059&lt;55,1,0)))+IF(ISBLANK(M1059),0,IF(M1059=1,3,0))+IF(ISBLANK(L1059),0,IF(L1059&gt;=2,1,0))+IF(ISBLANK(E1059),0,IF(E1059&lt;12,1,0))</f>
        <v>5</v>
      </c>
      <c r="U1059" s="0" t="str">
        <f aca="false">IF((ISBLANK(B1059)*1+ISBLANK(C1059)*1+ISBLANK(D1059)*1+ISBLANK(E1059)*1+ISBLANK(F1059)*1+ISBLANK(I1059)*1+ISBLANK(J1059)*1+ISBLANK(K1059)*1+ISBLANK(L1059)*1+ISBLANK(M1059)*1+ISBLANK(N1059)*1+ISBLANK(O1059)*1)&gt;0,"Missing Data","OK")</f>
        <v>OK</v>
      </c>
      <c r="V1059" s="0" t="str">
        <f aca="false">IF(T1059&gt;=6,"High Risk",IF(T1059&gt;=3,"Medium Risk","Low Risk"))</f>
        <v>Medium Risk</v>
      </c>
    </row>
    <row r="1060" customFormat="false" ht="12.8" hidden="false" customHeight="false" outlineLevel="0" collapsed="false">
      <c r="A1060" s="1" t="s">
        <v>1090</v>
      </c>
      <c r="B1060" s="1" t="s">
        <v>36</v>
      </c>
      <c r="C1060" s="1" t="s">
        <v>24</v>
      </c>
      <c r="D1060" s="1" t="n">
        <v>10.01</v>
      </c>
      <c r="E1060" s="1" t="n">
        <v>72</v>
      </c>
      <c r="F1060" s="4" t="n">
        <v>45203</v>
      </c>
      <c r="G1060" s="1" t="s">
        <v>25</v>
      </c>
      <c r="H1060" s="1" t="n">
        <v>0</v>
      </c>
      <c r="I1060" s="1" t="n">
        <v>40.2</v>
      </c>
      <c r="J1060" s="1" t="n">
        <v>11</v>
      </c>
      <c r="K1060" s="1" t="n">
        <v>0</v>
      </c>
      <c r="L1060" s="1" t="n">
        <v>3</v>
      </c>
      <c r="M1060" s="1" t="n">
        <v>1</v>
      </c>
      <c r="N1060" s="1" t="n">
        <v>720.72</v>
      </c>
      <c r="O1060" s="1" t="n">
        <v>1</v>
      </c>
      <c r="P1060" s="4" t="n">
        <v>46293</v>
      </c>
      <c r="Q1060" s="4" t="n">
        <v>46293</v>
      </c>
      <c r="R1060" s="0" t="n">
        <f aca="false">IF(ISBLANK(F1060),"Missing",IFERROR(YEAR(F1060),"Missing"))</f>
        <v>2023</v>
      </c>
      <c r="S1060" s="0" t="str">
        <f aca="false">IF(ISBLANK(E1060),"Missing",IF(E1060&lt;6,"0-6mo",IF(E1060&lt;12,"6-12mo",IF(E1060&lt;24,"12-24mo","24mo+"))))</f>
        <v>24mo+</v>
      </c>
      <c r="T1060" s="0" t="n">
        <f aca="false">IF(ISBLANK(C1060),0,IF(C1060="Month-to-month",2,IF(C1060="One year",1,0)))+IF(ISBLANK(I1060),0,IF(I1060&lt;40,2,IF(I1060&lt;55,1,0)))+IF(ISBLANK(M1060),0,IF(M1060=1,3,0))+IF(ISBLANK(L1060),0,IF(L1060&gt;=2,1,0))+IF(ISBLANK(E1060),0,IF(E1060&lt;12,1,0))</f>
        <v>7</v>
      </c>
      <c r="U1060" s="0" t="str">
        <f aca="false">IF((ISBLANK(B1060)*1+ISBLANK(C1060)*1+ISBLANK(D1060)*1+ISBLANK(E1060)*1+ISBLANK(F1060)*1+ISBLANK(I1060)*1+ISBLANK(J1060)*1+ISBLANK(K1060)*1+ISBLANK(L1060)*1+ISBLANK(M1060)*1+ISBLANK(N1060)*1+ISBLANK(O1060)*1)&gt;0,"Missing Data","OK")</f>
        <v>OK</v>
      </c>
      <c r="V1060" s="0" t="str">
        <f aca="false">IF(T1060&gt;=6,"High Risk",IF(T1060&gt;=3,"Medium Risk","Low Risk"))</f>
        <v>High Risk</v>
      </c>
    </row>
    <row r="1061" customFormat="false" ht="12.8" hidden="false" customHeight="false" outlineLevel="0" collapsed="false">
      <c r="A1061" s="1" t="s">
        <v>1091</v>
      </c>
      <c r="B1061" s="1" t="s">
        <v>36</v>
      </c>
      <c r="C1061" s="1" t="s">
        <v>34</v>
      </c>
      <c r="D1061" s="1" t="n">
        <v>11.05</v>
      </c>
      <c r="E1061" s="1" t="n">
        <v>48</v>
      </c>
      <c r="F1061" s="4" t="n">
        <v>45204</v>
      </c>
      <c r="G1061" s="1" t="s">
        <v>30</v>
      </c>
      <c r="H1061" s="1" t="n">
        <v>0</v>
      </c>
      <c r="I1061" s="1" t="n">
        <v>69.6</v>
      </c>
      <c r="J1061" s="1" t="n">
        <v>20</v>
      </c>
      <c r="K1061" s="1" t="n">
        <v>8</v>
      </c>
      <c r="L1061" s="1" t="n">
        <v>2</v>
      </c>
      <c r="M1061" s="1" t="n">
        <v>0</v>
      </c>
      <c r="N1061" s="1" t="n">
        <v>530.4</v>
      </c>
      <c r="O1061" s="1" t="n">
        <v>0</v>
      </c>
      <c r="Q1061" s="4" t="n">
        <v>46293</v>
      </c>
      <c r="R1061" s="0" t="n">
        <f aca="false">IF(ISBLANK(F1061),"Missing",IFERROR(YEAR(F1061),"Missing"))</f>
        <v>2023</v>
      </c>
      <c r="S1061" s="0" t="str">
        <f aca="false">IF(ISBLANK(E1061),"Missing",IF(E1061&lt;6,"0-6mo",IF(E1061&lt;12,"6-12mo",IF(E1061&lt;24,"12-24mo","24mo+"))))</f>
        <v>24mo+</v>
      </c>
      <c r="T1061" s="0" t="n">
        <f aca="false">IF(ISBLANK(C1061),0,IF(C1061="Month-to-month",2,IF(C1061="One year",1,0)))+IF(ISBLANK(I1061),0,IF(I1061&lt;40,2,IF(I1061&lt;55,1,0)))+IF(ISBLANK(M1061),0,IF(M1061=1,3,0))+IF(ISBLANK(L1061),0,IF(L1061&gt;=2,1,0))+IF(ISBLANK(E1061),0,IF(E1061&lt;12,1,0))</f>
        <v>2</v>
      </c>
      <c r="U1061" s="0" t="str">
        <f aca="false">IF((ISBLANK(B1061)*1+ISBLANK(C1061)*1+ISBLANK(D1061)*1+ISBLANK(E1061)*1+ISBLANK(F1061)*1+ISBLANK(I1061)*1+ISBLANK(J1061)*1+ISBLANK(K1061)*1+ISBLANK(L1061)*1+ISBLANK(M1061)*1+ISBLANK(N1061)*1+ISBLANK(O1061)*1)&gt;0,"Missing Data","OK")</f>
        <v>OK</v>
      </c>
      <c r="V1061" s="0" t="str">
        <f aca="false">IF(T1061&gt;=6,"High Risk",IF(T1061&gt;=3,"Medium Risk","Low Risk"))</f>
        <v>Low Risk</v>
      </c>
    </row>
    <row r="1062" customFormat="false" ht="12.8" hidden="false" customHeight="false" outlineLevel="0" collapsed="false">
      <c r="A1062" s="1" t="s">
        <v>1092</v>
      </c>
      <c r="B1062" s="1" t="s">
        <v>36</v>
      </c>
      <c r="C1062" s="1" t="s">
        <v>24</v>
      </c>
      <c r="D1062" s="1" t="n">
        <v>8.9</v>
      </c>
      <c r="E1062" s="1" t="n">
        <v>25</v>
      </c>
      <c r="F1062" s="4" t="n">
        <v>45205</v>
      </c>
      <c r="G1062" s="1" t="s">
        <v>39</v>
      </c>
      <c r="H1062" s="1" t="n">
        <v>1</v>
      </c>
      <c r="I1062" s="1" t="n">
        <v>76.9</v>
      </c>
      <c r="J1062" s="1" t="n">
        <v>25</v>
      </c>
      <c r="K1062" s="1" t="n">
        <v>8</v>
      </c>
      <c r="L1062" s="1" t="n">
        <v>2</v>
      </c>
      <c r="M1062" s="1" t="n">
        <v>0</v>
      </c>
      <c r="N1062" s="1" t="n">
        <v>222.5</v>
      </c>
      <c r="O1062" s="1" t="n">
        <v>0</v>
      </c>
      <c r="Q1062" s="4" t="n">
        <v>45966</v>
      </c>
      <c r="R1062" s="0" t="n">
        <f aca="false">IF(ISBLANK(F1062),"Missing",IFERROR(YEAR(F1062),"Missing"))</f>
        <v>2023</v>
      </c>
      <c r="S1062" s="0" t="str">
        <f aca="false">IF(ISBLANK(E1062),"Missing",IF(E1062&lt;6,"0-6mo",IF(E1062&lt;12,"6-12mo",IF(E1062&lt;24,"12-24mo","24mo+"))))</f>
        <v>24mo+</v>
      </c>
      <c r="T1062" s="0" t="n">
        <f aca="false">IF(ISBLANK(C1062),0,IF(C1062="Month-to-month",2,IF(C1062="One year",1,0)))+IF(ISBLANK(I1062),0,IF(I1062&lt;40,2,IF(I1062&lt;55,1,0)))+IF(ISBLANK(M1062),0,IF(M1062=1,3,0))+IF(ISBLANK(L1062),0,IF(L1062&gt;=2,1,0))+IF(ISBLANK(E1062),0,IF(E1062&lt;12,1,0))</f>
        <v>3</v>
      </c>
      <c r="U1062" s="0" t="str">
        <f aca="false">IF((ISBLANK(B1062)*1+ISBLANK(C1062)*1+ISBLANK(D1062)*1+ISBLANK(E1062)*1+ISBLANK(F1062)*1+ISBLANK(I1062)*1+ISBLANK(J1062)*1+ISBLANK(K1062)*1+ISBLANK(L1062)*1+ISBLANK(M1062)*1+ISBLANK(N1062)*1+ISBLANK(O1062)*1)&gt;0,"Missing Data","OK")</f>
        <v>OK</v>
      </c>
      <c r="V1062" s="0" t="str">
        <f aca="false">IF(T1062&gt;=6,"High Risk",IF(T1062&gt;=3,"Medium Risk","Low Risk"))</f>
        <v>Medium Risk</v>
      </c>
    </row>
    <row r="1063" customFormat="false" ht="12.8" hidden="false" customHeight="false" outlineLevel="0" collapsed="false">
      <c r="A1063" s="1" t="s">
        <v>1093</v>
      </c>
      <c r="B1063" s="1" t="s">
        <v>23</v>
      </c>
      <c r="C1063" s="1" t="s">
        <v>51</v>
      </c>
      <c r="D1063" s="1" t="n">
        <v>20.64</v>
      </c>
      <c r="E1063" s="1" t="n">
        <v>28</v>
      </c>
      <c r="F1063" s="4" t="n">
        <v>45206</v>
      </c>
      <c r="G1063" s="1" t="s">
        <v>25</v>
      </c>
      <c r="H1063" s="1" t="n">
        <v>1</v>
      </c>
      <c r="I1063" s="1" t="n">
        <v>77.1</v>
      </c>
      <c r="J1063" s="1" t="n">
        <v>26</v>
      </c>
      <c r="K1063" s="1" t="n">
        <v>7</v>
      </c>
      <c r="L1063" s="1" t="n">
        <v>2</v>
      </c>
      <c r="M1063" s="1" t="n">
        <v>1</v>
      </c>
      <c r="N1063" s="1" t="n">
        <v>577.92</v>
      </c>
      <c r="O1063" s="1" t="n">
        <v>0</v>
      </c>
      <c r="Q1063" s="4" t="n">
        <v>46058</v>
      </c>
      <c r="R1063" s="0" t="n">
        <f aca="false">IF(ISBLANK(F1063),"Missing",IFERROR(YEAR(F1063),"Missing"))</f>
        <v>2023</v>
      </c>
      <c r="S1063" s="0" t="str">
        <f aca="false">IF(ISBLANK(E1063),"Missing",IF(E1063&lt;6,"0-6mo",IF(E1063&lt;12,"6-12mo",IF(E1063&lt;24,"12-24mo","24mo+"))))</f>
        <v>24mo+</v>
      </c>
      <c r="T1063" s="0" t="n">
        <f aca="false">IF(ISBLANK(C1063),0,IF(C1063="Month-to-month",2,IF(C1063="One year",1,0)))+IF(ISBLANK(I1063),0,IF(I1063&lt;40,2,IF(I1063&lt;55,1,0)))+IF(ISBLANK(M1063),0,IF(M1063=1,3,0))+IF(ISBLANK(L1063),0,IF(L1063&gt;=2,1,0))+IF(ISBLANK(E1063),0,IF(E1063&lt;12,1,0))</f>
        <v>4</v>
      </c>
      <c r="U1063" s="0" t="str">
        <f aca="false">IF((ISBLANK(B1063)*1+ISBLANK(C1063)*1+ISBLANK(D1063)*1+ISBLANK(E1063)*1+ISBLANK(F1063)*1+ISBLANK(I1063)*1+ISBLANK(J1063)*1+ISBLANK(K1063)*1+ISBLANK(L1063)*1+ISBLANK(M1063)*1+ISBLANK(N1063)*1+ISBLANK(O1063)*1)&gt;0,"Missing Data","OK")</f>
        <v>OK</v>
      </c>
      <c r="V1063" s="0" t="str">
        <f aca="false">IF(T1063&gt;=6,"High Risk",IF(T1063&gt;=3,"Medium Risk","Low Risk"))</f>
        <v>Medium Risk</v>
      </c>
    </row>
    <row r="1064" customFormat="false" ht="12.8" hidden="false" customHeight="false" outlineLevel="0" collapsed="false">
      <c r="A1064" s="1" t="s">
        <v>1094</v>
      </c>
      <c r="B1064" s="1" t="s">
        <v>23</v>
      </c>
      <c r="C1064" s="1" t="s">
        <v>34</v>
      </c>
      <c r="D1064" s="1" t="n">
        <v>19.09</v>
      </c>
      <c r="E1064" s="1" t="n">
        <v>72</v>
      </c>
      <c r="F1064" s="4" t="n">
        <v>45212</v>
      </c>
      <c r="G1064" s="1" t="s">
        <v>25</v>
      </c>
      <c r="H1064" s="1" t="n">
        <v>1</v>
      </c>
      <c r="I1064" s="1" t="n">
        <v>62.9</v>
      </c>
      <c r="J1064" s="1" t="n">
        <v>16</v>
      </c>
      <c r="K1064" s="1" t="n">
        <v>7</v>
      </c>
      <c r="L1064" s="1" t="n">
        <v>0</v>
      </c>
      <c r="M1064" s="1" t="n">
        <v>0</v>
      </c>
      <c r="N1064" s="1" t="n">
        <v>1374.48</v>
      </c>
      <c r="O1064" s="1" t="n">
        <v>0</v>
      </c>
      <c r="Q1064" s="4" t="n">
        <v>46293</v>
      </c>
      <c r="R1064" s="0" t="n">
        <f aca="false">IF(ISBLANK(F1064),"Missing",IFERROR(YEAR(F1064),"Missing"))</f>
        <v>2023</v>
      </c>
      <c r="S1064" s="0" t="str">
        <f aca="false">IF(ISBLANK(E1064),"Missing",IF(E1064&lt;6,"0-6mo",IF(E1064&lt;12,"6-12mo",IF(E1064&lt;24,"12-24mo","24mo+"))))</f>
        <v>24mo+</v>
      </c>
      <c r="T1064" s="0" t="n">
        <f aca="false">IF(ISBLANK(C1064),0,IF(C1064="Month-to-month",2,IF(C1064="One year",1,0)))+IF(ISBLANK(I1064),0,IF(I1064&lt;40,2,IF(I1064&lt;55,1,0)))+IF(ISBLANK(M1064),0,IF(M1064=1,3,0))+IF(ISBLANK(L1064),0,IF(L1064&gt;=2,1,0))+IF(ISBLANK(E1064),0,IF(E1064&lt;12,1,0))</f>
        <v>1</v>
      </c>
      <c r="U1064" s="0" t="str">
        <f aca="false">IF((ISBLANK(B1064)*1+ISBLANK(C1064)*1+ISBLANK(D1064)*1+ISBLANK(E1064)*1+ISBLANK(F1064)*1+ISBLANK(I1064)*1+ISBLANK(J1064)*1+ISBLANK(K1064)*1+ISBLANK(L1064)*1+ISBLANK(M1064)*1+ISBLANK(N1064)*1+ISBLANK(O1064)*1)&gt;0,"Missing Data","OK")</f>
        <v>OK</v>
      </c>
      <c r="V1064" s="0" t="str">
        <f aca="false">IF(T1064&gt;=6,"High Risk",IF(T1064&gt;=3,"Medium Risk","Low Risk"))</f>
        <v>Low Risk</v>
      </c>
    </row>
    <row r="1065" customFormat="false" ht="12.8" hidden="false" customHeight="false" outlineLevel="0" collapsed="false">
      <c r="A1065" s="1" t="s">
        <v>1095</v>
      </c>
      <c r="B1065" s="1" t="s">
        <v>36</v>
      </c>
      <c r="C1065" s="1" t="s">
        <v>34</v>
      </c>
      <c r="D1065" s="1" t="n">
        <v>10.41</v>
      </c>
      <c r="E1065" s="1" t="n">
        <v>30</v>
      </c>
      <c r="F1065" s="4" t="n">
        <v>45213</v>
      </c>
      <c r="G1065" s="1" t="s">
        <v>25</v>
      </c>
      <c r="H1065" s="1" t="n">
        <v>0</v>
      </c>
      <c r="I1065" s="1" t="n">
        <v>32.3</v>
      </c>
      <c r="J1065" s="1" t="n">
        <v>8</v>
      </c>
      <c r="K1065" s="1" t="n">
        <v>2</v>
      </c>
      <c r="L1065" s="1" t="n">
        <v>0</v>
      </c>
      <c r="M1065" s="1" t="n">
        <v>0</v>
      </c>
      <c r="N1065" s="1" t="n">
        <v>312.3</v>
      </c>
      <c r="O1065" s="1" t="n">
        <v>0</v>
      </c>
      <c r="Q1065" s="4" t="n">
        <v>46126</v>
      </c>
      <c r="R1065" s="0" t="n">
        <f aca="false">IF(ISBLANK(F1065),"Missing",IFERROR(YEAR(F1065),"Missing"))</f>
        <v>2023</v>
      </c>
      <c r="S1065" s="0" t="str">
        <f aca="false">IF(ISBLANK(E1065),"Missing",IF(E1065&lt;6,"0-6mo",IF(E1065&lt;12,"6-12mo",IF(E1065&lt;24,"12-24mo","24mo+"))))</f>
        <v>24mo+</v>
      </c>
      <c r="T1065" s="0" t="n">
        <f aca="false">IF(ISBLANK(C1065),0,IF(C1065="Month-to-month",2,IF(C1065="One year",1,0)))+IF(ISBLANK(I1065),0,IF(I1065&lt;40,2,IF(I1065&lt;55,1,0)))+IF(ISBLANK(M1065),0,IF(M1065=1,3,0))+IF(ISBLANK(L1065),0,IF(L1065&gt;=2,1,0))+IF(ISBLANK(E1065),0,IF(E1065&lt;12,1,0))</f>
        <v>3</v>
      </c>
      <c r="U1065" s="0" t="str">
        <f aca="false">IF((ISBLANK(B1065)*1+ISBLANK(C1065)*1+ISBLANK(D1065)*1+ISBLANK(E1065)*1+ISBLANK(F1065)*1+ISBLANK(I1065)*1+ISBLANK(J1065)*1+ISBLANK(K1065)*1+ISBLANK(L1065)*1+ISBLANK(M1065)*1+ISBLANK(N1065)*1+ISBLANK(O1065)*1)&gt;0,"Missing Data","OK")</f>
        <v>OK</v>
      </c>
      <c r="V1065" s="0" t="str">
        <f aca="false">IF(T1065&gt;=6,"High Risk",IF(T1065&gt;=3,"Medium Risk","Low Risk"))</f>
        <v>Medium Risk</v>
      </c>
    </row>
    <row r="1066" customFormat="false" ht="12.8" hidden="false" customHeight="false" outlineLevel="0" collapsed="false">
      <c r="A1066" s="1" t="s">
        <v>1096</v>
      </c>
      <c r="B1066" s="1" t="s">
        <v>36</v>
      </c>
      <c r="C1066" s="1" t="s">
        <v>34</v>
      </c>
      <c r="D1066" s="1" t="n">
        <v>11.38</v>
      </c>
      <c r="E1066" s="1" t="n">
        <v>6</v>
      </c>
      <c r="F1066" s="4" t="n">
        <v>45216</v>
      </c>
      <c r="G1066" s="1" t="s">
        <v>39</v>
      </c>
      <c r="H1066" s="1" t="n">
        <v>0</v>
      </c>
      <c r="I1066" s="1" t="n">
        <v>40.6</v>
      </c>
      <c r="J1066" s="1" t="n">
        <v>16</v>
      </c>
      <c r="K1066" s="1" t="n">
        <v>3</v>
      </c>
      <c r="L1066" s="1" t="n">
        <v>0</v>
      </c>
      <c r="M1066" s="1" t="n">
        <v>0</v>
      </c>
      <c r="N1066" s="1" t="n">
        <v>68.28</v>
      </c>
      <c r="O1066" s="1" t="n">
        <v>0</v>
      </c>
      <c r="Q1066" s="4" t="n">
        <v>45398</v>
      </c>
      <c r="R1066" s="0" t="n">
        <f aca="false">IF(ISBLANK(F1066),"Missing",IFERROR(YEAR(F1066),"Missing"))</f>
        <v>2023</v>
      </c>
      <c r="S1066" s="0" t="str">
        <f aca="false">IF(ISBLANK(E1066),"Missing",IF(E1066&lt;6,"0-6mo",IF(E1066&lt;12,"6-12mo",IF(E1066&lt;24,"12-24mo","24mo+"))))</f>
        <v>6-12mo</v>
      </c>
      <c r="T1066" s="0" t="n">
        <f aca="false">IF(ISBLANK(C1066),0,IF(C1066="Month-to-month",2,IF(C1066="One year",1,0)))+IF(ISBLANK(I1066),0,IF(I1066&lt;40,2,IF(I1066&lt;55,1,0)))+IF(ISBLANK(M1066),0,IF(M1066=1,3,0))+IF(ISBLANK(L1066),0,IF(L1066&gt;=2,1,0))+IF(ISBLANK(E1066),0,IF(E1066&lt;12,1,0))</f>
        <v>3</v>
      </c>
      <c r="U1066" s="0" t="str">
        <f aca="false">IF((ISBLANK(B1066)*1+ISBLANK(C1066)*1+ISBLANK(D1066)*1+ISBLANK(E1066)*1+ISBLANK(F1066)*1+ISBLANK(I1066)*1+ISBLANK(J1066)*1+ISBLANK(K1066)*1+ISBLANK(L1066)*1+ISBLANK(M1066)*1+ISBLANK(N1066)*1+ISBLANK(O1066)*1)&gt;0,"Missing Data","OK")</f>
        <v>OK</v>
      </c>
      <c r="V1066" s="0" t="str">
        <f aca="false">IF(T1066&gt;=6,"High Risk",IF(T1066&gt;=3,"Medium Risk","Low Risk"))</f>
        <v>Medium Risk</v>
      </c>
    </row>
    <row r="1067" customFormat="false" ht="12.8" hidden="false" customHeight="false" outlineLevel="0" collapsed="false">
      <c r="A1067" s="1" t="s">
        <v>1097</v>
      </c>
      <c r="B1067" s="1" t="s">
        <v>23</v>
      </c>
      <c r="C1067" s="1" t="s">
        <v>24</v>
      </c>
      <c r="D1067" s="1" t="n">
        <v>20.92</v>
      </c>
      <c r="E1067" s="1" t="n">
        <v>56</v>
      </c>
      <c r="F1067" s="4" t="n">
        <v>45217</v>
      </c>
      <c r="G1067" s="1" t="s">
        <v>25</v>
      </c>
      <c r="H1067" s="1" t="n">
        <v>1</v>
      </c>
      <c r="I1067" s="1" t="n">
        <v>34.9</v>
      </c>
      <c r="J1067" s="1" t="n">
        <v>19</v>
      </c>
      <c r="K1067" s="1" t="n">
        <v>2</v>
      </c>
      <c r="L1067" s="1" t="n">
        <v>1</v>
      </c>
      <c r="M1067" s="1" t="n">
        <v>1</v>
      </c>
      <c r="N1067" s="1" t="n">
        <v>1171.52</v>
      </c>
      <c r="O1067" s="1" t="n">
        <v>0</v>
      </c>
      <c r="Q1067" s="4" t="n">
        <v>46293</v>
      </c>
      <c r="R1067" s="0" t="n">
        <f aca="false">IF(ISBLANK(F1067),"Missing",IFERROR(YEAR(F1067),"Missing"))</f>
        <v>2023</v>
      </c>
      <c r="S1067" s="0" t="str">
        <f aca="false">IF(ISBLANK(E1067),"Missing",IF(E1067&lt;6,"0-6mo",IF(E1067&lt;12,"6-12mo",IF(E1067&lt;24,"12-24mo","24mo+"))))</f>
        <v>24mo+</v>
      </c>
      <c r="T1067" s="0" t="n">
        <f aca="false">IF(ISBLANK(C1067),0,IF(C1067="Month-to-month",2,IF(C1067="One year",1,0)))+IF(ISBLANK(I1067),0,IF(I1067&lt;40,2,IF(I1067&lt;55,1,0)))+IF(ISBLANK(M1067),0,IF(M1067=1,3,0))+IF(ISBLANK(L1067),0,IF(L1067&gt;=2,1,0))+IF(ISBLANK(E1067),0,IF(E1067&lt;12,1,0))</f>
        <v>7</v>
      </c>
      <c r="U1067" s="0" t="str">
        <f aca="false">IF((ISBLANK(B1067)*1+ISBLANK(C1067)*1+ISBLANK(D1067)*1+ISBLANK(E1067)*1+ISBLANK(F1067)*1+ISBLANK(I1067)*1+ISBLANK(J1067)*1+ISBLANK(K1067)*1+ISBLANK(L1067)*1+ISBLANK(M1067)*1+ISBLANK(N1067)*1+ISBLANK(O1067)*1)&gt;0,"Missing Data","OK")</f>
        <v>OK</v>
      </c>
      <c r="V1067" s="0" t="str">
        <f aca="false">IF(T1067&gt;=6,"High Risk",IF(T1067&gt;=3,"Medium Risk","Low Risk"))</f>
        <v>High Risk</v>
      </c>
    </row>
    <row r="1068" customFormat="false" ht="12.8" hidden="false" customHeight="false" outlineLevel="0" collapsed="false">
      <c r="A1068" s="1" t="s">
        <v>1098</v>
      </c>
      <c r="B1068" s="1" t="s">
        <v>36</v>
      </c>
      <c r="C1068" s="1" t="s">
        <v>34</v>
      </c>
      <c r="D1068" s="1" t="n">
        <v>8.54</v>
      </c>
      <c r="E1068" s="1" t="n">
        <v>28</v>
      </c>
      <c r="F1068" s="4" t="n">
        <v>45217</v>
      </c>
      <c r="G1068" s="1" t="s">
        <v>25</v>
      </c>
      <c r="H1068" s="1" t="n">
        <v>0</v>
      </c>
      <c r="I1068" s="1" t="n">
        <v>60.9</v>
      </c>
      <c r="J1068" s="1" t="n">
        <v>18</v>
      </c>
      <c r="K1068" s="1" t="n">
        <v>6</v>
      </c>
      <c r="L1068" s="1" t="n">
        <v>0</v>
      </c>
      <c r="M1068" s="1" t="n">
        <v>0</v>
      </c>
      <c r="N1068" s="1" t="n">
        <v>239.12</v>
      </c>
      <c r="O1068" s="1" t="n">
        <v>0</v>
      </c>
      <c r="Q1068" s="4" t="n">
        <v>46069</v>
      </c>
      <c r="R1068" s="0" t="n">
        <f aca="false">IF(ISBLANK(F1068),"Missing",IFERROR(YEAR(F1068),"Missing"))</f>
        <v>2023</v>
      </c>
      <c r="S1068" s="0" t="str">
        <f aca="false">IF(ISBLANK(E1068),"Missing",IF(E1068&lt;6,"0-6mo",IF(E1068&lt;12,"6-12mo",IF(E1068&lt;24,"12-24mo","24mo+"))))</f>
        <v>24mo+</v>
      </c>
      <c r="T1068" s="0" t="n">
        <f aca="false">IF(ISBLANK(C1068),0,IF(C1068="Month-to-month",2,IF(C1068="One year",1,0)))+IF(ISBLANK(I1068),0,IF(I1068&lt;40,2,IF(I1068&lt;55,1,0)))+IF(ISBLANK(M1068),0,IF(M1068=1,3,0))+IF(ISBLANK(L1068),0,IF(L1068&gt;=2,1,0))+IF(ISBLANK(E1068),0,IF(E1068&lt;12,1,0))</f>
        <v>1</v>
      </c>
      <c r="U1068" s="0" t="str">
        <f aca="false">IF((ISBLANK(B1068)*1+ISBLANK(C1068)*1+ISBLANK(D1068)*1+ISBLANK(E1068)*1+ISBLANK(F1068)*1+ISBLANK(I1068)*1+ISBLANK(J1068)*1+ISBLANK(K1068)*1+ISBLANK(L1068)*1+ISBLANK(M1068)*1+ISBLANK(N1068)*1+ISBLANK(O1068)*1)&gt;0,"Missing Data","OK")</f>
        <v>OK</v>
      </c>
      <c r="V1068" s="0" t="str">
        <f aca="false">IF(T1068&gt;=6,"High Risk",IF(T1068&gt;=3,"Medium Risk","Low Risk"))</f>
        <v>Low Risk</v>
      </c>
    </row>
    <row r="1069" customFormat="false" ht="12.8" hidden="false" customHeight="false" outlineLevel="0" collapsed="false">
      <c r="A1069" s="1" t="s">
        <v>1099</v>
      </c>
      <c r="B1069" s="1" t="s">
        <v>36</v>
      </c>
      <c r="C1069" s="1" t="s">
        <v>24</v>
      </c>
      <c r="D1069" s="1" t="n">
        <v>9.5</v>
      </c>
      <c r="E1069" s="1" t="n">
        <v>3</v>
      </c>
      <c r="F1069" s="4" t="n">
        <v>45218</v>
      </c>
      <c r="G1069" s="1" t="s">
        <v>25</v>
      </c>
      <c r="H1069" s="1" t="n">
        <v>1</v>
      </c>
      <c r="I1069" s="1" t="n">
        <v>39.9</v>
      </c>
      <c r="J1069" s="1" t="n">
        <v>13</v>
      </c>
      <c r="K1069" s="1" t="n">
        <v>3</v>
      </c>
      <c r="L1069" s="1" t="n">
        <v>1</v>
      </c>
      <c r="M1069" s="1" t="n">
        <v>1</v>
      </c>
      <c r="N1069" s="1" t="n">
        <v>28.5</v>
      </c>
      <c r="O1069" s="1" t="n">
        <v>1</v>
      </c>
      <c r="P1069" s="4" t="n">
        <v>45309</v>
      </c>
      <c r="Q1069" s="4" t="n">
        <v>45309</v>
      </c>
      <c r="R1069" s="0" t="n">
        <f aca="false">IF(ISBLANK(F1069),"Missing",IFERROR(YEAR(F1069),"Missing"))</f>
        <v>2023</v>
      </c>
      <c r="S1069" s="0" t="str">
        <f aca="false">IF(ISBLANK(E1069),"Missing",IF(E1069&lt;6,"0-6mo",IF(E1069&lt;12,"6-12mo",IF(E1069&lt;24,"12-24mo","24mo+"))))</f>
        <v>0-6mo</v>
      </c>
      <c r="T1069" s="0" t="n">
        <f aca="false">IF(ISBLANK(C1069),0,IF(C1069="Month-to-month",2,IF(C1069="One year",1,0)))+IF(ISBLANK(I1069),0,IF(I1069&lt;40,2,IF(I1069&lt;55,1,0)))+IF(ISBLANK(M1069),0,IF(M1069=1,3,0))+IF(ISBLANK(L1069),0,IF(L1069&gt;=2,1,0))+IF(ISBLANK(E1069),0,IF(E1069&lt;12,1,0))</f>
        <v>8</v>
      </c>
      <c r="U1069" s="0" t="str">
        <f aca="false">IF((ISBLANK(B1069)*1+ISBLANK(C1069)*1+ISBLANK(D1069)*1+ISBLANK(E1069)*1+ISBLANK(F1069)*1+ISBLANK(I1069)*1+ISBLANK(J1069)*1+ISBLANK(K1069)*1+ISBLANK(L1069)*1+ISBLANK(M1069)*1+ISBLANK(N1069)*1+ISBLANK(O1069)*1)&gt;0,"Missing Data","OK")</f>
        <v>OK</v>
      </c>
      <c r="V1069" s="0" t="str">
        <f aca="false">IF(T1069&gt;=6,"High Risk",IF(T1069&gt;=3,"Medium Risk","Low Risk"))</f>
        <v>High Risk</v>
      </c>
    </row>
    <row r="1070" customFormat="false" ht="12.8" hidden="false" customHeight="false" outlineLevel="0" collapsed="false">
      <c r="A1070" s="1" t="s">
        <v>1100</v>
      </c>
      <c r="B1070" s="1" t="s">
        <v>36</v>
      </c>
      <c r="C1070" s="1" t="s">
        <v>24</v>
      </c>
      <c r="D1070" s="1" t="n">
        <v>8.94</v>
      </c>
      <c r="E1070" s="1" t="n">
        <v>3</v>
      </c>
      <c r="F1070" s="4" t="n">
        <v>45220</v>
      </c>
      <c r="G1070" s="1" t="s">
        <v>39</v>
      </c>
      <c r="H1070" s="1" t="n">
        <v>1</v>
      </c>
      <c r="I1070" s="1" t="n">
        <v>72.4</v>
      </c>
      <c r="J1070" s="1" t="n">
        <v>32</v>
      </c>
      <c r="K1070" s="1" t="n">
        <v>8</v>
      </c>
      <c r="L1070" s="1" t="n">
        <v>2</v>
      </c>
      <c r="M1070" s="1" t="n">
        <v>1</v>
      </c>
      <c r="N1070" s="1" t="n">
        <v>26.82</v>
      </c>
      <c r="O1070" s="1" t="n">
        <v>1</v>
      </c>
      <c r="P1070" s="4" t="n">
        <v>45311</v>
      </c>
      <c r="Q1070" s="4" t="n">
        <v>45311</v>
      </c>
      <c r="R1070" s="0" t="n">
        <f aca="false">IF(ISBLANK(F1070),"Missing",IFERROR(YEAR(F1070),"Missing"))</f>
        <v>2023</v>
      </c>
      <c r="S1070" s="0" t="str">
        <f aca="false">IF(ISBLANK(E1070),"Missing",IF(E1070&lt;6,"0-6mo",IF(E1070&lt;12,"6-12mo",IF(E1070&lt;24,"12-24mo","24mo+"))))</f>
        <v>0-6mo</v>
      </c>
      <c r="T1070" s="0" t="n">
        <f aca="false">IF(ISBLANK(C1070),0,IF(C1070="Month-to-month",2,IF(C1070="One year",1,0)))+IF(ISBLANK(I1070),0,IF(I1070&lt;40,2,IF(I1070&lt;55,1,0)))+IF(ISBLANK(M1070),0,IF(M1070=1,3,0))+IF(ISBLANK(L1070),0,IF(L1070&gt;=2,1,0))+IF(ISBLANK(E1070),0,IF(E1070&lt;12,1,0))</f>
        <v>7</v>
      </c>
      <c r="U1070" s="0" t="str">
        <f aca="false">IF((ISBLANK(B1070)*1+ISBLANK(C1070)*1+ISBLANK(D1070)*1+ISBLANK(E1070)*1+ISBLANK(F1070)*1+ISBLANK(I1070)*1+ISBLANK(J1070)*1+ISBLANK(K1070)*1+ISBLANK(L1070)*1+ISBLANK(M1070)*1+ISBLANK(N1070)*1+ISBLANK(O1070)*1)&gt;0,"Missing Data","OK")</f>
        <v>OK</v>
      </c>
      <c r="V1070" s="0" t="str">
        <f aca="false">IF(T1070&gt;=6,"High Risk",IF(T1070&gt;=3,"Medium Risk","Low Risk"))</f>
        <v>High Risk</v>
      </c>
    </row>
    <row r="1071" customFormat="false" ht="12.8" hidden="false" customHeight="false" outlineLevel="0" collapsed="false">
      <c r="A1071" s="1" t="s">
        <v>1101</v>
      </c>
      <c r="B1071" s="1" t="s">
        <v>23</v>
      </c>
      <c r="C1071" s="1" t="s">
        <v>51</v>
      </c>
      <c r="D1071" s="1" t="n">
        <v>19.39</v>
      </c>
      <c r="E1071" s="1" t="n">
        <v>10</v>
      </c>
      <c r="F1071" s="4" t="n">
        <v>45224</v>
      </c>
      <c r="G1071" s="1" t="s">
        <v>25</v>
      </c>
      <c r="H1071" s="1" t="n">
        <v>0</v>
      </c>
      <c r="I1071" s="1" t="n">
        <v>86.9</v>
      </c>
      <c r="J1071" s="1" t="n">
        <v>20</v>
      </c>
      <c r="K1071" s="1" t="n">
        <v>10</v>
      </c>
      <c r="L1071" s="1" t="n">
        <v>4</v>
      </c>
      <c r="M1071" s="1" t="n">
        <v>0</v>
      </c>
      <c r="N1071" s="1" t="n">
        <v>193.9</v>
      </c>
      <c r="O1071" s="1" t="n">
        <v>0</v>
      </c>
      <c r="Q1071" s="4" t="n">
        <v>45528</v>
      </c>
      <c r="R1071" s="0" t="n">
        <f aca="false">IF(ISBLANK(F1071),"Missing",IFERROR(YEAR(F1071),"Missing"))</f>
        <v>2023</v>
      </c>
      <c r="S1071" s="0" t="str">
        <f aca="false">IF(ISBLANK(E1071),"Missing",IF(E1071&lt;6,"0-6mo",IF(E1071&lt;12,"6-12mo",IF(E1071&lt;24,"12-24mo","24mo+"))))</f>
        <v>6-12mo</v>
      </c>
      <c r="T1071" s="0" t="n">
        <f aca="false">IF(ISBLANK(C1071),0,IF(C1071="Month-to-month",2,IF(C1071="One year",1,0)))+IF(ISBLANK(I1071),0,IF(I1071&lt;40,2,IF(I1071&lt;55,1,0)))+IF(ISBLANK(M1071),0,IF(M1071=1,3,0))+IF(ISBLANK(L1071),0,IF(L1071&gt;=2,1,0))+IF(ISBLANK(E1071),0,IF(E1071&lt;12,1,0))</f>
        <v>2</v>
      </c>
      <c r="U1071" s="0" t="str">
        <f aca="false">IF((ISBLANK(B1071)*1+ISBLANK(C1071)*1+ISBLANK(D1071)*1+ISBLANK(E1071)*1+ISBLANK(F1071)*1+ISBLANK(I1071)*1+ISBLANK(J1071)*1+ISBLANK(K1071)*1+ISBLANK(L1071)*1+ISBLANK(M1071)*1+ISBLANK(N1071)*1+ISBLANK(O1071)*1)&gt;0,"Missing Data","OK")</f>
        <v>OK</v>
      </c>
      <c r="V1071" s="0" t="str">
        <f aca="false">IF(T1071&gt;=6,"High Risk",IF(T1071&gt;=3,"Medium Risk","Low Risk"))</f>
        <v>Low Risk</v>
      </c>
    </row>
    <row r="1072" customFormat="false" ht="12.8" hidden="false" customHeight="false" outlineLevel="0" collapsed="false">
      <c r="A1072" s="1" t="s">
        <v>1102</v>
      </c>
      <c r="B1072" s="1" t="s">
        <v>36</v>
      </c>
      <c r="C1072" s="1" t="s">
        <v>24</v>
      </c>
      <c r="D1072" s="1" t="n">
        <v>9.09</v>
      </c>
      <c r="E1072" s="1" t="n">
        <v>26</v>
      </c>
      <c r="F1072" s="4" t="n">
        <v>45225</v>
      </c>
      <c r="G1072" s="1" t="s">
        <v>30</v>
      </c>
      <c r="H1072" s="1" t="n">
        <v>1</v>
      </c>
      <c r="I1072" s="1" t="n">
        <v>56.5</v>
      </c>
      <c r="J1072" s="1" t="n">
        <v>23</v>
      </c>
      <c r="K1072" s="1" t="n">
        <v>5</v>
      </c>
      <c r="L1072" s="1" t="n">
        <v>2</v>
      </c>
      <c r="M1072" s="1" t="n">
        <v>0</v>
      </c>
      <c r="N1072" s="1" t="n">
        <v>236.34</v>
      </c>
      <c r="O1072" s="1" t="n">
        <v>0</v>
      </c>
      <c r="Q1072" s="4" t="n">
        <v>46016</v>
      </c>
      <c r="R1072" s="0" t="n">
        <f aca="false">IF(ISBLANK(F1072),"Missing",IFERROR(YEAR(F1072),"Missing"))</f>
        <v>2023</v>
      </c>
      <c r="S1072" s="0" t="str">
        <f aca="false">IF(ISBLANK(E1072),"Missing",IF(E1072&lt;6,"0-6mo",IF(E1072&lt;12,"6-12mo",IF(E1072&lt;24,"12-24mo","24mo+"))))</f>
        <v>24mo+</v>
      </c>
      <c r="T1072" s="0" t="n">
        <f aca="false">IF(ISBLANK(C1072),0,IF(C1072="Month-to-month",2,IF(C1072="One year",1,0)))+IF(ISBLANK(I1072),0,IF(I1072&lt;40,2,IF(I1072&lt;55,1,0)))+IF(ISBLANK(M1072),0,IF(M1072=1,3,0))+IF(ISBLANK(L1072),0,IF(L1072&gt;=2,1,0))+IF(ISBLANK(E1072),0,IF(E1072&lt;12,1,0))</f>
        <v>3</v>
      </c>
      <c r="U1072" s="0" t="str">
        <f aca="false">IF((ISBLANK(B1072)*1+ISBLANK(C1072)*1+ISBLANK(D1072)*1+ISBLANK(E1072)*1+ISBLANK(F1072)*1+ISBLANK(I1072)*1+ISBLANK(J1072)*1+ISBLANK(K1072)*1+ISBLANK(L1072)*1+ISBLANK(M1072)*1+ISBLANK(N1072)*1+ISBLANK(O1072)*1)&gt;0,"Missing Data","OK")</f>
        <v>OK</v>
      </c>
      <c r="V1072" s="0" t="str">
        <f aca="false">IF(T1072&gt;=6,"High Risk",IF(T1072&gt;=3,"Medium Risk","Low Risk"))</f>
        <v>Medium Risk</v>
      </c>
    </row>
    <row r="1073" customFormat="false" ht="12.8" hidden="false" customHeight="false" outlineLevel="0" collapsed="false">
      <c r="A1073" s="1" t="s">
        <v>1103</v>
      </c>
      <c r="B1073" s="1" t="s">
        <v>36</v>
      </c>
      <c r="C1073" s="1" t="s">
        <v>34</v>
      </c>
      <c r="D1073" s="1" t="n">
        <v>6.97</v>
      </c>
      <c r="E1073" s="1" t="n">
        <v>37</v>
      </c>
      <c r="F1073" s="4" t="n">
        <v>45225</v>
      </c>
      <c r="G1073" s="1" t="s">
        <v>25</v>
      </c>
      <c r="H1073" s="1" t="n">
        <v>1</v>
      </c>
      <c r="I1073" s="1" t="n">
        <v>59.7</v>
      </c>
      <c r="J1073" s="1" t="n">
        <v>8</v>
      </c>
      <c r="K1073" s="1" t="n">
        <v>4</v>
      </c>
      <c r="L1073" s="1" t="n">
        <v>2</v>
      </c>
      <c r="M1073" s="1" t="n">
        <v>1</v>
      </c>
      <c r="N1073" s="1" t="n">
        <v>257.89</v>
      </c>
      <c r="O1073" s="1" t="n">
        <v>0</v>
      </c>
      <c r="Q1073" s="4" t="n">
        <v>46293</v>
      </c>
      <c r="R1073" s="0" t="n">
        <f aca="false">IF(ISBLANK(F1073),"Missing",IFERROR(YEAR(F1073),"Missing"))</f>
        <v>2023</v>
      </c>
      <c r="S1073" s="0" t="str">
        <f aca="false">IF(ISBLANK(E1073),"Missing",IF(E1073&lt;6,"0-6mo",IF(E1073&lt;12,"6-12mo",IF(E1073&lt;24,"12-24mo","24mo+"))))</f>
        <v>24mo+</v>
      </c>
      <c r="T1073" s="0" t="n">
        <f aca="false">IF(ISBLANK(C1073),0,IF(C1073="Month-to-month",2,IF(C1073="One year",1,0)))+IF(ISBLANK(I1073),0,IF(I1073&lt;40,2,IF(I1073&lt;55,1,0)))+IF(ISBLANK(M1073),0,IF(M1073=1,3,0))+IF(ISBLANK(L1073),0,IF(L1073&gt;=2,1,0))+IF(ISBLANK(E1073),0,IF(E1073&lt;12,1,0))</f>
        <v>5</v>
      </c>
      <c r="U1073" s="0" t="str">
        <f aca="false">IF((ISBLANK(B1073)*1+ISBLANK(C1073)*1+ISBLANK(D1073)*1+ISBLANK(E1073)*1+ISBLANK(F1073)*1+ISBLANK(I1073)*1+ISBLANK(J1073)*1+ISBLANK(K1073)*1+ISBLANK(L1073)*1+ISBLANK(M1073)*1+ISBLANK(N1073)*1+ISBLANK(O1073)*1)&gt;0,"Missing Data","OK")</f>
        <v>OK</v>
      </c>
      <c r="V1073" s="0" t="str">
        <f aca="false">IF(T1073&gt;=6,"High Risk",IF(T1073&gt;=3,"Medium Risk","Low Risk"))</f>
        <v>Medium Risk</v>
      </c>
    </row>
    <row r="1074" customFormat="false" ht="12.8" hidden="false" customHeight="false" outlineLevel="0" collapsed="false">
      <c r="A1074" s="1" t="s">
        <v>1104</v>
      </c>
      <c r="B1074" s="1" t="s">
        <v>23</v>
      </c>
      <c r="C1074" s="1" t="s">
        <v>24</v>
      </c>
      <c r="D1074" s="1" t="n">
        <v>20.66</v>
      </c>
      <c r="E1074" s="1" t="n">
        <v>20</v>
      </c>
      <c r="F1074" s="4" t="n">
        <v>45227</v>
      </c>
      <c r="G1074" s="1" t="s">
        <v>39</v>
      </c>
      <c r="H1074" s="1" t="n">
        <v>0</v>
      </c>
      <c r="I1074" s="1" t="n">
        <v>51.6</v>
      </c>
      <c r="J1074" s="1" t="n">
        <v>15</v>
      </c>
      <c r="K1074" s="1" t="n">
        <v>6</v>
      </c>
      <c r="L1074" s="1" t="n">
        <v>1</v>
      </c>
      <c r="M1074" s="1" t="n">
        <v>0</v>
      </c>
      <c r="N1074" s="1" t="n">
        <v>413.2</v>
      </c>
      <c r="O1074" s="1" t="n">
        <v>0</v>
      </c>
      <c r="Q1074" s="4" t="n">
        <v>45835</v>
      </c>
      <c r="R1074" s="0" t="n">
        <f aca="false">IF(ISBLANK(F1074),"Missing",IFERROR(YEAR(F1074),"Missing"))</f>
        <v>2023</v>
      </c>
      <c r="S1074" s="0" t="str">
        <f aca="false">IF(ISBLANK(E1074),"Missing",IF(E1074&lt;6,"0-6mo",IF(E1074&lt;12,"6-12mo",IF(E1074&lt;24,"12-24mo","24mo+"))))</f>
        <v>12-24mo</v>
      </c>
      <c r="T1074" s="0" t="n">
        <f aca="false">IF(ISBLANK(C1074),0,IF(C1074="Month-to-month",2,IF(C1074="One year",1,0)))+IF(ISBLANK(I1074),0,IF(I1074&lt;40,2,IF(I1074&lt;55,1,0)))+IF(ISBLANK(M1074),0,IF(M1074=1,3,0))+IF(ISBLANK(L1074),0,IF(L1074&gt;=2,1,0))+IF(ISBLANK(E1074),0,IF(E1074&lt;12,1,0))</f>
        <v>3</v>
      </c>
      <c r="U1074" s="0" t="str">
        <f aca="false">IF((ISBLANK(B1074)*1+ISBLANK(C1074)*1+ISBLANK(D1074)*1+ISBLANK(E1074)*1+ISBLANK(F1074)*1+ISBLANK(I1074)*1+ISBLANK(J1074)*1+ISBLANK(K1074)*1+ISBLANK(L1074)*1+ISBLANK(M1074)*1+ISBLANK(N1074)*1+ISBLANK(O1074)*1)&gt;0,"Missing Data","OK")</f>
        <v>OK</v>
      </c>
      <c r="V1074" s="0" t="str">
        <f aca="false">IF(T1074&gt;=6,"High Risk",IF(T1074&gt;=3,"Medium Risk","Low Risk"))</f>
        <v>Medium Risk</v>
      </c>
    </row>
    <row r="1075" customFormat="false" ht="12.8" hidden="false" customHeight="false" outlineLevel="0" collapsed="false">
      <c r="A1075" s="1" t="s">
        <v>1105</v>
      </c>
      <c r="B1075" s="1" t="s">
        <v>29</v>
      </c>
      <c r="C1075" s="1" t="s">
        <v>24</v>
      </c>
      <c r="D1075" s="1" t="n">
        <v>40.88</v>
      </c>
      <c r="E1075" s="1" t="n">
        <v>5</v>
      </c>
      <c r="F1075" s="4" t="n">
        <v>45227</v>
      </c>
      <c r="G1075" s="1" t="s">
        <v>25</v>
      </c>
      <c r="H1075" s="1" t="n">
        <v>1</v>
      </c>
      <c r="I1075" s="1" t="n">
        <v>59</v>
      </c>
      <c r="J1075" s="1" t="n">
        <v>14</v>
      </c>
      <c r="K1075" s="1" t="n">
        <v>8</v>
      </c>
      <c r="L1075" s="1" t="n">
        <v>4</v>
      </c>
      <c r="M1075" s="1" t="n">
        <v>0</v>
      </c>
      <c r="N1075" s="1" t="n">
        <v>204.4</v>
      </c>
      <c r="O1075" s="1" t="n">
        <v>0</v>
      </c>
      <c r="Q1075" s="4" t="n">
        <v>45379</v>
      </c>
      <c r="R1075" s="0" t="n">
        <f aca="false">IF(ISBLANK(F1075),"Missing",IFERROR(YEAR(F1075),"Missing"))</f>
        <v>2023</v>
      </c>
      <c r="S1075" s="0" t="str">
        <f aca="false">IF(ISBLANK(E1075),"Missing",IF(E1075&lt;6,"0-6mo",IF(E1075&lt;12,"6-12mo",IF(E1075&lt;24,"12-24mo","24mo+"))))</f>
        <v>0-6mo</v>
      </c>
      <c r="T1075" s="0" t="n">
        <f aca="false">IF(ISBLANK(C1075),0,IF(C1075="Month-to-month",2,IF(C1075="One year",1,0)))+IF(ISBLANK(I1075),0,IF(I1075&lt;40,2,IF(I1075&lt;55,1,0)))+IF(ISBLANK(M1075),0,IF(M1075=1,3,0))+IF(ISBLANK(L1075),0,IF(L1075&gt;=2,1,0))+IF(ISBLANK(E1075),0,IF(E1075&lt;12,1,0))</f>
        <v>4</v>
      </c>
      <c r="U1075" s="0" t="str">
        <f aca="false">IF((ISBLANK(B1075)*1+ISBLANK(C1075)*1+ISBLANK(D1075)*1+ISBLANK(E1075)*1+ISBLANK(F1075)*1+ISBLANK(I1075)*1+ISBLANK(J1075)*1+ISBLANK(K1075)*1+ISBLANK(L1075)*1+ISBLANK(M1075)*1+ISBLANK(N1075)*1+ISBLANK(O1075)*1)&gt;0,"Missing Data","OK")</f>
        <v>OK</v>
      </c>
      <c r="V1075" s="0" t="str">
        <f aca="false">IF(T1075&gt;=6,"High Risk",IF(T1075&gt;=3,"Medium Risk","Low Risk"))</f>
        <v>Medium Risk</v>
      </c>
    </row>
    <row r="1076" customFormat="false" ht="12.8" hidden="false" customHeight="false" outlineLevel="0" collapsed="false">
      <c r="A1076" s="1" t="s">
        <v>1106</v>
      </c>
      <c r="B1076" s="1" t="s">
        <v>36</v>
      </c>
      <c r="C1076" s="1" t="s">
        <v>24</v>
      </c>
      <c r="D1076" s="1" t="n">
        <v>9.34</v>
      </c>
      <c r="E1076" s="1" t="n">
        <v>27</v>
      </c>
      <c r="F1076" s="4" t="n">
        <v>45231</v>
      </c>
      <c r="G1076" s="1" t="s">
        <v>25</v>
      </c>
      <c r="H1076" s="1" t="n">
        <v>1</v>
      </c>
      <c r="I1076" s="1" t="n">
        <v>85.8</v>
      </c>
      <c r="J1076" s="1" t="n">
        <v>27</v>
      </c>
      <c r="K1076" s="1" t="n">
        <v>10</v>
      </c>
      <c r="L1076" s="1" t="n">
        <v>0</v>
      </c>
      <c r="M1076" s="1" t="n">
        <v>0</v>
      </c>
      <c r="N1076" s="1" t="n">
        <v>252.18</v>
      </c>
      <c r="O1076" s="1" t="n">
        <v>0</v>
      </c>
      <c r="Q1076" s="4" t="n">
        <v>46052</v>
      </c>
      <c r="R1076" s="0" t="n">
        <f aca="false">IF(ISBLANK(F1076),"Missing",IFERROR(YEAR(F1076),"Missing"))</f>
        <v>2023</v>
      </c>
      <c r="S1076" s="0" t="str">
        <f aca="false">IF(ISBLANK(E1076),"Missing",IF(E1076&lt;6,"0-6mo",IF(E1076&lt;12,"6-12mo",IF(E1076&lt;24,"12-24mo","24mo+"))))</f>
        <v>24mo+</v>
      </c>
      <c r="T1076" s="0" t="n">
        <f aca="false">IF(ISBLANK(C1076),0,IF(C1076="Month-to-month",2,IF(C1076="One year",1,0)))+IF(ISBLANK(I1076),0,IF(I1076&lt;40,2,IF(I1076&lt;55,1,0)))+IF(ISBLANK(M1076),0,IF(M1076=1,3,0))+IF(ISBLANK(L1076),0,IF(L1076&gt;=2,1,0))+IF(ISBLANK(E1076),0,IF(E1076&lt;12,1,0))</f>
        <v>2</v>
      </c>
      <c r="U1076" s="0" t="str">
        <f aca="false">IF((ISBLANK(B1076)*1+ISBLANK(C1076)*1+ISBLANK(D1076)*1+ISBLANK(E1076)*1+ISBLANK(F1076)*1+ISBLANK(I1076)*1+ISBLANK(J1076)*1+ISBLANK(K1076)*1+ISBLANK(L1076)*1+ISBLANK(M1076)*1+ISBLANK(N1076)*1+ISBLANK(O1076)*1)&gt;0,"Missing Data","OK")</f>
        <v>OK</v>
      </c>
      <c r="V1076" s="0" t="str">
        <f aca="false">IF(T1076&gt;=6,"High Risk",IF(T1076&gt;=3,"Medium Risk","Low Risk"))</f>
        <v>Low Risk</v>
      </c>
    </row>
    <row r="1077" customFormat="false" ht="12.8" hidden="false" customHeight="false" outlineLevel="0" collapsed="false">
      <c r="A1077" s="1" t="s">
        <v>1107</v>
      </c>
      <c r="B1077" s="1" t="s">
        <v>36</v>
      </c>
      <c r="C1077" s="1" t="s">
        <v>34</v>
      </c>
      <c r="D1077" s="1" t="n">
        <v>8.01</v>
      </c>
      <c r="E1077" s="1" t="n">
        <v>12</v>
      </c>
      <c r="F1077" s="4" t="n">
        <v>45232</v>
      </c>
      <c r="G1077" s="1" t="s">
        <v>25</v>
      </c>
      <c r="H1077" s="1" t="n">
        <v>1</v>
      </c>
      <c r="I1077" s="1" t="n">
        <v>77.3</v>
      </c>
      <c r="J1077" s="1" t="n">
        <v>20</v>
      </c>
      <c r="K1077" s="1" t="n">
        <v>6</v>
      </c>
      <c r="L1077" s="1" t="n">
        <v>1</v>
      </c>
      <c r="M1077" s="1" t="n">
        <v>0</v>
      </c>
      <c r="N1077" s="1" t="n">
        <v>96.12</v>
      </c>
      <c r="O1077" s="1" t="n">
        <v>0</v>
      </c>
      <c r="Q1077" s="4" t="n">
        <v>45597</v>
      </c>
      <c r="R1077" s="0" t="n">
        <f aca="false">IF(ISBLANK(F1077),"Missing",IFERROR(YEAR(F1077),"Missing"))</f>
        <v>2023</v>
      </c>
      <c r="S1077" s="0" t="str">
        <f aca="false">IF(ISBLANK(E1077),"Missing",IF(E1077&lt;6,"0-6mo",IF(E1077&lt;12,"6-12mo",IF(E1077&lt;24,"12-24mo","24mo+"))))</f>
        <v>12-24mo</v>
      </c>
      <c r="T1077" s="0" t="n">
        <f aca="false">IF(ISBLANK(C1077),0,IF(C1077="Month-to-month",2,IF(C1077="One year",1,0)))+IF(ISBLANK(I1077),0,IF(I1077&lt;40,2,IF(I1077&lt;55,1,0)))+IF(ISBLANK(M1077),0,IF(M1077=1,3,0))+IF(ISBLANK(L1077),0,IF(L1077&gt;=2,1,0))+IF(ISBLANK(E1077),0,IF(E1077&lt;12,1,0))</f>
        <v>1</v>
      </c>
      <c r="U1077" s="0" t="str">
        <f aca="false">IF((ISBLANK(B1077)*1+ISBLANK(C1077)*1+ISBLANK(D1077)*1+ISBLANK(E1077)*1+ISBLANK(F1077)*1+ISBLANK(I1077)*1+ISBLANK(J1077)*1+ISBLANK(K1077)*1+ISBLANK(L1077)*1+ISBLANK(M1077)*1+ISBLANK(N1077)*1+ISBLANK(O1077)*1)&gt;0,"Missing Data","OK")</f>
        <v>OK</v>
      </c>
      <c r="V1077" s="0" t="str">
        <f aca="false">IF(T1077&gt;=6,"High Risk",IF(T1077&gt;=3,"Medium Risk","Low Risk"))</f>
        <v>Low Risk</v>
      </c>
    </row>
    <row r="1078" customFormat="false" ht="12.8" hidden="false" customHeight="false" outlineLevel="0" collapsed="false">
      <c r="A1078" s="1" t="s">
        <v>1108</v>
      </c>
      <c r="B1078" s="1" t="s">
        <v>23</v>
      </c>
      <c r="C1078" s="1" t="s">
        <v>34</v>
      </c>
      <c r="D1078" s="1" t="n">
        <v>19.77</v>
      </c>
      <c r="E1078" s="1" t="n">
        <v>12</v>
      </c>
      <c r="F1078" s="4" t="n">
        <v>45232</v>
      </c>
      <c r="G1078" s="1" t="s">
        <v>25</v>
      </c>
      <c r="H1078" s="1" t="n">
        <v>0</v>
      </c>
      <c r="I1078" s="1" t="n">
        <v>93.7</v>
      </c>
      <c r="J1078" s="1" t="n">
        <v>23</v>
      </c>
      <c r="K1078" s="1" t="n">
        <v>10</v>
      </c>
      <c r="L1078" s="1" t="n">
        <v>1</v>
      </c>
      <c r="M1078" s="1" t="n">
        <v>1</v>
      </c>
      <c r="N1078" s="1" t="n">
        <v>237.24</v>
      </c>
      <c r="O1078" s="1" t="n">
        <v>0</v>
      </c>
      <c r="Q1078" s="4" t="n">
        <v>45597</v>
      </c>
      <c r="R1078" s="0" t="n">
        <f aca="false">IF(ISBLANK(F1078),"Missing",IFERROR(YEAR(F1078),"Missing"))</f>
        <v>2023</v>
      </c>
      <c r="S1078" s="0" t="str">
        <f aca="false">IF(ISBLANK(E1078),"Missing",IF(E1078&lt;6,"0-6mo",IF(E1078&lt;12,"6-12mo",IF(E1078&lt;24,"12-24mo","24mo+"))))</f>
        <v>12-24mo</v>
      </c>
      <c r="T1078" s="0" t="n">
        <f aca="false">IF(ISBLANK(C1078),0,IF(C1078="Month-to-month",2,IF(C1078="One year",1,0)))+IF(ISBLANK(I1078),0,IF(I1078&lt;40,2,IF(I1078&lt;55,1,0)))+IF(ISBLANK(M1078),0,IF(M1078=1,3,0))+IF(ISBLANK(L1078),0,IF(L1078&gt;=2,1,0))+IF(ISBLANK(E1078),0,IF(E1078&lt;12,1,0))</f>
        <v>4</v>
      </c>
      <c r="U1078" s="0" t="str">
        <f aca="false">IF((ISBLANK(B1078)*1+ISBLANK(C1078)*1+ISBLANK(D1078)*1+ISBLANK(E1078)*1+ISBLANK(F1078)*1+ISBLANK(I1078)*1+ISBLANK(J1078)*1+ISBLANK(K1078)*1+ISBLANK(L1078)*1+ISBLANK(M1078)*1+ISBLANK(N1078)*1+ISBLANK(O1078)*1)&gt;0,"Missing Data","OK")</f>
        <v>OK</v>
      </c>
      <c r="V1078" s="0" t="str">
        <f aca="false">IF(T1078&gt;=6,"High Risk",IF(T1078&gt;=3,"Medium Risk","Low Risk"))</f>
        <v>Medium Risk</v>
      </c>
    </row>
    <row r="1079" customFormat="false" ht="12.8" hidden="false" customHeight="false" outlineLevel="0" collapsed="false">
      <c r="A1079" s="1" t="s">
        <v>1109</v>
      </c>
      <c r="B1079" s="1" t="s">
        <v>23</v>
      </c>
      <c r="C1079" s="1" t="s">
        <v>24</v>
      </c>
      <c r="D1079" s="1" t="n">
        <v>20.45</v>
      </c>
      <c r="E1079" s="1" t="n">
        <v>8</v>
      </c>
      <c r="F1079" s="4" t="n">
        <v>45232</v>
      </c>
      <c r="G1079" s="1" t="s">
        <v>30</v>
      </c>
      <c r="H1079" s="1" t="n">
        <v>1</v>
      </c>
      <c r="I1079" s="1" t="n">
        <v>88.8</v>
      </c>
      <c r="J1079" s="1" t="n">
        <v>26</v>
      </c>
      <c r="K1079" s="1" t="n">
        <v>7</v>
      </c>
      <c r="L1079" s="1" t="n">
        <v>0</v>
      </c>
      <c r="M1079" s="1" t="n">
        <v>0</v>
      </c>
      <c r="N1079" s="1" t="n">
        <v>163.6</v>
      </c>
      <c r="O1079" s="1" t="n">
        <v>0</v>
      </c>
      <c r="Q1079" s="4" t="n">
        <v>45475</v>
      </c>
      <c r="R1079" s="0" t="n">
        <f aca="false">IF(ISBLANK(F1079),"Missing",IFERROR(YEAR(F1079),"Missing"))</f>
        <v>2023</v>
      </c>
      <c r="S1079" s="0" t="str">
        <f aca="false">IF(ISBLANK(E1079),"Missing",IF(E1079&lt;6,"0-6mo",IF(E1079&lt;12,"6-12mo",IF(E1079&lt;24,"12-24mo","24mo+"))))</f>
        <v>6-12mo</v>
      </c>
      <c r="T1079" s="0" t="n">
        <f aca="false">IF(ISBLANK(C1079),0,IF(C1079="Month-to-month",2,IF(C1079="One year",1,0)))+IF(ISBLANK(I1079),0,IF(I1079&lt;40,2,IF(I1079&lt;55,1,0)))+IF(ISBLANK(M1079),0,IF(M1079=1,3,0))+IF(ISBLANK(L1079),0,IF(L1079&gt;=2,1,0))+IF(ISBLANK(E1079),0,IF(E1079&lt;12,1,0))</f>
        <v>3</v>
      </c>
      <c r="U1079" s="0" t="str">
        <f aca="false">IF((ISBLANK(B1079)*1+ISBLANK(C1079)*1+ISBLANK(D1079)*1+ISBLANK(E1079)*1+ISBLANK(F1079)*1+ISBLANK(I1079)*1+ISBLANK(J1079)*1+ISBLANK(K1079)*1+ISBLANK(L1079)*1+ISBLANK(M1079)*1+ISBLANK(N1079)*1+ISBLANK(O1079)*1)&gt;0,"Missing Data","OK")</f>
        <v>OK</v>
      </c>
      <c r="V1079" s="0" t="str">
        <f aca="false">IF(T1079&gt;=6,"High Risk",IF(T1079&gt;=3,"Medium Risk","Low Risk"))</f>
        <v>Medium Risk</v>
      </c>
    </row>
    <row r="1080" customFormat="false" ht="12.8" hidden="false" customHeight="false" outlineLevel="0" collapsed="false">
      <c r="A1080" s="1" t="s">
        <v>1110</v>
      </c>
      <c r="B1080" s="1" t="s">
        <v>29</v>
      </c>
      <c r="C1080" s="1" t="s">
        <v>24</v>
      </c>
      <c r="D1080" s="1" t="n">
        <v>40.31</v>
      </c>
      <c r="E1080" s="1" t="n">
        <v>43</v>
      </c>
      <c r="F1080" s="4" t="n">
        <v>45236</v>
      </c>
      <c r="G1080" s="1" t="s">
        <v>39</v>
      </c>
      <c r="H1080" s="1" t="n">
        <v>1</v>
      </c>
      <c r="I1080" s="1" t="n">
        <v>5.1</v>
      </c>
      <c r="J1080" s="1" t="n">
        <v>3</v>
      </c>
      <c r="K1080" s="1" t="n">
        <v>1</v>
      </c>
      <c r="L1080" s="1" t="n">
        <v>3</v>
      </c>
      <c r="M1080" s="1" t="n">
        <v>1</v>
      </c>
      <c r="N1080" s="1" t="n">
        <v>1733.33</v>
      </c>
      <c r="O1080" s="1" t="n">
        <v>0</v>
      </c>
      <c r="Q1080" s="4" t="n">
        <v>46293</v>
      </c>
      <c r="R1080" s="0" t="n">
        <f aca="false">IF(ISBLANK(F1080),"Missing",IFERROR(YEAR(F1080),"Missing"))</f>
        <v>2023</v>
      </c>
      <c r="S1080" s="0" t="str">
        <f aca="false">IF(ISBLANK(E1080),"Missing",IF(E1080&lt;6,"0-6mo",IF(E1080&lt;12,"6-12mo",IF(E1080&lt;24,"12-24mo","24mo+"))))</f>
        <v>24mo+</v>
      </c>
      <c r="T1080" s="0" t="n">
        <f aca="false">IF(ISBLANK(C1080),0,IF(C1080="Month-to-month",2,IF(C1080="One year",1,0)))+IF(ISBLANK(I1080),0,IF(I1080&lt;40,2,IF(I1080&lt;55,1,0)))+IF(ISBLANK(M1080),0,IF(M1080=1,3,0))+IF(ISBLANK(L1080),0,IF(L1080&gt;=2,1,0))+IF(ISBLANK(E1080),0,IF(E1080&lt;12,1,0))</f>
        <v>8</v>
      </c>
      <c r="U1080" s="0" t="str">
        <f aca="false">IF((ISBLANK(B1080)*1+ISBLANK(C1080)*1+ISBLANK(D1080)*1+ISBLANK(E1080)*1+ISBLANK(F1080)*1+ISBLANK(I1080)*1+ISBLANK(J1080)*1+ISBLANK(K1080)*1+ISBLANK(L1080)*1+ISBLANK(M1080)*1+ISBLANK(N1080)*1+ISBLANK(O1080)*1)&gt;0,"Missing Data","OK")</f>
        <v>OK</v>
      </c>
      <c r="V1080" s="0" t="str">
        <f aca="false">IF(T1080&gt;=6,"High Risk",IF(T1080&gt;=3,"Medium Risk","Low Risk"))</f>
        <v>High Risk</v>
      </c>
    </row>
    <row r="1081" customFormat="false" ht="12.8" hidden="false" customHeight="false" outlineLevel="0" collapsed="false">
      <c r="A1081" s="1" t="s">
        <v>1111</v>
      </c>
      <c r="B1081" s="1" t="s">
        <v>36</v>
      </c>
      <c r="C1081" s="1" t="s">
        <v>24</v>
      </c>
      <c r="D1081" s="1" t="n">
        <v>10.18</v>
      </c>
      <c r="E1081" s="1" t="n">
        <v>26</v>
      </c>
      <c r="F1081" s="4" t="n">
        <v>45242</v>
      </c>
      <c r="G1081" s="1" t="s">
        <v>30</v>
      </c>
      <c r="H1081" s="1" t="n">
        <v>0</v>
      </c>
      <c r="I1081" s="1" t="n">
        <v>33</v>
      </c>
      <c r="J1081" s="1" t="n">
        <v>7</v>
      </c>
      <c r="K1081" s="1" t="n">
        <v>1</v>
      </c>
      <c r="L1081" s="1" t="n">
        <v>2</v>
      </c>
      <c r="M1081" s="1" t="n">
        <v>0</v>
      </c>
      <c r="N1081" s="1" t="n">
        <v>264.68</v>
      </c>
      <c r="O1081" s="1" t="n">
        <v>1</v>
      </c>
      <c r="P1081" s="4" t="n">
        <v>46033</v>
      </c>
      <c r="Q1081" s="4" t="n">
        <v>46033</v>
      </c>
      <c r="R1081" s="0" t="n">
        <f aca="false">IF(ISBLANK(F1081),"Missing",IFERROR(YEAR(F1081),"Missing"))</f>
        <v>2023</v>
      </c>
      <c r="S1081" s="0" t="str">
        <f aca="false">IF(ISBLANK(E1081),"Missing",IF(E1081&lt;6,"0-6mo",IF(E1081&lt;12,"6-12mo",IF(E1081&lt;24,"12-24mo","24mo+"))))</f>
        <v>24mo+</v>
      </c>
      <c r="T1081" s="0" t="n">
        <f aca="false">IF(ISBLANK(C1081),0,IF(C1081="Month-to-month",2,IF(C1081="One year",1,0)))+IF(ISBLANK(I1081),0,IF(I1081&lt;40,2,IF(I1081&lt;55,1,0)))+IF(ISBLANK(M1081),0,IF(M1081=1,3,0))+IF(ISBLANK(L1081),0,IF(L1081&gt;=2,1,0))+IF(ISBLANK(E1081),0,IF(E1081&lt;12,1,0))</f>
        <v>5</v>
      </c>
      <c r="U1081" s="0" t="str">
        <f aca="false">IF((ISBLANK(B1081)*1+ISBLANK(C1081)*1+ISBLANK(D1081)*1+ISBLANK(E1081)*1+ISBLANK(F1081)*1+ISBLANK(I1081)*1+ISBLANK(J1081)*1+ISBLANK(K1081)*1+ISBLANK(L1081)*1+ISBLANK(M1081)*1+ISBLANK(N1081)*1+ISBLANK(O1081)*1)&gt;0,"Missing Data","OK")</f>
        <v>OK</v>
      </c>
      <c r="V1081" s="0" t="str">
        <f aca="false">IF(T1081&gt;=6,"High Risk",IF(T1081&gt;=3,"Medium Risk","Low Risk"))</f>
        <v>Medium Risk</v>
      </c>
    </row>
    <row r="1082" customFormat="false" ht="12.8" hidden="false" customHeight="false" outlineLevel="0" collapsed="false">
      <c r="A1082" s="1" t="s">
        <v>1112</v>
      </c>
      <c r="B1082" s="1" t="s">
        <v>36</v>
      </c>
      <c r="C1082" s="1" t="s">
        <v>34</v>
      </c>
      <c r="D1082" s="1" t="n">
        <v>10.26</v>
      </c>
      <c r="E1082" s="1" t="n">
        <v>21</v>
      </c>
      <c r="F1082" s="4" t="n">
        <v>45242</v>
      </c>
      <c r="G1082" s="1" t="s">
        <v>25</v>
      </c>
      <c r="H1082" s="1" t="n">
        <v>0</v>
      </c>
      <c r="I1082" s="1" t="n">
        <v>49.5</v>
      </c>
      <c r="J1082" s="1" t="n">
        <v>23</v>
      </c>
      <c r="K1082" s="1" t="n">
        <v>6</v>
      </c>
      <c r="L1082" s="1" t="n">
        <v>1</v>
      </c>
      <c r="M1082" s="1" t="n">
        <v>0</v>
      </c>
      <c r="N1082" s="1" t="n">
        <v>215.46</v>
      </c>
      <c r="O1082" s="1" t="n">
        <v>0</v>
      </c>
      <c r="Q1082" s="4" t="n">
        <v>45881</v>
      </c>
      <c r="R1082" s="0" t="n">
        <f aca="false">IF(ISBLANK(F1082),"Missing",IFERROR(YEAR(F1082),"Missing"))</f>
        <v>2023</v>
      </c>
      <c r="S1082" s="0" t="str">
        <f aca="false">IF(ISBLANK(E1082),"Missing",IF(E1082&lt;6,"0-6mo",IF(E1082&lt;12,"6-12mo",IF(E1082&lt;24,"12-24mo","24mo+"))))</f>
        <v>12-24mo</v>
      </c>
      <c r="T1082" s="0" t="n">
        <f aca="false">IF(ISBLANK(C1082),0,IF(C1082="Month-to-month",2,IF(C1082="One year",1,0)))+IF(ISBLANK(I1082),0,IF(I1082&lt;40,2,IF(I1082&lt;55,1,0)))+IF(ISBLANK(M1082),0,IF(M1082=1,3,0))+IF(ISBLANK(L1082),0,IF(L1082&gt;=2,1,0))+IF(ISBLANK(E1082),0,IF(E1082&lt;12,1,0))</f>
        <v>2</v>
      </c>
      <c r="U1082" s="0" t="str">
        <f aca="false">IF((ISBLANK(B1082)*1+ISBLANK(C1082)*1+ISBLANK(D1082)*1+ISBLANK(E1082)*1+ISBLANK(F1082)*1+ISBLANK(I1082)*1+ISBLANK(J1082)*1+ISBLANK(K1082)*1+ISBLANK(L1082)*1+ISBLANK(M1082)*1+ISBLANK(N1082)*1+ISBLANK(O1082)*1)&gt;0,"Missing Data","OK")</f>
        <v>OK</v>
      </c>
      <c r="V1082" s="0" t="str">
        <f aca="false">IF(T1082&gt;=6,"High Risk",IF(T1082&gt;=3,"Medium Risk","Low Risk"))</f>
        <v>Low Risk</v>
      </c>
    </row>
    <row r="1083" customFormat="false" ht="12.8" hidden="false" customHeight="false" outlineLevel="0" collapsed="false">
      <c r="A1083" s="1" t="s">
        <v>1113</v>
      </c>
      <c r="B1083" s="1" t="s">
        <v>23</v>
      </c>
      <c r="C1083" s="1" t="s">
        <v>24</v>
      </c>
      <c r="D1083" s="1" t="n">
        <v>20.78</v>
      </c>
      <c r="E1083" s="1" t="n">
        <v>11</v>
      </c>
      <c r="F1083" s="4" t="n">
        <v>45243</v>
      </c>
      <c r="G1083" s="1" t="s">
        <v>25</v>
      </c>
      <c r="H1083" s="1" t="n">
        <v>0</v>
      </c>
      <c r="I1083" s="1" t="n">
        <v>57.8</v>
      </c>
      <c r="J1083" s="1" t="n">
        <v>17</v>
      </c>
      <c r="K1083" s="1" t="n">
        <v>6</v>
      </c>
      <c r="L1083" s="1" t="n">
        <v>0</v>
      </c>
      <c r="M1083" s="1" t="n">
        <v>0</v>
      </c>
      <c r="N1083" s="1" t="n">
        <v>228.58</v>
      </c>
      <c r="O1083" s="1" t="n">
        <v>0</v>
      </c>
      <c r="Q1083" s="4" t="n">
        <v>45577</v>
      </c>
      <c r="R1083" s="0" t="n">
        <f aca="false">IF(ISBLANK(F1083),"Missing",IFERROR(YEAR(F1083),"Missing"))</f>
        <v>2023</v>
      </c>
      <c r="S1083" s="0" t="str">
        <f aca="false">IF(ISBLANK(E1083),"Missing",IF(E1083&lt;6,"0-6mo",IF(E1083&lt;12,"6-12mo",IF(E1083&lt;24,"12-24mo","24mo+"))))</f>
        <v>6-12mo</v>
      </c>
      <c r="T1083" s="0" t="n">
        <f aca="false">IF(ISBLANK(C1083),0,IF(C1083="Month-to-month",2,IF(C1083="One year",1,0)))+IF(ISBLANK(I1083),0,IF(I1083&lt;40,2,IF(I1083&lt;55,1,0)))+IF(ISBLANK(M1083),0,IF(M1083=1,3,0))+IF(ISBLANK(L1083),0,IF(L1083&gt;=2,1,0))+IF(ISBLANK(E1083),0,IF(E1083&lt;12,1,0))</f>
        <v>3</v>
      </c>
      <c r="U1083" s="0" t="str">
        <f aca="false">IF((ISBLANK(B1083)*1+ISBLANK(C1083)*1+ISBLANK(D1083)*1+ISBLANK(E1083)*1+ISBLANK(F1083)*1+ISBLANK(I1083)*1+ISBLANK(J1083)*1+ISBLANK(K1083)*1+ISBLANK(L1083)*1+ISBLANK(M1083)*1+ISBLANK(N1083)*1+ISBLANK(O1083)*1)&gt;0,"Missing Data","OK")</f>
        <v>OK</v>
      </c>
      <c r="V1083" s="0" t="str">
        <f aca="false">IF(T1083&gt;=6,"High Risk",IF(T1083&gt;=3,"Medium Risk","Low Risk"))</f>
        <v>Medium Risk</v>
      </c>
    </row>
    <row r="1084" customFormat="false" ht="12.8" hidden="false" customHeight="false" outlineLevel="0" collapsed="false">
      <c r="A1084" s="1" t="s">
        <v>1114</v>
      </c>
      <c r="B1084" s="1" t="s">
        <v>23</v>
      </c>
      <c r="C1084" s="1" t="s">
        <v>24</v>
      </c>
      <c r="D1084" s="1" t="n">
        <v>20.2</v>
      </c>
      <c r="E1084" s="1" t="n">
        <v>33</v>
      </c>
      <c r="F1084" s="4" t="n">
        <v>45244</v>
      </c>
      <c r="G1084" s="1" t="s">
        <v>25</v>
      </c>
      <c r="H1084" s="1" t="n">
        <v>1</v>
      </c>
      <c r="I1084" s="1" t="n">
        <v>47.8</v>
      </c>
      <c r="J1084" s="1" t="n">
        <v>19</v>
      </c>
      <c r="K1084" s="1" t="n">
        <v>3</v>
      </c>
      <c r="L1084" s="1" t="n">
        <v>2</v>
      </c>
      <c r="M1084" s="1" t="n">
        <v>1</v>
      </c>
      <c r="N1084" s="1" t="n">
        <v>666.6</v>
      </c>
      <c r="O1084" s="1" t="n">
        <v>0</v>
      </c>
      <c r="Q1084" s="4" t="n">
        <v>46248</v>
      </c>
      <c r="R1084" s="0" t="n">
        <f aca="false">IF(ISBLANK(F1084),"Missing",IFERROR(YEAR(F1084),"Missing"))</f>
        <v>2023</v>
      </c>
      <c r="S1084" s="0" t="str">
        <f aca="false">IF(ISBLANK(E1084),"Missing",IF(E1084&lt;6,"0-6mo",IF(E1084&lt;12,"6-12mo",IF(E1084&lt;24,"12-24mo","24mo+"))))</f>
        <v>24mo+</v>
      </c>
      <c r="T1084" s="0" t="n">
        <f aca="false">IF(ISBLANK(C1084),0,IF(C1084="Month-to-month",2,IF(C1084="One year",1,0)))+IF(ISBLANK(I1084),0,IF(I1084&lt;40,2,IF(I1084&lt;55,1,0)))+IF(ISBLANK(M1084),0,IF(M1084=1,3,0))+IF(ISBLANK(L1084),0,IF(L1084&gt;=2,1,0))+IF(ISBLANK(E1084),0,IF(E1084&lt;12,1,0))</f>
        <v>7</v>
      </c>
      <c r="U1084" s="0" t="str">
        <f aca="false">IF((ISBLANK(B1084)*1+ISBLANK(C1084)*1+ISBLANK(D1084)*1+ISBLANK(E1084)*1+ISBLANK(F1084)*1+ISBLANK(I1084)*1+ISBLANK(J1084)*1+ISBLANK(K1084)*1+ISBLANK(L1084)*1+ISBLANK(M1084)*1+ISBLANK(N1084)*1+ISBLANK(O1084)*1)&gt;0,"Missing Data","OK")</f>
        <v>OK</v>
      </c>
      <c r="V1084" s="0" t="str">
        <f aca="false">IF(T1084&gt;=6,"High Risk",IF(T1084&gt;=3,"Medium Risk","Low Risk"))</f>
        <v>High Risk</v>
      </c>
    </row>
    <row r="1085" customFormat="false" ht="12.8" hidden="false" customHeight="false" outlineLevel="0" collapsed="false">
      <c r="A1085" s="1" t="s">
        <v>1115</v>
      </c>
      <c r="B1085" s="1" t="s">
        <v>23</v>
      </c>
      <c r="C1085" s="1" t="s">
        <v>34</v>
      </c>
      <c r="D1085" s="1" t="n">
        <v>18.38</v>
      </c>
      <c r="E1085" s="1" t="n">
        <v>4</v>
      </c>
      <c r="F1085" s="4" t="n">
        <v>45245</v>
      </c>
      <c r="G1085" s="1" t="s">
        <v>39</v>
      </c>
      <c r="H1085" s="1" t="n">
        <v>1</v>
      </c>
      <c r="I1085" s="1" t="n">
        <v>47.9</v>
      </c>
      <c r="J1085" s="1" t="n">
        <v>13</v>
      </c>
      <c r="K1085" s="1" t="n">
        <v>5</v>
      </c>
      <c r="L1085" s="1" t="n">
        <v>0</v>
      </c>
      <c r="M1085" s="1" t="n">
        <v>0</v>
      </c>
      <c r="N1085" s="1" t="n">
        <v>73.52</v>
      </c>
      <c r="O1085" s="1" t="n">
        <v>0</v>
      </c>
      <c r="Q1085" s="4" t="n">
        <v>45366</v>
      </c>
      <c r="R1085" s="0" t="n">
        <f aca="false">IF(ISBLANK(F1085),"Missing",IFERROR(YEAR(F1085),"Missing"))</f>
        <v>2023</v>
      </c>
      <c r="S1085" s="0" t="str">
        <f aca="false">IF(ISBLANK(E1085),"Missing",IF(E1085&lt;6,"0-6mo",IF(E1085&lt;12,"6-12mo",IF(E1085&lt;24,"12-24mo","24mo+"))))</f>
        <v>0-6mo</v>
      </c>
      <c r="T1085" s="0" t="n">
        <f aca="false">IF(ISBLANK(C1085),0,IF(C1085="Month-to-month",2,IF(C1085="One year",1,0)))+IF(ISBLANK(I1085),0,IF(I1085&lt;40,2,IF(I1085&lt;55,1,0)))+IF(ISBLANK(M1085),0,IF(M1085=1,3,0))+IF(ISBLANK(L1085),0,IF(L1085&gt;=2,1,0))+IF(ISBLANK(E1085),0,IF(E1085&lt;12,1,0))</f>
        <v>3</v>
      </c>
      <c r="U1085" s="0" t="str">
        <f aca="false">IF((ISBLANK(B1085)*1+ISBLANK(C1085)*1+ISBLANK(D1085)*1+ISBLANK(E1085)*1+ISBLANK(F1085)*1+ISBLANK(I1085)*1+ISBLANK(J1085)*1+ISBLANK(K1085)*1+ISBLANK(L1085)*1+ISBLANK(M1085)*1+ISBLANK(N1085)*1+ISBLANK(O1085)*1)&gt;0,"Missing Data","OK")</f>
        <v>OK</v>
      </c>
      <c r="V1085" s="0" t="str">
        <f aca="false">IF(T1085&gt;=6,"High Risk",IF(T1085&gt;=3,"Medium Risk","Low Risk"))</f>
        <v>Medium Risk</v>
      </c>
    </row>
    <row r="1086" customFormat="false" ht="12.8" hidden="false" customHeight="false" outlineLevel="0" collapsed="false">
      <c r="A1086" s="1" t="s">
        <v>1116</v>
      </c>
      <c r="B1086" s="1" t="s">
        <v>36</v>
      </c>
      <c r="C1086" s="1" t="s">
        <v>24</v>
      </c>
      <c r="D1086" s="1" t="n">
        <v>10.03</v>
      </c>
      <c r="E1086" s="1" t="n">
        <v>58</v>
      </c>
      <c r="F1086" s="4" t="n">
        <v>45246</v>
      </c>
      <c r="G1086" s="1" t="s">
        <v>25</v>
      </c>
      <c r="H1086" s="1" t="n">
        <v>1</v>
      </c>
      <c r="I1086" s="1" t="n">
        <v>37.5</v>
      </c>
      <c r="J1086" s="1" t="n">
        <v>14</v>
      </c>
      <c r="K1086" s="1" t="n">
        <v>3</v>
      </c>
      <c r="L1086" s="1" t="n">
        <v>3</v>
      </c>
      <c r="M1086" s="1" t="n">
        <v>0</v>
      </c>
      <c r="N1086" s="1" t="n">
        <v>581.74</v>
      </c>
      <c r="O1086" s="1" t="n">
        <v>0</v>
      </c>
      <c r="Q1086" s="4" t="n">
        <v>46293</v>
      </c>
      <c r="R1086" s="0" t="n">
        <f aca="false">IF(ISBLANK(F1086),"Missing",IFERROR(YEAR(F1086),"Missing"))</f>
        <v>2023</v>
      </c>
      <c r="S1086" s="0" t="str">
        <f aca="false">IF(ISBLANK(E1086),"Missing",IF(E1086&lt;6,"0-6mo",IF(E1086&lt;12,"6-12mo",IF(E1086&lt;24,"12-24mo","24mo+"))))</f>
        <v>24mo+</v>
      </c>
      <c r="T1086" s="0" t="n">
        <f aca="false">IF(ISBLANK(C1086),0,IF(C1086="Month-to-month",2,IF(C1086="One year",1,0)))+IF(ISBLANK(I1086),0,IF(I1086&lt;40,2,IF(I1086&lt;55,1,0)))+IF(ISBLANK(M1086),0,IF(M1086=1,3,0))+IF(ISBLANK(L1086),0,IF(L1086&gt;=2,1,0))+IF(ISBLANK(E1086),0,IF(E1086&lt;12,1,0))</f>
        <v>5</v>
      </c>
      <c r="U1086" s="0" t="str">
        <f aca="false">IF((ISBLANK(B1086)*1+ISBLANK(C1086)*1+ISBLANK(D1086)*1+ISBLANK(E1086)*1+ISBLANK(F1086)*1+ISBLANK(I1086)*1+ISBLANK(J1086)*1+ISBLANK(K1086)*1+ISBLANK(L1086)*1+ISBLANK(M1086)*1+ISBLANK(N1086)*1+ISBLANK(O1086)*1)&gt;0,"Missing Data","OK")</f>
        <v>OK</v>
      </c>
      <c r="V1086" s="0" t="str">
        <f aca="false">IF(T1086&gt;=6,"High Risk",IF(T1086&gt;=3,"Medium Risk","Low Risk"))</f>
        <v>Medium Risk</v>
      </c>
    </row>
    <row r="1087" customFormat="false" ht="12.8" hidden="false" customHeight="false" outlineLevel="0" collapsed="false">
      <c r="A1087" s="1" t="s">
        <v>1117</v>
      </c>
      <c r="B1087" s="1" t="s">
        <v>23</v>
      </c>
      <c r="C1087" s="1" t="s">
        <v>24</v>
      </c>
      <c r="D1087" s="1" t="n">
        <v>20.76</v>
      </c>
      <c r="E1087" s="1" t="n">
        <v>43</v>
      </c>
      <c r="F1087" s="4" t="n">
        <v>45246</v>
      </c>
      <c r="G1087" s="1" t="s">
        <v>25</v>
      </c>
      <c r="H1087" s="1" t="n">
        <v>1</v>
      </c>
      <c r="I1087" s="1" t="n">
        <v>37.4</v>
      </c>
      <c r="J1087" s="1" t="n">
        <v>13</v>
      </c>
      <c r="K1087" s="1" t="n">
        <v>1</v>
      </c>
      <c r="L1087" s="1" t="n">
        <v>4</v>
      </c>
      <c r="M1087" s="1" t="n">
        <v>0</v>
      </c>
      <c r="N1087" s="1" t="n">
        <v>892.68</v>
      </c>
      <c r="O1087" s="1" t="n">
        <v>1</v>
      </c>
      <c r="P1087" s="4" t="n">
        <v>46293</v>
      </c>
      <c r="Q1087" s="4" t="n">
        <v>46293</v>
      </c>
      <c r="R1087" s="0" t="n">
        <f aca="false">IF(ISBLANK(F1087),"Missing",IFERROR(YEAR(F1087),"Missing"))</f>
        <v>2023</v>
      </c>
      <c r="S1087" s="0" t="str">
        <f aca="false">IF(ISBLANK(E1087),"Missing",IF(E1087&lt;6,"0-6mo",IF(E1087&lt;12,"6-12mo",IF(E1087&lt;24,"12-24mo","24mo+"))))</f>
        <v>24mo+</v>
      </c>
      <c r="T1087" s="0" t="n">
        <f aca="false">IF(ISBLANK(C1087),0,IF(C1087="Month-to-month",2,IF(C1087="One year",1,0)))+IF(ISBLANK(I1087),0,IF(I1087&lt;40,2,IF(I1087&lt;55,1,0)))+IF(ISBLANK(M1087),0,IF(M1087=1,3,0))+IF(ISBLANK(L1087),0,IF(L1087&gt;=2,1,0))+IF(ISBLANK(E1087),0,IF(E1087&lt;12,1,0))</f>
        <v>5</v>
      </c>
      <c r="U1087" s="0" t="str">
        <f aca="false">IF((ISBLANK(B1087)*1+ISBLANK(C1087)*1+ISBLANK(D1087)*1+ISBLANK(E1087)*1+ISBLANK(F1087)*1+ISBLANK(I1087)*1+ISBLANK(J1087)*1+ISBLANK(K1087)*1+ISBLANK(L1087)*1+ISBLANK(M1087)*1+ISBLANK(N1087)*1+ISBLANK(O1087)*1)&gt;0,"Missing Data","OK")</f>
        <v>OK</v>
      </c>
      <c r="V1087" s="0" t="str">
        <f aca="false">IF(T1087&gt;=6,"High Risk",IF(T1087&gt;=3,"Medium Risk","Low Risk"))</f>
        <v>Medium Risk</v>
      </c>
    </row>
    <row r="1088" customFormat="false" ht="12.8" hidden="false" customHeight="false" outlineLevel="0" collapsed="false">
      <c r="A1088" s="1" t="s">
        <v>1118</v>
      </c>
      <c r="B1088" s="1" t="s">
        <v>23</v>
      </c>
      <c r="C1088" s="1" t="s">
        <v>34</v>
      </c>
      <c r="D1088" s="1" t="n">
        <v>21.65</v>
      </c>
      <c r="E1088" s="1" t="n">
        <v>0</v>
      </c>
      <c r="F1088" s="4" t="n">
        <v>45248</v>
      </c>
      <c r="G1088" s="1" t="s">
        <v>27</v>
      </c>
      <c r="H1088" s="1" t="n">
        <v>1</v>
      </c>
      <c r="I1088" s="1" t="n">
        <v>55.7</v>
      </c>
      <c r="J1088" s="1" t="n">
        <v>18</v>
      </c>
      <c r="K1088" s="1" t="n">
        <v>5</v>
      </c>
      <c r="L1088" s="1" t="n">
        <v>2</v>
      </c>
      <c r="M1088" s="1" t="n">
        <v>1</v>
      </c>
      <c r="N1088" s="1" t="n">
        <v>0</v>
      </c>
      <c r="O1088" s="1" t="n">
        <v>0</v>
      </c>
      <c r="Q1088" s="4" t="n">
        <v>45248</v>
      </c>
      <c r="R1088" s="0" t="n">
        <f aca="false">IF(ISBLANK(F1088),"Missing",IFERROR(YEAR(F1088),"Missing"))</f>
        <v>2023</v>
      </c>
      <c r="S1088" s="0" t="str">
        <f aca="false">IF(ISBLANK(E1088),"Missing",IF(E1088&lt;6,"0-6mo",IF(E1088&lt;12,"6-12mo",IF(E1088&lt;24,"12-24mo","24mo+"))))</f>
        <v>0-6mo</v>
      </c>
      <c r="T1088" s="0" t="n">
        <f aca="false">IF(ISBLANK(C1088),0,IF(C1088="Month-to-month",2,IF(C1088="One year",1,0)))+IF(ISBLANK(I1088),0,IF(I1088&lt;40,2,IF(I1088&lt;55,1,0)))+IF(ISBLANK(M1088),0,IF(M1088=1,3,0))+IF(ISBLANK(L1088),0,IF(L1088&gt;=2,1,0))+IF(ISBLANK(E1088),0,IF(E1088&lt;12,1,0))</f>
        <v>6</v>
      </c>
      <c r="U1088" s="0" t="str">
        <f aca="false">IF((ISBLANK(B1088)*1+ISBLANK(C1088)*1+ISBLANK(D1088)*1+ISBLANK(E1088)*1+ISBLANK(F1088)*1+ISBLANK(I1088)*1+ISBLANK(J1088)*1+ISBLANK(K1088)*1+ISBLANK(L1088)*1+ISBLANK(M1088)*1+ISBLANK(N1088)*1+ISBLANK(O1088)*1)&gt;0,"Missing Data","OK")</f>
        <v>OK</v>
      </c>
      <c r="V1088" s="0" t="str">
        <f aca="false">IF(T1088&gt;=6,"High Risk",IF(T1088&gt;=3,"Medium Risk","Low Risk"))</f>
        <v>High Risk</v>
      </c>
    </row>
    <row r="1089" customFormat="false" ht="12.8" hidden="false" customHeight="false" outlineLevel="0" collapsed="false">
      <c r="A1089" s="1" t="s">
        <v>1119</v>
      </c>
      <c r="B1089" s="1" t="s">
        <v>29</v>
      </c>
      <c r="C1089" s="1" t="s">
        <v>24</v>
      </c>
      <c r="D1089" s="1" t="n">
        <v>42.31</v>
      </c>
      <c r="E1089" s="1" t="n">
        <v>23</v>
      </c>
      <c r="F1089" s="4" t="n">
        <v>45254</v>
      </c>
      <c r="G1089" s="1" t="s">
        <v>39</v>
      </c>
      <c r="H1089" s="1" t="n">
        <v>1</v>
      </c>
      <c r="I1089" s="1" t="n">
        <v>100</v>
      </c>
      <c r="J1089" s="1" t="n">
        <v>28</v>
      </c>
      <c r="K1089" s="1" t="n">
        <v>10</v>
      </c>
      <c r="L1089" s="1" t="n">
        <v>3</v>
      </c>
      <c r="M1089" s="1" t="n">
        <v>0</v>
      </c>
      <c r="N1089" s="1" t="n">
        <v>973.13</v>
      </c>
      <c r="O1089" s="1" t="n">
        <v>0</v>
      </c>
      <c r="Q1089" s="4" t="n">
        <v>45954</v>
      </c>
      <c r="R1089" s="0" t="n">
        <f aca="false">IF(ISBLANK(F1089),"Missing",IFERROR(YEAR(F1089),"Missing"))</f>
        <v>2023</v>
      </c>
      <c r="S1089" s="0" t="str">
        <f aca="false">IF(ISBLANK(E1089),"Missing",IF(E1089&lt;6,"0-6mo",IF(E1089&lt;12,"6-12mo",IF(E1089&lt;24,"12-24mo","24mo+"))))</f>
        <v>12-24mo</v>
      </c>
      <c r="T1089" s="0" t="n">
        <f aca="false">IF(ISBLANK(C1089),0,IF(C1089="Month-to-month",2,IF(C1089="One year",1,0)))+IF(ISBLANK(I1089),0,IF(I1089&lt;40,2,IF(I1089&lt;55,1,0)))+IF(ISBLANK(M1089),0,IF(M1089=1,3,0))+IF(ISBLANK(L1089),0,IF(L1089&gt;=2,1,0))+IF(ISBLANK(E1089),0,IF(E1089&lt;12,1,0))</f>
        <v>3</v>
      </c>
      <c r="U1089" s="0" t="str">
        <f aca="false">IF((ISBLANK(B1089)*1+ISBLANK(C1089)*1+ISBLANK(D1089)*1+ISBLANK(E1089)*1+ISBLANK(F1089)*1+ISBLANK(I1089)*1+ISBLANK(J1089)*1+ISBLANK(K1089)*1+ISBLANK(L1089)*1+ISBLANK(M1089)*1+ISBLANK(N1089)*1+ISBLANK(O1089)*1)&gt;0,"Missing Data","OK")</f>
        <v>OK</v>
      </c>
      <c r="V1089" s="0" t="str">
        <f aca="false">IF(T1089&gt;=6,"High Risk",IF(T1089&gt;=3,"Medium Risk","Low Risk"))</f>
        <v>Medium Risk</v>
      </c>
    </row>
    <row r="1090" customFormat="false" ht="12.8" hidden="false" customHeight="false" outlineLevel="0" collapsed="false">
      <c r="A1090" s="1" t="s">
        <v>1120</v>
      </c>
      <c r="B1090" s="1" t="s">
        <v>36</v>
      </c>
      <c r="C1090" s="1" t="s">
        <v>34</v>
      </c>
      <c r="D1090" s="1" t="n">
        <v>9.27</v>
      </c>
      <c r="E1090" s="1" t="n">
        <v>13</v>
      </c>
      <c r="F1090" s="4" t="n">
        <v>45255</v>
      </c>
      <c r="G1090" s="1" t="s">
        <v>30</v>
      </c>
      <c r="H1090" s="1" t="n">
        <v>0</v>
      </c>
      <c r="I1090" s="1" t="n">
        <v>49.1</v>
      </c>
      <c r="J1090" s="1" t="n">
        <v>11</v>
      </c>
      <c r="K1090" s="1" t="n">
        <v>4</v>
      </c>
      <c r="L1090" s="1" t="n">
        <v>0</v>
      </c>
      <c r="M1090" s="1" t="n">
        <v>0</v>
      </c>
      <c r="N1090" s="1" t="n">
        <v>120.51</v>
      </c>
      <c r="O1090" s="1" t="n">
        <v>0</v>
      </c>
      <c r="Q1090" s="4" t="n">
        <v>45650</v>
      </c>
      <c r="R1090" s="0" t="n">
        <f aca="false">IF(ISBLANK(F1090),"Missing",IFERROR(YEAR(F1090),"Missing"))</f>
        <v>2023</v>
      </c>
      <c r="S1090" s="0" t="str">
        <f aca="false">IF(ISBLANK(E1090),"Missing",IF(E1090&lt;6,"0-6mo",IF(E1090&lt;12,"6-12mo",IF(E1090&lt;24,"12-24mo","24mo+"))))</f>
        <v>12-24mo</v>
      </c>
      <c r="T1090" s="0" t="n">
        <f aca="false">IF(ISBLANK(C1090),0,IF(C1090="Month-to-month",2,IF(C1090="One year",1,0)))+IF(ISBLANK(I1090),0,IF(I1090&lt;40,2,IF(I1090&lt;55,1,0)))+IF(ISBLANK(M1090),0,IF(M1090=1,3,0))+IF(ISBLANK(L1090),0,IF(L1090&gt;=2,1,0))+IF(ISBLANK(E1090),0,IF(E1090&lt;12,1,0))</f>
        <v>2</v>
      </c>
      <c r="U1090" s="0" t="str">
        <f aca="false">IF((ISBLANK(B1090)*1+ISBLANK(C1090)*1+ISBLANK(D1090)*1+ISBLANK(E1090)*1+ISBLANK(F1090)*1+ISBLANK(I1090)*1+ISBLANK(J1090)*1+ISBLANK(K1090)*1+ISBLANK(L1090)*1+ISBLANK(M1090)*1+ISBLANK(N1090)*1+ISBLANK(O1090)*1)&gt;0,"Missing Data","OK")</f>
        <v>OK</v>
      </c>
      <c r="V1090" s="0" t="str">
        <f aca="false">IF(T1090&gt;=6,"High Risk",IF(T1090&gt;=3,"Medium Risk","Low Risk"))</f>
        <v>Low Risk</v>
      </c>
    </row>
    <row r="1091" customFormat="false" ht="12.8" hidden="false" customHeight="false" outlineLevel="0" collapsed="false">
      <c r="A1091" s="1" t="s">
        <v>1121</v>
      </c>
      <c r="B1091" s="1" t="s">
        <v>23</v>
      </c>
      <c r="C1091" s="1" t="s">
        <v>24</v>
      </c>
      <c r="D1091" s="1" t="n">
        <v>19.04</v>
      </c>
      <c r="E1091" s="1" t="n">
        <v>46</v>
      </c>
      <c r="F1091" s="4" t="n">
        <v>45256</v>
      </c>
      <c r="G1091" s="1" t="s">
        <v>39</v>
      </c>
      <c r="H1091" s="1" t="n">
        <v>1</v>
      </c>
      <c r="I1091" s="1" t="n">
        <v>53.7</v>
      </c>
      <c r="J1091" s="1" t="n">
        <v>21</v>
      </c>
      <c r="K1091" s="1" t="n">
        <v>6</v>
      </c>
      <c r="L1091" s="1" t="n">
        <v>1</v>
      </c>
      <c r="M1091" s="1" t="n">
        <v>0</v>
      </c>
      <c r="N1091" s="1" t="n">
        <v>875.84</v>
      </c>
      <c r="O1091" s="1" t="n">
        <v>0</v>
      </c>
      <c r="Q1091" s="4" t="n">
        <v>46293</v>
      </c>
      <c r="R1091" s="0" t="n">
        <f aca="false">IF(ISBLANK(F1091),"Missing",IFERROR(YEAR(F1091),"Missing"))</f>
        <v>2023</v>
      </c>
      <c r="S1091" s="0" t="str">
        <f aca="false">IF(ISBLANK(E1091),"Missing",IF(E1091&lt;6,"0-6mo",IF(E1091&lt;12,"6-12mo",IF(E1091&lt;24,"12-24mo","24mo+"))))</f>
        <v>24mo+</v>
      </c>
      <c r="T1091" s="0" t="n">
        <f aca="false">IF(ISBLANK(C1091),0,IF(C1091="Month-to-month",2,IF(C1091="One year",1,0)))+IF(ISBLANK(I1091),0,IF(I1091&lt;40,2,IF(I1091&lt;55,1,0)))+IF(ISBLANK(M1091),0,IF(M1091=1,3,0))+IF(ISBLANK(L1091),0,IF(L1091&gt;=2,1,0))+IF(ISBLANK(E1091),0,IF(E1091&lt;12,1,0))</f>
        <v>3</v>
      </c>
      <c r="U1091" s="0" t="str">
        <f aca="false">IF((ISBLANK(B1091)*1+ISBLANK(C1091)*1+ISBLANK(D1091)*1+ISBLANK(E1091)*1+ISBLANK(F1091)*1+ISBLANK(I1091)*1+ISBLANK(J1091)*1+ISBLANK(K1091)*1+ISBLANK(L1091)*1+ISBLANK(M1091)*1+ISBLANK(N1091)*1+ISBLANK(O1091)*1)&gt;0,"Missing Data","OK")</f>
        <v>OK</v>
      </c>
      <c r="V1091" s="0" t="str">
        <f aca="false">IF(T1091&gt;=6,"High Risk",IF(T1091&gt;=3,"Medium Risk","Low Risk"))</f>
        <v>Medium Risk</v>
      </c>
    </row>
    <row r="1092" customFormat="false" ht="12.8" hidden="false" customHeight="false" outlineLevel="0" collapsed="false">
      <c r="A1092" s="1" t="s">
        <v>1122</v>
      </c>
      <c r="B1092" s="1" t="s">
        <v>36</v>
      </c>
      <c r="C1092" s="1" t="s">
        <v>51</v>
      </c>
      <c r="D1092" s="1" t="n">
        <v>9.99</v>
      </c>
      <c r="E1092" s="1" t="n">
        <v>4</v>
      </c>
      <c r="F1092" s="4" t="n">
        <v>45256</v>
      </c>
      <c r="G1092" s="1" t="s">
        <v>27</v>
      </c>
      <c r="H1092" s="1" t="n">
        <v>1</v>
      </c>
      <c r="I1092" s="1" t="n">
        <v>51.5</v>
      </c>
      <c r="J1092" s="1" t="n">
        <v>19</v>
      </c>
      <c r="K1092" s="1" t="n">
        <v>4</v>
      </c>
      <c r="L1092" s="1" t="n">
        <v>1</v>
      </c>
      <c r="M1092" s="1" t="n">
        <v>0</v>
      </c>
      <c r="N1092" s="1" t="n">
        <v>39.96</v>
      </c>
      <c r="O1092" s="1" t="n">
        <v>0</v>
      </c>
      <c r="Q1092" s="4" t="n">
        <v>45377</v>
      </c>
      <c r="R1092" s="0" t="n">
        <f aca="false">IF(ISBLANK(F1092),"Missing",IFERROR(YEAR(F1092),"Missing"))</f>
        <v>2023</v>
      </c>
      <c r="S1092" s="0" t="str">
        <f aca="false">IF(ISBLANK(E1092),"Missing",IF(E1092&lt;6,"0-6mo",IF(E1092&lt;12,"6-12mo",IF(E1092&lt;24,"12-24mo","24mo+"))))</f>
        <v>0-6mo</v>
      </c>
      <c r="T1092" s="0" t="n">
        <f aca="false">IF(ISBLANK(C1092),0,IF(C1092="Month-to-month",2,IF(C1092="One year",1,0)))+IF(ISBLANK(I1092),0,IF(I1092&lt;40,2,IF(I1092&lt;55,1,0)))+IF(ISBLANK(M1092),0,IF(M1092=1,3,0))+IF(ISBLANK(L1092),0,IF(L1092&gt;=2,1,0))+IF(ISBLANK(E1092),0,IF(E1092&lt;12,1,0))</f>
        <v>2</v>
      </c>
      <c r="U1092" s="0" t="str">
        <f aca="false">IF((ISBLANK(B1092)*1+ISBLANK(C1092)*1+ISBLANK(D1092)*1+ISBLANK(E1092)*1+ISBLANK(F1092)*1+ISBLANK(I1092)*1+ISBLANK(J1092)*1+ISBLANK(K1092)*1+ISBLANK(L1092)*1+ISBLANK(M1092)*1+ISBLANK(N1092)*1+ISBLANK(O1092)*1)&gt;0,"Missing Data","OK")</f>
        <v>OK</v>
      </c>
      <c r="V1092" s="0" t="str">
        <f aca="false">IF(T1092&gt;=6,"High Risk",IF(T1092&gt;=3,"Medium Risk","Low Risk"))</f>
        <v>Low Risk</v>
      </c>
    </row>
    <row r="1093" customFormat="false" ht="12.8" hidden="false" customHeight="false" outlineLevel="0" collapsed="false">
      <c r="A1093" s="1" t="s">
        <v>1123</v>
      </c>
      <c r="B1093" s="1" t="s">
        <v>36</v>
      </c>
      <c r="C1093" s="1" t="s">
        <v>51</v>
      </c>
      <c r="D1093" s="1" t="n">
        <v>9.05</v>
      </c>
      <c r="E1093" s="1" t="n">
        <v>20</v>
      </c>
      <c r="F1093" s="4" t="n">
        <v>45258</v>
      </c>
      <c r="G1093" s="1" t="s">
        <v>25</v>
      </c>
      <c r="H1093" s="1" t="n">
        <v>1</v>
      </c>
      <c r="I1093" s="1" t="n">
        <v>12.5</v>
      </c>
      <c r="J1093" s="1" t="n">
        <v>0</v>
      </c>
      <c r="K1093" s="1" t="n">
        <v>1</v>
      </c>
      <c r="L1093" s="1" t="n">
        <v>3</v>
      </c>
      <c r="M1093" s="1" t="n">
        <v>1</v>
      </c>
      <c r="N1093" s="1" t="n">
        <v>181</v>
      </c>
      <c r="O1093" s="1" t="n">
        <v>1</v>
      </c>
      <c r="P1093" s="4" t="n">
        <v>45866</v>
      </c>
      <c r="Q1093" s="4" t="n">
        <v>45866</v>
      </c>
      <c r="R1093" s="0" t="n">
        <f aca="false">IF(ISBLANK(F1093),"Missing",IFERROR(YEAR(F1093),"Missing"))</f>
        <v>2023</v>
      </c>
      <c r="S1093" s="0" t="str">
        <f aca="false">IF(ISBLANK(E1093),"Missing",IF(E1093&lt;6,"0-6mo",IF(E1093&lt;12,"6-12mo",IF(E1093&lt;24,"12-24mo","24mo+"))))</f>
        <v>12-24mo</v>
      </c>
      <c r="T1093" s="0" t="n">
        <f aca="false">IF(ISBLANK(C1093),0,IF(C1093="Month-to-month",2,IF(C1093="One year",1,0)))+IF(ISBLANK(I1093),0,IF(I1093&lt;40,2,IF(I1093&lt;55,1,0)))+IF(ISBLANK(M1093),0,IF(M1093=1,3,0))+IF(ISBLANK(L1093),0,IF(L1093&gt;=2,1,0))+IF(ISBLANK(E1093),0,IF(E1093&lt;12,1,0))</f>
        <v>6</v>
      </c>
      <c r="U1093" s="0" t="str">
        <f aca="false">IF((ISBLANK(B1093)*1+ISBLANK(C1093)*1+ISBLANK(D1093)*1+ISBLANK(E1093)*1+ISBLANK(F1093)*1+ISBLANK(I1093)*1+ISBLANK(J1093)*1+ISBLANK(K1093)*1+ISBLANK(L1093)*1+ISBLANK(M1093)*1+ISBLANK(N1093)*1+ISBLANK(O1093)*1)&gt;0,"Missing Data","OK")</f>
        <v>OK</v>
      </c>
      <c r="V1093" s="0" t="str">
        <f aca="false">IF(T1093&gt;=6,"High Risk",IF(T1093&gt;=3,"Medium Risk","Low Risk"))</f>
        <v>High Risk</v>
      </c>
    </row>
    <row r="1094" customFormat="false" ht="12.8" hidden="false" customHeight="false" outlineLevel="0" collapsed="false">
      <c r="A1094" s="1" t="s">
        <v>1124</v>
      </c>
      <c r="B1094" s="1" t="s">
        <v>23</v>
      </c>
      <c r="C1094" s="1" t="s">
        <v>24</v>
      </c>
      <c r="D1094" s="1" t="n">
        <v>19.77</v>
      </c>
      <c r="E1094" s="1" t="n">
        <v>5</v>
      </c>
      <c r="F1094" s="4" t="n">
        <v>45258</v>
      </c>
      <c r="G1094" s="1" t="s">
        <v>25</v>
      </c>
      <c r="H1094" s="1" t="n">
        <v>1</v>
      </c>
      <c r="I1094" s="1" t="n">
        <v>54.4</v>
      </c>
      <c r="J1094" s="1" t="n">
        <v>10</v>
      </c>
      <c r="K1094" s="1" t="n">
        <v>0</v>
      </c>
      <c r="L1094" s="1" t="n">
        <v>0</v>
      </c>
      <c r="M1094" s="1" t="n">
        <v>0</v>
      </c>
      <c r="N1094" s="1" t="n">
        <v>98.85</v>
      </c>
      <c r="O1094" s="1" t="n">
        <v>0</v>
      </c>
      <c r="Q1094" s="4" t="n">
        <v>45410</v>
      </c>
      <c r="R1094" s="0" t="n">
        <f aca="false">IF(ISBLANK(F1094),"Missing",IFERROR(YEAR(F1094),"Missing"))</f>
        <v>2023</v>
      </c>
      <c r="S1094" s="0" t="str">
        <f aca="false">IF(ISBLANK(E1094),"Missing",IF(E1094&lt;6,"0-6mo",IF(E1094&lt;12,"6-12mo",IF(E1094&lt;24,"12-24mo","24mo+"))))</f>
        <v>0-6mo</v>
      </c>
      <c r="T1094" s="0" t="n">
        <f aca="false">IF(ISBLANK(C1094),0,IF(C1094="Month-to-month",2,IF(C1094="One year",1,0)))+IF(ISBLANK(I1094),0,IF(I1094&lt;40,2,IF(I1094&lt;55,1,0)))+IF(ISBLANK(M1094),0,IF(M1094=1,3,0))+IF(ISBLANK(L1094),0,IF(L1094&gt;=2,1,0))+IF(ISBLANK(E1094),0,IF(E1094&lt;12,1,0))</f>
        <v>4</v>
      </c>
      <c r="U1094" s="0" t="str">
        <f aca="false">IF((ISBLANK(B1094)*1+ISBLANK(C1094)*1+ISBLANK(D1094)*1+ISBLANK(E1094)*1+ISBLANK(F1094)*1+ISBLANK(I1094)*1+ISBLANK(J1094)*1+ISBLANK(K1094)*1+ISBLANK(L1094)*1+ISBLANK(M1094)*1+ISBLANK(N1094)*1+ISBLANK(O1094)*1)&gt;0,"Missing Data","OK")</f>
        <v>OK</v>
      </c>
      <c r="V1094" s="0" t="str">
        <f aca="false">IF(T1094&gt;=6,"High Risk",IF(T1094&gt;=3,"Medium Risk","Low Risk"))</f>
        <v>Medium Risk</v>
      </c>
    </row>
    <row r="1095" customFormat="false" ht="12.8" hidden="false" customHeight="false" outlineLevel="0" collapsed="false">
      <c r="A1095" s="1" t="s">
        <v>1125</v>
      </c>
      <c r="B1095" s="1" t="s">
        <v>36</v>
      </c>
      <c r="C1095" s="1" t="s">
        <v>51</v>
      </c>
      <c r="D1095" s="1" t="n">
        <v>9.39</v>
      </c>
      <c r="E1095" s="1" t="n">
        <v>72</v>
      </c>
      <c r="F1095" s="4" t="n">
        <v>45259</v>
      </c>
      <c r="G1095" s="1" t="s">
        <v>25</v>
      </c>
      <c r="H1095" s="1" t="n">
        <v>0</v>
      </c>
      <c r="I1095" s="1" t="n">
        <v>56.6</v>
      </c>
      <c r="J1095" s="1" t="n">
        <v>18</v>
      </c>
      <c r="K1095" s="1" t="n">
        <v>5</v>
      </c>
      <c r="L1095" s="1" t="n">
        <v>0</v>
      </c>
      <c r="M1095" s="1" t="n">
        <v>0</v>
      </c>
      <c r="N1095" s="1" t="n">
        <v>676.08</v>
      </c>
      <c r="O1095" s="1" t="n">
        <v>0</v>
      </c>
      <c r="Q1095" s="4" t="n">
        <v>46293</v>
      </c>
      <c r="R1095" s="0" t="n">
        <f aca="false">IF(ISBLANK(F1095),"Missing",IFERROR(YEAR(F1095),"Missing"))</f>
        <v>2023</v>
      </c>
      <c r="S1095" s="0" t="str">
        <f aca="false">IF(ISBLANK(E1095),"Missing",IF(E1095&lt;6,"0-6mo",IF(E1095&lt;12,"6-12mo",IF(E1095&lt;24,"12-24mo","24mo+"))))</f>
        <v>24mo+</v>
      </c>
      <c r="T1095" s="0" t="n">
        <f aca="false">IF(ISBLANK(C1095),0,IF(C1095="Month-to-month",2,IF(C1095="One year",1,0)))+IF(ISBLANK(I1095),0,IF(I1095&lt;40,2,IF(I1095&lt;55,1,0)))+IF(ISBLANK(M1095),0,IF(M1095=1,3,0))+IF(ISBLANK(L1095),0,IF(L1095&gt;=2,1,0))+IF(ISBLANK(E1095),0,IF(E1095&lt;12,1,0))</f>
        <v>0</v>
      </c>
      <c r="U1095" s="0" t="str">
        <f aca="false">IF((ISBLANK(B1095)*1+ISBLANK(C1095)*1+ISBLANK(D1095)*1+ISBLANK(E1095)*1+ISBLANK(F1095)*1+ISBLANK(I1095)*1+ISBLANK(J1095)*1+ISBLANK(K1095)*1+ISBLANK(L1095)*1+ISBLANK(M1095)*1+ISBLANK(N1095)*1+ISBLANK(O1095)*1)&gt;0,"Missing Data","OK")</f>
        <v>OK</v>
      </c>
      <c r="V1095" s="0" t="str">
        <f aca="false">IF(T1095&gt;=6,"High Risk",IF(T1095&gt;=3,"Medium Risk","Low Risk"))</f>
        <v>Low Risk</v>
      </c>
    </row>
    <row r="1096" customFormat="false" ht="12.8" hidden="false" customHeight="false" outlineLevel="0" collapsed="false">
      <c r="A1096" s="1" t="s">
        <v>1126</v>
      </c>
      <c r="B1096" s="1" t="s">
        <v>23</v>
      </c>
      <c r="C1096" s="1" t="s">
        <v>51</v>
      </c>
      <c r="D1096" s="1" t="n">
        <v>20.77</v>
      </c>
      <c r="E1096" s="1" t="n">
        <v>1</v>
      </c>
      <c r="F1096" s="4" t="n">
        <v>45259</v>
      </c>
      <c r="G1096" s="1" t="s">
        <v>30</v>
      </c>
      <c r="H1096" s="1" t="n">
        <v>1</v>
      </c>
      <c r="I1096" s="1" t="n">
        <v>53.9</v>
      </c>
      <c r="J1096" s="1" t="n">
        <v>11</v>
      </c>
      <c r="K1096" s="1" t="n">
        <v>5</v>
      </c>
      <c r="L1096" s="1" t="n">
        <v>1</v>
      </c>
      <c r="M1096" s="1" t="n">
        <v>0</v>
      </c>
      <c r="N1096" s="1" t="n">
        <v>20.77</v>
      </c>
      <c r="O1096" s="1" t="n">
        <v>0</v>
      </c>
      <c r="Q1096" s="4" t="n">
        <v>45289</v>
      </c>
      <c r="R1096" s="0" t="n">
        <f aca="false">IF(ISBLANK(F1096),"Missing",IFERROR(YEAR(F1096),"Missing"))</f>
        <v>2023</v>
      </c>
      <c r="S1096" s="0" t="str">
        <f aca="false">IF(ISBLANK(E1096),"Missing",IF(E1096&lt;6,"0-6mo",IF(E1096&lt;12,"6-12mo",IF(E1096&lt;24,"12-24mo","24mo+"))))</f>
        <v>0-6mo</v>
      </c>
      <c r="T1096" s="0" t="n">
        <f aca="false">IF(ISBLANK(C1096),0,IF(C1096="Month-to-month",2,IF(C1096="One year",1,0)))+IF(ISBLANK(I1096),0,IF(I1096&lt;40,2,IF(I1096&lt;55,1,0)))+IF(ISBLANK(M1096),0,IF(M1096=1,3,0))+IF(ISBLANK(L1096),0,IF(L1096&gt;=2,1,0))+IF(ISBLANK(E1096),0,IF(E1096&lt;12,1,0))</f>
        <v>2</v>
      </c>
      <c r="U1096" s="0" t="str">
        <f aca="false">IF((ISBLANK(B1096)*1+ISBLANK(C1096)*1+ISBLANK(D1096)*1+ISBLANK(E1096)*1+ISBLANK(F1096)*1+ISBLANK(I1096)*1+ISBLANK(J1096)*1+ISBLANK(K1096)*1+ISBLANK(L1096)*1+ISBLANK(M1096)*1+ISBLANK(N1096)*1+ISBLANK(O1096)*1)&gt;0,"Missing Data","OK")</f>
        <v>OK</v>
      </c>
      <c r="V1096" s="0" t="str">
        <f aca="false">IF(T1096&gt;=6,"High Risk",IF(T1096&gt;=3,"Medium Risk","Low Risk"))</f>
        <v>Low Risk</v>
      </c>
    </row>
    <row r="1097" customFormat="false" ht="12.8" hidden="false" customHeight="false" outlineLevel="0" collapsed="false">
      <c r="A1097" s="1" t="s">
        <v>1127</v>
      </c>
      <c r="B1097" s="1" t="s">
        <v>29</v>
      </c>
      <c r="C1097" s="1" t="s">
        <v>24</v>
      </c>
      <c r="D1097" s="1" t="n">
        <v>41.27</v>
      </c>
      <c r="E1097" s="1" t="n">
        <v>7</v>
      </c>
      <c r="F1097" s="4" t="n">
        <v>45263</v>
      </c>
      <c r="G1097" s="1" t="s">
        <v>27</v>
      </c>
      <c r="H1097" s="1" t="n">
        <v>1</v>
      </c>
      <c r="I1097" s="1" t="n">
        <v>50.7</v>
      </c>
      <c r="J1097" s="1" t="n">
        <v>18</v>
      </c>
      <c r="K1097" s="1" t="n">
        <v>4</v>
      </c>
      <c r="L1097" s="1" t="n">
        <v>3</v>
      </c>
      <c r="M1097" s="1" t="n">
        <v>0</v>
      </c>
      <c r="N1097" s="1" t="n">
        <v>288.89</v>
      </c>
      <c r="O1097" s="1" t="n">
        <v>0</v>
      </c>
      <c r="Q1097" s="4" t="n">
        <v>45476</v>
      </c>
      <c r="R1097" s="0" t="n">
        <f aca="false">IF(ISBLANK(F1097),"Missing",IFERROR(YEAR(F1097),"Missing"))</f>
        <v>2023</v>
      </c>
      <c r="S1097" s="0" t="str">
        <f aca="false">IF(ISBLANK(E1097),"Missing",IF(E1097&lt;6,"0-6mo",IF(E1097&lt;12,"6-12mo",IF(E1097&lt;24,"12-24mo","24mo+"))))</f>
        <v>6-12mo</v>
      </c>
      <c r="T1097" s="0" t="n">
        <f aca="false">IF(ISBLANK(C1097),0,IF(C1097="Month-to-month",2,IF(C1097="One year",1,0)))+IF(ISBLANK(I1097),0,IF(I1097&lt;40,2,IF(I1097&lt;55,1,0)))+IF(ISBLANK(M1097),0,IF(M1097=1,3,0))+IF(ISBLANK(L1097),0,IF(L1097&gt;=2,1,0))+IF(ISBLANK(E1097),0,IF(E1097&lt;12,1,0))</f>
        <v>5</v>
      </c>
      <c r="U1097" s="0" t="str">
        <f aca="false">IF((ISBLANK(B1097)*1+ISBLANK(C1097)*1+ISBLANK(D1097)*1+ISBLANK(E1097)*1+ISBLANK(F1097)*1+ISBLANK(I1097)*1+ISBLANK(J1097)*1+ISBLANK(K1097)*1+ISBLANK(L1097)*1+ISBLANK(M1097)*1+ISBLANK(N1097)*1+ISBLANK(O1097)*1)&gt;0,"Missing Data","OK")</f>
        <v>OK</v>
      </c>
      <c r="V1097" s="0" t="str">
        <f aca="false">IF(T1097&gt;=6,"High Risk",IF(T1097&gt;=3,"Medium Risk","Low Risk"))</f>
        <v>Medium Risk</v>
      </c>
    </row>
    <row r="1098" customFormat="false" ht="12.8" hidden="false" customHeight="false" outlineLevel="0" collapsed="false">
      <c r="A1098" s="1" t="s">
        <v>1128</v>
      </c>
      <c r="B1098" s="1" t="s">
        <v>29</v>
      </c>
      <c r="C1098" s="1" t="s">
        <v>24</v>
      </c>
      <c r="D1098" s="1" t="n">
        <v>39.68</v>
      </c>
      <c r="E1098" s="1" t="n">
        <v>52</v>
      </c>
      <c r="F1098" s="4" t="n">
        <v>45264</v>
      </c>
      <c r="G1098" s="1" t="s">
        <v>30</v>
      </c>
      <c r="H1098" s="1" t="n">
        <v>0</v>
      </c>
      <c r="I1098" s="1" t="n">
        <v>24.6</v>
      </c>
      <c r="J1098" s="1" t="n">
        <v>7</v>
      </c>
      <c r="K1098" s="1" t="n">
        <v>3</v>
      </c>
      <c r="L1098" s="1" t="n">
        <v>2</v>
      </c>
      <c r="M1098" s="1" t="n">
        <v>1</v>
      </c>
      <c r="N1098" s="1" t="n">
        <v>2063.36</v>
      </c>
      <c r="O1098" s="1" t="n">
        <v>0</v>
      </c>
      <c r="Q1098" s="4" t="n">
        <v>46293</v>
      </c>
      <c r="R1098" s="0" t="n">
        <f aca="false">IF(ISBLANK(F1098),"Missing",IFERROR(YEAR(F1098),"Missing"))</f>
        <v>2023</v>
      </c>
      <c r="S1098" s="0" t="str">
        <f aca="false">IF(ISBLANK(E1098),"Missing",IF(E1098&lt;6,"0-6mo",IF(E1098&lt;12,"6-12mo",IF(E1098&lt;24,"12-24mo","24mo+"))))</f>
        <v>24mo+</v>
      </c>
      <c r="T1098" s="0" t="n">
        <f aca="false">IF(ISBLANK(C1098),0,IF(C1098="Month-to-month",2,IF(C1098="One year",1,0)))+IF(ISBLANK(I1098),0,IF(I1098&lt;40,2,IF(I1098&lt;55,1,0)))+IF(ISBLANK(M1098),0,IF(M1098=1,3,0))+IF(ISBLANK(L1098),0,IF(L1098&gt;=2,1,0))+IF(ISBLANK(E1098),0,IF(E1098&lt;12,1,0))</f>
        <v>8</v>
      </c>
      <c r="U1098" s="0" t="str">
        <f aca="false">IF((ISBLANK(B1098)*1+ISBLANK(C1098)*1+ISBLANK(D1098)*1+ISBLANK(E1098)*1+ISBLANK(F1098)*1+ISBLANK(I1098)*1+ISBLANK(J1098)*1+ISBLANK(K1098)*1+ISBLANK(L1098)*1+ISBLANK(M1098)*1+ISBLANK(N1098)*1+ISBLANK(O1098)*1)&gt;0,"Missing Data","OK")</f>
        <v>OK</v>
      </c>
      <c r="V1098" s="0" t="str">
        <f aca="false">IF(T1098&gt;=6,"High Risk",IF(T1098&gt;=3,"Medium Risk","Low Risk"))</f>
        <v>High Risk</v>
      </c>
    </row>
    <row r="1099" customFormat="false" ht="12.8" hidden="false" customHeight="false" outlineLevel="0" collapsed="false">
      <c r="A1099" s="1" t="s">
        <v>1129</v>
      </c>
      <c r="B1099" s="1" t="s">
        <v>29</v>
      </c>
      <c r="C1099" s="1" t="s">
        <v>24</v>
      </c>
      <c r="D1099" s="1" t="n">
        <v>40.11</v>
      </c>
      <c r="E1099" s="1" t="n">
        <v>57</v>
      </c>
      <c r="F1099" s="4" t="n">
        <v>45264</v>
      </c>
      <c r="G1099" s="1" t="s">
        <v>25</v>
      </c>
      <c r="H1099" s="1" t="n">
        <v>0</v>
      </c>
      <c r="I1099" s="1" t="n">
        <v>66.1</v>
      </c>
      <c r="J1099" s="1" t="n">
        <v>22</v>
      </c>
      <c r="K1099" s="1" t="n">
        <v>7</v>
      </c>
      <c r="L1099" s="1" t="n">
        <v>1</v>
      </c>
      <c r="M1099" s="1" t="n">
        <v>0</v>
      </c>
      <c r="N1099" s="1" t="n">
        <v>2286.27</v>
      </c>
      <c r="O1099" s="1" t="n">
        <v>0</v>
      </c>
      <c r="Q1099" s="4" t="n">
        <v>46293</v>
      </c>
      <c r="R1099" s="0" t="n">
        <f aca="false">IF(ISBLANK(F1099),"Missing",IFERROR(YEAR(F1099),"Missing"))</f>
        <v>2023</v>
      </c>
      <c r="S1099" s="0" t="str">
        <f aca="false">IF(ISBLANK(E1099),"Missing",IF(E1099&lt;6,"0-6mo",IF(E1099&lt;12,"6-12mo",IF(E1099&lt;24,"12-24mo","24mo+"))))</f>
        <v>24mo+</v>
      </c>
      <c r="T1099" s="0" t="n">
        <f aca="false">IF(ISBLANK(C1099),0,IF(C1099="Month-to-month",2,IF(C1099="One year",1,0)))+IF(ISBLANK(I1099),0,IF(I1099&lt;40,2,IF(I1099&lt;55,1,0)))+IF(ISBLANK(M1099),0,IF(M1099=1,3,0))+IF(ISBLANK(L1099),0,IF(L1099&gt;=2,1,0))+IF(ISBLANK(E1099),0,IF(E1099&lt;12,1,0))</f>
        <v>2</v>
      </c>
      <c r="U1099" s="0" t="str">
        <f aca="false">IF((ISBLANK(B1099)*1+ISBLANK(C1099)*1+ISBLANK(D1099)*1+ISBLANK(E1099)*1+ISBLANK(F1099)*1+ISBLANK(I1099)*1+ISBLANK(J1099)*1+ISBLANK(K1099)*1+ISBLANK(L1099)*1+ISBLANK(M1099)*1+ISBLANK(N1099)*1+ISBLANK(O1099)*1)&gt;0,"Missing Data","OK")</f>
        <v>OK</v>
      </c>
      <c r="V1099" s="0" t="str">
        <f aca="false">IF(T1099&gt;=6,"High Risk",IF(T1099&gt;=3,"Medium Risk","Low Risk"))</f>
        <v>Low Risk</v>
      </c>
    </row>
    <row r="1100" customFormat="false" ht="12.8" hidden="false" customHeight="false" outlineLevel="0" collapsed="false">
      <c r="A1100" s="1" t="s">
        <v>1130</v>
      </c>
      <c r="B1100" s="1" t="s">
        <v>23</v>
      </c>
      <c r="C1100" s="1" t="s">
        <v>34</v>
      </c>
      <c r="D1100" s="1" t="n">
        <v>19.46</v>
      </c>
      <c r="E1100" s="1" t="n">
        <v>52</v>
      </c>
      <c r="F1100" s="4" t="n">
        <v>45265</v>
      </c>
      <c r="G1100" s="1" t="s">
        <v>25</v>
      </c>
      <c r="H1100" s="1" t="n">
        <v>1</v>
      </c>
      <c r="I1100" s="1" t="n">
        <v>50.4</v>
      </c>
      <c r="J1100" s="1" t="n">
        <v>16</v>
      </c>
      <c r="K1100" s="1" t="n">
        <v>5</v>
      </c>
      <c r="L1100" s="1" t="n">
        <v>1</v>
      </c>
      <c r="M1100" s="1" t="n">
        <v>1</v>
      </c>
      <c r="N1100" s="1" t="n">
        <v>1011.92</v>
      </c>
      <c r="O1100" s="1" t="n">
        <v>0</v>
      </c>
      <c r="Q1100" s="4" t="n">
        <v>46293</v>
      </c>
      <c r="R1100" s="0" t="n">
        <f aca="false">IF(ISBLANK(F1100),"Missing",IFERROR(YEAR(F1100),"Missing"))</f>
        <v>2023</v>
      </c>
      <c r="S1100" s="0" t="str">
        <f aca="false">IF(ISBLANK(E1100),"Missing",IF(E1100&lt;6,"0-6mo",IF(E1100&lt;12,"6-12mo",IF(E1100&lt;24,"12-24mo","24mo+"))))</f>
        <v>24mo+</v>
      </c>
      <c r="T1100" s="0" t="n">
        <f aca="false">IF(ISBLANK(C1100),0,IF(C1100="Month-to-month",2,IF(C1100="One year",1,0)))+IF(ISBLANK(I1100),0,IF(I1100&lt;40,2,IF(I1100&lt;55,1,0)))+IF(ISBLANK(M1100),0,IF(M1100=1,3,0))+IF(ISBLANK(L1100),0,IF(L1100&gt;=2,1,0))+IF(ISBLANK(E1100),0,IF(E1100&lt;12,1,0))</f>
        <v>5</v>
      </c>
      <c r="U1100" s="0" t="str">
        <f aca="false">IF((ISBLANK(B1100)*1+ISBLANK(C1100)*1+ISBLANK(D1100)*1+ISBLANK(E1100)*1+ISBLANK(F1100)*1+ISBLANK(I1100)*1+ISBLANK(J1100)*1+ISBLANK(K1100)*1+ISBLANK(L1100)*1+ISBLANK(M1100)*1+ISBLANK(N1100)*1+ISBLANK(O1100)*1)&gt;0,"Missing Data","OK")</f>
        <v>OK</v>
      </c>
      <c r="V1100" s="0" t="str">
        <f aca="false">IF(T1100&gt;=6,"High Risk",IF(T1100&gt;=3,"Medium Risk","Low Risk"))</f>
        <v>Medium Risk</v>
      </c>
    </row>
    <row r="1101" customFormat="false" ht="12.8" hidden="false" customHeight="false" outlineLevel="0" collapsed="false">
      <c r="A1101" s="1" t="s">
        <v>1131</v>
      </c>
      <c r="B1101" s="1" t="s">
        <v>23</v>
      </c>
      <c r="C1101" s="1" t="s">
        <v>34</v>
      </c>
      <c r="D1101" s="1" t="n">
        <v>20.84</v>
      </c>
      <c r="E1101" s="1" t="n">
        <v>8</v>
      </c>
      <c r="F1101" s="4" t="n">
        <v>45265</v>
      </c>
      <c r="G1101" s="1" t="s">
        <v>25</v>
      </c>
      <c r="H1101" s="1" t="n">
        <v>1</v>
      </c>
      <c r="I1101" s="1" t="n">
        <v>62.3</v>
      </c>
      <c r="J1101" s="1" t="n">
        <v>15</v>
      </c>
      <c r="K1101" s="1" t="n">
        <v>7</v>
      </c>
      <c r="L1101" s="1" t="n">
        <v>0</v>
      </c>
      <c r="M1101" s="1" t="n">
        <v>0</v>
      </c>
      <c r="N1101" s="1" t="n">
        <v>166.72</v>
      </c>
      <c r="O1101" s="1" t="n">
        <v>0</v>
      </c>
      <c r="Q1101" s="4" t="n">
        <v>45508</v>
      </c>
      <c r="R1101" s="0" t="n">
        <f aca="false">IF(ISBLANK(F1101),"Missing",IFERROR(YEAR(F1101),"Missing"))</f>
        <v>2023</v>
      </c>
      <c r="S1101" s="0" t="str">
        <f aca="false">IF(ISBLANK(E1101),"Missing",IF(E1101&lt;6,"0-6mo",IF(E1101&lt;12,"6-12mo",IF(E1101&lt;24,"12-24mo","24mo+"))))</f>
        <v>6-12mo</v>
      </c>
      <c r="T1101" s="0" t="n">
        <f aca="false">IF(ISBLANK(C1101),0,IF(C1101="Month-to-month",2,IF(C1101="One year",1,0)))+IF(ISBLANK(I1101),0,IF(I1101&lt;40,2,IF(I1101&lt;55,1,0)))+IF(ISBLANK(M1101),0,IF(M1101=1,3,0))+IF(ISBLANK(L1101),0,IF(L1101&gt;=2,1,0))+IF(ISBLANK(E1101),0,IF(E1101&lt;12,1,0))</f>
        <v>2</v>
      </c>
      <c r="U1101" s="0" t="str">
        <f aca="false">IF((ISBLANK(B1101)*1+ISBLANK(C1101)*1+ISBLANK(D1101)*1+ISBLANK(E1101)*1+ISBLANK(F1101)*1+ISBLANK(I1101)*1+ISBLANK(J1101)*1+ISBLANK(K1101)*1+ISBLANK(L1101)*1+ISBLANK(M1101)*1+ISBLANK(N1101)*1+ISBLANK(O1101)*1)&gt;0,"Missing Data","OK")</f>
        <v>OK</v>
      </c>
      <c r="V1101" s="0" t="str">
        <f aca="false">IF(T1101&gt;=6,"High Risk",IF(T1101&gt;=3,"Medium Risk","Low Risk"))</f>
        <v>Low Risk</v>
      </c>
    </row>
    <row r="1102" customFormat="false" ht="12.8" hidden="false" customHeight="false" outlineLevel="0" collapsed="false">
      <c r="A1102" s="1" t="s">
        <v>1132</v>
      </c>
      <c r="B1102" s="1" t="s">
        <v>36</v>
      </c>
      <c r="C1102" s="1" t="s">
        <v>24</v>
      </c>
      <c r="D1102" s="1" t="n">
        <v>9.97</v>
      </c>
      <c r="E1102" s="1" t="n">
        <v>0</v>
      </c>
      <c r="F1102" s="4" t="n">
        <v>45265</v>
      </c>
      <c r="G1102" s="1" t="s">
        <v>39</v>
      </c>
      <c r="H1102" s="1" t="n">
        <v>1</v>
      </c>
      <c r="I1102" s="1" t="n">
        <v>10.6</v>
      </c>
      <c r="J1102" s="1" t="n">
        <v>1</v>
      </c>
      <c r="K1102" s="1" t="n">
        <v>0</v>
      </c>
      <c r="L1102" s="1" t="n">
        <v>2</v>
      </c>
      <c r="M1102" s="1" t="n">
        <v>0</v>
      </c>
      <c r="N1102" s="1" t="n">
        <v>0</v>
      </c>
      <c r="O1102" s="1" t="n">
        <v>1</v>
      </c>
      <c r="P1102" s="4" t="n">
        <v>45265</v>
      </c>
      <c r="Q1102" s="4" t="n">
        <v>45265</v>
      </c>
      <c r="R1102" s="0" t="n">
        <f aca="false">IF(ISBLANK(F1102),"Missing",IFERROR(YEAR(F1102),"Missing"))</f>
        <v>2023</v>
      </c>
      <c r="S1102" s="0" t="str">
        <f aca="false">IF(ISBLANK(E1102),"Missing",IF(E1102&lt;6,"0-6mo",IF(E1102&lt;12,"6-12mo",IF(E1102&lt;24,"12-24mo","24mo+"))))</f>
        <v>0-6mo</v>
      </c>
      <c r="T1102" s="0" t="n">
        <f aca="false">IF(ISBLANK(C1102),0,IF(C1102="Month-to-month",2,IF(C1102="One year",1,0)))+IF(ISBLANK(I1102),0,IF(I1102&lt;40,2,IF(I1102&lt;55,1,0)))+IF(ISBLANK(M1102),0,IF(M1102=1,3,0))+IF(ISBLANK(L1102),0,IF(L1102&gt;=2,1,0))+IF(ISBLANK(E1102),0,IF(E1102&lt;12,1,0))</f>
        <v>6</v>
      </c>
      <c r="U1102" s="0" t="str">
        <f aca="false">IF((ISBLANK(B1102)*1+ISBLANK(C1102)*1+ISBLANK(D1102)*1+ISBLANK(E1102)*1+ISBLANK(F1102)*1+ISBLANK(I1102)*1+ISBLANK(J1102)*1+ISBLANK(K1102)*1+ISBLANK(L1102)*1+ISBLANK(M1102)*1+ISBLANK(N1102)*1+ISBLANK(O1102)*1)&gt;0,"Missing Data","OK")</f>
        <v>OK</v>
      </c>
      <c r="V1102" s="0" t="str">
        <f aca="false">IF(T1102&gt;=6,"High Risk",IF(T1102&gt;=3,"Medium Risk","Low Risk"))</f>
        <v>High Risk</v>
      </c>
    </row>
    <row r="1103" customFormat="false" ht="12.8" hidden="false" customHeight="false" outlineLevel="0" collapsed="false">
      <c r="A1103" s="1" t="s">
        <v>1133</v>
      </c>
      <c r="B1103" s="1" t="s">
        <v>36</v>
      </c>
      <c r="C1103" s="1" t="s">
        <v>34</v>
      </c>
      <c r="D1103" s="1" t="n">
        <v>12.98</v>
      </c>
      <c r="E1103" s="1" t="n">
        <v>72</v>
      </c>
      <c r="F1103" s="4" t="n">
        <v>45268</v>
      </c>
      <c r="G1103" s="1" t="s">
        <v>25</v>
      </c>
      <c r="H1103" s="1" t="n">
        <v>1</v>
      </c>
      <c r="I1103" s="1" t="n">
        <v>32.4</v>
      </c>
      <c r="J1103" s="1" t="n">
        <v>10</v>
      </c>
      <c r="K1103" s="1" t="n">
        <v>4</v>
      </c>
      <c r="L1103" s="1" t="n">
        <v>3</v>
      </c>
      <c r="M1103" s="1" t="n">
        <v>0</v>
      </c>
      <c r="N1103" s="1" t="n">
        <v>934.56</v>
      </c>
      <c r="O1103" s="1" t="n">
        <v>0</v>
      </c>
      <c r="Q1103" s="4" t="n">
        <v>46293</v>
      </c>
      <c r="R1103" s="0" t="n">
        <f aca="false">IF(ISBLANK(F1103),"Missing",IFERROR(YEAR(F1103),"Missing"))</f>
        <v>2023</v>
      </c>
      <c r="S1103" s="0" t="str">
        <f aca="false">IF(ISBLANK(E1103),"Missing",IF(E1103&lt;6,"0-6mo",IF(E1103&lt;12,"6-12mo",IF(E1103&lt;24,"12-24mo","24mo+"))))</f>
        <v>24mo+</v>
      </c>
      <c r="T1103" s="0" t="n">
        <f aca="false">IF(ISBLANK(C1103),0,IF(C1103="Month-to-month",2,IF(C1103="One year",1,0)))+IF(ISBLANK(I1103),0,IF(I1103&lt;40,2,IF(I1103&lt;55,1,0)))+IF(ISBLANK(M1103),0,IF(M1103=1,3,0))+IF(ISBLANK(L1103),0,IF(L1103&gt;=2,1,0))+IF(ISBLANK(E1103),0,IF(E1103&lt;12,1,0))</f>
        <v>4</v>
      </c>
      <c r="U1103" s="0" t="str">
        <f aca="false">IF((ISBLANK(B1103)*1+ISBLANK(C1103)*1+ISBLANK(D1103)*1+ISBLANK(E1103)*1+ISBLANK(F1103)*1+ISBLANK(I1103)*1+ISBLANK(J1103)*1+ISBLANK(K1103)*1+ISBLANK(L1103)*1+ISBLANK(M1103)*1+ISBLANK(N1103)*1+ISBLANK(O1103)*1)&gt;0,"Missing Data","OK")</f>
        <v>OK</v>
      </c>
      <c r="V1103" s="0" t="str">
        <f aca="false">IF(T1103&gt;=6,"High Risk",IF(T1103&gt;=3,"Medium Risk","Low Risk"))</f>
        <v>Medium Risk</v>
      </c>
    </row>
    <row r="1104" customFormat="false" ht="12.8" hidden="false" customHeight="false" outlineLevel="0" collapsed="false">
      <c r="A1104" s="1" t="s">
        <v>1134</v>
      </c>
      <c r="B1104" s="1" t="s">
        <v>36</v>
      </c>
      <c r="C1104" s="1" t="s">
        <v>34</v>
      </c>
      <c r="D1104" s="1" t="n">
        <v>8.66</v>
      </c>
      <c r="E1104" s="1" t="n">
        <v>21</v>
      </c>
      <c r="F1104" s="4" t="n">
        <v>45270</v>
      </c>
      <c r="G1104" s="1" t="s">
        <v>39</v>
      </c>
      <c r="H1104" s="1" t="n">
        <v>1</v>
      </c>
      <c r="I1104" s="1" t="n">
        <v>75.9</v>
      </c>
      <c r="J1104" s="1" t="n">
        <v>22</v>
      </c>
      <c r="K1104" s="1" t="n">
        <v>8</v>
      </c>
      <c r="L1104" s="1" t="n">
        <v>1</v>
      </c>
      <c r="M1104" s="1" t="n">
        <v>1</v>
      </c>
      <c r="N1104" s="1" t="n">
        <v>181.86</v>
      </c>
      <c r="O1104" s="1" t="n">
        <v>0</v>
      </c>
      <c r="Q1104" s="4" t="n">
        <v>45909</v>
      </c>
      <c r="R1104" s="0" t="n">
        <f aca="false">IF(ISBLANK(F1104),"Missing",IFERROR(YEAR(F1104),"Missing"))</f>
        <v>2023</v>
      </c>
      <c r="S1104" s="0" t="str">
        <f aca="false">IF(ISBLANK(E1104),"Missing",IF(E1104&lt;6,"0-6mo",IF(E1104&lt;12,"6-12mo",IF(E1104&lt;24,"12-24mo","24mo+"))))</f>
        <v>12-24mo</v>
      </c>
      <c r="T1104" s="0" t="n">
        <f aca="false">IF(ISBLANK(C1104),0,IF(C1104="Month-to-month",2,IF(C1104="One year",1,0)))+IF(ISBLANK(I1104),0,IF(I1104&lt;40,2,IF(I1104&lt;55,1,0)))+IF(ISBLANK(M1104),0,IF(M1104=1,3,0))+IF(ISBLANK(L1104),0,IF(L1104&gt;=2,1,0))+IF(ISBLANK(E1104),0,IF(E1104&lt;12,1,0))</f>
        <v>4</v>
      </c>
      <c r="U1104" s="0" t="str">
        <f aca="false">IF((ISBLANK(B1104)*1+ISBLANK(C1104)*1+ISBLANK(D1104)*1+ISBLANK(E1104)*1+ISBLANK(F1104)*1+ISBLANK(I1104)*1+ISBLANK(J1104)*1+ISBLANK(K1104)*1+ISBLANK(L1104)*1+ISBLANK(M1104)*1+ISBLANK(N1104)*1+ISBLANK(O1104)*1)&gt;0,"Missing Data","OK")</f>
        <v>OK</v>
      </c>
      <c r="V1104" s="0" t="str">
        <f aca="false">IF(T1104&gt;=6,"High Risk",IF(T1104&gt;=3,"Medium Risk","Low Risk"))</f>
        <v>Medium Risk</v>
      </c>
    </row>
    <row r="1105" customFormat="false" ht="12.8" hidden="false" customHeight="false" outlineLevel="0" collapsed="false">
      <c r="A1105" s="1" t="s">
        <v>1135</v>
      </c>
      <c r="B1105" s="1" t="s">
        <v>36</v>
      </c>
      <c r="C1105" s="1" t="s">
        <v>51</v>
      </c>
      <c r="D1105" s="1" t="n">
        <v>10.83</v>
      </c>
      <c r="E1105" s="1" t="n">
        <v>42</v>
      </c>
      <c r="F1105" s="4" t="n">
        <v>45273</v>
      </c>
      <c r="G1105" s="1" t="s">
        <v>39</v>
      </c>
      <c r="H1105" s="1" t="n">
        <v>1</v>
      </c>
      <c r="I1105" s="1" t="n">
        <v>61.1</v>
      </c>
      <c r="J1105" s="1" t="n">
        <v>19</v>
      </c>
      <c r="K1105" s="1" t="n">
        <v>7</v>
      </c>
      <c r="L1105" s="1" t="n">
        <v>2</v>
      </c>
      <c r="M1105" s="1" t="n">
        <v>1</v>
      </c>
      <c r="N1105" s="1" t="n">
        <v>454.86</v>
      </c>
      <c r="O1105" s="1" t="n">
        <v>0</v>
      </c>
      <c r="Q1105" s="4" t="n">
        <v>46293</v>
      </c>
      <c r="R1105" s="0" t="n">
        <f aca="false">IF(ISBLANK(F1105),"Missing",IFERROR(YEAR(F1105),"Missing"))</f>
        <v>2023</v>
      </c>
      <c r="S1105" s="0" t="str">
        <f aca="false">IF(ISBLANK(E1105),"Missing",IF(E1105&lt;6,"0-6mo",IF(E1105&lt;12,"6-12mo",IF(E1105&lt;24,"12-24mo","24mo+"))))</f>
        <v>24mo+</v>
      </c>
      <c r="T1105" s="0" t="n">
        <f aca="false">IF(ISBLANK(C1105),0,IF(C1105="Month-to-month",2,IF(C1105="One year",1,0)))+IF(ISBLANK(I1105),0,IF(I1105&lt;40,2,IF(I1105&lt;55,1,0)))+IF(ISBLANK(M1105),0,IF(M1105=1,3,0))+IF(ISBLANK(L1105),0,IF(L1105&gt;=2,1,0))+IF(ISBLANK(E1105),0,IF(E1105&lt;12,1,0))</f>
        <v>4</v>
      </c>
      <c r="U1105" s="0" t="str">
        <f aca="false">IF((ISBLANK(B1105)*1+ISBLANK(C1105)*1+ISBLANK(D1105)*1+ISBLANK(E1105)*1+ISBLANK(F1105)*1+ISBLANK(I1105)*1+ISBLANK(J1105)*1+ISBLANK(K1105)*1+ISBLANK(L1105)*1+ISBLANK(M1105)*1+ISBLANK(N1105)*1+ISBLANK(O1105)*1)&gt;0,"Missing Data","OK")</f>
        <v>OK</v>
      </c>
      <c r="V1105" s="0" t="str">
        <f aca="false">IF(T1105&gt;=6,"High Risk",IF(T1105&gt;=3,"Medium Risk","Low Risk"))</f>
        <v>Medium Risk</v>
      </c>
    </row>
    <row r="1106" customFormat="false" ht="12.8" hidden="false" customHeight="false" outlineLevel="0" collapsed="false">
      <c r="A1106" s="1" t="s">
        <v>1136</v>
      </c>
      <c r="B1106" s="1" t="s">
        <v>23</v>
      </c>
      <c r="C1106" s="1" t="s">
        <v>24</v>
      </c>
      <c r="D1106" s="1" t="n">
        <v>19.83</v>
      </c>
      <c r="E1106" s="1" t="n">
        <v>19</v>
      </c>
      <c r="F1106" s="4" t="n">
        <v>45276</v>
      </c>
      <c r="G1106" s="1" t="s">
        <v>39</v>
      </c>
      <c r="H1106" s="1" t="n">
        <v>0</v>
      </c>
      <c r="I1106" s="1" t="n">
        <v>69.8</v>
      </c>
      <c r="J1106" s="1" t="n">
        <v>23</v>
      </c>
      <c r="K1106" s="1" t="n">
        <v>6</v>
      </c>
      <c r="L1106" s="1" t="n">
        <v>1</v>
      </c>
      <c r="M1106" s="1" t="n">
        <v>0</v>
      </c>
      <c r="N1106" s="1" t="n">
        <v>376.77</v>
      </c>
      <c r="O1106" s="1" t="n">
        <v>0</v>
      </c>
      <c r="Q1106" s="4" t="n">
        <v>45854</v>
      </c>
      <c r="R1106" s="0" t="n">
        <f aca="false">IF(ISBLANK(F1106),"Missing",IFERROR(YEAR(F1106),"Missing"))</f>
        <v>2023</v>
      </c>
      <c r="S1106" s="0" t="str">
        <f aca="false">IF(ISBLANK(E1106),"Missing",IF(E1106&lt;6,"0-6mo",IF(E1106&lt;12,"6-12mo",IF(E1106&lt;24,"12-24mo","24mo+"))))</f>
        <v>12-24mo</v>
      </c>
      <c r="T1106" s="0" t="n">
        <f aca="false">IF(ISBLANK(C1106),0,IF(C1106="Month-to-month",2,IF(C1106="One year",1,0)))+IF(ISBLANK(I1106),0,IF(I1106&lt;40,2,IF(I1106&lt;55,1,0)))+IF(ISBLANK(M1106),0,IF(M1106=1,3,0))+IF(ISBLANK(L1106),0,IF(L1106&gt;=2,1,0))+IF(ISBLANK(E1106),0,IF(E1106&lt;12,1,0))</f>
        <v>2</v>
      </c>
      <c r="U1106" s="0" t="str">
        <f aca="false">IF((ISBLANK(B1106)*1+ISBLANK(C1106)*1+ISBLANK(D1106)*1+ISBLANK(E1106)*1+ISBLANK(F1106)*1+ISBLANK(I1106)*1+ISBLANK(J1106)*1+ISBLANK(K1106)*1+ISBLANK(L1106)*1+ISBLANK(M1106)*1+ISBLANK(N1106)*1+ISBLANK(O1106)*1)&gt;0,"Missing Data","OK")</f>
        <v>OK</v>
      </c>
      <c r="V1106" s="0" t="str">
        <f aca="false">IF(T1106&gt;=6,"High Risk",IF(T1106&gt;=3,"Medium Risk","Low Risk"))</f>
        <v>Low Risk</v>
      </c>
    </row>
    <row r="1107" customFormat="false" ht="12.8" hidden="false" customHeight="false" outlineLevel="0" collapsed="false">
      <c r="A1107" s="1" t="s">
        <v>1137</v>
      </c>
      <c r="B1107" s="1" t="s">
        <v>36</v>
      </c>
      <c r="C1107" s="1" t="s">
        <v>24</v>
      </c>
      <c r="D1107" s="1" t="n">
        <v>10.97</v>
      </c>
      <c r="E1107" s="1" t="n">
        <v>17</v>
      </c>
      <c r="F1107" s="4" t="n">
        <v>45278</v>
      </c>
      <c r="G1107" s="1" t="s">
        <v>30</v>
      </c>
      <c r="H1107" s="1" t="n">
        <v>0</v>
      </c>
      <c r="I1107" s="1" t="n">
        <v>11.9</v>
      </c>
      <c r="J1107" s="1" t="n">
        <v>2</v>
      </c>
      <c r="K1107" s="1" t="n">
        <v>1</v>
      </c>
      <c r="L1107" s="1" t="n">
        <v>3</v>
      </c>
      <c r="M1107" s="1" t="n">
        <v>0</v>
      </c>
      <c r="N1107" s="1" t="n">
        <v>186.49</v>
      </c>
      <c r="O1107" s="1" t="n">
        <v>1</v>
      </c>
      <c r="P1107" s="4" t="n">
        <v>45795</v>
      </c>
      <c r="Q1107" s="4" t="n">
        <v>45795</v>
      </c>
      <c r="R1107" s="0" t="n">
        <f aca="false">IF(ISBLANK(F1107),"Missing",IFERROR(YEAR(F1107),"Missing"))</f>
        <v>2023</v>
      </c>
      <c r="S1107" s="0" t="str">
        <f aca="false">IF(ISBLANK(E1107),"Missing",IF(E1107&lt;6,"0-6mo",IF(E1107&lt;12,"6-12mo",IF(E1107&lt;24,"12-24mo","24mo+"))))</f>
        <v>12-24mo</v>
      </c>
      <c r="T1107" s="0" t="n">
        <f aca="false">IF(ISBLANK(C1107),0,IF(C1107="Month-to-month",2,IF(C1107="One year",1,0)))+IF(ISBLANK(I1107),0,IF(I1107&lt;40,2,IF(I1107&lt;55,1,0)))+IF(ISBLANK(M1107),0,IF(M1107=1,3,0))+IF(ISBLANK(L1107),0,IF(L1107&gt;=2,1,0))+IF(ISBLANK(E1107),0,IF(E1107&lt;12,1,0))</f>
        <v>5</v>
      </c>
      <c r="U1107" s="0" t="str">
        <f aca="false">IF((ISBLANK(B1107)*1+ISBLANK(C1107)*1+ISBLANK(D1107)*1+ISBLANK(E1107)*1+ISBLANK(F1107)*1+ISBLANK(I1107)*1+ISBLANK(J1107)*1+ISBLANK(K1107)*1+ISBLANK(L1107)*1+ISBLANK(M1107)*1+ISBLANK(N1107)*1+ISBLANK(O1107)*1)&gt;0,"Missing Data","OK")</f>
        <v>OK</v>
      </c>
      <c r="V1107" s="0" t="str">
        <f aca="false">IF(T1107&gt;=6,"High Risk",IF(T1107&gt;=3,"Medium Risk","Low Risk"))</f>
        <v>Medium Risk</v>
      </c>
    </row>
    <row r="1108" customFormat="false" ht="12.8" hidden="false" customHeight="false" outlineLevel="0" collapsed="false">
      <c r="A1108" s="1" t="s">
        <v>1138</v>
      </c>
      <c r="B1108" s="1" t="s">
        <v>23</v>
      </c>
      <c r="C1108" s="1" t="s">
        <v>34</v>
      </c>
      <c r="D1108" s="1" t="n">
        <v>20.28</v>
      </c>
      <c r="E1108" s="1" t="n">
        <v>13</v>
      </c>
      <c r="F1108" s="4" t="n">
        <v>45278</v>
      </c>
      <c r="G1108" s="1" t="s">
        <v>39</v>
      </c>
      <c r="H1108" s="1" t="n">
        <v>1</v>
      </c>
      <c r="I1108" s="1" t="n">
        <v>45.9</v>
      </c>
      <c r="J1108" s="1" t="n">
        <v>4</v>
      </c>
      <c r="K1108" s="1" t="n">
        <v>7</v>
      </c>
      <c r="L1108" s="1" t="n">
        <v>0</v>
      </c>
      <c r="M1108" s="1" t="n">
        <v>0</v>
      </c>
      <c r="N1108" s="1" t="n">
        <v>263.64</v>
      </c>
      <c r="O1108" s="1" t="n">
        <v>0</v>
      </c>
      <c r="Q1108" s="4" t="n">
        <v>45673</v>
      </c>
      <c r="R1108" s="0" t="n">
        <f aca="false">IF(ISBLANK(F1108),"Missing",IFERROR(YEAR(F1108),"Missing"))</f>
        <v>2023</v>
      </c>
      <c r="S1108" s="0" t="str">
        <f aca="false">IF(ISBLANK(E1108),"Missing",IF(E1108&lt;6,"0-6mo",IF(E1108&lt;12,"6-12mo",IF(E1108&lt;24,"12-24mo","24mo+"))))</f>
        <v>12-24mo</v>
      </c>
      <c r="T1108" s="0" t="n">
        <f aca="false">IF(ISBLANK(C1108),0,IF(C1108="Month-to-month",2,IF(C1108="One year",1,0)))+IF(ISBLANK(I1108),0,IF(I1108&lt;40,2,IF(I1108&lt;55,1,0)))+IF(ISBLANK(M1108),0,IF(M1108=1,3,0))+IF(ISBLANK(L1108),0,IF(L1108&gt;=2,1,0))+IF(ISBLANK(E1108),0,IF(E1108&lt;12,1,0))</f>
        <v>2</v>
      </c>
      <c r="U1108" s="0" t="str">
        <f aca="false">IF((ISBLANK(B1108)*1+ISBLANK(C1108)*1+ISBLANK(D1108)*1+ISBLANK(E1108)*1+ISBLANK(F1108)*1+ISBLANK(I1108)*1+ISBLANK(J1108)*1+ISBLANK(K1108)*1+ISBLANK(L1108)*1+ISBLANK(M1108)*1+ISBLANK(N1108)*1+ISBLANK(O1108)*1)&gt;0,"Missing Data","OK")</f>
        <v>OK</v>
      </c>
      <c r="V1108" s="0" t="str">
        <f aca="false">IF(T1108&gt;=6,"High Risk",IF(T1108&gt;=3,"Medium Risk","Low Risk"))</f>
        <v>Low Risk</v>
      </c>
    </row>
    <row r="1109" customFormat="false" ht="12.8" hidden="false" customHeight="false" outlineLevel="0" collapsed="false">
      <c r="A1109" s="1" t="s">
        <v>1139</v>
      </c>
      <c r="B1109" s="1" t="s">
        <v>36</v>
      </c>
      <c r="C1109" s="1" t="s">
        <v>34</v>
      </c>
      <c r="D1109" s="1" t="n">
        <v>10.26</v>
      </c>
      <c r="E1109" s="1" t="n">
        <v>22</v>
      </c>
      <c r="F1109" s="4" t="n">
        <v>45279</v>
      </c>
      <c r="G1109" s="1" t="s">
        <v>25</v>
      </c>
      <c r="H1109" s="1" t="n">
        <v>1</v>
      </c>
      <c r="I1109" s="1" t="n">
        <v>67.7</v>
      </c>
      <c r="J1109" s="1" t="n">
        <v>23</v>
      </c>
      <c r="K1109" s="1" t="n">
        <v>5</v>
      </c>
      <c r="L1109" s="1" t="n">
        <v>1</v>
      </c>
      <c r="M1109" s="1" t="n">
        <v>0</v>
      </c>
      <c r="N1109" s="1" t="n">
        <v>225.72</v>
      </c>
      <c r="O1109" s="1" t="n">
        <v>0</v>
      </c>
      <c r="Q1109" s="4" t="n">
        <v>45948</v>
      </c>
      <c r="R1109" s="0" t="n">
        <f aca="false">IF(ISBLANK(F1109),"Missing",IFERROR(YEAR(F1109),"Missing"))</f>
        <v>2023</v>
      </c>
      <c r="S1109" s="0" t="str">
        <f aca="false">IF(ISBLANK(E1109),"Missing",IF(E1109&lt;6,"0-6mo",IF(E1109&lt;12,"6-12mo",IF(E1109&lt;24,"12-24mo","24mo+"))))</f>
        <v>12-24mo</v>
      </c>
      <c r="T1109" s="0" t="n">
        <f aca="false">IF(ISBLANK(C1109),0,IF(C1109="Month-to-month",2,IF(C1109="One year",1,0)))+IF(ISBLANK(I1109),0,IF(I1109&lt;40,2,IF(I1109&lt;55,1,0)))+IF(ISBLANK(M1109),0,IF(M1109=1,3,0))+IF(ISBLANK(L1109),0,IF(L1109&gt;=2,1,0))+IF(ISBLANK(E1109),0,IF(E1109&lt;12,1,0))</f>
        <v>1</v>
      </c>
      <c r="U1109" s="0" t="str">
        <f aca="false">IF((ISBLANK(B1109)*1+ISBLANK(C1109)*1+ISBLANK(D1109)*1+ISBLANK(E1109)*1+ISBLANK(F1109)*1+ISBLANK(I1109)*1+ISBLANK(J1109)*1+ISBLANK(K1109)*1+ISBLANK(L1109)*1+ISBLANK(M1109)*1+ISBLANK(N1109)*1+ISBLANK(O1109)*1)&gt;0,"Missing Data","OK")</f>
        <v>OK</v>
      </c>
      <c r="V1109" s="0" t="str">
        <f aca="false">IF(T1109&gt;=6,"High Risk",IF(T1109&gt;=3,"Medium Risk","Low Risk"))</f>
        <v>Low Risk</v>
      </c>
    </row>
    <row r="1110" customFormat="false" ht="12.8" hidden="false" customHeight="false" outlineLevel="0" collapsed="false">
      <c r="A1110" s="1" t="s">
        <v>1140</v>
      </c>
      <c r="B1110" s="1" t="s">
        <v>36</v>
      </c>
      <c r="C1110" s="1" t="s">
        <v>34</v>
      </c>
      <c r="D1110" s="1" t="n">
        <v>9.15</v>
      </c>
      <c r="E1110" s="1" t="n">
        <v>1</v>
      </c>
      <c r="F1110" s="4" t="n">
        <v>45280</v>
      </c>
      <c r="G1110" s="1" t="s">
        <v>25</v>
      </c>
      <c r="H1110" s="1" t="n">
        <v>1</v>
      </c>
      <c r="I1110" s="1" t="n">
        <v>34.9</v>
      </c>
      <c r="J1110" s="1" t="n">
        <v>5</v>
      </c>
      <c r="K1110" s="1" t="n">
        <v>8</v>
      </c>
      <c r="L1110" s="1" t="n">
        <v>2</v>
      </c>
      <c r="M1110" s="1" t="n">
        <v>0</v>
      </c>
      <c r="N1110" s="1" t="n">
        <v>9.15</v>
      </c>
      <c r="O1110" s="1" t="n">
        <v>0</v>
      </c>
      <c r="Q1110" s="4" t="n">
        <v>45310</v>
      </c>
      <c r="R1110" s="0" t="n">
        <f aca="false">IF(ISBLANK(F1110),"Missing",IFERROR(YEAR(F1110),"Missing"))</f>
        <v>2023</v>
      </c>
      <c r="S1110" s="0" t="str">
        <f aca="false">IF(ISBLANK(E1110),"Missing",IF(E1110&lt;6,"0-6mo",IF(E1110&lt;12,"6-12mo",IF(E1110&lt;24,"12-24mo","24mo+"))))</f>
        <v>0-6mo</v>
      </c>
      <c r="T1110" s="0" t="n">
        <f aca="false">IF(ISBLANK(C1110),0,IF(C1110="Month-to-month",2,IF(C1110="One year",1,0)))+IF(ISBLANK(I1110),0,IF(I1110&lt;40,2,IF(I1110&lt;55,1,0)))+IF(ISBLANK(M1110),0,IF(M1110=1,3,0))+IF(ISBLANK(L1110),0,IF(L1110&gt;=2,1,0))+IF(ISBLANK(E1110),0,IF(E1110&lt;12,1,0))</f>
        <v>5</v>
      </c>
      <c r="U1110" s="0" t="str">
        <f aca="false">IF((ISBLANK(B1110)*1+ISBLANK(C1110)*1+ISBLANK(D1110)*1+ISBLANK(E1110)*1+ISBLANK(F1110)*1+ISBLANK(I1110)*1+ISBLANK(J1110)*1+ISBLANK(K1110)*1+ISBLANK(L1110)*1+ISBLANK(M1110)*1+ISBLANK(N1110)*1+ISBLANK(O1110)*1)&gt;0,"Missing Data","OK")</f>
        <v>OK</v>
      </c>
      <c r="V1110" s="0" t="str">
        <f aca="false">IF(T1110&gt;=6,"High Risk",IF(T1110&gt;=3,"Medium Risk","Low Risk"))</f>
        <v>Medium Risk</v>
      </c>
    </row>
    <row r="1111" customFormat="false" ht="12.8" hidden="false" customHeight="false" outlineLevel="0" collapsed="false">
      <c r="A1111" s="1" t="s">
        <v>1141</v>
      </c>
      <c r="B1111" s="1" t="s">
        <v>36</v>
      </c>
      <c r="C1111" s="1" t="s">
        <v>24</v>
      </c>
      <c r="D1111" s="1" t="n">
        <v>9.18</v>
      </c>
      <c r="E1111" s="1" t="n">
        <v>3</v>
      </c>
      <c r="F1111" s="4" t="n">
        <v>45280</v>
      </c>
      <c r="G1111" s="1" t="s">
        <v>39</v>
      </c>
      <c r="H1111" s="1" t="n">
        <v>0</v>
      </c>
      <c r="I1111" s="1" t="n">
        <v>82.9</v>
      </c>
      <c r="J1111" s="1" t="n">
        <v>29</v>
      </c>
      <c r="K1111" s="1" t="n">
        <v>8</v>
      </c>
      <c r="L1111" s="1" t="n">
        <v>1</v>
      </c>
      <c r="M1111" s="1" t="n">
        <v>0</v>
      </c>
      <c r="N1111" s="1" t="n">
        <v>27.54</v>
      </c>
      <c r="O1111" s="1" t="n">
        <v>0</v>
      </c>
      <c r="Q1111" s="4" t="n">
        <v>45371</v>
      </c>
      <c r="R1111" s="0" t="n">
        <f aca="false">IF(ISBLANK(F1111),"Missing",IFERROR(YEAR(F1111),"Missing"))</f>
        <v>2023</v>
      </c>
      <c r="S1111" s="0" t="str">
        <f aca="false">IF(ISBLANK(E1111),"Missing",IF(E1111&lt;6,"0-6mo",IF(E1111&lt;12,"6-12mo",IF(E1111&lt;24,"12-24mo","24mo+"))))</f>
        <v>0-6mo</v>
      </c>
      <c r="T1111" s="0" t="n">
        <f aca="false">IF(ISBLANK(C1111),0,IF(C1111="Month-to-month",2,IF(C1111="One year",1,0)))+IF(ISBLANK(I1111),0,IF(I1111&lt;40,2,IF(I1111&lt;55,1,0)))+IF(ISBLANK(M1111),0,IF(M1111=1,3,0))+IF(ISBLANK(L1111),0,IF(L1111&gt;=2,1,0))+IF(ISBLANK(E1111),0,IF(E1111&lt;12,1,0))</f>
        <v>3</v>
      </c>
      <c r="U1111" s="0" t="str">
        <f aca="false">IF((ISBLANK(B1111)*1+ISBLANK(C1111)*1+ISBLANK(D1111)*1+ISBLANK(E1111)*1+ISBLANK(F1111)*1+ISBLANK(I1111)*1+ISBLANK(J1111)*1+ISBLANK(K1111)*1+ISBLANK(L1111)*1+ISBLANK(M1111)*1+ISBLANK(N1111)*1+ISBLANK(O1111)*1)&gt;0,"Missing Data","OK")</f>
        <v>OK</v>
      </c>
      <c r="V1111" s="0" t="str">
        <f aca="false">IF(T1111&gt;=6,"High Risk",IF(T1111&gt;=3,"Medium Risk","Low Risk"))</f>
        <v>Medium Risk</v>
      </c>
    </row>
    <row r="1112" customFormat="false" ht="12.8" hidden="false" customHeight="false" outlineLevel="0" collapsed="false">
      <c r="A1112" s="1" t="s">
        <v>1142</v>
      </c>
      <c r="B1112" s="1" t="s">
        <v>36</v>
      </c>
      <c r="C1112" s="1" t="s">
        <v>34</v>
      </c>
      <c r="D1112" s="1" t="n">
        <v>8.62</v>
      </c>
      <c r="E1112" s="1" t="n">
        <v>18</v>
      </c>
      <c r="F1112" s="4" t="n">
        <v>45280</v>
      </c>
      <c r="G1112" s="1" t="s">
        <v>25</v>
      </c>
      <c r="H1112" s="1" t="n">
        <v>1</v>
      </c>
      <c r="I1112" s="1" t="n">
        <v>69.8</v>
      </c>
      <c r="J1112" s="1" t="n">
        <v>20</v>
      </c>
      <c r="K1112" s="1" t="n">
        <v>9</v>
      </c>
      <c r="L1112" s="1" t="n">
        <v>0</v>
      </c>
      <c r="M1112" s="1" t="n">
        <v>0</v>
      </c>
      <c r="N1112" s="1" t="n">
        <v>155.16</v>
      </c>
      <c r="O1112" s="1" t="n">
        <v>0</v>
      </c>
      <c r="Q1112" s="4" t="n">
        <v>45827</v>
      </c>
      <c r="R1112" s="0" t="n">
        <f aca="false">IF(ISBLANK(F1112),"Missing",IFERROR(YEAR(F1112),"Missing"))</f>
        <v>2023</v>
      </c>
      <c r="S1112" s="0" t="str">
        <f aca="false">IF(ISBLANK(E1112),"Missing",IF(E1112&lt;6,"0-6mo",IF(E1112&lt;12,"6-12mo",IF(E1112&lt;24,"12-24mo","24mo+"))))</f>
        <v>12-24mo</v>
      </c>
      <c r="T1112" s="0" t="n">
        <f aca="false">IF(ISBLANK(C1112),0,IF(C1112="Month-to-month",2,IF(C1112="One year",1,0)))+IF(ISBLANK(I1112),0,IF(I1112&lt;40,2,IF(I1112&lt;55,1,0)))+IF(ISBLANK(M1112),0,IF(M1112=1,3,0))+IF(ISBLANK(L1112),0,IF(L1112&gt;=2,1,0))+IF(ISBLANK(E1112),0,IF(E1112&lt;12,1,0))</f>
        <v>1</v>
      </c>
      <c r="U1112" s="0" t="str">
        <f aca="false">IF((ISBLANK(B1112)*1+ISBLANK(C1112)*1+ISBLANK(D1112)*1+ISBLANK(E1112)*1+ISBLANK(F1112)*1+ISBLANK(I1112)*1+ISBLANK(J1112)*1+ISBLANK(K1112)*1+ISBLANK(L1112)*1+ISBLANK(M1112)*1+ISBLANK(N1112)*1+ISBLANK(O1112)*1)&gt;0,"Missing Data","OK")</f>
        <v>OK</v>
      </c>
      <c r="V1112" s="0" t="str">
        <f aca="false">IF(T1112&gt;=6,"High Risk",IF(T1112&gt;=3,"Medium Risk","Low Risk"))</f>
        <v>Low Risk</v>
      </c>
    </row>
    <row r="1113" customFormat="false" ht="12.8" hidden="false" customHeight="false" outlineLevel="0" collapsed="false">
      <c r="A1113" s="1" t="s">
        <v>1143</v>
      </c>
      <c r="B1113" s="1" t="s">
        <v>36</v>
      </c>
      <c r="C1113" s="1" t="s">
        <v>24</v>
      </c>
      <c r="D1113" s="1" t="n">
        <v>8.53</v>
      </c>
      <c r="E1113" s="1" t="n">
        <v>30</v>
      </c>
      <c r="F1113" s="4" t="n">
        <v>45281</v>
      </c>
      <c r="G1113" s="1" t="s">
        <v>25</v>
      </c>
      <c r="H1113" s="1" t="n">
        <v>1</v>
      </c>
      <c r="I1113" s="1" t="n">
        <v>43.1</v>
      </c>
      <c r="J1113" s="1" t="n">
        <v>20</v>
      </c>
      <c r="K1113" s="1" t="n">
        <v>2</v>
      </c>
      <c r="L1113" s="1" t="n">
        <v>0</v>
      </c>
      <c r="M1113" s="1" t="n">
        <v>0</v>
      </c>
      <c r="N1113" s="1" t="n">
        <v>255.9</v>
      </c>
      <c r="O1113" s="1" t="n">
        <v>0</v>
      </c>
      <c r="Q1113" s="4" t="n">
        <v>46194</v>
      </c>
      <c r="R1113" s="0" t="n">
        <f aca="false">IF(ISBLANK(F1113),"Missing",IFERROR(YEAR(F1113),"Missing"))</f>
        <v>2023</v>
      </c>
      <c r="S1113" s="0" t="str">
        <f aca="false">IF(ISBLANK(E1113),"Missing",IF(E1113&lt;6,"0-6mo",IF(E1113&lt;12,"6-12mo",IF(E1113&lt;24,"12-24mo","24mo+"))))</f>
        <v>24mo+</v>
      </c>
      <c r="T1113" s="0" t="n">
        <f aca="false">IF(ISBLANK(C1113),0,IF(C1113="Month-to-month",2,IF(C1113="One year",1,0)))+IF(ISBLANK(I1113),0,IF(I1113&lt;40,2,IF(I1113&lt;55,1,0)))+IF(ISBLANK(M1113),0,IF(M1113=1,3,0))+IF(ISBLANK(L1113),0,IF(L1113&gt;=2,1,0))+IF(ISBLANK(E1113),0,IF(E1113&lt;12,1,0))</f>
        <v>3</v>
      </c>
      <c r="U1113" s="0" t="str">
        <f aca="false">IF((ISBLANK(B1113)*1+ISBLANK(C1113)*1+ISBLANK(D1113)*1+ISBLANK(E1113)*1+ISBLANK(F1113)*1+ISBLANK(I1113)*1+ISBLANK(J1113)*1+ISBLANK(K1113)*1+ISBLANK(L1113)*1+ISBLANK(M1113)*1+ISBLANK(N1113)*1+ISBLANK(O1113)*1)&gt;0,"Missing Data","OK")</f>
        <v>OK</v>
      </c>
      <c r="V1113" s="0" t="str">
        <f aca="false">IF(T1113&gt;=6,"High Risk",IF(T1113&gt;=3,"Medium Risk","Low Risk"))</f>
        <v>Medium Risk</v>
      </c>
    </row>
    <row r="1114" customFormat="false" ht="12.8" hidden="false" customHeight="false" outlineLevel="0" collapsed="false">
      <c r="A1114" s="1" t="s">
        <v>1144</v>
      </c>
      <c r="B1114" s="1" t="s">
        <v>36</v>
      </c>
      <c r="C1114" s="1" t="s">
        <v>51</v>
      </c>
      <c r="D1114" s="1" t="n">
        <v>9.46</v>
      </c>
      <c r="E1114" s="1" t="n">
        <v>5</v>
      </c>
      <c r="F1114" s="4" t="n">
        <v>45281</v>
      </c>
      <c r="G1114" s="1" t="s">
        <v>25</v>
      </c>
      <c r="H1114" s="1" t="n">
        <v>1</v>
      </c>
      <c r="I1114" s="1" t="n">
        <v>59.1</v>
      </c>
      <c r="J1114" s="1" t="n">
        <v>19</v>
      </c>
      <c r="K1114" s="1" t="n">
        <v>7</v>
      </c>
      <c r="L1114" s="1" t="n">
        <v>2</v>
      </c>
      <c r="M1114" s="1" t="n">
        <v>1</v>
      </c>
      <c r="N1114" s="1" t="n">
        <v>47.3</v>
      </c>
      <c r="O1114" s="1" t="n">
        <v>0</v>
      </c>
      <c r="Q1114" s="4" t="n">
        <v>45433</v>
      </c>
      <c r="R1114" s="0" t="n">
        <f aca="false">IF(ISBLANK(F1114),"Missing",IFERROR(YEAR(F1114),"Missing"))</f>
        <v>2023</v>
      </c>
      <c r="S1114" s="0" t="str">
        <f aca="false">IF(ISBLANK(E1114),"Missing",IF(E1114&lt;6,"0-6mo",IF(E1114&lt;12,"6-12mo",IF(E1114&lt;24,"12-24mo","24mo+"))))</f>
        <v>0-6mo</v>
      </c>
      <c r="T1114" s="0" t="n">
        <f aca="false">IF(ISBLANK(C1114),0,IF(C1114="Month-to-month",2,IF(C1114="One year",1,0)))+IF(ISBLANK(I1114),0,IF(I1114&lt;40,2,IF(I1114&lt;55,1,0)))+IF(ISBLANK(M1114),0,IF(M1114=1,3,0))+IF(ISBLANK(L1114),0,IF(L1114&gt;=2,1,0))+IF(ISBLANK(E1114),0,IF(E1114&lt;12,1,0))</f>
        <v>5</v>
      </c>
      <c r="U1114" s="0" t="str">
        <f aca="false">IF((ISBLANK(B1114)*1+ISBLANK(C1114)*1+ISBLANK(D1114)*1+ISBLANK(E1114)*1+ISBLANK(F1114)*1+ISBLANK(I1114)*1+ISBLANK(J1114)*1+ISBLANK(K1114)*1+ISBLANK(L1114)*1+ISBLANK(M1114)*1+ISBLANK(N1114)*1+ISBLANK(O1114)*1)&gt;0,"Missing Data","OK")</f>
        <v>OK</v>
      </c>
      <c r="V1114" s="0" t="str">
        <f aca="false">IF(T1114&gt;=6,"High Risk",IF(T1114&gt;=3,"Medium Risk","Low Risk"))</f>
        <v>Medium Risk</v>
      </c>
    </row>
    <row r="1115" customFormat="false" ht="12.8" hidden="false" customHeight="false" outlineLevel="0" collapsed="false">
      <c r="A1115" s="1" t="s">
        <v>1145</v>
      </c>
      <c r="B1115" s="1" t="s">
        <v>23</v>
      </c>
      <c r="C1115" s="1" t="s">
        <v>51</v>
      </c>
      <c r="D1115" s="1" t="n">
        <v>19.74</v>
      </c>
      <c r="E1115" s="1" t="n">
        <v>3</v>
      </c>
      <c r="F1115" s="4" t="n">
        <v>45281</v>
      </c>
      <c r="G1115" s="1" t="s">
        <v>27</v>
      </c>
      <c r="H1115" s="1" t="n">
        <v>0</v>
      </c>
      <c r="I1115" s="1" t="n">
        <v>31.9</v>
      </c>
      <c r="J1115" s="1" t="n">
        <v>8</v>
      </c>
      <c r="K1115" s="1" t="n">
        <v>1</v>
      </c>
      <c r="L1115" s="1" t="n">
        <v>3</v>
      </c>
      <c r="M1115" s="1" t="n">
        <v>1</v>
      </c>
      <c r="N1115" s="1" t="n">
        <v>59.22</v>
      </c>
      <c r="O1115" s="1" t="n">
        <v>1</v>
      </c>
      <c r="P1115" s="4" t="n">
        <v>45372</v>
      </c>
      <c r="Q1115" s="4" t="n">
        <v>45372</v>
      </c>
      <c r="R1115" s="0" t="n">
        <f aca="false">IF(ISBLANK(F1115),"Missing",IFERROR(YEAR(F1115),"Missing"))</f>
        <v>2023</v>
      </c>
      <c r="S1115" s="0" t="str">
        <f aca="false">IF(ISBLANK(E1115),"Missing",IF(E1115&lt;6,"0-6mo",IF(E1115&lt;12,"6-12mo",IF(E1115&lt;24,"12-24mo","24mo+"))))</f>
        <v>0-6mo</v>
      </c>
      <c r="T1115" s="0" t="n">
        <f aca="false">IF(ISBLANK(C1115),0,IF(C1115="Month-to-month",2,IF(C1115="One year",1,0)))+IF(ISBLANK(I1115),0,IF(I1115&lt;40,2,IF(I1115&lt;55,1,0)))+IF(ISBLANK(M1115),0,IF(M1115=1,3,0))+IF(ISBLANK(L1115),0,IF(L1115&gt;=2,1,0))+IF(ISBLANK(E1115),0,IF(E1115&lt;12,1,0))</f>
        <v>7</v>
      </c>
      <c r="U1115" s="0" t="str">
        <f aca="false">IF((ISBLANK(B1115)*1+ISBLANK(C1115)*1+ISBLANK(D1115)*1+ISBLANK(E1115)*1+ISBLANK(F1115)*1+ISBLANK(I1115)*1+ISBLANK(J1115)*1+ISBLANK(K1115)*1+ISBLANK(L1115)*1+ISBLANK(M1115)*1+ISBLANK(N1115)*1+ISBLANK(O1115)*1)&gt;0,"Missing Data","OK")</f>
        <v>OK</v>
      </c>
      <c r="V1115" s="0" t="str">
        <f aca="false">IF(T1115&gt;=6,"High Risk",IF(T1115&gt;=3,"Medium Risk","Low Risk"))</f>
        <v>High Risk</v>
      </c>
    </row>
    <row r="1116" customFormat="false" ht="12.8" hidden="false" customHeight="false" outlineLevel="0" collapsed="false">
      <c r="A1116" s="1" t="s">
        <v>1146</v>
      </c>
      <c r="B1116" s="1" t="s">
        <v>23</v>
      </c>
      <c r="C1116" s="1" t="s">
        <v>34</v>
      </c>
      <c r="D1116" s="1" t="n">
        <v>17.39</v>
      </c>
      <c r="E1116" s="1" t="n">
        <v>14</v>
      </c>
      <c r="F1116" s="4" t="n">
        <v>45282</v>
      </c>
      <c r="G1116" s="1" t="s">
        <v>25</v>
      </c>
      <c r="H1116" s="1" t="n">
        <v>1</v>
      </c>
      <c r="I1116" s="1" t="n">
        <v>40.7</v>
      </c>
      <c r="J1116" s="1" t="n">
        <v>17</v>
      </c>
      <c r="K1116" s="1" t="n">
        <v>6</v>
      </c>
      <c r="L1116" s="1" t="n">
        <v>1</v>
      </c>
      <c r="M1116" s="1" t="n">
        <v>0</v>
      </c>
      <c r="N1116" s="1" t="n">
        <v>243.46</v>
      </c>
      <c r="O1116" s="1" t="n">
        <v>0</v>
      </c>
      <c r="Q1116" s="4" t="n">
        <v>45708</v>
      </c>
      <c r="R1116" s="0" t="n">
        <f aca="false">IF(ISBLANK(F1116),"Missing",IFERROR(YEAR(F1116),"Missing"))</f>
        <v>2023</v>
      </c>
      <c r="S1116" s="0" t="str">
        <f aca="false">IF(ISBLANK(E1116),"Missing",IF(E1116&lt;6,"0-6mo",IF(E1116&lt;12,"6-12mo",IF(E1116&lt;24,"12-24mo","24mo+"))))</f>
        <v>12-24mo</v>
      </c>
      <c r="T1116" s="0" t="n">
        <f aca="false">IF(ISBLANK(C1116),0,IF(C1116="Month-to-month",2,IF(C1116="One year",1,0)))+IF(ISBLANK(I1116),0,IF(I1116&lt;40,2,IF(I1116&lt;55,1,0)))+IF(ISBLANK(M1116),0,IF(M1116=1,3,0))+IF(ISBLANK(L1116),0,IF(L1116&gt;=2,1,0))+IF(ISBLANK(E1116),0,IF(E1116&lt;12,1,0))</f>
        <v>2</v>
      </c>
      <c r="U1116" s="0" t="str">
        <f aca="false">IF((ISBLANK(B1116)*1+ISBLANK(C1116)*1+ISBLANK(D1116)*1+ISBLANK(E1116)*1+ISBLANK(F1116)*1+ISBLANK(I1116)*1+ISBLANK(J1116)*1+ISBLANK(K1116)*1+ISBLANK(L1116)*1+ISBLANK(M1116)*1+ISBLANK(N1116)*1+ISBLANK(O1116)*1)&gt;0,"Missing Data","OK")</f>
        <v>OK</v>
      </c>
      <c r="V1116" s="0" t="str">
        <f aca="false">IF(T1116&gt;=6,"High Risk",IF(T1116&gt;=3,"Medium Risk","Low Risk"))</f>
        <v>Low Risk</v>
      </c>
    </row>
    <row r="1117" customFormat="false" ht="12.8" hidden="false" customHeight="false" outlineLevel="0" collapsed="false">
      <c r="A1117" s="1" t="s">
        <v>1147</v>
      </c>
      <c r="B1117" s="1" t="s">
        <v>23</v>
      </c>
      <c r="C1117" s="1" t="s">
        <v>24</v>
      </c>
      <c r="D1117" s="1" t="n">
        <v>18.6</v>
      </c>
      <c r="E1117" s="1" t="n">
        <v>19</v>
      </c>
      <c r="F1117" s="4" t="n">
        <v>45282</v>
      </c>
      <c r="G1117" s="1" t="s">
        <v>39</v>
      </c>
      <c r="H1117" s="1" t="n">
        <v>0</v>
      </c>
      <c r="I1117" s="1" t="n">
        <v>100</v>
      </c>
      <c r="J1117" s="1" t="n">
        <v>27</v>
      </c>
      <c r="K1117" s="1" t="n">
        <v>9</v>
      </c>
      <c r="L1117" s="1" t="n">
        <v>1</v>
      </c>
      <c r="M1117" s="1" t="n">
        <v>0</v>
      </c>
      <c r="N1117" s="1" t="n">
        <v>353.4</v>
      </c>
      <c r="O1117" s="1" t="n">
        <v>0</v>
      </c>
      <c r="Q1117" s="4" t="n">
        <v>45860</v>
      </c>
      <c r="R1117" s="0" t="n">
        <f aca="false">IF(ISBLANK(F1117),"Missing",IFERROR(YEAR(F1117),"Missing"))</f>
        <v>2023</v>
      </c>
      <c r="S1117" s="0" t="str">
        <f aca="false">IF(ISBLANK(E1117),"Missing",IF(E1117&lt;6,"0-6mo",IF(E1117&lt;12,"6-12mo",IF(E1117&lt;24,"12-24mo","24mo+"))))</f>
        <v>12-24mo</v>
      </c>
      <c r="T1117" s="0" t="n">
        <f aca="false">IF(ISBLANK(C1117),0,IF(C1117="Month-to-month",2,IF(C1117="One year",1,0)))+IF(ISBLANK(I1117),0,IF(I1117&lt;40,2,IF(I1117&lt;55,1,0)))+IF(ISBLANK(M1117),0,IF(M1117=1,3,0))+IF(ISBLANK(L1117),0,IF(L1117&gt;=2,1,0))+IF(ISBLANK(E1117),0,IF(E1117&lt;12,1,0))</f>
        <v>2</v>
      </c>
      <c r="U1117" s="0" t="str">
        <f aca="false">IF((ISBLANK(B1117)*1+ISBLANK(C1117)*1+ISBLANK(D1117)*1+ISBLANK(E1117)*1+ISBLANK(F1117)*1+ISBLANK(I1117)*1+ISBLANK(J1117)*1+ISBLANK(K1117)*1+ISBLANK(L1117)*1+ISBLANK(M1117)*1+ISBLANK(N1117)*1+ISBLANK(O1117)*1)&gt;0,"Missing Data","OK")</f>
        <v>OK</v>
      </c>
      <c r="V1117" s="0" t="str">
        <f aca="false">IF(T1117&gt;=6,"High Risk",IF(T1117&gt;=3,"Medium Risk","Low Risk"))</f>
        <v>Low Risk</v>
      </c>
    </row>
    <row r="1118" customFormat="false" ht="12.8" hidden="false" customHeight="false" outlineLevel="0" collapsed="false">
      <c r="A1118" s="1" t="s">
        <v>1148</v>
      </c>
      <c r="B1118" s="1" t="s">
        <v>23</v>
      </c>
      <c r="C1118" s="1" t="s">
        <v>24</v>
      </c>
      <c r="D1118" s="1" t="n">
        <v>19.19</v>
      </c>
      <c r="E1118" s="1" t="n">
        <v>9</v>
      </c>
      <c r="F1118" s="4" t="n">
        <v>45282</v>
      </c>
      <c r="G1118" s="1" t="s">
        <v>25</v>
      </c>
      <c r="H1118" s="1" t="n">
        <v>0</v>
      </c>
      <c r="I1118" s="1" t="n">
        <v>46.9</v>
      </c>
      <c r="J1118" s="1" t="n">
        <v>17</v>
      </c>
      <c r="K1118" s="1" t="n">
        <v>4</v>
      </c>
      <c r="L1118" s="1" t="n">
        <v>1</v>
      </c>
      <c r="M1118" s="1" t="n">
        <v>0</v>
      </c>
      <c r="N1118" s="1" t="n">
        <v>172.71</v>
      </c>
      <c r="O1118" s="1" t="n">
        <v>1</v>
      </c>
      <c r="P1118" s="4" t="n">
        <v>45555</v>
      </c>
      <c r="Q1118" s="4" t="n">
        <v>45555</v>
      </c>
      <c r="R1118" s="0" t="n">
        <f aca="false">IF(ISBLANK(F1118),"Missing",IFERROR(YEAR(F1118),"Missing"))</f>
        <v>2023</v>
      </c>
      <c r="S1118" s="0" t="str">
        <f aca="false">IF(ISBLANK(E1118),"Missing",IF(E1118&lt;6,"0-6mo",IF(E1118&lt;12,"6-12mo",IF(E1118&lt;24,"12-24mo","24mo+"))))</f>
        <v>6-12mo</v>
      </c>
      <c r="T1118" s="0" t="n">
        <f aca="false">IF(ISBLANK(C1118),0,IF(C1118="Month-to-month",2,IF(C1118="One year",1,0)))+IF(ISBLANK(I1118),0,IF(I1118&lt;40,2,IF(I1118&lt;55,1,0)))+IF(ISBLANK(M1118),0,IF(M1118=1,3,0))+IF(ISBLANK(L1118),0,IF(L1118&gt;=2,1,0))+IF(ISBLANK(E1118),0,IF(E1118&lt;12,1,0))</f>
        <v>4</v>
      </c>
      <c r="U1118" s="0" t="str">
        <f aca="false">IF((ISBLANK(B1118)*1+ISBLANK(C1118)*1+ISBLANK(D1118)*1+ISBLANK(E1118)*1+ISBLANK(F1118)*1+ISBLANK(I1118)*1+ISBLANK(J1118)*1+ISBLANK(K1118)*1+ISBLANK(L1118)*1+ISBLANK(M1118)*1+ISBLANK(N1118)*1+ISBLANK(O1118)*1)&gt;0,"Missing Data","OK")</f>
        <v>OK</v>
      </c>
      <c r="V1118" s="0" t="str">
        <f aca="false">IF(T1118&gt;=6,"High Risk",IF(T1118&gt;=3,"Medium Risk","Low Risk"))</f>
        <v>Medium Risk</v>
      </c>
    </row>
    <row r="1119" customFormat="false" ht="12.8" hidden="false" customHeight="false" outlineLevel="0" collapsed="false">
      <c r="A1119" s="1" t="s">
        <v>1149</v>
      </c>
      <c r="B1119" s="1" t="s">
        <v>23</v>
      </c>
      <c r="C1119" s="1" t="s">
        <v>51</v>
      </c>
      <c r="D1119" s="1" t="n">
        <v>18.62</v>
      </c>
      <c r="E1119" s="1" t="n">
        <v>39</v>
      </c>
      <c r="F1119" s="4" t="n">
        <v>45284</v>
      </c>
      <c r="G1119" s="1" t="s">
        <v>30</v>
      </c>
      <c r="H1119" s="1" t="n">
        <v>1</v>
      </c>
      <c r="I1119" s="1" t="n">
        <v>48.1</v>
      </c>
      <c r="J1119" s="1" t="n">
        <v>10</v>
      </c>
      <c r="K1119" s="1" t="n">
        <v>4</v>
      </c>
      <c r="L1119" s="1" t="n">
        <v>0</v>
      </c>
      <c r="M1119" s="1" t="n">
        <v>0</v>
      </c>
      <c r="N1119" s="1" t="n">
        <v>726.18</v>
      </c>
      <c r="O1119" s="1" t="n">
        <v>0</v>
      </c>
      <c r="Q1119" s="4" t="n">
        <v>46293</v>
      </c>
      <c r="R1119" s="0" t="n">
        <f aca="false">IF(ISBLANK(F1119),"Missing",IFERROR(YEAR(F1119),"Missing"))</f>
        <v>2023</v>
      </c>
      <c r="S1119" s="0" t="str">
        <f aca="false">IF(ISBLANK(E1119),"Missing",IF(E1119&lt;6,"0-6mo",IF(E1119&lt;12,"6-12mo",IF(E1119&lt;24,"12-24mo","24mo+"))))</f>
        <v>24mo+</v>
      </c>
      <c r="T1119" s="0" t="n">
        <f aca="false">IF(ISBLANK(C1119),0,IF(C1119="Month-to-month",2,IF(C1119="One year",1,0)))+IF(ISBLANK(I1119),0,IF(I1119&lt;40,2,IF(I1119&lt;55,1,0)))+IF(ISBLANK(M1119),0,IF(M1119=1,3,0))+IF(ISBLANK(L1119),0,IF(L1119&gt;=2,1,0))+IF(ISBLANK(E1119),0,IF(E1119&lt;12,1,0))</f>
        <v>1</v>
      </c>
      <c r="U1119" s="0" t="str">
        <f aca="false">IF((ISBLANK(B1119)*1+ISBLANK(C1119)*1+ISBLANK(D1119)*1+ISBLANK(E1119)*1+ISBLANK(F1119)*1+ISBLANK(I1119)*1+ISBLANK(J1119)*1+ISBLANK(K1119)*1+ISBLANK(L1119)*1+ISBLANK(M1119)*1+ISBLANK(N1119)*1+ISBLANK(O1119)*1)&gt;0,"Missing Data","OK")</f>
        <v>OK</v>
      </c>
      <c r="V1119" s="0" t="str">
        <f aca="false">IF(T1119&gt;=6,"High Risk",IF(T1119&gt;=3,"Medium Risk","Low Risk"))</f>
        <v>Low Risk</v>
      </c>
    </row>
    <row r="1120" customFormat="false" ht="12.8" hidden="false" customHeight="false" outlineLevel="0" collapsed="false">
      <c r="A1120" s="1" t="s">
        <v>1150</v>
      </c>
      <c r="B1120" s="1" t="s">
        <v>36</v>
      </c>
      <c r="C1120" s="1" t="s">
        <v>34</v>
      </c>
      <c r="D1120" s="1" t="n">
        <v>9.63</v>
      </c>
      <c r="E1120" s="1" t="n">
        <v>9</v>
      </c>
      <c r="F1120" s="4" t="n">
        <v>45284</v>
      </c>
      <c r="G1120" s="1" t="s">
        <v>39</v>
      </c>
      <c r="H1120" s="1" t="n">
        <v>1</v>
      </c>
      <c r="I1120" s="1" t="n">
        <v>51.6</v>
      </c>
      <c r="J1120" s="1" t="n">
        <v>12</v>
      </c>
      <c r="K1120" s="1" t="n">
        <v>5</v>
      </c>
      <c r="L1120" s="1" t="n">
        <v>0</v>
      </c>
      <c r="M1120" s="1" t="n">
        <v>0</v>
      </c>
      <c r="N1120" s="1" t="n">
        <v>86.67</v>
      </c>
      <c r="O1120" s="1" t="n">
        <v>0</v>
      </c>
      <c r="Q1120" s="4" t="n">
        <v>45557</v>
      </c>
      <c r="R1120" s="0" t="n">
        <f aca="false">IF(ISBLANK(F1120),"Missing",IFERROR(YEAR(F1120),"Missing"))</f>
        <v>2023</v>
      </c>
      <c r="S1120" s="0" t="str">
        <f aca="false">IF(ISBLANK(E1120),"Missing",IF(E1120&lt;6,"0-6mo",IF(E1120&lt;12,"6-12mo",IF(E1120&lt;24,"12-24mo","24mo+"))))</f>
        <v>6-12mo</v>
      </c>
      <c r="T1120" s="0" t="n">
        <f aca="false">IF(ISBLANK(C1120),0,IF(C1120="Month-to-month",2,IF(C1120="One year",1,0)))+IF(ISBLANK(I1120),0,IF(I1120&lt;40,2,IF(I1120&lt;55,1,0)))+IF(ISBLANK(M1120),0,IF(M1120=1,3,0))+IF(ISBLANK(L1120),0,IF(L1120&gt;=2,1,0))+IF(ISBLANK(E1120),0,IF(E1120&lt;12,1,0))</f>
        <v>3</v>
      </c>
      <c r="U1120" s="0" t="str">
        <f aca="false">IF((ISBLANK(B1120)*1+ISBLANK(C1120)*1+ISBLANK(D1120)*1+ISBLANK(E1120)*1+ISBLANK(F1120)*1+ISBLANK(I1120)*1+ISBLANK(J1120)*1+ISBLANK(K1120)*1+ISBLANK(L1120)*1+ISBLANK(M1120)*1+ISBLANK(N1120)*1+ISBLANK(O1120)*1)&gt;0,"Missing Data","OK")</f>
        <v>OK</v>
      </c>
      <c r="V1120" s="0" t="str">
        <f aca="false">IF(T1120&gt;=6,"High Risk",IF(T1120&gt;=3,"Medium Risk","Low Risk"))</f>
        <v>Medium Risk</v>
      </c>
    </row>
    <row r="1121" customFormat="false" ht="12.8" hidden="false" customHeight="false" outlineLevel="0" collapsed="false">
      <c r="A1121" s="1" t="s">
        <v>1151</v>
      </c>
      <c r="B1121" s="1" t="s">
        <v>23</v>
      </c>
      <c r="C1121" s="1" t="s">
        <v>24</v>
      </c>
      <c r="D1121" s="1" t="n">
        <v>22.42</v>
      </c>
      <c r="E1121" s="1" t="n">
        <v>13</v>
      </c>
      <c r="F1121" s="4" t="n">
        <v>45284</v>
      </c>
      <c r="G1121" s="1" t="s">
        <v>25</v>
      </c>
      <c r="H1121" s="1" t="n">
        <v>1</v>
      </c>
      <c r="I1121" s="1" t="n">
        <v>68.3</v>
      </c>
      <c r="J1121" s="1" t="n">
        <v>26</v>
      </c>
      <c r="K1121" s="1" t="n">
        <v>6</v>
      </c>
      <c r="L1121" s="1" t="n">
        <v>3</v>
      </c>
      <c r="M1121" s="1" t="n">
        <v>0</v>
      </c>
      <c r="N1121" s="1" t="n">
        <v>291.46</v>
      </c>
      <c r="O1121" s="1" t="n">
        <v>0</v>
      </c>
      <c r="Q1121" s="4" t="n">
        <v>45679</v>
      </c>
      <c r="R1121" s="0" t="n">
        <f aca="false">IF(ISBLANK(F1121),"Missing",IFERROR(YEAR(F1121),"Missing"))</f>
        <v>2023</v>
      </c>
      <c r="S1121" s="0" t="str">
        <f aca="false">IF(ISBLANK(E1121),"Missing",IF(E1121&lt;6,"0-6mo",IF(E1121&lt;12,"6-12mo",IF(E1121&lt;24,"12-24mo","24mo+"))))</f>
        <v>12-24mo</v>
      </c>
      <c r="T1121" s="0" t="n">
        <f aca="false">IF(ISBLANK(C1121),0,IF(C1121="Month-to-month",2,IF(C1121="One year",1,0)))+IF(ISBLANK(I1121),0,IF(I1121&lt;40,2,IF(I1121&lt;55,1,0)))+IF(ISBLANK(M1121),0,IF(M1121=1,3,0))+IF(ISBLANK(L1121),0,IF(L1121&gt;=2,1,0))+IF(ISBLANK(E1121),0,IF(E1121&lt;12,1,0))</f>
        <v>3</v>
      </c>
      <c r="U1121" s="0" t="str">
        <f aca="false">IF((ISBLANK(B1121)*1+ISBLANK(C1121)*1+ISBLANK(D1121)*1+ISBLANK(E1121)*1+ISBLANK(F1121)*1+ISBLANK(I1121)*1+ISBLANK(J1121)*1+ISBLANK(K1121)*1+ISBLANK(L1121)*1+ISBLANK(M1121)*1+ISBLANK(N1121)*1+ISBLANK(O1121)*1)&gt;0,"Missing Data","OK")</f>
        <v>OK</v>
      </c>
      <c r="V1121" s="0" t="str">
        <f aca="false">IF(T1121&gt;=6,"High Risk",IF(T1121&gt;=3,"Medium Risk","Low Risk"))</f>
        <v>Medium Risk</v>
      </c>
    </row>
    <row r="1122" customFormat="false" ht="12.8" hidden="false" customHeight="false" outlineLevel="0" collapsed="false">
      <c r="A1122" s="1" t="s">
        <v>1152</v>
      </c>
      <c r="B1122" s="1" t="s">
        <v>36</v>
      </c>
      <c r="C1122" s="1" t="s">
        <v>24</v>
      </c>
      <c r="D1122" s="1" t="n">
        <v>10.18</v>
      </c>
      <c r="E1122" s="1" t="n">
        <v>42</v>
      </c>
      <c r="F1122" s="4" t="n">
        <v>45286</v>
      </c>
      <c r="G1122" s="1" t="s">
        <v>27</v>
      </c>
      <c r="H1122" s="1" t="n">
        <v>1</v>
      </c>
      <c r="I1122" s="1" t="n">
        <v>50.2</v>
      </c>
      <c r="J1122" s="1" t="n">
        <v>15</v>
      </c>
      <c r="K1122" s="1" t="n">
        <v>9</v>
      </c>
      <c r="L1122" s="1" t="n">
        <v>2</v>
      </c>
      <c r="M1122" s="1" t="n">
        <v>0</v>
      </c>
      <c r="N1122" s="1" t="n">
        <v>427.56</v>
      </c>
      <c r="O1122" s="1" t="n">
        <v>0</v>
      </c>
      <c r="Q1122" s="4" t="n">
        <v>46293</v>
      </c>
      <c r="R1122" s="0" t="n">
        <f aca="false">IF(ISBLANK(F1122),"Missing",IFERROR(YEAR(F1122),"Missing"))</f>
        <v>2023</v>
      </c>
      <c r="S1122" s="0" t="str">
        <f aca="false">IF(ISBLANK(E1122),"Missing",IF(E1122&lt;6,"0-6mo",IF(E1122&lt;12,"6-12mo",IF(E1122&lt;24,"12-24mo","24mo+"))))</f>
        <v>24mo+</v>
      </c>
      <c r="T1122" s="0" t="n">
        <f aca="false">IF(ISBLANK(C1122),0,IF(C1122="Month-to-month",2,IF(C1122="One year",1,0)))+IF(ISBLANK(I1122),0,IF(I1122&lt;40,2,IF(I1122&lt;55,1,0)))+IF(ISBLANK(M1122),0,IF(M1122=1,3,0))+IF(ISBLANK(L1122),0,IF(L1122&gt;=2,1,0))+IF(ISBLANK(E1122),0,IF(E1122&lt;12,1,0))</f>
        <v>4</v>
      </c>
      <c r="U1122" s="0" t="str">
        <f aca="false">IF((ISBLANK(B1122)*1+ISBLANK(C1122)*1+ISBLANK(D1122)*1+ISBLANK(E1122)*1+ISBLANK(F1122)*1+ISBLANK(I1122)*1+ISBLANK(J1122)*1+ISBLANK(K1122)*1+ISBLANK(L1122)*1+ISBLANK(M1122)*1+ISBLANK(N1122)*1+ISBLANK(O1122)*1)&gt;0,"Missing Data","OK")</f>
        <v>OK</v>
      </c>
      <c r="V1122" s="0" t="str">
        <f aca="false">IF(T1122&gt;=6,"High Risk",IF(T1122&gt;=3,"Medium Risk","Low Risk"))</f>
        <v>Medium Risk</v>
      </c>
    </row>
    <row r="1123" customFormat="false" ht="12.8" hidden="false" customHeight="false" outlineLevel="0" collapsed="false">
      <c r="A1123" s="1" t="s">
        <v>1153</v>
      </c>
      <c r="B1123" s="1" t="s">
        <v>29</v>
      </c>
      <c r="C1123" s="1" t="s">
        <v>34</v>
      </c>
      <c r="D1123" s="1" t="n">
        <v>39.46</v>
      </c>
      <c r="E1123" s="1" t="n">
        <v>60</v>
      </c>
      <c r="F1123" s="4" t="n">
        <v>45286</v>
      </c>
      <c r="G1123" s="1" t="s">
        <v>30</v>
      </c>
      <c r="H1123" s="1" t="n">
        <v>1</v>
      </c>
      <c r="I1123" s="1" t="n">
        <v>39.1</v>
      </c>
      <c r="J1123" s="1" t="n">
        <v>10</v>
      </c>
      <c r="K1123" s="1" t="n">
        <v>4</v>
      </c>
      <c r="L1123" s="1" t="n">
        <v>1</v>
      </c>
      <c r="M1123" s="1" t="n">
        <v>1</v>
      </c>
      <c r="N1123" s="1" t="n">
        <v>2367.6</v>
      </c>
      <c r="O1123" s="1" t="n">
        <v>0</v>
      </c>
      <c r="Q1123" s="4" t="n">
        <v>46293</v>
      </c>
      <c r="R1123" s="0" t="n">
        <f aca="false">IF(ISBLANK(F1123),"Missing",IFERROR(YEAR(F1123),"Missing"))</f>
        <v>2023</v>
      </c>
      <c r="S1123" s="0" t="str">
        <f aca="false">IF(ISBLANK(E1123),"Missing",IF(E1123&lt;6,"0-6mo",IF(E1123&lt;12,"6-12mo",IF(E1123&lt;24,"12-24mo","24mo+"))))</f>
        <v>24mo+</v>
      </c>
      <c r="T1123" s="0" t="n">
        <f aca="false">IF(ISBLANK(C1123),0,IF(C1123="Month-to-month",2,IF(C1123="One year",1,0)))+IF(ISBLANK(I1123),0,IF(I1123&lt;40,2,IF(I1123&lt;55,1,0)))+IF(ISBLANK(M1123),0,IF(M1123=1,3,0))+IF(ISBLANK(L1123),0,IF(L1123&gt;=2,1,0))+IF(ISBLANK(E1123),0,IF(E1123&lt;12,1,0))</f>
        <v>6</v>
      </c>
      <c r="U1123" s="0" t="str">
        <f aca="false">IF((ISBLANK(B1123)*1+ISBLANK(C1123)*1+ISBLANK(D1123)*1+ISBLANK(E1123)*1+ISBLANK(F1123)*1+ISBLANK(I1123)*1+ISBLANK(J1123)*1+ISBLANK(K1123)*1+ISBLANK(L1123)*1+ISBLANK(M1123)*1+ISBLANK(N1123)*1+ISBLANK(O1123)*1)&gt;0,"Missing Data","OK")</f>
        <v>OK</v>
      </c>
      <c r="V1123" s="0" t="str">
        <f aca="false">IF(T1123&gt;=6,"High Risk",IF(T1123&gt;=3,"Medium Risk","Low Risk"))</f>
        <v>High Risk</v>
      </c>
    </row>
    <row r="1124" customFormat="false" ht="12.8" hidden="false" customHeight="false" outlineLevel="0" collapsed="false">
      <c r="A1124" s="1" t="s">
        <v>1154</v>
      </c>
      <c r="B1124" s="1" t="s">
        <v>23</v>
      </c>
      <c r="C1124" s="1" t="s">
        <v>24</v>
      </c>
      <c r="D1124" s="1" t="n">
        <v>19.68</v>
      </c>
      <c r="E1124" s="1" t="n">
        <v>10</v>
      </c>
      <c r="F1124" s="4" t="n">
        <v>45288</v>
      </c>
      <c r="G1124" s="1" t="s">
        <v>39</v>
      </c>
      <c r="H1124" s="1" t="n">
        <v>1</v>
      </c>
      <c r="I1124" s="1" t="n">
        <v>72.5</v>
      </c>
      <c r="J1124" s="1" t="n">
        <v>19</v>
      </c>
      <c r="K1124" s="1" t="n">
        <v>7</v>
      </c>
      <c r="L1124" s="1" t="n">
        <v>1</v>
      </c>
      <c r="M1124" s="1" t="n">
        <v>0</v>
      </c>
      <c r="N1124" s="1" t="n">
        <v>196.8</v>
      </c>
      <c r="O1124" s="1" t="n">
        <v>0</v>
      </c>
      <c r="Q1124" s="4" t="n">
        <v>45592</v>
      </c>
      <c r="R1124" s="0" t="n">
        <f aca="false">IF(ISBLANK(F1124),"Missing",IFERROR(YEAR(F1124),"Missing"))</f>
        <v>2023</v>
      </c>
      <c r="S1124" s="0" t="str">
        <f aca="false">IF(ISBLANK(E1124),"Missing",IF(E1124&lt;6,"0-6mo",IF(E1124&lt;12,"6-12mo",IF(E1124&lt;24,"12-24mo","24mo+"))))</f>
        <v>6-12mo</v>
      </c>
      <c r="T1124" s="0" t="n">
        <f aca="false">IF(ISBLANK(C1124),0,IF(C1124="Month-to-month",2,IF(C1124="One year",1,0)))+IF(ISBLANK(I1124),0,IF(I1124&lt;40,2,IF(I1124&lt;55,1,0)))+IF(ISBLANK(M1124),0,IF(M1124=1,3,0))+IF(ISBLANK(L1124),0,IF(L1124&gt;=2,1,0))+IF(ISBLANK(E1124),0,IF(E1124&lt;12,1,0))</f>
        <v>3</v>
      </c>
      <c r="U1124" s="0" t="str">
        <f aca="false">IF((ISBLANK(B1124)*1+ISBLANK(C1124)*1+ISBLANK(D1124)*1+ISBLANK(E1124)*1+ISBLANK(F1124)*1+ISBLANK(I1124)*1+ISBLANK(J1124)*1+ISBLANK(K1124)*1+ISBLANK(L1124)*1+ISBLANK(M1124)*1+ISBLANK(N1124)*1+ISBLANK(O1124)*1)&gt;0,"Missing Data","OK")</f>
        <v>OK</v>
      </c>
      <c r="V1124" s="0" t="str">
        <f aca="false">IF(T1124&gt;=6,"High Risk",IF(T1124&gt;=3,"Medium Risk","Low Risk"))</f>
        <v>Medium Risk</v>
      </c>
    </row>
    <row r="1125" customFormat="false" ht="12.8" hidden="false" customHeight="false" outlineLevel="0" collapsed="false">
      <c r="A1125" s="1" t="s">
        <v>1155</v>
      </c>
      <c r="B1125" s="1" t="s">
        <v>23</v>
      </c>
      <c r="C1125" s="1" t="s">
        <v>51</v>
      </c>
      <c r="D1125" s="1" t="n">
        <v>20.7</v>
      </c>
      <c r="E1125" s="1" t="n">
        <v>12</v>
      </c>
      <c r="F1125" s="4" t="n">
        <v>45289</v>
      </c>
      <c r="G1125" s="1" t="s">
        <v>39</v>
      </c>
      <c r="H1125" s="1" t="n">
        <v>0</v>
      </c>
      <c r="I1125" s="1" t="n">
        <v>96.3</v>
      </c>
      <c r="J1125" s="1" t="n">
        <v>28</v>
      </c>
      <c r="K1125" s="1" t="n">
        <v>9</v>
      </c>
      <c r="L1125" s="1" t="n">
        <v>2</v>
      </c>
      <c r="M1125" s="1" t="n">
        <v>0</v>
      </c>
      <c r="N1125" s="1" t="n">
        <v>248.4</v>
      </c>
      <c r="O1125" s="1" t="n">
        <v>0</v>
      </c>
      <c r="Q1125" s="4" t="n">
        <v>45654</v>
      </c>
      <c r="R1125" s="0" t="n">
        <f aca="false">IF(ISBLANK(F1125),"Missing",IFERROR(YEAR(F1125),"Missing"))</f>
        <v>2023</v>
      </c>
      <c r="S1125" s="0" t="str">
        <f aca="false">IF(ISBLANK(E1125),"Missing",IF(E1125&lt;6,"0-6mo",IF(E1125&lt;12,"6-12mo",IF(E1125&lt;24,"12-24mo","24mo+"))))</f>
        <v>12-24mo</v>
      </c>
      <c r="T1125" s="0" t="n">
        <f aca="false">IF(ISBLANK(C1125),0,IF(C1125="Month-to-month",2,IF(C1125="One year",1,0)))+IF(ISBLANK(I1125),0,IF(I1125&lt;40,2,IF(I1125&lt;55,1,0)))+IF(ISBLANK(M1125),0,IF(M1125=1,3,0))+IF(ISBLANK(L1125),0,IF(L1125&gt;=2,1,0))+IF(ISBLANK(E1125),0,IF(E1125&lt;12,1,0))</f>
        <v>1</v>
      </c>
      <c r="U1125" s="0" t="str">
        <f aca="false">IF((ISBLANK(B1125)*1+ISBLANK(C1125)*1+ISBLANK(D1125)*1+ISBLANK(E1125)*1+ISBLANK(F1125)*1+ISBLANK(I1125)*1+ISBLANK(J1125)*1+ISBLANK(K1125)*1+ISBLANK(L1125)*1+ISBLANK(M1125)*1+ISBLANK(N1125)*1+ISBLANK(O1125)*1)&gt;0,"Missing Data","OK")</f>
        <v>OK</v>
      </c>
      <c r="V1125" s="0" t="str">
        <f aca="false">IF(T1125&gt;=6,"High Risk",IF(T1125&gt;=3,"Medium Risk","Low Risk"))</f>
        <v>Low Risk</v>
      </c>
    </row>
    <row r="1126" customFormat="false" ht="12.8" hidden="false" customHeight="false" outlineLevel="0" collapsed="false">
      <c r="A1126" s="1" t="s">
        <v>1156</v>
      </c>
      <c r="B1126" s="1" t="s">
        <v>23</v>
      </c>
      <c r="C1126" s="1" t="s">
        <v>51</v>
      </c>
      <c r="D1126" s="1" t="n">
        <v>19.3</v>
      </c>
      <c r="E1126" s="1" t="n">
        <v>72</v>
      </c>
      <c r="F1126" s="4" t="n">
        <v>45292</v>
      </c>
      <c r="G1126" s="1" t="s">
        <v>25</v>
      </c>
      <c r="H1126" s="1" t="n">
        <v>0</v>
      </c>
      <c r="I1126" s="1" t="n">
        <v>44.1</v>
      </c>
      <c r="J1126" s="1" t="n">
        <v>11</v>
      </c>
      <c r="K1126" s="1" t="n">
        <v>6</v>
      </c>
      <c r="L1126" s="1" t="n">
        <v>2</v>
      </c>
      <c r="M1126" s="1" t="n">
        <v>0</v>
      </c>
      <c r="N1126" s="1" t="n">
        <v>1389.6</v>
      </c>
      <c r="O1126" s="1" t="n">
        <v>0</v>
      </c>
      <c r="Q1126" s="4" t="n">
        <v>46293</v>
      </c>
      <c r="R1126" s="0" t="n">
        <f aca="false">IF(ISBLANK(F1126),"Missing",IFERROR(YEAR(F1126),"Missing"))</f>
        <v>2024</v>
      </c>
      <c r="S1126" s="0" t="str">
        <f aca="false">IF(ISBLANK(E1126),"Missing",IF(E1126&lt;6,"0-6mo",IF(E1126&lt;12,"6-12mo",IF(E1126&lt;24,"12-24mo","24mo+"))))</f>
        <v>24mo+</v>
      </c>
      <c r="T1126" s="0" t="n">
        <f aca="false">IF(ISBLANK(C1126),0,IF(C1126="Month-to-month",2,IF(C1126="One year",1,0)))+IF(ISBLANK(I1126),0,IF(I1126&lt;40,2,IF(I1126&lt;55,1,0)))+IF(ISBLANK(M1126),0,IF(M1126=1,3,0))+IF(ISBLANK(L1126),0,IF(L1126&gt;=2,1,0))+IF(ISBLANK(E1126),0,IF(E1126&lt;12,1,0))</f>
        <v>2</v>
      </c>
      <c r="U1126" s="0" t="str">
        <f aca="false">IF((ISBLANK(B1126)*1+ISBLANK(C1126)*1+ISBLANK(D1126)*1+ISBLANK(E1126)*1+ISBLANK(F1126)*1+ISBLANK(I1126)*1+ISBLANK(J1126)*1+ISBLANK(K1126)*1+ISBLANK(L1126)*1+ISBLANK(M1126)*1+ISBLANK(N1126)*1+ISBLANK(O1126)*1)&gt;0,"Missing Data","OK")</f>
        <v>OK</v>
      </c>
      <c r="V1126" s="0" t="str">
        <f aca="false">IF(T1126&gt;=6,"High Risk",IF(T1126&gt;=3,"Medium Risk","Low Risk"))</f>
        <v>Low Risk</v>
      </c>
    </row>
    <row r="1127" customFormat="false" ht="12.8" hidden="false" customHeight="false" outlineLevel="0" collapsed="false">
      <c r="A1127" s="1" t="s">
        <v>1157</v>
      </c>
      <c r="B1127" s="1" t="s">
        <v>23</v>
      </c>
      <c r="C1127" s="1" t="s">
        <v>51</v>
      </c>
      <c r="D1127" s="1" t="n">
        <v>19.89</v>
      </c>
      <c r="E1127" s="1" t="n">
        <v>53</v>
      </c>
      <c r="F1127" s="4" t="n">
        <v>45292</v>
      </c>
      <c r="G1127" s="1" t="s">
        <v>25</v>
      </c>
      <c r="H1127" s="1" t="n">
        <v>0</v>
      </c>
      <c r="I1127" s="1" t="n">
        <v>49</v>
      </c>
      <c r="J1127" s="1" t="n">
        <v>16</v>
      </c>
      <c r="K1127" s="1" t="n">
        <v>4</v>
      </c>
      <c r="L1127" s="1" t="n">
        <v>5</v>
      </c>
      <c r="M1127" s="1" t="n">
        <v>1</v>
      </c>
      <c r="N1127" s="1" t="n">
        <v>1054.17</v>
      </c>
      <c r="O1127" s="1" t="n">
        <v>0</v>
      </c>
      <c r="Q1127" s="4" t="n">
        <v>46293</v>
      </c>
      <c r="R1127" s="0" t="n">
        <f aca="false">IF(ISBLANK(F1127),"Missing",IFERROR(YEAR(F1127),"Missing"))</f>
        <v>2024</v>
      </c>
      <c r="S1127" s="0" t="str">
        <f aca="false">IF(ISBLANK(E1127),"Missing",IF(E1127&lt;6,"0-6mo",IF(E1127&lt;12,"6-12mo",IF(E1127&lt;24,"12-24mo","24mo+"))))</f>
        <v>24mo+</v>
      </c>
      <c r="T1127" s="0" t="n">
        <f aca="false">IF(ISBLANK(C1127),0,IF(C1127="Month-to-month",2,IF(C1127="One year",1,0)))+IF(ISBLANK(I1127),0,IF(I1127&lt;40,2,IF(I1127&lt;55,1,0)))+IF(ISBLANK(M1127),0,IF(M1127=1,3,0))+IF(ISBLANK(L1127),0,IF(L1127&gt;=2,1,0))+IF(ISBLANK(E1127),0,IF(E1127&lt;12,1,0))</f>
        <v>5</v>
      </c>
      <c r="U1127" s="0" t="str">
        <f aca="false">IF((ISBLANK(B1127)*1+ISBLANK(C1127)*1+ISBLANK(D1127)*1+ISBLANK(E1127)*1+ISBLANK(F1127)*1+ISBLANK(I1127)*1+ISBLANK(J1127)*1+ISBLANK(K1127)*1+ISBLANK(L1127)*1+ISBLANK(M1127)*1+ISBLANK(N1127)*1+ISBLANK(O1127)*1)&gt;0,"Missing Data","OK")</f>
        <v>OK</v>
      </c>
      <c r="V1127" s="0" t="str">
        <f aca="false">IF(T1127&gt;=6,"High Risk",IF(T1127&gt;=3,"Medium Risk","Low Risk"))</f>
        <v>Medium Risk</v>
      </c>
    </row>
    <row r="1128" customFormat="false" ht="12.8" hidden="false" customHeight="false" outlineLevel="0" collapsed="false">
      <c r="A1128" s="1" t="s">
        <v>1158</v>
      </c>
      <c r="B1128" s="1" t="s">
        <v>29</v>
      </c>
      <c r="C1128" s="1" t="s">
        <v>34</v>
      </c>
      <c r="D1128" s="1" t="n">
        <v>38.35</v>
      </c>
      <c r="E1128" s="1" t="n">
        <v>31</v>
      </c>
      <c r="F1128" s="4" t="n">
        <v>45294</v>
      </c>
      <c r="G1128" s="1" t="s">
        <v>30</v>
      </c>
      <c r="H1128" s="1" t="n">
        <v>1</v>
      </c>
      <c r="I1128" s="1" t="n">
        <v>14.5</v>
      </c>
      <c r="J1128" s="1" t="n">
        <v>5</v>
      </c>
      <c r="K1128" s="1" t="n">
        <v>5</v>
      </c>
      <c r="L1128" s="1" t="n">
        <v>1</v>
      </c>
      <c r="M1128" s="1" t="n">
        <v>0</v>
      </c>
      <c r="N1128" s="1" t="n">
        <v>1188.85</v>
      </c>
      <c r="O1128" s="1" t="n">
        <v>0</v>
      </c>
      <c r="Q1128" s="4" t="n">
        <v>46237</v>
      </c>
      <c r="R1128" s="0" t="n">
        <f aca="false">IF(ISBLANK(F1128),"Missing",IFERROR(YEAR(F1128),"Missing"))</f>
        <v>2024</v>
      </c>
      <c r="S1128" s="0" t="str">
        <f aca="false">IF(ISBLANK(E1128),"Missing",IF(E1128&lt;6,"0-6mo",IF(E1128&lt;12,"6-12mo",IF(E1128&lt;24,"12-24mo","24mo+"))))</f>
        <v>24mo+</v>
      </c>
      <c r="T1128" s="0" t="n">
        <f aca="false">IF(ISBLANK(C1128),0,IF(C1128="Month-to-month",2,IF(C1128="One year",1,0)))+IF(ISBLANK(I1128),0,IF(I1128&lt;40,2,IF(I1128&lt;55,1,0)))+IF(ISBLANK(M1128),0,IF(M1128=1,3,0))+IF(ISBLANK(L1128),0,IF(L1128&gt;=2,1,0))+IF(ISBLANK(E1128),0,IF(E1128&lt;12,1,0))</f>
        <v>3</v>
      </c>
      <c r="U1128" s="0" t="str">
        <f aca="false">IF((ISBLANK(B1128)*1+ISBLANK(C1128)*1+ISBLANK(D1128)*1+ISBLANK(E1128)*1+ISBLANK(F1128)*1+ISBLANK(I1128)*1+ISBLANK(J1128)*1+ISBLANK(K1128)*1+ISBLANK(L1128)*1+ISBLANK(M1128)*1+ISBLANK(N1128)*1+ISBLANK(O1128)*1)&gt;0,"Missing Data","OK")</f>
        <v>OK</v>
      </c>
      <c r="V1128" s="0" t="str">
        <f aca="false">IF(T1128&gt;=6,"High Risk",IF(T1128&gt;=3,"Medium Risk","Low Risk"))</f>
        <v>Medium Risk</v>
      </c>
    </row>
    <row r="1129" customFormat="false" ht="12.8" hidden="false" customHeight="false" outlineLevel="0" collapsed="false">
      <c r="A1129" s="1" t="s">
        <v>1159</v>
      </c>
      <c r="B1129" s="1" t="s">
        <v>36</v>
      </c>
      <c r="C1129" s="1" t="s">
        <v>24</v>
      </c>
      <c r="D1129" s="1" t="n">
        <v>10.58</v>
      </c>
      <c r="E1129" s="1" t="n">
        <v>21</v>
      </c>
      <c r="F1129" s="4" t="n">
        <v>45295</v>
      </c>
      <c r="G1129" s="1" t="s">
        <v>39</v>
      </c>
      <c r="H1129" s="1" t="n">
        <v>0</v>
      </c>
      <c r="I1129" s="1" t="n">
        <v>67.1</v>
      </c>
      <c r="J1129" s="1" t="n">
        <v>25</v>
      </c>
      <c r="K1129" s="1" t="n">
        <v>7</v>
      </c>
      <c r="L1129" s="1" t="n">
        <v>1</v>
      </c>
      <c r="M1129" s="1" t="n">
        <v>1</v>
      </c>
      <c r="N1129" s="1" t="n">
        <v>222.18</v>
      </c>
      <c r="O1129" s="1" t="n">
        <v>0</v>
      </c>
      <c r="Q1129" s="4" t="n">
        <v>45934</v>
      </c>
      <c r="R1129" s="0" t="n">
        <f aca="false">IF(ISBLANK(F1129),"Missing",IFERROR(YEAR(F1129),"Missing"))</f>
        <v>2024</v>
      </c>
      <c r="S1129" s="0" t="str">
        <f aca="false">IF(ISBLANK(E1129),"Missing",IF(E1129&lt;6,"0-6mo",IF(E1129&lt;12,"6-12mo",IF(E1129&lt;24,"12-24mo","24mo+"))))</f>
        <v>12-24mo</v>
      </c>
      <c r="T1129" s="0" t="n">
        <f aca="false">IF(ISBLANK(C1129),0,IF(C1129="Month-to-month",2,IF(C1129="One year",1,0)))+IF(ISBLANK(I1129),0,IF(I1129&lt;40,2,IF(I1129&lt;55,1,0)))+IF(ISBLANK(M1129),0,IF(M1129=1,3,0))+IF(ISBLANK(L1129),0,IF(L1129&gt;=2,1,0))+IF(ISBLANK(E1129),0,IF(E1129&lt;12,1,0))</f>
        <v>5</v>
      </c>
      <c r="U1129" s="0" t="str">
        <f aca="false">IF((ISBLANK(B1129)*1+ISBLANK(C1129)*1+ISBLANK(D1129)*1+ISBLANK(E1129)*1+ISBLANK(F1129)*1+ISBLANK(I1129)*1+ISBLANK(J1129)*1+ISBLANK(K1129)*1+ISBLANK(L1129)*1+ISBLANK(M1129)*1+ISBLANK(N1129)*1+ISBLANK(O1129)*1)&gt;0,"Missing Data","OK")</f>
        <v>OK</v>
      </c>
      <c r="V1129" s="0" t="str">
        <f aca="false">IF(T1129&gt;=6,"High Risk",IF(T1129&gt;=3,"Medium Risk","Low Risk"))</f>
        <v>Medium Risk</v>
      </c>
    </row>
    <row r="1130" customFormat="false" ht="12.8" hidden="false" customHeight="false" outlineLevel="0" collapsed="false">
      <c r="A1130" s="1" t="s">
        <v>1160</v>
      </c>
      <c r="B1130" s="1" t="s">
        <v>23</v>
      </c>
      <c r="C1130" s="1" t="s">
        <v>24</v>
      </c>
      <c r="D1130" s="1" t="n">
        <v>20.53</v>
      </c>
      <c r="E1130" s="1" t="n">
        <v>17</v>
      </c>
      <c r="F1130" s="4" t="n">
        <v>45295</v>
      </c>
      <c r="G1130" s="1" t="s">
        <v>30</v>
      </c>
      <c r="H1130" s="1" t="n">
        <v>1</v>
      </c>
      <c r="I1130" s="1" t="n">
        <v>47.4</v>
      </c>
      <c r="J1130" s="1" t="n">
        <v>12</v>
      </c>
      <c r="K1130" s="1" t="n">
        <v>5</v>
      </c>
      <c r="L1130" s="1" t="n">
        <v>1</v>
      </c>
      <c r="M1130" s="1" t="n">
        <v>0</v>
      </c>
      <c r="N1130" s="1" t="n">
        <v>349.01</v>
      </c>
      <c r="O1130" s="1" t="n">
        <v>0</v>
      </c>
      <c r="Q1130" s="4" t="n">
        <v>45812</v>
      </c>
      <c r="R1130" s="0" t="n">
        <f aca="false">IF(ISBLANK(F1130),"Missing",IFERROR(YEAR(F1130),"Missing"))</f>
        <v>2024</v>
      </c>
      <c r="S1130" s="0" t="str">
        <f aca="false">IF(ISBLANK(E1130),"Missing",IF(E1130&lt;6,"0-6mo",IF(E1130&lt;12,"6-12mo",IF(E1130&lt;24,"12-24mo","24mo+"))))</f>
        <v>12-24mo</v>
      </c>
      <c r="T1130" s="0" t="n">
        <f aca="false">IF(ISBLANK(C1130),0,IF(C1130="Month-to-month",2,IF(C1130="One year",1,0)))+IF(ISBLANK(I1130),0,IF(I1130&lt;40,2,IF(I1130&lt;55,1,0)))+IF(ISBLANK(M1130),0,IF(M1130=1,3,0))+IF(ISBLANK(L1130),0,IF(L1130&gt;=2,1,0))+IF(ISBLANK(E1130),0,IF(E1130&lt;12,1,0))</f>
        <v>3</v>
      </c>
      <c r="U1130" s="0" t="str">
        <f aca="false">IF((ISBLANK(B1130)*1+ISBLANK(C1130)*1+ISBLANK(D1130)*1+ISBLANK(E1130)*1+ISBLANK(F1130)*1+ISBLANK(I1130)*1+ISBLANK(J1130)*1+ISBLANK(K1130)*1+ISBLANK(L1130)*1+ISBLANK(M1130)*1+ISBLANK(N1130)*1+ISBLANK(O1130)*1)&gt;0,"Missing Data","OK")</f>
        <v>OK</v>
      </c>
      <c r="V1130" s="0" t="str">
        <f aca="false">IF(T1130&gt;=6,"High Risk",IF(T1130&gt;=3,"Medium Risk","Low Risk"))</f>
        <v>Medium Risk</v>
      </c>
    </row>
    <row r="1131" customFormat="false" ht="12.8" hidden="false" customHeight="false" outlineLevel="0" collapsed="false">
      <c r="A1131" s="1" t="s">
        <v>1161</v>
      </c>
      <c r="B1131" s="1" t="s">
        <v>36</v>
      </c>
      <c r="C1131" s="1" t="s">
        <v>51</v>
      </c>
      <c r="D1131" s="1" t="n">
        <v>9.44</v>
      </c>
      <c r="E1131" s="1" t="n">
        <v>29</v>
      </c>
      <c r="F1131" s="4" t="n">
        <v>45295</v>
      </c>
      <c r="G1131" s="1" t="s">
        <v>39</v>
      </c>
      <c r="H1131" s="1" t="n">
        <v>1</v>
      </c>
      <c r="I1131" s="1" t="n">
        <v>66.6</v>
      </c>
      <c r="J1131" s="1" t="n">
        <v>18</v>
      </c>
      <c r="K1131" s="1" t="n">
        <v>8</v>
      </c>
      <c r="L1131" s="1" t="n">
        <v>2</v>
      </c>
      <c r="M1131" s="1" t="n">
        <v>0</v>
      </c>
      <c r="N1131" s="1" t="n">
        <v>273.76</v>
      </c>
      <c r="O1131" s="1" t="n">
        <v>0</v>
      </c>
      <c r="Q1131" s="4" t="n">
        <v>46177</v>
      </c>
      <c r="R1131" s="0" t="n">
        <f aca="false">IF(ISBLANK(F1131),"Missing",IFERROR(YEAR(F1131),"Missing"))</f>
        <v>2024</v>
      </c>
      <c r="S1131" s="0" t="str">
        <f aca="false">IF(ISBLANK(E1131),"Missing",IF(E1131&lt;6,"0-6mo",IF(E1131&lt;12,"6-12mo",IF(E1131&lt;24,"12-24mo","24mo+"))))</f>
        <v>24mo+</v>
      </c>
      <c r="T1131" s="0" t="n">
        <f aca="false">IF(ISBLANK(C1131),0,IF(C1131="Month-to-month",2,IF(C1131="One year",1,0)))+IF(ISBLANK(I1131),0,IF(I1131&lt;40,2,IF(I1131&lt;55,1,0)))+IF(ISBLANK(M1131),0,IF(M1131=1,3,0))+IF(ISBLANK(L1131),0,IF(L1131&gt;=2,1,0))+IF(ISBLANK(E1131),0,IF(E1131&lt;12,1,0))</f>
        <v>1</v>
      </c>
      <c r="U1131" s="0" t="str">
        <f aca="false">IF((ISBLANK(B1131)*1+ISBLANK(C1131)*1+ISBLANK(D1131)*1+ISBLANK(E1131)*1+ISBLANK(F1131)*1+ISBLANK(I1131)*1+ISBLANK(J1131)*1+ISBLANK(K1131)*1+ISBLANK(L1131)*1+ISBLANK(M1131)*1+ISBLANK(N1131)*1+ISBLANK(O1131)*1)&gt;0,"Missing Data","OK")</f>
        <v>OK</v>
      </c>
      <c r="V1131" s="0" t="str">
        <f aca="false">IF(T1131&gt;=6,"High Risk",IF(T1131&gt;=3,"Medium Risk","Low Risk"))</f>
        <v>Low Risk</v>
      </c>
    </row>
    <row r="1132" customFormat="false" ht="12.8" hidden="false" customHeight="false" outlineLevel="0" collapsed="false">
      <c r="A1132" s="1" t="s">
        <v>1162</v>
      </c>
      <c r="B1132" s="1" t="s">
        <v>36</v>
      </c>
      <c r="C1132" s="1" t="s">
        <v>51</v>
      </c>
      <c r="D1132" s="1" t="n">
        <v>10.38</v>
      </c>
      <c r="E1132" s="1" t="n">
        <v>40</v>
      </c>
      <c r="F1132" s="4" t="n">
        <v>45296</v>
      </c>
      <c r="G1132" s="1" t="s">
        <v>25</v>
      </c>
      <c r="H1132" s="1" t="n">
        <v>0</v>
      </c>
      <c r="I1132" s="1" t="n">
        <v>44.4</v>
      </c>
      <c r="J1132" s="1" t="n">
        <v>10</v>
      </c>
      <c r="K1132" s="1" t="n">
        <v>3</v>
      </c>
      <c r="L1132" s="1" t="n">
        <v>1</v>
      </c>
      <c r="M1132" s="1" t="n">
        <v>1</v>
      </c>
      <c r="N1132" s="1" t="n">
        <v>415.2</v>
      </c>
      <c r="O1132" s="1" t="n">
        <v>0</v>
      </c>
      <c r="Q1132" s="4" t="n">
        <v>46293</v>
      </c>
      <c r="R1132" s="0" t="n">
        <f aca="false">IF(ISBLANK(F1132),"Missing",IFERROR(YEAR(F1132),"Missing"))</f>
        <v>2024</v>
      </c>
      <c r="S1132" s="0" t="str">
        <f aca="false">IF(ISBLANK(E1132),"Missing",IF(E1132&lt;6,"0-6mo",IF(E1132&lt;12,"6-12mo",IF(E1132&lt;24,"12-24mo","24mo+"))))</f>
        <v>24mo+</v>
      </c>
      <c r="T1132" s="0" t="n">
        <f aca="false">IF(ISBLANK(C1132),0,IF(C1132="Month-to-month",2,IF(C1132="One year",1,0)))+IF(ISBLANK(I1132),0,IF(I1132&lt;40,2,IF(I1132&lt;55,1,0)))+IF(ISBLANK(M1132),0,IF(M1132=1,3,0))+IF(ISBLANK(L1132),0,IF(L1132&gt;=2,1,0))+IF(ISBLANK(E1132),0,IF(E1132&lt;12,1,0))</f>
        <v>4</v>
      </c>
      <c r="U1132" s="0" t="str">
        <f aca="false">IF((ISBLANK(B1132)*1+ISBLANK(C1132)*1+ISBLANK(D1132)*1+ISBLANK(E1132)*1+ISBLANK(F1132)*1+ISBLANK(I1132)*1+ISBLANK(J1132)*1+ISBLANK(K1132)*1+ISBLANK(L1132)*1+ISBLANK(M1132)*1+ISBLANK(N1132)*1+ISBLANK(O1132)*1)&gt;0,"Missing Data","OK")</f>
        <v>OK</v>
      </c>
      <c r="V1132" s="0" t="str">
        <f aca="false">IF(T1132&gt;=6,"High Risk",IF(T1132&gt;=3,"Medium Risk","Low Risk"))</f>
        <v>Medium Risk</v>
      </c>
    </row>
    <row r="1133" customFormat="false" ht="12.8" hidden="false" customHeight="false" outlineLevel="0" collapsed="false">
      <c r="A1133" s="1" t="s">
        <v>1163</v>
      </c>
      <c r="B1133" s="1" t="s">
        <v>23</v>
      </c>
      <c r="C1133" s="1" t="s">
        <v>51</v>
      </c>
      <c r="D1133" s="1" t="n">
        <v>19.08</v>
      </c>
      <c r="E1133" s="1" t="n">
        <v>72</v>
      </c>
      <c r="F1133" s="4" t="n">
        <v>45297</v>
      </c>
      <c r="G1133" s="1" t="s">
        <v>25</v>
      </c>
      <c r="H1133" s="1" t="n">
        <v>0</v>
      </c>
      <c r="I1133" s="1" t="n">
        <v>73.9</v>
      </c>
      <c r="J1133" s="1" t="n">
        <v>22</v>
      </c>
      <c r="K1133" s="1" t="n">
        <v>8</v>
      </c>
      <c r="L1133" s="1" t="n">
        <v>1</v>
      </c>
      <c r="M1133" s="1" t="n">
        <v>1</v>
      </c>
      <c r="N1133" s="1" t="n">
        <v>1373.76</v>
      </c>
      <c r="O1133" s="1" t="n">
        <v>0</v>
      </c>
      <c r="Q1133" s="4" t="n">
        <v>46293</v>
      </c>
      <c r="R1133" s="0" t="n">
        <f aca="false">IF(ISBLANK(F1133),"Missing",IFERROR(YEAR(F1133),"Missing"))</f>
        <v>2024</v>
      </c>
      <c r="S1133" s="0" t="str">
        <f aca="false">IF(ISBLANK(E1133),"Missing",IF(E1133&lt;6,"0-6mo",IF(E1133&lt;12,"6-12mo",IF(E1133&lt;24,"12-24mo","24mo+"))))</f>
        <v>24mo+</v>
      </c>
      <c r="T1133" s="0" t="n">
        <f aca="false">IF(ISBLANK(C1133),0,IF(C1133="Month-to-month",2,IF(C1133="One year",1,0)))+IF(ISBLANK(I1133),0,IF(I1133&lt;40,2,IF(I1133&lt;55,1,0)))+IF(ISBLANK(M1133),0,IF(M1133=1,3,0))+IF(ISBLANK(L1133),0,IF(L1133&gt;=2,1,0))+IF(ISBLANK(E1133),0,IF(E1133&lt;12,1,0))</f>
        <v>3</v>
      </c>
      <c r="U1133" s="0" t="str">
        <f aca="false">IF((ISBLANK(B1133)*1+ISBLANK(C1133)*1+ISBLANK(D1133)*1+ISBLANK(E1133)*1+ISBLANK(F1133)*1+ISBLANK(I1133)*1+ISBLANK(J1133)*1+ISBLANK(K1133)*1+ISBLANK(L1133)*1+ISBLANK(M1133)*1+ISBLANK(N1133)*1+ISBLANK(O1133)*1)&gt;0,"Missing Data","OK")</f>
        <v>OK</v>
      </c>
      <c r="V1133" s="0" t="str">
        <f aca="false">IF(T1133&gt;=6,"High Risk",IF(T1133&gt;=3,"Medium Risk","Low Risk"))</f>
        <v>Medium Risk</v>
      </c>
    </row>
    <row r="1134" customFormat="false" ht="12.8" hidden="false" customHeight="false" outlineLevel="0" collapsed="false">
      <c r="A1134" s="1" t="s">
        <v>1164</v>
      </c>
      <c r="B1134" s="1" t="s">
        <v>36</v>
      </c>
      <c r="C1134" s="1" t="s">
        <v>34</v>
      </c>
      <c r="D1134" s="1" t="n">
        <v>9.97</v>
      </c>
      <c r="E1134" s="1" t="n">
        <v>7</v>
      </c>
      <c r="F1134" s="4" t="n">
        <v>45304</v>
      </c>
      <c r="G1134" s="1" t="s">
        <v>27</v>
      </c>
      <c r="H1134" s="1" t="n">
        <v>1</v>
      </c>
      <c r="I1134" s="1" t="n">
        <v>29.2</v>
      </c>
      <c r="J1134" s="1" t="n">
        <v>0</v>
      </c>
      <c r="K1134" s="1" t="n">
        <v>0</v>
      </c>
      <c r="L1134" s="1" t="n">
        <v>1</v>
      </c>
      <c r="M1134" s="1" t="n">
        <v>0</v>
      </c>
      <c r="N1134" s="1" t="n">
        <v>69.79</v>
      </c>
      <c r="O1134" s="1" t="n">
        <v>0</v>
      </c>
      <c r="Q1134" s="4" t="n">
        <v>45517</v>
      </c>
      <c r="R1134" s="0" t="n">
        <f aca="false">IF(ISBLANK(F1134),"Missing",IFERROR(YEAR(F1134),"Missing"))</f>
        <v>2024</v>
      </c>
      <c r="S1134" s="0" t="str">
        <f aca="false">IF(ISBLANK(E1134),"Missing",IF(E1134&lt;6,"0-6mo",IF(E1134&lt;12,"6-12mo",IF(E1134&lt;24,"12-24mo","24mo+"))))</f>
        <v>6-12mo</v>
      </c>
      <c r="T1134" s="0" t="n">
        <f aca="false">IF(ISBLANK(C1134),0,IF(C1134="Month-to-month",2,IF(C1134="One year",1,0)))+IF(ISBLANK(I1134),0,IF(I1134&lt;40,2,IF(I1134&lt;55,1,0)))+IF(ISBLANK(M1134),0,IF(M1134=1,3,0))+IF(ISBLANK(L1134),0,IF(L1134&gt;=2,1,0))+IF(ISBLANK(E1134),0,IF(E1134&lt;12,1,0))</f>
        <v>4</v>
      </c>
      <c r="U1134" s="0" t="str">
        <f aca="false">IF((ISBLANK(B1134)*1+ISBLANK(C1134)*1+ISBLANK(D1134)*1+ISBLANK(E1134)*1+ISBLANK(F1134)*1+ISBLANK(I1134)*1+ISBLANK(J1134)*1+ISBLANK(K1134)*1+ISBLANK(L1134)*1+ISBLANK(M1134)*1+ISBLANK(N1134)*1+ISBLANK(O1134)*1)&gt;0,"Missing Data","OK")</f>
        <v>OK</v>
      </c>
      <c r="V1134" s="0" t="str">
        <f aca="false">IF(T1134&gt;=6,"High Risk",IF(T1134&gt;=3,"Medium Risk","Low Risk"))</f>
        <v>Medium Risk</v>
      </c>
    </row>
    <row r="1135" customFormat="false" ht="12.8" hidden="false" customHeight="false" outlineLevel="0" collapsed="false">
      <c r="A1135" s="1" t="s">
        <v>1165</v>
      </c>
      <c r="B1135" s="1" t="s">
        <v>36</v>
      </c>
      <c r="C1135" s="1" t="s">
        <v>24</v>
      </c>
      <c r="D1135" s="1" t="n">
        <v>10.16</v>
      </c>
      <c r="E1135" s="1" t="n">
        <v>20</v>
      </c>
      <c r="F1135" s="4" t="n">
        <v>45305</v>
      </c>
      <c r="G1135" s="1" t="s">
        <v>25</v>
      </c>
      <c r="H1135" s="1" t="n">
        <v>1</v>
      </c>
      <c r="I1135" s="1" t="n">
        <v>56.4</v>
      </c>
      <c r="J1135" s="1" t="n">
        <v>19</v>
      </c>
      <c r="K1135" s="1" t="n">
        <v>6</v>
      </c>
      <c r="L1135" s="1" t="n">
        <v>2</v>
      </c>
      <c r="M1135" s="1" t="n">
        <v>0</v>
      </c>
      <c r="N1135" s="1" t="n">
        <v>203.2</v>
      </c>
      <c r="O1135" s="1" t="n">
        <v>0</v>
      </c>
      <c r="Q1135" s="4" t="n">
        <v>45913</v>
      </c>
      <c r="R1135" s="0" t="n">
        <f aca="false">IF(ISBLANK(F1135),"Missing",IFERROR(YEAR(F1135),"Missing"))</f>
        <v>2024</v>
      </c>
      <c r="S1135" s="0" t="str">
        <f aca="false">IF(ISBLANK(E1135),"Missing",IF(E1135&lt;6,"0-6mo",IF(E1135&lt;12,"6-12mo",IF(E1135&lt;24,"12-24mo","24mo+"))))</f>
        <v>12-24mo</v>
      </c>
      <c r="T1135" s="0" t="n">
        <f aca="false">IF(ISBLANK(C1135),0,IF(C1135="Month-to-month",2,IF(C1135="One year",1,0)))+IF(ISBLANK(I1135),0,IF(I1135&lt;40,2,IF(I1135&lt;55,1,0)))+IF(ISBLANK(M1135),0,IF(M1135=1,3,0))+IF(ISBLANK(L1135),0,IF(L1135&gt;=2,1,0))+IF(ISBLANK(E1135),0,IF(E1135&lt;12,1,0))</f>
        <v>3</v>
      </c>
      <c r="U1135" s="0" t="str">
        <f aca="false">IF((ISBLANK(B1135)*1+ISBLANK(C1135)*1+ISBLANK(D1135)*1+ISBLANK(E1135)*1+ISBLANK(F1135)*1+ISBLANK(I1135)*1+ISBLANK(J1135)*1+ISBLANK(K1135)*1+ISBLANK(L1135)*1+ISBLANK(M1135)*1+ISBLANK(N1135)*1+ISBLANK(O1135)*1)&gt;0,"Missing Data","OK")</f>
        <v>OK</v>
      </c>
      <c r="V1135" s="0" t="str">
        <f aca="false">IF(T1135&gt;=6,"High Risk",IF(T1135&gt;=3,"Medium Risk","Low Risk"))</f>
        <v>Medium Risk</v>
      </c>
    </row>
    <row r="1136" customFormat="false" ht="12.8" hidden="false" customHeight="false" outlineLevel="0" collapsed="false">
      <c r="A1136" s="1" t="s">
        <v>1166</v>
      </c>
      <c r="B1136" s="1" t="s">
        <v>23</v>
      </c>
      <c r="C1136" s="1" t="s">
        <v>34</v>
      </c>
      <c r="D1136" s="1" t="n">
        <v>20.38</v>
      </c>
      <c r="E1136" s="1" t="n">
        <v>39</v>
      </c>
      <c r="F1136" s="4" t="n">
        <v>45306</v>
      </c>
      <c r="G1136" s="1" t="s">
        <v>25</v>
      </c>
      <c r="H1136" s="1" t="n">
        <v>1</v>
      </c>
      <c r="I1136" s="1" t="n">
        <v>71</v>
      </c>
      <c r="J1136" s="1" t="n">
        <v>21</v>
      </c>
      <c r="K1136" s="1" t="n">
        <v>6</v>
      </c>
      <c r="L1136" s="1" t="n">
        <v>0</v>
      </c>
      <c r="M1136" s="1" t="n">
        <v>0</v>
      </c>
      <c r="N1136" s="1" t="n">
        <v>794.82</v>
      </c>
      <c r="O1136" s="1" t="n">
        <v>0</v>
      </c>
      <c r="Q1136" s="4" t="n">
        <v>46293</v>
      </c>
      <c r="R1136" s="0" t="n">
        <f aca="false">IF(ISBLANK(F1136),"Missing",IFERROR(YEAR(F1136),"Missing"))</f>
        <v>2024</v>
      </c>
      <c r="S1136" s="0" t="str">
        <f aca="false">IF(ISBLANK(E1136),"Missing",IF(E1136&lt;6,"0-6mo",IF(E1136&lt;12,"6-12mo",IF(E1136&lt;24,"12-24mo","24mo+"))))</f>
        <v>24mo+</v>
      </c>
      <c r="T1136" s="0" t="n">
        <f aca="false">IF(ISBLANK(C1136),0,IF(C1136="Month-to-month",2,IF(C1136="One year",1,0)))+IF(ISBLANK(I1136),0,IF(I1136&lt;40,2,IF(I1136&lt;55,1,0)))+IF(ISBLANK(M1136),0,IF(M1136=1,3,0))+IF(ISBLANK(L1136),0,IF(L1136&gt;=2,1,0))+IF(ISBLANK(E1136),0,IF(E1136&lt;12,1,0))</f>
        <v>1</v>
      </c>
      <c r="U1136" s="0" t="str">
        <f aca="false">IF((ISBLANK(B1136)*1+ISBLANK(C1136)*1+ISBLANK(D1136)*1+ISBLANK(E1136)*1+ISBLANK(F1136)*1+ISBLANK(I1136)*1+ISBLANK(J1136)*1+ISBLANK(K1136)*1+ISBLANK(L1136)*1+ISBLANK(M1136)*1+ISBLANK(N1136)*1+ISBLANK(O1136)*1)&gt;0,"Missing Data","OK")</f>
        <v>OK</v>
      </c>
      <c r="V1136" s="0" t="str">
        <f aca="false">IF(T1136&gt;=6,"High Risk",IF(T1136&gt;=3,"Medium Risk","Low Risk"))</f>
        <v>Low Risk</v>
      </c>
    </row>
    <row r="1137" customFormat="false" ht="12.8" hidden="false" customHeight="false" outlineLevel="0" collapsed="false">
      <c r="A1137" s="1" t="s">
        <v>1167</v>
      </c>
      <c r="B1137" s="1" t="s">
        <v>23</v>
      </c>
      <c r="C1137" s="1" t="s">
        <v>51</v>
      </c>
      <c r="D1137" s="1" t="n">
        <v>20.26</v>
      </c>
      <c r="E1137" s="1" t="n">
        <v>14</v>
      </c>
      <c r="F1137" s="4" t="n">
        <v>45308</v>
      </c>
      <c r="G1137" s="1" t="s">
        <v>39</v>
      </c>
      <c r="H1137" s="1" t="n">
        <v>1</v>
      </c>
      <c r="I1137" s="1" t="n">
        <v>74.9</v>
      </c>
      <c r="J1137" s="1" t="n">
        <v>31</v>
      </c>
      <c r="K1137" s="1" t="n">
        <v>8</v>
      </c>
      <c r="L1137" s="1" t="n">
        <v>1</v>
      </c>
      <c r="M1137" s="1" t="n">
        <v>0</v>
      </c>
      <c r="N1137" s="1" t="n">
        <v>283.64</v>
      </c>
      <c r="O1137" s="1" t="n">
        <v>1</v>
      </c>
      <c r="P1137" s="4" t="n">
        <v>45734</v>
      </c>
      <c r="Q1137" s="4" t="n">
        <v>45734</v>
      </c>
      <c r="R1137" s="0" t="n">
        <f aca="false">IF(ISBLANK(F1137),"Missing",IFERROR(YEAR(F1137),"Missing"))</f>
        <v>2024</v>
      </c>
      <c r="S1137" s="0" t="str">
        <f aca="false">IF(ISBLANK(E1137),"Missing",IF(E1137&lt;6,"0-6mo",IF(E1137&lt;12,"6-12mo",IF(E1137&lt;24,"12-24mo","24mo+"))))</f>
        <v>12-24mo</v>
      </c>
      <c r="T1137" s="0" t="n">
        <f aca="false">IF(ISBLANK(C1137),0,IF(C1137="Month-to-month",2,IF(C1137="One year",1,0)))+IF(ISBLANK(I1137),0,IF(I1137&lt;40,2,IF(I1137&lt;55,1,0)))+IF(ISBLANK(M1137),0,IF(M1137=1,3,0))+IF(ISBLANK(L1137),0,IF(L1137&gt;=2,1,0))+IF(ISBLANK(E1137),0,IF(E1137&lt;12,1,0))</f>
        <v>0</v>
      </c>
      <c r="U1137" s="0" t="str">
        <f aca="false">IF((ISBLANK(B1137)*1+ISBLANK(C1137)*1+ISBLANK(D1137)*1+ISBLANK(E1137)*1+ISBLANK(F1137)*1+ISBLANK(I1137)*1+ISBLANK(J1137)*1+ISBLANK(K1137)*1+ISBLANK(L1137)*1+ISBLANK(M1137)*1+ISBLANK(N1137)*1+ISBLANK(O1137)*1)&gt;0,"Missing Data","OK")</f>
        <v>OK</v>
      </c>
      <c r="V1137" s="0" t="str">
        <f aca="false">IF(T1137&gt;=6,"High Risk",IF(T1137&gt;=3,"Medium Risk","Low Risk"))</f>
        <v>Low Risk</v>
      </c>
    </row>
    <row r="1138" customFormat="false" ht="12.8" hidden="false" customHeight="false" outlineLevel="0" collapsed="false">
      <c r="A1138" s="1" t="s">
        <v>1168</v>
      </c>
      <c r="B1138" s="1" t="s">
        <v>23</v>
      </c>
      <c r="C1138" s="1" t="s">
        <v>24</v>
      </c>
      <c r="D1138" s="1" t="n">
        <v>18.9</v>
      </c>
      <c r="E1138" s="1" t="n">
        <v>0</v>
      </c>
      <c r="F1138" s="4" t="n">
        <v>45311</v>
      </c>
      <c r="G1138" s="1" t="s">
        <v>25</v>
      </c>
      <c r="H1138" s="1" t="n">
        <v>1</v>
      </c>
      <c r="I1138" s="1" t="n">
        <v>85.8</v>
      </c>
      <c r="J1138" s="1" t="n">
        <v>26</v>
      </c>
      <c r="K1138" s="1" t="n">
        <v>10</v>
      </c>
      <c r="L1138" s="1" t="n">
        <v>0</v>
      </c>
      <c r="M1138" s="1" t="n">
        <v>0</v>
      </c>
      <c r="N1138" s="1" t="n">
        <v>0</v>
      </c>
      <c r="O1138" s="1" t="n">
        <v>0</v>
      </c>
      <c r="Q1138" s="4" t="n">
        <v>45311</v>
      </c>
      <c r="R1138" s="0" t="n">
        <f aca="false">IF(ISBLANK(F1138),"Missing",IFERROR(YEAR(F1138),"Missing"))</f>
        <v>2024</v>
      </c>
      <c r="S1138" s="0" t="str">
        <f aca="false">IF(ISBLANK(E1138),"Missing",IF(E1138&lt;6,"0-6mo",IF(E1138&lt;12,"6-12mo",IF(E1138&lt;24,"12-24mo","24mo+"))))</f>
        <v>0-6mo</v>
      </c>
      <c r="T1138" s="0" t="n">
        <f aca="false">IF(ISBLANK(C1138),0,IF(C1138="Month-to-month",2,IF(C1138="One year",1,0)))+IF(ISBLANK(I1138),0,IF(I1138&lt;40,2,IF(I1138&lt;55,1,0)))+IF(ISBLANK(M1138),0,IF(M1138=1,3,0))+IF(ISBLANK(L1138),0,IF(L1138&gt;=2,1,0))+IF(ISBLANK(E1138),0,IF(E1138&lt;12,1,0))</f>
        <v>3</v>
      </c>
      <c r="U1138" s="0" t="str">
        <f aca="false">IF((ISBLANK(B1138)*1+ISBLANK(C1138)*1+ISBLANK(D1138)*1+ISBLANK(E1138)*1+ISBLANK(F1138)*1+ISBLANK(I1138)*1+ISBLANK(J1138)*1+ISBLANK(K1138)*1+ISBLANK(L1138)*1+ISBLANK(M1138)*1+ISBLANK(N1138)*1+ISBLANK(O1138)*1)&gt;0,"Missing Data","OK")</f>
        <v>OK</v>
      </c>
      <c r="V1138" s="0" t="str">
        <f aca="false">IF(T1138&gt;=6,"High Risk",IF(T1138&gt;=3,"Medium Risk","Low Risk"))</f>
        <v>Medium Risk</v>
      </c>
    </row>
    <row r="1139" customFormat="false" ht="12.8" hidden="false" customHeight="false" outlineLevel="0" collapsed="false">
      <c r="A1139" s="1" t="s">
        <v>1169</v>
      </c>
      <c r="B1139" s="1" t="s">
        <v>36</v>
      </c>
      <c r="C1139" s="1" t="s">
        <v>51</v>
      </c>
      <c r="D1139" s="1" t="n">
        <v>11.69</v>
      </c>
      <c r="E1139" s="1" t="n">
        <v>6</v>
      </c>
      <c r="F1139" s="4" t="n">
        <v>45311</v>
      </c>
      <c r="G1139" s="1" t="s">
        <v>39</v>
      </c>
      <c r="H1139" s="1" t="n">
        <v>0</v>
      </c>
      <c r="I1139" s="1" t="n">
        <v>38.2</v>
      </c>
      <c r="J1139" s="1" t="n">
        <v>16</v>
      </c>
      <c r="K1139" s="1" t="n">
        <v>2</v>
      </c>
      <c r="L1139" s="1" t="n">
        <v>2</v>
      </c>
      <c r="M1139" s="1" t="n">
        <v>1</v>
      </c>
      <c r="N1139" s="1" t="n">
        <v>70.14</v>
      </c>
      <c r="O1139" s="1" t="n">
        <v>0</v>
      </c>
      <c r="Q1139" s="4" t="n">
        <v>45493</v>
      </c>
      <c r="R1139" s="0" t="n">
        <f aca="false">IF(ISBLANK(F1139),"Missing",IFERROR(YEAR(F1139),"Missing"))</f>
        <v>2024</v>
      </c>
      <c r="S1139" s="0" t="str">
        <f aca="false">IF(ISBLANK(E1139),"Missing",IF(E1139&lt;6,"0-6mo",IF(E1139&lt;12,"6-12mo",IF(E1139&lt;24,"12-24mo","24mo+"))))</f>
        <v>6-12mo</v>
      </c>
      <c r="T1139" s="0" t="n">
        <f aca="false">IF(ISBLANK(C1139),0,IF(C1139="Month-to-month",2,IF(C1139="One year",1,0)))+IF(ISBLANK(I1139),0,IF(I1139&lt;40,2,IF(I1139&lt;55,1,0)))+IF(ISBLANK(M1139),0,IF(M1139=1,3,0))+IF(ISBLANK(L1139),0,IF(L1139&gt;=2,1,0))+IF(ISBLANK(E1139),0,IF(E1139&lt;12,1,0))</f>
        <v>7</v>
      </c>
      <c r="U1139" s="0" t="str">
        <f aca="false">IF((ISBLANK(B1139)*1+ISBLANK(C1139)*1+ISBLANK(D1139)*1+ISBLANK(E1139)*1+ISBLANK(F1139)*1+ISBLANK(I1139)*1+ISBLANK(J1139)*1+ISBLANK(K1139)*1+ISBLANK(L1139)*1+ISBLANK(M1139)*1+ISBLANK(N1139)*1+ISBLANK(O1139)*1)&gt;0,"Missing Data","OK")</f>
        <v>OK</v>
      </c>
      <c r="V1139" s="0" t="str">
        <f aca="false">IF(T1139&gt;=6,"High Risk",IF(T1139&gt;=3,"Medium Risk","Low Risk"))</f>
        <v>High Risk</v>
      </c>
    </row>
    <row r="1140" customFormat="false" ht="12.8" hidden="false" customHeight="false" outlineLevel="0" collapsed="false">
      <c r="A1140" s="1" t="s">
        <v>1170</v>
      </c>
      <c r="B1140" s="1" t="s">
        <v>23</v>
      </c>
      <c r="C1140" s="1" t="s">
        <v>34</v>
      </c>
      <c r="D1140" s="1" t="n">
        <v>18.66</v>
      </c>
      <c r="E1140" s="1" t="n">
        <v>33</v>
      </c>
      <c r="F1140" s="4" t="n">
        <v>45314</v>
      </c>
      <c r="G1140" s="1" t="s">
        <v>39</v>
      </c>
      <c r="H1140" s="1" t="n">
        <v>1</v>
      </c>
      <c r="I1140" s="1" t="n">
        <v>28</v>
      </c>
      <c r="J1140" s="1" t="n">
        <v>7</v>
      </c>
      <c r="K1140" s="1" t="n">
        <v>5</v>
      </c>
      <c r="L1140" s="1" t="n">
        <v>1</v>
      </c>
      <c r="M1140" s="1" t="n">
        <v>0</v>
      </c>
      <c r="N1140" s="1" t="n">
        <v>615.78</v>
      </c>
      <c r="O1140" s="1" t="n">
        <v>0</v>
      </c>
      <c r="Q1140" s="4" t="n">
        <v>46293</v>
      </c>
      <c r="R1140" s="0" t="n">
        <f aca="false">IF(ISBLANK(F1140),"Missing",IFERROR(YEAR(F1140),"Missing"))</f>
        <v>2024</v>
      </c>
      <c r="S1140" s="0" t="str">
        <f aca="false">IF(ISBLANK(E1140),"Missing",IF(E1140&lt;6,"0-6mo",IF(E1140&lt;12,"6-12mo",IF(E1140&lt;24,"12-24mo","24mo+"))))</f>
        <v>24mo+</v>
      </c>
      <c r="T1140" s="0" t="n">
        <f aca="false">IF(ISBLANK(C1140),0,IF(C1140="Month-to-month",2,IF(C1140="One year",1,0)))+IF(ISBLANK(I1140),0,IF(I1140&lt;40,2,IF(I1140&lt;55,1,0)))+IF(ISBLANK(M1140),0,IF(M1140=1,3,0))+IF(ISBLANK(L1140),0,IF(L1140&gt;=2,1,0))+IF(ISBLANK(E1140),0,IF(E1140&lt;12,1,0))</f>
        <v>3</v>
      </c>
      <c r="U1140" s="0" t="str">
        <f aca="false">IF((ISBLANK(B1140)*1+ISBLANK(C1140)*1+ISBLANK(D1140)*1+ISBLANK(E1140)*1+ISBLANK(F1140)*1+ISBLANK(I1140)*1+ISBLANK(J1140)*1+ISBLANK(K1140)*1+ISBLANK(L1140)*1+ISBLANK(M1140)*1+ISBLANK(N1140)*1+ISBLANK(O1140)*1)&gt;0,"Missing Data","OK")</f>
        <v>OK</v>
      </c>
      <c r="V1140" s="0" t="str">
        <f aca="false">IF(T1140&gt;=6,"High Risk",IF(T1140&gt;=3,"Medium Risk","Low Risk"))</f>
        <v>Medium Risk</v>
      </c>
    </row>
    <row r="1141" customFormat="false" ht="12.8" hidden="false" customHeight="false" outlineLevel="0" collapsed="false">
      <c r="A1141" s="1" t="s">
        <v>1171</v>
      </c>
      <c r="B1141" s="1" t="s">
        <v>29</v>
      </c>
      <c r="C1141" s="1" t="s">
        <v>24</v>
      </c>
      <c r="D1141" s="1" t="n">
        <v>39.63</v>
      </c>
      <c r="E1141" s="1" t="n">
        <v>32</v>
      </c>
      <c r="F1141" s="4" t="n">
        <v>45315</v>
      </c>
      <c r="G1141" s="1" t="s">
        <v>25</v>
      </c>
      <c r="H1141" s="1" t="n">
        <v>1</v>
      </c>
      <c r="I1141" s="1" t="n">
        <v>94.7</v>
      </c>
      <c r="J1141" s="1" t="n">
        <v>32</v>
      </c>
      <c r="K1141" s="1" t="n">
        <v>10</v>
      </c>
      <c r="L1141" s="1" t="n">
        <v>0</v>
      </c>
      <c r="M1141" s="1" t="n">
        <v>0</v>
      </c>
      <c r="N1141" s="1" t="n">
        <v>1268.16</v>
      </c>
      <c r="O1141" s="1" t="n">
        <v>0</v>
      </c>
      <c r="Q1141" s="4" t="n">
        <v>46289</v>
      </c>
      <c r="R1141" s="0" t="n">
        <f aca="false">IF(ISBLANK(F1141),"Missing",IFERROR(YEAR(F1141),"Missing"))</f>
        <v>2024</v>
      </c>
      <c r="S1141" s="0" t="str">
        <f aca="false">IF(ISBLANK(E1141),"Missing",IF(E1141&lt;6,"0-6mo",IF(E1141&lt;12,"6-12mo",IF(E1141&lt;24,"12-24mo","24mo+"))))</f>
        <v>24mo+</v>
      </c>
      <c r="T1141" s="0" t="n">
        <f aca="false">IF(ISBLANK(C1141),0,IF(C1141="Month-to-month",2,IF(C1141="One year",1,0)))+IF(ISBLANK(I1141),0,IF(I1141&lt;40,2,IF(I1141&lt;55,1,0)))+IF(ISBLANK(M1141),0,IF(M1141=1,3,0))+IF(ISBLANK(L1141),0,IF(L1141&gt;=2,1,0))+IF(ISBLANK(E1141),0,IF(E1141&lt;12,1,0))</f>
        <v>2</v>
      </c>
      <c r="U1141" s="0" t="str">
        <f aca="false">IF((ISBLANK(B1141)*1+ISBLANK(C1141)*1+ISBLANK(D1141)*1+ISBLANK(E1141)*1+ISBLANK(F1141)*1+ISBLANK(I1141)*1+ISBLANK(J1141)*1+ISBLANK(K1141)*1+ISBLANK(L1141)*1+ISBLANK(M1141)*1+ISBLANK(N1141)*1+ISBLANK(O1141)*1)&gt;0,"Missing Data","OK")</f>
        <v>OK</v>
      </c>
      <c r="V1141" s="0" t="str">
        <f aca="false">IF(T1141&gt;=6,"High Risk",IF(T1141&gt;=3,"Medium Risk","Low Risk"))</f>
        <v>Low Risk</v>
      </c>
    </row>
    <row r="1142" customFormat="false" ht="12.8" hidden="false" customHeight="false" outlineLevel="0" collapsed="false">
      <c r="A1142" s="1" t="s">
        <v>1172</v>
      </c>
      <c r="B1142" s="1" t="s">
        <v>36</v>
      </c>
      <c r="C1142" s="1" t="s">
        <v>34</v>
      </c>
      <c r="D1142" s="1" t="n">
        <v>9.88</v>
      </c>
      <c r="E1142" s="1" t="n">
        <v>16</v>
      </c>
      <c r="F1142" s="4" t="n">
        <v>45321</v>
      </c>
      <c r="G1142" s="1" t="s">
        <v>39</v>
      </c>
      <c r="H1142" s="1" t="n">
        <v>1</v>
      </c>
      <c r="I1142" s="1" t="n">
        <v>38.8</v>
      </c>
      <c r="J1142" s="1" t="n">
        <v>13</v>
      </c>
      <c r="K1142" s="1" t="n">
        <v>5</v>
      </c>
      <c r="L1142" s="1" t="n">
        <v>3</v>
      </c>
      <c r="M1142" s="1" t="n">
        <v>0</v>
      </c>
      <c r="N1142" s="1" t="n">
        <v>158.08</v>
      </c>
      <c r="O1142" s="1" t="n">
        <v>0</v>
      </c>
      <c r="Q1142" s="4" t="n">
        <v>45808</v>
      </c>
      <c r="R1142" s="0" t="n">
        <f aca="false">IF(ISBLANK(F1142),"Missing",IFERROR(YEAR(F1142),"Missing"))</f>
        <v>2024</v>
      </c>
      <c r="S1142" s="0" t="str">
        <f aca="false">IF(ISBLANK(E1142),"Missing",IF(E1142&lt;6,"0-6mo",IF(E1142&lt;12,"6-12mo",IF(E1142&lt;24,"12-24mo","24mo+"))))</f>
        <v>12-24mo</v>
      </c>
      <c r="T1142" s="0" t="n">
        <f aca="false">IF(ISBLANK(C1142),0,IF(C1142="Month-to-month",2,IF(C1142="One year",1,0)))+IF(ISBLANK(I1142),0,IF(I1142&lt;40,2,IF(I1142&lt;55,1,0)))+IF(ISBLANK(M1142),0,IF(M1142=1,3,0))+IF(ISBLANK(L1142),0,IF(L1142&gt;=2,1,0))+IF(ISBLANK(E1142),0,IF(E1142&lt;12,1,0))</f>
        <v>4</v>
      </c>
      <c r="U1142" s="0" t="str">
        <f aca="false">IF((ISBLANK(B1142)*1+ISBLANK(C1142)*1+ISBLANK(D1142)*1+ISBLANK(E1142)*1+ISBLANK(F1142)*1+ISBLANK(I1142)*1+ISBLANK(J1142)*1+ISBLANK(K1142)*1+ISBLANK(L1142)*1+ISBLANK(M1142)*1+ISBLANK(N1142)*1+ISBLANK(O1142)*1)&gt;0,"Missing Data","OK")</f>
        <v>OK</v>
      </c>
      <c r="V1142" s="0" t="str">
        <f aca="false">IF(T1142&gt;=6,"High Risk",IF(T1142&gt;=3,"Medium Risk","Low Risk"))</f>
        <v>Medium Risk</v>
      </c>
    </row>
    <row r="1143" customFormat="false" ht="12.8" hidden="false" customHeight="false" outlineLevel="0" collapsed="false">
      <c r="A1143" s="1" t="s">
        <v>1173</v>
      </c>
      <c r="B1143" s="1" t="s">
        <v>36</v>
      </c>
      <c r="C1143" s="1" t="s">
        <v>24</v>
      </c>
      <c r="D1143" s="1" t="n">
        <v>9.39</v>
      </c>
      <c r="E1143" s="1" t="n">
        <v>4</v>
      </c>
      <c r="F1143" s="4" t="n">
        <v>45322</v>
      </c>
      <c r="G1143" s="1" t="s">
        <v>30</v>
      </c>
      <c r="H1143" s="1" t="n">
        <v>1</v>
      </c>
      <c r="I1143" s="1" t="n">
        <v>42.4</v>
      </c>
      <c r="J1143" s="1" t="n">
        <v>9</v>
      </c>
      <c r="K1143" s="1" t="n">
        <v>6</v>
      </c>
      <c r="L1143" s="1" t="n">
        <v>3</v>
      </c>
      <c r="M1143" s="1" t="n">
        <v>1</v>
      </c>
      <c r="N1143" s="1" t="n">
        <v>37.56</v>
      </c>
      <c r="O1143" s="1" t="n">
        <v>1</v>
      </c>
      <c r="P1143" s="4" t="n">
        <v>45443</v>
      </c>
      <c r="Q1143" s="4" t="n">
        <v>45443</v>
      </c>
      <c r="R1143" s="0" t="n">
        <f aca="false">IF(ISBLANK(F1143),"Missing",IFERROR(YEAR(F1143),"Missing"))</f>
        <v>2024</v>
      </c>
      <c r="S1143" s="0" t="str">
        <f aca="false">IF(ISBLANK(E1143),"Missing",IF(E1143&lt;6,"0-6mo",IF(E1143&lt;12,"6-12mo",IF(E1143&lt;24,"12-24mo","24mo+"))))</f>
        <v>0-6mo</v>
      </c>
      <c r="T1143" s="0" t="n">
        <f aca="false">IF(ISBLANK(C1143),0,IF(C1143="Month-to-month",2,IF(C1143="One year",1,0)))+IF(ISBLANK(I1143),0,IF(I1143&lt;40,2,IF(I1143&lt;55,1,0)))+IF(ISBLANK(M1143),0,IF(M1143=1,3,0))+IF(ISBLANK(L1143),0,IF(L1143&gt;=2,1,0))+IF(ISBLANK(E1143),0,IF(E1143&lt;12,1,0))</f>
        <v>8</v>
      </c>
      <c r="U1143" s="0" t="str">
        <f aca="false">IF((ISBLANK(B1143)*1+ISBLANK(C1143)*1+ISBLANK(D1143)*1+ISBLANK(E1143)*1+ISBLANK(F1143)*1+ISBLANK(I1143)*1+ISBLANK(J1143)*1+ISBLANK(K1143)*1+ISBLANK(L1143)*1+ISBLANK(M1143)*1+ISBLANK(N1143)*1+ISBLANK(O1143)*1)&gt;0,"Missing Data","OK")</f>
        <v>OK</v>
      </c>
      <c r="V1143" s="0" t="str">
        <f aca="false">IF(T1143&gt;=6,"High Risk",IF(T1143&gt;=3,"Medium Risk","Low Risk"))</f>
        <v>High Risk</v>
      </c>
    </row>
    <row r="1144" customFormat="false" ht="12.8" hidden="false" customHeight="false" outlineLevel="0" collapsed="false">
      <c r="A1144" s="1" t="s">
        <v>1174</v>
      </c>
      <c r="B1144" s="1" t="s">
        <v>36</v>
      </c>
      <c r="C1144" s="1" t="s">
        <v>24</v>
      </c>
      <c r="D1144" s="1" t="n">
        <v>9.97</v>
      </c>
      <c r="E1144" s="1" t="n">
        <v>9</v>
      </c>
      <c r="F1144" s="4" t="n">
        <v>45324</v>
      </c>
      <c r="G1144" s="1" t="s">
        <v>25</v>
      </c>
      <c r="H1144" s="1" t="n">
        <v>0</v>
      </c>
      <c r="I1144" s="1" t="n">
        <v>31.7</v>
      </c>
      <c r="J1144" s="1" t="n">
        <v>8</v>
      </c>
      <c r="K1144" s="1" t="n">
        <v>2</v>
      </c>
      <c r="L1144" s="1" t="n">
        <v>2</v>
      </c>
      <c r="M1144" s="1" t="n">
        <v>1</v>
      </c>
      <c r="N1144" s="1" t="n">
        <v>89.73</v>
      </c>
      <c r="O1144" s="1" t="n">
        <v>0</v>
      </c>
      <c r="Q1144" s="4" t="n">
        <v>45597</v>
      </c>
      <c r="R1144" s="0" t="n">
        <f aca="false">IF(ISBLANK(F1144),"Missing",IFERROR(YEAR(F1144),"Missing"))</f>
        <v>2024</v>
      </c>
      <c r="S1144" s="0" t="str">
        <f aca="false">IF(ISBLANK(E1144),"Missing",IF(E1144&lt;6,"0-6mo",IF(E1144&lt;12,"6-12mo",IF(E1144&lt;24,"12-24mo","24mo+"))))</f>
        <v>6-12mo</v>
      </c>
      <c r="T1144" s="0" t="n">
        <f aca="false">IF(ISBLANK(C1144),0,IF(C1144="Month-to-month",2,IF(C1144="One year",1,0)))+IF(ISBLANK(I1144),0,IF(I1144&lt;40,2,IF(I1144&lt;55,1,0)))+IF(ISBLANK(M1144),0,IF(M1144=1,3,0))+IF(ISBLANK(L1144),0,IF(L1144&gt;=2,1,0))+IF(ISBLANK(E1144),0,IF(E1144&lt;12,1,0))</f>
        <v>9</v>
      </c>
      <c r="U1144" s="0" t="str">
        <f aca="false">IF((ISBLANK(B1144)*1+ISBLANK(C1144)*1+ISBLANK(D1144)*1+ISBLANK(E1144)*1+ISBLANK(F1144)*1+ISBLANK(I1144)*1+ISBLANK(J1144)*1+ISBLANK(K1144)*1+ISBLANK(L1144)*1+ISBLANK(M1144)*1+ISBLANK(N1144)*1+ISBLANK(O1144)*1)&gt;0,"Missing Data","OK")</f>
        <v>OK</v>
      </c>
      <c r="V1144" s="0" t="str">
        <f aca="false">IF(T1144&gt;=6,"High Risk",IF(T1144&gt;=3,"Medium Risk","Low Risk"))</f>
        <v>High Risk</v>
      </c>
    </row>
    <row r="1145" customFormat="false" ht="12.8" hidden="false" customHeight="false" outlineLevel="0" collapsed="false">
      <c r="A1145" s="1" t="s">
        <v>1175</v>
      </c>
      <c r="B1145" s="1" t="s">
        <v>36</v>
      </c>
      <c r="C1145" s="1" t="s">
        <v>24</v>
      </c>
      <c r="D1145" s="1" t="n">
        <v>9</v>
      </c>
      <c r="E1145" s="1" t="n">
        <v>2</v>
      </c>
      <c r="F1145" s="4" t="n">
        <v>45324</v>
      </c>
      <c r="G1145" s="1" t="s">
        <v>39</v>
      </c>
      <c r="H1145" s="1" t="n">
        <v>1</v>
      </c>
      <c r="I1145" s="1" t="n">
        <v>49.7</v>
      </c>
      <c r="J1145" s="1" t="n">
        <v>14</v>
      </c>
      <c r="K1145" s="1" t="n">
        <v>4</v>
      </c>
      <c r="L1145" s="1" t="n">
        <v>0</v>
      </c>
      <c r="M1145" s="1" t="n">
        <v>0</v>
      </c>
      <c r="N1145" s="1" t="n">
        <v>18</v>
      </c>
      <c r="O1145" s="1" t="n">
        <v>0</v>
      </c>
      <c r="Q1145" s="4" t="n">
        <v>45384</v>
      </c>
      <c r="R1145" s="0" t="n">
        <f aca="false">IF(ISBLANK(F1145),"Missing",IFERROR(YEAR(F1145),"Missing"))</f>
        <v>2024</v>
      </c>
      <c r="S1145" s="0" t="str">
        <f aca="false">IF(ISBLANK(E1145),"Missing",IF(E1145&lt;6,"0-6mo",IF(E1145&lt;12,"6-12mo",IF(E1145&lt;24,"12-24mo","24mo+"))))</f>
        <v>0-6mo</v>
      </c>
      <c r="T1145" s="0" t="n">
        <f aca="false">IF(ISBLANK(C1145),0,IF(C1145="Month-to-month",2,IF(C1145="One year",1,0)))+IF(ISBLANK(I1145),0,IF(I1145&lt;40,2,IF(I1145&lt;55,1,0)))+IF(ISBLANK(M1145),0,IF(M1145=1,3,0))+IF(ISBLANK(L1145),0,IF(L1145&gt;=2,1,0))+IF(ISBLANK(E1145),0,IF(E1145&lt;12,1,0))</f>
        <v>4</v>
      </c>
      <c r="U1145" s="0" t="str">
        <f aca="false">IF((ISBLANK(B1145)*1+ISBLANK(C1145)*1+ISBLANK(D1145)*1+ISBLANK(E1145)*1+ISBLANK(F1145)*1+ISBLANK(I1145)*1+ISBLANK(J1145)*1+ISBLANK(K1145)*1+ISBLANK(L1145)*1+ISBLANK(M1145)*1+ISBLANK(N1145)*1+ISBLANK(O1145)*1)&gt;0,"Missing Data","OK")</f>
        <v>OK</v>
      </c>
      <c r="V1145" s="0" t="str">
        <f aca="false">IF(T1145&gt;=6,"High Risk",IF(T1145&gt;=3,"Medium Risk","Low Risk"))</f>
        <v>Medium Risk</v>
      </c>
    </row>
    <row r="1146" customFormat="false" ht="12.8" hidden="false" customHeight="false" outlineLevel="0" collapsed="false">
      <c r="A1146" s="1" t="s">
        <v>1176</v>
      </c>
      <c r="B1146" s="1" t="s">
        <v>23</v>
      </c>
      <c r="C1146" s="1" t="s">
        <v>24</v>
      </c>
      <c r="D1146" s="1" t="n">
        <v>19.78</v>
      </c>
      <c r="E1146" s="1" t="n">
        <v>5</v>
      </c>
      <c r="F1146" s="4" t="n">
        <v>45325</v>
      </c>
      <c r="G1146" s="1" t="s">
        <v>25</v>
      </c>
      <c r="H1146" s="1" t="n">
        <v>1</v>
      </c>
      <c r="I1146" s="1" t="n">
        <v>63.8</v>
      </c>
      <c r="J1146" s="1" t="n">
        <v>18</v>
      </c>
      <c r="K1146" s="1" t="n">
        <v>7</v>
      </c>
      <c r="L1146" s="1" t="n">
        <v>0</v>
      </c>
      <c r="M1146" s="1" t="n">
        <v>0</v>
      </c>
      <c r="N1146" s="1" t="n">
        <v>98.9</v>
      </c>
      <c r="O1146" s="1" t="n">
        <v>0</v>
      </c>
      <c r="Q1146" s="4" t="n">
        <v>45477</v>
      </c>
      <c r="R1146" s="0" t="n">
        <f aca="false">IF(ISBLANK(F1146),"Missing",IFERROR(YEAR(F1146),"Missing"))</f>
        <v>2024</v>
      </c>
      <c r="S1146" s="0" t="str">
        <f aca="false">IF(ISBLANK(E1146),"Missing",IF(E1146&lt;6,"0-6mo",IF(E1146&lt;12,"6-12mo",IF(E1146&lt;24,"12-24mo","24mo+"))))</f>
        <v>0-6mo</v>
      </c>
      <c r="T1146" s="0" t="n">
        <f aca="false">IF(ISBLANK(C1146),0,IF(C1146="Month-to-month",2,IF(C1146="One year",1,0)))+IF(ISBLANK(I1146),0,IF(I1146&lt;40,2,IF(I1146&lt;55,1,0)))+IF(ISBLANK(M1146),0,IF(M1146=1,3,0))+IF(ISBLANK(L1146),0,IF(L1146&gt;=2,1,0))+IF(ISBLANK(E1146),0,IF(E1146&lt;12,1,0))</f>
        <v>3</v>
      </c>
      <c r="U1146" s="0" t="str">
        <f aca="false">IF((ISBLANK(B1146)*1+ISBLANK(C1146)*1+ISBLANK(D1146)*1+ISBLANK(E1146)*1+ISBLANK(F1146)*1+ISBLANK(I1146)*1+ISBLANK(J1146)*1+ISBLANK(K1146)*1+ISBLANK(L1146)*1+ISBLANK(M1146)*1+ISBLANK(N1146)*1+ISBLANK(O1146)*1)&gt;0,"Missing Data","OK")</f>
        <v>OK</v>
      </c>
      <c r="V1146" s="0" t="str">
        <f aca="false">IF(T1146&gt;=6,"High Risk",IF(T1146&gt;=3,"Medium Risk","Low Risk"))</f>
        <v>Medium Risk</v>
      </c>
    </row>
    <row r="1147" customFormat="false" ht="12.8" hidden="false" customHeight="false" outlineLevel="0" collapsed="false">
      <c r="A1147" s="1" t="s">
        <v>1177</v>
      </c>
      <c r="B1147" s="1" t="s">
        <v>23</v>
      </c>
      <c r="C1147" s="1" t="s">
        <v>51</v>
      </c>
      <c r="D1147" s="1" t="n">
        <v>20.27</v>
      </c>
      <c r="E1147" s="1" t="n">
        <v>2</v>
      </c>
      <c r="F1147" s="4" t="n">
        <v>45328</v>
      </c>
      <c r="G1147" s="1" t="s">
        <v>30</v>
      </c>
      <c r="H1147" s="1" t="n">
        <v>1</v>
      </c>
      <c r="I1147" s="1" t="n">
        <v>67.3</v>
      </c>
      <c r="J1147" s="1" t="n">
        <v>21</v>
      </c>
      <c r="K1147" s="1" t="n">
        <v>7</v>
      </c>
      <c r="L1147" s="1" t="n">
        <v>0</v>
      </c>
      <c r="M1147" s="1" t="n">
        <v>0</v>
      </c>
      <c r="N1147" s="1" t="n">
        <v>40.54</v>
      </c>
      <c r="O1147" s="1" t="n">
        <v>0</v>
      </c>
      <c r="Q1147" s="4" t="n">
        <v>45388</v>
      </c>
      <c r="R1147" s="0" t="n">
        <f aca="false">IF(ISBLANK(F1147),"Missing",IFERROR(YEAR(F1147),"Missing"))</f>
        <v>2024</v>
      </c>
      <c r="S1147" s="0" t="str">
        <f aca="false">IF(ISBLANK(E1147),"Missing",IF(E1147&lt;6,"0-6mo",IF(E1147&lt;12,"6-12mo",IF(E1147&lt;24,"12-24mo","24mo+"))))</f>
        <v>0-6mo</v>
      </c>
      <c r="T1147" s="0" t="n">
        <f aca="false">IF(ISBLANK(C1147),0,IF(C1147="Month-to-month",2,IF(C1147="One year",1,0)))+IF(ISBLANK(I1147),0,IF(I1147&lt;40,2,IF(I1147&lt;55,1,0)))+IF(ISBLANK(M1147),0,IF(M1147=1,3,0))+IF(ISBLANK(L1147),0,IF(L1147&gt;=2,1,0))+IF(ISBLANK(E1147),0,IF(E1147&lt;12,1,0))</f>
        <v>1</v>
      </c>
      <c r="U1147" s="0" t="str">
        <f aca="false">IF((ISBLANK(B1147)*1+ISBLANK(C1147)*1+ISBLANK(D1147)*1+ISBLANK(E1147)*1+ISBLANK(F1147)*1+ISBLANK(I1147)*1+ISBLANK(J1147)*1+ISBLANK(K1147)*1+ISBLANK(L1147)*1+ISBLANK(M1147)*1+ISBLANK(N1147)*1+ISBLANK(O1147)*1)&gt;0,"Missing Data","OK")</f>
        <v>OK</v>
      </c>
      <c r="V1147" s="0" t="str">
        <f aca="false">IF(T1147&gt;=6,"High Risk",IF(T1147&gt;=3,"Medium Risk","Low Risk"))</f>
        <v>Low Risk</v>
      </c>
    </row>
    <row r="1148" customFormat="false" ht="12.8" hidden="false" customHeight="false" outlineLevel="0" collapsed="false">
      <c r="A1148" s="1" t="s">
        <v>1178</v>
      </c>
      <c r="B1148" s="1" t="s">
        <v>36</v>
      </c>
      <c r="C1148" s="1" t="s">
        <v>24</v>
      </c>
      <c r="D1148" s="1" t="n">
        <v>10.38</v>
      </c>
      <c r="E1148" s="1" t="n">
        <v>0</v>
      </c>
      <c r="F1148" s="4" t="n">
        <v>45328</v>
      </c>
      <c r="G1148" s="1" t="s">
        <v>25</v>
      </c>
      <c r="H1148" s="1" t="n">
        <v>1</v>
      </c>
      <c r="I1148" s="1" t="n">
        <v>64.8</v>
      </c>
      <c r="J1148" s="1" t="n">
        <v>25</v>
      </c>
      <c r="K1148" s="1" t="n">
        <v>8</v>
      </c>
      <c r="L1148" s="1" t="n">
        <v>1</v>
      </c>
      <c r="M1148" s="1" t="n">
        <v>1</v>
      </c>
      <c r="N1148" s="1" t="n">
        <v>0</v>
      </c>
      <c r="O1148" s="1" t="n">
        <v>0</v>
      </c>
      <c r="Q1148" s="4" t="n">
        <v>45328</v>
      </c>
      <c r="R1148" s="0" t="n">
        <f aca="false">IF(ISBLANK(F1148),"Missing",IFERROR(YEAR(F1148),"Missing"))</f>
        <v>2024</v>
      </c>
      <c r="S1148" s="0" t="str">
        <f aca="false">IF(ISBLANK(E1148),"Missing",IF(E1148&lt;6,"0-6mo",IF(E1148&lt;12,"6-12mo",IF(E1148&lt;24,"12-24mo","24mo+"))))</f>
        <v>0-6mo</v>
      </c>
      <c r="T1148" s="0" t="n">
        <f aca="false">IF(ISBLANK(C1148),0,IF(C1148="Month-to-month",2,IF(C1148="One year",1,0)))+IF(ISBLANK(I1148),0,IF(I1148&lt;40,2,IF(I1148&lt;55,1,0)))+IF(ISBLANK(M1148),0,IF(M1148=1,3,0))+IF(ISBLANK(L1148),0,IF(L1148&gt;=2,1,0))+IF(ISBLANK(E1148),0,IF(E1148&lt;12,1,0))</f>
        <v>6</v>
      </c>
      <c r="U1148" s="0" t="str">
        <f aca="false">IF((ISBLANK(B1148)*1+ISBLANK(C1148)*1+ISBLANK(D1148)*1+ISBLANK(E1148)*1+ISBLANK(F1148)*1+ISBLANK(I1148)*1+ISBLANK(J1148)*1+ISBLANK(K1148)*1+ISBLANK(L1148)*1+ISBLANK(M1148)*1+ISBLANK(N1148)*1+ISBLANK(O1148)*1)&gt;0,"Missing Data","OK")</f>
        <v>OK</v>
      </c>
      <c r="V1148" s="0" t="str">
        <f aca="false">IF(T1148&gt;=6,"High Risk",IF(T1148&gt;=3,"Medium Risk","Low Risk"))</f>
        <v>High Risk</v>
      </c>
    </row>
    <row r="1149" customFormat="false" ht="12.8" hidden="false" customHeight="false" outlineLevel="0" collapsed="false">
      <c r="A1149" s="1" t="s">
        <v>1179</v>
      </c>
      <c r="B1149" s="1" t="s">
        <v>23</v>
      </c>
      <c r="C1149" s="1" t="s">
        <v>24</v>
      </c>
      <c r="D1149" s="1" t="n">
        <v>21.52</v>
      </c>
      <c r="E1149" s="1" t="n">
        <v>53</v>
      </c>
      <c r="F1149" s="4" t="n">
        <v>45330</v>
      </c>
      <c r="G1149" s="1" t="s">
        <v>30</v>
      </c>
      <c r="H1149" s="1" t="n">
        <v>1</v>
      </c>
      <c r="I1149" s="1" t="n">
        <v>41</v>
      </c>
      <c r="J1149" s="1" t="n">
        <v>13</v>
      </c>
      <c r="K1149" s="1" t="n">
        <v>6</v>
      </c>
      <c r="L1149" s="1" t="n">
        <v>1</v>
      </c>
      <c r="M1149" s="1" t="n">
        <v>0</v>
      </c>
      <c r="N1149" s="1" t="n">
        <v>1140.56</v>
      </c>
      <c r="O1149" s="1" t="n">
        <v>0</v>
      </c>
      <c r="Q1149" s="4" t="n">
        <v>46293</v>
      </c>
      <c r="R1149" s="0" t="n">
        <f aca="false">IF(ISBLANK(F1149),"Missing",IFERROR(YEAR(F1149),"Missing"))</f>
        <v>2024</v>
      </c>
      <c r="S1149" s="0" t="str">
        <f aca="false">IF(ISBLANK(E1149),"Missing",IF(E1149&lt;6,"0-6mo",IF(E1149&lt;12,"6-12mo",IF(E1149&lt;24,"12-24mo","24mo+"))))</f>
        <v>24mo+</v>
      </c>
      <c r="T1149" s="0" t="n">
        <f aca="false">IF(ISBLANK(C1149),0,IF(C1149="Month-to-month",2,IF(C1149="One year",1,0)))+IF(ISBLANK(I1149),0,IF(I1149&lt;40,2,IF(I1149&lt;55,1,0)))+IF(ISBLANK(M1149),0,IF(M1149=1,3,0))+IF(ISBLANK(L1149),0,IF(L1149&gt;=2,1,0))+IF(ISBLANK(E1149),0,IF(E1149&lt;12,1,0))</f>
        <v>3</v>
      </c>
      <c r="U1149" s="0" t="str">
        <f aca="false">IF((ISBLANK(B1149)*1+ISBLANK(C1149)*1+ISBLANK(D1149)*1+ISBLANK(E1149)*1+ISBLANK(F1149)*1+ISBLANK(I1149)*1+ISBLANK(J1149)*1+ISBLANK(K1149)*1+ISBLANK(L1149)*1+ISBLANK(M1149)*1+ISBLANK(N1149)*1+ISBLANK(O1149)*1)&gt;0,"Missing Data","OK")</f>
        <v>OK</v>
      </c>
      <c r="V1149" s="0" t="str">
        <f aca="false">IF(T1149&gt;=6,"High Risk",IF(T1149&gt;=3,"Medium Risk","Low Risk"))</f>
        <v>Medium Risk</v>
      </c>
    </row>
    <row r="1150" customFormat="false" ht="12.8" hidden="false" customHeight="false" outlineLevel="0" collapsed="false">
      <c r="A1150" s="1" t="s">
        <v>1180</v>
      </c>
      <c r="B1150" s="1" t="s">
        <v>36</v>
      </c>
      <c r="C1150" s="1" t="s">
        <v>51</v>
      </c>
      <c r="D1150" s="1" t="n">
        <v>9.35</v>
      </c>
      <c r="E1150" s="1" t="n">
        <v>52</v>
      </c>
      <c r="F1150" s="4" t="n">
        <v>45330</v>
      </c>
      <c r="G1150" s="1" t="s">
        <v>25</v>
      </c>
      <c r="H1150" s="1" t="n">
        <v>1</v>
      </c>
      <c r="I1150" s="1" t="n">
        <v>62.4</v>
      </c>
      <c r="J1150" s="1" t="n">
        <v>20</v>
      </c>
      <c r="K1150" s="1" t="n">
        <v>5</v>
      </c>
      <c r="L1150" s="1" t="n">
        <v>1</v>
      </c>
      <c r="M1150" s="1" t="n">
        <v>0</v>
      </c>
      <c r="N1150" s="1" t="n">
        <v>486.2</v>
      </c>
      <c r="O1150" s="1" t="n">
        <v>0</v>
      </c>
      <c r="Q1150" s="4" t="n">
        <v>46293</v>
      </c>
      <c r="R1150" s="0" t="n">
        <f aca="false">IF(ISBLANK(F1150),"Missing",IFERROR(YEAR(F1150),"Missing"))</f>
        <v>2024</v>
      </c>
      <c r="S1150" s="0" t="str">
        <f aca="false">IF(ISBLANK(E1150),"Missing",IF(E1150&lt;6,"0-6mo",IF(E1150&lt;12,"6-12mo",IF(E1150&lt;24,"12-24mo","24mo+"))))</f>
        <v>24mo+</v>
      </c>
      <c r="T1150" s="0" t="n">
        <f aca="false">IF(ISBLANK(C1150),0,IF(C1150="Month-to-month",2,IF(C1150="One year",1,0)))+IF(ISBLANK(I1150),0,IF(I1150&lt;40,2,IF(I1150&lt;55,1,0)))+IF(ISBLANK(M1150),0,IF(M1150=1,3,0))+IF(ISBLANK(L1150),0,IF(L1150&gt;=2,1,0))+IF(ISBLANK(E1150),0,IF(E1150&lt;12,1,0))</f>
        <v>0</v>
      </c>
      <c r="U1150" s="0" t="str">
        <f aca="false">IF((ISBLANK(B1150)*1+ISBLANK(C1150)*1+ISBLANK(D1150)*1+ISBLANK(E1150)*1+ISBLANK(F1150)*1+ISBLANK(I1150)*1+ISBLANK(J1150)*1+ISBLANK(K1150)*1+ISBLANK(L1150)*1+ISBLANK(M1150)*1+ISBLANK(N1150)*1+ISBLANK(O1150)*1)&gt;0,"Missing Data","OK")</f>
        <v>OK</v>
      </c>
      <c r="V1150" s="0" t="str">
        <f aca="false">IF(T1150&gt;=6,"High Risk",IF(T1150&gt;=3,"Medium Risk","Low Risk"))</f>
        <v>Low Risk</v>
      </c>
    </row>
    <row r="1151" customFormat="false" ht="12.8" hidden="false" customHeight="false" outlineLevel="0" collapsed="false">
      <c r="A1151" s="1" t="s">
        <v>1181</v>
      </c>
      <c r="B1151" s="1" t="s">
        <v>23</v>
      </c>
      <c r="C1151" s="1" t="s">
        <v>34</v>
      </c>
      <c r="D1151" s="1" t="n">
        <v>20.39</v>
      </c>
      <c r="E1151" s="1" t="n">
        <v>8</v>
      </c>
      <c r="F1151" s="4" t="n">
        <v>45333</v>
      </c>
      <c r="G1151" s="1" t="s">
        <v>25</v>
      </c>
      <c r="H1151" s="1" t="n">
        <v>1</v>
      </c>
      <c r="I1151" s="1" t="n">
        <v>69.1</v>
      </c>
      <c r="J1151" s="1" t="n">
        <v>22</v>
      </c>
      <c r="K1151" s="1" t="n">
        <v>5</v>
      </c>
      <c r="L1151" s="1" t="n">
        <v>1</v>
      </c>
      <c r="M1151" s="1" t="n">
        <v>1</v>
      </c>
      <c r="N1151" s="1" t="n">
        <v>163.12</v>
      </c>
      <c r="O1151" s="1" t="n">
        <v>0</v>
      </c>
      <c r="Q1151" s="4" t="n">
        <v>45576</v>
      </c>
      <c r="R1151" s="0" t="n">
        <f aca="false">IF(ISBLANK(F1151),"Missing",IFERROR(YEAR(F1151),"Missing"))</f>
        <v>2024</v>
      </c>
      <c r="S1151" s="0" t="str">
        <f aca="false">IF(ISBLANK(E1151),"Missing",IF(E1151&lt;6,"0-6mo",IF(E1151&lt;12,"6-12mo",IF(E1151&lt;24,"12-24mo","24mo+"))))</f>
        <v>6-12mo</v>
      </c>
      <c r="T1151" s="0" t="n">
        <f aca="false">IF(ISBLANK(C1151),0,IF(C1151="Month-to-month",2,IF(C1151="One year",1,0)))+IF(ISBLANK(I1151),0,IF(I1151&lt;40,2,IF(I1151&lt;55,1,0)))+IF(ISBLANK(M1151),0,IF(M1151=1,3,0))+IF(ISBLANK(L1151),0,IF(L1151&gt;=2,1,0))+IF(ISBLANK(E1151),0,IF(E1151&lt;12,1,0))</f>
        <v>5</v>
      </c>
      <c r="U1151" s="0" t="str">
        <f aca="false">IF((ISBLANK(B1151)*1+ISBLANK(C1151)*1+ISBLANK(D1151)*1+ISBLANK(E1151)*1+ISBLANK(F1151)*1+ISBLANK(I1151)*1+ISBLANK(J1151)*1+ISBLANK(K1151)*1+ISBLANK(L1151)*1+ISBLANK(M1151)*1+ISBLANK(N1151)*1+ISBLANK(O1151)*1)&gt;0,"Missing Data","OK")</f>
        <v>OK</v>
      </c>
      <c r="V1151" s="0" t="str">
        <f aca="false">IF(T1151&gt;=6,"High Risk",IF(T1151&gt;=3,"Medium Risk","Low Risk"))</f>
        <v>Medium Risk</v>
      </c>
    </row>
    <row r="1152" customFormat="false" ht="12.8" hidden="false" customHeight="false" outlineLevel="0" collapsed="false">
      <c r="A1152" s="1" t="s">
        <v>1182</v>
      </c>
      <c r="B1152" s="1" t="s">
        <v>36</v>
      </c>
      <c r="C1152" s="1" t="s">
        <v>34</v>
      </c>
      <c r="D1152" s="1" t="n">
        <v>10.84</v>
      </c>
      <c r="E1152" s="1" t="n">
        <v>6</v>
      </c>
      <c r="F1152" s="4" t="n">
        <v>45334</v>
      </c>
      <c r="G1152" s="1" t="s">
        <v>25</v>
      </c>
      <c r="H1152" s="1" t="n">
        <v>0</v>
      </c>
      <c r="I1152" s="1" t="n">
        <v>50.6</v>
      </c>
      <c r="J1152" s="1" t="n">
        <v>14</v>
      </c>
      <c r="K1152" s="1" t="n">
        <v>7</v>
      </c>
      <c r="L1152" s="1" t="n">
        <v>0</v>
      </c>
      <c r="M1152" s="1" t="n">
        <v>0</v>
      </c>
      <c r="N1152" s="1" t="n">
        <v>65.04</v>
      </c>
      <c r="O1152" s="1" t="n">
        <v>0</v>
      </c>
      <c r="Q1152" s="4" t="n">
        <v>45516</v>
      </c>
      <c r="R1152" s="0" t="n">
        <f aca="false">IF(ISBLANK(F1152),"Missing",IFERROR(YEAR(F1152),"Missing"))</f>
        <v>2024</v>
      </c>
      <c r="S1152" s="0" t="str">
        <f aca="false">IF(ISBLANK(E1152),"Missing",IF(E1152&lt;6,"0-6mo",IF(E1152&lt;12,"6-12mo",IF(E1152&lt;24,"12-24mo","24mo+"))))</f>
        <v>6-12mo</v>
      </c>
      <c r="T1152" s="0" t="n">
        <f aca="false">IF(ISBLANK(C1152),0,IF(C1152="Month-to-month",2,IF(C1152="One year",1,0)))+IF(ISBLANK(I1152),0,IF(I1152&lt;40,2,IF(I1152&lt;55,1,0)))+IF(ISBLANK(M1152),0,IF(M1152=1,3,0))+IF(ISBLANK(L1152),0,IF(L1152&gt;=2,1,0))+IF(ISBLANK(E1152),0,IF(E1152&lt;12,1,0))</f>
        <v>3</v>
      </c>
      <c r="U1152" s="0" t="str">
        <f aca="false">IF((ISBLANK(B1152)*1+ISBLANK(C1152)*1+ISBLANK(D1152)*1+ISBLANK(E1152)*1+ISBLANK(F1152)*1+ISBLANK(I1152)*1+ISBLANK(J1152)*1+ISBLANK(K1152)*1+ISBLANK(L1152)*1+ISBLANK(M1152)*1+ISBLANK(N1152)*1+ISBLANK(O1152)*1)&gt;0,"Missing Data","OK")</f>
        <v>OK</v>
      </c>
      <c r="V1152" s="0" t="str">
        <f aca="false">IF(T1152&gt;=6,"High Risk",IF(T1152&gt;=3,"Medium Risk","Low Risk"))</f>
        <v>Medium Risk</v>
      </c>
    </row>
    <row r="1153" customFormat="false" ht="12.8" hidden="false" customHeight="false" outlineLevel="0" collapsed="false">
      <c r="A1153" s="1" t="s">
        <v>1183</v>
      </c>
      <c r="B1153" s="1" t="s">
        <v>23</v>
      </c>
      <c r="C1153" s="1" t="s">
        <v>34</v>
      </c>
      <c r="D1153" s="1" t="n">
        <v>19.2</v>
      </c>
      <c r="E1153" s="1" t="n">
        <v>4</v>
      </c>
      <c r="F1153" s="4" t="n">
        <v>45337</v>
      </c>
      <c r="G1153" s="1" t="s">
        <v>25</v>
      </c>
      <c r="H1153" s="1" t="n">
        <v>1</v>
      </c>
      <c r="I1153" s="1" t="n">
        <v>59.3</v>
      </c>
      <c r="J1153" s="1" t="n">
        <v>8</v>
      </c>
      <c r="K1153" s="1" t="n">
        <v>6</v>
      </c>
      <c r="L1153" s="1" t="n">
        <v>1</v>
      </c>
      <c r="M1153" s="1" t="n">
        <v>1</v>
      </c>
      <c r="N1153" s="1" t="n">
        <v>76.8</v>
      </c>
      <c r="O1153" s="1" t="n">
        <v>0</v>
      </c>
      <c r="Q1153" s="4" t="n">
        <v>45458</v>
      </c>
      <c r="R1153" s="0" t="n">
        <f aca="false">IF(ISBLANK(F1153),"Missing",IFERROR(YEAR(F1153),"Missing"))</f>
        <v>2024</v>
      </c>
      <c r="S1153" s="0" t="str">
        <f aca="false">IF(ISBLANK(E1153),"Missing",IF(E1153&lt;6,"0-6mo",IF(E1153&lt;12,"6-12mo",IF(E1153&lt;24,"12-24mo","24mo+"))))</f>
        <v>0-6mo</v>
      </c>
      <c r="T1153" s="0" t="n">
        <f aca="false">IF(ISBLANK(C1153),0,IF(C1153="Month-to-month",2,IF(C1153="One year",1,0)))+IF(ISBLANK(I1153),0,IF(I1153&lt;40,2,IF(I1153&lt;55,1,0)))+IF(ISBLANK(M1153),0,IF(M1153=1,3,0))+IF(ISBLANK(L1153),0,IF(L1153&gt;=2,1,0))+IF(ISBLANK(E1153),0,IF(E1153&lt;12,1,0))</f>
        <v>5</v>
      </c>
      <c r="U1153" s="0" t="str">
        <f aca="false">IF((ISBLANK(B1153)*1+ISBLANK(C1153)*1+ISBLANK(D1153)*1+ISBLANK(E1153)*1+ISBLANK(F1153)*1+ISBLANK(I1153)*1+ISBLANK(J1153)*1+ISBLANK(K1153)*1+ISBLANK(L1153)*1+ISBLANK(M1153)*1+ISBLANK(N1153)*1+ISBLANK(O1153)*1)&gt;0,"Missing Data","OK")</f>
        <v>OK</v>
      </c>
      <c r="V1153" s="0" t="str">
        <f aca="false">IF(T1153&gt;=6,"High Risk",IF(T1153&gt;=3,"Medium Risk","Low Risk"))</f>
        <v>Medium Risk</v>
      </c>
    </row>
    <row r="1154" customFormat="false" ht="12.8" hidden="false" customHeight="false" outlineLevel="0" collapsed="false">
      <c r="A1154" s="1" t="s">
        <v>1184</v>
      </c>
      <c r="B1154" s="1" t="s">
        <v>29</v>
      </c>
      <c r="C1154" s="1" t="s">
        <v>34</v>
      </c>
      <c r="D1154" s="1" t="n">
        <v>39.82</v>
      </c>
      <c r="E1154" s="1" t="n">
        <v>21</v>
      </c>
      <c r="F1154" s="4" t="n">
        <v>45338</v>
      </c>
      <c r="G1154" s="1" t="s">
        <v>25</v>
      </c>
      <c r="H1154" s="1" t="n">
        <v>1</v>
      </c>
      <c r="I1154" s="1" t="n">
        <v>55.2</v>
      </c>
      <c r="J1154" s="1" t="n">
        <v>22</v>
      </c>
      <c r="K1154" s="1" t="n">
        <v>7</v>
      </c>
      <c r="L1154" s="1" t="n">
        <v>1</v>
      </c>
      <c r="M1154" s="1" t="n">
        <v>0</v>
      </c>
      <c r="N1154" s="1" t="n">
        <v>836.22</v>
      </c>
      <c r="O1154" s="1" t="n">
        <v>0</v>
      </c>
      <c r="Q1154" s="4" t="n">
        <v>45977</v>
      </c>
      <c r="R1154" s="0" t="n">
        <f aca="false">IF(ISBLANK(F1154),"Missing",IFERROR(YEAR(F1154),"Missing"))</f>
        <v>2024</v>
      </c>
      <c r="S1154" s="0" t="str">
        <f aca="false">IF(ISBLANK(E1154),"Missing",IF(E1154&lt;6,"0-6mo",IF(E1154&lt;12,"6-12mo",IF(E1154&lt;24,"12-24mo","24mo+"))))</f>
        <v>12-24mo</v>
      </c>
      <c r="T1154" s="0" t="n">
        <f aca="false">IF(ISBLANK(C1154),0,IF(C1154="Month-to-month",2,IF(C1154="One year",1,0)))+IF(ISBLANK(I1154),0,IF(I1154&lt;40,2,IF(I1154&lt;55,1,0)))+IF(ISBLANK(M1154),0,IF(M1154=1,3,0))+IF(ISBLANK(L1154),0,IF(L1154&gt;=2,1,0))+IF(ISBLANK(E1154),0,IF(E1154&lt;12,1,0))</f>
        <v>1</v>
      </c>
      <c r="U1154" s="0" t="str">
        <f aca="false">IF((ISBLANK(B1154)*1+ISBLANK(C1154)*1+ISBLANK(D1154)*1+ISBLANK(E1154)*1+ISBLANK(F1154)*1+ISBLANK(I1154)*1+ISBLANK(J1154)*1+ISBLANK(K1154)*1+ISBLANK(L1154)*1+ISBLANK(M1154)*1+ISBLANK(N1154)*1+ISBLANK(O1154)*1)&gt;0,"Missing Data","OK")</f>
        <v>OK</v>
      </c>
      <c r="V1154" s="0" t="str">
        <f aca="false">IF(T1154&gt;=6,"High Risk",IF(T1154&gt;=3,"Medium Risk","Low Risk"))</f>
        <v>Low Risk</v>
      </c>
    </row>
    <row r="1155" customFormat="false" ht="12.8" hidden="false" customHeight="false" outlineLevel="0" collapsed="false">
      <c r="A1155" s="1" t="s">
        <v>1185</v>
      </c>
      <c r="B1155" s="1" t="s">
        <v>23</v>
      </c>
      <c r="C1155" s="1" t="s">
        <v>34</v>
      </c>
      <c r="D1155" s="1" t="n">
        <v>21.74</v>
      </c>
      <c r="E1155" s="1" t="n">
        <v>15</v>
      </c>
      <c r="F1155" s="4" t="n">
        <v>45340</v>
      </c>
      <c r="G1155" s="1" t="s">
        <v>39</v>
      </c>
      <c r="H1155" s="1" t="n">
        <v>1</v>
      </c>
      <c r="I1155" s="1" t="n">
        <v>50.5</v>
      </c>
      <c r="J1155" s="1" t="n">
        <v>14</v>
      </c>
      <c r="K1155" s="1" t="n">
        <v>7</v>
      </c>
      <c r="L1155" s="1" t="n">
        <v>1</v>
      </c>
      <c r="M1155" s="1" t="n">
        <v>0</v>
      </c>
      <c r="N1155" s="1" t="n">
        <v>326.1</v>
      </c>
      <c r="O1155" s="1" t="n">
        <v>0</v>
      </c>
      <c r="Q1155" s="4" t="n">
        <v>45796</v>
      </c>
      <c r="R1155" s="0" t="n">
        <f aca="false">IF(ISBLANK(F1155),"Missing",IFERROR(YEAR(F1155),"Missing"))</f>
        <v>2024</v>
      </c>
      <c r="S1155" s="0" t="str">
        <f aca="false">IF(ISBLANK(E1155),"Missing",IF(E1155&lt;6,"0-6mo",IF(E1155&lt;12,"6-12mo",IF(E1155&lt;24,"12-24mo","24mo+"))))</f>
        <v>12-24mo</v>
      </c>
      <c r="T1155" s="0" t="n">
        <f aca="false">IF(ISBLANK(C1155),0,IF(C1155="Month-to-month",2,IF(C1155="One year",1,0)))+IF(ISBLANK(I1155),0,IF(I1155&lt;40,2,IF(I1155&lt;55,1,0)))+IF(ISBLANK(M1155),0,IF(M1155=1,3,0))+IF(ISBLANK(L1155),0,IF(L1155&gt;=2,1,0))+IF(ISBLANK(E1155),0,IF(E1155&lt;12,1,0))</f>
        <v>2</v>
      </c>
      <c r="U1155" s="0" t="str">
        <f aca="false">IF((ISBLANK(B1155)*1+ISBLANK(C1155)*1+ISBLANK(D1155)*1+ISBLANK(E1155)*1+ISBLANK(F1155)*1+ISBLANK(I1155)*1+ISBLANK(J1155)*1+ISBLANK(K1155)*1+ISBLANK(L1155)*1+ISBLANK(M1155)*1+ISBLANK(N1155)*1+ISBLANK(O1155)*1)&gt;0,"Missing Data","OK")</f>
        <v>OK</v>
      </c>
      <c r="V1155" s="0" t="str">
        <f aca="false">IF(T1155&gt;=6,"High Risk",IF(T1155&gt;=3,"Medium Risk","Low Risk"))</f>
        <v>Low Risk</v>
      </c>
    </row>
    <row r="1156" customFormat="false" ht="12.8" hidden="false" customHeight="false" outlineLevel="0" collapsed="false">
      <c r="A1156" s="1" t="s">
        <v>1186</v>
      </c>
      <c r="B1156" s="1" t="s">
        <v>36</v>
      </c>
      <c r="C1156" s="1" t="s">
        <v>34</v>
      </c>
      <c r="D1156" s="1" t="n">
        <v>10.75</v>
      </c>
      <c r="E1156" s="1" t="n">
        <v>20</v>
      </c>
      <c r="F1156" s="4" t="n">
        <v>45340</v>
      </c>
      <c r="G1156" s="1" t="s">
        <v>30</v>
      </c>
      <c r="H1156" s="1" t="n">
        <v>1</v>
      </c>
      <c r="I1156" s="1" t="n">
        <v>74.7</v>
      </c>
      <c r="J1156" s="1" t="n">
        <v>24</v>
      </c>
      <c r="K1156" s="1" t="n">
        <v>5</v>
      </c>
      <c r="L1156" s="1" t="n">
        <v>1</v>
      </c>
      <c r="M1156" s="1" t="n">
        <v>0</v>
      </c>
      <c r="N1156" s="1" t="n">
        <v>215</v>
      </c>
      <c r="O1156" s="1" t="n">
        <v>0</v>
      </c>
      <c r="Q1156" s="4" t="n">
        <v>45948</v>
      </c>
      <c r="R1156" s="0" t="n">
        <f aca="false">IF(ISBLANK(F1156),"Missing",IFERROR(YEAR(F1156),"Missing"))</f>
        <v>2024</v>
      </c>
      <c r="S1156" s="0" t="str">
        <f aca="false">IF(ISBLANK(E1156),"Missing",IF(E1156&lt;6,"0-6mo",IF(E1156&lt;12,"6-12mo",IF(E1156&lt;24,"12-24mo","24mo+"))))</f>
        <v>12-24mo</v>
      </c>
      <c r="T1156" s="0" t="n">
        <f aca="false">IF(ISBLANK(C1156),0,IF(C1156="Month-to-month",2,IF(C1156="One year",1,0)))+IF(ISBLANK(I1156),0,IF(I1156&lt;40,2,IF(I1156&lt;55,1,0)))+IF(ISBLANK(M1156),0,IF(M1156=1,3,0))+IF(ISBLANK(L1156),0,IF(L1156&gt;=2,1,0))+IF(ISBLANK(E1156),0,IF(E1156&lt;12,1,0))</f>
        <v>1</v>
      </c>
      <c r="U1156" s="0" t="str">
        <f aca="false">IF((ISBLANK(B1156)*1+ISBLANK(C1156)*1+ISBLANK(D1156)*1+ISBLANK(E1156)*1+ISBLANK(F1156)*1+ISBLANK(I1156)*1+ISBLANK(J1156)*1+ISBLANK(K1156)*1+ISBLANK(L1156)*1+ISBLANK(M1156)*1+ISBLANK(N1156)*1+ISBLANK(O1156)*1)&gt;0,"Missing Data","OK")</f>
        <v>OK</v>
      </c>
      <c r="V1156" s="0" t="str">
        <f aca="false">IF(T1156&gt;=6,"High Risk",IF(T1156&gt;=3,"Medium Risk","Low Risk"))</f>
        <v>Low Risk</v>
      </c>
    </row>
    <row r="1157" customFormat="false" ht="12.8" hidden="false" customHeight="false" outlineLevel="0" collapsed="false">
      <c r="A1157" s="1" t="s">
        <v>1187</v>
      </c>
      <c r="B1157" s="1" t="s">
        <v>23</v>
      </c>
      <c r="C1157" s="1" t="s">
        <v>24</v>
      </c>
      <c r="D1157" s="1" t="n">
        <v>22.61</v>
      </c>
      <c r="E1157" s="1" t="n">
        <v>38</v>
      </c>
      <c r="F1157" s="4" t="n">
        <v>45342</v>
      </c>
      <c r="G1157" s="1" t="s">
        <v>39</v>
      </c>
      <c r="H1157" s="1" t="n">
        <v>0</v>
      </c>
      <c r="I1157" s="1" t="n">
        <v>85.1</v>
      </c>
      <c r="J1157" s="1" t="n">
        <v>26</v>
      </c>
      <c r="K1157" s="1" t="n">
        <v>9</v>
      </c>
      <c r="L1157" s="1" t="n">
        <v>0</v>
      </c>
      <c r="M1157" s="1" t="n">
        <v>0</v>
      </c>
      <c r="N1157" s="1" t="n">
        <v>859.18</v>
      </c>
      <c r="O1157" s="1" t="n">
        <v>0</v>
      </c>
      <c r="Q1157" s="4" t="n">
        <v>46293</v>
      </c>
      <c r="R1157" s="0" t="n">
        <f aca="false">IF(ISBLANK(F1157),"Missing",IFERROR(YEAR(F1157),"Missing"))</f>
        <v>2024</v>
      </c>
      <c r="S1157" s="0" t="str">
        <f aca="false">IF(ISBLANK(E1157),"Missing",IF(E1157&lt;6,"0-6mo",IF(E1157&lt;12,"6-12mo",IF(E1157&lt;24,"12-24mo","24mo+"))))</f>
        <v>24mo+</v>
      </c>
      <c r="T1157" s="0" t="n">
        <f aca="false">IF(ISBLANK(C1157),0,IF(C1157="Month-to-month",2,IF(C1157="One year",1,0)))+IF(ISBLANK(I1157),0,IF(I1157&lt;40,2,IF(I1157&lt;55,1,0)))+IF(ISBLANK(M1157),0,IF(M1157=1,3,0))+IF(ISBLANK(L1157),0,IF(L1157&gt;=2,1,0))+IF(ISBLANK(E1157),0,IF(E1157&lt;12,1,0))</f>
        <v>2</v>
      </c>
      <c r="U1157" s="0" t="str">
        <f aca="false">IF((ISBLANK(B1157)*1+ISBLANK(C1157)*1+ISBLANK(D1157)*1+ISBLANK(E1157)*1+ISBLANK(F1157)*1+ISBLANK(I1157)*1+ISBLANK(J1157)*1+ISBLANK(K1157)*1+ISBLANK(L1157)*1+ISBLANK(M1157)*1+ISBLANK(N1157)*1+ISBLANK(O1157)*1)&gt;0,"Missing Data","OK")</f>
        <v>OK</v>
      </c>
      <c r="V1157" s="0" t="str">
        <f aca="false">IF(T1157&gt;=6,"High Risk",IF(T1157&gt;=3,"Medium Risk","Low Risk"))</f>
        <v>Low Risk</v>
      </c>
    </row>
    <row r="1158" customFormat="false" ht="12.8" hidden="false" customHeight="false" outlineLevel="0" collapsed="false">
      <c r="A1158" s="1" t="s">
        <v>1188</v>
      </c>
      <c r="B1158" s="1" t="s">
        <v>23</v>
      </c>
      <c r="C1158" s="1" t="s">
        <v>51</v>
      </c>
      <c r="D1158" s="1" t="n">
        <v>18.7</v>
      </c>
      <c r="E1158" s="1" t="n">
        <v>21</v>
      </c>
      <c r="F1158" s="4" t="n">
        <v>45342</v>
      </c>
      <c r="G1158" s="1" t="s">
        <v>25</v>
      </c>
      <c r="H1158" s="1" t="n">
        <v>0</v>
      </c>
      <c r="I1158" s="1" t="n">
        <v>43.8</v>
      </c>
      <c r="J1158" s="1" t="n">
        <v>13</v>
      </c>
      <c r="K1158" s="1" t="n">
        <v>2</v>
      </c>
      <c r="L1158" s="1" t="n">
        <v>0</v>
      </c>
      <c r="M1158" s="1" t="n">
        <v>0</v>
      </c>
      <c r="N1158" s="1" t="n">
        <v>392.7</v>
      </c>
      <c r="O1158" s="1" t="n">
        <v>0</v>
      </c>
      <c r="Q1158" s="4" t="n">
        <v>45981</v>
      </c>
      <c r="R1158" s="0" t="n">
        <f aca="false">IF(ISBLANK(F1158),"Missing",IFERROR(YEAR(F1158),"Missing"))</f>
        <v>2024</v>
      </c>
      <c r="S1158" s="0" t="str">
        <f aca="false">IF(ISBLANK(E1158),"Missing",IF(E1158&lt;6,"0-6mo",IF(E1158&lt;12,"6-12mo",IF(E1158&lt;24,"12-24mo","24mo+"))))</f>
        <v>12-24mo</v>
      </c>
      <c r="T1158" s="0" t="n">
        <f aca="false">IF(ISBLANK(C1158),0,IF(C1158="Month-to-month",2,IF(C1158="One year",1,0)))+IF(ISBLANK(I1158),0,IF(I1158&lt;40,2,IF(I1158&lt;55,1,0)))+IF(ISBLANK(M1158),0,IF(M1158=1,3,0))+IF(ISBLANK(L1158),0,IF(L1158&gt;=2,1,0))+IF(ISBLANK(E1158),0,IF(E1158&lt;12,1,0))</f>
        <v>1</v>
      </c>
      <c r="U1158" s="0" t="str">
        <f aca="false">IF((ISBLANK(B1158)*1+ISBLANK(C1158)*1+ISBLANK(D1158)*1+ISBLANK(E1158)*1+ISBLANK(F1158)*1+ISBLANK(I1158)*1+ISBLANK(J1158)*1+ISBLANK(K1158)*1+ISBLANK(L1158)*1+ISBLANK(M1158)*1+ISBLANK(N1158)*1+ISBLANK(O1158)*1)&gt;0,"Missing Data","OK")</f>
        <v>OK</v>
      </c>
      <c r="V1158" s="0" t="str">
        <f aca="false">IF(T1158&gt;=6,"High Risk",IF(T1158&gt;=3,"Medium Risk","Low Risk"))</f>
        <v>Low Risk</v>
      </c>
    </row>
    <row r="1159" customFormat="false" ht="12.8" hidden="false" customHeight="false" outlineLevel="0" collapsed="false">
      <c r="A1159" s="1" t="s">
        <v>1189</v>
      </c>
      <c r="B1159" s="1" t="s">
        <v>36</v>
      </c>
      <c r="C1159" s="1" t="s">
        <v>34</v>
      </c>
      <c r="D1159" s="1" t="n">
        <v>9.39</v>
      </c>
      <c r="E1159" s="1" t="n">
        <v>1</v>
      </c>
      <c r="F1159" s="4" t="n">
        <v>45343</v>
      </c>
      <c r="G1159" s="1" t="s">
        <v>30</v>
      </c>
      <c r="H1159" s="1" t="n">
        <v>1</v>
      </c>
      <c r="I1159" s="1" t="n">
        <v>27.5</v>
      </c>
      <c r="J1159" s="1" t="n">
        <v>10</v>
      </c>
      <c r="K1159" s="1" t="n">
        <v>4</v>
      </c>
      <c r="L1159" s="1" t="n">
        <v>2</v>
      </c>
      <c r="M1159" s="1" t="n">
        <v>1</v>
      </c>
      <c r="N1159" s="1" t="n">
        <v>9.39</v>
      </c>
      <c r="O1159" s="1" t="n">
        <v>0</v>
      </c>
      <c r="Q1159" s="4" t="n">
        <v>45373</v>
      </c>
      <c r="R1159" s="0" t="n">
        <f aca="false">IF(ISBLANK(F1159),"Missing",IFERROR(YEAR(F1159),"Missing"))</f>
        <v>2024</v>
      </c>
      <c r="S1159" s="0" t="str">
        <f aca="false">IF(ISBLANK(E1159),"Missing",IF(E1159&lt;6,"0-6mo",IF(E1159&lt;12,"6-12mo",IF(E1159&lt;24,"12-24mo","24mo+"))))</f>
        <v>0-6mo</v>
      </c>
      <c r="T1159" s="0" t="n">
        <f aca="false">IF(ISBLANK(C1159),0,IF(C1159="Month-to-month",2,IF(C1159="One year",1,0)))+IF(ISBLANK(I1159),0,IF(I1159&lt;40,2,IF(I1159&lt;55,1,0)))+IF(ISBLANK(M1159),0,IF(M1159=1,3,0))+IF(ISBLANK(L1159),0,IF(L1159&gt;=2,1,0))+IF(ISBLANK(E1159),0,IF(E1159&lt;12,1,0))</f>
        <v>8</v>
      </c>
      <c r="U1159" s="0" t="str">
        <f aca="false">IF((ISBLANK(B1159)*1+ISBLANK(C1159)*1+ISBLANK(D1159)*1+ISBLANK(E1159)*1+ISBLANK(F1159)*1+ISBLANK(I1159)*1+ISBLANK(J1159)*1+ISBLANK(K1159)*1+ISBLANK(L1159)*1+ISBLANK(M1159)*1+ISBLANK(N1159)*1+ISBLANK(O1159)*1)&gt;0,"Missing Data","OK")</f>
        <v>OK</v>
      </c>
      <c r="V1159" s="0" t="str">
        <f aca="false">IF(T1159&gt;=6,"High Risk",IF(T1159&gt;=3,"Medium Risk","Low Risk"))</f>
        <v>High Risk</v>
      </c>
    </row>
    <row r="1160" customFormat="false" ht="12.8" hidden="false" customHeight="false" outlineLevel="0" collapsed="false">
      <c r="A1160" s="1" t="s">
        <v>1190</v>
      </c>
      <c r="B1160" s="1" t="s">
        <v>36</v>
      </c>
      <c r="C1160" s="1" t="s">
        <v>24</v>
      </c>
      <c r="D1160" s="1" t="n">
        <v>10.37</v>
      </c>
      <c r="E1160" s="1" t="n">
        <v>9</v>
      </c>
      <c r="F1160" s="4" t="n">
        <v>45344</v>
      </c>
      <c r="G1160" s="1" t="s">
        <v>30</v>
      </c>
      <c r="H1160" s="1" t="n">
        <v>1</v>
      </c>
      <c r="I1160" s="1" t="n">
        <v>0</v>
      </c>
      <c r="J1160" s="1" t="n">
        <v>6</v>
      </c>
      <c r="K1160" s="1" t="n">
        <v>0</v>
      </c>
      <c r="L1160" s="1" t="n">
        <v>4</v>
      </c>
      <c r="M1160" s="1" t="n">
        <v>0</v>
      </c>
      <c r="N1160" s="1" t="n">
        <v>93.33</v>
      </c>
      <c r="O1160" s="1" t="n">
        <v>1</v>
      </c>
      <c r="P1160" s="4" t="n">
        <v>45617</v>
      </c>
      <c r="Q1160" s="4" t="n">
        <v>45617</v>
      </c>
      <c r="R1160" s="0" t="n">
        <f aca="false">IF(ISBLANK(F1160),"Missing",IFERROR(YEAR(F1160),"Missing"))</f>
        <v>2024</v>
      </c>
      <c r="S1160" s="0" t="str">
        <f aca="false">IF(ISBLANK(E1160),"Missing",IF(E1160&lt;6,"0-6mo",IF(E1160&lt;12,"6-12mo",IF(E1160&lt;24,"12-24mo","24mo+"))))</f>
        <v>6-12mo</v>
      </c>
      <c r="T1160" s="0" t="n">
        <f aca="false">IF(ISBLANK(C1160),0,IF(C1160="Month-to-month",2,IF(C1160="One year",1,0)))+IF(ISBLANK(I1160),0,IF(I1160&lt;40,2,IF(I1160&lt;55,1,0)))+IF(ISBLANK(M1160),0,IF(M1160=1,3,0))+IF(ISBLANK(L1160),0,IF(L1160&gt;=2,1,0))+IF(ISBLANK(E1160),0,IF(E1160&lt;12,1,0))</f>
        <v>6</v>
      </c>
      <c r="U1160" s="0" t="str">
        <f aca="false">IF((ISBLANK(B1160)*1+ISBLANK(C1160)*1+ISBLANK(D1160)*1+ISBLANK(E1160)*1+ISBLANK(F1160)*1+ISBLANK(I1160)*1+ISBLANK(J1160)*1+ISBLANK(K1160)*1+ISBLANK(L1160)*1+ISBLANK(M1160)*1+ISBLANK(N1160)*1+ISBLANK(O1160)*1)&gt;0,"Missing Data","OK")</f>
        <v>OK</v>
      </c>
      <c r="V1160" s="0" t="str">
        <f aca="false">IF(T1160&gt;=6,"High Risk",IF(T1160&gt;=3,"Medium Risk","Low Risk"))</f>
        <v>High Risk</v>
      </c>
    </row>
    <row r="1161" customFormat="false" ht="12.8" hidden="false" customHeight="false" outlineLevel="0" collapsed="false">
      <c r="A1161" s="1" t="s">
        <v>1191</v>
      </c>
      <c r="B1161" s="1" t="s">
        <v>36</v>
      </c>
      <c r="C1161" s="1" t="s">
        <v>34</v>
      </c>
      <c r="D1161" s="1" t="n">
        <v>9.81</v>
      </c>
      <c r="E1161" s="1" t="n">
        <v>26</v>
      </c>
      <c r="F1161" s="4" t="n">
        <v>45347</v>
      </c>
      <c r="G1161" s="1" t="s">
        <v>25</v>
      </c>
      <c r="H1161" s="1" t="n">
        <v>1</v>
      </c>
      <c r="I1161" s="1" t="n">
        <v>68.9</v>
      </c>
      <c r="J1161" s="1" t="n">
        <v>28</v>
      </c>
      <c r="K1161" s="1" t="n">
        <v>8</v>
      </c>
      <c r="L1161" s="1" t="n">
        <v>0</v>
      </c>
      <c r="M1161" s="1" t="n">
        <v>0</v>
      </c>
      <c r="N1161" s="1" t="n">
        <v>255.06</v>
      </c>
      <c r="O1161" s="1" t="n">
        <v>0</v>
      </c>
      <c r="Q1161" s="4" t="n">
        <v>46138</v>
      </c>
      <c r="R1161" s="0" t="n">
        <f aca="false">IF(ISBLANK(F1161),"Missing",IFERROR(YEAR(F1161),"Missing"))</f>
        <v>2024</v>
      </c>
      <c r="S1161" s="0" t="str">
        <f aca="false">IF(ISBLANK(E1161),"Missing",IF(E1161&lt;6,"0-6mo",IF(E1161&lt;12,"6-12mo",IF(E1161&lt;24,"12-24mo","24mo+"))))</f>
        <v>24mo+</v>
      </c>
      <c r="T1161" s="0" t="n">
        <f aca="false">IF(ISBLANK(C1161),0,IF(C1161="Month-to-month",2,IF(C1161="One year",1,0)))+IF(ISBLANK(I1161),0,IF(I1161&lt;40,2,IF(I1161&lt;55,1,0)))+IF(ISBLANK(M1161),0,IF(M1161=1,3,0))+IF(ISBLANK(L1161),0,IF(L1161&gt;=2,1,0))+IF(ISBLANK(E1161),0,IF(E1161&lt;12,1,0))</f>
        <v>1</v>
      </c>
      <c r="U1161" s="0" t="str">
        <f aca="false">IF((ISBLANK(B1161)*1+ISBLANK(C1161)*1+ISBLANK(D1161)*1+ISBLANK(E1161)*1+ISBLANK(F1161)*1+ISBLANK(I1161)*1+ISBLANK(J1161)*1+ISBLANK(K1161)*1+ISBLANK(L1161)*1+ISBLANK(M1161)*1+ISBLANK(N1161)*1+ISBLANK(O1161)*1)&gt;0,"Missing Data","OK")</f>
        <v>OK</v>
      </c>
      <c r="V1161" s="0" t="str">
        <f aca="false">IF(T1161&gt;=6,"High Risk",IF(T1161&gt;=3,"Medium Risk","Low Risk"))</f>
        <v>Low Risk</v>
      </c>
    </row>
    <row r="1162" customFormat="false" ht="12.8" hidden="false" customHeight="false" outlineLevel="0" collapsed="false">
      <c r="A1162" s="1" t="s">
        <v>1192</v>
      </c>
      <c r="B1162" s="1" t="s">
        <v>23</v>
      </c>
      <c r="C1162" s="1" t="s">
        <v>34</v>
      </c>
      <c r="D1162" s="1" t="n">
        <v>19.82</v>
      </c>
      <c r="E1162" s="1" t="n">
        <v>4</v>
      </c>
      <c r="F1162" s="4" t="n">
        <v>45349</v>
      </c>
      <c r="G1162" s="1" t="s">
        <v>30</v>
      </c>
      <c r="H1162" s="1" t="n">
        <v>0</v>
      </c>
      <c r="I1162" s="1" t="n">
        <v>52.1</v>
      </c>
      <c r="J1162" s="1" t="n">
        <v>18</v>
      </c>
      <c r="K1162" s="1" t="n">
        <v>7</v>
      </c>
      <c r="L1162" s="1" t="n">
        <v>2</v>
      </c>
      <c r="M1162" s="1" t="n">
        <v>0</v>
      </c>
      <c r="N1162" s="1" t="n">
        <v>79.28</v>
      </c>
      <c r="O1162" s="1" t="n">
        <v>0</v>
      </c>
      <c r="Q1162" s="4" t="n">
        <v>45470</v>
      </c>
      <c r="R1162" s="0" t="n">
        <f aca="false">IF(ISBLANK(F1162),"Missing",IFERROR(YEAR(F1162),"Missing"))</f>
        <v>2024</v>
      </c>
      <c r="S1162" s="0" t="str">
        <f aca="false">IF(ISBLANK(E1162),"Missing",IF(E1162&lt;6,"0-6mo",IF(E1162&lt;12,"6-12mo",IF(E1162&lt;24,"12-24mo","24mo+"))))</f>
        <v>0-6mo</v>
      </c>
      <c r="T1162" s="0" t="n">
        <f aca="false">IF(ISBLANK(C1162),0,IF(C1162="Month-to-month",2,IF(C1162="One year",1,0)))+IF(ISBLANK(I1162),0,IF(I1162&lt;40,2,IF(I1162&lt;55,1,0)))+IF(ISBLANK(M1162),0,IF(M1162=1,3,0))+IF(ISBLANK(L1162),0,IF(L1162&gt;=2,1,0))+IF(ISBLANK(E1162),0,IF(E1162&lt;12,1,0))</f>
        <v>4</v>
      </c>
      <c r="U1162" s="0" t="str">
        <f aca="false">IF((ISBLANK(B1162)*1+ISBLANK(C1162)*1+ISBLANK(D1162)*1+ISBLANK(E1162)*1+ISBLANK(F1162)*1+ISBLANK(I1162)*1+ISBLANK(J1162)*1+ISBLANK(K1162)*1+ISBLANK(L1162)*1+ISBLANK(M1162)*1+ISBLANK(N1162)*1+ISBLANK(O1162)*1)&gt;0,"Missing Data","OK")</f>
        <v>OK</v>
      </c>
      <c r="V1162" s="0" t="str">
        <f aca="false">IF(T1162&gt;=6,"High Risk",IF(T1162&gt;=3,"Medium Risk","Low Risk"))</f>
        <v>Medium Risk</v>
      </c>
    </row>
    <row r="1163" customFormat="false" ht="12.8" hidden="false" customHeight="false" outlineLevel="0" collapsed="false">
      <c r="A1163" s="1" t="s">
        <v>1193</v>
      </c>
      <c r="B1163" s="1" t="s">
        <v>23</v>
      </c>
      <c r="C1163" s="1" t="s">
        <v>51</v>
      </c>
      <c r="D1163" s="1" t="n">
        <v>20.93</v>
      </c>
      <c r="E1163" s="1" t="n">
        <v>1</v>
      </c>
      <c r="F1163" s="4" t="n">
        <v>45351</v>
      </c>
      <c r="G1163" s="1" t="s">
        <v>25</v>
      </c>
      <c r="H1163" s="1" t="n">
        <v>0</v>
      </c>
      <c r="I1163" s="1" t="n">
        <v>48.4</v>
      </c>
      <c r="J1163" s="1" t="n">
        <v>9</v>
      </c>
      <c r="K1163" s="1" t="n">
        <v>5</v>
      </c>
      <c r="L1163" s="1" t="n">
        <v>0</v>
      </c>
      <c r="M1163" s="1" t="n">
        <v>0</v>
      </c>
      <c r="N1163" s="1" t="n">
        <v>20.93</v>
      </c>
      <c r="O1163" s="1" t="n">
        <v>0</v>
      </c>
      <c r="Q1163" s="4" t="n">
        <v>45381</v>
      </c>
      <c r="R1163" s="0" t="n">
        <f aca="false">IF(ISBLANK(F1163),"Missing",IFERROR(YEAR(F1163),"Missing"))</f>
        <v>2024</v>
      </c>
      <c r="S1163" s="0" t="str">
        <f aca="false">IF(ISBLANK(E1163),"Missing",IF(E1163&lt;6,"0-6mo",IF(E1163&lt;12,"6-12mo",IF(E1163&lt;24,"12-24mo","24mo+"))))</f>
        <v>0-6mo</v>
      </c>
      <c r="T1163" s="0" t="n">
        <f aca="false">IF(ISBLANK(C1163),0,IF(C1163="Month-to-month",2,IF(C1163="One year",1,0)))+IF(ISBLANK(I1163),0,IF(I1163&lt;40,2,IF(I1163&lt;55,1,0)))+IF(ISBLANK(M1163),0,IF(M1163=1,3,0))+IF(ISBLANK(L1163),0,IF(L1163&gt;=2,1,0))+IF(ISBLANK(E1163),0,IF(E1163&lt;12,1,0))</f>
        <v>2</v>
      </c>
      <c r="U1163" s="0" t="str">
        <f aca="false">IF((ISBLANK(B1163)*1+ISBLANK(C1163)*1+ISBLANK(D1163)*1+ISBLANK(E1163)*1+ISBLANK(F1163)*1+ISBLANK(I1163)*1+ISBLANK(J1163)*1+ISBLANK(K1163)*1+ISBLANK(L1163)*1+ISBLANK(M1163)*1+ISBLANK(N1163)*1+ISBLANK(O1163)*1)&gt;0,"Missing Data","OK")</f>
        <v>OK</v>
      </c>
      <c r="V1163" s="0" t="str">
        <f aca="false">IF(T1163&gt;=6,"High Risk",IF(T1163&gt;=3,"Medium Risk","Low Risk"))</f>
        <v>Low Risk</v>
      </c>
    </row>
    <row r="1164" customFormat="false" ht="12.8" hidden="false" customHeight="false" outlineLevel="0" collapsed="false">
      <c r="A1164" s="1" t="s">
        <v>1194</v>
      </c>
      <c r="B1164" s="1" t="s">
        <v>29</v>
      </c>
      <c r="C1164" s="1" t="s">
        <v>24</v>
      </c>
      <c r="D1164" s="1" t="n">
        <v>39.8</v>
      </c>
      <c r="E1164" s="1" t="n">
        <v>29</v>
      </c>
      <c r="F1164" s="4" t="n">
        <v>45353</v>
      </c>
      <c r="G1164" s="1" t="s">
        <v>25</v>
      </c>
      <c r="H1164" s="1" t="n">
        <v>1</v>
      </c>
      <c r="I1164" s="1" t="n">
        <v>78.1</v>
      </c>
      <c r="J1164" s="1" t="n">
        <v>19</v>
      </c>
      <c r="K1164" s="1" t="n">
        <v>8</v>
      </c>
      <c r="L1164" s="1" t="n">
        <v>0</v>
      </c>
      <c r="M1164" s="1" t="n">
        <v>0</v>
      </c>
      <c r="N1164" s="1" t="n">
        <v>1154.2</v>
      </c>
      <c r="O1164" s="1" t="n">
        <v>0</v>
      </c>
      <c r="Q1164" s="4" t="n">
        <v>46235</v>
      </c>
      <c r="R1164" s="0" t="n">
        <f aca="false">IF(ISBLANK(F1164),"Missing",IFERROR(YEAR(F1164),"Missing"))</f>
        <v>2024</v>
      </c>
      <c r="S1164" s="0" t="str">
        <f aca="false">IF(ISBLANK(E1164),"Missing",IF(E1164&lt;6,"0-6mo",IF(E1164&lt;12,"6-12mo",IF(E1164&lt;24,"12-24mo","24mo+"))))</f>
        <v>24mo+</v>
      </c>
      <c r="T1164" s="0" t="n">
        <f aca="false">IF(ISBLANK(C1164),0,IF(C1164="Month-to-month",2,IF(C1164="One year",1,0)))+IF(ISBLANK(I1164),0,IF(I1164&lt;40,2,IF(I1164&lt;55,1,0)))+IF(ISBLANK(M1164),0,IF(M1164=1,3,0))+IF(ISBLANK(L1164),0,IF(L1164&gt;=2,1,0))+IF(ISBLANK(E1164),0,IF(E1164&lt;12,1,0))</f>
        <v>2</v>
      </c>
      <c r="U1164" s="0" t="str">
        <f aca="false">IF((ISBLANK(B1164)*1+ISBLANK(C1164)*1+ISBLANK(D1164)*1+ISBLANK(E1164)*1+ISBLANK(F1164)*1+ISBLANK(I1164)*1+ISBLANK(J1164)*1+ISBLANK(K1164)*1+ISBLANK(L1164)*1+ISBLANK(M1164)*1+ISBLANK(N1164)*1+ISBLANK(O1164)*1)&gt;0,"Missing Data","OK")</f>
        <v>OK</v>
      </c>
      <c r="V1164" s="0" t="str">
        <f aca="false">IF(T1164&gt;=6,"High Risk",IF(T1164&gt;=3,"Medium Risk","Low Risk"))</f>
        <v>Low Risk</v>
      </c>
    </row>
    <row r="1165" customFormat="false" ht="12.8" hidden="false" customHeight="false" outlineLevel="0" collapsed="false">
      <c r="A1165" s="1" t="s">
        <v>1195</v>
      </c>
      <c r="B1165" s="1" t="s">
        <v>29</v>
      </c>
      <c r="C1165" s="1" t="s">
        <v>34</v>
      </c>
      <c r="D1165" s="1" t="n">
        <v>39.51</v>
      </c>
      <c r="E1165" s="1" t="n">
        <v>9</v>
      </c>
      <c r="F1165" s="4" t="n">
        <v>45354</v>
      </c>
      <c r="G1165" s="1" t="s">
        <v>30</v>
      </c>
      <c r="H1165" s="1" t="n">
        <v>0</v>
      </c>
      <c r="I1165" s="1" t="n">
        <v>35.4</v>
      </c>
      <c r="J1165" s="1" t="n">
        <v>15</v>
      </c>
      <c r="K1165" s="1" t="n">
        <v>3</v>
      </c>
      <c r="L1165" s="1" t="n">
        <v>0</v>
      </c>
      <c r="M1165" s="1" t="n">
        <v>0</v>
      </c>
      <c r="N1165" s="1" t="n">
        <v>355.59</v>
      </c>
      <c r="O1165" s="1" t="n">
        <v>0</v>
      </c>
      <c r="Q1165" s="4" t="n">
        <v>45627</v>
      </c>
      <c r="R1165" s="0" t="n">
        <f aca="false">IF(ISBLANK(F1165),"Missing",IFERROR(YEAR(F1165),"Missing"))</f>
        <v>2024</v>
      </c>
      <c r="S1165" s="0" t="str">
        <f aca="false">IF(ISBLANK(E1165),"Missing",IF(E1165&lt;6,"0-6mo",IF(E1165&lt;12,"6-12mo",IF(E1165&lt;24,"12-24mo","24mo+"))))</f>
        <v>6-12mo</v>
      </c>
      <c r="T1165" s="0" t="n">
        <f aca="false">IF(ISBLANK(C1165),0,IF(C1165="Month-to-month",2,IF(C1165="One year",1,0)))+IF(ISBLANK(I1165),0,IF(I1165&lt;40,2,IF(I1165&lt;55,1,0)))+IF(ISBLANK(M1165),0,IF(M1165=1,3,0))+IF(ISBLANK(L1165),0,IF(L1165&gt;=2,1,0))+IF(ISBLANK(E1165),0,IF(E1165&lt;12,1,0))</f>
        <v>4</v>
      </c>
      <c r="U1165" s="0" t="str">
        <f aca="false">IF((ISBLANK(B1165)*1+ISBLANK(C1165)*1+ISBLANK(D1165)*1+ISBLANK(E1165)*1+ISBLANK(F1165)*1+ISBLANK(I1165)*1+ISBLANK(J1165)*1+ISBLANK(K1165)*1+ISBLANK(L1165)*1+ISBLANK(M1165)*1+ISBLANK(N1165)*1+ISBLANK(O1165)*1)&gt;0,"Missing Data","OK")</f>
        <v>OK</v>
      </c>
      <c r="V1165" s="0" t="str">
        <f aca="false">IF(T1165&gt;=6,"High Risk",IF(T1165&gt;=3,"Medium Risk","Low Risk"))</f>
        <v>Medium Risk</v>
      </c>
    </row>
    <row r="1166" customFormat="false" ht="12.8" hidden="false" customHeight="false" outlineLevel="0" collapsed="false">
      <c r="A1166" s="1" t="s">
        <v>1196</v>
      </c>
      <c r="B1166" s="1" t="s">
        <v>29</v>
      </c>
      <c r="C1166" s="1" t="s">
        <v>34</v>
      </c>
      <c r="D1166" s="1" t="n">
        <v>40.23</v>
      </c>
      <c r="E1166" s="1" t="n">
        <v>14</v>
      </c>
      <c r="F1166" s="4" t="n">
        <v>45355</v>
      </c>
      <c r="G1166" s="1" t="s">
        <v>25</v>
      </c>
      <c r="H1166" s="1" t="n">
        <v>0</v>
      </c>
      <c r="I1166" s="1" t="n">
        <v>74.2</v>
      </c>
      <c r="J1166" s="1" t="n">
        <v>29</v>
      </c>
      <c r="K1166" s="1" t="n">
        <v>7</v>
      </c>
      <c r="L1166" s="1" t="n">
        <v>0</v>
      </c>
      <c r="M1166" s="1" t="n">
        <v>0</v>
      </c>
      <c r="N1166" s="1" t="n">
        <v>563.22</v>
      </c>
      <c r="O1166" s="1" t="n">
        <v>0</v>
      </c>
      <c r="Q1166" s="4" t="n">
        <v>45781</v>
      </c>
      <c r="R1166" s="0" t="n">
        <f aca="false">IF(ISBLANK(F1166),"Missing",IFERROR(YEAR(F1166),"Missing"))</f>
        <v>2024</v>
      </c>
      <c r="S1166" s="0" t="str">
        <f aca="false">IF(ISBLANK(E1166),"Missing",IF(E1166&lt;6,"0-6mo",IF(E1166&lt;12,"6-12mo",IF(E1166&lt;24,"12-24mo","24mo+"))))</f>
        <v>12-24mo</v>
      </c>
      <c r="T1166" s="0" t="n">
        <f aca="false">IF(ISBLANK(C1166),0,IF(C1166="Month-to-month",2,IF(C1166="One year",1,0)))+IF(ISBLANK(I1166),0,IF(I1166&lt;40,2,IF(I1166&lt;55,1,0)))+IF(ISBLANK(M1166),0,IF(M1166=1,3,0))+IF(ISBLANK(L1166),0,IF(L1166&gt;=2,1,0))+IF(ISBLANK(E1166),0,IF(E1166&lt;12,1,0))</f>
        <v>1</v>
      </c>
      <c r="U1166" s="0" t="str">
        <f aca="false">IF((ISBLANK(B1166)*1+ISBLANK(C1166)*1+ISBLANK(D1166)*1+ISBLANK(E1166)*1+ISBLANK(F1166)*1+ISBLANK(I1166)*1+ISBLANK(J1166)*1+ISBLANK(K1166)*1+ISBLANK(L1166)*1+ISBLANK(M1166)*1+ISBLANK(N1166)*1+ISBLANK(O1166)*1)&gt;0,"Missing Data","OK")</f>
        <v>OK</v>
      </c>
      <c r="V1166" s="0" t="str">
        <f aca="false">IF(T1166&gt;=6,"High Risk",IF(T1166&gt;=3,"Medium Risk","Low Risk"))</f>
        <v>Low Risk</v>
      </c>
    </row>
    <row r="1167" customFormat="false" ht="12.8" hidden="false" customHeight="false" outlineLevel="0" collapsed="false">
      <c r="A1167" s="1" t="s">
        <v>1197</v>
      </c>
      <c r="B1167" s="1" t="s">
        <v>36</v>
      </c>
      <c r="C1167" s="1" t="s">
        <v>24</v>
      </c>
      <c r="D1167" s="1" t="n">
        <v>8.8</v>
      </c>
      <c r="E1167" s="1" t="n">
        <v>4</v>
      </c>
      <c r="F1167" s="4" t="n">
        <v>45356</v>
      </c>
      <c r="G1167" s="1" t="s">
        <v>27</v>
      </c>
      <c r="H1167" s="1" t="n">
        <v>1</v>
      </c>
      <c r="I1167" s="1" t="n">
        <v>61.2</v>
      </c>
      <c r="J1167" s="1" t="n">
        <v>19</v>
      </c>
      <c r="K1167" s="1" t="n">
        <v>6</v>
      </c>
      <c r="L1167" s="1" t="n">
        <v>0</v>
      </c>
      <c r="M1167" s="1" t="n">
        <v>0</v>
      </c>
      <c r="N1167" s="1" t="n">
        <v>35.2</v>
      </c>
      <c r="O1167" s="1" t="n">
        <v>1</v>
      </c>
      <c r="P1167" s="4" t="n">
        <v>45477</v>
      </c>
      <c r="Q1167" s="4" t="n">
        <v>45477</v>
      </c>
      <c r="R1167" s="0" t="n">
        <f aca="false">IF(ISBLANK(F1167),"Missing",IFERROR(YEAR(F1167),"Missing"))</f>
        <v>2024</v>
      </c>
      <c r="S1167" s="0" t="str">
        <f aca="false">IF(ISBLANK(E1167),"Missing",IF(E1167&lt;6,"0-6mo",IF(E1167&lt;12,"6-12mo",IF(E1167&lt;24,"12-24mo","24mo+"))))</f>
        <v>0-6mo</v>
      </c>
      <c r="T1167" s="0" t="n">
        <f aca="false">IF(ISBLANK(C1167),0,IF(C1167="Month-to-month",2,IF(C1167="One year",1,0)))+IF(ISBLANK(I1167),0,IF(I1167&lt;40,2,IF(I1167&lt;55,1,0)))+IF(ISBLANK(M1167),0,IF(M1167=1,3,0))+IF(ISBLANK(L1167),0,IF(L1167&gt;=2,1,0))+IF(ISBLANK(E1167),0,IF(E1167&lt;12,1,0))</f>
        <v>3</v>
      </c>
      <c r="U1167" s="0" t="str">
        <f aca="false">IF((ISBLANK(B1167)*1+ISBLANK(C1167)*1+ISBLANK(D1167)*1+ISBLANK(E1167)*1+ISBLANK(F1167)*1+ISBLANK(I1167)*1+ISBLANK(J1167)*1+ISBLANK(K1167)*1+ISBLANK(L1167)*1+ISBLANK(M1167)*1+ISBLANK(N1167)*1+ISBLANK(O1167)*1)&gt;0,"Missing Data","OK")</f>
        <v>OK</v>
      </c>
      <c r="V1167" s="0" t="str">
        <f aca="false">IF(T1167&gt;=6,"High Risk",IF(T1167&gt;=3,"Medium Risk","Low Risk"))</f>
        <v>Medium Risk</v>
      </c>
    </row>
    <row r="1168" customFormat="false" ht="12.8" hidden="false" customHeight="false" outlineLevel="0" collapsed="false">
      <c r="A1168" s="1" t="s">
        <v>1198</v>
      </c>
      <c r="B1168" s="1" t="s">
        <v>36</v>
      </c>
      <c r="C1168" s="1" t="s">
        <v>34</v>
      </c>
      <c r="D1168" s="1" t="n">
        <v>10.89</v>
      </c>
      <c r="E1168" s="1" t="n">
        <v>0</v>
      </c>
      <c r="F1168" s="4" t="n">
        <v>45359</v>
      </c>
      <c r="G1168" s="1" t="s">
        <v>39</v>
      </c>
      <c r="H1168" s="1" t="n">
        <v>1</v>
      </c>
      <c r="I1168" s="1" t="n">
        <v>39.8</v>
      </c>
      <c r="J1168" s="1" t="n">
        <v>19</v>
      </c>
      <c r="K1168" s="1" t="n">
        <v>3</v>
      </c>
      <c r="L1168" s="1" t="n">
        <v>0</v>
      </c>
      <c r="M1168" s="1" t="n">
        <v>0</v>
      </c>
      <c r="N1168" s="1" t="n">
        <v>0</v>
      </c>
      <c r="O1168" s="1" t="n">
        <v>0</v>
      </c>
      <c r="Q1168" s="4" t="n">
        <v>45359</v>
      </c>
      <c r="R1168" s="0" t="n">
        <f aca="false">IF(ISBLANK(F1168),"Missing",IFERROR(YEAR(F1168),"Missing"))</f>
        <v>2024</v>
      </c>
      <c r="S1168" s="0" t="str">
        <f aca="false">IF(ISBLANK(E1168),"Missing",IF(E1168&lt;6,"0-6mo",IF(E1168&lt;12,"6-12mo",IF(E1168&lt;24,"12-24mo","24mo+"))))</f>
        <v>0-6mo</v>
      </c>
      <c r="T1168" s="0" t="n">
        <f aca="false">IF(ISBLANK(C1168),0,IF(C1168="Month-to-month",2,IF(C1168="One year",1,0)))+IF(ISBLANK(I1168),0,IF(I1168&lt;40,2,IF(I1168&lt;55,1,0)))+IF(ISBLANK(M1168),0,IF(M1168=1,3,0))+IF(ISBLANK(L1168),0,IF(L1168&gt;=2,1,0))+IF(ISBLANK(E1168),0,IF(E1168&lt;12,1,0))</f>
        <v>4</v>
      </c>
      <c r="U1168" s="0" t="str">
        <f aca="false">IF((ISBLANK(B1168)*1+ISBLANK(C1168)*1+ISBLANK(D1168)*1+ISBLANK(E1168)*1+ISBLANK(F1168)*1+ISBLANK(I1168)*1+ISBLANK(J1168)*1+ISBLANK(K1168)*1+ISBLANK(L1168)*1+ISBLANK(M1168)*1+ISBLANK(N1168)*1+ISBLANK(O1168)*1)&gt;0,"Missing Data","OK")</f>
        <v>OK</v>
      </c>
      <c r="V1168" s="0" t="str">
        <f aca="false">IF(T1168&gt;=6,"High Risk",IF(T1168&gt;=3,"Medium Risk","Low Risk"))</f>
        <v>Medium Risk</v>
      </c>
    </row>
    <row r="1169" customFormat="false" ht="12.8" hidden="false" customHeight="false" outlineLevel="0" collapsed="false">
      <c r="A1169" s="1" t="s">
        <v>1199</v>
      </c>
      <c r="B1169" s="1" t="s">
        <v>36</v>
      </c>
      <c r="C1169" s="1" t="s">
        <v>24</v>
      </c>
      <c r="D1169" s="1" t="n">
        <v>9.73</v>
      </c>
      <c r="E1169" s="1" t="n">
        <v>2</v>
      </c>
      <c r="F1169" s="4" t="n">
        <v>45360</v>
      </c>
      <c r="G1169" s="1" t="s">
        <v>27</v>
      </c>
      <c r="H1169" s="1" t="n">
        <v>1</v>
      </c>
      <c r="I1169" s="1" t="n">
        <v>83.9</v>
      </c>
      <c r="J1169" s="1" t="n">
        <v>26</v>
      </c>
      <c r="K1169" s="1" t="n">
        <v>9</v>
      </c>
      <c r="L1169" s="1" t="n">
        <v>1</v>
      </c>
      <c r="M1169" s="1" t="n">
        <v>1</v>
      </c>
      <c r="N1169" s="1" t="n">
        <v>19.46</v>
      </c>
      <c r="O1169" s="1" t="n">
        <v>1</v>
      </c>
      <c r="P1169" s="4" t="n">
        <v>45420</v>
      </c>
      <c r="Q1169" s="4" t="n">
        <v>45420</v>
      </c>
      <c r="R1169" s="0" t="n">
        <f aca="false">IF(ISBLANK(F1169),"Missing",IFERROR(YEAR(F1169),"Missing"))</f>
        <v>2024</v>
      </c>
      <c r="S1169" s="0" t="str">
        <f aca="false">IF(ISBLANK(E1169),"Missing",IF(E1169&lt;6,"0-6mo",IF(E1169&lt;12,"6-12mo",IF(E1169&lt;24,"12-24mo","24mo+"))))</f>
        <v>0-6mo</v>
      </c>
      <c r="T1169" s="0" t="n">
        <f aca="false">IF(ISBLANK(C1169),0,IF(C1169="Month-to-month",2,IF(C1169="One year",1,0)))+IF(ISBLANK(I1169),0,IF(I1169&lt;40,2,IF(I1169&lt;55,1,0)))+IF(ISBLANK(M1169),0,IF(M1169=1,3,0))+IF(ISBLANK(L1169),0,IF(L1169&gt;=2,1,0))+IF(ISBLANK(E1169),0,IF(E1169&lt;12,1,0))</f>
        <v>6</v>
      </c>
      <c r="U1169" s="0" t="str">
        <f aca="false">IF((ISBLANK(B1169)*1+ISBLANK(C1169)*1+ISBLANK(D1169)*1+ISBLANK(E1169)*1+ISBLANK(F1169)*1+ISBLANK(I1169)*1+ISBLANK(J1169)*1+ISBLANK(K1169)*1+ISBLANK(L1169)*1+ISBLANK(M1169)*1+ISBLANK(N1169)*1+ISBLANK(O1169)*1)&gt;0,"Missing Data","OK")</f>
        <v>OK</v>
      </c>
      <c r="V1169" s="0" t="str">
        <f aca="false">IF(T1169&gt;=6,"High Risk",IF(T1169&gt;=3,"Medium Risk","Low Risk"))</f>
        <v>High Risk</v>
      </c>
    </row>
    <row r="1170" customFormat="false" ht="12.8" hidden="false" customHeight="false" outlineLevel="0" collapsed="false">
      <c r="A1170" s="1" t="s">
        <v>1200</v>
      </c>
      <c r="B1170" s="1" t="s">
        <v>36</v>
      </c>
      <c r="C1170" s="1" t="s">
        <v>24</v>
      </c>
      <c r="D1170" s="1" t="n">
        <v>10.18</v>
      </c>
      <c r="E1170" s="1" t="n">
        <v>21</v>
      </c>
      <c r="F1170" s="4" t="n">
        <v>45363</v>
      </c>
      <c r="G1170" s="1" t="s">
        <v>25</v>
      </c>
      <c r="H1170" s="1" t="n">
        <v>1</v>
      </c>
      <c r="I1170" s="1" t="n">
        <v>42.4</v>
      </c>
      <c r="J1170" s="1" t="n">
        <v>6</v>
      </c>
      <c r="K1170" s="1" t="n">
        <v>2</v>
      </c>
      <c r="L1170" s="1" t="n">
        <v>3</v>
      </c>
      <c r="M1170" s="1" t="n">
        <v>0</v>
      </c>
      <c r="N1170" s="1" t="n">
        <v>213.78</v>
      </c>
      <c r="O1170" s="1" t="n">
        <v>0</v>
      </c>
      <c r="Q1170" s="4" t="n">
        <v>46002</v>
      </c>
      <c r="R1170" s="0" t="n">
        <f aca="false">IF(ISBLANK(F1170),"Missing",IFERROR(YEAR(F1170),"Missing"))</f>
        <v>2024</v>
      </c>
      <c r="S1170" s="0" t="str">
        <f aca="false">IF(ISBLANK(E1170),"Missing",IF(E1170&lt;6,"0-6mo",IF(E1170&lt;12,"6-12mo",IF(E1170&lt;24,"12-24mo","24mo+"))))</f>
        <v>12-24mo</v>
      </c>
      <c r="T1170" s="0" t="n">
        <f aca="false">IF(ISBLANK(C1170),0,IF(C1170="Month-to-month",2,IF(C1170="One year",1,0)))+IF(ISBLANK(I1170),0,IF(I1170&lt;40,2,IF(I1170&lt;55,1,0)))+IF(ISBLANK(M1170),0,IF(M1170=1,3,0))+IF(ISBLANK(L1170),0,IF(L1170&gt;=2,1,0))+IF(ISBLANK(E1170),0,IF(E1170&lt;12,1,0))</f>
        <v>4</v>
      </c>
      <c r="U1170" s="0" t="str">
        <f aca="false">IF((ISBLANK(B1170)*1+ISBLANK(C1170)*1+ISBLANK(D1170)*1+ISBLANK(E1170)*1+ISBLANK(F1170)*1+ISBLANK(I1170)*1+ISBLANK(J1170)*1+ISBLANK(K1170)*1+ISBLANK(L1170)*1+ISBLANK(M1170)*1+ISBLANK(N1170)*1+ISBLANK(O1170)*1)&gt;0,"Missing Data","OK")</f>
        <v>OK</v>
      </c>
      <c r="V1170" s="0" t="str">
        <f aca="false">IF(T1170&gt;=6,"High Risk",IF(T1170&gt;=3,"Medium Risk","Low Risk"))</f>
        <v>Medium Risk</v>
      </c>
    </row>
    <row r="1171" customFormat="false" ht="12.8" hidden="false" customHeight="false" outlineLevel="0" collapsed="false">
      <c r="A1171" s="1" t="s">
        <v>1201</v>
      </c>
      <c r="B1171" s="1" t="s">
        <v>23</v>
      </c>
      <c r="C1171" s="1" t="s">
        <v>24</v>
      </c>
      <c r="D1171" s="1" t="n">
        <v>20.17</v>
      </c>
      <c r="E1171" s="1" t="n">
        <v>9</v>
      </c>
      <c r="F1171" s="4" t="n">
        <v>45364</v>
      </c>
      <c r="G1171" s="1" t="s">
        <v>39</v>
      </c>
      <c r="H1171" s="1" t="n">
        <v>1</v>
      </c>
      <c r="I1171" s="1" t="n">
        <v>79</v>
      </c>
      <c r="J1171" s="1" t="n">
        <v>23</v>
      </c>
      <c r="K1171" s="1" t="n">
        <v>8</v>
      </c>
      <c r="L1171" s="1" t="n">
        <v>3</v>
      </c>
      <c r="M1171" s="1" t="n">
        <v>0</v>
      </c>
      <c r="N1171" s="1" t="n">
        <v>181.53</v>
      </c>
      <c r="O1171" s="1" t="n">
        <v>1</v>
      </c>
      <c r="P1171" s="4" t="n">
        <v>45637</v>
      </c>
      <c r="Q1171" s="4" t="n">
        <v>45637</v>
      </c>
      <c r="R1171" s="0" t="n">
        <f aca="false">IF(ISBLANK(F1171),"Missing",IFERROR(YEAR(F1171),"Missing"))</f>
        <v>2024</v>
      </c>
      <c r="S1171" s="0" t="str">
        <f aca="false">IF(ISBLANK(E1171),"Missing",IF(E1171&lt;6,"0-6mo",IF(E1171&lt;12,"6-12mo",IF(E1171&lt;24,"12-24mo","24mo+"))))</f>
        <v>6-12mo</v>
      </c>
      <c r="T1171" s="0" t="n">
        <f aca="false">IF(ISBLANK(C1171),0,IF(C1171="Month-to-month",2,IF(C1171="One year",1,0)))+IF(ISBLANK(I1171),0,IF(I1171&lt;40,2,IF(I1171&lt;55,1,0)))+IF(ISBLANK(M1171),0,IF(M1171=1,3,0))+IF(ISBLANK(L1171),0,IF(L1171&gt;=2,1,0))+IF(ISBLANK(E1171),0,IF(E1171&lt;12,1,0))</f>
        <v>4</v>
      </c>
      <c r="U1171" s="0" t="str">
        <f aca="false">IF((ISBLANK(B1171)*1+ISBLANK(C1171)*1+ISBLANK(D1171)*1+ISBLANK(E1171)*1+ISBLANK(F1171)*1+ISBLANK(I1171)*1+ISBLANK(J1171)*1+ISBLANK(K1171)*1+ISBLANK(L1171)*1+ISBLANK(M1171)*1+ISBLANK(N1171)*1+ISBLANK(O1171)*1)&gt;0,"Missing Data","OK")</f>
        <v>OK</v>
      </c>
      <c r="V1171" s="0" t="str">
        <f aca="false">IF(T1171&gt;=6,"High Risk",IF(T1171&gt;=3,"Medium Risk","Low Risk"))</f>
        <v>Medium Risk</v>
      </c>
    </row>
    <row r="1172" customFormat="false" ht="12.8" hidden="false" customHeight="false" outlineLevel="0" collapsed="false">
      <c r="A1172" s="1" t="s">
        <v>1202</v>
      </c>
      <c r="B1172" s="1" t="s">
        <v>23</v>
      </c>
      <c r="C1172" s="1" t="s">
        <v>51</v>
      </c>
      <c r="D1172" s="1" t="n">
        <v>18.8</v>
      </c>
      <c r="E1172" s="1" t="n">
        <v>7</v>
      </c>
      <c r="F1172" s="4" t="n">
        <v>45366</v>
      </c>
      <c r="G1172" s="1" t="s">
        <v>30</v>
      </c>
      <c r="H1172" s="1" t="n">
        <v>0</v>
      </c>
      <c r="I1172" s="1" t="n">
        <v>30.1</v>
      </c>
      <c r="J1172" s="1" t="n">
        <v>15</v>
      </c>
      <c r="K1172" s="1" t="n">
        <v>2</v>
      </c>
      <c r="L1172" s="1" t="n">
        <v>0</v>
      </c>
      <c r="M1172" s="1" t="n">
        <v>0</v>
      </c>
      <c r="N1172" s="1" t="n">
        <v>131.6</v>
      </c>
      <c r="O1172" s="1" t="n">
        <v>0</v>
      </c>
      <c r="Q1172" s="4" t="n">
        <v>45579</v>
      </c>
      <c r="R1172" s="0" t="n">
        <f aca="false">IF(ISBLANK(F1172),"Missing",IFERROR(YEAR(F1172),"Missing"))</f>
        <v>2024</v>
      </c>
      <c r="S1172" s="0" t="str">
        <f aca="false">IF(ISBLANK(E1172),"Missing",IF(E1172&lt;6,"0-6mo",IF(E1172&lt;12,"6-12mo",IF(E1172&lt;24,"12-24mo","24mo+"))))</f>
        <v>6-12mo</v>
      </c>
      <c r="T1172" s="0" t="n">
        <f aca="false">IF(ISBLANK(C1172),0,IF(C1172="Month-to-month",2,IF(C1172="One year",1,0)))+IF(ISBLANK(I1172),0,IF(I1172&lt;40,2,IF(I1172&lt;55,1,0)))+IF(ISBLANK(M1172),0,IF(M1172=1,3,0))+IF(ISBLANK(L1172),0,IF(L1172&gt;=2,1,0))+IF(ISBLANK(E1172),0,IF(E1172&lt;12,1,0))</f>
        <v>3</v>
      </c>
      <c r="U1172" s="0" t="str">
        <f aca="false">IF((ISBLANK(B1172)*1+ISBLANK(C1172)*1+ISBLANK(D1172)*1+ISBLANK(E1172)*1+ISBLANK(F1172)*1+ISBLANK(I1172)*1+ISBLANK(J1172)*1+ISBLANK(K1172)*1+ISBLANK(L1172)*1+ISBLANK(M1172)*1+ISBLANK(N1172)*1+ISBLANK(O1172)*1)&gt;0,"Missing Data","OK")</f>
        <v>OK</v>
      </c>
      <c r="V1172" s="0" t="str">
        <f aca="false">IF(T1172&gt;=6,"High Risk",IF(T1172&gt;=3,"Medium Risk","Low Risk"))</f>
        <v>Medium Risk</v>
      </c>
    </row>
    <row r="1173" customFormat="false" ht="12.8" hidden="false" customHeight="false" outlineLevel="0" collapsed="false">
      <c r="A1173" s="1" t="s">
        <v>1203</v>
      </c>
      <c r="B1173" s="1" t="s">
        <v>29</v>
      </c>
      <c r="C1173" s="1" t="s">
        <v>51</v>
      </c>
      <c r="D1173" s="1" t="n">
        <v>39.36</v>
      </c>
      <c r="E1173" s="1" t="n">
        <v>10</v>
      </c>
      <c r="F1173" s="4" t="n">
        <v>45367</v>
      </c>
      <c r="G1173" s="1" t="s">
        <v>25</v>
      </c>
      <c r="H1173" s="1" t="n">
        <v>1</v>
      </c>
      <c r="I1173" s="1" t="n">
        <v>71.9</v>
      </c>
      <c r="J1173" s="1" t="n">
        <v>22</v>
      </c>
      <c r="K1173" s="1" t="n">
        <v>7</v>
      </c>
      <c r="L1173" s="1" t="n">
        <v>1</v>
      </c>
      <c r="M1173" s="1" t="n">
        <v>0</v>
      </c>
      <c r="N1173" s="1" t="n">
        <v>393.6</v>
      </c>
      <c r="O1173" s="1" t="n">
        <v>0</v>
      </c>
      <c r="Q1173" s="4" t="n">
        <v>45671</v>
      </c>
      <c r="R1173" s="0" t="n">
        <f aca="false">IF(ISBLANK(F1173),"Missing",IFERROR(YEAR(F1173),"Missing"))</f>
        <v>2024</v>
      </c>
      <c r="S1173" s="0" t="str">
        <f aca="false">IF(ISBLANK(E1173),"Missing",IF(E1173&lt;6,"0-6mo",IF(E1173&lt;12,"6-12mo",IF(E1173&lt;24,"12-24mo","24mo+"))))</f>
        <v>6-12mo</v>
      </c>
      <c r="T1173" s="0" t="n">
        <f aca="false">IF(ISBLANK(C1173),0,IF(C1173="Month-to-month",2,IF(C1173="One year",1,0)))+IF(ISBLANK(I1173),0,IF(I1173&lt;40,2,IF(I1173&lt;55,1,0)))+IF(ISBLANK(M1173),0,IF(M1173=1,3,0))+IF(ISBLANK(L1173),0,IF(L1173&gt;=2,1,0))+IF(ISBLANK(E1173),0,IF(E1173&lt;12,1,0))</f>
        <v>1</v>
      </c>
      <c r="U1173" s="0" t="str">
        <f aca="false">IF((ISBLANK(B1173)*1+ISBLANK(C1173)*1+ISBLANK(D1173)*1+ISBLANK(E1173)*1+ISBLANK(F1173)*1+ISBLANK(I1173)*1+ISBLANK(J1173)*1+ISBLANK(K1173)*1+ISBLANK(L1173)*1+ISBLANK(M1173)*1+ISBLANK(N1173)*1+ISBLANK(O1173)*1)&gt;0,"Missing Data","OK")</f>
        <v>OK</v>
      </c>
      <c r="V1173" s="0" t="str">
        <f aca="false">IF(T1173&gt;=6,"High Risk",IF(T1173&gt;=3,"Medium Risk","Low Risk"))</f>
        <v>Low Risk</v>
      </c>
    </row>
    <row r="1174" customFormat="false" ht="12.8" hidden="false" customHeight="false" outlineLevel="0" collapsed="false">
      <c r="A1174" s="1" t="s">
        <v>1204</v>
      </c>
      <c r="B1174" s="1" t="s">
        <v>36</v>
      </c>
      <c r="C1174" s="1" t="s">
        <v>24</v>
      </c>
      <c r="D1174" s="1" t="n">
        <v>11.69</v>
      </c>
      <c r="E1174" s="1" t="n">
        <v>31</v>
      </c>
      <c r="F1174" s="4" t="n">
        <v>45369</v>
      </c>
      <c r="G1174" s="1" t="s">
        <v>25</v>
      </c>
      <c r="H1174" s="1" t="n">
        <v>1</v>
      </c>
      <c r="I1174" s="1" t="n">
        <v>36.9</v>
      </c>
      <c r="J1174" s="1" t="n">
        <v>11</v>
      </c>
      <c r="K1174" s="1" t="n">
        <v>4</v>
      </c>
      <c r="L1174" s="1" t="n">
        <v>1</v>
      </c>
      <c r="M1174" s="1" t="n">
        <v>1</v>
      </c>
      <c r="N1174" s="1" t="n">
        <v>362.39</v>
      </c>
      <c r="O1174" s="1" t="n">
        <v>0</v>
      </c>
      <c r="Q1174" s="4" t="n">
        <v>46293</v>
      </c>
      <c r="R1174" s="0" t="n">
        <f aca="false">IF(ISBLANK(F1174),"Missing",IFERROR(YEAR(F1174),"Missing"))</f>
        <v>2024</v>
      </c>
      <c r="S1174" s="0" t="str">
        <f aca="false">IF(ISBLANK(E1174),"Missing",IF(E1174&lt;6,"0-6mo",IF(E1174&lt;12,"6-12mo",IF(E1174&lt;24,"12-24mo","24mo+"))))</f>
        <v>24mo+</v>
      </c>
      <c r="T1174" s="0" t="n">
        <f aca="false">IF(ISBLANK(C1174),0,IF(C1174="Month-to-month",2,IF(C1174="One year",1,0)))+IF(ISBLANK(I1174),0,IF(I1174&lt;40,2,IF(I1174&lt;55,1,0)))+IF(ISBLANK(M1174),0,IF(M1174=1,3,0))+IF(ISBLANK(L1174),0,IF(L1174&gt;=2,1,0))+IF(ISBLANK(E1174),0,IF(E1174&lt;12,1,0))</f>
        <v>7</v>
      </c>
      <c r="U1174" s="0" t="str">
        <f aca="false">IF((ISBLANK(B1174)*1+ISBLANK(C1174)*1+ISBLANK(D1174)*1+ISBLANK(E1174)*1+ISBLANK(F1174)*1+ISBLANK(I1174)*1+ISBLANK(J1174)*1+ISBLANK(K1174)*1+ISBLANK(L1174)*1+ISBLANK(M1174)*1+ISBLANK(N1174)*1+ISBLANK(O1174)*1)&gt;0,"Missing Data","OK")</f>
        <v>OK</v>
      </c>
      <c r="V1174" s="0" t="str">
        <f aca="false">IF(T1174&gt;=6,"High Risk",IF(T1174&gt;=3,"Medium Risk","Low Risk"))</f>
        <v>High Risk</v>
      </c>
    </row>
    <row r="1175" customFormat="false" ht="12.8" hidden="false" customHeight="false" outlineLevel="0" collapsed="false">
      <c r="A1175" s="1" t="s">
        <v>1205</v>
      </c>
      <c r="B1175" s="1" t="s">
        <v>29</v>
      </c>
      <c r="C1175" s="1" t="s">
        <v>51</v>
      </c>
      <c r="D1175" s="1" t="n">
        <v>41.23</v>
      </c>
      <c r="E1175" s="1" t="n">
        <v>60</v>
      </c>
      <c r="F1175" s="4" t="n">
        <v>45369</v>
      </c>
      <c r="G1175" s="1" t="s">
        <v>39</v>
      </c>
      <c r="H1175" s="1" t="n">
        <v>0</v>
      </c>
      <c r="I1175" s="1" t="n">
        <v>45.9</v>
      </c>
      <c r="J1175" s="1" t="n">
        <v>16</v>
      </c>
      <c r="K1175" s="1" t="n">
        <v>7</v>
      </c>
      <c r="L1175" s="1" t="n">
        <v>0</v>
      </c>
      <c r="M1175" s="1" t="n">
        <v>0</v>
      </c>
      <c r="N1175" s="1" t="n">
        <v>2473.8</v>
      </c>
      <c r="O1175" s="1" t="n">
        <v>0</v>
      </c>
      <c r="Q1175" s="4" t="n">
        <v>46293</v>
      </c>
      <c r="R1175" s="0" t="n">
        <f aca="false">IF(ISBLANK(F1175),"Missing",IFERROR(YEAR(F1175),"Missing"))</f>
        <v>2024</v>
      </c>
      <c r="S1175" s="0" t="str">
        <f aca="false">IF(ISBLANK(E1175),"Missing",IF(E1175&lt;6,"0-6mo",IF(E1175&lt;12,"6-12mo",IF(E1175&lt;24,"12-24mo","24mo+"))))</f>
        <v>24mo+</v>
      </c>
      <c r="T1175" s="0" t="n">
        <f aca="false">IF(ISBLANK(C1175),0,IF(C1175="Month-to-month",2,IF(C1175="One year",1,0)))+IF(ISBLANK(I1175),0,IF(I1175&lt;40,2,IF(I1175&lt;55,1,0)))+IF(ISBLANK(M1175),0,IF(M1175=1,3,0))+IF(ISBLANK(L1175),0,IF(L1175&gt;=2,1,0))+IF(ISBLANK(E1175),0,IF(E1175&lt;12,1,0))</f>
        <v>1</v>
      </c>
      <c r="U1175" s="0" t="str">
        <f aca="false">IF((ISBLANK(B1175)*1+ISBLANK(C1175)*1+ISBLANK(D1175)*1+ISBLANK(E1175)*1+ISBLANK(F1175)*1+ISBLANK(I1175)*1+ISBLANK(J1175)*1+ISBLANK(K1175)*1+ISBLANK(L1175)*1+ISBLANK(M1175)*1+ISBLANK(N1175)*1+ISBLANK(O1175)*1)&gt;0,"Missing Data","OK")</f>
        <v>OK</v>
      </c>
      <c r="V1175" s="0" t="str">
        <f aca="false">IF(T1175&gt;=6,"High Risk",IF(T1175&gt;=3,"Medium Risk","Low Risk"))</f>
        <v>Low Risk</v>
      </c>
    </row>
    <row r="1176" customFormat="false" ht="12.8" hidden="false" customHeight="false" outlineLevel="0" collapsed="false">
      <c r="A1176" s="1" t="s">
        <v>1206</v>
      </c>
      <c r="B1176" s="1" t="s">
        <v>29</v>
      </c>
      <c r="C1176" s="1" t="s">
        <v>34</v>
      </c>
      <c r="D1176" s="1" t="n">
        <v>38.8</v>
      </c>
      <c r="E1176" s="1" t="n">
        <v>12</v>
      </c>
      <c r="F1176" s="4" t="n">
        <v>45371</v>
      </c>
      <c r="G1176" s="1" t="s">
        <v>39</v>
      </c>
      <c r="H1176" s="1" t="n">
        <v>0</v>
      </c>
      <c r="I1176" s="1" t="n">
        <v>47.6</v>
      </c>
      <c r="J1176" s="1" t="n">
        <v>11</v>
      </c>
      <c r="K1176" s="1" t="n">
        <v>4</v>
      </c>
      <c r="L1176" s="1" t="n">
        <v>2</v>
      </c>
      <c r="M1176" s="1" t="n">
        <v>0</v>
      </c>
      <c r="N1176" s="1" t="n">
        <v>465.6</v>
      </c>
      <c r="O1176" s="1" t="n">
        <v>0</v>
      </c>
      <c r="Q1176" s="4" t="n">
        <v>45736</v>
      </c>
      <c r="R1176" s="0" t="n">
        <f aca="false">IF(ISBLANK(F1176),"Missing",IFERROR(YEAR(F1176),"Missing"))</f>
        <v>2024</v>
      </c>
      <c r="S1176" s="0" t="str">
        <f aca="false">IF(ISBLANK(E1176),"Missing",IF(E1176&lt;6,"0-6mo",IF(E1176&lt;12,"6-12mo",IF(E1176&lt;24,"12-24mo","24mo+"))))</f>
        <v>12-24mo</v>
      </c>
      <c r="T1176" s="0" t="n">
        <f aca="false">IF(ISBLANK(C1176),0,IF(C1176="Month-to-month",2,IF(C1176="One year",1,0)))+IF(ISBLANK(I1176),0,IF(I1176&lt;40,2,IF(I1176&lt;55,1,0)))+IF(ISBLANK(M1176),0,IF(M1176=1,3,0))+IF(ISBLANK(L1176),0,IF(L1176&gt;=2,1,0))+IF(ISBLANK(E1176),0,IF(E1176&lt;12,1,0))</f>
        <v>3</v>
      </c>
      <c r="U1176" s="0" t="str">
        <f aca="false">IF((ISBLANK(B1176)*1+ISBLANK(C1176)*1+ISBLANK(D1176)*1+ISBLANK(E1176)*1+ISBLANK(F1176)*1+ISBLANK(I1176)*1+ISBLANK(J1176)*1+ISBLANK(K1176)*1+ISBLANK(L1176)*1+ISBLANK(M1176)*1+ISBLANK(N1176)*1+ISBLANK(O1176)*1)&gt;0,"Missing Data","OK")</f>
        <v>OK</v>
      </c>
      <c r="V1176" s="0" t="str">
        <f aca="false">IF(T1176&gt;=6,"High Risk",IF(T1176&gt;=3,"Medium Risk","Low Risk"))</f>
        <v>Medium Risk</v>
      </c>
    </row>
    <row r="1177" customFormat="false" ht="12.8" hidden="false" customHeight="false" outlineLevel="0" collapsed="false">
      <c r="A1177" s="1" t="s">
        <v>1207</v>
      </c>
      <c r="B1177" s="1" t="s">
        <v>36</v>
      </c>
      <c r="C1177" s="1" t="s">
        <v>24</v>
      </c>
      <c r="D1177" s="1" t="n">
        <v>10.17</v>
      </c>
      <c r="E1177" s="1" t="n">
        <v>49</v>
      </c>
      <c r="F1177" s="4" t="n">
        <v>45371</v>
      </c>
      <c r="G1177" s="1" t="s">
        <v>25</v>
      </c>
      <c r="H1177" s="1" t="n">
        <v>1</v>
      </c>
      <c r="I1177" s="1" t="n">
        <v>34.4</v>
      </c>
      <c r="J1177" s="1" t="n">
        <v>6</v>
      </c>
      <c r="K1177" s="1" t="n">
        <v>4</v>
      </c>
      <c r="L1177" s="1" t="n">
        <v>0</v>
      </c>
      <c r="M1177" s="1" t="n">
        <v>0</v>
      </c>
      <c r="N1177" s="1" t="n">
        <v>498.33</v>
      </c>
      <c r="O1177" s="1" t="n">
        <v>0</v>
      </c>
      <c r="Q1177" s="4" t="n">
        <v>46293</v>
      </c>
      <c r="R1177" s="0" t="n">
        <f aca="false">IF(ISBLANK(F1177),"Missing",IFERROR(YEAR(F1177),"Missing"))</f>
        <v>2024</v>
      </c>
      <c r="S1177" s="0" t="str">
        <f aca="false">IF(ISBLANK(E1177),"Missing",IF(E1177&lt;6,"0-6mo",IF(E1177&lt;12,"6-12mo",IF(E1177&lt;24,"12-24mo","24mo+"))))</f>
        <v>24mo+</v>
      </c>
      <c r="T1177" s="0" t="n">
        <f aca="false">IF(ISBLANK(C1177),0,IF(C1177="Month-to-month",2,IF(C1177="One year",1,0)))+IF(ISBLANK(I1177),0,IF(I1177&lt;40,2,IF(I1177&lt;55,1,0)))+IF(ISBLANK(M1177),0,IF(M1177=1,3,0))+IF(ISBLANK(L1177),0,IF(L1177&gt;=2,1,0))+IF(ISBLANK(E1177),0,IF(E1177&lt;12,1,0))</f>
        <v>4</v>
      </c>
      <c r="U1177" s="0" t="str">
        <f aca="false">IF((ISBLANK(B1177)*1+ISBLANK(C1177)*1+ISBLANK(D1177)*1+ISBLANK(E1177)*1+ISBLANK(F1177)*1+ISBLANK(I1177)*1+ISBLANK(J1177)*1+ISBLANK(K1177)*1+ISBLANK(L1177)*1+ISBLANK(M1177)*1+ISBLANK(N1177)*1+ISBLANK(O1177)*1)&gt;0,"Missing Data","OK")</f>
        <v>OK</v>
      </c>
      <c r="V1177" s="0" t="str">
        <f aca="false">IF(T1177&gt;=6,"High Risk",IF(T1177&gt;=3,"Medium Risk","Low Risk"))</f>
        <v>Medium Risk</v>
      </c>
    </row>
    <row r="1178" customFormat="false" ht="12.8" hidden="false" customHeight="false" outlineLevel="0" collapsed="false">
      <c r="A1178" s="1" t="s">
        <v>1208</v>
      </c>
      <c r="B1178" s="1" t="s">
        <v>36</v>
      </c>
      <c r="C1178" s="1" t="s">
        <v>51</v>
      </c>
      <c r="D1178" s="1" t="n">
        <v>8.9</v>
      </c>
      <c r="E1178" s="1" t="n">
        <v>0</v>
      </c>
      <c r="F1178" s="4" t="n">
        <v>45372</v>
      </c>
      <c r="G1178" s="1" t="s">
        <v>25</v>
      </c>
      <c r="H1178" s="1" t="n">
        <v>1</v>
      </c>
      <c r="I1178" s="1" t="n">
        <v>74.9</v>
      </c>
      <c r="J1178" s="1" t="n">
        <v>22</v>
      </c>
      <c r="K1178" s="1" t="n">
        <v>5</v>
      </c>
      <c r="L1178" s="1" t="n">
        <v>1</v>
      </c>
      <c r="M1178" s="1" t="n">
        <v>1</v>
      </c>
      <c r="N1178" s="1" t="n">
        <v>0</v>
      </c>
      <c r="O1178" s="1" t="n">
        <v>0</v>
      </c>
      <c r="Q1178" s="4" t="n">
        <v>45372</v>
      </c>
      <c r="R1178" s="0" t="n">
        <f aca="false">IF(ISBLANK(F1178),"Missing",IFERROR(YEAR(F1178),"Missing"))</f>
        <v>2024</v>
      </c>
      <c r="S1178" s="0" t="str">
        <f aca="false">IF(ISBLANK(E1178),"Missing",IF(E1178&lt;6,"0-6mo",IF(E1178&lt;12,"6-12mo",IF(E1178&lt;24,"12-24mo","24mo+"))))</f>
        <v>0-6mo</v>
      </c>
      <c r="T1178" s="0" t="n">
        <f aca="false">IF(ISBLANK(C1178),0,IF(C1178="Month-to-month",2,IF(C1178="One year",1,0)))+IF(ISBLANK(I1178),0,IF(I1178&lt;40,2,IF(I1178&lt;55,1,0)))+IF(ISBLANK(M1178),0,IF(M1178=1,3,0))+IF(ISBLANK(L1178),0,IF(L1178&gt;=2,1,0))+IF(ISBLANK(E1178),0,IF(E1178&lt;12,1,0))</f>
        <v>4</v>
      </c>
      <c r="U1178" s="0" t="str">
        <f aca="false">IF((ISBLANK(B1178)*1+ISBLANK(C1178)*1+ISBLANK(D1178)*1+ISBLANK(E1178)*1+ISBLANK(F1178)*1+ISBLANK(I1178)*1+ISBLANK(J1178)*1+ISBLANK(K1178)*1+ISBLANK(L1178)*1+ISBLANK(M1178)*1+ISBLANK(N1178)*1+ISBLANK(O1178)*1)&gt;0,"Missing Data","OK")</f>
        <v>OK</v>
      </c>
      <c r="V1178" s="0" t="str">
        <f aca="false">IF(T1178&gt;=6,"High Risk",IF(T1178&gt;=3,"Medium Risk","Low Risk"))</f>
        <v>Medium Risk</v>
      </c>
    </row>
    <row r="1179" customFormat="false" ht="12.8" hidden="false" customHeight="false" outlineLevel="0" collapsed="false">
      <c r="A1179" s="1" t="s">
        <v>1209</v>
      </c>
      <c r="B1179" s="1" t="s">
        <v>36</v>
      </c>
      <c r="C1179" s="1" t="s">
        <v>34</v>
      </c>
      <c r="D1179" s="1" t="n">
        <v>10.57</v>
      </c>
      <c r="E1179" s="1" t="n">
        <v>0</v>
      </c>
      <c r="F1179" s="4" t="n">
        <v>45373</v>
      </c>
      <c r="G1179" s="1" t="s">
        <v>25</v>
      </c>
      <c r="H1179" s="1" t="n">
        <v>1</v>
      </c>
      <c r="I1179" s="1" t="n">
        <v>82.4</v>
      </c>
      <c r="J1179" s="1" t="n">
        <v>29</v>
      </c>
      <c r="K1179" s="1" t="n">
        <v>8</v>
      </c>
      <c r="L1179" s="1" t="n">
        <v>1</v>
      </c>
      <c r="M1179" s="1" t="n">
        <v>0</v>
      </c>
      <c r="N1179" s="1" t="n">
        <v>0</v>
      </c>
      <c r="O1179" s="1" t="n">
        <v>0</v>
      </c>
      <c r="Q1179" s="4" t="n">
        <v>45373</v>
      </c>
      <c r="R1179" s="0" t="n">
        <f aca="false">IF(ISBLANK(F1179),"Missing",IFERROR(YEAR(F1179),"Missing"))</f>
        <v>2024</v>
      </c>
      <c r="S1179" s="0" t="str">
        <f aca="false">IF(ISBLANK(E1179),"Missing",IF(E1179&lt;6,"0-6mo",IF(E1179&lt;12,"6-12mo",IF(E1179&lt;24,"12-24mo","24mo+"))))</f>
        <v>0-6mo</v>
      </c>
      <c r="T1179" s="0" t="n">
        <f aca="false">IF(ISBLANK(C1179),0,IF(C1179="Month-to-month",2,IF(C1179="One year",1,0)))+IF(ISBLANK(I1179),0,IF(I1179&lt;40,2,IF(I1179&lt;55,1,0)))+IF(ISBLANK(M1179),0,IF(M1179=1,3,0))+IF(ISBLANK(L1179),0,IF(L1179&gt;=2,1,0))+IF(ISBLANK(E1179),0,IF(E1179&lt;12,1,0))</f>
        <v>2</v>
      </c>
      <c r="U1179" s="0" t="str">
        <f aca="false">IF((ISBLANK(B1179)*1+ISBLANK(C1179)*1+ISBLANK(D1179)*1+ISBLANK(E1179)*1+ISBLANK(F1179)*1+ISBLANK(I1179)*1+ISBLANK(J1179)*1+ISBLANK(K1179)*1+ISBLANK(L1179)*1+ISBLANK(M1179)*1+ISBLANK(N1179)*1+ISBLANK(O1179)*1)&gt;0,"Missing Data","OK")</f>
        <v>OK</v>
      </c>
      <c r="V1179" s="0" t="str">
        <f aca="false">IF(T1179&gt;=6,"High Risk",IF(T1179&gt;=3,"Medium Risk","Low Risk"))</f>
        <v>Low Risk</v>
      </c>
    </row>
    <row r="1180" customFormat="false" ht="12.8" hidden="false" customHeight="false" outlineLevel="0" collapsed="false">
      <c r="A1180" s="1" t="s">
        <v>1210</v>
      </c>
      <c r="B1180" s="1" t="s">
        <v>23</v>
      </c>
      <c r="C1180" s="1" t="s">
        <v>24</v>
      </c>
      <c r="D1180" s="1" t="n">
        <v>21.46</v>
      </c>
      <c r="E1180" s="1" t="n">
        <v>1</v>
      </c>
      <c r="F1180" s="4" t="n">
        <v>45375</v>
      </c>
      <c r="G1180" s="1" t="s">
        <v>30</v>
      </c>
      <c r="H1180" s="1" t="n">
        <v>1</v>
      </c>
      <c r="I1180" s="1" t="n">
        <v>62.3</v>
      </c>
      <c r="J1180" s="1" t="n">
        <v>17</v>
      </c>
      <c r="K1180" s="1" t="n">
        <v>4</v>
      </c>
      <c r="L1180" s="1" t="n">
        <v>4</v>
      </c>
      <c r="M1180" s="1" t="n">
        <v>1</v>
      </c>
      <c r="N1180" s="1" t="n">
        <v>21.46</v>
      </c>
      <c r="O1180" s="1" t="n">
        <v>0</v>
      </c>
      <c r="Q1180" s="4" t="n">
        <v>45405</v>
      </c>
      <c r="R1180" s="0" t="n">
        <f aca="false">IF(ISBLANK(F1180),"Missing",IFERROR(YEAR(F1180),"Missing"))</f>
        <v>2024</v>
      </c>
      <c r="S1180" s="0" t="str">
        <f aca="false">IF(ISBLANK(E1180),"Missing",IF(E1180&lt;6,"0-6mo",IF(E1180&lt;12,"6-12mo",IF(E1180&lt;24,"12-24mo","24mo+"))))</f>
        <v>0-6mo</v>
      </c>
      <c r="T1180" s="0" t="n">
        <f aca="false">IF(ISBLANK(C1180),0,IF(C1180="Month-to-month",2,IF(C1180="One year",1,0)))+IF(ISBLANK(I1180),0,IF(I1180&lt;40,2,IF(I1180&lt;55,1,0)))+IF(ISBLANK(M1180),0,IF(M1180=1,3,0))+IF(ISBLANK(L1180),0,IF(L1180&gt;=2,1,0))+IF(ISBLANK(E1180),0,IF(E1180&lt;12,1,0))</f>
        <v>7</v>
      </c>
      <c r="U1180" s="0" t="str">
        <f aca="false">IF((ISBLANK(B1180)*1+ISBLANK(C1180)*1+ISBLANK(D1180)*1+ISBLANK(E1180)*1+ISBLANK(F1180)*1+ISBLANK(I1180)*1+ISBLANK(J1180)*1+ISBLANK(K1180)*1+ISBLANK(L1180)*1+ISBLANK(M1180)*1+ISBLANK(N1180)*1+ISBLANK(O1180)*1)&gt;0,"Missing Data","OK")</f>
        <v>OK</v>
      </c>
      <c r="V1180" s="0" t="str">
        <f aca="false">IF(T1180&gt;=6,"High Risk",IF(T1180&gt;=3,"Medium Risk","Low Risk"))</f>
        <v>High Risk</v>
      </c>
    </row>
    <row r="1181" customFormat="false" ht="12.8" hidden="false" customHeight="false" outlineLevel="0" collapsed="false">
      <c r="A1181" s="1" t="s">
        <v>1211</v>
      </c>
      <c r="B1181" s="1" t="s">
        <v>36</v>
      </c>
      <c r="C1181" s="1" t="s">
        <v>24</v>
      </c>
      <c r="D1181" s="1" t="n">
        <v>8.39</v>
      </c>
      <c r="E1181" s="1" t="n">
        <v>54</v>
      </c>
      <c r="F1181" s="4" t="n">
        <v>45376</v>
      </c>
      <c r="G1181" s="1" t="s">
        <v>25</v>
      </c>
      <c r="H1181" s="1" t="n">
        <v>1</v>
      </c>
      <c r="I1181" s="1" t="n">
        <v>34.2</v>
      </c>
      <c r="J1181" s="1" t="n">
        <v>8</v>
      </c>
      <c r="K1181" s="1" t="n">
        <v>5</v>
      </c>
      <c r="L1181" s="1" t="n">
        <v>1</v>
      </c>
      <c r="M1181" s="1" t="n">
        <v>1</v>
      </c>
      <c r="N1181" s="1" t="n">
        <v>453.06</v>
      </c>
      <c r="O1181" s="1" t="n">
        <v>1</v>
      </c>
      <c r="P1181" s="4" t="n">
        <v>46293</v>
      </c>
      <c r="Q1181" s="4" t="n">
        <v>46293</v>
      </c>
      <c r="R1181" s="0" t="n">
        <f aca="false">IF(ISBLANK(F1181),"Missing",IFERROR(YEAR(F1181),"Missing"))</f>
        <v>2024</v>
      </c>
      <c r="S1181" s="0" t="str">
        <f aca="false">IF(ISBLANK(E1181),"Missing",IF(E1181&lt;6,"0-6mo",IF(E1181&lt;12,"6-12mo",IF(E1181&lt;24,"12-24mo","24mo+"))))</f>
        <v>24mo+</v>
      </c>
      <c r="T1181" s="0" t="n">
        <f aca="false">IF(ISBLANK(C1181),0,IF(C1181="Month-to-month",2,IF(C1181="One year",1,0)))+IF(ISBLANK(I1181),0,IF(I1181&lt;40,2,IF(I1181&lt;55,1,0)))+IF(ISBLANK(M1181),0,IF(M1181=1,3,0))+IF(ISBLANK(L1181),0,IF(L1181&gt;=2,1,0))+IF(ISBLANK(E1181),0,IF(E1181&lt;12,1,0))</f>
        <v>7</v>
      </c>
      <c r="U1181" s="0" t="str">
        <f aca="false">IF((ISBLANK(B1181)*1+ISBLANK(C1181)*1+ISBLANK(D1181)*1+ISBLANK(E1181)*1+ISBLANK(F1181)*1+ISBLANK(I1181)*1+ISBLANK(J1181)*1+ISBLANK(K1181)*1+ISBLANK(L1181)*1+ISBLANK(M1181)*1+ISBLANK(N1181)*1+ISBLANK(O1181)*1)&gt;0,"Missing Data","OK")</f>
        <v>OK</v>
      </c>
      <c r="V1181" s="0" t="str">
        <f aca="false">IF(T1181&gt;=6,"High Risk",IF(T1181&gt;=3,"Medium Risk","Low Risk"))</f>
        <v>High Risk</v>
      </c>
    </row>
    <row r="1182" customFormat="false" ht="12.8" hidden="false" customHeight="false" outlineLevel="0" collapsed="false">
      <c r="A1182" s="1" t="s">
        <v>1212</v>
      </c>
      <c r="B1182" s="1" t="s">
        <v>36</v>
      </c>
      <c r="C1182" s="1" t="s">
        <v>24</v>
      </c>
      <c r="D1182" s="1" t="n">
        <v>12.75</v>
      </c>
      <c r="E1182" s="1" t="n">
        <v>18</v>
      </c>
      <c r="F1182" s="4" t="n">
        <v>45378</v>
      </c>
      <c r="G1182" s="1" t="s">
        <v>27</v>
      </c>
      <c r="H1182" s="1" t="n">
        <v>1</v>
      </c>
      <c r="I1182" s="1" t="n">
        <v>80.1</v>
      </c>
      <c r="J1182" s="1" t="n">
        <v>26</v>
      </c>
      <c r="K1182" s="1" t="n">
        <v>8</v>
      </c>
      <c r="L1182" s="1" t="n">
        <v>0</v>
      </c>
      <c r="M1182" s="1" t="n">
        <v>0</v>
      </c>
      <c r="N1182" s="1" t="n">
        <v>229.5</v>
      </c>
      <c r="O1182" s="1" t="n">
        <v>1</v>
      </c>
      <c r="P1182" s="4" t="n">
        <v>45925</v>
      </c>
      <c r="Q1182" s="4" t="n">
        <v>45925</v>
      </c>
      <c r="R1182" s="0" t="n">
        <f aca="false">IF(ISBLANK(F1182),"Missing",IFERROR(YEAR(F1182),"Missing"))</f>
        <v>2024</v>
      </c>
      <c r="S1182" s="0" t="str">
        <f aca="false">IF(ISBLANK(E1182),"Missing",IF(E1182&lt;6,"0-6mo",IF(E1182&lt;12,"6-12mo",IF(E1182&lt;24,"12-24mo","24mo+"))))</f>
        <v>12-24mo</v>
      </c>
      <c r="T1182" s="0" t="n">
        <f aca="false">IF(ISBLANK(C1182),0,IF(C1182="Month-to-month",2,IF(C1182="One year",1,0)))+IF(ISBLANK(I1182),0,IF(I1182&lt;40,2,IF(I1182&lt;55,1,0)))+IF(ISBLANK(M1182),0,IF(M1182=1,3,0))+IF(ISBLANK(L1182),0,IF(L1182&gt;=2,1,0))+IF(ISBLANK(E1182),0,IF(E1182&lt;12,1,0))</f>
        <v>2</v>
      </c>
      <c r="U1182" s="0" t="str">
        <f aca="false">IF((ISBLANK(B1182)*1+ISBLANK(C1182)*1+ISBLANK(D1182)*1+ISBLANK(E1182)*1+ISBLANK(F1182)*1+ISBLANK(I1182)*1+ISBLANK(J1182)*1+ISBLANK(K1182)*1+ISBLANK(L1182)*1+ISBLANK(M1182)*1+ISBLANK(N1182)*1+ISBLANK(O1182)*1)&gt;0,"Missing Data","OK")</f>
        <v>OK</v>
      </c>
      <c r="V1182" s="0" t="str">
        <f aca="false">IF(T1182&gt;=6,"High Risk",IF(T1182&gt;=3,"Medium Risk","Low Risk"))</f>
        <v>Low Risk</v>
      </c>
    </row>
    <row r="1183" customFormat="false" ht="12.8" hidden="false" customHeight="false" outlineLevel="0" collapsed="false">
      <c r="A1183" s="1" t="s">
        <v>1213</v>
      </c>
      <c r="B1183" s="1" t="s">
        <v>36</v>
      </c>
      <c r="C1183" s="1" t="s">
        <v>34</v>
      </c>
      <c r="D1183" s="1" t="n">
        <v>8.42</v>
      </c>
      <c r="E1183" s="1" t="n">
        <v>25</v>
      </c>
      <c r="F1183" s="4" t="n">
        <v>45379</v>
      </c>
      <c r="G1183" s="1" t="s">
        <v>39</v>
      </c>
      <c r="H1183" s="1" t="n">
        <v>1</v>
      </c>
      <c r="I1183" s="1" t="n">
        <v>92.6</v>
      </c>
      <c r="J1183" s="1" t="n">
        <v>28</v>
      </c>
      <c r="K1183" s="1" t="n">
        <v>7</v>
      </c>
      <c r="L1183" s="1" t="n">
        <v>0</v>
      </c>
      <c r="M1183" s="1" t="n">
        <v>0</v>
      </c>
      <c r="N1183" s="1" t="n">
        <v>210.5</v>
      </c>
      <c r="O1183" s="1" t="n">
        <v>0</v>
      </c>
      <c r="Q1183" s="4" t="n">
        <v>46140</v>
      </c>
      <c r="R1183" s="0" t="n">
        <f aca="false">IF(ISBLANK(F1183),"Missing",IFERROR(YEAR(F1183),"Missing"))</f>
        <v>2024</v>
      </c>
      <c r="S1183" s="0" t="str">
        <f aca="false">IF(ISBLANK(E1183),"Missing",IF(E1183&lt;6,"0-6mo",IF(E1183&lt;12,"6-12mo",IF(E1183&lt;24,"12-24mo","24mo+"))))</f>
        <v>24mo+</v>
      </c>
      <c r="T1183" s="0" t="n">
        <f aca="false">IF(ISBLANK(C1183),0,IF(C1183="Month-to-month",2,IF(C1183="One year",1,0)))+IF(ISBLANK(I1183),0,IF(I1183&lt;40,2,IF(I1183&lt;55,1,0)))+IF(ISBLANK(M1183),0,IF(M1183=1,3,0))+IF(ISBLANK(L1183),0,IF(L1183&gt;=2,1,0))+IF(ISBLANK(E1183),0,IF(E1183&lt;12,1,0))</f>
        <v>1</v>
      </c>
      <c r="U1183" s="0" t="str">
        <f aca="false">IF((ISBLANK(B1183)*1+ISBLANK(C1183)*1+ISBLANK(D1183)*1+ISBLANK(E1183)*1+ISBLANK(F1183)*1+ISBLANK(I1183)*1+ISBLANK(J1183)*1+ISBLANK(K1183)*1+ISBLANK(L1183)*1+ISBLANK(M1183)*1+ISBLANK(N1183)*1+ISBLANK(O1183)*1)&gt;0,"Missing Data","OK")</f>
        <v>OK</v>
      </c>
      <c r="V1183" s="0" t="str">
        <f aca="false">IF(T1183&gt;=6,"High Risk",IF(T1183&gt;=3,"Medium Risk","Low Risk"))</f>
        <v>Low Risk</v>
      </c>
    </row>
    <row r="1184" customFormat="false" ht="12.8" hidden="false" customHeight="false" outlineLevel="0" collapsed="false">
      <c r="A1184" s="1" t="s">
        <v>1214</v>
      </c>
      <c r="B1184" s="1" t="s">
        <v>23</v>
      </c>
      <c r="C1184" s="1" t="s">
        <v>34</v>
      </c>
      <c r="D1184" s="1" t="n">
        <v>19.77</v>
      </c>
      <c r="E1184" s="1" t="n">
        <v>3</v>
      </c>
      <c r="F1184" s="4" t="n">
        <v>45379</v>
      </c>
      <c r="G1184" s="1" t="s">
        <v>25</v>
      </c>
      <c r="H1184" s="1" t="n">
        <v>1</v>
      </c>
      <c r="I1184" s="1" t="n">
        <v>55.9</v>
      </c>
      <c r="J1184" s="1" t="n">
        <v>20</v>
      </c>
      <c r="K1184" s="1" t="n">
        <v>5</v>
      </c>
      <c r="L1184" s="1" t="n">
        <v>0</v>
      </c>
      <c r="M1184" s="1" t="n">
        <v>0</v>
      </c>
      <c r="N1184" s="1" t="n">
        <v>59.31</v>
      </c>
      <c r="O1184" s="1" t="n">
        <v>0</v>
      </c>
      <c r="Q1184" s="4" t="n">
        <v>45470</v>
      </c>
      <c r="R1184" s="0" t="n">
        <f aca="false">IF(ISBLANK(F1184),"Missing",IFERROR(YEAR(F1184),"Missing"))</f>
        <v>2024</v>
      </c>
      <c r="S1184" s="0" t="str">
        <f aca="false">IF(ISBLANK(E1184),"Missing",IF(E1184&lt;6,"0-6mo",IF(E1184&lt;12,"6-12mo",IF(E1184&lt;24,"12-24mo","24mo+"))))</f>
        <v>0-6mo</v>
      </c>
      <c r="T1184" s="0" t="n">
        <f aca="false">IF(ISBLANK(C1184),0,IF(C1184="Month-to-month",2,IF(C1184="One year",1,0)))+IF(ISBLANK(I1184),0,IF(I1184&lt;40,2,IF(I1184&lt;55,1,0)))+IF(ISBLANK(M1184),0,IF(M1184=1,3,0))+IF(ISBLANK(L1184),0,IF(L1184&gt;=2,1,0))+IF(ISBLANK(E1184),0,IF(E1184&lt;12,1,0))</f>
        <v>2</v>
      </c>
      <c r="U1184" s="0" t="str">
        <f aca="false">IF((ISBLANK(B1184)*1+ISBLANK(C1184)*1+ISBLANK(D1184)*1+ISBLANK(E1184)*1+ISBLANK(F1184)*1+ISBLANK(I1184)*1+ISBLANK(J1184)*1+ISBLANK(K1184)*1+ISBLANK(L1184)*1+ISBLANK(M1184)*1+ISBLANK(N1184)*1+ISBLANK(O1184)*1)&gt;0,"Missing Data","OK")</f>
        <v>OK</v>
      </c>
      <c r="V1184" s="0" t="str">
        <f aca="false">IF(T1184&gt;=6,"High Risk",IF(T1184&gt;=3,"Medium Risk","Low Risk"))</f>
        <v>Low Risk</v>
      </c>
    </row>
    <row r="1185" customFormat="false" ht="12.8" hidden="false" customHeight="false" outlineLevel="0" collapsed="false">
      <c r="A1185" s="1" t="s">
        <v>1215</v>
      </c>
      <c r="B1185" s="1" t="s">
        <v>29</v>
      </c>
      <c r="C1185" s="1" t="s">
        <v>24</v>
      </c>
      <c r="D1185" s="1" t="n">
        <v>41.09</v>
      </c>
      <c r="E1185" s="1" t="n">
        <v>3</v>
      </c>
      <c r="F1185" s="4" t="n">
        <v>45380</v>
      </c>
      <c r="G1185" s="1" t="s">
        <v>39</v>
      </c>
      <c r="H1185" s="1" t="n">
        <v>0</v>
      </c>
      <c r="I1185" s="1" t="n">
        <v>100</v>
      </c>
      <c r="J1185" s="1" t="n">
        <v>32</v>
      </c>
      <c r="K1185" s="1" t="n">
        <v>10</v>
      </c>
      <c r="L1185" s="1" t="n">
        <v>3</v>
      </c>
      <c r="M1185" s="1" t="n">
        <v>0</v>
      </c>
      <c r="N1185" s="1" t="n">
        <v>123.27</v>
      </c>
      <c r="O1185" s="1" t="n">
        <v>1</v>
      </c>
      <c r="P1185" s="4" t="n">
        <v>45471</v>
      </c>
      <c r="Q1185" s="4" t="n">
        <v>45471</v>
      </c>
      <c r="R1185" s="0" t="n">
        <f aca="false">IF(ISBLANK(F1185),"Missing",IFERROR(YEAR(F1185),"Missing"))</f>
        <v>2024</v>
      </c>
      <c r="S1185" s="0" t="str">
        <f aca="false">IF(ISBLANK(E1185),"Missing",IF(E1185&lt;6,"0-6mo",IF(E1185&lt;12,"6-12mo",IF(E1185&lt;24,"12-24mo","24mo+"))))</f>
        <v>0-6mo</v>
      </c>
      <c r="T1185" s="0" t="n">
        <f aca="false">IF(ISBLANK(C1185),0,IF(C1185="Month-to-month",2,IF(C1185="One year",1,0)))+IF(ISBLANK(I1185),0,IF(I1185&lt;40,2,IF(I1185&lt;55,1,0)))+IF(ISBLANK(M1185),0,IF(M1185=1,3,0))+IF(ISBLANK(L1185),0,IF(L1185&gt;=2,1,0))+IF(ISBLANK(E1185),0,IF(E1185&lt;12,1,0))</f>
        <v>4</v>
      </c>
      <c r="U1185" s="0" t="str">
        <f aca="false">IF((ISBLANK(B1185)*1+ISBLANK(C1185)*1+ISBLANK(D1185)*1+ISBLANK(E1185)*1+ISBLANK(F1185)*1+ISBLANK(I1185)*1+ISBLANK(J1185)*1+ISBLANK(K1185)*1+ISBLANK(L1185)*1+ISBLANK(M1185)*1+ISBLANK(N1185)*1+ISBLANK(O1185)*1)&gt;0,"Missing Data","OK")</f>
        <v>OK</v>
      </c>
      <c r="V1185" s="0" t="str">
        <f aca="false">IF(T1185&gt;=6,"High Risk",IF(T1185&gt;=3,"Medium Risk","Low Risk"))</f>
        <v>Medium Risk</v>
      </c>
    </row>
    <row r="1186" customFormat="false" ht="12.8" hidden="false" customHeight="false" outlineLevel="0" collapsed="false">
      <c r="A1186" s="1" t="s">
        <v>1216</v>
      </c>
      <c r="B1186" s="1" t="s">
        <v>36</v>
      </c>
      <c r="C1186" s="1" t="s">
        <v>34</v>
      </c>
      <c r="D1186" s="1" t="n">
        <v>11.15</v>
      </c>
      <c r="E1186" s="1" t="n">
        <v>48</v>
      </c>
      <c r="F1186" s="4" t="n">
        <v>45380</v>
      </c>
      <c r="G1186" s="1" t="s">
        <v>25</v>
      </c>
      <c r="H1186" s="1" t="n">
        <v>1</v>
      </c>
      <c r="I1186" s="1" t="n">
        <v>100</v>
      </c>
      <c r="J1186" s="1" t="n">
        <v>31</v>
      </c>
      <c r="K1186" s="1" t="n">
        <v>8</v>
      </c>
      <c r="L1186" s="1" t="n">
        <v>0</v>
      </c>
      <c r="M1186" s="1" t="n">
        <v>0</v>
      </c>
      <c r="N1186" s="1" t="n">
        <v>535.2</v>
      </c>
      <c r="O1186" s="1" t="n">
        <v>0</v>
      </c>
      <c r="Q1186" s="4" t="n">
        <v>46293</v>
      </c>
      <c r="R1186" s="0" t="n">
        <f aca="false">IF(ISBLANK(F1186),"Missing",IFERROR(YEAR(F1186),"Missing"))</f>
        <v>2024</v>
      </c>
      <c r="S1186" s="0" t="str">
        <f aca="false">IF(ISBLANK(E1186),"Missing",IF(E1186&lt;6,"0-6mo",IF(E1186&lt;12,"6-12mo",IF(E1186&lt;24,"12-24mo","24mo+"))))</f>
        <v>24mo+</v>
      </c>
      <c r="T1186" s="0" t="n">
        <f aca="false">IF(ISBLANK(C1186),0,IF(C1186="Month-to-month",2,IF(C1186="One year",1,0)))+IF(ISBLANK(I1186),0,IF(I1186&lt;40,2,IF(I1186&lt;55,1,0)))+IF(ISBLANK(M1186),0,IF(M1186=1,3,0))+IF(ISBLANK(L1186),0,IF(L1186&gt;=2,1,0))+IF(ISBLANK(E1186),0,IF(E1186&lt;12,1,0))</f>
        <v>1</v>
      </c>
      <c r="U1186" s="0" t="str">
        <f aca="false">IF((ISBLANK(B1186)*1+ISBLANK(C1186)*1+ISBLANK(D1186)*1+ISBLANK(E1186)*1+ISBLANK(F1186)*1+ISBLANK(I1186)*1+ISBLANK(J1186)*1+ISBLANK(K1186)*1+ISBLANK(L1186)*1+ISBLANK(M1186)*1+ISBLANK(N1186)*1+ISBLANK(O1186)*1)&gt;0,"Missing Data","OK")</f>
        <v>OK</v>
      </c>
      <c r="V1186" s="0" t="str">
        <f aca="false">IF(T1186&gt;=6,"High Risk",IF(T1186&gt;=3,"Medium Risk","Low Risk"))</f>
        <v>Low Risk</v>
      </c>
    </row>
    <row r="1187" customFormat="false" ht="12.8" hidden="false" customHeight="false" outlineLevel="0" collapsed="false">
      <c r="A1187" s="1" t="s">
        <v>1217</v>
      </c>
      <c r="B1187" s="1" t="s">
        <v>36</v>
      </c>
      <c r="C1187" s="1" t="s">
        <v>34</v>
      </c>
      <c r="D1187" s="1" t="n">
        <v>12</v>
      </c>
      <c r="E1187" s="1" t="n">
        <v>72</v>
      </c>
      <c r="F1187" s="4" t="n">
        <v>45381</v>
      </c>
      <c r="G1187" s="1" t="s">
        <v>30</v>
      </c>
      <c r="H1187" s="1" t="n">
        <v>0</v>
      </c>
      <c r="I1187" s="1" t="n">
        <v>71.4</v>
      </c>
      <c r="J1187" s="1" t="n">
        <v>29</v>
      </c>
      <c r="K1187" s="1" t="n">
        <v>6</v>
      </c>
      <c r="L1187" s="1" t="n">
        <v>0</v>
      </c>
      <c r="M1187" s="1" t="n">
        <v>0</v>
      </c>
      <c r="N1187" s="1" t="n">
        <v>864</v>
      </c>
      <c r="O1187" s="1" t="n">
        <v>0</v>
      </c>
      <c r="Q1187" s="4" t="n">
        <v>46293</v>
      </c>
      <c r="R1187" s="0" t="n">
        <f aca="false">IF(ISBLANK(F1187),"Missing",IFERROR(YEAR(F1187),"Missing"))</f>
        <v>2024</v>
      </c>
      <c r="S1187" s="0" t="str">
        <f aca="false">IF(ISBLANK(E1187),"Missing",IF(E1187&lt;6,"0-6mo",IF(E1187&lt;12,"6-12mo",IF(E1187&lt;24,"12-24mo","24mo+"))))</f>
        <v>24mo+</v>
      </c>
      <c r="T1187" s="0" t="n">
        <f aca="false">IF(ISBLANK(C1187),0,IF(C1187="Month-to-month",2,IF(C1187="One year",1,0)))+IF(ISBLANK(I1187),0,IF(I1187&lt;40,2,IF(I1187&lt;55,1,0)))+IF(ISBLANK(M1187),0,IF(M1187=1,3,0))+IF(ISBLANK(L1187),0,IF(L1187&gt;=2,1,0))+IF(ISBLANK(E1187),0,IF(E1187&lt;12,1,0))</f>
        <v>1</v>
      </c>
      <c r="U1187" s="0" t="str">
        <f aca="false">IF((ISBLANK(B1187)*1+ISBLANK(C1187)*1+ISBLANK(D1187)*1+ISBLANK(E1187)*1+ISBLANK(F1187)*1+ISBLANK(I1187)*1+ISBLANK(J1187)*1+ISBLANK(K1187)*1+ISBLANK(L1187)*1+ISBLANK(M1187)*1+ISBLANK(N1187)*1+ISBLANK(O1187)*1)&gt;0,"Missing Data","OK")</f>
        <v>OK</v>
      </c>
      <c r="V1187" s="0" t="str">
        <f aca="false">IF(T1187&gt;=6,"High Risk",IF(T1187&gt;=3,"Medium Risk","Low Risk"))</f>
        <v>Low Risk</v>
      </c>
    </row>
    <row r="1188" customFormat="false" ht="12.8" hidden="false" customHeight="false" outlineLevel="0" collapsed="false">
      <c r="A1188" s="1" t="s">
        <v>1218</v>
      </c>
      <c r="B1188" s="1" t="s">
        <v>29</v>
      </c>
      <c r="C1188" s="1" t="s">
        <v>34</v>
      </c>
      <c r="D1188" s="1" t="n">
        <v>39.73</v>
      </c>
      <c r="E1188" s="1" t="n">
        <v>10</v>
      </c>
      <c r="F1188" s="4" t="n">
        <v>45382</v>
      </c>
      <c r="G1188" s="1" t="s">
        <v>30</v>
      </c>
      <c r="H1188" s="1" t="n">
        <v>1</v>
      </c>
      <c r="I1188" s="1" t="n">
        <v>90.7</v>
      </c>
      <c r="J1188" s="1" t="n">
        <v>30</v>
      </c>
      <c r="K1188" s="1" t="n">
        <v>10</v>
      </c>
      <c r="L1188" s="1" t="n">
        <v>1</v>
      </c>
      <c r="M1188" s="1" t="n">
        <v>0</v>
      </c>
      <c r="N1188" s="1" t="n">
        <v>397.3</v>
      </c>
      <c r="O1188" s="1" t="n">
        <v>0</v>
      </c>
      <c r="Q1188" s="4" t="n">
        <v>45686</v>
      </c>
      <c r="R1188" s="0" t="n">
        <f aca="false">IF(ISBLANK(F1188),"Missing",IFERROR(YEAR(F1188),"Missing"))</f>
        <v>2024</v>
      </c>
      <c r="S1188" s="0" t="str">
        <f aca="false">IF(ISBLANK(E1188),"Missing",IF(E1188&lt;6,"0-6mo",IF(E1188&lt;12,"6-12mo",IF(E1188&lt;24,"12-24mo","24mo+"))))</f>
        <v>6-12mo</v>
      </c>
      <c r="T1188" s="0" t="n">
        <f aca="false">IF(ISBLANK(C1188),0,IF(C1188="Month-to-month",2,IF(C1188="One year",1,0)))+IF(ISBLANK(I1188),0,IF(I1188&lt;40,2,IF(I1188&lt;55,1,0)))+IF(ISBLANK(M1188),0,IF(M1188=1,3,0))+IF(ISBLANK(L1188),0,IF(L1188&gt;=2,1,0))+IF(ISBLANK(E1188),0,IF(E1188&lt;12,1,0))</f>
        <v>2</v>
      </c>
      <c r="U1188" s="0" t="str">
        <f aca="false">IF((ISBLANK(B1188)*1+ISBLANK(C1188)*1+ISBLANK(D1188)*1+ISBLANK(E1188)*1+ISBLANK(F1188)*1+ISBLANK(I1188)*1+ISBLANK(J1188)*1+ISBLANK(K1188)*1+ISBLANK(L1188)*1+ISBLANK(M1188)*1+ISBLANK(N1188)*1+ISBLANK(O1188)*1)&gt;0,"Missing Data","OK")</f>
        <v>OK</v>
      </c>
      <c r="V1188" s="0" t="str">
        <f aca="false">IF(T1188&gt;=6,"High Risk",IF(T1188&gt;=3,"Medium Risk","Low Risk"))</f>
        <v>Low Risk</v>
      </c>
    </row>
    <row r="1189" customFormat="false" ht="12.8" hidden="false" customHeight="false" outlineLevel="0" collapsed="false">
      <c r="A1189" s="1" t="s">
        <v>1219</v>
      </c>
      <c r="B1189" s="1" t="s">
        <v>29</v>
      </c>
      <c r="C1189" s="1" t="s">
        <v>24</v>
      </c>
      <c r="D1189" s="1" t="n">
        <v>37.78</v>
      </c>
      <c r="E1189" s="1" t="n">
        <v>6</v>
      </c>
      <c r="F1189" s="4" t="n">
        <v>45386</v>
      </c>
      <c r="G1189" s="1" t="s">
        <v>25</v>
      </c>
      <c r="H1189" s="1" t="n">
        <v>1</v>
      </c>
      <c r="I1189" s="1" t="n">
        <v>95.9</v>
      </c>
      <c r="J1189" s="1" t="n">
        <v>27</v>
      </c>
      <c r="K1189" s="1" t="n">
        <v>10</v>
      </c>
      <c r="L1189" s="1" t="n">
        <v>1</v>
      </c>
      <c r="M1189" s="1" t="n">
        <v>1</v>
      </c>
      <c r="N1189" s="1" t="n">
        <v>226.68</v>
      </c>
      <c r="O1189" s="1" t="n">
        <v>0</v>
      </c>
      <c r="Q1189" s="4" t="n">
        <v>45568</v>
      </c>
      <c r="R1189" s="0" t="n">
        <f aca="false">IF(ISBLANK(F1189),"Missing",IFERROR(YEAR(F1189),"Missing"))</f>
        <v>2024</v>
      </c>
      <c r="S1189" s="0" t="str">
        <f aca="false">IF(ISBLANK(E1189),"Missing",IF(E1189&lt;6,"0-6mo",IF(E1189&lt;12,"6-12mo",IF(E1189&lt;24,"12-24mo","24mo+"))))</f>
        <v>6-12mo</v>
      </c>
      <c r="T1189" s="0" t="n">
        <f aca="false">IF(ISBLANK(C1189),0,IF(C1189="Month-to-month",2,IF(C1189="One year",1,0)))+IF(ISBLANK(I1189),0,IF(I1189&lt;40,2,IF(I1189&lt;55,1,0)))+IF(ISBLANK(M1189),0,IF(M1189=1,3,0))+IF(ISBLANK(L1189),0,IF(L1189&gt;=2,1,0))+IF(ISBLANK(E1189),0,IF(E1189&lt;12,1,0))</f>
        <v>6</v>
      </c>
      <c r="U1189" s="0" t="str">
        <f aca="false">IF((ISBLANK(B1189)*1+ISBLANK(C1189)*1+ISBLANK(D1189)*1+ISBLANK(E1189)*1+ISBLANK(F1189)*1+ISBLANK(I1189)*1+ISBLANK(J1189)*1+ISBLANK(K1189)*1+ISBLANK(L1189)*1+ISBLANK(M1189)*1+ISBLANK(N1189)*1+ISBLANK(O1189)*1)&gt;0,"Missing Data","OK")</f>
        <v>OK</v>
      </c>
      <c r="V1189" s="0" t="str">
        <f aca="false">IF(T1189&gt;=6,"High Risk",IF(T1189&gt;=3,"Medium Risk","Low Risk"))</f>
        <v>High Risk</v>
      </c>
    </row>
    <row r="1190" customFormat="false" ht="12.8" hidden="false" customHeight="false" outlineLevel="0" collapsed="false">
      <c r="A1190" s="1" t="s">
        <v>1220</v>
      </c>
      <c r="B1190" s="1" t="s">
        <v>36</v>
      </c>
      <c r="C1190" s="1" t="s">
        <v>24</v>
      </c>
      <c r="D1190" s="1" t="n">
        <v>11.11</v>
      </c>
      <c r="E1190" s="1" t="n">
        <v>35</v>
      </c>
      <c r="F1190" s="4" t="n">
        <v>45387</v>
      </c>
      <c r="G1190" s="1" t="s">
        <v>27</v>
      </c>
      <c r="H1190" s="1" t="n">
        <v>0</v>
      </c>
      <c r="I1190" s="1" t="n">
        <v>12.9</v>
      </c>
      <c r="J1190" s="1" t="n">
        <v>6</v>
      </c>
      <c r="K1190" s="1" t="n">
        <v>2</v>
      </c>
      <c r="L1190" s="1" t="n">
        <v>3</v>
      </c>
      <c r="M1190" s="1" t="n">
        <v>1</v>
      </c>
      <c r="N1190" s="1" t="n">
        <v>388.85</v>
      </c>
      <c r="O1190" s="1" t="n">
        <v>1</v>
      </c>
      <c r="P1190" s="4" t="n">
        <v>46293</v>
      </c>
      <c r="Q1190" s="4" t="n">
        <v>46293</v>
      </c>
      <c r="R1190" s="0" t="n">
        <f aca="false">IF(ISBLANK(F1190),"Missing",IFERROR(YEAR(F1190),"Missing"))</f>
        <v>2024</v>
      </c>
      <c r="S1190" s="0" t="str">
        <f aca="false">IF(ISBLANK(E1190),"Missing",IF(E1190&lt;6,"0-6mo",IF(E1190&lt;12,"6-12mo",IF(E1190&lt;24,"12-24mo","24mo+"))))</f>
        <v>24mo+</v>
      </c>
      <c r="T1190" s="0" t="n">
        <f aca="false">IF(ISBLANK(C1190),0,IF(C1190="Month-to-month",2,IF(C1190="One year",1,0)))+IF(ISBLANK(I1190),0,IF(I1190&lt;40,2,IF(I1190&lt;55,1,0)))+IF(ISBLANK(M1190),0,IF(M1190=1,3,0))+IF(ISBLANK(L1190),0,IF(L1190&gt;=2,1,0))+IF(ISBLANK(E1190),0,IF(E1190&lt;12,1,0))</f>
        <v>8</v>
      </c>
      <c r="U1190" s="0" t="str">
        <f aca="false">IF((ISBLANK(B1190)*1+ISBLANK(C1190)*1+ISBLANK(D1190)*1+ISBLANK(E1190)*1+ISBLANK(F1190)*1+ISBLANK(I1190)*1+ISBLANK(J1190)*1+ISBLANK(K1190)*1+ISBLANK(L1190)*1+ISBLANK(M1190)*1+ISBLANK(N1190)*1+ISBLANK(O1190)*1)&gt;0,"Missing Data","OK")</f>
        <v>OK</v>
      </c>
      <c r="V1190" s="0" t="str">
        <f aca="false">IF(T1190&gt;=6,"High Risk",IF(T1190&gt;=3,"Medium Risk","Low Risk"))</f>
        <v>High Risk</v>
      </c>
    </row>
    <row r="1191" customFormat="false" ht="12.8" hidden="false" customHeight="false" outlineLevel="0" collapsed="false">
      <c r="A1191" s="1" t="s">
        <v>1221</v>
      </c>
      <c r="B1191" s="1" t="s">
        <v>23</v>
      </c>
      <c r="C1191" s="1" t="s">
        <v>51</v>
      </c>
      <c r="D1191" s="1" t="n">
        <v>21.84</v>
      </c>
      <c r="E1191" s="1" t="n">
        <v>1</v>
      </c>
      <c r="F1191" s="4" t="n">
        <v>45388</v>
      </c>
      <c r="G1191" s="1" t="s">
        <v>25</v>
      </c>
      <c r="H1191" s="1" t="n">
        <v>1</v>
      </c>
      <c r="I1191" s="1" t="n">
        <v>83</v>
      </c>
      <c r="J1191" s="1" t="n">
        <v>21</v>
      </c>
      <c r="K1191" s="1" t="n">
        <v>8</v>
      </c>
      <c r="L1191" s="1" t="n">
        <v>1</v>
      </c>
      <c r="M1191" s="1" t="n">
        <v>1</v>
      </c>
      <c r="N1191" s="1" t="n">
        <v>21.84</v>
      </c>
      <c r="O1191" s="1" t="n">
        <v>0</v>
      </c>
      <c r="Q1191" s="4" t="n">
        <v>45418</v>
      </c>
      <c r="R1191" s="0" t="n">
        <f aca="false">IF(ISBLANK(F1191),"Missing",IFERROR(YEAR(F1191),"Missing"))</f>
        <v>2024</v>
      </c>
      <c r="S1191" s="0" t="str">
        <f aca="false">IF(ISBLANK(E1191),"Missing",IF(E1191&lt;6,"0-6mo",IF(E1191&lt;12,"6-12mo",IF(E1191&lt;24,"12-24mo","24mo+"))))</f>
        <v>0-6mo</v>
      </c>
      <c r="T1191" s="0" t="n">
        <f aca="false">IF(ISBLANK(C1191),0,IF(C1191="Month-to-month",2,IF(C1191="One year",1,0)))+IF(ISBLANK(I1191),0,IF(I1191&lt;40,2,IF(I1191&lt;55,1,0)))+IF(ISBLANK(M1191),0,IF(M1191=1,3,0))+IF(ISBLANK(L1191),0,IF(L1191&gt;=2,1,0))+IF(ISBLANK(E1191),0,IF(E1191&lt;12,1,0))</f>
        <v>4</v>
      </c>
      <c r="U1191" s="0" t="str">
        <f aca="false">IF((ISBLANK(B1191)*1+ISBLANK(C1191)*1+ISBLANK(D1191)*1+ISBLANK(E1191)*1+ISBLANK(F1191)*1+ISBLANK(I1191)*1+ISBLANK(J1191)*1+ISBLANK(K1191)*1+ISBLANK(L1191)*1+ISBLANK(M1191)*1+ISBLANK(N1191)*1+ISBLANK(O1191)*1)&gt;0,"Missing Data","OK")</f>
        <v>OK</v>
      </c>
      <c r="V1191" s="0" t="str">
        <f aca="false">IF(T1191&gt;=6,"High Risk",IF(T1191&gt;=3,"Medium Risk","Low Risk"))</f>
        <v>Medium Risk</v>
      </c>
    </row>
    <row r="1192" customFormat="false" ht="12.8" hidden="false" customHeight="false" outlineLevel="0" collapsed="false">
      <c r="A1192" s="1" t="s">
        <v>1222</v>
      </c>
      <c r="B1192" s="1" t="s">
        <v>36</v>
      </c>
      <c r="C1192" s="1" t="s">
        <v>24</v>
      </c>
      <c r="D1192" s="1" t="n">
        <v>10.89</v>
      </c>
      <c r="E1192" s="1" t="n">
        <v>72</v>
      </c>
      <c r="F1192" s="4" t="n">
        <v>45389</v>
      </c>
      <c r="G1192" s="1" t="s">
        <v>25</v>
      </c>
      <c r="H1192" s="1" t="n">
        <v>1</v>
      </c>
      <c r="I1192" s="1" t="n">
        <v>51.1</v>
      </c>
      <c r="J1192" s="1" t="n">
        <v>22</v>
      </c>
      <c r="K1192" s="1" t="n">
        <v>4</v>
      </c>
      <c r="L1192" s="1" t="n">
        <v>0</v>
      </c>
      <c r="M1192" s="1" t="n">
        <v>0</v>
      </c>
      <c r="N1192" s="1" t="n">
        <v>784.08</v>
      </c>
      <c r="O1192" s="1" t="n">
        <v>0</v>
      </c>
      <c r="Q1192" s="4" t="n">
        <v>46293</v>
      </c>
      <c r="R1192" s="0" t="n">
        <f aca="false">IF(ISBLANK(F1192),"Missing",IFERROR(YEAR(F1192),"Missing"))</f>
        <v>2024</v>
      </c>
      <c r="S1192" s="0" t="str">
        <f aca="false">IF(ISBLANK(E1192),"Missing",IF(E1192&lt;6,"0-6mo",IF(E1192&lt;12,"6-12mo",IF(E1192&lt;24,"12-24mo","24mo+"))))</f>
        <v>24mo+</v>
      </c>
      <c r="T1192" s="0" t="n">
        <f aca="false">IF(ISBLANK(C1192),0,IF(C1192="Month-to-month",2,IF(C1192="One year",1,0)))+IF(ISBLANK(I1192),0,IF(I1192&lt;40,2,IF(I1192&lt;55,1,0)))+IF(ISBLANK(M1192),0,IF(M1192=1,3,0))+IF(ISBLANK(L1192),0,IF(L1192&gt;=2,1,0))+IF(ISBLANK(E1192),0,IF(E1192&lt;12,1,0))</f>
        <v>3</v>
      </c>
      <c r="U1192" s="0" t="str">
        <f aca="false">IF((ISBLANK(B1192)*1+ISBLANK(C1192)*1+ISBLANK(D1192)*1+ISBLANK(E1192)*1+ISBLANK(F1192)*1+ISBLANK(I1192)*1+ISBLANK(J1192)*1+ISBLANK(K1192)*1+ISBLANK(L1192)*1+ISBLANK(M1192)*1+ISBLANK(N1192)*1+ISBLANK(O1192)*1)&gt;0,"Missing Data","OK")</f>
        <v>OK</v>
      </c>
      <c r="V1192" s="0" t="str">
        <f aca="false">IF(T1192&gt;=6,"High Risk",IF(T1192&gt;=3,"Medium Risk","Low Risk"))</f>
        <v>Medium Risk</v>
      </c>
    </row>
    <row r="1193" customFormat="false" ht="12.8" hidden="false" customHeight="false" outlineLevel="0" collapsed="false">
      <c r="A1193" s="1" t="s">
        <v>1223</v>
      </c>
      <c r="B1193" s="1" t="s">
        <v>23</v>
      </c>
      <c r="C1193" s="1" t="s">
        <v>24</v>
      </c>
      <c r="D1193" s="1" t="n">
        <v>20.06</v>
      </c>
      <c r="E1193" s="1" t="n">
        <v>17</v>
      </c>
      <c r="F1193" s="4" t="n">
        <v>45389</v>
      </c>
      <c r="G1193" s="1" t="s">
        <v>30</v>
      </c>
      <c r="H1193" s="1" t="n">
        <v>1</v>
      </c>
      <c r="I1193" s="1" t="n">
        <v>56.2</v>
      </c>
      <c r="J1193" s="1" t="n">
        <v>20</v>
      </c>
      <c r="K1193" s="1" t="n">
        <v>4</v>
      </c>
      <c r="L1193" s="1" t="n">
        <v>3</v>
      </c>
      <c r="M1193" s="1" t="n">
        <v>0</v>
      </c>
      <c r="N1193" s="1" t="n">
        <v>341.02</v>
      </c>
      <c r="O1193" s="1" t="n">
        <v>0</v>
      </c>
      <c r="Q1193" s="4" t="n">
        <v>45906</v>
      </c>
      <c r="R1193" s="0" t="n">
        <f aca="false">IF(ISBLANK(F1193),"Missing",IFERROR(YEAR(F1193),"Missing"))</f>
        <v>2024</v>
      </c>
      <c r="S1193" s="0" t="str">
        <f aca="false">IF(ISBLANK(E1193),"Missing",IF(E1193&lt;6,"0-6mo",IF(E1193&lt;12,"6-12mo",IF(E1193&lt;24,"12-24mo","24mo+"))))</f>
        <v>12-24mo</v>
      </c>
      <c r="T1193" s="0" t="n">
        <f aca="false">IF(ISBLANK(C1193),0,IF(C1193="Month-to-month",2,IF(C1193="One year",1,0)))+IF(ISBLANK(I1193),0,IF(I1193&lt;40,2,IF(I1193&lt;55,1,0)))+IF(ISBLANK(M1193),0,IF(M1193=1,3,0))+IF(ISBLANK(L1193),0,IF(L1193&gt;=2,1,0))+IF(ISBLANK(E1193),0,IF(E1193&lt;12,1,0))</f>
        <v>3</v>
      </c>
      <c r="U1193" s="0" t="str">
        <f aca="false">IF((ISBLANK(B1193)*1+ISBLANK(C1193)*1+ISBLANK(D1193)*1+ISBLANK(E1193)*1+ISBLANK(F1193)*1+ISBLANK(I1193)*1+ISBLANK(J1193)*1+ISBLANK(K1193)*1+ISBLANK(L1193)*1+ISBLANK(M1193)*1+ISBLANK(N1193)*1+ISBLANK(O1193)*1)&gt;0,"Missing Data","OK")</f>
        <v>OK</v>
      </c>
      <c r="V1193" s="0" t="str">
        <f aca="false">IF(T1193&gt;=6,"High Risk",IF(T1193&gt;=3,"Medium Risk","Low Risk"))</f>
        <v>Medium Risk</v>
      </c>
    </row>
    <row r="1194" customFormat="false" ht="12.8" hidden="false" customHeight="false" outlineLevel="0" collapsed="false">
      <c r="A1194" s="1" t="s">
        <v>1224</v>
      </c>
      <c r="B1194" s="1" t="s">
        <v>29</v>
      </c>
      <c r="C1194" s="1" t="s">
        <v>24</v>
      </c>
      <c r="D1194" s="1" t="n">
        <v>40.49</v>
      </c>
      <c r="E1194" s="1" t="n">
        <v>36</v>
      </c>
      <c r="F1194" s="4" t="n">
        <v>45389</v>
      </c>
      <c r="G1194" s="1" t="s">
        <v>25</v>
      </c>
      <c r="H1194" s="1" t="n">
        <v>1</v>
      </c>
      <c r="I1194" s="1" t="n">
        <v>71.3</v>
      </c>
      <c r="J1194" s="1" t="n">
        <v>16</v>
      </c>
      <c r="K1194" s="1" t="n">
        <v>8</v>
      </c>
      <c r="L1194" s="1" t="n">
        <v>0</v>
      </c>
      <c r="M1194" s="1" t="n">
        <v>0</v>
      </c>
      <c r="N1194" s="1" t="n">
        <v>1457.64</v>
      </c>
      <c r="O1194" s="1" t="n">
        <v>0</v>
      </c>
      <c r="Q1194" s="4" t="n">
        <v>46293</v>
      </c>
      <c r="R1194" s="0" t="n">
        <f aca="false">IF(ISBLANK(F1194),"Missing",IFERROR(YEAR(F1194),"Missing"))</f>
        <v>2024</v>
      </c>
      <c r="S1194" s="0" t="str">
        <f aca="false">IF(ISBLANK(E1194),"Missing",IF(E1194&lt;6,"0-6mo",IF(E1194&lt;12,"6-12mo",IF(E1194&lt;24,"12-24mo","24mo+"))))</f>
        <v>24mo+</v>
      </c>
      <c r="T1194" s="0" t="n">
        <f aca="false">IF(ISBLANK(C1194),0,IF(C1194="Month-to-month",2,IF(C1194="One year",1,0)))+IF(ISBLANK(I1194),0,IF(I1194&lt;40,2,IF(I1194&lt;55,1,0)))+IF(ISBLANK(M1194),0,IF(M1194=1,3,0))+IF(ISBLANK(L1194),0,IF(L1194&gt;=2,1,0))+IF(ISBLANK(E1194),0,IF(E1194&lt;12,1,0))</f>
        <v>2</v>
      </c>
      <c r="U1194" s="0" t="str">
        <f aca="false">IF((ISBLANK(B1194)*1+ISBLANK(C1194)*1+ISBLANK(D1194)*1+ISBLANK(E1194)*1+ISBLANK(F1194)*1+ISBLANK(I1194)*1+ISBLANK(J1194)*1+ISBLANK(K1194)*1+ISBLANK(L1194)*1+ISBLANK(M1194)*1+ISBLANK(N1194)*1+ISBLANK(O1194)*1)&gt;0,"Missing Data","OK")</f>
        <v>OK</v>
      </c>
      <c r="V1194" s="0" t="str">
        <f aca="false">IF(T1194&gt;=6,"High Risk",IF(T1194&gt;=3,"Medium Risk","Low Risk"))</f>
        <v>Low Risk</v>
      </c>
    </row>
    <row r="1195" customFormat="false" ht="12.8" hidden="false" customHeight="false" outlineLevel="0" collapsed="false">
      <c r="A1195" s="1" t="s">
        <v>1225</v>
      </c>
      <c r="B1195" s="1" t="s">
        <v>36</v>
      </c>
      <c r="C1195" s="1" t="s">
        <v>51</v>
      </c>
      <c r="D1195" s="1" t="n">
        <v>10.38</v>
      </c>
      <c r="E1195" s="1" t="n">
        <v>2</v>
      </c>
      <c r="F1195" s="4" t="n">
        <v>45393</v>
      </c>
      <c r="G1195" s="1" t="s">
        <v>25</v>
      </c>
      <c r="H1195" s="1" t="n">
        <v>0</v>
      </c>
      <c r="I1195" s="1" t="n">
        <v>81.4</v>
      </c>
      <c r="J1195" s="1" t="n">
        <v>24</v>
      </c>
      <c r="K1195" s="1" t="n">
        <v>10</v>
      </c>
      <c r="L1195" s="1" t="n">
        <v>0</v>
      </c>
      <c r="M1195" s="1" t="n">
        <v>0</v>
      </c>
      <c r="N1195" s="1" t="n">
        <v>20.76</v>
      </c>
      <c r="O1195" s="1" t="n">
        <v>0</v>
      </c>
      <c r="Q1195" s="4" t="n">
        <v>45453</v>
      </c>
      <c r="R1195" s="0" t="n">
        <f aca="false">IF(ISBLANK(F1195),"Missing",IFERROR(YEAR(F1195),"Missing"))</f>
        <v>2024</v>
      </c>
      <c r="S1195" s="0" t="str">
        <f aca="false">IF(ISBLANK(E1195),"Missing",IF(E1195&lt;6,"0-6mo",IF(E1195&lt;12,"6-12mo",IF(E1195&lt;24,"12-24mo","24mo+"))))</f>
        <v>0-6mo</v>
      </c>
      <c r="T1195" s="0" t="n">
        <f aca="false">IF(ISBLANK(C1195),0,IF(C1195="Month-to-month",2,IF(C1195="One year",1,0)))+IF(ISBLANK(I1195),0,IF(I1195&lt;40,2,IF(I1195&lt;55,1,0)))+IF(ISBLANK(M1195),0,IF(M1195=1,3,0))+IF(ISBLANK(L1195),0,IF(L1195&gt;=2,1,0))+IF(ISBLANK(E1195),0,IF(E1195&lt;12,1,0))</f>
        <v>1</v>
      </c>
      <c r="U1195" s="0" t="str">
        <f aca="false">IF((ISBLANK(B1195)*1+ISBLANK(C1195)*1+ISBLANK(D1195)*1+ISBLANK(E1195)*1+ISBLANK(F1195)*1+ISBLANK(I1195)*1+ISBLANK(J1195)*1+ISBLANK(K1195)*1+ISBLANK(L1195)*1+ISBLANK(M1195)*1+ISBLANK(N1195)*1+ISBLANK(O1195)*1)&gt;0,"Missing Data","OK")</f>
        <v>OK</v>
      </c>
      <c r="V1195" s="0" t="str">
        <f aca="false">IF(T1195&gt;=6,"High Risk",IF(T1195&gt;=3,"Medium Risk","Low Risk"))</f>
        <v>Low Risk</v>
      </c>
    </row>
    <row r="1196" customFormat="false" ht="12.8" hidden="false" customHeight="false" outlineLevel="0" collapsed="false">
      <c r="A1196" s="1" t="s">
        <v>1226</v>
      </c>
      <c r="B1196" s="1" t="s">
        <v>29</v>
      </c>
      <c r="C1196" s="1" t="s">
        <v>24</v>
      </c>
      <c r="D1196" s="1" t="n">
        <v>40.86</v>
      </c>
      <c r="E1196" s="1" t="n">
        <v>4</v>
      </c>
      <c r="F1196" s="4" t="n">
        <v>45397</v>
      </c>
      <c r="G1196" s="1" t="s">
        <v>25</v>
      </c>
      <c r="H1196" s="1" t="n">
        <v>1</v>
      </c>
      <c r="I1196" s="1" t="n">
        <v>53.7</v>
      </c>
      <c r="J1196" s="1" t="n">
        <v>20</v>
      </c>
      <c r="K1196" s="1" t="n">
        <v>6</v>
      </c>
      <c r="L1196" s="1" t="n">
        <v>0</v>
      </c>
      <c r="M1196" s="1" t="n">
        <v>0</v>
      </c>
      <c r="N1196" s="1" t="n">
        <v>163.44</v>
      </c>
      <c r="O1196" s="1" t="n">
        <v>0</v>
      </c>
      <c r="Q1196" s="4" t="n">
        <v>45518</v>
      </c>
      <c r="R1196" s="0" t="n">
        <f aca="false">IF(ISBLANK(F1196),"Missing",IFERROR(YEAR(F1196),"Missing"))</f>
        <v>2024</v>
      </c>
      <c r="S1196" s="0" t="str">
        <f aca="false">IF(ISBLANK(E1196),"Missing",IF(E1196&lt;6,"0-6mo",IF(E1196&lt;12,"6-12mo",IF(E1196&lt;24,"12-24mo","24mo+"))))</f>
        <v>0-6mo</v>
      </c>
      <c r="T1196" s="0" t="n">
        <f aca="false">IF(ISBLANK(C1196),0,IF(C1196="Month-to-month",2,IF(C1196="One year",1,0)))+IF(ISBLANK(I1196),0,IF(I1196&lt;40,2,IF(I1196&lt;55,1,0)))+IF(ISBLANK(M1196),0,IF(M1196=1,3,0))+IF(ISBLANK(L1196),0,IF(L1196&gt;=2,1,0))+IF(ISBLANK(E1196),0,IF(E1196&lt;12,1,0))</f>
        <v>4</v>
      </c>
      <c r="U1196" s="0" t="str">
        <f aca="false">IF((ISBLANK(B1196)*1+ISBLANK(C1196)*1+ISBLANK(D1196)*1+ISBLANK(E1196)*1+ISBLANK(F1196)*1+ISBLANK(I1196)*1+ISBLANK(J1196)*1+ISBLANK(K1196)*1+ISBLANK(L1196)*1+ISBLANK(M1196)*1+ISBLANK(N1196)*1+ISBLANK(O1196)*1)&gt;0,"Missing Data","OK")</f>
        <v>OK</v>
      </c>
      <c r="V1196" s="0" t="str">
        <f aca="false">IF(T1196&gt;=6,"High Risk",IF(T1196&gt;=3,"Medium Risk","Low Risk"))</f>
        <v>Medium Risk</v>
      </c>
    </row>
    <row r="1197" customFormat="false" ht="12.8" hidden="false" customHeight="false" outlineLevel="0" collapsed="false">
      <c r="A1197" s="1" t="s">
        <v>1227</v>
      </c>
      <c r="B1197" s="1" t="s">
        <v>36</v>
      </c>
      <c r="C1197" s="1" t="s">
        <v>24</v>
      </c>
      <c r="D1197" s="1" t="n">
        <v>10.53</v>
      </c>
      <c r="E1197" s="1" t="n">
        <v>3</v>
      </c>
      <c r="F1197" s="4" t="n">
        <v>45398</v>
      </c>
      <c r="G1197" s="1" t="s">
        <v>25</v>
      </c>
      <c r="H1197" s="1" t="n">
        <v>1</v>
      </c>
      <c r="I1197" s="1" t="n">
        <v>55.6</v>
      </c>
      <c r="J1197" s="1" t="n">
        <v>23</v>
      </c>
      <c r="K1197" s="1" t="n">
        <v>6</v>
      </c>
      <c r="L1197" s="1" t="n">
        <v>1</v>
      </c>
      <c r="M1197" s="1" t="n">
        <v>0</v>
      </c>
      <c r="N1197" s="1" t="n">
        <v>31.59</v>
      </c>
      <c r="O1197" s="1" t="n">
        <v>1</v>
      </c>
      <c r="P1197" s="4" t="n">
        <v>45489</v>
      </c>
      <c r="Q1197" s="4" t="n">
        <v>45489</v>
      </c>
      <c r="R1197" s="0" t="n">
        <f aca="false">IF(ISBLANK(F1197),"Missing",IFERROR(YEAR(F1197),"Missing"))</f>
        <v>2024</v>
      </c>
      <c r="S1197" s="0" t="str">
        <f aca="false">IF(ISBLANK(E1197),"Missing",IF(E1197&lt;6,"0-6mo",IF(E1197&lt;12,"6-12mo",IF(E1197&lt;24,"12-24mo","24mo+"))))</f>
        <v>0-6mo</v>
      </c>
      <c r="T1197" s="0" t="n">
        <f aca="false">IF(ISBLANK(C1197),0,IF(C1197="Month-to-month",2,IF(C1197="One year",1,0)))+IF(ISBLANK(I1197),0,IF(I1197&lt;40,2,IF(I1197&lt;55,1,0)))+IF(ISBLANK(M1197),0,IF(M1197=1,3,0))+IF(ISBLANK(L1197),0,IF(L1197&gt;=2,1,0))+IF(ISBLANK(E1197),0,IF(E1197&lt;12,1,0))</f>
        <v>3</v>
      </c>
      <c r="U1197" s="0" t="str">
        <f aca="false">IF((ISBLANK(B1197)*1+ISBLANK(C1197)*1+ISBLANK(D1197)*1+ISBLANK(E1197)*1+ISBLANK(F1197)*1+ISBLANK(I1197)*1+ISBLANK(J1197)*1+ISBLANK(K1197)*1+ISBLANK(L1197)*1+ISBLANK(M1197)*1+ISBLANK(N1197)*1+ISBLANK(O1197)*1)&gt;0,"Missing Data","OK")</f>
        <v>OK</v>
      </c>
      <c r="V1197" s="0" t="str">
        <f aca="false">IF(T1197&gt;=6,"High Risk",IF(T1197&gt;=3,"Medium Risk","Low Risk"))</f>
        <v>Medium Risk</v>
      </c>
    </row>
    <row r="1198" customFormat="false" ht="12.8" hidden="false" customHeight="false" outlineLevel="0" collapsed="false">
      <c r="A1198" s="1" t="s">
        <v>1228</v>
      </c>
      <c r="B1198" s="1" t="s">
        <v>23</v>
      </c>
      <c r="C1198" s="1" t="s">
        <v>24</v>
      </c>
      <c r="D1198" s="1" t="n">
        <v>20.04</v>
      </c>
      <c r="E1198" s="1" t="n">
        <v>20</v>
      </c>
      <c r="F1198" s="4" t="n">
        <v>45401</v>
      </c>
      <c r="G1198" s="1" t="s">
        <v>39</v>
      </c>
      <c r="H1198" s="1" t="n">
        <v>1</v>
      </c>
      <c r="I1198" s="1" t="n">
        <v>26.4</v>
      </c>
      <c r="J1198" s="1" t="n">
        <v>1</v>
      </c>
      <c r="K1198" s="1" t="n">
        <v>2</v>
      </c>
      <c r="L1198" s="1" t="n">
        <v>1</v>
      </c>
      <c r="M1198" s="1" t="n">
        <v>0</v>
      </c>
      <c r="N1198" s="1" t="n">
        <v>400.8</v>
      </c>
      <c r="O1198" s="1" t="n">
        <v>0</v>
      </c>
      <c r="Q1198" s="4" t="n">
        <v>46009</v>
      </c>
      <c r="R1198" s="0" t="n">
        <f aca="false">IF(ISBLANK(F1198),"Missing",IFERROR(YEAR(F1198),"Missing"))</f>
        <v>2024</v>
      </c>
      <c r="S1198" s="0" t="str">
        <f aca="false">IF(ISBLANK(E1198),"Missing",IF(E1198&lt;6,"0-6mo",IF(E1198&lt;12,"6-12mo",IF(E1198&lt;24,"12-24mo","24mo+"))))</f>
        <v>12-24mo</v>
      </c>
      <c r="T1198" s="0" t="n">
        <f aca="false">IF(ISBLANK(C1198),0,IF(C1198="Month-to-month",2,IF(C1198="One year",1,0)))+IF(ISBLANK(I1198),0,IF(I1198&lt;40,2,IF(I1198&lt;55,1,0)))+IF(ISBLANK(M1198),0,IF(M1198=1,3,0))+IF(ISBLANK(L1198),0,IF(L1198&gt;=2,1,0))+IF(ISBLANK(E1198),0,IF(E1198&lt;12,1,0))</f>
        <v>4</v>
      </c>
      <c r="U1198" s="0" t="str">
        <f aca="false">IF((ISBLANK(B1198)*1+ISBLANK(C1198)*1+ISBLANK(D1198)*1+ISBLANK(E1198)*1+ISBLANK(F1198)*1+ISBLANK(I1198)*1+ISBLANK(J1198)*1+ISBLANK(K1198)*1+ISBLANK(L1198)*1+ISBLANK(M1198)*1+ISBLANK(N1198)*1+ISBLANK(O1198)*1)&gt;0,"Missing Data","OK")</f>
        <v>OK</v>
      </c>
      <c r="V1198" s="0" t="str">
        <f aca="false">IF(T1198&gt;=6,"High Risk",IF(T1198&gt;=3,"Medium Risk","Low Risk"))</f>
        <v>Medium Risk</v>
      </c>
    </row>
    <row r="1199" customFormat="false" ht="12.8" hidden="false" customHeight="false" outlineLevel="0" collapsed="false">
      <c r="A1199" s="1" t="s">
        <v>1229</v>
      </c>
      <c r="B1199" s="1" t="s">
        <v>36</v>
      </c>
      <c r="C1199" s="1" t="s">
        <v>24</v>
      </c>
      <c r="D1199" s="1" t="n">
        <v>8.58</v>
      </c>
      <c r="E1199" s="1" t="n">
        <v>5</v>
      </c>
      <c r="F1199" s="4" t="n">
        <v>45404</v>
      </c>
      <c r="G1199" s="1" t="s">
        <v>25</v>
      </c>
      <c r="H1199" s="1" t="n">
        <v>0</v>
      </c>
      <c r="I1199" s="1" t="n">
        <v>94.8</v>
      </c>
      <c r="J1199" s="1" t="n">
        <v>20</v>
      </c>
      <c r="K1199" s="1" t="n">
        <v>10</v>
      </c>
      <c r="L1199" s="1" t="n">
        <v>1</v>
      </c>
      <c r="M1199" s="1" t="n">
        <v>0</v>
      </c>
      <c r="N1199" s="1" t="n">
        <v>42.9</v>
      </c>
      <c r="O1199" s="1" t="n">
        <v>0</v>
      </c>
      <c r="Q1199" s="4" t="n">
        <v>45556</v>
      </c>
      <c r="R1199" s="0" t="n">
        <f aca="false">IF(ISBLANK(F1199),"Missing",IFERROR(YEAR(F1199),"Missing"))</f>
        <v>2024</v>
      </c>
      <c r="S1199" s="0" t="str">
        <f aca="false">IF(ISBLANK(E1199),"Missing",IF(E1199&lt;6,"0-6mo",IF(E1199&lt;12,"6-12mo",IF(E1199&lt;24,"12-24mo","24mo+"))))</f>
        <v>0-6mo</v>
      </c>
      <c r="T1199" s="0" t="n">
        <f aca="false">IF(ISBLANK(C1199),0,IF(C1199="Month-to-month",2,IF(C1199="One year",1,0)))+IF(ISBLANK(I1199),0,IF(I1199&lt;40,2,IF(I1199&lt;55,1,0)))+IF(ISBLANK(M1199),0,IF(M1199=1,3,0))+IF(ISBLANK(L1199),0,IF(L1199&gt;=2,1,0))+IF(ISBLANK(E1199),0,IF(E1199&lt;12,1,0))</f>
        <v>3</v>
      </c>
      <c r="U1199" s="0" t="str">
        <f aca="false">IF((ISBLANK(B1199)*1+ISBLANK(C1199)*1+ISBLANK(D1199)*1+ISBLANK(E1199)*1+ISBLANK(F1199)*1+ISBLANK(I1199)*1+ISBLANK(J1199)*1+ISBLANK(K1199)*1+ISBLANK(L1199)*1+ISBLANK(M1199)*1+ISBLANK(N1199)*1+ISBLANK(O1199)*1)&gt;0,"Missing Data","OK")</f>
        <v>OK</v>
      </c>
      <c r="V1199" s="0" t="str">
        <f aca="false">IF(T1199&gt;=6,"High Risk",IF(T1199&gt;=3,"Medium Risk","Low Risk"))</f>
        <v>Medium Risk</v>
      </c>
    </row>
    <row r="1200" customFormat="false" ht="12.8" hidden="false" customHeight="false" outlineLevel="0" collapsed="false">
      <c r="A1200" s="1" t="s">
        <v>1230</v>
      </c>
      <c r="B1200" s="1" t="s">
        <v>36</v>
      </c>
      <c r="C1200" s="1" t="s">
        <v>51</v>
      </c>
      <c r="D1200" s="1" t="n">
        <v>11.08</v>
      </c>
      <c r="E1200" s="1" t="n">
        <v>4</v>
      </c>
      <c r="F1200" s="4" t="n">
        <v>45407</v>
      </c>
      <c r="G1200" s="1" t="s">
        <v>39</v>
      </c>
      <c r="H1200" s="1" t="n">
        <v>1</v>
      </c>
      <c r="I1200" s="1" t="n">
        <v>31.6</v>
      </c>
      <c r="J1200" s="1" t="n">
        <v>7</v>
      </c>
      <c r="K1200" s="1" t="n">
        <v>4</v>
      </c>
      <c r="L1200" s="1" t="n">
        <v>3</v>
      </c>
      <c r="M1200" s="1" t="n">
        <v>1</v>
      </c>
      <c r="N1200" s="1" t="n">
        <v>44.32</v>
      </c>
      <c r="O1200" s="1" t="n">
        <v>0</v>
      </c>
      <c r="Q1200" s="4" t="n">
        <v>45528</v>
      </c>
      <c r="R1200" s="0" t="n">
        <f aca="false">IF(ISBLANK(F1200),"Missing",IFERROR(YEAR(F1200),"Missing"))</f>
        <v>2024</v>
      </c>
      <c r="S1200" s="0" t="str">
        <f aca="false">IF(ISBLANK(E1200),"Missing",IF(E1200&lt;6,"0-6mo",IF(E1200&lt;12,"6-12mo",IF(E1200&lt;24,"12-24mo","24mo+"))))</f>
        <v>0-6mo</v>
      </c>
      <c r="T1200" s="0" t="n">
        <f aca="false">IF(ISBLANK(C1200),0,IF(C1200="Month-to-month",2,IF(C1200="One year",1,0)))+IF(ISBLANK(I1200),0,IF(I1200&lt;40,2,IF(I1200&lt;55,1,0)))+IF(ISBLANK(M1200),0,IF(M1200=1,3,0))+IF(ISBLANK(L1200),0,IF(L1200&gt;=2,1,0))+IF(ISBLANK(E1200),0,IF(E1200&lt;12,1,0))</f>
        <v>7</v>
      </c>
      <c r="U1200" s="0" t="str">
        <f aca="false">IF((ISBLANK(B1200)*1+ISBLANK(C1200)*1+ISBLANK(D1200)*1+ISBLANK(E1200)*1+ISBLANK(F1200)*1+ISBLANK(I1200)*1+ISBLANK(J1200)*1+ISBLANK(K1200)*1+ISBLANK(L1200)*1+ISBLANK(M1200)*1+ISBLANK(N1200)*1+ISBLANK(O1200)*1)&gt;0,"Missing Data","OK")</f>
        <v>OK</v>
      </c>
      <c r="V1200" s="0" t="str">
        <f aca="false">IF(T1200&gt;=6,"High Risk",IF(T1200&gt;=3,"Medium Risk","Low Risk"))</f>
        <v>High Risk</v>
      </c>
    </row>
    <row r="1201" customFormat="false" ht="12.8" hidden="false" customHeight="false" outlineLevel="0" collapsed="false">
      <c r="A1201" s="1" t="s">
        <v>1231</v>
      </c>
      <c r="B1201" s="1" t="s">
        <v>29</v>
      </c>
      <c r="C1201" s="1" t="s">
        <v>24</v>
      </c>
      <c r="D1201" s="1" t="n">
        <v>39.62</v>
      </c>
      <c r="E1201" s="1" t="n">
        <v>24</v>
      </c>
      <c r="F1201" s="4" t="n">
        <v>45410</v>
      </c>
      <c r="G1201" s="1" t="s">
        <v>39</v>
      </c>
      <c r="H1201" s="1" t="n">
        <v>1</v>
      </c>
      <c r="I1201" s="1" t="n">
        <v>54.6</v>
      </c>
      <c r="J1201" s="1" t="n">
        <v>13</v>
      </c>
      <c r="K1201" s="1" t="n">
        <v>6</v>
      </c>
      <c r="L1201" s="1" t="n">
        <v>0</v>
      </c>
      <c r="M1201" s="1" t="n">
        <v>0</v>
      </c>
      <c r="N1201" s="1" t="n">
        <v>950.88</v>
      </c>
      <c r="O1201" s="1" t="n">
        <v>1</v>
      </c>
      <c r="P1201" s="4" t="n">
        <v>46140</v>
      </c>
      <c r="Q1201" s="4" t="n">
        <v>46140</v>
      </c>
      <c r="R1201" s="0" t="n">
        <f aca="false">IF(ISBLANK(F1201),"Missing",IFERROR(YEAR(F1201),"Missing"))</f>
        <v>2024</v>
      </c>
      <c r="S1201" s="0" t="str">
        <f aca="false">IF(ISBLANK(E1201),"Missing",IF(E1201&lt;6,"0-6mo",IF(E1201&lt;12,"6-12mo",IF(E1201&lt;24,"12-24mo","24mo+"))))</f>
        <v>24mo+</v>
      </c>
      <c r="T1201" s="0" t="n">
        <f aca="false">IF(ISBLANK(C1201),0,IF(C1201="Month-to-month",2,IF(C1201="One year",1,0)))+IF(ISBLANK(I1201),0,IF(I1201&lt;40,2,IF(I1201&lt;55,1,0)))+IF(ISBLANK(M1201),0,IF(M1201=1,3,0))+IF(ISBLANK(L1201),0,IF(L1201&gt;=2,1,0))+IF(ISBLANK(E1201),0,IF(E1201&lt;12,1,0))</f>
        <v>3</v>
      </c>
      <c r="U1201" s="0" t="str">
        <f aca="false">IF((ISBLANK(B1201)*1+ISBLANK(C1201)*1+ISBLANK(D1201)*1+ISBLANK(E1201)*1+ISBLANK(F1201)*1+ISBLANK(I1201)*1+ISBLANK(J1201)*1+ISBLANK(K1201)*1+ISBLANK(L1201)*1+ISBLANK(M1201)*1+ISBLANK(N1201)*1+ISBLANK(O1201)*1)&gt;0,"Missing Data","OK")</f>
        <v>OK</v>
      </c>
      <c r="V1201" s="0" t="str">
        <f aca="false">IF(T1201&gt;=6,"High Risk",IF(T1201&gt;=3,"Medium Risk","Low Risk"))</f>
        <v>Medium Risk</v>
      </c>
    </row>
    <row r="1202" customFormat="false" ht="12.8" hidden="false" customHeight="false" outlineLevel="0" collapsed="false">
      <c r="A1202" s="1" t="s">
        <v>1232</v>
      </c>
      <c r="B1202" s="1" t="s">
        <v>36</v>
      </c>
      <c r="C1202" s="1" t="s">
        <v>24</v>
      </c>
      <c r="D1202" s="1" t="n">
        <v>8.22</v>
      </c>
      <c r="E1202" s="1" t="n">
        <v>24</v>
      </c>
      <c r="F1202" s="4" t="n">
        <v>45410</v>
      </c>
      <c r="G1202" s="1" t="s">
        <v>39</v>
      </c>
      <c r="H1202" s="1" t="n">
        <v>1</v>
      </c>
      <c r="I1202" s="1" t="n">
        <v>66.8</v>
      </c>
      <c r="J1202" s="1" t="n">
        <v>25</v>
      </c>
      <c r="K1202" s="1" t="n">
        <v>9</v>
      </c>
      <c r="L1202" s="1" t="n">
        <v>1</v>
      </c>
      <c r="M1202" s="1" t="n">
        <v>0</v>
      </c>
      <c r="N1202" s="1" t="n">
        <v>197.28</v>
      </c>
      <c r="O1202" s="1" t="n">
        <v>0</v>
      </c>
      <c r="Q1202" s="4" t="n">
        <v>46140</v>
      </c>
      <c r="R1202" s="0" t="n">
        <f aca="false">IF(ISBLANK(F1202),"Missing",IFERROR(YEAR(F1202),"Missing"))</f>
        <v>2024</v>
      </c>
      <c r="S1202" s="0" t="str">
        <f aca="false">IF(ISBLANK(E1202),"Missing",IF(E1202&lt;6,"0-6mo",IF(E1202&lt;12,"6-12mo",IF(E1202&lt;24,"12-24mo","24mo+"))))</f>
        <v>24mo+</v>
      </c>
      <c r="T1202" s="0" t="n">
        <f aca="false">IF(ISBLANK(C1202),0,IF(C1202="Month-to-month",2,IF(C1202="One year",1,0)))+IF(ISBLANK(I1202),0,IF(I1202&lt;40,2,IF(I1202&lt;55,1,0)))+IF(ISBLANK(M1202),0,IF(M1202=1,3,0))+IF(ISBLANK(L1202),0,IF(L1202&gt;=2,1,0))+IF(ISBLANK(E1202),0,IF(E1202&lt;12,1,0))</f>
        <v>2</v>
      </c>
      <c r="U1202" s="0" t="str">
        <f aca="false">IF((ISBLANK(B1202)*1+ISBLANK(C1202)*1+ISBLANK(D1202)*1+ISBLANK(E1202)*1+ISBLANK(F1202)*1+ISBLANK(I1202)*1+ISBLANK(J1202)*1+ISBLANK(K1202)*1+ISBLANK(L1202)*1+ISBLANK(M1202)*1+ISBLANK(N1202)*1+ISBLANK(O1202)*1)&gt;0,"Missing Data","OK")</f>
        <v>OK</v>
      </c>
      <c r="V1202" s="0" t="str">
        <f aca="false">IF(T1202&gt;=6,"High Risk",IF(T1202&gt;=3,"Medium Risk","Low Risk"))</f>
        <v>Low Risk</v>
      </c>
    </row>
    <row r="1203" customFormat="false" ht="12.8" hidden="false" customHeight="false" outlineLevel="0" collapsed="false">
      <c r="A1203" s="1" t="s">
        <v>1233</v>
      </c>
      <c r="B1203" s="1" t="s">
        <v>36</v>
      </c>
      <c r="C1203" s="1" t="s">
        <v>34</v>
      </c>
      <c r="D1203" s="1" t="n">
        <v>9.97</v>
      </c>
      <c r="E1203" s="1" t="n">
        <v>72</v>
      </c>
      <c r="F1203" s="4" t="n">
        <v>45410</v>
      </c>
      <c r="G1203" s="1" t="s">
        <v>25</v>
      </c>
      <c r="H1203" s="1" t="n">
        <v>0</v>
      </c>
      <c r="I1203" s="1" t="n">
        <v>76.7</v>
      </c>
      <c r="J1203" s="1" t="n">
        <v>27</v>
      </c>
      <c r="K1203" s="1" t="n">
        <v>8</v>
      </c>
      <c r="L1203" s="1" t="n">
        <v>2</v>
      </c>
      <c r="M1203" s="1" t="n">
        <v>1</v>
      </c>
      <c r="N1203" s="1" t="n">
        <v>717.84</v>
      </c>
      <c r="O1203" s="1" t="n">
        <v>0</v>
      </c>
      <c r="Q1203" s="4" t="n">
        <v>46293</v>
      </c>
      <c r="R1203" s="0" t="n">
        <f aca="false">IF(ISBLANK(F1203),"Missing",IFERROR(YEAR(F1203),"Missing"))</f>
        <v>2024</v>
      </c>
      <c r="S1203" s="0" t="str">
        <f aca="false">IF(ISBLANK(E1203),"Missing",IF(E1203&lt;6,"0-6mo",IF(E1203&lt;12,"6-12mo",IF(E1203&lt;24,"12-24mo","24mo+"))))</f>
        <v>24mo+</v>
      </c>
      <c r="T1203" s="0" t="n">
        <f aca="false">IF(ISBLANK(C1203),0,IF(C1203="Month-to-month",2,IF(C1203="One year",1,0)))+IF(ISBLANK(I1203),0,IF(I1203&lt;40,2,IF(I1203&lt;55,1,0)))+IF(ISBLANK(M1203),0,IF(M1203=1,3,0))+IF(ISBLANK(L1203),0,IF(L1203&gt;=2,1,0))+IF(ISBLANK(E1203),0,IF(E1203&lt;12,1,0))</f>
        <v>5</v>
      </c>
      <c r="U1203" s="0" t="str">
        <f aca="false">IF((ISBLANK(B1203)*1+ISBLANK(C1203)*1+ISBLANK(D1203)*1+ISBLANK(E1203)*1+ISBLANK(F1203)*1+ISBLANK(I1203)*1+ISBLANK(J1203)*1+ISBLANK(K1203)*1+ISBLANK(L1203)*1+ISBLANK(M1203)*1+ISBLANK(N1203)*1+ISBLANK(O1203)*1)&gt;0,"Missing Data","OK")</f>
        <v>OK</v>
      </c>
      <c r="V1203" s="0" t="str">
        <f aca="false">IF(T1203&gt;=6,"High Risk",IF(T1203&gt;=3,"Medium Risk","Low Risk"))</f>
        <v>Medium Risk</v>
      </c>
    </row>
    <row r="1204" customFormat="false" ht="12.8" hidden="false" customHeight="false" outlineLevel="0" collapsed="false">
      <c r="A1204" s="1" t="s">
        <v>1234</v>
      </c>
      <c r="B1204" s="1" t="s">
        <v>36</v>
      </c>
      <c r="C1204" s="1" t="s">
        <v>34</v>
      </c>
      <c r="D1204" s="1" t="n">
        <v>10.3</v>
      </c>
      <c r="E1204" s="1" t="n">
        <v>5</v>
      </c>
      <c r="F1204" s="4" t="n">
        <v>45413</v>
      </c>
      <c r="G1204" s="1" t="s">
        <v>30</v>
      </c>
      <c r="H1204" s="1" t="n">
        <v>1</v>
      </c>
      <c r="I1204" s="1" t="n">
        <v>70.5</v>
      </c>
      <c r="J1204" s="1" t="n">
        <v>24</v>
      </c>
      <c r="K1204" s="1" t="n">
        <v>9</v>
      </c>
      <c r="L1204" s="1" t="n">
        <v>0</v>
      </c>
      <c r="M1204" s="1" t="n">
        <v>0</v>
      </c>
      <c r="N1204" s="1" t="n">
        <v>51.5</v>
      </c>
      <c r="O1204" s="1" t="n">
        <v>0</v>
      </c>
      <c r="Q1204" s="4" t="n">
        <v>45565</v>
      </c>
      <c r="R1204" s="0" t="n">
        <f aca="false">IF(ISBLANK(F1204),"Missing",IFERROR(YEAR(F1204),"Missing"))</f>
        <v>2024</v>
      </c>
      <c r="S1204" s="0" t="str">
        <f aca="false">IF(ISBLANK(E1204),"Missing",IF(E1204&lt;6,"0-6mo",IF(E1204&lt;12,"6-12mo",IF(E1204&lt;24,"12-24mo","24mo+"))))</f>
        <v>0-6mo</v>
      </c>
      <c r="T1204" s="0" t="n">
        <f aca="false">IF(ISBLANK(C1204),0,IF(C1204="Month-to-month",2,IF(C1204="One year",1,0)))+IF(ISBLANK(I1204),0,IF(I1204&lt;40,2,IF(I1204&lt;55,1,0)))+IF(ISBLANK(M1204),0,IF(M1204=1,3,0))+IF(ISBLANK(L1204),0,IF(L1204&gt;=2,1,0))+IF(ISBLANK(E1204),0,IF(E1204&lt;12,1,0))</f>
        <v>2</v>
      </c>
      <c r="U1204" s="0" t="str">
        <f aca="false">IF((ISBLANK(B1204)*1+ISBLANK(C1204)*1+ISBLANK(D1204)*1+ISBLANK(E1204)*1+ISBLANK(F1204)*1+ISBLANK(I1204)*1+ISBLANK(J1204)*1+ISBLANK(K1204)*1+ISBLANK(L1204)*1+ISBLANK(M1204)*1+ISBLANK(N1204)*1+ISBLANK(O1204)*1)&gt;0,"Missing Data","OK")</f>
        <v>OK</v>
      </c>
      <c r="V1204" s="0" t="str">
        <f aca="false">IF(T1204&gt;=6,"High Risk",IF(T1204&gt;=3,"Medium Risk","Low Risk"))</f>
        <v>Low Risk</v>
      </c>
    </row>
    <row r="1205" customFormat="false" ht="12.8" hidden="false" customHeight="false" outlineLevel="0" collapsed="false">
      <c r="A1205" s="1" t="s">
        <v>1235</v>
      </c>
      <c r="B1205" s="1" t="s">
        <v>36</v>
      </c>
      <c r="C1205" s="1" t="s">
        <v>24</v>
      </c>
      <c r="D1205" s="1" t="n">
        <v>9.31</v>
      </c>
      <c r="E1205" s="1" t="n">
        <v>6</v>
      </c>
      <c r="F1205" s="4" t="n">
        <v>45414</v>
      </c>
      <c r="G1205" s="1" t="s">
        <v>39</v>
      </c>
      <c r="H1205" s="1" t="n">
        <v>1</v>
      </c>
      <c r="I1205" s="1" t="n">
        <v>61.6</v>
      </c>
      <c r="J1205" s="1" t="n">
        <v>15</v>
      </c>
      <c r="K1205" s="1" t="n">
        <v>5</v>
      </c>
      <c r="L1205" s="1" t="n">
        <v>2</v>
      </c>
      <c r="M1205" s="1" t="n">
        <v>0</v>
      </c>
      <c r="N1205" s="1" t="n">
        <v>55.86</v>
      </c>
      <c r="O1205" s="1" t="n">
        <v>1</v>
      </c>
      <c r="P1205" s="4" t="n">
        <v>45596</v>
      </c>
      <c r="Q1205" s="4" t="n">
        <v>45596</v>
      </c>
      <c r="R1205" s="0" t="n">
        <f aca="false">IF(ISBLANK(F1205),"Missing",IFERROR(YEAR(F1205),"Missing"))</f>
        <v>2024</v>
      </c>
      <c r="S1205" s="0" t="str">
        <f aca="false">IF(ISBLANK(E1205),"Missing",IF(E1205&lt;6,"0-6mo",IF(E1205&lt;12,"6-12mo",IF(E1205&lt;24,"12-24mo","24mo+"))))</f>
        <v>6-12mo</v>
      </c>
      <c r="T1205" s="0" t="n">
        <f aca="false">IF(ISBLANK(C1205),0,IF(C1205="Month-to-month",2,IF(C1205="One year",1,0)))+IF(ISBLANK(I1205),0,IF(I1205&lt;40,2,IF(I1205&lt;55,1,0)))+IF(ISBLANK(M1205),0,IF(M1205=1,3,0))+IF(ISBLANK(L1205),0,IF(L1205&gt;=2,1,0))+IF(ISBLANK(E1205),0,IF(E1205&lt;12,1,0))</f>
        <v>4</v>
      </c>
      <c r="U1205" s="0" t="str">
        <f aca="false">IF((ISBLANK(B1205)*1+ISBLANK(C1205)*1+ISBLANK(D1205)*1+ISBLANK(E1205)*1+ISBLANK(F1205)*1+ISBLANK(I1205)*1+ISBLANK(J1205)*1+ISBLANK(K1205)*1+ISBLANK(L1205)*1+ISBLANK(M1205)*1+ISBLANK(N1205)*1+ISBLANK(O1205)*1)&gt;0,"Missing Data","OK")</f>
        <v>OK</v>
      </c>
      <c r="V1205" s="0" t="str">
        <f aca="false">IF(T1205&gt;=6,"High Risk",IF(T1205&gt;=3,"Medium Risk","Low Risk"))</f>
        <v>Medium Risk</v>
      </c>
    </row>
    <row r="1206" customFormat="false" ht="12.8" hidden="false" customHeight="false" outlineLevel="0" collapsed="false">
      <c r="A1206" s="1" t="s">
        <v>1236</v>
      </c>
      <c r="B1206" s="1" t="s">
        <v>36</v>
      </c>
      <c r="C1206" s="1" t="s">
        <v>24</v>
      </c>
      <c r="D1206" s="1" t="n">
        <v>9.19</v>
      </c>
      <c r="E1206" s="1" t="n">
        <v>1</v>
      </c>
      <c r="F1206" s="4" t="n">
        <v>45416</v>
      </c>
      <c r="G1206" s="1" t="s">
        <v>25</v>
      </c>
      <c r="H1206" s="1" t="n">
        <v>0</v>
      </c>
      <c r="I1206" s="1" t="n">
        <v>42.8</v>
      </c>
      <c r="J1206" s="1" t="n">
        <v>17</v>
      </c>
      <c r="K1206" s="1" t="n">
        <v>4</v>
      </c>
      <c r="L1206" s="1" t="n">
        <v>0</v>
      </c>
      <c r="M1206" s="1" t="n">
        <v>0</v>
      </c>
      <c r="N1206" s="1" t="n">
        <v>9.19</v>
      </c>
      <c r="O1206" s="1" t="n">
        <v>0</v>
      </c>
      <c r="Q1206" s="4" t="n">
        <v>45446</v>
      </c>
      <c r="R1206" s="0" t="n">
        <f aca="false">IF(ISBLANK(F1206),"Missing",IFERROR(YEAR(F1206),"Missing"))</f>
        <v>2024</v>
      </c>
      <c r="S1206" s="0" t="str">
        <f aca="false">IF(ISBLANK(E1206),"Missing",IF(E1206&lt;6,"0-6mo",IF(E1206&lt;12,"6-12mo",IF(E1206&lt;24,"12-24mo","24mo+"))))</f>
        <v>0-6mo</v>
      </c>
      <c r="T1206" s="0" t="n">
        <f aca="false">IF(ISBLANK(C1206),0,IF(C1206="Month-to-month",2,IF(C1206="One year",1,0)))+IF(ISBLANK(I1206),0,IF(I1206&lt;40,2,IF(I1206&lt;55,1,0)))+IF(ISBLANK(M1206),0,IF(M1206=1,3,0))+IF(ISBLANK(L1206),0,IF(L1206&gt;=2,1,0))+IF(ISBLANK(E1206),0,IF(E1206&lt;12,1,0))</f>
        <v>4</v>
      </c>
      <c r="U1206" s="0" t="str">
        <f aca="false">IF((ISBLANK(B1206)*1+ISBLANK(C1206)*1+ISBLANK(D1206)*1+ISBLANK(E1206)*1+ISBLANK(F1206)*1+ISBLANK(I1206)*1+ISBLANK(J1206)*1+ISBLANK(K1206)*1+ISBLANK(L1206)*1+ISBLANK(M1206)*1+ISBLANK(N1206)*1+ISBLANK(O1206)*1)&gt;0,"Missing Data","OK")</f>
        <v>OK</v>
      </c>
      <c r="V1206" s="0" t="str">
        <f aca="false">IF(T1206&gt;=6,"High Risk",IF(T1206&gt;=3,"Medium Risk","Low Risk"))</f>
        <v>Medium Risk</v>
      </c>
    </row>
    <row r="1207" customFormat="false" ht="12.8" hidden="false" customHeight="false" outlineLevel="0" collapsed="false">
      <c r="A1207" s="1" t="s">
        <v>1237</v>
      </c>
      <c r="B1207" s="1" t="s">
        <v>29</v>
      </c>
      <c r="C1207" s="1" t="s">
        <v>24</v>
      </c>
      <c r="D1207" s="1" t="n">
        <v>42.2</v>
      </c>
      <c r="E1207" s="1" t="n">
        <v>9</v>
      </c>
      <c r="F1207" s="4" t="n">
        <v>45416</v>
      </c>
      <c r="G1207" s="1" t="s">
        <v>39</v>
      </c>
      <c r="H1207" s="1" t="n">
        <v>1</v>
      </c>
      <c r="I1207" s="1" t="n">
        <v>64.9</v>
      </c>
      <c r="J1207" s="1" t="n">
        <v>24</v>
      </c>
      <c r="K1207" s="1" t="n">
        <v>6</v>
      </c>
      <c r="L1207" s="1" t="n">
        <v>1</v>
      </c>
      <c r="M1207" s="1" t="n">
        <v>0</v>
      </c>
      <c r="N1207" s="1" t="n">
        <v>379.8</v>
      </c>
      <c r="O1207" s="1" t="n">
        <v>0</v>
      </c>
      <c r="Q1207" s="4" t="n">
        <v>45689</v>
      </c>
      <c r="R1207" s="0" t="n">
        <f aca="false">IF(ISBLANK(F1207),"Missing",IFERROR(YEAR(F1207),"Missing"))</f>
        <v>2024</v>
      </c>
      <c r="S1207" s="0" t="str">
        <f aca="false">IF(ISBLANK(E1207),"Missing",IF(E1207&lt;6,"0-6mo",IF(E1207&lt;12,"6-12mo",IF(E1207&lt;24,"12-24mo","24mo+"))))</f>
        <v>6-12mo</v>
      </c>
      <c r="T1207" s="0" t="n">
        <f aca="false">IF(ISBLANK(C1207),0,IF(C1207="Month-to-month",2,IF(C1207="One year",1,0)))+IF(ISBLANK(I1207),0,IF(I1207&lt;40,2,IF(I1207&lt;55,1,0)))+IF(ISBLANK(M1207),0,IF(M1207=1,3,0))+IF(ISBLANK(L1207),0,IF(L1207&gt;=2,1,0))+IF(ISBLANK(E1207),0,IF(E1207&lt;12,1,0))</f>
        <v>3</v>
      </c>
      <c r="U1207" s="0" t="str">
        <f aca="false">IF((ISBLANK(B1207)*1+ISBLANK(C1207)*1+ISBLANK(D1207)*1+ISBLANK(E1207)*1+ISBLANK(F1207)*1+ISBLANK(I1207)*1+ISBLANK(J1207)*1+ISBLANK(K1207)*1+ISBLANK(L1207)*1+ISBLANK(M1207)*1+ISBLANK(N1207)*1+ISBLANK(O1207)*1)&gt;0,"Missing Data","OK")</f>
        <v>OK</v>
      </c>
      <c r="V1207" s="0" t="str">
        <f aca="false">IF(T1207&gt;=6,"High Risk",IF(T1207&gt;=3,"Medium Risk","Low Risk"))</f>
        <v>Medium Risk</v>
      </c>
    </row>
    <row r="1208" customFormat="false" ht="12.8" hidden="false" customHeight="false" outlineLevel="0" collapsed="false">
      <c r="A1208" s="1" t="s">
        <v>1238</v>
      </c>
      <c r="B1208" s="1" t="s">
        <v>23</v>
      </c>
      <c r="C1208" s="1" t="s">
        <v>24</v>
      </c>
      <c r="D1208" s="1" t="n">
        <v>21.69</v>
      </c>
      <c r="E1208" s="1" t="n">
        <v>26</v>
      </c>
      <c r="F1208" s="4" t="n">
        <v>45418</v>
      </c>
      <c r="G1208" s="1" t="s">
        <v>30</v>
      </c>
      <c r="H1208" s="1" t="n">
        <v>1</v>
      </c>
      <c r="I1208" s="1" t="n">
        <v>26.3</v>
      </c>
      <c r="J1208" s="1" t="n">
        <v>19</v>
      </c>
      <c r="K1208" s="1" t="n">
        <v>2</v>
      </c>
      <c r="L1208" s="1" t="n">
        <v>2</v>
      </c>
      <c r="M1208" s="1" t="n">
        <v>0</v>
      </c>
      <c r="N1208" s="1" t="n">
        <v>563.94</v>
      </c>
      <c r="O1208" s="1" t="n">
        <v>0</v>
      </c>
      <c r="Q1208" s="4" t="n">
        <v>46209</v>
      </c>
      <c r="R1208" s="0" t="n">
        <f aca="false">IF(ISBLANK(F1208),"Missing",IFERROR(YEAR(F1208),"Missing"))</f>
        <v>2024</v>
      </c>
      <c r="S1208" s="0" t="str">
        <f aca="false">IF(ISBLANK(E1208),"Missing",IF(E1208&lt;6,"0-6mo",IF(E1208&lt;12,"6-12mo",IF(E1208&lt;24,"12-24mo","24mo+"))))</f>
        <v>24mo+</v>
      </c>
      <c r="T1208" s="0" t="n">
        <f aca="false">IF(ISBLANK(C1208),0,IF(C1208="Month-to-month",2,IF(C1208="One year",1,0)))+IF(ISBLANK(I1208),0,IF(I1208&lt;40,2,IF(I1208&lt;55,1,0)))+IF(ISBLANK(M1208),0,IF(M1208=1,3,0))+IF(ISBLANK(L1208),0,IF(L1208&gt;=2,1,0))+IF(ISBLANK(E1208),0,IF(E1208&lt;12,1,0))</f>
        <v>5</v>
      </c>
      <c r="U1208" s="0" t="str">
        <f aca="false">IF((ISBLANK(B1208)*1+ISBLANK(C1208)*1+ISBLANK(D1208)*1+ISBLANK(E1208)*1+ISBLANK(F1208)*1+ISBLANK(I1208)*1+ISBLANK(J1208)*1+ISBLANK(K1208)*1+ISBLANK(L1208)*1+ISBLANK(M1208)*1+ISBLANK(N1208)*1+ISBLANK(O1208)*1)&gt;0,"Missing Data","OK")</f>
        <v>OK</v>
      </c>
      <c r="V1208" s="0" t="str">
        <f aca="false">IF(T1208&gt;=6,"High Risk",IF(T1208&gt;=3,"Medium Risk","Low Risk"))</f>
        <v>Medium Risk</v>
      </c>
    </row>
    <row r="1209" customFormat="false" ht="12.8" hidden="false" customHeight="false" outlineLevel="0" collapsed="false">
      <c r="A1209" s="1" t="s">
        <v>1239</v>
      </c>
      <c r="B1209" s="1" t="s">
        <v>23</v>
      </c>
      <c r="C1209" s="1" t="s">
        <v>51</v>
      </c>
      <c r="D1209" s="1" t="n">
        <v>21.16</v>
      </c>
      <c r="E1209" s="1" t="n">
        <v>13</v>
      </c>
      <c r="F1209" s="4" t="n">
        <v>45421</v>
      </c>
      <c r="G1209" s="1" t="s">
        <v>30</v>
      </c>
      <c r="H1209" s="1" t="n">
        <v>0</v>
      </c>
      <c r="I1209" s="1" t="n">
        <v>81</v>
      </c>
      <c r="J1209" s="1" t="n">
        <v>23</v>
      </c>
      <c r="K1209" s="1" t="n">
        <v>10</v>
      </c>
      <c r="L1209" s="1" t="n">
        <v>2</v>
      </c>
      <c r="M1209" s="1" t="n">
        <v>1</v>
      </c>
      <c r="N1209" s="1" t="n">
        <v>275.08</v>
      </c>
      <c r="O1209" s="1" t="n">
        <v>0</v>
      </c>
      <c r="Q1209" s="4" t="n">
        <v>45816</v>
      </c>
      <c r="R1209" s="0" t="n">
        <f aca="false">IF(ISBLANK(F1209),"Missing",IFERROR(YEAR(F1209),"Missing"))</f>
        <v>2024</v>
      </c>
      <c r="S1209" s="0" t="str">
        <f aca="false">IF(ISBLANK(E1209),"Missing",IF(E1209&lt;6,"0-6mo",IF(E1209&lt;12,"6-12mo",IF(E1209&lt;24,"12-24mo","24mo+"))))</f>
        <v>12-24mo</v>
      </c>
      <c r="T1209" s="0" t="n">
        <f aca="false">IF(ISBLANK(C1209),0,IF(C1209="Month-to-month",2,IF(C1209="One year",1,0)))+IF(ISBLANK(I1209),0,IF(I1209&lt;40,2,IF(I1209&lt;55,1,0)))+IF(ISBLANK(M1209),0,IF(M1209=1,3,0))+IF(ISBLANK(L1209),0,IF(L1209&gt;=2,1,0))+IF(ISBLANK(E1209),0,IF(E1209&lt;12,1,0))</f>
        <v>4</v>
      </c>
      <c r="U1209" s="0" t="str">
        <f aca="false">IF((ISBLANK(B1209)*1+ISBLANK(C1209)*1+ISBLANK(D1209)*1+ISBLANK(E1209)*1+ISBLANK(F1209)*1+ISBLANK(I1209)*1+ISBLANK(J1209)*1+ISBLANK(K1209)*1+ISBLANK(L1209)*1+ISBLANK(M1209)*1+ISBLANK(N1209)*1+ISBLANK(O1209)*1)&gt;0,"Missing Data","OK")</f>
        <v>OK</v>
      </c>
      <c r="V1209" s="0" t="str">
        <f aca="false">IF(T1209&gt;=6,"High Risk",IF(T1209&gt;=3,"Medium Risk","Low Risk"))</f>
        <v>Medium Risk</v>
      </c>
    </row>
    <row r="1210" customFormat="false" ht="12.8" hidden="false" customHeight="false" outlineLevel="0" collapsed="false">
      <c r="A1210" s="1" t="s">
        <v>1240</v>
      </c>
      <c r="B1210" s="1" t="s">
        <v>29</v>
      </c>
      <c r="C1210" s="1" t="s">
        <v>24</v>
      </c>
      <c r="D1210" s="1" t="n">
        <v>39.79</v>
      </c>
      <c r="E1210" s="1" t="n">
        <v>8</v>
      </c>
      <c r="F1210" s="4" t="n">
        <v>45422</v>
      </c>
      <c r="G1210" s="1" t="s">
        <v>39</v>
      </c>
      <c r="H1210" s="1" t="n">
        <v>1</v>
      </c>
      <c r="I1210" s="1" t="n">
        <v>64.8</v>
      </c>
      <c r="J1210" s="1" t="n">
        <v>16</v>
      </c>
      <c r="K1210" s="1" t="n">
        <v>5</v>
      </c>
      <c r="L1210" s="1" t="n">
        <v>0</v>
      </c>
      <c r="M1210" s="1" t="n">
        <v>0</v>
      </c>
      <c r="N1210" s="1" t="n">
        <v>318.32</v>
      </c>
      <c r="O1210" s="1" t="n">
        <v>0</v>
      </c>
      <c r="Q1210" s="4" t="n">
        <v>45665</v>
      </c>
      <c r="R1210" s="0" t="n">
        <f aca="false">IF(ISBLANK(F1210),"Missing",IFERROR(YEAR(F1210),"Missing"))</f>
        <v>2024</v>
      </c>
      <c r="S1210" s="0" t="str">
        <f aca="false">IF(ISBLANK(E1210),"Missing",IF(E1210&lt;6,"0-6mo",IF(E1210&lt;12,"6-12mo",IF(E1210&lt;24,"12-24mo","24mo+"))))</f>
        <v>6-12mo</v>
      </c>
      <c r="T1210" s="0" t="n">
        <f aca="false">IF(ISBLANK(C1210),0,IF(C1210="Month-to-month",2,IF(C1210="One year",1,0)))+IF(ISBLANK(I1210),0,IF(I1210&lt;40,2,IF(I1210&lt;55,1,0)))+IF(ISBLANK(M1210),0,IF(M1210=1,3,0))+IF(ISBLANK(L1210),0,IF(L1210&gt;=2,1,0))+IF(ISBLANK(E1210),0,IF(E1210&lt;12,1,0))</f>
        <v>3</v>
      </c>
      <c r="U1210" s="0" t="str">
        <f aca="false">IF((ISBLANK(B1210)*1+ISBLANK(C1210)*1+ISBLANK(D1210)*1+ISBLANK(E1210)*1+ISBLANK(F1210)*1+ISBLANK(I1210)*1+ISBLANK(J1210)*1+ISBLANK(K1210)*1+ISBLANK(L1210)*1+ISBLANK(M1210)*1+ISBLANK(N1210)*1+ISBLANK(O1210)*1)&gt;0,"Missing Data","OK")</f>
        <v>OK</v>
      </c>
      <c r="V1210" s="0" t="str">
        <f aca="false">IF(T1210&gt;=6,"High Risk",IF(T1210&gt;=3,"Medium Risk","Low Risk"))</f>
        <v>Medium Risk</v>
      </c>
    </row>
    <row r="1211" customFormat="false" ht="12.8" hidden="false" customHeight="false" outlineLevel="0" collapsed="false">
      <c r="A1211" s="1" t="s">
        <v>1241</v>
      </c>
      <c r="B1211" s="1" t="s">
        <v>36</v>
      </c>
      <c r="C1211" s="1" t="s">
        <v>24</v>
      </c>
      <c r="D1211" s="1" t="n">
        <v>9.06</v>
      </c>
      <c r="E1211" s="1" t="n">
        <v>42</v>
      </c>
      <c r="F1211" s="4" t="n">
        <v>45422</v>
      </c>
      <c r="G1211" s="1" t="s">
        <v>25</v>
      </c>
      <c r="H1211" s="1" t="n">
        <v>0</v>
      </c>
      <c r="I1211" s="1" t="n">
        <v>26.5</v>
      </c>
      <c r="J1211" s="1" t="n">
        <v>9</v>
      </c>
      <c r="K1211" s="1" t="n">
        <v>4</v>
      </c>
      <c r="L1211" s="1" t="n">
        <v>2</v>
      </c>
      <c r="M1211" s="1" t="n">
        <v>1</v>
      </c>
      <c r="N1211" s="1" t="n">
        <v>380.52</v>
      </c>
      <c r="O1211" s="1" t="n">
        <v>1</v>
      </c>
      <c r="P1211" s="4" t="n">
        <v>46293</v>
      </c>
      <c r="Q1211" s="4" t="n">
        <v>46293</v>
      </c>
      <c r="R1211" s="0" t="n">
        <f aca="false">IF(ISBLANK(F1211),"Missing",IFERROR(YEAR(F1211),"Missing"))</f>
        <v>2024</v>
      </c>
      <c r="S1211" s="0" t="str">
        <f aca="false">IF(ISBLANK(E1211),"Missing",IF(E1211&lt;6,"0-6mo",IF(E1211&lt;12,"6-12mo",IF(E1211&lt;24,"12-24mo","24mo+"))))</f>
        <v>24mo+</v>
      </c>
      <c r="T1211" s="0" t="n">
        <f aca="false">IF(ISBLANK(C1211),0,IF(C1211="Month-to-month",2,IF(C1211="One year",1,0)))+IF(ISBLANK(I1211),0,IF(I1211&lt;40,2,IF(I1211&lt;55,1,0)))+IF(ISBLANK(M1211),0,IF(M1211=1,3,0))+IF(ISBLANK(L1211),0,IF(L1211&gt;=2,1,0))+IF(ISBLANK(E1211),0,IF(E1211&lt;12,1,0))</f>
        <v>8</v>
      </c>
      <c r="U1211" s="0" t="str">
        <f aca="false">IF((ISBLANK(B1211)*1+ISBLANK(C1211)*1+ISBLANK(D1211)*1+ISBLANK(E1211)*1+ISBLANK(F1211)*1+ISBLANK(I1211)*1+ISBLANK(J1211)*1+ISBLANK(K1211)*1+ISBLANK(L1211)*1+ISBLANK(M1211)*1+ISBLANK(N1211)*1+ISBLANK(O1211)*1)&gt;0,"Missing Data","OK")</f>
        <v>OK</v>
      </c>
      <c r="V1211" s="0" t="str">
        <f aca="false">IF(T1211&gt;=6,"High Risk",IF(T1211&gt;=3,"Medium Risk","Low Risk"))</f>
        <v>High Risk</v>
      </c>
    </row>
    <row r="1212" customFormat="false" ht="12.8" hidden="false" customHeight="false" outlineLevel="0" collapsed="false">
      <c r="A1212" s="1" t="s">
        <v>1242</v>
      </c>
      <c r="B1212" s="1" t="s">
        <v>29</v>
      </c>
      <c r="C1212" s="1" t="s">
        <v>24</v>
      </c>
      <c r="D1212" s="1" t="n">
        <v>37.55</v>
      </c>
      <c r="E1212" s="1" t="n">
        <v>6</v>
      </c>
      <c r="F1212" s="4" t="n">
        <v>45423</v>
      </c>
      <c r="G1212" s="1" t="s">
        <v>39</v>
      </c>
      <c r="H1212" s="1" t="n">
        <v>1</v>
      </c>
      <c r="I1212" s="1" t="n">
        <v>16.3</v>
      </c>
      <c r="J1212" s="1" t="n">
        <v>0</v>
      </c>
      <c r="K1212" s="1" t="n">
        <v>2</v>
      </c>
      <c r="L1212" s="1" t="n">
        <v>3</v>
      </c>
      <c r="M1212" s="1" t="n">
        <v>1</v>
      </c>
      <c r="N1212" s="1" t="n">
        <v>225.3</v>
      </c>
      <c r="O1212" s="1" t="n">
        <v>1</v>
      </c>
      <c r="P1212" s="4" t="n">
        <v>45605</v>
      </c>
      <c r="Q1212" s="4" t="n">
        <v>45605</v>
      </c>
      <c r="R1212" s="0" t="n">
        <f aca="false">IF(ISBLANK(F1212),"Missing",IFERROR(YEAR(F1212),"Missing"))</f>
        <v>2024</v>
      </c>
      <c r="S1212" s="0" t="str">
        <f aca="false">IF(ISBLANK(E1212),"Missing",IF(E1212&lt;6,"0-6mo",IF(E1212&lt;12,"6-12mo",IF(E1212&lt;24,"12-24mo","24mo+"))))</f>
        <v>6-12mo</v>
      </c>
      <c r="T1212" s="0" t="n">
        <f aca="false">IF(ISBLANK(C1212),0,IF(C1212="Month-to-month",2,IF(C1212="One year",1,0)))+IF(ISBLANK(I1212),0,IF(I1212&lt;40,2,IF(I1212&lt;55,1,0)))+IF(ISBLANK(M1212),0,IF(M1212=1,3,0))+IF(ISBLANK(L1212),0,IF(L1212&gt;=2,1,0))+IF(ISBLANK(E1212),0,IF(E1212&lt;12,1,0))</f>
        <v>9</v>
      </c>
      <c r="U1212" s="0" t="str">
        <f aca="false">IF((ISBLANK(B1212)*1+ISBLANK(C1212)*1+ISBLANK(D1212)*1+ISBLANK(E1212)*1+ISBLANK(F1212)*1+ISBLANK(I1212)*1+ISBLANK(J1212)*1+ISBLANK(K1212)*1+ISBLANK(L1212)*1+ISBLANK(M1212)*1+ISBLANK(N1212)*1+ISBLANK(O1212)*1)&gt;0,"Missing Data","OK")</f>
        <v>OK</v>
      </c>
      <c r="V1212" s="0" t="str">
        <f aca="false">IF(T1212&gt;=6,"High Risk",IF(T1212&gt;=3,"Medium Risk","Low Risk"))</f>
        <v>High Risk</v>
      </c>
    </row>
    <row r="1213" customFormat="false" ht="12.8" hidden="false" customHeight="false" outlineLevel="0" collapsed="false">
      <c r="A1213" s="1" t="s">
        <v>1243</v>
      </c>
      <c r="B1213" s="1" t="s">
        <v>36</v>
      </c>
      <c r="C1213" s="1" t="s">
        <v>34</v>
      </c>
      <c r="D1213" s="1" t="n">
        <v>7.35</v>
      </c>
      <c r="E1213" s="1" t="n">
        <v>3</v>
      </c>
      <c r="F1213" s="4" t="n">
        <v>45425</v>
      </c>
      <c r="G1213" s="1" t="s">
        <v>25</v>
      </c>
      <c r="H1213" s="1" t="n">
        <v>0</v>
      </c>
      <c r="I1213" s="1" t="n">
        <v>23.5</v>
      </c>
      <c r="J1213" s="1" t="n">
        <v>2</v>
      </c>
      <c r="K1213" s="1" t="n">
        <v>3</v>
      </c>
      <c r="L1213" s="1" t="n">
        <v>7</v>
      </c>
      <c r="M1213" s="1" t="n">
        <v>0</v>
      </c>
      <c r="N1213" s="1" t="n">
        <v>22.05</v>
      </c>
      <c r="O1213" s="1" t="n">
        <v>0</v>
      </c>
      <c r="Q1213" s="4" t="n">
        <v>45516</v>
      </c>
      <c r="R1213" s="0" t="n">
        <f aca="false">IF(ISBLANK(F1213),"Missing",IFERROR(YEAR(F1213),"Missing"))</f>
        <v>2024</v>
      </c>
      <c r="S1213" s="0" t="str">
        <f aca="false">IF(ISBLANK(E1213),"Missing",IF(E1213&lt;6,"0-6mo",IF(E1213&lt;12,"6-12mo",IF(E1213&lt;24,"12-24mo","24mo+"))))</f>
        <v>0-6mo</v>
      </c>
      <c r="T1213" s="0" t="n">
        <f aca="false">IF(ISBLANK(C1213),0,IF(C1213="Month-to-month",2,IF(C1213="One year",1,0)))+IF(ISBLANK(I1213),0,IF(I1213&lt;40,2,IF(I1213&lt;55,1,0)))+IF(ISBLANK(M1213),0,IF(M1213=1,3,0))+IF(ISBLANK(L1213),0,IF(L1213&gt;=2,1,0))+IF(ISBLANK(E1213),0,IF(E1213&lt;12,1,0))</f>
        <v>5</v>
      </c>
      <c r="U1213" s="0" t="str">
        <f aca="false">IF((ISBLANK(B1213)*1+ISBLANK(C1213)*1+ISBLANK(D1213)*1+ISBLANK(E1213)*1+ISBLANK(F1213)*1+ISBLANK(I1213)*1+ISBLANK(J1213)*1+ISBLANK(K1213)*1+ISBLANK(L1213)*1+ISBLANK(M1213)*1+ISBLANK(N1213)*1+ISBLANK(O1213)*1)&gt;0,"Missing Data","OK")</f>
        <v>OK</v>
      </c>
      <c r="V1213" s="0" t="str">
        <f aca="false">IF(T1213&gt;=6,"High Risk",IF(T1213&gt;=3,"Medium Risk","Low Risk"))</f>
        <v>Medium Risk</v>
      </c>
    </row>
    <row r="1214" customFormat="false" ht="12.8" hidden="false" customHeight="false" outlineLevel="0" collapsed="false">
      <c r="A1214" s="1" t="s">
        <v>1244</v>
      </c>
      <c r="B1214" s="1" t="s">
        <v>23</v>
      </c>
      <c r="C1214" s="1" t="s">
        <v>24</v>
      </c>
      <c r="D1214" s="1" t="n">
        <v>19.7</v>
      </c>
      <c r="E1214" s="1" t="n">
        <v>9</v>
      </c>
      <c r="F1214" s="4" t="n">
        <v>45426</v>
      </c>
      <c r="G1214" s="1" t="s">
        <v>25</v>
      </c>
      <c r="H1214" s="1" t="n">
        <v>1</v>
      </c>
      <c r="I1214" s="1" t="n">
        <v>46.1</v>
      </c>
      <c r="J1214" s="1" t="n">
        <v>14</v>
      </c>
      <c r="K1214" s="1" t="n">
        <v>4</v>
      </c>
      <c r="L1214" s="1" t="n">
        <v>0</v>
      </c>
      <c r="M1214" s="1" t="n">
        <v>0</v>
      </c>
      <c r="N1214" s="1" t="n">
        <v>177.3</v>
      </c>
      <c r="O1214" s="1" t="n">
        <v>1</v>
      </c>
      <c r="P1214" s="4" t="n">
        <v>45699</v>
      </c>
      <c r="Q1214" s="4" t="n">
        <v>45699</v>
      </c>
      <c r="R1214" s="0" t="n">
        <f aca="false">IF(ISBLANK(F1214),"Missing",IFERROR(YEAR(F1214),"Missing"))</f>
        <v>2024</v>
      </c>
      <c r="S1214" s="0" t="str">
        <f aca="false">IF(ISBLANK(E1214),"Missing",IF(E1214&lt;6,"0-6mo",IF(E1214&lt;12,"6-12mo",IF(E1214&lt;24,"12-24mo","24mo+"))))</f>
        <v>6-12mo</v>
      </c>
      <c r="T1214" s="0" t="n">
        <f aca="false">IF(ISBLANK(C1214),0,IF(C1214="Month-to-month",2,IF(C1214="One year",1,0)))+IF(ISBLANK(I1214),0,IF(I1214&lt;40,2,IF(I1214&lt;55,1,0)))+IF(ISBLANK(M1214),0,IF(M1214=1,3,0))+IF(ISBLANK(L1214),0,IF(L1214&gt;=2,1,0))+IF(ISBLANK(E1214),0,IF(E1214&lt;12,1,0))</f>
        <v>4</v>
      </c>
      <c r="U1214" s="0" t="str">
        <f aca="false">IF((ISBLANK(B1214)*1+ISBLANK(C1214)*1+ISBLANK(D1214)*1+ISBLANK(E1214)*1+ISBLANK(F1214)*1+ISBLANK(I1214)*1+ISBLANK(J1214)*1+ISBLANK(K1214)*1+ISBLANK(L1214)*1+ISBLANK(M1214)*1+ISBLANK(N1214)*1+ISBLANK(O1214)*1)&gt;0,"Missing Data","OK")</f>
        <v>OK</v>
      </c>
      <c r="V1214" s="0" t="str">
        <f aca="false">IF(T1214&gt;=6,"High Risk",IF(T1214&gt;=3,"Medium Risk","Low Risk"))</f>
        <v>Medium Risk</v>
      </c>
    </row>
    <row r="1215" customFormat="false" ht="12.8" hidden="false" customHeight="false" outlineLevel="0" collapsed="false">
      <c r="A1215" s="1" t="s">
        <v>1245</v>
      </c>
      <c r="B1215" s="1" t="s">
        <v>36</v>
      </c>
      <c r="C1215" s="1" t="s">
        <v>51</v>
      </c>
      <c r="D1215" s="1" t="n">
        <v>10.98</v>
      </c>
      <c r="E1215" s="1" t="n">
        <v>16</v>
      </c>
      <c r="F1215" s="4" t="n">
        <v>45426</v>
      </c>
      <c r="G1215" s="1" t="s">
        <v>30</v>
      </c>
      <c r="H1215" s="1" t="n">
        <v>1</v>
      </c>
      <c r="I1215" s="1" t="n">
        <v>36.5</v>
      </c>
      <c r="J1215" s="1" t="n">
        <v>13</v>
      </c>
      <c r="K1215" s="1" t="n">
        <v>1</v>
      </c>
      <c r="L1215" s="1" t="n">
        <v>2</v>
      </c>
      <c r="M1215" s="1" t="n">
        <v>1</v>
      </c>
      <c r="N1215" s="1" t="n">
        <v>175.68</v>
      </c>
      <c r="O1215" s="1" t="n">
        <v>0</v>
      </c>
      <c r="Q1215" s="4" t="n">
        <v>45913</v>
      </c>
      <c r="R1215" s="0" t="n">
        <f aca="false">IF(ISBLANK(F1215),"Missing",IFERROR(YEAR(F1215),"Missing"))</f>
        <v>2024</v>
      </c>
      <c r="S1215" s="0" t="str">
        <f aca="false">IF(ISBLANK(E1215),"Missing",IF(E1215&lt;6,"0-6mo",IF(E1215&lt;12,"6-12mo",IF(E1215&lt;24,"12-24mo","24mo+"))))</f>
        <v>12-24mo</v>
      </c>
      <c r="T1215" s="0" t="n">
        <f aca="false">IF(ISBLANK(C1215),0,IF(C1215="Month-to-month",2,IF(C1215="One year",1,0)))+IF(ISBLANK(I1215),0,IF(I1215&lt;40,2,IF(I1215&lt;55,1,0)))+IF(ISBLANK(M1215),0,IF(M1215=1,3,0))+IF(ISBLANK(L1215),0,IF(L1215&gt;=2,1,0))+IF(ISBLANK(E1215),0,IF(E1215&lt;12,1,0))</f>
        <v>6</v>
      </c>
      <c r="U1215" s="0" t="str">
        <f aca="false">IF((ISBLANK(B1215)*1+ISBLANK(C1215)*1+ISBLANK(D1215)*1+ISBLANK(E1215)*1+ISBLANK(F1215)*1+ISBLANK(I1215)*1+ISBLANK(J1215)*1+ISBLANK(K1215)*1+ISBLANK(L1215)*1+ISBLANK(M1215)*1+ISBLANK(N1215)*1+ISBLANK(O1215)*1)&gt;0,"Missing Data","OK")</f>
        <v>OK</v>
      </c>
      <c r="V1215" s="0" t="str">
        <f aca="false">IF(T1215&gt;=6,"High Risk",IF(T1215&gt;=3,"Medium Risk","Low Risk"))</f>
        <v>High Risk</v>
      </c>
    </row>
    <row r="1216" customFormat="false" ht="12.8" hidden="false" customHeight="false" outlineLevel="0" collapsed="false">
      <c r="A1216" s="1" t="s">
        <v>1246</v>
      </c>
      <c r="B1216" s="1" t="s">
        <v>23</v>
      </c>
      <c r="C1216" s="1" t="s">
        <v>24</v>
      </c>
      <c r="D1216" s="1" t="n">
        <v>20.5</v>
      </c>
      <c r="E1216" s="1" t="n">
        <v>27</v>
      </c>
      <c r="F1216" s="4" t="n">
        <v>45427</v>
      </c>
      <c r="G1216" s="1" t="s">
        <v>25</v>
      </c>
      <c r="H1216" s="1" t="n">
        <v>1</v>
      </c>
      <c r="I1216" s="1" t="n">
        <v>64.5</v>
      </c>
      <c r="J1216" s="1" t="n">
        <v>21</v>
      </c>
      <c r="K1216" s="1" t="n">
        <v>7</v>
      </c>
      <c r="L1216" s="1" t="n">
        <v>2</v>
      </c>
      <c r="M1216" s="1" t="n">
        <v>1</v>
      </c>
      <c r="N1216" s="1" t="n">
        <v>553.5</v>
      </c>
      <c r="O1216" s="1" t="n">
        <v>0</v>
      </c>
      <c r="Q1216" s="4" t="n">
        <v>46248</v>
      </c>
      <c r="R1216" s="0" t="n">
        <f aca="false">IF(ISBLANK(F1216),"Missing",IFERROR(YEAR(F1216),"Missing"))</f>
        <v>2024</v>
      </c>
      <c r="S1216" s="0" t="str">
        <f aca="false">IF(ISBLANK(E1216),"Missing",IF(E1216&lt;6,"0-6mo",IF(E1216&lt;12,"6-12mo",IF(E1216&lt;24,"12-24mo","24mo+"))))</f>
        <v>24mo+</v>
      </c>
      <c r="T1216" s="0" t="n">
        <f aca="false">IF(ISBLANK(C1216),0,IF(C1216="Month-to-month",2,IF(C1216="One year",1,0)))+IF(ISBLANK(I1216),0,IF(I1216&lt;40,2,IF(I1216&lt;55,1,0)))+IF(ISBLANK(M1216),0,IF(M1216=1,3,0))+IF(ISBLANK(L1216),0,IF(L1216&gt;=2,1,0))+IF(ISBLANK(E1216),0,IF(E1216&lt;12,1,0))</f>
        <v>6</v>
      </c>
      <c r="U1216" s="0" t="str">
        <f aca="false">IF((ISBLANK(B1216)*1+ISBLANK(C1216)*1+ISBLANK(D1216)*1+ISBLANK(E1216)*1+ISBLANK(F1216)*1+ISBLANK(I1216)*1+ISBLANK(J1216)*1+ISBLANK(K1216)*1+ISBLANK(L1216)*1+ISBLANK(M1216)*1+ISBLANK(N1216)*1+ISBLANK(O1216)*1)&gt;0,"Missing Data","OK")</f>
        <v>OK</v>
      </c>
      <c r="V1216" s="0" t="str">
        <f aca="false">IF(T1216&gt;=6,"High Risk",IF(T1216&gt;=3,"Medium Risk","Low Risk"))</f>
        <v>High Risk</v>
      </c>
    </row>
    <row r="1217" customFormat="false" ht="12.8" hidden="false" customHeight="false" outlineLevel="0" collapsed="false">
      <c r="A1217" s="1" t="s">
        <v>1247</v>
      </c>
      <c r="B1217" s="1" t="s">
        <v>36</v>
      </c>
      <c r="C1217" s="1" t="s">
        <v>24</v>
      </c>
      <c r="D1217" s="1" t="n">
        <v>9.57</v>
      </c>
      <c r="E1217" s="1" t="n">
        <v>32</v>
      </c>
      <c r="F1217" s="4" t="n">
        <v>45427</v>
      </c>
      <c r="G1217" s="1" t="s">
        <v>25</v>
      </c>
      <c r="H1217" s="1" t="n">
        <v>1</v>
      </c>
      <c r="I1217" s="1" t="n">
        <v>33.8</v>
      </c>
      <c r="J1217" s="1" t="n">
        <v>14</v>
      </c>
      <c r="K1217" s="1" t="n">
        <v>6</v>
      </c>
      <c r="L1217" s="1" t="n">
        <v>1</v>
      </c>
      <c r="M1217" s="1" t="n">
        <v>0</v>
      </c>
      <c r="N1217" s="1" t="n">
        <v>306.24</v>
      </c>
      <c r="O1217" s="1" t="n">
        <v>0</v>
      </c>
      <c r="Q1217" s="4" t="n">
        <v>46293</v>
      </c>
      <c r="R1217" s="0" t="n">
        <f aca="false">IF(ISBLANK(F1217),"Missing",IFERROR(YEAR(F1217),"Missing"))</f>
        <v>2024</v>
      </c>
      <c r="S1217" s="0" t="str">
        <f aca="false">IF(ISBLANK(E1217),"Missing",IF(E1217&lt;6,"0-6mo",IF(E1217&lt;12,"6-12mo",IF(E1217&lt;24,"12-24mo","24mo+"))))</f>
        <v>24mo+</v>
      </c>
      <c r="T1217" s="0" t="n">
        <f aca="false">IF(ISBLANK(C1217),0,IF(C1217="Month-to-month",2,IF(C1217="One year",1,0)))+IF(ISBLANK(I1217),0,IF(I1217&lt;40,2,IF(I1217&lt;55,1,0)))+IF(ISBLANK(M1217),0,IF(M1217=1,3,0))+IF(ISBLANK(L1217),0,IF(L1217&gt;=2,1,0))+IF(ISBLANK(E1217),0,IF(E1217&lt;12,1,0))</f>
        <v>4</v>
      </c>
      <c r="U1217" s="0" t="str">
        <f aca="false">IF((ISBLANK(B1217)*1+ISBLANK(C1217)*1+ISBLANK(D1217)*1+ISBLANK(E1217)*1+ISBLANK(F1217)*1+ISBLANK(I1217)*1+ISBLANK(J1217)*1+ISBLANK(K1217)*1+ISBLANK(L1217)*1+ISBLANK(M1217)*1+ISBLANK(N1217)*1+ISBLANK(O1217)*1)&gt;0,"Missing Data","OK")</f>
        <v>OK</v>
      </c>
      <c r="V1217" s="0" t="str">
        <f aca="false">IF(T1217&gt;=6,"High Risk",IF(T1217&gt;=3,"Medium Risk","Low Risk"))</f>
        <v>Medium Risk</v>
      </c>
    </row>
    <row r="1218" customFormat="false" ht="12.8" hidden="false" customHeight="false" outlineLevel="0" collapsed="false">
      <c r="A1218" s="1" t="s">
        <v>1248</v>
      </c>
      <c r="B1218" s="1" t="s">
        <v>23</v>
      </c>
      <c r="C1218" s="1" t="s">
        <v>24</v>
      </c>
      <c r="D1218" s="1" t="n">
        <v>19.02</v>
      </c>
      <c r="E1218" s="1" t="n">
        <v>10</v>
      </c>
      <c r="F1218" s="4" t="n">
        <v>45429</v>
      </c>
      <c r="G1218" s="1" t="s">
        <v>25</v>
      </c>
      <c r="H1218" s="1" t="n">
        <v>0</v>
      </c>
      <c r="I1218" s="1" t="n">
        <v>51.4</v>
      </c>
      <c r="J1218" s="1" t="n">
        <v>18</v>
      </c>
      <c r="K1218" s="1" t="n">
        <v>7</v>
      </c>
      <c r="L1218" s="1" t="n">
        <v>2</v>
      </c>
      <c r="M1218" s="1" t="n">
        <v>1</v>
      </c>
      <c r="N1218" s="1" t="n">
        <v>190.2</v>
      </c>
      <c r="O1218" s="1" t="n">
        <v>0</v>
      </c>
      <c r="Q1218" s="4" t="n">
        <v>45733</v>
      </c>
      <c r="R1218" s="0" t="n">
        <f aca="false">IF(ISBLANK(F1218),"Missing",IFERROR(YEAR(F1218),"Missing"))</f>
        <v>2024</v>
      </c>
      <c r="S1218" s="0" t="str">
        <f aca="false">IF(ISBLANK(E1218),"Missing",IF(E1218&lt;6,"0-6mo",IF(E1218&lt;12,"6-12mo",IF(E1218&lt;24,"12-24mo","24mo+"))))</f>
        <v>6-12mo</v>
      </c>
      <c r="T1218" s="0" t="n">
        <f aca="false">IF(ISBLANK(C1218),0,IF(C1218="Month-to-month",2,IF(C1218="One year",1,0)))+IF(ISBLANK(I1218),0,IF(I1218&lt;40,2,IF(I1218&lt;55,1,0)))+IF(ISBLANK(M1218),0,IF(M1218=1,3,0))+IF(ISBLANK(L1218),0,IF(L1218&gt;=2,1,0))+IF(ISBLANK(E1218),0,IF(E1218&lt;12,1,0))</f>
        <v>8</v>
      </c>
      <c r="U1218" s="0" t="str">
        <f aca="false">IF((ISBLANK(B1218)*1+ISBLANK(C1218)*1+ISBLANK(D1218)*1+ISBLANK(E1218)*1+ISBLANK(F1218)*1+ISBLANK(I1218)*1+ISBLANK(J1218)*1+ISBLANK(K1218)*1+ISBLANK(L1218)*1+ISBLANK(M1218)*1+ISBLANK(N1218)*1+ISBLANK(O1218)*1)&gt;0,"Missing Data","OK")</f>
        <v>OK</v>
      </c>
      <c r="V1218" s="0" t="str">
        <f aca="false">IF(T1218&gt;=6,"High Risk",IF(T1218&gt;=3,"Medium Risk","Low Risk"))</f>
        <v>High Risk</v>
      </c>
    </row>
    <row r="1219" customFormat="false" ht="12.8" hidden="false" customHeight="false" outlineLevel="0" collapsed="false">
      <c r="A1219" s="1" t="s">
        <v>1249</v>
      </c>
      <c r="B1219" s="1" t="s">
        <v>23</v>
      </c>
      <c r="C1219" s="1" t="s">
        <v>24</v>
      </c>
      <c r="D1219" s="1" t="n">
        <v>20.16</v>
      </c>
      <c r="E1219" s="1" t="n">
        <v>17</v>
      </c>
      <c r="F1219" s="4" t="n">
        <v>45435</v>
      </c>
      <c r="G1219" s="1" t="s">
        <v>27</v>
      </c>
      <c r="H1219" s="1" t="n">
        <v>0</v>
      </c>
      <c r="I1219" s="1" t="n">
        <v>74.9</v>
      </c>
      <c r="J1219" s="1" t="n">
        <v>25</v>
      </c>
      <c r="K1219" s="1" t="n">
        <v>8</v>
      </c>
      <c r="L1219" s="1" t="n">
        <v>3</v>
      </c>
      <c r="M1219" s="1" t="n">
        <v>0</v>
      </c>
      <c r="N1219" s="1" t="n">
        <v>342.72</v>
      </c>
      <c r="O1219" s="1" t="n">
        <v>0</v>
      </c>
      <c r="Q1219" s="4" t="n">
        <v>45952</v>
      </c>
      <c r="R1219" s="0" t="n">
        <f aca="false">IF(ISBLANK(F1219),"Missing",IFERROR(YEAR(F1219),"Missing"))</f>
        <v>2024</v>
      </c>
      <c r="S1219" s="0" t="str">
        <f aca="false">IF(ISBLANK(E1219),"Missing",IF(E1219&lt;6,"0-6mo",IF(E1219&lt;12,"6-12mo",IF(E1219&lt;24,"12-24mo","24mo+"))))</f>
        <v>12-24mo</v>
      </c>
      <c r="T1219" s="0" t="n">
        <f aca="false">IF(ISBLANK(C1219),0,IF(C1219="Month-to-month",2,IF(C1219="One year",1,0)))+IF(ISBLANK(I1219),0,IF(I1219&lt;40,2,IF(I1219&lt;55,1,0)))+IF(ISBLANK(M1219),0,IF(M1219=1,3,0))+IF(ISBLANK(L1219),0,IF(L1219&gt;=2,1,0))+IF(ISBLANK(E1219),0,IF(E1219&lt;12,1,0))</f>
        <v>3</v>
      </c>
      <c r="U1219" s="0" t="str">
        <f aca="false">IF((ISBLANK(B1219)*1+ISBLANK(C1219)*1+ISBLANK(D1219)*1+ISBLANK(E1219)*1+ISBLANK(F1219)*1+ISBLANK(I1219)*1+ISBLANK(J1219)*1+ISBLANK(K1219)*1+ISBLANK(L1219)*1+ISBLANK(M1219)*1+ISBLANK(N1219)*1+ISBLANK(O1219)*1)&gt;0,"Missing Data","OK")</f>
        <v>OK</v>
      </c>
      <c r="V1219" s="0" t="str">
        <f aca="false">IF(T1219&gt;=6,"High Risk",IF(T1219&gt;=3,"Medium Risk","Low Risk"))</f>
        <v>Medium Risk</v>
      </c>
    </row>
    <row r="1220" customFormat="false" ht="12.8" hidden="false" customHeight="false" outlineLevel="0" collapsed="false">
      <c r="A1220" s="1" t="s">
        <v>1250</v>
      </c>
      <c r="B1220" s="1" t="s">
        <v>36</v>
      </c>
      <c r="C1220" s="1" t="s">
        <v>24</v>
      </c>
      <c r="D1220" s="1" t="n">
        <v>10.59</v>
      </c>
      <c r="E1220" s="1" t="n">
        <v>21</v>
      </c>
      <c r="F1220" s="4" t="n">
        <v>45436</v>
      </c>
      <c r="G1220" s="1" t="s">
        <v>25</v>
      </c>
      <c r="H1220" s="1" t="n">
        <v>0</v>
      </c>
      <c r="I1220" s="1" t="n">
        <v>76.7</v>
      </c>
      <c r="J1220" s="1" t="n">
        <v>22</v>
      </c>
      <c r="K1220" s="1" t="n">
        <v>6</v>
      </c>
      <c r="L1220" s="1" t="n">
        <v>1</v>
      </c>
      <c r="M1220" s="1" t="n">
        <v>0</v>
      </c>
      <c r="N1220" s="1" t="n">
        <v>222.39</v>
      </c>
      <c r="O1220" s="1" t="n">
        <v>0</v>
      </c>
      <c r="Q1220" s="4" t="n">
        <v>46075</v>
      </c>
      <c r="R1220" s="0" t="n">
        <f aca="false">IF(ISBLANK(F1220),"Missing",IFERROR(YEAR(F1220),"Missing"))</f>
        <v>2024</v>
      </c>
      <c r="S1220" s="0" t="str">
        <f aca="false">IF(ISBLANK(E1220),"Missing",IF(E1220&lt;6,"0-6mo",IF(E1220&lt;12,"6-12mo",IF(E1220&lt;24,"12-24mo","24mo+"))))</f>
        <v>12-24mo</v>
      </c>
      <c r="T1220" s="0" t="n">
        <f aca="false">IF(ISBLANK(C1220),0,IF(C1220="Month-to-month",2,IF(C1220="One year",1,0)))+IF(ISBLANK(I1220),0,IF(I1220&lt;40,2,IF(I1220&lt;55,1,0)))+IF(ISBLANK(M1220),0,IF(M1220=1,3,0))+IF(ISBLANK(L1220),0,IF(L1220&gt;=2,1,0))+IF(ISBLANK(E1220),0,IF(E1220&lt;12,1,0))</f>
        <v>2</v>
      </c>
      <c r="U1220" s="0" t="str">
        <f aca="false">IF((ISBLANK(B1220)*1+ISBLANK(C1220)*1+ISBLANK(D1220)*1+ISBLANK(E1220)*1+ISBLANK(F1220)*1+ISBLANK(I1220)*1+ISBLANK(J1220)*1+ISBLANK(K1220)*1+ISBLANK(L1220)*1+ISBLANK(M1220)*1+ISBLANK(N1220)*1+ISBLANK(O1220)*1)&gt;0,"Missing Data","OK")</f>
        <v>OK</v>
      </c>
      <c r="V1220" s="0" t="str">
        <f aca="false">IF(T1220&gt;=6,"High Risk",IF(T1220&gt;=3,"Medium Risk","Low Risk"))</f>
        <v>Low Risk</v>
      </c>
    </row>
    <row r="1221" customFormat="false" ht="12.8" hidden="false" customHeight="false" outlineLevel="0" collapsed="false">
      <c r="A1221" s="1" t="s">
        <v>1251</v>
      </c>
      <c r="B1221" s="1" t="s">
        <v>36</v>
      </c>
      <c r="C1221" s="1" t="s">
        <v>24</v>
      </c>
      <c r="D1221" s="1" t="n">
        <v>10.73</v>
      </c>
      <c r="E1221" s="1" t="n">
        <v>42</v>
      </c>
      <c r="F1221" s="4" t="n">
        <v>45437</v>
      </c>
      <c r="G1221" s="1" t="s">
        <v>25</v>
      </c>
      <c r="H1221" s="1" t="n">
        <v>0</v>
      </c>
      <c r="I1221" s="1" t="n">
        <v>36.9</v>
      </c>
      <c r="J1221" s="1" t="n">
        <v>9</v>
      </c>
      <c r="K1221" s="1" t="n">
        <v>4</v>
      </c>
      <c r="L1221" s="1" t="n">
        <v>1</v>
      </c>
      <c r="M1221" s="1" t="n">
        <v>0</v>
      </c>
      <c r="N1221" s="1" t="n">
        <v>450.66</v>
      </c>
      <c r="O1221" s="1" t="n">
        <v>0</v>
      </c>
      <c r="Q1221" s="4" t="n">
        <v>46293</v>
      </c>
      <c r="R1221" s="0" t="n">
        <f aca="false">IF(ISBLANK(F1221),"Missing",IFERROR(YEAR(F1221),"Missing"))</f>
        <v>2024</v>
      </c>
      <c r="S1221" s="0" t="str">
        <f aca="false">IF(ISBLANK(E1221),"Missing",IF(E1221&lt;6,"0-6mo",IF(E1221&lt;12,"6-12mo",IF(E1221&lt;24,"12-24mo","24mo+"))))</f>
        <v>24mo+</v>
      </c>
      <c r="T1221" s="0" t="n">
        <f aca="false">IF(ISBLANK(C1221),0,IF(C1221="Month-to-month",2,IF(C1221="One year",1,0)))+IF(ISBLANK(I1221),0,IF(I1221&lt;40,2,IF(I1221&lt;55,1,0)))+IF(ISBLANK(M1221),0,IF(M1221=1,3,0))+IF(ISBLANK(L1221),0,IF(L1221&gt;=2,1,0))+IF(ISBLANK(E1221),0,IF(E1221&lt;12,1,0))</f>
        <v>4</v>
      </c>
      <c r="U1221" s="0" t="str">
        <f aca="false">IF((ISBLANK(B1221)*1+ISBLANK(C1221)*1+ISBLANK(D1221)*1+ISBLANK(E1221)*1+ISBLANK(F1221)*1+ISBLANK(I1221)*1+ISBLANK(J1221)*1+ISBLANK(K1221)*1+ISBLANK(L1221)*1+ISBLANK(M1221)*1+ISBLANK(N1221)*1+ISBLANK(O1221)*1)&gt;0,"Missing Data","OK")</f>
        <v>OK</v>
      </c>
      <c r="V1221" s="0" t="str">
        <f aca="false">IF(T1221&gt;=6,"High Risk",IF(T1221&gt;=3,"Medium Risk","Low Risk"))</f>
        <v>Medium Risk</v>
      </c>
    </row>
    <row r="1222" customFormat="false" ht="12.8" hidden="false" customHeight="false" outlineLevel="0" collapsed="false">
      <c r="A1222" s="1" t="s">
        <v>1252</v>
      </c>
      <c r="B1222" s="1" t="s">
        <v>36</v>
      </c>
      <c r="C1222" s="1" t="s">
        <v>24</v>
      </c>
      <c r="D1222" s="1" t="n">
        <v>11.29</v>
      </c>
      <c r="E1222" s="1" t="n">
        <v>72</v>
      </c>
      <c r="F1222" s="4" t="n">
        <v>45437</v>
      </c>
      <c r="G1222" s="1" t="s">
        <v>25</v>
      </c>
      <c r="H1222" s="1" t="n">
        <v>1</v>
      </c>
      <c r="I1222" s="1" t="n">
        <v>47.7</v>
      </c>
      <c r="J1222" s="1" t="n">
        <v>20</v>
      </c>
      <c r="K1222" s="1" t="n">
        <v>6</v>
      </c>
      <c r="L1222" s="1" t="n">
        <v>1</v>
      </c>
      <c r="M1222" s="1" t="n">
        <v>1</v>
      </c>
      <c r="N1222" s="1" t="n">
        <v>812.88</v>
      </c>
      <c r="O1222" s="1" t="n">
        <v>1</v>
      </c>
      <c r="P1222" s="4" t="n">
        <v>46293</v>
      </c>
      <c r="Q1222" s="4" t="n">
        <v>46293</v>
      </c>
      <c r="R1222" s="0" t="n">
        <f aca="false">IF(ISBLANK(F1222),"Missing",IFERROR(YEAR(F1222),"Missing"))</f>
        <v>2024</v>
      </c>
      <c r="S1222" s="0" t="str">
        <f aca="false">IF(ISBLANK(E1222),"Missing",IF(E1222&lt;6,"0-6mo",IF(E1222&lt;12,"6-12mo",IF(E1222&lt;24,"12-24mo","24mo+"))))</f>
        <v>24mo+</v>
      </c>
      <c r="T1222" s="0" t="n">
        <f aca="false">IF(ISBLANK(C1222),0,IF(C1222="Month-to-month",2,IF(C1222="One year",1,0)))+IF(ISBLANK(I1222),0,IF(I1222&lt;40,2,IF(I1222&lt;55,1,0)))+IF(ISBLANK(M1222),0,IF(M1222=1,3,0))+IF(ISBLANK(L1222),0,IF(L1222&gt;=2,1,0))+IF(ISBLANK(E1222),0,IF(E1222&lt;12,1,0))</f>
        <v>6</v>
      </c>
      <c r="U1222" s="0" t="str">
        <f aca="false">IF((ISBLANK(B1222)*1+ISBLANK(C1222)*1+ISBLANK(D1222)*1+ISBLANK(E1222)*1+ISBLANK(F1222)*1+ISBLANK(I1222)*1+ISBLANK(J1222)*1+ISBLANK(K1222)*1+ISBLANK(L1222)*1+ISBLANK(M1222)*1+ISBLANK(N1222)*1+ISBLANK(O1222)*1)&gt;0,"Missing Data","OK")</f>
        <v>OK</v>
      </c>
      <c r="V1222" s="0" t="str">
        <f aca="false">IF(T1222&gt;=6,"High Risk",IF(T1222&gt;=3,"Medium Risk","Low Risk"))</f>
        <v>High Risk</v>
      </c>
    </row>
    <row r="1223" customFormat="false" ht="12.8" hidden="false" customHeight="false" outlineLevel="0" collapsed="false">
      <c r="A1223" s="1" t="s">
        <v>1253</v>
      </c>
      <c r="B1223" s="1" t="s">
        <v>36</v>
      </c>
      <c r="C1223" s="1" t="s">
        <v>34</v>
      </c>
      <c r="D1223" s="1" t="n">
        <v>9.28</v>
      </c>
      <c r="E1223" s="1" t="n">
        <v>6</v>
      </c>
      <c r="F1223" s="4" t="n">
        <v>45437</v>
      </c>
      <c r="G1223" s="1" t="s">
        <v>25</v>
      </c>
      <c r="H1223" s="1" t="n">
        <v>1</v>
      </c>
      <c r="I1223" s="1" t="n">
        <v>92.4</v>
      </c>
      <c r="J1223" s="1" t="n">
        <v>38</v>
      </c>
      <c r="K1223" s="1" t="n">
        <v>8</v>
      </c>
      <c r="L1223" s="1" t="n">
        <v>2</v>
      </c>
      <c r="M1223" s="1" t="n">
        <v>0</v>
      </c>
      <c r="N1223" s="1" t="n">
        <v>55.68</v>
      </c>
      <c r="O1223" s="1" t="n">
        <v>0</v>
      </c>
      <c r="Q1223" s="4" t="n">
        <v>45619</v>
      </c>
      <c r="R1223" s="0" t="n">
        <f aca="false">IF(ISBLANK(F1223),"Missing",IFERROR(YEAR(F1223),"Missing"))</f>
        <v>2024</v>
      </c>
      <c r="S1223" s="0" t="str">
        <f aca="false">IF(ISBLANK(E1223),"Missing",IF(E1223&lt;6,"0-6mo",IF(E1223&lt;12,"6-12mo",IF(E1223&lt;24,"12-24mo","24mo+"))))</f>
        <v>6-12mo</v>
      </c>
      <c r="T1223" s="0" t="n">
        <f aca="false">IF(ISBLANK(C1223),0,IF(C1223="Month-to-month",2,IF(C1223="One year",1,0)))+IF(ISBLANK(I1223),0,IF(I1223&lt;40,2,IF(I1223&lt;55,1,0)))+IF(ISBLANK(M1223),0,IF(M1223=1,3,0))+IF(ISBLANK(L1223),0,IF(L1223&gt;=2,1,0))+IF(ISBLANK(E1223),0,IF(E1223&lt;12,1,0))</f>
        <v>3</v>
      </c>
      <c r="U1223" s="0" t="str">
        <f aca="false">IF((ISBLANK(B1223)*1+ISBLANK(C1223)*1+ISBLANK(D1223)*1+ISBLANK(E1223)*1+ISBLANK(F1223)*1+ISBLANK(I1223)*1+ISBLANK(J1223)*1+ISBLANK(K1223)*1+ISBLANK(L1223)*1+ISBLANK(M1223)*1+ISBLANK(N1223)*1+ISBLANK(O1223)*1)&gt;0,"Missing Data","OK")</f>
        <v>OK</v>
      </c>
      <c r="V1223" s="0" t="str">
        <f aca="false">IF(T1223&gt;=6,"High Risk",IF(T1223&gt;=3,"Medium Risk","Low Risk"))</f>
        <v>Medium Risk</v>
      </c>
    </row>
    <row r="1224" customFormat="false" ht="12.8" hidden="false" customHeight="false" outlineLevel="0" collapsed="false">
      <c r="A1224" s="1" t="s">
        <v>1254</v>
      </c>
      <c r="B1224" s="1" t="s">
        <v>29</v>
      </c>
      <c r="C1224" s="1" t="s">
        <v>34</v>
      </c>
      <c r="D1224" s="1" t="n">
        <v>39.56</v>
      </c>
      <c r="E1224" s="1" t="n">
        <v>25</v>
      </c>
      <c r="F1224" s="4" t="n">
        <v>45440</v>
      </c>
      <c r="G1224" s="1" t="s">
        <v>30</v>
      </c>
      <c r="H1224" s="1" t="n">
        <v>1</v>
      </c>
      <c r="I1224" s="1" t="n">
        <v>55</v>
      </c>
      <c r="J1224" s="1" t="n">
        <v>13</v>
      </c>
      <c r="K1224" s="1" t="n">
        <v>4</v>
      </c>
      <c r="L1224" s="1" t="n">
        <v>0</v>
      </c>
      <c r="M1224" s="1" t="n">
        <v>0</v>
      </c>
      <c r="N1224" s="1" t="n">
        <v>989</v>
      </c>
      <c r="O1224" s="1" t="n">
        <v>1</v>
      </c>
      <c r="P1224" s="4" t="n">
        <v>46201</v>
      </c>
      <c r="Q1224" s="4" t="n">
        <v>46201</v>
      </c>
      <c r="R1224" s="0" t="n">
        <f aca="false">IF(ISBLANK(F1224),"Missing",IFERROR(YEAR(F1224),"Missing"))</f>
        <v>2024</v>
      </c>
      <c r="S1224" s="0" t="str">
        <f aca="false">IF(ISBLANK(E1224),"Missing",IF(E1224&lt;6,"0-6mo",IF(E1224&lt;12,"6-12mo",IF(E1224&lt;24,"12-24mo","24mo+"))))</f>
        <v>24mo+</v>
      </c>
      <c r="T1224" s="0" t="n">
        <f aca="false">IF(ISBLANK(C1224),0,IF(C1224="Month-to-month",2,IF(C1224="One year",1,0)))+IF(ISBLANK(I1224),0,IF(I1224&lt;40,2,IF(I1224&lt;55,1,0)))+IF(ISBLANK(M1224),0,IF(M1224=1,3,0))+IF(ISBLANK(L1224),0,IF(L1224&gt;=2,1,0))+IF(ISBLANK(E1224),0,IF(E1224&lt;12,1,0))</f>
        <v>1</v>
      </c>
      <c r="U1224" s="0" t="str">
        <f aca="false">IF((ISBLANK(B1224)*1+ISBLANK(C1224)*1+ISBLANK(D1224)*1+ISBLANK(E1224)*1+ISBLANK(F1224)*1+ISBLANK(I1224)*1+ISBLANK(J1224)*1+ISBLANK(K1224)*1+ISBLANK(L1224)*1+ISBLANK(M1224)*1+ISBLANK(N1224)*1+ISBLANK(O1224)*1)&gt;0,"Missing Data","OK")</f>
        <v>OK</v>
      </c>
      <c r="V1224" s="0" t="str">
        <f aca="false">IF(T1224&gt;=6,"High Risk",IF(T1224&gt;=3,"Medium Risk","Low Risk"))</f>
        <v>Low Risk</v>
      </c>
    </row>
    <row r="1225" customFormat="false" ht="12.8" hidden="false" customHeight="false" outlineLevel="0" collapsed="false">
      <c r="A1225" s="1" t="s">
        <v>1255</v>
      </c>
      <c r="B1225" s="1" t="s">
        <v>36</v>
      </c>
      <c r="C1225" s="1" t="s">
        <v>24</v>
      </c>
      <c r="D1225" s="1" t="n">
        <v>8.3</v>
      </c>
      <c r="E1225" s="1" t="n">
        <v>35</v>
      </c>
      <c r="F1225" s="4" t="n">
        <v>45442</v>
      </c>
      <c r="G1225" s="1" t="s">
        <v>25</v>
      </c>
      <c r="H1225" s="1" t="n">
        <v>0</v>
      </c>
      <c r="I1225" s="1" t="n">
        <v>55.2</v>
      </c>
      <c r="J1225" s="1" t="n">
        <v>14</v>
      </c>
      <c r="K1225" s="1" t="n">
        <v>7</v>
      </c>
      <c r="L1225" s="1" t="n">
        <v>1</v>
      </c>
      <c r="M1225" s="1" t="n">
        <v>0</v>
      </c>
      <c r="N1225" s="1" t="n">
        <v>290.5</v>
      </c>
      <c r="O1225" s="1" t="n">
        <v>0</v>
      </c>
      <c r="Q1225" s="4" t="n">
        <v>46293</v>
      </c>
      <c r="R1225" s="0" t="n">
        <f aca="false">IF(ISBLANK(F1225),"Missing",IFERROR(YEAR(F1225),"Missing"))</f>
        <v>2024</v>
      </c>
      <c r="S1225" s="0" t="str">
        <f aca="false">IF(ISBLANK(E1225),"Missing",IF(E1225&lt;6,"0-6mo",IF(E1225&lt;12,"6-12mo",IF(E1225&lt;24,"12-24mo","24mo+"))))</f>
        <v>24mo+</v>
      </c>
      <c r="T1225" s="0" t="n">
        <f aca="false">IF(ISBLANK(C1225),0,IF(C1225="Month-to-month",2,IF(C1225="One year",1,0)))+IF(ISBLANK(I1225),0,IF(I1225&lt;40,2,IF(I1225&lt;55,1,0)))+IF(ISBLANK(M1225),0,IF(M1225=1,3,0))+IF(ISBLANK(L1225),0,IF(L1225&gt;=2,1,0))+IF(ISBLANK(E1225),0,IF(E1225&lt;12,1,0))</f>
        <v>2</v>
      </c>
      <c r="U1225" s="0" t="str">
        <f aca="false">IF((ISBLANK(B1225)*1+ISBLANK(C1225)*1+ISBLANK(D1225)*1+ISBLANK(E1225)*1+ISBLANK(F1225)*1+ISBLANK(I1225)*1+ISBLANK(J1225)*1+ISBLANK(K1225)*1+ISBLANK(L1225)*1+ISBLANK(M1225)*1+ISBLANK(N1225)*1+ISBLANK(O1225)*1)&gt;0,"Missing Data","OK")</f>
        <v>OK</v>
      </c>
      <c r="V1225" s="0" t="str">
        <f aca="false">IF(T1225&gt;=6,"High Risk",IF(T1225&gt;=3,"Medium Risk","Low Risk"))</f>
        <v>Low Risk</v>
      </c>
    </row>
    <row r="1226" customFormat="false" ht="12.8" hidden="false" customHeight="false" outlineLevel="0" collapsed="false">
      <c r="A1226" s="1" t="s">
        <v>1256</v>
      </c>
      <c r="B1226" s="1" t="s">
        <v>36</v>
      </c>
      <c r="C1226" s="1" t="s">
        <v>34</v>
      </c>
      <c r="D1226" s="1" t="n">
        <v>10.94</v>
      </c>
      <c r="E1226" s="1" t="n">
        <v>8</v>
      </c>
      <c r="F1226" s="4" t="n">
        <v>45442</v>
      </c>
      <c r="G1226" s="1" t="s">
        <v>39</v>
      </c>
      <c r="H1226" s="1" t="n">
        <v>0</v>
      </c>
      <c r="I1226" s="1" t="n">
        <v>86.4</v>
      </c>
      <c r="J1226" s="1" t="n">
        <v>27</v>
      </c>
      <c r="K1226" s="1" t="n">
        <v>9</v>
      </c>
      <c r="L1226" s="1" t="n">
        <v>2</v>
      </c>
      <c r="M1226" s="1" t="n">
        <v>0</v>
      </c>
      <c r="N1226" s="1" t="n">
        <v>87.52</v>
      </c>
      <c r="O1226" s="1" t="n">
        <v>0</v>
      </c>
      <c r="Q1226" s="4" t="n">
        <v>45685</v>
      </c>
      <c r="R1226" s="0" t="n">
        <f aca="false">IF(ISBLANK(F1226),"Missing",IFERROR(YEAR(F1226),"Missing"))</f>
        <v>2024</v>
      </c>
      <c r="S1226" s="0" t="str">
        <f aca="false">IF(ISBLANK(E1226),"Missing",IF(E1226&lt;6,"0-6mo",IF(E1226&lt;12,"6-12mo",IF(E1226&lt;24,"12-24mo","24mo+"))))</f>
        <v>6-12mo</v>
      </c>
      <c r="T1226" s="0" t="n">
        <f aca="false">IF(ISBLANK(C1226),0,IF(C1226="Month-to-month",2,IF(C1226="One year",1,0)))+IF(ISBLANK(I1226),0,IF(I1226&lt;40,2,IF(I1226&lt;55,1,0)))+IF(ISBLANK(M1226),0,IF(M1226=1,3,0))+IF(ISBLANK(L1226),0,IF(L1226&gt;=2,1,0))+IF(ISBLANK(E1226),0,IF(E1226&lt;12,1,0))</f>
        <v>3</v>
      </c>
      <c r="U1226" s="0" t="str">
        <f aca="false">IF((ISBLANK(B1226)*1+ISBLANK(C1226)*1+ISBLANK(D1226)*1+ISBLANK(E1226)*1+ISBLANK(F1226)*1+ISBLANK(I1226)*1+ISBLANK(J1226)*1+ISBLANK(K1226)*1+ISBLANK(L1226)*1+ISBLANK(M1226)*1+ISBLANK(N1226)*1+ISBLANK(O1226)*1)&gt;0,"Missing Data","OK")</f>
        <v>OK</v>
      </c>
      <c r="V1226" s="0" t="str">
        <f aca="false">IF(T1226&gt;=6,"High Risk",IF(T1226&gt;=3,"Medium Risk","Low Risk"))</f>
        <v>Medium Risk</v>
      </c>
    </row>
    <row r="1227" customFormat="false" ht="12.8" hidden="false" customHeight="false" outlineLevel="0" collapsed="false">
      <c r="A1227" s="1" t="s">
        <v>1257</v>
      </c>
      <c r="B1227" s="1" t="s">
        <v>29</v>
      </c>
      <c r="C1227" s="1" t="s">
        <v>34</v>
      </c>
      <c r="D1227" s="1" t="n">
        <v>39.78</v>
      </c>
      <c r="E1227" s="1" t="n">
        <v>26</v>
      </c>
      <c r="F1227" s="4" t="n">
        <v>45443</v>
      </c>
      <c r="G1227" s="1" t="s">
        <v>39</v>
      </c>
      <c r="H1227" s="1" t="n">
        <v>1</v>
      </c>
      <c r="I1227" s="1" t="n">
        <v>100</v>
      </c>
      <c r="J1227" s="1" t="n">
        <v>30</v>
      </c>
      <c r="K1227" s="1" t="n">
        <v>9</v>
      </c>
      <c r="L1227" s="1" t="n">
        <v>0</v>
      </c>
      <c r="M1227" s="1" t="n">
        <v>0</v>
      </c>
      <c r="N1227" s="1" t="n">
        <v>1034.28</v>
      </c>
      <c r="O1227" s="1" t="n">
        <v>0</v>
      </c>
      <c r="Q1227" s="4" t="n">
        <v>46234</v>
      </c>
      <c r="R1227" s="0" t="n">
        <f aca="false">IF(ISBLANK(F1227),"Missing",IFERROR(YEAR(F1227),"Missing"))</f>
        <v>2024</v>
      </c>
      <c r="S1227" s="0" t="str">
        <f aca="false">IF(ISBLANK(E1227),"Missing",IF(E1227&lt;6,"0-6mo",IF(E1227&lt;12,"6-12mo",IF(E1227&lt;24,"12-24mo","24mo+"))))</f>
        <v>24mo+</v>
      </c>
      <c r="T1227" s="0" t="n">
        <f aca="false">IF(ISBLANK(C1227),0,IF(C1227="Month-to-month",2,IF(C1227="One year",1,0)))+IF(ISBLANK(I1227),0,IF(I1227&lt;40,2,IF(I1227&lt;55,1,0)))+IF(ISBLANK(M1227),0,IF(M1227=1,3,0))+IF(ISBLANK(L1227),0,IF(L1227&gt;=2,1,0))+IF(ISBLANK(E1227),0,IF(E1227&lt;12,1,0))</f>
        <v>1</v>
      </c>
      <c r="U1227" s="0" t="str">
        <f aca="false">IF((ISBLANK(B1227)*1+ISBLANK(C1227)*1+ISBLANK(D1227)*1+ISBLANK(E1227)*1+ISBLANK(F1227)*1+ISBLANK(I1227)*1+ISBLANK(J1227)*1+ISBLANK(K1227)*1+ISBLANK(L1227)*1+ISBLANK(M1227)*1+ISBLANK(N1227)*1+ISBLANK(O1227)*1)&gt;0,"Missing Data","OK")</f>
        <v>OK</v>
      </c>
      <c r="V1227" s="0" t="str">
        <f aca="false">IF(T1227&gt;=6,"High Risk",IF(T1227&gt;=3,"Medium Risk","Low Risk"))</f>
        <v>Low Risk</v>
      </c>
    </row>
    <row r="1228" customFormat="false" ht="12.8" hidden="false" customHeight="false" outlineLevel="0" collapsed="false">
      <c r="A1228" s="1" t="s">
        <v>1258</v>
      </c>
      <c r="B1228" s="1" t="s">
        <v>23</v>
      </c>
      <c r="C1228" s="1" t="s">
        <v>51</v>
      </c>
      <c r="D1228" s="1" t="n">
        <v>20.54</v>
      </c>
      <c r="E1228" s="1" t="n">
        <v>11</v>
      </c>
      <c r="F1228" s="4" t="n">
        <v>45443</v>
      </c>
      <c r="G1228" s="1" t="s">
        <v>25</v>
      </c>
      <c r="H1228" s="1" t="n">
        <v>1</v>
      </c>
      <c r="I1228" s="1" t="n">
        <v>28.9</v>
      </c>
      <c r="J1228" s="1" t="n">
        <v>8</v>
      </c>
      <c r="K1228" s="1" t="n">
        <v>3</v>
      </c>
      <c r="L1228" s="1" t="n">
        <v>4</v>
      </c>
      <c r="M1228" s="1" t="n">
        <v>1</v>
      </c>
      <c r="N1228" s="1" t="n">
        <v>225.94</v>
      </c>
      <c r="O1228" s="1" t="n">
        <v>1</v>
      </c>
      <c r="P1228" s="4" t="n">
        <v>45777</v>
      </c>
      <c r="Q1228" s="4" t="n">
        <v>45777</v>
      </c>
      <c r="R1228" s="0" t="n">
        <f aca="false">IF(ISBLANK(F1228),"Missing",IFERROR(YEAR(F1228),"Missing"))</f>
        <v>2024</v>
      </c>
      <c r="S1228" s="0" t="str">
        <f aca="false">IF(ISBLANK(E1228),"Missing",IF(E1228&lt;6,"0-6mo",IF(E1228&lt;12,"6-12mo",IF(E1228&lt;24,"12-24mo","24mo+"))))</f>
        <v>6-12mo</v>
      </c>
      <c r="T1228" s="0" t="n">
        <f aca="false">IF(ISBLANK(C1228),0,IF(C1228="Month-to-month",2,IF(C1228="One year",1,0)))+IF(ISBLANK(I1228),0,IF(I1228&lt;40,2,IF(I1228&lt;55,1,0)))+IF(ISBLANK(M1228),0,IF(M1228=1,3,0))+IF(ISBLANK(L1228),0,IF(L1228&gt;=2,1,0))+IF(ISBLANK(E1228),0,IF(E1228&lt;12,1,0))</f>
        <v>7</v>
      </c>
      <c r="U1228" s="0" t="str">
        <f aca="false">IF((ISBLANK(B1228)*1+ISBLANK(C1228)*1+ISBLANK(D1228)*1+ISBLANK(E1228)*1+ISBLANK(F1228)*1+ISBLANK(I1228)*1+ISBLANK(J1228)*1+ISBLANK(K1228)*1+ISBLANK(L1228)*1+ISBLANK(M1228)*1+ISBLANK(N1228)*1+ISBLANK(O1228)*1)&gt;0,"Missing Data","OK")</f>
        <v>OK</v>
      </c>
      <c r="V1228" s="0" t="str">
        <f aca="false">IF(T1228&gt;=6,"High Risk",IF(T1228&gt;=3,"Medium Risk","Low Risk"))</f>
        <v>High Risk</v>
      </c>
    </row>
    <row r="1229" customFormat="false" ht="12.8" hidden="false" customHeight="false" outlineLevel="0" collapsed="false">
      <c r="A1229" s="1" t="s">
        <v>1259</v>
      </c>
      <c r="B1229" s="1" t="s">
        <v>29</v>
      </c>
      <c r="C1229" s="1" t="s">
        <v>51</v>
      </c>
      <c r="D1229" s="1" t="n">
        <v>40.52</v>
      </c>
      <c r="E1229" s="1" t="n">
        <v>41</v>
      </c>
      <c r="F1229" s="4" t="n">
        <v>45444</v>
      </c>
      <c r="G1229" s="1" t="s">
        <v>25</v>
      </c>
      <c r="H1229" s="1" t="n">
        <v>1</v>
      </c>
      <c r="I1229" s="1" t="n">
        <v>41.8</v>
      </c>
      <c r="J1229" s="1" t="n">
        <v>13</v>
      </c>
      <c r="K1229" s="1" t="n">
        <v>5</v>
      </c>
      <c r="L1229" s="1" t="n">
        <v>2</v>
      </c>
      <c r="M1229" s="1" t="n">
        <v>0</v>
      </c>
      <c r="N1229" s="1" t="n">
        <v>1661.32</v>
      </c>
      <c r="O1229" s="1" t="n">
        <v>0</v>
      </c>
      <c r="Q1229" s="4" t="n">
        <v>46293</v>
      </c>
      <c r="R1229" s="0" t="n">
        <f aca="false">IF(ISBLANK(F1229),"Missing",IFERROR(YEAR(F1229),"Missing"))</f>
        <v>2024</v>
      </c>
      <c r="S1229" s="0" t="str">
        <f aca="false">IF(ISBLANK(E1229),"Missing",IF(E1229&lt;6,"0-6mo",IF(E1229&lt;12,"6-12mo",IF(E1229&lt;24,"12-24mo","24mo+"))))</f>
        <v>24mo+</v>
      </c>
      <c r="T1229" s="0" t="n">
        <f aca="false">IF(ISBLANK(C1229),0,IF(C1229="Month-to-month",2,IF(C1229="One year",1,0)))+IF(ISBLANK(I1229),0,IF(I1229&lt;40,2,IF(I1229&lt;55,1,0)))+IF(ISBLANK(M1229),0,IF(M1229=1,3,0))+IF(ISBLANK(L1229),0,IF(L1229&gt;=2,1,0))+IF(ISBLANK(E1229),0,IF(E1229&lt;12,1,0))</f>
        <v>2</v>
      </c>
      <c r="U1229" s="0" t="str">
        <f aca="false">IF((ISBLANK(B1229)*1+ISBLANK(C1229)*1+ISBLANK(D1229)*1+ISBLANK(E1229)*1+ISBLANK(F1229)*1+ISBLANK(I1229)*1+ISBLANK(J1229)*1+ISBLANK(K1229)*1+ISBLANK(L1229)*1+ISBLANK(M1229)*1+ISBLANK(N1229)*1+ISBLANK(O1229)*1)&gt;0,"Missing Data","OK")</f>
        <v>OK</v>
      </c>
      <c r="V1229" s="0" t="str">
        <f aca="false">IF(T1229&gt;=6,"High Risk",IF(T1229&gt;=3,"Medium Risk","Low Risk"))</f>
        <v>Low Risk</v>
      </c>
    </row>
    <row r="1230" customFormat="false" ht="12.8" hidden="false" customHeight="false" outlineLevel="0" collapsed="false">
      <c r="A1230" s="1" t="s">
        <v>1260</v>
      </c>
      <c r="B1230" s="1" t="s">
        <v>29</v>
      </c>
      <c r="C1230" s="1" t="s">
        <v>34</v>
      </c>
      <c r="D1230" s="1" t="n">
        <v>38.97</v>
      </c>
      <c r="E1230" s="1" t="n">
        <v>59</v>
      </c>
      <c r="F1230" s="4" t="n">
        <v>45447</v>
      </c>
      <c r="G1230" s="1" t="s">
        <v>39</v>
      </c>
      <c r="H1230" s="1" t="n">
        <v>1</v>
      </c>
      <c r="I1230" s="1" t="n">
        <v>48.9</v>
      </c>
      <c r="J1230" s="1" t="n">
        <v>21</v>
      </c>
      <c r="K1230" s="1" t="n">
        <v>5</v>
      </c>
      <c r="L1230" s="1" t="n">
        <v>2</v>
      </c>
      <c r="M1230" s="1" t="n">
        <v>1</v>
      </c>
      <c r="N1230" s="1" t="n">
        <v>2299.23</v>
      </c>
      <c r="O1230" s="1" t="n">
        <v>0</v>
      </c>
      <c r="Q1230" s="4" t="n">
        <v>46293</v>
      </c>
      <c r="R1230" s="0" t="n">
        <f aca="false">IF(ISBLANK(F1230),"Missing",IFERROR(YEAR(F1230),"Missing"))</f>
        <v>2024</v>
      </c>
      <c r="S1230" s="0" t="str">
        <f aca="false">IF(ISBLANK(E1230),"Missing",IF(E1230&lt;6,"0-6mo",IF(E1230&lt;12,"6-12mo",IF(E1230&lt;24,"12-24mo","24mo+"))))</f>
        <v>24mo+</v>
      </c>
      <c r="T1230" s="0" t="n">
        <f aca="false">IF(ISBLANK(C1230),0,IF(C1230="Month-to-month",2,IF(C1230="One year",1,0)))+IF(ISBLANK(I1230),0,IF(I1230&lt;40,2,IF(I1230&lt;55,1,0)))+IF(ISBLANK(M1230),0,IF(M1230=1,3,0))+IF(ISBLANK(L1230),0,IF(L1230&gt;=2,1,0))+IF(ISBLANK(E1230),0,IF(E1230&lt;12,1,0))</f>
        <v>6</v>
      </c>
      <c r="U1230" s="0" t="str">
        <f aca="false">IF((ISBLANK(B1230)*1+ISBLANK(C1230)*1+ISBLANK(D1230)*1+ISBLANK(E1230)*1+ISBLANK(F1230)*1+ISBLANK(I1230)*1+ISBLANK(J1230)*1+ISBLANK(K1230)*1+ISBLANK(L1230)*1+ISBLANK(M1230)*1+ISBLANK(N1230)*1+ISBLANK(O1230)*1)&gt;0,"Missing Data","OK")</f>
        <v>OK</v>
      </c>
      <c r="V1230" s="0" t="str">
        <f aca="false">IF(T1230&gt;=6,"High Risk",IF(T1230&gt;=3,"Medium Risk","Low Risk"))</f>
        <v>High Risk</v>
      </c>
    </row>
    <row r="1231" customFormat="false" ht="12.8" hidden="false" customHeight="false" outlineLevel="0" collapsed="false">
      <c r="A1231" s="1" t="s">
        <v>1261</v>
      </c>
      <c r="B1231" s="1" t="s">
        <v>36</v>
      </c>
      <c r="C1231" s="1" t="s">
        <v>34</v>
      </c>
      <c r="D1231" s="1" t="n">
        <v>9.57</v>
      </c>
      <c r="E1231" s="1" t="n">
        <v>55</v>
      </c>
      <c r="F1231" s="4" t="n">
        <v>45447</v>
      </c>
      <c r="G1231" s="1" t="s">
        <v>39</v>
      </c>
      <c r="H1231" s="1" t="n">
        <v>1</v>
      </c>
      <c r="I1231" s="1" t="n">
        <v>40.3</v>
      </c>
      <c r="J1231" s="1" t="n">
        <v>20</v>
      </c>
      <c r="K1231" s="1" t="n">
        <v>2</v>
      </c>
      <c r="L1231" s="1" t="n">
        <v>0</v>
      </c>
      <c r="M1231" s="1" t="n">
        <v>0</v>
      </c>
      <c r="N1231" s="1" t="n">
        <v>526.35</v>
      </c>
      <c r="O1231" s="1" t="n">
        <v>0</v>
      </c>
      <c r="Q1231" s="4" t="n">
        <v>46293</v>
      </c>
      <c r="R1231" s="0" t="n">
        <f aca="false">IF(ISBLANK(F1231),"Missing",IFERROR(YEAR(F1231),"Missing"))</f>
        <v>2024</v>
      </c>
      <c r="S1231" s="0" t="str">
        <f aca="false">IF(ISBLANK(E1231),"Missing",IF(E1231&lt;6,"0-6mo",IF(E1231&lt;12,"6-12mo",IF(E1231&lt;24,"12-24mo","24mo+"))))</f>
        <v>24mo+</v>
      </c>
      <c r="T1231" s="0" t="n">
        <f aca="false">IF(ISBLANK(C1231),0,IF(C1231="Month-to-month",2,IF(C1231="One year",1,0)))+IF(ISBLANK(I1231),0,IF(I1231&lt;40,2,IF(I1231&lt;55,1,0)))+IF(ISBLANK(M1231),0,IF(M1231=1,3,0))+IF(ISBLANK(L1231),0,IF(L1231&gt;=2,1,0))+IF(ISBLANK(E1231),0,IF(E1231&lt;12,1,0))</f>
        <v>2</v>
      </c>
      <c r="U1231" s="0" t="str">
        <f aca="false">IF((ISBLANK(B1231)*1+ISBLANK(C1231)*1+ISBLANK(D1231)*1+ISBLANK(E1231)*1+ISBLANK(F1231)*1+ISBLANK(I1231)*1+ISBLANK(J1231)*1+ISBLANK(K1231)*1+ISBLANK(L1231)*1+ISBLANK(M1231)*1+ISBLANK(N1231)*1+ISBLANK(O1231)*1)&gt;0,"Missing Data","OK")</f>
        <v>OK</v>
      </c>
      <c r="V1231" s="0" t="str">
        <f aca="false">IF(T1231&gt;=6,"High Risk",IF(T1231&gt;=3,"Medium Risk","Low Risk"))</f>
        <v>Low Risk</v>
      </c>
    </row>
    <row r="1232" customFormat="false" ht="12.8" hidden="false" customHeight="false" outlineLevel="0" collapsed="false">
      <c r="A1232" s="1" t="s">
        <v>1262</v>
      </c>
      <c r="B1232" s="1" t="s">
        <v>23</v>
      </c>
      <c r="C1232" s="1" t="s">
        <v>24</v>
      </c>
      <c r="D1232" s="1" t="n">
        <v>19.14</v>
      </c>
      <c r="E1232" s="1" t="n">
        <v>32</v>
      </c>
      <c r="F1232" s="4" t="n">
        <v>45447</v>
      </c>
      <c r="G1232" s="1" t="s">
        <v>25</v>
      </c>
      <c r="H1232" s="1" t="n">
        <v>1</v>
      </c>
      <c r="I1232" s="1" t="n">
        <v>27.6</v>
      </c>
      <c r="J1232" s="1" t="n">
        <v>11</v>
      </c>
      <c r="K1232" s="1" t="n">
        <v>1</v>
      </c>
      <c r="L1232" s="1" t="n">
        <v>5</v>
      </c>
      <c r="M1232" s="1" t="n">
        <v>1</v>
      </c>
      <c r="N1232" s="1" t="n">
        <v>612.48</v>
      </c>
      <c r="O1232" s="1" t="n">
        <v>1</v>
      </c>
      <c r="P1232" s="4" t="n">
        <v>46293</v>
      </c>
      <c r="Q1232" s="4" t="n">
        <v>46293</v>
      </c>
      <c r="R1232" s="0" t="n">
        <f aca="false">IF(ISBLANK(F1232),"Missing",IFERROR(YEAR(F1232),"Missing"))</f>
        <v>2024</v>
      </c>
      <c r="S1232" s="0" t="str">
        <f aca="false">IF(ISBLANK(E1232),"Missing",IF(E1232&lt;6,"0-6mo",IF(E1232&lt;12,"6-12mo",IF(E1232&lt;24,"12-24mo","24mo+"))))</f>
        <v>24mo+</v>
      </c>
      <c r="T1232" s="0" t="n">
        <f aca="false">IF(ISBLANK(C1232),0,IF(C1232="Month-to-month",2,IF(C1232="One year",1,0)))+IF(ISBLANK(I1232),0,IF(I1232&lt;40,2,IF(I1232&lt;55,1,0)))+IF(ISBLANK(M1232),0,IF(M1232=1,3,0))+IF(ISBLANK(L1232),0,IF(L1232&gt;=2,1,0))+IF(ISBLANK(E1232),0,IF(E1232&lt;12,1,0))</f>
        <v>8</v>
      </c>
      <c r="U1232" s="0" t="str">
        <f aca="false">IF((ISBLANK(B1232)*1+ISBLANK(C1232)*1+ISBLANK(D1232)*1+ISBLANK(E1232)*1+ISBLANK(F1232)*1+ISBLANK(I1232)*1+ISBLANK(J1232)*1+ISBLANK(K1232)*1+ISBLANK(L1232)*1+ISBLANK(M1232)*1+ISBLANK(N1232)*1+ISBLANK(O1232)*1)&gt;0,"Missing Data","OK")</f>
        <v>OK</v>
      </c>
      <c r="V1232" s="0" t="str">
        <f aca="false">IF(T1232&gt;=6,"High Risk",IF(T1232&gt;=3,"Medium Risk","Low Risk"))</f>
        <v>High Risk</v>
      </c>
    </row>
    <row r="1233" customFormat="false" ht="12.8" hidden="false" customHeight="false" outlineLevel="0" collapsed="false">
      <c r="A1233" s="1" t="s">
        <v>1263</v>
      </c>
      <c r="B1233" s="1" t="s">
        <v>23</v>
      </c>
      <c r="C1233" s="1" t="s">
        <v>24</v>
      </c>
      <c r="D1233" s="1" t="n">
        <v>19.37</v>
      </c>
      <c r="E1233" s="1" t="n">
        <v>23</v>
      </c>
      <c r="F1233" s="4" t="n">
        <v>45448</v>
      </c>
      <c r="G1233" s="1" t="s">
        <v>39</v>
      </c>
      <c r="H1233" s="1" t="n">
        <v>1</v>
      </c>
      <c r="I1233" s="1" t="n">
        <v>76.2</v>
      </c>
      <c r="J1233" s="1" t="n">
        <v>23</v>
      </c>
      <c r="K1233" s="1" t="n">
        <v>7</v>
      </c>
      <c r="L1233" s="1" t="n">
        <v>0</v>
      </c>
      <c r="M1233" s="1" t="n">
        <v>0</v>
      </c>
      <c r="N1233" s="1" t="n">
        <v>445.51</v>
      </c>
      <c r="O1233" s="1" t="n">
        <v>0</v>
      </c>
      <c r="Q1233" s="4" t="n">
        <v>46148</v>
      </c>
      <c r="R1233" s="0" t="n">
        <f aca="false">IF(ISBLANK(F1233),"Missing",IFERROR(YEAR(F1233),"Missing"))</f>
        <v>2024</v>
      </c>
      <c r="S1233" s="0" t="str">
        <f aca="false">IF(ISBLANK(E1233),"Missing",IF(E1233&lt;6,"0-6mo",IF(E1233&lt;12,"6-12mo",IF(E1233&lt;24,"12-24mo","24mo+"))))</f>
        <v>12-24mo</v>
      </c>
      <c r="T1233" s="0" t="n">
        <f aca="false">IF(ISBLANK(C1233),0,IF(C1233="Month-to-month",2,IF(C1233="One year",1,0)))+IF(ISBLANK(I1233),0,IF(I1233&lt;40,2,IF(I1233&lt;55,1,0)))+IF(ISBLANK(M1233),0,IF(M1233=1,3,0))+IF(ISBLANK(L1233),0,IF(L1233&gt;=2,1,0))+IF(ISBLANK(E1233),0,IF(E1233&lt;12,1,0))</f>
        <v>2</v>
      </c>
      <c r="U1233" s="0" t="str">
        <f aca="false">IF((ISBLANK(B1233)*1+ISBLANK(C1233)*1+ISBLANK(D1233)*1+ISBLANK(E1233)*1+ISBLANK(F1233)*1+ISBLANK(I1233)*1+ISBLANK(J1233)*1+ISBLANK(K1233)*1+ISBLANK(L1233)*1+ISBLANK(M1233)*1+ISBLANK(N1233)*1+ISBLANK(O1233)*1)&gt;0,"Missing Data","OK")</f>
        <v>OK</v>
      </c>
      <c r="V1233" s="0" t="str">
        <f aca="false">IF(T1233&gt;=6,"High Risk",IF(T1233&gt;=3,"Medium Risk","Low Risk"))</f>
        <v>Low Risk</v>
      </c>
    </row>
    <row r="1234" customFormat="false" ht="12.8" hidden="false" customHeight="false" outlineLevel="0" collapsed="false">
      <c r="A1234" s="1" t="s">
        <v>1264</v>
      </c>
      <c r="B1234" s="1" t="s">
        <v>36</v>
      </c>
      <c r="C1234" s="1" t="s">
        <v>51</v>
      </c>
      <c r="D1234" s="1" t="n">
        <v>10.36</v>
      </c>
      <c r="E1234" s="1" t="n">
        <v>44</v>
      </c>
      <c r="F1234" s="4" t="n">
        <v>45450</v>
      </c>
      <c r="G1234" s="1" t="s">
        <v>25</v>
      </c>
      <c r="H1234" s="1" t="n">
        <v>1</v>
      </c>
      <c r="I1234" s="1" t="n">
        <v>39</v>
      </c>
      <c r="J1234" s="1" t="n">
        <v>3</v>
      </c>
      <c r="K1234" s="1" t="n">
        <v>3</v>
      </c>
      <c r="L1234" s="1" t="n">
        <v>1</v>
      </c>
      <c r="M1234" s="1" t="n">
        <v>0</v>
      </c>
      <c r="N1234" s="1" t="n">
        <v>455.84</v>
      </c>
      <c r="O1234" s="1" t="n">
        <v>0</v>
      </c>
      <c r="Q1234" s="4" t="n">
        <v>46293</v>
      </c>
      <c r="R1234" s="0" t="n">
        <f aca="false">IF(ISBLANK(F1234),"Missing",IFERROR(YEAR(F1234),"Missing"))</f>
        <v>2024</v>
      </c>
      <c r="S1234" s="0" t="str">
        <f aca="false">IF(ISBLANK(E1234),"Missing",IF(E1234&lt;6,"0-6mo",IF(E1234&lt;12,"6-12mo",IF(E1234&lt;24,"12-24mo","24mo+"))))</f>
        <v>24mo+</v>
      </c>
      <c r="T1234" s="0" t="n">
        <f aca="false">IF(ISBLANK(C1234),0,IF(C1234="Month-to-month",2,IF(C1234="One year",1,0)))+IF(ISBLANK(I1234),0,IF(I1234&lt;40,2,IF(I1234&lt;55,1,0)))+IF(ISBLANK(M1234),0,IF(M1234=1,3,0))+IF(ISBLANK(L1234),0,IF(L1234&gt;=2,1,0))+IF(ISBLANK(E1234),0,IF(E1234&lt;12,1,0))</f>
        <v>2</v>
      </c>
      <c r="U1234" s="0" t="str">
        <f aca="false">IF((ISBLANK(B1234)*1+ISBLANK(C1234)*1+ISBLANK(D1234)*1+ISBLANK(E1234)*1+ISBLANK(F1234)*1+ISBLANK(I1234)*1+ISBLANK(J1234)*1+ISBLANK(K1234)*1+ISBLANK(L1234)*1+ISBLANK(M1234)*1+ISBLANK(N1234)*1+ISBLANK(O1234)*1)&gt;0,"Missing Data","OK")</f>
        <v>OK</v>
      </c>
      <c r="V1234" s="0" t="str">
        <f aca="false">IF(T1234&gt;=6,"High Risk",IF(T1234&gt;=3,"Medium Risk","Low Risk"))</f>
        <v>Low Risk</v>
      </c>
    </row>
    <row r="1235" customFormat="false" ht="12.8" hidden="false" customHeight="false" outlineLevel="0" collapsed="false">
      <c r="A1235" s="1" t="s">
        <v>1265</v>
      </c>
      <c r="B1235" s="1" t="s">
        <v>36</v>
      </c>
      <c r="C1235" s="1" t="s">
        <v>51</v>
      </c>
      <c r="D1235" s="1" t="n">
        <v>9.17</v>
      </c>
      <c r="E1235" s="1" t="n">
        <v>60</v>
      </c>
      <c r="F1235" s="4" t="n">
        <v>45451</v>
      </c>
      <c r="G1235" s="1" t="s">
        <v>25</v>
      </c>
      <c r="H1235" s="1" t="n">
        <v>1</v>
      </c>
      <c r="I1235" s="1" t="n">
        <v>20.7</v>
      </c>
      <c r="J1235" s="1" t="n">
        <v>5</v>
      </c>
      <c r="K1235" s="1" t="n">
        <v>4</v>
      </c>
      <c r="L1235" s="1" t="n">
        <v>3</v>
      </c>
      <c r="M1235" s="1" t="n">
        <v>0</v>
      </c>
      <c r="N1235" s="1" t="n">
        <v>550.2</v>
      </c>
      <c r="O1235" s="1" t="n">
        <v>0</v>
      </c>
      <c r="Q1235" s="4" t="n">
        <v>46293</v>
      </c>
      <c r="R1235" s="0" t="n">
        <f aca="false">IF(ISBLANK(F1235),"Missing",IFERROR(YEAR(F1235),"Missing"))</f>
        <v>2024</v>
      </c>
      <c r="S1235" s="0" t="str">
        <f aca="false">IF(ISBLANK(E1235),"Missing",IF(E1235&lt;6,"0-6mo",IF(E1235&lt;12,"6-12mo",IF(E1235&lt;24,"12-24mo","24mo+"))))</f>
        <v>24mo+</v>
      </c>
      <c r="T1235" s="0" t="n">
        <f aca="false">IF(ISBLANK(C1235),0,IF(C1235="Month-to-month",2,IF(C1235="One year",1,0)))+IF(ISBLANK(I1235),0,IF(I1235&lt;40,2,IF(I1235&lt;55,1,0)))+IF(ISBLANK(M1235),0,IF(M1235=1,3,0))+IF(ISBLANK(L1235),0,IF(L1235&gt;=2,1,0))+IF(ISBLANK(E1235),0,IF(E1235&lt;12,1,0))</f>
        <v>3</v>
      </c>
      <c r="U1235" s="0" t="str">
        <f aca="false">IF((ISBLANK(B1235)*1+ISBLANK(C1235)*1+ISBLANK(D1235)*1+ISBLANK(E1235)*1+ISBLANK(F1235)*1+ISBLANK(I1235)*1+ISBLANK(J1235)*1+ISBLANK(K1235)*1+ISBLANK(L1235)*1+ISBLANK(M1235)*1+ISBLANK(N1235)*1+ISBLANK(O1235)*1)&gt;0,"Missing Data","OK")</f>
        <v>OK</v>
      </c>
      <c r="V1235" s="0" t="str">
        <f aca="false">IF(T1235&gt;=6,"High Risk",IF(T1235&gt;=3,"Medium Risk","Low Risk"))</f>
        <v>Medium Risk</v>
      </c>
    </row>
    <row r="1236" customFormat="false" ht="12.8" hidden="false" customHeight="false" outlineLevel="0" collapsed="false">
      <c r="A1236" s="1" t="s">
        <v>1266</v>
      </c>
      <c r="B1236" s="1" t="s">
        <v>36</v>
      </c>
      <c r="C1236" s="1" t="s">
        <v>34</v>
      </c>
      <c r="D1236" s="1" t="n">
        <v>9.63</v>
      </c>
      <c r="E1236" s="1" t="n">
        <v>10</v>
      </c>
      <c r="F1236" s="4" t="n">
        <v>45452</v>
      </c>
      <c r="G1236" s="1" t="s">
        <v>25</v>
      </c>
      <c r="H1236" s="1" t="n">
        <v>1</v>
      </c>
      <c r="I1236" s="1" t="n">
        <v>70.6</v>
      </c>
      <c r="J1236" s="1" t="n">
        <v>28</v>
      </c>
      <c r="K1236" s="1" t="n">
        <v>9</v>
      </c>
      <c r="L1236" s="1" t="n">
        <v>1</v>
      </c>
      <c r="M1236" s="1" t="n">
        <v>0</v>
      </c>
      <c r="N1236" s="1" t="n">
        <v>96.3</v>
      </c>
      <c r="O1236" s="1" t="n">
        <v>0</v>
      </c>
      <c r="Q1236" s="4" t="n">
        <v>45756</v>
      </c>
      <c r="R1236" s="0" t="n">
        <f aca="false">IF(ISBLANK(F1236),"Missing",IFERROR(YEAR(F1236),"Missing"))</f>
        <v>2024</v>
      </c>
      <c r="S1236" s="0" t="str">
        <f aca="false">IF(ISBLANK(E1236),"Missing",IF(E1236&lt;6,"0-6mo",IF(E1236&lt;12,"6-12mo",IF(E1236&lt;24,"12-24mo","24mo+"))))</f>
        <v>6-12mo</v>
      </c>
      <c r="T1236" s="0" t="n">
        <f aca="false">IF(ISBLANK(C1236),0,IF(C1236="Month-to-month",2,IF(C1236="One year",1,0)))+IF(ISBLANK(I1236),0,IF(I1236&lt;40,2,IF(I1236&lt;55,1,0)))+IF(ISBLANK(M1236),0,IF(M1236=1,3,0))+IF(ISBLANK(L1236),0,IF(L1236&gt;=2,1,0))+IF(ISBLANK(E1236),0,IF(E1236&lt;12,1,0))</f>
        <v>2</v>
      </c>
      <c r="U1236" s="0" t="str">
        <f aca="false">IF((ISBLANK(B1236)*1+ISBLANK(C1236)*1+ISBLANK(D1236)*1+ISBLANK(E1236)*1+ISBLANK(F1236)*1+ISBLANK(I1236)*1+ISBLANK(J1236)*1+ISBLANK(K1236)*1+ISBLANK(L1236)*1+ISBLANK(M1236)*1+ISBLANK(N1236)*1+ISBLANK(O1236)*1)&gt;0,"Missing Data","OK")</f>
        <v>OK</v>
      </c>
      <c r="V1236" s="0" t="str">
        <f aca="false">IF(T1236&gt;=6,"High Risk",IF(T1236&gt;=3,"Medium Risk","Low Risk"))</f>
        <v>Low Risk</v>
      </c>
    </row>
    <row r="1237" customFormat="false" ht="12.8" hidden="false" customHeight="false" outlineLevel="0" collapsed="false">
      <c r="A1237" s="1" t="s">
        <v>1267</v>
      </c>
      <c r="B1237" s="1" t="s">
        <v>36</v>
      </c>
      <c r="C1237" s="1" t="s">
        <v>24</v>
      </c>
      <c r="D1237" s="1" t="n">
        <v>10.04</v>
      </c>
      <c r="E1237" s="1" t="n">
        <v>47</v>
      </c>
      <c r="F1237" s="4" t="n">
        <v>45453</v>
      </c>
      <c r="G1237" s="1" t="s">
        <v>25</v>
      </c>
      <c r="H1237" s="1" t="n">
        <v>1</v>
      </c>
      <c r="I1237" s="1" t="n">
        <v>42.9</v>
      </c>
      <c r="J1237" s="1" t="n">
        <v>14</v>
      </c>
      <c r="K1237" s="1" t="n">
        <v>4</v>
      </c>
      <c r="L1237" s="1" t="n">
        <v>3</v>
      </c>
      <c r="M1237" s="1" t="n">
        <v>0</v>
      </c>
      <c r="N1237" s="1" t="n">
        <v>471.88</v>
      </c>
      <c r="O1237" s="1" t="n">
        <v>0</v>
      </c>
      <c r="Q1237" s="4" t="n">
        <v>46293</v>
      </c>
      <c r="R1237" s="0" t="n">
        <f aca="false">IF(ISBLANK(F1237),"Missing",IFERROR(YEAR(F1237),"Missing"))</f>
        <v>2024</v>
      </c>
      <c r="S1237" s="0" t="str">
        <f aca="false">IF(ISBLANK(E1237),"Missing",IF(E1237&lt;6,"0-6mo",IF(E1237&lt;12,"6-12mo",IF(E1237&lt;24,"12-24mo","24mo+"))))</f>
        <v>24mo+</v>
      </c>
      <c r="T1237" s="0" t="n">
        <f aca="false">IF(ISBLANK(C1237),0,IF(C1237="Month-to-month",2,IF(C1237="One year",1,0)))+IF(ISBLANK(I1237),0,IF(I1237&lt;40,2,IF(I1237&lt;55,1,0)))+IF(ISBLANK(M1237),0,IF(M1237=1,3,0))+IF(ISBLANK(L1237),0,IF(L1237&gt;=2,1,0))+IF(ISBLANK(E1237),0,IF(E1237&lt;12,1,0))</f>
        <v>4</v>
      </c>
      <c r="U1237" s="0" t="str">
        <f aca="false">IF((ISBLANK(B1237)*1+ISBLANK(C1237)*1+ISBLANK(D1237)*1+ISBLANK(E1237)*1+ISBLANK(F1237)*1+ISBLANK(I1237)*1+ISBLANK(J1237)*1+ISBLANK(K1237)*1+ISBLANK(L1237)*1+ISBLANK(M1237)*1+ISBLANK(N1237)*1+ISBLANK(O1237)*1)&gt;0,"Missing Data","OK")</f>
        <v>OK</v>
      </c>
      <c r="V1237" s="0" t="str">
        <f aca="false">IF(T1237&gt;=6,"High Risk",IF(T1237&gt;=3,"Medium Risk","Low Risk"))</f>
        <v>Medium Risk</v>
      </c>
    </row>
    <row r="1238" customFormat="false" ht="12.8" hidden="false" customHeight="false" outlineLevel="0" collapsed="false">
      <c r="A1238" s="1" t="s">
        <v>1268</v>
      </c>
      <c r="B1238" s="1" t="s">
        <v>23</v>
      </c>
      <c r="C1238" s="1" t="s">
        <v>24</v>
      </c>
      <c r="D1238" s="1" t="n">
        <v>19.18</v>
      </c>
      <c r="E1238" s="1" t="n">
        <v>1</v>
      </c>
      <c r="F1238" s="4" t="n">
        <v>45455</v>
      </c>
      <c r="G1238" s="1" t="s">
        <v>25</v>
      </c>
      <c r="H1238" s="1" t="n">
        <v>0</v>
      </c>
      <c r="I1238" s="1" t="n">
        <v>54.4</v>
      </c>
      <c r="J1238" s="1" t="n">
        <v>14</v>
      </c>
      <c r="K1238" s="1" t="n">
        <v>6</v>
      </c>
      <c r="L1238" s="1" t="n">
        <v>0</v>
      </c>
      <c r="M1238" s="1" t="n">
        <v>0</v>
      </c>
      <c r="N1238" s="1" t="n">
        <v>19.18</v>
      </c>
      <c r="O1238" s="1" t="n">
        <v>0</v>
      </c>
      <c r="Q1238" s="4" t="n">
        <v>45485</v>
      </c>
      <c r="R1238" s="0" t="n">
        <f aca="false">IF(ISBLANK(F1238),"Missing",IFERROR(YEAR(F1238),"Missing"))</f>
        <v>2024</v>
      </c>
      <c r="S1238" s="0" t="str">
        <f aca="false">IF(ISBLANK(E1238),"Missing",IF(E1238&lt;6,"0-6mo",IF(E1238&lt;12,"6-12mo",IF(E1238&lt;24,"12-24mo","24mo+"))))</f>
        <v>0-6mo</v>
      </c>
      <c r="T1238" s="0" t="n">
        <f aca="false">IF(ISBLANK(C1238),0,IF(C1238="Month-to-month",2,IF(C1238="One year",1,0)))+IF(ISBLANK(I1238),0,IF(I1238&lt;40,2,IF(I1238&lt;55,1,0)))+IF(ISBLANK(M1238),0,IF(M1238=1,3,0))+IF(ISBLANK(L1238),0,IF(L1238&gt;=2,1,0))+IF(ISBLANK(E1238),0,IF(E1238&lt;12,1,0))</f>
        <v>4</v>
      </c>
      <c r="U1238" s="0" t="str">
        <f aca="false">IF((ISBLANK(B1238)*1+ISBLANK(C1238)*1+ISBLANK(D1238)*1+ISBLANK(E1238)*1+ISBLANK(F1238)*1+ISBLANK(I1238)*1+ISBLANK(J1238)*1+ISBLANK(K1238)*1+ISBLANK(L1238)*1+ISBLANK(M1238)*1+ISBLANK(N1238)*1+ISBLANK(O1238)*1)&gt;0,"Missing Data","OK")</f>
        <v>OK</v>
      </c>
      <c r="V1238" s="0" t="str">
        <f aca="false">IF(T1238&gt;=6,"High Risk",IF(T1238&gt;=3,"Medium Risk","Low Risk"))</f>
        <v>Medium Risk</v>
      </c>
    </row>
    <row r="1239" customFormat="false" ht="12.8" hidden="false" customHeight="false" outlineLevel="0" collapsed="false">
      <c r="A1239" s="1" t="s">
        <v>1269</v>
      </c>
      <c r="B1239" s="1" t="s">
        <v>36</v>
      </c>
      <c r="C1239" s="1" t="s">
        <v>51</v>
      </c>
      <c r="D1239" s="1" t="n">
        <v>9.38</v>
      </c>
      <c r="E1239" s="1" t="n">
        <v>2</v>
      </c>
      <c r="F1239" s="4" t="n">
        <v>45459</v>
      </c>
      <c r="G1239" s="1" t="s">
        <v>30</v>
      </c>
      <c r="H1239" s="1" t="n">
        <v>0</v>
      </c>
      <c r="I1239" s="1" t="n">
        <v>28.1</v>
      </c>
      <c r="J1239" s="1" t="n">
        <v>8</v>
      </c>
      <c r="K1239" s="1" t="n">
        <v>3</v>
      </c>
      <c r="L1239" s="1" t="n">
        <v>6</v>
      </c>
      <c r="M1239" s="1" t="n">
        <v>0</v>
      </c>
      <c r="N1239" s="1" t="n">
        <v>18.76</v>
      </c>
      <c r="O1239" s="1" t="n">
        <v>1</v>
      </c>
      <c r="P1239" s="4" t="n">
        <v>45519</v>
      </c>
      <c r="Q1239" s="4" t="n">
        <v>45519</v>
      </c>
      <c r="R1239" s="0" t="n">
        <f aca="false">IF(ISBLANK(F1239),"Missing",IFERROR(YEAR(F1239),"Missing"))</f>
        <v>2024</v>
      </c>
      <c r="S1239" s="0" t="str">
        <f aca="false">IF(ISBLANK(E1239),"Missing",IF(E1239&lt;6,"0-6mo",IF(E1239&lt;12,"6-12mo",IF(E1239&lt;24,"12-24mo","24mo+"))))</f>
        <v>0-6mo</v>
      </c>
      <c r="T1239" s="0" t="n">
        <f aca="false">IF(ISBLANK(C1239),0,IF(C1239="Month-to-month",2,IF(C1239="One year",1,0)))+IF(ISBLANK(I1239),0,IF(I1239&lt;40,2,IF(I1239&lt;55,1,0)))+IF(ISBLANK(M1239),0,IF(M1239=1,3,0))+IF(ISBLANK(L1239),0,IF(L1239&gt;=2,1,0))+IF(ISBLANK(E1239),0,IF(E1239&lt;12,1,0))</f>
        <v>4</v>
      </c>
      <c r="U1239" s="0" t="str">
        <f aca="false">IF((ISBLANK(B1239)*1+ISBLANK(C1239)*1+ISBLANK(D1239)*1+ISBLANK(E1239)*1+ISBLANK(F1239)*1+ISBLANK(I1239)*1+ISBLANK(J1239)*1+ISBLANK(K1239)*1+ISBLANK(L1239)*1+ISBLANK(M1239)*1+ISBLANK(N1239)*1+ISBLANK(O1239)*1)&gt;0,"Missing Data","OK")</f>
        <v>OK</v>
      </c>
      <c r="V1239" s="0" t="str">
        <f aca="false">IF(T1239&gt;=6,"High Risk",IF(T1239&gt;=3,"Medium Risk","Low Risk"))</f>
        <v>Medium Risk</v>
      </c>
    </row>
    <row r="1240" customFormat="false" ht="12.8" hidden="false" customHeight="false" outlineLevel="0" collapsed="false">
      <c r="A1240" s="1" t="s">
        <v>1270</v>
      </c>
      <c r="B1240" s="1" t="s">
        <v>36</v>
      </c>
      <c r="C1240" s="1" t="s">
        <v>24</v>
      </c>
      <c r="D1240" s="1" t="n">
        <v>9.22</v>
      </c>
      <c r="E1240" s="1" t="n">
        <v>3</v>
      </c>
      <c r="F1240" s="4" t="n">
        <v>45460</v>
      </c>
      <c r="G1240" s="1" t="s">
        <v>25</v>
      </c>
      <c r="H1240" s="1" t="n">
        <v>1</v>
      </c>
      <c r="I1240" s="1" t="n">
        <v>80.8</v>
      </c>
      <c r="J1240" s="1" t="n">
        <v>22</v>
      </c>
      <c r="K1240" s="1" t="n">
        <v>7</v>
      </c>
      <c r="L1240" s="1" t="n">
        <v>1</v>
      </c>
      <c r="M1240" s="1" t="n">
        <v>0</v>
      </c>
      <c r="N1240" s="1" t="n">
        <v>27.66</v>
      </c>
      <c r="O1240" s="1" t="n">
        <v>0</v>
      </c>
      <c r="Q1240" s="4" t="n">
        <v>45551</v>
      </c>
      <c r="R1240" s="0" t="n">
        <f aca="false">IF(ISBLANK(F1240),"Missing",IFERROR(YEAR(F1240),"Missing"))</f>
        <v>2024</v>
      </c>
      <c r="S1240" s="0" t="str">
        <f aca="false">IF(ISBLANK(E1240),"Missing",IF(E1240&lt;6,"0-6mo",IF(E1240&lt;12,"6-12mo",IF(E1240&lt;24,"12-24mo","24mo+"))))</f>
        <v>0-6mo</v>
      </c>
      <c r="T1240" s="0" t="n">
        <f aca="false">IF(ISBLANK(C1240),0,IF(C1240="Month-to-month",2,IF(C1240="One year",1,0)))+IF(ISBLANK(I1240),0,IF(I1240&lt;40,2,IF(I1240&lt;55,1,0)))+IF(ISBLANK(M1240),0,IF(M1240=1,3,0))+IF(ISBLANK(L1240),0,IF(L1240&gt;=2,1,0))+IF(ISBLANK(E1240),0,IF(E1240&lt;12,1,0))</f>
        <v>3</v>
      </c>
      <c r="U1240" s="0" t="str">
        <f aca="false">IF((ISBLANK(B1240)*1+ISBLANK(C1240)*1+ISBLANK(D1240)*1+ISBLANK(E1240)*1+ISBLANK(F1240)*1+ISBLANK(I1240)*1+ISBLANK(J1240)*1+ISBLANK(K1240)*1+ISBLANK(L1240)*1+ISBLANK(M1240)*1+ISBLANK(N1240)*1+ISBLANK(O1240)*1)&gt;0,"Missing Data","OK")</f>
        <v>OK</v>
      </c>
      <c r="V1240" s="0" t="str">
        <f aca="false">IF(T1240&gt;=6,"High Risk",IF(T1240&gt;=3,"Medium Risk","Low Risk"))</f>
        <v>Medium Risk</v>
      </c>
    </row>
    <row r="1241" customFormat="false" ht="12.8" hidden="false" customHeight="false" outlineLevel="0" collapsed="false">
      <c r="A1241" s="1" t="s">
        <v>1271</v>
      </c>
      <c r="B1241" s="1" t="s">
        <v>23</v>
      </c>
      <c r="C1241" s="1" t="s">
        <v>24</v>
      </c>
      <c r="D1241" s="1" t="n">
        <v>19.54</v>
      </c>
      <c r="E1241" s="1" t="n">
        <v>19</v>
      </c>
      <c r="F1241" s="4" t="n">
        <v>45461</v>
      </c>
      <c r="G1241" s="1" t="s">
        <v>30</v>
      </c>
      <c r="H1241" s="1" t="n">
        <v>0</v>
      </c>
      <c r="I1241" s="1" t="n">
        <v>74.3</v>
      </c>
      <c r="J1241" s="1" t="n">
        <v>21</v>
      </c>
      <c r="K1241" s="1" t="n">
        <v>6</v>
      </c>
      <c r="L1241" s="1" t="n">
        <v>0</v>
      </c>
      <c r="M1241" s="1" t="n">
        <v>0</v>
      </c>
      <c r="N1241" s="1" t="n">
        <v>371.26</v>
      </c>
      <c r="O1241" s="1" t="n">
        <v>0</v>
      </c>
      <c r="Q1241" s="4" t="n">
        <v>46039</v>
      </c>
      <c r="R1241" s="0" t="n">
        <f aca="false">IF(ISBLANK(F1241),"Missing",IFERROR(YEAR(F1241),"Missing"))</f>
        <v>2024</v>
      </c>
      <c r="S1241" s="0" t="str">
        <f aca="false">IF(ISBLANK(E1241),"Missing",IF(E1241&lt;6,"0-6mo",IF(E1241&lt;12,"6-12mo",IF(E1241&lt;24,"12-24mo","24mo+"))))</f>
        <v>12-24mo</v>
      </c>
      <c r="T1241" s="0" t="n">
        <f aca="false">IF(ISBLANK(C1241),0,IF(C1241="Month-to-month",2,IF(C1241="One year",1,0)))+IF(ISBLANK(I1241),0,IF(I1241&lt;40,2,IF(I1241&lt;55,1,0)))+IF(ISBLANK(M1241),0,IF(M1241=1,3,0))+IF(ISBLANK(L1241),0,IF(L1241&gt;=2,1,0))+IF(ISBLANK(E1241),0,IF(E1241&lt;12,1,0))</f>
        <v>2</v>
      </c>
      <c r="U1241" s="0" t="str">
        <f aca="false">IF((ISBLANK(B1241)*1+ISBLANK(C1241)*1+ISBLANK(D1241)*1+ISBLANK(E1241)*1+ISBLANK(F1241)*1+ISBLANK(I1241)*1+ISBLANK(J1241)*1+ISBLANK(K1241)*1+ISBLANK(L1241)*1+ISBLANK(M1241)*1+ISBLANK(N1241)*1+ISBLANK(O1241)*1)&gt;0,"Missing Data","OK")</f>
        <v>OK</v>
      </c>
      <c r="V1241" s="0" t="str">
        <f aca="false">IF(T1241&gt;=6,"High Risk",IF(T1241&gt;=3,"Medium Risk","Low Risk"))</f>
        <v>Low Risk</v>
      </c>
    </row>
    <row r="1242" customFormat="false" ht="12.8" hidden="false" customHeight="false" outlineLevel="0" collapsed="false">
      <c r="A1242" s="1" t="s">
        <v>1272</v>
      </c>
      <c r="B1242" s="1" t="s">
        <v>23</v>
      </c>
      <c r="C1242" s="1" t="s">
        <v>24</v>
      </c>
      <c r="D1242" s="1" t="n">
        <v>19.22</v>
      </c>
      <c r="E1242" s="1" t="n">
        <v>24</v>
      </c>
      <c r="F1242" s="4" t="n">
        <v>45461</v>
      </c>
      <c r="G1242" s="1" t="s">
        <v>25</v>
      </c>
      <c r="H1242" s="1" t="n">
        <v>0</v>
      </c>
      <c r="I1242" s="1" t="n">
        <v>69</v>
      </c>
      <c r="J1242" s="1" t="n">
        <v>18</v>
      </c>
      <c r="K1242" s="1" t="n">
        <v>7</v>
      </c>
      <c r="L1242" s="1" t="n">
        <v>3</v>
      </c>
      <c r="M1242" s="1" t="n">
        <v>1</v>
      </c>
      <c r="N1242" s="1" t="n">
        <v>461.28</v>
      </c>
      <c r="O1242" s="1" t="n">
        <v>0</v>
      </c>
      <c r="Q1242" s="4" t="n">
        <v>46191</v>
      </c>
      <c r="R1242" s="0" t="n">
        <f aca="false">IF(ISBLANK(F1242),"Missing",IFERROR(YEAR(F1242),"Missing"))</f>
        <v>2024</v>
      </c>
      <c r="S1242" s="0" t="str">
        <f aca="false">IF(ISBLANK(E1242),"Missing",IF(E1242&lt;6,"0-6mo",IF(E1242&lt;12,"6-12mo",IF(E1242&lt;24,"12-24mo","24mo+"))))</f>
        <v>24mo+</v>
      </c>
      <c r="T1242" s="0" t="n">
        <f aca="false">IF(ISBLANK(C1242),0,IF(C1242="Month-to-month",2,IF(C1242="One year",1,0)))+IF(ISBLANK(I1242),0,IF(I1242&lt;40,2,IF(I1242&lt;55,1,0)))+IF(ISBLANK(M1242),0,IF(M1242=1,3,0))+IF(ISBLANK(L1242),0,IF(L1242&gt;=2,1,0))+IF(ISBLANK(E1242),0,IF(E1242&lt;12,1,0))</f>
        <v>6</v>
      </c>
      <c r="U1242" s="0" t="str">
        <f aca="false">IF((ISBLANK(B1242)*1+ISBLANK(C1242)*1+ISBLANK(D1242)*1+ISBLANK(E1242)*1+ISBLANK(F1242)*1+ISBLANK(I1242)*1+ISBLANK(J1242)*1+ISBLANK(K1242)*1+ISBLANK(L1242)*1+ISBLANK(M1242)*1+ISBLANK(N1242)*1+ISBLANK(O1242)*1)&gt;0,"Missing Data","OK")</f>
        <v>OK</v>
      </c>
      <c r="V1242" s="0" t="str">
        <f aca="false">IF(T1242&gt;=6,"High Risk",IF(T1242&gt;=3,"Medium Risk","Low Risk"))</f>
        <v>High Risk</v>
      </c>
    </row>
    <row r="1243" customFormat="false" ht="12.8" hidden="false" customHeight="false" outlineLevel="0" collapsed="false">
      <c r="A1243" s="1" t="s">
        <v>1273</v>
      </c>
      <c r="B1243" s="1" t="s">
        <v>36</v>
      </c>
      <c r="C1243" s="1" t="s">
        <v>51</v>
      </c>
      <c r="D1243" s="1" t="n">
        <v>11.02</v>
      </c>
      <c r="E1243" s="1" t="n">
        <v>24</v>
      </c>
      <c r="F1243" s="4" t="n">
        <v>45464</v>
      </c>
      <c r="G1243" s="1" t="s">
        <v>25</v>
      </c>
      <c r="H1243" s="1" t="n">
        <v>0</v>
      </c>
      <c r="I1243" s="1" t="n">
        <v>51.8</v>
      </c>
      <c r="J1243" s="1" t="n">
        <v>17</v>
      </c>
      <c r="K1243" s="1" t="n">
        <v>5</v>
      </c>
      <c r="L1243" s="1" t="n">
        <v>1</v>
      </c>
      <c r="M1243" s="1" t="n">
        <v>1</v>
      </c>
      <c r="N1243" s="1" t="n">
        <v>264.48</v>
      </c>
      <c r="O1243" s="1" t="n">
        <v>0</v>
      </c>
      <c r="Q1243" s="4" t="n">
        <v>46194</v>
      </c>
      <c r="R1243" s="0" t="n">
        <f aca="false">IF(ISBLANK(F1243),"Missing",IFERROR(YEAR(F1243),"Missing"))</f>
        <v>2024</v>
      </c>
      <c r="S1243" s="0" t="str">
        <f aca="false">IF(ISBLANK(E1243),"Missing",IF(E1243&lt;6,"0-6mo",IF(E1243&lt;12,"6-12mo",IF(E1243&lt;24,"12-24mo","24mo+"))))</f>
        <v>24mo+</v>
      </c>
      <c r="T1243" s="0" t="n">
        <f aca="false">IF(ISBLANK(C1243),0,IF(C1243="Month-to-month",2,IF(C1243="One year",1,0)))+IF(ISBLANK(I1243),0,IF(I1243&lt;40,2,IF(I1243&lt;55,1,0)))+IF(ISBLANK(M1243),0,IF(M1243=1,3,0))+IF(ISBLANK(L1243),0,IF(L1243&gt;=2,1,0))+IF(ISBLANK(E1243),0,IF(E1243&lt;12,1,0))</f>
        <v>4</v>
      </c>
      <c r="U1243" s="0" t="str">
        <f aca="false">IF((ISBLANK(B1243)*1+ISBLANK(C1243)*1+ISBLANK(D1243)*1+ISBLANK(E1243)*1+ISBLANK(F1243)*1+ISBLANK(I1243)*1+ISBLANK(J1243)*1+ISBLANK(K1243)*1+ISBLANK(L1243)*1+ISBLANK(M1243)*1+ISBLANK(N1243)*1+ISBLANK(O1243)*1)&gt;0,"Missing Data","OK")</f>
        <v>OK</v>
      </c>
      <c r="V1243" s="0" t="str">
        <f aca="false">IF(T1243&gt;=6,"High Risk",IF(T1243&gt;=3,"Medium Risk","Low Risk"))</f>
        <v>Medium Risk</v>
      </c>
    </row>
    <row r="1244" customFormat="false" ht="12.8" hidden="false" customHeight="false" outlineLevel="0" collapsed="false">
      <c r="A1244" s="1" t="s">
        <v>1274</v>
      </c>
      <c r="B1244" s="1" t="s">
        <v>36</v>
      </c>
      <c r="C1244" s="1" t="s">
        <v>24</v>
      </c>
      <c r="D1244" s="1" t="n">
        <v>10.55</v>
      </c>
      <c r="E1244" s="1" t="n">
        <v>0</v>
      </c>
      <c r="F1244" s="4" t="n">
        <v>45465</v>
      </c>
      <c r="G1244" s="1" t="s">
        <v>25</v>
      </c>
      <c r="H1244" s="1" t="n">
        <v>0</v>
      </c>
      <c r="I1244" s="1" t="n">
        <v>46.4</v>
      </c>
      <c r="J1244" s="1" t="n">
        <v>14</v>
      </c>
      <c r="K1244" s="1" t="n">
        <v>3</v>
      </c>
      <c r="L1244" s="1" t="n">
        <v>0</v>
      </c>
      <c r="M1244" s="1" t="n">
        <v>0</v>
      </c>
      <c r="N1244" s="1" t="n">
        <v>0</v>
      </c>
      <c r="O1244" s="1" t="n">
        <v>0</v>
      </c>
      <c r="Q1244" s="4" t="n">
        <v>45465</v>
      </c>
      <c r="R1244" s="0" t="n">
        <f aca="false">IF(ISBLANK(F1244),"Missing",IFERROR(YEAR(F1244),"Missing"))</f>
        <v>2024</v>
      </c>
      <c r="S1244" s="0" t="str">
        <f aca="false">IF(ISBLANK(E1244),"Missing",IF(E1244&lt;6,"0-6mo",IF(E1244&lt;12,"6-12mo",IF(E1244&lt;24,"12-24mo","24mo+"))))</f>
        <v>0-6mo</v>
      </c>
      <c r="T1244" s="0" t="n">
        <f aca="false">IF(ISBLANK(C1244),0,IF(C1244="Month-to-month",2,IF(C1244="One year",1,0)))+IF(ISBLANK(I1244),0,IF(I1244&lt;40,2,IF(I1244&lt;55,1,0)))+IF(ISBLANK(M1244),0,IF(M1244=1,3,0))+IF(ISBLANK(L1244),0,IF(L1244&gt;=2,1,0))+IF(ISBLANK(E1244),0,IF(E1244&lt;12,1,0))</f>
        <v>4</v>
      </c>
      <c r="U1244" s="0" t="str">
        <f aca="false">IF((ISBLANK(B1244)*1+ISBLANK(C1244)*1+ISBLANK(D1244)*1+ISBLANK(E1244)*1+ISBLANK(F1244)*1+ISBLANK(I1244)*1+ISBLANK(J1244)*1+ISBLANK(K1244)*1+ISBLANK(L1244)*1+ISBLANK(M1244)*1+ISBLANK(N1244)*1+ISBLANK(O1244)*1)&gt;0,"Missing Data","OK")</f>
        <v>OK</v>
      </c>
      <c r="V1244" s="0" t="str">
        <f aca="false">IF(T1244&gt;=6,"High Risk",IF(T1244&gt;=3,"Medium Risk","Low Risk"))</f>
        <v>Medium Risk</v>
      </c>
    </row>
    <row r="1245" customFormat="false" ht="12.8" hidden="false" customHeight="false" outlineLevel="0" collapsed="false">
      <c r="A1245" s="1" t="s">
        <v>1275</v>
      </c>
      <c r="B1245" s="1" t="s">
        <v>29</v>
      </c>
      <c r="C1245" s="1" t="s">
        <v>51</v>
      </c>
      <c r="D1245" s="1" t="n">
        <v>38.15</v>
      </c>
      <c r="E1245" s="1" t="n">
        <v>9</v>
      </c>
      <c r="F1245" s="4" t="n">
        <v>45465</v>
      </c>
      <c r="G1245" s="1" t="s">
        <v>25</v>
      </c>
      <c r="H1245" s="1" t="n">
        <v>0</v>
      </c>
      <c r="I1245" s="1" t="n">
        <v>44.7</v>
      </c>
      <c r="J1245" s="1" t="n">
        <v>13</v>
      </c>
      <c r="K1245" s="1" t="n">
        <v>3</v>
      </c>
      <c r="L1245" s="1" t="n">
        <v>0</v>
      </c>
      <c r="M1245" s="1" t="n">
        <v>0</v>
      </c>
      <c r="N1245" s="1" t="n">
        <v>343.35</v>
      </c>
      <c r="O1245" s="1" t="n">
        <v>0</v>
      </c>
      <c r="Q1245" s="4" t="n">
        <v>45738</v>
      </c>
      <c r="R1245" s="0" t="n">
        <f aca="false">IF(ISBLANK(F1245),"Missing",IFERROR(YEAR(F1245),"Missing"))</f>
        <v>2024</v>
      </c>
      <c r="S1245" s="0" t="str">
        <f aca="false">IF(ISBLANK(E1245),"Missing",IF(E1245&lt;6,"0-6mo",IF(E1245&lt;12,"6-12mo",IF(E1245&lt;24,"12-24mo","24mo+"))))</f>
        <v>6-12mo</v>
      </c>
      <c r="T1245" s="0" t="n">
        <f aca="false">IF(ISBLANK(C1245),0,IF(C1245="Month-to-month",2,IF(C1245="One year",1,0)))+IF(ISBLANK(I1245),0,IF(I1245&lt;40,2,IF(I1245&lt;55,1,0)))+IF(ISBLANK(M1245),0,IF(M1245=1,3,0))+IF(ISBLANK(L1245),0,IF(L1245&gt;=2,1,0))+IF(ISBLANK(E1245),0,IF(E1245&lt;12,1,0))</f>
        <v>2</v>
      </c>
      <c r="U1245" s="0" t="str">
        <f aca="false">IF((ISBLANK(B1245)*1+ISBLANK(C1245)*1+ISBLANK(D1245)*1+ISBLANK(E1245)*1+ISBLANK(F1245)*1+ISBLANK(I1245)*1+ISBLANK(J1245)*1+ISBLANK(K1245)*1+ISBLANK(L1245)*1+ISBLANK(M1245)*1+ISBLANK(N1245)*1+ISBLANK(O1245)*1)&gt;0,"Missing Data","OK")</f>
        <v>OK</v>
      </c>
      <c r="V1245" s="0" t="str">
        <f aca="false">IF(T1245&gt;=6,"High Risk",IF(T1245&gt;=3,"Medium Risk","Low Risk"))</f>
        <v>Low Risk</v>
      </c>
    </row>
    <row r="1246" customFormat="false" ht="12.8" hidden="false" customHeight="false" outlineLevel="0" collapsed="false">
      <c r="A1246" s="1" t="s">
        <v>1276</v>
      </c>
      <c r="B1246" s="1" t="s">
        <v>36</v>
      </c>
      <c r="C1246" s="1" t="s">
        <v>51</v>
      </c>
      <c r="D1246" s="1" t="n">
        <v>9.55</v>
      </c>
      <c r="E1246" s="1" t="n">
        <v>72</v>
      </c>
      <c r="F1246" s="4" t="n">
        <v>45467</v>
      </c>
      <c r="G1246" s="1" t="s">
        <v>25</v>
      </c>
      <c r="H1246" s="1" t="n">
        <v>1</v>
      </c>
      <c r="I1246" s="1" t="n">
        <v>46.2</v>
      </c>
      <c r="J1246" s="1" t="n">
        <v>17</v>
      </c>
      <c r="K1246" s="1" t="n">
        <v>4</v>
      </c>
      <c r="L1246" s="1" t="n">
        <v>2</v>
      </c>
      <c r="M1246" s="1" t="n">
        <v>0</v>
      </c>
      <c r="N1246" s="1" t="n">
        <v>687.6</v>
      </c>
      <c r="O1246" s="1" t="n">
        <v>0</v>
      </c>
      <c r="Q1246" s="4" t="n">
        <v>46293</v>
      </c>
      <c r="R1246" s="0" t="n">
        <f aca="false">IF(ISBLANK(F1246),"Missing",IFERROR(YEAR(F1246),"Missing"))</f>
        <v>2024</v>
      </c>
      <c r="S1246" s="0" t="str">
        <f aca="false">IF(ISBLANK(E1246),"Missing",IF(E1246&lt;6,"0-6mo",IF(E1246&lt;12,"6-12mo",IF(E1246&lt;24,"12-24mo","24mo+"))))</f>
        <v>24mo+</v>
      </c>
      <c r="T1246" s="0" t="n">
        <f aca="false">IF(ISBLANK(C1246),0,IF(C1246="Month-to-month",2,IF(C1246="One year",1,0)))+IF(ISBLANK(I1246),0,IF(I1246&lt;40,2,IF(I1246&lt;55,1,0)))+IF(ISBLANK(M1246),0,IF(M1246=1,3,0))+IF(ISBLANK(L1246),0,IF(L1246&gt;=2,1,0))+IF(ISBLANK(E1246),0,IF(E1246&lt;12,1,0))</f>
        <v>2</v>
      </c>
      <c r="U1246" s="0" t="str">
        <f aca="false">IF((ISBLANK(B1246)*1+ISBLANK(C1246)*1+ISBLANK(D1246)*1+ISBLANK(E1246)*1+ISBLANK(F1246)*1+ISBLANK(I1246)*1+ISBLANK(J1246)*1+ISBLANK(K1246)*1+ISBLANK(L1246)*1+ISBLANK(M1246)*1+ISBLANK(N1246)*1+ISBLANK(O1246)*1)&gt;0,"Missing Data","OK")</f>
        <v>OK</v>
      </c>
      <c r="V1246" s="0" t="str">
        <f aca="false">IF(T1246&gt;=6,"High Risk",IF(T1246&gt;=3,"Medium Risk","Low Risk"))</f>
        <v>Low Risk</v>
      </c>
    </row>
    <row r="1247" customFormat="false" ht="12.8" hidden="false" customHeight="false" outlineLevel="0" collapsed="false">
      <c r="A1247" s="1" t="s">
        <v>1277</v>
      </c>
      <c r="B1247" s="1" t="s">
        <v>36</v>
      </c>
      <c r="C1247" s="1" t="s">
        <v>24</v>
      </c>
      <c r="D1247" s="1" t="n">
        <v>11.63</v>
      </c>
      <c r="E1247" s="1" t="n">
        <v>33</v>
      </c>
      <c r="F1247" s="4" t="n">
        <v>45469</v>
      </c>
      <c r="G1247" s="1" t="s">
        <v>30</v>
      </c>
      <c r="H1247" s="1" t="n">
        <v>1</v>
      </c>
      <c r="I1247" s="1" t="n">
        <v>36</v>
      </c>
      <c r="J1247" s="1" t="n">
        <v>17</v>
      </c>
      <c r="K1247" s="1" t="n">
        <v>5</v>
      </c>
      <c r="L1247" s="1" t="n">
        <v>0</v>
      </c>
      <c r="M1247" s="1" t="n">
        <v>0</v>
      </c>
      <c r="N1247" s="1" t="n">
        <v>383.79</v>
      </c>
      <c r="O1247" s="1" t="n">
        <v>0</v>
      </c>
      <c r="Q1247" s="4" t="n">
        <v>46293</v>
      </c>
      <c r="R1247" s="0" t="n">
        <f aca="false">IF(ISBLANK(F1247),"Missing",IFERROR(YEAR(F1247),"Missing"))</f>
        <v>2024</v>
      </c>
      <c r="S1247" s="0" t="str">
        <f aca="false">IF(ISBLANK(E1247),"Missing",IF(E1247&lt;6,"0-6mo",IF(E1247&lt;12,"6-12mo",IF(E1247&lt;24,"12-24mo","24mo+"))))</f>
        <v>24mo+</v>
      </c>
      <c r="T1247" s="0" t="n">
        <f aca="false">IF(ISBLANK(C1247),0,IF(C1247="Month-to-month",2,IF(C1247="One year",1,0)))+IF(ISBLANK(I1247),0,IF(I1247&lt;40,2,IF(I1247&lt;55,1,0)))+IF(ISBLANK(M1247),0,IF(M1247=1,3,0))+IF(ISBLANK(L1247),0,IF(L1247&gt;=2,1,0))+IF(ISBLANK(E1247),0,IF(E1247&lt;12,1,0))</f>
        <v>4</v>
      </c>
      <c r="U1247" s="0" t="str">
        <f aca="false">IF((ISBLANK(B1247)*1+ISBLANK(C1247)*1+ISBLANK(D1247)*1+ISBLANK(E1247)*1+ISBLANK(F1247)*1+ISBLANK(I1247)*1+ISBLANK(J1247)*1+ISBLANK(K1247)*1+ISBLANK(L1247)*1+ISBLANK(M1247)*1+ISBLANK(N1247)*1+ISBLANK(O1247)*1)&gt;0,"Missing Data","OK")</f>
        <v>OK</v>
      </c>
      <c r="V1247" s="0" t="str">
        <f aca="false">IF(T1247&gt;=6,"High Risk",IF(T1247&gt;=3,"Medium Risk","Low Risk"))</f>
        <v>Medium Risk</v>
      </c>
    </row>
    <row r="1248" customFormat="false" ht="12.8" hidden="false" customHeight="false" outlineLevel="0" collapsed="false">
      <c r="A1248" s="1" t="s">
        <v>1278</v>
      </c>
      <c r="B1248" s="1" t="s">
        <v>23</v>
      </c>
      <c r="C1248" s="1" t="s">
        <v>34</v>
      </c>
      <c r="D1248" s="1" t="n">
        <v>19.78</v>
      </c>
      <c r="E1248" s="1" t="n">
        <v>28</v>
      </c>
      <c r="F1248" s="4" t="n">
        <v>45471</v>
      </c>
      <c r="G1248" s="1" t="s">
        <v>39</v>
      </c>
      <c r="H1248" s="1" t="n">
        <v>0</v>
      </c>
      <c r="I1248" s="1" t="n">
        <v>77.4</v>
      </c>
      <c r="J1248" s="1" t="n">
        <v>35</v>
      </c>
      <c r="K1248" s="1" t="n">
        <v>7</v>
      </c>
      <c r="L1248" s="1" t="n">
        <v>0</v>
      </c>
      <c r="M1248" s="1" t="n">
        <v>0</v>
      </c>
      <c r="N1248" s="1" t="n">
        <v>553.84</v>
      </c>
      <c r="O1248" s="1" t="n">
        <v>0</v>
      </c>
      <c r="Q1248" s="4" t="n">
        <v>46293</v>
      </c>
      <c r="R1248" s="0" t="n">
        <f aca="false">IF(ISBLANK(F1248),"Missing",IFERROR(YEAR(F1248),"Missing"))</f>
        <v>2024</v>
      </c>
      <c r="S1248" s="0" t="str">
        <f aca="false">IF(ISBLANK(E1248),"Missing",IF(E1248&lt;6,"0-6mo",IF(E1248&lt;12,"6-12mo",IF(E1248&lt;24,"12-24mo","24mo+"))))</f>
        <v>24mo+</v>
      </c>
      <c r="T1248" s="0" t="n">
        <f aca="false">IF(ISBLANK(C1248),0,IF(C1248="Month-to-month",2,IF(C1248="One year",1,0)))+IF(ISBLANK(I1248),0,IF(I1248&lt;40,2,IF(I1248&lt;55,1,0)))+IF(ISBLANK(M1248),0,IF(M1248=1,3,0))+IF(ISBLANK(L1248),0,IF(L1248&gt;=2,1,0))+IF(ISBLANK(E1248),0,IF(E1248&lt;12,1,0))</f>
        <v>1</v>
      </c>
      <c r="U1248" s="0" t="str">
        <f aca="false">IF((ISBLANK(B1248)*1+ISBLANK(C1248)*1+ISBLANK(D1248)*1+ISBLANK(E1248)*1+ISBLANK(F1248)*1+ISBLANK(I1248)*1+ISBLANK(J1248)*1+ISBLANK(K1248)*1+ISBLANK(L1248)*1+ISBLANK(M1248)*1+ISBLANK(N1248)*1+ISBLANK(O1248)*1)&gt;0,"Missing Data","OK")</f>
        <v>OK</v>
      </c>
      <c r="V1248" s="0" t="str">
        <f aca="false">IF(T1248&gt;=6,"High Risk",IF(T1248&gt;=3,"Medium Risk","Low Risk"))</f>
        <v>Low Risk</v>
      </c>
    </row>
    <row r="1249" customFormat="false" ht="12.8" hidden="false" customHeight="false" outlineLevel="0" collapsed="false">
      <c r="A1249" s="1" t="s">
        <v>1279</v>
      </c>
      <c r="B1249" s="1" t="s">
        <v>36</v>
      </c>
      <c r="C1249" s="1" t="s">
        <v>24</v>
      </c>
      <c r="D1249" s="1" t="n">
        <v>10.08</v>
      </c>
      <c r="E1249" s="1" t="n">
        <v>14</v>
      </c>
      <c r="F1249" s="4" t="n">
        <v>45472</v>
      </c>
      <c r="G1249" s="1" t="s">
        <v>25</v>
      </c>
      <c r="H1249" s="1" t="n">
        <v>1</v>
      </c>
      <c r="I1249" s="1" t="n">
        <v>100</v>
      </c>
      <c r="J1249" s="1" t="n">
        <v>28</v>
      </c>
      <c r="K1249" s="1" t="n">
        <v>10</v>
      </c>
      <c r="L1249" s="1" t="n">
        <v>2</v>
      </c>
      <c r="M1249" s="1" t="n">
        <v>0</v>
      </c>
      <c r="N1249" s="1" t="n">
        <v>141.12</v>
      </c>
      <c r="O1249" s="1" t="n">
        <v>1</v>
      </c>
      <c r="P1249" s="4" t="n">
        <v>45898</v>
      </c>
      <c r="Q1249" s="4" t="n">
        <v>45898</v>
      </c>
      <c r="R1249" s="0" t="n">
        <f aca="false">IF(ISBLANK(F1249),"Missing",IFERROR(YEAR(F1249),"Missing"))</f>
        <v>2024</v>
      </c>
      <c r="S1249" s="0" t="str">
        <f aca="false">IF(ISBLANK(E1249),"Missing",IF(E1249&lt;6,"0-6mo",IF(E1249&lt;12,"6-12mo",IF(E1249&lt;24,"12-24mo","24mo+"))))</f>
        <v>12-24mo</v>
      </c>
      <c r="T1249" s="0" t="n">
        <f aca="false">IF(ISBLANK(C1249),0,IF(C1249="Month-to-month",2,IF(C1249="One year",1,0)))+IF(ISBLANK(I1249),0,IF(I1249&lt;40,2,IF(I1249&lt;55,1,0)))+IF(ISBLANK(M1249),0,IF(M1249=1,3,0))+IF(ISBLANK(L1249),0,IF(L1249&gt;=2,1,0))+IF(ISBLANK(E1249),0,IF(E1249&lt;12,1,0))</f>
        <v>3</v>
      </c>
      <c r="U1249" s="0" t="str">
        <f aca="false">IF((ISBLANK(B1249)*1+ISBLANK(C1249)*1+ISBLANK(D1249)*1+ISBLANK(E1249)*1+ISBLANK(F1249)*1+ISBLANK(I1249)*1+ISBLANK(J1249)*1+ISBLANK(K1249)*1+ISBLANK(L1249)*1+ISBLANK(M1249)*1+ISBLANK(N1249)*1+ISBLANK(O1249)*1)&gt;0,"Missing Data","OK")</f>
        <v>OK</v>
      </c>
      <c r="V1249" s="0" t="str">
        <f aca="false">IF(T1249&gt;=6,"High Risk",IF(T1249&gt;=3,"Medium Risk","Low Risk"))</f>
        <v>Medium Risk</v>
      </c>
    </row>
    <row r="1250" customFormat="false" ht="12.8" hidden="false" customHeight="false" outlineLevel="0" collapsed="false">
      <c r="A1250" s="1" t="s">
        <v>1280</v>
      </c>
      <c r="B1250" s="1" t="s">
        <v>23</v>
      </c>
      <c r="C1250" s="1" t="s">
        <v>34</v>
      </c>
      <c r="D1250" s="1" t="n">
        <v>18.43</v>
      </c>
      <c r="E1250" s="1" t="n">
        <v>70</v>
      </c>
      <c r="F1250" s="4" t="n">
        <v>45472</v>
      </c>
      <c r="G1250" s="1" t="s">
        <v>27</v>
      </c>
      <c r="H1250" s="1" t="n">
        <v>1</v>
      </c>
      <c r="I1250" s="1" t="n">
        <v>48.1</v>
      </c>
      <c r="J1250" s="1" t="n">
        <v>12</v>
      </c>
      <c r="K1250" s="1" t="n">
        <v>6</v>
      </c>
      <c r="L1250" s="1" t="n">
        <v>1</v>
      </c>
      <c r="M1250" s="1" t="n">
        <v>0</v>
      </c>
      <c r="N1250" s="1" t="n">
        <v>1290.1</v>
      </c>
      <c r="O1250" s="1" t="n">
        <v>0</v>
      </c>
      <c r="Q1250" s="4" t="n">
        <v>46293</v>
      </c>
      <c r="R1250" s="0" t="n">
        <f aca="false">IF(ISBLANK(F1250),"Missing",IFERROR(YEAR(F1250),"Missing"))</f>
        <v>2024</v>
      </c>
      <c r="S1250" s="0" t="str">
        <f aca="false">IF(ISBLANK(E1250),"Missing",IF(E1250&lt;6,"0-6mo",IF(E1250&lt;12,"6-12mo",IF(E1250&lt;24,"12-24mo","24mo+"))))</f>
        <v>24mo+</v>
      </c>
      <c r="T1250" s="0" t="n">
        <f aca="false">IF(ISBLANK(C1250),0,IF(C1250="Month-to-month",2,IF(C1250="One year",1,0)))+IF(ISBLANK(I1250),0,IF(I1250&lt;40,2,IF(I1250&lt;55,1,0)))+IF(ISBLANK(M1250),0,IF(M1250=1,3,0))+IF(ISBLANK(L1250),0,IF(L1250&gt;=2,1,0))+IF(ISBLANK(E1250),0,IF(E1250&lt;12,1,0))</f>
        <v>2</v>
      </c>
      <c r="U1250" s="0" t="str">
        <f aca="false">IF((ISBLANK(B1250)*1+ISBLANK(C1250)*1+ISBLANK(D1250)*1+ISBLANK(E1250)*1+ISBLANK(F1250)*1+ISBLANK(I1250)*1+ISBLANK(J1250)*1+ISBLANK(K1250)*1+ISBLANK(L1250)*1+ISBLANK(M1250)*1+ISBLANK(N1250)*1+ISBLANK(O1250)*1)&gt;0,"Missing Data","OK")</f>
        <v>OK</v>
      </c>
      <c r="V1250" s="0" t="str">
        <f aca="false">IF(T1250&gt;=6,"High Risk",IF(T1250&gt;=3,"Medium Risk","Low Risk"))</f>
        <v>Low Risk</v>
      </c>
    </row>
    <row r="1251" customFormat="false" ht="12.8" hidden="false" customHeight="false" outlineLevel="0" collapsed="false">
      <c r="A1251" s="1" t="s">
        <v>1281</v>
      </c>
      <c r="B1251" s="1" t="s">
        <v>29</v>
      </c>
      <c r="C1251" s="1" t="s">
        <v>24</v>
      </c>
      <c r="D1251" s="1" t="n">
        <v>40.43</v>
      </c>
      <c r="E1251" s="1" t="n">
        <v>14</v>
      </c>
      <c r="F1251" s="4" t="n">
        <v>45474</v>
      </c>
      <c r="G1251" s="1" t="s">
        <v>30</v>
      </c>
      <c r="H1251" s="1" t="n">
        <v>1</v>
      </c>
      <c r="I1251" s="1" t="n">
        <v>74.4</v>
      </c>
      <c r="J1251" s="1" t="n">
        <v>16</v>
      </c>
      <c r="K1251" s="1" t="n">
        <v>5</v>
      </c>
      <c r="L1251" s="1" t="n">
        <v>1</v>
      </c>
      <c r="M1251" s="1" t="n">
        <v>1</v>
      </c>
      <c r="N1251" s="1" t="n">
        <v>566.02</v>
      </c>
      <c r="O1251" s="1" t="n">
        <v>1</v>
      </c>
      <c r="P1251" s="4" t="n">
        <v>45900</v>
      </c>
      <c r="Q1251" s="4" t="n">
        <v>45900</v>
      </c>
      <c r="R1251" s="0" t="n">
        <f aca="false">IF(ISBLANK(F1251),"Missing",IFERROR(YEAR(F1251),"Missing"))</f>
        <v>2024</v>
      </c>
      <c r="S1251" s="0" t="str">
        <f aca="false">IF(ISBLANK(E1251),"Missing",IF(E1251&lt;6,"0-6mo",IF(E1251&lt;12,"6-12mo",IF(E1251&lt;24,"12-24mo","24mo+"))))</f>
        <v>12-24mo</v>
      </c>
      <c r="T1251" s="0" t="n">
        <f aca="false">IF(ISBLANK(C1251),0,IF(C1251="Month-to-month",2,IF(C1251="One year",1,0)))+IF(ISBLANK(I1251),0,IF(I1251&lt;40,2,IF(I1251&lt;55,1,0)))+IF(ISBLANK(M1251),0,IF(M1251=1,3,0))+IF(ISBLANK(L1251),0,IF(L1251&gt;=2,1,0))+IF(ISBLANK(E1251),0,IF(E1251&lt;12,1,0))</f>
        <v>5</v>
      </c>
      <c r="U1251" s="0" t="str">
        <f aca="false">IF((ISBLANK(B1251)*1+ISBLANK(C1251)*1+ISBLANK(D1251)*1+ISBLANK(E1251)*1+ISBLANK(F1251)*1+ISBLANK(I1251)*1+ISBLANK(J1251)*1+ISBLANK(K1251)*1+ISBLANK(L1251)*1+ISBLANK(M1251)*1+ISBLANK(N1251)*1+ISBLANK(O1251)*1)&gt;0,"Missing Data","OK")</f>
        <v>OK</v>
      </c>
      <c r="V1251" s="0" t="str">
        <f aca="false">IF(T1251&gt;=6,"High Risk",IF(T1251&gt;=3,"Medium Risk","Low Risk"))</f>
        <v>Medium Risk</v>
      </c>
    </row>
    <row r="1252" customFormat="false" ht="12.8" hidden="false" customHeight="false" outlineLevel="0" collapsed="false">
      <c r="A1252" s="1" t="s">
        <v>1282</v>
      </c>
      <c r="B1252" s="1" t="s">
        <v>29</v>
      </c>
      <c r="C1252" s="1" t="s">
        <v>24</v>
      </c>
      <c r="D1252" s="1" t="n">
        <v>40.88</v>
      </c>
      <c r="E1252" s="1" t="n">
        <v>9</v>
      </c>
      <c r="F1252" s="4" t="n">
        <v>45479</v>
      </c>
      <c r="G1252" s="1" t="s">
        <v>39</v>
      </c>
      <c r="H1252" s="1" t="n">
        <v>1</v>
      </c>
      <c r="I1252" s="1" t="n">
        <v>61</v>
      </c>
      <c r="J1252" s="1" t="n">
        <v>15</v>
      </c>
      <c r="K1252" s="1" t="n">
        <v>4</v>
      </c>
      <c r="L1252" s="1" t="n">
        <v>1</v>
      </c>
      <c r="M1252" s="1" t="n">
        <v>0</v>
      </c>
      <c r="N1252" s="1" t="n">
        <v>367.92</v>
      </c>
      <c r="O1252" s="1" t="n">
        <v>0</v>
      </c>
      <c r="Q1252" s="4" t="n">
        <v>45752</v>
      </c>
      <c r="R1252" s="0" t="n">
        <f aca="false">IF(ISBLANK(F1252),"Missing",IFERROR(YEAR(F1252),"Missing"))</f>
        <v>2024</v>
      </c>
      <c r="S1252" s="0" t="str">
        <f aca="false">IF(ISBLANK(E1252),"Missing",IF(E1252&lt;6,"0-6mo",IF(E1252&lt;12,"6-12mo",IF(E1252&lt;24,"12-24mo","24mo+"))))</f>
        <v>6-12mo</v>
      </c>
      <c r="T1252" s="0" t="n">
        <f aca="false">IF(ISBLANK(C1252),0,IF(C1252="Month-to-month",2,IF(C1252="One year",1,0)))+IF(ISBLANK(I1252),0,IF(I1252&lt;40,2,IF(I1252&lt;55,1,0)))+IF(ISBLANK(M1252),0,IF(M1252=1,3,0))+IF(ISBLANK(L1252),0,IF(L1252&gt;=2,1,0))+IF(ISBLANK(E1252),0,IF(E1252&lt;12,1,0))</f>
        <v>3</v>
      </c>
      <c r="U1252" s="0" t="str">
        <f aca="false">IF((ISBLANK(B1252)*1+ISBLANK(C1252)*1+ISBLANK(D1252)*1+ISBLANK(E1252)*1+ISBLANK(F1252)*1+ISBLANK(I1252)*1+ISBLANK(J1252)*1+ISBLANK(K1252)*1+ISBLANK(L1252)*1+ISBLANK(M1252)*1+ISBLANK(N1252)*1+ISBLANK(O1252)*1)&gt;0,"Missing Data","OK")</f>
        <v>OK</v>
      </c>
      <c r="V1252" s="0" t="str">
        <f aca="false">IF(T1252&gt;=6,"High Risk",IF(T1252&gt;=3,"Medium Risk","Low Risk"))</f>
        <v>Medium Risk</v>
      </c>
    </row>
    <row r="1253" customFormat="false" ht="12.8" hidden="false" customHeight="false" outlineLevel="0" collapsed="false">
      <c r="A1253" s="1" t="s">
        <v>1283</v>
      </c>
      <c r="B1253" s="1" t="s">
        <v>23</v>
      </c>
      <c r="C1253" s="1" t="s">
        <v>34</v>
      </c>
      <c r="D1253" s="1" t="n">
        <v>20.36</v>
      </c>
      <c r="E1253" s="1" t="n">
        <v>33</v>
      </c>
      <c r="F1253" s="4" t="n">
        <v>45479</v>
      </c>
      <c r="G1253" s="1" t="s">
        <v>27</v>
      </c>
      <c r="H1253" s="1" t="n">
        <v>1</v>
      </c>
      <c r="I1253" s="1" t="n">
        <v>74.4</v>
      </c>
      <c r="J1253" s="1" t="n">
        <v>24</v>
      </c>
      <c r="K1253" s="1" t="n">
        <v>7</v>
      </c>
      <c r="L1253" s="1" t="n">
        <v>1</v>
      </c>
      <c r="M1253" s="1" t="n">
        <v>1</v>
      </c>
      <c r="N1253" s="1" t="n">
        <v>671.88</v>
      </c>
      <c r="O1253" s="1" t="n">
        <v>0</v>
      </c>
      <c r="Q1253" s="4" t="n">
        <v>46293</v>
      </c>
      <c r="R1253" s="0" t="n">
        <f aca="false">IF(ISBLANK(F1253),"Missing",IFERROR(YEAR(F1253),"Missing"))</f>
        <v>2024</v>
      </c>
      <c r="S1253" s="0" t="str">
        <f aca="false">IF(ISBLANK(E1253),"Missing",IF(E1253&lt;6,"0-6mo",IF(E1253&lt;12,"6-12mo",IF(E1253&lt;24,"12-24mo","24mo+"))))</f>
        <v>24mo+</v>
      </c>
      <c r="T1253" s="0" t="n">
        <f aca="false">IF(ISBLANK(C1253),0,IF(C1253="Month-to-month",2,IF(C1253="One year",1,0)))+IF(ISBLANK(I1253),0,IF(I1253&lt;40,2,IF(I1253&lt;55,1,0)))+IF(ISBLANK(M1253),0,IF(M1253=1,3,0))+IF(ISBLANK(L1253),0,IF(L1253&gt;=2,1,0))+IF(ISBLANK(E1253),0,IF(E1253&lt;12,1,0))</f>
        <v>4</v>
      </c>
      <c r="U1253" s="0" t="str">
        <f aca="false">IF((ISBLANK(B1253)*1+ISBLANK(C1253)*1+ISBLANK(D1253)*1+ISBLANK(E1253)*1+ISBLANK(F1253)*1+ISBLANK(I1253)*1+ISBLANK(J1253)*1+ISBLANK(K1253)*1+ISBLANK(L1253)*1+ISBLANK(M1253)*1+ISBLANK(N1253)*1+ISBLANK(O1253)*1)&gt;0,"Missing Data","OK")</f>
        <v>OK</v>
      </c>
      <c r="V1253" s="0" t="str">
        <f aca="false">IF(T1253&gt;=6,"High Risk",IF(T1253&gt;=3,"Medium Risk","Low Risk"))</f>
        <v>Medium Risk</v>
      </c>
    </row>
    <row r="1254" customFormat="false" ht="12.8" hidden="false" customHeight="false" outlineLevel="0" collapsed="false">
      <c r="A1254" s="1" t="s">
        <v>1284</v>
      </c>
      <c r="B1254" s="1" t="s">
        <v>36</v>
      </c>
      <c r="C1254" s="1" t="s">
        <v>24</v>
      </c>
      <c r="D1254" s="1" t="n">
        <v>10.49</v>
      </c>
      <c r="E1254" s="1" t="n">
        <v>11</v>
      </c>
      <c r="F1254" s="4" t="n">
        <v>45479</v>
      </c>
      <c r="G1254" s="1" t="s">
        <v>25</v>
      </c>
      <c r="H1254" s="1" t="n">
        <v>1</v>
      </c>
      <c r="I1254" s="1" t="n">
        <v>32.4</v>
      </c>
      <c r="J1254" s="1" t="n">
        <v>6</v>
      </c>
      <c r="K1254" s="1" t="n">
        <v>6</v>
      </c>
      <c r="L1254" s="1" t="n">
        <v>1</v>
      </c>
      <c r="M1254" s="1" t="n">
        <v>1</v>
      </c>
      <c r="N1254" s="1" t="n">
        <v>115.39</v>
      </c>
      <c r="O1254" s="1" t="n">
        <v>0</v>
      </c>
      <c r="Q1254" s="4" t="n">
        <v>45813</v>
      </c>
      <c r="R1254" s="0" t="n">
        <f aca="false">IF(ISBLANK(F1254),"Missing",IFERROR(YEAR(F1254),"Missing"))</f>
        <v>2024</v>
      </c>
      <c r="S1254" s="0" t="str">
        <f aca="false">IF(ISBLANK(E1254),"Missing",IF(E1254&lt;6,"0-6mo",IF(E1254&lt;12,"6-12mo",IF(E1254&lt;24,"12-24mo","24mo+"))))</f>
        <v>6-12mo</v>
      </c>
      <c r="T1254" s="0" t="n">
        <f aca="false">IF(ISBLANK(C1254),0,IF(C1254="Month-to-month",2,IF(C1254="One year",1,0)))+IF(ISBLANK(I1254),0,IF(I1254&lt;40,2,IF(I1254&lt;55,1,0)))+IF(ISBLANK(M1254),0,IF(M1254=1,3,0))+IF(ISBLANK(L1254),0,IF(L1254&gt;=2,1,0))+IF(ISBLANK(E1254),0,IF(E1254&lt;12,1,0))</f>
        <v>8</v>
      </c>
      <c r="U1254" s="0" t="str">
        <f aca="false">IF((ISBLANK(B1254)*1+ISBLANK(C1254)*1+ISBLANK(D1254)*1+ISBLANK(E1254)*1+ISBLANK(F1254)*1+ISBLANK(I1254)*1+ISBLANK(J1254)*1+ISBLANK(K1254)*1+ISBLANK(L1254)*1+ISBLANK(M1254)*1+ISBLANK(N1254)*1+ISBLANK(O1254)*1)&gt;0,"Missing Data","OK")</f>
        <v>OK</v>
      </c>
      <c r="V1254" s="0" t="str">
        <f aca="false">IF(T1254&gt;=6,"High Risk",IF(T1254&gt;=3,"Medium Risk","Low Risk"))</f>
        <v>High Risk</v>
      </c>
    </row>
    <row r="1255" customFormat="false" ht="12.8" hidden="false" customHeight="false" outlineLevel="0" collapsed="false">
      <c r="A1255" s="1" t="s">
        <v>1285</v>
      </c>
      <c r="B1255" s="1" t="s">
        <v>36</v>
      </c>
      <c r="C1255" s="1" t="s">
        <v>24</v>
      </c>
      <c r="D1255" s="1" t="n">
        <v>8.12</v>
      </c>
      <c r="E1255" s="1" t="n">
        <v>10</v>
      </c>
      <c r="F1255" s="4" t="n">
        <v>45483</v>
      </c>
      <c r="G1255" s="1" t="s">
        <v>25</v>
      </c>
      <c r="H1255" s="1" t="n">
        <v>1</v>
      </c>
      <c r="I1255" s="1" t="n">
        <v>58.7</v>
      </c>
      <c r="J1255" s="1" t="n">
        <v>18</v>
      </c>
      <c r="K1255" s="1" t="n">
        <v>6</v>
      </c>
      <c r="L1255" s="1" t="n">
        <v>0</v>
      </c>
      <c r="M1255" s="1" t="n">
        <v>0</v>
      </c>
      <c r="N1255" s="1" t="n">
        <v>81.2</v>
      </c>
      <c r="O1255" s="1" t="n">
        <v>1</v>
      </c>
      <c r="P1255" s="4" t="n">
        <v>45787</v>
      </c>
      <c r="Q1255" s="4" t="n">
        <v>45787</v>
      </c>
      <c r="R1255" s="0" t="n">
        <f aca="false">IF(ISBLANK(F1255),"Missing",IFERROR(YEAR(F1255),"Missing"))</f>
        <v>2024</v>
      </c>
      <c r="S1255" s="0" t="str">
        <f aca="false">IF(ISBLANK(E1255),"Missing",IF(E1255&lt;6,"0-6mo",IF(E1255&lt;12,"6-12mo",IF(E1255&lt;24,"12-24mo","24mo+"))))</f>
        <v>6-12mo</v>
      </c>
      <c r="T1255" s="0" t="n">
        <f aca="false">IF(ISBLANK(C1255),0,IF(C1255="Month-to-month",2,IF(C1255="One year",1,0)))+IF(ISBLANK(I1255),0,IF(I1255&lt;40,2,IF(I1255&lt;55,1,0)))+IF(ISBLANK(M1255),0,IF(M1255=1,3,0))+IF(ISBLANK(L1255),0,IF(L1255&gt;=2,1,0))+IF(ISBLANK(E1255),0,IF(E1255&lt;12,1,0))</f>
        <v>3</v>
      </c>
      <c r="U1255" s="0" t="str">
        <f aca="false">IF((ISBLANK(B1255)*1+ISBLANK(C1255)*1+ISBLANK(D1255)*1+ISBLANK(E1255)*1+ISBLANK(F1255)*1+ISBLANK(I1255)*1+ISBLANK(J1255)*1+ISBLANK(K1255)*1+ISBLANK(L1255)*1+ISBLANK(M1255)*1+ISBLANK(N1255)*1+ISBLANK(O1255)*1)&gt;0,"Missing Data","OK")</f>
        <v>OK</v>
      </c>
      <c r="V1255" s="0" t="str">
        <f aca="false">IF(T1255&gt;=6,"High Risk",IF(T1255&gt;=3,"Medium Risk","Low Risk"))</f>
        <v>Medium Risk</v>
      </c>
    </row>
    <row r="1256" customFormat="false" ht="12.8" hidden="false" customHeight="false" outlineLevel="0" collapsed="false">
      <c r="A1256" s="1" t="s">
        <v>1286</v>
      </c>
      <c r="B1256" s="1" t="s">
        <v>23</v>
      </c>
      <c r="C1256" s="1" t="s">
        <v>34</v>
      </c>
      <c r="D1256" s="1" t="n">
        <v>20.48</v>
      </c>
      <c r="E1256" s="1" t="n">
        <v>37</v>
      </c>
      <c r="F1256" s="4" t="n">
        <v>45484</v>
      </c>
      <c r="G1256" s="1" t="s">
        <v>30</v>
      </c>
      <c r="H1256" s="1" t="n">
        <v>0</v>
      </c>
      <c r="I1256" s="1" t="n">
        <v>48.7</v>
      </c>
      <c r="J1256" s="1" t="n">
        <v>19</v>
      </c>
      <c r="K1256" s="1" t="n">
        <v>3</v>
      </c>
      <c r="L1256" s="1" t="n">
        <v>3</v>
      </c>
      <c r="M1256" s="1" t="n">
        <v>1</v>
      </c>
      <c r="N1256" s="1" t="n">
        <v>757.76</v>
      </c>
      <c r="O1256" s="1" t="n">
        <v>0</v>
      </c>
      <c r="Q1256" s="4" t="n">
        <v>46293</v>
      </c>
      <c r="R1256" s="0" t="n">
        <f aca="false">IF(ISBLANK(F1256),"Missing",IFERROR(YEAR(F1256),"Missing"))</f>
        <v>2024</v>
      </c>
      <c r="S1256" s="0" t="str">
        <f aca="false">IF(ISBLANK(E1256),"Missing",IF(E1256&lt;6,"0-6mo",IF(E1256&lt;12,"6-12mo",IF(E1256&lt;24,"12-24mo","24mo+"))))</f>
        <v>24mo+</v>
      </c>
      <c r="T1256" s="0" t="n">
        <f aca="false">IF(ISBLANK(C1256),0,IF(C1256="Month-to-month",2,IF(C1256="One year",1,0)))+IF(ISBLANK(I1256),0,IF(I1256&lt;40,2,IF(I1256&lt;55,1,0)))+IF(ISBLANK(M1256),0,IF(M1256=1,3,0))+IF(ISBLANK(L1256),0,IF(L1256&gt;=2,1,0))+IF(ISBLANK(E1256),0,IF(E1256&lt;12,1,0))</f>
        <v>6</v>
      </c>
      <c r="U1256" s="0" t="str">
        <f aca="false">IF((ISBLANK(B1256)*1+ISBLANK(C1256)*1+ISBLANK(D1256)*1+ISBLANK(E1256)*1+ISBLANK(F1256)*1+ISBLANK(I1256)*1+ISBLANK(J1256)*1+ISBLANK(K1256)*1+ISBLANK(L1256)*1+ISBLANK(M1256)*1+ISBLANK(N1256)*1+ISBLANK(O1256)*1)&gt;0,"Missing Data","OK")</f>
        <v>OK</v>
      </c>
      <c r="V1256" s="0" t="str">
        <f aca="false">IF(T1256&gt;=6,"High Risk",IF(T1256&gt;=3,"Medium Risk","Low Risk"))</f>
        <v>High Risk</v>
      </c>
    </row>
    <row r="1257" customFormat="false" ht="12.8" hidden="false" customHeight="false" outlineLevel="0" collapsed="false">
      <c r="A1257" s="1" t="s">
        <v>1287</v>
      </c>
      <c r="B1257" s="1" t="s">
        <v>36</v>
      </c>
      <c r="C1257" s="1" t="s">
        <v>24</v>
      </c>
      <c r="D1257" s="1" t="n">
        <v>10.91</v>
      </c>
      <c r="E1257" s="1" t="n">
        <v>0</v>
      </c>
      <c r="F1257" s="4" t="n">
        <v>45485</v>
      </c>
      <c r="G1257" s="1" t="s">
        <v>25</v>
      </c>
      <c r="H1257" s="1" t="n">
        <v>1</v>
      </c>
      <c r="I1257" s="1" t="n">
        <v>53.3</v>
      </c>
      <c r="J1257" s="1" t="n">
        <v>17</v>
      </c>
      <c r="K1257" s="1" t="n">
        <v>7</v>
      </c>
      <c r="L1257" s="1" t="n">
        <v>0</v>
      </c>
      <c r="M1257" s="1" t="n">
        <v>0</v>
      </c>
      <c r="N1257" s="1" t="n">
        <v>0</v>
      </c>
      <c r="O1257" s="1" t="n">
        <v>0</v>
      </c>
      <c r="Q1257" s="4" t="n">
        <v>45485</v>
      </c>
      <c r="R1257" s="0" t="n">
        <f aca="false">IF(ISBLANK(F1257),"Missing",IFERROR(YEAR(F1257),"Missing"))</f>
        <v>2024</v>
      </c>
      <c r="S1257" s="0" t="str">
        <f aca="false">IF(ISBLANK(E1257),"Missing",IF(E1257&lt;6,"0-6mo",IF(E1257&lt;12,"6-12mo",IF(E1257&lt;24,"12-24mo","24mo+"))))</f>
        <v>0-6mo</v>
      </c>
      <c r="T1257" s="0" t="n">
        <f aca="false">IF(ISBLANK(C1257),0,IF(C1257="Month-to-month",2,IF(C1257="One year",1,0)))+IF(ISBLANK(I1257),0,IF(I1257&lt;40,2,IF(I1257&lt;55,1,0)))+IF(ISBLANK(M1257),0,IF(M1257=1,3,0))+IF(ISBLANK(L1257),0,IF(L1257&gt;=2,1,0))+IF(ISBLANK(E1257),0,IF(E1257&lt;12,1,0))</f>
        <v>4</v>
      </c>
      <c r="U1257" s="0" t="str">
        <f aca="false">IF((ISBLANK(B1257)*1+ISBLANK(C1257)*1+ISBLANK(D1257)*1+ISBLANK(E1257)*1+ISBLANK(F1257)*1+ISBLANK(I1257)*1+ISBLANK(J1257)*1+ISBLANK(K1257)*1+ISBLANK(L1257)*1+ISBLANK(M1257)*1+ISBLANK(N1257)*1+ISBLANK(O1257)*1)&gt;0,"Missing Data","OK")</f>
        <v>OK</v>
      </c>
      <c r="V1257" s="0" t="str">
        <f aca="false">IF(T1257&gt;=6,"High Risk",IF(T1257&gt;=3,"Medium Risk","Low Risk"))</f>
        <v>Medium Risk</v>
      </c>
    </row>
    <row r="1258" customFormat="false" ht="12.8" hidden="false" customHeight="false" outlineLevel="0" collapsed="false">
      <c r="A1258" s="1" t="s">
        <v>1288</v>
      </c>
      <c r="B1258" s="1" t="s">
        <v>36</v>
      </c>
      <c r="C1258" s="1" t="s">
        <v>51</v>
      </c>
      <c r="D1258" s="1" t="n">
        <v>10.12</v>
      </c>
      <c r="E1258" s="1" t="n">
        <v>72</v>
      </c>
      <c r="F1258" s="4" t="n">
        <v>45488</v>
      </c>
      <c r="G1258" s="1" t="s">
        <v>25</v>
      </c>
      <c r="H1258" s="1" t="n">
        <v>1</v>
      </c>
      <c r="I1258" s="1" t="n">
        <v>50.7</v>
      </c>
      <c r="J1258" s="1" t="n">
        <v>18</v>
      </c>
      <c r="K1258" s="1" t="n">
        <v>6</v>
      </c>
      <c r="L1258" s="1" t="n">
        <v>0</v>
      </c>
      <c r="M1258" s="1" t="n">
        <v>0</v>
      </c>
      <c r="N1258" s="1" t="n">
        <v>728.64</v>
      </c>
      <c r="O1258" s="1" t="n">
        <v>0</v>
      </c>
      <c r="Q1258" s="4" t="n">
        <v>46293</v>
      </c>
      <c r="R1258" s="0" t="n">
        <f aca="false">IF(ISBLANK(F1258),"Missing",IFERROR(YEAR(F1258),"Missing"))</f>
        <v>2024</v>
      </c>
      <c r="S1258" s="0" t="str">
        <f aca="false">IF(ISBLANK(E1258),"Missing",IF(E1258&lt;6,"0-6mo",IF(E1258&lt;12,"6-12mo",IF(E1258&lt;24,"12-24mo","24mo+"))))</f>
        <v>24mo+</v>
      </c>
      <c r="T1258" s="0" t="n">
        <f aca="false">IF(ISBLANK(C1258),0,IF(C1258="Month-to-month",2,IF(C1258="One year",1,0)))+IF(ISBLANK(I1258),0,IF(I1258&lt;40,2,IF(I1258&lt;55,1,0)))+IF(ISBLANK(M1258),0,IF(M1258=1,3,0))+IF(ISBLANK(L1258),0,IF(L1258&gt;=2,1,0))+IF(ISBLANK(E1258),0,IF(E1258&lt;12,1,0))</f>
        <v>1</v>
      </c>
      <c r="U1258" s="0" t="str">
        <f aca="false">IF((ISBLANK(B1258)*1+ISBLANK(C1258)*1+ISBLANK(D1258)*1+ISBLANK(E1258)*1+ISBLANK(F1258)*1+ISBLANK(I1258)*1+ISBLANK(J1258)*1+ISBLANK(K1258)*1+ISBLANK(L1258)*1+ISBLANK(M1258)*1+ISBLANK(N1258)*1+ISBLANK(O1258)*1)&gt;0,"Missing Data","OK")</f>
        <v>OK</v>
      </c>
      <c r="V1258" s="0" t="str">
        <f aca="false">IF(T1258&gt;=6,"High Risk",IF(T1258&gt;=3,"Medium Risk","Low Risk"))</f>
        <v>Low Risk</v>
      </c>
    </row>
    <row r="1259" customFormat="false" ht="12.8" hidden="false" customHeight="false" outlineLevel="0" collapsed="false">
      <c r="A1259" s="1" t="s">
        <v>1289</v>
      </c>
      <c r="B1259" s="1" t="s">
        <v>36</v>
      </c>
      <c r="C1259" s="1" t="s">
        <v>34</v>
      </c>
      <c r="D1259" s="1" t="n">
        <v>8.65</v>
      </c>
      <c r="E1259" s="1" t="n">
        <v>0</v>
      </c>
      <c r="F1259" s="4" t="n">
        <v>45492</v>
      </c>
      <c r="G1259" s="1" t="s">
        <v>25</v>
      </c>
      <c r="H1259" s="1" t="n">
        <v>1</v>
      </c>
      <c r="I1259" s="1" t="n">
        <v>7.4</v>
      </c>
      <c r="J1259" s="1" t="n">
        <v>1</v>
      </c>
      <c r="K1259" s="1" t="n">
        <v>0</v>
      </c>
      <c r="L1259" s="1" t="n">
        <v>4</v>
      </c>
      <c r="M1259" s="1" t="n">
        <v>0</v>
      </c>
      <c r="N1259" s="1" t="n">
        <v>0</v>
      </c>
      <c r="O1259" s="1" t="n">
        <v>0</v>
      </c>
      <c r="Q1259" s="4" t="n">
        <v>45492</v>
      </c>
      <c r="R1259" s="0" t="n">
        <f aca="false">IF(ISBLANK(F1259),"Missing",IFERROR(YEAR(F1259),"Missing"))</f>
        <v>2024</v>
      </c>
      <c r="S1259" s="0" t="str">
        <f aca="false">IF(ISBLANK(E1259),"Missing",IF(E1259&lt;6,"0-6mo",IF(E1259&lt;12,"6-12mo",IF(E1259&lt;24,"12-24mo","24mo+"))))</f>
        <v>0-6mo</v>
      </c>
      <c r="T1259" s="0" t="n">
        <f aca="false">IF(ISBLANK(C1259),0,IF(C1259="Month-to-month",2,IF(C1259="One year",1,0)))+IF(ISBLANK(I1259),0,IF(I1259&lt;40,2,IF(I1259&lt;55,1,0)))+IF(ISBLANK(M1259),0,IF(M1259=1,3,0))+IF(ISBLANK(L1259),0,IF(L1259&gt;=2,1,0))+IF(ISBLANK(E1259),0,IF(E1259&lt;12,1,0))</f>
        <v>5</v>
      </c>
      <c r="U1259" s="0" t="str">
        <f aca="false">IF((ISBLANK(B1259)*1+ISBLANK(C1259)*1+ISBLANK(D1259)*1+ISBLANK(E1259)*1+ISBLANK(F1259)*1+ISBLANK(I1259)*1+ISBLANK(J1259)*1+ISBLANK(K1259)*1+ISBLANK(L1259)*1+ISBLANK(M1259)*1+ISBLANK(N1259)*1+ISBLANK(O1259)*1)&gt;0,"Missing Data","OK")</f>
        <v>OK</v>
      </c>
      <c r="V1259" s="0" t="str">
        <f aca="false">IF(T1259&gt;=6,"High Risk",IF(T1259&gt;=3,"Medium Risk","Low Risk"))</f>
        <v>Medium Risk</v>
      </c>
    </row>
    <row r="1260" customFormat="false" ht="12.8" hidden="false" customHeight="false" outlineLevel="0" collapsed="false">
      <c r="A1260" s="1" t="s">
        <v>1290</v>
      </c>
      <c r="B1260" s="1" t="s">
        <v>36</v>
      </c>
      <c r="C1260" s="1" t="s">
        <v>34</v>
      </c>
      <c r="D1260" s="1" t="n">
        <v>10.55</v>
      </c>
      <c r="E1260" s="1" t="n">
        <v>12</v>
      </c>
      <c r="F1260" s="4" t="n">
        <v>45494</v>
      </c>
      <c r="G1260" s="1" t="s">
        <v>25</v>
      </c>
      <c r="H1260" s="1" t="n">
        <v>0</v>
      </c>
      <c r="I1260" s="1" t="n">
        <v>25.4</v>
      </c>
      <c r="J1260" s="1" t="n">
        <v>3</v>
      </c>
      <c r="K1260" s="1" t="n">
        <v>3</v>
      </c>
      <c r="L1260" s="1" t="n">
        <v>2</v>
      </c>
      <c r="M1260" s="1" t="n">
        <v>0</v>
      </c>
      <c r="N1260" s="1" t="n">
        <v>126.6</v>
      </c>
      <c r="O1260" s="1" t="n">
        <v>0</v>
      </c>
      <c r="Q1260" s="4" t="n">
        <v>45859</v>
      </c>
      <c r="R1260" s="0" t="n">
        <f aca="false">IF(ISBLANK(F1260),"Missing",IFERROR(YEAR(F1260),"Missing"))</f>
        <v>2024</v>
      </c>
      <c r="S1260" s="0" t="str">
        <f aca="false">IF(ISBLANK(E1260),"Missing",IF(E1260&lt;6,"0-6mo",IF(E1260&lt;12,"6-12mo",IF(E1260&lt;24,"12-24mo","24mo+"))))</f>
        <v>12-24mo</v>
      </c>
      <c r="T1260" s="0" t="n">
        <f aca="false">IF(ISBLANK(C1260),0,IF(C1260="Month-to-month",2,IF(C1260="One year",1,0)))+IF(ISBLANK(I1260),0,IF(I1260&lt;40,2,IF(I1260&lt;55,1,0)))+IF(ISBLANK(M1260),0,IF(M1260=1,3,0))+IF(ISBLANK(L1260),0,IF(L1260&gt;=2,1,0))+IF(ISBLANK(E1260),0,IF(E1260&lt;12,1,0))</f>
        <v>4</v>
      </c>
      <c r="U1260" s="0" t="str">
        <f aca="false">IF((ISBLANK(B1260)*1+ISBLANK(C1260)*1+ISBLANK(D1260)*1+ISBLANK(E1260)*1+ISBLANK(F1260)*1+ISBLANK(I1260)*1+ISBLANK(J1260)*1+ISBLANK(K1260)*1+ISBLANK(L1260)*1+ISBLANK(M1260)*1+ISBLANK(N1260)*1+ISBLANK(O1260)*1)&gt;0,"Missing Data","OK")</f>
        <v>OK</v>
      </c>
      <c r="V1260" s="0" t="str">
        <f aca="false">IF(T1260&gt;=6,"High Risk",IF(T1260&gt;=3,"Medium Risk","Low Risk"))</f>
        <v>Medium Risk</v>
      </c>
    </row>
    <row r="1261" customFormat="false" ht="12.8" hidden="false" customHeight="false" outlineLevel="0" collapsed="false">
      <c r="A1261" s="1" t="s">
        <v>1291</v>
      </c>
      <c r="B1261" s="1" t="s">
        <v>23</v>
      </c>
      <c r="C1261" s="1" t="s">
        <v>24</v>
      </c>
      <c r="D1261" s="1" t="n">
        <v>19.55</v>
      </c>
      <c r="E1261" s="1" t="n">
        <v>18</v>
      </c>
      <c r="F1261" s="4" t="n">
        <v>45494</v>
      </c>
      <c r="G1261" s="1" t="s">
        <v>25</v>
      </c>
      <c r="H1261" s="1" t="n">
        <v>0</v>
      </c>
      <c r="I1261" s="1" t="n">
        <v>58.2</v>
      </c>
      <c r="J1261" s="1" t="n">
        <v>19</v>
      </c>
      <c r="K1261" s="1" t="n">
        <v>5</v>
      </c>
      <c r="L1261" s="1" t="n">
        <v>1</v>
      </c>
      <c r="M1261" s="1" t="n">
        <v>0</v>
      </c>
      <c r="N1261" s="1" t="n">
        <v>351.9</v>
      </c>
      <c r="O1261" s="1" t="n">
        <v>0</v>
      </c>
      <c r="Q1261" s="4" t="n">
        <v>46041</v>
      </c>
      <c r="R1261" s="0" t="n">
        <f aca="false">IF(ISBLANK(F1261),"Missing",IFERROR(YEAR(F1261),"Missing"))</f>
        <v>2024</v>
      </c>
      <c r="S1261" s="0" t="str">
        <f aca="false">IF(ISBLANK(E1261),"Missing",IF(E1261&lt;6,"0-6mo",IF(E1261&lt;12,"6-12mo",IF(E1261&lt;24,"12-24mo","24mo+"))))</f>
        <v>12-24mo</v>
      </c>
      <c r="T1261" s="0" t="n">
        <f aca="false">IF(ISBLANK(C1261),0,IF(C1261="Month-to-month",2,IF(C1261="One year",1,0)))+IF(ISBLANK(I1261),0,IF(I1261&lt;40,2,IF(I1261&lt;55,1,0)))+IF(ISBLANK(M1261),0,IF(M1261=1,3,0))+IF(ISBLANK(L1261),0,IF(L1261&gt;=2,1,0))+IF(ISBLANK(E1261),0,IF(E1261&lt;12,1,0))</f>
        <v>2</v>
      </c>
      <c r="U1261" s="0" t="str">
        <f aca="false">IF((ISBLANK(B1261)*1+ISBLANK(C1261)*1+ISBLANK(D1261)*1+ISBLANK(E1261)*1+ISBLANK(F1261)*1+ISBLANK(I1261)*1+ISBLANK(J1261)*1+ISBLANK(K1261)*1+ISBLANK(L1261)*1+ISBLANK(M1261)*1+ISBLANK(N1261)*1+ISBLANK(O1261)*1)&gt;0,"Missing Data","OK")</f>
        <v>OK</v>
      </c>
      <c r="V1261" s="0" t="str">
        <f aca="false">IF(T1261&gt;=6,"High Risk",IF(T1261&gt;=3,"Medium Risk","Low Risk"))</f>
        <v>Low Risk</v>
      </c>
    </row>
    <row r="1262" customFormat="false" ht="12.8" hidden="false" customHeight="false" outlineLevel="0" collapsed="false">
      <c r="A1262" s="1" t="s">
        <v>1292</v>
      </c>
      <c r="B1262" s="1" t="s">
        <v>23</v>
      </c>
      <c r="C1262" s="1" t="s">
        <v>24</v>
      </c>
      <c r="D1262" s="1" t="n">
        <v>20.03</v>
      </c>
      <c r="E1262" s="1" t="n">
        <v>17</v>
      </c>
      <c r="F1262" s="4" t="n">
        <v>45494</v>
      </c>
      <c r="G1262" s="1" t="s">
        <v>25</v>
      </c>
      <c r="H1262" s="1" t="n">
        <v>0</v>
      </c>
      <c r="I1262" s="1" t="n">
        <v>65</v>
      </c>
      <c r="J1262" s="1" t="n">
        <v>16</v>
      </c>
      <c r="K1262" s="1" t="n">
        <v>5</v>
      </c>
      <c r="L1262" s="1" t="n">
        <v>1</v>
      </c>
      <c r="M1262" s="1" t="n">
        <v>0</v>
      </c>
      <c r="N1262" s="1" t="n">
        <v>340.51</v>
      </c>
      <c r="O1262" s="1" t="n">
        <v>0</v>
      </c>
      <c r="Q1262" s="4" t="n">
        <v>46011</v>
      </c>
      <c r="R1262" s="0" t="n">
        <f aca="false">IF(ISBLANK(F1262),"Missing",IFERROR(YEAR(F1262),"Missing"))</f>
        <v>2024</v>
      </c>
      <c r="S1262" s="0" t="str">
        <f aca="false">IF(ISBLANK(E1262),"Missing",IF(E1262&lt;6,"0-6mo",IF(E1262&lt;12,"6-12mo",IF(E1262&lt;24,"12-24mo","24mo+"))))</f>
        <v>12-24mo</v>
      </c>
      <c r="T1262" s="0" t="n">
        <f aca="false">IF(ISBLANK(C1262),0,IF(C1262="Month-to-month",2,IF(C1262="One year",1,0)))+IF(ISBLANK(I1262),0,IF(I1262&lt;40,2,IF(I1262&lt;55,1,0)))+IF(ISBLANK(M1262),0,IF(M1262=1,3,0))+IF(ISBLANK(L1262),0,IF(L1262&gt;=2,1,0))+IF(ISBLANK(E1262),0,IF(E1262&lt;12,1,0))</f>
        <v>2</v>
      </c>
      <c r="U1262" s="0" t="str">
        <f aca="false">IF((ISBLANK(B1262)*1+ISBLANK(C1262)*1+ISBLANK(D1262)*1+ISBLANK(E1262)*1+ISBLANK(F1262)*1+ISBLANK(I1262)*1+ISBLANK(J1262)*1+ISBLANK(K1262)*1+ISBLANK(L1262)*1+ISBLANK(M1262)*1+ISBLANK(N1262)*1+ISBLANK(O1262)*1)&gt;0,"Missing Data","OK")</f>
        <v>OK</v>
      </c>
      <c r="V1262" s="0" t="str">
        <f aca="false">IF(T1262&gt;=6,"High Risk",IF(T1262&gt;=3,"Medium Risk","Low Risk"))</f>
        <v>Low Risk</v>
      </c>
    </row>
    <row r="1263" customFormat="false" ht="12.8" hidden="false" customHeight="false" outlineLevel="0" collapsed="false">
      <c r="A1263" s="1" t="s">
        <v>1293</v>
      </c>
      <c r="B1263" s="1" t="s">
        <v>23</v>
      </c>
      <c r="C1263" s="1" t="s">
        <v>24</v>
      </c>
      <c r="D1263" s="1" t="n">
        <v>19.45</v>
      </c>
      <c r="E1263" s="1" t="n">
        <v>53</v>
      </c>
      <c r="F1263" s="4" t="n">
        <v>45499</v>
      </c>
      <c r="G1263" s="1" t="s">
        <v>25</v>
      </c>
      <c r="H1263" s="1" t="n">
        <v>0</v>
      </c>
      <c r="I1263" s="1" t="n">
        <v>19.9</v>
      </c>
      <c r="J1263" s="1" t="n">
        <v>9</v>
      </c>
      <c r="K1263" s="1" t="n">
        <v>3</v>
      </c>
      <c r="L1263" s="1" t="n">
        <v>4</v>
      </c>
      <c r="M1263" s="1" t="n">
        <v>1</v>
      </c>
      <c r="N1263" s="1" t="n">
        <v>1030.85</v>
      </c>
      <c r="O1263" s="1" t="n">
        <v>0</v>
      </c>
      <c r="Q1263" s="4" t="n">
        <v>46293</v>
      </c>
      <c r="R1263" s="0" t="n">
        <f aca="false">IF(ISBLANK(F1263),"Missing",IFERROR(YEAR(F1263),"Missing"))</f>
        <v>2024</v>
      </c>
      <c r="S1263" s="0" t="str">
        <f aca="false">IF(ISBLANK(E1263),"Missing",IF(E1263&lt;6,"0-6mo",IF(E1263&lt;12,"6-12mo",IF(E1263&lt;24,"12-24mo","24mo+"))))</f>
        <v>24mo+</v>
      </c>
      <c r="T1263" s="0" t="n">
        <f aca="false">IF(ISBLANK(C1263),0,IF(C1263="Month-to-month",2,IF(C1263="One year",1,0)))+IF(ISBLANK(I1263),0,IF(I1263&lt;40,2,IF(I1263&lt;55,1,0)))+IF(ISBLANK(M1263),0,IF(M1263=1,3,0))+IF(ISBLANK(L1263),0,IF(L1263&gt;=2,1,0))+IF(ISBLANK(E1263),0,IF(E1263&lt;12,1,0))</f>
        <v>8</v>
      </c>
      <c r="U1263" s="0" t="str">
        <f aca="false">IF((ISBLANK(B1263)*1+ISBLANK(C1263)*1+ISBLANK(D1263)*1+ISBLANK(E1263)*1+ISBLANK(F1263)*1+ISBLANK(I1263)*1+ISBLANK(J1263)*1+ISBLANK(K1263)*1+ISBLANK(L1263)*1+ISBLANK(M1263)*1+ISBLANK(N1263)*1+ISBLANK(O1263)*1)&gt;0,"Missing Data","OK")</f>
        <v>OK</v>
      </c>
      <c r="V1263" s="0" t="str">
        <f aca="false">IF(T1263&gt;=6,"High Risk",IF(T1263&gt;=3,"Medium Risk","Low Risk"))</f>
        <v>High Risk</v>
      </c>
    </row>
    <row r="1264" customFormat="false" ht="12.8" hidden="false" customHeight="false" outlineLevel="0" collapsed="false">
      <c r="A1264" s="1" t="s">
        <v>1294</v>
      </c>
      <c r="B1264" s="1" t="s">
        <v>23</v>
      </c>
      <c r="C1264" s="1" t="s">
        <v>34</v>
      </c>
      <c r="D1264" s="1" t="n">
        <v>20.37</v>
      </c>
      <c r="E1264" s="1" t="n">
        <v>5</v>
      </c>
      <c r="F1264" s="4" t="n">
        <v>45500</v>
      </c>
      <c r="G1264" s="1" t="s">
        <v>27</v>
      </c>
      <c r="H1264" s="1" t="n">
        <v>1</v>
      </c>
      <c r="I1264" s="1" t="n">
        <v>27</v>
      </c>
      <c r="J1264" s="1" t="n">
        <v>10</v>
      </c>
      <c r="K1264" s="1" t="n">
        <v>2</v>
      </c>
      <c r="L1264" s="1" t="n">
        <v>5</v>
      </c>
      <c r="M1264" s="1" t="n">
        <v>0</v>
      </c>
      <c r="N1264" s="1" t="n">
        <v>101.85</v>
      </c>
      <c r="O1264" s="1" t="n">
        <v>0</v>
      </c>
      <c r="Q1264" s="4" t="n">
        <v>45652</v>
      </c>
      <c r="R1264" s="0" t="n">
        <f aca="false">IF(ISBLANK(F1264),"Missing",IFERROR(YEAR(F1264),"Missing"))</f>
        <v>2024</v>
      </c>
      <c r="S1264" s="0" t="str">
        <f aca="false">IF(ISBLANK(E1264),"Missing",IF(E1264&lt;6,"0-6mo",IF(E1264&lt;12,"6-12mo",IF(E1264&lt;24,"12-24mo","24mo+"))))</f>
        <v>0-6mo</v>
      </c>
      <c r="T1264" s="0" t="n">
        <f aca="false">IF(ISBLANK(C1264),0,IF(C1264="Month-to-month",2,IF(C1264="One year",1,0)))+IF(ISBLANK(I1264),0,IF(I1264&lt;40,2,IF(I1264&lt;55,1,0)))+IF(ISBLANK(M1264),0,IF(M1264=1,3,0))+IF(ISBLANK(L1264),0,IF(L1264&gt;=2,1,0))+IF(ISBLANK(E1264),0,IF(E1264&lt;12,1,0))</f>
        <v>5</v>
      </c>
      <c r="U1264" s="0" t="str">
        <f aca="false">IF((ISBLANK(B1264)*1+ISBLANK(C1264)*1+ISBLANK(D1264)*1+ISBLANK(E1264)*1+ISBLANK(F1264)*1+ISBLANK(I1264)*1+ISBLANK(J1264)*1+ISBLANK(K1264)*1+ISBLANK(L1264)*1+ISBLANK(M1264)*1+ISBLANK(N1264)*1+ISBLANK(O1264)*1)&gt;0,"Missing Data","OK")</f>
        <v>OK</v>
      </c>
      <c r="V1264" s="0" t="str">
        <f aca="false">IF(T1264&gt;=6,"High Risk",IF(T1264&gt;=3,"Medium Risk","Low Risk"))</f>
        <v>Medium Risk</v>
      </c>
    </row>
    <row r="1265" customFormat="false" ht="12.8" hidden="false" customHeight="false" outlineLevel="0" collapsed="false">
      <c r="A1265" s="1" t="s">
        <v>1295</v>
      </c>
      <c r="B1265" s="1" t="s">
        <v>36</v>
      </c>
      <c r="C1265" s="1" t="s">
        <v>24</v>
      </c>
      <c r="D1265" s="1" t="n">
        <v>11.06</v>
      </c>
      <c r="E1265" s="1" t="n">
        <v>9</v>
      </c>
      <c r="F1265" s="4" t="n">
        <v>45503</v>
      </c>
      <c r="G1265" s="1" t="s">
        <v>25</v>
      </c>
      <c r="H1265" s="1" t="n">
        <v>1</v>
      </c>
      <c r="I1265" s="1" t="n">
        <v>79.5</v>
      </c>
      <c r="J1265" s="1" t="n">
        <v>27</v>
      </c>
      <c r="K1265" s="1" t="n">
        <v>7</v>
      </c>
      <c r="L1265" s="1" t="n">
        <v>2</v>
      </c>
      <c r="M1265" s="1" t="n">
        <v>1</v>
      </c>
      <c r="N1265" s="1" t="n">
        <v>99.54</v>
      </c>
      <c r="O1265" s="1" t="n">
        <v>0</v>
      </c>
      <c r="Q1265" s="4" t="n">
        <v>45776</v>
      </c>
      <c r="R1265" s="0" t="n">
        <f aca="false">IF(ISBLANK(F1265),"Missing",IFERROR(YEAR(F1265),"Missing"))</f>
        <v>2024</v>
      </c>
      <c r="S1265" s="0" t="str">
        <f aca="false">IF(ISBLANK(E1265),"Missing",IF(E1265&lt;6,"0-6mo",IF(E1265&lt;12,"6-12mo",IF(E1265&lt;24,"12-24mo","24mo+"))))</f>
        <v>6-12mo</v>
      </c>
      <c r="T1265" s="0" t="n">
        <f aca="false">IF(ISBLANK(C1265),0,IF(C1265="Month-to-month",2,IF(C1265="One year",1,0)))+IF(ISBLANK(I1265),0,IF(I1265&lt;40,2,IF(I1265&lt;55,1,0)))+IF(ISBLANK(M1265),0,IF(M1265=1,3,0))+IF(ISBLANK(L1265),0,IF(L1265&gt;=2,1,0))+IF(ISBLANK(E1265),0,IF(E1265&lt;12,1,0))</f>
        <v>7</v>
      </c>
      <c r="U1265" s="0" t="str">
        <f aca="false">IF((ISBLANK(B1265)*1+ISBLANK(C1265)*1+ISBLANK(D1265)*1+ISBLANK(E1265)*1+ISBLANK(F1265)*1+ISBLANK(I1265)*1+ISBLANK(J1265)*1+ISBLANK(K1265)*1+ISBLANK(L1265)*1+ISBLANK(M1265)*1+ISBLANK(N1265)*1+ISBLANK(O1265)*1)&gt;0,"Missing Data","OK")</f>
        <v>OK</v>
      </c>
      <c r="V1265" s="0" t="str">
        <f aca="false">IF(T1265&gt;=6,"High Risk",IF(T1265&gt;=3,"Medium Risk","Low Risk"))</f>
        <v>High Risk</v>
      </c>
    </row>
    <row r="1266" customFormat="false" ht="12.8" hidden="false" customHeight="false" outlineLevel="0" collapsed="false">
      <c r="A1266" s="1" t="s">
        <v>1296</v>
      </c>
      <c r="B1266" s="1" t="s">
        <v>36</v>
      </c>
      <c r="C1266" s="1" t="s">
        <v>34</v>
      </c>
      <c r="D1266" s="1" t="n">
        <v>10.84</v>
      </c>
      <c r="E1266" s="1" t="n">
        <v>5</v>
      </c>
      <c r="F1266" s="4" t="n">
        <v>45504</v>
      </c>
      <c r="G1266" s="1" t="s">
        <v>30</v>
      </c>
      <c r="H1266" s="1" t="n">
        <v>1</v>
      </c>
      <c r="I1266" s="1" t="n">
        <v>44.9</v>
      </c>
      <c r="J1266" s="1" t="n">
        <v>8</v>
      </c>
      <c r="K1266" s="1" t="n">
        <v>7</v>
      </c>
      <c r="L1266" s="1" t="n">
        <v>1</v>
      </c>
      <c r="M1266" s="1" t="n">
        <v>1</v>
      </c>
      <c r="N1266" s="1" t="n">
        <v>54.2</v>
      </c>
      <c r="O1266" s="1" t="n">
        <v>0</v>
      </c>
      <c r="Q1266" s="4" t="n">
        <v>45656</v>
      </c>
      <c r="R1266" s="0" t="n">
        <f aca="false">IF(ISBLANK(F1266),"Missing",IFERROR(YEAR(F1266),"Missing"))</f>
        <v>2024</v>
      </c>
      <c r="S1266" s="0" t="str">
        <f aca="false">IF(ISBLANK(E1266),"Missing",IF(E1266&lt;6,"0-6mo",IF(E1266&lt;12,"6-12mo",IF(E1266&lt;24,"12-24mo","24mo+"))))</f>
        <v>0-6mo</v>
      </c>
      <c r="T1266" s="0" t="n">
        <f aca="false">IF(ISBLANK(C1266),0,IF(C1266="Month-to-month",2,IF(C1266="One year",1,0)))+IF(ISBLANK(I1266),0,IF(I1266&lt;40,2,IF(I1266&lt;55,1,0)))+IF(ISBLANK(M1266),0,IF(M1266=1,3,0))+IF(ISBLANK(L1266),0,IF(L1266&gt;=2,1,0))+IF(ISBLANK(E1266),0,IF(E1266&lt;12,1,0))</f>
        <v>6</v>
      </c>
      <c r="U1266" s="0" t="str">
        <f aca="false">IF((ISBLANK(B1266)*1+ISBLANK(C1266)*1+ISBLANK(D1266)*1+ISBLANK(E1266)*1+ISBLANK(F1266)*1+ISBLANK(I1266)*1+ISBLANK(J1266)*1+ISBLANK(K1266)*1+ISBLANK(L1266)*1+ISBLANK(M1266)*1+ISBLANK(N1266)*1+ISBLANK(O1266)*1)&gt;0,"Missing Data","OK")</f>
        <v>OK</v>
      </c>
      <c r="V1266" s="0" t="str">
        <f aca="false">IF(T1266&gt;=6,"High Risk",IF(T1266&gt;=3,"Medium Risk","Low Risk"))</f>
        <v>High Risk</v>
      </c>
    </row>
    <row r="1267" customFormat="false" ht="12.8" hidden="false" customHeight="false" outlineLevel="0" collapsed="false">
      <c r="A1267" s="1" t="s">
        <v>1297</v>
      </c>
      <c r="B1267" s="1" t="s">
        <v>29</v>
      </c>
      <c r="C1267" s="1" t="s">
        <v>51</v>
      </c>
      <c r="D1267" s="1" t="n">
        <v>39.07</v>
      </c>
      <c r="E1267" s="1" t="n">
        <v>8</v>
      </c>
      <c r="F1267" s="4" t="n">
        <v>45506</v>
      </c>
      <c r="G1267" s="1" t="s">
        <v>39</v>
      </c>
      <c r="H1267" s="1" t="n">
        <v>1</v>
      </c>
      <c r="I1267" s="1" t="n">
        <v>39.5</v>
      </c>
      <c r="J1267" s="1" t="n">
        <v>8</v>
      </c>
      <c r="K1267" s="1" t="n">
        <v>2</v>
      </c>
      <c r="L1267" s="1" t="n">
        <v>1</v>
      </c>
      <c r="M1267" s="1" t="n">
        <v>0</v>
      </c>
      <c r="N1267" s="1" t="n">
        <v>312.56</v>
      </c>
      <c r="O1267" s="1" t="n">
        <v>0</v>
      </c>
      <c r="Q1267" s="4" t="n">
        <v>45749</v>
      </c>
      <c r="R1267" s="0" t="n">
        <f aca="false">IF(ISBLANK(F1267),"Missing",IFERROR(YEAR(F1267),"Missing"))</f>
        <v>2024</v>
      </c>
      <c r="S1267" s="0" t="str">
        <f aca="false">IF(ISBLANK(E1267),"Missing",IF(E1267&lt;6,"0-6mo",IF(E1267&lt;12,"6-12mo",IF(E1267&lt;24,"12-24mo","24mo+"))))</f>
        <v>6-12mo</v>
      </c>
      <c r="T1267" s="0" t="n">
        <f aca="false">IF(ISBLANK(C1267),0,IF(C1267="Month-to-month",2,IF(C1267="One year",1,0)))+IF(ISBLANK(I1267),0,IF(I1267&lt;40,2,IF(I1267&lt;55,1,0)))+IF(ISBLANK(M1267),0,IF(M1267=1,3,0))+IF(ISBLANK(L1267),0,IF(L1267&gt;=2,1,0))+IF(ISBLANK(E1267),0,IF(E1267&lt;12,1,0))</f>
        <v>3</v>
      </c>
      <c r="U1267" s="0" t="str">
        <f aca="false">IF((ISBLANK(B1267)*1+ISBLANK(C1267)*1+ISBLANK(D1267)*1+ISBLANK(E1267)*1+ISBLANK(F1267)*1+ISBLANK(I1267)*1+ISBLANK(J1267)*1+ISBLANK(K1267)*1+ISBLANK(L1267)*1+ISBLANK(M1267)*1+ISBLANK(N1267)*1+ISBLANK(O1267)*1)&gt;0,"Missing Data","OK")</f>
        <v>OK</v>
      </c>
      <c r="V1267" s="0" t="str">
        <f aca="false">IF(T1267&gt;=6,"High Risk",IF(T1267&gt;=3,"Medium Risk","Low Risk"))</f>
        <v>Medium Risk</v>
      </c>
    </row>
    <row r="1268" customFormat="false" ht="12.8" hidden="false" customHeight="false" outlineLevel="0" collapsed="false">
      <c r="A1268" s="1" t="s">
        <v>1298</v>
      </c>
      <c r="B1268" s="1" t="s">
        <v>29</v>
      </c>
      <c r="C1268" s="1" t="s">
        <v>24</v>
      </c>
      <c r="D1268" s="1" t="n">
        <v>40.29</v>
      </c>
      <c r="E1268" s="1" t="n">
        <v>72</v>
      </c>
      <c r="F1268" s="4" t="n">
        <v>45506</v>
      </c>
      <c r="G1268" s="1" t="s">
        <v>39</v>
      </c>
      <c r="H1268" s="1" t="n">
        <v>1</v>
      </c>
      <c r="I1268" s="1" t="n">
        <v>51.3</v>
      </c>
      <c r="J1268" s="1" t="n">
        <v>14</v>
      </c>
      <c r="K1268" s="1" t="n">
        <v>4</v>
      </c>
      <c r="L1268" s="1" t="n">
        <v>3</v>
      </c>
      <c r="M1268" s="1" t="n">
        <v>0</v>
      </c>
      <c r="N1268" s="1" t="n">
        <v>2900.88</v>
      </c>
      <c r="O1268" s="1" t="n">
        <v>0</v>
      </c>
      <c r="Q1268" s="4" t="n">
        <v>46293</v>
      </c>
      <c r="R1268" s="0" t="n">
        <f aca="false">IF(ISBLANK(F1268),"Missing",IFERROR(YEAR(F1268),"Missing"))</f>
        <v>2024</v>
      </c>
      <c r="S1268" s="0" t="str">
        <f aca="false">IF(ISBLANK(E1268),"Missing",IF(E1268&lt;6,"0-6mo",IF(E1268&lt;12,"6-12mo",IF(E1268&lt;24,"12-24mo","24mo+"))))</f>
        <v>24mo+</v>
      </c>
      <c r="T1268" s="0" t="n">
        <f aca="false">IF(ISBLANK(C1268),0,IF(C1268="Month-to-month",2,IF(C1268="One year",1,0)))+IF(ISBLANK(I1268),0,IF(I1268&lt;40,2,IF(I1268&lt;55,1,0)))+IF(ISBLANK(M1268),0,IF(M1268=1,3,0))+IF(ISBLANK(L1268),0,IF(L1268&gt;=2,1,0))+IF(ISBLANK(E1268),0,IF(E1268&lt;12,1,0))</f>
        <v>4</v>
      </c>
      <c r="U1268" s="0" t="str">
        <f aca="false">IF((ISBLANK(B1268)*1+ISBLANK(C1268)*1+ISBLANK(D1268)*1+ISBLANK(E1268)*1+ISBLANK(F1268)*1+ISBLANK(I1268)*1+ISBLANK(J1268)*1+ISBLANK(K1268)*1+ISBLANK(L1268)*1+ISBLANK(M1268)*1+ISBLANK(N1268)*1+ISBLANK(O1268)*1)&gt;0,"Missing Data","OK")</f>
        <v>OK</v>
      </c>
      <c r="V1268" s="0" t="str">
        <f aca="false">IF(T1268&gt;=6,"High Risk",IF(T1268&gt;=3,"Medium Risk","Low Risk"))</f>
        <v>Medium Risk</v>
      </c>
    </row>
    <row r="1269" customFormat="false" ht="12.8" hidden="false" customHeight="false" outlineLevel="0" collapsed="false">
      <c r="A1269" s="1" t="s">
        <v>1299</v>
      </c>
      <c r="B1269" s="1" t="s">
        <v>29</v>
      </c>
      <c r="C1269" s="1" t="s">
        <v>24</v>
      </c>
      <c r="D1269" s="1" t="n">
        <v>41.39</v>
      </c>
      <c r="E1269" s="1" t="n">
        <v>9</v>
      </c>
      <c r="F1269" s="4" t="n">
        <v>45510</v>
      </c>
      <c r="G1269" s="1" t="s">
        <v>30</v>
      </c>
      <c r="H1269" s="1" t="n">
        <v>0</v>
      </c>
      <c r="I1269" s="1" t="n">
        <v>29.3</v>
      </c>
      <c r="J1269" s="1" t="n">
        <v>10</v>
      </c>
      <c r="K1269" s="1" t="n">
        <v>3</v>
      </c>
      <c r="L1269" s="1" t="n">
        <v>2</v>
      </c>
      <c r="M1269" s="1" t="n">
        <v>0</v>
      </c>
      <c r="N1269" s="1" t="n">
        <v>372.51</v>
      </c>
      <c r="O1269" s="1" t="n">
        <v>1</v>
      </c>
      <c r="P1269" s="4" t="n">
        <v>45783</v>
      </c>
      <c r="Q1269" s="4" t="n">
        <v>45783</v>
      </c>
      <c r="R1269" s="0" t="n">
        <f aca="false">IF(ISBLANK(F1269),"Missing",IFERROR(YEAR(F1269),"Missing"))</f>
        <v>2024</v>
      </c>
      <c r="S1269" s="0" t="str">
        <f aca="false">IF(ISBLANK(E1269),"Missing",IF(E1269&lt;6,"0-6mo",IF(E1269&lt;12,"6-12mo",IF(E1269&lt;24,"12-24mo","24mo+"))))</f>
        <v>6-12mo</v>
      </c>
      <c r="T1269" s="0" t="n">
        <f aca="false">IF(ISBLANK(C1269),0,IF(C1269="Month-to-month",2,IF(C1269="One year",1,0)))+IF(ISBLANK(I1269),0,IF(I1269&lt;40,2,IF(I1269&lt;55,1,0)))+IF(ISBLANK(M1269),0,IF(M1269=1,3,0))+IF(ISBLANK(L1269),0,IF(L1269&gt;=2,1,0))+IF(ISBLANK(E1269),0,IF(E1269&lt;12,1,0))</f>
        <v>6</v>
      </c>
      <c r="U1269" s="0" t="str">
        <f aca="false">IF((ISBLANK(B1269)*1+ISBLANK(C1269)*1+ISBLANK(D1269)*1+ISBLANK(E1269)*1+ISBLANK(F1269)*1+ISBLANK(I1269)*1+ISBLANK(J1269)*1+ISBLANK(K1269)*1+ISBLANK(L1269)*1+ISBLANK(M1269)*1+ISBLANK(N1269)*1+ISBLANK(O1269)*1)&gt;0,"Missing Data","OK")</f>
        <v>OK</v>
      </c>
      <c r="V1269" s="0" t="str">
        <f aca="false">IF(T1269&gt;=6,"High Risk",IF(T1269&gt;=3,"Medium Risk","Low Risk"))</f>
        <v>High Risk</v>
      </c>
    </row>
    <row r="1270" customFormat="false" ht="12.8" hidden="false" customHeight="false" outlineLevel="0" collapsed="false">
      <c r="A1270" s="1" t="s">
        <v>1300</v>
      </c>
      <c r="B1270" s="1" t="s">
        <v>36</v>
      </c>
      <c r="C1270" s="1" t="s">
        <v>24</v>
      </c>
      <c r="D1270" s="1" t="n">
        <v>10.8</v>
      </c>
      <c r="E1270" s="1" t="n">
        <v>1</v>
      </c>
      <c r="F1270" s="4" t="n">
        <v>45511</v>
      </c>
      <c r="G1270" s="1" t="s">
        <v>25</v>
      </c>
      <c r="H1270" s="1" t="n">
        <v>1</v>
      </c>
      <c r="I1270" s="1" t="n">
        <v>60.6</v>
      </c>
      <c r="J1270" s="1" t="n">
        <v>14</v>
      </c>
      <c r="K1270" s="1" t="n">
        <v>6</v>
      </c>
      <c r="L1270" s="1" t="n">
        <v>0</v>
      </c>
      <c r="M1270" s="1" t="n">
        <v>0</v>
      </c>
      <c r="N1270" s="1" t="n">
        <v>10.8</v>
      </c>
      <c r="O1270" s="1" t="n">
        <v>0</v>
      </c>
      <c r="Q1270" s="4" t="n">
        <v>45541</v>
      </c>
      <c r="R1270" s="0" t="n">
        <f aca="false">IF(ISBLANK(F1270),"Missing",IFERROR(YEAR(F1270),"Missing"))</f>
        <v>2024</v>
      </c>
      <c r="S1270" s="0" t="str">
        <f aca="false">IF(ISBLANK(E1270),"Missing",IF(E1270&lt;6,"0-6mo",IF(E1270&lt;12,"6-12mo",IF(E1270&lt;24,"12-24mo","24mo+"))))</f>
        <v>0-6mo</v>
      </c>
      <c r="T1270" s="0" t="n">
        <f aca="false">IF(ISBLANK(C1270),0,IF(C1270="Month-to-month",2,IF(C1270="One year",1,0)))+IF(ISBLANK(I1270),0,IF(I1270&lt;40,2,IF(I1270&lt;55,1,0)))+IF(ISBLANK(M1270),0,IF(M1270=1,3,0))+IF(ISBLANK(L1270),0,IF(L1270&gt;=2,1,0))+IF(ISBLANK(E1270),0,IF(E1270&lt;12,1,0))</f>
        <v>3</v>
      </c>
      <c r="U1270" s="0" t="str">
        <f aca="false">IF((ISBLANK(B1270)*1+ISBLANK(C1270)*1+ISBLANK(D1270)*1+ISBLANK(E1270)*1+ISBLANK(F1270)*1+ISBLANK(I1270)*1+ISBLANK(J1270)*1+ISBLANK(K1270)*1+ISBLANK(L1270)*1+ISBLANK(M1270)*1+ISBLANK(N1270)*1+ISBLANK(O1270)*1)&gt;0,"Missing Data","OK")</f>
        <v>OK</v>
      </c>
      <c r="V1270" s="0" t="str">
        <f aca="false">IF(T1270&gt;=6,"High Risk",IF(T1270&gt;=3,"Medium Risk","Low Risk"))</f>
        <v>Medium Risk</v>
      </c>
    </row>
    <row r="1271" customFormat="false" ht="12.8" hidden="false" customHeight="false" outlineLevel="0" collapsed="false">
      <c r="A1271" s="1" t="s">
        <v>1301</v>
      </c>
      <c r="B1271" s="1" t="s">
        <v>36</v>
      </c>
      <c r="C1271" s="1" t="s">
        <v>34</v>
      </c>
      <c r="D1271" s="1" t="n">
        <v>11.35</v>
      </c>
      <c r="E1271" s="1" t="n">
        <v>3</v>
      </c>
      <c r="F1271" s="4" t="n">
        <v>45511</v>
      </c>
      <c r="G1271" s="1" t="s">
        <v>30</v>
      </c>
      <c r="H1271" s="1" t="n">
        <v>1</v>
      </c>
      <c r="I1271" s="1" t="n">
        <v>62.2</v>
      </c>
      <c r="J1271" s="1" t="n">
        <v>21</v>
      </c>
      <c r="K1271" s="1" t="n">
        <v>4</v>
      </c>
      <c r="L1271" s="1" t="n">
        <v>1</v>
      </c>
      <c r="M1271" s="1" t="n">
        <v>0</v>
      </c>
      <c r="N1271" s="1" t="n">
        <v>34.05</v>
      </c>
      <c r="O1271" s="1" t="n">
        <v>1</v>
      </c>
      <c r="P1271" s="4" t="n">
        <v>45602</v>
      </c>
      <c r="Q1271" s="4" t="n">
        <v>45602</v>
      </c>
      <c r="R1271" s="0" t="n">
        <f aca="false">IF(ISBLANK(F1271),"Missing",IFERROR(YEAR(F1271),"Missing"))</f>
        <v>2024</v>
      </c>
      <c r="S1271" s="0" t="str">
        <f aca="false">IF(ISBLANK(E1271),"Missing",IF(E1271&lt;6,"0-6mo",IF(E1271&lt;12,"6-12mo",IF(E1271&lt;24,"12-24mo","24mo+"))))</f>
        <v>0-6mo</v>
      </c>
      <c r="T1271" s="0" t="n">
        <f aca="false">IF(ISBLANK(C1271),0,IF(C1271="Month-to-month",2,IF(C1271="One year",1,0)))+IF(ISBLANK(I1271),0,IF(I1271&lt;40,2,IF(I1271&lt;55,1,0)))+IF(ISBLANK(M1271),0,IF(M1271=1,3,0))+IF(ISBLANK(L1271),0,IF(L1271&gt;=2,1,0))+IF(ISBLANK(E1271),0,IF(E1271&lt;12,1,0))</f>
        <v>2</v>
      </c>
      <c r="U1271" s="0" t="str">
        <f aca="false">IF((ISBLANK(B1271)*1+ISBLANK(C1271)*1+ISBLANK(D1271)*1+ISBLANK(E1271)*1+ISBLANK(F1271)*1+ISBLANK(I1271)*1+ISBLANK(J1271)*1+ISBLANK(K1271)*1+ISBLANK(L1271)*1+ISBLANK(M1271)*1+ISBLANK(N1271)*1+ISBLANK(O1271)*1)&gt;0,"Missing Data","OK")</f>
        <v>OK</v>
      </c>
      <c r="V1271" s="0" t="str">
        <f aca="false">IF(T1271&gt;=6,"High Risk",IF(T1271&gt;=3,"Medium Risk","Low Risk"))</f>
        <v>Low Risk</v>
      </c>
    </row>
    <row r="1272" customFormat="false" ht="12.8" hidden="false" customHeight="false" outlineLevel="0" collapsed="false">
      <c r="A1272" s="1" t="s">
        <v>1302</v>
      </c>
      <c r="B1272" s="1" t="s">
        <v>29</v>
      </c>
      <c r="C1272" s="1" t="s">
        <v>51</v>
      </c>
      <c r="D1272" s="1" t="n">
        <v>40.46</v>
      </c>
      <c r="E1272" s="1" t="n">
        <v>72</v>
      </c>
      <c r="F1272" s="4" t="n">
        <v>45513</v>
      </c>
      <c r="G1272" s="1" t="s">
        <v>39</v>
      </c>
      <c r="H1272" s="1" t="n">
        <v>0</v>
      </c>
      <c r="I1272" s="1" t="n">
        <v>57.1</v>
      </c>
      <c r="J1272" s="1" t="n">
        <v>18</v>
      </c>
      <c r="K1272" s="1" t="n">
        <v>3</v>
      </c>
      <c r="L1272" s="1" t="n">
        <v>0</v>
      </c>
      <c r="M1272" s="1" t="n">
        <v>0</v>
      </c>
      <c r="N1272" s="1" t="n">
        <v>2913.12</v>
      </c>
      <c r="O1272" s="1" t="n">
        <v>0</v>
      </c>
      <c r="Q1272" s="4" t="n">
        <v>46293</v>
      </c>
      <c r="R1272" s="0" t="n">
        <f aca="false">IF(ISBLANK(F1272),"Missing",IFERROR(YEAR(F1272),"Missing"))</f>
        <v>2024</v>
      </c>
      <c r="S1272" s="0" t="str">
        <f aca="false">IF(ISBLANK(E1272),"Missing",IF(E1272&lt;6,"0-6mo",IF(E1272&lt;12,"6-12mo",IF(E1272&lt;24,"12-24mo","24mo+"))))</f>
        <v>24mo+</v>
      </c>
      <c r="T1272" s="0" t="n">
        <f aca="false">IF(ISBLANK(C1272),0,IF(C1272="Month-to-month",2,IF(C1272="One year",1,0)))+IF(ISBLANK(I1272),0,IF(I1272&lt;40,2,IF(I1272&lt;55,1,0)))+IF(ISBLANK(M1272),0,IF(M1272=1,3,0))+IF(ISBLANK(L1272),0,IF(L1272&gt;=2,1,0))+IF(ISBLANK(E1272),0,IF(E1272&lt;12,1,0))</f>
        <v>0</v>
      </c>
      <c r="U1272" s="0" t="str">
        <f aca="false">IF((ISBLANK(B1272)*1+ISBLANK(C1272)*1+ISBLANK(D1272)*1+ISBLANK(E1272)*1+ISBLANK(F1272)*1+ISBLANK(I1272)*1+ISBLANK(J1272)*1+ISBLANK(K1272)*1+ISBLANK(L1272)*1+ISBLANK(M1272)*1+ISBLANK(N1272)*1+ISBLANK(O1272)*1)&gt;0,"Missing Data","OK")</f>
        <v>OK</v>
      </c>
      <c r="V1272" s="0" t="str">
        <f aca="false">IF(T1272&gt;=6,"High Risk",IF(T1272&gt;=3,"Medium Risk","Low Risk"))</f>
        <v>Low Risk</v>
      </c>
    </row>
    <row r="1273" customFormat="false" ht="12.8" hidden="false" customHeight="false" outlineLevel="0" collapsed="false">
      <c r="A1273" s="1" t="s">
        <v>1303</v>
      </c>
      <c r="B1273" s="1" t="s">
        <v>36</v>
      </c>
      <c r="C1273" s="1" t="s">
        <v>51</v>
      </c>
      <c r="D1273" s="1" t="n">
        <v>10.01</v>
      </c>
      <c r="E1273" s="1" t="n">
        <v>2</v>
      </c>
      <c r="F1273" s="4" t="n">
        <v>45517</v>
      </c>
      <c r="G1273" s="1" t="s">
        <v>30</v>
      </c>
      <c r="H1273" s="1" t="n">
        <v>0</v>
      </c>
      <c r="I1273" s="1" t="n">
        <v>28.6</v>
      </c>
      <c r="J1273" s="1" t="n">
        <v>10</v>
      </c>
      <c r="K1273" s="1" t="n">
        <v>2</v>
      </c>
      <c r="L1273" s="1" t="n">
        <v>4</v>
      </c>
      <c r="M1273" s="1" t="n">
        <v>0</v>
      </c>
      <c r="N1273" s="1" t="n">
        <v>20.02</v>
      </c>
      <c r="O1273" s="1" t="n">
        <v>0</v>
      </c>
      <c r="Q1273" s="4" t="n">
        <v>45577</v>
      </c>
      <c r="R1273" s="0" t="n">
        <f aca="false">IF(ISBLANK(F1273),"Missing",IFERROR(YEAR(F1273),"Missing"))</f>
        <v>2024</v>
      </c>
      <c r="S1273" s="0" t="str">
        <f aca="false">IF(ISBLANK(E1273),"Missing",IF(E1273&lt;6,"0-6mo",IF(E1273&lt;12,"6-12mo",IF(E1273&lt;24,"12-24mo","24mo+"))))</f>
        <v>0-6mo</v>
      </c>
      <c r="T1273" s="0" t="n">
        <f aca="false">IF(ISBLANK(C1273),0,IF(C1273="Month-to-month",2,IF(C1273="One year",1,0)))+IF(ISBLANK(I1273),0,IF(I1273&lt;40,2,IF(I1273&lt;55,1,0)))+IF(ISBLANK(M1273),0,IF(M1273=1,3,0))+IF(ISBLANK(L1273),0,IF(L1273&gt;=2,1,0))+IF(ISBLANK(E1273),0,IF(E1273&lt;12,1,0))</f>
        <v>4</v>
      </c>
      <c r="U1273" s="0" t="str">
        <f aca="false">IF((ISBLANK(B1273)*1+ISBLANK(C1273)*1+ISBLANK(D1273)*1+ISBLANK(E1273)*1+ISBLANK(F1273)*1+ISBLANK(I1273)*1+ISBLANK(J1273)*1+ISBLANK(K1273)*1+ISBLANK(L1273)*1+ISBLANK(M1273)*1+ISBLANK(N1273)*1+ISBLANK(O1273)*1)&gt;0,"Missing Data","OK")</f>
        <v>OK</v>
      </c>
      <c r="V1273" s="0" t="str">
        <f aca="false">IF(T1273&gt;=6,"High Risk",IF(T1273&gt;=3,"Medium Risk","Low Risk"))</f>
        <v>Medium Risk</v>
      </c>
    </row>
    <row r="1274" customFormat="false" ht="12.8" hidden="false" customHeight="false" outlineLevel="0" collapsed="false">
      <c r="A1274" s="1" t="s">
        <v>1304</v>
      </c>
      <c r="B1274" s="1" t="s">
        <v>23</v>
      </c>
      <c r="C1274" s="1" t="s">
        <v>51</v>
      </c>
      <c r="D1274" s="1" t="n">
        <v>20.91</v>
      </c>
      <c r="E1274" s="1" t="n">
        <v>29</v>
      </c>
      <c r="F1274" s="4" t="n">
        <v>45518</v>
      </c>
      <c r="G1274" s="1" t="s">
        <v>25</v>
      </c>
      <c r="H1274" s="1" t="n">
        <v>1</v>
      </c>
      <c r="I1274" s="1" t="n">
        <v>54.4</v>
      </c>
      <c r="J1274" s="1" t="n">
        <v>12</v>
      </c>
      <c r="K1274" s="1" t="n">
        <v>5</v>
      </c>
      <c r="L1274" s="1" t="n">
        <v>3</v>
      </c>
      <c r="M1274" s="1" t="n">
        <v>1</v>
      </c>
      <c r="N1274" s="1" t="n">
        <v>606.39</v>
      </c>
      <c r="O1274" s="1" t="n">
        <v>0</v>
      </c>
      <c r="Q1274" s="4" t="n">
        <v>46293</v>
      </c>
      <c r="R1274" s="0" t="n">
        <f aca="false">IF(ISBLANK(F1274),"Missing",IFERROR(YEAR(F1274),"Missing"))</f>
        <v>2024</v>
      </c>
      <c r="S1274" s="0" t="str">
        <f aca="false">IF(ISBLANK(E1274),"Missing",IF(E1274&lt;6,"0-6mo",IF(E1274&lt;12,"6-12mo",IF(E1274&lt;24,"12-24mo","24mo+"))))</f>
        <v>24mo+</v>
      </c>
      <c r="T1274" s="0" t="n">
        <f aca="false">IF(ISBLANK(C1274),0,IF(C1274="Month-to-month",2,IF(C1274="One year",1,0)))+IF(ISBLANK(I1274),0,IF(I1274&lt;40,2,IF(I1274&lt;55,1,0)))+IF(ISBLANK(M1274),0,IF(M1274=1,3,0))+IF(ISBLANK(L1274),0,IF(L1274&gt;=2,1,0))+IF(ISBLANK(E1274),0,IF(E1274&lt;12,1,0))</f>
        <v>5</v>
      </c>
      <c r="U1274" s="0" t="str">
        <f aca="false">IF((ISBLANK(B1274)*1+ISBLANK(C1274)*1+ISBLANK(D1274)*1+ISBLANK(E1274)*1+ISBLANK(F1274)*1+ISBLANK(I1274)*1+ISBLANK(J1274)*1+ISBLANK(K1274)*1+ISBLANK(L1274)*1+ISBLANK(M1274)*1+ISBLANK(N1274)*1+ISBLANK(O1274)*1)&gt;0,"Missing Data","OK")</f>
        <v>OK</v>
      </c>
      <c r="V1274" s="0" t="str">
        <f aca="false">IF(T1274&gt;=6,"High Risk",IF(T1274&gt;=3,"Medium Risk","Low Risk"))</f>
        <v>Medium Risk</v>
      </c>
    </row>
    <row r="1275" customFormat="false" ht="12.8" hidden="false" customHeight="false" outlineLevel="0" collapsed="false">
      <c r="A1275" s="1" t="s">
        <v>1305</v>
      </c>
      <c r="B1275" s="1" t="s">
        <v>36</v>
      </c>
      <c r="C1275" s="1" t="s">
        <v>24</v>
      </c>
      <c r="D1275" s="1" t="n">
        <v>8.67</v>
      </c>
      <c r="E1275" s="1" t="n">
        <v>35</v>
      </c>
      <c r="F1275" s="4" t="n">
        <v>45519</v>
      </c>
      <c r="G1275" s="1" t="s">
        <v>27</v>
      </c>
      <c r="H1275" s="1" t="n">
        <v>1</v>
      </c>
      <c r="I1275" s="1" t="n">
        <v>88.6</v>
      </c>
      <c r="J1275" s="1" t="n">
        <v>30</v>
      </c>
      <c r="K1275" s="1" t="n">
        <v>10</v>
      </c>
      <c r="L1275" s="1" t="n">
        <v>1</v>
      </c>
      <c r="M1275" s="1" t="n">
        <v>1</v>
      </c>
      <c r="N1275" s="1" t="n">
        <v>303.45</v>
      </c>
      <c r="O1275" s="1" t="n">
        <v>0</v>
      </c>
      <c r="Q1275" s="4" t="n">
        <v>46293</v>
      </c>
      <c r="R1275" s="0" t="n">
        <f aca="false">IF(ISBLANK(F1275),"Missing",IFERROR(YEAR(F1275),"Missing"))</f>
        <v>2024</v>
      </c>
      <c r="S1275" s="0" t="str">
        <f aca="false">IF(ISBLANK(E1275),"Missing",IF(E1275&lt;6,"0-6mo",IF(E1275&lt;12,"6-12mo",IF(E1275&lt;24,"12-24mo","24mo+"))))</f>
        <v>24mo+</v>
      </c>
      <c r="T1275" s="0" t="n">
        <f aca="false">IF(ISBLANK(C1275),0,IF(C1275="Month-to-month",2,IF(C1275="One year",1,0)))+IF(ISBLANK(I1275),0,IF(I1275&lt;40,2,IF(I1275&lt;55,1,0)))+IF(ISBLANK(M1275),0,IF(M1275=1,3,0))+IF(ISBLANK(L1275),0,IF(L1275&gt;=2,1,0))+IF(ISBLANK(E1275),0,IF(E1275&lt;12,1,0))</f>
        <v>5</v>
      </c>
      <c r="U1275" s="0" t="str">
        <f aca="false">IF((ISBLANK(B1275)*1+ISBLANK(C1275)*1+ISBLANK(D1275)*1+ISBLANK(E1275)*1+ISBLANK(F1275)*1+ISBLANK(I1275)*1+ISBLANK(J1275)*1+ISBLANK(K1275)*1+ISBLANK(L1275)*1+ISBLANK(M1275)*1+ISBLANK(N1275)*1+ISBLANK(O1275)*1)&gt;0,"Missing Data","OK")</f>
        <v>OK</v>
      </c>
      <c r="V1275" s="0" t="str">
        <f aca="false">IF(T1275&gt;=6,"High Risk",IF(T1275&gt;=3,"Medium Risk","Low Risk"))</f>
        <v>Medium Risk</v>
      </c>
    </row>
    <row r="1276" customFormat="false" ht="12.8" hidden="false" customHeight="false" outlineLevel="0" collapsed="false">
      <c r="A1276" s="1" t="s">
        <v>1306</v>
      </c>
      <c r="B1276" s="1" t="s">
        <v>36</v>
      </c>
      <c r="C1276" s="1" t="s">
        <v>24</v>
      </c>
      <c r="D1276" s="1" t="n">
        <v>9.2</v>
      </c>
      <c r="E1276" s="1" t="n">
        <v>23</v>
      </c>
      <c r="F1276" s="4" t="n">
        <v>45519</v>
      </c>
      <c r="G1276" s="1" t="s">
        <v>25</v>
      </c>
      <c r="H1276" s="1" t="n">
        <v>1</v>
      </c>
      <c r="I1276" s="1" t="n">
        <v>64.2</v>
      </c>
      <c r="J1276" s="1" t="n">
        <v>17</v>
      </c>
      <c r="K1276" s="1" t="n">
        <v>6</v>
      </c>
      <c r="L1276" s="1" t="n">
        <v>2</v>
      </c>
      <c r="M1276" s="1" t="n">
        <v>1</v>
      </c>
      <c r="N1276" s="1" t="n">
        <v>211.6</v>
      </c>
      <c r="O1276" s="1" t="n">
        <v>1</v>
      </c>
      <c r="P1276" s="4" t="n">
        <v>46219</v>
      </c>
      <c r="Q1276" s="4" t="n">
        <v>46219</v>
      </c>
      <c r="R1276" s="0" t="n">
        <f aca="false">IF(ISBLANK(F1276),"Missing",IFERROR(YEAR(F1276),"Missing"))</f>
        <v>2024</v>
      </c>
      <c r="S1276" s="0" t="str">
        <f aca="false">IF(ISBLANK(E1276),"Missing",IF(E1276&lt;6,"0-6mo",IF(E1276&lt;12,"6-12mo",IF(E1276&lt;24,"12-24mo","24mo+"))))</f>
        <v>12-24mo</v>
      </c>
      <c r="T1276" s="0" t="n">
        <f aca="false">IF(ISBLANK(C1276),0,IF(C1276="Month-to-month",2,IF(C1276="One year",1,0)))+IF(ISBLANK(I1276),0,IF(I1276&lt;40,2,IF(I1276&lt;55,1,0)))+IF(ISBLANK(M1276),0,IF(M1276=1,3,0))+IF(ISBLANK(L1276),0,IF(L1276&gt;=2,1,0))+IF(ISBLANK(E1276),0,IF(E1276&lt;12,1,0))</f>
        <v>6</v>
      </c>
      <c r="U1276" s="0" t="str">
        <f aca="false">IF((ISBLANK(B1276)*1+ISBLANK(C1276)*1+ISBLANK(D1276)*1+ISBLANK(E1276)*1+ISBLANK(F1276)*1+ISBLANK(I1276)*1+ISBLANK(J1276)*1+ISBLANK(K1276)*1+ISBLANK(L1276)*1+ISBLANK(M1276)*1+ISBLANK(N1276)*1+ISBLANK(O1276)*1)&gt;0,"Missing Data","OK")</f>
        <v>OK</v>
      </c>
      <c r="V1276" s="0" t="str">
        <f aca="false">IF(T1276&gt;=6,"High Risk",IF(T1276&gt;=3,"Medium Risk","Low Risk"))</f>
        <v>High Risk</v>
      </c>
    </row>
    <row r="1277" customFormat="false" ht="12.8" hidden="false" customHeight="false" outlineLevel="0" collapsed="false">
      <c r="A1277" s="1" t="s">
        <v>1307</v>
      </c>
      <c r="B1277" s="1" t="s">
        <v>23</v>
      </c>
      <c r="C1277" s="1" t="s">
        <v>24</v>
      </c>
      <c r="D1277" s="1" t="n">
        <v>19.38</v>
      </c>
      <c r="E1277" s="1" t="n">
        <v>4</v>
      </c>
      <c r="F1277" s="4" t="n">
        <v>45519</v>
      </c>
      <c r="G1277" s="1" t="s">
        <v>27</v>
      </c>
      <c r="H1277" s="1" t="n">
        <v>0</v>
      </c>
      <c r="I1277" s="1" t="n">
        <v>62.2</v>
      </c>
      <c r="J1277" s="1" t="n">
        <v>16</v>
      </c>
      <c r="K1277" s="1" t="n">
        <v>3</v>
      </c>
      <c r="L1277" s="1" t="n">
        <v>0</v>
      </c>
      <c r="M1277" s="1" t="n">
        <v>0</v>
      </c>
      <c r="N1277" s="1" t="n">
        <v>77.52</v>
      </c>
      <c r="O1277" s="1" t="n">
        <v>0</v>
      </c>
      <c r="Q1277" s="4" t="n">
        <v>45640</v>
      </c>
      <c r="R1277" s="0" t="n">
        <f aca="false">IF(ISBLANK(F1277),"Missing",IFERROR(YEAR(F1277),"Missing"))</f>
        <v>2024</v>
      </c>
      <c r="S1277" s="0" t="str">
        <f aca="false">IF(ISBLANK(E1277),"Missing",IF(E1277&lt;6,"0-6mo",IF(E1277&lt;12,"6-12mo",IF(E1277&lt;24,"12-24mo","24mo+"))))</f>
        <v>0-6mo</v>
      </c>
      <c r="T1277" s="0" t="n">
        <f aca="false">IF(ISBLANK(C1277),0,IF(C1277="Month-to-month",2,IF(C1277="One year",1,0)))+IF(ISBLANK(I1277),0,IF(I1277&lt;40,2,IF(I1277&lt;55,1,0)))+IF(ISBLANK(M1277),0,IF(M1277=1,3,0))+IF(ISBLANK(L1277),0,IF(L1277&gt;=2,1,0))+IF(ISBLANK(E1277),0,IF(E1277&lt;12,1,0))</f>
        <v>3</v>
      </c>
      <c r="U1277" s="0" t="str">
        <f aca="false">IF((ISBLANK(B1277)*1+ISBLANK(C1277)*1+ISBLANK(D1277)*1+ISBLANK(E1277)*1+ISBLANK(F1277)*1+ISBLANK(I1277)*1+ISBLANK(J1277)*1+ISBLANK(K1277)*1+ISBLANK(L1277)*1+ISBLANK(M1277)*1+ISBLANK(N1277)*1+ISBLANK(O1277)*1)&gt;0,"Missing Data","OK")</f>
        <v>OK</v>
      </c>
      <c r="V1277" s="0" t="str">
        <f aca="false">IF(T1277&gt;=6,"High Risk",IF(T1277&gt;=3,"Medium Risk","Low Risk"))</f>
        <v>Medium Risk</v>
      </c>
    </row>
    <row r="1278" customFormat="false" ht="12.8" hidden="false" customHeight="false" outlineLevel="0" collapsed="false">
      <c r="A1278" s="1" t="s">
        <v>1308</v>
      </c>
      <c r="B1278" s="1" t="s">
        <v>36</v>
      </c>
      <c r="C1278" s="1" t="s">
        <v>24</v>
      </c>
      <c r="D1278" s="1" t="n">
        <v>10.18</v>
      </c>
      <c r="E1278" s="1" t="n">
        <v>11</v>
      </c>
      <c r="F1278" s="4" t="n">
        <v>45519</v>
      </c>
      <c r="G1278" s="1" t="s">
        <v>39</v>
      </c>
      <c r="H1278" s="1" t="n">
        <v>1</v>
      </c>
      <c r="I1278" s="1" t="n">
        <v>64.8</v>
      </c>
      <c r="J1278" s="1" t="n">
        <v>20</v>
      </c>
      <c r="K1278" s="1" t="n">
        <v>6</v>
      </c>
      <c r="L1278" s="1" t="n">
        <v>2</v>
      </c>
      <c r="M1278" s="1" t="n">
        <v>0</v>
      </c>
      <c r="N1278" s="1" t="n">
        <v>111.98</v>
      </c>
      <c r="O1278" s="1" t="n">
        <v>0</v>
      </c>
      <c r="Q1278" s="4" t="n">
        <v>45853</v>
      </c>
      <c r="R1278" s="0" t="n">
        <f aca="false">IF(ISBLANK(F1278),"Missing",IFERROR(YEAR(F1278),"Missing"))</f>
        <v>2024</v>
      </c>
      <c r="S1278" s="0" t="str">
        <f aca="false">IF(ISBLANK(E1278),"Missing",IF(E1278&lt;6,"0-6mo",IF(E1278&lt;12,"6-12mo",IF(E1278&lt;24,"12-24mo","24mo+"))))</f>
        <v>6-12mo</v>
      </c>
      <c r="T1278" s="0" t="n">
        <f aca="false">IF(ISBLANK(C1278),0,IF(C1278="Month-to-month",2,IF(C1278="One year",1,0)))+IF(ISBLANK(I1278),0,IF(I1278&lt;40,2,IF(I1278&lt;55,1,0)))+IF(ISBLANK(M1278),0,IF(M1278=1,3,0))+IF(ISBLANK(L1278),0,IF(L1278&gt;=2,1,0))+IF(ISBLANK(E1278),0,IF(E1278&lt;12,1,0))</f>
        <v>4</v>
      </c>
      <c r="U1278" s="0" t="str">
        <f aca="false">IF((ISBLANK(B1278)*1+ISBLANK(C1278)*1+ISBLANK(D1278)*1+ISBLANK(E1278)*1+ISBLANK(F1278)*1+ISBLANK(I1278)*1+ISBLANK(J1278)*1+ISBLANK(K1278)*1+ISBLANK(L1278)*1+ISBLANK(M1278)*1+ISBLANK(N1278)*1+ISBLANK(O1278)*1)&gt;0,"Missing Data","OK")</f>
        <v>OK</v>
      </c>
      <c r="V1278" s="0" t="str">
        <f aca="false">IF(T1278&gt;=6,"High Risk",IF(T1278&gt;=3,"Medium Risk","Low Risk"))</f>
        <v>Medium Risk</v>
      </c>
    </row>
    <row r="1279" customFormat="false" ht="12.8" hidden="false" customHeight="false" outlineLevel="0" collapsed="false">
      <c r="A1279" s="1" t="s">
        <v>1309</v>
      </c>
      <c r="B1279" s="1" t="s">
        <v>23</v>
      </c>
      <c r="C1279" s="1" t="s">
        <v>24</v>
      </c>
      <c r="D1279" s="1" t="n">
        <v>21.6</v>
      </c>
      <c r="E1279" s="1" t="n">
        <v>31</v>
      </c>
      <c r="F1279" s="4" t="n">
        <v>45524</v>
      </c>
      <c r="G1279" s="1" t="s">
        <v>30</v>
      </c>
      <c r="H1279" s="1" t="n">
        <v>1</v>
      </c>
      <c r="I1279" s="1" t="n">
        <v>36.8</v>
      </c>
      <c r="J1279" s="1" t="n">
        <v>14</v>
      </c>
      <c r="K1279" s="1" t="n">
        <v>6</v>
      </c>
      <c r="L1279" s="1" t="n">
        <v>0</v>
      </c>
      <c r="M1279" s="1" t="n">
        <v>0</v>
      </c>
      <c r="N1279" s="1" t="n">
        <v>669.6</v>
      </c>
      <c r="O1279" s="1" t="n">
        <v>0</v>
      </c>
      <c r="Q1279" s="4" t="n">
        <v>46293</v>
      </c>
      <c r="R1279" s="0" t="n">
        <f aca="false">IF(ISBLANK(F1279),"Missing",IFERROR(YEAR(F1279),"Missing"))</f>
        <v>2024</v>
      </c>
      <c r="S1279" s="0" t="str">
        <f aca="false">IF(ISBLANK(E1279),"Missing",IF(E1279&lt;6,"0-6mo",IF(E1279&lt;12,"6-12mo",IF(E1279&lt;24,"12-24mo","24mo+"))))</f>
        <v>24mo+</v>
      </c>
      <c r="T1279" s="0" t="n">
        <f aca="false">IF(ISBLANK(C1279),0,IF(C1279="Month-to-month",2,IF(C1279="One year",1,0)))+IF(ISBLANK(I1279),0,IF(I1279&lt;40,2,IF(I1279&lt;55,1,0)))+IF(ISBLANK(M1279),0,IF(M1279=1,3,0))+IF(ISBLANK(L1279),0,IF(L1279&gt;=2,1,0))+IF(ISBLANK(E1279),0,IF(E1279&lt;12,1,0))</f>
        <v>4</v>
      </c>
      <c r="U1279" s="0" t="str">
        <f aca="false">IF((ISBLANK(B1279)*1+ISBLANK(C1279)*1+ISBLANK(D1279)*1+ISBLANK(E1279)*1+ISBLANK(F1279)*1+ISBLANK(I1279)*1+ISBLANK(J1279)*1+ISBLANK(K1279)*1+ISBLANK(L1279)*1+ISBLANK(M1279)*1+ISBLANK(N1279)*1+ISBLANK(O1279)*1)&gt;0,"Missing Data","OK")</f>
        <v>OK</v>
      </c>
      <c r="V1279" s="0" t="str">
        <f aca="false">IF(T1279&gt;=6,"High Risk",IF(T1279&gt;=3,"Medium Risk","Low Risk"))</f>
        <v>Medium Risk</v>
      </c>
    </row>
    <row r="1280" customFormat="false" ht="12.8" hidden="false" customHeight="false" outlineLevel="0" collapsed="false">
      <c r="A1280" s="1" t="s">
        <v>1310</v>
      </c>
      <c r="B1280" s="1" t="s">
        <v>29</v>
      </c>
      <c r="C1280" s="1" t="s">
        <v>24</v>
      </c>
      <c r="D1280" s="1" t="n">
        <v>41.09</v>
      </c>
      <c r="E1280" s="1" t="n">
        <v>66</v>
      </c>
      <c r="F1280" s="4" t="n">
        <v>45526</v>
      </c>
      <c r="G1280" s="1" t="s">
        <v>25</v>
      </c>
      <c r="H1280" s="1" t="n">
        <v>1</v>
      </c>
      <c r="I1280" s="1" t="n">
        <v>61.3</v>
      </c>
      <c r="J1280" s="1" t="n">
        <v>20</v>
      </c>
      <c r="K1280" s="1" t="n">
        <v>6</v>
      </c>
      <c r="L1280" s="1" t="n">
        <v>1</v>
      </c>
      <c r="M1280" s="1" t="n">
        <v>0</v>
      </c>
      <c r="N1280" s="1" t="n">
        <v>2711.94</v>
      </c>
      <c r="O1280" s="1" t="n">
        <v>0</v>
      </c>
      <c r="Q1280" s="4" t="n">
        <v>46293</v>
      </c>
      <c r="R1280" s="0" t="n">
        <f aca="false">IF(ISBLANK(F1280),"Missing",IFERROR(YEAR(F1280),"Missing"))</f>
        <v>2024</v>
      </c>
      <c r="S1280" s="0" t="str">
        <f aca="false">IF(ISBLANK(E1280),"Missing",IF(E1280&lt;6,"0-6mo",IF(E1280&lt;12,"6-12mo",IF(E1280&lt;24,"12-24mo","24mo+"))))</f>
        <v>24mo+</v>
      </c>
      <c r="T1280" s="0" t="n">
        <f aca="false">IF(ISBLANK(C1280),0,IF(C1280="Month-to-month",2,IF(C1280="One year",1,0)))+IF(ISBLANK(I1280),0,IF(I1280&lt;40,2,IF(I1280&lt;55,1,0)))+IF(ISBLANK(M1280),0,IF(M1280=1,3,0))+IF(ISBLANK(L1280),0,IF(L1280&gt;=2,1,0))+IF(ISBLANK(E1280),0,IF(E1280&lt;12,1,0))</f>
        <v>2</v>
      </c>
      <c r="U1280" s="0" t="str">
        <f aca="false">IF((ISBLANK(B1280)*1+ISBLANK(C1280)*1+ISBLANK(D1280)*1+ISBLANK(E1280)*1+ISBLANK(F1280)*1+ISBLANK(I1280)*1+ISBLANK(J1280)*1+ISBLANK(K1280)*1+ISBLANK(L1280)*1+ISBLANK(M1280)*1+ISBLANK(N1280)*1+ISBLANK(O1280)*1)&gt;0,"Missing Data","OK")</f>
        <v>OK</v>
      </c>
      <c r="V1280" s="0" t="str">
        <f aca="false">IF(T1280&gt;=6,"High Risk",IF(T1280&gt;=3,"Medium Risk","Low Risk"))</f>
        <v>Low Risk</v>
      </c>
    </row>
    <row r="1281" customFormat="false" ht="12.8" hidden="false" customHeight="false" outlineLevel="0" collapsed="false">
      <c r="A1281" s="1" t="s">
        <v>1311</v>
      </c>
      <c r="B1281" s="1" t="s">
        <v>36</v>
      </c>
      <c r="C1281" s="1" t="s">
        <v>51</v>
      </c>
      <c r="D1281" s="1" t="n">
        <v>8.22</v>
      </c>
      <c r="E1281" s="1" t="n">
        <v>25</v>
      </c>
      <c r="F1281" s="4" t="n">
        <v>45528</v>
      </c>
      <c r="G1281" s="1" t="s">
        <v>25</v>
      </c>
      <c r="H1281" s="1" t="n">
        <v>0</v>
      </c>
      <c r="I1281" s="1" t="n">
        <v>51.9</v>
      </c>
      <c r="J1281" s="1" t="n">
        <v>17</v>
      </c>
      <c r="K1281" s="1" t="n">
        <v>4</v>
      </c>
      <c r="L1281" s="1" t="n">
        <v>1</v>
      </c>
      <c r="M1281" s="1" t="n">
        <v>1</v>
      </c>
      <c r="N1281" s="1" t="n">
        <v>205.5</v>
      </c>
      <c r="O1281" s="1" t="n">
        <v>0</v>
      </c>
      <c r="Q1281" s="4" t="n">
        <v>46289</v>
      </c>
      <c r="R1281" s="0" t="n">
        <f aca="false">IF(ISBLANK(F1281),"Missing",IFERROR(YEAR(F1281),"Missing"))</f>
        <v>2024</v>
      </c>
      <c r="S1281" s="0" t="str">
        <f aca="false">IF(ISBLANK(E1281),"Missing",IF(E1281&lt;6,"0-6mo",IF(E1281&lt;12,"6-12mo",IF(E1281&lt;24,"12-24mo","24mo+"))))</f>
        <v>24mo+</v>
      </c>
      <c r="T1281" s="0" t="n">
        <f aca="false">IF(ISBLANK(C1281),0,IF(C1281="Month-to-month",2,IF(C1281="One year",1,0)))+IF(ISBLANK(I1281),0,IF(I1281&lt;40,2,IF(I1281&lt;55,1,0)))+IF(ISBLANK(M1281),0,IF(M1281=1,3,0))+IF(ISBLANK(L1281),0,IF(L1281&gt;=2,1,0))+IF(ISBLANK(E1281),0,IF(E1281&lt;12,1,0))</f>
        <v>4</v>
      </c>
      <c r="U1281" s="0" t="str">
        <f aca="false">IF((ISBLANK(B1281)*1+ISBLANK(C1281)*1+ISBLANK(D1281)*1+ISBLANK(E1281)*1+ISBLANK(F1281)*1+ISBLANK(I1281)*1+ISBLANK(J1281)*1+ISBLANK(K1281)*1+ISBLANK(L1281)*1+ISBLANK(M1281)*1+ISBLANK(N1281)*1+ISBLANK(O1281)*1)&gt;0,"Missing Data","OK")</f>
        <v>OK</v>
      </c>
      <c r="V1281" s="0" t="str">
        <f aca="false">IF(T1281&gt;=6,"High Risk",IF(T1281&gt;=3,"Medium Risk","Low Risk"))</f>
        <v>Medium Risk</v>
      </c>
    </row>
    <row r="1282" customFormat="false" ht="12.8" hidden="false" customHeight="false" outlineLevel="0" collapsed="false">
      <c r="A1282" s="1" t="s">
        <v>1312</v>
      </c>
      <c r="B1282" s="1" t="s">
        <v>23</v>
      </c>
      <c r="C1282" s="1" t="s">
        <v>24</v>
      </c>
      <c r="D1282" s="1" t="n">
        <v>22.63</v>
      </c>
      <c r="E1282" s="1" t="n">
        <v>18</v>
      </c>
      <c r="F1282" s="4" t="n">
        <v>45530</v>
      </c>
      <c r="G1282" s="1" t="s">
        <v>27</v>
      </c>
      <c r="H1282" s="1" t="n">
        <v>1</v>
      </c>
      <c r="I1282" s="1" t="n">
        <v>82</v>
      </c>
      <c r="J1282" s="1" t="n">
        <v>27</v>
      </c>
      <c r="K1282" s="1" t="n">
        <v>10</v>
      </c>
      <c r="L1282" s="1" t="n">
        <v>4</v>
      </c>
      <c r="M1282" s="1" t="n">
        <v>0</v>
      </c>
      <c r="N1282" s="1" t="n">
        <v>407.34</v>
      </c>
      <c r="O1282" s="1" t="n">
        <v>1</v>
      </c>
      <c r="P1282" s="4" t="n">
        <v>46077</v>
      </c>
      <c r="Q1282" s="4" t="n">
        <v>46077</v>
      </c>
      <c r="R1282" s="0" t="n">
        <f aca="false">IF(ISBLANK(F1282),"Missing",IFERROR(YEAR(F1282),"Missing"))</f>
        <v>2024</v>
      </c>
      <c r="S1282" s="0" t="str">
        <f aca="false">IF(ISBLANK(E1282),"Missing",IF(E1282&lt;6,"0-6mo",IF(E1282&lt;12,"6-12mo",IF(E1282&lt;24,"12-24mo","24mo+"))))</f>
        <v>12-24mo</v>
      </c>
      <c r="T1282" s="0" t="n">
        <f aca="false">IF(ISBLANK(C1282),0,IF(C1282="Month-to-month",2,IF(C1282="One year",1,0)))+IF(ISBLANK(I1282),0,IF(I1282&lt;40,2,IF(I1282&lt;55,1,0)))+IF(ISBLANK(M1282),0,IF(M1282=1,3,0))+IF(ISBLANK(L1282),0,IF(L1282&gt;=2,1,0))+IF(ISBLANK(E1282),0,IF(E1282&lt;12,1,0))</f>
        <v>3</v>
      </c>
      <c r="U1282" s="0" t="str">
        <f aca="false">IF((ISBLANK(B1282)*1+ISBLANK(C1282)*1+ISBLANK(D1282)*1+ISBLANK(E1282)*1+ISBLANK(F1282)*1+ISBLANK(I1282)*1+ISBLANK(J1282)*1+ISBLANK(K1282)*1+ISBLANK(L1282)*1+ISBLANK(M1282)*1+ISBLANK(N1282)*1+ISBLANK(O1282)*1)&gt;0,"Missing Data","OK")</f>
        <v>OK</v>
      </c>
      <c r="V1282" s="0" t="str">
        <f aca="false">IF(T1282&gt;=6,"High Risk",IF(T1282&gt;=3,"Medium Risk","Low Risk"))</f>
        <v>Medium Risk</v>
      </c>
    </row>
    <row r="1283" customFormat="false" ht="12.8" hidden="false" customHeight="false" outlineLevel="0" collapsed="false">
      <c r="A1283" s="1" t="s">
        <v>1313</v>
      </c>
      <c r="B1283" s="1" t="s">
        <v>23</v>
      </c>
      <c r="C1283" s="1" t="s">
        <v>24</v>
      </c>
      <c r="D1283" s="1" t="n">
        <v>19.17</v>
      </c>
      <c r="E1283" s="1" t="n">
        <v>6</v>
      </c>
      <c r="F1283" s="4" t="n">
        <v>45532</v>
      </c>
      <c r="G1283" s="1" t="s">
        <v>30</v>
      </c>
      <c r="H1283" s="1" t="n">
        <v>0</v>
      </c>
      <c r="I1283" s="1" t="n">
        <v>48.8</v>
      </c>
      <c r="J1283" s="1" t="n">
        <v>14</v>
      </c>
      <c r="K1283" s="1" t="n">
        <v>6</v>
      </c>
      <c r="L1283" s="1" t="n">
        <v>1</v>
      </c>
      <c r="M1283" s="1" t="n">
        <v>1</v>
      </c>
      <c r="N1283" s="1" t="n">
        <v>115.02</v>
      </c>
      <c r="O1283" s="1" t="n">
        <v>1</v>
      </c>
      <c r="P1283" s="4" t="n">
        <v>45714</v>
      </c>
      <c r="Q1283" s="4" t="n">
        <v>45714</v>
      </c>
      <c r="R1283" s="0" t="n">
        <f aca="false">IF(ISBLANK(F1283),"Missing",IFERROR(YEAR(F1283),"Missing"))</f>
        <v>2024</v>
      </c>
      <c r="S1283" s="0" t="str">
        <f aca="false">IF(ISBLANK(E1283),"Missing",IF(E1283&lt;6,"0-6mo",IF(E1283&lt;12,"6-12mo",IF(E1283&lt;24,"12-24mo","24mo+"))))</f>
        <v>6-12mo</v>
      </c>
      <c r="T1283" s="0" t="n">
        <f aca="false">IF(ISBLANK(C1283),0,IF(C1283="Month-to-month",2,IF(C1283="One year",1,0)))+IF(ISBLANK(I1283),0,IF(I1283&lt;40,2,IF(I1283&lt;55,1,0)))+IF(ISBLANK(M1283),0,IF(M1283=1,3,0))+IF(ISBLANK(L1283),0,IF(L1283&gt;=2,1,0))+IF(ISBLANK(E1283),0,IF(E1283&lt;12,1,0))</f>
        <v>7</v>
      </c>
      <c r="U1283" s="0" t="str">
        <f aca="false">IF((ISBLANK(B1283)*1+ISBLANK(C1283)*1+ISBLANK(D1283)*1+ISBLANK(E1283)*1+ISBLANK(F1283)*1+ISBLANK(I1283)*1+ISBLANK(J1283)*1+ISBLANK(K1283)*1+ISBLANK(L1283)*1+ISBLANK(M1283)*1+ISBLANK(N1283)*1+ISBLANK(O1283)*1)&gt;0,"Missing Data","OK")</f>
        <v>OK</v>
      </c>
      <c r="V1283" s="0" t="str">
        <f aca="false">IF(T1283&gt;=6,"High Risk",IF(T1283&gt;=3,"Medium Risk","Low Risk"))</f>
        <v>High Risk</v>
      </c>
    </row>
    <row r="1284" customFormat="false" ht="12.8" hidden="false" customHeight="false" outlineLevel="0" collapsed="false">
      <c r="A1284" s="1" t="s">
        <v>1314</v>
      </c>
      <c r="B1284" s="1" t="s">
        <v>36</v>
      </c>
      <c r="C1284" s="1" t="s">
        <v>24</v>
      </c>
      <c r="D1284" s="1" t="n">
        <v>10.18</v>
      </c>
      <c r="E1284" s="1" t="n">
        <v>29</v>
      </c>
      <c r="F1284" s="4" t="n">
        <v>45533</v>
      </c>
      <c r="G1284" s="1" t="s">
        <v>25</v>
      </c>
      <c r="H1284" s="1" t="n">
        <v>1</v>
      </c>
      <c r="I1284" s="1" t="n">
        <v>26.9</v>
      </c>
      <c r="J1284" s="1" t="n">
        <v>9</v>
      </c>
      <c r="K1284" s="1" t="n">
        <v>2</v>
      </c>
      <c r="L1284" s="1" t="n">
        <v>2</v>
      </c>
      <c r="M1284" s="1" t="n">
        <v>1</v>
      </c>
      <c r="N1284" s="1" t="n">
        <v>295.22</v>
      </c>
      <c r="O1284" s="1" t="n">
        <v>1</v>
      </c>
      <c r="P1284" s="4" t="n">
        <v>46293</v>
      </c>
      <c r="Q1284" s="4" t="n">
        <v>46293</v>
      </c>
      <c r="R1284" s="0" t="n">
        <f aca="false">IF(ISBLANK(F1284),"Missing",IFERROR(YEAR(F1284),"Missing"))</f>
        <v>2024</v>
      </c>
      <c r="S1284" s="0" t="str">
        <f aca="false">IF(ISBLANK(E1284),"Missing",IF(E1284&lt;6,"0-6mo",IF(E1284&lt;12,"6-12mo",IF(E1284&lt;24,"12-24mo","24mo+"))))</f>
        <v>24mo+</v>
      </c>
      <c r="T1284" s="0" t="n">
        <f aca="false">IF(ISBLANK(C1284),0,IF(C1284="Month-to-month",2,IF(C1284="One year",1,0)))+IF(ISBLANK(I1284),0,IF(I1284&lt;40,2,IF(I1284&lt;55,1,0)))+IF(ISBLANK(M1284),0,IF(M1284=1,3,0))+IF(ISBLANK(L1284),0,IF(L1284&gt;=2,1,0))+IF(ISBLANK(E1284),0,IF(E1284&lt;12,1,0))</f>
        <v>8</v>
      </c>
      <c r="U1284" s="0" t="str">
        <f aca="false">IF((ISBLANK(B1284)*1+ISBLANK(C1284)*1+ISBLANK(D1284)*1+ISBLANK(E1284)*1+ISBLANK(F1284)*1+ISBLANK(I1284)*1+ISBLANK(J1284)*1+ISBLANK(K1284)*1+ISBLANK(L1284)*1+ISBLANK(M1284)*1+ISBLANK(N1284)*1+ISBLANK(O1284)*1)&gt;0,"Missing Data","OK")</f>
        <v>OK</v>
      </c>
      <c r="V1284" s="0" t="str">
        <f aca="false">IF(T1284&gt;=6,"High Risk",IF(T1284&gt;=3,"Medium Risk","Low Risk"))</f>
        <v>High Risk</v>
      </c>
    </row>
    <row r="1285" customFormat="false" ht="12.8" hidden="false" customHeight="false" outlineLevel="0" collapsed="false">
      <c r="A1285" s="1" t="s">
        <v>1315</v>
      </c>
      <c r="B1285" s="1" t="s">
        <v>36</v>
      </c>
      <c r="C1285" s="1" t="s">
        <v>24</v>
      </c>
      <c r="D1285" s="1" t="n">
        <v>9.44</v>
      </c>
      <c r="E1285" s="1" t="n">
        <v>6</v>
      </c>
      <c r="F1285" s="4" t="n">
        <v>45533</v>
      </c>
      <c r="G1285" s="1" t="s">
        <v>30</v>
      </c>
      <c r="H1285" s="1" t="n">
        <v>0</v>
      </c>
      <c r="I1285" s="1" t="n">
        <v>81.8</v>
      </c>
      <c r="J1285" s="1" t="n">
        <v>29</v>
      </c>
      <c r="K1285" s="1" t="n">
        <v>8</v>
      </c>
      <c r="L1285" s="1" t="n">
        <v>2</v>
      </c>
      <c r="M1285" s="1" t="n">
        <v>1</v>
      </c>
      <c r="N1285" s="1" t="n">
        <v>56.64</v>
      </c>
      <c r="O1285" s="1" t="n">
        <v>0</v>
      </c>
      <c r="Q1285" s="4" t="n">
        <v>45715</v>
      </c>
      <c r="R1285" s="0" t="n">
        <f aca="false">IF(ISBLANK(F1285),"Missing",IFERROR(YEAR(F1285),"Missing"))</f>
        <v>2024</v>
      </c>
      <c r="S1285" s="0" t="str">
        <f aca="false">IF(ISBLANK(E1285),"Missing",IF(E1285&lt;6,"0-6mo",IF(E1285&lt;12,"6-12mo",IF(E1285&lt;24,"12-24mo","24mo+"))))</f>
        <v>6-12mo</v>
      </c>
      <c r="T1285" s="0" t="n">
        <f aca="false">IF(ISBLANK(C1285),0,IF(C1285="Month-to-month",2,IF(C1285="One year",1,0)))+IF(ISBLANK(I1285),0,IF(I1285&lt;40,2,IF(I1285&lt;55,1,0)))+IF(ISBLANK(M1285),0,IF(M1285=1,3,0))+IF(ISBLANK(L1285),0,IF(L1285&gt;=2,1,0))+IF(ISBLANK(E1285),0,IF(E1285&lt;12,1,0))</f>
        <v>7</v>
      </c>
      <c r="U1285" s="0" t="str">
        <f aca="false">IF((ISBLANK(B1285)*1+ISBLANK(C1285)*1+ISBLANK(D1285)*1+ISBLANK(E1285)*1+ISBLANK(F1285)*1+ISBLANK(I1285)*1+ISBLANK(J1285)*1+ISBLANK(K1285)*1+ISBLANK(L1285)*1+ISBLANK(M1285)*1+ISBLANK(N1285)*1+ISBLANK(O1285)*1)&gt;0,"Missing Data","OK")</f>
        <v>OK</v>
      </c>
      <c r="V1285" s="0" t="str">
        <f aca="false">IF(T1285&gt;=6,"High Risk",IF(T1285&gt;=3,"Medium Risk","Low Risk"))</f>
        <v>High Risk</v>
      </c>
    </row>
    <row r="1286" customFormat="false" ht="12.8" hidden="false" customHeight="false" outlineLevel="0" collapsed="false">
      <c r="A1286" s="1" t="s">
        <v>1316</v>
      </c>
      <c r="B1286" s="1" t="s">
        <v>23</v>
      </c>
      <c r="C1286" s="1" t="s">
        <v>24</v>
      </c>
      <c r="D1286" s="1" t="n">
        <v>19.99</v>
      </c>
      <c r="E1286" s="1" t="n">
        <v>2</v>
      </c>
      <c r="F1286" s="4" t="n">
        <v>45533</v>
      </c>
      <c r="G1286" s="1" t="s">
        <v>25</v>
      </c>
      <c r="H1286" s="1" t="n">
        <v>1</v>
      </c>
      <c r="I1286" s="1" t="n">
        <v>57.8</v>
      </c>
      <c r="J1286" s="1" t="n">
        <v>25</v>
      </c>
      <c r="K1286" s="1" t="n">
        <v>4</v>
      </c>
      <c r="L1286" s="1" t="n">
        <v>3</v>
      </c>
      <c r="M1286" s="1" t="n">
        <v>0</v>
      </c>
      <c r="N1286" s="1" t="n">
        <v>39.98</v>
      </c>
      <c r="O1286" s="1" t="n">
        <v>1</v>
      </c>
      <c r="P1286" s="4" t="n">
        <v>45593</v>
      </c>
      <c r="Q1286" s="4" t="n">
        <v>45593</v>
      </c>
      <c r="R1286" s="0" t="n">
        <f aca="false">IF(ISBLANK(F1286),"Missing",IFERROR(YEAR(F1286),"Missing"))</f>
        <v>2024</v>
      </c>
      <c r="S1286" s="0" t="str">
        <f aca="false">IF(ISBLANK(E1286),"Missing",IF(E1286&lt;6,"0-6mo",IF(E1286&lt;12,"6-12mo",IF(E1286&lt;24,"12-24mo","24mo+"))))</f>
        <v>0-6mo</v>
      </c>
      <c r="T1286" s="0" t="n">
        <f aca="false">IF(ISBLANK(C1286),0,IF(C1286="Month-to-month",2,IF(C1286="One year",1,0)))+IF(ISBLANK(I1286),0,IF(I1286&lt;40,2,IF(I1286&lt;55,1,0)))+IF(ISBLANK(M1286),0,IF(M1286=1,3,0))+IF(ISBLANK(L1286),0,IF(L1286&gt;=2,1,0))+IF(ISBLANK(E1286),0,IF(E1286&lt;12,1,0))</f>
        <v>4</v>
      </c>
      <c r="U1286" s="0" t="str">
        <f aca="false">IF((ISBLANK(B1286)*1+ISBLANK(C1286)*1+ISBLANK(D1286)*1+ISBLANK(E1286)*1+ISBLANK(F1286)*1+ISBLANK(I1286)*1+ISBLANK(J1286)*1+ISBLANK(K1286)*1+ISBLANK(L1286)*1+ISBLANK(M1286)*1+ISBLANK(N1286)*1+ISBLANK(O1286)*1)&gt;0,"Missing Data","OK")</f>
        <v>OK</v>
      </c>
      <c r="V1286" s="0" t="str">
        <f aca="false">IF(T1286&gt;=6,"High Risk",IF(T1286&gt;=3,"Medium Risk","Low Risk"))</f>
        <v>Medium Risk</v>
      </c>
    </row>
    <row r="1287" customFormat="false" ht="12.8" hidden="false" customHeight="false" outlineLevel="0" collapsed="false">
      <c r="A1287" s="1" t="s">
        <v>1317</v>
      </c>
      <c r="B1287" s="1" t="s">
        <v>36</v>
      </c>
      <c r="C1287" s="1" t="s">
        <v>34</v>
      </c>
      <c r="D1287" s="1" t="n">
        <v>10.95</v>
      </c>
      <c r="E1287" s="1" t="n">
        <v>14</v>
      </c>
      <c r="F1287" s="4" t="n">
        <v>45534</v>
      </c>
      <c r="G1287" s="1" t="s">
        <v>30</v>
      </c>
      <c r="H1287" s="1" t="n">
        <v>1</v>
      </c>
      <c r="I1287" s="1" t="n">
        <v>74.3</v>
      </c>
      <c r="J1287" s="1" t="n">
        <v>25</v>
      </c>
      <c r="K1287" s="1" t="n">
        <v>10</v>
      </c>
      <c r="L1287" s="1" t="n">
        <v>1</v>
      </c>
      <c r="M1287" s="1" t="n">
        <v>0</v>
      </c>
      <c r="N1287" s="1" t="n">
        <v>153.3</v>
      </c>
      <c r="O1287" s="1" t="n">
        <v>0</v>
      </c>
      <c r="Q1287" s="4" t="n">
        <v>45960</v>
      </c>
      <c r="R1287" s="0" t="n">
        <f aca="false">IF(ISBLANK(F1287),"Missing",IFERROR(YEAR(F1287),"Missing"))</f>
        <v>2024</v>
      </c>
      <c r="S1287" s="0" t="str">
        <f aca="false">IF(ISBLANK(E1287),"Missing",IF(E1287&lt;6,"0-6mo",IF(E1287&lt;12,"6-12mo",IF(E1287&lt;24,"12-24mo","24mo+"))))</f>
        <v>12-24mo</v>
      </c>
      <c r="T1287" s="0" t="n">
        <f aca="false">IF(ISBLANK(C1287),0,IF(C1287="Month-to-month",2,IF(C1287="One year",1,0)))+IF(ISBLANK(I1287),0,IF(I1287&lt;40,2,IF(I1287&lt;55,1,0)))+IF(ISBLANK(M1287),0,IF(M1287=1,3,0))+IF(ISBLANK(L1287),0,IF(L1287&gt;=2,1,0))+IF(ISBLANK(E1287),0,IF(E1287&lt;12,1,0))</f>
        <v>1</v>
      </c>
      <c r="U1287" s="0" t="str">
        <f aca="false">IF((ISBLANK(B1287)*1+ISBLANK(C1287)*1+ISBLANK(D1287)*1+ISBLANK(E1287)*1+ISBLANK(F1287)*1+ISBLANK(I1287)*1+ISBLANK(J1287)*1+ISBLANK(K1287)*1+ISBLANK(L1287)*1+ISBLANK(M1287)*1+ISBLANK(N1287)*1+ISBLANK(O1287)*1)&gt;0,"Missing Data","OK")</f>
        <v>OK</v>
      </c>
      <c r="V1287" s="0" t="str">
        <f aca="false">IF(T1287&gt;=6,"High Risk",IF(T1287&gt;=3,"Medium Risk","Low Risk"))</f>
        <v>Low Risk</v>
      </c>
    </row>
    <row r="1288" customFormat="false" ht="12.8" hidden="false" customHeight="false" outlineLevel="0" collapsed="false">
      <c r="A1288" s="1" t="s">
        <v>1318</v>
      </c>
      <c r="B1288" s="1" t="s">
        <v>29</v>
      </c>
      <c r="C1288" s="1" t="s">
        <v>24</v>
      </c>
      <c r="D1288" s="1" t="n">
        <v>39.67</v>
      </c>
      <c r="E1288" s="1" t="n">
        <v>13</v>
      </c>
      <c r="F1288" s="4" t="n">
        <v>45538</v>
      </c>
      <c r="G1288" s="1" t="s">
        <v>39</v>
      </c>
      <c r="H1288" s="1" t="n">
        <v>1</v>
      </c>
      <c r="I1288" s="1" t="n">
        <v>29.2</v>
      </c>
      <c r="J1288" s="1" t="n">
        <v>4</v>
      </c>
      <c r="K1288" s="1" t="n">
        <v>4</v>
      </c>
      <c r="L1288" s="1" t="n">
        <v>3</v>
      </c>
      <c r="M1288" s="1" t="n">
        <v>0</v>
      </c>
      <c r="N1288" s="1" t="n">
        <v>515.71</v>
      </c>
      <c r="O1288" s="1" t="n">
        <v>0</v>
      </c>
      <c r="Q1288" s="4" t="n">
        <v>45933</v>
      </c>
      <c r="R1288" s="0" t="n">
        <f aca="false">IF(ISBLANK(F1288),"Missing",IFERROR(YEAR(F1288),"Missing"))</f>
        <v>2024</v>
      </c>
      <c r="S1288" s="0" t="str">
        <f aca="false">IF(ISBLANK(E1288),"Missing",IF(E1288&lt;6,"0-6mo",IF(E1288&lt;12,"6-12mo",IF(E1288&lt;24,"12-24mo","24mo+"))))</f>
        <v>12-24mo</v>
      </c>
      <c r="T1288" s="0" t="n">
        <f aca="false">IF(ISBLANK(C1288),0,IF(C1288="Month-to-month",2,IF(C1288="One year",1,0)))+IF(ISBLANK(I1288),0,IF(I1288&lt;40,2,IF(I1288&lt;55,1,0)))+IF(ISBLANK(M1288),0,IF(M1288=1,3,0))+IF(ISBLANK(L1288),0,IF(L1288&gt;=2,1,0))+IF(ISBLANK(E1288),0,IF(E1288&lt;12,1,0))</f>
        <v>5</v>
      </c>
      <c r="U1288" s="0" t="str">
        <f aca="false">IF((ISBLANK(B1288)*1+ISBLANK(C1288)*1+ISBLANK(D1288)*1+ISBLANK(E1288)*1+ISBLANK(F1288)*1+ISBLANK(I1288)*1+ISBLANK(J1288)*1+ISBLANK(K1288)*1+ISBLANK(L1288)*1+ISBLANK(M1288)*1+ISBLANK(N1288)*1+ISBLANK(O1288)*1)&gt;0,"Missing Data","OK")</f>
        <v>OK</v>
      </c>
      <c r="V1288" s="0" t="str">
        <f aca="false">IF(T1288&gt;=6,"High Risk",IF(T1288&gt;=3,"Medium Risk","Low Risk"))</f>
        <v>Medium Risk</v>
      </c>
    </row>
    <row r="1289" customFormat="false" ht="12.8" hidden="false" customHeight="false" outlineLevel="0" collapsed="false">
      <c r="A1289" s="1" t="s">
        <v>1319</v>
      </c>
      <c r="B1289" s="1" t="s">
        <v>36</v>
      </c>
      <c r="C1289" s="1" t="s">
        <v>24</v>
      </c>
      <c r="D1289" s="1" t="n">
        <v>9.52</v>
      </c>
      <c r="E1289" s="1" t="n">
        <v>9</v>
      </c>
      <c r="F1289" s="4" t="n">
        <v>45540</v>
      </c>
      <c r="G1289" s="1" t="s">
        <v>25</v>
      </c>
      <c r="H1289" s="1" t="n">
        <v>0</v>
      </c>
      <c r="I1289" s="1" t="n">
        <v>53.7</v>
      </c>
      <c r="J1289" s="1" t="n">
        <v>9</v>
      </c>
      <c r="K1289" s="1" t="n">
        <v>6</v>
      </c>
      <c r="L1289" s="1" t="n">
        <v>0</v>
      </c>
      <c r="M1289" s="1" t="n">
        <v>0</v>
      </c>
      <c r="N1289" s="1" t="n">
        <v>85.68</v>
      </c>
      <c r="O1289" s="1" t="n">
        <v>1</v>
      </c>
      <c r="P1289" s="4" t="n">
        <v>45813</v>
      </c>
      <c r="Q1289" s="4" t="n">
        <v>45813</v>
      </c>
      <c r="R1289" s="0" t="n">
        <f aca="false">IF(ISBLANK(F1289),"Missing",IFERROR(YEAR(F1289),"Missing"))</f>
        <v>2024</v>
      </c>
      <c r="S1289" s="0" t="str">
        <f aca="false">IF(ISBLANK(E1289),"Missing",IF(E1289&lt;6,"0-6mo",IF(E1289&lt;12,"6-12mo",IF(E1289&lt;24,"12-24mo","24mo+"))))</f>
        <v>6-12mo</v>
      </c>
      <c r="T1289" s="0" t="n">
        <f aca="false">IF(ISBLANK(C1289),0,IF(C1289="Month-to-month",2,IF(C1289="One year",1,0)))+IF(ISBLANK(I1289),0,IF(I1289&lt;40,2,IF(I1289&lt;55,1,0)))+IF(ISBLANK(M1289),0,IF(M1289=1,3,0))+IF(ISBLANK(L1289),0,IF(L1289&gt;=2,1,0))+IF(ISBLANK(E1289),0,IF(E1289&lt;12,1,0))</f>
        <v>4</v>
      </c>
      <c r="U1289" s="0" t="str">
        <f aca="false">IF((ISBLANK(B1289)*1+ISBLANK(C1289)*1+ISBLANK(D1289)*1+ISBLANK(E1289)*1+ISBLANK(F1289)*1+ISBLANK(I1289)*1+ISBLANK(J1289)*1+ISBLANK(K1289)*1+ISBLANK(L1289)*1+ISBLANK(M1289)*1+ISBLANK(N1289)*1+ISBLANK(O1289)*1)&gt;0,"Missing Data","OK")</f>
        <v>OK</v>
      </c>
      <c r="V1289" s="0" t="str">
        <f aca="false">IF(T1289&gt;=6,"High Risk",IF(T1289&gt;=3,"Medium Risk","Low Risk"))</f>
        <v>Medium Risk</v>
      </c>
    </row>
    <row r="1290" customFormat="false" ht="12.8" hidden="false" customHeight="false" outlineLevel="0" collapsed="false">
      <c r="A1290" s="1" t="s">
        <v>1320</v>
      </c>
      <c r="B1290" s="1" t="s">
        <v>36</v>
      </c>
      <c r="C1290" s="1" t="s">
        <v>24</v>
      </c>
      <c r="D1290" s="1" t="n">
        <v>9.41</v>
      </c>
      <c r="E1290" s="1" t="n">
        <v>6</v>
      </c>
      <c r="F1290" s="4" t="n">
        <v>45541</v>
      </c>
      <c r="G1290" s="1" t="s">
        <v>30</v>
      </c>
      <c r="H1290" s="1" t="n">
        <v>0</v>
      </c>
      <c r="I1290" s="1" t="n">
        <v>44.7</v>
      </c>
      <c r="J1290" s="1" t="n">
        <v>18</v>
      </c>
      <c r="K1290" s="1" t="n">
        <v>2</v>
      </c>
      <c r="L1290" s="1" t="n">
        <v>2</v>
      </c>
      <c r="M1290" s="1" t="n">
        <v>0</v>
      </c>
      <c r="N1290" s="1" t="n">
        <v>56.46</v>
      </c>
      <c r="O1290" s="1" t="n">
        <v>0</v>
      </c>
      <c r="Q1290" s="4" t="n">
        <v>45723</v>
      </c>
      <c r="R1290" s="0" t="n">
        <f aca="false">IF(ISBLANK(F1290),"Missing",IFERROR(YEAR(F1290),"Missing"))</f>
        <v>2024</v>
      </c>
      <c r="S1290" s="0" t="str">
        <f aca="false">IF(ISBLANK(E1290),"Missing",IF(E1290&lt;6,"0-6mo",IF(E1290&lt;12,"6-12mo",IF(E1290&lt;24,"12-24mo","24mo+"))))</f>
        <v>6-12mo</v>
      </c>
      <c r="T1290" s="0" t="n">
        <f aca="false">IF(ISBLANK(C1290),0,IF(C1290="Month-to-month",2,IF(C1290="One year",1,0)))+IF(ISBLANK(I1290),0,IF(I1290&lt;40,2,IF(I1290&lt;55,1,0)))+IF(ISBLANK(M1290),0,IF(M1290=1,3,0))+IF(ISBLANK(L1290),0,IF(L1290&gt;=2,1,0))+IF(ISBLANK(E1290),0,IF(E1290&lt;12,1,0))</f>
        <v>5</v>
      </c>
      <c r="U1290" s="0" t="str">
        <f aca="false">IF((ISBLANK(B1290)*1+ISBLANK(C1290)*1+ISBLANK(D1290)*1+ISBLANK(E1290)*1+ISBLANK(F1290)*1+ISBLANK(I1290)*1+ISBLANK(J1290)*1+ISBLANK(K1290)*1+ISBLANK(L1290)*1+ISBLANK(M1290)*1+ISBLANK(N1290)*1+ISBLANK(O1290)*1)&gt;0,"Missing Data","OK")</f>
        <v>OK</v>
      </c>
      <c r="V1290" s="0" t="str">
        <f aca="false">IF(T1290&gt;=6,"High Risk",IF(T1290&gt;=3,"Medium Risk","Low Risk"))</f>
        <v>Medium Risk</v>
      </c>
    </row>
    <row r="1291" customFormat="false" ht="12.8" hidden="false" customHeight="false" outlineLevel="0" collapsed="false">
      <c r="A1291" s="1" t="s">
        <v>1321</v>
      </c>
      <c r="B1291" s="1" t="s">
        <v>36</v>
      </c>
      <c r="C1291" s="1" t="s">
        <v>24</v>
      </c>
      <c r="D1291" s="1" t="n">
        <v>10.5</v>
      </c>
      <c r="E1291" s="1" t="n">
        <v>31</v>
      </c>
      <c r="F1291" s="4" t="n">
        <v>45542</v>
      </c>
      <c r="G1291" s="1" t="s">
        <v>39</v>
      </c>
      <c r="H1291" s="1" t="n">
        <v>1</v>
      </c>
      <c r="I1291" s="1" t="n">
        <v>37.8</v>
      </c>
      <c r="J1291" s="1" t="n">
        <v>5</v>
      </c>
      <c r="K1291" s="1" t="n">
        <v>3</v>
      </c>
      <c r="L1291" s="1" t="n">
        <v>1</v>
      </c>
      <c r="M1291" s="1" t="n">
        <v>1</v>
      </c>
      <c r="N1291" s="1" t="n">
        <v>325.5</v>
      </c>
      <c r="O1291" s="1" t="n">
        <v>1</v>
      </c>
      <c r="P1291" s="4" t="n">
        <v>46293</v>
      </c>
      <c r="Q1291" s="4" t="n">
        <v>46293</v>
      </c>
      <c r="R1291" s="0" t="n">
        <f aca="false">IF(ISBLANK(F1291),"Missing",IFERROR(YEAR(F1291),"Missing"))</f>
        <v>2024</v>
      </c>
      <c r="S1291" s="0" t="str">
        <f aca="false">IF(ISBLANK(E1291),"Missing",IF(E1291&lt;6,"0-6mo",IF(E1291&lt;12,"6-12mo",IF(E1291&lt;24,"12-24mo","24mo+"))))</f>
        <v>24mo+</v>
      </c>
      <c r="T1291" s="0" t="n">
        <f aca="false">IF(ISBLANK(C1291),0,IF(C1291="Month-to-month",2,IF(C1291="One year",1,0)))+IF(ISBLANK(I1291),0,IF(I1291&lt;40,2,IF(I1291&lt;55,1,0)))+IF(ISBLANK(M1291),0,IF(M1291=1,3,0))+IF(ISBLANK(L1291),0,IF(L1291&gt;=2,1,0))+IF(ISBLANK(E1291),0,IF(E1291&lt;12,1,0))</f>
        <v>7</v>
      </c>
      <c r="U1291" s="0" t="str">
        <f aca="false">IF((ISBLANK(B1291)*1+ISBLANK(C1291)*1+ISBLANK(D1291)*1+ISBLANK(E1291)*1+ISBLANK(F1291)*1+ISBLANK(I1291)*1+ISBLANK(J1291)*1+ISBLANK(K1291)*1+ISBLANK(L1291)*1+ISBLANK(M1291)*1+ISBLANK(N1291)*1+ISBLANK(O1291)*1)&gt;0,"Missing Data","OK")</f>
        <v>OK</v>
      </c>
      <c r="V1291" s="0" t="str">
        <f aca="false">IF(T1291&gt;=6,"High Risk",IF(T1291&gt;=3,"Medium Risk","Low Risk"))</f>
        <v>High Risk</v>
      </c>
    </row>
    <row r="1292" customFormat="false" ht="12.8" hidden="false" customHeight="false" outlineLevel="0" collapsed="false">
      <c r="A1292" s="1" t="s">
        <v>1322</v>
      </c>
      <c r="B1292" s="1" t="s">
        <v>36</v>
      </c>
      <c r="C1292" s="1" t="s">
        <v>51</v>
      </c>
      <c r="D1292" s="1" t="n">
        <v>9.52</v>
      </c>
      <c r="E1292" s="1" t="n">
        <v>72</v>
      </c>
      <c r="F1292" s="4" t="n">
        <v>45545</v>
      </c>
      <c r="G1292" s="1" t="s">
        <v>25</v>
      </c>
      <c r="H1292" s="1" t="n">
        <v>0</v>
      </c>
      <c r="I1292" s="1" t="n">
        <v>58.2</v>
      </c>
      <c r="J1292" s="1" t="n">
        <v>9</v>
      </c>
      <c r="K1292" s="1" t="n">
        <v>6</v>
      </c>
      <c r="L1292" s="1" t="n">
        <v>2</v>
      </c>
      <c r="M1292" s="1" t="n">
        <v>1</v>
      </c>
      <c r="N1292" s="1" t="n">
        <v>685.44</v>
      </c>
      <c r="O1292" s="1" t="n">
        <v>0</v>
      </c>
      <c r="Q1292" s="4" t="n">
        <v>46293</v>
      </c>
      <c r="R1292" s="0" t="n">
        <f aca="false">IF(ISBLANK(F1292),"Missing",IFERROR(YEAR(F1292),"Missing"))</f>
        <v>2024</v>
      </c>
      <c r="S1292" s="0" t="str">
        <f aca="false">IF(ISBLANK(E1292),"Missing",IF(E1292&lt;6,"0-6mo",IF(E1292&lt;12,"6-12mo",IF(E1292&lt;24,"12-24mo","24mo+"))))</f>
        <v>24mo+</v>
      </c>
      <c r="T1292" s="0" t="n">
        <f aca="false">IF(ISBLANK(C1292),0,IF(C1292="Month-to-month",2,IF(C1292="One year",1,0)))+IF(ISBLANK(I1292),0,IF(I1292&lt;40,2,IF(I1292&lt;55,1,0)))+IF(ISBLANK(M1292),0,IF(M1292=1,3,0))+IF(ISBLANK(L1292),0,IF(L1292&gt;=2,1,0))+IF(ISBLANK(E1292),0,IF(E1292&lt;12,1,0))</f>
        <v>4</v>
      </c>
      <c r="U1292" s="0" t="str">
        <f aca="false">IF((ISBLANK(B1292)*1+ISBLANK(C1292)*1+ISBLANK(D1292)*1+ISBLANK(E1292)*1+ISBLANK(F1292)*1+ISBLANK(I1292)*1+ISBLANK(J1292)*1+ISBLANK(K1292)*1+ISBLANK(L1292)*1+ISBLANK(M1292)*1+ISBLANK(N1292)*1+ISBLANK(O1292)*1)&gt;0,"Missing Data","OK")</f>
        <v>OK</v>
      </c>
      <c r="V1292" s="0" t="str">
        <f aca="false">IF(T1292&gt;=6,"High Risk",IF(T1292&gt;=3,"Medium Risk","Low Risk"))</f>
        <v>Medium Risk</v>
      </c>
    </row>
    <row r="1293" customFormat="false" ht="12.8" hidden="false" customHeight="false" outlineLevel="0" collapsed="false">
      <c r="A1293" s="1" t="s">
        <v>1323</v>
      </c>
      <c r="B1293" s="1" t="s">
        <v>36</v>
      </c>
      <c r="C1293" s="1" t="s">
        <v>24</v>
      </c>
      <c r="D1293" s="1" t="n">
        <v>9.95</v>
      </c>
      <c r="E1293" s="1" t="n">
        <v>14</v>
      </c>
      <c r="F1293" s="4" t="n">
        <v>45546</v>
      </c>
      <c r="G1293" s="1" t="s">
        <v>39</v>
      </c>
      <c r="H1293" s="1" t="n">
        <v>0</v>
      </c>
      <c r="I1293" s="1" t="n">
        <v>55</v>
      </c>
      <c r="J1293" s="1" t="n">
        <v>16</v>
      </c>
      <c r="K1293" s="1" t="n">
        <v>6</v>
      </c>
      <c r="L1293" s="1" t="n">
        <v>2</v>
      </c>
      <c r="M1293" s="1" t="n">
        <v>1</v>
      </c>
      <c r="N1293" s="1" t="n">
        <v>139.3</v>
      </c>
      <c r="O1293" s="1" t="n">
        <v>0</v>
      </c>
      <c r="Q1293" s="4" t="n">
        <v>45972</v>
      </c>
      <c r="R1293" s="0" t="n">
        <f aca="false">IF(ISBLANK(F1293),"Missing",IFERROR(YEAR(F1293),"Missing"))</f>
        <v>2024</v>
      </c>
      <c r="S1293" s="0" t="str">
        <f aca="false">IF(ISBLANK(E1293),"Missing",IF(E1293&lt;6,"0-6mo",IF(E1293&lt;12,"6-12mo",IF(E1293&lt;24,"12-24mo","24mo+"))))</f>
        <v>12-24mo</v>
      </c>
      <c r="T1293" s="0" t="n">
        <f aca="false">IF(ISBLANK(C1293),0,IF(C1293="Month-to-month",2,IF(C1293="One year",1,0)))+IF(ISBLANK(I1293),0,IF(I1293&lt;40,2,IF(I1293&lt;55,1,0)))+IF(ISBLANK(M1293),0,IF(M1293=1,3,0))+IF(ISBLANK(L1293),0,IF(L1293&gt;=2,1,0))+IF(ISBLANK(E1293),0,IF(E1293&lt;12,1,0))</f>
        <v>6</v>
      </c>
      <c r="U1293" s="0" t="str">
        <f aca="false">IF((ISBLANK(B1293)*1+ISBLANK(C1293)*1+ISBLANK(D1293)*1+ISBLANK(E1293)*1+ISBLANK(F1293)*1+ISBLANK(I1293)*1+ISBLANK(J1293)*1+ISBLANK(K1293)*1+ISBLANK(L1293)*1+ISBLANK(M1293)*1+ISBLANK(N1293)*1+ISBLANK(O1293)*1)&gt;0,"Missing Data","OK")</f>
        <v>OK</v>
      </c>
      <c r="V1293" s="0" t="str">
        <f aca="false">IF(T1293&gt;=6,"High Risk",IF(T1293&gt;=3,"Medium Risk","Low Risk"))</f>
        <v>High Risk</v>
      </c>
    </row>
    <row r="1294" customFormat="false" ht="12.8" hidden="false" customHeight="false" outlineLevel="0" collapsed="false">
      <c r="A1294" s="1" t="s">
        <v>1324</v>
      </c>
      <c r="B1294" s="1" t="s">
        <v>23</v>
      </c>
      <c r="C1294" s="1" t="s">
        <v>34</v>
      </c>
      <c r="D1294" s="1" t="n">
        <v>18.7</v>
      </c>
      <c r="E1294" s="1" t="n">
        <v>3</v>
      </c>
      <c r="F1294" s="4" t="n">
        <v>45546</v>
      </c>
      <c r="G1294" s="1" t="s">
        <v>39</v>
      </c>
      <c r="H1294" s="1" t="n">
        <v>1</v>
      </c>
      <c r="I1294" s="1" t="n">
        <v>42.1</v>
      </c>
      <c r="J1294" s="1" t="n">
        <v>16</v>
      </c>
      <c r="K1294" s="1" t="n">
        <v>5</v>
      </c>
      <c r="L1294" s="1" t="n">
        <v>1</v>
      </c>
      <c r="M1294" s="1" t="n">
        <v>0</v>
      </c>
      <c r="N1294" s="1" t="n">
        <v>56.1</v>
      </c>
      <c r="O1294" s="1" t="n">
        <v>0</v>
      </c>
      <c r="Q1294" s="4" t="n">
        <v>45637</v>
      </c>
      <c r="R1294" s="0" t="n">
        <f aca="false">IF(ISBLANK(F1294),"Missing",IFERROR(YEAR(F1294),"Missing"))</f>
        <v>2024</v>
      </c>
      <c r="S1294" s="0" t="str">
        <f aca="false">IF(ISBLANK(E1294),"Missing",IF(E1294&lt;6,"0-6mo",IF(E1294&lt;12,"6-12mo",IF(E1294&lt;24,"12-24mo","24mo+"))))</f>
        <v>0-6mo</v>
      </c>
      <c r="T1294" s="0" t="n">
        <f aca="false">IF(ISBLANK(C1294),0,IF(C1294="Month-to-month",2,IF(C1294="One year",1,0)))+IF(ISBLANK(I1294),0,IF(I1294&lt;40,2,IF(I1294&lt;55,1,0)))+IF(ISBLANK(M1294),0,IF(M1294=1,3,0))+IF(ISBLANK(L1294),0,IF(L1294&gt;=2,1,0))+IF(ISBLANK(E1294),0,IF(E1294&lt;12,1,0))</f>
        <v>3</v>
      </c>
      <c r="U1294" s="0" t="str">
        <f aca="false">IF((ISBLANK(B1294)*1+ISBLANK(C1294)*1+ISBLANK(D1294)*1+ISBLANK(E1294)*1+ISBLANK(F1294)*1+ISBLANK(I1294)*1+ISBLANK(J1294)*1+ISBLANK(K1294)*1+ISBLANK(L1294)*1+ISBLANK(M1294)*1+ISBLANK(N1294)*1+ISBLANK(O1294)*1)&gt;0,"Missing Data","OK")</f>
        <v>OK</v>
      </c>
      <c r="V1294" s="0" t="str">
        <f aca="false">IF(T1294&gt;=6,"High Risk",IF(T1294&gt;=3,"Medium Risk","Low Risk"))</f>
        <v>Medium Risk</v>
      </c>
    </row>
    <row r="1295" customFormat="false" ht="12.8" hidden="false" customHeight="false" outlineLevel="0" collapsed="false">
      <c r="A1295" s="1" t="s">
        <v>1325</v>
      </c>
      <c r="B1295" s="1" t="s">
        <v>23</v>
      </c>
      <c r="C1295" s="1" t="s">
        <v>24</v>
      </c>
      <c r="D1295" s="1" t="n">
        <v>20.94</v>
      </c>
      <c r="E1295" s="1" t="n">
        <v>1</v>
      </c>
      <c r="F1295" s="4" t="n">
        <v>45547</v>
      </c>
      <c r="G1295" s="1" t="s">
        <v>39</v>
      </c>
      <c r="H1295" s="1" t="n">
        <v>1</v>
      </c>
      <c r="I1295" s="1" t="n">
        <v>71.5</v>
      </c>
      <c r="J1295" s="1" t="n">
        <v>18</v>
      </c>
      <c r="K1295" s="1" t="n">
        <v>8</v>
      </c>
      <c r="L1295" s="1" t="n">
        <v>1</v>
      </c>
      <c r="M1295" s="1" t="n">
        <v>1</v>
      </c>
      <c r="N1295" s="1" t="n">
        <v>20.94</v>
      </c>
      <c r="O1295" s="1" t="n">
        <v>1</v>
      </c>
      <c r="P1295" s="4" t="n">
        <v>45577</v>
      </c>
      <c r="Q1295" s="4" t="n">
        <v>45577</v>
      </c>
      <c r="R1295" s="0" t="n">
        <f aca="false">IF(ISBLANK(F1295),"Missing",IFERROR(YEAR(F1295),"Missing"))</f>
        <v>2024</v>
      </c>
      <c r="S1295" s="0" t="str">
        <f aca="false">IF(ISBLANK(E1295),"Missing",IF(E1295&lt;6,"0-6mo",IF(E1295&lt;12,"6-12mo",IF(E1295&lt;24,"12-24mo","24mo+"))))</f>
        <v>0-6mo</v>
      </c>
      <c r="T1295" s="0" t="n">
        <f aca="false">IF(ISBLANK(C1295),0,IF(C1295="Month-to-month",2,IF(C1295="One year",1,0)))+IF(ISBLANK(I1295),0,IF(I1295&lt;40,2,IF(I1295&lt;55,1,0)))+IF(ISBLANK(M1295),0,IF(M1295=1,3,0))+IF(ISBLANK(L1295),0,IF(L1295&gt;=2,1,0))+IF(ISBLANK(E1295),0,IF(E1295&lt;12,1,0))</f>
        <v>6</v>
      </c>
      <c r="U1295" s="0" t="str">
        <f aca="false">IF((ISBLANK(B1295)*1+ISBLANK(C1295)*1+ISBLANK(D1295)*1+ISBLANK(E1295)*1+ISBLANK(F1295)*1+ISBLANK(I1295)*1+ISBLANK(J1295)*1+ISBLANK(K1295)*1+ISBLANK(L1295)*1+ISBLANK(M1295)*1+ISBLANK(N1295)*1+ISBLANK(O1295)*1)&gt;0,"Missing Data","OK")</f>
        <v>OK</v>
      </c>
      <c r="V1295" s="0" t="str">
        <f aca="false">IF(T1295&gt;=6,"High Risk",IF(T1295&gt;=3,"Medium Risk","Low Risk"))</f>
        <v>High Risk</v>
      </c>
    </row>
    <row r="1296" customFormat="false" ht="12.8" hidden="false" customHeight="false" outlineLevel="0" collapsed="false">
      <c r="A1296" s="1" t="s">
        <v>1326</v>
      </c>
      <c r="B1296" s="1" t="s">
        <v>36</v>
      </c>
      <c r="C1296" s="1" t="s">
        <v>34</v>
      </c>
      <c r="D1296" s="1" t="n">
        <v>8.11</v>
      </c>
      <c r="E1296" s="1" t="n">
        <v>1</v>
      </c>
      <c r="F1296" s="4" t="n">
        <v>45549</v>
      </c>
      <c r="G1296" s="1" t="s">
        <v>25</v>
      </c>
      <c r="H1296" s="1" t="n">
        <v>0</v>
      </c>
      <c r="I1296" s="1" t="n">
        <v>54.1</v>
      </c>
      <c r="J1296" s="1" t="n">
        <v>17</v>
      </c>
      <c r="K1296" s="1" t="n">
        <v>5</v>
      </c>
      <c r="L1296" s="1" t="n">
        <v>0</v>
      </c>
      <c r="M1296" s="1" t="n">
        <v>0</v>
      </c>
      <c r="N1296" s="1" t="n">
        <v>8.11</v>
      </c>
      <c r="O1296" s="1" t="n">
        <v>0</v>
      </c>
      <c r="Q1296" s="4" t="n">
        <v>45579</v>
      </c>
      <c r="R1296" s="0" t="n">
        <f aca="false">IF(ISBLANK(F1296),"Missing",IFERROR(YEAR(F1296),"Missing"))</f>
        <v>2024</v>
      </c>
      <c r="S1296" s="0" t="str">
        <f aca="false">IF(ISBLANK(E1296),"Missing",IF(E1296&lt;6,"0-6mo",IF(E1296&lt;12,"6-12mo",IF(E1296&lt;24,"12-24mo","24mo+"))))</f>
        <v>0-6mo</v>
      </c>
      <c r="T1296" s="0" t="n">
        <f aca="false">IF(ISBLANK(C1296),0,IF(C1296="Month-to-month",2,IF(C1296="One year",1,0)))+IF(ISBLANK(I1296),0,IF(I1296&lt;40,2,IF(I1296&lt;55,1,0)))+IF(ISBLANK(M1296),0,IF(M1296=1,3,0))+IF(ISBLANK(L1296),0,IF(L1296&gt;=2,1,0))+IF(ISBLANK(E1296),0,IF(E1296&lt;12,1,0))</f>
        <v>3</v>
      </c>
      <c r="U1296" s="0" t="str">
        <f aca="false">IF((ISBLANK(B1296)*1+ISBLANK(C1296)*1+ISBLANK(D1296)*1+ISBLANK(E1296)*1+ISBLANK(F1296)*1+ISBLANK(I1296)*1+ISBLANK(J1296)*1+ISBLANK(K1296)*1+ISBLANK(L1296)*1+ISBLANK(M1296)*1+ISBLANK(N1296)*1+ISBLANK(O1296)*1)&gt;0,"Missing Data","OK")</f>
        <v>OK</v>
      </c>
      <c r="V1296" s="0" t="str">
        <f aca="false">IF(T1296&gt;=6,"High Risk",IF(T1296&gt;=3,"Medium Risk","Low Risk"))</f>
        <v>Medium Risk</v>
      </c>
    </row>
    <row r="1297" customFormat="false" ht="12.8" hidden="false" customHeight="false" outlineLevel="0" collapsed="false">
      <c r="A1297" s="1" t="s">
        <v>1327</v>
      </c>
      <c r="B1297" s="1" t="s">
        <v>36</v>
      </c>
      <c r="C1297" s="1" t="s">
        <v>34</v>
      </c>
      <c r="D1297" s="1" t="n">
        <v>10.56</v>
      </c>
      <c r="E1297" s="1" t="n">
        <v>6</v>
      </c>
      <c r="F1297" s="4" t="n">
        <v>45550</v>
      </c>
      <c r="G1297" s="1" t="s">
        <v>39</v>
      </c>
      <c r="H1297" s="1" t="n">
        <v>1</v>
      </c>
      <c r="I1297" s="1" t="n">
        <v>67.2</v>
      </c>
      <c r="J1297" s="1" t="n">
        <v>21</v>
      </c>
      <c r="K1297" s="1" t="n">
        <v>5</v>
      </c>
      <c r="L1297" s="1" t="n">
        <v>2</v>
      </c>
      <c r="M1297" s="1" t="n">
        <v>1</v>
      </c>
      <c r="N1297" s="1" t="n">
        <v>63.36</v>
      </c>
      <c r="O1297" s="1" t="n">
        <v>0</v>
      </c>
      <c r="Q1297" s="4" t="n">
        <v>45732</v>
      </c>
      <c r="R1297" s="0" t="n">
        <f aca="false">IF(ISBLANK(F1297),"Missing",IFERROR(YEAR(F1297),"Missing"))</f>
        <v>2024</v>
      </c>
      <c r="S1297" s="0" t="str">
        <f aca="false">IF(ISBLANK(E1297),"Missing",IF(E1297&lt;6,"0-6mo",IF(E1297&lt;12,"6-12mo",IF(E1297&lt;24,"12-24mo","24mo+"))))</f>
        <v>6-12mo</v>
      </c>
      <c r="T1297" s="0" t="n">
        <f aca="false">IF(ISBLANK(C1297),0,IF(C1297="Month-to-month",2,IF(C1297="One year",1,0)))+IF(ISBLANK(I1297),0,IF(I1297&lt;40,2,IF(I1297&lt;55,1,0)))+IF(ISBLANK(M1297),0,IF(M1297=1,3,0))+IF(ISBLANK(L1297),0,IF(L1297&gt;=2,1,0))+IF(ISBLANK(E1297),0,IF(E1297&lt;12,1,0))</f>
        <v>6</v>
      </c>
      <c r="U1297" s="0" t="str">
        <f aca="false">IF((ISBLANK(B1297)*1+ISBLANK(C1297)*1+ISBLANK(D1297)*1+ISBLANK(E1297)*1+ISBLANK(F1297)*1+ISBLANK(I1297)*1+ISBLANK(J1297)*1+ISBLANK(K1297)*1+ISBLANK(L1297)*1+ISBLANK(M1297)*1+ISBLANK(N1297)*1+ISBLANK(O1297)*1)&gt;0,"Missing Data","OK")</f>
        <v>OK</v>
      </c>
      <c r="V1297" s="0" t="str">
        <f aca="false">IF(T1297&gt;=6,"High Risk",IF(T1297&gt;=3,"Medium Risk","Low Risk"))</f>
        <v>High Risk</v>
      </c>
    </row>
    <row r="1298" customFormat="false" ht="12.8" hidden="false" customHeight="false" outlineLevel="0" collapsed="false">
      <c r="A1298" s="1" t="s">
        <v>1328</v>
      </c>
      <c r="B1298" s="1" t="s">
        <v>36</v>
      </c>
      <c r="C1298" s="1" t="s">
        <v>24</v>
      </c>
      <c r="D1298" s="1" t="n">
        <v>10.68</v>
      </c>
      <c r="E1298" s="1" t="n">
        <v>64</v>
      </c>
      <c r="F1298" s="4" t="n">
        <v>45550</v>
      </c>
      <c r="G1298" s="1" t="s">
        <v>39</v>
      </c>
      <c r="H1298" s="1" t="n">
        <v>1</v>
      </c>
      <c r="I1298" s="1" t="n">
        <v>48.8</v>
      </c>
      <c r="J1298" s="1" t="n">
        <v>18</v>
      </c>
      <c r="K1298" s="1" t="n">
        <v>6</v>
      </c>
      <c r="L1298" s="1" t="n">
        <v>1</v>
      </c>
      <c r="M1298" s="1" t="n">
        <v>0</v>
      </c>
      <c r="N1298" s="1" t="n">
        <v>683.52</v>
      </c>
      <c r="O1298" s="1" t="n">
        <v>0</v>
      </c>
      <c r="Q1298" s="4" t="n">
        <v>46293</v>
      </c>
      <c r="R1298" s="0" t="n">
        <f aca="false">IF(ISBLANK(F1298),"Missing",IFERROR(YEAR(F1298),"Missing"))</f>
        <v>2024</v>
      </c>
      <c r="S1298" s="0" t="str">
        <f aca="false">IF(ISBLANK(E1298),"Missing",IF(E1298&lt;6,"0-6mo",IF(E1298&lt;12,"6-12mo",IF(E1298&lt;24,"12-24mo","24mo+"))))</f>
        <v>24mo+</v>
      </c>
      <c r="T1298" s="0" t="n">
        <f aca="false">IF(ISBLANK(C1298),0,IF(C1298="Month-to-month",2,IF(C1298="One year",1,0)))+IF(ISBLANK(I1298),0,IF(I1298&lt;40,2,IF(I1298&lt;55,1,0)))+IF(ISBLANK(M1298),0,IF(M1298=1,3,0))+IF(ISBLANK(L1298),0,IF(L1298&gt;=2,1,0))+IF(ISBLANK(E1298),0,IF(E1298&lt;12,1,0))</f>
        <v>3</v>
      </c>
      <c r="U1298" s="0" t="str">
        <f aca="false">IF((ISBLANK(B1298)*1+ISBLANK(C1298)*1+ISBLANK(D1298)*1+ISBLANK(E1298)*1+ISBLANK(F1298)*1+ISBLANK(I1298)*1+ISBLANK(J1298)*1+ISBLANK(K1298)*1+ISBLANK(L1298)*1+ISBLANK(M1298)*1+ISBLANK(N1298)*1+ISBLANK(O1298)*1)&gt;0,"Missing Data","OK")</f>
        <v>OK</v>
      </c>
      <c r="V1298" s="0" t="str">
        <f aca="false">IF(T1298&gt;=6,"High Risk",IF(T1298&gt;=3,"Medium Risk","Low Risk"))</f>
        <v>Medium Risk</v>
      </c>
    </row>
    <row r="1299" customFormat="false" ht="12.8" hidden="false" customHeight="false" outlineLevel="0" collapsed="false">
      <c r="A1299" s="1" t="s">
        <v>1329</v>
      </c>
      <c r="B1299" s="1" t="s">
        <v>23</v>
      </c>
      <c r="C1299" s="1" t="s">
        <v>34</v>
      </c>
      <c r="D1299" s="1" t="n">
        <v>20.19</v>
      </c>
      <c r="E1299" s="1" t="n">
        <v>72</v>
      </c>
      <c r="F1299" s="4" t="n">
        <v>45553</v>
      </c>
      <c r="G1299" s="1" t="s">
        <v>27</v>
      </c>
      <c r="H1299" s="1" t="n">
        <v>0</v>
      </c>
      <c r="I1299" s="1" t="n">
        <v>7.4</v>
      </c>
      <c r="J1299" s="1" t="n">
        <v>7</v>
      </c>
      <c r="K1299" s="1" t="n">
        <v>1</v>
      </c>
      <c r="L1299" s="1" t="n">
        <v>6</v>
      </c>
      <c r="M1299" s="1" t="n">
        <v>1</v>
      </c>
      <c r="N1299" s="1" t="n">
        <v>1453.68</v>
      </c>
      <c r="O1299" s="1" t="n">
        <v>0</v>
      </c>
      <c r="Q1299" s="4" t="n">
        <v>46293</v>
      </c>
      <c r="R1299" s="0" t="n">
        <f aca="false">IF(ISBLANK(F1299),"Missing",IFERROR(YEAR(F1299),"Missing"))</f>
        <v>2024</v>
      </c>
      <c r="S1299" s="0" t="str">
        <f aca="false">IF(ISBLANK(E1299),"Missing",IF(E1299&lt;6,"0-6mo",IF(E1299&lt;12,"6-12mo",IF(E1299&lt;24,"12-24mo","24mo+"))))</f>
        <v>24mo+</v>
      </c>
      <c r="T1299" s="0" t="n">
        <f aca="false">IF(ISBLANK(C1299),0,IF(C1299="Month-to-month",2,IF(C1299="One year",1,0)))+IF(ISBLANK(I1299),0,IF(I1299&lt;40,2,IF(I1299&lt;55,1,0)))+IF(ISBLANK(M1299),0,IF(M1299=1,3,0))+IF(ISBLANK(L1299),0,IF(L1299&gt;=2,1,0))+IF(ISBLANK(E1299),0,IF(E1299&lt;12,1,0))</f>
        <v>7</v>
      </c>
      <c r="U1299" s="0" t="str">
        <f aca="false">IF((ISBLANK(B1299)*1+ISBLANK(C1299)*1+ISBLANK(D1299)*1+ISBLANK(E1299)*1+ISBLANK(F1299)*1+ISBLANK(I1299)*1+ISBLANK(J1299)*1+ISBLANK(K1299)*1+ISBLANK(L1299)*1+ISBLANK(M1299)*1+ISBLANK(N1299)*1+ISBLANK(O1299)*1)&gt;0,"Missing Data","OK")</f>
        <v>OK</v>
      </c>
      <c r="V1299" s="0" t="str">
        <f aca="false">IF(T1299&gt;=6,"High Risk",IF(T1299&gt;=3,"Medium Risk","Low Risk"))</f>
        <v>High Risk</v>
      </c>
    </row>
    <row r="1300" customFormat="false" ht="12.8" hidden="false" customHeight="false" outlineLevel="0" collapsed="false">
      <c r="A1300" s="1" t="s">
        <v>1330</v>
      </c>
      <c r="B1300" s="1" t="s">
        <v>36</v>
      </c>
      <c r="C1300" s="1" t="s">
        <v>51</v>
      </c>
      <c r="D1300" s="1" t="n">
        <v>10.74</v>
      </c>
      <c r="E1300" s="1" t="n">
        <v>9</v>
      </c>
      <c r="F1300" s="4" t="n">
        <v>45554</v>
      </c>
      <c r="G1300" s="1" t="s">
        <v>25</v>
      </c>
      <c r="H1300" s="1" t="n">
        <v>0</v>
      </c>
      <c r="I1300" s="1" t="n">
        <v>59.6</v>
      </c>
      <c r="J1300" s="1" t="n">
        <v>9</v>
      </c>
      <c r="K1300" s="1" t="n">
        <v>5</v>
      </c>
      <c r="L1300" s="1" t="n">
        <v>1</v>
      </c>
      <c r="M1300" s="1" t="n">
        <v>0</v>
      </c>
      <c r="N1300" s="1" t="n">
        <v>96.66</v>
      </c>
      <c r="O1300" s="1" t="n">
        <v>0</v>
      </c>
      <c r="Q1300" s="4" t="n">
        <v>45827</v>
      </c>
      <c r="R1300" s="0" t="n">
        <f aca="false">IF(ISBLANK(F1300),"Missing",IFERROR(YEAR(F1300),"Missing"))</f>
        <v>2024</v>
      </c>
      <c r="S1300" s="0" t="str">
        <f aca="false">IF(ISBLANK(E1300),"Missing",IF(E1300&lt;6,"0-6mo",IF(E1300&lt;12,"6-12mo",IF(E1300&lt;24,"12-24mo","24mo+"))))</f>
        <v>6-12mo</v>
      </c>
      <c r="T1300" s="0" t="n">
        <f aca="false">IF(ISBLANK(C1300),0,IF(C1300="Month-to-month",2,IF(C1300="One year",1,0)))+IF(ISBLANK(I1300),0,IF(I1300&lt;40,2,IF(I1300&lt;55,1,0)))+IF(ISBLANK(M1300),0,IF(M1300=1,3,0))+IF(ISBLANK(L1300),0,IF(L1300&gt;=2,1,0))+IF(ISBLANK(E1300),0,IF(E1300&lt;12,1,0))</f>
        <v>1</v>
      </c>
      <c r="U1300" s="0" t="str">
        <f aca="false">IF((ISBLANK(B1300)*1+ISBLANK(C1300)*1+ISBLANK(D1300)*1+ISBLANK(E1300)*1+ISBLANK(F1300)*1+ISBLANK(I1300)*1+ISBLANK(J1300)*1+ISBLANK(K1300)*1+ISBLANK(L1300)*1+ISBLANK(M1300)*1+ISBLANK(N1300)*1+ISBLANK(O1300)*1)&gt;0,"Missing Data","OK")</f>
        <v>OK</v>
      </c>
      <c r="V1300" s="0" t="str">
        <f aca="false">IF(T1300&gt;=6,"High Risk",IF(T1300&gt;=3,"Medium Risk","Low Risk"))</f>
        <v>Low Risk</v>
      </c>
    </row>
    <row r="1301" customFormat="false" ht="12.8" hidden="false" customHeight="false" outlineLevel="0" collapsed="false">
      <c r="A1301" s="1" t="s">
        <v>1331</v>
      </c>
      <c r="B1301" s="1" t="s">
        <v>36</v>
      </c>
      <c r="C1301" s="1" t="s">
        <v>34</v>
      </c>
      <c r="D1301" s="1" t="n">
        <v>8.4</v>
      </c>
      <c r="E1301" s="1" t="n">
        <v>12</v>
      </c>
      <c r="F1301" s="4" t="n">
        <v>45556</v>
      </c>
      <c r="G1301" s="1" t="s">
        <v>25</v>
      </c>
      <c r="H1301" s="1" t="n">
        <v>1</v>
      </c>
      <c r="I1301" s="1" t="n">
        <v>78.1</v>
      </c>
      <c r="J1301" s="1" t="n">
        <v>24</v>
      </c>
      <c r="K1301" s="1" t="n">
        <v>7</v>
      </c>
      <c r="L1301" s="1" t="n">
        <v>0</v>
      </c>
      <c r="M1301" s="1" t="n">
        <v>0</v>
      </c>
      <c r="N1301" s="1" t="n">
        <v>100.8</v>
      </c>
      <c r="O1301" s="1" t="n">
        <v>0</v>
      </c>
      <c r="Q1301" s="4" t="n">
        <v>45921</v>
      </c>
      <c r="R1301" s="0" t="n">
        <f aca="false">IF(ISBLANK(F1301),"Missing",IFERROR(YEAR(F1301),"Missing"))</f>
        <v>2024</v>
      </c>
      <c r="S1301" s="0" t="str">
        <f aca="false">IF(ISBLANK(E1301),"Missing",IF(E1301&lt;6,"0-6mo",IF(E1301&lt;12,"6-12mo",IF(E1301&lt;24,"12-24mo","24mo+"))))</f>
        <v>12-24mo</v>
      </c>
      <c r="T1301" s="0" t="n">
        <f aca="false">IF(ISBLANK(C1301),0,IF(C1301="Month-to-month",2,IF(C1301="One year",1,0)))+IF(ISBLANK(I1301),0,IF(I1301&lt;40,2,IF(I1301&lt;55,1,0)))+IF(ISBLANK(M1301),0,IF(M1301=1,3,0))+IF(ISBLANK(L1301),0,IF(L1301&gt;=2,1,0))+IF(ISBLANK(E1301),0,IF(E1301&lt;12,1,0))</f>
        <v>1</v>
      </c>
      <c r="U1301" s="0" t="str">
        <f aca="false">IF((ISBLANK(B1301)*1+ISBLANK(C1301)*1+ISBLANK(D1301)*1+ISBLANK(E1301)*1+ISBLANK(F1301)*1+ISBLANK(I1301)*1+ISBLANK(J1301)*1+ISBLANK(K1301)*1+ISBLANK(L1301)*1+ISBLANK(M1301)*1+ISBLANK(N1301)*1+ISBLANK(O1301)*1)&gt;0,"Missing Data","OK")</f>
        <v>OK</v>
      </c>
      <c r="V1301" s="0" t="str">
        <f aca="false">IF(T1301&gt;=6,"High Risk",IF(T1301&gt;=3,"Medium Risk","Low Risk"))</f>
        <v>Low Risk</v>
      </c>
    </row>
    <row r="1302" customFormat="false" ht="12.8" hidden="false" customHeight="false" outlineLevel="0" collapsed="false">
      <c r="A1302" s="1" t="s">
        <v>1332</v>
      </c>
      <c r="B1302" s="1" t="s">
        <v>36</v>
      </c>
      <c r="C1302" s="1" t="s">
        <v>24</v>
      </c>
      <c r="D1302" s="1" t="n">
        <v>11.79</v>
      </c>
      <c r="E1302" s="1" t="n">
        <v>23</v>
      </c>
      <c r="F1302" s="4" t="n">
        <v>45558</v>
      </c>
      <c r="G1302" s="1" t="s">
        <v>25</v>
      </c>
      <c r="H1302" s="1" t="n">
        <v>1</v>
      </c>
      <c r="I1302" s="1" t="n">
        <v>47.3</v>
      </c>
      <c r="J1302" s="1" t="n">
        <v>19</v>
      </c>
      <c r="K1302" s="1" t="n">
        <v>4</v>
      </c>
      <c r="L1302" s="1" t="n">
        <v>1</v>
      </c>
      <c r="M1302" s="1" t="n">
        <v>0</v>
      </c>
      <c r="N1302" s="1" t="n">
        <v>271.17</v>
      </c>
      <c r="O1302" s="1" t="n">
        <v>0</v>
      </c>
      <c r="Q1302" s="4" t="n">
        <v>46258</v>
      </c>
      <c r="R1302" s="0" t="n">
        <f aca="false">IF(ISBLANK(F1302),"Missing",IFERROR(YEAR(F1302),"Missing"))</f>
        <v>2024</v>
      </c>
      <c r="S1302" s="0" t="str">
        <f aca="false">IF(ISBLANK(E1302),"Missing",IF(E1302&lt;6,"0-6mo",IF(E1302&lt;12,"6-12mo",IF(E1302&lt;24,"12-24mo","24mo+"))))</f>
        <v>12-24mo</v>
      </c>
      <c r="T1302" s="0" t="n">
        <f aca="false">IF(ISBLANK(C1302),0,IF(C1302="Month-to-month",2,IF(C1302="One year",1,0)))+IF(ISBLANK(I1302),0,IF(I1302&lt;40,2,IF(I1302&lt;55,1,0)))+IF(ISBLANK(M1302),0,IF(M1302=1,3,0))+IF(ISBLANK(L1302),0,IF(L1302&gt;=2,1,0))+IF(ISBLANK(E1302),0,IF(E1302&lt;12,1,0))</f>
        <v>3</v>
      </c>
      <c r="U1302" s="0" t="str">
        <f aca="false">IF((ISBLANK(B1302)*1+ISBLANK(C1302)*1+ISBLANK(D1302)*1+ISBLANK(E1302)*1+ISBLANK(F1302)*1+ISBLANK(I1302)*1+ISBLANK(J1302)*1+ISBLANK(K1302)*1+ISBLANK(L1302)*1+ISBLANK(M1302)*1+ISBLANK(N1302)*1+ISBLANK(O1302)*1)&gt;0,"Missing Data","OK")</f>
        <v>OK</v>
      </c>
      <c r="V1302" s="0" t="str">
        <f aca="false">IF(T1302&gt;=6,"High Risk",IF(T1302&gt;=3,"Medium Risk","Low Risk"))</f>
        <v>Medium Risk</v>
      </c>
    </row>
    <row r="1303" customFormat="false" ht="12.8" hidden="false" customHeight="false" outlineLevel="0" collapsed="false">
      <c r="A1303" s="1" t="s">
        <v>1333</v>
      </c>
      <c r="B1303" s="1" t="s">
        <v>29</v>
      </c>
      <c r="C1303" s="1" t="s">
        <v>34</v>
      </c>
      <c r="D1303" s="1" t="n">
        <v>39.61</v>
      </c>
      <c r="E1303" s="1" t="n">
        <v>0</v>
      </c>
      <c r="F1303" s="4" t="n">
        <v>45558</v>
      </c>
      <c r="G1303" s="1" t="s">
        <v>39</v>
      </c>
      <c r="H1303" s="1" t="n">
        <v>0</v>
      </c>
      <c r="I1303" s="1" t="n">
        <v>64</v>
      </c>
      <c r="J1303" s="1" t="n">
        <v>29</v>
      </c>
      <c r="K1303" s="1" t="n">
        <v>7</v>
      </c>
      <c r="L1303" s="1" t="n">
        <v>0</v>
      </c>
      <c r="M1303" s="1" t="n">
        <v>0</v>
      </c>
      <c r="N1303" s="1" t="n">
        <v>0</v>
      </c>
      <c r="O1303" s="1" t="n">
        <v>0</v>
      </c>
      <c r="Q1303" s="4" t="n">
        <v>45558</v>
      </c>
      <c r="R1303" s="0" t="n">
        <f aca="false">IF(ISBLANK(F1303),"Missing",IFERROR(YEAR(F1303),"Missing"))</f>
        <v>2024</v>
      </c>
      <c r="S1303" s="0" t="str">
        <f aca="false">IF(ISBLANK(E1303),"Missing",IF(E1303&lt;6,"0-6mo",IF(E1303&lt;12,"6-12mo",IF(E1303&lt;24,"12-24mo","24mo+"))))</f>
        <v>0-6mo</v>
      </c>
      <c r="T1303" s="0" t="n">
        <f aca="false">IF(ISBLANK(C1303),0,IF(C1303="Month-to-month",2,IF(C1303="One year",1,0)))+IF(ISBLANK(I1303),0,IF(I1303&lt;40,2,IF(I1303&lt;55,1,0)))+IF(ISBLANK(M1303),0,IF(M1303=1,3,0))+IF(ISBLANK(L1303),0,IF(L1303&gt;=2,1,0))+IF(ISBLANK(E1303),0,IF(E1303&lt;12,1,0))</f>
        <v>2</v>
      </c>
      <c r="U1303" s="0" t="str">
        <f aca="false">IF((ISBLANK(B1303)*1+ISBLANK(C1303)*1+ISBLANK(D1303)*1+ISBLANK(E1303)*1+ISBLANK(F1303)*1+ISBLANK(I1303)*1+ISBLANK(J1303)*1+ISBLANK(K1303)*1+ISBLANK(L1303)*1+ISBLANK(M1303)*1+ISBLANK(N1303)*1+ISBLANK(O1303)*1)&gt;0,"Missing Data","OK")</f>
        <v>OK</v>
      </c>
      <c r="V1303" s="0" t="str">
        <f aca="false">IF(T1303&gt;=6,"High Risk",IF(T1303&gt;=3,"Medium Risk","Low Risk"))</f>
        <v>Low Risk</v>
      </c>
    </row>
    <row r="1304" customFormat="false" ht="12.8" hidden="false" customHeight="false" outlineLevel="0" collapsed="false">
      <c r="A1304" s="1" t="s">
        <v>1334</v>
      </c>
      <c r="B1304" s="1" t="s">
        <v>29</v>
      </c>
      <c r="C1304" s="1" t="s">
        <v>51</v>
      </c>
      <c r="D1304" s="1" t="n">
        <v>40.15</v>
      </c>
      <c r="E1304" s="1" t="n">
        <v>6</v>
      </c>
      <c r="F1304" s="4" t="n">
        <v>45558</v>
      </c>
      <c r="G1304" s="1" t="s">
        <v>30</v>
      </c>
      <c r="H1304" s="1" t="n">
        <v>0</v>
      </c>
      <c r="I1304" s="1" t="n">
        <v>58.6</v>
      </c>
      <c r="J1304" s="1" t="n">
        <v>18</v>
      </c>
      <c r="K1304" s="1" t="n">
        <v>7</v>
      </c>
      <c r="L1304" s="1" t="n">
        <v>1</v>
      </c>
      <c r="M1304" s="1" t="n">
        <v>0</v>
      </c>
      <c r="N1304" s="1" t="n">
        <v>240.9</v>
      </c>
      <c r="O1304" s="1" t="n">
        <v>0</v>
      </c>
      <c r="Q1304" s="4" t="n">
        <v>45740</v>
      </c>
      <c r="R1304" s="0" t="n">
        <f aca="false">IF(ISBLANK(F1304),"Missing",IFERROR(YEAR(F1304),"Missing"))</f>
        <v>2024</v>
      </c>
      <c r="S1304" s="0" t="str">
        <f aca="false">IF(ISBLANK(E1304),"Missing",IF(E1304&lt;6,"0-6mo",IF(E1304&lt;12,"6-12mo",IF(E1304&lt;24,"12-24mo","24mo+"))))</f>
        <v>6-12mo</v>
      </c>
      <c r="T1304" s="0" t="n">
        <f aca="false">IF(ISBLANK(C1304),0,IF(C1304="Month-to-month",2,IF(C1304="One year",1,0)))+IF(ISBLANK(I1304),0,IF(I1304&lt;40,2,IF(I1304&lt;55,1,0)))+IF(ISBLANK(M1304),0,IF(M1304=1,3,0))+IF(ISBLANK(L1304),0,IF(L1304&gt;=2,1,0))+IF(ISBLANK(E1304),0,IF(E1304&lt;12,1,0))</f>
        <v>1</v>
      </c>
      <c r="U1304" s="0" t="str">
        <f aca="false">IF((ISBLANK(B1304)*1+ISBLANK(C1304)*1+ISBLANK(D1304)*1+ISBLANK(E1304)*1+ISBLANK(F1304)*1+ISBLANK(I1304)*1+ISBLANK(J1304)*1+ISBLANK(K1304)*1+ISBLANK(L1304)*1+ISBLANK(M1304)*1+ISBLANK(N1304)*1+ISBLANK(O1304)*1)&gt;0,"Missing Data","OK")</f>
        <v>OK</v>
      </c>
      <c r="V1304" s="0" t="str">
        <f aca="false">IF(T1304&gt;=6,"High Risk",IF(T1304&gt;=3,"Medium Risk","Low Risk"))</f>
        <v>Low Risk</v>
      </c>
    </row>
    <row r="1305" customFormat="false" ht="12.8" hidden="false" customHeight="false" outlineLevel="0" collapsed="false">
      <c r="A1305" s="1" t="s">
        <v>1335</v>
      </c>
      <c r="B1305" s="1" t="s">
        <v>23</v>
      </c>
      <c r="C1305" s="1" t="s">
        <v>24</v>
      </c>
      <c r="D1305" s="1" t="n">
        <v>19.86</v>
      </c>
      <c r="E1305" s="1" t="n">
        <v>26</v>
      </c>
      <c r="F1305" s="4" t="n">
        <v>45559</v>
      </c>
      <c r="G1305" s="1" t="s">
        <v>25</v>
      </c>
      <c r="H1305" s="1" t="n">
        <v>1</v>
      </c>
      <c r="I1305" s="1" t="n">
        <v>73.9</v>
      </c>
      <c r="J1305" s="1" t="n">
        <v>23</v>
      </c>
      <c r="K1305" s="1" t="n">
        <v>9</v>
      </c>
      <c r="L1305" s="1" t="n">
        <v>2</v>
      </c>
      <c r="M1305" s="1" t="n">
        <v>0</v>
      </c>
      <c r="N1305" s="1" t="n">
        <v>516.36</v>
      </c>
      <c r="O1305" s="1" t="n">
        <v>0</v>
      </c>
      <c r="Q1305" s="4" t="n">
        <v>46293</v>
      </c>
      <c r="R1305" s="0" t="n">
        <f aca="false">IF(ISBLANK(F1305),"Missing",IFERROR(YEAR(F1305),"Missing"))</f>
        <v>2024</v>
      </c>
      <c r="S1305" s="0" t="str">
        <f aca="false">IF(ISBLANK(E1305),"Missing",IF(E1305&lt;6,"0-6mo",IF(E1305&lt;12,"6-12mo",IF(E1305&lt;24,"12-24mo","24mo+"))))</f>
        <v>24mo+</v>
      </c>
      <c r="T1305" s="0" t="n">
        <f aca="false">IF(ISBLANK(C1305),0,IF(C1305="Month-to-month",2,IF(C1305="One year",1,0)))+IF(ISBLANK(I1305),0,IF(I1305&lt;40,2,IF(I1305&lt;55,1,0)))+IF(ISBLANK(M1305),0,IF(M1305=1,3,0))+IF(ISBLANK(L1305),0,IF(L1305&gt;=2,1,0))+IF(ISBLANK(E1305),0,IF(E1305&lt;12,1,0))</f>
        <v>3</v>
      </c>
      <c r="U1305" s="0" t="str">
        <f aca="false">IF((ISBLANK(B1305)*1+ISBLANK(C1305)*1+ISBLANK(D1305)*1+ISBLANK(E1305)*1+ISBLANK(F1305)*1+ISBLANK(I1305)*1+ISBLANK(J1305)*1+ISBLANK(K1305)*1+ISBLANK(L1305)*1+ISBLANK(M1305)*1+ISBLANK(N1305)*1+ISBLANK(O1305)*1)&gt;0,"Missing Data","OK")</f>
        <v>OK</v>
      </c>
      <c r="V1305" s="0" t="str">
        <f aca="false">IF(T1305&gt;=6,"High Risk",IF(T1305&gt;=3,"Medium Risk","Low Risk"))</f>
        <v>Medium Risk</v>
      </c>
    </row>
    <row r="1306" customFormat="false" ht="12.8" hidden="false" customHeight="false" outlineLevel="0" collapsed="false">
      <c r="A1306" s="1" t="s">
        <v>1336</v>
      </c>
      <c r="B1306" s="1" t="s">
        <v>23</v>
      </c>
      <c r="C1306" s="1" t="s">
        <v>24</v>
      </c>
      <c r="D1306" s="1" t="n">
        <v>20.07</v>
      </c>
      <c r="E1306" s="1" t="n">
        <v>3</v>
      </c>
      <c r="F1306" s="4" t="n">
        <v>45563</v>
      </c>
      <c r="G1306" s="1" t="s">
        <v>27</v>
      </c>
      <c r="H1306" s="1" t="n">
        <v>1</v>
      </c>
      <c r="I1306" s="1" t="n">
        <v>70</v>
      </c>
      <c r="J1306" s="1" t="n">
        <v>21</v>
      </c>
      <c r="K1306" s="1" t="n">
        <v>7</v>
      </c>
      <c r="L1306" s="1" t="n">
        <v>2</v>
      </c>
      <c r="M1306" s="1" t="n">
        <v>0</v>
      </c>
      <c r="N1306" s="1" t="n">
        <v>60.21</v>
      </c>
      <c r="O1306" s="1" t="n">
        <v>0</v>
      </c>
      <c r="Q1306" s="4" t="n">
        <v>45654</v>
      </c>
      <c r="R1306" s="0" t="n">
        <f aca="false">IF(ISBLANK(F1306),"Missing",IFERROR(YEAR(F1306),"Missing"))</f>
        <v>2024</v>
      </c>
      <c r="S1306" s="0" t="str">
        <f aca="false">IF(ISBLANK(E1306),"Missing",IF(E1306&lt;6,"0-6mo",IF(E1306&lt;12,"6-12mo",IF(E1306&lt;24,"12-24mo","24mo+"))))</f>
        <v>0-6mo</v>
      </c>
      <c r="T1306" s="0" t="n">
        <f aca="false">IF(ISBLANK(C1306),0,IF(C1306="Month-to-month",2,IF(C1306="One year",1,0)))+IF(ISBLANK(I1306),0,IF(I1306&lt;40,2,IF(I1306&lt;55,1,0)))+IF(ISBLANK(M1306),0,IF(M1306=1,3,0))+IF(ISBLANK(L1306),0,IF(L1306&gt;=2,1,0))+IF(ISBLANK(E1306),0,IF(E1306&lt;12,1,0))</f>
        <v>4</v>
      </c>
      <c r="U1306" s="0" t="str">
        <f aca="false">IF((ISBLANK(B1306)*1+ISBLANK(C1306)*1+ISBLANK(D1306)*1+ISBLANK(E1306)*1+ISBLANK(F1306)*1+ISBLANK(I1306)*1+ISBLANK(J1306)*1+ISBLANK(K1306)*1+ISBLANK(L1306)*1+ISBLANK(M1306)*1+ISBLANK(N1306)*1+ISBLANK(O1306)*1)&gt;0,"Missing Data","OK")</f>
        <v>OK</v>
      </c>
      <c r="V1306" s="0" t="str">
        <f aca="false">IF(T1306&gt;=6,"High Risk",IF(T1306&gt;=3,"Medium Risk","Low Risk"))</f>
        <v>Medium Risk</v>
      </c>
    </row>
    <row r="1307" customFormat="false" ht="12.8" hidden="false" customHeight="false" outlineLevel="0" collapsed="false">
      <c r="A1307" s="1" t="s">
        <v>1337</v>
      </c>
      <c r="B1307" s="1" t="s">
        <v>29</v>
      </c>
      <c r="C1307" s="1" t="s">
        <v>34</v>
      </c>
      <c r="D1307" s="1" t="n">
        <v>38.33</v>
      </c>
      <c r="E1307" s="1" t="n">
        <v>1</v>
      </c>
      <c r="F1307" s="4" t="n">
        <v>45563</v>
      </c>
      <c r="G1307" s="1" t="s">
        <v>25</v>
      </c>
      <c r="H1307" s="1" t="n">
        <v>1</v>
      </c>
      <c r="I1307" s="1" t="n">
        <v>60.8</v>
      </c>
      <c r="J1307" s="1" t="n">
        <v>9</v>
      </c>
      <c r="K1307" s="1" t="n">
        <v>4</v>
      </c>
      <c r="L1307" s="1" t="n">
        <v>0</v>
      </c>
      <c r="M1307" s="1" t="n">
        <v>0</v>
      </c>
      <c r="N1307" s="1" t="n">
        <v>38.33</v>
      </c>
      <c r="O1307" s="1" t="n">
        <v>0</v>
      </c>
      <c r="Q1307" s="4" t="n">
        <v>45593</v>
      </c>
      <c r="R1307" s="0" t="n">
        <f aca="false">IF(ISBLANK(F1307),"Missing",IFERROR(YEAR(F1307),"Missing"))</f>
        <v>2024</v>
      </c>
      <c r="S1307" s="0" t="str">
        <f aca="false">IF(ISBLANK(E1307),"Missing",IF(E1307&lt;6,"0-6mo",IF(E1307&lt;12,"6-12mo",IF(E1307&lt;24,"12-24mo","24mo+"))))</f>
        <v>0-6mo</v>
      </c>
      <c r="T1307" s="0" t="n">
        <f aca="false">IF(ISBLANK(C1307),0,IF(C1307="Month-to-month",2,IF(C1307="One year",1,0)))+IF(ISBLANK(I1307),0,IF(I1307&lt;40,2,IF(I1307&lt;55,1,0)))+IF(ISBLANK(M1307),0,IF(M1307=1,3,0))+IF(ISBLANK(L1307),0,IF(L1307&gt;=2,1,0))+IF(ISBLANK(E1307),0,IF(E1307&lt;12,1,0))</f>
        <v>2</v>
      </c>
      <c r="U1307" s="0" t="str">
        <f aca="false">IF((ISBLANK(B1307)*1+ISBLANK(C1307)*1+ISBLANK(D1307)*1+ISBLANK(E1307)*1+ISBLANK(F1307)*1+ISBLANK(I1307)*1+ISBLANK(J1307)*1+ISBLANK(K1307)*1+ISBLANK(L1307)*1+ISBLANK(M1307)*1+ISBLANK(N1307)*1+ISBLANK(O1307)*1)&gt;0,"Missing Data","OK")</f>
        <v>OK</v>
      </c>
      <c r="V1307" s="0" t="str">
        <f aca="false">IF(T1307&gt;=6,"High Risk",IF(T1307&gt;=3,"Medium Risk","Low Risk"))</f>
        <v>Low Risk</v>
      </c>
    </row>
    <row r="1308" customFormat="false" ht="12.8" hidden="false" customHeight="false" outlineLevel="0" collapsed="false">
      <c r="A1308" s="1" t="s">
        <v>1338</v>
      </c>
      <c r="B1308" s="1" t="s">
        <v>29</v>
      </c>
      <c r="C1308" s="1" t="s">
        <v>34</v>
      </c>
      <c r="D1308" s="1" t="n">
        <v>39.61</v>
      </c>
      <c r="E1308" s="1" t="n">
        <v>21</v>
      </c>
      <c r="F1308" s="4" t="n">
        <v>45569</v>
      </c>
      <c r="G1308" s="1" t="s">
        <v>27</v>
      </c>
      <c r="H1308" s="1" t="n">
        <v>1</v>
      </c>
      <c r="I1308" s="1" t="n">
        <v>57.3</v>
      </c>
      <c r="J1308" s="1" t="n">
        <v>16</v>
      </c>
      <c r="K1308" s="1" t="n">
        <v>7</v>
      </c>
      <c r="L1308" s="1" t="n">
        <v>2</v>
      </c>
      <c r="M1308" s="1" t="n">
        <v>0</v>
      </c>
      <c r="N1308" s="1" t="n">
        <v>831.81</v>
      </c>
      <c r="O1308" s="1" t="n">
        <v>0</v>
      </c>
      <c r="Q1308" s="4" t="n">
        <v>46208</v>
      </c>
      <c r="R1308" s="0" t="n">
        <f aca="false">IF(ISBLANK(F1308),"Missing",IFERROR(YEAR(F1308),"Missing"))</f>
        <v>2024</v>
      </c>
      <c r="S1308" s="0" t="str">
        <f aca="false">IF(ISBLANK(E1308),"Missing",IF(E1308&lt;6,"0-6mo",IF(E1308&lt;12,"6-12mo",IF(E1308&lt;24,"12-24mo","24mo+"))))</f>
        <v>12-24mo</v>
      </c>
      <c r="T1308" s="0" t="n">
        <f aca="false">IF(ISBLANK(C1308),0,IF(C1308="Month-to-month",2,IF(C1308="One year",1,0)))+IF(ISBLANK(I1308),0,IF(I1308&lt;40,2,IF(I1308&lt;55,1,0)))+IF(ISBLANK(M1308),0,IF(M1308=1,3,0))+IF(ISBLANK(L1308),0,IF(L1308&gt;=2,1,0))+IF(ISBLANK(E1308),0,IF(E1308&lt;12,1,0))</f>
        <v>2</v>
      </c>
      <c r="U1308" s="0" t="str">
        <f aca="false">IF((ISBLANK(B1308)*1+ISBLANK(C1308)*1+ISBLANK(D1308)*1+ISBLANK(E1308)*1+ISBLANK(F1308)*1+ISBLANK(I1308)*1+ISBLANK(J1308)*1+ISBLANK(K1308)*1+ISBLANK(L1308)*1+ISBLANK(M1308)*1+ISBLANK(N1308)*1+ISBLANK(O1308)*1)&gt;0,"Missing Data","OK")</f>
        <v>OK</v>
      </c>
      <c r="V1308" s="0" t="str">
        <f aca="false">IF(T1308&gt;=6,"High Risk",IF(T1308&gt;=3,"Medium Risk","Low Risk"))</f>
        <v>Low Risk</v>
      </c>
    </row>
    <row r="1309" customFormat="false" ht="12.8" hidden="false" customHeight="false" outlineLevel="0" collapsed="false">
      <c r="A1309" s="1" t="s">
        <v>1339</v>
      </c>
      <c r="B1309" s="1" t="s">
        <v>36</v>
      </c>
      <c r="C1309" s="1" t="s">
        <v>34</v>
      </c>
      <c r="D1309" s="1" t="n">
        <v>10.48</v>
      </c>
      <c r="E1309" s="1" t="n">
        <v>21</v>
      </c>
      <c r="F1309" s="4" t="n">
        <v>45570</v>
      </c>
      <c r="G1309" s="1" t="s">
        <v>25</v>
      </c>
      <c r="H1309" s="1" t="n">
        <v>1</v>
      </c>
      <c r="I1309" s="1" t="n">
        <v>35.1</v>
      </c>
      <c r="J1309" s="1" t="n">
        <v>5</v>
      </c>
      <c r="K1309" s="1" t="n">
        <v>5</v>
      </c>
      <c r="L1309" s="1" t="n">
        <v>1</v>
      </c>
      <c r="M1309" s="1" t="n">
        <v>0</v>
      </c>
      <c r="N1309" s="1" t="n">
        <v>220.08</v>
      </c>
      <c r="O1309" s="1" t="n">
        <v>0</v>
      </c>
      <c r="Q1309" s="4" t="n">
        <v>46209</v>
      </c>
      <c r="R1309" s="0" t="n">
        <f aca="false">IF(ISBLANK(F1309),"Missing",IFERROR(YEAR(F1309),"Missing"))</f>
        <v>2024</v>
      </c>
      <c r="S1309" s="0" t="str">
        <f aca="false">IF(ISBLANK(E1309),"Missing",IF(E1309&lt;6,"0-6mo",IF(E1309&lt;12,"6-12mo",IF(E1309&lt;24,"12-24mo","24mo+"))))</f>
        <v>12-24mo</v>
      </c>
      <c r="T1309" s="0" t="n">
        <f aca="false">IF(ISBLANK(C1309),0,IF(C1309="Month-to-month",2,IF(C1309="One year",1,0)))+IF(ISBLANK(I1309),0,IF(I1309&lt;40,2,IF(I1309&lt;55,1,0)))+IF(ISBLANK(M1309),0,IF(M1309=1,3,0))+IF(ISBLANK(L1309),0,IF(L1309&gt;=2,1,0))+IF(ISBLANK(E1309),0,IF(E1309&lt;12,1,0))</f>
        <v>3</v>
      </c>
      <c r="U1309" s="0" t="str">
        <f aca="false">IF((ISBLANK(B1309)*1+ISBLANK(C1309)*1+ISBLANK(D1309)*1+ISBLANK(E1309)*1+ISBLANK(F1309)*1+ISBLANK(I1309)*1+ISBLANK(J1309)*1+ISBLANK(K1309)*1+ISBLANK(L1309)*1+ISBLANK(M1309)*1+ISBLANK(N1309)*1+ISBLANK(O1309)*1)&gt;0,"Missing Data","OK")</f>
        <v>OK</v>
      </c>
      <c r="V1309" s="0" t="str">
        <f aca="false">IF(T1309&gt;=6,"High Risk",IF(T1309&gt;=3,"Medium Risk","Low Risk"))</f>
        <v>Medium Risk</v>
      </c>
    </row>
    <row r="1310" customFormat="false" ht="12.8" hidden="false" customHeight="false" outlineLevel="0" collapsed="false">
      <c r="A1310" s="1" t="s">
        <v>1340</v>
      </c>
      <c r="B1310" s="1" t="s">
        <v>29</v>
      </c>
      <c r="C1310" s="1" t="s">
        <v>34</v>
      </c>
      <c r="D1310" s="1" t="n">
        <v>40.58</v>
      </c>
      <c r="E1310" s="1" t="n">
        <v>6</v>
      </c>
      <c r="F1310" s="4" t="n">
        <v>45571</v>
      </c>
      <c r="G1310" s="1" t="s">
        <v>25</v>
      </c>
      <c r="H1310" s="1" t="n">
        <v>1</v>
      </c>
      <c r="I1310" s="1" t="n">
        <v>68.2</v>
      </c>
      <c r="J1310" s="1" t="n">
        <v>20</v>
      </c>
      <c r="K1310" s="1" t="n">
        <v>6</v>
      </c>
      <c r="L1310" s="1" t="n">
        <v>0</v>
      </c>
      <c r="M1310" s="1" t="n">
        <v>0</v>
      </c>
      <c r="N1310" s="1" t="n">
        <v>243.48</v>
      </c>
      <c r="O1310" s="1" t="n">
        <v>0</v>
      </c>
      <c r="Q1310" s="4" t="n">
        <v>45753</v>
      </c>
      <c r="R1310" s="0" t="n">
        <f aca="false">IF(ISBLANK(F1310),"Missing",IFERROR(YEAR(F1310),"Missing"))</f>
        <v>2024</v>
      </c>
      <c r="S1310" s="0" t="str">
        <f aca="false">IF(ISBLANK(E1310),"Missing",IF(E1310&lt;6,"0-6mo",IF(E1310&lt;12,"6-12mo",IF(E1310&lt;24,"12-24mo","24mo+"))))</f>
        <v>6-12mo</v>
      </c>
      <c r="T1310" s="0" t="n">
        <f aca="false">IF(ISBLANK(C1310),0,IF(C1310="Month-to-month",2,IF(C1310="One year",1,0)))+IF(ISBLANK(I1310),0,IF(I1310&lt;40,2,IF(I1310&lt;55,1,0)))+IF(ISBLANK(M1310),0,IF(M1310=1,3,0))+IF(ISBLANK(L1310),0,IF(L1310&gt;=2,1,0))+IF(ISBLANK(E1310),0,IF(E1310&lt;12,1,0))</f>
        <v>2</v>
      </c>
      <c r="U1310" s="0" t="str">
        <f aca="false">IF((ISBLANK(B1310)*1+ISBLANK(C1310)*1+ISBLANK(D1310)*1+ISBLANK(E1310)*1+ISBLANK(F1310)*1+ISBLANK(I1310)*1+ISBLANK(J1310)*1+ISBLANK(K1310)*1+ISBLANK(L1310)*1+ISBLANK(M1310)*1+ISBLANK(N1310)*1+ISBLANK(O1310)*1)&gt;0,"Missing Data","OK")</f>
        <v>OK</v>
      </c>
      <c r="V1310" s="0" t="str">
        <f aca="false">IF(T1310&gt;=6,"High Risk",IF(T1310&gt;=3,"Medium Risk","Low Risk"))</f>
        <v>Low Risk</v>
      </c>
    </row>
    <row r="1311" customFormat="false" ht="12.8" hidden="false" customHeight="false" outlineLevel="0" collapsed="false">
      <c r="A1311" s="1" t="s">
        <v>1341</v>
      </c>
      <c r="B1311" s="1" t="s">
        <v>36</v>
      </c>
      <c r="C1311" s="1" t="s">
        <v>24</v>
      </c>
      <c r="D1311" s="1" t="n">
        <v>9.97</v>
      </c>
      <c r="E1311" s="1" t="n">
        <v>9</v>
      </c>
      <c r="F1311" s="4" t="n">
        <v>45572</v>
      </c>
      <c r="G1311" s="1" t="s">
        <v>25</v>
      </c>
      <c r="H1311" s="1" t="n">
        <v>0</v>
      </c>
      <c r="I1311" s="1" t="n">
        <v>66</v>
      </c>
      <c r="J1311" s="1" t="n">
        <v>23</v>
      </c>
      <c r="K1311" s="1" t="n">
        <v>7</v>
      </c>
      <c r="L1311" s="1" t="n">
        <v>2</v>
      </c>
      <c r="M1311" s="1" t="n">
        <v>1</v>
      </c>
      <c r="N1311" s="1" t="n">
        <v>89.73</v>
      </c>
      <c r="O1311" s="1" t="n">
        <v>0</v>
      </c>
      <c r="Q1311" s="4" t="n">
        <v>45845</v>
      </c>
      <c r="R1311" s="0" t="n">
        <f aca="false">IF(ISBLANK(F1311),"Missing",IFERROR(YEAR(F1311),"Missing"))</f>
        <v>2024</v>
      </c>
      <c r="S1311" s="0" t="str">
        <f aca="false">IF(ISBLANK(E1311),"Missing",IF(E1311&lt;6,"0-6mo",IF(E1311&lt;12,"6-12mo",IF(E1311&lt;24,"12-24mo","24mo+"))))</f>
        <v>6-12mo</v>
      </c>
      <c r="T1311" s="0" t="n">
        <f aca="false">IF(ISBLANK(C1311),0,IF(C1311="Month-to-month",2,IF(C1311="One year",1,0)))+IF(ISBLANK(I1311),0,IF(I1311&lt;40,2,IF(I1311&lt;55,1,0)))+IF(ISBLANK(M1311),0,IF(M1311=1,3,0))+IF(ISBLANK(L1311),0,IF(L1311&gt;=2,1,0))+IF(ISBLANK(E1311),0,IF(E1311&lt;12,1,0))</f>
        <v>7</v>
      </c>
      <c r="U1311" s="0" t="str">
        <f aca="false">IF((ISBLANK(B1311)*1+ISBLANK(C1311)*1+ISBLANK(D1311)*1+ISBLANK(E1311)*1+ISBLANK(F1311)*1+ISBLANK(I1311)*1+ISBLANK(J1311)*1+ISBLANK(K1311)*1+ISBLANK(L1311)*1+ISBLANK(M1311)*1+ISBLANK(N1311)*1+ISBLANK(O1311)*1)&gt;0,"Missing Data","OK")</f>
        <v>OK</v>
      </c>
      <c r="V1311" s="0" t="str">
        <f aca="false">IF(T1311&gt;=6,"High Risk",IF(T1311&gt;=3,"Medium Risk","Low Risk"))</f>
        <v>High Risk</v>
      </c>
    </row>
    <row r="1312" customFormat="false" ht="12.8" hidden="false" customHeight="false" outlineLevel="0" collapsed="false">
      <c r="A1312" s="1" t="s">
        <v>1342</v>
      </c>
      <c r="B1312" s="1" t="s">
        <v>23</v>
      </c>
      <c r="C1312" s="1" t="s">
        <v>34</v>
      </c>
      <c r="D1312" s="1" t="n">
        <v>19.16</v>
      </c>
      <c r="E1312" s="1" t="n">
        <v>22</v>
      </c>
      <c r="F1312" s="4" t="n">
        <v>45573</v>
      </c>
      <c r="G1312" s="1" t="s">
        <v>39</v>
      </c>
      <c r="H1312" s="1" t="n">
        <v>0</v>
      </c>
      <c r="I1312" s="1" t="n">
        <v>59.8</v>
      </c>
      <c r="J1312" s="1" t="n">
        <v>21</v>
      </c>
      <c r="K1312" s="1" t="n">
        <v>6</v>
      </c>
      <c r="L1312" s="1" t="n">
        <v>0</v>
      </c>
      <c r="M1312" s="1" t="n">
        <v>0</v>
      </c>
      <c r="N1312" s="1" t="n">
        <v>421.52</v>
      </c>
      <c r="O1312" s="1" t="n">
        <v>0</v>
      </c>
      <c r="Q1312" s="4" t="n">
        <v>46242</v>
      </c>
      <c r="R1312" s="0" t="n">
        <f aca="false">IF(ISBLANK(F1312),"Missing",IFERROR(YEAR(F1312),"Missing"))</f>
        <v>2024</v>
      </c>
      <c r="S1312" s="0" t="str">
        <f aca="false">IF(ISBLANK(E1312),"Missing",IF(E1312&lt;6,"0-6mo",IF(E1312&lt;12,"6-12mo",IF(E1312&lt;24,"12-24mo","24mo+"))))</f>
        <v>12-24mo</v>
      </c>
      <c r="T1312" s="0" t="n">
        <f aca="false">IF(ISBLANK(C1312),0,IF(C1312="Month-to-month",2,IF(C1312="One year",1,0)))+IF(ISBLANK(I1312),0,IF(I1312&lt;40,2,IF(I1312&lt;55,1,0)))+IF(ISBLANK(M1312),0,IF(M1312=1,3,0))+IF(ISBLANK(L1312),0,IF(L1312&gt;=2,1,0))+IF(ISBLANK(E1312),0,IF(E1312&lt;12,1,0))</f>
        <v>1</v>
      </c>
      <c r="U1312" s="0" t="str">
        <f aca="false">IF((ISBLANK(B1312)*1+ISBLANK(C1312)*1+ISBLANK(D1312)*1+ISBLANK(E1312)*1+ISBLANK(F1312)*1+ISBLANK(I1312)*1+ISBLANK(J1312)*1+ISBLANK(K1312)*1+ISBLANK(L1312)*1+ISBLANK(M1312)*1+ISBLANK(N1312)*1+ISBLANK(O1312)*1)&gt;0,"Missing Data","OK")</f>
        <v>OK</v>
      </c>
      <c r="V1312" s="0" t="str">
        <f aca="false">IF(T1312&gt;=6,"High Risk",IF(T1312&gt;=3,"Medium Risk","Low Risk"))</f>
        <v>Low Risk</v>
      </c>
    </row>
    <row r="1313" customFormat="false" ht="12.8" hidden="false" customHeight="false" outlineLevel="0" collapsed="false">
      <c r="A1313" s="1" t="s">
        <v>1343</v>
      </c>
      <c r="B1313" s="1" t="s">
        <v>29</v>
      </c>
      <c r="C1313" s="1" t="s">
        <v>24</v>
      </c>
      <c r="D1313" s="1" t="n">
        <v>39.96</v>
      </c>
      <c r="E1313" s="1" t="n">
        <v>18</v>
      </c>
      <c r="F1313" s="4" t="n">
        <v>45576</v>
      </c>
      <c r="G1313" s="1" t="s">
        <v>39</v>
      </c>
      <c r="H1313" s="1" t="n">
        <v>1</v>
      </c>
      <c r="I1313" s="1" t="n">
        <v>23.6</v>
      </c>
      <c r="J1313" s="1" t="n">
        <v>10</v>
      </c>
      <c r="K1313" s="1" t="n">
        <v>2</v>
      </c>
      <c r="L1313" s="1" t="n">
        <v>4</v>
      </c>
      <c r="M1313" s="1" t="n">
        <v>0</v>
      </c>
      <c r="N1313" s="1" t="n">
        <v>719.28</v>
      </c>
      <c r="O1313" s="1" t="n">
        <v>1</v>
      </c>
      <c r="P1313" s="4" t="n">
        <v>46123</v>
      </c>
      <c r="Q1313" s="4" t="n">
        <v>46123</v>
      </c>
      <c r="R1313" s="0" t="n">
        <f aca="false">IF(ISBLANK(F1313),"Missing",IFERROR(YEAR(F1313),"Missing"))</f>
        <v>2024</v>
      </c>
      <c r="S1313" s="0" t="str">
        <f aca="false">IF(ISBLANK(E1313),"Missing",IF(E1313&lt;6,"0-6mo",IF(E1313&lt;12,"6-12mo",IF(E1313&lt;24,"12-24mo","24mo+"))))</f>
        <v>12-24mo</v>
      </c>
      <c r="T1313" s="0" t="n">
        <f aca="false">IF(ISBLANK(C1313),0,IF(C1313="Month-to-month",2,IF(C1313="One year",1,0)))+IF(ISBLANK(I1313),0,IF(I1313&lt;40,2,IF(I1313&lt;55,1,0)))+IF(ISBLANK(M1313),0,IF(M1313=1,3,0))+IF(ISBLANK(L1313),0,IF(L1313&gt;=2,1,0))+IF(ISBLANK(E1313),0,IF(E1313&lt;12,1,0))</f>
        <v>5</v>
      </c>
      <c r="U1313" s="0" t="str">
        <f aca="false">IF((ISBLANK(B1313)*1+ISBLANK(C1313)*1+ISBLANK(D1313)*1+ISBLANK(E1313)*1+ISBLANK(F1313)*1+ISBLANK(I1313)*1+ISBLANK(J1313)*1+ISBLANK(K1313)*1+ISBLANK(L1313)*1+ISBLANK(M1313)*1+ISBLANK(N1313)*1+ISBLANK(O1313)*1)&gt;0,"Missing Data","OK")</f>
        <v>OK</v>
      </c>
      <c r="V1313" s="0" t="str">
        <f aca="false">IF(T1313&gt;=6,"High Risk",IF(T1313&gt;=3,"Medium Risk","Low Risk"))</f>
        <v>Medium Risk</v>
      </c>
    </row>
    <row r="1314" customFormat="false" ht="12.8" hidden="false" customHeight="false" outlineLevel="0" collapsed="false">
      <c r="A1314" s="1" t="s">
        <v>1344</v>
      </c>
      <c r="B1314" s="1" t="s">
        <v>29</v>
      </c>
      <c r="C1314" s="1" t="s">
        <v>34</v>
      </c>
      <c r="D1314" s="1" t="n">
        <v>39.82</v>
      </c>
      <c r="E1314" s="1" t="n">
        <v>1</v>
      </c>
      <c r="F1314" s="4" t="n">
        <v>45578</v>
      </c>
      <c r="G1314" s="1" t="s">
        <v>25</v>
      </c>
      <c r="H1314" s="1" t="n">
        <v>1</v>
      </c>
      <c r="I1314" s="1" t="n">
        <v>100</v>
      </c>
      <c r="J1314" s="1" t="n">
        <v>27</v>
      </c>
      <c r="K1314" s="1" t="n">
        <v>10</v>
      </c>
      <c r="L1314" s="1" t="n">
        <v>0</v>
      </c>
      <c r="M1314" s="1" t="n">
        <v>0</v>
      </c>
      <c r="N1314" s="1" t="n">
        <v>39.82</v>
      </c>
      <c r="O1314" s="1" t="n">
        <v>0</v>
      </c>
      <c r="Q1314" s="4" t="n">
        <v>45608</v>
      </c>
      <c r="R1314" s="0" t="n">
        <f aca="false">IF(ISBLANK(F1314),"Missing",IFERROR(YEAR(F1314),"Missing"))</f>
        <v>2024</v>
      </c>
      <c r="S1314" s="0" t="str">
        <f aca="false">IF(ISBLANK(E1314),"Missing",IF(E1314&lt;6,"0-6mo",IF(E1314&lt;12,"6-12mo",IF(E1314&lt;24,"12-24mo","24mo+"))))</f>
        <v>0-6mo</v>
      </c>
      <c r="T1314" s="0" t="n">
        <f aca="false">IF(ISBLANK(C1314),0,IF(C1314="Month-to-month",2,IF(C1314="One year",1,0)))+IF(ISBLANK(I1314),0,IF(I1314&lt;40,2,IF(I1314&lt;55,1,0)))+IF(ISBLANK(M1314),0,IF(M1314=1,3,0))+IF(ISBLANK(L1314),0,IF(L1314&gt;=2,1,0))+IF(ISBLANK(E1314),0,IF(E1314&lt;12,1,0))</f>
        <v>2</v>
      </c>
      <c r="U1314" s="0" t="str">
        <f aca="false">IF((ISBLANK(B1314)*1+ISBLANK(C1314)*1+ISBLANK(D1314)*1+ISBLANK(E1314)*1+ISBLANK(F1314)*1+ISBLANK(I1314)*1+ISBLANK(J1314)*1+ISBLANK(K1314)*1+ISBLANK(L1314)*1+ISBLANK(M1314)*1+ISBLANK(N1314)*1+ISBLANK(O1314)*1)&gt;0,"Missing Data","OK")</f>
        <v>OK</v>
      </c>
      <c r="V1314" s="0" t="str">
        <f aca="false">IF(T1314&gt;=6,"High Risk",IF(T1314&gt;=3,"Medium Risk","Low Risk"))</f>
        <v>Low Risk</v>
      </c>
    </row>
    <row r="1315" customFormat="false" ht="12.8" hidden="false" customHeight="false" outlineLevel="0" collapsed="false">
      <c r="A1315" s="1" t="s">
        <v>1345</v>
      </c>
      <c r="B1315" s="1" t="s">
        <v>36</v>
      </c>
      <c r="C1315" s="1" t="s">
        <v>24</v>
      </c>
      <c r="D1315" s="1" t="n">
        <v>9.38</v>
      </c>
      <c r="E1315" s="1" t="n">
        <v>34</v>
      </c>
      <c r="F1315" s="4" t="n">
        <v>45578</v>
      </c>
      <c r="G1315" s="1" t="s">
        <v>30</v>
      </c>
      <c r="H1315" s="1" t="n">
        <v>0</v>
      </c>
      <c r="I1315" s="1" t="n">
        <v>74.7</v>
      </c>
      <c r="J1315" s="1" t="n">
        <v>23</v>
      </c>
      <c r="K1315" s="1" t="n">
        <v>7</v>
      </c>
      <c r="L1315" s="1" t="n">
        <v>2</v>
      </c>
      <c r="M1315" s="1" t="n">
        <v>1</v>
      </c>
      <c r="N1315" s="1" t="n">
        <v>318.92</v>
      </c>
      <c r="O1315" s="1" t="n">
        <v>1</v>
      </c>
      <c r="P1315" s="4" t="n">
        <v>46293</v>
      </c>
      <c r="Q1315" s="4" t="n">
        <v>46293</v>
      </c>
      <c r="R1315" s="0" t="n">
        <f aca="false">IF(ISBLANK(F1315),"Missing",IFERROR(YEAR(F1315),"Missing"))</f>
        <v>2024</v>
      </c>
      <c r="S1315" s="0" t="str">
        <f aca="false">IF(ISBLANK(E1315),"Missing",IF(E1315&lt;6,"0-6mo",IF(E1315&lt;12,"6-12mo",IF(E1315&lt;24,"12-24mo","24mo+"))))</f>
        <v>24mo+</v>
      </c>
      <c r="T1315" s="0" t="n">
        <f aca="false">IF(ISBLANK(C1315),0,IF(C1315="Month-to-month",2,IF(C1315="One year",1,0)))+IF(ISBLANK(I1315),0,IF(I1315&lt;40,2,IF(I1315&lt;55,1,0)))+IF(ISBLANK(M1315),0,IF(M1315=1,3,0))+IF(ISBLANK(L1315),0,IF(L1315&gt;=2,1,0))+IF(ISBLANK(E1315),0,IF(E1315&lt;12,1,0))</f>
        <v>6</v>
      </c>
      <c r="U1315" s="0" t="str">
        <f aca="false">IF((ISBLANK(B1315)*1+ISBLANK(C1315)*1+ISBLANK(D1315)*1+ISBLANK(E1315)*1+ISBLANK(F1315)*1+ISBLANK(I1315)*1+ISBLANK(J1315)*1+ISBLANK(K1315)*1+ISBLANK(L1315)*1+ISBLANK(M1315)*1+ISBLANK(N1315)*1+ISBLANK(O1315)*1)&gt;0,"Missing Data","OK")</f>
        <v>OK</v>
      </c>
      <c r="V1315" s="0" t="str">
        <f aca="false">IF(T1315&gt;=6,"High Risk",IF(T1315&gt;=3,"Medium Risk","Low Risk"))</f>
        <v>High Risk</v>
      </c>
    </row>
    <row r="1316" customFormat="false" ht="12.8" hidden="false" customHeight="false" outlineLevel="0" collapsed="false">
      <c r="A1316" s="1" t="s">
        <v>1346</v>
      </c>
      <c r="B1316" s="1" t="s">
        <v>29</v>
      </c>
      <c r="C1316" s="1" t="s">
        <v>24</v>
      </c>
      <c r="D1316" s="1" t="n">
        <v>41.13</v>
      </c>
      <c r="E1316" s="1" t="n">
        <v>72</v>
      </c>
      <c r="F1316" s="4" t="n">
        <v>45579</v>
      </c>
      <c r="G1316" s="1" t="s">
        <v>25</v>
      </c>
      <c r="H1316" s="1" t="n">
        <v>1</v>
      </c>
      <c r="I1316" s="1" t="n">
        <v>38.5</v>
      </c>
      <c r="J1316" s="1" t="n">
        <v>12</v>
      </c>
      <c r="K1316" s="1" t="n">
        <v>2</v>
      </c>
      <c r="L1316" s="1" t="n">
        <v>1</v>
      </c>
      <c r="M1316" s="1" t="n">
        <v>1</v>
      </c>
      <c r="N1316" s="1" t="n">
        <v>2961.36</v>
      </c>
      <c r="O1316" s="1" t="n">
        <v>0</v>
      </c>
      <c r="Q1316" s="4" t="n">
        <v>46293</v>
      </c>
      <c r="R1316" s="0" t="n">
        <f aca="false">IF(ISBLANK(F1316),"Missing",IFERROR(YEAR(F1316),"Missing"))</f>
        <v>2024</v>
      </c>
      <c r="S1316" s="0" t="str">
        <f aca="false">IF(ISBLANK(E1316),"Missing",IF(E1316&lt;6,"0-6mo",IF(E1316&lt;12,"6-12mo",IF(E1316&lt;24,"12-24mo","24mo+"))))</f>
        <v>24mo+</v>
      </c>
      <c r="T1316" s="0" t="n">
        <f aca="false">IF(ISBLANK(C1316),0,IF(C1316="Month-to-month",2,IF(C1316="One year",1,0)))+IF(ISBLANK(I1316),0,IF(I1316&lt;40,2,IF(I1316&lt;55,1,0)))+IF(ISBLANK(M1316),0,IF(M1316=1,3,0))+IF(ISBLANK(L1316),0,IF(L1316&gt;=2,1,0))+IF(ISBLANK(E1316),0,IF(E1316&lt;12,1,0))</f>
        <v>7</v>
      </c>
      <c r="U1316" s="0" t="str">
        <f aca="false">IF((ISBLANK(B1316)*1+ISBLANK(C1316)*1+ISBLANK(D1316)*1+ISBLANK(E1316)*1+ISBLANK(F1316)*1+ISBLANK(I1316)*1+ISBLANK(J1316)*1+ISBLANK(K1316)*1+ISBLANK(L1316)*1+ISBLANK(M1316)*1+ISBLANK(N1316)*1+ISBLANK(O1316)*1)&gt;0,"Missing Data","OK")</f>
        <v>OK</v>
      </c>
      <c r="V1316" s="0" t="str">
        <f aca="false">IF(T1316&gt;=6,"High Risk",IF(T1316&gt;=3,"Medium Risk","Low Risk"))</f>
        <v>High Risk</v>
      </c>
    </row>
    <row r="1317" customFormat="false" ht="12.8" hidden="false" customHeight="false" outlineLevel="0" collapsed="false">
      <c r="A1317" s="1" t="s">
        <v>1347</v>
      </c>
      <c r="B1317" s="1" t="s">
        <v>29</v>
      </c>
      <c r="C1317" s="1" t="s">
        <v>34</v>
      </c>
      <c r="D1317" s="1" t="n">
        <v>38.43</v>
      </c>
      <c r="E1317" s="1" t="n">
        <v>14</v>
      </c>
      <c r="F1317" s="4" t="n">
        <v>45579</v>
      </c>
      <c r="G1317" s="1" t="s">
        <v>25</v>
      </c>
      <c r="H1317" s="1" t="n">
        <v>1</v>
      </c>
      <c r="I1317" s="1" t="n">
        <v>39.3</v>
      </c>
      <c r="J1317" s="1" t="n">
        <v>16</v>
      </c>
      <c r="K1317" s="1" t="n">
        <v>2</v>
      </c>
      <c r="L1317" s="1" t="n">
        <v>2</v>
      </c>
      <c r="M1317" s="1" t="n">
        <v>0</v>
      </c>
      <c r="N1317" s="1" t="n">
        <v>538.02</v>
      </c>
      <c r="O1317" s="1" t="n">
        <v>0</v>
      </c>
      <c r="Q1317" s="4" t="n">
        <v>46005</v>
      </c>
      <c r="R1317" s="0" t="n">
        <f aca="false">IF(ISBLANK(F1317),"Missing",IFERROR(YEAR(F1317),"Missing"))</f>
        <v>2024</v>
      </c>
      <c r="S1317" s="0" t="str">
        <f aca="false">IF(ISBLANK(E1317),"Missing",IF(E1317&lt;6,"0-6mo",IF(E1317&lt;12,"6-12mo",IF(E1317&lt;24,"12-24mo","24mo+"))))</f>
        <v>12-24mo</v>
      </c>
      <c r="T1317" s="0" t="n">
        <f aca="false">IF(ISBLANK(C1317),0,IF(C1317="Month-to-month",2,IF(C1317="One year",1,0)))+IF(ISBLANK(I1317),0,IF(I1317&lt;40,2,IF(I1317&lt;55,1,0)))+IF(ISBLANK(M1317),0,IF(M1317=1,3,0))+IF(ISBLANK(L1317),0,IF(L1317&gt;=2,1,0))+IF(ISBLANK(E1317),0,IF(E1317&lt;12,1,0))</f>
        <v>4</v>
      </c>
      <c r="U1317" s="0" t="str">
        <f aca="false">IF((ISBLANK(B1317)*1+ISBLANK(C1317)*1+ISBLANK(D1317)*1+ISBLANK(E1317)*1+ISBLANK(F1317)*1+ISBLANK(I1317)*1+ISBLANK(J1317)*1+ISBLANK(K1317)*1+ISBLANK(L1317)*1+ISBLANK(M1317)*1+ISBLANK(N1317)*1+ISBLANK(O1317)*1)&gt;0,"Missing Data","OK")</f>
        <v>OK</v>
      </c>
      <c r="V1317" s="0" t="str">
        <f aca="false">IF(T1317&gt;=6,"High Risk",IF(T1317&gt;=3,"Medium Risk","Low Risk"))</f>
        <v>Medium Risk</v>
      </c>
    </row>
    <row r="1318" customFormat="false" ht="12.8" hidden="false" customHeight="false" outlineLevel="0" collapsed="false">
      <c r="A1318" s="1" t="s">
        <v>1348</v>
      </c>
      <c r="B1318" s="1" t="s">
        <v>29</v>
      </c>
      <c r="C1318" s="1" t="s">
        <v>24</v>
      </c>
      <c r="D1318" s="1" t="n">
        <v>41.82</v>
      </c>
      <c r="E1318" s="1" t="n">
        <v>15</v>
      </c>
      <c r="F1318" s="4" t="n">
        <v>45579</v>
      </c>
      <c r="G1318" s="1" t="s">
        <v>25</v>
      </c>
      <c r="H1318" s="1" t="n">
        <v>0</v>
      </c>
      <c r="I1318" s="1" t="n">
        <v>50.4</v>
      </c>
      <c r="J1318" s="1" t="n">
        <v>17</v>
      </c>
      <c r="K1318" s="1" t="n">
        <v>5</v>
      </c>
      <c r="L1318" s="1" t="n">
        <v>1</v>
      </c>
      <c r="M1318" s="1" t="n">
        <v>0</v>
      </c>
      <c r="N1318" s="1" t="n">
        <v>627.3</v>
      </c>
      <c r="O1318" s="1" t="n">
        <v>0</v>
      </c>
      <c r="Q1318" s="4" t="n">
        <v>46035</v>
      </c>
      <c r="R1318" s="0" t="n">
        <f aca="false">IF(ISBLANK(F1318),"Missing",IFERROR(YEAR(F1318),"Missing"))</f>
        <v>2024</v>
      </c>
      <c r="S1318" s="0" t="str">
        <f aca="false">IF(ISBLANK(E1318),"Missing",IF(E1318&lt;6,"0-6mo",IF(E1318&lt;12,"6-12mo",IF(E1318&lt;24,"12-24mo","24mo+"))))</f>
        <v>12-24mo</v>
      </c>
      <c r="T1318" s="0" t="n">
        <f aca="false">IF(ISBLANK(C1318),0,IF(C1318="Month-to-month",2,IF(C1318="One year",1,0)))+IF(ISBLANK(I1318),0,IF(I1318&lt;40,2,IF(I1318&lt;55,1,0)))+IF(ISBLANK(M1318),0,IF(M1318=1,3,0))+IF(ISBLANK(L1318),0,IF(L1318&gt;=2,1,0))+IF(ISBLANK(E1318),0,IF(E1318&lt;12,1,0))</f>
        <v>3</v>
      </c>
      <c r="U1318" s="0" t="str">
        <f aca="false">IF((ISBLANK(B1318)*1+ISBLANK(C1318)*1+ISBLANK(D1318)*1+ISBLANK(E1318)*1+ISBLANK(F1318)*1+ISBLANK(I1318)*1+ISBLANK(J1318)*1+ISBLANK(K1318)*1+ISBLANK(L1318)*1+ISBLANK(M1318)*1+ISBLANK(N1318)*1+ISBLANK(O1318)*1)&gt;0,"Missing Data","OK")</f>
        <v>OK</v>
      </c>
      <c r="V1318" s="0" t="str">
        <f aca="false">IF(T1318&gt;=6,"High Risk",IF(T1318&gt;=3,"Medium Risk","Low Risk"))</f>
        <v>Medium Risk</v>
      </c>
    </row>
    <row r="1319" customFormat="false" ht="12.8" hidden="false" customHeight="false" outlineLevel="0" collapsed="false">
      <c r="A1319" s="1" t="s">
        <v>1349</v>
      </c>
      <c r="B1319" s="1" t="s">
        <v>23</v>
      </c>
      <c r="C1319" s="1" t="s">
        <v>34</v>
      </c>
      <c r="D1319" s="1" t="n">
        <v>20.52</v>
      </c>
      <c r="E1319" s="1" t="n">
        <v>1</v>
      </c>
      <c r="F1319" s="4" t="n">
        <v>45581</v>
      </c>
      <c r="G1319" s="1" t="s">
        <v>30</v>
      </c>
      <c r="H1319" s="1" t="n">
        <v>1</v>
      </c>
      <c r="I1319" s="1" t="n">
        <v>77.5</v>
      </c>
      <c r="J1319" s="1" t="n">
        <v>24</v>
      </c>
      <c r="K1319" s="1" t="n">
        <v>10</v>
      </c>
      <c r="L1319" s="1" t="n">
        <v>0</v>
      </c>
      <c r="M1319" s="1" t="n">
        <v>0</v>
      </c>
      <c r="N1319" s="1" t="n">
        <v>20.52</v>
      </c>
      <c r="O1319" s="1" t="n">
        <v>0</v>
      </c>
      <c r="Q1319" s="4" t="n">
        <v>45611</v>
      </c>
      <c r="R1319" s="0" t="n">
        <f aca="false">IF(ISBLANK(F1319),"Missing",IFERROR(YEAR(F1319),"Missing"))</f>
        <v>2024</v>
      </c>
      <c r="S1319" s="0" t="str">
        <f aca="false">IF(ISBLANK(E1319),"Missing",IF(E1319&lt;6,"0-6mo",IF(E1319&lt;12,"6-12mo",IF(E1319&lt;24,"12-24mo","24mo+"))))</f>
        <v>0-6mo</v>
      </c>
      <c r="T1319" s="0" t="n">
        <f aca="false">IF(ISBLANK(C1319),0,IF(C1319="Month-to-month",2,IF(C1319="One year",1,0)))+IF(ISBLANK(I1319),0,IF(I1319&lt;40,2,IF(I1319&lt;55,1,0)))+IF(ISBLANK(M1319),0,IF(M1319=1,3,0))+IF(ISBLANK(L1319),0,IF(L1319&gt;=2,1,0))+IF(ISBLANK(E1319),0,IF(E1319&lt;12,1,0))</f>
        <v>2</v>
      </c>
      <c r="U1319" s="0" t="str">
        <f aca="false">IF((ISBLANK(B1319)*1+ISBLANK(C1319)*1+ISBLANK(D1319)*1+ISBLANK(E1319)*1+ISBLANK(F1319)*1+ISBLANK(I1319)*1+ISBLANK(J1319)*1+ISBLANK(K1319)*1+ISBLANK(L1319)*1+ISBLANK(M1319)*1+ISBLANK(N1319)*1+ISBLANK(O1319)*1)&gt;0,"Missing Data","OK")</f>
        <v>OK</v>
      </c>
      <c r="V1319" s="0" t="str">
        <f aca="false">IF(T1319&gt;=6,"High Risk",IF(T1319&gt;=3,"Medium Risk","Low Risk"))</f>
        <v>Low Risk</v>
      </c>
    </row>
    <row r="1320" customFormat="false" ht="12.8" hidden="false" customHeight="false" outlineLevel="0" collapsed="false">
      <c r="A1320" s="1" t="s">
        <v>1350</v>
      </c>
      <c r="B1320" s="1" t="s">
        <v>36</v>
      </c>
      <c r="C1320" s="1" t="s">
        <v>24</v>
      </c>
      <c r="D1320" s="1" t="n">
        <v>9.89</v>
      </c>
      <c r="E1320" s="1" t="n">
        <v>3</v>
      </c>
      <c r="F1320" s="4" t="n">
        <v>45582</v>
      </c>
      <c r="G1320" s="1" t="s">
        <v>25</v>
      </c>
      <c r="H1320" s="1" t="n">
        <v>1</v>
      </c>
      <c r="I1320" s="1" t="n">
        <v>44.5</v>
      </c>
      <c r="J1320" s="1" t="n">
        <v>20</v>
      </c>
      <c r="K1320" s="1" t="n">
        <v>5</v>
      </c>
      <c r="L1320" s="1" t="n">
        <v>3</v>
      </c>
      <c r="M1320" s="1" t="n">
        <v>0</v>
      </c>
      <c r="N1320" s="1" t="n">
        <v>29.67</v>
      </c>
      <c r="O1320" s="1" t="n">
        <v>1</v>
      </c>
      <c r="P1320" s="4" t="n">
        <v>45673</v>
      </c>
      <c r="Q1320" s="4" t="n">
        <v>45673</v>
      </c>
      <c r="R1320" s="0" t="n">
        <f aca="false">IF(ISBLANK(F1320),"Missing",IFERROR(YEAR(F1320),"Missing"))</f>
        <v>2024</v>
      </c>
      <c r="S1320" s="0" t="str">
        <f aca="false">IF(ISBLANK(E1320),"Missing",IF(E1320&lt;6,"0-6mo",IF(E1320&lt;12,"6-12mo",IF(E1320&lt;24,"12-24mo","24mo+"))))</f>
        <v>0-6mo</v>
      </c>
      <c r="T1320" s="0" t="n">
        <f aca="false">IF(ISBLANK(C1320),0,IF(C1320="Month-to-month",2,IF(C1320="One year",1,0)))+IF(ISBLANK(I1320),0,IF(I1320&lt;40,2,IF(I1320&lt;55,1,0)))+IF(ISBLANK(M1320),0,IF(M1320=1,3,0))+IF(ISBLANK(L1320),0,IF(L1320&gt;=2,1,0))+IF(ISBLANK(E1320),0,IF(E1320&lt;12,1,0))</f>
        <v>5</v>
      </c>
      <c r="U1320" s="0" t="str">
        <f aca="false">IF((ISBLANK(B1320)*1+ISBLANK(C1320)*1+ISBLANK(D1320)*1+ISBLANK(E1320)*1+ISBLANK(F1320)*1+ISBLANK(I1320)*1+ISBLANK(J1320)*1+ISBLANK(K1320)*1+ISBLANK(L1320)*1+ISBLANK(M1320)*1+ISBLANK(N1320)*1+ISBLANK(O1320)*1)&gt;0,"Missing Data","OK")</f>
        <v>OK</v>
      </c>
      <c r="V1320" s="0" t="str">
        <f aca="false">IF(T1320&gt;=6,"High Risk",IF(T1320&gt;=3,"Medium Risk","Low Risk"))</f>
        <v>Medium Risk</v>
      </c>
    </row>
    <row r="1321" customFormat="false" ht="12.8" hidden="false" customHeight="false" outlineLevel="0" collapsed="false">
      <c r="A1321" s="1" t="s">
        <v>1351</v>
      </c>
      <c r="B1321" s="1" t="s">
        <v>36</v>
      </c>
      <c r="C1321" s="1" t="s">
        <v>34</v>
      </c>
      <c r="D1321" s="1" t="n">
        <v>9.71</v>
      </c>
      <c r="E1321" s="1" t="n">
        <v>55</v>
      </c>
      <c r="F1321" s="4" t="n">
        <v>45585</v>
      </c>
      <c r="G1321" s="1" t="s">
        <v>39</v>
      </c>
      <c r="H1321" s="1" t="n">
        <v>0</v>
      </c>
      <c r="I1321" s="1" t="n">
        <v>46.4</v>
      </c>
      <c r="J1321" s="1" t="n">
        <v>14</v>
      </c>
      <c r="K1321" s="1" t="n">
        <v>6</v>
      </c>
      <c r="L1321" s="1" t="n">
        <v>0</v>
      </c>
      <c r="M1321" s="1" t="n">
        <v>0</v>
      </c>
      <c r="N1321" s="1" t="n">
        <v>534.05</v>
      </c>
      <c r="O1321" s="1" t="n">
        <v>0</v>
      </c>
      <c r="Q1321" s="4" t="n">
        <v>46293</v>
      </c>
      <c r="R1321" s="0" t="n">
        <f aca="false">IF(ISBLANK(F1321),"Missing",IFERROR(YEAR(F1321),"Missing"))</f>
        <v>2024</v>
      </c>
      <c r="S1321" s="0" t="str">
        <f aca="false">IF(ISBLANK(E1321),"Missing",IF(E1321&lt;6,"0-6mo",IF(E1321&lt;12,"6-12mo",IF(E1321&lt;24,"12-24mo","24mo+"))))</f>
        <v>24mo+</v>
      </c>
      <c r="T1321" s="0" t="n">
        <f aca="false">IF(ISBLANK(C1321),0,IF(C1321="Month-to-month",2,IF(C1321="One year",1,0)))+IF(ISBLANK(I1321),0,IF(I1321&lt;40,2,IF(I1321&lt;55,1,0)))+IF(ISBLANK(M1321),0,IF(M1321=1,3,0))+IF(ISBLANK(L1321),0,IF(L1321&gt;=2,1,0))+IF(ISBLANK(E1321),0,IF(E1321&lt;12,1,0))</f>
        <v>2</v>
      </c>
      <c r="U1321" s="0" t="str">
        <f aca="false">IF((ISBLANK(B1321)*1+ISBLANK(C1321)*1+ISBLANK(D1321)*1+ISBLANK(E1321)*1+ISBLANK(F1321)*1+ISBLANK(I1321)*1+ISBLANK(J1321)*1+ISBLANK(K1321)*1+ISBLANK(L1321)*1+ISBLANK(M1321)*1+ISBLANK(N1321)*1+ISBLANK(O1321)*1)&gt;0,"Missing Data","OK")</f>
        <v>OK</v>
      </c>
      <c r="V1321" s="0" t="str">
        <f aca="false">IF(T1321&gt;=6,"High Risk",IF(T1321&gt;=3,"Medium Risk","Low Risk"))</f>
        <v>Low Risk</v>
      </c>
    </row>
    <row r="1322" customFormat="false" ht="12.8" hidden="false" customHeight="false" outlineLevel="0" collapsed="false">
      <c r="A1322" s="1" t="s">
        <v>1352</v>
      </c>
      <c r="B1322" s="1" t="s">
        <v>36</v>
      </c>
      <c r="C1322" s="1" t="s">
        <v>24</v>
      </c>
      <c r="D1322" s="1" t="n">
        <v>11.44</v>
      </c>
      <c r="E1322" s="1" t="n">
        <v>72</v>
      </c>
      <c r="F1322" s="4" t="n">
        <v>45586</v>
      </c>
      <c r="G1322" s="1" t="s">
        <v>25</v>
      </c>
      <c r="H1322" s="1" t="n">
        <v>1</v>
      </c>
      <c r="I1322" s="1" t="n">
        <v>19.7</v>
      </c>
      <c r="J1322" s="1" t="n">
        <v>8</v>
      </c>
      <c r="K1322" s="1" t="n">
        <v>2</v>
      </c>
      <c r="L1322" s="1" t="n">
        <v>4</v>
      </c>
      <c r="M1322" s="1" t="n">
        <v>1</v>
      </c>
      <c r="N1322" s="1" t="n">
        <v>823.68</v>
      </c>
      <c r="O1322" s="1" t="n">
        <v>0</v>
      </c>
      <c r="Q1322" s="4" t="n">
        <v>46293</v>
      </c>
      <c r="R1322" s="0" t="n">
        <f aca="false">IF(ISBLANK(F1322),"Missing",IFERROR(YEAR(F1322),"Missing"))</f>
        <v>2024</v>
      </c>
      <c r="S1322" s="0" t="str">
        <f aca="false">IF(ISBLANK(E1322),"Missing",IF(E1322&lt;6,"0-6mo",IF(E1322&lt;12,"6-12mo",IF(E1322&lt;24,"12-24mo","24mo+"))))</f>
        <v>24mo+</v>
      </c>
      <c r="T1322" s="0" t="n">
        <f aca="false">IF(ISBLANK(C1322),0,IF(C1322="Month-to-month",2,IF(C1322="One year",1,0)))+IF(ISBLANK(I1322),0,IF(I1322&lt;40,2,IF(I1322&lt;55,1,0)))+IF(ISBLANK(M1322),0,IF(M1322=1,3,0))+IF(ISBLANK(L1322),0,IF(L1322&gt;=2,1,0))+IF(ISBLANK(E1322),0,IF(E1322&lt;12,1,0))</f>
        <v>8</v>
      </c>
      <c r="U1322" s="0" t="str">
        <f aca="false">IF((ISBLANK(B1322)*1+ISBLANK(C1322)*1+ISBLANK(D1322)*1+ISBLANK(E1322)*1+ISBLANK(F1322)*1+ISBLANK(I1322)*1+ISBLANK(J1322)*1+ISBLANK(K1322)*1+ISBLANK(L1322)*1+ISBLANK(M1322)*1+ISBLANK(N1322)*1+ISBLANK(O1322)*1)&gt;0,"Missing Data","OK")</f>
        <v>OK</v>
      </c>
      <c r="V1322" s="0" t="str">
        <f aca="false">IF(T1322&gt;=6,"High Risk",IF(T1322&gt;=3,"Medium Risk","Low Risk"))</f>
        <v>High Risk</v>
      </c>
    </row>
    <row r="1323" customFormat="false" ht="12.8" hidden="false" customHeight="false" outlineLevel="0" collapsed="false">
      <c r="A1323" s="1" t="s">
        <v>1353</v>
      </c>
      <c r="B1323" s="1" t="s">
        <v>36</v>
      </c>
      <c r="C1323" s="1" t="s">
        <v>34</v>
      </c>
      <c r="D1323" s="1" t="n">
        <v>9.25</v>
      </c>
      <c r="E1323" s="1" t="n">
        <v>6</v>
      </c>
      <c r="F1323" s="4" t="n">
        <v>45587</v>
      </c>
      <c r="G1323" s="1" t="s">
        <v>30</v>
      </c>
      <c r="H1323" s="1" t="n">
        <v>0</v>
      </c>
      <c r="I1323" s="1" t="n">
        <v>53.6</v>
      </c>
      <c r="J1323" s="1" t="n">
        <v>23</v>
      </c>
      <c r="K1323" s="1" t="n">
        <v>6</v>
      </c>
      <c r="L1323" s="1" t="n">
        <v>1</v>
      </c>
      <c r="M1323" s="1" t="n">
        <v>1</v>
      </c>
      <c r="N1323" s="1" t="n">
        <v>55.5</v>
      </c>
      <c r="O1323" s="1" t="n">
        <v>0</v>
      </c>
      <c r="Q1323" s="4" t="n">
        <v>45769</v>
      </c>
      <c r="R1323" s="0" t="n">
        <f aca="false">IF(ISBLANK(F1323),"Missing",IFERROR(YEAR(F1323),"Missing"))</f>
        <v>2024</v>
      </c>
      <c r="S1323" s="0" t="str">
        <f aca="false">IF(ISBLANK(E1323),"Missing",IF(E1323&lt;6,"0-6mo",IF(E1323&lt;12,"6-12mo",IF(E1323&lt;24,"12-24mo","24mo+"))))</f>
        <v>6-12mo</v>
      </c>
      <c r="T1323" s="0" t="n">
        <f aca="false">IF(ISBLANK(C1323),0,IF(C1323="Month-to-month",2,IF(C1323="One year",1,0)))+IF(ISBLANK(I1323),0,IF(I1323&lt;40,2,IF(I1323&lt;55,1,0)))+IF(ISBLANK(M1323),0,IF(M1323=1,3,0))+IF(ISBLANK(L1323),0,IF(L1323&gt;=2,1,0))+IF(ISBLANK(E1323),0,IF(E1323&lt;12,1,0))</f>
        <v>6</v>
      </c>
      <c r="U1323" s="0" t="str">
        <f aca="false">IF((ISBLANK(B1323)*1+ISBLANK(C1323)*1+ISBLANK(D1323)*1+ISBLANK(E1323)*1+ISBLANK(F1323)*1+ISBLANK(I1323)*1+ISBLANK(J1323)*1+ISBLANK(K1323)*1+ISBLANK(L1323)*1+ISBLANK(M1323)*1+ISBLANK(N1323)*1+ISBLANK(O1323)*1)&gt;0,"Missing Data","OK")</f>
        <v>OK</v>
      </c>
      <c r="V1323" s="0" t="str">
        <f aca="false">IF(T1323&gt;=6,"High Risk",IF(T1323&gt;=3,"Medium Risk","Low Risk"))</f>
        <v>High Risk</v>
      </c>
    </row>
    <row r="1324" customFormat="false" ht="12.8" hidden="false" customHeight="false" outlineLevel="0" collapsed="false">
      <c r="A1324" s="1" t="s">
        <v>1354</v>
      </c>
      <c r="B1324" s="1" t="s">
        <v>23</v>
      </c>
      <c r="C1324" s="1" t="s">
        <v>24</v>
      </c>
      <c r="D1324" s="1" t="n">
        <v>19.94</v>
      </c>
      <c r="E1324" s="1" t="n">
        <v>26</v>
      </c>
      <c r="F1324" s="4" t="n">
        <v>45588</v>
      </c>
      <c r="G1324" s="1" t="s">
        <v>30</v>
      </c>
      <c r="H1324" s="1" t="n">
        <v>0</v>
      </c>
      <c r="I1324" s="1" t="n">
        <v>70.7</v>
      </c>
      <c r="J1324" s="1" t="n">
        <v>31</v>
      </c>
      <c r="K1324" s="1" t="n">
        <v>6</v>
      </c>
      <c r="L1324" s="1" t="n">
        <v>3</v>
      </c>
      <c r="M1324" s="1" t="n">
        <v>0</v>
      </c>
      <c r="N1324" s="1" t="n">
        <v>518.44</v>
      </c>
      <c r="O1324" s="1" t="n">
        <v>0</v>
      </c>
      <c r="Q1324" s="4" t="n">
        <v>46293</v>
      </c>
      <c r="R1324" s="0" t="n">
        <f aca="false">IF(ISBLANK(F1324),"Missing",IFERROR(YEAR(F1324),"Missing"))</f>
        <v>2024</v>
      </c>
      <c r="S1324" s="0" t="str">
        <f aca="false">IF(ISBLANK(E1324),"Missing",IF(E1324&lt;6,"0-6mo",IF(E1324&lt;12,"6-12mo",IF(E1324&lt;24,"12-24mo","24mo+"))))</f>
        <v>24mo+</v>
      </c>
      <c r="T1324" s="0" t="n">
        <f aca="false">IF(ISBLANK(C1324),0,IF(C1324="Month-to-month",2,IF(C1324="One year",1,0)))+IF(ISBLANK(I1324),0,IF(I1324&lt;40,2,IF(I1324&lt;55,1,0)))+IF(ISBLANK(M1324),0,IF(M1324=1,3,0))+IF(ISBLANK(L1324),0,IF(L1324&gt;=2,1,0))+IF(ISBLANK(E1324),0,IF(E1324&lt;12,1,0))</f>
        <v>3</v>
      </c>
      <c r="U1324" s="0" t="str">
        <f aca="false">IF((ISBLANK(B1324)*1+ISBLANK(C1324)*1+ISBLANK(D1324)*1+ISBLANK(E1324)*1+ISBLANK(F1324)*1+ISBLANK(I1324)*1+ISBLANK(J1324)*1+ISBLANK(K1324)*1+ISBLANK(L1324)*1+ISBLANK(M1324)*1+ISBLANK(N1324)*1+ISBLANK(O1324)*1)&gt;0,"Missing Data","OK")</f>
        <v>OK</v>
      </c>
      <c r="V1324" s="0" t="str">
        <f aca="false">IF(T1324&gt;=6,"High Risk",IF(T1324&gt;=3,"Medium Risk","Low Risk"))</f>
        <v>Medium Risk</v>
      </c>
    </row>
    <row r="1325" customFormat="false" ht="12.8" hidden="false" customHeight="false" outlineLevel="0" collapsed="false">
      <c r="A1325" s="1" t="s">
        <v>1355</v>
      </c>
      <c r="B1325" s="1" t="s">
        <v>23</v>
      </c>
      <c r="C1325" s="1" t="s">
        <v>24</v>
      </c>
      <c r="D1325" s="1" t="n">
        <v>18.9</v>
      </c>
      <c r="E1325" s="1" t="n">
        <v>22</v>
      </c>
      <c r="F1325" s="4" t="n">
        <v>45589</v>
      </c>
      <c r="G1325" s="1" t="s">
        <v>25</v>
      </c>
      <c r="H1325" s="1" t="n">
        <v>1</v>
      </c>
      <c r="I1325" s="1" t="n">
        <v>32.6</v>
      </c>
      <c r="J1325" s="1" t="n">
        <v>11</v>
      </c>
      <c r="K1325" s="1" t="n">
        <v>2</v>
      </c>
      <c r="L1325" s="1" t="n">
        <v>1</v>
      </c>
      <c r="M1325" s="1" t="n">
        <v>1</v>
      </c>
      <c r="N1325" s="1" t="n">
        <v>415.8</v>
      </c>
      <c r="O1325" s="1" t="n">
        <v>0</v>
      </c>
      <c r="Q1325" s="4" t="n">
        <v>46258</v>
      </c>
      <c r="R1325" s="0" t="n">
        <f aca="false">IF(ISBLANK(F1325),"Missing",IFERROR(YEAR(F1325),"Missing"))</f>
        <v>2024</v>
      </c>
      <c r="S1325" s="0" t="str">
        <f aca="false">IF(ISBLANK(E1325),"Missing",IF(E1325&lt;6,"0-6mo",IF(E1325&lt;12,"6-12mo",IF(E1325&lt;24,"12-24mo","24mo+"))))</f>
        <v>12-24mo</v>
      </c>
      <c r="T1325" s="0" t="n">
        <f aca="false">IF(ISBLANK(C1325),0,IF(C1325="Month-to-month",2,IF(C1325="One year",1,0)))+IF(ISBLANK(I1325),0,IF(I1325&lt;40,2,IF(I1325&lt;55,1,0)))+IF(ISBLANK(M1325),0,IF(M1325=1,3,0))+IF(ISBLANK(L1325),0,IF(L1325&gt;=2,1,0))+IF(ISBLANK(E1325),0,IF(E1325&lt;12,1,0))</f>
        <v>7</v>
      </c>
      <c r="U1325" s="0" t="str">
        <f aca="false">IF((ISBLANK(B1325)*1+ISBLANK(C1325)*1+ISBLANK(D1325)*1+ISBLANK(E1325)*1+ISBLANK(F1325)*1+ISBLANK(I1325)*1+ISBLANK(J1325)*1+ISBLANK(K1325)*1+ISBLANK(L1325)*1+ISBLANK(M1325)*1+ISBLANK(N1325)*1+ISBLANK(O1325)*1)&gt;0,"Missing Data","OK")</f>
        <v>OK</v>
      </c>
      <c r="V1325" s="0" t="str">
        <f aca="false">IF(T1325&gt;=6,"High Risk",IF(T1325&gt;=3,"Medium Risk","Low Risk"))</f>
        <v>High Risk</v>
      </c>
    </row>
    <row r="1326" customFormat="false" ht="12.8" hidden="false" customHeight="false" outlineLevel="0" collapsed="false">
      <c r="A1326" s="1" t="s">
        <v>1356</v>
      </c>
      <c r="B1326" s="1" t="s">
        <v>23</v>
      </c>
      <c r="C1326" s="1" t="s">
        <v>24</v>
      </c>
      <c r="D1326" s="1" t="n">
        <v>21.7</v>
      </c>
      <c r="E1326" s="1" t="n">
        <v>5</v>
      </c>
      <c r="F1326" s="4" t="n">
        <v>45592</v>
      </c>
      <c r="G1326" s="1" t="s">
        <v>25</v>
      </c>
      <c r="H1326" s="1" t="n">
        <v>1</v>
      </c>
      <c r="I1326" s="1" t="n">
        <v>53</v>
      </c>
      <c r="J1326" s="1" t="n">
        <v>18</v>
      </c>
      <c r="K1326" s="1" t="n">
        <v>4</v>
      </c>
      <c r="L1326" s="1" t="n">
        <v>0</v>
      </c>
      <c r="M1326" s="1" t="n">
        <v>0</v>
      </c>
      <c r="N1326" s="1" t="n">
        <v>108.5</v>
      </c>
      <c r="O1326" s="1" t="n">
        <v>0</v>
      </c>
      <c r="Q1326" s="4" t="n">
        <v>45744</v>
      </c>
      <c r="R1326" s="0" t="n">
        <f aca="false">IF(ISBLANK(F1326),"Missing",IFERROR(YEAR(F1326),"Missing"))</f>
        <v>2024</v>
      </c>
      <c r="S1326" s="0" t="str">
        <f aca="false">IF(ISBLANK(E1326),"Missing",IF(E1326&lt;6,"0-6mo",IF(E1326&lt;12,"6-12mo",IF(E1326&lt;24,"12-24mo","24mo+"))))</f>
        <v>0-6mo</v>
      </c>
      <c r="T1326" s="0" t="n">
        <f aca="false">IF(ISBLANK(C1326),0,IF(C1326="Month-to-month",2,IF(C1326="One year",1,0)))+IF(ISBLANK(I1326),0,IF(I1326&lt;40,2,IF(I1326&lt;55,1,0)))+IF(ISBLANK(M1326),0,IF(M1326=1,3,0))+IF(ISBLANK(L1326),0,IF(L1326&gt;=2,1,0))+IF(ISBLANK(E1326),0,IF(E1326&lt;12,1,0))</f>
        <v>4</v>
      </c>
      <c r="U1326" s="0" t="str">
        <f aca="false">IF((ISBLANK(B1326)*1+ISBLANK(C1326)*1+ISBLANK(D1326)*1+ISBLANK(E1326)*1+ISBLANK(F1326)*1+ISBLANK(I1326)*1+ISBLANK(J1326)*1+ISBLANK(K1326)*1+ISBLANK(L1326)*1+ISBLANK(M1326)*1+ISBLANK(N1326)*1+ISBLANK(O1326)*1)&gt;0,"Missing Data","OK")</f>
        <v>OK</v>
      </c>
      <c r="V1326" s="0" t="str">
        <f aca="false">IF(T1326&gt;=6,"High Risk",IF(T1326&gt;=3,"Medium Risk","Low Risk"))</f>
        <v>Medium Risk</v>
      </c>
    </row>
    <row r="1327" customFormat="false" ht="12.8" hidden="false" customHeight="false" outlineLevel="0" collapsed="false">
      <c r="A1327" s="1" t="s">
        <v>1357</v>
      </c>
      <c r="B1327" s="1" t="s">
        <v>29</v>
      </c>
      <c r="C1327" s="1" t="s">
        <v>24</v>
      </c>
      <c r="D1327" s="1" t="n">
        <v>40.55</v>
      </c>
      <c r="E1327" s="1" t="n">
        <v>44</v>
      </c>
      <c r="F1327" s="4" t="n">
        <v>45596</v>
      </c>
      <c r="G1327" s="1" t="s">
        <v>39</v>
      </c>
      <c r="H1327" s="1" t="n">
        <v>1</v>
      </c>
      <c r="I1327" s="1" t="n">
        <v>42.2</v>
      </c>
      <c r="J1327" s="1" t="n">
        <v>6</v>
      </c>
      <c r="K1327" s="1" t="n">
        <v>2</v>
      </c>
      <c r="L1327" s="1" t="n">
        <v>2</v>
      </c>
      <c r="M1327" s="1" t="n">
        <v>0</v>
      </c>
      <c r="N1327" s="1" t="n">
        <v>1784.2</v>
      </c>
      <c r="O1327" s="1" t="n">
        <v>0</v>
      </c>
      <c r="Q1327" s="4" t="n">
        <v>46293</v>
      </c>
      <c r="R1327" s="0" t="n">
        <f aca="false">IF(ISBLANK(F1327),"Missing",IFERROR(YEAR(F1327),"Missing"))</f>
        <v>2024</v>
      </c>
      <c r="S1327" s="0" t="str">
        <f aca="false">IF(ISBLANK(E1327),"Missing",IF(E1327&lt;6,"0-6mo",IF(E1327&lt;12,"6-12mo",IF(E1327&lt;24,"12-24mo","24mo+"))))</f>
        <v>24mo+</v>
      </c>
      <c r="T1327" s="0" t="n">
        <f aca="false">IF(ISBLANK(C1327),0,IF(C1327="Month-to-month",2,IF(C1327="One year",1,0)))+IF(ISBLANK(I1327),0,IF(I1327&lt;40,2,IF(I1327&lt;55,1,0)))+IF(ISBLANK(M1327),0,IF(M1327=1,3,0))+IF(ISBLANK(L1327),0,IF(L1327&gt;=2,1,0))+IF(ISBLANK(E1327),0,IF(E1327&lt;12,1,0))</f>
        <v>4</v>
      </c>
      <c r="U1327" s="0" t="str">
        <f aca="false">IF((ISBLANK(B1327)*1+ISBLANK(C1327)*1+ISBLANK(D1327)*1+ISBLANK(E1327)*1+ISBLANK(F1327)*1+ISBLANK(I1327)*1+ISBLANK(J1327)*1+ISBLANK(K1327)*1+ISBLANK(L1327)*1+ISBLANK(M1327)*1+ISBLANK(N1327)*1+ISBLANK(O1327)*1)&gt;0,"Missing Data","OK")</f>
        <v>OK</v>
      </c>
      <c r="V1327" s="0" t="str">
        <f aca="false">IF(T1327&gt;=6,"High Risk",IF(T1327&gt;=3,"Medium Risk","Low Risk"))</f>
        <v>Medium Risk</v>
      </c>
    </row>
    <row r="1328" customFormat="false" ht="12.8" hidden="false" customHeight="false" outlineLevel="0" collapsed="false">
      <c r="A1328" s="1" t="s">
        <v>1358</v>
      </c>
      <c r="B1328" s="1" t="s">
        <v>36</v>
      </c>
      <c r="C1328" s="1" t="s">
        <v>34</v>
      </c>
      <c r="D1328" s="1" t="n">
        <v>9.41</v>
      </c>
      <c r="E1328" s="1" t="n">
        <v>35</v>
      </c>
      <c r="F1328" s="4" t="n">
        <v>45598</v>
      </c>
      <c r="G1328" s="1" t="s">
        <v>25</v>
      </c>
      <c r="H1328" s="1" t="n">
        <v>0</v>
      </c>
      <c r="I1328" s="1" t="n">
        <v>73.4</v>
      </c>
      <c r="J1328" s="1" t="n">
        <v>22</v>
      </c>
      <c r="K1328" s="1" t="n">
        <v>6</v>
      </c>
      <c r="L1328" s="1" t="n">
        <v>2</v>
      </c>
      <c r="M1328" s="1" t="n">
        <v>0</v>
      </c>
      <c r="N1328" s="1" t="n">
        <v>329.35</v>
      </c>
      <c r="O1328" s="1" t="n">
        <v>1</v>
      </c>
      <c r="P1328" s="4" t="n">
        <v>46293</v>
      </c>
      <c r="Q1328" s="4" t="n">
        <v>46293</v>
      </c>
      <c r="R1328" s="0" t="n">
        <f aca="false">IF(ISBLANK(F1328),"Missing",IFERROR(YEAR(F1328),"Missing"))</f>
        <v>2024</v>
      </c>
      <c r="S1328" s="0" t="str">
        <f aca="false">IF(ISBLANK(E1328),"Missing",IF(E1328&lt;6,"0-6mo",IF(E1328&lt;12,"6-12mo",IF(E1328&lt;24,"12-24mo","24mo+"))))</f>
        <v>24mo+</v>
      </c>
      <c r="T1328" s="0" t="n">
        <f aca="false">IF(ISBLANK(C1328),0,IF(C1328="Month-to-month",2,IF(C1328="One year",1,0)))+IF(ISBLANK(I1328),0,IF(I1328&lt;40,2,IF(I1328&lt;55,1,0)))+IF(ISBLANK(M1328),0,IF(M1328=1,3,0))+IF(ISBLANK(L1328),0,IF(L1328&gt;=2,1,0))+IF(ISBLANK(E1328),0,IF(E1328&lt;12,1,0))</f>
        <v>2</v>
      </c>
      <c r="U1328" s="0" t="str">
        <f aca="false">IF((ISBLANK(B1328)*1+ISBLANK(C1328)*1+ISBLANK(D1328)*1+ISBLANK(E1328)*1+ISBLANK(F1328)*1+ISBLANK(I1328)*1+ISBLANK(J1328)*1+ISBLANK(K1328)*1+ISBLANK(L1328)*1+ISBLANK(M1328)*1+ISBLANK(N1328)*1+ISBLANK(O1328)*1)&gt;0,"Missing Data","OK")</f>
        <v>OK</v>
      </c>
      <c r="V1328" s="0" t="str">
        <f aca="false">IF(T1328&gt;=6,"High Risk",IF(T1328&gt;=3,"Medium Risk","Low Risk"))</f>
        <v>Low Risk</v>
      </c>
    </row>
    <row r="1329" customFormat="false" ht="12.8" hidden="false" customHeight="false" outlineLevel="0" collapsed="false">
      <c r="A1329" s="1" t="s">
        <v>1359</v>
      </c>
      <c r="B1329" s="1" t="s">
        <v>36</v>
      </c>
      <c r="C1329" s="1" t="s">
        <v>51</v>
      </c>
      <c r="D1329" s="1" t="n">
        <v>8.89</v>
      </c>
      <c r="E1329" s="1" t="n">
        <v>47</v>
      </c>
      <c r="F1329" s="4" t="n">
        <v>45598</v>
      </c>
      <c r="G1329" s="1" t="s">
        <v>39</v>
      </c>
      <c r="H1329" s="1" t="n">
        <v>0</v>
      </c>
      <c r="I1329" s="1" t="n">
        <v>82.4</v>
      </c>
      <c r="J1329" s="1" t="n">
        <v>20</v>
      </c>
      <c r="K1329" s="1" t="n">
        <v>8</v>
      </c>
      <c r="L1329" s="1" t="n">
        <v>0</v>
      </c>
      <c r="M1329" s="1" t="n">
        <v>0</v>
      </c>
      <c r="N1329" s="1" t="n">
        <v>417.83</v>
      </c>
      <c r="O1329" s="1" t="n">
        <v>0</v>
      </c>
      <c r="Q1329" s="4" t="n">
        <v>46293</v>
      </c>
      <c r="R1329" s="0" t="n">
        <f aca="false">IF(ISBLANK(F1329),"Missing",IFERROR(YEAR(F1329),"Missing"))</f>
        <v>2024</v>
      </c>
      <c r="S1329" s="0" t="str">
        <f aca="false">IF(ISBLANK(E1329),"Missing",IF(E1329&lt;6,"0-6mo",IF(E1329&lt;12,"6-12mo",IF(E1329&lt;24,"12-24mo","24mo+"))))</f>
        <v>24mo+</v>
      </c>
      <c r="T1329" s="0" t="n">
        <f aca="false">IF(ISBLANK(C1329),0,IF(C1329="Month-to-month",2,IF(C1329="One year",1,0)))+IF(ISBLANK(I1329),0,IF(I1329&lt;40,2,IF(I1329&lt;55,1,0)))+IF(ISBLANK(M1329),0,IF(M1329=1,3,0))+IF(ISBLANK(L1329),0,IF(L1329&gt;=2,1,0))+IF(ISBLANK(E1329),0,IF(E1329&lt;12,1,0))</f>
        <v>0</v>
      </c>
      <c r="U1329" s="0" t="str">
        <f aca="false">IF((ISBLANK(B1329)*1+ISBLANK(C1329)*1+ISBLANK(D1329)*1+ISBLANK(E1329)*1+ISBLANK(F1329)*1+ISBLANK(I1329)*1+ISBLANK(J1329)*1+ISBLANK(K1329)*1+ISBLANK(L1329)*1+ISBLANK(M1329)*1+ISBLANK(N1329)*1+ISBLANK(O1329)*1)&gt;0,"Missing Data","OK")</f>
        <v>OK</v>
      </c>
      <c r="V1329" s="0" t="str">
        <f aca="false">IF(T1329&gt;=6,"High Risk",IF(T1329&gt;=3,"Medium Risk","Low Risk"))</f>
        <v>Low Risk</v>
      </c>
    </row>
    <row r="1330" customFormat="false" ht="12.8" hidden="false" customHeight="false" outlineLevel="0" collapsed="false">
      <c r="A1330" s="1" t="s">
        <v>1360</v>
      </c>
      <c r="B1330" s="1" t="s">
        <v>29</v>
      </c>
      <c r="C1330" s="1" t="s">
        <v>24</v>
      </c>
      <c r="D1330" s="1" t="n">
        <v>41.98</v>
      </c>
      <c r="E1330" s="1" t="n">
        <v>3</v>
      </c>
      <c r="F1330" s="4" t="n">
        <v>45599</v>
      </c>
      <c r="G1330" s="1" t="s">
        <v>25</v>
      </c>
      <c r="H1330" s="1" t="n">
        <v>1</v>
      </c>
      <c r="I1330" s="1" t="n">
        <v>58.5</v>
      </c>
      <c r="J1330" s="1" t="n">
        <v>13</v>
      </c>
      <c r="K1330" s="1" t="n">
        <v>3</v>
      </c>
      <c r="L1330" s="1" t="n">
        <v>1</v>
      </c>
      <c r="M1330" s="1" t="n">
        <v>0</v>
      </c>
      <c r="N1330" s="1" t="n">
        <v>125.94</v>
      </c>
      <c r="O1330" s="1" t="n">
        <v>0</v>
      </c>
      <c r="Q1330" s="4" t="n">
        <v>45690</v>
      </c>
      <c r="R1330" s="0" t="n">
        <f aca="false">IF(ISBLANK(F1330),"Missing",IFERROR(YEAR(F1330),"Missing"))</f>
        <v>2024</v>
      </c>
      <c r="S1330" s="0" t="str">
        <f aca="false">IF(ISBLANK(E1330),"Missing",IF(E1330&lt;6,"0-6mo",IF(E1330&lt;12,"6-12mo",IF(E1330&lt;24,"12-24mo","24mo+"))))</f>
        <v>0-6mo</v>
      </c>
      <c r="T1330" s="0" t="n">
        <f aca="false">IF(ISBLANK(C1330),0,IF(C1330="Month-to-month",2,IF(C1330="One year",1,0)))+IF(ISBLANK(I1330),0,IF(I1330&lt;40,2,IF(I1330&lt;55,1,0)))+IF(ISBLANK(M1330),0,IF(M1330=1,3,0))+IF(ISBLANK(L1330),0,IF(L1330&gt;=2,1,0))+IF(ISBLANK(E1330),0,IF(E1330&lt;12,1,0))</f>
        <v>3</v>
      </c>
      <c r="U1330" s="0" t="str">
        <f aca="false">IF((ISBLANK(B1330)*1+ISBLANK(C1330)*1+ISBLANK(D1330)*1+ISBLANK(E1330)*1+ISBLANK(F1330)*1+ISBLANK(I1330)*1+ISBLANK(J1330)*1+ISBLANK(K1330)*1+ISBLANK(L1330)*1+ISBLANK(M1330)*1+ISBLANK(N1330)*1+ISBLANK(O1330)*1)&gt;0,"Missing Data","OK")</f>
        <v>OK</v>
      </c>
      <c r="V1330" s="0" t="str">
        <f aca="false">IF(T1330&gt;=6,"High Risk",IF(T1330&gt;=3,"Medium Risk","Low Risk"))</f>
        <v>Medium Risk</v>
      </c>
    </row>
    <row r="1331" customFormat="false" ht="12.8" hidden="false" customHeight="false" outlineLevel="0" collapsed="false">
      <c r="A1331" s="1" t="s">
        <v>1361</v>
      </c>
      <c r="B1331" s="1" t="s">
        <v>29</v>
      </c>
      <c r="C1331" s="1" t="s">
        <v>34</v>
      </c>
      <c r="D1331" s="1" t="n">
        <v>39.91</v>
      </c>
      <c r="E1331" s="1" t="n">
        <v>24</v>
      </c>
      <c r="F1331" s="4" t="n">
        <v>45600</v>
      </c>
      <c r="G1331" s="1" t="s">
        <v>25</v>
      </c>
      <c r="H1331" s="1" t="n">
        <v>0</v>
      </c>
      <c r="I1331" s="1" t="n">
        <v>47.4</v>
      </c>
      <c r="J1331" s="1" t="n">
        <v>12</v>
      </c>
      <c r="K1331" s="1" t="n">
        <v>5</v>
      </c>
      <c r="L1331" s="1" t="n">
        <v>3</v>
      </c>
      <c r="M1331" s="1" t="n">
        <v>0</v>
      </c>
      <c r="N1331" s="1" t="n">
        <v>957.84</v>
      </c>
      <c r="O1331" s="1" t="n">
        <v>1</v>
      </c>
      <c r="P1331" s="4" t="n">
        <v>46293</v>
      </c>
      <c r="Q1331" s="4" t="n">
        <v>46293</v>
      </c>
      <c r="R1331" s="0" t="n">
        <f aca="false">IF(ISBLANK(F1331),"Missing",IFERROR(YEAR(F1331),"Missing"))</f>
        <v>2024</v>
      </c>
      <c r="S1331" s="0" t="str">
        <f aca="false">IF(ISBLANK(E1331),"Missing",IF(E1331&lt;6,"0-6mo",IF(E1331&lt;12,"6-12mo",IF(E1331&lt;24,"12-24mo","24mo+"))))</f>
        <v>24mo+</v>
      </c>
      <c r="T1331" s="0" t="n">
        <f aca="false">IF(ISBLANK(C1331),0,IF(C1331="Month-to-month",2,IF(C1331="One year",1,0)))+IF(ISBLANK(I1331),0,IF(I1331&lt;40,2,IF(I1331&lt;55,1,0)))+IF(ISBLANK(M1331),0,IF(M1331=1,3,0))+IF(ISBLANK(L1331),0,IF(L1331&gt;=2,1,0))+IF(ISBLANK(E1331),0,IF(E1331&lt;12,1,0))</f>
        <v>3</v>
      </c>
      <c r="U1331" s="0" t="str">
        <f aca="false">IF((ISBLANK(B1331)*1+ISBLANK(C1331)*1+ISBLANK(D1331)*1+ISBLANK(E1331)*1+ISBLANK(F1331)*1+ISBLANK(I1331)*1+ISBLANK(J1331)*1+ISBLANK(K1331)*1+ISBLANK(L1331)*1+ISBLANK(M1331)*1+ISBLANK(N1331)*1+ISBLANK(O1331)*1)&gt;0,"Missing Data","OK")</f>
        <v>OK</v>
      </c>
      <c r="V1331" s="0" t="str">
        <f aca="false">IF(T1331&gt;=6,"High Risk",IF(T1331&gt;=3,"Medium Risk","Low Risk"))</f>
        <v>Medium Risk</v>
      </c>
    </row>
    <row r="1332" customFormat="false" ht="12.8" hidden="false" customHeight="false" outlineLevel="0" collapsed="false">
      <c r="A1332" s="1" t="s">
        <v>1362</v>
      </c>
      <c r="B1332" s="1" t="s">
        <v>23</v>
      </c>
      <c r="C1332" s="1" t="s">
        <v>34</v>
      </c>
      <c r="D1332" s="1" t="n">
        <v>19.98</v>
      </c>
      <c r="E1332" s="1" t="n">
        <v>22</v>
      </c>
      <c r="F1332" s="4" t="n">
        <v>45602</v>
      </c>
      <c r="G1332" s="1" t="s">
        <v>30</v>
      </c>
      <c r="H1332" s="1" t="n">
        <v>0</v>
      </c>
      <c r="I1332" s="1" t="n">
        <v>80.5</v>
      </c>
      <c r="J1332" s="1" t="n">
        <v>24</v>
      </c>
      <c r="K1332" s="1" t="n">
        <v>9</v>
      </c>
      <c r="L1332" s="1" t="n">
        <v>1</v>
      </c>
      <c r="M1332" s="1" t="n">
        <v>1</v>
      </c>
      <c r="N1332" s="1" t="n">
        <v>439.56</v>
      </c>
      <c r="O1332" s="1" t="n">
        <v>0</v>
      </c>
      <c r="Q1332" s="4" t="n">
        <v>46271</v>
      </c>
      <c r="R1332" s="0" t="n">
        <f aca="false">IF(ISBLANK(F1332),"Missing",IFERROR(YEAR(F1332),"Missing"))</f>
        <v>2024</v>
      </c>
      <c r="S1332" s="0" t="str">
        <f aca="false">IF(ISBLANK(E1332),"Missing",IF(E1332&lt;6,"0-6mo",IF(E1332&lt;12,"6-12mo",IF(E1332&lt;24,"12-24mo","24mo+"))))</f>
        <v>12-24mo</v>
      </c>
      <c r="T1332" s="0" t="n">
        <f aca="false">IF(ISBLANK(C1332),0,IF(C1332="Month-to-month",2,IF(C1332="One year",1,0)))+IF(ISBLANK(I1332),0,IF(I1332&lt;40,2,IF(I1332&lt;55,1,0)))+IF(ISBLANK(M1332),0,IF(M1332=1,3,0))+IF(ISBLANK(L1332),0,IF(L1332&gt;=2,1,0))+IF(ISBLANK(E1332),0,IF(E1332&lt;12,1,0))</f>
        <v>4</v>
      </c>
      <c r="U1332" s="0" t="str">
        <f aca="false">IF((ISBLANK(B1332)*1+ISBLANK(C1332)*1+ISBLANK(D1332)*1+ISBLANK(E1332)*1+ISBLANK(F1332)*1+ISBLANK(I1332)*1+ISBLANK(J1332)*1+ISBLANK(K1332)*1+ISBLANK(L1332)*1+ISBLANK(M1332)*1+ISBLANK(N1332)*1+ISBLANK(O1332)*1)&gt;0,"Missing Data","OK")</f>
        <v>OK</v>
      </c>
      <c r="V1332" s="0" t="str">
        <f aca="false">IF(T1332&gt;=6,"High Risk",IF(T1332&gt;=3,"Medium Risk","Low Risk"))</f>
        <v>Medium Risk</v>
      </c>
    </row>
    <row r="1333" customFormat="false" ht="12.8" hidden="false" customHeight="false" outlineLevel="0" collapsed="false">
      <c r="A1333" s="1" t="s">
        <v>1363</v>
      </c>
      <c r="B1333" s="1" t="s">
        <v>29</v>
      </c>
      <c r="C1333" s="1" t="s">
        <v>34</v>
      </c>
      <c r="D1333" s="1" t="n">
        <v>40.43</v>
      </c>
      <c r="E1333" s="1" t="n">
        <v>45</v>
      </c>
      <c r="F1333" s="4" t="n">
        <v>45602</v>
      </c>
      <c r="G1333" s="1" t="s">
        <v>39</v>
      </c>
      <c r="H1333" s="1" t="n">
        <v>0</v>
      </c>
      <c r="I1333" s="1" t="n">
        <v>39.8</v>
      </c>
      <c r="J1333" s="1" t="n">
        <v>13</v>
      </c>
      <c r="K1333" s="1" t="n">
        <v>4</v>
      </c>
      <c r="L1333" s="1" t="n">
        <v>2</v>
      </c>
      <c r="M1333" s="1" t="n">
        <v>0</v>
      </c>
      <c r="N1333" s="1" t="n">
        <v>1819.35</v>
      </c>
      <c r="O1333" s="1" t="n">
        <v>0</v>
      </c>
      <c r="Q1333" s="4" t="n">
        <v>46293</v>
      </c>
      <c r="R1333" s="0" t="n">
        <f aca="false">IF(ISBLANK(F1333),"Missing",IFERROR(YEAR(F1333),"Missing"))</f>
        <v>2024</v>
      </c>
      <c r="S1333" s="0" t="str">
        <f aca="false">IF(ISBLANK(E1333),"Missing",IF(E1333&lt;6,"0-6mo",IF(E1333&lt;12,"6-12mo",IF(E1333&lt;24,"12-24mo","24mo+"))))</f>
        <v>24mo+</v>
      </c>
      <c r="T1333" s="0" t="n">
        <f aca="false">IF(ISBLANK(C1333),0,IF(C1333="Month-to-month",2,IF(C1333="One year",1,0)))+IF(ISBLANK(I1333),0,IF(I1333&lt;40,2,IF(I1333&lt;55,1,0)))+IF(ISBLANK(M1333),0,IF(M1333=1,3,0))+IF(ISBLANK(L1333),0,IF(L1333&gt;=2,1,0))+IF(ISBLANK(E1333),0,IF(E1333&lt;12,1,0))</f>
        <v>4</v>
      </c>
      <c r="U1333" s="0" t="str">
        <f aca="false">IF((ISBLANK(B1333)*1+ISBLANK(C1333)*1+ISBLANK(D1333)*1+ISBLANK(E1333)*1+ISBLANK(F1333)*1+ISBLANK(I1333)*1+ISBLANK(J1333)*1+ISBLANK(K1333)*1+ISBLANK(L1333)*1+ISBLANK(M1333)*1+ISBLANK(N1333)*1+ISBLANK(O1333)*1)&gt;0,"Missing Data","OK")</f>
        <v>OK</v>
      </c>
      <c r="V1333" s="0" t="str">
        <f aca="false">IF(T1333&gt;=6,"High Risk",IF(T1333&gt;=3,"Medium Risk","Low Risk"))</f>
        <v>Medium Risk</v>
      </c>
    </row>
    <row r="1334" customFormat="false" ht="12.8" hidden="false" customHeight="false" outlineLevel="0" collapsed="false">
      <c r="A1334" s="1" t="s">
        <v>1364</v>
      </c>
      <c r="B1334" s="1" t="s">
        <v>23</v>
      </c>
      <c r="C1334" s="1" t="s">
        <v>34</v>
      </c>
      <c r="D1334" s="1" t="n">
        <v>20.49</v>
      </c>
      <c r="E1334" s="1" t="n">
        <v>9</v>
      </c>
      <c r="F1334" s="4" t="n">
        <v>45605</v>
      </c>
      <c r="G1334" s="1" t="s">
        <v>30</v>
      </c>
      <c r="H1334" s="1" t="n">
        <v>1</v>
      </c>
      <c r="I1334" s="1" t="n">
        <v>63</v>
      </c>
      <c r="J1334" s="1" t="n">
        <v>20</v>
      </c>
      <c r="K1334" s="1" t="n">
        <v>6</v>
      </c>
      <c r="L1334" s="1" t="n">
        <v>1</v>
      </c>
      <c r="M1334" s="1" t="n">
        <v>1</v>
      </c>
      <c r="N1334" s="1" t="n">
        <v>184.41</v>
      </c>
      <c r="O1334" s="1" t="n">
        <v>0</v>
      </c>
      <c r="Q1334" s="4" t="n">
        <v>45878</v>
      </c>
      <c r="R1334" s="0" t="n">
        <f aca="false">IF(ISBLANK(F1334),"Missing",IFERROR(YEAR(F1334),"Missing"))</f>
        <v>2024</v>
      </c>
      <c r="S1334" s="0" t="str">
        <f aca="false">IF(ISBLANK(E1334),"Missing",IF(E1334&lt;6,"0-6mo",IF(E1334&lt;12,"6-12mo",IF(E1334&lt;24,"12-24mo","24mo+"))))</f>
        <v>6-12mo</v>
      </c>
      <c r="T1334" s="0" t="n">
        <f aca="false">IF(ISBLANK(C1334),0,IF(C1334="Month-to-month",2,IF(C1334="One year",1,0)))+IF(ISBLANK(I1334),0,IF(I1334&lt;40,2,IF(I1334&lt;55,1,0)))+IF(ISBLANK(M1334),0,IF(M1334=1,3,0))+IF(ISBLANK(L1334),0,IF(L1334&gt;=2,1,0))+IF(ISBLANK(E1334),0,IF(E1334&lt;12,1,0))</f>
        <v>5</v>
      </c>
      <c r="U1334" s="0" t="str">
        <f aca="false">IF((ISBLANK(B1334)*1+ISBLANK(C1334)*1+ISBLANK(D1334)*1+ISBLANK(E1334)*1+ISBLANK(F1334)*1+ISBLANK(I1334)*1+ISBLANK(J1334)*1+ISBLANK(K1334)*1+ISBLANK(L1334)*1+ISBLANK(M1334)*1+ISBLANK(N1334)*1+ISBLANK(O1334)*1)&gt;0,"Missing Data","OK")</f>
        <v>OK</v>
      </c>
      <c r="V1334" s="0" t="str">
        <f aca="false">IF(T1334&gt;=6,"High Risk",IF(T1334&gt;=3,"Medium Risk","Low Risk"))</f>
        <v>Medium Risk</v>
      </c>
    </row>
    <row r="1335" customFormat="false" ht="12.8" hidden="false" customHeight="false" outlineLevel="0" collapsed="false">
      <c r="A1335" s="1" t="s">
        <v>1365</v>
      </c>
      <c r="B1335" s="1" t="s">
        <v>29</v>
      </c>
      <c r="C1335" s="1" t="s">
        <v>34</v>
      </c>
      <c r="D1335" s="1" t="n">
        <v>39.92</v>
      </c>
      <c r="E1335" s="1" t="n">
        <v>45</v>
      </c>
      <c r="F1335" s="4" t="n">
        <v>45605</v>
      </c>
      <c r="G1335" s="1" t="s">
        <v>25</v>
      </c>
      <c r="H1335" s="1" t="n">
        <v>1</v>
      </c>
      <c r="I1335" s="1" t="n">
        <v>56.2</v>
      </c>
      <c r="J1335" s="1" t="n">
        <v>17</v>
      </c>
      <c r="K1335" s="1" t="n">
        <v>5</v>
      </c>
      <c r="L1335" s="1" t="n">
        <v>1</v>
      </c>
      <c r="M1335" s="1" t="n">
        <v>0</v>
      </c>
      <c r="N1335" s="1" t="n">
        <v>1796.4</v>
      </c>
      <c r="O1335" s="1" t="n">
        <v>0</v>
      </c>
      <c r="Q1335" s="4" t="n">
        <v>46293</v>
      </c>
      <c r="R1335" s="0" t="n">
        <f aca="false">IF(ISBLANK(F1335),"Missing",IFERROR(YEAR(F1335),"Missing"))</f>
        <v>2024</v>
      </c>
      <c r="S1335" s="0" t="str">
        <f aca="false">IF(ISBLANK(E1335),"Missing",IF(E1335&lt;6,"0-6mo",IF(E1335&lt;12,"6-12mo",IF(E1335&lt;24,"12-24mo","24mo+"))))</f>
        <v>24mo+</v>
      </c>
      <c r="T1335" s="0" t="n">
        <f aca="false">IF(ISBLANK(C1335),0,IF(C1335="Month-to-month",2,IF(C1335="One year",1,0)))+IF(ISBLANK(I1335),0,IF(I1335&lt;40,2,IF(I1335&lt;55,1,0)))+IF(ISBLANK(M1335),0,IF(M1335=1,3,0))+IF(ISBLANK(L1335),0,IF(L1335&gt;=2,1,0))+IF(ISBLANK(E1335),0,IF(E1335&lt;12,1,0))</f>
        <v>1</v>
      </c>
      <c r="U1335" s="0" t="str">
        <f aca="false">IF((ISBLANK(B1335)*1+ISBLANK(C1335)*1+ISBLANK(D1335)*1+ISBLANK(E1335)*1+ISBLANK(F1335)*1+ISBLANK(I1335)*1+ISBLANK(J1335)*1+ISBLANK(K1335)*1+ISBLANK(L1335)*1+ISBLANK(M1335)*1+ISBLANK(N1335)*1+ISBLANK(O1335)*1)&gt;0,"Missing Data","OK")</f>
        <v>OK</v>
      </c>
      <c r="V1335" s="0" t="str">
        <f aca="false">IF(T1335&gt;=6,"High Risk",IF(T1335&gt;=3,"Medium Risk","Low Risk"))</f>
        <v>Low Risk</v>
      </c>
    </row>
    <row r="1336" customFormat="false" ht="12.8" hidden="false" customHeight="false" outlineLevel="0" collapsed="false">
      <c r="A1336" s="1" t="s">
        <v>1366</v>
      </c>
      <c r="B1336" s="1" t="s">
        <v>29</v>
      </c>
      <c r="C1336" s="1" t="s">
        <v>34</v>
      </c>
      <c r="D1336" s="1" t="n">
        <v>38.74</v>
      </c>
      <c r="E1336" s="1" t="n">
        <v>8</v>
      </c>
      <c r="F1336" s="4" t="n">
        <v>45607</v>
      </c>
      <c r="G1336" s="1" t="s">
        <v>39</v>
      </c>
      <c r="H1336" s="1" t="n">
        <v>0</v>
      </c>
      <c r="I1336" s="1" t="n">
        <v>74.3</v>
      </c>
      <c r="J1336" s="1" t="n">
        <v>15</v>
      </c>
      <c r="K1336" s="1" t="n">
        <v>8</v>
      </c>
      <c r="L1336" s="1" t="n">
        <v>1</v>
      </c>
      <c r="M1336" s="1" t="n">
        <v>0</v>
      </c>
      <c r="N1336" s="1" t="n">
        <v>309.92</v>
      </c>
      <c r="O1336" s="1" t="n">
        <v>0</v>
      </c>
      <c r="Q1336" s="4" t="n">
        <v>45850</v>
      </c>
      <c r="R1336" s="0" t="n">
        <f aca="false">IF(ISBLANK(F1336),"Missing",IFERROR(YEAR(F1336),"Missing"))</f>
        <v>2024</v>
      </c>
      <c r="S1336" s="0" t="str">
        <f aca="false">IF(ISBLANK(E1336),"Missing",IF(E1336&lt;6,"0-6mo",IF(E1336&lt;12,"6-12mo",IF(E1336&lt;24,"12-24mo","24mo+"))))</f>
        <v>6-12mo</v>
      </c>
      <c r="T1336" s="0" t="n">
        <f aca="false">IF(ISBLANK(C1336),0,IF(C1336="Month-to-month",2,IF(C1336="One year",1,0)))+IF(ISBLANK(I1336),0,IF(I1336&lt;40,2,IF(I1336&lt;55,1,0)))+IF(ISBLANK(M1336),0,IF(M1336=1,3,0))+IF(ISBLANK(L1336),0,IF(L1336&gt;=2,1,0))+IF(ISBLANK(E1336),0,IF(E1336&lt;12,1,0))</f>
        <v>2</v>
      </c>
      <c r="U1336" s="0" t="str">
        <f aca="false">IF((ISBLANK(B1336)*1+ISBLANK(C1336)*1+ISBLANK(D1336)*1+ISBLANK(E1336)*1+ISBLANK(F1336)*1+ISBLANK(I1336)*1+ISBLANK(J1336)*1+ISBLANK(K1336)*1+ISBLANK(L1336)*1+ISBLANK(M1336)*1+ISBLANK(N1336)*1+ISBLANK(O1336)*1)&gt;0,"Missing Data","OK")</f>
        <v>OK</v>
      </c>
      <c r="V1336" s="0" t="str">
        <f aca="false">IF(T1336&gt;=6,"High Risk",IF(T1336&gt;=3,"Medium Risk","Low Risk"))</f>
        <v>Low Risk</v>
      </c>
    </row>
    <row r="1337" customFormat="false" ht="12.8" hidden="false" customHeight="false" outlineLevel="0" collapsed="false">
      <c r="A1337" s="1" t="s">
        <v>1367</v>
      </c>
      <c r="B1337" s="1" t="s">
        <v>23</v>
      </c>
      <c r="C1337" s="1" t="s">
        <v>24</v>
      </c>
      <c r="D1337" s="1" t="n">
        <v>20.22</v>
      </c>
      <c r="E1337" s="1" t="n">
        <v>19</v>
      </c>
      <c r="F1337" s="4" t="n">
        <v>45610</v>
      </c>
      <c r="G1337" s="1" t="s">
        <v>30</v>
      </c>
      <c r="H1337" s="1" t="n">
        <v>1</v>
      </c>
      <c r="I1337" s="1" t="n">
        <v>74.8</v>
      </c>
      <c r="J1337" s="1" t="n">
        <v>22</v>
      </c>
      <c r="K1337" s="1" t="n">
        <v>7</v>
      </c>
      <c r="L1337" s="1" t="n">
        <v>1</v>
      </c>
      <c r="M1337" s="1" t="n">
        <v>0</v>
      </c>
      <c r="N1337" s="1" t="n">
        <v>384.18</v>
      </c>
      <c r="O1337" s="1" t="n">
        <v>0</v>
      </c>
      <c r="Q1337" s="4" t="n">
        <v>46188</v>
      </c>
      <c r="R1337" s="0" t="n">
        <f aca="false">IF(ISBLANK(F1337),"Missing",IFERROR(YEAR(F1337),"Missing"))</f>
        <v>2024</v>
      </c>
      <c r="S1337" s="0" t="str">
        <f aca="false">IF(ISBLANK(E1337),"Missing",IF(E1337&lt;6,"0-6mo",IF(E1337&lt;12,"6-12mo",IF(E1337&lt;24,"12-24mo","24mo+"))))</f>
        <v>12-24mo</v>
      </c>
      <c r="T1337" s="0" t="n">
        <f aca="false">IF(ISBLANK(C1337),0,IF(C1337="Month-to-month",2,IF(C1337="One year",1,0)))+IF(ISBLANK(I1337),0,IF(I1337&lt;40,2,IF(I1337&lt;55,1,0)))+IF(ISBLANK(M1337),0,IF(M1337=1,3,0))+IF(ISBLANK(L1337),0,IF(L1337&gt;=2,1,0))+IF(ISBLANK(E1337),0,IF(E1337&lt;12,1,0))</f>
        <v>2</v>
      </c>
      <c r="U1337" s="0" t="str">
        <f aca="false">IF((ISBLANK(B1337)*1+ISBLANK(C1337)*1+ISBLANK(D1337)*1+ISBLANK(E1337)*1+ISBLANK(F1337)*1+ISBLANK(I1337)*1+ISBLANK(J1337)*1+ISBLANK(K1337)*1+ISBLANK(L1337)*1+ISBLANK(M1337)*1+ISBLANK(N1337)*1+ISBLANK(O1337)*1)&gt;0,"Missing Data","OK")</f>
        <v>OK</v>
      </c>
      <c r="V1337" s="0" t="str">
        <f aca="false">IF(T1337&gt;=6,"High Risk",IF(T1337&gt;=3,"Medium Risk","Low Risk"))</f>
        <v>Low Risk</v>
      </c>
    </row>
    <row r="1338" customFormat="false" ht="12.8" hidden="false" customHeight="false" outlineLevel="0" collapsed="false">
      <c r="A1338" s="1" t="s">
        <v>1368</v>
      </c>
      <c r="B1338" s="1" t="s">
        <v>29</v>
      </c>
      <c r="C1338" s="1" t="s">
        <v>34</v>
      </c>
      <c r="D1338" s="1" t="n">
        <v>39.09</v>
      </c>
      <c r="E1338" s="1" t="n">
        <v>18</v>
      </c>
      <c r="F1338" s="4" t="n">
        <v>45610</v>
      </c>
      <c r="G1338" s="1" t="s">
        <v>25</v>
      </c>
      <c r="H1338" s="1" t="n">
        <v>1</v>
      </c>
      <c r="I1338" s="1" t="n">
        <v>61.7</v>
      </c>
      <c r="J1338" s="1" t="n">
        <v>21</v>
      </c>
      <c r="K1338" s="1" t="n">
        <v>6</v>
      </c>
      <c r="L1338" s="1" t="n">
        <v>1</v>
      </c>
      <c r="M1338" s="1" t="n">
        <v>0</v>
      </c>
      <c r="N1338" s="1" t="n">
        <v>703.62</v>
      </c>
      <c r="O1338" s="1" t="n">
        <v>0</v>
      </c>
      <c r="Q1338" s="4" t="n">
        <v>46157</v>
      </c>
      <c r="R1338" s="0" t="n">
        <f aca="false">IF(ISBLANK(F1338),"Missing",IFERROR(YEAR(F1338),"Missing"))</f>
        <v>2024</v>
      </c>
      <c r="S1338" s="0" t="str">
        <f aca="false">IF(ISBLANK(E1338),"Missing",IF(E1338&lt;6,"0-6mo",IF(E1338&lt;12,"6-12mo",IF(E1338&lt;24,"12-24mo","24mo+"))))</f>
        <v>12-24mo</v>
      </c>
      <c r="T1338" s="0" t="n">
        <f aca="false">IF(ISBLANK(C1338),0,IF(C1338="Month-to-month",2,IF(C1338="One year",1,0)))+IF(ISBLANK(I1338),0,IF(I1338&lt;40,2,IF(I1338&lt;55,1,0)))+IF(ISBLANK(M1338),0,IF(M1338=1,3,0))+IF(ISBLANK(L1338),0,IF(L1338&gt;=2,1,0))+IF(ISBLANK(E1338),0,IF(E1338&lt;12,1,0))</f>
        <v>1</v>
      </c>
      <c r="U1338" s="0" t="str">
        <f aca="false">IF((ISBLANK(B1338)*1+ISBLANK(C1338)*1+ISBLANK(D1338)*1+ISBLANK(E1338)*1+ISBLANK(F1338)*1+ISBLANK(I1338)*1+ISBLANK(J1338)*1+ISBLANK(K1338)*1+ISBLANK(L1338)*1+ISBLANK(M1338)*1+ISBLANK(N1338)*1+ISBLANK(O1338)*1)&gt;0,"Missing Data","OK")</f>
        <v>OK</v>
      </c>
      <c r="V1338" s="0" t="str">
        <f aca="false">IF(T1338&gt;=6,"High Risk",IF(T1338&gt;=3,"Medium Risk","Low Risk"))</f>
        <v>Low Risk</v>
      </c>
    </row>
    <row r="1339" customFormat="false" ht="12.8" hidden="false" customHeight="false" outlineLevel="0" collapsed="false">
      <c r="A1339" s="1" t="s">
        <v>1369</v>
      </c>
      <c r="B1339" s="1" t="s">
        <v>29</v>
      </c>
      <c r="C1339" s="1" t="s">
        <v>24</v>
      </c>
      <c r="D1339" s="1" t="n">
        <v>40.12</v>
      </c>
      <c r="E1339" s="1" t="n">
        <v>28</v>
      </c>
      <c r="F1339" s="4" t="n">
        <v>45611</v>
      </c>
      <c r="G1339" s="1" t="s">
        <v>27</v>
      </c>
      <c r="H1339" s="1" t="n">
        <v>0</v>
      </c>
      <c r="I1339" s="1" t="n">
        <v>79.7</v>
      </c>
      <c r="J1339" s="1" t="n">
        <v>26</v>
      </c>
      <c r="K1339" s="1" t="n">
        <v>7</v>
      </c>
      <c r="L1339" s="1" t="n">
        <v>1</v>
      </c>
      <c r="M1339" s="1" t="n">
        <v>0</v>
      </c>
      <c r="N1339" s="1" t="n">
        <v>1123.36</v>
      </c>
      <c r="O1339" s="1" t="n">
        <v>1</v>
      </c>
      <c r="P1339" s="4" t="n">
        <v>46293</v>
      </c>
      <c r="Q1339" s="4" t="n">
        <v>46293</v>
      </c>
      <c r="R1339" s="0" t="n">
        <f aca="false">IF(ISBLANK(F1339),"Missing",IFERROR(YEAR(F1339),"Missing"))</f>
        <v>2024</v>
      </c>
      <c r="S1339" s="0" t="str">
        <f aca="false">IF(ISBLANK(E1339),"Missing",IF(E1339&lt;6,"0-6mo",IF(E1339&lt;12,"6-12mo",IF(E1339&lt;24,"12-24mo","24mo+"))))</f>
        <v>24mo+</v>
      </c>
      <c r="T1339" s="0" t="n">
        <f aca="false">IF(ISBLANK(C1339),0,IF(C1339="Month-to-month",2,IF(C1339="One year",1,0)))+IF(ISBLANK(I1339),0,IF(I1339&lt;40,2,IF(I1339&lt;55,1,0)))+IF(ISBLANK(M1339),0,IF(M1339=1,3,0))+IF(ISBLANK(L1339),0,IF(L1339&gt;=2,1,0))+IF(ISBLANK(E1339),0,IF(E1339&lt;12,1,0))</f>
        <v>2</v>
      </c>
      <c r="U1339" s="0" t="str">
        <f aca="false">IF((ISBLANK(B1339)*1+ISBLANK(C1339)*1+ISBLANK(D1339)*1+ISBLANK(E1339)*1+ISBLANK(F1339)*1+ISBLANK(I1339)*1+ISBLANK(J1339)*1+ISBLANK(K1339)*1+ISBLANK(L1339)*1+ISBLANK(M1339)*1+ISBLANK(N1339)*1+ISBLANK(O1339)*1)&gt;0,"Missing Data","OK")</f>
        <v>OK</v>
      </c>
      <c r="V1339" s="0" t="str">
        <f aca="false">IF(T1339&gt;=6,"High Risk",IF(T1339&gt;=3,"Medium Risk","Low Risk"))</f>
        <v>Low Risk</v>
      </c>
    </row>
    <row r="1340" customFormat="false" ht="12.8" hidden="false" customHeight="false" outlineLevel="0" collapsed="false">
      <c r="A1340" s="1" t="s">
        <v>1370</v>
      </c>
      <c r="B1340" s="1" t="s">
        <v>36</v>
      </c>
      <c r="C1340" s="1" t="s">
        <v>24</v>
      </c>
      <c r="D1340" s="1" t="n">
        <v>9.21</v>
      </c>
      <c r="E1340" s="1" t="n">
        <v>4</v>
      </c>
      <c r="F1340" s="4" t="n">
        <v>45611</v>
      </c>
      <c r="G1340" s="1" t="s">
        <v>30</v>
      </c>
      <c r="H1340" s="1" t="n">
        <v>1</v>
      </c>
      <c r="I1340" s="1" t="n">
        <v>60</v>
      </c>
      <c r="J1340" s="1" t="n">
        <v>24</v>
      </c>
      <c r="K1340" s="1" t="n">
        <v>5</v>
      </c>
      <c r="L1340" s="1" t="n">
        <v>3</v>
      </c>
      <c r="M1340" s="1" t="n">
        <v>1</v>
      </c>
      <c r="N1340" s="1" t="n">
        <v>36.84</v>
      </c>
      <c r="O1340" s="1" t="n">
        <v>1</v>
      </c>
      <c r="P1340" s="4" t="n">
        <v>45732</v>
      </c>
      <c r="Q1340" s="4" t="n">
        <v>45732</v>
      </c>
      <c r="R1340" s="0" t="n">
        <f aca="false">IF(ISBLANK(F1340),"Missing",IFERROR(YEAR(F1340),"Missing"))</f>
        <v>2024</v>
      </c>
      <c r="S1340" s="0" t="str">
        <f aca="false">IF(ISBLANK(E1340),"Missing",IF(E1340&lt;6,"0-6mo",IF(E1340&lt;12,"6-12mo",IF(E1340&lt;24,"12-24mo","24mo+"))))</f>
        <v>0-6mo</v>
      </c>
      <c r="T1340" s="0" t="n">
        <f aca="false">IF(ISBLANK(C1340),0,IF(C1340="Month-to-month",2,IF(C1340="One year",1,0)))+IF(ISBLANK(I1340),0,IF(I1340&lt;40,2,IF(I1340&lt;55,1,0)))+IF(ISBLANK(M1340),0,IF(M1340=1,3,0))+IF(ISBLANK(L1340),0,IF(L1340&gt;=2,1,0))+IF(ISBLANK(E1340),0,IF(E1340&lt;12,1,0))</f>
        <v>7</v>
      </c>
      <c r="U1340" s="0" t="str">
        <f aca="false">IF((ISBLANK(B1340)*1+ISBLANK(C1340)*1+ISBLANK(D1340)*1+ISBLANK(E1340)*1+ISBLANK(F1340)*1+ISBLANK(I1340)*1+ISBLANK(J1340)*1+ISBLANK(K1340)*1+ISBLANK(L1340)*1+ISBLANK(M1340)*1+ISBLANK(N1340)*1+ISBLANK(O1340)*1)&gt;0,"Missing Data","OK")</f>
        <v>OK</v>
      </c>
      <c r="V1340" s="0" t="str">
        <f aca="false">IF(T1340&gt;=6,"High Risk",IF(T1340&gt;=3,"Medium Risk","Low Risk"))</f>
        <v>High Risk</v>
      </c>
    </row>
    <row r="1341" customFormat="false" ht="12.8" hidden="false" customHeight="false" outlineLevel="0" collapsed="false">
      <c r="A1341" s="1" t="s">
        <v>1371</v>
      </c>
      <c r="B1341" s="1" t="s">
        <v>29</v>
      </c>
      <c r="C1341" s="1" t="s">
        <v>24</v>
      </c>
      <c r="D1341" s="1" t="n">
        <v>40.39</v>
      </c>
      <c r="E1341" s="1" t="n">
        <v>2</v>
      </c>
      <c r="F1341" s="4" t="n">
        <v>45616</v>
      </c>
      <c r="G1341" s="1" t="s">
        <v>39</v>
      </c>
      <c r="H1341" s="1" t="n">
        <v>1</v>
      </c>
      <c r="I1341" s="1" t="n">
        <v>44.7</v>
      </c>
      <c r="J1341" s="1" t="n">
        <v>9</v>
      </c>
      <c r="K1341" s="1" t="n">
        <v>3</v>
      </c>
      <c r="L1341" s="1" t="n">
        <v>2</v>
      </c>
      <c r="M1341" s="1" t="n">
        <v>1</v>
      </c>
      <c r="N1341" s="1" t="n">
        <v>80.78</v>
      </c>
      <c r="O1341" s="1" t="n">
        <v>0</v>
      </c>
      <c r="Q1341" s="4" t="n">
        <v>45676</v>
      </c>
      <c r="R1341" s="0" t="n">
        <f aca="false">IF(ISBLANK(F1341),"Missing",IFERROR(YEAR(F1341),"Missing"))</f>
        <v>2024</v>
      </c>
      <c r="S1341" s="0" t="str">
        <f aca="false">IF(ISBLANK(E1341),"Missing",IF(E1341&lt;6,"0-6mo",IF(E1341&lt;12,"6-12mo",IF(E1341&lt;24,"12-24mo","24mo+"))))</f>
        <v>0-6mo</v>
      </c>
      <c r="T1341" s="0" t="n">
        <f aca="false">IF(ISBLANK(C1341),0,IF(C1341="Month-to-month",2,IF(C1341="One year",1,0)))+IF(ISBLANK(I1341),0,IF(I1341&lt;40,2,IF(I1341&lt;55,1,0)))+IF(ISBLANK(M1341),0,IF(M1341=1,3,0))+IF(ISBLANK(L1341),0,IF(L1341&gt;=2,1,0))+IF(ISBLANK(E1341),0,IF(E1341&lt;12,1,0))</f>
        <v>8</v>
      </c>
      <c r="U1341" s="0" t="str">
        <f aca="false">IF((ISBLANK(B1341)*1+ISBLANK(C1341)*1+ISBLANK(D1341)*1+ISBLANK(E1341)*1+ISBLANK(F1341)*1+ISBLANK(I1341)*1+ISBLANK(J1341)*1+ISBLANK(K1341)*1+ISBLANK(L1341)*1+ISBLANK(M1341)*1+ISBLANK(N1341)*1+ISBLANK(O1341)*1)&gt;0,"Missing Data","OK")</f>
        <v>OK</v>
      </c>
      <c r="V1341" s="0" t="str">
        <f aca="false">IF(T1341&gt;=6,"High Risk",IF(T1341&gt;=3,"Medium Risk","Low Risk"))</f>
        <v>High Risk</v>
      </c>
    </row>
    <row r="1342" customFormat="false" ht="12.8" hidden="false" customHeight="false" outlineLevel="0" collapsed="false">
      <c r="A1342" s="1" t="s">
        <v>1372</v>
      </c>
      <c r="B1342" s="1" t="s">
        <v>36</v>
      </c>
      <c r="C1342" s="1" t="s">
        <v>24</v>
      </c>
      <c r="D1342" s="1" t="n">
        <v>10.42</v>
      </c>
      <c r="E1342" s="1" t="n">
        <v>3</v>
      </c>
      <c r="F1342" s="4" t="n">
        <v>45616</v>
      </c>
      <c r="G1342" s="1" t="s">
        <v>39</v>
      </c>
      <c r="H1342" s="1" t="n">
        <v>1</v>
      </c>
      <c r="I1342" s="1" t="n">
        <v>49.9</v>
      </c>
      <c r="J1342" s="1" t="n">
        <v>16</v>
      </c>
      <c r="K1342" s="1" t="n">
        <v>7</v>
      </c>
      <c r="L1342" s="1" t="n">
        <v>1</v>
      </c>
      <c r="M1342" s="1" t="n">
        <v>0</v>
      </c>
      <c r="N1342" s="1" t="n">
        <v>31.26</v>
      </c>
      <c r="O1342" s="1" t="n">
        <v>0</v>
      </c>
      <c r="Q1342" s="4" t="n">
        <v>45707</v>
      </c>
      <c r="R1342" s="0" t="n">
        <f aca="false">IF(ISBLANK(F1342),"Missing",IFERROR(YEAR(F1342),"Missing"))</f>
        <v>2024</v>
      </c>
      <c r="S1342" s="0" t="str">
        <f aca="false">IF(ISBLANK(E1342),"Missing",IF(E1342&lt;6,"0-6mo",IF(E1342&lt;12,"6-12mo",IF(E1342&lt;24,"12-24mo","24mo+"))))</f>
        <v>0-6mo</v>
      </c>
      <c r="T1342" s="0" t="n">
        <f aca="false">IF(ISBLANK(C1342),0,IF(C1342="Month-to-month",2,IF(C1342="One year",1,0)))+IF(ISBLANK(I1342),0,IF(I1342&lt;40,2,IF(I1342&lt;55,1,0)))+IF(ISBLANK(M1342),0,IF(M1342=1,3,0))+IF(ISBLANK(L1342),0,IF(L1342&gt;=2,1,0))+IF(ISBLANK(E1342),0,IF(E1342&lt;12,1,0))</f>
        <v>4</v>
      </c>
      <c r="U1342" s="0" t="str">
        <f aca="false">IF((ISBLANK(B1342)*1+ISBLANK(C1342)*1+ISBLANK(D1342)*1+ISBLANK(E1342)*1+ISBLANK(F1342)*1+ISBLANK(I1342)*1+ISBLANK(J1342)*1+ISBLANK(K1342)*1+ISBLANK(L1342)*1+ISBLANK(M1342)*1+ISBLANK(N1342)*1+ISBLANK(O1342)*1)&gt;0,"Missing Data","OK")</f>
        <v>OK</v>
      </c>
      <c r="V1342" s="0" t="str">
        <f aca="false">IF(T1342&gt;=6,"High Risk",IF(T1342&gt;=3,"Medium Risk","Low Risk"))</f>
        <v>Medium Risk</v>
      </c>
    </row>
    <row r="1343" customFormat="false" ht="12.8" hidden="false" customHeight="false" outlineLevel="0" collapsed="false">
      <c r="A1343" s="1" t="s">
        <v>1373</v>
      </c>
      <c r="B1343" s="1" t="s">
        <v>36</v>
      </c>
      <c r="C1343" s="1" t="s">
        <v>51</v>
      </c>
      <c r="D1343" s="1" t="n">
        <v>10.28</v>
      </c>
      <c r="E1343" s="1" t="n">
        <v>58</v>
      </c>
      <c r="F1343" s="4" t="n">
        <v>45616</v>
      </c>
      <c r="G1343" s="1" t="s">
        <v>25</v>
      </c>
      <c r="H1343" s="1" t="n">
        <v>0</v>
      </c>
      <c r="I1343" s="1" t="n">
        <v>54.2</v>
      </c>
      <c r="J1343" s="1" t="n">
        <v>19</v>
      </c>
      <c r="K1343" s="1" t="n">
        <v>8</v>
      </c>
      <c r="L1343" s="1" t="n">
        <v>1</v>
      </c>
      <c r="M1343" s="1" t="n">
        <v>0</v>
      </c>
      <c r="N1343" s="1" t="n">
        <v>596.24</v>
      </c>
      <c r="O1343" s="1" t="n">
        <v>0</v>
      </c>
      <c r="Q1343" s="4" t="n">
        <v>46293</v>
      </c>
      <c r="R1343" s="0" t="n">
        <f aca="false">IF(ISBLANK(F1343),"Missing",IFERROR(YEAR(F1343),"Missing"))</f>
        <v>2024</v>
      </c>
      <c r="S1343" s="0" t="str">
        <f aca="false">IF(ISBLANK(E1343),"Missing",IF(E1343&lt;6,"0-6mo",IF(E1343&lt;12,"6-12mo",IF(E1343&lt;24,"12-24mo","24mo+"))))</f>
        <v>24mo+</v>
      </c>
      <c r="T1343" s="0" t="n">
        <f aca="false">IF(ISBLANK(C1343),0,IF(C1343="Month-to-month",2,IF(C1343="One year",1,0)))+IF(ISBLANK(I1343),0,IF(I1343&lt;40,2,IF(I1343&lt;55,1,0)))+IF(ISBLANK(M1343),0,IF(M1343=1,3,0))+IF(ISBLANK(L1343),0,IF(L1343&gt;=2,1,0))+IF(ISBLANK(E1343),0,IF(E1343&lt;12,1,0))</f>
        <v>1</v>
      </c>
      <c r="U1343" s="0" t="str">
        <f aca="false">IF((ISBLANK(B1343)*1+ISBLANK(C1343)*1+ISBLANK(D1343)*1+ISBLANK(E1343)*1+ISBLANK(F1343)*1+ISBLANK(I1343)*1+ISBLANK(J1343)*1+ISBLANK(K1343)*1+ISBLANK(L1343)*1+ISBLANK(M1343)*1+ISBLANK(N1343)*1+ISBLANK(O1343)*1)&gt;0,"Missing Data","OK")</f>
        <v>OK</v>
      </c>
      <c r="V1343" s="0" t="str">
        <f aca="false">IF(T1343&gt;=6,"High Risk",IF(T1343&gt;=3,"Medium Risk","Low Risk"))</f>
        <v>Low Risk</v>
      </c>
    </row>
    <row r="1344" customFormat="false" ht="12.8" hidden="false" customHeight="false" outlineLevel="0" collapsed="false">
      <c r="A1344" s="1" t="s">
        <v>1374</v>
      </c>
      <c r="B1344" s="1" t="s">
        <v>23</v>
      </c>
      <c r="C1344" s="1" t="s">
        <v>24</v>
      </c>
      <c r="D1344" s="1" t="n">
        <v>19.18</v>
      </c>
      <c r="E1344" s="1" t="n">
        <v>21</v>
      </c>
      <c r="F1344" s="4" t="n">
        <v>45619</v>
      </c>
      <c r="G1344" s="1" t="s">
        <v>25</v>
      </c>
      <c r="H1344" s="1" t="n">
        <v>1</v>
      </c>
      <c r="I1344" s="1" t="n">
        <v>60.6</v>
      </c>
      <c r="J1344" s="1" t="n">
        <v>19</v>
      </c>
      <c r="K1344" s="1" t="n">
        <v>8</v>
      </c>
      <c r="L1344" s="1" t="n">
        <v>1</v>
      </c>
      <c r="M1344" s="1" t="n">
        <v>0</v>
      </c>
      <c r="N1344" s="1" t="n">
        <v>402.78</v>
      </c>
      <c r="O1344" s="1" t="n">
        <v>0</v>
      </c>
      <c r="Q1344" s="4" t="n">
        <v>46258</v>
      </c>
      <c r="R1344" s="0" t="n">
        <f aca="false">IF(ISBLANK(F1344),"Missing",IFERROR(YEAR(F1344),"Missing"))</f>
        <v>2024</v>
      </c>
      <c r="S1344" s="0" t="str">
        <f aca="false">IF(ISBLANK(E1344),"Missing",IF(E1344&lt;6,"0-6mo",IF(E1344&lt;12,"6-12mo",IF(E1344&lt;24,"12-24mo","24mo+"))))</f>
        <v>12-24mo</v>
      </c>
      <c r="T1344" s="0" t="n">
        <f aca="false">IF(ISBLANK(C1344),0,IF(C1344="Month-to-month",2,IF(C1344="One year",1,0)))+IF(ISBLANK(I1344),0,IF(I1344&lt;40,2,IF(I1344&lt;55,1,0)))+IF(ISBLANK(M1344),0,IF(M1344=1,3,0))+IF(ISBLANK(L1344),0,IF(L1344&gt;=2,1,0))+IF(ISBLANK(E1344),0,IF(E1344&lt;12,1,0))</f>
        <v>2</v>
      </c>
      <c r="U1344" s="0" t="str">
        <f aca="false">IF((ISBLANK(B1344)*1+ISBLANK(C1344)*1+ISBLANK(D1344)*1+ISBLANK(E1344)*1+ISBLANK(F1344)*1+ISBLANK(I1344)*1+ISBLANK(J1344)*1+ISBLANK(K1344)*1+ISBLANK(L1344)*1+ISBLANK(M1344)*1+ISBLANK(N1344)*1+ISBLANK(O1344)*1)&gt;0,"Missing Data","OK")</f>
        <v>OK</v>
      </c>
      <c r="V1344" s="0" t="str">
        <f aca="false">IF(T1344&gt;=6,"High Risk",IF(T1344&gt;=3,"Medium Risk","Low Risk"))</f>
        <v>Low Risk</v>
      </c>
    </row>
    <row r="1345" customFormat="false" ht="12.8" hidden="false" customHeight="false" outlineLevel="0" collapsed="false">
      <c r="A1345" s="1" t="s">
        <v>1375</v>
      </c>
      <c r="B1345" s="1" t="s">
        <v>36</v>
      </c>
      <c r="C1345" s="1" t="s">
        <v>24</v>
      </c>
      <c r="D1345" s="1" t="n">
        <v>10.28</v>
      </c>
      <c r="E1345" s="1" t="n">
        <v>39</v>
      </c>
      <c r="F1345" s="4" t="n">
        <v>45620</v>
      </c>
      <c r="G1345" s="1" t="s">
        <v>39</v>
      </c>
      <c r="H1345" s="1" t="n">
        <v>1</v>
      </c>
      <c r="I1345" s="1" t="n">
        <v>19.4</v>
      </c>
      <c r="J1345" s="1" t="n">
        <v>4</v>
      </c>
      <c r="K1345" s="1" t="n">
        <v>1</v>
      </c>
      <c r="L1345" s="1" t="n">
        <v>2</v>
      </c>
      <c r="M1345" s="1" t="n">
        <v>0</v>
      </c>
      <c r="N1345" s="1" t="n">
        <v>400.92</v>
      </c>
      <c r="O1345" s="1" t="n">
        <v>1</v>
      </c>
      <c r="P1345" s="4" t="n">
        <v>46293</v>
      </c>
      <c r="Q1345" s="4" t="n">
        <v>46293</v>
      </c>
      <c r="R1345" s="0" t="n">
        <f aca="false">IF(ISBLANK(F1345),"Missing",IFERROR(YEAR(F1345),"Missing"))</f>
        <v>2024</v>
      </c>
      <c r="S1345" s="0" t="str">
        <f aca="false">IF(ISBLANK(E1345),"Missing",IF(E1345&lt;6,"0-6mo",IF(E1345&lt;12,"6-12mo",IF(E1345&lt;24,"12-24mo","24mo+"))))</f>
        <v>24mo+</v>
      </c>
      <c r="T1345" s="0" t="n">
        <f aca="false">IF(ISBLANK(C1345),0,IF(C1345="Month-to-month",2,IF(C1345="One year",1,0)))+IF(ISBLANK(I1345),0,IF(I1345&lt;40,2,IF(I1345&lt;55,1,0)))+IF(ISBLANK(M1345),0,IF(M1345=1,3,0))+IF(ISBLANK(L1345),0,IF(L1345&gt;=2,1,0))+IF(ISBLANK(E1345),0,IF(E1345&lt;12,1,0))</f>
        <v>5</v>
      </c>
      <c r="U1345" s="0" t="str">
        <f aca="false">IF((ISBLANK(B1345)*1+ISBLANK(C1345)*1+ISBLANK(D1345)*1+ISBLANK(E1345)*1+ISBLANK(F1345)*1+ISBLANK(I1345)*1+ISBLANK(J1345)*1+ISBLANK(K1345)*1+ISBLANK(L1345)*1+ISBLANK(M1345)*1+ISBLANK(N1345)*1+ISBLANK(O1345)*1)&gt;0,"Missing Data","OK")</f>
        <v>OK</v>
      </c>
      <c r="V1345" s="0" t="str">
        <f aca="false">IF(T1345&gt;=6,"High Risk",IF(T1345&gt;=3,"Medium Risk","Low Risk"))</f>
        <v>Medium Risk</v>
      </c>
    </row>
    <row r="1346" customFormat="false" ht="12.8" hidden="false" customHeight="false" outlineLevel="0" collapsed="false">
      <c r="A1346" s="1" t="s">
        <v>1376</v>
      </c>
      <c r="B1346" s="1" t="s">
        <v>23</v>
      </c>
      <c r="C1346" s="1" t="s">
        <v>34</v>
      </c>
      <c r="D1346" s="1" t="n">
        <v>19.03</v>
      </c>
      <c r="E1346" s="1" t="n">
        <v>20</v>
      </c>
      <c r="F1346" s="4" t="n">
        <v>45621</v>
      </c>
      <c r="G1346" s="1" t="s">
        <v>30</v>
      </c>
      <c r="H1346" s="1" t="n">
        <v>1</v>
      </c>
      <c r="I1346" s="1" t="n">
        <v>84.4</v>
      </c>
      <c r="J1346" s="1" t="n">
        <v>29</v>
      </c>
      <c r="K1346" s="1" t="n">
        <v>10</v>
      </c>
      <c r="L1346" s="1" t="n">
        <v>1</v>
      </c>
      <c r="M1346" s="1" t="n">
        <v>0</v>
      </c>
      <c r="N1346" s="1" t="n">
        <v>380.6</v>
      </c>
      <c r="O1346" s="1" t="n">
        <v>0</v>
      </c>
      <c r="Q1346" s="4" t="n">
        <v>46229</v>
      </c>
      <c r="R1346" s="0" t="n">
        <f aca="false">IF(ISBLANK(F1346),"Missing",IFERROR(YEAR(F1346),"Missing"))</f>
        <v>2024</v>
      </c>
      <c r="S1346" s="0" t="str">
        <f aca="false">IF(ISBLANK(E1346),"Missing",IF(E1346&lt;6,"0-6mo",IF(E1346&lt;12,"6-12mo",IF(E1346&lt;24,"12-24mo","24mo+"))))</f>
        <v>12-24mo</v>
      </c>
      <c r="T1346" s="0" t="n">
        <f aca="false">IF(ISBLANK(C1346),0,IF(C1346="Month-to-month",2,IF(C1346="One year",1,0)))+IF(ISBLANK(I1346),0,IF(I1346&lt;40,2,IF(I1346&lt;55,1,0)))+IF(ISBLANK(M1346),0,IF(M1346=1,3,0))+IF(ISBLANK(L1346),0,IF(L1346&gt;=2,1,0))+IF(ISBLANK(E1346),0,IF(E1346&lt;12,1,0))</f>
        <v>1</v>
      </c>
      <c r="U1346" s="0" t="str">
        <f aca="false">IF((ISBLANK(B1346)*1+ISBLANK(C1346)*1+ISBLANK(D1346)*1+ISBLANK(E1346)*1+ISBLANK(F1346)*1+ISBLANK(I1346)*1+ISBLANK(J1346)*1+ISBLANK(K1346)*1+ISBLANK(L1346)*1+ISBLANK(M1346)*1+ISBLANK(N1346)*1+ISBLANK(O1346)*1)&gt;0,"Missing Data","OK")</f>
        <v>OK</v>
      </c>
      <c r="V1346" s="0" t="str">
        <f aca="false">IF(T1346&gt;=6,"High Risk",IF(T1346&gt;=3,"Medium Risk","Low Risk"))</f>
        <v>Low Risk</v>
      </c>
    </row>
    <row r="1347" customFormat="false" ht="12.8" hidden="false" customHeight="false" outlineLevel="0" collapsed="false">
      <c r="A1347" s="1" t="s">
        <v>1377</v>
      </c>
      <c r="B1347" s="1" t="s">
        <v>23</v>
      </c>
      <c r="C1347" s="1" t="s">
        <v>24</v>
      </c>
      <c r="D1347" s="1" t="n">
        <v>20.3</v>
      </c>
      <c r="E1347" s="1" t="n">
        <v>0</v>
      </c>
      <c r="F1347" s="4" t="n">
        <v>45624</v>
      </c>
      <c r="G1347" s="1" t="s">
        <v>30</v>
      </c>
      <c r="H1347" s="1" t="n">
        <v>1</v>
      </c>
      <c r="I1347" s="1" t="n">
        <v>28.7</v>
      </c>
      <c r="J1347" s="1" t="n">
        <v>7</v>
      </c>
      <c r="K1347" s="1" t="n">
        <v>2</v>
      </c>
      <c r="L1347" s="1" t="n">
        <v>0</v>
      </c>
      <c r="M1347" s="1" t="n">
        <v>0</v>
      </c>
      <c r="N1347" s="1" t="n">
        <v>0</v>
      </c>
      <c r="O1347" s="1" t="n">
        <v>0</v>
      </c>
      <c r="Q1347" s="4" t="n">
        <v>45624</v>
      </c>
      <c r="R1347" s="0" t="n">
        <f aca="false">IF(ISBLANK(F1347),"Missing",IFERROR(YEAR(F1347),"Missing"))</f>
        <v>2024</v>
      </c>
      <c r="S1347" s="0" t="str">
        <f aca="false">IF(ISBLANK(E1347),"Missing",IF(E1347&lt;6,"0-6mo",IF(E1347&lt;12,"6-12mo",IF(E1347&lt;24,"12-24mo","24mo+"))))</f>
        <v>0-6mo</v>
      </c>
      <c r="T1347" s="0" t="n">
        <f aca="false">IF(ISBLANK(C1347),0,IF(C1347="Month-to-month",2,IF(C1347="One year",1,0)))+IF(ISBLANK(I1347),0,IF(I1347&lt;40,2,IF(I1347&lt;55,1,0)))+IF(ISBLANK(M1347),0,IF(M1347=1,3,0))+IF(ISBLANK(L1347),0,IF(L1347&gt;=2,1,0))+IF(ISBLANK(E1347),0,IF(E1347&lt;12,1,0))</f>
        <v>5</v>
      </c>
      <c r="U1347" s="0" t="str">
        <f aca="false">IF((ISBLANK(B1347)*1+ISBLANK(C1347)*1+ISBLANK(D1347)*1+ISBLANK(E1347)*1+ISBLANK(F1347)*1+ISBLANK(I1347)*1+ISBLANK(J1347)*1+ISBLANK(K1347)*1+ISBLANK(L1347)*1+ISBLANK(M1347)*1+ISBLANK(N1347)*1+ISBLANK(O1347)*1)&gt;0,"Missing Data","OK")</f>
        <v>OK</v>
      </c>
      <c r="V1347" s="0" t="str">
        <f aca="false">IF(T1347&gt;=6,"High Risk",IF(T1347&gt;=3,"Medium Risk","Low Risk"))</f>
        <v>Medium Risk</v>
      </c>
    </row>
    <row r="1348" customFormat="false" ht="12.8" hidden="false" customHeight="false" outlineLevel="0" collapsed="false">
      <c r="A1348" s="1" t="s">
        <v>1378</v>
      </c>
      <c r="B1348" s="1" t="s">
        <v>29</v>
      </c>
      <c r="C1348" s="1" t="s">
        <v>34</v>
      </c>
      <c r="D1348" s="1" t="n">
        <v>40.54</v>
      </c>
      <c r="E1348" s="1" t="n">
        <v>19</v>
      </c>
      <c r="F1348" s="4" t="n">
        <v>45630</v>
      </c>
      <c r="G1348" s="1" t="s">
        <v>27</v>
      </c>
      <c r="H1348" s="1" t="n">
        <v>0</v>
      </c>
      <c r="I1348" s="1" t="n">
        <v>72</v>
      </c>
      <c r="J1348" s="1" t="n">
        <v>20</v>
      </c>
      <c r="K1348" s="1" t="n">
        <v>4</v>
      </c>
      <c r="L1348" s="1" t="n">
        <v>0</v>
      </c>
      <c r="M1348" s="1" t="n">
        <v>0</v>
      </c>
      <c r="N1348" s="1" t="n">
        <v>770.26</v>
      </c>
      <c r="O1348" s="1" t="n">
        <v>0</v>
      </c>
      <c r="Q1348" s="4" t="n">
        <v>46208</v>
      </c>
      <c r="R1348" s="0" t="n">
        <f aca="false">IF(ISBLANK(F1348),"Missing",IFERROR(YEAR(F1348),"Missing"))</f>
        <v>2024</v>
      </c>
      <c r="S1348" s="0" t="str">
        <f aca="false">IF(ISBLANK(E1348),"Missing",IF(E1348&lt;6,"0-6mo",IF(E1348&lt;12,"6-12mo",IF(E1348&lt;24,"12-24mo","24mo+"))))</f>
        <v>12-24mo</v>
      </c>
      <c r="T1348" s="0" t="n">
        <f aca="false">IF(ISBLANK(C1348),0,IF(C1348="Month-to-month",2,IF(C1348="One year",1,0)))+IF(ISBLANK(I1348),0,IF(I1348&lt;40,2,IF(I1348&lt;55,1,0)))+IF(ISBLANK(M1348),0,IF(M1348=1,3,0))+IF(ISBLANK(L1348),0,IF(L1348&gt;=2,1,0))+IF(ISBLANK(E1348),0,IF(E1348&lt;12,1,0))</f>
        <v>1</v>
      </c>
      <c r="U1348" s="0" t="str">
        <f aca="false">IF((ISBLANK(B1348)*1+ISBLANK(C1348)*1+ISBLANK(D1348)*1+ISBLANK(E1348)*1+ISBLANK(F1348)*1+ISBLANK(I1348)*1+ISBLANK(J1348)*1+ISBLANK(K1348)*1+ISBLANK(L1348)*1+ISBLANK(M1348)*1+ISBLANK(N1348)*1+ISBLANK(O1348)*1)&gt;0,"Missing Data","OK")</f>
        <v>OK</v>
      </c>
      <c r="V1348" s="0" t="str">
        <f aca="false">IF(T1348&gt;=6,"High Risk",IF(T1348&gt;=3,"Medium Risk","Low Risk"))</f>
        <v>Low Risk</v>
      </c>
    </row>
    <row r="1349" customFormat="false" ht="12.8" hidden="false" customHeight="false" outlineLevel="0" collapsed="false">
      <c r="A1349" s="1" t="s">
        <v>1379</v>
      </c>
      <c r="B1349" s="1" t="s">
        <v>36</v>
      </c>
      <c r="C1349" s="1" t="s">
        <v>34</v>
      </c>
      <c r="D1349" s="1" t="n">
        <v>9.52</v>
      </c>
      <c r="E1349" s="1" t="n">
        <v>0</v>
      </c>
      <c r="F1349" s="4" t="n">
        <v>45630</v>
      </c>
      <c r="G1349" s="1" t="s">
        <v>39</v>
      </c>
      <c r="H1349" s="1" t="n">
        <v>1</v>
      </c>
      <c r="I1349" s="1" t="n">
        <v>93.2</v>
      </c>
      <c r="J1349" s="1" t="n">
        <v>25</v>
      </c>
      <c r="K1349" s="1" t="n">
        <v>10</v>
      </c>
      <c r="L1349" s="1" t="n">
        <v>0</v>
      </c>
      <c r="M1349" s="1" t="n">
        <v>0</v>
      </c>
      <c r="N1349" s="1" t="n">
        <v>0</v>
      </c>
      <c r="O1349" s="1" t="n">
        <v>0</v>
      </c>
      <c r="Q1349" s="4" t="n">
        <v>45630</v>
      </c>
      <c r="R1349" s="0" t="n">
        <f aca="false">IF(ISBLANK(F1349),"Missing",IFERROR(YEAR(F1349),"Missing"))</f>
        <v>2024</v>
      </c>
      <c r="S1349" s="0" t="str">
        <f aca="false">IF(ISBLANK(E1349),"Missing",IF(E1349&lt;6,"0-6mo",IF(E1349&lt;12,"6-12mo",IF(E1349&lt;24,"12-24mo","24mo+"))))</f>
        <v>0-6mo</v>
      </c>
      <c r="T1349" s="0" t="n">
        <f aca="false">IF(ISBLANK(C1349),0,IF(C1349="Month-to-month",2,IF(C1349="One year",1,0)))+IF(ISBLANK(I1349),0,IF(I1349&lt;40,2,IF(I1349&lt;55,1,0)))+IF(ISBLANK(M1349),0,IF(M1349=1,3,0))+IF(ISBLANK(L1349),0,IF(L1349&gt;=2,1,0))+IF(ISBLANK(E1349),0,IF(E1349&lt;12,1,0))</f>
        <v>2</v>
      </c>
      <c r="U1349" s="0" t="str">
        <f aca="false">IF((ISBLANK(B1349)*1+ISBLANK(C1349)*1+ISBLANK(D1349)*1+ISBLANK(E1349)*1+ISBLANK(F1349)*1+ISBLANK(I1349)*1+ISBLANK(J1349)*1+ISBLANK(K1349)*1+ISBLANK(L1349)*1+ISBLANK(M1349)*1+ISBLANK(N1349)*1+ISBLANK(O1349)*1)&gt;0,"Missing Data","OK")</f>
        <v>OK</v>
      </c>
      <c r="V1349" s="0" t="str">
        <f aca="false">IF(T1349&gt;=6,"High Risk",IF(T1349&gt;=3,"Medium Risk","Low Risk"))</f>
        <v>Low Risk</v>
      </c>
    </row>
    <row r="1350" customFormat="false" ht="12.8" hidden="false" customHeight="false" outlineLevel="0" collapsed="false">
      <c r="A1350" s="1" t="s">
        <v>1380</v>
      </c>
      <c r="B1350" s="1" t="s">
        <v>36</v>
      </c>
      <c r="C1350" s="1" t="s">
        <v>24</v>
      </c>
      <c r="D1350" s="1" t="n">
        <v>10.54</v>
      </c>
      <c r="E1350" s="1" t="n">
        <v>8</v>
      </c>
      <c r="F1350" s="4" t="n">
        <v>45631</v>
      </c>
      <c r="G1350" s="1" t="s">
        <v>30</v>
      </c>
      <c r="H1350" s="1" t="n">
        <v>1</v>
      </c>
      <c r="I1350" s="1" t="n">
        <v>56.1</v>
      </c>
      <c r="J1350" s="1" t="n">
        <v>19</v>
      </c>
      <c r="K1350" s="1" t="n">
        <v>3</v>
      </c>
      <c r="L1350" s="1" t="n">
        <v>1</v>
      </c>
      <c r="M1350" s="1" t="n">
        <v>0</v>
      </c>
      <c r="N1350" s="1" t="n">
        <v>84.32</v>
      </c>
      <c r="O1350" s="1" t="n">
        <v>0</v>
      </c>
      <c r="Q1350" s="4" t="n">
        <v>45874</v>
      </c>
      <c r="R1350" s="0" t="n">
        <f aca="false">IF(ISBLANK(F1350),"Missing",IFERROR(YEAR(F1350),"Missing"))</f>
        <v>2024</v>
      </c>
      <c r="S1350" s="0" t="str">
        <f aca="false">IF(ISBLANK(E1350),"Missing",IF(E1350&lt;6,"0-6mo",IF(E1350&lt;12,"6-12mo",IF(E1350&lt;24,"12-24mo","24mo+"))))</f>
        <v>6-12mo</v>
      </c>
      <c r="T1350" s="0" t="n">
        <f aca="false">IF(ISBLANK(C1350),0,IF(C1350="Month-to-month",2,IF(C1350="One year",1,0)))+IF(ISBLANK(I1350),0,IF(I1350&lt;40,2,IF(I1350&lt;55,1,0)))+IF(ISBLANK(M1350),0,IF(M1350=1,3,0))+IF(ISBLANK(L1350),0,IF(L1350&gt;=2,1,0))+IF(ISBLANK(E1350),0,IF(E1350&lt;12,1,0))</f>
        <v>3</v>
      </c>
      <c r="U1350" s="0" t="str">
        <f aca="false">IF((ISBLANK(B1350)*1+ISBLANK(C1350)*1+ISBLANK(D1350)*1+ISBLANK(E1350)*1+ISBLANK(F1350)*1+ISBLANK(I1350)*1+ISBLANK(J1350)*1+ISBLANK(K1350)*1+ISBLANK(L1350)*1+ISBLANK(M1350)*1+ISBLANK(N1350)*1+ISBLANK(O1350)*1)&gt;0,"Missing Data","OK")</f>
        <v>OK</v>
      </c>
      <c r="V1350" s="0" t="str">
        <f aca="false">IF(T1350&gt;=6,"High Risk",IF(T1350&gt;=3,"Medium Risk","Low Risk"))</f>
        <v>Medium Risk</v>
      </c>
    </row>
    <row r="1351" customFormat="false" ht="12.8" hidden="false" customHeight="false" outlineLevel="0" collapsed="false">
      <c r="A1351" s="1" t="s">
        <v>1381</v>
      </c>
      <c r="B1351" s="1" t="s">
        <v>29</v>
      </c>
      <c r="C1351" s="1" t="s">
        <v>24</v>
      </c>
      <c r="D1351" s="1" t="n">
        <v>39.94</v>
      </c>
      <c r="E1351" s="1" t="n">
        <v>3</v>
      </c>
      <c r="F1351" s="4" t="n">
        <v>45631</v>
      </c>
      <c r="G1351" s="1" t="s">
        <v>30</v>
      </c>
      <c r="H1351" s="1" t="n">
        <v>1</v>
      </c>
      <c r="I1351" s="1" t="n">
        <v>53.8</v>
      </c>
      <c r="J1351" s="1" t="n">
        <v>13</v>
      </c>
      <c r="K1351" s="1" t="n">
        <v>4</v>
      </c>
      <c r="L1351" s="1" t="n">
        <v>2</v>
      </c>
      <c r="M1351" s="1" t="n">
        <v>0</v>
      </c>
      <c r="N1351" s="1" t="n">
        <v>119.82</v>
      </c>
      <c r="O1351" s="1" t="n">
        <v>0</v>
      </c>
      <c r="Q1351" s="4" t="n">
        <v>45722</v>
      </c>
      <c r="R1351" s="0" t="n">
        <f aca="false">IF(ISBLANK(F1351),"Missing",IFERROR(YEAR(F1351),"Missing"))</f>
        <v>2024</v>
      </c>
      <c r="S1351" s="0" t="str">
        <f aca="false">IF(ISBLANK(E1351),"Missing",IF(E1351&lt;6,"0-6mo",IF(E1351&lt;12,"6-12mo",IF(E1351&lt;24,"12-24mo","24mo+"))))</f>
        <v>0-6mo</v>
      </c>
      <c r="T1351" s="0" t="n">
        <f aca="false">IF(ISBLANK(C1351),0,IF(C1351="Month-to-month",2,IF(C1351="One year",1,0)))+IF(ISBLANK(I1351),0,IF(I1351&lt;40,2,IF(I1351&lt;55,1,0)))+IF(ISBLANK(M1351),0,IF(M1351=1,3,0))+IF(ISBLANK(L1351),0,IF(L1351&gt;=2,1,0))+IF(ISBLANK(E1351),0,IF(E1351&lt;12,1,0))</f>
        <v>5</v>
      </c>
      <c r="U1351" s="0" t="str">
        <f aca="false">IF((ISBLANK(B1351)*1+ISBLANK(C1351)*1+ISBLANK(D1351)*1+ISBLANK(E1351)*1+ISBLANK(F1351)*1+ISBLANK(I1351)*1+ISBLANK(J1351)*1+ISBLANK(K1351)*1+ISBLANK(L1351)*1+ISBLANK(M1351)*1+ISBLANK(N1351)*1+ISBLANK(O1351)*1)&gt;0,"Missing Data","OK")</f>
        <v>OK</v>
      </c>
      <c r="V1351" s="0" t="str">
        <f aca="false">IF(T1351&gt;=6,"High Risk",IF(T1351&gt;=3,"Medium Risk","Low Risk"))</f>
        <v>Medium Risk</v>
      </c>
    </row>
    <row r="1352" customFormat="false" ht="12.8" hidden="false" customHeight="false" outlineLevel="0" collapsed="false">
      <c r="A1352" s="1" t="s">
        <v>1382</v>
      </c>
      <c r="B1352" s="1" t="s">
        <v>23</v>
      </c>
      <c r="C1352" s="1" t="s">
        <v>34</v>
      </c>
      <c r="D1352" s="1" t="n">
        <v>20.49</v>
      </c>
      <c r="E1352" s="1" t="n">
        <v>6</v>
      </c>
      <c r="F1352" s="4" t="n">
        <v>45632</v>
      </c>
      <c r="G1352" s="1" t="s">
        <v>25</v>
      </c>
      <c r="H1352" s="1" t="n">
        <v>0</v>
      </c>
      <c r="I1352" s="1" t="n">
        <v>0</v>
      </c>
      <c r="J1352" s="1" t="n">
        <v>0</v>
      </c>
      <c r="K1352" s="1" t="n">
        <v>2</v>
      </c>
      <c r="L1352" s="1" t="n">
        <v>3</v>
      </c>
      <c r="M1352" s="1" t="n">
        <v>1</v>
      </c>
      <c r="N1352" s="1" t="n">
        <v>122.94</v>
      </c>
      <c r="O1352" s="1" t="n">
        <v>0</v>
      </c>
      <c r="Q1352" s="4" t="n">
        <v>45814</v>
      </c>
      <c r="R1352" s="0" t="n">
        <f aca="false">IF(ISBLANK(F1352),"Missing",IFERROR(YEAR(F1352),"Missing"))</f>
        <v>2024</v>
      </c>
      <c r="S1352" s="0" t="str">
        <f aca="false">IF(ISBLANK(E1352),"Missing",IF(E1352&lt;6,"0-6mo",IF(E1352&lt;12,"6-12mo",IF(E1352&lt;24,"12-24mo","24mo+"))))</f>
        <v>6-12mo</v>
      </c>
      <c r="T1352" s="0" t="n">
        <f aca="false">IF(ISBLANK(C1352),0,IF(C1352="Month-to-month",2,IF(C1352="One year",1,0)))+IF(ISBLANK(I1352),0,IF(I1352&lt;40,2,IF(I1352&lt;55,1,0)))+IF(ISBLANK(M1352),0,IF(M1352=1,3,0))+IF(ISBLANK(L1352),0,IF(L1352&gt;=2,1,0))+IF(ISBLANK(E1352),0,IF(E1352&lt;12,1,0))</f>
        <v>8</v>
      </c>
      <c r="U1352" s="0" t="str">
        <f aca="false">IF((ISBLANK(B1352)*1+ISBLANK(C1352)*1+ISBLANK(D1352)*1+ISBLANK(E1352)*1+ISBLANK(F1352)*1+ISBLANK(I1352)*1+ISBLANK(J1352)*1+ISBLANK(K1352)*1+ISBLANK(L1352)*1+ISBLANK(M1352)*1+ISBLANK(N1352)*1+ISBLANK(O1352)*1)&gt;0,"Missing Data","OK")</f>
        <v>OK</v>
      </c>
      <c r="V1352" s="0" t="str">
        <f aca="false">IF(T1352&gt;=6,"High Risk",IF(T1352&gt;=3,"Medium Risk","Low Risk"))</f>
        <v>High Risk</v>
      </c>
    </row>
    <row r="1353" customFormat="false" ht="12.8" hidden="false" customHeight="false" outlineLevel="0" collapsed="false">
      <c r="A1353" s="1" t="s">
        <v>1383</v>
      </c>
      <c r="B1353" s="1" t="s">
        <v>23</v>
      </c>
      <c r="C1353" s="1" t="s">
        <v>24</v>
      </c>
      <c r="D1353" s="1" t="n">
        <v>19.7</v>
      </c>
      <c r="E1353" s="1" t="n">
        <v>7</v>
      </c>
      <c r="F1353" s="4" t="n">
        <v>45633</v>
      </c>
      <c r="G1353" s="1" t="s">
        <v>25</v>
      </c>
      <c r="H1353" s="1" t="n">
        <v>1</v>
      </c>
      <c r="I1353" s="1" t="n">
        <v>60.1</v>
      </c>
      <c r="J1353" s="1" t="n">
        <v>20</v>
      </c>
      <c r="K1353" s="1" t="n">
        <v>8</v>
      </c>
      <c r="L1353" s="1" t="n">
        <v>1</v>
      </c>
      <c r="M1353" s="1" t="n">
        <v>0</v>
      </c>
      <c r="N1353" s="1" t="n">
        <v>137.9</v>
      </c>
      <c r="O1353" s="1" t="n">
        <v>0</v>
      </c>
      <c r="Q1353" s="4" t="n">
        <v>45846</v>
      </c>
      <c r="R1353" s="0" t="n">
        <f aca="false">IF(ISBLANK(F1353),"Missing",IFERROR(YEAR(F1353),"Missing"))</f>
        <v>2024</v>
      </c>
      <c r="S1353" s="0" t="str">
        <f aca="false">IF(ISBLANK(E1353),"Missing",IF(E1353&lt;6,"0-6mo",IF(E1353&lt;12,"6-12mo",IF(E1353&lt;24,"12-24mo","24mo+"))))</f>
        <v>6-12mo</v>
      </c>
      <c r="T1353" s="0" t="n">
        <f aca="false">IF(ISBLANK(C1353),0,IF(C1353="Month-to-month",2,IF(C1353="One year",1,0)))+IF(ISBLANK(I1353),0,IF(I1353&lt;40,2,IF(I1353&lt;55,1,0)))+IF(ISBLANK(M1353),0,IF(M1353=1,3,0))+IF(ISBLANK(L1353),0,IF(L1353&gt;=2,1,0))+IF(ISBLANK(E1353),0,IF(E1353&lt;12,1,0))</f>
        <v>3</v>
      </c>
      <c r="U1353" s="0" t="str">
        <f aca="false">IF((ISBLANK(B1353)*1+ISBLANK(C1353)*1+ISBLANK(D1353)*1+ISBLANK(E1353)*1+ISBLANK(F1353)*1+ISBLANK(I1353)*1+ISBLANK(J1353)*1+ISBLANK(K1353)*1+ISBLANK(L1353)*1+ISBLANK(M1353)*1+ISBLANK(N1353)*1+ISBLANK(O1353)*1)&gt;0,"Missing Data","OK")</f>
        <v>OK</v>
      </c>
      <c r="V1353" s="0" t="str">
        <f aca="false">IF(T1353&gt;=6,"High Risk",IF(T1353&gt;=3,"Medium Risk","Low Risk"))</f>
        <v>Medium Risk</v>
      </c>
    </row>
    <row r="1354" customFormat="false" ht="12.8" hidden="false" customHeight="false" outlineLevel="0" collapsed="false">
      <c r="A1354" s="1" t="s">
        <v>1384</v>
      </c>
      <c r="B1354" s="1" t="s">
        <v>29</v>
      </c>
      <c r="C1354" s="1" t="s">
        <v>24</v>
      </c>
      <c r="D1354" s="1" t="n">
        <v>39.68</v>
      </c>
      <c r="E1354" s="1" t="n">
        <v>16</v>
      </c>
      <c r="F1354" s="4" t="n">
        <v>45633</v>
      </c>
      <c r="G1354" s="1" t="s">
        <v>39</v>
      </c>
      <c r="H1354" s="1" t="n">
        <v>1</v>
      </c>
      <c r="I1354" s="1" t="n">
        <v>16.7</v>
      </c>
      <c r="J1354" s="1" t="n">
        <v>0</v>
      </c>
      <c r="K1354" s="1" t="n">
        <v>3</v>
      </c>
      <c r="L1354" s="1" t="n">
        <v>3</v>
      </c>
      <c r="M1354" s="1" t="n">
        <v>0</v>
      </c>
      <c r="N1354" s="1" t="n">
        <v>634.88</v>
      </c>
      <c r="O1354" s="1" t="n">
        <v>1</v>
      </c>
      <c r="P1354" s="4" t="n">
        <v>46120</v>
      </c>
      <c r="Q1354" s="4" t="n">
        <v>46120</v>
      </c>
      <c r="R1354" s="0" t="n">
        <f aca="false">IF(ISBLANK(F1354),"Missing",IFERROR(YEAR(F1354),"Missing"))</f>
        <v>2024</v>
      </c>
      <c r="S1354" s="0" t="str">
        <f aca="false">IF(ISBLANK(E1354),"Missing",IF(E1354&lt;6,"0-6mo",IF(E1354&lt;12,"6-12mo",IF(E1354&lt;24,"12-24mo","24mo+"))))</f>
        <v>12-24mo</v>
      </c>
      <c r="T1354" s="0" t="n">
        <f aca="false">IF(ISBLANK(C1354),0,IF(C1354="Month-to-month",2,IF(C1354="One year",1,0)))+IF(ISBLANK(I1354),0,IF(I1354&lt;40,2,IF(I1354&lt;55,1,0)))+IF(ISBLANK(M1354),0,IF(M1354=1,3,0))+IF(ISBLANK(L1354),0,IF(L1354&gt;=2,1,0))+IF(ISBLANK(E1354),0,IF(E1354&lt;12,1,0))</f>
        <v>5</v>
      </c>
      <c r="U1354" s="0" t="str">
        <f aca="false">IF((ISBLANK(B1354)*1+ISBLANK(C1354)*1+ISBLANK(D1354)*1+ISBLANK(E1354)*1+ISBLANK(F1354)*1+ISBLANK(I1354)*1+ISBLANK(J1354)*1+ISBLANK(K1354)*1+ISBLANK(L1354)*1+ISBLANK(M1354)*1+ISBLANK(N1354)*1+ISBLANK(O1354)*1)&gt;0,"Missing Data","OK")</f>
        <v>OK</v>
      </c>
      <c r="V1354" s="0" t="str">
        <f aca="false">IF(T1354&gt;=6,"High Risk",IF(T1354&gt;=3,"Medium Risk","Low Risk"))</f>
        <v>Medium Risk</v>
      </c>
    </row>
    <row r="1355" customFormat="false" ht="12.8" hidden="false" customHeight="false" outlineLevel="0" collapsed="false">
      <c r="A1355" s="1" t="s">
        <v>1385</v>
      </c>
      <c r="B1355" s="1" t="s">
        <v>23</v>
      </c>
      <c r="C1355" s="1" t="s">
        <v>24</v>
      </c>
      <c r="D1355" s="1" t="n">
        <v>19.85</v>
      </c>
      <c r="E1355" s="1" t="n">
        <v>1</v>
      </c>
      <c r="F1355" s="4" t="n">
        <v>45634</v>
      </c>
      <c r="G1355" s="1" t="s">
        <v>27</v>
      </c>
      <c r="H1355" s="1" t="n">
        <v>1</v>
      </c>
      <c r="I1355" s="1" t="n">
        <v>85.8</v>
      </c>
      <c r="J1355" s="1" t="n">
        <v>34</v>
      </c>
      <c r="K1355" s="1" t="n">
        <v>9</v>
      </c>
      <c r="L1355" s="1" t="n">
        <v>1</v>
      </c>
      <c r="M1355" s="1" t="n">
        <v>1</v>
      </c>
      <c r="N1355" s="1" t="n">
        <v>19.85</v>
      </c>
      <c r="O1355" s="1" t="n">
        <v>0</v>
      </c>
      <c r="Q1355" s="4" t="n">
        <v>45664</v>
      </c>
      <c r="R1355" s="0" t="n">
        <f aca="false">IF(ISBLANK(F1355),"Missing",IFERROR(YEAR(F1355),"Missing"))</f>
        <v>2024</v>
      </c>
      <c r="S1355" s="0" t="str">
        <f aca="false">IF(ISBLANK(E1355),"Missing",IF(E1355&lt;6,"0-6mo",IF(E1355&lt;12,"6-12mo",IF(E1355&lt;24,"12-24mo","24mo+"))))</f>
        <v>0-6mo</v>
      </c>
      <c r="T1355" s="0" t="n">
        <f aca="false">IF(ISBLANK(C1355),0,IF(C1355="Month-to-month",2,IF(C1355="One year",1,0)))+IF(ISBLANK(I1355),0,IF(I1355&lt;40,2,IF(I1355&lt;55,1,0)))+IF(ISBLANK(M1355),0,IF(M1355=1,3,0))+IF(ISBLANK(L1355),0,IF(L1355&gt;=2,1,0))+IF(ISBLANK(E1355),0,IF(E1355&lt;12,1,0))</f>
        <v>6</v>
      </c>
      <c r="U1355" s="0" t="str">
        <f aca="false">IF((ISBLANK(B1355)*1+ISBLANK(C1355)*1+ISBLANK(D1355)*1+ISBLANK(E1355)*1+ISBLANK(F1355)*1+ISBLANK(I1355)*1+ISBLANK(J1355)*1+ISBLANK(K1355)*1+ISBLANK(L1355)*1+ISBLANK(M1355)*1+ISBLANK(N1355)*1+ISBLANK(O1355)*1)&gt;0,"Missing Data","OK")</f>
        <v>OK</v>
      </c>
      <c r="V1355" s="0" t="str">
        <f aca="false">IF(T1355&gt;=6,"High Risk",IF(T1355&gt;=3,"Medium Risk","Low Risk"))</f>
        <v>High Risk</v>
      </c>
    </row>
    <row r="1356" customFormat="false" ht="12.8" hidden="false" customHeight="false" outlineLevel="0" collapsed="false">
      <c r="A1356" s="1" t="s">
        <v>1386</v>
      </c>
      <c r="B1356" s="1" t="s">
        <v>29</v>
      </c>
      <c r="C1356" s="1" t="s">
        <v>24</v>
      </c>
      <c r="D1356" s="1" t="n">
        <v>40.67</v>
      </c>
      <c r="E1356" s="1" t="n">
        <v>3</v>
      </c>
      <c r="F1356" s="4" t="n">
        <v>45638</v>
      </c>
      <c r="G1356" s="1" t="s">
        <v>25</v>
      </c>
      <c r="H1356" s="1" t="n">
        <v>0</v>
      </c>
      <c r="I1356" s="1" t="n">
        <v>33.8</v>
      </c>
      <c r="J1356" s="1" t="n">
        <v>10</v>
      </c>
      <c r="K1356" s="1" t="n">
        <v>2</v>
      </c>
      <c r="L1356" s="1" t="n">
        <v>1</v>
      </c>
      <c r="M1356" s="1" t="n">
        <v>0</v>
      </c>
      <c r="N1356" s="1" t="n">
        <v>122.01</v>
      </c>
      <c r="O1356" s="1" t="n">
        <v>1</v>
      </c>
      <c r="P1356" s="4" t="n">
        <v>45729</v>
      </c>
      <c r="Q1356" s="4" t="n">
        <v>45729</v>
      </c>
      <c r="R1356" s="0" t="n">
        <f aca="false">IF(ISBLANK(F1356),"Missing",IFERROR(YEAR(F1356),"Missing"))</f>
        <v>2024</v>
      </c>
      <c r="S1356" s="0" t="str">
        <f aca="false">IF(ISBLANK(E1356),"Missing",IF(E1356&lt;6,"0-6mo",IF(E1356&lt;12,"6-12mo",IF(E1356&lt;24,"12-24mo","24mo+"))))</f>
        <v>0-6mo</v>
      </c>
      <c r="T1356" s="0" t="n">
        <f aca="false">IF(ISBLANK(C1356),0,IF(C1356="Month-to-month",2,IF(C1356="One year",1,0)))+IF(ISBLANK(I1356),0,IF(I1356&lt;40,2,IF(I1356&lt;55,1,0)))+IF(ISBLANK(M1356),0,IF(M1356=1,3,0))+IF(ISBLANK(L1356),0,IF(L1356&gt;=2,1,0))+IF(ISBLANK(E1356),0,IF(E1356&lt;12,1,0))</f>
        <v>5</v>
      </c>
      <c r="U1356" s="0" t="str">
        <f aca="false">IF((ISBLANK(B1356)*1+ISBLANK(C1356)*1+ISBLANK(D1356)*1+ISBLANK(E1356)*1+ISBLANK(F1356)*1+ISBLANK(I1356)*1+ISBLANK(J1356)*1+ISBLANK(K1356)*1+ISBLANK(L1356)*1+ISBLANK(M1356)*1+ISBLANK(N1356)*1+ISBLANK(O1356)*1)&gt;0,"Missing Data","OK")</f>
        <v>OK</v>
      </c>
      <c r="V1356" s="0" t="str">
        <f aca="false">IF(T1356&gt;=6,"High Risk",IF(T1356&gt;=3,"Medium Risk","Low Risk"))</f>
        <v>Medium Risk</v>
      </c>
    </row>
    <row r="1357" customFormat="false" ht="12.8" hidden="false" customHeight="false" outlineLevel="0" collapsed="false">
      <c r="A1357" s="1" t="s">
        <v>1387</v>
      </c>
      <c r="B1357" s="1" t="s">
        <v>29</v>
      </c>
      <c r="C1357" s="1" t="s">
        <v>34</v>
      </c>
      <c r="D1357" s="1" t="n">
        <v>40.22</v>
      </c>
      <c r="E1357" s="1" t="n">
        <v>46</v>
      </c>
      <c r="F1357" s="4" t="n">
        <v>45639</v>
      </c>
      <c r="G1357" s="1" t="s">
        <v>25</v>
      </c>
      <c r="H1357" s="1" t="n">
        <v>1</v>
      </c>
      <c r="I1357" s="1" t="n">
        <v>68.3</v>
      </c>
      <c r="J1357" s="1" t="n">
        <v>17</v>
      </c>
      <c r="K1357" s="1" t="n">
        <v>5</v>
      </c>
      <c r="L1357" s="1" t="n">
        <v>0</v>
      </c>
      <c r="M1357" s="1" t="n">
        <v>0</v>
      </c>
      <c r="N1357" s="1" t="n">
        <v>1850.12</v>
      </c>
      <c r="O1357" s="1" t="n">
        <v>0</v>
      </c>
      <c r="Q1357" s="4" t="n">
        <v>46293</v>
      </c>
      <c r="R1357" s="0" t="n">
        <f aca="false">IF(ISBLANK(F1357),"Missing",IFERROR(YEAR(F1357),"Missing"))</f>
        <v>2024</v>
      </c>
      <c r="S1357" s="0" t="str">
        <f aca="false">IF(ISBLANK(E1357),"Missing",IF(E1357&lt;6,"0-6mo",IF(E1357&lt;12,"6-12mo",IF(E1357&lt;24,"12-24mo","24mo+"))))</f>
        <v>24mo+</v>
      </c>
      <c r="T1357" s="0" t="n">
        <f aca="false">IF(ISBLANK(C1357),0,IF(C1357="Month-to-month",2,IF(C1357="One year",1,0)))+IF(ISBLANK(I1357),0,IF(I1357&lt;40,2,IF(I1357&lt;55,1,0)))+IF(ISBLANK(M1357),0,IF(M1357=1,3,0))+IF(ISBLANK(L1357),0,IF(L1357&gt;=2,1,0))+IF(ISBLANK(E1357),0,IF(E1357&lt;12,1,0))</f>
        <v>1</v>
      </c>
      <c r="U1357" s="0" t="str">
        <f aca="false">IF((ISBLANK(B1357)*1+ISBLANK(C1357)*1+ISBLANK(D1357)*1+ISBLANK(E1357)*1+ISBLANK(F1357)*1+ISBLANK(I1357)*1+ISBLANK(J1357)*1+ISBLANK(K1357)*1+ISBLANK(L1357)*1+ISBLANK(M1357)*1+ISBLANK(N1357)*1+ISBLANK(O1357)*1)&gt;0,"Missing Data","OK")</f>
        <v>OK</v>
      </c>
      <c r="V1357" s="0" t="str">
        <f aca="false">IF(T1357&gt;=6,"High Risk",IF(T1357&gt;=3,"Medium Risk","Low Risk"))</f>
        <v>Low Risk</v>
      </c>
    </row>
    <row r="1358" customFormat="false" ht="12.8" hidden="false" customHeight="false" outlineLevel="0" collapsed="false">
      <c r="A1358" s="1" t="s">
        <v>1388</v>
      </c>
      <c r="B1358" s="1" t="s">
        <v>36</v>
      </c>
      <c r="C1358" s="1" t="s">
        <v>34</v>
      </c>
      <c r="D1358" s="1" t="n">
        <v>8.28</v>
      </c>
      <c r="E1358" s="1" t="n">
        <v>13</v>
      </c>
      <c r="F1358" s="4" t="n">
        <v>45640</v>
      </c>
      <c r="G1358" s="1" t="s">
        <v>30</v>
      </c>
      <c r="H1358" s="1" t="n">
        <v>0</v>
      </c>
      <c r="I1358" s="1" t="n">
        <v>69</v>
      </c>
      <c r="J1358" s="1" t="n">
        <v>15</v>
      </c>
      <c r="K1358" s="1" t="n">
        <v>6</v>
      </c>
      <c r="L1358" s="1" t="n">
        <v>1</v>
      </c>
      <c r="M1358" s="1" t="n">
        <v>1</v>
      </c>
      <c r="N1358" s="1" t="n">
        <v>107.64</v>
      </c>
      <c r="O1358" s="1" t="n">
        <v>1</v>
      </c>
      <c r="P1358" s="4" t="n">
        <v>46035</v>
      </c>
      <c r="Q1358" s="4" t="n">
        <v>46035</v>
      </c>
      <c r="R1358" s="0" t="n">
        <f aca="false">IF(ISBLANK(F1358),"Missing",IFERROR(YEAR(F1358),"Missing"))</f>
        <v>2024</v>
      </c>
      <c r="S1358" s="0" t="str">
        <f aca="false">IF(ISBLANK(E1358),"Missing",IF(E1358&lt;6,"0-6mo",IF(E1358&lt;12,"6-12mo",IF(E1358&lt;24,"12-24mo","24mo+"))))</f>
        <v>12-24mo</v>
      </c>
      <c r="T1358" s="0" t="n">
        <f aca="false">IF(ISBLANK(C1358),0,IF(C1358="Month-to-month",2,IF(C1358="One year",1,0)))+IF(ISBLANK(I1358),0,IF(I1358&lt;40,2,IF(I1358&lt;55,1,0)))+IF(ISBLANK(M1358),0,IF(M1358=1,3,0))+IF(ISBLANK(L1358),0,IF(L1358&gt;=2,1,0))+IF(ISBLANK(E1358),0,IF(E1358&lt;12,1,0))</f>
        <v>4</v>
      </c>
      <c r="U1358" s="0" t="str">
        <f aca="false">IF((ISBLANK(B1358)*1+ISBLANK(C1358)*1+ISBLANK(D1358)*1+ISBLANK(E1358)*1+ISBLANK(F1358)*1+ISBLANK(I1358)*1+ISBLANK(J1358)*1+ISBLANK(K1358)*1+ISBLANK(L1358)*1+ISBLANK(M1358)*1+ISBLANK(N1358)*1+ISBLANK(O1358)*1)&gt;0,"Missing Data","OK")</f>
        <v>OK</v>
      </c>
      <c r="V1358" s="0" t="str">
        <f aca="false">IF(T1358&gt;=6,"High Risk",IF(T1358&gt;=3,"Medium Risk","Low Risk"))</f>
        <v>Medium Risk</v>
      </c>
    </row>
    <row r="1359" customFormat="false" ht="12.8" hidden="false" customHeight="false" outlineLevel="0" collapsed="false">
      <c r="A1359" s="1" t="s">
        <v>1389</v>
      </c>
      <c r="B1359" s="1" t="s">
        <v>36</v>
      </c>
      <c r="C1359" s="1" t="s">
        <v>24</v>
      </c>
      <c r="D1359" s="1" t="n">
        <v>8.46</v>
      </c>
      <c r="E1359" s="1" t="n">
        <v>10</v>
      </c>
      <c r="F1359" s="4" t="n">
        <v>45643</v>
      </c>
      <c r="G1359" s="1" t="s">
        <v>39</v>
      </c>
      <c r="H1359" s="1" t="n">
        <v>1</v>
      </c>
      <c r="I1359" s="1" t="n">
        <v>97.2</v>
      </c>
      <c r="J1359" s="1" t="n">
        <v>32</v>
      </c>
      <c r="K1359" s="1" t="n">
        <v>9</v>
      </c>
      <c r="L1359" s="1" t="n">
        <v>3</v>
      </c>
      <c r="M1359" s="1" t="n">
        <v>1</v>
      </c>
      <c r="N1359" s="1" t="n">
        <v>84.6</v>
      </c>
      <c r="O1359" s="1" t="n">
        <v>0</v>
      </c>
      <c r="Q1359" s="4" t="n">
        <v>45947</v>
      </c>
      <c r="R1359" s="0" t="n">
        <f aca="false">IF(ISBLANK(F1359),"Missing",IFERROR(YEAR(F1359),"Missing"))</f>
        <v>2024</v>
      </c>
      <c r="S1359" s="0" t="str">
        <f aca="false">IF(ISBLANK(E1359),"Missing",IF(E1359&lt;6,"0-6mo",IF(E1359&lt;12,"6-12mo",IF(E1359&lt;24,"12-24mo","24mo+"))))</f>
        <v>6-12mo</v>
      </c>
      <c r="T1359" s="0" t="n">
        <f aca="false">IF(ISBLANK(C1359),0,IF(C1359="Month-to-month",2,IF(C1359="One year",1,0)))+IF(ISBLANK(I1359),0,IF(I1359&lt;40,2,IF(I1359&lt;55,1,0)))+IF(ISBLANK(M1359),0,IF(M1359=1,3,0))+IF(ISBLANK(L1359),0,IF(L1359&gt;=2,1,0))+IF(ISBLANK(E1359),0,IF(E1359&lt;12,1,0))</f>
        <v>7</v>
      </c>
      <c r="U1359" s="0" t="str">
        <f aca="false">IF((ISBLANK(B1359)*1+ISBLANK(C1359)*1+ISBLANK(D1359)*1+ISBLANK(E1359)*1+ISBLANK(F1359)*1+ISBLANK(I1359)*1+ISBLANK(J1359)*1+ISBLANK(K1359)*1+ISBLANK(L1359)*1+ISBLANK(M1359)*1+ISBLANK(N1359)*1+ISBLANK(O1359)*1)&gt;0,"Missing Data","OK")</f>
        <v>OK</v>
      </c>
      <c r="V1359" s="0" t="str">
        <f aca="false">IF(T1359&gt;=6,"High Risk",IF(T1359&gt;=3,"Medium Risk","Low Risk"))</f>
        <v>High Risk</v>
      </c>
    </row>
    <row r="1360" customFormat="false" ht="12.8" hidden="false" customHeight="false" outlineLevel="0" collapsed="false">
      <c r="A1360" s="1" t="s">
        <v>1390</v>
      </c>
      <c r="B1360" s="1" t="s">
        <v>23</v>
      </c>
      <c r="C1360" s="1" t="s">
        <v>51</v>
      </c>
      <c r="D1360" s="1" t="n">
        <v>20.02</v>
      </c>
      <c r="E1360" s="1" t="n">
        <v>16</v>
      </c>
      <c r="F1360" s="4" t="n">
        <v>45646</v>
      </c>
      <c r="G1360" s="1" t="s">
        <v>30</v>
      </c>
      <c r="H1360" s="1" t="n">
        <v>1</v>
      </c>
      <c r="I1360" s="1" t="n">
        <v>46.4</v>
      </c>
      <c r="J1360" s="1" t="n">
        <v>10</v>
      </c>
      <c r="K1360" s="1" t="n">
        <v>5</v>
      </c>
      <c r="L1360" s="1" t="n">
        <v>1</v>
      </c>
      <c r="M1360" s="1" t="n">
        <v>0</v>
      </c>
      <c r="N1360" s="1" t="n">
        <v>320.32</v>
      </c>
      <c r="O1360" s="1" t="n">
        <v>0</v>
      </c>
      <c r="Q1360" s="4" t="n">
        <v>46133</v>
      </c>
      <c r="R1360" s="0" t="n">
        <f aca="false">IF(ISBLANK(F1360),"Missing",IFERROR(YEAR(F1360),"Missing"))</f>
        <v>2024</v>
      </c>
      <c r="S1360" s="0" t="str">
        <f aca="false">IF(ISBLANK(E1360),"Missing",IF(E1360&lt;6,"0-6mo",IF(E1360&lt;12,"6-12mo",IF(E1360&lt;24,"12-24mo","24mo+"))))</f>
        <v>12-24mo</v>
      </c>
      <c r="T1360" s="0" t="n">
        <f aca="false">IF(ISBLANK(C1360),0,IF(C1360="Month-to-month",2,IF(C1360="One year",1,0)))+IF(ISBLANK(I1360),0,IF(I1360&lt;40,2,IF(I1360&lt;55,1,0)))+IF(ISBLANK(M1360),0,IF(M1360=1,3,0))+IF(ISBLANK(L1360),0,IF(L1360&gt;=2,1,0))+IF(ISBLANK(E1360),0,IF(E1360&lt;12,1,0))</f>
        <v>1</v>
      </c>
      <c r="U1360" s="0" t="str">
        <f aca="false">IF((ISBLANK(B1360)*1+ISBLANK(C1360)*1+ISBLANK(D1360)*1+ISBLANK(E1360)*1+ISBLANK(F1360)*1+ISBLANK(I1360)*1+ISBLANK(J1360)*1+ISBLANK(K1360)*1+ISBLANK(L1360)*1+ISBLANK(M1360)*1+ISBLANK(N1360)*1+ISBLANK(O1360)*1)&gt;0,"Missing Data","OK")</f>
        <v>OK</v>
      </c>
      <c r="V1360" s="0" t="str">
        <f aca="false">IF(T1360&gt;=6,"High Risk",IF(T1360&gt;=3,"Medium Risk","Low Risk"))</f>
        <v>Low Risk</v>
      </c>
    </row>
    <row r="1361" customFormat="false" ht="12.8" hidden="false" customHeight="false" outlineLevel="0" collapsed="false">
      <c r="A1361" s="1" t="s">
        <v>1391</v>
      </c>
      <c r="B1361" s="1" t="s">
        <v>23</v>
      </c>
      <c r="C1361" s="1" t="s">
        <v>24</v>
      </c>
      <c r="D1361" s="1" t="n">
        <v>18.55</v>
      </c>
      <c r="E1361" s="1" t="n">
        <v>3</v>
      </c>
      <c r="F1361" s="4" t="n">
        <v>45648</v>
      </c>
      <c r="G1361" s="1" t="s">
        <v>25</v>
      </c>
      <c r="H1361" s="1" t="n">
        <v>1</v>
      </c>
      <c r="I1361" s="1" t="n">
        <v>42.4</v>
      </c>
      <c r="J1361" s="1" t="n">
        <v>16</v>
      </c>
      <c r="K1361" s="1" t="n">
        <v>5</v>
      </c>
      <c r="L1361" s="1" t="n">
        <v>2</v>
      </c>
      <c r="M1361" s="1" t="n">
        <v>0</v>
      </c>
      <c r="N1361" s="1" t="n">
        <v>55.65</v>
      </c>
      <c r="O1361" s="1" t="n">
        <v>0</v>
      </c>
      <c r="Q1361" s="4" t="n">
        <v>45739</v>
      </c>
      <c r="R1361" s="0" t="n">
        <f aca="false">IF(ISBLANK(F1361),"Missing",IFERROR(YEAR(F1361),"Missing"))</f>
        <v>2024</v>
      </c>
      <c r="S1361" s="0" t="str">
        <f aca="false">IF(ISBLANK(E1361),"Missing",IF(E1361&lt;6,"0-6mo",IF(E1361&lt;12,"6-12mo",IF(E1361&lt;24,"12-24mo","24mo+"))))</f>
        <v>0-6mo</v>
      </c>
      <c r="T1361" s="0" t="n">
        <f aca="false">IF(ISBLANK(C1361),0,IF(C1361="Month-to-month",2,IF(C1361="One year",1,0)))+IF(ISBLANK(I1361),0,IF(I1361&lt;40,2,IF(I1361&lt;55,1,0)))+IF(ISBLANK(M1361),0,IF(M1361=1,3,0))+IF(ISBLANK(L1361),0,IF(L1361&gt;=2,1,0))+IF(ISBLANK(E1361),0,IF(E1361&lt;12,1,0))</f>
        <v>5</v>
      </c>
      <c r="U1361" s="0" t="str">
        <f aca="false">IF((ISBLANK(B1361)*1+ISBLANK(C1361)*1+ISBLANK(D1361)*1+ISBLANK(E1361)*1+ISBLANK(F1361)*1+ISBLANK(I1361)*1+ISBLANK(J1361)*1+ISBLANK(K1361)*1+ISBLANK(L1361)*1+ISBLANK(M1361)*1+ISBLANK(N1361)*1+ISBLANK(O1361)*1)&gt;0,"Missing Data","OK")</f>
        <v>OK</v>
      </c>
      <c r="V1361" s="0" t="str">
        <f aca="false">IF(T1361&gt;=6,"High Risk",IF(T1361&gt;=3,"Medium Risk","Low Risk"))</f>
        <v>Medium Risk</v>
      </c>
    </row>
    <row r="1362" customFormat="false" ht="12.8" hidden="false" customHeight="false" outlineLevel="0" collapsed="false">
      <c r="A1362" s="1" t="s">
        <v>1392</v>
      </c>
      <c r="B1362" s="1" t="s">
        <v>36</v>
      </c>
      <c r="C1362" s="1" t="s">
        <v>24</v>
      </c>
      <c r="D1362" s="1" t="n">
        <v>9.43</v>
      </c>
      <c r="E1362" s="1" t="n">
        <v>0</v>
      </c>
      <c r="F1362" s="4" t="n">
        <v>45650</v>
      </c>
      <c r="G1362" s="1" t="s">
        <v>25</v>
      </c>
      <c r="H1362" s="1" t="n">
        <v>1</v>
      </c>
      <c r="I1362" s="1" t="n">
        <v>71.4</v>
      </c>
      <c r="J1362" s="1" t="n">
        <v>29</v>
      </c>
      <c r="K1362" s="1" t="n">
        <v>8</v>
      </c>
      <c r="L1362" s="1" t="n">
        <v>0</v>
      </c>
      <c r="M1362" s="1" t="n">
        <v>0</v>
      </c>
      <c r="N1362" s="1" t="n">
        <v>0</v>
      </c>
      <c r="O1362" s="1" t="n">
        <v>0</v>
      </c>
      <c r="Q1362" s="4" t="n">
        <v>45650</v>
      </c>
      <c r="R1362" s="0" t="n">
        <f aca="false">IF(ISBLANK(F1362),"Missing",IFERROR(YEAR(F1362),"Missing"))</f>
        <v>2024</v>
      </c>
      <c r="S1362" s="0" t="str">
        <f aca="false">IF(ISBLANK(E1362),"Missing",IF(E1362&lt;6,"0-6mo",IF(E1362&lt;12,"6-12mo",IF(E1362&lt;24,"12-24mo","24mo+"))))</f>
        <v>0-6mo</v>
      </c>
      <c r="T1362" s="0" t="n">
        <f aca="false">IF(ISBLANK(C1362),0,IF(C1362="Month-to-month",2,IF(C1362="One year",1,0)))+IF(ISBLANK(I1362),0,IF(I1362&lt;40,2,IF(I1362&lt;55,1,0)))+IF(ISBLANK(M1362),0,IF(M1362=1,3,0))+IF(ISBLANK(L1362),0,IF(L1362&gt;=2,1,0))+IF(ISBLANK(E1362),0,IF(E1362&lt;12,1,0))</f>
        <v>3</v>
      </c>
      <c r="U1362" s="0" t="str">
        <f aca="false">IF((ISBLANK(B1362)*1+ISBLANK(C1362)*1+ISBLANK(D1362)*1+ISBLANK(E1362)*1+ISBLANK(F1362)*1+ISBLANK(I1362)*1+ISBLANK(J1362)*1+ISBLANK(K1362)*1+ISBLANK(L1362)*1+ISBLANK(M1362)*1+ISBLANK(N1362)*1+ISBLANK(O1362)*1)&gt;0,"Missing Data","OK")</f>
        <v>OK</v>
      </c>
      <c r="V1362" s="0" t="str">
        <f aca="false">IF(T1362&gt;=6,"High Risk",IF(T1362&gt;=3,"Medium Risk","Low Risk"))</f>
        <v>Medium Risk</v>
      </c>
    </row>
    <row r="1363" customFormat="false" ht="12.8" hidden="false" customHeight="false" outlineLevel="0" collapsed="false">
      <c r="A1363" s="1" t="s">
        <v>1393</v>
      </c>
      <c r="B1363" s="1" t="s">
        <v>36</v>
      </c>
      <c r="C1363" s="1" t="s">
        <v>34</v>
      </c>
      <c r="D1363" s="1" t="n">
        <v>10.02</v>
      </c>
      <c r="E1363" s="1" t="n">
        <v>11</v>
      </c>
      <c r="F1363" s="4" t="n">
        <v>45652</v>
      </c>
      <c r="G1363" s="1" t="s">
        <v>25</v>
      </c>
      <c r="H1363" s="1" t="n">
        <v>1</v>
      </c>
      <c r="I1363" s="1" t="n">
        <v>19.1</v>
      </c>
      <c r="J1363" s="1" t="n">
        <v>1</v>
      </c>
      <c r="K1363" s="1" t="n">
        <v>0</v>
      </c>
      <c r="L1363" s="1" t="n">
        <v>3</v>
      </c>
      <c r="M1363" s="1" t="n">
        <v>0</v>
      </c>
      <c r="N1363" s="1" t="n">
        <v>110.22</v>
      </c>
      <c r="O1363" s="1" t="n">
        <v>0</v>
      </c>
      <c r="Q1363" s="4" t="n">
        <v>45986</v>
      </c>
      <c r="R1363" s="0" t="n">
        <f aca="false">IF(ISBLANK(F1363),"Missing",IFERROR(YEAR(F1363),"Missing"))</f>
        <v>2024</v>
      </c>
      <c r="S1363" s="0" t="str">
        <f aca="false">IF(ISBLANK(E1363),"Missing",IF(E1363&lt;6,"0-6mo",IF(E1363&lt;12,"6-12mo",IF(E1363&lt;24,"12-24mo","24mo+"))))</f>
        <v>6-12mo</v>
      </c>
      <c r="T1363" s="0" t="n">
        <f aca="false">IF(ISBLANK(C1363),0,IF(C1363="Month-to-month",2,IF(C1363="One year",1,0)))+IF(ISBLANK(I1363),0,IF(I1363&lt;40,2,IF(I1363&lt;55,1,0)))+IF(ISBLANK(M1363),0,IF(M1363=1,3,0))+IF(ISBLANK(L1363),0,IF(L1363&gt;=2,1,0))+IF(ISBLANK(E1363),0,IF(E1363&lt;12,1,0))</f>
        <v>5</v>
      </c>
      <c r="U1363" s="0" t="str">
        <f aca="false">IF((ISBLANK(B1363)*1+ISBLANK(C1363)*1+ISBLANK(D1363)*1+ISBLANK(E1363)*1+ISBLANK(F1363)*1+ISBLANK(I1363)*1+ISBLANK(J1363)*1+ISBLANK(K1363)*1+ISBLANK(L1363)*1+ISBLANK(M1363)*1+ISBLANK(N1363)*1+ISBLANK(O1363)*1)&gt;0,"Missing Data","OK")</f>
        <v>OK</v>
      </c>
      <c r="V1363" s="0" t="str">
        <f aca="false">IF(T1363&gt;=6,"High Risk",IF(T1363&gt;=3,"Medium Risk","Low Risk"))</f>
        <v>Medium Risk</v>
      </c>
    </row>
    <row r="1364" customFormat="false" ht="12.8" hidden="false" customHeight="false" outlineLevel="0" collapsed="false">
      <c r="A1364" s="1" t="s">
        <v>1394</v>
      </c>
      <c r="B1364" s="1" t="s">
        <v>23</v>
      </c>
      <c r="C1364" s="1" t="s">
        <v>34</v>
      </c>
      <c r="D1364" s="1" t="n">
        <v>19.76</v>
      </c>
      <c r="E1364" s="1" t="n">
        <v>27</v>
      </c>
      <c r="F1364" s="4" t="n">
        <v>45654</v>
      </c>
      <c r="G1364" s="1" t="s">
        <v>39</v>
      </c>
      <c r="H1364" s="1" t="n">
        <v>1</v>
      </c>
      <c r="I1364" s="1" t="n">
        <v>78.4</v>
      </c>
      <c r="J1364" s="1" t="n">
        <v>22</v>
      </c>
      <c r="K1364" s="1" t="n">
        <v>6</v>
      </c>
      <c r="L1364" s="1" t="n">
        <v>2</v>
      </c>
      <c r="M1364" s="1" t="n">
        <v>0</v>
      </c>
      <c r="N1364" s="1" t="n">
        <v>533.52</v>
      </c>
      <c r="O1364" s="1" t="n">
        <v>0</v>
      </c>
      <c r="Q1364" s="4" t="n">
        <v>46293</v>
      </c>
      <c r="R1364" s="0" t="n">
        <f aca="false">IF(ISBLANK(F1364),"Missing",IFERROR(YEAR(F1364),"Missing"))</f>
        <v>2024</v>
      </c>
      <c r="S1364" s="0" t="str">
        <f aca="false">IF(ISBLANK(E1364),"Missing",IF(E1364&lt;6,"0-6mo",IF(E1364&lt;12,"6-12mo",IF(E1364&lt;24,"12-24mo","24mo+"))))</f>
        <v>24mo+</v>
      </c>
      <c r="T1364" s="0" t="n">
        <f aca="false">IF(ISBLANK(C1364),0,IF(C1364="Month-to-month",2,IF(C1364="One year",1,0)))+IF(ISBLANK(I1364),0,IF(I1364&lt;40,2,IF(I1364&lt;55,1,0)))+IF(ISBLANK(M1364),0,IF(M1364=1,3,0))+IF(ISBLANK(L1364),0,IF(L1364&gt;=2,1,0))+IF(ISBLANK(E1364),0,IF(E1364&lt;12,1,0))</f>
        <v>2</v>
      </c>
      <c r="U1364" s="0" t="str">
        <f aca="false">IF((ISBLANK(B1364)*1+ISBLANK(C1364)*1+ISBLANK(D1364)*1+ISBLANK(E1364)*1+ISBLANK(F1364)*1+ISBLANK(I1364)*1+ISBLANK(J1364)*1+ISBLANK(K1364)*1+ISBLANK(L1364)*1+ISBLANK(M1364)*1+ISBLANK(N1364)*1+ISBLANK(O1364)*1)&gt;0,"Missing Data","OK")</f>
        <v>OK</v>
      </c>
      <c r="V1364" s="0" t="str">
        <f aca="false">IF(T1364&gt;=6,"High Risk",IF(T1364&gt;=3,"Medium Risk","Low Risk"))</f>
        <v>Low Risk</v>
      </c>
    </row>
    <row r="1365" customFormat="false" ht="12.8" hidden="false" customHeight="false" outlineLevel="0" collapsed="false">
      <c r="A1365" s="1" t="s">
        <v>1395</v>
      </c>
      <c r="B1365" s="1" t="s">
        <v>23</v>
      </c>
      <c r="C1365" s="1" t="s">
        <v>24</v>
      </c>
      <c r="D1365" s="1" t="n">
        <v>20.6</v>
      </c>
      <c r="E1365" s="1" t="n">
        <v>72</v>
      </c>
      <c r="F1365" s="4" t="n">
        <v>45655</v>
      </c>
      <c r="G1365" s="1" t="s">
        <v>25</v>
      </c>
      <c r="H1365" s="1" t="n">
        <v>0</v>
      </c>
      <c r="I1365" s="1" t="n">
        <v>38.6</v>
      </c>
      <c r="J1365" s="1" t="n">
        <v>10</v>
      </c>
      <c r="K1365" s="1" t="n">
        <v>5</v>
      </c>
      <c r="L1365" s="1" t="n">
        <v>1</v>
      </c>
      <c r="M1365" s="1" t="n">
        <v>1</v>
      </c>
      <c r="N1365" s="1" t="n">
        <v>1483.2</v>
      </c>
      <c r="O1365" s="1" t="n">
        <v>0</v>
      </c>
      <c r="Q1365" s="4" t="n">
        <v>46293</v>
      </c>
      <c r="R1365" s="0" t="n">
        <f aca="false">IF(ISBLANK(F1365),"Missing",IFERROR(YEAR(F1365),"Missing"))</f>
        <v>2024</v>
      </c>
      <c r="S1365" s="0" t="str">
        <f aca="false">IF(ISBLANK(E1365),"Missing",IF(E1365&lt;6,"0-6mo",IF(E1365&lt;12,"6-12mo",IF(E1365&lt;24,"12-24mo","24mo+"))))</f>
        <v>24mo+</v>
      </c>
      <c r="T1365" s="0" t="n">
        <f aca="false">IF(ISBLANK(C1365),0,IF(C1365="Month-to-month",2,IF(C1365="One year",1,0)))+IF(ISBLANK(I1365),0,IF(I1365&lt;40,2,IF(I1365&lt;55,1,0)))+IF(ISBLANK(M1365),0,IF(M1365=1,3,0))+IF(ISBLANK(L1365),0,IF(L1365&gt;=2,1,0))+IF(ISBLANK(E1365),0,IF(E1365&lt;12,1,0))</f>
        <v>7</v>
      </c>
      <c r="U1365" s="0" t="str">
        <f aca="false">IF((ISBLANK(B1365)*1+ISBLANK(C1365)*1+ISBLANK(D1365)*1+ISBLANK(E1365)*1+ISBLANK(F1365)*1+ISBLANK(I1365)*1+ISBLANK(J1365)*1+ISBLANK(K1365)*1+ISBLANK(L1365)*1+ISBLANK(M1365)*1+ISBLANK(N1365)*1+ISBLANK(O1365)*1)&gt;0,"Missing Data","OK")</f>
        <v>OK</v>
      </c>
      <c r="V1365" s="0" t="str">
        <f aca="false">IF(T1365&gt;=6,"High Risk",IF(T1365&gt;=3,"Medium Risk","Low Risk"))</f>
        <v>High Risk</v>
      </c>
    </row>
    <row r="1366" customFormat="false" ht="12.8" hidden="false" customHeight="false" outlineLevel="0" collapsed="false">
      <c r="A1366" s="1" t="s">
        <v>1396</v>
      </c>
      <c r="B1366" s="1" t="s">
        <v>23</v>
      </c>
      <c r="C1366" s="1" t="s">
        <v>51</v>
      </c>
      <c r="D1366" s="1" t="n">
        <v>21.01</v>
      </c>
      <c r="E1366" s="1" t="n">
        <v>72</v>
      </c>
      <c r="F1366" s="4" t="n">
        <v>45655</v>
      </c>
      <c r="G1366" s="1" t="s">
        <v>39</v>
      </c>
      <c r="H1366" s="1" t="n">
        <v>1</v>
      </c>
      <c r="I1366" s="1" t="n">
        <v>44.7</v>
      </c>
      <c r="J1366" s="1" t="n">
        <v>13</v>
      </c>
      <c r="K1366" s="1" t="n">
        <v>3</v>
      </c>
      <c r="L1366" s="1" t="n">
        <v>0</v>
      </c>
      <c r="M1366" s="1" t="n">
        <v>0</v>
      </c>
      <c r="N1366" s="1" t="n">
        <v>1512.72</v>
      </c>
      <c r="O1366" s="1" t="n">
        <v>0</v>
      </c>
      <c r="Q1366" s="4" t="n">
        <v>46293</v>
      </c>
      <c r="R1366" s="0" t="n">
        <f aca="false">IF(ISBLANK(F1366),"Missing",IFERROR(YEAR(F1366),"Missing"))</f>
        <v>2024</v>
      </c>
      <c r="S1366" s="0" t="str">
        <f aca="false">IF(ISBLANK(E1366),"Missing",IF(E1366&lt;6,"0-6mo",IF(E1366&lt;12,"6-12mo",IF(E1366&lt;24,"12-24mo","24mo+"))))</f>
        <v>24mo+</v>
      </c>
      <c r="T1366" s="0" t="n">
        <f aca="false">IF(ISBLANK(C1366),0,IF(C1366="Month-to-month",2,IF(C1366="One year",1,0)))+IF(ISBLANK(I1366),0,IF(I1366&lt;40,2,IF(I1366&lt;55,1,0)))+IF(ISBLANK(M1366),0,IF(M1366=1,3,0))+IF(ISBLANK(L1366),0,IF(L1366&gt;=2,1,0))+IF(ISBLANK(E1366),0,IF(E1366&lt;12,1,0))</f>
        <v>1</v>
      </c>
      <c r="U1366" s="0" t="str">
        <f aca="false">IF((ISBLANK(B1366)*1+ISBLANK(C1366)*1+ISBLANK(D1366)*1+ISBLANK(E1366)*1+ISBLANK(F1366)*1+ISBLANK(I1366)*1+ISBLANK(J1366)*1+ISBLANK(K1366)*1+ISBLANK(L1366)*1+ISBLANK(M1366)*1+ISBLANK(N1366)*1+ISBLANK(O1366)*1)&gt;0,"Missing Data","OK")</f>
        <v>OK</v>
      </c>
      <c r="V1366" s="0" t="str">
        <f aca="false">IF(T1366&gt;=6,"High Risk",IF(T1366&gt;=3,"Medium Risk","Low Risk"))</f>
        <v>Low Risk</v>
      </c>
    </row>
    <row r="1367" customFormat="false" ht="12.8" hidden="false" customHeight="false" outlineLevel="0" collapsed="false">
      <c r="A1367" s="1" t="s">
        <v>1397</v>
      </c>
      <c r="B1367" s="1" t="s">
        <v>29</v>
      </c>
      <c r="C1367" s="1" t="s">
        <v>24</v>
      </c>
      <c r="D1367" s="1" t="n">
        <v>40.53</v>
      </c>
      <c r="E1367" s="1" t="n">
        <v>17</v>
      </c>
      <c r="F1367" s="4" t="n">
        <v>45657</v>
      </c>
      <c r="G1367" s="1" t="s">
        <v>30</v>
      </c>
      <c r="H1367" s="1" t="n">
        <v>1</v>
      </c>
      <c r="I1367" s="1" t="n">
        <v>23.2</v>
      </c>
      <c r="J1367" s="1" t="n">
        <v>2</v>
      </c>
      <c r="K1367" s="1" t="n">
        <v>2</v>
      </c>
      <c r="L1367" s="1" t="n">
        <v>6</v>
      </c>
      <c r="M1367" s="1" t="n">
        <v>0</v>
      </c>
      <c r="N1367" s="1" t="n">
        <v>689.01</v>
      </c>
      <c r="O1367" s="1" t="n">
        <v>1</v>
      </c>
      <c r="P1367" s="4" t="n">
        <v>46174</v>
      </c>
      <c r="Q1367" s="4" t="n">
        <v>46174</v>
      </c>
      <c r="R1367" s="0" t="n">
        <f aca="false">IF(ISBLANK(F1367),"Missing",IFERROR(YEAR(F1367),"Missing"))</f>
        <v>2024</v>
      </c>
      <c r="S1367" s="0" t="str">
        <f aca="false">IF(ISBLANK(E1367),"Missing",IF(E1367&lt;6,"0-6mo",IF(E1367&lt;12,"6-12mo",IF(E1367&lt;24,"12-24mo","24mo+"))))</f>
        <v>12-24mo</v>
      </c>
      <c r="T1367" s="0" t="n">
        <f aca="false">IF(ISBLANK(C1367),0,IF(C1367="Month-to-month",2,IF(C1367="One year",1,0)))+IF(ISBLANK(I1367),0,IF(I1367&lt;40,2,IF(I1367&lt;55,1,0)))+IF(ISBLANK(M1367),0,IF(M1367=1,3,0))+IF(ISBLANK(L1367),0,IF(L1367&gt;=2,1,0))+IF(ISBLANK(E1367),0,IF(E1367&lt;12,1,0))</f>
        <v>5</v>
      </c>
      <c r="U1367" s="0" t="str">
        <f aca="false">IF((ISBLANK(B1367)*1+ISBLANK(C1367)*1+ISBLANK(D1367)*1+ISBLANK(E1367)*1+ISBLANK(F1367)*1+ISBLANK(I1367)*1+ISBLANK(J1367)*1+ISBLANK(K1367)*1+ISBLANK(L1367)*1+ISBLANK(M1367)*1+ISBLANK(N1367)*1+ISBLANK(O1367)*1)&gt;0,"Missing Data","OK")</f>
        <v>OK</v>
      </c>
      <c r="V1367" s="0" t="str">
        <f aca="false">IF(T1367&gt;=6,"High Risk",IF(T1367&gt;=3,"Medium Risk","Low Risk"))</f>
        <v>Medium Risk</v>
      </c>
    </row>
    <row r="1368" customFormat="false" ht="12.8" hidden="false" customHeight="false" outlineLevel="0" collapsed="false">
      <c r="A1368" s="1" t="s">
        <v>1398</v>
      </c>
      <c r="B1368" s="1" t="s">
        <v>29</v>
      </c>
      <c r="C1368" s="1" t="s">
        <v>24</v>
      </c>
      <c r="D1368" s="1" t="n">
        <v>39.02</v>
      </c>
      <c r="E1368" s="1" t="n">
        <v>15</v>
      </c>
      <c r="F1368" s="4" t="n">
        <v>45658</v>
      </c>
      <c r="G1368" s="1" t="s">
        <v>39</v>
      </c>
      <c r="H1368" s="1" t="n">
        <v>0</v>
      </c>
      <c r="I1368" s="1" t="n">
        <v>96</v>
      </c>
      <c r="J1368" s="1" t="n">
        <v>28</v>
      </c>
      <c r="K1368" s="1" t="n">
        <v>10</v>
      </c>
      <c r="L1368" s="1" t="n">
        <v>0</v>
      </c>
      <c r="M1368" s="1" t="n">
        <v>0</v>
      </c>
      <c r="N1368" s="1" t="n">
        <v>585.3</v>
      </c>
      <c r="O1368" s="1" t="n">
        <v>0</v>
      </c>
      <c r="Q1368" s="4" t="n">
        <v>46114</v>
      </c>
      <c r="R1368" s="0" t="n">
        <f aca="false">IF(ISBLANK(F1368),"Missing",IFERROR(YEAR(F1368),"Missing"))</f>
        <v>2025</v>
      </c>
      <c r="S1368" s="0" t="str">
        <f aca="false">IF(ISBLANK(E1368),"Missing",IF(E1368&lt;6,"0-6mo",IF(E1368&lt;12,"6-12mo",IF(E1368&lt;24,"12-24mo","24mo+"))))</f>
        <v>12-24mo</v>
      </c>
      <c r="T1368" s="0" t="n">
        <f aca="false">IF(ISBLANK(C1368),0,IF(C1368="Month-to-month",2,IF(C1368="One year",1,0)))+IF(ISBLANK(I1368),0,IF(I1368&lt;40,2,IF(I1368&lt;55,1,0)))+IF(ISBLANK(M1368),0,IF(M1368=1,3,0))+IF(ISBLANK(L1368),0,IF(L1368&gt;=2,1,0))+IF(ISBLANK(E1368),0,IF(E1368&lt;12,1,0))</f>
        <v>2</v>
      </c>
      <c r="U1368" s="0" t="str">
        <f aca="false">IF((ISBLANK(B1368)*1+ISBLANK(C1368)*1+ISBLANK(D1368)*1+ISBLANK(E1368)*1+ISBLANK(F1368)*1+ISBLANK(I1368)*1+ISBLANK(J1368)*1+ISBLANK(K1368)*1+ISBLANK(L1368)*1+ISBLANK(M1368)*1+ISBLANK(N1368)*1+ISBLANK(O1368)*1)&gt;0,"Missing Data","OK")</f>
        <v>OK</v>
      </c>
      <c r="V1368" s="0" t="str">
        <f aca="false">IF(T1368&gt;=6,"High Risk",IF(T1368&gt;=3,"Medium Risk","Low Risk"))</f>
        <v>Low Risk</v>
      </c>
    </row>
    <row r="1369" customFormat="false" ht="12.8" hidden="false" customHeight="false" outlineLevel="0" collapsed="false">
      <c r="A1369" s="1" t="s">
        <v>1399</v>
      </c>
      <c r="B1369" s="1" t="s">
        <v>36</v>
      </c>
      <c r="C1369" s="1" t="s">
        <v>34</v>
      </c>
      <c r="D1369" s="1" t="n">
        <v>10.35</v>
      </c>
      <c r="E1369" s="1" t="n">
        <v>11</v>
      </c>
      <c r="F1369" s="4" t="n">
        <v>45659</v>
      </c>
      <c r="G1369" s="1" t="s">
        <v>30</v>
      </c>
      <c r="H1369" s="1" t="n">
        <v>1</v>
      </c>
      <c r="I1369" s="1" t="n">
        <v>55.3</v>
      </c>
      <c r="J1369" s="1" t="n">
        <v>16</v>
      </c>
      <c r="K1369" s="1" t="n">
        <v>6</v>
      </c>
      <c r="L1369" s="1" t="n">
        <v>1</v>
      </c>
      <c r="M1369" s="1" t="n">
        <v>0</v>
      </c>
      <c r="N1369" s="1" t="n">
        <v>113.85</v>
      </c>
      <c r="O1369" s="1" t="n">
        <v>0</v>
      </c>
      <c r="Q1369" s="4" t="n">
        <v>45993</v>
      </c>
      <c r="R1369" s="0" t="n">
        <f aca="false">IF(ISBLANK(F1369),"Missing",IFERROR(YEAR(F1369),"Missing"))</f>
        <v>2025</v>
      </c>
      <c r="S1369" s="0" t="str">
        <f aca="false">IF(ISBLANK(E1369),"Missing",IF(E1369&lt;6,"0-6mo",IF(E1369&lt;12,"6-12mo",IF(E1369&lt;24,"12-24mo","24mo+"))))</f>
        <v>6-12mo</v>
      </c>
      <c r="T1369" s="0" t="n">
        <f aca="false">IF(ISBLANK(C1369),0,IF(C1369="Month-to-month",2,IF(C1369="One year",1,0)))+IF(ISBLANK(I1369),0,IF(I1369&lt;40,2,IF(I1369&lt;55,1,0)))+IF(ISBLANK(M1369),0,IF(M1369=1,3,0))+IF(ISBLANK(L1369),0,IF(L1369&gt;=2,1,0))+IF(ISBLANK(E1369),0,IF(E1369&lt;12,1,0))</f>
        <v>2</v>
      </c>
      <c r="U1369" s="0" t="str">
        <f aca="false">IF((ISBLANK(B1369)*1+ISBLANK(C1369)*1+ISBLANK(D1369)*1+ISBLANK(E1369)*1+ISBLANK(F1369)*1+ISBLANK(I1369)*1+ISBLANK(J1369)*1+ISBLANK(K1369)*1+ISBLANK(L1369)*1+ISBLANK(M1369)*1+ISBLANK(N1369)*1+ISBLANK(O1369)*1)&gt;0,"Missing Data","OK")</f>
        <v>OK</v>
      </c>
      <c r="V1369" s="0" t="str">
        <f aca="false">IF(T1369&gt;=6,"High Risk",IF(T1369&gt;=3,"Medium Risk","Low Risk"))</f>
        <v>Low Risk</v>
      </c>
    </row>
    <row r="1370" customFormat="false" ht="12.8" hidden="false" customHeight="false" outlineLevel="0" collapsed="false">
      <c r="A1370" s="1" t="s">
        <v>1400</v>
      </c>
      <c r="B1370" s="1" t="s">
        <v>36</v>
      </c>
      <c r="C1370" s="1" t="s">
        <v>34</v>
      </c>
      <c r="D1370" s="1" t="n">
        <v>10.1</v>
      </c>
      <c r="E1370" s="1" t="n">
        <v>38</v>
      </c>
      <c r="F1370" s="4" t="n">
        <v>45661</v>
      </c>
      <c r="G1370" s="1" t="s">
        <v>25</v>
      </c>
      <c r="H1370" s="1" t="n">
        <v>1</v>
      </c>
      <c r="I1370" s="1" t="n">
        <v>40.3</v>
      </c>
      <c r="J1370" s="1" t="n">
        <v>8</v>
      </c>
      <c r="K1370" s="1" t="n">
        <v>2</v>
      </c>
      <c r="L1370" s="1" t="n">
        <v>1</v>
      </c>
      <c r="M1370" s="1" t="n">
        <v>0</v>
      </c>
      <c r="N1370" s="1" t="n">
        <v>383.8</v>
      </c>
      <c r="O1370" s="1" t="n">
        <v>0</v>
      </c>
      <c r="Q1370" s="4" t="n">
        <v>46293</v>
      </c>
      <c r="R1370" s="0" t="n">
        <f aca="false">IF(ISBLANK(F1370),"Missing",IFERROR(YEAR(F1370),"Missing"))</f>
        <v>2025</v>
      </c>
      <c r="S1370" s="0" t="str">
        <f aca="false">IF(ISBLANK(E1370),"Missing",IF(E1370&lt;6,"0-6mo",IF(E1370&lt;12,"6-12mo",IF(E1370&lt;24,"12-24mo","24mo+"))))</f>
        <v>24mo+</v>
      </c>
      <c r="T1370" s="0" t="n">
        <f aca="false">IF(ISBLANK(C1370),0,IF(C1370="Month-to-month",2,IF(C1370="One year",1,0)))+IF(ISBLANK(I1370),0,IF(I1370&lt;40,2,IF(I1370&lt;55,1,0)))+IF(ISBLANK(M1370),0,IF(M1370=1,3,0))+IF(ISBLANK(L1370),0,IF(L1370&gt;=2,1,0))+IF(ISBLANK(E1370),0,IF(E1370&lt;12,1,0))</f>
        <v>2</v>
      </c>
      <c r="U1370" s="0" t="str">
        <f aca="false">IF((ISBLANK(B1370)*1+ISBLANK(C1370)*1+ISBLANK(D1370)*1+ISBLANK(E1370)*1+ISBLANK(F1370)*1+ISBLANK(I1370)*1+ISBLANK(J1370)*1+ISBLANK(K1370)*1+ISBLANK(L1370)*1+ISBLANK(M1370)*1+ISBLANK(N1370)*1+ISBLANK(O1370)*1)&gt;0,"Missing Data","OK")</f>
        <v>OK</v>
      </c>
      <c r="V1370" s="0" t="str">
        <f aca="false">IF(T1370&gt;=6,"High Risk",IF(T1370&gt;=3,"Medium Risk","Low Risk"))</f>
        <v>Low Risk</v>
      </c>
    </row>
    <row r="1371" customFormat="false" ht="12.8" hidden="false" customHeight="false" outlineLevel="0" collapsed="false">
      <c r="A1371" s="1" t="s">
        <v>1401</v>
      </c>
      <c r="B1371" s="1" t="s">
        <v>29</v>
      </c>
      <c r="C1371" s="1" t="s">
        <v>51</v>
      </c>
      <c r="D1371" s="1" t="n">
        <v>40.88</v>
      </c>
      <c r="E1371" s="1" t="n">
        <v>21</v>
      </c>
      <c r="F1371" s="4" t="n">
        <v>45661</v>
      </c>
      <c r="G1371" s="1" t="s">
        <v>39</v>
      </c>
      <c r="H1371" s="1" t="n">
        <v>1</v>
      </c>
      <c r="I1371" s="1" t="n">
        <v>10.2</v>
      </c>
      <c r="J1371" s="1" t="n">
        <v>0</v>
      </c>
      <c r="K1371" s="1" t="n">
        <v>2</v>
      </c>
      <c r="L1371" s="1" t="n">
        <v>2</v>
      </c>
      <c r="M1371" s="1" t="n">
        <v>1</v>
      </c>
      <c r="N1371" s="1" t="n">
        <v>858.48</v>
      </c>
      <c r="O1371" s="1" t="n">
        <v>0</v>
      </c>
      <c r="Q1371" s="4" t="n">
        <v>46293</v>
      </c>
      <c r="R1371" s="0" t="n">
        <f aca="false">IF(ISBLANK(F1371),"Missing",IFERROR(YEAR(F1371),"Missing"))</f>
        <v>2025</v>
      </c>
      <c r="S1371" s="0" t="str">
        <f aca="false">IF(ISBLANK(E1371),"Missing",IF(E1371&lt;6,"0-6mo",IF(E1371&lt;12,"6-12mo",IF(E1371&lt;24,"12-24mo","24mo+"))))</f>
        <v>12-24mo</v>
      </c>
      <c r="T1371" s="0" t="n">
        <f aca="false">IF(ISBLANK(C1371),0,IF(C1371="Month-to-month",2,IF(C1371="One year",1,0)))+IF(ISBLANK(I1371),0,IF(I1371&lt;40,2,IF(I1371&lt;55,1,0)))+IF(ISBLANK(M1371),0,IF(M1371=1,3,0))+IF(ISBLANK(L1371),0,IF(L1371&gt;=2,1,0))+IF(ISBLANK(E1371),0,IF(E1371&lt;12,1,0))</f>
        <v>6</v>
      </c>
      <c r="U1371" s="0" t="str">
        <f aca="false">IF((ISBLANK(B1371)*1+ISBLANK(C1371)*1+ISBLANK(D1371)*1+ISBLANK(E1371)*1+ISBLANK(F1371)*1+ISBLANK(I1371)*1+ISBLANK(J1371)*1+ISBLANK(K1371)*1+ISBLANK(L1371)*1+ISBLANK(M1371)*1+ISBLANK(N1371)*1+ISBLANK(O1371)*1)&gt;0,"Missing Data","OK")</f>
        <v>OK</v>
      </c>
      <c r="V1371" s="0" t="str">
        <f aca="false">IF(T1371&gt;=6,"High Risk",IF(T1371&gt;=3,"Medium Risk","Low Risk"))</f>
        <v>High Risk</v>
      </c>
    </row>
    <row r="1372" customFormat="false" ht="12.8" hidden="false" customHeight="false" outlineLevel="0" collapsed="false">
      <c r="A1372" s="1" t="s">
        <v>1402</v>
      </c>
      <c r="B1372" s="1" t="s">
        <v>23</v>
      </c>
      <c r="C1372" s="1" t="s">
        <v>34</v>
      </c>
      <c r="D1372" s="1" t="n">
        <v>19.6</v>
      </c>
      <c r="E1372" s="1" t="n">
        <v>14</v>
      </c>
      <c r="F1372" s="4" t="n">
        <v>45662</v>
      </c>
      <c r="G1372" s="1" t="s">
        <v>25</v>
      </c>
      <c r="H1372" s="1" t="n">
        <v>1</v>
      </c>
      <c r="I1372" s="1" t="n">
        <v>71.7</v>
      </c>
      <c r="J1372" s="1" t="n">
        <v>20</v>
      </c>
      <c r="K1372" s="1" t="n">
        <v>8</v>
      </c>
      <c r="L1372" s="1" t="n">
        <v>1</v>
      </c>
      <c r="M1372" s="1" t="n">
        <v>0</v>
      </c>
      <c r="N1372" s="1" t="n">
        <v>274.4</v>
      </c>
      <c r="O1372" s="1" t="n">
        <v>0</v>
      </c>
      <c r="Q1372" s="4" t="n">
        <v>46088</v>
      </c>
      <c r="R1372" s="0" t="n">
        <f aca="false">IF(ISBLANK(F1372),"Missing",IFERROR(YEAR(F1372),"Missing"))</f>
        <v>2025</v>
      </c>
      <c r="S1372" s="0" t="str">
        <f aca="false">IF(ISBLANK(E1372),"Missing",IF(E1372&lt;6,"0-6mo",IF(E1372&lt;12,"6-12mo",IF(E1372&lt;24,"12-24mo","24mo+"))))</f>
        <v>12-24mo</v>
      </c>
      <c r="T1372" s="0" t="n">
        <f aca="false">IF(ISBLANK(C1372),0,IF(C1372="Month-to-month",2,IF(C1372="One year",1,0)))+IF(ISBLANK(I1372),0,IF(I1372&lt;40,2,IF(I1372&lt;55,1,0)))+IF(ISBLANK(M1372),0,IF(M1372=1,3,0))+IF(ISBLANK(L1372),0,IF(L1372&gt;=2,1,0))+IF(ISBLANK(E1372),0,IF(E1372&lt;12,1,0))</f>
        <v>1</v>
      </c>
      <c r="U1372" s="0" t="str">
        <f aca="false">IF((ISBLANK(B1372)*1+ISBLANK(C1372)*1+ISBLANK(D1372)*1+ISBLANK(E1372)*1+ISBLANK(F1372)*1+ISBLANK(I1372)*1+ISBLANK(J1372)*1+ISBLANK(K1372)*1+ISBLANK(L1372)*1+ISBLANK(M1372)*1+ISBLANK(N1372)*1+ISBLANK(O1372)*1)&gt;0,"Missing Data","OK")</f>
        <v>OK</v>
      </c>
      <c r="V1372" s="0" t="str">
        <f aca="false">IF(T1372&gt;=6,"High Risk",IF(T1372&gt;=3,"Medium Risk","Low Risk"))</f>
        <v>Low Risk</v>
      </c>
    </row>
    <row r="1373" customFormat="false" ht="12.8" hidden="false" customHeight="false" outlineLevel="0" collapsed="false">
      <c r="A1373" s="1" t="s">
        <v>1403</v>
      </c>
      <c r="B1373" s="1" t="s">
        <v>23</v>
      </c>
      <c r="C1373" s="1" t="s">
        <v>34</v>
      </c>
      <c r="D1373" s="1" t="n">
        <v>19.97</v>
      </c>
      <c r="E1373" s="1" t="n">
        <v>14</v>
      </c>
      <c r="F1373" s="4" t="n">
        <v>45668</v>
      </c>
      <c r="G1373" s="1" t="s">
        <v>39</v>
      </c>
      <c r="H1373" s="1" t="n">
        <v>1</v>
      </c>
      <c r="I1373" s="1" t="n">
        <v>61.6</v>
      </c>
      <c r="J1373" s="1" t="n">
        <v>13</v>
      </c>
      <c r="K1373" s="1" t="n">
        <v>7</v>
      </c>
      <c r="L1373" s="1" t="n">
        <v>1</v>
      </c>
      <c r="M1373" s="1" t="n">
        <v>0</v>
      </c>
      <c r="N1373" s="1" t="n">
        <v>279.58</v>
      </c>
      <c r="O1373" s="1" t="n">
        <v>0</v>
      </c>
      <c r="Q1373" s="4" t="n">
        <v>46094</v>
      </c>
      <c r="R1373" s="0" t="n">
        <f aca="false">IF(ISBLANK(F1373),"Missing",IFERROR(YEAR(F1373),"Missing"))</f>
        <v>2025</v>
      </c>
      <c r="S1373" s="0" t="str">
        <f aca="false">IF(ISBLANK(E1373),"Missing",IF(E1373&lt;6,"0-6mo",IF(E1373&lt;12,"6-12mo",IF(E1373&lt;24,"12-24mo","24mo+"))))</f>
        <v>12-24mo</v>
      </c>
      <c r="T1373" s="0" t="n">
        <f aca="false">IF(ISBLANK(C1373),0,IF(C1373="Month-to-month",2,IF(C1373="One year",1,0)))+IF(ISBLANK(I1373),0,IF(I1373&lt;40,2,IF(I1373&lt;55,1,0)))+IF(ISBLANK(M1373),0,IF(M1373=1,3,0))+IF(ISBLANK(L1373),0,IF(L1373&gt;=2,1,0))+IF(ISBLANK(E1373),0,IF(E1373&lt;12,1,0))</f>
        <v>1</v>
      </c>
      <c r="U1373" s="0" t="str">
        <f aca="false">IF((ISBLANK(B1373)*1+ISBLANK(C1373)*1+ISBLANK(D1373)*1+ISBLANK(E1373)*1+ISBLANK(F1373)*1+ISBLANK(I1373)*1+ISBLANK(J1373)*1+ISBLANK(K1373)*1+ISBLANK(L1373)*1+ISBLANK(M1373)*1+ISBLANK(N1373)*1+ISBLANK(O1373)*1)&gt;0,"Missing Data","OK")</f>
        <v>OK</v>
      </c>
      <c r="V1373" s="0" t="str">
        <f aca="false">IF(T1373&gt;=6,"High Risk",IF(T1373&gt;=3,"Medium Risk","Low Risk"))</f>
        <v>Low Risk</v>
      </c>
    </row>
    <row r="1374" customFormat="false" ht="12.8" hidden="false" customHeight="false" outlineLevel="0" collapsed="false">
      <c r="A1374" s="1" t="s">
        <v>1404</v>
      </c>
      <c r="B1374" s="1" t="s">
        <v>23</v>
      </c>
      <c r="C1374" s="1" t="s">
        <v>24</v>
      </c>
      <c r="D1374" s="1" t="n">
        <v>19.51</v>
      </c>
      <c r="E1374" s="1" t="n">
        <v>16</v>
      </c>
      <c r="F1374" s="4" t="n">
        <v>45671</v>
      </c>
      <c r="G1374" s="1" t="s">
        <v>39</v>
      </c>
      <c r="H1374" s="1" t="n">
        <v>1</v>
      </c>
      <c r="I1374" s="1" t="n">
        <v>48.7</v>
      </c>
      <c r="J1374" s="1" t="n">
        <v>16</v>
      </c>
      <c r="K1374" s="1" t="n">
        <v>3</v>
      </c>
      <c r="L1374" s="1" t="n">
        <v>1</v>
      </c>
      <c r="M1374" s="1" t="n">
        <v>1</v>
      </c>
      <c r="N1374" s="1" t="n">
        <v>312.16</v>
      </c>
      <c r="O1374" s="1" t="n">
        <v>0</v>
      </c>
      <c r="Q1374" s="4" t="n">
        <v>46158</v>
      </c>
      <c r="R1374" s="0" t="n">
        <f aca="false">IF(ISBLANK(F1374),"Missing",IFERROR(YEAR(F1374),"Missing"))</f>
        <v>2025</v>
      </c>
      <c r="S1374" s="0" t="str">
        <f aca="false">IF(ISBLANK(E1374),"Missing",IF(E1374&lt;6,"0-6mo",IF(E1374&lt;12,"6-12mo",IF(E1374&lt;24,"12-24mo","24mo+"))))</f>
        <v>12-24mo</v>
      </c>
      <c r="T1374" s="0" t="n">
        <f aca="false">IF(ISBLANK(C1374),0,IF(C1374="Month-to-month",2,IF(C1374="One year",1,0)))+IF(ISBLANK(I1374),0,IF(I1374&lt;40,2,IF(I1374&lt;55,1,0)))+IF(ISBLANK(M1374),0,IF(M1374=1,3,0))+IF(ISBLANK(L1374),0,IF(L1374&gt;=2,1,0))+IF(ISBLANK(E1374),0,IF(E1374&lt;12,1,0))</f>
        <v>6</v>
      </c>
      <c r="U1374" s="0" t="str">
        <f aca="false">IF((ISBLANK(B1374)*1+ISBLANK(C1374)*1+ISBLANK(D1374)*1+ISBLANK(E1374)*1+ISBLANK(F1374)*1+ISBLANK(I1374)*1+ISBLANK(J1374)*1+ISBLANK(K1374)*1+ISBLANK(L1374)*1+ISBLANK(M1374)*1+ISBLANK(N1374)*1+ISBLANK(O1374)*1)&gt;0,"Missing Data","OK")</f>
        <v>OK</v>
      </c>
      <c r="V1374" s="0" t="str">
        <f aca="false">IF(T1374&gt;=6,"High Risk",IF(T1374&gt;=3,"Medium Risk","Low Risk"))</f>
        <v>High Risk</v>
      </c>
    </row>
    <row r="1375" customFormat="false" ht="12.8" hidden="false" customHeight="false" outlineLevel="0" collapsed="false">
      <c r="A1375" s="1" t="s">
        <v>1405</v>
      </c>
      <c r="B1375" s="1" t="s">
        <v>36</v>
      </c>
      <c r="C1375" s="1" t="s">
        <v>51</v>
      </c>
      <c r="D1375" s="1" t="n">
        <v>9.22</v>
      </c>
      <c r="E1375" s="1" t="n">
        <v>3</v>
      </c>
      <c r="F1375" s="4" t="n">
        <v>45672</v>
      </c>
      <c r="G1375" s="1" t="s">
        <v>30</v>
      </c>
      <c r="H1375" s="1" t="n">
        <v>1</v>
      </c>
      <c r="I1375" s="1" t="n">
        <v>64</v>
      </c>
      <c r="J1375" s="1" t="n">
        <v>23</v>
      </c>
      <c r="K1375" s="1" t="n">
        <v>6</v>
      </c>
      <c r="L1375" s="1" t="n">
        <v>1</v>
      </c>
      <c r="M1375" s="1" t="n">
        <v>0</v>
      </c>
      <c r="N1375" s="1" t="n">
        <v>27.66</v>
      </c>
      <c r="O1375" s="1" t="n">
        <v>0</v>
      </c>
      <c r="Q1375" s="4" t="n">
        <v>45763</v>
      </c>
      <c r="R1375" s="0" t="n">
        <f aca="false">IF(ISBLANK(F1375),"Missing",IFERROR(YEAR(F1375),"Missing"))</f>
        <v>2025</v>
      </c>
      <c r="S1375" s="0" t="str">
        <f aca="false">IF(ISBLANK(E1375),"Missing",IF(E1375&lt;6,"0-6mo",IF(E1375&lt;12,"6-12mo",IF(E1375&lt;24,"12-24mo","24mo+"))))</f>
        <v>0-6mo</v>
      </c>
      <c r="T1375" s="0" t="n">
        <f aca="false">IF(ISBLANK(C1375),0,IF(C1375="Month-to-month",2,IF(C1375="One year",1,0)))+IF(ISBLANK(I1375),0,IF(I1375&lt;40,2,IF(I1375&lt;55,1,0)))+IF(ISBLANK(M1375),0,IF(M1375=1,3,0))+IF(ISBLANK(L1375),0,IF(L1375&gt;=2,1,0))+IF(ISBLANK(E1375),0,IF(E1375&lt;12,1,0))</f>
        <v>1</v>
      </c>
      <c r="U1375" s="0" t="str">
        <f aca="false">IF((ISBLANK(B1375)*1+ISBLANK(C1375)*1+ISBLANK(D1375)*1+ISBLANK(E1375)*1+ISBLANK(F1375)*1+ISBLANK(I1375)*1+ISBLANK(J1375)*1+ISBLANK(K1375)*1+ISBLANK(L1375)*1+ISBLANK(M1375)*1+ISBLANK(N1375)*1+ISBLANK(O1375)*1)&gt;0,"Missing Data","OK")</f>
        <v>OK</v>
      </c>
      <c r="V1375" s="0" t="str">
        <f aca="false">IF(T1375&gt;=6,"High Risk",IF(T1375&gt;=3,"Medium Risk","Low Risk"))</f>
        <v>Low Risk</v>
      </c>
    </row>
    <row r="1376" customFormat="false" ht="12.8" hidden="false" customHeight="false" outlineLevel="0" collapsed="false">
      <c r="A1376" s="1" t="s">
        <v>1406</v>
      </c>
      <c r="B1376" s="1" t="s">
        <v>29</v>
      </c>
      <c r="C1376" s="1" t="s">
        <v>24</v>
      </c>
      <c r="D1376" s="1" t="n">
        <v>40.95</v>
      </c>
      <c r="E1376" s="1" t="n">
        <v>12</v>
      </c>
      <c r="F1376" s="4" t="n">
        <v>45676</v>
      </c>
      <c r="G1376" s="1" t="s">
        <v>39</v>
      </c>
      <c r="H1376" s="1" t="n">
        <v>0</v>
      </c>
      <c r="I1376" s="1" t="n">
        <v>60.1</v>
      </c>
      <c r="J1376" s="1" t="n">
        <v>19</v>
      </c>
      <c r="K1376" s="1" t="n">
        <v>4</v>
      </c>
      <c r="L1376" s="1" t="n">
        <v>4</v>
      </c>
      <c r="M1376" s="1" t="n">
        <v>0</v>
      </c>
      <c r="N1376" s="1" t="n">
        <v>491.4</v>
      </c>
      <c r="O1376" s="1" t="n">
        <v>0</v>
      </c>
      <c r="Q1376" s="4" t="n">
        <v>46041</v>
      </c>
      <c r="R1376" s="0" t="n">
        <f aca="false">IF(ISBLANK(F1376),"Missing",IFERROR(YEAR(F1376),"Missing"))</f>
        <v>2025</v>
      </c>
      <c r="S1376" s="0" t="str">
        <f aca="false">IF(ISBLANK(E1376),"Missing",IF(E1376&lt;6,"0-6mo",IF(E1376&lt;12,"6-12mo",IF(E1376&lt;24,"12-24mo","24mo+"))))</f>
        <v>12-24mo</v>
      </c>
      <c r="T1376" s="0" t="n">
        <f aca="false">IF(ISBLANK(C1376),0,IF(C1376="Month-to-month",2,IF(C1376="One year",1,0)))+IF(ISBLANK(I1376),0,IF(I1376&lt;40,2,IF(I1376&lt;55,1,0)))+IF(ISBLANK(M1376),0,IF(M1376=1,3,0))+IF(ISBLANK(L1376),0,IF(L1376&gt;=2,1,0))+IF(ISBLANK(E1376),0,IF(E1376&lt;12,1,0))</f>
        <v>3</v>
      </c>
      <c r="U1376" s="0" t="str">
        <f aca="false">IF((ISBLANK(B1376)*1+ISBLANK(C1376)*1+ISBLANK(D1376)*1+ISBLANK(E1376)*1+ISBLANK(F1376)*1+ISBLANK(I1376)*1+ISBLANK(J1376)*1+ISBLANK(K1376)*1+ISBLANK(L1376)*1+ISBLANK(M1376)*1+ISBLANK(N1376)*1+ISBLANK(O1376)*1)&gt;0,"Missing Data","OK")</f>
        <v>OK</v>
      </c>
      <c r="V1376" s="0" t="str">
        <f aca="false">IF(T1376&gt;=6,"High Risk",IF(T1376&gt;=3,"Medium Risk","Low Risk"))</f>
        <v>Medium Risk</v>
      </c>
    </row>
    <row r="1377" customFormat="false" ht="12.8" hidden="false" customHeight="false" outlineLevel="0" collapsed="false">
      <c r="A1377" s="1" t="s">
        <v>1407</v>
      </c>
      <c r="B1377" s="1" t="s">
        <v>36</v>
      </c>
      <c r="C1377" s="1" t="s">
        <v>34</v>
      </c>
      <c r="D1377" s="1" t="n">
        <v>11.2</v>
      </c>
      <c r="E1377" s="1" t="n">
        <v>11</v>
      </c>
      <c r="F1377" s="4" t="n">
        <v>45677</v>
      </c>
      <c r="G1377" s="1" t="s">
        <v>30</v>
      </c>
      <c r="H1377" s="1" t="n">
        <v>1</v>
      </c>
      <c r="I1377" s="1" t="n">
        <v>55.9</v>
      </c>
      <c r="J1377" s="1" t="n">
        <v>12</v>
      </c>
      <c r="K1377" s="1" t="n">
        <v>7</v>
      </c>
      <c r="L1377" s="1" t="n">
        <v>3</v>
      </c>
      <c r="M1377" s="1" t="n">
        <v>1</v>
      </c>
      <c r="N1377" s="1" t="n">
        <v>123.2</v>
      </c>
      <c r="O1377" s="1" t="n">
        <v>1</v>
      </c>
      <c r="P1377" s="4" t="n">
        <v>46011</v>
      </c>
      <c r="Q1377" s="4" t="n">
        <v>46011</v>
      </c>
      <c r="R1377" s="0" t="n">
        <f aca="false">IF(ISBLANK(F1377),"Missing",IFERROR(YEAR(F1377),"Missing"))</f>
        <v>2025</v>
      </c>
      <c r="S1377" s="0" t="str">
        <f aca="false">IF(ISBLANK(E1377),"Missing",IF(E1377&lt;6,"0-6mo",IF(E1377&lt;12,"6-12mo",IF(E1377&lt;24,"12-24mo","24mo+"))))</f>
        <v>6-12mo</v>
      </c>
      <c r="T1377" s="0" t="n">
        <f aca="false">IF(ISBLANK(C1377),0,IF(C1377="Month-to-month",2,IF(C1377="One year",1,0)))+IF(ISBLANK(I1377),0,IF(I1377&lt;40,2,IF(I1377&lt;55,1,0)))+IF(ISBLANK(M1377),0,IF(M1377=1,3,0))+IF(ISBLANK(L1377),0,IF(L1377&gt;=2,1,0))+IF(ISBLANK(E1377),0,IF(E1377&lt;12,1,0))</f>
        <v>6</v>
      </c>
      <c r="U1377" s="0" t="str">
        <f aca="false">IF((ISBLANK(B1377)*1+ISBLANK(C1377)*1+ISBLANK(D1377)*1+ISBLANK(E1377)*1+ISBLANK(F1377)*1+ISBLANK(I1377)*1+ISBLANK(J1377)*1+ISBLANK(K1377)*1+ISBLANK(L1377)*1+ISBLANK(M1377)*1+ISBLANK(N1377)*1+ISBLANK(O1377)*1)&gt;0,"Missing Data","OK")</f>
        <v>OK</v>
      </c>
      <c r="V1377" s="0" t="str">
        <f aca="false">IF(T1377&gt;=6,"High Risk",IF(T1377&gt;=3,"Medium Risk","Low Risk"))</f>
        <v>High Risk</v>
      </c>
    </row>
    <row r="1378" customFormat="false" ht="12.8" hidden="false" customHeight="false" outlineLevel="0" collapsed="false">
      <c r="A1378" s="1" t="s">
        <v>1408</v>
      </c>
      <c r="B1378" s="1" t="s">
        <v>36</v>
      </c>
      <c r="C1378" s="1" t="s">
        <v>24</v>
      </c>
      <c r="D1378" s="1" t="n">
        <v>11.99</v>
      </c>
      <c r="E1378" s="1" t="n">
        <v>35</v>
      </c>
      <c r="F1378" s="4" t="n">
        <v>45684</v>
      </c>
      <c r="G1378" s="1" t="s">
        <v>30</v>
      </c>
      <c r="H1378" s="1" t="n">
        <v>1</v>
      </c>
      <c r="I1378" s="1" t="n">
        <v>46</v>
      </c>
      <c r="J1378" s="1" t="n">
        <v>16</v>
      </c>
      <c r="K1378" s="1" t="n">
        <v>6</v>
      </c>
      <c r="L1378" s="1" t="n">
        <v>0</v>
      </c>
      <c r="M1378" s="1" t="n">
        <v>0</v>
      </c>
      <c r="N1378" s="1" t="n">
        <v>419.65</v>
      </c>
      <c r="O1378" s="1" t="n">
        <v>0</v>
      </c>
      <c r="Q1378" s="4" t="n">
        <v>46293</v>
      </c>
      <c r="R1378" s="0" t="n">
        <f aca="false">IF(ISBLANK(F1378),"Missing",IFERROR(YEAR(F1378),"Missing"))</f>
        <v>2025</v>
      </c>
      <c r="S1378" s="0" t="str">
        <f aca="false">IF(ISBLANK(E1378),"Missing",IF(E1378&lt;6,"0-6mo",IF(E1378&lt;12,"6-12mo",IF(E1378&lt;24,"12-24mo","24mo+"))))</f>
        <v>24mo+</v>
      </c>
      <c r="T1378" s="0" t="n">
        <f aca="false">IF(ISBLANK(C1378),0,IF(C1378="Month-to-month",2,IF(C1378="One year",1,0)))+IF(ISBLANK(I1378),0,IF(I1378&lt;40,2,IF(I1378&lt;55,1,0)))+IF(ISBLANK(M1378),0,IF(M1378=1,3,0))+IF(ISBLANK(L1378),0,IF(L1378&gt;=2,1,0))+IF(ISBLANK(E1378),0,IF(E1378&lt;12,1,0))</f>
        <v>3</v>
      </c>
      <c r="U1378" s="0" t="str">
        <f aca="false">IF((ISBLANK(B1378)*1+ISBLANK(C1378)*1+ISBLANK(D1378)*1+ISBLANK(E1378)*1+ISBLANK(F1378)*1+ISBLANK(I1378)*1+ISBLANK(J1378)*1+ISBLANK(K1378)*1+ISBLANK(L1378)*1+ISBLANK(M1378)*1+ISBLANK(N1378)*1+ISBLANK(O1378)*1)&gt;0,"Missing Data","OK")</f>
        <v>OK</v>
      </c>
      <c r="V1378" s="0" t="str">
        <f aca="false">IF(T1378&gt;=6,"High Risk",IF(T1378&gt;=3,"Medium Risk","Low Risk"))</f>
        <v>Medium Risk</v>
      </c>
    </row>
    <row r="1379" customFormat="false" ht="12.8" hidden="false" customHeight="false" outlineLevel="0" collapsed="false">
      <c r="A1379" s="1" t="s">
        <v>1409</v>
      </c>
      <c r="B1379" s="1" t="s">
        <v>23</v>
      </c>
      <c r="C1379" s="1" t="s">
        <v>34</v>
      </c>
      <c r="D1379" s="1" t="n">
        <v>19.35</v>
      </c>
      <c r="E1379" s="1" t="n">
        <v>30</v>
      </c>
      <c r="F1379" s="4" t="n">
        <v>45684</v>
      </c>
      <c r="G1379" s="1" t="s">
        <v>30</v>
      </c>
      <c r="H1379" s="1" t="n">
        <v>0</v>
      </c>
      <c r="I1379" s="1" t="n">
        <v>31.9</v>
      </c>
      <c r="J1379" s="1" t="n">
        <v>14</v>
      </c>
      <c r="K1379" s="1" t="n">
        <v>1</v>
      </c>
      <c r="L1379" s="1" t="n">
        <v>1</v>
      </c>
      <c r="M1379" s="1" t="n">
        <v>1</v>
      </c>
      <c r="N1379" s="1" t="n">
        <v>580.5</v>
      </c>
      <c r="O1379" s="1" t="n">
        <v>0</v>
      </c>
      <c r="Q1379" s="4" t="n">
        <v>46293</v>
      </c>
      <c r="R1379" s="0" t="n">
        <f aca="false">IF(ISBLANK(F1379),"Missing",IFERROR(YEAR(F1379),"Missing"))</f>
        <v>2025</v>
      </c>
      <c r="S1379" s="0" t="str">
        <f aca="false">IF(ISBLANK(E1379),"Missing",IF(E1379&lt;6,"0-6mo",IF(E1379&lt;12,"6-12mo",IF(E1379&lt;24,"12-24mo","24mo+"))))</f>
        <v>24mo+</v>
      </c>
      <c r="T1379" s="0" t="n">
        <f aca="false">IF(ISBLANK(C1379),0,IF(C1379="Month-to-month",2,IF(C1379="One year",1,0)))+IF(ISBLANK(I1379),0,IF(I1379&lt;40,2,IF(I1379&lt;55,1,0)))+IF(ISBLANK(M1379),0,IF(M1379=1,3,0))+IF(ISBLANK(L1379),0,IF(L1379&gt;=2,1,0))+IF(ISBLANK(E1379),0,IF(E1379&lt;12,1,0))</f>
        <v>6</v>
      </c>
      <c r="U1379" s="0" t="str">
        <f aca="false">IF((ISBLANK(B1379)*1+ISBLANK(C1379)*1+ISBLANK(D1379)*1+ISBLANK(E1379)*1+ISBLANK(F1379)*1+ISBLANK(I1379)*1+ISBLANK(J1379)*1+ISBLANK(K1379)*1+ISBLANK(L1379)*1+ISBLANK(M1379)*1+ISBLANK(N1379)*1+ISBLANK(O1379)*1)&gt;0,"Missing Data","OK")</f>
        <v>OK</v>
      </c>
      <c r="V1379" s="0" t="str">
        <f aca="false">IF(T1379&gt;=6,"High Risk",IF(T1379&gt;=3,"Medium Risk","Low Risk"))</f>
        <v>High Risk</v>
      </c>
    </row>
    <row r="1380" customFormat="false" ht="12.8" hidden="false" customHeight="false" outlineLevel="0" collapsed="false">
      <c r="A1380" s="1" t="s">
        <v>1410</v>
      </c>
      <c r="B1380" s="1" t="s">
        <v>29</v>
      </c>
      <c r="C1380" s="1" t="s">
        <v>51</v>
      </c>
      <c r="D1380" s="1" t="n">
        <v>39.79</v>
      </c>
      <c r="E1380" s="1" t="n">
        <v>22</v>
      </c>
      <c r="F1380" s="4" t="n">
        <v>45686</v>
      </c>
      <c r="G1380" s="1" t="s">
        <v>27</v>
      </c>
      <c r="H1380" s="1" t="n">
        <v>0</v>
      </c>
      <c r="I1380" s="1" t="n">
        <v>53.7</v>
      </c>
      <c r="J1380" s="1" t="n">
        <v>20</v>
      </c>
      <c r="K1380" s="1" t="n">
        <v>5</v>
      </c>
      <c r="L1380" s="1" t="n">
        <v>1</v>
      </c>
      <c r="M1380" s="1" t="n">
        <v>0</v>
      </c>
      <c r="N1380" s="1" t="n">
        <v>875.38</v>
      </c>
      <c r="O1380" s="1" t="n">
        <v>0</v>
      </c>
      <c r="Q1380" s="4" t="n">
        <v>46293</v>
      </c>
      <c r="R1380" s="0" t="n">
        <f aca="false">IF(ISBLANK(F1380),"Missing",IFERROR(YEAR(F1380),"Missing"))</f>
        <v>2025</v>
      </c>
      <c r="S1380" s="0" t="str">
        <f aca="false">IF(ISBLANK(E1380),"Missing",IF(E1380&lt;6,"0-6mo",IF(E1380&lt;12,"6-12mo",IF(E1380&lt;24,"12-24mo","24mo+"))))</f>
        <v>12-24mo</v>
      </c>
      <c r="T1380" s="0" t="n">
        <f aca="false">IF(ISBLANK(C1380),0,IF(C1380="Month-to-month",2,IF(C1380="One year",1,0)))+IF(ISBLANK(I1380),0,IF(I1380&lt;40,2,IF(I1380&lt;55,1,0)))+IF(ISBLANK(M1380),0,IF(M1380=1,3,0))+IF(ISBLANK(L1380),0,IF(L1380&gt;=2,1,0))+IF(ISBLANK(E1380),0,IF(E1380&lt;12,1,0))</f>
        <v>1</v>
      </c>
      <c r="U1380" s="0" t="str">
        <f aca="false">IF((ISBLANK(B1380)*1+ISBLANK(C1380)*1+ISBLANK(D1380)*1+ISBLANK(E1380)*1+ISBLANK(F1380)*1+ISBLANK(I1380)*1+ISBLANK(J1380)*1+ISBLANK(K1380)*1+ISBLANK(L1380)*1+ISBLANK(M1380)*1+ISBLANK(N1380)*1+ISBLANK(O1380)*1)&gt;0,"Missing Data","OK")</f>
        <v>OK</v>
      </c>
      <c r="V1380" s="0" t="str">
        <f aca="false">IF(T1380&gt;=6,"High Risk",IF(T1380&gt;=3,"Medium Risk","Low Risk"))</f>
        <v>Low Risk</v>
      </c>
    </row>
    <row r="1381" customFormat="false" ht="12.8" hidden="false" customHeight="false" outlineLevel="0" collapsed="false">
      <c r="A1381" s="1" t="s">
        <v>1411</v>
      </c>
      <c r="B1381" s="1" t="s">
        <v>29</v>
      </c>
      <c r="C1381" s="1" t="s">
        <v>24</v>
      </c>
      <c r="D1381" s="1" t="n">
        <v>40.32</v>
      </c>
      <c r="E1381" s="1" t="n">
        <v>27</v>
      </c>
      <c r="F1381" s="4" t="n">
        <v>45687</v>
      </c>
      <c r="G1381" s="1" t="s">
        <v>27</v>
      </c>
      <c r="H1381" s="1" t="n">
        <v>1</v>
      </c>
      <c r="I1381" s="1" t="n">
        <v>60.3</v>
      </c>
      <c r="J1381" s="1" t="n">
        <v>15</v>
      </c>
      <c r="K1381" s="1" t="n">
        <v>4</v>
      </c>
      <c r="L1381" s="1" t="n">
        <v>0</v>
      </c>
      <c r="M1381" s="1" t="n">
        <v>0</v>
      </c>
      <c r="N1381" s="1" t="n">
        <v>1088.64</v>
      </c>
      <c r="O1381" s="1" t="n">
        <v>0</v>
      </c>
      <c r="Q1381" s="4" t="n">
        <v>46293</v>
      </c>
      <c r="R1381" s="0" t="n">
        <f aca="false">IF(ISBLANK(F1381),"Missing",IFERROR(YEAR(F1381),"Missing"))</f>
        <v>2025</v>
      </c>
      <c r="S1381" s="0" t="str">
        <f aca="false">IF(ISBLANK(E1381),"Missing",IF(E1381&lt;6,"0-6mo",IF(E1381&lt;12,"6-12mo",IF(E1381&lt;24,"12-24mo","24mo+"))))</f>
        <v>24mo+</v>
      </c>
      <c r="T1381" s="0" t="n">
        <f aca="false">IF(ISBLANK(C1381),0,IF(C1381="Month-to-month",2,IF(C1381="One year",1,0)))+IF(ISBLANK(I1381),0,IF(I1381&lt;40,2,IF(I1381&lt;55,1,0)))+IF(ISBLANK(M1381),0,IF(M1381=1,3,0))+IF(ISBLANK(L1381),0,IF(L1381&gt;=2,1,0))+IF(ISBLANK(E1381),0,IF(E1381&lt;12,1,0))</f>
        <v>2</v>
      </c>
      <c r="U1381" s="0" t="str">
        <f aca="false">IF((ISBLANK(B1381)*1+ISBLANK(C1381)*1+ISBLANK(D1381)*1+ISBLANK(E1381)*1+ISBLANK(F1381)*1+ISBLANK(I1381)*1+ISBLANK(J1381)*1+ISBLANK(K1381)*1+ISBLANK(L1381)*1+ISBLANK(M1381)*1+ISBLANK(N1381)*1+ISBLANK(O1381)*1)&gt;0,"Missing Data","OK")</f>
        <v>OK</v>
      </c>
      <c r="V1381" s="0" t="str">
        <f aca="false">IF(T1381&gt;=6,"High Risk",IF(T1381&gt;=3,"Medium Risk","Low Risk"))</f>
        <v>Low Risk</v>
      </c>
    </row>
    <row r="1382" customFormat="false" ht="12.8" hidden="false" customHeight="false" outlineLevel="0" collapsed="false">
      <c r="A1382" s="1" t="s">
        <v>1412</v>
      </c>
      <c r="B1382" s="1" t="s">
        <v>36</v>
      </c>
      <c r="C1382" s="1" t="s">
        <v>24</v>
      </c>
      <c r="D1382" s="1" t="n">
        <v>10.56</v>
      </c>
      <c r="E1382" s="1" t="n">
        <v>21</v>
      </c>
      <c r="F1382" s="4" t="n">
        <v>45687</v>
      </c>
      <c r="G1382" s="1" t="s">
        <v>39</v>
      </c>
      <c r="H1382" s="1" t="n">
        <v>1</v>
      </c>
      <c r="I1382" s="1" t="n">
        <v>34.5</v>
      </c>
      <c r="J1382" s="1" t="n">
        <v>8</v>
      </c>
      <c r="K1382" s="1" t="n">
        <v>2</v>
      </c>
      <c r="L1382" s="1" t="n">
        <v>1</v>
      </c>
      <c r="M1382" s="1" t="n">
        <v>0</v>
      </c>
      <c r="N1382" s="1" t="n">
        <v>221.76</v>
      </c>
      <c r="O1382" s="1" t="n">
        <v>0</v>
      </c>
      <c r="Q1382" s="4" t="n">
        <v>46293</v>
      </c>
      <c r="R1382" s="0" t="n">
        <f aca="false">IF(ISBLANK(F1382),"Missing",IFERROR(YEAR(F1382),"Missing"))</f>
        <v>2025</v>
      </c>
      <c r="S1382" s="0" t="str">
        <f aca="false">IF(ISBLANK(E1382),"Missing",IF(E1382&lt;6,"0-6mo",IF(E1382&lt;12,"6-12mo",IF(E1382&lt;24,"12-24mo","24mo+"))))</f>
        <v>12-24mo</v>
      </c>
      <c r="T1382" s="0" t="n">
        <f aca="false">IF(ISBLANK(C1382),0,IF(C1382="Month-to-month",2,IF(C1382="One year",1,0)))+IF(ISBLANK(I1382),0,IF(I1382&lt;40,2,IF(I1382&lt;55,1,0)))+IF(ISBLANK(M1382),0,IF(M1382=1,3,0))+IF(ISBLANK(L1382),0,IF(L1382&gt;=2,1,0))+IF(ISBLANK(E1382),0,IF(E1382&lt;12,1,0))</f>
        <v>4</v>
      </c>
      <c r="U1382" s="0" t="str">
        <f aca="false">IF((ISBLANK(B1382)*1+ISBLANK(C1382)*1+ISBLANK(D1382)*1+ISBLANK(E1382)*1+ISBLANK(F1382)*1+ISBLANK(I1382)*1+ISBLANK(J1382)*1+ISBLANK(K1382)*1+ISBLANK(L1382)*1+ISBLANK(M1382)*1+ISBLANK(N1382)*1+ISBLANK(O1382)*1)&gt;0,"Missing Data","OK")</f>
        <v>OK</v>
      </c>
      <c r="V1382" s="0" t="str">
        <f aca="false">IF(T1382&gt;=6,"High Risk",IF(T1382&gt;=3,"Medium Risk","Low Risk"))</f>
        <v>Medium Risk</v>
      </c>
    </row>
    <row r="1383" customFormat="false" ht="12.8" hidden="false" customHeight="false" outlineLevel="0" collapsed="false">
      <c r="A1383" s="1" t="s">
        <v>1413</v>
      </c>
      <c r="B1383" s="1" t="s">
        <v>23</v>
      </c>
      <c r="C1383" s="1" t="s">
        <v>24</v>
      </c>
      <c r="D1383" s="1" t="n">
        <v>19.64</v>
      </c>
      <c r="E1383" s="1" t="n">
        <v>40</v>
      </c>
      <c r="F1383" s="4" t="n">
        <v>45690</v>
      </c>
      <c r="G1383" s="1" t="s">
        <v>30</v>
      </c>
      <c r="H1383" s="1" t="n">
        <v>1</v>
      </c>
      <c r="I1383" s="1" t="n">
        <v>55.7</v>
      </c>
      <c r="J1383" s="1" t="n">
        <v>21</v>
      </c>
      <c r="K1383" s="1" t="n">
        <v>6</v>
      </c>
      <c r="L1383" s="1" t="n">
        <v>1</v>
      </c>
      <c r="M1383" s="1" t="n">
        <v>0</v>
      </c>
      <c r="N1383" s="1" t="n">
        <v>785.6</v>
      </c>
      <c r="O1383" s="1" t="n">
        <v>0</v>
      </c>
      <c r="Q1383" s="4" t="n">
        <v>46293</v>
      </c>
      <c r="R1383" s="0" t="n">
        <f aca="false">IF(ISBLANK(F1383),"Missing",IFERROR(YEAR(F1383),"Missing"))</f>
        <v>2025</v>
      </c>
      <c r="S1383" s="0" t="str">
        <f aca="false">IF(ISBLANK(E1383),"Missing",IF(E1383&lt;6,"0-6mo",IF(E1383&lt;12,"6-12mo",IF(E1383&lt;24,"12-24mo","24mo+"))))</f>
        <v>24mo+</v>
      </c>
      <c r="T1383" s="0" t="n">
        <f aca="false">IF(ISBLANK(C1383),0,IF(C1383="Month-to-month",2,IF(C1383="One year",1,0)))+IF(ISBLANK(I1383),0,IF(I1383&lt;40,2,IF(I1383&lt;55,1,0)))+IF(ISBLANK(M1383),0,IF(M1383=1,3,0))+IF(ISBLANK(L1383),0,IF(L1383&gt;=2,1,0))+IF(ISBLANK(E1383),0,IF(E1383&lt;12,1,0))</f>
        <v>2</v>
      </c>
      <c r="U1383" s="0" t="str">
        <f aca="false">IF((ISBLANK(B1383)*1+ISBLANK(C1383)*1+ISBLANK(D1383)*1+ISBLANK(E1383)*1+ISBLANK(F1383)*1+ISBLANK(I1383)*1+ISBLANK(J1383)*1+ISBLANK(K1383)*1+ISBLANK(L1383)*1+ISBLANK(M1383)*1+ISBLANK(N1383)*1+ISBLANK(O1383)*1)&gt;0,"Missing Data","OK")</f>
        <v>OK</v>
      </c>
      <c r="V1383" s="0" t="str">
        <f aca="false">IF(T1383&gt;=6,"High Risk",IF(T1383&gt;=3,"Medium Risk","Low Risk"))</f>
        <v>Low Risk</v>
      </c>
    </row>
    <row r="1384" customFormat="false" ht="12.8" hidden="false" customHeight="false" outlineLevel="0" collapsed="false">
      <c r="A1384" s="1" t="s">
        <v>1414</v>
      </c>
      <c r="B1384" s="1" t="s">
        <v>36</v>
      </c>
      <c r="C1384" s="1" t="s">
        <v>24</v>
      </c>
      <c r="D1384" s="1" t="n">
        <v>10.54</v>
      </c>
      <c r="E1384" s="1" t="n">
        <v>10</v>
      </c>
      <c r="F1384" s="4" t="n">
        <v>45690</v>
      </c>
      <c r="G1384" s="1" t="s">
        <v>25</v>
      </c>
      <c r="H1384" s="1" t="n">
        <v>1</v>
      </c>
      <c r="I1384" s="1" t="n">
        <v>24.5</v>
      </c>
      <c r="J1384" s="1" t="n">
        <v>7</v>
      </c>
      <c r="K1384" s="1" t="n">
        <v>1</v>
      </c>
      <c r="L1384" s="1" t="n">
        <v>4</v>
      </c>
      <c r="M1384" s="1" t="n">
        <v>0</v>
      </c>
      <c r="N1384" s="1" t="n">
        <v>105.4</v>
      </c>
      <c r="O1384" s="1" t="n">
        <v>1</v>
      </c>
      <c r="P1384" s="4" t="n">
        <v>45994</v>
      </c>
      <c r="Q1384" s="4" t="n">
        <v>45994</v>
      </c>
      <c r="R1384" s="0" t="n">
        <f aca="false">IF(ISBLANK(F1384),"Missing",IFERROR(YEAR(F1384),"Missing"))</f>
        <v>2025</v>
      </c>
      <c r="S1384" s="0" t="str">
        <f aca="false">IF(ISBLANK(E1384),"Missing",IF(E1384&lt;6,"0-6mo",IF(E1384&lt;12,"6-12mo",IF(E1384&lt;24,"12-24mo","24mo+"))))</f>
        <v>6-12mo</v>
      </c>
      <c r="T1384" s="0" t="n">
        <f aca="false">IF(ISBLANK(C1384),0,IF(C1384="Month-to-month",2,IF(C1384="One year",1,0)))+IF(ISBLANK(I1384),0,IF(I1384&lt;40,2,IF(I1384&lt;55,1,0)))+IF(ISBLANK(M1384),0,IF(M1384=1,3,0))+IF(ISBLANK(L1384),0,IF(L1384&gt;=2,1,0))+IF(ISBLANK(E1384),0,IF(E1384&lt;12,1,0))</f>
        <v>6</v>
      </c>
      <c r="U1384" s="0" t="str">
        <f aca="false">IF((ISBLANK(B1384)*1+ISBLANK(C1384)*1+ISBLANK(D1384)*1+ISBLANK(E1384)*1+ISBLANK(F1384)*1+ISBLANK(I1384)*1+ISBLANK(J1384)*1+ISBLANK(K1384)*1+ISBLANK(L1384)*1+ISBLANK(M1384)*1+ISBLANK(N1384)*1+ISBLANK(O1384)*1)&gt;0,"Missing Data","OK")</f>
        <v>OK</v>
      </c>
      <c r="V1384" s="0" t="str">
        <f aca="false">IF(T1384&gt;=6,"High Risk",IF(T1384&gt;=3,"Medium Risk","Low Risk"))</f>
        <v>High Risk</v>
      </c>
    </row>
    <row r="1385" customFormat="false" ht="12.8" hidden="false" customHeight="false" outlineLevel="0" collapsed="false">
      <c r="A1385" s="1" t="s">
        <v>1415</v>
      </c>
      <c r="B1385" s="1" t="s">
        <v>36</v>
      </c>
      <c r="C1385" s="1" t="s">
        <v>24</v>
      </c>
      <c r="D1385" s="1" t="n">
        <v>8.37</v>
      </c>
      <c r="E1385" s="1" t="n">
        <v>4</v>
      </c>
      <c r="F1385" s="4" t="n">
        <v>45692</v>
      </c>
      <c r="G1385" s="1" t="s">
        <v>39</v>
      </c>
      <c r="H1385" s="1" t="n">
        <v>1</v>
      </c>
      <c r="I1385" s="1" t="n">
        <v>76.8</v>
      </c>
      <c r="J1385" s="1" t="n">
        <v>19</v>
      </c>
      <c r="K1385" s="1" t="n">
        <v>9</v>
      </c>
      <c r="L1385" s="1" t="n">
        <v>1</v>
      </c>
      <c r="M1385" s="1" t="n">
        <v>1</v>
      </c>
      <c r="N1385" s="1" t="n">
        <v>33.48</v>
      </c>
      <c r="O1385" s="1" t="n">
        <v>0</v>
      </c>
      <c r="Q1385" s="4" t="n">
        <v>45813</v>
      </c>
      <c r="R1385" s="0" t="n">
        <f aca="false">IF(ISBLANK(F1385),"Missing",IFERROR(YEAR(F1385),"Missing"))</f>
        <v>2025</v>
      </c>
      <c r="S1385" s="0" t="str">
        <f aca="false">IF(ISBLANK(E1385),"Missing",IF(E1385&lt;6,"0-6mo",IF(E1385&lt;12,"6-12mo",IF(E1385&lt;24,"12-24mo","24mo+"))))</f>
        <v>0-6mo</v>
      </c>
      <c r="T1385" s="0" t="n">
        <f aca="false">IF(ISBLANK(C1385),0,IF(C1385="Month-to-month",2,IF(C1385="One year",1,0)))+IF(ISBLANK(I1385),0,IF(I1385&lt;40,2,IF(I1385&lt;55,1,0)))+IF(ISBLANK(M1385),0,IF(M1385=1,3,0))+IF(ISBLANK(L1385),0,IF(L1385&gt;=2,1,0))+IF(ISBLANK(E1385),0,IF(E1385&lt;12,1,0))</f>
        <v>6</v>
      </c>
      <c r="U1385" s="0" t="str">
        <f aca="false">IF((ISBLANK(B1385)*1+ISBLANK(C1385)*1+ISBLANK(D1385)*1+ISBLANK(E1385)*1+ISBLANK(F1385)*1+ISBLANK(I1385)*1+ISBLANK(J1385)*1+ISBLANK(K1385)*1+ISBLANK(L1385)*1+ISBLANK(M1385)*1+ISBLANK(N1385)*1+ISBLANK(O1385)*1)&gt;0,"Missing Data","OK")</f>
        <v>OK</v>
      </c>
      <c r="V1385" s="0" t="str">
        <f aca="false">IF(T1385&gt;=6,"High Risk",IF(T1385&gt;=3,"Medium Risk","Low Risk"))</f>
        <v>High Risk</v>
      </c>
    </row>
    <row r="1386" customFormat="false" ht="12.8" hidden="false" customHeight="false" outlineLevel="0" collapsed="false">
      <c r="A1386" s="1" t="s">
        <v>1416</v>
      </c>
      <c r="B1386" s="1" t="s">
        <v>23</v>
      </c>
      <c r="C1386" s="1" t="s">
        <v>34</v>
      </c>
      <c r="D1386" s="1" t="n">
        <v>20.59</v>
      </c>
      <c r="E1386" s="1" t="n">
        <v>37</v>
      </c>
      <c r="F1386" s="4" t="n">
        <v>45694</v>
      </c>
      <c r="G1386" s="1" t="s">
        <v>25</v>
      </c>
      <c r="H1386" s="1" t="n">
        <v>0</v>
      </c>
      <c r="I1386" s="1" t="n">
        <v>38.2</v>
      </c>
      <c r="J1386" s="1" t="n">
        <v>14</v>
      </c>
      <c r="K1386" s="1" t="n">
        <v>3</v>
      </c>
      <c r="L1386" s="1" t="n">
        <v>1</v>
      </c>
      <c r="M1386" s="1" t="n">
        <v>0</v>
      </c>
      <c r="N1386" s="1" t="n">
        <v>761.83</v>
      </c>
      <c r="O1386" s="1" t="n">
        <v>0</v>
      </c>
      <c r="Q1386" s="4" t="n">
        <v>46293</v>
      </c>
      <c r="R1386" s="0" t="n">
        <f aca="false">IF(ISBLANK(F1386),"Missing",IFERROR(YEAR(F1386),"Missing"))</f>
        <v>2025</v>
      </c>
      <c r="S1386" s="0" t="str">
        <f aca="false">IF(ISBLANK(E1386),"Missing",IF(E1386&lt;6,"0-6mo",IF(E1386&lt;12,"6-12mo",IF(E1386&lt;24,"12-24mo","24mo+"))))</f>
        <v>24mo+</v>
      </c>
      <c r="T1386" s="0" t="n">
        <f aca="false">IF(ISBLANK(C1386),0,IF(C1386="Month-to-month",2,IF(C1386="One year",1,0)))+IF(ISBLANK(I1386),0,IF(I1386&lt;40,2,IF(I1386&lt;55,1,0)))+IF(ISBLANK(M1386),0,IF(M1386=1,3,0))+IF(ISBLANK(L1386),0,IF(L1386&gt;=2,1,0))+IF(ISBLANK(E1386),0,IF(E1386&lt;12,1,0))</f>
        <v>3</v>
      </c>
      <c r="U1386" s="0" t="str">
        <f aca="false">IF((ISBLANK(B1386)*1+ISBLANK(C1386)*1+ISBLANK(D1386)*1+ISBLANK(E1386)*1+ISBLANK(F1386)*1+ISBLANK(I1386)*1+ISBLANK(J1386)*1+ISBLANK(K1386)*1+ISBLANK(L1386)*1+ISBLANK(M1386)*1+ISBLANK(N1386)*1+ISBLANK(O1386)*1)&gt;0,"Missing Data","OK")</f>
        <v>OK</v>
      </c>
      <c r="V1386" s="0" t="str">
        <f aca="false">IF(T1386&gt;=6,"High Risk",IF(T1386&gt;=3,"Medium Risk","Low Risk"))</f>
        <v>Medium Risk</v>
      </c>
    </row>
    <row r="1387" customFormat="false" ht="12.8" hidden="false" customHeight="false" outlineLevel="0" collapsed="false">
      <c r="A1387" s="1" t="s">
        <v>1417</v>
      </c>
      <c r="B1387" s="1" t="s">
        <v>36</v>
      </c>
      <c r="C1387" s="1" t="s">
        <v>24</v>
      </c>
      <c r="D1387" s="1" t="n">
        <v>9.28</v>
      </c>
      <c r="E1387" s="1" t="n">
        <v>14</v>
      </c>
      <c r="F1387" s="4" t="n">
        <v>45694</v>
      </c>
      <c r="G1387" s="1" t="s">
        <v>30</v>
      </c>
      <c r="H1387" s="1" t="n">
        <v>0</v>
      </c>
      <c r="I1387" s="1" t="n">
        <v>48.1</v>
      </c>
      <c r="J1387" s="1" t="n">
        <v>15</v>
      </c>
      <c r="K1387" s="1" t="n">
        <v>5</v>
      </c>
      <c r="L1387" s="1" t="n">
        <v>0</v>
      </c>
      <c r="M1387" s="1" t="n">
        <v>0</v>
      </c>
      <c r="N1387" s="1" t="n">
        <v>129.92</v>
      </c>
      <c r="O1387" s="1" t="n">
        <v>1</v>
      </c>
      <c r="P1387" s="4" t="n">
        <v>46120</v>
      </c>
      <c r="Q1387" s="4" t="n">
        <v>46120</v>
      </c>
      <c r="R1387" s="0" t="n">
        <f aca="false">IF(ISBLANK(F1387),"Missing",IFERROR(YEAR(F1387),"Missing"))</f>
        <v>2025</v>
      </c>
      <c r="S1387" s="0" t="str">
        <f aca="false">IF(ISBLANK(E1387),"Missing",IF(E1387&lt;6,"0-6mo",IF(E1387&lt;12,"6-12mo",IF(E1387&lt;24,"12-24mo","24mo+"))))</f>
        <v>12-24mo</v>
      </c>
      <c r="T1387" s="0" t="n">
        <f aca="false">IF(ISBLANK(C1387),0,IF(C1387="Month-to-month",2,IF(C1387="One year",1,0)))+IF(ISBLANK(I1387),0,IF(I1387&lt;40,2,IF(I1387&lt;55,1,0)))+IF(ISBLANK(M1387),0,IF(M1387=1,3,0))+IF(ISBLANK(L1387),0,IF(L1387&gt;=2,1,0))+IF(ISBLANK(E1387),0,IF(E1387&lt;12,1,0))</f>
        <v>3</v>
      </c>
      <c r="U1387" s="0" t="str">
        <f aca="false">IF((ISBLANK(B1387)*1+ISBLANK(C1387)*1+ISBLANK(D1387)*1+ISBLANK(E1387)*1+ISBLANK(F1387)*1+ISBLANK(I1387)*1+ISBLANK(J1387)*1+ISBLANK(K1387)*1+ISBLANK(L1387)*1+ISBLANK(M1387)*1+ISBLANK(N1387)*1+ISBLANK(O1387)*1)&gt;0,"Missing Data","OK")</f>
        <v>OK</v>
      </c>
      <c r="V1387" s="0" t="str">
        <f aca="false">IF(T1387&gt;=6,"High Risk",IF(T1387&gt;=3,"Medium Risk","Low Risk"))</f>
        <v>Medium Risk</v>
      </c>
    </row>
    <row r="1388" customFormat="false" ht="12.8" hidden="false" customHeight="false" outlineLevel="0" collapsed="false">
      <c r="A1388" s="1" t="s">
        <v>1418</v>
      </c>
      <c r="B1388" s="1" t="s">
        <v>36</v>
      </c>
      <c r="C1388" s="1" t="s">
        <v>34</v>
      </c>
      <c r="D1388" s="1" t="n">
        <v>10.31</v>
      </c>
      <c r="E1388" s="1" t="n">
        <v>0</v>
      </c>
      <c r="F1388" s="4" t="n">
        <v>45696</v>
      </c>
      <c r="G1388" s="1" t="s">
        <v>25</v>
      </c>
      <c r="H1388" s="1" t="n">
        <v>1</v>
      </c>
      <c r="I1388" s="1" t="n">
        <v>97.9</v>
      </c>
      <c r="J1388" s="1" t="n">
        <v>27</v>
      </c>
      <c r="K1388" s="1" t="n">
        <v>9</v>
      </c>
      <c r="L1388" s="1" t="n">
        <v>0</v>
      </c>
      <c r="M1388" s="1" t="n">
        <v>0</v>
      </c>
      <c r="N1388" s="1" t="n">
        <v>0</v>
      </c>
      <c r="O1388" s="1" t="n">
        <v>0</v>
      </c>
      <c r="Q1388" s="4" t="n">
        <v>45696</v>
      </c>
      <c r="R1388" s="0" t="n">
        <f aca="false">IF(ISBLANK(F1388),"Missing",IFERROR(YEAR(F1388),"Missing"))</f>
        <v>2025</v>
      </c>
      <c r="S1388" s="0" t="str">
        <f aca="false">IF(ISBLANK(E1388),"Missing",IF(E1388&lt;6,"0-6mo",IF(E1388&lt;12,"6-12mo",IF(E1388&lt;24,"12-24mo","24mo+"))))</f>
        <v>0-6mo</v>
      </c>
      <c r="T1388" s="0" t="n">
        <f aca="false">IF(ISBLANK(C1388),0,IF(C1388="Month-to-month",2,IF(C1388="One year",1,0)))+IF(ISBLANK(I1388),0,IF(I1388&lt;40,2,IF(I1388&lt;55,1,0)))+IF(ISBLANK(M1388),0,IF(M1388=1,3,0))+IF(ISBLANK(L1388),0,IF(L1388&gt;=2,1,0))+IF(ISBLANK(E1388),0,IF(E1388&lt;12,1,0))</f>
        <v>2</v>
      </c>
      <c r="U1388" s="0" t="str">
        <f aca="false">IF((ISBLANK(B1388)*1+ISBLANK(C1388)*1+ISBLANK(D1388)*1+ISBLANK(E1388)*1+ISBLANK(F1388)*1+ISBLANK(I1388)*1+ISBLANK(J1388)*1+ISBLANK(K1388)*1+ISBLANK(L1388)*1+ISBLANK(M1388)*1+ISBLANK(N1388)*1+ISBLANK(O1388)*1)&gt;0,"Missing Data","OK")</f>
        <v>OK</v>
      </c>
      <c r="V1388" s="0" t="str">
        <f aca="false">IF(T1388&gt;=6,"High Risk",IF(T1388&gt;=3,"Medium Risk","Low Risk"))</f>
        <v>Low Risk</v>
      </c>
    </row>
    <row r="1389" customFormat="false" ht="12.8" hidden="false" customHeight="false" outlineLevel="0" collapsed="false">
      <c r="A1389" s="1" t="s">
        <v>1419</v>
      </c>
      <c r="B1389" s="1" t="s">
        <v>29</v>
      </c>
      <c r="C1389" s="1" t="s">
        <v>24</v>
      </c>
      <c r="D1389" s="1" t="n">
        <v>40.44</v>
      </c>
      <c r="E1389" s="1" t="n">
        <v>24</v>
      </c>
      <c r="F1389" s="4" t="n">
        <v>45699</v>
      </c>
      <c r="G1389" s="1" t="s">
        <v>27</v>
      </c>
      <c r="H1389" s="1" t="n">
        <v>1</v>
      </c>
      <c r="I1389" s="1" t="n">
        <v>76.7</v>
      </c>
      <c r="J1389" s="1" t="n">
        <v>20</v>
      </c>
      <c r="K1389" s="1" t="n">
        <v>5</v>
      </c>
      <c r="L1389" s="1" t="n">
        <v>0</v>
      </c>
      <c r="M1389" s="1" t="n">
        <v>0</v>
      </c>
      <c r="N1389" s="1" t="n">
        <v>970.56</v>
      </c>
      <c r="O1389" s="1" t="n">
        <v>0</v>
      </c>
      <c r="Q1389" s="4" t="n">
        <v>46293</v>
      </c>
      <c r="R1389" s="0" t="n">
        <f aca="false">IF(ISBLANK(F1389),"Missing",IFERROR(YEAR(F1389),"Missing"))</f>
        <v>2025</v>
      </c>
      <c r="S1389" s="0" t="str">
        <f aca="false">IF(ISBLANK(E1389),"Missing",IF(E1389&lt;6,"0-6mo",IF(E1389&lt;12,"6-12mo",IF(E1389&lt;24,"12-24mo","24mo+"))))</f>
        <v>24mo+</v>
      </c>
      <c r="T1389" s="0" t="n">
        <f aca="false">IF(ISBLANK(C1389),0,IF(C1389="Month-to-month",2,IF(C1389="One year",1,0)))+IF(ISBLANK(I1389),0,IF(I1389&lt;40,2,IF(I1389&lt;55,1,0)))+IF(ISBLANK(M1389),0,IF(M1389=1,3,0))+IF(ISBLANK(L1389),0,IF(L1389&gt;=2,1,0))+IF(ISBLANK(E1389),0,IF(E1389&lt;12,1,0))</f>
        <v>2</v>
      </c>
      <c r="U1389" s="0" t="str">
        <f aca="false">IF((ISBLANK(B1389)*1+ISBLANK(C1389)*1+ISBLANK(D1389)*1+ISBLANK(E1389)*1+ISBLANK(F1389)*1+ISBLANK(I1389)*1+ISBLANK(J1389)*1+ISBLANK(K1389)*1+ISBLANK(L1389)*1+ISBLANK(M1389)*1+ISBLANK(N1389)*1+ISBLANK(O1389)*1)&gt;0,"Missing Data","OK")</f>
        <v>OK</v>
      </c>
      <c r="V1389" s="0" t="str">
        <f aca="false">IF(T1389&gt;=6,"High Risk",IF(T1389&gt;=3,"Medium Risk","Low Risk"))</f>
        <v>Low Risk</v>
      </c>
    </row>
    <row r="1390" customFormat="false" ht="12.8" hidden="false" customHeight="false" outlineLevel="0" collapsed="false">
      <c r="A1390" s="1" t="s">
        <v>1420</v>
      </c>
      <c r="B1390" s="1" t="s">
        <v>29</v>
      </c>
      <c r="C1390" s="1" t="s">
        <v>24</v>
      </c>
      <c r="D1390" s="1" t="n">
        <v>41.27</v>
      </c>
      <c r="E1390" s="1" t="n">
        <v>27</v>
      </c>
      <c r="F1390" s="4" t="n">
        <v>45700</v>
      </c>
      <c r="G1390" s="1" t="s">
        <v>39</v>
      </c>
      <c r="H1390" s="1" t="n">
        <v>0</v>
      </c>
      <c r="I1390" s="1" t="n">
        <v>90.5</v>
      </c>
      <c r="J1390" s="1" t="n">
        <v>27</v>
      </c>
      <c r="K1390" s="1" t="n">
        <v>10</v>
      </c>
      <c r="L1390" s="1" t="n">
        <v>1</v>
      </c>
      <c r="M1390" s="1" t="n">
        <v>0</v>
      </c>
      <c r="N1390" s="1" t="n">
        <v>1114.29</v>
      </c>
      <c r="O1390" s="1" t="n">
        <v>0</v>
      </c>
      <c r="Q1390" s="4" t="n">
        <v>46293</v>
      </c>
      <c r="R1390" s="0" t="n">
        <f aca="false">IF(ISBLANK(F1390),"Missing",IFERROR(YEAR(F1390),"Missing"))</f>
        <v>2025</v>
      </c>
      <c r="S1390" s="0" t="str">
        <f aca="false">IF(ISBLANK(E1390),"Missing",IF(E1390&lt;6,"0-6mo",IF(E1390&lt;12,"6-12mo",IF(E1390&lt;24,"12-24mo","24mo+"))))</f>
        <v>24mo+</v>
      </c>
      <c r="T1390" s="0" t="n">
        <f aca="false">IF(ISBLANK(C1390),0,IF(C1390="Month-to-month",2,IF(C1390="One year",1,0)))+IF(ISBLANK(I1390),0,IF(I1390&lt;40,2,IF(I1390&lt;55,1,0)))+IF(ISBLANK(M1390),0,IF(M1390=1,3,0))+IF(ISBLANK(L1390),0,IF(L1390&gt;=2,1,0))+IF(ISBLANK(E1390),0,IF(E1390&lt;12,1,0))</f>
        <v>2</v>
      </c>
      <c r="U1390" s="0" t="str">
        <f aca="false">IF((ISBLANK(B1390)*1+ISBLANK(C1390)*1+ISBLANK(D1390)*1+ISBLANK(E1390)*1+ISBLANK(F1390)*1+ISBLANK(I1390)*1+ISBLANK(J1390)*1+ISBLANK(K1390)*1+ISBLANK(L1390)*1+ISBLANK(M1390)*1+ISBLANK(N1390)*1+ISBLANK(O1390)*1)&gt;0,"Missing Data","OK")</f>
        <v>OK</v>
      </c>
      <c r="V1390" s="0" t="str">
        <f aca="false">IF(T1390&gt;=6,"High Risk",IF(T1390&gt;=3,"Medium Risk","Low Risk"))</f>
        <v>Low Risk</v>
      </c>
    </row>
    <row r="1391" customFormat="false" ht="12.8" hidden="false" customHeight="false" outlineLevel="0" collapsed="false">
      <c r="A1391" s="1" t="s">
        <v>1421</v>
      </c>
      <c r="B1391" s="1" t="s">
        <v>36</v>
      </c>
      <c r="C1391" s="1" t="s">
        <v>24</v>
      </c>
      <c r="D1391" s="1" t="n">
        <v>10.68</v>
      </c>
      <c r="E1391" s="1" t="n">
        <v>35</v>
      </c>
      <c r="F1391" s="4" t="n">
        <v>45700</v>
      </c>
      <c r="G1391" s="1" t="s">
        <v>30</v>
      </c>
      <c r="H1391" s="1" t="n">
        <v>1</v>
      </c>
      <c r="I1391" s="1" t="n">
        <v>68.4</v>
      </c>
      <c r="J1391" s="1" t="n">
        <v>23</v>
      </c>
      <c r="K1391" s="1" t="n">
        <v>10</v>
      </c>
      <c r="L1391" s="1" t="n">
        <v>0</v>
      </c>
      <c r="M1391" s="1" t="n">
        <v>0</v>
      </c>
      <c r="N1391" s="1" t="n">
        <v>373.8</v>
      </c>
      <c r="O1391" s="1" t="n">
        <v>0</v>
      </c>
      <c r="Q1391" s="4" t="n">
        <v>46293</v>
      </c>
      <c r="R1391" s="0" t="n">
        <f aca="false">IF(ISBLANK(F1391),"Missing",IFERROR(YEAR(F1391),"Missing"))</f>
        <v>2025</v>
      </c>
      <c r="S1391" s="0" t="str">
        <f aca="false">IF(ISBLANK(E1391),"Missing",IF(E1391&lt;6,"0-6mo",IF(E1391&lt;12,"6-12mo",IF(E1391&lt;24,"12-24mo","24mo+"))))</f>
        <v>24mo+</v>
      </c>
      <c r="T1391" s="0" t="n">
        <f aca="false">IF(ISBLANK(C1391),0,IF(C1391="Month-to-month",2,IF(C1391="One year",1,0)))+IF(ISBLANK(I1391),0,IF(I1391&lt;40,2,IF(I1391&lt;55,1,0)))+IF(ISBLANK(M1391),0,IF(M1391=1,3,0))+IF(ISBLANK(L1391),0,IF(L1391&gt;=2,1,0))+IF(ISBLANK(E1391),0,IF(E1391&lt;12,1,0))</f>
        <v>2</v>
      </c>
      <c r="U1391" s="0" t="str">
        <f aca="false">IF((ISBLANK(B1391)*1+ISBLANK(C1391)*1+ISBLANK(D1391)*1+ISBLANK(E1391)*1+ISBLANK(F1391)*1+ISBLANK(I1391)*1+ISBLANK(J1391)*1+ISBLANK(K1391)*1+ISBLANK(L1391)*1+ISBLANK(M1391)*1+ISBLANK(N1391)*1+ISBLANK(O1391)*1)&gt;0,"Missing Data","OK")</f>
        <v>OK</v>
      </c>
      <c r="V1391" s="0" t="str">
        <f aca="false">IF(T1391&gt;=6,"High Risk",IF(T1391&gt;=3,"Medium Risk","Low Risk"))</f>
        <v>Low Risk</v>
      </c>
    </row>
    <row r="1392" customFormat="false" ht="12.8" hidden="false" customHeight="false" outlineLevel="0" collapsed="false">
      <c r="A1392" s="1" t="s">
        <v>1422</v>
      </c>
      <c r="B1392" s="1" t="s">
        <v>23</v>
      </c>
      <c r="C1392" s="1" t="s">
        <v>34</v>
      </c>
      <c r="D1392" s="1" t="n">
        <v>19.87</v>
      </c>
      <c r="E1392" s="1" t="n">
        <v>14</v>
      </c>
      <c r="F1392" s="4" t="n">
        <v>45701</v>
      </c>
      <c r="G1392" s="1" t="s">
        <v>25</v>
      </c>
      <c r="H1392" s="1" t="n">
        <v>0</v>
      </c>
      <c r="I1392" s="1" t="n">
        <v>26.9</v>
      </c>
      <c r="J1392" s="1" t="n">
        <v>10</v>
      </c>
      <c r="K1392" s="1" t="n">
        <v>6</v>
      </c>
      <c r="L1392" s="1" t="n">
        <v>1</v>
      </c>
      <c r="M1392" s="1" t="n">
        <v>1</v>
      </c>
      <c r="N1392" s="1" t="n">
        <v>278.18</v>
      </c>
      <c r="O1392" s="1" t="n">
        <v>0</v>
      </c>
      <c r="Q1392" s="4" t="n">
        <v>46127</v>
      </c>
      <c r="R1392" s="0" t="n">
        <f aca="false">IF(ISBLANK(F1392),"Missing",IFERROR(YEAR(F1392),"Missing"))</f>
        <v>2025</v>
      </c>
      <c r="S1392" s="0" t="str">
        <f aca="false">IF(ISBLANK(E1392),"Missing",IF(E1392&lt;6,"0-6mo",IF(E1392&lt;12,"6-12mo",IF(E1392&lt;24,"12-24mo","24mo+"))))</f>
        <v>12-24mo</v>
      </c>
      <c r="T1392" s="0" t="n">
        <f aca="false">IF(ISBLANK(C1392),0,IF(C1392="Month-to-month",2,IF(C1392="One year",1,0)))+IF(ISBLANK(I1392),0,IF(I1392&lt;40,2,IF(I1392&lt;55,1,0)))+IF(ISBLANK(M1392),0,IF(M1392=1,3,0))+IF(ISBLANK(L1392),0,IF(L1392&gt;=2,1,0))+IF(ISBLANK(E1392),0,IF(E1392&lt;12,1,0))</f>
        <v>6</v>
      </c>
      <c r="U1392" s="0" t="str">
        <f aca="false">IF((ISBLANK(B1392)*1+ISBLANK(C1392)*1+ISBLANK(D1392)*1+ISBLANK(E1392)*1+ISBLANK(F1392)*1+ISBLANK(I1392)*1+ISBLANK(J1392)*1+ISBLANK(K1392)*1+ISBLANK(L1392)*1+ISBLANK(M1392)*1+ISBLANK(N1392)*1+ISBLANK(O1392)*1)&gt;0,"Missing Data","OK")</f>
        <v>OK</v>
      </c>
      <c r="V1392" s="0" t="str">
        <f aca="false">IF(T1392&gt;=6,"High Risk",IF(T1392&gt;=3,"Medium Risk","Low Risk"))</f>
        <v>High Risk</v>
      </c>
    </row>
    <row r="1393" customFormat="false" ht="12.8" hidden="false" customHeight="false" outlineLevel="0" collapsed="false">
      <c r="A1393" s="1" t="s">
        <v>1423</v>
      </c>
      <c r="B1393" s="1" t="s">
        <v>36</v>
      </c>
      <c r="C1393" s="1" t="s">
        <v>24</v>
      </c>
      <c r="D1393" s="1" t="n">
        <v>9.95</v>
      </c>
      <c r="E1393" s="1" t="n">
        <v>28</v>
      </c>
      <c r="F1393" s="4" t="n">
        <v>45704</v>
      </c>
      <c r="G1393" s="1" t="s">
        <v>30</v>
      </c>
      <c r="H1393" s="1" t="n">
        <v>1</v>
      </c>
      <c r="I1393" s="1" t="n">
        <v>25.4</v>
      </c>
      <c r="J1393" s="1" t="n">
        <v>11</v>
      </c>
      <c r="K1393" s="1" t="n">
        <v>3</v>
      </c>
      <c r="L1393" s="1" t="n">
        <v>5</v>
      </c>
      <c r="M1393" s="1" t="n">
        <v>1</v>
      </c>
      <c r="N1393" s="1" t="n">
        <v>278.6</v>
      </c>
      <c r="O1393" s="1" t="n">
        <v>1</v>
      </c>
      <c r="P1393" s="4" t="n">
        <v>46293</v>
      </c>
      <c r="Q1393" s="4" t="n">
        <v>46293</v>
      </c>
      <c r="R1393" s="0" t="n">
        <f aca="false">IF(ISBLANK(F1393),"Missing",IFERROR(YEAR(F1393),"Missing"))</f>
        <v>2025</v>
      </c>
      <c r="S1393" s="0" t="str">
        <f aca="false">IF(ISBLANK(E1393),"Missing",IF(E1393&lt;6,"0-6mo",IF(E1393&lt;12,"6-12mo",IF(E1393&lt;24,"12-24mo","24mo+"))))</f>
        <v>24mo+</v>
      </c>
      <c r="T1393" s="0" t="n">
        <f aca="false">IF(ISBLANK(C1393),0,IF(C1393="Month-to-month",2,IF(C1393="One year",1,0)))+IF(ISBLANK(I1393),0,IF(I1393&lt;40,2,IF(I1393&lt;55,1,0)))+IF(ISBLANK(M1393),0,IF(M1393=1,3,0))+IF(ISBLANK(L1393),0,IF(L1393&gt;=2,1,0))+IF(ISBLANK(E1393),0,IF(E1393&lt;12,1,0))</f>
        <v>8</v>
      </c>
      <c r="U1393" s="0" t="str">
        <f aca="false">IF((ISBLANK(B1393)*1+ISBLANK(C1393)*1+ISBLANK(D1393)*1+ISBLANK(E1393)*1+ISBLANK(F1393)*1+ISBLANK(I1393)*1+ISBLANK(J1393)*1+ISBLANK(K1393)*1+ISBLANK(L1393)*1+ISBLANK(M1393)*1+ISBLANK(N1393)*1+ISBLANK(O1393)*1)&gt;0,"Missing Data","OK")</f>
        <v>OK</v>
      </c>
      <c r="V1393" s="0" t="str">
        <f aca="false">IF(T1393&gt;=6,"High Risk",IF(T1393&gt;=3,"Medium Risk","Low Risk"))</f>
        <v>High Risk</v>
      </c>
    </row>
    <row r="1394" customFormat="false" ht="12.8" hidden="false" customHeight="false" outlineLevel="0" collapsed="false">
      <c r="A1394" s="1" t="s">
        <v>1424</v>
      </c>
      <c r="B1394" s="1" t="s">
        <v>29</v>
      </c>
      <c r="C1394" s="1" t="s">
        <v>51</v>
      </c>
      <c r="D1394" s="1" t="n">
        <v>40.5</v>
      </c>
      <c r="E1394" s="1" t="n">
        <v>3</v>
      </c>
      <c r="F1394" s="4" t="n">
        <v>45705</v>
      </c>
      <c r="G1394" s="1" t="s">
        <v>39</v>
      </c>
      <c r="H1394" s="1" t="n">
        <v>1</v>
      </c>
      <c r="I1394" s="1" t="n">
        <v>63</v>
      </c>
      <c r="J1394" s="1" t="n">
        <v>15</v>
      </c>
      <c r="K1394" s="1" t="n">
        <v>9</v>
      </c>
      <c r="L1394" s="1" t="n">
        <v>2</v>
      </c>
      <c r="M1394" s="1" t="n">
        <v>0</v>
      </c>
      <c r="N1394" s="1" t="n">
        <v>121.5</v>
      </c>
      <c r="O1394" s="1" t="n">
        <v>0</v>
      </c>
      <c r="Q1394" s="4" t="n">
        <v>45796</v>
      </c>
      <c r="R1394" s="0" t="n">
        <f aca="false">IF(ISBLANK(F1394),"Missing",IFERROR(YEAR(F1394),"Missing"))</f>
        <v>2025</v>
      </c>
      <c r="S1394" s="0" t="str">
        <f aca="false">IF(ISBLANK(E1394),"Missing",IF(E1394&lt;6,"0-6mo",IF(E1394&lt;12,"6-12mo",IF(E1394&lt;24,"12-24mo","24mo+"))))</f>
        <v>0-6mo</v>
      </c>
      <c r="T1394" s="0" t="n">
        <f aca="false">IF(ISBLANK(C1394),0,IF(C1394="Month-to-month",2,IF(C1394="One year",1,0)))+IF(ISBLANK(I1394),0,IF(I1394&lt;40,2,IF(I1394&lt;55,1,0)))+IF(ISBLANK(M1394),0,IF(M1394=1,3,0))+IF(ISBLANK(L1394),0,IF(L1394&gt;=2,1,0))+IF(ISBLANK(E1394),0,IF(E1394&lt;12,1,0))</f>
        <v>2</v>
      </c>
      <c r="U1394" s="0" t="str">
        <f aca="false">IF((ISBLANK(B1394)*1+ISBLANK(C1394)*1+ISBLANK(D1394)*1+ISBLANK(E1394)*1+ISBLANK(F1394)*1+ISBLANK(I1394)*1+ISBLANK(J1394)*1+ISBLANK(K1394)*1+ISBLANK(L1394)*1+ISBLANK(M1394)*1+ISBLANK(N1394)*1+ISBLANK(O1394)*1)&gt;0,"Missing Data","OK")</f>
        <v>OK</v>
      </c>
      <c r="V1394" s="0" t="str">
        <f aca="false">IF(T1394&gt;=6,"High Risk",IF(T1394&gt;=3,"Medium Risk","Low Risk"))</f>
        <v>Low Risk</v>
      </c>
    </row>
    <row r="1395" customFormat="false" ht="12.8" hidden="false" customHeight="false" outlineLevel="0" collapsed="false">
      <c r="A1395" s="1" t="s">
        <v>1425</v>
      </c>
      <c r="B1395" s="1" t="s">
        <v>23</v>
      </c>
      <c r="C1395" s="1" t="s">
        <v>24</v>
      </c>
      <c r="D1395" s="1" t="n">
        <v>19.06</v>
      </c>
      <c r="E1395" s="1" t="n">
        <v>7</v>
      </c>
      <c r="F1395" s="4" t="n">
        <v>45707</v>
      </c>
      <c r="G1395" s="1" t="s">
        <v>30</v>
      </c>
      <c r="H1395" s="1" t="n">
        <v>0</v>
      </c>
      <c r="I1395" s="1" t="n">
        <v>68.7</v>
      </c>
      <c r="J1395" s="1" t="n">
        <v>17</v>
      </c>
      <c r="K1395" s="1" t="n">
        <v>5</v>
      </c>
      <c r="L1395" s="1" t="n">
        <v>3</v>
      </c>
      <c r="M1395" s="1" t="n">
        <v>0</v>
      </c>
      <c r="N1395" s="1" t="n">
        <v>133.42</v>
      </c>
      <c r="O1395" s="1" t="n">
        <v>0</v>
      </c>
      <c r="Q1395" s="4" t="n">
        <v>45920</v>
      </c>
      <c r="R1395" s="0" t="n">
        <f aca="false">IF(ISBLANK(F1395),"Missing",IFERROR(YEAR(F1395),"Missing"))</f>
        <v>2025</v>
      </c>
      <c r="S1395" s="0" t="str">
        <f aca="false">IF(ISBLANK(E1395),"Missing",IF(E1395&lt;6,"0-6mo",IF(E1395&lt;12,"6-12mo",IF(E1395&lt;24,"12-24mo","24mo+"))))</f>
        <v>6-12mo</v>
      </c>
      <c r="T1395" s="0" t="n">
        <f aca="false">IF(ISBLANK(C1395),0,IF(C1395="Month-to-month",2,IF(C1395="One year",1,0)))+IF(ISBLANK(I1395),0,IF(I1395&lt;40,2,IF(I1395&lt;55,1,0)))+IF(ISBLANK(M1395),0,IF(M1395=1,3,0))+IF(ISBLANK(L1395),0,IF(L1395&gt;=2,1,0))+IF(ISBLANK(E1395),0,IF(E1395&lt;12,1,0))</f>
        <v>4</v>
      </c>
      <c r="U1395" s="0" t="str">
        <f aca="false">IF((ISBLANK(B1395)*1+ISBLANK(C1395)*1+ISBLANK(D1395)*1+ISBLANK(E1395)*1+ISBLANK(F1395)*1+ISBLANK(I1395)*1+ISBLANK(J1395)*1+ISBLANK(K1395)*1+ISBLANK(L1395)*1+ISBLANK(M1395)*1+ISBLANK(N1395)*1+ISBLANK(O1395)*1)&gt;0,"Missing Data","OK")</f>
        <v>OK</v>
      </c>
      <c r="V1395" s="0" t="str">
        <f aca="false">IF(T1395&gt;=6,"High Risk",IF(T1395&gt;=3,"Medium Risk","Low Risk"))</f>
        <v>Medium Risk</v>
      </c>
    </row>
    <row r="1396" customFormat="false" ht="12.8" hidden="false" customHeight="false" outlineLevel="0" collapsed="false">
      <c r="A1396" s="1" t="s">
        <v>1426</v>
      </c>
      <c r="B1396" s="1" t="s">
        <v>36</v>
      </c>
      <c r="C1396" s="1" t="s">
        <v>51</v>
      </c>
      <c r="D1396" s="1" t="n">
        <v>9.44</v>
      </c>
      <c r="E1396" s="1" t="n">
        <v>6</v>
      </c>
      <c r="F1396" s="4" t="n">
        <v>45708</v>
      </c>
      <c r="G1396" s="1" t="s">
        <v>25</v>
      </c>
      <c r="H1396" s="1" t="n">
        <v>1</v>
      </c>
      <c r="I1396" s="1" t="n">
        <v>40.4</v>
      </c>
      <c r="J1396" s="1" t="n">
        <v>12</v>
      </c>
      <c r="K1396" s="1" t="n">
        <v>2</v>
      </c>
      <c r="L1396" s="1" t="n">
        <v>0</v>
      </c>
      <c r="M1396" s="1" t="n">
        <v>0</v>
      </c>
      <c r="N1396" s="1" t="n">
        <v>56.64</v>
      </c>
      <c r="O1396" s="1" t="n">
        <v>0</v>
      </c>
      <c r="Q1396" s="4" t="n">
        <v>45890</v>
      </c>
      <c r="R1396" s="0" t="n">
        <f aca="false">IF(ISBLANK(F1396),"Missing",IFERROR(YEAR(F1396),"Missing"))</f>
        <v>2025</v>
      </c>
      <c r="S1396" s="0" t="str">
        <f aca="false">IF(ISBLANK(E1396),"Missing",IF(E1396&lt;6,"0-6mo",IF(E1396&lt;12,"6-12mo",IF(E1396&lt;24,"12-24mo","24mo+"))))</f>
        <v>6-12mo</v>
      </c>
      <c r="T1396" s="0" t="n">
        <f aca="false">IF(ISBLANK(C1396),0,IF(C1396="Month-to-month",2,IF(C1396="One year",1,0)))+IF(ISBLANK(I1396),0,IF(I1396&lt;40,2,IF(I1396&lt;55,1,0)))+IF(ISBLANK(M1396),0,IF(M1396=1,3,0))+IF(ISBLANK(L1396),0,IF(L1396&gt;=2,1,0))+IF(ISBLANK(E1396),0,IF(E1396&lt;12,1,0))</f>
        <v>2</v>
      </c>
      <c r="U1396" s="0" t="str">
        <f aca="false">IF((ISBLANK(B1396)*1+ISBLANK(C1396)*1+ISBLANK(D1396)*1+ISBLANK(E1396)*1+ISBLANK(F1396)*1+ISBLANK(I1396)*1+ISBLANK(J1396)*1+ISBLANK(K1396)*1+ISBLANK(L1396)*1+ISBLANK(M1396)*1+ISBLANK(N1396)*1+ISBLANK(O1396)*1)&gt;0,"Missing Data","OK")</f>
        <v>OK</v>
      </c>
      <c r="V1396" s="0" t="str">
        <f aca="false">IF(T1396&gt;=6,"High Risk",IF(T1396&gt;=3,"Medium Risk","Low Risk"))</f>
        <v>Low Risk</v>
      </c>
    </row>
    <row r="1397" customFormat="false" ht="12.8" hidden="false" customHeight="false" outlineLevel="0" collapsed="false">
      <c r="A1397" s="1" t="s">
        <v>1427</v>
      </c>
      <c r="B1397" s="1" t="s">
        <v>36</v>
      </c>
      <c r="C1397" s="1" t="s">
        <v>51</v>
      </c>
      <c r="D1397" s="1" t="n">
        <v>9.07</v>
      </c>
      <c r="E1397" s="1" t="n">
        <v>24</v>
      </c>
      <c r="F1397" s="4" t="n">
        <v>45708</v>
      </c>
      <c r="G1397" s="1" t="s">
        <v>25</v>
      </c>
      <c r="H1397" s="1" t="n">
        <v>1</v>
      </c>
      <c r="I1397" s="1" t="n">
        <v>75.4</v>
      </c>
      <c r="J1397" s="1" t="n">
        <v>20</v>
      </c>
      <c r="K1397" s="1" t="n">
        <v>9</v>
      </c>
      <c r="L1397" s="1" t="n">
        <v>2</v>
      </c>
      <c r="M1397" s="1" t="n">
        <v>0</v>
      </c>
      <c r="N1397" s="1" t="n">
        <v>217.68</v>
      </c>
      <c r="O1397" s="1" t="n">
        <v>0</v>
      </c>
      <c r="Q1397" s="4" t="n">
        <v>46293</v>
      </c>
      <c r="R1397" s="0" t="n">
        <f aca="false">IF(ISBLANK(F1397),"Missing",IFERROR(YEAR(F1397),"Missing"))</f>
        <v>2025</v>
      </c>
      <c r="S1397" s="0" t="str">
        <f aca="false">IF(ISBLANK(E1397),"Missing",IF(E1397&lt;6,"0-6mo",IF(E1397&lt;12,"6-12mo",IF(E1397&lt;24,"12-24mo","24mo+"))))</f>
        <v>24mo+</v>
      </c>
      <c r="T1397" s="0" t="n">
        <f aca="false">IF(ISBLANK(C1397),0,IF(C1397="Month-to-month",2,IF(C1397="One year",1,0)))+IF(ISBLANK(I1397),0,IF(I1397&lt;40,2,IF(I1397&lt;55,1,0)))+IF(ISBLANK(M1397),0,IF(M1397=1,3,0))+IF(ISBLANK(L1397),0,IF(L1397&gt;=2,1,0))+IF(ISBLANK(E1397),0,IF(E1397&lt;12,1,0))</f>
        <v>1</v>
      </c>
      <c r="U1397" s="0" t="str">
        <f aca="false">IF((ISBLANK(B1397)*1+ISBLANK(C1397)*1+ISBLANK(D1397)*1+ISBLANK(E1397)*1+ISBLANK(F1397)*1+ISBLANK(I1397)*1+ISBLANK(J1397)*1+ISBLANK(K1397)*1+ISBLANK(L1397)*1+ISBLANK(M1397)*1+ISBLANK(N1397)*1+ISBLANK(O1397)*1)&gt;0,"Missing Data","OK")</f>
        <v>OK</v>
      </c>
      <c r="V1397" s="0" t="str">
        <f aca="false">IF(T1397&gt;=6,"High Risk",IF(T1397&gt;=3,"Medium Risk","Low Risk"))</f>
        <v>Low Risk</v>
      </c>
    </row>
    <row r="1398" customFormat="false" ht="12.8" hidden="false" customHeight="false" outlineLevel="0" collapsed="false">
      <c r="A1398" s="1" t="s">
        <v>1428</v>
      </c>
      <c r="B1398" s="1" t="s">
        <v>23</v>
      </c>
      <c r="C1398" s="1" t="s">
        <v>34</v>
      </c>
      <c r="D1398" s="1" t="n">
        <v>19.26</v>
      </c>
      <c r="E1398" s="1" t="n">
        <v>13</v>
      </c>
      <c r="F1398" s="4" t="n">
        <v>45712</v>
      </c>
      <c r="G1398" s="1" t="s">
        <v>30</v>
      </c>
      <c r="H1398" s="1" t="n">
        <v>1</v>
      </c>
      <c r="I1398" s="1" t="n">
        <v>26.2</v>
      </c>
      <c r="J1398" s="1" t="n">
        <v>7</v>
      </c>
      <c r="K1398" s="1" t="n">
        <v>4</v>
      </c>
      <c r="L1398" s="1" t="n">
        <v>6</v>
      </c>
      <c r="M1398" s="1" t="n">
        <v>1</v>
      </c>
      <c r="N1398" s="1" t="n">
        <v>250.38</v>
      </c>
      <c r="O1398" s="1" t="n">
        <v>0</v>
      </c>
      <c r="Q1398" s="4" t="n">
        <v>46107</v>
      </c>
      <c r="R1398" s="0" t="n">
        <f aca="false">IF(ISBLANK(F1398),"Missing",IFERROR(YEAR(F1398),"Missing"))</f>
        <v>2025</v>
      </c>
      <c r="S1398" s="0" t="str">
        <f aca="false">IF(ISBLANK(E1398),"Missing",IF(E1398&lt;6,"0-6mo",IF(E1398&lt;12,"6-12mo",IF(E1398&lt;24,"12-24mo","24mo+"))))</f>
        <v>12-24mo</v>
      </c>
      <c r="T1398" s="0" t="n">
        <f aca="false">IF(ISBLANK(C1398),0,IF(C1398="Month-to-month",2,IF(C1398="One year",1,0)))+IF(ISBLANK(I1398),0,IF(I1398&lt;40,2,IF(I1398&lt;55,1,0)))+IF(ISBLANK(M1398),0,IF(M1398=1,3,0))+IF(ISBLANK(L1398),0,IF(L1398&gt;=2,1,0))+IF(ISBLANK(E1398),0,IF(E1398&lt;12,1,0))</f>
        <v>7</v>
      </c>
      <c r="U1398" s="0" t="str">
        <f aca="false">IF((ISBLANK(B1398)*1+ISBLANK(C1398)*1+ISBLANK(D1398)*1+ISBLANK(E1398)*1+ISBLANK(F1398)*1+ISBLANK(I1398)*1+ISBLANK(J1398)*1+ISBLANK(K1398)*1+ISBLANK(L1398)*1+ISBLANK(M1398)*1+ISBLANK(N1398)*1+ISBLANK(O1398)*1)&gt;0,"Missing Data","OK")</f>
        <v>OK</v>
      </c>
      <c r="V1398" s="0" t="str">
        <f aca="false">IF(T1398&gt;=6,"High Risk",IF(T1398&gt;=3,"Medium Risk","Low Risk"))</f>
        <v>High Risk</v>
      </c>
    </row>
    <row r="1399" customFormat="false" ht="12.8" hidden="false" customHeight="false" outlineLevel="0" collapsed="false">
      <c r="A1399" s="1" t="s">
        <v>1429</v>
      </c>
      <c r="B1399" s="1" t="s">
        <v>29</v>
      </c>
      <c r="C1399" s="1" t="s">
        <v>34</v>
      </c>
      <c r="D1399" s="1" t="n">
        <v>38.14</v>
      </c>
      <c r="E1399" s="1" t="n">
        <v>1</v>
      </c>
      <c r="F1399" s="4" t="n">
        <v>45714</v>
      </c>
      <c r="G1399" s="1" t="s">
        <v>25</v>
      </c>
      <c r="H1399" s="1" t="n">
        <v>1</v>
      </c>
      <c r="I1399" s="1" t="n">
        <v>55.8</v>
      </c>
      <c r="J1399" s="1" t="n">
        <v>15</v>
      </c>
      <c r="K1399" s="1" t="n">
        <v>5</v>
      </c>
      <c r="L1399" s="1" t="n">
        <v>1</v>
      </c>
      <c r="M1399" s="1" t="n">
        <v>1</v>
      </c>
      <c r="N1399" s="1" t="n">
        <v>38.14</v>
      </c>
      <c r="O1399" s="1" t="n">
        <v>0</v>
      </c>
      <c r="Q1399" s="4" t="n">
        <v>45744</v>
      </c>
      <c r="R1399" s="0" t="n">
        <f aca="false">IF(ISBLANK(F1399),"Missing",IFERROR(YEAR(F1399),"Missing"))</f>
        <v>2025</v>
      </c>
      <c r="S1399" s="0" t="str">
        <f aca="false">IF(ISBLANK(E1399),"Missing",IF(E1399&lt;6,"0-6mo",IF(E1399&lt;12,"6-12mo",IF(E1399&lt;24,"12-24mo","24mo+"))))</f>
        <v>0-6mo</v>
      </c>
      <c r="T1399" s="0" t="n">
        <f aca="false">IF(ISBLANK(C1399),0,IF(C1399="Month-to-month",2,IF(C1399="One year",1,0)))+IF(ISBLANK(I1399),0,IF(I1399&lt;40,2,IF(I1399&lt;55,1,0)))+IF(ISBLANK(M1399),0,IF(M1399=1,3,0))+IF(ISBLANK(L1399),0,IF(L1399&gt;=2,1,0))+IF(ISBLANK(E1399),0,IF(E1399&lt;12,1,0))</f>
        <v>5</v>
      </c>
      <c r="U1399" s="0" t="str">
        <f aca="false">IF((ISBLANK(B1399)*1+ISBLANK(C1399)*1+ISBLANK(D1399)*1+ISBLANK(E1399)*1+ISBLANK(F1399)*1+ISBLANK(I1399)*1+ISBLANK(J1399)*1+ISBLANK(K1399)*1+ISBLANK(L1399)*1+ISBLANK(M1399)*1+ISBLANK(N1399)*1+ISBLANK(O1399)*1)&gt;0,"Missing Data","OK")</f>
        <v>OK</v>
      </c>
      <c r="V1399" s="0" t="str">
        <f aca="false">IF(T1399&gt;=6,"High Risk",IF(T1399&gt;=3,"Medium Risk","Low Risk"))</f>
        <v>Medium Risk</v>
      </c>
    </row>
    <row r="1400" customFormat="false" ht="12.8" hidden="false" customHeight="false" outlineLevel="0" collapsed="false">
      <c r="A1400" s="1" t="s">
        <v>1430</v>
      </c>
      <c r="B1400" s="1" t="s">
        <v>29</v>
      </c>
      <c r="C1400" s="1" t="s">
        <v>34</v>
      </c>
      <c r="D1400" s="1" t="n">
        <v>39.43</v>
      </c>
      <c r="E1400" s="1" t="n">
        <v>38</v>
      </c>
      <c r="F1400" s="4" t="n">
        <v>45714</v>
      </c>
      <c r="G1400" s="1" t="s">
        <v>25</v>
      </c>
      <c r="H1400" s="1" t="n">
        <v>1</v>
      </c>
      <c r="I1400" s="1" t="n">
        <v>33.2</v>
      </c>
      <c r="J1400" s="1" t="n">
        <v>10</v>
      </c>
      <c r="K1400" s="1" t="n">
        <v>5</v>
      </c>
      <c r="L1400" s="1" t="n">
        <v>1</v>
      </c>
      <c r="M1400" s="1" t="n">
        <v>1</v>
      </c>
      <c r="N1400" s="1" t="n">
        <v>1498.34</v>
      </c>
      <c r="O1400" s="1" t="n">
        <v>0</v>
      </c>
      <c r="Q1400" s="4" t="n">
        <v>46293</v>
      </c>
      <c r="R1400" s="0" t="n">
        <f aca="false">IF(ISBLANK(F1400),"Missing",IFERROR(YEAR(F1400),"Missing"))</f>
        <v>2025</v>
      </c>
      <c r="S1400" s="0" t="str">
        <f aca="false">IF(ISBLANK(E1400),"Missing",IF(E1400&lt;6,"0-6mo",IF(E1400&lt;12,"6-12mo",IF(E1400&lt;24,"12-24mo","24mo+"))))</f>
        <v>24mo+</v>
      </c>
      <c r="T1400" s="0" t="n">
        <f aca="false">IF(ISBLANK(C1400),0,IF(C1400="Month-to-month",2,IF(C1400="One year",1,0)))+IF(ISBLANK(I1400),0,IF(I1400&lt;40,2,IF(I1400&lt;55,1,0)))+IF(ISBLANK(M1400),0,IF(M1400=1,3,0))+IF(ISBLANK(L1400),0,IF(L1400&gt;=2,1,0))+IF(ISBLANK(E1400),0,IF(E1400&lt;12,1,0))</f>
        <v>6</v>
      </c>
      <c r="U1400" s="0" t="str">
        <f aca="false">IF((ISBLANK(B1400)*1+ISBLANK(C1400)*1+ISBLANK(D1400)*1+ISBLANK(E1400)*1+ISBLANK(F1400)*1+ISBLANK(I1400)*1+ISBLANK(J1400)*1+ISBLANK(K1400)*1+ISBLANK(L1400)*1+ISBLANK(M1400)*1+ISBLANK(N1400)*1+ISBLANK(O1400)*1)&gt;0,"Missing Data","OK")</f>
        <v>OK</v>
      </c>
      <c r="V1400" s="0" t="str">
        <f aca="false">IF(T1400&gt;=6,"High Risk",IF(T1400&gt;=3,"Medium Risk","Low Risk"))</f>
        <v>High Risk</v>
      </c>
    </row>
    <row r="1401" customFormat="false" ht="12.8" hidden="false" customHeight="false" outlineLevel="0" collapsed="false">
      <c r="A1401" s="1" t="s">
        <v>1431</v>
      </c>
      <c r="B1401" s="1" t="s">
        <v>23</v>
      </c>
      <c r="C1401" s="1" t="s">
        <v>24</v>
      </c>
      <c r="D1401" s="1" t="n">
        <v>18.02</v>
      </c>
      <c r="E1401" s="1" t="n">
        <v>15</v>
      </c>
      <c r="F1401" s="4" t="n">
        <v>45716</v>
      </c>
      <c r="G1401" s="1" t="s">
        <v>25</v>
      </c>
      <c r="H1401" s="1" t="n">
        <v>0</v>
      </c>
      <c r="I1401" s="1" t="n">
        <v>71.2</v>
      </c>
      <c r="J1401" s="1" t="n">
        <v>20</v>
      </c>
      <c r="K1401" s="1" t="n">
        <v>5</v>
      </c>
      <c r="L1401" s="1" t="n">
        <v>1</v>
      </c>
      <c r="M1401" s="1" t="n">
        <v>0</v>
      </c>
      <c r="N1401" s="1" t="n">
        <v>270.3</v>
      </c>
      <c r="O1401" s="1" t="n">
        <v>0</v>
      </c>
      <c r="Q1401" s="4" t="n">
        <v>46172</v>
      </c>
      <c r="R1401" s="0" t="n">
        <f aca="false">IF(ISBLANK(F1401),"Missing",IFERROR(YEAR(F1401),"Missing"))</f>
        <v>2025</v>
      </c>
      <c r="S1401" s="0" t="str">
        <f aca="false">IF(ISBLANK(E1401),"Missing",IF(E1401&lt;6,"0-6mo",IF(E1401&lt;12,"6-12mo",IF(E1401&lt;24,"12-24mo","24mo+"))))</f>
        <v>12-24mo</v>
      </c>
      <c r="T1401" s="0" t="n">
        <f aca="false">IF(ISBLANK(C1401),0,IF(C1401="Month-to-month",2,IF(C1401="One year",1,0)))+IF(ISBLANK(I1401),0,IF(I1401&lt;40,2,IF(I1401&lt;55,1,0)))+IF(ISBLANK(M1401),0,IF(M1401=1,3,0))+IF(ISBLANK(L1401),0,IF(L1401&gt;=2,1,0))+IF(ISBLANK(E1401),0,IF(E1401&lt;12,1,0))</f>
        <v>2</v>
      </c>
      <c r="U1401" s="0" t="str">
        <f aca="false">IF((ISBLANK(B1401)*1+ISBLANK(C1401)*1+ISBLANK(D1401)*1+ISBLANK(E1401)*1+ISBLANK(F1401)*1+ISBLANK(I1401)*1+ISBLANK(J1401)*1+ISBLANK(K1401)*1+ISBLANK(L1401)*1+ISBLANK(M1401)*1+ISBLANK(N1401)*1+ISBLANK(O1401)*1)&gt;0,"Missing Data","OK")</f>
        <v>OK</v>
      </c>
      <c r="V1401" s="0" t="str">
        <f aca="false">IF(T1401&gt;=6,"High Risk",IF(T1401&gt;=3,"Medium Risk","Low Risk"))</f>
        <v>Low Risk</v>
      </c>
    </row>
    <row r="1402" customFormat="false" ht="12.8" hidden="false" customHeight="false" outlineLevel="0" collapsed="false">
      <c r="A1402" s="1" t="s">
        <v>1432</v>
      </c>
      <c r="B1402" s="1" t="s">
        <v>29</v>
      </c>
      <c r="C1402" s="1" t="s">
        <v>34</v>
      </c>
      <c r="D1402" s="1" t="n">
        <v>38.67</v>
      </c>
      <c r="E1402" s="1" t="n">
        <v>7</v>
      </c>
      <c r="F1402" s="4" t="n">
        <v>45717</v>
      </c>
      <c r="G1402" s="1" t="s">
        <v>39</v>
      </c>
      <c r="H1402" s="1" t="n">
        <v>1</v>
      </c>
      <c r="I1402" s="1" t="n">
        <v>58.6</v>
      </c>
      <c r="J1402" s="1" t="n">
        <v>21</v>
      </c>
      <c r="K1402" s="1" t="n">
        <v>6</v>
      </c>
      <c r="L1402" s="1" t="n">
        <v>1</v>
      </c>
      <c r="M1402" s="1" t="n">
        <v>0</v>
      </c>
      <c r="N1402" s="1" t="n">
        <v>270.69</v>
      </c>
      <c r="O1402" s="1" t="n">
        <v>0</v>
      </c>
      <c r="Q1402" s="4" t="n">
        <v>45930</v>
      </c>
      <c r="R1402" s="0" t="n">
        <f aca="false">IF(ISBLANK(F1402),"Missing",IFERROR(YEAR(F1402),"Missing"))</f>
        <v>2025</v>
      </c>
      <c r="S1402" s="0" t="str">
        <f aca="false">IF(ISBLANK(E1402),"Missing",IF(E1402&lt;6,"0-6mo",IF(E1402&lt;12,"6-12mo",IF(E1402&lt;24,"12-24mo","24mo+"))))</f>
        <v>6-12mo</v>
      </c>
      <c r="T1402" s="0" t="n">
        <f aca="false">IF(ISBLANK(C1402),0,IF(C1402="Month-to-month",2,IF(C1402="One year",1,0)))+IF(ISBLANK(I1402),0,IF(I1402&lt;40,2,IF(I1402&lt;55,1,0)))+IF(ISBLANK(M1402),0,IF(M1402=1,3,0))+IF(ISBLANK(L1402),0,IF(L1402&gt;=2,1,0))+IF(ISBLANK(E1402),0,IF(E1402&lt;12,1,0))</f>
        <v>2</v>
      </c>
      <c r="U1402" s="0" t="str">
        <f aca="false">IF((ISBLANK(B1402)*1+ISBLANK(C1402)*1+ISBLANK(D1402)*1+ISBLANK(E1402)*1+ISBLANK(F1402)*1+ISBLANK(I1402)*1+ISBLANK(J1402)*1+ISBLANK(K1402)*1+ISBLANK(L1402)*1+ISBLANK(M1402)*1+ISBLANK(N1402)*1+ISBLANK(O1402)*1)&gt;0,"Missing Data","OK")</f>
        <v>OK</v>
      </c>
      <c r="V1402" s="0" t="str">
        <f aca="false">IF(T1402&gt;=6,"High Risk",IF(T1402&gt;=3,"Medium Risk","Low Risk"))</f>
        <v>Low Risk</v>
      </c>
    </row>
    <row r="1403" customFormat="false" ht="12.8" hidden="false" customHeight="false" outlineLevel="0" collapsed="false">
      <c r="A1403" s="1" t="s">
        <v>1433</v>
      </c>
      <c r="B1403" s="1" t="s">
        <v>23</v>
      </c>
      <c r="C1403" s="1" t="s">
        <v>34</v>
      </c>
      <c r="D1403" s="1" t="n">
        <v>19.53</v>
      </c>
      <c r="E1403" s="1" t="n">
        <v>1</v>
      </c>
      <c r="F1403" s="4" t="n">
        <v>45718</v>
      </c>
      <c r="G1403" s="1" t="s">
        <v>25</v>
      </c>
      <c r="H1403" s="1" t="n">
        <v>1</v>
      </c>
      <c r="I1403" s="1" t="n">
        <v>37.9</v>
      </c>
      <c r="J1403" s="1" t="n">
        <v>19</v>
      </c>
      <c r="K1403" s="1" t="n">
        <v>4</v>
      </c>
      <c r="L1403" s="1" t="n">
        <v>3</v>
      </c>
      <c r="M1403" s="1" t="n">
        <v>0</v>
      </c>
      <c r="N1403" s="1" t="n">
        <v>19.53</v>
      </c>
      <c r="O1403" s="1" t="n">
        <v>0</v>
      </c>
      <c r="Q1403" s="4" t="n">
        <v>45748</v>
      </c>
      <c r="R1403" s="0" t="n">
        <f aca="false">IF(ISBLANK(F1403),"Missing",IFERROR(YEAR(F1403),"Missing"))</f>
        <v>2025</v>
      </c>
      <c r="S1403" s="0" t="str">
        <f aca="false">IF(ISBLANK(E1403),"Missing",IF(E1403&lt;6,"0-6mo",IF(E1403&lt;12,"6-12mo",IF(E1403&lt;24,"12-24mo","24mo+"))))</f>
        <v>0-6mo</v>
      </c>
      <c r="T1403" s="0" t="n">
        <f aca="false">IF(ISBLANK(C1403),0,IF(C1403="Month-to-month",2,IF(C1403="One year",1,0)))+IF(ISBLANK(I1403),0,IF(I1403&lt;40,2,IF(I1403&lt;55,1,0)))+IF(ISBLANK(M1403),0,IF(M1403=1,3,0))+IF(ISBLANK(L1403),0,IF(L1403&gt;=2,1,0))+IF(ISBLANK(E1403),0,IF(E1403&lt;12,1,0))</f>
        <v>5</v>
      </c>
      <c r="U1403" s="0" t="str">
        <f aca="false">IF((ISBLANK(B1403)*1+ISBLANK(C1403)*1+ISBLANK(D1403)*1+ISBLANK(E1403)*1+ISBLANK(F1403)*1+ISBLANK(I1403)*1+ISBLANK(J1403)*1+ISBLANK(K1403)*1+ISBLANK(L1403)*1+ISBLANK(M1403)*1+ISBLANK(N1403)*1+ISBLANK(O1403)*1)&gt;0,"Missing Data","OK")</f>
        <v>OK</v>
      </c>
      <c r="V1403" s="0" t="str">
        <f aca="false">IF(T1403&gt;=6,"High Risk",IF(T1403&gt;=3,"Medium Risk","Low Risk"))</f>
        <v>Medium Risk</v>
      </c>
    </row>
    <row r="1404" customFormat="false" ht="12.8" hidden="false" customHeight="false" outlineLevel="0" collapsed="false">
      <c r="A1404" s="1" t="s">
        <v>1434</v>
      </c>
      <c r="B1404" s="1" t="s">
        <v>36</v>
      </c>
      <c r="C1404" s="1" t="s">
        <v>34</v>
      </c>
      <c r="D1404" s="1" t="n">
        <v>10.07</v>
      </c>
      <c r="E1404" s="1" t="n">
        <v>40</v>
      </c>
      <c r="F1404" s="4" t="n">
        <v>45721</v>
      </c>
      <c r="G1404" s="1" t="s">
        <v>39</v>
      </c>
      <c r="H1404" s="1" t="n">
        <v>1</v>
      </c>
      <c r="I1404" s="1" t="n">
        <v>8</v>
      </c>
      <c r="J1404" s="1" t="n">
        <v>0</v>
      </c>
      <c r="K1404" s="1" t="n">
        <v>4</v>
      </c>
      <c r="L1404" s="1" t="n">
        <v>1</v>
      </c>
      <c r="M1404" s="1" t="n">
        <v>1</v>
      </c>
      <c r="N1404" s="1" t="n">
        <v>402.8</v>
      </c>
      <c r="O1404" s="1" t="n">
        <v>1</v>
      </c>
      <c r="P1404" s="4" t="n">
        <v>46293</v>
      </c>
      <c r="Q1404" s="4" t="n">
        <v>46293</v>
      </c>
      <c r="R1404" s="0" t="n">
        <f aca="false">IF(ISBLANK(F1404),"Missing",IFERROR(YEAR(F1404),"Missing"))</f>
        <v>2025</v>
      </c>
      <c r="S1404" s="0" t="str">
        <f aca="false">IF(ISBLANK(E1404),"Missing",IF(E1404&lt;6,"0-6mo",IF(E1404&lt;12,"6-12mo",IF(E1404&lt;24,"12-24mo","24mo+"))))</f>
        <v>24mo+</v>
      </c>
      <c r="T1404" s="0" t="n">
        <f aca="false">IF(ISBLANK(C1404),0,IF(C1404="Month-to-month",2,IF(C1404="One year",1,0)))+IF(ISBLANK(I1404),0,IF(I1404&lt;40,2,IF(I1404&lt;55,1,0)))+IF(ISBLANK(M1404),0,IF(M1404=1,3,0))+IF(ISBLANK(L1404),0,IF(L1404&gt;=2,1,0))+IF(ISBLANK(E1404),0,IF(E1404&lt;12,1,0))</f>
        <v>6</v>
      </c>
      <c r="U1404" s="0" t="str">
        <f aca="false">IF((ISBLANK(B1404)*1+ISBLANK(C1404)*1+ISBLANK(D1404)*1+ISBLANK(E1404)*1+ISBLANK(F1404)*1+ISBLANK(I1404)*1+ISBLANK(J1404)*1+ISBLANK(K1404)*1+ISBLANK(L1404)*1+ISBLANK(M1404)*1+ISBLANK(N1404)*1+ISBLANK(O1404)*1)&gt;0,"Missing Data","OK")</f>
        <v>OK</v>
      </c>
      <c r="V1404" s="0" t="str">
        <f aca="false">IF(T1404&gt;=6,"High Risk",IF(T1404&gt;=3,"Medium Risk","Low Risk"))</f>
        <v>High Risk</v>
      </c>
    </row>
    <row r="1405" customFormat="false" ht="12.8" hidden="false" customHeight="false" outlineLevel="0" collapsed="false">
      <c r="A1405" s="1" t="s">
        <v>1435</v>
      </c>
      <c r="B1405" s="1" t="s">
        <v>23</v>
      </c>
      <c r="C1405" s="1" t="s">
        <v>24</v>
      </c>
      <c r="D1405" s="1" t="n">
        <v>20.27</v>
      </c>
      <c r="E1405" s="1" t="n">
        <v>5</v>
      </c>
      <c r="F1405" s="4" t="n">
        <v>45722</v>
      </c>
      <c r="G1405" s="1" t="s">
        <v>27</v>
      </c>
      <c r="H1405" s="1" t="n">
        <v>0</v>
      </c>
      <c r="I1405" s="1" t="n">
        <v>28.7</v>
      </c>
      <c r="J1405" s="1" t="n">
        <v>8</v>
      </c>
      <c r="K1405" s="1" t="n">
        <v>5</v>
      </c>
      <c r="L1405" s="1" t="n">
        <v>4</v>
      </c>
      <c r="M1405" s="1" t="n">
        <v>1</v>
      </c>
      <c r="N1405" s="1" t="n">
        <v>101.35</v>
      </c>
      <c r="O1405" s="1" t="n">
        <v>1</v>
      </c>
      <c r="P1405" s="4" t="n">
        <v>45874</v>
      </c>
      <c r="Q1405" s="4" t="n">
        <v>45874</v>
      </c>
      <c r="R1405" s="0" t="n">
        <f aca="false">IF(ISBLANK(F1405),"Missing",IFERROR(YEAR(F1405),"Missing"))</f>
        <v>2025</v>
      </c>
      <c r="S1405" s="0" t="str">
        <f aca="false">IF(ISBLANK(E1405),"Missing",IF(E1405&lt;6,"0-6mo",IF(E1405&lt;12,"6-12mo",IF(E1405&lt;24,"12-24mo","24mo+"))))</f>
        <v>0-6mo</v>
      </c>
      <c r="T1405" s="0" t="n">
        <f aca="false">IF(ISBLANK(C1405),0,IF(C1405="Month-to-month",2,IF(C1405="One year",1,0)))+IF(ISBLANK(I1405),0,IF(I1405&lt;40,2,IF(I1405&lt;55,1,0)))+IF(ISBLANK(M1405),0,IF(M1405=1,3,0))+IF(ISBLANK(L1405),0,IF(L1405&gt;=2,1,0))+IF(ISBLANK(E1405),0,IF(E1405&lt;12,1,0))</f>
        <v>9</v>
      </c>
      <c r="U1405" s="0" t="str">
        <f aca="false">IF((ISBLANK(B1405)*1+ISBLANK(C1405)*1+ISBLANK(D1405)*1+ISBLANK(E1405)*1+ISBLANK(F1405)*1+ISBLANK(I1405)*1+ISBLANK(J1405)*1+ISBLANK(K1405)*1+ISBLANK(L1405)*1+ISBLANK(M1405)*1+ISBLANK(N1405)*1+ISBLANK(O1405)*1)&gt;0,"Missing Data","OK")</f>
        <v>OK</v>
      </c>
      <c r="V1405" s="0" t="str">
        <f aca="false">IF(T1405&gt;=6,"High Risk",IF(T1405&gt;=3,"Medium Risk","Low Risk"))</f>
        <v>High Risk</v>
      </c>
    </row>
    <row r="1406" customFormat="false" ht="12.8" hidden="false" customHeight="false" outlineLevel="0" collapsed="false">
      <c r="A1406" s="1" t="s">
        <v>1436</v>
      </c>
      <c r="B1406" s="1" t="s">
        <v>36</v>
      </c>
      <c r="C1406" s="1" t="s">
        <v>24</v>
      </c>
      <c r="D1406" s="1" t="n">
        <v>10.99</v>
      </c>
      <c r="E1406" s="1" t="n">
        <v>27</v>
      </c>
      <c r="F1406" s="4" t="n">
        <v>45722</v>
      </c>
      <c r="G1406" s="1" t="s">
        <v>25</v>
      </c>
      <c r="H1406" s="1" t="n">
        <v>1</v>
      </c>
      <c r="I1406" s="1" t="n">
        <v>84.9</v>
      </c>
      <c r="J1406" s="1" t="n">
        <v>28</v>
      </c>
      <c r="K1406" s="1" t="n">
        <v>8</v>
      </c>
      <c r="L1406" s="1" t="n">
        <v>1</v>
      </c>
      <c r="M1406" s="1" t="n">
        <v>0</v>
      </c>
      <c r="N1406" s="1" t="n">
        <v>296.73</v>
      </c>
      <c r="O1406" s="1" t="n">
        <v>0</v>
      </c>
      <c r="Q1406" s="4" t="n">
        <v>46293</v>
      </c>
      <c r="R1406" s="0" t="n">
        <f aca="false">IF(ISBLANK(F1406),"Missing",IFERROR(YEAR(F1406),"Missing"))</f>
        <v>2025</v>
      </c>
      <c r="S1406" s="0" t="str">
        <f aca="false">IF(ISBLANK(E1406),"Missing",IF(E1406&lt;6,"0-6mo",IF(E1406&lt;12,"6-12mo",IF(E1406&lt;24,"12-24mo","24mo+"))))</f>
        <v>24mo+</v>
      </c>
      <c r="T1406" s="0" t="n">
        <f aca="false">IF(ISBLANK(C1406),0,IF(C1406="Month-to-month",2,IF(C1406="One year",1,0)))+IF(ISBLANK(I1406),0,IF(I1406&lt;40,2,IF(I1406&lt;55,1,0)))+IF(ISBLANK(M1406),0,IF(M1406=1,3,0))+IF(ISBLANK(L1406),0,IF(L1406&gt;=2,1,0))+IF(ISBLANK(E1406),0,IF(E1406&lt;12,1,0))</f>
        <v>2</v>
      </c>
      <c r="U1406" s="0" t="str">
        <f aca="false">IF((ISBLANK(B1406)*1+ISBLANK(C1406)*1+ISBLANK(D1406)*1+ISBLANK(E1406)*1+ISBLANK(F1406)*1+ISBLANK(I1406)*1+ISBLANK(J1406)*1+ISBLANK(K1406)*1+ISBLANK(L1406)*1+ISBLANK(M1406)*1+ISBLANK(N1406)*1+ISBLANK(O1406)*1)&gt;0,"Missing Data","OK")</f>
        <v>OK</v>
      </c>
      <c r="V1406" s="0" t="str">
        <f aca="false">IF(T1406&gt;=6,"High Risk",IF(T1406&gt;=3,"Medium Risk","Low Risk"))</f>
        <v>Low Risk</v>
      </c>
    </row>
    <row r="1407" customFormat="false" ht="12.8" hidden="false" customHeight="false" outlineLevel="0" collapsed="false">
      <c r="A1407" s="1" t="s">
        <v>1437</v>
      </c>
      <c r="B1407" s="1" t="s">
        <v>23</v>
      </c>
      <c r="C1407" s="1" t="s">
        <v>24</v>
      </c>
      <c r="D1407" s="1" t="n">
        <v>20.02</v>
      </c>
      <c r="E1407" s="1" t="n">
        <v>25</v>
      </c>
      <c r="F1407" s="4" t="n">
        <v>45723</v>
      </c>
      <c r="G1407" s="1" t="s">
        <v>27</v>
      </c>
      <c r="H1407" s="1" t="n">
        <v>0</v>
      </c>
      <c r="I1407" s="1" t="n">
        <v>25.3</v>
      </c>
      <c r="J1407" s="1" t="n">
        <v>9</v>
      </c>
      <c r="K1407" s="1" t="n">
        <v>4</v>
      </c>
      <c r="L1407" s="1" t="n">
        <v>0</v>
      </c>
      <c r="M1407" s="1" t="n">
        <v>0</v>
      </c>
      <c r="N1407" s="1" t="n">
        <v>500.5</v>
      </c>
      <c r="O1407" s="1" t="n">
        <v>0</v>
      </c>
      <c r="Q1407" s="4" t="n">
        <v>46293</v>
      </c>
      <c r="R1407" s="0" t="n">
        <f aca="false">IF(ISBLANK(F1407),"Missing",IFERROR(YEAR(F1407),"Missing"))</f>
        <v>2025</v>
      </c>
      <c r="S1407" s="0" t="str">
        <f aca="false">IF(ISBLANK(E1407),"Missing",IF(E1407&lt;6,"0-6mo",IF(E1407&lt;12,"6-12mo",IF(E1407&lt;24,"12-24mo","24mo+"))))</f>
        <v>24mo+</v>
      </c>
      <c r="T1407" s="0" t="n">
        <f aca="false">IF(ISBLANK(C1407),0,IF(C1407="Month-to-month",2,IF(C1407="One year",1,0)))+IF(ISBLANK(I1407),0,IF(I1407&lt;40,2,IF(I1407&lt;55,1,0)))+IF(ISBLANK(M1407),0,IF(M1407=1,3,0))+IF(ISBLANK(L1407),0,IF(L1407&gt;=2,1,0))+IF(ISBLANK(E1407),0,IF(E1407&lt;12,1,0))</f>
        <v>4</v>
      </c>
      <c r="U1407" s="0" t="str">
        <f aca="false">IF((ISBLANK(B1407)*1+ISBLANK(C1407)*1+ISBLANK(D1407)*1+ISBLANK(E1407)*1+ISBLANK(F1407)*1+ISBLANK(I1407)*1+ISBLANK(J1407)*1+ISBLANK(K1407)*1+ISBLANK(L1407)*1+ISBLANK(M1407)*1+ISBLANK(N1407)*1+ISBLANK(O1407)*1)&gt;0,"Missing Data","OK")</f>
        <v>OK</v>
      </c>
      <c r="V1407" s="0" t="str">
        <f aca="false">IF(T1407&gt;=6,"High Risk",IF(T1407&gt;=3,"Medium Risk","Low Risk"))</f>
        <v>Medium Risk</v>
      </c>
    </row>
    <row r="1408" customFormat="false" ht="12.8" hidden="false" customHeight="false" outlineLevel="0" collapsed="false">
      <c r="A1408" s="1" t="s">
        <v>1438</v>
      </c>
      <c r="B1408" s="1" t="s">
        <v>29</v>
      </c>
      <c r="C1408" s="1" t="s">
        <v>24</v>
      </c>
      <c r="D1408" s="1" t="n">
        <v>40.09</v>
      </c>
      <c r="E1408" s="1" t="n">
        <v>9</v>
      </c>
      <c r="F1408" s="4" t="n">
        <v>45723</v>
      </c>
      <c r="G1408" s="1" t="s">
        <v>27</v>
      </c>
      <c r="H1408" s="1" t="n">
        <v>0</v>
      </c>
      <c r="I1408" s="1" t="n">
        <v>45.5</v>
      </c>
      <c r="J1408" s="1" t="n">
        <v>13</v>
      </c>
      <c r="K1408" s="1" t="n">
        <v>6</v>
      </c>
      <c r="L1408" s="1" t="n">
        <v>0</v>
      </c>
      <c r="M1408" s="1" t="n">
        <v>0</v>
      </c>
      <c r="N1408" s="1" t="n">
        <v>360.81</v>
      </c>
      <c r="O1408" s="1" t="n">
        <v>0</v>
      </c>
      <c r="Q1408" s="4" t="n">
        <v>45996</v>
      </c>
      <c r="R1408" s="0" t="n">
        <f aca="false">IF(ISBLANK(F1408),"Missing",IFERROR(YEAR(F1408),"Missing"))</f>
        <v>2025</v>
      </c>
      <c r="S1408" s="0" t="str">
        <f aca="false">IF(ISBLANK(E1408),"Missing",IF(E1408&lt;6,"0-6mo",IF(E1408&lt;12,"6-12mo",IF(E1408&lt;24,"12-24mo","24mo+"))))</f>
        <v>6-12mo</v>
      </c>
      <c r="T1408" s="0" t="n">
        <f aca="false">IF(ISBLANK(C1408),0,IF(C1408="Month-to-month",2,IF(C1408="One year",1,0)))+IF(ISBLANK(I1408),0,IF(I1408&lt;40,2,IF(I1408&lt;55,1,0)))+IF(ISBLANK(M1408),0,IF(M1408=1,3,0))+IF(ISBLANK(L1408),0,IF(L1408&gt;=2,1,0))+IF(ISBLANK(E1408),0,IF(E1408&lt;12,1,0))</f>
        <v>4</v>
      </c>
      <c r="U1408" s="0" t="str">
        <f aca="false">IF((ISBLANK(B1408)*1+ISBLANK(C1408)*1+ISBLANK(D1408)*1+ISBLANK(E1408)*1+ISBLANK(F1408)*1+ISBLANK(I1408)*1+ISBLANK(J1408)*1+ISBLANK(K1408)*1+ISBLANK(L1408)*1+ISBLANK(M1408)*1+ISBLANK(N1408)*1+ISBLANK(O1408)*1)&gt;0,"Missing Data","OK")</f>
        <v>OK</v>
      </c>
      <c r="V1408" s="0" t="str">
        <f aca="false">IF(T1408&gt;=6,"High Risk",IF(T1408&gt;=3,"Medium Risk","Low Risk"))</f>
        <v>Medium Risk</v>
      </c>
    </row>
    <row r="1409" customFormat="false" ht="12.8" hidden="false" customHeight="false" outlineLevel="0" collapsed="false">
      <c r="A1409" s="1" t="s">
        <v>1439</v>
      </c>
      <c r="B1409" s="1" t="s">
        <v>36</v>
      </c>
      <c r="C1409" s="1" t="s">
        <v>51</v>
      </c>
      <c r="D1409" s="1" t="n">
        <v>10.97</v>
      </c>
      <c r="E1409" s="1" t="n">
        <v>5</v>
      </c>
      <c r="F1409" s="4" t="n">
        <v>45724</v>
      </c>
      <c r="G1409" s="1" t="s">
        <v>25</v>
      </c>
      <c r="H1409" s="1" t="n">
        <v>1</v>
      </c>
      <c r="I1409" s="1" t="n">
        <v>74.5</v>
      </c>
      <c r="J1409" s="1" t="n">
        <v>23</v>
      </c>
      <c r="K1409" s="1" t="n">
        <v>8</v>
      </c>
      <c r="L1409" s="1" t="n">
        <v>3</v>
      </c>
      <c r="M1409" s="1" t="n">
        <v>0</v>
      </c>
      <c r="N1409" s="1" t="n">
        <v>54.85</v>
      </c>
      <c r="O1409" s="1" t="n">
        <v>0</v>
      </c>
      <c r="Q1409" s="4" t="n">
        <v>45876</v>
      </c>
      <c r="R1409" s="0" t="n">
        <f aca="false">IF(ISBLANK(F1409),"Missing",IFERROR(YEAR(F1409),"Missing"))</f>
        <v>2025</v>
      </c>
      <c r="S1409" s="0" t="str">
        <f aca="false">IF(ISBLANK(E1409),"Missing",IF(E1409&lt;6,"0-6mo",IF(E1409&lt;12,"6-12mo",IF(E1409&lt;24,"12-24mo","24mo+"))))</f>
        <v>0-6mo</v>
      </c>
      <c r="T1409" s="0" t="n">
        <f aca="false">IF(ISBLANK(C1409),0,IF(C1409="Month-to-month",2,IF(C1409="One year",1,0)))+IF(ISBLANK(I1409),0,IF(I1409&lt;40,2,IF(I1409&lt;55,1,0)))+IF(ISBLANK(M1409),0,IF(M1409=1,3,0))+IF(ISBLANK(L1409),0,IF(L1409&gt;=2,1,0))+IF(ISBLANK(E1409),0,IF(E1409&lt;12,1,0))</f>
        <v>2</v>
      </c>
      <c r="U1409" s="0" t="str">
        <f aca="false">IF((ISBLANK(B1409)*1+ISBLANK(C1409)*1+ISBLANK(D1409)*1+ISBLANK(E1409)*1+ISBLANK(F1409)*1+ISBLANK(I1409)*1+ISBLANK(J1409)*1+ISBLANK(K1409)*1+ISBLANK(L1409)*1+ISBLANK(M1409)*1+ISBLANK(N1409)*1+ISBLANK(O1409)*1)&gt;0,"Missing Data","OK")</f>
        <v>OK</v>
      </c>
      <c r="V1409" s="0" t="str">
        <f aca="false">IF(T1409&gt;=6,"High Risk",IF(T1409&gt;=3,"Medium Risk","Low Risk"))</f>
        <v>Low Risk</v>
      </c>
    </row>
    <row r="1410" customFormat="false" ht="12.8" hidden="false" customHeight="false" outlineLevel="0" collapsed="false">
      <c r="A1410" s="1" t="s">
        <v>1440</v>
      </c>
      <c r="B1410" s="1" t="s">
        <v>36</v>
      </c>
      <c r="C1410" s="1" t="s">
        <v>34</v>
      </c>
      <c r="D1410" s="1" t="n">
        <v>11.61</v>
      </c>
      <c r="E1410" s="1" t="n">
        <v>13</v>
      </c>
      <c r="F1410" s="4" t="n">
        <v>45725</v>
      </c>
      <c r="G1410" s="1" t="s">
        <v>39</v>
      </c>
      <c r="H1410" s="1" t="n">
        <v>1</v>
      </c>
      <c r="I1410" s="1" t="n">
        <v>42.4</v>
      </c>
      <c r="J1410" s="1" t="n">
        <v>16</v>
      </c>
      <c r="K1410" s="1" t="n">
        <v>5</v>
      </c>
      <c r="L1410" s="1" t="n">
        <v>5</v>
      </c>
      <c r="M1410" s="1" t="n">
        <v>0</v>
      </c>
      <c r="N1410" s="1" t="n">
        <v>150.93</v>
      </c>
      <c r="O1410" s="1" t="n">
        <v>0</v>
      </c>
      <c r="Q1410" s="4" t="n">
        <v>46120</v>
      </c>
      <c r="R1410" s="0" t="n">
        <f aca="false">IF(ISBLANK(F1410),"Missing",IFERROR(YEAR(F1410),"Missing"))</f>
        <v>2025</v>
      </c>
      <c r="S1410" s="0" t="str">
        <f aca="false">IF(ISBLANK(E1410),"Missing",IF(E1410&lt;6,"0-6mo",IF(E1410&lt;12,"6-12mo",IF(E1410&lt;24,"12-24mo","24mo+"))))</f>
        <v>12-24mo</v>
      </c>
      <c r="T1410" s="0" t="n">
        <f aca="false">IF(ISBLANK(C1410),0,IF(C1410="Month-to-month",2,IF(C1410="One year",1,0)))+IF(ISBLANK(I1410),0,IF(I1410&lt;40,2,IF(I1410&lt;55,1,0)))+IF(ISBLANK(M1410),0,IF(M1410=1,3,0))+IF(ISBLANK(L1410),0,IF(L1410&gt;=2,1,0))+IF(ISBLANK(E1410),0,IF(E1410&lt;12,1,0))</f>
        <v>3</v>
      </c>
      <c r="U1410" s="0" t="str">
        <f aca="false">IF((ISBLANK(B1410)*1+ISBLANK(C1410)*1+ISBLANK(D1410)*1+ISBLANK(E1410)*1+ISBLANK(F1410)*1+ISBLANK(I1410)*1+ISBLANK(J1410)*1+ISBLANK(K1410)*1+ISBLANK(L1410)*1+ISBLANK(M1410)*1+ISBLANK(N1410)*1+ISBLANK(O1410)*1)&gt;0,"Missing Data","OK")</f>
        <v>OK</v>
      </c>
      <c r="V1410" s="0" t="str">
        <f aca="false">IF(T1410&gt;=6,"High Risk",IF(T1410&gt;=3,"Medium Risk","Low Risk"))</f>
        <v>Medium Risk</v>
      </c>
    </row>
    <row r="1411" customFormat="false" ht="12.8" hidden="false" customHeight="false" outlineLevel="0" collapsed="false">
      <c r="A1411" s="1" t="s">
        <v>1441</v>
      </c>
      <c r="B1411" s="1" t="s">
        <v>29</v>
      </c>
      <c r="C1411" s="1" t="s">
        <v>34</v>
      </c>
      <c r="D1411" s="1" t="n">
        <v>40.45</v>
      </c>
      <c r="E1411" s="1" t="n">
        <v>31</v>
      </c>
      <c r="F1411" s="4" t="n">
        <v>45726</v>
      </c>
      <c r="G1411" s="1" t="s">
        <v>39</v>
      </c>
      <c r="H1411" s="1" t="n">
        <v>1</v>
      </c>
      <c r="I1411" s="1" t="n">
        <v>33</v>
      </c>
      <c r="J1411" s="1" t="n">
        <v>9</v>
      </c>
      <c r="K1411" s="1" t="n">
        <v>2</v>
      </c>
      <c r="L1411" s="1" t="n">
        <v>2</v>
      </c>
      <c r="M1411" s="1" t="n">
        <v>0</v>
      </c>
      <c r="N1411" s="1" t="n">
        <v>1253.95</v>
      </c>
      <c r="O1411" s="1" t="n">
        <v>0</v>
      </c>
      <c r="Q1411" s="4" t="n">
        <v>46293</v>
      </c>
      <c r="R1411" s="0" t="n">
        <f aca="false">IF(ISBLANK(F1411),"Missing",IFERROR(YEAR(F1411),"Missing"))</f>
        <v>2025</v>
      </c>
      <c r="S1411" s="0" t="str">
        <f aca="false">IF(ISBLANK(E1411),"Missing",IF(E1411&lt;6,"0-6mo",IF(E1411&lt;12,"6-12mo",IF(E1411&lt;24,"12-24mo","24mo+"))))</f>
        <v>24mo+</v>
      </c>
      <c r="T1411" s="0" t="n">
        <f aca="false">IF(ISBLANK(C1411),0,IF(C1411="Month-to-month",2,IF(C1411="One year",1,0)))+IF(ISBLANK(I1411),0,IF(I1411&lt;40,2,IF(I1411&lt;55,1,0)))+IF(ISBLANK(M1411),0,IF(M1411=1,3,0))+IF(ISBLANK(L1411),0,IF(L1411&gt;=2,1,0))+IF(ISBLANK(E1411),0,IF(E1411&lt;12,1,0))</f>
        <v>4</v>
      </c>
      <c r="U1411" s="0" t="str">
        <f aca="false">IF((ISBLANK(B1411)*1+ISBLANK(C1411)*1+ISBLANK(D1411)*1+ISBLANK(E1411)*1+ISBLANK(F1411)*1+ISBLANK(I1411)*1+ISBLANK(J1411)*1+ISBLANK(K1411)*1+ISBLANK(L1411)*1+ISBLANK(M1411)*1+ISBLANK(N1411)*1+ISBLANK(O1411)*1)&gt;0,"Missing Data","OK")</f>
        <v>OK</v>
      </c>
      <c r="V1411" s="0" t="str">
        <f aca="false">IF(T1411&gt;=6,"High Risk",IF(T1411&gt;=3,"Medium Risk","Low Risk"))</f>
        <v>Medium Risk</v>
      </c>
    </row>
    <row r="1412" customFormat="false" ht="12.8" hidden="false" customHeight="false" outlineLevel="0" collapsed="false">
      <c r="A1412" s="1" t="s">
        <v>1442</v>
      </c>
      <c r="B1412" s="1" t="s">
        <v>29</v>
      </c>
      <c r="C1412" s="1" t="s">
        <v>24</v>
      </c>
      <c r="D1412" s="1" t="n">
        <v>39.27</v>
      </c>
      <c r="E1412" s="1" t="n">
        <v>31</v>
      </c>
      <c r="F1412" s="4" t="n">
        <v>45726</v>
      </c>
      <c r="G1412" s="1" t="s">
        <v>30</v>
      </c>
      <c r="H1412" s="1" t="n">
        <v>0</v>
      </c>
      <c r="I1412" s="1" t="n">
        <v>100</v>
      </c>
      <c r="J1412" s="1" t="n">
        <v>33</v>
      </c>
      <c r="K1412" s="1" t="n">
        <v>9</v>
      </c>
      <c r="L1412" s="1" t="n">
        <v>3</v>
      </c>
      <c r="M1412" s="1" t="n">
        <v>0</v>
      </c>
      <c r="N1412" s="1" t="n">
        <v>1217.37</v>
      </c>
      <c r="O1412" s="1" t="n">
        <v>0</v>
      </c>
      <c r="Q1412" s="4" t="n">
        <v>46293</v>
      </c>
      <c r="R1412" s="0" t="n">
        <f aca="false">IF(ISBLANK(F1412),"Missing",IFERROR(YEAR(F1412),"Missing"))</f>
        <v>2025</v>
      </c>
      <c r="S1412" s="0" t="str">
        <f aca="false">IF(ISBLANK(E1412),"Missing",IF(E1412&lt;6,"0-6mo",IF(E1412&lt;12,"6-12mo",IF(E1412&lt;24,"12-24mo","24mo+"))))</f>
        <v>24mo+</v>
      </c>
      <c r="T1412" s="0" t="n">
        <f aca="false">IF(ISBLANK(C1412),0,IF(C1412="Month-to-month",2,IF(C1412="One year",1,0)))+IF(ISBLANK(I1412),0,IF(I1412&lt;40,2,IF(I1412&lt;55,1,0)))+IF(ISBLANK(M1412),0,IF(M1412=1,3,0))+IF(ISBLANK(L1412),0,IF(L1412&gt;=2,1,0))+IF(ISBLANK(E1412),0,IF(E1412&lt;12,1,0))</f>
        <v>3</v>
      </c>
      <c r="U1412" s="0" t="str">
        <f aca="false">IF((ISBLANK(B1412)*1+ISBLANK(C1412)*1+ISBLANK(D1412)*1+ISBLANK(E1412)*1+ISBLANK(F1412)*1+ISBLANK(I1412)*1+ISBLANK(J1412)*1+ISBLANK(K1412)*1+ISBLANK(L1412)*1+ISBLANK(M1412)*1+ISBLANK(N1412)*1+ISBLANK(O1412)*1)&gt;0,"Missing Data","OK")</f>
        <v>OK</v>
      </c>
      <c r="V1412" s="0" t="str">
        <f aca="false">IF(T1412&gt;=6,"High Risk",IF(T1412&gt;=3,"Medium Risk","Low Risk"))</f>
        <v>Medium Risk</v>
      </c>
    </row>
    <row r="1413" customFormat="false" ht="12.8" hidden="false" customHeight="false" outlineLevel="0" collapsed="false">
      <c r="A1413" s="1" t="s">
        <v>1443</v>
      </c>
      <c r="B1413" s="1" t="s">
        <v>29</v>
      </c>
      <c r="C1413" s="1" t="s">
        <v>34</v>
      </c>
      <c r="D1413" s="1" t="n">
        <v>40.52</v>
      </c>
      <c r="E1413" s="1" t="n">
        <v>13</v>
      </c>
      <c r="F1413" s="4" t="n">
        <v>45727</v>
      </c>
      <c r="G1413" s="1" t="s">
        <v>39</v>
      </c>
      <c r="H1413" s="1" t="n">
        <v>1</v>
      </c>
      <c r="I1413" s="1" t="n">
        <v>37</v>
      </c>
      <c r="J1413" s="1" t="n">
        <v>9</v>
      </c>
      <c r="K1413" s="1" t="n">
        <v>5</v>
      </c>
      <c r="L1413" s="1" t="n">
        <v>5</v>
      </c>
      <c r="M1413" s="1" t="n">
        <v>1</v>
      </c>
      <c r="N1413" s="1" t="n">
        <v>526.76</v>
      </c>
      <c r="O1413" s="1" t="n">
        <v>0</v>
      </c>
      <c r="Q1413" s="4" t="n">
        <v>46122</v>
      </c>
      <c r="R1413" s="0" t="n">
        <f aca="false">IF(ISBLANK(F1413),"Missing",IFERROR(YEAR(F1413),"Missing"))</f>
        <v>2025</v>
      </c>
      <c r="S1413" s="0" t="str">
        <f aca="false">IF(ISBLANK(E1413),"Missing",IF(E1413&lt;6,"0-6mo",IF(E1413&lt;12,"6-12mo",IF(E1413&lt;24,"12-24mo","24mo+"))))</f>
        <v>12-24mo</v>
      </c>
      <c r="T1413" s="0" t="n">
        <f aca="false">IF(ISBLANK(C1413),0,IF(C1413="Month-to-month",2,IF(C1413="One year",1,0)))+IF(ISBLANK(I1413),0,IF(I1413&lt;40,2,IF(I1413&lt;55,1,0)))+IF(ISBLANK(M1413),0,IF(M1413=1,3,0))+IF(ISBLANK(L1413),0,IF(L1413&gt;=2,1,0))+IF(ISBLANK(E1413),0,IF(E1413&lt;12,1,0))</f>
        <v>7</v>
      </c>
      <c r="U1413" s="0" t="str">
        <f aca="false">IF((ISBLANK(B1413)*1+ISBLANK(C1413)*1+ISBLANK(D1413)*1+ISBLANK(E1413)*1+ISBLANK(F1413)*1+ISBLANK(I1413)*1+ISBLANK(J1413)*1+ISBLANK(K1413)*1+ISBLANK(L1413)*1+ISBLANK(M1413)*1+ISBLANK(N1413)*1+ISBLANK(O1413)*1)&gt;0,"Missing Data","OK")</f>
        <v>OK</v>
      </c>
      <c r="V1413" s="0" t="str">
        <f aca="false">IF(T1413&gt;=6,"High Risk",IF(T1413&gt;=3,"Medium Risk","Low Risk"))</f>
        <v>High Risk</v>
      </c>
    </row>
    <row r="1414" customFormat="false" ht="12.8" hidden="false" customHeight="false" outlineLevel="0" collapsed="false">
      <c r="A1414" s="1" t="s">
        <v>1444</v>
      </c>
      <c r="B1414" s="1" t="s">
        <v>23</v>
      </c>
      <c r="C1414" s="1" t="s">
        <v>24</v>
      </c>
      <c r="D1414" s="1" t="n">
        <v>21.1</v>
      </c>
      <c r="E1414" s="1" t="n">
        <v>16</v>
      </c>
      <c r="F1414" s="4" t="n">
        <v>45728</v>
      </c>
      <c r="G1414" s="1" t="s">
        <v>39</v>
      </c>
      <c r="H1414" s="1" t="n">
        <v>1</v>
      </c>
      <c r="I1414" s="1" t="n">
        <v>25.2</v>
      </c>
      <c r="J1414" s="1" t="n">
        <v>13</v>
      </c>
      <c r="K1414" s="1" t="n">
        <v>3</v>
      </c>
      <c r="L1414" s="1" t="n">
        <v>2</v>
      </c>
      <c r="M1414" s="1" t="n">
        <v>1</v>
      </c>
      <c r="N1414" s="1" t="n">
        <v>337.6</v>
      </c>
      <c r="O1414" s="1" t="n">
        <v>0</v>
      </c>
      <c r="Q1414" s="4" t="n">
        <v>46215</v>
      </c>
      <c r="R1414" s="0" t="n">
        <f aca="false">IF(ISBLANK(F1414),"Missing",IFERROR(YEAR(F1414),"Missing"))</f>
        <v>2025</v>
      </c>
      <c r="S1414" s="0" t="str">
        <f aca="false">IF(ISBLANK(E1414),"Missing",IF(E1414&lt;6,"0-6mo",IF(E1414&lt;12,"6-12mo",IF(E1414&lt;24,"12-24mo","24mo+"))))</f>
        <v>12-24mo</v>
      </c>
      <c r="T1414" s="0" t="n">
        <f aca="false">IF(ISBLANK(C1414),0,IF(C1414="Month-to-month",2,IF(C1414="One year",1,0)))+IF(ISBLANK(I1414),0,IF(I1414&lt;40,2,IF(I1414&lt;55,1,0)))+IF(ISBLANK(M1414),0,IF(M1414=1,3,0))+IF(ISBLANK(L1414),0,IF(L1414&gt;=2,1,0))+IF(ISBLANK(E1414),0,IF(E1414&lt;12,1,0))</f>
        <v>8</v>
      </c>
      <c r="U1414" s="0" t="str">
        <f aca="false">IF((ISBLANK(B1414)*1+ISBLANK(C1414)*1+ISBLANK(D1414)*1+ISBLANK(E1414)*1+ISBLANK(F1414)*1+ISBLANK(I1414)*1+ISBLANK(J1414)*1+ISBLANK(K1414)*1+ISBLANK(L1414)*1+ISBLANK(M1414)*1+ISBLANK(N1414)*1+ISBLANK(O1414)*1)&gt;0,"Missing Data","OK")</f>
        <v>OK</v>
      </c>
      <c r="V1414" s="0" t="str">
        <f aca="false">IF(T1414&gt;=6,"High Risk",IF(T1414&gt;=3,"Medium Risk","Low Risk"))</f>
        <v>High Risk</v>
      </c>
    </row>
    <row r="1415" customFormat="false" ht="12.8" hidden="false" customHeight="false" outlineLevel="0" collapsed="false">
      <c r="A1415" s="1" t="s">
        <v>1445</v>
      </c>
      <c r="B1415" s="1" t="s">
        <v>29</v>
      </c>
      <c r="C1415" s="1" t="s">
        <v>34</v>
      </c>
      <c r="D1415" s="1" t="n">
        <v>40.47</v>
      </c>
      <c r="E1415" s="1" t="n">
        <v>3</v>
      </c>
      <c r="F1415" s="4" t="n">
        <v>45728</v>
      </c>
      <c r="G1415" s="1" t="s">
        <v>25</v>
      </c>
      <c r="H1415" s="1" t="n">
        <v>1</v>
      </c>
      <c r="I1415" s="1" t="n">
        <v>61.8</v>
      </c>
      <c r="J1415" s="1" t="n">
        <v>20</v>
      </c>
      <c r="K1415" s="1" t="n">
        <v>5</v>
      </c>
      <c r="L1415" s="1" t="n">
        <v>1</v>
      </c>
      <c r="M1415" s="1" t="n">
        <v>0</v>
      </c>
      <c r="N1415" s="1" t="n">
        <v>121.41</v>
      </c>
      <c r="O1415" s="1" t="n">
        <v>0</v>
      </c>
      <c r="Q1415" s="4" t="n">
        <v>45819</v>
      </c>
      <c r="R1415" s="0" t="n">
        <f aca="false">IF(ISBLANK(F1415),"Missing",IFERROR(YEAR(F1415),"Missing"))</f>
        <v>2025</v>
      </c>
      <c r="S1415" s="0" t="str">
        <f aca="false">IF(ISBLANK(E1415),"Missing",IF(E1415&lt;6,"0-6mo",IF(E1415&lt;12,"6-12mo",IF(E1415&lt;24,"12-24mo","24mo+"))))</f>
        <v>0-6mo</v>
      </c>
      <c r="T1415" s="0" t="n">
        <f aca="false">IF(ISBLANK(C1415),0,IF(C1415="Month-to-month",2,IF(C1415="One year",1,0)))+IF(ISBLANK(I1415),0,IF(I1415&lt;40,2,IF(I1415&lt;55,1,0)))+IF(ISBLANK(M1415),0,IF(M1415=1,3,0))+IF(ISBLANK(L1415),0,IF(L1415&gt;=2,1,0))+IF(ISBLANK(E1415),0,IF(E1415&lt;12,1,0))</f>
        <v>2</v>
      </c>
      <c r="U1415" s="0" t="str">
        <f aca="false">IF((ISBLANK(B1415)*1+ISBLANK(C1415)*1+ISBLANK(D1415)*1+ISBLANK(E1415)*1+ISBLANK(F1415)*1+ISBLANK(I1415)*1+ISBLANK(J1415)*1+ISBLANK(K1415)*1+ISBLANK(L1415)*1+ISBLANK(M1415)*1+ISBLANK(N1415)*1+ISBLANK(O1415)*1)&gt;0,"Missing Data","OK")</f>
        <v>OK</v>
      </c>
      <c r="V1415" s="0" t="str">
        <f aca="false">IF(T1415&gt;=6,"High Risk",IF(T1415&gt;=3,"Medium Risk","Low Risk"))</f>
        <v>Low Risk</v>
      </c>
    </row>
    <row r="1416" customFormat="false" ht="12.8" hidden="false" customHeight="false" outlineLevel="0" collapsed="false">
      <c r="A1416" s="1" t="s">
        <v>1446</v>
      </c>
      <c r="B1416" s="1" t="s">
        <v>23</v>
      </c>
      <c r="C1416" s="1" t="s">
        <v>24</v>
      </c>
      <c r="D1416" s="1" t="n">
        <v>20.05</v>
      </c>
      <c r="E1416" s="1" t="n">
        <v>4</v>
      </c>
      <c r="F1416" s="4" t="n">
        <v>45729</v>
      </c>
      <c r="G1416" s="1" t="s">
        <v>30</v>
      </c>
      <c r="H1416" s="1" t="n">
        <v>1</v>
      </c>
      <c r="I1416" s="1" t="n">
        <v>85.7</v>
      </c>
      <c r="J1416" s="1" t="n">
        <v>24</v>
      </c>
      <c r="K1416" s="1" t="n">
        <v>9</v>
      </c>
      <c r="L1416" s="1" t="n">
        <v>2</v>
      </c>
      <c r="M1416" s="1" t="n">
        <v>1</v>
      </c>
      <c r="N1416" s="1" t="n">
        <v>80.2</v>
      </c>
      <c r="O1416" s="1" t="n">
        <v>0</v>
      </c>
      <c r="Q1416" s="4" t="n">
        <v>45850</v>
      </c>
      <c r="R1416" s="0" t="n">
        <f aca="false">IF(ISBLANK(F1416),"Missing",IFERROR(YEAR(F1416),"Missing"))</f>
        <v>2025</v>
      </c>
      <c r="S1416" s="0" t="str">
        <f aca="false">IF(ISBLANK(E1416),"Missing",IF(E1416&lt;6,"0-6mo",IF(E1416&lt;12,"6-12mo",IF(E1416&lt;24,"12-24mo","24mo+"))))</f>
        <v>0-6mo</v>
      </c>
      <c r="T1416" s="0" t="n">
        <f aca="false">IF(ISBLANK(C1416),0,IF(C1416="Month-to-month",2,IF(C1416="One year",1,0)))+IF(ISBLANK(I1416),0,IF(I1416&lt;40,2,IF(I1416&lt;55,1,0)))+IF(ISBLANK(M1416),0,IF(M1416=1,3,0))+IF(ISBLANK(L1416),0,IF(L1416&gt;=2,1,0))+IF(ISBLANK(E1416),0,IF(E1416&lt;12,1,0))</f>
        <v>7</v>
      </c>
      <c r="U1416" s="0" t="str">
        <f aca="false">IF((ISBLANK(B1416)*1+ISBLANK(C1416)*1+ISBLANK(D1416)*1+ISBLANK(E1416)*1+ISBLANK(F1416)*1+ISBLANK(I1416)*1+ISBLANK(J1416)*1+ISBLANK(K1416)*1+ISBLANK(L1416)*1+ISBLANK(M1416)*1+ISBLANK(N1416)*1+ISBLANK(O1416)*1)&gt;0,"Missing Data","OK")</f>
        <v>OK</v>
      </c>
      <c r="V1416" s="0" t="str">
        <f aca="false">IF(T1416&gt;=6,"High Risk",IF(T1416&gt;=3,"Medium Risk","Low Risk"))</f>
        <v>High Risk</v>
      </c>
    </row>
    <row r="1417" customFormat="false" ht="12.8" hidden="false" customHeight="false" outlineLevel="0" collapsed="false">
      <c r="A1417" s="1" t="s">
        <v>1447</v>
      </c>
      <c r="B1417" s="1" t="s">
        <v>23</v>
      </c>
      <c r="C1417" s="1" t="s">
        <v>24</v>
      </c>
      <c r="D1417" s="1" t="n">
        <v>20.64</v>
      </c>
      <c r="E1417" s="1" t="n">
        <v>38</v>
      </c>
      <c r="F1417" s="4" t="n">
        <v>45730</v>
      </c>
      <c r="G1417" s="1" t="s">
        <v>25</v>
      </c>
      <c r="H1417" s="1" t="n">
        <v>1</v>
      </c>
      <c r="I1417" s="1" t="n">
        <v>40.9</v>
      </c>
      <c r="J1417" s="1" t="n">
        <v>18</v>
      </c>
      <c r="K1417" s="1" t="n">
        <v>2</v>
      </c>
      <c r="L1417" s="1" t="n">
        <v>0</v>
      </c>
      <c r="M1417" s="1" t="n">
        <v>0</v>
      </c>
      <c r="N1417" s="1" t="n">
        <v>784.32</v>
      </c>
      <c r="O1417" s="1" t="n">
        <v>0</v>
      </c>
      <c r="Q1417" s="4" t="n">
        <v>46293</v>
      </c>
      <c r="R1417" s="0" t="n">
        <f aca="false">IF(ISBLANK(F1417),"Missing",IFERROR(YEAR(F1417),"Missing"))</f>
        <v>2025</v>
      </c>
      <c r="S1417" s="0" t="str">
        <f aca="false">IF(ISBLANK(E1417),"Missing",IF(E1417&lt;6,"0-6mo",IF(E1417&lt;12,"6-12mo",IF(E1417&lt;24,"12-24mo","24mo+"))))</f>
        <v>24mo+</v>
      </c>
      <c r="T1417" s="0" t="n">
        <f aca="false">IF(ISBLANK(C1417),0,IF(C1417="Month-to-month",2,IF(C1417="One year",1,0)))+IF(ISBLANK(I1417),0,IF(I1417&lt;40,2,IF(I1417&lt;55,1,0)))+IF(ISBLANK(M1417),0,IF(M1417=1,3,0))+IF(ISBLANK(L1417),0,IF(L1417&gt;=2,1,0))+IF(ISBLANK(E1417),0,IF(E1417&lt;12,1,0))</f>
        <v>3</v>
      </c>
      <c r="U1417" s="0" t="str">
        <f aca="false">IF((ISBLANK(B1417)*1+ISBLANK(C1417)*1+ISBLANK(D1417)*1+ISBLANK(E1417)*1+ISBLANK(F1417)*1+ISBLANK(I1417)*1+ISBLANK(J1417)*1+ISBLANK(K1417)*1+ISBLANK(L1417)*1+ISBLANK(M1417)*1+ISBLANK(N1417)*1+ISBLANK(O1417)*1)&gt;0,"Missing Data","OK")</f>
        <v>OK</v>
      </c>
      <c r="V1417" s="0" t="str">
        <f aca="false">IF(T1417&gt;=6,"High Risk",IF(T1417&gt;=3,"Medium Risk","Low Risk"))</f>
        <v>Medium Risk</v>
      </c>
    </row>
    <row r="1418" customFormat="false" ht="12.8" hidden="false" customHeight="false" outlineLevel="0" collapsed="false">
      <c r="A1418" s="1" t="s">
        <v>1448</v>
      </c>
      <c r="B1418" s="1" t="s">
        <v>23</v>
      </c>
      <c r="C1418" s="1" t="s">
        <v>24</v>
      </c>
      <c r="D1418" s="1" t="n">
        <v>18.9</v>
      </c>
      <c r="E1418" s="1" t="n">
        <v>15</v>
      </c>
      <c r="F1418" s="4" t="n">
        <v>45730</v>
      </c>
      <c r="G1418" s="1" t="s">
        <v>25</v>
      </c>
      <c r="H1418" s="1" t="n">
        <v>0</v>
      </c>
      <c r="I1418" s="1" t="n">
        <v>76.2</v>
      </c>
      <c r="J1418" s="1" t="n">
        <v>22</v>
      </c>
      <c r="K1418" s="1" t="n">
        <v>7</v>
      </c>
      <c r="L1418" s="1" t="n">
        <v>3</v>
      </c>
      <c r="M1418" s="1" t="n">
        <v>0</v>
      </c>
      <c r="N1418" s="1" t="n">
        <v>283.5</v>
      </c>
      <c r="O1418" s="1" t="n">
        <v>0</v>
      </c>
      <c r="Q1418" s="4" t="n">
        <v>46186</v>
      </c>
      <c r="R1418" s="0" t="n">
        <f aca="false">IF(ISBLANK(F1418),"Missing",IFERROR(YEAR(F1418),"Missing"))</f>
        <v>2025</v>
      </c>
      <c r="S1418" s="0" t="str">
        <f aca="false">IF(ISBLANK(E1418),"Missing",IF(E1418&lt;6,"0-6mo",IF(E1418&lt;12,"6-12mo",IF(E1418&lt;24,"12-24mo","24mo+"))))</f>
        <v>12-24mo</v>
      </c>
      <c r="T1418" s="0" t="n">
        <f aca="false">IF(ISBLANK(C1418),0,IF(C1418="Month-to-month",2,IF(C1418="One year",1,0)))+IF(ISBLANK(I1418),0,IF(I1418&lt;40,2,IF(I1418&lt;55,1,0)))+IF(ISBLANK(M1418),0,IF(M1418=1,3,0))+IF(ISBLANK(L1418),0,IF(L1418&gt;=2,1,0))+IF(ISBLANK(E1418),0,IF(E1418&lt;12,1,0))</f>
        <v>3</v>
      </c>
      <c r="U1418" s="0" t="str">
        <f aca="false">IF((ISBLANK(B1418)*1+ISBLANK(C1418)*1+ISBLANK(D1418)*1+ISBLANK(E1418)*1+ISBLANK(F1418)*1+ISBLANK(I1418)*1+ISBLANK(J1418)*1+ISBLANK(K1418)*1+ISBLANK(L1418)*1+ISBLANK(M1418)*1+ISBLANK(N1418)*1+ISBLANK(O1418)*1)&gt;0,"Missing Data","OK")</f>
        <v>OK</v>
      </c>
      <c r="V1418" s="0" t="str">
        <f aca="false">IF(T1418&gt;=6,"High Risk",IF(T1418&gt;=3,"Medium Risk","Low Risk"))</f>
        <v>Medium Risk</v>
      </c>
    </row>
    <row r="1419" customFormat="false" ht="12.8" hidden="false" customHeight="false" outlineLevel="0" collapsed="false">
      <c r="A1419" s="1" t="s">
        <v>1449</v>
      </c>
      <c r="B1419" s="1" t="s">
        <v>29</v>
      </c>
      <c r="C1419" s="1" t="s">
        <v>24</v>
      </c>
      <c r="D1419" s="1" t="n">
        <v>39.79</v>
      </c>
      <c r="E1419" s="1" t="n">
        <v>22</v>
      </c>
      <c r="F1419" s="4" t="n">
        <v>45731</v>
      </c>
      <c r="G1419" s="1" t="s">
        <v>25</v>
      </c>
      <c r="H1419" s="1" t="n">
        <v>1</v>
      </c>
      <c r="I1419" s="1" t="n">
        <v>87.2</v>
      </c>
      <c r="J1419" s="1" t="n">
        <v>30</v>
      </c>
      <c r="K1419" s="1" t="n">
        <v>10</v>
      </c>
      <c r="L1419" s="1" t="n">
        <v>1</v>
      </c>
      <c r="M1419" s="1" t="n">
        <v>0</v>
      </c>
      <c r="N1419" s="1" t="n">
        <v>875.38</v>
      </c>
      <c r="O1419" s="1" t="n">
        <v>0</v>
      </c>
      <c r="Q1419" s="4" t="n">
        <v>46293</v>
      </c>
      <c r="R1419" s="0" t="n">
        <f aca="false">IF(ISBLANK(F1419),"Missing",IFERROR(YEAR(F1419),"Missing"))</f>
        <v>2025</v>
      </c>
      <c r="S1419" s="0" t="str">
        <f aca="false">IF(ISBLANK(E1419),"Missing",IF(E1419&lt;6,"0-6mo",IF(E1419&lt;12,"6-12mo",IF(E1419&lt;24,"12-24mo","24mo+"))))</f>
        <v>12-24mo</v>
      </c>
      <c r="T1419" s="0" t="n">
        <f aca="false">IF(ISBLANK(C1419),0,IF(C1419="Month-to-month",2,IF(C1419="One year",1,0)))+IF(ISBLANK(I1419),0,IF(I1419&lt;40,2,IF(I1419&lt;55,1,0)))+IF(ISBLANK(M1419),0,IF(M1419=1,3,0))+IF(ISBLANK(L1419),0,IF(L1419&gt;=2,1,0))+IF(ISBLANK(E1419),0,IF(E1419&lt;12,1,0))</f>
        <v>2</v>
      </c>
      <c r="U1419" s="0" t="str">
        <f aca="false">IF((ISBLANK(B1419)*1+ISBLANK(C1419)*1+ISBLANK(D1419)*1+ISBLANK(E1419)*1+ISBLANK(F1419)*1+ISBLANK(I1419)*1+ISBLANK(J1419)*1+ISBLANK(K1419)*1+ISBLANK(L1419)*1+ISBLANK(M1419)*1+ISBLANK(N1419)*1+ISBLANK(O1419)*1)&gt;0,"Missing Data","OK")</f>
        <v>OK</v>
      </c>
      <c r="V1419" s="0" t="str">
        <f aca="false">IF(T1419&gt;=6,"High Risk",IF(T1419&gt;=3,"Medium Risk","Low Risk"))</f>
        <v>Low Risk</v>
      </c>
    </row>
    <row r="1420" customFormat="false" ht="12.8" hidden="false" customHeight="false" outlineLevel="0" collapsed="false">
      <c r="A1420" s="1" t="s">
        <v>1450</v>
      </c>
      <c r="B1420" s="1" t="s">
        <v>23</v>
      </c>
      <c r="C1420" s="1" t="s">
        <v>24</v>
      </c>
      <c r="D1420" s="1" t="n">
        <v>23.18</v>
      </c>
      <c r="E1420" s="1" t="n">
        <v>7</v>
      </c>
      <c r="F1420" s="4" t="n">
        <v>45731</v>
      </c>
      <c r="G1420" s="1" t="s">
        <v>39</v>
      </c>
      <c r="H1420" s="1" t="n">
        <v>0</v>
      </c>
      <c r="I1420" s="1" t="n">
        <v>91.3</v>
      </c>
      <c r="J1420" s="1" t="n">
        <v>26</v>
      </c>
      <c r="K1420" s="1" t="n">
        <v>10</v>
      </c>
      <c r="L1420" s="1" t="n">
        <v>1</v>
      </c>
      <c r="M1420" s="1" t="n">
        <v>0</v>
      </c>
      <c r="N1420" s="1" t="n">
        <v>162.26</v>
      </c>
      <c r="O1420" s="1" t="n">
        <v>0</v>
      </c>
      <c r="Q1420" s="4" t="n">
        <v>45944</v>
      </c>
      <c r="R1420" s="0" t="n">
        <f aca="false">IF(ISBLANK(F1420),"Missing",IFERROR(YEAR(F1420),"Missing"))</f>
        <v>2025</v>
      </c>
      <c r="S1420" s="0" t="str">
        <f aca="false">IF(ISBLANK(E1420),"Missing",IF(E1420&lt;6,"0-6mo",IF(E1420&lt;12,"6-12mo",IF(E1420&lt;24,"12-24mo","24mo+"))))</f>
        <v>6-12mo</v>
      </c>
      <c r="T1420" s="0" t="n">
        <f aca="false">IF(ISBLANK(C1420),0,IF(C1420="Month-to-month",2,IF(C1420="One year",1,0)))+IF(ISBLANK(I1420),0,IF(I1420&lt;40,2,IF(I1420&lt;55,1,0)))+IF(ISBLANK(M1420),0,IF(M1420=1,3,0))+IF(ISBLANK(L1420),0,IF(L1420&gt;=2,1,0))+IF(ISBLANK(E1420),0,IF(E1420&lt;12,1,0))</f>
        <v>3</v>
      </c>
      <c r="U1420" s="0" t="str">
        <f aca="false">IF((ISBLANK(B1420)*1+ISBLANK(C1420)*1+ISBLANK(D1420)*1+ISBLANK(E1420)*1+ISBLANK(F1420)*1+ISBLANK(I1420)*1+ISBLANK(J1420)*1+ISBLANK(K1420)*1+ISBLANK(L1420)*1+ISBLANK(M1420)*1+ISBLANK(N1420)*1+ISBLANK(O1420)*1)&gt;0,"Missing Data","OK")</f>
        <v>OK</v>
      </c>
      <c r="V1420" s="0" t="str">
        <f aca="false">IF(T1420&gt;=6,"High Risk",IF(T1420&gt;=3,"Medium Risk","Low Risk"))</f>
        <v>Medium Risk</v>
      </c>
    </row>
    <row r="1421" customFormat="false" ht="12.8" hidden="false" customHeight="false" outlineLevel="0" collapsed="false">
      <c r="A1421" s="1" t="s">
        <v>1451</v>
      </c>
      <c r="B1421" s="1" t="s">
        <v>29</v>
      </c>
      <c r="C1421" s="1" t="s">
        <v>24</v>
      </c>
      <c r="D1421" s="1" t="n">
        <v>38.73</v>
      </c>
      <c r="E1421" s="1" t="n">
        <v>26</v>
      </c>
      <c r="F1421" s="4" t="n">
        <v>45733</v>
      </c>
      <c r="G1421" s="1" t="s">
        <v>27</v>
      </c>
      <c r="H1421" s="1" t="n">
        <v>1</v>
      </c>
      <c r="I1421" s="1" t="n">
        <v>44.4</v>
      </c>
      <c r="J1421" s="1" t="n">
        <v>13</v>
      </c>
      <c r="K1421" s="1" t="n">
        <v>2</v>
      </c>
      <c r="L1421" s="1" t="n">
        <v>1</v>
      </c>
      <c r="M1421" s="1" t="n">
        <v>0</v>
      </c>
      <c r="N1421" s="1" t="n">
        <v>1006.98</v>
      </c>
      <c r="O1421" s="1" t="n">
        <v>0</v>
      </c>
      <c r="Q1421" s="4" t="n">
        <v>46293</v>
      </c>
      <c r="R1421" s="0" t="n">
        <f aca="false">IF(ISBLANK(F1421),"Missing",IFERROR(YEAR(F1421),"Missing"))</f>
        <v>2025</v>
      </c>
      <c r="S1421" s="0" t="str">
        <f aca="false">IF(ISBLANK(E1421),"Missing",IF(E1421&lt;6,"0-6mo",IF(E1421&lt;12,"6-12mo",IF(E1421&lt;24,"12-24mo","24mo+"))))</f>
        <v>24mo+</v>
      </c>
      <c r="T1421" s="0" t="n">
        <f aca="false">IF(ISBLANK(C1421),0,IF(C1421="Month-to-month",2,IF(C1421="One year",1,0)))+IF(ISBLANK(I1421),0,IF(I1421&lt;40,2,IF(I1421&lt;55,1,0)))+IF(ISBLANK(M1421),0,IF(M1421=1,3,0))+IF(ISBLANK(L1421),0,IF(L1421&gt;=2,1,0))+IF(ISBLANK(E1421),0,IF(E1421&lt;12,1,0))</f>
        <v>3</v>
      </c>
      <c r="U1421" s="0" t="str">
        <f aca="false">IF((ISBLANK(B1421)*1+ISBLANK(C1421)*1+ISBLANK(D1421)*1+ISBLANK(E1421)*1+ISBLANK(F1421)*1+ISBLANK(I1421)*1+ISBLANK(J1421)*1+ISBLANK(K1421)*1+ISBLANK(L1421)*1+ISBLANK(M1421)*1+ISBLANK(N1421)*1+ISBLANK(O1421)*1)&gt;0,"Missing Data","OK")</f>
        <v>OK</v>
      </c>
      <c r="V1421" s="0" t="str">
        <f aca="false">IF(T1421&gt;=6,"High Risk",IF(T1421&gt;=3,"Medium Risk","Low Risk"))</f>
        <v>Medium Risk</v>
      </c>
    </row>
    <row r="1422" customFormat="false" ht="12.8" hidden="false" customHeight="false" outlineLevel="0" collapsed="false">
      <c r="A1422" s="1" t="s">
        <v>1452</v>
      </c>
      <c r="B1422" s="1" t="s">
        <v>36</v>
      </c>
      <c r="C1422" s="1" t="s">
        <v>34</v>
      </c>
      <c r="D1422" s="1" t="n">
        <v>10.47</v>
      </c>
      <c r="E1422" s="1" t="n">
        <v>1</v>
      </c>
      <c r="F1422" s="4" t="n">
        <v>45733</v>
      </c>
      <c r="G1422" s="1" t="s">
        <v>30</v>
      </c>
      <c r="H1422" s="1" t="n">
        <v>1</v>
      </c>
      <c r="I1422" s="1" t="n">
        <v>70.1</v>
      </c>
      <c r="J1422" s="1" t="n">
        <v>23</v>
      </c>
      <c r="K1422" s="1" t="n">
        <v>8</v>
      </c>
      <c r="L1422" s="1" t="n">
        <v>3</v>
      </c>
      <c r="M1422" s="1" t="n">
        <v>0</v>
      </c>
      <c r="N1422" s="1" t="n">
        <v>10.47</v>
      </c>
      <c r="O1422" s="1" t="n">
        <v>0</v>
      </c>
      <c r="Q1422" s="4" t="n">
        <v>45763</v>
      </c>
      <c r="R1422" s="0" t="n">
        <f aca="false">IF(ISBLANK(F1422),"Missing",IFERROR(YEAR(F1422),"Missing"))</f>
        <v>2025</v>
      </c>
      <c r="S1422" s="0" t="str">
        <f aca="false">IF(ISBLANK(E1422),"Missing",IF(E1422&lt;6,"0-6mo",IF(E1422&lt;12,"6-12mo",IF(E1422&lt;24,"12-24mo","24mo+"))))</f>
        <v>0-6mo</v>
      </c>
      <c r="T1422" s="0" t="n">
        <f aca="false">IF(ISBLANK(C1422),0,IF(C1422="Month-to-month",2,IF(C1422="One year",1,0)))+IF(ISBLANK(I1422),0,IF(I1422&lt;40,2,IF(I1422&lt;55,1,0)))+IF(ISBLANK(M1422),0,IF(M1422=1,3,0))+IF(ISBLANK(L1422),0,IF(L1422&gt;=2,1,0))+IF(ISBLANK(E1422),0,IF(E1422&lt;12,1,0))</f>
        <v>3</v>
      </c>
      <c r="U1422" s="0" t="str">
        <f aca="false">IF((ISBLANK(B1422)*1+ISBLANK(C1422)*1+ISBLANK(D1422)*1+ISBLANK(E1422)*1+ISBLANK(F1422)*1+ISBLANK(I1422)*1+ISBLANK(J1422)*1+ISBLANK(K1422)*1+ISBLANK(L1422)*1+ISBLANK(M1422)*1+ISBLANK(N1422)*1+ISBLANK(O1422)*1)&gt;0,"Missing Data","OK")</f>
        <v>OK</v>
      </c>
      <c r="V1422" s="0" t="str">
        <f aca="false">IF(T1422&gt;=6,"High Risk",IF(T1422&gt;=3,"Medium Risk","Low Risk"))</f>
        <v>Medium Risk</v>
      </c>
    </row>
    <row r="1423" customFormat="false" ht="12.8" hidden="false" customHeight="false" outlineLevel="0" collapsed="false">
      <c r="A1423" s="1" t="s">
        <v>1453</v>
      </c>
      <c r="B1423" s="1" t="s">
        <v>23</v>
      </c>
      <c r="C1423" s="1" t="s">
        <v>51</v>
      </c>
      <c r="D1423" s="1" t="n">
        <v>18.98</v>
      </c>
      <c r="E1423" s="1" t="n">
        <v>0</v>
      </c>
      <c r="F1423" s="4" t="n">
        <v>45734</v>
      </c>
      <c r="G1423" s="1" t="s">
        <v>25</v>
      </c>
      <c r="H1423" s="1" t="n">
        <v>0</v>
      </c>
      <c r="I1423" s="1" t="n">
        <v>47.1</v>
      </c>
      <c r="J1423" s="1" t="n">
        <v>14</v>
      </c>
      <c r="K1423" s="1" t="n">
        <v>3</v>
      </c>
      <c r="L1423" s="1" t="n">
        <v>2</v>
      </c>
      <c r="M1423" s="1" t="n">
        <v>0</v>
      </c>
      <c r="N1423" s="1" t="n">
        <v>0</v>
      </c>
      <c r="O1423" s="1" t="n">
        <v>0</v>
      </c>
      <c r="Q1423" s="4" t="n">
        <v>45734</v>
      </c>
      <c r="R1423" s="0" t="n">
        <f aca="false">IF(ISBLANK(F1423),"Missing",IFERROR(YEAR(F1423),"Missing"))</f>
        <v>2025</v>
      </c>
      <c r="S1423" s="0" t="str">
        <f aca="false">IF(ISBLANK(E1423),"Missing",IF(E1423&lt;6,"0-6mo",IF(E1423&lt;12,"6-12mo",IF(E1423&lt;24,"12-24mo","24mo+"))))</f>
        <v>0-6mo</v>
      </c>
      <c r="T1423" s="0" t="n">
        <f aca="false">IF(ISBLANK(C1423),0,IF(C1423="Month-to-month",2,IF(C1423="One year",1,0)))+IF(ISBLANK(I1423),0,IF(I1423&lt;40,2,IF(I1423&lt;55,1,0)))+IF(ISBLANK(M1423),0,IF(M1423=1,3,0))+IF(ISBLANK(L1423),0,IF(L1423&gt;=2,1,0))+IF(ISBLANK(E1423),0,IF(E1423&lt;12,1,0))</f>
        <v>3</v>
      </c>
      <c r="U1423" s="0" t="str">
        <f aca="false">IF((ISBLANK(B1423)*1+ISBLANK(C1423)*1+ISBLANK(D1423)*1+ISBLANK(E1423)*1+ISBLANK(F1423)*1+ISBLANK(I1423)*1+ISBLANK(J1423)*1+ISBLANK(K1423)*1+ISBLANK(L1423)*1+ISBLANK(M1423)*1+ISBLANK(N1423)*1+ISBLANK(O1423)*1)&gt;0,"Missing Data","OK")</f>
        <v>OK</v>
      </c>
      <c r="V1423" s="0" t="str">
        <f aca="false">IF(T1423&gt;=6,"High Risk",IF(T1423&gt;=3,"Medium Risk","Low Risk"))</f>
        <v>Medium Risk</v>
      </c>
    </row>
    <row r="1424" customFormat="false" ht="12.8" hidden="false" customHeight="false" outlineLevel="0" collapsed="false">
      <c r="A1424" s="1" t="s">
        <v>1454</v>
      </c>
      <c r="B1424" s="1" t="s">
        <v>29</v>
      </c>
      <c r="C1424" s="1" t="s">
        <v>51</v>
      </c>
      <c r="D1424" s="1" t="n">
        <v>39.62</v>
      </c>
      <c r="E1424" s="1" t="n">
        <v>14</v>
      </c>
      <c r="F1424" s="4" t="n">
        <v>45734</v>
      </c>
      <c r="G1424" s="1" t="s">
        <v>25</v>
      </c>
      <c r="H1424" s="1" t="n">
        <v>1</v>
      </c>
      <c r="I1424" s="1" t="n">
        <v>82.8</v>
      </c>
      <c r="J1424" s="1" t="n">
        <v>27</v>
      </c>
      <c r="K1424" s="1" t="n">
        <v>8</v>
      </c>
      <c r="L1424" s="1" t="n">
        <v>2</v>
      </c>
      <c r="M1424" s="1" t="n">
        <v>0</v>
      </c>
      <c r="N1424" s="1" t="n">
        <v>554.68</v>
      </c>
      <c r="O1424" s="1" t="n">
        <v>0</v>
      </c>
      <c r="Q1424" s="4" t="n">
        <v>46160</v>
      </c>
      <c r="R1424" s="0" t="n">
        <f aca="false">IF(ISBLANK(F1424),"Missing",IFERROR(YEAR(F1424),"Missing"))</f>
        <v>2025</v>
      </c>
      <c r="S1424" s="0" t="str">
        <f aca="false">IF(ISBLANK(E1424),"Missing",IF(E1424&lt;6,"0-6mo",IF(E1424&lt;12,"6-12mo",IF(E1424&lt;24,"12-24mo","24mo+"))))</f>
        <v>12-24mo</v>
      </c>
      <c r="T1424" s="0" t="n">
        <f aca="false">IF(ISBLANK(C1424),0,IF(C1424="Month-to-month",2,IF(C1424="One year",1,0)))+IF(ISBLANK(I1424),0,IF(I1424&lt;40,2,IF(I1424&lt;55,1,0)))+IF(ISBLANK(M1424),0,IF(M1424=1,3,0))+IF(ISBLANK(L1424),0,IF(L1424&gt;=2,1,0))+IF(ISBLANK(E1424),0,IF(E1424&lt;12,1,0))</f>
        <v>1</v>
      </c>
      <c r="U1424" s="0" t="str">
        <f aca="false">IF((ISBLANK(B1424)*1+ISBLANK(C1424)*1+ISBLANK(D1424)*1+ISBLANK(E1424)*1+ISBLANK(F1424)*1+ISBLANK(I1424)*1+ISBLANK(J1424)*1+ISBLANK(K1424)*1+ISBLANK(L1424)*1+ISBLANK(M1424)*1+ISBLANK(N1424)*1+ISBLANK(O1424)*1)&gt;0,"Missing Data","OK")</f>
        <v>OK</v>
      </c>
      <c r="V1424" s="0" t="str">
        <f aca="false">IF(T1424&gt;=6,"High Risk",IF(T1424&gt;=3,"Medium Risk","Low Risk"))</f>
        <v>Low Risk</v>
      </c>
    </row>
    <row r="1425" customFormat="false" ht="12.8" hidden="false" customHeight="false" outlineLevel="0" collapsed="false">
      <c r="A1425" s="1" t="s">
        <v>1455</v>
      </c>
      <c r="B1425" s="1" t="s">
        <v>23</v>
      </c>
      <c r="C1425" s="1" t="s">
        <v>51</v>
      </c>
      <c r="D1425" s="1" t="n">
        <v>21.53</v>
      </c>
      <c r="E1425" s="1" t="n">
        <v>72</v>
      </c>
      <c r="F1425" s="4" t="n">
        <v>45736</v>
      </c>
      <c r="G1425" s="1" t="s">
        <v>30</v>
      </c>
      <c r="H1425" s="1" t="n">
        <v>0</v>
      </c>
      <c r="I1425" s="1" t="n">
        <v>64.5</v>
      </c>
      <c r="J1425" s="1" t="n">
        <v>15</v>
      </c>
      <c r="K1425" s="1" t="n">
        <v>5</v>
      </c>
      <c r="L1425" s="1" t="n">
        <v>0</v>
      </c>
      <c r="M1425" s="1" t="n">
        <v>0</v>
      </c>
      <c r="N1425" s="1" t="n">
        <v>1550.16</v>
      </c>
      <c r="O1425" s="1" t="n">
        <v>0</v>
      </c>
      <c r="Q1425" s="4" t="n">
        <v>46293</v>
      </c>
      <c r="R1425" s="0" t="n">
        <f aca="false">IF(ISBLANK(F1425),"Missing",IFERROR(YEAR(F1425),"Missing"))</f>
        <v>2025</v>
      </c>
      <c r="S1425" s="0" t="str">
        <f aca="false">IF(ISBLANK(E1425),"Missing",IF(E1425&lt;6,"0-6mo",IF(E1425&lt;12,"6-12mo",IF(E1425&lt;24,"12-24mo","24mo+"))))</f>
        <v>24mo+</v>
      </c>
      <c r="T1425" s="0" t="n">
        <f aca="false">IF(ISBLANK(C1425),0,IF(C1425="Month-to-month",2,IF(C1425="One year",1,0)))+IF(ISBLANK(I1425),0,IF(I1425&lt;40,2,IF(I1425&lt;55,1,0)))+IF(ISBLANK(M1425),0,IF(M1425=1,3,0))+IF(ISBLANK(L1425),0,IF(L1425&gt;=2,1,0))+IF(ISBLANK(E1425),0,IF(E1425&lt;12,1,0))</f>
        <v>0</v>
      </c>
      <c r="U1425" s="0" t="str">
        <f aca="false">IF((ISBLANK(B1425)*1+ISBLANK(C1425)*1+ISBLANK(D1425)*1+ISBLANK(E1425)*1+ISBLANK(F1425)*1+ISBLANK(I1425)*1+ISBLANK(J1425)*1+ISBLANK(K1425)*1+ISBLANK(L1425)*1+ISBLANK(M1425)*1+ISBLANK(N1425)*1+ISBLANK(O1425)*1)&gt;0,"Missing Data","OK")</f>
        <v>OK</v>
      </c>
      <c r="V1425" s="0" t="str">
        <f aca="false">IF(T1425&gt;=6,"High Risk",IF(T1425&gt;=3,"Medium Risk","Low Risk"))</f>
        <v>Low Risk</v>
      </c>
    </row>
    <row r="1426" customFormat="false" ht="12.8" hidden="false" customHeight="false" outlineLevel="0" collapsed="false">
      <c r="A1426" s="1" t="s">
        <v>1456</v>
      </c>
      <c r="B1426" s="1" t="s">
        <v>29</v>
      </c>
      <c r="C1426" s="1" t="s">
        <v>24</v>
      </c>
      <c r="D1426" s="1" t="n">
        <v>40.9</v>
      </c>
      <c r="E1426" s="1" t="n">
        <v>17</v>
      </c>
      <c r="F1426" s="4" t="n">
        <v>45736</v>
      </c>
      <c r="G1426" s="1" t="s">
        <v>25</v>
      </c>
      <c r="H1426" s="1" t="n">
        <v>1</v>
      </c>
      <c r="I1426" s="1" t="n">
        <v>44.9</v>
      </c>
      <c r="J1426" s="1" t="n">
        <v>18</v>
      </c>
      <c r="K1426" s="1" t="n">
        <v>3</v>
      </c>
      <c r="L1426" s="1" t="n">
        <v>2</v>
      </c>
      <c r="M1426" s="1" t="n">
        <v>0</v>
      </c>
      <c r="N1426" s="1" t="n">
        <v>695.3</v>
      </c>
      <c r="O1426" s="1" t="n">
        <v>0</v>
      </c>
      <c r="Q1426" s="4" t="n">
        <v>46253</v>
      </c>
      <c r="R1426" s="0" t="n">
        <f aca="false">IF(ISBLANK(F1426),"Missing",IFERROR(YEAR(F1426),"Missing"))</f>
        <v>2025</v>
      </c>
      <c r="S1426" s="0" t="str">
        <f aca="false">IF(ISBLANK(E1426),"Missing",IF(E1426&lt;6,"0-6mo",IF(E1426&lt;12,"6-12mo",IF(E1426&lt;24,"12-24mo","24mo+"))))</f>
        <v>12-24mo</v>
      </c>
      <c r="T1426" s="0" t="n">
        <f aca="false">IF(ISBLANK(C1426),0,IF(C1426="Month-to-month",2,IF(C1426="One year",1,0)))+IF(ISBLANK(I1426),0,IF(I1426&lt;40,2,IF(I1426&lt;55,1,0)))+IF(ISBLANK(M1426),0,IF(M1426=1,3,0))+IF(ISBLANK(L1426),0,IF(L1426&gt;=2,1,0))+IF(ISBLANK(E1426),0,IF(E1426&lt;12,1,0))</f>
        <v>4</v>
      </c>
      <c r="U1426" s="0" t="str">
        <f aca="false">IF((ISBLANK(B1426)*1+ISBLANK(C1426)*1+ISBLANK(D1426)*1+ISBLANK(E1426)*1+ISBLANK(F1426)*1+ISBLANK(I1426)*1+ISBLANK(J1426)*1+ISBLANK(K1426)*1+ISBLANK(L1426)*1+ISBLANK(M1426)*1+ISBLANK(N1426)*1+ISBLANK(O1426)*1)&gt;0,"Missing Data","OK")</f>
        <v>OK</v>
      </c>
      <c r="V1426" s="0" t="str">
        <f aca="false">IF(T1426&gt;=6,"High Risk",IF(T1426&gt;=3,"Medium Risk","Low Risk"))</f>
        <v>Medium Risk</v>
      </c>
    </row>
    <row r="1427" customFormat="false" ht="12.8" hidden="false" customHeight="false" outlineLevel="0" collapsed="false">
      <c r="A1427" s="1" t="s">
        <v>1457</v>
      </c>
      <c r="B1427" s="1" t="s">
        <v>36</v>
      </c>
      <c r="C1427" s="1" t="s">
        <v>24</v>
      </c>
      <c r="D1427" s="1" t="n">
        <v>9.38</v>
      </c>
      <c r="E1427" s="1" t="n">
        <v>2</v>
      </c>
      <c r="F1427" s="4" t="n">
        <v>45738</v>
      </c>
      <c r="G1427" s="1" t="s">
        <v>30</v>
      </c>
      <c r="H1427" s="1" t="n">
        <v>1</v>
      </c>
      <c r="I1427" s="1" t="n">
        <v>57.8</v>
      </c>
      <c r="J1427" s="1" t="n">
        <v>22</v>
      </c>
      <c r="K1427" s="1" t="n">
        <v>6</v>
      </c>
      <c r="L1427" s="1" t="n">
        <v>0</v>
      </c>
      <c r="M1427" s="1" t="n">
        <v>0</v>
      </c>
      <c r="N1427" s="1" t="n">
        <v>18.76</v>
      </c>
      <c r="O1427" s="1" t="n">
        <v>0</v>
      </c>
      <c r="Q1427" s="4" t="n">
        <v>45798</v>
      </c>
      <c r="R1427" s="0" t="n">
        <f aca="false">IF(ISBLANK(F1427),"Missing",IFERROR(YEAR(F1427),"Missing"))</f>
        <v>2025</v>
      </c>
      <c r="S1427" s="0" t="str">
        <f aca="false">IF(ISBLANK(E1427),"Missing",IF(E1427&lt;6,"0-6mo",IF(E1427&lt;12,"6-12mo",IF(E1427&lt;24,"12-24mo","24mo+"))))</f>
        <v>0-6mo</v>
      </c>
      <c r="T1427" s="0" t="n">
        <f aca="false">IF(ISBLANK(C1427),0,IF(C1427="Month-to-month",2,IF(C1427="One year",1,0)))+IF(ISBLANK(I1427),0,IF(I1427&lt;40,2,IF(I1427&lt;55,1,0)))+IF(ISBLANK(M1427),0,IF(M1427=1,3,0))+IF(ISBLANK(L1427),0,IF(L1427&gt;=2,1,0))+IF(ISBLANK(E1427),0,IF(E1427&lt;12,1,0))</f>
        <v>3</v>
      </c>
      <c r="U1427" s="0" t="str">
        <f aca="false">IF((ISBLANK(B1427)*1+ISBLANK(C1427)*1+ISBLANK(D1427)*1+ISBLANK(E1427)*1+ISBLANK(F1427)*1+ISBLANK(I1427)*1+ISBLANK(J1427)*1+ISBLANK(K1427)*1+ISBLANK(L1427)*1+ISBLANK(M1427)*1+ISBLANK(N1427)*1+ISBLANK(O1427)*1)&gt;0,"Missing Data","OK")</f>
        <v>OK</v>
      </c>
      <c r="V1427" s="0" t="str">
        <f aca="false">IF(T1427&gt;=6,"High Risk",IF(T1427&gt;=3,"Medium Risk","Low Risk"))</f>
        <v>Medium Risk</v>
      </c>
    </row>
    <row r="1428" customFormat="false" ht="12.8" hidden="false" customHeight="false" outlineLevel="0" collapsed="false">
      <c r="A1428" s="1" t="s">
        <v>1458</v>
      </c>
      <c r="B1428" s="1" t="s">
        <v>36</v>
      </c>
      <c r="C1428" s="1" t="s">
        <v>51</v>
      </c>
      <c r="D1428" s="1" t="n">
        <v>9.66</v>
      </c>
      <c r="E1428" s="1" t="n">
        <v>2</v>
      </c>
      <c r="F1428" s="4" t="n">
        <v>45739</v>
      </c>
      <c r="G1428" s="1" t="s">
        <v>25</v>
      </c>
      <c r="H1428" s="1" t="n">
        <v>1</v>
      </c>
      <c r="I1428" s="1" t="n">
        <v>67.4</v>
      </c>
      <c r="J1428" s="1" t="n">
        <v>26</v>
      </c>
      <c r="K1428" s="1" t="n">
        <v>8</v>
      </c>
      <c r="L1428" s="1" t="n">
        <v>0</v>
      </c>
      <c r="M1428" s="1" t="n">
        <v>0</v>
      </c>
      <c r="N1428" s="1" t="n">
        <v>19.32</v>
      </c>
      <c r="O1428" s="1" t="n">
        <v>0</v>
      </c>
      <c r="Q1428" s="4" t="n">
        <v>45799</v>
      </c>
      <c r="R1428" s="0" t="n">
        <f aca="false">IF(ISBLANK(F1428),"Missing",IFERROR(YEAR(F1428),"Missing"))</f>
        <v>2025</v>
      </c>
      <c r="S1428" s="0" t="str">
        <f aca="false">IF(ISBLANK(E1428),"Missing",IF(E1428&lt;6,"0-6mo",IF(E1428&lt;12,"6-12mo",IF(E1428&lt;24,"12-24mo","24mo+"))))</f>
        <v>0-6mo</v>
      </c>
      <c r="T1428" s="0" t="n">
        <f aca="false">IF(ISBLANK(C1428),0,IF(C1428="Month-to-month",2,IF(C1428="One year",1,0)))+IF(ISBLANK(I1428),0,IF(I1428&lt;40,2,IF(I1428&lt;55,1,0)))+IF(ISBLANK(M1428),0,IF(M1428=1,3,0))+IF(ISBLANK(L1428),0,IF(L1428&gt;=2,1,0))+IF(ISBLANK(E1428),0,IF(E1428&lt;12,1,0))</f>
        <v>1</v>
      </c>
      <c r="U1428" s="0" t="str">
        <f aca="false">IF((ISBLANK(B1428)*1+ISBLANK(C1428)*1+ISBLANK(D1428)*1+ISBLANK(E1428)*1+ISBLANK(F1428)*1+ISBLANK(I1428)*1+ISBLANK(J1428)*1+ISBLANK(K1428)*1+ISBLANK(L1428)*1+ISBLANK(M1428)*1+ISBLANK(N1428)*1+ISBLANK(O1428)*1)&gt;0,"Missing Data","OK")</f>
        <v>OK</v>
      </c>
      <c r="V1428" s="0" t="str">
        <f aca="false">IF(T1428&gt;=6,"High Risk",IF(T1428&gt;=3,"Medium Risk","Low Risk"))</f>
        <v>Low Risk</v>
      </c>
    </row>
    <row r="1429" customFormat="false" ht="12.8" hidden="false" customHeight="false" outlineLevel="0" collapsed="false">
      <c r="A1429" s="1" t="s">
        <v>1459</v>
      </c>
      <c r="B1429" s="1" t="s">
        <v>36</v>
      </c>
      <c r="C1429" s="1" t="s">
        <v>51</v>
      </c>
      <c r="D1429" s="1" t="n">
        <v>10.8</v>
      </c>
      <c r="E1429" s="1" t="n">
        <v>28</v>
      </c>
      <c r="F1429" s="4" t="n">
        <v>45743</v>
      </c>
      <c r="G1429" s="1" t="s">
        <v>39</v>
      </c>
      <c r="H1429" s="1" t="n">
        <v>1</v>
      </c>
      <c r="I1429" s="1" t="n">
        <v>56.1</v>
      </c>
      <c r="J1429" s="1" t="n">
        <v>21</v>
      </c>
      <c r="K1429" s="1" t="n">
        <v>6</v>
      </c>
      <c r="L1429" s="1" t="n">
        <v>1</v>
      </c>
      <c r="M1429" s="1" t="n">
        <v>1</v>
      </c>
      <c r="N1429" s="1" t="n">
        <v>302.4</v>
      </c>
      <c r="O1429" s="1" t="n">
        <v>1</v>
      </c>
      <c r="P1429" s="4" t="n">
        <v>46293</v>
      </c>
      <c r="Q1429" s="4" t="n">
        <v>46293</v>
      </c>
      <c r="R1429" s="0" t="n">
        <f aca="false">IF(ISBLANK(F1429),"Missing",IFERROR(YEAR(F1429),"Missing"))</f>
        <v>2025</v>
      </c>
      <c r="S1429" s="0" t="str">
        <f aca="false">IF(ISBLANK(E1429),"Missing",IF(E1429&lt;6,"0-6mo",IF(E1429&lt;12,"6-12mo",IF(E1429&lt;24,"12-24mo","24mo+"))))</f>
        <v>24mo+</v>
      </c>
      <c r="T1429" s="0" t="n">
        <f aca="false">IF(ISBLANK(C1429),0,IF(C1429="Month-to-month",2,IF(C1429="One year",1,0)))+IF(ISBLANK(I1429),0,IF(I1429&lt;40,2,IF(I1429&lt;55,1,0)))+IF(ISBLANK(M1429),0,IF(M1429=1,3,0))+IF(ISBLANK(L1429),0,IF(L1429&gt;=2,1,0))+IF(ISBLANK(E1429),0,IF(E1429&lt;12,1,0))</f>
        <v>3</v>
      </c>
      <c r="U1429" s="0" t="str">
        <f aca="false">IF((ISBLANK(B1429)*1+ISBLANK(C1429)*1+ISBLANK(D1429)*1+ISBLANK(E1429)*1+ISBLANK(F1429)*1+ISBLANK(I1429)*1+ISBLANK(J1429)*1+ISBLANK(K1429)*1+ISBLANK(L1429)*1+ISBLANK(M1429)*1+ISBLANK(N1429)*1+ISBLANK(O1429)*1)&gt;0,"Missing Data","OK")</f>
        <v>OK</v>
      </c>
      <c r="V1429" s="0" t="str">
        <f aca="false">IF(T1429&gt;=6,"High Risk",IF(T1429&gt;=3,"Medium Risk","Low Risk"))</f>
        <v>Medium Risk</v>
      </c>
    </row>
    <row r="1430" customFormat="false" ht="12.8" hidden="false" customHeight="false" outlineLevel="0" collapsed="false">
      <c r="A1430" s="1" t="s">
        <v>1460</v>
      </c>
      <c r="B1430" s="1" t="s">
        <v>36</v>
      </c>
      <c r="C1430" s="1" t="s">
        <v>34</v>
      </c>
      <c r="D1430" s="1" t="n">
        <v>11.3</v>
      </c>
      <c r="E1430" s="1" t="n">
        <v>0</v>
      </c>
      <c r="F1430" s="4" t="n">
        <v>45744</v>
      </c>
      <c r="G1430" s="1" t="s">
        <v>25</v>
      </c>
      <c r="H1430" s="1" t="n">
        <v>1</v>
      </c>
      <c r="I1430" s="1" t="n">
        <v>76.4</v>
      </c>
      <c r="J1430" s="1" t="n">
        <v>21</v>
      </c>
      <c r="K1430" s="1" t="n">
        <v>9</v>
      </c>
      <c r="L1430" s="1" t="n">
        <v>0</v>
      </c>
      <c r="M1430" s="1" t="n">
        <v>0</v>
      </c>
      <c r="N1430" s="1" t="n">
        <v>0</v>
      </c>
      <c r="O1430" s="1" t="n">
        <v>0</v>
      </c>
      <c r="Q1430" s="4" t="n">
        <v>45744</v>
      </c>
      <c r="R1430" s="0" t="n">
        <f aca="false">IF(ISBLANK(F1430),"Missing",IFERROR(YEAR(F1430),"Missing"))</f>
        <v>2025</v>
      </c>
      <c r="S1430" s="0" t="str">
        <f aca="false">IF(ISBLANK(E1430),"Missing",IF(E1430&lt;6,"0-6mo",IF(E1430&lt;12,"6-12mo",IF(E1430&lt;24,"12-24mo","24mo+"))))</f>
        <v>0-6mo</v>
      </c>
      <c r="T1430" s="0" t="n">
        <f aca="false">IF(ISBLANK(C1430),0,IF(C1430="Month-to-month",2,IF(C1430="One year",1,0)))+IF(ISBLANK(I1430),0,IF(I1430&lt;40,2,IF(I1430&lt;55,1,0)))+IF(ISBLANK(M1430),0,IF(M1430=1,3,0))+IF(ISBLANK(L1430),0,IF(L1430&gt;=2,1,0))+IF(ISBLANK(E1430),0,IF(E1430&lt;12,1,0))</f>
        <v>2</v>
      </c>
      <c r="U1430" s="0" t="str">
        <f aca="false">IF((ISBLANK(B1430)*1+ISBLANK(C1430)*1+ISBLANK(D1430)*1+ISBLANK(E1430)*1+ISBLANK(F1430)*1+ISBLANK(I1430)*1+ISBLANK(J1430)*1+ISBLANK(K1430)*1+ISBLANK(L1430)*1+ISBLANK(M1430)*1+ISBLANK(N1430)*1+ISBLANK(O1430)*1)&gt;0,"Missing Data","OK")</f>
        <v>OK</v>
      </c>
      <c r="V1430" s="0" t="str">
        <f aca="false">IF(T1430&gt;=6,"High Risk",IF(T1430&gt;=3,"Medium Risk","Low Risk"))</f>
        <v>Low Risk</v>
      </c>
    </row>
    <row r="1431" customFormat="false" ht="12.8" hidden="false" customHeight="false" outlineLevel="0" collapsed="false">
      <c r="A1431" s="1" t="s">
        <v>1461</v>
      </c>
      <c r="B1431" s="1" t="s">
        <v>36</v>
      </c>
      <c r="C1431" s="1" t="s">
        <v>24</v>
      </c>
      <c r="D1431" s="1" t="n">
        <v>10.47</v>
      </c>
      <c r="E1431" s="1" t="n">
        <v>53</v>
      </c>
      <c r="F1431" s="4" t="n">
        <v>45744</v>
      </c>
      <c r="G1431" s="1" t="s">
        <v>25</v>
      </c>
      <c r="H1431" s="1" t="n">
        <v>0</v>
      </c>
      <c r="I1431" s="1" t="n">
        <v>20.6</v>
      </c>
      <c r="J1431" s="1" t="n">
        <v>5</v>
      </c>
      <c r="K1431" s="1" t="n">
        <v>0</v>
      </c>
      <c r="L1431" s="1" t="n">
        <v>4</v>
      </c>
      <c r="M1431" s="1" t="n">
        <v>0</v>
      </c>
      <c r="N1431" s="1" t="n">
        <v>554.91</v>
      </c>
      <c r="O1431" s="1" t="n">
        <v>0</v>
      </c>
      <c r="Q1431" s="4" t="n">
        <v>46293</v>
      </c>
      <c r="R1431" s="0" t="n">
        <f aca="false">IF(ISBLANK(F1431),"Missing",IFERROR(YEAR(F1431),"Missing"))</f>
        <v>2025</v>
      </c>
      <c r="S1431" s="0" t="str">
        <f aca="false">IF(ISBLANK(E1431),"Missing",IF(E1431&lt;6,"0-6mo",IF(E1431&lt;12,"6-12mo",IF(E1431&lt;24,"12-24mo","24mo+"))))</f>
        <v>24mo+</v>
      </c>
      <c r="T1431" s="0" t="n">
        <f aca="false">IF(ISBLANK(C1431),0,IF(C1431="Month-to-month",2,IF(C1431="One year",1,0)))+IF(ISBLANK(I1431),0,IF(I1431&lt;40,2,IF(I1431&lt;55,1,0)))+IF(ISBLANK(M1431),0,IF(M1431=1,3,0))+IF(ISBLANK(L1431),0,IF(L1431&gt;=2,1,0))+IF(ISBLANK(E1431),0,IF(E1431&lt;12,1,0))</f>
        <v>5</v>
      </c>
      <c r="U1431" s="0" t="str">
        <f aca="false">IF((ISBLANK(B1431)*1+ISBLANK(C1431)*1+ISBLANK(D1431)*1+ISBLANK(E1431)*1+ISBLANK(F1431)*1+ISBLANK(I1431)*1+ISBLANK(J1431)*1+ISBLANK(K1431)*1+ISBLANK(L1431)*1+ISBLANK(M1431)*1+ISBLANK(N1431)*1+ISBLANK(O1431)*1)&gt;0,"Missing Data","OK")</f>
        <v>OK</v>
      </c>
      <c r="V1431" s="0" t="str">
        <f aca="false">IF(T1431&gt;=6,"High Risk",IF(T1431&gt;=3,"Medium Risk","Low Risk"))</f>
        <v>Medium Risk</v>
      </c>
    </row>
    <row r="1432" customFormat="false" ht="12.8" hidden="false" customHeight="false" outlineLevel="0" collapsed="false">
      <c r="A1432" s="1" t="s">
        <v>1462</v>
      </c>
      <c r="B1432" s="1" t="s">
        <v>36</v>
      </c>
      <c r="C1432" s="1" t="s">
        <v>34</v>
      </c>
      <c r="D1432" s="1" t="n">
        <v>11.55</v>
      </c>
      <c r="E1432" s="1" t="n">
        <v>2</v>
      </c>
      <c r="F1432" s="4" t="n">
        <v>45745</v>
      </c>
      <c r="G1432" s="1" t="s">
        <v>30</v>
      </c>
      <c r="H1432" s="1" t="n">
        <v>0</v>
      </c>
      <c r="I1432" s="1" t="n">
        <v>85</v>
      </c>
      <c r="J1432" s="1" t="n">
        <v>26</v>
      </c>
      <c r="K1432" s="1" t="n">
        <v>8</v>
      </c>
      <c r="L1432" s="1" t="n">
        <v>1</v>
      </c>
      <c r="M1432" s="1" t="n">
        <v>0</v>
      </c>
      <c r="N1432" s="1" t="n">
        <v>23.1</v>
      </c>
      <c r="O1432" s="1" t="n">
        <v>0</v>
      </c>
      <c r="Q1432" s="4" t="n">
        <v>45805</v>
      </c>
      <c r="R1432" s="0" t="n">
        <f aca="false">IF(ISBLANK(F1432),"Missing",IFERROR(YEAR(F1432),"Missing"))</f>
        <v>2025</v>
      </c>
      <c r="S1432" s="0" t="str">
        <f aca="false">IF(ISBLANK(E1432),"Missing",IF(E1432&lt;6,"0-6mo",IF(E1432&lt;12,"6-12mo",IF(E1432&lt;24,"12-24mo","24mo+"))))</f>
        <v>0-6mo</v>
      </c>
      <c r="T1432" s="0" t="n">
        <f aca="false">IF(ISBLANK(C1432),0,IF(C1432="Month-to-month",2,IF(C1432="One year",1,0)))+IF(ISBLANK(I1432),0,IF(I1432&lt;40,2,IF(I1432&lt;55,1,0)))+IF(ISBLANK(M1432),0,IF(M1432=1,3,0))+IF(ISBLANK(L1432),0,IF(L1432&gt;=2,1,0))+IF(ISBLANK(E1432),0,IF(E1432&lt;12,1,0))</f>
        <v>2</v>
      </c>
      <c r="U1432" s="0" t="str">
        <f aca="false">IF((ISBLANK(B1432)*1+ISBLANK(C1432)*1+ISBLANK(D1432)*1+ISBLANK(E1432)*1+ISBLANK(F1432)*1+ISBLANK(I1432)*1+ISBLANK(J1432)*1+ISBLANK(K1432)*1+ISBLANK(L1432)*1+ISBLANK(M1432)*1+ISBLANK(N1432)*1+ISBLANK(O1432)*1)&gt;0,"Missing Data","OK")</f>
        <v>OK</v>
      </c>
      <c r="V1432" s="0" t="str">
        <f aca="false">IF(T1432&gt;=6,"High Risk",IF(T1432&gt;=3,"Medium Risk","Low Risk"))</f>
        <v>Low Risk</v>
      </c>
    </row>
    <row r="1433" customFormat="false" ht="12.8" hidden="false" customHeight="false" outlineLevel="0" collapsed="false">
      <c r="A1433" s="1" t="s">
        <v>1463</v>
      </c>
      <c r="B1433" s="1" t="s">
        <v>36</v>
      </c>
      <c r="C1433" s="1" t="s">
        <v>24</v>
      </c>
      <c r="D1433" s="1" t="n">
        <v>8.64</v>
      </c>
      <c r="E1433" s="1" t="n">
        <v>18</v>
      </c>
      <c r="F1433" s="4" t="n">
        <v>45746</v>
      </c>
      <c r="G1433" s="1" t="s">
        <v>25</v>
      </c>
      <c r="H1433" s="1" t="n">
        <v>0</v>
      </c>
      <c r="I1433" s="1" t="n">
        <v>28.1</v>
      </c>
      <c r="J1433" s="1" t="n">
        <v>0</v>
      </c>
      <c r="K1433" s="1" t="n">
        <v>3</v>
      </c>
      <c r="L1433" s="1" t="n">
        <v>3</v>
      </c>
      <c r="M1433" s="1" t="n">
        <v>0</v>
      </c>
      <c r="N1433" s="1" t="n">
        <v>155.52</v>
      </c>
      <c r="O1433" s="1" t="n">
        <v>0</v>
      </c>
      <c r="Q1433" s="4" t="n">
        <v>46293</v>
      </c>
      <c r="R1433" s="0" t="n">
        <f aca="false">IF(ISBLANK(F1433),"Missing",IFERROR(YEAR(F1433),"Missing"))</f>
        <v>2025</v>
      </c>
      <c r="S1433" s="0" t="str">
        <f aca="false">IF(ISBLANK(E1433),"Missing",IF(E1433&lt;6,"0-6mo",IF(E1433&lt;12,"6-12mo",IF(E1433&lt;24,"12-24mo","24mo+"))))</f>
        <v>12-24mo</v>
      </c>
      <c r="T1433" s="0" t="n">
        <f aca="false">IF(ISBLANK(C1433),0,IF(C1433="Month-to-month",2,IF(C1433="One year",1,0)))+IF(ISBLANK(I1433),0,IF(I1433&lt;40,2,IF(I1433&lt;55,1,0)))+IF(ISBLANK(M1433),0,IF(M1433=1,3,0))+IF(ISBLANK(L1433),0,IF(L1433&gt;=2,1,0))+IF(ISBLANK(E1433),0,IF(E1433&lt;12,1,0))</f>
        <v>5</v>
      </c>
      <c r="U1433" s="0" t="str">
        <f aca="false">IF((ISBLANK(B1433)*1+ISBLANK(C1433)*1+ISBLANK(D1433)*1+ISBLANK(E1433)*1+ISBLANK(F1433)*1+ISBLANK(I1433)*1+ISBLANK(J1433)*1+ISBLANK(K1433)*1+ISBLANK(L1433)*1+ISBLANK(M1433)*1+ISBLANK(N1433)*1+ISBLANK(O1433)*1)&gt;0,"Missing Data","OK")</f>
        <v>OK</v>
      </c>
      <c r="V1433" s="0" t="str">
        <f aca="false">IF(T1433&gt;=6,"High Risk",IF(T1433&gt;=3,"Medium Risk","Low Risk"))</f>
        <v>Medium Risk</v>
      </c>
    </row>
    <row r="1434" customFormat="false" ht="12.8" hidden="false" customHeight="false" outlineLevel="0" collapsed="false">
      <c r="A1434" s="1" t="s">
        <v>1464</v>
      </c>
      <c r="B1434" s="1" t="s">
        <v>23</v>
      </c>
      <c r="C1434" s="1" t="s">
        <v>34</v>
      </c>
      <c r="D1434" s="1" t="n">
        <v>19.61</v>
      </c>
      <c r="E1434" s="1" t="n">
        <v>21</v>
      </c>
      <c r="F1434" s="4" t="n">
        <v>45748</v>
      </c>
      <c r="G1434" s="1" t="s">
        <v>39</v>
      </c>
      <c r="H1434" s="1" t="n">
        <v>1</v>
      </c>
      <c r="I1434" s="1" t="n">
        <v>72</v>
      </c>
      <c r="J1434" s="1" t="n">
        <v>21</v>
      </c>
      <c r="K1434" s="1" t="n">
        <v>6</v>
      </c>
      <c r="L1434" s="1" t="n">
        <v>4</v>
      </c>
      <c r="M1434" s="1" t="n">
        <v>0</v>
      </c>
      <c r="N1434" s="1" t="n">
        <v>411.81</v>
      </c>
      <c r="O1434" s="1" t="n">
        <v>0</v>
      </c>
      <c r="Q1434" s="4" t="n">
        <v>46293</v>
      </c>
      <c r="R1434" s="0" t="n">
        <f aca="false">IF(ISBLANK(F1434),"Missing",IFERROR(YEAR(F1434),"Missing"))</f>
        <v>2025</v>
      </c>
      <c r="S1434" s="0" t="str">
        <f aca="false">IF(ISBLANK(E1434),"Missing",IF(E1434&lt;6,"0-6mo",IF(E1434&lt;12,"6-12mo",IF(E1434&lt;24,"12-24mo","24mo+"))))</f>
        <v>12-24mo</v>
      </c>
      <c r="T1434" s="0" t="n">
        <f aca="false">IF(ISBLANK(C1434),0,IF(C1434="Month-to-month",2,IF(C1434="One year",1,0)))+IF(ISBLANK(I1434),0,IF(I1434&lt;40,2,IF(I1434&lt;55,1,0)))+IF(ISBLANK(M1434),0,IF(M1434=1,3,0))+IF(ISBLANK(L1434),0,IF(L1434&gt;=2,1,0))+IF(ISBLANK(E1434),0,IF(E1434&lt;12,1,0))</f>
        <v>2</v>
      </c>
      <c r="U1434" s="0" t="str">
        <f aca="false">IF((ISBLANK(B1434)*1+ISBLANK(C1434)*1+ISBLANK(D1434)*1+ISBLANK(E1434)*1+ISBLANK(F1434)*1+ISBLANK(I1434)*1+ISBLANK(J1434)*1+ISBLANK(K1434)*1+ISBLANK(L1434)*1+ISBLANK(M1434)*1+ISBLANK(N1434)*1+ISBLANK(O1434)*1)&gt;0,"Missing Data","OK")</f>
        <v>OK</v>
      </c>
      <c r="V1434" s="0" t="str">
        <f aca="false">IF(T1434&gt;=6,"High Risk",IF(T1434&gt;=3,"Medium Risk","Low Risk"))</f>
        <v>Low Risk</v>
      </c>
    </row>
    <row r="1435" customFormat="false" ht="12.8" hidden="false" customHeight="false" outlineLevel="0" collapsed="false">
      <c r="A1435" s="1" t="s">
        <v>1465</v>
      </c>
      <c r="B1435" s="1" t="s">
        <v>36</v>
      </c>
      <c r="C1435" s="1" t="s">
        <v>24</v>
      </c>
      <c r="D1435" s="1" t="n">
        <v>8.77</v>
      </c>
      <c r="E1435" s="1" t="n">
        <v>23</v>
      </c>
      <c r="F1435" s="4" t="n">
        <v>45749</v>
      </c>
      <c r="G1435" s="1" t="s">
        <v>25</v>
      </c>
      <c r="H1435" s="1" t="n">
        <v>0</v>
      </c>
      <c r="I1435" s="1" t="n">
        <v>16.3</v>
      </c>
      <c r="J1435" s="1" t="n">
        <v>6</v>
      </c>
      <c r="K1435" s="1" t="n">
        <v>1</v>
      </c>
      <c r="L1435" s="1" t="n">
        <v>3</v>
      </c>
      <c r="M1435" s="1" t="n">
        <v>1</v>
      </c>
      <c r="N1435" s="1" t="n">
        <v>201.71</v>
      </c>
      <c r="O1435" s="1" t="n">
        <v>1</v>
      </c>
      <c r="P1435" s="4" t="n">
        <v>46293</v>
      </c>
      <c r="Q1435" s="4" t="n">
        <v>46293</v>
      </c>
      <c r="R1435" s="0" t="n">
        <f aca="false">IF(ISBLANK(F1435),"Missing",IFERROR(YEAR(F1435),"Missing"))</f>
        <v>2025</v>
      </c>
      <c r="S1435" s="0" t="str">
        <f aca="false">IF(ISBLANK(E1435),"Missing",IF(E1435&lt;6,"0-6mo",IF(E1435&lt;12,"6-12mo",IF(E1435&lt;24,"12-24mo","24mo+"))))</f>
        <v>12-24mo</v>
      </c>
      <c r="T1435" s="0" t="n">
        <f aca="false">IF(ISBLANK(C1435),0,IF(C1435="Month-to-month",2,IF(C1435="One year",1,0)))+IF(ISBLANK(I1435),0,IF(I1435&lt;40,2,IF(I1435&lt;55,1,0)))+IF(ISBLANK(M1435),0,IF(M1435=1,3,0))+IF(ISBLANK(L1435),0,IF(L1435&gt;=2,1,0))+IF(ISBLANK(E1435),0,IF(E1435&lt;12,1,0))</f>
        <v>8</v>
      </c>
      <c r="U1435" s="0" t="str">
        <f aca="false">IF((ISBLANK(B1435)*1+ISBLANK(C1435)*1+ISBLANK(D1435)*1+ISBLANK(E1435)*1+ISBLANK(F1435)*1+ISBLANK(I1435)*1+ISBLANK(J1435)*1+ISBLANK(K1435)*1+ISBLANK(L1435)*1+ISBLANK(M1435)*1+ISBLANK(N1435)*1+ISBLANK(O1435)*1)&gt;0,"Missing Data","OK")</f>
        <v>OK</v>
      </c>
      <c r="V1435" s="0" t="str">
        <f aca="false">IF(T1435&gt;=6,"High Risk",IF(T1435&gt;=3,"Medium Risk","Low Risk"))</f>
        <v>High Risk</v>
      </c>
    </row>
    <row r="1436" customFormat="false" ht="12.8" hidden="false" customHeight="false" outlineLevel="0" collapsed="false">
      <c r="A1436" s="1" t="s">
        <v>1466</v>
      </c>
      <c r="B1436" s="1" t="s">
        <v>23</v>
      </c>
      <c r="C1436" s="1" t="s">
        <v>24</v>
      </c>
      <c r="D1436" s="1" t="n">
        <v>18.99</v>
      </c>
      <c r="E1436" s="1" t="n">
        <v>51</v>
      </c>
      <c r="F1436" s="4" t="n">
        <v>45750</v>
      </c>
      <c r="G1436" s="1" t="s">
        <v>27</v>
      </c>
      <c r="H1436" s="1" t="n">
        <v>1</v>
      </c>
      <c r="I1436" s="1" t="n">
        <v>53.8</v>
      </c>
      <c r="J1436" s="1" t="n">
        <v>25</v>
      </c>
      <c r="K1436" s="1" t="n">
        <v>5</v>
      </c>
      <c r="L1436" s="1" t="n">
        <v>2</v>
      </c>
      <c r="M1436" s="1" t="n">
        <v>1</v>
      </c>
      <c r="N1436" s="1" t="n">
        <v>968.49</v>
      </c>
      <c r="O1436" s="1" t="n">
        <v>0</v>
      </c>
      <c r="Q1436" s="4" t="n">
        <v>46293</v>
      </c>
      <c r="R1436" s="0" t="n">
        <f aca="false">IF(ISBLANK(F1436),"Missing",IFERROR(YEAR(F1436),"Missing"))</f>
        <v>2025</v>
      </c>
      <c r="S1436" s="0" t="str">
        <f aca="false">IF(ISBLANK(E1436),"Missing",IF(E1436&lt;6,"0-6mo",IF(E1436&lt;12,"6-12mo",IF(E1436&lt;24,"12-24mo","24mo+"))))</f>
        <v>24mo+</v>
      </c>
      <c r="T1436" s="0" t="n">
        <f aca="false">IF(ISBLANK(C1436),0,IF(C1436="Month-to-month",2,IF(C1436="One year",1,0)))+IF(ISBLANK(I1436),0,IF(I1436&lt;40,2,IF(I1436&lt;55,1,0)))+IF(ISBLANK(M1436),0,IF(M1436=1,3,0))+IF(ISBLANK(L1436),0,IF(L1436&gt;=2,1,0))+IF(ISBLANK(E1436),0,IF(E1436&lt;12,1,0))</f>
        <v>7</v>
      </c>
      <c r="U1436" s="0" t="str">
        <f aca="false">IF((ISBLANK(B1436)*1+ISBLANK(C1436)*1+ISBLANK(D1436)*1+ISBLANK(E1436)*1+ISBLANK(F1436)*1+ISBLANK(I1436)*1+ISBLANK(J1436)*1+ISBLANK(K1436)*1+ISBLANK(L1436)*1+ISBLANK(M1436)*1+ISBLANK(N1436)*1+ISBLANK(O1436)*1)&gt;0,"Missing Data","OK")</f>
        <v>OK</v>
      </c>
      <c r="V1436" s="0" t="str">
        <f aca="false">IF(T1436&gt;=6,"High Risk",IF(T1436&gt;=3,"Medium Risk","Low Risk"))</f>
        <v>High Risk</v>
      </c>
    </row>
    <row r="1437" customFormat="false" ht="12.8" hidden="false" customHeight="false" outlineLevel="0" collapsed="false">
      <c r="A1437" s="1" t="s">
        <v>1467</v>
      </c>
      <c r="B1437" s="1" t="s">
        <v>29</v>
      </c>
      <c r="C1437" s="1" t="s">
        <v>24</v>
      </c>
      <c r="D1437" s="1" t="n">
        <v>40.82</v>
      </c>
      <c r="E1437" s="1" t="n">
        <v>45</v>
      </c>
      <c r="F1437" s="4" t="n">
        <v>45754</v>
      </c>
      <c r="G1437" s="1" t="s">
        <v>25</v>
      </c>
      <c r="H1437" s="1" t="n">
        <v>0</v>
      </c>
      <c r="I1437" s="1" t="n">
        <v>58.9</v>
      </c>
      <c r="J1437" s="1" t="n">
        <v>17</v>
      </c>
      <c r="K1437" s="1" t="n">
        <v>8</v>
      </c>
      <c r="L1437" s="1" t="n">
        <v>2</v>
      </c>
      <c r="M1437" s="1" t="n">
        <v>1</v>
      </c>
      <c r="N1437" s="1" t="n">
        <v>1836.9</v>
      </c>
      <c r="O1437" s="1" t="n">
        <v>0</v>
      </c>
      <c r="Q1437" s="4" t="n">
        <v>46293</v>
      </c>
      <c r="R1437" s="0" t="n">
        <f aca="false">IF(ISBLANK(F1437),"Missing",IFERROR(YEAR(F1437),"Missing"))</f>
        <v>2025</v>
      </c>
      <c r="S1437" s="0" t="str">
        <f aca="false">IF(ISBLANK(E1437),"Missing",IF(E1437&lt;6,"0-6mo",IF(E1437&lt;12,"6-12mo",IF(E1437&lt;24,"12-24mo","24mo+"))))</f>
        <v>24mo+</v>
      </c>
      <c r="T1437" s="0" t="n">
        <f aca="false">IF(ISBLANK(C1437),0,IF(C1437="Month-to-month",2,IF(C1437="One year",1,0)))+IF(ISBLANK(I1437),0,IF(I1437&lt;40,2,IF(I1437&lt;55,1,0)))+IF(ISBLANK(M1437),0,IF(M1437=1,3,0))+IF(ISBLANK(L1437),0,IF(L1437&gt;=2,1,0))+IF(ISBLANK(E1437),0,IF(E1437&lt;12,1,0))</f>
        <v>6</v>
      </c>
      <c r="U1437" s="0" t="str">
        <f aca="false">IF((ISBLANK(B1437)*1+ISBLANK(C1437)*1+ISBLANK(D1437)*1+ISBLANK(E1437)*1+ISBLANK(F1437)*1+ISBLANK(I1437)*1+ISBLANK(J1437)*1+ISBLANK(K1437)*1+ISBLANK(L1437)*1+ISBLANK(M1437)*1+ISBLANK(N1437)*1+ISBLANK(O1437)*1)&gt;0,"Missing Data","OK")</f>
        <v>OK</v>
      </c>
      <c r="V1437" s="0" t="str">
        <f aca="false">IF(T1437&gt;=6,"High Risk",IF(T1437&gt;=3,"Medium Risk","Low Risk"))</f>
        <v>High Risk</v>
      </c>
    </row>
    <row r="1438" customFormat="false" ht="12.8" hidden="false" customHeight="false" outlineLevel="0" collapsed="false">
      <c r="A1438" s="1" t="s">
        <v>1468</v>
      </c>
      <c r="B1438" s="1" t="s">
        <v>36</v>
      </c>
      <c r="C1438" s="1" t="s">
        <v>24</v>
      </c>
      <c r="D1438" s="1" t="n">
        <v>10.31</v>
      </c>
      <c r="E1438" s="1" t="n">
        <v>15</v>
      </c>
      <c r="F1438" s="4" t="n">
        <v>45754</v>
      </c>
      <c r="G1438" s="1" t="s">
        <v>39</v>
      </c>
      <c r="H1438" s="1" t="n">
        <v>1</v>
      </c>
      <c r="I1438" s="1" t="n">
        <v>77.1</v>
      </c>
      <c r="J1438" s="1" t="n">
        <v>24</v>
      </c>
      <c r="K1438" s="1" t="n">
        <v>8</v>
      </c>
      <c r="L1438" s="1" t="n">
        <v>1</v>
      </c>
      <c r="M1438" s="1" t="n">
        <v>0</v>
      </c>
      <c r="N1438" s="1" t="n">
        <v>154.65</v>
      </c>
      <c r="O1438" s="1" t="n">
        <v>0</v>
      </c>
      <c r="Q1438" s="4" t="n">
        <v>46210</v>
      </c>
      <c r="R1438" s="0" t="n">
        <f aca="false">IF(ISBLANK(F1438),"Missing",IFERROR(YEAR(F1438),"Missing"))</f>
        <v>2025</v>
      </c>
      <c r="S1438" s="0" t="str">
        <f aca="false">IF(ISBLANK(E1438),"Missing",IF(E1438&lt;6,"0-6mo",IF(E1438&lt;12,"6-12mo",IF(E1438&lt;24,"12-24mo","24mo+"))))</f>
        <v>12-24mo</v>
      </c>
      <c r="T1438" s="0" t="n">
        <f aca="false">IF(ISBLANK(C1438),0,IF(C1438="Month-to-month",2,IF(C1438="One year",1,0)))+IF(ISBLANK(I1438),0,IF(I1438&lt;40,2,IF(I1438&lt;55,1,0)))+IF(ISBLANK(M1438),0,IF(M1438=1,3,0))+IF(ISBLANK(L1438),0,IF(L1438&gt;=2,1,0))+IF(ISBLANK(E1438),0,IF(E1438&lt;12,1,0))</f>
        <v>2</v>
      </c>
      <c r="U1438" s="0" t="str">
        <f aca="false">IF((ISBLANK(B1438)*1+ISBLANK(C1438)*1+ISBLANK(D1438)*1+ISBLANK(E1438)*1+ISBLANK(F1438)*1+ISBLANK(I1438)*1+ISBLANK(J1438)*1+ISBLANK(K1438)*1+ISBLANK(L1438)*1+ISBLANK(M1438)*1+ISBLANK(N1438)*1+ISBLANK(O1438)*1)&gt;0,"Missing Data","OK")</f>
        <v>OK</v>
      </c>
      <c r="V1438" s="0" t="str">
        <f aca="false">IF(T1438&gt;=6,"High Risk",IF(T1438&gt;=3,"Medium Risk","Low Risk"))</f>
        <v>Low Risk</v>
      </c>
    </row>
    <row r="1439" customFormat="false" ht="12.8" hidden="false" customHeight="false" outlineLevel="0" collapsed="false">
      <c r="A1439" s="1" t="s">
        <v>1469</v>
      </c>
      <c r="B1439" s="1" t="s">
        <v>23</v>
      </c>
      <c r="C1439" s="1" t="s">
        <v>24</v>
      </c>
      <c r="D1439" s="1" t="n">
        <v>20.43</v>
      </c>
      <c r="E1439" s="1" t="n">
        <v>12</v>
      </c>
      <c r="F1439" s="4" t="n">
        <v>45754</v>
      </c>
      <c r="G1439" s="1" t="s">
        <v>25</v>
      </c>
      <c r="H1439" s="1" t="n">
        <v>0</v>
      </c>
      <c r="I1439" s="1" t="n">
        <v>47.1</v>
      </c>
      <c r="J1439" s="1" t="n">
        <v>15</v>
      </c>
      <c r="K1439" s="1" t="n">
        <v>4</v>
      </c>
      <c r="L1439" s="1" t="n">
        <v>1</v>
      </c>
      <c r="M1439" s="1" t="n">
        <v>0</v>
      </c>
      <c r="N1439" s="1" t="n">
        <v>245.16</v>
      </c>
      <c r="O1439" s="1" t="n">
        <v>0</v>
      </c>
      <c r="Q1439" s="4" t="n">
        <v>46119</v>
      </c>
      <c r="R1439" s="0" t="n">
        <f aca="false">IF(ISBLANK(F1439),"Missing",IFERROR(YEAR(F1439),"Missing"))</f>
        <v>2025</v>
      </c>
      <c r="S1439" s="0" t="str">
        <f aca="false">IF(ISBLANK(E1439),"Missing",IF(E1439&lt;6,"0-6mo",IF(E1439&lt;12,"6-12mo",IF(E1439&lt;24,"12-24mo","24mo+"))))</f>
        <v>12-24mo</v>
      </c>
      <c r="T1439" s="0" t="n">
        <f aca="false">IF(ISBLANK(C1439),0,IF(C1439="Month-to-month",2,IF(C1439="One year",1,0)))+IF(ISBLANK(I1439),0,IF(I1439&lt;40,2,IF(I1439&lt;55,1,0)))+IF(ISBLANK(M1439),0,IF(M1439=1,3,0))+IF(ISBLANK(L1439),0,IF(L1439&gt;=2,1,0))+IF(ISBLANK(E1439),0,IF(E1439&lt;12,1,0))</f>
        <v>3</v>
      </c>
      <c r="U1439" s="0" t="str">
        <f aca="false">IF((ISBLANK(B1439)*1+ISBLANK(C1439)*1+ISBLANK(D1439)*1+ISBLANK(E1439)*1+ISBLANK(F1439)*1+ISBLANK(I1439)*1+ISBLANK(J1439)*1+ISBLANK(K1439)*1+ISBLANK(L1439)*1+ISBLANK(M1439)*1+ISBLANK(N1439)*1+ISBLANK(O1439)*1)&gt;0,"Missing Data","OK")</f>
        <v>OK</v>
      </c>
      <c r="V1439" s="0" t="str">
        <f aca="false">IF(T1439&gt;=6,"High Risk",IF(T1439&gt;=3,"Medium Risk","Low Risk"))</f>
        <v>Medium Risk</v>
      </c>
    </row>
    <row r="1440" customFormat="false" ht="12.8" hidden="false" customHeight="false" outlineLevel="0" collapsed="false">
      <c r="A1440" s="1" t="s">
        <v>1470</v>
      </c>
      <c r="B1440" s="1" t="s">
        <v>36</v>
      </c>
      <c r="C1440" s="1" t="s">
        <v>24</v>
      </c>
      <c r="D1440" s="1" t="n">
        <v>9.79</v>
      </c>
      <c r="E1440" s="1" t="n">
        <v>17</v>
      </c>
      <c r="F1440" s="4" t="n">
        <v>45755</v>
      </c>
      <c r="G1440" s="1" t="s">
        <v>39</v>
      </c>
      <c r="H1440" s="1" t="n">
        <v>1</v>
      </c>
      <c r="I1440" s="1" t="n">
        <v>31.4</v>
      </c>
      <c r="J1440" s="1" t="n">
        <v>13</v>
      </c>
      <c r="K1440" s="1" t="n">
        <v>3</v>
      </c>
      <c r="L1440" s="1" t="n">
        <v>2</v>
      </c>
      <c r="M1440" s="1" t="n">
        <v>1</v>
      </c>
      <c r="N1440" s="1" t="n">
        <v>166.43</v>
      </c>
      <c r="O1440" s="1" t="n">
        <v>1</v>
      </c>
      <c r="P1440" s="4" t="n">
        <v>46272</v>
      </c>
      <c r="Q1440" s="4" t="n">
        <v>46272</v>
      </c>
      <c r="R1440" s="0" t="n">
        <f aca="false">IF(ISBLANK(F1440),"Missing",IFERROR(YEAR(F1440),"Missing"))</f>
        <v>2025</v>
      </c>
      <c r="S1440" s="0" t="str">
        <f aca="false">IF(ISBLANK(E1440),"Missing",IF(E1440&lt;6,"0-6mo",IF(E1440&lt;12,"6-12mo",IF(E1440&lt;24,"12-24mo","24mo+"))))</f>
        <v>12-24mo</v>
      </c>
      <c r="T1440" s="0" t="n">
        <f aca="false">IF(ISBLANK(C1440),0,IF(C1440="Month-to-month",2,IF(C1440="One year",1,0)))+IF(ISBLANK(I1440),0,IF(I1440&lt;40,2,IF(I1440&lt;55,1,0)))+IF(ISBLANK(M1440),0,IF(M1440=1,3,0))+IF(ISBLANK(L1440),0,IF(L1440&gt;=2,1,0))+IF(ISBLANK(E1440),0,IF(E1440&lt;12,1,0))</f>
        <v>8</v>
      </c>
      <c r="U1440" s="0" t="str">
        <f aca="false">IF((ISBLANK(B1440)*1+ISBLANK(C1440)*1+ISBLANK(D1440)*1+ISBLANK(E1440)*1+ISBLANK(F1440)*1+ISBLANK(I1440)*1+ISBLANK(J1440)*1+ISBLANK(K1440)*1+ISBLANK(L1440)*1+ISBLANK(M1440)*1+ISBLANK(N1440)*1+ISBLANK(O1440)*1)&gt;0,"Missing Data","OK")</f>
        <v>OK</v>
      </c>
      <c r="V1440" s="0" t="str">
        <f aca="false">IF(T1440&gt;=6,"High Risk",IF(T1440&gt;=3,"Medium Risk","Low Risk"))</f>
        <v>High Risk</v>
      </c>
    </row>
    <row r="1441" customFormat="false" ht="12.8" hidden="false" customHeight="false" outlineLevel="0" collapsed="false">
      <c r="A1441" s="1" t="s">
        <v>1471</v>
      </c>
      <c r="B1441" s="1" t="s">
        <v>29</v>
      </c>
      <c r="C1441" s="1" t="s">
        <v>34</v>
      </c>
      <c r="D1441" s="1" t="n">
        <v>41.29</v>
      </c>
      <c r="E1441" s="1" t="n">
        <v>39</v>
      </c>
      <c r="F1441" s="4" t="n">
        <v>45756</v>
      </c>
      <c r="G1441" s="1" t="s">
        <v>25</v>
      </c>
      <c r="H1441" s="1" t="n">
        <v>1</v>
      </c>
      <c r="I1441" s="1" t="n">
        <v>38.7</v>
      </c>
      <c r="J1441" s="1" t="n">
        <v>8</v>
      </c>
      <c r="K1441" s="1" t="n">
        <v>2</v>
      </c>
      <c r="L1441" s="1" t="n">
        <v>2</v>
      </c>
      <c r="M1441" s="1" t="n">
        <v>1</v>
      </c>
      <c r="N1441" s="1" t="n">
        <v>1610.31</v>
      </c>
      <c r="O1441" s="1" t="n">
        <v>0</v>
      </c>
      <c r="Q1441" s="4" t="n">
        <v>46293</v>
      </c>
      <c r="R1441" s="0" t="n">
        <f aca="false">IF(ISBLANK(F1441),"Missing",IFERROR(YEAR(F1441),"Missing"))</f>
        <v>2025</v>
      </c>
      <c r="S1441" s="0" t="str">
        <f aca="false">IF(ISBLANK(E1441),"Missing",IF(E1441&lt;6,"0-6mo",IF(E1441&lt;12,"6-12mo",IF(E1441&lt;24,"12-24mo","24mo+"))))</f>
        <v>24mo+</v>
      </c>
      <c r="T1441" s="0" t="n">
        <f aca="false">IF(ISBLANK(C1441),0,IF(C1441="Month-to-month",2,IF(C1441="One year",1,0)))+IF(ISBLANK(I1441),0,IF(I1441&lt;40,2,IF(I1441&lt;55,1,0)))+IF(ISBLANK(M1441),0,IF(M1441=1,3,0))+IF(ISBLANK(L1441),0,IF(L1441&gt;=2,1,0))+IF(ISBLANK(E1441),0,IF(E1441&lt;12,1,0))</f>
        <v>7</v>
      </c>
      <c r="U1441" s="0" t="str">
        <f aca="false">IF((ISBLANK(B1441)*1+ISBLANK(C1441)*1+ISBLANK(D1441)*1+ISBLANK(E1441)*1+ISBLANK(F1441)*1+ISBLANK(I1441)*1+ISBLANK(J1441)*1+ISBLANK(K1441)*1+ISBLANK(L1441)*1+ISBLANK(M1441)*1+ISBLANK(N1441)*1+ISBLANK(O1441)*1)&gt;0,"Missing Data","OK")</f>
        <v>OK</v>
      </c>
      <c r="V1441" s="0" t="str">
        <f aca="false">IF(T1441&gt;=6,"High Risk",IF(T1441&gt;=3,"Medium Risk","Low Risk"))</f>
        <v>High Risk</v>
      </c>
    </row>
    <row r="1442" customFormat="false" ht="12.8" hidden="false" customHeight="false" outlineLevel="0" collapsed="false">
      <c r="A1442" s="1" t="s">
        <v>1472</v>
      </c>
      <c r="B1442" s="1" t="s">
        <v>29</v>
      </c>
      <c r="C1442" s="1" t="s">
        <v>34</v>
      </c>
      <c r="D1442" s="1" t="n">
        <v>40.89</v>
      </c>
      <c r="E1442" s="1" t="n">
        <v>7</v>
      </c>
      <c r="F1442" s="4" t="n">
        <v>45756</v>
      </c>
      <c r="G1442" s="1" t="s">
        <v>25</v>
      </c>
      <c r="H1442" s="1" t="n">
        <v>0</v>
      </c>
      <c r="I1442" s="1" t="n">
        <v>35.1</v>
      </c>
      <c r="J1442" s="1" t="n">
        <v>8</v>
      </c>
      <c r="K1442" s="1" t="n">
        <v>3</v>
      </c>
      <c r="L1442" s="1" t="n">
        <v>4</v>
      </c>
      <c r="M1442" s="1" t="n">
        <v>0</v>
      </c>
      <c r="N1442" s="1" t="n">
        <v>286.23</v>
      </c>
      <c r="O1442" s="1" t="n">
        <v>1</v>
      </c>
      <c r="P1442" s="4" t="n">
        <v>45969</v>
      </c>
      <c r="Q1442" s="4" t="n">
        <v>45969</v>
      </c>
      <c r="R1442" s="0" t="n">
        <f aca="false">IF(ISBLANK(F1442),"Missing",IFERROR(YEAR(F1442),"Missing"))</f>
        <v>2025</v>
      </c>
      <c r="S1442" s="0" t="str">
        <f aca="false">IF(ISBLANK(E1442),"Missing",IF(E1442&lt;6,"0-6mo",IF(E1442&lt;12,"6-12mo",IF(E1442&lt;24,"12-24mo","24mo+"))))</f>
        <v>6-12mo</v>
      </c>
      <c r="T1442" s="0" t="n">
        <f aca="false">IF(ISBLANK(C1442),0,IF(C1442="Month-to-month",2,IF(C1442="One year",1,0)))+IF(ISBLANK(I1442),0,IF(I1442&lt;40,2,IF(I1442&lt;55,1,0)))+IF(ISBLANK(M1442),0,IF(M1442=1,3,0))+IF(ISBLANK(L1442),0,IF(L1442&gt;=2,1,0))+IF(ISBLANK(E1442),0,IF(E1442&lt;12,1,0))</f>
        <v>5</v>
      </c>
      <c r="U1442" s="0" t="str">
        <f aca="false">IF((ISBLANK(B1442)*1+ISBLANK(C1442)*1+ISBLANK(D1442)*1+ISBLANK(E1442)*1+ISBLANK(F1442)*1+ISBLANK(I1442)*1+ISBLANK(J1442)*1+ISBLANK(K1442)*1+ISBLANK(L1442)*1+ISBLANK(M1442)*1+ISBLANK(N1442)*1+ISBLANK(O1442)*1)&gt;0,"Missing Data","OK")</f>
        <v>OK</v>
      </c>
      <c r="V1442" s="0" t="str">
        <f aca="false">IF(T1442&gt;=6,"High Risk",IF(T1442&gt;=3,"Medium Risk","Low Risk"))</f>
        <v>Medium Risk</v>
      </c>
    </row>
    <row r="1443" customFormat="false" ht="12.8" hidden="false" customHeight="false" outlineLevel="0" collapsed="false">
      <c r="A1443" s="1" t="s">
        <v>1473</v>
      </c>
      <c r="B1443" s="1" t="s">
        <v>36</v>
      </c>
      <c r="C1443" s="1" t="s">
        <v>24</v>
      </c>
      <c r="D1443" s="1" t="n">
        <v>8.82</v>
      </c>
      <c r="E1443" s="1" t="n">
        <v>12</v>
      </c>
      <c r="F1443" s="4" t="n">
        <v>45756</v>
      </c>
      <c r="G1443" s="1" t="s">
        <v>25</v>
      </c>
      <c r="H1443" s="1" t="n">
        <v>1</v>
      </c>
      <c r="I1443" s="1" t="n">
        <v>16.2</v>
      </c>
      <c r="J1443" s="1" t="n">
        <v>6</v>
      </c>
      <c r="K1443" s="1" t="n">
        <v>1</v>
      </c>
      <c r="L1443" s="1" t="n">
        <v>2</v>
      </c>
      <c r="M1443" s="1" t="n">
        <v>0</v>
      </c>
      <c r="N1443" s="1" t="n">
        <v>105.84</v>
      </c>
      <c r="O1443" s="1" t="n">
        <v>0</v>
      </c>
      <c r="Q1443" s="4" t="n">
        <v>46121</v>
      </c>
      <c r="R1443" s="0" t="n">
        <f aca="false">IF(ISBLANK(F1443),"Missing",IFERROR(YEAR(F1443),"Missing"))</f>
        <v>2025</v>
      </c>
      <c r="S1443" s="0" t="str">
        <f aca="false">IF(ISBLANK(E1443),"Missing",IF(E1443&lt;6,"0-6mo",IF(E1443&lt;12,"6-12mo",IF(E1443&lt;24,"12-24mo","24mo+"))))</f>
        <v>12-24mo</v>
      </c>
      <c r="T1443" s="0" t="n">
        <f aca="false">IF(ISBLANK(C1443),0,IF(C1443="Month-to-month",2,IF(C1443="One year",1,0)))+IF(ISBLANK(I1443),0,IF(I1443&lt;40,2,IF(I1443&lt;55,1,0)))+IF(ISBLANK(M1443),0,IF(M1443=1,3,0))+IF(ISBLANK(L1443),0,IF(L1443&gt;=2,1,0))+IF(ISBLANK(E1443),0,IF(E1443&lt;12,1,0))</f>
        <v>5</v>
      </c>
      <c r="U1443" s="0" t="str">
        <f aca="false">IF((ISBLANK(B1443)*1+ISBLANK(C1443)*1+ISBLANK(D1443)*1+ISBLANK(E1443)*1+ISBLANK(F1443)*1+ISBLANK(I1443)*1+ISBLANK(J1443)*1+ISBLANK(K1443)*1+ISBLANK(L1443)*1+ISBLANK(M1443)*1+ISBLANK(N1443)*1+ISBLANK(O1443)*1)&gt;0,"Missing Data","OK")</f>
        <v>OK</v>
      </c>
      <c r="V1443" s="0" t="str">
        <f aca="false">IF(T1443&gt;=6,"High Risk",IF(T1443&gt;=3,"Medium Risk","Low Risk"))</f>
        <v>Medium Risk</v>
      </c>
    </row>
    <row r="1444" customFormat="false" ht="12.8" hidden="false" customHeight="false" outlineLevel="0" collapsed="false">
      <c r="A1444" s="1" t="s">
        <v>1474</v>
      </c>
      <c r="B1444" s="1" t="s">
        <v>29</v>
      </c>
      <c r="C1444" s="1" t="s">
        <v>24</v>
      </c>
      <c r="D1444" s="1" t="n">
        <v>40.19</v>
      </c>
      <c r="E1444" s="1" t="n">
        <v>13</v>
      </c>
      <c r="F1444" s="4" t="n">
        <v>45757</v>
      </c>
      <c r="G1444" s="1" t="s">
        <v>25</v>
      </c>
      <c r="H1444" s="1" t="n">
        <v>0</v>
      </c>
      <c r="I1444" s="1" t="n">
        <v>61.7</v>
      </c>
      <c r="J1444" s="1" t="n">
        <v>21</v>
      </c>
      <c r="K1444" s="1" t="n">
        <v>5</v>
      </c>
      <c r="L1444" s="1" t="n">
        <v>1</v>
      </c>
      <c r="M1444" s="1" t="n">
        <v>0</v>
      </c>
      <c r="N1444" s="1" t="n">
        <v>522.47</v>
      </c>
      <c r="O1444" s="1" t="n">
        <v>0</v>
      </c>
      <c r="Q1444" s="4" t="n">
        <v>46152</v>
      </c>
      <c r="R1444" s="0" t="n">
        <f aca="false">IF(ISBLANK(F1444),"Missing",IFERROR(YEAR(F1444),"Missing"))</f>
        <v>2025</v>
      </c>
      <c r="S1444" s="0" t="str">
        <f aca="false">IF(ISBLANK(E1444),"Missing",IF(E1444&lt;6,"0-6mo",IF(E1444&lt;12,"6-12mo",IF(E1444&lt;24,"12-24mo","24mo+"))))</f>
        <v>12-24mo</v>
      </c>
      <c r="T1444" s="0" t="n">
        <f aca="false">IF(ISBLANK(C1444),0,IF(C1444="Month-to-month",2,IF(C1444="One year",1,0)))+IF(ISBLANK(I1444),0,IF(I1444&lt;40,2,IF(I1444&lt;55,1,0)))+IF(ISBLANK(M1444),0,IF(M1444=1,3,0))+IF(ISBLANK(L1444),0,IF(L1444&gt;=2,1,0))+IF(ISBLANK(E1444),0,IF(E1444&lt;12,1,0))</f>
        <v>2</v>
      </c>
      <c r="U1444" s="0" t="str">
        <f aca="false">IF((ISBLANK(B1444)*1+ISBLANK(C1444)*1+ISBLANK(D1444)*1+ISBLANK(E1444)*1+ISBLANK(F1444)*1+ISBLANK(I1444)*1+ISBLANK(J1444)*1+ISBLANK(K1444)*1+ISBLANK(L1444)*1+ISBLANK(M1444)*1+ISBLANK(N1444)*1+ISBLANK(O1444)*1)&gt;0,"Missing Data","OK")</f>
        <v>OK</v>
      </c>
      <c r="V1444" s="0" t="str">
        <f aca="false">IF(T1444&gt;=6,"High Risk",IF(T1444&gt;=3,"Medium Risk","Low Risk"))</f>
        <v>Low Risk</v>
      </c>
    </row>
    <row r="1445" customFormat="false" ht="12.8" hidden="false" customHeight="false" outlineLevel="0" collapsed="false">
      <c r="A1445" s="1" t="s">
        <v>1475</v>
      </c>
      <c r="B1445" s="1" t="s">
        <v>36</v>
      </c>
      <c r="C1445" s="1" t="s">
        <v>24</v>
      </c>
      <c r="D1445" s="1" t="n">
        <v>9.09</v>
      </c>
      <c r="E1445" s="1" t="n">
        <v>37</v>
      </c>
      <c r="F1445" s="4" t="n">
        <v>45758</v>
      </c>
      <c r="G1445" s="1" t="s">
        <v>25</v>
      </c>
      <c r="H1445" s="1" t="n">
        <v>0</v>
      </c>
      <c r="I1445" s="1" t="n">
        <v>66.8</v>
      </c>
      <c r="J1445" s="1" t="n">
        <v>11</v>
      </c>
      <c r="K1445" s="1" t="n">
        <v>5</v>
      </c>
      <c r="L1445" s="1" t="n">
        <v>1</v>
      </c>
      <c r="M1445" s="1" t="n">
        <v>0</v>
      </c>
      <c r="N1445" s="1" t="n">
        <v>336.33</v>
      </c>
      <c r="O1445" s="1" t="n">
        <v>0</v>
      </c>
      <c r="Q1445" s="4" t="n">
        <v>46293</v>
      </c>
      <c r="R1445" s="0" t="n">
        <f aca="false">IF(ISBLANK(F1445),"Missing",IFERROR(YEAR(F1445),"Missing"))</f>
        <v>2025</v>
      </c>
      <c r="S1445" s="0" t="str">
        <f aca="false">IF(ISBLANK(E1445),"Missing",IF(E1445&lt;6,"0-6mo",IF(E1445&lt;12,"6-12mo",IF(E1445&lt;24,"12-24mo","24mo+"))))</f>
        <v>24mo+</v>
      </c>
      <c r="T1445" s="0" t="n">
        <f aca="false">IF(ISBLANK(C1445),0,IF(C1445="Month-to-month",2,IF(C1445="One year",1,0)))+IF(ISBLANK(I1445),0,IF(I1445&lt;40,2,IF(I1445&lt;55,1,0)))+IF(ISBLANK(M1445),0,IF(M1445=1,3,0))+IF(ISBLANK(L1445),0,IF(L1445&gt;=2,1,0))+IF(ISBLANK(E1445),0,IF(E1445&lt;12,1,0))</f>
        <v>2</v>
      </c>
      <c r="U1445" s="0" t="str">
        <f aca="false">IF((ISBLANK(B1445)*1+ISBLANK(C1445)*1+ISBLANK(D1445)*1+ISBLANK(E1445)*1+ISBLANK(F1445)*1+ISBLANK(I1445)*1+ISBLANK(J1445)*1+ISBLANK(K1445)*1+ISBLANK(L1445)*1+ISBLANK(M1445)*1+ISBLANK(N1445)*1+ISBLANK(O1445)*1)&gt;0,"Missing Data","OK")</f>
        <v>OK</v>
      </c>
      <c r="V1445" s="0" t="str">
        <f aca="false">IF(T1445&gt;=6,"High Risk",IF(T1445&gt;=3,"Medium Risk","Low Risk"))</f>
        <v>Low Risk</v>
      </c>
    </row>
    <row r="1446" customFormat="false" ht="12.8" hidden="false" customHeight="false" outlineLevel="0" collapsed="false">
      <c r="A1446" s="1" t="s">
        <v>1476</v>
      </c>
      <c r="B1446" s="1" t="s">
        <v>36</v>
      </c>
      <c r="C1446" s="1" t="s">
        <v>24</v>
      </c>
      <c r="D1446" s="1" t="n">
        <v>9.18</v>
      </c>
      <c r="E1446" s="1" t="n">
        <v>1</v>
      </c>
      <c r="F1446" s="4" t="n">
        <v>45762</v>
      </c>
      <c r="G1446" s="1" t="s">
        <v>39</v>
      </c>
      <c r="H1446" s="1" t="n">
        <v>0</v>
      </c>
      <c r="I1446" s="1" t="n">
        <v>55.4</v>
      </c>
      <c r="J1446" s="1" t="n">
        <v>20</v>
      </c>
      <c r="K1446" s="1" t="n">
        <v>4</v>
      </c>
      <c r="L1446" s="1" t="n">
        <v>1</v>
      </c>
      <c r="M1446" s="1" t="n">
        <v>1</v>
      </c>
      <c r="N1446" s="1" t="n">
        <v>9.18</v>
      </c>
      <c r="O1446" s="1" t="n">
        <v>0</v>
      </c>
      <c r="Q1446" s="4" t="n">
        <v>45792</v>
      </c>
      <c r="R1446" s="0" t="n">
        <f aca="false">IF(ISBLANK(F1446),"Missing",IFERROR(YEAR(F1446),"Missing"))</f>
        <v>2025</v>
      </c>
      <c r="S1446" s="0" t="str">
        <f aca="false">IF(ISBLANK(E1446),"Missing",IF(E1446&lt;6,"0-6mo",IF(E1446&lt;12,"6-12mo",IF(E1446&lt;24,"12-24mo","24mo+"))))</f>
        <v>0-6mo</v>
      </c>
      <c r="T1446" s="0" t="n">
        <f aca="false">IF(ISBLANK(C1446),0,IF(C1446="Month-to-month",2,IF(C1446="One year",1,0)))+IF(ISBLANK(I1446),0,IF(I1446&lt;40,2,IF(I1446&lt;55,1,0)))+IF(ISBLANK(M1446),0,IF(M1446=1,3,0))+IF(ISBLANK(L1446),0,IF(L1446&gt;=2,1,0))+IF(ISBLANK(E1446),0,IF(E1446&lt;12,1,0))</f>
        <v>6</v>
      </c>
      <c r="U1446" s="0" t="str">
        <f aca="false">IF((ISBLANK(B1446)*1+ISBLANK(C1446)*1+ISBLANK(D1446)*1+ISBLANK(E1446)*1+ISBLANK(F1446)*1+ISBLANK(I1446)*1+ISBLANK(J1446)*1+ISBLANK(K1446)*1+ISBLANK(L1446)*1+ISBLANK(M1446)*1+ISBLANK(N1446)*1+ISBLANK(O1446)*1)&gt;0,"Missing Data","OK")</f>
        <v>OK</v>
      </c>
      <c r="V1446" s="0" t="str">
        <f aca="false">IF(T1446&gt;=6,"High Risk",IF(T1446&gt;=3,"Medium Risk","Low Risk"))</f>
        <v>High Risk</v>
      </c>
    </row>
    <row r="1447" customFormat="false" ht="12.8" hidden="false" customHeight="false" outlineLevel="0" collapsed="false">
      <c r="A1447" s="1" t="s">
        <v>1477</v>
      </c>
      <c r="B1447" s="1" t="s">
        <v>36</v>
      </c>
      <c r="C1447" s="1" t="s">
        <v>24</v>
      </c>
      <c r="D1447" s="1" t="n">
        <v>11.19</v>
      </c>
      <c r="E1447" s="1" t="n">
        <v>47</v>
      </c>
      <c r="F1447" s="4" t="n">
        <v>45762</v>
      </c>
      <c r="G1447" s="1" t="s">
        <v>39</v>
      </c>
      <c r="H1447" s="1" t="n">
        <v>0</v>
      </c>
      <c r="I1447" s="1" t="n">
        <v>86</v>
      </c>
      <c r="J1447" s="1" t="n">
        <v>25</v>
      </c>
      <c r="K1447" s="1" t="n">
        <v>5</v>
      </c>
      <c r="L1447" s="1" t="n">
        <v>0</v>
      </c>
      <c r="M1447" s="1" t="n">
        <v>0</v>
      </c>
      <c r="N1447" s="1" t="n">
        <v>525.93</v>
      </c>
      <c r="O1447" s="1" t="n">
        <v>0</v>
      </c>
      <c r="Q1447" s="4" t="n">
        <v>46293</v>
      </c>
      <c r="R1447" s="0" t="n">
        <f aca="false">IF(ISBLANK(F1447),"Missing",IFERROR(YEAR(F1447),"Missing"))</f>
        <v>2025</v>
      </c>
      <c r="S1447" s="0" t="str">
        <f aca="false">IF(ISBLANK(E1447),"Missing",IF(E1447&lt;6,"0-6mo",IF(E1447&lt;12,"6-12mo",IF(E1447&lt;24,"12-24mo","24mo+"))))</f>
        <v>24mo+</v>
      </c>
      <c r="T1447" s="0" t="n">
        <f aca="false">IF(ISBLANK(C1447),0,IF(C1447="Month-to-month",2,IF(C1447="One year",1,0)))+IF(ISBLANK(I1447),0,IF(I1447&lt;40,2,IF(I1447&lt;55,1,0)))+IF(ISBLANK(M1447),0,IF(M1447=1,3,0))+IF(ISBLANK(L1447),0,IF(L1447&gt;=2,1,0))+IF(ISBLANK(E1447),0,IF(E1447&lt;12,1,0))</f>
        <v>2</v>
      </c>
      <c r="U1447" s="0" t="str">
        <f aca="false">IF((ISBLANK(B1447)*1+ISBLANK(C1447)*1+ISBLANK(D1447)*1+ISBLANK(E1447)*1+ISBLANK(F1447)*1+ISBLANK(I1447)*1+ISBLANK(J1447)*1+ISBLANK(K1447)*1+ISBLANK(L1447)*1+ISBLANK(M1447)*1+ISBLANK(N1447)*1+ISBLANK(O1447)*1)&gt;0,"Missing Data","OK")</f>
        <v>OK</v>
      </c>
      <c r="V1447" s="0" t="str">
        <f aca="false">IF(T1447&gt;=6,"High Risk",IF(T1447&gt;=3,"Medium Risk","Low Risk"))</f>
        <v>Low Risk</v>
      </c>
    </row>
    <row r="1448" customFormat="false" ht="12.8" hidden="false" customHeight="false" outlineLevel="0" collapsed="false">
      <c r="A1448" s="1" t="s">
        <v>1478</v>
      </c>
      <c r="B1448" s="1" t="s">
        <v>36</v>
      </c>
      <c r="C1448" s="1" t="s">
        <v>24</v>
      </c>
      <c r="D1448" s="1" t="n">
        <v>8.46</v>
      </c>
      <c r="E1448" s="1" t="n">
        <v>5</v>
      </c>
      <c r="F1448" s="4" t="n">
        <v>45762</v>
      </c>
      <c r="G1448" s="1" t="s">
        <v>39</v>
      </c>
      <c r="H1448" s="1" t="n">
        <v>1</v>
      </c>
      <c r="I1448" s="1" t="n">
        <v>55.4</v>
      </c>
      <c r="J1448" s="1" t="n">
        <v>10</v>
      </c>
      <c r="K1448" s="1" t="n">
        <v>6</v>
      </c>
      <c r="L1448" s="1" t="n">
        <v>1</v>
      </c>
      <c r="M1448" s="1" t="n">
        <v>0</v>
      </c>
      <c r="N1448" s="1" t="n">
        <v>42.3</v>
      </c>
      <c r="O1448" s="1" t="n">
        <v>0</v>
      </c>
      <c r="Q1448" s="4" t="n">
        <v>45914</v>
      </c>
      <c r="R1448" s="0" t="n">
        <f aca="false">IF(ISBLANK(F1448),"Missing",IFERROR(YEAR(F1448),"Missing"))</f>
        <v>2025</v>
      </c>
      <c r="S1448" s="0" t="str">
        <f aca="false">IF(ISBLANK(E1448),"Missing",IF(E1448&lt;6,"0-6mo",IF(E1448&lt;12,"6-12mo",IF(E1448&lt;24,"12-24mo","24mo+"))))</f>
        <v>0-6mo</v>
      </c>
      <c r="T1448" s="0" t="n">
        <f aca="false">IF(ISBLANK(C1448),0,IF(C1448="Month-to-month",2,IF(C1448="One year",1,0)))+IF(ISBLANK(I1448),0,IF(I1448&lt;40,2,IF(I1448&lt;55,1,0)))+IF(ISBLANK(M1448),0,IF(M1448=1,3,0))+IF(ISBLANK(L1448),0,IF(L1448&gt;=2,1,0))+IF(ISBLANK(E1448),0,IF(E1448&lt;12,1,0))</f>
        <v>3</v>
      </c>
      <c r="U1448" s="0" t="str">
        <f aca="false">IF((ISBLANK(B1448)*1+ISBLANK(C1448)*1+ISBLANK(D1448)*1+ISBLANK(E1448)*1+ISBLANK(F1448)*1+ISBLANK(I1448)*1+ISBLANK(J1448)*1+ISBLANK(K1448)*1+ISBLANK(L1448)*1+ISBLANK(M1448)*1+ISBLANK(N1448)*1+ISBLANK(O1448)*1)&gt;0,"Missing Data","OK")</f>
        <v>OK</v>
      </c>
      <c r="V1448" s="0" t="str">
        <f aca="false">IF(T1448&gt;=6,"High Risk",IF(T1448&gt;=3,"Medium Risk","Low Risk"))</f>
        <v>Medium Risk</v>
      </c>
    </row>
    <row r="1449" customFormat="false" ht="12.8" hidden="false" customHeight="false" outlineLevel="0" collapsed="false">
      <c r="A1449" s="1" t="s">
        <v>1479</v>
      </c>
      <c r="B1449" s="1" t="s">
        <v>23</v>
      </c>
      <c r="C1449" s="1" t="s">
        <v>24</v>
      </c>
      <c r="D1449" s="1" t="n">
        <v>18.96</v>
      </c>
      <c r="E1449" s="1" t="n">
        <v>14</v>
      </c>
      <c r="F1449" s="4" t="n">
        <v>45763</v>
      </c>
      <c r="G1449" s="1" t="s">
        <v>27</v>
      </c>
      <c r="H1449" s="1" t="n">
        <v>1</v>
      </c>
      <c r="I1449" s="1" t="n">
        <v>42.4</v>
      </c>
      <c r="J1449" s="1" t="n">
        <v>12</v>
      </c>
      <c r="K1449" s="1" t="n">
        <v>4</v>
      </c>
      <c r="L1449" s="1" t="n">
        <v>1</v>
      </c>
      <c r="M1449" s="1" t="n">
        <v>1</v>
      </c>
      <c r="N1449" s="1" t="n">
        <v>265.44</v>
      </c>
      <c r="O1449" s="1" t="n">
        <v>1</v>
      </c>
      <c r="P1449" s="4" t="n">
        <v>46189</v>
      </c>
      <c r="Q1449" s="4" t="n">
        <v>46189</v>
      </c>
      <c r="R1449" s="0" t="n">
        <f aca="false">IF(ISBLANK(F1449),"Missing",IFERROR(YEAR(F1449),"Missing"))</f>
        <v>2025</v>
      </c>
      <c r="S1449" s="0" t="str">
        <f aca="false">IF(ISBLANK(E1449),"Missing",IF(E1449&lt;6,"0-6mo",IF(E1449&lt;12,"6-12mo",IF(E1449&lt;24,"12-24mo","24mo+"))))</f>
        <v>12-24mo</v>
      </c>
      <c r="T1449" s="0" t="n">
        <f aca="false">IF(ISBLANK(C1449),0,IF(C1449="Month-to-month",2,IF(C1449="One year",1,0)))+IF(ISBLANK(I1449),0,IF(I1449&lt;40,2,IF(I1449&lt;55,1,0)))+IF(ISBLANK(M1449),0,IF(M1449=1,3,0))+IF(ISBLANK(L1449),0,IF(L1449&gt;=2,1,0))+IF(ISBLANK(E1449),0,IF(E1449&lt;12,1,0))</f>
        <v>6</v>
      </c>
      <c r="U1449" s="0" t="str">
        <f aca="false">IF((ISBLANK(B1449)*1+ISBLANK(C1449)*1+ISBLANK(D1449)*1+ISBLANK(E1449)*1+ISBLANK(F1449)*1+ISBLANK(I1449)*1+ISBLANK(J1449)*1+ISBLANK(K1449)*1+ISBLANK(L1449)*1+ISBLANK(M1449)*1+ISBLANK(N1449)*1+ISBLANK(O1449)*1)&gt;0,"Missing Data","OK")</f>
        <v>OK</v>
      </c>
      <c r="V1449" s="0" t="str">
        <f aca="false">IF(T1449&gt;=6,"High Risk",IF(T1449&gt;=3,"Medium Risk","Low Risk"))</f>
        <v>High Risk</v>
      </c>
    </row>
    <row r="1450" customFormat="false" ht="12.8" hidden="false" customHeight="false" outlineLevel="0" collapsed="false">
      <c r="A1450" s="1" t="s">
        <v>1480</v>
      </c>
      <c r="B1450" s="1" t="s">
        <v>23</v>
      </c>
      <c r="C1450" s="1" t="s">
        <v>24</v>
      </c>
      <c r="D1450" s="1" t="n">
        <v>18.89</v>
      </c>
      <c r="E1450" s="1" t="n">
        <v>0</v>
      </c>
      <c r="F1450" s="4" t="n">
        <v>45765</v>
      </c>
      <c r="G1450" s="1" t="s">
        <v>39</v>
      </c>
      <c r="H1450" s="1" t="n">
        <v>0</v>
      </c>
      <c r="I1450" s="1" t="n">
        <v>45.3</v>
      </c>
      <c r="J1450" s="1" t="n">
        <v>12</v>
      </c>
      <c r="K1450" s="1" t="n">
        <v>2</v>
      </c>
      <c r="L1450" s="1" t="n">
        <v>1</v>
      </c>
      <c r="M1450" s="1" t="n">
        <v>0</v>
      </c>
      <c r="N1450" s="1" t="n">
        <v>0</v>
      </c>
      <c r="O1450" s="1" t="n">
        <v>1</v>
      </c>
      <c r="P1450" s="4" t="n">
        <v>45765</v>
      </c>
      <c r="Q1450" s="4" t="n">
        <v>45765</v>
      </c>
      <c r="R1450" s="0" t="n">
        <f aca="false">IF(ISBLANK(F1450),"Missing",IFERROR(YEAR(F1450),"Missing"))</f>
        <v>2025</v>
      </c>
      <c r="S1450" s="0" t="str">
        <f aca="false">IF(ISBLANK(E1450),"Missing",IF(E1450&lt;6,"0-6mo",IF(E1450&lt;12,"6-12mo",IF(E1450&lt;24,"12-24mo","24mo+"))))</f>
        <v>0-6mo</v>
      </c>
      <c r="T1450" s="0" t="n">
        <f aca="false">IF(ISBLANK(C1450),0,IF(C1450="Month-to-month",2,IF(C1450="One year",1,0)))+IF(ISBLANK(I1450),0,IF(I1450&lt;40,2,IF(I1450&lt;55,1,0)))+IF(ISBLANK(M1450),0,IF(M1450=1,3,0))+IF(ISBLANK(L1450),0,IF(L1450&gt;=2,1,0))+IF(ISBLANK(E1450),0,IF(E1450&lt;12,1,0))</f>
        <v>4</v>
      </c>
      <c r="U1450" s="0" t="str">
        <f aca="false">IF((ISBLANK(B1450)*1+ISBLANK(C1450)*1+ISBLANK(D1450)*1+ISBLANK(E1450)*1+ISBLANK(F1450)*1+ISBLANK(I1450)*1+ISBLANK(J1450)*1+ISBLANK(K1450)*1+ISBLANK(L1450)*1+ISBLANK(M1450)*1+ISBLANK(N1450)*1+ISBLANK(O1450)*1)&gt;0,"Missing Data","OK")</f>
        <v>OK</v>
      </c>
      <c r="V1450" s="0" t="str">
        <f aca="false">IF(T1450&gt;=6,"High Risk",IF(T1450&gt;=3,"Medium Risk","Low Risk"))</f>
        <v>Medium Risk</v>
      </c>
    </row>
    <row r="1451" customFormat="false" ht="12.8" hidden="false" customHeight="false" outlineLevel="0" collapsed="false">
      <c r="A1451" s="1" t="s">
        <v>1481</v>
      </c>
      <c r="B1451" s="1" t="s">
        <v>23</v>
      </c>
      <c r="C1451" s="1" t="s">
        <v>34</v>
      </c>
      <c r="D1451" s="1" t="n">
        <v>20.09</v>
      </c>
      <c r="E1451" s="1" t="n">
        <v>3</v>
      </c>
      <c r="F1451" s="4" t="n">
        <v>45767</v>
      </c>
      <c r="G1451" s="1" t="s">
        <v>25</v>
      </c>
      <c r="H1451" s="1" t="n">
        <v>1</v>
      </c>
      <c r="I1451" s="1" t="n">
        <v>33.9</v>
      </c>
      <c r="J1451" s="1" t="n">
        <v>11</v>
      </c>
      <c r="K1451" s="1" t="n">
        <v>4</v>
      </c>
      <c r="L1451" s="1" t="n">
        <v>1</v>
      </c>
      <c r="M1451" s="1" t="n">
        <v>1</v>
      </c>
      <c r="N1451" s="1" t="n">
        <v>60.27</v>
      </c>
      <c r="O1451" s="1" t="n">
        <v>0</v>
      </c>
      <c r="Q1451" s="4" t="n">
        <v>45858</v>
      </c>
      <c r="R1451" s="0" t="n">
        <f aca="false">IF(ISBLANK(F1451),"Missing",IFERROR(YEAR(F1451),"Missing"))</f>
        <v>2025</v>
      </c>
      <c r="S1451" s="0" t="str">
        <f aca="false">IF(ISBLANK(E1451),"Missing",IF(E1451&lt;6,"0-6mo",IF(E1451&lt;12,"6-12mo",IF(E1451&lt;24,"12-24mo","24mo+"))))</f>
        <v>0-6mo</v>
      </c>
      <c r="T1451" s="0" t="n">
        <f aca="false">IF(ISBLANK(C1451),0,IF(C1451="Month-to-month",2,IF(C1451="One year",1,0)))+IF(ISBLANK(I1451),0,IF(I1451&lt;40,2,IF(I1451&lt;55,1,0)))+IF(ISBLANK(M1451),0,IF(M1451=1,3,0))+IF(ISBLANK(L1451),0,IF(L1451&gt;=2,1,0))+IF(ISBLANK(E1451),0,IF(E1451&lt;12,1,0))</f>
        <v>7</v>
      </c>
      <c r="U1451" s="0" t="str">
        <f aca="false">IF((ISBLANK(B1451)*1+ISBLANK(C1451)*1+ISBLANK(D1451)*1+ISBLANK(E1451)*1+ISBLANK(F1451)*1+ISBLANK(I1451)*1+ISBLANK(J1451)*1+ISBLANK(K1451)*1+ISBLANK(L1451)*1+ISBLANK(M1451)*1+ISBLANK(N1451)*1+ISBLANK(O1451)*1)&gt;0,"Missing Data","OK")</f>
        <v>OK</v>
      </c>
      <c r="V1451" s="0" t="str">
        <f aca="false">IF(T1451&gt;=6,"High Risk",IF(T1451&gt;=3,"Medium Risk","Low Risk"))</f>
        <v>High Risk</v>
      </c>
    </row>
    <row r="1452" customFormat="false" ht="12.8" hidden="false" customHeight="false" outlineLevel="0" collapsed="false">
      <c r="A1452" s="1" t="s">
        <v>1482</v>
      </c>
      <c r="B1452" s="1" t="s">
        <v>36</v>
      </c>
      <c r="C1452" s="1" t="s">
        <v>24</v>
      </c>
      <c r="D1452" s="1" t="n">
        <v>10.99</v>
      </c>
      <c r="E1452" s="1" t="n">
        <v>9</v>
      </c>
      <c r="F1452" s="4" t="n">
        <v>45769</v>
      </c>
      <c r="G1452" s="1" t="s">
        <v>27</v>
      </c>
      <c r="H1452" s="1" t="n">
        <v>1</v>
      </c>
      <c r="I1452" s="1" t="n">
        <v>40.8</v>
      </c>
      <c r="J1452" s="1" t="n">
        <v>9</v>
      </c>
      <c r="K1452" s="1" t="n">
        <v>4</v>
      </c>
      <c r="L1452" s="1" t="n">
        <v>1</v>
      </c>
      <c r="M1452" s="1" t="n">
        <v>1</v>
      </c>
      <c r="N1452" s="1" t="n">
        <v>98.91</v>
      </c>
      <c r="O1452" s="1" t="n">
        <v>1</v>
      </c>
      <c r="P1452" s="4" t="n">
        <v>46042</v>
      </c>
      <c r="Q1452" s="4" t="n">
        <v>46042</v>
      </c>
      <c r="R1452" s="0" t="n">
        <f aca="false">IF(ISBLANK(F1452),"Missing",IFERROR(YEAR(F1452),"Missing"))</f>
        <v>2025</v>
      </c>
      <c r="S1452" s="0" t="str">
        <f aca="false">IF(ISBLANK(E1452),"Missing",IF(E1452&lt;6,"0-6mo",IF(E1452&lt;12,"6-12mo",IF(E1452&lt;24,"12-24mo","24mo+"))))</f>
        <v>6-12mo</v>
      </c>
      <c r="T1452" s="0" t="n">
        <f aca="false">IF(ISBLANK(C1452),0,IF(C1452="Month-to-month",2,IF(C1452="One year",1,0)))+IF(ISBLANK(I1452),0,IF(I1452&lt;40,2,IF(I1452&lt;55,1,0)))+IF(ISBLANK(M1452),0,IF(M1452=1,3,0))+IF(ISBLANK(L1452),0,IF(L1452&gt;=2,1,0))+IF(ISBLANK(E1452),0,IF(E1452&lt;12,1,0))</f>
        <v>7</v>
      </c>
      <c r="U1452" s="0" t="str">
        <f aca="false">IF((ISBLANK(B1452)*1+ISBLANK(C1452)*1+ISBLANK(D1452)*1+ISBLANK(E1452)*1+ISBLANK(F1452)*1+ISBLANK(I1452)*1+ISBLANK(J1452)*1+ISBLANK(K1452)*1+ISBLANK(L1452)*1+ISBLANK(M1452)*1+ISBLANK(N1452)*1+ISBLANK(O1452)*1)&gt;0,"Missing Data","OK")</f>
        <v>OK</v>
      </c>
      <c r="V1452" s="0" t="str">
        <f aca="false">IF(T1452&gt;=6,"High Risk",IF(T1452&gt;=3,"Medium Risk","Low Risk"))</f>
        <v>High Risk</v>
      </c>
    </row>
    <row r="1453" customFormat="false" ht="12.8" hidden="false" customHeight="false" outlineLevel="0" collapsed="false">
      <c r="A1453" s="1" t="s">
        <v>1483</v>
      </c>
      <c r="B1453" s="1" t="s">
        <v>29</v>
      </c>
      <c r="C1453" s="1" t="s">
        <v>34</v>
      </c>
      <c r="D1453" s="1" t="n">
        <v>41.04</v>
      </c>
      <c r="E1453" s="1" t="n">
        <v>16</v>
      </c>
      <c r="F1453" s="4" t="n">
        <v>45772</v>
      </c>
      <c r="G1453" s="1" t="s">
        <v>25</v>
      </c>
      <c r="H1453" s="1" t="n">
        <v>1</v>
      </c>
      <c r="I1453" s="1" t="n">
        <v>43</v>
      </c>
      <c r="J1453" s="1" t="n">
        <v>10</v>
      </c>
      <c r="K1453" s="1" t="n">
        <v>4</v>
      </c>
      <c r="L1453" s="1" t="n">
        <v>0</v>
      </c>
      <c r="M1453" s="1" t="n">
        <v>0</v>
      </c>
      <c r="N1453" s="1" t="n">
        <v>656.64</v>
      </c>
      <c r="O1453" s="1" t="n">
        <v>0</v>
      </c>
      <c r="Q1453" s="4" t="n">
        <v>46259</v>
      </c>
      <c r="R1453" s="0" t="n">
        <f aca="false">IF(ISBLANK(F1453),"Missing",IFERROR(YEAR(F1453),"Missing"))</f>
        <v>2025</v>
      </c>
      <c r="S1453" s="0" t="str">
        <f aca="false">IF(ISBLANK(E1453),"Missing",IF(E1453&lt;6,"0-6mo",IF(E1453&lt;12,"6-12mo",IF(E1453&lt;24,"12-24mo","24mo+"))))</f>
        <v>12-24mo</v>
      </c>
      <c r="T1453" s="0" t="n">
        <f aca="false">IF(ISBLANK(C1453),0,IF(C1453="Month-to-month",2,IF(C1453="One year",1,0)))+IF(ISBLANK(I1453),0,IF(I1453&lt;40,2,IF(I1453&lt;55,1,0)))+IF(ISBLANK(M1453),0,IF(M1453=1,3,0))+IF(ISBLANK(L1453),0,IF(L1453&gt;=2,1,0))+IF(ISBLANK(E1453),0,IF(E1453&lt;12,1,0))</f>
        <v>2</v>
      </c>
      <c r="U1453" s="0" t="str">
        <f aca="false">IF((ISBLANK(B1453)*1+ISBLANK(C1453)*1+ISBLANK(D1453)*1+ISBLANK(E1453)*1+ISBLANK(F1453)*1+ISBLANK(I1453)*1+ISBLANK(J1453)*1+ISBLANK(K1453)*1+ISBLANK(L1453)*1+ISBLANK(M1453)*1+ISBLANK(N1453)*1+ISBLANK(O1453)*1)&gt;0,"Missing Data","OK")</f>
        <v>OK</v>
      </c>
      <c r="V1453" s="0" t="str">
        <f aca="false">IF(T1453&gt;=6,"High Risk",IF(T1453&gt;=3,"Medium Risk","Low Risk"))</f>
        <v>Low Risk</v>
      </c>
    </row>
    <row r="1454" customFormat="false" ht="12.8" hidden="false" customHeight="false" outlineLevel="0" collapsed="false">
      <c r="A1454" s="1" t="s">
        <v>1484</v>
      </c>
      <c r="B1454" s="1" t="s">
        <v>23</v>
      </c>
      <c r="C1454" s="1" t="s">
        <v>34</v>
      </c>
      <c r="D1454" s="1" t="n">
        <v>21.26</v>
      </c>
      <c r="E1454" s="1" t="n">
        <v>63</v>
      </c>
      <c r="F1454" s="4" t="n">
        <v>45772</v>
      </c>
      <c r="G1454" s="1" t="s">
        <v>27</v>
      </c>
      <c r="H1454" s="1" t="n">
        <v>1</v>
      </c>
      <c r="I1454" s="1" t="n">
        <v>25.5</v>
      </c>
      <c r="J1454" s="1" t="n">
        <v>14</v>
      </c>
      <c r="K1454" s="1" t="n">
        <v>2</v>
      </c>
      <c r="L1454" s="1" t="n">
        <v>2</v>
      </c>
      <c r="M1454" s="1" t="n">
        <v>0</v>
      </c>
      <c r="N1454" s="1" t="n">
        <v>1339.38</v>
      </c>
      <c r="O1454" s="1" t="n">
        <v>0</v>
      </c>
      <c r="Q1454" s="4" t="n">
        <v>46293</v>
      </c>
      <c r="R1454" s="0" t="n">
        <f aca="false">IF(ISBLANK(F1454),"Missing",IFERROR(YEAR(F1454),"Missing"))</f>
        <v>2025</v>
      </c>
      <c r="S1454" s="0" t="str">
        <f aca="false">IF(ISBLANK(E1454),"Missing",IF(E1454&lt;6,"0-6mo",IF(E1454&lt;12,"6-12mo",IF(E1454&lt;24,"12-24mo","24mo+"))))</f>
        <v>24mo+</v>
      </c>
      <c r="T1454" s="0" t="n">
        <f aca="false">IF(ISBLANK(C1454),0,IF(C1454="Month-to-month",2,IF(C1454="One year",1,0)))+IF(ISBLANK(I1454),0,IF(I1454&lt;40,2,IF(I1454&lt;55,1,0)))+IF(ISBLANK(M1454),0,IF(M1454=1,3,0))+IF(ISBLANK(L1454),0,IF(L1454&gt;=2,1,0))+IF(ISBLANK(E1454),0,IF(E1454&lt;12,1,0))</f>
        <v>4</v>
      </c>
      <c r="U1454" s="0" t="str">
        <f aca="false">IF((ISBLANK(B1454)*1+ISBLANK(C1454)*1+ISBLANK(D1454)*1+ISBLANK(E1454)*1+ISBLANK(F1454)*1+ISBLANK(I1454)*1+ISBLANK(J1454)*1+ISBLANK(K1454)*1+ISBLANK(L1454)*1+ISBLANK(M1454)*1+ISBLANK(N1454)*1+ISBLANK(O1454)*1)&gt;0,"Missing Data","OK")</f>
        <v>OK</v>
      </c>
      <c r="V1454" s="0" t="str">
        <f aca="false">IF(T1454&gt;=6,"High Risk",IF(T1454&gt;=3,"Medium Risk","Low Risk"))</f>
        <v>Medium Risk</v>
      </c>
    </row>
    <row r="1455" customFormat="false" ht="12.8" hidden="false" customHeight="false" outlineLevel="0" collapsed="false">
      <c r="A1455" s="1" t="s">
        <v>1485</v>
      </c>
      <c r="B1455" s="1" t="s">
        <v>23</v>
      </c>
      <c r="C1455" s="1" t="s">
        <v>34</v>
      </c>
      <c r="D1455" s="1" t="n">
        <v>19.09</v>
      </c>
      <c r="E1455" s="1" t="n">
        <v>27</v>
      </c>
      <c r="F1455" s="4" t="n">
        <v>45773</v>
      </c>
      <c r="G1455" s="1" t="s">
        <v>27</v>
      </c>
      <c r="H1455" s="1" t="n">
        <v>1</v>
      </c>
      <c r="I1455" s="1" t="n">
        <v>72.1</v>
      </c>
      <c r="J1455" s="1" t="n">
        <v>29</v>
      </c>
      <c r="K1455" s="1" t="n">
        <v>8</v>
      </c>
      <c r="L1455" s="1" t="n">
        <v>3</v>
      </c>
      <c r="M1455" s="1" t="n">
        <v>1</v>
      </c>
      <c r="N1455" s="1" t="n">
        <v>515.43</v>
      </c>
      <c r="O1455" s="1" t="n">
        <v>0</v>
      </c>
      <c r="Q1455" s="4" t="n">
        <v>46293</v>
      </c>
      <c r="R1455" s="0" t="n">
        <f aca="false">IF(ISBLANK(F1455),"Missing",IFERROR(YEAR(F1455),"Missing"))</f>
        <v>2025</v>
      </c>
      <c r="S1455" s="0" t="str">
        <f aca="false">IF(ISBLANK(E1455),"Missing",IF(E1455&lt;6,"0-6mo",IF(E1455&lt;12,"6-12mo",IF(E1455&lt;24,"12-24mo","24mo+"))))</f>
        <v>24mo+</v>
      </c>
      <c r="T1455" s="0" t="n">
        <f aca="false">IF(ISBLANK(C1455),0,IF(C1455="Month-to-month",2,IF(C1455="One year",1,0)))+IF(ISBLANK(I1455),0,IF(I1455&lt;40,2,IF(I1455&lt;55,1,0)))+IF(ISBLANK(M1455),0,IF(M1455=1,3,0))+IF(ISBLANK(L1455),0,IF(L1455&gt;=2,1,0))+IF(ISBLANK(E1455),0,IF(E1455&lt;12,1,0))</f>
        <v>5</v>
      </c>
      <c r="U1455" s="0" t="str">
        <f aca="false">IF((ISBLANK(B1455)*1+ISBLANK(C1455)*1+ISBLANK(D1455)*1+ISBLANK(E1455)*1+ISBLANK(F1455)*1+ISBLANK(I1455)*1+ISBLANK(J1455)*1+ISBLANK(K1455)*1+ISBLANK(L1455)*1+ISBLANK(M1455)*1+ISBLANK(N1455)*1+ISBLANK(O1455)*1)&gt;0,"Missing Data","OK")</f>
        <v>OK</v>
      </c>
      <c r="V1455" s="0" t="str">
        <f aca="false">IF(T1455&gt;=6,"High Risk",IF(T1455&gt;=3,"Medium Risk","Low Risk"))</f>
        <v>Medium Risk</v>
      </c>
    </row>
    <row r="1456" customFormat="false" ht="12.8" hidden="false" customHeight="false" outlineLevel="0" collapsed="false">
      <c r="A1456" s="1" t="s">
        <v>1486</v>
      </c>
      <c r="B1456" s="1" t="s">
        <v>36</v>
      </c>
      <c r="C1456" s="1" t="s">
        <v>51</v>
      </c>
      <c r="D1456" s="1" t="n">
        <v>9.91</v>
      </c>
      <c r="E1456" s="1" t="n">
        <v>2</v>
      </c>
      <c r="F1456" s="4" t="n">
        <v>45774</v>
      </c>
      <c r="G1456" s="1" t="s">
        <v>25</v>
      </c>
      <c r="H1456" s="1" t="n">
        <v>1</v>
      </c>
      <c r="I1456" s="1" t="n">
        <v>65.3</v>
      </c>
      <c r="J1456" s="1" t="n">
        <v>15</v>
      </c>
      <c r="K1456" s="1" t="n">
        <v>6</v>
      </c>
      <c r="L1456" s="1" t="n">
        <v>1</v>
      </c>
      <c r="M1456" s="1" t="n">
        <v>0</v>
      </c>
      <c r="N1456" s="1" t="n">
        <v>19.82</v>
      </c>
      <c r="O1456" s="1" t="n">
        <v>1</v>
      </c>
      <c r="P1456" s="4" t="n">
        <v>45834</v>
      </c>
      <c r="Q1456" s="4" t="n">
        <v>45834</v>
      </c>
      <c r="R1456" s="0" t="n">
        <f aca="false">IF(ISBLANK(F1456),"Missing",IFERROR(YEAR(F1456),"Missing"))</f>
        <v>2025</v>
      </c>
      <c r="S1456" s="0" t="str">
        <f aca="false">IF(ISBLANK(E1456),"Missing",IF(E1456&lt;6,"0-6mo",IF(E1456&lt;12,"6-12mo",IF(E1456&lt;24,"12-24mo","24mo+"))))</f>
        <v>0-6mo</v>
      </c>
      <c r="T1456" s="0" t="n">
        <f aca="false">IF(ISBLANK(C1456),0,IF(C1456="Month-to-month",2,IF(C1456="One year",1,0)))+IF(ISBLANK(I1456),0,IF(I1456&lt;40,2,IF(I1456&lt;55,1,0)))+IF(ISBLANK(M1456),0,IF(M1456=1,3,0))+IF(ISBLANK(L1456),0,IF(L1456&gt;=2,1,0))+IF(ISBLANK(E1456),0,IF(E1456&lt;12,1,0))</f>
        <v>1</v>
      </c>
      <c r="U1456" s="0" t="str">
        <f aca="false">IF((ISBLANK(B1456)*1+ISBLANK(C1456)*1+ISBLANK(D1456)*1+ISBLANK(E1456)*1+ISBLANK(F1456)*1+ISBLANK(I1456)*1+ISBLANK(J1456)*1+ISBLANK(K1456)*1+ISBLANK(L1456)*1+ISBLANK(M1456)*1+ISBLANK(N1456)*1+ISBLANK(O1456)*1)&gt;0,"Missing Data","OK")</f>
        <v>OK</v>
      </c>
      <c r="V1456" s="0" t="str">
        <f aca="false">IF(T1456&gt;=6,"High Risk",IF(T1456&gt;=3,"Medium Risk","Low Risk"))</f>
        <v>Low Risk</v>
      </c>
    </row>
    <row r="1457" customFormat="false" ht="12.8" hidden="false" customHeight="false" outlineLevel="0" collapsed="false">
      <c r="A1457" s="1" t="s">
        <v>1487</v>
      </c>
      <c r="B1457" s="1" t="s">
        <v>36</v>
      </c>
      <c r="C1457" s="1" t="s">
        <v>34</v>
      </c>
      <c r="D1457" s="1" t="n">
        <v>11.19</v>
      </c>
      <c r="E1457" s="1" t="n">
        <v>10</v>
      </c>
      <c r="F1457" s="4" t="n">
        <v>45774</v>
      </c>
      <c r="G1457" s="1" t="s">
        <v>25</v>
      </c>
      <c r="H1457" s="1" t="n">
        <v>0</v>
      </c>
      <c r="I1457" s="1" t="n">
        <v>83.7</v>
      </c>
      <c r="J1457" s="1" t="n">
        <v>23</v>
      </c>
      <c r="K1457" s="1" t="n">
        <v>8</v>
      </c>
      <c r="L1457" s="1" t="n">
        <v>4</v>
      </c>
      <c r="M1457" s="1" t="n">
        <v>0</v>
      </c>
      <c r="N1457" s="1" t="n">
        <v>111.9</v>
      </c>
      <c r="O1457" s="1" t="n">
        <v>0</v>
      </c>
      <c r="Q1457" s="4" t="n">
        <v>46078</v>
      </c>
      <c r="R1457" s="0" t="n">
        <f aca="false">IF(ISBLANK(F1457),"Missing",IFERROR(YEAR(F1457),"Missing"))</f>
        <v>2025</v>
      </c>
      <c r="S1457" s="0" t="str">
        <f aca="false">IF(ISBLANK(E1457),"Missing",IF(E1457&lt;6,"0-6mo",IF(E1457&lt;12,"6-12mo",IF(E1457&lt;24,"12-24mo","24mo+"))))</f>
        <v>6-12mo</v>
      </c>
      <c r="T1457" s="0" t="n">
        <f aca="false">IF(ISBLANK(C1457),0,IF(C1457="Month-to-month",2,IF(C1457="One year",1,0)))+IF(ISBLANK(I1457),0,IF(I1457&lt;40,2,IF(I1457&lt;55,1,0)))+IF(ISBLANK(M1457),0,IF(M1457=1,3,0))+IF(ISBLANK(L1457),0,IF(L1457&gt;=2,1,0))+IF(ISBLANK(E1457),0,IF(E1457&lt;12,1,0))</f>
        <v>3</v>
      </c>
      <c r="U1457" s="0" t="str">
        <f aca="false">IF((ISBLANK(B1457)*1+ISBLANK(C1457)*1+ISBLANK(D1457)*1+ISBLANK(E1457)*1+ISBLANK(F1457)*1+ISBLANK(I1457)*1+ISBLANK(J1457)*1+ISBLANK(K1457)*1+ISBLANK(L1457)*1+ISBLANK(M1457)*1+ISBLANK(N1457)*1+ISBLANK(O1457)*1)&gt;0,"Missing Data","OK")</f>
        <v>OK</v>
      </c>
      <c r="V1457" s="0" t="str">
        <f aca="false">IF(T1457&gt;=6,"High Risk",IF(T1457&gt;=3,"Medium Risk","Low Risk"))</f>
        <v>Medium Risk</v>
      </c>
    </row>
    <row r="1458" customFormat="false" ht="12.8" hidden="false" customHeight="false" outlineLevel="0" collapsed="false">
      <c r="A1458" s="1" t="s">
        <v>1488</v>
      </c>
      <c r="B1458" s="1" t="s">
        <v>23</v>
      </c>
      <c r="C1458" s="1" t="s">
        <v>34</v>
      </c>
      <c r="D1458" s="1" t="n">
        <v>19.7</v>
      </c>
      <c r="E1458" s="1" t="n">
        <v>66</v>
      </c>
      <c r="F1458" s="4" t="n">
        <v>45775</v>
      </c>
      <c r="G1458" s="1" t="s">
        <v>27</v>
      </c>
      <c r="H1458" s="1" t="n">
        <v>0</v>
      </c>
      <c r="I1458" s="1" t="n">
        <v>47.3</v>
      </c>
      <c r="J1458" s="1" t="n">
        <v>14</v>
      </c>
      <c r="K1458" s="1" t="n">
        <v>5</v>
      </c>
      <c r="L1458" s="1" t="n">
        <v>0</v>
      </c>
      <c r="M1458" s="1" t="n">
        <v>0</v>
      </c>
      <c r="N1458" s="1" t="n">
        <v>1300.2</v>
      </c>
      <c r="O1458" s="1" t="n">
        <v>0</v>
      </c>
      <c r="Q1458" s="4" t="n">
        <v>46293</v>
      </c>
      <c r="R1458" s="0" t="n">
        <f aca="false">IF(ISBLANK(F1458),"Missing",IFERROR(YEAR(F1458),"Missing"))</f>
        <v>2025</v>
      </c>
      <c r="S1458" s="0" t="str">
        <f aca="false">IF(ISBLANK(E1458),"Missing",IF(E1458&lt;6,"0-6mo",IF(E1458&lt;12,"6-12mo",IF(E1458&lt;24,"12-24mo","24mo+"))))</f>
        <v>24mo+</v>
      </c>
      <c r="T1458" s="0" t="n">
        <f aca="false">IF(ISBLANK(C1458),0,IF(C1458="Month-to-month",2,IF(C1458="One year",1,0)))+IF(ISBLANK(I1458),0,IF(I1458&lt;40,2,IF(I1458&lt;55,1,0)))+IF(ISBLANK(M1458),0,IF(M1458=1,3,0))+IF(ISBLANK(L1458),0,IF(L1458&gt;=2,1,0))+IF(ISBLANK(E1458),0,IF(E1458&lt;12,1,0))</f>
        <v>2</v>
      </c>
      <c r="U1458" s="0" t="str">
        <f aca="false">IF((ISBLANK(B1458)*1+ISBLANK(C1458)*1+ISBLANK(D1458)*1+ISBLANK(E1458)*1+ISBLANK(F1458)*1+ISBLANK(I1458)*1+ISBLANK(J1458)*1+ISBLANK(K1458)*1+ISBLANK(L1458)*1+ISBLANK(M1458)*1+ISBLANK(N1458)*1+ISBLANK(O1458)*1)&gt;0,"Missing Data","OK")</f>
        <v>OK</v>
      </c>
      <c r="V1458" s="0" t="str">
        <f aca="false">IF(T1458&gt;=6,"High Risk",IF(T1458&gt;=3,"Medium Risk","Low Risk"))</f>
        <v>Low Risk</v>
      </c>
    </row>
    <row r="1459" customFormat="false" ht="12.8" hidden="false" customHeight="false" outlineLevel="0" collapsed="false">
      <c r="A1459" s="1" t="s">
        <v>1489</v>
      </c>
      <c r="B1459" s="1" t="s">
        <v>36</v>
      </c>
      <c r="C1459" s="1" t="s">
        <v>51</v>
      </c>
      <c r="D1459" s="1" t="n">
        <v>11.08</v>
      </c>
      <c r="E1459" s="1" t="n">
        <v>11</v>
      </c>
      <c r="F1459" s="4" t="n">
        <v>45775</v>
      </c>
      <c r="G1459" s="1" t="s">
        <v>25</v>
      </c>
      <c r="H1459" s="1" t="n">
        <v>0</v>
      </c>
      <c r="I1459" s="1" t="n">
        <v>69.1</v>
      </c>
      <c r="J1459" s="1" t="n">
        <v>21</v>
      </c>
      <c r="K1459" s="1" t="n">
        <v>7</v>
      </c>
      <c r="L1459" s="1" t="n">
        <v>0</v>
      </c>
      <c r="M1459" s="1" t="n">
        <v>0</v>
      </c>
      <c r="N1459" s="1" t="n">
        <v>121.88</v>
      </c>
      <c r="O1459" s="1" t="n">
        <v>0</v>
      </c>
      <c r="Q1459" s="4" t="n">
        <v>46109</v>
      </c>
      <c r="R1459" s="0" t="n">
        <f aca="false">IF(ISBLANK(F1459),"Missing",IFERROR(YEAR(F1459),"Missing"))</f>
        <v>2025</v>
      </c>
      <c r="S1459" s="0" t="str">
        <f aca="false">IF(ISBLANK(E1459),"Missing",IF(E1459&lt;6,"0-6mo",IF(E1459&lt;12,"6-12mo",IF(E1459&lt;24,"12-24mo","24mo+"))))</f>
        <v>6-12mo</v>
      </c>
      <c r="T1459" s="0" t="n">
        <f aca="false">IF(ISBLANK(C1459),0,IF(C1459="Month-to-month",2,IF(C1459="One year",1,0)))+IF(ISBLANK(I1459),0,IF(I1459&lt;40,2,IF(I1459&lt;55,1,0)))+IF(ISBLANK(M1459),0,IF(M1459=1,3,0))+IF(ISBLANK(L1459),0,IF(L1459&gt;=2,1,0))+IF(ISBLANK(E1459),0,IF(E1459&lt;12,1,0))</f>
        <v>1</v>
      </c>
      <c r="U1459" s="0" t="str">
        <f aca="false">IF((ISBLANK(B1459)*1+ISBLANK(C1459)*1+ISBLANK(D1459)*1+ISBLANK(E1459)*1+ISBLANK(F1459)*1+ISBLANK(I1459)*1+ISBLANK(J1459)*1+ISBLANK(K1459)*1+ISBLANK(L1459)*1+ISBLANK(M1459)*1+ISBLANK(N1459)*1+ISBLANK(O1459)*1)&gt;0,"Missing Data","OK")</f>
        <v>OK</v>
      </c>
      <c r="V1459" s="0" t="str">
        <f aca="false">IF(T1459&gt;=6,"High Risk",IF(T1459&gt;=3,"Medium Risk","Low Risk"))</f>
        <v>Low Risk</v>
      </c>
    </row>
    <row r="1460" customFormat="false" ht="12.8" hidden="false" customHeight="false" outlineLevel="0" collapsed="false">
      <c r="A1460" s="1" t="s">
        <v>1490</v>
      </c>
      <c r="B1460" s="1" t="s">
        <v>36</v>
      </c>
      <c r="C1460" s="1" t="s">
        <v>24</v>
      </c>
      <c r="D1460" s="1" t="n">
        <v>11.31</v>
      </c>
      <c r="E1460" s="1" t="n">
        <v>26</v>
      </c>
      <c r="F1460" s="4" t="n">
        <v>45776</v>
      </c>
      <c r="G1460" s="1" t="s">
        <v>25</v>
      </c>
      <c r="H1460" s="1" t="n">
        <v>0</v>
      </c>
      <c r="I1460" s="1" t="n">
        <v>77.5</v>
      </c>
      <c r="J1460" s="1" t="n">
        <v>32</v>
      </c>
      <c r="K1460" s="1" t="n">
        <v>9</v>
      </c>
      <c r="L1460" s="1" t="n">
        <v>3</v>
      </c>
      <c r="M1460" s="1" t="n">
        <v>0</v>
      </c>
      <c r="N1460" s="1" t="n">
        <v>294.06</v>
      </c>
      <c r="O1460" s="1" t="n">
        <v>0</v>
      </c>
      <c r="Q1460" s="4" t="n">
        <v>46293</v>
      </c>
      <c r="R1460" s="0" t="n">
        <f aca="false">IF(ISBLANK(F1460),"Missing",IFERROR(YEAR(F1460),"Missing"))</f>
        <v>2025</v>
      </c>
      <c r="S1460" s="0" t="str">
        <f aca="false">IF(ISBLANK(E1460),"Missing",IF(E1460&lt;6,"0-6mo",IF(E1460&lt;12,"6-12mo",IF(E1460&lt;24,"12-24mo","24mo+"))))</f>
        <v>24mo+</v>
      </c>
      <c r="T1460" s="0" t="n">
        <f aca="false">IF(ISBLANK(C1460),0,IF(C1460="Month-to-month",2,IF(C1460="One year",1,0)))+IF(ISBLANK(I1460),0,IF(I1460&lt;40,2,IF(I1460&lt;55,1,0)))+IF(ISBLANK(M1460),0,IF(M1460=1,3,0))+IF(ISBLANK(L1460),0,IF(L1460&gt;=2,1,0))+IF(ISBLANK(E1460),0,IF(E1460&lt;12,1,0))</f>
        <v>3</v>
      </c>
      <c r="U1460" s="0" t="str">
        <f aca="false">IF((ISBLANK(B1460)*1+ISBLANK(C1460)*1+ISBLANK(D1460)*1+ISBLANK(E1460)*1+ISBLANK(F1460)*1+ISBLANK(I1460)*1+ISBLANK(J1460)*1+ISBLANK(K1460)*1+ISBLANK(L1460)*1+ISBLANK(M1460)*1+ISBLANK(N1460)*1+ISBLANK(O1460)*1)&gt;0,"Missing Data","OK")</f>
        <v>OK</v>
      </c>
      <c r="V1460" s="0" t="str">
        <f aca="false">IF(T1460&gt;=6,"High Risk",IF(T1460&gt;=3,"Medium Risk","Low Risk"))</f>
        <v>Medium Risk</v>
      </c>
    </row>
    <row r="1461" customFormat="false" ht="12.8" hidden="false" customHeight="false" outlineLevel="0" collapsed="false">
      <c r="A1461" s="1" t="s">
        <v>1491</v>
      </c>
      <c r="B1461" s="1" t="s">
        <v>36</v>
      </c>
      <c r="C1461" s="1" t="s">
        <v>51</v>
      </c>
      <c r="D1461" s="1" t="n">
        <v>10.26</v>
      </c>
      <c r="E1461" s="1" t="n">
        <v>44</v>
      </c>
      <c r="F1461" s="4" t="n">
        <v>45778</v>
      </c>
      <c r="G1461" s="1" t="s">
        <v>25</v>
      </c>
      <c r="H1461" s="1" t="n">
        <v>1</v>
      </c>
      <c r="I1461" s="1" t="n">
        <v>57.8</v>
      </c>
      <c r="J1461" s="1" t="n">
        <v>16</v>
      </c>
      <c r="K1461" s="1" t="n">
        <v>6</v>
      </c>
      <c r="L1461" s="1" t="n">
        <v>1</v>
      </c>
      <c r="M1461" s="1" t="n">
        <v>1</v>
      </c>
      <c r="N1461" s="1" t="n">
        <v>451.44</v>
      </c>
      <c r="O1461" s="1" t="n">
        <v>0</v>
      </c>
      <c r="Q1461" s="4" t="n">
        <v>46293</v>
      </c>
      <c r="R1461" s="0" t="n">
        <f aca="false">IF(ISBLANK(F1461),"Missing",IFERROR(YEAR(F1461),"Missing"))</f>
        <v>2025</v>
      </c>
      <c r="S1461" s="0" t="str">
        <f aca="false">IF(ISBLANK(E1461),"Missing",IF(E1461&lt;6,"0-6mo",IF(E1461&lt;12,"6-12mo",IF(E1461&lt;24,"12-24mo","24mo+"))))</f>
        <v>24mo+</v>
      </c>
      <c r="T1461" s="0" t="n">
        <f aca="false">IF(ISBLANK(C1461),0,IF(C1461="Month-to-month",2,IF(C1461="One year",1,0)))+IF(ISBLANK(I1461),0,IF(I1461&lt;40,2,IF(I1461&lt;55,1,0)))+IF(ISBLANK(M1461),0,IF(M1461=1,3,0))+IF(ISBLANK(L1461),0,IF(L1461&gt;=2,1,0))+IF(ISBLANK(E1461),0,IF(E1461&lt;12,1,0))</f>
        <v>3</v>
      </c>
      <c r="U1461" s="0" t="str">
        <f aca="false">IF((ISBLANK(B1461)*1+ISBLANK(C1461)*1+ISBLANK(D1461)*1+ISBLANK(E1461)*1+ISBLANK(F1461)*1+ISBLANK(I1461)*1+ISBLANK(J1461)*1+ISBLANK(K1461)*1+ISBLANK(L1461)*1+ISBLANK(M1461)*1+ISBLANK(N1461)*1+ISBLANK(O1461)*1)&gt;0,"Missing Data","OK")</f>
        <v>OK</v>
      </c>
      <c r="V1461" s="0" t="str">
        <f aca="false">IF(T1461&gt;=6,"High Risk",IF(T1461&gt;=3,"Medium Risk","Low Risk"))</f>
        <v>Medium Risk</v>
      </c>
    </row>
    <row r="1462" customFormat="false" ht="12.8" hidden="false" customHeight="false" outlineLevel="0" collapsed="false">
      <c r="A1462" s="1" t="s">
        <v>1492</v>
      </c>
      <c r="B1462" s="1" t="s">
        <v>23</v>
      </c>
      <c r="C1462" s="1" t="s">
        <v>51</v>
      </c>
      <c r="D1462" s="1" t="n">
        <v>20.66</v>
      </c>
      <c r="E1462" s="1" t="n">
        <v>11</v>
      </c>
      <c r="F1462" s="4" t="n">
        <v>45780</v>
      </c>
      <c r="G1462" s="1" t="s">
        <v>25</v>
      </c>
      <c r="H1462" s="1" t="n">
        <v>1</v>
      </c>
      <c r="I1462" s="1" t="n">
        <v>81.2</v>
      </c>
      <c r="J1462" s="1" t="n">
        <v>24</v>
      </c>
      <c r="K1462" s="1" t="n">
        <v>9</v>
      </c>
      <c r="L1462" s="1" t="n">
        <v>1</v>
      </c>
      <c r="M1462" s="1" t="n">
        <v>1</v>
      </c>
      <c r="N1462" s="1" t="n">
        <v>227.26</v>
      </c>
      <c r="O1462" s="1" t="n">
        <v>0</v>
      </c>
      <c r="Q1462" s="4" t="n">
        <v>46114</v>
      </c>
      <c r="R1462" s="0" t="n">
        <f aca="false">IF(ISBLANK(F1462),"Missing",IFERROR(YEAR(F1462),"Missing"))</f>
        <v>2025</v>
      </c>
      <c r="S1462" s="0" t="str">
        <f aca="false">IF(ISBLANK(E1462),"Missing",IF(E1462&lt;6,"0-6mo",IF(E1462&lt;12,"6-12mo",IF(E1462&lt;24,"12-24mo","24mo+"))))</f>
        <v>6-12mo</v>
      </c>
      <c r="T1462" s="0" t="n">
        <f aca="false">IF(ISBLANK(C1462),0,IF(C1462="Month-to-month",2,IF(C1462="One year",1,0)))+IF(ISBLANK(I1462),0,IF(I1462&lt;40,2,IF(I1462&lt;55,1,0)))+IF(ISBLANK(M1462),0,IF(M1462=1,3,0))+IF(ISBLANK(L1462),0,IF(L1462&gt;=2,1,0))+IF(ISBLANK(E1462),0,IF(E1462&lt;12,1,0))</f>
        <v>4</v>
      </c>
      <c r="U1462" s="0" t="str">
        <f aca="false">IF((ISBLANK(B1462)*1+ISBLANK(C1462)*1+ISBLANK(D1462)*1+ISBLANK(E1462)*1+ISBLANK(F1462)*1+ISBLANK(I1462)*1+ISBLANK(J1462)*1+ISBLANK(K1462)*1+ISBLANK(L1462)*1+ISBLANK(M1462)*1+ISBLANK(N1462)*1+ISBLANK(O1462)*1)&gt;0,"Missing Data","OK")</f>
        <v>OK</v>
      </c>
      <c r="V1462" s="0" t="str">
        <f aca="false">IF(T1462&gt;=6,"High Risk",IF(T1462&gt;=3,"Medium Risk","Low Risk"))</f>
        <v>Medium Risk</v>
      </c>
    </row>
    <row r="1463" customFormat="false" ht="12.8" hidden="false" customHeight="false" outlineLevel="0" collapsed="false">
      <c r="A1463" s="1" t="s">
        <v>1493</v>
      </c>
      <c r="B1463" s="1" t="s">
        <v>36</v>
      </c>
      <c r="C1463" s="1" t="s">
        <v>24</v>
      </c>
      <c r="D1463" s="1" t="n">
        <v>9.94</v>
      </c>
      <c r="E1463" s="1" t="n">
        <v>72</v>
      </c>
      <c r="F1463" s="4" t="n">
        <v>45781</v>
      </c>
      <c r="G1463" s="1" t="s">
        <v>25</v>
      </c>
      <c r="H1463" s="1" t="n">
        <v>1</v>
      </c>
      <c r="I1463" s="1" t="n">
        <v>38.9</v>
      </c>
      <c r="J1463" s="1" t="n">
        <v>14</v>
      </c>
      <c r="K1463" s="1" t="n">
        <v>5</v>
      </c>
      <c r="L1463" s="1" t="n">
        <v>0</v>
      </c>
      <c r="M1463" s="1" t="n">
        <v>0</v>
      </c>
      <c r="N1463" s="1" t="n">
        <v>715.68</v>
      </c>
      <c r="O1463" s="1" t="n">
        <v>0</v>
      </c>
      <c r="Q1463" s="4" t="n">
        <v>46293</v>
      </c>
      <c r="R1463" s="0" t="n">
        <f aca="false">IF(ISBLANK(F1463),"Missing",IFERROR(YEAR(F1463),"Missing"))</f>
        <v>2025</v>
      </c>
      <c r="S1463" s="0" t="str">
        <f aca="false">IF(ISBLANK(E1463),"Missing",IF(E1463&lt;6,"0-6mo",IF(E1463&lt;12,"6-12mo",IF(E1463&lt;24,"12-24mo","24mo+"))))</f>
        <v>24mo+</v>
      </c>
      <c r="T1463" s="0" t="n">
        <f aca="false">IF(ISBLANK(C1463),0,IF(C1463="Month-to-month",2,IF(C1463="One year",1,0)))+IF(ISBLANK(I1463),0,IF(I1463&lt;40,2,IF(I1463&lt;55,1,0)))+IF(ISBLANK(M1463),0,IF(M1463=1,3,0))+IF(ISBLANK(L1463),0,IF(L1463&gt;=2,1,0))+IF(ISBLANK(E1463),0,IF(E1463&lt;12,1,0))</f>
        <v>4</v>
      </c>
      <c r="U1463" s="0" t="str">
        <f aca="false">IF((ISBLANK(B1463)*1+ISBLANK(C1463)*1+ISBLANK(D1463)*1+ISBLANK(E1463)*1+ISBLANK(F1463)*1+ISBLANK(I1463)*1+ISBLANK(J1463)*1+ISBLANK(K1463)*1+ISBLANK(L1463)*1+ISBLANK(M1463)*1+ISBLANK(N1463)*1+ISBLANK(O1463)*1)&gt;0,"Missing Data","OK")</f>
        <v>OK</v>
      </c>
      <c r="V1463" s="0" t="str">
        <f aca="false">IF(T1463&gt;=6,"High Risk",IF(T1463&gt;=3,"Medium Risk","Low Risk"))</f>
        <v>Medium Risk</v>
      </c>
    </row>
    <row r="1464" customFormat="false" ht="12.8" hidden="false" customHeight="false" outlineLevel="0" collapsed="false">
      <c r="A1464" s="1" t="s">
        <v>1494</v>
      </c>
      <c r="B1464" s="1" t="s">
        <v>36</v>
      </c>
      <c r="C1464" s="1" t="s">
        <v>51</v>
      </c>
      <c r="D1464" s="1" t="n">
        <v>9.74</v>
      </c>
      <c r="E1464" s="1" t="n">
        <v>25</v>
      </c>
      <c r="F1464" s="4" t="n">
        <v>45783</v>
      </c>
      <c r="G1464" s="1" t="s">
        <v>25</v>
      </c>
      <c r="H1464" s="1" t="n">
        <v>1</v>
      </c>
      <c r="I1464" s="1" t="n">
        <v>37.7</v>
      </c>
      <c r="J1464" s="1" t="n">
        <v>15</v>
      </c>
      <c r="K1464" s="1" t="n">
        <v>5</v>
      </c>
      <c r="L1464" s="1" t="n">
        <v>0</v>
      </c>
      <c r="M1464" s="1" t="n">
        <v>0</v>
      </c>
      <c r="N1464" s="1" t="n">
        <v>243.5</v>
      </c>
      <c r="O1464" s="1" t="n">
        <v>0</v>
      </c>
      <c r="Q1464" s="4" t="n">
        <v>46293</v>
      </c>
      <c r="R1464" s="0" t="n">
        <f aca="false">IF(ISBLANK(F1464),"Missing",IFERROR(YEAR(F1464),"Missing"))</f>
        <v>2025</v>
      </c>
      <c r="S1464" s="0" t="str">
        <f aca="false">IF(ISBLANK(E1464),"Missing",IF(E1464&lt;6,"0-6mo",IF(E1464&lt;12,"6-12mo",IF(E1464&lt;24,"12-24mo","24mo+"))))</f>
        <v>24mo+</v>
      </c>
      <c r="T1464" s="0" t="n">
        <f aca="false">IF(ISBLANK(C1464),0,IF(C1464="Month-to-month",2,IF(C1464="One year",1,0)))+IF(ISBLANK(I1464),0,IF(I1464&lt;40,2,IF(I1464&lt;55,1,0)))+IF(ISBLANK(M1464),0,IF(M1464=1,3,0))+IF(ISBLANK(L1464),0,IF(L1464&gt;=2,1,0))+IF(ISBLANK(E1464),0,IF(E1464&lt;12,1,0))</f>
        <v>2</v>
      </c>
      <c r="U1464" s="0" t="str">
        <f aca="false">IF((ISBLANK(B1464)*1+ISBLANK(C1464)*1+ISBLANK(D1464)*1+ISBLANK(E1464)*1+ISBLANK(F1464)*1+ISBLANK(I1464)*1+ISBLANK(J1464)*1+ISBLANK(K1464)*1+ISBLANK(L1464)*1+ISBLANK(M1464)*1+ISBLANK(N1464)*1+ISBLANK(O1464)*1)&gt;0,"Missing Data","OK")</f>
        <v>OK</v>
      </c>
      <c r="V1464" s="0" t="str">
        <f aca="false">IF(T1464&gt;=6,"High Risk",IF(T1464&gt;=3,"Medium Risk","Low Risk"))</f>
        <v>Low Risk</v>
      </c>
    </row>
    <row r="1465" customFormat="false" ht="12.8" hidden="false" customHeight="false" outlineLevel="0" collapsed="false">
      <c r="A1465" s="1" t="s">
        <v>1495</v>
      </c>
      <c r="B1465" s="1" t="s">
        <v>36</v>
      </c>
      <c r="C1465" s="1" t="s">
        <v>34</v>
      </c>
      <c r="D1465" s="1" t="n">
        <v>9.55</v>
      </c>
      <c r="E1465" s="1" t="n">
        <v>33</v>
      </c>
      <c r="F1465" s="4" t="n">
        <v>45783</v>
      </c>
      <c r="G1465" s="1" t="s">
        <v>25</v>
      </c>
      <c r="H1465" s="1" t="n">
        <v>1</v>
      </c>
      <c r="I1465" s="1" t="n">
        <v>93.4</v>
      </c>
      <c r="J1465" s="1" t="n">
        <v>31</v>
      </c>
      <c r="K1465" s="1" t="n">
        <v>10</v>
      </c>
      <c r="L1465" s="1" t="n">
        <v>1</v>
      </c>
      <c r="M1465" s="1" t="n">
        <v>0</v>
      </c>
      <c r="N1465" s="1" t="n">
        <v>315.15</v>
      </c>
      <c r="O1465" s="1" t="n">
        <v>0</v>
      </c>
      <c r="Q1465" s="4" t="n">
        <v>46293</v>
      </c>
      <c r="R1465" s="0" t="n">
        <f aca="false">IF(ISBLANK(F1465),"Missing",IFERROR(YEAR(F1465),"Missing"))</f>
        <v>2025</v>
      </c>
      <c r="S1465" s="0" t="str">
        <f aca="false">IF(ISBLANK(E1465),"Missing",IF(E1465&lt;6,"0-6mo",IF(E1465&lt;12,"6-12mo",IF(E1465&lt;24,"12-24mo","24mo+"))))</f>
        <v>24mo+</v>
      </c>
      <c r="T1465" s="0" t="n">
        <f aca="false">IF(ISBLANK(C1465),0,IF(C1465="Month-to-month",2,IF(C1465="One year",1,0)))+IF(ISBLANK(I1465),0,IF(I1465&lt;40,2,IF(I1465&lt;55,1,0)))+IF(ISBLANK(M1465),0,IF(M1465=1,3,0))+IF(ISBLANK(L1465),0,IF(L1465&gt;=2,1,0))+IF(ISBLANK(E1465),0,IF(E1465&lt;12,1,0))</f>
        <v>1</v>
      </c>
      <c r="U1465" s="0" t="str">
        <f aca="false">IF((ISBLANK(B1465)*1+ISBLANK(C1465)*1+ISBLANK(D1465)*1+ISBLANK(E1465)*1+ISBLANK(F1465)*1+ISBLANK(I1465)*1+ISBLANK(J1465)*1+ISBLANK(K1465)*1+ISBLANK(L1465)*1+ISBLANK(M1465)*1+ISBLANK(N1465)*1+ISBLANK(O1465)*1)&gt;0,"Missing Data","OK")</f>
        <v>OK</v>
      </c>
      <c r="V1465" s="0" t="str">
        <f aca="false">IF(T1465&gt;=6,"High Risk",IF(T1465&gt;=3,"Medium Risk","Low Risk"))</f>
        <v>Low Risk</v>
      </c>
    </row>
    <row r="1466" customFormat="false" ht="12.8" hidden="false" customHeight="false" outlineLevel="0" collapsed="false">
      <c r="A1466" s="1" t="s">
        <v>1496</v>
      </c>
      <c r="B1466" s="1" t="s">
        <v>29</v>
      </c>
      <c r="C1466" s="1" t="s">
        <v>51</v>
      </c>
      <c r="D1466" s="1" t="n">
        <v>41.01</v>
      </c>
      <c r="E1466" s="1" t="n">
        <v>11</v>
      </c>
      <c r="F1466" s="4" t="n">
        <v>45783</v>
      </c>
      <c r="G1466" s="1" t="s">
        <v>25</v>
      </c>
      <c r="H1466" s="1" t="n">
        <v>0</v>
      </c>
      <c r="I1466" s="1" t="n">
        <v>62.9</v>
      </c>
      <c r="J1466" s="1" t="n">
        <v>18</v>
      </c>
      <c r="K1466" s="1" t="n">
        <v>7</v>
      </c>
      <c r="L1466" s="1" t="n">
        <v>0</v>
      </c>
      <c r="M1466" s="1" t="n">
        <v>0</v>
      </c>
      <c r="N1466" s="1" t="n">
        <v>451.11</v>
      </c>
      <c r="O1466" s="1" t="n">
        <v>0</v>
      </c>
      <c r="Q1466" s="4" t="n">
        <v>46117</v>
      </c>
      <c r="R1466" s="0" t="n">
        <f aca="false">IF(ISBLANK(F1466),"Missing",IFERROR(YEAR(F1466),"Missing"))</f>
        <v>2025</v>
      </c>
      <c r="S1466" s="0" t="str">
        <f aca="false">IF(ISBLANK(E1466),"Missing",IF(E1466&lt;6,"0-6mo",IF(E1466&lt;12,"6-12mo",IF(E1466&lt;24,"12-24mo","24mo+"))))</f>
        <v>6-12mo</v>
      </c>
      <c r="T1466" s="0" t="n">
        <f aca="false">IF(ISBLANK(C1466),0,IF(C1466="Month-to-month",2,IF(C1466="One year",1,0)))+IF(ISBLANK(I1466),0,IF(I1466&lt;40,2,IF(I1466&lt;55,1,0)))+IF(ISBLANK(M1466),0,IF(M1466=1,3,0))+IF(ISBLANK(L1466),0,IF(L1466&gt;=2,1,0))+IF(ISBLANK(E1466),0,IF(E1466&lt;12,1,0))</f>
        <v>1</v>
      </c>
      <c r="U1466" s="0" t="str">
        <f aca="false">IF((ISBLANK(B1466)*1+ISBLANK(C1466)*1+ISBLANK(D1466)*1+ISBLANK(E1466)*1+ISBLANK(F1466)*1+ISBLANK(I1466)*1+ISBLANK(J1466)*1+ISBLANK(K1466)*1+ISBLANK(L1466)*1+ISBLANK(M1466)*1+ISBLANK(N1466)*1+ISBLANK(O1466)*1)&gt;0,"Missing Data","OK")</f>
        <v>OK</v>
      </c>
      <c r="V1466" s="0" t="str">
        <f aca="false">IF(T1466&gt;=6,"High Risk",IF(T1466&gt;=3,"Medium Risk","Low Risk"))</f>
        <v>Low Risk</v>
      </c>
    </row>
    <row r="1467" customFormat="false" ht="12.8" hidden="false" customHeight="false" outlineLevel="0" collapsed="false">
      <c r="A1467" s="1" t="s">
        <v>1497</v>
      </c>
      <c r="B1467" s="1" t="s">
        <v>23</v>
      </c>
      <c r="C1467" s="1" t="s">
        <v>34</v>
      </c>
      <c r="D1467" s="1" t="n">
        <v>17.82</v>
      </c>
      <c r="E1467" s="1" t="n">
        <v>14</v>
      </c>
      <c r="F1467" s="4" t="n">
        <v>45787</v>
      </c>
      <c r="G1467" s="1" t="s">
        <v>39</v>
      </c>
      <c r="H1467" s="1" t="n">
        <v>1</v>
      </c>
      <c r="I1467" s="1" t="n">
        <v>49.7</v>
      </c>
      <c r="J1467" s="1" t="n">
        <v>7</v>
      </c>
      <c r="K1467" s="1" t="n">
        <v>3</v>
      </c>
      <c r="L1467" s="1" t="n">
        <v>2</v>
      </c>
      <c r="M1467" s="1" t="n">
        <v>0</v>
      </c>
      <c r="N1467" s="1" t="n">
        <v>249.48</v>
      </c>
      <c r="O1467" s="1" t="n">
        <v>0</v>
      </c>
      <c r="Q1467" s="4" t="n">
        <v>46213</v>
      </c>
      <c r="R1467" s="0" t="n">
        <f aca="false">IF(ISBLANK(F1467),"Missing",IFERROR(YEAR(F1467),"Missing"))</f>
        <v>2025</v>
      </c>
      <c r="S1467" s="0" t="str">
        <f aca="false">IF(ISBLANK(E1467),"Missing",IF(E1467&lt;6,"0-6mo",IF(E1467&lt;12,"6-12mo",IF(E1467&lt;24,"12-24mo","24mo+"))))</f>
        <v>12-24mo</v>
      </c>
      <c r="T1467" s="0" t="n">
        <f aca="false">IF(ISBLANK(C1467),0,IF(C1467="Month-to-month",2,IF(C1467="One year",1,0)))+IF(ISBLANK(I1467),0,IF(I1467&lt;40,2,IF(I1467&lt;55,1,0)))+IF(ISBLANK(M1467),0,IF(M1467=1,3,0))+IF(ISBLANK(L1467),0,IF(L1467&gt;=2,1,0))+IF(ISBLANK(E1467),0,IF(E1467&lt;12,1,0))</f>
        <v>3</v>
      </c>
      <c r="U1467" s="0" t="str">
        <f aca="false">IF((ISBLANK(B1467)*1+ISBLANK(C1467)*1+ISBLANK(D1467)*1+ISBLANK(E1467)*1+ISBLANK(F1467)*1+ISBLANK(I1467)*1+ISBLANK(J1467)*1+ISBLANK(K1467)*1+ISBLANK(L1467)*1+ISBLANK(M1467)*1+ISBLANK(N1467)*1+ISBLANK(O1467)*1)&gt;0,"Missing Data","OK")</f>
        <v>OK</v>
      </c>
      <c r="V1467" s="0" t="str">
        <f aca="false">IF(T1467&gt;=6,"High Risk",IF(T1467&gt;=3,"Medium Risk","Low Risk"))</f>
        <v>Medium Risk</v>
      </c>
    </row>
    <row r="1468" customFormat="false" ht="12.8" hidden="false" customHeight="false" outlineLevel="0" collapsed="false">
      <c r="A1468" s="1" t="s">
        <v>1498</v>
      </c>
      <c r="B1468" s="1" t="s">
        <v>29</v>
      </c>
      <c r="C1468" s="1" t="s">
        <v>24</v>
      </c>
      <c r="D1468" s="1" t="n">
        <v>38.97</v>
      </c>
      <c r="E1468" s="1" t="n">
        <v>11</v>
      </c>
      <c r="F1468" s="4" t="n">
        <v>45788</v>
      </c>
      <c r="G1468" s="1" t="s">
        <v>39</v>
      </c>
      <c r="H1468" s="1" t="n">
        <v>1</v>
      </c>
      <c r="I1468" s="1" t="n">
        <v>68.7</v>
      </c>
      <c r="J1468" s="1" t="n">
        <v>21</v>
      </c>
      <c r="K1468" s="1" t="n">
        <v>6</v>
      </c>
      <c r="L1468" s="1" t="n">
        <v>0</v>
      </c>
      <c r="M1468" s="1" t="n">
        <v>0</v>
      </c>
      <c r="N1468" s="1" t="n">
        <v>428.67</v>
      </c>
      <c r="O1468" s="1" t="n">
        <v>0</v>
      </c>
      <c r="Q1468" s="4" t="n">
        <v>46122</v>
      </c>
      <c r="R1468" s="0" t="n">
        <f aca="false">IF(ISBLANK(F1468),"Missing",IFERROR(YEAR(F1468),"Missing"))</f>
        <v>2025</v>
      </c>
      <c r="S1468" s="0" t="str">
        <f aca="false">IF(ISBLANK(E1468),"Missing",IF(E1468&lt;6,"0-6mo",IF(E1468&lt;12,"6-12mo",IF(E1468&lt;24,"12-24mo","24mo+"))))</f>
        <v>6-12mo</v>
      </c>
      <c r="T1468" s="0" t="n">
        <f aca="false">IF(ISBLANK(C1468),0,IF(C1468="Month-to-month",2,IF(C1468="One year",1,0)))+IF(ISBLANK(I1468),0,IF(I1468&lt;40,2,IF(I1468&lt;55,1,0)))+IF(ISBLANK(M1468),0,IF(M1468=1,3,0))+IF(ISBLANK(L1468),0,IF(L1468&gt;=2,1,0))+IF(ISBLANK(E1468),0,IF(E1468&lt;12,1,0))</f>
        <v>3</v>
      </c>
      <c r="U1468" s="0" t="str">
        <f aca="false">IF((ISBLANK(B1468)*1+ISBLANK(C1468)*1+ISBLANK(D1468)*1+ISBLANK(E1468)*1+ISBLANK(F1468)*1+ISBLANK(I1468)*1+ISBLANK(J1468)*1+ISBLANK(K1468)*1+ISBLANK(L1468)*1+ISBLANK(M1468)*1+ISBLANK(N1468)*1+ISBLANK(O1468)*1)&gt;0,"Missing Data","OK")</f>
        <v>OK</v>
      </c>
      <c r="V1468" s="0" t="str">
        <f aca="false">IF(T1468&gt;=6,"High Risk",IF(T1468&gt;=3,"Medium Risk","Low Risk"))</f>
        <v>Medium Risk</v>
      </c>
    </row>
    <row r="1469" customFormat="false" ht="12.8" hidden="false" customHeight="false" outlineLevel="0" collapsed="false">
      <c r="A1469" s="1" t="s">
        <v>1499</v>
      </c>
      <c r="B1469" s="1" t="s">
        <v>36</v>
      </c>
      <c r="C1469" s="1" t="s">
        <v>24</v>
      </c>
      <c r="D1469" s="1" t="n">
        <v>11.16</v>
      </c>
      <c r="E1469" s="1" t="n">
        <v>50</v>
      </c>
      <c r="F1469" s="4" t="n">
        <v>45789</v>
      </c>
      <c r="G1469" s="1" t="s">
        <v>30</v>
      </c>
      <c r="H1469" s="1" t="n">
        <v>1</v>
      </c>
      <c r="I1469" s="1" t="n">
        <v>14.4</v>
      </c>
      <c r="J1469" s="1" t="n">
        <v>2</v>
      </c>
      <c r="K1469" s="1" t="n">
        <v>1</v>
      </c>
      <c r="L1469" s="1" t="n">
        <v>2</v>
      </c>
      <c r="M1469" s="1" t="n">
        <v>0</v>
      </c>
      <c r="N1469" s="1" t="n">
        <v>558</v>
      </c>
      <c r="O1469" s="1" t="n">
        <v>0</v>
      </c>
      <c r="Q1469" s="4" t="n">
        <v>46293</v>
      </c>
      <c r="R1469" s="0" t="n">
        <f aca="false">IF(ISBLANK(F1469),"Missing",IFERROR(YEAR(F1469),"Missing"))</f>
        <v>2025</v>
      </c>
      <c r="S1469" s="0" t="str">
        <f aca="false">IF(ISBLANK(E1469),"Missing",IF(E1469&lt;6,"0-6mo",IF(E1469&lt;12,"6-12mo",IF(E1469&lt;24,"12-24mo","24mo+"))))</f>
        <v>24mo+</v>
      </c>
      <c r="T1469" s="0" t="n">
        <f aca="false">IF(ISBLANK(C1469),0,IF(C1469="Month-to-month",2,IF(C1469="One year",1,0)))+IF(ISBLANK(I1469),0,IF(I1469&lt;40,2,IF(I1469&lt;55,1,0)))+IF(ISBLANK(M1469),0,IF(M1469=1,3,0))+IF(ISBLANK(L1469),0,IF(L1469&gt;=2,1,0))+IF(ISBLANK(E1469),0,IF(E1469&lt;12,1,0))</f>
        <v>5</v>
      </c>
      <c r="U1469" s="0" t="str">
        <f aca="false">IF((ISBLANK(B1469)*1+ISBLANK(C1469)*1+ISBLANK(D1469)*1+ISBLANK(E1469)*1+ISBLANK(F1469)*1+ISBLANK(I1469)*1+ISBLANK(J1469)*1+ISBLANK(K1469)*1+ISBLANK(L1469)*1+ISBLANK(M1469)*1+ISBLANK(N1469)*1+ISBLANK(O1469)*1)&gt;0,"Missing Data","OK")</f>
        <v>OK</v>
      </c>
      <c r="V1469" s="0" t="str">
        <f aca="false">IF(T1469&gt;=6,"High Risk",IF(T1469&gt;=3,"Medium Risk","Low Risk"))</f>
        <v>Medium Risk</v>
      </c>
    </row>
    <row r="1470" customFormat="false" ht="12.8" hidden="false" customHeight="false" outlineLevel="0" collapsed="false">
      <c r="A1470" s="1" t="s">
        <v>1500</v>
      </c>
      <c r="B1470" s="1" t="s">
        <v>36</v>
      </c>
      <c r="C1470" s="1" t="s">
        <v>51</v>
      </c>
      <c r="D1470" s="1" t="n">
        <v>9.01</v>
      </c>
      <c r="E1470" s="1" t="n">
        <v>20</v>
      </c>
      <c r="F1470" s="4" t="n">
        <v>45789</v>
      </c>
      <c r="G1470" s="1" t="s">
        <v>30</v>
      </c>
      <c r="H1470" s="1" t="n">
        <v>1</v>
      </c>
      <c r="I1470" s="1" t="n">
        <v>26.5</v>
      </c>
      <c r="J1470" s="1" t="n">
        <v>3</v>
      </c>
      <c r="K1470" s="1" t="n">
        <v>2</v>
      </c>
      <c r="L1470" s="1" t="n">
        <v>6</v>
      </c>
      <c r="M1470" s="1" t="n">
        <v>1</v>
      </c>
      <c r="N1470" s="1" t="n">
        <v>180.2</v>
      </c>
      <c r="O1470" s="1" t="n">
        <v>0</v>
      </c>
      <c r="Q1470" s="4" t="n">
        <v>46293</v>
      </c>
      <c r="R1470" s="0" t="n">
        <f aca="false">IF(ISBLANK(F1470),"Missing",IFERROR(YEAR(F1470),"Missing"))</f>
        <v>2025</v>
      </c>
      <c r="S1470" s="0" t="str">
        <f aca="false">IF(ISBLANK(E1470),"Missing",IF(E1470&lt;6,"0-6mo",IF(E1470&lt;12,"6-12mo",IF(E1470&lt;24,"12-24mo","24mo+"))))</f>
        <v>12-24mo</v>
      </c>
      <c r="T1470" s="0" t="n">
        <f aca="false">IF(ISBLANK(C1470),0,IF(C1470="Month-to-month",2,IF(C1470="One year",1,0)))+IF(ISBLANK(I1470),0,IF(I1470&lt;40,2,IF(I1470&lt;55,1,0)))+IF(ISBLANK(M1470),0,IF(M1470=1,3,0))+IF(ISBLANK(L1470),0,IF(L1470&gt;=2,1,0))+IF(ISBLANK(E1470),0,IF(E1470&lt;12,1,0))</f>
        <v>6</v>
      </c>
      <c r="U1470" s="0" t="str">
        <f aca="false">IF((ISBLANK(B1470)*1+ISBLANK(C1470)*1+ISBLANK(D1470)*1+ISBLANK(E1470)*1+ISBLANK(F1470)*1+ISBLANK(I1470)*1+ISBLANK(J1470)*1+ISBLANK(K1470)*1+ISBLANK(L1470)*1+ISBLANK(M1470)*1+ISBLANK(N1470)*1+ISBLANK(O1470)*1)&gt;0,"Missing Data","OK")</f>
        <v>OK</v>
      </c>
      <c r="V1470" s="0" t="str">
        <f aca="false">IF(T1470&gt;=6,"High Risk",IF(T1470&gt;=3,"Medium Risk","Low Risk"))</f>
        <v>High Risk</v>
      </c>
    </row>
    <row r="1471" customFormat="false" ht="12.8" hidden="false" customHeight="false" outlineLevel="0" collapsed="false">
      <c r="A1471" s="1" t="s">
        <v>1501</v>
      </c>
      <c r="B1471" s="1" t="s">
        <v>23</v>
      </c>
      <c r="C1471" s="1" t="s">
        <v>34</v>
      </c>
      <c r="D1471" s="1" t="n">
        <v>20.63</v>
      </c>
      <c r="E1471" s="1" t="n">
        <v>3</v>
      </c>
      <c r="F1471" s="4" t="n">
        <v>45789</v>
      </c>
      <c r="G1471" s="1" t="s">
        <v>30</v>
      </c>
      <c r="H1471" s="1" t="n">
        <v>0</v>
      </c>
      <c r="I1471" s="1" t="n">
        <v>94.1</v>
      </c>
      <c r="J1471" s="1" t="n">
        <v>28</v>
      </c>
      <c r="K1471" s="1" t="n">
        <v>10</v>
      </c>
      <c r="L1471" s="1" t="n">
        <v>0</v>
      </c>
      <c r="M1471" s="1" t="n">
        <v>0</v>
      </c>
      <c r="N1471" s="1" t="n">
        <v>61.89</v>
      </c>
      <c r="O1471" s="1" t="n">
        <v>0</v>
      </c>
      <c r="Q1471" s="4" t="n">
        <v>45880</v>
      </c>
      <c r="R1471" s="0" t="n">
        <f aca="false">IF(ISBLANK(F1471),"Missing",IFERROR(YEAR(F1471),"Missing"))</f>
        <v>2025</v>
      </c>
      <c r="S1471" s="0" t="str">
        <f aca="false">IF(ISBLANK(E1471),"Missing",IF(E1471&lt;6,"0-6mo",IF(E1471&lt;12,"6-12mo",IF(E1471&lt;24,"12-24mo","24mo+"))))</f>
        <v>0-6mo</v>
      </c>
      <c r="T1471" s="0" t="n">
        <f aca="false">IF(ISBLANK(C1471),0,IF(C1471="Month-to-month",2,IF(C1471="One year",1,0)))+IF(ISBLANK(I1471),0,IF(I1471&lt;40,2,IF(I1471&lt;55,1,0)))+IF(ISBLANK(M1471),0,IF(M1471=1,3,0))+IF(ISBLANK(L1471),0,IF(L1471&gt;=2,1,0))+IF(ISBLANK(E1471),0,IF(E1471&lt;12,1,0))</f>
        <v>2</v>
      </c>
      <c r="U1471" s="0" t="str">
        <f aca="false">IF((ISBLANK(B1471)*1+ISBLANK(C1471)*1+ISBLANK(D1471)*1+ISBLANK(E1471)*1+ISBLANK(F1471)*1+ISBLANK(I1471)*1+ISBLANK(J1471)*1+ISBLANK(K1471)*1+ISBLANK(L1471)*1+ISBLANK(M1471)*1+ISBLANK(N1471)*1+ISBLANK(O1471)*1)&gt;0,"Missing Data","OK")</f>
        <v>OK</v>
      </c>
      <c r="V1471" s="0" t="str">
        <f aca="false">IF(T1471&gt;=6,"High Risk",IF(T1471&gt;=3,"Medium Risk","Low Risk"))</f>
        <v>Low Risk</v>
      </c>
    </row>
    <row r="1472" customFormat="false" ht="12.8" hidden="false" customHeight="false" outlineLevel="0" collapsed="false">
      <c r="A1472" s="1" t="s">
        <v>1502</v>
      </c>
      <c r="B1472" s="1" t="s">
        <v>36</v>
      </c>
      <c r="C1472" s="1" t="s">
        <v>24</v>
      </c>
      <c r="D1472" s="1" t="n">
        <v>12.06</v>
      </c>
      <c r="E1472" s="1" t="n">
        <v>31</v>
      </c>
      <c r="F1472" s="4" t="n">
        <v>45790</v>
      </c>
      <c r="G1472" s="1" t="s">
        <v>25</v>
      </c>
      <c r="H1472" s="1" t="n">
        <v>0</v>
      </c>
      <c r="I1472" s="1" t="n">
        <v>58.9</v>
      </c>
      <c r="J1472" s="1" t="n">
        <v>22</v>
      </c>
      <c r="K1472" s="1" t="n">
        <v>8</v>
      </c>
      <c r="L1472" s="1" t="n">
        <v>1</v>
      </c>
      <c r="M1472" s="1" t="n">
        <v>0</v>
      </c>
      <c r="N1472" s="1" t="n">
        <v>373.86</v>
      </c>
      <c r="O1472" s="1" t="n">
        <v>0</v>
      </c>
      <c r="Q1472" s="4" t="n">
        <v>46293</v>
      </c>
      <c r="R1472" s="0" t="n">
        <f aca="false">IF(ISBLANK(F1472),"Missing",IFERROR(YEAR(F1472),"Missing"))</f>
        <v>2025</v>
      </c>
      <c r="S1472" s="0" t="str">
        <f aca="false">IF(ISBLANK(E1472),"Missing",IF(E1472&lt;6,"0-6mo",IF(E1472&lt;12,"6-12mo",IF(E1472&lt;24,"12-24mo","24mo+"))))</f>
        <v>24mo+</v>
      </c>
      <c r="T1472" s="0" t="n">
        <f aca="false">IF(ISBLANK(C1472),0,IF(C1472="Month-to-month",2,IF(C1472="One year",1,0)))+IF(ISBLANK(I1472),0,IF(I1472&lt;40,2,IF(I1472&lt;55,1,0)))+IF(ISBLANK(M1472),0,IF(M1472=1,3,0))+IF(ISBLANK(L1472),0,IF(L1472&gt;=2,1,0))+IF(ISBLANK(E1472),0,IF(E1472&lt;12,1,0))</f>
        <v>2</v>
      </c>
      <c r="U1472" s="0" t="str">
        <f aca="false">IF((ISBLANK(B1472)*1+ISBLANK(C1472)*1+ISBLANK(D1472)*1+ISBLANK(E1472)*1+ISBLANK(F1472)*1+ISBLANK(I1472)*1+ISBLANK(J1472)*1+ISBLANK(K1472)*1+ISBLANK(L1472)*1+ISBLANK(M1472)*1+ISBLANK(N1472)*1+ISBLANK(O1472)*1)&gt;0,"Missing Data","OK")</f>
        <v>OK</v>
      </c>
      <c r="V1472" s="0" t="str">
        <f aca="false">IF(T1472&gt;=6,"High Risk",IF(T1472&gt;=3,"Medium Risk","Low Risk"))</f>
        <v>Low Risk</v>
      </c>
    </row>
    <row r="1473" customFormat="false" ht="12.8" hidden="false" customHeight="false" outlineLevel="0" collapsed="false">
      <c r="A1473" s="1" t="s">
        <v>1503</v>
      </c>
      <c r="B1473" s="1" t="s">
        <v>36</v>
      </c>
      <c r="C1473" s="1" t="s">
        <v>34</v>
      </c>
      <c r="D1473" s="1" t="n">
        <v>10.57</v>
      </c>
      <c r="E1473" s="1" t="n">
        <v>9</v>
      </c>
      <c r="F1473" s="4" t="n">
        <v>45791</v>
      </c>
      <c r="G1473" s="1" t="s">
        <v>39</v>
      </c>
      <c r="H1473" s="1" t="n">
        <v>1</v>
      </c>
      <c r="I1473" s="1" t="n">
        <v>38.7</v>
      </c>
      <c r="J1473" s="1" t="n">
        <v>7</v>
      </c>
      <c r="K1473" s="1" t="n">
        <v>3</v>
      </c>
      <c r="L1473" s="1" t="n">
        <v>0</v>
      </c>
      <c r="M1473" s="1" t="n">
        <v>0</v>
      </c>
      <c r="N1473" s="1" t="n">
        <v>95.13</v>
      </c>
      <c r="O1473" s="1" t="n">
        <v>0</v>
      </c>
      <c r="Q1473" s="4" t="n">
        <v>46064</v>
      </c>
      <c r="R1473" s="0" t="n">
        <f aca="false">IF(ISBLANK(F1473),"Missing",IFERROR(YEAR(F1473),"Missing"))</f>
        <v>2025</v>
      </c>
      <c r="S1473" s="0" t="str">
        <f aca="false">IF(ISBLANK(E1473),"Missing",IF(E1473&lt;6,"0-6mo",IF(E1473&lt;12,"6-12mo",IF(E1473&lt;24,"12-24mo","24mo+"))))</f>
        <v>6-12mo</v>
      </c>
      <c r="T1473" s="0" t="n">
        <f aca="false">IF(ISBLANK(C1473),0,IF(C1473="Month-to-month",2,IF(C1473="One year",1,0)))+IF(ISBLANK(I1473),0,IF(I1473&lt;40,2,IF(I1473&lt;55,1,0)))+IF(ISBLANK(M1473),0,IF(M1473=1,3,0))+IF(ISBLANK(L1473),0,IF(L1473&gt;=2,1,0))+IF(ISBLANK(E1473),0,IF(E1473&lt;12,1,0))</f>
        <v>4</v>
      </c>
      <c r="U1473" s="0" t="str">
        <f aca="false">IF((ISBLANK(B1473)*1+ISBLANK(C1473)*1+ISBLANK(D1473)*1+ISBLANK(E1473)*1+ISBLANK(F1473)*1+ISBLANK(I1473)*1+ISBLANK(J1473)*1+ISBLANK(K1473)*1+ISBLANK(L1473)*1+ISBLANK(M1473)*1+ISBLANK(N1473)*1+ISBLANK(O1473)*1)&gt;0,"Missing Data","OK")</f>
        <v>OK</v>
      </c>
      <c r="V1473" s="0" t="str">
        <f aca="false">IF(T1473&gt;=6,"High Risk",IF(T1473&gt;=3,"Medium Risk","Low Risk"))</f>
        <v>Medium Risk</v>
      </c>
    </row>
    <row r="1474" customFormat="false" ht="12.8" hidden="false" customHeight="false" outlineLevel="0" collapsed="false">
      <c r="A1474" s="1" t="s">
        <v>1504</v>
      </c>
      <c r="B1474" s="1" t="s">
        <v>23</v>
      </c>
      <c r="C1474" s="1" t="s">
        <v>24</v>
      </c>
      <c r="D1474" s="1" t="n">
        <v>18.81</v>
      </c>
      <c r="E1474" s="1" t="n">
        <v>37</v>
      </c>
      <c r="F1474" s="4" t="n">
        <v>45792</v>
      </c>
      <c r="G1474" s="1" t="s">
        <v>27</v>
      </c>
      <c r="H1474" s="1" t="n">
        <v>1</v>
      </c>
      <c r="I1474" s="1" t="n">
        <v>93</v>
      </c>
      <c r="J1474" s="1" t="n">
        <v>24</v>
      </c>
      <c r="K1474" s="1" t="n">
        <v>10</v>
      </c>
      <c r="L1474" s="1" t="n">
        <v>0</v>
      </c>
      <c r="M1474" s="1" t="n">
        <v>0</v>
      </c>
      <c r="N1474" s="1" t="n">
        <v>695.97</v>
      </c>
      <c r="O1474" s="1" t="n">
        <v>0</v>
      </c>
      <c r="Q1474" s="4" t="n">
        <v>46293</v>
      </c>
      <c r="R1474" s="0" t="n">
        <f aca="false">IF(ISBLANK(F1474),"Missing",IFERROR(YEAR(F1474),"Missing"))</f>
        <v>2025</v>
      </c>
      <c r="S1474" s="0" t="str">
        <f aca="false">IF(ISBLANK(E1474),"Missing",IF(E1474&lt;6,"0-6mo",IF(E1474&lt;12,"6-12mo",IF(E1474&lt;24,"12-24mo","24mo+"))))</f>
        <v>24mo+</v>
      </c>
      <c r="T1474" s="0" t="n">
        <f aca="false">IF(ISBLANK(C1474),0,IF(C1474="Month-to-month",2,IF(C1474="One year",1,0)))+IF(ISBLANK(I1474),0,IF(I1474&lt;40,2,IF(I1474&lt;55,1,0)))+IF(ISBLANK(M1474),0,IF(M1474=1,3,0))+IF(ISBLANK(L1474),0,IF(L1474&gt;=2,1,0))+IF(ISBLANK(E1474),0,IF(E1474&lt;12,1,0))</f>
        <v>2</v>
      </c>
      <c r="U1474" s="0" t="str">
        <f aca="false">IF((ISBLANK(B1474)*1+ISBLANK(C1474)*1+ISBLANK(D1474)*1+ISBLANK(E1474)*1+ISBLANK(F1474)*1+ISBLANK(I1474)*1+ISBLANK(J1474)*1+ISBLANK(K1474)*1+ISBLANK(L1474)*1+ISBLANK(M1474)*1+ISBLANK(N1474)*1+ISBLANK(O1474)*1)&gt;0,"Missing Data","OK")</f>
        <v>OK</v>
      </c>
      <c r="V1474" s="0" t="str">
        <f aca="false">IF(T1474&gt;=6,"High Risk",IF(T1474&gt;=3,"Medium Risk","Low Risk"))</f>
        <v>Low Risk</v>
      </c>
    </row>
    <row r="1475" customFormat="false" ht="12.8" hidden="false" customHeight="false" outlineLevel="0" collapsed="false">
      <c r="A1475" s="1" t="s">
        <v>1505</v>
      </c>
      <c r="B1475" s="1" t="s">
        <v>36</v>
      </c>
      <c r="C1475" s="1" t="s">
        <v>24</v>
      </c>
      <c r="D1475" s="1" t="n">
        <v>10.88</v>
      </c>
      <c r="E1475" s="1" t="n">
        <v>7</v>
      </c>
      <c r="F1475" s="4" t="n">
        <v>45793</v>
      </c>
      <c r="G1475" s="1" t="s">
        <v>25</v>
      </c>
      <c r="H1475" s="1" t="n">
        <v>0</v>
      </c>
      <c r="I1475" s="1" t="n">
        <v>50.5</v>
      </c>
      <c r="J1475" s="1" t="n">
        <v>18</v>
      </c>
      <c r="K1475" s="1" t="n">
        <v>6</v>
      </c>
      <c r="L1475" s="1" t="n">
        <v>2</v>
      </c>
      <c r="M1475" s="1" t="n">
        <v>1</v>
      </c>
      <c r="N1475" s="1" t="n">
        <v>76.16</v>
      </c>
      <c r="O1475" s="1" t="n">
        <v>0</v>
      </c>
      <c r="Q1475" s="4" t="n">
        <v>46006</v>
      </c>
      <c r="R1475" s="0" t="n">
        <f aca="false">IF(ISBLANK(F1475),"Missing",IFERROR(YEAR(F1475),"Missing"))</f>
        <v>2025</v>
      </c>
      <c r="S1475" s="0" t="str">
        <f aca="false">IF(ISBLANK(E1475),"Missing",IF(E1475&lt;6,"0-6mo",IF(E1475&lt;12,"6-12mo",IF(E1475&lt;24,"12-24mo","24mo+"))))</f>
        <v>6-12mo</v>
      </c>
      <c r="T1475" s="0" t="n">
        <f aca="false">IF(ISBLANK(C1475),0,IF(C1475="Month-to-month",2,IF(C1475="One year",1,0)))+IF(ISBLANK(I1475),0,IF(I1475&lt;40,2,IF(I1475&lt;55,1,0)))+IF(ISBLANK(M1475),0,IF(M1475=1,3,0))+IF(ISBLANK(L1475),0,IF(L1475&gt;=2,1,0))+IF(ISBLANK(E1475),0,IF(E1475&lt;12,1,0))</f>
        <v>8</v>
      </c>
      <c r="U1475" s="0" t="str">
        <f aca="false">IF((ISBLANK(B1475)*1+ISBLANK(C1475)*1+ISBLANK(D1475)*1+ISBLANK(E1475)*1+ISBLANK(F1475)*1+ISBLANK(I1475)*1+ISBLANK(J1475)*1+ISBLANK(K1475)*1+ISBLANK(L1475)*1+ISBLANK(M1475)*1+ISBLANK(N1475)*1+ISBLANK(O1475)*1)&gt;0,"Missing Data","OK")</f>
        <v>OK</v>
      </c>
      <c r="V1475" s="0" t="str">
        <f aca="false">IF(T1475&gt;=6,"High Risk",IF(T1475&gt;=3,"Medium Risk","Low Risk"))</f>
        <v>High Risk</v>
      </c>
    </row>
    <row r="1476" customFormat="false" ht="12.8" hidden="false" customHeight="false" outlineLevel="0" collapsed="false">
      <c r="A1476" s="1" t="s">
        <v>1506</v>
      </c>
      <c r="B1476" s="1" t="s">
        <v>23</v>
      </c>
      <c r="C1476" s="1" t="s">
        <v>24</v>
      </c>
      <c r="D1476" s="1" t="n">
        <v>19.72</v>
      </c>
      <c r="E1476" s="1" t="n">
        <v>15</v>
      </c>
      <c r="F1476" s="4" t="n">
        <v>45794</v>
      </c>
      <c r="G1476" s="1" t="s">
        <v>27</v>
      </c>
      <c r="H1476" s="1" t="n">
        <v>1</v>
      </c>
      <c r="I1476" s="1" t="n">
        <v>89.8</v>
      </c>
      <c r="J1476" s="1" t="n">
        <v>28</v>
      </c>
      <c r="K1476" s="1" t="n">
        <v>8</v>
      </c>
      <c r="L1476" s="1" t="n">
        <v>2</v>
      </c>
      <c r="M1476" s="1" t="n">
        <v>1</v>
      </c>
      <c r="N1476" s="1" t="n">
        <v>295.8</v>
      </c>
      <c r="O1476" s="1" t="n">
        <v>0</v>
      </c>
      <c r="Q1476" s="4" t="n">
        <v>46250</v>
      </c>
      <c r="R1476" s="0" t="n">
        <f aca="false">IF(ISBLANK(F1476),"Missing",IFERROR(YEAR(F1476),"Missing"))</f>
        <v>2025</v>
      </c>
      <c r="S1476" s="0" t="str">
        <f aca="false">IF(ISBLANK(E1476),"Missing",IF(E1476&lt;6,"0-6mo",IF(E1476&lt;12,"6-12mo",IF(E1476&lt;24,"12-24mo","24mo+"))))</f>
        <v>12-24mo</v>
      </c>
      <c r="T1476" s="0" t="n">
        <f aca="false">IF(ISBLANK(C1476),0,IF(C1476="Month-to-month",2,IF(C1476="One year",1,0)))+IF(ISBLANK(I1476),0,IF(I1476&lt;40,2,IF(I1476&lt;55,1,0)))+IF(ISBLANK(M1476),0,IF(M1476=1,3,0))+IF(ISBLANK(L1476),0,IF(L1476&gt;=2,1,0))+IF(ISBLANK(E1476),0,IF(E1476&lt;12,1,0))</f>
        <v>6</v>
      </c>
      <c r="U1476" s="0" t="str">
        <f aca="false">IF((ISBLANK(B1476)*1+ISBLANK(C1476)*1+ISBLANK(D1476)*1+ISBLANK(E1476)*1+ISBLANK(F1476)*1+ISBLANK(I1476)*1+ISBLANK(J1476)*1+ISBLANK(K1476)*1+ISBLANK(L1476)*1+ISBLANK(M1476)*1+ISBLANK(N1476)*1+ISBLANK(O1476)*1)&gt;0,"Missing Data","OK")</f>
        <v>OK</v>
      </c>
      <c r="V1476" s="0" t="str">
        <f aca="false">IF(T1476&gt;=6,"High Risk",IF(T1476&gt;=3,"Medium Risk","Low Risk"))</f>
        <v>High Risk</v>
      </c>
    </row>
    <row r="1477" customFormat="false" ht="12.8" hidden="false" customHeight="false" outlineLevel="0" collapsed="false">
      <c r="A1477" s="1" t="s">
        <v>1507</v>
      </c>
      <c r="B1477" s="1" t="s">
        <v>36</v>
      </c>
      <c r="C1477" s="1" t="s">
        <v>34</v>
      </c>
      <c r="D1477" s="1" t="n">
        <v>10.23</v>
      </c>
      <c r="E1477" s="1" t="n">
        <v>6</v>
      </c>
      <c r="F1477" s="4" t="n">
        <v>45795</v>
      </c>
      <c r="G1477" s="1" t="s">
        <v>39</v>
      </c>
      <c r="H1477" s="1" t="n">
        <v>1</v>
      </c>
      <c r="I1477" s="1" t="n">
        <v>46.6</v>
      </c>
      <c r="J1477" s="1" t="n">
        <v>18</v>
      </c>
      <c r="K1477" s="1" t="n">
        <v>5</v>
      </c>
      <c r="L1477" s="1" t="n">
        <v>2</v>
      </c>
      <c r="M1477" s="1" t="n">
        <v>0</v>
      </c>
      <c r="N1477" s="1" t="n">
        <v>61.38</v>
      </c>
      <c r="O1477" s="1" t="n">
        <v>0</v>
      </c>
      <c r="Q1477" s="4" t="n">
        <v>45977</v>
      </c>
      <c r="R1477" s="0" t="n">
        <f aca="false">IF(ISBLANK(F1477),"Missing",IFERROR(YEAR(F1477),"Missing"))</f>
        <v>2025</v>
      </c>
      <c r="S1477" s="0" t="str">
        <f aca="false">IF(ISBLANK(E1477),"Missing",IF(E1477&lt;6,"0-6mo",IF(E1477&lt;12,"6-12mo",IF(E1477&lt;24,"12-24mo","24mo+"))))</f>
        <v>6-12mo</v>
      </c>
      <c r="T1477" s="0" t="n">
        <f aca="false">IF(ISBLANK(C1477),0,IF(C1477="Month-to-month",2,IF(C1477="One year",1,0)))+IF(ISBLANK(I1477),0,IF(I1477&lt;40,2,IF(I1477&lt;55,1,0)))+IF(ISBLANK(M1477),0,IF(M1477=1,3,0))+IF(ISBLANK(L1477),0,IF(L1477&gt;=2,1,0))+IF(ISBLANK(E1477),0,IF(E1477&lt;12,1,0))</f>
        <v>4</v>
      </c>
      <c r="U1477" s="0" t="str">
        <f aca="false">IF((ISBLANK(B1477)*1+ISBLANK(C1477)*1+ISBLANK(D1477)*1+ISBLANK(E1477)*1+ISBLANK(F1477)*1+ISBLANK(I1477)*1+ISBLANK(J1477)*1+ISBLANK(K1477)*1+ISBLANK(L1477)*1+ISBLANK(M1477)*1+ISBLANK(N1477)*1+ISBLANK(O1477)*1)&gt;0,"Missing Data","OK")</f>
        <v>OK</v>
      </c>
      <c r="V1477" s="0" t="str">
        <f aca="false">IF(T1477&gt;=6,"High Risk",IF(T1477&gt;=3,"Medium Risk","Low Risk"))</f>
        <v>Medium Risk</v>
      </c>
    </row>
    <row r="1478" customFormat="false" ht="12.8" hidden="false" customHeight="false" outlineLevel="0" collapsed="false">
      <c r="A1478" s="1" t="s">
        <v>1508</v>
      </c>
      <c r="B1478" s="1" t="s">
        <v>23</v>
      </c>
      <c r="C1478" s="1" t="s">
        <v>24</v>
      </c>
      <c r="D1478" s="1" t="n">
        <v>19.07</v>
      </c>
      <c r="E1478" s="1" t="n">
        <v>19</v>
      </c>
      <c r="F1478" s="4" t="n">
        <v>45797</v>
      </c>
      <c r="G1478" s="1" t="s">
        <v>39</v>
      </c>
      <c r="H1478" s="1" t="n">
        <v>1</v>
      </c>
      <c r="I1478" s="1" t="n">
        <v>65.7</v>
      </c>
      <c r="J1478" s="1" t="n">
        <v>18</v>
      </c>
      <c r="K1478" s="1" t="n">
        <v>7</v>
      </c>
      <c r="L1478" s="1" t="n">
        <v>1</v>
      </c>
      <c r="M1478" s="1" t="n">
        <v>0</v>
      </c>
      <c r="N1478" s="1" t="n">
        <v>362.33</v>
      </c>
      <c r="O1478" s="1" t="n">
        <v>0</v>
      </c>
      <c r="Q1478" s="4" t="n">
        <v>46293</v>
      </c>
      <c r="R1478" s="0" t="n">
        <f aca="false">IF(ISBLANK(F1478),"Missing",IFERROR(YEAR(F1478),"Missing"))</f>
        <v>2025</v>
      </c>
      <c r="S1478" s="0" t="str">
        <f aca="false">IF(ISBLANK(E1478),"Missing",IF(E1478&lt;6,"0-6mo",IF(E1478&lt;12,"6-12mo",IF(E1478&lt;24,"12-24mo","24mo+"))))</f>
        <v>12-24mo</v>
      </c>
      <c r="T1478" s="0" t="n">
        <f aca="false">IF(ISBLANK(C1478),0,IF(C1478="Month-to-month",2,IF(C1478="One year",1,0)))+IF(ISBLANK(I1478),0,IF(I1478&lt;40,2,IF(I1478&lt;55,1,0)))+IF(ISBLANK(M1478),0,IF(M1478=1,3,0))+IF(ISBLANK(L1478),0,IF(L1478&gt;=2,1,0))+IF(ISBLANK(E1478),0,IF(E1478&lt;12,1,0))</f>
        <v>2</v>
      </c>
      <c r="U1478" s="0" t="str">
        <f aca="false">IF((ISBLANK(B1478)*1+ISBLANK(C1478)*1+ISBLANK(D1478)*1+ISBLANK(E1478)*1+ISBLANK(F1478)*1+ISBLANK(I1478)*1+ISBLANK(J1478)*1+ISBLANK(K1478)*1+ISBLANK(L1478)*1+ISBLANK(M1478)*1+ISBLANK(N1478)*1+ISBLANK(O1478)*1)&gt;0,"Missing Data","OK")</f>
        <v>OK</v>
      </c>
      <c r="V1478" s="0" t="str">
        <f aca="false">IF(T1478&gt;=6,"High Risk",IF(T1478&gt;=3,"Medium Risk","Low Risk"))</f>
        <v>Low Risk</v>
      </c>
    </row>
    <row r="1479" customFormat="false" ht="12.8" hidden="false" customHeight="false" outlineLevel="0" collapsed="false">
      <c r="A1479" s="1" t="s">
        <v>1509</v>
      </c>
      <c r="B1479" s="1" t="s">
        <v>36</v>
      </c>
      <c r="C1479" s="1" t="s">
        <v>34</v>
      </c>
      <c r="D1479" s="1" t="n">
        <v>9.34</v>
      </c>
      <c r="E1479" s="1" t="n">
        <v>1</v>
      </c>
      <c r="F1479" s="4" t="n">
        <v>45797</v>
      </c>
      <c r="G1479" s="1" t="s">
        <v>25</v>
      </c>
      <c r="H1479" s="1" t="n">
        <v>0</v>
      </c>
      <c r="I1479" s="1" t="n">
        <v>52.1</v>
      </c>
      <c r="J1479" s="1" t="n">
        <v>15</v>
      </c>
      <c r="K1479" s="1" t="n">
        <v>6</v>
      </c>
      <c r="L1479" s="1" t="n">
        <v>1</v>
      </c>
      <c r="M1479" s="1" t="n">
        <v>0</v>
      </c>
      <c r="N1479" s="1" t="n">
        <v>9.34</v>
      </c>
      <c r="O1479" s="1" t="n">
        <v>0</v>
      </c>
      <c r="Q1479" s="4" t="n">
        <v>45827</v>
      </c>
      <c r="R1479" s="0" t="n">
        <f aca="false">IF(ISBLANK(F1479),"Missing",IFERROR(YEAR(F1479),"Missing"))</f>
        <v>2025</v>
      </c>
      <c r="S1479" s="0" t="str">
        <f aca="false">IF(ISBLANK(E1479),"Missing",IF(E1479&lt;6,"0-6mo",IF(E1479&lt;12,"6-12mo",IF(E1479&lt;24,"12-24mo","24mo+"))))</f>
        <v>0-6mo</v>
      </c>
      <c r="T1479" s="0" t="n">
        <f aca="false">IF(ISBLANK(C1479),0,IF(C1479="Month-to-month",2,IF(C1479="One year",1,0)))+IF(ISBLANK(I1479),0,IF(I1479&lt;40,2,IF(I1479&lt;55,1,0)))+IF(ISBLANK(M1479),0,IF(M1479=1,3,0))+IF(ISBLANK(L1479),0,IF(L1479&gt;=2,1,0))+IF(ISBLANK(E1479),0,IF(E1479&lt;12,1,0))</f>
        <v>3</v>
      </c>
      <c r="U1479" s="0" t="str">
        <f aca="false">IF((ISBLANK(B1479)*1+ISBLANK(C1479)*1+ISBLANK(D1479)*1+ISBLANK(E1479)*1+ISBLANK(F1479)*1+ISBLANK(I1479)*1+ISBLANK(J1479)*1+ISBLANK(K1479)*1+ISBLANK(L1479)*1+ISBLANK(M1479)*1+ISBLANK(N1479)*1+ISBLANK(O1479)*1)&gt;0,"Missing Data","OK")</f>
        <v>OK</v>
      </c>
      <c r="V1479" s="0" t="str">
        <f aca="false">IF(T1479&gt;=6,"High Risk",IF(T1479&gt;=3,"Medium Risk","Low Risk"))</f>
        <v>Medium Risk</v>
      </c>
    </row>
    <row r="1480" customFormat="false" ht="12.8" hidden="false" customHeight="false" outlineLevel="0" collapsed="false">
      <c r="A1480" s="1" t="s">
        <v>1510</v>
      </c>
      <c r="B1480" s="1" t="s">
        <v>36</v>
      </c>
      <c r="C1480" s="1" t="s">
        <v>24</v>
      </c>
      <c r="D1480" s="1" t="n">
        <v>8.73</v>
      </c>
      <c r="E1480" s="1" t="n">
        <v>13</v>
      </c>
      <c r="F1480" s="4" t="n">
        <v>45798</v>
      </c>
      <c r="G1480" s="1" t="s">
        <v>30</v>
      </c>
      <c r="H1480" s="1" t="n">
        <v>0</v>
      </c>
      <c r="I1480" s="1" t="n">
        <v>69.9</v>
      </c>
      <c r="J1480" s="1" t="n">
        <v>21</v>
      </c>
      <c r="K1480" s="1" t="n">
        <v>6</v>
      </c>
      <c r="L1480" s="1" t="n">
        <v>0</v>
      </c>
      <c r="M1480" s="1" t="n">
        <v>0</v>
      </c>
      <c r="N1480" s="1" t="n">
        <v>113.49</v>
      </c>
      <c r="O1480" s="1" t="n">
        <v>0</v>
      </c>
      <c r="Q1480" s="4" t="n">
        <v>46193</v>
      </c>
      <c r="R1480" s="0" t="n">
        <f aca="false">IF(ISBLANK(F1480),"Missing",IFERROR(YEAR(F1480),"Missing"))</f>
        <v>2025</v>
      </c>
      <c r="S1480" s="0" t="str">
        <f aca="false">IF(ISBLANK(E1480),"Missing",IF(E1480&lt;6,"0-6mo",IF(E1480&lt;12,"6-12mo",IF(E1480&lt;24,"12-24mo","24mo+"))))</f>
        <v>12-24mo</v>
      </c>
      <c r="T1480" s="0" t="n">
        <f aca="false">IF(ISBLANK(C1480),0,IF(C1480="Month-to-month",2,IF(C1480="One year",1,0)))+IF(ISBLANK(I1480),0,IF(I1480&lt;40,2,IF(I1480&lt;55,1,0)))+IF(ISBLANK(M1480),0,IF(M1480=1,3,0))+IF(ISBLANK(L1480),0,IF(L1480&gt;=2,1,0))+IF(ISBLANK(E1480),0,IF(E1480&lt;12,1,0))</f>
        <v>2</v>
      </c>
      <c r="U1480" s="0" t="str">
        <f aca="false">IF((ISBLANK(B1480)*1+ISBLANK(C1480)*1+ISBLANK(D1480)*1+ISBLANK(E1480)*1+ISBLANK(F1480)*1+ISBLANK(I1480)*1+ISBLANK(J1480)*1+ISBLANK(K1480)*1+ISBLANK(L1480)*1+ISBLANK(M1480)*1+ISBLANK(N1480)*1+ISBLANK(O1480)*1)&gt;0,"Missing Data","OK")</f>
        <v>OK</v>
      </c>
      <c r="V1480" s="0" t="str">
        <f aca="false">IF(T1480&gt;=6,"High Risk",IF(T1480&gt;=3,"Medium Risk","Low Risk"))</f>
        <v>Low Risk</v>
      </c>
    </row>
    <row r="1481" customFormat="false" ht="12.8" hidden="false" customHeight="false" outlineLevel="0" collapsed="false">
      <c r="A1481" s="1" t="s">
        <v>1511</v>
      </c>
      <c r="B1481" s="1" t="s">
        <v>29</v>
      </c>
      <c r="C1481" s="1" t="s">
        <v>34</v>
      </c>
      <c r="D1481" s="1" t="n">
        <v>38.84</v>
      </c>
      <c r="E1481" s="1" t="n">
        <v>1</v>
      </c>
      <c r="F1481" s="4" t="n">
        <v>45799</v>
      </c>
      <c r="G1481" s="1" t="s">
        <v>39</v>
      </c>
      <c r="H1481" s="1" t="n">
        <v>1</v>
      </c>
      <c r="I1481" s="1" t="n">
        <v>79.9</v>
      </c>
      <c r="J1481" s="1" t="n">
        <v>24</v>
      </c>
      <c r="K1481" s="1" t="n">
        <v>5</v>
      </c>
      <c r="L1481" s="1" t="n">
        <v>1</v>
      </c>
      <c r="M1481" s="1" t="n">
        <v>0</v>
      </c>
      <c r="N1481" s="1" t="n">
        <v>38.84</v>
      </c>
      <c r="O1481" s="1" t="n">
        <v>0</v>
      </c>
      <c r="Q1481" s="4" t="n">
        <v>45829</v>
      </c>
      <c r="R1481" s="0" t="n">
        <f aca="false">IF(ISBLANK(F1481),"Missing",IFERROR(YEAR(F1481),"Missing"))</f>
        <v>2025</v>
      </c>
      <c r="S1481" s="0" t="str">
        <f aca="false">IF(ISBLANK(E1481),"Missing",IF(E1481&lt;6,"0-6mo",IF(E1481&lt;12,"6-12mo",IF(E1481&lt;24,"12-24mo","24mo+"))))</f>
        <v>0-6mo</v>
      </c>
      <c r="T1481" s="0" t="n">
        <f aca="false">IF(ISBLANK(C1481),0,IF(C1481="Month-to-month",2,IF(C1481="One year",1,0)))+IF(ISBLANK(I1481),0,IF(I1481&lt;40,2,IF(I1481&lt;55,1,0)))+IF(ISBLANK(M1481),0,IF(M1481=1,3,0))+IF(ISBLANK(L1481),0,IF(L1481&gt;=2,1,0))+IF(ISBLANK(E1481),0,IF(E1481&lt;12,1,0))</f>
        <v>2</v>
      </c>
      <c r="U1481" s="0" t="str">
        <f aca="false">IF((ISBLANK(B1481)*1+ISBLANK(C1481)*1+ISBLANK(D1481)*1+ISBLANK(E1481)*1+ISBLANK(F1481)*1+ISBLANK(I1481)*1+ISBLANK(J1481)*1+ISBLANK(K1481)*1+ISBLANK(L1481)*1+ISBLANK(M1481)*1+ISBLANK(N1481)*1+ISBLANK(O1481)*1)&gt;0,"Missing Data","OK")</f>
        <v>OK</v>
      </c>
      <c r="V1481" s="0" t="str">
        <f aca="false">IF(T1481&gt;=6,"High Risk",IF(T1481&gt;=3,"Medium Risk","Low Risk"))</f>
        <v>Low Risk</v>
      </c>
    </row>
    <row r="1482" customFormat="false" ht="12.8" hidden="false" customHeight="false" outlineLevel="0" collapsed="false">
      <c r="A1482" s="1" t="s">
        <v>1512</v>
      </c>
      <c r="B1482" s="1" t="s">
        <v>36</v>
      </c>
      <c r="C1482" s="1" t="s">
        <v>34</v>
      </c>
      <c r="D1482" s="1" t="n">
        <v>9.82</v>
      </c>
      <c r="E1482" s="1" t="n">
        <v>35</v>
      </c>
      <c r="F1482" s="4" t="n">
        <v>45802</v>
      </c>
      <c r="G1482" s="1" t="s">
        <v>25</v>
      </c>
      <c r="H1482" s="1" t="n">
        <v>0</v>
      </c>
      <c r="I1482" s="1" t="n">
        <v>80.5</v>
      </c>
      <c r="J1482" s="1" t="n">
        <v>29</v>
      </c>
      <c r="K1482" s="1" t="n">
        <v>7</v>
      </c>
      <c r="L1482" s="1" t="n">
        <v>0</v>
      </c>
      <c r="M1482" s="1" t="n">
        <v>0</v>
      </c>
      <c r="N1482" s="1" t="n">
        <v>343.7</v>
      </c>
      <c r="O1482" s="1" t="n">
        <v>0</v>
      </c>
      <c r="Q1482" s="4" t="n">
        <v>46293</v>
      </c>
      <c r="R1482" s="0" t="n">
        <f aca="false">IF(ISBLANK(F1482),"Missing",IFERROR(YEAR(F1482),"Missing"))</f>
        <v>2025</v>
      </c>
      <c r="S1482" s="0" t="str">
        <f aca="false">IF(ISBLANK(E1482),"Missing",IF(E1482&lt;6,"0-6mo",IF(E1482&lt;12,"6-12mo",IF(E1482&lt;24,"12-24mo","24mo+"))))</f>
        <v>24mo+</v>
      </c>
      <c r="T1482" s="0" t="n">
        <f aca="false">IF(ISBLANK(C1482),0,IF(C1482="Month-to-month",2,IF(C1482="One year",1,0)))+IF(ISBLANK(I1482),0,IF(I1482&lt;40,2,IF(I1482&lt;55,1,0)))+IF(ISBLANK(M1482),0,IF(M1482=1,3,0))+IF(ISBLANK(L1482),0,IF(L1482&gt;=2,1,0))+IF(ISBLANK(E1482),0,IF(E1482&lt;12,1,0))</f>
        <v>1</v>
      </c>
      <c r="U1482" s="0" t="str">
        <f aca="false">IF((ISBLANK(B1482)*1+ISBLANK(C1482)*1+ISBLANK(D1482)*1+ISBLANK(E1482)*1+ISBLANK(F1482)*1+ISBLANK(I1482)*1+ISBLANK(J1482)*1+ISBLANK(K1482)*1+ISBLANK(L1482)*1+ISBLANK(M1482)*1+ISBLANK(N1482)*1+ISBLANK(O1482)*1)&gt;0,"Missing Data","OK")</f>
        <v>OK</v>
      </c>
      <c r="V1482" s="0" t="str">
        <f aca="false">IF(T1482&gt;=6,"High Risk",IF(T1482&gt;=3,"Medium Risk","Low Risk"))</f>
        <v>Low Risk</v>
      </c>
    </row>
    <row r="1483" customFormat="false" ht="12.8" hidden="false" customHeight="false" outlineLevel="0" collapsed="false">
      <c r="A1483" s="1" t="s">
        <v>1513</v>
      </c>
      <c r="B1483" s="1" t="s">
        <v>36</v>
      </c>
      <c r="C1483" s="1" t="s">
        <v>24</v>
      </c>
      <c r="D1483" s="1" t="n">
        <v>11.41</v>
      </c>
      <c r="E1483" s="1" t="n">
        <v>6</v>
      </c>
      <c r="F1483" s="4" t="n">
        <v>45802</v>
      </c>
      <c r="G1483" s="1" t="s">
        <v>25</v>
      </c>
      <c r="H1483" s="1" t="n">
        <v>1</v>
      </c>
      <c r="I1483" s="1" t="n">
        <v>72.5</v>
      </c>
      <c r="J1483" s="1" t="n">
        <v>26</v>
      </c>
      <c r="K1483" s="1" t="n">
        <v>7</v>
      </c>
      <c r="L1483" s="1" t="n">
        <v>0</v>
      </c>
      <c r="M1483" s="1" t="n">
        <v>0</v>
      </c>
      <c r="N1483" s="1" t="n">
        <v>68.46</v>
      </c>
      <c r="O1483" s="1" t="n">
        <v>0</v>
      </c>
      <c r="Q1483" s="4" t="n">
        <v>45984</v>
      </c>
      <c r="R1483" s="0" t="n">
        <f aca="false">IF(ISBLANK(F1483),"Missing",IFERROR(YEAR(F1483),"Missing"))</f>
        <v>2025</v>
      </c>
      <c r="S1483" s="0" t="str">
        <f aca="false">IF(ISBLANK(E1483),"Missing",IF(E1483&lt;6,"0-6mo",IF(E1483&lt;12,"6-12mo",IF(E1483&lt;24,"12-24mo","24mo+"))))</f>
        <v>6-12mo</v>
      </c>
      <c r="T1483" s="0" t="n">
        <f aca="false">IF(ISBLANK(C1483),0,IF(C1483="Month-to-month",2,IF(C1483="One year",1,0)))+IF(ISBLANK(I1483),0,IF(I1483&lt;40,2,IF(I1483&lt;55,1,0)))+IF(ISBLANK(M1483),0,IF(M1483=1,3,0))+IF(ISBLANK(L1483),0,IF(L1483&gt;=2,1,0))+IF(ISBLANK(E1483),0,IF(E1483&lt;12,1,0))</f>
        <v>3</v>
      </c>
      <c r="U1483" s="0" t="str">
        <f aca="false">IF((ISBLANK(B1483)*1+ISBLANK(C1483)*1+ISBLANK(D1483)*1+ISBLANK(E1483)*1+ISBLANK(F1483)*1+ISBLANK(I1483)*1+ISBLANK(J1483)*1+ISBLANK(K1483)*1+ISBLANK(L1483)*1+ISBLANK(M1483)*1+ISBLANK(N1483)*1+ISBLANK(O1483)*1)&gt;0,"Missing Data","OK")</f>
        <v>OK</v>
      </c>
      <c r="V1483" s="0" t="str">
        <f aca="false">IF(T1483&gt;=6,"High Risk",IF(T1483&gt;=3,"Medium Risk","Low Risk"))</f>
        <v>Medium Risk</v>
      </c>
    </row>
    <row r="1484" customFormat="false" ht="12.8" hidden="false" customHeight="false" outlineLevel="0" collapsed="false">
      <c r="A1484" s="1" t="s">
        <v>1514</v>
      </c>
      <c r="B1484" s="1" t="s">
        <v>23</v>
      </c>
      <c r="C1484" s="1" t="s">
        <v>24</v>
      </c>
      <c r="D1484" s="1" t="n">
        <v>19.32</v>
      </c>
      <c r="E1484" s="1" t="n">
        <v>15</v>
      </c>
      <c r="F1484" s="4" t="n">
        <v>45806</v>
      </c>
      <c r="G1484" s="1" t="s">
        <v>25</v>
      </c>
      <c r="H1484" s="1" t="n">
        <v>0</v>
      </c>
      <c r="I1484" s="1" t="n">
        <v>0.8</v>
      </c>
      <c r="J1484" s="1" t="n">
        <v>0</v>
      </c>
      <c r="K1484" s="1" t="n">
        <v>0</v>
      </c>
      <c r="L1484" s="1" t="n">
        <v>5</v>
      </c>
      <c r="M1484" s="1" t="n">
        <v>0</v>
      </c>
      <c r="N1484" s="1" t="n">
        <v>289.8</v>
      </c>
      <c r="O1484" s="1" t="n">
        <v>1</v>
      </c>
      <c r="P1484" s="4" t="n">
        <v>46262</v>
      </c>
      <c r="Q1484" s="4" t="n">
        <v>46262</v>
      </c>
      <c r="R1484" s="0" t="n">
        <f aca="false">IF(ISBLANK(F1484),"Missing",IFERROR(YEAR(F1484),"Missing"))</f>
        <v>2025</v>
      </c>
      <c r="S1484" s="0" t="str">
        <f aca="false">IF(ISBLANK(E1484),"Missing",IF(E1484&lt;6,"0-6mo",IF(E1484&lt;12,"6-12mo",IF(E1484&lt;24,"12-24mo","24mo+"))))</f>
        <v>12-24mo</v>
      </c>
      <c r="T1484" s="0" t="n">
        <f aca="false">IF(ISBLANK(C1484),0,IF(C1484="Month-to-month",2,IF(C1484="One year",1,0)))+IF(ISBLANK(I1484),0,IF(I1484&lt;40,2,IF(I1484&lt;55,1,0)))+IF(ISBLANK(M1484),0,IF(M1484=1,3,0))+IF(ISBLANK(L1484),0,IF(L1484&gt;=2,1,0))+IF(ISBLANK(E1484),0,IF(E1484&lt;12,1,0))</f>
        <v>5</v>
      </c>
      <c r="U1484" s="0" t="str">
        <f aca="false">IF((ISBLANK(B1484)*1+ISBLANK(C1484)*1+ISBLANK(D1484)*1+ISBLANK(E1484)*1+ISBLANK(F1484)*1+ISBLANK(I1484)*1+ISBLANK(J1484)*1+ISBLANK(K1484)*1+ISBLANK(L1484)*1+ISBLANK(M1484)*1+ISBLANK(N1484)*1+ISBLANK(O1484)*1)&gt;0,"Missing Data","OK")</f>
        <v>OK</v>
      </c>
      <c r="V1484" s="0" t="str">
        <f aca="false">IF(T1484&gt;=6,"High Risk",IF(T1484&gt;=3,"Medium Risk","Low Risk"))</f>
        <v>Medium Risk</v>
      </c>
    </row>
    <row r="1485" customFormat="false" ht="12.8" hidden="false" customHeight="false" outlineLevel="0" collapsed="false">
      <c r="A1485" s="1" t="s">
        <v>1515</v>
      </c>
      <c r="B1485" s="1" t="s">
        <v>23</v>
      </c>
      <c r="C1485" s="1" t="s">
        <v>24</v>
      </c>
      <c r="D1485" s="1" t="n">
        <v>20.14</v>
      </c>
      <c r="E1485" s="1" t="n">
        <v>31</v>
      </c>
      <c r="F1485" s="4" t="n">
        <v>45807</v>
      </c>
      <c r="G1485" s="1" t="s">
        <v>25</v>
      </c>
      <c r="H1485" s="1" t="n">
        <v>1</v>
      </c>
      <c r="I1485" s="1" t="n">
        <v>51.6</v>
      </c>
      <c r="J1485" s="1" t="n">
        <v>27</v>
      </c>
      <c r="K1485" s="1" t="n">
        <v>4</v>
      </c>
      <c r="L1485" s="1" t="n">
        <v>1</v>
      </c>
      <c r="M1485" s="1" t="n">
        <v>1</v>
      </c>
      <c r="N1485" s="1" t="n">
        <v>624.34</v>
      </c>
      <c r="O1485" s="1" t="n">
        <v>0</v>
      </c>
      <c r="Q1485" s="4" t="n">
        <v>46293</v>
      </c>
      <c r="R1485" s="0" t="n">
        <f aca="false">IF(ISBLANK(F1485),"Missing",IFERROR(YEAR(F1485),"Missing"))</f>
        <v>2025</v>
      </c>
      <c r="S1485" s="0" t="str">
        <f aca="false">IF(ISBLANK(E1485),"Missing",IF(E1485&lt;6,"0-6mo",IF(E1485&lt;12,"6-12mo",IF(E1485&lt;24,"12-24mo","24mo+"))))</f>
        <v>24mo+</v>
      </c>
      <c r="T1485" s="0" t="n">
        <f aca="false">IF(ISBLANK(C1485),0,IF(C1485="Month-to-month",2,IF(C1485="One year",1,0)))+IF(ISBLANK(I1485),0,IF(I1485&lt;40,2,IF(I1485&lt;55,1,0)))+IF(ISBLANK(M1485),0,IF(M1485=1,3,0))+IF(ISBLANK(L1485),0,IF(L1485&gt;=2,1,0))+IF(ISBLANK(E1485),0,IF(E1485&lt;12,1,0))</f>
        <v>6</v>
      </c>
      <c r="U1485" s="0" t="str">
        <f aca="false">IF((ISBLANK(B1485)*1+ISBLANK(C1485)*1+ISBLANK(D1485)*1+ISBLANK(E1485)*1+ISBLANK(F1485)*1+ISBLANK(I1485)*1+ISBLANK(J1485)*1+ISBLANK(K1485)*1+ISBLANK(L1485)*1+ISBLANK(M1485)*1+ISBLANK(N1485)*1+ISBLANK(O1485)*1)&gt;0,"Missing Data","OK")</f>
        <v>OK</v>
      </c>
      <c r="V1485" s="0" t="str">
        <f aca="false">IF(T1485&gt;=6,"High Risk",IF(T1485&gt;=3,"Medium Risk","Low Risk"))</f>
        <v>High Risk</v>
      </c>
    </row>
    <row r="1486" customFormat="false" ht="12.8" hidden="false" customHeight="false" outlineLevel="0" collapsed="false">
      <c r="A1486" s="1" t="s">
        <v>1516</v>
      </c>
      <c r="B1486" s="1" t="s">
        <v>23</v>
      </c>
      <c r="C1486" s="1" t="s">
        <v>34</v>
      </c>
      <c r="D1486" s="1" t="n">
        <v>21.66</v>
      </c>
      <c r="E1486" s="1" t="n">
        <v>7</v>
      </c>
      <c r="F1486" s="4" t="n">
        <v>45807</v>
      </c>
      <c r="G1486" s="1" t="s">
        <v>27</v>
      </c>
      <c r="H1486" s="1" t="n">
        <v>1</v>
      </c>
      <c r="I1486" s="1" t="n">
        <v>36.4</v>
      </c>
      <c r="J1486" s="1" t="n">
        <v>6</v>
      </c>
      <c r="K1486" s="1" t="n">
        <v>3</v>
      </c>
      <c r="L1486" s="1" t="n">
        <v>0</v>
      </c>
      <c r="M1486" s="1" t="n">
        <v>0</v>
      </c>
      <c r="N1486" s="1" t="n">
        <v>151.62</v>
      </c>
      <c r="O1486" s="1" t="n">
        <v>0</v>
      </c>
      <c r="Q1486" s="4" t="n">
        <v>46020</v>
      </c>
      <c r="R1486" s="0" t="n">
        <f aca="false">IF(ISBLANK(F1486),"Missing",IFERROR(YEAR(F1486),"Missing"))</f>
        <v>2025</v>
      </c>
      <c r="S1486" s="0" t="str">
        <f aca="false">IF(ISBLANK(E1486),"Missing",IF(E1486&lt;6,"0-6mo",IF(E1486&lt;12,"6-12mo",IF(E1486&lt;24,"12-24mo","24mo+"))))</f>
        <v>6-12mo</v>
      </c>
      <c r="T1486" s="0" t="n">
        <f aca="false">IF(ISBLANK(C1486),0,IF(C1486="Month-to-month",2,IF(C1486="One year",1,0)))+IF(ISBLANK(I1486),0,IF(I1486&lt;40,2,IF(I1486&lt;55,1,0)))+IF(ISBLANK(M1486),0,IF(M1486=1,3,0))+IF(ISBLANK(L1486),0,IF(L1486&gt;=2,1,0))+IF(ISBLANK(E1486),0,IF(E1486&lt;12,1,0))</f>
        <v>4</v>
      </c>
      <c r="U1486" s="0" t="str">
        <f aca="false">IF((ISBLANK(B1486)*1+ISBLANK(C1486)*1+ISBLANK(D1486)*1+ISBLANK(E1486)*1+ISBLANK(F1486)*1+ISBLANK(I1486)*1+ISBLANK(J1486)*1+ISBLANK(K1486)*1+ISBLANK(L1486)*1+ISBLANK(M1486)*1+ISBLANK(N1486)*1+ISBLANK(O1486)*1)&gt;0,"Missing Data","OK")</f>
        <v>OK</v>
      </c>
      <c r="V1486" s="0" t="str">
        <f aca="false">IF(T1486&gt;=6,"High Risk",IF(T1486&gt;=3,"Medium Risk","Low Risk"))</f>
        <v>Medium Risk</v>
      </c>
    </row>
    <row r="1487" customFormat="false" ht="12.8" hidden="false" customHeight="false" outlineLevel="0" collapsed="false">
      <c r="A1487" s="1" t="s">
        <v>1517</v>
      </c>
      <c r="B1487" s="1" t="s">
        <v>23</v>
      </c>
      <c r="C1487" s="1" t="s">
        <v>34</v>
      </c>
      <c r="D1487" s="1" t="n">
        <v>18.57</v>
      </c>
      <c r="E1487" s="1" t="n">
        <v>31</v>
      </c>
      <c r="F1487" s="4" t="n">
        <v>45809</v>
      </c>
      <c r="G1487" s="1" t="s">
        <v>39</v>
      </c>
      <c r="H1487" s="1" t="n">
        <v>0</v>
      </c>
      <c r="I1487" s="1" t="n">
        <v>48.2</v>
      </c>
      <c r="J1487" s="1" t="n">
        <v>10</v>
      </c>
      <c r="K1487" s="1" t="n">
        <v>3</v>
      </c>
      <c r="L1487" s="1" t="n">
        <v>3</v>
      </c>
      <c r="M1487" s="1" t="n">
        <v>1</v>
      </c>
      <c r="N1487" s="1" t="n">
        <v>575.67</v>
      </c>
      <c r="O1487" s="1" t="n">
        <v>0</v>
      </c>
      <c r="Q1487" s="4" t="n">
        <v>46293</v>
      </c>
      <c r="R1487" s="0" t="n">
        <f aca="false">IF(ISBLANK(F1487),"Missing",IFERROR(YEAR(F1487),"Missing"))</f>
        <v>2025</v>
      </c>
      <c r="S1487" s="0" t="str">
        <f aca="false">IF(ISBLANK(E1487),"Missing",IF(E1487&lt;6,"0-6mo",IF(E1487&lt;12,"6-12mo",IF(E1487&lt;24,"12-24mo","24mo+"))))</f>
        <v>24mo+</v>
      </c>
      <c r="T1487" s="0" t="n">
        <f aca="false">IF(ISBLANK(C1487),0,IF(C1487="Month-to-month",2,IF(C1487="One year",1,0)))+IF(ISBLANK(I1487),0,IF(I1487&lt;40,2,IF(I1487&lt;55,1,0)))+IF(ISBLANK(M1487),0,IF(M1487=1,3,0))+IF(ISBLANK(L1487),0,IF(L1487&gt;=2,1,0))+IF(ISBLANK(E1487),0,IF(E1487&lt;12,1,0))</f>
        <v>6</v>
      </c>
      <c r="U1487" s="0" t="str">
        <f aca="false">IF((ISBLANK(B1487)*1+ISBLANK(C1487)*1+ISBLANK(D1487)*1+ISBLANK(E1487)*1+ISBLANK(F1487)*1+ISBLANK(I1487)*1+ISBLANK(J1487)*1+ISBLANK(K1487)*1+ISBLANK(L1487)*1+ISBLANK(M1487)*1+ISBLANK(N1487)*1+ISBLANK(O1487)*1)&gt;0,"Missing Data","OK")</f>
        <v>OK</v>
      </c>
      <c r="V1487" s="0" t="str">
        <f aca="false">IF(T1487&gt;=6,"High Risk",IF(T1487&gt;=3,"Medium Risk","Low Risk"))</f>
        <v>High Risk</v>
      </c>
    </row>
    <row r="1488" customFormat="false" ht="12.8" hidden="false" customHeight="false" outlineLevel="0" collapsed="false">
      <c r="A1488" s="1" t="s">
        <v>1518</v>
      </c>
      <c r="B1488" s="1" t="s">
        <v>36</v>
      </c>
      <c r="C1488" s="1" t="s">
        <v>24</v>
      </c>
      <c r="D1488" s="1" t="n">
        <v>9.85</v>
      </c>
      <c r="E1488" s="1" t="n">
        <v>20</v>
      </c>
      <c r="F1488" s="4" t="n">
        <v>45810</v>
      </c>
      <c r="G1488" s="1" t="s">
        <v>25</v>
      </c>
      <c r="H1488" s="1" t="n">
        <v>1</v>
      </c>
      <c r="I1488" s="1" t="n">
        <v>9</v>
      </c>
      <c r="J1488" s="1" t="n">
        <v>6</v>
      </c>
      <c r="K1488" s="1" t="n">
        <v>3</v>
      </c>
      <c r="L1488" s="1" t="n">
        <v>4</v>
      </c>
      <c r="M1488" s="1" t="n">
        <v>1</v>
      </c>
      <c r="N1488" s="1" t="n">
        <v>197</v>
      </c>
      <c r="O1488" s="1" t="n">
        <v>1</v>
      </c>
      <c r="P1488" s="4" t="n">
        <v>46293</v>
      </c>
      <c r="Q1488" s="4" t="n">
        <v>46293</v>
      </c>
      <c r="R1488" s="0" t="n">
        <f aca="false">IF(ISBLANK(F1488),"Missing",IFERROR(YEAR(F1488),"Missing"))</f>
        <v>2025</v>
      </c>
      <c r="S1488" s="0" t="str">
        <f aca="false">IF(ISBLANK(E1488),"Missing",IF(E1488&lt;6,"0-6mo",IF(E1488&lt;12,"6-12mo",IF(E1488&lt;24,"12-24mo","24mo+"))))</f>
        <v>12-24mo</v>
      </c>
      <c r="T1488" s="0" t="n">
        <f aca="false">IF(ISBLANK(C1488),0,IF(C1488="Month-to-month",2,IF(C1488="One year",1,0)))+IF(ISBLANK(I1488),0,IF(I1488&lt;40,2,IF(I1488&lt;55,1,0)))+IF(ISBLANK(M1488),0,IF(M1488=1,3,0))+IF(ISBLANK(L1488),0,IF(L1488&gt;=2,1,0))+IF(ISBLANK(E1488),0,IF(E1488&lt;12,1,0))</f>
        <v>8</v>
      </c>
      <c r="U1488" s="0" t="str">
        <f aca="false">IF((ISBLANK(B1488)*1+ISBLANK(C1488)*1+ISBLANK(D1488)*1+ISBLANK(E1488)*1+ISBLANK(F1488)*1+ISBLANK(I1488)*1+ISBLANK(J1488)*1+ISBLANK(K1488)*1+ISBLANK(L1488)*1+ISBLANK(M1488)*1+ISBLANK(N1488)*1+ISBLANK(O1488)*1)&gt;0,"Missing Data","OK")</f>
        <v>OK</v>
      </c>
      <c r="V1488" s="0" t="str">
        <f aca="false">IF(T1488&gt;=6,"High Risk",IF(T1488&gt;=3,"Medium Risk","Low Risk"))</f>
        <v>High Risk</v>
      </c>
    </row>
    <row r="1489" customFormat="false" ht="12.8" hidden="false" customHeight="false" outlineLevel="0" collapsed="false">
      <c r="A1489" s="1" t="s">
        <v>1519</v>
      </c>
      <c r="B1489" s="1" t="s">
        <v>23</v>
      </c>
      <c r="C1489" s="1" t="s">
        <v>34</v>
      </c>
      <c r="D1489" s="1" t="n">
        <v>19.07</v>
      </c>
      <c r="E1489" s="1" t="n">
        <v>49</v>
      </c>
      <c r="F1489" s="4" t="n">
        <v>45810</v>
      </c>
      <c r="G1489" s="1" t="s">
        <v>25</v>
      </c>
      <c r="H1489" s="1" t="n">
        <v>0</v>
      </c>
      <c r="I1489" s="1" t="n">
        <v>84.7</v>
      </c>
      <c r="J1489" s="1" t="n">
        <v>31</v>
      </c>
      <c r="K1489" s="1" t="n">
        <v>9</v>
      </c>
      <c r="L1489" s="1" t="n">
        <v>1</v>
      </c>
      <c r="M1489" s="1" t="n">
        <v>0</v>
      </c>
      <c r="N1489" s="1" t="n">
        <v>934.43</v>
      </c>
      <c r="O1489" s="1" t="n">
        <v>0</v>
      </c>
      <c r="Q1489" s="4" t="n">
        <v>46293</v>
      </c>
      <c r="R1489" s="0" t="n">
        <f aca="false">IF(ISBLANK(F1489),"Missing",IFERROR(YEAR(F1489),"Missing"))</f>
        <v>2025</v>
      </c>
      <c r="S1489" s="0" t="str">
        <f aca="false">IF(ISBLANK(E1489),"Missing",IF(E1489&lt;6,"0-6mo",IF(E1489&lt;12,"6-12mo",IF(E1489&lt;24,"12-24mo","24mo+"))))</f>
        <v>24mo+</v>
      </c>
      <c r="T1489" s="0" t="n">
        <f aca="false">IF(ISBLANK(C1489),0,IF(C1489="Month-to-month",2,IF(C1489="One year",1,0)))+IF(ISBLANK(I1489),0,IF(I1489&lt;40,2,IF(I1489&lt;55,1,0)))+IF(ISBLANK(M1489),0,IF(M1489=1,3,0))+IF(ISBLANK(L1489),0,IF(L1489&gt;=2,1,0))+IF(ISBLANK(E1489),0,IF(E1489&lt;12,1,0))</f>
        <v>1</v>
      </c>
      <c r="U1489" s="0" t="str">
        <f aca="false">IF((ISBLANK(B1489)*1+ISBLANK(C1489)*1+ISBLANK(D1489)*1+ISBLANK(E1489)*1+ISBLANK(F1489)*1+ISBLANK(I1489)*1+ISBLANK(J1489)*1+ISBLANK(K1489)*1+ISBLANK(L1489)*1+ISBLANK(M1489)*1+ISBLANK(N1489)*1+ISBLANK(O1489)*1)&gt;0,"Missing Data","OK")</f>
        <v>OK</v>
      </c>
      <c r="V1489" s="0" t="str">
        <f aca="false">IF(T1489&gt;=6,"High Risk",IF(T1489&gt;=3,"Medium Risk","Low Risk"))</f>
        <v>Low Risk</v>
      </c>
    </row>
    <row r="1490" customFormat="false" ht="12.8" hidden="false" customHeight="false" outlineLevel="0" collapsed="false">
      <c r="A1490" s="1" t="s">
        <v>1520</v>
      </c>
      <c r="B1490" s="1" t="s">
        <v>29</v>
      </c>
      <c r="C1490" s="1" t="s">
        <v>24</v>
      </c>
      <c r="D1490" s="1" t="n">
        <v>39.05</v>
      </c>
      <c r="E1490" s="1" t="n">
        <v>3</v>
      </c>
      <c r="F1490" s="4" t="n">
        <v>45811</v>
      </c>
      <c r="G1490" s="1" t="s">
        <v>27</v>
      </c>
      <c r="H1490" s="1" t="n">
        <v>1</v>
      </c>
      <c r="I1490" s="1" t="n">
        <v>61.5</v>
      </c>
      <c r="J1490" s="1" t="n">
        <v>18</v>
      </c>
      <c r="K1490" s="1" t="n">
        <v>5</v>
      </c>
      <c r="L1490" s="1" t="n">
        <v>1</v>
      </c>
      <c r="M1490" s="1" t="n">
        <v>0</v>
      </c>
      <c r="N1490" s="1" t="n">
        <v>117.15</v>
      </c>
      <c r="O1490" s="1" t="n">
        <v>0</v>
      </c>
      <c r="Q1490" s="4" t="n">
        <v>45902</v>
      </c>
      <c r="R1490" s="0" t="n">
        <f aca="false">IF(ISBLANK(F1490),"Missing",IFERROR(YEAR(F1490),"Missing"))</f>
        <v>2025</v>
      </c>
      <c r="S1490" s="0" t="str">
        <f aca="false">IF(ISBLANK(E1490),"Missing",IF(E1490&lt;6,"0-6mo",IF(E1490&lt;12,"6-12mo",IF(E1490&lt;24,"12-24mo","24mo+"))))</f>
        <v>0-6mo</v>
      </c>
      <c r="T1490" s="0" t="n">
        <f aca="false">IF(ISBLANK(C1490),0,IF(C1490="Month-to-month",2,IF(C1490="One year",1,0)))+IF(ISBLANK(I1490),0,IF(I1490&lt;40,2,IF(I1490&lt;55,1,0)))+IF(ISBLANK(M1490),0,IF(M1490=1,3,0))+IF(ISBLANK(L1490),0,IF(L1490&gt;=2,1,0))+IF(ISBLANK(E1490),0,IF(E1490&lt;12,1,0))</f>
        <v>3</v>
      </c>
      <c r="U1490" s="0" t="str">
        <f aca="false">IF((ISBLANK(B1490)*1+ISBLANK(C1490)*1+ISBLANK(D1490)*1+ISBLANK(E1490)*1+ISBLANK(F1490)*1+ISBLANK(I1490)*1+ISBLANK(J1490)*1+ISBLANK(K1490)*1+ISBLANK(L1490)*1+ISBLANK(M1490)*1+ISBLANK(N1490)*1+ISBLANK(O1490)*1)&gt;0,"Missing Data","OK")</f>
        <v>OK</v>
      </c>
      <c r="V1490" s="0" t="str">
        <f aca="false">IF(T1490&gt;=6,"High Risk",IF(T1490&gt;=3,"Medium Risk","Low Risk"))</f>
        <v>Medium Risk</v>
      </c>
    </row>
    <row r="1491" customFormat="false" ht="12.8" hidden="false" customHeight="false" outlineLevel="0" collapsed="false">
      <c r="A1491" s="1" t="s">
        <v>1521</v>
      </c>
      <c r="B1491" s="1" t="s">
        <v>36</v>
      </c>
      <c r="C1491" s="1" t="s">
        <v>24</v>
      </c>
      <c r="D1491" s="1" t="n">
        <v>8.88</v>
      </c>
      <c r="E1491" s="1" t="n">
        <v>28</v>
      </c>
      <c r="F1491" s="4" t="n">
        <v>45814</v>
      </c>
      <c r="G1491" s="1" t="s">
        <v>39</v>
      </c>
      <c r="H1491" s="1" t="n">
        <v>1</v>
      </c>
      <c r="I1491" s="1" t="n">
        <v>57.8</v>
      </c>
      <c r="J1491" s="1" t="n">
        <v>24</v>
      </c>
      <c r="K1491" s="1" t="n">
        <v>6</v>
      </c>
      <c r="L1491" s="1" t="n">
        <v>0</v>
      </c>
      <c r="M1491" s="1" t="n">
        <v>0</v>
      </c>
      <c r="N1491" s="1" t="n">
        <v>248.64</v>
      </c>
      <c r="O1491" s="1" t="n">
        <v>0</v>
      </c>
      <c r="Q1491" s="4" t="n">
        <v>46293</v>
      </c>
      <c r="R1491" s="0" t="n">
        <f aca="false">IF(ISBLANK(F1491),"Missing",IFERROR(YEAR(F1491),"Missing"))</f>
        <v>2025</v>
      </c>
      <c r="S1491" s="0" t="str">
        <f aca="false">IF(ISBLANK(E1491),"Missing",IF(E1491&lt;6,"0-6mo",IF(E1491&lt;12,"6-12mo",IF(E1491&lt;24,"12-24mo","24mo+"))))</f>
        <v>24mo+</v>
      </c>
      <c r="T1491" s="0" t="n">
        <f aca="false">IF(ISBLANK(C1491),0,IF(C1491="Month-to-month",2,IF(C1491="One year",1,0)))+IF(ISBLANK(I1491),0,IF(I1491&lt;40,2,IF(I1491&lt;55,1,0)))+IF(ISBLANK(M1491),0,IF(M1491=1,3,0))+IF(ISBLANK(L1491),0,IF(L1491&gt;=2,1,0))+IF(ISBLANK(E1491),0,IF(E1491&lt;12,1,0))</f>
        <v>2</v>
      </c>
      <c r="U1491" s="0" t="str">
        <f aca="false">IF((ISBLANK(B1491)*1+ISBLANK(C1491)*1+ISBLANK(D1491)*1+ISBLANK(E1491)*1+ISBLANK(F1491)*1+ISBLANK(I1491)*1+ISBLANK(J1491)*1+ISBLANK(K1491)*1+ISBLANK(L1491)*1+ISBLANK(M1491)*1+ISBLANK(N1491)*1+ISBLANK(O1491)*1)&gt;0,"Missing Data","OK")</f>
        <v>OK</v>
      </c>
      <c r="V1491" s="0" t="str">
        <f aca="false">IF(T1491&gt;=6,"High Risk",IF(T1491&gt;=3,"Medium Risk","Low Risk"))</f>
        <v>Low Risk</v>
      </c>
    </row>
    <row r="1492" customFormat="false" ht="12.8" hidden="false" customHeight="false" outlineLevel="0" collapsed="false">
      <c r="A1492" s="1" t="s">
        <v>1522</v>
      </c>
      <c r="B1492" s="1" t="s">
        <v>23</v>
      </c>
      <c r="C1492" s="1" t="s">
        <v>24</v>
      </c>
      <c r="D1492" s="1" t="n">
        <v>21.52</v>
      </c>
      <c r="E1492" s="1" t="n">
        <v>19</v>
      </c>
      <c r="F1492" s="4" t="n">
        <v>45816</v>
      </c>
      <c r="G1492" s="1" t="s">
        <v>25</v>
      </c>
      <c r="H1492" s="1" t="n">
        <v>1</v>
      </c>
      <c r="I1492" s="1" t="n">
        <v>32.6</v>
      </c>
      <c r="J1492" s="1" t="n">
        <v>8</v>
      </c>
      <c r="K1492" s="1" t="n">
        <v>5</v>
      </c>
      <c r="L1492" s="1" t="n">
        <v>0</v>
      </c>
      <c r="M1492" s="1" t="n">
        <v>0</v>
      </c>
      <c r="N1492" s="1" t="n">
        <v>408.88</v>
      </c>
      <c r="O1492" s="1" t="n">
        <v>0</v>
      </c>
      <c r="Q1492" s="4" t="n">
        <v>46293</v>
      </c>
      <c r="R1492" s="0" t="n">
        <f aca="false">IF(ISBLANK(F1492),"Missing",IFERROR(YEAR(F1492),"Missing"))</f>
        <v>2025</v>
      </c>
      <c r="S1492" s="0" t="str">
        <f aca="false">IF(ISBLANK(E1492),"Missing",IF(E1492&lt;6,"0-6mo",IF(E1492&lt;12,"6-12mo",IF(E1492&lt;24,"12-24mo","24mo+"))))</f>
        <v>12-24mo</v>
      </c>
      <c r="T1492" s="0" t="n">
        <f aca="false">IF(ISBLANK(C1492),0,IF(C1492="Month-to-month",2,IF(C1492="One year",1,0)))+IF(ISBLANK(I1492),0,IF(I1492&lt;40,2,IF(I1492&lt;55,1,0)))+IF(ISBLANK(M1492),0,IF(M1492=1,3,0))+IF(ISBLANK(L1492),0,IF(L1492&gt;=2,1,0))+IF(ISBLANK(E1492),0,IF(E1492&lt;12,1,0))</f>
        <v>4</v>
      </c>
      <c r="U1492" s="0" t="str">
        <f aca="false">IF((ISBLANK(B1492)*1+ISBLANK(C1492)*1+ISBLANK(D1492)*1+ISBLANK(E1492)*1+ISBLANK(F1492)*1+ISBLANK(I1492)*1+ISBLANK(J1492)*1+ISBLANK(K1492)*1+ISBLANK(L1492)*1+ISBLANK(M1492)*1+ISBLANK(N1492)*1+ISBLANK(O1492)*1)&gt;0,"Missing Data","OK")</f>
        <v>OK</v>
      </c>
      <c r="V1492" s="0" t="str">
        <f aca="false">IF(T1492&gt;=6,"High Risk",IF(T1492&gt;=3,"Medium Risk","Low Risk"))</f>
        <v>Medium Risk</v>
      </c>
    </row>
    <row r="1493" customFormat="false" ht="12.8" hidden="false" customHeight="false" outlineLevel="0" collapsed="false">
      <c r="A1493" s="1" t="s">
        <v>1523</v>
      </c>
      <c r="B1493" s="1" t="s">
        <v>29</v>
      </c>
      <c r="C1493" s="1" t="s">
        <v>24</v>
      </c>
      <c r="D1493" s="1" t="n">
        <v>38.26</v>
      </c>
      <c r="E1493" s="1" t="n">
        <v>18</v>
      </c>
      <c r="F1493" s="4" t="n">
        <v>45816</v>
      </c>
      <c r="G1493" s="1" t="s">
        <v>25</v>
      </c>
      <c r="H1493" s="1" t="n">
        <v>1</v>
      </c>
      <c r="I1493" s="1" t="n">
        <v>67.7</v>
      </c>
      <c r="J1493" s="1" t="n">
        <v>22</v>
      </c>
      <c r="K1493" s="1" t="n">
        <v>7</v>
      </c>
      <c r="L1493" s="1" t="n">
        <v>2</v>
      </c>
      <c r="M1493" s="1" t="n">
        <v>0</v>
      </c>
      <c r="N1493" s="1" t="n">
        <v>688.68</v>
      </c>
      <c r="O1493" s="1" t="n">
        <v>0</v>
      </c>
      <c r="Q1493" s="4" t="n">
        <v>46293</v>
      </c>
      <c r="R1493" s="0" t="n">
        <f aca="false">IF(ISBLANK(F1493),"Missing",IFERROR(YEAR(F1493),"Missing"))</f>
        <v>2025</v>
      </c>
      <c r="S1493" s="0" t="str">
        <f aca="false">IF(ISBLANK(E1493),"Missing",IF(E1493&lt;6,"0-6mo",IF(E1493&lt;12,"6-12mo",IF(E1493&lt;24,"12-24mo","24mo+"))))</f>
        <v>12-24mo</v>
      </c>
      <c r="T1493" s="0" t="n">
        <f aca="false">IF(ISBLANK(C1493),0,IF(C1493="Month-to-month",2,IF(C1493="One year",1,0)))+IF(ISBLANK(I1493),0,IF(I1493&lt;40,2,IF(I1493&lt;55,1,0)))+IF(ISBLANK(M1493),0,IF(M1493=1,3,0))+IF(ISBLANK(L1493),0,IF(L1493&gt;=2,1,0))+IF(ISBLANK(E1493),0,IF(E1493&lt;12,1,0))</f>
        <v>3</v>
      </c>
      <c r="U1493" s="0" t="str">
        <f aca="false">IF((ISBLANK(B1493)*1+ISBLANK(C1493)*1+ISBLANK(D1493)*1+ISBLANK(E1493)*1+ISBLANK(F1493)*1+ISBLANK(I1493)*1+ISBLANK(J1493)*1+ISBLANK(K1493)*1+ISBLANK(L1493)*1+ISBLANK(M1493)*1+ISBLANK(N1493)*1+ISBLANK(O1493)*1)&gt;0,"Missing Data","OK")</f>
        <v>OK</v>
      </c>
      <c r="V1493" s="0" t="str">
        <f aca="false">IF(T1493&gt;=6,"High Risk",IF(T1493&gt;=3,"Medium Risk","Low Risk"))</f>
        <v>Medium Risk</v>
      </c>
    </row>
    <row r="1494" customFormat="false" ht="12.8" hidden="false" customHeight="false" outlineLevel="0" collapsed="false">
      <c r="A1494" s="1" t="s">
        <v>1524</v>
      </c>
      <c r="B1494" s="1" t="s">
        <v>23</v>
      </c>
      <c r="C1494" s="1" t="s">
        <v>24</v>
      </c>
      <c r="D1494" s="1" t="n">
        <v>21.65</v>
      </c>
      <c r="E1494" s="1" t="n">
        <v>13</v>
      </c>
      <c r="F1494" s="4" t="n">
        <v>45819</v>
      </c>
      <c r="G1494" s="1" t="s">
        <v>27</v>
      </c>
      <c r="H1494" s="1" t="n">
        <v>1</v>
      </c>
      <c r="I1494" s="1" t="n">
        <v>49.6</v>
      </c>
      <c r="J1494" s="1" t="n">
        <v>13</v>
      </c>
      <c r="K1494" s="1" t="n">
        <v>3</v>
      </c>
      <c r="L1494" s="1" t="n">
        <v>4</v>
      </c>
      <c r="M1494" s="1" t="n">
        <v>0</v>
      </c>
      <c r="N1494" s="1" t="n">
        <v>281.45</v>
      </c>
      <c r="O1494" s="1" t="n">
        <v>1</v>
      </c>
      <c r="P1494" s="4" t="n">
        <v>46214</v>
      </c>
      <c r="Q1494" s="4" t="n">
        <v>46214</v>
      </c>
      <c r="R1494" s="0" t="n">
        <f aca="false">IF(ISBLANK(F1494),"Missing",IFERROR(YEAR(F1494),"Missing"))</f>
        <v>2025</v>
      </c>
      <c r="S1494" s="0" t="str">
        <f aca="false">IF(ISBLANK(E1494),"Missing",IF(E1494&lt;6,"0-6mo",IF(E1494&lt;12,"6-12mo",IF(E1494&lt;24,"12-24mo","24mo+"))))</f>
        <v>12-24mo</v>
      </c>
      <c r="T1494" s="0" t="n">
        <f aca="false">IF(ISBLANK(C1494),0,IF(C1494="Month-to-month",2,IF(C1494="One year",1,0)))+IF(ISBLANK(I1494),0,IF(I1494&lt;40,2,IF(I1494&lt;55,1,0)))+IF(ISBLANK(M1494),0,IF(M1494=1,3,0))+IF(ISBLANK(L1494),0,IF(L1494&gt;=2,1,0))+IF(ISBLANK(E1494),0,IF(E1494&lt;12,1,0))</f>
        <v>4</v>
      </c>
      <c r="U1494" s="0" t="str">
        <f aca="false">IF((ISBLANK(B1494)*1+ISBLANK(C1494)*1+ISBLANK(D1494)*1+ISBLANK(E1494)*1+ISBLANK(F1494)*1+ISBLANK(I1494)*1+ISBLANK(J1494)*1+ISBLANK(K1494)*1+ISBLANK(L1494)*1+ISBLANK(M1494)*1+ISBLANK(N1494)*1+ISBLANK(O1494)*1)&gt;0,"Missing Data","OK")</f>
        <v>OK</v>
      </c>
      <c r="V1494" s="0" t="str">
        <f aca="false">IF(T1494&gt;=6,"High Risk",IF(T1494&gt;=3,"Medium Risk","Low Risk"))</f>
        <v>Medium Risk</v>
      </c>
    </row>
    <row r="1495" customFormat="false" ht="12.8" hidden="false" customHeight="false" outlineLevel="0" collapsed="false">
      <c r="A1495" s="1" t="s">
        <v>1525</v>
      </c>
      <c r="B1495" s="1" t="s">
        <v>29</v>
      </c>
      <c r="C1495" s="1" t="s">
        <v>51</v>
      </c>
      <c r="D1495" s="1" t="n">
        <v>38.92</v>
      </c>
      <c r="E1495" s="1" t="n">
        <v>38</v>
      </c>
      <c r="F1495" s="4" t="n">
        <v>45823</v>
      </c>
      <c r="G1495" s="1" t="s">
        <v>25</v>
      </c>
      <c r="H1495" s="1" t="n">
        <v>1</v>
      </c>
      <c r="I1495" s="1" t="n">
        <v>61.8</v>
      </c>
      <c r="J1495" s="1" t="n">
        <v>21</v>
      </c>
      <c r="K1495" s="1" t="n">
        <v>5</v>
      </c>
      <c r="L1495" s="1" t="n">
        <v>4</v>
      </c>
      <c r="M1495" s="1" t="n">
        <v>0</v>
      </c>
      <c r="N1495" s="1" t="n">
        <v>1478.96</v>
      </c>
      <c r="O1495" s="1" t="n">
        <v>0</v>
      </c>
      <c r="Q1495" s="4" t="n">
        <v>46293</v>
      </c>
      <c r="R1495" s="0" t="n">
        <f aca="false">IF(ISBLANK(F1495),"Missing",IFERROR(YEAR(F1495),"Missing"))</f>
        <v>2025</v>
      </c>
      <c r="S1495" s="0" t="str">
        <f aca="false">IF(ISBLANK(E1495),"Missing",IF(E1495&lt;6,"0-6mo",IF(E1495&lt;12,"6-12mo",IF(E1495&lt;24,"12-24mo","24mo+"))))</f>
        <v>24mo+</v>
      </c>
      <c r="T1495" s="0" t="n">
        <f aca="false">IF(ISBLANK(C1495),0,IF(C1495="Month-to-month",2,IF(C1495="One year",1,0)))+IF(ISBLANK(I1495),0,IF(I1495&lt;40,2,IF(I1495&lt;55,1,0)))+IF(ISBLANK(M1495),0,IF(M1495=1,3,0))+IF(ISBLANK(L1495),0,IF(L1495&gt;=2,1,0))+IF(ISBLANK(E1495),0,IF(E1495&lt;12,1,0))</f>
        <v>1</v>
      </c>
      <c r="U1495" s="0" t="str">
        <f aca="false">IF((ISBLANK(B1495)*1+ISBLANK(C1495)*1+ISBLANK(D1495)*1+ISBLANK(E1495)*1+ISBLANK(F1495)*1+ISBLANK(I1495)*1+ISBLANK(J1495)*1+ISBLANK(K1495)*1+ISBLANK(L1495)*1+ISBLANK(M1495)*1+ISBLANK(N1495)*1+ISBLANK(O1495)*1)&gt;0,"Missing Data","OK")</f>
        <v>OK</v>
      </c>
      <c r="V1495" s="0" t="str">
        <f aca="false">IF(T1495&gt;=6,"High Risk",IF(T1495&gt;=3,"Medium Risk","Low Risk"))</f>
        <v>Low Risk</v>
      </c>
    </row>
    <row r="1496" customFormat="false" ht="12.8" hidden="false" customHeight="false" outlineLevel="0" collapsed="false">
      <c r="A1496" s="1" t="s">
        <v>1526</v>
      </c>
      <c r="B1496" s="1" t="s">
        <v>23</v>
      </c>
      <c r="C1496" s="1" t="s">
        <v>24</v>
      </c>
      <c r="D1496" s="1" t="n">
        <v>20.62</v>
      </c>
      <c r="E1496" s="1" t="n">
        <v>9</v>
      </c>
      <c r="F1496" s="4" t="n">
        <v>45826</v>
      </c>
      <c r="G1496" s="1" t="s">
        <v>25</v>
      </c>
      <c r="H1496" s="1" t="n">
        <v>1</v>
      </c>
      <c r="I1496" s="1" t="n">
        <v>77.2</v>
      </c>
      <c r="J1496" s="1" t="n">
        <v>22</v>
      </c>
      <c r="K1496" s="1" t="n">
        <v>9</v>
      </c>
      <c r="L1496" s="1" t="n">
        <v>0</v>
      </c>
      <c r="M1496" s="1" t="n">
        <v>0</v>
      </c>
      <c r="N1496" s="1" t="n">
        <v>185.58</v>
      </c>
      <c r="O1496" s="1" t="n">
        <v>0</v>
      </c>
      <c r="Q1496" s="4" t="n">
        <v>46099</v>
      </c>
      <c r="R1496" s="0" t="n">
        <f aca="false">IF(ISBLANK(F1496),"Missing",IFERROR(YEAR(F1496),"Missing"))</f>
        <v>2025</v>
      </c>
      <c r="S1496" s="0" t="str">
        <f aca="false">IF(ISBLANK(E1496),"Missing",IF(E1496&lt;6,"0-6mo",IF(E1496&lt;12,"6-12mo",IF(E1496&lt;24,"12-24mo","24mo+"))))</f>
        <v>6-12mo</v>
      </c>
      <c r="T1496" s="0" t="n">
        <f aca="false">IF(ISBLANK(C1496),0,IF(C1496="Month-to-month",2,IF(C1496="One year",1,0)))+IF(ISBLANK(I1496),0,IF(I1496&lt;40,2,IF(I1496&lt;55,1,0)))+IF(ISBLANK(M1496),0,IF(M1496=1,3,0))+IF(ISBLANK(L1496),0,IF(L1496&gt;=2,1,0))+IF(ISBLANK(E1496),0,IF(E1496&lt;12,1,0))</f>
        <v>3</v>
      </c>
      <c r="U1496" s="0" t="str">
        <f aca="false">IF((ISBLANK(B1496)*1+ISBLANK(C1496)*1+ISBLANK(D1496)*1+ISBLANK(E1496)*1+ISBLANK(F1496)*1+ISBLANK(I1496)*1+ISBLANK(J1496)*1+ISBLANK(K1496)*1+ISBLANK(L1496)*1+ISBLANK(M1496)*1+ISBLANK(N1496)*1+ISBLANK(O1496)*1)&gt;0,"Missing Data","OK")</f>
        <v>OK</v>
      </c>
      <c r="V1496" s="0" t="str">
        <f aca="false">IF(T1496&gt;=6,"High Risk",IF(T1496&gt;=3,"Medium Risk","Low Risk"))</f>
        <v>Medium Risk</v>
      </c>
    </row>
    <row r="1497" customFormat="false" ht="12.8" hidden="false" customHeight="false" outlineLevel="0" collapsed="false">
      <c r="A1497" s="1" t="s">
        <v>1527</v>
      </c>
      <c r="B1497" s="1" t="s">
        <v>36</v>
      </c>
      <c r="C1497" s="1" t="s">
        <v>24</v>
      </c>
      <c r="D1497" s="1" t="n">
        <v>8.39</v>
      </c>
      <c r="E1497" s="1" t="n">
        <v>9</v>
      </c>
      <c r="F1497" s="4" t="n">
        <v>45826</v>
      </c>
      <c r="G1497" s="1" t="s">
        <v>39</v>
      </c>
      <c r="H1497" s="1" t="n">
        <v>1</v>
      </c>
      <c r="I1497" s="1" t="n">
        <v>88.5</v>
      </c>
      <c r="J1497" s="1" t="n">
        <v>27</v>
      </c>
      <c r="K1497" s="1" t="n">
        <v>7</v>
      </c>
      <c r="L1497" s="1" t="n">
        <v>1</v>
      </c>
      <c r="M1497" s="1" t="n">
        <v>1</v>
      </c>
      <c r="N1497" s="1" t="n">
        <v>75.51</v>
      </c>
      <c r="O1497" s="1" t="n">
        <v>0</v>
      </c>
      <c r="Q1497" s="4" t="n">
        <v>46099</v>
      </c>
      <c r="R1497" s="0" t="n">
        <f aca="false">IF(ISBLANK(F1497),"Missing",IFERROR(YEAR(F1497),"Missing"))</f>
        <v>2025</v>
      </c>
      <c r="S1497" s="0" t="str">
        <f aca="false">IF(ISBLANK(E1497),"Missing",IF(E1497&lt;6,"0-6mo",IF(E1497&lt;12,"6-12mo",IF(E1497&lt;24,"12-24mo","24mo+"))))</f>
        <v>6-12mo</v>
      </c>
      <c r="T1497" s="0" t="n">
        <f aca="false">IF(ISBLANK(C1497),0,IF(C1497="Month-to-month",2,IF(C1497="One year",1,0)))+IF(ISBLANK(I1497),0,IF(I1497&lt;40,2,IF(I1497&lt;55,1,0)))+IF(ISBLANK(M1497),0,IF(M1497=1,3,0))+IF(ISBLANK(L1497),0,IF(L1497&gt;=2,1,0))+IF(ISBLANK(E1497),0,IF(E1497&lt;12,1,0))</f>
        <v>6</v>
      </c>
      <c r="U1497" s="0" t="str">
        <f aca="false">IF((ISBLANK(B1497)*1+ISBLANK(C1497)*1+ISBLANK(D1497)*1+ISBLANK(E1497)*1+ISBLANK(F1497)*1+ISBLANK(I1497)*1+ISBLANK(J1497)*1+ISBLANK(K1497)*1+ISBLANK(L1497)*1+ISBLANK(M1497)*1+ISBLANK(N1497)*1+ISBLANK(O1497)*1)&gt;0,"Missing Data","OK")</f>
        <v>OK</v>
      </c>
      <c r="V1497" s="0" t="str">
        <f aca="false">IF(T1497&gt;=6,"High Risk",IF(T1497&gt;=3,"Medium Risk","Low Risk"))</f>
        <v>High Risk</v>
      </c>
    </row>
    <row r="1498" customFormat="false" ht="12.8" hidden="false" customHeight="false" outlineLevel="0" collapsed="false">
      <c r="A1498" s="1" t="s">
        <v>1528</v>
      </c>
      <c r="B1498" s="1" t="s">
        <v>36</v>
      </c>
      <c r="C1498" s="1" t="s">
        <v>24</v>
      </c>
      <c r="D1498" s="1" t="n">
        <v>9.33</v>
      </c>
      <c r="E1498" s="1" t="n">
        <v>2</v>
      </c>
      <c r="F1498" s="4" t="n">
        <v>45826</v>
      </c>
      <c r="G1498" s="1" t="s">
        <v>25</v>
      </c>
      <c r="H1498" s="1" t="n">
        <v>1</v>
      </c>
      <c r="I1498" s="1" t="n">
        <v>65.6</v>
      </c>
      <c r="J1498" s="1" t="n">
        <v>19</v>
      </c>
      <c r="K1498" s="1" t="n">
        <v>6</v>
      </c>
      <c r="L1498" s="1" t="n">
        <v>4</v>
      </c>
      <c r="M1498" s="1" t="n">
        <v>1</v>
      </c>
      <c r="N1498" s="1" t="n">
        <v>18.66</v>
      </c>
      <c r="O1498" s="1" t="n">
        <v>1</v>
      </c>
      <c r="P1498" s="4" t="n">
        <v>45886</v>
      </c>
      <c r="Q1498" s="4" t="n">
        <v>45886</v>
      </c>
      <c r="R1498" s="0" t="n">
        <f aca="false">IF(ISBLANK(F1498),"Missing",IFERROR(YEAR(F1498),"Missing"))</f>
        <v>2025</v>
      </c>
      <c r="S1498" s="0" t="str">
        <f aca="false">IF(ISBLANK(E1498),"Missing",IF(E1498&lt;6,"0-6mo",IF(E1498&lt;12,"6-12mo",IF(E1498&lt;24,"12-24mo","24mo+"))))</f>
        <v>0-6mo</v>
      </c>
      <c r="T1498" s="0" t="n">
        <f aca="false">IF(ISBLANK(C1498),0,IF(C1498="Month-to-month",2,IF(C1498="One year",1,0)))+IF(ISBLANK(I1498),0,IF(I1498&lt;40,2,IF(I1498&lt;55,1,0)))+IF(ISBLANK(M1498),0,IF(M1498=1,3,0))+IF(ISBLANK(L1498),0,IF(L1498&gt;=2,1,0))+IF(ISBLANK(E1498),0,IF(E1498&lt;12,1,0))</f>
        <v>7</v>
      </c>
      <c r="U1498" s="0" t="str">
        <f aca="false">IF((ISBLANK(B1498)*1+ISBLANK(C1498)*1+ISBLANK(D1498)*1+ISBLANK(E1498)*1+ISBLANK(F1498)*1+ISBLANK(I1498)*1+ISBLANK(J1498)*1+ISBLANK(K1498)*1+ISBLANK(L1498)*1+ISBLANK(M1498)*1+ISBLANK(N1498)*1+ISBLANK(O1498)*1)&gt;0,"Missing Data","OK")</f>
        <v>OK</v>
      </c>
      <c r="V1498" s="0" t="str">
        <f aca="false">IF(T1498&gt;=6,"High Risk",IF(T1498&gt;=3,"Medium Risk","Low Risk"))</f>
        <v>High Risk</v>
      </c>
    </row>
    <row r="1499" customFormat="false" ht="12.8" hidden="false" customHeight="false" outlineLevel="0" collapsed="false">
      <c r="A1499" s="1" t="s">
        <v>1529</v>
      </c>
      <c r="B1499" s="1" t="s">
        <v>29</v>
      </c>
      <c r="C1499" s="1" t="s">
        <v>24</v>
      </c>
      <c r="D1499" s="1" t="n">
        <v>38.75</v>
      </c>
      <c r="E1499" s="1" t="n">
        <v>8</v>
      </c>
      <c r="F1499" s="4" t="n">
        <v>45828</v>
      </c>
      <c r="G1499" s="1" t="s">
        <v>25</v>
      </c>
      <c r="H1499" s="1" t="n">
        <v>1</v>
      </c>
      <c r="I1499" s="1" t="n">
        <v>43.6</v>
      </c>
      <c r="J1499" s="1" t="n">
        <v>13</v>
      </c>
      <c r="K1499" s="1" t="n">
        <v>3</v>
      </c>
      <c r="L1499" s="1" t="n">
        <v>0</v>
      </c>
      <c r="M1499" s="1" t="n">
        <v>0</v>
      </c>
      <c r="N1499" s="1" t="n">
        <v>310</v>
      </c>
      <c r="O1499" s="1" t="n">
        <v>0</v>
      </c>
      <c r="Q1499" s="4" t="n">
        <v>46071</v>
      </c>
      <c r="R1499" s="0" t="n">
        <f aca="false">IF(ISBLANK(F1499),"Missing",IFERROR(YEAR(F1499),"Missing"))</f>
        <v>2025</v>
      </c>
      <c r="S1499" s="0" t="str">
        <f aca="false">IF(ISBLANK(E1499),"Missing",IF(E1499&lt;6,"0-6mo",IF(E1499&lt;12,"6-12mo",IF(E1499&lt;24,"12-24mo","24mo+"))))</f>
        <v>6-12mo</v>
      </c>
      <c r="T1499" s="0" t="n">
        <f aca="false">IF(ISBLANK(C1499),0,IF(C1499="Month-to-month",2,IF(C1499="One year",1,0)))+IF(ISBLANK(I1499),0,IF(I1499&lt;40,2,IF(I1499&lt;55,1,0)))+IF(ISBLANK(M1499),0,IF(M1499=1,3,0))+IF(ISBLANK(L1499),0,IF(L1499&gt;=2,1,0))+IF(ISBLANK(E1499),0,IF(E1499&lt;12,1,0))</f>
        <v>4</v>
      </c>
      <c r="U1499" s="0" t="str">
        <f aca="false">IF((ISBLANK(B1499)*1+ISBLANK(C1499)*1+ISBLANK(D1499)*1+ISBLANK(E1499)*1+ISBLANK(F1499)*1+ISBLANK(I1499)*1+ISBLANK(J1499)*1+ISBLANK(K1499)*1+ISBLANK(L1499)*1+ISBLANK(M1499)*1+ISBLANK(N1499)*1+ISBLANK(O1499)*1)&gt;0,"Missing Data","OK")</f>
        <v>OK</v>
      </c>
      <c r="V1499" s="0" t="str">
        <f aca="false">IF(T1499&gt;=6,"High Risk",IF(T1499&gt;=3,"Medium Risk","Low Risk"))</f>
        <v>Medium Risk</v>
      </c>
    </row>
    <row r="1500" customFormat="false" ht="12.8" hidden="false" customHeight="false" outlineLevel="0" collapsed="false">
      <c r="A1500" s="1" t="s">
        <v>1530</v>
      </c>
      <c r="B1500" s="1" t="s">
        <v>36</v>
      </c>
      <c r="C1500" s="1" t="s">
        <v>24</v>
      </c>
      <c r="D1500" s="1" t="n">
        <v>9.96</v>
      </c>
      <c r="E1500" s="1" t="n">
        <v>3</v>
      </c>
      <c r="F1500" s="4" t="n">
        <v>45829</v>
      </c>
      <c r="G1500" s="1" t="s">
        <v>25</v>
      </c>
      <c r="H1500" s="1" t="n">
        <v>1</v>
      </c>
      <c r="I1500" s="1" t="n">
        <v>66.2</v>
      </c>
      <c r="J1500" s="1" t="n">
        <v>11</v>
      </c>
      <c r="K1500" s="1" t="n">
        <v>7</v>
      </c>
      <c r="L1500" s="1" t="n">
        <v>4</v>
      </c>
      <c r="M1500" s="1" t="n">
        <v>1</v>
      </c>
      <c r="N1500" s="1" t="n">
        <v>29.88</v>
      </c>
      <c r="O1500" s="1" t="n">
        <v>1</v>
      </c>
      <c r="P1500" s="4" t="n">
        <v>45920</v>
      </c>
      <c r="Q1500" s="4" t="n">
        <v>45920</v>
      </c>
      <c r="R1500" s="0" t="n">
        <f aca="false">IF(ISBLANK(F1500),"Missing",IFERROR(YEAR(F1500),"Missing"))</f>
        <v>2025</v>
      </c>
      <c r="S1500" s="0" t="str">
        <f aca="false">IF(ISBLANK(E1500),"Missing",IF(E1500&lt;6,"0-6mo",IF(E1500&lt;12,"6-12mo",IF(E1500&lt;24,"12-24mo","24mo+"))))</f>
        <v>0-6mo</v>
      </c>
      <c r="T1500" s="0" t="n">
        <f aca="false">IF(ISBLANK(C1500),0,IF(C1500="Month-to-month",2,IF(C1500="One year",1,0)))+IF(ISBLANK(I1500),0,IF(I1500&lt;40,2,IF(I1500&lt;55,1,0)))+IF(ISBLANK(M1500),0,IF(M1500=1,3,0))+IF(ISBLANK(L1500),0,IF(L1500&gt;=2,1,0))+IF(ISBLANK(E1500),0,IF(E1500&lt;12,1,0))</f>
        <v>7</v>
      </c>
      <c r="U1500" s="0" t="str">
        <f aca="false">IF((ISBLANK(B1500)*1+ISBLANK(C1500)*1+ISBLANK(D1500)*1+ISBLANK(E1500)*1+ISBLANK(F1500)*1+ISBLANK(I1500)*1+ISBLANK(J1500)*1+ISBLANK(K1500)*1+ISBLANK(L1500)*1+ISBLANK(M1500)*1+ISBLANK(N1500)*1+ISBLANK(O1500)*1)&gt;0,"Missing Data","OK")</f>
        <v>OK</v>
      </c>
      <c r="V1500" s="0" t="str">
        <f aca="false">IF(T1500&gt;=6,"High Risk",IF(T1500&gt;=3,"Medium Risk","Low Risk"))</f>
        <v>High Risk</v>
      </c>
    </row>
    <row r="1501" customFormat="false" ht="12.8" hidden="false" customHeight="false" outlineLevel="0" collapsed="false">
      <c r="A1501" s="1" t="s">
        <v>1531</v>
      </c>
      <c r="B1501" s="1" t="s">
        <v>36</v>
      </c>
      <c r="C1501" s="1" t="s">
        <v>34</v>
      </c>
      <c r="D1501" s="1" t="n">
        <v>10.25</v>
      </c>
      <c r="E1501" s="1" t="n">
        <v>45</v>
      </c>
      <c r="F1501" s="4" t="n">
        <v>45829</v>
      </c>
      <c r="G1501" s="1" t="s">
        <v>30</v>
      </c>
      <c r="H1501" s="1" t="n">
        <v>1</v>
      </c>
      <c r="I1501" s="1" t="n">
        <v>37.5</v>
      </c>
      <c r="J1501" s="1" t="n">
        <v>7</v>
      </c>
      <c r="K1501" s="1" t="n">
        <v>3</v>
      </c>
      <c r="L1501" s="1" t="n">
        <v>0</v>
      </c>
      <c r="M1501" s="1" t="n">
        <v>0</v>
      </c>
      <c r="N1501" s="1" t="n">
        <v>461.25</v>
      </c>
      <c r="O1501" s="1" t="n">
        <v>0</v>
      </c>
      <c r="Q1501" s="4" t="n">
        <v>46293</v>
      </c>
      <c r="R1501" s="0" t="n">
        <f aca="false">IF(ISBLANK(F1501),"Missing",IFERROR(YEAR(F1501),"Missing"))</f>
        <v>2025</v>
      </c>
      <c r="S1501" s="0" t="str">
        <f aca="false">IF(ISBLANK(E1501),"Missing",IF(E1501&lt;6,"0-6mo",IF(E1501&lt;12,"6-12mo",IF(E1501&lt;24,"12-24mo","24mo+"))))</f>
        <v>24mo+</v>
      </c>
      <c r="T1501" s="0" t="n">
        <f aca="false">IF(ISBLANK(C1501),0,IF(C1501="Month-to-month",2,IF(C1501="One year",1,0)))+IF(ISBLANK(I1501),0,IF(I1501&lt;40,2,IF(I1501&lt;55,1,0)))+IF(ISBLANK(M1501),0,IF(M1501=1,3,0))+IF(ISBLANK(L1501),0,IF(L1501&gt;=2,1,0))+IF(ISBLANK(E1501),0,IF(E1501&lt;12,1,0))</f>
        <v>3</v>
      </c>
      <c r="U1501" s="0" t="str">
        <f aca="false">IF((ISBLANK(B1501)*1+ISBLANK(C1501)*1+ISBLANK(D1501)*1+ISBLANK(E1501)*1+ISBLANK(F1501)*1+ISBLANK(I1501)*1+ISBLANK(J1501)*1+ISBLANK(K1501)*1+ISBLANK(L1501)*1+ISBLANK(M1501)*1+ISBLANK(N1501)*1+ISBLANK(O1501)*1)&gt;0,"Missing Data","OK")</f>
        <v>OK</v>
      </c>
      <c r="V1501" s="0" t="str">
        <f aca="false">IF(T1501&gt;=6,"High Risk",IF(T1501&gt;=3,"Medium Risk","Low Risk"))</f>
        <v>Medium Risk</v>
      </c>
    </row>
  </sheetData>
  <autoFilter ref="A1:V150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01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3" activeCellId="0" sqref="Q3"/>
    </sheetView>
  </sheetViews>
  <sheetFormatPr defaultColWidth="15.4453125" defaultRowHeight="14.15" customHeight="true" zeroHeight="false" outlineLevelRow="0" outlineLevelCol="0"/>
  <cols>
    <col collapsed="false" customWidth="true" hidden="false" outlineLevel="0" max="13" min="13" style="1" width="18.92"/>
  </cols>
  <sheetData>
    <row r="1" customFormat="false" ht="14.15" hidden="false" customHeight="true" outlineLevel="0" collapsed="false">
      <c r="A1" s="6" t="s">
        <v>1532</v>
      </c>
      <c r="B1" s="7" t="s">
        <v>1533</v>
      </c>
      <c r="C1" s="7" t="s">
        <v>1534</v>
      </c>
      <c r="D1" s="7" t="s">
        <v>1535</v>
      </c>
      <c r="E1" s="7" t="s">
        <v>1536</v>
      </c>
      <c r="F1" s="8" t="s">
        <v>1537</v>
      </c>
      <c r="G1" s="7" t="s">
        <v>1538</v>
      </c>
      <c r="H1" s="7" t="s">
        <v>1539</v>
      </c>
      <c r="I1" s="1" t="s">
        <v>8</v>
      </c>
      <c r="J1" s="2" t="s">
        <v>1540</v>
      </c>
      <c r="K1" s="2" t="s">
        <v>1541</v>
      </c>
      <c r="L1" s="1" t="s">
        <v>1542</v>
      </c>
      <c r="M1" s="1" t="s">
        <v>12</v>
      </c>
      <c r="N1" s="7" t="s">
        <v>1543</v>
      </c>
      <c r="O1" s="7" t="s">
        <v>1544</v>
      </c>
      <c r="P1" s="1" t="s">
        <v>1545</v>
      </c>
      <c r="Q1" s="1" t="s">
        <v>1546</v>
      </c>
    </row>
    <row r="2" customFormat="false" ht="14.15" hidden="false" customHeight="true" outlineLevel="0" collapsed="false">
      <c r="A2" s="7" t="str">
        <f aca="false">TRIM(customer_churn_dataset!A2)</f>
        <v>CUST100500</v>
      </c>
      <c r="B2" s="7" t="str">
        <f aca="false">PROPER(TRIM(customer_churn_dataset!B2))</f>
        <v>Standard</v>
      </c>
      <c r="C2" s="7" t="str">
        <f aca="false">PROPER(TRIM(customer_churn_dataset!C2))</f>
        <v>Month-To-Month</v>
      </c>
      <c r="D2" s="7" t="n">
        <f aca="false">IF(ISBLANK(customer_churn_dataset!D2),ROUND(MEDIAN(customer_churn_dataset!D$2:D$1501),2),IF(customer_churn_dataset!D2&lt;0,ABS(customer_churn_dataset!D2),customer_churn_dataset!D2))</f>
        <v>21.31</v>
      </c>
      <c r="E2" s="7" t="n">
        <f aca="false">IF(ISBLANK(customer_churn_dataset!E2),0,MAX(0,customer_churn_dataset!E2))</f>
        <v>20</v>
      </c>
      <c r="F2" s="8" t="n">
        <f aca="false">IF(ISBLANK(customer_churn_dataset!F2),"",customer_churn_dataset!F2)</f>
        <v>43833</v>
      </c>
      <c r="G2" s="7" t="str">
        <f aca="false">PROPER(TRIM(customer_churn_dataset!G2))</f>
        <v>Credit Card</v>
      </c>
      <c r="H2" s="7" t="n">
        <f aca="false">IF(ISBLANK(customer_churn_dataset!H2),0,customer_churn_dataset!H2)</f>
        <v>1</v>
      </c>
      <c r="I2" s="7" t="n">
        <f aca="false">IF(ISBLANK(customer_churn_dataset!I2),ROUND(MEDIAN(customer_churn_dataset!I$2:I$1501),1),MIN(100,MAX(0,customer_churn_dataset!I2)))</f>
        <v>78.8</v>
      </c>
      <c r="J2" s="7" t="n">
        <f aca="false">IF(ISBLANK(customer_churn_dataset!J2),0,MAX(0,customer_churn_dataset!J2))</f>
        <v>8</v>
      </c>
      <c r="K2" s="7" t="n">
        <f aca="false">IF(ISBLANK(customer_churn_dataset!K2),0,MIN(10,MAX(0,customer_churn_dataset!K2)))</f>
        <v>8</v>
      </c>
      <c r="L2" s="7" t="n">
        <f aca="false">IF(ISBLANK(customer_churn_dataset!L2),0,MAX(0,customer_churn_dataset!L2))</f>
        <v>2</v>
      </c>
      <c r="M2" s="7" t="n">
        <f aca="false">IF(ISBLANK(customer_churn_dataset!M2),0,customer_churn_dataset!M2)</f>
        <v>1</v>
      </c>
      <c r="N2" s="7" t="n">
        <f aca="false">IF(ISBLANK(customer_churn_dataset!N2),0,MAX(0,customer_churn_dataset!N2))</f>
        <v>426.2</v>
      </c>
      <c r="O2" s="7" t="n">
        <f aca="false">IF(ISBLANK(customer_churn_dataset!O2),0,customer_churn_dataset!O2)</f>
        <v>0</v>
      </c>
      <c r="P2" s="7" t="str">
        <f aca="false">IF(COUNTIF(customer_churn_dataset!$A$2:$A$1501,customer_churn_dataset!A2)&gt;1,"Duplicate","Unique")</f>
        <v>Unique</v>
      </c>
      <c r="Q2" s="7"/>
    </row>
    <row r="3" customFormat="false" ht="14.15" hidden="false" customHeight="true" outlineLevel="0" collapsed="false">
      <c r="A3" s="7" t="str">
        <f aca="false">TRIM(customer_churn_dataset!A3)</f>
        <v>CUST101041</v>
      </c>
      <c r="B3" s="7" t="str">
        <f aca="false">PROPER(TRIM(customer_churn_dataset!B3))</f>
        <v>Standard</v>
      </c>
      <c r="C3" s="7" t="str">
        <f aca="false">PROPER(TRIM(customer_churn_dataset!C3))</f>
        <v>Month-To-Month</v>
      </c>
      <c r="D3" s="7" t="n">
        <f aca="false">IF(ISBLANK(customer_churn_dataset!D3),ROUND(MEDIAN(customer_churn_dataset!D$2:D$1501),2),IF(customer_churn_dataset!D3&lt;0,ABS(customer_churn_dataset!D3),customer_churn_dataset!D3))</f>
        <v>19.8</v>
      </c>
      <c r="E3" s="7" t="n">
        <f aca="false">IF(ISBLANK(customer_churn_dataset!E3),0,MAX(0,customer_churn_dataset!E3))</f>
        <v>33</v>
      </c>
      <c r="F3" s="8" t="n">
        <f aca="false">IF(ISBLANK(customer_churn_dataset!F3),"",customer_churn_dataset!F3)</f>
        <v>43833</v>
      </c>
      <c r="G3" s="7" t="str">
        <f aca="false">PROPER(TRIM(customer_churn_dataset!G3))</f>
        <v>Manual/Invoice</v>
      </c>
      <c r="H3" s="7" t="n">
        <f aca="false">IF(ISBLANK(customer_churn_dataset!H3),0,customer_churn_dataset!H3)</f>
        <v>1</v>
      </c>
      <c r="I3" s="7" t="n">
        <f aca="false">IF(ISBLANK(customer_churn_dataset!I3),ROUND(MEDIAN(customer_churn_dataset!I$2:I$1501),1),MIN(100,MAX(0,customer_churn_dataset!I3)))</f>
        <v>46.1</v>
      </c>
      <c r="J3" s="7" t="n">
        <f aca="false">IF(ISBLANK(customer_churn_dataset!J3),0,MAX(0,customer_churn_dataset!J3))</f>
        <v>20</v>
      </c>
      <c r="K3" s="7" t="n">
        <f aca="false">IF(ISBLANK(customer_churn_dataset!K3),0,MIN(10,MAX(0,customer_churn_dataset!K3)))</f>
        <v>4</v>
      </c>
      <c r="L3" s="7" t="n">
        <f aca="false">IF(ISBLANK(customer_churn_dataset!L3),0,MAX(0,customer_churn_dataset!L3))</f>
        <v>0</v>
      </c>
      <c r="M3" s="7" t="n">
        <f aca="false">IF(ISBLANK(customer_churn_dataset!M3),0,customer_churn_dataset!M3)</f>
        <v>0</v>
      </c>
      <c r="N3" s="7" t="n">
        <f aca="false">IF(ISBLANK(customer_churn_dataset!N3),0,MAX(0,customer_churn_dataset!N3))</f>
        <v>653.4</v>
      </c>
      <c r="O3" s="7" t="n">
        <f aca="false">IF(ISBLANK(customer_churn_dataset!O3),0,customer_churn_dataset!O3)</f>
        <v>0</v>
      </c>
      <c r="P3" s="7" t="str">
        <f aca="false">IF(COUNTIF(customer_churn_dataset!$A$2:$A$1501,customer_churn_dataset!A3)&gt;1,"Duplicate","Unique")</f>
        <v>Unique</v>
      </c>
    </row>
    <row r="4" customFormat="false" ht="14.15" hidden="false" customHeight="true" outlineLevel="0" collapsed="false">
      <c r="A4" s="7" t="str">
        <f aca="false">TRIM(customer_churn_dataset!A4)</f>
        <v>CUST100305</v>
      </c>
      <c r="B4" s="7" t="str">
        <f aca="false">PROPER(TRIM(customer_churn_dataset!B4))</f>
        <v>Premium</v>
      </c>
      <c r="C4" s="7" t="str">
        <f aca="false">PROPER(TRIM(customer_churn_dataset!C4))</f>
        <v>Month-To-Month</v>
      </c>
      <c r="D4" s="7" t="n">
        <f aca="false">IF(ISBLANK(customer_churn_dataset!D4),ROUND(MEDIAN(customer_churn_dataset!D$2:D$1501),2),IF(customer_churn_dataset!D4&lt;0,ABS(customer_churn_dataset!D4),customer_churn_dataset!D4))</f>
        <v>40.58</v>
      </c>
      <c r="E4" s="7" t="n">
        <f aca="false">IF(ISBLANK(customer_churn_dataset!E4),0,MAX(0,customer_churn_dataset!E4))</f>
        <v>18</v>
      </c>
      <c r="F4" s="8" t="n">
        <f aca="false">IF(ISBLANK(customer_churn_dataset!F4),"",customer_churn_dataset!F4)</f>
        <v>43834</v>
      </c>
      <c r="G4" s="7" t="str">
        <f aca="false">PROPER(TRIM(customer_churn_dataset!G4))</f>
        <v>Bank Transfer</v>
      </c>
      <c r="H4" s="7" t="n">
        <f aca="false">IF(ISBLANK(customer_churn_dataset!H4),0,customer_churn_dataset!H4)</f>
        <v>1</v>
      </c>
      <c r="I4" s="7" t="n">
        <f aca="false">IF(ISBLANK(customer_churn_dataset!I4),ROUND(MEDIAN(customer_churn_dataset!I$2:I$1501),1),MIN(100,MAX(0,customer_churn_dataset!I4)))</f>
        <v>49.8</v>
      </c>
      <c r="J4" s="7" t="n">
        <f aca="false">IF(ISBLANK(customer_churn_dataset!J4),0,MAX(0,customer_churn_dataset!J4))</f>
        <v>17</v>
      </c>
      <c r="K4" s="7" t="n">
        <f aca="false">IF(ISBLANK(customer_churn_dataset!K4),0,MIN(10,MAX(0,customer_churn_dataset!K4)))</f>
        <v>6</v>
      </c>
      <c r="L4" s="7" t="n">
        <f aca="false">IF(ISBLANK(customer_churn_dataset!L4),0,MAX(0,customer_churn_dataset!L4))</f>
        <v>3</v>
      </c>
      <c r="M4" s="7" t="n">
        <f aca="false">IF(ISBLANK(customer_churn_dataset!M4),0,customer_churn_dataset!M4)</f>
        <v>0</v>
      </c>
      <c r="N4" s="7" t="n">
        <f aca="false">IF(ISBLANK(customer_churn_dataset!N4),0,MAX(0,customer_churn_dataset!N4))</f>
        <v>730.44</v>
      </c>
      <c r="O4" s="7" t="n">
        <f aca="false">IF(ISBLANK(customer_churn_dataset!O4),0,customer_churn_dataset!O4)</f>
        <v>0</v>
      </c>
      <c r="P4" s="7" t="str">
        <f aca="false">IF(COUNTIF(customer_churn_dataset!$A$2:$A$1501,customer_churn_dataset!A4)&gt;1,"Duplicate","Unique")</f>
        <v>Unique</v>
      </c>
    </row>
    <row r="5" customFormat="false" ht="14.15" hidden="false" customHeight="true" outlineLevel="0" collapsed="false">
      <c r="A5" s="7" t="str">
        <f aca="false">TRIM(customer_churn_dataset!A5)</f>
        <v>CUST101045</v>
      </c>
      <c r="B5" s="7" t="str">
        <f aca="false">PROPER(TRIM(customer_churn_dataset!B5))</f>
        <v>Standard</v>
      </c>
      <c r="C5" s="7" t="str">
        <f aca="false">PROPER(TRIM(customer_churn_dataset!C5))</f>
        <v>Month-To-Month</v>
      </c>
      <c r="D5" s="7" t="n">
        <f aca="false">IF(ISBLANK(customer_churn_dataset!D5),ROUND(MEDIAN(customer_churn_dataset!D$2:D$1501),2),IF(customer_churn_dataset!D5&lt;0,ABS(customer_churn_dataset!D5),customer_churn_dataset!D5))</f>
        <v>20.46</v>
      </c>
      <c r="E5" s="7" t="n">
        <f aca="false">IF(ISBLANK(customer_churn_dataset!E5),0,MAX(0,customer_churn_dataset!E5))</f>
        <v>57</v>
      </c>
      <c r="F5" s="8" t="n">
        <f aca="false">IF(ISBLANK(customer_churn_dataset!F5),"",customer_churn_dataset!F5)</f>
        <v>43837</v>
      </c>
      <c r="G5" s="7" t="str">
        <f aca="false">PROPER(TRIM(customer_churn_dataset!G5))</f>
        <v>Credit Card</v>
      </c>
      <c r="H5" s="7" t="n">
        <f aca="false">IF(ISBLANK(customer_churn_dataset!H5),0,customer_churn_dataset!H5)</f>
        <v>0</v>
      </c>
      <c r="I5" s="7" t="n">
        <f aca="false">IF(ISBLANK(customer_churn_dataset!I5),ROUND(MEDIAN(customer_churn_dataset!I$2:I$1501),1),MIN(100,MAX(0,customer_churn_dataset!I5)))</f>
        <v>42.4</v>
      </c>
      <c r="J5" s="7" t="n">
        <f aca="false">IF(ISBLANK(customer_churn_dataset!J5),0,MAX(0,customer_churn_dataset!J5))</f>
        <v>10</v>
      </c>
      <c r="K5" s="7" t="n">
        <f aca="false">IF(ISBLANK(customer_churn_dataset!K5),0,MIN(10,MAX(0,customer_churn_dataset!K5)))</f>
        <v>3</v>
      </c>
      <c r="L5" s="7" t="n">
        <f aca="false">IF(ISBLANK(customer_churn_dataset!L5),0,MAX(0,customer_churn_dataset!L5))</f>
        <v>1</v>
      </c>
      <c r="M5" s="7" t="n">
        <f aca="false">IF(ISBLANK(customer_churn_dataset!M5),0,customer_churn_dataset!M5)</f>
        <v>0</v>
      </c>
      <c r="N5" s="7" t="n">
        <f aca="false">IF(ISBLANK(customer_churn_dataset!N5),0,MAX(0,customer_churn_dataset!N5))</f>
        <v>1166.22</v>
      </c>
      <c r="O5" s="7" t="n">
        <f aca="false">IF(ISBLANK(customer_churn_dataset!O5),0,customer_churn_dataset!O5)</f>
        <v>0</v>
      </c>
      <c r="P5" s="7" t="str">
        <f aca="false">IF(COUNTIF(customer_churn_dataset!$A$2:$A$1501,customer_churn_dataset!A5)&gt;1,"Duplicate","Unique")</f>
        <v>Unique</v>
      </c>
    </row>
    <row r="6" customFormat="false" ht="14.15" hidden="false" customHeight="true" outlineLevel="0" collapsed="false">
      <c r="A6" s="7" t="str">
        <f aca="false">TRIM(customer_churn_dataset!A6)</f>
        <v>CUST101341</v>
      </c>
      <c r="B6" s="7" t="str">
        <f aca="false">PROPER(TRIM(customer_churn_dataset!B6))</f>
        <v>Standard</v>
      </c>
      <c r="C6" s="7" t="str">
        <f aca="false">PROPER(TRIM(customer_churn_dataset!C6))</f>
        <v>Month-To-Month</v>
      </c>
      <c r="D6" s="7" t="n">
        <f aca="false">IF(ISBLANK(customer_churn_dataset!D6),ROUND(MEDIAN(customer_churn_dataset!D$2:D$1501),2),IF(customer_churn_dataset!D6&lt;0,ABS(customer_churn_dataset!D6),customer_churn_dataset!D6))</f>
        <v>20.96</v>
      </c>
      <c r="E6" s="7" t="n">
        <f aca="false">IF(ISBLANK(customer_churn_dataset!E6),0,MAX(0,customer_churn_dataset!E6))</f>
        <v>9</v>
      </c>
      <c r="F6" s="8" t="n">
        <f aca="false">IF(ISBLANK(customer_churn_dataset!F6),"",customer_churn_dataset!F6)</f>
        <v>43837</v>
      </c>
      <c r="G6" s="7" t="str">
        <f aca="false">PROPER(TRIM(customer_churn_dataset!G6))</f>
        <v>Bank Transfer</v>
      </c>
      <c r="H6" s="7" t="n">
        <f aca="false">IF(ISBLANK(customer_churn_dataset!H6),0,customer_churn_dataset!H6)</f>
        <v>1</v>
      </c>
      <c r="I6" s="7" t="n">
        <f aca="false">IF(ISBLANK(customer_churn_dataset!I6),ROUND(MEDIAN(customer_churn_dataset!I$2:I$1501),1),MIN(100,MAX(0,customer_churn_dataset!I6)))</f>
        <v>54.2</v>
      </c>
      <c r="J6" s="7" t="n">
        <f aca="false">IF(ISBLANK(customer_churn_dataset!J6),0,MAX(0,customer_churn_dataset!J6))</f>
        <v>17</v>
      </c>
      <c r="K6" s="7" t="n">
        <f aca="false">IF(ISBLANK(customer_churn_dataset!K6),0,MIN(10,MAX(0,customer_churn_dataset!K6)))</f>
        <v>6</v>
      </c>
      <c r="L6" s="7" t="n">
        <f aca="false">IF(ISBLANK(customer_churn_dataset!L6),0,MAX(0,customer_churn_dataset!L6))</f>
        <v>2</v>
      </c>
      <c r="M6" s="7" t="n">
        <f aca="false">IF(ISBLANK(customer_churn_dataset!M6),0,customer_churn_dataset!M6)</f>
        <v>1</v>
      </c>
      <c r="N6" s="7" t="n">
        <f aca="false">IF(ISBLANK(customer_churn_dataset!N6),0,MAX(0,customer_churn_dataset!N6))</f>
        <v>188.64</v>
      </c>
      <c r="O6" s="7" t="n">
        <f aca="false">IF(ISBLANK(customer_churn_dataset!O6),0,customer_churn_dataset!O6)</f>
        <v>0</v>
      </c>
      <c r="P6" s="7" t="str">
        <f aca="false">IF(COUNTIF(customer_churn_dataset!$A$2:$A$1501,customer_churn_dataset!A6)&gt;1,"Duplicate","Unique")</f>
        <v>Unique</v>
      </c>
    </row>
    <row r="7" customFormat="false" ht="14.15" hidden="false" customHeight="true" outlineLevel="0" collapsed="false">
      <c r="A7" s="7" t="str">
        <f aca="false">TRIM(customer_churn_dataset!A7)</f>
        <v>CUST101313</v>
      </c>
      <c r="B7" s="7" t="str">
        <f aca="false">PROPER(TRIM(customer_churn_dataset!B7))</f>
        <v>Premium</v>
      </c>
      <c r="C7" s="7" t="str">
        <f aca="false">PROPER(TRIM(customer_churn_dataset!C7))</f>
        <v>One Year</v>
      </c>
      <c r="D7" s="7" t="n">
        <f aca="false">IF(ISBLANK(customer_churn_dataset!D7),ROUND(MEDIAN(customer_churn_dataset!D$2:D$1501),2),IF(customer_churn_dataset!D7&lt;0,ABS(customer_churn_dataset!D7),customer_churn_dataset!D7))</f>
        <v>38.61</v>
      </c>
      <c r="E7" s="7" t="n">
        <f aca="false">IF(ISBLANK(customer_churn_dataset!E7),0,MAX(0,customer_churn_dataset!E7))</f>
        <v>8</v>
      </c>
      <c r="F7" s="8" t="n">
        <f aca="false">IF(ISBLANK(customer_churn_dataset!F7),"",customer_churn_dataset!F7)</f>
        <v>43839</v>
      </c>
      <c r="G7" s="7" t="str">
        <f aca="false">PROPER(TRIM(customer_churn_dataset!G7))</f>
        <v>Credit Card</v>
      </c>
      <c r="H7" s="7" t="n">
        <f aca="false">IF(ISBLANK(customer_churn_dataset!H7),0,customer_churn_dataset!H7)</f>
        <v>0</v>
      </c>
      <c r="I7" s="7" t="n">
        <f aca="false">IF(ISBLANK(customer_churn_dataset!I7),ROUND(MEDIAN(customer_churn_dataset!I$2:I$1501),1),MIN(100,MAX(0,customer_churn_dataset!I7)))</f>
        <v>45.7</v>
      </c>
      <c r="J7" s="7" t="n">
        <f aca="false">IF(ISBLANK(customer_churn_dataset!J7),0,MAX(0,customer_churn_dataset!J7))</f>
        <v>14</v>
      </c>
      <c r="K7" s="7" t="n">
        <f aca="false">IF(ISBLANK(customer_churn_dataset!K7),0,MIN(10,MAX(0,customer_churn_dataset!K7)))</f>
        <v>2</v>
      </c>
      <c r="L7" s="7" t="n">
        <f aca="false">IF(ISBLANK(customer_churn_dataset!L7),0,MAX(0,customer_churn_dataset!L7))</f>
        <v>1</v>
      </c>
      <c r="M7" s="7" t="n">
        <f aca="false">IF(ISBLANK(customer_churn_dataset!M7),0,customer_churn_dataset!M7)</f>
        <v>1</v>
      </c>
      <c r="N7" s="7" t="n">
        <f aca="false">IF(ISBLANK(customer_churn_dataset!N7),0,MAX(0,customer_churn_dataset!N7))</f>
        <v>308.88</v>
      </c>
      <c r="O7" s="7" t="n">
        <f aca="false">IF(ISBLANK(customer_churn_dataset!O7),0,customer_churn_dataset!O7)</f>
        <v>1</v>
      </c>
      <c r="P7" s="7" t="str">
        <f aca="false">IF(COUNTIF(customer_churn_dataset!$A$2:$A$1501,customer_churn_dataset!A7)&gt;1,"Duplicate","Unique")</f>
        <v>Unique</v>
      </c>
    </row>
    <row r="8" customFormat="false" ht="14.15" hidden="false" customHeight="true" outlineLevel="0" collapsed="false">
      <c r="A8" s="7" t="str">
        <f aca="false">TRIM(customer_churn_dataset!A8)</f>
        <v>CUST100592</v>
      </c>
      <c r="B8" s="7" t="str">
        <f aca="false">PROPER(TRIM(customer_churn_dataset!B8))</f>
        <v>Basic</v>
      </c>
      <c r="C8" s="7" t="str">
        <f aca="false">PROPER(TRIM(customer_churn_dataset!C8))</f>
        <v>Month-To-Month</v>
      </c>
      <c r="D8" s="7" t="n">
        <f aca="false">IF(ISBLANK(customer_churn_dataset!D8),ROUND(MEDIAN(customer_churn_dataset!D$2:D$1501),2),IF(customer_churn_dataset!D8&lt;0,ABS(customer_churn_dataset!D8),customer_churn_dataset!D8))</f>
        <v>9.34</v>
      </c>
      <c r="E8" s="7" t="n">
        <f aca="false">IF(ISBLANK(customer_churn_dataset!E8),0,MAX(0,customer_churn_dataset!E8))</f>
        <v>72</v>
      </c>
      <c r="F8" s="8" t="n">
        <f aca="false">IF(ISBLANK(customer_churn_dataset!F8),"",customer_churn_dataset!F8)</f>
        <v>43842</v>
      </c>
      <c r="G8" s="7" t="str">
        <f aca="false">PROPER(TRIM(customer_churn_dataset!G8))</f>
        <v>Bank Transfer</v>
      </c>
      <c r="H8" s="7" t="n">
        <f aca="false">IF(ISBLANK(customer_churn_dataset!H8),0,customer_churn_dataset!H8)</f>
        <v>0</v>
      </c>
      <c r="I8" s="7" t="n">
        <f aca="false">IF(ISBLANK(customer_churn_dataset!I8),ROUND(MEDIAN(customer_churn_dataset!I$2:I$1501),1),MIN(100,MAX(0,customer_churn_dataset!I8)))</f>
        <v>72.8</v>
      </c>
      <c r="J8" s="7" t="n">
        <f aca="false">IF(ISBLANK(customer_churn_dataset!J8),0,MAX(0,customer_churn_dataset!J8))</f>
        <v>25</v>
      </c>
      <c r="K8" s="7" t="n">
        <f aca="false">IF(ISBLANK(customer_churn_dataset!K8),0,MIN(10,MAX(0,customer_churn_dataset!K8)))</f>
        <v>8</v>
      </c>
      <c r="L8" s="7" t="n">
        <f aca="false">IF(ISBLANK(customer_churn_dataset!L8),0,MAX(0,customer_churn_dataset!L8))</f>
        <v>1</v>
      </c>
      <c r="M8" s="7" t="n">
        <f aca="false">IF(ISBLANK(customer_churn_dataset!M8),0,customer_churn_dataset!M8)</f>
        <v>0</v>
      </c>
      <c r="N8" s="7" t="n">
        <f aca="false">IF(ISBLANK(customer_churn_dataset!N8),0,MAX(0,customer_churn_dataset!N8))</f>
        <v>672.48</v>
      </c>
      <c r="O8" s="7" t="n">
        <f aca="false">IF(ISBLANK(customer_churn_dataset!O8),0,customer_churn_dataset!O8)</f>
        <v>0</v>
      </c>
      <c r="P8" s="7" t="str">
        <f aca="false">IF(COUNTIF(customer_churn_dataset!$A$2:$A$1501,customer_churn_dataset!A8)&gt;1,"Duplicate","Unique")</f>
        <v>Unique</v>
      </c>
    </row>
    <row r="9" customFormat="false" ht="14.15" hidden="false" customHeight="true" outlineLevel="0" collapsed="false">
      <c r="A9" s="7" t="str">
        <f aca="false">TRIM(customer_churn_dataset!A9)</f>
        <v>CUST101076</v>
      </c>
      <c r="B9" s="7" t="str">
        <f aca="false">PROPER(TRIM(customer_churn_dataset!B9))</f>
        <v>Basic</v>
      </c>
      <c r="C9" s="7" t="str">
        <f aca="false">PROPER(TRIM(customer_churn_dataset!C9))</f>
        <v>Month-To-Month</v>
      </c>
      <c r="D9" s="7" t="n">
        <f aca="false">IF(ISBLANK(customer_churn_dataset!D9),ROUND(MEDIAN(customer_churn_dataset!D$2:D$1501),2),IF(customer_churn_dataset!D9&lt;0,ABS(customer_churn_dataset!D9),customer_churn_dataset!D9))</f>
        <v>10</v>
      </c>
      <c r="E9" s="7" t="n">
        <f aca="false">IF(ISBLANK(customer_churn_dataset!E9),0,MAX(0,customer_churn_dataset!E9))</f>
        <v>0</v>
      </c>
      <c r="F9" s="8" t="n">
        <f aca="false">IF(ISBLANK(customer_churn_dataset!F9),"",customer_churn_dataset!F9)</f>
        <v>43843</v>
      </c>
      <c r="G9" s="7" t="str">
        <f aca="false">PROPER(TRIM(customer_churn_dataset!G9))</f>
        <v>Credit Card</v>
      </c>
      <c r="H9" s="7" t="n">
        <f aca="false">IF(ISBLANK(customer_churn_dataset!H9),0,customer_churn_dataset!H9)</f>
        <v>0</v>
      </c>
      <c r="I9" s="7" t="n">
        <f aca="false">IF(ISBLANK(customer_churn_dataset!I9),ROUND(MEDIAN(customer_churn_dataset!I$2:I$1501),1),MIN(100,MAX(0,customer_churn_dataset!I9)))</f>
        <v>33.9</v>
      </c>
      <c r="J9" s="7" t="n">
        <f aca="false">IF(ISBLANK(customer_churn_dataset!J9),0,MAX(0,customer_churn_dataset!J9))</f>
        <v>9</v>
      </c>
      <c r="K9" s="7" t="n">
        <f aca="false">IF(ISBLANK(customer_churn_dataset!K9),0,MIN(10,MAX(0,customer_churn_dataset!K9)))</f>
        <v>4</v>
      </c>
      <c r="L9" s="7" t="n">
        <f aca="false">IF(ISBLANK(customer_churn_dataset!L9),0,MAX(0,customer_churn_dataset!L9))</f>
        <v>1</v>
      </c>
      <c r="M9" s="7" t="n">
        <f aca="false">IF(ISBLANK(customer_churn_dataset!M9),0,customer_churn_dataset!M9)</f>
        <v>0</v>
      </c>
      <c r="N9" s="7" t="n">
        <f aca="false">IF(ISBLANK(customer_churn_dataset!N9),0,MAX(0,customer_churn_dataset!N9))</f>
        <v>0</v>
      </c>
      <c r="O9" s="7" t="n">
        <f aca="false">IF(ISBLANK(customer_churn_dataset!O9),0,customer_churn_dataset!O9)</f>
        <v>1</v>
      </c>
      <c r="P9" s="7" t="str">
        <f aca="false">IF(COUNTIF(customer_churn_dataset!$A$2:$A$1501,customer_churn_dataset!A9)&gt;1,"Duplicate","Unique")</f>
        <v>Unique</v>
      </c>
    </row>
    <row r="10" customFormat="false" ht="14.15" hidden="false" customHeight="true" outlineLevel="0" collapsed="false">
      <c r="A10" s="7" t="str">
        <f aca="false">TRIM(customer_churn_dataset!A10)</f>
        <v>CUST101481</v>
      </c>
      <c r="B10" s="7" t="str">
        <f aca="false">PROPER(TRIM(customer_churn_dataset!B10))</f>
        <v>Basic</v>
      </c>
      <c r="C10" s="7" t="str">
        <f aca="false">PROPER(TRIM(customer_churn_dataset!C10))</f>
        <v>Month-To-Month</v>
      </c>
      <c r="D10" s="7" t="n">
        <f aca="false">IF(ISBLANK(customer_churn_dataset!D10),ROUND(MEDIAN(customer_churn_dataset!D$2:D$1501),2),IF(customer_churn_dataset!D10&lt;0,ABS(customer_churn_dataset!D10),customer_churn_dataset!D10))</f>
        <v>9.77</v>
      </c>
      <c r="E10" s="7" t="n">
        <f aca="false">IF(ISBLANK(customer_churn_dataset!E10),0,MAX(0,customer_churn_dataset!E10))</f>
        <v>72</v>
      </c>
      <c r="F10" s="8" t="n">
        <f aca="false">IF(ISBLANK(customer_churn_dataset!F10),"",customer_churn_dataset!F10)</f>
        <v>43843</v>
      </c>
      <c r="G10" s="7" t="str">
        <f aca="false">PROPER(TRIM(customer_churn_dataset!G10))</f>
        <v>Paypal</v>
      </c>
      <c r="H10" s="7" t="n">
        <f aca="false">IF(ISBLANK(customer_churn_dataset!H10),0,customer_churn_dataset!H10)</f>
        <v>0</v>
      </c>
      <c r="I10" s="7" t="n">
        <f aca="false">IF(ISBLANK(customer_churn_dataset!I10),ROUND(MEDIAN(customer_churn_dataset!I$2:I$1501),1),MIN(100,MAX(0,customer_churn_dataset!I10)))</f>
        <v>38.9</v>
      </c>
      <c r="J10" s="7" t="n">
        <f aca="false">IF(ISBLANK(customer_churn_dataset!J10),0,MAX(0,customer_churn_dataset!J10))</f>
        <v>10</v>
      </c>
      <c r="K10" s="7" t="n">
        <f aca="false">IF(ISBLANK(customer_churn_dataset!K10),0,MIN(10,MAX(0,customer_churn_dataset!K10)))</f>
        <v>4</v>
      </c>
      <c r="L10" s="7" t="n">
        <f aca="false">IF(ISBLANK(customer_churn_dataset!L10),0,MAX(0,customer_churn_dataset!L10))</f>
        <v>1</v>
      </c>
      <c r="M10" s="7" t="n">
        <f aca="false">IF(ISBLANK(customer_churn_dataset!M10),0,customer_churn_dataset!M10)</f>
        <v>1</v>
      </c>
      <c r="N10" s="7" t="n">
        <f aca="false">IF(ISBLANK(customer_churn_dataset!N10),0,MAX(0,customer_churn_dataset!N10))</f>
        <v>703.44</v>
      </c>
      <c r="O10" s="7" t="n">
        <f aca="false">IF(ISBLANK(customer_churn_dataset!O10),0,customer_churn_dataset!O10)</f>
        <v>0</v>
      </c>
      <c r="P10" s="7" t="str">
        <f aca="false">IF(COUNTIF(customer_churn_dataset!$A$2:$A$1501,customer_churn_dataset!A10)&gt;1,"Duplicate","Unique")</f>
        <v>Unique</v>
      </c>
    </row>
    <row r="11" customFormat="false" ht="14.15" hidden="false" customHeight="true" outlineLevel="0" collapsed="false">
      <c r="A11" s="7" t="str">
        <f aca="false">TRIM(customer_churn_dataset!A11)</f>
        <v>CUST100688</v>
      </c>
      <c r="B11" s="7" t="str">
        <f aca="false">PROPER(TRIM(customer_churn_dataset!B11))</f>
        <v>Standard</v>
      </c>
      <c r="C11" s="7" t="str">
        <f aca="false">PROPER(TRIM(customer_churn_dataset!C11))</f>
        <v>One Year</v>
      </c>
      <c r="D11" s="7" t="n">
        <f aca="false">IF(ISBLANK(customer_churn_dataset!D11),ROUND(MEDIAN(customer_churn_dataset!D$2:D$1501),2),IF(customer_churn_dataset!D11&lt;0,ABS(customer_churn_dataset!D11),customer_churn_dataset!D11))</f>
        <v>20.96</v>
      </c>
      <c r="E11" s="7" t="n">
        <f aca="false">IF(ISBLANK(customer_churn_dataset!E11),0,MAX(0,customer_churn_dataset!E11))</f>
        <v>39</v>
      </c>
      <c r="F11" s="8" t="n">
        <f aca="false">IF(ISBLANK(customer_churn_dataset!F11),"",customer_churn_dataset!F11)</f>
        <v>43845</v>
      </c>
      <c r="G11" s="7" t="str">
        <f aca="false">PROPER(TRIM(customer_churn_dataset!G11))</f>
        <v>Paypal</v>
      </c>
      <c r="H11" s="7" t="n">
        <f aca="false">IF(ISBLANK(customer_churn_dataset!H11),0,customer_churn_dataset!H11)</f>
        <v>1</v>
      </c>
      <c r="I11" s="7" t="n">
        <f aca="false">IF(ISBLANK(customer_churn_dataset!I11),ROUND(MEDIAN(customer_churn_dataset!I$2:I$1501),1),MIN(100,MAX(0,customer_churn_dataset!I11)))</f>
        <v>42.3</v>
      </c>
      <c r="J11" s="7" t="n">
        <f aca="false">IF(ISBLANK(customer_churn_dataset!J11),0,MAX(0,customer_churn_dataset!J11))</f>
        <v>10</v>
      </c>
      <c r="K11" s="7" t="n">
        <f aca="false">IF(ISBLANK(customer_churn_dataset!K11),0,MIN(10,MAX(0,customer_churn_dataset!K11)))</f>
        <v>5</v>
      </c>
      <c r="L11" s="7" t="n">
        <f aca="false">IF(ISBLANK(customer_churn_dataset!L11),0,MAX(0,customer_churn_dataset!L11))</f>
        <v>1</v>
      </c>
      <c r="M11" s="7" t="n">
        <f aca="false">IF(ISBLANK(customer_churn_dataset!M11),0,customer_churn_dataset!M11)</f>
        <v>1</v>
      </c>
      <c r="N11" s="7" t="n">
        <f aca="false">IF(ISBLANK(customer_churn_dataset!N11),0,MAX(0,customer_churn_dataset!N11))</f>
        <v>817.44</v>
      </c>
      <c r="O11" s="7" t="n">
        <f aca="false">IF(ISBLANK(customer_churn_dataset!O11),0,customer_churn_dataset!O11)</f>
        <v>0</v>
      </c>
      <c r="P11" s="7" t="str">
        <f aca="false">IF(COUNTIF(customer_churn_dataset!$A$2:$A$1501,customer_churn_dataset!A11)&gt;1,"Duplicate","Unique")</f>
        <v>Unique</v>
      </c>
    </row>
    <row r="12" customFormat="false" ht="14.15" hidden="false" customHeight="true" outlineLevel="0" collapsed="false">
      <c r="A12" s="7" t="str">
        <f aca="false">TRIM(customer_churn_dataset!A12)</f>
        <v>CUST100968</v>
      </c>
      <c r="B12" s="7" t="str">
        <f aca="false">PROPER(TRIM(customer_churn_dataset!B12))</f>
        <v>Standard</v>
      </c>
      <c r="C12" s="7" t="str">
        <f aca="false">PROPER(TRIM(customer_churn_dataset!C12))</f>
        <v>Month-To-Month</v>
      </c>
      <c r="D12" s="7" t="n">
        <f aca="false">IF(ISBLANK(customer_churn_dataset!D12),ROUND(MEDIAN(customer_churn_dataset!D$2:D$1501),2),IF(customer_churn_dataset!D12&lt;0,ABS(customer_churn_dataset!D12),customer_churn_dataset!D12))</f>
        <v>20.71</v>
      </c>
      <c r="E12" s="7" t="n">
        <f aca="false">IF(ISBLANK(customer_churn_dataset!E12),0,MAX(0,customer_churn_dataset!E12))</f>
        <v>35</v>
      </c>
      <c r="F12" s="8" t="n">
        <f aca="false">IF(ISBLANK(customer_churn_dataset!F12),"",customer_churn_dataset!F12)</f>
        <v>43845</v>
      </c>
      <c r="G12" s="7" t="str">
        <f aca="false">PROPER(TRIM(customer_churn_dataset!G12))</f>
        <v>Credit Card</v>
      </c>
      <c r="H12" s="7" t="n">
        <f aca="false">IF(ISBLANK(customer_churn_dataset!H12),0,customer_churn_dataset!H12)</f>
        <v>0</v>
      </c>
      <c r="I12" s="7" t="n">
        <f aca="false">IF(ISBLANK(customer_churn_dataset!I12),ROUND(MEDIAN(customer_churn_dataset!I$2:I$1501),1),MIN(100,MAX(0,customer_churn_dataset!I12)))</f>
        <v>76.7</v>
      </c>
      <c r="J12" s="7" t="n">
        <f aca="false">IF(ISBLANK(customer_churn_dataset!J12),0,MAX(0,customer_churn_dataset!J12))</f>
        <v>25</v>
      </c>
      <c r="K12" s="7" t="n">
        <f aca="false">IF(ISBLANK(customer_churn_dataset!K12),0,MIN(10,MAX(0,customer_churn_dataset!K12)))</f>
        <v>6</v>
      </c>
      <c r="L12" s="7" t="n">
        <f aca="false">IF(ISBLANK(customer_churn_dataset!L12),0,MAX(0,customer_churn_dataset!L12))</f>
        <v>0</v>
      </c>
      <c r="M12" s="7" t="n">
        <f aca="false">IF(ISBLANK(customer_churn_dataset!M12),0,customer_churn_dataset!M12)</f>
        <v>0</v>
      </c>
      <c r="N12" s="7" t="n">
        <f aca="false">IF(ISBLANK(customer_churn_dataset!N12),0,MAX(0,customer_churn_dataset!N12))</f>
        <v>724.85</v>
      </c>
      <c r="O12" s="7" t="n">
        <f aca="false">IF(ISBLANK(customer_churn_dataset!O12),0,customer_churn_dataset!O12)</f>
        <v>0</v>
      </c>
      <c r="P12" s="7" t="str">
        <f aca="false">IF(COUNTIF(customer_churn_dataset!$A$2:$A$1501,customer_churn_dataset!A12)&gt;1,"Duplicate","Unique")</f>
        <v>Unique</v>
      </c>
    </row>
    <row r="13" customFormat="false" ht="14.15" hidden="false" customHeight="true" outlineLevel="0" collapsed="false">
      <c r="A13" s="7" t="str">
        <f aca="false">TRIM(customer_churn_dataset!A13)</f>
        <v>CUST101408</v>
      </c>
      <c r="B13" s="7" t="str">
        <f aca="false">PROPER(TRIM(customer_churn_dataset!B13))</f>
        <v>Standard</v>
      </c>
      <c r="C13" s="7" t="str">
        <f aca="false">PROPER(TRIM(customer_churn_dataset!C13))</f>
        <v>Month-To-Month</v>
      </c>
      <c r="D13" s="7" t="n">
        <f aca="false">IF(ISBLANK(customer_churn_dataset!D13),ROUND(MEDIAN(customer_churn_dataset!D$2:D$1501),2),IF(customer_churn_dataset!D13&lt;0,ABS(customer_churn_dataset!D13),customer_churn_dataset!D13))</f>
        <v>20.85</v>
      </c>
      <c r="E13" s="7" t="n">
        <f aca="false">IF(ISBLANK(customer_churn_dataset!E13),0,MAX(0,customer_churn_dataset!E13))</f>
        <v>19</v>
      </c>
      <c r="F13" s="8" t="n">
        <f aca="false">IF(ISBLANK(customer_churn_dataset!F13),"",customer_churn_dataset!F13)</f>
        <v>43845</v>
      </c>
      <c r="G13" s="7" t="str">
        <f aca="false">PROPER(TRIM(customer_churn_dataset!G13))</f>
        <v>Credit Card</v>
      </c>
      <c r="H13" s="7" t="n">
        <f aca="false">IF(ISBLANK(customer_churn_dataset!H13),0,customer_churn_dataset!H13)</f>
        <v>1</v>
      </c>
      <c r="I13" s="7" t="n">
        <f aca="false">IF(ISBLANK(customer_churn_dataset!I13),ROUND(MEDIAN(customer_churn_dataset!I$2:I$1501),1),MIN(100,MAX(0,customer_churn_dataset!I13)))</f>
        <v>47.5</v>
      </c>
      <c r="J13" s="7" t="n">
        <f aca="false">IF(ISBLANK(customer_churn_dataset!J13),0,MAX(0,customer_churn_dataset!J13))</f>
        <v>20</v>
      </c>
      <c r="K13" s="7" t="n">
        <f aca="false">IF(ISBLANK(customer_churn_dataset!K13),0,MIN(10,MAX(0,customer_churn_dataset!K13)))</f>
        <v>6</v>
      </c>
      <c r="L13" s="7" t="n">
        <f aca="false">IF(ISBLANK(customer_churn_dataset!L13),0,MAX(0,customer_churn_dataset!L13))</f>
        <v>3</v>
      </c>
      <c r="M13" s="7" t="n">
        <f aca="false">IF(ISBLANK(customer_churn_dataset!M13),0,customer_churn_dataset!M13)</f>
        <v>0</v>
      </c>
      <c r="N13" s="7" t="n">
        <f aca="false">IF(ISBLANK(customer_churn_dataset!N13),0,MAX(0,customer_churn_dataset!N13))</f>
        <v>396.15</v>
      </c>
      <c r="O13" s="7" t="n">
        <f aca="false">IF(ISBLANK(customer_churn_dataset!O13),0,customer_churn_dataset!O13)</f>
        <v>0</v>
      </c>
      <c r="P13" s="7" t="str">
        <f aca="false">IF(COUNTIF(customer_churn_dataset!$A$2:$A$1501,customer_churn_dataset!A13)&gt;1,"Duplicate","Unique")</f>
        <v>Unique</v>
      </c>
    </row>
    <row r="14" customFormat="false" ht="14.15" hidden="false" customHeight="true" outlineLevel="0" collapsed="false">
      <c r="A14" s="7" t="str">
        <f aca="false">TRIM(customer_churn_dataset!A14)</f>
        <v>CUST101084</v>
      </c>
      <c r="B14" s="7" t="str">
        <f aca="false">PROPER(TRIM(customer_churn_dataset!B14))</f>
        <v>Premium</v>
      </c>
      <c r="C14" s="7" t="str">
        <f aca="false">PROPER(TRIM(customer_churn_dataset!C14))</f>
        <v>Month-To-Month</v>
      </c>
      <c r="D14" s="7" t="n">
        <f aca="false">IF(ISBLANK(customer_churn_dataset!D14),ROUND(MEDIAN(customer_churn_dataset!D$2:D$1501),2),IF(customer_churn_dataset!D14&lt;0,ABS(customer_churn_dataset!D14),customer_churn_dataset!D14))</f>
        <v>41.61</v>
      </c>
      <c r="E14" s="7" t="n">
        <f aca="false">IF(ISBLANK(customer_churn_dataset!E14),0,MAX(0,customer_churn_dataset!E14))</f>
        <v>3</v>
      </c>
      <c r="F14" s="8" t="n">
        <f aca="false">IF(ISBLANK(customer_churn_dataset!F14),"",customer_churn_dataset!F14)</f>
        <v>43847</v>
      </c>
      <c r="G14" s="7" t="str">
        <f aca="false">PROPER(TRIM(customer_churn_dataset!G14))</f>
        <v>Paypal</v>
      </c>
      <c r="H14" s="7" t="n">
        <f aca="false">IF(ISBLANK(customer_churn_dataset!H14),0,customer_churn_dataset!H14)</f>
        <v>1</v>
      </c>
      <c r="I14" s="7" t="n">
        <f aca="false">IF(ISBLANK(customer_churn_dataset!I14),ROUND(MEDIAN(customer_churn_dataset!I$2:I$1501),1),MIN(100,MAX(0,customer_churn_dataset!I14)))</f>
        <v>80</v>
      </c>
      <c r="J14" s="7" t="n">
        <f aca="false">IF(ISBLANK(customer_churn_dataset!J14),0,MAX(0,customer_churn_dataset!J14))</f>
        <v>19</v>
      </c>
      <c r="K14" s="7" t="n">
        <f aca="false">IF(ISBLANK(customer_churn_dataset!K14),0,MIN(10,MAX(0,customer_churn_dataset!K14)))</f>
        <v>8</v>
      </c>
      <c r="L14" s="7" t="n">
        <f aca="false">IF(ISBLANK(customer_churn_dataset!L14),0,MAX(0,customer_churn_dataset!L14))</f>
        <v>2</v>
      </c>
      <c r="M14" s="7" t="n">
        <f aca="false">IF(ISBLANK(customer_churn_dataset!M14),0,customer_churn_dataset!M14)</f>
        <v>1</v>
      </c>
      <c r="N14" s="7" t="n">
        <f aca="false">IF(ISBLANK(customer_churn_dataset!N14),0,MAX(0,customer_churn_dataset!N14))</f>
        <v>124.83</v>
      </c>
      <c r="O14" s="7" t="n">
        <f aca="false">IF(ISBLANK(customer_churn_dataset!O14),0,customer_churn_dataset!O14)</f>
        <v>1</v>
      </c>
      <c r="P14" s="7" t="str">
        <f aca="false">IF(COUNTIF(customer_churn_dataset!$A$2:$A$1501,customer_churn_dataset!A14)&gt;1,"Duplicate","Unique")</f>
        <v>Unique</v>
      </c>
    </row>
    <row r="15" customFormat="false" ht="14.15" hidden="false" customHeight="true" outlineLevel="0" collapsed="false">
      <c r="A15" s="7" t="str">
        <f aca="false">TRIM(customer_churn_dataset!A15)</f>
        <v>CUST101306</v>
      </c>
      <c r="B15" s="7" t="str">
        <f aca="false">PROPER(TRIM(customer_churn_dataset!B15))</f>
        <v>Standard</v>
      </c>
      <c r="C15" s="7" t="str">
        <f aca="false">PROPER(TRIM(customer_churn_dataset!C15))</f>
        <v>One Year</v>
      </c>
      <c r="D15" s="7" t="n">
        <f aca="false">IF(ISBLANK(customer_churn_dataset!D15),ROUND(MEDIAN(customer_churn_dataset!D$2:D$1501),2),IF(customer_churn_dataset!D15&lt;0,ABS(customer_churn_dataset!D15),customer_churn_dataset!D15))</f>
        <v>19.23</v>
      </c>
      <c r="E15" s="7" t="n">
        <f aca="false">IF(ISBLANK(customer_churn_dataset!E15),0,MAX(0,customer_churn_dataset!E15))</f>
        <v>1</v>
      </c>
      <c r="F15" s="8" t="n">
        <f aca="false">IF(ISBLANK(customer_churn_dataset!F15),"",customer_churn_dataset!F15)</f>
        <v>43850</v>
      </c>
      <c r="G15" s="7" t="str">
        <f aca="false">PROPER(TRIM(customer_churn_dataset!G15))</f>
        <v>Bank Transfer</v>
      </c>
      <c r="H15" s="7" t="n">
        <f aca="false">IF(ISBLANK(customer_churn_dataset!H15),0,customer_churn_dataset!H15)</f>
        <v>1</v>
      </c>
      <c r="I15" s="7" t="n">
        <f aca="false">IF(ISBLANK(customer_churn_dataset!I15),ROUND(MEDIAN(customer_churn_dataset!I$2:I$1501),1),MIN(100,MAX(0,customer_churn_dataset!I15)))</f>
        <v>59.1</v>
      </c>
      <c r="J15" s="7" t="n">
        <f aca="false">IF(ISBLANK(customer_churn_dataset!J15),0,MAX(0,customer_churn_dataset!J15))</f>
        <v>17</v>
      </c>
      <c r="K15" s="7" t="n">
        <f aca="false">IF(ISBLANK(customer_churn_dataset!K15),0,MIN(10,MAX(0,customer_churn_dataset!K15)))</f>
        <v>5</v>
      </c>
      <c r="L15" s="7" t="n">
        <f aca="false">IF(ISBLANK(customer_churn_dataset!L15),0,MAX(0,customer_churn_dataset!L15))</f>
        <v>1</v>
      </c>
      <c r="M15" s="7" t="n">
        <f aca="false">IF(ISBLANK(customer_churn_dataset!M15),0,customer_churn_dataset!M15)</f>
        <v>0</v>
      </c>
      <c r="N15" s="7" t="n">
        <f aca="false">IF(ISBLANK(customer_churn_dataset!N15),0,MAX(0,customer_churn_dataset!N15))</f>
        <v>19.23</v>
      </c>
      <c r="O15" s="7" t="n">
        <f aca="false">IF(ISBLANK(customer_churn_dataset!O15),0,customer_churn_dataset!O15)</f>
        <v>0</v>
      </c>
      <c r="P15" s="7" t="str">
        <f aca="false">IF(COUNTIF(customer_churn_dataset!$A$2:$A$1501,customer_churn_dataset!A15)&gt;1,"Duplicate","Unique")</f>
        <v>Unique</v>
      </c>
    </row>
    <row r="16" customFormat="false" ht="14.15" hidden="false" customHeight="true" outlineLevel="0" collapsed="false">
      <c r="A16" s="7" t="str">
        <f aca="false">TRIM(customer_churn_dataset!A16)</f>
        <v>CUST100916</v>
      </c>
      <c r="B16" s="7" t="str">
        <f aca="false">PROPER(TRIM(customer_churn_dataset!B16))</f>
        <v>Basic</v>
      </c>
      <c r="C16" s="7" t="str">
        <f aca="false">PROPER(TRIM(customer_churn_dataset!C16))</f>
        <v>Month-To-Month</v>
      </c>
      <c r="D16" s="7" t="n">
        <f aca="false">IF(ISBLANK(customer_churn_dataset!D16),ROUND(MEDIAN(customer_churn_dataset!D$2:D$1501),2),IF(customer_churn_dataset!D16&lt;0,ABS(customer_churn_dataset!D16),customer_churn_dataset!D16))</f>
        <v>10.61</v>
      </c>
      <c r="E16" s="7" t="n">
        <f aca="false">IF(ISBLANK(customer_churn_dataset!E16),0,MAX(0,customer_churn_dataset!E16))</f>
        <v>19</v>
      </c>
      <c r="F16" s="8" t="n">
        <f aca="false">IF(ISBLANK(customer_churn_dataset!F16),"",customer_churn_dataset!F16)</f>
        <v>43850</v>
      </c>
      <c r="G16" s="7" t="str">
        <f aca="false">PROPER(TRIM(customer_churn_dataset!G16))</f>
        <v>Credit Card</v>
      </c>
      <c r="H16" s="7" t="n">
        <f aca="false">IF(ISBLANK(customer_churn_dataset!H16),0,customer_churn_dataset!H16)</f>
        <v>1</v>
      </c>
      <c r="I16" s="7" t="n">
        <f aca="false">IF(ISBLANK(customer_churn_dataset!I16),ROUND(MEDIAN(customer_churn_dataset!I$2:I$1501),1),MIN(100,MAX(0,customer_churn_dataset!I16)))</f>
        <v>90.1</v>
      </c>
      <c r="J16" s="7" t="n">
        <f aca="false">IF(ISBLANK(customer_churn_dataset!J16),0,MAX(0,customer_churn_dataset!J16))</f>
        <v>21</v>
      </c>
      <c r="K16" s="7" t="n">
        <f aca="false">IF(ISBLANK(customer_churn_dataset!K16),0,MIN(10,MAX(0,customer_churn_dataset!K16)))</f>
        <v>10</v>
      </c>
      <c r="L16" s="7" t="n">
        <f aca="false">IF(ISBLANK(customer_churn_dataset!L16),0,MAX(0,customer_churn_dataset!L16))</f>
        <v>0</v>
      </c>
      <c r="M16" s="7" t="n">
        <f aca="false">IF(ISBLANK(customer_churn_dataset!M16),0,customer_churn_dataset!M16)</f>
        <v>0</v>
      </c>
      <c r="N16" s="7" t="n">
        <f aca="false">IF(ISBLANK(customer_churn_dataset!N16),0,MAX(0,customer_churn_dataset!N16))</f>
        <v>201.59</v>
      </c>
      <c r="O16" s="7" t="n">
        <f aca="false">IF(ISBLANK(customer_churn_dataset!O16),0,customer_churn_dataset!O16)</f>
        <v>0</v>
      </c>
      <c r="P16" s="7" t="str">
        <f aca="false">IF(COUNTIF(customer_churn_dataset!$A$2:$A$1501,customer_churn_dataset!A16)&gt;1,"Duplicate","Unique")</f>
        <v>Unique</v>
      </c>
    </row>
    <row r="17" customFormat="false" ht="14.15" hidden="false" customHeight="true" outlineLevel="0" collapsed="false">
      <c r="A17" s="7" t="str">
        <f aca="false">TRIM(customer_churn_dataset!A17)</f>
        <v>CUST100655</v>
      </c>
      <c r="B17" s="7" t="str">
        <f aca="false">PROPER(TRIM(customer_churn_dataset!B17))</f>
        <v>Basic</v>
      </c>
      <c r="C17" s="7" t="str">
        <f aca="false">PROPER(TRIM(customer_churn_dataset!C17))</f>
        <v>Month-To-Month</v>
      </c>
      <c r="D17" s="7" t="n">
        <f aca="false">IF(ISBLANK(customer_churn_dataset!D17),ROUND(MEDIAN(customer_churn_dataset!D$2:D$1501),2),IF(customer_churn_dataset!D17&lt;0,ABS(customer_churn_dataset!D17),customer_churn_dataset!D17))</f>
        <v>9.1</v>
      </c>
      <c r="E17" s="7" t="n">
        <f aca="false">IF(ISBLANK(customer_churn_dataset!E17),0,MAX(0,customer_churn_dataset!E17))</f>
        <v>18</v>
      </c>
      <c r="F17" s="8" t="n">
        <f aca="false">IF(ISBLANK(customer_churn_dataset!F17),"",customer_churn_dataset!F17)</f>
        <v>43850</v>
      </c>
      <c r="G17" s="7" t="str">
        <f aca="false">PROPER(TRIM(customer_churn_dataset!G17))</f>
        <v>Bank Transfer</v>
      </c>
      <c r="H17" s="7" t="n">
        <f aca="false">IF(ISBLANK(customer_churn_dataset!H17),0,customer_churn_dataset!H17)</f>
        <v>0</v>
      </c>
      <c r="I17" s="7" t="n">
        <f aca="false">IF(ISBLANK(customer_churn_dataset!I17),ROUND(MEDIAN(customer_churn_dataset!I$2:I$1501),1),MIN(100,MAX(0,customer_churn_dataset!I17)))</f>
        <v>88.9</v>
      </c>
      <c r="J17" s="7" t="n">
        <f aca="false">IF(ISBLANK(customer_churn_dataset!J17),0,MAX(0,customer_churn_dataset!J17))</f>
        <v>30</v>
      </c>
      <c r="K17" s="7" t="n">
        <f aca="false">IF(ISBLANK(customer_churn_dataset!K17),0,MIN(10,MAX(0,customer_churn_dataset!K17)))</f>
        <v>10</v>
      </c>
      <c r="L17" s="7" t="n">
        <f aca="false">IF(ISBLANK(customer_churn_dataset!L17),0,MAX(0,customer_churn_dataset!L17))</f>
        <v>0</v>
      </c>
      <c r="M17" s="7" t="n">
        <f aca="false">IF(ISBLANK(customer_churn_dataset!M17),0,customer_churn_dataset!M17)</f>
        <v>0</v>
      </c>
      <c r="N17" s="7" t="n">
        <f aca="false">IF(ISBLANK(customer_churn_dataset!N17),0,MAX(0,customer_churn_dataset!N17))</f>
        <v>163.8</v>
      </c>
      <c r="O17" s="7" t="n">
        <f aca="false">IF(ISBLANK(customer_churn_dataset!O17),0,customer_churn_dataset!O17)</f>
        <v>1</v>
      </c>
      <c r="P17" s="7" t="str">
        <f aca="false">IF(COUNTIF(customer_churn_dataset!$A$2:$A$1501,customer_churn_dataset!A17)&gt;1,"Duplicate","Unique")</f>
        <v>Unique</v>
      </c>
    </row>
    <row r="18" customFormat="false" ht="14.15" hidden="false" customHeight="true" outlineLevel="0" collapsed="false">
      <c r="A18" s="7" t="str">
        <f aca="false">TRIM(customer_churn_dataset!A18)</f>
        <v>CUST100826</v>
      </c>
      <c r="B18" s="7" t="str">
        <f aca="false">PROPER(TRIM(customer_churn_dataset!B18))</f>
        <v>Basic</v>
      </c>
      <c r="C18" s="7" t="str">
        <f aca="false">PROPER(TRIM(customer_churn_dataset!C18))</f>
        <v>Month-To-Month</v>
      </c>
      <c r="D18" s="7" t="n">
        <f aca="false">IF(ISBLANK(customer_churn_dataset!D18),ROUND(MEDIAN(customer_churn_dataset!D$2:D$1501),2),IF(customer_churn_dataset!D18&lt;0,ABS(customer_churn_dataset!D18),customer_churn_dataset!D18))</f>
        <v>10.72</v>
      </c>
      <c r="E18" s="7" t="n">
        <f aca="false">IF(ISBLANK(customer_churn_dataset!E18),0,MAX(0,customer_churn_dataset!E18))</f>
        <v>25</v>
      </c>
      <c r="F18" s="8" t="n">
        <f aca="false">IF(ISBLANK(customer_churn_dataset!F18),"",customer_churn_dataset!F18)</f>
        <v>43851</v>
      </c>
      <c r="G18" s="7" t="str">
        <f aca="false">PROPER(TRIM(customer_churn_dataset!G18))</f>
        <v>Paypal</v>
      </c>
      <c r="H18" s="7" t="n">
        <f aca="false">IF(ISBLANK(customer_churn_dataset!H18),0,customer_churn_dataset!H18)</f>
        <v>1</v>
      </c>
      <c r="I18" s="7" t="n">
        <f aca="false">IF(ISBLANK(customer_churn_dataset!I18),ROUND(MEDIAN(customer_churn_dataset!I$2:I$1501),1),MIN(100,MAX(0,customer_churn_dataset!I18)))</f>
        <v>61.2</v>
      </c>
      <c r="J18" s="7" t="n">
        <f aca="false">IF(ISBLANK(customer_churn_dataset!J18),0,MAX(0,customer_churn_dataset!J18))</f>
        <v>17</v>
      </c>
      <c r="K18" s="7" t="n">
        <f aca="false">IF(ISBLANK(customer_churn_dataset!K18),0,MIN(10,MAX(0,customer_churn_dataset!K18)))</f>
        <v>6</v>
      </c>
      <c r="L18" s="7" t="n">
        <f aca="false">IF(ISBLANK(customer_churn_dataset!L18),0,MAX(0,customer_churn_dataset!L18))</f>
        <v>0</v>
      </c>
      <c r="M18" s="7" t="n">
        <f aca="false">IF(ISBLANK(customer_churn_dataset!M18),0,customer_churn_dataset!M18)</f>
        <v>0</v>
      </c>
      <c r="N18" s="7" t="n">
        <f aca="false">IF(ISBLANK(customer_churn_dataset!N18),0,MAX(0,customer_churn_dataset!N18))</f>
        <v>268</v>
      </c>
      <c r="O18" s="7" t="n">
        <f aca="false">IF(ISBLANK(customer_churn_dataset!O18),0,customer_churn_dataset!O18)</f>
        <v>0</v>
      </c>
      <c r="P18" s="7" t="str">
        <f aca="false">IF(COUNTIF(customer_churn_dataset!$A$2:$A$1501,customer_churn_dataset!A18)&gt;1,"Duplicate","Unique")</f>
        <v>Unique</v>
      </c>
    </row>
    <row r="19" customFormat="false" ht="14.15" hidden="false" customHeight="true" outlineLevel="0" collapsed="false">
      <c r="A19" s="7" t="str">
        <f aca="false">TRIM(customer_churn_dataset!A19)</f>
        <v>CUST100747</v>
      </c>
      <c r="B19" s="7" t="str">
        <f aca="false">PROPER(TRIM(customer_churn_dataset!B19))</f>
        <v>Standard</v>
      </c>
      <c r="C19" s="7" t="str">
        <f aca="false">PROPER(TRIM(customer_churn_dataset!C19))</f>
        <v>Month-To-Month</v>
      </c>
      <c r="D19" s="7" t="n">
        <f aca="false">IF(ISBLANK(customer_churn_dataset!D19),ROUND(MEDIAN(customer_churn_dataset!D$2:D$1501),2),IF(customer_churn_dataset!D19&lt;0,ABS(customer_churn_dataset!D19),customer_churn_dataset!D19))</f>
        <v>18.86</v>
      </c>
      <c r="E19" s="7" t="n">
        <f aca="false">IF(ISBLANK(customer_churn_dataset!E19),0,MAX(0,customer_churn_dataset!E19))</f>
        <v>6</v>
      </c>
      <c r="F19" s="8" t="n">
        <f aca="false">IF(ISBLANK(customer_churn_dataset!F19),"",customer_churn_dataset!F19)</f>
        <v>43853</v>
      </c>
      <c r="G19" s="7" t="str">
        <f aca="false">PROPER(TRIM(customer_churn_dataset!G19))</f>
        <v>Credit Card</v>
      </c>
      <c r="H19" s="7" t="n">
        <f aca="false">IF(ISBLANK(customer_churn_dataset!H19),0,customer_churn_dataset!H19)</f>
        <v>1</v>
      </c>
      <c r="I19" s="7" t="n">
        <f aca="false">IF(ISBLANK(customer_churn_dataset!I19),ROUND(MEDIAN(customer_churn_dataset!I$2:I$1501),1),MIN(100,MAX(0,customer_churn_dataset!I19)))</f>
        <v>73</v>
      </c>
      <c r="J19" s="7" t="n">
        <f aca="false">IF(ISBLANK(customer_churn_dataset!J19),0,MAX(0,customer_churn_dataset!J19))</f>
        <v>31</v>
      </c>
      <c r="K19" s="7" t="n">
        <f aca="false">IF(ISBLANK(customer_churn_dataset!K19),0,MIN(10,MAX(0,customer_churn_dataset!K19)))</f>
        <v>6</v>
      </c>
      <c r="L19" s="7" t="n">
        <f aca="false">IF(ISBLANK(customer_churn_dataset!L19),0,MAX(0,customer_churn_dataset!L19))</f>
        <v>0</v>
      </c>
      <c r="M19" s="7" t="n">
        <f aca="false">IF(ISBLANK(customer_churn_dataset!M19),0,customer_churn_dataset!M19)</f>
        <v>0</v>
      </c>
      <c r="N19" s="7" t="n">
        <f aca="false">IF(ISBLANK(customer_churn_dataset!N19),0,MAX(0,customer_churn_dataset!N19))</f>
        <v>113.16</v>
      </c>
      <c r="O19" s="7" t="n">
        <f aca="false">IF(ISBLANK(customer_churn_dataset!O19),0,customer_churn_dataset!O19)</f>
        <v>0</v>
      </c>
      <c r="P19" s="7" t="str">
        <f aca="false">IF(COUNTIF(customer_churn_dataset!$A$2:$A$1501,customer_churn_dataset!A19)&gt;1,"Duplicate","Unique")</f>
        <v>Unique</v>
      </c>
    </row>
    <row r="20" customFormat="false" ht="14.15" hidden="false" customHeight="true" outlineLevel="0" collapsed="false">
      <c r="A20" s="7" t="str">
        <f aca="false">TRIM(customer_churn_dataset!A20)</f>
        <v>CUST101402</v>
      </c>
      <c r="B20" s="7" t="str">
        <f aca="false">PROPER(TRIM(customer_churn_dataset!B20))</f>
        <v>Basic</v>
      </c>
      <c r="C20" s="7" t="str">
        <f aca="false">PROPER(TRIM(customer_churn_dataset!C20))</f>
        <v>One Year</v>
      </c>
      <c r="D20" s="7" t="n">
        <f aca="false">IF(ISBLANK(customer_churn_dataset!D20),ROUND(MEDIAN(customer_churn_dataset!D$2:D$1501),2),IF(customer_churn_dataset!D20&lt;0,ABS(customer_churn_dataset!D20),customer_churn_dataset!D20))</f>
        <v>9.06</v>
      </c>
      <c r="E20" s="7" t="n">
        <f aca="false">IF(ISBLANK(customer_churn_dataset!E20),0,MAX(0,customer_churn_dataset!E20))</f>
        <v>7</v>
      </c>
      <c r="F20" s="8" t="n">
        <f aca="false">IF(ISBLANK(customer_churn_dataset!F20),"",customer_churn_dataset!F20)</f>
        <v>43853</v>
      </c>
      <c r="G20" s="7" t="str">
        <f aca="false">PROPER(TRIM(customer_churn_dataset!G20))</f>
        <v>Credit Card</v>
      </c>
      <c r="H20" s="7" t="n">
        <f aca="false">IF(ISBLANK(customer_churn_dataset!H20),0,customer_churn_dataset!H20)</f>
        <v>1</v>
      </c>
      <c r="I20" s="7" t="n">
        <f aca="false">IF(ISBLANK(customer_churn_dataset!I20),ROUND(MEDIAN(customer_churn_dataset!I$2:I$1501),1),MIN(100,MAX(0,customer_churn_dataset!I20)))</f>
        <v>64.7</v>
      </c>
      <c r="J20" s="7" t="n">
        <f aca="false">IF(ISBLANK(customer_churn_dataset!J20),0,MAX(0,customer_churn_dataset!J20))</f>
        <v>22</v>
      </c>
      <c r="K20" s="7" t="n">
        <f aca="false">IF(ISBLANK(customer_churn_dataset!K20),0,MIN(10,MAX(0,customer_churn_dataset!K20)))</f>
        <v>5</v>
      </c>
      <c r="L20" s="7" t="n">
        <f aca="false">IF(ISBLANK(customer_churn_dataset!L20),0,MAX(0,customer_churn_dataset!L20))</f>
        <v>0</v>
      </c>
      <c r="M20" s="7" t="n">
        <f aca="false">IF(ISBLANK(customer_churn_dataset!M20),0,customer_churn_dataset!M20)</f>
        <v>0</v>
      </c>
      <c r="N20" s="7" t="n">
        <f aca="false">IF(ISBLANK(customer_churn_dataset!N20),0,MAX(0,customer_churn_dataset!N20))</f>
        <v>63.42</v>
      </c>
      <c r="O20" s="7" t="n">
        <f aca="false">IF(ISBLANK(customer_churn_dataset!O20),0,customer_churn_dataset!O20)</f>
        <v>0</v>
      </c>
      <c r="P20" s="7" t="str">
        <f aca="false">IF(COUNTIF(customer_churn_dataset!$A$2:$A$1501,customer_churn_dataset!A20)&gt;1,"Duplicate","Unique")</f>
        <v>Unique</v>
      </c>
    </row>
    <row r="21" customFormat="false" ht="14.15" hidden="false" customHeight="true" outlineLevel="0" collapsed="false">
      <c r="A21" s="7" t="str">
        <f aca="false">TRIM(customer_churn_dataset!A21)</f>
        <v>CUST100575</v>
      </c>
      <c r="B21" s="7" t="str">
        <f aca="false">PROPER(TRIM(customer_churn_dataset!B21))</f>
        <v>Premium</v>
      </c>
      <c r="C21" s="7" t="str">
        <f aca="false">PROPER(TRIM(customer_churn_dataset!C21))</f>
        <v>Two Year</v>
      </c>
      <c r="D21" s="7" t="n">
        <f aca="false">IF(ISBLANK(customer_churn_dataset!D21),ROUND(MEDIAN(customer_churn_dataset!D$2:D$1501),2),IF(customer_churn_dataset!D21&lt;0,ABS(customer_churn_dataset!D21),customer_churn_dataset!D21))</f>
        <v>38.37</v>
      </c>
      <c r="E21" s="7" t="n">
        <f aca="false">IF(ISBLANK(customer_churn_dataset!E21),0,MAX(0,customer_churn_dataset!E21))</f>
        <v>5</v>
      </c>
      <c r="F21" s="8" t="n">
        <f aca="false">IF(ISBLANK(customer_churn_dataset!F21),"",customer_churn_dataset!F21)</f>
        <v>43861</v>
      </c>
      <c r="G21" s="7" t="str">
        <f aca="false">PROPER(TRIM(customer_churn_dataset!G21))</f>
        <v>Bank Transfer</v>
      </c>
      <c r="H21" s="7" t="n">
        <f aca="false">IF(ISBLANK(customer_churn_dataset!H21),0,customer_churn_dataset!H21)</f>
        <v>1</v>
      </c>
      <c r="I21" s="7" t="n">
        <f aca="false">IF(ISBLANK(customer_churn_dataset!I21),ROUND(MEDIAN(customer_churn_dataset!I$2:I$1501),1),MIN(100,MAX(0,customer_churn_dataset!I21)))</f>
        <v>71.4</v>
      </c>
      <c r="J21" s="7" t="n">
        <f aca="false">IF(ISBLANK(customer_churn_dataset!J21),0,MAX(0,customer_churn_dataset!J21))</f>
        <v>23</v>
      </c>
      <c r="K21" s="7" t="n">
        <f aca="false">IF(ISBLANK(customer_churn_dataset!K21),0,MIN(10,MAX(0,customer_churn_dataset!K21)))</f>
        <v>10</v>
      </c>
      <c r="L21" s="7" t="n">
        <f aca="false">IF(ISBLANK(customer_churn_dataset!L21),0,MAX(0,customer_churn_dataset!L21))</f>
        <v>2</v>
      </c>
      <c r="M21" s="7" t="n">
        <f aca="false">IF(ISBLANK(customer_churn_dataset!M21),0,customer_churn_dataset!M21)</f>
        <v>0</v>
      </c>
      <c r="N21" s="7" t="n">
        <f aca="false">IF(ISBLANK(customer_churn_dataset!N21),0,MAX(0,customer_churn_dataset!N21))</f>
        <v>191.85</v>
      </c>
      <c r="O21" s="7" t="n">
        <f aca="false">IF(ISBLANK(customer_churn_dataset!O21),0,customer_churn_dataset!O21)</f>
        <v>0</v>
      </c>
      <c r="P21" s="7" t="str">
        <f aca="false">IF(COUNTIF(customer_churn_dataset!$A$2:$A$1501,customer_churn_dataset!A21)&gt;1,"Duplicate","Unique")</f>
        <v>Unique</v>
      </c>
    </row>
    <row r="22" customFormat="false" ht="14.15" hidden="false" customHeight="true" outlineLevel="0" collapsed="false">
      <c r="A22" s="7" t="str">
        <f aca="false">TRIM(customer_churn_dataset!A22)</f>
        <v>CUST100057</v>
      </c>
      <c r="B22" s="7" t="str">
        <f aca="false">PROPER(TRIM(customer_churn_dataset!B22))</f>
        <v>Basic</v>
      </c>
      <c r="C22" s="7" t="str">
        <f aca="false">PROPER(TRIM(customer_churn_dataset!C22))</f>
        <v>Month-To-Month</v>
      </c>
      <c r="D22" s="7" t="n">
        <f aca="false">IF(ISBLANK(customer_churn_dataset!D22),ROUND(MEDIAN(customer_churn_dataset!D$2:D$1501),2),IF(customer_churn_dataset!D22&lt;0,ABS(customer_churn_dataset!D22),customer_churn_dataset!D22))</f>
        <v>10.27</v>
      </c>
      <c r="E22" s="7" t="n">
        <f aca="false">IF(ISBLANK(customer_churn_dataset!E22),0,MAX(0,customer_churn_dataset!E22))</f>
        <v>46</v>
      </c>
      <c r="F22" s="8" t="n">
        <f aca="false">IF(ISBLANK(customer_churn_dataset!F22),"",customer_churn_dataset!F22)</f>
        <v>43864</v>
      </c>
      <c r="G22" s="7" t="str">
        <f aca="false">PROPER(TRIM(customer_churn_dataset!G22))</f>
        <v>Credit Card</v>
      </c>
      <c r="H22" s="7" t="n">
        <f aca="false">IF(ISBLANK(customer_churn_dataset!H22),0,customer_churn_dataset!H22)</f>
        <v>1</v>
      </c>
      <c r="I22" s="7" t="n">
        <f aca="false">IF(ISBLANK(customer_churn_dataset!I22),ROUND(MEDIAN(customer_churn_dataset!I$2:I$1501),1),MIN(100,MAX(0,customer_churn_dataset!I22)))</f>
        <v>28.1</v>
      </c>
      <c r="J22" s="7" t="n">
        <f aca="false">IF(ISBLANK(customer_churn_dataset!J22),0,MAX(0,customer_churn_dataset!J22))</f>
        <v>18</v>
      </c>
      <c r="K22" s="7" t="n">
        <f aca="false">IF(ISBLANK(customer_churn_dataset!K22),0,MIN(10,MAX(0,customer_churn_dataset!K22)))</f>
        <v>1</v>
      </c>
      <c r="L22" s="7" t="n">
        <f aca="false">IF(ISBLANK(customer_churn_dataset!L22),0,MAX(0,customer_churn_dataset!L22))</f>
        <v>3</v>
      </c>
      <c r="M22" s="7" t="n">
        <f aca="false">IF(ISBLANK(customer_churn_dataset!M22),0,customer_churn_dataset!M22)</f>
        <v>0</v>
      </c>
      <c r="N22" s="7" t="n">
        <f aca="false">IF(ISBLANK(customer_churn_dataset!N22),0,MAX(0,customer_churn_dataset!N22))</f>
        <v>472.42</v>
      </c>
      <c r="O22" s="7" t="n">
        <f aca="false">IF(ISBLANK(customer_churn_dataset!O22),0,customer_churn_dataset!O22)</f>
        <v>0</v>
      </c>
      <c r="P22" s="7" t="str">
        <f aca="false">IF(COUNTIF(customer_churn_dataset!$A$2:$A$1501,customer_churn_dataset!A22)&gt;1,"Duplicate","Unique")</f>
        <v>Unique</v>
      </c>
    </row>
    <row r="23" customFormat="false" ht="14.15" hidden="false" customHeight="true" outlineLevel="0" collapsed="false">
      <c r="A23" s="7" t="str">
        <f aca="false">TRIM(customer_churn_dataset!A23)</f>
        <v>CUST100209</v>
      </c>
      <c r="B23" s="7" t="str">
        <f aca="false">PROPER(TRIM(customer_churn_dataset!B23))</f>
        <v>Basic</v>
      </c>
      <c r="C23" s="7" t="str">
        <f aca="false">PROPER(TRIM(customer_churn_dataset!C23))</f>
        <v>Month-To-Month</v>
      </c>
      <c r="D23" s="7" t="n">
        <f aca="false">IF(ISBLANK(customer_churn_dataset!D23),ROUND(MEDIAN(customer_churn_dataset!D$2:D$1501),2),IF(customer_churn_dataset!D23&lt;0,ABS(customer_churn_dataset!D23),customer_churn_dataset!D23))</f>
        <v>9.11</v>
      </c>
      <c r="E23" s="7" t="n">
        <f aca="false">IF(ISBLANK(customer_churn_dataset!E23),0,MAX(0,customer_churn_dataset!E23))</f>
        <v>16</v>
      </c>
      <c r="F23" s="8" t="n">
        <f aca="false">IF(ISBLANK(customer_churn_dataset!F23),"",customer_churn_dataset!F23)</f>
        <v>43865</v>
      </c>
      <c r="G23" s="7" t="str">
        <f aca="false">PROPER(TRIM(customer_churn_dataset!G23))</f>
        <v>Bank Transfer</v>
      </c>
      <c r="H23" s="7" t="n">
        <f aca="false">IF(ISBLANK(customer_churn_dataset!H23),0,customer_churn_dataset!H23)</f>
        <v>1</v>
      </c>
      <c r="I23" s="7" t="n">
        <f aca="false">IF(ISBLANK(customer_churn_dataset!I23),ROUND(MEDIAN(customer_churn_dataset!I$2:I$1501),1),MIN(100,MAX(0,customer_churn_dataset!I23)))</f>
        <v>58.6</v>
      </c>
      <c r="J23" s="7" t="n">
        <f aca="false">IF(ISBLANK(customer_churn_dataset!J23),0,MAX(0,customer_churn_dataset!J23))</f>
        <v>21</v>
      </c>
      <c r="K23" s="7" t="n">
        <f aca="false">IF(ISBLANK(customer_churn_dataset!K23),0,MIN(10,MAX(0,customer_churn_dataset!K23)))</f>
        <v>8</v>
      </c>
      <c r="L23" s="7" t="n">
        <f aca="false">IF(ISBLANK(customer_churn_dataset!L23),0,MAX(0,customer_churn_dataset!L23))</f>
        <v>2</v>
      </c>
      <c r="M23" s="7" t="n">
        <f aca="false">IF(ISBLANK(customer_churn_dataset!M23),0,customer_churn_dataset!M23)</f>
        <v>1</v>
      </c>
      <c r="N23" s="7" t="n">
        <f aca="false">IF(ISBLANK(customer_churn_dataset!N23),0,MAX(0,customer_churn_dataset!N23))</f>
        <v>145.76</v>
      </c>
      <c r="O23" s="7" t="n">
        <f aca="false">IF(ISBLANK(customer_churn_dataset!O23),0,customer_churn_dataset!O23)</f>
        <v>0</v>
      </c>
      <c r="P23" s="7" t="str">
        <f aca="false">IF(COUNTIF(customer_churn_dataset!$A$2:$A$1501,customer_churn_dataset!A23)&gt;1,"Duplicate","Unique")</f>
        <v>Unique</v>
      </c>
    </row>
    <row r="24" customFormat="false" ht="14.15" hidden="false" customHeight="true" outlineLevel="0" collapsed="false">
      <c r="A24" s="7" t="str">
        <f aca="false">TRIM(customer_churn_dataset!A24)</f>
        <v>CUST100912</v>
      </c>
      <c r="B24" s="7" t="str">
        <f aca="false">PROPER(TRIM(customer_churn_dataset!B24))</f>
        <v>Standard</v>
      </c>
      <c r="C24" s="7" t="str">
        <f aca="false">PROPER(TRIM(customer_churn_dataset!C24))</f>
        <v>Month-To-Month</v>
      </c>
      <c r="D24" s="7" t="n">
        <f aca="false">IF(ISBLANK(customer_churn_dataset!D24),ROUND(MEDIAN(customer_churn_dataset!D$2:D$1501),2),IF(customer_churn_dataset!D24&lt;0,ABS(customer_churn_dataset!D24),customer_churn_dataset!D24))</f>
        <v>20.08</v>
      </c>
      <c r="E24" s="7" t="n">
        <f aca="false">IF(ISBLANK(customer_churn_dataset!E24),0,MAX(0,customer_churn_dataset!E24))</f>
        <v>38</v>
      </c>
      <c r="F24" s="8" t="n">
        <f aca="false">IF(ISBLANK(customer_churn_dataset!F24),"",customer_churn_dataset!F24)</f>
        <v>43865</v>
      </c>
      <c r="G24" s="7" t="str">
        <f aca="false">PROPER(TRIM(customer_churn_dataset!G24))</f>
        <v>Bank Transfer</v>
      </c>
      <c r="H24" s="7" t="n">
        <f aca="false">IF(ISBLANK(customer_churn_dataset!H24),0,customer_churn_dataset!H24)</f>
        <v>1</v>
      </c>
      <c r="I24" s="7" t="n">
        <f aca="false">IF(ISBLANK(customer_churn_dataset!I24),ROUND(MEDIAN(customer_churn_dataset!I$2:I$1501),1),MIN(100,MAX(0,customer_churn_dataset!I24)))</f>
        <v>81.3</v>
      </c>
      <c r="J24" s="7" t="n">
        <f aca="false">IF(ISBLANK(customer_churn_dataset!J24),0,MAX(0,customer_churn_dataset!J24))</f>
        <v>25</v>
      </c>
      <c r="K24" s="7" t="n">
        <f aca="false">IF(ISBLANK(customer_churn_dataset!K24),0,MIN(10,MAX(0,customer_churn_dataset!K24)))</f>
        <v>7</v>
      </c>
      <c r="L24" s="7" t="n">
        <f aca="false">IF(ISBLANK(customer_churn_dataset!L24),0,MAX(0,customer_churn_dataset!L24))</f>
        <v>1</v>
      </c>
      <c r="M24" s="7" t="n">
        <f aca="false">IF(ISBLANK(customer_churn_dataset!M24),0,customer_churn_dataset!M24)</f>
        <v>0</v>
      </c>
      <c r="N24" s="7" t="n">
        <f aca="false">IF(ISBLANK(customer_churn_dataset!N24),0,MAX(0,customer_churn_dataset!N24))</f>
        <v>763.04</v>
      </c>
      <c r="O24" s="7" t="n">
        <f aca="false">IF(ISBLANK(customer_churn_dataset!O24),0,customer_churn_dataset!O24)</f>
        <v>0</v>
      </c>
      <c r="P24" s="7" t="str">
        <f aca="false">IF(COUNTIF(customer_churn_dataset!$A$2:$A$1501,customer_churn_dataset!A24)&gt;1,"Duplicate","Unique")</f>
        <v>Unique</v>
      </c>
    </row>
    <row r="25" customFormat="false" ht="14.15" hidden="false" customHeight="true" outlineLevel="0" collapsed="false">
      <c r="A25" s="7" t="str">
        <f aca="false">TRIM(customer_churn_dataset!A25)</f>
        <v>CUST101240</v>
      </c>
      <c r="B25" s="7" t="str">
        <f aca="false">PROPER(TRIM(customer_churn_dataset!B25))</f>
        <v>Premium</v>
      </c>
      <c r="C25" s="7" t="str">
        <f aca="false">PROPER(TRIM(customer_churn_dataset!C25))</f>
        <v>One Year</v>
      </c>
      <c r="D25" s="7" t="n">
        <f aca="false">IF(ISBLANK(customer_churn_dataset!D25),ROUND(MEDIAN(customer_churn_dataset!D$2:D$1501),2),IF(customer_churn_dataset!D25&lt;0,ABS(customer_churn_dataset!D25),customer_churn_dataset!D25))</f>
        <v>39.27</v>
      </c>
      <c r="E25" s="7" t="n">
        <f aca="false">IF(ISBLANK(customer_churn_dataset!E25),0,MAX(0,customer_churn_dataset!E25))</f>
        <v>14</v>
      </c>
      <c r="F25" s="8" t="n">
        <f aca="false">IF(ISBLANK(customer_churn_dataset!F25),"",customer_churn_dataset!F25)</f>
        <v>43866</v>
      </c>
      <c r="G25" s="7" t="str">
        <f aca="false">PROPER(TRIM(customer_churn_dataset!G25))</f>
        <v>Credit Card</v>
      </c>
      <c r="H25" s="7" t="n">
        <f aca="false">IF(ISBLANK(customer_churn_dataset!H25),0,customer_churn_dataset!H25)</f>
        <v>1</v>
      </c>
      <c r="I25" s="7" t="n">
        <f aca="false">IF(ISBLANK(customer_churn_dataset!I25),ROUND(MEDIAN(customer_churn_dataset!I$2:I$1501),1),MIN(100,MAX(0,customer_churn_dataset!I25)))</f>
        <v>90.3</v>
      </c>
      <c r="J25" s="7" t="n">
        <f aca="false">IF(ISBLANK(customer_churn_dataset!J25),0,MAX(0,customer_churn_dataset!J25))</f>
        <v>33</v>
      </c>
      <c r="K25" s="7" t="n">
        <f aca="false">IF(ISBLANK(customer_churn_dataset!K25),0,MIN(10,MAX(0,customer_churn_dataset!K25)))</f>
        <v>9</v>
      </c>
      <c r="L25" s="7" t="n">
        <f aca="false">IF(ISBLANK(customer_churn_dataset!L25),0,MAX(0,customer_churn_dataset!L25))</f>
        <v>1</v>
      </c>
      <c r="M25" s="7" t="n">
        <f aca="false">IF(ISBLANK(customer_churn_dataset!M25),0,customer_churn_dataset!M25)</f>
        <v>0</v>
      </c>
      <c r="N25" s="7" t="n">
        <f aca="false">IF(ISBLANK(customer_churn_dataset!N25),0,MAX(0,customer_churn_dataset!N25))</f>
        <v>549.78</v>
      </c>
      <c r="O25" s="7" t="n">
        <f aca="false">IF(ISBLANK(customer_churn_dataset!O25),0,customer_churn_dataset!O25)</f>
        <v>0</v>
      </c>
      <c r="P25" s="7" t="str">
        <f aca="false">IF(COUNTIF(customer_churn_dataset!$A$2:$A$1501,customer_churn_dataset!A25)&gt;1,"Duplicate","Unique")</f>
        <v>Unique</v>
      </c>
    </row>
    <row r="26" customFormat="false" ht="14.15" hidden="false" customHeight="true" outlineLevel="0" collapsed="false">
      <c r="A26" s="7" t="str">
        <f aca="false">TRIM(customer_churn_dataset!A26)</f>
        <v>CUST100324</v>
      </c>
      <c r="B26" s="7" t="str">
        <f aca="false">PROPER(TRIM(customer_churn_dataset!B26))</f>
        <v>Premium</v>
      </c>
      <c r="C26" s="7" t="str">
        <f aca="false">PROPER(TRIM(customer_churn_dataset!C26))</f>
        <v>One Year</v>
      </c>
      <c r="D26" s="7" t="n">
        <f aca="false">IF(ISBLANK(customer_churn_dataset!D26),ROUND(MEDIAN(customer_churn_dataset!D$2:D$1501),2),IF(customer_churn_dataset!D26&lt;0,ABS(customer_churn_dataset!D26),customer_churn_dataset!D26))</f>
        <v>40.21</v>
      </c>
      <c r="E26" s="7" t="n">
        <f aca="false">IF(ISBLANK(customer_churn_dataset!E26),0,MAX(0,customer_churn_dataset!E26))</f>
        <v>8</v>
      </c>
      <c r="F26" s="8" t="n">
        <f aca="false">IF(ISBLANK(customer_churn_dataset!F26),"",customer_churn_dataset!F26)</f>
        <v>43868</v>
      </c>
      <c r="G26" s="7" t="str">
        <f aca="false">PROPER(TRIM(customer_churn_dataset!G26))</f>
        <v>Bank Transfer</v>
      </c>
      <c r="H26" s="7" t="n">
        <f aca="false">IF(ISBLANK(customer_churn_dataset!H26),0,customer_churn_dataset!H26)</f>
        <v>0</v>
      </c>
      <c r="I26" s="7" t="n">
        <f aca="false">IF(ISBLANK(customer_churn_dataset!I26),ROUND(MEDIAN(customer_churn_dataset!I$2:I$1501),1),MIN(100,MAX(0,customer_churn_dataset!I26)))</f>
        <v>77.4</v>
      </c>
      <c r="J26" s="7" t="n">
        <f aca="false">IF(ISBLANK(customer_churn_dataset!J26),0,MAX(0,customer_churn_dataset!J26))</f>
        <v>11</v>
      </c>
      <c r="K26" s="7" t="n">
        <f aca="false">IF(ISBLANK(customer_churn_dataset!K26),0,MIN(10,MAX(0,customer_churn_dataset!K26)))</f>
        <v>6</v>
      </c>
      <c r="L26" s="7" t="n">
        <f aca="false">IF(ISBLANK(customer_churn_dataset!L26),0,MAX(0,customer_churn_dataset!L26))</f>
        <v>0</v>
      </c>
      <c r="M26" s="7" t="n">
        <f aca="false">IF(ISBLANK(customer_churn_dataset!M26),0,customer_churn_dataset!M26)</f>
        <v>0</v>
      </c>
      <c r="N26" s="7" t="n">
        <f aca="false">IF(ISBLANK(customer_churn_dataset!N26),0,MAX(0,customer_churn_dataset!N26))</f>
        <v>321.68</v>
      </c>
      <c r="O26" s="7" t="n">
        <f aca="false">IF(ISBLANK(customer_churn_dataset!O26),0,customer_churn_dataset!O26)</f>
        <v>0</v>
      </c>
      <c r="P26" s="7" t="str">
        <f aca="false">IF(COUNTIF(customer_churn_dataset!$A$2:$A$1501,customer_churn_dataset!A26)&gt;1,"Duplicate","Unique")</f>
        <v>Unique</v>
      </c>
    </row>
    <row r="27" customFormat="false" ht="14.15" hidden="false" customHeight="true" outlineLevel="0" collapsed="false">
      <c r="A27" s="7" t="str">
        <f aca="false">TRIM(customer_churn_dataset!A27)</f>
        <v>CUST100360</v>
      </c>
      <c r="B27" s="7" t="str">
        <f aca="false">PROPER(TRIM(customer_churn_dataset!B27))</f>
        <v>Basic</v>
      </c>
      <c r="C27" s="7" t="str">
        <f aca="false">PROPER(TRIM(customer_churn_dataset!C27))</f>
        <v>Month-To-Month</v>
      </c>
      <c r="D27" s="7" t="n">
        <f aca="false">IF(ISBLANK(customer_churn_dataset!D27),ROUND(MEDIAN(customer_churn_dataset!D$2:D$1501),2),IF(customer_churn_dataset!D27&lt;0,ABS(customer_churn_dataset!D27),customer_churn_dataset!D27))</f>
        <v>11.21</v>
      </c>
      <c r="E27" s="7" t="n">
        <f aca="false">IF(ISBLANK(customer_churn_dataset!E27),0,MAX(0,customer_churn_dataset!E27))</f>
        <v>19</v>
      </c>
      <c r="F27" s="8" t="n">
        <f aca="false">IF(ISBLANK(customer_churn_dataset!F27),"",customer_churn_dataset!F27)</f>
        <v>43871</v>
      </c>
      <c r="G27" s="7" t="str">
        <f aca="false">PROPER(TRIM(customer_churn_dataset!G27))</f>
        <v>Credit Card</v>
      </c>
      <c r="H27" s="7" t="n">
        <f aca="false">IF(ISBLANK(customer_churn_dataset!H27),0,customer_churn_dataset!H27)</f>
        <v>1</v>
      </c>
      <c r="I27" s="7" t="n">
        <f aca="false">IF(ISBLANK(customer_churn_dataset!I27),ROUND(MEDIAN(customer_churn_dataset!I$2:I$1501),1),MIN(100,MAX(0,customer_churn_dataset!I27)))</f>
        <v>48.9</v>
      </c>
      <c r="J27" s="7" t="n">
        <f aca="false">IF(ISBLANK(customer_churn_dataset!J27),0,MAX(0,customer_churn_dataset!J27))</f>
        <v>15</v>
      </c>
      <c r="K27" s="7" t="n">
        <f aca="false">IF(ISBLANK(customer_churn_dataset!K27),0,MIN(10,MAX(0,customer_churn_dataset!K27)))</f>
        <v>4</v>
      </c>
      <c r="L27" s="7" t="n">
        <f aca="false">IF(ISBLANK(customer_churn_dataset!L27),0,MAX(0,customer_churn_dataset!L27))</f>
        <v>0</v>
      </c>
      <c r="M27" s="7" t="n">
        <f aca="false">IF(ISBLANK(customer_churn_dataset!M27),0,customer_churn_dataset!M27)</f>
        <v>0</v>
      </c>
      <c r="N27" s="7" t="n">
        <f aca="false">IF(ISBLANK(customer_churn_dataset!N27),0,MAX(0,customer_churn_dataset!N27))</f>
        <v>212.99</v>
      </c>
      <c r="O27" s="7" t="n">
        <f aca="false">IF(ISBLANK(customer_churn_dataset!O27),0,customer_churn_dataset!O27)</f>
        <v>0</v>
      </c>
      <c r="P27" s="7" t="str">
        <f aca="false">IF(COUNTIF(customer_churn_dataset!$A$2:$A$1501,customer_churn_dataset!A27)&gt;1,"Duplicate","Unique")</f>
        <v>Unique</v>
      </c>
    </row>
    <row r="28" customFormat="false" ht="14.15" hidden="false" customHeight="true" outlineLevel="0" collapsed="false">
      <c r="A28" s="7" t="str">
        <f aca="false">TRIM(customer_churn_dataset!A28)</f>
        <v>CUST100746</v>
      </c>
      <c r="B28" s="7" t="str">
        <f aca="false">PROPER(TRIM(customer_churn_dataset!B28))</f>
        <v>Basic</v>
      </c>
      <c r="C28" s="7" t="str">
        <f aca="false">PROPER(TRIM(customer_churn_dataset!C28))</f>
        <v>Month-To-Month</v>
      </c>
      <c r="D28" s="7" t="n">
        <f aca="false">IF(ISBLANK(customer_churn_dataset!D28),ROUND(MEDIAN(customer_churn_dataset!D$2:D$1501),2),IF(customer_churn_dataset!D28&lt;0,ABS(customer_churn_dataset!D28),customer_churn_dataset!D28))</f>
        <v>8.42</v>
      </c>
      <c r="E28" s="7" t="n">
        <f aca="false">IF(ISBLANK(customer_churn_dataset!E28),0,MAX(0,customer_churn_dataset!E28))</f>
        <v>37</v>
      </c>
      <c r="F28" s="8" t="n">
        <f aca="false">IF(ISBLANK(customer_churn_dataset!F28),"",customer_churn_dataset!F28)</f>
        <v>43872</v>
      </c>
      <c r="G28" s="7" t="str">
        <f aca="false">PROPER(TRIM(customer_churn_dataset!G28))</f>
        <v>Credit Card</v>
      </c>
      <c r="H28" s="7" t="n">
        <f aca="false">IF(ISBLANK(customer_churn_dataset!H28),0,customer_churn_dataset!H28)</f>
        <v>1</v>
      </c>
      <c r="I28" s="7" t="n">
        <f aca="false">IF(ISBLANK(customer_churn_dataset!I28),ROUND(MEDIAN(customer_churn_dataset!I$2:I$1501),1),MIN(100,MAX(0,customer_churn_dataset!I28)))</f>
        <v>18.2</v>
      </c>
      <c r="J28" s="7" t="n">
        <f aca="false">IF(ISBLANK(customer_churn_dataset!J28),0,MAX(0,customer_churn_dataset!J28))</f>
        <v>8</v>
      </c>
      <c r="K28" s="7" t="n">
        <f aca="false">IF(ISBLANK(customer_churn_dataset!K28),0,MIN(10,MAX(0,customer_churn_dataset!K28)))</f>
        <v>0</v>
      </c>
      <c r="L28" s="7" t="n">
        <f aca="false">IF(ISBLANK(customer_churn_dataset!L28),0,MAX(0,customer_churn_dataset!L28))</f>
        <v>4</v>
      </c>
      <c r="M28" s="7" t="n">
        <f aca="false">IF(ISBLANK(customer_churn_dataset!M28),0,customer_churn_dataset!M28)</f>
        <v>1</v>
      </c>
      <c r="N28" s="7" t="n">
        <f aca="false">IF(ISBLANK(customer_churn_dataset!N28),0,MAX(0,customer_churn_dataset!N28))</f>
        <v>311.54</v>
      </c>
      <c r="O28" s="7" t="n">
        <f aca="false">IF(ISBLANK(customer_churn_dataset!O28),0,customer_churn_dataset!O28)</f>
        <v>1</v>
      </c>
      <c r="P28" s="7" t="str">
        <f aca="false">IF(COUNTIF(customer_churn_dataset!$A$2:$A$1501,customer_churn_dataset!A28)&gt;1,"Duplicate","Unique")</f>
        <v>Unique</v>
      </c>
    </row>
    <row r="29" customFormat="false" ht="14.15" hidden="false" customHeight="true" outlineLevel="0" collapsed="false">
      <c r="A29" s="7" t="str">
        <f aca="false">TRIM(customer_churn_dataset!A29)</f>
        <v>CUST100118</v>
      </c>
      <c r="B29" s="7" t="str">
        <f aca="false">PROPER(TRIM(customer_churn_dataset!B29))</f>
        <v>Premium</v>
      </c>
      <c r="C29" s="7" t="str">
        <f aca="false">PROPER(TRIM(customer_churn_dataset!C29))</f>
        <v>One Year</v>
      </c>
      <c r="D29" s="7" t="n">
        <f aca="false">IF(ISBLANK(customer_churn_dataset!D29),ROUND(MEDIAN(customer_churn_dataset!D$2:D$1501),2),IF(customer_churn_dataset!D29&lt;0,ABS(customer_churn_dataset!D29),customer_churn_dataset!D29))</f>
        <v>40.18</v>
      </c>
      <c r="E29" s="7" t="n">
        <f aca="false">IF(ISBLANK(customer_churn_dataset!E29),0,MAX(0,customer_churn_dataset!E29))</f>
        <v>17</v>
      </c>
      <c r="F29" s="8" t="n">
        <f aca="false">IF(ISBLANK(customer_churn_dataset!F29),"",customer_churn_dataset!F29)</f>
        <v>43872</v>
      </c>
      <c r="G29" s="7" t="str">
        <f aca="false">PROPER(TRIM(customer_churn_dataset!G29))</f>
        <v>Credit Card</v>
      </c>
      <c r="H29" s="7" t="n">
        <f aca="false">IF(ISBLANK(customer_churn_dataset!H29),0,customer_churn_dataset!H29)</f>
        <v>1</v>
      </c>
      <c r="I29" s="7" t="n">
        <f aca="false">IF(ISBLANK(customer_churn_dataset!I29),ROUND(MEDIAN(customer_churn_dataset!I$2:I$1501),1),MIN(100,MAX(0,customer_churn_dataset!I29)))</f>
        <v>74.1</v>
      </c>
      <c r="J29" s="7" t="n">
        <f aca="false">IF(ISBLANK(customer_churn_dataset!J29),0,MAX(0,customer_churn_dataset!J29))</f>
        <v>20</v>
      </c>
      <c r="K29" s="7" t="n">
        <f aca="false">IF(ISBLANK(customer_churn_dataset!K29),0,MIN(10,MAX(0,customer_churn_dataset!K29)))</f>
        <v>7</v>
      </c>
      <c r="L29" s="7" t="n">
        <f aca="false">IF(ISBLANK(customer_churn_dataset!L29),0,MAX(0,customer_churn_dataset!L29))</f>
        <v>0</v>
      </c>
      <c r="M29" s="7" t="n">
        <f aca="false">IF(ISBLANK(customer_churn_dataset!M29),0,customer_churn_dataset!M29)</f>
        <v>0</v>
      </c>
      <c r="N29" s="7" t="n">
        <f aca="false">IF(ISBLANK(customer_churn_dataset!N29),0,MAX(0,customer_churn_dataset!N29))</f>
        <v>683.06</v>
      </c>
      <c r="O29" s="7" t="n">
        <f aca="false">IF(ISBLANK(customer_churn_dataset!O29),0,customer_churn_dataset!O29)</f>
        <v>0</v>
      </c>
      <c r="P29" s="7" t="str">
        <f aca="false">IF(COUNTIF(customer_churn_dataset!$A$2:$A$1501,customer_churn_dataset!A29)&gt;1,"Duplicate","Unique")</f>
        <v>Unique</v>
      </c>
    </row>
    <row r="30" customFormat="false" ht="14.15" hidden="false" customHeight="true" outlineLevel="0" collapsed="false">
      <c r="A30" s="7" t="str">
        <f aca="false">TRIM(customer_churn_dataset!A30)</f>
        <v>CUST101121</v>
      </c>
      <c r="B30" s="7" t="str">
        <f aca="false">PROPER(TRIM(customer_churn_dataset!B30))</f>
        <v>Premium</v>
      </c>
      <c r="C30" s="7" t="str">
        <f aca="false">PROPER(TRIM(customer_churn_dataset!C30))</f>
        <v>Month-To-Month</v>
      </c>
      <c r="D30" s="7" t="n">
        <f aca="false">IF(ISBLANK(customer_churn_dataset!D30),ROUND(MEDIAN(customer_churn_dataset!D$2:D$1501),2),IF(customer_churn_dataset!D30&lt;0,ABS(customer_churn_dataset!D30),customer_churn_dataset!D30))</f>
        <v>39.31</v>
      </c>
      <c r="E30" s="7" t="n">
        <f aca="false">IF(ISBLANK(customer_churn_dataset!E30),0,MAX(0,customer_churn_dataset!E30))</f>
        <v>59</v>
      </c>
      <c r="F30" s="8" t="n">
        <f aca="false">IF(ISBLANK(customer_churn_dataset!F30),"",customer_churn_dataset!F30)</f>
        <v>43876</v>
      </c>
      <c r="G30" s="7" t="str">
        <f aca="false">PROPER(TRIM(customer_churn_dataset!G30))</f>
        <v>Manual/Invoice</v>
      </c>
      <c r="H30" s="7" t="n">
        <f aca="false">IF(ISBLANK(customer_churn_dataset!H30),0,customer_churn_dataset!H30)</f>
        <v>1</v>
      </c>
      <c r="I30" s="7" t="n">
        <f aca="false">IF(ISBLANK(customer_churn_dataset!I30),ROUND(MEDIAN(customer_churn_dataset!I$2:I$1501),1),MIN(100,MAX(0,customer_churn_dataset!I30)))</f>
        <v>52.6</v>
      </c>
      <c r="J30" s="7" t="n">
        <f aca="false">IF(ISBLANK(customer_churn_dataset!J30),0,MAX(0,customer_churn_dataset!J30))</f>
        <v>21</v>
      </c>
      <c r="K30" s="7" t="n">
        <f aca="false">IF(ISBLANK(customer_churn_dataset!K30),0,MIN(10,MAX(0,customer_churn_dataset!K30)))</f>
        <v>6</v>
      </c>
      <c r="L30" s="7" t="n">
        <f aca="false">IF(ISBLANK(customer_churn_dataset!L30),0,MAX(0,customer_churn_dataset!L30))</f>
        <v>2</v>
      </c>
      <c r="M30" s="7" t="n">
        <f aca="false">IF(ISBLANK(customer_churn_dataset!M30),0,customer_churn_dataset!M30)</f>
        <v>1</v>
      </c>
      <c r="N30" s="7" t="n">
        <f aca="false">IF(ISBLANK(customer_churn_dataset!N30),0,MAX(0,customer_churn_dataset!N30))</f>
        <v>2319.29</v>
      </c>
      <c r="O30" s="7" t="n">
        <f aca="false">IF(ISBLANK(customer_churn_dataset!O30),0,customer_churn_dataset!O30)</f>
        <v>0</v>
      </c>
      <c r="P30" s="7" t="str">
        <f aca="false">IF(COUNTIF(customer_churn_dataset!$A$2:$A$1501,customer_churn_dataset!A30)&gt;1,"Duplicate","Unique")</f>
        <v>Unique</v>
      </c>
    </row>
    <row r="31" customFormat="false" ht="14.15" hidden="false" customHeight="true" outlineLevel="0" collapsed="false">
      <c r="A31" s="7" t="str">
        <f aca="false">TRIM(customer_churn_dataset!A31)</f>
        <v>CUST101027</v>
      </c>
      <c r="B31" s="7" t="str">
        <f aca="false">PROPER(TRIM(customer_churn_dataset!B31))</f>
        <v>Premium</v>
      </c>
      <c r="C31" s="7" t="str">
        <f aca="false">PROPER(TRIM(customer_churn_dataset!C31))</f>
        <v>Month-To-Month</v>
      </c>
      <c r="D31" s="7" t="n">
        <f aca="false">IF(ISBLANK(customer_churn_dataset!D31),ROUND(MEDIAN(customer_churn_dataset!D$2:D$1501),2),IF(customer_churn_dataset!D31&lt;0,ABS(customer_churn_dataset!D31),customer_churn_dataset!D31))</f>
        <v>39.72</v>
      </c>
      <c r="E31" s="7" t="n">
        <f aca="false">IF(ISBLANK(customer_churn_dataset!E31),0,MAX(0,customer_churn_dataset!E31))</f>
        <v>4</v>
      </c>
      <c r="F31" s="8" t="n">
        <f aca="false">IF(ISBLANK(customer_churn_dataset!F31),"",customer_churn_dataset!F31)</f>
        <v>43879</v>
      </c>
      <c r="G31" s="7" t="str">
        <f aca="false">PROPER(TRIM(customer_churn_dataset!G31))</f>
        <v>Paypal</v>
      </c>
      <c r="H31" s="7" t="n">
        <f aca="false">IF(ISBLANK(customer_churn_dataset!H31),0,customer_churn_dataset!H31)</f>
        <v>1</v>
      </c>
      <c r="I31" s="7" t="n">
        <f aca="false">IF(ISBLANK(customer_churn_dataset!I31),ROUND(MEDIAN(customer_churn_dataset!I$2:I$1501),1),MIN(100,MAX(0,customer_churn_dataset!I31)))</f>
        <v>54</v>
      </c>
      <c r="J31" s="7" t="n">
        <f aca="false">IF(ISBLANK(customer_churn_dataset!J31),0,MAX(0,customer_churn_dataset!J31))</f>
        <v>20</v>
      </c>
      <c r="K31" s="7" t="n">
        <f aca="false">IF(ISBLANK(customer_churn_dataset!K31),0,MIN(10,MAX(0,customer_churn_dataset!K31)))</f>
        <v>6</v>
      </c>
      <c r="L31" s="7" t="n">
        <f aca="false">IF(ISBLANK(customer_churn_dataset!L31),0,MAX(0,customer_churn_dataset!L31))</f>
        <v>3</v>
      </c>
      <c r="M31" s="7" t="n">
        <f aca="false">IF(ISBLANK(customer_churn_dataset!M31),0,customer_churn_dataset!M31)</f>
        <v>0</v>
      </c>
      <c r="N31" s="7" t="n">
        <f aca="false">IF(ISBLANK(customer_churn_dataset!N31),0,MAX(0,customer_churn_dataset!N31))</f>
        <v>158.88</v>
      </c>
      <c r="O31" s="7" t="n">
        <f aca="false">IF(ISBLANK(customer_churn_dataset!O31),0,customer_churn_dataset!O31)</f>
        <v>1</v>
      </c>
      <c r="P31" s="7" t="str">
        <f aca="false">IF(COUNTIF(customer_churn_dataset!$A$2:$A$1501,customer_churn_dataset!A31)&gt;1,"Duplicate","Unique")</f>
        <v>Unique</v>
      </c>
    </row>
    <row r="32" customFormat="false" ht="14.15" hidden="false" customHeight="true" outlineLevel="0" collapsed="false">
      <c r="A32" s="7" t="str">
        <f aca="false">TRIM(customer_churn_dataset!A32)</f>
        <v>CUST100565</v>
      </c>
      <c r="B32" s="7" t="str">
        <f aca="false">PROPER(TRIM(customer_churn_dataset!B32))</f>
        <v>Standard</v>
      </c>
      <c r="C32" s="7" t="str">
        <f aca="false">PROPER(TRIM(customer_churn_dataset!C32))</f>
        <v>Month-To-Month</v>
      </c>
      <c r="D32" s="7" t="n">
        <f aca="false">IF(ISBLANK(customer_churn_dataset!D32),ROUND(MEDIAN(customer_churn_dataset!D$2:D$1501),2),IF(customer_churn_dataset!D32&lt;0,ABS(customer_churn_dataset!D32),customer_churn_dataset!D32))</f>
        <v>21.08</v>
      </c>
      <c r="E32" s="7" t="n">
        <f aca="false">IF(ISBLANK(customer_churn_dataset!E32),0,MAX(0,customer_churn_dataset!E32))</f>
        <v>2</v>
      </c>
      <c r="F32" s="8" t="n">
        <f aca="false">IF(ISBLANK(customer_churn_dataset!F32),"",customer_churn_dataset!F32)</f>
        <v>43879</v>
      </c>
      <c r="G32" s="7" t="str">
        <f aca="false">PROPER(TRIM(customer_churn_dataset!G32))</f>
        <v>Credit Card</v>
      </c>
      <c r="H32" s="7" t="n">
        <f aca="false">IF(ISBLANK(customer_churn_dataset!H32),0,customer_churn_dataset!H32)</f>
        <v>1</v>
      </c>
      <c r="I32" s="7" t="n">
        <f aca="false">IF(ISBLANK(customer_churn_dataset!I32),ROUND(MEDIAN(customer_churn_dataset!I$2:I$1501),1),MIN(100,MAX(0,customer_churn_dataset!I32)))</f>
        <v>63.3</v>
      </c>
      <c r="J32" s="7" t="n">
        <f aca="false">IF(ISBLANK(customer_churn_dataset!J32),0,MAX(0,customer_churn_dataset!J32))</f>
        <v>18</v>
      </c>
      <c r="K32" s="7" t="n">
        <f aca="false">IF(ISBLANK(customer_churn_dataset!K32),0,MIN(10,MAX(0,customer_churn_dataset!K32)))</f>
        <v>6</v>
      </c>
      <c r="L32" s="7" t="n">
        <f aca="false">IF(ISBLANK(customer_churn_dataset!L32),0,MAX(0,customer_churn_dataset!L32))</f>
        <v>3</v>
      </c>
      <c r="M32" s="7" t="n">
        <f aca="false">IF(ISBLANK(customer_churn_dataset!M32),0,customer_churn_dataset!M32)</f>
        <v>1</v>
      </c>
      <c r="N32" s="7" t="n">
        <f aca="false">IF(ISBLANK(customer_churn_dataset!N32),0,MAX(0,customer_churn_dataset!N32))</f>
        <v>42.16</v>
      </c>
      <c r="O32" s="7" t="n">
        <f aca="false">IF(ISBLANK(customer_churn_dataset!O32),0,customer_churn_dataset!O32)</f>
        <v>1</v>
      </c>
      <c r="P32" s="7" t="str">
        <f aca="false">IF(COUNTIF(customer_churn_dataset!$A$2:$A$1501,customer_churn_dataset!A32)&gt;1,"Duplicate","Unique")</f>
        <v>Unique</v>
      </c>
    </row>
    <row r="33" customFormat="false" ht="14.15" hidden="false" customHeight="true" outlineLevel="0" collapsed="false">
      <c r="A33" s="7" t="str">
        <f aca="false">TRIM(customer_churn_dataset!A33)</f>
        <v>CUST100731</v>
      </c>
      <c r="B33" s="7" t="str">
        <f aca="false">PROPER(TRIM(customer_churn_dataset!B33))</f>
        <v>Premium</v>
      </c>
      <c r="C33" s="7" t="str">
        <f aca="false">PROPER(TRIM(customer_churn_dataset!C33))</f>
        <v>Month-To-Month</v>
      </c>
      <c r="D33" s="7" t="n">
        <f aca="false">IF(ISBLANK(customer_churn_dataset!D33),ROUND(MEDIAN(customer_churn_dataset!D$2:D$1501),2),IF(customer_churn_dataset!D33&lt;0,ABS(customer_churn_dataset!D33),customer_churn_dataset!D33))</f>
        <v>40</v>
      </c>
      <c r="E33" s="7" t="n">
        <f aca="false">IF(ISBLANK(customer_churn_dataset!E33),0,MAX(0,customer_churn_dataset!E33))</f>
        <v>25</v>
      </c>
      <c r="F33" s="8" t="n">
        <f aca="false">IF(ISBLANK(customer_churn_dataset!F33),"",customer_churn_dataset!F33)</f>
        <v>43879</v>
      </c>
      <c r="G33" s="7" t="str">
        <f aca="false">PROPER(TRIM(customer_churn_dataset!G33))</f>
        <v>Credit Card</v>
      </c>
      <c r="H33" s="7" t="n">
        <f aca="false">IF(ISBLANK(customer_churn_dataset!H33),0,customer_churn_dataset!H33)</f>
        <v>0</v>
      </c>
      <c r="I33" s="7" t="n">
        <f aca="false">IF(ISBLANK(customer_churn_dataset!I33),ROUND(MEDIAN(customer_churn_dataset!I$2:I$1501),1),MIN(100,MAX(0,customer_churn_dataset!I33)))</f>
        <v>72.1</v>
      </c>
      <c r="J33" s="7" t="n">
        <f aca="false">IF(ISBLANK(customer_churn_dataset!J33),0,MAX(0,customer_churn_dataset!J33))</f>
        <v>21</v>
      </c>
      <c r="K33" s="7" t="n">
        <f aca="false">IF(ISBLANK(customer_churn_dataset!K33),0,MIN(10,MAX(0,customer_churn_dataset!K33)))</f>
        <v>6</v>
      </c>
      <c r="L33" s="7" t="n">
        <f aca="false">IF(ISBLANK(customer_churn_dataset!L33),0,MAX(0,customer_churn_dataset!L33))</f>
        <v>2</v>
      </c>
      <c r="M33" s="7" t="n">
        <f aca="false">IF(ISBLANK(customer_churn_dataset!M33),0,customer_churn_dataset!M33)</f>
        <v>0</v>
      </c>
      <c r="N33" s="7" t="n">
        <f aca="false">IF(ISBLANK(customer_churn_dataset!N33),0,MAX(0,customer_churn_dataset!N33))</f>
        <v>1000</v>
      </c>
      <c r="O33" s="7" t="n">
        <f aca="false">IF(ISBLANK(customer_churn_dataset!O33),0,customer_churn_dataset!O33)</f>
        <v>0</v>
      </c>
      <c r="P33" s="7" t="str">
        <f aca="false">IF(COUNTIF(customer_churn_dataset!$A$2:$A$1501,customer_churn_dataset!A33)&gt;1,"Duplicate","Unique")</f>
        <v>Unique</v>
      </c>
    </row>
    <row r="34" customFormat="false" ht="14.15" hidden="false" customHeight="true" outlineLevel="0" collapsed="false">
      <c r="A34" s="7" t="str">
        <f aca="false">TRIM(customer_churn_dataset!A34)</f>
        <v>CUST101393</v>
      </c>
      <c r="B34" s="7" t="str">
        <f aca="false">PROPER(TRIM(customer_churn_dataset!B34))</f>
        <v>Standard</v>
      </c>
      <c r="C34" s="7" t="str">
        <f aca="false">PROPER(TRIM(customer_churn_dataset!C34))</f>
        <v>Two Year</v>
      </c>
      <c r="D34" s="7" t="n">
        <f aca="false">IF(ISBLANK(customer_churn_dataset!D34),ROUND(MEDIAN(customer_churn_dataset!D$2:D$1501),2),IF(customer_churn_dataset!D34&lt;0,ABS(customer_churn_dataset!D34),customer_churn_dataset!D34))</f>
        <v>20.38</v>
      </c>
      <c r="E34" s="7" t="n">
        <f aca="false">IF(ISBLANK(customer_churn_dataset!E34),0,MAX(0,customer_churn_dataset!E34))</f>
        <v>5</v>
      </c>
      <c r="F34" s="8" t="n">
        <f aca="false">IF(ISBLANK(customer_churn_dataset!F34),"",customer_churn_dataset!F34)</f>
        <v>43879</v>
      </c>
      <c r="G34" s="7" t="str">
        <f aca="false">PROPER(TRIM(customer_churn_dataset!G34))</f>
        <v>Credit Card</v>
      </c>
      <c r="H34" s="7" t="n">
        <f aca="false">IF(ISBLANK(customer_churn_dataset!H34),0,customer_churn_dataset!H34)</f>
        <v>1</v>
      </c>
      <c r="I34" s="7" t="n">
        <f aca="false">IF(ISBLANK(customer_churn_dataset!I34),ROUND(MEDIAN(customer_churn_dataset!I$2:I$1501),1),MIN(100,MAX(0,customer_churn_dataset!I34)))</f>
        <v>53</v>
      </c>
      <c r="J34" s="7" t="n">
        <f aca="false">IF(ISBLANK(customer_churn_dataset!J34),0,MAX(0,customer_churn_dataset!J34))</f>
        <v>21</v>
      </c>
      <c r="K34" s="7" t="n">
        <f aca="false">IF(ISBLANK(customer_churn_dataset!K34),0,MIN(10,MAX(0,customer_churn_dataset!K34)))</f>
        <v>7</v>
      </c>
      <c r="L34" s="7" t="n">
        <f aca="false">IF(ISBLANK(customer_churn_dataset!L34),0,MAX(0,customer_churn_dataset!L34))</f>
        <v>1</v>
      </c>
      <c r="M34" s="7" t="n">
        <f aca="false">IF(ISBLANK(customer_churn_dataset!M34),0,customer_churn_dataset!M34)</f>
        <v>0</v>
      </c>
      <c r="N34" s="7" t="n">
        <f aca="false">IF(ISBLANK(customer_churn_dataset!N34),0,MAX(0,customer_churn_dataset!N34))</f>
        <v>101.9</v>
      </c>
      <c r="O34" s="7" t="n">
        <f aca="false">IF(ISBLANK(customer_churn_dataset!O34),0,customer_churn_dataset!O34)</f>
        <v>0</v>
      </c>
      <c r="P34" s="7" t="str">
        <f aca="false">IF(COUNTIF(customer_churn_dataset!$A$2:$A$1501,customer_churn_dataset!A34)&gt;1,"Duplicate","Unique")</f>
        <v>Unique</v>
      </c>
    </row>
    <row r="35" customFormat="false" ht="14.15" hidden="false" customHeight="true" outlineLevel="0" collapsed="false">
      <c r="A35" s="7" t="str">
        <f aca="false">TRIM(customer_churn_dataset!A35)</f>
        <v>CUST101366</v>
      </c>
      <c r="B35" s="7" t="str">
        <f aca="false">PROPER(TRIM(customer_churn_dataset!B35))</f>
        <v>Standard</v>
      </c>
      <c r="C35" s="7" t="str">
        <f aca="false">PROPER(TRIM(customer_churn_dataset!C35))</f>
        <v>One Year</v>
      </c>
      <c r="D35" s="7" t="n">
        <f aca="false">IF(ISBLANK(customer_churn_dataset!D35),ROUND(MEDIAN(customer_churn_dataset!D$2:D$1501),2),IF(customer_churn_dataset!D35&lt;0,ABS(customer_churn_dataset!D35),customer_churn_dataset!D35))</f>
        <v>20.41</v>
      </c>
      <c r="E35" s="7" t="n">
        <f aca="false">IF(ISBLANK(customer_churn_dataset!E35),0,MAX(0,customer_churn_dataset!E35))</f>
        <v>17</v>
      </c>
      <c r="F35" s="8" t="n">
        <f aca="false">IF(ISBLANK(customer_churn_dataset!F35),"",customer_churn_dataset!F35)</f>
        <v>43881</v>
      </c>
      <c r="G35" s="7" t="str">
        <f aca="false">PROPER(TRIM(customer_churn_dataset!G35))</f>
        <v>Credit Card</v>
      </c>
      <c r="H35" s="7" t="n">
        <f aca="false">IF(ISBLANK(customer_churn_dataset!H35),0,customer_churn_dataset!H35)</f>
        <v>1</v>
      </c>
      <c r="I35" s="7" t="n">
        <f aca="false">IF(ISBLANK(customer_churn_dataset!I35),ROUND(MEDIAN(customer_churn_dataset!I$2:I$1501),1),MIN(100,MAX(0,customer_churn_dataset!I35)))</f>
        <v>47.8</v>
      </c>
      <c r="J35" s="7" t="n">
        <f aca="false">IF(ISBLANK(customer_churn_dataset!J35),0,MAX(0,customer_churn_dataset!J35))</f>
        <v>11</v>
      </c>
      <c r="K35" s="7" t="n">
        <f aca="false">IF(ISBLANK(customer_churn_dataset!K35),0,MIN(10,MAX(0,customer_churn_dataset!K35)))</f>
        <v>7</v>
      </c>
      <c r="L35" s="7" t="n">
        <f aca="false">IF(ISBLANK(customer_churn_dataset!L35),0,MAX(0,customer_churn_dataset!L35))</f>
        <v>2</v>
      </c>
      <c r="M35" s="7" t="n">
        <f aca="false">IF(ISBLANK(customer_churn_dataset!M35),0,customer_churn_dataset!M35)</f>
        <v>0</v>
      </c>
      <c r="N35" s="7" t="n">
        <f aca="false">IF(ISBLANK(customer_churn_dataset!N35),0,MAX(0,customer_churn_dataset!N35))</f>
        <v>346.97</v>
      </c>
      <c r="O35" s="7" t="n">
        <f aca="false">IF(ISBLANK(customer_churn_dataset!O35),0,customer_churn_dataset!O35)</f>
        <v>0</v>
      </c>
      <c r="P35" s="7" t="str">
        <f aca="false">IF(COUNTIF(customer_churn_dataset!$A$2:$A$1501,customer_churn_dataset!A35)&gt;1,"Duplicate","Unique")</f>
        <v>Unique</v>
      </c>
    </row>
    <row r="36" customFormat="false" ht="14.15" hidden="false" customHeight="true" outlineLevel="0" collapsed="false">
      <c r="A36" s="7" t="str">
        <f aca="false">TRIM(customer_churn_dataset!A36)</f>
        <v>CUST100426</v>
      </c>
      <c r="B36" s="7" t="str">
        <f aca="false">PROPER(TRIM(customer_churn_dataset!B36))</f>
        <v>Basic</v>
      </c>
      <c r="C36" s="7" t="str">
        <f aca="false">PROPER(TRIM(customer_churn_dataset!C36))</f>
        <v>One Year</v>
      </c>
      <c r="D36" s="7" t="n">
        <f aca="false">IF(ISBLANK(customer_churn_dataset!D36),ROUND(MEDIAN(customer_churn_dataset!D$2:D$1501),2),IF(customer_churn_dataset!D36&lt;0,ABS(customer_churn_dataset!D36),customer_churn_dataset!D36))</f>
        <v>10.17</v>
      </c>
      <c r="E36" s="7" t="n">
        <f aca="false">IF(ISBLANK(customer_churn_dataset!E36),0,MAX(0,customer_churn_dataset!E36))</f>
        <v>0</v>
      </c>
      <c r="F36" s="8" t="n">
        <f aca="false">IF(ISBLANK(customer_churn_dataset!F36),"",customer_churn_dataset!F36)</f>
        <v>43885</v>
      </c>
      <c r="G36" s="7" t="str">
        <f aca="false">PROPER(TRIM(customer_churn_dataset!G36))</f>
        <v>Credit Card</v>
      </c>
      <c r="H36" s="7" t="n">
        <f aca="false">IF(ISBLANK(customer_churn_dataset!H36),0,customer_churn_dataset!H36)</f>
        <v>0</v>
      </c>
      <c r="I36" s="7" t="n">
        <f aca="false">IF(ISBLANK(customer_churn_dataset!I36),ROUND(MEDIAN(customer_churn_dataset!I$2:I$1501),1),MIN(100,MAX(0,customer_churn_dataset!I36)))</f>
        <v>62.5</v>
      </c>
      <c r="J36" s="7" t="n">
        <f aca="false">IF(ISBLANK(customer_churn_dataset!J36),0,MAX(0,customer_churn_dataset!J36))</f>
        <v>22</v>
      </c>
      <c r="K36" s="7" t="n">
        <f aca="false">IF(ISBLANK(customer_churn_dataset!K36),0,MIN(10,MAX(0,customer_churn_dataset!K36)))</f>
        <v>7</v>
      </c>
      <c r="L36" s="7" t="n">
        <f aca="false">IF(ISBLANK(customer_churn_dataset!L36),0,MAX(0,customer_churn_dataset!L36))</f>
        <v>0</v>
      </c>
      <c r="M36" s="7" t="n">
        <f aca="false">IF(ISBLANK(customer_churn_dataset!M36),0,customer_churn_dataset!M36)</f>
        <v>0</v>
      </c>
      <c r="N36" s="7" t="n">
        <f aca="false">IF(ISBLANK(customer_churn_dataset!N36),0,MAX(0,customer_churn_dataset!N36))</f>
        <v>0</v>
      </c>
      <c r="O36" s="7" t="n">
        <f aca="false">IF(ISBLANK(customer_churn_dataset!O36),0,customer_churn_dataset!O36)</f>
        <v>0</v>
      </c>
      <c r="P36" s="7" t="str">
        <f aca="false">IF(COUNTIF(customer_churn_dataset!$A$2:$A$1501,customer_churn_dataset!A36)&gt;1,"Duplicate","Unique")</f>
        <v>Unique</v>
      </c>
    </row>
    <row r="37" customFormat="false" ht="14.15" hidden="false" customHeight="true" outlineLevel="0" collapsed="false">
      <c r="A37" s="7" t="str">
        <f aca="false">TRIM(customer_churn_dataset!A37)</f>
        <v>CUST101044</v>
      </c>
      <c r="B37" s="7" t="str">
        <f aca="false">PROPER(TRIM(customer_churn_dataset!B37))</f>
        <v>Premium</v>
      </c>
      <c r="C37" s="7" t="str">
        <f aca="false">PROPER(TRIM(customer_churn_dataset!C37))</f>
        <v>Month-To-Month</v>
      </c>
      <c r="D37" s="7" t="n">
        <f aca="false">IF(ISBLANK(customer_churn_dataset!D37),ROUND(MEDIAN(customer_churn_dataset!D$2:D$1501),2),IF(customer_churn_dataset!D37&lt;0,ABS(customer_churn_dataset!D37),customer_churn_dataset!D37))</f>
        <v>39.03</v>
      </c>
      <c r="E37" s="7" t="n">
        <f aca="false">IF(ISBLANK(customer_churn_dataset!E37),0,MAX(0,customer_churn_dataset!E37))</f>
        <v>11</v>
      </c>
      <c r="F37" s="8" t="n">
        <f aca="false">IF(ISBLANK(customer_churn_dataset!F37),"",customer_churn_dataset!F37)</f>
        <v>43885</v>
      </c>
      <c r="G37" s="7" t="str">
        <f aca="false">PROPER(TRIM(customer_churn_dataset!G37))</f>
        <v>Credit Card</v>
      </c>
      <c r="H37" s="7" t="n">
        <f aca="false">IF(ISBLANK(customer_churn_dataset!H37),0,customer_churn_dataset!H37)</f>
        <v>0</v>
      </c>
      <c r="I37" s="7" t="n">
        <f aca="false">IF(ISBLANK(customer_churn_dataset!I37),ROUND(MEDIAN(customer_churn_dataset!I$2:I$1501),1),MIN(100,MAX(0,customer_churn_dataset!I37)))</f>
        <v>69</v>
      </c>
      <c r="J37" s="7" t="n">
        <f aca="false">IF(ISBLANK(customer_churn_dataset!J37),0,MAX(0,customer_churn_dataset!J37))</f>
        <v>29</v>
      </c>
      <c r="K37" s="7" t="n">
        <f aca="false">IF(ISBLANK(customer_churn_dataset!K37),0,MIN(10,MAX(0,customer_churn_dataset!K37)))</f>
        <v>9</v>
      </c>
      <c r="L37" s="7" t="n">
        <f aca="false">IF(ISBLANK(customer_churn_dataset!L37),0,MAX(0,customer_churn_dataset!L37))</f>
        <v>2</v>
      </c>
      <c r="M37" s="7" t="n">
        <f aca="false">IF(ISBLANK(customer_churn_dataset!M37),0,customer_churn_dataset!M37)</f>
        <v>1</v>
      </c>
      <c r="N37" s="7" t="n">
        <f aca="false">IF(ISBLANK(customer_churn_dataset!N37),0,MAX(0,customer_churn_dataset!N37))</f>
        <v>429.33</v>
      </c>
      <c r="O37" s="7" t="n">
        <f aca="false">IF(ISBLANK(customer_churn_dataset!O37),0,customer_churn_dataset!O37)</f>
        <v>1</v>
      </c>
      <c r="P37" s="7" t="str">
        <f aca="false">IF(COUNTIF(customer_churn_dataset!$A$2:$A$1501,customer_churn_dataset!A37)&gt;1,"Duplicate","Unique")</f>
        <v>Unique</v>
      </c>
    </row>
    <row r="38" customFormat="false" ht="14.15" hidden="false" customHeight="true" outlineLevel="0" collapsed="false">
      <c r="A38" s="7" t="str">
        <f aca="false">TRIM(customer_churn_dataset!A38)</f>
        <v>CUST100867</v>
      </c>
      <c r="B38" s="7" t="str">
        <f aca="false">PROPER(TRIM(customer_churn_dataset!B38))</f>
        <v>Basic</v>
      </c>
      <c r="C38" s="7" t="str">
        <f aca="false">PROPER(TRIM(customer_churn_dataset!C38))</f>
        <v>Two Year</v>
      </c>
      <c r="D38" s="7" t="n">
        <f aca="false">IF(ISBLANK(customer_churn_dataset!D38),ROUND(MEDIAN(customer_churn_dataset!D$2:D$1501),2),IF(customer_churn_dataset!D38&lt;0,ABS(customer_churn_dataset!D38),customer_churn_dataset!D38))</f>
        <v>11.23</v>
      </c>
      <c r="E38" s="7" t="n">
        <f aca="false">IF(ISBLANK(customer_churn_dataset!E38),0,MAX(0,customer_churn_dataset!E38))</f>
        <v>16</v>
      </c>
      <c r="F38" s="8" t="n">
        <f aca="false">IF(ISBLANK(customer_churn_dataset!F38),"",customer_churn_dataset!F38)</f>
        <v>43889</v>
      </c>
      <c r="G38" s="7" t="str">
        <f aca="false">PROPER(TRIM(customer_churn_dataset!G38))</f>
        <v>Paypal</v>
      </c>
      <c r="H38" s="7" t="n">
        <f aca="false">IF(ISBLANK(customer_churn_dataset!H38),0,customer_churn_dataset!H38)</f>
        <v>1</v>
      </c>
      <c r="I38" s="7" t="n">
        <f aca="false">IF(ISBLANK(customer_churn_dataset!I38),ROUND(MEDIAN(customer_churn_dataset!I$2:I$1501),1),MIN(100,MAX(0,customer_churn_dataset!I38)))</f>
        <v>50.9</v>
      </c>
      <c r="J38" s="7" t="n">
        <f aca="false">IF(ISBLANK(customer_churn_dataset!J38),0,MAX(0,customer_churn_dataset!J38))</f>
        <v>17</v>
      </c>
      <c r="K38" s="7" t="n">
        <f aca="false">IF(ISBLANK(customer_churn_dataset!K38),0,MIN(10,MAX(0,customer_churn_dataset!K38)))</f>
        <v>6</v>
      </c>
      <c r="L38" s="7" t="n">
        <f aca="false">IF(ISBLANK(customer_churn_dataset!L38),0,MAX(0,customer_churn_dataset!L38))</f>
        <v>3</v>
      </c>
      <c r="M38" s="7" t="n">
        <f aca="false">IF(ISBLANK(customer_churn_dataset!M38),0,customer_churn_dataset!M38)</f>
        <v>0</v>
      </c>
      <c r="N38" s="7" t="n">
        <f aca="false">IF(ISBLANK(customer_churn_dataset!N38),0,MAX(0,customer_churn_dataset!N38))</f>
        <v>179.68</v>
      </c>
      <c r="O38" s="7" t="n">
        <f aca="false">IF(ISBLANK(customer_churn_dataset!O38),0,customer_churn_dataset!O38)</f>
        <v>0</v>
      </c>
      <c r="P38" s="7" t="str">
        <f aca="false">IF(COUNTIF(customer_churn_dataset!$A$2:$A$1501,customer_churn_dataset!A38)&gt;1,"Duplicate","Unique")</f>
        <v>Unique</v>
      </c>
    </row>
    <row r="39" customFormat="false" ht="14.15" hidden="false" customHeight="true" outlineLevel="0" collapsed="false">
      <c r="A39" s="7" t="str">
        <f aca="false">TRIM(customer_churn_dataset!A39)</f>
        <v>CUST100652</v>
      </c>
      <c r="B39" s="7" t="str">
        <f aca="false">PROPER(TRIM(customer_churn_dataset!B39))</f>
        <v>Standard</v>
      </c>
      <c r="C39" s="7" t="str">
        <f aca="false">PROPER(TRIM(customer_churn_dataset!C39))</f>
        <v>Month-To-Month</v>
      </c>
      <c r="D39" s="7" t="n">
        <f aca="false">IF(ISBLANK(customer_churn_dataset!D39),ROUND(MEDIAN(customer_churn_dataset!D$2:D$1501),2),IF(customer_churn_dataset!D39&lt;0,ABS(customer_churn_dataset!D39),customer_churn_dataset!D39))</f>
        <v>21.6</v>
      </c>
      <c r="E39" s="7" t="n">
        <f aca="false">IF(ISBLANK(customer_churn_dataset!E39),0,MAX(0,customer_churn_dataset!E39))</f>
        <v>2</v>
      </c>
      <c r="F39" s="8" t="n">
        <f aca="false">IF(ISBLANK(customer_churn_dataset!F39),"",customer_churn_dataset!F39)</f>
        <v>43890</v>
      </c>
      <c r="G39" s="7" t="str">
        <f aca="false">PROPER(TRIM(customer_churn_dataset!G39))</f>
        <v>Credit Card</v>
      </c>
      <c r="H39" s="7" t="n">
        <f aca="false">IF(ISBLANK(customer_churn_dataset!H39),0,customer_churn_dataset!H39)</f>
        <v>1</v>
      </c>
      <c r="I39" s="7" t="n">
        <f aca="false">IF(ISBLANK(customer_churn_dataset!I39),ROUND(MEDIAN(customer_churn_dataset!I$2:I$1501),1),MIN(100,MAX(0,customer_churn_dataset!I39)))</f>
        <v>55.6</v>
      </c>
      <c r="J39" s="7" t="n">
        <f aca="false">IF(ISBLANK(customer_churn_dataset!J39),0,MAX(0,customer_churn_dataset!J39))</f>
        <v>18</v>
      </c>
      <c r="K39" s="7" t="n">
        <f aca="false">IF(ISBLANK(customer_churn_dataset!K39),0,MIN(10,MAX(0,customer_churn_dataset!K39)))</f>
        <v>7</v>
      </c>
      <c r="L39" s="7" t="n">
        <f aca="false">IF(ISBLANK(customer_churn_dataset!L39),0,MAX(0,customer_churn_dataset!L39))</f>
        <v>0</v>
      </c>
      <c r="M39" s="7" t="n">
        <f aca="false">IF(ISBLANK(customer_churn_dataset!M39),0,customer_churn_dataset!M39)</f>
        <v>0</v>
      </c>
      <c r="N39" s="7" t="n">
        <f aca="false">IF(ISBLANK(customer_churn_dataset!N39),0,MAX(0,customer_churn_dataset!N39))</f>
        <v>43.2</v>
      </c>
      <c r="O39" s="7" t="n">
        <f aca="false">IF(ISBLANK(customer_churn_dataset!O39),0,customer_churn_dataset!O39)</f>
        <v>0</v>
      </c>
      <c r="P39" s="7" t="str">
        <f aca="false">IF(COUNTIF(customer_churn_dataset!$A$2:$A$1501,customer_churn_dataset!A39)&gt;1,"Duplicate","Unique")</f>
        <v>Unique</v>
      </c>
    </row>
    <row r="40" customFormat="false" ht="14.15" hidden="false" customHeight="true" outlineLevel="0" collapsed="false">
      <c r="A40" s="7" t="str">
        <f aca="false">TRIM(customer_churn_dataset!A40)</f>
        <v>CUST100638</v>
      </c>
      <c r="B40" s="7" t="str">
        <f aca="false">PROPER(TRIM(customer_churn_dataset!B40))</f>
        <v>Basic</v>
      </c>
      <c r="C40" s="7" t="str">
        <f aca="false">PROPER(TRIM(customer_churn_dataset!C40))</f>
        <v>Month-To-Month</v>
      </c>
      <c r="D40" s="7" t="n">
        <f aca="false">IF(ISBLANK(customer_churn_dataset!D40),ROUND(MEDIAN(customer_churn_dataset!D$2:D$1501),2),IF(customer_churn_dataset!D40&lt;0,ABS(customer_churn_dataset!D40),customer_churn_dataset!D40))</f>
        <v>11.07</v>
      </c>
      <c r="E40" s="7" t="n">
        <f aca="false">IF(ISBLANK(customer_churn_dataset!E40),0,MAX(0,customer_churn_dataset!E40))</f>
        <v>8</v>
      </c>
      <c r="F40" s="8" t="n">
        <f aca="false">IF(ISBLANK(customer_churn_dataset!F40),"",customer_churn_dataset!F40)</f>
        <v>43892</v>
      </c>
      <c r="G40" s="7" t="str">
        <f aca="false">PROPER(TRIM(customer_churn_dataset!G40))</f>
        <v>Credit Card</v>
      </c>
      <c r="H40" s="7" t="n">
        <f aca="false">IF(ISBLANK(customer_churn_dataset!H40),0,customer_churn_dataset!H40)</f>
        <v>1</v>
      </c>
      <c r="I40" s="7" t="n">
        <f aca="false">IF(ISBLANK(customer_churn_dataset!I40),ROUND(MEDIAN(customer_churn_dataset!I$2:I$1501),1),MIN(100,MAX(0,customer_churn_dataset!I40)))</f>
        <v>43.4</v>
      </c>
      <c r="J40" s="7" t="n">
        <f aca="false">IF(ISBLANK(customer_churn_dataset!J40),0,MAX(0,customer_churn_dataset!J40))</f>
        <v>14</v>
      </c>
      <c r="K40" s="7" t="n">
        <f aca="false">IF(ISBLANK(customer_churn_dataset!K40),0,MIN(10,MAX(0,customer_churn_dataset!K40)))</f>
        <v>3</v>
      </c>
      <c r="L40" s="7" t="n">
        <f aca="false">IF(ISBLANK(customer_churn_dataset!L40),0,MAX(0,customer_churn_dataset!L40))</f>
        <v>2</v>
      </c>
      <c r="M40" s="7" t="n">
        <f aca="false">IF(ISBLANK(customer_churn_dataset!M40),0,customer_churn_dataset!M40)</f>
        <v>0</v>
      </c>
      <c r="N40" s="7" t="n">
        <f aca="false">IF(ISBLANK(customer_churn_dataset!N40),0,MAX(0,customer_churn_dataset!N40))</f>
        <v>88.56</v>
      </c>
      <c r="O40" s="7" t="n">
        <f aca="false">IF(ISBLANK(customer_churn_dataset!O40),0,customer_churn_dataset!O40)</f>
        <v>1</v>
      </c>
      <c r="P40" s="7" t="str">
        <f aca="false">IF(COUNTIF(customer_churn_dataset!$A$2:$A$1501,customer_churn_dataset!A40)&gt;1,"Duplicate","Unique")</f>
        <v>Unique</v>
      </c>
    </row>
    <row r="41" customFormat="false" ht="14.15" hidden="false" customHeight="true" outlineLevel="0" collapsed="false">
      <c r="A41" s="7" t="str">
        <f aca="false">TRIM(customer_churn_dataset!A41)</f>
        <v>CUST101300</v>
      </c>
      <c r="B41" s="7" t="str">
        <f aca="false">PROPER(TRIM(customer_churn_dataset!B41))</f>
        <v>Basic</v>
      </c>
      <c r="C41" s="7" t="str">
        <f aca="false">PROPER(TRIM(customer_churn_dataset!C41))</f>
        <v>Month-To-Month</v>
      </c>
      <c r="D41" s="7" t="n">
        <f aca="false">IF(ISBLANK(customer_churn_dataset!D41),ROUND(MEDIAN(customer_churn_dataset!D$2:D$1501),2),IF(customer_churn_dataset!D41&lt;0,ABS(customer_churn_dataset!D41),customer_churn_dataset!D41))</f>
        <v>10.07</v>
      </c>
      <c r="E41" s="7" t="n">
        <f aca="false">IF(ISBLANK(customer_churn_dataset!E41),0,MAX(0,customer_churn_dataset!E41))</f>
        <v>11</v>
      </c>
      <c r="F41" s="8" t="n">
        <f aca="false">IF(ISBLANK(customer_churn_dataset!F41),"",customer_churn_dataset!F41)</f>
        <v>43894</v>
      </c>
      <c r="G41" s="7" t="str">
        <f aca="false">PROPER(TRIM(customer_churn_dataset!G41))</f>
        <v>Paypal</v>
      </c>
      <c r="H41" s="7" t="n">
        <f aca="false">IF(ISBLANK(customer_churn_dataset!H41),0,customer_churn_dataset!H41)</f>
        <v>1</v>
      </c>
      <c r="I41" s="7" t="n">
        <f aca="false">IF(ISBLANK(customer_churn_dataset!I41),ROUND(MEDIAN(customer_churn_dataset!I$2:I$1501),1),MIN(100,MAX(0,customer_churn_dataset!I41)))</f>
        <v>89.5</v>
      </c>
      <c r="J41" s="7" t="n">
        <f aca="false">IF(ISBLANK(customer_churn_dataset!J41),0,MAX(0,customer_churn_dataset!J41))</f>
        <v>30</v>
      </c>
      <c r="K41" s="7" t="n">
        <f aca="false">IF(ISBLANK(customer_churn_dataset!K41),0,MIN(10,MAX(0,customer_churn_dataset!K41)))</f>
        <v>10</v>
      </c>
      <c r="L41" s="7" t="n">
        <f aca="false">IF(ISBLANK(customer_churn_dataset!L41),0,MAX(0,customer_churn_dataset!L41))</f>
        <v>2</v>
      </c>
      <c r="M41" s="7" t="n">
        <f aca="false">IF(ISBLANK(customer_churn_dataset!M41),0,customer_churn_dataset!M41)</f>
        <v>1</v>
      </c>
      <c r="N41" s="7" t="n">
        <f aca="false">IF(ISBLANK(customer_churn_dataset!N41),0,MAX(0,customer_churn_dataset!N41))</f>
        <v>110.77</v>
      </c>
      <c r="O41" s="7" t="n">
        <f aca="false">IF(ISBLANK(customer_churn_dataset!O41),0,customer_churn_dataset!O41)</f>
        <v>0</v>
      </c>
      <c r="P41" s="7" t="str">
        <f aca="false">IF(COUNTIF(customer_churn_dataset!$A$2:$A$1501,customer_churn_dataset!A41)&gt;1,"Duplicate","Unique")</f>
        <v>Unique</v>
      </c>
    </row>
    <row r="42" customFormat="false" ht="14.15" hidden="false" customHeight="true" outlineLevel="0" collapsed="false">
      <c r="A42" s="7" t="str">
        <f aca="false">TRIM(customer_churn_dataset!A42)</f>
        <v>CUST101462</v>
      </c>
      <c r="B42" s="7" t="str">
        <f aca="false">PROPER(TRIM(customer_churn_dataset!B42))</f>
        <v>Basic</v>
      </c>
      <c r="C42" s="7" t="str">
        <f aca="false">PROPER(TRIM(customer_churn_dataset!C42))</f>
        <v>Month-To-Month</v>
      </c>
      <c r="D42" s="7" t="n">
        <f aca="false">IF(ISBLANK(customer_churn_dataset!D42),ROUND(MEDIAN(customer_churn_dataset!D$2:D$1501),2),IF(customer_churn_dataset!D42&lt;0,ABS(customer_churn_dataset!D42),customer_churn_dataset!D42))</f>
        <v>10.07</v>
      </c>
      <c r="E42" s="7" t="n">
        <f aca="false">IF(ISBLANK(customer_churn_dataset!E42),0,MAX(0,customer_churn_dataset!E42))</f>
        <v>13</v>
      </c>
      <c r="F42" s="8" t="n">
        <f aca="false">IF(ISBLANK(customer_churn_dataset!F42),"",customer_churn_dataset!F42)</f>
        <v>43897</v>
      </c>
      <c r="G42" s="7" t="str">
        <f aca="false">PROPER(TRIM(customer_churn_dataset!G42))</f>
        <v>Paypal</v>
      </c>
      <c r="H42" s="7" t="n">
        <f aca="false">IF(ISBLANK(customer_churn_dataset!H42),0,customer_churn_dataset!H42)</f>
        <v>1</v>
      </c>
      <c r="I42" s="7" t="n">
        <f aca="false">IF(ISBLANK(customer_churn_dataset!I42),ROUND(MEDIAN(customer_churn_dataset!I$2:I$1501),1),MIN(100,MAX(0,customer_churn_dataset!I42)))</f>
        <v>41.5</v>
      </c>
      <c r="J42" s="7" t="n">
        <f aca="false">IF(ISBLANK(customer_churn_dataset!J42),0,MAX(0,customer_churn_dataset!J42))</f>
        <v>15</v>
      </c>
      <c r="K42" s="7" t="n">
        <f aca="false">IF(ISBLANK(customer_churn_dataset!K42),0,MIN(10,MAX(0,customer_churn_dataset!K42)))</f>
        <v>6</v>
      </c>
      <c r="L42" s="7" t="n">
        <f aca="false">IF(ISBLANK(customer_churn_dataset!L42),0,MAX(0,customer_churn_dataset!L42))</f>
        <v>3</v>
      </c>
      <c r="M42" s="7" t="n">
        <f aca="false">IF(ISBLANK(customer_churn_dataset!M42),0,customer_churn_dataset!M42)</f>
        <v>0</v>
      </c>
      <c r="N42" s="7" t="n">
        <f aca="false">IF(ISBLANK(customer_churn_dataset!N42),0,MAX(0,customer_churn_dataset!N42))</f>
        <v>130.91</v>
      </c>
      <c r="O42" s="7" t="n">
        <f aca="false">IF(ISBLANK(customer_churn_dataset!O42),0,customer_churn_dataset!O42)</f>
        <v>0</v>
      </c>
      <c r="P42" s="7" t="str">
        <f aca="false">IF(COUNTIF(customer_churn_dataset!$A$2:$A$1501,customer_churn_dataset!A42)&gt;1,"Duplicate","Unique")</f>
        <v>Unique</v>
      </c>
    </row>
    <row r="43" customFormat="false" ht="14.15" hidden="false" customHeight="true" outlineLevel="0" collapsed="false">
      <c r="A43" s="7" t="str">
        <f aca="false">TRIM(customer_churn_dataset!A43)</f>
        <v>CUST100814</v>
      </c>
      <c r="B43" s="7" t="str">
        <f aca="false">PROPER(TRIM(customer_churn_dataset!B43))</f>
        <v>Premium</v>
      </c>
      <c r="C43" s="7" t="str">
        <f aca="false">PROPER(TRIM(customer_churn_dataset!C43))</f>
        <v>Month-To-Month</v>
      </c>
      <c r="D43" s="7" t="n">
        <f aca="false">IF(ISBLANK(customer_churn_dataset!D43),ROUND(MEDIAN(customer_churn_dataset!D$2:D$1501),2),IF(customer_churn_dataset!D43&lt;0,ABS(customer_churn_dataset!D43),customer_churn_dataset!D43))</f>
        <v>39.97</v>
      </c>
      <c r="E43" s="7" t="n">
        <f aca="false">IF(ISBLANK(customer_churn_dataset!E43),0,MAX(0,customer_churn_dataset!E43))</f>
        <v>5</v>
      </c>
      <c r="F43" s="8" t="n">
        <f aca="false">IF(ISBLANK(customer_churn_dataset!F43),"",customer_churn_dataset!F43)</f>
        <v>43898</v>
      </c>
      <c r="G43" s="7" t="str">
        <f aca="false">PROPER(TRIM(customer_churn_dataset!G43))</f>
        <v>Credit Card</v>
      </c>
      <c r="H43" s="7" t="n">
        <f aca="false">IF(ISBLANK(customer_churn_dataset!H43),0,customer_churn_dataset!H43)</f>
        <v>1</v>
      </c>
      <c r="I43" s="7" t="n">
        <f aca="false">IF(ISBLANK(customer_churn_dataset!I43),ROUND(MEDIAN(customer_churn_dataset!I$2:I$1501),1),MIN(100,MAX(0,customer_churn_dataset!I43)))</f>
        <v>48.8</v>
      </c>
      <c r="J43" s="7" t="n">
        <f aca="false">IF(ISBLANK(customer_churn_dataset!J43),0,MAX(0,customer_churn_dataset!J43))</f>
        <v>13</v>
      </c>
      <c r="K43" s="7" t="n">
        <f aca="false">IF(ISBLANK(customer_churn_dataset!K43),0,MIN(10,MAX(0,customer_churn_dataset!K43)))</f>
        <v>6</v>
      </c>
      <c r="L43" s="7" t="n">
        <f aca="false">IF(ISBLANK(customer_churn_dataset!L43),0,MAX(0,customer_churn_dataset!L43))</f>
        <v>1</v>
      </c>
      <c r="M43" s="7" t="n">
        <f aca="false">IF(ISBLANK(customer_churn_dataset!M43),0,customer_churn_dataset!M43)</f>
        <v>0</v>
      </c>
      <c r="N43" s="7" t="n">
        <f aca="false">IF(ISBLANK(customer_churn_dataset!N43),0,MAX(0,customer_churn_dataset!N43))</f>
        <v>199.85</v>
      </c>
      <c r="O43" s="7" t="n">
        <f aca="false">IF(ISBLANK(customer_churn_dataset!O43),0,customer_churn_dataset!O43)</f>
        <v>0</v>
      </c>
      <c r="P43" s="7" t="str">
        <f aca="false">IF(COUNTIF(customer_churn_dataset!$A$2:$A$1501,customer_churn_dataset!A43)&gt;1,"Duplicate","Unique")</f>
        <v>Unique</v>
      </c>
    </row>
    <row r="44" customFormat="false" ht="14.15" hidden="false" customHeight="true" outlineLevel="0" collapsed="false">
      <c r="A44" s="7" t="str">
        <f aca="false">TRIM(customer_churn_dataset!A44)</f>
        <v>CUST100021</v>
      </c>
      <c r="B44" s="7" t="str">
        <f aca="false">PROPER(TRIM(customer_churn_dataset!B44))</f>
        <v>Basic</v>
      </c>
      <c r="C44" s="7" t="str">
        <f aca="false">PROPER(TRIM(customer_churn_dataset!C44))</f>
        <v>One Year</v>
      </c>
      <c r="D44" s="7" t="n">
        <f aca="false">IF(ISBLANK(customer_churn_dataset!D44),ROUND(MEDIAN(customer_churn_dataset!D$2:D$1501),2),IF(customer_churn_dataset!D44&lt;0,ABS(customer_churn_dataset!D44),customer_churn_dataset!D44))</f>
        <v>11.38</v>
      </c>
      <c r="E44" s="7" t="n">
        <f aca="false">IF(ISBLANK(customer_churn_dataset!E44),0,MAX(0,customer_churn_dataset!E44))</f>
        <v>25</v>
      </c>
      <c r="F44" s="8" t="n">
        <f aca="false">IF(ISBLANK(customer_churn_dataset!F44),"",customer_churn_dataset!F44)</f>
        <v>43899</v>
      </c>
      <c r="G44" s="7" t="str">
        <f aca="false">PROPER(TRIM(customer_churn_dataset!G44))</f>
        <v>Bank Transfer</v>
      </c>
      <c r="H44" s="7" t="n">
        <f aca="false">IF(ISBLANK(customer_churn_dataset!H44),0,customer_churn_dataset!H44)</f>
        <v>1</v>
      </c>
      <c r="I44" s="7" t="n">
        <f aca="false">IF(ISBLANK(customer_churn_dataset!I44),ROUND(MEDIAN(customer_churn_dataset!I$2:I$1501),1),MIN(100,MAX(0,customer_churn_dataset!I44)))</f>
        <v>54.4</v>
      </c>
      <c r="J44" s="7" t="n">
        <f aca="false">IF(ISBLANK(customer_churn_dataset!J44),0,MAX(0,customer_churn_dataset!J44))</f>
        <v>22</v>
      </c>
      <c r="K44" s="7" t="n">
        <f aca="false">IF(ISBLANK(customer_churn_dataset!K44),0,MIN(10,MAX(0,customer_churn_dataset!K44)))</f>
        <v>5</v>
      </c>
      <c r="L44" s="7" t="n">
        <f aca="false">IF(ISBLANK(customer_churn_dataset!L44),0,MAX(0,customer_churn_dataset!L44))</f>
        <v>1</v>
      </c>
      <c r="M44" s="7" t="n">
        <f aca="false">IF(ISBLANK(customer_churn_dataset!M44),0,customer_churn_dataset!M44)</f>
        <v>0</v>
      </c>
      <c r="N44" s="7" t="n">
        <f aca="false">IF(ISBLANK(customer_churn_dataset!N44),0,MAX(0,customer_churn_dataset!N44))</f>
        <v>284.5</v>
      </c>
      <c r="O44" s="7" t="n">
        <f aca="false">IF(ISBLANK(customer_churn_dataset!O44),0,customer_churn_dataset!O44)</f>
        <v>0</v>
      </c>
      <c r="P44" s="7" t="str">
        <f aca="false">IF(COUNTIF(customer_churn_dataset!$A$2:$A$1501,customer_churn_dataset!A44)&gt;1,"Duplicate","Unique")</f>
        <v>Unique</v>
      </c>
    </row>
    <row r="45" customFormat="false" ht="14.15" hidden="false" customHeight="true" outlineLevel="0" collapsed="false">
      <c r="A45" s="7" t="str">
        <f aca="false">TRIM(customer_churn_dataset!A45)</f>
        <v>CUST101096</v>
      </c>
      <c r="B45" s="7" t="str">
        <f aca="false">PROPER(TRIM(customer_churn_dataset!B45))</f>
        <v>Basic</v>
      </c>
      <c r="C45" s="7" t="str">
        <f aca="false">PROPER(TRIM(customer_churn_dataset!C45))</f>
        <v>Two Year</v>
      </c>
      <c r="D45" s="7" t="n">
        <f aca="false">IF(ISBLANK(customer_churn_dataset!D45),ROUND(MEDIAN(customer_churn_dataset!D$2:D$1501),2),IF(customer_churn_dataset!D45&lt;0,ABS(customer_churn_dataset!D45),customer_churn_dataset!D45))</f>
        <v>10.88</v>
      </c>
      <c r="E45" s="7" t="n">
        <f aca="false">IF(ISBLANK(customer_churn_dataset!E45),0,MAX(0,customer_churn_dataset!E45))</f>
        <v>11</v>
      </c>
      <c r="F45" s="8" t="n">
        <f aca="false">IF(ISBLANK(customer_churn_dataset!F45),"",customer_churn_dataset!F45)</f>
        <v>43899</v>
      </c>
      <c r="G45" s="7" t="str">
        <f aca="false">PROPER(TRIM(customer_churn_dataset!G45))</f>
        <v>Manual/Invoice</v>
      </c>
      <c r="H45" s="7" t="n">
        <f aca="false">IF(ISBLANK(customer_churn_dataset!H45),0,customer_churn_dataset!H45)</f>
        <v>0</v>
      </c>
      <c r="I45" s="7" t="n">
        <f aca="false">IF(ISBLANK(customer_churn_dataset!I45),ROUND(MEDIAN(customer_churn_dataset!I$2:I$1501),1),MIN(100,MAX(0,customer_churn_dataset!I45)))</f>
        <v>38.5</v>
      </c>
      <c r="J45" s="7" t="n">
        <f aca="false">IF(ISBLANK(customer_churn_dataset!J45),0,MAX(0,customer_churn_dataset!J45))</f>
        <v>9</v>
      </c>
      <c r="K45" s="7" t="n">
        <f aca="false">IF(ISBLANK(customer_churn_dataset!K45),0,MIN(10,MAX(0,customer_churn_dataset!K45)))</f>
        <v>0</v>
      </c>
      <c r="L45" s="7" t="n">
        <f aca="false">IF(ISBLANK(customer_churn_dataset!L45),0,MAX(0,customer_churn_dataset!L45))</f>
        <v>1</v>
      </c>
      <c r="M45" s="7" t="n">
        <f aca="false">IF(ISBLANK(customer_churn_dataset!M45),0,customer_churn_dataset!M45)</f>
        <v>0</v>
      </c>
      <c r="N45" s="7" t="n">
        <f aca="false">IF(ISBLANK(customer_churn_dataset!N45),0,MAX(0,customer_churn_dataset!N45))</f>
        <v>119.68</v>
      </c>
      <c r="O45" s="7" t="n">
        <f aca="false">IF(ISBLANK(customer_churn_dataset!O45),0,customer_churn_dataset!O45)</f>
        <v>0</v>
      </c>
      <c r="P45" s="7" t="str">
        <f aca="false">IF(COUNTIF(customer_churn_dataset!$A$2:$A$1501,customer_churn_dataset!A45)&gt;1,"Duplicate","Unique")</f>
        <v>Unique</v>
      </c>
    </row>
    <row r="46" customFormat="false" ht="14.15" hidden="false" customHeight="true" outlineLevel="0" collapsed="false">
      <c r="A46" s="7" t="str">
        <f aca="false">TRIM(customer_churn_dataset!A46)</f>
        <v>CUST100689</v>
      </c>
      <c r="B46" s="7" t="str">
        <f aca="false">PROPER(TRIM(customer_churn_dataset!B46))</f>
        <v>Basic</v>
      </c>
      <c r="C46" s="7" t="str">
        <f aca="false">PROPER(TRIM(customer_churn_dataset!C46))</f>
        <v>Month-To-Month</v>
      </c>
      <c r="D46" s="7" t="n">
        <f aca="false">IF(ISBLANK(customer_churn_dataset!D46),ROUND(MEDIAN(customer_churn_dataset!D$2:D$1501),2),IF(customer_churn_dataset!D46&lt;0,ABS(customer_churn_dataset!D46),customer_churn_dataset!D46))</f>
        <v>10.42</v>
      </c>
      <c r="E46" s="7" t="n">
        <f aca="false">IF(ISBLANK(customer_churn_dataset!E46),0,MAX(0,customer_churn_dataset!E46))</f>
        <v>27</v>
      </c>
      <c r="F46" s="8" t="n">
        <f aca="false">IF(ISBLANK(customer_churn_dataset!F46),"",customer_churn_dataset!F46)</f>
        <v>43899</v>
      </c>
      <c r="G46" s="7" t="str">
        <f aca="false">PROPER(TRIM(customer_churn_dataset!G46))</f>
        <v>Credit Card</v>
      </c>
      <c r="H46" s="7" t="n">
        <f aca="false">IF(ISBLANK(customer_churn_dataset!H46),0,customer_churn_dataset!H46)</f>
        <v>0</v>
      </c>
      <c r="I46" s="7" t="n">
        <f aca="false">IF(ISBLANK(customer_churn_dataset!I46),ROUND(MEDIAN(customer_churn_dataset!I$2:I$1501),1),MIN(100,MAX(0,customer_churn_dataset!I46)))</f>
        <v>53.1</v>
      </c>
      <c r="J46" s="7" t="n">
        <f aca="false">IF(ISBLANK(customer_churn_dataset!J46),0,MAX(0,customer_churn_dataset!J46))</f>
        <v>11</v>
      </c>
      <c r="K46" s="7" t="n">
        <f aca="false">IF(ISBLANK(customer_churn_dataset!K46),0,MIN(10,MAX(0,customer_churn_dataset!K46)))</f>
        <v>4</v>
      </c>
      <c r="L46" s="7" t="n">
        <f aca="false">IF(ISBLANK(customer_churn_dataset!L46),0,MAX(0,customer_churn_dataset!L46))</f>
        <v>1</v>
      </c>
      <c r="M46" s="7" t="n">
        <f aca="false">IF(ISBLANK(customer_churn_dataset!M46),0,customer_churn_dataset!M46)</f>
        <v>1</v>
      </c>
      <c r="N46" s="7" t="n">
        <f aca="false">IF(ISBLANK(customer_churn_dataset!N46),0,MAX(0,customer_churn_dataset!N46))</f>
        <v>281.34</v>
      </c>
      <c r="O46" s="7" t="n">
        <f aca="false">IF(ISBLANK(customer_churn_dataset!O46),0,customer_churn_dataset!O46)</f>
        <v>1</v>
      </c>
      <c r="P46" s="7" t="str">
        <f aca="false">IF(COUNTIF(customer_churn_dataset!$A$2:$A$1501,customer_churn_dataset!A46)&gt;1,"Duplicate","Unique")</f>
        <v>Unique</v>
      </c>
    </row>
    <row r="47" customFormat="false" ht="14.15" hidden="false" customHeight="true" outlineLevel="0" collapsed="false">
      <c r="A47" s="7" t="str">
        <f aca="false">TRIM(customer_churn_dataset!A47)</f>
        <v>CUST100279</v>
      </c>
      <c r="B47" s="7" t="str">
        <f aca="false">PROPER(TRIM(customer_churn_dataset!B47))</f>
        <v>Standard</v>
      </c>
      <c r="C47" s="7" t="str">
        <f aca="false">PROPER(TRIM(customer_churn_dataset!C47))</f>
        <v>Month-To-Month</v>
      </c>
      <c r="D47" s="7" t="n">
        <f aca="false">IF(ISBLANK(customer_churn_dataset!D47),ROUND(MEDIAN(customer_churn_dataset!D$2:D$1501),2),IF(customer_churn_dataset!D47&lt;0,ABS(customer_churn_dataset!D47),customer_churn_dataset!D47))</f>
        <v>20.72</v>
      </c>
      <c r="E47" s="7" t="n">
        <f aca="false">IF(ISBLANK(customer_churn_dataset!E47),0,MAX(0,customer_churn_dataset!E47))</f>
        <v>46</v>
      </c>
      <c r="F47" s="8" t="n">
        <f aca="false">IF(ISBLANK(customer_churn_dataset!F47),"",customer_churn_dataset!F47)</f>
        <v>43901</v>
      </c>
      <c r="G47" s="7" t="str">
        <f aca="false">PROPER(TRIM(customer_churn_dataset!G47))</f>
        <v>Credit Card</v>
      </c>
      <c r="H47" s="7" t="n">
        <f aca="false">IF(ISBLANK(customer_churn_dataset!H47),0,customer_churn_dataset!H47)</f>
        <v>0</v>
      </c>
      <c r="I47" s="7" t="n">
        <f aca="false">IF(ISBLANK(customer_churn_dataset!I47),ROUND(MEDIAN(customer_churn_dataset!I$2:I$1501),1),MIN(100,MAX(0,customer_churn_dataset!I47)))</f>
        <v>60.9</v>
      </c>
      <c r="J47" s="7" t="n">
        <f aca="false">IF(ISBLANK(customer_churn_dataset!J47),0,MAX(0,customer_churn_dataset!J47))</f>
        <v>11</v>
      </c>
      <c r="K47" s="7" t="n">
        <f aca="false">IF(ISBLANK(customer_churn_dataset!K47),0,MIN(10,MAX(0,customer_churn_dataset!K47)))</f>
        <v>8</v>
      </c>
      <c r="L47" s="7" t="n">
        <f aca="false">IF(ISBLANK(customer_churn_dataset!L47),0,MAX(0,customer_churn_dataset!L47))</f>
        <v>0</v>
      </c>
      <c r="M47" s="7" t="n">
        <f aca="false">IF(ISBLANK(customer_churn_dataset!M47),0,customer_churn_dataset!M47)</f>
        <v>0</v>
      </c>
      <c r="N47" s="7" t="n">
        <f aca="false">IF(ISBLANK(customer_churn_dataset!N47),0,MAX(0,customer_churn_dataset!N47))</f>
        <v>953.12</v>
      </c>
      <c r="O47" s="7" t="n">
        <f aca="false">IF(ISBLANK(customer_churn_dataset!O47),0,customer_churn_dataset!O47)</f>
        <v>0</v>
      </c>
      <c r="P47" s="7" t="str">
        <f aca="false">IF(COUNTIF(customer_churn_dataset!$A$2:$A$1501,customer_churn_dataset!A47)&gt;1,"Duplicate","Unique")</f>
        <v>Unique</v>
      </c>
    </row>
    <row r="48" customFormat="false" ht="14.15" hidden="false" customHeight="true" outlineLevel="0" collapsed="false">
      <c r="A48" s="7" t="str">
        <f aca="false">TRIM(customer_churn_dataset!A48)</f>
        <v>CUST100141</v>
      </c>
      <c r="B48" s="7" t="str">
        <f aca="false">PROPER(TRIM(customer_churn_dataset!B48))</f>
        <v>Basic</v>
      </c>
      <c r="C48" s="7" t="str">
        <f aca="false">PROPER(TRIM(customer_churn_dataset!C48))</f>
        <v>Month-To-Month</v>
      </c>
      <c r="D48" s="7" t="n">
        <f aca="false">IF(ISBLANK(customer_churn_dataset!D48),ROUND(MEDIAN(customer_churn_dataset!D$2:D$1501),2),IF(customer_churn_dataset!D48&lt;0,ABS(customer_churn_dataset!D48),customer_churn_dataset!D48))</f>
        <v>10.98</v>
      </c>
      <c r="E48" s="7" t="n">
        <f aca="false">IF(ISBLANK(customer_churn_dataset!E48),0,MAX(0,customer_churn_dataset!E48))</f>
        <v>41</v>
      </c>
      <c r="F48" s="8" t="n">
        <f aca="false">IF(ISBLANK(customer_churn_dataset!F48),"",customer_churn_dataset!F48)</f>
        <v>43904</v>
      </c>
      <c r="G48" s="7" t="str">
        <f aca="false">PROPER(TRIM(customer_churn_dataset!G48))</f>
        <v>Manual/Invoice</v>
      </c>
      <c r="H48" s="7" t="n">
        <f aca="false">IF(ISBLANK(customer_churn_dataset!H48),0,customer_churn_dataset!H48)</f>
        <v>1</v>
      </c>
      <c r="I48" s="7" t="n">
        <f aca="false">IF(ISBLANK(customer_churn_dataset!I48),ROUND(MEDIAN(customer_churn_dataset!I$2:I$1501),1),MIN(100,MAX(0,customer_churn_dataset!I48)))</f>
        <v>52.7</v>
      </c>
      <c r="J48" s="7" t="n">
        <f aca="false">IF(ISBLANK(customer_churn_dataset!J48),0,MAX(0,customer_churn_dataset!J48))</f>
        <v>14</v>
      </c>
      <c r="K48" s="7" t="n">
        <f aca="false">IF(ISBLANK(customer_churn_dataset!K48),0,MIN(10,MAX(0,customer_churn_dataset!K48)))</f>
        <v>5</v>
      </c>
      <c r="L48" s="7" t="n">
        <f aca="false">IF(ISBLANK(customer_churn_dataset!L48),0,MAX(0,customer_churn_dataset!L48))</f>
        <v>0</v>
      </c>
      <c r="M48" s="7" t="n">
        <f aca="false">IF(ISBLANK(customer_churn_dataset!M48),0,customer_churn_dataset!M48)</f>
        <v>0</v>
      </c>
      <c r="N48" s="7" t="n">
        <f aca="false">IF(ISBLANK(customer_churn_dataset!N48),0,MAX(0,customer_churn_dataset!N48))</f>
        <v>450.18</v>
      </c>
      <c r="O48" s="7" t="n">
        <f aca="false">IF(ISBLANK(customer_churn_dataset!O48),0,customer_churn_dataset!O48)</f>
        <v>0</v>
      </c>
      <c r="P48" s="7" t="str">
        <f aca="false">IF(COUNTIF(customer_churn_dataset!$A$2:$A$1501,customer_churn_dataset!A48)&gt;1,"Duplicate","Unique")</f>
        <v>Unique</v>
      </c>
    </row>
    <row r="49" customFormat="false" ht="14.15" hidden="false" customHeight="true" outlineLevel="0" collapsed="false">
      <c r="A49" s="7" t="str">
        <f aca="false">TRIM(customer_churn_dataset!A49)</f>
        <v>CUST101346</v>
      </c>
      <c r="B49" s="7" t="str">
        <f aca="false">PROPER(TRIM(customer_churn_dataset!B49))</f>
        <v>Basic</v>
      </c>
      <c r="C49" s="7" t="str">
        <f aca="false">PROPER(TRIM(customer_churn_dataset!C49))</f>
        <v>Month-To-Month</v>
      </c>
      <c r="D49" s="7" t="n">
        <f aca="false">IF(ISBLANK(customer_churn_dataset!D49),ROUND(MEDIAN(customer_churn_dataset!D$2:D$1501),2),IF(customer_churn_dataset!D49&lt;0,ABS(customer_churn_dataset!D49),customer_churn_dataset!D49))</f>
        <v>12.94</v>
      </c>
      <c r="E49" s="7" t="n">
        <f aca="false">IF(ISBLANK(customer_churn_dataset!E49),0,MAX(0,customer_churn_dataset!E49))</f>
        <v>11</v>
      </c>
      <c r="F49" s="8" t="n">
        <f aca="false">IF(ISBLANK(customer_churn_dataset!F49),"",customer_churn_dataset!F49)</f>
        <v>43904</v>
      </c>
      <c r="G49" s="7" t="str">
        <f aca="false">PROPER(TRIM(customer_churn_dataset!G49))</f>
        <v>Credit Card</v>
      </c>
      <c r="H49" s="7" t="n">
        <f aca="false">IF(ISBLANK(customer_churn_dataset!H49),0,customer_churn_dataset!H49)</f>
        <v>0</v>
      </c>
      <c r="I49" s="7" t="n">
        <f aca="false">IF(ISBLANK(customer_churn_dataset!I49),ROUND(MEDIAN(customer_churn_dataset!I$2:I$1501),1),MIN(100,MAX(0,customer_churn_dataset!I49)))</f>
        <v>55.2</v>
      </c>
      <c r="J49" s="7" t="n">
        <f aca="false">IF(ISBLANK(customer_churn_dataset!J49),0,MAX(0,customer_churn_dataset!J49))</f>
        <v>22</v>
      </c>
      <c r="K49" s="7" t="n">
        <f aca="false">IF(ISBLANK(customer_churn_dataset!K49),0,MIN(10,MAX(0,customer_churn_dataset!K49)))</f>
        <v>6</v>
      </c>
      <c r="L49" s="7" t="n">
        <f aca="false">IF(ISBLANK(customer_churn_dataset!L49),0,MAX(0,customer_churn_dataset!L49))</f>
        <v>1</v>
      </c>
      <c r="M49" s="7" t="n">
        <f aca="false">IF(ISBLANK(customer_churn_dataset!M49),0,customer_churn_dataset!M49)</f>
        <v>0</v>
      </c>
      <c r="N49" s="7" t="n">
        <f aca="false">IF(ISBLANK(customer_churn_dataset!N49),0,MAX(0,customer_churn_dataset!N49))</f>
        <v>142.34</v>
      </c>
      <c r="O49" s="7" t="n">
        <f aca="false">IF(ISBLANK(customer_churn_dataset!O49),0,customer_churn_dataset!O49)</f>
        <v>0</v>
      </c>
      <c r="P49" s="7" t="str">
        <f aca="false">IF(COUNTIF(customer_churn_dataset!$A$2:$A$1501,customer_churn_dataset!A49)&gt;1,"Duplicate","Unique")</f>
        <v>Unique</v>
      </c>
    </row>
    <row r="50" customFormat="false" ht="14.15" hidden="false" customHeight="true" outlineLevel="0" collapsed="false">
      <c r="A50" s="7" t="str">
        <f aca="false">TRIM(customer_churn_dataset!A50)</f>
        <v>CUST101487</v>
      </c>
      <c r="B50" s="7" t="str">
        <f aca="false">PROPER(TRIM(customer_churn_dataset!B50))</f>
        <v>Standard</v>
      </c>
      <c r="C50" s="7" t="str">
        <f aca="false">PROPER(TRIM(customer_churn_dataset!C50))</f>
        <v>Month-To-Month</v>
      </c>
      <c r="D50" s="7" t="n">
        <f aca="false">IF(ISBLANK(customer_churn_dataset!D50),ROUND(MEDIAN(customer_churn_dataset!D$2:D$1501),2),IF(customer_churn_dataset!D50&lt;0,ABS(customer_churn_dataset!D50),customer_churn_dataset!D50))</f>
        <v>18.58</v>
      </c>
      <c r="E50" s="7" t="n">
        <f aca="false">IF(ISBLANK(customer_churn_dataset!E50),0,MAX(0,customer_churn_dataset!E50))</f>
        <v>18</v>
      </c>
      <c r="F50" s="8" t="n">
        <f aca="false">IF(ISBLANK(customer_churn_dataset!F50),"",customer_churn_dataset!F50)</f>
        <v>43905</v>
      </c>
      <c r="G50" s="7" t="str">
        <f aca="false">PROPER(TRIM(customer_churn_dataset!G50))</f>
        <v>Credit Card</v>
      </c>
      <c r="H50" s="7" t="n">
        <f aca="false">IF(ISBLANK(customer_churn_dataset!H50),0,customer_churn_dataset!H50)</f>
        <v>0</v>
      </c>
      <c r="I50" s="7" t="n">
        <f aca="false">IF(ISBLANK(customer_churn_dataset!I50),ROUND(MEDIAN(customer_churn_dataset!I$2:I$1501),1),MIN(100,MAX(0,customer_churn_dataset!I50)))</f>
        <v>65.9</v>
      </c>
      <c r="J50" s="7" t="n">
        <f aca="false">IF(ISBLANK(customer_churn_dataset!J50),0,MAX(0,customer_churn_dataset!J50))</f>
        <v>21</v>
      </c>
      <c r="K50" s="7" t="n">
        <f aca="false">IF(ISBLANK(customer_churn_dataset!K50),0,MIN(10,MAX(0,customer_churn_dataset!K50)))</f>
        <v>6</v>
      </c>
      <c r="L50" s="7" t="n">
        <f aca="false">IF(ISBLANK(customer_churn_dataset!L50),0,MAX(0,customer_churn_dataset!L50))</f>
        <v>3</v>
      </c>
      <c r="M50" s="7" t="n">
        <f aca="false">IF(ISBLANK(customer_churn_dataset!M50),0,customer_churn_dataset!M50)</f>
        <v>0</v>
      </c>
      <c r="N50" s="7" t="n">
        <f aca="false">IF(ISBLANK(customer_churn_dataset!N50),0,MAX(0,customer_churn_dataset!N50))</f>
        <v>334.44</v>
      </c>
      <c r="O50" s="7" t="n">
        <f aca="false">IF(ISBLANK(customer_churn_dataset!O50),0,customer_churn_dataset!O50)</f>
        <v>0</v>
      </c>
      <c r="P50" s="7" t="str">
        <f aca="false">IF(COUNTIF(customer_churn_dataset!$A$2:$A$1501,customer_churn_dataset!A50)&gt;1,"Duplicate","Unique")</f>
        <v>Unique</v>
      </c>
    </row>
    <row r="51" customFormat="false" ht="14.15" hidden="false" customHeight="true" outlineLevel="0" collapsed="false">
      <c r="A51" s="7" t="str">
        <f aca="false">TRIM(customer_churn_dataset!A51)</f>
        <v>CUST101143</v>
      </c>
      <c r="B51" s="7" t="str">
        <f aca="false">PROPER(TRIM(customer_churn_dataset!B51))</f>
        <v>Standard</v>
      </c>
      <c r="C51" s="7" t="str">
        <f aca="false">PROPER(TRIM(customer_churn_dataset!C51))</f>
        <v>Two Year</v>
      </c>
      <c r="D51" s="7" t="n">
        <f aca="false">IF(ISBLANK(customer_churn_dataset!D51),ROUND(MEDIAN(customer_churn_dataset!D$2:D$1501),2),IF(customer_churn_dataset!D51&lt;0,ABS(customer_churn_dataset!D51),customer_churn_dataset!D51))</f>
        <v>20.24</v>
      </c>
      <c r="E51" s="7" t="n">
        <f aca="false">IF(ISBLANK(customer_churn_dataset!E51),0,MAX(0,customer_churn_dataset!E51))</f>
        <v>6</v>
      </c>
      <c r="F51" s="8" t="n">
        <f aca="false">IF(ISBLANK(customer_churn_dataset!F51),"",customer_churn_dataset!F51)</f>
        <v>43907</v>
      </c>
      <c r="G51" s="7" t="str">
        <f aca="false">PROPER(TRIM(customer_churn_dataset!G51))</f>
        <v>Manual/Invoice</v>
      </c>
      <c r="H51" s="7" t="n">
        <f aca="false">IF(ISBLANK(customer_churn_dataset!H51),0,customer_churn_dataset!H51)</f>
        <v>1</v>
      </c>
      <c r="I51" s="7" t="n">
        <f aca="false">IF(ISBLANK(customer_churn_dataset!I51),ROUND(MEDIAN(customer_churn_dataset!I$2:I$1501),1),MIN(100,MAX(0,customer_churn_dataset!I51)))</f>
        <v>36.8</v>
      </c>
      <c r="J51" s="7" t="n">
        <f aca="false">IF(ISBLANK(customer_churn_dataset!J51),0,MAX(0,customer_churn_dataset!J51))</f>
        <v>10</v>
      </c>
      <c r="K51" s="7" t="n">
        <f aca="false">IF(ISBLANK(customer_churn_dataset!K51),0,MIN(10,MAX(0,customer_churn_dataset!K51)))</f>
        <v>2</v>
      </c>
      <c r="L51" s="7" t="n">
        <f aca="false">IF(ISBLANK(customer_churn_dataset!L51),0,MAX(0,customer_churn_dataset!L51))</f>
        <v>0</v>
      </c>
      <c r="M51" s="7" t="n">
        <f aca="false">IF(ISBLANK(customer_churn_dataset!M51),0,customer_churn_dataset!M51)</f>
        <v>0</v>
      </c>
      <c r="N51" s="7" t="n">
        <f aca="false">IF(ISBLANK(customer_churn_dataset!N51),0,MAX(0,customer_churn_dataset!N51))</f>
        <v>121.44</v>
      </c>
      <c r="O51" s="7" t="n">
        <f aca="false">IF(ISBLANK(customer_churn_dataset!O51),0,customer_churn_dataset!O51)</f>
        <v>0</v>
      </c>
      <c r="P51" s="7" t="str">
        <f aca="false">IF(COUNTIF(customer_churn_dataset!$A$2:$A$1501,customer_churn_dataset!A51)&gt;1,"Duplicate","Unique")</f>
        <v>Unique</v>
      </c>
    </row>
    <row r="52" customFormat="false" ht="14.15" hidden="false" customHeight="true" outlineLevel="0" collapsed="false">
      <c r="A52" s="7" t="str">
        <f aca="false">TRIM(customer_churn_dataset!A52)</f>
        <v>CUST100140</v>
      </c>
      <c r="B52" s="7" t="str">
        <f aca="false">PROPER(TRIM(customer_churn_dataset!B52))</f>
        <v>Premium</v>
      </c>
      <c r="C52" s="7" t="str">
        <f aca="false">PROPER(TRIM(customer_churn_dataset!C52))</f>
        <v>Two Year</v>
      </c>
      <c r="D52" s="7" t="n">
        <f aca="false">IF(ISBLANK(customer_churn_dataset!D52),ROUND(MEDIAN(customer_churn_dataset!D$2:D$1501),2),IF(customer_churn_dataset!D52&lt;0,ABS(customer_churn_dataset!D52),customer_churn_dataset!D52))</f>
        <v>39.32</v>
      </c>
      <c r="E52" s="7" t="n">
        <f aca="false">IF(ISBLANK(customer_churn_dataset!E52),0,MAX(0,customer_churn_dataset!E52))</f>
        <v>32</v>
      </c>
      <c r="F52" s="8" t="n">
        <f aca="false">IF(ISBLANK(customer_churn_dataset!F52),"",customer_churn_dataset!F52)</f>
        <v>43909</v>
      </c>
      <c r="G52" s="7" t="str">
        <f aca="false">PROPER(TRIM(customer_churn_dataset!G52))</f>
        <v>Bank Transfer</v>
      </c>
      <c r="H52" s="7" t="n">
        <f aca="false">IF(ISBLANK(customer_churn_dataset!H52),0,customer_churn_dataset!H52)</f>
        <v>1</v>
      </c>
      <c r="I52" s="7" t="n">
        <f aca="false">IF(ISBLANK(customer_churn_dataset!I52),ROUND(MEDIAN(customer_churn_dataset!I$2:I$1501),1),MIN(100,MAX(0,customer_churn_dataset!I52)))</f>
        <v>36.5</v>
      </c>
      <c r="J52" s="7" t="n">
        <f aca="false">IF(ISBLANK(customer_churn_dataset!J52),0,MAX(0,customer_churn_dataset!J52))</f>
        <v>11</v>
      </c>
      <c r="K52" s="7" t="n">
        <f aca="false">IF(ISBLANK(customer_churn_dataset!K52),0,MIN(10,MAX(0,customer_churn_dataset!K52)))</f>
        <v>2</v>
      </c>
      <c r="L52" s="7" t="n">
        <f aca="false">IF(ISBLANK(customer_churn_dataset!L52),0,MAX(0,customer_churn_dataset!L52))</f>
        <v>0</v>
      </c>
      <c r="M52" s="7" t="n">
        <f aca="false">IF(ISBLANK(customer_churn_dataset!M52),0,customer_churn_dataset!M52)</f>
        <v>0</v>
      </c>
      <c r="N52" s="7" t="n">
        <f aca="false">IF(ISBLANK(customer_churn_dataset!N52),0,MAX(0,customer_churn_dataset!N52))</f>
        <v>1258.24</v>
      </c>
      <c r="O52" s="7" t="n">
        <f aca="false">IF(ISBLANK(customer_churn_dataset!O52),0,customer_churn_dataset!O52)</f>
        <v>0</v>
      </c>
      <c r="P52" s="7" t="str">
        <f aca="false">IF(COUNTIF(customer_churn_dataset!$A$2:$A$1501,customer_churn_dataset!A52)&gt;1,"Duplicate","Unique")</f>
        <v>Unique</v>
      </c>
    </row>
    <row r="53" customFormat="false" ht="14.15" hidden="false" customHeight="true" outlineLevel="0" collapsed="false">
      <c r="A53" s="7" t="str">
        <f aca="false">TRIM(customer_churn_dataset!A53)</f>
        <v>CUST100131</v>
      </c>
      <c r="B53" s="7" t="str">
        <f aca="false">PROPER(TRIM(customer_churn_dataset!B53))</f>
        <v>Basic</v>
      </c>
      <c r="C53" s="7" t="str">
        <f aca="false">PROPER(TRIM(customer_churn_dataset!C53))</f>
        <v>Two Year</v>
      </c>
      <c r="D53" s="7" t="n">
        <f aca="false">IF(ISBLANK(customer_churn_dataset!D53),ROUND(MEDIAN(customer_churn_dataset!D$2:D$1501),2),IF(customer_churn_dataset!D53&lt;0,ABS(customer_churn_dataset!D53),customer_churn_dataset!D53))</f>
        <v>12.48</v>
      </c>
      <c r="E53" s="7" t="n">
        <f aca="false">IF(ISBLANK(customer_churn_dataset!E53),0,MAX(0,customer_churn_dataset!E53))</f>
        <v>8</v>
      </c>
      <c r="F53" s="8" t="n">
        <f aca="false">IF(ISBLANK(customer_churn_dataset!F53),"",customer_churn_dataset!F53)</f>
        <v>43909</v>
      </c>
      <c r="G53" s="7" t="str">
        <f aca="false">PROPER(TRIM(customer_churn_dataset!G53))</f>
        <v>Credit Card</v>
      </c>
      <c r="H53" s="7" t="n">
        <f aca="false">IF(ISBLANK(customer_churn_dataset!H53),0,customer_churn_dataset!H53)</f>
        <v>0</v>
      </c>
      <c r="I53" s="7" t="n">
        <f aca="false">IF(ISBLANK(customer_churn_dataset!I53),ROUND(MEDIAN(customer_churn_dataset!I$2:I$1501),1),MIN(100,MAX(0,customer_churn_dataset!I53)))</f>
        <v>27.8</v>
      </c>
      <c r="J53" s="7" t="n">
        <f aca="false">IF(ISBLANK(customer_churn_dataset!J53),0,MAX(0,customer_churn_dataset!J53))</f>
        <v>11</v>
      </c>
      <c r="K53" s="7" t="n">
        <f aca="false">IF(ISBLANK(customer_churn_dataset!K53),0,MIN(10,MAX(0,customer_churn_dataset!K53)))</f>
        <v>2</v>
      </c>
      <c r="L53" s="7" t="n">
        <f aca="false">IF(ISBLANK(customer_churn_dataset!L53),0,MAX(0,customer_churn_dataset!L53))</f>
        <v>3</v>
      </c>
      <c r="M53" s="7" t="n">
        <f aca="false">IF(ISBLANK(customer_churn_dataset!M53),0,customer_churn_dataset!M53)</f>
        <v>0</v>
      </c>
      <c r="N53" s="7" t="n">
        <f aca="false">IF(ISBLANK(customer_churn_dataset!N53),0,MAX(0,customer_churn_dataset!N53))</f>
        <v>99.84</v>
      </c>
      <c r="O53" s="7" t="n">
        <f aca="false">IF(ISBLANK(customer_churn_dataset!O53),0,customer_churn_dataset!O53)</f>
        <v>0</v>
      </c>
      <c r="P53" s="7" t="str">
        <f aca="false">IF(COUNTIF(customer_churn_dataset!$A$2:$A$1501,customer_churn_dataset!A53)&gt;1,"Duplicate","Unique")</f>
        <v>Unique</v>
      </c>
    </row>
    <row r="54" customFormat="false" ht="14.15" hidden="false" customHeight="true" outlineLevel="0" collapsed="false">
      <c r="A54" s="7" t="str">
        <f aca="false">TRIM(customer_churn_dataset!A54)</f>
        <v>CUST100724</v>
      </c>
      <c r="B54" s="7" t="str">
        <f aca="false">PROPER(TRIM(customer_churn_dataset!B54))</f>
        <v>Standard</v>
      </c>
      <c r="C54" s="7" t="str">
        <f aca="false">PROPER(TRIM(customer_churn_dataset!C54))</f>
        <v>One Year</v>
      </c>
      <c r="D54" s="7" t="n">
        <f aca="false">IF(ISBLANK(customer_churn_dataset!D54),ROUND(MEDIAN(customer_churn_dataset!D$2:D$1501),2),IF(customer_churn_dataset!D54&lt;0,ABS(customer_churn_dataset!D54),customer_churn_dataset!D54))</f>
        <v>19.96</v>
      </c>
      <c r="E54" s="7" t="n">
        <f aca="false">IF(ISBLANK(customer_churn_dataset!E54),0,MAX(0,customer_churn_dataset!E54))</f>
        <v>8</v>
      </c>
      <c r="F54" s="8" t="n">
        <f aca="false">IF(ISBLANK(customer_churn_dataset!F54),"",customer_churn_dataset!F54)</f>
        <v>43910</v>
      </c>
      <c r="G54" s="7" t="str">
        <f aca="false">PROPER(TRIM(customer_churn_dataset!G54))</f>
        <v>Credit Card</v>
      </c>
      <c r="H54" s="7" t="n">
        <f aca="false">IF(ISBLANK(customer_churn_dataset!H54),0,customer_churn_dataset!H54)</f>
        <v>1</v>
      </c>
      <c r="I54" s="7" t="n">
        <f aca="false">IF(ISBLANK(customer_churn_dataset!I54),ROUND(MEDIAN(customer_churn_dataset!I$2:I$1501),1),MIN(100,MAX(0,customer_churn_dataset!I54)))</f>
        <v>14.4</v>
      </c>
      <c r="J54" s="7" t="n">
        <f aca="false">IF(ISBLANK(customer_churn_dataset!J54),0,MAX(0,customer_churn_dataset!J54))</f>
        <v>7</v>
      </c>
      <c r="K54" s="7" t="n">
        <f aca="false">IF(ISBLANK(customer_churn_dataset!K54),0,MIN(10,MAX(0,customer_churn_dataset!K54)))</f>
        <v>2</v>
      </c>
      <c r="L54" s="7" t="n">
        <f aca="false">IF(ISBLANK(customer_churn_dataset!L54),0,MAX(0,customer_churn_dataset!L54))</f>
        <v>1</v>
      </c>
      <c r="M54" s="7" t="n">
        <f aca="false">IF(ISBLANK(customer_churn_dataset!M54),0,customer_churn_dataset!M54)</f>
        <v>1</v>
      </c>
      <c r="N54" s="7" t="n">
        <f aca="false">IF(ISBLANK(customer_churn_dataset!N54),0,MAX(0,customer_churn_dataset!N54))</f>
        <v>159.68</v>
      </c>
      <c r="O54" s="7" t="n">
        <f aca="false">IF(ISBLANK(customer_churn_dataset!O54),0,customer_churn_dataset!O54)</f>
        <v>0</v>
      </c>
      <c r="P54" s="7" t="str">
        <f aca="false">IF(COUNTIF(customer_churn_dataset!$A$2:$A$1501,customer_churn_dataset!A54)&gt;1,"Duplicate","Unique")</f>
        <v>Unique</v>
      </c>
    </row>
    <row r="55" customFormat="false" ht="14.15" hidden="false" customHeight="true" outlineLevel="0" collapsed="false">
      <c r="A55" s="7" t="str">
        <f aca="false">TRIM(customer_churn_dataset!A55)</f>
        <v>CUST100562</v>
      </c>
      <c r="B55" s="7" t="str">
        <f aca="false">PROPER(TRIM(customer_churn_dataset!B55))</f>
        <v>Basic</v>
      </c>
      <c r="C55" s="7" t="str">
        <f aca="false">PROPER(TRIM(customer_churn_dataset!C55))</f>
        <v>One Year</v>
      </c>
      <c r="D55" s="7" t="n">
        <f aca="false">IF(ISBLANK(customer_churn_dataset!D55),ROUND(MEDIAN(customer_churn_dataset!D$2:D$1501),2),IF(customer_churn_dataset!D55&lt;0,ABS(customer_churn_dataset!D55),customer_churn_dataset!D55))</f>
        <v>10.73</v>
      </c>
      <c r="E55" s="7" t="n">
        <f aca="false">IF(ISBLANK(customer_churn_dataset!E55),0,MAX(0,customer_churn_dataset!E55))</f>
        <v>25</v>
      </c>
      <c r="F55" s="8" t="n">
        <f aca="false">IF(ISBLANK(customer_churn_dataset!F55),"",customer_churn_dataset!F55)</f>
        <v>43911</v>
      </c>
      <c r="G55" s="7" t="str">
        <f aca="false">PROPER(TRIM(customer_churn_dataset!G55))</f>
        <v>Paypal</v>
      </c>
      <c r="H55" s="7" t="n">
        <f aca="false">IF(ISBLANK(customer_churn_dataset!H55),0,customer_churn_dataset!H55)</f>
        <v>1</v>
      </c>
      <c r="I55" s="7" t="n">
        <f aca="false">IF(ISBLANK(customer_churn_dataset!I55),ROUND(MEDIAN(customer_churn_dataset!I$2:I$1501),1),MIN(100,MAX(0,customer_churn_dataset!I55)))</f>
        <v>60.9</v>
      </c>
      <c r="J55" s="7" t="n">
        <f aca="false">IF(ISBLANK(customer_churn_dataset!J55),0,MAX(0,customer_churn_dataset!J55))</f>
        <v>18</v>
      </c>
      <c r="K55" s="7" t="n">
        <f aca="false">IF(ISBLANK(customer_churn_dataset!K55),0,MIN(10,MAX(0,customer_churn_dataset!K55)))</f>
        <v>6</v>
      </c>
      <c r="L55" s="7" t="n">
        <f aca="false">IF(ISBLANK(customer_churn_dataset!L55),0,MAX(0,customer_churn_dataset!L55))</f>
        <v>3</v>
      </c>
      <c r="M55" s="7" t="n">
        <f aca="false">IF(ISBLANK(customer_churn_dataset!M55),0,customer_churn_dataset!M55)</f>
        <v>0</v>
      </c>
      <c r="N55" s="7" t="n">
        <f aca="false">IF(ISBLANK(customer_churn_dataset!N55),0,MAX(0,customer_churn_dataset!N55))</f>
        <v>268.25</v>
      </c>
      <c r="O55" s="7" t="n">
        <f aca="false">IF(ISBLANK(customer_churn_dataset!O55),0,customer_churn_dataset!O55)</f>
        <v>0</v>
      </c>
      <c r="P55" s="7" t="str">
        <f aca="false">IF(COUNTIF(customer_churn_dataset!$A$2:$A$1501,customer_churn_dataset!A55)&gt;1,"Duplicate","Unique")</f>
        <v>Unique</v>
      </c>
    </row>
    <row r="56" customFormat="false" ht="14.15" hidden="false" customHeight="true" outlineLevel="0" collapsed="false">
      <c r="A56" s="7" t="str">
        <f aca="false">TRIM(customer_churn_dataset!A56)</f>
        <v>CUST100943</v>
      </c>
      <c r="B56" s="7" t="str">
        <f aca="false">PROPER(TRIM(customer_churn_dataset!B56))</f>
        <v>Premium</v>
      </c>
      <c r="C56" s="7" t="str">
        <f aca="false">PROPER(TRIM(customer_churn_dataset!C56))</f>
        <v>One Year</v>
      </c>
      <c r="D56" s="7" t="n">
        <f aca="false">IF(ISBLANK(customer_churn_dataset!D56),ROUND(MEDIAN(customer_churn_dataset!D$2:D$1501),2),IF(customer_churn_dataset!D56&lt;0,ABS(customer_churn_dataset!D56),customer_churn_dataset!D56))</f>
        <v>41.12</v>
      </c>
      <c r="E56" s="7" t="n">
        <f aca="false">IF(ISBLANK(customer_churn_dataset!E56),0,MAX(0,customer_churn_dataset!E56))</f>
        <v>11</v>
      </c>
      <c r="F56" s="8" t="n">
        <f aca="false">IF(ISBLANK(customer_churn_dataset!F56),"",customer_churn_dataset!F56)</f>
        <v>43912</v>
      </c>
      <c r="G56" s="7" t="str">
        <f aca="false">PROPER(TRIM(customer_churn_dataset!G56))</f>
        <v>Credit Card</v>
      </c>
      <c r="H56" s="7" t="n">
        <f aca="false">IF(ISBLANK(customer_churn_dataset!H56),0,customer_churn_dataset!H56)</f>
        <v>0</v>
      </c>
      <c r="I56" s="7" t="n">
        <f aca="false">IF(ISBLANK(customer_churn_dataset!I56),ROUND(MEDIAN(customer_churn_dataset!I$2:I$1501),1),MIN(100,MAX(0,customer_churn_dataset!I56)))</f>
        <v>21.4</v>
      </c>
      <c r="J56" s="7" t="n">
        <f aca="false">IF(ISBLANK(customer_churn_dataset!J56),0,MAX(0,customer_churn_dataset!J56))</f>
        <v>7</v>
      </c>
      <c r="K56" s="7" t="n">
        <f aca="false">IF(ISBLANK(customer_churn_dataset!K56),0,MIN(10,MAX(0,customer_churn_dataset!K56)))</f>
        <v>1</v>
      </c>
      <c r="L56" s="7" t="n">
        <f aca="false">IF(ISBLANK(customer_churn_dataset!L56),0,MAX(0,customer_churn_dataset!L56))</f>
        <v>1</v>
      </c>
      <c r="M56" s="7" t="n">
        <f aca="false">IF(ISBLANK(customer_churn_dataset!M56),0,customer_churn_dataset!M56)</f>
        <v>0</v>
      </c>
      <c r="N56" s="7" t="n">
        <f aca="false">IF(ISBLANK(customer_churn_dataset!N56),0,MAX(0,customer_churn_dataset!N56))</f>
        <v>452.32</v>
      </c>
      <c r="O56" s="7" t="n">
        <f aca="false">IF(ISBLANK(customer_churn_dataset!O56),0,customer_churn_dataset!O56)</f>
        <v>0</v>
      </c>
      <c r="P56" s="7" t="str">
        <f aca="false">IF(COUNTIF(customer_churn_dataset!$A$2:$A$1501,customer_churn_dataset!A56)&gt;1,"Duplicate","Unique")</f>
        <v>Unique</v>
      </c>
    </row>
    <row r="57" customFormat="false" ht="14.15" hidden="false" customHeight="true" outlineLevel="0" collapsed="false">
      <c r="A57" s="7" t="str">
        <f aca="false">TRIM(customer_churn_dataset!A57)</f>
        <v>CUST100922</v>
      </c>
      <c r="B57" s="7" t="str">
        <f aca="false">PROPER(TRIM(customer_churn_dataset!B57))</f>
        <v>Premium</v>
      </c>
      <c r="C57" s="7" t="str">
        <f aca="false">PROPER(TRIM(customer_churn_dataset!C57))</f>
        <v>Month-To-Month</v>
      </c>
      <c r="D57" s="7" t="n">
        <f aca="false">IF(ISBLANK(customer_churn_dataset!D57),ROUND(MEDIAN(customer_churn_dataset!D$2:D$1501),2),IF(customer_churn_dataset!D57&lt;0,ABS(customer_churn_dataset!D57),customer_churn_dataset!D57))</f>
        <v>38.55</v>
      </c>
      <c r="E57" s="7" t="n">
        <f aca="false">IF(ISBLANK(customer_churn_dataset!E57),0,MAX(0,customer_churn_dataset!E57))</f>
        <v>72</v>
      </c>
      <c r="F57" s="8" t="n">
        <f aca="false">IF(ISBLANK(customer_churn_dataset!F57),"",customer_churn_dataset!F57)</f>
        <v>43913</v>
      </c>
      <c r="G57" s="7" t="str">
        <f aca="false">PROPER(TRIM(customer_churn_dataset!G57))</f>
        <v>Manual/Invoice</v>
      </c>
      <c r="H57" s="7" t="n">
        <f aca="false">IF(ISBLANK(customer_churn_dataset!H57),0,customer_churn_dataset!H57)</f>
        <v>1</v>
      </c>
      <c r="I57" s="7" t="n">
        <f aca="false">IF(ISBLANK(customer_churn_dataset!I57),ROUND(MEDIAN(customer_churn_dataset!I$2:I$1501),1),MIN(100,MAX(0,customer_churn_dataset!I57)))</f>
        <v>45.4</v>
      </c>
      <c r="J57" s="7" t="n">
        <f aca="false">IF(ISBLANK(customer_churn_dataset!J57),0,MAX(0,customer_churn_dataset!J57))</f>
        <v>12</v>
      </c>
      <c r="K57" s="7" t="n">
        <f aca="false">IF(ISBLANK(customer_churn_dataset!K57),0,MIN(10,MAX(0,customer_churn_dataset!K57)))</f>
        <v>6</v>
      </c>
      <c r="L57" s="7" t="n">
        <f aca="false">IF(ISBLANK(customer_churn_dataset!L57),0,MAX(0,customer_churn_dataset!L57))</f>
        <v>0</v>
      </c>
      <c r="M57" s="7" t="n">
        <f aca="false">IF(ISBLANK(customer_churn_dataset!M57),0,customer_churn_dataset!M57)</f>
        <v>0</v>
      </c>
      <c r="N57" s="7" t="n">
        <f aca="false">IF(ISBLANK(customer_churn_dataset!N57),0,MAX(0,customer_churn_dataset!N57))</f>
        <v>2775.6</v>
      </c>
      <c r="O57" s="7" t="n">
        <f aca="false">IF(ISBLANK(customer_churn_dataset!O57),0,customer_churn_dataset!O57)</f>
        <v>0</v>
      </c>
      <c r="P57" s="7" t="str">
        <f aca="false">IF(COUNTIF(customer_churn_dataset!$A$2:$A$1501,customer_churn_dataset!A57)&gt;1,"Duplicate","Unique")</f>
        <v>Unique</v>
      </c>
    </row>
    <row r="58" customFormat="false" ht="14.15" hidden="false" customHeight="true" outlineLevel="0" collapsed="false">
      <c r="A58" s="7" t="str">
        <f aca="false">TRIM(customer_churn_dataset!A58)</f>
        <v>CUST100164</v>
      </c>
      <c r="B58" s="7" t="str">
        <f aca="false">PROPER(TRIM(customer_churn_dataset!B58))</f>
        <v>Basic</v>
      </c>
      <c r="C58" s="7" t="str">
        <f aca="false">PROPER(TRIM(customer_churn_dataset!C58))</f>
        <v>Month-To-Month</v>
      </c>
      <c r="D58" s="7" t="n">
        <f aca="false">IF(ISBLANK(customer_churn_dataset!D58),ROUND(MEDIAN(customer_churn_dataset!D$2:D$1501),2),IF(customer_churn_dataset!D58&lt;0,ABS(customer_churn_dataset!D58),customer_churn_dataset!D58))</f>
        <v>10.05</v>
      </c>
      <c r="E58" s="7" t="n">
        <f aca="false">IF(ISBLANK(customer_churn_dataset!E58),0,MAX(0,customer_churn_dataset!E58))</f>
        <v>7</v>
      </c>
      <c r="F58" s="8" t="n">
        <f aca="false">IF(ISBLANK(customer_churn_dataset!F58),"",customer_churn_dataset!F58)</f>
        <v>43913</v>
      </c>
      <c r="G58" s="7" t="str">
        <f aca="false">PROPER(TRIM(customer_churn_dataset!G58))</f>
        <v>Paypal</v>
      </c>
      <c r="H58" s="7" t="n">
        <f aca="false">IF(ISBLANK(customer_churn_dataset!H58),0,customer_churn_dataset!H58)</f>
        <v>1</v>
      </c>
      <c r="I58" s="7" t="n">
        <f aca="false">IF(ISBLANK(customer_churn_dataset!I58),ROUND(MEDIAN(customer_churn_dataset!I$2:I$1501),1),MIN(100,MAX(0,customer_churn_dataset!I58)))</f>
        <v>82.8</v>
      </c>
      <c r="J58" s="7" t="n">
        <f aca="false">IF(ISBLANK(customer_churn_dataset!J58),0,MAX(0,customer_churn_dataset!J58))</f>
        <v>23</v>
      </c>
      <c r="K58" s="7" t="n">
        <f aca="false">IF(ISBLANK(customer_churn_dataset!K58),0,MIN(10,MAX(0,customer_churn_dataset!K58)))</f>
        <v>10</v>
      </c>
      <c r="L58" s="7" t="n">
        <f aca="false">IF(ISBLANK(customer_churn_dataset!L58),0,MAX(0,customer_churn_dataset!L58))</f>
        <v>3</v>
      </c>
      <c r="M58" s="7" t="n">
        <f aca="false">IF(ISBLANK(customer_churn_dataset!M58),0,customer_churn_dataset!M58)</f>
        <v>0</v>
      </c>
      <c r="N58" s="7" t="n">
        <f aca="false">IF(ISBLANK(customer_churn_dataset!N58),0,MAX(0,customer_churn_dataset!N58))</f>
        <v>70.35</v>
      </c>
      <c r="O58" s="7" t="n">
        <f aca="false">IF(ISBLANK(customer_churn_dataset!O58),0,customer_churn_dataset!O58)</f>
        <v>0</v>
      </c>
      <c r="P58" s="7" t="str">
        <f aca="false">IF(COUNTIF(customer_churn_dataset!$A$2:$A$1501,customer_churn_dataset!A58)&gt;1,"Duplicate","Unique")</f>
        <v>Unique</v>
      </c>
    </row>
    <row r="59" customFormat="false" ht="14.15" hidden="false" customHeight="true" outlineLevel="0" collapsed="false">
      <c r="A59" s="7" t="str">
        <f aca="false">TRIM(customer_churn_dataset!A59)</f>
        <v>CUST100752</v>
      </c>
      <c r="B59" s="7" t="str">
        <f aca="false">PROPER(TRIM(customer_churn_dataset!B59))</f>
        <v>Standard</v>
      </c>
      <c r="C59" s="7" t="str">
        <f aca="false">PROPER(TRIM(customer_churn_dataset!C59))</f>
        <v>Month-To-Month</v>
      </c>
      <c r="D59" s="7" t="n">
        <f aca="false">IF(ISBLANK(customer_churn_dataset!D59),ROUND(MEDIAN(customer_churn_dataset!D$2:D$1501),2),IF(customer_churn_dataset!D59&lt;0,ABS(customer_churn_dataset!D59),customer_churn_dataset!D59))</f>
        <v>20.63</v>
      </c>
      <c r="E59" s="7" t="n">
        <f aca="false">IF(ISBLANK(customer_churn_dataset!E59),0,MAX(0,customer_churn_dataset!E59))</f>
        <v>17</v>
      </c>
      <c r="F59" s="8" t="n">
        <f aca="false">IF(ISBLANK(customer_churn_dataset!F59),"",customer_churn_dataset!F59)</f>
        <v>43914</v>
      </c>
      <c r="G59" s="7" t="str">
        <f aca="false">PROPER(TRIM(customer_churn_dataset!G59))</f>
        <v>Paypal</v>
      </c>
      <c r="H59" s="7" t="n">
        <f aca="false">IF(ISBLANK(customer_churn_dataset!H59),0,customer_churn_dataset!H59)</f>
        <v>1</v>
      </c>
      <c r="I59" s="7" t="n">
        <f aca="false">IF(ISBLANK(customer_churn_dataset!I59),ROUND(MEDIAN(customer_churn_dataset!I$2:I$1501),1),MIN(100,MAX(0,customer_churn_dataset!I59)))</f>
        <v>25.7</v>
      </c>
      <c r="J59" s="7" t="n">
        <f aca="false">IF(ISBLANK(customer_churn_dataset!J59),0,MAX(0,customer_churn_dataset!J59))</f>
        <v>4</v>
      </c>
      <c r="K59" s="7" t="n">
        <f aca="false">IF(ISBLANK(customer_churn_dataset!K59),0,MIN(10,MAX(0,customer_churn_dataset!K59)))</f>
        <v>1</v>
      </c>
      <c r="L59" s="7" t="n">
        <f aca="false">IF(ISBLANK(customer_churn_dataset!L59),0,MAX(0,customer_churn_dataset!L59))</f>
        <v>2</v>
      </c>
      <c r="M59" s="7" t="n">
        <f aca="false">IF(ISBLANK(customer_churn_dataset!M59),0,customer_churn_dataset!M59)</f>
        <v>0</v>
      </c>
      <c r="N59" s="7" t="n">
        <f aca="false">IF(ISBLANK(customer_churn_dataset!N59),0,MAX(0,customer_churn_dataset!N59))</f>
        <v>350.71</v>
      </c>
      <c r="O59" s="7" t="n">
        <f aca="false">IF(ISBLANK(customer_churn_dataset!O59),0,customer_churn_dataset!O59)</f>
        <v>1</v>
      </c>
      <c r="P59" s="7" t="str">
        <f aca="false">IF(COUNTIF(customer_churn_dataset!$A$2:$A$1501,customer_churn_dataset!A59)&gt;1,"Duplicate","Unique")</f>
        <v>Unique</v>
      </c>
    </row>
    <row r="60" customFormat="false" ht="14.15" hidden="false" customHeight="true" outlineLevel="0" collapsed="false">
      <c r="A60" s="7" t="str">
        <f aca="false">TRIM(customer_churn_dataset!A60)</f>
        <v>CUST100776</v>
      </c>
      <c r="B60" s="7" t="str">
        <f aca="false">PROPER(TRIM(customer_churn_dataset!B60))</f>
        <v>Basic</v>
      </c>
      <c r="C60" s="7" t="str">
        <f aca="false">PROPER(TRIM(customer_churn_dataset!C60))</f>
        <v>Month-To-Month</v>
      </c>
      <c r="D60" s="7" t="n">
        <f aca="false">IF(ISBLANK(customer_churn_dataset!D60),ROUND(MEDIAN(customer_churn_dataset!D$2:D$1501),2),IF(customer_churn_dataset!D60&lt;0,ABS(customer_churn_dataset!D60),customer_churn_dataset!D60))</f>
        <v>10.24</v>
      </c>
      <c r="E60" s="7" t="n">
        <f aca="false">IF(ISBLANK(customer_churn_dataset!E60),0,MAX(0,customer_churn_dataset!E60))</f>
        <v>8</v>
      </c>
      <c r="F60" s="8" t="n">
        <f aca="false">IF(ISBLANK(customer_churn_dataset!F60),"",customer_churn_dataset!F60)</f>
        <v>43914</v>
      </c>
      <c r="G60" s="7" t="str">
        <f aca="false">PROPER(TRIM(customer_churn_dataset!G60))</f>
        <v>Bank Transfer</v>
      </c>
      <c r="H60" s="7" t="n">
        <f aca="false">IF(ISBLANK(customer_churn_dataset!H60),0,customer_churn_dataset!H60)</f>
        <v>1</v>
      </c>
      <c r="I60" s="7" t="n">
        <f aca="false">IF(ISBLANK(customer_churn_dataset!I60),ROUND(MEDIAN(customer_churn_dataset!I$2:I$1501),1),MIN(100,MAX(0,customer_churn_dataset!I60)))</f>
        <v>61.4</v>
      </c>
      <c r="J60" s="7" t="n">
        <f aca="false">IF(ISBLANK(customer_churn_dataset!J60),0,MAX(0,customer_churn_dataset!J60))</f>
        <v>19</v>
      </c>
      <c r="K60" s="7" t="n">
        <f aca="false">IF(ISBLANK(customer_churn_dataset!K60),0,MIN(10,MAX(0,customer_churn_dataset!K60)))</f>
        <v>9</v>
      </c>
      <c r="L60" s="7" t="n">
        <f aca="false">IF(ISBLANK(customer_churn_dataset!L60),0,MAX(0,customer_churn_dataset!L60))</f>
        <v>1</v>
      </c>
      <c r="M60" s="7" t="n">
        <f aca="false">IF(ISBLANK(customer_churn_dataset!M60),0,customer_churn_dataset!M60)</f>
        <v>0</v>
      </c>
      <c r="N60" s="7" t="n">
        <f aca="false">IF(ISBLANK(customer_churn_dataset!N60),0,MAX(0,customer_churn_dataset!N60))</f>
        <v>81.92</v>
      </c>
      <c r="O60" s="7" t="n">
        <f aca="false">IF(ISBLANK(customer_churn_dataset!O60),0,customer_churn_dataset!O60)</f>
        <v>0</v>
      </c>
      <c r="P60" s="7" t="str">
        <f aca="false">IF(COUNTIF(customer_churn_dataset!$A$2:$A$1501,customer_churn_dataset!A60)&gt;1,"Duplicate","Unique")</f>
        <v>Unique</v>
      </c>
    </row>
    <row r="61" customFormat="false" ht="14.15" hidden="false" customHeight="true" outlineLevel="0" collapsed="false">
      <c r="A61" s="7" t="str">
        <f aca="false">TRIM(customer_churn_dataset!A61)</f>
        <v>CUST100344</v>
      </c>
      <c r="B61" s="7" t="str">
        <f aca="false">PROPER(TRIM(customer_churn_dataset!B61))</f>
        <v>Basic</v>
      </c>
      <c r="C61" s="7" t="str">
        <f aca="false">PROPER(TRIM(customer_churn_dataset!C61))</f>
        <v>Month-To-Month</v>
      </c>
      <c r="D61" s="7" t="n">
        <f aca="false">IF(ISBLANK(customer_churn_dataset!D61),ROUND(MEDIAN(customer_churn_dataset!D$2:D$1501),2),IF(customer_churn_dataset!D61&lt;0,ABS(customer_churn_dataset!D61),customer_churn_dataset!D61))</f>
        <v>9.82</v>
      </c>
      <c r="E61" s="7" t="n">
        <f aca="false">IF(ISBLANK(customer_churn_dataset!E61),0,MAX(0,customer_churn_dataset!E61))</f>
        <v>64</v>
      </c>
      <c r="F61" s="8" t="n">
        <f aca="false">IF(ISBLANK(customer_churn_dataset!F61),"",customer_churn_dataset!F61)</f>
        <v>43916</v>
      </c>
      <c r="G61" s="7" t="str">
        <f aca="false">PROPER(TRIM(customer_churn_dataset!G61))</f>
        <v>Credit Card</v>
      </c>
      <c r="H61" s="7" t="n">
        <f aca="false">IF(ISBLANK(customer_churn_dataset!H61),0,customer_churn_dataset!H61)</f>
        <v>0</v>
      </c>
      <c r="I61" s="7" t="n">
        <f aca="false">IF(ISBLANK(customer_churn_dataset!I61),ROUND(MEDIAN(customer_churn_dataset!I$2:I$1501),1),MIN(100,MAX(0,customer_churn_dataset!I61)))</f>
        <v>56.6</v>
      </c>
      <c r="J61" s="7" t="n">
        <f aca="false">IF(ISBLANK(customer_churn_dataset!J61),0,MAX(0,customer_churn_dataset!J61))</f>
        <v>21</v>
      </c>
      <c r="K61" s="7" t="n">
        <f aca="false">IF(ISBLANK(customer_churn_dataset!K61),0,MIN(10,MAX(0,customer_churn_dataset!K61)))</f>
        <v>8</v>
      </c>
      <c r="L61" s="7" t="n">
        <f aca="false">IF(ISBLANK(customer_churn_dataset!L61),0,MAX(0,customer_churn_dataset!L61))</f>
        <v>0</v>
      </c>
      <c r="M61" s="7" t="n">
        <f aca="false">IF(ISBLANK(customer_churn_dataset!M61),0,customer_churn_dataset!M61)</f>
        <v>0</v>
      </c>
      <c r="N61" s="7" t="n">
        <f aca="false">IF(ISBLANK(customer_churn_dataset!N61),0,MAX(0,customer_churn_dataset!N61))</f>
        <v>628.48</v>
      </c>
      <c r="O61" s="7" t="n">
        <f aca="false">IF(ISBLANK(customer_churn_dataset!O61),0,customer_churn_dataset!O61)</f>
        <v>0</v>
      </c>
      <c r="P61" s="7" t="str">
        <f aca="false">IF(COUNTIF(customer_churn_dataset!$A$2:$A$1501,customer_churn_dataset!A61)&gt;1,"Duplicate","Unique")</f>
        <v>Unique</v>
      </c>
    </row>
    <row r="62" customFormat="false" ht="14.15" hidden="false" customHeight="true" outlineLevel="0" collapsed="false">
      <c r="A62" s="7" t="str">
        <f aca="false">TRIM(customer_churn_dataset!A62)</f>
        <v>CUST101206</v>
      </c>
      <c r="B62" s="7" t="str">
        <f aca="false">PROPER(TRIM(customer_churn_dataset!B62))</f>
        <v>Standard</v>
      </c>
      <c r="C62" s="7" t="str">
        <f aca="false">PROPER(TRIM(customer_churn_dataset!C62))</f>
        <v>Month-To-Month</v>
      </c>
      <c r="D62" s="7" t="n">
        <f aca="false">IF(ISBLANK(customer_churn_dataset!D62),ROUND(MEDIAN(customer_churn_dataset!D$2:D$1501),2),IF(customer_churn_dataset!D62&lt;0,ABS(customer_churn_dataset!D62),customer_churn_dataset!D62))</f>
        <v>19.45</v>
      </c>
      <c r="E62" s="7" t="n">
        <f aca="false">IF(ISBLANK(customer_churn_dataset!E62),0,MAX(0,customer_churn_dataset!E62))</f>
        <v>4</v>
      </c>
      <c r="F62" s="8" t="n">
        <f aca="false">IF(ISBLANK(customer_churn_dataset!F62),"",customer_churn_dataset!F62)</f>
        <v>43918</v>
      </c>
      <c r="G62" s="7" t="str">
        <f aca="false">PROPER(TRIM(customer_churn_dataset!G62))</f>
        <v>Credit Card</v>
      </c>
      <c r="H62" s="7" t="n">
        <f aca="false">IF(ISBLANK(customer_churn_dataset!H62),0,customer_churn_dataset!H62)</f>
        <v>1</v>
      </c>
      <c r="I62" s="7" t="n">
        <f aca="false">IF(ISBLANK(customer_churn_dataset!I62),ROUND(MEDIAN(customer_churn_dataset!I$2:I$1501),1),MIN(100,MAX(0,customer_churn_dataset!I62)))</f>
        <v>47.5</v>
      </c>
      <c r="J62" s="7" t="n">
        <f aca="false">IF(ISBLANK(customer_churn_dataset!J62),0,MAX(0,customer_churn_dataset!J62))</f>
        <v>17</v>
      </c>
      <c r="K62" s="7" t="n">
        <f aca="false">IF(ISBLANK(customer_churn_dataset!K62),0,MIN(10,MAX(0,customer_churn_dataset!K62)))</f>
        <v>5</v>
      </c>
      <c r="L62" s="7" t="n">
        <f aca="false">IF(ISBLANK(customer_churn_dataset!L62),0,MAX(0,customer_churn_dataset!L62))</f>
        <v>1</v>
      </c>
      <c r="M62" s="7" t="n">
        <f aca="false">IF(ISBLANK(customer_churn_dataset!M62),0,customer_churn_dataset!M62)</f>
        <v>1</v>
      </c>
      <c r="N62" s="7" t="n">
        <f aca="false">IF(ISBLANK(customer_churn_dataset!N62),0,MAX(0,customer_churn_dataset!N62))</f>
        <v>77.8</v>
      </c>
      <c r="O62" s="7" t="n">
        <f aca="false">IF(ISBLANK(customer_churn_dataset!O62),0,customer_churn_dataset!O62)</f>
        <v>0</v>
      </c>
      <c r="P62" s="7" t="str">
        <f aca="false">IF(COUNTIF(customer_churn_dataset!$A$2:$A$1501,customer_churn_dataset!A62)&gt;1,"Duplicate","Unique")</f>
        <v>Unique</v>
      </c>
    </row>
    <row r="63" customFormat="false" ht="14.15" hidden="false" customHeight="true" outlineLevel="0" collapsed="false">
      <c r="A63" s="7" t="str">
        <f aca="false">TRIM(customer_churn_dataset!A63)</f>
        <v>CUST100928</v>
      </c>
      <c r="B63" s="7" t="str">
        <f aca="false">PROPER(TRIM(customer_churn_dataset!B63))</f>
        <v>Standard</v>
      </c>
      <c r="C63" s="7" t="str">
        <f aca="false">PROPER(TRIM(customer_churn_dataset!C63))</f>
        <v>Month-To-Month</v>
      </c>
      <c r="D63" s="7" t="n">
        <f aca="false">IF(ISBLANK(customer_churn_dataset!D63),ROUND(MEDIAN(customer_churn_dataset!D$2:D$1501),2),IF(customer_churn_dataset!D63&lt;0,ABS(customer_churn_dataset!D63),customer_churn_dataset!D63))</f>
        <v>19.54</v>
      </c>
      <c r="E63" s="7" t="n">
        <f aca="false">IF(ISBLANK(customer_churn_dataset!E63),0,MAX(0,customer_churn_dataset!E63))</f>
        <v>15</v>
      </c>
      <c r="F63" s="8" t="n">
        <f aca="false">IF(ISBLANK(customer_churn_dataset!F63),"",customer_churn_dataset!F63)</f>
        <v>43918</v>
      </c>
      <c r="G63" s="7" t="str">
        <f aca="false">PROPER(TRIM(customer_churn_dataset!G63))</f>
        <v>Credit Card</v>
      </c>
      <c r="H63" s="7" t="n">
        <f aca="false">IF(ISBLANK(customer_churn_dataset!H63),0,customer_churn_dataset!H63)</f>
        <v>0</v>
      </c>
      <c r="I63" s="7" t="n">
        <f aca="false">IF(ISBLANK(customer_churn_dataset!I63),ROUND(MEDIAN(customer_churn_dataset!I$2:I$1501),1),MIN(100,MAX(0,customer_churn_dataset!I63)))</f>
        <v>58.9</v>
      </c>
      <c r="J63" s="7" t="n">
        <f aca="false">IF(ISBLANK(customer_churn_dataset!J63),0,MAX(0,customer_churn_dataset!J63))</f>
        <v>20</v>
      </c>
      <c r="K63" s="7" t="n">
        <f aca="false">IF(ISBLANK(customer_churn_dataset!K63),0,MIN(10,MAX(0,customer_churn_dataset!K63)))</f>
        <v>6</v>
      </c>
      <c r="L63" s="7" t="n">
        <f aca="false">IF(ISBLANK(customer_churn_dataset!L63),0,MAX(0,customer_churn_dataset!L63))</f>
        <v>3</v>
      </c>
      <c r="M63" s="7" t="n">
        <f aca="false">IF(ISBLANK(customer_churn_dataset!M63),0,customer_churn_dataset!M63)</f>
        <v>1</v>
      </c>
      <c r="N63" s="7" t="n">
        <f aca="false">IF(ISBLANK(customer_churn_dataset!N63),0,MAX(0,customer_churn_dataset!N63))</f>
        <v>293.1</v>
      </c>
      <c r="O63" s="7" t="n">
        <f aca="false">IF(ISBLANK(customer_churn_dataset!O63),0,customer_churn_dataset!O63)</f>
        <v>0</v>
      </c>
      <c r="P63" s="7" t="str">
        <f aca="false">IF(COUNTIF(customer_churn_dataset!$A$2:$A$1501,customer_churn_dataset!A63)&gt;1,"Duplicate","Unique")</f>
        <v>Unique</v>
      </c>
    </row>
    <row r="64" customFormat="false" ht="14.15" hidden="false" customHeight="true" outlineLevel="0" collapsed="false">
      <c r="A64" s="7" t="str">
        <f aca="false">TRIM(customer_churn_dataset!A64)</f>
        <v>CUST100971</v>
      </c>
      <c r="B64" s="7" t="str">
        <f aca="false">PROPER(TRIM(customer_churn_dataset!B64))</f>
        <v>Premium</v>
      </c>
      <c r="C64" s="7" t="str">
        <f aca="false">PROPER(TRIM(customer_churn_dataset!C64))</f>
        <v>Two Year</v>
      </c>
      <c r="D64" s="7" t="n">
        <f aca="false">IF(ISBLANK(customer_churn_dataset!D64),ROUND(MEDIAN(customer_churn_dataset!D$2:D$1501),2),IF(customer_churn_dataset!D64&lt;0,ABS(customer_churn_dataset!D64),customer_churn_dataset!D64))</f>
        <v>40.01</v>
      </c>
      <c r="E64" s="7" t="n">
        <f aca="false">IF(ISBLANK(customer_churn_dataset!E64),0,MAX(0,customer_churn_dataset!E64))</f>
        <v>11</v>
      </c>
      <c r="F64" s="8" t="n">
        <f aca="false">IF(ISBLANK(customer_churn_dataset!F64),"",customer_churn_dataset!F64)</f>
        <v>43919</v>
      </c>
      <c r="G64" s="7" t="str">
        <f aca="false">PROPER(TRIM(customer_churn_dataset!G64))</f>
        <v>Credit Card</v>
      </c>
      <c r="H64" s="7" t="n">
        <f aca="false">IF(ISBLANK(customer_churn_dataset!H64),0,customer_churn_dataset!H64)</f>
        <v>0</v>
      </c>
      <c r="I64" s="7" t="n">
        <f aca="false">IF(ISBLANK(customer_churn_dataset!I64),ROUND(MEDIAN(customer_churn_dataset!I$2:I$1501),1),MIN(100,MAX(0,customer_churn_dataset!I64)))</f>
        <v>50.1</v>
      </c>
      <c r="J64" s="7" t="n">
        <f aca="false">IF(ISBLANK(customer_churn_dataset!J64),0,MAX(0,customer_churn_dataset!J64))</f>
        <v>21</v>
      </c>
      <c r="K64" s="7" t="n">
        <f aca="false">IF(ISBLANK(customer_churn_dataset!K64),0,MIN(10,MAX(0,customer_churn_dataset!K64)))</f>
        <v>6</v>
      </c>
      <c r="L64" s="7" t="n">
        <f aca="false">IF(ISBLANK(customer_churn_dataset!L64),0,MAX(0,customer_churn_dataset!L64))</f>
        <v>2</v>
      </c>
      <c r="M64" s="7" t="n">
        <f aca="false">IF(ISBLANK(customer_churn_dataset!M64),0,customer_churn_dataset!M64)</f>
        <v>0</v>
      </c>
      <c r="N64" s="7" t="n">
        <f aca="false">IF(ISBLANK(customer_churn_dataset!N64),0,MAX(0,customer_churn_dataset!N64))</f>
        <v>440.11</v>
      </c>
      <c r="O64" s="7" t="n">
        <f aca="false">IF(ISBLANK(customer_churn_dataset!O64),0,customer_churn_dataset!O64)</f>
        <v>0</v>
      </c>
      <c r="P64" s="7" t="str">
        <f aca="false">IF(COUNTIF(customer_churn_dataset!$A$2:$A$1501,customer_churn_dataset!A64)&gt;1,"Duplicate","Unique")</f>
        <v>Unique</v>
      </c>
    </row>
    <row r="65" customFormat="false" ht="14.15" hidden="false" customHeight="true" outlineLevel="0" collapsed="false">
      <c r="A65" s="7" t="str">
        <f aca="false">TRIM(customer_churn_dataset!A65)</f>
        <v>CUST100784</v>
      </c>
      <c r="B65" s="7" t="str">
        <f aca="false">PROPER(TRIM(customer_churn_dataset!B65))</f>
        <v>Basic</v>
      </c>
      <c r="C65" s="7" t="str">
        <f aca="false">PROPER(TRIM(customer_churn_dataset!C65))</f>
        <v>Month-To-Month</v>
      </c>
      <c r="D65" s="7" t="n">
        <f aca="false">IF(ISBLANK(customer_churn_dataset!D65),ROUND(MEDIAN(customer_churn_dataset!D$2:D$1501),2),IF(customer_churn_dataset!D65&lt;0,ABS(customer_churn_dataset!D65),customer_churn_dataset!D65))</f>
        <v>10.61</v>
      </c>
      <c r="E65" s="7" t="n">
        <f aca="false">IF(ISBLANK(customer_churn_dataset!E65),0,MAX(0,customer_churn_dataset!E65))</f>
        <v>29</v>
      </c>
      <c r="F65" s="8" t="n">
        <f aca="false">IF(ISBLANK(customer_churn_dataset!F65),"",customer_churn_dataset!F65)</f>
        <v>43920</v>
      </c>
      <c r="G65" s="7" t="str">
        <f aca="false">PROPER(TRIM(customer_churn_dataset!G65))</f>
        <v>Bank Transfer</v>
      </c>
      <c r="H65" s="7" t="n">
        <f aca="false">IF(ISBLANK(customer_churn_dataset!H65),0,customer_churn_dataset!H65)</f>
        <v>1</v>
      </c>
      <c r="I65" s="7" t="n">
        <f aca="false">IF(ISBLANK(customer_churn_dataset!I65),ROUND(MEDIAN(customer_churn_dataset!I$2:I$1501),1),MIN(100,MAX(0,customer_churn_dataset!I65)))</f>
        <v>29.9</v>
      </c>
      <c r="J65" s="7" t="n">
        <f aca="false">IF(ISBLANK(customer_churn_dataset!J65),0,MAX(0,customer_churn_dataset!J65))</f>
        <v>17</v>
      </c>
      <c r="K65" s="7" t="n">
        <f aca="false">IF(ISBLANK(customer_churn_dataset!K65),0,MIN(10,MAX(0,customer_churn_dataset!K65)))</f>
        <v>1</v>
      </c>
      <c r="L65" s="7" t="n">
        <f aca="false">IF(ISBLANK(customer_churn_dataset!L65),0,MAX(0,customer_churn_dataset!L65))</f>
        <v>3</v>
      </c>
      <c r="M65" s="7" t="n">
        <f aca="false">IF(ISBLANK(customer_churn_dataset!M65),0,customer_churn_dataset!M65)</f>
        <v>0</v>
      </c>
      <c r="N65" s="7" t="n">
        <f aca="false">IF(ISBLANK(customer_churn_dataset!N65),0,MAX(0,customer_churn_dataset!N65))</f>
        <v>307.69</v>
      </c>
      <c r="O65" s="7" t="n">
        <f aca="false">IF(ISBLANK(customer_churn_dataset!O65),0,customer_churn_dataset!O65)</f>
        <v>0</v>
      </c>
      <c r="P65" s="7" t="str">
        <f aca="false">IF(COUNTIF(customer_churn_dataset!$A$2:$A$1501,customer_churn_dataset!A65)&gt;1,"Duplicate","Unique")</f>
        <v>Unique</v>
      </c>
    </row>
    <row r="66" customFormat="false" ht="14.15" hidden="false" customHeight="true" outlineLevel="0" collapsed="false">
      <c r="A66" s="7" t="str">
        <f aca="false">TRIM(customer_churn_dataset!A66)</f>
        <v>CUST100569</v>
      </c>
      <c r="B66" s="7" t="str">
        <f aca="false">PROPER(TRIM(customer_churn_dataset!B66))</f>
        <v>Basic</v>
      </c>
      <c r="C66" s="7" t="str">
        <f aca="false">PROPER(TRIM(customer_churn_dataset!C66))</f>
        <v>Month-To-Month</v>
      </c>
      <c r="D66" s="7" t="n">
        <f aca="false">IF(ISBLANK(customer_churn_dataset!D66),ROUND(MEDIAN(customer_churn_dataset!D$2:D$1501),2),IF(customer_churn_dataset!D66&lt;0,ABS(customer_churn_dataset!D66),customer_churn_dataset!D66))</f>
        <v>11.83</v>
      </c>
      <c r="E66" s="7" t="n">
        <f aca="false">IF(ISBLANK(customer_churn_dataset!E66),0,MAX(0,customer_churn_dataset!E66))</f>
        <v>29</v>
      </c>
      <c r="F66" s="8" t="n">
        <f aca="false">IF(ISBLANK(customer_churn_dataset!F66),"",customer_churn_dataset!F66)</f>
        <v>43920</v>
      </c>
      <c r="G66" s="7" t="str">
        <f aca="false">PROPER(TRIM(customer_churn_dataset!G66))</f>
        <v>Paypal</v>
      </c>
      <c r="H66" s="7" t="n">
        <f aca="false">IF(ISBLANK(customer_churn_dataset!H66),0,customer_churn_dataset!H66)</f>
        <v>1</v>
      </c>
      <c r="I66" s="7" t="n">
        <f aca="false">IF(ISBLANK(customer_churn_dataset!I66),ROUND(MEDIAN(customer_churn_dataset!I$2:I$1501),1),MIN(100,MAX(0,customer_churn_dataset!I66)))</f>
        <v>42.4</v>
      </c>
      <c r="J66" s="7" t="n">
        <f aca="false">IF(ISBLANK(customer_churn_dataset!J66),0,MAX(0,customer_churn_dataset!J66))</f>
        <v>16</v>
      </c>
      <c r="K66" s="7" t="n">
        <f aca="false">IF(ISBLANK(customer_churn_dataset!K66),0,MIN(10,MAX(0,customer_churn_dataset!K66)))</f>
        <v>2</v>
      </c>
      <c r="L66" s="7" t="n">
        <f aca="false">IF(ISBLANK(customer_churn_dataset!L66),0,MAX(0,customer_churn_dataset!L66))</f>
        <v>1</v>
      </c>
      <c r="M66" s="7" t="n">
        <f aca="false">IF(ISBLANK(customer_churn_dataset!M66),0,customer_churn_dataset!M66)</f>
        <v>0</v>
      </c>
      <c r="N66" s="7" t="n">
        <f aca="false">IF(ISBLANK(customer_churn_dataset!N66),0,MAX(0,customer_churn_dataset!N66))</f>
        <v>343.07</v>
      </c>
      <c r="O66" s="7" t="n">
        <f aca="false">IF(ISBLANK(customer_churn_dataset!O66),0,customer_churn_dataset!O66)</f>
        <v>0</v>
      </c>
      <c r="P66" s="7" t="str">
        <f aca="false">IF(COUNTIF(customer_churn_dataset!$A$2:$A$1501,customer_churn_dataset!A66)&gt;1,"Duplicate","Unique")</f>
        <v>Unique</v>
      </c>
    </row>
    <row r="67" customFormat="false" ht="14.15" hidden="false" customHeight="true" outlineLevel="0" collapsed="false">
      <c r="A67" s="7" t="str">
        <f aca="false">TRIM(customer_churn_dataset!A67)</f>
        <v>CUST100129</v>
      </c>
      <c r="B67" s="7" t="str">
        <f aca="false">PROPER(TRIM(customer_churn_dataset!B67))</f>
        <v>Standard</v>
      </c>
      <c r="C67" s="7" t="str">
        <f aca="false">PROPER(TRIM(customer_churn_dataset!C67))</f>
        <v>Month-To-Month</v>
      </c>
      <c r="D67" s="7" t="n">
        <f aca="false">IF(ISBLANK(customer_churn_dataset!D67),ROUND(MEDIAN(customer_churn_dataset!D$2:D$1501),2),IF(customer_churn_dataset!D67&lt;0,ABS(customer_churn_dataset!D67),customer_churn_dataset!D67))</f>
        <v>17.84</v>
      </c>
      <c r="E67" s="7" t="n">
        <f aca="false">IF(ISBLANK(customer_churn_dataset!E67),0,MAX(0,customer_churn_dataset!E67))</f>
        <v>50</v>
      </c>
      <c r="F67" s="8" t="n">
        <f aca="false">IF(ISBLANK(customer_churn_dataset!F67),"",customer_churn_dataset!F67)</f>
        <v>43922</v>
      </c>
      <c r="G67" s="7" t="str">
        <f aca="false">PROPER(TRIM(customer_churn_dataset!G67))</f>
        <v>Credit Card</v>
      </c>
      <c r="H67" s="7" t="n">
        <f aca="false">IF(ISBLANK(customer_churn_dataset!H67),0,customer_churn_dataset!H67)</f>
        <v>0</v>
      </c>
      <c r="I67" s="7" t="n">
        <f aca="false">IF(ISBLANK(customer_churn_dataset!I67),ROUND(MEDIAN(customer_churn_dataset!I$2:I$1501),1),MIN(100,MAX(0,customer_churn_dataset!I67)))</f>
        <v>57.2</v>
      </c>
      <c r="J67" s="7" t="n">
        <f aca="false">IF(ISBLANK(customer_churn_dataset!J67),0,MAX(0,customer_churn_dataset!J67))</f>
        <v>13</v>
      </c>
      <c r="K67" s="7" t="n">
        <f aca="false">IF(ISBLANK(customer_churn_dataset!K67),0,MIN(10,MAX(0,customer_churn_dataset!K67)))</f>
        <v>7</v>
      </c>
      <c r="L67" s="7" t="n">
        <f aca="false">IF(ISBLANK(customer_churn_dataset!L67),0,MAX(0,customer_churn_dataset!L67))</f>
        <v>1</v>
      </c>
      <c r="M67" s="7" t="n">
        <f aca="false">IF(ISBLANK(customer_churn_dataset!M67),0,customer_churn_dataset!M67)</f>
        <v>0</v>
      </c>
      <c r="N67" s="7" t="n">
        <f aca="false">IF(ISBLANK(customer_churn_dataset!N67),0,MAX(0,customer_churn_dataset!N67))</f>
        <v>892</v>
      </c>
      <c r="O67" s="7" t="n">
        <f aca="false">IF(ISBLANK(customer_churn_dataset!O67),0,customer_churn_dataset!O67)</f>
        <v>0</v>
      </c>
      <c r="P67" s="7" t="str">
        <f aca="false">IF(COUNTIF(customer_churn_dataset!$A$2:$A$1501,customer_churn_dataset!A67)&gt;1,"Duplicate","Unique")</f>
        <v>Unique</v>
      </c>
    </row>
    <row r="68" customFormat="false" ht="14.15" hidden="false" customHeight="true" outlineLevel="0" collapsed="false">
      <c r="A68" s="7" t="str">
        <f aca="false">TRIM(customer_churn_dataset!A68)</f>
        <v>CUST100030</v>
      </c>
      <c r="B68" s="7" t="str">
        <f aca="false">PROPER(TRIM(customer_churn_dataset!B68))</f>
        <v>Standard</v>
      </c>
      <c r="C68" s="7" t="str">
        <f aca="false">PROPER(TRIM(customer_churn_dataset!C68))</f>
        <v>One Year</v>
      </c>
      <c r="D68" s="7" t="n">
        <f aca="false">IF(ISBLANK(customer_churn_dataset!D68),ROUND(MEDIAN(customer_churn_dataset!D$2:D$1501),2),IF(customer_churn_dataset!D68&lt;0,ABS(customer_churn_dataset!D68),customer_churn_dataset!D68))</f>
        <v>20.1</v>
      </c>
      <c r="E68" s="7" t="n">
        <f aca="false">IF(ISBLANK(customer_churn_dataset!E68),0,MAX(0,customer_churn_dataset!E68))</f>
        <v>3</v>
      </c>
      <c r="F68" s="8" t="n">
        <f aca="false">IF(ISBLANK(customer_churn_dataset!F68),"",customer_churn_dataset!F68)</f>
        <v>43923</v>
      </c>
      <c r="G68" s="7" t="str">
        <f aca="false">PROPER(TRIM(customer_churn_dataset!G68))</f>
        <v>Paypal</v>
      </c>
      <c r="H68" s="7" t="n">
        <f aca="false">IF(ISBLANK(customer_churn_dataset!H68),0,customer_churn_dataset!H68)</f>
        <v>1</v>
      </c>
      <c r="I68" s="7" t="n">
        <f aca="false">IF(ISBLANK(customer_churn_dataset!I68),ROUND(MEDIAN(customer_churn_dataset!I$2:I$1501),1),MIN(100,MAX(0,customer_churn_dataset!I68)))</f>
        <v>60.8</v>
      </c>
      <c r="J68" s="7" t="n">
        <f aca="false">IF(ISBLANK(customer_churn_dataset!J68),0,MAX(0,customer_churn_dataset!J68))</f>
        <v>24</v>
      </c>
      <c r="K68" s="7" t="n">
        <f aca="false">IF(ISBLANK(customer_churn_dataset!K68),0,MIN(10,MAX(0,customer_churn_dataset!K68)))</f>
        <v>6</v>
      </c>
      <c r="L68" s="7" t="n">
        <f aca="false">IF(ISBLANK(customer_churn_dataset!L68),0,MAX(0,customer_churn_dataset!L68))</f>
        <v>0</v>
      </c>
      <c r="M68" s="7" t="n">
        <f aca="false">IF(ISBLANK(customer_churn_dataset!M68),0,customer_churn_dataset!M68)</f>
        <v>0</v>
      </c>
      <c r="N68" s="7" t="n">
        <f aca="false">IF(ISBLANK(customer_churn_dataset!N68),0,MAX(0,customer_churn_dataset!N68))</f>
        <v>60.3</v>
      </c>
      <c r="O68" s="7" t="n">
        <f aca="false">IF(ISBLANK(customer_churn_dataset!O68),0,customer_churn_dataset!O68)</f>
        <v>0</v>
      </c>
      <c r="P68" s="7" t="str">
        <f aca="false">IF(COUNTIF(customer_churn_dataset!$A$2:$A$1501,customer_churn_dataset!A68)&gt;1,"Duplicate","Unique")</f>
        <v>Unique</v>
      </c>
    </row>
    <row r="69" customFormat="false" ht="14.15" hidden="false" customHeight="true" outlineLevel="0" collapsed="false">
      <c r="A69" s="7" t="str">
        <f aca="false">TRIM(customer_churn_dataset!A69)</f>
        <v>CUST100299</v>
      </c>
      <c r="B69" s="7" t="str">
        <f aca="false">PROPER(TRIM(customer_churn_dataset!B69))</f>
        <v>Basic</v>
      </c>
      <c r="C69" s="7" t="str">
        <f aca="false">PROPER(TRIM(customer_churn_dataset!C69))</f>
        <v>Month-To-Month</v>
      </c>
      <c r="D69" s="7" t="n">
        <f aca="false">IF(ISBLANK(customer_churn_dataset!D69),ROUND(MEDIAN(customer_churn_dataset!D$2:D$1501),2),IF(customer_churn_dataset!D69&lt;0,ABS(customer_churn_dataset!D69),customer_churn_dataset!D69))</f>
        <v>10.66</v>
      </c>
      <c r="E69" s="7" t="n">
        <f aca="false">IF(ISBLANK(customer_churn_dataset!E69),0,MAX(0,customer_churn_dataset!E69))</f>
        <v>72</v>
      </c>
      <c r="F69" s="8" t="n">
        <f aca="false">IF(ISBLANK(customer_churn_dataset!F69),"",customer_churn_dataset!F69)</f>
        <v>43924</v>
      </c>
      <c r="G69" s="7" t="str">
        <f aca="false">PROPER(TRIM(customer_churn_dataset!G69))</f>
        <v>Bank Transfer</v>
      </c>
      <c r="H69" s="7" t="n">
        <f aca="false">IF(ISBLANK(customer_churn_dataset!H69),0,customer_churn_dataset!H69)</f>
        <v>0</v>
      </c>
      <c r="I69" s="7" t="n">
        <f aca="false">IF(ISBLANK(customer_churn_dataset!I69),ROUND(MEDIAN(customer_churn_dataset!I$2:I$1501),1),MIN(100,MAX(0,customer_churn_dataset!I69)))</f>
        <v>47.8</v>
      </c>
      <c r="J69" s="7" t="n">
        <f aca="false">IF(ISBLANK(customer_churn_dataset!J69),0,MAX(0,customer_churn_dataset!J69))</f>
        <v>23</v>
      </c>
      <c r="K69" s="7" t="n">
        <f aca="false">IF(ISBLANK(customer_churn_dataset!K69),0,MIN(10,MAX(0,customer_churn_dataset!K69)))</f>
        <v>7</v>
      </c>
      <c r="L69" s="7" t="n">
        <f aca="false">IF(ISBLANK(customer_churn_dataset!L69),0,MAX(0,customer_churn_dataset!L69))</f>
        <v>0</v>
      </c>
      <c r="M69" s="7" t="n">
        <f aca="false">IF(ISBLANK(customer_churn_dataset!M69),0,customer_churn_dataset!M69)</f>
        <v>0</v>
      </c>
      <c r="N69" s="7" t="n">
        <f aca="false">IF(ISBLANK(customer_churn_dataset!N69),0,MAX(0,customer_churn_dataset!N69))</f>
        <v>767.52</v>
      </c>
      <c r="O69" s="7" t="n">
        <f aca="false">IF(ISBLANK(customer_churn_dataset!O69),0,customer_churn_dataset!O69)</f>
        <v>0</v>
      </c>
      <c r="P69" s="7" t="str">
        <f aca="false">IF(COUNTIF(customer_churn_dataset!$A$2:$A$1501,customer_churn_dataset!A69)&gt;1,"Duplicate","Unique")</f>
        <v>Unique</v>
      </c>
    </row>
    <row r="70" customFormat="false" ht="14.15" hidden="false" customHeight="true" outlineLevel="0" collapsed="false">
      <c r="A70" s="7" t="str">
        <f aca="false">TRIM(customer_churn_dataset!A70)</f>
        <v>CUST100635</v>
      </c>
      <c r="B70" s="7" t="str">
        <f aca="false">PROPER(TRIM(customer_churn_dataset!B70))</f>
        <v>Basic</v>
      </c>
      <c r="C70" s="7" t="str">
        <f aca="false">PROPER(TRIM(customer_churn_dataset!C70))</f>
        <v>One Year</v>
      </c>
      <c r="D70" s="7" t="n">
        <f aca="false">IF(ISBLANK(customer_churn_dataset!D70),ROUND(MEDIAN(customer_churn_dataset!D$2:D$1501),2),IF(customer_churn_dataset!D70&lt;0,ABS(customer_churn_dataset!D70),customer_churn_dataset!D70))</f>
        <v>9.24</v>
      </c>
      <c r="E70" s="7" t="n">
        <f aca="false">IF(ISBLANK(customer_churn_dataset!E70),0,MAX(0,customer_churn_dataset!E70))</f>
        <v>1</v>
      </c>
      <c r="F70" s="8" t="n">
        <f aca="false">IF(ISBLANK(customer_churn_dataset!F70),"",customer_churn_dataset!F70)</f>
        <v>43924</v>
      </c>
      <c r="G70" s="7" t="str">
        <f aca="false">PROPER(TRIM(customer_churn_dataset!G70))</f>
        <v>Credit Card</v>
      </c>
      <c r="H70" s="7" t="n">
        <f aca="false">IF(ISBLANK(customer_churn_dataset!H70),0,customer_churn_dataset!H70)</f>
        <v>0</v>
      </c>
      <c r="I70" s="7" t="n">
        <f aca="false">IF(ISBLANK(customer_churn_dataset!I70),ROUND(MEDIAN(customer_churn_dataset!I$2:I$1501),1),MIN(100,MAX(0,customer_churn_dataset!I70)))</f>
        <v>31.5</v>
      </c>
      <c r="J70" s="7" t="n">
        <f aca="false">IF(ISBLANK(customer_churn_dataset!J70),0,MAX(0,customer_churn_dataset!J70))</f>
        <v>11</v>
      </c>
      <c r="K70" s="7" t="n">
        <f aca="false">IF(ISBLANK(customer_churn_dataset!K70),0,MIN(10,MAX(0,customer_churn_dataset!K70)))</f>
        <v>5</v>
      </c>
      <c r="L70" s="7" t="n">
        <f aca="false">IF(ISBLANK(customer_churn_dataset!L70),0,MAX(0,customer_churn_dataset!L70))</f>
        <v>1</v>
      </c>
      <c r="M70" s="7" t="n">
        <f aca="false">IF(ISBLANK(customer_churn_dataset!M70),0,customer_churn_dataset!M70)</f>
        <v>0</v>
      </c>
      <c r="N70" s="7" t="n">
        <f aca="false">IF(ISBLANK(customer_churn_dataset!N70),0,MAX(0,customer_churn_dataset!N70))</f>
        <v>9.24</v>
      </c>
      <c r="O70" s="7" t="n">
        <f aca="false">IF(ISBLANK(customer_churn_dataset!O70),0,customer_churn_dataset!O70)</f>
        <v>0</v>
      </c>
      <c r="P70" s="7" t="str">
        <f aca="false">IF(COUNTIF(customer_churn_dataset!$A$2:$A$1501,customer_churn_dataset!A70)&gt;1,"Duplicate","Unique")</f>
        <v>Unique</v>
      </c>
    </row>
    <row r="71" customFormat="false" ht="14.15" hidden="false" customHeight="true" outlineLevel="0" collapsed="false">
      <c r="A71" s="7" t="str">
        <f aca="false">TRIM(customer_churn_dataset!A71)</f>
        <v>CUST101369</v>
      </c>
      <c r="B71" s="7" t="str">
        <f aca="false">PROPER(TRIM(customer_churn_dataset!B71))</f>
        <v>Basic</v>
      </c>
      <c r="C71" s="7" t="str">
        <f aca="false">PROPER(TRIM(customer_churn_dataset!C71))</f>
        <v>Month-To-Month</v>
      </c>
      <c r="D71" s="7" t="n">
        <f aca="false">IF(ISBLANK(customer_churn_dataset!D71),ROUND(MEDIAN(customer_churn_dataset!D$2:D$1501),2),IF(customer_churn_dataset!D71&lt;0,ABS(customer_churn_dataset!D71),customer_churn_dataset!D71))</f>
        <v>8.86</v>
      </c>
      <c r="E71" s="7" t="n">
        <f aca="false">IF(ISBLANK(customer_churn_dataset!E71),0,MAX(0,customer_churn_dataset!E71))</f>
        <v>40</v>
      </c>
      <c r="F71" s="8" t="n">
        <f aca="false">IF(ISBLANK(customer_churn_dataset!F71),"",customer_churn_dataset!F71)</f>
        <v>43927</v>
      </c>
      <c r="G71" s="7" t="str">
        <f aca="false">PROPER(TRIM(customer_churn_dataset!G71))</f>
        <v>Paypal</v>
      </c>
      <c r="H71" s="7" t="n">
        <f aca="false">IF(ISBLANK(customer_churn_dataset!H71),0,customer_churn_dataset!H71)</f>
        <v>1</v>
      </c>
      <c r="I71" s="7" t="n">
        <f aca="false">IF(ISBLANK(customer_churn_dataset!I71),ROUND(MEDIAN(customer_churn_dataset!I$2:I$1501),1),MIN(100,MAX(0,customer_churn_dataset!I71)))</f>
        <v>43.3</v>
      </c>
      <c r="J71" s="7" t="n">
        <f aca="false">IF(ISBLANK(customer_churn_dataset!J71),0,MAX(0,customer_churn_dataset!J71))</f>
        <v>16</v>
      </c>
      <c r="K71" s="7" t="n">
        <f aca="false">IF(ISBLANK(customer_churn_dataset!K71),0,MIN(10,MAX(0,customer_churn_dataset!K71)))</f>
        <v>7</v>
      </c>
      <c r="L71" s="7" t="n">
        <f aca="false">IF(ISBLANK(customer_churn_dataset!L71),0,MAX(0,customer_churn_dataset!L71))</f>
        <v>0</v>
      </c>
      <c r="M71" s="7" t="n">
        <f aca="false">IF(ISBLANK(customer_churn_dataset!M71),0,customer_churn_dataset!M71)</f>
        <v>0</v>
      </c>
      <c r="N71" s="7" t="n">
        <f aca="false">IF(ISBLANK(customer_churn_dataset!N71),0,MAX(0,customer_churn_dataset!N71))</f>
        <v>354.4</v>
      </c>
      <c r="O71" s="7" t="n">
        <f aca="false">IF(ISBLANK(customer_churn_dataset!O71),0,customer_churn_dataset!O71)</f>
        <v>1</v>
      </c>
      <c r="P71" s="7" t="str">
        <f aca="false">IF(COUNTIF(customer_churn_dataset!$A$2:$A$1501,customer_churn_dataset!A71)&gt;1,"Duplicate","Unique")</f>
        <v>Unique</v>
      </c>
    </row>
    <row r="72" customFormat="false" ht="14.15" hidden="false" customHeight="true" outlineLevel="0" collapsed="false">
      <c r="A72" s="7" t="str">
        <f aca="false">TRIM(customer_churn_dataset!A72)</f>
        <v>CUST101191</v>
      </c>
      <c r="B72" s="7" t="str">
        <f aca="false">PROPER(TRIM(customer_churn_dataset!B72))</f>
        <v>Standard</v>
      </c>
      <c r="C72" s="7" t="str">
        <f aca="false">PROPER(TRIM(customer_churn_dataset!C72))</f>
        <v>One Year</v>
      </c>
      <c r="D72" s="7" t="n">
        <f aca="false">IF(ISBLANK(customer_churn_dataset!D72),ROUND(MEDIAN(customer_churn_dataset!D$2:D$1501),2),IF(customer_churn_dataset!D72&lt;0,ABS(customer_churn_dataset!D72),customer_churn_dataset!D72))</f>
        <v>20.61</v>
      </c>
      <c r="E72" s="7" t="n">
        <f aca="false">IF(ISBLANK(customer_churn_dataset!E72),0,MAX(0,customer_churn_dataset!E72))</f>
        <v>14</v>
      </c>
      <c r="F72" s="8" t="n">
        <f aca="false">IF(ISBLANK(customer_churn_dataset!F72),"",customer_churn_dataset!F72)</f>
        <v>43927</v>
      </c>
      <c r="G72" s="7" t="str">
        <f aca="false">PROPER(TRIM(customer_churn_dataset!G72))</f>
        <v>Paypal</v>
      </c>
      <c r="H72" s="7" t="n">
        <f aca="false">IF(ISBLANK(customer_churn_dataset!H72),0,customer_churn_dataset!H72)</f>
        <v>1</v>
      </c>
      <c r="I72" s="7" t="n">
        <f aca="false">IF(ISBLANK(customer_churn_dataset!I72),ROUND(MEDIAN(customer_churn_dataset!I$2:I$1501),1),MIN(100,MAX(0,customer_churn_dataset!I72)))</f>
        <v>56.6</v>
      </c>
      <c r="J72" s="7" t="n">
        <f aca="false">IF(ISBLANK(customer_churn_dataset!J72),0,MAX(0,customer_churn_dataset!J72))</f>
        <v>19</v>
      </c>
      <c r="K72" s="7" t="n">
        <f aca="false">IF(ISBLANK(customer_churn_dataset!K72),0,MIN(10,MAX(0,customer_churn_dataset!K72)))</f>
        <v>7</v>
      </c>
      <c r="L72" s="7" t="n">
        <f aca="false">IF(ISBLANK(customer_churn_dataset!L72),0,MAX(0,customer_churn_dataset!L72))</f>
        <v>0</v>
      </c>
      <c r="M72" s="7" t="n">
        <f aca="false">IF(ISBLANK(customer_churn_dataset!M72),0,customer_churn_dataset!M72)</f>
        <v>0</v>
      </c>
      <c r="N72" s="7" t="n">
        <f aca="false">IF(ISBLANK(customer_churn_dataset!N72),0,MAX(0,customer_churn_dataset!N72))</f>
        <v>288.54</v>
      </c>
      <c r="O72" s="7" t="n">
        <f aca="false">IF(ISBLANK(customer_churn_dataset!O72),0,customer_churn_dataset!O72)</f>
        <v>0</v>
      </c>
      <c r="P72" s="7" t="str">
        <f aca="false">IF(COUNTIF(customer_churn_dataset!$A$2:$A$1501,customer_churn_dataset!A72)&gt;1,"Duplicate","Unique")</f>
        <v>Unique</v>
      </c>
    </row>
    <row r="73" customFormat="false" ht="14.15" hidden="false" customHeight="true" outlineLevel="0" collapsed="false">
      <c r="A73" s="7" t="str">
        <f aca="false">TRIM(customer_churn_dataset!A73)</f>
        <v>CUST100383</v>
      </c>
      <c r="B73" s="7" t="str">
        <f aca="false">PROPER(TRIM(customer_churn_dataset!B73))</f>
        <v>Premium</v>
      </c>
      <c r="C73" s="7" t="str">
        <f aca="false">PROPER(TRIM(customer_churn_dataset!C73))</f>
        <v>Two Year</v>
      </c>
      <c r="D73" s="7" t="n">
        <f aca="false">IF(ISBLANK(customer_churn_dataset!D73),ROUND(MEDIAN(customer_churn_dataset!D$2:D$1501),2),IF(customer_churn_dataset!D73&lt;0,ABS(customer_churn_dataset!D73),customer_churn_dataset!D73))</f>
        <v>39.53</v>
      </c>
      <c r="E73" s="7" t="n">
        <f aca="false">IF(ISBLANK(customer_churn_dataset!E73),0,MAX(0,customer_churn_dataset!E73))</f>
        <v>14</v>
      </c>
      <c r="F73" s="8" t="n">
        <f aca="false">IF(ISBLANK(customer_churn_dataset!F73),"",customer_churn_dataset!F73)</f>
        <v>43928</v>
      </c>
      <c r="G73" s="7" t="str">
        <f aca="false">PROPER(TRIM(customer_churn_dataset!G73))</f>
        <v>Credit Card</v>
      </c>
      <c r="H73" s="7" t="n">
        <f aca="false">IF(ISBLANK(customer_churn_dataset!H73),0,customer_churn_dataset!H73)</f>
        <v>1</v>
      </c>
      <c r="I73" s="7" t="n">
        <f aca="false">IF(ISBLANK(customer_churn_dataset!I73),ROUND(MEDIAN(customer_churn_dataset!I$2:I$1501),1),MIN(100,MAX(0,customer_churn_dataset!I73)))</f>
        <v>24.1</v>
      </c>
      <c r="J73" s="7" t="n">
        <f aca="false">IF(ISBLANK(customer_churn_dataset!J73),0,MAX(0,customer_churn_dataset!J73))</f>
        <v>10</v>
      </c>
      <c r="K73" s="7" t="n">
        <f aca="false">IF(ISBLANK(customer_churn_dataset!K73),0,MIN(10,MAX(0,customer_churn_dataset!K73)))</f>
        <v>3</v>
      </c>
      <c r="L73" s="7" t="n">
        <f aca="false">IF(ISBLANK(customer_churn_dataset!L73),0,MAX(0,customer_churn_dataset!L73))</f>
        <v>5</v>
      </c>
      <c r="M73" s="7" t="n">
        <f aca="false">IF(ISBLANK(customer_churn_dataset!M73),0,customer_churn_dataset!M73)</f>
        <v>0</v>
      </c>
      <c r="N73" s="7" t="n">
        <f aca="false">IF(ISBLANK(customer_churn_dataset!N73),0,MAX(0,customer_churn_dataset!N73))</f>
        <v>553.42</v>
      </c>
      <c r="O73" s="7" t="n">
        <f aca="false">IF(ISBLANK(customer_churn_dataset!O73),0,customer_churn_dataset!O73)</f>
        <v>0</v>
      </c>
      <c r="P73" s="7" t="str">
        <f aca="false">IF(COUNTIF(customer_churn_dataset!$A$2:$A$1501,customer_churn_dataset!A73)&gt;1,"Duplicate","Unique")</f>
        <v>Unique</v>
      </c>
    </row>
    <row r="74" customFormat="false" ht="14.15" hidden="false" customHeight="true" outlineLevel="0" collapsed="false">
      <c r="A74" s="7" t="str">
        <f aca="false">TRIM(customer_churn_dataset!A74)</f>
        <v>CUST100837</v>
      </c>
      <c r="B74" s="7" t="str">
        <f aca="false">PROPER(TRIM(customer_churn_dataset!B74))</f>
        <v>Basic</v>
      </c>
      <c r="C74" s="7" t="str">
        <f aca="false">PROPER(TRIM(customer_churn_dataset!C74))</f>
        <v>Two Year</v>
      </c>
      <c r="D74" s="7" t="n">
        <f aca="false">IF(ISBLANK(customer_churn_dataset!D74),ROUND(MEDIAN(customer_churn_dataset!D$2:D$1501),2),IF(customer_churn_dataset!D74&lt;0,ABS(customer_churn_dataset!D74),customer_churn_dataset!D74))</f>
        <v>9.11</v>
      </c>
      <c r="E74" s="7" t="n">
        <f aca="false">IF(ISBLANK(customer_churn_dataset!E74),0,MAX(0,customer_churn_dataset!E74))</f>
        <v>6</v>
      </c>
      <c r="F74" s="8" t="n">
        <f aca="false">IF(ISBLANK(customer_churn_dataset!F74),"",customer_churn_dataset!F74)</f>
        <v>43929</v>
      </c>
      <c r="G74" s="7" t="str">
        <f aca="false">PROPER(TRIM(customer_churn_dataset!G74))</f>
        <v>Credit Card</v>
      </c>
      <c r="H74" s="7" t="n">
        <f aca="false">IF(ISBLANK(customer_churn_dataset!H74),0,customer_churn_dataset!H74)</f>
        <v>0</v>
      </c>
      <c r="I74" s="7" t="n">
        <f aca="false">IF(ISBLANK(customer_churn_dataset!I74),ROUND(MEDIAN(customer_churn_dataset!I$2:I$1501),1),MIN(100,MAX(0,customer_churn_dataset!I74)))</f>
        <v>36.4</v>
      </c>
      <c r="J74" s="7" t="n">
        <f aca="false">IF(ISBLANK(customer_churn_dataset!J74),0,MAX(0,customer_churn_dataset!J74))</f>
        <v>18</v>
      </c>
      <c r="K74" s="7" t="n">
        <f aca="false">IF(ISBLANK(customer_churn_dataset!K74),0,MIN(10,MAX(0,customer_churn_dataset!K74)))</f>
        <v>3</v>
      </c>
      <c r="L74" s="7" t="n">
        <f aca="false">IF(ISBLANK(customer_churn_dataset!L74),0,MAX(0,customer_churn_dataset!L74))</f>
        <v>1</v>
      </c>
      <c r="M74" s="7" t="n">
        <f aca="false">IF(ISBLANK(customer_churn_dataset!M74),0,customer_churn_dataset!M74)</f>
        <v>1</v>
      </c>
      <c r="N74" s="7" t="n">
        <f aca="false">IF(ISBLANK(customer_churn_dataset!N74),0,MAX(0,customer_churn_dataset!N74))</f>
        <v>54.66</v>
      </c>
      <c r="O74" s="7" t="n">
        <f aca="false">IF(ISBLANK(customer_churn_dataset!O74),0,customer_churn_dataset!O74)</f>
        <v>0</v>
      </c>
      <c r="P74" s="7" t="str">
        <f aca="false">IF(COUNTIF(customer_churn_dataset!$A$2:$A$1501,customer_churn_dataset!A74)&gt;1,"Duplicate","Unique")</f>
        <v>Unique</v>
      </c>
    </row>
    <row r="75" customFormat="false" ht="14.15" hidden="false" customHeight="true" outlineLevel="0" collapsed="false">
      <c r="A75" s="7" t="str">
        <f aca="false">TRIM(customer_churn_dataset!A75)</f>
        <v>CUST101455</v>
      </c>
      <c r="B75" s="7" t="str">
        <f aca="false">PROPER(TRIM(customer_churn_dataset!B75))</f>
        <v>Premium</v>
      </c>
      <c r="C75" s="7" t="str">
        <f aca="false">PROPER(TRIM(customer_churn_dataset!C75))</f>
        <v>Month-To-Month</v>
      </c>
      <c r="D75" s="7" t="n">
        <f aca="false">IF(ISBLANK(customer_churn_dataset!D75),ROUND(MEDIAN(customer_churn_dataset!D$2:D$1501),2),IF(customer_churn_dataset!D75&lt;0,ABS(customer_churn_dataset!D75),customer_churn_dataset!D75))</f>
        <v>40.66</v>
      </c>
      <c r="E75" s="7" t="n">
        <f aca="false">IF(ISBLANK(customer_churn_dataset!E75),0,MAX(0,customer_churn_dataset!E75))</f>
        <v>15</v>
      </c>
      <c r="F75" s="8" t="n">
        <f aca="false">IF(ISBLANK(customer_churn_dataset!F75),"",customer_churn_dataset!F75)</f>
        <v>43929</v>
      </c>
      <c r="G75" s="7" t="str">
        <f aca="false">PROPER(TRIM(customer_churn_dataset!G75))</f>
        <v>Credit Card</v>
      </c>
      <c r="H75" s="7" t="n">
        <f aca="false">IF(ISBLANK(customer_churn_dataset!H75),0,customer_churn_dataset!H75)</f>
        <v>0</v>
      </c>
      <c r="I75" s="7" t="n">
        <f aca="false">IF(ISBLANK(customer_churn_dataset!I75),ROUND(MEDIAN(customer_churn_dataset!I$2:I$1501),1),MIN(100,MAX(0,customer_churn_dataset!I75)))</f>
        <v>48.3</v>
      </c>
      <c r="J75" s="7" t="n">
        <f aca="false">IF(ISBLANK(customer_churn_dataset!J75),0,MAX(0,customer_churn_dataset!J75))</f>
        <v>13</v>
      </c>
      <c r="K75" s="7" t="n">
        <f aca="false">IF(ISBLANK(customer_churn_dataset!K75),0,MIN(10,MAX(0,customer_churn_dataset!K75)))</f>
        <v>7</v>
      </c>
      <c r="L75" s="7" t="n">
        <f aca="false">IF(ISBLANK(customer_churn_dataset!L75),0,MAX(0,customer_churn_dataset!L75))</f>
        <v>3</v>
      </c>
      <c r="M75" s="7" t="n">
        <f aca="false">IF(ISBLANK(customer_churn_dataset!M75),0,customer_churn_dataset!M75)</f>
        <v>0</v>
      </c>
      <c r="N75" s="7" t="n">
        <f aca="false">IF(ISBLANK(customer_churn_dataset!N75),0,MAX(0,customer_churn_dataset!N75))</f>
        <v>609.9</v>
      </c>
      <c r="O75" s="7" t="n">
        <f aca="false">IF(ISBLANK(customer_churn_dataset!O75),0,customer_churn_dataset!O75)</f>
        <v>0</v>
      </c>
      <c r="P75" s="7" t="str">
        <f aca="false">IF(COUNTIF(customer_churn_dataset!$A$2:$A$1501,customer_churn_dataset!A75)&gt;1,"Duplicate","Unique")</f>
        <v>Unique</v>
      </c>
    </row>
    <row r="76" customFormat="false" ht="14.15" hidden="false" customHeight="true" outlineLevel="0" collapsed="false">
      <c r="A76" s="7" t="str">
        <f aca="false">TRIM(customer_churn_dataset!A76)</f>
        <v>CUST101168</v>
      </c>
      <c r="B76" s="7" t="str">
        <f aca="false">PROPER(TRIM(customer_churn_dataset!B76))</f>
        <v>Basic</v>
      </c>
      <c r="C76" s="7" t="str">
        <f aca="false">PROPER(TRIM(customer_churn_dataset!C76))</f>
        <v>One Year</v>
      </c>
      <c r="D76" s="7" t="n">
        <f aca="false">IF(ISBLANK(customer_churn_dataset!D76),ROUND(MEDIAN(customer_churn_dataset!D$2:D$1501),2),IF(customer_churn_dataset!D76&lt;0,ABS(customer_churn_dataset!D76),customer_churn_dataset!D76))</f>
        <v>10.69</v>
      </c>
      <c r="E76" s="7" t="n">
        <f aca="false">IF(ISBLANK(customer_churn_dataset!E76),0,MAX(0,customer_churn_dataset!E76))</f>
        <v>22</v>
      </c>
      <c r="F76" s="8" t="n">
        <f aca="false">IF(ISBLANK(customer_churn_dataset!F76),"",customer_churn_dataset!F76)</f>
        <v>43930</v>
      </c>
      <c r="G76" s="7" t="str">
        <f aca="false">PROPER(TRIM(customer_churn_dataset!G76))</f>
        <v>Bank Transfer</v>
      </c>
      <c r="H76" s="7" t="n">
        <f aca="false">IF(ISBLANK(customer_churn_dataset!H76),0,customer_churn_dataset!H76)</f>
        <v>1</v>
      </c>
      <c r="I76" s="7" t="n">
        <f aca="false">IF(ISBLANK(customer_churn_dataset!I76),ROUND(MEDIAN(customer_churn_dataset!I$2:I$1501),1),MIN(100,MAX(0,customer_churn_dataset!I76)))</f>
        <v>29.3</v>
      </c>
      <c r="J76" s="7" t="n">
        <f aca="false">IF(ISBLANK(customer_churn_dataset!J76),0,MAX(0,customer_churn_dataset!J76))</f>
        <v>9</v>
      </c>
      <c r="K76" s="7" t="n">
        <f aca="false">IF(ISBLANK(customer_churn_dataset!K76),0,MIN(10,MAX(0,customer_churn_dataset!K76)))</f>
        <v>1</v>
      </c>
      <c r="L76" s="7" t="n">
        <f aca="false">IF(ISBLANK(customer_churn_dataset!L76),0,MAX(0,customer_churn_dataset!L76))</f>
        <v>3</v>
      </c>
      <c r="M76" s="7" t="n">
        <f aca="false">IF(ISBLANK(customer_churn_dataset!M76),0,customer_churn_dataset!M76)</f>
        <v>0</v>
      </c>
      <c r="N76" s="7" t="n">
        <f aca="false">IF(ISBLANK(customer_churn_dataset!N76),0,MAX(0,customer_churn_dataset!N76))</f>
        <v>235.18</v>
      </c>
      <c r="O76" s="7" t="n">
        <f aca="false">IF(ISBLANK(customer_churn_dataset!O76),0,customer_churn_dataset!O76)</f>
        <v>0</v>
      </c>
      <c r="P76" s="7" t="str">
        <f aca="false">IF(COUNTIF(customer_churn_dataset!$A$2:$A$1501,customer_churn_dataset!A76)&gt;1,"Duplicate","Unique")</f>
        <v>Unique</v>
      </c>
    </row>
    <row r="77" customFormat="false" ht="14.15" hidden="false" customHeight="true" outlineLevel="0" collapsed="false">
      <c r="A77" s="7" t="str">
        <f aca="false">TRIM(customer_churn_dataset!A77)</f>
        <v>CUST100231</v>
      </c>
      <c r="B77" s="7" t="str">
        <f aca="false">PROPER(TRIM(customer_churn_dataset!B77))</f>
        <v>Standard</v>
      </c>
      <c r="C77" s="7" t="str">
        <f aca="false">PROPER(TRIM(customer_churn_dataset!C77))</f>
        <v>One Year</v>
      </c>
      <c r="D77" s="7" t="n">
        <f aca="false">IF(ISBLANK(customer_churn_dataset!D77),ROUND(MEDIAN(customer_churn_dataset!D$2:D$1501),2),IF(customer_churn_dataset!D77&lt;0,ABS(customer_churn_dataset!D77),customer_churn_dataset!D77))</f>
        <v>19.31</v>
      </c>
      <c r="E77" s="7" t="n">
        <f aca="false">IF(ISBLANK(customer_churn_dataset!E77),0,MAX(0,customer_churn_dataset!E77))</f>
        <v>6</v>
      </c>
      <c r="F77" s="8" t="n">
        <f aca="false">IF(ISBLANK(customer_churn_dataset!F77),"",customer_churn_dataset!F77)</f>
        <v>43930</v>
      </c>
      <c r="G77" s="7" t="str">
        <f aca="false">PROPER(TRIM(customer_churn_dataset!G77))</f>
        <v>Credit Card</v>
      </c>
      <c r="H77" s="7" t="n">
        <f aca="false">IF(ISBLANK(customer_churn_dataset!H77),0,customer_churn_dataset!H77)</f>
        <v>1</v>
      </c>
      <c r="I77" s="7" t="n">
        <f aca="false">IF(ISBLANK(customer_churn_dataset!I77),ROUND(MEDIAN(customer_churn_dataset!I$2:I$1501),1),MIN(100,MAX(0,customer_churn_dataset!I77)))</f>
        <v>2.6</v>
      </c>
      <c r="J77" s="7" t="n">
        <f aca="false">IF(ISBLANK(customer_churn_dataset!J77),0,MAX(0,customer_churn_dataset!J77))</f>
        <v>6</v>
      </c>
      <c r="K77" s="7" t="n">
        <f aca="false">IF(ISBLANK(customer_churn_dataset!K77),0,MIN(10,MAX(0,customer_churn_dataset!K77)))</f>
        <v>0</v>
      </c>
      <c r="L77" s="7" t="n">
        <f aca="false">IF(ISBLANK(customer_churn_dataset!L77),0,MAX(0,customer_churn_dataset!L77))</f>
        <v>2</v>
      </c>
      <c r="M77" s="7" t="n">
        <f aca="false">IF(ISBLANK(customer_churn_dataset!M77),0,customer_churn_dataset!M77)</f>
        <v>0</v>
      </c>
      <c r="N77" s="7" t="n">
        <f aca="false">IF(ISBLANK(customer_churn_dataset!N77),0,MAX(0,customer_churn_dataset!N77))</f>
        <v>115.86</v>
      </c>
      <c r="O77" s="7" t="n">
        <f aca="false">IF(ISBLANK(customer_churn_dataset!O77),0,customer_churn_dataset!O77)</f>
        <v>0</v>
      </c>
      <c r="P77" s="7" t="str">
        <f aca="false">IF(COUNTIF(customer_churn_dataset!$A$2:$A$1501,customer_churn_dataset!A77)&gt;1,"Duplicate","Unique")</f>
        <v>Unique</v>
      </c>
    </row>
    <row r="78" customFormat="false" ht="14.15" hidden="false" customHeight="true" outlineLevel="0" collapsed="false">
      <c r="A78" s="7" t="str">
        <f aca="false">TRIM(customer_churn_dataset!A78)</f>
        <v>CUST100468</v>
      </c>
      <c r="B78" s="7" t="str">
        <f aca="false">PROPER(TRIM(customer_churn_dataset!B78))</f>
        <v>Basic</v>
      </c>
      <c r="C78" s="7" t="str">
        <f aca="false">PROPER(TRIM(customer_churn_dataset!C78))</f>
        <v>Month-To-Month</v>
      </c>
      <c r="D78" s="7" t="n">
        <f aca="false">IF(ISBLANK(customer_churn_dataset!D78),ROUND(MEDIAN(customer_churn_dataset!D$2:D$1501),2),IF(customer_churn_dataset!D78&lt;0,ABS(customer_churn_dataset!D78),customer_churn_dataset!D78))</f>
        <v>10.06</v>
      </c>
      <c r="E78" s="7" t="n">
        <f aca="false">IF(ISBLANK(customer_churn_dataset!E78),0,MAX(0,customer_churn_dataset!E78))</f>
        <v>72</v>
      </c>
      <c r="F78" s="8" t="n">
        <f aca="false">IF(ISBLANK(customer_churn_dataset!F78),"",customer_churn_dataset!F78)</f>
        <v>43931</v>
      </c>
      <c r="G78" s="7" t="str">
        <f aca="false">PROPER(TRIM(customer_churn_dataset!G78))</f>
        <v>Manual/Invoice</v>
      </c>
      <c r="H78" s="7" t="n">
        <f aca="false">IF(ISBLANK(customer_churn_dataset!H78),0,customer_churn_dataset!H78)</f>
        <v>1</v>
      </c>
      <c r="I78" s="7" t="n">
        <f aca="false">IF(ISBLANK(customer_churn_dataset!I78),ROUND(MEDIAN(customer_churn_dataset!I$2:I$1501),1),MIN(100,MAX(0,customer_churn_dataset!I78)))</f>
        <v>62.7</v>
      </c>
      <c r="J78" s="7" t="n">
        <f aca="false">IF(ISBLANK(customer_churn_dataset!J78),0,MAX(0,customer_churn_dataset!J78))</f>
        <v>16</v>
      </c>
      <c r="K78" s="7" t="n">
        <f aca="false">IF(ISBLANK(customer_churn_dataset!K78),0,MIN(10,MAX(0,customer_churn_dataset!K78)))</f>
        <v>5</v>
      </c>
      <c r="L78" s="7" t="n">
        <f aca="false">IF(ISBLANK(customer_churn_dataset!L78),0,MAX(0,customer_churn_dataset!L78))</f>
        <v>2</v>
      </c>
      <c r="M78" s="7" t="n">
        <f aca="false">IF(ISBLANK(customer_churn_dataset!M78),0,customer_churn_dataset!M78)</f>
        <v>0</v>
      </c>
      <c r="N78" s="7" t="n">
        <f aca="false">IF(ISBLANK(customer_churn_dataset!N78),0,MAX(0,customer_churn_dataset!N78))</f>
        <v>724.32</v>
      </c>
      <c r="O78" s="7" t="n">
        <f aca="false">IF(ISBLANK(customer_churn_dataset!O78),0,customer_churn_dataset!O78)</f>
        <v>0</v>
      </c>
      <c r="P78" s="7" t="str">
        <f aca="false">IF(COUNTIF(customer_churn_dataset!$A$2:$A$1501,customer_churn_dataset!A78)&gt;1,"Duplicate","Unique")</f>
        <v>Unique</v>
      </c>
    </row>
    <row r="79" customFormat="false" ht="14.15" hidden="false" customHeight="true" outlineLevel="0" collapsed="false">
      <c r="A79" s="7" t="str">
        <f aca="false">TRIM(customer_churn_dataset!A79)</f>
        <v>CUST101202</v>
      </c>
      <c r="B79" s="7" t="str">
        <f aca="false">PROPER(TRIM(customer_churn_dataset!B79))</f>
        <v>Basic</v>
      </c>
      <c r="C79" s="7" t="str">
        <f aca="false">PROPER(TRIM(customer_churn_dataset!C79))</f>
        <v>Month-To-Month</v>
      </c>
      <c r="D79" s="7" t="n">
        <f aca="false">IF(ISBLANK(customer_churn_dataset!D79),ROUND(MEDIAN(customer_churn_dataset!D$2:D$1501),2),IF(customer_churn_dataset!D79&lt;0,ABS(customer_churn_dataset!D79),customer_churn_dataset!D79))</f>
        <v>8.47</v>
      </c>
      <c r="E79" s="7" t="n">
        <f aca="false">IF(ISBLANK(customer_churn_dataset!E79),0,MAX(0,customer_churn_dataset!E79))</f>
        <v>2</v>
      </c>
      <c r="F79" s="8" t="n">
        <f aca="false">IF(ISBLANK(customer_churn_dataset!F79),"",customer_churn_dataset!F79)</f>
        <v>43934</v>
      </c>
      <c r="G79" s="7" t="str">
        <f aca="false">PROPER(TRIM(customer_churn_dataset!G79))</f>
        <v>Bank Transfer</v>
      </c>
      <c r="H79" s="7" t="n">
        <f aca="false">IF(ISBLANK(customer_churn_dataset!H79),0,customer_churn_dataset!H79)</f>
        <v>0</v>
      </c>
      <c r="I79" s="7" t="n">
        <f aca="false">IF(ISBLANK(customer_churn_dataset!I79),ROUND(MEDIAN(customer_churn_dataset!I$2:I$1501),1),MIN(100,MAX(0,customer_churn_dataset!I79)))</f>
        <v>52.8</v>
      </c>
      <c r="J79" s="7" t="n">
        <f aca="false">IF(ISBLANK(customer_churn_dataset!J79),0,MAX(0,customer_churn_dataset!J79))</f>
        <v>12</v>
      </c>
      <c r="K79" s="7" t="n">
        <f aca="false">IF(ISBLANK(customer_churn_dataset!K79),0,MIN(10,MAX(0,customer_churn_dataset!K79)))</f>
        <v>7</v>
      </c>
      <c r="L79" s="7" t="n">
        <f aca="false">IF(ISBLANK(customer_churn_dataset!L79),0,MAX(0,customer_churn_dataset!L79))</f>
        <v>0</v>
      </c>
      <c r="M79" s="7" t="n">
        <f aca="false">IF(ISBLANK(customer_churn_dataset!M79),0,customer_churn_dataset!M79)</f>
        <v>0</v>
      </c>
      <c r="N79" s="7" t="n">
        <f aca="false">IF(ISBLANK(customer_churn_dataset!N79),0,MAX(0,customer_churn_dataset!N79))</f>
        <v>16.94</v>
      </c>
      <c r="O79" s="7" t="n">
        <f aca="false">IF(ISBLANK(customer_churn_dataset!O79),0,customer_churn_dataset!O79)</f>
        <v>0</v>
      </c>
      <c r="P79" s="7" t="str">
        <f aca="false">IF(COUNTIF(customer_churn_dataset!$A$2:$A$1501,customer_churn_dataset!A79)&gt;1,"Duplicate","Unique")</f>
        <v>Unique</v>
      </c>
    </row>
    <row r="80" customFormat="false" ht="14.15" hidden="false" customHeight="true" outlineLevel="0" collapsed="false">
      <c r="A80" s="7" t="str">
        <f aca="false">TRIM(customer_churn_dataset!A80)</f>
        <v>CUST101024</v>
      </c>
      <c r="B80" s="7" t="str">
        <f aca="false">PROPER(TRIM(customer_churn_dataset!B80))</f>
        <v>Premium</v>
      </c>
      <c r="C80" s="7" t="str">
        <f aca="false">PROPER(TRIM(customer_churn_dataset!C80))</f>
        <v>Month-To-Month</v>
      </c>
      <c r="D80" s="7" t="n">
        <f aca="false">IF(ISBLANK(customer_churn_dataset!D80),ROUND(MEDIAN(customer_churn_dataset!D$2:D$1501),2),IF(customer_churn_dataset!D80&lt;0,ABS(customer_churn_dataset!D80),customer_churn_dataset!D80))</f>
        <v>37.78</v>
      </c>
      <c r="E80" s="7" t="n">
        <f aca="false">IF(ISBLANK(customer_churn_dataset!E80),0,MAX(0,customer_churn_dataset!E80))</f>
        <v>27</v>
      </c>
      <c r="F80" s="8" t="n">
        <f aca="false">IF(ISBLANK(customer_churn_dataset!F80),"",customer_churn_dataset!F80)</f>
        <v>43935</v>
      </c>
      <c r="G80" s="7" t="str">
        <f aca="false">PROPER(TRIM(customer_churn_dataset!G80))</f>
        <v>Paypal</v>
      </c>
      <c r="H80" s="7" t="n">
        <f aca="false">IF(ISBLANK(customer_churn_dataset!H80),0,customer_churn_dataset!H80)</f>
        <v>1</v>
      </c>
      <c r="I80" s="7" t="n">
        <f aca="false">IF(ISBLANK(customer_churn_dataset!I80),ROUND(MEDIAN(customer_churn_dataset!I$2:I$1501),1),MIN(100,MAX(0,customer_churn_dataset!I80)))</f>
        <v>54.8</v>
      </c>
      <c r="J80" s="7" t="n">
        <f aca="false">IF(ISBLANK(customer_churn_dataset!J80),0,MAX(0,customer_churn_dataset!J80))</f>
        <v>16</v>
      </c>
      <c r="K80" s="7" t="n">
        <f aca="false">IF(ISBLANK(customer_churn_dataset!K80),0,MIN(10,MAX(0,customer_churn_dataset!K80)))</f>
        <v>7</v>
      </c>
      <c r="L80" s="7" t="n">
        <f aca="false">IF(ISBLANK(customer_churn_dataset!L80),0,MAX(0,customer_churn_dataset!L80))</f>
        <v>3</v>
      </c>
      <c r="M80" s="7" t="n">
        <f aca="false">IF(ISBLANK(customer_churn_dataset!M80),0,customer_churn_dataset!M80)</f>
        <v>1</v>
      </c>
      <c r="N80" s="7" t="n">
        <f aca="false">IF(ISBLANK(customer_churn_dataset!N80),0,MAX(0,customer_churn_dataset!N80))</f>
        <v>1020.06</v>
      </c>
      <c r="O80" s="7" t="n">
        <f aca="false">IF(ISBLANK(customer_churn_dataset!O80),0,customer_churn_dataset!O80)</f>
        <v>1</v>
      </c>
      <c r="P80" s="7" t="str">
        <f aca="false">IF(COUNTIF(customer_churn_dataset!$A$2:$A$1501,customer_churn_dataset!A80)&gt;1,"Duplicate","Unique")</f>
        <v>Unique</v>
      </c>
    </row>
    <row r="81" customFormat="false" ht="14.15" hidden="false" customHeight="true" outlineLevel="0" collapsed="false">
      <c r="A81" s="7" t="str">
        <f aca="false">TRIM(customer_churn_dataset!A81)</f>
        <v>CUST101311</v>
      </c>
      <c r="B81" s="7" t="str">
        <f aca="false">PROPER(TRIM(customer_churn_dataset!B81))</f>
        <v>Premium</v>
      </c>
      <c r="C81" s="7" t="str">
        <f aca="false">PROPER(TRIM(customer_churn_dataset!C81))</f>
        <v>Two Year</v>
      </c>
      <c r="D81" s="7" t="n">
        <f aca="false">IF(ISBLANK(customer_churn_dataset!D81),ROUND(MEDIAN(customer_churn_dataset!D$2:D$1501),2),IF(customer_churn_dataset!D81&lt;0,ABS(customer_churn_dataset!D81),customer_churn_dataset!D81))</f>
        <v>42.35</v>
      </c>
      <c r="E81" s="7" t="n">
        <f aca="false">IF(ISBLANK(customer_churn_dataset!E81),0,MAX(0,customer_churn_dataset!E81))</f>
        <v>4</v>
      </c>
      <c r="F81" s="8" t="n">
        <f aca="false">IF(ISBLANK(customer_churn_dataset!F81),"",customer_churn_dataset!F81)</f>
        <v>43936</v>
      </c>
      <c r="G81" s="7" t="str">
        <f aca="false">PROPER(TRIM(customer_churn_dataset!G81))</f>
        <v>Manual/Invoice</v>
      </c>
      <c r="H81" s="7" t="n">
        <f aca="false">IF(ISBLANK(customer_churn_dataset!H81),0,customer_churn_dataset!H81)</f>
        <v>1</v>
      </c>
      <c r="I81" s="7" t="n">
        <f aca="false">IF(ISBLANK(customer_churn_dataset!I81),ROUND(MEDIAN(customer_churn_dataset!I$2:I$1501),1),MIN(100,MAX(0,customer_churn_dataset!I81)))</f>
        <v>100</v>
      </c>
      <c r="J81" s="7" t="n">
        <f aca="false">IF(ISBLANK(customer_churn_dataset!J81),0,MAX(0,customer_churn_dataset!J81))</f>
        <v>25</v>
      </c>
      <c r="K81" s="7" t="n">
        <f aca="false">IF(ISBLANK(customer_churn_dataset!K81),0,MIN(10,MAX(0,customer_churn_dataset!K81)))</f>
        <v>10</v>
      </c>
      <c r="L81" s="7" t="n">
        <f aca="false">IF(ISBLANK(customer_churn_dataset!L81),0,MAX(0,customer_churn_dataset!L81))</f>
        <v>3</v>
      </c>
      <c r="M81" s="7" t="n">
        <f aca="false">IF(ISBLANK(customer_churn_dataset!M81),0,customer_churn_dataset!M81)</f>
        <v>1</v>
      </c>
      <c r="N81" s="7" t="n">
        <f aca="false">IF(ISBLANK(customer_churn_dataset!N81),0,MAX(0,customer_churn_dataset!N81))</f>
        <v>169.4</v>
      </c>
      <c r="O81" s="7" t="n">
        <f aca="false">IF(ISBLANK(customer_churn_dataset!O81),0,customer_churn_dataset!O81)</f>
        <v>1</v>
      </c>
      <c r="P81" s="7" t="str">
        <f aca="false">IF(COUNTIF(customer_churn_dataset!$A$2:$A$1501,customer_churn_dataset!A81)&gt;1,"Duplicate","Unique")</f>
        <v>Unique</v>
      </c>
    </row>
    <row r="82" customFormat="false" ht="14.15" hidden="false" customHeight="true" outlineLevel="0" collapsed="false">
      <c r="A82" s="7" t="str">
        <f aca="false">TRIM(customer_churn_dataset!A82)</f>
        <v>CUST101211</v>
      </c>
      <c r="B82" s="7" t="str">
        <f aca="false">PROPER(TRIM(customer_churn_dataset!B82))</f>
        <v>Standard</v>
      </c>
      <c r="C82" s="7" t="str">
        <f aca="false">PROPER(TRIM(customer_churn_dataset!C82))</f>
        <v>Month-To-Month</v>
      </c>
      <c r="D82" s="7" t="n">
        <f aca="false">IF(ISBLANK(customer_churn_dataset!D82),ROUND(MEDIAN(customer_churn_dataset!D$2:D$1501),2),IF(customer_churn_dataset!D82&lt;0,ABS(customer_churn_dataset!D82),customer_churn_dataset!D82))</f>
        <v>19.44</v>
      </c>
      <c r="E82" s="7" t="n">
        <f aca="false">IF(ISBLANK(customer_churn_dataset!E82),0,MAX(0,customer_churn_dataset!E82))</f>
        <v>17</v>
      </c>
      <c r="F82" s="8" t="n">
        <f aca="false">IF(ISBLANK(customer_churn_dataset!F82),"",customer_churn_dataset!F82)</f>
        <v>43939</v>
      </c>
      <c r="G82" s="7" t="str">
        <f aca="false">PROPER(TRIM(customer_churn_dataset!G82))</f>
        <v>Bank Transfer</v>
      </c>
      <c r="H82" s="7" t="n">
        <f aca="false">IF(ISBLANK(customer_churn_dataset!H82),0,customer_churn_dataset!H82)</f>
        <v>0</v>
      </c>
      <c r="I82" s="7" t="n">
        <f aca="false">IF(ISBLANK(customer_churn_dataset!I82),ROUND(MEDIAN(customer_churn_dataset!I$2:I$1501),1),MIN(100,MAX(0,customer_churn_dataset!I82)))</f>
        <v>56.9</v>
      </c>
      <c r="J82" s="7" t="n">
        <f aca="false">IF(ISBLANK(customer_churn_dataset!J82),0,MAX(0,customer_churn_dataset!J82))</f>
        <v>14</v>
      </c>
      <c r="K82" s="7" t="n">
        <f aca="false">IF(ISBLANK(customer_churn_dataset!K82),0,MIN(10,MAX(0,customer_churn_dataset!K82)))</f>
        <v>6</v>
      </c>
      <c r="L82" s="7" t="n">
        <f aca="false">IF(ISBLANK(customer_churn_dataset!L82),0,MAX(0,customer_churn_dataset!L82))</f>
        <v>2</v>
      </c>
      <c r="M82" s="7" t="n">
        <f aca="false">IF(ISBLANK(customer_churn_dataset!M82),0,customer_churn_dataset!M82)</f>
        <v>0</v>
      </c>
      <c r="N82" s="7" t="n">
        <f aca="false">IF(ISBLANK(customer_churn_dataset!N82),0,MAX(0,customer_churn_dataset!N82))</f>
        <v>330.48</v>
      </c>
      <c r="O82" s="7" t="n">
        <f aca="false">IF(ISBLANK(customer_churn_dataset!O82),0,customer_churn_dataset!O82)</f>
        <v>1</v>
      </c>
      <c r="P82" s="7" t="str">
        <f aca="false">IF(COUNTIF(customer_churn_dataset!$A$2:$A$1501,customer_churn_dataset!A82)&gt;1,"Duplicate","Unique")</f>
        <v>Unique</v>
      </c>
    </row>
    <row r="83" customFormat="false" ht="14.15" hidden="false" customHeight="true" outlineLevel="0" collapsed="false">
      <c r="A83" s="7" t="str">
        <f aca="false">TRIM(customer_churn_dataset!A83)</f>
        <v>CUST101243</v>
      </c>
      <c r="B83" s="7" t="str">
        <f aca="false">PROPER(TRIM(customer_churn_dataset!B83))</f>
        <v>Premium</v>
      </c>
      <c r="C83" s="7" t="str">
        <f aca="false">PROPER(TRIM(customer_churn_dataset!C83))</f>
        <v>Month-To-Month</v>
      </c>
      <c r="D83" s="7" t="n">
        <f aca="false">IF(ISBLANK(customer_churn_dataset!D83),ROUND(MEDIAN(customer_churn_dataset!D$2:D$1501),2),IF(customer_churn_dataset!D83&lt;0,ABS(customer_churn_dataset!D83),customer_churn_dataset!D83))</f>
        <v>39.72</v>
      </c>
      <c r="E83" s="7" t="n">
        <f aca="false">IF(ISBLANK(customer_churn_dataset!E83),0,MAX(0,customer_churn_dataset!E83))</f>
        <v>63</v>
      </c>
      <c r="F83" s="8" t="n">
        <f aca="false">IF(ISBLANK(customer_churn_dataset!F83),"",customer_churn_dataset!F83)</f>
        <v>43940</v>
      </c>
      <c r="G83" s="7" t="str">
        <f aca="false">PROPER(TRIM(customer_churn_dataset!G83))</f>
        <v>Credit Card</v>
      </c>
      <c r="H83" s="7" t="n">
        <f aca="false">IF(ISBLANK(customer_churn_dataset!H83),0,customer_churn_dataset!H83)</f>
        <v>1</v>
      </c>
      <c r="I83" s="7" t="n">
        <f aca="false">IF(ISBLANK(customer_churn_dataset!I83),ROUND(MEDIAN(customer_churn_dataset!I$2:I$1501),1),MIN(100,MAX(0,customer_churn_dataset!I83)))</f>
        <v>70.8</v>
      </c>
      <c r="J83" s="7" t="n">
        <f aca="false">IF(ISBLANK(customer_churn_dataset!J83),0,MAX(0,customer_churn_dataset!J83))</f>
        <v>23</v>
      </c>
      <c r="K83" s="7" t="n">
        <f aca="false">IF(ISBLANK(customer_churn_dataset!K83),0,MIN(10,MAX(0,customer_churn_dataset!K83)))</f>
        <v>6</v>
      </c>
      <c r="L83" s="7" t="n">
        <f aca="false">IF(ISBLANK(customer_churn_dataset!L83),0,MAX(0,customer_churn_dataset!L83))</f>
        <v>0</v>
      </c>
      <c r="M83" s="7" t="n">
        <f aca="false">IF(ISBLANK(customer_churn_dataset!M83),0,customer_churn_dataset!M83)</f>
        <v>0</v>
      </c>
      <c r="N83" s="7" t="n">
        <f aca="false">IF(ISBLANK(customer_churn_dataset!N83),0,MAX(0,customer_churn_dataset!N83))</f>
        <v>2502.36</v>
      </c>
      <c r="O83" s="7" t="n">
        <f aca="false">IF(ISBLANK(customer_churn_dataset!O83),0,customer_churn_dataset!O83)</f>
        <v>0</v>
      </c>
      <c r="P83" s="7" t="str">
        <f aca="false">IF(COUNTIF(customer_churn_dataset!$A$2:$A$1501,customer_churn_dataset!A83)&gt;1,"Duplicate","Unique")</f>
        <v>Unique</v>
      </c>
    </row>
    <row r="84" customFormat="false" ht="14.15" hidden="false" customHeight="true" outlineLevel="0" collapsed="false">
      <c r="A84" s="7" t="str">
        <f aca="false">TRIM(customer_churn_dataset!A84)</f>
        <v>CUST100395</v>
      </c>
      <c r="B84" s="7" t="str">
        <f aca="false">PROPER(TRIM(customer_churn_dataset!B84))</f>
        <v>Premium</v>
      </c>
      <c r="C84" s="7" t="str">
        <f aca="false">PROPER(TRIM(customer_churn_dataset!C84))</f>
        <v>One Year</v>
      </c>
      <c r="D84" s="7" t="n">
        <f aca="false">IF(ISBLANK(customer_churn_dataset!D84),ROUND(MEDIAN(customer_churn_dataset!D$2:D$1501),2),IF(customer_churn_dataset!D84&lt;0,ABS(customer_churn_dataset!D84),customer_churn_dataset!D84))</f>
        <v>40.36</v>
      </c>
      <c r="E84" s="7" t="n">
        <f aca="false">IF(ISBLANK(customer_churn_dataset!E84),0,MAX(0,customer_churn_dataset!E84))</f>
        <v>38</v>
      </c>
      <c r="F84" s="8" t="n">
        <f aca="false">IF(ISBLANK(customer_churn_dataset!F84),"",customer_churn_dataset!F84)</f>
        <v>43940</v>
      </c>
      <c r="G84" s="7" t="str">
        <f aca="false">PROPER(TRIM(customer_churn_dataset!G84))</f>
        <v>Credit Card</v>
      </c>
      <c r="H84" s="7" t="n">
        <f aca="false">IF(ISBLANK(customer_churn_dataset!H84),0,customer_churn_dataset!H84)</f>
        <v>1</v>
      </c>
      <c r="I84" s="7" t="n">
        <f aca="false">IF(ISBLANK(customer_churn_dataset!I84),ROUND(MEDIAN(customer_churn_dataset!I$2:I$1501),1),MIN(100,MAX(0,customer_churn_dataset!I84)))</f>
        <v>81.6</v>
      </c>
      <c r="J84" s="7" t="n">
        <f aca="false">IF(ISBLANK(customer_churn_dataset!J84),0,MAX(0,customer_churn_dataset!J84))</f>
        <v>35</v>
      </c>
      <c r="K84" s="7" t="n">
        <f aca="false">IF(ISBLANK(customer_churn_dataset!K84),0,MIN(10,MAX(0,customer_churn_dataset!K84)))</f>
        <v>7</v>
      </c>
      <c r="L84" s="7" t="n">
        <f aca="false">IF(ISBLANK(customer_churn_dataset!L84),0,MAX(0,customer_churn_dataset!L84))</f>
        <v>1</v>
      </c>
      <c r="M84" s="7" t="n">
        <f aca="false">IF(ISBLANK(customer_churn_dataset!M84),0,customer_churn_dataset!M84)</f>
        <v>1</v>
      </c>
      <c r="N84" s="7" t="n">
        <f aca="false">IF(ISBLANK(customer_churn_dataset!N84),0,MAX(0,customer_churn_dataset!N84))</f>
        <v>1533.68</v>
      </c>
      <c r="O84" s="7" t="n">
        <f aca="false">IF(ISBLANK(customer_churn_dataset!O84),0,customer_churn_dataset!O84)</f>
        <v>0</v>
      </c>
      <c r="P84" s="7" t="str">
        <f aca="false">IF(COUNTIF(customer_churn_dataset!$A$2:$A$1501,customer_churn_dataset!A84)&gt;1,"Duplicate","Unique")</f>
        <v>Unique</v>
      </c>
    </row>
    <row r="85" customFormat="false" ht="14.15" hidden="false" customHeight="true" outlineLevel="0" collapsed="false">
      <c r="A85" s="7" t="str">
        <f aca="false">TRIM(customer_churn_dataset!A85)</f>
        <v>CUST100199</v>
      </c>
      <c r="B85" s="7" t="str">
        <f aca="false">PROPER(TRIM(customer_churn_dataset!B85))</f>
        <v>Standard</v>
      </c>
      <c r="C85" s="7" t="str">
        <f aca="false">PROPER(TRIM(customer_churn_dataset!C85))</f>
        <v>One Year</v>
      </c>
      <c r="D85" s="7" t="n">
        <f aca="false">IF(ISBLANK(customer_churn_dataset!D85),ROUND(MEDIAN(customer_churn_dataset!D$2:D$1501),2),IF(customer_churn_dataset!D85&lt;0,ABS(customer_churn_dataset!D85),customer_churn_dataset!D85))</f>
        <v>20.17</v>
      </c>
      <c r="E85" s="7" t="n">
        <f aca="false">IF(ISBLANK(customer_churn_dataset!E85),0,MAX(0,customer_churn_dataset!E85))</f>
        <v>0</v>
      </c>
      <c r="F85" s="8" t="n">
        <f aca="false">IF(ISBLANK(customer_churn_dataset!F85),"",customer_churn_dataset!F85)</f>
        <v>43942</v>
      </c>
      <c r="G85" s="7" t="str">
        <f aca="false">PROPER(TRIM(customer_churn_dataset!G85))</f>
        <v>Credit Card</v>
      </c>
      <c r="H85" s="7" t="n">
        <f aca="false">IF(ISBLANK(customer_churn_dataset!H85),0,customer_churn_dataset!H85)</f>
        <v>0</v>
      </c>
      <c r="I85" s="7" t="n">
        <f aca="false">IF(ISBLANK(customer_churn_dataset!I85),ROUND(MEDIAN(customer_churn_dataset!I$2:I$1501),1),MIN(100,MAX(0,customer_churn_dataset!I85)))</f>
        <v>26.3</v>
      </c>
      <c r="J85" s="7" t="n">
        <f aca="false">IF(ISBLANK(customer_churn_dataset!J85),0,MAX(0,customer_churn_dataset!J85))</f>
        <v>6</v>
      </c>
      <c r="K85" s="7" t="n">
        <f aca="false">IF(ISBLANK(customer_churn_dataset!K85),0,MIN(10,MAX(0,customer_churn_dataset!K85)))</f>
        <v>4</v>
      </c>
      <c r="L85" s="7" t="n">
        <f aca="false">IF(ISBLANK(customer_churn_dataset!L85),0,MAX(0,customer_churn_dataset!L85))</f>
        <v>4</v>
      </c>
      <c r="M85" s="7" t="n">
        <f aca="false">IF(ISBLANK(customer_churn_dataset!M85),0,customer_churn_dataset!M85)</f>
        <v>1</v>
      </c>
      <c r="N85" s="7" t="n">
        <f aca="false">IF(ISBLANK(customer_churn_dataset!N85),0,MAX(0,customer_churn_dataset!N85))</f>
        <v>0</v>
      </c>
      <c r="O85" s="7" t="n">
        <f aca="false">IF(ISBLANK(customer_churn_dataset!O85),0,customer_churn_dataset!O85)</f>
        <v>0</v>
      </c>
      <c r="P85" s="7" t="str">
        <f aca="false">IF(COUNTIF(customer_churn_dataset!$A$2:$A$1501,customer_churn_dataset!A85)&gt;1,"Duplicate","Unique")</f>
        <v>Unique</v>
      </c>
    </row>
    <row r="86" customFormat="false" ht="14.15" hidden="false" customHeight="true" outlineLevel="0" collapsed="false">
      <c r="A86" s="7" t="str">
        <f aca="false">TRIM(customer_churn_dataset!A86)</f>
        <v>CUST101007</v>
      </c>
      <c r="B86" s="7" t="str">
        <f aca="false">PROPER(TRIM(customer_churn_dataset!B86))</f>
        <v>Premium</v>
      </c>
      <c r="C86" s="7" t="str">
        <f aca="false">PROPER(TRIM(customer_churn_dataset!C86))</f>
        <v>Month-To-Month</v>
      </c>
      <c r="D86" s="7" t="n">
        <f aca="false">IF(ISBLANK(customer_churn_dataset!D86),ROUND(MEDIAN(customer_churn_dataset!D$2:D$1501),2),IF(customer_churn_dataset!D86&lt;0,ABS(customer_churn_dataset!D86),customer_churn_dataset!D86))</f>
        <v>38.73</v>
      </c>
      <c r="E86" s="7" t="n">
        <f aca="false">IF(ISBLANK(customer_churn_dataset!E86),0,MAX(0,customer_churn_dataset!E86))</f>
        <v>38</v>
      </c>
      <c r="F86" s="8" t="n">
        <f aca="false">IF(ISBLANK(customer_churn_dataset!F86),"",customer_churn_dataset!F86)</f>
        <v>43942</v>
      </c>
      <c r="G86" s="7" t="str">
        <f aca="false">PROPER(TRIM(customer_churn_dataset!G86))</f>
        <v>Paypal</v>
      </c>
      <c r="H86" s="7" t="n">
        <f aca="false">IF(ISBLANK(customer_churn_dataset!H86),0,customer_churn_dataset!H86)</f>
        <v>0</v>
      </c>
      <c r="I86" s="7" t="n">
        <f aca="false">IF(ISBLANK(customer_churn_dataset!I86),ROUND(MEDIAN(customer_churn_dataset!I$2:I$1501),1),MIN(100,MAX(0,customer_churn_dataset!I86)))</f>
        <v>84.8</v>
      </c>
      <c r="J86" s="7" t="n">
        <f aca="false">IF(ISBLANK(customer_churn_dataset!J86),0,MAX(0,customer_churn_dataset!J86))</f>
        <v>27</v>
      </c>
      <c r="K86" s="7" t="n">
        <f aca="false">IF(ISBLANK(customer_churn_dataset!K86),0,MIN(10,MAX(0,customer_churn_dataset!K86)))</f>
        <v>6</v>
      </c>
      <c r="L86" s="7" t="n">
        <f aca="false">IF(ISBLANK(customer_churn_dataset!L86),0,MAX(0,customer_churn_dataset!L86))</f>
        <v>1</v>
      </c>
      <c r="M86" s="7" t="n">
        <f aca="false">IF(ISBLANK(customer_churn_dataset!M86),0,customer_churn_dataset!M86)</f>
        <v>0</v>
      </c>
      <c r="N86" s="7" t="n">
        <f aca="false">IF(ISBLANK(customer_churn_dataset!N86),0,MAX(0,customer_churn_dataset!N86))</f>
        <v>1471.74</v>
      </c>
      <c r="O86" s="7" t="n">
        <f aca="false">IF(ISBLANK(customer_churn_dataset!O86),0,customer_churn_dataset!O86)</f>
        <v>0</v>
      </c>
      <c r="P86" s="7" t="str">
        <f aca="false">IF(COUNTIF(customer_churn_dataset!$A$2:$A$1501,customer_churn_dataset!A86)&gt;1,"Duplicate","Unique")</f>
        <v>Unique</v>
      </c>
    </row>
    <row r="87" customFormat="false" ht="14.15" hidden="false" customHeight="true" outlineLevel="0" collapsed="false">
      <c r="A87" s="7" t="str">
        <f aca="false">TRIM(customer_churn_dataset!A87)</f>
        <v>CUST101147</v>
      </c>
      <c r="B87" s="7" t="str">
        <f aca="false">PROPER(TRIM(customer_churn_dataset!B87))</f>
        <v>Standard</v>
      </c>
      <c r="C87" s="7" t="str">
        <f aca="false">PROPER(TRIM(customer_churn_dataset!C87))</f>
        <v>One Year</v>
      </c>
      <c r="D87" s="7" t="n">
        <f aca="false">IF(ISBLANK(customer_churn_dataset!D87),ROUND(MEDIAN(customer_churn_dataset!D$2:D$1501),2),IF(customer_churn_dataset!D87&lt;0,ABS(customer_churn_dataset!D87),customer_churn_dataset!D87))</f>
        <v>19.81</v>
      </c>
      <c r="E87" s="7" t="n">
        <f aca="false">IF(ISBLANK(customer_churn_dataset!E87),0,MAX(0,customer_churn_dataset!E87))</f>
        <v>15</v>
      </c>
      <c r="F87" s="8" t="n">
        <f aca="false">IF(ISBLANK(customer_churn_dataset!F87),"",customer_churn_dataset!F87)</f>
        <v>43943</v>
      </c>
      <c r="G87" s="7" t="str">
        <f aca="false">PROPER(TRIM(customer_churn_dataset!G87))</f>
        <v>Credit Card</v>
      </c>
      <c r="H87" s="7" t="n">
        <f aca="false">IF(ISBLANK(customer_churn_dataset!H87),0,customer_churn_dataset!H87)</f>
        <v>0</v>
      </c>
      <c r="I87" s="7" t="n">
        <f aca="false">IF(ISBLANK(customer_churn_dataset!I87),ROUND(MEDIAN(customer_churn_dataset!I$2:I$1501),1),MIN(100,MAX(0,customer_churn_dataset!I87)))</f>
        <v>29.2</v>
      </c>
      <c r="J87" s="7" t="n">
        <f aca="false">IF(ISBLANK(customer_churn_dataset!J87),0,MAX(0,customer_churn_dataset!J87))</f>
        <v>9</v>
      </c>
      <c r="K87" s="7" t="n">
        <f aca="false">IF(ISBLANK(customer_churn_dataset!K87),0,MIN(10,MAX(0,customer_churn_dataset!K87)))</f>
        <v>5</v>
      </c>
      <c r="L87" s="7" t="n">
        <f aca="false">IF(ISBLANK(customer_churn_dataset!L87),0,MAX(0,customer_churn_dataset!L87))</f>
        <v>0</v>
      </c>
      <c r="M87" s="7" t="n">
        <f aca="false">IF(ISBLANK(customer_churn_dataset!M87),0,customer_churn_dataset!M87)</f>
        <v>0</v>
      </c>
      <c r="N87" s="7" t="n">
        <f aca="false">IF(ISBLANK(customer_churn_dataset!N87),0,MAX(0,customer_churn_dataset!N87))</f>
        <v>297.15</v>
      </c>
      <c r="O87" s="7" t="n">
        <f aca="false">IF(ISBLANK(customer_churn_dataset!O87),0,customer_churn_dataset!O87)</f>
        <v>0</v>
      </c>
      <c r="P87" s="7" t="str">
        <f aca="false">IF(COUNTIF(customer_churn_dataset!$A$2:$A$1501,customer_churn_dataset!A87)&gt;1,"Duplicate","Unique")</f>
        <v>Unique</v>
      </c>
    </row>
    <row r="88" customFormat="false" ht="14.15" hidden="false" customHeight="true" outlineLevel="0" collapsed="false">
      <c r="A88" s="7" t="str">
        <f aca="false">TRIM(customer_churn_dataset!A88)</f>
        <v>CUST100822</v>
      </c>
      <c r="B88" s="7" t="str">
        <f aca="false">PROPER(TRIM(customer_churn_dataset!B88))</f>
        <v>Basic</v>
      </c>
      <c r="C88" s="7" t="str">
        <f aca="false">PROPER(TRIM(customer_churn_dataset!C88))</f>
        <v>One Year</v>
      </c>
      <c r="D88" s="7" t="n">
        <f aca="false">IF(ISBLANK(customer_churn_dataset!D88),ROUND(MEDIAN(customer_churn_dataset!D$2:D$1501),2),IF(customer_churn_dataset!D88&lt;0,ABS(customer_churn_dataset!D88),customer_churn_dataset!D88))</f>
        <v>9.36</v>
      </c>
      <c r="E88" s="7" t="n">
        <f aca="false">IF(ISBLANK(customer_churn_dataset!E88),0,MAX(0,customer_churn_dataset!E88))</f>
        <v>3</v>
      </c>
      <c r="F88" s="8" t="n">
        <f aca="false">IF(ISBLANK(customer_churn_dataset!F88),"",customer_churn_dataset!F88)</f>
        <v>43944</v>
      </c>
      <c r="G88" s="7" t="str">
        <f aca="false">PROPER(TRIM(customer_churn_dataset!G88))</f>
        <v>Paypal</v>
      </c>
      <c r="H88" s="7" t="n">
        <f aca="false">IF(ISBLANK(customer_churn_dataset!H88),0,customer_churn_dataset!H88)</f>
        <v>1</v>
      </c>
      <c r="I88" s="7" t="n">
        <f aca="false">IF(ISBLANK(customer_churn_dataset!I88),ROUND(MEDIAN(customer_churn_dataset!I$2:I$1501),1),MIN(100,MAX(0,customer_churn_dataset!I88)))</f>
        <v>43.9</v>
      </c>
      <c r="J88" s="7" t="n">
        <f aca="false">IF(ISBLANK(customer_churn_dataset!J88),0,MAX(0,customer_churn_dataset!J88))</f>
        <v>11</v>
      </c>
      <c r="K88" s="7" t="n">
        <f aca="false">IF(ISBLANK(customer_churn_dataset!K88),0,MIN(10,MAX(0,customer_churn_dataset!K88)))</f>
        <v>6</v>
      </c>
      <c r="L88" s="7" t="n">
        <f aca="false">IF(ISBLANK(customer_churn_dataset!L88),0,MAX(0,customer_churn_dataset!L88))</f>
        <v>1</v>
      </c>
      <c r="M88" s="7" t="n">
        <f aca="false">IF(ISBLANK(customer_churn_dataset!M88),0,customer_churn_dataset!M88)</f>
        <v>0</v>
      </c>
      <c r="N88" s="7" t="n">
        <f aca="false">IF(ISBLANK(customer_churn_dataset!N88),0,MAX(0,customer_churn_dataset!N88))</f>
        <v>28.08</v>
      </c>
      <c r="O88" s="7" t="n">
        <f aca="false">IF(ISBLANK(customer_churn_dataset!O88),0,customer_churn_dataset!O88)</f>
        <v>0</v>
      </c>
      <c r="P88" s="7" t="str">
        <f aca="false">IF(COUNTIF(customer_churn_dataset!$A$2:$A$1501,customer_churn_dataset!A88)&gt;1,"Duplicate","Unique")</f>
        <v>Unique</v>
      </c>
    </row>
    <row r="89" customFormat="false" ht="14.15" hidden="false" customHeight="true" outlineLevel="0" collapsed="false">
      <c r="A89" s="7" t="str">
        <f aca="false">TRIM(customer_churn_dataset!A89)</f>
        <v>CUST101071</v>
      </c>
      <c r="B89" s="7" t="str">
        <f aca="false">PROPER(TRIM(customer_churn_dataset!B89))</f>
        <v>Basic</v>
      </c>
      <c r="C89" s="7" t="str">
        <f aca="false">PROPER(TRIM(customer_churn_dataset!C89))</f>
        <v>One Year</v>
      </c>
      <c r="D89" s="7" t="n">
        <f aca="false">IF(ISBLANK(customer_churn_dataset!D89),ROUND(MEDIAN(customer_churn_dataset!D$2:D$1501),2),IF(customer_churn_dataset!D89&lt;0,ABS(customer_churn_dataset!D89),customer_churn_dataset!D89))</f>
        <v>10.78</v>
      </c>
      <c r="E89" s="7" t="n">
        <f aca="false">IF(ISBLANK(customer_churn_dataset!E89),0,MAX(0,customer_churn_dataset!E89))</f>
        <v>5</v>
      </c>
      <c r="F89" s="8" t="n">
        <f aca="false">IF(ISBLANK(customer_churn_dataset!F89),"",customer_churn_dataset!F89)</f>
        <v>43946</v>
      </c>
      <c r="G89" s="7" t="str">
        <f aca="false">PROPER(TRIM(customer_churn_dataset!G89))</f>
        <v>Credit Card</v>
      </c>
      <c r="H89" s="7" t="n">
        <f aca="false">IF(ISBLANK(customer_churn_dataset!H89),0,customer_churn_dataset!H89)</f>
        <v>0</v>
      </c>
      <c r="I89" s="7" t="n">
        <f aca="false">IF(ISBLANK(customer_churn_dataset!I89),ROUND(MEDIAN(customer_churn_dataset!I$2:I$1501),1),MIN(100,MAX(0,customer_churn_dataset!I89)))</f>
        <v>59.7</v>
      </c>
      <c r="J89" s="7" t="n">
        <f aca="false">IF(ISBLANK(customer_churn_dataset!J89),0,MAX(0,customer_churn_dataset!J89))</f>
        <v>24</v>
      </c>
      <c r="K89" s="7" t="n">
        <f aca="false">IF(ISBLANK(customer_churn_dataset!K89),0,MIN(10,MAX(0,customer_churn_dataset!K89)))</f>
        <v>5</v>
      </c>
      <c r="L89" s="7" t="n">
        <f aca="false">IF(ISBLANK(customer_churn_dataset!L89),0,MAX(0,customer_churn_dataset!L89))</f>
        <v>0</v>
      </c>
      <c r="M89" s="7" t="n">
        <f aca="false">IF(ISBLANK(customer_churn_dataset!M89),0,customer_churn_dataset!M89)</f>
        <v>0</v>
      </c>
      <c r="N89" s="7" t="n">
        <f aca="false">IF(ISBLANK(customer_churn_dataset!N89),0,MAX(0,customer_churn_dataset!N89))</f>
        <v>53.9</v>
      </c>
      <c r="O89" s="7" t="n">
        <f aca="false">IF(ISBLANK(customer_churn_dataset!O89),0,customer_churn_dataset!O89)</f>
        <v>0</v>
      </c>
      <c r="P89" s="7" t="str">
        <f aca="false">IF(COUNTIF(customer_churn_dataset!$A$2:$A$1501,customer_churn_dataset!A89)&gt;1,"Duplicate","Unique")</f>
        <v>Unique</v>
      </c>
    </row>
    <row r="90" customFormat="false" ht="14.15" hidden="false" customHeight="true" outlineLevel="0" collapsed="false">
      <c r="A90" s="7" t="str">
        <f aca="false">TRIM(customer_churn_dataset!A90)</f>
        <v>CUST100250</v>
      </c>
      <c r="B90" s="7" t="str">
        <f aca="false">PROPER(TRIM(customer_churn_dataset!B90))</f>
        <v>Basic</v>
      </c>
      <c r="C90" s="7" t="str">
        <f aca="false">PROPER(TRIM(customer_churn_dataset!C90))</f>
        <v>One Year</v>
      </c>
      <c r="D90" s="7" t="n">
        <f aca="false">IF(ISBLANK(customer_churn_dataset!D90),ROUND(MEDIAN(customer_churn_dataset!D$2:D$1501),2),IF(customer_churn_dataset!D90&lt;0,ABS(customer_churn_dataset!D90),customer_churn_dataset!D90))</f>
        <v>11.32</v>
      </c>
      <c r="E90" s="7" t="n">
        <f aca="false">IF(ISBLANK(customer_churn_dataset!E90),0,MAX(0,customer_churn_dataset!E90))</f>
        <v>13</v>
      </c>
      <c r="F90" s="8" t="n">
        <f aca="false">IF(ISBLANK(customer_churn_dataset!F90),"",customer_churn_dataset!F90)</f>
        <v>43947</v>
      </c>
      <c r="G90" s="7" t="str">
        <f aca="false">PROPER(TRIM(customer_churn_dataset!G90))</f>
        <v>Credit Card</v>
      </c>
      <c r="H90" s="7" t="n">
        <f aca="false">IF(ISBLANK(customer_churn_dataset!H90),0,customer_churn_dataset!H90)</f>
        <v>1</v>
      </c>
      <c r="I90" s="7" t="n">
        <f aca="false">IF(ISBLANK(customer_churn_dataset!I90),ROUND(MEDIAN(customer_churn_dataset!I$2:I$1501),1),MIN(100,MAX(0,customer_churn_dataset!I90)))</f>
        <v>49.5</v>
      </c>
      <c r="J90" s="7" t="n">
        <f aca="false">IF(ISBLANK(customer_churn_dataset!J90),0,MAX(0,customer_churn_dataset!J90))</f>
        <v>9</v>
      </c>
      <c r="K90" s="7" t="n">
        <f aca="false">IF(ISBLANK(customer_churn_dataset!K90),0,MIN(10,MAX(0,customer_churn_dataset!K90)))</f>
        <v>5</v>
      </c>
      <c r="L90" s="7" t="n">
        <f aca="false">IF(ISBLANK(customer_churn_dataset!L90),0,MAX(0,customer_churn_dataset!L90))</f>
        <v>0</v>
      </c>
      <c r="M90" s="7" t="n">
        <f aca="false">IF(ISBLANK(customer_churn_dataset!M90),0,customer_churn_dataset!M90)</f>
        <v>0</v>
      </c>
      <c r="N90" s="7" t="n">
        <f aca="false">IF(ISBLANK(customer_churn_dataset!N90),0,MAX(0,customer_churn_dataset!N90))</f>
        <v>147.16</v>
      </c>
      <c r="O90" s="7" t="n">
        <f aca="false">IF(ISBLANK(customer_churn_dataset!O90),0,customer_churn_dataset!O90)</f>
        <v>0</v>
      </c>
      <c r="P90" s="7" t="str">
        <f aca="false">IF(COUNTIF(customer_churn_dataset!$A$2:$A$1501,customer_churn_dataset!A90)&gt;1,"Duplicate","Unique")</f>
        <v>Unique</v>
      </c>
    </row>
    <row r="91" customFormat="false" ht="14.15" hidden="false" customHeight="true" outlineLevel="0" collapsed="false">
      <c r="A91" s="7" t="str">
        <f aca="false">TRIM(customer_churn_dataset!A91)</f>
        <v>CUST100234</v>
      </c>
      <c r="B91" s="7" t="str">
        <f aca="false">PROPER(TRIM(customer_churn_dataset!B91))</f>
        <v>Basic</v>
      </c>
      <c r="C91" s="7" t="str">
        <f aca="false">PROPER(TRIM(customer_churn_dataset!C91))</f>
        <v>Month-To-Month</v>
      </c>
      <c r="D91" s="7" t="n">
        <f aca="false">IF(ISBLANK(customer_churn_dataset!D91),ROUND(MEDIAN(customer_churn_dataset!D$2:D$1501),2),IF(customer_churn_dataset!D91&lt;0,ABS(customer_churn_dataset!D91),customer_churn_dataset!D91))</f>
        <v>9.62</v>
      </c>
      <c r="E91" s="7" t="n">
        <f aca="false">IF(ISBLANK(customer_churn_dataset!E91),0,MAX(0,customer_churn_dataset!E91))</f>
        <v>13</v>
      </c>
      <c r="F91" s="8" t="n">
        <f aca="false">IF(ISBLANK(customer_churn_dataset!F91),"",customer_churn_dataset!F91)</f>
        <v>43947</v>
      </c>
      <c r="G91" s="7" t="str">
        <f aca="false">PROPER(TRIM(customer_churn_dataset!G91))</f>
        <v>Paypal</v>
      </c>
      <c r="H91" s="7" t="n">
        <f aca="false">IF(ISBLANK(customer_churn_dataset!H91),0,customer_churn_dataset!H91)</f>
        <v>1</v>
      </c>
      <c r="I91" s="7" t="n">
        <f aca="false">IF(ISBLANK(customer_churn_dataset!I91),ROUND(MEDIAN(customer_churn_dataset!I$2:I$1501),1),MIN(100,MAX(0,customer_churn_dataset!I91)))</f>
        <v>57.7</v>
      </c>
      <c r="J91" s="7" t="n">
        <f aca="false">IF(ISBLANK(customer_churn_dataset!J91),0,MAX(0,customer_churn_dataset!J91))</f>
        <v>17</v>
      </c>
      <c r="K91" s="7" t="n">
        <f aca="false">IF(ISBLANK(customer_churn_dataset!K91),0,MIN(10,MAX(0,customer_churn_dataset!K91)))</f>
        <v>8</v>
      </c>
      <c r="L91" s="7" t="n">
        <f aca="false">IF(ISBLANK(customer_churn_dataset!L91),0,MAX(0,customer_churn_dataset!L91))</f>
        <v>0</v>
      </c>
      <c r="M91" s="7" t="n">
        <f aca="false">IF(ISBLANK(customer_churn_dataset!M91),0,customer_churn_dataset!M91)</f>
        <v>0</v>
      </c>
      <c r="N91" s="7" t="n">
        <f aca="false">IF(ISBLANK(customer_churn_dataset!N91),0,MAX(0,customer_churn_dataset!N91))</f>
        <v>125.06</v>
      </c>
      <c r="O91" s="7" t="n">
        <f aca="false">IF(ISBLANK(customer_churn_dataset!O91),0,customer_churn_dataset!O91)</f>
        <v>1</v>
      </c>
      <c r="P91" s="7" t="str">
        <f aca="false">IF(COUNTIF(customer_churn_dataset!$A$2:$A$1501,customer_churn_dataset!A91)&gt;1,"Duplicate","Unique")</f>
        <v>Unique</v>
      </c>
    </row>
    <row r="92" customFormat="false" ht="14.15" hidden="false" customHeight="true" outlineLevel="0" collapsed="false">
      <c r="A92" s="7" t="str">
        <f aca="false">TRIM(customer_churn_dataset!A92)</f>
        <v>CUST100524</v>
      </c>
      <c r="B92" s="7" t="str">
        <f aca="false">PROPER(TRIM(customer_churn_dataset!B92))</f>
        <v>Premium</v>
      </c>
      <c r="C92" s="7" t="str">
        <f aca="false">PROPER(TRIM(customer_churn_dataset!C92))</f>
        <v>One Year</v>
      </c>
      <c r="D92" s="7" t="n">
        <f aca="false">IF(ISBLANK(customer_churn_dataset!D92),ROUND(MEDIAN(customer_churn_dataset!D$2:D$1501),2),IF(customer_churn_dataset!D92&lt;0,ABS(customer_churn_dataset!D92),customer_churn_dataset!D92))</f>
        <v>38.81</v>
      </c>
      <c r="E92" s="7" t="n">
        <f aca="false">IF(ISBLANK(customer_churn_dataset!E92),0,MAX(0,customer_churn_dataset!E92))</f>
        <v>3</v>
      </c>
      <c r="F92" s="8" t="n">
        <f aca="false">IF(ISBLANK(customer_churn_dataset!F92),"",customer_churn_dataset!F92)</f>
        <v>43950</v>
      </c>
      <c r="G92" s="7" t="str">
        <f aca="false">PROPER(TRIM(customer_churn_dataset!G92))</f>
        <v>Paypal</v>
      </c>
      <c r="H92" s="7" t="n">
        <f aca="false">IF(ISBLANK(customer_churn_dataset!H92),0,customer_churn_dataset!H92)</f>
        <v>1</v>
      </c>
      <c r="I92" s="7" t="n">
        <f aca="false">IF(ISBLANK(customer_churn_dataset!I92),ROUND(MEDIAN(customer_churn_dataset!I$2:I$1501),1),MIN(100,MAX(0,customer_churn_dataset!I92)))</f>
        <v>45</v>
      </c>
      <c r="J92" s="7" t="n">
        <f aca="false">IF(ISBLANK(customer_churn_dataset!J92),0,MAX(0,customer_churn_dataset!J92))</f>
        <v>17</v>
      </c>
      <c r="K92" s="7" t="n">
        <f aca="false">IF(ISBLANK(customer_churn_dataset!K92),0,MIN(10,MAX(0,customer_churn_dataset!K92)))</f>
        <v>3</v>
      </c>
      <c r="L92" s="7" t="n">
        <f aca="false">IF(ISBLANK(customer_churn_dataset!L92),0,MAX(0,customer_churn_dataset!L92))</f>
        <v>0</v>
      </c>
      <c r="M92" s="7" t="n">
        <f aca="false">IF(ISBLANK(customer_churn_dataset!M92),0,customer_churn_dataset!M92)</f>
        <v>0</v>
      </c>
      <c r="N92" s="7" t="n">
        <f aca="false">IF(ISBLANK(customer_churn_dataset!N92),0,MAX(0,customer_churn_dataset!N92))</f>
        <v>116.43</v>
      </c>
      <c r="O92" s="7" t="n">
        <f aca="false">IF(ISBLANK(customer_churn_dataset!O92),0,customer_churn_dataset!O92)</f>
        <v>0</v>
      </c>
      <c r="P92" s="7" t="str">
        <f aca="false">IF(COUNTIF(customer_churn_dataset!$A$2:$A$1501,customer_churn_dataset!A92)&gt;1,"Duplicate","Unique")</f>
        <v>Unique</v>
      </c>
    </row>
    <row r="93" customFormat="false" ht="14.15" hidden="false" customHeight="true" outlineLevel="0" collapsed="false">
      <c r="A93" s="7" t="str">
        <f aca="false">TRIM(customer_churn_dataset!A93)</f>
        <v>CUST100778</v>
      </c>
      <c r="B93" s="7" t="str">
        <f aca="false">PROPER(TRIM(customer_churn_dataset!B93))</f>
        <v>Standard</v>
      </c>
      <c r="C93" s="7" t="str">
        <f aca="false">PROPER(TRIM(customer_churn_dataset!C93))</f>
        <v>Two Year</v>
      </c>
      <c r="D93" s="7" t="n">
        <f aca="false">IF(ISBLANK(customer_churn_dataset!D93),ROUND(MEDIAN(customer_churn_dataset!D$2:D$1501),2),IF(customer_churn_dataset!D93&lt;0,ABS(customer_churn_dataset!D93),customer_churn_dataset!D93))</f>
        <v>21.08</v>
      </c>
      <c r="E93" s="7" t="n">
        <f aca="false">IF(ISBLANK(customer_churn_dataset!E93),0,MAX(0,customer_churn_dataset!E93))</f>
        <v>19</v>
      </c>
      <c r="F93" s="8" t="n">
        <f aca="false">IF(ISBLANK(customer_churn_dataset!F93),"",customer_churn_dataset!F93)</f>
        <v>43950</v>
      </c>
      <c r="G93" s="7" t="str">
        <f aca="false">PROPER(TRIM(customer_churn_dataset!G93))</f>
        <v>Manual/Invoice</v>
      </c>
      <c r="H93" s="7" t="n">
        <f aca="false">IF(ISBLANK(customer_churn_dataset!H93),0,customer_churn_dataset!H93)</f>
        <v>1</v>
      </c>
      <c r="I93" s="7" t="n">
        <f aca="false">IF(ISBLANK(customer_churn_dataset!I93),ROUND(MEDIAN(customer_churn_dataset!I$2:I$1501),1),MIN(100,MAX(0,customer_churn_dataset!I93)))</f>
        <v>86.2</v>
      </c>
      <c r="J93" s="7" t="n">
        <f aca="false">IF(ISBLANK(customer_churn_dataset!J93),0,MAX(0,customer_churn_dataset!J93))</f>
        <v>35</v>
      </c>
      <c r="K93" s="7" t="n">
        <f aca="false">IF(ISBLANK(customer_churn_dataset!K93),0,MIN(10,MAX(0,customer_churn_dataset!K93)))</f>
        <v>7</v>
      </c>
      <c r="L93" s="7" t="n">
        <f aca="false">IF(ISBLANK(customer_churn_dataset!L93),0,MAX(0,customer_churn_dataset!L93))</f>
        <v>0</v>
      </c>
      <c r="M93" s="7" t="n">
        <f aca="false">IF(ISBLANK(customer_churn_dataset!M93),0,customer_churn_dataset!M93)</f>
        <v>0</v>
      </c>
      <c r="N93" s="7" t="n">
        <f aca="false">IF(ISBLANK(customer_churn_dataset!N93),0,MAX(0,customer_churn_dataset!N93))</f>
        <v>400.52</v>
      </c>
      <c r="O93" s="7" t="n">
        <f aca="false">IF(ISBLANK(customer_churn_dataset!O93),0,customer_churn_dataset!O93)</f>
        <v>0</v>
      </c>
      <c r="P93" s="7" t="str">
        <f aca="false">IF(COUNTIF(customer_churn_dataset!$A$2:$A$1501,customer_churn_dataset!A93)&gt;1,"Duplicate","Unique")</f>
        <v>Unique</v>
      </c>
    </row>
    <row r="94" customFormat="false" ht="14.15" hidden="false" customHeight="true" outlineLevel="0" collapsed="false">
      <c r="A94" s="7" t="str">
        <f aca="false">TRIM(customer_churn_dataset!A94)</f>
        <v>CUST101198</v>
      </c>
      <c r="B94" s="7" t="str">
        <f aca="false">PROPER(TRIM(customer_churn_dataset!B94))</f>
        <v>Standard</v>
      </c>
      <c r="C94" s="7" t="str">
        <f aca="false">PROPER(TRIM(customer_churn_dataset!C94))</f>
        <v>Month-To-Month</v>
      </c>
      <c r="D94" s="7" t="n">
        <f aca="false">IF(ISBLANK(customer_churn_dataset!D94),ROUND(MEDIAN(customer_churn_dataset!D$2:D$1501),2),IF(customer_churn_dataset!D94&lt;0,ABS(customer_churn_dataset!D94),customer_churn_dataset!D94))</f>
        <v>18.21</v>
      </c>
      <c r="E94" s="7" t="n">
        <f aca="false">IF(ISBLANK(customer_churn_dataset!E94),0,MAX(0,customer_churn_dataset!E94))</f>
        <v>5</v>
      </c>
      <c r="F94" s="8" t="n">
        <f aca="false">IF(ISBLANK(customer_churn_dataset!F94),"",customer_churn_dataset!F94)</f>
        <v>43952</v>
      </c>
      <c r="G94" s="7" t="str">
        <f aca="false">PROPER(TRIM(customer_churn_dataset!G94))</f>
        <v>Paypal</v>
      </c>
      <c r="H94" s="7" t="n">
        <f aca="false">IF(ISBLANK(customer_churn_dataset!H94),0,customer_churn_dataset!H94)</f>
        <v>1</v>
      </c>
      <c r="I94" s="7" t="n">
        <f aca="false">IF(ISBLANK(customer_churn_dataset!I94),ROUND(MEDIAN(customer_churn_dataset!I$2:I$1501),1),MIN(100,MAX(0,customer_churn_dataset!I94)))</f>
        <v>62.6</v>
      </c>
      <c r="J94" s="7" t="n">
        <f aca="false">IF(ISBLANK(customer_churn_dataset!J94),0,MAX(0,customer_churn_dataset!J94))</f>
        <v>15</v>
      </c>
      <c r="K94" s="7" t="n">
        <f aca="false">IF(ISBLANK(customer_churn_dataset!K94),0,MIN(10,MAX(0,customer_churn_dataset!K94)))</f>
        <v>6</v>
      </c>
      <c r="L94" s="7" t="n">
        <f aca="false">IF(ISBLANK(customer_churn_dataset!L94),0,MAX(0,customer_churn_dataset!L94))</f>
        <v>1</v>
      </c>
      <c r="M94" s="7" t="n">
        <f aca="false">IF(ISBLANK(customer_churn_dataset!M94),0,customer_churn_dataset!M94)</f>
        <v>0</v>
      </c>
      <c r="N94" s="7" t="n">
        <f aca="false">IF(ISBLANK(customer_churn_dataset!N94),0,MAX(0,customer_churn_dataset!N94))</f>
        <v>91.05</v>
      </c>
      <c r="O94" s="7" t="n">
        <f aca="false">IF(ISBLANK(customer_churn_dataset!O94),0,customer_churn_dataset!O94)</f>
        <v>1</v>
      </c>
      <c r="P94" s="7" t="str">
        <f aca="false">IF(COUNTIF(customer_churn_dataset!$A$2:$A$1501,customer_churn_dataset!A94)&gt;1,"Duplicate","Unique")</f>
        <v>Unique</v>
      </c>
    </row>
    <row r="95" customFormat="false" ht="14.15" hidden="false" customHeight="true" outlineLevel="0" collapsed="false">
      <c r="A95" s="7" t="str">
        <f aca="false">TRIM(customer_churn_dataset!A95)</f>
        <v>CUST100100</v>
      </c>
      <c r="B95" s="7" t="str">
        <f aca="false">PROPER(TRIM(customer_churn_dataset!B95))</f>
        <v>Basic</v>
      </c>
      <c r="C95" s="7" t="str">
        <f aca="false">PROPER(TRIM(customer_churn_dataset!C95))</f>
        <v>Month-To-Month</v>
      </c>
      <c r="D95" s="7" t="n">
        <f aca="false">IF(ISBLANK(customer_churn_dataset!D95),ROUND(MEDIAN(customer_churn_dataset!D$2:D$1501),2),IF(customer_churn_dataset!D95&lt;0,ABS(customer_churn_dataset!D95),customer_churn_dataset!D95))</f>
        <v>10.55</v>
      </c>
      <c r="E95" s="7" t="n">
        <f aca="false">IF(ISBLANK(customer_churn_dataset!E95),0,MAX(0,customer_churn_dataset!E95))</f>
        <v>72</v>
      </c>
      <c r="F95" s="8" t="n">
        <f aca="false">IF(ISBLANK(customer_churn_dataset!F95),"",customer_churn_dataset!F95)</f>
        <v>43953</v>
      </c>
      <c r="G95" s="7" t="str">
        <f aca="false">PROPER(TRIM(customer_churn_dataset!G95))</f>
        <v>Paypal</v>
      </c>
      <c r="H95" s="7" t="n">
        <f aca="false">IF(ISBLANK(customer_churn_dataset!H95),0,customer_churn_dataset!H95)</f>
        <v>0</v>
      </c>
      <c r="I95" s="7" t="n">
        <f aca="false">IF(ISBLANK(customer_churn_dataset!I95),ROUND(MEDIAN(customer_churn_dataset!I$2:I$1501),1),MIN(100,MAX(0,customer_churn_dataset!I95)))</f>
        <v>50.6</v>
      </c>
      <c r="J95" s="7" t="n">
        <f aca="false">IF(ISBLANK(customer_churn_dataset!J95),0,MAX(0,customer_churn_dataset!J95))</f>
        <v>12</v>
      </c>
      <c r="K95" s="7" t="n">
        <f aca="false">IF(ISBLANK(customer_churn_dataset!K95),0,MIN(10,MAX(0,customer_churn_dataset!K95)))</f>
        <v>6</v>
      </c>
      <c r="L95" s="7" t="n">
        <f aca="false">IF(ISBLANK(customer_churn_dataset!L95),0,MAX(0,customer_churn_dataset!L95))</f>
        <v>1</v>
      </c>
      <c r="M95" s="7" t="n">
        <f aca="false">IF(ISBLANK(customer_churn_dataset!M95),0,customer_churn_dataset!M95)</f>
        <v>1</v>
      </c>
      <c r="N95" s="7" t="n">
        <f aca="false">IF(ISBLANK(customer_churn_dataset!N95),0,MAX(0,customer_churn_dataset!N95))</f>
        <v>759.6</v>
      </c>
      <c r="O95" s="7" t="n">
        <f aca="false">IF(ISBLANK(customer_churn_dataset!O95),0,customer_churn_dataset!O95)</f>
        <v>0</v>
      </c>
      <c r="P95" s="7" t="str">
        <f aca="false">IF(COUNTIF(customer_churn_dataset!$A$2:$A$1501,customer_churn_dataset!A95)&gt;1,"Duplicate","Unique")</f>
        <v>Unique</v>
      </c>
    </row>
    <row r="96" customFormat="false" ht="14.15" hidden="false" customHeight="true" outlineLevel="0" collapsed="false">
      <c r="A96" s="7" t="str">
        <f aca="false">TRIM(customer_churn_dataset!A96)</f>
        <v>CUST100817</v>
      </c>
      <c r="B96" s="7" t="str">
        <f aca="false">PROPER(TRIM(customer_churn_dataset!B96))</f>
        <v>Basic</v>
      </c>
      <c r="C96" s="7" t="str">
        <f aca="false">PROPER(TRIM(customer_churn_dataset!C96))</f>
        <v>Month-To-Month</v>
      </c>
      <c r="D96" s="7" t="n">
        <f aca="false">IF(ISBLANK(customer_churn_dataset!D96),ROUND(MEDIAN(customer_churn_dataset!D$2:D$1501),2),IF(customer_churn_dataset!D96&lt;0,ABS(customer_churn_dataset!D96),customer_churn_dataset!D96))</f>
        <v>10.94</v>
      </c>
      <c r="E96" s="7" t="n">
        <f aca="false">IF(ISBLANK(customer_churn_dataset!E96),0,MAX(0,customer_churn_dataset!E96))</f>
        <v>5</v>
      </c>
      <c r="F96" s="8" t="n">
        <f aca="false">IF(ISBLANK(customer_churn_dataset!F96),"",customer_churn_dataset!F96)</f>
        <v>43954</v>
      </c>
      <c r="G96" s="7" t="str">
        <f aca="false">PROPER(TRIM(customer_churn_dataset!G96))</f>
        <v>Bank Transfer</v>
      </c>
      <c r="H96" s="7" t="n">
        <f aca="false">IF(ISBLANK(customer_churn_dataset!H96),0,customer_churn_dataset!H96)</f>
        <v>1</v>
      </c>
      <c r="I96" s="7" t="n">
        <f aca="false">IF(ISBLANK(customer_churn_dataset!I96),ROUND(MEDIAN(customer_churn_dataset!I$2:I$1501),1),MIN(100,MAX(0,customer_churn_dataset!I96)))</f>
        <v>37.9</v>
      </c>
      <c r="J96" s="7" t="n">
        <f aca="false">IF(ISBLANK(customer_churn_dataset!J96),0,MAX(0,customer_churn_dataset!J96))</f>
        <v>17</v>
      </c>
      <c r="K96" s="7" t="n">
        <f aca="false">IF(ISBLANK(customer_churn_dataset!K96),0,MIN(10,MAX(0,customer_churn_dataset!K96)))</f>
        <v>4</v>
      </c>
      <c r="L96" s="7" t="n">
        <f aca="false">IF(ISBLANK(customer_churn_dataset!L96),0,MAX(0,customer_churn_dataset!L96))</f>
        <v>2</v>
      </c>
      <c r="M96" s="7" t="n">
        <f aca="false">IF(ISBLANK(customer_churn_dataset!M96),0,customer_churn_dataset!M96)</f>
        <v>0</v>
      </c>
      <c r="N96" s="7" t="n">
        <f aca="false">IF(ISBLANK(customer_churn_dataset!N96),0,MAX(0,customer_churn_dataset!N96))</f>
        <v>54.7</v>
      </c>
      <c r="O96" s="7" t="n">
        <f aca="false">IF(ISBLANK(customer_churn_dataset!O96),0,customer_churn_dataset!O96)</f>
        <v>1</v>
      </c>
      <c r="P96" s="7" t="str">
        <f aca="false">IF(COUNTIF(customer_churn_dataset!$A$2:$A$1501,customer_churn_dataset!A96)&gt;1,"Duplicate","Unique")</f>
        <v>Unique</v>
      </c>
    </row>
    <row r="97" customFormat="false" ht="14.15" hidden="false" customHeight="true" outlineLevel="0" collapsed="false">
      <c r="A97" s="7" t="str">
        <f aca="false">TRIM(customer_churn_dataset!A97)</f>
        <v>CUST100256</v>
      </c>
      <c r="B97" s="7" t="str">
        <f aca="false">PROPER(TRIM(customer_churn_dataset!B97))</f>
        <v>Premium</v>
      </c>
      <c r="C97" s="7" t="str">
        <f aca="false">PROPER(TRIM(customer_churn_dataset!C97))</f>
        <v>Month-To-Month</v>
      </c>
      <c r="D97" s="7" t="n">
        <f aca="false">IF(ISBLANK(customer_churn_dataset!D97),ROUND(MEDIAN(customer_churn_dataset!D$2:D$1501),2),IF(customer_churn_dataset!D97&lt;0,ABS(customer_churn_dataset!D97),customer_churn_dataset!D97))</f>
        <v>40.05</v>
      </c>
      <c r="E97" s="7" t="n">
        <f aca="false">IF(ISBLANK(customer_churn_dataset!E97),0,MAX(0,customer_churn_dataset!E97))</f>
        <v>1</v>
      </c>
      <c r="F97" s="8" t="n">
        <f aca="false">IF(ISBLANK(customer_churn_dataset!F97),"",customer_churn_dataset!F97)</f>
        <v>43954</v>
      </c>
      <c r="G97" s="7" t="str">
        <f aca="false">PROPER(TRIM(customer_churn_dataset!G97))</f>
        <v>Paypal</v>
      </c>
      <c r="H97" s="7" t="n">
        <f aca="false">IF(ISBLANK(customer_churn_dataset!H97),0,customer_churn_dataset!H97)</f>
        <v>1</v>
      </c>
      <c r="I97" s="7" t="n">
        <f aca="false">IF(ISBLANK(customer_churn_dataset!I97),ROUND(MEDIAN(customer_churn_dataset!I$2:I$1501),1),MIN(100,MAX(0,customer_churn_dataset!I97)))</f>
        <v>31.4</v>
      </c>
      <c r="J97" s="7" t="n">
        <f aca="false">IF(ISBLANK(customer_churn_dataset!J97),0,MAX(0,customer_churn_dataset!J97))</f>
        <v>9</v>
      </c>
      <c r="K97" s="7" t="n">
        <f aca="false">IF(ISBLANK(customer_churn_dataset!K97),0,MIN(10,MAX(0,customer_churn_dataset!K97)))</f>
        <v>4</v>
      </c>
      <c r="L97" s="7" t="n">
        <f aca="false">IF(ISBLANK(customer_churn_dataset!L97),0,MAX(0,customer_churn_dataset!L97))</f>
        <v>0</v>
      </c>
      <c r="M97" s="7" t="n">
        <f aca="false">IF(ISBLANK(customer_churn_dataset!M97),0,customer_churn_dataset!M97)</f>
        <v>0</v>
      </c>
      <c r="N97" s="7" t="n">
        <f aca="false">IF(ISBLANK(customer_churn_dataset!N97),0,MAX(0,customer_churn_dataset!N97))</f>
        <v>40.05</v>
      </c>
      <c r="O97" s="7" t="n">
        <f aca="false">IF(ISBLANK(customer_churn_dataset!O97),0,customer_churn_dataset!O97)</f>
        <v>1</v>
      </c>
      <c r="P97" s="7" t="str">
        <f aca="false">IF(COUNTIF(customer_churn_dataset!$A$2:$A$1501,customer_churn_dataset!A97)&gt;1,"Duplicate","Unique")</f>
        <v>Unique</v>
      </c>
    </row>
    <row r="98" customFormat="false" ht="14.15" hidden="false" customHeight="true" outlineLevel="0" collapsed="false">
      <c r="A98" s="7" t="str">
        <f aca="false">TRIM(customer_churn_dataset!A98)</f>
        <v>CUST100270</v>
      </c>
      <c r="B98" s="7" t="str">
        <f aca="false">PROPER(TRIM(customer_churn_dataset!B98))</f>
        <v>Premium</v>
      </c>
      <c r="C98" s="7" t="str">
        <f aca="false">PROPER(TRIM(customer_churn_dataset!C98))</f>
        <v>Two Year</v>
      </c>
      <c r="D98" s="7" t="n">
        <f aca="false">IF(ISBLANK(customer_churn_dataset!D98),ROUND(MEDIAN(customer_churn_dataset!D$2:D$1501),2),IF(customer_churn_dataset!D98&lt;0,ABS(customer_churn_dataset!D98),customer_churn_dataset!D98))</f>
        <v>40.3</v>
      </c>
      <c r="E98" s="7" t="n">
        <f aca="false">IF(ISBLANK(customer_churn_dataset!E98),0,MAX(0,customer_churn_dataset!E98))</f>
        <v>20</v>
      </c>
      <c r="F98" s="8" t="n">
        <f aca="false">IF(ISBLANK(customer_churn_dataset!F98),"",customer_churn_dataset!F98)</f>
        <v>43955</v>
      </c>
      <c r="G98" s="7" t="str">
        <f aca="false">PROPER(TRIM(customer_churn_dataset!G98))</f>
        <v>Manual/Invoice</v>
      </c>
      <c r="H98" s="7" t="n">
        <f aca="false">IF(ISBLANK(customer_churn_dataset!H98),0,customer_churn_dataset!H98)</f>
        <v>1</v>
      </c>
      <c r="I98" s="7" t="n">
        <f aca="false">IF(ISBLANK(customer_churn_dataset!I98),ROUND(MEDIAN(customer_churn_dataset!I$2:I$1501),1),MIN(100,MAX(0,customer_churn_dataset!I98)))</f>
        <v>55.8</v>
      </c>
      <c r="J98" s="7" t="n">
        <f aca="false">IF(ISBLANK(customer_churn_dataset!J98),0,MAX(0,customer_churn_dataset!J98))</f>
        <v>23</v>
      </c>
      <c r="K98" s="7" t="n">
        <f aca="false">IF(ISBLANK(customer_churn_dataset!K98),0,MIN(10,MAX(0,customer_churn_dataset!K98)))</f>
        <v>6</v>
      </c>
      <c r="L98" s="7" t="n">
        <f aca="false">IF(ISBLANK(customer_churn_dataset!L98),0,MAX(0,customer_churn_dataset!L98))</f>
        <v>2</v>
      </c>
      <c r="M98" s="7" t="n">
        <f aca="false">IF(ISBLANK(customer_churn_dataset!M98),0,customer_churn_dataset!M98)</f>
        <v>0</v>
      </c>
      <c r="N98" s="7" t="n">
        <f aca="false">IF(ISBLANK(customer_churn_dataset!N98),0,MAX(0,customer_churn_dataset!N98))</f>
        <v>806</v>
      </c>
      <c r="O98" s="7" t="n">
        <f aca="false">IF(ISBLANK(customer_churn_dataset!O98),0,customer_churn_dataset!O98)</f>
        <v>0</v>
      </c>
      <c r="P98" s="7" t="str">
        <f aca="false">IF(COUNTIF(customer_churn_dataset!$A$2:$A$1501,customer_churn_dataset!A98)&gt;1,"Duplicate","Unique")</f>
        <v>Unique</v>
      </c>
    </row>
    <row r="99" customFormat="false" ht="14.15" hidden="false" customHeight="true" outlineLevel="0" collapsed="false">
      <c r="A99" s="7" t="str">
        <f aca="false">TRIM(customer_churn_dataset!A99)</f>
        <v>CUST100480</v>
      </c>
      <c r="B99" s="7" t="str">
        <f aca="false">PROPER(TRIM(customer_churn_dataset!B99))</f>
        <v>Standard</v>
      </c>
      <c r="C99" s="7" t="str">
        <f aca="false">PROPER(TRIM(customer_churn_dataset!C99))</f>
        <v>Two Year</v>
      </c>
      <c r="D99" s="7" t="n">
        <f aca="false">IF(ISBLANK(customer_churn_dataset!D99),ROUND(MEDIAN(customer_churn_dataset!D$2:D$1501),2),IF(customer_churn_dataset!D99&lt;0,ABS(customer_churn_dataset!D99),customer_churn_dataset!D99))</f>
        <v>20.01</v>
      </c>
      <c r="E99" s="7" t="n">
        <f aca="false">IF(ISBLANK(customer_churn_dataset!E99),0,MAX(0,customer_churn_dataset!E99))</f>
        <v>0</v>
      </c>
      <c r="F99" s="8" t="n">
        <f aca="false">IF(ISBLANK(customer_churn_dataset!F99),"",customer_churn_dataset!F99)</f>
        <v>43955</v>
      </c>
      <c r="G99" s="7" t="str">
        <f aca="false">PROPER(TRIM(customer_churn_dataset!G99))</f>
        <v>Credit Card</v>
      </c>
      <c r="H99" s="7" t="n">
        <f aca="false">IF(ISBLANK(customer_churn_dataset!H99),0,customer_churn_dataset!H99)</f>
        <v>0</v>
      </c>
      <c r="I99" s="7" t="n">
        <f aca="false">IF(ISBLANK(customer_churn_dataset!I99),ROUND(MEDIAN(customer_churn_dataset!I$2:I$1501),1),MIN(100,MAX(0,customer_churn_dataset!I99)))</f>
        <v>48.7</v>
      </c>
      <c r="J99" s="7" t="n">
        <f aca="false">IF(ISBLANK(customer_churn_dataset!J99),0,MAX(0,customer_churn_dataset!J99))</f>
        <v>2</v>
      </c>
      <c r="K99" s="7" t="n">
        <f aca="false">IF(ISBLANK(customer_churn_dataset!K99),0,MIN(10,MAX(0,customer_churn_dataset!K99)))</f>
        <v>4</v>
      </c>
      <c r="L99" s="7" t="n">
        <f aca="false">IF(ISBLANK(customer_churn_dataset!L99),0,MAX(0,customer_churn_dataset!L99))</f>
        <v>0</v>
      </c>
      <c r="M99" s="7" t="n">
        <f aca="false">IF(ISBLANK(customer_churn_dataset!M99),0,customer_churn_dataset!M99)</f>
        <v>0</v>
      </c>
      <c r="N99" s="7" t="n">
        <f aca="false">IF(ISBLANK(customer_churn_dataset!N99),0,MAX(0,customer_churn_dataset!N99))</f>
        <v>0</v>
      </c>
      <c r="O99" s="7" t="n">
        <f aca="false">IF(ISBLANK(customer_churn_dataset!O99),0,customer_churn_dataset!O99)</f>
        <v>0</v>
      </c>
      <c r="P99" s="7" t="str">
        <f aca="false">IF(COUNTIF(customer_churn_dataset!$A$2:$A$1501,customer_churn_dataset!A99)&gt;1,"Duplicate","Unique")</f>
        <v>Unique</v>
      </c>
    </row>
    <row r="100" customFormat="false" ht="14.15" hidden="false" customHeight="true" outlineLevel="0" collapsed="false">
      <c r="A100" s="7" t="str">
        <f aca="false">TRIM(customer_churn_dataset!A100)</f>
        <v>CUST100254</v>
      </c>
      <c r="B100" s="7" t="str">
        <f aca="false">PROPER(TRIM(customer_churn_dataset!B100))</f>
        <v>Basic</v>
      </c>
      <c r="C100" s="7" t="str">
        <f aca="false">PROPER(TRIM(customer_churn_dataset!C100))</f>
        <v>One Year</v>
      </c>
      <c r="D100" s="7" t="n">
        <f aca="false">IF(ISBLANK(customer_churn_dataset!D100),ROUND(MEDIAN(customer_churn_dataset!D$2:D$1501),2),IF(customer_churn_dataset!D100&lt;0,ABS(customer_churn_dataset!D100),customer_churn_dataset!D100))</f>
        <v>9.35</v>
      </c>
      <c r="E100" s="7" t="n">
        <f aca="false">IF(ISBLANK(customer_churn_dataset!E100),0,MAX(0,customer_churn_dataset!E100))</f>
        <v>8</v>
      </c>
      <c r="F100" s="8" t="n">
        <f aca="false">IF(ISBLANK(customer_churn_dataset!F100),"",customer_churn_dataset!F100)</f>
        <v>43957</v>
      </c>
      <c r="G100" s="7" t="str">
        <f aca="false">PROPER(TRIM(customer_churn_dataset!G100))</f>
        <v>Credit Card</v>
      </c>
      <c r="H100" s="7" t="n">
        <f aca="false">IF(ISBLANK(customer_churn_dataset!H100),0,customer_churn_dataset!H100)</f>
        <v>1</v>
      </c>
      <c r="I100" s="7" t="n">
        <f aca="false">IF(ISBLANK(customer_churn_dataset!I100),ROUND(MEDIAN(customer_churn_dataset!I$2:I$1501),1),MIN(100,MAX(0,customer_churn_dataset!I100)))</f>
        <v>24.9</v>
      </c>
      <c r="J100" s="7" t="n">
        <f aca="false">IF(ISBLANK(customer_churn_dataset!J100),0,MAX(0,customer_churn_dataset!J100))</f>
        <v>13</v>
      </c>
      <c r="K100" s="7" t="n">
        <f aca="false">IF(ISBLANK(customer_churn_dataset!K100),0,MIN(10,MAX(0,customer_churn_dataset!K100)))</f>
        <v>4</v>
      </c>
      <c r="L100" s="7" t="n">
        <f aca="false">IF(ISBLANK(customer_churn_dataset!L100),0,MAX(0,customer_churn_dataset!L100))</f>
        <v>3</v>
      </c>
      <c r="M100" s="7" t="n">
        <f aca="false">IF(ISBLANK(customer_churn_dataset!M100),0,customer_churn_dataset!M100)</f>
        <v>0</v>
      </c>
      <c r="N100" s="7" t="n">
        <f aca="false">IF(ISBLANK(customer_churn_dataset!N100),0,MAX(0,customer_churn_dataset!N100))</f>
        <v>74.8</v>
      </c>
      <c r="O100" s="7" t="n">
        <f aca="false">IF(ISBLANK(customer_churn_dataset!O100),0,customer_churn_dataset!O100)</f>
        <v>0</v>
      </c>
      <c r="P100" s="7" t="str">
        <f aca="false">IF(COUNTIF(customer_churn_dataset!$A$2:$A$1501,customer_churn_dataset!A100)&gt;1,"Duplicate","Unique")</f>
        <v>Unique</v>
      </c>
    </row>
    <row r="101" customFormat="false" ht="14.15" hidden="false" customHeight="true" outlineLevel="0" collapsed="false">
      <c r="A101" s="7" t="str">
        <f aca="false">TRIM(customer_churn_dataset!A101)</f>
        <v>CUST101170</v>
      </c>
      <c r="B101" s="7" t="str">
        <f aca="false">PROPER(TRIM(customer_churn_dataset!B101))</f>
        <v>Standard</v>
      </c>
      <c r="C101" s="7" t="str">
        <f aca="false">PROPER(TRIM(customer_churn_dataset!C101))</f>
        <v>Month-To-Month</v>
      </c>
      <c r="D101" s="7" t="n">
        <f aca="false">IF(ISBLANK(customer_churn_dataset!D101),ROUND(MEDIAN(customer_churn_dataset!D$2:D$1501),2),IF(customer_churn_dataset!D101&lt;0,ABS(customer_churn_dataset!D101),customer_churn_dataset!D101))</f>
        <v>19.7</v>
      </c>
      <c r="E101" s="7" t="n">
        <f aca="false">IF(ISBLANK(customer_churn_dataset!E101),0,MAX(0,customer_churn_dataset!E101))</f>
        <v>27</v>
      </c>
      <c r="F101" s="8" t="n">
        <f aca="false">IF(ISBLANK(customer_churn_dataset!F101),"",customer_churn_dataset!F101)</f>
        <v>43959</v>
      </c>
      <c r="G101" s="7" t="str">
        <f aca="false">PROPER(TRIM(customer_churn_dataset!G101))</f>
        <v>Bank Transfer</v>
      </c>
      <c r="H101" s="7" t="n">
        <f aca="false">IF(ISBLANK(customer_churn_dataset!H101),0,customer_churn_dataset!H101)</f>
        <v>1</v>
      </c>
      <c r="I101" s="7" t="n">
        <f aca="false">IF(ISBLANK(customer_churn_dataset!I101),ROUND(MEDIAN(customer_churn_dataset!I$2:I$1501),1),MIN(100,MAX(0,customer_churn_dataset!I101)))</f>
        <v>59.2</v>
      </c>
      <c r="J101" s="7" t="n">
        <f aca="false">IF(ISBLANK(customer_churn_dataset!J101),0,MAX(0,customer_churn_dataset!J101))</f>
        <v>22</v>
      </c>
      <c r="K101" s="7" t="n">
        <f aca="false">IF(ISBLANK(customer_churn_dataset!K101),0,MIN(10,MAX(0,customer_churn_dataset!K101)))</f>
        <v>5</v>
      </c>
      <c r="L101" s="7" t="n">
        <f aca="false">IF(ISBLANK(customer_churn_dataset!L101),0,MAX(0,customer_churn_dataset!L101))</f>
        <v>2</v>
      </c>
      <c r="M101" s="7" t="n">
        <f aca="false">IF(ISBLANK(customer_churn_dataset!M101),0,customer_churn_dataset!M101)</f>
        <v>1</v>
      </c>
      <c r="N101" s="7" t="n">
        <f aca="false">IF(ISBLANK(customer_churn_dataset!N101),0,MAX(0,customer_churn_dataset!N101))</f>
        <v>531.9</v>
      </c>
      <c r="O101" s="7" t="n">
        <f aca="false">IF(ISBLANK(customer_churn_dataset!O101),0,customer_churn_dataset!O101)</f>
        <v>0</v>
      </c>
      <c r="P101" s="7" t="str">
        <f aca="false">IF(COUNTIF(customer_churn_dataset!$A$2:$A$1501,customer_churn_dataset!A101)&gt;1,"Duplicate","Unique")</f>
        <v>Unique</v>
      </c>
    </row>
    <row r="102" customFormat="false" ht="14.15" hidden="false" customHeight="true" outlineLevel="0" collapsed="false">
      <c r="A102" s="7" t="str">
        <f aca="false">TRIM(customer_churn_dataset!A102)</f>
        <v>CUST101173</v>
      </c>
      <c r="B102" s="7" t="str">
        <f aca="false">PROPER(TRIM(customer_churn_dataset!B102))</f>
        <v>Basic</v>
      </c>
      <c r="C102" s="7" t="str">
        <f aca="false">PROPER(TRIM(customer_churn_dataset!C102))</f>
        <v>Month-To-Month</v>
      </c>
      <c r="D102" s="7" t="n">
        <f aca="false">IF(ISBLANK(customer_churn_dataset!D102),ROUND(MEDIAN(customer_churn_dataset!D$2:D$1501),2),IF(customer_churn_dataset!D102&lt;0,ABS(customer_churn_dataset!D102),customer_churn_dataset!D102))</f>
        <v>9.63</v>
      </c>
      <c r="E102" s="7" t="n">
        <f aca="false">IF(ISBLANK(customer_churn_dataset!E102),0,MAX(0,customer_churn_dataset!E102))</f>
        <v>44</v>
      </c>
      <c r="F102" s="8" t="n">
        <f aca="false">IF(ISBLANK(customer_churn_dataset!F102),"",customer_churn_dataset!F102)</f>
        <v>43961</v>
      </c>
      <c r="G102" s="7" t="str">
        <f aca="false">PROPER(TRIM(customer_churn_dataset!G102))</f>
        <v>Credit Card</v>
      </c>
      <c r="H102" s="7" t="n">
        <f aca="false">IF(ISBLANK(customer_churn_dataset!H102),0,customer_churn_dataset!H102)</f>
        <v>0</v>
      </c>
      <c r="I102" s="7" t="n">
        <f aca="false">IF(ISBLANK(customer_churn_dataset!I102),ROUND(MEDIAN(customer_churn_dataset!I$2:I$1501),1),MIN(100,MAX(0,customer_churn_dataset!I102)))</f>
        <v>16.8</v>
      </c>
      <c r="J102" s="7" t="n">
        <f aca="false">IF(ISBLANK(customer_churn_dataset!J102),0,MAX(0,customer_churn_dataset!J102))</f>
        <v>4</v>
      </c>
      <c r="K102" s="7" t="n">
        <f aca="false">IF(ISBLANK(customer_churn_dataset!K102),0,MIN(10,MAX(0,customer_churn_dataset!K102)))</f>
        <v>1</v>
      </c>
      <c r="L102" s="7" t="n">
        <f aca="false">IF(ISBLANK(customer_churn_dataset!L102),0,MAX(0,customer_churn_dataset!L102))</f>
        <v>6</v>
      </c>
      <c r="M102" s="7" t="n">
        <f aca="false">IF(ISBLANK(customer_churn_dataset!M102),0,customer_churn_dataset!M102)</f>
        <v>0</v>
      </c>
      <c r="N102" s="7" t="n">
        <f aca="false">IF(ISBLANK(customer_churn_dataset!N102),0,MAX(0,customer_churn_dataset!N102))</f>
        <v>423.72</v>
      </c>
      <c r="O102" s="7" t="n">
        <f aca="false">IF(ISBLANK(customer_churn_dataset!O102),0,customer_churn_dataset!O102)</f>
        <v>1</v>
      </c>
      <c r="P102" s="7" t="str">
        <f aca="false">IF(COUNTIF(customer_churn_dataset!$A$2:$A$1501,customer_churn_dataset!A102)&gt;1,"Duplicate","Unique")</f>
        <v>Unique</v>
      </c>
    </row>
    <row r="103" customFormat="false" ht="14.15" hidden="false" customHeight="true" outlineLevel="0" collapsed="false">
      <c r="A103" s="7" t="str">
        <f aca="false">TRIM(customer_churn_dataset!A103)</f>
        <v>CUST100767</v>
      </c>
      <c r="B103" s="7" t="str">
        <f aca="false">PROPER(TRIM(customer_churn_dataset!B103))</f>
        <v>Premium</v>
      </c>
      <c r="C103" s="7" t="str">
        <f aca="false">PROPER(TRIM(customer_churn_dataset!C103))</f>
        <v>One Year</v>
      </c>
      <c r="D103" s="7" t="n">
        <f aca="false">IF(ISBLANK(customer_churn_dataset!D103),ROUND(MEDIAN(customer_churn_dataset!D$2:D$1501),2),IF(customer_churn_dataset!D103&lt;0,ABS(customer_churn_dataset!D103),customer_churn_dataset!D103))</f>
        <v>39.7</v>
      </c>
      <c r="E103" s="7" t="n">
        <f aca="false">IF(ISBLANK(customer_churn_dataset!E103),0,MAX(0,customer_churn_dataset!E103))</f>
        <v>4</v>
      </c>
      <c r="F103" s="8" t="n">
        <f aca="false">IF(ISBLANK(customer_churn_dataset!F103),"",customer_churn_dataset!F103)</f>
        <v>43963</v>
      </c>
      <c r="G103" s="7" t="str">
        <f aca="false">PROPER(TRIM(customer_churn_dataset!G103))</f>
        <v>Credit Card</v>
      </c>
      <c r="H103" s="7" t="n">
        <f aca="false">IF(ISBLANK(customer_churn_dataset!H103),0,customer_churn_dataset!H103)</f>
        <v>1</v>
      </c>
      <c r="I103" s="7" t="n">
        <f aca="false">IF(ISBLANK(customer_churn_dataset!I103),ROUND(MEDIAN(customer_churn_dataset!I$2:I$1501),1),MIN(100,MAX(0,customer_churn_dataset!I103)))</f>
        <v>53.5</v>
      </c>
      <c r="J103" s="7" t="n">
        <f aca="false">IF(ISBLANK(customer_churn_dataset!J103),0,MAX(0,customer_churn_dataset!J103))</f>
        <v>22</v>
      </c>
      <c r="K103" s="7" t="n">
        <f aca="false">IF(ISBLANK(customer_churn_dataset!K103),0,MIN(10,MAX(0,customer_churn_dataset!K103)))</f>
        <v>5</v>
      </c>
      <c r="L103" s="7" t="n">
        <f aca="false">IF(ISBLANK(customer_churn_dataset!L103),0,MAX(0,customer_churn_dataset!L103))</f>
        <v>2</v>
      </c>
      <c r="M103" s="7" t="n">
        <f aca="false">IF(ISBLANK(customer_churn_dataset!M103),0,customer_churn_dataset!M103)</f>
        <v>0</v>
      </c>
      <c r="N103" s="7" t="n">
        <f aca="false">IF(ISBLANK(customer_churn_dataset!N103),0,MAX(0,customer_churn_dataset!N103))</f>
        <v>158.8</v>
      </c>
      <c r="O103" s="7" t="n">
        <f aca="false">IF(ISBLANK(customer_churn_dataset!O103),0,customer_churn_dataset!O103)</f>
        <v>0</v>
      </c>
      <c r="P103" s="7" t="str">
        <f aca="false">IF(COUNTIF(customer_churn_dataset!$A$2:$A$1501,customer_churn_dataset!A103)&gt;1,"Duplicate","Unique")</f>
        <v>Unique</v>
      </c>
    </row>
    <row r="104" customFormat="false" ht="14.15" hidden="false" customHeight="true" outlineLevel="0" collapsed="false">
      <c r="A104" s="7" t="str">
        <f aca="false">TRIM(customer_churn_dataset!A104)</f>
        <v>CUST100548</v>
      </c>
      <c r="B104" s="7" t="str">
        <f aca="false">PROPER(TRIM(customer_churn_dataset!B104))</f>
        <v>Standard</v>
      </c>
      <c r="C104" s="7" t="str">
        <f aca="false">PROPER(TRIM(customer_churn_dataset!C104))</f>
        <v>Two Year</v>
      </c>
      <c r="D104" s="7" t="n">
        <f aca="false">IF(ISBLANK(customer_churn_dataset!D104),ROUND(MEDIAN(customer_churn_dataset!D$2:D$1501),2),IF(customer_churn_dataset!D104&lt;0,ABS(customer_churn_dataset!D104),customer_churn_dataset!D104))</f>
        <v>19.86</v>
      </c>
      <c r="E104" s="7" t="n">
        <f aca="false">IF(ISBLANK(customer_churn_dataset!E104),0,MAX(0,customer_churn_dataset!E104))</f>
        <v>1</v>
      </c>
      <c r="F104" s="8" t="n">
        <f aca="false">IF(ISBLANK(customer_churn_dataset!F104),"",customer_churn_dataset!F104)</f>
        <v>43963</v>
      </c>
      <c r="G104" s="7" t="str">
        <f aca="false">PROPER(TRIM(customer_churn_dataset!G104))</f>
        <v>Credit Card</v>
      </c>
      <c r="H104" s="7" t="n">
        <f aca="false">IF(ISBLANK(customer_churn_dataset!H104),0,customer_churn_dataset!H104)</f>
        <v>0</v>
      </c>
      <c r="I104" s="7" t="n">
        <f aca="false">IF(ISBLANK(customer_churn_dataset!I104),ROUND(MEDIAN(customer_churn_dataset!I$2:I$1501),1),MIN(100,MAX(0,customer_churn_dataset!I104)))</f>
        <v>44.9</v>
      </c>
      <c r="J104" s="7" t="n">
        <f aca="false">IF(ISBLANK(customer_churn_dataset!J104),0,MAX(0,customer_churn_dataset!J104))</f>
        <v>27</v>
      </c>
      <c r="K104" s="7" t="n">
        <f aca="false">IF(ISBLANK(customer_churn_dataset!K104),0,MIN(10,MAX(0,customer_churn_dataset!K104)))</f>
        <v>3</v>
      </c>
      <c r="L104" s="7" t="n">
        <f aca="false">IF(ISBLANK(customer_churn_dataset!L104),0,MAX(0,customer_churn_dataset!L104))</f>
        <v>2</v>
      </c>
      <c r="M104" s="7" t="n">
        <f aca="false">IF(ISBLANK(customer_churn_dataset!M104),0,customer_churn_dataset!M104)</f>
        <v>1</v>
      </c>
      <c r="N104" s="7" t="n">
        <f aca="false">IF(ISBLANK(customer_churn_dataset!N104),0,MAX(0,customer_churn_dataset!N104))</f>
        <v>19.86</v>
      </c>
      <c r="O104" s="7" t="n">
        <f aca="false">IF(ISBLANK(customer_churn_dataset!O104),0,customer_churn_dataset!O104)</f>
        <v>0</v>
      </c>
      <c r="P104" s="7" t="str">
        <f aca="false">IF(COUNTIF(customer_churn_dataset!$A$2:$A$1501,customer_churn_dataset!A104)&gt;1,"Duplicate","Unique")</f>
        <v>Unique</v>
      </c>
    </row>
    <row r="105" customFormat="false" ht="14.15" hidden="false" customHeight="true" outlineLevel="0" collapsed="false">
      <c r="A105" s="7" t="str">
        <f aca="false">TRIM(customer_churn_dataset!A105)</f>
        <v>CUST101210</v>
      </c>
      <c r="B105" s="7" t="str">
        <f aca="false">PROPER(TRIM(customer_churn_dataset!B105))</f>
        <v>Basic</v>
      </c>
      <c r="C105" s="7" t="str">
        <f aca="false">PROPER(TRIM(customer_churn_dataset!C105))</f>
        <v>Month-To-Month</v>
      </c>
      <c r="D105" s="7" t="n">
        <f aca="false">IF(ISBLANK(customer_churn_dataset!D105),ROUND(MEDIAN(customer_churn_dataset!D$2:D$1501),2),IF(customer_churn_dataset!D105&lt;0,ABS(customer_churn_dataset!D105),customer_churn_dataset!D105))</f>
        <v>9.83</v>
      </c>
      <c r="E105" s="7" t="n">
        <f aca="false">IF(ISBLANK(customer_churn_dataset!E105),0,MAX(0,customer_churn_dataset!E105))</f>
        <v>8</v>
      </c>
      <c r="F105" s="8" t="n">
        <f aca="false">IF(ISBLANK(customer_churn_dataset!F105),"",customer_churn_dataset!F105)</f>
        <v>43965</v>
      </c>
      <c r="G105" s="7" t="str">
        <f aca="false">PROPER(TRIM(customer_churn_dataset!G105))</f>
        <v>Paypal</v>
      </c>
      <c r="H105" s="7" t="n">
        <f aca="false">IF(ISBLANK(customer_churn_dataset!H105),0,customer_churn_dataset!H105)</f>
        <v>0</v>
      </c>
      <c r="I105" s="7" t="n">
        <f aca="false">IF(ISBLANK(customer_churn_dataset!I105),ROUND(MEDIAN(customer_churn_dataset!I$2:I$1501),1),MIN(100,MAX(0,customer_churn_dataset!I105)))</f>
        <v>76</v>
      </c>
      <c r="J105" s="7" t="n">
        <f aca="false">IF(ISBLANK(customer_churn_dataset!J105),0,MAX(0,customer_churn_dataset!J105))</f>
        <v>19</v>
      </c>
      <c r="K105" s="7" t="n">
        <f aca="false">IF(ISBLANK(customer_churn_dataset!K105),0,MIN(10,MAX(0,customer_churn_dataset!K105)))</f>
        <v>8</v>
      </c>
      <c r="L105" s="7" t="n">
        <f aca="false">IF(ISBLANK(customer_churn_dataset!L105),0,MAX(0,customer_churn_dataset!L105))</f>
        <v>1</v>
      </c>
      <c r="M105" s="7" t="n">
        <f aca="false">IF(ISBLANK(customer_churn_dataset!M105),0,customer_churn_dataset!M105)</f>
        <v>0</v>
      </c>
      <c r="N105" s="7" t="n">
        <f aca="false">IF(ISBLANK(customer_churn_dataset!N105),0,MAX(0,customer_churn_dataset!N105))</f>
        <v>78.64</v>
      </c>
      <c r="O105" s="7" t="n">
        <f aca="false">IF(ISBLANK(customer_churn_dataset!O105),0,customer_churn_dataset!O105)</f>
        <v>0</v>
      </c>
      <c r="P105" s="7" t="str">
        <f aca="false">IF(COUNTIF(customer_churn_dataset!$A$2:$A$1501,customer_churn_dataset!A105)&gt;1,"Duplicate","Unique")</f>
        <v>Unique</v>
      </c>
    </row>
    <row r="106" customFormat="false" ht="14.15" hidden="false" customHeight="true" outlineLevel="0" collapsed="false">
      <c r="A106" s="7" t="str">
        <f aca="false">TRIM(customer_churn_dataset!A106)</f>
        <v>CUST100028</v>
      </c>
      <c r="B106" s="7" t="str">
        <f aca="false">PROPER(TRIM(customer_churn_dataset!B106))</f>
        <v>Standard</v>
      </c>
      <c r="C106" s="7" t="str">
        <f aca="false">PROPER(TRIM(customer_churn_dataset!C106))</f>
        <v>Two Year</v>
      </c>
      <c r="D106" s="7" t="n">
        <f aca="false">IF(ISBLANK(customer_churn_dataset!D106),ROUND(MEDIAN(customer_churn_dataset!D$2:D$1501),2),IF(customer_churn_dataset!D106&lt;0,ABS(customer_churn_dataset!D106),customer_churn_dataset!D106))</f>
        <v>20.54</v>
      </c>
      <c r="E106" s="7" t="n">
        <f aca="false">IF(ISBLANK(customer_churn_dataset!E106),0,MAX(0,customer_churn_dataset!E106))</f>
        <v>10</v>
      </c>
      <c r="F106" s="8" t="n">
        <f aca="false">IF(ISBLANK(customer_churn_dataset!F106),"",customer_churn_dataset!F106)</f>
        <v>43965</v>
      </c>
      <c r="G106" s="7" t="str">
        <f aca="false">PROPER(TRIM(customer_churn_dataset!G106))</f>
        <v>Manual/Invoice</v>
      </c>
      <c r="H106" s="7" t="n">
        <f aca="false">IF(ISBLANK(customer_churn_dataset!H106),0,customer_churn_dataset!H106)</f>
        <v>0</v>
      </c>
      <c r="I106" s="7" t="n">
        <f aca="false">IF(ISBLANK(customer_churn_dataset!I106),ROUND(MEDIAN(customer_churn_dataset!I$2:I$1501),1),MIN(100,MAX(0,customer_churn_dataset!I106)))</f>
        <v>71.6</v>
      </c>
      <c r="J106" s="7" t="n">
        <f aca="false">IF(ISBLANK(customer_churn_dataset!J106),0,MAX(0,customer_churn_dataset!J106))</f>
        <v>23</v>
      </c>
      <c r="K106" s="7" t="n">
        <f aca="false">IF(ISBLANK(customer_churn_dataset!K106),0,MIN(10,MAX(0,customer_churn_dataset!K106)))</f>
        <v>5</v>
      </c>
      <c r="L106" s="7" t="n">
        <f aca="false">IF(ISBLANK(customer_churn_dataset!L106),0,MAX(0,customer_churn_dataset!L106))</f>
        <v>0</v>
      </c>
      <c r="M106" s="7" t="n">
        <f aca="false">IF(ISBLANK(customer_churn_dataset!M106),0,customer_churn_dataset!M106)</f>
        <v>0</v>
      </c>
      <c r="N106" s="7" t="n">
        <f aca="false">IF(ISBLANK(customer_churn_dataset!N106),0,MAX(0,customer_churn_dataset!N106))</f>
        <v>205.4</v>
      </c>
      <c r="O106" s="7" t="n">
        <f aca="false">IF(ISBLANK(customer_churn_dataset!O106),0,customer_churn_dataset!O106)</f>
        <v>0</v>
      </c>
      <c r="P106" s="7" t="str">
        <f aca="false">IF(COUNTIF(customer_churn_dataset!$A$2:$A$1501,customer_churn_dataset!A106)&gt;1,"Duplicate","Unique")</f>
        <v>Unique</v>
      </c>
    </row>
    <row r="107" customFormat="false" ht="14.15" hidden="false" customHeight="true" outlineLevel="0" collapsed="false">
      <c r="A107" s="7" t="str">
        <f aca="false">TRIM(customer_churn_dataset!A107)</f>
        <v>CUST100563</v>
      </c>
      <c r="B107" s="7" t="str">
        <f aca="false">PROPER(TRIM(customer_churn_dataset!B107))</f>
        <v>Basic</v>
      </c>
      <c r="C107" s="7" t="str">
        <f aca="false">PROPER(TRIM(customer_churn_dataset!C107))</f>
        <v>Month-To-Month</v>
      </c>
      <c r="D107" s="7" t="n">
        <f aca="false">IF(ISBLANK(customer_churn_dataset!D107),ROUND(MEDIAN(customer_churn_dataset!D$2:D$1501),2),IF(customer_churn_dataset!D107&lt;0,ABS(customer_churn_dataset!D107),customer_churn_dataset!D107))</f>
        <v>10.61</v>
      </c>
      <c r="E107" s="7" t="n">
        <f aca="false">IF(ISBLANK(customer_churn_dataset!E107),0,MAX(0,customer_churn_dataset!E107))</f>
        <v>27</v>
      </c>
      <c r="F107" s="8" t="n">
        <f aca="false">IF(ISBLANK(customer_churn_dataset!F107),"",customer_churn_dataset!F107)</f>
        <v>43968</v>
      </c>
      <c r="G107" s="7" t="str">
        <f aca="false">PROPER(TRIM(customer_churn_dataset!G107))</f>
        <v>Paypal</v>
      </c>
      <c r="H107" s="7" t="n">
        <f aca="false">IF(ISBLANK(customer_churn_dataset!H107),0,customer_churn_dataset!H107)</f>
        <v>1</v>
      </c>
      <c r="I107" s="7" t="n">
        <f aca="false">IF(ISBLANK(customer_churn_dataset!I107),ROUND(MEDIAN(customer_churn_dataset!I$2:I$1501),1),MIN(100,MAX(0,customer_churn_dataset!I107)))</f>
        <v>88.3</v>
      </c>
      <c r="J107" s="7" t="n">
        <f aca="false">IF(ISBLANK(customer_churn_dataset!J107),0,MAX(0,customer_churn_dataset!J107))</f>
        <v>26</v>
      </c>
      <c r="K107" s="7" t="n">
        <f aca="false">IF(ISBLANK(customer_churn_dataset!K107),0,MIN(10,MAX(0,customer_churn_dataset!K107)))</f>
        <v>9</v>
      </c>
      <c r="L107" s="7" t="n">
        <f aca="false">IF(ISBLANK(customer_churn_dataset!L107),0,MAX(0,customer_churn_dataset!L107))</f>
        <v>0</v>
      </c>
      <c r="M107" s="7" t="n">
        <f aca="false">IF(ISBLANK(customer_churn_dataset!M107),0,customer_churn_dataset!M107)</f>
        <v>0</v>
      </c>
      <c r="N107" s="7" t="n">
        <f aca="false">IF(ISBLANK(customer_churn_dataset!N107),0,MAX(0,customer_churn_dataset!N107))</f>
        <v>286.47</v>
      </c>
      <c r="O107" s="7" t="n">
        <f aca="false">IF(ISBLANK(customer_churn_dataset!O107),0,customer_churn_dataset!O107)</f>
        <v>0</v>
      </c>
      <c r="P107" s="7" t="str">
        <f aca="false">IF(COUNTIF(customer_churn_dataset!$A$2:$A$1501,customer_churn_dataset!A107)&gt;1,"Duplicate","Unique")</f>
        <v>Unique</v>
      </c>
    </row>
    <row r="108" customFormat="false" ht="14.15" hidden="false" customHeight="true" outlineLevel="0" collapsed="false">
      <c r="A108" s="7" t="str">
        <f aca="false">TRIM(customer_churn_dataset!A108)</f>
        <v>CUST100477</v>
      </c>
      <c r="B108" s="7" t="str">
        <f aca="false">PROPER(TRIM(customer_churn_dataset!B108))</f>
        <v>Standard</v>
      </c>
      <c r="C108" s="7" t="str">
        <f aca="false">PROPER(TRIM(customer_churn_dataset!C108))</f>
        <v>Month-To-Month</v>
      </c>
      <c r="D108" s="7" t="n">
        <f aca="false">IF(ISBLANK(customer_churn_dataset!D108),ROUND(MEDIAN(customer_churn_dataset!D$2:D$1501),2),IF(customer_churn_dataset!D108&lt;0,ABS(customer_churn_dataset!D108),customer_churn_dataset!D108))</f>
        <v>20.41</v>
      </c>
      <c r="E108" s="7" t="n">
        <f aca="false">IF(ISBLANK(customer_churn_dataset!E108),0,MAX(0,customer_churn_dataset!E108))</f>
        <v>3</v>
      </c>
      <c r="F108" s="8" t="n">
        <f aca="false">IF(ISBLANK(customer_churn_dataset!F108),"",customer_churn_dataset!F108)</f>
        <v>43970</v>
      </c>
      <c r="G108" s="7" t="str">
        <f aca="false">PROPER(TRIM(customer_churn_dataset!G108))</f>
        <v>Credit Card</v>
      </c>
      <c r="H108" s="7" t="n">
        <f aca="false">IF(ISBLANK(customer_churn_dataset!H108),0,customer_churn_dataset!H108)</f>
        <v>0</v>
      </c>
      <c r="I108" s="7" t="n">
        <f aca="false">IF(ISBLANK(customer_churn_dataset!I108),ROUND(MEDIAN(customer_churn_dataset!I$2:I$1501),1),MIN(100,MAX(0,customer_churn_dataset!I108)))</f>
        <v>37.1</v>
      </c>
      <c r="J108" s="7" t="n">
        <f aca="false">IF(ISBLANK(customer_churn_dataset!J108),0,MAX(0,customer_churn_dataset!J108))</f>
        <v>17</v>
      </c>
      <c r="K108" s="7" t="n">
        <f aca="false">IF(ISBLANK(customer_churn_dataset!K108),0,MIN(10,MAX(0,customer_churn_dataset!K108)))</f>
        <v>6</v>
      </c>
      <c r="L108" s="7" t="n">
        <f aca="false">IF(ISBLANK(customer_churn_dataset!L108),0,MAX(0,customer_churn_dataset!L108))</f>
        <v>5</v>
      </c>
      <c r="M108" s="7" t="n">
        <f aca="false">IF(ISBLANK(customer_churn_dataset!M108),0,customer_churn_dataset!M108)</f>
        <v>0</v>
      </c>
      <c r="N108" s="7" t="n">
        <f aca="false">IF(ISBLANK(customer_churn_dataset!N108),0,MAX(0,customer_churn_dataset!N108))</f>
        <v>61.23</v>
      </c>
      <c r="O108" s="7" t="n">
        <f aca="false">IF(ISBLANK(customer_churn_dataset!O108),0,customer_churn_dataset!O108)</f>
        <v>1</v>
      </c>
      <c r="P108" s="7" t="str">
        <f aca="false">IF(COUNTIF(customer_churn_dataset!$A$2:$A$1501,customer_churn_dataset!A108)&gt;1,"Duplicate","Unique")</f>
        <v>Unique</v>
      </c>
    </row>
    <row r="109" customFormat="false" ht="14.15" hidden="false" customHeight="true" outlineLevel="0" collapsed="false">
      <c r="A109" s="7" t="str">
        <f aca="false">TRIM(customer_churn_dataset!A109)</f>
        <v>CUST101257</v>
      </c>
      <c r="B109" s="7" t="str">
        <f aca="false">PROPER(TRIM(customer_churn_dataset!B109))</f>
        <v>Standard</v>
      </c>
      <c r="C109" s="7" t="str">
        <f aca="false">PROPER(TRIM(customer_churn_dataset!C109))</f>
        <v>One Year</v>
      </c>
      <c r="D109" s="7" t="n">
        <f aca="false">IF(ISBLANK(customer_churn_dataset!D109),ROUND(MEDIAN(customer_churn_dataset!D$2:D$1501),2),IF(customer_churn_dataset!D109&lt;0,ABS(customer_churn_dataset!D109),customer_churn_dataset!D109))</f>
        <v>20.33</v>
      </c>
      <c r="E109" s="7" t="n">
        <f aca="false">IF(ISBLANK(customer_churn_dataset!E109),0,MAX(0,customer_churn_dataset!E109))</f>
        <v>72</v>
      </c>
      <c r="F109" s="8" t="n">
        <f aca="false">IF(ISBLANK(customer_churn_dataset!F109),"",customer_churn_dataset!F109)</f>
        <v>43972</v>
      </c>
      <c r="G109" s="7" t="str">
        <f aca="false">PROPER(TRIM(customer_churn_dataset!G109))</f>
        <v>Paypal</v>
      </c>
      <c r="H109" s="7" t="n">
        <f aca="false">IF(ISBLANK(customer_churn_dataset!H109),0,customer_churn_dataset!H109)</f>
        <v>1</v>
      </c>
      <c r="I109" s="7" t="n">
        <f aca="false">IF(ISBLANK(customer_churn_dataset!I109),ROUND(MEDIAN(customer_churn_dataset!I$2:I$1501),1),MIN(100,MAX(0,customer_churn_dataset!I109)))</f>
        <v>70.2</v>
      </c>
      <c r="J109" s="7" t="n">
        <f aca="false">IF(ISBLANK(customer_churn_dataset!J109),0,MAX(0,customer_churn_dataset!J109))</f>
        <v>20</v>
      </c>
      <c r="K109" s="7" t="n">
        <f aca="false">IF(ISBLANK(customer_churn_dataset!K109),0,MIN(10,MAX(0,customer_churn_dataset!K109)))</f>
        <v>10</v>
      </c>
      <c r="L109" s="7" t="n">
        <f aca="false">IF(ISBLANK(customer_churn_dataset!L109),0,MAX(0,customer_churn_dataset!L109))</f>
        <v>0</v>
      </c>
      <c r="M109" s="7" t="n">
        <f aca="false">IF(ISBLANK(customer_churn_dataset!M109),0,customer_churn_dataset!M109)</f>
        <v>0</v>
      </c>
      <c r="N109" s="7" t="n">
        <f aca="false">IF(ISBLANK(customer_churn_dataset!N109),0,MAX(0,customer_churn_dataset!N109))</f>
        <v>1463.76</v>
      </c>
      <c r="O109" s="7" t="n">
        <f aca="false">IF(ISBLANK(customer_churn_dataset!O109),0,customer_churn_dataset!O109)</f>
        <v>0</v>
      </c>
      <c r="P109" s="7" t="str">
        <f aca="false">IF(COUNTIF(customer_churn_dataset!$A$2:$A$1501,customer_churn_dataset!A109)&gt;1,"Duplicate","Unique")</f>
        <v>Unique</v>
      </c>
    </row>
    <row r="110" customFormat="false" ht="14.15" hidden="false" customHeight="true" outlineLevel="0" collapsed="false">
      <c r="A110" s="7" t="str">
        <f aca="false">TRIM(customer_churn_dataset!A110)</f>
        <v>CUST100598</v>
      </c>
      <c r="B110" s="7" t="str">
        <f aca="false">PROPER(TRIM(customer_churn_dataset!B110))</f>
        <v>Basic</v>
      </c>
      <c r="C110" s="7" t="str">
        <f aca="false">PROPER(TRIM(customer_churn_dataset!C110))</f>
        <v>Month-To-Month</v>
      </c>
      <c r="D110" s="7" t="n">
        <f aca="false">IF(ISBLANK(customer_churn_dataset!D110),ROUND(MEDIAN(customer_churn_dataset!D$2:D$1501),2),IF(customer_churn_dataset!D110&lt;0,ABS(customer_churn_dataset!D110),customer_churn_dataset!D110))</f>
        <v>11.6</v>
      </c>
      <c r="E110" s="7" t="n">
        <f aca="false">IF(ISBLANK(customer_churn_dataset!E110),0,MAX(0,customer_churn_dataset!E110))</f>
        <v>6</v>
      </c>
      <c r="F110" s="8" t="n">
        <f aca="false">IF(ISBLANK(customer_churn_dataset!F110),"",customer_churn_dataset!F110)</f>
        <v>43974</v>
      </c>
      <c r="G110" s="7" t="str">
        <f aca="false">PROPER(TRIM(customer_churn_dataset!G110))</f>
        <v>Credit Card</v>
      </c>
      <c r="H110" s="7" t="n">
        <f aca="false">IF(ISBLANK(customer_churn_dataset!H110),0,customer_churn_dataset!H110)</f>
        <v>1</v>
      </c>
      <c r="I110" s="7" t="n">
        <f aca="false">IF(ISBLANK(customer_churn_dataset!I110),ROUND(MEDIAN(customer_churn_dataset!I$2:I$1501),1),MIN(100,MAX(0,customer_churn_dataset!I110)))</f>
        <v>49.4</v>
      </c>
      <c r="J110" s="7" t="n">
        <f aca="false">IF(ISBLANK(customer_churn_dataset!J110),0,MAX(0,customer_churn_dataset!J110))</f>
        <v>14</v>
      </c>
      <c r="K110" s="7" t="n">
        <f aca="false">IF(ISBLANK(customer_churn_dataset!K110),0,MIN(10,MAX(0,customer_churn_dataset!K110)))</f>
        <v>5</v>
      </c>
      <c r="L110" s="7" t="n">
        <f aca="false">IF(ISBLANK(customer_churn_dataset!L110),0,MAX(0,customer_churn_dataset!L110))</f>
        <v>0</v>
      </c>
      <c r="M110" s="7" t="n">
        <f aca="false">IF(ISBLANK(customer_churn_dataset!M110),0,customer_churn_dataset!M110)</f>
        <v>0</v>
      </c>
      <c r="N110" s="7" t="n">
        <f aca="false">IF(ISBLANK(customer_churn_dataset!N110),0,MAX(0,customer_churn_dataset!N110))</f>
        <v>69.6</v>
      </c>
      <c r="O110" s="7" t="n">
        <f aca="false">IF(ISBLANK(customer_churn_dataset!O110),0,customer_churn_dataset!O110)</f>
        <v>0</v>
      </c>
      <c r="P110" s="7" t="str">
        <f aca="false">IF(COUNTIF(customer_churn_dataset!$A$2:$A$1501,customer_churn_dataset!A110)&gt;1,"Duplicate","Unique")</f>
        <v>Unique</v>
      </c>
    </row>
    <row r="111" customFormat="false" ht="14.15" hidden="false" customHeight="true" outlineLevel="0" collapsed="false">
      <c r="A111" s="7" t="str">
        <f aca="false">TRIM(customer_churn_dataset!A111)</f>
        <v>CUST101110</v>
      </c>
      <c r="B111" s="7" t="str">
        <f aca="false">PROPER(TRIM(customer_churn_dataset!B111))</f>
        <v>Premium</v>
      </c>
      <c r="C111" s="7" t="str">
        <f aca="false">PROPER(TRIM(customer_churn_dataset!C111))</f>
        <v>Month-To-Month</v>
      </c>
      <c r="D111" s="7" t="n">
        <f aca="false">IF(ISBLANK(customer_churn_dataset!D111),ROUND(MEDIAN(customer_churn_dataset!D$2:D$1501),2),IF(customer_churn_dataset!D111&lt;0,ABS(customer_churn_dataset!D111),customer_churn_dataset!D111))</f>
        <v>40.34</v>
      </c>
      <c r="E111" s="7" t="n">
        <f aca="false">IF(ISBLANK(customer_churn_dataset!E111),0,MAX(0,customer_churn_dataset!E111))</f>
        <v>1</v>
      </c>
      <c r="F111" s="8" t="n">
        <f aca="false">IF(ISBLANK(customer_churn_dataset!F111),"",customer_churn_dataset!F111)</f>
        <v>43974</v>
      </c>
      <c r="G111" s="7" t="str">
        <f aca="false">PROPER(TRIM(customer_churn_dataset!G111))</f>
        <v>Paypal</v>
      </c>
      <c r="H111" s="7" t="n">
        <f aca="false">IF(ISBLANK(customer_churn_dataset!H111),0,customer_churn_dataset!H111)</f>
        <v>1</v>
      </c>
      <c r="I111" s="7" t="n">
        <f aca="false">IF(ISBLANK(customer_churn_dataset!I111),ROUND(MEDIAN(customer_churn_dataset!I$2:I$1501),1),MIN(100,MAX(0,customer_churn_dataset!I111)))</f>
        <v>46</v>
      </c>
      <c r="J111" s="7" t="n">
        <f aca="false">IF(ISBLANK(customer_churn_dataset!J111),0,MAX(0,customer_churn_dataset!J111))</f>
        <v>14</v>
      </c>
      <c r="K111" s="7" t="n">
        <f aca="false">IF(ISBLANK(customer_churn_dataset!K111),0,MIN(10,MAX(0,customer_churn_dataset!K111)))</f>
        <v>5</v>
      </c>
      <c r="L111" s="7" t="n">
        <f aca="false">IF(ISBLANK(customer_churn_dataset!L111),0,MAX(0,customer_churn_dataset!L111))</f>
        <v>0</v>
      </c>
      <c r="M111" s="7" t="n">
        <f aca="false">IF(ISBLANK(customer_churn_dataset!M111),0,customer_churn_dataset!M111)</f>
        <v>0</v>
      </c>
      <c r="N111" s="7" t="n">
        <f aca="false">IF(ISBLANK(customer_churn_dataset!N111),0,MAX(0,customer_churn_dataset!N111))</f>
        <v>40.34</v>
      </c>
      <c r="O111" s="7" t="n">
        <f aca="false">IF(ISBLANK(customer_churn_dataset!O111),0,customer_churn_dataset!O111)</f>
        <v>0</v>
      </c>
      <c r="P111" s="7" t="str">
        <f aca="false">IF(COUNTIF(customer_churn_dataset!$A$2:$A$1501,customer_churn_dataset!A111)&gt;1,"Duplicate","Unique")</f>
        <v>Unique</v>
      </c>
    </row>
    <row r="112" customFormat="false" ht="14.15" hidden="false" customHeight="true" outlineLevel="0" collapsed="false">
      <c r="A112" s="7" t="str">
        <f aca="false">TRIM(customer_churn_dataset!A112)</f>
        <v>CUST101411</v>
      </c>
      <c r="B112" s="7" t="str">
        <f aca="false">PROPER(TRIM(customer_churn_dataset!B112))</f>
        <v>Basic</v>
      </c>
      <c r="C112" s="7" t="str">
        <f aca="false">PROPER(TRIM(customer_churn_dataset!C112))</f>
        <v>Month-To-Month</v>
      </c>
      <c r="D112" s="7" t="n">
        <f aca="false">IF(ISBLANK(customer_churn_dataset!D112),ROUND(MEDIAN(customer_churn_dataset!D$2:D$1501),2),IF(customer_churn_dataset!D112&lt;0,ABS(customer_churn_dataset!D112),customer_churn_dataset!D112))</f>
        <v>8.54</v>
      </c>
      <c r="E112" s="7" t="n">
        <f aca="false">IF(ISBLANK(customer_churn_dataset!E112),0,MAX(0,customer_churn_dataset!E112))</f>
        <v>9</v>
      </c>
      <c r="F112" s="8" t="n">
        <f aca="false">IF(ISBLANK(customer_churn_dataset!F112),"",customer_churn_dataset!F112)</f>
        <v>43975</v>
      </c>
      <c r="G112" s="7" t="str">
        <f aca="false">PROPER(TRIM(customer_churn_dataset!G112))</f>
        <v>Bank Transfer</v>
      </c>
      <c r="H112" s="7" t="n">
        <f aca="false">IF(ISBLANK(customer_churn_dataset!H112),0,customer_churn_dataset!H112)</f>
        <v>1</v>
      </c>
      <c r="I112" s="7" t="n">
        <f aca="false">IF(ISBLANK(customer_churn_dataset!I112),ROUND(MEDIAN(customer_churn_dataset!I$2:I$1501),1),MIN(100,MAX(0,customer_churn_dataset!I112)))</f>
        <v>0</v>
      </c>
      <c r="J112" s="7" t="n">
        <f aca="false">IF(ISBLANK(customer_churn_dataset!J112),0,MAX(0,customer_churn_dataset!J112))</f>
        <v>2</v>
      </c>
      <c r="K112" s="7" t="n">
        <f aca="false">IF(ISBLANK(customer_churn_dataset!K112),0,MIN(10,MAX(0,customer_churn_dataset!K112)))</f>
        <v>2</v>
      </c>
      <c r="L112" s="7" t="n">
        <f aca="false">IF(ISBLANK(customer_churn_dataset!L112),0,MAX(0,customer_churn_dataset!L112))</f>
        <v>2</v>
      </c>
      <c r="M112" s="7" t="n">
        <f aca="false">IF(ISBLANK(customer_churn_dataset!M112),0,customer_churn_dataset!M112)</f>
        <v>1</v>
      </c>
      <c r="N112" s="7" t="n">
        <f aca="false">IF(ISBLANK(customer_churn_dataset!N112),0,MAX(0,customer_churn_dataset!N112))</f>
        <v>76.86</v>
      </c>
      <c r="O112" s="7" t="n">
        <f aca="false">IF(ISBLANK(customer_churn_dataset!O112),0,customer_churn_dataset!O112)</f>
        <v>1</v>
      </c>
      <c r="P112" s="7" t="str">
        <f aca="false">IF(COUNTIF(customer_churn_dataset!$A$2:$A$1501,customer_churn_dataset!A112)&gt;1,"Duplicate","Unique")</f>
        <v>Unique</v>
      </c>
    </row>
    <row r="113" customFormat="false" ht="14.15" hidden="false" customHeight="true" outlineLevel="0" collapsed="false">
      <c r="A113" s="7" t="str">
        <f aca="false">TRIM(customer_churn_dataset!A113)</f>
        <v>CUST101241</v>
      </c>
      <c r="B113" s="7" t="str">
        <f aca="false">PROPER(TRIM(customer_churn_dataset!B113))</f>
        <v>Standard</v>
      </c>
      <c r="C113" s="7" t="str">
        <f aca="false">PROPER(TRIM(customer_churn_dataset!C113))</f>
        <v>Month-To-Month</v>
      </c>
      <c r="D113" s="7" t="n">
        <f aca="false">IF(ISBLANK(customer_churn_dataset!D113),ROUND(MEDIAN(customer_churn_dataset!D$2:D$1501),2),IF(customer_churn_dataset!D113&lt;0,ABS(customer_churn_dataset!D113),customer_churn_dataset!D113))</f>
        <v>20.17</v>
      </c>
      <c r="E113" s="7" t="n">
        <f aca="false">IF(ISBLANK(customer_churn_dataset!E113),0,MAX(0,customer_churn_dataset!E113))</f>
        <v>1</v>
      </c>
      <c r="F113" s="8" t="n">
        <f aca="false">IF(ISBLANK(customer_churn_dataset!F113),"",customer_churn_dataset!F113)</f>
        <v>43975</v>
      </c>
      <c r="G113" s="7" t="str">
        <f aca="false">PROPER(TRIM(customer_churn_dataset!G113))</f>
        <v>Paypal</v>
      </c>
      <c r="H113" s="7" t="n">
        <f aca="false">IF(ISBLANK(customer_churn_dataset!H113),0,customer_churn_dataset!H113)</f>
        <v>1</v>
      </c>
      <c r="I113" s="7" t="n">
        <f aca="false">IF(ISBLANK(customer_churn_dataset!I113),ROUND(MEDIAN(customer_churn_dataset!I$2:I$1501),1),MIN(100,MAX(0,customer_churn_dataset!I113)))</f>
        <v>100</v>
      </c>
      <c r="J113" s="7" t="n">
        <f aca="false">IF(ISBLANK(customer_churn_dataset!J113),0,MAX(0,customer_churn_dataset!J113))</f>
        <v>37</v>
      </c>
      <c r="K113" s="7" t="n">
        <f aca="false">IF(ISBLANK(customer_churn_dataset!K113),0,MIN(10,MAX(0,customer_churn_dataset!K113)))</f>
        <v>9</v>
      </c>
      <c r="L113" s="7" t="n">
        <f aca="false">IF(ISBLANK(customer_churn_dataset!L113),0,MAX(0,customer_churn_dataset!L113))</f>
        <v>1</v>
      </c>
      <c r="M113" s="7" t="n">
        <f aca="false">IF(ISBLANK(customer_churn_dataset!M113),0,customer_churn_dataset!M113)</f>
        <v>1</v>
      </c>
      <c r="N113" s="7" t="n">
        <f aca="false">IF(ISBLANK(customer_churn_dataset!N113),0,MAX(0,customer_churn_dataset!N113))</f>
        <v>20.17</v>
      </c>
      <c r="O113" s="7" t="n">
        <f aca="false">IF(ISBLANK(customer_churn_dataset!O113),0,customer_churn_dataset!O113)</f>
        <v>0</v>
      </c>
      <c r="P113" s="7" t="str">
        <f aca="false">IF(COUNTIF(customer_churn_dataset!$A$2:$A$1501,customer_churn_dataset!A113)&gt;1,"Duplicate","Unique")</f>
        <v>Unique</v>
      </c>
    </row>
    <row r="114" customFormat="false" ht="14.15" hidden="false" customHeight="true" outlineLevel="0" collapsed="false">
      <c r="A114" s="7" t="str">
        <f aca="false">TRIM(customer_churn_dataset!A114)</f>
        <v>CUST100177</v>
      </c>
      <c r="B114" s="7" t="str">
        <f aca="false">PROPER(TRIM(customer_churn_dataset!B114))</f>
        <v>Basic</v>
      </c>
      <c r="C114" s="7" t="str">
        <f aca="false">PROPER(TRIM(customer_churn_dataset!C114))</f>
        <v>Month-To-Month</v>
      </c>
      <c r="D114" s="7" t="n">
        <f aca="false">IF(ISBLANK(customer_churn_dataset!D114),ROUND(MEDIAN(customer_churn_dataset!D$2:D$1501),2),IF(customer_churn_dataset!D114&lt;0,ABS(customer_churn_dataset!D114),customer_churn_dataset!D114))</f>
        <v>9.69</v>
      </c>
      <c r="E114" s="7" t="n">
        <f aca="false">IF(ISBLANK(customer_churn_dataset!E114),0,MAX(0,customer_churn_dataset!E114))</f>
        <v>24</v>
      </c>
      <c r="F114" s="8" t="n">
        <f aca="false">IF(ISBLANK(customer_churn_dataset!F114),"",customer_churn_dataset!F114)</f>
        <v>43976</v>
      </c>
      <c r="G114" s="7" t="str">
        <f aca="false">PROPER(TRIM(customer_churn_dataset!G114))</f>
        <v>Credit Card</v>
      </c>
      <c r="H114" s="7" t="n">
        <f aca="false">IF(ISBLANK(customer_churn_dataset!H114),0,customer_churn_dataset!H114)</f>
        <v>1</v>
      </c>
      <c r="I114" s="7" t="n">
        <f aca="false">IF(ISBLANK(customer_churn_dataset!I114),ROUND(MEDIAN(customer_churn_dataset!I$2:I$1501),1),MIN(100,MAX(0,customer_churn_dataset!I114)))</f>
        <v>56.3</v>
      </c>
      <c r="J114" s="7" t="n">
        <f aca="false">IF(ISBLANK(customer_churn_dataset!J114),0,MAX(0,customer_churn_dataset!J114))</f>
        <v>18</v>
      </c>
      <c r="K114" s="7" t="n">
        <f aca="false">IF(ISBLANK(customer_churn_dataset!K114),0,MIN(10,MAX(0,customer_churn_dataset!K114)))</f>
        <v>7</v>
      </c>
      <c r="L114" s="7" t="n">
        <f aca="false">IF(ISBLANK(customer_churn_dataset!L114),0,MAX(0,customer_churn_dataset!L114))</f>
        <v>2</v>
      </c>
      <c r="M114" s="7" t="n">
        <f aca="false">IF(ISBLANK(customer_churn_dataset!M114),0,customer_churn_dataset!M114)</f>
        <v>1</v>
      </c>
      <c r="N114" s="7" t="n">
        <f aca="false">IF(ISBLANK(customer_churn_dataset!N114),0,MAX(0,customer_churn_dataset!N114))</f>
        <v>232.56</v>
      </c>
      <c r="O114" s="7" t="n">
        <f aca="false">IF(ISBLANK(customer_churn_dataset!O114),0,customer_churn_dataset!O114)</f>
        <v>0</v>
      </c>
      <c r="P114" s="7" t="str">
        <f aca="false">IF(COUNTIF(customer_churn_dataset!$A$2:$A$1501,customer_churn_dataset!A114)&gt;1,"Duplicate","Unique")</f>
        <v>Unique</v>
      </c>
    </row>
    <row r="115" customFormat="false" ht="14.15" hidden="false" customHeight="true" outlineLevel="0" collapsed="false">
      <c r="A115" s="7" t="str">
        <f aca="false">TRIM(customer_churn_dataset!A115)</f>
        <v>CUST101136</v>
      </c>
      <c r="B115" s="7" t="str">
        <f aca="false">PROPER(TRIM(customer_churn_dataset!B115))</f>
        <v>Premium</v>
      </c>
      <c r="C115" s="7" t="str">
        <f aca="false">PROPER(TRIM(customer_churn_dataset!C115))</f>
        <v>Month-To-Month</v>
      </c>
      <c r="D115" s="7" t="n">
        <f aca="false">IF(ISBLANK(customer_churn_dataset!D115),ROUND(MEDIAN(customer_churn_dataset!D$2:D$1501),2),IF(customer_churn_dataset!D115&lt;0,ABS(customer_churn_dataset!D115),customer_churn_dataset!D115))</f>
        <v>40.41</v>
      </c>
      <c r="E115" s="7" t="n">
        <f aca="false">IF(ISBLANK(customer_churn_dataset!E115),0,MAX(0,customer_churn_dataset!E115))</f>
        <v>45</v>
      </c>
      <c r="F115" s="8" t="n">
        <f aca="false">IF(ISBLANK(customer_churn_dataset!F115),"",customer_churn_dataset!F115)</f>
        <v>43978</v>
      </c>
      <c r="G115" s="7" t="str">
        <f aca="false">PROPER(TRIM(customer_churn_dataset!G115))</f>
        <v>Credit Card</v>
      </c>
      <c r="H115" s="7" t="n">
        <f aca="false">IF(ISBLANK(customer_churn_dataset!H115),0,customer_churn_dataset!H115)</f>
        <v>1</v>
      </c>
      <c r="I115" s="7" t="n">
        <f aca="false">IF(ISBLANK(customer_churn_dataset!I115),ROUND(MEDIAN(customer_churn_dataset!I$2:I$1501),1),MIN(100,MAX(0,customer_churn_dataset!I115)))</f>
        <v>54.3</v>
      </c>
      <c r="J115" s="7" t="n">
        <f aca="false">IF(ISBLANK(customer_churn_dataset!J115),0,MAX(0,customer_churn_dataset!J115))</f>
        <v>14</v>
      </c>
      <c r="K115" s="7" t="n">
        <f aca="false">IF(ISBLANK(customer_churn_dataset!K115),0,MIN(10,MAX(0,customer_churn_dataset!K115)))</f>
        <v>4</v>
      </c>
      <c r="L115" s="7" t="n">
        <f aca="false">IF(ISBLANK(customer_churn_dataset!L115),0,MAX(0,customer_churn_dataset!L115))</f>
        <v>0</v>
      </c>
      <c r="M115" s="7" t="n">
        <f aca="false">IF(ISBLANK(customer_churn_dataset!M115),0,customer_churn_dataset!M115)</f>
        <v>0</v>
      </c>
      <c r="N115" s="7" t="n">
        <f aca="false">IF(ISBLANK(customer_churn_dataset!N115),0,MAX(0,customer_churn_dataset!N115))</f>
        <v>1818.45</v>
      </c>
      <c r="O115" s="7" t="n">
        <f aca="false">IF(ISBLANK(customer_churn_dataset!O115),0,customer_churn_dataset!O115)</f>
        <v>0</v>
      </c>
      <c r="P115" s="7" t="str">
        <f aca="false">IF(COUNTIF(customer_churn_dataset!$A$2:$A$1501,customer_churn_dataset!A115)&gt;1,"Duplicate","Unique")</f>
        <v>Unique</v>
      </c>
    </row>
    <row r="116" customFormat="false" ht="14.15" hidden="false" customHeight="true" outlineLevel="0" collapsed="false">
      <c r="A116" s="7" t="str">
        <f aca="false">TRIM(customer_churn_dataset!A116)</f>
        <v>CUST100405</v>
      </c>
      <c r="B116" s="7" t="str">
        <f aca="false">PROPER(TRIM(customer_churn_dataset!B116))</f>
        <v>Premium</v>
      </c>
      <c r="C116" s="7" t="str">
        <f aca="false">PROPER(TRIM(customer_churn_dataset!C116))</f>
        <v>Two Year</v>
      </c>
      <c r="D116" s="7" t="n">
        <f aca="false">IF(ISBLANK(customer_churn_dataset!D116),ROUND(MEDIAN(customer_churn_dataset!D$2:D$1501),2),IF(customer_churn_dataset!D116&lt;0,ABS(customer_churn_dataset!D116),customer_churn_dataset!D116))</f>
        <v>39.71</v>
      </c>
      <c r="E116" s="7" t="n">
        <f aca="false">IF(ISBLANK(customer_churn_dataset!E116),0,MAX(0,customer_churn_dataset!E116))</f>
        <v>3</v>
      </c>
      <c r="F116" s="8" t="n">
        <f aca="false">IF(ISBLANK(customer_churn_dataset!F116),"",customer_churn_dataset!F116)</f>
        <v>43978</v>
      </c>
      <c r="G116" s="7" t="str">
        <f aca="false">PROPER(TRIM(customer_churn_dataset!G116))</f>
        <v>Bank Transfer</v>
      </c>
      <c r="H116" s="7" t="n">
        <f aca="false">IF(ISBLANK(customer_churn_dataset!H116),0,customer_churn_dataset!H116)</f>
        <v>0</v>
      </c>
      <c r="I116" s="7" t="n">
        <f aca="false">IF(ISBLANK(customer_churn_dataset!I116),ROUND(MEDIAN(customer_churn_dataset!I$2:I$1501),1),MIN(100,MAX(0,customer_churn_dataset!I116)))</f>
        <v>21</v>
      </c>
      <c r="J116" s="7" t="n">
        <f aca="false">IF(ISBLANK(customer_churn_dataset!J116),0,MAX(0,customer_churn_dataset!J116))</f>
        <v>0</v>
      </c>
      <c r="K116" s="7" t="n">
        <f aca="false">IF(ISBLANK(customer_churn_dataset!K116),0,MIN(10,MAX(0,customer_churn_dataset!K116)))</f>
        <v>4</v>
      </c>
      <c r="L116" s="7" t="n">
        <f aca="false">IF(ISBLANK(customer_churn_dataset!L116),0,MAX(0,customer_churn_dataset!L116))</f>
        <v>3</v>
      </c>
      <c r="M116" s="7" t="n">
        <f aca="false">IF(ISBLANK(customer_churn_dataset!M116),0,customer_churn_dataset!M116)</f>
        <v>0</v>
      </c>
      <c r="N116" s="7" t="n">
        <f aca="false">IF(ISBLANK(customer_churn_dataset!N116),0,MAX(0,customer_churn_dataset!N116))</f>
        <v>119.13</v>
      </c>
      <c r="O116" s="7" t="n">
        <f aca="false">IF(ISBLANK(customer_churn_dataset!O116),0,customer_churn_dataset!O116)</f>
        <v>1</v>
      </c>
      <c r="P116" s="7" t="str">
        <f aca="false">IF(COUNTIF(customer_churn_dataset!$A$2:$A$1501,customer_churn_dataset!A116)&gt;1,"Duplicate","Unique")</f>
        <v>Unique</v>
      </c>
    </row>
    <row r="117" customFormat="false" ht="14.15" hidden="false" customHeight="true" outlineLevel="0" collapsed="false">
      <c r="A117" s="7" t="str">
        <f aca="false">TRIM(customer_churn_dataset!A117)</f>
        <v>CUST101217</v>
      </c>
      <c r="B117" s="7" t="str">
        <f aca="false">PROPER(TRIM(customer_churn_dataset!B117))</f>
        <v>Standard</v>
      </c>
      <c r="C117" s="7" t="str">
        <f aca="false">PROPER(TRIM(customer_churn_dataset!C117))</f>
        <v>One Year</v>
      </c>
      <c r="D117" s="7" t="n">
        <f aca="false">IF(ISBLANK(customer_churn_dataset!D117),ROUND(MEDIAN(customer_churn_dataset!D$2:D$1501),2),IF(customer_churn_dataset!D117&lt;0,ABS(customer_churn_dataset!D117),customer_churn_dataset!D117))</f>
        <v>18.66</v>
      </c>
      <c r="E117" s="7" t="n">
        <f aca="false">IF(ISBLANK(customer_churn_dataset!E117),0,MAX(0,customer_churn_dataset!E117))</f>
        <v>6</v>
      </c>
      <c r="F117" s="8" t="n">
        <f aca="false">IF(ISBLANK(customer_churn_dataset!F117),"",customer_churn_dataset!F117)</f>
        <v>43982</v>
      </c>
      <c r="G117" s="7" t="str">
        <f aca="false">PROPER(TRIM(customer_churn_dataset!G117))</f>
        <v>Credit Card</v>
      </c>
      <c r="H117" s="7" t="n">
        <f aca="false">IF(ISBLANK(customer_churn_dataset!H117),0,customer_churn_dataset!H117)</f>
        <v>1</v>
      </c>
      <c r="I117" s="7" t="n">
        <f aca="false">IF(ISBLANK(customer_churn_dataset!I117),ROUND(MEDIAN(customer_churn_dataset!I$2:I$1501),1),MIN(100,MAX(0,customer_churn_dataset!I117)))</f>
        <v>36.8</v>
      </c>
      <c r="J117" s="7" t="n">
        <f aca="false">IF(ISBLANK(customer_churn_dataset!J117),0,MAX(0,customer_churn_dataset!J117))</f>
        <v>9</v>
      </c>
      <c r="K117" s="7" t="n">
        <f aca="false">IF(ISBLANK(customer_churn_dataset!K117),0,MIN(10,MAX(0,customer_churn_dataset!K117)))</f>
        <v>4</v>
      </c>
      <c r="L117" s="7" t="n">
        <f aca="false">IF(ISBLANK(customer_churn_dataset!L117),0,MAX(0,customer_churn_dataset!L117))</f>
        <v>1</v>
      </c>
      <c r="M117" s="7" t="n">
        <f aca="false">IF(ISBLANK(customer_churn_dataset!M117),0,customer_churn_dataset!M117)</f>
        <v>1</v>
      </c>
      <c r="N117" s="7" t="n">
        <f aca="false">IF(ISBLANK(customer_churn_dataset!N117),0,MAX(0,customer_churn_dataset!N117))</f>
        <v>111.96</v>
      </c>
      <c r="O117" s="7" t="n">
        <f aca="false">IF(ISBLANK(customer_churn_dataset!O117),0,customer_churn_dataset!O117)</f>
        <v>0</v>
      </c>
      <c r="P117" s="7" t="str">
        <f aca="false">IF(COUNTIF(customer_churn_dataset!$A$2:$A$1501,customer_churn_dataset!A117)&gt;1,"Duplicate","Unique")</f>
        <v>Unique</v>
      </c>
    </row>
    <row r="118" customFormat="false" ht="14.15" hidden="false" customHeight="true" outlineLevel="0" collapsed="false">
      <c r="A118" s="7" t="str">
        <f aca="false">TRIM(customer_churn_dataset!A118)</f>
        <v>CUST100206</v>
      </c>
      <c r="B118" s="7" t="str">
        <f aca="false">PROPER(TRIM(customer_churn_dataset!B118))</f>
        <v>Basic</v>
      </c>
      <c r="C118" s="7" t="str">
        <f aca="false">PROPER(TRIM(customer_churn_dataset!C118))</f>
        <v>One Year</v>
      </c>
      <c r="D118" s="7" t="n">
        <f aca="false">IF(ISBLANK(customer_churn_dataset!D118),ROUND(MEDIAN(customer_churn_dataset!D$2:D$1501),2),IF(customer_churn_dataset!D118&lt;0,ABS(customer_churn_dataset!D118),customer_churn_dataset!D118))</f>
        <v>9.96</v>
      </c>
      <c r="E118" s="7" t="n">
        <f aca="false">IF(ISBLANK(customer_churn_dataset!E118),0,MAX(0,customer_churn_dataset!E118))</f>
        <v>14</v>
      </c>
      <c r="F118" s="8" t="n">
        <f aca="false">IF(ISBLANK(customer_churn_dataset!F118),"",customer_churn_dataset!F118)</f>
        <v>43985</v>
      </c>
      <c r="G118" s="7" t="str">
        <f aca="false">PROPER(TRIM(customer_churn_dataset!G118))</f>
        <v>Credit Card</v>
      </c>
      <c r="H118" s="7" t="n">
        <f aca="false">IF(ISBLANK(customer_churn_dataset!H118),0,customer_churn_dataset!H118)</f>
        <v>0</v>
      </c>
      <c r="I118" s="7" t="n">
        <f aca="false">IF(ISBLANK(customer_churn_dataset!I118),ROUND(MEDIAN(customer_churn_dataset!I$2:I$1501),1),MIN(100,MAX(0,customer_churn_dataset!I118)))</f>
        <v>53.4</v>
      </c>
      <c r="J118" s="7" t="n">
        <f aca="false">IF(ISBLANK(customer_churn_dataset!J118),0,MAX(0,customer_churn_dataset!J118))</f>
        <v>16</v>
      </c>
      <c r="K118" s="7" t="n">
        <f aca="false">IF(ISBLANK(customer_churn_dataset!K118),0,MIN(10,MAX(0,customer_churn_dataset!K118)))</f>
        <v>4</v>
      </c>
      <c r="L118" s="7" t="n">
        <f aca="false">IF(ISBLANK(customer_churn_dataset!L118),0,MAX(0,customer_churn_dataset!L118))</f>
        <v>0</v>
      </c>
      <c r="M118" s="7" t="n">
        <f aca="false">IF(ISBLANK(customer_churn_dataset!M118),0,customer_churn_dataset!M118)</f>
        <v>0</v>
      </c>
      <c r="N118" s="7" t="n">
        <f aca="false">IF(ISBLANK(customer_churn_dataset!N118),0,MAX(0,customer_churn_dataset!N118))</f>
        <v>139.44</v>
      </c>
      <c r="O118" s="7" t="n">
        <f aca="false">IF(ISBLANK(customer_churn_dataset!O118),0,customer_churn_dataset!O118)</f>
        <v>0</v>
      </c>
      <c r="P118" s="7" t="str">
        <f aca="false">IF(COUNTIF(customer_churn_dataset!$A$2:$A$1501,customer_churn_dataset!A118)&gt;1,"Duplicate","Unique")</f>
        <v>Unique</v>
      </c>
    </row>
    <row r="119" customFormat="false" ht="14.15" hidden="false" customHeight="true" outlineLevel="0" collapsed="false">
      <c r="A119" s="7" t="str">
        <f aca="false">TRIM(customer_churn_dataset!A119)</f>
        <v>CUST100233</v>
      </c>
      <c r="B119" s="7" t="str">
        <f aca="false">PROPER(TRIM(customer_churn_dataset!B119))</f>
        <v>Standard</v>
      </c>
      <c r="C119" s="7" t="str">
        <f aca="false">PROPER(TRIM(customer_churn_dataset!C119))</f>
        <v>One Year</v>
      </c>
      <c r="D119" s="7" t="n">
        <f aca="false">IF(ISBLANK(customer_churn_dataset!D119),ROUND(MEDIAN(customer_churn_dataset!D$2:D$1501),2),IF(customer_churn_dataset!D119&lt;0,ABS(customer_churn_dataset!D119),customer_churn_dataset!D119))</f>
        <v>20.13</v>
      </c>
      <c r="E119" s="7" t="n">
        <f aca="false">IF(ISBLANK(customer_churn_dataset!E119),0,MAX(0,customer_churn_dataset!E119))</f>
        <v>0</v>
      </c>
      <c r="F119" s="8" t="n">
        <f aca="false">IF(ISBLANK(customer_churn_dataset!F119),"",customer_churn_dataset!F119)</f>
        <v>43985</v>
      </c>
      <c r="G119" s="7" t="str">
        <f aca="false">PROPER(TRIM(customer_churn_dataset!G119))</f>
        <v>Paypal</v>
      </c>
      <c r="H119" s="7" t="n">
        <f aca="false">IF(ISBLANK(customer_churn_dataset!H119),0,customer_churn_dataset!H119)</f>
        <v>0</v>
      </c>
      <c r="I119" s="7" t="n">
        <f aca="false">IF(ISBLANK(customer_churn_dataset!I119),ROUND(MEDIAN(customer_churn_dataset!I$2:I$1501),1),MIN(100,MAX(0,customer_churn_dataset!I119)))</f>
        <v>28.2</v>
      </c>
      <c r="J119" s="7" t="n">
        <f aca="false">IF(ISBLANK(customer_churn_dataset!J119),0,MAX(0,customer_churn_dataset!J119))</f>
        <v>14</v>
      </c>
      <c r="K119" s="7" t="n">
        <f aca="false">IF(ISBLANK(customer_churn_dataset!K119),0,MIN(10,MAX(0,customer_churn_dataset!K119)))</f>
        <v>2</v>
      </c>
      <c r="L119" s="7" t="n">
        <f aca="false">IF(ISBLANK(customer_churn_dataset!L119),0,MAX(0,customer_churn_dataset!L119))</f>
        <v>2</v>
      </c>
      <c r="M119" s="7" t="n">
        <f aca="false">IF(ISBLANK(customer_churn_dataset!M119),0,customer_churn_dataset!M119)</f>
        <v>0</v>
      </c>
      <c r="N119" s="7" t="n">
        <f aca="false">IF(ISBLANK(customer_churn_dataset!N119),0,MAX(0,customer_churn_dataset!N119))</f>
        <v>0</v>
      </c>
      <c r="O119" s="7" t="n">
        <f aca="false">IF(ISBLANK(customer_churn_dataset!O119),0,customer_churn_dataset!O119)</f>
        <v>0</v>
      </c>
      <c r="P119" s="7" t="str">
        <f aca="false">IF(COUNTIF(customer_churn_dataset!$A$2:$A$1501,customer_churn_dataset!A119)&gt;1,"Duplicate","Unique")</f>
        <v>Unique</v>
      </c>
    </row>
    <row r="120" customFormat="false" ht="14.15" hidden="false" customHeight="true" outlineLevel="0" collapsed="false">
      <c r="A120" s="7" t="str">
        <f aca="false">TRIM(customer_churn_dataset!A120)</f>
        <v>CUST100955</v>
      </c>
      <c r="B120" s="7" t="str">
        <f aca="false">PROPER(TRIM(customer_churn_dataset!B120))</f>
        <v>Basic</v>
      </c>
      <c r="C120" s="7" t="str">
        <f aca="false">PROPER(TRIM(customer_churn_dataset!C120))</f>
        <v>Two Year</v>
      </c>
      <c r="D120" s="7" t="n">
        <f aca="false">IF(ISBLANK(customer_churn_dataset!D120),ROUND(MEDIAN(customer_churn_dataset!D$2:D$1501),2),IF(customer_churn_dataset!D120&lt;0,ABS(customer_churn_dataset!D120),customer_churn_dataset!D120))</f>
        <v>9.48</v>
      </c>
      <c r="E120" s="7" t="n">
        <f aca="false">IF(ISBLANK(customer_churn_dataset!E120),0,MAX(0,customer_churn_dataset!E120))</f>
        <v>12</v>
      </c>
      <c r="F120" s="8" t="n">
        <f aca="false">IF(ISBLANK(customer_churn_dataset!F120),"",customer_churn_dataset!F120)</f>
        <v>43985</v>
      </c>
      <c r="G120" s="7" t="str">
        <f aca="false">PROPER(TRIM(customer_churn_dataset!G120))</f>
        <v>Paypal</v>
      </c>
      <c r="H120" s="7" t="n">
        <f aca="false">IF(ISBLANK(customer_churn_dataset!H120),0,customer_churn_dataset!H120)</f>
        <v>0</v>
      </c>
      <c r="I120" s="7" t="n">
        <f aca="false">IF(ISBLANK(customer_churn_dataset!I120),ROUND(MEDIAN(customer_churn_dataset!I$2:I$1501),1),MIN(100,MAX(0,customer_churn_dataset!I120)))</f>
        <v>13.6</v>
      </c>
      <c r="J120" s="7" t="n">
        <f aca="false">IF(ISBLANK(customer_churn_dataset!J120),0,MAX(0,customer_churn_dataset!J120))</f>
        <v>0</v>
      </c>
      <c r="K120" s="7" t="n">
        <f aca="false">IF(ISBLANK(customer_churn_dataset!K120),0,MIN(10,MAX(0,customer_churn_dataset!K120)))</f>
        <v>3</v>
      </c>
      <c r="L120" s="7" t="n">
        <f aca="false">IF(ISBLANK(customer_churn_dataset!L120),0,MAX(0,customer_churn_dataset!L120))</f>
        <v>4</v>
      </c>
      <c r="M120" s="7" t="n">
        <f aca="false">IF(ISBLANK(customer_churn_dataset!M120),0,customer_churn_dataset!M120)</f>
        <v>0</v>
      </c>
      <c r="N120" s="7" t="n">
        <f aca="false">IF(ISBLANK(customer_churn_dataset!N120),0,MAX(0,customer_churn_dataset!N120))</f>
        <v>113.76</v>
      </c>
      <c r="O120" s="7" t="n">
        <f aca="false">IF(ISBLANK(customer_churn_dataset!O120),0,customer_churn_dataset!O120)</f>
        <v>0</v>
      </c>
      <c r="P120" s="7" t="str">
        <f aca="false">IF(COUNTIF(customer_churn_dataset!$A$2:$A$1501,customer_churn_dataset!A120)&gt;1,"Duplicate","Unique")</f>
        <v>Unique</v>
      </c>
    </row>
    <row r="121" customFormat="false" ht="14.15" hidden="false" customHeight="true" outlineLevel="0" collapsed="false">
      <c r="A121" s="7" t="str">
        <f aca="false">TRIM(customer_churn_dataset!A121)</f>
        <v>CUST100272</v>
      </c>
      <c r="B121" s="7" t="str">
        <f aca="false">PROPER(TRIM(customer_churn_dataset!B121))</f>
        <v>Premium</v>
      </c>
      <c r="C121" s="7" t="str">
        <f aca="false">PROPER(TRIM(customer_churn_dataset!C121))</f>
        <v>Month-To-Month</v>
      </c>
      <c r="D121" s="7" t="n">
        <f aca="false">IF(ISBLANK(customer_churn_dataset!D121),ROUND(MEDIAN(customer_churn_dataset!D$2:D$1501),2),IF(customer_churn_dataset!D121&lt;0,ABS(customer_churn_dataset!D121),customer_churn_dataset!D121))</f>
        <v>40.85</v>
      </c>
      <c r="E121" s="7" t="n">
        <f aca="false">IF(ISBLANK(customer_churn_dataset!E121),0,MAX(0,customer_churn_dataset!E121))</f>
        <v>25</v>
      </c>
      <c r="F121" s="8" t="n">
        <f aca="false">IF(ISBLANK(customer_churn_dataset!F121),"",customer_churn_dataset!F121)</f>
        <v>43988</v>
      </c>
      <c r="G121" s="7" t="str">
        <f aca="false">PROPER(TRIM(customer_churn_dataset!G121))</f>
        <v>Credit Card</v>
      </c>
      <c r="H121" s="7" t="n">
        <f aca="false">IF(ISBLANK(customer_churn_dataset!H121),0,customer_churn_dataset!H121)</f>
        <v>0</v>
      </c>
      <c r="I121" s="7" t="n">
        <f aca="false">IF(ISBLANK(customer_churn_dataset!I121),ROUND(MEDIAN(customer_churn_dataset!I$2:I$1501),1),MIN(100,MAX(0,customer_churn_dataset!I121)))</f>
        <v>57.6</v>
      </c>
      <c r="J121" s="7" t="n">
        <f aca="false">IF(ISBLANK(customer_churn_dataset!J121),0,MAX(0,customer_churn_dataset!J121))</f>
        <v>15</v>
      </c>
      <c r="K121" s="7" t="n">
        <f aca="false">IF(ISBLANK(customer_churn_dataset!K121),0,MIN(10,MAX(0,customer_churn_dataset!K121)))</f>
        <v>3</v>
      </c>
      <c r="L121" s="7" t="n">
        <f aca="false">IF(ISBLANK(customer_churn_dataset!L121),0,MAX(0,customer_churn_dataset!L121))</f>
        <v>2</v>
      </c>
      <c r="M121" s="7" t="n">
        <f aca="false">IF(ISBLANK(customer_churn_dataset!M121),0,customer_churn_dataset!M121)</f>
        <v>0</v>
      </c>
      <c r="N121" s="7" t="n">
        <f aca="false">IF(ISBLANK(customer_churn_dataset!N121),0,MAX(0,customer_churn_dataset!N121))</f>
        <v>1021.25</v>
      </c>
      <c r="O121" s="7" t="n">
        <f aca="false">IF(ISBLANK(customer_churn_dataset!O121),0,customer_churn_dataset!O121)</f>
        <v>0</v>
      </c>
      <c r="P121" s="7" t="str">
        <f aca="false">IF(COUNTIF(customer_churn_dataset!$A$2:$A$1501,customer_churn_dataset!A121)&gt;1,"Duplicate","Unique")</f>
        <v>Unique</v>
      </c>
    </row>
    <row r="122" customFormat="false" ht="14.15" hidden="false" customHeight="true" outlineLevel="0" collapsed="false">
      <c r="A122" s="7" t="str">
        <f aca="false">TRIM(customer_churn_dataset!A122)</f>
        <v>CUST101303</v>
      </c>
      <c r="B122" s="7" t="str">
        <f aca="false">PROPER(TRIM(customer_churn_dataset!B122))</f>
        <v>Standard</v>
      </c>
      <c r="C122" s="7" t="str">
        <f aca="false">PROPER(TRIM(customer_churn_dataset!C122))</f>
        <v>One Year</v>
      </c>
      <c r="D122" s="7" t="n">
        <f aca="false">IF(ISBLANK(customer_churn_dataset!D122),ROUND(MEDIAN(customer_churn_dataset!D$2:D$1501),2),IF(customer_churn_dataset!D122&lt;0,ABS(customer_churn_dataset!D122),customer_churn_dataset!D122))</f>
        <v>18.75</v>
      </c>
      <c r="E122" s="7" t="n">
        <f aca="false">IF(ISBLANK(customer_churn_dataset!E122),0,MAX(0,customer_churn_dataset!E122))</f>
        <v>3</v>
      </c>
      <c r="F122" s="8" t="n">
        <f aca="false">IF(ISBLANK(customer_churn_dataset!F122),"",customer_churn_dataset!F122)</f>
        <v>43989</v>
      </c>
      <c r="G122" s="7" t="str">
        <f aca="false">PROPER(TRIM(customer_churn_dataset!G122))</f>
        <v>Credit Card</v>
      </c>
      <c r="H122" s="7" t="n">
        <f aca="false">IF(ISBLANK(customer_churn_dataset!H122),0,customer_churn_dataset!H122)</f>
        <v>1</v>
      </c>
      <c r="I122" s="7" t="n">
        <f aca="false">IF(ISBLANK(customer_churn_dataset!I122),ROUND(MEDIAN(customer_churn_dataset!I$2:I$1501),1),MIN(100,MAX(0,customer_churn_dataset!I122)))</f>
        <v>57</v>
      </c>
      <c r="J122" s="7" t="n">
        <f aca="false">IF(ISBLANK(customer_churn_dataset!J122),0,MAX(0,customer_churn_dataset!J122))</f>
        <v>9</v>
      </c>
      <c r="K122" s="7" t="n">
        <f aca="false">IF(ISBLANK(customer_churn_dataset!K122),0,MIN(10,MAX(0,customer_churn_dataset!K122)))</f>
        <v>6</v>
      </c>
      <c r="L122" s="7" t="n">
        <f aca="false">IF(ISBLANK(customer_churn_dataset!L122),0,MAX(0,customer_churn_dataset!L122))</f>
        <v>1</v>
      </c>
      <c r="M122" s="7" t="n">
        <f aca="false">IF(ISBLANK(customer_churn_dataset!M122),0,customer_churn_dataset!M122)</f>
        <v>0</v>
      </c>
      <c r="N122" s="7" t="n">
        <f aca="false">IF(ISBLANK(customer_churn_dataset!N122),0,MAX(0,customer_churn_dataset!N122))</f>
        <v>56.25</v>
      </c>
      <c r="O122" s="7" t="n">
        <f aca="false">IF(ISBLANK(customer_churn_dataset!O122),0,customer_churn_dataset!O122)</f>
        <v>0</v>
      </c>
      <c r="P122" s="7" t="str">
        <f aca="false">IF(COUNTIF(customer_churn_dataset!$A$2:$A$1501,customer_churn_dataset!A122)&gt;1,"Duplicate","Unique")</f>
        <v>Unique</v>
      </c>
    </row>
    <row r="123" customFormat="false" ht="14.15" hidden="false" customHeight="true" outlineLevel="0" collapsed="false">
      <c r="A123" s="7" t="str">
        <f aca="false">TRIM(customer_churn_dataset!A123)</f>
        <v>CUST100038</v>
      </c>
      <c r="B123" s="7" t="str">
        <f aca="false">PROPER(TRIM(customer_churn_dataset!B123))</f>
        <v>Standard</v>
      </c>
      <c r="C123" s="7" t="str">
        <f aca="false">PROPER(TRIM(customer_churn_dataset!C123))</f>
        <v>One Year</v>
      </c>
      <c r="D123" s="7" t="n">
        <f aca="false">IF(ISBLANK(customer_churn_dataset!D123),ROUND(MEDIAN(customer_churn_dataset!D$2:D$1501),2),IF(customer_churn_dataset!D123&lt;0,ABS(customer_churn_dataset!D123),customer_churn_dataset!D123))</f>
        <v>20.21</v>
      </c>
      <c r="E123" s="7" t="n">
        <f aca="false">IF(ISBLANK(customer_churn_dataset!E123),0,MAX(0,customer_churn_dataset!E123))</f>
        <v>57</v>
      </c>
      <c r="F123" s="8" t="n">
        <f aca="false">IF(ISBLANK(customer_churn_dataset!F123),"",customer_churn_dataset!F123)</f>
        <v>43990</v>
      </c>
      <c r="G123" s="7" t="str">
        <f aca="false">PROPER(TRIM(customer_churn_dataset!G123))</f>
        <v>Credit Card</v>
      </c>
      <c r="H123" s="7" t="n">
        <f aca="false">IF(ISBLANK(customer_churn_dataset!H123),0,customer_churn_dataset!H123)</f>
        <v>1</v>
      </c>
      <c r="I123" s="7" t="n">
        <f aca="false">IF(ISBLANK(customer_churn_dataset!I123),ROUND(MEDIAN(customer_churn_dataset!I$2:I$1501),1),MIN(100,MAX(0,customer_churn_dataset!I123)))</f>
        <v>39.9</v>
      </c>
      <c r="J123" s="7" t="n">
        <f aca="false">IF(ISBLANK(customer_churn_dataset!J123),0,MAX(0,customer_churn_dataset!J123))</f>
        <v>13</v>
      </c>
      <c r="K123" s="7" t="n">
        <f aca="false">IF(ISBLANK(customer_churn_dataset!K123),0,MIN(10,MAX(0,customer_churn_dataset!K123)))</f>
        <v>3</v>
      </c>
      <c r="L123" s="7" t="n">
        <f aca="false">IF(ISBLANK(customer_churn_dataset!L123),0,MAX(0,customer_churn_dataset!L123))</f>
        <v>2</v>
      </c>
      <c r="M123" s="7" t="n">
        <f aca="false">IF(ISBLANK(customer_churn_dataset!M123),0,customer_churn_dataset!M123)</f>
        <v>1</v>
      </c>
      <c r="N123" s="7" t="n">
        <f aca="false">IF(ISBLANK(customer_churn_dataset!N123),0,MAX(0,customer_churn_dataset!N123))</f>
        <v>1151.97</v>
      </c>
      <c r="O123" s="7" t="n">
        <f aca="false">IF(ISBLANK(customer_churn_dataset!O123),0,customer_churn_dataset!O123)</f>
        <v>0</v>
      </c>
      <c r="P123" s="7" t="str">
        <f aca="false">IF(COUNTIF(customer_churn_dataset!$A$2:$A$1501,customer_churn_dataset!A123)&gt;1,"Duplicate","Unique")</f>
        <v>Unique</v>
      </c>
    </row>
    <row r="124" customFormat="false" ht="14.15" hidden="false" customHeight="true" outlineLevel="0" collapsed="false">
      <c r="A124" s="7" t="str">
        <f aca="false">TRIM(customer_churn_dataset!A124)</f>
        <v>CUST100380</v>
      </c>
      <c r="B124" s="7" t="str">
        <f aca="false">PROPER(TRIM(customer_churn_dataset!B124))</f>
        <v>Basic</v>
      </c>
      <c r="C124" s="7" t="str">
        <f aca="false">PROPER(TRIM(customer_churn_dataset!C124))</f>
        <v>One Year</v>
      </c>
      <c r="D124" s="7" t="n">
        <f aca="false">IF(ISBLANK(customer_churn_dataset!D124),ROUND(MEDIAN(customer_churn_dataset!D$2:D$1501),2),IF(customer_churn_dataset!D124&lt;0,ABS(customer_churn_dataset!D124),customer_churn_dataset!D124))</f>
        <v>9.96</v>
      </c>
      <c r="E124" s="7" t="n">
        <f aca="false">IF(ISBLANK(customer_churn_dataset!E124),0,MAX(0,customer_churn_dataset!E124))</f>
        <v>35</v>
      </c>
      <c r="F124" s="8" t="n">
        <f aca="false">IF(ISBLANK(customer_churn_dataset!F124),"",customer_churn_dataset!F124)</f>
        <v>43993</v>
      </c>
      <c r="G124" s="7" t="str">
        <f aca="false">PROPER(TRIM(customer_churn_dataset!G124))</f>
        <v>Paypal</v>
      </c>
      <c r="H124" s="7" t="n">
        <f aca="false">IF(ISBLANK(customer_churn_dataset!H124),0,customer_churn_dataset!H124)</f>
        <v>0</v>
      </c>
      <c r="I124" s="7" t="n">
        <f aca="false">IF(ISBLANK(customer_churn_dataset!I124),ROUND(MEDIAN(customer_churn_dataset!I$2:I$1501),1),MIN(100,MAX(0,customer_churn_dataset!I124)))</f>
        <v>49.2</v>
      </c>
      <c r="J124" s="7" t="n">
        <f aca="false">IF(ISBLANK(customer_churn_dataset!J124),0,MAX(0,customer_churn_dataset!J124))</f>
        <v>12</v>
      </c>
      <c r="K124" s="7" t="n">
        <f aca="false">IF(ISBLANK(customer_churn_dataset!K124),0,MIN(10,MAX(0,customer_churn_dataset!K124)))</f>
        <v>7</v>
      </c>
      <c r="L124" s="7" t="n">
        <f aca="false">IF(ISBLANK(customer_churn_dataset!L124),0,MAX(0,customer_churn_dataset!L124))</f>
        <v>2</v>
      </c>
      <c r="M124" s="7" t="n">
        <f aca="false">IF(ISBLANK(customer_churn_dataset!M124),0,customer_churn_dataset!M124)</f>
        <v>0</v>
      </c>
      <c r="N124" s="7" t="n">
        <f aca="false">IF(ISBLANK(customer_churn_dataset!N124),0,MAX(0,customer_churn_dataset!N124))</f>
        <v>348.6</v>
      </c>
      <c r="O124" s="7" t="n">
        <f aca="false">IF(ISBLANK(customer_churn_dataset!O124),0,customer_churn_dataset!O124)</f>
        <v>0</v>
      </c>
      <c r="P124" s="7" t="str">
        <f aca="false">IF(COUNTIF(customer_churn_dataset!$A$2:$A$1501,customer_churn_dataset!A124)&gt;1,"Duplicate","Unique")</f>
        <v>Unique</v>
      </c>
    </row>
    <row r="125" customFormat="false" ht="14.15" hidden="false" customHeight="true" outlineLevel="0" collapsed="false">
      <c r="A125" s="7" t="str">
        <f aca="false">TRIM(customer_churn_dataset!A125)</f>
        <v>CUST101099</v>
      </c>
      <c r="B125" s="7" t="str">
        <f aca="false">PROPER(TRIM(customer_churn_dataset!B125))</f>
        <v>Basic</v>
      </c>
      <c r="C125" s="7" t="str">
        <f aca="false">PROPER(TRIM(customer_churn_dataset!C125))</f>
        <v>Month-To-Month</v>
      </c>
      <c r="D125" s="7" t="n">
        <f aca="false">IF(ISBLANK(customer_churn_dataset!D125),ROUND(MEDIAN(customer_churn_dataset!D$2:D$1501),2),IF(customer_churn_dataset!D125&lt;0,ABS(customer_churn_dataset!D125),customer_churn_dataset!D125))</f>
        <v>10.19</v>
      </c>
      <c r="E125" s="7" t="n">
        <f aca="false">IF(ISBLANK(customer_churn_dataset!E125),0,MAX(0,customer_churn_dataset!E125))</f>
        <v>50</v>
      </c>
      <c r="F125" s="8" t="n">
        <f aca="false">IF(ISBLANK(customer_churn_dataset!F125),"",customer_churn_dataset!F125)</f>
        <v>43994</v>
      </c>
      <c r="G125" s="7" t="str">
        <f aca="false">PROPER(TRIM(customer_churn_dataset!G125))</f>
        <v>Credit Card</v>
      </c>
      <c r="H125" s="7" t="n">
        <f aca="false">IF(ISBLANK(customer_churn_dataset!H125),0,customer_churn_dataset!H125)</f>
        <v>1</v>
      </c>
      <c r="I125" s="7" t="n">
        <f aca="false">IF(ISBLANK(customer_churn_dataset!I125),ROUND(MEDIAN(customer_churn_dataset!I$2:I$1501),1),MIN(100,MAX(0,customer_churn_dataset!I125)))</f>
        <v>77.4</v>
      </c>
      <c r="J125" s="7" t="n">
        <f aca="false">IF(ISBLANK(customer_churn_dataset!J125),0,MAX(0,customer_churn_dataset!J125))</f>
        <v>28</v>
      </c>
      <c r="K125" s="7" t="n">
        <f aca="false">IF(ISBLANK(customer_churn_dataset!K125),0,MIN(10,MAX(0,customer_churn_dataset!K125)))</f>
        <v>8</v>
      </c>
      <c r="L125" s="7" t="n">
        <f aca="false">IF(ISBLANK(customer_churn_dataset!L125),0,MAX(0,customer_churn_dataset!L125))</f>
        <v>1</v>
      </c>
      <c r="M125" s="7" t="n">
        <f aca="false">IF(ISBLANK(customer_churn_dataset!M125),0,customer_churn_dataset!M125)</f>
        <v>1</v>
      </c>
      <c r="N125" s="7" t="n">
        <f aca="false">IF(ISBLANK(customer_churn_dataset!N125),0,MAX(0,customer_churn_dataset!N125))</f>
        <v>509.5</v>
      </c>
      <c r="O125" s="7" t="n">
        <f aca="false">IF(ISBLANK(customer_churn_dataset!O125),0,customer_churn_dataset!O125)</f>
        <v>0</v>
      </c>
      <c r="P125" s="7" t="str">
        <f aca="false">IF(COUNTIF(customer_churn_dataset!$A$2:$A$1501,customer_churn_dataset!A125)&gt;1,"Duplicate","Unique")</f>
        <v>Unique</v>
      </c>
    </row>
    <row r="126" customFormat="false" ht="14.15" hidden="false" customHeight="true" outlineLevel="0" collapsed="false">
      <c r="A126" s="7" t="str">
        <f aca="false">TRIM(customer_churn_dataset!A126)</f>
        <v>CUST100664</v>
      </c>
      <c r="B126" s="7" t="str">
        <f aca="false">PROPER(TRIM(customer_churn_dataset!B126))</f>
        <v>Basic</v>
      </c>
      <c r="C126" s="7" t="str">
        <f aca="false">PROPER(TRIM(customer_churn_dataset!C126))</f>
        <v>One Year</v>
      </c>
      <c r="D126" s="7" t="n">
        <f aca="false">IF(ISBLANK(customer_churn_dataset!D126),ROUND(MEDIAN(customer_churn_dataset!D$2:D$1501),2),IF(customer_churn_dataset!D126&lt;0,ABS(customer_churn_dataset!D126),customer_churn_dataset!D126))</f>
        <v>10.16</v>
      </c>
      <c r="E126" s="7" t="n">
        <f aca="false">IF(ISBLANK(customer_churn_dataset!E126),0,MAX(0,customer_churn_dataset!E126))</f>
        <v>17</v>
      </c>
      <c r="F126" s="8" t="n">
        <f aca="false">IF(ISBLANK(customer_churn_dataset!F126),"",customer_churn_dataset!F126)</f>
        <v>43994</v>
      </c>
      <c r="G126" s="7" t="str">
        <f aca="false">PROPER(TRIM(customer_churn_dataset!G126))</f>
        <v>Paypal</v>
      </c>
      <c r="H126" s="7" t="n">
        <f aca="false">IF(ISBLANK(customer_churn_dataset!H126),0,customer_churn_dataset!H126)</f>
        <v>1</v>
      </c>
      <c r="I126" s="7" t="n">
        <f aca="false">IF(ISBLANK(customer_churn_dataset!I126),ROUND(MEDIAN(customer_churn_dataset!I$2:I$1501),1),MIN(100,MAX(0,customer_churn_dataset!I126)))</f>
        <v>54.8</v>
      </c>
      <c r="J126" s="7" t="n">
        <f aca="false">IF(ISBLANK(customer_churn_dataset!J126),0,MAX(0,customer_churn_dataset!J126))</f>
        <v>20</v>
      </c>
      <c r="K126" s="7" t="n">
        <f aca="false">IF(ISBLANK(customer_churn_dataset!K126),0,MIN(10,MAX(0,customer_churn_dataset!K126)))</f>
        <v>6</v>
      </c>
      <c r="L126" s="7" t="n">
        <f aca="false">IF(ISBLANK(customer_churn_dataset!L126),0,MAX(0,customer_churn_dataset!L126))</f>
        <v>1</v>
      </c>
      <c r="M126" s="7" t="n">
        <f aca="false">IF(ISBLANK(customer_churn_dataset!M126),0,customer_churn_dataset!M126)</f>
        <v>0</v>
      </c>
      <c r="N126" s="7" t="n">
        <f aca="false">IF(ISBLANK(customer_churn_dataset!N126),0,MAX(0,customer_churn_dataset!N126))</f>
        <v>172.72</v>
      </c>
      <c r="O126" s="7" t="n">
        <f aca="false">IF(ISBLANK(customer_churn_dataset!O126),0,customer_churn_dataset!O126)</f>
        <v>0</v>
      </c>
      <c r="P126" s="7" t="str">
        <f aca="false">IF(COUNTIF(customer_churn_dataset!$A$2:$A$1501,customer_churn_dataset!A126)&gt;1,"Duplicate","Unique")</f>
        <v>Unique</v>
      </c>
    </row>
    <row r="127" customFormat="false" ht="14.15" hidden="false" customHeight="true" outlineLevel="0" collapsed="false">
      <c r="A127" s="7" t="str">
        <f aca="false">TRIM(customer_churn_dataset!A127)</f>
        <v>CUST100454</v>
      </c>
      <c r="B127" s="7" t="str">
        <f aca="false">PROPER(TRIM(customer_churn_dataset!B127))</f>
        <v>Basic</v>
      </c>
      <c r="C127" s="7" t="str">
        <f aca="false">PROPER(TRIM(customer_churn_dataset!C127))</f>
        <v>Month-To-Month</v>
      </c>
      <c r="D127" s="7" t="n">
        <f aca="false">IF(ISBLANK(customer_churn_dataset!D127),ROUND(MEDIAN(customer_churn_dataset!D$2:D$1501),2),IF(customer_churn_dataset!D127&lt;0,ABS(customer_churn_dataset!D127),customer_churn_dataset!D127))</f>
        <v>9.81</v>
      </c>
      <c r="E127" s="7" t="n">
        <f aca="false">IF(ISBLANK(customer_churn_dataset!E127),0,MAX(0,customer_churn_dataset!E127))</f>
        <v>7</v>
      </c>
      <c r="F127" s="8" t="n">
        <f aca="false">IF(ISBLANK(customer_churn_dataset!F127),"",customer_churn_dataset!F127)</f>
        <v>44000</v>
      </c>
      <c r="G127" s="7" t="str">
        <f aca="false">PROPER(TRIM(customer_churn_dataset!G127))</f>
        <v>Paypal</v>
      </c>
      <c r="H127" s="7" t="n">
        <f aca="false">IF(ISBLANK(customer_churn_dataset!H127),0,customer_churn_dataset!H127)</f>
        <v>1</v>
      </c>
      <c r="I127" s="7" t="n">
        <f aca="false">IF(ISBLANK(customer_churn_dataset!I127),ROUND(MEDIAN(customer_churn_dataset!I$2:I$1501),1),MIN(100,MAX(0,customer_churn_dataset!I127)))</f>
        <v>44.1</v>
      </c>
      <c r="J127" s="7" t="n">
        <f aca="false">IF(ISBLANK(customer_churn_dataset!J127),0,MAX(0,customer_churn_dataset!J127))</f>
        <v>17</v>
      </c>
      <c r="K127" s="7" t="n">
        <f aca="false">IF(ISBLANK(customer_churn_dataset!K127),0,MIN(10,MAX(0,customer_churn_dataset!K127)))</f>
        <v>5</v>
      </c>
      <c r="L127" s="7" t="n">
        <f aca="false">IF(ISBLANK(customer_churn_dataset!L127),0,MAX(0,customer_churn_dataset!L127))</f>
        <v>0</v>
      </c>
      <c r="M127" s="7" t="n">
        <f aca="false">IF(ISBLANK(customer_churn_dataset!M127),0,customer_churn_dataset!M127)</f>
        <v>0</v>
      </c>
      <c r="N127" s="7" t="n">
        <f aca="false">IF(ISBLANK(customer_churn_dataset!N127),0,MAX(0,customer_churn_dataset!N127))</f>
        <v>68.67</v>
      </c>
      <c r="O127" s="7" t="n">
        <f aca="false">IF(ISBLANK(customer_churn_dataset!O127),0,customer_churn_dataset!O127)</f>
        <v>1</v>
      </c>
      <c r="P127" s="7" t="str">
        <f aca="false">IF(COUNTIF(customer_churn_dataset!$A$2:$A$1501,customer_churn_dataset!A127)&gt;1,"Duplicate","Unique")</f>
        <v>Unique</v>
      </c>
    </row>
    <row r="128" customFormat="false" ht="14.15" hidden="false" customHeight="true" outlineLevel="0" collapsed="false">
      <c r="A128" s="7" t="str">
        <f aca="false">TRIM(customer_churn_dataset!A128)</f>
        <v>CUST101252</v>
      </c>
      <c r="B128" s="7" t="str">
        <f aca="false">PROPER(TRIM(customer_churn_dataset!B128))</f>
        <v>Basic</v>
      </c>
      <c r="C128" s="7" t="str">
        <f aca="false">PROPER(TRIM(customer_churn_dataset!C128))</f>
        <v>Month-To-Month</v>
      </c>
      <c r="D128" s="7" t="n">
        <f aca="false">IF(ISBLANK(customer_churn_dataset!D128),ROUND(MEDIAN(customer_churn_dataset!D$2:D$1501),2),IF(customer_churn_dataset!D128&lt;0,ABS(customer_churn_dataset!D128),customer_churn_dataset!D128))</f>
        <v>8.87</v>
      </c>
      <c r="E128" s="7" t="n">
        <f aca="false">IF(ISBLANK(customer_churn_dataset!E128),0,MAX(0,customer_churn_dataset!E128))</f>
        <v>6</v>
      </c>
      <c r="F128" s="8" t="n">
        <f aca="false">IF(ISBLANK(customer_churn_dataset!F128),"",customer_churn_dataset!F128)</f>
        <v>44003</v>
      </c>
      <c r="G128" s="7" t="str">
        <f aca="false">PROPER(TRIM(customer_churn_dataset!G128))</f>
        <v>Manual/Invoice</v>
      </c>
      <c r="H128" s="7" t="n">
        <f aca="false">IF(ISBLANK(customer_churn_dataset!H128),0,customer_churn_dataset!H128)</f>
        <v>1</v>
      </c>
      <c r="I128" s="7" t="n">
        <f aca="false">IF(ISBLANK(customer_churn_dataset!I128),ROUND(MEDIAN(customer_churn_dataset!I$2:I$1501),1),MIN(100,MAX(0,customer_churn_dataset!I128)))</f>
        <v>33.7</v>
      </c>
      <c r="J128" s="7" t="n">
        <f aca="false">IF(ISBLANK(customer_churn_dataset!J128),0,MAX(0,customer_churn_dataset!J128))</f>
        <v>6</v>
      </c>
      <c r="K128" s="7" t="n">
        <f aca="false">IF(ISBLANK(customer_churn_dataset!K128),0,MIN(10,MAX(0,customer_churn_dataset!K128)))</f>
        <v>5</v>
      </c>
      <c r="L128" s="7" t="n">
        <f aca="false">IF(ISBLANK(customer_churn_dataset!L128),0,MAX(0,customer_churn_dataset!L128))</f>
        <v>0</v>
      </c>
      <c r="M128" s="7" t="n">
        <f aca="false">IF(ISBLANK(customer_churn_dataset!M128),0,customer_churn_dataset!M128)</f>
        <v>0</v>
      </c>
      <c r="N128" s="7" t="n">
        <f aca="false">IF(ISBLANK(customer_churn_dataset!N128),0,MAX(0,customer_churn_dataset!N128))</f>
        <v>53.22</v>
      </c>
      <c r="O128" s="7" t="n">
        <f aca="false">IF(ISBLANK(customer_churn_dataset!O128),0,customer_churn_dataset!O128)</f>
        <v>0</v>
      </c>
      <c r="P128" s="7" t="str">
        <f aca="false">IF(COUNTIF(customer_churn_dataset!$A$2:$A$1501,customer_churn_dataset!A128)&gt;1,"Duplicate","Unique")</f>
        <v>Unique</v>
      </c>
    </row>
    <row r="129" customFormat="false" ht="14.15" hidden="false" customHeight="true" outlineLevel="0" collapsed="false">
      <c r="A129" s="7" t="str">
        <f aca="false">TRIM(customer_churn_dataset!A129)</f>
        <v>CUST100362</v>
      </c>
      <c r="B129" s="7" t="str">
        <f aca="false">PROPER(TRIM(customer_churn_dataset!B129))</f>
        <v>Standard</v>
      </c>
      <c r="C129" s="7" t="str">
        <f aca="false">PROPER(TRIM(customer_churn_dataset!C129))</f>
        <v>Month-To-Month</v>
      </c>
      <c r="D129" s="7" t="n">
        <f aca="false">IF(ISBLANK(customer_churn_dataset!D129),ROUND(MEDIAN(customer_churn_dataset!D$2:D$1501),2),IF(customer_churn_dataset!D129&lt;0,ABS(customer_churn_dataset!D129),customer_churn_dataset!D129))</f>
        <v>19.76</v>
      </c>
      <c r="E129" s="7" t="n">
        <f aca="false">IF(ISBLANK(customer_churn_dataset!E129),0,MAX(0,customer_churn_dataset!E129))</f>
        <v>3</v>
      </c>
      <c r="F129" s="8" t="n">
        <f aca="false">IF(ISBLANK(customer_churn_dataset!F129),"",customer_churn_dataset!F129)</f>
        <v>44004</v>
      </c>
      <c r="G129" s="7" t="str">
        <f aca="false">PROPER(TRIM(customer_churn_dataset!G129))</f>
        <v>Manual/Invoice</v>
      </c>
      <c r="H129" s="7" t="n">
        <f aca="false">IF(ISBLANK(customer_churn_dataset!H129),0,customer_churn_dataset!H129)</f>
        <v>0</v>
      </c>
      <c r="I129" s="7" t="n">
        <f aca="false">IF(ISBLANK(customer_churn_dataset!I129),ROUND(MEDIAN(customer_churn_dataset!I$2:I$1501),1),MIN(100,MAX(0,customer_churn_dataset!I129)))</f>
        <v>51.1</v>
      </c>
      <c r="J129" s="7" t="n">
        <f aca="false">IF(ISBLANK(customer_churn_dataset!J129),0,MAX(0,customer_churn_dataset!J129))</f>
        <v>9</v>
      </c>
      <c r="K129" s="7" t="n">
        <f aca="false">IF(ISBLANK(customer_churn_dataset!K129),0,MIN(10,MAX(0,customer_churn_dataset!K129)))</f>
        <v>6</v>
      </c>
      <c r="L129" s="7" t="n">
        <f aca="false">IF(ISBLANK(customer_churn_dataset!L129),0,MAX(0,customer_churn_dataset!L129))</f>
        <v>4</v>
      </c>
      <c r="M129" s="7" t="n">
        <f aca="false">IF(ISBLANK(customer_churn_dataset!M129),0,customer_churn_dataset!M129)</f>
        <v>0</v>
      </c>
      <c r="N129" s="7" t="n">
        <f aca="false">IF(ISBLANK(customer_churn_dataset!N129),0,MAX(0,customer_churn_dataset!N129))</f>
        <v>59.28</v>
      </c>
      <c r="O129" s="7" t="n">
        <f aca="false">IF(ISBLANK(customer_churn_dataset!O129),0,customer_churn_dataset!O129)</f>
        <v>1</v>
      </c>
      <c r="P129" s="7" t="str">
        <f aca="false">IF(COUNTIF(customer_churn_dataset!$A$2:$A$1501,customer_churn_dataset!A129)&gt;1,"Duplicate","Unique")</f>
        <v>Unique</v>
      </c>
    </row>
    <row r="130" customFormat="false" ht="14.15" hidden="false" customHeight="true" outlineLevel="0" collapsed="false">
      <c r="A130" s="7" t="str">
        <f aca="false">TRIM(customer_churn_dataset!A130)</f>
        <v>CUST100127</v>
      </c>
      <c r="B130" s="7" t="str">
        <f aca="false">PROPER(TRIM(customer_churn_dataset!B130))</f>
        <v>Premium</v>
      </c>
      <c r="C130" s="7" t="str">
        <f aca="false">PROPER(TRIM(customer_churn_dataset!C130))</f>
        <v>Two Year</v>
      </c>
      <c r="D130" s="7" t="n">
        <f aca="false">IF(ISBLANK(customer_churn_dataset!D130),ROUND(MEDIAN(customer_churn_dataset!D$2:D$1501),2),IF(customer_churn_dataset!D130&lt;0,ABS(customer_churn_dataset!D130),customer_churn_dataset!D130))</f>
        <v>40.5</v>
      </c>
      <c r="E130" s="7" t="n">
        <f aca="false">IF(ISBLANK(customer_churn_dataset!E130),0,MAX(0,customer_churn_dataset!E130))</f>
        <v>22</v>
      </c>
      <c r="F130" s="8" t="n">
        <f aca="false">IF(ISBLANK(customer_churn_dataset!F130),"",customer_churn_dataset!F130)</f>
        <v>44004</v>
      </c>
      <c r="G130" s="7" t="str">
        <f aca="false">PROPER(TRIM(customer_churn_dataset!G130))</f>
        <v>Credit Card</v>
      </c>
      <c r="H130" s="7" t="n">
        <f aca="false">IF(ISBLANK(customer_churn_dataset!H130),0,customer_churn_dataset!H130)</f>
        <v>1</v>
      </c>
      <c r="I130" s="7" t="n">
        <f aca="false">IF(ISBLANK(customer_churn_dataset!I130),ROUND(MEDIAN(customer_churn_dataset!I$2:I$1501),1),MIN(100,MAX(0,customer_churn_dataset!I130)))</f>
        <v>67.4</v>
      </c>
      <c r="J130" s="7" t="n">
        <f aca="false">IF(ISBLANK(customer_churn_dataset!J130),0,MAX(0,customer_churn_dataset!J130))</f>
        <v>19</v>
      </c>
      <c r="K130" s="7" t="n">
        <f aca="false">IF(ISBLANK(customer_churn_dataset!K130),0,MIN(10,MAX(0,customer_churn_dataset!K130)))</f>
        <v>8</v>
      </c>
      <c r="L130" s="7" t="n">
        <f aca="false">IF(ISBLANK(customer_churn_dataset!L130),0,MAX(0,customer_churn_dataset!L130))</f>
        <v>2</v>
      </c>
      <c r="M130" s="7" t="n">
        <f aca="false">IF(ISBLANK(customer_churn_dataset!M130),0,customer_churn_dataset!M130)</f>
        <v>0</v>
      </c>
      <c r="N130" s="7" t="n">
        <f aca="false">IF(ISBLANK(customer_churn_dataset!N130),0,MAX(0,customer_churn_dataset!N130))</f>
        <v>891</v>
      </c>
      <c r="O130" s="7" t="n">
        <f aca="false">IF(ISBLANK(customer_churn_dataset!O130),0,customer_churn_dataset!O130)</f>
        <v>0</v>
      </c>
      <c r="P130" s="7" t="str">
        <f aca="false">IF(COUNTIF(customer_churn_dataset!$A$2:$A$1501,customer_churn_dataset!A130)&gt;1,"Duplicate","Unique")</f>
        <v>Unique</v>
      </c>
    </row>
    <row r="131" customFormat="false" ht="14.15" hidden="false" customHeight="true" outlineLevel="0" collapsed="false">
      <c r="A131" s="7" t="str">
        <f aca="false">TRIM(customer_churn_dataset!A131)</f>
        <v>CUST100261</v>
      </c>
      <c r="B131" s="7" t="str">
        <f aca="false">PROPER(TRIM(customer_churn_dataset!B131))</f>
        <v>Premium</v>
      </c>
      <c r="C131" s="7" t="str">
        <f aca="false">PROPER(TRIM(customer_churn_dataset!C131))</f>
        <v>Two Year</v>
      </c>
      <c r="D131" s="7" t="n">
        <f aca="false">IF(ISBLANK(customer_churn_dataset!D131),ROUND(MEDIAN(customer_churn_dataset!D$2:D$1501),2),IF(customer_churn_dataset!D131&lt;0,ABS(customer_churn_dataset!D131),customer_churn_dataset!D131))</f>
        <v>41.06</v>
      </c>
      <c r="E131" s="7" t="n">
        <f aca="false">IF(ISBLANK(customer_churn_dataset!E131),0,MAX(0,customer_churn_dataset!E131))</f>
        <v>6</v>
      </c>
      <c r="F131" s="8" t="n">
        <f aca="false">IF(ISBLANK(customer_churn_dataset!F131),"",customer_churn_dataset!F131)</f>
        <v>44006</v>
      </c>
      <c r="G131" s="7" t="str">
        <f aca="false">PROPER(TRIM(customer_churn_dataset!G131))</f>
        <v>Paypal</v>
      </c>
      <c r="H131" s="7" t="n">
        <f aca="false">IF(ISBLANK(customer_churn_dataset!H131),0,customer_churn_dataset!H131)</f>
        <v>1</v>
      </c>
      <c r="I131" s="7" t="n">
        <f aca="false">IF(ISBLANK(customer_churn_dataset!I131),ROUND(MEDIAN(customer_churn_dataset!I$2:I$1501),1),MIN(100,MAX(0,customer_churn_dataset!I131)))</f>
        <v>29.6</v>
      </c>
      <c r="J131" s="7" t="n">
        <f aca="false">IF(ISBLANK(customer_churn_dataset!J131),0,MAX(0,customer_churn_dataset!J131))</f>
        <v>15</v>
      </c>
      <c r="K131" s="7" t="n">
        <f aca="false">IF(ISBLANK(customer_churn_dataset!K131),0,MIN(10,MAX(0,customer_churn_dataset!K131)))</f>
        <v>3</v>
      </c>
      <c r="L131" s="7" t="n">
        <f aca="false">IF(ISBLANK(customer_churn_dataset!L131),0,MAX(0,customer_churn_dataset!L131))</f>
        <v>1</v>
      </c>
      <c r="M131" s="7" t="n">
        <f aca="false">IF(ISBLANK(customer_churn_dataset!M131),0,customer_churn_dataset!M131)</f>
        <v>0</v>
      </c>
      <c r="N131" s="7" t="n">
        <f aca="false">IF(ISBLANK(customer_churn_dataset!N131),0,MAX(0,customer_churn_dataset!N131))</f>
        <v>246.36</v>
      </c>
      <c r="O131" s="7" t="n">
        <f aca="false">IF(ISBLANK(customer_churn_dataset!O131),0,customer_churn_dataset!O131)</f>
        <v>0</v>
      </c>
      <c r="P131" s="7" t="str">
        <f aca="false">IF(COUNTIF(customer_churn_dataset!$A$2:$A$1501,customer_churn_dataset!A131)&gt;1,"Duplicate","Unique")</f>
        <v>Unique</v>
      </c>
    </row>
    <row r="132" customFormat="false" ht="14.15" hidden="false" customHeight="true" outlineLevel="0" collapsed="false">
      <c r="A132" s="7" t="str">
        <f aca="false">TRIM(customer_churn_dataset!A132)</f>
        <v>CUST101157</v>
      </c>
      <c r="B132" s="7" t="str">
        <f aca="false">PROPER(TRIM(customer_churn_dataset!B132))</f>
        <v>Premium</v>
      </c>
      <c r="C132" s="7" t="str">
        <f aca="false">PROPER(TRIM(customer_churn_dataset!C132))</f>
        <v>One Year</v>
      </c>
      <c r="D132" s="7" t="n">
        <f aca="false">IF(ISBLANK(customer_churn_dataset!D132),ROUND(MEDIAN(customer_churn_dataset!D$2:D$1501),2),IF(customer_churn_dataset!D132&lt;0,ABS(customer_churn_dataset!D132),customer_churn_dataset!D132))</f>
        <v>39.37</v>
      </c>
      <c r="E132" s="7" t="n">
        <f aca="false">IF(ISBLANK(customer_churn_dataset!E132),0,MAX(0,customer_churn_dataset!E132))</f>
        <v>2</v>
      </c>
      <c r="F132" s="8" t="n">
        <f aca="false">IF(ISBLANK(customer_churn_dataset!F132),"",customer_churn_dataset!F132)</f>
        <v>44007</v>
      </c>
      <c r="G132" s="7" t="str">
        <f aca="false">PROPER(TRIM(customer_churn_dataset!G132))</f>
        <v>Bank Transfer</v>
      </c>
      <c r="H132" s="7" t="n">
        <f aca="false">IF(ISBLANK(customer_churn_dataset!H132),0,customer_churn_dataset!H132)</f>
        <v>1</v>
      </c>
      <c r="I132" s="7" t="n">
        <f aca="false">IF(ISBLANK(customer_churn_dataset!I132),ROUND(MEDIAN(customer_churn_dataset!I$2:I$1501),1),MIN(100,MAX(0,customer_churn_dataset!I132)))</f>
        <v>50.4</v>
      </c>
      <c r="J132" s="7" t="n">
        <f aca="false">IF(ISBLANK(customer_churn_dataset!J132),0,MAX(0,customer_churn_dataset!J132))</f>
        <v>16</v>
      </c>
      <c r="K132" s="7" t="n">
        <f aca="false">IF(ISBLANK(customer_churn_dataset!K132),0,MIN(10,MAX(0,customer_churn_dataset!K132)))</f>
        <v>2</v>
      </c>
      <c r="L132" s="7" t="n">
        <f aca="false">IF(ISBLANK(customer_churn_dataset!L132),0,MAX(0,customer_churn_dataset!L132))</f>
        <v>0</v>
      </c>
      <c r="M132" s="7" t="n">
        <f aca="false">IF(ISBLANK(customer_churn_dataset!M132),0,customer_churn_dataset!M132)</f>
        <v>0</v>
      </c>
      <c r="N132" s="7" t="n">
        <f aca="false">IF(ISBLANK(customer_churn_dataset!N132),0,MAX(0,customer_churn_dataset!N132))</f>
        <v>78.74</v>
      </c>
      <c r="O132" s="7" t="n">
        <f aca="false">IF(ISBLANK(customer_churn_dataset!O132),0,customer_churn_dataset!O132)</f>
        <v>1</v>
      </c>
      <c r="P132" s="7" t="str">
        <f aca="false">IF(COUNTIF(customer_churn_dataset!$A$2:$A$1501,customer_churn_dataset!A132)&gt;1,"Duplicate","Unique")</f>
        <v>Unique</v>
      </c>
    </row>
    <row r="133" customFormat="false" ht="14.15" hidden="false" customHeight="true" outlineLevel="0" collapsed="false">
      <c r="A133" s="7" t="str">
        <f aca="false">TRIM(customer_churn_dataset!A133)</f>
        <v>CUST100268</v>
      </c>
      <c r="B133" s="7" t="str">
        <f aca="false">PROPER(TRIM(customer_churn_dataset!B133))</f>
        <v>Basic</v>
      </c>
      <c r="C133" s="7" t="str">
        <f aca="false">PROPER(TRIM(customer_churn_dataset!C133))</f>
        <v>Month-To-Month</v>
      </c>
      <c r="D133" s="7" t="n">
        <f aca="false">IF(ISBLANK(customer_churn_dataset!D133),ROUND(MEDIAN(customer_churn_dataset!D$2:D$1501),2),IF(customer_churn_dataset!D133&lt;0,ABS(customer_churn_dataset!D133),customer_churn_dataset!D133))</f>
        <v>9.77</v>
      </c>
      <c r="E133" s="7" t="n">
        <f aca="false">IF(ISBLANK(customer_churn_dataset!E133),0,MAX(0,customer_churn_dataset!E133))</f>
        <v>72</v>
      </c>
      <c r="F133" s="8" t="n">
        <f aca="false">IF(ISBLANK(customer_churn_dataset!F133),"",customer_churn_dataset!F133)</f>
        <v>44008</v>
      </c>
      <c r="G133" s="7" t="str">
        <f aca="false">PROPER(TRIM(customer_churn_dataset!G133))</f>
        <v>Paypal</v>
      </c>
      <c r="H133" s="7" t="n">
        <f aca="false">IF(ISBLANK(customer_churn_dataset!H133),0,customer_churn_dataset!H133)</f>
        <v>1</v>
      </c>
      <c r="I133" s="7" t="n">
        <f aca="false">IF(ISBLANK(customer_churn_dataset!I133),ROUND(MEDIAN(customer_churn_dataset!I$2:I$1501),1),MIN(100,MAX(0,customer_churn_dataset!I133)))</f>
        <v>65.6</v>
      </c>
      <c r="J133" s="7" t="n">
        <f aca="false">IF(ISBLANK(customer_churn_dataset!J133),0,MAX(0,customer_churn_dataset!J133))</f>
        <v>18</v>
      </c>
      <c r="K133" s="7" t="n">
        <f aca="false">IF(ISBLANK(customer_churn_dataset!K133),0,MIN(10,MAX(0,customer_churn_dataset!K133)))</f>
        <v>6</v>
      </c>
      <c r="L133" s="7" t="n">
        <f aca="false">IF(ISBLANK(customer_churn_dataset!L133),0,MAX(0,customer_churn_dataset!L133))</f>
        <v>0</v>
      </c>
      <c r="M133" s="7" t="n">
        <f aca="false">IF(ISBLANK(customer_churn_dataset!M133),0,customer_churn_dataset!M133)</f>
        <v>0</v>
      </c>
      <c r="N133" s="7" t="n">
        <f aca="false">IF(ISBLANK(customer_churn_dataset!N133),0,MAX(0,customer_churn_dataset!N133))</f>
        <v>703.44</v>
      </c>
      <c r="O133" s="7" t="n">
        <f aca="false">IF(ISBLANK(customer_churn_dataset!O133),0,customer_churn_dataset!O133)</f>
        <v>0</v>
      </c>
      <c r="P133" s="7" t="str">
        <f aca="false">IF(COUNTIF(customer_churn_dataset!$A$2:$A$1501,customer_churn_dataset!A133)&gt;1,"Duplicate","Unique")</f>
        <v>Unique</v>
      </c>
    </row>
    <row r="134" customFormat="false" ht="14.15" hidden="false" customHeight="true" outlineLevel="0" collapsed="false">
      <c r="A134" s="7" t="str">
        <f aca="false">TRIM(customer_churn_dataset!A134)</f>
        <v>CUST101069</v>
      </c>
      <c r="B134" s="7" t="str">
        <f aca="false">PROPER(TRIM(customer_churn_dataset!B134))</f>
        <v>Basic</v>
      </c>
      <c r="C134" s="7" t="str">
        <f aca="false">PROPER(TRIM(customer_churn_dataset!C134))</f>
        <v>Month-To-Month</v>
      </c>
      <c r="D134" s="7" t="n">
        <f aca="false">IF(ISBLANK(customer_churn_dataset!D134),ROUND(MEDIAN(customer_churn_dataset!D$2:D$1501),2),IF(customer_churn_dataset!D134&lt;0,ABS(customer_churn_dataset!D134),customer_churn_dataset!D134))</f>
        <v>11</v>
      </c>
      <c r="E134" s="7" t="n">
        <f aca="false">IF(ISBLANK(customer_churn_dataset!E134),0,MAX(0,customer_churn_dataset!E134))</f>
        <v>29</v>
      </c>
      <c r="F134" s="8" t="n">
        <f aca="false">IF(ISBLANK(customer_churn_dataset!F134),"",customer_churn_dataset!F134)</f>
        <v>44010</v>
      </c>
      <c r="G134" s="7" t="str">
        <f aca="false">PROPER(TRIM(customer_churn_dataset!G134))</f>
        <v>Bank Transfer</v>
      </c>
      <c r="H134" s="7" t="n">
        <f aca="false">IF(ISBLANK(customer_churn_dataset!H134),0,customer_churn_dataset!H134)</f>
        <v>0</v>
      </c>
      <c r="I134" s="7" t="n">
        <f aca="false">IF(ISBLANK(customer_churn_dataset!I134),ROUND(MEDIAN(customer_churn_dataset!I$2:I$1501),1),MIN(100,MAX(0,customer_churn_dataset!I134)))</f>
        <v>38.3</v>
      </c>
      <c r="J134" s="7" t="n">
        <f aca="false">IF(ISBLANK(customer_churn_dataset!J134),0,MAX(0,customer_churn_dataset!J134))</f>
        <v>15</v>
      </c>
      <c r="K134" s="7" t="n">
        <f aca="false">IF(ISBLANK(customer_churn_dataset!K134),0,MIN(10,MAX(0,customer_churn_dataset!K134)))</f>
        <v>5</v>
      </c>
      <c r="L134" s="7" t="n">
        <f aca="false">IF(ISBLANK(customer_churn_dataset!L134),0,MAX(0,customer_churn_dataset!L134))</f>
        <v>1</v>
      </c>
      <c r="M134" s="7" t="n">
        <f aca="false">IF(ISBLANK(customer_churn_dataset!M134),0,customer_churn_dataset!M134)</f>
        <v>0</v>
      </c>
      <c r="N134" s="7" t="n">
        <f aca="false">IF(ISBLANK(customer_churn_dataset!N134),0,MAX(0,customer_churn_dataset!N134))</f>
        <v>319</v>
      </c>
      <c r="O134" s="7" t="n">
        <f aca="false">IF(ISBLANK(customer_churn_dataset!O134),0,customer_churn_dataset!O134)</f>
        <v>0</v>
      </c>
      <c r="P134" s="7" t="str">
        <f aca="false">IF(COUNTIF(customer_churn_dataset!$A$2:$A$1501,customer_churn_dataset!A134)&gt;1,"Duplicate","Unique")</f>
        <v>Unique</v>
      </c>
    </row>
    <row r="135" customFormat="false" ht="14.15" hidden="false" customHeight="true" outlineLevel="0" collapsed="false">
      <c r="A135" s="7" t="str">
        <f aca="false">TRIM(customer_churn_dataset!A135)</f>
        <v>CUST100065</v>
      </c>
      <c r="B135" s="7" t="str">
        <f aca="false">PROPER(TRIM(customer_churn_dataset!B135))</f>
        <v>Standard</v>
      </c>
      <c r="C135" s="7" t="str">
        <f aca="false">PROPER(TRIM(customer_churn_dataset!C135))</f>
        <v>Two Year</v>
      </c>
      <c r="D135" s="7" t="n">
        <f aca="false">IF(ISBLANK(customer_churn_dataset!D135),ROUND(MEDIAN(customer_churn_dataset!D$2:D$1501),2),IF(customer_churn_dataset!D135&lt;0,ABS(customer_churn_dataset!D135),customer_churn_dataset!D135))</f>
        <v>19.86</v>
      </c>
      <c r="E135" s="7" t="n">
        <f aca="false">IF(ISBLANK(customer_churn_dataset!E135),0,MAX(0,customer_churn_dataset!E135))</f>
        <v>9</v>
      </c>
      <c r="F135" s="8" t="n">
        <f aca="false">IF(ISBLANK(customer_churn_dataset!F135),"",customer_churn_dataset!F135)</f>
        <v>44012</v>
      </c>
      <c r="G135" s="7" t="str">
        <f aca="false">PROPER(TRIM(customer_churn_dataset!G135))</f>
        <v>Manual/Invoice</v>
      </c>
      <c r="H135" s="7" t="n">
        <f aca="false">IF(ISBLANK(customer_churn_dataset!H135),0,customer_churn_dataset!H135)</f>
        <v>1</v>
      </c>
      <c r="I135" s="7" t="n">
        <f aca="false">IF(ISBLANK(customer_churn_dataset!I135),ROUND(MEDIAN(customer_churn_dataset!I$2:I$1501),1),MIN(100,MAX(0,customer_churn_dataset!I135)))</f>
        <v>57.8</v>
      </c>
      <c r="J135" s="7" t="n">
        <f aca="false">IF(ISBLANK(customer_churn_dataset!J135),0,MAX(0,customer_churn_dataset!J135))</f>
        <v>17</v>
      </c>
      <c r="K135" s="7" t="n">
        <f aca="false">IF(ISBLANK(customer_churn_dataset!K135),0,MIN(10,MAX(0,customer_churn_dataset!K135)))</f>
        <v>7</v>
      </c>
      <c r="L135" s="7" t="n">
        <f aca="false">IF(ISBLANK(customer_churn_dataset!L135),0,MAX(0,customer_churn_dataset!L135))</f>
        <v>0</v>
      </c>
      <c r="M135" s="7" t="n">
        <f aca="false">IF(ISBLANK(customer_churn_dataset!M135),0,customer_churn_dataset!M135)</f>
        <v>0</v>
      </c>
      <c r="N135" s="7" t="n">
        <f aca="false">IF(ISBLANK(customer_churn_dataset!N135),0,MAX(0,customer_churn_dataset!N135))</f>
        <v>178.74</v>
      </c>
      <c r="O135" s="7" t="n">
        <f aca="false">IF(ISBLANK(customer_churn_dataset!O135),0,customer_churn_dataset!O135)</f>
        <v>0</v>
      </c>
      <c r="P135" s="7" t="str">
        <f aca="false">IF(COUNTIF(customer_churn_dataset!$A$2:$A$1501,customer_churn_dataset!A135)&gt;1,"Duplicate","Unique")</f>
        <v>Unique</v>
      </c>
    </row>
    <row r="136" customFormat="false" ht="14.15" hidden="false" customHeight="true" outlineLevel="0" collapsed="false">
      <c r="A136" s="7" t="str">
        <f aca="false">TRIM(customer_churn_dataset!A136)</f>
        <v>CUST100390</v>
      </c>
      <c r="B136" s="7" t="str">
        <f aca="false">PROPER(TRIM(customer_churn_dataset!B136))</f>
        <v>Premium</v>
      </c>
      <c r="C136" s="7" t="str">
        <f aca="false">PROPER(TRIM(customer_churn_dataset!C136))</f>
        <v>Month-To-Month</v>
      </c>
      <c r="D136" s="7" t="n">
        <f aca="false">IF(ISBLANK(customer_churn_dataset!D136),ROUND(MEDIAN(customer_churn_dataset!D$2:D$1501),2),IF(customer_churn_dataset!D136&lt;0,ABS(customer_churn_dataset!D136),customer_churn_dataset!D136))</f>
        <v>39.89</v>
      </c>
      <c r="E136" s="7" t="n">
        <f aca="false">IF(ISBLANK(customer_churn_dataset!E136),0,MAX(0,customer_churn_dataset!E136))</f>
        <v>1</v>
      </c>
      <c r="F136" s="8" t="n">
        <f aca="false">IF(ISBLANK(customer_churn_dataset!F136),"",customer_churn_dataset!F136)</f>
        <v>44013</v>
      </c>
      <c r="G136" s="7" t="str">
        <f aca="false">PROPER(TRIM(customer_churn_dataset!G136))</f>
        <v>Bank Transfer</v>
      </c>
      <c r="H136" s="7" t="n">
        <f aca="false">IF(ISBLANK(customer_churn_dataset!H136),0,customer_churn_dataset!H136)</f>
        <v>1</v>
      </c>
      <c r="I136" s="7" t="n">
        <f aca="false">IF(ISBLANK(customer_churn_dataset!I136),ROUND(MEDIAN(customer_churn_dataset!I$2:I$1501),1),MIN(100,MAX(0,customer_churn_dataset!I136)))</f>
        <v>50.7</v>
      </c>
      <c r="J136" s="7" t="n">
        <f aca="false">IF(ISBLANK(customer_churn_dataset!J136),0,MAX(0,customer_churn_dataset!J136))</f>
        <v>11</v>
      </c>
      <c r="K136" s="7" t="n">
        <f aca="false">IF(ISBLANK(customer_churn_dataset!K136),0,MIN(10,MAX(0,customer_churn_dataset!K136)))</f>
        <v>6</v>
      </c>
      <c r="L136" s="7" t="n">
        <f aca="false">IF(ISBLANK(customer_churn_dataset!L136),0,MAX(0,customer_churn_dataset!L136))</f>
        <v>1</v>
      </c>
      <c r="M136" s="7" t="n">
        <f aca="false">IF(ISBLANK(customer_churn_dataset!M136),0,customer_churn_dataset!M136)</f>
        <v>0</v>
      </c>
      <c r="N136" s="7" t="n">
        <f aca="false">IF(ISBLANK(customer_churn_dataset!N136),0,MAX(0,customer_churn_dataset!N136))</f>
        <v>39.89</v>
      </c>
      <c r="O136" s="7" t="n">
        <f aca="false">IF(ISBLANK(customer_churn_dataset!O136),0,customer_churn_dataset!O136)</f>
        <v>0</v>
      </c>
      <c r="P136" s="7" t="str">
        <f aca="false">IF(COUNTIF(customer_churn_dataset!$A$2:$A$1501,customer_churn_dataset!A136)&gt;1,"Duplicate","Unique")</f>
        <v>Unique</v>
      </c>
    </row>
    <row r="137" customFormat="false" ht="14.15" hidden="false" customHeight="true" outlineLevel="0" collapsed="false">
      <c r="A137" s="7" t="str">
        <f aca="false">TRIM(customer_churn_dataset!A137)</f>
        <v>CUST101197</v>
      </c>
      <c r="B137" s="7" t="str">
        <f aca="false">PROPER(TRIM(customer_churn_dataset!B137))</f>
        <v>Premium</v>
      </c>
      <c r="C137" s="7" t="str">
        <f aca="false">PROPER(TRIM(customer_churn_dataset!C137))</f>
        <v>Month-To-Month</v>
      </c>
      <c r="D137" s="7" t="n">
        <f aca="false">IF(ISBLANK(customer_churn_dataset!D137),ROUND(MEDIAN(customer_churn_dataset!D$2:D$1501),2),IF(customer_churn_dataset!D137&lt;0,ABS(customer_churn_dataset!D137),customer_churn_dataset!D137))</f>
        <v>40.13</v>
      </c>
      <c r="E137" s="7" t="n">
        <f aca="false">IF(ISBLANK(customer_churn_dataset!E137),0,MAX(0,customer_churn_dataset!E137))</f>
        <v>18</v>
      </c>
      <c r="F137" s="8" t="n">
        <f aca="false">IF(ISBLANK(customer_churn_dataset!F137),"",customer_churn_dataset!F137)</f>
        <v>44015</v>
      </c>
      <c r="G137" s="7" t="str">
        <f aca="false">PROPER(TRIM(customer_churn_dataset!G137))</f>
        <v>Bank Transfer</v>
      </c>
      <c r="H137" s="7" t="n">
        <f aca="false">IF(ISBLANK(customer_churn_dataset!H137),0,customer_churn_dataset!H137)</f>
        <v>1</v>
      </c>
      <c r="I137" s="7" t="n">
        <f aca="false">IF(ISBLANK(customer_churn_dataset!I137),ROUND(MEDIAN(customer_churn_dataset!I$2:I$1501),1),MIN(100,MAX(0,customer_churn_dataset!I137)))</f>
        <v>57.8</v>
      </c>
      <c r="J137" s="7" t="n">
        <f aca="false">IF(ISBLANK(customer_churn_dataset!J137),0,MAX(0,customer_churn_dataset!J137))</f>
        <v>19</v>
      </c>
      <c r="K137" s="7" t="n">
        <f aca="false">IF(ISBLANK(customer_churn_dataset!K137),0,MIN(10,MAX(0,customer_churn_dataset!K137)))</f>
        <v>8</v>
      </c>
      <c r="L137" s="7" t="n">
        <f aca="false">IF(ISBLANK(customer_churn_dataset!L137),0,MAX(0,customer_churn_dataset!L137))</f>
        <v>1</v>
      </c>
      <c r="M137" s="7" t="n">
        <f aca="false">IF(ISBLANK(customer_churn_dataset!M137),0,customer_churn_dataset!M137)</f>
        <v>1</v>
      </c>
      <c r="N137" s="7" t="n">
        <f aca="false">IF(ISBLANK(customer_churn_dataset!N137),0,MAX(0,customer_churn_dataset!N137))</f>
        <v>722.34</v>
      </c>
      <c r="O137" s="7" t="n">
        <f aca="false">IF(ISBLANK(customer_churn_dataset!O137),0,customer_churn_dataset!O137)</f>
        <v>0</v>
      </c>
      <c r="P137" s="7" t="str">
        <f aca="false">IF(COUNTIF(customer_churn_dataset!$A$2:$A$1501,customer_churn_dataset!A137)&gt;1,"Duplicate","Unique")</f>
        <v>Unique</v>
      </c>
    </row>
    <row r="138" customFormat="false" ht="14.15" hidden="false" customHeight="true" outlineLevel="0" collapsed="false">
      <c r="A138" s="7" t="str">
        <f aca="false">TRIM(customer_churn_dataset!A138)</f>
        <v>CUST100515</v>
      </c>
      <c r="B138" s="7" t="str">
        <f aca="false">PROPER(TRIM(customer_churn_dataset!B138))</f>
        <v>Basic</v>
      </c>
      <c r="C138" s="7" t="str">
        <f aca="false">PROPER(TRIM(customer_churn_dataset!C138))</f>
        <v>One Year</v>
      </c>
      <c r="D138" s="7" t="n">
        <f aca="false">IF(ISBLANK(customer_churn_dataset!D138),ROUND(MEDIAN(customer_churn_dataset!D$2:D$1501),2),IF(customer_churn_dataset!D138&lt;0,ABS(customer_churn_dataset!D138),customer_churn_dataset!D138))</f>
        <v>9.67</v>
      </c>
      <c r="E138" s="7" t="n">
        <f aca="false">IF(ISBLANK(customer_churn_dataset!E138),0,MAX(0,customer_churn_dataset!E138))</f>
        <v>15</v>
      </c>
      <c r="F138" s="8" t="n">
        <f aca="false">IF(ISBLANK(customer_churn_dataset!F138),"",customer_churn_dataset!F138)</f>
        <v>44016</v>
      </c>
      <c r="G138" s="7" t="str">
        <f aca="false">PROPER(TRIM(customer_churn_dataset!G138))</f>
        <v>Credit Card</v>
      </c>
      <c r="H138" s="7" t="n">
        <f aca="false">IF(ISBLANK(customer_churn_dataset!H138),0,customer_churn_dataset!H138)</f>
        <v>1</v>
      </c>
      <c r="I138" s="7" t="n">
        <f aca="false">IF(ISBLANK(customer_churn_dataset!I138),ROUND(MEDIAN(customer_churn_dataset!I$2:I$1501),1),MIN(100,MAX(0,customer_churn_dataset!I138)))</f>
        <v>64.2</v>
      </c>
      <c r="J138" s="7" t="n">
        <f aca="false">IF(ISBLANK(customer_churn_dataset!J138),0,MAX(0,customer_churn_dataset!J138))</f>
        <v>20</v>
      </c>
      <c r="K138" s="7" t="n">
        <f aca="false">IF(ISBLANK(customer_churn_dataset!K138),0,MIN(10,MAX(0,customer_churn_dataset!K138)))</f>
        <v>6</v>
      </c>
      <c r="L138" s="7" t="n">
        <f aca="false">IF(ISBLANK(customer_churn_dataset!L138),0,MAX(0,customer_churn_dataset!L138))</f>
        <v>2</v>
      </c>
      <c r="M138" s="7" t="n">
        <f aca="false">IF(ISBLANK(customer_churn_dataset!M138),0,customer_churn_dataset!M138)</f>
        <v>1</v>
      </c>
      <c r="N138" s="7" t="n">
        <f aca="false">IF(ISBLANK(customer_churn_dataset!N138),0,MAX(0,customer_churn_dataset!N138))</f>
        <v>145.05</v>
      </c>
      <c r="O138" s="7" t="n">
        <f aca="false">IF(ISBLANK(customer_churn_dataset!O138),0,customer_churn_dataset!O138)</f>
        <v>0</v>
      </c>
      <c r="P138" s="7" t="str">
        <f aca="false">IF(COUNTIF(customer_churn_dataset!$A$2:$A$1501,customer_churn_dataset!A138)&gt;1,"Duplicate","Unique")</f>
        <v>Unique</v>
      </c>
    </row>
    <row r="139" customFormat="false" ht="14.15" hidden="false" customHeight="true" outlineLevel="0" collapsed="false">
      <c r="A139" s="7" t="str">
        <f aca="false">TRIM(customer_churn_dataset!A139)</f>
        <v>CUST100775</v>
      </c>
      <c r="B139" s="7" t="str">
        <f aca="false">PROPER(TRIM(customer_churn_dataset!B139))</f>
        <v>Basic</v>
      </c>
      <c r="C139" s="7" t="str">
        <f aca="false">PROPER(TRIM(customer_churn_dataset!C139))</f>
        <v>Month-To-Month</v>
      </c>
      <c r="D139" s="7" t="n">
        <f aca="false">IF(ISBLANK(customer_churn_dataset!D139),ROUND(MEDIAN(customer_churn_dataset!D$2:D$1501),2),IF(customer_churn_dataset!D139&lt;0,ABS(customer_churn_dataset!D139),customer_churn_dataset!D139))</f>
        <v>8.49</v>
      </c>
      <c r="E139" s="7" t="n">
        <f aca="false">IF(ISBLANK(customer_churn_dataset!E139),0,MAX(0,customer_churn_dataset!E139))</f>
        <v>37</v>
      </c>
      <c r="F139" s="8" t="n">
        <f aca="false">IF(ISBLANK(customer_churn_dataset!F139),"",customer_churn_dataset!F139)</f>
        <v>44017</v>
      </c>
      <c r="G139" s="7" t="str">
        <f aca="false">PROPER(TRIM(customer_churn_dataset!G139))</f>
        <v>Credit Card</v>
      </c>
      <c r="H139" s="7" t="n">
        <f aca="false">IF(ISBLANK(customer_churn_dataset!H139),0,customer_churn_dataset!H139)</f>
        <v>1</v>
      </c>
      <c r="I139" s="7" t="n">
        <f aca="false">IF(ISBLANK(customer_churn_dataset!I139),ROUND(MEDIAN(customer_churn_dataset!I$2:I$1501),1),MIN(100,MAX(0,customer_churn_dataset!I139)))</f>
        <v>55.5</v>
      </c>
      <c r="J139" s="7" t="n">
        <f aca="false">IF(ISBLANK(customer_churn_dataset!J139),0,MAX(0,customer_churn_dataset!J139))</f>
        <v>14</v>
      </c>
      <c r="K139" s="7" t="n">
        <f aca="false">IF(ISBLANK(customer_churn_dataset!K139),0,MIN(10,MAX(0,customer_churn_dataset!K139)))</f>
        <v>5</v>
      </c>
      <c r="L139" s="7" t="n">
        <f aca="false">IF(ISBLANK(customer_churn_dataset!L139),0,MAX(0,customer_churn_dataset!L139))</f>
        <v>3</v>
      </c>
      <c r="M139" s="7" t="n">
        <f aca="false">IF(ISBLANK(customer_churn_dataset!M139),0,customer_churn_dataset!M139)</f>
        <v>0</v>
      </c>
      <c r="N139" s="7" t="n">
        <f aca="false">IF(ISBLANK(customer_churn_dataset!N139),0,MAX(0,customer_churn_dataset!N139))</f>
        <v>314.13</v>
      </c>
      <c r="O139" s="7" t="n">
        <f aca="false">IF(ISBLANK(customer_churn_dataset!O139),0,customer_churn_dataset!O139)</f>
        <v>0</v>
      </c>
      <c r="P139" s="7" t="str">
        <f aca="false">IF(COUNTIF(customer_churn_dataset!$A$2:$A$1501,customer_churn_dataset!A139)&gt;1,"Duplicate","Unique")</f>
        <v>Unique</v>
      </c>
    </row>
    <row r="140" customFormat="false" ht="14.15" hidden="false" customHeight="true" outlineLevel="0" collapsed="false">
      <c r="A140" s="7" t="str">
        <f aca="false">TRIM(customer_churn_dataset!A140)</f>
        <v>CUST100830</v>
      </c>
      <c r="B140" s="7" t="str">
        <f aca="false">PROPER(TRIM(customer_churn_dataset!B140))</f>
        <v>Basic</v>
      </c>
      <c r="C140" s="7" t="str">
        <f aca="false">PROPER(TRIM(customer_churn_dataset!C140))</f>
        <v>Month-To-Month</v>
      </c>
      <c r="D140" s="7" t="n">
        <f aca="false">IF(ISBLANK(customer_churn_dataset!D140),ROUND(MEDIAN(customer_churn_dataset!D$2:D$1501),2),IF(customer_churn_dataset!D140&lt;0,ABS(customer_churn_dataset!D140),customer_churn_dataset!D140))</f>
        <v>10.79</v>
      </c>
      <c r="E140" s="7" t="n">
        <f aca="false">IF(ISBLANK(customer_churn_dataset!E140),0,MAX(0,customer_churn_dataset!E140))</f>
        <v>13</v>
      </c>
      <c r="F140" s="8" t="n">
        <f aca="false">IF(ISBLANK(customer_churn_dataset!F140),"",customer_churn_dataset!F140)</f>
        <v>44017</v>
      </c>
      <c r="G140" s="7" t="str">
        <f aca="false">PROPER(TRIM(customer_churn_dataset!G140))</f>
        <v>Credit Card</v>
      </c>
      <c r="H140" s="7" t="n">
        <f aca="false">IF(ISBLANK(customer_churn_dataset!H140),0,customer_churn_dataset!H140)</f>
        <v>0</v>
      </c>
      <c r="I140" s="7" t="n">
        <f aca="false">IF(ISBLANK(customer_churn_dataset!I140),ROUND(MEDIAN(customer_churn_dataset!I$2:I$1501),1),MIN(100,MAX(0,customer_churn_dataset!I140)))</f>
        <v>27.7</v>
      </c>
      <c r="J140" s="7" t="n">
        <f aca="false">IF(ISBLANK(customer_churn_dataset!J140),0,MAX(0,customer_churn_dataset!J140))</f>
        <v>5</v>
      </c>
      <c r="K140" s="7" t="n">
        <f aca="false">IF(ISBLANK(customer_churn_dataset!K140),0,MIN(10,MAX(0,customer_churn_dataset!K140)))</f>
        <v>4</v>
      </c>
      <c r="L140" s="7" t="n">
        <f aca="false">IF(ISBLANK(customer_churn_dataset!L140),0,MAX(0,customer_churn_dataset!L140))</f>
        <v>4</v>
      </c>
      <c r="M140" s="7" t="n">
        <f aca="false">IF(ISBLANK(customer_churn_dataset!M140),0,customer_churn_dataset!M140)</f>
        <v>0</v>
      </c>
      <c r="N140" s="7" t="n">
        <f aca="false">IF(ISBLANK(customer_churn_dataset!N140),0,MAX(0,customer_churn_dataset!N140))</f>
        <v>140.27</v>
      </c>
      <c r="O140" s="7" t="n">
        <f aca="false">IF(ISBLANK(customer_churn_dataset!O140),0,customer_churn_dataset!O140)</f>
        <v>0</v>
      </c>
      <c r="P140" s="7" t="str">
        <f aca="false">IF(COUNTIF(customer_churn_dataset!$A$2:$A$1501,customer_churn_dataset!A140)&gt;1,"Duplicate","Unique")</f>
        <v>Unique</v>
      </c>
    </row>
    <row r="141" customFormat="false" ht="14.15" hidden="false" customHeight="true" outlineLevel="0" collapsed="false">
      <c r="A141" s="7" t="str">
        <f aca="false">TRIM(customer_churn_dataset!A141)</f>
        <v>CUST100503</v>
      </c>
      <c r="B141" s="7" t="str">
        <f aca="false">PROPER(TRIM(customer_churn_dataset!B141))</f>
        <v>Premium</v>
      </c>
      <c r="C141" s="7" t="str">
        <f aca="false">PROPER(TRIM(customer_churn_dataset!C141))</f>
        <v>Month-To-Month</v>
      </c>
      <c r="D141" s="7" t="n">
        <f aca="false">IF(ISBLANK(customer_churn_dataset!D141),ROUND(MEDIAN(customer_churn_dataset!D$2:D$1501),2),IF(customer_churn_dataset!D141&lt;0,ABS(customer_churn_dataset!D141),customer_churn_dataset!D141))</f>
        <v>39.38</v>
      </c>
      <c r="E141" s="7" t="n">
        <f aca="false">IF(ISBLANK(customer_churn_dataset!E141),0,MAX(0,customer_churn_dataset!E141))</f>
        <v>4</v>
      </c>
      <c r="F141" s="8" t="n">
        <f aca="false">IF(ISBLANK(customer_churn_dataset!F141),"",customer_churn_dataset!F141)</f>
        <v>44019</v>
      </c>
      <c r="G141" s="7" t="str">
        <f aca="false">PROPER(TRIM(customer_churn_dataset!G141))</f>
        <v>Manual/Invoice</v>
      </c>
      <c r="H141" s="7" t="n">
        <f aca="false">IF(ISBLANK(customer_churn_dataset!H141),0,customer_churn_dataset!H141)</f>
        <v>1</v>
      </c>
      <c r="I141" s="7" t="n">
        <f aca="false">IF(ISBLANK(customer_churn_dataset!I141),ROUND(MEDIAN(customer_churn_dataset!I$2:I$1501),1),MIN(100,MAX(0,customer_churn_dataset!I141)))</f>
        <v>27</v>
      </c>
      <c r="J141" s="7" t="n">
        <f aca="false">IF(ISBLANK(customer_churn_dataset!J141),0,MAX(0,customer_churn_dataset!J141))</f>
        <v>5</v>
      </c>
      <c r="K141" s="7" t="n">
        <f aca="false">IF(ISBLANK(customer_churn_dataset!K141),0,MIN(10,MAX(0,customer_churn_dataset!K141)))</f>
        <v>3</v>
      </c>
      <c r="L141" s="7" t="n">
        <f aca="false">IF(ISBLANK(customer_churn_dataset!L141),0,MAX(0,customer_churn_dataset!L141))</f>
        <v>3</v>
      </c>
      <c r="M141" s="7" t="n">
        <f aca="false">IF(ISBLANK(customer_churn_dataset!M141),0,customer_churn_dataset!M141)</f>
        <v>0</v>
      </c>
      <c r="N141" s="7" t="n">
        <f aca="false">IF(ISBLANK(customer_churn_dataset!N141),0,MAX(0,customer_churn_dataset!N141))</f>
        <v>157.52</v>
      </c>
      <c r="O141" s="7" t="n">
        <f aca="false">IF(ISBLANK(customer_churn_dataset!O141),0,customer_churn_dataset!O141)</f>
        <v>0</v>
      </c>
      <c r="P141" s="7" t="str">
        <f aca="false">IF(COUNTIF(customer_churn_dataset!$A$2:$A$1501,customer_churn_dataset!A141)&gt;1,"Duplicate","Unique")</f>
        <v>Unique</v>
      </c>
    </row>
    <row r="142" customFormat="false" ht="14.15" hidden="false" customHeight="true" outlineLevel="0" collapsed="false">
      <c r="A142" s="7" t="str">
        <f aca="false">TRIM(customer_churn_dataset!A142)</f>
        <v>CUST101441</v>
      </c>
      <c r="B142" s="7" t="str">
        <f aca="false">PROPER(TRIM(customer_churn_dataset!B142))</f>
        <v>Basic</v>
      </c>
      <c r="C142" s="7" t="str">
        <f aca="false">PROPER(TRIM(customer_churn_dataset!C142))</f>
        <v>Two Year</v>
      </c>
      <c r="D142" s="7" t="n">
        <f aca="false">IF(ISBLANK(customer_churn_dataset!D142),ROUND(MEDIAN(customer_churn_dataset!D$2:D$1501),2),IF(customer_churn_dataset!D142&lt;0,ABS(customer_churn_dataset!D142),customer_churn_dataset!D142))</f>
        <v>10.61</v>
      </c>
      <c r="E142" s="7" t="n">
        <f aca="false">IF(ISBLANK(customer_churn_dataset!E142),0,MAX(0,customer_churn_dataset!E142))</f>
        <v>10</v>
      </c>
      <c r="F142" s="8" t="n">
        <f aca="false">IF(ISBLANK(customer_churn_dataset!F142),"",customer_churn_dataset!F142)</f>
        <v>44021</v>
      </c>
      <c r="G142" s="7" t="str">
        <f aca="false">PROPER(TRIM(customer_churn_dataset!G142))</f>
        <v>Bank Transfer</v>
      </c>
      <c r="H142" s="7" t="n">
        <f aca="false">IF(ISBLANK(customer_churn_dataset!H142),0,customer_churn_dataset!H142)</f>
        <v>0</v>
      </c>
      <c r="I142" s="7" t="n">
        <f aca="false">IF(ISBLANK(customer_churn_dataset!I142),ROUND(MEDIAN(customer_churn_dataset!I$2:I$1501),1),MIN(100,MAX(0,customer_churn_dataset!I142)))</f>
        <v>56.8</v>
      </c>
      <c r="J142" s="7" t="n">
        <f aca="false">IF(ISBLANK(customer_churn_dataset!J142),0,MAX(0,customer_churn_dataset!J142))</f>
        <v>16</v>
      </c>
      <c r="K142" s="7" t="n">
        <f aca="false">IF(ISBLANK(customer_churn_dataset!K142),0,MIN(10,MAX(0,customer_churn_dataset!K142)))</f>
        <v>5</v>
      </c>
      <c r="L142" s="7" t="n">
        <f aca="false">IF(ISBLANK(customer_churn_dataset!L142),0,MAX(0,customer_churn_dataset!L142))</f>
        <v>2</v>
      </c>
      <c r="M142" s="7" t="n">
        <f aca="false">IF(ISBLANK(customer_churn_dataset!M142),0,customer_churn_dataset!M142)</f>
        <v>1</v>
      </c>
      <c r="N142" s="7" t="n">
        <f aca="false">IF(ISBLANK(customer_churn_dataset!N142),0,MAX(0,customer_churn_dataset!N142))</f>
        <v>106.1</v>
      </c>
      <c r="O142" s="7" t="n">
        <f aca="false">IF(ISBLANK(customer_churn_dataset!O142),0,customer_churn_dataset!O142)</f>
        <v>0</v>
      </c>
      <c r="P142" s="7" t="str">
        <f aca="false">IF(COUNTIF(customer_churn_dataset!$A$2:$A$1501,customer_churn_dataset!A142)&gt;1,"Duplicate","Unique")</f>
        <v>Unique</v>
      </c>
    </row>
    <row r="143" customFormat="false" ht="14.15" hidden="false" customHeight="true" outlineLevel="0" collapsed="false">
      <c r="A143" s="7" t="str">
        <f aca="false">TRIM(customer_churn_dataset!A143)</f>
        <v>CUST100329</v>
      </c>
      <c r="B143" s="7" t="str">
        <f aca="false">PROPER(TRIM(customer_churn_dataset!B143))</f>
        <v>Basic</v>
      </c>
      <c r="C143" s="7" t="str">
        <f aca="false">PROPER(TRIM(customer_churn_dataset!C143))</f>
        <v>Month-To-Month</v>
      </c>
      <c r="D143" s="7" t="n">
        <f aca="false">IF(ISBLANK(customer_churn_dataset!D143),ROUND(MEDIAN(customer_churn_dataset!D$2:D$1501),2),IF(customer_churn_dataset!D143&lt;0,ABS(customer_churn_dataset!D143),customer_churn_dataset!D143))</f>
        <v>11.25</v>
      </c>
      <c r="E143" s="7" t="n">
        <f aca="false">IF(ISBLANK(customer_churn_dataset!E143),0,MAX(0,customer_churn_dataset!E143))</f>
        <v>35</v>
      </c>
      <c r="F143" s="8" t="n">
        <f aca="false">IF(ISBLANK(customer_churn_dataset!F143),"",customer_churn_dataset!F143)</f>
        <v>44023</v>
      </c>
      <c r="G143" s="7" t="str">
        <f aca="false">PROPER(TRIM(customer_churn_dataset!G143))</f>
        <v>Bank Transfer</v>
      </c>
      <c r="H143" s="7" t="n">
        <f aca="false">IF(ISBLANK(customer_churn_dataset!H143),0,customer_churn_dataset!H143)</f>
        <v>1</v>
      </c>
      <c r="I143" s="7" t="n">
        <f aca="false">IF(ISBLANK(customer_churn_dataset!I143),ROUND(MEDIAN(customer_churn_dataset!I$2:I$1501),1),MIN(100,MAX(0,customer_churn_dataset!I143)))</f>
        <v>39</v>
      </c>
      <c r="J143" s="7" t="n">
        <f aca="false">IF(ISBLANK(customer_churn_dataset!J143),0,MAX(0,customer_churn_dataset!J143))</f>
        <v>12</v>
      </c>
      <c r="K143" s="7" t="n">
        <f aca="false">IF(ISBLANK(customer_churn_dataset!K143),0,MIN(10,MAX(0,customer_churn_dataset!K143)))</f>
        <v>4</v>
      </c>
      <c r="L143" s="7" t="n">
        <f aca="false">IF(ISBLANK(customer_churn_dataset!L143),0,MAX(0,customer_churn_dataset!L143))</f>
        <v>0</v>
      </c>
      <c r="M143" s="7" t="n">
        <f aca="false">IF(ISBLANK(customer_churn_dataset!M143),0,customer_churn_dataset!M143)</f>
        <v>0</v>
      </c>
      <c r="N143" s="7" t="n">
        <f aca="false">IF(ISBLANK(customer_churn_dataset!N143),0,MAX(0,customer_churn_dataset!N143))</f>
        <v>393.75</v>
      </c>
      <c r="O143" s="7" t="n">
        <f aca="false">IF(ISBLANK(customer_churn_dataset!O143),0,customer_churn_dataset!O143)</f>
        <v>0</v>
      </c>
      <c r="P143" s="7" t="str">
        <f aca="false">IF(COUNTIF(customer_churn_dataset!$A$2:$A$1501,customer_churn_dataset!A143)&gt;1,"Duplicate","Unique")</f>
        <v>Unique</v>
      </c>
    </row>
    <row r="144" customFormat="false" ht="14.15" hidden="false" customHeight="true" outlineLevel="0" collapsed="false">
      <c r="A144" s="7" t="str">
        <f aca="false">TRIM(customer_churn_dataset!A144)</f>
        <v>CUST100632</v>
      </c>
      <c r="B144" s="7" t="str">
        <f aca="false">PROPER(TRIM(customer_churn_dataset!B144))</f>
        <v>Standard</v>
      </c>
      <c r="C144" s="7" t="str">
        <f aca="false">PROPER(TRIM(customer_churn_dataset!C144))</f>
        <v>Month-To-Month</v>
      </c>
      <c r="D144" s="7" t="n">
        <f aca="false">IF(ISBLANK(customer_churn_dataset!D144),ROUND(MEDIAN(customer_churn_dataset!D$2:D$1501),2),IF(customer_churn_dataset!D144&lt;0,ABS(customer_churn_dataset!D144),customer_churn_dataset!D144))</f>
        <v>19.83</v>
      </c>
      <c r="E144" s="7" t="n">
        <f aca="false">IF(ISBLANK(customer_churn_dataset!E144),0,MAX(0,customer_churn_dataset!E144))</f>
        <v>18</v>
      </c>
      <c r="F144" s="8" t="n">
        <f aca="false">IF(ISBLANK(customer_churn_dataset!F144),"",customer_churn_dataset!F144)</f>
        <v>44023</v>
      </c>
      <c r="G144" s="7" t="str">
        <f aca="false">PROPER(TRIM(customer_churn_dataset!G144))</f>
        <v>Credit Card</v>
      </c>
      <c r="H144" s="7" t="n">
        <f aca="false">IF(ISBLANK(customer_churn_dataset!H144),0,customer_churn_dataset!H144)</f>
        <v>1</v>
      </c>
      <c r="I144" s="7" t="n">
        <f aca="false">IF(ISBLANK(customer_churn_dataset!I144),ROUND(MEDIAN(customer_churn_dataset!I$2:I$1501),1),MIN(100,MAX(0,customer_churn_dataset!I144)))</f>
        <v>32</v>
      </c>
      <c r="J144" s="7" t="n">
        <f aca="false">IF(ISBLANK(customer_churn_dataset!J144),0,MAX(0,customer_churn_dataset!J144))</f>
        <v>10</v>
      </c>
      <c r="K144" s="7" t="n">
        <f aca="false">IF(ISBLANK(customer_churn_dataset!K144),0,MIN(10,MAX(0,customer_churn_dataset!K144)))</f>
        <v>3</v>
      </c>
      <c r="L144" s="7" t="n">
        <f aca="false">IF(ISBLANK(customer_churn_dataset!L144),0,MAX(0,customer_churn_dataset!L144))</f>
        <v>4</v>
      </c>
      <c r="M144" s="7" t="n">
        <f aca="false">IF(ISBLANK(customer_churn_dataset!M144),0,customer_churn_dataset!M144)</f>
        <v>0</v>
      </c>
      <c r="N144" s="7" t="n">
        <f aca="false">IF(ISBLANK(customer_churn_dataset!N144),0,MAX(0,customer_churn_dataset!N144))</f>
        <v>356.94</v>
      </c>
      <c r="O144" s="7" t="n">
        <f aca="false">IF(ISBLANK(customer_churn_dataset!O144),0,customer_churn_dataset!O144)</f>
        <v>0</v>
      </c>
      <c r="P144" s="7" t="str">
        <f aca="false">IF(COUNTIF(customer_churn_dataset!$A$2:$A$1501,customer_churn_dataset!A144)&gt;1,"Duplicate","Unique")</f>
        <v>Unique</v>
      </c>
    </row>
    <row r="145" customFormat="false" ht="14.15" hidden="false" customHeight="true" outlineLevel="0" collapsed="false">
      <c r="A145" s="7" t="str">
        <f aca="false">TRIM(customer_churn_dataset!A145)</f>
        <v>CUST100703</v>
      </c>
      <c r="B145" s="7" t="str">
        <f aca="false">PROPER(TRIM(customer_churn_dataset!B145))</f>
        <v>Basic</v>
      </c>
      <c r="C145" s="7" t="str">
        <f aca="false">PROPER(TRIM(customer_churn_dataset!C145))</f>
        <v>One Year</v>
      </c>
      <c r="D145" s="7" t="n">
        <f aca="false">IF(ISBLANK(customer_churn_dataset!D145),ROUND(MEDIAN(customer_churn_dataset!D$2:D$1501),2),IF(customer_churn_dataset!D145&lt;0,ABS(customer_churn_dataset!D145),customer_churn_dataset!D145))</f>
        <v>8.24</v>
      </c>
      <c r="E145" s="7" t="n">
        <f aca="false">IF(ISBLANK(customer_churn_dataset!E145),0,MAX(0,customer_churn_dataset!E145))</f>
        <v>72</v>
      </c>
      <c r="F145" s="8" t="n">
        <f aca="false">IF(ISBLANK(customer_churn_dataset!F145),"",customer_churn_dataset!F145)</f>
        <v>44024</v>
      </c>
      <c r="G145" s="7" t="str">
        <f aca="false">PROPER(TRIM(customer_churn_dataset!G145))</f>
        <v>Credit Card</v>
      </c>
      <c r="H145" s="7" t="n">
        <f aca="false">IF(ISBLANK(customer_churn_dataset!H145),0,customer_churn_dataset!H145)</f>
        <v>0</v>
      </c>
      <c r="I145" s="7" t="n">
        <f aca="false">IF(ISBLANK(customer_churn_dataset!I145),ROUND(MEDIAN(customer_churn_dataset!I$2:I$1501),1),MIN(100,MAX(0,customer_churn_dataset!I145)))</f>
        <v>45.7</v>
      </c>
      <c r="J145" s="7" t="n">
        <f aca="false">IF(ISBLANK(customer_churn_dataset!J145),0,MAX(0,customer_churn_dataset!J145))</f>
        <v>13</v>
      </c>
      <c r="K145" s="7" t="n">
        <f aca="false">IF(ISBLANK(customer_churn_dataset!K145),0,MIN(10,MAX(0,customer_churn_dataset!K145)))</f>
        <v>5</v>
      </c>
      <c r="L145" s="7" t="n">
        <f aca="false">IF(ISBLANK(customer_churn_dataset!L145),0,MAX(0,customer_churn_dataset!L145))</f>
        <v>3</v>
      </c>
      <c r="M145" s="7" t="n">
        <f aca="false">IF(ISBLANK(customer_churn_dataset!M145),0,customer_churn_dataset!M145)</f>
        <v>1</v>
      </c>
      <c r="N145" s="7" t="n">
        <f aca="false">IF(ISBLANK(customer_churn_dataset!N145),0,MAX(0,customer_churn_dataset!N145))</f>
        <v>593.28</v>
      </c>
      <c r="O145" s="7" t="n">
        <f aca="false">IF(ISBLANK(customer_churn_dataset!O145),0,customer_churn_dataset!O145)</f>
        <v>0</v>
      </c>
      <c r="P145" s="7" t="str">
        <f aca="false">IF(COUNTIF(customer_churn_dataset!$A$2:$A$1501,customer_churn_dataset!A145)&gt;1,"Duplicate","Unique")</f>
        <v>Unique</v>
      </c>
    </row>
    <row r="146" customFormat="false" ht="14.15" hidden="false" customHeight="true" outlineLevel="0" collapsed="false">
      <c r="A146" s="7" t="str">
        <f aca="false">TRIM(customer_churn_dataset!A146)</f>
        <v>CUST100855</v>
      </c>
      <c r="B146" s="7" t="str">
        <f aca="false">PROPER(TRIM(customer_churn_dataset!B146))</f>
        <v>Basic</v>
      </c>
      <c r="C146" s="7" t="str">
        <f aca="false">PROPER(TRIM(customer_churn_dataset!C146))</f>
        <v>One Year</v>
      </c>
      <c r="D146" s="7" t="n">
        <f aca="false">IF(ISBLANK(customer_churn_dataset!D146),ROUND(MEDIAN(customer_churn_dataset!D$2:D$1501),2),IF(customer_churn_dataset!D146&lt;0,ABS(customer_churn_dataset!D146),customer_churn_dataset!D146))</f>
        <v>9.8</v>
      </c>
      <c r="E146" s="7" t="n">
        <f aca="false">IF(ISBLANK(customer_churn_dataset!E146),0,MAX(0,customer_churn_dataset!E146))</f>
        <v>12</v>
      </c>
      <c r="F146" s="8" t="n">
        <f aca="false">IF(ISBLANK(customer_churn_dataset!F146),"",customer_churn_dataset!F146)</f>
        <v>44025</v>
      </c>
      <c r="G146" s="7" t="str">
        <f aca="false">PROPER(TRIM(customer_churn_dataset!G146))</f>
        <v>Credit Card</v>
      </c>
      <c r="H146" s="7" t="n">
        <f aca="false">IF(ISBLANK(customer_churn_dataset!H146),0,customer_churn_dataset!H146)</f>
        <v>0</v>
      </c>
      <c r="I146" s="7" t="n">
        <f aca="false">IF(ISBLANK(customer_churn_dataset!I146),ROUND(MEDIAN(customer_churn_dataset!I$2:I$1501),1),MIN(100,MAX(0,customer_churn_dataset!I146)))</f>
        <v>20.5</v>
      </c>
      <c r="J146" s="7" t="n">
        <f aca="false">IF(ISBLANK(customer_churn_dataset!J146),0,MAX(0,customer_churn_dataset!J146))</f>
        <v>7</v>
      </c>
      <c r="K146" s="7" t="n">
        <f aca="false">IF(ISBLANK(customer_churn_dataset!K146),0,MIN(10,MAX(0,customer_churn_dataset!K146)))</f>
        <v>3</v>
      </c>
      <c r="L146" s="7" t="n">
        <f aca="false">IF(ISBLANK(customer_churn_dataset!L146),0,MAX(0,customer_churn_dataset!L146))</f>
        <v>2</v>
      </c>
      <c r="M146" s="7" t="n">
        <f aca="false">IF(ISBLANK(customer_churn_dataset!M146),0,customer_churn_dataset!M146)</f>
        <v>1</v>
      </c>
      <c r="N146" s="7" t="n">
        <f aca="false">IF(ISBLANK(customer_churn_dataset!N146),0,MAX(0,customer_churn_dataset!N146))</f>
        <v>117.6</v>
      </c>
      <c r="O146" s="7" t="n">
        <f aca="false">IF(ISBLANK(customer_churn_dataset!O146),0,customer_churn_dataset!O146)</f>
        <v>0</v>
      </c>
      <c r="P146" s="7" t="str">
        <f aca="false">IF(COUNTIF(customer_churn_dataset!$A$2:$A$1501,customer_churn_dataset!A146)&gt;1,"Duplicate","Unique")</f>
        <v>Unique</v>
      </c>
    </row>
    <row r="147" customFormat="false" ht="14.15" hidden="false" customHeight="true" outlineLevel="0" collapsed="false">
      <c r="A147" s="7" t="str">
        <f aca="false">TRIM(customer_churn_dataset!A147)</f>
        <v>CUST100739</v>
      </c>
      <c r="B147" s="7" t="str">
        <f aca="false">PROPER(TRIM(customer_churn_dataset!B147))</f>
        <v>Basic</v>
      </c>
      <c r="C147" s="7" t="str">
        <f aca="false">PROPER(TRIM(customer_churn_dataset!C147))</f>
        <v>One Year</v>
      </c>
      <c r="D147" s="7" t="n">
        <f aca="false">IF(ISBLANK(customer_churn_dataset!D147),ROUND(MEDIAN(customer_churn_dataset!D$2:D$1501),2),IF(customer_churn_dataset!D147&lt;0,ABS(customer_churn_dataset!D147),customer_churn_dataset!D147))</f>
        <v>9.69</v>
      </c>
      <c r="E147" s="7" t="n">
        <f aca="false">IF(ISBLANK(customer_churn_dataset!E147),0,MAX(0,customer_churn_dataset!E147))</f>
        <v>20</v>
      </c>
      <c r="F147" s="8" t="n">
        <f aca="false">IF(ISBLANK(customer_churn_dataset!F147),"",customer_churn_dataset!F147)</f>
        <v>44026</v>
      </c>
      <c r="G147" s="7" t="str">
        <f aca="false">PROPER(TRIM(customer_churn_dataset!G147))</f>
        <v>Credit Card</v>
      </c>
      <c r="H147" s="7" t="n">
        <f aca="false">IF(ISBLANK(customer_churn_dataset!H147),0,customer_churn_dataset!H147)</f>
        <v>1</v>
      </c>
      <c r="I147" s="7" t="n">
        <f aca="false">IF(ISBLANK(customer_churn_dataset!I147),ROUND(MEDIAN(customer_churn_dataset!I$2:I$1501),1),MIN(100,MAX(0,customer_churn_dataset!I147)))</f>
        <v>29</v>
      </c>
      <c r="J147" s="7" t="n">
        <f aca="false">IF(ISBLANK(customer_churn_dataset!J147),0,MAX(0,customer_churn_dataset!J147))</f>
        <v>11</v>
      </c>
      <c r="K147" s="7" t="n">
        <f aca="false">IF(ISBLANK(customer_churn_dataset!K147),0,MIN(10,MAX(0,customer_churn_dataset!K147)))</f>
        <v>0</v>
      </c>
      <c r="L147" s="7" t="n">
        <f aca="false">IF(ISBLANK(customer_churn_dataset!L147),0,MAX(0,customer_churn_dataset!L147))</f>
        <v>3</v>
      </c>
      <c r="M147" s="7" t="n">
        <f aca="false">IF(ISBLANK(customer_churn_dataset!M147),0,customer_churn_dataset!M147)</f>
        <v>1</v>
      </c>
      <c r="N147" s="7" t="n">
        <f aca="false">IF(ISBLANK(customer_churn_dataset!N147),0,MAX(0,customer_churn_dataset!N147))</f>
        <v>193.8</v>
      </c>
      <c r="O147" s="7" t="n">
        <f aca="false">IF(ISBLANK(customer_churn_dataset!O147),0,customer_churn_dataset!O147)</f>
        <v>0</v>
      </c>
      <c r="P147" s="7" t="str">
        <f aca="false">IF(COUNTIF(customer_churn_dataset!$A$2:$A$1501,customer_churn_dataset!A147)&gt;1,"Duplicate","Unique")</f>
        <v>Unique</v>
      </c>
    </row>
    <row r="148" customFormat="false" ht="14.15" hidden="false" customHeight="true" outlineLevel="0" collapsed="false">
      <c r="A148" s="7" t="str">
        <f aca="false">TRIM(customer_churn_dataset!A148)</f>
        <v>CUST101326</v>
      </c>
      <c r="B148" s="7" t="str">
        <f aca="false">PROPER(TRIM(customer_churn_dataset!B148))</f>
        <v>Basic</v>
      </c>
      <c r="C148" s="7" t="str">
        <f aca="false">PROPER(TRIM(customer_churn_dataset!C148))</f>
        <v>Month-To-Month</v>
      </c>
      <c r="D148" s="7" t="n">
        <f aca="false">IF(ISBLANK(customer_churn_dataset!D148),ROUND(MEDIAN(customer_churn_dataset!D$2:D$1501),2),IF(customer_churn_dataset!D148&lt;0,ABS(customer_churn_dataset!D148),customer_churn_dataset!D148))</f>
        <v>9.6</v>
      </c>
      <c r="E148" s="7" t="n">
        <f aca="false">IF(ISBLANK(customer_churn_dataset!E148),0,MAX(0,customer_churn_dataset!E148))</f>
        <v>33</v>
      </c>
      <c r="F148" s="8" t="n">
        <f aca="false">IF(ISBLANK(customer_churn_dataset!F148),"",customer_churn_dataset!F148)</f>
        <v>44027</v>
      </c>
      <c r="G148" s="7" t="str">
        <f aca="false">PROPER(TRIM(customer_churn_dataset!G148))</f>
        <v>Credit Card</v>
      </c>
      <c r="H148" s="7" t="n">
        <f aca="false">IF(ISBLANK(customer_churn_dataset!H148),0,customer_churn_dataset!H148)</f>
        <v>1</v>
      </c>
      <c r="I148" s="7" t="n">
        <f aca="false">IF(ISBLANK(customer_churn_dataset!I148),ROUND(MEDIAN(customer_churn_dataset!I$2:I$1501),1),MIN(100,MAX(0,customer_churn_dataset!I148)))</f>
        <v>75.3</v>
      </c>
      <c r="J148" s="7" t="n">
        <f aca="false">IF(ISBLANK(customer_churn_dataset!J148),0,MAX(0,customer_churn_dataset!J148))</f>
        <v>21</v>
      </c>
      <c r="K148" s="7" t="n">
        <f aca="false">IF(ISBLANK(customer_churn_dataset!K148),0,MIN(10,MAX(0,customer_churn_dataset!K148)))</f>
        <v>7</v>
      </c>
      <c r="L148" s="7" t="n">
        <f aca="false">IF(ISBLANK(customer_churn_dataset!L148),0,MAX(0,customer_churn_dataset!L148))</f>
        <v>4</v>
      </c>
      <c r="M148" s="7" t="n">
        <f aca="false">IF(ISBLANK(customer_churn_dataset!M148),0,customer_churn_dataset!M148)</f>
        <v>0</v>
      </c>
      <c r="N148" s="7" t="n">
        <f aca="false">IF(ISBLANK(customer_churn_dataset!N148),0,MAX(0,customer_churn_dataset!N148))</f>
        <v>316.8</v>
      </c>
      <c r="O148" s="7" t="n">
        <f aca="false">IF(ISBLANK(customer_churn_dataset!O148),0,customer_churn_dataset!O148)</f>
        <v>0</v>
      </c>
      <c r="P148" s="7" t="str">
        <f aca="false">IF(COUNTIF(customer_churn_dataset!$A$2:$A$1501,customer_churn_dataset!A148)&gt;1,"Duplicate","Unique")</f>
        <v>Unique</v>
      </c>
    </row>
    <row r="149" customFormat="false" ht="14.15" hidden="false" customHeight="true" outlineLevel="0" collapsed="false">
      <c r="A149" s="7" t="str">
        <f aca="false">TRIM(customer_churn_dataset!A149)</f>
        <v>CUST100354</v>
      </c>
      <c r="B149" s="7" t="str">
        <f aca="false">PROPER(TRIM(customer_churn_dataset!B149))</f>
        <v>Basic</v>
      </c>
      <c r="C149" s="7" t="str">
        <f aca="false">PROPER(TRIM(customer_churn_dataset!C149))</f>
        <v>Month-To-Month</v>
      </c>
      <c r="D149" s="7" t="n">
        <f aca="false">IF(ISBLANK(customer_churn_dataset!D149),ROUND(MEDIAN(customer_churn_dataset!D$2:D$1501),2),IF(customer_churn_dataset!D149&lt;0,ABS(customer_churn_dataset!D149),customer_churn_dataset!D149))</f>
        <v>9.91</v>
      </c>
      <c r="E149" s="7" t="n">
        <f aca="false">IF(ISBLANK(customer_churn_dataset!E149),0,MAX(0,customer_churn_dataset!E149))</f>
        <v>7</v>
      </c>
      <c r="F149" s="8" t="n">
        <f aca="false">IF(ISBLANK(customer_churn_dataset!F149),"",customer_churn_dataset!F149)</f>
        <v>44027</v>
      </c>
      <c r="G149" s="7" t="str">
        <f aca="false">PROPER(TRIM(customer_churn_dataset!G149))</f>
        <v>Bank Transfer</v>
      </c>
      <c r="H149" s="7" t="n">
        <f aca="false">IF(ISBLANK(customer_churn_dataset!H149),0,customer_churn_dataset!H149)</f>
        <v>0</v>
      </c>
      <c r="I149" s="7" t="n">
        <f aca="false">IF(ISBLANK(customer_churn_dataset!I149),ROUND(MEDIAN(customer_churn_dataset!I$2:I$1501),1),MIN(100,MAX(0,customer_churn_dataset!I149)))</f>
        <v>49.4</v>
      </c>
      <c r="J149" s="7" t="n">
        <f aca="false">IF(ISBLANK(customer_churn_dataset!J149),0,MAX(0,customer_churn_dataset!J149))</f>
        <v>13</v>
      </c>
      <c r="K149" s="7" t="n">
        <f aca="false">IF(ISBLANK(customer_churn_dataset!K149),0,MIN(10,MAX(0,customer_churn_dataset!K149)))</f>
        <v>4</v>
      </c>
      <c r="L149" s="7" t="n">
        <f aca="false">IF(ISBLANK(customer_churn_dataset!L149),0,MAX(0,customer_churn_dataset!L149))</f>
        <v>0</v>
      </c>
      <c r="M149" s="7" t="n">
        <f aca="false">IF(ISBLANK(customer_churn_dataset!M149),0,customer_churn_dataset!M149)</f>
        <v>0</v>
      </c>
      <c r="N149" s="7" t="n">
        <f aca="false">IF(ISBLANK(customer_churn_dataset!N149),0,MAX(0,customer_churn_dataset!N149))</f>
        <v>69.37</v>
      </c>
      <c r="O149" s="7" t="n">
        <f aca="false">IF(ISBLANK(customer_churn_dataset!O149),0,customer_churn_dataset!O149)</f>
        <v>1</v>
      </c>
      <c r="P149" s="7" t="str">
        <f aca="false">IF(COUNTIF(customer_churn_dataset!$A$2:$A$1501,customer_churn_dataset!A149)&gt;1,"Duplicate","Unique")</f>
        <v>Unique</v>
      </c>
    </row>
    <row r="150" customFormat="false" ht="14.15" hidden="false" customHeight="true" outlineLevel="0" collapsed="false">
      <c r="A150" s="7" t="str">
        <f aca="false">TRIM(customer_churn_dataset!A150)</f>
        <v>CUST100125</v>
      </c>
      <c r="B150" s="7" t="str">
        <f aca="false">PROPER(TRIM(customer_churn_dataset!B150))</f>
        <v>Basic</v>
      </c>
      <c r="C150" s="7" t="str">
        <f aca="false">PROPER(TRIM(customer_churn_dataset!C150))</f>
        <v>One Year</v>
      </c>
      <c r="D150" s="7" t="n">
        <f aca="false">IF(ISBLANK(customer_churn_dataset!D150),ROUND(MEDIAN(customer_churn_dataset!D$2:D$1501),2),IF(customer_churn_dataset!D150&lt;0,ABS(customer_churn_dataset!D150),customer_churn_dataset!D150))</f>
        <v>8.66</v>
      </c>
      <c r="E150" s="7" t="n">
        <f aca="false">IF(ISBLANK(customer_churn_dataset!E150),0,MAX(0,customer_churn_dataset!E150))</f>
        <v>18</v>
      </c>
      <c r="F150" s="8" t="n">
        <f aca="false">IF(ISBLANK(customer_churn_dataset!F150),"",customer_churn_dataset!F150)</f>
        <v>44030</v>
      </c>
      <c r="G150" s="7" t="str">
        <f aca="false">PROPER(TRIM(customer_churn_dataset!G150))</f>
        <v>Credit Card</v>
      </c>
      <c r="H150" s="7" t="n">
        <f aca="false">IF(ISBLANK(customer_churn_dataset!H150),0,customer_churn_dataset!H150)</f>
        <v>1</v>
      </c>
      <c r="I150" s="7" t="n">
        <f aca="false">IF(ISBLANK(customer_churn_dataset!I150),ROUND(MEDIAN(customer_churn_dataset!I$2:I$1501),1),MIN(100,MAX(0,customer_churn_dataset!I150)))</f>
        <v>26.7</v>
      </c>
      <c r="J150" s="7" t="n">
        <f aca="false">IF(ISBLANK(customer_churn_dataset!J150),0,MAX(0,customer_churn_dataset!J150))</f>
        <v>13</v>
      </c>
      <c r="K150" s="7" t="n">
        <f aca="false">IF(ISBLANK(customer_churn_dataset!K150),0,MIN(10,MAX(0,customer_churn_dataset!K150)))</f>
        <v>3</v>
      </c>
      <c r="L150" s="7" t="n">
        <f aca="false">IF(ISBLANK(customer_churn_dataset!L150),0,MAX(0,customer_churn_dataset!L150))</f>
        <v>3</v>
      </c>
      <c r="M150" s="7" t="n">
        <f aca="false">IF(ISBLANK(customer_churn_dataset!M150),0,customer_churn_dataset!M150)</f>
        <v>0</v>
      </c>
      <c r="N150" s="7" t="n">
        <f aca="false">IF(ISBLANK(customer_churn_dataset!N150),0,MAX(0,customer_churn_dataset!N150))</f>
        <v>155.88</v>
      </c>
      <c r="O150" s="7" t="n">
        <f aca="false">IF(ISBLANK(customer_churn_dataset!O150),0,customer_churn_dataset!O150)</f>
        <v>0</v>
      </c>
      <c r="P150" s="7" t="str">
        <f aca="false">IF(COUNTIF(customer_churn_dataset!$A$2:$A$1501,customer_churn_dataset!A150)&gt;1,"Duplicate","Unique")</f>
        <v>Unique</v>
      </c>
    </row>
    <row r="151" customFormat="false" ht="14.15" hidden="false" customHeight="true" outlineLevel="0" collapsed="false">
      <c r="A151" s="7" t="str">
        <f aca="false">TRIM(customer_churn_dataset!A151)</f>
        <v>CUST100645</v>
      </c>
      <c r="B151" s="7" t="str">
        <f aca="false">PROPER(TRIM(customer_churn_dataset!B151))</f>
        <v>Premium</v>
      </c>
      <c r="C151" s="7" t="str">
        <f aca="false">PROPER(TRIM(customer_churn_dataset!C151))</f>
        <v>Month-To-Month</v>
      </c>
      <c r="D151" s="7" t="n">
        <f aca="false">IF(ISBLANK(customer_churn_dataset!D151),ROUND(MEDIAN(customer_churn_dataset!D$2:D$1501),2),IF(customer_churn_dataset!D151&lt;0,ABS(customer_churn_dataset!D151),customer_churn_dataset!D151))</f>
        <v>38.41</v>
      </c>
      <c r="E151" s="7" t="n">
        <f aca="false">IF(ISBLANK(customer_churn_dataset!E151),0,MAX(0,customer_churn_dataset!E151))</f>
        <v>57</v>
      </c>
      <c r="F151" s="8" t="n">
        <f aca="false">IF(ISBLANK(customer_churn_dataset!F151),"",customer_churn_dataset!F151)</f>
        <v>44031</v>
      </c>
      <c r="G151" s="7" t="str">
        <f aca="false">PROPER(TRIM(customer_churn_dataset!G151))</f>
        <v>Bank Transfer</v>
      </c>
      <c r="H151" s="7" t="n">
        <f aca="false">IF(ISBLANK(customer_churn_dataset!H151),0,customer_churn_dataset!H151)</f>
        <v>0</v>
      </c>
      <c r="I151" s="7" t="n">
        <f aca="false">IF(ISBLANK(customer_churn_dataset!I151),ROUND(MEDIAN(customer_churn_dataset!I$2:I$1501),1),MIN(100,MAX(0,customer_churn_dataset!I151)))</f>
        <v>63.7</v>
      </c>
      <c r="J151" s="7" t="n">
        <f aca="false">IF(ISBLANK(customer_churn_dataset!J151),0,MAX(0,customer_churn_dataset!J151))</f>
        <v>20</v>
      </c>
      <c r="K151" s="7" t="n">
        <f aca="false">IF(ISBLANK(customer_churn_dataset!K151),0,MIN(10,MAX(0,customer_churn_dataset!K151)))</f>
        <v>6</v>
      </c>
      <c r="L151" s="7" t="n">
        <f aca="false">IF(ISBLANK(customer_churn_dataset!L151),0,MAX(0,customer_churn_dataset!L151))</f>
        <v>4</v>
      </c>
      <c r="M151" s="7" t="n">
        <f aca="false">IF(ISBLANK(customer_churn_dataset!M151),0,customer_churn_dataset!M151)</f>
        <v>1</v>
      </c>
      <c r="N151" s="7" t="n">
        <f aca="false">IF(ISBLANK(customer_churn_dataset!N151),0,MAX(0,customer_churn_dataset!N151))</f>
        <v>2189.37</v>
      </c>
      <c r="O151" s="7" t="n">
        <f aca="false">IF(ISBLANK(customer_churn_dataset!O151),0,customer_churn_dataset!O151)</f>
        <v>1</v>
      </c>
      <c r="P151" s="7" t="str">
        <f aca="false">IF(COUNTIF(customer_churn_dataset!$A$2:$A$1501,customer_churn_dataset!A151)&gt;1,"Duplicate","Unique")</f>
        <v>Unique</v>
      </c>
    </row>
    <row r="152" customFormat="false" ht="14.15" hidden="false" customHeight="true" outlineLevel="0" collapsed="false">
      <c r="A152" s="7" t="str">
        <f aca="false">TRIM(customer_churn_dataset!A152)</f>
        <v>CUST100844</v>
      </c>
      <c r="B152" s="7" t="str">
        <f aca="false">PROPER(TRIM(customer_churn_dataset!B152))</f>
        <v>Basic</v>
      </c>
      <c r="C152" s="7" t="str">
        <f aca="false">PROPER(TRIM(customer_churn_dataset!C152))</f>
        <v>Month-To-Month</v>
      </c>
      <c r="D152" s="7" t="n">
        <f aca="false">IF(ISBLANK(customer_churn_dataset!D152),ROUND(MEDIAN(customer_churn_dataset!D$2:D$1501),2),IF(customer_churn_dataset!D152&lt;0,ABS(customer_churn_dataset!D152),customer_churn_dataset!D152))</f>
        <v>8.1</v>
      </c>
      <c r="E152" s="7" t="n">
        <f aca="false">IF(ISBLANK(customer_churn_dataset!E152),0,MAX(0,customer_churn_dataset!E152))</f>
        <v>4</v>
      </c>
      <c r="F152" s="8" t="n">
        <f aca="false">IF(ISBLANK(customer_churn_dataset!F152),"",customer_churn_dataset!F152)</f>
        <v>44031</v>
      </c>
      <c r="G152" s="7" t="str">
        <f aca="false">PROPER(TRIM(customer_churn_dataset!G152))</f>
        <v>Paypal</v>
      </c>
      <c r="H152" s="7" t="n">
        <f aca="false">IF(ISBLANK(customer_churn_dataset!H152),0,customer_churn_dataset!H152)</f>
        <v>1</v>
      </c>
      <c r="I152" s="7" t="n">
        <f aca="false">IF(ISBLANK(customer_churn_dataset!I152),ROUND(MEDIAN(customer_churn_dataset!I$2:I$1501),1),MIN(100,MAX(0,customer_churn_dataset!I152)))</f>
        <v>71</v>
      </c>
      <c r="J152" s="7" t="n">
        <f aca="false">IF(ISBLANK(customer_churn_dataset!J152),0,MAX(0,customer_churn_dataset!J152))</f>
        <v>22</v>
      </c>
      <c r="K152" s="7" t="n">
        <f aca="false">IF(ISBLANK(customer_churn_dataset!K152),0,MIN(10,MAX(0,customer_churn_dataset!K152)))</f>
        <v>6</v>
      </c>
      <c r="L152" s="7" t="n">
        <f aca="false">IF(ISBLANK(customer_churn_dataset!L152),0,MAX(0,customer_churn_dataset!L152))</f>
        <v>1</v>
      </c>
      <c r="M152" s="7" t="n">
        <f aca="false">IF(ISBLANK(customer_churn_dataset!M152),0,customer_churn_dataset!M152)</f>
        <v>0</v>
      </c>
      <c r="N152" s="7" t="n">
        <f aca="false">IF(ISBLANK(customer_churn_dataset!N152),0,MAX(0,customer_churn_dataset!N152))</f>
        <v>32.4</v>
      </c>
      <c r="O152" s="7" t="n">
        <f aca="false">IF(ISBLANK(customer_churn_dataset!O152),0,customer_churn_dataset!O152)</f>
        <v>0</v>
      </c>
      <c r="P152" s="7" t="str">
        <f aca="false">IF(COUNTIF(customer_churn_dataset!$A$2:$A$1501,customer_churn_dataset!A152)&gt;1,"Duplicate","Unique")</f>
        <v>Unique</v>
      </c>
    </row>
    <row r="153" customFormat="false" ht="14.15" hidden="false" customHeight="true" outlineLevel="0" collapsed="false">
      <c r="A153" s="7" t="str">
        <f aca="false">TRIM(customer_churn_dataset!A153)</f>
        <v>CUST100283</v>
      </c>
      <c r="B153" s="7" t="str">
        <f aca="false">PROPER(TRIM(customer_churn_dataset!B153))</f>
        <v>Basic</v>
      </c>
      <c r="C153" s="7" t="str">
        <f aca="false">PROPER(TRIM(customer_churn_dataset!C153))</f>
        <v>Two Year</v>
      </c>
      <c r="D153" s="7" t="n">
        <f aca="false">IF(ISBLANK(customer_churn_dataset!D153),ROUND(MEDIAN(customer_churn_dataset!D$2:D$1501),2),IF(customer_churn_dataset!D153&lt;0,ABS(customer_churn_dataset!D153),customer_churn_dataset!D153))</f>
        <v>8.69</v>
      </c>
      <c r="E153" s="7" t="n">
        <f aca="false">IF(ISBLANK(customer_churn_dataset!E153),0,MAX(0,customer_churn_dataset!E153))</f>
        <v>3</v>
      </c>
      <c r="F153" s="8" t="n">
        <f aca="false">IF(ISBLANK(customer_churn_dataset!F153),"",customer_churn_dataset!F153)</f>
        <v>44034</v>
      </c>
      <c r="G153" s="7" t="str">
        <f aca="false">PROPER(TRIM(customer_churn_dataset!G153))</f>
        <v>Bank Transfer</v>
      </c>
      <c r="H153" s="7" t="n">
        <f aca="false">IF(ISBLANK(customer_churn_dataset!H153),0,customer_churn_dataset!H153)</f>
        <v>0</v>
      </c>
      <c r="I153" s="7" t="n">
        <f aca="false">IF(ISBLANK(customer_churn_dataset!I153),ROUND(MEDIAN(customer_churn_dataset!I$2:I$1501),1),MIN(100,MAX(0,customer_churn_dataset!I153)))</f>
        <v>48.3</v>
      </c>
      <c r="J153" s="7" t="n">
        <f aca="false">IF(ISBLANK(customer_churn_dataset!J153),0,MAX(0,customer_churn_dataset!J153))</f>
        <v>22</v>
      </c>
      <c r="K153" s="7" t="n">
        <f aca="false">IF(ISBLANK(customer_churn_dataset!K153),0,MIN(10,MAX(0,customer_churn_dataset!K153)))</f>
        <v>5</v>
      </c>
      <c r="L153" s="7" t="n">
        <f aca="false">IF(ISBLANK(customer_churn_dataset!L153),0,MAX(0,customer_churn_dataset!L153))</f>
        <v>0</v>
      </c>
      <c r="M153" s="7" t="n">
        <f aca="false">IF(ISBLANK(customer_churn_dataset!M153),0,customer_churn_dataset!M153)</f>
        <v>0</v>
      </c>
      <c r="N153" s="7" t="n">
        <f aca="false">IF(ISBLANK(customer_churn_dataset!N153),0,MAX(0,customer_churn_dataset!N153))</f>
        <v>26.07</v>
      </c>
      <c r="O153" s="7" t="n">
        <f aca="false">IF(ISBLANK(customer_churn_dataset!O153),0,customer_churn_dataset!O153)</f>
        <v>1</v>
      </c>
      <c r="P153" s="7" t="str">
        <f aca="false">IF(COUNTIF(customer_churn_dataset!$A$2:$A$1501,customer_churn_dataset!A153)&gt;1,"Duplicate","Unique")</f>
        <v>Unique</v>
      </c>
    </row>
    <row r="154" customFormat="false" ht="14.15" hidden="false" customHeight="true" outlineLevel="0" collapsed="false">
      <c r="A154" s="7" t="str">
        <f aca="false">TRIM(customer_churn_dataset!A154)</f>
        <v>CUST101018</v>
      </c>
      <c r="B154" s="7" t="str">
        <f aca="false">PROPER(TRIM(customer_churn_dataset!B154))</f>
        <v>Premium</v>
      </c>
      <c r="C154" s="7" t="str">
        <f aca="false">PROPER(TRIM(customer_churn_dataset!C154))</f>
        <v>Two Year</v>
      </c>
      <c r="D154" s="7" t="n">
        <f aca="false">IF(ISBLANK(customer_churn_dataset!D154),ROUND(MEDIAN(customer_churn_dataset!D$2:D$1501),2),IF(customer_churn_dataset!D154&lt;0,ABS(customer_churn_dataset!D154),customer_churn_dataset!D154))</f>
        <v>42.01</v>
      </c>
      <c r="E154" s="7" t="n">
        <f aca="false">IF(ISBLANK(customer_churn_dataset!E154),0,MAX(0,customer_churn_dataset!E154))</f>
        <v>14</v>
      </c>
      <c r="F154" s="8" t="n">
        <f aca="false">IF(ISBLANK(customer_churn_dataset!F154),"",customer_churn_dataset!F154)</f>
        <v>44036</v>
      </c>
      <c r="G154" s="7" t="str">
        <f aca="false">PROPER(TRIM(customer_churn_dataset!G154))</f>
        <v>Paypal</v>
      </c>
      <c r="H154" s="7" t="n">
        <f aca="false">IF(ISBLANK(customer_churn_dataset!H154),0,customer_churn_dataset!H154)</f>
        <v>1</v>
      </c>
      <c r="I154" s="7" t="n">
        <f aca="false">IF(ISBLANK(customer_churn_dataset!I154),ROUND(MEDIAN(customer_churn_dataset!I$2:I$1501),1),MIN(100,MAX(0,customer_churn_dataset!I154)))</f>
        <v>32.7</v>
      </c>
      <c r="J154" s="7" t="n">
        <f aca="false">IF(ISBLANK(customer_churn_dataset!J154),0,MAX(0,customer_churn_dataset!J154))</f>
        <v>12</v>
      </c>
      <c r="K154" s="7" t="n">
        <f aca="false">IF(ISBLANK(customer_churn_dataset!K154),0,MIN(10,MAX(0,customer_churn_dataset!K154)))</f>
        <v>5</v>
      </c>
      <c r="L154" s="7" t="n">
        <f aca="false">IF(ISBLANK(customer_churn_dataset!L154),0,MAX(0,customer_churn_dataset!L154))</f>
        <v>1</v>
      </c>
      <c r="M154" s="7" t="n">
        <f aca="false">IF(ISBLANK(customer_churn_dataset!M154),0,customer_churn_dataset!M154)</f>
        <v>1</v>
      </c>
      <c r="N154" s="7" t="n">
        <f aca="false">IF(ISBLANK(customer_churn_dataset!N154),0,MAX(0,customer_churn_dataset!N154))</f>
        <v>588.14</v>
      </c>
      <c r="O154" s="7" t="n">
        <f aca="false">IF(ISBLANK(customer_churn_dataset!O154),0,customer_churn_dataset!O154)</f>
        <v>0</v>
      </c>
      <c r="P154" s="7" t="str">
        <f aca="false">IF(COUNTIF(customer_churn_dataset!$A$2:$A$1501,customer_churn_dataset!A154)&gt;1,"Duplicate","Unique")</f>
        <v>Unique</v>
      </c>
    </row>
    <row r="155" customFormat="false" ht="14.15" hidden="false" customHeight="true" outlineLevel="0" collapsed="false">
      <c r="A155" s="7" t="str">
        <f aca="false">TRIM(customer_churn_dataset!A155)</f>
        <v>CUST101225</v>
      </c>
      <c r="B155" s="7" t="str">
        <f aca="false">PROPER(TRIM(customer_churn_dataset!B155))</f>
        <v>Standard</v>
      </c>
      <c r="C155" s="7" t="str">
        <f aca="false">PROPER(TRIM(customer_churn_dataset!C155))</f>
        <v>Month-To-Month</v>
      </c>
      <c r="D155" s="7" t="n">
        <f aca="false">IF(ISBLANK(customer_churn_dataset!D155),ROUND(MEDIAN(customer_churn_dataset!D$2:D$1501),2),IF(customer_churn_dataset!D155&lt;0,ABS(customer_churn_dataset!D155),customer_churn_dataset!D155))</f>
        <v>19.23</v>
      </c>
      <c r="E155" s="7" t="n">
        <f aca="false">IF(ISBLANK(customer_churn_dataset!E155),0,MAX(0,customer_churn_dataset!E155))</f>
        <v>32</v>
      </c>
      <c r="F155" s="8" t="n">
        <f aca="false">IF(ISBLANK(customer_churn_dataset!F155),"",customer_churn_dataset!F155)</f>
        <v>44037</v>
      </c>
      <c r="G155" s="7" t="str">
        <f aca="false">PROPER(TRIM(customer_churn_dataset!G155))</f>
        <v>Bank Transfer</v>
      </c>
      <c r="H155" s="7" t="n">
        <f aca="false">IF(ISBLANK(customer_churn_dataset!H155),0,customer_churn_dataset!H155)</f>
        <v>0</v>
      </c>
      <c r="I155" s="7" t="n">
        <f aca="false">IF(ISBLANK(customer_churn_dataset!I155),ROUND(MEDIAN(customer_churn_dataset!I$2:I$1501),1),MIN(100,MAX(0,customer_churn_dataset!I155)))</f>
        <v>65.8</v>
      </c>
      <c r="J155" s="7" t="n">
        <f aca="false">IF(ISBLANK(customer_churn_dataset!J155),0,MAX(0,customer_churn_dataset!J155))</f>
        <v>22</v>
      </c>
      <c r="K155" s="7" t="n">
        <f aca="false">IF(ISBLANK(customer_churn_dataset!K155),0,MIN(10,MAX(0,customer_churn_dataset!K155)))</f>
        <v>7</v>
      </c>
      <c r="L155" s="7" t="n">
        <f aca="false">IF(ISBLANK(customer_churn_dataset!L155),0,MAX(0,customer_churn_dataset!L155))</f>
        <v>2</v>
      </c>
      <c r="M155" s="7" t="n">
        <f aca="false">IF(ISBLANK(customer_churn_dataset!M155),0,customer_churn_dataset!M155)</f>
        <v>1</v>
      </c>
      <c r="N155" s="7" t="n">
        <f aca="false">IF(ISBLANK(customer_churn_dataset!N155),0,MAX(0,customer_churn_dataset!N155))</f>
        <v>615.36</v>
      </c>
      <c r="O155" s="7" t="n">
        <f aca="false">IF(ISBLANK(customer_churn_dataset!O155),0,customer_churn_dataset!O155)</f>
        <v>1</v>
      </c>
      <c r="P155" s="7" t="str">
        <f aca="false">IF(COUNTIF(customer_churn_dataset!$A$2:$A$1501,customer_churn_dataset!A155)&gt;1,"Duplicate","Unique")</f>
        <v>Unique</v>
      </c>
    </row>
    <row r="156" customFormat="false" ht="14.15" hidden="false" customHeight="true" outlineLevel="0" collapsed="false">
      <c r="A156" s="7" t="str">
        <f aca="false">TRIM(customer_churn_dataset!A156)</f>
        <v>CUST100590</v>
      </c>
      <c r="B156" s="7" t="str">
        <f aca="false">PROPER(TRIM(customer_churn_dataset!B156))</f>
        <v>Basic</v>
      </c>
      <c r="C156" s="7" t="str">
        <f aca="false">PROPER(TRIM(customer_churn_dataset!C156))</f>
        <v>Two Year</v>
      </c>
      <c r="D156" s="7" t="n">
        <f aca="false">IF(ISBLANK(customer_churn_dataset!D156),ROUND(MEDIAN(customer_churn_dataset!D$2:D$1501),2),IF(customer_churn_dataset!D156&lt;0,ABS(customer_churn_dataset!D156),customer_churn_dataset!D156))</f>
        <v>7.29</v>
      </c>
      <c r="E156" s="7" t="n">
        <f aca="false">IF(ISBLANK(customer_churn_dataset!E156),0,MAX(0,customer_churn_dataset!E156))</f>
        <v>10</v>
      </c>
      <c r="F156" s="8" t="n">
        <f aca="false">IF(ISBLANK(customer_churn_dataset!F156),"",customer_churn_dataset!F156)</f>
        <v>44038</v>
      </c>
      <c r="G156" s="7" t="str">
        <f aca="false">PROPER(TRIM(customer_churn_dataset!G156))</f>
        <v>Paypal</v>
      </c>
      <c r="H156" s="7" t="n">
        <f aca="false">IF(ISBLANK(customer_churn_dataset!H156),0,customer_churn_dataset!H156)</f>
        <v>0</v>
      </c>
      <c r="I156" s="7" t="n">
        <f aca="false">IF(ISBLANK(customer_churn_dataset!I156),ROUND(MEDIAN(customer_churn_dataset!I$2:I$1501),1),MIN(100,MAX(0,customer_churn_dataset!I156)))</f>
        <v>53.2</v>
      </c>
      <c r="J156" s="7" t="n">
        <f aca="false">IF(ISBLANK(customer_churn_dataset!J156),0,MAX(0,customer_churn_dataset!J156))</f>
        <v>16</v>
      </c>
      <c r="K156" s="7" t="n">
        <f aca="false">IF(ISBLANK(customer_churn_dataset!K156),0,MIN(10,MAX(0,customer_churn_dataset!K156)))</f>
        <v>7</v>
      </c>
      <c r="L156" s="7" t="n">
        <f aca="false">IF(ISBLANK(customer_churn_dataset!L156),0,MAX(0,customer_churn_dataset!L156))</f>
        <v>0</v>
      </c>
      <c r="M156" s="7" t="n">
        <f aca="false">IF(ISBLANK(customer_churn_dataset!M156),0,customer_churn_dataset!M156)</f>
        <v>0</v>
      </c>
      <c r="N156" s="7" t="n">
        <f aca="false">IF(ISBLANK(customer_churn_dataset!N156),0,MAX(0,customer_churn_dataset!N156))</f>
        <v>72.9</v>
      </c>
      <c r="O156" s="7" t="n">
        <f aca="false">IF(ISBLANK(customer_churn_dataset!O156),0,customer_churn_dataset!O156)</f>
        <v>0</v>
      </c>
      <c r="P156" s="7" t="str">
        <f aca="false">IF(COUNTIF(customer_churn_dataset!$A$2:$A$1501,customer_churn_dataset!A156)&gt;1,"Duplicate","Unique")</f>
        <v>Unique</v>
      </c>
    </row>
    <row r="157" customFormat="false" ht="14.15" hidden="false" customHeight="true" outlineLevel="0" collapsed="false">
      <c r="A157" s="7" t="str">
        <f aca="false">TRIM(customer_churn_dataset!A157)</f>
        <v>CUST101057</v>
      </c>
      <c r="B157" s="7" t="str">
        <f aca="false">PROPER(TRIM(customer_churn_dataset!B157))</f>
        <v>Basic</v>
      </c>
      <c r="C157" s="7" t="str">
        <f aca="false">PROPER(TRIM(customer_churn_dataset!C157))</f>
        <v>One Year</v>
      </c>
      <c r="D157" s="7" t="n">
        <f aca="false">IF(ISBLANK(customer_churn_dataset!D157),ROUND(MEDIAN(customer_churn_dataset!D$2:D$1501),2),IF(customer_churn_dataset!D157&lt;0,ABS(customer_churn_dataset!D157),customer_churn_dataset!D157))</f>
        <v>9.92</v>
      </c>
      <c r="E157" s="7" t="n">
        <f aca="false">IF(ISBLANK(customer_churn_dataset!E157),0,MAX(0,customer_churn_dataset!E157))</f>
        <v>22</v>
      </c>
      <c r="F157" s="8" t="n">
        <f aca="false">IF(ISBLANK(customer_churn_dataset!F157),"",customer_churn_dataset!F157)</f>
        <v>44038</v>
      </c>
      <c r="G157" s="7" t="str">
        <f aca="false">PROPER(TRIM(customer_churn_dataset!G157))</f>
        <v>Credit Card</v>
      </c>
      <c r="H157" s="7" t="n">
        <f aca="false">IF(ISBLANK(customer_churn_dataset!H157),0,customer_churn_dataset!H157)</f>
        <v>1</v>
      </c>
      <c r="I157" s="7" t="n">
        <f aca="false">IF(ISBLANK(customer_churn_dataset!I157),ROUND(MEDIAN(customer_churn_dataset!I$2:I$1501),1),MIN(100,MAX(0,customer_churn_dataset!I157)))</f>
        <v>68</v>
      </c>
      <c r="J157" s="7" t="n">
        <f aca="false">IF(ISBLANK(customer_churn_dataset!J157),0,MAX(0,customer_churn_dataset!J157))</f>
        <v>22</v>
      </c>
      <c r="K157" s="7" t="n">
        <f aca="false">IF(ISBLANK(customer_churn_dataset!K157),0,MIN(10,MAX(0,customer_churn_dataset!K157)))</f>
        <v>6</v>
      </c>
      <c r="L157" s="7" t="n">
        <f aca="false">IF(ISBLANK(customer_churn_dataset!L157),0,MAX(0,customer_churn_dataset!L157))</f>
        <v>1</v>
      </c>
      <c r="M157" s="7" t="n">
        <f aca="false">IF(ISBLANK(customer_churn_dataset!M157),0,customer_churn_dataset!M157)</f>
        <v>1</v>
      </c>
      <c r="N157" s="7" t="n">
        <f aca="false">IF(ISBLANK(customer_churn_dataset!N157),0,MAX(0,customer_churn_dataset!N157))</f>
        <v>218.24</v>
      </c>
      <c r="O157" s="7" t="n">
        <f aca="false">IF(ISBLANK(customer_churn_dataset!O157),0,customer_churn_dataset!O157)</f>
        <v>0</v>
      </c>
      <c r="P157" s="7" t="str">
        <f aca="false">IF(COUNTIF(customer_churn_dataset!$A$2:$A$1501,customer_churn_dataset!A157)&gt;1,"Duplicate","Unique")</f>
        <v>Unique</v>
      </c>
    </row>
    <row r="158" customFormat="false" ht="14.15" hidden="false" customHeight="true" outlineLevel="0" collapsed="false">
      <c r="A158" s="7" t="str">
        <f aca="false">TRIM(customer_churn_dataset!A158)</f>
        <v>CUST101074</v>
      </c>
      <c r="B158" s="7" t="str">
        <f aca="false">PROPER(TRIM(customer_churn_dataset!B158))</f>
        <v>Premium</v>
      </c>
      <c r="C158" s="7" t="str">
        <f aca="false">PROPER(TRIM(customer_churn_dataset!C158))</f>
        <v>Two Year</v>
      </c>
      <c r="D158" s="7" t="n">
        <f aca="false">IF(ISBLANK(customer_churn_dataset!D158),ROUND(MEDIAN(customer_churn_dataset!D$2:D$1501),2),IF(customer_churn_dataset!D158&lt;0,ABS(customer_churn_dataset!D158),customer_churn_dataset!D158))</f>
        <v>38.78</v>
      </c>
      <c r="E158" s="7" t="n">
        <f aca="false">IF(ISBLANK(customer_churn_dataset!E158),0,MAX(0,customer_churn_dataset!E158))</f>
        <v>11</v>
      </c>
      <c r="F158" s="8" t="n">
        <f aca="false">IF(ISBLANK(customer_churn_dataset!F158),"",customer_churn_dataset!F158)</f>
        <v>44041</v>
      </c>
      <c r="G158" s="7" t="str">
        <f aca="false">PROPER(TRIM(customer_churn_dataset!G158))</f>
        <v>Paypal</v>
      </c>
      <c r="H158" s="7" t="n">
        <f aca="false">IF(ISBLANK(customer_churn_dataset!H158),0,customer_churn_dataset!H158)</f>
        <v>1</v>
      </c>
      <c r="I158" s="7" t="n">
        <f aca="false">IF(ISBLANK(customer_churn_dataset!I158),ROUND(MEDIAN(customer_churn_dataset!I$2:I$1501),1),MIN(100,MAX(0,customer_churn_dataset!I158)))</f>
        <v>83.7</v>
      </c>
      <c r="J158" s="7" t="n">
        <f aca="false">IF(ISBLANK(customer_churn_dataset!J158),0,MAX(0,customer_churn_dataset!J158))</f>
        <v>31</v>
      </c>
      <c r="K158" s="7" t="n">
        <f aca="false">IF(ISBLANK(customer_churn_dataset!K158),0,MIN(10,MAX(0,customer_churn_dataset!K158)))</f>
        <v>7</v>
      </c>
      <c r="L158" s="7" t="n">
        <f aca="false">IF(ISBLANK(customer_churn_dataset!L158),0,MAX(0,customer_churn_dataset!L158))</f>
        <v>5</v>
      </c>
      <c r="M158" s="7" t="n">
        <f aca="false">IF(ISBLANK(customer_churn_dataset!M158),0,customer_churn_dataset!M158)</f>
        <v>1</v>
      </c>
      <c r="N158" s="7" t="n">
        <f aca="false">IF(ISBLANK(customer_churn_dataset!N158),0,MAX(0,customer_churn_dataset!N158))</f>
        <v>426.58</v>
      </c>
      <c r="O158" s="7" t="n">
        <f aca="false">IF(ISBLANK(customer_churn_dataset!O158),0,customer_churn_dataset!O158)</f>
        <v>0</v>
      </c>
      <c r="P158" s="7" t="str">
        <f aca="false">IF(COUNTIF(customer_churn_dataset!$A$2:$A$1501,customer_churn_dataset!A158)&gt;1,"Duplicate","Unique")</f>
        <v>Unique</v>
      </c>
    </row>
    <row r="159" customFormat="false" ht="14.15" hidden="false" customHeight="true" outlineLevel="0" collapsed="false">
      <c r="A159" s="7" t="str">
        <f aca="false">TRIM(customer_churn_dataset!A159)</f>
        <v>CUST100346</v>
      </c>
      <c r="B159" s="7" t="str">
        <f aca="false">PROPER(TRIM(customer_churn_dataset!B159))</f>
        <v>Standard</v>
      </c>
      <c r="C159" s="7" t="str">
        <f aca="false">PROPER(TRIM(customer_churn_dataset!C159))</f>
        <v>One Year</v>
      </c>
      <c r="D159" s="7" t="n">
        <f aca="false">IF(ISBLANK(customer_churn_dataset!D159),ROUND(MEDIAN(customer_churn_dataset!D$2:D$1501),2),IF(customer_churn_dataset!D159&lt;0,ABS(customer_churn_dataset!D159),customer_churn_dataset!D159))</f>
        <v>20.69</v>
      </c>
      <c r="E159" s="7" t="n">
        <f aca="false">IF(ISBLANK(customer_churn_dataset!E159),0,MAX(0,customer_churn_dataset!E159))</f>
        <v>8</v>
      </c>
      <c r="F159" s="8" t="n">
        <f aca="false">IF(ISBLANK(customer_churn_dataset!F159),"",customer_churn_dataset!F159)</f>
        <v>44043</v>
      </c>
      <c r="G159" s="7" t="str">
        <f aca="false">PROPER(TRIM(customer_churn_dataset!G159))</f>
        <v>Bank Transfer</v>
      </c>
      <c r="H159" s="7" t="n">
        <f aca="false">IF(ISBLANK(customer_churn_dataset!H159),0,customer_churn_dataset!H159)</f>
        <v>1</v>
      </c>
      <c r="I159" s="7" t="n">
        <f aca="false">IF(ISBLANK(customer_churn_dataset!I159),ROUND(MEDIAN(customer_churn_dataset!I$2:I$1501),1),MIN(100,MAX(0,customer_churn_dataset!I159)))</f>
        <v>23.4</v>
      </c>
      <c r="J159" s="7" t="n">
        <f aca="false">IF(ISBLANK(customer_churn_dataset!J159),0,MAX(0,customer_churn_dataset!J159))</f>
        <v>5</v>
      </c>
      <c r="K159" s="7" t="n">
        <f aca="false">IF(ISBLANK(customer_churn_dataset!K159),0,MIN(10,MAX(0,customer_churn_dataset!K159)))</f>
        <v>3</v>
      </c>
      <c r="L159" s="7" t="n">
        <f aca="false">IF(ISBLANK(customer_churn_dataset!L159),0,MAX(0,customer_churn_dataset!L159))</f>
        <v>3</v>
      </c>
      <c r="M159" s="7" t="n">
        <f aca="false">IF(ISBLANK(customer_churn_dataset!M159),0,customer_churn_dataset!M159)</f>
        <v>0</v>
      </c>
      <c r="N159" s="7" t="n">
        <f aca="false">IF(ISBLANK(customer_churn_dataset!N159),0,MAX(0,customer_churn_dataset!N159))</f>
        <v>165.52</v>
      </c>
      <c r="O159" s="7" t="n">
        <f aca="false">IF(ISBLANK(customer_churn_dataset!O159),0,customer_churn_dataset!O159)</f>
        <v>0</v>
      </c>
      <c r="P159" s="7" t="str">
        <f aca="false">IF(COUNTIF(customer_churn_dataset!$A$2:$A$1501,customer_churn_dataset!A159)&gt;1,"Duplicate","Unique")</f>
        <v>Unique</v>
      </c>
    </row>
    <row r="160" customFormat="false" ht="14.15" hidden="false" customHeight="true" outlineLevel="0" collapsed="false">
      <c r="A160" s="7" t="str">
        <f aca="false">TRIM(customer_churn_dataset!A160)</f>
        <v>CUST101054</v>
      </c>
      <c r="B160" s="7" t="str">
        <f aca="false">PROPER(TRIM(customer_churn_dataset!B160))</f>
        <v>Premium</v>
      </c>
      <c r="C160" s="7" t="str">
        <f aca="false">PROPER(TRIM(customer_churn_dataset!C160))</f>
        <v>Month-To-Month</v>
      </c>
      <c r="D160" s="7" t="n">
        <f aca="false">IF(ISBLANK(customer_churn_dataset!D160),ROUND(MEDIAN(customer_churn_dataset!D$2:D$1501),2),IF(customer_churn_dataset!D160&lt;0,ABS(customer_churn_dataset!D160),customer_churn_dataset!D160))</f>
        <v>39.52</v>
      </c>
      <c r="E160" s="7" t="n">
        <f aca="false">IF(ISBLANK(customer_churn_dataset!E160),0,MAX(0,customer_churn_dataset!E160))</f>
        <v>2</v>
      </c>
      <c r="F160" s="8" t="n">
        <f aca="false">IF(ISBLANK(customer_churn_dataset!F160),"",customer_churn_dataset!F160)</f>
        <v>44043</v>
      </c>
      <c r="G160" s="7" t="str">
        <f aca="false">PROPER(TRIM(customer_churn_dataset!G160))</f>
        <v>Credit Card</v>
      </c>
      <c r="H160" s="7" t="n">
        <f aca="false">IF(ISBLANK(customer_churn_dataset!H160),0,customer_churn_dataset!H160)</f>
        <v>0</v>
      </c>
      <c r="I160" s="7" t="n">
        <f aca="false">IF(ISBLANK(customer_churn_dataset!I160),ROUND(MEDIAN(customer_churn_dataset!I$2:I$1501),1),MIN(100,MAX(0,customer_churn_dataset!I160)))</f>
        <v>69.4</v>
      </c>
      <c r="J160" s="7" t="n">
        <f aca="false">IF(ISBLANK(customer_churn_dataset!J160),0,MAX(0,customer_churn_dataset!J160))</f>
        <v>18</v>
      </c>
      <c r="K160" s="7" t="n">
        <f aca="false">IF(ISBLANK(customer_churn_dataset!K160),0,MIN(10,MAX(0,customer_churn_dataset!K160)))</f>
        <v>7</v>
      </c>
      <c r="L160" s="7" t="n">
        <f aca="false">IF(ISBLANK(customer_churn_dataset!L160),0,MAX(0,customer_churn_dataset!L160))</f>
        <v>1</v>
      </c>
      <c r="M160" s="7" t="n">
        <f aca="false">IF(ISBLANK(customer_churn_dataset!M160),0,customer_churn_dataset!M160)</f>
        <v>1</v>
      </c>
      <c r="N160" s="7" t="n">
        <f aca="false">IF(ISBLANK(customer_churn_dataset!N160),0,MAX(0,customer_churn_dataset!N160))</f>
        <v>79.04</v>
      </c>
      <c r="O160" s="7" t="n">
        <f aca="false">IF(ISBLANK(customer_churn_dataset!O160),0,customer_churn_dataset!O160)</f>
        <v>0</v>
      </c>
      <c r="P160" s="7" t="str">
        <f aca="false">IF(COUNTIF(customer_churn_dataset!$A$2:$A$1501,customer_churn_dataset!A160)&gt;1,"Duplicate","Unique")</f>
        <v>Unique</v>
      </c>
    </row>
    <row r="161" customFormat="false" ht="14.15" hidden="false" customHeight="true" outlineLevel="0" collapsed="false">
      <c r="A161" s="7" t="str">
        <f aca="false">TRIM(customer_churn_dataset!A161)</f>
        <v>CUST100403</v>
      </c>
      <c r="B161" s="7" t="str">
        <f aca="false">PROPER(TRIM(customer_churn_dataset!B161))</f>
        <v>Premium</v>
      </c>
      <c r="C161" s="7" t="str">
        <f aca="false">PROPER(TRIM(customer_churn_dataset!C161))</f>
        <v>Month-To-Month</v>
      </c>
      <c r="D161" s="7" t="n">
        <f aca="false">IF(ISBLANK(customer_churn_dataset!D161),ROUND(MEDIAN(customer_churn_dataset!D$2:D$1501),2),IF(customer_churn_dataset!D161&lt;0,ABS(customer_churn_dataset!D161),customer_churn_dataset!D161))</f>
        <v>40.87</v>
      </c>
      <c r="E161" s="7" t="n">
        <f aca="false">IF(ISBLANK(customer_churn_dataset!E161),0,MAX(0,customer_churn_dataset!E161))</f>
        <v>8</v>
      </c>
      <c r="F161" s="8" t="n">
        <f aca="false">IF(ISBLANK(customer_churn_dataset!F161),"",customer_churn_dataset!F161)</f>
        <v>44044</v>
      </c>
      <c r="G161" s="7" t="str">
        <f aca="false">PROPER(TRIM(customer_churn_dataset!G161))</f>
        <v>Credit Card</v>
      </c>
      <c r="H161" s="7" t="n">
        <f aca="false">IF(ISBLANK(customer_churn_dataset!H161),0,customer_churn_dataset!H161)</f>
        <v>1</v>
      </c>
      <c r="I161" s="7" t="n">
        <f aca="false">IF(ISBLANK(customer_churn_dataset!I161),ROUND(MEDIAN(customer_churn_dataset!I$2:I$1501),1),MIN(100,MAX(0,customer_churn_dataset!I161)))</f>
        <v>63.4</v>
      </c>
      <c r="J161" s="7" t="n">
        <f aca="false">IF(ISBLANK(customer_churn_dataset!J161),0,MAX(0,customer_churn_dataset!J161))</f>
        <v>12</v>
      </c>
      <c r="K161" s="7" t="n">
        <f aca="false">IF(ISBLANK(customer_churn_dataset!K161),0,MIN(10,MAX(0,customer_churn_dataset!K161)))</f>
        <v>6</v>
      </c>
      <c r="L161" s="7" t="n">
        <f aca="false">IF(ISBLANK(customer_churn_dataset!L161),0,MAX(0,customer_churn_dataset!L161))</f>
        <v>3</v>
      </c>
      <c r="M161" s="7" t="n">
        <f aca="false">IF(ISBLANK(customer_churn_dataset!M161),0,customer_churn_dataset!M161)</f>
        <v>1</v>
      </c>
      <c r="N161" s="7" t="n">
        <f aca="false">IF(ISBLANK(customer_churn_dataset!N161),0,MAX(0,customer_churn_dataset!N161))</f>
        <v>326.96</v>
      </c>
      <c r="O161" s="7" t="n">
        <f aca="false">IF(ISBLANK(customer_churn_dataset!O161),0,customer_churn_dataset!O161)</f>
        <v>0</v>
      </c>
      <c r="P161" s="7" t="str">
        <f aca="false">IF(COUNTIF(customer_churn_dataset!$A$2:$A$1501,customer_churn_dataset!A161)&gt;1,"Duplicate","Unique")</f>
        <v>Unique</v>
      </c>
    </row>
    <row r="162" customFormat="false" ht="14.15" hidden="false" customHeight="true" outlineLevel="0" collapsed="false">
      <c r="A162" s="7" t="str">
        <f aca="false">TRIM(customer_churn_dataset!A162)</f>
        <v>CUST101082</v>
      </c>
      <c r="B162" s="7" t="str">
        <f aca="false">PROPER(TRIM(customer_churn_dataset!B162))</f>
        <v>Basic</v>
      </c>
      <c r="C162" s="7" t="str">
        <f aca="false">PROPER(TRIM(customer_churn_dataset!C162))</f>
        <v>Month-To-Month</v>
      </c>
      <c r="D162" s="7" t="n">
        <f aca="false">IF(ISBLANK(customer_churn_dataset!D162),ROUND(MEDIAN(customer_churn_dataset!D$2:D$1501),2),IF(customer_churn_dataset!D162&lt;0,ABS(customer_churn_dataset!D162),customer_churn_dataset!D162))</f>
        <v>11.97</v>
      </c>
      <c r="E162" s="7" t="n">
        <f aca="false">IF(ISBLANK(customer_churn_dataset!E162),0,MAX(0,customer_churn_dataset!E162))</f>
        <v>25</v>
      </c>
      <c r="F162" s="8" t="n">
        <f aca="false">IF(ISBLANK(customer_churn_dataset!F162),"",customer_churn_dataset!F162)</f>
        <v>44044</v>
      </c>
      <c r="G162" s="7" t="str">
        <f aca="false">PROPER(TRIM(customer_churn_dataset!G162))</f>
        <v>Paypal</v>
      </c>
      <c r="H162" s="7" t="n">
        <f aca="false">IF(ISBLANK(customer_churn_dataset!H162),0,customer_churn_dataset!H162)</f>
        <v>0</v>
      </c>
      <c r="I162" s="7" t="n">
        <f aca="false">IF(ISBLANK(customer_churn_dataset!I162),ROUND(MEDIAN(customer_churn_dataset!I$2:I$1501),1),MIN(100,MAX(0,customer_churn_dataset!I162)))</f>
        <v>94.3</v>
      </c>
      <c r="J162" s="7" t="n">
        <f aca="false">IF(ISBLANK(customer_churn_dataset!J162),0,MAX(0,customer_churn_dataset!J162))</f>
        <v>33</v>
      </c>
      <c r="K162" s="7" t="n">
        <f aca="false">IF(ISBLANK(customer_churn_dataset!K162),0,MIN(10,MAX(0,customer_churn_dataset!K162)))</f>
        <v>10</v>
      </c>
      <c r="L162" s="7" t="n">
        <f aca="false">IF(ISBLANK(customer_churn_dataset!L162),0,MAX(0,customer_churn_dataset!L162))</f>
        <v>1</v>
      </c>
      <c r="M162" s="7" t="n">
        <f aca="false">IF(ISBLANK(customer_churn_dataset!M162),0,customer_churn_dataset!M162)</f>
        <v>0</v>
      </c>
      <c r="N162" s="7" t="n">
        <f aca="false">IF(ISBLANK(customer_churn_dataset!N162),0,MAX(0,customer_churn_dataset!N162))</f>
        <v>299.25</v>
      </c>
      <c r="O162" s="7" t="n">
        <f aca="false">IF(ISBLANK(customer_churn_dataset!O162),0,customer_churn_dataset!O162)</f>
        <v>0</v>
      </c>
      <c r="P162" s="7" t="str">
        <f aca="false">IF(COUNTIF(customer_churn_dataset!$A$2:$A$1501,customer_churn_dataset!A162)&gt;1,"Duplicate","Unique")</f>
        <v>Unique</v>
      </c>
    </row>
    <row r="163" customFormat="false" ht="14.15" hidden="false" customHeight="true" outlineLevel="0" collapsed="false">
      <c r="A163" s="7" t="str">
        <f aca="false">TRIM(customer_churn_dataset!A163)</f>
        <v>CUST100456</v>
      </c>
      <c r="B163" s="7" t="str">
        <f aca="false">PROPER(TRIM(customer_churn_dataset!B163))</f>
        <v>Basic</v>
      </c>
      <c r="C163" s="7" t="str">
        <f aca="false">PROPER(TRIM(customer_churn_dataset!C163))</f>
        <v>One Year</v>
      </c>
      <c r="D163" s="7" t="n">
        <f aca="false">IF(ISBLANK(customer_churn_dataset!D163),ROUND(MEDIAN(customer_churn_dataset!D$2:D$1501),2),IF(customer_churn_dataset!D163&lt;0,ABS(customer_churn_dataset!D163),customer_churn_dataset!D163))</f>
        <v>10.29</v>
      </c>
      <c r="E163" s="7" t="n">
        <f aca="false">IF(ISBLANK(customer_churn_dataset!E163),0,MAX(0,customer_churn_dataset!E163))</f>
        <v>11</v>
      </c>
      <c r="F163" s="8" t="n">
        <f aca="false">IF(ISBLANK(customer_churn_dataset!F163),"",customer_churn_dataset!F163)</f>
        <v>44044</v>
      </c>
      <c r="G163" s="7" t="str">
        <f aca="false">PROPER(TRIM(customer_churn_dataset!G163))</f>
        <v>Manual/Invoice</v>
      </c>
      <c r="H163" s="7" t="n">
        <f aca="false">IF(ISBLANK(customer_churn_dataset!H163),0,customer_churn_dataset!H163)</f>
        <v>1</v>
      </c>
      <c r="I163" s="7" t="n">
        <f aca="false">IF(ISBLANK(customer_churn_dataset!I163),ROUND(MEDIAN(customer_churn_dataset!I$2:I$1501),1),MIN(100,MAX(0,customer_churn_dataset!I163)))</f>
        <v>29.6</v>
      </c>
      <c r="J163" s="7" t="n">
        <f aca="false">IF(ISBLANK(customer_churn_dataset!J163),0,MAX(0,customer_churn_dataset!J163))</f>
        <v>10</v>
      </c>
      <c r="K163" s="7" t="n">
        <f aca="false">IF(ISBLANK(customer_churn_dataset!K163),0,MIN(10,MAX(0,customer_churn_dataset!K163)))</f>
        <v>4</v>
      </c>
      <c r="L163" s="7" t="n">
        <f aca="false">IF(ISBLANK(customer_churn_dataset!L163),0,MAX(0,customer_churn_dataset!L163))</f>
        <v>3</v>
      </c>
      <c r="M163" s="7" t="n">
        <f aca="false">IF(ISBLANK(customer_churn_dataset!M163),0,customer_churn_dataset!M163)</f>
        <v>1</v>
      </c>
      <c r="N163" s="7" t="n">
        <f aca="false">IF(ISBLANK(customer_churn_dataset!N163),0,MAX(0,customer_churn_dataset!N163))</f>
        <v>113.19</v>
      </c>
      <c r="O163" s="7" t="n">
        <f aca="false">IF(ISBLANK(customer_churn_dataset!O163),0,customer_churn_dataset!O163)</f>
        <v>1</v>
      </c>
      <c r="P163" s="7" t="str">
        <f aca="false">IF(COUNTIF(customer_churn_dataset!$A$2:$A$1501,customer_churn_dataset!A163)&gt;1,"Duplicate","Unique")</f>
        <v>Unique</v>
      </c>
    </row>
    <row r="164" customFormat="false" ht="14.15" hidden="false" customHeight="true" outlineLevel="0" collapsed="false">
      <c r="A164" s="7" t="str">
        <f aca="false">TRIM(customer_churn_dataset!A164)</f>
        <v>CUST101412</v>
      </c>
      <c r="B164" s="7" t="str">
        <f aca="false">PROPER(TRIM(customer_churn_dataset!B164))</f>
        <v>Basic</v>
      </c>
      <c r="C164" s="7" t="str">
        <f aca="false">PROPER(TRIM(customer_churn_dataset!C164))</f>
        <v>Month-To-Month</v>
      </c>
      <c r="D164" s="7" t="n">
        <f aca="false">IF(ISBLANK(customer_churn_dataset!D164),ROUND(MEDIAN(customer_churn_dataset!D$2:D$1501),2),IF(customer_churn_dataset!D164&lt;0,ABS(customer_churn_dataset!D164),customer_churn_dataset!D164))</f>
        <v>9.69</v>
      </c>
      <c r="E164" s="7" t="n">
        <f aca="false">IF(ISBLANK(customer_churn_dataset!E164),0,MAX(0,customer_churn_dataset!E164))</f>
        <v>40</v>
      </c>
      <c r="F164" s="8" t="n">
        <f aca="false">IF(ISBLANK(customer_churn_dataset!F164),"",customer_churn_dataset!F164)</f>
        <v>44046</v>
      </c>
      <c r="G164" s="7" t="str">
        <f aca="false">PROPER(TRIM(customer_churn_dataset!G164))</f>
        <v>Bank Transfer</v>
      </c>
      <c r="H164" s="7" t="n">
        <f aca="false">IF(ISBLANK(customer_churn_dataset!H164),0,customer_churn_dataset!H164)</f>
        <v>1</v>
      </c>
      <c r="I164" s="7" t="n">
        <f aca="false">IF(ISBLANK(customer_churn_dataset!I164),ROUND(MEDIAN(customer_churn_dataset!I$2:I$1501),1),MIN(100,MAX(0,customer_churn_dataset!I164)))</f>
        <v>38.8</v>
      </c>
      <c r="J164" s="7" t="n">
        <f aca="false">IF(ISBLANK(customer_churn_dataset!J164),0,MAX(0,customer_churn_dataset!J164))</f>
        <v>16</v>
      </c>
      <c r="K164" s="7" t="n">
        <f aca="false">IF(ISBLANK(customer_churn_dataset!K164),0,MIN(10,MAX(0,customer_churn_dataset!K164)))</f>
        <v>6</v>
      </c>
      <c r="L164" s="7" t="n">
        <f aca="false">IF(ISBLANK(customer_churn_dataset!L164),0,MAX(0,customer_churn_dataset!L164))</f>
        <v>0</v>
      </c>
      <c r="M164" s="7" t="n">
        <f aca="false">IF(ISBLANK(customer_churn_dataset!M164),0,customer_churn_dataset!M164)</f>
        <v>0</v>
      </c>
      <c r="N164" s="7" t="n">
        <f aca="false">IF(ISBLANK(customer_churn_dataset!N164),0,MAX(0,customer_churn_dataset!N164))</f>
        <v>387.6</v>
      </c>
      <c r="O164" s="7" t="n">
        <f aca="false">IF(ISBLANK(customer_churn_dataset!O164),0,customer_churn_dataset!O164)</f>
        <v>0</v>
      </c>
      <c r="P164" s="7" t="str">
        <f aca="false">IF(COUNTIF(customer_churn_dataset!$A$2:$A$1501,customer_churn_dataset!A164)&gt;1,"Duplicate","Unique")</f>
        <v>Unique</v>
      </c>
    </row>
    <row r="165" customFormat="false" ht="14.15" hidden="false" customHeight="true" outlineLevel="0" collapsed="false">
      <c r="A165" s="7" t="str">
        <f aca="false">TRIM(customer_churn_dataset!A165)</f>
        <v>CUST101256</v>
      </c>
      <c r="B165" s="7" t="str">
        <f aca="false">PROPER(TRIM(customer_churn_dataset!B165))</f>
        <v>Basic</v>
      </c>
      <c r="C165" s="7" t="str">
        <f aca="false">PROPER(TRIM(customer_churn_dataset!C165))</f>
        <v>Month-To-Month</v>
      </c>
      <c r="D165" s="7" t="n">
        <f aca="false">IF(ISBLANK(customer_churn_dataset!D165),ROUND(MEDIAN(customer_churn_dataset!D$2:D$1501),2),IF(customer_churn_dataset!D165&lt;0,ABS(customer_churn_dataset!D165),customer_churn_dataset!D165))</f>
        <v>10.54</v>
      </c>
      <c r="E165" s="7" t="n">
        <f aca="false">IF(ISBLANK(customer_churn_dataset!E165),0,MAX(0,customer_churn_dataset!E165))</f>
        <v>0</v>
      </c>
      <c r="F165" s="8" t="n">
        <f aca="false">IF(ISBLANK(customer_churn_dataset!F165),"",customer_churn_dataset!F165)</f>
        <v>44048</v>
      </c>
      <c r="G165" s="7" t="str">
        <f aca="false">PROPER(TRIM(customer_churn_dataset!G165))</f>
        <v>Credit Card</v>
      </c>
      <c r="H165" s="7" t="n">
        <f aca="false">IF(ISBLANK(customer_churn_dataset!H165),0,customer_churn_dataset!H165)</f>
        <v>1</v>
      </c>
      <c r="I165" s="7" t="n">
        <f aca="false">IF(ISBLANK(customer_churn_dataset!I165),ROUND(MEDIAN(customer_churn_dataset!I$2:I$1501),1),MIN(100,MAX(0,customer_churn_dataset!I165)))</f>
        <v>36.8</v>
      </c>
      <c r="J165" s="7" t="n">
        <f aca="false">IF(ISBLANK(customer_churn_dataset!J165),0,MAX(0,customer_churn_dataset!J165))</f>
        <v>6</v>
      </c>
      <c r="K165" s="7" t="n">
        <f aca="false">IF(ISBLANK(customer_churn_dataset!K165),0,MIN(10,MAX(0,customer_churn_dataset!K165)))</f>
        <v>3</v>
      </c>
      <c r="L165" s="7" t="n">
        <f aca="false">IF(ISBLANK(customer_churn_dataset!L165),0,MAX(0,customer_churn_dataset!L165))</f>
        <v>1</v>
      </c>
      <c r="M165" s="7" t="n">
        <f aca="false">IF(ISBLANK(customer_churn_dataset!M165),0,customer_churn_dataset!M165)</f>
        <v>0</v>
      </c>
      <c r="N165" s="7" t="n">
        <f aca="false">IF(ISBLANK(customer_churn_dataset!N165),0,MAX(0,customer_churn_dataset!N165))</f>
        <v>0</v>
      </c>
      <c r="O165" s="7" t="n">
        <f aca="false">IF(ISBLANK(customer_churn_dataset!O165),0,customer_churn_dataset!O165)</f>
        <v>0</v>
      </c>
      <c r="P165" s="7" t="str">
        <f aca="false">IF(COUNTIF(customer_churn_dataset!$A$2:$A$1501,customer_churn_dataset!A165)&gt;1,"Duplicate","Unique")</f>
        <v>Unique</v>
      </c>
    </row>
    <row r="166" customFormat="false" ht="14.15" hidden="false" customHeight="true" outlineLevel="0" collapsed="false">
      <c r="A166" s="7" t="str">
        <f aca="false">TRIM(customer_churn_dataset!A166)</f>
        <v>CUST100890</v>
      </c>
      <c r="B166" s="7" t="str">
        <f aca="false">PROPER(TRIM(customer_churn_dataset!B166))</f>
        <v>Standard</v>
      </c>
      <c r="C166" s="7" t="str">
        <f aca="false">PROPER(TRIM(customer_churn_dataset!C166))</f>
        <v>Two Year</v>
      </c>
      <c r="D166" s="7" t="n">
        <f aca="false">IF(ISBLANK(customer_churn_dataset!D166),ROUND(MEDIAN(customer_churn_dataset!D$2:D$1501),2),IF(customer_churn_dataset!D166&lt;0,ABS(customer_churn_dataset!D166),customer_churn_dataset!D166))</f>
        <v>20.82</v>
      </c>
      <c r="E166" s="7" t="n">
        <f aca="false">IF(ISBLANK(customer_churn_dataset!E166),0,MAX(0,customer_churn_dataset!E166))</f>
        <v>21</v>
      </c>
      <c r="F166" s="8" t="n">
        <f aca="false">IF(ISBLANK(customer_churn_dataset!F166),"",customer_churn_dataset!F166)</f>
        <v>44049</v>
      </c>
      <c r="G166" s="7" t="str">
        <f aca="false">PROPER(TRIM(customer_churn_dataset!G166))</f>
        <v>Credit Card</v>
      </c>
      <c r="H166" s="7" t="n">
        <f aca="false">IF(ISBLANK(customer_churn_dataset!H166),0,customer_churn_dataset!H166)</f>
        <v>0</v>
      </c>
      <c r="I166" s="7" t="n">
        <f aca="false">IF(ISBLANK(customer_churn_dataset!I166),ROUND(MEDIAN(customer_churn_dataset!I$2:I$1501),1),MIN(100,MAX(0,customer_churn_dataset!I166)))</f>
        <v>45.5</v>
      </c>
      <c r="J166" s="7" t="n">
        <f aca="false">IF(ISBLANK(customer_churn_dataset!J166),0,MAX(0,customer_churn_dataset!J166))</f>
        <v>19</v>
      </c>
      <c r="K166" s="7" t="n">
        <f aca="false">IF(ISBLANK(customer_churn_dataset!K166),0,MIN(10,MAX(0,customer_churn_dataset!K166)))</f>
        <v>4</v>
      </c>
      <c r="L166" s="7" t="n">
        <f aca="false">IF(ISBLANK(customer_churn_dataset!L166),0,MAX(0,customer_churn_dataset!L166))</f>
        <v>2</v>
      </c>
      <c r="M166" s="7" t="n">
        <f aca="false">IF(ISBLANK(customer_churn_dataset!M166),0,customer_churn_dataset!M166)</f>
        <v>0</v>
      </c>
      <c r="N166" s="7" t="n">
        <f aca="false">IF(ISBLANK(customer_churn_dataset!N166),0,MAX(0,customer_churn_dataset!N166))</f>
        <v>437.22</v>
      </c>
      <c r="O166" s="7" t="n">
        <f aca="false">IF(ISBLANK(customer_churn_dataset!O166),0,customer_churn_dataset!O166)</f>
        <v>0</v>
      </c>
      <c r="P166" s="7" t="str">
        <f aca="false">IF(COUNTIF(customer_churn_dataset!$A$2:$A$1501,customer_churn_dataset!A166)&gt;1,"Duplicate","Unique")</f>
        <v>Unique</v>
      </c>
    </row>
    <row r="167" customFormat="false" ht="14.15" hidden="false" customHeight="true" outlineLevel="0" collapsed="false">
      <c r="A167" s="7" t="str">
        <f aca="false">TRIM(customer_churn_dataset!A167)</f>
        <v>CUST100282</v>
      </c>
      <c r="B167" s="7" t="str">
        <f aca="false">PROPER(TRIM(customer_churn_dataset!B167))</f>
        <v>Basic</v>
      </c>
      <c r="C167" s="7" t="str">
        <f aca="false">PROPER(TRIM(customer_churn_dataset!C167))</f>
        <v>One Year</v>
      </c>
      <c r="D167" s="7" t="n">
        <f aca="false">IF(ISBLANK(customer_churn_dataset!D167),ROUND(MEDIAN(customer_churn_dataset!D$2:D$1501),2),IF(customer_churn_dataset!D167&lt;0,ABS(customer_churn_dataset!D167),customer_churn_dataset!D167))</f>
        <v>10.17</v>
      </c>
      <c r="E167" s="7" t="n">
        <f aca="false">IF(ISBLANK(customer_churn_dataset!E167),0,MAX(0,customer_churn_dataset!E167))</f>
        <v>21</v>
      </c>
      <c r="F167" s="8" t="n">
        <f aca="false">IF(ISBLANK(customer_churn_dataset!F167),"",customer_churn_dataset!F167)</f>
        <v>44051</v>
      </c>
      <c r="G167" s="7" t="str">
        <f aca="false">PROPER(TRIM(customer_churn_dataset!G167))</f>
        <v>Paypal</v>
      </c>
      <c r="H167" s="7" t="n">
        <f aca="false">IF(ISBLANK(customer_churn_dataset!H167),0,customer_churn_dataset!H167)</f>
        <v>1</v>
      </c>
      <c r="I167" s="7" t="n">
        <f aca="false">IF(ISBLANK(customer_churn_dataset!I167),ROUND(MEDIAN(customer_churn_dataset!I$2:I$1501),1),MIN(100,MAX(0,customer_churn_dataset!I167)))</f>
        <v>37.3</v>
      </c>
      <c r="J167" s="7" t="n">
        <f aca="false">IF(ISBLANK(customer_churn_dataset!J167),0,MAX(0,customer_churn_dataset!J167))</f>
        <v>11</v>
      </c>
      <c r="K167" s="7" t="n">
        <f aca="false">IF(ISBLANK(customer_churn_dataset!K167),0,MIN(10,MAX(0,customer_churn_dataset!K167)))</f>
        <v>2</v>
      </c>
      <c r="L167" s="7" t="n">
        <f aca="false">IF(ISBLANK(customer_churn_dataset!L167),0,MAX(0,customer_churn_dataset!L167))</f>
        <v>0</v>
      </c>
      <c r="M167" s="7" t="n">
        <f aca="false">IF(ISBLANK(customer_churn_dataset!M167),0,customer_churn_dataset!M167)</f>
        <v>0</v>
      </c>
      <c r="N167" s="7" t="n">
        <f aca="false">IF(ISBLANK(customer_churn_dataset!N167),0,MAX(0,customer_churn_dataset!N167))</f>
        <v>213.57</v>
      </c>
      <c r="O167" s="7" t="n">
        <f aca="false">IF(ISBLANK(customer_churn_dataset!O167),0,customer_churn_dataset!O167)</f>
        <v>0</v>
      </c>
      <c r="P167" s="7" t="str">
        <f aca="false">IF(COUNTIF(customer_churn_dataset!$A$2:$A$1501,customer_churn_dataset!A167)&gt;1,"Duplicate","Unique")</f>
        <v>Unique</v>
      </c>
    </row>
    <row r="168" customFormat="false" ht="14.15" hidden="false" customHeight="true" outlineLevel="0" collapsed="false">
      <c r="A168" s="7" t="str">
        <f aca="false">TRIM(customer_churn_dataset!A168)</f>
        <v>CUST101119</v>
      </c>
      <c r="B168" s="7" t="str">
        <f aca="false">PROPER(TRIM(customer_churn_dataset!B168))</f>
        <v>Basic</v>
      </c>
      <c r="C168" s="7" t="str">
        <f aca="false">PROPER(TRIM(customer_churn_dataset!C168))</f>
        <v>One Year</v>
      </c>
      <c r="D168" s="7" t="n">
        <f aca="false">IF(ISBLANK(customer_churn_dataset!D168),ROUND(MEDIAN(customer_churn_dataset!D$2:D$1501),2),IF(customer_churn_dataset!D168&lt;0,ABS(customer_churn_dataset!D168),customer_churn_dataset!D168))</f>
        <v>10.45</v>
      </c>
      <c r="E168" s="7" t="n">
        <f aca="false">IF(ISBLANK(customer_churn_dataset!E168),0,MAX(0,customer_churn_dataset!E168))</f>
        <v>0</v>
      </c>
      <c r="F168" s="8" t="n">
        <f aca="false">IF(ISBLANK(customer_churn_dataset!F168),"",customer_churn_dataset!F168)</f>
        <v>44055</v>
      </c>
      <c r="G168" s="7" t="str">
        <f aca="false">PROPER(TRIM(customer_churn_dataset!G168))</f>
        <v>Paypal</v>
      </c>
      <c r="H168" s="7" t="n">
        <f aca="false">IF(ISBLANK(customer_churn_dataset!H168),0,customer_churn_dataset!H168)</f>
        <v>1</v>
      </c>
      <c r="I168" s="7" t="n">
        <f aca="false">IF(ISBLANK(customer_churn_dataset!I168),ROUND(MEDIAN(customer_churn_dataset!I$2:I$1501),1),MIN(100,MAX(0,customer_churn_dataset!I168)))</f>
        <v>18.8</v>
      </c>
      <c r="J168" s="7" t="n">
        <f aca="false">IF(ISBLANK(customer_churn_dataset!J168),0,MAX(0,customer_churn_dataset!J168))</f>
        <v>7</v>
      </c>
      <c r="K168" s="7" t="n">
        <f aca="false">IF(ISBLANK(customer_churn_dataset!K168),0,MIN(10,MAX(0,customer_churn_dataset!K168)))</f>
        <v>5</v>
      </c>
      <c r="L168" s="7" t="n">
        <f aca="false">IF(ISBLANK(customer_churn_dataset!L168),0,MAX(0,customer_churn_dataset!L168))</f>
        <v>2</v>
      </c>
      <c r="M168" s="7" t="n">
        <f aca="false">IF(ISBLANK(customer_churn_dataset!M168),0,customer_churn_dataset!M168)</f>
        <v>0</v>
      </c>
      <c r="N168" s="7" t="n">
        <f aca="false">IF(ISBLANK(customer_churn_dataset!N168),0,MAX(0,customer_churn_dataset!N168))</f>
        <v>0</v>
      </c>
      <c r="O168" s="7" t="n">
        <f aca="false">IF(ISBLANK(customer_churn_dataset!O168),0,customer_churn_dataset!O168)</f>
        <v>1</v>
      </c>
      <c r="P168" s="7" t="str">
        <f aca="false">IF(COUNTIF(customer_churn_dataset!$A$2:$A$1501,customer_churn_dataset!A168)&gt;1,"Duplicate","Unique")</f>
        <v>Unique</v>
      </c>
    </row>
    <row r="169" customFormat="false" ht="14.15" hidden="false" customHeight="true" outlineLevel="0" collapsed="false">
      <c r="A169" s="7" t="str">
        <f aca="false">TRIM(customer_churn_dataset!A169)</f>
        <v>CUST101331</v>
      </c>
      <c r="B169" s="7" t="str">
        <f aca="false">PROPER(TRIM(customer_churn_dataset!B169))</f>
        <v>Standard</v>
      </c>
      <c r="C169" s="7" t="str">
        <f aca="false">PROPER(TRIM(customer_churn_dataset!C169))</f>
        <v>Month-To-Month</v>
      </c>
      <c r="D169" s="7" t="n">
        <f aca="false">IF(ISBLANK(customer_churn_dataset!D169),ROUND(MEDIAN(customer_churn_dataset!D$2:D$1501),2),IF(customer_churn_dataset!D169&lt;0,ABS(customer_churn_dataset!D169),customer_churn_dataset!D169))</f>
        <v>19.3</v>
      </c>
      <c r="E169" s="7" t="n">
        <f aca="false">IF(ISBLANK(customer_churn_dataset!E169),0,MAX(0,customer_churn_dataset!E169))</f>
        <v>40</v>
      </c>
      <c r="F169" s="8" t="n">
        <f aca="false">IF(ISBLANK(customer_churn_dataset!F169),"",customer_churn_dataset!F169)</f>
        <v>44056</v>
      </c>
      <c r="G169" s="7" t="str">
        <f aca="false">PROPER(TRIM(customer_churn_dataset!G169))</f>
        <v>Paypal</v>
      </c>
      <c r="H169" s="7" t="n">
        <f aca="false">IF(ISBLANK(customer_churn_dataset!H169),0,customer_churn_dataset!H169)</f>
        <v>1</v>
      </c>
      <c r="I169" s="7" t="n">
        <f aca="false">IF(ISBLANK(customer_churn_dataset!I169),ROUND(MEDIAN(customer_churn_dataset!I$2:I$1501),1),MIN(100,MAX(0,customer_churn_dataset!I169)))</f>
        <v>67.3</v>
      </c>
      <c r="J169" s="7" t="n">
        <f aca="false">IF(ISBLANK(customer_churn_dataset!J169),0,MAX(0,customer_churn_dataset!J169))</f>
        <v>19</v>
      </c>
      <c r="K169" s="7" t="n">
        <f aca="false">IF(ISBLANK(customer_churn_dataset!K169),0,MIN(10,MAX(0,customer_churn_dataset!K169)))</f>
        <v>6</v>
      </c>
      <c r="L169" s="7" t="n">
        <f aca="false">IF(ISBLANK(customer_churn_dataset!L169),0,MAX(0,customer_churn_dataset!L169))</f>
        <v>1</v>
      </c>
      <c r="M169" s="7" t="n">
        <f aca="false">IF(ISBLANK(customer_churn_dataset!M169),0,customer_churn_dataset!M169)</f>
        <v>0</v>
      </c>
      <c r="N169" s="7" t="n">
        <f aca="false">IF(ISBLANK(customer_churn_dataset!N169),0,MAX(0,customer_churn_dataset!N169))</f>
        <v>772</v>
      </c>
      <c r="O169" s="7" t="n">
        <f aca="false">IF(ISBLANK(customer_churn_dataset!O169),0,customer_churn_dataset!O169)</f>
        <v>0</v>
      </c>
      <c r="P169" s="7" t="str">
        <f aca="false">IF(COUNTIF(customer_churn_dataset!$A$2:$A$1501,customer_churn_dataset!A169)&gt;1,"Duplicate","Unique")</f>
        <v>Unique</v>
      </c>
    </row>
    <row r="170" customFormat="false" ht="14.15" hidden="false" customHeight="true" outlineLevel="0" collapsed="false">
      <c r="A170" s="7" t="str">
        <f aca="false">TRIM(customer_churn_dataset!A170)</f>
        <v>CUST100846</v>
      </c>
      <c r="B170" s="7" t="str">
        <f aca="false">PROPER(TRIM(customer_churn_dataset!B170))</f>
        <v>Basic</v>
      </c>
      <c r="C170" s="7" t="str">
        <f aca="false">PROPER(TRIM(customer_churn_dataset!C170))</f>
        <v>Month-To-Month</v>
      </c>
      <c r="D170" s="7" t="n">
        <f aca="false">IF(ISBLANK(customer_churn_dataset!D170),ROUND(MEDIAN(customer_churn_dataset!D$2:D$1501),2),IF(customer_churn_dataset!D170&lt;0,ABS(customer_churn_dataset!D170),customer_churn_dataset!D170))</f>
        <v>9.99</v>
      </c>
      <c r="E170" s="7" t="n">
        <f aca="false">IF(ISBLANK(customer_churn_dataset!E170),0,MAX(0,customer_churn_dataset!E170))</f>
        <v>13</v>
      </c>
      <c r="F170" s="8" t="n">
        <f aca="false">IF(ISBLANK(customer_churn_dataset!F170),"",customer_churn_dataset!F170)</f>
        <v>44057</v>
      </c>
      <c r="G170" s="7" t="str">
        <f aca="false">PROPER(TRIM(customer_churn_dataset!G170))</f>
        <v>Credit Card</v>
      </c>
      <c r="H170" s="7" t="n">
        <f aca="false">IF(ISBLANK(customer_churn_dataset!H170),0,customer_churn_dataset!H170)</f>
        <v>1</v>
      </c>
      <c r="I170" s="7" t="n">
        <f aca="false">IF(ISBLANK(customer_churn_dataset!I170),ROUND(MEDIAN(customer_churn_dataset!I$2:I$1501),1),MIN(100,MAX(0,customer_churn_dataset!I170)))</f>
        <v>55.2</v>
      </c>
      <c r="J170" s="7" t="n">
        <f aca="false">IF(ISBLANK(customer_churn_dataset!J170),0,MAX(0,customer_churn_dataset!J170))</f>
        <v>17</v>
      </c>
      <c r="K170" s="7" t="n">
        <f aca="false">IF(ISBLANK(customer_churn_dataset!K170),0,MIN(10,MAX(0,customer_churn_dataset!K170)))</f>
        <v>6</v>
      </c>
      <c r="L170" s="7" t="n">
        <f aca="false">IF(ISBLANK(customer_churn_dataset!L170),0,MAX(0,customer_churn_dataset!L170))</f>
        <v>3</v>
      </c>
      <c r="M170" s="7" t="n">
        <f aca="false">IF(ISBLANK(customer_churn_dataset!M170),0,customer_churn_dataset!M170)</f>
        <v>1</v>
      </c>
      <c r="N170" s="7" t="n">
        <f aca="false">IF(ISBLANK(customer_churn_dataset!N170),0,MAX(0,customer_churn_dataset!N170))</f>
        <v>129.87</v>
      </c>
      <c r="O170" s="7" t="n">
        <f aca="false">IF(ISBLANK(customer_churn_dataset!O170),0,customer_churn_dataset!O170)</f>
        <v>0</v>
      </c>
      <c r="P170" s="7" t="str">
        <f aca="false">IF(COUNTIF(customer_churn_dataset!$A$2:$A$1501,customer_churn_dataset!A170)&gt;1,"Duplicate","Unique")</f>
        <v>Unique</v>
      </c>
    </row>
    <row r="171" customFormat="false" ht="14.15" hidden="false" customHeight="true" outlineLevel="0" collapsed="false">
      <c r="A171" s="7" t="str">
        <f aca="false">TRIM(customer_churn_dataset!A171)</f>
        <v>CUST100224</v>
      </c>
      <c r="B171" s="7" t="str">
        <f aca="false">PROPER(TRIM(customer_churn_dataset!B171))</f>
        <v>Basic</v>
      </c>
      <c r="C171" s="7" t="str">
        <f aca="false">PROPER(TRIM(customer_churn_dataset!C171))</f>
        <v>Two Year</v>
      </c>
      <c r="D171" s="7" t="n">
        <f aca="false">IF(ISBLANK(customer_churn_dataset!D171),ROUND(MEDIAN(customer_churn_dataset!D$2:D$1501),2),IF(customer_churn_dataset!D171&lt;0,ABS(customer_churn_dataset!D171),customer_churn_dataset!D171))</f>
        <v>10.73</v>
      </c>
      <c r="E171" s="7" t="n">
        <f aca="false">IF(ISBLANK(customer_churn_dataset!E171),0,MAX(0,customer_churn_dataset!E171))</f>
        <v>0</v>
      </c>
      <c r="F171" s="8" t="n">
        <f aca="false">IF(ISBLANK(customer_churn_dataset!F171),"",customer_churn_dataset!F171)</f>
        <v>44057</v>
      </c>
      <c r="G171" s="7" t="str">
        <f aca="false">PROPER(TRIM(customer_churn_dataset!G171))</f>
        <v>Paypal</v>
      </c>
      <c r="H171" s="7" t="n">
        <f aca="false">IF(ISBLANK(customer_churn_dataset!H171),0,customer_churn_dataset!H171)</f>
        <v>1</v>
      </c>
      <c r="I171" s="7" t="n">
        <f aca="false">IF(ISBLANK(customer_churn_dataset!I171),ROUND(MEDIAN(customer_churn_dataset!I$2:I$1501),1),MIN(100,MAX(0,customer_churn_dataset!I171)))</f>
        <v>44</v>
      </c>
      <c r="J171" s="7" t="n">
        <f aca="false">IF(ISBLANK(customer_churn_dataset!J171),0,MAX(0,customer_churn_dataset!J171))</f>
        <v>12</v>
      </c>
      <c r="K171" s="7" t="n">
        <f aca="false">IF(ISBLANK(customer_churn_dataset!K171),0,MIN(10,MAX(0,customer_churn_dataset!K171)))</f>
        <v>6</v>
      </c>
      <c r="L171" s="7" t="n">
        <f aca="false">IF(ISBLANK(customer_churn_dataset!L171),0,MAX(0,customer_churn_dataset!L171))</f>
        <v>0</v>
      </c>
      <c r="M171" s="7" t="n">
        <f aca="false">IF(ISBLANK(customer_churn_dataset!M171),0,customer_churn_dataset!M171)</f>
        <v>0</v>
      </c>
      <c r="N171" s="7" t="n">
        <f aca="false">IF(ISBLANK(customer_churn_dataset!N171),0,MAX(0,customer_churn_dataset!N171))</f>
        <v>0</v>
      </c>
      <c r="O171" s="7" t="n">
        <f aca="false">IF(ISBLANK(customer_churn_dataset!O171),0,customer_churn_dataset!O171)</f>
        <v>1</v>
      </c>
      <c r="P171" s="7" t="str">
        <f aca="false">IF(COUNTIF(customer_churn_dataset!$A$2:$A$1501,customer_churn_dataset!A171)&gt;1,"Duplicate","Unique")</f>
        <v>Unique</v>
      </c>
    </row>
    <row r="172" customFormat="false" ht="14.15" hidden="false" customHeight="true" outlineLevel="0" collapsed="false">
      <c r="A172" s="7" t="str">
        <f aca="false">TRIM(customer_churn_dataset!A172)</f>
        <v>CUST100932</v>
      </c>
      <c r="B172" s="7" t="str">
        <f aca="false">PROPER(TRIM(customer_churn_dataset!B172))</f>
        <v>Premium</v>
      </c>
      <c r="C172" s="7" t="str">
        <f aca="false">PROPER(TRIM(customer_churn_dataset!C172))</f>
        <v>Month-To-Month</v>
      </c>
      <c r="D172" s="7" t="n">
        <f aca="false">IF(ISBLANK(customer_churn_dataset!D172),ROUND(MEDIAN(customer_churn_dataset!D$2:D$1501),2),IF(customer_churn_dataset!D172&lt;0,ABS(customer_churn_dataset!D172),customer_churn_dataset!D172))</f>
        <v>40.61</v>
      </c>
      <c r="E172" s="7" t="n">
        <f aca="false">IF(ISBLANK(customer_churn_dataset!E172),0,MAX(0,customer_churn_dataset!E172))</f>
        <v>72</v>
      </c>
      <c r="F172" s="8" t="n">
        <f aca="false">IF(ISBLANK(customer_churn_dataset!F172),"",customer_churn_dataset!F172)</f>
        <v>44058</v>
      </c>
      <c r="G172" s="7" t="str">
        <f aca="false">PROPER(TRIM(customer_churn_dataset!G172))</f>
        <v>Credit Card</v>
      </c>
      <c r="H172" s="7" t="n">
        <f aca="false">IF(ISBLANK(customer_churn_dataset!H172),0,customer_churn_dataset!H172)</f>
        <v>0</v>
      </c>
      <c r="I172" s="7" t="n">
        <f aca="false">IF(ISBLANK(customer_churn_dataset!I172),ROUND(MEDIAN(customer_churn_dataset!I$2:I$1501),1),MIN(100,MAX(0,customer_churn_dataset!I172)))</f>
        <v>66.8</v>
      </c>
      <c r="J172" s="7" t="n">
        <f aca="false">IF(ISBLANK(customer_churn_dataset!J172),0,MAX(0,customer_churn_dataset!J172))</f>
        <v>26</v>
      </c>
      <c r="K172" s="7" t="n">
        <f aca="false">IF(ISBLANK(customer_churn_dataset!K172),0,MIN(10,MAX(0,customer_churn_dataset!K172)))</f>
        <v>5</v>
      </c>
      <c r="L172" s="7" t="n">
        <f aca="false">IF(ISBLANK(customer_churn_dataset!L172),0,MAX(0,customer_churn_dataset!L172))</f>
        <v>2</v>
      </c>
      <c r="M172" s="7" t="n">
        <f aca="false">IF(ISBLANK(customer_churn_dataset!M172),0,customer_churn_dataset!M172)</f>
        <v>0</v>
      </c>
      <c r="N172" s="7" t="n">
        <f aca="false">IF(ISBLANK(customer_churn_dataset!N172),0,MAX(0,customer_churn_dataset!N172))</f>
        <v>2923.92</v>
      </c>
      <c r="O172" s="7" t="n">
        <f aca="false">IF(ISBLANK(customer_churn_dataset!O172),0,customer_churn_dataset!O172)</f>
        <v>0</v>
      </c>
      <c r="P172" s="7" t="str">
        <f aca="false">IF(COUNTIF(customer_churn_dataset!$A$2:$A$1501,customer_churn_dataset!A172)&gt;1,"Duplicate","Unique")</f>
        <v>Unique</v>
      </c>
    </row>
    <row r="173" customFormat="false" ht="14.15" hidden="false" customHeight="true" outlineLevel="0" collapsed="false">
      <c r="A173" s="7" t="str">
        <f aca="false">TRIM(customer_churn_dataset!A173)</f>
        <v>CUST101360</v>
      </c>
      <c r="B173" s="7" t="str">
        <f aca="false">PROPER(TRIM(customer_churn_dataset!B173))</f>
        <v>Premium</v>
      </c>
      <c r="C173" s="7" t="str">
        <f aca="false">PROPER(TRIM(customer_churn_dataset!C173))</f>
        <v>Two Year</v>
      </c>
      <c r="D173" s="7" t="n">
        <f aca="false">IF(ISBLANK(customer_churn_dataset!D173),ROUND(MEDIAN(customer_churn_dataset!D$2:D$1501),2),IF(customer_churn_dataset!D173&lt;0,ABS(customer_churn_dataset!D173),customer_churn_dataset!D173))</f>
        <v>40.17</v>
      </c>
      <c r="E173" s="7" t="n">
        <f aca="false">IF(ISBLANK(customer_churn_dataset!E173),0,MAX(0,customer_churn_dataset!E173))</f>
        <v>2</v>
      </c>
      <c r="F173" s="8" t="n">
        <f aca="false">IF(ISBLANK(customer_churn_dataset!F173),"",customer_churn_dataset!F173)</f>
        <v>44059</v>
      </c>
      <c r="G173" s="7" t="str">
        <f aca="false">PROPER(TRIM(customer_churn_dataset!G173))</f>
        <v>Credit Card</v>
      </c>
      <c r="H173" s="7" t="n">
        <f aca="false">IF(ISBLANK(customer_churn_dataset!H173),0,customer_churn_dataset!H173)</f>
        <v>1</v>
      </c>
      <c r="I173" s="7" t="n">
        <f aca="false">IF(ISBLANK(customer_churn_dataset!I173),ROUND(MEDIAN(customer_churn_dataset!I$2:I$1501),1),MIN(100,MAX(0,customer_churn_dataset!I173)))</f>
        <v>24.3</v>
      </c>
      <c r="J173" s="7" t="n">
        <f aca="false">IF(ISBLANK(customer_churn_dataset!J173),0,MAX(0,customer_churn_dataset!J173))</f>
        <v>7</v>
      </c>
      <c r="K173" s="7" t="n">
        <f aca="false">IF(ISBLANK(customer_churn_dataset!K173),0,MIN(10,MAX(0,customer_churn_dataset!K173)))</f>
        <v>2</v>
      </c>
      <c r="L173" s="7" t="n">
        <f aca="false">IF(ISBLANK(customer_churn_dataset!L173),0,MAX(0,customer_churn_dataset!L173))</f>
        <v>4</v>
      </c>
      <c r="M173" s="7" t="n">
        <f aca="false">IF(ISBLANK(customer_churn_dataset!M173),0,customer_churn_dataset!M173)</f>
        <v>0</v>
      </c>
      <c r="N173" s="7" t="n">
        <f aca="false">IF(ISBLANK(customer_churn_dataset!N173),0,MAX(0,customer_churn_dataset!N173))</f>
        <v>80.34</v>
      </c>
      <c r="O173" s="7" t="n">
        <f aca="false">IF(ISBLANK(customer_churn_dataset!O173),0,customer_churn_dataset!O173)</f>
        <v>0</v>
      </c>
      <c r="P173" s="7" t="str">
        <f aca="false">IF(COUNTIF(customer_churn_dataset!$A$2:$A$1501,customer_churn_dataset!A173)&gt;1,"Duplicate","Unique")</f>
        <v>Unique</v>
      </c>
    </row>
    <row r="174" customFormat="false" ht="14.15" hidden="false" customHeight="true" outlineLevel="0" collapsed="false">
      <c r="A174" s="7" t="str">
        <f aca="false">TRIM(customer_churn_dataset!A174)</f>
        <v>CUST100331</v>
      </c>
      <c r="B174" s="7" t="str">
        <f aca="false">PROPER(TRIM(customer_churn_dataset!B174))</f>
        <v>Standard</v>
      </c>
      <c r="C174" s="7" t="str">
        <f aca="false">PROPER(TRIM(customer_churn_dataset!C174))</f>
        <v>One Year</v>
      </c>
      <c r="D174" s="7" t="n">
        <f aca="false">IF(ISBLANK(customer_churn_dataset!D174),ROUND(MEDIAN(customer_churn_dataset!D$2:D$1501),2),IF(customer_churn_dataset!D174&lt;0,ABS(customer_churn_dataset!D174),customer_churn_dataset!D174))</f>
        <v>22.55</v>
      </c>
      <c r="E174" s="7" t="n">
        <f aca="false">IF(ISBLANK(customer_churn_dataset!E174),0,MAX(0,customer_churn_dataset!E174))</f>
        <v>1</v>
      </c>
      <c r="F174" s="8" t="n">
        <f aca="false">IF(ISBLANK(customer_churn_dataset!F174),"",customer_churn_dataset!F174)</f>
        <v>44059</v>
      </c>
      <c r="G174" s="7" t="str">
        <f aca="false">PROPER(TRIM(customer_churn_dataset!G174))</f>
        <v>Credit Card</v>
      </c>
      <c r="H174" s="7" t="n">
        <f aca="false">IF(ISBLANK(customer_churn_dataset!H174),0,customer_churn_dataset!H174)</f>
        <v>1</v>
      </c>
      <c r="I174" s="7" t="n">
        <f aca="false">IF(ISBLANK(customer_churn_dataset!I174),ROUND(MEDIAN(customer_churn_dataset!I$2:I$1501),1),MIN(100,MAX(0,customer_churn_dataset!I174)))</f>
        <v>64.2</v>
      </c>
      <c r="J174" s="7" t="n">
        <f aca="false">IF(ISBLANK(customer_churn_dataset!J174),0,MAX(0,customer_churn_dataset!J174))</f>
        <v>25</v>
      </c>
      <c r="K174" s="7" t="n">
        <f aca="false">IF(ISBLANK(customer_churn_dataset!K174),0,MIN(10,MAX(0,customer_churn_dataset!K174)))</f>
        <v>8</v>
      </c>
      <c r="L174" s="7" t="n">
        <f aca="false">IF(ISBLANK(customer_churn_dataset!L174),0,MAX(0,customer_churn_dataset!L174))</f>
        <v>2</v>
      </c>
      <c r="M174" s="7" t="n">
        <f aca="false">IF(ISBLANK(customer_churn_dataset!M174),0,customer_churn_dataset!M174)</f>
        <v>1</v>
      </c>
      <c r="N174" s="7" t="n">
        <f aca="false">IF(ISBLANK(customer_churn_dataset!N174),0,MAX(0,customer_churn_dataset!N174))</f>
        <v>22.55</v>
      </c>
      <c r="O174" s="7" t="n">
        <f aca="false">IF(ISBLANK(customer_churn_dataset!O174),0,customer_churn_dataset!O174)</f>
        <v>0</v>
      </c>
      <c r="P174" s="7" t="str">
        <f aca="false">IF(COUNTIF(customer_churn_dataset!$A$2:$A$1501,customer_churn_dataset!A174)&gt;1,"Duplicate","Unique")</f>
        <v>Unique</v>
      </c>
    </row>
    <row r="175" customFormat="false" ht="14.15" hidden="false" customHeight="true" outlineLevel="0" collapsed="false">
      <c r="A175" s="7" t="str">
        <f aca="false">TRIM(customer_churn_dataset!A175)</f>
        <v>CUST101108</v>
      </c>
      <c r="B175" s="7" t="str">
        <f aca="false">PROPER(TRIM(customer_churn_dataset!B175))</f>
        <v>Standard</v>
      </c>
      <c r="C175" s="7" t="str">
        <f aca="false">PROPER(TRIM(customer_churn_dataset!C175))</f>
        <v>One Year</v>
      </c>
      <c r="D175" s="7" t="n">
        <f aca="false">IF(ISBLANK(customer_churn_dataset!D175),ROUND(MEDIAN(customer_churn_dataset!D$2:D$1501),2),IF(customer_churn_dataset!D175&lt;0,ABS(customer_churn_dataset!D175),customer_churn_dataset!D175))</f>
        <v>19.49</v>
      </c>
      <c r="E175" s="7" t="n">
        <f aca="false">IF(ISBLANK(customer_churn_dataset!E175),0,MAX(0,customer_churn_dataset!E175))</f>
        <v>7</v>
      </c>
      <c r="F175" s="8" t="n">
        <f aca="false">IF(ISBLANK(customer_churn_dataset!F175),"",customer_churn_dataset!F175)</f>
        <v>44061</v>
      </c>
      <c r="G175" s="7" t="str">
        <f aca="false">PROPER(TRIM(customer_churn_dataset!G175))</f>
        <v>Credit Card</v>
      </c>
      <c r="H175" s="7" t="n">
        <f aca="false">IF(ISBLANK(customer_churn_dataset!H175),0,customer_churn_dataset!H175)</f>
        <v>0</v>
      </c>
      <c r="I175" s="7" t="n">
        <f aca="false">IF(ISBLANK(customer_churn_dataset!I175),ROUND(MEDIAN(customer_churn_dataset!I$2:I$1501),1),MIN(100,MAX(0,customer_churn_dataset!I175)))</f>
        <v>34</v>
      </c>
      <c r="J175" s="7" t="n">
        <f aca="false">IF(ISBLANK(customer_churn_dataset!J175),0,MAX(0,customer_churn_dataset!J175))</f>
        <v>12</v>
      </c>
      <c r="K175" s="7" t="n">
        <f aca="false">IF(ISBLANK(customer_churn_dataset!K175),0,MIN(10,MAX(0,customer_churn_dataset!K175)))</f>
        <v>3</v>
      </c>
      <c r="L175" s="7" t="n">
        <f aca="false">IF(ISBLANK(customer_churn_dataset!L175),0,MAX(0,customer_churn_dataset!L175))</f>
        <v>3</v>
      </c>
      <c r="M175" s="7" t="n">
        <f aca="false">IF(ISBLANK(customer_churn_dataset!M175),0,customer_churn_dataset!M175)</f>
        <v>0</v>
      </c>
      <c r="N175" s="7" t="n">
        <f aca="false">IF(ISBLANK(customer_churn_dataset!N175),0,MAX(0,customer_churn_dataset!N175))</f>
        <v>136.43</v>
      </c>
      <c r="O175" s="7" t="n">
        <f aca="false">IF(ISBLANK(customer_churn_dataset!O175),0,customer_churn_dataset!O175)</f>
        <v>0</v>
      </c>
      <c r="P175" s="7" t="str">
        <f aca="false">IF(COUNTIF(customer_churn_dataset!$A$2:$A$1501,customer_churn_dataset!A175)&gt;1,"Duplicate","Unique")</f>
        <v>Unique</v>
      </c>
    </row>
    <row r="176" customFormat="false" ht="14.15" hidden="false" customHeight="true" outlineLevel="0" collapsed="false">
      <c r="A176" s="7" t="str">
        <f aca="false">TRIM(customer_churn_dataset!A176)</f>
        <v>CUST100514</v>
      </c>
      <c r="B176" s="7" t="str">
        <f aca="false">PROPER(TRIM(customer_churn_dataset!B176))</f>
        <v>Basic</v>
      </c>
      <c r="C176" s="7" t="str">
        <f aca="false">PROPER(TRIM(customer_churn_dataset!C176))</f>
        <v>Month-To-Month</v>
      </c>
      <c r="D176" s="7" t="n">
        <f aca="false">IF(ISBLANK(customer_churn_dataset!D176),ROUND(MEDIAN(customer_churn_dataset!D$2:D$1501),2),IF(customer_churn_dataset!D176&lt;0,ABS(customer_churn_dataset!D176),customer_churn_dataset!D176))</f>
        <v>11.61</v>
      </c>
      <c r="E176" s="7" t="n">
        <f aca="false">IF(ISBLANK(customer_churn_dataset!E176),0,MAX(0,customer_churn_dataset!E176))</f>
        <v>5</v>
      </c>
      <c r="F176" s="8" t="n">
        <f aca="false">IF(ISBLANK(customer_churn_dataset!F176),"",customer_churn_dataset!F176)</f>
        <v>44063</v>
      </c>
      <c r="G176" s="7" t="str">
        <f aca="false">PROPER(TRIM(customer_churn_dataset!G176))</f>
        <v>Bank Transfer</v>
      </c>
      <c r="H176" s="7" t="n">
        <f aca="false">IF(ISBLANK(customer_churn_dataset!H176),0,customer_churn_dataset!H176)</f>
        <v>0</v>
      </c>
      <c r="I176" s="7" t="n">
        <f aca="false">IF(ISBLANK(customer_churn_dataset!I176),ROUND(MEDIAN(customer_churn_dataset!I$2:I$1501),1),MIN(100,MAX(0,customer_churn_dataset!I176)))</f>
        <v>15.7</v>
      </c>
      <c r="J176" s="7" t="n">
        <f aca="false">IF(ISBLANK(customer_churn_dataset!J176),0,MAX(0,customer_churn_dataset!J176))</f>
        <v>3</v>
      </c>
      <c r="K176" s="7" t="n">
        <f aca="false">IF(ISBLANK(customer_churn_dataset!K176),0,MIN(10,MAX(0,customer_churn_dataset!K176)))</f>
        <v>2</v>
      </c>
      <c r="L176" s="7" t="n">
        <f aca="false">IF(ISBLANK(customer_churn_dataset!L176),0,MAX(0,customer_churn_dataset!L176))</f>
        <v>1</v>
      </c>
      <c r="M176" s="7" t="n">
        <f aca="false">IF(ISBLANK(customer_churn_dataset!M176),0,customer_churn_dataset!M176)</f>
        <v>0</v>
      </c>
      <c r="N176" s="7" t="n">
        <f aca="false">IF(ISBLANK(customer_churn_dataset!N176),0,MAX(0,customer_churn_dataset!N176))</f>
        <v>58.05</v>
      </c>
      <c r="O176" s="7" t="n">
        <f aca="false">IF(ISBLANK(customer_churn_dataset!O176),0,customer_churn_dataset!O176)</f>
        <v>1</v>
      </c>
      <c r="P176" s="7" t="str">
        <f aca="false">IF(COUNTIF(customer_churn_dataset!$A$2:$A$1501,customer_churn_dataset!A176)&gt;1,"Duplicate","Unique")</f>
        <v>Unique</v>
      </c>
    </row>
    <row r="177" customFormat="false" ht="14.15" hidden="false" customHeight="true" outlineLevel="0" collapsed="false">
      <c r="A177" s="7" t="str">
        <f aca="false">TRIM(customer_churn_dataset!A177)</f>
        <v>CUST100099</v>
      </c>
      <c r="B177" s="7" t="str">
        <f aca="false">PROPER(TRIM(customer_churn_dataset!B177))</f>
        <v>Basic</v>
      </c>
      <c r="C177" s="7" t="str">
        <f aca="false">PROPER(TRIM(customer_churn_dataset!C177))</f>
        <v>One Year</v>
      </c>
      <c r="D177" s="7" t="n">
        <f aca="false">IF(ISBLANK(customer_churn_dataset!D177),ROUND(MEDIAN(customer_churn_dataset!D$2:D$1501),2),IF(customer_churn_dataset!D177&lt;0,ABS(customer_churn_dataset!D177),customer_churn_dataset!D177))</f>
        <v>9.93</v>
      </c>
      <c r="E177" s="7" t="n">
        <f aca="false">IF(ISBLANK(customer_churn_dataset!E177),0,MAX(0,customer_churn_dataset!E177))</f>
        <v>5</v>
      </c>
      <c r="F177" s="8" t="n">
        <f aca="false">IF(ISBLANK(customer_churn_dataset!F177),"",customer_churn_dataset!F177)</f>
        <v>44066</v>
      </c>
      <c r="G177" s="7" t="str">
        <f aca="false">PROPER(TRIM(customer_churn_dataset!G177))</f>
        <v>Credit Card</v>
      </c>
      <c r="H177" s="7" t="n">
        <f aca="false">IF(ISBLANK(customer_churn_dataset!H177),0,customer_churn_dataset!H177)</f>
        <v>1</v>
      </c>
      <c r="I177" s="7" t="n">
        <f aca="false">IF(ISBLANK(customer_churn_dataset!I177),ROUND(MEDIAN(customer_churn_dataset!I$2:I$1501),1),MIN(100,MAX(0,customer_churn_dataset!I177)))</f>
        <v>43.3</v>
      </c>
      <c r="J177" s="7" t="n">
        <f aca="false">IF(ISBLANK(customer_churn_dataset!J177),0,MAX(0,customer_churn_dataset!J177))</f>
        <v>6</v>
      </c>
      <c r="K177" s="7" t="n">
        <f aca="false">IF(ISBLANK(customer_churn_dataset!K177),0,MIN(10,MAX(0,customer_churn_dataset!K177)))</f>
        <v>3</v>
      </c>
      <c r="L177" s="7" t="n">
        <f aca="false">IF(ISBLANK(customer_churn_dataset!L177),0,MAX(0,customer_churn_dataset!L177))</f>
        <v>1</v>
      </c>
      <c r="M177" s="7" t="n">
        <f aca="false">IF(ISBLANK(customer_churn_dataset!M177),0,customer_churn_dataset!M177)</f>
        <v>0</v>
      </c>
      <c r="N177" s="7" t="n">
        <f aca="false">IF(ISBLANK(customer_churn_dataset!N177),0,MAX(0,customer_churn_dataset!N177))</f>
        <v>49.65</v>
      </c>
      <c r="O177" s="7" t="n">
        <f aca="false">IF(ISBLANK(customer_churn_dataset!O177),0,customer_churn_dataset!O177)</f>
        <v>0</v>
      </c>
      <c r="P177" s="7" t="str">
        <f aca="false">IF(COUNTIF(customer_churn_dataset!$A$2:$A$1501,customer_churn_dataset!A177)&gt;1,"Duplicate","Unique")</f>
        <v>Unique</v>
      </c>
    </row>
    <row r="178" customFormat="false" ht="14.15" hidden="false" customHeight="true" outlineLevel="0" collapsed="false">
      <c r="A178" s="7" t="str">
        <f aca="false">TRIM(customer_churn_dataset!A178)</f>
        <v>CUST100109</v>
      </c>
      <c r="B178" s="7" t="str">
        <f aca="false">PROPER(TRIM(customer_churn_dataset!B178))</f>
        <v>Basic</v>
      </c>
      <c r="C178" s="7" t="str">
        <f aca="false">PROPER(TRIM(customer_churn_dataset!C178))</f>
        <v>One Year</v>
      </c>
      <c r="D178" s="7" t="n">
        <f aca="false">IF(ISBLANK(customer_churn_dataset!D178),ROUND(MEDIAN(customer_churn_dataset!D$2:D$1501),2),IF(customer_churn_dataset!D178&lt;0,ABS(customer_churn_dataset!D178),customer_churn_dataset!D178))</f>
        <v>11.23</v>
      </c>
      <c r="E178" s="7" t="n">
        <f aca="false">IF(ISBLANK(customer_churn_dataset!E178),0,MAX(0,customer_churn_dataset!E178))</f>
        <v>13</v>
      </c>
      <c r="F178" s="8" t="n">
        <f aca="false">IF(ISBLANK(customer_churn_dataset!F178),"",customer_churn_dataset!F178)</f>
        <v>44067</v>
      </c>
      <c r="G178" s="7" t="str">
        <f aca="false">PROPER(TRIM(customer_churn_dataset!G178))</f>
        <v>Manual/Invoice</v>
      </c>
      <c r="H178" s="7" t="n">
        <f aca="false">IF(ISBLANK(customer_churn_dataset!H178),0,customer_churn_dataset!H178)</f>
        <v>1</v>
      </c>
      <c r="I178" s="7" t="n">
        <f aca="false">IF(ISBLANK(customer_churn_dataset!I178),ROUND(MEDIAN(customer_churn_dataset!I$2:I$1501),1),MIN(100,MAX(0,customer_churn_dataset!I178)))</f>
        <v>55.6</v>
      </c>
      <c r="J178" s="7" t="n">
        <f aca="false">IF(ISBLANK(customer_churn_dataset!J178),0,MAX(0,customer_churn_dataset!J178))</f>
        <v>9</v>
      </c>
      <c r="K178" s="7" t="n">
        <f aca="false">IF(ISBLANK(customer_churn_dataset!K178),0,MIN(10,MAX(0,customer_churn_dataset!K178)))</f>
        <v>7</v>
      </c>
      <c r="L178" s="7" t="n">
        <f aca="false">IF(ISBLANK(customer_churn_dataset!L178),0,MAX(0,customer_churn_dataset!L178))</f>
        <v>0</v>
      </c>
      <c r="M178" s="7" t="n">
        <f aca="false">IF(ISBLANK(customer_churn_dataset!M178),0,customer_churn_dataset!M178)</f>
        <v>0</v>
      </c>
      <c r="N178" s="7" t="n">
        <f aca="false">IF(ISBLANK(customer_churn_dataset!N178),0,MAX(0,customer_churn_dataset!N178))</f>
        <v>145.99</v>
      </c>
      <c r="O178" s="7" t="n">
        <f aca="false">IF(ISBLANK(customer_churn_dataset!O178),0,customer_churn_dataset!O178)</f>
        <v>0</v>
      </c>
      <c r="P178" s="7" t="str">
        <f aca="false">IF(COUNTIF(customer_churn_dataset!$A$2:$A$1501,customer_churn_dataset!A178)&gt;1,"Duplicate","Unique")</f>
        <v>Unique</v>
      </c>
    </row>
    <row r="179" customFormat="false" ht="14.15" hidden="false" customHeight="true" outlineLevel="0" collapsed="false">
      <c r="A179" s="7" t="str">
        <f aca="false">TRIM(customer_churn_dataset!A179)</f>
        <v>CUST101137</v>
      </c>
      <c r="B179" s="7" t="str">
        <f aca="false">PROPER(TRIM(customer_churn_dataset!B179))</f>
        <v>Standard</v>
      </c>
      <c r="C179" s="7" t="str">
        <f aca="false">PROPER(TRIM(customer_churn_dataset!C179))</f>
        <v>Month-To-Month</v>
      </c>
      <c r="D179" s="7" t="n">
        <f aca="false">IF(ISBLANK(customer_churn_dataset!D179),ROUND(MEDIAN(customer_churn_dataset!D$2:D$1501),2),IF(customer_churn_dataset!D179&lt;0,ABS(customer_churn_dataset!D179),customer_churn_dataset!D179))</f>
        <v>21.39</v>
      </c>
      <c r="E179" s="7" t="n">
        <f aca="false">IF(ISBLANK(customer_churn_dataset!E179),0,MAX(0,customer_churn_dataset!E179))</f>
        <v>20</v>
      </c>
      <c r="F179" s="8" t="n">
        <f aca="false">IF(ISBLANK(customer_churn_dataset!F179),"",customer_churn_dataset!F179)</f>
        <v>44069</v>
      </c>
      <c r="G179" s="7" t="str">
        <f aca="false">PROPER(TRIM(customer_churn_dataset!G179))</f>
        <v>Credit Card</v>
      </c>
      <c r="H179" s="7" t="n">
        <f aca="false">IF(ISBLANK(customer_churn_dataset!H179),0,customer_churn_dataset!H179)</f>
        <v>1</v>
      </c>
      <c r="I179" s="7" t="n">
        <f aca="false">IF(ISBLANK(customer_churn_dataset!I179),ROUND(MEDIAN(customer_churn_dataset!I$2:I$1501),1),MIN(100,MAX(0,customer_churn_dataset!I179)))</f>
        <v>20.2</v>
      </c>
      <c r="J179" s="7" t="n">
        <f aca="false">IF(ISBLANK(customer_churn_dataset!J179),0,MAX(0,customer_churn_dataset!J179))</f>
        <v>1</v>
      </c>
      <c r="K179" s="7" t="n">
        <f aca="false">IF(ISBLANK(customer_churn_dataset!K179),0,MIN(10,MAX(0,customer_churn_dataset!K179)))</f>
        <v>4</v>
      </c>
      <c r="L179" s="7" t="n">
        <f aca="false">IF(ISBLANK(customer_churn_dataset!L179),0,MAX(0,customer_churn_dataset!L179))</f>
        <v>2</v>
      </c>
      <c r="M179" s="7" t="n">
        <f aca="false">IF(ISBLANK(customer_churn_dataset!M179),0,customer_churn_dataset!M179)</f>
        <v>0</v>
      </c>
      <c r="N179" s="7" t="n">
        <f aca="false">IF(ISBLANK(customer_churn_dataset!N179),0,MAX(0,customer_churn_dataset!N179))</f>
        <v>427.8</v>
      </c>
      <c r="O179" s="7" t="n">
        <f aca="false">IF(ISBLANK(customer_churn_dataset!O179),0,customer_churn_dataset!O179)</f>
        <v>1</v>
      </c>
      <c r="P179" s="7" t="str">
        <f aca="false">IF(COUNTIF(customer_churn_dataset!$A$2:$A$1501,customer_churn_dataset!A179)&gt;1,"Duplicate","Unique")</f>
        <v>Unique</v>
      </c>
    </row>
    <row r="180" customFormat="false" ht="14.15" hidden="false" customHeight="true" outlineLevel="0" collapsed="false">
      <c r="A180" s="7" t="str">
        <f aca="false">TRIM(customer_churn_dataset!A180)</f>
        <v>CUST101095</v>
      </c>
      <c r="B180" s="7" t="str">
        <f aca="false">PROPER(TRIM(customer_churn_dataset!B180))</f>
        <v>Basic</v>
      </c>
      <c r="C180" s="7" t="str">
        <f aca="false">PROPER(TRIM(customer_churn_dataset!C180))</f>
        <v>Month-To-Month</v>
      </c>
      <c r="D180" s="7" t="n">
        <f aca="false">IF(ISBLANK(customer_churn_dataset!D180),ROUND(MEDIAN(customer_churn_dataset!D$2:D$1501),2),IF(customer_churn_dataset!D180&lt;0,ABS(customer_churn_dataset!D180),customer_churn_dataset!D180))</f>
        <v>10.35</v>
      </c>
      <c r="E180" s="7" t="n">
        <f aca="false">IF(ISBLANK(customer_churn_dataset!E180),0,MAX(0,customer_churn_dataset!E180))</f>
        <v>64</v>
      </c>
      <c r="F180" s="8" t="n">
        <f aca="false">IF(ISBLANK(customer_churn_dataset!F180),"",customer_churn_dataset!F180)</f>
        <v>44069</v>
      </c>
      <c r="G180" s="7" t="str">
        <f aca="false">PROPER(TRIM(customer_churn_dataset!G180))</f>
        <v>Credit Card</v>
      </c>
      <c r="H180" s="7" t="n">
        <f aca="false">IF(ISBLANK(customer_churn_dataset!H180),0,customer_churn_dataset!H180)</f>
        <v>1</v>
      </c>
      <c r="I180" s="7" t="n">
        <f aca="false">IF(ISBLANK(customer_churn_dataset!I180),ROUND(MEDIAN(customer_churn_dataset!I$2:I$1501),1),MIN(100,MAX(0,customer_churn_dataset!I180)))</f>
        <v>46.6</v>
      </c>
      <c r="J180" s="7" t="n">
        <f aca="false">IF(ISBLANK(customer_churn_dataset!J180),0,MAX(0,customer_churn_dataset!J180))</f>
        <v>7</v>
      </c>
      <c r="K180" s="7" t="n">
        <f aca="false">IF(ISBLANK(customer_churn_dataset!K180),0,MIN(10,MAX(0,customer_churn_dataset!K180)))</f>
        <v>4</v>
      </c>
      <c r="L180" s="7" t="n">
        <f aca="false">IF(ISBLANK(customer_churn_dataset!L180),0,MAX(0,customer_churn_dataset!L180))</f>
        <v>0</v>
      </c>
      <c r="M180" s="7" t="n">
        <f aca="false">IF(ISBLANK(customer_churn_dataset!M180),0,customer_churn_dataset!M180)</f>
        <v>0</v>
      </c>
      <c r="N180" s="7" t="n">
        <f aca="false">IF(ISBLANK(customer_churn_dataset!N180),0,MAX(0,customer_churn_dataset!N180))</f>
        <v>662.4</v>
      </c>
      <c r="O180" s="7" t="n">
        <f aca="false">IF(ISBLANK(customer_churn_dataset!O180),0,customer_churn_dataset!O180)</f>
        <v>0</v>
      </c>
      <c r="P180" s="7" t="str">
        <f aca="false">IF(COUNTIF(customer_churn_dataset!$A$2:$A$1501,customer_churn_dataset!A180)&gt;1,"Duplicate","Unique")</f>
        <v>Unique</v>
      </c>
    </row>
    <row r="181" customFormat="false" ht="14.15" hidden="false" customHeight="true" outlineLevel="0" collapsed="false">
      <c r="A181" s="7" t="str">
        <f aca="false">TRIM(customer_churn_dataset!A181)</f>
        <v>CUST101337</v>
      </c>
      <c r="B181" s="7" t="str">
        <f aca="false">PROPER(TRIM(customer_churn_dataset!B181))</f>
        <v>Standard</v>
      </c>
      <c r="C181" s="7" t="str">
        <f aca="false">PROPER(TRIM(customer_churn_dataset!C181))</f>
        <v>One Year</v>
      </c>
      <c r="D181" s="7" t="n">
        <f aca="false">IF(ISBLANK(customer_churn_dataset!D181),ROUND(MEDIAN(customer_churn_dataset!D$2:D$1501),2),IF(customer_churn_dataset!D181&lt;0,ABS(customer_churn_dataset!D181),customer_churn_dataset!D181))</f>
        <v>19.71</v>
      </c>
      <c r="E181" s="7" t="n">
        <f aca="false">IF(ISBLANK(customer_churn_dataset!E181),0,MAX(0,customer_churn_dataset!E181))</f>
        <v>23</v>
      </c>
      <c r="F181" s="8" t="n">
        <f aca="false">IF(ISBLANK(customer_churn_dataset!F181),"",customer_churn_dataset!F181)</f>
        <v>44071</v>
      </c>
      <c r="G181" s="7" t="str">
        <f aca="false">PROPER(TRIM(customer_churn_dataset!G181))</f>
        <v>Credit Card</v>
      </c>
      <c r="H181" s="7" t="n">
        <f aca="false">IF(ISBLANK(customer_churn_dataset!H181),0,customer_churn_dataset!H181)</f>
        <v>0</v>
      </c>
      <c r="I181" s="7" t="n">
        <f aca="false">IF(ISBLANK(customer_churn_dataset!I181),ROUND(MEDIAN(customer_churn_dataset!I$2:I$1501),1),MIN(100,MAX(0,customer_churn_dataset!I181)))</f>
        <v>12.6</v>
      </c>
      <c r="J181" s="7" t="n">
        <f aca="false">IF(ISBLANK(customer_churn_dataset!J181),0,MAX(0,customer_churn_dataset!J181))</f>
        <v>9</v>
      </c>
      <c r="K181" s="7" t="n">
        <f aca="false">IF(ISBLANK(customer_churn_dataset!K181),0,MIN(10,MAX(0,customer_churn_dataset!K181)))</f>
        <v>0</v>
      </c>
      <c r="L181" s="7" t="n">
        <f aca="false">IF(ISBLANK(customer_churn_dataset!L181),0,MAX(0,customer_churn_dataset!L181))</f>
        <v>3</v>
      </c>
      <c r="M181" s="7" t="n">
        <f aca="false">IF(ISBLANK(customer_churn_dataset!M181),0,customer_churn_dataset!M181)</f>
        <v>0</v>
      </c>
      <c r="N181" s="7" t="n">
        <f aca="false">IF(ISBLANK(customer_churn_dataset!N181),0,MAX(0,customer_churn_dataset!N181))</f>
        <v>453.33</v>
      </c>
      <c r="O181" s="7" t="n">
        <f aca="false">IF(ISBLANK(customer_churn_dataset!O181),0,customer_churn_dataset!O181)</f>
        <v>0</v>
      </c>
      <c r="P181" s="7" t="str">
        <f aca="false">IF(COUNTIF(customer_churn_dataset!$A$2:$A$1501,customer_churn_dataset!A181)&gt;1,"Duplicate","Unique")</f>
        <v>Unique</v>
      </c>
    </row>
    <row r="182" customFormat="false" ht="14.15" hidden="false" customHeight="true" outlineLevel="0" collapsed="false">
      <c r="A182" s="7" t="str">
        <f aca="false">TRIM(customer_churn_dataset!A182)</f>
        <v>CUST100856</v>
      </c>
      <c r="B182" s="7" t="str">
        <f aca="false">PROPER(TRIM(customer_churn_dataset!B182))</f>
        <v>Basic</v>
      </c>
      <c r="C182" s="7" t="str">
        <f aca="false">PROPER(TRIM(customer_churn_dataset!C182))</f>
        <v>Two Year</v>
      </c>
      <c r="D182" s="7" t="n">
        <f aca="false">IF(ISBLANK(customer_churn_dataset!D182),ROUND(MEDIAN(customer_churn_dataset!D$2:D$1501),2),IF(customer_churn_dataset!D182&lt;0,ABS(customer_churn_dataset!D182),customer_churn_dataset!D182))</f>
        <v>9.73</v>
      </c>
      <c r="E182" s="7" t="n">
        <f aca="false">IF(ISBLANK(customer_churn_dataset!E182),0,MAX(0,customer_churn_dataset!E182))</f>
        <v>34</v>
      </c>
      <c r="F182" s="8" t="n">
        <f aca="false">IF(ISBLANK(customer_churn_dataset!F182),"",customer_churn_dataset!F182)</f>
        <v>44072</v>
      </c>
      <c r="G182" s="7" t="str">
        <f aca="false">PROPER(TRIM(customer_churn_dataset!G182))</f>
        <v>Credit Card</v>
      </c>
      <c r="H182" s="7" t="n">
        <f aca="false">IF(ISBLANK(customer_churn_dataset!H182),0,customer_churn_dataset!H182)</f>
        <v>0</v>
      </c>
      <c r="I182" s="7" t="n">
        <f aca="false">IF(ISBLANK(customer_churn_dataset!I182),ROUND(MEDIAN(customer_churn_dataset!I$2:I$1501),1),MIN(100,MAX(0,customer_churn_dataset!I182)))</f>
        <v>49.6</v>
      </c>
      <c r="J182" s="7" t="n">
        <f aca="false">IF(ISBLANK(customer_churn_dataset!J182),0,MAX(0,customer_churn_dataset!J182))</f>
        <v>13</v>
      </c>
      <c r="K182" s="7" t="n">
        <f aca="false">IF(ISBLANK(customer_churn_dataset!K182),0,MIN(10,MAX(0,customer_churn_dataset!K182)))</f>
        <v>5</v>
      </c>
      <c r="L182" s="7" t="n">
        <f aca="false">IF(ISBLANK(customer_churn_dataset!L182),0,MAX(0,customer_churn_dataset!L182))</f>
        <v>1</v>
      </c>
      <c r="M182" s="7" t="n">
        <f aca="false">IF(ISBLANK(customer_churn_dataset!M182),0,customer_churn_dataset!M182)</f>
        <v>1</v>
      </c>
      <c r="N182" s="7" t="n">
        <f aca="false">IF(ISBLANK(customer_churn_dataset!N182),0,MAX(0,customer_churn_dataset!N182))</f>
        <v>330.82</v>
      </c>
      <c r="O182" s="7" t="n">
        <f aca="false">IF(ISBLANK(customer_churn_dataset!O182),0,customer_churn_dataset!O182)</f>
        <v>0</v>
      </c>
      <c r="P182" s="7" t="str">
        <f aca="false">IF(COUNTIF(customer_churn_dataset!$A$2:$A$1501,customer_churn_dataset!A182)&gt;1,"Duplicate","Unique")</f>
        <v>Unique</v>
      </c>
    </row>
    <row r="183" customFormat="false" ht="14.15" hidden="false" customHeight="true" outlineLevel="0" collapsed="false">
      <c r="A183" s="7" t="str">
        <f aca="false">TRIM(customer_churn_dataset!A183)</f>
        <v>CUST100908</v>
      </c>
      <c r="B183" s="7" t="str">
        <f aca="false">PROPER(TRIM(customer_churn_dataset!B183))</f>
        <v>Basic</v>
      </c>
      <c r="C183" s="7" t="str">
        <f aca="false">PROPER(TRIM(customer_churn_dataset!C183))</f>
        <v>One Year</v>
      </c>
      <c r="D183" s="7" t="n">
        <f aca="false">IF(ISBLANK(customer_churn_dataset!D183),ROUND(MEDIAN(customer_churn_dataset!D$2:D$1501),2),IF(customer_churn_dataset!D183&lt;0,ABS(customer_churn_dataset!D183),customer_churn_dataset!D183))</f>
        <v>11.41</v>
      </c>
      <c r="E183" s="7" t="n">
        <f aca="false">IF(ISBLANK(customer_churn_dataset!E183),0,MAX(0,customer_churn_dataset!E183))</f>
        <v>0</v>
      </c>
      <c r="F183" s="8" t="n">
        <f aca="false">IF(ISBLANK(customer_churn_dataset!F183),"",customer_churn_dataset!F183)</f>
        <v>44073</v>
      </c>
      <c r="G183" s="7" t="str">
        <f aca="false">PROPER(TRIM(customer_churn_dataset!G183))</f>
        <v>Credit Card</v>
      </c>
      <c r="H183" s="7" t="n">
        <f aca="false">IF(ISBLANK(customer_churn_dataset!H183),0,customer_churn_dataset!H183)</f>
        <v>0</v>
      </c>
      <c r="I183" s="7" t="n">
        <f aca="false">IF(ISBLANK(customer_churn_dataset!I183),ROUND(MEDIAN(customer_churn_dataset!I$2:I$1501),1),MIN(100,MAX(0,customer_churn_dataset!I183)))</f>
        <v>7.7</v>
      </c>
      <c r="J183" s="7" t="n">
        <f aca="false">IF(ISBLANK(customer_churn_dataset!J183),0,MAX(0,customer_churn_dataset!J183))</f>
        <v>0</v>
      </c>
      <c r="K183" s="7" t="n">
        <f aca="false">IF(ISBLANK(customer_churn_dataset!K183),0,MIN(10,MAX(0,customer_churn_dataset!K183)))</f>
        <v>1</v>
      </c>
      <c r="L183" s="7" t="n">
        <f aca="false">IF(ISBLANK(customer_churn_dataset!L183),0,MAX(0,customer_churn_dataset!L183))</f>
        <v>1</v>
      </c>
      <c r="M183" s="7" t="n">
        <f aca="false">IF(ISBLANK(customer_churn_dataset!M183),0,customer_churn_dataset!M183)</f>
        <v>0</v>
      </c>
      <c r="N183" s="7" t="n">
        <f aca="false">IF(ISBLANK(customer_churn_dataset!N183),0,MAX(0,customer_churn_dataset!N183))</f>
        <v>0</v>
      </c>
      <c r="O183" s="7" t="n">
        <f aca="false">IF(ISBLANK(customer_churn_dataset!O183),0,customer_churn_dataset!O183)</f>
        <v>0</v>
      </c>
      <c r="P183" s="7" t="str">
        <f aca="false">IF(COUNTIF(customer_churn_dataset!$A$2:$A$1501,customer_churn_dataset!A183)&gt;1,"Duplicate","Unique")</f>
        <v>Unique</v>
      </c>
    </row>
    <row r="184" customFormat="false" ht="14.15" hidden="false" customHeight="true" outlineLevel="0" collapsed="false">
      <c r="A184" s="7" t="str">
        <f aca="false">TRIM(customer_churn_dataset!A184)</f>
        <v>CUST101429</v>
      </c>
      <c r="B184" s="7" t="str">
        <f aca="false">PROPER(TRIM(customer_churn_dataset!B184))</f>
        <v>Premium</v>
      </c>
      <c r="C184" s="7" t="str">
        <f aca="false">PROPER(TRIM(customer_churn_dataset!C184))</f>
        <v>Month-To-Month</v>
      </c>
      <c r="D184" s="7" t="n">
        <f aca="false">IF(ISBLANK(customer_churn_dataset!D184),ROUND(MEDIAN(customer_churn_dataset!D$2:D$1501),2),IF(customer_churn_dataset!D184&lt;0,ABS(customer_churn_dataset!D184),customer_churn_dataset!D184))</f>
        <v>39.93</v>
      </c>
      <c r="E184" s="7" t="n">
        <f aca="false">IF(ISBLANK(customer_churn_dataset!E184),0,MAX(0,customer_churn_dataset!E184))</f>
        <v>46</v>
      </c>
      <c r="F184" s="8" t="n">
        <f aca="false">IF(ISBLANK(customer_churn_dataset!F184),"",customer_churn_dataset!F184)</f>
        <v>44075</v>
      </c>
      <c r="G184" s="7" t="str">
        <f aca="false">PROPER(TRIM(customer_churn_dataset!G184))</f>
        <v>Credit Card</v>
      </c>
      <c r="H184" s="7" t="n">
        <f aca="false">IF(ISBLANK(customer_churn_dataset!H184),0,customer_churn_dataset!H184)</f>
        <v>1</v>
      </c>
      <c r="I184" s="7" t="n">
        <f aca="false">IF(ISBLANK(customer_churn_dataset!I184),ROUND(MEDIAN(customer_churn_dataset!I$2:I$1501),1),MIN(100,MAX(0,customer_churn_dataset!I184)))</f>
        <v>62.9</v>
      </c>
      <c r="J184" s="7" t="n">
        <f aca="false">IF(ISBLANK(customer_churn_dataset!J184),0,MAX(0,customer_churn_dataset!J184))</f>
        <v>23</v>
      </c>
      <c r="K184" s="7" t="n">
        <f aca="false">IF(ISBLANK(customer_churn_dataset!K184),0,MIN(10,MAX(0,customer_churn_dataset!K184)))</f>
        <v>9</v>
      </c>
      <c r="L184" s="7" t="n">
        <f aca="false">IF(ISBLANK(customer_churn_dataset!L184),0,MAX(0,customer_churn_dataset!L184))</f>
        <v>1</v>
      </c>
      <c r="M184" s="7" t="n">
        <f aca="false">IF(ISBLANK(customer_churn_dataset!M184),0,customer_churn_dataset!M184)</f>
        <v>0</v>
      </c>
      <c r="N184" s="7" t="n">
        <f aca="false">IF(ISBLANK(customer_churn_dataset!N184),0,MAX(0,customer_churn_dataset!N184))</f>
        <v>1836.78</v>
      </c>
      <c r="O184" s="7" t="n">
        <f aca="false">IF(ISBLANK(customer_churn_dataset!O184),0,customer_churn_dataset!O184)</f>
        <v>0</v>
      </c>
      <c r="P184" s="7" t="str">
        <f aca="false">IF(COUNTIF(customer_churn_dataset!$A$2:$A$1501,customer_churn_dataset!A184)&gt;1,"Duplicate","Unique")</f>
        <v>Unique</v>
      </c>
    </row>
    <row r="185" customFormat="false" ht="14.15" hidden="false" customHeight="true" outlineLevel="0" collapsed="false">
      <c r="A185" s="7" t="str">
        <f aca="false">TRIM(customer_churn_dataset!A185)</f>
        <v>CUST101172</v>
      </c>
      <c r="B185" s="7" t="str">
        <f aca="false">PROPER(TRIM(customer_churn_dataset!B185))</f>
        <v>Standard</v>
      </c>
      <c r="C185" s="7" t="str">
        <f aca="false">PROPER(TRIM(customer_churn_dataset!C185))</f>
        <v>Month-To-Month</v>
      </c>
      <c r="D185" s="7" t="n">
        <f aca="false">IF(ISBLANK(customer_churn_dataset!D185),ROUND(MEDIAN(customer_churn_dataset!D$2:D$1501),2),IF(customer_churn_dataset!D185&lt;0,ABS(customer_churn_dataset!D185),customer_churn_dataset!D185))</f>
        <v>18.47</v>
      </c>
      <c r="E185" s="7" t="n">
        <f aca="false">IF(ISBLANK(customer_churn_dataset!E185),0,MAX(0,customer_churn_dataset!E185))</f>
        <v>2</v>
      </c>
      <c r="F185" s="8" t="n">
        <f aca="false">IF(ISBLANK(customer_churn_dataset!F185),"",customer_churn_dataset!F185)</f>
        <v>44081</v>
      </c>
      <c r="G185" s="7" t="str">
        <f aca="false">PROPER(TRIM(customer_churn_dataset!G185))</f>
        <v>Credit Card</v>
      </c>
      <c r="H185" s="7" t="n">
        <f aca="false">IF(ISBLANK(customer_churn_dataset!H185),0,customer_churn_dataset!H185)</f>
        <v>1</v>
      </c>
      <c r="I185" s="7" t="n">
        <f aca="false">IF(ISBLANK(customer_churn_dataset!I185),ROUND(MEDIAN(customer_churn_dataset!I$2:I$1501),1),MIN(100,MAX(0,customer_churn_dataset!I185)))</f>
        <v>47.1</v>
      </c>
      <c r="J185" s="7" t="n">
        <f aca="false">IF(ISBLANK(customer_churn_dataset!J185),0,MAX(0,customer_churn_dataset!J185))</f>
        <v>7</v>
      </c>
      <c r="K185" s="7" t="n">
        <f aca="false">IF(ISBLANK(customer_churn_dataset!K185),0,MIN(10,MAX(0,customer_churn_dataset!K185)))</f>
        <v>5</v>
      </c>
      <c r="L185" s="7" t="n">
        <f aca="false">IF(ISBLANK(customer_churn_dataset!L185),0,MAX(0,customer_churn_dataset!L185))</f>
        <v>3</v>
      </c>
      <c r="M185" s="7" t="n">
        <f aca="false">IF(ISBLANK(customer_churn_dataset!M185),0,customer_churn_dataset!M185)</f>
        <v>1</v>
      </c>
      <c r="N185" s="7" t="n">
        <f aca="false">IF(ISBLANK(customer_churn_dataset!N185),0,MAX(0,customer_churn_dataset!N185))</f>
        <v>36.94</v>
      </c>
      <c r="O185" s="7" t="n">
        <f aca="false">IF(ISBLANK(customer_churn_dataset!O185),0,customer_churn_dataset!O185)</f>
        <v>1</v>
      </c>
      <c r="P185" s="7" t="str">
        <f aca="false">IF(COUNTIF(customer_churn_dataset!$A$2:$A$1501,customer_churn_dataset!A185)&gt;1,"Duplicate","Unique")</f>
        <v>Unique</v>
      </c>
    </row>
    <row r="186" customFormat="false" ht="14.15" hidden="false" customHeight="true" outlineLevel="0" collapsed="false">
      <c r="A186" s="7" t="str">
        <f aca="false">TRIM(customer_churn_dataset!A186)</f>
        <v>CUST100084</v>
      </c>
      <c r="B186" s="7" t="str">
        <f aca="false">PROPER(TRIM(customer_churn_dataset!B186))</f>
        <v>Basic</v>
      </c>
      <c r="C186" s="7" t="str">
        <f aca="false">PROPER(TRIM(customer_churn_dataset!C186))</f>
        <v>Month-To-Month</v>
      </c>
      <c r="D186" s="7" t="n">
        <f aca="false">IF(ISBLANK(customer_churn_dataset!D186),ROUND(MEDIAN(customer_churn_dataset!D$2:D$1501),2),IF(customer_churn_dataset!D186&lt;0,ABS(customer_churn_dataset!D186),customer_churn_dataset!D186))</f>
        <v>9.34</v>
      </c>
      <c r="E186" s="7" t="n">
        <f aca="false">IF(ISBLANK(customer_churn_dataset!E186),0,MAX(0,customer_churn_dataset!E186))</f>
        <v>11</v>
      </c>
      <c r="F186" s="8" t="n">
        <f aca="false">IF(ISBLANK(customer_churn_dataset!F186),"",customer_churn_dataset!F186)</f>
        <v>44081</v>
      </c>
      <c r="G186" s="7" t="str">
        <f aca="false">PROPER(TRIM(customer_churn_dataset!G186))</f>
        <v>Bank Transfer</v>
      </c>
      <c r="H186" s="7" t="n">
        <f aca="false">IF(ISBLANK(customer_churn_dataset!H186),0,customer_churn_dataset!H186)</f>
        <v>0</v>
      </c>
      <c r="I186" s="7" t="n">
        <f aca="false">IF(ISBLANK(customer_churn_dataset!I186),ROUND(MEDIAN(customer_churn_dataset!I$2:I$1501),1),MIN(100,MAX(0,customer_churn_dataset!I186)))</f>
        <v>43.1</v>
      </c>
      <c r="J186" s="7" t="n">
        <f aca="false">IF(ISBLANK(customer_churn_dataset!J186),0,MAX(0,customer_churn_dataset!J186))</f>
        <v>14</v>
      </c>
      <c r="K186" s="7" t="n">
        <f aca="false">IF(ISBLANK(customer_churn_dataset!K186),0,MIN(10,MAX(0,customer_churn_dataset!K186)))</f>
        <v>5</v>
      </c>
      <c r="L186" s="7" t="n">
        <f aca="false">IF(ISBLANK(customer_churn_dataset!L186),0,MAX(0,customer_churn_dataset!L186))</f>
        <v>4</v>
      </c>
      <c r="M186" s="7" t="n">
        <f aca="false">IF(ISBLANK(customer_churn_dataset!M186),0,customer_churn_dataset!M186)</f>
        <v>0</v>
      </c>
      <c r="N186" s="7" t="n">
        <f aca="false">IF(ISBLANK(customer_churn_dataset!N186),0,MAX(0,customer_churn_dataset!N186))</f>
        <v>102.74</v>
      </c>
      <c r="O186" s="7" t="n">
        <f aca="false">IF(ISBLANK(customer_churn_dataset!O186),0,customer_churn_dataset!O186)</f>
        <v>1</v>
      </c>
      <c r="P186" s="7" t="str">
        <f aca="false">IF(COUNTIF(customer_churn_dataset!$A$2:$A$1501,customer_churn_dataset!A186)&gt;1,"Duplicate","Unique")</f>
        <v>Unique</v>
      </c>
    </row>
    <row r="187" customFormat="false" ht="14.15" hidden="false" customHeight="true" outlineLevel="0" collapsed="false">
      <c r="A187" s="7" t="str">
        <f aca="false">TRIM(customer_churn_dataset!A187)</f>
        <v>CUST100930</v>
      </c>
      <c r="B187" s="7" t="str">
        <f aca="false">PROPER(TRIM(customer_churn_dataset!B187))</f>
        <v>Basic</v>
      </c>
      <c r="C187" s="7" t="str">
        <f aca="false">PROPER(TRIM(customer_churn_dataset!C187))</f>
        <v>Month-To-Month</v>
      </c>
      <c r="D187" s="7" t="n">
        <f aca="false">IF(ISBLANK(customer_churn_dataset!D187),ROUND(MEDIAN(customer_churn_dataset!D$2:D$1501),2),IF(customer_churn_dataset!D187&lt;0,ABS(customer_churn_dataset!D187),customer_churn_dataset!D187))</f>
        <v>10.32</v>
      </c>
      <c r="E187" s="7" t="n">
        <f aca="false">IF(ISBLANK(customer_churn_dataset!E187),0,MAX(0,customer_churn_dataset!E187))</f>
        <v>3</v>
      </c>
      <c r="F187" s="8" t="n">
        <f aca="false">IF(ISBLANK(customer_churn_dataset!F187),"",customer_churn_dataset!F187)</f>
        <v>44081</v>
      </c>
      <c r="G187" s="7" t="str">
        <f aca="false">PROPER(TRIM(customer_churn_dataset!G187))</f>
        <v>Credit Card</v>
      </c>
      <c r="H187" s="7" t="n">
        <f aca="false">IF(ISBLANK(customer_churn_dataset!H187),0,customer_churn_dataset!H187)</f>
        <v>1</v>
      </c>
      <c r="I187" s="7" t="n">
        <f aca="false">IF(ISBLANK(customer_churn_dataset!I187),ROUND(MEDIAN(customer_churn_dataset!I$2:I$1501),1),MIN(100,MAX(0,customer_churn_dataset!I187)))</f>
        <v>53.5</v>
      </c>
      <c r="J187" s="7" t="n">
        <f aca="false">IF(ISBLANK(customer_churn_dataset!J187),0,MAX(0,customer_churn_dataset!J187))</f>
        <v>11</v>
      </c>
      <c r="K187" s="7" t="n">
        <f aca="false">IF(ISBLANK(customer_churn_dataset!K187),0,MIN(10,MAX(0,customer_churn_dataset!K187)))</f>
        <v>6</v>
      </c>
      <c r="L187" s="7" t="n">
        <f aca="false">IF(ISBLANK(customer_churn_dataset!L187),0,MAX(0,customer_churn_dataset!L187))</f>
        <v>2</v>
      </c>
      <c r="M187" s="7" t="n">
        <f aca="false">IF(ISBLANK(customer_churn_dataset!M187),0,customer_churn_dataset!M187)</f>
        <v>1</v>
      </c>
      <c r="N187" s="7" t="n">
        <f aca="false">IF(ISBLANK(customer_churn_dataset!N187),0,MAX(0,customer_churn_dataset!N187))</f>
        <v>30.96</v>
      </c>
      <c r="O187" s="7" t="n">
        <f aca="false">IF(ISBLANK(customer_churn_dataset!O187),0,customer_churn_dataset!O187)</f>
        <v>0</v>
      </c>
      <c r="P187" s="7" t="str">
        <f aca="false">IF(COUNTIF(customer_churn_dataset!$A$2:$A$1501,customer_churn_dataset!A187)&gt;1,"Duplicate","Unique")</f>
        <v>Unique</v>
      </c>
    </row>
    <row r="188" customFormat="false" ht="14.15" hidden="false" customHeight="true" outlineLevel="0" collapsed="false">
      <c r="A188" s="7" t="str">
        <f aca="false">TRIM(customer_churn_dataset!A188)</f>
        <v>CUST100702</v>
      </c>
      <c r="B188" s="7" t="str">
        <f aca="false">PROPER(TRIM(customer_churn_dataset!B188))</f>
        <v>Basic</v>
      </c>
      <c r="C188" s="7" t="str">
        <f aca="false">PROPER(TRIM(customer_churn_dataset!C188))</f>
        <v>One Year</v>
      </c>
      <c r="D188" s="7" t="n">
        <f aca="false">IF(ISBLANK(customer_churn_dataset!D188),ROUND(MEDIAN(customer_churn_dataset!D$2:D$1501),2),IF(customer_churn_dataset!D188&lt;0,ABS(customer_churn_dataset!D188),customer_churn_dataset!D188))</f>
        <v>10.78</v>
      </c>
      <c r="E188" s="7" t="n">
        <f aca="false">IF(ISBLANK(customer_churn_dataset!E188),0,MAX(0,customer_churn_dataset!E188))</f>
        <v>39</v>
      </c>
      <c r="F188" s="8" t="n">
        <f aca="false">IF(ISBLANK(customer_churn_dataset!F188),"",customer_churn_dataset!F188)</f>
        <v>44082</v>
      </c>
      <c r="G188" s="7" t="str">
        <f aca="false">PROPER(TRIM(customer_churn_dataset!G188))</f>
        <v>Credit Card</v>
      </c>
      <c r="H188" s="7" t="n">
        <f aca="false">IF(ISBLANK(customer_churn_dataset!H188),0,customer_churn_dataset!H188)</f>
        <v>0</v>
      </c>
      <c r="I188" s="7" t="n">
        <f aca="false">IF(ISBLANK(customer_churn_dataset!I188),ROUND(MEDIAN(customer_churn_dataset!I$2:I$1501),1),MIN(100,MAX(0,customer_churn_dataset!I188)))</f>
        <v>63.4</v>
      </c>
      <c r="J188" s="7" t="n">
        <f aca="false">IF(ISBLANK(customer_churn_dataset!J188),0,MAX(0,customer_churn_dataset!J188))</f>
        <v>22</v>
      </c>
      <c r="K188" s="7" t="n">
        <f aca="false">IF(ISBLANK(customer_churn_dataset!K188),0,MIN(10,MAX(0,customer_churn_dataset!K188)))</f>
        <v>5</v>
      </c>
      <c r="L188" s="7" t="n">
        <f aca="false">IF(ISBLANK(customer_churn_dataset!L188),0,MAX(0,customer_churn_dataset!L188))</f>
        <v>0</v>
      </c>
      <c r="M188" s="7" t="n">
        <f aca="false">IF(ISBLANK(customer_churn_dataset!M188),0,customer_churn_dataset!M188)</f>
        <v>0</v>
      </c>
      <c r="N188" s="7" t="n">
        <f aca="false">IF(ISBLANK(customer_churn_dataset!N188),0,MAX(0,customer_churn_dataset!N188))</f>
        <v>420.42</v>
      </c>
      <c r="O188" s="7" t="n">
        <f aca="false">IF(ISBLANK(customer_churn_dataset!O188),0,customer_churn_dataset!O188)</f>
        <v>0</v>
      </c>
      <c r="P188" s="7" t="str">
        <f aca="false">IF(COUNTIF(customer_churn_dataset!$A$2:$A$1501,customer_churn_dataset!A188)&gt;1,"Duplicate","Unique")</f>
        <v>Unique</v>
      </c>
    </row>
    <row r="189" customFormat="false" ht="14.15" hidden="false" customHeight="true" outlineLevel="0" collapsed="false">
      <c r="A189" s="7" t="str">
        <f aca="false">TRIM(customer_churn_dataset!A189)</f>
        <v>CUST100639</v>
      </c>
      <c r="B189" s="7" t="str">
        <f aca="false">PROPER(TRIM(customer_churn_dataset!B189))</f>
        <v>Basic</v>
      </c>
      <c r="C189" s="7" t="str">
        <f aca="false">PROPER(TRIM(customer_churn_dataset!C189))</f>
        <v>Month-To-Month</v>
      </c>
      <c r="D189" s="7" t="n">
        <f aca="false">IF(ISBLANK(customer_churn_dataset!D189),ROUND(MEDIAN(customer_churn_dataset!D$2:D$1501),2),IF(customer_churn_dataset!D189&lt;0,ABS(customer_churn_dataset!D189),customer_churn_dataset!D189))</f>
        <v>10.01</v>
      </c>
      <c r="E189" s="7" t="n">
        <f aca="false">IF(ISBLANK(customer_churn_dataset!E189),0,MAX(0,customer_churn_dataset!E189))</f>
        <v>4</v>
      </c>
      <c r="F189" s="8" t="n">
        <f aca="false">IF(ISBLANK(customer_churn_dataset!F189),"",customer_churn_dataset!F189)</f>
        <v>44082</v>
      </c>
      <c r="G189" s="7" t="str">
        <f aca="false">PROPER(TRIM(customer_churn_dataset!G189))</f>
        <v>Credit Card</v>
      </c>
      <c r="H189" s="7" t="n">
        <f aca="false">IF(ISBLANK(customer_churn_dataset!H189),0,customer_churn_dataset!H189)</f>
        <v>0</v>
      </c>
      <c r="I189" s="7" t="n">
        <f aca="false">IF(ISBLANK(customer_churn_dataset!I189),ROUND(MEDIAN(customer_churn_dataset!I$2:I$1501),1),MIN(100,MAX(0,customer_churn_dataset!I189)))</f>
        <v>49.8</v>
      </c>
      <c r="J189" s="7" t="n">
        <f aca="false">IF(ISBLANK(customer_churn_dataset!J189),0,MAX(0,customer_churn_dataset!J189))</f>
        <v>14</v>
      </c>
      <c r="K189" s="7" t="n">
        <f aca="false">IF(ISBLANK(customer_churn_dataset!K189),0,MIN(10,MAX(0,customer_churn_dataset!K189)))</f>
        <v>3</v>
      </c>
      <c r="L189" s="7" t="n">
        <f aca="false">IF(ISBLANK(customer_churn_dataset!L189),0,MAX(0,customer_churn_dataset!L189))</f>
        <v>0</v>
      </c>
      <c r="M189" s="7" t="n">
        <f aca="false">IF(ISBLANK(customer_churn_dataset!M189),0,customer_churn_dataset!M189)</f>
        <v>0</v>
      </c>
      <c r="N189" s="7" t="n">
        <f aca="false">IF(ISBLANK(customer_churn_dataset!N189),0,MAX(0,customer_churn_dataset!N189))</f>
        <v>40.04</v>
      </c>
      <c r="O189" s="7" t="n">
        <f aca="false">IF(ISBLANK(customer_churn_dataset!O189),0,customer_churn_dataset!O189)</f>
        <v>1</v>
      </c>
      <c r="P189" s="7" t="str">
        <f aca="false">IF(COUNTIF(customer_churn_dataset!$A$2:$A$1501,customer_churn_dataset!A189)&gt;1,"Duplicate","Unique")</f>
        <v>Unique</v>
      </c>
    </row>
    <row r="190" customFormat="false" ht="14.15" hidden="false" customHeight="true" outlineLevel="0" collapsed="false">
      <c r="A190" s="7" t="str">
        <f aca="false">TRIM(customer_churn_dataset!A190)</f>
        <v>CUST101100</v>
      </c>
      <c r="B190" s="7" t="str">
        <f aca="false">PROPER(TRIM(customer_churn_dataset!B190))</f>
        <v>Basic</v>
      </c>
      <c r="C190" s="7" t="str">
        <f aca="false">PROPER(TRIM(customer_churn_dataset!C190))</f>
        <v>Month-To-Month</v>
      </c>
      <c r="D190" s="7" t="n">
        <f aca="false">IF(ISBLANK(customer_churn_dataset!D190),ROUND(MEDIAN(customer_churn_dataset!D$2:D$1501),2),IF(customer_churn_dataset!D190&lt;0,ABS(customer_churn_dataset!D190),customer_churn_dataset!D190))</f>
        <v>10.43</v>
      </c>
      <c r="E190" s="7" t="n">
        <f aca="false">IF(ISBLANK(customer_churn_dataset!E190),0,MAX(0,customer_churn_dataset!E190))</f>
        <v>52</v>
      </c>
      <c r="F190" s="8" t="n">
        <f aca="false">IF(ISBLANK(customer_churn_dataset!F190),"",customer_churn_dataset!F190)</f>
        <v>44085</v>
      </c>
      <c r="G190" s="7" t="str">
        <f aca="false">PROPER(TRIM(customer_churn_dataset!G190))</f>
        <v>Bank Transfer</v>
      </c>
      <c r="H190" s="7" t="n">
        <f aca="false">IF(ISBLANK(customer_churn_dataset!H190),0,customer_churn_dataset!H190)</f>
        <v>1</v>
      </c>
      <c r="I190" s="7" t="n">
        <f aca="false">IF(ISBLANK(customer_churn_dataset!I190),ROUND(MEDIAN(customer_churn_dataset!I$2:I$1501),1),MIN(100,MAX(0,customer_churn_dataset!I190)))</f>
        <v>41.8</v>
      </c>
      <c r="J190" s="7" t="n">
        <f aca="false">IF(ISBLANK(customer_churn_dataset!J190),0,MAX(0,customer_churn_dataset!J190))</f>
        <v>9</v>
      </c>
      <c r="K190" s="7" t="n">
        <f aca="false">IF(ISBLANK(customer_churn_dataset!K190),0,MIN(10,MAX(0,customer_churn_dataset!K190)))</f>
        <v>7</v>
      </c>
      <c r="L190" s="7" t="n">
        <f aca="false">IF(ISBLANK(customer_churn_dataset!L190),0,MAX(0,customer_churn_dataset!L190))</f>
        <v>3</v>
      </c>
      <c r="M190" s="7" t="n">
        <f aca="false">IF(ISBLANK(customer_churn_dataset!M190),0,customer_churn_dataset!M190)</f>
        <v>0</v>
      </c>
      <c r="N190" s="7" t="n">
        <f aca="false">IF(ISBLANK(customer_churn_dataset!N190),0,MAX(0,customer_churn_dataset!N190))</f>
        <v>542.36</v>
      </c>
      <c r="O190" s="7" t="n">
        <f aca="false">IF(ISBLANK(customer_churn_dataset!O190),0,customer_churn_dataset!O190)</f>
        <v>0</v>
      </c>
      <c r="P190" s="7" t="str">
        <f aca="false">IF(COUNTIF(customer_churn_dataset!$A$2:$A$1501,customer_churn_dataset!A190)&gt;1,"Duplicate","Unique")</f>
        <v>Unique</v>
      </c>
    </row>
    <row r="191" customFormat="false" ht="14.15" hidden="false" customHeight="true" outlineLevel="0" collapsed="false">
      <c r="A191" s="7" t="str">
        <f aca="false">TRIM(customer_churn_dataset!A191)</f>
        <v>CUST101109</v>
      </c>
      <c r="B191" s="7" t="str">
        <f aca="false">PROPER(TRIM(customer_churn_dataset!B191))</f>
        <v>Basic</v>
      </c>
      <c r="C191" s="7" t="str">
        <f aca="false">PROPER(TRIM(customer_churn_dataset!C191))</f>
        <v>Month-To-Month</v>
      </c>
      <c r="D191" s="7" t="n">
        <f aca="false">IF(ISBLANK(customer_churn_dataset!D191),ROUND(MEDIAN(customer_churn_dataset!D$2:D$1501),2),IF(customer_churn_dataset!D191&lt;0,ABS(customer_churn_dataset!D191),customer_churn_dataset!D191))</f>
        <v>9.91</v>
      </c>
      <c r="E191" s="7" t="n">
        <f aca="false">IF(ISBLANK(customer_churn_dataset!E191),0,MAX(0,customer_churn_dataset!E191))</f>
        <v>66</v>
      </c>
      <c r="F191" s="8" t="n">
        <f aca="false">IF(ISBLANK(customer_churn_dataset!F191),"",customer_churn_dataset!F191)</f>
        <v>44085</v>
      </c>
      <c r="G191" s="7" t="str">
        <f aca="false">PROPER(TRIM(customer_churn_dataset!G191))</f>
        <v>Paypal</v>
      </c>
      <c r="H191" s="7" t="n">
        <f aca="false">IF(ISBLANK(customer_churn_dataset!H191),0,customer_churn_dataset!H191)</f>
        <v>1</v>
      </c>
      <c r="I191" s="7" t="n">
        <f aca="false">IF(ISBLANK(customer_churn_dataset!I191),ROUND(MEDIAN(customer_churn_dataset!I$2:I$1501),1),MIN(100,MAX(0,customer_churn_dataset!I191)))</f>
        <v>35.6</v>
      </c>
      <c r="J191" s="7" t="n">
        <f aca="false">IF(ISBLANK(customer_churn_dataset!J191),0,MAX(0,customer_churn_dataset!J191))</f>
        <v>14</v>
      </c>
      <c r="K191" s="7" t="n">
        <f aca="false">IF(ISBLANK(customer_churn_dataset!K191),0,MIN(10,MAX(0,customer_churn_dataset!K191)))</f>
        <v>5</v>
      </c>
      <c r="L191" s="7" t="n">
        <f aca="false">IF(ISBLANK(customer_churn_dataset!L191),0,MAX(0,customer_churn_dataset!L191))</f>
        <v>0</v>
      </c>
      <c r="M191" s="7" t="n">
        <f aca="false">IF(ISBLANK(customer_churn_dataset!M191),0,customer_churn_dataset!M191)</f>
        <v>0</v>
      </c>
      <c r="N191" s="7" t="n">
        <f aca="false">IF(ISBLANK(customer_churn_dataset!N191),0,MAX(0,customer_churn_dataset!N191))</f>
        <v>654.06</v>
      </c>
      <c r="O191" s="7" t="n">
        <f aca="false">IF(ISBLANK(customer_churn_dataset!O191),0,customer_churn_dataset!O191)</f>
        <v>0</v>
      </c>
      <c r="P191" s="7" t="str">
        <f aca="false">IF(COUNTIF(customer_churn_dataset!$A$2:$A$1501,customer_churn_dataset!A191)&gt;1,"Duplicate","Unique")</f>
        <v>Unique</v>
      </c>
    </row>
    <row r="192" customFormat="false" ht="14.15" hidden="false" customHeight="true" outlineLevel="0" collapsed="false">
      <c r="A192" s="7" t="str">
        <f aca="false">TRIM(customer_churn_dataset!A192)</f>
        <v>CUST100796</v>
      </c>
      <c r="B192" s="7" t="str">
        <f aca="false">PROPER(TRIM(customer_churn_dataset!B192))</f>
        <v>Premium</v>
      </c>
      <c r="C192" s="7" t="str">
        <f aca="false">PROPER(TRIM(customer_churn_dataset!C192))</f>
        <v>Month-To-Month</v>
      </c>
      <c r="D192" s="7" t="n">
        <f aca="false">IF(ISBLANK(customer_churn_dataset!D192),ROUND(MEDIAN(customer_churn_dataset!D$2:D$1501),2),IF(customer_churn_dataset!D192&lt;0,ABS(customer_churn_dataset!D192),customer_churn_dataset!D192))</f>
        <v>37.85</v>
      </c>
      <c r="E192" s="7" t="n">
        <f aca="false">IF(ISBLANK(customer_churn_dataset!E192),0,MAX(0,customer_churn_dataset!E192))</f>
        <v>36</v>
      </c>
      <c r="F192" s="8" t="n">
        <f aca="false">IF(ISBLANK(customer_churn_dataset!F192),"",customer_churn_dataset!F192)</f>
        <v>44086</v>
      </c>
      <c r="G192" s="7" t="str">
        <f aca="false">PROPER(TRIM(customer_churn_dataset!G192))</f>
        <v>Paypal</v>
      </c>
      <c r="H192" s="7" t="n">
        <f aca="false">IF(ISBLANK(customer_churn_dataset!H192),0,customer_churn_dataset!H192)</f>
        <v>1</v>
      </c>
      <c r="I192" s="7" t="n">
        <f aca="false">IF(ISBLANK(customer_churn_dataset!I192),ROUND(MEDIAN(customer_churn_dataset!I$2:I$1501),1),MIN(100,MAX(0,customer_churn_dataset!I192)))</f>
        <v>70.4</v>
      </c>
      <c r="J192" s="7" t="n">
        <f aca="false">IF(ISBLANK(customer_churn_dataset!J192),0,MAX(0,customer_churn_dataset!J192))</f>
        <v>23</v>
      </c>
      <c r="K192" s="7" t="n">
        <f aca="false">IF(ISBLANK(customer_churn_dataset!K192),0,MIN(10,MAX(0,customer_churn_dataset!K192)))</f>
        <v>4</v>
      </c>
      <c r="L192" s="7" t="n">
        <f aca="false">IF(ISBLANK(customer_churn_dataset!L192),0,MAX(0,customer_churn_dataset!L192))</f>
        <v>0</v>
      </c>
      <c r="M192" s="7" t="n">
        <f aca="false">IF(ISBLANK(customer_churn_dataset!M192),0,customer_churn_dataset!M192)</f>
        <v>0</v>
      </c>
      <c r="N192" s="7" t="n">
        <f aca="false">IF(ISBLANK(customer_churn_dataset!N192),0,MAX(0,customer_churn_dataset!N192))</f>
        <v>1362.6</v>
      </c>
      <c r="O192" s="7" t="n">
        <f aca="false">IF(ISBLANK(customer_churn_dataset!O192),0,customer_churn_dataset!O192)</f>
        <v>0</v>
      </c>
      <c r="P192" s="7" t="str">
        <f aca="false">IF(COUNTIF(customer_churn_dataset!$A$2:$A$1501,customer_churn_dataset!A192)&gt;1,"Duplicate","Unique")</f>
        <v>Unique</v>
      </c>
    </row>
    <row r="193" customFormat="false" ht="14.15" hidden="false" customHeight="true" outlineLevel="0" collapsed="false">
      <c r="A193" s="7" t="str">
        <f aca="false">TRIM(customer_churn_dataset!A193)</f>
        <v>CUST100939</v>
      </c>
      <c r="B193" s="7" t="str">
        <f aca="false">PROPER(TRIM(customer_churn_dataset!B193))</f>
        <v>Standard</v>
      </c>
      <c r="C193" s="7" t="str">
        <f aca="false">PROPER(TRIM(customer_churn_dataset!C193))</f>
        <v>Month-To-Month</v>
      </c>
      <c r="D193" s="7" t="n">
        <f aca="false">IF(ISBLANK(customer_churn_dataset!D193),ROUND(MEDIAN(customer_churn_dataset!D$2:D$1501),2),IF(customer_churn_dataset!D193&lt;0,ABS(customer_churn_dataset!D193),customer_churn_dataset!D193))</f>
        <v>20.81</v>
      </c>
      <c r="E193" s="7" t="n">
        <f aca="false">IF(ISBLANK(customer_churn_dataset!E193),0,MAX(0,customer_churn_dataset!E193))</f>
        <v>2</v>
      </c>
      <c r="F193" s="8" t="n">
        <f aca="false">IF(ISBLANK(customer_churn_dataset!F193),"",customer_churn_dataset!F193)</f>
        <v>44087</v>
      </c>
      <c r="G193" s="7" t="str">
        <f aca="false">PROPER(TRIM(customer_churn_dataset!G193))</f>
        <v>Manual/Invoice</v>
      </c>
      <c r="H193" s="7" t="n">
        <f aca="false">IF(ISBLANK(customer_churn_dataset!H193),0,customer_churn_dataset!H193)</f>
        <v>1</v>
      </c>
      <c r="I193" s="7" t="n">
        <f aca="false">IF(ISBLANK(customer_churn_dataset!I193),ROUND(MEDIAN(customer_churn_dataset!I$2:I$1501),1),MIN(100,MAX(0,customer_churn_dataset!I193)))</f>
        <v>82.1</v>
      </c>
      <c r="J193" s="7" t="n">
        <f aca="false">IF(ISBLANK(customer_churn_dataset!J193),0,MAX(0,customer_churn_dataset!J193))</f>
        <v>22</v>
      </c>
      <c r="K193" s="7" t="n">
        <f aca="false">IF(ISBLANK(customer_churn_dataset!K193),0,MIN(10,MAX(0,customer_churn_dataset!K193)))</f>
        <v>6</v>
      </c>
      <c r="L193" s="7" t="n">
        <f aca="false">IF(ISBLANK(customer_churn_dataset!L193),0,MAX(0,customer_churn_dataset!L193))</f>
        <v>2</v>
      </c>
      <c r="M193" s="7" t="n">
        <f aca="false">IF(ISBLANK(customer_churn_dataset!M193),0,customer_churn_dataset!M193)</f>
        <v>0</v>
      </c>
      <c r="N193" s="7" t="n">
        <f aca="false">IF(ISBLANK(customer_churn_dataset!N193),0,MAX(0,customer_churn_dataset!N193))</f>
        <v>41.62</v>
      </c>
      <c r="O193" s="7" t="n">
        <f aca="false">IF(ISBLANK(customer_churn_dataset!O193),0,customer_churn_dataset!O193)</f>
        <v>0</v>
      </c>
      <c r="P193" s="7" t="str">
        <f aca="false">IF(COUNTIF(customer_churn_dataset!$A$2:$A$1501,customer_churn_dataset!A193)&gt;1,"Duplicate","Unique")</f>
        <v>Unique</v>
      </c>
    </row>
    <row r="194" customFormat="false" ht="14.15" hidden="false" customHeight="true" outlineLevel="0" collapsed="false">
      <c r="A194" s="7" t="str">
        <f aca="false">TRIM(customer_churn_dataset!A194)</f>
        <v>CUST100345</v>
      </c>
      <c r="B194" s="7" t="str">
        <f aca="false">PROPER(TRIM(customer_churn_dataset!B194))</f>
        <v>Standard</v>
      </c>
      <c r="C194" s="7" t="str">
        <f aca="false">PROPER(TRIM(customer_churn_dataset!C194))</f>
        <v>One Year</v>
      </c>
      <c r="D194" s="7" t="n">
        <f aca="false">IF(ISBLANK(customer_churn_dataset!D194),ROUND(MEDIAN(customer_churn_dataset!D$2:D$1501),2),IF(customer_churn_dataset!D194&lt;0,ABS(customer_churn_dataset!D194),customer_churn_dataset!D194))</f>
        <v>19.54</v>
      </c>
      <c r="E194" s="7" t="n">
        <f aca="false">IF(ISBLANK(customer_churn_dataset!E194),0,MAX(0,customer_churn_dataset!E194))</f>
        <v>5</v>
      </c>
      <c r="F194" s="8" t="n">
        <f aca="false">IF(ISBLANK(customer_churn_dataset!F194),"",customer_churn_dataset!F194)</f>
        <v>44089</v>
      </c>
      <c r="G194" s="7" t="str">
        <f aca="false">PROPER(TRIM(customer_churn_dataset!G194))</f>
        <v>Credit Card</v>
      </c>
      <c r="H194" s="7" t="n">
        <f aca="false">IF(ISBLANK(customer_churn_dataset!H194),0,customer_churn_dataset!H194)</f>
        <v>1</v>
      </c>
      <c r="I194" s="7" t="n">
        <f aca="false">IF(ISBLANK(customer_churn_dataset!I194),ROUND(MEDIAN(customer_churn_dataset!I$2:I$1501),1),MIN(100,MAX(0,customer_churn_dataset!I194)))</f>
        <v>47.6</v>
      </c>
      <c r="J194" s="7" t="n">
        <f aca="false">IF(ISBLANK(customer_churn_dataset!J194),0,MAX(0,customer_churn_dataset!J194))</f>
        <v>17</v>
      </c>
      <c r="K194" s="7" t="n">
        <f aca="false">IF(ISBLANK(customer_churn_dataset!K194),0,MIN(10,MAX(0,customer_churn_dataset!K194)))</f>
        <v>5</v>
      </c>
      <c r="L194" s="7" t="n">
        <f aca="false">IF(ISBLANK(customer_churn_dataset!L194),0,MAX(0,customer_churn_dataset!L194))</f>
        <v>0</v>
      </c>
      <c r="M194" s="7" t="n">
        <f aca="false">IF(ISBLANK(customer_churn_dataset!M194),0,customer_churn_dataset!M194)</f>
        <v>0</v>
      </c>
      <c r="N194" s="7" t="n">
        <f aca="false">IF(ISBLANK(customer_churn_dataset!N194),0,MAX(0,customer_churn_dataset!N194))</f>
        <v>97.7</v>
      </c>
      <c r="O194" s="7" t="n">
        <f aca="false">IF(ISBLANK(customer_churn_dataset!O194),0,customer_churn_dataset!O194)</f>
        <v>0</v>
      </c>
      <c r="P194" s="7" t="str">
        <f aca="false">IF(COUNTIF(customer_churn_dataset!$A$2:$A$1501,customer_churn_dataset!A194)&gt;1,"Duplicate","Unique")</f>
        <v>Unique</v>
      </c>
    </row>
    <row r="195" customFormat="false" ht="14.15" hidden="false" customHeight="true" outlineLevel="0" collapsed="false">
      <c r="A195" s="7" t="str">
        <f aca="false">TRIM(customer_churn_dataset!A195)</f>
        <v>CUST101079</v>
      </c>
      <c r="B195" s="7" t="str">
        <f aca="false">PROPER(TRIM(customer_churn_dataset!B195))</f>
        <v>Premium</v>
      </c>
      <c r="C195" s="7" t="str">
        <f aca="false">PROPER(TRIM(customer_churn_dataset!C195))</f>
        <v>Two Year</v>
      </c>
      <c r="D195" s="7" t="n">
        <f aca="false">IF(ISBLANK(customer_churn_dataset!D195),ROUND(MEDIAN(customer_churn_dataset!D$2:D$1501),2),IF(customer_churn_dataset!D195&lt;0,ABS(customer_churn_dataset!D195),customer_churn_dataset!D195))</f>
        <v>40.68</v>
      </c>
      <c r="E195" s="7" t="n">
        <f aca="false">IF(ISBLANK(customer_churn_dataset!E195),0,MAX(0,customer_churn_dataset!E195))</f>
        <v>9</v>
      </c>
      <c r="F195" s="8" t="n">
        <f aca="false">IF(ISBLANK(customer_churn_dataset!F195),"",customer_churn_dataset!F195)</f>
        <v>44090</v>
      </c>
      <c r="G195" s="7" t="str">
        <f aca="false">PROPER(TRIM(customer_churn_dataset!G195))</f>
        <v>Bank Transfer</v>
      </c>
      <c r="H195" s="7" t="n">
        <f aca="false">IF(ISBLANK(customer_churn_dataset!H195),0,customer_churn_dataset!H195)</f>
        <v>1</v>
      </c>
      <c r="I195" s="7" t="n">
        <f aca="false">IF(ISBLANK(customer_churn_dataset!I195),ROUND(MEDIAN(customer_churn_dataset!I$2:I$1501),1),MIN(100,MAX(0,customer_churn_dataset!I195)))</f>
        <v>70.4</v>
      </c>
      <c r="J195" s="7" t="n">
        <f aca="false">IF(ISBLANK(customer_churn_dataset!J195),0,MAX(0,customer_churn_dataset!J195))</f>
        <v>20</v>
      </c>
      <c r="K195" s="7" t="n">
        <f aca="false">IF(ISBLANK(customer_churn_dataset!K195),0,MIN(10,MAX(0,customer_churn_dataset!K195)))</f>
        <v>9</v>
      </c>
      <c r="L195" s="7" t="n">
        <f aca="false">IF(ISBLANK(customer_churn_dataset!L195),0,MAX(0,customer_churn_dataset!L195))</f>
        <v>1</v>
      </c>
      <c r="M195" s="7" t="n">
        <f aca="false">IF(ISBLANK(customer_churn_dataset!M195),0,customer_churn_dataset!M195)</f>
        <v>1</v>
      </c>
      <c r="N195" s="7" t="n">
        <f aca="false">IF(ISBLANK(customer_churn_dataset!N195),0,MAX(0,customer_churn_dataset!N195))</f>
        <v>366.12</v>
      </c>
      <c r="O195" s="7" t="n">
        <f aca="false">IF(ISBLANK(customer_churn_dataset!O195),0,customer_churn_dataset!O195)</f>
        <v>0</v>
      </c>
      <c r="P195" s="7" t="str">
        <f aca="false">IF(COUNTIF(customer_churn_dataset!$A$2:$A$1501,customer_churn_dataset!A195)&gt;1,"Duplicate","Unique")</f>
        <v>Unique</v>
      </c>
    </row>
    <row r="196" customFormat="false" ht="14.15" hidden="false" customHeight="true" outlineLevel="0" collapsed="false">
      <c r="A196" s="7" t="str">
        <f aca="false">TRIM(customer_churn_dataset!A196)</f>
        <v>CUST101091</v>
      </c>
      <c r="B196" s="7" t="str">
        <f aca="false">PROPER(TRIM(customer_churn_dataset!B196))</f>
        <v>Standard</v>
      </c>
      <c r="C196" s="7" t="str">
        <f aca="false">PROPER(TRIM(customer_churn_dataset!C196))</f>
        <v>Month-To-Month</v>
      </c>
      <c r="D196" s="7" t="n">
        <f aca="false">IF(ISBLANK(customer_churn_dataset!D196),ROUND(MEDIAN(customer_churn_dataset!D$2:D$1501),2),IF(customer_churn_dataset!D196&lt;0,ABS(customer_churn_dataset!D196),customer_churn_dataset!D196))</f>
        <v>21.5</v>
      </c>
      <c r="E196" s="7" t="n">
        <f aca="false">IF(ISBLANK(customer_churn_dataset!E196),0,MAX(0,customer_churn_dataset!E196))</f>
        <v>10</v>
      </c>
      <c r="F196" s="8" t="n">
        <f aca="false">IF(ISBLANK(customer_churn_dataset!F196),"",customer_churn_dataset!F196)</f>
        <v>44093</v>
      </c>
      <c r="G196" s="7" t="str">
        <f aca="false">PROPER(TRIM(customer_churn_dataset!G196))</f>
        <v>Credit Card</v>
      </c>
      <c r="H196" s="7" t="n">
        <f aca="false">IF(ISBLANK(customer_churn_dataset!H196),0,customer_churn_dataset!H196)</f>
        <v>1</v>
      </c>
      <c r="I196" s="7" t="n">
        <f aca="false">IF(ISBLANK(customer_churn_dataset!I196),ROUND(MEDIAN(customer_churn_dataset!I$2:I$1501),1),MIN(100,MAX(0,customer_churn_dataset!I196)))</f>
        <v>42.2</v>
      </c>
      <c r="J196" s="7" t="n">
        <f aca="false">IF(ISBLANK(customer_churn_dataset!J196),0,MAX(0,customer_churn_dataset!J196))</f>
        <v>11</v>
      </c>
      <c r="K196" s="7" t="n">
        <f aca="false">IF(ISBLANK(customer_churn_dataset!K196),0,MIN(10,MAX(0,customer_churn_dataset!K196)))</f>
        <v>2</v>
      </c>
      <c r="L196" s="7" t="n">
        <f aca="false">IF(ISBLANK(customer_churn_dataset!L196),0,MAX(0,customer_churn_dataset!L196))</f>
        <v>0</v>
      </c>
      <c r="M196" s="7" t="n">
        <f aca="false">IF(ISBLANK(customer_churn_dataset!M196),0,customer_churn_dataset!M196)</f>
        <v>0</v>
      </c>
      <c r="N196" s="7" t="n">
        <f aca="false">IF(ISBLANK(customer_churn_dataset!N196),0,MAX(0,customer_churn_dataset!N196))</f>
        <v>215</v>
      </c>
      <c r="O196" s="7" t="n">
        <f aca="false">IF(ISBLANK(customer_churn_dataset!O196),0,customer_churn_dataset!O196)</f>
        <v>0</v>
      </c>
      <c r="P196" s="7" t="str">
        <f aca="false">IF(COUNTIF(customer_churn_dataset!$A$2:$A$1501,customer_churn_dataset!A196)&gt;1,"Duplicate","Unique")</f>
        <v>Unique</v>
      </c>
    </row>
    <row r="197" customFormat="false" ht="14.15" hidden="false" customHeight="true" outlineLevel="0" collapsed="false">
      <c r="A197" s="7" t="str">
        <f aca="false">TRIM(customer_churn_dataset!A197)</f>
        <v>CUST100278</v>
      </c>
      <c r="B197" s="7" t="str">
        <f aca="false">PROPER(TRIM(customer_churn_dataset!B197))</f>
        <v>Standard</v>
      </c>
      <c r="C197" s="7" t="str">
        <f aca="false">PROPER(TRIM(customer_churn_dataset!C197))</f>
        <v>One Year</v>
      </c>
      <c r="D197" s="7" t="n">
        <f aca="false">IF(ISBLANK(customer_churn_dataset!D197),ROUND(MEDIAN(customer_churn_dataset!D$2:D$1501),2),IF(customer_churn_dataset!D197&lt;0,ABS(customer_churn_dataset!D197),customer_churn_dataset!D197))</f>
        <v>20.48</v>
      </c>
      <c r="E197" s="7" t="n">
        <f aca="false">IF(ISBLANK(customer_churn_dataset!E197),0,MAX(0,customer_churn_dataset!E197))</f>
        <v>11</v>
      </c>
      <c r="F197" s="8" t="n">
        <f aca="false">IF(ISBLANK(customer_churn_dataset!F197),"",customer_churn_dataset!F197)</f>
        <v>44094</v>
      </c>
      <c r="G197" s="7" t="str">
        <f aca="false">PROPER(TRIM(customer_churn_dataset!G197))</f>
        <v>Credit Card</v>
      </c>
      <c r="H197" s="7" t="n">
        <f aca="false">IF(ISBLANK(customer_churn_dataset!H197),0,customer_churn_dataset!H197)</f>
        <v>1</v>
      </c>
      <c r="I197" s="7" t="n">
        <f aca="false">IF(ISBLANK(customer_churn_dataset!I197),ROUND(MEDIAN(customer_churn_dataset!I$2:I$1501),1),MIN(100,MAX(0,customer_churn_dataset!I197)))</f>
        <v>50.1</v>
      </c>
      <c r="J197" s="7" t="n">
        <f aca="false">IF(ISBLANK(customer_churn_dataset!J197),0,MAX(0,customer_churn_dataset!J197))</f>
        <v>15</v>
      </c>
      <c r="K197" s="7" t="n">
        <f aca="false">IF(ISBLANK(customer_churn_dataset!K197),0,MIN(10,MAX(0,customer_churn_dataset!K197)))</f>
        <v>5</v>
      </c>
      <c r="L197" s="7" t="n">
        <f aca="false">IF(ISBLANK(customer_churn_dataset!L197),0,MAX(0,customer_churn_dataset!L197))</f>
        <v>2</v>
      </c>
      <c r="M197" s="7" t="n">
        <f aca="false">IF(ISBLANK(customer_churn_dataset!M197),0,customer_churn_dataset!M197)</f>
        <v>1</v>
      </c>
      <c r="N197" s="7" t="n">
        <f aca="false">IF(ISBLANK(customer_churn_dataset!N197),0,MAX(0,customer_churn_dataset!N197))</f>
        <v>225.28</v>
      </c>
      <c r="O197" s="7" t="n">
        <f aca="false">IF(ISBLANK(customer_churn_dataset!O197),0,customer_churn_dataset!O197)</f>
        <v>0</v>
      </c>
      <c r="P197" s="7" t="str">
        <f aca="false">IF(COUNTIF(customer_churn_dataset!$A$2:$A$1501,customer_churn_dataset!A197)&gt;1,"Duplicate","Unique")</f>
        <v>Unique</v>
      </c>
    </row>
    <row r="198" customFormat="false" ht="14.15" hidden="false" customHeight="true" outlineLevel="0" collapsed="false">
      <c r="A198" s="7" t="str">
        <f aca="false">TRIM(customer_churn_dataset!A198)</f>
        <v>CUST101435</v>
      </c>
      <c r="B198" s="7" t="str">
        <f aca="false">PROPER(TRIM(customer_churn_dataset!B198))</f>
        <v>Basic</v>
      </c>
      <c r="C198" s="7" t="str">
        <f aca="false">PROPER(TRIM(customer_churn_dataset!C198))</f>
        <v>Month-To-Month</v>
      </c>
      <c r="D198" s="7" t="n">
        <f aca="false">IF(ISBLANK(customer_churn_dataset!D198),ROUND(MEDIAN(customer_churn_dataset!D$2:D$1501),2),IF(customer_churn_dataset!D198&lt;0,ABS(customer_churn_dataset!D198),customer_churn_dataset!D198))</f>
        <v>7.74</v>
      </c>
      <c r="E198" s="7" t="n">
        <f aca="false">IF(ISBLANK(customer_churn_dataset!E198),0,MAX(0,customer_churn_dataset!E198))</f>
        <v>12</v>
      </c>
      <c r="F198" s="8" t="n">
        <f aca="false">IF(ISBLANK(customer_churn_dataset!F198),"",customer_churn_dataset!F198)</f>
        <v>44096</v>
      </c>
      <c r="G198" s="7" t="str">
        <f aca="false">PROPER(TRIM(customer_churn_dataset!G198))</f>
        <v>Credit Card</v>
      </c>
      <c r="H198" s="7" t="n">
        <f aca="false">IF(ISBLANK(customer_churn_dataset!H198),0,customer_churn_dataset!H198)</f>
        <v>1</v>
      </c>
      <c r="I198" s="7" t="n">
        <f aca="false">IF(ISBLANK(customer_churn_dataset!I198),ROUND(MEDIAN(customer_churn_dataset!I$2:I$1501),1),MIN(100,MAX(0,customer_churn_dataset!I198)))</f>
        <v>46.6</v>
      </c>
      <c r="J198" s="7" t="n">
        <f aca="false">IF(ISBLANK(customer_churn_dataset!J198),0,MAX(0,customer_churn_dataset!J198))</f>
        <v>12</v>
      </c>
      <c r="K198" s="7" t="n">
        <f aca="false">IF(ISBLANK(customer_churn_dataset!K198),0,MIN(10,MAX(0,customer_churn_dataset!K198)))</f>
        <v>3</v>
      </c>
      <c r="L198" s="7" t="n">
        <f aca="false">IF(ISBLANK(customer_churn_dataset!L198),0,MAX(0,customer_churn_dataset!L198))</f>
        <v>0</v>
      </c>
      <c r="M198" s="7" t="n">
        <f aca="false">IF(ISBLANK(customer_churn_dataset!M198),0,customer_churn_dataset!M198)</f>
        <v>0</v>
      </c>
      <c r="N198" s="7" t="n">
        <f aca="false">IF(ISBLANK(customer_churn_dataset!N198),0,MAX(0,customer_churn_dataset!N198))</f>
        <v>92.88</v>
      </c>
      <c r="O198" s="7" t="n">
        <f aca="false">IF(ISBLANK(customer_churn_dataset!O198),0,customer_churn_dataset!O198)</f>
        <v>0</v>
      </c>
      <c r="P198" s="7" t="str">
        <f aca="false">IF(COUNTIF(customer_churn_dataset!$A$2:$A$1501,customer_churn_dataset!A198)&gt;1,"Duplicate","Unique")</f>
        <v>Unique</v>
      </c>
    </row>
    <row r="199" customFormat="false" ht="14.15" hidden="false" customHeight="true" outlineLevel="0" collapsed="false">
      <c r="A199" s="7" t="str">
        <f aca="false">TRIM(customer_churn_dataset!A199)</f>
        <v>CUST100063</v>
      </c>
      <c r="B199" s="7" t="str">
        <f aca="false">PROPER(TRIM(customer_churn_dataset!B199))</f>
        <v>Basic</v>
      </c>
      <c r="C199" s="7" t="str">
        <f aca="false">PROPER(TRIM(customer_churn_dataset!C199))</f>
        <v>One Year</v>
      </c>
      <c r="D199" s="7" t="n">
        <f aca="false">IF(ISBLANK(customer_churn_dataset!D199),ROUND(MEDIAN(customer_churn_dataset!D$2:D$1501),2),IF(customer_churn_dataset!D199&lt;0,ABS(customer_churn_dataset!D199),customer_churn_dataset!D199))</f>
        <v>10.4</v>
      </c>
      <c r="E199" s="7" t="n">
        <f aca="false">IF(ISBLANK(customer_churn_dataset!E199),0,MAX(0,customer_churn_dataset!E199))</f>
        <v>55</v>
      </c>
      <c r="F199" s="8" t="n">
        <f aca="false">IF(ISBLANK(customer_churn_dataset!F199),"",customer_churn_dataset!F199)</f>
        <v>44100</v>
      </c>
      <c r="G199" s="7" t="str">
        <f aca="false">PROPER(TRIM(customer_churn_dataset!G199))</f>
        <v>Paypal</v>
      </c>
      <c r="H199" s="7" t="n">
        <f aca="false">IF(ISBLANK(customer_churn_dataset!H199),0,customer_churn_dataset!H199)</f>
        <v>1</v>
      </c>
      <c r="I199" s="7" t="n">
        <f aca="false">IF(ISBLANK(customer_churn_dataset!I199),ROUND(MEDIAN(customer_churn_dataset!I$2:I$1501),1),MIN(100,MAX(0,customer_churn_dataset!I199)))</f>
        <v>61.2</v>
      </c>
      <c r="J199" s="7" t="n">
        <f aca="false">IF(ISBLANK(customer_churn_dataset!J199),0,MAX(0,customer_churn_dataset!J199))</f>
        <v>21</v>
      </c>
      <c r="K199" s="7" t="n">
        <f aca="false">IF(ISBLANK(customer_churn_dataset!K199),0,MIN(10,MAX(0,customer_churn_dataset!K199)))</f>
        <v>5</v>
      </c>
      <c r="L199" s="7" t="n">
        <f aca="false">IF(ISBLANK(customer_churn_dataset!L199),0,MAX(0,customer_churn_dataset!L199))</f>
        <v>2</v>
      </c>
      <c r="M199" s="7" t="n">
        <f aca="false">IF(ISBLANK(customer_churn_dataset!M199),0,customer_churn_dataset!M199)</f>
        <v>1</v>
      </c>
      <c r="N199" s="7" t="n">
        <f aca="false">IF(ISBLANK(customer_churn_dataset!N199),0,MAX(0,customer_churn_dataset!N199))</f>
        <v>572</v>
      </c>
      <c r="O199" s="7" t="n">
        <f aca="false">IF(ISBLANK(customer_churn_dataset!O199),0,customer_churn_dataset!O199)</f>
        <v>0</v>
      </c>
      <c r="P199" s="7" t="str">
        <f aca="false">IF(COUNTIF(customer_churn_dataset!$A$2:$A$1501,customer_churn_dataset!A199)&gt;1,"Duplicate","Unique")</f>
        <v>Unique</v>
      </c>
    </row>
    <row r="200" customFormat="false" ht="14.15" hidden="false" customHeight="true" outlineLevel="0" collapsed="false">
      <c r="A200" s="7" t="str">
        <f aca="false">TRIM(customer_churn_dataset!A200)</f>
        <v>CUST100263</v>
      </c>
      <c r="B200" s="7" t="str">
        <f aca="false">PROPER(TRIM(customer_churn_dataset!B200))</f>
        <v>Standard</v>
      </c>
      <c r="C200" s="7" t="str">
        <f aca="false">PROPER(TRIM(customer_churn_dataset!C200))</f>
        <v>One Year</v>
      </c>
      <c r="D200" s="7" t="n">
        <f aca="false">IF(ISBLANK(customer_churn_dataset!D200),ROUND(MEDIAN(customer_churn_dataset!D$2:D$1501),2),IF(customer_churn_dataset!D200&lt;0,ABS(customer_churn_dataset!D200),customer_churn_dataset!D200))</f>
        <v>19.15</v>
      </c>
      <c r="E200" s="7" t="n">
        <f aca="false">IF(ISBLANK(customer_churn_dataset!E200),0,MAX(0,customer_churn_dataset!E200))</f>
        <v>42</v>
      </c>
      <c r="F200" s="8" t="n">
        <f aca="false">IF(ISBLANK(customer_churn_dataset!F200),"",customer_churn_dataset!F200)</f>
        <v>44104</v>
      </c>
      <c r="G200" s="7" t="str">
        <f aca="false">PROPER(TRIM(customer_churn_dataset!G200))</f>
        <v>Paypal</v>
      </c>
      <c r="H200" s="7" t="n">
        <f aca="false">IF(ISBLANK(customer_churn_dataset!H200),0,customer_churn_dataset!H200)</f>
        <v>0</v>
      </c>
      <c r="I200" s="7" t="n">
        <f aca="false">IF(ISBLANK(customer_churn_dataset!I200),ROUND(MEDIAN(customer_churn_dataset!I$2:I$1501),1),MIN(100,MAX(0,customer_churn_dataset!I200)))</f>
        <v>67</v>
      </c>
      <c r="J200" s="7" t="n">
        <f aca="false">IF(ISBLANK(customer_churn_dataset!J200),0,MAX(0,customer_churn_dataset!J200))</f>
        <v>23</v>
      </c>
      <c r="K200" s="7" t="n">
        <f aca="false">IF(ISBLANK(customer_churn_dataset!K200),0,MIN(10,MAX(0,customer_churn_dataset!K200)))</f>
        <v>7</v>
      </c>
      <c r="L200" s="7" t="n">
        <f aca="false">IF(ISBLANK(customer_churn_dataset!L200),0,MAX(0,customer_churn_dataset!L200))</f>
        <v>1</v>
      </c>
      <c r="M200" s="7" t="n">
        <f aca="false">IF(ISBLANK(customer_churn_dataset!M200),0,customer_churn_dataset!M200)</f>
        <v>0</v>
      </c>
      <c r="N200" s="7" t="n">
        <f aca="false">IF(ISBLANK(customer_churn_dataset!N200),0,MAX(0,customer_churn_dataset!N200))</f>
        <v>804.3</v>
      </c>
      <c r="O200" s="7" t="n">
        <f aca="false">IF(ISBLANK(customer_churn_dataset!O200),0,customer_churn_dataset!O200)</f>
        <v>0</v>
      </c>
      <c r="P200" s="7" t="str">
        <f aca="false">IF(COUNTIF(customer_churn_dataset!$A$2:$A$1501,customer_churn_dataset!A200)&gt;1,"Duplicate","Unique")</f>
        <v>Unique</v>
      </c>
    </row>
    <row r="201" customFormat="false" ht="14.15" hidden="false" customHeight="true" outlineLevel="0" collapsed="false">
      <c r="A201" s="7" t="str">
        <f aca="false">TRIM(customer_churn_dataset!A201)</f>
        <v>CUST100102</v>
      </c>
      <c r="B201" s="7" t="str">
        <f aca="false">PROPER(TRIM(customer_churn_dataset!B201))</f>
        <v>Basic</v>
      </c>
      <c r="C201" s="7" t="str">
        <f aca="false">PROPER(TRIM(customer_churn_dataset!C201))</f>
        <v>One Year</v>
      </c>
      <c r="D201" s="7" t="n">
        <f aca="false">IF(ISBLANK(customer_churn_dataset!D201),ROUND(MEDIAN(customer_churn_dataset!D$2:D$1501),2),IF(customer_churn_dataset!D201&lt;0,ABS(customer_churn_dataset!D201),customer_churn_dataset!D201))</f>
        <v>10.53</v>
      </c>
      <c r="E201" s="7" t="n">
        <f aca="false">IF(ISBLANK(customer_churn_dataset!E201),0,MAX(0,customer_churn_dataset!E201))</f>
        <v>69</v>
      </c>
      <c r="F201" s="8" t="n">
        <f aca="false">IF(ISBLANK(customer_churn_dataset!F201),"",customer_churn_dataset!F201)</f>
        <v>44104</v>
      </c>
      <c r="G201" s="7" t="str">
        <f aca="false">PROPER(TRIM(customer_churn_dataset!G201))</f>
        <v>Manual/Invoice</v>
      </c>
      <c r="H201" s="7" t="n">
        <f aca="false">IF(ISBLANK(customer_churn_dataset!H201),0,customer_churn_dataset!H201)</f>
        <v>0</v>
      </c>
      <c r="I201" s="7" t="n">
        <f aca="false">IF(ISBLANK(customer_churn_dataset!I201),ROUND(MEDIAN(customer_churn_dataset!I$2:I$1501),1),MIN(100,MAX(0,customer_churn_dataset!I201)))</f>
        <v>74.2</v>
      </c>
      <c r="J201" s="7" t="n">
        <f aca="false">IF(ISBLANK(customer_churn_dataset!J201),0,MAX(0,customer_churn_dataset!J201))</f>
        <v>19</v>
      </c>
      <c r="K201" s="7" t="n">
        <f aca="false">IF(ISBLANK(customer_churn_dataset!K201),0,MIN(10,MAX(0,customer_churn_dataset!K201)))</f>
        <v>8</v>
      </c>
      <c r="L201" s="7" t="n">
        <f aca="false">IF(ISBLANK(customer_churn_dataset!L201),0,MAX(0,customer_churn_dataset!L201))</f>
        <v>1</v>
      </c>
      <c r="M201" s="7" t="n">
        <f aca="false">IF(ISBLANK(customer_churn_dataset!M201),0,customer_churn_dataset!M201)</f>
        <v>1</v>
      </c>
      <c r="N201" s="7" t="n">
        <f aca="false">IF(ISBLANK(customer_churn_dataset!N201),0,MAX(0,customer_churn_dataset!N201))</f>
        <v>726.57</v>
      </c>
      <c r="O201" s="7" t="n">
        <f aca="false">IF(ISBLANK(customer_churn_dataset!O201),0,customer_churn_dataset!O201)</f>
        <v>0</v>
      </c>
      <c r="P201" s="7" t="str">
        <f aca="false">IF(COUNTIF(customer_churn_dataset!$A$2:$A$1501,customer_churn_dataset!A201)&gt;1,"Duplicate","Unique")</f>
        <v>Unique</v>
      </c>
    </row>
    <row r="202" customFormat="false" ht="14.15" hidden="false" customHeight="true" outlineLevel="0" collapsed="false">
      <c r="A202" s="7" t="str">
        <f aca="false">TRIM(customer_churn_dataset!A202)</f>
        <v>CUST100593</v>
      </c>
      <c r="B202" s="7" t="str">
        <f aca="false">PROPER(TRIM(customer_churn_dataset!B202))</f>
        <v>Basic</v>
      </c>
      <c r="C202" s="7" t="str">
        <f aca="false">PROPER(TRIM(customer_churn_dataset!C202))</f>
        <v>Month-To-Month</v>
      </c>
      <c r="D202" s="7" t="n">
        <f aca="false">IF(ISBLANK(customer_churn_dataset!D202),ROUND(MEDIAN(customer_churn_dataset!D$2:D$1501),2),IF(customer_churn_dataset!D202&lt;0,ABS(customer_churn_dataset!D202),customer_churn_dataset!D202))</f>
        <v>8.16</v>
      </c>
      <c r="E202" s="7" t="n">
        <f aca="false">IF(ISBLANK(customer_churn_dataset!E202),0,MAX(0,customer_churn_dataset!E202))</f>
        <v>68</v>
      </c>
      <c r="F202" s="8" t="n">
        <f aca="false">IF(ISBLANK(customer_churn_dataset!F202),"",customer_churn_dataset!F202)</f>
        <v>44105</v>
      </c>
      <c r="G202" s="7" t="str">
        <f aca="false">PROPER(TRIM(customer_churn_dataset!G202))</f>
        <v>Manual/Invoice</v>
      </c>
      <c r="H202" s="7" t="n">
        <f aca="false">IF(ISBLANK(customer_churn_dataset!H202),0,customer_churn_dataset!H202)</f>
        <v>1</v>
      </c>
      <c r="I202" s="7" t="n">
        <f aca="false">IF(ISBLANK(customer_churn_dataset!I202),ROUND(MEDIAN(customer_churn_dataset!I$2:I$1501),1),MIN(100,MAX(0,customer_churn_dataset!I202)))</f>
        <v>42.9</v>
      </c>
      <c r="J202" s="7" t="n">
        <f aca="false">IF(ISBLANK(customer_churn_dataset!J202),0,MAX(0,customer_churn_dataset!J202))</f>
        <v>22</v>
      </c>
      <c r="K202" s="7" t="n">
        <f aca="false">IF(ISBLANK(customer_churn_dataset!K202),0,MIN(10,MAX(0,customer_churn_dataset!K202)))</f>
        <v>3</v>
      </c>
      <c r="L202" s="7" t="n">
        <f aca="false">IF(ISBLANK(customer_churn_dataset!L202),0,MAX(0,customer_churn_dataset!L202))</f>
        <v>3</v>
      </c>
      <c r="M202" s="7" t="n">
        <f aca="false">IF(ISBLANK(customer_churn_dataset!M202),0,customer_churn_dataset!M202)</f>
        <v>0</v>
      </c>
      <c r="N202" s="7" t="n">
        <f aca="false">IF(ISBLANK(customer_churn_dataset!N202),0,MAX(0,customer_churn_dataset!N202))</f>
        <v>554.88</v>
      </c>
      <c r="O202" s="7" t="n">
        <f aca="false">IF(ISBLANK(customer_churn_dataset!O202),0,customer_churn_dataset!O202)</f>
        <v>0</v>
      </c>
      <c r="P202" s="7" t="str">
        <f aca="false">IF(COUNTIF(customer_churn_dataset!$A$2:$A$1501,customer_churn_dataset!A202)&gt;1,"Duplicate","Unique")</f>
        <v>Unique</v>
      </c>
    </row>
    <row r="203" customFormat="false" ht="14.15" hidden="false" customHeight="true" outlineLevel="0" collapsed="false">
      <c r="A203" s="7" t="str">
        <f aca="false">TRIM(customer_churn_dataset!A203)</f>
        <v>CUST100048</v>
      </c>
      <c r="B203" s="7" t="str">
        <f aca="false">PROPER(TRIM(customer_churn_dataset!B203))</f>
        <v>Standard</v>
      </c>
      <c r="C203" s="7" t="str">
        <f aca="false">PROPER(TRIM(customer_churn_dataset!C203))</f>
        <v>One Year</v>
      </c>
      <c r="D203" s="7" t="n">
        <f aca="false">IF(ISBLANK(customer_churn_dataset!D203),ROUND(MEDIAN(customer_churn_dataset!D$2:D$1501),2),IF(customer_churn_dataset!D203&lt;0,ABS(customer_churn_dataset!D203),customer_churn_dataset!D203))</f>
        <v>18.59</v>
      </c>
      <c r="E203" s="7" t="n">
        <f aca="false">IF(ISBLANK(customer_churn_dataset!E203),0,MAX(0,customer_churn_dataset!E203))</f>
        <v>3</v>
      </c>
      <c r="F203" s="8" t="n">
        <f aca="false">IF(ISBLANK(customer_churn_dataset!F203),"",customer_churn_dataset!F203)</f>
        <v>44108</v>
      </c>
      <c r="G203" s="7" t="str">
        <f aca="false">PROPER(TRIM(customer_churn_dataset!G203))</f>
        <v>Credit Card</v>
      </c>
      <c r="H203" s="7" t="n">
        <f aca="false">IF(ISBLANK(customer_churn_dataset!H203),0,customer_churn_dataset!H203)</f>
        <v>1</v>
      </c>
      <c r="I203" s="7" t="n">
        <f aca="false">IF(ISBLANK(customer_churn_dataset!I203),ROUND(MEDIAN(customer_churn_dataset!I$2:I$1501),1),MIN(100,MAX(0,customer_churn_dataset!I203)))</f>
        <v>21.1</v>
      </c>
      <c r="J203" s="7" t="n">
        <f aca="false">IF(ISBLANK(customer_churn_dataset!J203),0,MAX(0,customer_churn_dataset!J203))</f>
        <v>9</v>
      </c>
      <c r="K203" s="7" t="n">
        <f aca="false">IF(ISBLANK(customer_churn_dataset!K203),0,MIN(10,MAX(0,customer_churn_dataset!K203)))</f>
        <v>4</v>
      </c>
      <c r="L203" s="7" t="n">
        <f aca="false">IF(ISBLANK(customer_churn_dataset!L203),0,MAX(0,customer_churn_dataset!L203))</f>
        <v>4</v>
      </c>
      <c r="M203" s="7" t="n">
        <f aca="false">IF(ISBLANK(customer_churn_dataset!M203),0,customer_churn_dataset!M203)</f>
        <v>0</v>
      </c>
      <c r="N203" s="7" t="n">
        <f aca="false">IF(ISBLANK(customer_churn_dataset!N203),0,MAX(0,customer_churn_dataset!N203))</f>
        <v>55.77</v>
      </c>
      <c r="O203" s="7" t="n">
        <f aca="false">IF(ISBLANK(customer_churn_dataset!O203),0,customer_churn_dataset!O203)</f>
        <v>0</v>
      </c>
      <c r="P203" s="7" t="str">
        <f aca="false">IF(COUNTIF(customer_churn_dataset!$A$2:$A$1501,customer_churn_dataset!A203)&gt;1,"Duplicate","Unique")</f>
        <v>Unique</v>
      </c>
    </row>
    <row r="204" customFormat="false" ht="14.15" hidden="false" customHeight="true" outlineLevel="0" collapsed="false">
      <c r="A204" s="7" t="str">
        <f aca="false">TRIM(customer_churn_dataset!A204)</f>
        <v>CUST101032</v>
      </c>
      <c r="B204" s="7" t="str">
        <f aca="false">PROPER(TRIM(customer_churn_dataset!B204))</f>
        <v>Basic</v>
      </c>
      <c r="C204" s="7" t="str">
        <f aca="false">PROPER(TRIM(customer_churn_dataset!C204))</f>
        <v>Month-To-Month</v>
      </c>
      <c r="D204" s="7" t="n">
        <f aca="false">IF(ISBLANK(customer_churn_dataset!D204),ROUND(MEDIAN(customer_churn_dataset!D$2:D$1501),2),IF(customer_churn_dataset!D204&lt;0,ABS(customer_churn_dataset!D204),customer_churn_dataset!D204))</f>
        <v>12.01</v>
      </c>
      <c r="E204" s="7" t="n">
        <f aca="false">IF(ISBLANK(customer_churn_dataset!E204),0,MAX(0,customer_churn_dataset!E204))</f>
        <v>66</v>
      </c>
      <c r="F204" s="8" t="n">
        <f aca="false">IF(ISBLANK(customer_churn_dataset!F204),"",customer_churn_dataset!F204)</f>
        <v>44109</v>
      </c>
      <c r="G204" s="7" t="str">
        <f aca="false">PROPER(TRIM(customer_churn_dataset!G204))</f>
        <v>Paypal</v>
      </c>
      <c r="H204" s="7" t="n">
        <f aca="false">IF(ISBLANK(customer_churn_dataset!H204),0,customer_churn_dataset!H204)</f>
        <v>1</v>
      </c>
      <c r="I204" s="7" t="n">
        <f aca="false">IF(ISBLANK(customer_churn_dataset!I204),ROUND(MEDIAN(customer_churn_dataset!I$2:I$1501),1),MIN(100,MAX(0,customer_churn_dataset!I204)))</f>
        <v>59.9</v>
      </c>
      <c r="J204" s="7" t="n">
        <f aca="false">IF(ISBLANK(customer_churn_dataset!J204),0,MAX(0,customer_churn_dataset!J204))</f>
        <v>19</v>
      </c>
      <c r="K204" s="7" t="n">
        <f aca="false">IF(ISBLANK(customer_churn_dataset!K204),0,MIN(10,MAX(0,customer_churn_dataset!K204)))</f>
        <v>5</v>
      </c>
      <c r="L204" s="7" t="n">
        <f aca="false">IF(ISBLANK(customer_churn_dataset!L204),0,MAX(0,customer_churn_dataset!L204))</f>
        <v>1</v>
      </c>
      <c r="M204" s="7" t="n">
        <f aca="false">IF(ISBLANK(customer_churn_dataset!M204),0,customer_churn_dataset!M204)</f>
        <v>1</v>
      </c>
      <c r="N204" s="7" t="n">
        <f aca="false">IF(ISBLANK(customer_churn_dataset!N204),0,MAX(0,customer_churn_dataset!N204))</f>
        <v>792.66</v>
      </c>
      <c r="O204" s="7" t="n">
        <f aca="false">IF(ISBLANK(customer_churn_dataset!O204),0,customer_churn_dataset!O204)</f>
        <v>0</v>
      </c>
      <c r="P204" s="7" t="str">
        <f aca="false">IF(COUNTIF(customer_churn_dataset!$A$2:$A$1501,customer_churn_dataset!A204)&gt;1,"Duplicate","Unique")</f>
        <v>Unique</v>
      </c>
    </row>
    <row r="205" customFormat="false" ht="14.15" hidden="false" customHeight="true" outlineLevel="0" collapsed="false">
      <c r="A205" s="7" t="str">
        <f aca="false">TRIM(customer_churn_dataset!A205)</f>
        <v>CUST100640</v>
      </c>
      <c r="B205" s="7" t="str">
        <f aca="false">PROPER(TRIM(customer_churn_dataset!B205))</f>
        <v>Basic</v>
      </c>
      <c r="C205" s="7" t="str">
        <f aca="false">PROPER(TRIM(customer_churn_dataset!C205))</f>
        <v>Month-To-Month</v>
      </c>
      <c r="D205" s="7" t="n">
        <f aca="false">IF(ISBLANK(customer_churn_dataset!D205),ROUND(MEDIAN(customer_churn_dataset!D$2:D$1501),2),IF(customer_churn_dataset!D205&lt;0,ABS(customer_churn_dataset!D205),customer_churn_dataset!D205))</f>
        <v>11.89</v>
      </c>
      <c r="E205" s="7" t="n">
        <f aca="false">IF(ISBLANK(customer_churn_dataset!E205),0,MAX(0,customer_churn_dataset!E205))</f>
        <v>15</v>
      </c>
      <c r="F205" s="8" t="n">
        <f aca="false">IF(ISBLANK(customer_churn_dataset!F205),"",customer_churn_dataset!F205)</f>
        <v>44109</v>
      </c>
      <c r="G205" s="7" t="str">
        <f aca="false">PROPER(TRIM(customer_churn_dataset!G205))</f>
        <v>Paypal</v>
      </c>
      <c r="H205" s="7" t="n">
        <f aca="false">IF(ISBLANK(customer_churn_dataset!H205),0,customer_churn_dataset!H205)</f>
        <v>1</v>
      </c>
      <c r="I205" s="7" t="n">
        <f aca="false">IF(ISBLANK(customer_churn_dataset!I205),ROUND(MEDIAN(customer_churn_dataset!I$2:I$1501),1),MIN(100,MAX(0,customer_churn_dataset!I205)))</f>
        <v>42.3</v>
      </c>
      <c r="J205" s="7" t="n">
        <f aca="false">IF(ISBLANK(customer_churn_dataset!J205),0,MAX(0,customer_churn_dataset!J205))</f>
        <v>13</v>
      </c>
      <c r="K205" s="7" t="n">
        <f aca="false">IF(ISBLANK(customer_churn_dataset!K205),0,MIN(10,MAX(0,customer_churn_dataset!K205)))</f>
        <v>3</v>
      </c>
      <c r="L205" s="7" t="n">
        <f aca="false">IF(ISBLANK(customer_churn_dataset!L205),0,MAX(0,customer_churn_dataset!L205))</f>
        <v>0</v>
      </c>
      <c r="M205" s="7" t="n">
        <f aca="false">IF(ISBLANK(customer_churn_dataset!M205),0,customer_churn_dataset!M205)</f>
        <v>0</v>
      </c>
      <c r="N205" s="7" t="n">
        <f aca="false">IF(ISBLANK(customer_churn_dataset!N205),0,MAX(0,customer_churn_dataset!N205))</f>
        <v>178.35</v>
      </c>
      <c r="O205" s="7" t="n">
        <f aca="false">IF(ISBLANK(customer_churn_dataset!O205),0,customer_churn_dataset!O205)</f>
        <v>1</v>
      </c>
      <c r="P205" s="7" t="str">
        <f aca="false">IF(COUNTIF(customer_churn_dataset!$A$2:$A$1501,customer_churn_dataset!A205)&gt;1,"Duplicate","Unique")</f>
        <v>Unique</v>
      </c>
    </row>
    <row r="206" customFormat="false" ht="14.15" hidden="false" customHeight="true" outlineLevel="0" collapsed="false">
      <c r="A206" s="7" t="str">
        <f aca="false">TRIM(customer_churn_dataset!A206)</f>
        <v>CUST100896</v>
      </c>
      <c r="B206" s="7" t="str">
        <f aca="false">PROPER(TRIM(customer_churn_dataset!B206))</f>
        <v>Basic</v>
      </c>
      <c r="C206" s="7" t="str">
        <f aca="false">PROPER(TRIM(customer_churn_dataset!C206))</f>
        <v>Month-To-Month</v>
      </c>
      <c r="D206" s="7" t="n">
        <f aca="false">IF(ISBLANK(customer_churn_dataset!D206),ROUND(MEDIAN(customer_churn_dataset!D$2:D$1501),2),IF(customer_churn_dataset!D206&lt;0,ABS(customer_churn_dataset!D206),customer_churn_dataset!D206))</f>
        <v>9.51</v>
      </c>
      <c r="E206" s="7" t="n">
        <f aca="false">IF(ISBLANK(customer_churn_dataset!E206),0,MAX(0,customer_churn_dataset!E206))</f>
        <v>62</v>
      </c>
      <c r="F206" s="8" t="n">
        <f aca="false">IF(ISBLANK(customer_churn_dataset!F206),"",customer_churn_dataset!F206)</f>
        <v>44110</v>
      </c>
      <c r="G206" s="7" t="str">
        <f aca="false">PROPER(TRIM(customer_churn_dataset!G206))</f>
        <v>Paypal</v>
      </c>
      <c r="H206" s="7" t="n">
        <f aca="false">IF(ISBLANK(customer_churn_dataset!H206),0,customer_churn_dataset!H206)</f>
        <v>0</v>
      </c>
      <c r="I206" s="7" t="n">
        <f aca="false">IF(ISBLANK(customer_churn_dataset!I206),ROUND(MEDIAN(customer_churn_dataset!I$2:I$1501),1),MIN(100,MAX(0,customer_churn_dataset!I206)))</f>
        <v>100</v>
      </c>
      <c r="J206" s="7" t="n">
        <f aca="false">IF(ISBLANK(customer_churn_dataset!J206),0,MAX(0,customer_churn_dataset!J206))</f>
        <v>28</v>
      </c>
      <c r="K206" s="7" t="n">
        <f aca="false">IF(ISBLANK(customer_churn_dataset!K206),0,MIN(10,MAX(0,customer_churn_dataset!K206)))</f>
        <v>10</v>
      </c>
      <c r="L206" s="7" t="n">
        <f aca="false">IF(ISBLANK(customer_churn_dataset!L206),0,MAX(0,customer_churn_dataset!L206))</f>
        <v>3</v>
      </c>
      <c r="M206" s="7" t="n">
        <f aca="false">IF(ISBLANK(customer_churn_dataset!M206),0,customer_churn_dataset!M206)</f>
        <v>1</v>
      </c>
      <c r="N206" s="7" t="n">
        <f aca="false">IF(ISBLANK(customer_churn_dataset!N206),0,MAX(0,customer_churn_dataset!N206))</f>
        <v>589.62</v>
      </c>
      <c r="O206" s="7" t="n">
        <f aca="false">IF(ISBLANK(customer_churn_dataset!O206),0,customer_churn_dataset!O206)</f>
        <v>0</v>
      </c>
      <c r="P206" s="7" t="str">
        <f aca="false">IF(COUNTIF(customer_churn_dataset!$A$2:$A$1501,customer_churn_dataset!A206)&gt;1,"Duplicate","Unique")</f>
        <v>Unique</v>
      </c>
    </row>
    <row r="207" customFormat="false" ht="14.15" hidden="false" customHeight="true" outlineLevel="0" collapsed="false">
      <c r="A207" s="7" t="str">
        <f aca="false">TRIM(customer_churn_dataset!A207)</f>
        <v>CUST101465</v>
      </c>
      <c r="B207" s="7" t="str">
        <f aca="false">PROPER(TRIM(customer_churn_dataset!B207))</f>
        <v>Basic</v>
      </c>
      <c r="C207" s="7" t="str">
        <f aca="false">PROPER(TRIM(customer_churn_dataset!C207))</f>
        <v>One Year</v>
      </c>
      <c r="D207" s="7" t="n">
        <f aca="false">IF(ISBLANK(customer_churn_dataset!D207),ROUND(MEDIAN(customer_churn_dataset!D$2:D$1501),2),IF(customer_churn_dataset!D207&lt;0,ABS(customer_churn_dataset!D207),customer_churn_dataset!D207))</f>
        <v>9.13</v>
      </c>
      <c r="E207" s="7" t="n">
        <f aca="false">IF(ISBLANK(customer_churn_dataset!E207),0,MAX(0,customer_churn_dataset!E207))</f>
        <v>27</v>
      </c>
      <c r="F207" s="8" t="n">
        <f aca="false">IF(ISBLANK(customer_churn_dataset!F207),"",customer_churn_dataset!F207)</f>
        <v>44111</v>
      </c>
      <c r="G207" s="7" t="str">
        <f aca="false">PROPER(TRIM(customer_churn_dataset!G207))</f>
        <v>Credit Card</v>
      </c>
      <c r="H207" s="7" t="n">
        <f aca="false">IF(ISBLANK(customer_churn_dataset!H207),0,customer_churn_dataset!H207)</f>
        <v>1</v>
      </c>
      <c r="I207" s="7" t="n">
        <f aca="false">IF(ISBLANK(customer_churn_dataset!I207),ROUND(MEDIAN(customer_churn_dataset!I$2:I$1501),1),MIN(100,MAX(0,customer_churn_dataset!I207)))</f>
        <v>67.8</v>
      </c>
      <c r="J207" s="7" t="n">
        <f aca="false">IF(ISBLANK(customer_churn_dataset!J207),0,MAX(0,customer_churn_dataset!J207))</f>
        <v>20</v>
      </c>
      <c r="K207" s="7" t="n">
        <f aca="false">IF(ISBLANK(customer_churn_dataset!K207),0,MIN(10,MAX(0,customer_churn_dataset!K207)))</f>
        <v>7</v>
      </c>
      <c r="L207" s="7" t="n">
        <f aca="false">IF(ISBLANK(customer_churn_dataset!L207),0,MAX(0,customer_churn_dataset!L207))</f>
        <v>3</v>
      </c>
      <c r="M207" s="7" t="n">
        <f aca="false">IF(ISBLANK(customer_churn_dataset!M207),0,customer_churn_dataset!M207)</f>
        <v>0</v>
      </c>
      <c r="N207" s="7" t="n">
        <f aca="false">IF(ISBLANK(customer_churn_dataset!N207),0,MAX(0,customer_churn_dataset!N207))</f>
        <v>246.51</v>
      </c>
      <c r="O207" s="7" t="n">
        <f aca="false">IF(ISBLANK(customer_churn_dataset!O207),0,customer_churn_dataset!O207)</f>
        <v>0</v>
      </c>
      <c r="P207" s="7" t="str">
        <f aca="false">IF(COUNTIF(customer_churn_dataset!$A$2:$A$1501,customer_churn_dataset!A207)&gt;1,"Duplicate","Unique")</f>
        <v>Unique</v>
      </c>
    </row>
    <row r="208" customFormat="false" ht="14.15" hidden="false" customHeight="true" outlineLevel="0" collapsed="false">
      <c r="A208" s="7" t="str">
        <f aca="false">TRIM(customer_churn_dataset!A208)</f>
        <v>CUST100892</v>
      </c>
      <c r="B208" s="7" t="str">
        <f aca="false">PROPER(TRIM(customer_churn_dataset!B208))</f>
        <v>Premium</v>
      </c>
      <c r="C208" s="7" t="str">
        <f aca="false">PROPER(TRIM(customer_churn_dataset!C208))</f>
        <v>Month-To-Month</v>
      </c>
      <c r="D208" s="7" t="n">
        <f aca="false">IF(ISBLANK(customer_churn_dataset!D208),ROUND(MEDIAN(customer_churn_dataset!D$2:D$1501),2),IF(customer_churn_dataset!D208&lt;0,ABS(customer_churn_dataset!D208),customer_churn_dataset!D208))</f>
        <v>39.33</v>
      </c>
      <c r="E208" s="7" t="n">
        <f aca="false">IF(ISBLANK(customer_churn_dataset!E208),0,MAX(0,customer_churn_dataset!E208))</f>
        <v>12</v>
      </c>
      <c r="F208" s="8" t="n">
        <f aca="false">IF(ISBLANK(customer_churn_dataset!F208),"",customer_churn_dataset!F208)</f>
        <v>44116</v>
      </c>
      <c r="G208" s="7" t="str">
        <f aca="false">PROPER(TRIM(customer_churn_dataset!G208))</f>
        <v>Bank Transfer</v>
      </c>
      <c r="H208" s="7" t="n">
        <f aca="false">IF(ISBLANK(customer_churn_dataset!H208),0,customer_churn_dataset!H208)</f>
        <v>0</v>
      </c>
      <c r="I208" s="7" t="n">
        <f aca="false">IF(ISBLANK(customer_churn_dataset!I208),ROUND(MEDIAN(customer_churn_dataset!I$2:I$1501),1),MIN(100,MAX(0,customer_churn_dataset!I208)))</f>
        <v>25.8</v>
      </c>
      <c r="J208" s="7" t="n">
        <f aca="false">IF(ISBLANK(customer_churn_dataset!J208),0,MAX(0,customer_churn_dataset!J208))</f>
        <v>15</v>
      </c>
      <c r="K208" s="7" t="n">
        <f aca="false">IF(ISBLANK(customer_churn_dataset!K208),0,MIN(10,MAX(0,customer_churn_dataset!K208)))</f>
        <v>0</v>
      </c>
      <c r="L208" s="7" t="n">
        <f aca="false">IF(ISBLANK(customer_churn_dataset!L208),0,MAX(0,customer_churn_dataset!L208))</f>
        <v>2</v>
      </c>
      <c r="M208" s="7" t="n">
        <f aca="false">IF(ISBLANK(customer_churn_dataset!M208),0,customer_churn_dataset!M208)</f>
        <v>1</v>
      </c>
      <c r="N208" s="7" t="n">
        <f aca="false">IF(ISBLANK(customer_churn_dataset!N208),0,MAX(0,customer_churn_dataset!N208))</f>
        <v>471.96</v>
      </c>
      <c r="O208" s="7" t="n">
        <f aca="false">IF(ISBLANK(customer_churn_dataset!O208),0,customer_churn_dataset!O208)</f>
        <v>0</v>
      </c>
      <c r="P208" s="7" t="str">
        <f aca="false">IF(COUNTIF(customer_churn_dataset!$A$2:$A$1501,customer_churn_dataset!A208)&gt;1,"Duplicate","Unique")</f>
        <v>Unique</v>
      </c>
    </row>
    <row r="209" customFormat="false" ht="14.15" hidden="false" customHeight="true" outlineLevel="0" collapsed="false">
      <c r="A209" s="7" t="str">
        <f aca="false">TRIM(customer_churn_dataset!A209)</f>
        <v>CUST101332</v>
      </c>
      <c r="B209" s="7" t="str">
        <f aca="false">PROPER(TRIM(customer_churn_dataset!B209))</f>
        <v>Basic</v>
      </c>
      <c r="C209" s="7" t="str">
        <f aca="false">PROPER(TRIM(customer_churn_dataset!C209))</f>
        <v>Month-To-Month</v>
      </c>
      <c r="D209" s="7" t="n">
        <f aca="false">IF(ISBLANK(customer_churn_dataset!D209),ROUND(MEDIAN(customer_churn_dataset!D$2:D$1501),2),IF(customer_churn_dataset!D209&lt;0,ABS(customer_churn_dataset!D209),customer_churn_dataset!D209))</f>
        <v>9.5</v>
      </c>
      <c r="E209" s="7" t="n">
        <f aca="false">IF(ISBLANK(customer_churn_dataset!E209),0,MAX(0,customer_churn_dataset!E209))</f>
        <v>5</v>
      </c>
      <c r="F209" s="8" t="n">
        <f aca="false">IF(ISBLANK(customer_churn_dataset!F209),"",customer_churn_dataset!F209)</f>
        <v>44118</v>
      </c>
      <c r="G209" s="7" t="str">
        <f aca="false">PROPER(TRIM(customer_churn_dataset!G209))</f>
        <v>Credit Card</v>
      </c>
      <c r="H209" s="7" t="n">
        <f aca="false">IF(ISBLANK(customer_churn_dataset!H209),0,customer_churn_dataset!H209)</f>
        <v>1</v>
      </c>
      <c r="I209" s="7" t="n">
        <f aca="false">IF(ISBLANK(customer_churn_dataset!I209),ROUND(MEDIAN(customer_churn_dataset!I$2:I$1501),1),MIN(100,MAX(0,customer_churn_dataset!I209)))</f>
        <v>56.8</v>
      </c>
      <c r="J209" s="7" t="n">
        <f aca="false">IF(ISBLANK(customer_churn_dataset!J209),0,MAX(0,customer_churn_dataset!J209))</f>
        <v>19</v>
      </c>
      <c r="K209" s="7" t="n">
        <f aca="false">IF(ISBLANK(customer_churn_dataset!K209),0,MIN(10,MAX(0,customer_churn_dataset!K209)))</f>
        <v>5</v>
      </c>
      <c r="L209" s="7" t="n">
        <f aca="false">IF(ISBLANK(customer_churn_dataset!L209),0,MAX(0,customer_churn_dataset!L209))</f>
        <v>0</v>
      </c>
      <c r="M209" s="7" t="n">
        <f aca="false">IF(ISBLANK(customer_churn_dataset!M209),0,customer_churn_dataset!M209)</f>
        <v>0</v>
      </c>
      <c r="N209" s="7" t="n">
        <f aca="false">IF(ISBLANK(customer_churn_dataset!N209),0,MAX(0,customer_churn_dataset!N209))</f>
        <v>47.5</v>
      </c>
      <c r="O209" s="7" t="n">
        <f aca="false">IF(ISBLANK(customer_churn_dataset!O209),0,customer_churn_dataset!O209)</f>
        <v>0</v>
      </c>
      <c r="P209" s="7" t="str">
        <f aca="false">IF(COUNTIF(customer_churn_dataset!$A$2:$A$1501,customer_churn_dataset!A209)&gt;1,"Duplicate","Unique")</f>
        <v>Unique</v>
      </c>
    </row>
    <row r="210" customFormat="false" ht="14.15" hidden="false" customHeight="true" outlineLevel="0" collapsed="false">
      <c r="A210" s="7" t="str">
        <f aca="false">TRIM(customer_churn_dataset!A210)</f>
        <v>CUST101089</v>
      </c>
      <c r="B210" s="7" t="str">
        <f aca="false">PROPER(TRIM(customer_churn_dataset!B210))</f>
        <v>Basic</v>
      </c>
      <c r="C210" s="7" t="str">
        <f aca="false">PROPER(TRIM(customer_churn_dataset!C210))</f>
        <v>Month-To-Month</v>
      </c>
      <c r="D210" s="7" t="n">
        <f aca="false">IF(ISBLANK(customer_churn_dataset!D210),ROUND(MEDIAN(customer_churn_dataset!D$2:D$1501),2),IF(customer_churn_dataset!D210&lt;0,ABS(customer_churn_dataset!D210),customer_churn_dataset!D210))</f>
        <v>10.91</v>
      </c>
      <c r="E210" s="7" t="n">
        <f aca="false">IF(ISBLANK(customer_churn_dataset!E210),0,MAX(0,customer_churn_dataset!E210))</f>
        <v>21</v>
      </c>
      <c r="F210" s="8" t="n">
        <f aca="false">IF(ISBLANK(customer_churn_dataset!F210),"",customer_churn_dataset!F210)</f>
        <v>44119</v>
      </c>
      <c r="G210" s="7" t="str">
        <f aca="false">PROPER(TRIM(customer_churn_dataset!G210))</f>
        <v>Manual/Invoice</v>
      </c>
      <c r="H210" s="7" t="n">
        <f aca="false">IF(ISBLANK(customer_churn_dataset!H210),0,customer_churn_dataset!H210)</f>
        <v>1</v>
      </c>
      <c r="I210" s="7" t="n">
        <f aca="false">IF(ISBLANK(customer_churn_dataset!I210),ROUND(MEDIAN(customer_churn_dataset!I$2:I$1501),1),MIN(100,MAX(0,customer_churn_dataset!I210)))</f>
        <v>54.7</v>
      </c>
      <c r="J210" s="7" t="n">
        <f aca="false">IF(ISBLANK(customer_churn_dataset!J210),0,MAX(0,customer_churn_dataset!J210))</f>
        <v>14</v>
      </c>
      <c r="K210" s="7" t="n">
        <f aca="false">IF(ISBLANK(customer_churn_dataset!K210),0,MIN(10,MAX(0,customer_churn_dataset!K210)))</f>
        <v>4</v>
      </c>
      <c r="L210" s="7" t="n">
        <f aca="false">IF(ISBLANK(customer_churn_dataset!L210),0,MAX(0,customer_churn_dataset!L210))</f>
        <v>1</v>
      </c>
      <c r="M210" s="7" t="n">
        <f aca="false">IF(ISBLANK(customer_churn_dataset!M210),0,customer_churn_dataset!M210)</f>
        <v>1</v>
      </c>
      <c r="N210" s="7" t="n">
        <f aca="false">IF(ISBLANK(customer_churn_dataset!N210),0,MAX(0,customer_churn_dataset!N210))</f>
        <v>229.11</v>
      </c>
      <c r="O210" s="7" t="n">
        <f aca="false">IF(ISBLANK(customer_churn_dataset!O210),0,customer_churn_dataset!O210)</f>
        <v>1</v>
      </c>
      <c r="P210" s="7" t="str">
        <f aca="false">IF(COUNTIF(customer_churn_dataset!$A$2:$A$1501,customer_churn_dataset!A210)&gt;1,"Duplicate","Unique")</f>
        <v>Unique</v>
      </c>
    </row>
    <row r="211" customFormat="false" ht="14.15" hidden="false" customHeight="true" outlineLevel="0" collapsed="false">
      <c r="A211" s="7" t="str">
        <f aca="false">TRIM(customer_churn_dataset!A211)</f>
        <v>CUST100229</v>
      </c>
      <c r="B211" s="7" t="str">
        <f aca="false">PROPER(TRIM(customer_churn_dataset!B211))</f>
        <v>Standard</v>
      </c>
      <c r="C211" s="7" t="str">
        <f aca="false">PROPER(TRIM(customer_churn_dataset!C211))</f>
        <v>One Year</v>
      </c>
      <c r="D211" s="7" t="n">
        <f aca="false">IF(ISBLANK(customer_churn_dataset!D211),ROUND(MEDIAN(customer_churn_dataset!D$2:D$1501),2),IF(customer_churn_dataset!D211&lt;0,ABS(customer_churn_dataset!D211),customer_churn_dataset!D211))</f>
        <v>19.24</v>
      </c>
      <c r="E211" s="7" t="n">
        <f aca="false">IF(ISBLANK(customer_churn_dataset!E211),0,MAX(0,customer_churn_dataset!E211))</f>
        <v>12</v>
      </c>
      <c r="F211" s="8" t="n">
        <f aca="false">IF(ISBLANK(customer_churn_dataset!F211),"",customer_churn_dataset!F211)</f>
        <v>44121</v>
      </c>
      <c r="G211" s="7" t="str">
        <f aca="false">PROPER(TRIM(customer_churn_dataset!G211))</f>
        <v>Credit Card</v>
      </c>
      <c r="H211" s="7" t="n">
        <f aca="false">IF(ISBLANK(customer_churn_dataset!H211),0,customer_churn_dataset!H211)</f>
        <v>1</v>
      </c>
      <c r="I211" s="7" t="n">
        <f aca="false">IF(ISBLANK(customer_churn_dataset!I211),ROUND(MEDIAN(customer_churn_dataset!I$2:I$1501),1),MIN(100,MAX(0,customer_churn_dataset!I211)))</f>
        <v>45.7</v>
      </c>
      <c r="J211" s="7" t="n">
        <f aca="false">IF(ISBLANK(customer_churn_dataset!J211),0,MAX(0,customer_churn_dataset!J211))</f>
        <v>8</v>
      </c>
      <c r="K211" s="7" t="n">
        <f aca="false">IF(ISBLANK(customer_churn_dataset!K211),0,MIN(10,MAX(0,customer_churn_dataset!K211)))</f>
        <v>8</v>
      </c>
      <c r="L211" s="7" t="n">
        <f aca="false">IF(ISBLANK(customer_churn_dataset!L211),0,MAX(0,customer_churn_dataset!L211))</f>
        <v>0</v>
      </c>
      <c r="M211" s="7" t="n">
        <f aca="false">IF(ISBLANK(customer_churn_dataset!M211),0,customer_churn_dataset!M211)</f>
        <v>0</v>
      </c>
      <c r="N211" s="7" t="n">
        <f aca="false">IF(ISBLANK(customer_churn_dataset!N211),0,MAX(0,customer_churn_dataset!N211))</f>
        <v>230.88</v>
      </c>
      <c r="O211" s="7" t="n">
        <f aca="false">IF(ISBLANK(customer_churn_dataset!O211),0,customer_churn_dataset!O211)</f>
        <v>0</v>
      </c>
      <c r="P211" s="7" t="str">
        <f aca="false">IF(COUNTIF(customer_churn_dataset!$A$2:$A$1501,customer_churn_dataset!A211)&gt;1,"Duplicate","Unique")</f>
        <v>Unique</v>
      </c>
    </row>
    <row r="212" customFormat="false" ht="14.15" hidden="false" customHeight="true" outlineLevel="0" collapsed="false">
      <c r="A212" s="7" t="str">
        <f aca="false">TRIM(customer_churn_dataset!A212)</f>
        <v>CUST100004</v>
      </c>
      <c r="B212" s="7" t="str">
        <f aca="false">PROPER(TRIM(customer_churn_dataset!B212))</f>
        <v>Basic</v>
      </c>
      <c r="C212" s="7" t="str">
        <f aca="false">PROPER(TRIM(customer_churn_dataset!C212))</f>
        <v>Month-To-Month</v>
      </c>
      <c r="D212" s="7" t="n">
        <f aca="false">IF(ISBLANK(customer_churn_dataset!D212),ROUND(MEDIAN(customer_churn_dataset!D$2:D$1501),2),IF(customer_churn_dataset!D212&lt;0,ABS(customer_churn_dataset!D212),customer_churn_dataset!D212))</f>
        <v>11.01</v>
      </c>
      <c r="E212" s="7" t="n">
        <f aca="false">IF(ISBLANK(customer_churn_dataset!E212),0,MAX(0,customer_churn_dataset!E212))</f>
        <v>10</v>
      </c>
      <c r="F212" s="8" t="n">
        <f aca="false">IF(ISBLANK(customer_churn_dataset!F212),"",customer_churn_dataset!F212)</f>
        <v>44122</v>
      </c>
      <c r="G212" s="7" t="str">
        <f aca="false">PROPER(TRIM(customer_churn_dataset!G212))</f>
        <v>Paypal</v>
      </c>
      <c r="H212" s="7" t="n">
        <f aca="false">IF(ISBLANK(customer_churn_dataset!H212),0,customer_churn_dataset!H212)</f>
        <v>0</v>
      </c>
      <c r="I212" s="7" t="n">
        <f aca="false">IF(ISBLANK(customer_churn_dataset!I212),ROUND(MEDIAN(customer_churn_dataset!I$2:I$1501),1),MIN(100,MAX(0,customer_churn_dataset!I212)))</f>
        <v>31.8</v>
      </c>
      <c r="J212" s="7" t="n">
        <f aca="false">IF(ISBLANK(customer_churn_dataset!J212),0,MAX(0,customer_churn_dataset!J212))</f>
        <v>6</v>
      </c>
      <c r="K212" s="7" t="n">
        <f aca="false">IF(ISBLANK(customer_churn_dataset!K212),0,MIN(10,MAX(0,customer_churn_dataset!K212)))</f>
        <v>1</v>
      </c>
      <c r="L212" s="7" t="n">
        <f aca="false">IF(ISBLANK(customer_churn_dataset!L212),0,MAX(0,customer_churn_dataset!L212))</f>
        <v>1</v>
      </c>
      <c r="M212" s="7" t="n">
        <f aca="false">IF(ISBLANK(customer_churn_dataset!M212),0,customer_churn_dataset!M212)</f>
        <v>0</v>
      </c>
      <c r="N212" s="7" t="n">
        <f aca="false">IF(ISBLANK(customer_churn_dataset!N212),0,MAX(0,customer_churn_dataset!N212))</f>
        <v>110.1</v>
      </c>
      <c r="O212" s="7" t="n">
        <f aca="false">IF(ISBLANK(customer_churn_dataset!O212),0,customer_churn_dataset!O212)</f>
        <v>0</v>
      </c>
      <c r="P212" s="7" t="str">
        <f aca="false">IF(COUNTIF(customer_churn_dataset!$A$2:$A$1501,customer_churn_dataset!A212)&gt;1,"Duplicate","Unique")</f>
        <v>Unique</v>
      </c>
    </row>
    <row r="213" customFormat="false" ht="14.15" hidden="false" customHeight="true" outlineLevel="0" collapsed="false">
      <c r="A213" s="7" t="str">
        <f aca="false">TRIM(customer_churn_dataset!A213)</f>
        <v>CUST100595</v>
      </c>
      <c r="B213" s="7" t="str">
        <f aca="false">PROPER(TRIM(customer_churn_dataset!B213))</f>
        <v>Standard</v>
      </c>
      <c r="C213" s="7" t="str">
        <f aca="false">PROPER(TRIM(customer_churn_dataset!C213))</f>
        <v>Month-To-Month</v>
      </c>
      <c r="D213" s="7" t="n">
        <f aca="false">IF(ISBLANK(customer_churn_dataset!D213),ROUND(MEDIAN(customer_churn_dataset!D$2:D$1501),2),IF(customer_churn_dataset!D213&lt;0,ABS(customer_churn_dataset!D213),customer_churn_dataset!D213))</f>
        <v>21.36</v>
      </c>
      <c r="E213" s="7" t="n">
        <f aca="false">IF(ISBLANK(customer_churn_dataset!E213),0,MAX(0,customer_churn_dataset!E213))</f>
        <v>6</v>
      </c>
      <c r="F213" s="8" t="n">
        <f aca="false">IF(ISBLANK(customer_churn_dataset!F213),"",customer_churn_dataset!F213)</f>
        <v>44124</v>
      </c>
      <c r="G213" s="7" t="str">
        <f aca="false">PROPER(TRIM(customer_churn_dataset!G213))</f>
        <v>Credit Card</v>
      </c>
      <c r="H213" s="7" t="n">
        <f aca="false">IF(ISBLANK(customer_churn_dataset!H213),0,customer_churn_dataset!H213)</f>
        <v>0</v>
      </c>
      <c r="I213" s="7" t="n">
        <f aca="false">IF(ISBLANK(customer_churn_dataset!I213),ROUND(MEDIAN(customer_churn_dataset!I$2:I$1501),1),MIN(100,MAX(0,customer_churn_dataset!I213)))</f>
        <v>83</v>
      </c>
      <c r="J213" s="7" t="n">
        <f aca="false">IF(ISBLANK(customer_churn_dataset!J213),0,MAX(0,customer_churn_dataset!J213))</f>
        <v>29</v>
      </c>
      <c r="K213" s="7" t="n">
        <f aca="false">IF(ISBLANK(customer_churn_dataset!K213),0,MIN(10,MAX(0,customer_churn_dataset!K213)))</f>
        <v>10</v>
      </c>
      <c r="L213" s="7" t="n">
        <f aca="false">IF(ISBLANK(customer_churn_dataset!L213),0,MAX(0,customer_churn_dataset!L213))</f>
        <v>1</v>
      </c>
      <c r="M213" s="7" t="n">
        <f aca="false">IF(ISBLANK(customer_churn_dataset!M213),0,customer_churn_dataset!M213)</f>
        <v>1</v>
      </c>
      <c r="N213" s="7" t="n">
        <f aca="false">IF(ISBLANK(customer_churn_dataset!N213),0,MAX(0,customer_churn_dataset!N213))</f>
        <v>128.16</v>
      </c>
      <c r="O213" s="7" t="n">
        <f aca="false">IF(ISBLANK(customer_churn_dataset!O213),0,customer_churn_dataset!O213)</f>
        <v>1</v>
      </c>
      <c r="P213" s="7" t="str">
        <f aca="false">IF(COUNTIF(customer_churn_dataset!$A$2:$A$1501,customer_churn_dataset!A213)&gt;1,"Duplicate","Unique")</f>
        <v>Unique</v>
      </c>
    </row>
    <row r="214" customFormat="false" ht="14.15" hidden="false" customHeight="true" outlineLevel="0" collapsed="false">
      <c r="A214" s="7" t="str">
        <f aca="false">TRIM(customer_churn_dataset!A214)</f>
        <v>CUST100690</v>
      </c>
      <c r="B214" s="7" t="str">
        <f aca="false">PROPER(TRIM(customer_churn_dataset!B214))</f>
        <v>Basic</v>
      </c>
      <c r="C214" s="7" t="str">
        <f aca="false">PROPER(TRIM(customer_churn_dataset!C214))</f>
        <v>One Year</v>
      </c>
      <c r="D214" s="7" t="n">
        <f aca="false">IF(ISBLANK(customer_churn_dataset!D214),ROUND(MEDIAN(customer_churn_dataset!D$2:D$1501),2),IF(customer_churn_dataset!D214&lt;0,ABS(customer_churn_dataset!D214),customer_churn_dataset!D214))</f>
        <v>9.34</v>
      </c>
      <c r="E214" s="7" t="n">
        <f aca="false">IF(ISBLANK(customer_churn_dataset!E214),0,MAX(0,customer_churn_dataset!E214))</f>
        <v>2</v>
      </c>
      <c r="F214" s="8" t="n">
        <f aca="false">IF(ISBLANK(customer_churn_dataset!F214),"",customer_churn_dataset!F214)</f>
        <v>44125</v>
      </c>
      <c r="G214" s="7" t="str">
        <f aca="false">PROPER(TRIM(customer_churn_dataset!G214))</f>
        <v>Bank Transfer</v>
      </c>
      <c r="H214" s="7" t="n">
        <f aca="false">IF(ISBLANK(customer_churn_dataset!H214),0,customer_churn_dataset!H214)</f>
        <v>0</v>
      </c>
      <c r="I214" s="7" t="n">
        <f aca="false">IF(ISBLANK(customer_churn_dataset!I214),ROUND(MEDIAN(customer_churn_dataset!I$2:I$1501),1),MIN(100,MAX(0,customer_churn_dataset!I214)))</f>
        <v>75.2</v>
      </c>
      <c r="J214" s="7" t="n">
        <f aca="false">IF(ISBLANK(customer_churn_dataset!J214),0,MAX(0,customer_churn_dataset!J214))</f>
        <v>24</v>
      </c>
      <c r="K214" s="7" t="n">
        <f aca="false">IF(ISBLANK(customer_churn_dataset!K214),0,MIN(10,MAX(0,customer_churn_dataset!K214)))</f>
        <v>9</v>
      </c>
      <c r="L214" s="7" t="n">
        <f aca="false">IF(ISBLANK(customer_churn_dataset!L214),0,MAX(0,customer_churn_dataset!L214))</f>
        <v>1</v>
      </c>
      <c r="M214" s="7" t="n">
        <f aca="false">IF(ISBLANK(customer_churn_dataset!M214),0,customer_churn_dataset!M214)</f>
        <v>1</v>
      </c>
      <c r="N214" s="7" t="n">
        <f aca="false">IF(ISBLANK(customer_churn_dataset!N214),0,MAX(0,customer_churn_dataset!N214))</f>
        <v>18.68</v>
      </c>
      <c r="O214" s="7" t="n">
        <f aca="false">IF(ISBLANK(customer_churn_dataset!O214),0,customer_churn_dataset!O214)</f>
        <v>0</v>
      </c>
      <c r="P214" s="7" t="str">
        <f aca="false">IF(COUNTIF(customer_churn_dataset!$A$2:$A$1501,customer_churn_dataset!A214)&gt;1,"Duplicate","Unique")</f>
        <v>Unique</v>
      </c>
    </row>
    <row r="215" customFormat="false" ht="14.15" hidden="false" customHeight="true" outlineLevel="0" collapsed="false">
      <c r="A215" s="7" t="str">
        <f aca="false">TRIM(customer_churn_dataset!A215)</f>
        <v>CUST100725</v>
      </c>
      <c r="B215" s="7" t="str">
        <f aca="false">PROPER(TRIM(customer_churn_dataset!B215))</f>
        <v>Premium</v>
      </c>
      <c r="C215" s="7" t="str">
        <f aca="false">PROPER(TRIM(customer_churn_dataset!C215))</f>
        <v>Month-To-Month</v>
      </c>
      <c r="D215" s="7" t="n">
        <f aca="false">IF(ISBLANK(customer_churn_dataset!D215),ROUND(MEDIAN(customer_churn_dataset!D$2:D$1501),2),IF(customer_churn_dataset!D215&lt;0,ABS(customer_churn_dataset!D215),customer_churn_dataset!D215))</f>
        <v>40.27</v>
      </c>
      <c r="E215" s="7" t="n">
        <f aca="false">IF(ISBLANK(customer_churn_dataset!E215),0,MAX(0,customer_churn_dataset!E215))</f>
        <v>16</v>
      </c>
      <c r="F215" s="8" t="n">
        <f aca="false">IF(ISBLANK(customer_churn_dataset!F215),"",customer_churn_dataset!F215)</f>
        <v>44125</v>
      </c>
      <c r="G215" s="7" t="str">
        <f aca="false">PROPER(TRIM(customer_churn_dataset!G215))</f>
        <v>Manual/Invoice</v>
      </c>
      <c r="H215" s="7" t="n">
        <f aca="false">IF(ISBLANK(customer_churn_dataset!H215),0,customer_churn_dataset!H215)</f>
        <v>0</v>
      </c>
      <c r="I215" s="7" t="n">
        <f aca="false">IF(ISBLANK(customer_churn_dataset!I215),ROUND(MEDIAN(customer_churn_dataset!I$2:I$1501),1),MIN(100,MAX(0,customer_churn_dataset!I215)))</f>
        <v>28.6</v>
      </c>
      <c r="J215" s="7" t="n">
        <f aca="false">IF(ISBLANK(customer_churn_dataset!J215),0,MAX(0,customer_churn_dataset!J215))</f>
        <v>8</v>
      </c>
      <c r="K215" s="7" t="n">
        <f aca="false">IF(ISBLANK(customer_churn_dataset!K215),0,MIN(10,MAX(0,customer_churn_dataset!K215)))</f>
        <v>2</v>
      </c>
      <c r="L215" s="7" t="n">
        <f aca="false">IF(ISBLANK(customer_churn_dataset!L215),0,MAX(0,customer_churn_dataset!L215))</f>
        <v>2</v>
      </c>
      <c r="M215" s="7" t="n">
        <f aca="false">IF(ISBLANK(customer_churn_dataset!M215),0,customer_churn_dataset!M215)</f>
        <v>0</v>
      </c>
      <c r="N215" s="7" t="n">
        <f aca="false">IF(ISBLANK(customer_churn_dataset!N215),0,MAX(0,customer_churn_dataset!N215))</f>
        <v>644.32</v>
      </c>
      <c r="O215" s="7" t="n">
        <f aca="false">IF(ISBLANK(customer_churn_dataset!O215),0,customer_churn_dataset!O215)</f>
        <v>0</v>
      </c>
      <c r="P215" s="7" t="str">
        <f aca="false">IF(COUNTIF(customer_churn_dataset!$A$2:$A$1501,customer_churn_dataset!A215)&gt;1,"Duplicate","Unique")</f>
        <v>Unique</v>
      </c>
    </row>
    <row r="216" customFormat="false" ht="14.15" hidden="false" customHeight="true" outlineLevel="0" collapsed="false">
      <c r="A216" s="7" t="str">
        <f aca="false">TRIM(customer_churn_dataset!A216)</f>
        <v>CUST100644</v>
      </c>
      <c r="B216" s="7" t="str">
        <f aca="false">PROPER(TRIM(customer_churn_dataset!B216))</f>
        <v>Basic</v>
      </c>
      <c r="C216" s="7" t="str">
        <f aca="false">PROPER(TRIM(customer_churn_dataset!C216))</f>
        <v>Month-To-Month</v>
      </c>
      <c r="D216" s="7" t="n">
        <f aca="false">IF(ISBLANK(customer_churn_dataset!D216),ROUND(MEDIAN(customer_churn_dataset!D$2:D$1501),2),IF(customer_churn_dataset!D216&lt;0,ABS(customer_churn_dataset!D216),customer_churn_dataset!D216))</f>
        <v>8.19</v>
      </c>
      <c r="E216" s="7" t="n">
        <f aca="false">IF(ISBLANK(customer_churn_dataset!E216),0,MAX(0,customer_churn_dataset!E216))</f>
        <v>3</v>
      </c>
      <c r="F216" s="8" t="n">
        <f aca="false">IF(ISBLANK(customer_churn_dataset!F216),"",customer_churn_dataset!F216)</f>
        <v>44125</v>
      </c>
      <c r="G216" s="7" t="str">
        <f aca="false">PROPER(TRIM(customer_churn_dataset!G216))</f>
        <v>Credit Card</v>
      </c>
      <c r="H216" s="7" t="n">
        <f aca="false">IF(ISBLANK(customer_churn_dataset!H216),0,customer_churn_dataset!H216)</f>
        <v>0</v>
      </c>
      <c r="I216" s="7" t="n">
        <f aca="false">IF(ISBLANK(customer_churn_dataset!I216),ROUND(MEDIAN(customer_churn_dataset!I$2:I$1501),1),MIN(100,MAX(0,customer_churn_dataset!I216)))</f>
        <v>100</v>
      </c>
      <c r="J216" s="7" t="n">
        <f aca="false">IF(ISBLANK(customer_churn_dataset!J216),0,MAX(0,customer_churn_dataset!J216))</f>
        <v>22</v>
      </c>
      <c r="K216" s="7" t="n">
        <f aca="false">IF(ISBLANK(customer_churn_dataset!K216),0,MIN(10,MAX(0,customer_churn_dataset!K216)))</f>
        <v>9</v>
      </c>
      <c r="L216" s="7" t="n">
        <f aca="false">IF(ISBLANK(customer_churn_dataset!L216),0,MAX(0,customer_churn_dataset!L216))</f>
        <v>2</v>
      </c>
      <c r="M216" s="7" t="n">
        <f aca="false">IF(ISBLANK(customer_churn_dataset!M216),0,customer_churn_dataset!M216)</f>
        <v>0</v>
      </c>
      <c r="N216" s="7" t="n">
        <f aca="false">IF(ISBLANK(customer_churn_dataset!N216),0,MAX(0,customer_churn_dataset!N216))</f>
        <v>24.57</v>
      </c>
      <c r="O216" s="7" t="n">
        <f aca="false">IF(ISBLANK(customer_churn_dataset!O216),0,customer_churn_dataset!O216)</f>
        <v>0</v>
      </c>
      <c r="P216" s="7" t="str">
        <f aca="false">IF(COUNTIF(customer_churn_dataset!$A$2:$A$1501,customer_churn_dataset!A216)&gt;1,"Duplicate","Unique")</f>
        <v>Unique</v>
      </c>
    </row>
    <row r="217" customFormat="false" ht="14.15" hidden="false" customHeight="true" outlineLevel="0" collapsed="false">
      <c r="A217" s="7" t="str">
        <f aca="false">TRIM(customer_churn_dataset!A217)</f>
        <v>CUST100470</v>
      </c>
      <c r="B217" s="7" t="str">
        <f aca="false">PROPER(TRIM(customer_churn_dataset!B217))</f>
        <v>Basic</v>
      </c>
      <c r="C217" s="7" t="str">
        <f aca="false">PROPER(TRIM(customer_churn_dataset!C217))</f>
        <v>Two Year</v>
      </c>
      <c r="D217" s="7" t="n">
        <f aca="false">IF(ISBLANK(customer_churn_dataset!D217),ROUND(MEDIAN(customer_churn_dataset!D$2:D$1501),2),IF(customer_churn_dataset!D217&lt;0,ABS(customer_churn_dataset!D217),customer_churn_dataset!D217))</f>
        <v>10.47</v>
      </c>
      <c r="E217" s="7" t="n">
        <f aca="false">IF(ISBLANK(customer_churn_dataset!E217),0,MAX(0,customer_churn_dataset!E217))</f>
        <v>8</v>
      </c>
      <c r="F217" s="8" t="n">
        <f aca="false">IF(ISBLANK(customer_churn_dataset!F217),"",customer_churn_dataset!F217)</f>
        <v>44127</v>
      </c>
      <c r="G217" s="7" t="str">
        <f aca="false">PROPER(TRIM(customer_churn_dataset!G217))</f>
        <v>Credit Card</v>
      </c>
      <c r="H217" s="7" t="n">
        <f aca="false">IF(ISBLANK(customer_churn_dataset!H217),0,customer_churn_dataset!H217)</f>
        <v>1</v>
      </c>
      <c r="I217" s="7" t="n">
        <f aca="false">IF(ISBLANK(customer_churn_dataset!I217),ROUND(MEDIAN(customer_churn_dataset!I$2:I$1501),1),MIN(100,MAX(0,customer_churn_dataset!I217)))</f>
        <v>59.8</v>
      </c>
      <c r="J217" s="7" t="n">
        <f aca="false">IF(ISBLANK(customer_churn_dataset!J217),0,MAX(0,customer_churn_dataset!J217))</f>
        <v>16</v>
      </c>
      <c r="K217" s="7" t="n">
        <f aca="false">IF(ISBLANK(customer_churn_dataset!K217),0,MIN(10,MAX(0,customer_churn_dataset!K217)))</f>
        <v>6</v>
      </c>
      <c r="L217" s="7" t="n">
        <f aca="false">IF(ISBLANK(customer_churn_dataset!L217),0,MAX(0,customer_churn_dataset!L217))</f>
        <v>0</v>
      </c>
      <c r="M217" s="7" t="n">
        <f aca="false">IF(ISBLANK(customer_churn_dataset!M217),0,customer_churn_dataset!M217)</f>
        <v>0</v>
      </c>
      <c r="N217" s="7" t="n">
        <f aca="false">IF(ISBLANK(customer_churn_dataset!N217),0,MAX(0,customer_churn_dataset!N217))</f>
        <v>83.76</v>
      </c>
      <c r="O217" s="7" t="n">
        <f aca="false">IF(ISBLANK(customer_churn_dataset!O217),0,customer_churn_dataset!O217)</f>
        <v>0</v>
      </c>
      <c r="P217" s="7" t="str">
        <f aca="false">IF(COUNTIF(customer_churn_dataset!$A$2:$A$1501,customer_churn_dataset!A217)&gt;1,"Duplicate","Unique")</f>
        <v>Unique</v>
      </c>
    </row>
    <row r="218" customFormat="false" ht="14.15" hidden="false" customHeight="true" outlineLevel="0" collapsed="false">
      <c r="A218" s="7" t="str">
        <f aca="false">TRIM(customer_churn_dataset!A218)</f>
        <v>CUST100398</v>
      </c>
      <c r="B218" s="7" t="str">
        <f aca="false">PROPER(TRIM(customer_churn_dataset!B218))</f>
        <v>Standard</v>
      </c>
      <c r="C218" s="7" t="str">
        <f aca="false">PROPER(TRIM(customer_churn_dataset!C218))</f>
        <v>Month-To-Month</v>
      </c>
      <c r="D218" s="7" t="n">
        <f aca="false">IF(ISBLANK(customer_churn_dataset!D218),ROUND(MEDIAN(customer_churn_dataset!D$2:D$1501),2),IF(customer_churn_dataset!D218&lt;0,ABS(customer_churn_dataset!D218),customer_churn_dataset!D218))</f>
        <v>21.48</v>
      </c>
      <c r="E218" s="7" t="n">
        <f aca="false">IF(ISBLANK(customer_churn_dataset!E218),0,MAX(0,customer_churn_dataset!E218))</f>
        <v>72</v>
      </c>
      <c r="F218" s="8" t="n">
        <f aca="false">IF(ISBLANK(customer_churn_dataset!F218),"",customer_churn_dataset!F218)</f>
        <v>44129</v>
      </c>
      <c r="G218" s="7" t="str">
        <f aca="false">PROPER(TRIM(customer_churn_dataset!G218))</f>
        <v>Bank Transfer</v>
      </c>
      <c r="H218" s="7" t="n">
        <f aca="false">IF(ISBLANK(customer_churn_dataset!H218),0,customer_churn_dataset!H218)</f>
        <v>1</v>
      </c>
      <c r="I218" s="7" t="n">
        <f aca="false">IF(ISBLANK(customer_churn_dataset!I218),ROUND(MEDIAN(customer_churn_dataset!I$2:I$1501),1),MIN(100,MAX(0,customer_churn_dataset!I218)))</f>
        <v>19.7</v>
      </c>
      <c r="J218" s="7" t="n">
        <f aca="false">IF(ISBLANK(customer_churn_dataset!J218),0,MAX(0,customer_churn_dataset!J218))</f>
        <v>8</v>
      </c>
      <c r="K218" s="7" t="n">
        <f aca="false">IF(ISBLANK(customer_churn_dataset!K218),0,MIN(10,MAX(0,customer_churn_dataset!K218)))</f>
        <v>3</v>
      </c>
      <c r="L218" s="7" t="n">
        <f aca="false">IF(ISBLANK(customer_churn_dataset!L218),0,MAX(0,customer_churn_dataset!L218))</f>
        <v>5</v>
      </c>
      <c r="M218" s="7" t="n">
        <f aca="false">IF(ISBLANK(customer_churn_dataset!M218),0,customer_churn_dataset!M218)</f>
        <v>0</v>
      </c>
      <c r="N218" s="7" t="n">
        <f aca="false">IF(ISBLANK(customer_churn_dataset!N218),0,MAX(0,customer_churn_dataset!N218))</f>
        <v>1546.56</v>
      </c>
      <c r="O218" s="7" t="n">
        <f aca="false">IF(ISBLANK(customer_churn_dataset!O218),0,customer_churn_dataset!O218)</f>
        <v>0</v>
      </c>
      <c r="P218" s="7" t="str">
        <f aca="false">IF(COUNTIF(customer_churn_dataset!$A$2:$A$1501,customer_churn_dataset!A218)&gt;1,"Duplicate","Unique")</f>
        <v>Unique</v>
      </c>
    </row>
    <row r="219" customFormat="false" ht="14.15" hidden="false" customHeight="true" outlineLevel="0" collapsed="false">
      <c r="A219" s="7" t="str">
        <f aca="false">TRIM(customer_churn_dataset!A219)</f>
        <v>CUST100970</v>
      </c>
      <c r="B219" s="7" t="str">
        <f aca="false">PROPER(TRIM(customer_churn_dataset!B219))</f>
        <v>Standard</v>
      </c>
      <c r="C219" s="7" t="str">
        <f aca="false">PROPER(TRIM(customer_churn_dataset!C219))</f>
        <v>One Year</v>
      </c>
      <c r="D219" s="7" t="n">
        <f aca="false">IF(ISBLANK(customer_churn_dataset!D219),ROUND(MEDIAN(customer_churn_dataset!D$2:D$1501),2),IF(customer_churn_dataset!D219&lt;0,ABS(customer_churn_dataset!D219),customer_churn_dataset!D219))</f>
        <v>20.43</v>
      </c>
      <c r="E219" s="7" t="n">
        <f aca="false">IF(ISBLANK(customer_churn_dataset!E219),0,MAX(0,customer_churn_dataset!E219))</f>
        <v>47</v>
      </c>
      <c r="F219" s="8" t="n">
        <f aca="false">IF(ISBLANK(customer_churn_dataset!F219),"",customer_churn_dataset!F219)</f>
        <v>44132</v>
      </c>
      <c r="G219" s="7" t="str">
        <f aca="false">PROPER(TRIM(customer_churn_dataset!G219))</f>
        <v>Credit Card</v>
      </c>
      <c r="H219" s="7" t="n">
        <f aca="false">IF(ISBLANK(customer_churn_dataset!H219),0,customer_churn_dataset!H219)</f>
        <v>1</v>
      </c>
      <c r="I219" s="7" t="n">
        <f aca="false">IF(ISBLANK(customer_churn_dataset!I219),ROUND(MEDIAN(customer_churn_dataset!I$2:I$1501),1),MIN(100,MAX(0,customer_churn_dataset!I219)))</f>
        <v>45.3</v>
      </c>
      <c r="J219" s="7" t="n">
        <f aca="false">IF(ISBLANK(customer_churn_dataset!J219),0,MAX(0,customer_churn_dataset!J219))</f>
        <v>18</v>
      </c>
      <c r="K219" s="7" t="n">
        <f aca="false">IF(ISBLANK(customer_churn_dataset!K219),0,MIN(10,MAX(0,customer_churn_dataset!K219)))</f>
        <v>7</v>
      </c>
      <c r="L219" s="7" t="n">
        <f aca="false">IF(ISBLANK(customer_churn_dataset!L219),0,MAX(0,customer_churn_dataset!L219))</f>
        <v>0</v>
      </c>
      <c r="M219" s="7" t="n">
        <f aca="false">IF(ISBLANK(customer_churn_dataset!M219),0,customer_churn_dataset!M219)</f>
        <v>0</v>
      </c>
      <c r="N219" s="7" t="n">
        <f aca="false">IF(ISBLANK(customer_churn_dataset!N219),0,MAX(0,customer_churn_dataset!N219))</f>
        <v>960.21</v>
      </c>
      <c r="O219" s="7" t="n">
        <f aca="false">IF(ISBLANK(customer_churn_dataset!O219),0,customer_churn_dataset!O219)</f>
        <v>0</v>
      </c>
      <c r="P219" s="7" t="str">
        <f aca="false">IF(COUNTIF(customer_churn_dataset!$A$2:$A$1501,customer_churn_dataset!A219)&gt;1,"Duplicate","Unique")</f>
        <v>Unique</v>
      </c>
    </row>
    <row r="220" customFormat="false" ht="14.15" hidden="false" customHeight="true" outlineLevel="0" collapsed="false">
      <c r="A220" s="7" t="str">
        <f aca="false">TRIM(customer_churn_dataset!A220)</f>
        <v>CUST100519</v>
      </c>
      <c r="B220" s="7" t="str">
        <f aca="false">PROPER(TRIM(customer_churn_dataset!B220))</f>
        <v>Basic</v>
      </c>
      <c r="C220" s="7" t="str">
        <f aca="false">PROPER(TRIM(customer_churn_dataset!C220))</f>
        <v>Two Year</v>
      </c>
      <c r="D220" s="7" t="n">
        <f aca="false">IF(ISBLANK(customer_churn_dataset!D220),ROUND(MEDIAN(customer_churn_dataset!D$2:D$1501),2),IF(customer_churn_dataset!D220&lt;0,ABS(customer_churn_dataset!D220),customer_churn_dataset!D220))</f>
        <v>9.56</v>
      </c>
      <c r="E220" s="7" t="n">
        <f aca="false">IF(ISBLANK(customer_churn_dataset!E220),0,MAX(0,customer_churn_dataset!E220))</f>
        <v>15</v>
      </c>
      <c r="F220" s="8" t="n">
        <f aca="false">IF(ISBLANK(customer_churn_dataset!F220),"",customer_churn_dataset!F220)</f>
        <v>44135</v>
      </c>
      <c r="G220" s="7" t="str">
        <f aca="false">PROPER(TRIM(customer_churn_dataset!G220))</f>
        <v>Manual/Invoice</v>
      </c>
      <c r="H220" s="7" t="n">
        <f aca="false">IF(ISBLANK(customer_churn_dataset!H220),0,customer_churn_dataset!H220)</f>
        <v>1</v>
      </c>
      <c r="I220" s="7" t="n">
        <f aca="false">IF(ISBLANK(customer_churn_dataset!I220),ROUND(MEDIAN(customer_churn_dataset!I$2:I$1501),1),MIN(100,MAX(0,customer_churn_dataset!I220)))</f>
        <v>72.2</v>
      </c>
      <c r="J220" s="7" t="n">
        <f aca="false">IF(ISBLANK(customer_churn_dataset!J220),0,MAX(0,customer_churn_dataset!J220))</f>
        <v>16</v>
      </c>
      <c r="K220" s="7" t="n">
        <f aca="false">IF(ISBLANK(customer_churn_dataset!K220),0,MIN(10,MAX(0,customer_churn_dataset!K220)))</f>
        <v>6</v>
      </c>
      <c r="L220" s="7" t="n">
        <f aca="false">IF(ISBLANK(customer_churn_dataset!L220),0,MAX(0,customer_churn_dataset!L220))</f>
        <v>1</v>
      </c>
      <c r="M220" s="7" t="n">
        <f aca="false">IF(ISBLANK(customer_churn_dataset!M220),0,customer_churn_dataset!M220)</f>
        <v>0</v>
      </c>
      <c r="N220" s="7" t="n">
        <f aca="false">IF(ISBLANK(customer_churn_dataset!N220),0,MAX(0,customer_churn_dataset!N220))</f>
        <v>143.4</v>
      </c>
      <c r="O220" s="7" t="n">
        <f aca="false">IF(ISBLANK(customer_churn_dataset!O220),0,customer_churn_dataset!O220)</f>
        <v>0</v>
      </c>
      <c r="P220" s="7" t="str">
        <f aca="false">IF(COUNTIF(customer_churn_dataset!$A$2:$A$1501,customer_churn_dataset!A220)&gt;1,"Duplicate","Unique")</f>
        <v>Unique</v>
      </c>
    </row>
    <row r="221" customFormat="false" ht="14.15" hidden="false" customHeight="true" outlineLevel="0" collapsed="false">
      <c r="A221" s="7" t="str">
        <f aca="false">TRIM(customer_churn_dataset!A221)</f>
        <v>CUST100251</v>
      </c>
      <c r="B221" s="7" t="str">
        <f aca="false">PROPER(TRIM(customer_churn_dataset!B221))</f>
        <v>Basic</v>
      </c>
      <c r="C221" s="7" t="str">
        <f aca="false">PROPER(TRIM(customer_churn_dataset!C221))</f>
        <v>One Year</v>
      </c>
      <c r="D221" s="7" t="n">
        <f aca="false">IF(ISBLANK(customer_churn_dataset!D221),ROUND(MEDIAN(customer_churn_dataset!D$2:D$1501),2),IF(customer_churn_dataset!D221&lt;0,ABS(customer_churn_dataset!D221),customer_churn_dataset!D221))</f>
        <v>10.55</v>
      </c>
      <c r="E221" s="7" t="n">
        <f aca="false">IF(ISBLANK(customer_churn_dataset!E221),0,MAX(0,customer_churn_dataset!E221))</f>
        <v>14</v>
      </c>
      <c r="F221" s="8" t="n">
        <f aca="false">IF(ISBLANK(customer_churn_dataset!F221),"",customer_churn_dataset!F221)</f>
        <v>44138</v>
      </c>
      <c r="G221" s="7" t="str">
        <f aca="false">PROPER(TRIM(customer_churn_dataset!G221))</f>
        <v>Credit Card</v>
      </c>
      <c r="H221" s="7" t="n">
        <f aca="false">IF(ISBLANK(customer_churn_dataset!H221),0,customer_churn_dataset!H221)</f>
        <v>1</v>
      </c>
      <c r="I221" s="7" t="n">
        <f aca="false">IF(ISBLANK(customer_churn_dataset!I221),ROUND(MEDIAN(customer_churn_dataset!I$2:I$1501),1),MIN(100,MAX(0,customer_churn_dataset!I221)))</f>
        <v>74.4</v>
      </c>
      <c r="J221" s="7" t="n">
        <f aca="false">IF(ISBLANK(customer_churn_dataset!J221),0,MAX(0,customer_churn_dataset!J221))</f>
        <v>26</v>
      </c>
      <c r="K221" s="7" t="n">
        <f aca="false">IF(ISBLANK(customer_churn_dataset!K221),0,MIN(10,MAX(0,customer_churn_dataset!K221)))</f>
        <v>8</v>
      </c>
      <c r="L221" s="7" t="n">
        <f aca="false">IF(ISBLANK(customer_churn_dataset!L221),0,MAX(0,customer_churn_dataset!L221))</f>
        <v>2</v>
      </c>
      <c r="M221" s="7" t="n">
        <f aca="false">IF(ISBLANK(customer_churn_dataset!M221),0,customer_churn_dataset!M221)</f>
        <v>0</v>
      </c>
      <c r="N221" s="7" t="n">
        <f aca="false">IF(ISBLANK(customer_churn_dataset!N221),0,MAX(0,customer_churn_dataset!N221))</f>
        <v>147.7</v>
      </c>
      <c r="O221" s="7" t="n">
        <f aca="false">IF(ISBLANK(customer_churn_dataset!O221),0,customer_churn_dataset!O221)</f>
        <v>0</v>
      </c>
      <c r="P221" s="7" t="str">
        <f aca="false">IF(COUNTIF(customer_churn_dataset!$A$2:$A$1501,customer_churn_dataset!A221)&gt;1,"Duplicate","Unique")</f>
        <v>Unique</v>
      </c>
    </row>
    <row r="222" customFormat="false" ht="14.15" hidden="false" customHeight="true" outlineLevel="0" collapsed="false">
      <c r="A222" s="7" t="str">
        <f aca="false">TRIM(customer_churn_dataset!A222)</f>
        <v>CUST101345</v>
      </c>
      <c r="B222" s="7" t="str">
        <f aca="false">PROPER(TRIM(customer_churn_dataset!B222))</f>
        <v>Basic</v>
      </c>
      <c r="C222" s="7" t="str">
        <f aca="false">PROPER(TRIM(customer_churn_dataset!C222))</f>
        <v>Month-To-Month</v>
      </c>
      <c r="D222" s="7" t="n">
        <f aca="false">IF(ISBLANK(customer_churn_dataset!D222),ROUND(MEDIAN(customer_churn_dataset!D$2:D$1501),2),IF(customer_churn_dataset!D222&lt;0,ABS(customer_churn_dataset!D222),customer_churn_dataset!D222))</f>
        <v>9.16</v>
      </c>
      <c r="E222" s="7" t="n">
        <f aca="false">IF(ISBLANK(customer_churn_dataset!E222),0,MAX(0,customer_churn_dataset!E222))</f>
        <v>2</v>
      </c>
      <c r="F222" s="8" t="n">
        <f aca="false">IF(ISBLANK(customer_churn_dataset!F222),"",customer_churn_dataset!F222)</f>
        <v>44138</v>
      </c>
      <c r="G222" s="7" t="str">
        <f aca="false">PROPER(TRIM(customer_churn_dataset!G222))</f>
        <v>Credit Card</v>
      </c>
      <c r="H222" s="7" t="n">
        <f aca="false">IF(ISBLANK(customer_churn_dataset!H222),0,customer_churn_dataset!H222)</f>
        <v>1</v>
      </c>
      <c r="I222" s="7" t="n">
        <f aca="false">IF(ISBLANK(customer_churn_dataset!I222),ROUND(MEDIAN(customer_churn_dataset!I$2:I$1501),1),MIN(100,MAX(0,customer_churn_dataset!I222)))</f>
        <v>64.4</v>
      </c>
      <c r="J222" s="7" t="n">
        <f aca="false">IF(ISBLANK(customer_churn_dataset!J222),0,MAX(0,customer_churn_dataset!J222))</f>
        <v>13</v>
      </c>
      <c r="K222" s="7" t="n">
        <f aca="false">IF(ISBLANK(customer_churn_dataset!K222),0,MIN(10,MAX(0,customer_churn_dataset!K222)))</f>
        <v>7</v>
      </c>
      <c r="L222" s="7" t="n">
        <f aca="false">IF(ISBLANK(customer_churn_dataset!L222),0,MAX(0,customer_churn_dataset!L222))</f>
        <v>1</v>
      </c>
      <c r="M222" s="7" t="n">
        <f aca="false">IF(ISBLANK(customer_churn_dataset!M222),0,customer_churn_dataset!M222)</f>
        <v>1</v>
      </c>
      <c r="N222" s="7" t="n">
        <f aca="false">IF(ISBLANK(customer_churn_dataset!N222),0,MAX(0,customer_churn_dataset!N222))</f>
        <v>18.32</v>
      </c>
      <c r="O222" s="7" t="n">
        <f aca="false">IF(ISBLANK(customer_churn_dataset!O222),0,customer_churn_dataset!O222)</f>
        <v>0</v>
      </c>
      <c r="P222" s="7" t="str">
        <f aca="false">IF(COUNTIF(customer_churn_dataset!$A$2:$A$1501,customer_churn_dataset!A222)&gt;1,"Duplicate","Unique")</f>
        <v>Unique</v>
      </c>
    </row>
    <row r="223" customFormat="false" ht="14.15" hidden="false" customHeight="true" outlineLevel="0" collapsed="false">
      <c r="A223" s="7" t="str">
        <f aca="false">TRIM(customer_churn_dataset!A223)</f>
        <v>CUST100821</v>
      </c>
      <c r="B223" s="7" t="str">
        <f aca="false">PROPER(TRIM(customer_churn_dataset!B223))</f>
        <v>Basic</v>
      </c>
      <c r="C223" s="7" t="str">
        <f aca="false">PROPER(TRIM(customer_churn_dataset!C223))</f>
        <v>One Year</v>
      </c>
      <c r="D223" s="7" t="n">
        <f aca="false">IF(ISBLANK(customer_churn_dataset!D223),ROUND(MEDIAN(customer_churn_dataset!D$2:D$1501),2),IF(customer_churn_dataset!D223&lt;0,ABS(customer_churn_dataset!D223),customer_churn_dataset!D223))</f>
        <v>8.61</v>
      </c>
      <c r="E223" s="7" t="n">
        <f aca="false">IF(ISBLANK(customer_churn_dataset!E223),0,MAX(0,customer_churn_dataset!E223))</f>
        <v>53</v>
      </c>
      <c r="F223" s="8" t="n">
        <f aca="false">IF(ISBLANK(customer_churn_dataset!F223),"",customer_churn_dataset!F223)</f>
        <v>44139</v>
      </c>
      <c r="G223" s="7" t="str">
        <f aca="false">PROPER(TRIM(customer_churn_dataset!G223))</f>
        <v>Credit Card</v>
      </c>
      <c r="H223" s="7" t="n">
        <f aca="false">IF(ISBLANK(customer_churn_dataset!H223),0,customer_churn_dataset!H223)</f>
        <v>0</v>
      </c>
      <c r="I223" s="7" t="n">
        <f aca="false">IF(ISBLANK(customer_churn_dataset!I223),ROUND(MEDIAN(customer_churn_dataset!I$2:I$1501),1),MIN(100,MAX(0,customer_churn_dataset!I223)))</f>
        <v>22.5</v>
      </c>
      <c r="J223" s="7" t="n">
        <f aca="false">IF(ISBLANK(customer_churn_dataset!J223),0,MAX(0,customer_churn_dataset!J223))</f>
        <v>8</v>
      </c>
      <c r="K223" s="7" t="n">
        <f aca="false">IF(ISBLANK(customer_churn_dataset!K223),0,MIN(10,MAX(0,customer_churn_dataset!K223)))</f>
        <v>3</v>
      </c>
      <c r="L223" s="7" t="n">
        <f aca="false">IF(ISBLANK(customer_churn_dataset!L223),0,MAX(0,customer_churn_dataset!L223))</f>
        <v>5</v>
      </c>
      <c r="M223" s="7" t="n">
        <f aca="false">IF(ISBLANK(customer_churn_dataset!M223),0,customer_churn_dataset!M223)</f>
        <v>0</v>
      </c>
      <c r="N223" s="7" t="n">
        <f aca="false">IF(ISBLANK(customer_churn_dataset!N223),0,MAX(0,customer_churn_dataset!N223))</f>
        <v>456.33</v>
      </c>
      <c r="O223" s="7" t="n">
        <f aca="false">IF(ISBLANK(customer_churn_dataset!O223),0,customer_churn_dataset!O223)</f>
        <v>0</v>
      </c>
      <c r="P223" s="7" t="str">
        <f aca="false">IF(COUNTIF(customer_churn_dataset!$A$2:$A$1501,customer_churn_dataset!A223)&gt;1,"Duplicate","Unique")</f>
        <v>Unique</v>
      </c>
    </row>
    <row r="224" customFormat="false" ht="14.15" hidden="false" customHeight="true" outlineLevel="0" collapsed="false">
      <c r="A224" s="7" t="str">
        <f aca="false">TRIM(customer_churn_dataset!A224)</f>
        <v>CUST100191</v>
      </c>
      <c r="B224" s="7" t="str">
        <f aca="false">PROPER(TRIM(customer_churn_dataset!B224))</f>
        <v>Premium</v>
      </c>
      <c r="C224" s="7" t="str">
        <f aca="false">PROPER(TRIM(customer_churn_dataset!C224))</f>
        <v>Month-To-Month</v>
      </c>
      <c r="D224" s="7" t="n">
        <f aca="false">IF(ISBLANK(customer_churn_dataset!D224),ROUND(MEDIAN(customer_churn_dataset!D$2:D$1501),2),IF(customer_churn_dataset!D224&lt;0,ABS(customer_churn_dataset!D224),customer_churn_dataset!D224))</f>
        <v>38.19</v>
      </c>
      <c r="E224" s="7" t="n">
        <f aca="false">IF(ISBLANK(customer_churn_dataset!E224),0,MAX(0,customer_churn_dataset!E224))</f>
        <v>7</v>
      </c>
      <c r="F224" s="8" t="n">
        <f aca="false">IF(ISBLANK(customer_churn_dataset!F224),"",customer_churn_dataset!F224)</f>
        <v>44140</v>
      </c>
      <c r="G224" s="7" t="str">
        <f aca="false">PROPER(TRIM(customer_churn_dataset!G224))</f>
        <v>Credit Card</v>
      </c>
      <c r="H224" s="7" t="n">
        <f aca="false">IF(ISBLANK(customer_churn_dataset!H224),0,customer_churn_dataset!H224)</f>
        <v>1</v>
      </c>
      <c r="I224" s="7" t="n">
        <f aca="false">IF(ISBLANK(customer_churn_dataset!I224),ROUND(MEDIAN(customer_churn_dataset!I$2:I$1501),1),MIN(100,MAX(0,customer_churn_dataset!I224)))</f>
        <v>54.9</v>
      </c>
      <c r="J224" s="7" t="n">
        <f aca="false">IF(ISBLANK(customer_churn_dataset!J224),0,MAX(0,customer_churn_dataset!J224))</f>
        <v>21</v>
      </c>
      <c r="K224" s="7" t="n">
        <f aca="false">IF(ISBLANK(customer_churn_dataset!K224),0,MIN(10,MAX(0,customer_churn_dataset!K224)))</f>
        <v>8</v>
      </c>
      <c r="L224" s="7" t="n">
        <f aca="false">IF(ISBLANK(customer_churn_dataset!L224),0,MAX(0,customer_churn_dataset!L224))</f>
        <v>2</v>
      </c>
      <c r="M224" s="7" t="n">
        <f aca="false">IF(ISBLANK(customer_churn_dataset!M224),0,customer_churn_dataset!M224)</f>
        <v>0</v>
      </c>
      <c r="N224" s="7" t="n">
        <f aca="false">IF(ISBLANK(customer_churn_dataset!N224),0,MAX(0,customer_churn_dataset!N224))</f>
        <v>267.33</v>
      </c>
      <c r="O224" s="7" t="n">
        <f aca="false">IF(ISBLANK(customer_churn_dataset!O224),0,customer_churn_dataset!O224)</f>
        <v>1</v>
      </c>
      <c r="P224" s="7" t="str">
        <f aca="false">IF(COUNTIF(customer_churn_dataset!$A$2:$A$1501,customer_churn_dataset!A224)&gt;1,"Duplicate","Unique")</f>
        <v>Unique</v>
      </c>
    </row>
    <row r="225" customFormat="false" ht="14.15" hidden="false" customHeight="true" outlineLevel="0" collapsed="false">
      <c r="A225" s="7" t="str">
        <f aca="false">TRIM(customer_churn_dataset!A225)</f>
        <v>CUST101242</v>
      </c>
      <c r="B225" s="7" t="str">
        <f aca="false">PROPER(TRIM(customer_churn_dataset!B225))</f>
        <v>Standard</v>
      </c>
      <c r="C225" s="7" t="str">
        <f aca="false">PROPER(TRIM(customer_churn_dataset!C225))</f>
        <v>Two Year</v>
      </c>
      <c r="D225" s="7" t="n">
        <f aca="false">IF(ISBLANK(customer_churn_dataset!D225),ROUND(MEDIAN(customer_churn_dataset!D$2:D$1501),2),IF(customer_churn_dataset!D225&lt;0,ABS(customer_churn_dataset!D225),customer_churn_dataset!D225))</f>
        <v>19.44</v>
      </c>
      <c r="E225" s="7" t="n">
        <f aca="false">IF(ISBLANK(customer_churn_dataset!E225),0,MAX(0,customer_churn_dataset!E225))</f>
        <v>4</v>
      </c>
      <c r="F225" s="8" t="n">
        <f aca="false">IF(ISBLANK(customer_churn_dataset!F225),"",customer_churn_dataset!F225)</f>
        <v>44143</v>
      </c>
      <c r="G225" s="7" t="str">
        <f aca="false">PROPER(TRIM(customer_churn_dataset!G225))</f>
        <v>Credit Card</v>
      </c>
      <c r="H225" s="7" t="n">
        <f aca="false">IF(ISBLANK(customer_churn_dataset!H225),0,customer_churn_dataset!H225)</f>
        <v>1</v>
      </c>
      <c r="I225" s="7" t="n">
        <f aca="false">IF(ISBLANK(customer_churn_dataset!I225),ROUND(MEDIAN(customer_churn_dataset!I$2:I$1501),1),MIN(100,MAX(0,customer_churn_dataset!I225)))</f>
        <v>56.8</v>
      </c>
      <c r="J225" s="7" t="n">
        <f aca="false">IF(ISBLANK(customer_churn_dataset!J225),0,MAX(0,customer_churn_dataset!J225))</f>
        <v>16</v>
      </c>
      <c r="K225" s="7" t="n">
        <f aca="false">IF(ISBLANK(customer_churn_dataset!K225),0,MIN(10,MAX(0,customer_churn_dataset!K225)))</f>
        <v>6</v>
      </c>
      <c r="L225" s="7" t="n">
        <f aca="false">IF(ISBLANK(customer_churn_dataset!L225),0,MAX(0,customer_churn_dataset!L225))</f>
        <v>2</v>
      </c>
      <c r="M225" s="7" t="n">
        <f aca="false">IF(ISBLANK(customer_churn_dataset!M225),0,customer_churn_dataset!M225)</f>
        <v>0</v>
      </c>
      <c r="N225" s="7" t="n">
        <f aca="false">IF(ISBLANK(customer_churn_dataset!N225),0,MAX(0,customer_churn_dataset!N225))</f>
        <v>77.76</v>
      </c>
      <c r="O225" s="7" t="n">
        <f aca="false">IF(ISBLANK(customer_churn_dataset!O225),0,customer_churn_dataset!O225)</f>
        <v>0</v>
      </c>
      <c r="P225" s="7" t="str">
        <f aca="false">IF(COUNTIF(customer_churn_dataset!$A$2:$A$1501,customer_churn_dataset!A225)&gt;1,"Duplicate","Unique")</f>
        <v>Unique</v>
      </c>
    </row>
    <row r="226" customFormat="false" ht="14.15" hidden="false" customHeight="true" outlineLevel="0" collapsed="false">
      <c r="A226" s="7" t="str">
        <f aca="false">TRIM(customer_churn_dataset!A226)</f>
        <v>CUST100550</v>
      </c>
      <c r="B226" s="7" t="str">
        <f aca="false">PROPER(TRIM(customer_churn_dataset!B226))</f>
        <v>Standard</v>
      </c>
      <c r="C226" s="7" t="str">
        <f aca="false">PROPER(TRIM(customer_churn_dataset!C226))</f>
        <v>One Year</v>
      </c>
      <c r="D226" s="7" t="n">
        <f aca="false">IF(ISBLANK(customer_churn_dataset!D226),ROUND(MEDIAN(customer_churn_dataset!D$2:D$1501),2),IF(customer_churn_dataset!D226&lt;0,ABS(customer_churn_dataset!D226),customer_churn_dataset!D226))</f>
        <v>21.1</v>
      </c>
      <c r="E226" s="7" t="n">
        <f aca="false">IF(ISBLANK(customer_churn_dataset!E226),0,MAX(0,customer_churn_dataset!E226))</f>
        <v>9</v>
      </c>
      <c r="F226" s="8" t="n">
        <f aca="false">IF(ISBLANK(customer_churn_dataset!F226),"",customer_churn_dataset!F226)</f>
        <v>44145</v>
      </c>
      <c r="G226" s="7" t="str">
        <f aca="false">PROPER(TRIM(customer_churn_dataset!G226))</f>
        <v>Credit Card</v>
      </c>
      <c r="H226" s="7" t="n">
        <f aca="false">IF(ISBLANK(customer_churn_dataset!H226),0,customer_churn_dataset!H226)</f>
        <v>1</v>
      </c>
      <c r="I226" s="7" t="n">
        <f aca="false">IF(ISBLANK(customer_churn_dataset!I226),ROUND(MEDIAN(customer_churn_dataset!I$2:I$1501),1),MIN(100,MAX(0,customer_churn_dataset!I226)))</f>
        <v>72.9</v>
      </c>
      <c r="J226" s="7" t="n">
        <f aca="false">IF(ISBLANK(customer_churn_dataset!J226),0,MAX(0,customer_churn_dataset!J226))</f>
        <v>20</v>
      </c>
      <c r="K226" s="7" t="n">
        <f aca="false">IF(ISBLANK(customer_churn_dataset!K226),0,MIN(10,MAX(0,customer_churn_dataset!K226)))</f>
        <v>7</v>
      </c>
      <c r="L226" s="7" t="n">
        <f aca="false">IF(ISBLANK(customer_churn_dataset!L226),0,MAX(0,customer_churn_dataset!L226))</f>
        <v>0</v>
      </c>
      <c r="M226" s="7" t="n">
        <f aca="false">IF(ISBLANK(customer_churn_dataset!M226),0,customer_churn_dataset!M226)</f>
        <v>0</v>
      </c>
      <c r="N226" s="7" t="n">
        <f aca="false">IF(ISBLANK(customer_churn_dataset!N226),0,MAX(0,customer_churn_dataset!N226))</f>
        <v>189.9</v>
      </c>
      <c r="O226" s="7" t="n">
        <f aca="false">IF(ISBLANK(customer_churn_dataset!O226),0,customer_churn_dataset!O226)</f>
        <v>0</v>
      </c>
      <c r="P226" s="7" t="str">
        <f aca="false">IF(COUNTIF(customer_churn_dataset!$A$2:$A$1501,customer_churn_dataset!A226)&gt;1,"Duplicate","Unique")</f>
        <v>Unique</v>
      </c>
    </row>
    <row r="227" customFormat="false" ht="14.15" hidden="false" customHeight="true" outlineLevel="0" collapsed="false">
      <c r="A227" s="7" t="str">
        <f aca="false">TRIM(customer_churn_dataset!A227)</f>
        <v>CUST100954</v>
      </c>
      <c r="B227" s="7" t="str">
        <f aca="false">PROPER(TRIM(customer_churn_dataset!B227))</f>
        <v>Basic</v>
      </c>
      <c r="C227" s="7" t="str">
        <f aca="false">PROPER(TRIM(customer_churn_dataset!C227))</f>
        <v>One Year</v>
      </c>
      <c r="D227" s="7" t="n">
        <f aca="false">IF(ISBLANK(customer_churn_dataset!D227),ROUND(MEDIAN(customer_churn_dataset!D$2:D$1501),2),IF(customer_churn_dataset!D227&lt;0,ABS(customer_churn_dataset!D227),customer_churn_dataset!D227))</f>
        <v>10.73</v>
      </c>
      <c r="E227" s="7" t="n">
        <f aca="false">IF(ISBLANK(customer_churn_dataset!E227),0,MAX(0,customer_churn_dataset!E227))</f>
        <v>40</v>
      </c>
      <c r="F227" s="8" t="n">
        <f aca="false">IF(ISBLANK(customer_churn_dataset!F227),"",customer_churn_dataset!F227)</f>
        <v>44147</v>
      </c>
      <c r="G227" s="7" t="str">
        <f aca="false">PROPER(TRIM(customer_churn_dataset!G227))</f>
        <v>Credit Card</v>
      </c>
      <c r="H227" s="7" t="n">
        <f aca="false">IF(ISBLANK(customer_churn_dataset!H227),0,customer_churn_dataset!H227)</f>
        <v>0</v>
      </c>
      <c r="I227" s="7" t="n">
        <f aca="false">IF(ISBLANK(customer_churn_dataset!I227),ROUND(MEDIAN(customer_churn_dataset!I$2:I$1501),1),MIN(100,MAX(0,customer_churn_dataset!I227)))</f>
        <v>47.3</v>
      </c>
      <c r="J227" s="7" t="n">
        <f aca="false">IF(ISBLANK(customer_churn_dataset!J227),0,MAX(0,customer_churn_dataset!J227))</f>
        <v>17</v>
      </c>
      <c r="K227" s="7" t="n">
        <f aca="false">IF(ISBLANK(customer_churn_dataset!K227),0,MIN(10,MAX(0,customer_churn_dataset!K227)))</f>
        <v>5</v>
      </c>
      <c r="L227" s="7" t="n">
        <f aca="false">IF(ISBLANK(customer_churn_dataset!L227),0,MAX(0,customer_churn_dataset!L227))</f>
        <v>2</v>
      </c>
      <c r="M227" s="7" t="n">
        <f aca="false">IF(ISBLANK(customer_churn_dataset!M227),0,customer_churn_dataset!M227)</f>
        <v>1</v>
      </c>
      <c r="N227" s="7" t="n">
        <f aca="false">IF(ISBLANK(customer_churn_dataset!N227),0,MAX(0,customer_churn_dataset!N227))</f>
        <v>429.2</v>
      </c>
      <c r="O227" s="7" t="n">
        <f aca="false">IF(ISBLANK(customer_churn_dataset!O227),0,customer_churn_dataset!O227)</f>
        <v>0</v>
      </c>
      <c r="P227" s="7" t="str">
        <f aca="false">IF(COUNTIF(customer_churn_dataset!$A$2:$A$1501,customer_churn_dataset!A227)&gt;1,"Duplicate","Unique")</f>
        <v>Unique</v>
      </c>
    </row>
    <row r="228" customFormat="false" ht="14.15" hidden="false" customHeight="true" outlineLevel="0" collapsed="false">
      <c r="A228" s="7" t="str">
        <f aca="false">TRIM(customer_churn_dataset!A228)</f>
        <v>CUST100051</v>
      </c>
      <c r="B228" s="7" t="str">
        <f aca="false">PROPER(TRIM(customer_churn_dataset!B228))</f>
        <v>Standard</v>
      </c>
      <c r="C228" s="7" t="str">
        <f aca="false">PROPER(TRIM(customer_churn_dataset!C228))</f>
        <v>One Year</v>
      </c>
      <c r="D228" s="7" t="n">
        <f aca="false">IF(ISBLANK(customer_churn_dataset!D228),ROUND(MEDIAN(customer_churn_dataset!D$2:D$1501),2),IF(customer_churn_dataset!D228&lt;0,ABS(customer_churn_dataset!D228),customer_churn_dataset!D228))</f>
        <v>19.3</v>
      </c>
      <c r="E228" s="7" t="n">
        <f aca="false">IF(ISBLANK(customer_churn_dataset!E228),0,MAX(0,customer_churn_dataset!E228))</f>
        <v>10</v>
      </c>
      <c r="F228" s="8" t="n">
        <f aca="false">IF(ISBLANK(customer_churn_dataset!F228),"",customer_churn_dataset!F228)</f>
        <v>44148</v>
      </c>
      <c r="G228" s="7" t="str">
        <f aca="false">PROPER(TRIM(customer_churn_dataset!G228))</f>
        <v>Manual/Invoice</v>
      </c>
      <c r="H228" s="7" t="n">
        <f aca="false">IF(ISBLANK(customer_churn_dataset!H228),0,customer_churn_dataset!H228)</f>
        <v>1</v>
      </c>
      <c r="I228" s="7" t="n">
        <f aca="false">IF(ISBLANK(customer_churn_dataset!I228),ROUND(MEDIAN(customer_churn_dataset!I$2:I$1501),1),MIN(100,MAX(0,customer_churn_dataset!I228)))</f>
        <v>47.8</v>
      </c>
      <c r="J228" s="7" t="n">
        <f aca="false">IF(ISBLANK(customer_churn_dataset!J228),0,MAX(0,customer_churn_dataset!J228))</f>
        <v>16</v>
      </c>
      <c r="K228" s="7" t="n">
        <f aca="false">IF(ISBLANK(customer_churn_dataset!K228),0,MIN(10,MAX(0,customer_churn_dataset!K228)))</f>
        <v>7</v>
      </c>
      <c r="L228" s="7" t="n">
        <f aca="false">IF(ISBLANK(customer_churn_dataset!L228),0,MAX(0,customer_churn_dataset!L228))</f>
        <v>0</v>
      </c>
      <c r="M228" s="7" t="n">
        <f aca="false">IF(ISBLANK(customer_churn_dataset!M228),0,customer_churn_dataset!M228)</f>
        <v>0</v>
      </c>
      <c r="N228" s="7" t="n">
        <f aca="false">IF(ISBLANK(customer_churn_dataset!N228),0,MAX(0,customer_churn_dataset!N228))</f>
        <v>193</v>
      </c>
      <c r="O228" s="7" t="n">
        <f aca="false">IF(ISBLANK(customer_churn_dataset!O228),0,customer_churn_dataset!O228)</f>
        <v>0</v>
      </c>
      <c r="P228" s="7" t="str">
        <f aca="false">IF(COUNTIF(customer_churn_dataset!$A$2:$A$1501,customer_churn_dataset!A228)&gt;1,"Duplicate","Unique")</f>
        <v>Unique</v>
      </c>
    </row>
    <row r="229" customFormat="false" ht="14.15" hidden="false" customHeight="true" outlineLevel="0" collapsed="false">
      <c r="A229" s="7" t="str">
        <f aca="false">TRIM(customer_churn_dataset!A229)</f>
        <v>CUST100629</v>
      </c>
      <c r="B229" s="7" t="str">
        <f aca="false">PROPER(TRIM(customer_churn_dataset!B229))</f>
        <v>Basic</v>
      </c>
      <c r="C229" s="7" t="str">
        <f aca="false">PROPER(TRIM(customer_churn_dataset!C229))</f>
        <v>Month-To-Month</v>
      </c>
      <c r="D229" s="7" t="n">
        <f aca="false">IF(ISBLANK(customer_churn_dataset!D229),ROUND(MEDIAN(customer_churn_dataset!D$2:D$1501),2),IF(customer_churn_dataset!D229&lt;0,ABS(customer_churn_dataset!D229),customer_churn_dataset!D229))</f>
        <v>11.33</v>
      </c>
      <c r="E229" s="7" t="n">
        <f aca="false">IF(ISBLANK(customer_churn_dataset!E229),0,MAX(0,customer_churn_dataset!E229))</f>
        <v>8</v>
      </c>
      <c r="F229" s="8" t="n">
        <f aca="false">IF(ISBLANK(customer_churn_dataset!F229),"",customer_churn_dataset!F229)</f>
        <v>44148</v>
      </c>
      <c r="G229" s="7" t="str">
        <f aca="false">PROPER(TRIM(customer_churn_dataset!G229))</f>
        <v>Paypal</v>
      </c>
      <c r="H229" s="7" t="n">
        <f aca="false">IF(ISBLANK(customer_churn_dataset!H229),0,customer_churn_dataset!H229)</f>
        <v>1</v>
      </c>
      <c r="I229" s="7" t="n">
        <f aca="false">IF(ISBLANK(customer_churn_dataset!I229),ROUND(MEDIAN(customer_churn_dataset!I$2:I$1501),1),MIN(100,MAX(0,customer_churn_dataset!I229)))</f>
        <v>46.3</v>
      </c>
      <c r="J229" s="7" t="n">
        <f aca="false">IF(ISBLANK(customer_churn_dataset!J229),0,MAX(0,customer_churn_dataset!J229))</f>
        <v>13</v>
      </c>
      <c r="K229" s="7" t="n">
        <f aca="false">IF(ISBLANK(customer_churn_dataset!K229),0,MIN(10,MAX(0,customer_churn_dataset!K229)))</f>
        <v>4</v>
      </c>
      <c r="L229" s="7" t="n">
        <f aca="false">IF(ISBLANK(customer_churn_dataset!L229),0,MAX(0,customer_churn_dataset!L229))</f>
        <v>0</v>
      </c>
      <c r="M229" s="7" t="n">
        <f aca="false">IF(ISBLANK(customer_churn_dataset!M229),0,customer_churn_dataset!M229)</f>
        <v>0</v>
      </c>
      <c r="N229" s="7" t="n">
        <f aca="false">IF(ISBLANK(customer_churn_dataset!N229),0,MAX(0,customer_churn_dataset!N229))</f>
        <v>90.64</v>
      </c>
      <c r="O229" s="7" t="n">
        <f aca="false">IF(ISBLANK(customer_churn_dataset!O229),0,customer_churn_dataset!O229)</f>
        <v>0</v>
      </c>
      <c r="P229" s="7" t="str">
        <f aca="false">IF(COUNTIF(customer_churn_dataset!$A$2:$A$1501,customer_churn_dataset!A229)&gt;1,"Duplicate","Unique")</f>
        <v>Unique</v>
      </c>
    </row>
    <row r="230" customFormat="false" ht="14.15" hidden="false" customHeight="true" outlineLevel="0" collapsed="false">
      <c r="A230" s="7" t="str">
        <f aca="false">TRIM(customer_churn_dataset!A230)</f>
        <v>CUST100321</v>
      </c>
      <c r="B230" s="7" t="str">
        <f aca="false">PROPER(TRIM(customer_churn_dataset!B230))</f>
        <v>Standard</v>
      </c>
      <c r="C230" s="7" t="str">
        <f aca="false">PROPER(TRIM(customer_churn_dataset!C230))</f>
        <v>Month-To-Month</v>
      </c>
      <c r="D230" s="7" t="n">
        <f aca="false">IF(ISBLANK(customer_churn_dataset!D230),ROUND(MEDIAN(customer_churn_dataset!D$2:D$1501),2),IF(customer_churn_dataset!D230&lt;0,ABS(customer_churn_dataset!D230),customer_churn_dataset!D230))</f>
        <v>19.62</v>
      </c>
      <c r="E230" s="7" t="n">
        <f aca="false">IF(ISBLANK(customer_churn_dataset!E230),0,MAX(0,customer_churn_dataset!E230))</f>
        <v>9</v>
      </c>
      <c r="F230" s="8" t="n">
        <f aca="false">IF(ISBLANK(customer_churn_dataset!F230),"",customer_churn_dataset!F230)</f>
        <v>44149</v>
      </c>
      <c r="G230" s="7" t="str">
        <f aca="false">PROPER(TRIM(customer_churn_dataset!G230))</f>
        <v>Credit Card</v>
      </c>
      <c r="H230" s="7" t="n">
        <f aca="false">IF(ISBLANK(customer_churn_dataset!H230),0,customer_churn_dataset!H230)</f>
        <v>0</v>
      </c>
      <c r="I230" s="7" t="n">
        <f aca="false">IF(ISBLANK(customer_churn_dataset!I230),ROUND(MEDIAN(customer_churn_dataset!I$2:I$1501),1),MIN(100,MAX(0,customer_churn_dataset!I230)))</f>
        <v>53.5</v>
      </c>
      <c r="J230" s="7" t="n">
        <f aca="false">IF(ISBLANK(customer_churn_dataset!J230),0,MAX(0,customer_churn_dataset!J230))</f>
        <v>14</v>
      </c>
      <c r="K230" s="7" t="n">
        <f aca="false">IF(ISBLANK(customer_churn_dataset!K230),0,MIN(10,MAX(0,customer_churn_dataset!K230)))</f>
        <v>8</v>
      </c>
      <c r="L230" s="7" t="n">
        <f aca="false">IF(ISBLANK(customer_churn_dataset!L230),0,MAX(0,customer_churn_dataset!L230))</f>
        <v>1</v>
      </c>
      <c r="M230" s="7" t="n">
        <f aca="false">IF(ISBLANK(customer_churn_dataset!M230),0,customer_churn_dataset!M230)</f>
        <v>1</v>
      </c>
      <c r="N230" s="7" t="n">
        <f aca="false">IF(ISBLANK(customer_churn_dataset!N230),0,MAX(0,customer_churn_dataset!N230))</f>
        <v>176.58</v>
      </c>
      <c r="O230" s="7" t="n">
        <f aca="false">IF(ISBLANK(customer_churn_dataset!O230),0,customer_churn_dataset!O230)</f>
        <v>1</v>
      </c>
      <c r="P230" s="7" t="str">
        <f aca="false">IF(COUNTIF(customer_churn_dataset!$A$2:$A$1501,customer_churn_dataset!A230)&gt;1,"Duplicate","Unique")</f>
        <v>Unique</v>
      </c>
    </row>
    <row r="231" customFormat="false" ht="14.15" hidden="false" customHeight="true" outlineLevel="0" collapsed="false">
      <c r="A231" s="7" t="str">
        <f aca="false">TRIM(customer_churn_dataset!A231)</f>
        <v>CUST100649</v>
      </c>
      <c r="B231" s="7" t="str">
        <f aca="false">PROPER(TRIM(customer_churn_dataset!B231))</f>
        <v>Standard</v>
      </c>
      <c r="C231" s="7" t="str">
        <f aca="false">PROPER(TRIM(customer_churn_dataset!C231))</f>
        <v>Month-To-Month</v>
      </c>
      <c r="D231" s="7" t="n">
        <f aca="false">IF(ISBLANK(customer_churn_dataset!D231),ROUND(MEDIAN(customer_churn_dataset!D$2:D$1501),2),IF(customer_churn_dataset!D231&lt;0,ABS(customer_churn_dataset!D231),customer_churn_dataset!D231))</f>
        <v>20.89</v>
      </c>
      <c r="E231" s="7" t="n">
        <f aca="false">IF(ISBLANK(customer_churn_dataset!E231),0,MAX(0,customer_churn_dataset!E231))</f>
        <v>32</v>
      </c>
      <c r="F231" s="8" t="n">
        <f aca="false">IF(ISBLANK(customer_churn_dataset!F231),"",customer_churn_dataset!F231)</f>
        <v>44150</v>
      </c>
      <c r="G231" s="7" t="str">
        <f aca="false">PROPER(TRIM(customer_churn_dataset!G231))</f>
        <v>Bank Transfer</v>
      </c>
      <c r="H231" s="7" t="n">
        <f aca="false">IF(ISBLANK(customer_churn_dataset!H231),0,customer_churn_dataset!H231)</f>
        <v>1</v>
      </c>
      <c r="I231" s="7" t="n">
        <f aca="false">IF(ISBLANK(customer_churn_dataset!I231),ROUND(MEDIAN(customer_churn_dataset!I$2:I$1501),1),MIN(100,MAX(0,customer_churn_dataset!I231)))</f>
        <v>35.1</v>
      </c>
      <c r="J231" s="7" t="n">
        <f aca="false">IF(ISBLANK(customer_churn_dataset!J231),0,MAX(0,customer_churn_dataset!J231))</f>
        <v>16</v>
      </c>
      <c r="K231" s="7" t="n">
        <f aca="false">IF(ISBLANK(customer_churn_dataset!K231),0,MIN(10,MAX(0,customer_churn_dataset!K231)))</f>
        <v>5</v>
      </c>
      <c r="L231" s="7" t="n">
        <f aca="false">IF(ISBLANK(customer_churn_dataset!L231),0,MAX(0,customer_churn_dataset!L231))</f>
        <v>0</v>
      </c>
      <c r="M231" s="7" t="n">
        <f aca="false">IF(ISBLANK(customer_churn_dataset!M231),0,customer_churn_dataset!M231)</f>
        <v>0</v>
      </c>
      <c r="N231" s="7" t="n">
        <f aca="false">IF(ISBLANK(customer_churn_dataset!N231),0,MAX(0,customer_churn_dataset!N231))</f>
        <v>668.48</v>
      </c>
      <c r="O231" s="7" t="n">
        <f aca="false">IF(ISBLANK(customer_churn_dataset!O231),0,customer_churn_dataset!O231)</f>
        <v>0</v>
      </c>
      <c r="P231" s="7" t="str">
        <f aca="false">IF(COUNTIF(customer_churn_dataset!$A$2:$A$1501,customer_churn_dataset!A231)&gt;1,"Duplicate","Unique")</f>
        <v>Unique</v>
      </c>
    </row>
    <row r="232" customFormat="false" ht="14.15" hidden="false" customHeight="true" outlineLevel="0" collapsed="false">
      <c r="A232" s="7" t="str">
        <f aca="false">TRIM(customer_churn_dataset!A232)</f>
        <v>CUST100838</v>
      </c>
      <c r="B232" s="7" t="str">
        <f aca="false">PROPER(TRIM(customer_churn_dataset!B232))</f>
        <v>Standard</v>
      </c>
      <c r="C232" s="7" t="str">
        <f aca="false">PROPER(TRIM(customer_churn_dataset!C232))</f>
        <v>Month-To-Month</v>
      </c>
      <c r="D232" s="7" t="n">
        <f aca="false">IF(ISBLANK(customer_churn_dataset!D232),ROUND(MEDIAN(customer_churn_dataset!D$2:D$1501),2),IF(customer_churn_dataset!D232&lt;0,ABS(customer_churn_dataset!D232),customer_churn_dataset!D232))</f>
        <v>19.83</v>
      </c>
      <c r="E232" s="7" t="n">
        <f aca="false">IF(ISBLANK(customer_churn_dataset!E232),0,MAX(0,customer_churn_dataset!E232))</f>
        <v>54</v>
      </c>
      <c r="F232" s="8" t="n">
        <f aca="false">IF(ISBLANK(customer_churn_dataset!F232),"",customer_churn_dataset!F232)</f>
        <v>44152</v>
      </c>
      <c r="G232" s="7" t="str">
        <f aca="false">PROPER(TRIM(customer_churn_dataset!G232))</f>
        <v>Manual/Invoice</v>
      </c>
      <c r="H232" s="7" t="n">
        <f aca="false">IF(ISBLANK(customer_churn_dataset!H232),0,customer_churn_dataset!H232)</f>
        <v>1</v>
      </c>
      <c r="I232" s="7" t="n">
        <f aca="false">IF(ISBLANK(customer_churn_dataset!I232),ROUND(MEDIAN(customer_churn_dataset!I$2:I$1501),1),MIN(100,MAX(0,customer_churn_dataset!I232)))</f>
        <v>9.3</v>
      </c>
      <c r="J232" s="7" t="n">
        <f aca="false">IF(ISBLANK(customer_churn_dataset!J232),0,MAX(0,customer_churn_dataset!J232))</f>
        <v>4</v>
      </c>
      <c r="K232" s="7" t="n">
        <f aca="false">IF(ISBLANK(customer_churn_dataset!K232),0,MIN(10,MAX(0,customer_churn_dataset!K232)))</f>
        <v>2</v>
      </c>
      <c r="L232" s="7" t="n">
        <f aca="false">IF(ISBLANK(customer_churn_dataset!L232),0,MAX(0,customer_churn_dataset!L232))</f>
        <v>1</v>
      </c>
      <c r="M232" s="7" t="n">
        <f aca="false">IF(ISBLANK(customer_churn_dataset!M232),0,customer_churn_dataset!M232)</f>
        <v>0</v>
      </c>
      <c r="N232" s="7" t="n">
        <f aca="false">IF(ISBLANK(customer_churn_dataset!N232),0,MAX(0,customer_churn_dataset!N232))</f>
        <v>1070.82</v>
      </c>
      <c r="O232" s="7" t="n">
        <f aca="false">IF(ISBLANK(customer_churn_dataset!O232),0,customer_churn_dataset!O232)</f>
        <v>0</v>
      </c>
      <c r="P232" s="7" t="str">
        <f aca="false">IF(COUNTIF(customer_churn_dataset!$A$2:$A$1501,customer_churn_dataset!A232)&gt;1,"Duplicate","Unique")</f>
        <v>Unique</v>
      </c>
    </row>
    <row r="233" customFormat="false" ht="14.15" hidden="false" customHeight="true" outlineLevel="0" collapsed="false">
      <c r="A233" s="7" t="str">
        <f aca="false">TRIM(customer_churn_dataset!A233)</f>
        <v>CUST100465</v>
      </c>
      <c r="B233" s="7" t="str">
        <f aca="false">PROPER(TRIM(customer_churn_dataset!B233))</f>
        <v>Basic</v>
      </c>
      <c r="C233" s="7" t="str">
        <f aca="false">PROPER(TRIM(customer_churn_dataset!C233))</f>
        <v>One Year</v>
      </c>
      <c r="D233" s="7" t="n">
        <f aca="false">IF(ISBLANK(customer_churn_dataset!D233),ROUND(MEDIAN(customer_churn_dataset!D$2:D$1501),2),IF(customer_churn_dataset!D233&lt;0,ABS(customer_churn_dataset!D233),customer_churn_dataset!D233))</f>
        <v>11.07</v>
      </c>
      <c r="E233" s="7" t="n">
        <f aca="false">IF(ISBLANK(customer_churn_dataset!E233),0,MAX(0,customer_churn_dataset!E233))</f>
        <v>8</v>
      </c>
      <c r="F233" s="8" t="n">
        <f aca="false">IF(ISBLANK(customer_churn_dataset!F233),"",customer_churn_dataset!F233)</f>
        <v>44152</v>
      </c>
      <c r="G233" s="7" t="str">
        <f aca="false">PROPER(TRIM(customer_churn_dataset!G233))</f>
        <v>Credit Card</v>
      </c>
      <c r="H233" s="7" t="n">
        <f aca="false">IF(ISBLANK(customer_churn_dataset!H233),0,customer_churn_dataset!H233)</f>
        <v>1</v>
      </c>
      <c r="I233" s="7" t="n">
        <f aca="false">IF(ISBLANK(customer_churn_dataset!I233),ROUND(MEDIAN(customer_churn_dataset!I$2:I$1501),1),MIN(100,MAX(0,customer_churn_dataset!I233)))</f>
        <v>36.5</v>
      </c>
      <c r="J233" s="7" t="n">
        <f aca="false">IF(ISBLANK(customer_churn_dataset!J233),0,MAX(0,customer_churn_dataset!J233))</f>
        <v>23</v>
      </c>
      <c r="K233" s="7" t="n">
        <f aca="false">IF(ISBLANK(customer_churn_dataset!K233),0,MIN(10,MAX(0,customer_churn_dataset!K233)))</f>
        <v>6</v>
      </c>
      <c r="L233" s="7" t="n">
        <f aca="false">IF(ISBLANK(customer_churn_dataset!L233),0,MAX(0,customer_churn_dataset!L233))</f>
        <v>3</v>
      </c>
      <c r="M233" s="7" t="n">
        <f aca="false">IF(ISBLANK(customer_churn_dataset!M233),0,customer_churn_dataset!M233)</f>
        <v>1</v>
      </c>
      <c r="N233" s="7" t="n">
        <f aca="false">IF(ISBLANK(customer_churn_dataset!N233),0,MAX(0,customer_churn_dataset!N233))</f>
        <v>88.56</v>
      </c>
      <c r="O233" s="7" t="n">
        <f aca="false">IF(ISBLANK(customer_churn_dataset!O233),0,customer_churn_dataset!O233)</f>
        <v>0</v>
      </c>
      <c r="P233" s="7" t="str">
        <f aca="false">IF(COUNTIF(customer_churn_dataset!$A$2:$A$1501,customer_churn_dataset!A233)&gt;1,"Duplicate","Unique")</f>
        <v>Unique</v>
      </c>
    </row>
    <row r="234" customFormat="false" ht="14.15" hidden="false" customHeight="true" outlineLevel="0" collapsed="false">
      <c r="A234" s="7" t="str">
        <f aca="false">TRIM(customer_churn_dataset!A234)</f>
        <v>CUST100247</v>
      </c>
      <c r="B234" s="7" t="str">
        <f aca="false">PROPER(TRIM(customer_churn_dataset!B234))</f>
        <v>Premium</v>
      </c>
      <c r="C234" s="7" t="str">
        <f aca="false">PROPER(TRIM(customer_churn_dataset!C234))</f>
        <v>One Year</v>
      </c>
      <c r="D234" s="7" t="n">
        <f aca="false">IF(ISBLANK(customer_churn_dataset!D234),ROUND(MEDIAN(customer_churn_dataset!D$2:D$1501),2),IF(customer_churn_dataset!D234&lt;0,ABS(customer_churn_dataset!D234),customer_churn_dataset!D234))</f>
        <v>41.49</v>
      </c>
      <c r="E234" s="7" t="n">
        <f aca="false">IF(ISBLANK(customer_churn_dataset!E234),0,MAX(0,customer_churn_dataset!E234))</f>
        <v>26</v>
      </c>
      <c r="F234" s="8" t="n">
        <f aca="false">IF(ISBLANK(customer_churn_dataset!F234),"",customer_churn_dataset!F234)</f>
        <v>44152</v>
      </c>
      <c r="G234" s="7" t="str">
        <f aca="false">PROPER(TRIM(customer_churn_dataset!G234))</f>
        <v>Credit Card</v>
      </c>
      <c r="H234" s="7" t="n">
        <f aca="false">IF(ISBLANK(customer_churn_dataset!H234),0,customer_churn_dataset!H234)</f>
        <v>1</v>
      </c>
      <c r="I234" s="7" t="n">
        <f aca="false">IF(ISBLANK(customer_churn_dataset!I234),ROUND(MEDIAN(customer_churn_dataset!I$2:I$1501),1),MIN(100,MAX(0,customer_churn_dataset!I234)))</f>
        <v>45.8</v>
      </c>
      <c r="J234" s="7" t="n">
        <f aca="false">IF(ISBLANK(customer_churn_dataset!J234),0,MAX(0,customer_churn_dataset!J234))</f>
        <v>17</v>
      </c>
      <c r="K234" s="7" t="n">
        <f aca="false">IF(ISBLANK(customer_churn_dataset!K234),0,MIN(10,MAX(0,customer_churn_dataset!K234)))</f>
        <v>4</v>
      </c>
      <c r="L234" s="7" t="n">
        <f aca="false">IF(ISBLANK(customer_churn_dataset!L234),0,MAX(0,customer_churn_dataset!L234))</f>
        <v>2</v>
      </c>
      <c r="M234" s="7" t="n">
        <f aca="false">IF(ISBLANK(customer_churn_dataset!M234),0,customer_churn_dataset!M234)</f>
        <v>0</v>
      </c>
      <c r="N234" s="7" t="n">
        <f aca="false">IF(ISBLANK(customer_churn_dataset!N234),0,MAX(0,customer_churn_dataset!N234))</f>
        <v>1078.74</v>
      </c>
      <c r="O234" s="7" t="n">
        <f aca="false">IF(ISBLANK(customer_churn_dataset!O234),0,customer_churn_dataset!O234)</f>
        <v>0</v>
      </c>
      <c r="P234" s="7" t="str">
        <f aca="false">IF(COUNTIF(customer_churn_dataset!$A$2:$A$1501,customer_churn_dataset!A234)&gt;1,"Duplicate","Unique")</f>
        <v>Unique</v>
      </c>
    </row>
    <row r="235" customFormat="false" ht="14.15" hidden="false" customHeight="true" outlineLevel="0" collapsed="false">
      <c r="A235" s="7" t="str">
        <f aca="false">TRIM(customer_churn_dataset!A235)</f>
        <v>CUST101138</v>
      </c>
      <c r="B235" s="7" t="str">
        <f aca="false">PROPER(TRIM(customer_churn_dataset!B235))</f>
        <v>Standard</v>
      </c>
      <c r="C235" s="7" t="str">
        <f aca="false">PROPER(TRIM(customer_churn_dataset!C235))</f>
        <v>Month-To-Month</v>
      </c>
      <c r="D235" s="7" t="n">
        <f aca="false">IF(ISBLANK(customer_churn_dataset!D235),ROUND(MEDIAN(customer_churn_dataset!D$2:D$1501),2),IF(customer_churn_dataset!D235&lt;0,ABS(customer_churn_dataset!D235),customer_churn_dataset!D235))</f>
        <v>20.64</v>
      </c>
      <c r="E235" s="7" t="n">
        <f aca="false">IF(ISBLANK(customer_churn_dataset!E235),0,MAX(0,customer_churn_dataset!E235))</f>
        <v>3</v>
      </c>
      <c r="F235" s="8" t="n">
        <f aca="false">IF(ISBLANK(customer_churn_dataset!F235),"",customer_churn_dataset!F235)</f>
        <v>44153</v>
      </c>
      <c r="G235" s="7" t="str">
        <f aca="false">PROPER(TRIM(customer_churn_dataset!G235))</f>
        <v>Paypal</v>
      </c>
      <c r="H235" s="7" t="n">
        <f aca="false">IF(ISBLANK(customer_churn_dataset!H235),0,customer_churn_dataset!H235)</f>
        <v>1</v>
      </c>
      <c r="I235" s="7" t="n">
        <f aca="false">IF(ISBLANK(customer_churn_dataset!I235),ROUND(MEDIAN(customer_churn_dataset!I$2:I$1501),1),MIN(100,MAX(0,customer_churn_dataset!I235)))</f>
        <v>55.4</v>
      </c>
      <c r="J235" s="7" t="n">
        <f aca="false">IF(ISBLANK(customer_churn_dataset!J235),0,MAX(0,customer_churn_dataset!J235))</f>
        <v>22</v>
      </c>
      <c r="K235" s="7" t="n">
        <f aca="false">IF(ISBLANK(customer_churn_dataset!K235),0,MIN(10,MAX(0,customer_churn_dataset!K235)))</f>
        <v>5</v>
      </c>
      <c r="L235" s="7" t="n">
        <f aca="false">IF(ISBLANK(customer_churn_dataset!L235),0,MAX(0,customer_churn_dataset!L235))</f>
        <v>0</v>
      </c>
      <c r="M235" s="7" t="n">
        <f aca="false">IF(ISBLANK(customer_churn_dataset!M235),0,customer_churn_dataset!M235)</f>
        <v>0</v>
      </c>
      <c r="N235" s="7" t="n">
        <f aca="false">IF(ISBLANK(customer_churn_dataset!N235),0,MAX(0,customer_churn_dataset!N235))</f>
        <v>61.92</v>
      </c>
      <c r="O235" s="7" t="n">
        <f aca="false">IF(ISBLANK(customer_churn_dataset!O235),0,customer_churn_dataset!O235)</f>
        <v>1</v>
      </c>
      <c r="P235" s="7" t="str">
        <f aca="false">IF(COUNTIF(customer_churn_dataset!$A$2:$A$1501,customer_churn_dataset!A235)&gt;1,"Duplicate","Unique")</f>
        <v>Unique</v>
      </c>
    </row>
    <row r="236" customFormat="false" ht="14.15" hidden="false" customHeight="true" outlineLevel="0" collapsed="false">
      <c r="A236" s="7" t="str">
        <f aca="false">TRIM(customer_churn_dataset!A236)</f>
        <v>CUST100341</v>
      </c>
      <c r="B236" s="7" t="str">
        <f aca="false">PROPER(TRIM(customer_churn_dataset!B236))</f>
        <v>Standard</v>
      </c>
      <c r="C236" s="7" t="str">
        <f aca="false">PROPER(TRIM(customer_churn_dataset!C236))</f>
        <v>Month-To-Month</v>
      </c>
      <c r="D236" s="7" t="n">
        <f aca="false">IF(ISBLANK(customer_churn_dataset!D236),ROUND(MEDIAN(customer_churn_dataset!D$2:D$1501),2),IF(customer_churn_dataset!D236&lt;0,ABS(customer_churn_dataset!D236),customer_churn_dataset!D236))</f>
        <v>19.44</v>
      </c>
      <c r="E236" s="7" t="n">
        <f aca="false">IF(ISBLANK(customer_churn_dataset!E236),0,MAX(0,customer_churn_dataset!E236))</f>
        <v>12</v>
      </c>
      <c r="F236" s="8" t="n">
        <f aca="false">IF(ISBLANK(customer_churn_dataset!F236),"",customer_churn_dataset!F236)</f>
        <v>44154</v>
      </c>
      <c r="G236" s="7" t="str">
        <f aca="false">PROPER(TRIM(customer_churn_dataset!G236))</f>
        <v>Paypal</v>
      </c>
      <c r="H236" s="7" t="n">
        <f aca="false">IF(ISBLANK(customer_churn_dataset!H236),0,customer_churn_dataset!H236)</f>
        <v>1</v>
      </c>
      <c r="I236" s="7" t="n">
        <f aca="false">IF(ISBLANK(customer_churn_dataset!I236),ROUND(MEDIAN(customer_churn_dataset!I$2:I$1501),1),MIN(100,MAX(0,customer_churn_dataset!I236)))</f>
        <v>1.5</v>
      </c>
      <c r="J236" s="7" t="n">
        <f aca="false">IF(ISBLANK(customer_churn_dataset!J236),0,MAX(0,customer_churn_dataset!J236))</f>
        <v>0</v>
      </c>
      <c r="K236" s="7" t="n">
        <f aca="false">IF(ISBLANK(customer_churn_dataset!K236),0,MIN(10,MAX(0,customer_churn_dataset!K236)))</f>
        <v>0</v>
      </c>
      <c r="L236" s="7" t="n">
        <f aca="false">IF(ISBLANK(customer_churn_dataset!L236),0,MAX(0,customer_churn_dataset!L236))</f>
        <v>5</v>
      </c>
      <c r="M236" s="7" t="n">
        <f aca="false">IF(ISBLANK(customer_churn_dataset!M236),0,customer_churn_dataset!M236)</f>
        <v>0</v>
      </c>
      <c r="N236" s="7" t="n">
        <f aca="false">IF(ISBLANK(customer_churn_dataset!N236),0,MAX(0,customer_churn_dataset!N236))</f>
        <v>233.28</v>
      </c>
      <c r="O236" s="7" t="n">
        <f aca="false">IF(ISBLANK(customer_churn_dataset!O236),0,customer_churn_dataset!O236)</f>
        <v>0</v>
      </c>
      <c r="P236" s="7" t="str">
        <f aca="false">IF(COUNTIF(customer_churn_dataset!$A$2:$A$1501,customer_churn_dataset!A236)&gt;1,"Duplicate","Unique")</f>
        <v>Unique</v>
      </c>
    </row>
    <row r="237" customFormat="false" ht="14.15" hidden="false" customHeight="true" outlineLevel="0" collapsed="false">
      <c r="A237" s="7" t="str">
        <f aca="false">TRIM(customer_churn_dataset!A237)</f>
        <v>CUST100488</v>
      </c>
      <c r="B237" s="7" t="str">
        <f aca="false">PROPER(TRIM(customer_churn_dataset!B237))</f>
        <v>Premium</v>
      </c>
      <c r="C237" s="7" t="str">
        <f aca="false">PROPER(TRIM(customer_churn_dataset!C237))</f>
        <v>One Year</v>
      </c>
      <c r="D237" s="7" t="n">
        <f aca="false">IF(ISBLANK(customer_churn_dataset!D237),ROUND(MEDIAN(customer_churn_dataset!D$2:D$1501),2),IF(customer_churn_dataset!D237&lt;0,ABS(customer_churn_dataset!D237),customer_churn_dataset!D237))</f>
        <v>41.18</v>
      </c>
      <c r="E237" s="7" t="n">
        <f aca="false">IF(ISBLANK(customer_churn_dataset!E237),0,MAX(0,customer_churn_dataset!E237))</f>
        <v>16</v>
      </c>
      <c r="F237" s="8" t="n">
        <f aca="false">IF(ISBLANK(customer_churn_dataset!F237),"",customer_churn_dataset!F237)</f>
        <v>44155</v>
      </c>
      <c r="G237" s="7" t="str">
        <f aca="false">PROPER(TRIM(customer_churn_dataset!G237))</f>
        <v>Credit Card</v>
      </c>
      <c r="H237" s="7" t="n">
        <f aca="false">IF(ISBLANK(customer_churn_dataset!H237),0,customer_churn_dataset!H237)</f>
        <v>1</v>
      </c>
      <c r="I237" s="7" t="n">
        <f aca="false">IF(ISBLANK(customer_churn_dataset!I237),ROUND(MEDIAN(customer_churn_dataset!I$2:I$1501),1),MIN(100,MAX(0,customer_churn_dataset!I237)))</f>
        <v>19.9</v>
      </c>
      <c r="J237" s="7" t="n">
        <f aca="false">IF(ISBLANK(customer_churn_dataset!J237),0,MAX(0,customer_churn_dataset!J237))</f>
        <v>9</v>
      </c>
      <c r="K237" s="7" t="n">
        <f aca="false">IF(ISBLANK(customer_churn_dataset!K237),0,MIN(10,MAX(0,customer_churn_dataset!K237)))</f>
        <v>2</v>
      </c>
      <c r="L237" s="7" t="n">
        <f aca="false">IF(ISBLANK(customer_churn_dataset!L237),0,MAX(0,customer_churn_dataset!L237))</f>
        <v>2</v>
      </c>
      <c r="M237" s="7" t="n">
        <f aca="false">IF(ISBLANK(customer_churn_dataset!M237),0,customer_churn_dataset!M237)</f>
        <v>0</v>
      </c>
      <c r="N237" s="7" t="n">
        <f aca="false">IF(ISBLANK(customer_churn_dataset!N237),0,MAX(0,customer_churn_dataset!N237))</f>
        <v>658.88</v>
      </c>
      <c r="O237" s="7" t="n">
        <f aca="false">IF(ISBLANK(customer_churn_dataset!O237),0,customer_churn_dataset!O237)</f>
        <v>0</v>
      </c>
      <c r="P237" s="7" t="str">
        <f aca="false">IF(COUNTIF(customer_churn_dataset!$A$2:$A$1501,customer_churn_dataset!A237)&gt;1,"Duplicate","Unique")</f>
        <v>Unique</v>
      </c>
    </row>
    <row r="238" customFormat="false" ht="14.15" hidden="false" customHeight="true" outlineLevel="0" collapsed="false">
      <c r="A238" s="7" t="str">
        <f aca="false">TRIM(customer_churn_dataset!A238)</f>
        <v>CUST100081</v>
      </c>
      <c r="B238" s="7" t="str">
        <f aca="false">PROPER(TRIM(customer_churn_dataset!B238))</f>
        <v>Standard</v>
      </c>
      <c r="C238" s="7" t="str">
        <f aca="false">PROPER(TRIM(customer_churn_dataset!C238))</f>
        <v>One Year</v>
      </c>
      <c r="D238" s="7" t="n">
        <f aca="false">IF(ISBLANK(customer_churn_dataset!D238),ROUND(MEDIAN(customer_churn_dataset!D$2:D$1501),2),IF(customer_churn_dataset!D238&lt;0,ABS(customer_churn_dataset!D238),customer_churn_dataset!D238))</f>
        <v>19.79</v>
      </c>
      <c r="E238" s="7" t="n">
        <f aca="false">IF(ISBLANK(customer_churn_dataset!E238),0,MAX(0,customer_churn_dataset!E238))</f>
        <v>29</v>
      </c>
      <c r="F238" s="8" t="n">
        <f aca="false">IF(ISBLANK(customer_churn_dataset!F238),"",customer_churn_dataset!F238)</f>
        <v>44155</v>
      </c>
      <c r="G238" s="7" t="str">
        <f aca="false">PROPER(TRIM(customer_churn_dataset!G238))</f>
        <v>Paypal</v>
      </c>
      <c r="H238" s="7" t="n">
        <f aca="false">IF(ISBLANK(customer_churn_dataset!H238),0,customer_churn_dataset!H238)</f>
        <v>0</v>
      </c>
      <c r="I238" s="7" t="n">
        <f aca="false">IF(ISBLANK(customer_churn_dataset!I238),ROUND(MEDIAN(customer_churn_dataset!I$2:I$1501),1),MIN(100,MAX(0,customer_churn_dataset!I238)))</f>
        <v>58.7</v>
      </c>
      <c r="J238" s="7" t="n">
        <f aca="false">IF(ISBLANK(customer_churn_dataset!J238),0,MAX(0,customer_churn_dataset!J238))</f>
        <v>22</v>
      </c>
      <c r="K238" s="7" t="n">
        <f aca="false">IF(ISBLANK(customer_churn_dataset!K238),0,MIN(10,MAX(0,customer_churn_dataset!K238)))</f>
        <v>6</v>
      </c>
      <c r="L238" s="7" t="n">
        <f aca="false">IF(ISBLANK(customer_churn_dataset!L238),0,MAX(0,customer_churn_dataset!L238))</f>
        <v>0</v>
      </c>
      <c r="M238" s="7" t="n">
        <f aca="false">IF(ISBLANK(customer_churn_dataset!M238),0,customer_churn_dataset!M238)</f>
        <v>0</v>
      </c>
      <c r="N238" s="7" t="n">
        <f aca="false">IF(ISBLANK(customer_churn_dataset!N238),0,MAX(0,customer_churn_dataset!N238))</f>
        <v>573.91</v>
      </c>
      <c r="O238" s="7" t="n">
        <f aca="false">IF(ISBLANK(customer_churn_dataset!O238),0,customer_churn_dataset!O238)</f>
        <v>0</v>
      </c>
      <c r="P238" s="7" t="str">
        <f aca="false">IF(COUNTIF(customer_churn_dataset!$A$2:$A$1501,customer_churn_dataset!A238)&gt;1,"Duplicate","Unique")</f>
        <v>Unique</v>
      </c>
    </row>
    <row r="239" customFormat="false" ht="14.15" hidden="false" customHeight="true" outlineLevel="0" collapsed="false">
      <c r="A239" s="7" t="str">
        <f aca="false">TRIM(customer_churn_dataset!A239)</f>
        <v>CUST100986</v>
      </c>
      <c r="B239" s="7" t="str">
        <f aca="false">PROPER(TRIM(customer_churn_dataset!B239))</f>
        <v>Standard</v>
      </c>
      <c r="C239" s="7" t="str">
        <f aca="false">PROPER(TRIM(customer_churn_dataset!C239))</f>
        <v>Month-To-Month</v>
      </c>
      <c r="D239" s="7" t="n">
        <f aca="false">IF(ISBLANK(customer_churn_dataset!D239),ROUND(MEDIAN(customer_churn_dataset!D$2:D$1501),2),IF(customer_churn_dataset!D239&lt;0,ABS(customer_churn_dataset!D239),customer_churn_dataset!D239))</f>
        <v>18.39</v>
      </c>
      <c r="E239" s="7" t="n">
        <f aca="false">IF(ISBLANK(customer_churn_dataset!E239),0,MAX(0,customer_churn_dataset!E239))</f>
        <v>41</v>
      </c>
      <c r="F239" s="8" t="n">
        <f aca="false">IF(ISBLANK(customer_churn_dataset!F239),"",customer_churn_dataset!F239)</f>
        <v>44156</v>
      </c>
      <c r="G239" s="7" t="str">
        <f aca="false">PROPER(TRIM(customer_churn_dataset!G239))</f>
        <v>Paypal</v>
      </c>
      <c r="H239" s="7" t="n">
        <f aca="false">IF(ISBLANK(customer_churn_dataset!H239),0,customer_churn_dataset!H239)</f>
        <v>1</v>
      </c>
      <c r="I239" s="7" t="n">
        <f aca="false">IF(ISBLANK(customer_churn_dataset!I239),ROUND(MEDIAN(customer_churn_dataset!I$2:I$1501),1),MIN(100,MAX(0,customer_churn_dataset!I239)))</f>
        <v>13.7</v>
      </c>
      <c r="J239" s="7" t="n">
        <f aca="false">IF(ISBLANK(customer_churn_dataset!J239),0,MAX(0,customer_churn_dataset!J239))</f>
        <v>0</v>
      </c>
      <c r="K239" s="7" t="n">
        <f aca="false">IF(ISBLANK(customer_churn_dataset!K239),0,MIN(10,MAX(0,customer_churn_dataset!K239)))</f>
        <v>0</v>
      </c>
      <c r="L239" s="7" t="n">
        <f aca="false">IF(ISBLANK(customer_churn_dataset!L239),0,MAX(0,customer_churn_dataset!L239))</f>
        <v>1</v>
      </c>
      <c r="M239" s="7" t="n">
        <f aca="false">IF(ISBLANK(customer_churn_dataset!M239),0,customer_churn_dataset!M239)</f>
        <v>0</v>
      </c>
      <c r="N239" s="7" t="n">
        <f aca="false">IF(ISBLANK(customer_churn_dataset!N239),0,MAX(0,customer_churn_dataset!N239))</f>
        <v>753.99</v>
      </c>
      <c r="O239" s="7" t="n">
        <f aca="false">IF(ISBLANK(customer_churn_dataset!O239),0,customer_churn_dataset!O239)</f>
        <v>0</v>
      </c>
      <c r="P239" s="7" t="str">
        <f aca="false">IF(COUNTIF(customer_churn_dataset!$A$2:$A$1501,customer_churn_dataset!A239)&gt;1,"Duplicate","Unique")</f>
        <v>Unique</v>
      </c>
    </row>
    <row r="240" customFormat="false" ht="14.15" hidden="false" customHeight="true" outlineLevel="0" collapsed="false">
      <c r="A240" s="7" t="str">
        <f aca="false">TRIM(customer_churn_dataset!A240)</f>
        <v>CUST100474</v>
      </c>
      <c r="B240" s="7" t="str">
        <f aca="false">PROPER(TRIM(customer_churn_dataset!B240))</f>
        <v>Standard</v>
      </c>
      <c r="C240" s="7" t="str">
        <f aca="false">PROPER(TRIM(customer_churn_dataset!C240))</f>
        <v>Month-To-Month</v>
      </c>
      <c r="D240" s="7" t="n">
        <f aca="false">IF(ISBLANK(customer_churn_dataset!D240),ROUND(MEDIAN(customer_churn_dataset!D$2:D$1501),2),IF(customer_churn_dataset!D240&lt;0,ABS(customer_churn_dataset!D240),customer_churn_dataset!D240))</f>
        <v>19.66</v>
      </c>
      <c r="E240" s="7" t="n">
        <f aca="false">IF(ISBLANK(customer_churn_dataset!E240),0,MAX(0,customer_churn_dataset!E240))</f>
        <v>36</v>
      </c>
      <c r="F240" s="8" t="n">
        <f aca="false">IF(ISBLANK(customer_churn_dataset!F240),"",customer_churn_dataset!F240)</f>
        <v>44157</v>
      </c>
      <c r="G240" s="7" t="str">
        <f aca="false">PROPER(TRIM(customer_churn_dataset!G240))</f>
        <v>Manual/Invoice</v>
      </c>
      <c r="H240" s="7" t="n">
        <f aca="false">IF(ISBLANK(customer_churn_dataset!H240),0,customer_churn_dataset!H240)</f>
        <v>1</v>
      </c>
      <c r="I240" s="7" t="n">
        <f aca="false">IF(ISBLANK(customer_churn_dataset!I240),ROUND(MEDIAN(customer_churn_dataset!I$2:I$1501),1),MIN(100,MAX(0,customer_churn_dataset!I240)))</f>
        <v>73.7</v>
      </c>
      <c r="J240" s="7" t="n">
        <f aca="false">IF(ISBLANK(customer_churn_dataset!J240),0,MAX(0,customer_churn_dataset!J240))</f>
        <v>20</v>
      </c>
      <c r="K240" s="7" t="n">
        <f aca="false">IF(ISBLANK(customer_churn_dataset!K240),0,MIN(10,MAX(0,customer_churn_dataset!K240)))</f>
        <v>8</v>
      </c>
      <c r="L240" s="7" t="n">
        <f aca="false">IF(ISBLANK(customer_churn_dataset!L240),0,MAX(0,customer_churn_dataset!L240))</f>
        <v>1</v>
      </c>
      <c r="M240" s="7" t="n">
        <f aca="false">IF(ISBLANK(customer_churn_dataset!M240),0,customer_churn_dataset!M240)</f>
        <v>0</v>
      </c>
      <c r="N240" s="7" t="n">
        <f aca="false">IF(ISBLANK(customer_churn_dataset!N240),0,MAX(0,customer_churn_dataset!N240))</f>
        <v>707.76</v>
      </c>
      <c r="O240" s="7" t="n">
        <f aca="false">IF(ISBLANK(customer_churn_dataset!O240),0,customer_churn_dataset!O240)</f>
        <v>0</v>
      </c>
      <c r="P240" s="7" t="str">
        <f aca="false">IF(COUNTIF(customer_churn_dataset!$A$2:$A$1501,customer_churn_dataset!A240)&gt;1,"Duplicate","Unique")</f>
        <v>Unique</v>
      </c>
    </row>
    <row r="241" customFormat="false" ht="14.15" hidden="false" customHeight="true" outlineLevel="0" collapsed="false">
      <c r="A241" s="7" t="str">
        <f aca="false">TRIM(customer_churn_dataset!A241)</f>
        <v>CUST100276</v>
      </c>
      <c r="B241" s="7" t="str">
        <f aca="false">PROPER(TRIM(customer_churn_dataset!B241))</f>
        <v>Standard</v>
      </c>
      <c r="C241" s="7" t="str">
        <f aca="false">PROPER(TRIM(customer_churn_dataset!C241))</f>
        <v>Month-To-Month</v>
      </c>
      <c r="D241" s="7" t="n">
        <f aca="false">IF(ISBLANK(customer_churn_dataset!D241),ROUND(MEDIAN(customer_churn_dataset!D$2:D$1501),2),IF(customer_churn_dataset!D241&lt;0,ABS(customer_churn_dataset!D241),customer_churn_dataset!D241))</f>
        <v>19.74</v>
      </c>
      <c r="E241" s="7" t="n">
        <f aca="false">IF(ISBLANK(customer_churn_dataset!E241),0,MAX(0,customer_churn_dataset!E241))</f>
        <v>19</v>
      </c>
      <c r="F241" s="8" t="n">
        <f aca="false">IF(ISBLANK(customer_churn_dataset!F241),"",customer_churn_dataset!F241)</f>
        <v>44158</v>
      </c>
      <c r="G241" s="7" t="str">
        <f aca="false">PROPER(TRIM(customer_churn_dataset!G241))</f>
        <v>Paypal</v>
      </c>
      <c r="H241" s="7" t="n">
        <f aca="false">IF(ISBLANK(customer_churn_dataset!H241),0,customer_churn_dataset!H241)</f>
        <v>1</v>
      </c>
      <c r="I241" s="7" t="n">
        <f aca="false">IF(ISBLANK(customer_churn_dataset!I241),ROUND(MEDIAN(customer_churn_dataset!I$2:I$1501),1),MIN(100,MAX(0,customer_churn_dataset!I241)))</f>
        <v>75.7</v>
      </c>
      <c r="J241" s="7" t="n">
        <f aca="false">IF(ISBLANK(customer_churn_dataset!J241),0,MAX(0,customer_churn_dataset!J241))</f>
        <v>19</v>
      </c>
      <c r="K241" s="7" t="n">
        <f aca="false">IF(ISBLANK(customer_churn_dataset!K241),0,MIN(10,MAX(0,customer_churn_dataset!K241)))</f>
        <v>8</v>
      </c>
      <c r="L241" s="7" t="n">
        <f aca="false">IF(ISBLANK(customer_churn_dataset!L241),0,MAX(0,customer_churn_dataset!L241))</f>
        <v>0</v>
      </c>
      <c r="M241" s="7" t="n">
        <f aca="false">IF(ISBLANK(customer_churn_dataset!M241),0,customer_churn_dataset!M241)</f>
        <v>0</v>
      </c>
      <c r="N241" s="7" t="n">
        <f aca="false">IF(ISBLANK(customer_churn_dataset!N241),0,MAX(0,customer_churn_dataset!N241))</f>
        <v>375.06</v>
      </c>
      <c r="O241" s="7" t="n">
        <f aca="false">IF(ISBLANK(customer_churn_dataset!O241),0,customer_churn_dataset!O241)</f>
        <v>0</v>
      </c>
      <c r="P241" s="7" t="str">
        <f aca="false">IF(COUNTIF(customer_churn_dataset!$A$2:$A$1501,customer_churn_dataset!A241)&gt;1,"Duplicate","Unique")</f>
        <v>Unique</v>
      </c>
    </row>
    <row r="242" customFormat="false" ht="14.15" hidden="false" customHeight="true" outlineLevel="0" collapsed="false">
      <c r="A242" s="7" t="str">
        <f aca="false">TRIM(customer_churn_dataset!A242)</f>
        <v>CUST100422</v>
      </c>
      <c r="B242" s="7" t="str">
        <f aca="false">PROPER(TRIM(customer_churn_dataset!B242))</f>
        <v>Basic</v>
      </c>
      <c r="C242" s="7" t="str">
        <f aca="false">PROPER(TRIM(customer_churn_dataset!C242))</f>
        <v>Month-To-Month</v>
      </c>
      <c r="D242" s="7" t="n">
        <f aca="false">IF(ISBLANK(customer_churn_dataset!D242),ROUND(MEDIAN(customer_churn_dataset!D$2:D$1501),2),IF(customer_churn_dataset!D242&lt;0,ABS(customer_churn_dataset!D242),customer_churn_dataset!D242))</f>
        <v>8.97</v>
      </c>
      <c r="E242" s="7" t="n">
        <f aca="false">IF(ISBLANK(customer_churn_dataset!E242),0,MAX(0,customer_churn_dataset!E242))</f>
        <v>2</v>
      </c>
      <c r="F242" s="8" t="n">
        <f aca="false">IF(ISBLANK(customer_churn_dataset!F242),"",customer_churn_dataset!F242)</f>
        <v>44158</v>
      </c>
      <c r="G242" s="7" t="str">
        <f aca="false">PROPER(TRIM(customer_churn_dataset!G242))</f>
        <v>Bank Transfer</v>
      </c>
      <c r="H242" s="7" t="n">
        <f aca="false">IF(ISBLANK(customer_churn_dataset!H242),0,customer_churn_dataset!H242)</f>
        <v>1</v>
      </c>
      <c r="I242" s="7" t="n">
        <f aca="false">IF(ISBLANK(customer_churn_dataset!I242),ROUND(MEDIAN(customer_churn_dataset!I$2:I$1501),1),MIN(100,MAX(0,customer_churn_dataset!I242)))</f>
        <v>62.3</v>
      </c>
      <c r="J242" s="7" t="n">
        <f aca="false">IF(ISBLANK(customer_churn_dataset!J242),0,MAX(0,customer_churn_dataset!J242))</f>
        <v>20</v>
      </c>
      <c r="K242" s="7" t="n">
        <f aca="false">IF(ISBLANK(customer_churn_dataset!K242),0,MIN(10,MAX(0,customer_churn_dataset!K242)))</f>
        <v>7</v>
      </c>
      <c r="L242" s="7" t="n">
        <f aca="false">IF(ISBLANK(customer_churn_dataset!L242),0,MAX(0,customer_churn_dataset!L242))</f>
        <v>2</v>
      </c>
      <c r="M242" s="7" t="n">
        <f aca="false">IF(ISBLANK(customer_churn_dataset!M242),0,customer_churn_dataset!M242)</f>
        <v>1</v>
      </c>
      <c r="N242" s="7" t="n">
        <f aca="false">IF(ISBLANK(customer_churn_dataset!N242),0,MAX(0,customer_churn_dataset!N242))</f>
        <v>17.94</v>
      </c>
      <c r="O242" s="7" t="n">
        <f aca="false">IF(ISBLANK(customer_churn_dataset!O242),0,customer_churn_dataset!O242)</f>
        <v>0</v>
      </c>
      <c r="P242" s="7" t="str">
        <f aca="false">IF(COUNTIF(customer_churn_dataset!$A$2:$A$1501,customer_churn_dataset!A242)&gt;1,"Duplicate","Unique")</f>
        <v>Unique</v>
      </c>
    </row>
    <row r="243" customFormat="false" ht="14.15" hidden="false" customHeight="true" outlineLevel="0" collapsed="false">
      <c r="A243" s="7" t="str">
        <f aca="false">TRIM(customer_churn_dataset!A243)</f>
        <v>CUST101297</v>
      </c>
      <c r="B243" s="7" t="str">
        <f aca="false">PROPER(TRIM(customer_churn_dataset!B243))</f>
        <v>Basic</v>
      </c>
      <c r="C243" s="7" t="str">
        <f aca="false">PROPER(TRIM(customer_churn_dataset!C243))</f>
        <v>One Year</v>
      </c>
      <c r="D243" s="7" t="n">
        <f aca="false">IF(ISBLANK(customer_churn_dataset!D243),ROUND(MEDIAN(customer_churn_dataset!D$2:D$1501),2),IF(customer_churn_dataset!D243&lt;0,ABS(customer_churn_dataset!D243),customer_churn_dataset!D243))</f>
        <v>10.23</v>
      </c>
      <c r="E243" s="7" t="n">
        <f aca="false">IF(ISBLANK(customer_churn_dataset!E243),0,MAX(0,customer_churn_dataset!E243))</f>
        <v>10</v>
      </c>
      <c r="F243" s="8" t="n">
        <f aca="false">IF(ISBLANK(customer_churn_dataset!F243),"",customer_churn_dataset!F243)</f>
        <v>44163</v>
      </c>
      <c r="G243" s="7" t="str">
        <f aca="false">PROPER(TRIM(customer_churn_dataset!G243))</f>
        <v>Paypal</v>
      </c>
      <c r="H243" s="7" t="n">
        <f aca="false">IF(ISBLANK(customer_churn_dataset!H243),0,customer_churn_dataset!H243)</f>
        <v>1</v>
      </c>
      <c r="I243" s="7" t="n">
        <f aca="false">IF(ISBLANK(customer_churn_dataset!I243),ROUND(MEDIAN(customer_churn_dataset!I$2:I$1501),1),MIN(100,MAX(0,customer_churn_dataset!I243)))</f>
        <v>97.5</v>
      </c>
      <c r="J243" s="7" t="n">
        <f aca="false">IF(ISBLANK(customer_churn_dataset!J243),0,MAX(0,customer_churn_dataset!J243))</f>
        <v>36</v>
      </c>
      <c r="K243" s="7" t="n">
        <f aca="false">IF(ISBLANK(customer_churn_dataset!K243),0,MIN(10,MAX(0,customer_churn_dataset!K243)))</f>
        <v>10</v>
      </c>
      <c r="L243" s="7" t="n">
        <f aca="false">IF(ISBLANK(customer_churn_dataset!L243),0,MAX(0,customer_churn_dataset!L243))</f>
        <v>0</v>
      </c>
      <c r="M243" s="7" t="n">
        <f aca="false">IF(ISBLANK(customer_churn_dataset!M243),0,customer_churn_dataset!M243)</f>
        <v>0</v>
      </c>
      <c r="N243" s="7" t="n">
        <f aca="false">IF(ISBLANK(customer_churn_dataset!N243),0,MAX(0,customer_churn_dataset!N243))</f>
        <v>102.3</v>
      </c>
      <c r="O243" s="7" t="n">
        <f aca="false">IF(ISBLANK(customer_churn_dataset!O243),0,customer_churn_dataset!O243)</f>
        <v>0</v>
      </c>
      <c r="P243" s="7" t="str">
        <f aca="false">IF(COUNTIF(customer_churn_dataset!$A$2:$A$1501,customer_churn_dataset!A243)&gt;1,"Duplicate","Unique")</f>
        <v>Unique</v>
      </c>
    </row>
    <row r="244" customFormat="false" ht="14.15" hidden="false" customHeight="true" outlineLevel="0" collapsed="false">
      <c r="A244" s="7" t="str">
        <f aca="false">TRIM(customer_churn_dataset!A244)</f>
        <v>CUST100349</v>
      </c>
      <c r="B244" s="7" t="str">
        <f aca="false">PROPER(TRIM(customer_churn_dataset!B244))</f>
        <v>Standard</v>
      </c>
      <c r="C244" s="7" t="str">
        <f aca="false">PROPER(TRIM(customer_churn_dataset!C244))</f>
        <v>Month-To-Month</v>
      </c>
      <c r="D244" s="7" t="n">
        <f aca="false">IF(ISBLANK(customer_churn_dataset!D244),ROUND(MEDIAN(customer_churn_dataset!D$2:D$1501),2),IF(customer_churn_dataset!D244&lt;0,ABS(customer_churn_dataset!D244),customer_churn_dataset!D244))</f>
        <v>21.47</v>
      </c>
      <c r="E244" s="7" t="n">
        <f aca="false">IF(ISBLANK(customer_churn_dataset!E244),0,MAX(0,customer_churn_dataset!E244))</f>
        <v>20</v>
      </c>
      <c r="F244" s="8" t="n">
        <f aca="false">IF(ISBLANK(customer_churn_dataset!F244),"",customer_churn_dataset!F244)</f>
        <v>44163</v>
      </c>
      <c r="G244" s="7" t="str">
        <f aca="false">PROPER(TRIM(customer_churn_dataset!G244))</f>
        <v>Credit Card</v>
      </c>
      <c r="H244" s="7" t="n">
        <f aca="false">IF(ISBLANK(customer_churn_dataset!H244),0,customer_churn_dataset!H244)</f>
        <v>1</v>
      </c>
      <c r="I244" s="7" t="n">
        <f aca="false">IF(ISBLANK(customer_churn_dataset!I244),ROUND(MEDIAN(customer_churn_dataset!I$2:I$1501),1),MIN(100,MAX(0,customer_churn_dataset!I244)))</f>
        <v>66.6</v>
      </c>
      <c r="J244" s="7" t="n">
        <f aca="false">IF(ISBLANK(customer_churn_dataset!J244),0,MAX(0,customer_churn_dataset!J244))</f>
        <v>20</v>
      </c>
      <c r="K244" s="7" t="n">
        <f aca="false">IF(ISBLANK(customer_churn_dataset!K244),0,MIN(10,MAX(0,customer_churn_dataset!K244)))</f>
        <v>4</v>
      </c>
      <c r="L244" s="7" t="n">
        <f aca="false">IF(ISBLANK(customer_churn_dataset!L244),0,MAX(0,customer_churn_dataset!L244))</f>
        <v>0</v>
      </c>
      <c r="M244" s="7" t="n">
        <f aca="false">IF(ISBLANK(customer_churn_dataset!M244),0,customer_churn_dataset!M244)</f>
        <v>0</v>
      </c>
      <c r="N244" s="7" t="n">
        <f aca="false">IF(ISBLANK(customer_churn_dataset!N244),0,MAX(0,customer_churn_dataset!N244))</f>
        <v>429.4</v>
      </c>
      <c r="O244" s="7" t="n">
        <f aca="false">IF(ISBLANK(customer_churn_dataset!O244),0,customer_churn_dataset!O244)</f>
        <v>0</v>
      </c>
      <c r="P244" s="7" t="str">
        <f aca="false">IF(COUNTIF(customer_churn_dataset!$A$2:$A$1501,customer_churn_dataset!A244)&gt;1,"Duplicate","Unique")</f>
        <v>Unique</v>
      </c>
    </row>
    <row r="245" customFormat="false" ht="14.15" hidden="false" customHeight="true" outlineLevel="0" collapsed="false">
      <c r="A245" s="7" t="str">
        <f aca="false">TRIM(customer_churn_dataset!A245)</f>
        <v>CUST100429</v>
      </c>
      <c r="B245" s="7" t="str">
        <f aca="false">PROPER(TRIM(customer_churn_dataset!B245))</f>
        <v>Basic</v>
      </c>
      <c r="C245" s="7" t="str">
        <f aca="false">PROPER(TRIM(customer_churn_dataset!C245))</f>
        <v>One Year</v>
      </c>
      <c r="D245" s="7" t="n">
        <f aca="false">IF(ISBLANK(customer_churn_dataset!D245),ROUND(MEDIAN(customer_churn_dataset!D$2:D$1501),2),IF(customer_churn_dataset!D245&lt;0,ABS(customer_churn_dataset!D245),customer_churn_dataset!D245))</f>
        <v>10.08</v>
      </c>
      <c r="E245" s="7" t="n">
        <f aca="false">IF(ISBLANK(customer_churn_dataset!E245),0,MAX(0,customer_churn_dataset!E245))</f>
        <v>3</v>
      </c>
      <c r="F245" s="8" t="n">
        <f aca="false">IF(ISBLANK(customer_churn_dataset!F245),"",customer_churn_dataset!F245)</f>
        <v>44166</v>
      </c>
      <c r="G245" s="7" t="str">
        <f aca="false">PROPER(TRIM(customer_churn_dataset!G245))</f>
        <v>Credit Card</v>
      </c>
      <c r="H245" s="7" t="n">
        <f aca="false">IF(ISBLANK(customer_churn_dataset!H245),0,customer_churn_dataset!H245)</f>
        <v>1</v>
      </c>
      <c r="I245" s="7" t="n">
        <f aca="false">IF(ISBLANK(customer_churn_dataset!I245),ROUND(MEDIAN(customer_churn_dataset!I$2:I$1501),1),MIN(100,MAX(0,customer_churn_dataset!I245)))</f>
        <v>63.8</v>
      </c>
      <c r="J245" s="7" t="n">
        <f aca="false">IF(ISBLANK(customer_churn_dataset!J245),0,MAX(0,customer_churn_dataset!J245))</f>
        <v>20</v>
      </c>
      <c r="K245" s="7" t="n">
        <f aca="false">IF(ISBLANK(customer_churn_dataset!K245),0,MIN(10,MAX(0,customer_churn_dataset!K245)))</f>
        <v>9</v>
      </c>
      <c r="L245" s="7" t="n">
        <f aca="false">IF(ISBLANK(customer_churn_dataset!L245),0,MAX(0,customer_churn_dataset!L245))</f>
        <v>1</v>
      </c>
      <c r="M245" s="7" t="n">
        <f aca="false">IF(ISBLANK(customer_churn_dataset!M245),0,customer_churn_dataset!M245)</f>
        <v>1</v>
      </c>
      <c r="N245" s="7" t="n">
        <f aca="false">IF(ISBLANK(customer_churn_dataset!N245),0,MAX(0,customer_churn_dataset!N245))</f>
        <v>30.24</v>
      </c>
      <c r="O245" s="7" t="n">
        <f aca="false">IF(ISBLANK(customer_churn_dataset!O245),0,customer_churn_dataset!O245)</f>
        <v>0</v>
      </c>
      <c r="P245" s="7" t="str">
        <f aca="false">IF(COUNTIF(customer_churn_dataset!$A$2:$A$1501,customer_churn_dataset!A245)&gt;1,"Duplicate","Unique")</f>
        <v>Unique</v>
      </c>
    </row>
    <row r="246" customFormat="false" ht="14.15" hidden="false" customHeight="true" outlineLevel="0" collapsed="false">
      <c r="A246" s="7" t="str">
        <f aca="false">TRIM(customer_churn_dataset!A246)</f>
        <v>CUST101439</v>
      </c>
      <c r="B246" s="7" t="str">
        <f aca="false">PROPER(TRIM(customer_churn_dataset!B246))</f>
        <v>Standard</v>
      </c>
      <c r="C246" s="7" t="str">
        <f aca="false">PROPER(TRIM(customer_churn_dataset!C246))</f>
        <v>Month-To-Month</v>
      </c>
      <c r="D246" s="7" t="n">
        <f aca="false">IF(ISBLANK(customer_churn_dataset!D246),ROUND(MEDIAN(customer_churn_dataset!D$2:D$1501),2),IF(customer_churn_dataset!D246&lt;0,ABS(customer_churn_dataset!D246),customer_churn_dataset!D246))</f>
        <v>19.5</v>
      </c>
      <c r="E246" s="7" t="n">
        <f aca="false">IF(ISBLANK(customer_churn_dataset!E246),0,MAX(0,customer_churn_dataset!E246))</f>
        <v>12</v>
      </c>
      <c r="F246" s="8" t="n">
        <f aca="false">IF(ISBLANK(customer_churn_dataset!F246),"",customer_churn_dataset!F246)</f>
        <v>44167</v>
      </c>
      <c r="G246" s="7" t="str">
        <f aca="false">PROPER(TRIM(customer_churn_dataset!G246))</f>
        <v>Credit Card</v>
      </c>
      <c r="H246" s="7" t="n">
        <f aca="false">IF(ISBLANK(customer_churn_dataset!H246),0,customer_churn_dataset!H246)</f>
        <v>0</v>
      </c>
      <c r="I246" s="7" t="n">
        <f aca="false">IF(ISBLANK(customer_churn_dataset!I246),ROUND(MEDIAN(customer_churn_dataset!I$2:I$1501),1),MIN(100,MAX(0,customer_churn_dataset!I246)))</f>
        <v>18.4</v>
      </c>
      <c r="J246" s="7" t="n">
        <f aca="false">IF(ISBLANK(customer_churn_dataset!J246),0,MAX(0,customer_churn_dataset!J246))</f>
        <v>9</v>
      </c>
      <c r="K246" s="7" t="n">
        <f aca="false">IF(ISBLANK(customer_churn_dataset!K246),0,MIN(10,MAX(0,customer_churn_dataset!K246)))</f>
        <v>2</v>
      </c>
      <c r="L246" s="7" t="n">
        <f aca="false">IF(ISBLANK(customer_churn_dataset!L246),0,MAX(0,customer_churn_dataset!L246))</f>
        <v>3</v>
      </c>
      <c r="M246" s="7" t="n">
        <f aca="false">IF(ISBLANK(customer_churn_dataset!M246),0,customer_churn_dataset!M246)</f>
        <v>1</v>
      </c>
      <c r="N246" s="7" t="n">
        <f aca="false">IF(ISBLANK(customer_churn_dataset!N246),0,MAX(0,customer_churn_dataset!N246))</f>
        <v>234</v>
      </c>
      <c r="O246" s="7" t="n">
        <f aca="false">IF(ISBLANK(customer_churn_dataset!O246),0,customer_churn_dataset!O246)</f>
        <v>1</v>
      </c>
      <c r="P246" s="7" t="str">
        <f aca="false">IF(COUNTIF(customer_churn_dataset!$A$2:$A$1501,customer_churn_dataset!A246)&gt;1,"Duplicate","Unique")</f>
        <v>Unique</v>
      </c>
    </row>
    <row r="247" customFormat="false" ht="14.15" hidden="false" customHeight="true" outlineLevel="0" collapsed="false">
      <c r="A247" s="7" t="str">
        <f aca="false">TRIM(customer_churn_dataset!A247)</f>
        <v>CUST100414</v>
      </c>
      <c r="B247" s="7" t="str">
        <f aca="false">PROPER(TRIM(customer_churn_dataset!B247))</f>
        <v>Standard</v>
      </c>
      <c r="C247" s="7" t="str">
        <f aca="false">PROPER(TRIM(customer_churn_dataset!C247))</f>
        <v>Month-To-Month</v>
      </c>
      <c r="D247" s="7" t="n">
        <f aca="false">IF(ISBLANK(customer_churn_dataset!D247),ROUND(MEDIAN(customer_churn_dataset!D$2:D$1501),2),IF(customer_churn_dataset!D247&lt;0,ABS(customer_churn_dataset!D247),customer_churn_dataset!D247))</f>
        <v>20.46</v>
      </c>
      <c r="E247" s="7" t="n">
        <f aca="false">IF(ISBLANK(customer_churn_dataset!E247),0,MAX(0,customer_churn_dataset!E247))</f>
        <v>72</v>
      </c>
      <c r="F247" s="8" t="n">
        <f aca="false">IF(ISBLANK(customer_churn_dataset!F247),"",customer_churn_dataset!F247)</f>
        <v>44168</v>
      </c>
      <c r="G247" s="7" t="str">
        <f aca="false">PROPER(TRIM(customer_churn_dataset!G247))</f>
        <v>Credit Card</v>
      </c>
      <c r="H247" s="7" t="n">
        <f aca="false">IF(ISBLANK(customer_churn_dataset!H247),0,customer_churn_dataset!H247)</f>
        <v>0</v>
      </c>
      <c r="I247" s="7" t="n">
        <f aca="false">IF(ISBLANK(customer_churn_dataset!I247),ROUND(MEDIAN(customer_churn_dataset!I$2:I$1501),1),MIN(100,MAX(0,customer_churn_dataset!I247)))</f>
        <v>70.3</v>
      </c>
      <c r="J247" s="7" t="n">
        <f aca="false">IF(ISBLANK(customer_churn_dataset!J247),0,MAX(0,customer_churn_dataset!J247))</f>
        <v>18</v>
      </c>
      <c r="K247" s="7" t="n">
        <f aca="false">IF(ISBLANK(customer_churn_dataset!K247),0,MIN(10,MAX(0,customer_churn_dataset!K247)))</f>
        <v>6</v>
      </c>
      <c r="L247" s="7" t="n">
        <f aca="false">IF(ISBLANK(customer_churn_dataset!L247),0,MAX(0,customer_churn_dataset!L247))</f>
        <v>3</v>
      </c>
      <c r="M247" s="7" t="n">
        <f aca="false">IF(ISBLANK(customer_churn_dataset!M247),0,customer_churn_dataset!M247)</f>
        <v>1</v>
      </c>
      <c r="N247" s="7" t="n">
        <f aca="false">IF(ISBLANK(customer_churn_dataset!N247),0,MAX(0,customer_churn_dataset!N247))</f>
        <v>1473.12</v>
      </c>
      <c r="O247" s="7" t="n">
        <f aca="false">IF(ISBLANK(customer_churn_dataset!O247),0,customer_churn_dataset!O247)</f>
        <v>1</v>
      </c>
      <c r="P247" s="7" t="str">
        <f aca="false">IF(COUNTIF(customer_churn_dataset!$A$2:$A$1501,customer_churn_dataset!A247)&gt;1,"Duplicate","Unique")</f>
        <v>Unique</v>
      </c>
    </row>
    <row r="248" customFormat="false" ht="14.15" hidden="false" customHeight="true" outlineLevel="0" collapsed="false">
      <c r="A248" s="7" t="str">
        <f aca="false">TRIM(customer_churn_dataset!A248)</f>
        <v>CUST101464</v>
      </c>
      <c r="B248" s="7" t="str">
        <f aca="false">PROPER(TRIM(customer_churn_dataset!B248))</f>
        <v>Premium</v>
      </c>
      <c r="C248" s="7" t="str">
        <f aca="false">PROPER(TRIM(customer_churn_dataset!C248))</f>
        <v>One Year</v>
      </c>
      <c r="D248" s="7" t="n">
        <f aca="false">IF(ISBLANK(customer_churn_dataset!D248),ROUND(MEDIAN(customer_churn_dataset!D$2:D$1501),2),IF(customer_churn_dataset!D248&lt;0,ABS(customer_churn_dataset!D248),customer_churn_dataset!D248))</f>
        <v>40.4</v>
      </c>
      <c r="E248" s="7" t="n">
        <f aca="false">IF(ISBLANK(customer_churn_dataset!E248),0,MAX(0,customer_churn_dataset!E248))</f>
        <v>0</v>
      </c>
      <c r="F248" s="8" t="n">
        <f aca="false">IF(ISBLANK(customer_churn_dataset!F248),"",customer_churn_dataset!F248)</f>
        <v>44171</v>
      </c>
      <c r="G248" s="7" t="str">
        <f aca="false">PROPER(TRIM(customer_churn_dataset!G248))</f>
        <v>Credit Card</v>
      </c>
      <c r="H248" s="7" t="n">
        <f aca="false">IF(ISBLANK(customer_churn_dataset!H248),0,customer_churn_dataset!H248)</f>
        <v>1</v>
      </c>
      <c r="I248" s="7" t="n">
        <f aca="false">IF(ISBLANK(customer_churn_dataset!I248),ROUND(MEDIAN(customer_churn_dataset!I$2:I$1501),1),MIN(100,MAX(0,customer_churn_dataset!I248)))</f>
        <v>72.9</v>
      </c>
      <c r="J248" s="7" t="n">
        <f aca="false">IF(ISBLANK(customer_churn_dataset!J248),0,MAX(0,customer_churn_dataset!J248))</f>
        <v>26</v>
      </c>
      <c r="K248" s="7" t="n">
        <f aca="false">IF(ISBLANK(customer_churn_dataset!K248),0,MIN(10,MAX(0,customer_churn_dataset!K248)))</f>
        <v>8</v>
      </c>
      <c r="L248" s="7" t="n">
        <f aca="false">IF(ISBLANK(customer_churn_dataset!L248),0,MAX(0,customer_churn_dataset!L248))</f>
        <v>2</v>
      </c>
      <c r="M248" s="7" t="n">
        <f aca="false">IF(ISBLANK(customer_churn_dataset!M248),0,customer_churn_dataset!M248)</f>
        <v>1</v>
      </c>
      <c r="N248" s="7" t="n">
        <f aca="false">IF(ISBLANK(customer_churn_dataset!N248),0,MAX(0,customer_churn_dataset!N248))</f>
        <v>0</v>
      </c>
      <c r="O248" s="7" t="n">
        <f aca="false">IF(ISBLANK(customer_churn_dataset!O248),0,customer_churn_dataset!O248)</f>
        <v>0</v>
      </c>
      <c r="P248" s="7" t="str">
        <f aca="false">IF(COUNTIF(customer_churn_dataset!$A$2:$A$1501,customer_churn_dataset!A248)&gt;1,"Duplicate","Unique")</f>
        <v>Unique</v>
      </c>
    </row>
    <row r="249" customFormat="false" ht="14.15" hidden="false" customHeight="true" outlineLevel="0" collapsed="false">
      <c r="A249" s="7" t="str">
        <f aca="false">TRIM(customer_churn_dataset!A249)</f>
        <v>CUST101135</v>
      </c>
      <c r="B249" s="7" t="str">
        <f aca="false">PROPER(TRIM(customer_churn_dataset!B249))</f>
        <v>Basic</v>
      </c>
      <c r="C249" s="7" t="str">
        <f aca="false">PROPER(TRIM(customer_churn_dataset!C249))</f>
        <v>Month-To-Month</v>
      </c>
      <c r="D249" s="7" t="n">
        <f aca="false">IF(ISBLANK(customer_churn_dataset!D249),ROUND(MEDIAN(customer_churn_dataset!D$2:D$1501),2),IF(customer_churn_dataset!D249&lt;0,ABS(customer_churn_dataset!D249),customer_churn_dataset!D249))</f>
        <v>10.51</v>
      </c>
      <c r="E249" s="7" t="n">
        <f aca="false">IF(ISBLANK(customer_churn_dataset!E249),0,MAX(0,customer_churn_dataset!E249))</f>
        <v>4</v>
      </c>
      <c r="F249" s="8" t="n">
        <f aca="false">IF(ISBLANK(customer_churn_dataset!F249),"",customer_churn_dataset!F249)</f>
        <v>44171</v>
      </c>
      <c r="G249" s="7" t="str">
        <f aca="false">PROPER(TRIM(customer_churn_dataset!G249))</f>
        <v>Bank Transfer</v>
      </c>
      <c r="H249" s="7" t="n">
        <f aca="false">IF(ISBLANK(customer_churn_dataset!H249),0,customer_churn_dataset!H249)</f>
        <v>0</v>
      </c>
      <c r="I249" s="7" t="n">
        <f aca="false">IF(ISBLANK(customer_churn_dataset!I249),ROUND(MEDIAN(customer_churn_dataset!I$2:I$1501),1),MIN(100,MAX(0,customer_churn_dataset!I249)))</f>
        <v>61</v>
      </c>
      <c r="J249" s="7" t="n">
        <f aca="false">IF(ISBLANK(customer_churn_dataset!J249),0,MAX(0,customer_churn_dataset!J249))</f>
        <v>18</v>
      </c>
      <c r="K249" s="7" t="n">
        <f aca="false">IF(ISBLANK(customer_churn_dataset!K249),0,MIN(10,MAX(0,customer_churn_dataset!K249)))</f>
        <v>6</v>
      </c>
      <c r="L249" s="7" t="n">
        <f aca="false">IF(ISBLANK(customer_churn_dataset!L249),0,MAX(0,customer_churn_dataset!L249))</f>
        <v>0</v>
      </c>
      <c r="M249" s="7" t="n">
        <f aca="false">IF(ISBLANK(customer_churn_dataset!M249),0,customer_churn_dataset!M249)</f>
        <v>0</v>
      </c>
      <c r="N249" s="7" t="n">
        <f aca="false">IF(ISBLANK(customer_churn_dataset!N249),0,MAX(0,customer_churn_dataset!N249))</f>
        <v>42.04</v>
      </c>
      <c r="O249" s="7" t="n">
        <f aca="false">IF(ISBLANK(customer_churn_dataset!O249),0,customer_churn_dataset!O249)</f>
        <v>0</v>
      </c>
      <c r="P249" s="7" t="str">
        <f aca="false">IF(COUNTIF(customer_churn_dataset!$A$2:$A$1501,customer_churn_dataset!A249)&gt;1,"Duplicate","Unique")</f>
        <v>Unique</v>
      </c>
    </row>
    <row r="250" customFormat="false" ht="14.15" hidden="false" customHeight="true" outlineLevel="0" collapsed="false">
      <c r="A250" s="7" t="str">
        <f aca="false">TRIM(customer_churn_dataset!A250)</f>
        <v>CUST100735</v>
      </c>
      <c r="B250" s="7" t="str">
        <f aca="false">PROPER(TRIM(customer_churn_dataset!B250))</f>
        <v>Premium</v>
      </c>
      <c r="C250" s="7" t="str">
        <f aca="false">PROPER(TRIM(customer_churn_dataset!C250))</f>
        <v>Month-To-Month</v>
      </c>
      <c r="D250" s="7" t="n">
        <f aca="false">IF(ISBLANK(customer_churn_dataset!D250),ROUND(MEDIAN(customer_churn_dataset!D$2:D$1501),2),IF(customer_churn_dataset!D250&lt;0,ABS(customer_churn_dataset!D250),customer_churn_dataset!D250))</f>
        <v>39.62</v>
      </c>
      <c r="E250" s="7" t="n">
        <f aca="false">IF(ISBLANK(customer_churn_dataset!E250),0,MAX(0,customer_churn_dataset!E250))</f>
        <v>8</v>
      </c>
      <c r="F250" s="8" t="n">
        <f aca="false">IF(ISBLANK(customer_churn_dataset!F250),"",customer_churn_dataset!F250)</f>
        <v>44174</v>
      </c>
      <c r="G250" s="7" t="str">
        <f aca="false">PROPER(TRIM(customer_churn_dataset!G250))</f>
        <v>Credit Card</v>
      </c>
      <c r="H250" s="7" t="n">
        <f aca="false">IF(ISBLANK(customer_churn_dataset!H250),0,customer_churn_dataset!H250)</f>
        <v>0</v>
      </c>
      <c r="I250" s="7" t="n">
        <f aca="false">IF(ISBLANK(customer_churn_dataset!I250),ROUND(MEDIAN(customer_churn_dataset!I$2:I$1501),1),MIN(100,MAX(0,customer_churn_dataset!I250)))</f>
        <v>64.6</v>
      </c>
      <c r="J250" s="7" t="n">
        <f aca="false">IF(ISBLANK(customer_churn_dataset!J250),0,MAX(0,customer_churn_dataset!J250))</f>
        <v>20</v>
      </c>
      <c r="K250" s="7" t="n">
        <f aca="false">IF(ISBLANK(customer_churn_dataset!K250),0,MIN(10,MAX(0,customer_churn_dataset!K250)))</f>
        <v>7</v>
      </c>
      <c r="L250" s="7" t="n">
        <f aca="false">IF(ISBLANK(customer_churn_dataset!L250),0,MAX(0,customer_churn_dataset!L250))</f>
        <v>0</v>
      </c>
      <c r="M250" s="7" t="n">
        <f aca="false">IF(ISBLANK(customer_churn_dataset!M250),0,customer_churn_dataset!M250)</f>
        <v>0</v>
      </c>
      <c r="N250" s="7" t="n">
        <f aca="false">IF(ISBLANK(customer_churn_dataset!N250),0,MAX(0,customer_churn_dataset!N250))</f>
        <v>316.96</v>
      </c>
      <c r="O250" s="7" t="n">
        <f aca="false">IF(ISBLANK(customer_churn_dataset!O250),0,customer_churn_dataset!O250)</f>
        <v>0</v>
      </c>
      <c r="P250" s="7" t="str">
        <f aca="false">IF(COUNTIF(customer_churn_dataset!$A$2:$A$1501,customer_churn_dataset!A250)&gt;1,"Duplicate","Unique")</f>
        <v>Unique</v>
      </c>
    </row>
    <row r="251" customFormat="false" ht="14.15" hidden="false" customHeight="true" outlineLevel="0" collapsed="false">
      <c r="A251" s="7" t="str">
        <f aca="false">TRIM(customer_churn_dataset!A251)</f>
        <v>CUST100547</v>
      </c>
      <c r="B251" s="7" t="str">
        <f aca="false">PROPER(TRIM(customer_churn_dataset!B251))</f>
        <v>Standard</v>
      </c>
      <c r="C251" s="7" t="str">
        <f aca="false">PROPER(TRIM(customer_churn_dataset!C251))</f>
        <v>Two Year</v>
      </c>
      <c r="D251" s="7" t="n">
        <f aca="false">IF(ISBLANK(customer_churn_dataset!D251),ROUND(MEDIAN(customer_churn_dataset!D$2:D$1501),2),IF(customer_churn_dataset!D251&lt;0,ABS(customer_churn_dataset!D251),customer_churn_dataset!D251))</f>
        <v>21.89</v>
      </c>
      <c r="E251" s="7" t="n">
        <f aca="false">IF(ISBLANK(customer_churn_dataset!E251),0,MAX(0,customer_churn_dataset!E251))</f>
        <v>1</v>
      </c>
      <c r="F251" s="8" t="n">
        <f aca="false">IF(ISBLANK(customer_churn_dataset!F251),"",customer_churn_dataset!F251)</f>
        <v>44176</v>
      </c>
      <c r="G251" s="7" t="str">
        <f aca="false">PROPER(TRIM(customer_churn_dataset!G251))</f>
        <v>Credit Card</v>
      </c>
      <c r="H251" s="7" t="n">
        <f aca="false">IF(ISBLANK(customer_churn_dataset!H251),0,customer_churn_dataset!H251)</f>
        <v>1</v>
      </c>
      <c r="I251" s="7" t="n">
        <f aca="false">IF(ISBLANK(customer_churn_dataset!I251),ROUND(MEDIAN(customer_churn_dataset!I$2:I$1501),1),MIN(100,MAX(0,customer_churn_dataset!I251)))</f>
        <v>65.4</v>
      </c>
      <c r="J251" s="7" t="n">
        <f aca="false">IF(ISBLANK(customer_churn_dataset!J251),0,MAX(0,customer_churn_dataset!J251))</f>
        <v>18</v>
      </c>
      <c r="K251" s="7" t="n">
        <f aca="false">IF(ISBLANK(customer_churn_dataset!K251),0,MIN(10,MAX(0,customer_churn_dataset!K251)))</f>
        <v>5</v>
      </c>
      <c r="L251" s="7" t="n">
        <f aca="false">IF(ISBLANK(customer_churn_dataset!L251),0,MAX(0,customer_churn_dataset!L251))</f>
        <v>2</v>
      </c>
      <c r="M251" s="7" t="n">
        <f aca="false">IF(ISBLANK(customer_churn_dataset!M251),0,customer_churn_dataset!M251)</f>
        <v>0</v>
      </c>
      <c r="N251" s="7" t="n">
        <f aca="false">IF(ISBLANK(customer_churn_dataset!N251),0,MAX(0,customer_churn_dataset!N251))</f>
        <v>21.89</v>
      </c>
      <c r="O251" s="7" t="n">
        <f aca="false">IF(ISBLANK(customer_churn_dataset!O251),0,customer_churn_dataset!O251)</f>
        <v>0</v>
      </c>
      <c r="P251" s="7" t="str">
        <f aca="false">IF(COUNTIF(customer_churn_dataset!$A$2:$A$1501,customer_churn_dataset!A251)&gt;1,"Duplicate","Unique")</f>
        <v>Unique</v>
      </c>
    </row>
    <row r="252" customFormat="false" ht="14.15" hidden="false" customHeight="true" outlineLevel="0" collapsed="false">
      <c r="A252" s="7" t="str">
        <f aca="false">TRIM(customer_churn_dataset!A252)</f>
        <v>CUST100849</v>
      </c>
      <c r="B252" s="7" t="str">
        <f aca="false">PROPER(TRIM(customer_churn_dataset!B252))</f>
        <v>Standard</v>
      </c>
      <c r="C252" s="7" t="str">
        <f aca="false">PROPER(TRIM(customer_churn_dataset!C252))</f>
        <v>One Year</v>
      </c>
      <c r="D252" s="7" t="n">
        <f aca="false">IF(ISBLANK(customer_churn_dataset!D252),ROUND(MEDIAN(customer_churn_dataset!D$2:D$1501),2),IF(customer_churn_dataset!D252&lt;0,ABS(customer_churn_dataset!D252),customer_churn_dataset!D252))</f>
        <v>20.93</v>
      </c>
      <c r="E252" s="7" t="n">
        <f aca="false">IF(ISBLANK(customer_churn_dataset!E252),0,MAX(0,customer_churn_dataset!E252))</f>
        <v>7</v>
      </c>
      <c r="F252" s="8" t="n">
        <f aca="false">IF(ISBLANK(customer_churn_dataset!F252),"",customer_churn_dataset!F252)</f>
        <v>44177</v>
      </c>
      <c r="G252" s="7" t="str">
        <f aca="false">PROPER(TRIM(customer_churn_dataset!G252))</f>
        <v>Paypal</v>
      </c>
      <c r="H252" s="7" t="n">
        <f aca="false">IF(ISBLANK(customer_churn_dataset!H252),0,customer_churn_dataset!H252)</f>
        <v>1</v>
      </c>
      <c r="I252" s="7" t="n">
        <f aca="false">IF(ISBLANK(customer_churn_dataset!I252),ROUND(MEDIAN(customer_churn_dataset!I$2:I$1501),1),MIN(100,MAX(0,customer_churn_dataset!I252)))</f>
        <v>31.9</v>
      </c>
      <c r="J252" s="7" t="n">
        <f aca="false">IF(ISBLANK(customer_churn_dataset!J252),0,MAX(0,customer_churn_dataset!J252))</f>
        <v>8</v>
      </c>
      <c r="K252" s="7" t="n">
        <f aca="false">IF(ISBLANK(customer_churn_dataset!K252),0,MIN(10,MAX(0,customer_churn_dataset!K252)))</f>
        <v>4</v>
      </c>
      <c r="L252" s="7" t="n">
        <f aca="false">IF(ISBLANK(customer_churn_dataset!L252),0,MAX(0,customer_churn_dataset!L252))</f>
        <v>3</v>
      </c>
      <c r="M252" s="7" t="n">
        <f aca="false">IF(ISBLANK(customer_churn_dataset!M252),0,customer_churn_dataset!M252)</f>
        <v>0</v>
      </c>
      <c r="N252" s="7" t="n">
        <f aca="false">IF(ISBLANK(customer_churn_dataset!N252),0,MAX(0,customer_churn_dataset!N252))</f>
        <v>146.51</v>
      </c>
      <c r="O252" s="7" t="n">
        <f aca="false">IF(ISBLANK(customer_churn_dataset!O252),0,customer_churn_dataset!O252)</f>
        <v>1</v>
      </c>
      <c r="P252" s="7" t="str">
        <f aca="false">IF(COUNTIF(customer_churn_dataset!$A$2:$A$1501,customer_churn_dataset!A252)&gt;1,"Duplicate","Unique")</f>
        <v>Unique</v>
      </c>
    </row>
    <row r="253" customFormat="false" ht="14.15" hidden="false" customHeight="true" outlineLevel="0" collapsed="false">
      <c r="A253" s="7" t="str">
        <f aca="false">TRIM(customer_churn_dataset!A253)</f>
        <v>CUST100670</v>
      </c>
      <c r="B253" s="7" t="str">
        <f aca="false">PROPER(TRIM(customer_churn_dataset!B253))</f>
        <v>Basic</v>
      </c>
      <c r="C253" s="7" t="str">
        <f aca="false">PROPER(TRIM(customer_churn_dataset!C253))</f>
        <v>Two Year</v>
      </c>
      <c r="D253" s="7" t="n">
        <f aca="false">IF(ISBLANK(customer_churn_dataset!D253),ROUND(MEDIAN(customer_churn_dataset!D$2:D$1501),2),IF(customer_churn_dataset!D253&lt;0,ABS(customer_churn_dataset!D253),customer_churn_dataset!D253))</f>
        <v>10.7</v>
      </c>
      <c r="E253" s="7" t="n">
        <f aca="false">IF(ISBLANK(customer_churn_dataset!E253),0,MAX(0,customer_churn_dataset!E253))</f>
        <v>3</v>
      </c>
      <c r="F253" s="8" t="n">
        <f aca="false">IF(ISBLANK(customer_churn_dataset!F253),"",customer_churn_dataset!F253)</f>
        <v>44181</v>
      </c>
      <c r="G253" s="7" t="str">
        <f aca="false">PROPER(TRIM(customer_churn_dataset!G253))</f>
        <v>Credit Card</v>
      </c>
      <c r="H253" s="7" t="n">
        <f aca="false">IF(ISBLANK(customer_churn_dataset!H253),0,customer_churn_dataset!H253)</f>
        <v>1</v>
      </c>
      <c r="I253" s="7" t="n">
        <f aca="false">IF(ISBLANK(customer_churn_dataset!I253),ROUND(MEDIAN(customer_churn_dataset!I$2:I$1501),1),MIN(100,MAX(0,customer_churn_dataset!I253)))</f>
        <v>63.2</v>
      </c>
      <c r="J253" s="7" t="n">
        <f aca="false">IF(ISBLANK(customer_churn_dataset!J253),0,MAX(0,customer_churn_dataset!J253))</f>
        <v>17</v>
      </c>
      <c r="K253" s="7" t="n">
        <f aca="false">IF(ISBLANK(customer_churn_dataset!K253),0,MIN(10,MAX(0,customer_churn_dataset!K253)))</f>
        <v>6</v>
      </c>
      <c r="L253" s="7" t="n">
        <f aca="false">IF(ISBLANK(customer_churn_dataset!L253),0,MAX(0,customer_churn_dataset!L253))</f>
        <v>1</v>
      </c>
      <c r="M253" s="7" t="n">
        <f aca="false">IF(ISBLANK(customer_churn_dataset!M253),0,customer_churn_dataset!M253)</f>
        <v>1</v>
      </c>
      <c r="N253" s="7" t="n">
        <f aca="false">IF(ISBLANK(customer_churn_dataset!N253),0,MAX(0,customer_churn_dataset!N253))</f>
        <v>32.1</v>
      </c>
      <c r="O253" s="7" t="n">
        <f aca="false">IF(ISBLANK(customer_churn_dataset!O253),0,customer_churn_dataset!O253)</f>
        <v>0</v>
      </c>
      <c r="P253" s="7" t="str">
        <f aca="false">IF(COUNTIF(customer_churn_dataset!$A$2:$A$1501,customer_churn_dataset!A253)&gt;1,"Duplicate","Unique")</f>
        <v>Unique</v>
      </c>
    </row>
    <row r="254" customFormat="false" ht="14.15" hidden="false" customHeight="true" outlineLevel="0" collapsed="false">
      <c r="A254" s="7" t="str">
        <f aca="false">TRIM(customer_churn_dataset!A254)</f>
        <v>CUST100273</v>
      </c>
      <c r="B254" s="7" t="str">
        <f aca="false">PROPER(TRIM(customer_churn_dataset!B254))</f>
        <v>Premium</v>
      </c>
      <c r="C254" s="7" t="str">
        <f aca="false">PROPER(TRIM(customer_churn_dataset!C254))</f>
        <v>Month-To-Month</v>
      </c>
      <c r="D254" s="7" t="n">
        <f aca="false">IF(ISBLANK(customer_churn_dataset!D254),ROUND(MEDIAN(customer_churn_dataset!D$2:D$1501),2),IF(customer_churn_dataset!D254&lt;0,ABS(customer_churn_dataset!D254),customer_churn_dataset!D254))</f>
        <v>39.41</v>
      </c>
      <c r="E254" s="7" t="n">
        <f aca="false">IF(ISBLANK(customer_churn_dataset!E254),0,MAX(0,customer_churn_dataset!E254))</f>
        <v>59</v>
      </c>
      <c r="F254" s="8" t="n">
        <f aca="false">IF(ISBLANK(customer_churn_dataset!F254),"",customer_churn_dataset!F254)</f>
        <v>44181</v>
      </c>
      <c r="G254" s="7" t="str">
        <f aca="false">PROPER(TRIM(customer_churn_dataset!G254))</f>
        <v>Credit Card</v>
      </c>
      <c r="H254" s="7" t="n">
        <f aca="false">IF(ISBLANK(customer_churn_dataset!H254),0,customer_churn_dataset!H254)</f>
        <v>0</v>
      </c>
      <c r="I254" s="7" t="n">
        <f aca="false">IF(ISBLANK(customer_churn_dataset!I254),ROUND(MEDIAN(customer_churn_dataset!I$2:I$1501),1),MIN(100,MAX(0,customer_churn_dataset!I254)))</f>
        <v>7.4</v>
      </c>
      <c r="J254" s="7" t="n">
        <f aca="false">IF(ISBLANK(customer_churn_dataset!J254),0,MAX(0,customer_churn_dataset!J254))</f>
        <v>0</v>
      </c>
      <c r="K254" s="7" t="n">
        <f aca="false">IF(ISBLANK(customer_churn_dataset!K254),0,MIN(10,MAX(0,customer_churn_dataset!K254)))</f>
        <v>0</v>
      </c>
      <c r="L254" s="7" t="n">
        <f aca="false">IF(ISBLANK(customer_churn_dataset!L254),0,MAX(0,customer_churn_dataset!L254))</f>
        <v>5</v>
      </c>
      <c r="M254" s="7" t="n">
        <f aca="false">IF(ISBLANK(customer_churn_dataset!M254),0,customer_churn_dataset!M254)</f>
        <v>0</v>
      </c>
      <c r="N254" s="7" t="n">
        <f aca="false">IF(ISBLANK(customer_churn_dataset!N254),0,MAX(0,customer_churn_dataset!N254))</f>
        <v>2325.19</v>
      </c>
      <c r="O254" s="7" t="n">
        <f aca="false">IF(ISBLANK(customer_churn_dataset!O254),0,customer_churn_dataset!O254)</f>
        <v>0</v>
      </c>
      <c r="P254" s="7" t="str">
        <f aca="false">IF(COUNTIF(customer_churn_dataset!$A$2:$A$1501,customer_churn_dataset!A254)&gt;1,"Duplicate","Unique")</f>
        <v>Unique</v>
      </c>
    </row>
    <row r="255" customFormat="false" ht="14.15" hidden="false" customHeight="true" outlineLevel="0" collapsed="false">
      <c r="A255" s="7" t="str">
        <f aca="false">TRIM(customer_churn_dataset!A255)</f>
        <v>CUST100950</v>
      </c>
      <c r="B255" s="7" t="str">
        <f aca="false">PROPER(TRIM(customer_churn_dataset!B255))</f>
        <v>Standard</v>
      </c>
      <c r="C255" s="7" t="str">
        <f aca="false">PROPER(TRIM(customer_churn_dataset!C255))</f>
        <v>One Year</v>
      </c>
      <c r="D255" s="7" t="n">
        <f aca="false">IF(ISBLANK(customer_churn_dataset!D255),ROUND(MEDIAN(customer_churn_dataset!D$2:D$1501),2),IF(customer_churn_dataset!D255&lt;0,ABS(customer_churn_dataset!D255),customer_churn_dataset!D255))</f>
        <v>19.45</v>
      </c>
      <c r="E255" s="7" t="n">
        <f aca="false">IF(ISBLANK(customer_churn_dataset!E255),0,MAX(0,customer_churn_dataset!E255))</f>
        <v>2</v>
      </c>
      <c r="F255" s="8" t="n">
        <f aca="false">IF(ISBLANK(customer_churn_dataset!F255),"",customer_churn_dataset!F255)</f>
        <v>44182</v>
      </c>
      <c r="G255" s="7" t="str">
        <f aca="false">PROPER(TRIM(customer_churn_dataset!G255))</f>
        <v>Credit Card</v>
      </c>
      <c r="H255" s="7" t="n">
        <f aca="false">IF(ISBLANK(customer_churn_dataset!H255),0,customer_churn_dataset!H255)</f>
        <v>1</v>
      </c>
      <c r="I255" s="7" t="n">
        <f aca="false">IF(ISBLANK(customer_churn_dataset!I255),ROUND(MEDIAN(customer_churn_dataset!I$2:I$1501),1),MIN(100,MAX(0,customer_churn_dataset!I255)))</f>
        <v>68.7</v>
      </c>
      <c r="J255" s="7" t="n">
        <f aca="false">IF(ISBLANK(customer_churn_dataset!J255),0,MAX(0,customer_churn_dataset!J255))</f>
        <v>16</v>
      </c>
      <c r="K255" s="7" t="n">
        <f aca="false">IF(ISBLANK(customer_churn_dataset!K255),0,MIN(10,MAX(0,customer_churn_dataset!K255)))</f>
        <v>7</v>
      </c>
      <c r="L255" s="7" t="n">
        <f aca="false">IF(ISBLANK(customer_churn_dataset!L255),0,MAX(0,customer_churn_dataset!L255))</f>
        <v>0</v>
      </c>
      <c r="M255" s="7" t="n">
        <f aca="false">IF(ISBLANK(customer_churn_dataset!M255),0,customer_churn_dataset!M255)</f>
        <v>0</v>
      </c>
      <c r="N255" s="7" t="n">
        <f aca="false">IF(ISBLANK(customer_churn_dataset!N255),0,MAX(0,customer_churn_dataset!N255))</f>
        <v>38.9</v>
      </c>
      <c r="O255" s="7" t="n">
        <f aca="false">IF(ISBLANK(customer_churn_dataset!O255),0,customer_churn_dataset!O255)</f>
        <v>0</v>
      </c>
      <c r="P255" s="7" t="str">
        <f aca="false">IF(COUNTIF(customer_churn_dataset!$A$2:$A$1501,customer_churn_dataset!A255)&gt;1,"Duplicate","Unique")</f>
        <v>Unique</v>
      </c>
    </row>
    <row r="256" customFormat="false" ht="14.15" hidden="false" customHeight="true" outlineLevel="0" collapsed="false">
      <c r="A256" s="7" t="str">
        <f aca="false">TRIM(customer_churn_dataset!A256)</f>
        <v>CUST100852</v>
      </c>
      <c r="B256" s="7" t="str">
        <f aca="false">PROPER(TRIM(customer_churn_dataset!B256))</f>
        <v>Basic</v>
      </c>
      <c r="C256" s="7" t="str">
        <f aca="false">PROPER(TRIM(customer_churn_dataset!C256))</f>
        <v>One Year</v>
      </c>
      <c r="D256" s="7" t="n">
        <f aca="false">IF(ISBLANK(customer_churn_dataset!D256),ROUND(MEDIAN(customer_churn_dataset!D$2:D$1501),2),IF(customer_churn_dataset!D256&lt;0,ABS(customer_churn_dataset!D256),customer_churn_dataset!D256))</f>
        <v>9.22</v>
      </c>
      <c r="E256" s="7" t="n">
        <f aca="false">IF(ISBLANK(customer_churn_dataset!E256),0,MAX(0,customer_churn_dataset!E256))</f>
        <v>2</v>
      </c>
      <c r="F256" s="8" t="n">
        <f aca="false">IF(ISBLANK(customer_churn_dataset!F256),"",customer_churn_dataset!F256)</f>
        <v>44183</v>
      </c>
      <c r="G256" s="7" t="str">
        <f aca="false">PROPER(TRIM(customer_churn_dataset!G256))</f>
        <v>Manual/Invoice</v>
      </c>
      <c r="H256" s="7" t="n">
        <f aca="false">IF(ISBLANK(customer_churn_dataset!H256),0,customer_churn_dataset!H256)</f>
        <v>1</v>
      </c>
      <c r="I256" s="7" t="n">
        <f aca="false">IF(ISBLANK(customer_churn_dataset!I256),ROUND(MEDIAN(customer_churn_dataset!I$2:I$1501),1),MIN(100,MAX(0,customer_churn_dataset!I256)))</f>
        <v>76</v>
      </c>
      <c r="J256" s="7" t="n">
        <f aca="false">IF(ISBLANK(customer_churn_dataset!J256),0,MAX(0,customer_churn_dataset!J256))</f>
        <v>25</v>
      </c>
      <c r="K256" s="7" t="n">
        <f aca="false">IF(ISBLANK(customer_churn_dataset!K256),0,MIN(10,MAX(0,customer_churn_dataset!K256)))</f>
        <v>7</v>
      </c>
      <c r="L256" s="7" t="n">
        <f aca="false">IF(ISBLANK(customer_churn_dataset!L256),0,MAX(0,customer_churn_dataset!L256))</f>
        <v>1</v>
      </c>
      <c r="M256" s="7" t="n">
        <f aca="false">IF(ISBLANK(customer_churn_dataset!M256),0,customer_churn_dataset!M256)</f>
        <v>0</v>
      </c>
      <c r="N256" s="7" t="n">
        <f aca="false">IF(ISBLANK(customer_churn_dataset!N256),0,MAX(0,customer_churn_dataset!N256))</f>
        <v>18.44</v>
      </c>
      <c r="O256" s="7" t="n">
        <f aca="false">IF(ISBLANK(customer_churn_dataset!O256),0,customer_churn_dataset!O256)</f>
        <v>0</v>
      </c>
      <c r="P256" s="7" t="str">
        <f aca="false">IF(COUNTIF(customer_churn_dataset!$A$2:$A$1501,customer_churn_dataset!A256)&gt;1,"Duplicate","Unique")</f>
        <v>Unique</v>
      </c>
    </row>
    <row r="257" customFormat="false" ht="14.15" hidden="false" customHeight="true" outlineLevel="0" collapsed="false">
      <c r="A257" s="7" t="str">
        <f aca="false">TRIM(customer_churn_dataset!A257)</f>
        <v>CUST100112</v>
      </c>
      <c r="B257" s="7" t="str">
        <f aca="false">PROPER(TRIM(customer_churn_dataset!B257))</f>
        <v>Premium</v>
      </c>
      <c r="C257" s="7" t="str">
        <f aca="false">PROPER(TRIM(customer_churn_dataset!C257))</f>
        <v>Month-To-Month</v>
      </c>
      <c r="D257" s="7" t="n">
        <f aca="false">IF(ISBLANK(customer_churn_dataset!D257),ROUND(MEDIAN(customer_churn_dataset!D$2:D$1501),2),IF(customer_churn_dataset!D257&lt;0,ABS(customer_churn_dataset!D257),customer_churn_dataset!D257))</f>
        <v>38.9</v>
      </c>
      <c r="E257" s="7" t="n">
        <f aca="false">IF(ISBLANK(customer_churn_dataset!E257),0,MAX(0,customer_churn_dataset!E257))</f>
        <v>0</v>
      </c>
      <c r="F257" s="8" t="n">
        <f aca="false">IF(ISBLANK(customer_churn_dataset!F257),"",customer_churn_dataset!F257)</f>
        <v>44184</v>
      </c>
      <c r="G257" s="7" t="str">
        <f aca="false">PROPER(TRIM(customer_churn_dataset!G257))</f>
        <v>Paypal</v>
      </c>
      <c r="H257" s="7" t="n">
        <f aca="false">IF(ISBLANK(customer_churn_dataset!H257),0,customer_churn_dataset!H257)</f>
        <v>0</v>
      </c>
      <c r="I257" s="7" t="n">
        <f aca="false">IF(ISBLANK(customer_churn_dataset!I257),ROUND(MEDIAN(customer_churn_dataset!I$2:I$1501),1),MIN(100,MAX(0,customer_churn_dataset!I257)))</f>
        <v>30.2</v>
      </c>
      <c r="J257" s="7" t="n">
        <f aca="false">IF(ISBLANK(customer_churn_dataset!J257),0,MAX(0,customer_churn_dataset!J257))</f>
        <v>10</v>
      </c>
      <c r="K257" s="7" t="n">
        <f aca="false">IF(ISBLANK(customer_churn_dataset!K257),0,MIN(10,MAX(0,customer_churn_dataset!K257)))</f>
        <v>5</v>
      </c>
      <c r="L257" s="7" t="n">
        <f aca="false">IF(ISBLANK(customer_churn_dataset!L257),0,MAX(0,customer_churn_dataset!L257))</f>
        <v>2</v>
      </c>
      <c r="M257" s="7" t="n">
        <f aca="false">IF(ISBLANK(customer_churn_dataset!M257),0,customer_churn_dataset!M257)</f>
        <v>0</v>
      </c>
      <c r="N257" s="7" t="n">
        <f aca="false">IF(ISBLANK(customer_churn_dataset!N257),0,MAX(0,customer_churn_dataset!N257))</f>
        <v>0</v>
      </c>
      <c r="O257" s="7" t="n">
        <f aca="false">IF(ISBLANK(customer_churn_dataset!O257),0,customer_churn_dataset!O257)</f>
        <v>1</v>
      </c>
      <c r="P257" s="7" t="str">
        <f aca="false">IF(COUNTIF(customer_churn_dataset!$A$2:$A$1501,customer_churn_dataset!A257)&gt;1,"Duplicate","Unique")</f>
        <v>Unique</v>
      </c>
    </row>
    <row r="258" customFormat="false" ht="14.15" hidden="false" customHeight="true" outlineLevel="0" collapsed="false">
      <c r="A258" s="7" t="str">
        <f aca="false">TRIM(customer_churn_dataset!A258)</f>
        <v>CUST100228</v>
      </c>
      <c r="B258" s="7" t="str">
        <f aca="false">PROPER(TRIM(customer_churn_dataset!B258))</f>
        <v>Premium</v>
      </c>
      <c r="C258" s="7" t="str">
        <f aca="false">PROPER(TRIM(customer_churn_dataset!C258))</f>
        <v>Month-To-Month</v>
      </c>
      <c r="D258" s="7" t="n">
        <f aca="false">IF(ISBLANK(customer_churn_dataset!D258),ROUND(MEDIAN(customer_churn_dataset!D$2:D$1501),2),IF(customer_churn_dataset!D258&lt;0,ABS(customer_churn_dataset!D258),customer_churn_dataset!D258))</f>
        <v>40.02</v>
      </c>
      <c r="E258" s="7" t="n">
        <f aca="false">IF(ISBLANK(customer_churn_dataset!E258),0,MAX(0,customer_churn_dataset!E258))</f>
        <v>1</v>
      </c>
      <c r="F258" s="8" t="n">
        <f aca="false">IF(ISBLANK(customer_churn_dataset!F258),"",customer_churn_dataset!F258)</f>
        <v>44185</v>
      </c>
      <c r="G258" s="7" t="str">
        <f aca="false">PROPER(TRIM(customer_churn_dataset!G258))</f>
        <v>Bank Transfer</v>
      </c>
      <c r="H258" s="7" t="n">
        <f aca="false">IF(ISBLANK(customer_churn_dataset!H258),0,customer_churn_dataset!H258)</f>
        <v>1</v>
      </c>
      <c r="I258" s="7" t="n">
        <f aca="false">IF(ISBLANK(customer_churn_dataset!I258),ROUND(MEDIAN(customer_churn_dataset!I$2:I$1501),1),MIN(100,MAX(0,customer_churn_dataset!I258)))</f>
        <v>82.1</v>
      </c>
      <c r="J258" s="7" t="n">
        <f aca="false">IF(ISBLANK(customer_churn_dataset!J258),0,MAX(0,customer_churn_dataset!J258))</f>
        <v>26</v>
      </c>
      <c r="K258" s="7" t="n">
        <f aca="false">IF(ISBLANK(customer_churn_dataset!K258),0,MIN(10,MAX(0,customer_churn_dataset!K258)))</f>
        <v>5</v>
      </c>
      <c r="L258" s="7" t="n">
        <f aca="false">IF(ISBLANK(customer_churn_dataset!L258),0,MAX(0,customer_churn_dataset!L258))</f>
        <v>0</v>
      </c>
      <c r="M258" s="7" t="n">
        <f aca="false">IF(ISBLANK(customer_churn_dataset!M258),0,customer_churn_dataset!M258)</f>
        <v>0</v>
      </c>
      <c r="N258" s="7" t="n">
        <f aca="false">IF(ISBLANK(customer_churn_dataset!N258),0,MAX(0,customer_churn_dataset!N258))</f>
        <v>40.02</v>
      </c>
      <c r="O258" s="7" t="n">
        <f aca="false">IF(ISBLANK(customer_churn_dataset!O258),0,customer_churn_dataset!O258)</f>
        <v>0</v>
      </c>
      <c r="P258" s="7" t="str">
        <f aca="false">IF(COUNTIF(customer_churn_dataset!$A$2:$A$1501,customer_churn_dataset!A258)&gt;1,"Duplicate","Unique")</f>
        <v>Unique</v>
      </c>
    </row>
    <row r="259" customFormat="false" ht="14.15" hidden="false" customHeight="true" outlineLevel="0" collapsed="false">
      <c r="A259" s="7" t="str">
        <f aca="false">TRIM(customer_churn_dataset!A259)</f>
        <v>CUST100813</v>
      </c>
      <c r="B259" s="7" t="str">
        <f aca="false">PROPER(TRIM(customer_churn_dataset!B259))</f>
        <v>Premium</v>
      </c>
      <c r="C259" s="7" t="str">
        <f aca="false">PROPER(TRIM(customer_churn_dataset!C259))</f>
        <v>Month-To-Month</v>
      </c>
      <c r="D259" s="7" t="n">
        <f aca="false">IF(ISBLANK(customer_churn_dataset!D259),ROUND(MEDIAN(customer_churn_dataset!D$2:D$1501),2),IF(customer_churn_dataset!D259&lt;0,ABS(customer_churn_dataset!D259),customer_churn_dataset!D259))</f>
        <v>40.18</v>
      </c>
      <c r="E259" s="7" t="n">
        <f aca="false">IF(ISBLANK(customer_churn_dataset!E259),0,MAX(0,customer_churn_dataset!E259))</f>
        <v>4</v>
      </c>
      <c r="F259" s="8" t="n">
        <f aca="false">IF(ISBLANK(customer_churn_dataset!F259),"",customer_churn_dataset!F259)</f>
        <v>44186</v>
      </c>
      <c r="G259" s="7" t="str">
        <f aca="false">PROPER(TRIM(customer_churn_dataset!G259))</f>
        <v>Paypal</v>
      </c>
      <c r="H259" s="7" t="n">
        <f aca="false">IF(ISBLANK(customer_churn_dataset!H259),0,customer_churn_dataset!H259)</f>
        <v>1</v>
      </c>
      <c r="I259" s="7" t="n">
        <f aca="false">IF(ISBLANK(customer_churn_dataset!I259),ROUND(MEDIAN(customer_churn_dataset!I$2:I$1501),1),MIN(100,MAX(0,customer_churn_dataset!I259)))</f>
        <v>69.6</v>
      </c>
      <c r="J259" s="7" t="n">
        <f aca="false">IF(ISBLANK(customer_churn_dataset!J259),0,MAX(0,customer_churn_dataset!J259))</f>
        <v>23</v>
      </c>
      <c r="K259" s="7" t="n">
        <f aca="false">IF(ISBLANK(customer_churn_dataset!K259),0,MIN(10,MAX(0,customer_churn_dataset!K259)))</f>
        <v>6</v>
      </c>
      <c r="L259" s="7" t="n">
        <f aca="false">IF(ISBLANK(customer_churn_dataset!L259),0,MAX(0,customer_churn_dataset!L259))</f>
        <v>1</v>
      </c>
      <c r="M259" s="7" t="n">
        <f aca="false">IF(ISBLANK(customer_churn_dataset!M259),0,customer_churn_dataset!M259)</f>
        <v>0</v>
      </c>
      <c r="N259" s="7" t="n">
        <f aca="false">IF(ISBLANK(customer_churn_dataset!N259),0,MAX(0,customer_churn_dataset!N259))</f>
        <v>160.72</v>
      </c>
      <c r="O259" s="7" t="n">
        <f aca="false">IF(ISBLANK(customer_churn_dataset!O259),0,customer_churn_dataset!O259)</f>
        <v>0</v>
      </c>
      <c r="P259" s="7" t="str">
        <f aca="false">IF(COUNTIF(customer_churn_dataset!$A$2:$A$1501,customer_churn_dataset!A259)&gt;1,"Duplicate","Unique")</f>
        <v>Unique</v>
      </c>
    </row>
    <row r="260" customFormat="false" ht="14.15" hidden="false" customHeight="true" outlineLevel="0" collapsed="false">
      <c r="A260" s="7" t="str">
        <f aca="false">TRIM(customer_churn_dataset!A260)</f>
        <v>CUST100926</v>
      </c>
      <c r="B260" s="7" t="str">
        <f aca="false">PROPER(TRIM(customer_churn_dataset!B260))</f>
        <v>Basic</v>
      </c>
      <c r="C260" s="7" t="str">
        <f aca="false">PROPER(TRIM(customer_churn_dataset!C260))</f>
        <v>One Year</v>
      </c>
      <c r="D260" s="7" t="n">
        <f aca="false">IF(ISBLANK(customer_churn_dataset!D260),ROUND(MEDIAN(customer_churn_dataset!D$2:D$1501),2),IF(customer_churn_dataset!D260&lt;0,ABS(customer_churn_dataset!D260),customer_churn_dataset!D260))</f>
        <v>9.48</v>
      </c>
      <c r="E260" s="7" t="n">
        <f aca="false">IF(ISBLANK(customer_churn_dataset!E260),0,MAX(0,customer_churn_dataset!E260))</f>
        <v>72</v>
      </c>
      <c r="F260" s="8" t="n">
        <f aca="false">IF(ISBLANK(customer_churn_dataset!F260),"",customer_churn_dataset!F260)</f>
        <v>44186</v>
      </c>
      <c r="G260" s="7" t="str">
        <f aca="false">PROPER(TRIM(customer_churn_dataset!G260))</f>
        <v>Credit Card</v>
      </c>
      <c r="H260" s="7" t="n">
        <f aca="false">IF(ISBLANK(customer_churn_dataset!H260),0,customer_churn_dataset!H260)</f>
        <v>0</v>
      </c>
      <c r="I260" s="7" t="n">
        <f aca="false">IF(ISBLANK(customer_churn_dataset!I260),ROUND(MEDIAN(customer_churn_dataset!I$2:I$1501),1),MIN(100,MAX(0,customer_churn_dataset!I260)))</f>
        <v>55.5</v>
      </c>
      <c r="J260" s="7" t="n">
        <f aca="false">IF(ISBLANK(customer_churn_dataset!J260),0,MAX(0,customer_churn_dataset!J260))</f>
        <v>15</v>
      </c>
      <c r="K260" s="7" t="n">
        <f aca="false">IF(ISBLANK(customer_churn_dataset!K260),0,MIN(10,MAX(0,customer_churn_dataset!K260)))</f>
        <v>6</v>
      </c>
      <c r="L260" s="7" t="n">
        <f aca="false">IF(ISBLANK(customer_churn_dataset!L260),0,MAX(0,customer_churn_dataset!L260))</f>
        <v>1</v>
      </c>
      <c r="M260" s="7" t="n">
        <f aca="false">IF(ISBLANK(customer_churn_dataset!M260),0,customer_churn_dataset!M260)</f>
        <v>0</v>
      </c>
      <c r="N260" s="7" t="n">
        <f aca="false">IF(ISBLANK(customer_churn_dataset!N260),0,MAX(0,customer_churn_dataset!N260))</f>
        <v>682.56</v>
      </c>
      <c r="O260" s="7" t="n">
        <f aca="false">IF(ISBLANK(customer_churn_dataset!O260),0,customer_churn_dataset!O260)</f>
        <v>0</v>
      </c>
      <c r="P260" s="7" t="str">
        <f aca="false">IF(COUNTIF(customer_churn_dataset!$A$2:$A$1501,customer_churn_dataset!A260)&gt;1,"Duplicate","Unique")</f>
        <v>Unique</v>
      </c>
    </row>
    <row r="261" customFormat="false" ht="14.15" hidden="false" customHeight="true" outlineLevel="0" collapsed="false">
      <c r="A261" s="7" t="str">
        <f aca="false">TRIM(customer_churn_dataset!A261)</f>
        <v>CUST100848</v>
      </c>
      <c r="B261" s="7" t="str">
        <f aca="false">PROPER(TRIM(customer_churn_dataset!B261))</f>
        <v>Standard</v>
      </c>
      <c r="C261" s="7" t="str">
        <f aca="false">PROPER(TRIM(customer_churn_dataset!C261))</f>
        <v>One Year</v>
      </c>
      <c r="D261" s="7" t="n">
        <f aca="false">IF(ISBLANK(customer_churn_dataset!D261),ROUND(MEDIAN(customer_churn_dataset!D$2:D$1501),2),IF(customer_churn_dataset!D261&lt;0,ABS(customer_churn_dataset!D261),customer_churn_dataset!D261))</f>
        <v>20.65</v>
      </c>
      <c r="E261" s="7" t="n">
        <f aca="false">IF(ISBLANK(customer_churn_dataset!E261),0,MAX(0,customer_churn_dataset!E261))</f>
        <v>24</v>
      </c>
      <c r="F261" s="8" t="n">
        <f aca="false">IF(ISBLANK(customer_churn_dataset!F261),"",customer_churn_dataset!F261)</f>
        <v>44186</v>
      </c>
      <c r="G261" s="7" t="str">
        <f aca="false">PROPER(TRIM(customer_churn_dataset!G261))</f>
        <v>Credit Card</v>
      </c>
      <c r="H261" s="7" t="n">
        <f aca="false">IF(ISBLANK(customer_churn_dataset!H261),0,customer_churn_dataset!H261)</f>
        <v>1</v>
      </c>
      <c r="I261" s="7" t="n">
        <f aca="false">IF(ISBLANK(customer_churn_dataset!I261),ROUND(MEDIAN(customer_churn_dataset!I$2:I$1501),1),MIN(100,MAX(0,customer_churn_dataset!I261)))</f>
        <v>29.6</v>
      </c>
      <c r="J261" s="7" t="n">
        <f aca="false">IF(ISBLANK(customer_churn_dataset!J261),0,MAX(0,customer_churn_dataset!J261))</f>
        <v>7</v>
      </c>
      <c r="K261" s="7" t="n">
        <f aca="false">IF(ISBLANK(customer_churn_dataset!K261),0,MIN(10,MAX(0,customer_churn_dataset!K261)))</f>
        <v>4</v>
      </c>
      <c r="L261" s="7" t="n">
        <f aca="false">IF(ISBLANK(customer_churn_dataset!L261),0,MAX(0,customer_churn_dataset!L261))</f>
        <v>2</v>
      </c>
      <c r="M261" s="7" t="n">
        <f aca="false">IF(ISBLANK(customer_churn_dataset!M261),0,customer_churn_dataset!M261)</f>
        <v>1</v>
      </c>
      <c r="N261" s="7" t="n">
        <f aca="false">IF(ISBLANK(customer_churn_dataset!N261),0,MAX(0,customer_churn_dataset!N261))</f>
        <v>495.6</v>
      </c>
      <c r="O261" s="7" t="n">
        <f aca="false">IF(ISBLANK(customer_churn_dataset!O261),0,customer_churn_dataset!O261)</f>
        <v>0</v>
      </c>
      <c r="P261" s="7" t="str">
        <f aca="false">IF(COUNTIF(customer_churn_dataset!$A$2:$A$1501,customer_churn_dataset!A261)&gt;1,"Duplicate","Unique")</f>
        <v>Unique</v>
      </c>
    </row>
    <row r="262" customFormat="false" ht="14.15" hidden="false" customHeight="true" outlineLevel="0" collapsed="false">
      <c r="A262" s="7" t="str">
        <f aca="false">TRIM(customer_churn_dataset!A262)</f>
        <v>CUST100060</v>
      </c>
      <c r="B262" s="7" t="str">
        <f aca="false">PROPER(TRIM(customer_churn_dataset!B262))</f>
        <v>Basic</v>
      </c>
      <c r="C262" s="7" t="str">
        <f aca="false">PROPER(TRIM(customer_churn_dataset!C262))</f>
        <v>One Year</v>
      </c>
      <c r="D262" s="7" t="n">
        <f aca="false">IF(ISBLANK(customer_churn_dataset!D262),ROUND(MEDIAN(customer_churn_dataset!D$2:D$1501),2),IF(customer_churn_dataset!D262&lt;0,ABS(customer_churn_dataset!D262),customer_churn_dataset!D262))</f>
        <v>8.8</v>
      </c>
      <c r="E262" s="7" t="n">
        <f aca="false">IF(ISBLANK(customer_churn_dataset!E262),0,MAX(0,customer_churn_dataset!E262))</f>
        <v>13</v>
      </c>
      <c r="F262" s="8" t="n">
        <f aca="false">IF(ISBLANK(customer_churn_dataset!F262),"",customer_churn_dataset!F262)</f>
        <v>44187</v>
      </c>
      <c r="G262" s="7" t="str">
        <f aca="false">PROPER(TRIM(customer_churn_dataset!G262))</f>
        <v>Manual/Invoice</v>
      </c>
      <c r="H262" s="7" t="n">
        <f aca="false">IF(ISBLANK(customer_churn_dataset!H262),0,customer_churn_dataset!H262)</f>
        <v>1</v>
      </c>
      <c r="I262" s="7" t="n">
        <f aca="false">IF(ISBLANK(customer_churn_dataset!I262),ROUND(MEDIAN(customer_churn_dataset!I$2:I$1501),1),MIN(100,MAX(0,customer_churn_dataset!I262)))</f>
        <v>83.3</v>
      </c>
      <c r="J262" s="7" t="n">
        <f aca="false">IF(ISBLANK(customer_churn_dataset!J262),0,MAX(0,customer_churn_dataset!J262))</f>
        <v>30</v>
      </c>
      <c r="K262" s="7" t="n">
        <f aca="false">IF(ISBLANK(customer_churn_dataset!K262),0,MIN(10,MAX(0,customer_churn_dataset!K262)))</f>
        <v>5</v>
      </c>
      <c r="L262" s="7" t="n">
        <f aca="false">IF(ISBLANK(customer_churn_dataset!L262),0,MAX(0,customer_churn_dataset!L262))</f>
        <v>0</v>
      </c>
      <c r="M262" s="7" t="n">
        <f aca="false">IF(ISBLANK(customer_churn_dataset!M262),0,customer_churn_dataset!M262)</f>
        <v>0</v>
      </c>
      <c r="N262" s="7" t="n">
        <f aca="false">IF(ISBLANK(customer_churn_dataset!N262),0,MAX(0,customer_churn_dataset!N262))</f>
        <v>114.4</v>
      </c>
      <c r="O262" s="7" t="n">
        <f aca="false">IF(ISBLANK(customer_churn_dataset!O262),0,customer_churn_dataset!O262)</f>
        <v>0</v>
      </c>
      <c r="P262" s="7" t="str">
        <f aca="false">IF(COUNTIF(customer_churn_dataset!$A$2:$A$1501,customer_churn_dataset!A262)&gt;1,"Duplicate","Unique")</f>
        <v>Unique</v>
      </c>
    </row>
    <row r="263" customFormat="false" ht="14.15" hidden="false" customHeight="true" outlineLevel="0" collapsed="false">
      <c r="A263" s="7" t="str">
        <f aca="false">TRIM(customer_churn_dataset!A263)</f>
        <v>CUST100544</v>
      </c>
      <c r="B263" s="7" t="str">
        <f aca="false">PROPER(TRIM(customer_churn_dataset!B263))</f>
        <v>Standard</v>
      </c>
      <c r="C263" s="7" t="str">
        <f aca="false">PROPER(TRIM(customer_churn_dataset!C263))</f>
        <v>Month-To-Month</v>
      </c>
      <c r="D263" s="7" t="n">
        <f aca="false">IF(ISBLANK(customer_churn_dataset!D263),ROUND(MEDIAN(customer_churn_dataset!D$2:D$1501),2),IF(customer_churn_dataset!D263&lt;0,ABS(customer_churn_dataset!D263),customer_churn_dataset!D263))</f>
        <v>20.4</v>
      </c>
      <c r="E263" s="7" t="n">
        <f aca="false">IF(ISBLANK(customer_churn_dataset!E263),0,MAX(0,customer_churn_dataset!E263))</f>
        <v>25</v>
      </c>
      <c r="F263" s="8" t="n">
        <f aca="false">IF(ISBLANK(customer_churn_dataset!F263),"",customer_churn_dataset!F263)</f>
        <v>44189</v>
      </c>
      <c r="G263" s="7" t="str">
        <f aca="false">PROPER(TRIM(customer_churn_dataset!G263))</f>
        <v>Credit Card</v>
      </c>
      <c r="H263" s="7" t="n">
        <f aca="false">IF(ISBLANK(customer_churn_dataset!H263),0,customer_churn_dataset!H263)</f>
        <v>0</v>
      </c>
      <c r="I263" s="7" t="n">
        <f aca="false">IF(ISBLANK(customer_churn_dataset!I263),ROUND(MEDIAN(customer_churn_dataset!I$2:I$1501),1),MIN(100,MAX(0,customer_churn_dataset!I263)))</f>
        <v>35</v>
      </c>
      <c r="J263" s="7" t="n">
        <f aca="false">IF(ISBLANK(customer_churn_dataset!J263),0,MAX(0,customer_churn_dataset!J263))</f>
        <v>8</v>
      </c>
      <c r="K263" s="7" t="n">
        <f aca="false">IF(ISBLANK(customer_churn_dataset!K263),0,MIN(10,MAX(0,customer_churn_dataset!K263)))</f>
        <v>4</v>
      </c>
      <c r="L263" s="7" t="n">
        <f aca="false">IF(ISBLANK(customer_churn_dataset!L263),0,MAX(0,customer_churn_dataset!L263))</f>
        <v>1</v>
      </c>
      <c r="M263" s="7" t="n">
        <f aca="false">IF(ISBLANK(customer_churn_dataset!M263),0,customer_churn_dataset!M263)</f>
        <v>1</v>
      </c>
      <c r="N263" s="7" t="n">
        <f aca="false">IF(ISBLANK(customer_churn_dataset!N263),0,MAX(0,customer_churn_dataset!N263))</f>
        <v>510</v>
      </c>
      <c r="O263" s="7" t="n">
        <f aca="false">IF(ISBLANK(customer_churn_dataset!O263),0,customer_churn_dataset!O263)</f>
        <v>0</v>
      </c>
      <c r="P263" s="7" t="str">
        <f aca="false">IF(COUNTIF(customer_churn_dataset!$A$2:$A$1501,customer_churn_dataset!A263)&gt;1,"Duplicate","Unique")</f>
        <v>Unique</v>
      </c>
    </row>
    <row r="264" customFormat="false" ht="14.15" hidden="false" customHeight="true" outlineLevel="0" collapsed="false">
      <c r="A264" s="7" t="str">
        <f aca="false">TRIM(customer_churn_dataset!A264)</f>
        <v>CUST100055</v>
      </c>
      <c r="B264" s="7" t="str">
        <f aca="false">PROPER(TRIM(customer_churn_dataset!B264))</f>
        <v>Premium</v>
      </c>
      <c r="C264" s="7" t="str">
        <f aca="false">PROPER(TRIM(customer_churn_dataset!C264))</f>
        <v>One Year</v>
      </c>
      <c r="D264" s="7" t="n">
        <f aca="false">IF(ISBLANK(customer_churn_dataset!D264),ROUND(MEDIAN(customer_churn_dataset!D$2:D$1501),2),IF(customer_churn_dataset!D264&lt;0,ABS(customer_churn_dataset!D264),customer_churn_dataset!D264))</f>
        <v>41.24</v>
      </c>
      <c r="E264" s="7" t="n">
        <f aca="false">IF(ISBLANK(customer_churn_dataset!E264),0,MAX(0,customer_churn_dataset!E264))</f>
        <v>29</v>
      </c>
      <c r="F264" s="8" t="n">
        <f aca="false">IF(ISBLANK(customer_churn_dataset!F264),"",customer_churn_dataset!F264)</f>
        <v>44190</v>
      </c>
      <c r="G264" s="7" t="str">
        <f aca="false">PROPER(TRIM(customer_churn_dataset!G264))</f>
        <v>Paypal</v>
      </c>
      <c r="H264" s="7" t="n">
        <f aca="false">IF(ISBLANK(customer_churn_dataset!H264),0,customer_churn_dataset!H264)</f>
        <v>1</v>
      </c>
      <c r="I264" s="7" t="n">
        <f aca="false">IF(ISBLANK(customer_churn_dataset!I264),ROUND(MEDIAN(customer_churn_dataset!I$2:I$1501),1),MIN(100,MAX(0,customer_churn_dataset!I264)))</f>
        <v>10.9</v>
      </c>
      <c r="J264" s="7" t="n">
        <f aca="false">IF(ISBLANK(customer_churn_dataset!J264),0,MAX(0,customer_churn_dataset!J264))</f>
        <v>4</v>
      </c>
      <c r="K264" s="7" t="n">
        <f aca="false">IF(ISBLANK(customer_churn_dataset!K264),0,MIN(10,MAX(0,customer_churn_dataset!K264)))</f>
        <v>0</v>
      </c>
      <c r="L264" s="7" t="n">
        <f aca="false">IF(ISBLANK(customer_churn_dataset!L264),0,MAX(0,customer_churn_dataset!L264))</f>
        <v>4</v>
      </c>
      <c r="M264" s="7" t="n">
        <f aca="false">IF(ISBLANK(customer_churn_dataset!M264),0,customer_churn_dataset!M264)</f>
        <v>1</v>
      </c>
      <c r="N264" s="7" t="n">
        <f aca="false">IF(ISBLANK(customer_churn_dataset!N264),0,MAX(0,customer_churn_dataset!N264))</f>
        <v>1195.96</v>
      </c>
      <c r="O264" s="7" t="n">
        <f aca="false">IF(ISBLANK(customer_churn_dataset!O264),0,customer_churn_dataset!O264)</f>
        <v>0</v>
      </c>
      <c r="P264" s="7" t="str">
        <f aca="false">IF(COUNTIF(customer_churn_dataset!$A$2:$A$1501,customer_churn_dataset!A264)&gt;1,"Duplicate","Unique")</f>
        <v>Unique</v>
      </c>
    </row>
    <row r="265" customFormat="false" ht="14.15" hidden="false" customHeight="true" outlineLevel="0" collapsed="false">
      <c r="A265" s="7" t="str">
        <f aca="false">TRIM(customer_churn_dataset!A265)</f>
        <v>CUST101145</v>
      </c>
      <c r="B265" s="7" t="str">
        <f aca="false">PROPER(TRIM(customer_churn_dataset!B265))</f>
        <v>Premium</v>
      </c>
      <c r="C265" s="7" t="str">
        <f aca="false">PROPER(TRIM(customer_churn_dataset!C265))</f>
        <v>Month-To-Month</v>
      </c>
      <c r="D265" s="7" t="n">
        <f aca="false">IF(ISBLANK(customer_churn_dataset!D265),ROUND(MEDIAN(customer_churn_dataset!D$2:D$1501),2),IF(customer_churn_dataset!D265&lt;0,ABS(customer_churn_dataset!D265),customer_churn_dataset!D265))</f>
        <v>43.1</v>
      </c>
      <c r="E265" s="7" t="n">
        <f aca="false">IF(ISBLANK(customer_churn_dataset!E265),0,MAX(0,customer_churn_dataset!E265))</f>
        <v>37</v>
      </c>
      <c r="F265" s="8" t="n">
        <f aca="false">IF(ISBLANK(customer_churn_dataset!F265),"",customer_churn_dataset!F265)</f>
        <v>44193</v>
      </c>
      <c r="G265" s="7" t="str">
        <f aca="false">PROPER(TRIM(customer_churn_dataset!G265))</f>
        <v>Manual/Invoice</v>
      </c>
      <c r="H265" s="7" t="n">
        <f aca="false">IF(ISBLANK(customer_churn_dataset!H265),0,customer_churn_dataset!H265)</f>
        <v>1</v>
      </c>
      <c r="I265" s="7" t="n">
        <f aca="false">IF(ISBLANK(customer_churn_dataset!I265),ROUND(MEDIAN(customer_churn_dataset!I$2:I$1501),1),MIN(100,MAX(0,customer_churn_dataset!I265)))</f>
        <v>34.6</v>
      </c>
      <c r="J265" s="7" t="n">
        <f aca="false">IF(ISBLANK(customer_churn_dataset!J265),0,MAX(0,customer_churn_dataset!J265))</f>
        <v>7</v>
      </c>
      <c r="K265" s="7" t="n">
        <f aca="false">IF(ISBLANK(customer_churn_dataset!K265),0,MIN(10,MAX(0,customer_churn_dataset!K265)))</f>
        <v>2</v>
      </c>
      <c r="L265" s="7" t="n">
        <f aca="false">IF(ISBLANK(customer_churn_dataset!L265),0,MAX(0,customer_churn_dataset!L265))</f>
        <v>1</v>
      </c>
      <c r="M265" s="7" t="n">
        <f aca="false">IF(ISBLANK(customer_churn_dataset!M265),0,customer_churn_dataset!M265)</f>
        <v>0</v>
      </c>
      <c r="N265" s="7" t="n">
        <f aca="false">IF(ISBLANK(customer_churn_dataset!N265),0,MAX(0,customer_churn_dataset!N265))</f>
        <v>1594.7</v>
      </c>
      <c r="O265" s="7" t="n">
        <f aca="false">IF(ISBLANK(customer_churn_dataset!O265),0,customer_churn_dataset!O265)</f>
        <v>0</v>
      </c>
      <c r="P265" s="7" t="str">
        <f aca="false">IF(COUNTIF(customer_churn_dataset!$A$2:$A$1501,customer_churn_dataset!A265)&gt;1,"Duplicate","Unique")</f>
        <v>Unique</v>
      </c>
    </row>
    <row r="266" customFormat="false" ht="14.15" hidden="false" customHeight="true" outlineLevel="0" collapsed="false">
      <c r="A266" s="7" t="str">
        <f aca="false">TRIM(customer_churn_dataset!A266)</f>
        <v>CUST100963</v>
      </c>
      <c r="B266" s="7" t="str">
        <f aca="false">PROPER(TRIM(customer_churn_dataset!B266))</f>
        <v>Basic</v>
      </c>
      <c r="C266" s="7" t="str">
        <f aca="false">PROPER(TRIM(customer_churn_dataset!C266))</f>
        <v>One Year</v>
      </c>
      <c r="D266" s="7" t="n">
        <f aca="false">IF(ISBLANK(customer_churn_dataset!D266),ROUND(MEDIAN(customer_churn_dataset!D$2:D$1501),2),IF(customer_churn_dataset!D266&lt;0,ABS(customer_churn_dataset!D266),customer_churn_dataset!D266))</f>
        <v>9.73</v>
      </c>
      <c r="E266" s="7" t="n">
        <f aca="false">IF(ISBLANK(customer_churn_dataset!E266),0,MAX(0,customer_churn_dataset!E266))</f>
        <v>16</v>
      </c>
      <c r="F266" s="8" t="n">
        <f aca="false">IF(ISBLANK(customer_churn_dataset!F266),"",customer_churn_dataset!F266)</f>
        <v>44196</v>
      </c>
      <c r="G266" s="7" t="str">
        <f aca="false">PROPER(TRIM(customer_churn_dataset!G266))</f>
        <v>Paypal</v>
      </c>
      <c r="H266" s="7" t="n">
        <f aca="false">IF(ISBLANK(customer_churn_dataset!H266),0,customer_churn_dataset!H266)</f>
        <v>0</v>
      </c>
      <c r="I266" s="7" t="n">
        <f aca="false">IF(ISBLANK(customer_churn_dataset!I266),ROUND(MEDIAN(customer_churn_dataset!I$2:I$1501),1),MIN(100,MAX(0,customer_churn_dataset!I266)))</f>
        <v>28.2</v>
      </c>
      <c r="J266" s="7" t="n">
        <f aca="false">IF(ISBLANK(customer_churn_dataset!J266),0,MAX(0,customer_churn_dataset!J266))</f>
        <v>15</v>
      </c>
      <c r="K266" s="7" t="n">
        <f aca="false">IF(ISBLANK(customer_churn_dataset!K266),0,MIN(10,MAX(0,customer_churn_dataset!K266)))</f>
        <v>3</v>
      </c>
      <c r="L266" s="7" t="n">
        <f aca="false">IF(ISBLANK(customer_churn_dataset!L266),0,MAX(0,customer_churn_dataset!L266))</f>
        <v>2</v>
      </c>
      <c r="M266" s="7" t="n">
        <f aca="false">IF(ISBLANK(customer_churn_dataset!M266),0,customer_churn_dataset!M266)</f>
        <v>1</v>
      </c>
      <c r="N266" s="7" t="n">
        <f aca="false">IF(ISBLANK(customer_churn_dataset!N266),0,MAX(0,customer_churn_dataset!N266))</f>
        <v>155.68</v>
      </c>
      <c r="O266" s="7" t="n">
        <f aca="false">IF(ISBLANK(customer_churn_dataset!O266),0,customer_churn_dataset!O266)</f>
        <v>0</v>
      </c>
      <c r="P266" s="7" t="str">
        <f aca="false">IF(COUNTIF(customer_churn_dataset!$A$2:$A$1501,customer_churn_dataset!A266)&gt;1,"Duplicate","Unique")</f>
        <v>Unique</v>
      </c>
    </row>
    <row r="267" customFormat="false" ht="14.15" hidden="false" customHeight="true" outlineLevel="0" collapsed="false">
      <c r="A267" s="7" t="str">
        <f aca="false">TRIM(customer_churn_dataset!A267)</f>
        <v>CUST100641</v>
      </c>
      <c r="B267" s="7" t="str">
        <f aca="false">PROPER(TRIM(customer_churn_dataset!B267))</f>
        <v>Basic</v>
      </c>
      <c r="C267" s="7" t="str">
        <f aca="false">PROPER(TRIM(customer_churn_dataset!C267))</f>
        <v>Month-To-Month</v>
      </c>
      <c r="D267" s="7" t="n">
        <f aca="false">IF(ISBLANK(customer_churn_dataset!D267),ROUND(MEDIAN(customer_churn_dataset!D$2:D$1501),2),IF(customer_churn_dataset!D267&lt;0,ABS(customer_churn_dataset!D267),customer_churn_dataset!D267))</f>
        <v>9.93</v>
      </c>
      <c r="E267" s="7" t="n">
        <f aca="false">IF(ISBLANK(customer_churn_dataset!E267),0,MAX(0,customer_churn_dataset!E267))</f>
        <v>8</v>
      </c>
      <c r="F267" s="8" t="n">
        <f aca="false">IF(ISBLANK(customer_churn_dataset!F267),"",customer_churn_dataset!F267)</f>
        <v>44196</v>
      </c>
      <c r="G267" s="7" t="str">
        <f aca="false">PROPER(TRIM(customer_churn_dataset!G267))</f>
        <v>Credit Card</v>
      </c>
      <c r="H267" s="7" t="n">
        <f aca="false">IF(ISBLANK(customer_churn_dataset!H267),0,customer_churn_dataset!H267)</f>
        <v>1</v>
      </c>
      <c r="I267" s="7" t="n">
        <f aca="false">IF(ISBLANK(customer_churn_dataset!I267),ROUND(MEDIAN(customer_churn_dataset!I$2:I$1501),1),MIN(100,MAX(0,customer_churn_dataset!I267)))</f>
        <v>43.7</v>
      </c>
      <c r="J267" s="7" t="n">
        <f aca="false">IF(ISBLANK(customer_churn_dataset!J267),0,MAX(0,customer_churn_dataset!J267))</f>
        <v>13</v>
      </c>
      <c r="K267" s="7" t="n">
        <f aca="false">IF(ISBLANK(customer_churn_dataset!K267),0,MIN(10,MAX(0,customer_churn_dataset!K267)))</f>
        <v>6</v>
      </c>
      <c r="L267" s="7" t="n">
        <f aca="false">IF(ISBLANK(customer_churn_dataset!L267),0,MAX(0,customer_churn_dataset!L267))</f>
        <v>2</v>
      </c>
      <c r="M267" s="7" t="n">
        <f aca="false">IF(ISBLANK(customer_churn_dataset!M267),0,customer_churn_dataset!M267)</f>
        <v>0</v>
      </c>
      <c r="N267" s="7" t="n">
        <f aca="false">IF(ISBLANK(customer_churn_dataset!N267),0,MAX(0,customer_churn_dataset!N267))</f>
        <v>79.44</v>
      </c>
      <c r="O267" s="7" t="n">
        <f aca="false">IF(ISBLANK(customer_churn_dataset!O267),0,customer_churn_dataset!O267)</f>
        <v>0</v>
      </c>
      <c r="P267" s="7" t="str">
        <f aca="false">IF(COUNTIF(customer_churn_dataset!$A$2:$A$1501,customer_churn_dataset!A267)&gt;1,"Duplicate","Unique")</f>
        <v>Unique</v>
      </c>
    </row>
    <row r="268" customFormat="false" ht="14.15" hidden="false" customHeight="true" outlineLevel="0" collapsed="false">
      <c r="A268" s="7" t="str">
        <f aca="false">TRIM(customer_churn_dataset!A268)</f>
        <v>CUST100213</v>
      </c>
      <c r="B268" s="7" t="str">
        <f aca="false">PROPER(TRIM(customer_churn_dataset!B268))</f>
        <v>Basic</v>
      </c>
      <c r="C268" s="7" t="str">
        <f aca="false">PROPER(TRIM(customer_churn_dataset!C268))</f>
        <v>Month-To-Month</v>
      </c>
      <c r="D268" s="7" t="n">
        <f aca="false">IF(ISBLANK(customer_churn_dataset!D268),ROUND(MEDIAN(customer_churn_dataset!D$2:D$1501),2),IF(customer_churn_dataset!D268&lt;0,ABS(customer_churn_dataset!D268),customer_churn_dataset!D268))</f>
        <v>8.38</v>
      </c>
      <c r="E268" s="7" t="n">
        <f aca="false">IF(ISBLANK(customer_churn_dataset!E268),0,MAX(0,customer_churn_dataset!E268))</f>
        <v>12</v>
      </c>
      <c r="F268" s="8" t="n">
        <f aca="false">IF(ISBLANK(customer_churn_dataset!F268),"",customer_churn_dataset!F268)</f>
        <v>44197</v>
      </c>
      <c r="G268" s="7" t="str">
        <f aca="false">PROPER(TRIM(customer_churn_dataset!G268))</f>
        <v>Paypal</v>
      </c>
      <c r="H268" s="7" t="n">
        <f aca="false">IF(ISBLANK(customer_churn_dataset!H268),0,customer_churn_dataset!H268)</f>
        <v>0</v>
      </c>
      <c r="I268" s="7" t="n">
        <f aca="false">IF(ISBLANK(customer_churn_dataset!I268),ROUND(MEDIAN(customer_churn_dataset!I$2:I$1501),1),MIN(100,MAX(0,customer_churn_dataset!I268)))</f>
        <v>61.6</v>
      </c>
      <c r="J268" s="7" t="n">
        <f aca="false">IF(ISBLANK(customer_churn_dataset!J268),0,MAX(0,customer_churn_dataset!J268))</f>
        <v>21</v>
      </c>
      <c r="K268" s="7" t="n">
        <f aca="false">IF(ISBLANK(customer_churn_dataset!K268),0,MIN(10,MAX(0,customer_churn_dataset!K268)))</f>
        <v>6</v>
      </c>
      <c r="L268" s="7" t="n">
        <f aca="false">IF(ISBLANK(customer_churn_dataset!L268),0,MAX(0,customer_churn_dataset!L268))</f>
        <v>2</v>
      </c>
      <c r="M268" s="7" t="n">
        <f aca="false">IF(ISBLANK(customer_churn_dataset!M268),0,customer_churn_dataset!M268)</f>
        <v>0</v>
      </c>
      <c r="N268" s="7" t="n">
        <f aca="false">IF(ISBLANK(customer_churn_dataset!N268),0,MAX(0,customer_churn_dataset!N268))</f>
        <v>100.56</v>
      </c>
      <c r="O268" s="7" t="n">
        <f aca="false">IF(ISBLANK(customer_churn_dataset!O268),0,customer_churn_dataset!O268)</f>
        <v>0</v>
      </c>
      <c r="P268" s="7" t="str">
        <f aca="false">IF(COUNTIF(customer_churn_dataset!$A$2:$A$1501,customer_churn_dataset!A268)&gt;1,"Duplicate","Unique")</f>
        <v>Unique</v>
      </c>
    </row>
    <row r="269" customFormat="false" ht="14.15" hidden="false" customHeight="true" outlineLevel="0" collapsed="false">
      <c r="A269" s="7" t="str">
        <f aca="false">TRIM(customer_churn_dataset!A269)</f>
        <v>CUST100833</v>
      </c>
      <c r="B269" s="7" t="str">
        <f aca="false">PROPER(TRIM(customer_churn_dataset!B269))</f>
        <v>Basic</v>
      </c>
      <c r="C269" s="7" t="str">
        <f aca="false">PROPER(TRIM(customer_churn_dataset!C269))</f>
        <v>One Year</v>
      </c>
      <c r="D269" s="7" t="n">
        <f aca="false">IF(ISBLANK(customer_churn_dataset!D269),ROUND(MEDIAN(customer_churn_dataset!D$2:D$1501),2),IF(customer_churn_dataset!D269&lt;0,ABS(customer_churn_dataset!D269),customer_churn_dataset!D269))</f>
        <v>10.7</v>
      </c>
      <c r="E269" s="7" t="n">
        <f aca="false">IF(ISBLANK(customer_churn_dataset!E269),0,MAX(0,customer_churn_dataset!E269))</f>
        <v>7</v>
      </c>
      <c r="F269" s="8" t="n">
        <f aca="false">IF(ISBLANK(customer_churn_dataset!F269),"",customer_churn_dataset!F269)</f>
        <v>44201</v>
      </c>
      <c r="G269" s="7" t="str">
        <f aca="false">PROPER(TRIM(customer_churn_dataset!G269))</f>
        <v>Manual/Invoice</v>
      </c>
      <c r="H269" s="7" t="n">
        <f aca="false">IF(ISBLANK(customer_churn_dataset!H269),0,customer_churn_dataset!H269)</f>
        <v>0</v>
      </c>
      <c r="I269" s="7" t="n">
        <f aca="false">IF(ISBLANK(customer_churn_dataset!I269),ROUND(MEDIAN(customer_churn_dataset!I$2:I$1501),1),MIN(100,MAX(0,customer_churn_dataset!I269)))</f>
        <v>35.4</v>
      </c>
      <c r="J269" s="7" t="n">
        <f aca="false">IF(ISBLANK(customer_churn_dataset!J269),0,MAX(0,customer_churn_dataset!J269))</f>
        <v>16</v>
      </c>
      <c r="K269" s="7" t="n">
        <f aca="false">IF(ISBLANK(customer_churn_dataset!K269),0,MIN(10,MAX(0,customer_churn_dataset!K269)))</f>
        <v>3</v>
      </c>
      <c r="L269" s="7" t="n">
        <f aca="false">IF(ISBLANK(customer_churn_dataset!L269),0,MAX(0,customer_churn_dataset!L269))</f>
        <v>1</v>
      </c>
      <c r="M269" s="7" t="n">
        <f aca="false">IF(ISBLANK(customer_churn_dataset!M269),0,customer_churn_dataset!M269)</f>
        <v>0</v>
      </c>
      <c r="N269" s="7" t="n">
        <f aca="false">IF(ISBLANK(customer_churn_dataset!N269),0,MAX(0,customer_churn_dataset!N269))</f>
        <v>74.9</v>
      </c>
      <c r="O269" s="7" t="n">
        <f aca="false">IF(ISBLANK(customer_churn_dataset!O269),0,customer_churn_dataset!O269)</f>
        <v>0</v>
      </c>
      <c r="P269" s="7" t="str">
        <f aca="false">IF(COUNTIF(customer_churn_dataset!$A$2:$A$1501,customer_churn_dataset!A269)&gt;1,"Duplicate","Unique")</f>
        <v>Unique</v>
      </c>
    </row>
    <row r="270" customFormat="false" ht="14.15" hidden="false" customHeight="true" outlineLevel="0" collapsed="false">
      <c r="A270" s="7" t="str">
        <f aca="false">TRIM(customer_churn_dataset!A270)</f>
        <v>CUST100154</v>
      </c>
      <c r="B270" s="7" t="str">
        <f aca="false">PROPER(TRIM(customer_churn_dataset!B270))</f>
        <v>Premium</v>
      </c>
      <c r="C270" s="7" t="str">
        <f aca="false">PROPER(TRIM(customer_churn_dataset!C270))</f>
        <v>Month-To-Month</v>
      </c>
      <c r="D270" s="7" t="n">
        <f aca="false">IF(ISBLANK(customer_churn_dataset!D270),ROUND(MEDIAN(customer_churn_dataset!D$2:D$1501),2),IF(customer_churn_dataset!D270&lt;0,ABS(customer_churn_dataset!D270),customer_churn_dataset!D270))</f>
        <v>40</v>
      </c>
      <c r="E270" s="7" t="n">
        <f aca="false">IF(ISBLANK(customer_churn_dataset!E270),0,MAX(0,customer_churn_dataset!E270))</f>
        <v>24</v>
      </c>
      <c r="F270" s="8" t="n">
        <f aca="false">IF(ISBLANK(customer_churn_dataset!F270),"",customer_churn_dataset!F270)</f>
        <v>44203</v>
      </c>
      <c r="G270" s="7" t="str">
        <f aca="false">PROPER(TRIM(customer_churn_dataset!G270))</f>
        <v>Credit Card</v>
      </c>
      <c r="H270" s="7" t="n">
        <f aca="false">IF(ISBLANK(customer_churn_dataset!H270),0,customer_churn_dataset!H270)</f>
        <v>1</v>
      </c>
      <c r="I270" s="7" t="n">
        <f aca="false">IF(ISBLANK(customer_churn_dataset!I270),ROUND(MEDIAN(customer_churn_dataset!I$2:I$1501),1),MIN(100,MAX(0,customer_churn_dataset!I270)))</f>
        <v>13.5</v>
      </c>
      <c r="J270" s="7" t="n">
        <f aca="false">IF(ISBLANK(customer_churn_dataset!J270),0,MAX(0,customer_churn_dataset!J270))</f>
        <v>0</v>
      </c>
      <c r="K270" s="7" t="n">
        <f aca="false">IF(ISBLANK(customer_churn_dataset!K270),0,MIN(10,MAX(0,customer_churn_dataset!K270)))</f>
        <v>0</v>
      </c>
      <c r="L270" s="7" t="n">
        <f aca="false">IF(ISBLANK(customer_churn_dataset!L270),0,MAX(0,customer_churn_dataset!L270))</f>
        <v>6</v>
      </c>
      <c r="M270" s="7" t="n">
        <f aca="false">IF(ISBLANK(customer_churn_dataset!M270),0,customer_churn_dataset!M270)</f>
        <v>1</v>
      </c>
      <c r="N270" s="7" t="n">
        <f aca="false">IF(ISBLANK(customer_churn_dataset!N270),0,MAX(0,customer_churn_dataset!N270))</f>
        <v>960</v>
      </c>
      <c r="O270" s="7" t="n">
        <f aca="false">IF(ISBLANK(customer_churn_dataset!O270),0,customer_churn_dataset!O270)</f>
        <v>0</v>
      </c>
      <c r="P270" s="7" t="str">
        <f aca="false">IF(COUNTIF(customer_churn_dataset!$A$2:$A$1501,customer_churn_dataset!A270)&gt;1,"Duplicate","Unique")</f>
        <v>Unique</v>
      </c>
    </row>
    <row r="271" customFormat="false" ht="14.15" hidden="false" customHeight="true" outlineLevel="0" collapsed="false">
      <c r="A271" s="7" t="str">
        <f aca="false">TRIM(customer_churn_dataset!A271)</f>
        <v>CUST100551</v>
      </c>
      <c r="B271" s="7" t="str">
        <f aca="false">PROPER(TRIM(customer_churn_dataset!B271))</f>
        <v>Premium</v>
      </c>
      <c r="C271" s="7" t="str">
        <f aca="false">PROPER(TRIM(customer_churn_dataset!C271))</f>
        <v>Month-To-Month</v>
      </c>
      <c r="D271" s="7" t="n">
        <f aca="false">IF(ISBLANK(customer_churn_dataset!D271),ROUND(MEDIAN(customer_churn_dataset!D$2:D$1501),2),IF(customer_churn_dataset!D271&lt;0,ABS(customer_churn_dataset!D271),customer_churn_dataset!D271))</f>
        <v>39.87</v>
      </c>
      <c r="E271" s="7" t="n">
        <f aca="false">IF(ISBLANK(customer_churn_dataset!E271),0,MAX(0,customer_churn_dataset!E271))</f>
        <v>8</v>
      </c>
      <c r="F271" s="8" t="n">
        <f aca="false">IF(ISBLANK(customer_churn_dataset!F271),"",customer_churn_dataset!F271)</f>
        <v>44204</v>
      </c>
      <c r="G271" s="7" t="str">
        <f aca="false">PROPER(TRIM(customer_churn_dataset!G271))</f>
        <v>Manual/Invoice</v>
      </c>
      <c r="H271" s="7" t="n">
        <f aca="false">IF(ISBLANK(customer_churn_dataset!H271),0,customer_churn_dataset!H271)</f>
        <v>1</v>
      </c>
      <c r="I271" s="7" t="n">
        <f aca="false">IF(ISBLANK(customer_churn_dataset!I271),ROUND(MEDIAN(customer_churn_dataset!I$2:I$1501),1),MIN(100,MAX(0,customer_churn_dataset!I271)))</f>
        <v>39.7</v>
      </c>
      <c r="J271" s="7" t="n">
        <f aca="false">IF(ISBLANK(customer_churn_dataset!J271),0,MAX(0,customer_churn_dataset!J271))</f>
        <v>8</v>
      </c>
      <c r="K271" s="7" t="n">
        <f aca="false">IF(ISBLANK(customer_churn_dataset!K271),0,MIN(10,MAX(0,customer_churn_dataset!K271)))</f>
        <v>4</v>
      </c>
      <c r="L271" s="7" t="n">
        <f aca="false">IF(ISBLANK(customer_churn_dataset!L271),0,MAX(0,customer_churn_dataset!L271))</f>
        <v>3</v>
      </c>
      <c r="M271" s="7" t="n">
        <f aca="false">IF(ISBLANK(customer_churn_dataset!M271),0,customer_churn_dataset!M271)</f>
        <v>0</v>
      </c>
      <c r="N271" s="7" t="n">
        <f aca="false">IF(ISBLANK(customer_churn_dataset!N271),0,MAX(0,customer_churn_dataset!N271))</f>
        <v>318.96</v>
      </c>
      <c r="O271" s="7" t="n">
        <f aca="false">IF(ISBLANK(customer_churn_dataset!O271),0,customer_churn_dataset!O271)</f>
        <v>0</v>
      </c>
      <c r="P271" s="7" t="str">
        <f aca="false">IF(COUNTIF(customer_churn_dataset!$A$2:$A$1501,customer_churn_dataset!A271)&gt;1,"Duplicate","Unique")</f>
        <v>Unique</v>
      </c>
    </row>
    <row r="272" customFormat="false" ht="14.15" hidden="false" customHeight="true" outlineLevel="0" collapsed="false">
      <c r="A272" s="7" t="str">
        <f aca="false">TRIM(customer_churn_dataset!A272)</f>
        <v>CUST100691</v>
      </c>
      <c r="B272" s="7" t="str">
        <f aca="false">PROPER(TRIM(customer_churn_dataset!B272))</f>
        <v>Basic</v>
      </c>
      <c r="C272" s="7" t="str">
        <f aca="false">PROPER(TRIM(customer_churn_dataset!C272))</f>
        <v>Month-To-Month</v>
      </c>
      <c r="D272" s="7" t="n">
        <f aca="false">IF(ISBLANK(customer_churn_dataset!D272),ROUND(MEDIAN(customer_churn_dataset!D$2:D$1501),2),IF(customer_churn_dataset!D272&lt;0,ABS(customer_churn_dataset!D272),customer_churn_dataset!D272))</f>
        <v>11.77</v>
      </c>
      <c r="E272" s="7" t="n">
        <f aca="false">IF(ISBLANK(customer_churn_dataset!E272),0,MAX(0,customer_churn_dataset!E272))</f>
        <v>29</v>
      </c>
      <c r="F272" s="8" t="n">
        <f aca="false">IF(ISBLANK(customer_churn_dataset!F272),"",customer_churn_dataset!F272)</f>
        <v>44206</v>
      </c>
      <c r="G272" s="7" t="str">
        <f aca="false">PROPER(TRIM(customer_churn_dataset!G272))</f>
        <v>Credit Card</v>
      </c>
      <c r="H272" s="7" t="n">
        <f aca="false">IF(ISBLANK(customer_churn_dataset!H272),0,customer_churn_dataset!H272)</f>
        <v>1</v>
      </c>
      <c r="I272" s="7" t="n">
        <f aca="false">IF(ISBLANK(customer_churn_dataset!I272),ROUND(MEDIAN(customer_churn_dataset!I$2:I$1501),1),MIN(100,MAX(0,customer_churn_dataset!I272)))</f>
        <v>100</v>
      </c>
      <c r="J272" s="7" t="n">
        <f aca="false">IF(ISBLANK(customer_churn_dataset!J272),0,MAX(0,customer_churn_dataset!J272))</f>
        <v>30</v>
      </c>
      <c r="K272" s="7" t="n">
        <f aca="false">IF(ISBLANK(customer_churn_dataset!K272),0,MIN(10,MAX(0,customer_churn_dataset!K272)))</f>
        <v>10</v>
      </c>
      <c r="L272" s="7" t="n">
        <f aca="false">IF(ISBLANK(customer_churn_dataset!L272),0,MAX(0,customer_churn_dataset!L272))</f>
        <v>0</v>
      </c>
      <c r="M272" s="7" t="n">
        <f aca="false">IF(ISBLANK(customer_churn_dataset!M272),0,customer_churn_dataset!M272)</f>
        <v>0</v>
      </c>
      <c r="N272" s="7" t="n">
        <f aca="false">IF(ISBLANK(customer_churn_dataset!N272),0,MAX(0,customer_churn_dataset!N272))</f>
        <v>341.33</v>
      </c>
      <c r="O272" s="7" t="n">
        <f aca="false">IF(ISBLANK(customer_churn_dataset!O272),0,customer_churn_dataset!O272)</f>
        <v>0</v>
      </c>
      <c r="P272" s="7" t="str">
        <f aca="false">IF(COUNTIF(customer_churn_dataset!$A$2:$A$1501,customer_churn_dataset!A272)&gt;1,"Duplicate","Unique")</f>
        <v>Unique</v>
      </c>
    </row>
    <row r="273" customFormat="false" ht="14.15" hidden="false" customHeight="true" outlineLevel="0" collapsed="false">
      <c r="A273" s="7" t="str">
        <f aca="false">TRIM(customer_churn_dataset!A273)</f>
        <v>CUST100011</v>
      </c>
      <c r="B273" s="7" t="str">
        <f aca="false">PROPER(TRIM(customer_churn_dataset!B273))</f>
        <v>Premium</v>
      </c>
      <c r="C273" s="7" t="str">
        <f aca="false">PROPER(TRIM(customer_churn_dataset!C273))</f>
        <v>Month-To-Month</v>
      </c>
      <c r="D273" s="7" t="n">
        <f aca="false">IF(ISBLANK(customer_churn_dataset!D273),ROUND(MEDIAN(customer_churn_dataset!D$2:D$1501),2),IF(customer_churn_dataset!D273&lt;0,ABS(customer_churn_dataset!D273),customer_churn_dataset!D273))</f>
        <v>40.27</v>
      </c>
      <c r="E273" s="7" t="n">
        <f aca="false">IF(ISBLANK(customer_churn_dataset!E273),0,MAX(0,customer_churn_dataset!E273))</f>
        <v>26</v>
      </c>
      <c r="F273" s="8" t="n">
        <f aca="false">IF(ISBLANK(customer_churn_dataset!F273),"",customer_churn_dataset!F273)</f>
        <v>44209</v>
      </c>
      <c r="G273" s="7" t="str">
        <f aca="false">PROPER(TRIM(customer_churn_dataset!G273))</f>
        <v>Bank Transfer</v>
      </c>
      <c r="H273" s="7" t="n">
        <f aca="false">IF(ISBLANK(customer_churn_dataset!H273),0,customer_churn_dataset!H273)</f>
        <v>1</v>
      </c>
      <c r="I273" s="7" t="n">
        <f aca="false">IF(ISBLANK(customer_churn_dataset!I273),ROUND(MEDIAN(customer_churn_dataset!I$2:I$1501),1),MIN(100,MAX(0,customer_churn_dataset!I273)))</f>
        <v>57.5</v>
      </c>
      <c r="J273" s="7" t="n">
        <f aca="false">IF(ISBLANK(customer_churn_dataset!J273),0,MAX(0,customer_churn_dataset!J273))</f>
        <v>12</v>
      </c>
      <c r="K273" s="7" t="n">
        <f aca="false">IF(ISBLANK(customer_churn_dataset!K273),0,MIN(10,MAX(0,customer_churn_dataset!K273)))</f>
        <v>4</v>
      </c>
      <c r="L273" s="7" t="n">
        <f aca="false">IF(ISBLANK(customer_churn_dataset!L273),0,MAX(0,customer_churn_dataset!L273))</f>
        <v>3</v>
      </c>
      <c r="M273" s="7" t="n">
        <f aca="false">IF(ISBLANK(customer_churn_dataset!M273),0,customer_churn_dataset!M273)</f>
        <v>0</v>
      </c>
      <c r="N273" s="7" t="n">
        <f aca="false">IF(ISBLANK(customer_churn_dataset!N273),0,MAX(0,customer_churn_dataset!N273))</f>
        <v>1047.02</v>
      </c>
      <c r="O273" s="7" t="n">
        <f aca="false">IF(ISBLANK(customer_churn_dataset!O273),0,customer_churn_dataset!O273)</f>
        <v>0</v>
      </c>
      <c r="P273" s="7" t="str">
        <f aca="false">IF(COUNTIF(customer_churn_dataset!$A$2:$A$1501,customer_churn_dataset!A273)&gt;1,"Duplicate","Unique")</f>
        <v>Unique</v>
      </c>
    </row>
    <row r="274" customFormat="false" ht="14.15" hidden="false" customHeight="true" outlineLevel="0" collapsed="false">
      <c r="A274" s="7" t="str">
        <f aca="false">TRIM(customer_churn_dataset!A274)</f>
        <v>CUST101190</v>
      </c>
      <c r="B274" s="7" t="str">
        <f aca="false">PROPER(TRIM(customer_churn_dataset!B274))</f>
        <v>Basic</v>
      </c>
      <c r="C274" s="7" t="str">
        <f aca="false">PROPER(TRIM(customer_churn_dataset!C274))</f>
        <v>One Year</v>
      </c>
      <c r="D274" s="7" t="n">
        <f aca="false">IF(ISBLANK(customer_churn_dataset!D274),ROUND(MEDIAN(customer_churn_dataset!D$2:D$1501),2),IF(customer_churn_dataset!D274&lt;0,ABS(customer_churn_dataset!D274),customer_churn_dataset!D274))</f>
        <v>11.05</v>
      </c>
      <c r="E274" s="7" t="n">
        <f aca="false">IF(ISBLANK(customer_churn_dataset!E274),0,MAX(0,customer_churn_dataset!E274))</f>
        <v>14</v>
      </c>
      <c r="F274" s="8" t="n">
        <f aca="false">IF(ISBLANK(customer_churn_dataset!F274),"",customer_churn_dataset!F274)</f>
        <v>44209</v>
      </c>
      <c r="G274" s="7" t="str">
        <f aca="false">PROPER(TRIM(customer_churn_dataset!G274))</f>
        <v>Credit Card</v>
      </c>
      <c r="H274" s="7" t="n">
        <f aca="false">IF(ISBLANK(customer_churn_dataset!H274),0,customer_churn_dataset!H274)</f>
        <v>1</v>
      </c>
      <c r="I274" s="7" t="n">
        <f aca="false">IF(ISBLANK(customer_churn_dataset!I274),ROUND(MEDIAN(customer_churn_dataset!I$2:I$1501),1),MIN(100,MAX(0,customer_churn_dataset!I274)))</f>
        <v>80.7</v>
      </c>
      <c r="J274" s="7" t="n">
        <f aca="false">IF(ISBLANK(customer_churn_dataset!J274),0,MAX(0,customer_churn_dataset!J274))</f>
        <v>23</v>
      </c>
      <c r="K274" s="7" t="n">
        <f aca="false">IF(ISBLANK(customer_churn_dataset!K274),0,MIN(10,MAX(0,customer_churn_dataset!K274)))</f>
        <v>4</v>
      </c>
      <c r="L274" s="7" t="n">
        <f aca="false">IF(ISBLANK(customer_churn_dataset!L274),0,MAX(0,customer_churn_dataset!L274))</f>
        <v>3</v>
      </c>
      <c r="M274" s="7" t="n">
        <f aca="false">IF(ISBLANK(customer_churn_dataset!M274),0,customer_churn_dataset!M274)</f>
        <v>0</v>
      </c>
      <c r="N274" s="7" t="n">
        <f aca="false">IF(ISBLANK(customer_churn_dataset!N274),0,MAX(0,customer_churn_dataset!N274))</f>
        <v>154.7</v>
      </c>
      <c r="O274" s="7" t="n">
        <f aca="false">IF(ISBLANK(customer_churn_dataset!O274),0,customer_churn_dataset!O274)</f>
        <v>0</v>
      </c>
      <c r="P274" s="7" t="str">
        <f aca="false">IF(COUNTIF(customer_churn_dataset!$A$2:$A$1501,customer_churn_dataset!A274)&gt;1,"Duplicate","Unique")</f>
        <v>Unique</v>
      </c>
    </row>
    <row r="275" customFormat="false" ht="14.15" hidden="false" customHeight="true" outlineLevel="0" collapsed="false">
      <c r="A275" s="7" t="str">
        <f aca="false">TRIM(customer_churn_dataset!A275)</f>
        <v>CUST100623</v>
      </c>
      <c r="B275" s="7" t="str">
        <f aca="false">PROPER(TRIM(customer_churn_dataset!B275))</f>
        <v>Standard</v>
      </c>
      <c r="C275" s="7" t="str">
        <f aca="false">PROPER(TRIM(customer_churn_dataset!C275))</f>
        <v>Two Year</v>
      </c>
      <c r="D275" s="7" t="n">
        <f aca="false">IF(ISBLANK(customer_churn_dataset!D275),ROUND(MEDIAN(customer_churn_dataset!D$2:D$1501),2),IF(customer_churn_dataset!D275&lt;0,ABS(customer_churn_dataset!D275),customer_churn_dataset!D275))</f>
        <v>20.75</v>
      </c>
      <c r="E275" s="7" t="n">
        <f aca="false">IF(ISBLANK(customer_churn_dataset!E275),0,MAX(0,customer_churn_dataset!E275))</f>
        <v>54</v>
      </c>
      <c r="F275" s="8" t="n">
        <f aca="false">IF(ISBLANK(customer_churn_dataset!F275),"",customer_churn_dataset!F275)</f>
        <v>44209</v>
      </c>
      <c r="G275" s="7" t="str">
        <f aca="false">PROPER(TRIM(customer_churn_dataset!G275))</f>
        <v>Credit Card</v>
      </c>
      <c r="H275" s="7" t="n">
        <f aca="false">IF(ISBLANK(customer_churn_dataset!H275),0,customer_churn_dataset!H275)</f>
        <v>0</v>
      </c>
      <c r="I275" s="7" t="n">
        <f aca="false">IF(ISBLANK(customer_churn_dataset!I275),ROUND(MEDIAN(customer_churn_dataset!I$2:I$1501),1),MIN(100,MAX(0,customer_churn_dataset!I275)))</f>
        <v>66.1</v>
      </c>
      <c r="J275" s="7" t="n">
        <f aca="false">IF(ISBLANK(customer_churn_dataset!J275),0,MAX(0,customer_churn_dataset!J275))</f>
        <v>26</v>
      </c>
      <c r="K275" s="7" t="n">
        <f aca="false">IF(ISBLANK(customer_churn_dataset!K275),0,MIN(10,MAX(0,customer_churn_dataset!K275)))</f>
        <v>6</v>
      </c>
      <c r="L275" s="7" t="n">
        <f aca="false">IF(ISBLANK(customer_churn_dataset!L275),0,MAX(0,customer_churn_dataset!L275))</f>
        <v>3</v>
      </c>
      <c r="M275" s="7" t="n">
        <f aca="false">IF(ISBLANK(customer_churn_dataset!M275),0,customer_churn_dataset!M275)</f>
        <v>0</v>
      </c>
      <c r="N275" s="7" t="n">
        <f aca="false">IF(ISBLANK(customer_churn_dataset!N275),0,MAX(0,customer_churn_dataset!N275))</f>
        <v>1120.5</v>
      </c>
      <c r="O275" s="7" t="n">
        <f aca="false">IF(ISBLANK(customer_churn_dataset!O275),0,customer_churn_dataset!O275)</f>
        <v>0</v>
      </c>
      <c r="P275" s="7" t="str">
        <f aca="false">IF(COUNTIF(customer_churn_dataset!$A$2:$A$1501,customer_churn_dataset!A275)&gt;1,"Duplicate","Unique")</f>
        <v>Unique</v>
      </c>
    </row>
    <row r="276" customFormat="false" ht="14.15" hidden="false" customHeight="true" outlineLevel="0" collapsed="false">
      <c r="A276" s="7" t="str">
        <f aca="false">TRIM(customer_churn_dataset!A276)</f>
        <v>CUST100824</v>
      </c>
      <c r="B276" s="7" t="str">
        <f aca="false">PROPER(TRIM(customer_churn_dataset!B276))</f>
        <v>Standard</v>
      </c>
      <c r="C276" s="7" t="str">
        <f aca="false">PROPER(TRIM(customer_churn_dataset!C276))</f>
        <v>One Year</v>
      </c>
      <c r="D276" s="7" t="n">
        <f aca="false">IF(ISBLANK(customer_churn_dataset!D276),ROUND(MEDIAN(customer_churn_dataset!D$2:D$1501),2),IF(customer_churn_dataset!D276&lt;0,ABS(customer_churn_dataset!D276),customer_churn_dataset!D276))</f>
        <v>20.94</v>
      </c>
      <c r="E276" s="7" t="n">
        <f aca="false">IF(ISBLANK(customer_churn_dataset!E276),0,MAX(0,customer_churn_dataset!E276))</f>
        <v>5</v>
      </c>
      <c r="F276" s="8" t="n">
        <f aca="false">IF(ISBLANK(customer_churn_dataset!F276),"",customer_churn_dataset!F276)</f>
        <v>44209</v>
      </c>
      <c r="G276" s="7" t="str">
        <f aca="false">PROPER(TRIM(customer_churn_dataset!G276))</f>
        <v>Paypal</v>
      </c>
      <c r="H276" s="7" t="n">
        <f aca="false">IF(ISBLANK(customer_churn_dataset!H276),0,customer_churn_dataset!H276)</f>
        <v>0</v>
      </c>
      <c r="I276" s="7" t="n">
        <f aca="false">IF(ISBLANK(customer_churn_dataset!I276),ROUND(MEDIAN(customer_churn_dataset!I$2:I$1501),1),MIN(100,MAX(0,customer_churn_dataset!I276)))</f>
        <v>77.7</v>
      </c>
      <c r="J276" s="7" t="n">
        <f aca="false">IF(ISBLANK(customer_churn_dataset!J276),0,MAX(0,customer_churn_dataset!J276))</f>
        <v>16</v>
      </c>
      <c r="K276" s="7" t="n">
        <f aca="false">IF(ISBLANK(customer_churn_dataset!K276),0,MIN(10,MAX(0,customer_churn_dataset!K276)))</f>
        <v>9</v>
      </c>
      <c r="L276" s="7" t="n">
        <f aca="false">IF(ISBLANK(customer_churn_dataset!L276),0,MAX(0,customer_churn_dataset!L276))</f>
        <v>1</v>
      </c>
      <c r="M276" s="7" t="n">
        <f aca="false">IF(ISBLANK(customer_churn_dataset!M276),0,customer_churn_dataset!M276)</f>
        <v>1</v>
      </c>
      <c r="N276" s="7" t="n">
        <f aca="false">IF(ISBLANK(customer_churn_dataset!N276),0,MAX(0,customer_churn_dataset!N276))</f>
        <v>104.7</v>
      </c>
      <c r="O276" s="7" t="n">
        <f aca="false">IF(ISBLANK(customer_churn_dataset!O276),0,customer_churn_dataset!O276)</f>
        <v>0</v>
      </c>
      <c r="P276" s="7" t="str">
        <f aca="false">IF(COUNTIF(customer_churn_dataset!$A$2:$A$1501,customer_churn_dataset!A276)&gt;1,"Duplicate","Unique")</f>
        <v>Unique</v>
      </c>
    </row>
    <row r="277" customFormat="false" ht="14.15" hidden="false" customHeight="true" outlineLevel="0" collapsed="false">
      <c r="A277" s="7" t="str">
        <f aca="false">TRIM(customer_churn_dataset!A277)</f>
        <v>CUST101342</v>
      </c>
      <c r="B277" s="7" t="str">
        <f aca="false">PROPER(TRIM(customer_churn_dataset!B277))</f>
        <v>Premium</v>
      </c>
      <c r="C277" s="7" t="str">
        <f aca="false">PROPER(TRIM(customer_churn_dataset!C277))</f>
        <v>One Year</v>
      </c>
      <c r="D277" s="7" t="n">
        <f aca="false">IF(ISBLANK(customer_churn_dataset!D277),ROUND(MEDIAN(customer_churn_dataset!D$2:D$1501),2),IF(customer_churn_dataset!D277&lt;0,ABS(customer_churn_dataset!D277),customer_churn_dataset!D277))</f>
        <v>39.66</v>
      </c>
      <c r="E277" s="7" t="n">
        <f aca="false">IF(ISBLANK(customer_churn_dataset!E277),0,MAX(0,customer_churn_dataset!E277))</f>
        <v>11</v>
      </c>
      <c r="F277" s="8" t="n">
        <f aca="false">IF(ISBLANK(customer_churn_dataset!F277),"",customer_churn_dataset!F277)</f>
        <v>44210</v>
      </c>
      <c r="G277" s="7" t="str">
        <f aca="false">PROPER(TRIM(customer_churn_dataset!G277))</f>
        <v>Paypal</v>
      </c>
      <c r="H277" s="7" t="n">
        <f aca="false">IF(ISBLANK(customer_churn_dataset!H277),0,customer_churn_dataset!H277)</f>
        <v>1</v>
      </c>
      <c r="I277" s="7" t="n">
        <f aca="false">IF(ISBLANK(customer_churn_dataset!I277),ROUND(MEDIAN(customer_churn_dataset!I$2:I$1501),1),MIN(100,MAX(0,customer_churn_dataset!I277)))</f>
        <v>70.9</v>
      </c>
      <c r="J277" s="7" t="n">
        <f aca="false">IF(ISBLANK(customer_churn_dataset!J277),0,MAX(0,customer_churn_dataset!J277))</f>
        <v>23</v>
      </c>
      <c r="K277" s="7" t="n">
        <f aca="false">IF(ISBLANK(customer_churn_dataset!K277),0,MIN(10,MAX(0,customer_churn_dataset!K277)))</f>
        <v>7</v>
      </c>
      <c r="L277" s="7" t="n">
        <f aca="false">IF(ISBLANK(customer_churn_dataset!L277),0,MAX(0,customer_churn_dataset!L277))</f>
        <v>3</v>
      </c>
      <c r="M277" s="7" t="n">
        <f aca="false">IF(ISBLANK(customer_churn_dataset!M277),0,customer_churn_dataset!M277)</f>
        <v>0</v>
      </c>
      <c r="N277" s="7" t="n">
        <f aca="false">IF(ISBLANK(customer_churn_dataset!N277),0,MAX(0,customer_churn_dataset!N277))</f>
        <v>436.26</v>
      </c>
      <c r="O277" s="7" t="n">
        <f aca="false">IF(ISBLANK(customer_churn_dataset!O277),0,customer_churn_dataset!O277)</f>
        <v>0</v>
      </c>
      <c r="P277" s="7" t="str">
        <f aca="false">IF(COUNTIF(customer_churn_dataset!$A$2:$A$1501,customer_churn_dataset!A277)&gt;1,"Duplicate","Unique")</f>
        <v>Unique</v>
      </c>
    </row>
    <row r="278" customFormat="false" ht="14.15" hidden="false" customHeight="true" outlineLevel="0" collapsed="false">
      <c r="A278" s="7" t="str">
        <f aca="false">TRIM(customer_churn_dataset!A278)</f>
        <v>CUST100466</v>
      </c>
      <c r="B278" s="7" t="str">
        <f aca="false">PROPER(TRIM(customer_churn_dataset!B278))</f>
        <v>Basic</v>
      </c>
      <c r="C278" s="7" t="str">
        <f aca="false">PROPER(TRIM(customer_churn_dataset!C278))</f>
        <v>One Year</v>
      </c>
      <c r="D278" s="7" t="n">
        <f aca="false">IF(ISBLANK(customer_churn_dataset!D278),ROUND(MEDIAN(customer_churn_dataset!D$2:D$1501),2),IF(customer_churn_dataset!D278&lt;0,ABS(customer_churn_dataset!D278),customer_churn_dataset!D278))</f>
        <v>9.54</v>
      </c>
      <c r="E278" s="7" t="n">
        <f aca="false">IF(ISBLANK(customer_churn_dataset!E278),0,MAX(0,customer_churn_dataset!E278))</f>
        <v>2</v>
      </c>
      <c r="F278" s="8" t="n">
        <f aca="false">IF(ISBLANK(customer_churn_dataset!F278),"",customer_churn_dataset!F278)</f>
        <v>44211</v>
      </c>
      <c r="G278" s="7" t="str">
        <f aca="false">PROPER(TRIM(customer_churn_dataset!G278))</f>
        <v>Paypal</v>
      </c>
      <c r="H278" s="7" t="n">
        <f aca="false">IF(ISBLANK(customer_churn_dataset!H278),0,customer_churn_dataset!H278)</f>
        <v>1</v>
      </c>
      <c r="I278" s="7" t="n">
        <f aca="false">IF(ISBLANK(customer_churn_dataset!I278),ROUND(MEDIAN(customer_churn_dataset!I$2:I$1501),1),MIN(100,MAX(0,customer_churn_dataset!I278)))</f>
        <v>29.9</v>
      </c>
      <c r="J278" s="7" t="n">
        <f aca="false">IF(ISBLANK(customer_churn_dataset!J278),0,MAX(0,customer_churn_dataset!J278))</f>
        <v>16</v>
      </c>
      <c r="K278" s="7" t="n">
        <f aca="false">IF(ISBLANK(customer_churn_dataset!K278),0,MIN(10,MAX(0,customer_churn_dataset!K278)))</f>
        <v>3</v>
      </c>
      <c r="L278" s="7" t="n">
        <f aca="false">IF(ISBLANK(customer_churn_dataset!L278),0,MAX(0,customer_churn_dataset!L278))</f>
        <v>1</v>
      </c>
      <c r="M278" s="7" t="n">
        <f aca="false">IF(ISBLANK(customer_churn_dataset!M278),0,customer_churn_dataset!M278)</f>
        <v>0</v>
      </c>
      <c r="N278" s="7" t="n">
        <f aca="false">IF(ISBLANK(customer_churn_dataset!N278),0,MAX(0,customer_churn_dataset!N278))</f>
        <v>19.08</v>
      </c>
      <c r="O278" s="7" t="n">
        <f aca="false">IF(ISBLANK(customer_churn_dataset!O278),0,customer_churn_dataset!O278)</f>
        <v>0</v>
      </c>
      <c r="P278" s="7" t="str">
        <f aca="false">IF(COUNTIF(customer_churn_dataset!$A$2:$A$1501,customer_churn_dataset!A278)&gt;1,"Duplicate","Unique")</f>
        <v>Unique</v>
      </c>
    </row>
    <row r="279" customFormat="false" ht="14.15" hidden="false" customHeight="true" outlineLevel="0" collapsed="false">
      <c r="A279" s="7" t="str">
        <f aca="false">TRIM(customer_churn_dataset!A279)</f>
        <v>CUST100216</v>
      </c>
      <c r="B279" s="7" t="str">
        <f aca="false">PROPER(TRIM(customer_churn_dataset!B279))</f>
        <v>Basic</v>
      </c>
      <c r="C279" s="7" t="str">
        <f aca="false">PROPER(TRIM(customer_churn_dataset!C279))</f>
        <v>Month-To-Month</v>
      </c>
      <c r="D279" s="7" t="n">
        <f aca="false">IF(ISBLANK(customer_churn_dataset!D279),ROUND(MEDIAN(customer_churn_dataset!D$2:D$1501),2),IF(customer_churn_dataset!D279&lt;0,ABS(customer_churn_dataset!D279),customer_churn_dataset!D279))</f>
        <v>9.32</v>
      </c>
      <c r="E279" s="7" t="n">
        <f aca="false">IF(ISBLANK(customer_churn_dataset!E279),0,MAX(0,customer_churn_dataset!E279))</f>
        <v>39</v>
      </c>
      <c r="F279" s="8" t="n">
        <f aca="false">IF(ISBLANK(customer_churn_dataset!F279),"",customer_churn_dataset!F279)</f>
        <v>44214</v>
      </c>
      <c r="G279" s="7" t="str">
        <f aca="false">PROPER(TRIM(customer_churn_dataset!G279))</f>
        <v>Bank Transfer</v>
      </c>
      <c r="H279" s="7" t="n">
        <f aca="false">IF(ISBLANK(customer_churn_dataset!H279),0,customer_churn_dataset!H279)</f>
        <v>1</v>
      </c>
      <c r="I279" s="7" t="n">
        <f aca="false">IF(ISBLANK(customer_churn_dataset!I279),ROUND(MEDIAN(customer_churn_dataset!I$2:I$1501),1),MIN(100,MAX(0,customer_churn_dataset!I279)))</f>
        <v>29.3</v>
      </c>
      <c r="J279" s="7" t="n">
        <f aca="false">IF(ISBLANK(customer_churn_dataset!J279),0,MAX(0,customer_churn_dataset!J279))</f>
        <v>8</v>
      </c>
      <c r="K279" s="7" t="n">
        <f aca="false">IF(ISBLANK(customer_churn_dataset!K279),0,MIN(10,MAX(0,customer_churn_dataset!K279)))</f>
        <v>6</v>
      </c>
      <c r="L279" s="7" t="n">
        <f aca="false">IF(ISBLANK(customer_churn_dataset!L279),0,MAX(0,customer_churn_dataset!L279))</f>
        <v>0</v>
      </c>
      <c r="M279" s="7" t="n">
        <f aca="false">IF(ISBLANK(customer_churn_dataset!M279),0,customer_churn_dataset!M279)</f>
        <v>0</v>
      </c>
      <c r="N279" s="7" t="n">
        <f aca="false">IF(ISBLANK(customer_churn_dataset!N279),0,MAX(0,customer_churn_dataset!N279))</f>
        <v>363.48</v>
      </c>
      <c r="O279" s="7" t="n">
        <f aca="false">IF(ISBLANK(customer_churn_dataset!O279),0,customer_churn_dataset!O279)</f>
        <v>0</v>
      </c>
      <c r="P279" s="7" t="str">
        <f aca="false">IF(COUNTIF(customer_churn_dataset!$A$2:$A$1501,customer_churn_dataset!A279)&gt;1,"Duplicate","Unique")</f>
        <v>Unique</v>
      </c>
    </row>
    <row r="280" customFormat="false" ht="14.15" hidden="false" customHeight="true" outlineLevel="0" collapsed="false">
      <c r="A280" s="7" t="str">
        <f aca="false">TRIM(customer_churn_dataset!A280)</f>
        <v>CUST100753</v>
      </c>
      <c r="B280" s="7" t="str">
        <f aca="false">PROPER(TRIM(customer_churn_dataset!B280))</f>
        <v>Basic</v>
      </c>
      <c r="C280" s="7" t="str">
        <f aca="false">PROPER(TRIM(customer_churn_dataset!C280))</f>
        <v>One Year</v>
      </c>
      <c r="D280" s="7" t="n">
        <f aca="false">IF(ISBLANK(customer_churn_dataset!D280),ROUND(MEDIAN(customer_churn_dataset!D$2:D$1501),2),IF(customer_churn_dataset!D280&lt;0,ABS(customer_churn_dataset!D280),customer_churn_dataset!D280))</f>
        <v>10.49</v>
      </c>
      <c r="E280" s="7" t="n">
        <f aca="false">IF(ISBLANK(customer_churn_dataset!E280),0,MAX(0,customer_churn_dataset!E280))</f>
        <v>4</v>
      </c>
      <c r="F280" s="8" t="n">
        <f aca="false">IF(ISBLANK(customer_churn_dataset!F280),"",customer_churn_dataset!F280)</f>
        <v>44215</v>
      </c>
      <c r="G280" s="7" t="str">
        <f aca="false">PROPER(TRIM(customer_churn_dataset!G280))</f>
        <v>Paypal</v>
      </c>
      <c r="H280" s="7" t="n">
        <f aca="false">IF(ISBLANK(customer_churn_dataset!H280),0,customer_churn_dataset!H280)</f>
        <v>1</v>
      </c>
      <c r="I280" s="7" t="n">
        <f aca="false">IF(ISBLANK(customer_churn_dataset!I280),ROUND(MEDIAN(customer_churn_dataset!I$2:I$1501),1),MIN(100,MAX(0,customer_churn_dataset!I280)))</f>
        <v>41.6</v>
      </c>
      <c r="J280" s="7" t="n">
        <f aca="false">IF(ISBLANK(customer_churn_dataset!J280),0,MAX(0,customer_churn_dataset!J280))</f>
        <v>10</v>
      </c>
      <c r="K280" s="7" t="n">
        <f aca="false">IF(ISBLANK(customer_churn_dataset!K280),0,MIN(10,MAX(0,customer_churn_dataset!K280)))</f>
        <v>3</v>
      </c>
      <c r="L280" s="7" t="n">
        <f aca="false">IF(ISBLANK(customer_churn_dataset!L280),0,MAX(0,customer_churn_dataset!L280))</f>
        <v>3</v>
      </c>
      <c r="M280" s="7" t="n">
        <f aca="false">IF(ISBLANK(customer_churn_dataset!M280),0,customer_churn_dataset!M280)</f>
        <v>0</v>
      </c>
      <c r="N280" s="7" t="n">
        <f aca="false">IF(ISBLANK(customer_churn_dataset!N280),0,MAX(0,customer_churn_dataset!N280))</f>
        <v>41.96</v>
      </c>
      <c r="O280" s="7" t="n">
        <f aca="false">IF(ISBLANK(customer_churn_dataset!O280),0,customer_churn_dataset!O280)</f>
        <v>1</v>
      </c>
      <c r="P280" s="7" t="str">
        <f aca="false">IF(COUNTIF(customer_churn_dataset!$A$2:$A$1501,customer_churn_dataset!A280)&gt;1,"Duplicate","Unique")</f>
        <v>Unique</v>
      </c>
    </row>
    <row r="281" customFormat="false" ht="14.15" hidden="false" customHeight="true" outlineLevel="0" collapsed="false">
      <c r="A281" s="7" t="str">
        <f aca="false">TRIM(customer_churn_dataset!A281)</f>
        <v>CUST101390</v>
      </c>
      <c r="B281" s="7" t="str">
        <f aca="false">PROPER(TRIM(customer_churn_dataset!B281))</f>
        <v>Basic</v>
      </c>
      <c r="C281" s="7" t="str">
        <f aca="false">PROPER(TRIM(customer_churn_dataset!C281))</f>
        <v>Month-To-Month</v>
      </c>
      <c r="D281" s="7" t="n">
        <f aca="false">IF(ISBLANK(customer_churn_dataset!D281),ROUND(MEDIAN(customer_churn_dataset!D$2:D$1501),2),IF(customer_churn_dataset!D281&lt;0,ABS(customer_churn_dataset!D281),customer_churn_dataset!D281))</f>
        <v>8.4</v>
      </c>
      <c r="E281" s="7" t="n">
        <f aca="false">IF(ISBLANK(customer_churn_dataset!E281),0,MAX(0,customer_churn_dataset!E281))</f>
        <v>21</v>
      </c>
      <c r="F281" s="8" t="n">
        <f aca="false">IF(ISBLANK(customer_churn_dataset!F281),"",customer_churn_dataset!F281)</f>
        <v>44216</v>
      </c>
      <c r="G281" s="7" t="str">
        <f aca="false">PROPER(TRIM(customer_churn_dataset!G281))</f>
        <v>Credit Card</v>
      </c>
      <c r="H281" s="7" t="n">
        <f aca="false">IF(ISBLANK(customer_churn_dataset!H281),0,customer_churn_dataset!H281)</f>
        <v>1</v>
      </c>
      <c r="I281" s="7" t="n">
        <f aca="false">IF(ISBLANK(customer_churn_dataset!I281),ROUND(MEDIAN(customer_churn_dataset!I$2:I$1501),1),MIN(100,MAX(0,customer_churn_dataset!I281)))</f>
        <v>38.1</v>
      </c>
      <c r="J281" s="7" t="n">
        <f aca="false">IF(ISBLANK(customer_churn_dataset!J281),0,MAX(0,customer_churn_dataset!J281))</f>
        <v>14</v>
      </c>
      <c r="K281" s="7" t="n">
        <f aca="false">IF(ISBLANK(customer_churn_dataset!K281),0,MIN(10,MAX(0,customer_churn_dataset!K281)))</f>
        <v>3</v>
      </c>
      <c r="L281" s="7" t="n">
        <f aca="false">IF(ISBLANK(customer_churn_dataset!L281),0,MAX(0,customer_churn_dataset!L281))</f>
        <v>0</v>
      </c>
      <c r="M281" s="7" t="n">
        <f aca="false">IF(ISBLANK(customer_churn_dataset!M281),0,customer_churn_dataset!M281)</f>
        <v>0</v>
      </c>
      <c r="N281" s="7" t="n">
        <f aca="false">IF(ISBLANK(customer_churn_dataset!N281),0,MAX(0,customer_churn_dataset!N281))</f>
        <v>176.4</v>
      </c>
      <c r="O281" s="7" t="n">
        <f aca="false">IF(ISBLANK(customer_churn_dataset!O281),0,customer_churn_dataset!O281)</f>
        <v>1</v>
      </c>
      <c r="P281" s="7" t="str">
        <f aca="false">IF(COUNTIF(customer_churn_dataset!$A$2:$A$1501,customer_churn_dataset!A281)&gt;1,"Duplicate","Unique")</f>
        <v>Unique</v>
      </c>
    </row>
    <row r="282" customFormat="false" ht="14.15" hidden="false" customHeight="true" outlineLevel="0" collapsed="false">
      <c r="A282" s="7" t="str">
        <f aca="false">TRIM(customer_churn_dataset!A282)</f>
        <v>CUST101268</v>
      </c>
      <c r="B282" s="7" t="str">
        <f aca="false">PROPER(TRIM(customer_churn_dataset!B282))</f>
        <v>Standard</v>
      </c>
      <c r="C282" s="7" t="str">
        <f aca="false">PROPER(TRIM(customer_churn_dataset!C282))</f>
        <v>Month-To-Month</v>
      </c>
      <c r="D282" s="7" t="n">
        <f aca="false">IF(ISBLANK(customer_churn_dataset!D282),ROUND(MEDIAN(customer_churn_dataset!D$2:D$1501),2),IF(customer_churn_dataset!D282&lt;0,ABS(customer_churn_dataset!D282),customer_churn_dataset!D282))</f>
        <v>21.11</v>
      </c>
      <c r="E282" s="7" t="n">
        <f aca="false">IF(ISBLANK(customer_churn_dataset!E282),0,MAX(0,customer_churn_dataset!E282))</f>
        <v>0</v>
      </c>
      <c r="F282" s="8" t="n">
        <f aca="false">IF(ISBLANK(customer_churn_dataset!F282),"",customer_churn_dataset!F282)</f>
        <v>44217</v>
      </c>
      <c r="G282" s="7" t="str">
        <f aca="false">PROPER(TRIM(customer_churn_dataset!G282))</f>
        <v>Paypal</v>
      </c>
      <c r="H282" s="7" t="n">
        <f aca="false">IF(ISBLANK(customer_churn_dataset!H282),0,customer_churn_dataset!H282)</f>
        <v>1</v>
      </c>
      <c r="I282" s="7" t="n">
        <f aca="false">IF(ISBLANK(customer_churn_dataset!I282),ROUND(MEDIAN(customer_churn_dataset!I$2:I$1501),1),MIN(100,MAX(0,customer_churn_dataset!I282)))</f>
        <v>46.6</v>
      </c>
      <c r="J282" s="7" t="n">
        <f aca="false">IF(ISBLANK(customer_churn_dataset!J282),0,MAX(0,customer_churn_dataset!J282))</f>
        <v>16</v>
      </c>
      <c r="K282" s="7" t="n">
        <f aca="false">IF(ISBLANK(customer_churn_dataset!K282),0,MIN(10,MAX(0,customer_churn_dataset!K282)))</f>
        <v>6</v>
      </c>
      <c r="L282" s="7" t="n">
        <f aca="false">IF(ISBLANK(customer_churn_dataset!L282),0,MAX(0,customer_churn_dataset!L282))</f>
        <v>1</v>
      </c>
      <c r="M282" s="7" t="n">
        <f aca="false">IF(ISBLANK(customer_churn_dataset!M282),0,customer_churn_dataset!M282)</f>
        <v>1</v>
      </c>
      <c r="N282" s="7" t="n">
        <f aca="false">IF(ISBLANK(customer_churn_dataset!N282),0,MAX(0,customer_churn_dataset!N282))</f>
        <v>0</v>
      </c>
      <c r="O282" s="7" t="n">
        <f aca="false">IF(ISBLANK(customer_churn_dataset!O282),0,customer_churn_dataset!O282)</f>
        <v>0</v>
      </c>
      <c r="P282" s="7" t="str">
        <f aca="false">IF(COUNTIF(customer_churn_dataset!$A$2:$A$1501,customer_churn_dataset!A282)&gt;1,"Duplicate","Unique")</f>
        <v>Unique</v>
      </c>
    </row>
    <row r="283" customFormat="false" ht="14.15" hidden="false" customHeight="true" outlineLevel="0" collapsed="false">
      <c r="A283" s="7" t="str">
        <f aca="false">TRIM(customer_churn_dataset!A283)</f>
        <v>CUST100791</v>
      </c>
      <c r="B283" s="7" t="str">
        <f aca="false">PROPER(TRIM(customer_churn_dataset!B283))</f>
        <v>Standard</v>
      </c>
      <c r="C283" s="7" t="str">
        <f aca="false">PROPER(TRIM(customer_churn_dataset!C283))</f>
        <v>Two Year</v>
      </c>
      <c r="D283" s="7" t="n">
        <f aca="false">IF(ISBLANK(customer_churn_dataset!D283),ROUND(MEDIAN(customer_churn_dataset!D$2:D$1501),2),IF(customer_churn_dataset!D283&lt;0,ABS(customer_churn_dataset!D283),customer_churn_dataset!D283))</f>
        <v>21.25</v>
      </c>
      <c r="E283" s="7" t="n">
        <f aca="false">IF(ISBLANK(customer_churn_dataset!E283),0,MAX(0,customer_churn_dataset!E283))</f>
        <v>43</v>
      </c>
      <c r="F283" s="8" t="n">
        <f aca="false">IF(ISBLANK(customer_churn_dataset!F283),"",customer_churn_dataset!F283)</f>
        <v>44218</v>
      </c>
      <c r="G283" s="7" t="str">
        <f aca="false">PROPER(TRIM(customer_churn_dataset!G283))</f>
        <v>Paypal</v>
      </c>
      <c r="H283" s="7" t="n">
        <f aca="false">IF(ISBLANK(customer_churn_dataset!H283),0,customer_churn_dataset!H283)</f>
        <v>0</v>
      </c>
      <c r="I283" s="7" t="n">
        <f aca="false">IF(ISBLANK(customer_churn_dataset!I283),ROUND(MEDIAN(customer_churn_dataset!I$2:I$1501),1),MIN(100,MAX(0,customer_churn_dataset!I283)))</f>
        <v>74.2</v>
      </c>
      <c r="J283" s="7" t="n">
        <f aca="false">IF(ISBLANK(customer_churn_dataset!J283),0,MAX(0,customer_churn_dataset!J283))</f>
        <v>18</v>
      </c>
      <c r="K283" s="7" t="n">
        <f aca="false">IF(ISBLANK(customer_churn_dataset!K283),0,MIN(10,MAX(0,customer_churn_dataset!K283)))</f>
        <v>8</v>
      </c>
      <c r="L283" s="7" t="n">
        <f aca="false">IF(ISBLANK(customer_churn_dataset!L283),0,MAX(0,customer_churn_dataset!L283))</f>
        <v>2</v>
      </c>
      <c r="M283" s="7" t="n">
        <f aca="false">IF(ISBLANK(customer_churn_dataset!M283),0,customer_churn_dataset!M283)</f>
        <v>1</v>
      </c>
      <c r="N283" s="7" t="n">
        <f aca="false">IF(ISBLANK(customer_churn_dataset!N283),0,MAX(0,customer_churn_dataset!N283))</f>
        <v>913.75</v>
      </c>
      <c r="O283" s="7" t="n">
        <f aca="false">IF(ISBLANK(customer_churn_dataset!O283),0,customer_churn_dataset!O283)</f>
        <v>0</v>
      </c>
      <c r="P283" s="7" t="str">
        <f aca="false">IF(COUNTIF(customer_churn_dataset!$A$2:$A$1501,customer_churn_dataset!A283)&gt;1,"Duplicate","Unique")</f>
        <v>Unique</v>
      </c>
    </row>
    <row r="284" customFormat="false" ht="14.15" hidden="false" customHeight="true" outlineLevel="0" collapsed="false">
      <c r="A284" s="7" t="str">
        <f aca="false">TRIM(customer_churn_dataset!A284)</f>
        <v>CUST100430</v>
      </c>
      <c r="B284" s="7" t="str">
        <f aca="false">PROPER(TRIM(customer_churn_dataset!B284))</f>
        <v>Basic</v>
      </c>
      <c r="C284" s="7" t="str">
        <f aca="false">PROPER(TRIM(customer_churn_dataset!C284))</f>
        <v>Month-To-Month</v>
      </c>
      <c r="D284" s="7" t="n">
        <f aca="false">IF(ISBLANK(customer_churn_dataset!D284),ROUND(MEDIAN(customer_churn_dataset!D$2:D$1501),2),IF(customer_churn_dataset!D284&lt;0,ABS(customer_churn_dataset!D284),customer_churn_dataset!D284))</f>
        <v>8.92</v>
      </c>
      <c r="E284" s="7" t="n">
        <f aca="false">IF(ISBLANK(customer_churn_dataset!E284),0,MAX(0,customer_churn_dataset!E284))</f>
        <v>13</v>
      </c>
      <c r="F284" s="8" t="n">
        <f aca="false">IF(ISBLANK(customer_churn_dataset!F284),"",customer_churn_dataset!F284)</f>
        <v>44219</v>
      </c>
      <c r="G284" s="7" t="str">
        <f aca="false">PROPER(TRIM(customer_churn_dataset!G284))</f>
        <v>Manual/Invoice</v>
      </c>
      <c r="H284" s="7" t="n">
        <f aca="false">IF(ISBLANK(customer_churn_dataset!H284),0,customer_churn_dataset!H284)</f>
        <v>0</v>
      </c>
      <c r="I284" s="7" t="n">
        <f aca="false">IF(ISBLANK(customer_churn_dataset!I284),ROUND(MEDIAN(customer_churn_dataset!I$2:I$1501),1),MIN(100,MAX(0,customer_churn_dataset!I284)))</f>
        <v>23.6</v>
      </c>
      <c r="J284" s="7" t="n">
        <f aca="false">IF(ISBLANK(customer_churn_dataset!J284),0,MAX(0,customer_churn_dataset!J284))</f>
        <v>6</v>
      </c>
      <c r="K284" s="7" t="n">
        <f aca="false">IF(ISBLANK(customer_churn_dataset!K284),0,MIN(10,MAX(0,customer_churn_dataset!K284)))</f>
        <v>5</v>
      </c>
      <c r="L284" s="7" t="n">
        <f aca="false">IF(ISBLANK(customer_churn_dataset!L284),0,MAX(0,customer_churn_dataset!L284))</f>
        <v>2</v>
      </c>
      <c r="M284" s="7" t="n">
        <f aca="false">IF(ISBLANK(customer_churn_dataset!M284),0,customer_churn_dataset!M284)</f>
        <v>1</v>
      </c>
      <c r="N284" s="7" t="n">
        <f aca="false">IF(ISBLANK(customer_churn_dataset!N284),0,MAX(0,customer_churn_dataset!N284))</f>
        <v>115.96</v>
      </c>
      <c r="O284" s="7" t="n">
        <f aca="false">IF(ISBLANK(customer_churn_dataset!O284),0,customer_churn_dataset!O284)</f>
        <v>1</v>
      </c>
      <c r="P284" s="7" t="str">
        <f aca="false">IF(COUNTIF(customer_churn_dataset!$A$2:$A$1501,customer_churn_dataset!A284)&gt;1,"Duplicate","Unique")</f>
        <v>Unique</v>
      </c>
    </row>
    <row r="285" customFormat="false" ht="14.15" hidden="false" customHeight="true" outlineLevel="0" collapsed="false">
      <c r="A285" s="7" t="str">
        <f aca="false">TRIM(customer_churn_dataset!A285)</f>
        <v>CUST100181</v>
      </c>
      <c r="B285" s="7" t="str">
        <f aca="false">PROPER(TRIM(customer_churn_dataset!B285))</f>
        <v>Basic</v>
      </c>
      <c r="C285" s="7" t="str">
        <f aca="false">PROPER(TRIM(customer_churn_dataset!C285))</f>
        <v>Month-To-Month</v>
      </c>
      <c r="D285" s="7" t="n">
        <f aca="false">IF(ISBLANK(customer_churn_dataset!D285),ROUND(MEDIAN(customer_churn_dataset!D$2:D$1501),2),IF(customer_churn_dataset!D285&lt;0,ABS(customer_churn_dataset!D285),customer_churn_dataset!D285))</f>
        <v>9.99</v>
      </c>
      <c r="E285" s="7" t="n">
        <f aca="false">IF(ISBLANK(customer_churn_dataset!E285),0,MAX(0,customer_churn_dataset!E285))</f>
        <v>16</v>
      </c>
      <c r="F285" s="8" t="n">
        <f aca="false">IF(ISBLANK(customer_churn_dataset!F285),"",customer_churn_dataset!F285)</f>
        <v>44219</v>
      </c>
      <c r="G285" s="7" t="str">
        <f aca="false">PROPER(TRIM(customer_churn_dataset!G285))</f>
        <v>Paypal</v>
      </c>
      <c r="H285" s="7" t="n">
        <f aca="false">IF(ISBLANK(customer_churn_dataset!H285),0,customer_churn_dataset!H285)</f>
        <v>1</v>
      </c>
      <c r="I285" s="7" t="n">
        <f aca="false">IF(ISBLANK(customer_churn_dataset!I285),ROUND(MEDIAN(customer_churn_dataset!I$2:I$1501),1),MIN(100,MAX(0,customer_churn_dataset!I285)))</f>
        <v>26.2</v>
      </c>
      <c r="J285" s="7" t="n">
        <f aca="false">IF(ISBLANK(customer_churn_dataset!J285),0,MAX(0,customer_churn_dataset!J285))</f>
        <v>7</v>
      </c>
      <c r="K285" s="7" t="n">
        <f aca="false">IF(ISBLANK(customer_churn_dataset!K285),0,MIN(10,MAX(0,customer_churn_dataset!K285)))</f>
        <v>1</v>
      </c>
      <c r="L285" s="7" t="n">
        <f aca="false">IF(ISBLANK(customer_churn_dataset!L285),0,MAX(0,customer_churn_dataset!L285))</f>
        <v>2</v>
      </c>
      <c r="M285" s="7" t="n">
        <f aca="false">IF(ISBLANK(customer_churn_dataset!M285),0,customer_churn_dataset!M285)</f>
        <v>1</v>
      </c>
      <c r="N285" s="7" t="n">
        <f aca="false">IF(ISBLANK(customer_churn_dataset!N285),0,MAX(0,customer_churn_dataset!N285))</f>
        <v>159.84</v>
      </c>
      <c r="O285" s="7" t="n">
        <f aca="false">IF(ISBLANK(customer_churn_dataset!O285),0,customer_churn_dataset!O285)</f>
        <v>1</v>
      </c>
      <c r="P285" s="7" t="str">
        <f aca="false">IF(COUNTIF(customer_churn_dataset!$A$2:$A$1501,customer_churn_dataset!A285)&gt;1,"Duplicate","Unique")</f>
        <v>Unique</v>
      </c>
    </row>
    <row r="286" customFormat="false" ht="14.15" hidden="false" customHeight="true" outlineLevel="0" collapsed="false">
      <c r="A286" s="7" t="str">
        <f aca="false">TRIM(customer_churn_dataset!A286)</f>
        <v>CUST100243</v>
      </c>
      <c r="B286" s="7" t="str">
        <f aca="false">PROPER(TRIM(customer_churn_dataset!B286))</f>
        <v>Basic</v>
      </c>
      <c r="C286" s="7" t="str">
        <f aca="false">PROPER(TRIM(customer_churn_dataset!C286))</f>
        <v>Two Year</v>
      </c>
      <c r="D286" s="7" t="n">
        <f aca="false">IF(ISBLANK(customer_churn_dataset!D286),ROUND(MEDIAN(customer_churn_dataset!D$2:D$1501),2),IF(customer_churn_dataset!D286&lt;0,ABS(customer_churn_dataset!D286),customer_churn_dataset!D286))</f>
        <v>10.71</v>
      </c>
      <c r="E286" s="7" t="n">
        <f aca="false">IF(ISBLANK(customer_churn_dataset!E286),0,MAX(0,customer_churn_dataset!E286))</f>
        <v>72</v>
      </c>
      <c r="F286" s="8" t="n">
        <f aca="false">IF(ISBLANK(customer_churn_dataset!F286),"",customer_churn_dataset!F286)</f>
        <v>44220</v>
      </c>
      <c r="G286" s="7" t="str">
        <f aca="false">PROPER(TRIM(customer_churn_dataset!G286))</f>
        <v>Credit Card</v>
      </c>
      <c r="H286" s="7" t="n">
        <f aca="false">IF(ISBLANK(customer_churn_dataset!H286),0,customer_churn_dataset!H286)</f>
        <v>1</v>
      </c>
      <c r="I286" s="7" t="n">
        <f aca="false">IF(ISBLANK(customer_churn_dataset!I286),ROUND(MEDIAN(customer_churn_dataset!I$2:I$1501),1),MIN(100,MAX(0,customer_churn_dataset!I286)))</f>
        <v>73</v>
      </c>
      <c r="J286" s="7" t="n">
        <f aca="false">IF(ISBLANK(customer_churn_dataset!J286),0,MAX(0,customer_churn_dataset!J286))</f>
        <v>24</v>
      </c>
      <c r="K286" s="7" t="n">
        <f aca="false">IF(ISBLANK(customer_churn_dataset!K286),0,MIN(10,MAX(0,customer_churn_dataset!K286)))</f>
        <v>7</v>
      </c>
      <c r="L286" s="7" t="n">
        <f aca="false">IF(ISBLANK(customer_churn_dataset!L286),0,MAX(0,customer_churn_dataset!L286))</f>
        <v>2</v>
      </c>
      <c r="M286" s="7" t="n">
        <f aca="false">IF(ISBLANK(customer_churn_dataset!M286),0,customer_churn_dataset!M286)</f>
        <v>0</v>
      </c>
      <c r="N286" s="7" t="n">
        <f aca="false">IF(ISBLANK(customer_churn_dataset!N286),0,MAX(0,customer_churn_dataset!N286))</f>
        <v>771.12</v>
      </c>
      <c r="O286" s="7" t="n">
        <f aca="false">IF(ISBLANK(customer_churn_dataset!O286),0,customer_churn_dataset!O286)</f>
        <v>0</v>
      </c>
      <c r="P286" s="7" t="str">
        <f aca="false">IF(COUNTIF(customer_churn_dataset!$A$2:$A$1501,customer_churn_dataset!A286)&gt;1,"Duplicate","Unique")</f>
        <v>Unique</v>
      </c>
    </row>
    <row r="287" customFormat="false" ht="14.15" hidden="false" customHeight="true" outlineLevel="0" collapsed="false">
      <c r="A287" s="7" t="str">
        <f aca="false">TRIM(customer_churn_dataset!A287)</f>
        <v>CUST100881</v>
      </c>
      <c r="B287" s="7" t="str">
        <f aca="false">PROPER(TRIM(customer_churn_dataset!B287))</f>
        <v>Standard</v>
      </c>
      <c r="C287" s="7" t="str">
        <f aca="false">PROPER(TRIM(customer_churn_dataset!C287))</f>
        <v>Month-To-Month</v>
      </c>
      <c r="D287" s="7" t="n">
        <f aca="false">IF(ISBLANK(customer_churn_dataset!D287),ROUND(MEDIAN(customer_churn_dataset!D$2:D$1501),2),IF(customer_churn_dataset!D287&lt;0,ABS(customer_churn_dataset!D287),customer_churn_dataset!D287))</f>
        <v>19.58</v>
      </c>
      <c r="E287" s="7" t="n">
        <f aca="false">IF(ISBLANK(customer_churn_dataset!E287),0,MAX(0,customer_churn_dataset!E287))</f>
        <v>72</v>
      </c>
      <c r="F287" s="8" t="n">
        <f aca="false">IF(ISBLANK(customer_churn_dataset!F287),"",customer_churn_dataset!F287)</f>
        <v>44221</v>
      </c>
      <c r="G287" s="7" t="str">
        <f aca="false">PROPER(TRIM(customer_churn_dataset!G287))</f>
        <v>Bank Transfer</v>
      </c>
      <c r="H287" s="7" t="n">
        <f aca="false">IF(ISBLANK(customer_churn_dataset!H287),0,customer_churn_dataset!H287)</f>
        <v>0</v>
      </c>
      <c r="I287" s="7" t="n">
        <f aca="false">IF(ISBLANK(customer_churn_dataset!I287),ROUND(MEDIAN(customer_churn_dataset!I$2:I$1501),1),MIN(100,MAX(0,customer_churn_dataset!I287)))</f>
        <v>79.9</v>
      </c>
      <c r="J287" s="7" t="n">
        <f aca="false">IF(ISBLANK(customer_churn_dataset!J287),0,MAX(0,customer_churn_dataset!J287))</f>
        <v>21</v>
      </c>
      <c r="K287" s="7" t="n">
        <f aca="false">IF(ISBLANK(customer_churn_dataset!K287),0,MIN(10,MAX(0,customer_churn_dataset!K287)))</f>
        <v>6</v>
      </c>
      <c r="L287" s="7" t="n">
        <f aca="false">IF(ISBLANK(customer_churn_dataset!L287),0,MAX(0,customer_churn_dataset!L287))</f>
        <v>3</v>
      </c>
      <c r="M287" s="7" t="n">
        <f aca="false">IF(ISBLANK(customer_churn_dataset!M287),0,customer_churn_dataset!M287)</f>
        <v>0</v>
      </c>
      <c r="N287" s="7" t="n">
        <f aca="false">IF(ISBLANK(customer_churn_dataset!N287),0,MAX(0,customer_churn_dataset!N287))</f>
        <v>1409.76</v>
      </c>
      <c r="O287" s="7" t="n">
        <f aca="false">IF(ISBLANK(customer_churn_dataset!O287),0,customer_churn_dataset!O287)</f>
        <v>0</v>
      </c>
      <c r="P287" s="7" t="str">
        <f aca="false">IF(COUNTIF(customer_churn_dataset!$A$2:$A$1501,customer_churn_dataset!A287)&gt;1,"Duplicate","Unique")</f>
        <v>Unique</v>
      </c>
    </row>
    <row r="288" customFormat="false" ht="14.15" hidden="false" customHeight="true" outlineLevel="0" collapsed="false">
      <c r="A288" s="7" t="str">
        <f aca="false">TRIM(customer_churn_dataset!A288)</f>
        <v>CUST100189</v>
      </c>
      <c r="B288" s="7" t="str">
        <f aca="false">PROPER(TRIM(customer_churn_dataset!B288))</f>
        <v>Basic</v>
      </c>
      <c r="C288" s="7" t="str">
        <f aca="false">PROPER(TRIM(customer_churn_dataset!C288))</f>
        <v>One Year</v>
      </c>
      <c r="D288" s="7" t="n">
        <f aca="false">IF(ISBLANK(customer_churn_dataset!D288),ROUND(MEDIAN(customer_churn_dataset!D$2:D$1501),2),IF(customer_churn_dataset!D288&lt;0,ABS(customer_churn_dataset!D288),customer_churn_dataset!D288))</f>
        <v>9.77</v>
      </c>
      <c r="E288" s="7" t="n">
        <f aca="false">IF(ISBLANK(customer_churn_dataset!E288),0,MAX(0,customer_churn_dataset!E288))</f>
        <v>23</v>
      </c>
      <c r="F288" s="8" t="n">
        <f aca="false">IF(ISBLANK(customer_churn_dataset!F288),"",customer_churn_dataset!F288)</f>
        <v>44222</v>
      </c>
      <c r="G288" s="7" t="str">
        <f aca="false">PROPER(TRIM(customer_churn_dataset!G288))</f>
        <v>Bank Transfer</v>
      </c>
      <c r="H288" s="7" t="n">
        <f aca="false">IF(ISBLANK(customer_churn_dataset!H288),0,customer_churn_dataset!H288)</f>
        <v>1</v>
      </c>
      <c r="I288" s="7" t="n">
        <f aca="false">IF(ISBLANK(customer_churn_dataset!I288),ROUND(MEDIAN(customer_churn_dataset!I$2:I$1501),1),MIN(100,MAX(0,customer_churn_dataset!I288)))</f>
        <v>70.1</v>
      </c>
      <c r="J288" s="7" t="n">
        <f aca="false">IF(ISBLANK(customer_churn_dataset!J288),0,MAX(0,customer_churn_dataset!J288))</f>
        <v>20</v>
      </c>
      <c r="K288" s="7" t="n">
        <f aca="false">IF(ISBLANK(customer_churn_dataset!K288),0,MIN(10,MAX(0,customer_churn_dataset!K288)))</f>
        <v>8</v>
      </c>
      <c r="L288" s="7" t="n">
        <f aca="false">IF(ISBLANK(customer_churn_dataset!L288),0,MAX(0,customer_churn_dataset!L288))</f>
        <v>1</v>
      </c>
      <c r="M288" s="7" t="n">
        <f aca="false">IF(ISBLANK(customer_churn_dataset!M288),0,customer_churn_dataset!M288)</f>
        <v>1</v>
      </c>
      <c r="N288" s="7" t="n">
        <f aca="false">IF(ISBLANK(customer_churn_dataset!N288),0,MAX(0,customer_churn_dataset!N288))</f>
        <v>224.71</v>
      </c>
      <c r="O288" s="7" t="n">
        <f aca="false">IF(ISBLANK(customer_churn_dataset!O288),0,customer_churn_dataset!O288)</f>
        <v>0</v>
      </c>
      <c r="P288" s="7" t="str">
        <f aca="false">IF(COUNTIF(customer_churn_dataset!$A$2:$A$1501,customer_churn_dataset!A288)&gt;1,"Duplicate","Unique")</f>
        <v>Unique</v>
      </c>
    </row>
    <row r="289" customFormat="false" ht="14.15" hidden="false" customHeight="true" outlineLevel="0" collapsed="false">
      <c r="A289" s="7" t="str">
        <f aca="false">TRIM(customer_churn_dataset!A289)</f>
        <v>CUST100528</v>
      </c>
      <c r="B289" s="7" t="str">
        <f aca="false">PROPER(TRIM(customer_churn_dataset!B289))</f>
        <v>Basic</v>
      </c>
      <c r="C289" s="7" t="str">
        <f aca="false">PROPER(TRIM(customer_churn_dataset!C289))</f>
        <v>One Year</v>
      </c>
      <c r="D289" s="7" t="n">
        <f aca="false">IF(ISBLANK(customer_churn_dataset!D289),ROUND(MEDIAN(customer_churn_dataset!D$2:D$1501),2),IF(customer_churn_dataset!D289&lt;0,ABS(customer_churn_dataset!D289),customer_churn_dataset!D289))</f>
        <v>10.27</v>
      </c>
      <c r="E289" s="7" t="n">
        <f aca="false">IF(ISBLANK(customer_churn_dataset!E289),0,MAX(0,customer_churn_dataset!E289))</f>
        <v>27</v>
      </c>
      <c r="F289" s="8" t="n">
        <f aca="false">IF(ISBLANK(customer_churn_dataset!F289),"",customer_churn_dataset!F289)</f>
        <v>44222</v>
      </c>
      <c r="G289" s="7" t="str">
        <f aca="false">PROPER(TRIM(customer_churn_dataset!G289))</f>
        <v>Paypal</v>
      </c>
      <c r="H289" s="7" t="n">
        <f aca="false">IF(ISBLANK(customer_churn_dataset!H289),0,customer_churn_dataset!H289)</f>
        <v>1</v>
      </c>
      <c r="I289" s="7" t="n">
        <f aca="false">IF(ISBLANK(customer_churn_dataset!I289),ROUND(MEDIAN(customer_churn_dataset!I$2:I$1501),1),MIN(100,MAX(0,customer_churn_dataset!I289)))</f>
        <v>34.1</v>
      </c>
      <c r="J289" s="7" t="n">
        <f aca="false">IF(ISBLANK(customer_churn_dataset!J289),0,MAX(0,customer_churn_dataset!J289))</f>
        <v>9</v>
      </c>
      <c r="K289" s="7" t="n">
        <f aca="false">IF(ISBLANK(customer_churn_dataset!K289),0,MIN(10,MAX(0,customer_churn_dataset!K289)))</f>
        <v>3</v>
      </c>
      <c r="L289" s="7" t="n">
        <f aca="false">IF(ISBLANK(customer_churn_dataset!L289),0,MAX(0,customer_churn_dataset!L289))</f>
        <v>2</v>
      </c>
      <c r="M289" s="7" t="n">
        <f aca="false">IF(ISBLANK(customer_churn_dataset!M289),0,customer_churn_dataset!M289)</f>
        <v>0</v>
      </c>
      <c r="N289" s="7" t="n">
        <f aca="false">IF(ISBLANK(customer_churn_dataset!N289),0,MAX(0,customer_churn_dataset!N289))</f>
        <v>277.29</v>
      </c>
      <c r="O289" s="7" t="n">
        <f aca="false">IF(ISBLANK(customer_churn_dataset!O289),0,customer_churn_dataset!O289)</f>
        <v>0</v>
      </c>
      <c r="P289" s="7" t="str">
        <f aca="false">IF(COUNTIF(customer_churn_dataset!$A$2:$A$1501,customer_churn_dataset!A289)&gt;1,"Duplicate","Unique")</f>
        <v>Unique</v>
      </c>
    </row>
    <row r="290" customFormat="false" ht="14.15" hidden="false" customHeight="true" outlineLevel="0" collapsed="false">
      <c r="A290" s="7" t="str">
        <f aca="false">TRIM(customer_churn_dataset!A290)</f>
        <v>CUST101078</v>
      </c>
      <c r="B290" s="7" t="str">
        <f aca="false">PROPER(TRIM(customer_churn_dataset!B290))</f>
        <v>Basic</v>
      </c>
      <c r="C290" s="7" t="str">
        <f aca="false">PROPER(TRIM(customer_churn_dataset!C290))</f>
        <v>Month-To-Month</v>
      </c>
      <c r="D290" s="7" t="n">
        <f aca="false">IF(ISBLANK(customer_churn_dataset!D290),ROUND(MEDIAN(customer_churn_dataset!D$2:D$1501),2),IF(customer_churn_dataset!D290&lt;0,ABS(customer_churn_dataset!D290),customer_churn_dataset!D290))</f>
        <v>9.58</v>
      </c>
      <c r="E290" s="7" t="n">
        <f aca="false">IF(ISBLANK(customer_churn_dataset!E290),0,MAX(0,customer_churn_dataset!E290))</f>
        <v>72</v>
      </c>
      <c r="F290" s="8" t="n">
        <f aca="false">IF(ISBLANK(customer_churn_dataset!F290),"",customer_churn_dataset!F290)</f>
        <v>44225</v>
      </c>
      <c r="G290" s="7" t="str">
        <f aca="false">PROPER(TRIM(customer_churn_dataset!G290))</f>
        <v>Credit Card</v>
      </c>
      <c r="H290" s="7" t="n">
        <f aca="false">IF(ISBLANK(customer_churn_dataset!H290),0,customer_churn_dataset!H290)</f>
        <v>1</v>
      </c>
      <c r="I290" s="7" t="n">
        <f aca="false">IF(ISBLANK(customer_churn_dataset!I290),ROUND(MEDIAN(customer_churn_dataset!I$2:I$1501),1),MIN(100,MAX(0,customer_churn_dataset!I290)))</f>
        <v>53.3</v>
      </c>
      <c r="J290" s="7" t="n">
        <f aca="false">IF(ISBLANK(customer_churn_dataset!J290),0,MAX(0,customer_churn_dataset!J290))</f>
        <v>21</v>
      </c>
      <c r="K290" s="7" t="n">
        <f aca="false">IF(ISBLANK(customer_churn_dataset!K290),0,MIN(10,MAX(0,customer_churn_dataset!K290)))</f>
        <v>6</v>
      </c>
      <c r="L290" s="7" t="n">
        <f aca="false">IF(ISBLANK(customer_churn_dataset!L290),0,MAX(0,customer_churn_dataset!L290))</f>
        <v>1</v>
      </c>
      <c r="M290" s="7" t="n">
        <f aca="false">IF(ISBLANK(customer_churn_dataset!M290),0,customer_churn_dataset!M290)</f>
        <v>0</v>
      </c>
      <c r="N290" s="7" t="n">
        <f aca="false">IF(ISBLANK(customer_churn_dataset!N290),0,MAX(0,customer_churn_dataset!N290))</f>
        <v>689.76</v>
      </c>
      <c r="O290" s="7" t="n">
        <f aca="false">IF(ISBLANK(customer_churn_dataset!O290),0,customer_churn_dataset!O290)</f>
        <v>0</v>
      </c>
      <c r="P290" s="7" t="str">
        <f aca="false">IF(COUNTIF(customer_churn_dataset!$A$2:$A$1501,customer_churn_dataset!A290)&gt;1,"Duplicate","Unique")</f>
        <v>Unique</v>
      </c>
    </row>
    <row r="291" customFormat="false" ht="14.15" hidden="false" customHeight="true" outlineLevel="0" collapsed="false">
      <c r="A291" s="7" t="str">
        <f aca="false">TRIM(customer_churn_dataset!A291)</f>
        <v>CUST100427</v>
      </c>
      <c r="B291" s="7" t="str">
        <f aca="false">PROPER(TRIM(customer_churn_dataset!B291))</f>
        <v>Premium</v>
      </c>
      <c r="C291" s="7" t="str">
        <f aca="false">PROPER(TRIM(customer_churn_dataset!C291))</f>
        <v>One Year</v>
      </c>
      <c r="D291" s="7" t="n">
        <f aca="false">IF(ISBLANK(customer_churn_dataset!D291),ROUND(MEDIAN(customer_churn_dataset!D$2:D$1501),2),IF(customer_churn_dataset!D291&lt;0,ABS(customer_churn_dataset!D291),customer_churn_dataset!D291))</f>
        <v>39.62</v>
      </c>
      <c r="E291" s="7" t="n">
        <f aca="false">IF(ISBLANK(customer_churn_dataset!E291),0,MAX(0,customer_churn_dataset!E291))</f>
        <v>0</v>
      </c>
      <c r="F291" s="8" t="n">
        <f aca="false">IF(ISBLANK(customer_churn_dataset!F291),"",customer_churn_dataset!F291)</f>
        <v>44230</v>
      </c>
      <c r="G291" s="7" t="str">
        <f aca="false">PROPER(TRIM(customer_churn_dataset!G291))</f>
        <v>Credit Card</v>
      </c>
      <c r="H291" s="7" t="n">
        <f aca="false">IF(ISBLANK(customer_churn_dataset!H291),0,customer_churn_dataset!H291)</f>
        <v>1</v>
      </c>
      <c r="I291" s="7" t="n">
        <f aca="false">IF(ISBLANK(customer_churn_dataset!I291),ROUND(MEDIAN(customer_churn_dataset!I$2:I$1501),1),MIN(100,MAX(0,customer_churn_dataset!I291)))</f>
        <v>84.1</v>
      </c>
      <c r="J291" s="7" t="n">
        <f aca="false">IF(ISBLANK(customer_churn_dataset!J291),0,MAX(0,customer_churn_dataset!J291))</f>
        <v>21</v>
      </c>
      <c r="K291" s="7" t="n">
        <f aca="false">IF(ISBLANK(customer_churn_dataset!K291),0,MIN(10,MAX(0,customer_churn_dataset!K291)))</f>
        <v>10</v>
      </c>
      <c r="L291" s="7" t="n">
        <f aca="false">IF(ISBLANK(customer_churn_dataset!L291),0,MAX(0,customer_churn_dataset!L291))</f>
        <v>1</v>
      </c>
      <c r="M291" s="7" t="n">
        <f aca="false">IF(ISBLANK(customer_churn_dataset!M291),0,customer_churn_dataset!M291)</f>
        <v>0</v>
      </c>
      <c r="N291" s="7" t="n">
        <f aca="false">IF(ISBLANK(customer_churn_dataset!N291),0,MAX(0,customer_churn_dataset!N291))</f>
        <v>0</v>
      </c>
      <c r="O291" s="7" t="n">
        <f aca="false">IF(ISBLANK(customer_churn_dataset!O291),0,customer_churn_dataset!O291)</f>
        <v>0</v>
      </c>
      <c r="P291" s="7" t="str">
        <f aca="false">IF(COUNTIF(customer_churn_dataset!$A$2:$A$1501,customer_churn_dataset!A291)&gt;1,"Duplicate","Unique")</f>
        <v>Unique</v>
      </c>
    </row>
    <row r="292" customFormat="false" ht="14.15" hidden="false" customHeight="true" outlineLevel="0" collapsed="false">
      <c r="A292" s="7" t="str">
        <f aca="false">TRIM(customer_churn_dataset!A292)</f>
        <v>CUST100980</v>
      </c>
      <c r="B292" s="7" t="str">
        <f aca="false">PROPER(TRIM(customer_churn_dataset!B292))</f>
        <v>Basic</v>
      </c>
      <c r="C292" s="7" t="str">
        <f aca="false">PROPER(TRIM(customer_churn_dataset!C292))</f>
        <v>One Year</v>
      </c>
      <c r="D292" s="7" t="n">
        <f aca="false">IF(ISBLANK(customer_churn_dataset!D292),ROUND(MEDIAN(customer_churn_dataset!D$2:D$1501),2),IF(customer_churn_dataset!D292&lt;0,ABS(customer_churn_dataset!D292),customer_churn_dataset!D292))</f>
        <v>10.15</v>
      </c>
      <c r="E292" s="7" t="n">
        <f aca="false">IF(ISBLANK(customer_churn_dataset!E292),0,MAX(0,customer_churn_dataset!E292))</f>
        <v>5</v>
      </c>
      <c r="F292" s="8" t="n">
        <f aca="false">IF(ISBLANK(customer_churn_dataset!F292),"",customer_churn_dataset!F292)</f>
        <v>44230</v>
      </c>
      <c r="G292" s="7" t="str">
        <f aca="false">PROPER(TRIM(customer_churn_dataset!G292))</f>
        <v>Paypal</v>
      </c>
      <c r="H292" s="7" t="n">
        <f aca="false">IF(ISBLANK(customer_churn_dataset!H292),0,customer_churn_dataset!H292)</f>
        <v>0</v>
      </c>
      <c r="I292" s="7" t="n">
        <f aca="false">IF(ISBLANK(customer_churn_dataset!I292),ROUND(MEDIAN(customer_churn_dataset!I$2:I$1501),1),MIN(100,MAX(0,customer_churn_dataset!I292)))</f>
        <v>61.3</v>
      </c>
      <c r="J292" s="7" t="n">
        <f aca="false">IF(ISBLANK(customer_churn_dataset!J292),0,MAX(0,customer_churn_dataset!J292))</f>
        <v>14</v>
      </c>
      <c r="K292" s="7" t="n">
        <f aca="false">IF(ISBLANK(customer_churn_dataset!K292),0,MIN(10,MAX(0,customer_churn_dataset!K292)))</f>
        <v>4</v>
      </c>
      <c r="L292" s="7" t="n">
        <f aca="false">IF(ISBLANK(customer_churn_dataset!L292),0,MAX(0,customer_churn_dataset!L292))</f>
        <v>2</v>
      </c>
      <c r="M292" s="7" t="n">
        <f aca="false">IF(ISBLANK(customer_churn_dataset!M292),0,customer_churn_dataset!M292)</f>
        <v>1</v>
      </c>
      <c r="N292" s="7" t="n">
        <f aca="false">IF(ISBLANK(customer_churn_dataset!N292),0,MAX(0,customer_churn_dataset!N292))</f>
        <v>50.75</v>
      </c>
      <c r="O292" s="7" t="n">
        <f aca="false">IF(ISBLANK(customer_churn_dataset!O292),0,customer_churn_dataset!O292)</f>
        <v>1</v>
      </c>
      <c r="P292" s="7" t="str">
        <f aca="false">IF(COUNTIF(customer_churn_dataset!$A$2:$A$1501,customer_churn_dataset!A292)&gt;1,"Duplicate","Unique")</f>
        <v>Unique</v>
      </c>
    </row>
    <row r="293" customFormat="false" ht="14.15" hidden="false" customHeight="true" outlineLevel="0" collapsed="false">
      <c r="A293" s="7" t="str">
        <f aca="false">TRIM(customer_churn_dataset!A293)</f>
        <v>CUST100287</v>
      </c>
      <c r="B293" s="7" t="str">
        <f aca="false">PROPER(TRIM(customer_churn_dataset!B293))</f>
        <v>Standard</v>
      </c>
      <c r="C293" s="7" t="str">
        <f aca="false">PROPER(TRIM(customer_churn_dataset!C293))</f>
        <v>Month-To-Month</v>
      </c>
      <c r="D293" s="7" t="n">
        <f aca="false">IF(ISBLANK(customer_churn_dataset!D293),ROUND(MEDIAN(customer_churn_dataset!D$2:D$1501),2),IF(customer_churn_dataset!D293&lt;0,ABS(customer_churn_dataset!D293),customer_churn_dataset!D293))</f>
        <v>20.58</v>
      </c>
      <c r="E293" s="7" t="n">
        <f aca="false">IF(ISBLANK(customer_churn_dataset!E293),0,MAX(0,customer_churn_dataset!E293))</f>
        <v>31</v>
      </c>
      <c r="F293" s="8" t="n">
        <f aca="false">IF(ISBLANK(customer_churn_dataset!F293),"",customer_churn_dataset!F293)</f>
        <v>44231</v>
      </c>
      <c r="G293" s="7" t="str">
        <f aca="false">PROPER(TRIM(customer_churn_dataset!G293))</f>
        <v>Credit Card</v>
      </c>
      <c r="H293" s="7" t="n">
        <f aca="false">IF(ISBLANK(customer_churn_dataset!H293),0,customer_churn_dataset!H293)</f>
        <v>1</v>
      </c>
      <c r="I293" s="7" t="n">
        <f aca="false">IF(ISBLANK(customer_churn_dataset!I293),ROUND(MEDIAN(customer_churn_dataset!I$2:I$1501),1),MIN(100,MAX(0,customer_churn_dataset!I293)))</f>
        <v>26.9</v>
      </c>
      <c r="J293" s="7" t="n">
        <f aca="false">IF(ISBLANK(customer_churn_dataset!J293),0,MAX(0,customer_churn_dataset!J293))</f>
        <v>7</v>
      </c>
      <c r="K293" s="7" t="n">
        <f aca="false">IF(ISBLANK(customer_churn_dataset!K293),0,MIN(10,MAX(0,customer_churn_dataset!K293)))</f>
        <v>4</v>
      </c>
      <c r="L293" s="7" t="n">
        <f aca="false">IF(ISBLANK(customer_churn_dataset!L293),0,MAX(0,customer_churn_dataset!L293))</f>
        <v>2</v>
      </c>
      <c r="M293" s="7" t="n">
        <f aca="false">IF(ISBLANK(customer_churn_dataset!M293),0,customer_churn_dataset!M293)</f>
        <v>1</v>
      </c>
      <c r="N293" s="7" t="n">
        <f aca="false">IF(ISBLANK(customer_churn_dataset!N293),0,MAX(0,customer_churn_dataset!N293))</f>
        <v>637.98</v>
      </c>
      <c r="O293" s="7" t="n">
        <f aca="false">IF(ISBLANK(customer_churn_dataset!O293),0,customer_churn_dataset!O293)</f>
        <v>0</v>
      </c>
      <c r="P293" s="7" t="str">
        <f aca="false">IF(COUNTIF(customer_churn_dataset!$A$2:$A$1501,customer_churn_dataset!A293)&gt;1,"Duplicate","Unique")</f>
        <v>Unique</v>
      </c>
    </row>
    <row r="294" customFormat="false" ht="14.15" hidden="false" customHeight="true" outlineLevel="0" collapsed="false">
      <c r="A294" s="7" t="str">
        <f aca="false">TRIM(customer_churn_dataset!A294)</f>
        <v>CUST101149</v>
      </c>
      <c r="B294" s="7" t="str">
        <f aca="false">PROPER(TRIM(customer_churn_dataset!B294))</f>
        <v>Premium</v>
      </c>
      <c r="C294" s="7" t="str">
        <f aca="false">PROPER(TRIM(customer_churn_dataset!C294))</f>
        <v>Month-To-Month</v>
      </c>
      <c r="D294" s="7" t="n">
        <f aca="false">IF(ISBLANK(customer_churn_dataset!D294),ROUND(MEDIAN(customer_churn_dataset!D$2:D$1501),2),IF(customer_churn_dataset!D294&lt;0,ABS(customer_churn_dataset!D294),customer_churn_dataset!D294))</f>
        <v>40.88</v>
      </c>
      <c r="E294" s="7" t="n">
        <f aca="false">IF(ISBLANK(customer_churn_dataset!E294),0,MAX(0,customer_churn_dataset!E294))</f>
        <v>30</v>
      </c>
      <c r="F294" s="8" t="n">
        <f aca="false">IF(ISBLANK(customer_churn_dataset!F294),"",customer_churn_dataset!F294)</f>
        <v>44232</v>
      </c>
      <c r="G294" s="7" t="str">
        <f aca="false">PROPER(TRIM(customer_churn_dataset!G294))</f>
        <v>Bank Transfer</v>
      </c>
      <c r="H294" s="7" t="n">
        <f aca="false">IF(ISBLANK(customer_churn_dataset!H294),0,customer_churn_dataset!H294)</f>
        <v>0</v>
      </c>
      <c r="I294" s="7" t="n">
        <f aca="false">IF(ISBLANK(customer_churn_dataset!I294),ROUND(MEDIAN(customer_churn_dataset!I$2:I$1501),1),MIN(100,MAX(0,customer_churn_dataset!I294)))</f>
        <v>83.4</v>
      </c>
      <c r="J294" s="7" t="n">
        <f aca="false">IF(ISBLANK(customer_churn_dataset!J294),0,MAX(0,customer_churn_dataset!J294))</f>
        <v>28</v>
      </c>
      <c r="K294" s="7" t="n">
        <f aca="false">IF(ISBLANK(customer_churn_dataset!K294),0,MIN(10,MAX(0,customer_churn_dataset!K294)))</f>
        <v>8</v>
      </c>
      <c r="L294" s="7" t="n">
        <f aca="false">IF(ISBLANK(customer_churn_dataset!L294),0,MAX(0,customer_churn_dataset!L294))</f>
        <v>1</v>
      </c>
      <c r="M294" s="7" t="n">
        <f aca="false">IF(ISBLANK(customer_churn_dataset!M294),0,customer_churn_dataset!M294)</f>
        <v>0</v>
      </c>
      <c r="N294" s="7" t="n">
        <f aca="false">IF(ISBLANK(customer_churn_dataset!N294),0,MAX(0,customer_churn_dataset!N294))</f>
        <v>1226.4</v>
      </c>
      <c r="O294" s="7" t="n">
        <f aca="false">IF(ISBLANK(customer_churn_dataset!O294),0,customer_churn_dataset!O294)</f>
        <v>1</v>
      </c>
      <c r="P294" s="7" t="str">
        <f aca="false">IF(COUNTIF(customer_churn_dataset!$A$2:$A$1501,customer_churn_dataset!A294)&gt;1,"Duplicate","Unique")</f>
        <v>Unique</v>
      </c>
    </row>
    <row r="295" customFormat="false" ht="14.15" hidden="false" customHeight="true" outlineLevel="0" collapsed="false">
      <c r="A295" s="7" t="str">
        <f aca="false">TRIM(customer_churn_dataset!A295)</f>
        <v>CUST100953</v>
      </c>
      <c r="B295" s="7" t="str">
        <f aca="false">PROPER(TRIM(customer_churn_dataset!B295))</f>
        <v>Premium</v>
      </c>
      <c r="C295" s="7" t="str">
        <f aca="false">PROPER(TRIM(customer_churn_dataset!C295))</f>
        <v>Month-To-Month</v>
      </c>
      <c r="D295" s="7" t="n">
        <f aca="false">IF(ISBLANK(customer_churn_dataset!D295),ROUND(MEDIAN(customer_churn_dataset!D$2:D$1501),2),IF(customer_churn_dataset!D295&lt;0,ABS(customer_churn_dataset!D295),customer_churn_dataset!D295))</f>
        <v>38.99</v>
      </c>
      <c r="E295" s="7" t="n">
        <f aca="false">IF(ISBLANK(customer_churn_dataset!E295),0,MAX(0,customer_churn_dataset!E295))</f>
        <v>15</v>
      </c>
      <c r="F295" s="8" t="n">
        <f aca="false">IF(ISBLANK(customer_churn_dataset!F295),"",customer_churn_dataset!F295)</f>
        <v>44232</v>
      </c>
      <c r="G295" s="7" t="str">
        <f aca="false">PROPER(TRIM(customer_churn_dataset!G295))</f>
        <v>Manual/Invoice</v>
      </c>
      <c r="H295" s="7" t="n">
        <f aca="false">IF(ISBLANK(customer_churn_dataset!H295),0,customer_churn_dataset!H295)</f>
        <v>0</v>
      </c>
      <c r="I295" s="7" t="n">
        <f aca="false">IF(ISBLANK(customer_churn_dataset!I295),ROUND(MEDIAN(customer_churn_dataset!I$2:I$1501),1),MIN(100,MAX(0,customer_churn_dataset!I295)))</f>
        <v>68.2</v>
      </c>
      <c r="J295" s="7" t="n">
        <f aca="false">IF(ISBLANK(customer_churn_dataset!J295),0,MAX(0,customer_churn_dataset!J295))</f>
        <v>20</v>
      </c>
      <c r="K295" s="7" t="n">
        <f aca="false">IF(ISBLANK(customer_churn_dataset!K295),0,MIN(10,MAX(0,customer_churn_dataset!K295)))</f>
        <v>5</v>
      </c>
      <c r="L295" s="7" t="n">
        <f aca="false">IF(ISBLANK(customer_churn_dataset!L295),0,MAX(0,customer_churn_dataset!L295))</f>
        <v>1</v>
      </c>
      <c r="M295" s="7" t="n">
        <f aca="false">IF(ISBLANK(customer_churn_dataset!M295),0,customer_churn_dataset!M295)</f>
        <v>1</v>
      </c>
      <c r="N295" s="7" t="n">
        <f aca="false">IF(ISBLANK(customer_churn_dataset!N295),0,MAX(0,customer_churn_dataset!N295))</f>
        <v>584.85</v>
      </c>
      <c r="O295" s="7" t="n">
        <f aca="false">IF(ISBLANK(customer_churn_dataset!O295),0,customer_churn_dataset!O295)</f>
        <v>0</v>
      </c>
      <c r="P295" s="7" t="str">
        <f aca="false">IF(COUNTIF(customer_churn_dataset!$A$2:$A$1501,customer_churn_dataset!A295)&gt;1,"Duplicate","Unique")</f>
        <v>Unique</v>
      </c>
    </row>
    <row r="296" customFormat="false" ht="14.15" hidden="false" customHeight="true" outlineLevel="0" collapsed="false">
      <c r="A296" s="7" t="str">
        <f aca="false">TRIM(customer_churn_dataset!A296)</f>
        <v>CUST101218</v>
      </c>
      <c r="B296" s="7" t="str">
        <f aca="false">PROPER(TRIM(customer_churn_dataset!B296))</f>
        <v>Standard</v>
      </c>
      <c r="C296" s="7" t="str">
        <f aca="false">PROPER(TRIM(customer_churn_dataset!C296))</f>
        <v>One Year</v>
      </c>
      <c r="D296" s="7" t="n">
        <f aca="false">IF(ISBLANK(customer_churn_dataset!D296),ROUND(MEDIAN(customer_churn_dataset!D$2:D$1501),2),IF(customer_churn_dataset!D296&lt;0,ABS(customer_churn_dataset!D296),customer_churn_dataset!D296))</f>
        <v>19.58</v>
      </c>
      <c r="E296" s="7" t="n">
        <f aca="false">IF(ISBLANK(customer_churn_dataset!E296),0,MAX(0,customer_churn_dataset!E296))</f>
        <v>6</v>
      </c>
      <c r="F296" s="8" t="n">
        <f aca="false">IF(ISBLANK(customer_churn_dataset!F296),"",customer_churn_dataset!F296)</f>
        <v>44234</v>
      </c>
      <c r="G296" s="7" t="str">
        <f aca="false">PROPER(TRIM(customer_churn_dataset!G296))</f>
        <v>Paypal</v>
      </c>
      <c r="H296" s="7" t="n">
        <f aca="false">IF(ISBLANK(customer_churn_dataset!H296),0,customer_churn_dataset!H296)</f>
        <v>1</v>
      </c>
      <c r="I296" s="7" t="n">
        <f aca="false">IF(ISBLANK(customer_churn_dataset!I296),ROUND(MEDIAN(customer_churn_dataset!I$2:I$1501),1),MIN(100,MAX(0,customer_churn_dataset!I296)))</f>
        <v>54.6</v>
      </c>
      <c r="J296" s="7" t="n">
        <f aca="false">IF(ISBLANK(customer_churn_dataset!J296),0,MAX(0,customer_churn_dataset!J296))</f>
        <v>10</v>
      </c>
      <c r="K296" s="7" t="n">
        <f aca="false">IF(ISBLANK(customer_churn_dataset!K296),0,MIN(10,MAX(0,customer_churn_dataset!K296)))</f>
        <v>7</v>
      </c>
      <c r="L296" s="7" t="n">
        <f aca="false">IF(ISBLANK(customer_churn_dataset!L296),0,MAX(0,customer_churn_dataset!L296))</f>
        <v>1</v>
      </c>
      <c r="M296" s="7" t="n">
        <f aca="false">IF(ISBLANK(customer_churn_dataset!M296),0,customer_churn_dataset!M296)</f>
        <v>0</v>
      </c>
      <c r="N296" s="7" t="n">
        <f aca="false">IF(ISBLANK(customer_churn_dataset!N296),0,MAX(0,customer_churn_dataset!N296))</f>
        <v>117.48</v>
      </c>
      <c r="O296" s="7" t="n">
        <f aca="false">IF(ISBLANK(customer_churn_dataset!O296),0,customer_churn_dataset!O296)</f>
        <v>0</v>
      </c>
      <c r="P296" s="7" t="str">
        <f aca="false">IF(COUNTIF(customer_churn_dataset!$A$2:$A$1501,customer_churn_dataset!A296)&gt;1,"Duplicate","Unique")</f>
        <v>Unique</v>
      </c>
    </row>
    <row r="297" customFormat="false" ht="14.15" hidden="false" customHeight="true" outlineLevel="0" collapsed="false">
      <c r="A297" s="7" t="str">
        <f aca="false">TRIM(customer_churn_dataset!A297)</f>
        <v>CUST101270</v>
      </c>
      <c r="B297" s="7" t="str">
        <f aca="false">PROPER(TRIM(customer_churn_dataset!B297))</f>
        <v>Standard</v>
      </c>
      <c r="C297" s="7" t="str">
        <f aca="false">PROPER(TRIM(customer_churn_dataset!C297))</f>
        <v>Month-To-Month</v>
      </c>
      <c r="D297" s="7" t="n">
        <f aca="false">IF(ISBLANK(customer_churn_dataset!D297),ROUND(MEDIAN(customer_churn_dataset!D$2:D$1501),2),IF(customer_churn_dataset!D297&lt;0,ABS(customer_churn_dataset!D297),customer_churn_dataset!D297))</f>
        <v>20.55</v>
      </c>
      <c r="E297" s="7" t="n">
        <f aca="false">IF(ISBLANK(customer_churn_dataset!E297),0,MAX(0,customer_churn_dataset!E297))</f>
        <v>11</v>
      </c>
      <c r="F297" s="8" t="n">
        <f aca="false">IF(ISBLANK(customer_churn_dataset!F297),"",customer_churn_dataset!F297)</f>
        <v>44236</v>
      </c>
      <c r="G297" s="7" t="str">
        <f aca="false">PROPER(TRIM(customer_churn_dataset!G297))</f>
        <v>Credit Card</v>
      </c>
      <c r="H297" s="7" t="n">
        <f aca="false">IF(ISBLANK(customer_churn_dataset!H297),0,customer_churn_dataset!H297)</f>
        <v>1</v>
      </c>
      <c r="I297" s="7" t="n">
        <f aca="false">IF(ISBLANK(customer_churn_dataset!I297),ROUND(MEDIAN(customer_churn_dataset!I$2:I$1501),1),MIN(100,MAX(0,customer_churn_dataset!I297)))</f>
        <v>74</v>
      </c>
      <c r="J297" s="7" t="n">
        <f aca="false">IF(ISBLANK(customer_churn_dataset!J297),0,MAX(0,customer_churn_dataset!J297))</f>
        <v>21</v>
      </c>
      <c r="K297" s="7" t="n">
        <f aca="false">IF(ISBLANK(customer_churn_dataset!K297),0,MIN(10,MAX(0,customer_churn_dataset!K297)))</f>
        <v>8</v>
      </c>
      <c r="L297" s="7" t="n">
        <f aca="false">IF(ISBLANK(customer_churn_dataset!L297),0,MAX(0,customer_churn_dataset!L297))</f>
        <v>1</v>
      </c>
      <c r="M297" s="7" t="n">
        <f aca="false">IF(ISBLANK(customer_churn_dataset!M297),0,customer_churn_dataset!M297)</f>
        <v>0</v>
      </c>
      <c r="N297" s="7" t="n">
        <f aca="false">IF(ISBLANK(customer_churn_dataset!N297),0,MAX(0,customer_churn_dataset!N297))</f>
        <v>226.05</v>
      </c>
      <c r="O297" s="7" t="n">
        <f aca="false">IF(ISBLANK(customer_churn_dataset!O297),0,customer_churn_dataset!O297)</f>
        <v>0</v>
      </c>
      <c r="P297" s="7" t="str">
        <f aca="false">IF(COUNTIF(customer_churn_dataset!$A$2:$A$1501,customer_churn_dataset!A297)&gt;1,"Duplicate","Unique")</f>
        <v>Unique</v>
      </c>
    </row>
    <row r="298" customFormat="false" ht="14.15" hidden="false" customHeight="true" outlineLevel="0" collapsed="false">
      <c r="A298" s="7" t="str">
        <f aca="false">TRIM(customer_churn_dataset!A298)</f>
        <v>CUST100762</v>
      </c>
      <c r="B298" s="7" t="str">
        <f aca="false">PROPER(TRIM(customer_churn_dataset!B298))</f>
        <v>Basic</v>
      </c>
      <c r="C298" s="7" t="str">
        <f aca="false">PROPER(TRIM(customer_churn_dataset!C298))</f>
        <v>Month-To-Month</v>
      </c>
      <c r="D298" s="7" t="n">
        <f aca="false">IF(ISBLANK(customer_churn_dataset!D298),ROUND(MEDIAN(customer_churn_dataset!D$2:D$1501),2),IF(customer_churn_dataset!D298&lt;0,ABS(customer_churn_dataset!D298),customer_churn_dataset!D298))</f>
        <v>8.92</v>
      </c>
      <c r="E298" s="7" t="n">
        <f aca="false">IF(ISBLANK(customer_churn_dataset!E298),0,MAX(0,customer_churn_dataset!E298))</f>
        <v>17</v>
      </c>
      <c r="F298" s="8" t="n">
        <f aca="false">IF(ISBLANK(customer_churn_dataset!F298),"",customer_churn_dataset!F298)</f>
        <v>44236</v>
      </c>
      <c r="G298" s="7" t="str">
        <f aca="false">PROPER(TRIM(customer_churn_dataset!G298))</f>
        <v>Credit Card</v>
      </c>
      <c r="H298" s="7" t="n">
        <f aca="false">IF(ISBLANK(customer_churn_dataset!H298),0,customer_churn_dataset!H298)</f>
        <v>0</v>
      </c>
      <c r="I298" s="7" t="n">
        <f aca="false">IF(ISBLANK(customer_churn_dataset!I298),ROUND(MEDIAN(customer_churn_dataset!I$2:I$1501),1),MIN(100,MAX(0,customer_churn_dataset!I298)))</f>
        <v>65</v>
      </c>
      <c r="J298" s="7" t="n">
        <f aca="false">IF(ISBLANK(customer_churn_dataset!J298),0,MAX(0,customer_churn_dataset!J298))</f>
        <v>21</v>
      </c>
      <c r="K298" s="7" t="n">
        <f aca="false">IF(ISBLANK(customer_churn_dataset!K298),0,MIN(10,MAX(0,customer_churn_dataset!K298)))</f>
        <v>8</v>
      </c>
      <c r="L298" s="7" t="n">
        <f aca="false">IF(ISBLANK(customer_churn_dataset!L298),0,MAX(0,customer_churn_dataset!L298))</f>
        <v>2</v>
      </c>
      <c r="M298" s="7" t="n">
        <f aca="false">IF(ISBLANK(customer_churn_dataset!M298),0,customer_churn_dataset!M298)</f>
        <v>0</v>
      </c>
      <c r="N298" s="7" t="n">
        <f aca="false">IF(ISBLANK(customer_churn_dataset!N298),0,MAX(0,customer_churn_dataset!N298))</f>
        <v>151.64</v>
      </c>
      <c r="O298" s="7" t="n">
        <f aca="false">IF(ISBLANK(customer_churn_dataset!O298),0,customer_churn_dataset!O298)</f>
        <v>0</v>
      </c>
      <c r="P298" s="7" t="str">
        <f aca="false">IF(COUNTIF(customer_churn_dataset!$A$2:$A$1501,customer_churn_dataset!A298)&gt;1,"Duplicate","Unique")</f>
        <v>Unique</v>
      </c>
    </row>
    <row r="299" customFormat="false" ht="14.15" hidden="false" customHeight="true" outlineLevel="0" collapsed="false">
      <c r="A299" s="7" t="str">
        <f aca="false">TRIM(customer_churn_dataset!A299)</f>
        <v>CUST101491</v>
      </c>
      <c r="B299" s="7" t="str">
        <f aca="false">PROPER(TRIM(customer_churn_dataset!B299))</f>
        <v>Basic</v>
      </c>
      <c r="C299" s="7" t="str">
        <f aca="false">PROPER(TRIM(customer_churn_dataset!C299))</f>
        <v>Two Year</v>
      </c>
      <c r="D299" s="7" t="n">
        <f aca="false">IF(ISBLANK(customer_churn_dataset!D299),ROUND(MEDIAN(customer_churn_dataset!D$2:D$1501),2),IF(customer_churn_dataset!D299&lt;0,ABS(customer_churn_dataset!D299),customer_churn_dataset!D299))</f>
        <v>11.51</v>
      </c>
      <c r="E299" s="7" t="n">
        <f aca="false">IF(ISBLANK(customer_churn_dataset!E299),0,MAX(0,customer_churn_dataset!E299))</f>
        <v>13</v>
      </c>
      <c r="F299" s="8" t="n">
        <f aca="false">IF(ISBLANK(customer_churn_dataset!F299),"",customer_churn_dataset!F299)</f>
        <v>44242</v>
      </c>
      <c r="G299" s="7" t="str">
        <f aca="false">PROPER(TRIM(customer_churn_dataset!G299))</f>
        <v>Credit Card</v>
      </c>
      <c r="H299" s="7" t="n">
        <f aca="false">IF(ISBLANK(customer_churn_dataset!H299),0,customer_churn_dataset!H299)</f>
        <v>0</v>
      </c>
      <c r="I299" s="7" t="n">
        <f aca="false">IF(ISBLANK(customer_churn_dataset!I299),ROUND(MEDIAN(customer_churn_dataset!I$2:I$1501),1),MIN(100,MAX(0,customer_churn_dataset!I299)))</f>
        <v>43.1</v>
      </c>
      <c r="J299" s="7" t="n">
        <f aca="false">IF(ISBLANK(customer_churn_dataset!J299),0,MAX(0,customer_churn_dataset!J299))</f>
        <v>6</v>
      </c>
      <c r="K299" s="7" t="n">
        <f aca="false">IF(ISBLANK(customer_churn_dataset!K299),0,MIN(10,MAX(0,customer_churn_dataset!K299)))</f>
        <v>6</v>
      </c>
      <c r="L299" s="7" t="n">
        <f aca="false">IF(ISBLANK(customer_churn_dataset!L299),0,MAX(0,customer_churn_dataset!L299))</f>
        <v>0</v>
      </c>
      <c r="M299" s="7" t="n">
        <f aca="false">IF(ISBLANK(customer_churn_dataset!M299),0,customer_churn_dataset!M299)</f>
        <v>0</v>
      </c>
      <c r="N299" s="7" t="n">
        <f aca="false">IF(ISBLANK(customer_churn_dataset!N299),0,MAX(0,customer_churn_dataset!N299))</f>
        <v>149.63</v>
      </c>
      <c r="O299" s="7" t="n">
        <f aca="false">IF(ISBLANK(customer_churn_dataset!O299),0,customer_churn_dataset!O299)</f>
        <v>0</v>
      </c>
      <c r="P299" s="7" t="str">
        <f aca="false">IF(COUNTIF(customer_churn_dataset!$A$2:$A$1501,customer_churn_dataset!A299)&gt;1,"Duplicate","Unique")</f>
        <v>Unique</v>
      </c>
    </row>
    <row r="300" customFormat="false" ht="14.15" hidden="false" customHeight="true" outlineLevel="0" collapsed="false">
      <c r="A300" s="7" t="str">
        <f aca="false">TRIM(customer_churn_dataset!A300)</f>
        <v>CUST100187</v>
      </c>
      <c r="B300" s="7" t="str">
        <f aca="false">PROPER(TRIM(customer_churn_dataset!B300))</f>
        <v>Standard</v>
      </c>
      <c r="C300" s="7" t="str">
        <f aca="false">PROPER(TRIM(customer_churn_dataset!C300))</f>
        <v>Month-To-Month</v>
      </c>
      <c r="D300" s="7" t="n">
        <f aca="false">IF(ISBLANK(customer_churn_dataset!D300),ROUND(MEDIAN(customer_churn_dataset!D$2:D$1501),2),IF(customer_churn_dataset!D300&lt;0,ABS(customer_churn_dataset!D300),customer_churn_dataset!D300))</f>
        <v>20.92</v>
      </c>
      <c r="E300" s="7" t="n">
        <f aca="false">IF(ISBLANK(customer_churn_dataset!E300),0,MAX(0,customer_churn_dataset!E300))</f>
        <v>1</v>
      </c>
      <c r="F300" s="8" t="n">
        <f aca="false">IF(ISBLANK(customer_churn_dataset!F300),"",customer_churn_dataset!F300)</f>
        <v>44245</v>
      </c>
      <c r="G300" s="7" t="str">
        <f aca="false">PROPER(TRIM(customer_churn_dataset!G300))</f>
        <v>Credit Card</v>
      </c>
      <c r="H300" s="7" t="n">
        <f aca="false">IF(ISBLANK(customer_churn_dataset!H300),0,customer_churn_dataset!H300)</f>
        <v>1</v>
      </c>
      <c r="I300" s="7" t="n">
        <f aca="false">IF(ISBLANK(customer_churn_dataset!I300),ROUND(MEDIAN(customer_churn_dataset!I$2:I$1501),1),MIN(100,MAX(0,customer_churn_dataset!I300)))</f>
        <v>26.6</v>
      </c>
      <c r="J300" s="7" t="n">
        <f aca="false">IF(ISBLANK(customer_churn_dataset!J300),0,MAX(0,customer_churn_dataset!J300))</f>
        <v>1</v>
      </c>
      <c r="K300" s="7" t="n">
        <f aca="false">IF(ISBLANK(customer_churn_dataset!K300),0,MIN(10,MAX(0,customer_churn_dataset!K300)))</f>
        <v>5</v>
      </c>
      <c r="L300" s="7" t="n">
        <f aca="false">IF(ISBLANK(customer_churn_dataset!L300),0,MAX(0,customer_churn_dataset!L300))</f>
        <v>4</v>
      </c>
      <c r="M300" s="7" t="n">
        <f aca="false">IF(ISBLANK(customer_churn_dataset!M300),0,customer_churn_dataset!M300)</f>
        <v>1</v>
      </c>
      <c r="N300" s="7" t="n">
        <f aca="false">IF(ISBLANK(customer_churn_dataset!N300),0,MAX(0,customer_churn_dataset!N300))</f>
        <v>20.92</v>
      </c>
      <c r="O300" s="7" t="n">
        <f aca="false">IF(ISBLANK(customer_churn_dataset!O300),0,customer_churn_dataset!O300)</f>
        <v>0</v>
      </c>
      <c r="P300" s="7" t="str">
        <f aca="false">IF(COUNTIF(customer_churn_dataset!$A$2:$A$1501,customer_churn_dataset!A300)&gt;1,"Duplicate","Unique")</f>
        <v>Unique</v>
      </c>
    </row>
    <row r="301" customFormat="false" ht="14.15" hidden="false" customHeight="true" outlineLevel="0" collapsed="false">
      <c r="A301" s="7" t="str">
        <f aca="false">TRIM(customer_churn_dataset!A301)</f>
        <v>CUST100225</v>
      </c>
      <c r="B301" s="7" t="str">
        <f aca="false">PROPER(TRIM(customer_churn_dataset!B301))</f>
        <v>Basic</v>
      </c>
      <c r="C301" s="7" t="str">
        <f aca="false">PROPER(TRIM(customer_churn_dataset!C301))</f>
        <v>Month-To-Month</v>
      </c>
      <c r="D301" s="7" t="n">
        <f aca="false">IF(ISBLANK(customer_churn_dataset!D301),ROUND(MEDIAN(customer_churn_dataset!D$2:D$1501),2),IF(customer_churn_dataset!D301&lt;0,ABS(customer_churn_dataset!D301),customer_churn_dataset!D301))</f>
        <v>10.29</v>
      </c>
      <c r="E301" s="7" t="n">
        <f aca="false">IF(ISBLANK(customer_churn_dataset!E301),0,MAX(0,customer_churn_dataset!E301))</f>
        <v>1</v>
      </c>
      <c r="F301" s="8" t="n">
        <f aca="false">IF(ISBLANK(customer_churn_dataset!F301),"",customer_churn_dataset!F301)</f>
        <v>44246</v>
      </c>
      <c r="G301" s="7" t="str">
        <f aca="false">PROPER(TRIM(customer_churn_dataset!G301))</f>
        <v>Credit Card</v>
      </c>
      <c r="H301" s="7" t="n">
        <f aca="false">IF(ISBLANK(customer_churn_dataset!H301),0,customer_churn_dataset!H301)</f>
        <v>1</v>
      </c>
      <c r="I301" s="7" t="n">
        <f aca="false">IF(ISBLANK(customer_churn_dataset!I301),ROUND(MEDIAN(customer_churn_dataset!I$2:I$1501),1),MIN(100,MAX(0,customer_churn_dataset!I301)))</f>
        <v>65.2</v>
      </c>
      <c r="J301" s="7" t="n">
        <f aca="false">IF(ISBLANK(customer_churn_dataset!J301),0,MAX(0,customer_churn_dataset!J301))</f>
        <v>22</v>
      </c>
      <c r="K301" s="7" t="n">
        <f aca="false">IF(ISBLANK(customer_churn_dataset!K301),0,MIN(10,MAX(0,customer_churn_dataset!K301)))</f>
        <v>7</v>
      </c>
      <c r="L301" s="7" t="n">
        <f aca="false">IF(ISBLANK(customer_churn_dataset!L301),0,MAX(0,customer_churn_dataset!L301))</f>
        <v>3</v>
      </c>
      <c r="M301" s="7" t="n">
        <f aca="false">IF(ISBLANK(customer_churn_dataset!M301),0,customer_churn_dataset!M301)</f>
        <v>0</v>
      </c>
      <c r="N301" s="7" t="n">
        <f aca="false">IF(ISBLANK(customer_churn_dataset!N301),0,MAX(0,customer_churn_dataset!N301))</f>
        <v>10.29</v>
      </c>
      <c r="O301" s="7" t="n">
        <f aca="false">IF(ISBLANK(customer_churn_dataset!O301),0,customer_churn_dataset!O301)</f>
        <v>0</v>
      </c>
      <c r="P301" s="7" t="str">
        <f aca="false">IF(COUNTIF(customer_churn_dataset!$A$2:$A$1501,customer_churn_dataset!A301)&gt;1,"Duplicate","Unique")</f>
        <v>Unique</v>
      </c>
    </row>
    <row r="302" customFormat="false" ht="14.15" hidden="false" customHeight="true" outlineLevel="0" collapsed="false">
      <c r="A302" s="7" t="str">
        <f aca="false">TRIM(customer_churn_dataset!A302)</f>
        <v>CUST101292</v>
      </c>
      <c r="B302" s="7" t="str">
        <f aca="false">PROPER(TRIM(customer_churn_dataset!B302))</f>
        <v>Standard</v>
      </c>
      <c r="C302" s="7" t="str">
        <f aca="false">PROPER(TRIM(customer_churn_dataset!C302))</f>
        <v>Month-To-Month</v>
      </c>
      <c r="D302" s="7" t="n">
        <f aca="false">IF(ISBLANK(customer_churn_dataset!D302),ROUND(MEDIAN(customer_churn_dataset!D$2:D$1501),2),IF(customer_churn_dataset!D302&lt;0,ABS(customer_churn_dataset!D302),customer_churn_dataset!D302))</f>
        <v>19.92</v>
      </c>
      <c r="E302" s="7" t="n">
        <f aca="false">IF(ISBLANK(customer_churn_dataset!E302),0,MAX(0,customer_churn_dataset!E302))</f>
        <v>3</v>
      </c>
      <c r="F302" s="8" t="n">
        <f aca="false">IF(ISBLANK(customer_churn_dataset!F302),"",customer_churn_dataset!F302)</f>
        <v>44247</v>
      </c>
      <c r="G302" s="7" t="str">
        <f aca="false">PROPER(TRIM(customer_churn_dataset!G302))</f>
        <v>Paypal</v>
      </c>
      <c r="H302" s="7" t="n">
        <f aca="false">IF(ISBLANK(customer_churn_dataset!H302),0,customer_churn_dataset!H302)</f>
        <v>1</v>
      </c>
      <c r="I302" s="7" t="n">
        <f aca="false">IF(ISBLANK(customer_churn_dataset!I302),ROUND(MEDIAN(customer_churn_dataset!I$2:I$1501),1),MIN(100,MAX(0,customer_churn_dataset!I302)))</f>
        <v>42.9</v>
      </c>
      <c r="J302" s="7" t="n">
        <f aca="false">IF(ISBLANK(customer_churn_dataset!J302),0,MAX(0,customer_churn_dataset!J302))</f>
        <v>12</v>
      </c>
      <c r="K302" s="7" t="n">
        <f aca="false">IF(ISBLANK(customer_churn_dataset!K302),0,MIN(10,MAX(0,customer_churn_dataset!K302)))</f>
        <v>3</v>
      </c>
      <c r="L302" s="7" t="n">
        <f aca="false">IF(ISBLANK(customer_churn_dataset!L302),0,MAX(0,customer_churn_dataset!L302))</f>
        <v>2</v>
      </c>
      <c r="M302" s="7" t="n">
        <f aca="false">IF(ISBLANK(customer_churn_dataset!M302),0,customer_churn_dataset!M302)</f>
        <v>0</v>
      </c>
      <c r="N302" s="7" t="n">
        <f aca="false">IF(ISBLANK(customer_churn_dataset!N302),0,MAX(0,customer_churn_dataset!N302))</f>
        <v>59.76</v>
      </c>
      <c r="O302" s="7" t="n">
        <f aca="false">IF(ISBLANK(customer_churn_dataset!O302),0,customer_churn_dataset!O302)</f>
        <v>1</v>
      </c>
      <c r="P302" s="7" t="str">
        <f aca="false">IF(COUNTIF(customer_churn_dataset!$A$2:$A$1501,customer_churn_dataset!A302)&gt;1,"Duplicate","Unique")</f>
        <v>Unique</v>
      </c>
    </row>
    <row r="303" customFormat="false" ht="14.15" hidden="false" customHeight="true" outlineLevel="0" collapsed="false">
      <c r="A303" s="7" t="str">
        <f aca="false">TRIM(customer_churn_dataset!A303)</f>
        <v>CUST101290</v>
      </c>
      <c r="B303" s="7" t="str">
        <f aca="false">PROPER(TRIM(customer_churn_dataset!B303))</f>
        <v>Basic</v>
      </c>
      <c r="C303" s="7" t="str">
        <f aca="false">PROPER(TRIM(customer_churn_dataset!C303))</f>
        <v>One Year</v>
      </c>
      <c r="D303" s="7" t="n">
        <f aca="false">IF(ISBLANK(customer_churn_dataset!D303),ROUND(MEDIAN(customer_churn_dataset!D$2:D$1501),2),IF(customer_churn_dataset!D303&lt;0,ABS(customer_churn_dataset!D303),customer_churn_dataset!D303))</f>
        <v>9.07</v>
      </c>
      <c r="E303" s="7" t="n">
        <f aca="false">IF(ISBLANK(customer_churn_dataset!E303),0,MAX(0,customer_churn_dataset!E303))</f>
        <v>29</v>
      </c>
      <c r="F303" s="8" t="n">
        <f aca="false">IF(ISBLANK(customer_churn_dataset!F303),"",customer_churn_dataset!F303)</f>
        <v>44247</v>
      </c>
      <c r="G303" s="7" t="str">
        <f aca="false">PROPER(TRIM(customer_churn_dataset!G303))</f>
        <v>Bank Transfer</v>
      </c>
      <c r="H303" s="7" t="n">
        <f aca="false">IF(ISBLANK(customer_churn_dataset!H303),0,customer_churn_dataset!H303)</f>
        <v>0</v>
      </c>
      <c r="I303" s="7" t="n">
        <f aca="false">IF(ISBLANK(customer_churn_dataset!I303),ROUND(MEDIAN(customer_churn_dataset!I$2:I$1501),1),MIN(100,MAX(0,customer_churn_dataset!I303)))</f>
        <v>49.7</v>
      </c>
      <c r="J303" s="7" t="n">
        <f aca="false">IF(ISBLANK(customer_churn_dataset!J303),0,MAX(0,customer_churn_dataset!J303))</f>
        <v>21</v>
      </c>
      <c r="K303" s="7" t="n">
        <f aca="false">IF(ISBLANK(customer_churn_dataset!K303),0,MIN(10,MAX(0,customer_churn_dataset!K303)))</f>
        <v>3</v>
      </c>
      <c r="L303" s="7" t="n">
        <f aca="false">IF(ISBLANK(customer_churn_dataset!L303),0,MAX(0,customer_churn_dataset!L303))</f>
        <v>2</v>
      </c>
      <c r="M303" s="7" t="n">
        <f aca="false">IF(ISBLANK(customer_churn_dataset!M303),0,customer_churn_dataset!M303)</f>
        <v>0</v>
      </c>
      <c r="N303" s="7" t="n">
        <f aca="false">IF(ISBLANK(customer_churn_dataset!N303),0,MAX(0,customer_churn_dataset!N303))</f>
        <v>263.03</v>
      </c>
      <c r="O303" s="7" t="n">
        <f aca="false">IF(ISBLANK(customer_churn_dataset!O303),0,customer_churn_dataset!O303)</f>
        <v>0</v>
      </c>
      <c r="P303" s="7" t="str">
        <f aca="false">IF(COUNTIF(customer_churn_dataset!$A$2:$A$1501,customer_churn_dataset!A303)&gt;1,"Duplicate","Unique")</f>
        <v>Unique</v>
      </c>
    </row>
    <row r="304" customFormat="false" ht="14.15" hidden="false" customHeight="true" outlineLevel="0" collapsed="false">
      <c r="A304" s="7" t="str">
        <f aca="false">TRIM(customer_churn_dataset!A304)</f>
        <v>CUST101494</v>
      </c>
      <c r="B304" s="7" t="str">
        <f aca="false">PROPER(TRIM(customer_churn_dataset!B304))</f>
        <v>Standard</v>
      </c>
      <c r="C304" s="7" t="str">
        <f aca="false">PROPER(TRIM(customer_churn_dataset!C304))</f>
        <v>One Year</v>
      </c>
      <c r="D304" s="7" t="n">
        <f aca="false">IF(ISBLANK(customer_churn_dataset!D304),ROUND(MEDIAN(customer_churn_dataset!D$2:D$1501),2),IF(customer_churn_dataset!D304&lt;0,ABS(customer_churn_dataset!D304),customer_churn_dataset!D304))</f>
        <v>19.33</v>
      </c>
      <c r="E304" s="7" t="n">
        <f aca="false">IF(ISBLANK(customer_churn_dataset!E304),0,MAX(0,customer_churn_dataset!E304))</f>
        <v>1</v>
      </c>
      <c r="F304" s="8" t="n">
        <f aca="false">IF(ISBLANK(customer_churn_dataset!F304),"",customer_churn_dataset!F304)</f>
        <v>44249</v>
      </c>
      <c r="G304" s="7" t="str">
        <f aca="false">PROPER(TRIM(customer_churn_dataset!G304))</f>
        <v>Credit Card</v>
      </c>
      <c r="H304" s="7" t="n">
        <f aca="false">IF(ISBLANK(customer_churn_dataset!H304),0,customer_churn_dataset!H304)</f>
        <v>1</v>
      </c>
      <c r="I304" s="7" t="n">
        <f aca="false">IF(ISBLANK(customer_churn_dataset!I304),ROUND(MEDIAN(customer_churn_dataset!I$2:I$1501),1),MIN(100,MAX(0,customer_churn_dataset!I304)))</f>
        <v>67.4</v>
      </c>
      <c r="J304" s="7" t="n">
        <f aca="false">IF(ISBLANK(customer_churn_dataset!J304),0,MAX(0,customer_churn_dataset!J304))</f>
        <v>16</v>
      </c>
      <c r="K304" s="7" t="n">
        <f aca="false">IF(ISBLANK(customer_churn_dataset!K304),0,MIN(10,MAX(0,customer_churn_dataset!K304)))</f>
        <v>8</v>
      </c>
      <c r="L304" s="7" t="n">
        <f aca="false">IF(ISBLANK(customer_churn_dataset!L304),0,MAX(0,customer_churn_dataset!L304))</f>
        <v>2</v>
      </c>
      <c r="M304" s="7" t="n">
        <f aca="false">IF(ISBLANK(customer_churn_dataset!M304),0,customer_churn_dataset!M304)</f>
        <v>1</v>
      </c>
      <c r="N304" s="7" t="n">
        <f aca="false">IF(ISBLANK(customer_churn_dataset!N304),0,MAX(0,customer_churn_dataset!N304))</f>
        <v>19.33</v>
      </c>
      <c r="O304" s="7" t="n">
        <f aca="false">IF(ISBLANK(customer_churn_dataset!O304),0,customer_churn_dataset!O304)</f>
        <v>0</v>
      </c>
      <c r="P304" s="7" t="str">
        <f aca="false">IF(COUNTIF(customer_churn_dataset!$A$2:$A$1501,customer_churn_dataset!A304)&gt;1,"Duplicate","Unique")</f>
        <v>Unique</v>
      </c>
    </row>
    <row r="305" customFormat="false" ht="14.15" hidden="false" customHeight="true" outlineLevel="0" collapsed="false">
      <c r="A305" s="7" t="str">
        <f aca="false">TRIM(customer_churn_dataset!A305)</f>
        <v>CUST100091</v>
      </c>
      <c r="B305" s="7" t="str">
        <f aca="false">PROPER(TRIM(customer_churn_dataset!B305))</f>
        <v>Standard</v>
      </c>
      <c r="C305" s="7" t="str">
        <f aca="false">PROPER(TRIM(customer_churn_dataset!C305))</f>
        <v>One Year</v>
      </c>
      <c r="D305" s="7" t="n">
        <f aca="false">IF(ISBLANK(customer_churn_dataset!D305),ROUND(MEDIAN(customer_churn_dataset!D$2:D$1501),2),IF(customer_churn_dataset!D305&lt;0,ABS(customer_churn_dataset!D305),customer_churn_dataset!D305))</f>
        <v>20.82</v>
      </c>
      <c r="E305" s="7" t="n">
        <f aca="false">IF(ISBLANK(customer_churn_dataset!E305),0,MAX(0,customer_churn_dataset!E305))</f>
        <v>22</v>
      </c>
      <c r="F305" s="8" t="n">
        <f aca="false">IF(ISBLANK(customer_churn_dataset!F305),"",customer_churn_dataset!F305)</f>
        <v>44249</v>
      </c>
      <c r="G305" s="7" t="str">
        <f aca="false">PROPER(TRIM(customer_churn_dataset!G305))</f>
        <v>Credit Card</v>
      </c>
      <c r="H305" s="7" t="n">
        <f aca="false">IF(ISBLANK(customer_churn_dataset!H305),0,customer_churn_dataset!H305)</f>
        <v>1</v>
      </c>
      <c r="I305" s="7" t="n">
        <f aca="false">IF(ISBLANK(customer_churn_dataset!I305),ROUND(MEDIAN(customer_churn_dataset!I$2:I$1501),1),MIN(100,MAX(0,customer_churn_dataset!I305)))</f>
        <v>84.3</v>
      </c>
      <c r="J305" s="7" t="n">
        <f aca="false">IF(ISBLANK(customer_churn_dataset!J305),0,MAX(0,customer_churn_dataset!J305))</f>
        <v>22</v>
      </c>
      <c r="K305" s="7" t="n">
        <f aca="false">IF(ISBLANK(customer_churn_dataset!K305),0,MIN(10,MAX(0,customer_churn_dataset!K305)))</f>
        <v>9</v>
      </c>
      <c r="L305" s="7" t="n">
        <f aca="false">IF(ISBLANK(customer_churn_dataset!L305),0,MAX(0,customer_churn_dataset!L305))</f>
        <v>2</v>
      </c>
      <c r="M305" s="7" t="n">
        <f aca="false">IF(ISBLANK(customer_churn_dataset!M305),0,customer_churn_dataset!M305)</f>
        <v>0</v>
      </c>
      <c r="N305" s="7" t="n">
        <f aca="false">IF(ISBLANK(customer_churn_dataset!N305),0,MAX(0,customer_churn_dataset!N305))</f>
        <v>458.04</v>
      </c>
      <c r="O305" s="7" t="n">
        <f aca="false">IF(ISBLANK(customer_churn_dataset!O305),0,customer_churn_dataset!O305)</f>
        <v>0</v>
      </c>
      <c r="P305" s="7" t="str">
        <f aca="false">IF(COUNTIF(customer_churn_dataset!$A$2:$A$1501,customer_churn_dataset!A305)&gt;1,"Duplicate","Unique")</f>
        <v>Unique</v>
      </c>
    </row>
    <row r="306" customFormat="false" ht="14.15" hidden="false" customHeight="true" outlineLevel="0" collapsed="false">
      <c r="A306" s="7" t="str">
        <f aca="false">TRIM(customer_churn_dataset!A306)</f>
        <v>CUST100160</v>
      </c>
      <c r="B306" s="7" t="str">
        <f aca="false">PROPER(TRIM(customer_churn_dataset!B306))</f>
        <v>Basic</v>
      </c>
      <c r="C306" s="7" t="str">
        <f aca="false">PROPER(TRIM(customer_churn_dataset!C306))</f>
        <v>Two Year</v>
      </c>
      <c r="D306" s="7" t="n">
        <f aca="false">IF(ISBLANK(customer_churn_dataset!D306),ROUND(MEDIAN(customer_churn_dataset!D$2:D$1501),2),IF(customer_churn_dataset!D306&lt;0,ABS(customer_churn_dataset!D306),customer_churn_dataset!D306))</f>
        <v>10.05</v>
      </c>
      <c r="E306" s="7" t="n">
        <f aca="false">IF(ISBLANK(customer_churn_dataset!E306),0,MAX(0,customer_churn_dataset!E306))</f>
        <v>6</v>
      </c>
      <c r="F306" s="8" t="n">
        <f aca="false">IF(ISBLANK(customer_churn_dataset!F306),"",customer_churn_dataset!F306)</f>
        <v>44251</v>
      </c>
      <c r="G306" s="7" t="str">
        <f aca="false">PROPER(TRIM(customer_churn_dataset!G306))</f>
        <v>Credit Card</v>
      </c>
      <c r="H306" s="7" t="n">
        <f aca="false">IF(ISBLANK(customer_churn_dataset!H306),0,customer_churn_dataset!H306)</f>
        <v>0</v>
      </c>
      <c r="I306" s="7" t="n">
        <f aca="false">IF(ISBLANK(customer_churn_dataset!I306),ROUND(MEDIAN(customer_churn_dataset!I$2:I$1501),1),MIN(100,MAX(0,customer_churn_dataset!I306)))</f>
        <v>73</v>
      </c>
      <c r="J306" s="7" t="n">
        <f aca="false">IF(ISBLANK(customer_churn_dataset!J306),0,MAX(0,customer_churn_dataset!J306))</f>
        <v>30</v>
      </c>
      <c r="K306" s="7" t="n">
        <f aca="false">IF(ISBLANK(customer_churn_dataset!K306),0,MIN(10,MAX(0,customer_churn_dataset!K306)))</f>
        <v>9</v>
      </c>
      <c r="L306" s="7" t="n">
        <f aca="false">IF(ISBLANK(customer_churn_dataset!L306),0,MAX(0,customer_churn_dataset!L306))</f>
        <v>3</v>
      </c>
      <c r="M306" s="7" t="n">
        <f aca="false">IF(ISBLANK(customer_churn_dataset!M306),0,customer_churn_dataset!M306)</f>
        <v>0</v>
      </c>
      <c r="N306" s="7" t="n">
        <f aca="false">IF(ISBLANK(customer_churn_dataset!N306),0,MAX(0,customer_churn_dataset!N306))</f>
        <v>60.3</v>
      </c>
      <c r="O306" s="7" t="n">
        <f aca="false">IF(ISBLANK(customer_churn_dataset!O306),0,customer_churn_dataset!O306)</f>
        <v>0</v>
      </c>
      <c r="P306" s="7" t="str">
        <f aca="false">IF(COUNTIF(customer_churn_dataset!$A$2:$A$1501,customer_churn_dataset!A306)&gt;1,"Duplicate","Unique")</f>
        <v>Unique</v>
      </c>
    </row>
    <row r="307" customFormat="false" ht="14.15" hidden="false" customHeight="true" outlineLevel="0" collapsed="false">
      <c r="A307" s="7" t="str">
        <f aca="false">TRIM(customer_churn_dataset!A307)</f>
        <v>CUST100313</v>
      </c>
      <c r="B307" s="7" t="str">
        <f aca="false">PROPER(TRIM(customer_churn_dataset!B307))</f>
        <v>Premium</v>
      </c>
      <c r="C307" s="7" t="str">
        <f aca="false">PROPER(TRIM(customer_churn_dataset!C307))</f>
        <v>Month-To-Month</v>
      </c>
      <c r="D307" s="7" t="n">
        <f aca="false">IF(ISBLANK(customer_churn_dataset!D307),ROUND(MEDIAN(customer_churn_dataset!D$2:D$1501),2),IF(customer_churn_dataset!D307&lt;0,ABS(customer_churn_dataset!D307),customer_churn_dataset!D307))</f>
        <v>40</v>
      </c>
      <c r="E307" s="7" t="n">
        <f aca="false">IF(ISBLANK(customer_churn_dataset!E307),0,MAX(0,customer_churn_dataset!E307))</f>
        <v>53</v>
      </c>
      <c r="F307" s="8" t="n">
        <f aca="false">IF(ISBLANK(customer_churn_dataset!F307),"",customer_churn_dataset!F307)</f>
        <v>44252</v>
      </c>
      <c r="G307" s="7" t="str">
        <f aca="false">PROPER(TRIM(customer_churn_dataset!G307))</f>
        <v>Paypal</v>
      </c>
      <c r="H307" s="7" t="n">
        <f aca="false">IF(ISBLANK(customer_churn_dataset!H307),0,customer_churn_dataset!H307)</f>
        <v>1</v>
      </c>
      <c r="I307" s="7" t="n">
        <f aca="false">IF(ISBLANK(customer_churn_dataset!I307),ROUND(MEDIAN(customer_churn_dataset!I$2:I$1501),1),MIN(100,MAX(0,customer_churn_dataset!I307)))</f>
        <v>48.9</v>
      </c>
      <c r="J307" s="7" t="n">
        <f aca="false">IF(ISBLANK(customer_churn_dataset!J307),0,MAX(0,customer_churn_dataset!J307))</f>
        <v>14</v>
      </c>
      <c r="K307" s="7" t="n">
        <f aca="false">IF(ISBLANK(customer_churn_dataset!K307),0,MIN(10,MAX(0,customer_churn_dataset!K307)))</f>
        <v>5</v>
      </c>
      <c r="L307" s="7" t="n">
        <f aca="false">IF(ISBLANK(customer_churn_dataset!L307),0,MAX(0,customer_churn_dataset!L307))</f>
        <v>1</v>
      </c>
      <c r="M307" s="7" t="n">
        <f aca="false">IF(ISBLANK(customer_churn_dataset!M307),0,customer_churn_dataset!M307)</f>
        <v>0</v>
      </c>
      <c r="N307" s="7" t="n">
        <f aca="false">IF(ISBLANK(customer_churn_dataset!N307),0,MAX(0,customer_churn_dataset!N307))</f>
        <v>2120</v>
      </c>
      <c r="O307" s="7" t="n">
        <f aca="false">IF(ISBLANK(customer_churn_dataset!O307),0,customer_churn_dataset!O307)</f>
        <v>1</v>
      </c>
      <c r="P307" s="7" t="str">
        <f aca="false">IF(COUNTIF(customer_churn_dataset!$A$2:$A$1501,customer_churn_dataset!A307)&gt;1,"Duplicate","Unique")</f>
        <v>Unique</v>
      </c>
    </row>
    <row r="308" customFormat="false" ht="14.15" hidden="false" customHeight="true" outlineLevel="0" collapsed="false">
      <c r="A308" s="7" t="str">
        <f aca="false">TRIM(customer_churn_dataset!A308)</f>
        <v>CUST100723</v>
      </c>
      <c r="B308" s="7" t="str">
        <f aca="false">PROPER(TRIM(customer_churn_dataset!B308))</f>
        <v>Standard</v>
      </c>
      <c r="C308" s="7" t="str">
        <f aca="false">PROPER(TRIM(customer_churn_dataset!C308))</f>
        <v>Month-To-Month</v>
      </c>
      <c r="D308" s="7" t="n">
        <f aca="false">IF(ISBLANK(customer_churn_dataset!D308),ROUND(MEDIAN(customer_churn_dataset!D$2:D$1501),2),IF(customer_churn_dataset!D308&lt;0,ABS(customer_churn_dataset!D308),customer_churn_dataset!D308))</f>
        <v>19.4</v>
      </c>
      <c r="E308" s="7" t="n">
        <f aca="false">IF(ISBLANK(customer_churn_dataset!E308),0,MAX(0,customer_churn_dataset!E308))</f>
        <v>22</v>
      </c>
      <c r="F308" s="8" t="n">
        <f aca="false">IF(ISBLANK(customer_churn_dataset!F308),"",customer_churn_dataset!F308)</f>
        <v>44253</v>
      </c>
      <c r="G308" s="7" t="str">
        <f aca="false">PROPER(TRIM(customer_churn_dataset!G308))</f>
        <v>Credit Card</v>
      </c>
      <c r="H308" s="7" t="n">
        <f aca="false">IF(ISBLANK(customer_churn_dataset!H308),0,customer_churn_dataset!H308)</f>
        <v>1</v>
      </c>
      <c r="I308" s="7" t="n">
        <f aca="false">IF(ISBLANK(customer_churn_dataset!I308),ROUND(MEDIAN(customer_churn_dataset!I$2:I$1501),1),MIN(100,MAX(0,customer_churn_dataset!I308)))</f>
        <v>40.7</v>
      </c>
      <c r="J308" s="7" t="n">
        <f aca="false">IF(ISBLANK(customer_churn_dataset!J308),0,MAX(0,customer_churn_dataset!J308))</f>
        <v>9</v>
      </c>
      <c r="K308" s="7" t="n">
        <f aca="false">IF(ISBLANK(customer_churn_dataset!K308),0,MIN(10,MAX(0,customer_churn_dataset!K308)))</f>
        <v>6</v>
      </c>
      <c r="L308" s="7" t="n">
        <f aca="false">IF(ISBLANK(customer_churn_dataset!L308),0,MAX(0,customer_churn_dataset!L308))</f>
        <v>2</v>
      </c>
      <c r="M308" s="7" t="n">
        <f aca="false">IF(ISBLANK(customer_churn_dataset!M308),0,customer_churn_dataset!M308)</f>
        <v>0</v>
      </c>
      <c r="N308" s="7" t="n">
        <f aca="false">IF(ISBLANK(customer_churn_dataset!N308),0,MAX(0,customer_churn_dataset!N308))</f>
        <v>426.8</v>
      </c>
      <c r="O308" s="7" t="n">
        <f aca="false">IF(ISBLANK(customer_churn_dataset!O308),0,customer_churn_dataset!O308)</f>
        <v>0</v>
      </c>
      <c r="P308" s="7" t="str">
        <f aca="false">IF(COUNTIF(customer_churn_dataset!$A$2:$A$1501,customer_churn_dataset!A308)&gt;1,"Duplicate","Unique")</f>
        <v>Unique</v>
      </c>
    </row>
    <row r="309" customFormat="false" ht="14.15" hidden="false" customHeight="true" outlineLevel="0" collapsed="false">
      <c r="A309" s="7" t="str">
        <f aca="false">TRIM(customer_churn_dataset!A309)</f>
        <v>CUST100560</v>
      </c>
      <c r="B309" s="7" t="str">
        <f aca="false">PROPER(TRIM(customer_churn_dataset!B309))</f>
        <v>Standard</v>
      </c>
      <c r="C309" s="7" t="str">
        <f aca="false">PROPER(TRIM(customer_churn_dataset!C309))</f>
        <v>One Year</v>
      </c>
      <c r="D309" s="7" t="n">
        <f aca="false">IF(ISBLANK(customer_churn_dataset!D309),ROUND(MEDIAN(customer_churn_dataset!D$2:D$1501),2),IF(customer_churn_dataset!D309&lt;0,ABS(customer_churn_dataset!D309),customer_churn_dataset!D309))</f>
        <v>20.5</v>
      </c>
      <c r="E309" s="7" t="n">
        <f aca="false">IF(ISBLANK(customer_churn_dataset!E309),0,MAX(0,customer_churn_dataset!E309))</f>
        <v>72</v>
      </c>
      <c r="F309" s="8" t="n">
        <f aca="false">IF(ISBLANK(customer_churn_dataset!F309),"",customer_churn_dataset!F309)</f>
        <v>44254</v>
      </c>
      <c r="G309" s="7" t="str">
        <f aca="false">PROPER(TRIM(customer_churn_dataset!G309))</f>
        <v>Credit Card</v>
      </c>
      <c r="H309" s="7" t="n">
        <f aca="false">IF(ISBLANK(customer_churn_dataset!H309),0,customer_churn_dataset!H309)</f>
        <v>0</v>
      </c>
      <c r="I309" s="7" t="n">
        <f aca="false">IF(ISBLANK(customer_churn_dataset!I309),ROUND(MEDIAN(customer_churn_dataset!I$2:I$1501),1),MIN(100,MAX(0,customer_churn_dataset!I309)))</f>
        <v>71.4</v>
      </c>
      <c r="J309" s="7" t="n">
        <f aca="false">IF(ISBLANK(customer_churn_dataset!J309),0,MAX(0,customer_churn_dataset!J309))</f>
        <v>19</v>
      </c>
      <c r="K309" s="7" t="n">
        <f aca="false">IF(ISBLANK(customer_churn_dataset!K309),0,MIN(10,MAX(0,customer_churn_dataset!K309)))</f>
        <v>5</v>
      </c>
      <c r="L309" s="7" t="n">
        <f aca="false">IF(ISBLANK(customer_churn_dataset!L309),0,MAX(0,customer_churn_dataset!L309))</f>
        <v>0</v>
      </c>
      <c r="M309" s="7" t="n">
        <f aca="false">IF(ISBLANK(customer_churn_dataset!M309),0,customer_churn_dataset!M309)</f>
        <v>0</v>
      </c>
      <c r="N309" s="7" t="n">
        <f aca="false">IF(ISBLANK(customer_churn_dataset!N309),0,MAX(0,customer_churn_dataset!N309))</f>
        <v>1476</v>
      </c>
      <c r="O309" s="7" t="n">
        <f aca="false">IF(ISBLANK(customer_churn_dataset!O309),0,customer_churn_dataset!O309)</f>
        <v>0</v>
      </c>
      <c r="P309" s="7" t="str">
        <f aca="false">IF(COUNTIF(customer_churn_dataset!$A$2:$A$1501,customer_churn_dataset!A309)&gt;1,"Duplicate","Unique")</f>
        <v>Unique</v>
      </c>
    </row>
    <row r="310" customFormat="false" ht="14.15" hidden="false" customHeight="true" outlineLevel="0" collapsed="false">
      <c r="A310" s="7" t="str">
        <f aca="false">TRIM(customer_churn_dataset!A310)</f>
        <v>CUST100626</v>
      </c>
      <c r="B310" s="7" t="str">
        <f aca="false">PROPER(TRIM(customer_churn_dataset!B310))</f>
        <v>Standard</v>
      </c>
      <c r="C310" s="7" t="str">
        <f aca="false">PROPER(TRIM(customer_churn_dataset!C310))</f>
        <v>One Year</v>
      </c>
      <c r="D310" s="7" t="n">
        <f aca="false">IF(ISBLANK(customer_churn_dataset!D310),ROUND(MEDIAN(customer_churn_dataset!D$2:D$1501),2),IF(customer_churn_dataset!D310&lt;0,ABS(customer_churn_dataset!D310),customer_churn_dataset!D310))</f>
        <v>19.68</v>
      </c>
      <c r="E310" s="7" t="n">
        <f aca="false">IF(ISBLANK(customer_churn_dataset!E310),0,MAX(0,customer_churn_dataset!E310))</f>
        <v>18</v>
      </c>
      <c r="F310" s="8" t="n">
        <f aca="false">IF(ISBLANK(customer_churn_dataset!F310),"",customer_churn_dataset!F310)</f>
        <v>44257</v>
      </c>
      <c r="G310" s="7" t="str">
        <f aca="false">PROPER(TRIM(customer_churn_dataset!G310))</f>
        <v>Credit Card</v>
      </c>
      <c r="H310" s="7" t="n">
        <f aca="false">IF(ISBLANK(customer_churn_dataset!H310),0,customer_churn_dataset!H310)</f>
        <v>1</v>
      </c>
      <c r="I310" s="7" t="n">
        <f aca="false">IF(ISBLANK(customer_churn_dataset!I310),ROUND(MEDIAN(customer_churn_dataset!I$2:I$1501),1),MIN(100,MAX(0,customer_churn_dataset!I310)))</f>
        <v>25.1</v>
      </c>
      <c r="J310" s="7" t="n">
        <f aca="false">IF(ISBLANK(customer_churn_dataset!J310),0,MAX(0,customer_churn_dataset!J310))</f>
        <v>7</v>
      </c>
      <c r="K310" s="7" t="n">
        <f aca="false">IF(ISBLANK(customer_churn_dataset!K310),0,MIN(10,MAX(0,customer_churn_dataset!K310)))</f>
        <v>0</v>
      </c>
      <c r="L310" s="7" t="n">
        <f aca="false">IF(ISBLANK(customer_churn_dataset!L310),0,MAX(0,customer_churn_dataset!L310))</f>
        <v>1</v>
      </c>
      <c r="M310" s="7" t="n">
        <f aca="false">IF(ISBLANK(customer_churn_dataset!M310),0,customer_churn_dataset!M310)</f>
        <v>0</v>
      </c>
      <c r="N310" s="7" t="n">
        <f aca="false">IF(ISBLANK(customer_churn_dataset!N310),0,MAX(0,customer_churn_dataset!N310))</f>
        <v>354.24</v>
      </c>
      <c r="O310" s="7" t="n">
        <f aca="false">IF(ISBLANK(customer_churn_dataset!O310),0,customer_churn_dataset!O310)</f>
        <v>1</v>
      </c>
      <c r="P310" s="7" t="str">
        <f aca="false">IF(COUNTIF(customer_churn_dataset!$A$2:$A$1501,customer_churn_dataset!A310)&gt;1,"Duplicate","Unique")</f>
        <v>Unique</v>
      </c>
    </row>
    <row r="311" customFormat="false" ht="14.15" hidden="false" customHeight="true" outlineLevel="0" collapsed="false">
      <c r="A311" s="7" t="str">
        <f aca="false">TRIM(customer_churn_dataset!A311)</f>
        <v>CUST100056</v>
      </c>
      <c r="B311" s="7" t="str">
        <f aca="false">PROPER(TRIM(customer_churn_dataset!B311))</f>
        <v>Basic</v>
      </c>
      <c r="C311" s="7" t="str">
        <f aca="false">PROPER(TRIM(customer_churn_dataset!C311))</f>
        <v>One Year</v>
      </c>
      <c r="D311" s="7" t="n">
        <f aca="false">IF(ISBLANK(customer_churn_dataset!D311),ROUND(MEDIAN(customer_churn_dataset!D$2:D$1501),2),IF(customer_churn_dataset!D311&lt;0,ABS(customer_churn_dataset!D311),customer_churn_dataset!D311))</f>
        <v>9.32</v>
      </c>
      <c r="E311" s="7" t="n">
        <f aca="false">IF(ISBLANK(customer_churn_dataset!E311),0,MAX(0,customer_churn_dataset!E311))</f>
        <v>20</v>
      </c>
      <c r="F311" s="8" t="n">
        <f aca="false">IF(ISBLANK(customer_churn_dataset!F311),"",customer_churn_dataset!F311)</f>
        <v>44258</v>
      </c>
      <c r="G311" s="7" t="str">
        <f aca="false">PROPER(TRIM(customer_churn_dataset!G311))</f>
        <v>Credit Card</v>
      </c>
      <c r="H311" s="7" t="n">
        <f aca="false">IF(ISBLANK(customer_churn_dataset!H311),0,customer_churn_dataset!H311)</f>
        <v>0</v>
      </c>
      <c r="I311" s="7" t="n">
        <f aca="false">IF(ISBLANK(customer_churn_dataset!I311),ROUND(MEDIAN(customer_churn_dataset!I$2:I$1501),1),MIN(100,MAX(0,customer_churn_dataset!I311)))</f>
        <v>82.8</v>
      </c>
      <c r="J311" s="7" t="n">
        <f aca="false">IF(ISBLANK(customer_churn_dataset!J311),0,MAX(0,customer_churn_dataset!J311))</f>
        <v>21</v>
      </c>
      <c r="K311" s="7" t="n">
        <f aca="false">IF(ISBLANK(customer_churn_dataset!K311),0,MIN(10,MAX(0,customer_churn_dataset!K311)))</f>
        <v>7</v>
      </c>
      <c r="L311" s="7" t="n">
        <f aca="false">IF(ISBLANK(customer_churn_dataset!L311),0,MAX(0,customer_churn_dataset!L311))</f>
        <v>2</v>
      </c>
      <c r="M311" s="7" t="n">
        <f aca="false">IF(ISBLANK(customer_churn_dataset!M311),0,customer_churn_dataset!M311)</f>
        <v>1</v>
      </c>
      <c r="N311" s="7" t="n">
        <f aca="false">IF(ISBLANK(customer_churn_dataset!N311),0,MAX(0,customer_churn_dataset!N311))</f>
        <v>186.4</v>
      </c>
      <c r="O311" s="7" t="n">
        <f aca="false">IF(ISBLANK(customer_churn_dataset!O311),0,customer_churn_dataset!O311)</f>
        <v>0</v>
      </c>
      <c r="P311" s="7" t="str">
        <f aca="false">IF(COUNTIF(customer_churn_dataset!$A$2:$A$1501,customer_churn_dataset!A311)&gt;1,"Duplicate","Unique")</f>
        <v>Unique</v>
      </c>
    </row>
    <row r="312" customFormat="false" ht="14.15" hidden="false" customHeight="true" outlineLevel="0" collapsed="false">
      <c r="A312" s="7" t="str">
        <f aca="false">TRIM(customer_churn_dataset!A312)</f>
        <v>CUST100166</v>
      </c>
      <c r="B312" s="7" t="str">
        <f aca="false">PROPER(TRIM(customer_churn_dataset!B312))</f>
        <v>Basic</v>
      </c>
      <c r="C312" s="7" t="str">
        <f aca="false">PROPER(TRIM(customer_churn_dataset!C312))</f>
        <v>Month-To-Month</v>
      </c>
      <c r="D312" s="7" t="n">
        <f aca="false">IF(ISBLANK(customer_churn_dataset!D312),ROUND(MEDIAN(customer_churn_dataset!D$2:D$1501),2),IF(customer_churn_dataset!D312&lt;0,ABS(customer_churn_dataset!D312),customer_churn_dataset!D312))</f>
        <v>9.05</v>
      </c>
      <c r="E312" s="7" t="n">
        <f aca="false">IF(ISBLANK(customer_churn_dataset!E312),0,MAX(0,customer_churn_dataset!E312))</f>
        <v>18</v>
      </c>
      <c r="F312" s="8" t="n">
        <f aca="false">IF(ISBLANK(customer_churn_dataset!F312),"",customer_churn_dataset!F312)</f>
        <v>44260</v>
      </c>
      <c r="G312" s="7" t="str">
        <f aca="false">PROPER(TRIM(customer_churn_dataset!G312))</f>
        <v>Manual/Invoice</v>
      </c>
      <c r="H312" s="7" t="n">
        <f aca="false">IF(ISBLANK(customer_churn_dataset!H312),0,customer_churn_dataset!H312)</f>
        <v>1</v>
      </c>
      <c r="I312" s="7" t="n">
        <f aca="false">IF(ISBLANK(customer_churn_dataset!I312),ROUND(MEDIAN(customer_churn_dataset!I$2:I$1501),1),MIN(100,MAX(0,customer_churn_dataset!I312)))</f>
        <v>50.1</v>
      </c>
      <c r="J312" s="7" t="n">
        <f aca="false">IF(ISBLANK(customer_churn_dataset!J312),0,MAX(0,customer_churn_dataset!J312))</f>
        <v>18</v>
      </c>
      <c r="K312" s="7" t="n">
        <f aca="false">IF(ISBLANK(customer_churn_dataset!K312),0,MIN(10,MAX(0,customer_churn_dataset!K312)))</f>
        <v>5</v>
      </c>
      <c r="L312" s="7" t="n">
        <f aca="false">IF(ISBLANK(customer_churn_dataset!L312),0,MAX(0,customer_churn_dataset!L312))</f>
        <v>1</v>
      </c>
      <c r="M312" s="7" t="n">
        <f aca="false">IF(ISBLANK(customer_churn_dataset!M312),0,customer_churn_dataset!M312)</f>
        <v>0</v>
      </c>
      <c r="N312" s="7" t="n">
        <f aca="false">IF(ISBLANK(customer_churn_dataset!N312),0,MAX(0,customer_churn_dataset!N312))</f>
        <v>162.9</v>
      </c>
      <c r="O312" s="7" t="n">
        <f aca="false">IF(ISBLANK(customer_churn_dataset!O312),0,customer_churn_dataset!O312)</f>
        <v>1</v>
      </c>
      <c r="P312" s="7" t="str">
        <f aca="false">IF(COUNTIF(customer_churn_dataset!$A$2:$A$1501,customer_churn_dataset!A312)&gt;1,"Duplicate","Unique")</f>
        <v>Unique</v>
      </c>
    </row>
    <row r="313" customFormat="false" ht="14.15" hidden="false" customHeight="true" outlineLevel="0" collapsed="false">
      <c r="A313" s="7" t="str">
        <f aca="false">TRIM(customer_churn_dataset!A313)</f>
        <v>CUST100502</v>
      </c>
      <c r="B313" s="7" t="str">
        <f aca="false">PROPER(TRIM(customer_churn_dataset!B313))</f>
        <v>Basic</v>
      </c>
      <c r="C313" s="7" t="str">
        <f aca="false">PROPER(TRIM(customer_churn_dataset!C313))</f>
        <v>One Year</v>
      </c>
      <c r="D313" s="7" t="n">
        <f aca="false">IF(ISBLANK(customer_churn_dataset!D313),ROUND(MEDIAN(customer_churn_dataset!D$2:D$1501),2),IF(customer_churn_dataset!D313&lt;0,ABS(customer_churn_dataset!D313),customer_churn_dataset!D313))</f>
        <v>7.87</v>
      </c>
      <c r="E313" s="7" t="n">
        <f aca="false">IF(ISBLANK(customer_churn_dataset!E313),0,MAX(0,customer_churn_dataset!E313))</f>
        <v>32</v>
      </c>
      <c r="F313" s="8" t="n">
        <f aca="false">IF(ISBLANK(customer_churn_dataset!F313),"",customer_churn_dataset!F313)</f>
        <v>44260</v>
      </c>
      <c r="G313" s="7" t="str">
        <f aca="false">PROPER(TRIM(customer_churn_dataset!G313))</f>
        <v>Paypal</v>
      </c>
      <c r="H313" s="7" t="n">
        <f aca="false">IF(ISBLANK(customer_churn_dataset!H313),0,customer_churn_dataset!H313)</f>
        <v>1</v>
      </c>
      <c r="I313" s="7" t="n">
        <f aca="false">IF(ISBLANK(customer_churn_dataset!I313),ROUND(MEDIAN(customer_churn_dataset!I$2:I$1501),1),MIN(100,MAX(0,customer_churn_dataset!I313)))</f>
        <v>10.6</v>
      </c>
      <c r="J313" s="7" t="n">
        <f aca="false">IF(ISBLANK(customer_churn_dataset!J313),0,MAX(0,customer_churn_dataset!J313))</f>
        <v>1</v>
      </c>
      <c r="K313" s="7" t="n">
        <f aca="false">IF(ISBLANK(customer_churn_dataset!K313),0,MIN(10,MAX(0,customer_churn_dataset!K313)))</f>
        <v>2</v>
      </c>
      <c r="L313" s="7" t="n">
        <f aca="false">IF(ISBLANK(customer_churn_dataset!L313),0,MAX(0,customer_churn_dataset!L313))</f>
        <v>3</v>
      </c>
      <c r="M313" s="7" t="n">
        <f aca="false">IF(ISBLANK(customer_churn_dataset!M313),0,customer_churn_dataset!M313)</f>
        <v>1</v>
      </c>
      <c r="N313" s="7" t="n">
        <f aca="false">IF(ISBLANK(customer_churn_dataset!N313),0,MAX(0,customer_churn_dataset!N313))</f>
        <v>251.84</v>
      </c>
      <c r="O313" s="7" t="n">
        <f aca="false">IF(ISBLANK(customer_churn_dataset!O313),0,customer_churn_dataset!O313)</f>
        <v>0</v>
      </c>
      <c r="P313" s="7" t="str">
        <f aca="false">IF(COUNTIF(customer_churn_dataset!$A$2:$A$1501,customer_churn_dataset!A313)&gt;1,"Duplicate","Unique")</f>
        <v>Unique</v>
      </c>
    </row>
    <row r="314" customFormat="false" ht="14.15" hidden="false" customHeight="true" outlineLevel="0" collapsed="false">
      <c r="A314" s="7" t="str">
        <f aca="false">TRIM(customer_churn_dataset!A314)</f>
        <v>CUST101233</v>
      </c>
      <c r="B314" s="7" t="str">
        <f aca="false">PROPER(TRIM(customer_churn_dataset!B314))</f>
        <v>Basic</v>
      </c>
      <c r="C314" s="7" t="str">
        <f aca="false">PROPER(TRIM(customer_churn_dataset!C314))</f>
        <v>Month-To-Month</v>
      </c>
      <c r="D314" s="7" t="n">
        <f aca="false">IF(ISBLANK(customer_churn_dataset!D314),ROUND(MEDIAN(customer_churn_dataset!D$2:D$1501),2),IF(customer_churn_dataset!D314&lt;0,ABS(customer_churn_dataset!D314),customer_churn_dataset!D314))</f>
        <v>9.34</v>
      </c>
      <c r="E314" s="7" t="n">
        <f aca="false">IF(ISBLANK(customer_churn_dataset!E314),0,MAX(0,customer_churn_dataset!E314))</f>
        <v>45</v>
      </c>
      <c r="F314" s="8" t="n">
        <f aca="false">IF(ISBLANK(customer_churn_dataset!F314),"",customer_churn_dataset!F314)</f>
        <v>44260</v>
      </c>
      <c r="G314" s="7" t="str">
        <f aca="false">PROPER(TRIM(customer_churn_dataset!G314))</f>
        <v>Credit Card</v>
      </c>
      <c r="H314" s="7" t="n">
        <f aca="false">IF(ISBLANK(customer_churn_dataset!H314),0,customer_churn_dataset!H314)</f>
        <v>0</v>
      </c>
      <c r="I314" s="7" t="n">
        <f aca="false">IF(ISBLANK(customer_churn_dataset!I314),ROUND(MEDIAN(customer_churn_dataset!I$2:I$1501),1),MIN(100,MAX(0,customer_churn_dataset!I314)))</f>
        <v>36.5</v>
      </c>
      <c r="J314" s="7" t="n">
        <f aca="false">IF(ISBLANK(customer_churn_dataset!J314),0,MAX(0,customer_churn_dataset!J314))</f>
        <v>7</v>
      </c>
      <c r="K314" s="7" t="n">
        <f aca="false">IF(ISBLANK(customer_churn_dataset!K314),0,MIN(10,MAX(0,customer_churn_dataset!K314)))</f>
        <v>4</v>
      </c>
      <c r="L314" s="7" t="n">
        <f aca="false">IF(ISBLANK(customer_churn_dataset!L314),0,MAX(0,customer_churn_dataset!L314))</f>
        <v>0</v>
      </c>
      <c r="M314" s="7" t="n">
        <f aca="false">IF(ISBLANK(customer_churn_dataset!M314),0,customer_churn_dataset!M314)</f>
        <v>0</v>
      </c>
      <c r="N314" s="7" t="n">
        <f aca="false">IF(ISBLANK(customer_churn_dataset!N314),0,MAX(0,customer_churn_dataset!N314))</f>
        <v>420.3</v>
      </c>
      <c r="O314" s="7" t="n">
        <f aca="false">IF(ISBLANK(customer_churn_dataset!O314),0,customer_churn_dataset!O314)</f>
        <v>0</v>
      </c>
      <c r="P314" s="7" t="str">
        <f aca="false">IF(COUNTIF(customer_churn_dataset!$A$2:$A$1501,customer_churn_dataset!A314)&gt;1,"Duplicate","Unique")</f>
        <v>Unique</v>
      </c>
    </row>
    <row r="315" customFormat="false" ht="14.15" hidden="false" customHeight="true" outlineLevel="0" collapsed="false">
      <c r="A315" s="7" t="str">
        <f aca="false">TRIM(customer_churn_dataset!A315)</f>
        <v>CUST100988</v>
      </c>
      <c r="B315" s="7" t="str">
        <f aca="false">PROPER(TRIM(customer_churn_dataset!B315))</f>
        <v>Basic</v>
      </c>
      <c r="C315" s="7" t="str">
        <f aca="false">PROPER(TRIM(customer_churn_dataset!C315))</f>
        <v>Month-To-Month</v>
      </c>
      <c r="D315" s="7" t="n">
        <f aca="false">IF(ISBLANK(customer_churn_dataset!D315),ROUND(MEDIAN(customer_churn_dataset!D$2:D$1501),2),IF(customer_churn_dataset!D315&lt;0,ABS(customer_churn_dataset!D315),customer_churn_dataset!D315))</f>
        <v>9.89</v>
      </c>
      <c r="E315" s="7" t="n">
        <f aca="false">IF(ISBLANK(customer_churn_dataset!E315),0,MAX(0,customer_churn_dataset!E315))</f>
        <v>11</v>
      </c>
      <c r="F315" s="8" t="n">
        <f aca="false">IF(ISBLANK(customer_churn_dataset!F315),"",customer_churn_dataset!F315)</f>
        <v>44260</v>
      </c>
      <c r="G315" s="7" t="str">
        <f aca="false">PROPER(TRIM(customer_churn_dataset!G315))</f>
        <v>Credit Card</v>
      </c>
      <c r="H315" s="7" t="n">
        <f aca="false">IF(ISBLANK(customer_churn_dataset!H315),0,customer_churn_dataset!H315)</f>
        <v>0</v>
      </c>
      <c r="I315" s="7" t="n">
        <f aca="false">IF(ISBLANK(customer_churn_dataset!I315),ROUND(MEDIAN(customer_churn_dataset!I$2:I$1501),1),MIN(100,MAX(0,customer_churn_dataset!I315)))</f>
        <v>49.3</v>
      </c>
      <c r="J315" s="7" t="n">
        <f aca="false">IF(ISBLANK(customer_churn_dataset!J315),0,MAX(0,customer_churn_dataset!J315))</f>
        <v>23</v>
      </c>
      <c r="K315" s="7" t="n">
        <f aca="false">IF(ISBLANK(customer_churn_dataset!K315),0,MIN(10,MAX(0,customer_churn_dataset!K315)))</f>
        <v>5</v>
      </c>
      <c r="L315" s="7" t="n">
        <f aca="false">IF(ISBLANK(customer_churn_dataset!L315),0,MAX(0,customer_churn_dataset!L315))</f>
        <v>2</v>
      </c>
      <c r="M315" s="7" t="n">
        <f aca="false">IF(ISBLANK(customer_churn_dataset!M315),0,customer_churn_dataset!M315)</f>
        <v>0</v>
      </c>
      <c r="N315" s="7" t="n">
        <f aca="false">IF(ISBLANK(customer_churn_dataset!N315),0,MAX(0,customer_churn_dataset!N315))</f>
        <v>108.79</v>
      </c>
      <c r="O315" s="7" t="n">
        <f aca="false">IF(ISBLANK(customer_churn_dataset!O315),0,customer_churn_dataset!O315)</f>
        <v>1</v>
      </c>
      <c r="P315" s="7" t="str">
        <f aca="false">IF(COUNTIF(customer_churn_dataset!$A$2:$A$1501,customer_churn_dataset!A315)&gt;1,"Duplicate","Unique")</f>
        <v>Unique</v>
      </c>
    </row>
    <row r="316" customFormat="false" ht="14.15" hidden="false" customHeight="true" outlineLevel="0" collapsed="false">
      <c r="A316" s="7" t="str">
        <f aca="false">TRIM(customer_churn_dataset!A316)</f>
        <v>CUST101188</v>
      </c>
      <c r="B316" s="7" t="str">
        <f aca="false">PROPER(TRIM(customer_churn_dataset!B316))</f>
        <v>Basic</v>
      </c>
      <c r="C316" s="7" t="str">
        <f aca="false">PROPER(TRIM(customer_churn_dataset!C316))</f>
        <v>Month-To-Month</v>
      </c>
      <c r="D316" s="7" t="n">
        <f aca="false">IF(ISBLANK(customer_churn_dataset!D316),ROUND(MEDIAN(customer_churn_dataset!D$2:D$1501),2),IF(customer_churn_dataset!D316&lt;0,ABS(customer_churn_dataset!D316),customer_churn_dataset!D316))</f>
        <v>10.68</v>
      </c>
      <c r="E316" s="7" t="n">
        <f aca="false">IF(ISBLANK(customer_churn_dataset!E316),0,MAX(0,customer_churn_dataset!E316))</f>
        <v>41</v>
      </c>
      <c r="F316" s="8" t="n">
        <f aca="false">IF(ISBLANK(customer_churn_dataset!F316),"",customer_churn_dataset!F316)</f>
        <v>44260</v>
      </c>
      <c r="G316" s="7" t="str">
        <f aca="false">PROPER(TRIM(customer_churn_dataset!G316))</f>
        <v>Paypal</v>
      </c>
      <c r="H316" s="7" t="n">
        <f aca="false">IF(ISBLANK(customer_churn_dataset!H316),0,customer_churn_dataset!H316)</f>
        <v>1</v>
      </c>
      <c r="I316" s="7" t="n">
        <f aca="false">IF(ISBLANK(customer_churn_dataset!I316),ROUND(MEDIAN(customer_churn_dataset!I$2:I$1501),1),MIN(100,MAX(0,customer_churn_dataset!I316)))</f>
        <v>63.8</v>
      </c>
      <c r="J316" s="7" t="n">
        <f aca="false">IF(ISBLANK(customer_churn_dataset!J316),0,MAX(0,customer_churn_dataset!J316))</f>
        <v>19</v>
      </c>
      <c r="K316" s="7" t="n">
        <f aca="false">IF(ISBLANK(customer_churn_dataset!K316),0,MIN(10,MAX(0,customer_churn_dataset!K316)))</f>
        <v>9</v>
      </c>
      <c r="L316" s="7" t="n">
        <f aca="false">IF(ISBLANK(customer_churn_dataset!L316),0,MAX(0,customer_churn_dataset!L316))</f>
        <v>0</v>
      </c>
      <c r="M316" s="7" t="n">
        <f aca="false">IF(ISBLANK(customer_churn_dataset!M316),0,customer_churn_dataset!M316)</f>
        <v>0</v>
      </c>
      <c r="N316" s="7" t="n">
        <f aca="false">IF(ISBLANK(customer_churn_dataset!N316),0,MAX(0,customer_churn_dataset!N316))</f>
        <v>437.88</v>
      </c>
      <c r="O316" s="7" t="n">
        <f aca="false">IF(ISBLANK(customer_churn_dataset!O316),0,customer_churn_dataset!O316)</f>
        <v>0</v>
      </c>
      <c r="P316" s="7" t="str">
        <f aca="false">IF(COUNTIF(customer_churn_dataset!$A$2:$A$1501,customer_churn_dataset!A316)&gt;1,"Duplicate","Unique")</f>
        <v>Unique</v>
      </c>
    </row>
    <row r="317" customFormat="false" ht="14.15" hidden="false" customHeight="true" outlineLevel="0" collapsed="false">
      <c r="A317" s="7" t="str">
        <f aca="false">TRIM(customer_churn_dataset!A317)</f>
        <v>CUST101482</v>
      </c>
      <c r="B317" s="7" t="str">
        <f aca="false">PROPER(TRIM(customer_churn_dataset!B317))</f>
        <v>Standard</v>
      </c>
      <c r="C317" s="7" t="str">
        <f aca="false">PROPER(TRIM(customer_churn_dataset!C317))</f>
        <v>One Year</v>
      </c>
      <c r="D317" s="7" t="n">
        <f aca="false">IF(ISBLANK(customer_churn_dataset!D317),ROUND(MEDIAN(customer_churn_dataset!D$2:D$1501),2),IF(customer_churn_dataset!D317&lt;0,ABS(customer_churn_dataset!D317),customer_churn_dataset!D317))</f>
        <v>19.14</v>
      </c>
      <c r="E317" s="7" t="n">
        <f aca="false">IF(ISBLANK(customer_churn_dataset!E317),0,MAX(0,customer_churn_dataset!E317))</f>
        <v>19</v>
      </c>
      <c r="F317" s="8" t="n">
        <f aca="false">IF(ISBLANK(customer_churn_dataset!F317),"",customer_churn_dataset!F317)</f>
        <v>44262</v>
      </c>
      <c r="G317" s="7" t="str">
        <f aca="false">PROPER(TRIM(customer_churn_dataset!G317))</f>
        <v>Credit Card</v>
      </c>
      <c r="H317" s="7" t="n">
        <f aca="false">IF(ISBLANK(customer_churn_dataset!H317),0,customer_churn_dataset!H317)</f>
        <v>1</v>
      </c>
      <c r="I317" s="7" t="n">
        <f aca="false">IF(ISBLANK(customer_churn_dataset!I317),ROUND(MEDIAN(customer_churn_dataset!I$2:I$1501),1),MIN(100,MAX(0,customer_churn_dataset!I317)))</f>
        <v>50.7</v>
      </c>
      <c r="J317" s="7" t="n">
        <f aca="false">IF(ISBLANK(customer_churn_dataset!J317),0,MAX(0,customer_churn_dataset!J317))</f>
        <v>14</v>
      </c>
      <c r="K317" s="7" t="n">
        <f aca="false">IF(ISBLANK(customer_churn_dataset!K317),0,MIN(10,MAX(0,customer_churn_dataset!K317)))</f>
        <v>5</v>
      </c>
      <c r="L317" s="7" t="n">
        <f aca="false">IF(ISBLANK(customer_churn_dataset!L317),0,MAX(0,customer_churn_dataset!L317))</f>
        <v>1</v>
      </c>
      <c r="M317" s="7" t="n">
        <f aca="false">IF(ISBLANK(customer_churn_dataset!M317),0,customer_churn_dataset!M317)</f>
        <v>1</v>
      </c>
      <c r="N317" s="7" t="n">
        <f aca="false">IF(ISBLANK(customer_churn_dataset!N317),0,MAX(0,customer_churn_dataset!N317))</f>
        <v>363.66</v>
      </c>
      <c r="O317" s="7" t="n">
        <f aca="false">IF(ISBLANK(customer_churn_dataset!O317),0,customer_churn_dataset!O317)</f>
        <v>0</v>
      </c>
      <c r="P317" s="7" t="str">
        <f aca="false">IF(COUNTIF(customer_churn_dataset!$A$2:$A$1501,customer_churn_dataset!A317)&gt;1,"Duplicate","Unique")</f>
        <v>Unique</v>
      </c>
    </row>
    <row r="318" customFormat="false" ht="14.15" hidden="false" customHeight="true" outlineLevel="0" collapsed="false">
      <c r="A318" s="7" t="str">
        <f aca="false">TRIM(customer_churn_dataset!A318)</f>
        <v>CUST100712</v>
      </c>
      <c r="B318" s="7" t="str">
        <f aca="false">PROPER(TRIM(customer_churn_dataset!B318))</f>
        <v>Standard</v>
      </c>
      <c r="C318" s="7" t="str">
        <f aca="false">PROPER(TRIM(customer_churn_dataset!C318))</f>
        <v>One Year</v>
      </c>
      <c r="D318" s="7" t="n">
        <f aca="false">IF(ISBLANK(customer_churn_dataset!D318),ROUND(MEDIAN(customer_churn_dataset!D$2:D$1501),2),IF(customer_churn_dataset!D318&lt;0,ABS(customer_churn_dataset!D318),customer_churn_dataset!D318))</f>
        <v>19.68</v>
      </c>
      <c r="E318" s="7" t="n">
        <f aca="false">IF(ISBLANK(customer_churn_dataset!E318),0,MAX(0,customer_churn_dataset!E318))</f>
        <v>53</v>
      </c>
      <c r="F318" s="8" t="n">
        <f aca="false">IF(ISBLANK(customer_churn_dataset!F318),"",customer_churn_dataset!F318)</f>
        <v>44263</v>
      </c>
      <c r="G318" s="7" t="str">
        <f aca="false">PROPER(TRIM(customer_churn_dataset!G318))</f>
        <v>Paypal</v>
      </c>
      <c r="H318" s="7" t="n">
        <f aca="false">IF(ISBLANK(customer_churn_dataset!H318),0,customer_churn_dataset!H318)</f>
        <v>0</v>
      </c>
      <c r="I318" s="7" t="n">
        <f aca="false">IF(ISBLANK(customer_churn_dataset!I318),ROUND(MEDIAN(customer_churn_dataset!I$2:I$1501),1),MIN(100,MAX(0,customer_churn_dataset!I318)))</f>
        <v>41.3</v>
      </c>
      <c r="J318" s="7" t="n">
        <f aca="false">IF(ISBLANK(customer_churn_dataset!J318),0,MAX(0,customer_churn_dataset!J318))</f>
        <v>8</v>
      </c>
      <c r="K318" s="7" t="n">
        <f aca="false">IF(ISBLANK(customer_churn_dataset!K318),0,MIN(10,MAX(0,customer_churn_dataset!K318)))</f>
        <v>3</v>
      </c>
      <c r="L318" s="7" t="n">
        <f aca="false">IF(ISBLANK(customer_churn_dataset!L318),0,MAX(0,customer_churn_dataset!L318))</f>
        <v>1</v>
      </c>
      <c r="M318" s="7" t="n">
        <f aca="false">IF(ISBLANK(customer_churn_dataset!M318),0,customer_churn_dataset!M318)</f>
        <v>0</v>
      </c>
      <c r="N318" s="7" t="n">
        <f aca="false">IF(ISBLANK(customer_churn_dataset!N318),0,MAX(0,customer_churn_dataset!N318))</f>
        <v>1043.04</v>
      </c>
      <c r="O318" s="7" t="n">
        <f aca="false">IF(ISBLANK(customer_churn_dataset!O318),0,customer_churn_dataset!O318)</f>
        <v>0</v>
      </c>
      <c r="P318" s="7" t="str">
        <f aca="false">IF(COUNTIF(customer_churn_dataset!$A$2:$A$1501,customer_churn_dataset!A318)&gt;1,"Duplicate","Unique")</f>
        <v>Unique</v>
      </c>
    </row>
    <row r="319" customFormat="false" ht="14.15" hidden="false" customHeight="true" outlineLevel="0" collapsed="false">
      <c r="A319" s="7" t="str">
        <f aca="false">TRIM(customer_churn_dataset!A319)</f>
        <v>CUST101065</v>
      </c>
      <c r="B319" s="7" t="str">
        <f aca="false">PROPER(TRIM(customer_churn_dataset!B319))</f>
        <v>Standard</v>
      </c>
      <c r="C319" s="7" t="str">
        <f aca="false">PROPER(TRIM(customer_churn_dataset!C319))</f>
        <v>Month-To-Month</v>
      </c>
      <c r="D319" s="7" t="n">
        <f aca="false">IF(ISBLANK(customer_churn_dataset!D319),ROUND(MEDIAN(customer_churn_dataset!D$2:D$1501),2),IF(customer_churn_dataset!D319&lt;0,ABS(customer_churn_dataset!D319),customer_churn_dataset!D319))</f>
        <v>21.31</v>
      </c>
      <c r="E319" s="7" t="n">
        <f aca="false">IF(ISBLANK(customer_churn_dataset!E319),0,MAX(0,customer_churn_dataset!E319))</f>
        <v>8</v>
      </c>
      <c r="F319" s="8" t="n">
        <f aca="false">IF(ISBLANK(customer_churn_dataset!F319),"",customer_churn_dataset!F319)</f>
        <v>44265</v>
      </c>
      <c r="G319" s="7" t="str">
        <f aca="false">PROPER(TRIM(customer_churn_dataset!G319))</f>
        <v>Paypal</v>
      </c>
      <c r="H319" s="7" t="n">
        <f aca="false">IF(ISBLANK(customer_churn_dataset!H319),0,customer_churn_dataset!H319)</f>
        <v>0</v>
      </c>
      <c r="I319" s="7" t="n">
        <f aca="false">IF(ISBLANK(customer_churn_dataset!I319),ROUND(MEDIAN(customer_churn_dataset!I$2:I$1501),1),MIN(100,MAX(0,customer_churn_dataset!I319)))</f>
        <v>41.9</v>
      </c>
      <c r="J319" s="7" t="n">
        <f aca="false">IF(ISBLANK(customer_churn_dataset!J319),0,MAX(0,customer_churn_dataset!J319))</f>
        <v>11</v>
      </c>
      <c r="K319" s="7" t="n">
        <f aca="false">IF(ISBLANK(customer_churn_dataset!K319),0,MIN(10,MAX(0,customer_churn_dataset!K319)))</f>
        <v>5</v>
      </c>
      <c r="L319" s="7" t="n">
        <f aca="false">IF(ISBLANK(customer_churn_dataset!L319),0,MAX(0,customer_churn_dataset!L319))</f>
        <v>0</v>
      </c>
      <c r="M319" s="7" t="n">
        <f aca="false">IF(ISBLANK(customer_churn_dataset!M319),0,customer_churn_dataset!M319)</f>
        <v>0</v>
      </c>
      <c r="N319" s="7" t="n">
        <f aca="false">IF(ISBLANK(customer_churn_dataset!N319),0,MAX(0,customer_churn_dataset!N319))</f>
        <v>170.48</v>
      </c>
      <c r="O319" s="7" t="n">
        <f aca="false">IF(ISBLANK(customer_churn_dataset!O319),0,customer_churn_dataset!O319)</f>
        <v>1</v>
      </c>
      <c r="P319" s="7" t="str">
        <f aca="false">IF(COUNTIF(customer_churn_dataset!$A$2:$A$1501,customer_churn_dataset!A319)&gt;1,"Duplicate","Unique")</f>
        <v>Unique</v>
      </c>
    </row>
    <row r="320" customFormat="false" ht="14.15" hidden="false" customHeight="true" outlineLevel="0" collapsed="false">
      <c r="A320" s="7" t="str">
        <f aca="false">TRIM(customer_churn_dataset!A320)</f>
        <v>CUST100697</v>
      </c>
      <c r="B320" s="7" t="str">
        <f aca="false">PROPER(TRIM(customer_churn_dataset!B320))</f>
        <v>Standard</v>
      </c>
      <c r="C320" s="7" t="str">
        <f aca="false">PROPER(TRIM(customer_churn_dataset!C320))</f>
        <v>Month-To-Month</v>
      </c>
      <c r="D320" s="7" t="n">
        <f aca="false">IF(ISBLANK(customer_churn_dataset!D320),ROUND(MEDIAN(customer_churn_dataset!D$2:D$1501),2),IF(customer_churn_dataset!D320&lt;0,ABS(customer_churn_dataset!D320),customer_churn_dataset!D320))</f>
        <v>19.74</v>
      </c>
      <c r="E320" s="7" t="n">
        <f aca="false">IF(ISBLANK(customer_churn_dataset!E320),0,MAX(0,customer_churn_dataset!E320))</f>
        <v>7</v>
      </c>
      <c r="F320" s="8" t="n">
        <f aca="false">IF(ISBLANK(customer_churn_dataset!F320),"",customer_churn_dataset!F320)</f>
        <v>44266</v>
      </c>
      <c r="G320" s="7" t="str">
        <f aca="false">PROPER(TRIM(customer_churn_dataset!G320))</f>
        <v>Bank Transfer</v>
      </c>
      <c r="H320" s="7" t="n">
        <f aca="false">IF(ISBLANK(customer_churn_dataset!H320),0,customer_churn_dataset!H320)</f>
        <v>1</v>
      </c>
      <c r="I320" s="7" t="n">
        <f aca="false">IF(ISBLANK(customer_churn_dataset!I320),ROUND(MEDIAN(customer_churn_dataset!I$2:I$1501),1),MIN(100,MAX(0,customer_churn_dataset!I320)))</f>
        <v>32.5</v>
      </c>
      <c r="J320" s="7" t="n">
        <f aca="false">IF(ISBLANK(customer_churn_dataset!J320),0,MAX(0,customer_churn_dataset!J320))</f>
        <v>10</v>
      </c>
      <c r="K320" s="7" t="n">
        <f aca="false">IF(ISBLANK(customer_churn_dataset!K320),0,MIN(10,MAX(0,customer_churn_dataset!K320)))</f>
        <v>3</v>
      </c>
      <c r="L320" s="7" t="n">
        <f aca="false">IF(ISBLANK(customer_churn_dataset!L320),0,MAX(0,customer_churn_dataset!L320))</f>
        <v>1</v>
      </c>
      <c r="M320" s="7" t="n">
        <f aca="false">IF(ISBLANK(customer_churn_dataset!M320),0,customer_churn_dataset!M320)</f>
        <v>0</v>
      </c>
      <c r="N320" s="7" t="n">
        <f aca="false">IF(ISBLANK(customer_churn_dataset!N320),0,MAX(0,customer_churn_dataset!N320))</f>
        <v>138.18</v>
      </c>
      <c r="O320" s="7" t="n">
        <f aca="false">IF(ISBLANK(customer_churn_dataset!O320),0,customer_churn_dataset!O320)</f>
        <v>1</v>
      </c>
      <c r="P320" s="7" t="str">
        <f aca="false">IF(COUNTIF(customer_churn_dataset!$A$2:$A$1501,customer_churn_dataset!A320)&gt;1,"Duplicate","Unique")</f>
        <v>Unique</v>
      </c>
    </row>
    <row r="321" customFormat="false" ht="14.15" hidden="false" customHeight="true" outlineLevel="0" collapsed="false">
      <c r="A321" s="7" t="str">
        <f aca="false">TRIM(customer_churn_dataset!A321)</f>
        <v>CUST100212</v>
      </c>
      <c r="B321" s="7" t="str">
        <f aca="false">PROPER(TRIM(customer_churn_dataset!B321))</f>
        <v>Standard</v>
      </c>
      <c r="C321" s="7" t="str">
        <f aca="false">PROPER(TRIM(customer_churn_dataset!C321))</f>
        <v>One Year</v>
      </c>
      <c r="D321" s="7" t="n">
        <f aca="false">IF(ISBLANK(customer_churn_dataset!D321),ROUND(MEDIAN(customer_churn_dataset!D$2:D$1501),2),IF(customer_churn_dataset!D321&lt;0,ABS(customer_churn_dataset!D321),customer_churn_dataset!D321))</f>
        <v>18.62</v>
      </c>
      <c r="E321" s="7" t="n">
        <f aca="false">IF(ISBLANK(customer_churn_dataset!E321),0,MAX(0,customer_churn_dataset!E321))</f>
        <v>14</v>
      </c>
      <c r="F321" s="8" t="n">
        <f aca="false">IF(ISBLANK(customer_churn_dataset!F321),"",customer_churn_dataset!F321)</f>
        <v>44266</v>
      </c>
      <c r="G321" s="7" t="str">
        <f aca="false">PROPER(TRIM(customer_churn_dataset!G321))</f>
        <v>Credit Card</v>
      </c>
      <c r="H321" s="7" t="n">
        <f aca="false">IF(ISBLANK(customer_churn_dataset!H321),0,customer_churn_dataset!H321)</f>
        <v>1</v>
      </c>
      <c r="I321" s="7" t="n">
        <f aca="false">IF(ISBLANK(customer_churn_dataset!I321),ROUND(MEDIAN(customer_churn_dataset!I$2:I$1501),1),MIN(100,MAX(0,customer_churn_dataset!I321)))</f>
        <v>18.9</v>
      </c>
      <c r="J321" s="7" t="n">
        <f aca="false">IF(ISBLANK(customer_churn_dataset!J321),0,MAX(0,customer_churn_dataset!J321))</f>
        <v>5</v>
      </c>
      <c r="K321" s="7" t="n">
        <f aca="false">IF(ISBLANK(customer_churn_dataset!K321),0,MIN(10,MAX(0,customer_churn_dataset!K321)))</f>
        <v>3</v>
      </c>
      <c r="L321" s="7" t="n">
        <f aca="false">IF(ISBLANK(customer_churn_dataset!L321),0,MAX(0,customer_churn_dataset!L321))</f>
        <v>3</v>
      </c>
      <c r="M321" s="7" t="n">
        <f aca="false">IF(ISBLANK(customer_churn_dataset!M321),0,customer_churn_dataset!M321)</f>
        <v>0</v>
      </c>
      <c r="N321" s="7" t="n">
        <f aca="false">IF(ISBLANK(customer_churn_dataset!N321),0,MAX(0,customer_churn_dataset!N321))</f>
        <v>260.68</v>
      </c>
      <c r="O321" s="7" t="n">
        <f aca="false">IF(ISBLANK(customer_churn_dataset!O321),0,customer_churn_dataset!O321)</f>
        <v>0</v>
      </c>
      <c r="P321" s="7" t="str">
        <f aca="false">IF(COUNTIF(customer_churn_dataset!$A$2:$A$1501,customer_churn_dataset!A321)&gt;1,"Duplicate","Unique")</f>
        <v>Unique</v>
      </c>
    </row>
    <row r="322" customFormat="false" ht="14.15" hidden="false" customHeight="true" outlineLevel="0" collapsed="false">
      <c r="A322" s="7" t="str">
        <f aca="false">TRIM(customer_churn_dataset!A322)</f>
        <v>CUST101400</v>
      </c>
      <c r="B322" s="7" t="str">
        <f aca="false">PROPER(TRIM(customer_churn_dataset!B322))</f>
        <v>Basic</v>
      </c>
      <c r="C322" s="7" t="str">
        <f aca="false">PROPER(TRIM(customer_churn_dataset!C322))</f>
        <v>Two Year</v>
      </c>
      <c r="D322" s="7" t="n">
        <f aca="false">IF(ISBLANK(customer_churn_dataset!D322),ROUND(MEDIAN(customer_churn_dataset!D$2:D$1501),2),IF(customer_churn_dataset!D322&lt;0,ABS(customer_churn_dataset!D322),customer_churn_dataset!D322))</f>
        <v>8.98</v>
      </c>
      <c r="E322" s="7" t="n">
        <f aca="false">IF(ISBLANK(customer_churn_dataset!E322),0,MAX(0,customer_churn_dataset!E322))</f>
        <v>72</v>
      </c>
      <c r="F322" s="8" t="n">
        <f aca="false">IF(ISBLANK(customer_churn_dataset!F322),"",customer_churn_dataset!F322)</f>
        <v>44269</v>
      </c>
      <c r="G322" s="7" t="str">
        <f aca="false">PROPER(TRIM(customer_churn_dataset!G322))</f>
        <v>Credit Card</v>
      </c>
      <c r="H322" s="7" t="n">
        <f aca="false">IF(ISBLANK(customer_churn_dataset!H322),0,customer_churn_dataset!H322)</f>
        <v>0</v>
      </c>
      <c r="I322" s="7" t="n">
        <f aca="false">IF(ISBLANK(customer_churn_dataset!I322),ROUND(MEDIAN(customer_churn_dataset!I$2:I$1501),1),MIN(100,MAX(0,customer_churn_dataset!I322)))</f>
        <v>52.4</v>
      </c>
      <c r="J322" s="7" t="n">
        <f aca="false">IF(ISBLANK(customer_churn_dataset!J322),0,MAX(0,customer_churn_dataset!J322))</f>
        <v>14</v>
      </c>
      <c r="K322" s="7" t="n">
        <f aca="false">IF(ISBLANK(customer_churn_dataset!K322),0,MIN(10,MAX(0,customer_churn_dataset!K322)))</f>
        <v>7</v>
      </c>
      <c r="L322" s="7" t="n">
        <f aca="false">IF(ISBLANK(customer_churn_dataset!L322),0,MAX(0,customer_churn_dataset!L322))</f>
        <v>1</v>
      </c>
      <c r="M322" s="7" t="n">
        <f aca="false">IF(ISBLANK(customer_churn_dataset!M322),0,customer_churn_dataset!M322)</f>
        <v>1</v>
      </c>
      <c r="N322" s="7" t="n">
        <f aca="false">IF(ISBLANK(customer_churn_dataset!N322),0,MAX(0,customer_churn_dataset!N322))</f>
        <v>646.56</v>
      </c>
      <c r="O322" s="7" t="n">
        <f aca="false">IF(ISBLANK(customer_churn_dataset!O322),0,customer_churn_dataset!O322)</f>
        <v>0</v>
      </c>
      <c r="P322" s="7" t="str">
        <f aca="false">IF(COUNTIF(customer_churn_dataset!$A$2:$A$1501,customer_churn_dataset!A322)&gt;1,"Duplicate","Unique")</f>
        <v>Unique</v>
      </c>
    </row>
    <row r="323" customFormat="false" ht="14.15" hidden="false" customHeight="true" outlineLevel="0" collapsed="false">
      <c r="A323" s="7" t="str">
        <f aca="false">TRIM(customer_churn_dataset!A323)</f>
        <v>CUST101343</v>
      </c>
      <c r="B323" s="7" t="str">
        <f aca="false">PROPER(TRIM(customer_churn_dataset!B323))</f>
        <v>Standard</v>
      </c>
      <c r="C323" s="7" t="str">
        <f aca="false">PROPER(TRIM(customer_churn_dataset!C323))</f>
        <v>One Year</v>
      </c>
      <c r="D323" s="7" t="n">
        <f aca="false">IF(ISBLANK(customer_churn_dataset!D323),ROUND(MEDIAN(customer_churn_dataset!D$2:D$1501),2),IF(customer_churn_dataset!D323&lt;0,ABS(customer_churn_dataset!D323),customer_churn_dataset!D323))</f>
        <v>19.38</v>
      </c>
      <c r="E323" s="7" t="n">
        <f aca="false">IF(ISBLANK(customer_churn_dataset!E323),0,MAX(0,customer_churn_dataset!E323))</f>
        <v>1</v>
      </c>
      <c r="F323" s="8" t="n">
        <f aca="false">IF(ISBLANK(customer_churn_dataset!F323),"",customer_churn_dataset!F323)</f>
        <v>44270</v>
      </c>
      <c r="G323" s="7" t="str">
        <f aca="false">PROPER(TRIM(customer_churn_dataset!G323))</f>
        <v>Bank Transfer</v>
      </c>
      <c r="H323" s="7" t="n">
        <f aca="false">IF(ISBLANK(customer_churn_dataset!H323),0,customer_churn_dataset!H323)</f>
        <v>1</v>
      </c>
      <c r="I323" s="7" t="n">
        <f aca="false">IF(ISBLANK(customer_churn_dataset!I323),ROUND(MEDIAN(customer_churn_dataset!I$2:I$1501),1),MIN(100,MAX(0,customer_churn_dataset!I323)))</f>
        <v>82</v>
      </c>
      <c r="J323" s="7" t="n">
        <f aca="false">IF(ISBLANK(customer_churn_dataset!J323),0,MAX(0,customer_churn_dataset!J323))</f>
        <v>17</v>
      </c>
      <c r="K323" s="7" t="n">
        <f aca="false">IF(ISBLANK(customer_churn_dataset!K323),0,MIN(10,MAX(0,customer_churn_dataset!K323)))</f>
        <v>4</v>
      </c>
      <c r="L323" s="7" t="n">
        <f aca="false">IF(ISBLANK(customer_churn_dataset!L323),0,MAX(0,customer_churn_dataset!L323))</f>
        <v>0</v>
      </c>
      <c r="M323" s="7" t="n">
        <f aca="false">IF(ISBLANK(customer_churn_dataset!M323),0,customer_churn_dataset!M323)</f>
        <v>0</v>
      </c>
      <c r="N323" s="7" t="n">
        <f aca="false">IF(ISBLANK(customer_churn_dataset!N323),0,MAX(0,customer_churn_dataset!N323))</f>
        <v>19.38</v>
      </c>
      <c r="O323" s="7" t="n">
        <f aca="false">IF(ISBLANK(customer_churn_dataset!O323),0,customer_churn_dataset!O323)</f>
        <v>0</v>
      </c>
      <c r="P323" s="7" t="str">
        <f aca="false">IF(COUNTIF(customer_churn_dataset!$A$2:$A$1501,customer_churn_dataset!A323)&gt;1,"Duplicate","Unique")</f>
        <v>Unique</v>
      </c>
    </row>
    <row r="324" customFormat="false" ht="14.15" hidden="false" customHeight="true" outlineLevel="0" collapsed="false">
      <c r="A324" s="7" t="str">
        <f aca="false">TRIM(customer_churn_dataset!A324)</f>
        <v>CUST100683</v>
      </c>
      <c r="B324" s="7" t="str">
        <f aca="false">PROPER(TRIM(customer_churn_dataset!B324))</f>
        <v>Standard</v>
      </c>
      <c r="C324" s="7" t="str">
        <f aca="false">PROPER(TRIM(customer_churn_dataset!C324))</f>
        <v>Month-To-Month</v>
      </c>
      <c r="D324" s="7" t="n">
        <f aca="false">IF(ISBLANK(customer_churn_dataset!D324),ROUND(MEDIAN(customer_churn_dataset!D$2:D$1501),2),IF(customer_churn_dataset!D324&lt;0,ABS(customer_churn_dataset!D324),customer_churn_dataset!D324))</f>
        <v>20.08</v>
      </c>
      <c r="E324" s="7" t="n">
        <f aca="false">IF(ISBLANK(customer_churn_dataset!E324),0,MAX(0,customer_churn_dataset!E324))</f>
        <v>3</v>
      </c>
      <c r="F324" s="8" t="n">
        <f aca="false">IF(ISBLANK(customer_churn_dataset!F324),"",customer_churn_dataset!F324)</f>
        <v>44271</v>
      </c>
      <c r="G324" s="7" t="str">
        <f aca="false">PROPER(TRIM(customer_churn_dataset!G324))</f>
        <v>Paypal</v>
      </c>
      <c r="H324" s="7" t="n">
        <f aca="false">IF(ISBLANK(customer_churn_dataset!H324),0,customer_churn_dataset!H324)</f>
        <v>0</v>
      </c>
      <c r="I324" s="7" t="n">
        <f aca="false">IF(ISBLANK(customer_churn_dataset!I324),ROUND(MEDIAN(customer_churn_dataset!I$2:I$1501),1),MIN(100,MAX(0,customer_churn_dataset!I324)))</f>
        <v>51.2</v>
      </c>
      <c r="J324" s="7" t="n">
        <f aca="false">IF(ISBLANK(customer_churn_dataset!J324),0,MAX(0,customer_churn_dataset!J324))</f>
        <v>20</v>
      </c>
      <c r="K324" s="7" t="n">
        <f aca="false">IF(ISBLANK(customer_churn_dataset!K324),0,MIN(10,MAX(0,customer_churn_dataset!K324)))</f>
        <v>6</v>
      </c>
      <c r="L324" s="7" t="n">
        <f aca="false">IF(ISBLANK(customer_churn_dataset!L324),0,MAX(0,customer_churn_dataset!L324))</f>
        <v>1</v>
      </c>
      <c r="M324" s="7" t="n">
        <f aca="false">IF(ISBLANK(customer_churn_dataset!M324),0,customer_churn_dataset!M324)</f>
        <v>0</v>
      </c>
      <c r="N324" s="7" t="n">
        <f aca="false">IF(ISBLANK(customer_churn_dataset!N324),0,MAX(0,customer_churn_dataset!N324))</f>
        <v>60.24</v>
      </c>
      <c r="O324" s="7" t="n">
        <f aca="false">IF(ISBLANK(customer_churn_dataset!O324),0,customer_churn_dataset!O324)</f>
        <v>0</v>
      </c>
      <c r="P324" s="7" t="str">
        <f aca="false">IF(COUNTIF(customer_churn_dataset!$A$2:$A$1501,customer_churn_dataset!A324)&gt;1,"Duplicate","Unique")</f>
        <v>Unique</v>
      </c>
    </row>
    <row r="325" customFormat="false" ht="14.15" hidden="false" customHeight="true" outlineLevel="0" collapsed="false">
      <c r="A325" s="7" t="str">
        <f aca="false">TRIM(customer_churn_dataset!A325)</f>
        <v>CUST101203</v>
      </c>
      <c r="B325" s="7" t="str">
        <f aca="false">PROPER(TRIM(customer_churn_dataset!B325))</f>
        <v>Basic</v>
      </c>
      <c r="C325" s="7" t="str">
        <f aca="false">PROPER(TRIM(customer_churn_dataset!C325))</f>
        <v>Two Year</v>
      </c>
      <c r="D325" s="7" t="n">
        <f aca="false">IF(ISBLANK(customer_churn_dataset!D325),ROUND(MEDIAN(customer_churn_dataset!D$2:D$1501),2),IF(customer_churn_dataset!D325&lt;0,ABS(customer_churn_dataset!D325),customer_churn_dataset!D325))</f>
        <v>11.1</v>
      </c>
      <c r="E325" s="7" t="n">
        <f aca="false">IF(ISBLANK(customer_churn_dataset!E325),0,MAX(0,customer_churn_dataset!E325))</f>
        <v>6</v>
      </c>
      <c r="F325" s="8" t="n">
        <f aca="false">IF(ISBLANK(customer_churn_dataset!F325),"",customer_churn_dataset!F325)</f>
        <v>44273</v>
      </c>
      <c r="G325" s="7" t="str">
        <f aca="false">PROPER(TRIM(customer_churn_dataset!G325))</f>
        <v>Credit Card</v>
      </c>
      <c r="H325" s="7" t="n">
        <f aca="false">IF(ISBLANK(customer_churn_dataset!H325),0,customer_churn_dataset!H325)</f>
        <v>1</v>
      </c>
      <c r="I325" s="7" t="n">
        <f aca="false">IF(ISBLANK(customer_churn_dataset!I325),ROUND(MEDIAN(customer_churn_dataset!I$2:I$1501),1),MIN(100,MAX(0,customer_churn_dataset!I325)))</f>
        <v>51.3</v>
      </c>
      <c r="J325" s="7" t="n">
        <f aca="false">IF(ISBLANK(customer_churn_dataset!J325),0,MAX(0,customer_churn_dataset!J325))</f>
        <v>16</v>
      </c>
      <c r="K325" s="7" t="n">
        <f aca="false">IF(ISBLANK(customer_churn_dataset!K325),0,MIN(10,MAX(0,customer_churn_dataset!K325)))</f>
        <v>5</v>
      </c>
      <c r="L325" s="7" t="n">
        <f aca="false">IF(ISBLANK(customer_churn_dataset!L325),0,MAX(0,customer_churn_dataset!L325))</f>
        <v>4</v>
      </c>
      <c r="M325" s="7" t="n">
        <f aca="false">IF(ISBLANK(customer_churn_dataset!M325),0,customer_churn_dataset!M325)</f>
        <v>0</v>
      </c>
      <c r="N325" s="7" t="n">
        <f aca="false">IF(ISBLANK(customer_churn_dataset!N325),0,MAX(0,customer_churn_dataset!N325))</f>
        <v>66.6</v>
      </c>
      <c r="O325" s="7" t="n">
        <f aca="false">IF(ISBLANK(customer_churn_dataset!O325),0,customer_churn_dataset!O325)</f>
        <v>0</v>
      </c>
      <c r="P325" s="7" t="str">
        <f aca="false">IF(COUNTIF(customer_churn_dataset!$A$2:$A$1501,customer_churn_dataset!A325)&gt;1,"Duplicate","Unique")</f>
        <v>Unique</v>
      </c>
    </row>
    <row r="326" customFormat="false" ht="14.15" hidden="false" customHeight="true" outlineLevel="0" collapsed="false">
      <c r="A326" s="7" t="str">
        <f aca="false">TRIM(customer_churn_dataset!A326)</f>
        <v>CUST100006</v>
      </c>
      <c r="B326" s="7" t="str">
        <f aca="false">PROPER(TRIM(customer_churn_dataset!B326))</f>
        <v>Basic</v>
      </c>
      <c r="C326" s="7" t="str">
        <f aca="false">PROPER(TRIM(customer_churn_dataset!C326))</f>
        <v>Month-To-Month</v>
      </c>
      <c r="D326" s="7" t="n">
        <f aca="false">IF(ISBLANK(customer_churn_dataset!D326),ROUND(MEDIAN(customer_churn_dataset!D$2:D$1501),2),IF(customer_churn_dataset!D326&lt;0,ABS(customer_churn_dataset!D326),customer_churn_dataset!D326))</f>
        <v>11.37</v>
      </c>
      <c r="E326" s="7" t="n">
        <f aca="false">IF(ISBLANK(customer_churn_dataset!E326),0,MAX(0,customer_churn_dataset!E326))</f>
        <v>4</v>
      </c>
      <c r="F326" s="8" t="n">
        <f aca="false">IF(ISBLANK(customer_churn_dataset!F326),"",customer_churn_dataset!F326)</f>
        <v>44273</v>
      </c>
      <c r="G326" s="7" t="str">
        <f aca="false">PROPER(TRIM(customer_churn_dataset!G326))</f>
        <v>Manual/Invoice</v>
      </c>
      <c r="H326" s="7" t="n">
        <f aca="false">IF(ISBLANK(customer_churn_dataset!H326),0,customer_churn_dataset!H326)</f>
        <v>1</v>
      </c>
      <c r="I326" s="7" t="n">
        <f aca="false">IF(ISBLANK(customer_churn_dataset!I326),ROUND(MEDIAN(customer_churn_dataset!I$2:I$1501),1),MIN(100,MAX(0,customer_churn_dataset!I326)))</f>
        <v>47</v>
      </c>
      <c r="J326" s="7" t="n">
        <f aca="false">IF(ISBLANK(customer_churn_dataset!J326),0,MAX(0,customer_churn_dataset!J326))</f>
        <v>20</v>
      </c>
      <c r="K326" s="7" t="n">
        <f aca="false">IF(ISBLANK(customer_churn_dataset!K326),0,MIN(10,MAX(0,customer_churn_dataset!K326)))</f>
        <v>6</v>
      </c>
      <c r="L326" s="7" t="n">
        <f aca="false">IF(ISBLANK(customer_churn_dataset!L326),0,MAX(0,customer_churn_dataset!L326))</f>
        <v>1</v>
      </c>
      <c r="M326" s="7" t="n">
        <f aca="false">IF(ISBLANK(customer_churn_dataset!M326),0,customer_churn_dataset!M326)</f>
        <v>1</v>
      </c>
      <c r="N326" s="7" t="n">
        <f aca="false">IF(ISBLANK(customer_churn_dataset!N326),0,MAX(0,customer_churn_dataset!N326))</f>
        <v>45.48</v>
      </c>
      <c r="O326" s="7" t="n">
        <f aca="false">IF(ISBLANK(customer_churn_dataset!O326),0,customer_churn_dataset!O326)</f>
        <v>1</v>
      </c>
      <c r="P326" s="7" t="str">
        <f aca="false">IF(COUNTIF(customer_churn_dataset!$A$2:$A$1501,customer_churn_dataset!A326)&gt;1,"Duplicate","Unique")</f>
        <v>Unique</v>
      </c>
    </row>
    <row r="327" customFormat="false" ht="14.15" hidden="false" customHeight="true" outlineLevel="0" collapsed="false">
      <c r="A327" s="7" t="str">
        <f aca="false">TRIM(customer_churn_dataset!A327)</f>
        <v>CUST100693</v>
      </c>
      <c r="B327" s="7" t="str">
        <f aca="false">PROPER(TRIM(customer_churn_dataset!B327))</f>
        <v>Basic</v>
      </c>
      <c r="C327" s="7" t="str">
        <f aca="false">PROPER(TRIM(customer_churn_dataset!C327))</f>
        <v>Two Year</v>
      </c>
      <c r="D327" s="7" t="n">
        <f aca="false">IF(ISBLANK(customer_churn_dataset!D327),ROUND(MEDIAN(customer_churn_dataset!D$2:D$1501),2),IF(customer_churn_dataset!D327&lt;0,ABS(customer_churn_dataset!D327),customer_churn_dataset!D327))</f>
        <v>10.91</v>
      </c>
      <c r="E327" s="7" t="n">
        <f aca="false">IF(ISBLANK(customer_churn_dataset!E327),0,MAX(0,customer_churn_dataset!E327))</f>
        <v>22</v>
      </c>
      <c r="F327" s="8" t="n">
        <f aca="false">IF(ISBLANK(customer_churn_dataset!F327),"",customer_churn_dataset!F327)</f>
        <v>44276</v>
      </c>
      <c r="G327" s="7" t="str">
        <f aca="false">PROPER(TRIM(customer_churn_dataset!G327))</f>
        <v>Manual/Invoice</v>
      </c>
      <c r="H327" s="7" t="n">
        <f aca="false">IF(ISBLANK(customer_churn_dataset!H327),0,customer_churn_dataset!H327)</f>
        <v>1</v>
      </c>
      <c r="I327" s="7" t="n">
        <f aca="false">IF(ISBLANK(customer_churn_dataset!I327),ROUND(MEDIAN(customer_churn_dataset!I$2:I$1501),1),MIN(100,MAX(0,customer_churn_dataset!I327)))</f>
        <v>64</v>
      </c>
      <c r="J327" s="7" t="n">
        <f aca="false">IF(ISBLANK(customer_churn_dataset!J327),0,MAX(0,customer_churn_dataset!J327))</f>
        <v>18</v>
      </c>
      <c r="K327" s="7" t="n">
        <f aca="false">IF(ISBLANK(customer_churn_dataset!K327),0,MIN(10,MAX(0,customer_churn_dataset!K327)))</f>
        <v>6</v>
      </c>
      <c r="L327" s="7" t="n">
        <f aca="false">IF(ISBLANK(customer_churn_dataset!L327),0,MAX(0,customer_churn_dataset!L327))</f>
        <v>0</v>
      </c>
      <c r="M327" s="7" t="n">
        <f aca="false">IF(ISBLANK(customer_churn_dataset!M327),0,customer_churn_dataset!M327)</f>
        <v>0</v>
      </c>
      <c r="N327" s="7" t="n">
        <f aca="false">IF(ISBLANK(customer_churn_dataset!N327),0,MAX(0,customer_churn_dataset!N327))</f>
        <v>240.02</v>
      </c>
      <c r="O327" s="7" t="n">
        <f aca="false">IF(ISBLANK(customer_churn_dataset!O327),0,customer_churn_dataset!O327)</f>
        <v>0</v>
      </c>
      <c r="P327" s="7" t="str">
        <f aca="false">IF(COUNTIF(customer_churn_dataset!$A$2:$A$1501,customer_churn_dataset!A327)&gt;1,"Duplicate","Unique")</f>
        <v>Unique</v>
      </c>
    </row>
    <row r="328" customFormat="false" ht="14.15" hidden="false" customHeight="true" outlineLevel="0" collapsed="false">
      <c r="A328" s="7" t="str">
        <f aca="false">TRIM(customer_churn_dataset!A328)</f>
        <v>CUST100312</v>
      </c>
      <c r="B328" s="7" t="str">
        <f aca="false">PROPER(TRIM(customer_churn_dataset!B328))</f>
        <v>Basic</v>
      </c>
      <c r="C328" s="7" t="str">
        <f aca="false">PROPER(TRIM(customer_churn_dataset!C328))</f>
        <v>One Year</v>
      </c>
      <c r="D328" s="7" t="n">
        <f aca="false">IF(ISBLANK(customer_churn_dataset!D328),ROUND(MEDIAN(customer_churn_dataset!D$2:D$1501),2),IF(customer_churn_dataset!D328&lt;0,ABS(customer_churn_dataset!D328),customer_churn_dataset!D328))</f>
        <v>9.86</v>
      </c>
      <c r="E328" s="7" t="n">
        <f aca="false">IF(ISBLANK(customer_churn_dataset!E328),0,MAX(0,customer_churn_dataset!E328))</f>
        <v>17</v>
      </c>
      <c r="F328" s="8" t="n">
        <f aca="false">IF(ISBLANK(customer_churn_dataset!F328),"",customer_churn_dataset!F328)</f>
        <v>44277</v>
      </c>
      <c r="G328" s="7" t="str">
        <f aca="false">PROPER(TRIM(customer_churn_dataset!G328))</f>
        <v>Paypal</v>
      </c>
      <c r="H328" s="7" t="n">
        <f aca="false">IF(ISBLANK(customer_churn_dataset!H328),0,customer_churn_dataset!H328)</f>
        <v>0</v>
      </c>
      <c r="I328" s="7" t="n">
        <f aca="false">IF(ISBLANK(customer_churn_dataset!I328),ROUND(MEDIAN(customer_churn_dataset!I$2:I$1501),1),MIN(100,MAX(0,customer_churn_dataset!I328)))</f>
        <v>39.8</v>
      </c>
      <c r="J328" s="7" t="n">
        <f aca="false">IF(ISBLANK(customer_churn_dataset!J328),0,MAX(0,customer_churn_dataset!J328))</f>
        <v>11</v>
      </c>
      <c r="K328" s="7" t="n">
        <f aca="false">IF(ISBLANK(customer_churn_dataset!K328),0,MIN(10,MAX(0,customer_churn_dataset!K328)))</f>
        <v>5</v>
      </c>
      <c r="L328" s="7" t="n">
        <f aca="false">IF(ISBLANK(customer_churn_dataset!L328),0,MAX(0,customer_churn_dataset!L328))</f>
        <v>3</v>
      </c>
      <c r="M328" s="7" t="n">
        <f aca="false">IF(ISBLANK(customer_churn_dataset!M328),0,customer_churn_dataset!M328)</f>
        <v>0</v>
      </c>
      <c r="N328" s="7" t="n">
        <f aca="false">IF(ISBLANK(customer_churn_dataset!N328),0,MAX(0,customer_churn_dataset!N328))</f>
        <v>167.62</v>
      </c>
      <c r="O328" s="7" t="n">
        <f aca="false">IF(ISBLANK(customer_churn_dataset!O328),0,customer_churn_dataset!O328)</f>
        <v>0</v>
      </c>
      <c r="P328" s="7" t="str">
        <f aca="false">IF(COUNTIF(customer_churn_dataset!$A$2:$A$1501,customer_churn_dataset!A328)&gt;1,"Duplicate","Unique")</f>
        <v>Unique</v>
      </c>
    </row>
    <row r="329" customFormat="false" ht="14.15" hidden="false" customHeight="true" outlineLevel="0" collapsed="false">
      <c r="A329" s="7" t="str">
        <f aca="false">TRIM(customer_churn_dataset!A329)</f>
        <v>CUST100766</v>
      </c>
      <c r="B329" s="7" t="str">
        <f aca="false">PROPER(TRIM(customer_churn_dataset!B329))</f>
        <v>Standard</v>
      </c>
      <c r="C329" s="7" t="str">
        <f aca="false">PROPER(TRIM(customer_churn_dataset!C329))</f>
        <v>One Year</v>
      </c>
      <c r="D329" s="7" t="n">
        <f aca="false">IF(ISBLANK(customer_churn_dataset!D329),ROUND(MEDIAN(customer_churn_dataset!D$2:D$1501),2),IF(customer_churn_dataset!D329&lt;0,ABS(customer_churn_dataset!D329),customer_churn_dataset!D329))</f>
        <v>17.46</v>
      </c>
      <c r="E329" s="7" t="n">
        <f aca="false">IF(ISBLANK(customer_churn_dataset!E329),0,MAX(0,customer_churn_dataset!E329))</f>
        <v>4</v>
      </c>
      <c r="F329" s="8" t="n">
        <f aca="false">IF(ISBLANK(customer_churn_dataset!F329),"",customer_churn_dataset!F329)</f>
        <v>44277</v>
      </c>
      <c r="G329" s="7" t="str">
        <f aca="false">PROPER(TRIM(customer_churn_dataset!G329))</f>
        <v>Paypal</v>
      </c>
      <c r="H329" s="7" t="n">
        <f aca="false">IF(ISBLANK(customer_churn_dataset!H329),0,customer_churn_dataset!H329)</f>
        <v>0</v>
      </c>
      <c r="I329" s="7" t="n">
        <f aca="false">IF(ISBLANK(customer_churn_dataset!I329),ROUND(MEDIAN(customer_churn_dataset!I$2:I$1501),1),MIN(100,MAX(0,customer_churn_dataset!I329)))</f>
        <v>43.4</v>
      </c>
      <c r="J329" s="7" t="n">
        <f aca="false">IF(ISBLANK(customer_churn_dataset!J329),0,MAX(0,customer_churn_dataset!J329))</f>
        <v>15</v>
      </c>
      <c r="K329" s="7" t="n">
        <f aca="false">IF(ISBLANK(customer_churn_dataset!K329),0,MIN(10,MAX(0,customer_churn_dataset!K329)))</f>
        <v>4</v>
      </c>
      <c r="L329" s="7" t="n">
        <f aca="false">IF(ISBLANK(customer_churn_dataset!L329),0,MAX(0,customer_churn_dataset!L329))</f>
        <v>0</v>
      </c>
      <c r="M329" s="7" t="n">
        <f aca="false">IF(ISBLANK(customer_churn_dataset!M329),0,customer_churn_dataset!M329)</f>
        <v>0</v>
      </c>
      <c r="N329" s="7" t="n">
        <f aca="false">IF(ISBLANK(customer_churn_dataset!N329),0,MAX(0,customer_churn_dataset!N329))</f>
        <v>69.84</v>
      </c>
      <c r="O329" s="7" t="n">
        <f aca="false">IF(ISBLANK(customer_churn_dataset!O329),0,customer_churn_dataset!O329)</f>
        <v>0</v>
      </c>
      <c r="P329" s="7" t="str">
        <f aca="false">IF(COUNTIF(customer_churn_dataset!$A$2:$A$1501,customer_churn_dataset!A329)&gt;1,"Duplicate","Unique")</f>
        <v>Unique</v>
      </c>
    </row>
    <row r="330" customFormat="false" ht="14.15" hidden="false" customHeight="true" outlineLevel="0" collapsed="false">
      <c r="A330" s="7" t="str">
        <f aca="false">TRIM(customer_churn_dataset!A330)</f>
        <v>CUST100163</v>
      </c>
      <c r="B330" s="7" t="str">
        <f aca="false">PROPER(TRIM(customer_churn_dataset!B330))</f>
        <v>Standard</v>
      </c>
      <c r="C330" s="7" t="str">
        <f aca="false">PROPER(TRIM(customer_churn_dataset!C330))</f>
        <v>Month-To-Month</v>
      </c>
      <c r="D330" s="7" t="n">
        <f aca="false">IF(ISBLANK(customer_churn_dataset!D330),ROUND(MEDIAN(customer_churn_dataset!D$2:D$1501),2),IF(customer_churn_dataset!D330&lt;0,ABS(customer_churn_dataset!D330),customer_churn_dataset!D330))</f>
        <v>20.48</v>
      </c>
      <c r="E330" s="7" t="n">
        <f aca="false">IF(ISBLANK(customer_churn_dataset!E330),0,MAX(0,customer_churn_dataset!E330))</f>
        <v>2</v>
      </c>
      <c r="F330" s="8" t="n">
        <f aca="false">IF(ISBLANK(customer_churn_dataset!F330),"",customer_churn_dataset!F330)</f>
        <v>44280</v>
      </c>
      <c r="G330" s="7" t="str">
        <f aca="false">PROPER(TRIM(customer_churn_dataset!G330))</f>
        <v>Bank Transfer</v>
      </c>
      <c r="H330" s="7" t="n">
        <f aca="false">IF(ISBLANK(customer_churn_dataset!H330),0,customer_churn_dataset!H330)</f>
        <v>1</v>
      </c>
      <c r="I330" s="7" t="n">
        <f aca="false">IF(ISBLANK(customer_churn_dataset!I330),ROUND(MEDIAN(customer_churn_dataset!I$2:I$1501),1),MIN(100,MAX(0,customer_churn_dataset!I330)))</f>
        <v>68.7</v>
      </c>
      <c r="J330" s="7" t="n">
        <f aca="false">IF(ISBLANK(customer_churn_dataset!J330),0,MAX(0,customer_churn_dataset!J330))</f>
        <v>18</v>
      </c>
      <c r="K330" s="7" t="n">
        <f aca="false">IF(ISBLANK(customer_churn_dataset!K330),0,MIN(10,MAX(0,customer_churn_dataset!K330)))</f>
        <v>7</v>
      </c>
      <c r="L330" s="7" t="n">
        <f aca="false">IF(ISBLANK(customer_churn_dataset!L330),0,MAX(0,customer_churn_dataset!L330))</f>
        <v>0</v>
      </c>
      <c r="M330" s="7" t="n">
        <f aca="false">IF(ISBLANK(customer_churn_dataset!M330),0,customer_churn_dataset!M330)</f>
        <v>0</v>
      </c>
      <c r="N330" s="7" t="n">
        <f aca="false">IF(ISBLANK(customer_churn_dataset!N330),0,MAX(0,customer_churn_dataset!N330))</f>
        <v>40.96</v>
      </c>
      <c r="O330" s="7" t="n">
        <f aca="false">IF(ISBLANK(customer_churn_dataset!O330),0,customer_churn_dataset!O330)</f>
        <v>1</v>
      </c>
      <c r="P330" s="7" t="str">
        <f aca="false">IF(COUNTIF(customer_churn_dataset!$A$2:$A$1501,customer_churn_dataset!A330)&gt;1,"Duplicate","Unique")</f>
        <v>Unique</v>
      </c>
    </row>
    <row r="331" customFormat="false" ht="14.15" hidden="false" customHeight="true" outlineLevel="0" collapsed="false">
      <c r="A331" s="7" t="str">
        <f aca="false">TRIM(customer_churn_dataset!A331)</f>
        <v>CUST100340</v>
      </c>
      <c r="B331" s="7" t="str">
        <f aca="false">PROPER(TRIM(customer_churn_dataset!B331))</f>
        <v>Standard</v>
      </c>
      <c r="C331" s="7" t="str">
        <f aca="false">PROPER(TRIM(customer_churn_dataset!C331))</f>
        <v>One Year</v>
      </c>
      <c r="D331" s="7" t="n">
        <f aca="false">IF(ISBLANK(customer_churn_dataset!D331),ROUND(MEDIAN(customer_churn_dataset!D$2:D$1501),2),IF(customer_churn_dataset!D331&lt;0,ABS(customer_churn_dataset!D331),customer_churn_dataset!D331))</f>
        <v>20.77</v>
      </c>
      <c r="E331" s="7" t="n">
        <f aca="false">IF(ISBLANK(customer_churn_dataset!E331),0,MAX(0,customer_churn_dataset!E331))</f>
        <v>35</v>
      </c>
      <c r="F331" s="8" t="n">
        <f aca="false">IF(ISBLANK(customer_churn_dataset!F331),"",customer_churn_dataset!F331)</f>
        <v>44281</v>
      </c>
      <c r="G331" s="7" t="str">
        <f aca="false">PROPER(TRIM(customer_churn_dataset!G331))</f>
        <v>Manual/Invoice</v>
      </c>
      <c r="H331" s="7" t="n">
        <f aca="false">IF(ISBLANK(customer_churn_dataset!H331),0,customer_churn_dataset!H331)</f>
        <v>0</v>
      </c>
      <c r="I331" s="7" t="n">
        <f aca="false">IF(ISBLANK(customer_churn_dataset!I331),ROUND(MEDIAN(customer_churn_dataset!I$2:I$1501),1),MIN(100,MAX(0,customer_churn_dataset!I331)))</f>
        <v>60.6</v>
      </c>
      <c r="J331" s="7" t="n">
        <f aca="false">IF(ISBLANK(customer_churn_dataset!J331),0,MAX(0,customer_churn_dataset!J331))</f>
        <v>17</v>
      </c>
      <c r="K331" s="7" t="n">
        <f aca="false">IF(ISBLANK(customer_churn_dataset!K331),0,MIN(10,MAX(0,customer_churn_dataset!K331)))</f>
        <v>7</v>
      </c>
      <c r="L331" s="7" t="n">
        <f aca="false">IF(ISBLANK(customer_churn_dataset!L331),0,MAX(0,customer_churn_dataset!L331))</f>
        <v>3</v>
      </c>
      <c r="M331" s="7" t="n">
        <f aca="false">IF(ISBLANK(customer_churn_dataset!M331),0,customer_churn_dataset!M331)</f>
        <v>0</v>
      </c>
      <c r="N331" s="7" t="n">
        <f aca="false">IF(ISBLANK(customer_churn_dataset!N331),0,MAX(0,customer_churn_dataset!N331))</f>
        <v>726.95</v>
      </c>
      <c r="O331" s="7" t="n">
        <f aca="false">IF(ISBLANK(customer_churn_dataset!O331),0,customer_churn_dataset!O331)</f>
        <v>0</v>
      </c>
      <c r="P331" s="7" t="str">
        <f aca="false">IF(COUNTIF(customer_churn_dataset!$A$2:$A$1501,customer_churn_dataset!A331)&gt;1,"Duplicate","Unique")</f>
        <v>Unique</v>
      </c>
    </row>
    <row r="332" customFormat="false" ht="14.15" hidden="false" customHeight="true" outlineLevel="0" collapsed="false">
      <c r="A332" s="7" t="str">
        <f aca="false">TRIM(customer_churn_dataset!A332)</f>
        <v>CUST101389</v>
      </c>
      <c r="B332" s="7" t="str">
        <f aca="false">PROPER(TRIM(customer_churn_dataset!B332))</f>
        <v>Standard</v>
      </c>
      <c r="C332" s="7" t="str">
        <f aca="false">PROPER(TRIM(customer_churn_dataset!C332))</f>
        <v>Two Year</v>
      </c>
      <c r="D332" s="7" t="n">
        <f aca="false">IF(ISBLANK(customer_churn_dataset!D332),ROUND(MEDIAN(customer_churn_dataset!D$2:D$1501),2),IF(customer_churn_dataset!D332&lt;0,ABS(customer_churn_dataset!D332),customer_churn_dataset!D332))</f>
        <v>22.08</v>
      </c>
      <c r="E332" s="7" t="n">
        <f aca="false">IF(ISBLANK(customer_churn_dataset!E332),0,MAX(0,customer_churn_dataset!E332))</f>
        <v>17</v>
      </c>
      <c r="F332" s="8" t="n">
        <f aca="false">IF(ISBLANK(customer_churn_dataset!F332),"",customer_churn_dataset!F332)</f>
        <v>44285</v>
      </c>
      <c r="G332" s="7" t="str">
        <f aca="false">PROPER(TRIM(customer_churn_dataset!G332))</f>
        <v>Bank Transfer</v>
      </c>
      <c r="H332" s="7" t="n">
        <f aca="false">IF(ISBLANK(customer_churn_dataset!H332),0,customer_churn_dataset!H332)</f>
        <v>1</v>
      </c>
      <c r="I332" s="7" t="n">
        <f aca="false">IF(ISBLANK(customer_churn_dataset!I332),ROUND(MEDIAN(customer_churn_dataset!I$2:I$1501),1),MIN(100,MAX(0,customer_churn_dataset!I332)))</f>
        <v>58.4</v>
      </c>
      <c r="J332" s="7" t="n">
        <f aca="false">IF(ISBLANK(customer_churn_dataset!J332),0,MAX(0,customer_churn_dataset!J332))</f>
        <v>15</v>
      </c>
      <c r="K332" s="7" t="n">
        <f aca="false">IF(ISBLANK(customer_churn_dataset!K332),0,MIN(10,MAX(0,customer_churn_dataset!K332)))</f>
        <v>5</v>
      </c>
      <c r="L332" s="7" t="n">
        <f aca="false">IF(ISBLANK(customer_churn_dataset!L332),0,MAX(0,customer_churn_dataset!L332))</f>
        <v>1</v>
      </c>
      <c r="M332" s="7" t="n">
        <f aca="false">IF(ISBLANK(customer_churn_dataset!M332),0,customer_churn_dataset!M332)</f>
        <v>0</v>
      </c>
      <c r="N332" s="7" t="n">
        <f aca="false">IF(ISBLANK(customer_churn_dataset!N332),0,MAX(0,customer_churn_dataset!N332))</f>
        <v>375.36</v>
      </c>
      <c r="O332" s="7" t="n">
        <f aca="false">IF(ISBLANK(customer_churn_dataset!O332),0,customer_churn_dataset!O332)</f>
        <v>0</v>
      </c>
      <c r="P332" s="7" t="str">
        <f aca="false">IF(COUNTIF(customer_churn_dataset!$A$2:$A$1501,customer_churn_dataset!A332)&gt;1,"Duplicate","Unique")</f>
        <v>Unique</v>
      </c>
    </row>
    <row r="333" customFormat="false" ht="14.15" hidden="false" customHeight="true" outlineLevel="0" collapsed="false">
      <c r="A333" s="7" t="str">
        <f aca="false">TRIM(customer_churn_dataset!A333)</f>
        <v>CUST100115</v>
      </c>
      <c r="B333" s="7" t="str">
        <f aca="false">PROPER(TRIM(customer_churn_dataset!B333))</f>
        <v>Premium</v>
      </c>
      <c r="C333" s="7" t="str">
        <f aca="false">PROPER(TRIM(customer_churn_dataset!C333))</f>
        <v>One Year</v>
      </c>
      <c r="D333" s="7" t="n">
        <f aca="false">IF(ISBLANK(customer_churn_dataset!D333),ROUND(MEDIAN(customer_churn_dataset!D$2:D$1501),2),IF(customer_churn_dataset!D333&lt;0,ABS(customer_churn_dataset!D333),customer_churn_dataset!D333))</f>
        <v>40.13</v>
      </c>
      <c r="E333" s="7" t="n">
        <f aca="false">IF(ISBLANK(customer_churn_dataset!E333),0,MAX(0,customer_churn_dataset!E333))</f>
        <v>6</v>
      </c>
      <c r="F333" s="8" t="n">
        <f aca="false">IF(ISBLANK(customer_churn_dataset!F333),"",customer_churn_dataset!F333)</f>
        <v>44285</v>
      </c>
      <c r="G333" s="7" t="str">
        <f aca="false">PROPER(TRIM(customer_churn_dataset!G333))</f>
        <v>Paypal</v>
      </c>
      <c r="H333" s="7" t="n">
        <f aca="false">IF(ISBLANK(customer_churn_dataset!H333),0,customer_churn_dataset!H333)</f>
        <v>1</v>
      </c>
      <c r="I333" s="7" t="n">
        <f aca="false">IF(ISBLANK(customer_churn_dataset!I333),ROUND(MEDIAN(customer_churn_dataset!I$2:I$1501),1),MIN(100,MAX(0,customer_churn_dataset!I333)))</f>
        <v>69.3</v>
      </c>
      <c r="J333" s="7" t="n">
        <f aca="false">IF(ISBLANK(customer_churn_dataset!J333),0,MAX(0,customer_churn_dataset!J333))</f>
        <v>21</v>
      </c>
      <c r="K333" s="7" t="n">
        <f aca="false">IF(ISBLANK(customer_churn_dataset!K333),0,MIN(10,MAX(0,customer_churn_dataset!K333)))</f>
        <v>5</v>
      </c>
      <c r="L333" s="7" t="n">
        <f aca="false">IF(ISBLANK(customer_churn_dataset!L333),0,MAX(0,customer_churn_dataset!L333))</f>
        <v>3</v>
      </c>
      <c r="M333" s="7" t="n">
        <f aca="false">IF(ISBLANK(customer_churn_dataset!M333),0,customer_churn_dataset!M333)</f>
        <v>0</v>
      </c>
      <c r="N333" s="7" t="n">
        <f aca="false">IF(ISBLANK(customer_churn_dataset!N333),0,MAX(0,customer_churn_dataset!N333))</f>
        <v>240.78</v>
      </c>
      <c r="O333" s="7" t="n">
        <f aca="false">IF(ISBLANK(customer_churn_dataset!O333),0,customer_churn_dataset!O333)</f>
        <v>0</v>
      </c>
      <c r="P333" s="7" t="str">
        <f aca="false">IF(COUNTIF(customer_churn_dataset!$A$2:$A$1501,customer_churn_dataset!A333)&gt;1,"Duplicate","Unique")</f>
        <v>Unique</v>
      </c>
    </row>
    <row r="334" customFormat="false" ht="14.15" hidden="false" customHeight="true" outlineLevel="0" collapsed="false">
      <c r="A334" s="7" t="str">
        <f aca="false">TRIM(customer_churn_dataset!A334)</f>
        <v>CUST101446</v>
      </c>
      <c r="B334" s="7" t="str">
        <f aca="false">PROPER(TRIM(customer_churn_dataset!B334))</f>
        <v>Standard</v>
      </c>
      <c r="C334" s="7" t="str">
        <f aca="false">PROPER(TRIM(customer_churn_dataset!C334))</f>
        <v>Month-To-Month</v>
      </c>
      <c r="D334" s="7" t="n">
        <f aca="false">IF(ISBLANK(customer_churn_dataset!D334),ROUND(MEDIAN(customer_churn_dataset!D$2:D$1501),2),IF(customer_churn_dataset!D334&lt;0,ABS(customer_churn_dataset!D334),customer_churn_dataset!D334))</f>
        <v>19.39</v>
      </c>
      <c r="E334" s="7" t="n">
        <f aca="false">IF(ISBLANK(customer_churn_dataset!E334),0,MAX(0,customer_churn_dataset!E334))</f>
        <v>24</v>
      </c>
      <c r="F334" s="8" t="n">
        <f aca="false">IF(ISBLANK(customer_churn_dataset!F334),"",customer_churn_dataset!F334)</f>
        <v>44286</v>
      </c>
      <c r="G334" s="7" t="str">
        <f aca="false">PROPER(TRIM(customer_churn_dataset!G334))</f>
        <v>Credit Card</v>
      </c>
      <c r="H334" s="7" t="n">
        <f aca="false">IF(ISBLANK(customer_churn_dataset!H334),0,customer_churn_dataset!H334)</f>
        <v>1</v>
      </c>
      <c r="I334" s="7" t="n">
        <f aca="false">IF(ISBLANK(customer_churn_dataset!I334),ROUND(MEDIAN(customer_churn_dataset!I$2:I$1501),1),MIN(100,MAX(0,customer_churn_dataset!I334)))</f>
        <v>17.5</v>
      </c>
      <c r="J334" s="7" t="n">
        <f aca="false">IF(ISBLANK(customer_churn_dataset!J334),0,MAX(0,customer_churn_dataset!J334))</f>
        <v>4</v>
      </c>
      <c r="K334" s="7" t="n">
        <f aca="false">IF(ISBLANK(customer_churn_dataset!K334),0,MIN(10,MAX(0,customer_churn_dataset!K334)))</f>
        <v>5</v>
      </c>
      <c r="L334" s="7" t="n">
        <f aca="false">IF(ISBLANK(customer_churn_dataset!L334),0,MAX(0,customer_churn_dataset!L334))</f>
        <v>2</v>
      </c>
      <c r="M334" s="7" t="n">
        <f aca="false">IF(ISBLANK(customer_churn_dataset!M334),0,customer_churn_dataset!M334)</f>
        <v>0</v>
      </c>
      <c r="N334" s="7" t="n">
        <f aca="false">IF(ISBLANK(customer_churn_dataset!N334),0,MAX(0,customer_churn_dataset!N334))</f>
        <v>465.36</v>
      </c>
      <c r="O334" s="7" t="n">
        <f aca="false">IF(ISBLANK(customer_churn_dataset!O334),0,customer_churn_dataset!O334)</f>
        <v>0</v>
      </c>
      <c r="P334" s="7" t="str">
        <f aca="false">IF(COUNTIF(customer_churn_dataset!$A$2:$A$1501,customer_churn_dataset!A334)&gt;1,"Duplicate","Unique")</f>
        <v>Unique</v>
      </c>
    </row>
    <row r="335" customFormat="false" ht="14.15" hidden="false" customHeight="true" outlineLevel="0" collapsed="false">
      <c r="A335" s="7" t="str">
        <f aca="false">TRIM(customer_churn_dataset!A335)</f>
        <v>CUST101163</v>
      </c>
      <c r="B335" s="7" t="str">
        <f aca="false">PROPER(TRIM(customer_churn_dataset!B335))</f>
        <v>Standard</v>
      </c>
      <c r="C335" s="7" t="str">
        <f aca="false">PROPER(TRIM(customer_churn_dataset!C335))</f>
        <v>Month-To-Month</v>
      </c>
      <c r="D335" s="7" t="n">
        <f aca="false">IF(ISBLANK(customer_churn_dataset!D335),ROUND(MEDIAN(customer_churn_dataset!D$2:D$1501),2),IF(customer_churn_dataset!D335&lt;0,ABS(customer_churn_dataset!D335),customer_churn_dataset!D335))</f>
        <v>21.66</v>
      </c>
      <c r="E335" s="7" t="n">
        <f aca="false">IF(ISBLANK(customer_churn_dataset!E335),0,MAX(0,customer_churn_dataset!E335))</f>
        <v>2</v>
      </c>
      <c r="F335" s="8" t="n">
        <f aca="false">IF(ISBLANK(customer_churn_dataset!F335),"",customer_churn_dataset!F335)</f>
        <v>44287</v>
      </c>
      <c r="G335" s="7" t="str">
        <f aca="false">PROPER(TRIM(customer_churn_dataset!G335))</f>
        <v>Credit Card</v>
      </c>
      <c r="H335" s="7" t="n">
        <f aca="false">IF(ISBLANK(customer_churn_dataset!H335),0,customer_churn_dataset!H335)</f>
        <v>1</v>
      </c>
      <c r="I335" s="7" t="n">
        <f aca="false">IF(ISBLANK(customer_churn_dataset!I335),ROUND(MEDIAN(customer_churn_dataset!I$2:I$1501),1),MIN(100,MAX(0,customer_churn_dataset!I335)))</f>
        <v>43.9</v>
      </c>
      <c r="J335" s="7" t="n">
        <f aca="false">IF(ISBLANK(customer_churn_dataset!J335),0,MAX(0,customer_churn_dataset!J335))</f>
        <v>7</v>
      </c>
      <c r="K335" s="7" t="n">
        <f aca="false">IF(ISBLANK(customer_churn_dataset!K335),0,MIN(10,MAX(0,customer_churn_dataset!K335)))</f>
        <v>3</v>
      </c>
      <c r="L335" s="7" t="n">
        <f aca="false">IF(ISBLANK(customer_churn_dataset!L335),0,MAX(0,customer_churn_dataset!L335))</f>
        <v>2</v>
      </c>
      <c r="M335" s="7" t="n">
        <f aca="false">IF(ISBLANK(customer_churn_dataset!M335),0,customer_churn_dataset!M335)</f>
        <v>0</v>
      </c>
      <c r="N335" s="7" t="n">
        <f aca="false">IF(ISBLANK(customer_churn_dataset!N335),0,MAX(0,customer_churn_dataset!N335))</f>
        <v>43.32</v>
      </c>
      <c r="O335" s="7" t="n">
        <f aca="false">IF(ISBLANK(customer_churn_dataset!O335),0,customer_churn_dataset!O335)</f>
        <v>0</v>
      </c>
      <c r="P335" s="7" t="str">
        <f aca="false">IF(COUNTIF(customer_churn_dataset!$A$2:$A$1501,customer_churn_dataset!A335)&gt;1,"Duplicate","Unique")</f>
        <v>Unique</v>
      </c>
    </row>
    <row r="336" customFormat="false" ht="14.15" hidden="false" customHeight="true" outlineLevel="0" collapsed="false">
      <c r="A336" s="7" t="str">
        <f aca="false">TRIM(customer_churn_dataset!A336)</f>
        <v>CUST101364</v>
      </c>
      <c r="B336" s="7" t="str">
        <f aca="false">PROPER(TRIM(customer_churn_dataset!B336))</f>
        <v>Standard</v>
      </c>
      <c r="C336" s="7" t="str">
        <f aca="false">PROPER(TRIM(customer_churn_dataset!C336))</f>
        <v>Month-To-Month</v>
      </c>
      <c r="D336" s="7" t="n">
        <f aca="false">IF(ISBLANK(customer_churn_dataset!D336),ROUND(MEDIAN(customer_churn_dataset!D$2:D$1501),2),IF(customer_churn_dataset!D336&lt;0,ABS(customer_churn_dataset!D336),customer_churn_dataset!D336))</f>
        <v>20.91</v>
      </c>
      <c r="E336" s="7" t="n">
        <f aca="false">IF(ISBLANK(customer_churn_dataset!E336),0,MAX(0,customer_churn_dataset!E336))</f>
        <v>19</v>
      </c>
      <c r="F336" s="8" t="n">
        <f aca="false">IF(ISBLANK(customer_churn_dataset!F336),"",customer_churn_dataset!F336)</f>
        <v>44289</v>
      </c>
      <c r="G336" s="7" t="str">
        <f aca="false">PROPER(TRIM(customer_churn_dataset!G336))</f>
        <v>Paypal</v>
      </c>
      <c r="H336" s="7" t="n">
        <f aca="false">IF(ISBLANK(customer_churn_dataset!H336),0,customer_churn_dataset!H336)</f>
        <v>0</v>
      </c>
      <c r="I336" s="7" t="n">
        <f aca="false">IF(ISBLANK(customer_churn_dataset!I336),ROUND(MEDIAN(customer_churn_dataset!I$2:I$1501),1),MIN(100,MAX(0,customer_churn_dataset!I336)))</f>
        <v>62.3</v>
      </c>
      <c r="J336" s="7" t="n">
        <f aca="false">IF(ISBLANK(customer_churn_dataset!J336),0,MAX(0,customer_churn_dataset!J336))</f>
        <v>21</v>
      </c>
      <c r="K336" s="7" t="n">
        <f aca="false">IF(ISBLANK(customer_churn_dataset!K336),0,MIN(10,MAX(0,customer_churn_dataset!K336)))</f>
        <v>10</v>
      </c>
      <c r="L336" s="7" t="n">
        <f aca="false">IF(ISBLANK(customer_churn_dataset!L336),0,MAX(0,customer_churn_dataset!L336))</f>
        <v>2</v>
      </c>
      <c r="M336" s="7" t="n">
        <f aca="false">IF(ISBLANK(customer_churn_dataset!M336),0,customer_churn_dataset!M336)</f>
        <v>0</v>
      </c>
      <c r="N336" s="7" t="n">
        <f aca="false">IF(ISBLANK(customer_churn_dataset!N336),0,MAX(0,customer_churn_dataset!N336))</f>
        <v>397.29</v>
      </c>
      <c r="O336" s="7" t="n">
        <f aca="false">IF(ISBLANK(customer_churn_dataset!O336),0,customer_churn_dataset!O336)</f>
        <v>0</v>
      </c>
      <c r="P336" s="7" t="str">
        <f aca="false">IF(COUNTIF(customer_churn_dataset!$A$2:$A$1501,customer_churn_dataset!A336)&gt;1,"Duplicate","Unique")</f>
        <v>Unique</v>
      </c>
    </row>
    <row r="337" customFormat="false" ht="14.15" hidden="false" customHeight="true" outlineLevel="0" collapsed="false">
      <c r="A337" s="7" t="str">
        <f aca="false">TRIM(customer_churn_dataset!A337)</f>
        <v>CUST101083</v>
      </c>
      <c r="B337" s="7" t="str">
        <f aca="false">PROPER(TRIM(customer_churn_dataset!B337))</f>
        <v>Premium</v>
      </c>
      <c r="C337" s="7" t="str">
        <f aca="false">PROPER(TRIM(customer_churn_dataset!C337))</f>
        <v>One Year</v>
      </c>
      <c r="D337" s="7" t="n">
        <f aca="false">IF(ISBLANK(customer_churn_dataset!D337),ROUND(MEDIAN(customer_churn_dataset!D$2:D$1501),2),IF(customer_churn_dataset!D337&lt;0,ABS(customer_churn_dataset!D337),customer_churn_dataset!D337))</f>
        <v>38.43</v>
      </c>
      <c r="E337" s="7" t="n">
        <f aca="false">IF(ISBLANK(customer_churn_dataset!E337),0,MAX(0,customer_churn_dataset!E337))</f>
        <v>38</v>
      </c>
      <c r="F337" s="8" t="n">
        <f aca="false">IF(ISBLANK(customer_churn_dataset!F337),"",customer_churn_dataset!F337)</f>
        <v>44290</v>
      </c>
      <c r="G337" s="7" t="str">
        <f aca="false">PROPER(TRIM(customer_churn_dataset!G337))</f>
        <v>Credit Card</v>
      </c>
      <c r="H337" s="7" t="n">
        <f aca="false">IF(ISBLANK(customer_churn_dataset!H337),0,customer_churn_dataset!H337)</f>
        <v>0</v>
      </c>
      <c r="I337" s="7" t="n">
        <f aca="false">IF(ISBLANK(customer_churn_dataset!I337),ROUND(MEDIAN(customer_churn_dataset!I$2:I$1501),1),MIN(100,MAX(0,customer_churn_dataset!I337)))</f>
        <v>54.2</v>
      </c>
      <c r="J337" s="7" t="n">
        <f aca="false">IF(ISBLANK(customer_churn_dataset!J337),0,MAX(0,customer_churn_dataset!J337))</f>
        <v>12</v>
      </c>
      <c r="K337" s="7" t="n">
        <f aca="false">IF(ISBLANK(customer_churn_dataset!K337),0,MIN(10,MAX(0,customer_churn_dataset!K337)))</f>
        <v>6</v>
      </c>
      <c r="L337" s="7" t="n">
        <f aca="false">IF(ISBLANK(customer_churn_dataset!L337),0,MAX(0,customer_churn_dataset!L337))</f>
        <v>0</v>
      </c>
      <c r="M337" s="7" t="n">
        <f aca="false">IF(ISBLANK(customer_churn_dataset!M337),0,customer_churn_dataset!M337)</f>
        <v>0</v>
      </c>
      <c r="N337" s="7" t="n">
        <f aca="false">IF(ISBLANK(customer_churn_dataset!N337),0,MAX(0,customer_churn_dataset!N337))</f>
        <v>1460.34</v>
      </c>
      <c r="O337" s="7" t="n">
        <f aca="false">IF(ISBLANK(customer_churn_dataset!O337),0,customer_churn_dataset!O337)</f>
        <v>0</v>
      </c>
      <c r="P337" s="7" t="str">
        <f aca="false">IF(COUNTIF(customer_churn_dataset!$A$2:$A$1501,customer_churn_dataset!A337)&gt;1,"Duplicate","Unique")</f>
        <v>Unique</v>
      </c>
    </row>
    <row r="338" customFormat="false" ht="14.15" hidden="false" customHeight="true" outlineLevel="0" collapsed="false">
      <c r="A338" s="7" t="str">
        <f aca="false">TRIM(customer_churn_dataset!A338)</f>
        <v>CUST100574</v>
      </c>
      <c r="B338" s="7" t="str">
        <f aca="false">PROPER(TRIM(customer_churn_dataset!B338))</f>
        <v>Premium</v>
      </c>
      <c r="C338" s="7" t="str">
        <f aca="false">PROPER(TRIM(customer_churn_dataset!C338))</f>
        <v>One Year</v>
      </c>
      <c r="D338" s="7" t="n">
        <f aca="false">IF(ISBLANK(customer_churn_dataset!D338),ROUND(MEDIAN(customer_churn_dataset!D$2:D$1501),2),IF(customer_churn_dataset!D338&lt;0,ABS(customer_churn_dataset!D338),customer_churn_dataset!D338))</f>
        <v>40.79</v>
      </c>
      <c r="E338" s="7" t="n">
        <f aca="false">IF(ISBLANK(customer_churn_dataset!E338),0,MAX(0,customer_churn_dataset!E338))</f>
        <v>13</v>
      </c>
      <c r="F338" s="8" t="n">
        <f aca="false">IF(ISBLANK(customer_churn_dataset!F338),"",customer_churn_dataset!F338)</f>
        <v>44291</v>
      </c>
      <c r="G338" s="7" t="str">
        <f aca="false">PROPER(TRIM(customer_churn_dataset!G338))</f>
        <v>Bank Transfer</v>
      </c>
      <c r="H338" s="7" t="n">
        <f aca="false">IF(ISBLANK(customer_churn_dataset!H338),0,customer_churn_dataset!H338)</f>
        <v>1</v>
      </c>
      <c r="I338" s="7" t="n">
        <f aca="false">IF(ISBLANK(customer_churn_dataset!I338),ROUND(MEDIAN(customer_churn_dataset!I$2:I$1501),1),MIN(100,MAX(0,customer_churn_dataset!I338)))</f>
        <v>33.1</v>
      </c>
      <c r="J338" s="7" t="n">
        <f aca="false">IF(ISBLANK(customer_churn_dataset!J338),0,MAX(0,customer_churn_dataset!J338))</f>
        <v>5</v>
      </c>
      <c r="K338" s="7" t="n">
        <f aca="false">IF(ISBLANK(customer_churn_dataset!K338),0,MIN(10,MAX(0,customer_churn_dataset!K338)))</f>
        <v>3</v>
      </c>
      <c r="L338" s="7" t="n">
        <f aca="false">IF(ISBLANK(customer_churn_dataset!L338),0,MAX(0,customer_churn_dataset!L338))</f>
        <v>1</v>
      </c>
      <c r="M338" s="7" t="n">
        <f aca="false">IF(ISBLANK(customer_churn_dataset!M338),0,customer_churn_dataset!M338)</f>
        <v>1</v>
      </c>
      <c r="N338" s="7" t="n">
        <f aca="false">IF(ISBLANK(customer_churn_dataset!N338),0,MAX(0,customer_churn_dataset!N338))</f>
        <v>530.27</v>
      </c>
      <c r="O338" s="7" t="n">
        <f aca="false">IF(ISBLANK(customer_churn_dataset!O338),0,customer_churn_dataset!O338)</f>
        <v>0</v>
      </c>
      <c r="P338" s="7" t="str">
        <f aca="false">IF(COUNTIF(customer_churn_dataset!$A$2:$A$1501,customer_churn_dataset!A338)&gt;1,"Duplicate","Unique")</f>
        <v>Unique</v>
      </c>
    </row>
    <row r="339" customFormat="false" ht="14.15" hidden="false" customHeight="true" outlineLevel="0" collapsed="false">
      <c r="A339" s="7" t="str">
        <f aca="false">TRIM(customer_churn_dataset!A339)</f>
        <v>CUST101445</v>
      </c>
      <c r="B339" s="7" t="str">
        <f aca="false">PROPER(TRIM(customer_churn_dataset!B339))</f>
        <v>Basic</v>
      </c>
      <c r="C339" s="7" t="str">
        <f aca="false">PROPER(TRIM(customer_churn_dataset!C339))</f>
        <v>Two Year</v>
      </c>
      <c r="D339" s="7" t="n">
        <f aca="false">IF(ISBLANK(customer_churn_dataset!D339),ROUND(MEDIAN(customer_churn_dataset!D$2:D$1501),2),IF(customer_churn_dataset!D339&lt;0,ABS(customer_churn_dataset!D339),customer_churn_dataset!D339))</f>
        <v>9.81</v>
      </c>
      <c r="E339" s="7" t="n">
        <f aca="false">IF(ISBLANK(customer_churn_dataset!E339),0,MAX(0,customer_churn_dataset!E339))</f>
        <v>16</v>
      </c>
      <c r="F339" s="8" t="n">
        <f aca="false">IF(ISBLANK(customer_churn_dataset!F339),"",customer_churn_dataset!F339)</f>
        <v>44292</v>
      </c>
      <c r="G339" s="7" t="str">
        <f aca="false">PROPER(TRIM(customer_churn_dataset!G339))</f>
        <v>Credit Card</v>
      </c>
      <c r="H339" s="7" t="n">
        <f aca="false">IF(ISBLANK(customer_churn_dataset!H339),0,customer_churn_dataset!H339)</f>
        <v>1</v>
      </c>
      <c r="I339" s="7" t="n">
        <f aca="false">IF(ISBLANK(customer_churn_dataset!I339),ROUND(MEDIAN(customer_churn_dataset!I$2:I$1501),1),MIN(100,MAX(0,customer_churn_dataset!I339)))</f>
        <v>43.9</v>
      </c>
      <c r="J339" s="7" t="n">
        <f aca="false">IF(ISBLANK(customer_churn_dataset!J339),0,MAX(0,customer_churn_dataset!J339))</f>
        <v>6</v>
      </c>
      <c r="K339" s="7" t="n">
        <f aca="false">IF(ISBLANK(customer_churn_dataset!K339),0,MIN(10,MAX(0,customer_churn_dataset!K339)))</f>
        <v>5</v>
      </c>
      <c r="L339" s="7" t="n">
        <f aca="false">IF(ISBLANK(customer_churn_dataset!L339),0,MAX(0,customer_churn_dataset!L339))</f>
        <v>1</v>
      </c>
      <c r="M339" s="7" t="n">
        <f aca="false">IF(ISBLANK(customer_churn_dataset!M339),0,customer_churn_dataset!M339)</f>
        <v>1</v>
      </c>
      <c r="N339" s="7" t="n">
        <f aca="false">IF(ISBLANK(customer_churn_dataset!N339),0,MAX(0,customer_churn_dataset!N339))</f>
        <v>156.96</v>
      </c>
      <c r="O339" s="7" t="n">
        <f aca="false">IF(ISBLANK(customer_churn_dataset!O339),0,customer_churn_dataset!O339)</f>
        <v>0</v>
      </c>
      <c r="P339" s="7" t="str">
        <f aca="false">IF(COUNTIF(customer_churn_dataset!$A$2:$A$1501,customer_churn_dataset!A339)&gt;1,"Duplicate","Unique")</f>
        <v>Unique</v>
      </c>
    </row>
    <row r="340" customFormat="false" ht="14.15" hidden="false" customHeight="true" outlineLevel="0" collapsed="false">
      <c r="A340" s="7" t="str">
        <f aca="false">TRIM(customer_churn_dataset!A340)</f>
        <v>CUST100678</v>
      </c>
      <c r="B340" s="7" t="str">
        <f aca="false">PROPER(TRIM(customer_churn_dataset!B340))</f>
        <v>Premium</v>
      </c>
      <c r="C340" s="7" t="str">
        <f aca="false">PROPER(TRIM(customer_churn_dataset!C340))</f>
        <v>Month-To-Month</v>
      </c>
      <c r="D340" s="7" t="n">
        <f aca="false">IF(ISBLANK(customer_churn_dataset!D340),ROUND(MEDIAN(customer_churn_dataset!D$2:D$1501),2),IF(customer_churn_dataset!D340&lt;0,ABS(customer_churn_dataset!D340),customer_churn_dataset!D340))</f>
        <v>39.96</v>
      </c>
      <c r="E340" s="7" t="n">
        <f aca="false">IF(ISBLANK(customer_churn_dataset!E340),0,MAX(0,customer_churn_dataset!E340))</f>
        <v>21</v>
      </c>
      <c r="F340" s="8" t="n">
        <f aca="false">IF(ISBLANK(customer_churn_dataset!F340),"",customer_churn_dataset!F340)</f>
        <v>44292</v>
      </c>
      <c r="G340" s="7" t="str">
        <f aca="false">PROPER(TRIM(customer_churn_dataset!G340))</f>
        <v>Manual/Invoice</v>
      </c>
      <c r="H340" s="7" t="n">
        <f aca="false">IF(ISBLANK(customer_churn_dataset!H340),0,customer_churn_dataset!H340)</f>
        <v>1</v>
      </c>
      <c r="I340" s="7" t="n">
        <f aca="false">IF(ISBLANK(customer_churn_dataset!I340),ROUND(MEDIAN(customer_churn_dataset!I$2:I$1501),1),MIN(100,MAX(0,customer_churn_dataset!I340)))</f>
        <v>49</v>
      </c>
      <c r="J340" s="7" t="n">
        <f aca="false">IF(ISBLANK(customer_churn_dataset!J340),0,MAX(0,customer_churn_dataset!J340))</f>
        <v>18</v>
      </c>
      <c r="K340" s="7" t="n">
        <f aca="false">IF(ISBLANK(customer_churn_dataset!K340),0,MIN(10,MAX(0,customer_churn_dataset!K340)))</f>
        <v>3</v>
      </c>
      <c r="L340" s="7" t="n">
        <f aca="false">IF(ISBLANK(customer_churn_dataset!L340),0,MAX(0,customer_churn_dataset!L340))</f>
        <v>1</v>
      </c>
      <c r="M340" s="7" t="n">
        <f aca="false">IF(ISBLANK(customer_churn_dataset!M340),0,customer_churn_dataset!M340)</f>
        <v>0</v>
      </c>
      <c r="N340" s="7" t="n">
        <f aca="false">IF(ISBLANK(customer_churn_dataset!N340),0,MAX(0,customer_churn_dataset!N340))</f>
        <v>839.16</v>
      </c>
      <c r="O340" s="7" t="n">
        <f aca="false">IF(ISBLANK(customer_churn_dataset!O340),0,customer_churn_dataset!O340)</f>
        <v>0</v>
      </c>
      <c r="P340" s="7" t="str">
        <f aca="false">IF(COUNTIF(customer_churn_dataset!$A$2:$A$1501,customer_churn_dataset!A340)&gt;1,"Duplicate","Unique")</f>
        <v>Unique</v>
      </c>
    </row>
    <row r="341" customFormat="false" ht="14.15" hidden="false" customHeight="true" outlineLevel="0" collapsed="false">
      <c r="A341" s="7" t="str">
        <f aca="false">TRIM(customer_churn_dataset!A341)</f>
        <v>CUST100577</v>
      </c>
      <c r="B341" s="7" t="str">
        <f aca="false">PROPER(TRIM(customer_churn_dataset!B341))</f>
        <v>Premium</v>
      </c>
      <c r="C341" s="7" t="str">
        <f aca="false">PROPER(TRIM(customer_churn_dataset!C341))</f>
        <v>Month-To-Month</v>
      </c>
      <c r="D341" s="7" t="n">
        <f aca="false">IF(ISBLANK(customer_churn_dataset!D341),ROUND(MEDIAN(customer_churn_dataset!D$2:D$1501),2),IF(customer_churn_dataset!D341&lt;0,ABS(customer_churn_dataset!D341),customer_churn_dataset!D341))</f>
        <v>38.92</v>
      </c>
      <c r="E341" s="7" t="n">
        <f aca="false">IF(ISBLANK(customer_churn_dataset!E341),0,MAX(0,customer_churn_dataset!E341))</f>
        <v>67</v>
      </c>
      <c r="F341" s="8" t="n">
        <f aca="false">IF(ISBLANK(customer_churn_dataset!F341),"",customer_churn_dataset!F341)</f>
        <v>44293</v>
      </c>
      <c r="G341" s="7" t="str">
        <f aca="false">PROPER(TRIM(customer_churn_dataset!G341))</f>
        <v>Credit Card</v>
      </c>
      <c r="H341" s="7" t="n">
        <f aca="false">IF(ISBLANK(customer_churn_dataset!H341),0,customer_churn_dataset!H341)</f>
        <v>1</v>
      </c>
      <c r="I341" s="7" t="n">
        <f aca="false">IF(ISBLANK(customer_churn_dataset!I341),ROUND(MEDIAN(customer_churn_dataset!I$2:I$1501),1),MIN(100,MAX(0,customer_churn_dataset!I341)))</f>
        <v>61.5</v>
      </c>
      <c r="J341" s="7" t="n">
        <f aca="false">IF(ISBLANK(customer_churn_dataset!J341),0,MAX(0,customer_churn_dataset!J341))</f>
        <v>22</v>
      </c>
      <c r="K341" s="7" t="n">
        <f aca="false">IF(ISBLANK(customer_churn_dataset!K341),0,MIN(10,MAX(0,customer_churn_dataset!K341)))</f>
        <v>6</v>
      </c>
      <c r="L341" s="7" t="n">
        <f aca="false">IF(ISBLANK(customer_churn_dataset!L341),0,MAX(0,customer_churn_dataset!L341))</f>
        <v>2</v>
      </c>
      <c r="M341" s="7" t="n">
        <f aca="false">IF(ISBLANK(customer_churn_dataset!M341),0,customer_churn_dataset!M341)</f>
        <v>0</v>
      </c>
      <c r="N341" s="7" t="n">
        <f aca="false">IF(ISBLANK(customer_churn_dataset!N341),0,MAX(0,customer_churn_dataset!N341))</f>
        <v>2607.64</v>
      </c>
      <c r="O341" s="7" t="n">
        <f aca="false">IF(ISBLANK(customer_churn_dataset!O341),0,customer_churn_dataset!O341)</f>
        <v>1</v>
      </c>
      <c r="P341" s="7" t="str">
        <f aca="false">IF(COUNTIF(customer_churn_dataset!$A$2:$A$1501,customer_churn_dataset!A341)&gt;1,"Duplicate","Unique")</f>
        <v>Unique</v>
      </c>
    </row>
    <row r="342" customFormat="false" ht="14.15" hidden="false" customHeight="true" outlineLevel="0" collapsed="false">
      <c r="A342" s="7" t="str">
        <f aca="false">TRIM(customer_churn_dataset!A342)</f>
        <v>CUST100195</v>
      </c>
      <c r="B342" s="7" t="str">
        <f aca="false">PROPER(TRIM(customer_churn_dataset!B342))</f>
        <v>Basic</v>
      </c>
      <c r="C342" s="7" t="str">
        <f aca="false">PROPER(TRIM(customer_churn_dataset!C342))</f>
        <v>One Year</v>
      </c>
      <c r="D342" s="7" t="n">
        <f aca="false">IF(ISBLANK(customer_churn_dataset!D342),ROUND(MEDIAN(customer_churn_dataset!D$2:D$1501),2),IF(customer_churn_dataset!D342&lt;0,ABS(customer_churn_dataset!D342),customer_churn_dataset!D342))</f>
        <v>7.4</v>
      </c>
      <c r="E342" s="7" t="n">
        <f aca="false">IF(ISBLANK(customer_churn_dataset!E342),0,MAX(0,customer_churn_dataset!E342))</f>
        <v>56</v>
      </c>
      <c r="F342" s="8" t="n">
        <f aca="false">IF(ISBLANK(customer_churn_dataset!F342),"",customer_churn_dataset!F342)</f>
        <v>44293</v>
      </c>
      <c r="G342" s="7" t="str">
        <f aca="false">PROPER(TRIM(customer_churn_dataset!G342))</f>
        <v>Credit Card</v>
      </c>
      <c r="H342" s="7" t="n">
        <f aca="false">IF(ISBLANK(customer_churn_dataset!H342),0,customer_churn_dataset!H342)</f>
        <v>1</v>
      </c>
      <c r="I342" s="7" t="n">
        <f aca="false">IF(ISBLANK(customer_churn_dataset!I342),ROUND(MEDIAN(customer_churn_dataset!I$2:I$1501),1),MIN(100,MAX(0,customer_churn_dataset!I342)))</f>
        <v>71.2</v>
      </c>
      <c r="J342" s="7" t="n">
        <f aca="false">IF(ISBLANK(customer_churn_dataset!J342),0,MAX(0,customer_churn_dataset!J342))</f>
        <v>19</v>
      </c>
      <c r="K342" s="7" t="n">
        <f aca="false">IF(ISBLANK(customer_churn_dataset!K342),0,MIN(10,MAX(0,customer_churn_dataset!K342)))</f>
        <v>8</v>
      </c>
      <c r="L342" s="7" t="n">
        <f aca="false">IF(ISBLANK(customer_churn_dataset!L342),0,MAX(0,customer_churn_dataset!L342))</f>
        <v>0</v>
      </c>
      <c r="M342" s="7" t="n">
        <f aca="false">IF(ISBLANK(customer_churn_dataset!M342),0,customer_churn_dataset!M342)</f>
        <v>0</v>
      </c>
      <c r="N342" s="7" t="n">
        <f aca="false">IF(ISBLANK(customer_churn_dataset!N342),0,MAX(0,customer_churn_dataset!N342))</f>
        <v>414.4</v>
      </c>
      <c r="O342" s="7" t="n">
        <f aca="false">IF(ISBLANK(customer_churn_dataset!O342),0,customer_churn_dataset!O342)</f>
        <v>0</v>
      </c>
      <c r="P342" s="7" t="str">
        <f aca="false">IF(COUNTIF(customer_churn_dataset!$A$2:$A$1501,customer_churn_dataset!A342)&gt;1,"Duplicate","Unique")</f>
        <v>Unique</v>
      </c>
    </row>
    <row r="343" customFormat="false" ht="14.15" hidden="false" customHeight="true" outlineLevel="0" collapsed="false">
      <c r="A343" s="7" t="str">
        <f aca="false">TRIM(customer_churn_dataset!A343)</f>
        <v>CUST100440</v>
      </c>
      <c r="B343" s="7" t="str">
        <f aca="false">PROPER(TRIM(customer_churn_dataset!B343))</f>
        <v>Basic</v>
      </c>
      <c r="C343" s="7" t="str">
        <f aca="false">PROPER(TRIM(customer_churn_dataset!C343))</f>
        <v>Month-To-Month</v>
      </c>
      <c r="D343" s="7" t="n">
        <f aca="false">IF(ISBLANK(customer_churn_dataset!D343),ROUND(MEDIAN(customer_churn_dataset!D$2:D$1501),2),IF(customer_churn_dataset!D343&lt;0,ABS(customer_churn_dataset!D343),customer_churn_dataset!D343))</f>
        <v>9.81</v>
      </c>
      <c r="E343" s="7" t="n">
        <f aca="false">IF(ISBLANK(customer_churn_dataset!E343),0,MAX(0,customer_churn_dataset!E343))</f>
        <v>14</v>
      </c>
      <c r="F343" s="8" t="n">
        <f aca="false">IF(ISBLANK(customer_churn_dataset!F343),"",customer_churn_dataset!F343)</f>
        <v>44296</v>
      </c>
      <c r="G343" s="7" t="str">
        <f aca="false">PROPER(TRIM(customer_churn_dataset!G343))</f>
        <v>Bank Transfer</v>
      </c>
      <c r="H343" s="7" t="n">
        <f aca="false">IF(ISBLANK(customer_churn_dataset!H343),0,customer_churn_dataset!H343)</f>
        <v>1</v>
      </c>
      <c r="I343" s="7" t="n">
        <f aca="false">IF(ISBLANK(customer_churn_dataset!I343),ROUND(MEDIAN(customer_churn_dataset!I$2:I$1501),1),MIN(100,MAX(0,customer_churn_dataset!I343)))</f>
        <v>33</v>
      </c>
      <c r="J343" s="7" t="n">
        <f aca="false">IF(ISBLANK(customer_churn_dataset!J343),0,MAX(0,customer_churn_dataset!J343))</f>
        <v>7</v>
      </c>
      <c r="K343" s="7" t="n">
        <f aca="false">IF(ISBLANK(customer_churn_dataset!K343),0,MIN(10,MAX(0,customer_churn_dataset!K343)))</f>
        <v>1</v>
      </c>
      <c r="L343" s="7" t="n">
        <f aca="false">IF(ISBLANK(customer_churn_dataset!L343),0,MAX(0,customer_churn_dataset!L343))</f>
        <v>0</v>
      </c>
      <c r="M343" s="7" t="n">
        <f aca="false">IF(ISBLANK(customer_churn_dataset!M343),0,customer_churn_dataset!M343)</f>
        <v>0</v>
      </c>
      <c r="N343" s="7" t="n">
        <f aca="false">IF(ISBLANK(customer_churn_dataset!N343),0,MAX(0,customer_churn_dataset!N343))</f>
        <v>137.34</v>
      </c>
      <c r="O343" s="7" t="n">
        <f aca="false">IF(ISBLANK(customer_churn_dataset!O343),0,customer_churn_dataset!O343)</f>
        <v>1</v>
      </c>
      <c r="P343" s="7" t="str">
        <f aca="false">IF(COUNTIF(customer_churn_dataset!$A$2:$A$1501,customer_churn_dataset!A343)&gt;1,"Duplicate","Unique")</f>
        <v>Unique</v>
      </c>
    </row>
    <row r="344" customFormat="false" ht="14.15" hidden="false" customHeight="true" outlineLevel="0" collapsed="false">
      <c r="A344" s="7" t="str">
        <f aca="false">TRIM(customer_churn_dataset!A344)</f>
        <v>CUST100957</v>
      </c>
      <c r="B344" s="7" t="str">
        <f aca="false">PROPER(TRIM(customer_churn_dataset!B344))</f>
        <v>Basic</v>
      </c>
      <c r="C344" s="7" t="str">
        <f aca="false">PROPER(TRIM(customer_churn_dataset!C344))</f>
        <v>Month-To-Month</v>
      </c>
      <c r="D344" s="7" t="n">
        <f aca="false">IF(ISBLANK(customer_churn_dataset!D344),ROUND(MEDIAN(customer_churn_dataset!D$2:D$1501),2),IF(customer_churn_dataset!D344&lt;0,ABS(customer_churn_dataset!D344),customer_churn_dataset!D344))</f>
        <v>9</v>
      </c>
      <c r="E344" s="7" t="n">
        <f aca="false">IF(ISBLANK(customer_churn_dataset!E344),0,MAX(0,customer_churn_dataset!E344))</f>
        <v>28</v>
      </c>
      <c r="F344" s="8" t="n">
        <f aca="false">IF(ISBLANK(customer_churn_dataset!F344),"",customer_churn_dataset!F344)</f>
        <v>44297</v>
      </c>
      <c r="G344" s="7" t="str">
        <f aca="false">PROPER(TRIM(customer_churn_dataset!G344))</f>
        <v>Bank Transfer</v>
      </c>
      <c r="H344" s="7" t="n">
        <f aca="false">IF(ISBLANK(customer_churn_dataset!H344),0,customer_churn_dataset!H344)</f>
        <v>1</v>
      </c>
      <c r="I344" s="7" t="n">
        <f aca="false">IF(ISBLANK(customer_churn_dataset!I344),ROUND(MEDIAN(customer_churn_dataset!I$2:I$1501),1),MIN(100,MAX(0,customer_churn_dataset!I344)))</f>
        <v>39.5</v>
      </c>
      <c r="J344" s="7" t="n">
        <f aca="false">IF(ISBLANK(customer_churn_dataset!J344),0,MAX(0,customer_churn_dataset!J344))</f>
        <v>18</v>
      </c>
      <c r="K344" s="7" t="n">
        <f aca="false">IF(ISBLANK(customer_churn_dataset!K344),0,MIN(10,MAX(0,customer_churn_dataset!K344)))</f>
        <v>3</v>
      </c>
      <c r="L344" s="7" t="n">
        <f aca="false">IF(ISBLANK(customer_churn_dataset!L344),0,MAX(0,customer_churn_dataset!L344))</f>
        <v>1</v>
      </c>
      <c r="M344" s="7" t="n">
        <f aca="false">IF(ISBLANK(customer_churn_dataset!M344),0,customer_churn_dataset!M344)</f>
        <v>1</v>
      </c>
      <c r="N344" s="7" t="n">
        <f aca="false">IF(ISBLANK(customer_churn_dataset!N344),0,MAX(0,customer_churn_dataset!N344))</f>
        <v>252</v>
      </c>
      <c r="O344" s="7" t="n">
        <f aca="false">IF(ISBLANK(customer_churn_dataset!O344),0,customer_churn_dataset!O344)</f>
        <v>1</v>
      </c>
      <c r="P344" s="7" t="str">
        <f aca="false">IF(COUNTIF(customer_churn_dataset!$A$2:$A$1501,customer_churn_dataset!A344)&gt;1,"Duplicate","Unique")</f>
        <v>Unique</v>
      </c>
    </row>
    <row r="345" customFormat="false" ht="14.15" hidden="false" customHeight="true" outlineLevel="0" collapsed="false">
      <c r="A345" s="7" t="str">
        <f aca="false">TRIM(customer_churn_dataset!A345)</f>
        <v>CUST101061</v>
      </c>
      <c r="B345" s="7" t="str">
        <f aca="false">PROPER(TRIM(customer_churn_dataset!B345))</f>
        <v>Premium</v>
      </c>
      <c r="C345" s="7" t="str">
        <f aca="false">PROPER(TRIM(customer_churn_dataset!C345))</f>
        <v>Month-To-Month</v>
      </c>
      <c r="D345" s="7" t="n">
        <f aca="false">IF(ISBLANK(customer_churn_dataset!D345),ROUND(MEDIAN(customer_churn_dataset!D$2:D$1501),2),IF(customer_churn_dataset!D345&lt;0,ABS(customer_churn_dataset!D345),customer_churn_dataset!D345))</f>
        <v>39.34</v>
      </c>
      <c r="E345" s="7" t="n">
        <f aca="false">IF(ISBLANK(customer_churn_dataset!E345),0,MAX(0,customer_churn_dataset!E345))</f>
        <v>24</v>
      </c>
      <c r="F345" s="8" t="n">
        <f aca="false">IF(ISBLANK(customer_churn_dataset!F345),"",customer_churn_dataset!F345)</f>
        <v>44300</v>
      </c>
      <c r="G345" s="7" t="str">
        <f aca="false">PROPER(TRIM(customer_churn_dataset!G345))</f>
        <v>Credit Card</v>
      </c>
      <c r="H345" s="7" t="n">
        <f aca="false">IF(ISBLANK(customer_churn_dataset!H345),0,customer_churn_dataset!H345)</f>
        <v>1</v>
      </c>
      <c r="I345" s="7" t="n">
        <f aca="false">IF(ISBLANK(customer_churn_dataset!I345),ROUND(MEDIAN(customer_churn_dataset!I$2:I$1501),1),MIN(100,MAX(0,customer_churn_dataset!I345)))</f>
        <v>55.2</v>
      </c>
      <c r="J345" s="7" t="n">
        <f aca="false">IF(ISBLANK(customer_churn_dataset!J345),0,MAX(0,customer_churn_dataset!J345))</f>
        <v>11</v>
      </c>
      <c r="K345" s="7" t="n">
        <f aca="false">IF(ISBLANK(customer_churn_dataset!K345),0,MIN(10,MAX(0,customer_churn_dataset!K345)))</f>
        <v>7</v>
      </c>
      <c r="L345" s="7" t="n">
        <f aca="false">IF(ISBLANK(customer_churn_dataset!L345),0,MAX(0,customer_churn_dataset!L345))</f>
        <v>1</v>
      </c>
      <c r="M345" s="7" t="n">
        <f aca="false">IF(ISBLANK(customer_churn_dataset!M345),0,customer_churn_dataset!M345)</f>
        <v>0</v>
      </c>
      <c r="N345" s="7" t="n">
        <f aca="false">IF(ISBLANK(customer_churn_dataset!N345),0,MAX(0,customer_churn_dataset!N345))</f>
        <v>944.16</v>
      </c>
      <c r="O345" s="7" t="n">
        <f aca="false">IF(ISBLANK(customer_churn_dataset!O345),0,customer_churn_dataset!O345)</f>
        <v>0</v>
      </c>
      <c r="P345" s="7" t="str">
        <f aca="false">IF(COUNTIF(customer_churn_dataset!$A$2:$A$1501,customer_churn_dataset!A345)&gt;1,"Duplicate","Unique")</f>
        <v>Unique</v>
      </c>
    </row>
    <row r="346" customFormat="false" ht="14.15" hidden="false" customHeight="true" outlineLevel="0" collapsed="false">
      <c r="A346" s="7" t="str">
        <f aca="false">TRIM(customer_churn_dataset!A346)</f>
        <v>CUST101106</v>
      </c>
      <c r="B346" s="7" t="str">
        <f aca="false">PROPER(TRIM(customer_churn_dataset!B346))</f>
        <v>Basic</v>
      </c>
      <c r="C346" s="7" t="str">
        <f aca="false">PROPER(TRIM(customer_churn_dataset!C346))</f>
        <v>Month-To-Month</v>
      </c>
      <c r="D346" s="7" t="n">
        <f aca="false">IF(ISBLANK(customer_churn_dataset!D346),ROUND(MEDIAN(customer_churn_dataset!D$2:D$1501),2),IF(customer_churn_dataset!D346&lt;0,ABS(customer_churn_dataset!D346),customer_churn_dataset!D346))</f>
        <v>8.21</v>
      </c>
      <c r="E346" s="7" t="n">
        <f aca="false">IF(ISBLANK(customer_churn_dataset!E346),0,MAX(0,customer_churn_dataset!E346))</f>
        <v>35</v>
      </c>
      <c r="F346" s="8" t="n">
        <f aca="false">IF(ISBLANK(customer_churn_dataset!F346),"",customer_churn_dataset!F346)</f>
        <v>44303</v>
      </c>
      <c r="G346" s="7" t="str">
        <f aca="false">PROPER(TRIM(customer_churn_dataset!G346))</f>
        <v>Bank Transfer</v>
      </c>
      <c r="H346" s="7" t="n">
        <f aca="false">IF(ISBLANK(customer_churn_dataset!H346),0,customer_churn_dataset!H346)</f>
        <v>1</v>
      </c>
      <c r="I346" s="7" t="n">
        <f aca="false">IF(ISBLANK(customer_churn_dataset!I346),ROUND(MEDIAN(customer_churn_dataset!I$2:I$1501),1),MIN(100,MAX(0,customer_churn_dataset!I346)))</f>
        <v>75.4</v>
      </c>
      <c r="J346" s="7" t="n">
        <f aca="false">IF(ISBLANK(customer_churn_dataset!J346),0,MAX(0,customer_churn_dataset!J346))</f>
        <v>19</v>
      </c>
      <c r="K346" s="7" t="n">
        <f aca="false">IF(ISBLANK(customer_churn_dataset!K346),0,MIN(10,MAX(0,customer_churn_dataset!K346)))</f>
        <v>8</v>
      </c>
      <c r="L346" s="7" t="n">
        <f aca="false">IF(ISBLANK(customer_churn_dataset!L346),0,MAX(0,customer_churn_dataset!L346))</f>
        <v>2</v>
      </c>
      <c r="M346" s="7" t="n">
        <f aca="false">IF(ISBLANK(customer_churn_dataset!M346),0,customer_churn_dataset!M346)</f>
        <v>1</v>
      </c>
      <c r="N346" s="7" t="n">
        <f aca="false">IF(ISBLANK(customer_churn_dataset!N346),0,MAX(0,customer_churn_dataset!N346))</f>
        <v>287.35</v>
      </c>
      <c r="O346" s="7" t="n">
        <f aca="false">IF(ISBLANK(customer_churn_dataset!O346),0,customer_churn_dataset!O346)</f>
        <v>0</v>
      </c>
      <c r="P346" s="7" t="str">
        <f aca="false">IF(COUNTIF(customer_churn_dataset!$A$2:$A$1501,customer_churn_dataset!A346)&gt;1,"Duplicate","Unique")</f>
        <v>Unique</v>
      </c>
    </row>
    <row r="347" customFormat="false" ht="14.15" hidden="false" customHeight="true" outlineLevel="0" collapsed="false">
      <c r="A347" s="7" t="str">
        <f aca="false">TRIM(customer_churn_dataset!A347)</f>
        <v>CUST100533</v>
      </c>
      <c r="B347" s="7" t="str">
        <f aca="false">PROPER(TRIM(customer_churn_dataset!B347))</f>
        <v>Standard</v>
      </c>
      <c r="C347" s="7" t="str">
        <f aca="false">PROPER(TRIM(customer_churn_dataset!C347))</f>
        <v>One Year</v>
      </c>
      <c r="D347" s="7" t="n">
        <f aca="false">IF(ISBLANK(customer_churn_dataset!D347),ROUND(MEDIAN(customer_churn_dataset!D$2:D$1501),2),IF(customer_churn_dataset!D347&lt;0,ABS(customer_churn_dataset!D347),customer_churn_dataset!D347))</f>
        <v>18.64</v>
      </c>
      <c r="E347" s="7" t="n">
        <f aca="false">IF(ISBLANK(customer_churn_dataset!E347),0,MAX(0,customer_churn_dataset!E347))</f>
        <v>44</v>
      </c>
      <c r="F347" s="8" t="n">
        <f aca="false">IF(ISBLANK(customer_churn_dataset!F347),"",customer_churn_dataset!F347)</f>
        <v>44304</v>
      </c>
      <c r="G347" s="7" t="str">
        <f aca="false">PROPER(TRIM(customer_churn_dataset!G347))</f>
        <v>Credit Card</v>
      </c>
      <c r="H347" s="7" t="n">
        <f aca="false">IF(ISBLANK(customer_churn_dataset!H347),0,customer_churn_dataset!H347)</f>
        <v>0</v>
      </c>
      <c r="I347" s="7" t="n">
        <f aca="false">IF(ISBLANK(customer_churn_dataset!I347),ROUND(MEDIAN(customer_churn_dataset!I$2:I$1501),1),MIN(100,MAX(0,customer_churn_dataset!I347)))</f>
        <v>41.4</v>
      </c>
      <c r="J347" s="7" t="n">
        <f aca="false">IF(ISBLANK(customer_churn_dataset!J347),0,MAX(0,customer_churn_dataset!J347))</f>
        <v>10</v>
      </c>
      <c r="K347" s="7" t="n">
        <f aca="false">IF(ISBLANK(customer_churn_dataset!K347),0,MIN(10,MAX(0,customer_churn_dataset!K347)))</f>
        <v>2</v>
      </c>
      <c r="L347" s="7" t="n">
        <f aca="false">IF(ISBLANK(customer_churn_dataset!L347),0,MAX(0,customer_churn_dataset!L347))</f>
        <v>3</v>
      </c>
      <c r="M347" s="7" t="n">
        <f aca="false">IF(ISBLANK(customer_churn_dataset!M347),0,customer_churn_dataset!M347)</f>
        <v>1</v>
      </c>
      <c r="N347" s="7" t="n">
        <f aca="false">IF(ISBLANK(customer_churn_dataset!N347),0,MAX(0,customer_churn_dataset!N347))</f>
        <v>820.16</v>
      </c>
      <c r="O347" s="7" t="n">
        <f aca="false">IF(ISBLANK(customer_churn_dataset!O347),0,customer_churn_dataset!O347)</f>
        <v>0</v>
      </c>
      <c r="P347" s="7" t="str">
        <f aca="false">IF(COUNTIF(customer_churn_dataset!$A$2:$A$1501,customer_churn_dataset!A347)&gt;1,"Duplicate","Unique")</f>
        <v>Unique</v>
      </c>
    </row>
    <row r="348" customFormat="false" ht="14.15" hidden="false" customHeight="true" outlineLevel="0" collapsed="false">
      <c r="A348" s="7" t="str">
        <f aca="false">TRIM(customer_churn_dataset!A348)</f>
        <v>CUST101488</v>
      </c>
      <c r="B348" s="7" t="str">
        <f aca="false">PROPER(TRIM(customer_churn_dataset!B348))</f>
        <v>Basic</v>
      </c>
      <c r="C348" s="7" t="str">
        <f aca="false">PROPER(TRIM(customer_churn_dataset!C348))</f>
        <v>One Year</v>
      </c>
      <c r="D348" s="7" t="n">
        <f aca="false">IF(ISBLANK(customer_churn_dataset!D348),ROUND(MEDIAN(customer_churn_dataset!D$2:D$1501),2),IF(customer_churn_dataset!D348&lt;0,ABS(customer_churn_dataset!D348),customer_churn_dataset!D348))</f>
        <v>10.01</v>
      </c>
      <c r="E348" s="7" t="n">
        <f aca="false">IF(ISBLANK(customer_churn_dataset!E348),0,MAX(0,customer_churn_dataset!E348))</f>
        <v>55</v>
      </c>
      <c r="F348" s="8" t="n">
        <f aca="false">IF(ISBLANK(customer_churn_dataset!F348),"",customer_churn_dataset!F348)</f>
        <v>44305</v>
      </c>
      <c r="G348" s="7" t="str">
        <f aca="false">PROPER(TRIM(customer_churn_dataset!G348))</f>
        <v>Paypal</v>
      </c>
      <c r="H348" s="7" t="n">
        <f aca="false">IF(ISBLANK(customer_churn_dataset!H348),0,customer_churn_dataset!H348)</f>
        <v>1</v>
      </c>
      <c r="I348" s="7" t="n">
        <f aca="false">IF(ISBLANK(customer_churn_dataset!I348),ROUND(MEDIAN(customer_churn_dataset!I$2:I$1501),1),MIN(100,MAX(0,customer_churn_dataset!I348)))</f>
        <v>50.3</v>
      </c>
      <c r="J348" s="7" t="n">
        <f aca="false">IF(ISBLANK(customer_churn_dataset!J348),0,MAX(0,customer_churn_dataset!J348))</f>
        <v>15</v>
      </c>
      <c r="K348" s="7" t="n">
        <f aca="false">IF(ISBLANK(customer_churn_dataset!K348),0,MIN(10,MAX(0,customer_churn_dataset!K348)))</f>
        <v>7</v>
      </c>
      <c r="L348" s="7" t="n">
        <f aca="false">IF(ISBLANK(customer_churn_dataset!L348),0,MAX(0,customer_churn_dataset!L348))</f>
        <v>2</v>
      </c>
      <c r="M348" s="7" t="n">
        <f aca="false">IF(ISBLANK(customer_churn_dataset!M348),0,customer_churn_dataset!M348)</f>
        <v>1</v>
      </c>
      <c r="N348" s="7" t="n">
        <f aca="false">IF(ISBLANK(customer_churn_dataset!N348),0,MAX(0,customer_churn_dataset!N348))</f>
        <v>550.55</v>
      </c>
      <c r="O348" s="7" t="n">
        <f aca="false">IF(ISBLANK(customer_churn_dataset!O348),0,customer_churn_dataset!O348)</f>
        <v>0</v>
      </c>
      <c r="P348" s="7" t="str">
        <f aca="false">IF(COUNTIF(customer_churn_dataset!$A$2:$A$1501,customer_churn_dataset!A348)&gt;1,"Duplicate","Unique")</f>
        <v>Unique</v>
      </c>
    </row>
    <row r="349" customFormat="false" ht="14.15" hidden="false" customHeight="true" outlineLevel="0" collapsed="false">
      <c r="A349" s="7" t="str">
        <f aca="false">TRIM(customer_churn_dataset!A349)</f>
        <v>CUST101267</v>
      </c>
      <c r="B349" s="7" t="str">
        <f aca="false">PROPER(TRIM(customer_churn_dataset!B349))</f>
        <v>Standard</v>
      </c>
      <c r="C349" s="7" t="str">
        <f aca="false">PROPER(TRIM(customer_churn_dataset!C349))</f>
        <v>Two Year</v>
      </c>
      <c r="D349" s="7" t="n">
        <f aca="false">IF(ISBLANK(customer_churn_dataset!D349),ROUND(MEDIAN(customer_churn_dataset!D$2:D$1501),2),IF(customer_churn_dataset!D349&lt;0,ABS(customer_churn_dataset!D349),customer_churn_dataset!D349))</f>
        <v>19.93</v>
      </c>
      <c r="E349" s="7" t="n">
        <f aca="false">IF(ISBLANK(customer_churn_dataset!E349),0,MAX(0,customer_churn_dataset!E349))</f>
        <v>1</v>
      </c>
      <c r="F349" s="8" t="n">
        <f aca="false">IF(ISBLANK(customer_churn_dataset!F349),"",customer_churn_dataset!F349)</f>
        <v>44307</v>
      </c>
      <c r="G349" s="7" t="str">
        <f aca="false">PROPER(TRIM(customer_churn_dataset!G349))</f>
        <v>Manual/Invoice</v>
      </c>
      <c r="H349" s="7" t="n">
        <f aca="false">IF(ISBLANK(customer_churn_dataset!H349),0,customer_churn_dataset!H349)</f>
        <v>0</v>
      </c>
      <c r="I349" s="7" t="n">
        <f aca="false">IF(ISBLANK(customer_churn_dataset!I349),ROUND(MEDIAN(customer_churn_dataset!I$2:I$1501),1),MIN(100,MAX(0,customer_churn_dataset!I349)))</f>
        <v>47.7</v>
      </c>
      <c r="J349" s="7" t="n">
        <f aca="false">IF(ISBLANK(customer_churn_dataset!J349),0,MAX(0,customer_churn_dataset!J349))</f>
        <v>15</v>
      </c>
      <c r="K349" s="7" t="n">
        <f aca="false">IF(ISBLANK(customer_churn_dataset!K349),0,MIN(10,MAX(0,customer_churn_dataset!K349)))</f>
        <v>7</v>
      </c>
      <c r="L349" s="7" t="n">
        <f aca="false">IF(ISBLANK(customer_churn_dataset!L349),0,MAX(0,customer_churn_dataset!L349))</f>
        <v>2</v>
      </c>
      <c r="M349" s="7" t="n">
        <f aca="false">IF(ISBLANK(customer_churn_dataset!M349),0,customer_churn_dataset!M349)</f>
        <v>0</v>
      </c>
      <c r="N349" s="7" t="n">
        <f aca="false">IF(ISBLANK(customer_churn_dataset!N349),0,MAX(0,customer_churn_dataset!N349))</f>
        <v>19.93</v>
      </c>
      <c r="O349" s="7" t="n">
        <f aca="false">IF(ISBLANK(customer_churn_dataset!O349),0,customer_churn_dataset!O349)</f>
        <v>0</v>
      </c>
      <c r="P349" s="7" t="str">
        <f aca="false">IF(COUNTIF(customer_churn_dataset!$A$2:$A$1501,customer_churn_dataset!A349)&gt;1,"Duplicate","Unique")</f>
        <v>Unique</v>
      </c>
    </row>
    <row r="350" customFormat="false" ht="14.15" hidden="false" customHeight="true" outlineLevel="0" collapsed="false">
      <c r="A350" s="7" t="str">
        <f aca="false">TRIM(customer_churn_dataset!A350)</f>
        <v>CUST100710</v>
      </c>
      <c r="B350" s="7" t="str">
        <f aca="false">PROPER(TRIM(customer_churn_dataset!B350))</f>
        <v>Standard</v>
      </c>
      <c r="C350" s="7" t="str">
        <f aca="false">PROPER(TRIM(customer_churn_dataset!C350))</f>
        <v>Month-To-Month</v>
      </c>
      <c r="D350" s="7" t="n">
        <f aca="false">IF(ISBLANK(customer_churn_dataset!D350),ROUND(MEDIAN(customer_churn_dataset!D$2:D$1501),2),IF(customer_churn_dataset!D350&lt;0,ABS(customer_churn_dataset!D350),customer_churn_dataset!D350))</f>
        <v>18.88</v>
      </c>
      <c r="E350" s="7" t="n">
        <f aca="false">IF(ISBLANK(customer_churn_dataset!E350),0,MAX(0,customer_churn_dataset!E350))</f>
        <v>23</v>
      </c>
      <c r="F350" s="8" t="n">
        <f aca="false">IF(ISBLANK(customer_churn_dataset!F350),"",customer_churn_dataset!F350)</f>
        <v>44307</v>
      </c>
      <c r="G350" s="7" t="str">
        <f aca="false">PROPER(TRIM(customer_churn_dataset!G350))</f>
        <v>Paypal</v>
      </c>
      <c r="H350" s="7" t="n">
        <f aca="false">IF(ISBLANK(customer_churn_dataset!H350),0,customer_churn_dataset!H350)</f>
        <v>1</v>
      </c>
      <c r="I350" s="7" t="n">
        <f aca="false">IF(ISBLANK(customer_churn_dataset!I350),ROUND(MEDIAN(customer_churn_dataset!I$2:I$1501),1),MIN(100,MAX(0,customer_churn_dataset!I350)))</f>
        <v>12.8</v>
      </c>
      <c r="J350" s="7" t="n">
        <f aca="false">IF(ISBLANK(customer_churn_dataset!J350),0,MAX(0,customer_churn_dataset!J350))</f>
        <v>3</v>
      </c>
      <c r="K350" s="7" t="n">
        <f aca="false">IF(ISBLANK(customer_churn_dataset!K350),0,MIN(10,MAX(0,customer_churn_dataset!K350)))</f>
        <v>2</v>
      </c>
      <c r="L350" s="7" t="n">
        <f aca="false">IF(ISBLANK(customer_churn_dataset!L350),0,MAX(0,customer_churn_dataset!L350))</f>
        <v>5</v>
      </c>
      <c r="M350" s="7" t="n">
        <f aca="false">IF(ISBLANK(customer_churn_dataset!M350),0,customer_churn_dataset!M350)</f>
        <v>0</v>
      </c>
      <c r="N350" s="7" t="n">
        <f aca="false">IF(ISBLANK(customer_churn_dataset!N350),0,MAX(0,customer_churn_dataset!N350))</f>
        <v>434.24</v>
      </c>
      <c r="O350" s="7" t="n">
        <f aca="false">IF(ISBLANK(customer_churn_dataset!O350),0,customer_churn_dataset!O350)</f>
        <v>0</v>
      </c>
      <c r="P350" s="7" t="str">
        <f aca="false">IF(COUNTIF(customer_churn_dataset!$A$2:$A$1501,customer_churn_dataset!A350)&gt;1,"Duplicate","Unique")</f>
        <v>Unique</v>
      </c>
    </row>
    <row r="351" customFormat="false" ht="14.15" hidden="false" customHeight="true" outlineLevel="0" collapsed="false">
      <c r="A351" s="7" t="str">
        <f aca="false">TRIM(customer_churn_dataset!A351)</f>
        <v>CUST100158</v>
      </c>
      <c r="B351" s="7" t="str">
        <f aca="false">PROPER(TRIM(customer_churn_dataset!B351))</f>
        <v>Basic</v>
      </c>
      <c r="C351" s="7" t="str">
        <f aca="false">PROPER(TRIM(customer_churn_dataset!C351))</f>
        <v>Month-To-Month</v>
      </c>
      <c r="D351" s="7" t="n">
        <f aca="false">IF(ISBLANK(customer_churn_dataset!D351),ROUND(MEDIAN(customer_churn_dataset!D$2:D$1501),2),IF(customer_churn_dataset!D351&lt;0,ABS(customer_churn_dataset!D351),customer_churn_dataset!D351))</f>
        <v>9.38</v>
      </c>
      <c r="E351" s="7" t="n">
        <f aca="false">IF(ISBLANK(customer_churn_dataset!E351),0,MAX(0,customer_churn_dataset!E351))</f>
        <v>58</v>
      </c>
      <c r="F351" s="8" t="n">
        <f aca="false">IF(ISBLANK(customer_churn_dataset!F351),"",customer_churn_dataset!F351)</f>
        <v>44310</v>
      </c>
      <c r="G351" s="7" t="str">
        <f aca="false">PROPER(TRIM(customer_churn_dataset!G351))</f>
        <v>Credit Card</v>
      </c>
      <c r="H351" s="7" t="n">
        <f aca="false">IF(ISBLANK(customer_churn_dataset!H351),0,customer_churn_dataset!H351)</f>
        <v>1</v>
      </c>
      <c r="I351" s="7" t="n">
        <f aca="false">IF(ISBLANK(customer_churn_dataset!I351),ROUND(MEDIAN(customer_churn_dataset!I$2:I$1501),1),MIN(100,MAX(0,customer_churn_dataset!I351)))</f>
        <v>15.4</v>
      </c>
      <c r="J351" s="7" t="n">
        <f aca="false">IF(ISBLANK(customer_churn_dataset!J351),0,MAX(0,customer_churn_dataset!J351))</f>
        <v>0</v>
      </c>
      <c r="K351" s="7" t="n">
        <f aca="false">IF(ISBLANK(customer_churn_dataset!K351),0,MIN(10,MAX(0,customer_churn_dataset!K351)))</f>
        <v>1</v>
      </c>
      <c r="L351" s="7" t="n">
        <f aca="false">IF(ISBLANK(customer_churn_dataset!L351),0,MAX(0,customer_churn_dataset!L351))</f>
        <v>1</v>
      </c>
      <c r="M351" s="7" t="n">
        <f aca="false">IF(ISBLANK(customer_churn_dataset!M351),0,customer_churn_dataset!M351)</f>
        <v>0</v>
      </c>
      <c r="N351" s="7" t="n">
        <f aca="false">IF(ISBLANK(customer_churn_dataset!N351),0,MAX(0,customer_churn_dataset!N351))</f>
        <v>544.04</v>
      </c>
      <c r="O351" s="7" t="n">
        <f aca="false">IF(ISBLANK(customer_churn_dataset!O351),0,customer_churn_dataset!O351)</f>
        <v>0</v>
      </c>
      <c r="P351" s="7" t="str">
        <f aca="false">IF(COUNTIF(customer_churn_dataset!$A$2:$A$1501,customer_churn_dataset!A351)&gt;1,"Duplicate","Unique")</f>
        <v>Unique</v>
      </c>
    </row>
    <row r="352" customFormat="false" ht="14.15" hidden="false" customHeight="true" outlineLevel="0" collapsed="false">
      <c r="A352" s="7" t="str">
        <f aca="false">TRIM(customer_churn_dataset!A352)</f>
        <v>CUST100296</v>
      </c>
      <c r="B352" s="7" t="str">
        <f aca="false">PROPER(TRIM(customer_churn_dataset!B352))</f>
        <v>Standard</v>
      </c>
      <c r="C352" s="7" t="str">
        <f aca="false">PROPER(TRIM(customer_churn_dataset!C352))</f>
        <v>Month-To-Month</v>
      </c>
      <c r="D352" s="7" t="n">
        <f aca="false">IF(ISBLANK(customer_churn_dataset!D352),ROUND(MEDIAN(customer_churn_dataset!D$2:D$1501),2),IF(customer_churn_dataset!D352&lt;0,ABS(customer_churn_dataset!D352),customer_churn_dataset!D352))</f>
        <v>20.74</v>
      </c>
      <c r="E352" s="7" t="n">
        <f aca="false">IF(ISBLANK(customer_churn_dataset!E352),0,MAX(0,customer_churn_dataset!E352))</f>
        <v>8</v>
      </c>
      <c r="F352" s="8" t="n">
        <f aca="false">IF(ISBLANK(customer_churn_dataset!F352),"",customer_churn_dataset!F352)</f>
        <v>44311</v>
      </c>
      <c r="G352" s="7" t="str">
        <f aca="false">PROPER(TRIM(customer_churn_dataset!G352))</f>
        <v>Credit Card</v>
      </c>
      <c r="H352" s="7" t="n">
        <f aca="false">IF(ISBLANK(customer_churn_dataset!H352),0,customer_churn_dataset!H352)</f>
        <v>1</v>
      </c>
      <c r="I352" s="7" t="n">
        <f aca="false">IF(ISBLANK(customer_churn_dataset!I352),ROUND(MEDIAN(customer_churn_dataset!I$2:I$1501),1),MIN(100,MAX(0,customer_churn_dataset!I352)))</f>
        <v>74.9</v>
      </c>
      <c r="J352" s="7" t="n">
        <f aca="false">IF(ISBLANK(customer_churn_dataset!J352),0,MAX(0,customer_churn_dataset!J352))</f>
        <v>24</v>
      </c>
      <c r="K352" s="7" t="n">
        <f aca="false">IF(ISBLANK(customer_churn_dataset!K352),0,MIN(10,MAX(0,customer_churn_dataset!K352)))</f>
        <v>9</v>
      </c>
      <c r="L352" s="7" t="n">
        <f aca="false">IF(ISBLANK(customer_churn_dataset!L352),0,MAX(0,customer_churn_dataset!L352))</f>
        <v>1</v>
      </c>
      <c r="M352" s="7" t="n">
        <f aca="false">IF(ISBLANK(customer_churn_dataset!M352),0,customer_churn_dataset!M352)</f>
        <v>0</v>
      </c>
      <c r="N352" s="7" t="n">
        <f aca="false">IF(ISBLANK(customer_churn_dataset!N352),0,MAX(0,customer_churn_dataset!N352))</f>
        <v>165.92</v>
      </c>
      <c r="O352" s="7" t="n">
        <f aca="false">IF(ISBLANK(customer_churn_dataset!O352),0,customer_churn_dataset!O352)</f>
        <v>0</v>
      </c>
      <c r="P352" s="7" t="str">
        <f aca="false">IF(COUNTIF(customer_churn_dataset!$A$2:$A$1501,customer_churn_dataset!A352)&gt;1,"Duplicate","Unique")</f>
        <v>Unique</v>
      </c>
    </row>
    <row r="353" customFormat="false" ht="14.15" hidden="false" customHeight="true" outlineLevel="0" collapsed="false">
      <c r="A353" s="7" t="str">
        <f aca="false">TRIM(customer_churn_dataset!A353)</f>
        <v>CUST101126</v>
      </c>
      <c r="B353" s="7" t="str">
        <f aca="false">PROPER(TRIM(customer_churn_dataset!B353))</f>
        <v>Basic</v>
      </c>
      <c r="C353" s="7" t="str">
        <f aca="false">PROPER(TRIM(customer_churn_dataset!C353))</f>
        <v>One Year</v>
      </c>
      <c r="D353" s="7" t="n">
        <f aca="false">IF(ISBLANK(customer_churn_dataset!D353),ROUND(MEDIAN(customer_churn_dataset!D$2:D$1501),2),IF(customer_churn_dataset!D353&lt;0,ABS(customer_churn_dataset!D353),customer_churn_dataset!D353))</f>
        <v>10.77</v>
      </c>
      <c r="E353" s="7" t="n">
        <f aca="false">IF(ISBLANK(customer_churn_dataset!E353),0,MAX(0,customer_churn_dataset!E353))</f>
        <v>13</v>
      </c>
      <c r="F353" s="8" t="n">
        <f aca="false">IF(ISBLANK(customer_churn_dataset!F353),"",customer_churn_dataset!F353)</f>
        <v>44311</v>
      </c>
      <c r="G353" s="7" t="str">
        <f aca="false">PROPER(TRIM(customer_churn_dataset!G353))</f>
        <v>Credit Card</v>
      </c>
      <c r="H353" s="7" t="n">
        <f aca="false">IF(ISBLANK(customer_churn_dataset!H353),0,customer_churn_dataset!H353)</f>
        <v>0</v>
      </c>
      <c r="I353" s="7" t="n">
        <f aca="false">IF(ISBLANK(customer_churn_dataset!I353),ROUND(MEDIAN(customer_churn_dataset!I$2:I$1501),1),MIN(100,MAX(0,customer_churn_dataset!I353)))</f>
        <v>78.6</v>
      </c>
      <c r="J353" s="7" t="n">
        <f aca="false">IF(ISBLANK(customer_churn_dataset!J353),0,MAX(0,customer_churn_dataset!J353))</f>
        <v>19</v>
      </c>
      <c r="K353" s="7" t="n">
        <f aca="false">IF(ISBLANK(customer_churn_dataset!K353),0,MIN(10,MAX(0,customer_churn_dataset!K353)))</f>
        <v>8</v>
      </c>
      <c r="L353" s="7" t="n">
        <f aca="false">IF(ISBLANK(customer_churn_dataset!L353),0,MAX(0,customer_churn_dataset!L353))</f>
        <v>0</v>
      </c>
      <c r="M353" s="7" t="n">
        <f aca="false">IF(ISBLANK(customer_churn_dataset!M353),0,customer_churn_dataset!M353)</f>
        <v>0</v>
      </c>
      <c r="N353" s="7" t="n">
        <f aca="false">IF(ISBLANK(customer_churn_dataset!N353),0,MAX(0,customer_churn_dataset!N353))</f>
        <v>140.01</v>
      </c>
      <c r="O353" s="7" t="n">
        <f aca="false">IF(ISBLANK(customer_churn_dataset!O353),0,customer_churn_dataset!O353)</f>
        <v>0</v>
      </c>
      <c r="P353" s="7" t="str">
        <f aca="false">IF(COUNTIF(customer_churn_dataset!$A$2:$A$1501,customer_churn_dataset!A353)&gt;1,"Duplicate","Unique")</f>
        <v>Unique</v>
      </c>
    </row>
    <row r="354" customFormat="false" ht="14.15" hidden="false" customHeight="true" outlineLevel="0" collapsed="false">
      <c r="A354" s="7" t="str">
        <f aca="false">TRIM(customer_churn_dataset!A354)</f>
        <v>CUST100526</v>
      </c>
      <c r="B354" s="7" t="str">
        <f aca="false">PROPER(TRIM(customer_churn_dataset!B354))</f>
        <v>Basic</v>
      </c>
      <c r="C354" s="7" t="str">
        <f aca="false">PROPER(TRIM(customer_churn_dataset!C354))</f>
        <v>One Year</v>
      </c>
      <c r="D354" s="7" t="n">
        <f aca="false">IF(ISBLANK(customer_churn_dataset!D354),ROUND(MEDIAN(customer_churn_dataset!D$2:D$1501),2),IF(customer_churn_dataset!D354&lt;0,ABS(customer_churn_dataset!D354),customer_churn_dataset!D354))</f>
        <v>9.53</v>
      </c>
      <c r="E354" s="7" t="n">
        <f aca="false">IF(ISBLANK(customer_churn_dataset!E354),0,MAX(0,customer_churn_dataset!E354))</f>
        <v>44</v>
      </c>
      <c r="F354" s="8" t="n">
        <f aca="false">IF(ISBLANK(customer_churn_dataset!F354),"",customer_churn_dataset!F354)</f>
        <v>44312</v>
      </c>
      <c r="G354" s="7" t="str">
        <f aca="false">PROPER(TRIM(customer_churn_dataset!G354))</f>
        <v>Manual/Invoice</v>
      </c>
      <c r="H354" s="7" t="n">
        <f aca="false">IF(ISBLANK(customer_churn_dataset!H354),0,customer_churn_dataset!H354)</f>
        <v>1</v>
      </c>
      <c r="I354" s="7" t="n">
        <f aca="false">IF(ISBLANK(customer_churn_dataset!I354),ROUND(MEDIAN(customer_churn_dataset!I$2:I$1501),1),MIN(100,MAX(0,customer_churn_dataset!I354)))</f>
        <v>38.8</v>
      </c>
      <c r="J354" s="7" t="n">
        <f aca="false">IF(ISBLANK(customer_churn_dataset!J354),0,MAX(0,customer_churn_dataset!J354))</f>
        <v>10</v>
      </c>
      <c r="K354" s="7" t="n">
        <f aca="false">IF(ISBLANK(customer_churn_dataset!K354),0,MIN(10,MAX(0,customer_churn_dataset!K354)))</f>
        <v>4</v>
      </c>
      <c r="L354" s="7" t="n">
        <f aca="false">IF(ISBLANK(customer_churn_dataset!L354),0,MAX(0,customer_churn_dataset!L354))</f>
        <v>1</v>
      </c>
      <c r="M354" s="7" t="n">
        <f aca="false">IF(ISBLANK(customer_churn_dataset!M354),0,customer_churn_dataset!M354)</f>
        <v>1</v>
      </c>
      <c r="N354" s="7" t="n">
        <f aca="false">IF(ISBLANK(customer_churn_dataset!N354),0,MAX(0,customer_churn_dataset!N354))</f>
        <v>419.32</v>
      </c>
      <c r="O354" s="7" t="n">
        <f aca="false">IF(ISBLANK(customer_churn_dataset!O354),0,customer_churn_dataset!O354)</f>
        <v>1</v>
      </c>
      <c r="P354" s="7" t="str">
        <f aca="false">IF(COUNTIF(customer_churn_dataset!$A$2:$A$1501,customer_churn_dataset!A354)&gt;1,"Duplicate","Unique")</f>
        <v>Unique</v>
      </c>
    </row>
    <row r="355" customFormat="false" ht="14.15" hidden="false" customHeight="true" outlineLevel="0" collapsed="false">
      <c r="A355" s="7" t="str">
        <f aca="false">TRIM(customer_churn_dataset!A355)</f>
        <v>CUST100938</v>
      </c>
      <c r="B355" s="7" t="str">
        <f aca="false">PROPER(TRIM(customer_churn_dataset!B355))</f>
        <v>Basic</v>
      </c>
      <c r="C355" s="7" t="str">
        <f aca="false">PROPER(TRIM(customer_churn_dataset!C355))</f>
        <v>One Year</v>
      </c>
      <c r="D355" s="7" t="n">
        <f aca="false">IF(ISBLANK(customer_churn_dataset!D355),ROUND(MEDIAN(customer_churn_dataset!D$2:D$1501),2),IF(customer_churn_dataset!D355&lt;0,ABS(customer_churn_dataset!D355),customer_churn_dataset!D355))</f>
        <v>8.44</v>
      </c>
      <c r="E355" s="7" t="n">
        <f aca="false">IF(ISBLANK(customer_churn_dataset!E355),0,MAX(0,customer_churn_dataset!E355))</f>
        <v>10</v>
      </c>
      <c r="F355" s="8" t="n">
        <f aca="false">IF(ISBLANK(customer_churn_dataset!F355),"",customer_churn_dataset!F355)</f>
        <v>44312</v>
      </c>
      <c r="G355" s="7" t="str">
        <f aca="false">PROPER(TRIM(customer_churn_dataset!G355))</f>
        <v>Credit Card</v>
      </c>
      <c r="H355" s="7" t="n">
        <f aca="false">IF(ISBLANK(customer_churn_dataset!H355),0,customer_churn_dataset!H355)</f>
        <v>1</v>
      </c>
      <c r="I355" s="7" t="n">
        <f aca="false">IF(ISBLANK(customer_churn_dataset!I355),ROUND(MEDIAN(customer_churn_dataset!I$2:I$1501),1),MIN(100,MAX(0,customer_churn_dataset!I355)))</f>
        <v>44.4</v>
      </c>
      <c r="J355" s="7" t="n">
        <f aca="false">IF(ISBLANK(customer_churn_dataset!J355),0,MAX(0,customer_churn_dataset!J355))</f>
        <v>15</v>
      </c>
      <c r="K355" s="7" t="n">
        <f aca="false">IF(ISBLANK(customer_churn_dataset!K355),0,MIN(10,MAX(0,customer_churn_dataset!K355)))</f>
        <v>6</v>
      </c>
      <c r="L355" s="7" t="n">
        <f aca="false">IF(ISBLANK(customer_churn_dataset!L355),0,MAX(0,customer_churn_dataset!L355))</f>
        <v>1</v>
      </c>
      <c r="M355" s="7" t="n">
        <f aca="false">IF(ISBLANK(customer_churn_dataset!M355),0,customer_churn_dataset!M355)</f>
        <v>0</v>
      </c>
      <c r="N355" s="7" t="n">
        <f aca="false">IF(ISBLANK(customer_churn_dataset!N355),0,MAX(0,customer_churn_dataset!N355))</f>
        <v>84.4</v>
      </c>
      <c r="O355" s="7" t="n">
        <f aca="false">IF(ISBLANK(customer_churn_dataset!O355),0,customer_churn_dataset!O355)</f>
        <v>0</v>
      </c>
      <c r="P355" s="7" t="str">
        <f aca="false">IF(COUNTIF(customer_churn_dataset!$A$2:$A$1501,customer_churn_dataset!A355)&gt;1,"Duplicate","Unique")</f>
        <v>Unique</v>
      </c>
    </row>
    <row r="356" customFormat="false" ht="14.15" hidden="false" customHeight="true" outlineLevel="0" collapsed="false">
      <c r="A356" s="7" t="str">
        <f aca="false">TRIM(customer_churn_dataset!A356)</f>
        <v>CUST100781</v>
      </c>
      <c r="B356" s="7" t="str">
        <f aca="false">PROPER(TRIM(customer_churn_dataset!B356))</f>
        <v>Standard</v>
      </c>
      <c r="C356" s="7" t="str">
        <f aca="false">PROPER(TRIM(customer_churn_dataset!C356))</f>
        <v>Month-To-Month</v>
      </c>
      <c r="D356" s="7" t="n">
        <f aca="false">IF(ISBLANK(customer_churn_dataset!D356),ROUND(MEDIAN(customer_churn_dataset!D$2:D$1501),2),IF(customer_churn_dataset!D356&lt;0,ABS(customer_churn_dataset!D356),customer_churn_dataset!D356))</f>
        <v>19.6</v>
      </c>
      <c r="E356" s="7" t="n">
        <f aca="false">IF(ISBLANK(customer_churn_dataset!E356),0,MAX(0,customer_churn_dataset!E356))</f>
        <v>29</v>
      </c>
      <c r="F356" s="8" t="n">
        <f aca="false">IF(ISBLANK(customer_churn_dataset!F356),"",customer_churn_dataset!F356)</f>
        <v>44313</v>
      </c>
      <c r="G356" s="7" t="str">
        <f aca="false">PROPER(TRIM(customer_churn_dataset!G356))</f>
        <v>Credit Card</v>
      </c>
      <c r="H356" s="7" t="n">
        <f aca="false">IF(ISBLANK(customer_churn_dataset!H356),0,customer_churn_dataset!H356)</f>
        <v>1</v>
      </c>
      <c r="I356" s="7" t="n">
        <f aca="false">IF(ISBLANK(customer_churn_dataset!I356),ROUND(MEDIAN(customer_churn_dataset!I$2:I$1501),1),MIN(100,MAX(0,customer_churn_dataset!I356)))</f>
        <v>81.2</v>
      </c>
      <c r="J356" s="7" t="n">
        <f aca="false">IF(ISBLANK(customer_churn_dataset!J356),0,MAX(0,customer_churn_dataset!J356))</f>
        <v>24</v>
      </c>
      <c r="K356" s="7" t="n">
        <f aca="false">IF(ISBLANK(customer_churn_dataset!K356),0,MIN(10,MAX(0,customer_churn_dataset!K356)))</f>
        <v>7</v>
      </c>
      <c r="L356" s="7" t="n">
        <f aca="false">IF(ISBLANK(customer_churn_dataset!L356),0,MAX(0,customer_churn_dataset!L356))</f>
        <v>0</v>
      </c>
      <c r="M356" s="7" t="n">
        <f aca="false">IF(ISBLANK(customer_churn_dataset!M356),0,customer_churn_dataset!M356)</f>
        <v>0</v>
      </c>
      <c r="N356" s="7" t="n">
        <f aca="false">IF(ISBLANK(customer_churn_dataset!N356),0,MAX(0,customer_churn_dataset!N356))</f>
        <v>568.4</v>
      </c>
      <c r="O356" s="7" t="n">
        <f aca="false">IF(ISBLANK(customer_churn_dataset!O356),0,customer_churn_dataset!O356)</f>
        <v>0</v>
      </c>
      <c r="P356" s="7" t="str">
        <f aca="false">IF(COUNTIF(customer_churn_dataset!$A$2:$A$1501,customer_churn_dataset!A356)&gt;1,"Duplicate","Unique")</f>
        <v>Unique</v>
      </c>
    </row>
    <row r="357" customFormat="false" ht="14.15" hidden="false" customHeight="true" outlineLevel="0" collapsed="false">
      <c r="A357" s="7" t="str">
        <f aca="false">TRIM(customer_churn_dataset!A357)</f>
        <v>CUST101038</v>
      </c>
      <c r="B357" s="7" t="str">
        <f aca="false">PROPER(TRIM(customer_churn_dataset!B357))</f>
        <v>Basic</v>
      </c>
      <c r="C357" s="7" t="str">
        <f aca="false">PROPER(TRIM(customer_churn_dataset!C357))</f>
        <v>Two Year</v>
      </c>
      <c r="D357" s="7" t="n">
        <f aca="false">IF(ISBLANK(customer_churn_dataset!D357),ROUND(MEDIAN(customer_churn_dataset!D$2:D$1501),2),IF(customer_churn_dataset!D357&lt;0,ABS(customer_churn_dataset!D357),customer_churn_dataset!D357))</f>
        <v>9.35</v>
      </c>
      <c r="E357" s="7" t="n">
        <f aca="false">IF(ISBLANK(customer_churn_dataset!E357),0,MAX(0,customer_churn_dataset!E357))</f>
        <v>2</v>
      </c>
      <c r="F357" s="8" t="n">
        <f aca="false">IF(ISBLANK(customer_churn_dataset!F357),"",customer_churn_dataset!F357)</f>
        <v>44315</v>
      </c>
      <c r="G357" s="7" t="str">
        <f aca="false">PROPER(TRIM(customer_churn_dataset!G357))</f>
        <v>Credit Card</v>
      </c>
      <c r="H357" s="7" t="n">
        <f aca="false">IF(ISBLANK(customer_churn_dataset!H357),0,customer_churn_dataset!H357)</f>
        <v>1</v>
      </c>
      <c r="I357" s="7" t="n">
        <f aca="false">IF(ISBLANK(customer_churn_dataset!I357),ROUND(MEDIAN(customer_churn_dataset!I$2:I$1501),1),MIN(100,MAX(0,customer_churn_dataset!I357)))</f>
        <v>36.3</v>
      </c>
      <c r="J357" s="7" t="n">
        <f aca="false">IF(ISBLANK(customer_churn_dataset!J357),0,MAX(0,customer_churn_dataset!J357))</f>
        <v>17</v>
      </c>
      <c r="K357" s="7" t="n">
        <f aca="false">IF(ISBLANK(customer_churn_dataset!K357),0,MIN(10,MAX(0,customer_churn_dataset!K357)))</f>
        <v>1</v>
      </c>
      <c r="L357" s="7" t="n">
        <f aca="false">IF(ISBLANK(customer_churn_dataset!L357),0,MAX(0,customer_churn_dataset!L357))</f>
        <v>1</v>
      </c>
      <c r="M357" s="7" t="n">
        <f aca="false">IF(ISBLANK(customer_churn_dataset!M357),0,customer_churn_dataset!M357)</f>
        <v>1</v>
      </c>
      <c r="N357" s="7" t="n">
        <f aca="false">IF(ISBLANK(customer_churn_dataset!N357),0,MAX(0,customer_churn_dataset!N357))</f>
        <v>18.7</v>
      </c>
      <c r="O357" s="7" t="n">
        <f aca="false">IF(ISBLANK(customer_churn_dataset!O357),0,customer_churn_dataset!O357)</f>
        <v>0</v>
      </c>
      <c r="P357" s="7" t="str">
        <f aca="false">IF(COUNTIF(customer_churn_dataset!$A$2:$A$1501,customer_churn_dataset!A357)&gt;1,"Duplicate","Unique")</f>
        <v>Unique</v>
      </c>
    </row>
    <row r="358" customFormat="false" ht="14.15" hidden="false" customHeight="true" outlineLevel="0" collapsed="false">
      <c r="A358" s="7" t="str">
        <f aca="false">TRIM(customer_churn_dataset!A358)</f>
        <v>CUST101442</v>
      </c>
      <c r="B358" s="7" t="str">
        <f aca="false">PROPER(TRIM(customer_churn_dataset!B358))</f>
        <v>Standard</v>
      </c>
      <c r="C358" s="7" t="str">
        <f aca="false">PROPER(TRIM(customer_churn_dataset!C358))</f>
        <v>Month-To-Month</v>
      </c>
      <c r="D358" s="7" t="n">
        <f aca="false">IF(ISBLANK(customer_churn_dataset!D358),ROUND(MEDIAN(customer_churn_dataset!D$2:D$1501),2),IF(customer_churn_dataset!D358&lt;0,ABS(customer_churn_dataset!D358),customer_churn_dataset!D358))</f>
        <v>19.35</v>
      </c>
      <c r="E358" s="7" t="n">
        <f aca="false">IF(ISBLANK(customer_churn_dataset!E358),0,MAX(0,customer_churn_dataset!E358))</f>
        <v>16</v>
      </c>
      <c r="F358" s="8" t="n">
        <f aca="false">IF(ISBLANK(customer_churn_dataset!F358),"",customer_churn_dataset!F358)</f>
        <v>44315</v>
      </c>
      <c r="G358" s="7" t="str">
        <f aca="false">PROPER(TRIM(customer_churn_dataset!G358))</f>
        <v>Credit Card</v>
      </c>
      <c r="H358" s="7" t="n">
        <f aca="false">IF(ISBLANK(customer_churn_dataset!H358),0,customer_churn_dataset!H358)</f>
        <v>0</v>
      </c>
      <c r="I358" s="7" t="n">
        <f aca="false">IF(ISBLANK(customer_churn_dataset!I358),ROUND(MEDIAN(customer_churn_dataset!I$2:I$1501),1),MIN(100,MAX(0,customer_churn_dataset!I358)))</f>
        <v>46.1</v>
      </c>
      <c r="J358" s="7" t="n">
        <f aca="false">IF(ISBLANK(customer_churn_dataset!J358),0,MAX(0,customer_churn_dataset!J358))</f>
        <v>15</v>
      </c>
      <c r="K358" s="7" t="n">
        <f aca="false">IF(ISBLANK(customer_churn_dataset!K358),0,MIN(10,MAX(0,customer_churn_dataset!K358)))</f>
        <v>6</v>
      </c>
      <c r="L358" s="7" t="n">
        <f aca="false">IF(ISBLANK(customer_churn_dataset!L358),0,MAX(0,customer_churn_dataset!L358))</f>
        <v>2</v>
      </c>
      <c r="M358" s="7" t="n">
        <f aca="false">IF(ISBLANK(customer_churn_dataset!M358),0,customer_churn_dataset!M358)</f>
        <v>0</v>
      </c>
      <c r="N358" s="7" t="n">
        <f aca="false">IF(ISBLANK(customer_churn_dataset!N358),0,MAX(0,customer_churn_dataset!N358))</f>
        <v>309.6</v>
      </c>
      <c r="O358" s="7" t="n">
        <f aca="false">IF(ISBLANK(customer_churn_dataset!O358),0,customer_churn_dataset!O358)</f>
        <v>1</v>
      </c>
      <c r="P358" s="7" t="str">
        <f aca="false">IF(COUNTIF(customer_churn_dataset!$A$2:$A$1501,customer_churn_dataset!A358)&gt;1,"Duplicate","Unique")</f>
        <v>Unique</v>
      </c>
    </row>
    <row r="359" customFormat="false" ht="14.15" hidden="false" customHeight="true" outlineLevel="0" collapsed="false">
      <c r="A359" s="7" t="str">
        <f aca="false">TRIM(customer_churn_dataset!A359)</f>
        <v>CUST100348</v>
      </c>
      <c r="B359" s="7" t="str">
        <f aca="false">PROPER(TRIM(customer_churn_dataset!B359))</f>
        <v>Basic</v>
      </c>
      <c r="C359" s="7" t="str">
        <f aca="false">PROPER(TRIM(customer_churn_dataset!C359))</f>
        <v>Two Year</v>
      </c>
      <c r="D359" s="7" t="n">
        <f aca="false">IF(ISBLANK(customer_churn_dataset!D359),ROUND(MEDIAN(customer_churn_dataset!D$2:D$1501),2),IF(customer_churn_dataset!D359&lt;0,ABS(customer_churn_dataset!D359),customer_churn_dataset!D359))</f>
        <v>10.08</v>
      </c>
      <c r="E359" s="7" t="n">
        <f aca="false">IF(ISBLANK(customer_churn_dataset!E359),0,MAX(0,customer_churn_dataset!E359))</f>
        <v>11</v>
      </c>
      <c r="F359" s="8" t="n">
        <f aca="false">IF(ISBLANK(customer_churn_dataset!F359),"",customer_churn_dataset!F359)</f>
        <v>44316</v>
      </c>
      <c r="G359" s="7" t="str">
        <f aca="false">PROPER(TRIM(customer_churn_dataset!G359))</f>
        <v>Bank Transfer</v>
      </c>
      <c r="H359" s="7" t="n">
        <f aca="false">IF(ISBLANK(customer_churn_dataset!H359),0,customer_churn_dataset!H359)</f>
        <v>1</v>
      </c>
      <c r="I359" s="7" t="n">
        <f aca="false">IF(ISBLANK(customer_churn_dataset!I359),ROUND(MEDIAN(customer_churn_dataset!I$2:I$1501),1),MIN(100,MAX(0,customer_churn_dataset!I359)))</f>
        <v>62.8</v>
      </c>
      <c r="J359" s="7" t="n">
        <f aca="false">IF(ISBLANK(customer_churn_dataset!J359),0,MAX(0,customer_churn_dataset!J359))</f>
        <v>14</v>
      </c>
      <c r="K359" s="7" t="n">
        <f aca="false">IF(ISBLANK(customer_churn_dataset!K359),0,MIN(10,MAX(0,customer_churn_dataset!K359)))</f>
        <v>5</v>
      </c>
      <c r="L359" s="7" t="n">
        <f aca="false">IF(ISBLANK(customer_churn_dataset!L359),0,MAX(0,customer_churn_dataset!L359))</f>
        <v>1</v>
      </c>
      <c r="M359" s="7" t="n">
        <f aca="false">IF(ISBLANK(customer_churn_dataset!M359),0,customer_churn_dataset!M359)</f>
        <v>1</v>
      </c>
      <c r="N359" s="7" t="n">
        <f aca="false">IF(ISBLANK(customer_churn_dataset!N359),0,MAX(0,customer_churn_dataset!N359))</f>
        <v>110.88</v>
      </c>
      <c r="O359" s="7" t="n">
        <f aca="false">IF(ISBLANK(customer_churn_dataset!O359),0,customer_churn_dataset!O359)</f>
        <v>0</v>
      </c>
      <c r="P359" s="7" t="str">
        <f aca="false">IF(COUNTIF(customer_churn_dataset!$A$2:$A$1501,customer_churn_dataset!A359)&gt;1,"Duplicate","Unique")</f>
        <v>Unique</v>
      </c>
    </row>
    <row r="360" customFormat="false" ht="14.15" hidden="false" customHeight="true" outlineLevel="0" collapsed="false">
      <c r="A360" s="7" t="str">
        <f aca="false">TRIM(customer_churn_dataset!A360)</f>
        <v>CUST100124</v>
      </c>
      <c r="B360" s="7" t="str">
        <f aca="false">PROPER(TRIM(customer_churn_dataset!B360))</f>
        <v>Basic</v>
      </c>
      <c r="C360" s="7" t="str">
        <f aca="false">PROPER(TRIM(customer_churn_dataset!C360))</f>
        <v>Month-To-Month</v>
      </c>
      <c r="D360" s="7" t="n">
        <f aca="false">IF(ISBLANK(customer_churn_dataset!D360),ROUND(MEDIAN(customer_churn_dataset!D$2:D$1501),2),IF(customer_churn_dataset!D360&lt;0,ABS(customer_churn_dataset!D360),customer_churn_dataset!D360))</f>
        <v>9.2</v>
      </c>
      <c r="E360" s="7" t="n">
        <f aca="false">IF(ISBLANK(customer_churn_dataset!E360),0,MAX(0,customer_churn_dataset!E360))</f>
        <v>72</v>
      </c>
      <c r="F360" s="8" t="n">
        <f aca="false">IF(ISBLANK(customer_churn_dataset!F360),"",customer_churn_dataset!F360)</f>
        <v>44317</v>
      </c>
      <c r="G360" s="7" t="str">
        <f aca="false">PROPER(TRIM(customer_churn_dataset!G360))</f>
        <v>Paypal</v>
      </c>
      <c r="H360" s="7" t="n">
        <f aca="false">IF(ISBLANK(customer_churn_dataset!H360),0,customer_churn_dataset!H360)</f>
        <v>1</v>
      </c>
      <c r="I360" s="7" t="n">
        <f aca="false">IF(ISBLANK(customer_churn_dataset!I360),ROUND(MEDIAN(customer_churn_dataset!I$2:I$1501),1),MIN(100,MAX(0,customer_churn_dataset!I360)))</f>
        <v>45.2</v>
      </c>
      <c r="J360" s="7" t="n">
        <f aca="false">IF(ISBLANK(customer_churn_dataset!J360),0,MAX(0,customer_churn_dataset!J360))</f>
        <v>17</v>
      </c>
      <c r="K360" s="7" t="n">
        <f aca="false">IF(ISBLANK(customer_churn_dataset!K360),0,MIN(10,MAX(0,customer_churn_dataset!K360)))</f>
        <v>2</v>
      </c>
      <c r="L360" s="7" t="n">
        <f aca="false">IF(ISBLANK(customer_churn_dataset!L360),0,MAX(0,customer_churn_dataset!L360))</f>
        <v>2</v>
      </c>
      <c r="M360" s="7" t="n">
        <f aca="false">IF(ISBLANK(customer_churn_dataset!M360),0,customer_churn_dataset!M360)</f>
        <v>0</v>
      </c>
      <c r="N360" s="7" t="n">
        <f aca="false">IF(ISBLANK(customer_churn_dataset!N360),0,MAX(0,customer_churn_dataset!N360))</f>
        <v>662.4</v>
      </c>
      <c r="O360" s="7" t="n">
        <f aca="false">IF(ISBLANK(customer_churn_dataset!O360),0,customer_churn_dataset!O360)</f>
        <v>0</v>
      </c>
      <c r="P360" s="7" t="str">
        <f aca="false">IF(COUNTIF(customer_churn_dataset!$A$2:$A$1501,customer_churn_dataset!A360)&gt;1,"Duplicate","Unique")</f>
        <v>Unique</v>
      </c>
    </row>
    <row r="361" customFormat="false" ht="14.15" hidden="false" customHeight="true" outlineLevel="0" collapsed="false">
      <c r="A361" s="7" t="str">
        <f aca="false">TRIM(customer_churn_dataset!A361)</f>
        <v>CUST101052</v>
      </c>
      <c r="B361" s="7" t="str">
        <f aca="false">PROPER(TRIM(customer_churn_dataset!B361))</f>
        <v>Premium</v>
      </c>
      <c r="C361" s="7" t="str">
        <f aca="false">PROPER(TRIM(customer_churn_dataset!C361))</f>
        <v>Month-To-Month</v>
      </c>
      <c r="D361" s="7" t="n">
        <f aca="false">IF(ISBLANK(customer_churn_dataset!D361),ROUND(MEDIAN(customer_churn_dataset!D$2:D$1501),2),IF(customer_churn_dataset!D361&lt;0,ABS(customer_churn_dataset!D361),customer_churn_dataset!D361))</f>
        <v>40.87</v>
      </c>
      <c r="E361" s="7" t="n">
        <f aca="false">IF(ISBLANK(customer_churn_dataset!E361),0,MAX(0,customer_churn_dataset!E361))</f>
        <v>7</v>
      </c>
      <c r="F361" s="8" t="n">
        <f aca="false">IF(ISBLANK(customer_churn_dataset!F361),"",customer_churn_dataset!F361)</f>
        <v>44318</v>
      </c>
      <c r="G361" s="7" t="str">
        <f aca="false">PROPER(TRIM(customer_churn_dataset!G361))</f>
        <v>Credit Card</v>
      </c>
      <c r="H361" s="7" t="n">
        <f aca="false">IF(ISBLANK(customer_churn_dataset!H361),0,customer_churn_dataset!H361)</f>
        <v>1</v>
      </c>
      <c r="I361" s="7" t="n">
        <f aca="false">IF(ISBLANK(customer_churn_dataset!I361),ROUND(MEDIAN(customer_churn_dataset!I$2:I$1501),1),MIN(100,MAX(0,customer_churn_dataset!I361)))</f>
        <v>76.1</v>
      </c>
      <c r="J361" s="7" t="n">
        <f aca="false">IF(ISBLANK(customer_churn_dataset!J361),0,MAX(0,customer_churn_dataset!J361))</f>
        <v>25</v>
      </c>
      <c r="K361" s="7" t="n">
        <f aca="false">IF(ISBLANK(customer_churn_dataset!K361),0,MIN(10,MAX(0,customer_churn_dataset!K361)))</f>
        <v>8</v>
      </c>
      <c r="L361" s="7" t="n">
        <f aca="false">IF(ISBLANK(customer_churn_dataset!L361),0,MAX(0,customer_churn_dataset!L361))</f>
        <v>0</v>
      </c>
      <c r="M361" s="7" t="n">
        <f aca="false">IF(ISBLANK(customer_churn_dataset!M361),0,customer_churn_dataset!M361)</f>
        <v>0</v>
      </c>
      <c r="N361" s="7" t="n">
        <f aca="false">IF(ISBLANK(customer_churn_dataset!N361),0,MAX(0,customer_churn_dataset!N361))</f>
        <v>286.09</v>
      </c>
      <c r="O361" s="7" t="n">
        <f aca="false">IF(ISBLANK(customer_churn_dataset!O361),0,customer_churn_dataset!O361)</f>
        <v>0</v>
      </c>
      <c r="P361" s="7" t="str">
        <f aca="false">IF(COUNTIF(customer_churn_dataset!$A$2:$A$1501,customer_churn_dataset!A361)&gt;1,"Duplicate","Unique")</f>
        <v>Unique</v>
      </c>
    </row>
    <row r="362" customFormat="false" ht="14.15" hidden="false" customHeight="true" outlineLevel="0" collapsed="false">
      <c r="A362" s="7" t="str">
        <f aca="false">TRIM(customer_churn_dataset!A362)</f>
        <v>CUST100622</v>
      </c>
      <c r="B362" s="7" t="str">
        <f aca="false">PROPER(TRIM(customer_churn_dataset!B362))</f>
        <v>Basic</v>
      </c>
      <c r="C362" s="7" t="str">
        <f aca="false">PROPER(TRIM(customer_churn_dataset!C362))</f>
        <v>Month-To-Month</v>
      </c>
      <c r="D362" s="7" t="n">
        <f aca="false">IF(ISBLANK(customer_churn_dataset!D362),ROUND(MEDIAN(customer_churn_dataset!D$2:D$1501),2),IF(customer_churn_dataset!D362&lt;0,ABS(customer_churn_dataset!D362),customer_churn_dataset!D362))</f>
        <v>8.49</v>
      </c>
      <c r="E362" s="7" t="n">
        <f aca="false">IF(ISBLANK(customer_churn_dataset!E362),0,MAX(0,customer_churn_dataset!E362))</f>
        <v>20</v>
      </c>
      <c r="F362" s="8" t="n">
        <f aca="false">IF(ISBLANK(customer_churn_dataset!F362),"",customer_churn_dataset!F362)</f>
        <v>44319</v>
      </c>
      <c r="G362" s="7" t="str">
        <f aca="false">PROPER(TRIM(customer_churn_dataset!G362))</f>
        <v>Credit Card</v>
      </c>
      <c r="H362" s="7" t="n">
        <f aca="false">IF(ISBLANK(customer_churn_dataset!H362),0,customer_churn_dataset!H362)</f>
        <v>1</v>
      </c>
      <c r="I362" s="7" t="n">
        <f aca="false">IF(ISBLANK(customer_churn_dataset!I362),ROUND(MEDIAN(customer_churn_dataset!I$2:I$1501),1),MIN(100,MAX(0,customer_churn_dataset!I362)))</f>
        <v>37.6</v>
      </c>
      <c r="J362" s="7" t="n">
        <f aca="false">IF(ISBLANK(customer_churn_dataset!J362),0,MAX(0,customer_churn_dataset!J362))</f>
        <v>19</v>
      </c>
      <c r="K362" s="7" t="n">
        <f aca="false">IF(ISBLANK(customer_churn_dataset!K362),0,MIN(10,MAX(0,customer_churn_dataset!K362)))</f>
        <v>3</v>
      </c>
      <c r="L362" s="7" t="n">
        <f aca="false">IF(ISBLANK(customer_churn_dataset!L362),0,MAX(0,customer_churn_dataset!L362))</f>
        <v>1</v>
      </c>
      <c r="M362" s="7" t="n">
        <f aca="false">IF(ISBLANK(customer_churn_dataset!M362),0,customer_churn_dataset!M362)</f>
        <v>1</v>
      </c>
      <c r="N362" s="7" t="n">
        <f aca="false">IF(ISBLANK(customer_churn_dataset!N362),0,MAX(0,customer_churn_dataset!N362))</f>
        <v>169.8</v>
      </c>
      <c r="O362" s="7" t="n">
        <f aca="false">IF(ISBLANK(customer_churn_dataset!O362),0,customer_churn_dataset!O362)</f>
        <v>0</v>
      </c>
      <c r="P362" s="7" t="str">
        <f aca="false">IF(COUNTIF(customer_churn_dataset!$A$2:$A$1501,customer_churn_dataset!A362)&gt;1,"Duplicate","Unique")</f>
        <v>Unique</v>
      </c>
    </row>
    <row r="363" customFormat="false" ht="14.15" hidden="false" customHeight="true" outlineLevel="0" collapsed="false">
      <c r="A363" s="7" t="str">
        <f aca="false">TRIM(customer_churn_dataset!A363)</f>
        <v>CUST101204</v>
      </c>
      <c r="B363" s="7" t="str">
        <f aca="false">PROPER(TRIM(customer_churn_dataset!B363))</f>
        <v>Standard</v>
      </c>
      <c r="C363" s="7" t="str">
        <f aca="false">PROPER(TRIM(customer_churn_dataset!C363))</f>
        <v>Month-To-Month</v>
      </c>
      <c r="D363" s="7" t="n">
        <f aca="false">IF(ISBLANK(customer_churn_dataset!D363),ROUND(MEDIAN(customer_churn_dataset!D$2:D$1501),2),IF(customer_churn_dataset!D363&lt;0,ABS(customer_churn_dataset!D363),customer_churn_dataset!D363))</f>
        <v>19.36</v>
      </c>
      <c r="E363" s="7" t="n">
        <f aca="false">IF(ISBLANK(customer_churn_dataset!E363),0,MAX(0,customer_churn_dataset!E363))</f>
        <v>65</v>
      </c>
      <c r="F363" s="8" t="n">
        <f aca="false">IF(ISBLANK(customer_churn_dataset!F363),"",customer_churn_dataset!F363)</f>
        <v>44320</v>
      </c>
      <c r="G363" s="7" t="str">
        <f aca="false">PROPER(TRIM(customer_churn_dataset!G363))</f>
        <v>Credit Card</v>
      </c>
      <c r="H363" s="7" t="n">
        <f aca="false">IF(ISBLANK(customer_churn_dataset!H363),0,customer_churn_dataset!H363)</f>
        <v>1</v>
      </c>
      <c r="I363" s="7" t="n">
        <f aca="false">IF(ISBLANK(customer_churn_dataset!I363),ROUND(MEDIAN(customer_churn_dataset!I$2:I$1501),1),MIN(100,MAX(0,customer_churn_dataset!I363)))</f>
        <v>39.6</v>
      </c>
      <c r="J363" s="7" t="n">
        <f aca="false">IF(ISBLANK(customer_churn_dataset!J363),0,MAX(0,customer_churn_dataset!J363))</f>
        <v>10</v>
      </c>
      <c r="K363" s="7" t="n">
        <f aca="false">IF(ISBLANK(customer_churn_dataset!K363),0,MIN(10,MAX(0,customer_churn_dataset!K363)))</f>
        <v>3</v>
      </c>
      <c r="L363" s="7" t="n">
        <f aca="false">IF(ISBLANK(customer_churn_dataset!L363),0,MAX(0,customer_churn_dataset!L363))</f>
        <v>1</v>
      </c>
      <c r="M363" s="7" t="n">
        <f aca="false">IF(ISBLANK(customer_churn_dataset!M363),0,customer_churn_dataset!M363)</f>
        <v>1</v>
      </c>
      <c r="N363" s="7" t="n">
        <f aca="false">IF(ISBLANK(customer_churn_dataset!N363),0,MAX(0,customer_churn_dataset!N363))</f>
        <v>1258.4</v>
      </c>
      <c r="O363" s="7" t="n">
        <f aca="false">IF(ISBLANK(customer_churn_dataset!O363),0,customer_churn_dataset!O363)</f>
        <v>1</v>
      </c>
      <c r="P363" s="7" t="str">
        <f aca="false">IF(COUNTIF(customer_churn_dataset!$A$2:$A$1501,customer_churn_dataset!A363)&gt;1,"Duplicate","Unique")</f>
        <v>Unique</v>
      </c>
    </row>
    <row r="364" customFormat="false" ht="14.15" hidden="false" customHeight="true" outlineLevel="0" collapsed="false">
      <c r="A364" s="7" t="str">
        <f aca="false">TRIM(customer_churn_dataset!A364)</f>
        <v>CUST100308</v>
      </c>
      <c r="B364" s="7" t="str">
        <f aca="false">PROPER(TRIM(customer_churn_dataset!B364))</f>
        <v>Standard</v>
      </c>
      <c r="C364" s="7" t="str">
        <f aca="false">PROPER(TRIM(customer_churn_dataset!C364))</f>
        <v>One Year</v>
      </c>
      <c r="D364" s="7" t="n">
        <f aca="false">IF(ISBLANK(customer_churn_dataset!D364),ROUND(MEDIAN(customer_churn_dataset!D$2:D$1501),2),IF(customer_churn_dataset!D364&lt;0,ABS(customer_churn_dataset!D364),customer_churn_dataset!D364))</f>
        <v>18.79</v>
      </c>
      <c r="E364" s="7" t="n">
        <f aca="false">IF(ISBLANK(customer_churn_dataset!E364),0,MAX(0,customer_churn_dataset!E364))</f>
        <v>12</v>
      </c>
      <c r="F364" s="8" t="n">
        <f aca="false">IF(ISBLANK(customer_churn_dataset!F364),"",customer_churn_dataset!F364)</f>
        <v>44328</v>
      </c>
      <c r="G364" s="7" t="str">
        <f aca="false">PROPER(TRIM(customer_churn_dataset!G364))</f>
        <v>Credit Card</v>
      </c>
      <c r="H364" s="7" t="n">
        <f aca="false">IF(ISBLANK(customer_churn_dataset!H364),0,customer_churn_dataset!H364)</f>
        <v>1</v>
      </c>
      <c r="I364" s="7" t="n">
        <f aca="false">IF(ISBLANK(customer_churn_dataset!I364),ROUND(MEDIAN(customer_churn_dataset!I$2:I$1501),1),MIN(100,MAX(0,customer_churn_dataset!I364)))</f>
        <v>30.5</v>
      </c>
      <c r="J364" s="7" t="n">
        <f aca="false">IF(ISBLANK(customer_churn_dataset!J364),0,MAX(0,customer_churn_dataset!J364))</f>
        <v>8</v>
      </c>
      <c r="K364" s="7" t="n">
        <f aca="false">IF(ISBLANK(customer_churn_dataset!K364),0,MIN(10,MAX(0,customer_churn_dataset!K364)))</f>
        <v>2</v>
      </c>
      <c r="L364" s="7" t="n">
        <f aca="false">IF(ISBLANK(customer_churn_dataset!L364),0,MAX(0,customer_churn_dataset!L364))</f>
        <v>2</v>
      </c>
      <c r="M364" s="7" t="n">
        <f aca="false">IF(ISBLANK(customer_churn_dataset!M364),0,customer_churn_dataset!M364)</f>
        <v>0</v>
      </c>
      <c r="N364" s="7" t="n">
        <f aca="false">IF(ISBLANK(customer_churn_dataset!N364),0,MAX(0,customer_churn_dataset!N364))</f>
        <v>225.48</v>
      </c>
      <c r="O364" s="7" t="n">
        <f aca="false">IF(ISBLANK(customer_churn_dataset!O364),0,customer_churn_dataset!O364)</f>
        <v>0</v>
      </c>
      <c r="P364" s="7" t="str">
        <f aca="false">IF(COUNTIF(customer_churn_dataset!$A$2:$A$1501,customer_churn_dataset!A364)&gt;1,"Duplicate","Unique")</f>
        <v>Unique</v>
      </c>
    </row>
    <row r="365" customFormat="false" ht="14.15" hidden="false" customHeight="true" outlineLevel="0" collapsed="false">
      <c r="A365" s="7" t="str">
        <f aca="false">TRIM(customer_churn_dataset!A365)</f>
        <v>CUST100599</v>
      </c>
      <c r="B365" s="7" t="str">
        <f aca="false">PROPER(TRIM(customer_churn_dataset!B365))</f>
        <v>Basic</v>
      </c>
      <c r="C365" s="7" t="str">
        <f aca="false">PROPER(TRIM(customer_churn_dataset!C365))</f>
        <v>One Year</v>
      </c>
      <c r="D365" s="7" t="n">
        <f aca="false">IF(ISBLANK(customer_churn_dataset!D365),ROUND(MEDIAN(customer_churn_dataset!D$2:D$1501),2),IF(customer_churn_dataset!D365&lt;0,ABS(customer_churn_dataset!D365),customer_churn_dataset!D365))</f>
        <v>11.3</v>
      </c>
      <c r="E365" s="7" t="n">
        <f aca="false">IF(ISBLANK(customer_churn_dataset!E365),0,MAX(0,customer_churn_dataset!E365))</f>
        <v>15</v>
      </c>
      <c r="F365" s="8" t="n">
        <f aca="false">IF(ISBLANK(customer_churn_dataset!F365),"",customer_churn_dataset!F365)</f>
        <v>44328</v>
      </c>
      <c r="G365" s="7" t="str">
        <f aca="false">PROPER(TRIM(customer_churn_dataset!G365))</f>
        <v>Credit Card</v>
      </c>
      <c r="H365" s="7" t="n">
        <f aca="false">IF(ISBLANK(customer_churn_dataset!H365),0,customer_churn_dataset!H365)</f>
        <v>1</v>
      </c>
      <c r="I365" s="7" t="n">
        <f aca="false">IF(ISBLANK(customer_churn_dataset!I365),ROUND(MEDIAN(customer_churn_dataset!I$2:I$1501),1),MIN(100,MAX(0,customer_churn_dataset!I365)))</f>
        <v>79.6</v>
      </c>
      <c r="J365" s="7" t="n">
        <f aca="false">IF(ISBLANK(customer_churn_dataset!J365),0,MAX(0,customer_churn_dataset!J365))</f>
        <v>28</v>
      </c>
      <c r="K365" s="7" t="n">
        <f aca="false">IF(ISBLANK(customer_churn_dataset!K365),0,MIN(10,MAX(0,customer_churn_dataset!K365)))</f>
        <v>6</v>
      </c>
      <c r="L365" s="7" t="n">
        <f aca="false">IF(ISBLANK(customer_churn_dataset!L365),0,MAX(0,customer_churn_dataset!L365))</f>
        <v>3</v>
      </c>
      <c r="M365" s="7" t="n">
        <f aca="false">IF(ISBLANK(customer_churn_dataset!M365),0,customer_churn_dataset!M365)</f>
        <v>0</v>
      </c>
      <c r="N365" s="7" t="n">
        <f aca="false">IF(ISBLANK(customer_churn_dataset!N365),0,MAX(0,customer_churn_dataset!N365))</f>
        <v>169.5</v>
      </c>
      <c r="O365" s="7" t="n">
        <f aca="false">IF(ISBLANK(customer_churn_dataset!O365),0,customer_churn_dataset!O365)</f>
        <v>0</v>
      </c>
      <c r="P365" s="7" t="str">
        <f aca="false">IF(COUNTIF(customer_churn_dataset!$A$2:$A$1501,customer_churn_dataset!A365)&gt;1,"Duplicate","Unique")</f>
        <v>Unique</v>
      </c>
    </row>
    <row r="366" customFormat="false" ht="14.15" hidden="false" customHeight="true" outlineLevel="0" collapsed="false">
      <c r="A366" s="7" t="str">
        <f aca="false">TRIM(customer_churn_dataset!A366)</f>
        <v>CUST100732</v>
      </c>
      <c r="B366" s="7" t="str">
        <f aca="false">PROPER(TRIM(customer_churn_dataset!B366))</f>
        <v>Standard</v>
      </c>
      <c r="C366" s="7" t="str">
        <f aca="false">PROPER(TRIM(customer_churn_dataset!C366))</f>
        <v>Month-To-Month</v>
      </c>
      <c r="D366" s="7" t="n">
        <f aca="false">IF(ISBLANK(customer_churn_dataset!D366),ROUND(MEDIAN(customer_churn_dataset!D$2:D$1501),2),IF(customer_churn_dataset!D366&lt;0,ABS(customer_churn_dataset!D366),customer_churn_dataset!D366))</f>
        <v>19.55</v>
      </c>
      <c r="E366" s="7" t="n">
        <f aca="false">IF(ISBLANK(customer_churn_dataset!E366),0,MAX(0,customer_churn_dataset!E366))</f>
        <v>23</v>
      </c>
      <c r="F366" s="8" t="n">
        <f aca="false">IF(ISBLANK(customer_churn_dataset!F366),"",customer_churn_dataset!F366)</f>
        <v>44330</v>
      </c>
      <c r="G366" s="7" t="str">
        <f aca="false">PROPER(TRIM(customer_churn_dataset!G366))</f>
        <v>Credit Card</v>
      </c>
      <c r="H366" s="7" t="n">
        <f aca="false">IF(ISBLANK(customer_churn_dataset!H366),0,customer_churn_dataset!H366)</f>
        <v>1</v>
      </c>
      <c r="I366" s="7" t="n">
        <f aca="false">IF(ISBLANK(customer_churn_dataset!I366),ROUND(MEDIAN(customer_churn_dataset!I$2:I$1501),1),MIN(100,MAX(0,customer_churn_dataset!I366)))</f>
        <v>59.9</v>
      </c>
      <c r="J366" s="7" t="n">
        <f aca="false">IF(ISBLANK(customer_churn_dataset!J366),0,MAX(0,customer_churn_dataset!J366))</f>
        <v>15</v>
      </c>
      <c r="K366" s="7" t="n">
        <f aca="false">IF(ISBLANK(customer_churn_dataset!K366),0,MIN(10,MAX(0,customer_churn_dataset!K366)))</f>
        <v>7</v>
      </c>
      <c r="L366" s="7" t="n">
        <f aca="false">IF(ISBLANK(customer_churn_dataset!L366),0,MAX(0,customer_churn_dataset!L366))</f>
        <v>0</v>
      </c>
      <c r="M366" s="7" t="n">
        <f aca="false">IF(ISBLANK(customer_churn_dataset!M366),0,customer_churn_dataset!M366)</f>
        <v>0</v>
      </c>
      <c r="N366" s="7" t="n">
        <f aca="false">IF(ISBLANK(customer_churn_dataset!N366),0,MAX(0,customer_churn_dataset!N366))</f>
        <v>449.65</v>
      </c>
      <c r="O366" s="7" t="n">
        <f aca="false">IF(ISBLANK(customer_churn_dataset!O366),0,customer_churn_dataset!O366)</f>
        <v>0</v>
      </c>
      <c r="P366" s="7" t="str">
        <f aca="false">IF(COUNTIF(customer_churn_dataset!$A$2:$A$1501,customer_churn_dataset!A366)&gt;1,"Duplicate","Unique")</f>
        <v>Unique</v>
      </c>
    </row>
    <row r="367" customFormat="false" ht="14.15" hidden="false" customHeight="true" outlineLevel="0" collapsed="false">
      <c r="A367" s="7" t="str">
        <f aca="false">TRIM(customer_churn_dataset!A367)</f>
        <v>CUST100410</v>
      </c>
      <c r="B367" s="7" t="str">
        <f aca="false">PROPER(TRIM(customer_churn_dataset!B367))</f>
        <v>Basic</v>
      </c>
      <c r="C367" s="7" t="str">
        <f aca="false">PROPER(TRIM(customer_churn_dataset!C367))</f>
        <v>One Year</v>
      </c>
      <c r="D367" s="7" t="n">
        <f aca="false">IF(ISBLANK(customer_churn_dataset!D367),ROUND(MEDIAN(customer_churn_dataset!D$2:D$1501),2),IF(customer_churn_dataset!D367&lt;0,ABS(customer_churn_dataset!D367),customer_churn_dataset!D367))</f>
        <v>10.78</v>
      </c>
      <c r="E367" s="7" t="n">
        <f aca="false">IF(ISBLANK(customer_churn_dataset!E367),0,MAX(0,customer_churn_dataset!E367))</f>
        <v>3</v>
      </c>
      <c r="F367" s="8" t="n">
        <f aca="false">IF(ISBLANK(customer_churn_dataset!F367),"",customer_churn_dataset!F367)</f>
        <v>44330</v>
      </c>
      <c r="G367" s="7" t="str">
        <f aca="false">PROPER(TRIM(customer_churn_dataset!G367))</f>
        <v>Bank Transfer</v>
      </c>
      <c r="H367" s="7" t="n">
        <f aca="false">IF(ISBLANK(customer_churn_dataset!H367),0,customer_churn_dataset!H367)</f>
        <v>1</v>
      </c>
      <c r="I367" s="7" t="n">
        <f aca="false">IF(ISBLANK(customer_churn_dataset!I367),ROUND(MEDIAN(customer_churn_dataset!I$2:I$1501),1),MIN(100,MAX(0,customer_churn_dataset!I367)))</f>
        <v>68.6</v>
      </c>
      <c r="J367" s="7" t="n">
        <f aca="false">IF(ISBLANK(customer_churn_dataset!J367),0,MAX(0,customer_churn_dataset!J367))</f>
        <v>17</v>
      </c>
      <c r="K367" s="7" t="n">
        <f aca="false">IF(ISBLANK(customer_churn_dataset!K367),0,MIN(10,MAX(0,customer_churn_dataset!K367)))</f>
        <v>7</v>
      </c>
      <c r="L367" s="7" t="n">
        <f aca="false">IF(ISBLANK(customer_churn_dataset!L367),0,MAX(0,customer_churn_dataset!L367))</f>
        <v>1</v>
      </c>
      <c r="M367" s="7" t="n">
        <f aca="false">IF(ISBLANK(customer_churn_dataset!M367),0,customer_churn_dataset!M367)</f>
        <v>1</v>
      </c>
      <c r="N367" s="7" t="n">
        <f aca="false">IF(ISBLANK(customer_churn_dataset!N367),0,MAX(0,customer_churn_dataset!N367))</f>
        <v>32.34</v>
      </c>
      <c r="O367" s="7" t="n">
        <f aca="false">IF(ISBLANK(customer_churn_dataset!O367),0,customer_churn_dataset!O367)</f>
        <v>1</v>
      </c>
      <c r="P367" s="7" t="str">
        <f aca="false">IF(COUNTIF(customer_churn_dataset!$A$2:$A$1501,customer_churn_dataset!A367)&gt;1,"Duplicate","Unique")</f>
        <v>Unique</v>
      </c>
    </row>
    <row r="368" customFormat="false" ht="14.15" hidden="false" customHeight="true" outlineLevel="0" collapsed="false">
      <c r="A368" s="7" t="str">
        <f aca="false">TRIM(customer_churn_dataset!A368)</f>
        <v>CUST100606</v>
      </c>
      <c r="B368" s="7" t="str">
        <f aca="false">PROPER(TRIM(customer_churn_dataset!B368))</f>
        <v>Basic</v>
      </c>
      <c r="C368" s="7" t="str">
        <f aca="false">PROPER(TRIM(customer_churn_dataset!C368))</f>
        <v>Month-To-Month</v>
      </c>
      <c r="D368" s="7" t="n">
        <f aca="false">IF(ISBLANK(customer_churn_dataset!D368),ROUND(MEDIAN(customer_churn_dataset!D$2:D$1501),2),IF(customer_churn_dataset!D368&lt;0,ABS(customer_churn_dataset!D368),customer_churn_dataset!D368))</f>
        <v>12.16</v>
      </c>
      <c r="E368" s="7" t="n">
        <f aca="false">IF(ISBLANK(customer_churn_dataset!E368),0,MAX(0,customer_churn_dataset!E368))</f>
        <v>1</v>
      </c>
      <c r="F368" s="8" t="n">
        <f aca="false">IF(ISBLANK(customer_churn_dataset!F368),"",customer_churn_dataset!F368)</f>
        <v>44331</v>
      </c>
      <c r="G368" s="7" t="str">
        <f aca="false">PROPER(TRIM(customer_churn_dataset!G368))</f>
        <v>Credit Card</v>
      </c>
      <c r="H368" s="7" t="n">
        <f aca="false">IF(ISBLANK(customer_churn_dataset!H368),0,customer_churn_dataset!H368)</f>
        <v>0</v>
      </c>
      <c r="I368" s="7" t="n">
        <f aca="false">IF(ISBLANK(customer_churn_dataset!I368),ROUND(MEDIAN(customer_churn_dataset!I$2:I$1501),1),MIN(100,MAX(0,customer_churn_dataset!I368)))</f>
        <v>36.8</v>
      </c>
      <c r="J368" s="7" t="n">
        <f aca="false">IF(ISBLANK(customer_churn_dataset!J368),0,MAX(0,customer_churn_dataset!J368))</f>
        <v>5</v>
      </c>
      <c r="K368" s="7" t="n">
        <f aca="false">IF(ISBLANK(customer_churn_dataset!K368),0,MIN(10,MAX(0,customer_churn_dataset!K368)))</f>
        <v>4</v>
      </c>
      <c r="L368" s="7" t="n">
        <f aca="false">IF(ISBLANK(customer_churn_dataset!L368),0,MAX(0,customer_churn_dataset!L368))</f>
        <v>0</v>
      </c>
      <c r="M368" s="7" t="n">
        <f aca="false">IF(ISBLANK(customer_churn_dataset!M368),0,customer_churn_dataset!M368)</f>
        <v>0</v>
      </c>
      <c r="N368" s="7" t="n">
        <f aca="false">IF(ISBLANK(customer_churn_dataset!N368),0,MAX(0,customer_churn_dataset!N368))</f>
        <v>12.16</v>
      </c>
      <c r="O368" s="7" t="n">
        <f aca="false">IF(ISBLANK(customer_churn_dataset!O368),0,customer_churn_dataset!O368)</f>
        <v>0</v>
      </c>
      <c r="P368" s="7" t="str">
        <f aca="false">IF(COUNTIF(customer_churn_dataset!$A$2:$A$1501,customer_churn_dataset!A368)&gt;1,"Duplicate","Unique")</f>
        <v>Unique</v>
      </c>
    </row>
    <row r="369" customFormat="false" ht="14.15" hidden="false" customHeight="true" outlineLevel="0" collapsed="false">
      <c r="A369" s="7" t="str">
        <f aca="false">TRIM(customer_churn_dataset!A369)</f>
        <v>CUST100554</v>
      </c>
      <c r="B369" s="7" t="str">
        <f aca="false">PROPER(TRIM(customer_churn_dataset!B369))</f>
        <v>Premium</v>
      </c>
      <c r="C369" s="7" t="str">
        <f aca="false">PROPER(TRIM(customer_churn_dataset!C369))</f>
        <v>Two Year</v>
      </c>
      <c r="D369" s="7" t="n">
        <f aca="false">IF(ISBLANK(customer_churn_dataset!D369),ROUND(MEDIAN(customer_churn_dataset!D$2:D$1501),2),IF(customer_churn_dataset!D369&lt;0,ABS(customer_churn_dataset!D369),customer_churn_dataset!D369))</f>
        <v>39.45</v>
      </c>
      <c r="E369" s="7" t="n">
        <f aca="false">IF(ISBLANK(customer_churn_dataset!E369),0,MAX(0,customer_churn_dataset!E369))</f>
        <v>4</v>
      </c>
      <c r="F369" s="8" t="n">
        <f aca="false">IF(ISBLANK(customer_churn_dataset!F369),"",customer_churn_dataset!F369)</f>
        <v>44331</v>
      </c>
      <c r="G369" s="7" t="str">
        <f aca="false">PROPER(TRIM(customer_churn_dataset!G369))</f>
        <v>Manual/Invoice</v>
      </c>
      <c r="H369" s="7" t="n">
        <f aca="false">IF(ISBLANK(customer_churn_dataset!H369),0,customer_churn_dataset!H369)</f>
        <v>0</v>
      </c>
      <c r="I369" s="7" t="n">
        <f aca="false">IF(ISBLANK(customer_churn_dataset!I369),ROUND(MEDIAN(customer_churn_dataset!I$2:I$1501),1),MIN(100,MAX(0,customer_churn_dataset!I369)))</f>
        <v>16.2</v>
      </c>
      <c r="J369" s="7" t="n">
        <f aca="false">IF(ISBLANK(customer_churn_dataset!J369),0,MAX(0,customer_churn_dataset!J369))</f>
        <v>5</v>
      </c>
      <c r="K369" s="7" t="n">
        <f aca="false">IF(ISBLANK(customer_churn_dataset!K369),0,MIN(10,MAX(0,customer_churn_dataset!K369)))</f>
        <v>1</v>
      </c>
      <c r="L369" s="7" t="n">
        <f aca="false">IF(ISBLANK(customer_churn_dataset!L369),0,MAX(0,customer_churn_dataset!L369))</f>
        <v>7</v>
      </c>
      <c r="M369" s="7" t="n">
        <f aca="false">IF(ISBLANK(customer_churn_dataset!M369),0,customer_churn_dataset!M369)</f>
        <v>0</v>
      </c>
      <c r="N369" s="7" t="n">
        <f aca="false">IF(ISBLANK(customer_churn_dataset!N369),0,MAX(0,customer_churn_dataset!N369))</f>
        <v>157.8</v>
      </c>
      <c r="O369" s="7" t="n">
        <f aca="false">IF(ISBLANK(customer_churn_dataset!O369),0,customer_churn_dataset!O369)</f>
        <v>1</v>
      </c>
      <c r="P369" s="7" t="str">
        <f aca="false">IF(COUNTIF(customer_churn_dataset!$A$2:$A$1501,customer_churn_dataset!A369)&gt;1,"Duplicate","Unique")</f>
        <v>Unique</v>
      </c>
    </row>
    <row r="370" customFormat="false" ht="14.15" hidden="false" customHeight="true" outlineLevel="0" collapsed="false">
      <c r="A370" s="7" t="str">
        <f aca="false">TRIM(customer_churn_dataset!A370)</f>
        <v>CUST100987</v>
      </c>
      <c r="B370" s="7" t="str">
        <f aca="false">PROPER(TRIM(customer_churn_dataset!B370))</f>
        <v>Basic</v>
      </c>
      <c r="C370" s="7" t="str">
        <f aca="false">PROPER(TRIM(customer_churn_dataset!C370))</f>
        <v>Two Year</v>
      </c>
      <c r="D370" s="7" t="n">
        <f aca="false">IF(ISBLANK(customer_churn_dataset!D370),ROUND(MEDIAN(customer_churn_dataset!D$2:D$1501),2),IF(customer_churn_dataset!D370&lt;0,ABS(customer_churn_dataset!D370),customer_churn_dataset!D370))</f>
        <v>9.16</v>
      </c>
      <c r="E370" s="7" t="n">
        <f aca="false">IF(ISBLANK(customer_churn_dataset!E370),0,MAX(0,customer_churn_dataset!E370))</f>
        <v>43</v>
      </c>
      <c r="F370" s="8" t="n">
        <f aca="false">IF(ISBLANK(customer_churn_dataset!F370),"",customer_churn_dataset!F370)</f>
        <v>44333</v>
      </c>
      <c r="G370" s="7" t="str">
        <f aca="false">PROPER(TRIM(customer_churn_dataset!G370))</f>
        <v>Paypal</v>
      </c>
      <c r="H370" s="7" t="n">
        <f aca="false">IF(ISBLANK(customer_churn_dataset!H370),0,customer_churn_dataset!H370)</f>
        <v>1</v>
      </c>
      <c r="I370" s="7" t="n">
        <f aca="false">IF(ISBLANK(customer_churn_dataset!I370),ROUND(MEDIAN(customer_churn_dataset!I$2:I$1501),1),MIN(100,MAX(0,customer_churn_dataset!I370)))</f>
        <v>97.4</v>
      </c>
      <c r="J370" s="7" t="n">
        <f aca="false">IF(ISBLANK(customer_churn_dataset!J370),0,MAX(0,customer_churn_dataset!J370))</f>
        <v>35</v>
      </c>
      <c r="K370" s="7" t="n">
        <f aca="false">IF(ISBLANK(customer_churn_dataset!K370),0,MIN(10,MAX(0,customer_churn_dataset!K370)))</f>
        <v>8</v>
      </c>
      <c r="L370" s="7" t="n">
        <f aca="false">IF(ISBLANK(customer_churn_dataset!L370),0,MAX(0,customer_churn_dataset!L370))</f>
        <v>3</v>
      </c>
      <c r="M370" s="7" t="n">
        <f aca="false">IF(ISBLANK(customer_churn_dataset!M370),0,customer_churn_dataset!M370)</f>
        <v>1</v>
      </c>
      <c r="N370" s="7" t="n">
        <f aca="false">IF(ISBLANK(customer_churn_dataset!N370),0,MAX(0,customer_churn_dataset!N370))</f>
        <v>393.88</v>
      </c>
      <c r="O370" s="7" t="n">
        <f aca="false">IF(ISBLANK(customer_churn_dataset!O370),0,customer_churn_dataset!O370)</f>
        <v>0</v>
      </c>
      <c r="P370" s="7" t="str">
        <f aca="false">IF(COUNTIF(customer_churn_dataset!$A$2:$A$1501,customer_churn_dataset!A370)&gt;1,"Duplicate","Unique")</f>
        <v>Unique</v>
      </c>
    </row>
    <row r="371" customFormat="false" ht="14.15" hidden="false" customHeight="true" outlineLevel="0" collapsed="false">
      <c r="A371" s="7" t="str">
        <f aca="false">TRIM(customer_churn_dataset!A371)</f>
        <v>CUST100475</v>
      </c>
      <c r="B371" s="7" t="str">
        <f aca="false">PROPER(TRIM(customer_churn_dataset!B371))</f>
        <v>Premium</v>
      </c>
      <c r="C371" s="7" t="str">
        <f aca="false">PROPER(TRIM(customer_churn_dataset!C371))</f>
        <v>Month-To-Month</v>
      </c>
      <c r="D371" s="7" t="n">
        <f aca="false">IF(ISBLANK(customer_churn_dataset!D371),ROUND(MEDIAN(customer_churn_dataset!D$2:D$1501),2),IF(customer_churn_dataset!D371&lt;0,ABS(customer_churn_dataset!D371),customer_churn_dataset!D371))</f>
        <v>39.59</v>
      </c>
      <c r="E371" s="7" t="n">
        <f aca="false">IF(ISBLANK(customer_churn_dataset!E371),0,MAX(0,customer_churn_dataset!E371))</f>
        <v>65</v>
      </c>
      <c r="F371" s="8" t="n">
        <f aca="false">IF(ISBLANK(customer_churn_dataset!F371),"",customer_churn_dataset!F371)</f>
        <v>44334</v>
      </c>
      <c r="G371" s="7" t="str">
        <f aca="false">PROPER(TRIM(customer_churn_dataset!G371))</f>
        <v>Credit Card</v>
      </c>
      <c r="H371" s="7" t="n">
        <f aca="false">IF(ISBLANK(customer_churn_dataset!H371),0,customer_churn_dataset!H371)</f>
        <v>1</v>
      </c>
      <c r="I371" s="7" t="n">
        <f aca="false">IF(ISBLANK(customer_churn_dataset!I371),ROUND(MEDIAN(customer_churn_dataset!I$2:I$1501),1),MIN(100,MAX(0,customer_churn_dataset!I371)))</f>
        <v>70.5</v>
      </c>
      <c r="J371" s="7" t="n">
        <f aca="false">IF(ISBLANK(customer_churn_dataset!J371),0,MAX(0,customer_churn_dataset!J371))</f>
        <v>26</v>
      </c>
      <c r="K371" s="7" t="n">
        <f aca="false">IF(ISBLANK(customer_churn_dataset!K371),0,MIN(10,MAX(0,customer_churn_dataset!K371)))</f>
        <v>9</v>
      </c>
      <c r="L371" s="7" t="n">
        <f aca="false">IF(ISBLANK(customer_churn_dataset!L371),0,MAX(0,customer_churn_dataset!L371))</f>
        <v>1</v>
      </c>
      <c r="M371" s="7" t="n">
        <f aca="false">IF(ISBLANK(customer_churn_dataset!M371),0,customer_churn_dataset!M371)</f>
        <v>0</v>
      </c>
      <c r="N371" s="7" t="n">
        <f aca="false">IF(ISBLANK(customer_churn_dataset!N371),0,MAX(0,customer_churn_dataset!N371))</f>
        <v>2573.35</v>
      </c>
      <c r="O371" s="7" t="n">
        <f aca="false">IF(ISBLANK(customer_churn_dataset!O371),0,customer_churn_dataset!O371)</f>
        <v>0</v>
      </c>
      <c r="P371" s="7" t="str">
        <f aca="false">IF(COUNTIF(customer_churn_dataset!$A$2:$A$1501,customer_churn_dataset!A371)&gt;1,"Duplicate","Unique")</f>
        <v>Unique</v>
      </c>
    </row>
    <row r="372" customFormat="false" ht="14.15" hidden="false" customHeight="true" outlineLevel="0" collapsed="false">
      <c r="A372" s="7" t="str">
        <f aca="false">TRIM(customer_churn_dataset!A372)</f>
        <v>CUST101409</v>
      </c>
      <c r="B372" s="7" t="str">
        <f aca="false">PROPER(TRIM(customer_churn_dataset!B372))</f>
        <v>Premium</v>
      </c>
      <c r="C372" s="7" t="str">
        <f aca="false">PROPER(TRIM(customer_churn_dataset!C372))</f>
        <v>One Year</v>
      </c>
      <c r="D372" s="7" t="n">
        <f aca="false">IF(ISBLANK(customer_churn_dataset!D372),ROUND(MEDIAN(customer_churn_dataset!D$2:D$1501),2),IF(customer_churn_dataset!D372&lt;0,ABS(customer_churn_dataset!D372),customer_churn_dataset!D372))</f>
        <v>39.76</v>
      </c>
      <c r="E372" s="7" t="n">
        <f aca="false">IF(ISBLANK(customer_churn_dataset!E372),0,MAX(0,customer_churn_dataset!E372))</f>
        <v>23</v>
      </c>
      <c r="F372" s="8" t="n">
        <f aca="false">IF(ISBLANK(customer_churn_dataset!F372),"",customer_churn_dataset!F372)</f>
        <v>44335</v>
      </c>
      <c r="G372" s="7" t="str">
        <f aca="false">PROPER(TRIM(customer_churn_dataset!G372))</f>
        <v>Credit Card</v>
      </c>
      <c r="H372" s="7" t="n">
        <f aca="false">IF(ISBLANK(customer_churn_dataset!H372),0,customer_churn_dataset!H372)</f>
        <v>1</v>
      </c>
      <c r="I372" s="7" t="n">
        <f aca="false">IF(ISBLANK(customer_churn_dataset!I372),ROUND(MEDIAN(customer_churn_dataset!I$2:I$1501),1),MIN(100,MAX(0,customer_churn_dataset!I372)))</f>
        <v>54</v>
      </c>
      <c r="J372" s="7" t="n">
        <f aca="false">IF(ISBLANK(customer_churn_dataset!J372),0,MAX(0,customer_churn_dataset!J372))</f>
        <v>18</v>
      </c>
      <c r="K372" s="7" t="n">
        <f aca="false">IF(ISBLANK(customer_churn_dataset!K372),0,MIN(10,MAX(0,customer_churn_dataset!K372)))</f>
        <v>4</v>
      </c>
      <c r="L372" s="7" t="n">
        <f aca="false">IF(ISBLANK(customer_churn_dataset!L372),0,MAX(0,customer_churn_dataset!L372))</f>
        <v>1</v>
      </c>
      <c r="M372" s="7" t="n">
        <f aca="false">IF(ISBLANK(customer_churn_dataset!M372),0,customer_churn_dataset!M372)</f>
        <v>0</v>
      </c>
      <c r="N372" s="7" t="n">
        <f aca="false">IF(ISBLANK(customer_churn_dataset!N372),0,MAX(0,customer_churn_dataset!N372))</f>
        <v>914.48</v>
      </c>
      <c r="O372" s="7" t="n">
        <f aca="false">IF(ISBLANK(customer_churn_dataset!O372),0,customer_churn_dataset!O372)</f>
        <v>0</v>
      </c>
      <c r="P372" s="7" t="str">
        <f aca="false">IF(COUNTIF(customer_churn_dataset!$A$2:$A$1501,customer_churn_dataset!A372)&gt;1,"Duplicate","Unique")</f>
        <v>Unique</v>
      </c>
    </row>
    <row r="373" customFormat="false" ht="14.15" hidden="false" customHeight="true" outlineLevel="0" collapsed="false">
      <c r="A373" s="7" t="str">
        <f aca="false">TRIM(customer_churn_dataset!A373)</f>
        <v>CUST100123</v>
      </c>
      <c r="B373" s="7" t="str">
        <f aca="false">PROPER(TRIM(customer_churn_dataset!B373))</f>
        <v>Basic</v>
      </c>
      <c r="C373" s="7" t="str">
        <f aca="false">PROPER(TRIM(customer_churn_dataset!C373))</f>
        <v>Month-To-Month</v>
      </c>
      <c r="D373" s="7" t="n">
        <f aca="false">IF(ISBLANK(customer_churn_dataset!D373),ROUND(MEDIAN(customer_churn_dataset!D$2:D$1501),2),IF(customer_churn_dataset!D373&lt;0,ABS(customer_churn_dataset!D373),customer_churn_dataset!D373))</f>
        <v>10.95</v>
      </c>
      <c r="E373" s="7" t="n">
        <f aca="false">IF(ISBLANK(customer_churn_dataset!E373),0,MAX(0,customer_churn_dataset!E373))</f>
        <v>32</v>
      </c>
      <c r="F373" s="8" t="n">
        <f aca="false">IF(ISBLANK(customer_churn_dataset!F373),"",customer_churn_dataset!F373)</f>
        <v>44338</v>
      </c>
      <c r="G373" s="7" t="str">
        <f aca="false">PROPER(TRIM(customer_churn_dataset!G373))</f>
        <v>Bank Transfer</v>
      </c>
      <c r="H373" s="7" t="n">
        <f aca="false">IF(ISBLANK(customer_churn_dataset!H373),0,customer_churn_dataset!H373)</f>
        <v>1</v>
      </c>
      <c r="I373" s="7" t="n">
        <f aca="false">IF(ISBLANK(customer_churn_dataset!I373),ROUND(MEDIAN(customer_churn_dataset!I$2:I$1501),1),MIN(100,MAX(0,customer_churn_dataset!I373)))</f>
        <v>81.1</v>
      </c>
      <c r="J373" s="7" t="n">
        <f aca="false">IF(ISBLANK(customer_churn_dataset!J373),0,MAX(0,customer_churn_dataset!J373))</f>
        <v>25</v>
      </c>
      <c r="K373" s="7" t="n">
        <f aca="false">IF(ISBLANK(customer_churn_dataset!K373),0,MIN(10,MAX(0,customer_churn_dataset!K373)))</f>
        <v>6</v>
      </c>
      <c r="L373" s="7" t="n">
        <f aca="false">IF(ISBLANK(customer_churn_dataset!L373),0,MAX(0,customer_churn_dataset!L373))</f>
        <v>0</v>
      </c>
      <c r="M373" s="7" t="n">
        <f aca="false">IF(ISBLANK(customer_churn_dataset!M373),0,customer_churn_dataset!M373)</f>
        <v>0</v>
      </c>
      <c r="N373" s="7" t="n">
        <f aca="false">IF(ISBLANK(customer_churn_dataset!N373),0,MAX(0,customer_churn_dataset!N373))</f>
        <v>350.4</v>
      </c>
      <c r="O373" s="7" t="n">
        <f aca="false">IF(ISBLANK(customer_churn_dataset!O373),0,customer_churn_dataset!O373)</f>
        <v>1</v>
      </c>
      <c r="P373" s="7" t="str">
        <f aca="false">IF(COUNTIF(customer_churn_dataset!$A$2:$A$1501,customer_churn_dataset!A373)&gt;1,"Duplicate","Unique")</f>
        <v>Unique</v>
      </c>
    </row>
    <row r="374" customFormat="false" ht="14.15" hidden="false" customHeight="true" outlineLevel="0" collapsed="false">
      <c r="A374" s="7" t="str">
        <f aca="false">TRIM(customer_churn_dataset!A374)</f>
        <v>CUST101104</v>
      </c>
      <c r="B374" s="7" t="str">
        <f aca="false">PROPER(TRIM(customer_churn_dataset!B374))</f>
        <v>Premium</v>
      </c>
      <c r="C374" s="7" t="str">
        <f aca="false">PROPER(TRIM(customer_churn_dataset!C374))</f>
        <v>Two Year</v>
      </c>
      <c r="D374" s="7" t="n">
        <f aca="false">IF(ISBLANK(customer_churn_dataset!D374),ROUND(MEDIAN(customer_churn_dataset!D$2:D$1501),2),IF(customer_churn_dataset!D374&lt;0,ABS(customer_churn_dataset!D374),customer_churn_dataset!D374))</f>
        <v>40.67</v>
      </c>
      <c r="E374" s="7" t="n">
        <f aca="false">IF(ISBLANK(customer_churn_dataset!E374),0,MAX(0,customer_churn_dataset!E374))</f>
        <v>34</v>
      </c>
      <c r="F374" s="8" t="n">
        <f aca="false">IF(ISBLANK(customer_churn_dataset!F374),"",customer_churn_dataset!F374)</f>
        <v>44338</v>
      </c>
      <c r="G374" s="7" t="str">
        <f aca="false">PROPER(TRIM(customer_churn_dataset!G374))</f>
        <v>Bank Transfer</v>
      </c>
      <c r="H374" s="7" t="n">
        <f aca="false">IF(ISBLANK(customer_churn_dataset!H374),0,customer_churn_dataset!H374)</f>
        <v>1</v>
      </c>
      <c r="I374" s="7" t="n">
        <f aca="false">IF(ISBLANK(customer_churn_dataset!I374),ROUND(MEDIAN(customer_churn_dataset!I$2:I$1501),1),MIN(100,MAX(0,customer_churn_dataset!I374)))</f>
        <v>64.1</v>
      </c>
      <c r="J374" s="7" t="n">
        <f aca="false">IF(ISBLANK(customer_churn_dataset!J374),0,MAX(0,customer_churn_dataset!J374))</f>
        <v>21</v>
      </c>
      <c r="K374" s="7" t="n">
        <f aca="false">IF(ISBLANK(customer_churn_dataset!K374),0,MIN(10,MAX(0,customer_churn_dataset!K374)))</f>
        <v>7</v>
      </c>
      <c r="L374" s="7" t="n">
        <f aca="false">IF(ISBLANK(customer_churn_dataset!L374),0,MAX(0,customer_churn_dataset!L374))</f>
        <v>2</v>
      </c>
      <c r="M374" s="7" t="n">
        <f aca="false">IF(ISBLANK(customer_churn_dataset!M374),0,customer_churn_dataset!M374)</f>
        <v>0</v>
      </c>
      <c r="N374" s="7" t="n">
        <f aca="false">IF(ISBLANK(customer_churn_dataset!N374),0,MAX(0,customer_churn_dataset!N374))</f>
        <v>1382.78</v>
      </c>
      <c r="O374" s="7" t="n">
        <f aca="false">IF(ISBLANK(customer_churn_dataset!O374),0,customer_churn_dataset!O374)</f>
        <v>0</v>
      </c>
      <c r="P374" s="7" t="str">
        <f aca="false">IF(COUNTIF(customer_churn_dataset!$A$2:$A$1501,customer_churn_dataset!A374)&gt;1,"Duplicate","Unique")</f>
        <v>Unique</v>
      </c>
    </row>
    <row r="375" customFormat="false" ht="14.15" hidden="false" customHeight="true" outlineLevel="0" collapsed="false">
      <c r="A375" s="7" t="str">
        <f aca="false">TRIM(customer_churn_dataset!A375)</f>
        <v>CUST101167</v>
      </c>
      <c r="B375" s="7" t="str">
        <f aca="false">PROPER(TRIM(customer_churn_dataset!B375))</f>
        <v>Standard</v>
      </c>
      <c r="C375" s="7" t="str">
        <f aca="false">PROPER(TRIM(customer_churn_dataset!C375))</f>
        <v>Month-To-Month</v>
      </c>
      <c r="D375" s="7" t="n">
        <f aca="false">IF(ISBLANK(customer_churn_dataset!D375),ROUND(MEDIAN(customer_churn_dataset!D$2:D$1501),2),IF(customer_churn_dataset!D375&lt;0,ABS(customer_churn_dataset!D375),customer_churn_dataset!D375))</f>
        <v>19.6</v>
      </c>
      <c r="E375" s="7" t="n">
        <f aca="false">IF(ISBLANK(customer_churn_dataset!E375),0,MAX(0,customer_churn_dataset!E375))</f>
        <v>5</v>
      </c>
      <c r="F375" s="8" t="n">
        <f aca="false">IF(ISBLANK(customer_churn_dataset!F375),"",customer_churn_dataset!F375)</f>
        <v>44338</v>
      </c>
      <c r="G375" s="7" t="str">
        <f aca="false">PROPER(TRIM(customer_churn_dataset!G375))</f>
        <v>Paypal</v>
      </c>
      <c r="H375" s="7" t="n">
        <f aca="false">IF(ISBLANK(customer_churn_dataset!H375),0,customer_churn_dataset!H375)</f>
        <v>1</v>
      </c>
      <c r="I375" s="7" t="n">
        <f aca="false">IF(ISBLANK(customer_churn_dataset!I375),ROUND(MEDIAN(customer_churn_dataset!I$2:I$1501),1),MIN(100,MAX(0,customer_churn_dataset!I375)))</f>
        <v>45.6</v>
      </c>
      <c r="J375" s="7" t="n">
        <f aca="false">IF(ISBLANK(customer_churn_dataset!J375),0,MAX(0,customer_churn_dataset!J375))</f>
        <v>10</v>
      </c>
      <c r="K375" s="7" t="n">
        <f aca="false">IF(ISBLANK(customer_churn_dataset!K375),0,MIN(10,MAX(0,customer_churn_dataset!K375)))</f>
        <v>5</v>
      </c>
      <c r="L375" s="7" t="n">
        <f aca="false">IF(ISBLANK(customer_churn_dataset!L375),0,MAX(0,customer_churn_dataset!L375))</f>
        <v>2</v>
      </c>
      <c r="M375" s="7" t="n">
        <f aca="false">IF(ISBLANK(customer_churn_dataset!M375),0,customer_churn_dataset!M375)</f>
        <v>0</v>
      </c>
      <c r="N375" s="7" t="n">
        <f aca="false">IF(ISBLANK(customer_churn_dataset!N375),0,MAX(0,customer_churn_dataset!N375))</f>
        <v>98</v>
      </c>
      <c r="O375" s="7" t="n">
        <f aca="false">IF(ISBLANK(customer_churn_dataset!O375),0,customer_churn_dataset!O375)</f>
        <v>1</v>
      </c>
      <c r="P375" s="7" t="str">
        <f aca="false">IF(COUNTIF(customer_churn_dataset!$A$2:$A$1501,customer_churn_dataset!A375)&gt;1,"Duplicate","Unique")</f>
        <v>Unique</v>
      </c>
    </row>
    <row r="376" customFormat="false" ht="14.15" hidden="false" customHeight="true" outlineLevel="0" collapsed="false">
      <c r="A376" s="7" t="str">
        <f aca="false">TRIM(customer_churn_dataset!A376)</f>
        <v>CUST100215</v>
      </c>
      <c r="B376" s="7" t="str">
        <f aca="false">PROPER(TRIM(customer_churn_dataset!B376))</f>
        <v>Basic</v>
      </c>
      <c r="C376" s="7" t="str">
        <f aca="false">PROPER(TRIM(customer_churn_dataset!C376))</f>
        <v>One Year</v>
      </c>
      <c r="D376" s="7" t="n">
        <f aca="false">IF(ISBLANK(customer_churn_dataset!D376),ROUND(MEDIAN(customer_churn_dataset!D$2:D$1501),2),IF(customer_churn_dataset!D376&lt;0,ABS(customer_churn_dataset!D376),customer_churn_dataset!D376))</f>
        <v>9.78</v>
      </c>
      <c r="E376" s="7" t="n">
        <f aca="false">IF(ISBLANK(customer_churn_dataset!E376),0,MAX(0,customer_churn_dataset!E376))</f>
        <v>2</v>
      </c>
      <c r="F376" s="8" t="n">
        <f aca="false">IF(ISBLANK(customer_churn_dataset!F376),"",customer_churn_dataset!F376)</f>
        <v>44341</v>
      </c>
      <c r="G376" s="7" t="str">
        <f aca="false">PROPER(TRIM(customer_churn_dataset!G376))</f>
        <v>Manual/Invoice</v>
      </c>
      <c r="H376" s="7" t="n">
        <f aca="false">IF(ISBLANK(customer_churn_dataset!H376),0,customer_churn_dataset!H376)</f>
        <v>0</v>
      </c>
      <c r="I376" s="7" t="n">
        <f aca="false">IF(ISBLANK(customer_churn_dataset!I376),ROUND(MEDIAN(customer_churn_dataset!I$2:I$1501),1),MIN(100,MAX(0,customer_churn_dataset!I376)))</f>
        <v>41.4</v>
      </c>
      <c r="J376" s="7" t="n">
        <f aca="false">IF(ISBLANK(customer_churn_dataset!J376),0,MAX(0,customer_churn_dataset!J376))</f>
        <v>12</v>
      </c>
      <c r="K376" s="7" t="n">
        <f aca="false">IF(ISBLANK(customer_churn_dataset!K376),0,MIN(10,MAX(0,customer_churn_dataset!K376)))</f>
        <v>3</v>
      </c>
      <c r="L376" s="7" t="n">
        <f aca="false">IF(ISBLANK(customer_churn_dataset!L376),0,MAX(0,customer_churn_dataset!L376))</f>
        <v>1</v>
      </c>
      <c r="M376" s="7" t="n">
        <f aca="false">IF(ISBLANK(customer_churn_dataset!M376),0,customer_churn_dataset!M376)</f>
        <v>0</v>
      </c>
      <c r="N376" s="7" t="n">
        <f aca="false">IF(ISBLANK(customer_churn_dataset!N376),0,MAX(0,customer_churn_dataset!N376))</f>
        <v>19.56</v>
      </c>
      <c r="O376" s="7" t="n">
        <f aca="false">IF(ISBLANK(customer_churn_dataset!O376),0,customer_churn_dataset!O376)</f>
        <v>0</v>
      </c>
      <c r="P376" s="7" t="str">
        <f aca="false">IF(COUNTIF(customer_churn_dataset!$A$2:$A$1501,customer_churn_dataset!A376)&gt;1,"Duplicate","Unique")</f>
        <v>Unique</v>
      </c>
    </row>
    <row r="377" customFormat="false" ht="14.15" hidden="false" customHeight="true" outlineLevel="0" collapsed="false">
      <c r="A377" s="7" t="str">
        <f aca="false">TRIM(customer_churn_dataset!A377)</f>
        <v>CUST100847</v>
      </c>
      <c r="B377" s="7" t="str">
        <f aca="false">PROPER(TRIM(customer_churn_dataset!B377))</f>
        <v>Premium</v>
      </c>
      <c r="C377" s="7" t="str">
        <f aca="false">PROPER(TRIM(customer_churn_dataset!C377))</f>
        <v>Month-To-Month</v>
      </c>
      <c r="D377" s="7" t="n">
        <f aca="false">IF(ISBLANK(customer_churn_dataset!D377),ROUND(MEDIAN(customer_churn_dataset!D$2:D$1501),2),IF(customer_churn_dataset!D377&lt;0,ABS(customer_churn_dataset!D377),customer_churn_dataset!D377))</f>
        <v>39.17</v>
      </c>
      <c r="E377" s="7" t="n">
        <f aca="false">IF(ISBLANK(customer_churn_dataset!E377),0,MAX(0,customer_churn_dataset!E377))</f>
        <v>64</v>
      </c>
      <c r="F377" s="8" t="n">
        <f aca="false">IF(ISBLANK(customer_churn_dataset!F377),"",customer_churn_dataset!F377)</f>
        <v>44341</v>
      </c>
      <c r="G377" s="7" t="str">
        <f aca="false">PROPER(TRIM(customer_churn_dataset!G377))</f>
        <v>Paypal</v>
      </c>
      <c r="H377" s="7" t="n">
        <f aca="false">IF(ISBLANK(customer_churn_dataset!H377),0,customer_churn_dataset!H377)</f>
        <v>1</v>
      </c>
      <c r="I377" s="7" t="n">
        <f aca="false">IF(ISBLANK(customer_churn_dataset!I377),ROUND(MEDIAN(customer_churn_dataset!I$2:I$1501),1),MIN(100,MAX(0,customer_churn_dataset!I377)))</f>
        <v>53.1</v>
      </c>
      <c r="J377" s="7" t="n">
        <f aca="false">IF(ISBLANK(customer_churn_dataset!J377),0,MAX(0,customer_churn_dataset!J377))</f>
        <v>21</v>
      </c>
      <c r="K377" s="7" t="n">
        <f aca="false">IF(ISBLANK(customer_churn_dataset!K377),0,MIN(10,MAX(0,customer_churn_dataset!K377)))</f>
        <v>6</v>
      </c>
      <c r="L377" s="7" t="n">
        <f aca="false">IF(ISBLANK(customer_churn_dataset!L377),0,MAX(0,customer_churn_dataset!L377))</f>
        <v>0</v>
      </c>
      <c r="M377" s="7" t="n">
        <f aca="false">IF(ISBLANK(customer_churn_dataset!M377),0,customer_churn_dataset!M377)</f>
        <v>0</v>
      </c>
      <c r="N377" s="7" t="n">
        <f aca="false">IF(ISBLANK(customer_churn_dataset!N377),0,MAX(0,customer_churn_dataset!N377))</f>
        <v>2506.88</v>
      </c>
      <c r="O377" s="7" t="n">
        <f aca="false">IF(ISBLANK(customer_churn_dataset!O377),0,customer_churn_dataset!O377)</f>
        <v>0</v>
      </c>
      <c r="P377" s="7" t="str">
        <f aca="false">IF(COUNTIF(customer_churn_dataset!$A$2:$A$1501,customer_churn_dataset!A377)&gt;1,"Duplicate","Unique")</f>
        <v>Unique</v>
      </c>
    </row>
    <row r="378" customFormat="false" ht="14.15" hidden="false" customHeight="true" outlineLevel="0" collapsed="false">
      <c r="A378" s="7" t="str">
        <f aca="false">TRIM(customer_churn_dataset!A378)</f>
        <v>CUST100111</v>
      </c>
      <c r="B378" s="7" t="str">
        <f aca="false">PROPER(TRIM(customer_churn_dataset!B378))</f>
        <v>Basic</v>
      </c>
      <c r="C378" s="7" t="str">
        <f aca="false">PROPER(TRIM(customer_churn_dataset!C378))</f>
        <v>Month-To-Month</v>
      </c>
      <c r="D378" s="7" t="n">
        <f aca="false">IF(ISBLANK(customer_churn_dataset!D378),ROUND(MEDIAN(customer_churn_dataset!D$2:D$1501),2),IF(customer_churn_dataset!D378&lt;0,ABS(customer_churn_dataset!D378),customer_churn_dataset!D378))</f>
        <v>10.6</v>
      </c>
      <c r="E378" s="7" t="n">
        <f aca="false">IF(ISBLANK(customer_churn_dataset!E378),0,MAX(0,customer_churn_dataset!E378))</f>
        <v>5</v>
      </c>
      <c r="F378" s="8" t="n">
        <f aca="false">IF(ISBLANK(customer_churn_dataset!F378),"",customer_churn_dataset!F378)</f>
        <v>44342</v>
      </c>
      <c r="G378" s="7" t="str">
        <f aca="false">PROPER(TRIM(customer_churn_dataset!G378))</f>
        <v>Credit Card</v>
      </c>
      <c r="H378" s="7" t="n">
        <f aca="false">IF(ISBLANK(customer_churn_dataset!H378),0,customer_churn_dataset!H378)</f>
        <v>1</v>
      </c>
      <c r="I378" s="7" t="n">
        <f aca="false">IF(ISBLANK(customer_churn_dataset!I378),ROUND(MEDIAN(customer_churn_dataset!I$2:I$1501),1),MIN(100,MAX(0,customer_churn_dataset!I378)))</f>
        <v>79.2</v>
      </c>
      <c r="J378" s="7" t="n">
        <f aca="false">IF(ISBLANK(customer_churn_dataset!J378),0,MAX(0,customer_churn_dataset!J378))</f>
        <v>23</v>
      </c>
      <c r="K378" s="7" t="n">
        <f aca="false">IF(ISBLANK(customer_churn_dataset!K378),0,MIN(10,MAX(0,customer_churn_dataset!K378)))</f>
        <v>6</v>
      </c>
      <c r="L378" s="7" t="n">
        <f aca="false">IF(ISBLANK(customer_churn_dataset!L378),0,MAX(0,customer_churn_dataset!L378))</f>
        <v>1</v>
      </c>
      <c r="M378" s="7" t="n">
        <f aca="false">IF(ISBLANK(customer_churn_dataset!M378),0,customer_churn_dataset!M378)</f>
        <v>0</v>
      </c>
      <c r="N378" s="7" t="n">
        <f aca="false">IF(ISBLANK(customer_churn_dataset!N378),0,MAX(0,customer_churn_dataset!N378))</f>
        <v>53</v>
      </c>
      <c r="O378" s="7" t="n">
        <f aca="false">IF(ISBLANK(customer_churn_dataset!O378),0,customer_churn_dataset!O378)</f>
        <v>0</v>
      </c>
      <c r="P378" s="7" t="str">
        <f aca="false">IF(COUNTIF(customer_churn_dataset!$A$2:$A$1501,customer_churn_dataset!A378)&gt;1,"Duplicate","Unique")</f>
        <v>Unique</v>
      </c>
    </row>
    <row r="379" customFormat="false" ht="14.15" hidden="false" customHeight="true" outlineLevel="0" collapsed="false">
      <c r="A379" s="7" t="str">
        <f aca="false">TRIM(customer_churn_dataset!A379)</f>
        <v>CUST100679</v>
      </c>
      <c r="B379" s="7" t="str">
        <f aca="false">PROPER(TRIM(customer_churn_dataset!B379))</f>
        <v>Premium</v>
      </c>
      <c r="C379" s="7" t="str">
        <f aca="false">PROPER(TRIM(customer_churn_dataset!C379))</f>
        <v>Month-To-Month</v>
      </c>
      <c r="D379" s="7" t="n">
        <f aca="false">IF(ISBLANK(customer_churn_dataset!D379),ROUND(MEDIAN(customer_churn_dataset!D$2:D$1501),2),IF(customer_churn_dataset!D379&lt;0,ABS(customer_churn_dataset!D379),customer_churn_dataset!D379))</f>
        <v>39.78</v>
      </c>
      <c r="E379" s="7" t="n">
        <f aca="false">IF(ISBLANK(customer_churn_dataset!E379),0,MAX(0,customer_churn_dataset!E379))</f>
        <v>1</v>
      </c>
      <c r="F379" s="8" t="n">
        <f aca="false">IF(ISBLANK(customer_churn_dataset!F379),"",customer_churn_dataset!F379)</f>
        <v>44344</v>
      </c>
      <c r="G379" s="7" t="str">
        <f aca="false">PROPER(TRIM(customer_churn_dataset!G379))</f>
        <v>Credit Card</v>
      </c>
      <c r="H379" s="7" t="n">
        <f aca="false">IF(ISBLANK(customer_churn_dataset!H379),0,customer_churn_dataset!H379)</f>
        <v>1</v>
      </c>
      <c r="I379" s="7" t="n">
        <f aca="false">IF(ISBLANK(customer_churn_dataset!I379),ROUND(MEDIAN(customer_churn_dataset!I$2:I$1501),1),MIN(100,MAX(0,customer_churn_dataset!I379)))</f>
        <v>22.5</v>
      </c>
      <c r="J379" s="7" t="n">
        <f aca="false">IF(ISBLANK(customer_churn_dataset!J379),0,MAX(0,customer_churn_dataset!J379))</f>
        <v>8</v>
      </c>
      <c r="K379" s="7" t="n">
        <f aca="false">IF(ISBLANK(customer_churn_dataset!K379),0,MIN(10,MAX(0,customer_churn_dataset!K379)))</f>
        <v>5</v>
      </c>
      <c r="L379" s="7" t="n">
        <f aca="false">IF(ISBLANK(customer_churn_dataset!L379),0,MAX(0,customer_churn_dataset!L379))</f>
        <v>0</v>
      </c>
      <c r="M379" s="7" t="n">
        <f aca="false">IF(ISBLANK(customer_churn_dataset!M379),0,customer_churn_dataset!M379)</f>
        <v>0</v>
      </c>
      <c r="N379" s="7" t="n">
        <f aca="false">IF(ISBLANK(customer_churn_dataset!N379),0,MAX(0,customer_churn_dataset!N379))</f>
        <v>39.78</v>
      </c>
      <c r="O379" s="7" t="n">
        <f aca="false">IF(ISBLANK(customer_churn_dataset!O379),0,customer_churn_dataset!O379)</f>
        <v>1</v>
      </c>
      <c r="P379" s="7" t="str">
        <f aca="false">IF(COUNTIF(customer_churn_dataset!$A$2:$A$1501,customer_churn_dataset!A379)&gt;1,"Duplicate","Unique")</f>
        <v>Unique</v>
      </c>
    </row>
    <row r="380" customFormat="false" ht="14.15" hidden="false" customHeight="true" outlineLevel="0" collapsed="false">
      <c r="A380" s="7" t="str">
        <f aca="false">TRIM(customer_churn_dataset!A380)</f>
        <v>CUST101475</v>
      </c>
      <c r="B380" s="7" t="str">
        <f aca="false">PROPER(TRIM(customer_churn_dataset!B380))</f>
        <v>Standard</v>
      </c>
      <c r="C380" s="7" t="str">
        <f aca="false">PROPER(TRIM(customer_churn_dataset!C380))</f>
        <v>Two Year</v>
      </c>
      <c r="D380" s="7" t="n">
        <f aca="false">IF(ISBLANK(customer_churn_dataset!D380),ROUND(MEDIAN(customer_churn_dataset!D$2:D$1501),2),IF(customer_churn_dataset!D380&lt;0,ABS(customer_churn_dataset!D380),customer_churn_dataset!D380))</f>
        <v>21.06</v>
      </c>
      <c r="E380" s="7" t="n">
        <f aca="false">IF(ISBLANK(customer_churn_dataset!E380),0,MAX(0,customer_churn_dataset!E380))</f>
        <v>22</v>
      </c>
      <c r="F380" s="8" t="n">
        <f aca="false">IF(ISBLANK(customer_churn_dataset!F380),"",customer_churn_dataset!F380)</f>
        <v>44345</v>
      </c>
      <c r="G380" s="7" t="str">
        <f aca="false">PROPER(TRIM(customer_churn_dataset!G380))</f>
        <v>Credit Card</v>
      </c>
      <c r="H380" s="7" t="n">
        <f aca="false">IF(ISBLANK(customer_churn_dataset!H380),0,customer_churn_dataset!H380)</f>
        <v>1</v>
      </c>
      <c r="I380" s="7" t="n">
        <f aca="false">IF(ISBLANK(customer_churn_dataset!I380),ROUND(MEDIAN(customer_churn_dataset!I$2:I$1501),1),MIN(100,MAX(0,customer_churn_dataset!I380)))</f>
        <v>40.2</v>
      </c>
      <c r="J380" s="7" t="n">
        <f aca="false">IF(ISBLANK(customer_churn_dataset!J380),0,MAX(0,customer_churn_dataset!J380))</f>
        <v>11</v>
      </c>
      <c r="K380" s="7" t="n">
        <f aca="false">IF(ISBLANK(customer_churn_dataset!K380),0,MIN(10,MAX(0,customer_churn_dataset!K380)))</f>
        <v>3</v>
      </c>
      <c r="L380" s="7" t="n">
        <f aca="false">IF(ISBLANK(customer_churn_dataset!L380),0,MAX(0,customer_churn_dataset!L380))</f>
        <v>3</v>
      </c>
      <c r="M380" s="7" t="n">
        <f aca="false">IF(ISBLANK(customer_churn_dataset!M380),0,customer_churn_dataset!M380)</f>
        <v>1</v>
      </c>
      <c r="N380" s="7" t="n">
        <f aca="false">IF(ISBLANK(customer_churn_dataset!N380),0,MAX(0,customer_churn_dataset!N380))</f>
        <v>463.32</v>
      </c>
      <c r="O380" s="7" t="n">
        <f aca="false">IF(ISBLANK(customer_churn_dataset!O380),0,customer_churn_dataset!O380)</f>
        <v>0</v>
      </c>
      <c r="P380" s="7" t="str">
        <f aca="false">IF(COUNTIF(customer_churn_dataset!$A$2:$A$1501,customer_churn_dataset!A380)&gt;1,"Duplicate","Unique")</f>
        <v>Unique</v>
      </c>
    </row>
    <row r="381" customFormat="false" ht="14.15" hidden="false" customHeight="true" outlineLevel="0" collapsed="false">
      <c r="A381" s="7" t="str">
        <f aca="false">TRIM(customer_churn_dataset!A381)</f>
        <v>CUST101492</v>
      </c>
      <c r="B381" s="7" t="str">
        <f aca="false">PROPER(TRIM(customer_churn_dataset!B381))</f>
        <v>Basic</v>
      </c>
      <c r="C381" s="7" t="str">
        <f aca="false">PROPER(TRIM(customer_churn_dataset!C381))</f>
        <v>Two Year</v>
      </c>
      <c r="D381" s="7" t="n">
        <f aca="false">IF(ISBLANK(customer_churn_dataset!D381),ROUND(MEDIAN(customer_churn_dataset!D$2:D$1501),2),IF(customer_churn_dataset!D381&lt;0,ABS(customer_churn_dataset!D381),customer_churn_dataset!D381))</f>
        <v>10.5</v>
      </c>
      <c r="E381" s="7" t="n">
        <f aca="false">IF(ISBLANK(customer_churn_dataset!E381),0,MAX(0,customer_churn_dataset!E381))</f>
        <v>63</v>
      </c>
      <c r="F381" s="8" t="n">
        <f aca="false">IF(ISBLANK(customer_churn_dataset!F381),"",customer_churn_dataset!F381)</f>
        <v>44345</v>
      </c>
      <c r="G381" s="7" t="str">
        <f aca="false">PROPER(TRIM(customer_churn_dataset!G381))</f>
        <v>Credit Card</v>
      </c>
      <c r="H381" s="7" t="n">
        <f aca="false">IF(ISBLANK(customer_churn_dataset!H381),0,customer_churn_dataset!H381)</f>
        <v>1</v>
      </c>
      <c r="I381" s="7" t="n">
        <f aca="false">IF(ISBLANK(customer_churn_dataset!I381),ROUND(MEDIAN(customer_churn_dataset!I$2:I$1501),1),MIN(100,MAX(0,customer_churn_dataset!I381)))</f>
        <v>84.9</v>
      </c>
      <c r="J381" s="7" t="n">
        <f aca="false">IF(ISBLANK(customer_churn_dataset!J381),0,MAX(0,customer_churn_dataset!J381))</f>
        <v>28</v>
      </c>
      <c r="K381" s="7" t="n">
        <f aca="false">IF(ISBLANK(customer_churn_dataset!K381),0,MIN(10,MAX(0,customer_churn_dataset!K381)))</f>
        <v>10</v>
      </c>
      <c r="L381" s="7" t="n">
        <f aca="false">IF(ISBLANK(customer_churn_dataset!L381),0,MAX(0,customer_churn_dataset!L381))</f>
        <v>3</v>
      </c>
      <c r="M381" s="7" t="n">
        <f aca="false">IF(ISBLANK(customer_churn_dataset!M381),0,customer_churn_dataset!M381)</f>
        <v>0</v>
      </c>
      <c r="N381" s="7" t="n">
        <f aca="false">IF(ISBLANK(customer_churn_dataset!N381),0,MAX(0,customer_churn_dataset!N381))</f>
        <v>661.5</v>
      </c>
      <c r="O381" s="7" t="n">
        <f aca="false">IF(ISBLANK(customer_churn_dataset!O381),0,customer_churn_dataset!O381)</f>
        <v>0</v>
      </c>
      <c r="P381" s="7" t="str">
        <f aca="false">IF(COUNTIF(customer_churn_dataset!$A$2:$A$1501,customer_churn_dataset!A381)&gt;1,"Duplicate","Unique")</f>
        <v>Unique</v>
      </c>
    </row>
    <row r="382" customFormat="false" ht="14.15" hidden="false" customHeight="true" outlineLevel="0" collapsed="false">
      <c r="A382" s="7" t="str">
        <f aca="false">TRIM(customer_churn_dataset!A382)</f>
        <v>CUST100637</v>
      </c>
      <c r="B382" s="7" t="str">
        <f aca="false">PROPER(TRIM(customer_churn_dataset!B382))</f>
        <v>Basic</v>
      </c>
      <c r="C382" s="7" t="str">
        <f aca="false">PROPER(TRIM(customer_churn_dataset!C382))</f>
        <v>Month-To-Month</v>
      </c>
      <c r="D382" s="7" t="n">
        <f aca="false">IF(ISBLANK(customer_churn_dataset!D382),ROUND(MEDIAN(customer_churn_dataset!D$2:D$1501),2),IF(customer_churn_dataset!D382&lt;0,ABS(customer_churn_dataset!D382),customer_churn_dataset!D382))</f>
        <v>9.19</v>
      </c>
      <c r="E382" s="7" t="n">
        <f aca="false">IF(ISBLANK(customer_churn_dataset!E382),0,MAX(0,customer_churn_dataset!E382))</f>
        <v>14</v>
      </c>
      <c r="F382" s="8" t="n">
        <f aca="false">IF(ISBLANK(customer_churn_dataset!F382),"",customer_churn_dataset!F382)</f>
        <v>44346</v>
      </c>
      <c r="G382" s="7" t="str">
        <f aca="false">PROPER(TRIM(customer_churn_dataset!G382))</f>
        <v>Bank Transfer</v>
      </c>
      <c r="H382" s="7" t="n">
        <f aca="false">IF(ISBLANK(customer_churn_dataset!H382),0,customer_churn_dataset!H382)</f>
        <v>0</v>
      </c>
      <c r="I382" s="7" t="n">
        <f aca="false">IF(ISBLANK(customer_churn_dataset!I382),ROUND(MEDIAN(customer_churn_dataset!I$2:I$1501),1),MIN(100,MAX(0,customer_churn_dataset!I382)))</f>
        <v>19.6</v>
      </c>
      <c r="J382" s="7" t="n">
        <f aca="false">IF(ISBLANK(customer_churn_dataset!J382),0,MAX(0,customer_churn_dataset!J382))</f>
        <v>0</v>
      </c>
      <c r="K382" s="7" t="n">
        <f aca="false">IF(ISBLANK(customer_churn_dataset!K382),0,MIN(10,MAX(0,customer_churn_dataset!K382)))</f>
        <v>4</v>
      </c>
      <c r="L382" s="7" t="n">
        <f aca="false">IF(ISBLANK(customer_churn_dataset!L382),0,MAX(0,customer_churn_dataset!L382))</f>
        <v>2</v>
      </c>
      <c r="M382" s="7" t="n">
        <f aca="false">IF(ISBLANK(customer_churn_dataset!M382),0,customer_churn_dataset!M382)</f>
        <v>0</v>
      </c>
      <c r="N382" s="7" t="n">
        <f aca="false">IF(ISBLANK(customer_churn_dataset!N382),0,MAX(0,customer_churn_dataset!N382))</f>
        <v>128.66</v>
      </c>
      <c r="O382" s="7" t="n">
        <f aca="false">IF(ISBLANK(customer_churn_dataset!O382),0,customer_churn_dataset!O382)</f>
        <v>1</v>
      </c>
      <c r="P382" s="7" t="str">
        <f aca="false">IF(COUNTIF(customer_churn_dataset!$A$2:$A$1501,customer_churn_dataset!A382)&gt;1,"Duplicate","Unique")</f>
        <v>Unique</v>
      </c>
    </row>
    <row r="383" customFormat="false" ht="14.15" hidden="false" customHeight="true" outlineLevel="0" collapsed="false">
      <c r="A383" s="7" t="str">
        <f aca="false">TRIM(customer_churn_dataset!A383)</f>
        <v>CUST100685</v>
      </c>
      <c r="B383" s="7" t="str">
        <f aca="false">PROPER(TRIM(customer_churn_dataset!B383))</f>
        <v>Standard</v>
      </c>
      <c r="C383" s="7" t="str">
        <f aca="false">PROPER(TRIM(customer_churn_dataset!C383))</f>
        <v>One Year</v>
      </c>
      <c r="D383" s="7" t="n">
        <f aca="false">IF(ISBLANK(customer_churn_dataset!D383),ROUND(MEDIAN(customer_churn_dataset!D$2:D$1501),2),IF(customer_churn_dataset!D383&lt;0,ABS(customer_churn_dataset!D383),customer_churn_dataset!D383))</f>
        <v>18.96</v>
      </c>
      <c r="E383" s="7" t="n">
        <f aca="false">IF(ISBLANK(customer_churn_dataset!E383),0,MAX(0,customer_churn_dataset!E383))</f>
        <v>10</v>
      </c>
      <c r="F383" s="8" t="n">
        <f aca="false">IF(ISBLANK(customer_churn_dataset!F383),"",customer_churn_dataset!F383)</f>
        <v>44347</v>
      </c>
      <c r="G383" s="7" t="str">
        <f aca="false">PROPER(TRIM(customer_churn_dataset!G383))</f>
        <v>Paypal</v>
      </c>
      <c r="H383" s="7" t="n">
        <f aca="false">IF(ISBLANK(customer_churn_dataset!H383),0,customer_churn_dataset!H383)</f>
        <v>1</v>
      </c>
      <c r="I383" s="7" t="n">
        <f aca="false">IF(ISBLANK(customer_churn_dataset!I383),ROUND(MEDIAN(customer_churn_dataset!I$2:I$1501),1),MIN(100,MAX(0,customer_churn_dataset!I383)))</f>
        <v>38.7</v>
      </c>
      <c r="J383" s="7" t="n">
        <f aca="false">IF(ISBLANK(customer_churn_dataset!J383),0,MAX(0,customer_churn_dataset!J383))</f>
        <v>6</v>
      </c>
      <c r="K383" s="7" t="n">
        <f aca="false">IF(ISBLANK(customer_churn_dataset!K383),0,MIN(10,MAX(0,customer_churn_dataset!K383)))</f>
        <v>2</v>
      </c>
      <c r="L383" s="7" t="n">
        <f aca="false">IF(ISBLANK(customer_churn_dataset!L383),0,MAX(0,customer_churn_dataset!L383))</f>
        <v>2</v>
      </c>
      <c r="M383" s="7" t="n">
        <f aca="false">IF(ISBLANK(customer_churn_dataset!M383),0,customer_churn_dataset!M383)</f>
        <v>1</v>
      </c>
      <c r="N383" s="7" t="n">
        <f aca="false">IF(ISBLANK(customer_churn_dataset!N383),0,MAX(0,customer_churn_dataset!N383))</f>
        <v>189.6</v>
      </c>
      <c r="O383" s="7" t="n">
        <f aca="false">IF(ISBLANK(customer_churn_dataset!O383),0,customer_churn_dataset!O383)</f>
        <v>0</v>
      </c>
      <c r="P383" s="7" t="str">
        <f aca="false">IF(COUNTIF(customer_churn_dataset!$A$2:$A$1501,customer_churn_dataset!A383)&gt;1,"Duplicate","Unique")</f>
        <v>Unique</v>
      </c>
    </row>
    <row r="384" customFormat="false" ht="14.15" hidden="false" customHeight="true" outlineLevel="0" collapsed="false">
      <c r="A384" s="7" t="str">
        <f aca="false">TRIM(customer_churn_dataset!A384)</f>
        <v>CUST101451</v>
      </c>
      <c r="B384" s="7" t="str">
        <f aca="false">PROPER(TRIM(customer_churn_dataset!B384))</f>
        <v>Standard</v>
      </c>
      <c r="C384" s="7" t="str">
        <f aca="false">PROPER(TRIM(customer_churn_dataset!C384))</f>
        <v>One Year</v>
      </c>
      <c r="D384" s="7" t="n">
        <f aca="false">IF(ISBLANK(customer_churn_dataset!D384),ROUND(MEDIAN(customer_churn_dataset!D$2:D$1501),2),IF(customer_churn_dataset!D384&lt;0,ABS(customer_churn_dataset!D384),customer_churn_dataset!D384))</f>
        <v>18.85</v>
      </c>
      <c r="E384" s="7" t="n">
        <f aca="false">IF(ISBLANK(customer_churn_dataset!E384),0,MAX(0,customer_churn_dataset!E384))</f>
        <v>18</v>
      </c>
      <c r="F384" s="8" t="n">
        <f aca="false">IF(ISBLANK(customer_churn_dataset!F384),"",customer_churn_dataset!F384)</f>
        <v>44347</v>
      </c>
      <c r="G384" s="7" t="str">
        <f aca="false">PROPER(TRIM(customer_churn_dataset!G384))</f>
        <v>Manual/Invoice</v>
      </c>
      <c r="H384" s="7" t="n">
        <f aca="false">IF(ISBLANK(customer_churn_dataset!H384),0,customer_churn_dataset!H384)</f>
        <v>0</v>
      </c>
      <c r="I384" s="7" t="n">
        <f aca="false">IF(ISBLANK(customer_churn_dataset!I384),ROUND(MEDIAN(customer_churn_dataset!I$2:I$1501),1),MIN(100,MAX(0,customer_churn_dataset!I384)))</f>
        <v>47.3</v>
      </c>
      <c r="J384" s="7" t="n">
        <f aca="false">IF(ISBLANK(customer_churn_dataset!J384),0,MAX(0,customer_churn_dataset!J384))</f>
        <v>15</v>
      </c>
      <c r="K384" s="7" t="n">
        <f aca="false">IF(ISBLANK(customer_churn_dataset!K384),0,MIN(10,MAX(0,customer_churn_dataset!K384)))</f>
        <v>5</v>
      </c>
      <c r="L384" s="7" t="n">
        <f aca="false">IF(ISBLANK(customer_churn_dataset!L384),0,MAX(0,customer_churn_dataset!L384))</f>
        <v>1</v>
      </c>
      <c r="M384" s="7" t="n">
        <f aca="false">IF(ISBLANK(customer_churn_dataset!M384),0,customer_churn_dataset!M384)</f>
        <v>0</v>
      </c>
      <c r="N384" s="7" t="n">
        <f aca="false">IF(ISBLANK(customer_churn_dataset!N384),0,MAX(0,customer_churn_dataset!N384))</f>
        <v>339.3</v>
      </c>
      <c r="O384" s="7" t="n">
        <f aca="false">IF(ISBLANK(customer_churn_dataset!O384),0,customer_churn_dataset!O384)</f>
        <v>0</v>
      </c>
      <c r="P384" s="7" t="str">
        <f aca="false">IF(COUNTIF(customer_churn_dataset!$A$2:$A$1501,customer_churn_dataset!A384)&gt;1,"Duplicate","Unique")</f>
        <v>Unique</v>
      </c>
    </row>
    <row r="385" customFormat="false" ht="14.15" hidden="false" customHeight="true" outlineLevel="0" collapsed="false">
      <c r="A385" s="7" t="str">
        <f aca="false">TRIM(customer_churn_dataset!A385)</f>
        <v>CUST100274</v>
      </c>
      <c r="B385" s="7" t="str">
        <f aca="false">PROPER(TRIM(customer_churn_dataset!B385))</f>
        <v>Standard</v>
      </c>
      <c r="C385" s="7" t="str">
        <f aca="false">PROPER(TRIM(customer_churn_dataset!C385))</f>
        <v>Month-To-Month</v>
      </c>
      <c r="D385" s="7" t="n">
        <f aca="false">IF(ISBLANK(customer_churn_dataset!D385),ROUND(MEDIAN(customer_churn_dataset!D$2:D$1501),2),IF(customer_churn_dataset!D385&lt;0,ABS(customer_churn_dataset!D385),customer_churn_dataset!D385))</f>
        <v>19.82</v>
      </c>
      <c r="E385" s="7" t="n">
        <f aca="false">IF(ISBLANK(customer_churn_dataset!E385),0,MAX(0,customer_churn_dataset!E385))</f>
        <v>18</v>
      </c>
      <c r="F385" s="8" t="n">
        <f aca="false">IF(ISBLANK(customer_churn_dataset!F385),"",customer_churn_dataset!F385)</f>
        <v>44348</v>
      </c>
      <c r="G385" s="7" t="str">
        <f aca="false">PROPER(TRIM(customer_churn_dataset!G385))</f>
        <v>Bank Transfer</v>
      </c>
      <c r="H385" s="7" t="n">
        <f aca="false">IF(ISBLANK(customer_churn_dataset!H385),0,customer_churn_dataset!H385)</f>
        <v>1</v>
      </c>
      <c r="I385" s="7" t="n">
        <f aca="false">IF(ISBLANK(customer_churn_dataset!I385),ROUND(MEDIAN(customer_churn_dataset!I$2:I$1501),1),MIN(100,MAX(0,customer_churn_dataset!I385)))</f>
        <v>18.4</v>
      </c>
      <c r="J385" s="7" t="n">
        <f aca="false">IF(ISBLANK(customer_churn_dataset!J385),0,MAX(0,customer_churn_dataset!J385))</f>
        <v>6</v>
      </c>
      <c r="K385" s="7" t="n">
        <f aca="false">IF(ISBLANK(customer_churn_dataset!K385),0,MIN(10,MAX(0,customer_churn_dataset!K385)))</f>
        <v>0</v>
      </c>
      <c r="L385" s="7" t="n">
        <f aca="false">IF(ISBLANK(customer_churn_dataset!L385),0,MAX(0,customer_churn_dataset!L385))</f>
        <v>4</v>
      </c>
      <c r="M385" s="7" t="n">
        <f aca="false">IF(ISBLANK(customer_churn_dataset!M385),0,customer_churn_dataset!M385)</f>
        <v>1</v>
      </c>
      <c r="N385" s="7" t="n">
        <f aca="false">IF(ISBLANK(customer_churn_dataset!N385),0,MAX(0,customer_churn_dataset!N385))</f>
        <v>356.76</v>
      </c>
      <c r="O385" s="7" t="n">
        <f aca="false">IF(ISBLANK(customer_churn_dataset!O385),0,customer_churn_dataset!O385)</f>
        <v>1</v>
      </c>
      <c r="P385" s="7" t="str">
        <f aca="false">IF(COUNTIF(customer_churn_dataset!$A$2:$A$1501,customer_churn_dataset!A385)&gt;1,"Duplicate","Unique")</f>
        <v>Unique</v>
      </c>
    </row>
    <row r="386" customFormat="false" ht="14.15" hidden="false" customHeight="true" outlineLevel="0" collapsed="false">
      <c r="A386" s="7" t="str">
        <f aca="false">TRIM(customer_churn_dataset!A386)</f>
        <v>CUST101164</v>
      </c>
      <c r="B386" s="7" t="str">
        <f aca="false">PROPER(TRIM(customer_churn_dataset!B386))</f>
        <v>Basic</v>
      </c>
      <c r="C386" s="7" t="str">
        <f aca="false">PROPER(TRIM(customer_churn_dataset!C386))</f>
        <v>Month-To-Month</v>
      </c>
      <c r="D386" s="7" t="n">
        <f aca="false">IF(ISBLANK(customer_churn_dataset!D386),ROUND(MEDIAN(customer_churn_dataset!D$2:D$1501),2),IF(customer_churn_dataset!D386&lt;0,ABS(customer_churn_dataset!D386),customer_churn_dataset!D386))</f>
        <v>9.98</v>
      </c>
      <c r="E386" s="7" t="n">
        <f aca="false">IF(ISBLANK(customer_churn_dataset!E386),0,MAX(0,customer_churn_dataset!E386))</f>
        <v>21</v>
      </c>
      <c r="F386" s="8" t="n">
        <f aca="false">IF(ISBLANK(customer_churn_dataset!F386),"",customer_churn_dataset!F386)</f>
        <v>44349</v>
      </c>
      <c r="G386" s="7" t="str">
        <f aca="false">PROPER(TRIM(customer_churn_dataset!G386))</f>
        <v>Credit Card</v>
      </c>
      <c r="H386" s="7" t="n">
        <f aca="false">IF(ISBLANK(customer_churn_dataset!H386),0,customer_churn_dataset!H386)</f>
        <v>1</v>
      </c>
      <c r="I386" s="7" t="n">
        <f aca="false">IF(ISBLANK(customer_churn_dataset!I386),ROUND(MEDIAN(customer_churn_dataset!I$2:I$1501),1),MIN(100,MAX(0,customer_churn_dataset!I386)))</f>
        <v>75.8</v>
      </c>
      <c r="J386" s="7" t="n">
        <f aca="false">IF(ISBLANK(customer_churn_dataset!J386),0,MAX(0,customer_churn_dataset!J386))</f>
        <v>25</v>
      </c>
      <c r="K386" s="7" t="n">
        <f aca="false">IF(ISBLANK(customer_churn_dataset!K386),0,MIN(10,MAX(0,customer_churn_dataset!K386)))</f>
        <v>6</v>
      </c>
      <c r="L386" s="7" t="n">
        <f aca="false">IF(ISBLANK(customer_churn_dataset!L386),0,MAX(0,customer_churn_dataset!L386))</f>
        <v>1</v>
      </c>
      <c r="M386" s="7" t="n">
        <f aca="false">IF(ISBLANK(customer_churn_dataset!M386),0,customer_churn_dataset!M386)</f>
        <v>1</v>
      </c>
      <c r="N386" s="7" t="n">
        <f aca="false">IF(ISBLANK(customer_churn_dataset!N386),0,MAX(0,customer_churn_dataset!N386))</f>
        <v>209.58</v>
      </c>
      <c r="O386" s="7" t="n">
        <f aca="false">IF(ISBLANK(customer_churn_dataset!O386),0,customer_churn_dataset!O386)</f>
        <v>0</v>
      </c>
      <c r="P386" s="7" t="str">
        <f aca="false">IF(COUNTIF(customer_churn_dataset!$A$2:$A$1501,customer_churn_dataset!A386)&gt;1,"Duplicate","Unique")</f>
        <v>Unique</v>
      </c>
    </row>
    <row r="387" customFormat="false" ht="14.15" hidden="false" customHeight="true" outlineLevel="0" collapsed="false">
      <c r="A387" s="7" t="str">
        <f aca="false">TRIM(customer_churn_dataset!A387)</f>
        <v>CUST101004</v>
      </c>
      <c r="B387" s="7" t="str">
        <f aca="false">PROPER(TRIM(customer_churn_dataset!B387))</f>
        <v>Premium</v>
      </c>
      <c r="C387" s="7" t="str">
        <f aca="false">PROPER(TRIM(customer_churn_dataset!C387))</f>
        <v>Month-To-Month</v>
      </c>
      <c r="D387" s="7" t="n">
        <f aca="false">IF(ISBLANK(customer_churn_dataset!D387),ROUND(MEDIAN(customer_churn_dataset!D$2:D$1501),2),IF(customer_churn_dataset!D387&lt;0,ABS(customer_churn_dataset!D387),customer_churn_dataset!D387))</f>
        <v>41.57</v>
      </c>
      <c r="E387" s="7" t="n">
        <f aca="false">IF(ISBLANK(customer_churn_dataset!E387),0,MAX(0,customer_churn_dataset!E387))</f>
        <v>5</v>
      </c>
      <c r="F387" s="8" t="n">
        <f aca="false">IF(ISBLANK(customer_churn_dataset!F387),"",customer_churn_dataset!F387)</f>
        <v>44349</v>
      </c>
      <c r="G387" s="7" t="str">
        <f aca="false">PROPER(TRIM(customer_churn_dataset!G387))</f>
        <v>Paypal</v>
      </c>
      <c r="H387" s="7" t="n">
        <f aca="false">IF(ISBLANK(customer_churn_dataset!H387),0,customer_churn_dataset!H387)</f>
        <v>0</v>
      </c>
      <c r="I387" s="7" t="n">
        <f aca="false">IF(ISBLANK(customer_churn_dataset!I387),ROUND(MEDIAN(customer_churn_dataset!I$2:I$1501),1),MIN(100,MAX(0,customer_churn_dataset!I387)))</f>
        <v>20.1</v>
      </c>
      <c r="J387" s="7" t="n">
        <f aca="false">IF(ISBLANK(customer_churn_dataset!J387),0,MAX(0,customer_churn_dataset!J387))</f>
        <v>13</v>
      </c>
      <c r="K387" s="7" t="n">
        <f aca="false">IF(ISBLANK(customer_churn_dataset!K387),0,MIN(10,MAX(0,customer_churn_dataset!K387)))</f>
        <v>2</v>
      </c>
      <c r="L387" s="7" t="n">
        <f aca="false">IF(ISBLANK(customer_churn_dataset!L387),0,MAX(0,customer_churn_dataset!L387))</f>
        <v>1</v>
      </c>
      <c r="M387" s="7" t="n">
        <f aca="false">IF(ISBLANK(customer_churn_dataset!M387),0,customer_churn_dataset!M387)</f>
        <v>0</v>
      </c>
      <c r="N387" s="7" t="n">
        <f aca="false">IF(ISBLANK(customer_churn_dataset!N387),0,MAX(0,customer_churn_dataset!N387))</f>
        <v>207.85</v>
      </c>
      <c r="O387" s="7" t="n">
        <f aca="false">IF(ISBLANK(customer_churn_dataset!O387),0,customer_churn_dataset!O387)</f>
        <v>1</v>
      </c>
      <c r="P387" s="7" t="str">
        <f aca="false">IF(COUNTIF(customer_churn_dataset!$A$2:$A$1501,customer_churn_dataset!A387)&gt;1,"Duplicate","Unique")</f>
        <v>Unique</v>
      </c>
    </row>
    <row r="388" customFormat="false" ht="14.15" hidden="false" customHeight="true" outlineLevel="0" collapsed="false">
      <c r="A388" s="7" t="str">
        <f aca="false">TRIM(customer_churn_dataset!A388)</f>
        <v>CUST100880</v>
      </c>
      <c r="B388" s="7" t="str">
        <f aca="false">PROPER(TRIM(customer_churn_dataset!B388))</f>
        <v>Basic</v>
      </c>
      <c r="C388" s="7" t="str">
        <f aca="false">PROPER(TRIM(customer_churn_dataset!C388))</f>
        <v>Month-To-Month</v>
      </c>
      <c r="D388" s="7" t="n">
        <f aca="false">IF(ISBLANK(customer_churn_dataset!D388),ROUND(MEDIAN(customer_churn_dataset!D$2:D$1501),2),IF(customer_churn_dataset!D388&lt;0,ABS(customer_churn_dataset!D388),customer_churn_dataset!D388))</f>
        <v>9.3</v>
      </c>
      <c r="E388" s="7" t="n">
        <f aca="false">IF(ISBLANK(customer_churn_dataset!E388),0,MAX(0,customer_churn_dataset!E388))</f>
        <v>24</v>
      </c>
      <c r="F388" s="8" t="n">
        <f aca="false">IF(ISBLANK(customer_churn_dataset!F388),"",customer_churn_dataset!F388)</f>
        <v>44351</v>
      </c>
      <c r="G388" s="7" t="str">
        <f aca="false">PROPER(TRIM(customer_churn_dataset!G388))</f>
        <v>Paypal</v>
      </c>
      <c r="H388" s="7" t="n">
        <f aca="false">IF(ISBLANK(customer_churn_dataset!H388),0,customer_churn_dataset!H388)</f>
        <v>0</v>
      </c>
      <c r="I388" s="7" t="n">
        <f aca="false">IF(ISBLANK(customer_churn_dataset!I388),ROUND(MEDIAN(customer_churn_dataset!I$2:I$1501),1),MIN(100,MAX(0,customer_churn_dataset!I388)))</f>
        <v>61.9</v>
      </c>
      <c r="J388" s="7" t="n">
        <f aca="false">IF(ISBLANK(customer_churn_dataset!J388),0,MAX(0,customer_churn_dataset!J388))</f>
        <v>19</v>
      </c>
      <c r="K388" s="7" t="n">
        <f aca="false">IF(ISBLANK(customer_churn_dataset!K388),0,MIN(10,MAX(0,customer_churn_dataset!K388)))</f>
        <v>9</v>
      </c>
      <c r="L388" s="7" t="n">
        <f aca="false">IF(ISBLANK(customer_churn_dataset!L388),0,MAX(0,customer_churn_dataset!L388))</f>
        <v>0</v>
      </c>
      <c r="M388" s="7" t="n">
        <f aca="false">IF(ISBLANK(customer_churn_dataset!M388),0,customer_churn_dataset!M388)</f>
        <v>0</v>
      </c>
      <c r="N388" s="7" t="n">
        <f aca="false">IF(ISBLANK(customer_churn_dataset!N388),0,MAX(0,customer_churn_dataset!N388))</f>
        <v>223.2</v>
      </c>
      <c r="O388" s="7" t="n">
        <f aca="false">IF(ISBLANK(customer_churn_dataset!O388),0,customer_churn_dataset!O388)</f>
        <v>0</v>
      </c>
      <c r="P388" s="7" t="str">
        <f aca="false">IF(COUNTIF(customer_churn_dataset!$A$2:$A$1501,customer_churn_dataset!A388)&gt;1,"Duplicate","Unique")</f>
        <v>Unique</v>
      </c>
    </row>
    <row r="389" customFormat="false" ht="14.15" hidden="false" customHeight="true" outlineLevel="0" collapsed="false">
      <c r="A389" s="7" t="str">
        <f aca="false">TRIM(customer_churn_dataset!A389)</f>
        <v>CUST101368</v>
      </c>
      <c r="B389" s="7" t="str">
        <f aca="false">PROPER(TRIM(customer_churn_dataset!B389))</f>
        <v>Basic</v>
      </c>
      <c r="C389" s="7" t="str">
        <f aca="false">PROPER(TRIM(customer_churn_dataset!C389))</f>
        <v>Month-To-Month</v>
      </c>
      <c r="D389" s="7" t="n">
        <f aca="false">IF(ISBLANK(customer_churn_dataset!D389),ROUND(MEDIAN(customer_churn_dataset!D$2:D$1501),2),IF(customer_churn_dataset!D389&lt;0,ABS(customer_churn_dataset!D389),customer_churn_dataset!D389))</f>
        <v>12.05</v>
      </c>
      <c r="E389" s="7" t="n">
        <f aca="false">IF(ISBLANK(customer_churn_dataset!E389),0,MAX(0,customer_churn_dataset!E389))</f>
        <v>10</v>
      </c>
      <c r="F389" s="8" t="n">
        <f aca="false">IF(ISBLANK(customer_churn_dataset!F389),"",customer_churn_dataset!F389)</f>
        <v>44351</v>
      </c>
      <c r="G389" s="7" t="str">
        <f aca="false">PROPER(TRIM(customer_churn_dataset!G389))</f>
        <v>Credit Card</v>
      </c>
      <c r="H389" s="7" t="n">
        <f aca="false">IF(ISBLANK(customer_churn_dataset!H389),0,customer_churn_dataset!H389)</f>
        <v>1</v>
      </c>
      <c r="I389" s="7" t="n">
        <f aca="false">IF(ISBLANK(customer_churn_dataset!I389),ROUND(MEDIAN(customer_churn_dataset!I$2:I$1501),1),MIN(100,MAX(0,customer_churn_dataset!I389)))</f>
        <v>78.5</v>
      </c>
      <c r="J389" s="7" t="n">
        <f aca="false">IF(ISBLANK(customer_churn_dataset!J389),0,MAX(0,customer_churn_dataset!J389))</f>
        <v>30</v>
      </c>
      <c r="K389" s="7" t="n">
        <f aca="false">IF(ISBLANK(customer_churn_dataset!K389),0,MIN(10,MAX(0,customer_churn_dataset!K389)))</f>
        <v>7</v>
      </c>
      <c r="L389" s="7" t="n">
        <f aca="false">IF(ISBLANK(customer_churn_dataset!L389),0,MAX(0,customer_churn_dataset!L389))</f>
        <v>1</v>
      </c>
      <c r="M389" s="7" t="n">
        <f aca="false">IF(ISBLANK(customer_churn_dataset!M389),0,customer_churn_dataset!M389)</f>
        <v>0</v>
      </c>
      <c r="N389" s="7" t="n">
        <f aca="false">IF(ISBLANK(customer_churn_dataset!N389),0,MAX(0,customer_churn_dataset!N389))</f>
        <v>120.5</v>
      </c>
      <c r="O389" s="7" t="n">
        <f aca="false">IF(ISBLANK(customer_churn_dataset!O389),0,customer_churn_dataset!O389)</f>
        <v>1</v>
      </c>
      <c r="P389" s="7" t="str">
        <f aca="false">IF(COUNTIF(customer_churn_dataset!$A$2:$A$1501,customer_churn_dataset!A389)&gt;1,"Duplicate","Unique")</f>
        <v>Unique</v>
      </c>
    </row>
    <row r="390" customFormat="false" ht="14.15" hidden="false" customHeight="true" outlineLevel="0" collapsed="false">
      <c r="A390" s="7" t="str">
        <f aca="false">TRIM(customer_churn_dataset!A390)</f>
        <v>CUST101428</v>
      </c>
      <c r="B390" s="7" t="str">
        <f aca="false">PROPER(TRIM(customer_churn_dataset!B390))</f>
        <v>Standard</v>
      </c>
      <c r="C390" s="7" t="str">
        <f aca="false">PROPER(TRIM(customer_churn_dataset!C390))</f>
        <v>Month-To-Month</v>
      </c>
      <c r="D390" s="7" t="n">
        <f aca="false">IF(ISBLANK(customer_churn_dataset!D390),ROUND(MEDIAN(customer_churn_dataset!D$2:D$1501),2),IF(customer_churn_dataset!D390&lt;0,ABS(customer_churn_dataset!D390),customer_churn_dataset!D390))</f>
        <v>19.19</v>
      </c>
      <c r="E390" s="7" t="n">
        <f aca="false">IF(ISBLANK(customer_churn_dataset!E390),0,MAX(0,customer_churn_dataset!E390))</f>
        <v>44</v>
      </c>
      <c r="F390" s="8" t="n">
        <f aca="false">IF(ISBLANK(customer_churn_dataset!F390),"",customer_churn_dataset!F390)</f>
        <v>44353</v>
      </c>
      <c r="G390" s="7" t="str">
        <f aca="false">PROPER(TRIM(customer_churn_dataset!G390))</f>
        <v>Bank Transfer</v>
      </c>
      <c r="H390" s="7" t="n">
        <f aca="false">IF(ISBLANK(customer_churn_dataset!H390),0,customer_churn_dataset!H390)</f>
        <v>0</v>
      </c>
      <c r="I390" s="7" t="n">
        <f aca="false">IF(ISBLANK(customer_churn_dataset!I390),ROUND(MEDIAN(customer_churn_dataset!I$2:I$1501),1),MIN(100,MAX(0,customer_churn_dataset!I390)))</f>
        <v>22.9</v>
      </c>
      <c r="J390" s="7" t="n">
        <f aca="false">IF(ISBLANK(customer_churn_dataset!J390),0,MAX(0,customer_churn_dataset!J390))</f>
        <v>9</v>
      </c>
      <c r="K390" s="7" t="n">
        <f aca="false">IF(ISBLANK(customer_churn_dataset!K390),0,MIN(10,MAX(0,customer_churn_dataset!K390)))</f>
        <v>4</v>
      </c>
      <c r="L390" s="7" t="n">
        <f aca="false">IF(ISBLANK(customer_churn_dataset!L390),0,MAX(0,customer_churn_dataset!L390))</f>
        <v>0</v>
      </c>
      <c r="M390" s="7" t="n">
        <f aca="false">IF(ISBLANK(customer_churn_dataset!M390),0,customer_churn_dataset!M390)</f>
        <v>0</v>
      </c>
      <c r="N390" s="7" t="n">
        <f aca="false">IF(ISBLANK(customer_churn_dataset!N390),0,MAX(0,customer_churn_dataset!N390))</f>
        <v>844.36</v>
      </c>
      <c r="O390" s="7" t="n">
        <f aca="false">IF(ISBLANK(customer_churn_dataset!O390),0,customer_churn_dataset!O390)</f>
        <v>0</v>
      </c>
      <c r="P390" s="7" t="str">
        <f aca="false">IF(COUNTIF(customer_churn_dataset!$A$2:$A$1501,customer_churn_dataset!A390)&gt;1,"Duplicate","Unique")</f>
        <v>Unique</v>
      </c>
    </row>
    <row r="391" customFormat="false" ht="14.15" hidden="false" customHeight="true" outlineLevel="0" collapsed="false">
      <c r="A391" s="7" t="str">
        <f aca="false">TRIM(customer_churn_dataset!A391)</f>
        <v>CUST101459</v>
      </c>
      <c r="B391" s="7" t="str">
        <f aca="false">PROPER(TRIM(customer_churn_dataset!B391))</f>
        <v>Standard</v>
      </c>
      <c r="C391" s="7" t="str">
        <f aca="false">PROPER(TRIM(customer_churn_dataset!C391))</f>
        <v>Month-To-Month</v>
      </c>
      <c r="D391" s="7" t="n">
        <f aca="false">IF(ISBLANK(customer_churn_dataset!D391),ROUND(MEDIAN(customer_churn_dataset!D$2:D$1501),2),IF(customer_churn_dataset!D391&lt;0,ABS(customer_churn_dataset!D391),customer_churn_dataset!D391))</f>
        <v>21.45</v>
      </c>
      <c r="E391" s="7" t="n">
        <f aca="false">IF(ISBLANK(customer_churn_dataset!E391),0,MAX(0,customer_churn_dataset!E391))</f>
        <v>4</v>
      </c>
      <c r="F391" s="8" t="n">
        <f aca="false">IF(ISBLANK(customer_churn_dataset!F391),"",customer_churn_dataset!F391)</f>
        <v>44355</v>
      </c>
      <c r="G391" s="7" t="str">
        <f aca="false">PROPER(TRIM(customer_churn_dataset!G391))</f>
        <v>Bank Transfer</v>
      </c>
      <c r="H391" s="7" t="n">
        <f aca="false">IF(ISBLANK(customer_churn_dataset!H391),0,customer_churn_dataset!H391)</f>
        <v>1</v>
      </c>
      <c r="I391" s="7" t="n">
        <f aca="false">IF(ISBLANK(customer_churn_dataset!I391),ROUND(MEDIAN(customer_churn_dataset!I$2:I$1501),1),MIN(100,MAX(0,customer_churn_dataset!I391)))</f>
        <v>38.2</v>
      </c>
      <c r="J391" s="7" t="n">
        <f aca="false">IF(ISBLANK(customer_churn_dataset!J391),0,MAX(0,customer_churn_dataset!J391))</f>
        <v>16</v>
      </c>
      <c r="K391" s="7" t="n">
        <f aca="false">IF(ISBLANK(customer_churn_dataset!K391),0,MIN(10,MAX(0,customer_churn_dataset!K391)))</f>
        <v>2</v>
      </c>
      <c r="L391" s="7" t="n">
        <f aca="false">IF(ISBLANK(customer_churn_dataset!L391),0,MAX(0,customer_churn_dataset!L391))</f>
        <v>0</v>
      </c>
      <c r="M391" s="7" t="n">
        <f aca="false">IF(ISBLANK(customer_churn_dataset!M391),0,customer_churn_dataset!M391)</f>
        <v>0</v>
      </c>
      <c r="N391" s="7" t="n">
        <f aca="false">IF(ISBLANK(customer_churn_dataset!N391),0,MAX(0,customer_churn_dataset!N391))</f>
        <v>85.8</v>
      </c>
      <c r="O391" s="7" t="n">
        <f aca="false">IF(ISBLANK(customer_churn_dataset!O391),0,customer_churn_dataset!O391)</f>
        <v>0</v>
      </c>
      <c r="P391" s="7" t="str">
        <f aca="false">IF(COUNTIF(customer_churn_dataset!$A$2:$A$1501,customer_churn_dataset!A391)&gt;1,"Duplicate","Unique")</f>
        <v>Unique</v>
      </c>
    </row>
    <row r="392" customFormat="false" ht="14.15" hidden="false" customHeight="true" outlineLevel="0" collapsed="false">
      <c r="A392" s="7" t="str">
        <f aca="false">TRIM(customer_churn_dataset!A392)</f>
        <v>CUST100183</v>
      </c>
      <c r="B392" s="7" t="str">
        <f aca="false">PROPER(TRIM(customer_churn_dataset!B392))</f>
        <v>Premium</v>
      </c>
      <c r="C392" s="7" t="str">
        <f aca="false">PROPER(TRIM(customer_churn_dataset!C392))</f>
        <v>One Year</v>
      </c>
      <c r="D392" s="7" t="n">
        <f aca="false">IF(ISBLANK(customer_churn_dataset!D392),ROUND(MEDIAN(customer_churn_dataset!D$2:D$1501),2),IF(customer_churn_dataset!D392&lt;0,ABS(customer_churn_dataset!D392),customer_churn_dataset!D392))</f>
        <v>41.18</v>
      </c>
      <c r="E392" s="7" t="n">
        <f aca="false">IF(ISBLANK(customer_churn_dataset!E392),0,MAX(0,customer_churn_dataset!E392))</f>
        <v>16</v>
      </c>
      <c r="F392" s="8" t="n">
        <f aca="false">IF(ISBLANK(customer_churn_dataset!F392),"",customer_churn_dataset!F392)</f>
        <v>44357</v>
      </c>
      <c r="G392" s="7" t="str">
        <f aca="false">PROPER(TRIM(customer_churn_dataset!G392))</f>
        <v>Credit Card</v>
      </c>
      <c r="H392" s="7" t="n">
        <f aca="false">IF(ISBLANK(customer_churn_dataset!H392),0,customer_churn_dataset!H392)</f>
        <v>1</v>
      </c>
      <c r="I392" s="7" t="n">
        <f aca="false">IF(ISBLANK(customer_churn_dataset!I392),ROUND(MEDIAN(customer_churn_dataset!I$2:I$1501),1),MIN(100,MAX(0,customer_churn_dataset!I392)))</f>
        <v>52.5</v>
      </c>
      <c r="J392" s="7" t="n">
        <f aca="false">IF(ISBLANK(customer_churn_dataset!J392),0,MAX(0,customer_churn_dataset!J392))</f>
        <v>16</v>
      </c>
      <c r="K392" s="7" t="n">
        <f aca="false">IF(ISBLANK(customer_churn_dataset!K392),0,MIN(10,MAX(0,customer_churn_dataset!K392)))</f>
        <v>4</v>
      </c>
      <c r="L392" s="7" t="n">
        <f aca="false">IF(ISBLANK(customer_churn_dataset!L392),0,MAX(0,customer_churn_dataset!L392))</f>
        <v>0</v>
      </c>
      <c r="M392" s="7" t="n">
        <f aca="false">IF(ISBLANK(customer_churn_dataset!M392),0,customer_churn_dataset!M392)</f>
        <v>0</v>
      </c>
      <c r="N392" s="7" t="n">
        <f aca="false">IF(ISBLANK(customer_churn_dataset!N392),0,MAX(0,customer_churn_dataset!N392))</f>
        <v>658.88</v>
      </c>
      <c r="O392" s="7" t="n">
        <f aca="false">IF(ISBLANK(customer_churn_dataset!O392),0,customer_churn_dataset!O392)</f>
        <v>1</v>
      </c>
      <c r="P392" s="7" t="str">
        <f aca="false">IF(COUNTIF(customer_churn_dataset!$A$2:$A$1501,customer_churn_dataset!A392)&gt;1,"Duplicate","Unique")</f>
        <v>Unique</v>
      </c>
    </row>
    <row r="393" customFormat="false" ht="14.15" hidden="false" customHeight="true" outlineLevel="0" collapsed="false">
      <c r="A393" s="7" t="str">
        <f aca="false">TRIM(customer_churn_dataset!A393)</f>
        <v>CUST100066</v>
      </c>
      <c r="B393" s="7" t="str">
        <f aca="false">PROPER(TRIM(customer_churn_dataset!B393))</f>
        <v>Basic</v>
      </c>
      <c r="C393" s="7" t="str">
        <f aca="false">PROPER(TRIM(customer_churn_dataset!C393))</f>
        <v>One Year</v>
      </c>
      <c r="D393" s="7" t="n">
        <f aca="false">IF(ISBLANK(customer_churn_dataset!D393),ROUND(MEDIAN(customer_churn_dataset!D$2:D$1501),2),IF(customer_churn_dataset!D393&lt;0,ABS(customer_churn_dataset!D393),customer_churn_dataset!D393))</f>
        <v>10.03</v>
      </c>
      <c r="E393" s="7" t="n">
        <f aca="false">IF(ISBLANK(customer_churn_dataset!E393),0,MAX(0,customer_churn_dataset!E393))</f>
        <v>71</v>
      </c>
      <c r="F393" s="8" t="n">
        <f aca="false">IF(ISBLANK(customer_churn_dataset!F393),"",customer_churn_dataset!F393)</f>
        <v>44357</v>
      </c>
      <c r="G393" s="7" t="str">
        <f aca="false">PROPER(TRIM(customer_churn_dataset!G393))</f>
        <v>Bank Transfer</v>
      </c>
      <c r="H393" s="7" t="n">
        <f aca="false">IF(ISBLANK(customer_churn_dataset!H393),0,customer_churn_dataset!H393)</f>
        <v>1</v>
      </c>
      <c r="I393" s="7" t="n">
        <f aca="false">IF(ISBLANK(customer_churn_dataset!I393),ROUND(MEDIAN(customer_churn_dataset!I$2:I$1501),1),MIN(100,MAX(0,customer_churn_dataset!I393)))</f>
        <v>56.5</v>
      </c>
      <c r="J393" s="7" t="n">
        <f aca="false">IF(ISBLANK(customer_churn_dataset!J393),0,MAX(0,customer_churn_dataset!J393))</f>
        <v>27</v>
      </c>
      <c r="K393" s="7" t="n">
        <f aca="false">IF(ISBLANK(customer_churn_dataset!K393),0,MIN(10,MAX(0,customer_churn_dataset!K393)))</f>
        <v>5</v>
      </c>
      <c r="L393" s="7" t="n">
        <f aca="false">IF(ISBLANK(customer_churn_dataset!L393),0,MAX(0,customer_churn_dataset!L393))</f>
        <v>2</v>
      </c>
      <c r="M393" s="7" t="n">
        <f aca="false">IF(ISBLANK(customer_churn_dataset!M393),0,customer_churn_dataset!M393)</f>
        <v>0</v>
      </c>
      <c r="N393" s="7" t="n">
        <f aca="false">IF(ISBLANK(customer_churn_dataset!N393),0,MAX(0,customer_churn_dataset!N393))</f>
        <v>712.13</v>
      </c>
      <c r="O393" s="7" t="n">
        <f aca="false">IF(ISBLANK(customer_churn_dataset!O393),0,customer_churn_dataset!O393)</f>
        <v>0</v>
      </c>
      <c r="P393" s="7" t="str">
        <f aca="false">IF(COUNTIF(customer_churn_dataset!$A$2:$A$1501,customer_churn_dataset!A393)&gt;1,"Duplicate","Unique")</f>
        <v>Unique</v>
      </c>
    </row>
    <row r="394" customFormat="false" ht="14.15" hidden="false" customHeight="true" outlineLevel="0" collapsed="false">
      <c r="A394" s="7" t="str">
        <f aca="false">TRIM(customer_churn_dataset!A394)</f>
        <v>CUST100295</v>
      </c>
      <c r="B394" s="7" t="str">
        <f aca="false">PROPER(TRIM(customer_churn_dataset!B394))</f>
        <v>Standard</v>
      </c>
      <c r="C394" s="7" t="str">
        <f aca="false">PROPER(TRIM(customer_churn_dataset!C394))</f>
        <v>Month-To-Month</v>
      </c>
      <c r="D394" s="7" t="n">
        <f aca="false">IF(ISBLANK(customer_churn_dataset!D394),ROUND(MEDIAN(customer_churn_dataset!D$2:D$1501),2),IF(customer_churn_dataset!D394&lt;0,ABS(customer_churn_dataset!D394),customer_churn_dataset!D394))</f>
        <v>18.23</v>
      </c>
      <c r="E394" s="7" t="n">
        <f aca="false">IF(ISBLANK(customer_churn_dataset!E394),0,MAX(0,customer_churn_dataset!E394))</f>
        <v>0</v>
      </c>
      <c r="F394" s="8" t="n">
        <f aca="false">IF(ISBLANK(customer_churn_dataset!F394),"",customer_churn_dataset!F394)</f>
        <v>44358</v>
      </c>
      <c r="G394" s="7" t="str">
        <f aca="false">PROPER(TRIM(customer_churn_dataset!G394))</f>
        <v>Credit Card</v>
      </c>
      <c r="H394" s="7" t="n">
        <f aca="false">IF(ISBLANK(customer_churn_dataset!H394),0,customer_churn_dataset!H394)</f>
        <v>1</v>
      </c>
      <c r="I394" s="7" t="n">
        <f aca="false">IF(ISBLANK(customer_churn_dataset!I394),ROUND(MEDIAN(customer_churn_dataset!I$2:I$1501),1),MIN(100,MAX(0,customer_churn_dataset!I394)))</f>
        <v>62.6</v>
      </c>
      <c r="J394" s="7" t="n">
        <f aca="false">IF(ISBLANK(customer_churn_dataset!J394),0,MAX(0,customer_churn_dataset!J394))</f>
        <v>28</v>
      </c>
      <c r="K394" s="7" t="n">
        <f aca="false">IF(ISBLANK(customer_churn_dataset!K394),0,MIN(10,MAX(0,customer_churn_dataset!K394)))</f>
        <v>4</v>
      </c>
      <c r="L394" s="7" t="n">
        <f aca="false">IF(ISBLANK(customer_churn_dataset!L394),0,MAX(0,customer_churn_dataset!L394))</f>
        <v>1</v>
      </c>
      <c r="M394" s="7" t="n">
        <f aca="false">IF(ISBLANK(customer_churn_dataset!M394),0,customer_churn_dataset!M394)</f>
        <v>0</v>
      </c>
      <c r="N394" s="7" t="n">
        <f aca="false">IF(ISBLANK(customer_churn_dataset!N394),0,MAX(0,customer_churn_dataset!N394))</f>
        <v>0</v>
      </c>
      <c r="O394" s="7" t="n">
        <f aca="false">IF(ISBLANK(customer_churn_dataset!O394),0,customer_churn_dataset!O394)</f>
        <v>0</v>
      </c>
      <c r="P394" s="7" t="str">
        <f aca="false">IF(COUNTIF(customer_churn_dataset!$A$2:$A$1501,customer_churn_dataset!A394)&gt;1,"Duplicate","Unique")</f>
        <v>Unique</v>
      </c>
    </row>
    <row r="395" customFormat="false" ht="14.15" hidden="false" customHeight="true" outlineLevel="0" collapsed="false">
      <c r="A395" s="7" t="str">
        <f aca="false">TRIM(customer_churn_dataset!A395)</f>
        <v>CUST101354</v>
      </c>
      <c r="B395" s="7" t="str">
        <f aca="false">PROPER(TRIM(customer_churn_dataset!B395))</f>
        <v>Standard</v>
      </c>
      <c r="C395" s="7" t="str">
        <f aca="false">PROPER(TRIM(customer_churn_dataset!C395))</f>
        <v>Month-To-Month</v>
      </c>
      <c r="D395" s="7" t="n">
        <f aca="false">IF(ISBLANK(customer_churn_dataset!D395),ROUND(MEDIAN(customer_churn_dataset!D$2:D$1501),2),IF(customer_churn_dataset!D395&lt;0,ABS(customer_churn_dataset!D395),customer_churn_dataset!D395))</f>
        <v>19.86</v>
      </c>
      <c r="E395" s="7" t="n">
        <f aca="false">IF(ISBLANK(customer_churn_dataset!E395),0,MAX(0,customer_churn_dataset!E395))</f>
        <v>35</v>
      </c>
      <c r="F395" s="8" t="n">
        <f aca="false">IF(ISBLANK(customer_churn_dataset!F395),"",customer_churn_dataset!F395)</f>
        <v>44360</v>
      </c>
      <c r="G395" s="7" t="str">
        <f aca="false">PROPER(TRIM(customer_churn_dataset!G395))</f>
        <v>Paypal</v>
      </c>
      <c r="H395" s="7" t="n">
        <f aca="false">IF(ISBLANK(customer_churn_dataset!H395),0,customer_churn_dataset!H395)</f>
        <v>1</v>
      </c>
      <c r="I395" s="7" t="n">
        <f aca="false">IF(ISBLANK(customer_churn_dataset!I395),ROUND(MEDIAN(customer_churn_dataset!I$2:I$1501),1),MIN(100,MAX(0,customer_churn_dataset!I395)))</f>
        <v>72.1</v>
      </c>
      <c r="J395" s="7" t="n">
        <f aca="false">IF(ISBLANK(customer_churn_dataset!J395),0,MAX(0,customer_churn_dataset!J395))</f>
        <v>15</v>
      </c>
      <c r="K395" s="7" t="n">
        <f aca="false">IF(ISBLANK(customer_churn_dataset!K395),0,MIN(10,MAX(0,customer_churn_dataset!K395)))</f>
        <v>9</v>
      </c>
      <c r="L395" s="7" t="n">
        <f aca="false">IF(ISBLANK(customer_churn_dataset!L395),0,MAX(0,customer_churn_dataset!L395))</f>
        <v>1</v>
      </c>
      <c r="M395" s="7" t="n">
        <f aca="false">IF(ISBLANK(customer_churn_dataset!M395),0,customer_churn_dataset!M395)</f>
        <v>0</v>
      </c>
      <c r="N395" s="7" t="n">
        <f aca="false">IF(ISBLANK(customer_churn_dataset!N395),0,MAX(0,customer_churn_dataset!N395))</f>
        <v>695.1</v>
      </c>
      <c r="O395" s="7" t="n">
        <f aca="false">IF(ISBLANK(customer_churn_dataset!O395),0,customer_churn_dataset!O395)</f>
        <v>1</v>
      </c>
      <c r="P395" s="7" t="str">
        <f aca="false">IF(COUNTIF(customer_churn_dataset!$A$2:$A$1501,customer_churn_dataset!A395)&gt;1,"Duplicate","Unique")</f>
        <v>Unique</v>
      </c>
    </row>
    <row r="396" customFormat="false" ht="14.15" hidden="false" customHeight="true" outlineLevel="0" collapsed="false">
      <c r="A396" s="7" t="str">
        <f aca="false">TRIM(customer_churn_dataset!A396)</f>
        <v>CUST100910</v>
      </c>
      <c r="B396" s="7" t="str">
        <f aca="false">PROPER(TRIM(customer_churn_dataset!B396))</f>
        <v>Standard</v>
      </c>
      <c r="C396" s="7" t="str">
        <f aca="false">PROPER(TRIM(customer_churn_dataset!C396))</f>
        <v>Month-To-Month</v>
      </c>
      <c r="D396" s="7" t="n">
        <f aca="false">IF(ISBLANK(customer_churn_dataset!D396),ROUND(MEDIAN(customer_churn_dataset!D$2:D$1501),2),IF(customer_churn_dataset!D396&lt;0,ABS(customer_churn_dataset!D396),customer_churn_dataset!D396))</f>
        <v>20.96</v>
      </c>
      <c r="E396" s="7" t="n">
        <f aca="false">IF(ISBLANK(customer_churn_dataset!E396),0,MAX(0,customer_churn_dataset!E396))</f>
        <v>21</v>
      </c>
      <c r="F396" s="8" t="n">
        <f aca="false">IF(ISBLANK(customer_churn_dataset!F396),"",customer_churn_dataset!F396)</f>
        <v>44361</v>
      </c>
      <c r="G396" s="7" t="str">
        <f aca="false">PROPER(TRIM(customer_churn_dataset!G396))</f>
        <v>Credit Card</v>
      </c>
      <c r="H396" s="7" t="n">
        <f aca="false">IF(ISBLANK(customer_churn_dataset!H396),0,customer_churn_dataset!H396)</f>
        <v>0</v>
      </c>
      <c r="I396" s="7" t="n">
        <f aca="false">IF(ISBLANK(customer_churn_dataset!I396),ROUND(MEDIAN(customer_churn_dataset!I$2:I$1501),1),MIN(100,MAX(0,customer_churn_dataset!I396)))</f>
        <v>35.4</v>
      </c>
      <c r="J396" s="7" t="n">
        <f aca="false">IF(ISBLANK(customer_churn_dataset!J396),0,MAX(0,customer_churn_dataset!J396))</f>
        <v>9</v>
      </c>
      <c r="K396" s="7" t="n">
        <f aca="false">IF(ISBLANK(customer_churn_dataset!K396),0,MIN(10,MAX(0,customer_churn_dataset!K396)))</f>
        <v>2</v>
      </c>
      <c r="L396" s="7" t="n">
        <f aca="false">IF(ISBLANK(customer_churn_dataset!L396),0,MAX(0,customer_churn_dataset!L396))</f>
        <v>1</v>
      </c>
      <c r="M396" s="7" t="n">
        <f aca="false">IF(ISBLANK(customer_churn_dataset!M396),0,customer_churn_dataset!M396)</f>
        <v>0</v>
      </c>
      <c r="N396" s="7" t="n">
        <f aca="false">IF(ISBLANK(customer_churn_dataset!N396),0,MAX(0,customer_churn_dataset!N396))</f>
        <v>440.16</v>
      </c>
      <c r="O396" s="7" t="n">
        <f aca="false">IF(ISBLANK(customer_churn_dataset!O396),0,customer_churn_dataset!O396)</f>
        <v>1</v>
      </c>
      <c r="P396" s="7" t="str">
        <f aca="false">IF(COUNTIF(customer_churn_dataset!$A$2:$A$1501,customer_churn_dataset!A396)&gt;1,"Duplicate","Unique")</f>
        <v>Unique</v>
      </c>
    </row>
    <row r="397" customFormat="false" ht="14.15" hidden="false" customHeight="true" outlineLevel="0" collapsed="false">
      <c r="A397" s="7" t="str">
        <f aca="false">TRIM(customer_churn_dataset!A397)</f>
        <v>CUST100289</v>
      </c>
      <c r="B397" s="7" t="str">
        <f aca="false">PROPER(TRIM(customer_churn_dataset!B397))</f>
        <v>Standard</v>
      </c>
      <c r="C397" s="7" t="str">
        <f aca="false">PROPER(TRIM(customer_churn_dataset!C397))</f>
        <v>Month-To-Month</v>
      </c>
      <c r="D397" s="7" t="n">
        <f aca="false">IF(ISBLANK(customer_churn_dataset!D397),ROUND(MEDIAN(customer_churn_dataset!D$2:D$1501),2),IF(customer_churn_dataset!D397&lt;0,ABS(customer_churn_dataset!D397),customer_churn_dataset!D397))</f>
        <v>20.01</v>
      </c>
      <c r="E397" s="7" t="n">
        <f aca="false">IF(ISBLANK(customer_churn_dataset!E397),0,MAX(0,customer_churn_dataset!E397))</f>
        <v>7</v>
      </c>
      <c r="F397" s="8" t="n">
        <f aca="false">IF(ISBLANK(customer_churn_dataset!F397),"",customer_churn_dataset!F397)</f>
        <v>44361</v>
      </c>
      <c r="G397" s="7" t="str">
        <f aca="false">PROPER(TRIM(customer_churn_dataset!G397))</f>
        <v>Credit Card</v>
      </c>
      <c r="H397" s="7" t="n">
        <f aca="false">IF(ISBLANK(customer_churn_dataset!H397),0,customer_churn_dataset!H397)</f>
        <v>1</v>
      </c>
      <c r="I397" s="7" t="n">
        <f aca="false">IF(ISBLANK(customer_churn_dataset!I397),ROUND(MEDIAN(customer_churn_dataset!I$2:I$1501),1),MIN(100,MAX(0,customer_churn_dataset!I397)))</f>
        <v>81.4</v>
      </c>
      <c r="J397" s="7" t="n">
        <f aca="false">IF(ISBLANK(customer_churn_dataset!J397),0,MAX(0,customer_churn_dataset!J397))</f>
        <v>27</v>
      </c>
      <c r="K397" s="7" t="n">
        <f aca="false">IF(ISBLANK(customer_churn_dataset!K397),0,MIN(10,MAX(0,customer_churn_dataset!K397)))</f>
        <v>9</v>
      </c>
      <c r="L397" s="7" t="n">
        <f aca="false">IF(ISBLANK(customer_churn_dataset!L397),0,MAX(0,customer_churn_dataset!L397))</f>
        <v>0</v>
      </c>
      <c r="M397" s="7" t="n">
        <f aca="false">IF(ISBLANK(customer_churn_dataset!M397),0,customer_churn_dataset!M397)</f>
        <v>0</v>
      </c>
      <c r="N397" s="7" t="n">
        <f aca="false">IF(ISBLANK(customer_churn_dataset!N397),0,MAX(0,customer_churn_dataset!N397))</f>
        <v>140.07</v>
      </c>
      <c r="O397" s="7" t="n">
        <f aca="false">IF(ISBLANK(customer_churn_dataset!O397),0,customer_churn_dataset!O397)</f>
        <v>1</v>
      </c>
      <c r="P397" s="7" t="str">
        <f aca="false">IF(COUNTIF(customer_churn_dataset!$A$2:$A$1501,customer_churn_dataset!A397)&gt;1,"Duplicate","Unique")</f>
        <v>Unique</v>
      </c>
    </row>
    <row r="398" customFormat="false" ht="14.15" hidden="false" customHeight="true" outlineLevel="0" collapsed="false">
      <c r="A398" s="7" t="str">
        <f aca="false">TRIM(customer_churn_dataset!A398)</f>
        <v>CUST100616</v>
      </c>
      <c r="B398" s="7" t="str">
        <f aca="false">PROPER(TRIM(customer_churn_dataset!B398))</f>
        <v>Basic</v>
      </c>
      <c r="C398" s="7" t="str">
        <f aca="false">PROPER(TRIM(customer_churn_dataset!C398))</f>
        <v>Month-To-Month</v>
      </c>
      <c r="D398" s="7" t="n">
        <f aca="false">IF(ISBLANK(customer_churn_dataset!D398),ROUND(MEDIAN(customer_churn_dataset!D$2:D$1501),2),IF(customer_churn_dataset!D398&lt;0,ABS(customer_churn_dataset!D398),customer_churn_dataset!D398))</f>
        <v>9.38</v>
      </c>
      <c r="E398" s="7" t="n">
        <f aca="false">IF(ISBLANK(customer_churn_dataset!E398),0,MAX(0,customer_churn_dataset!E398))</f>
        <v>13</v>
      </c>
      <c r="F398" s="8" t="n">
        <f aca="false">IF(ISBLANK(customer_churn_dataset!F398),"",customer_churn_dataset!F398)</f>
        <v>44364</v>
      </c>
      <c r="G398" s="7" t="str">
        <f aca="false">PROPER(TRIM(customer_churn_dataset!G398))</f>
        <v>Manual/Invoice</v>
      </c>
      <c r="H398" s="7" t="n">
        <f aca="false">IF(ISBLANK(customer_churn_dataset!H398),0,customer_churn_dataset!H398)</f>
        <v>1</v>
      </c>
      <c r="I398" s="7" t="n">
        <f aca="false">IF(ISBLANK(customer_churn_dataset!I398),ROUND(MEDIAN(customer_churn_dataset!I$2:I$1501),1),MIN(100,MAX(0,customer_churn_dataset!I398)))</f>
        <v>15.7</v>
      </c>
      <c r="J398" s="7" t="n">
        <f aca="false">IF(ISBLANK(customer_churn_dataset!J398),0,MAX(0,customer_churn_dataset!J398))</f>
        <v>4</v>
      </c>
      <c r="K398" s="7" t="n">
        <f aca="false">IF(ISBLANK(customer_churn_dataset!K398),0,MIN(10,MAX(0,customer_churn_dataset!K398)))</f>
        <v>2</v>
      </c>
      <c r="L398" s="7" t="n">
        <f aca="false">IF(ISBLANK(customer_churn_dataset!L398),0,MAX(0,customer_churn_dataset!L398))</f>
        <v>4</v>
      </c>
      <c r="M398" s="7" t="n">
        <f aca="false">IF(ISBLANK(customer_churn_dataset!M398),0,customer_churn_dataset!M398)</f>
        <v>0</v>
      </c>
      <c r="N398" s="7" t="n">
        <f aca="false">IF(ISBLANK(customer_churn_dataset!N398),0,MAX(0,customer_churn_dataset!N398))</f>
        <v>121.94</v>
      </c>
      <c r="O398" s="7" t="n">
        <f aca="false">IF(ISBLANK(customer_churn_dataset!O398),0,customer_churn_dataset!O398)</f>
        <v>1</v>
      </c>
      <c r="P398" s="7" t="str">
        <f aca="false">IF(COUNTIF(customer_churn_dataset!$A$2:$A$1501,customer_churn_dataset!A398)&gt;1,"Duplicate","Unique")</f>
        <v>Unique</v>
      </c>
    </row>
    <row r="399" customFormat="false" ht="14.15" hidden="false" customHeight="true" outlineLevel="0" collapsed="false">
      <c r="A399" s="7" t="str">
        <f aca="false">TRIM(customer_churn_dataset!A399)</f>
        <v>CUST101129</v>
      </c>
      <c r="B399" s="7" t="str">
        <f aca="false">PROPER(TRIM(customer_churn_dataset!B399))</f>
        <v>Basic</v>
      </c>
      <c r="C399" s="7" t="str">
        <f aca="false">PROPER(TRIM(customer_churn_dataset!C399))</f>
        <v>One Year</v>
      </c>
      <c r="D399" s="7" t="n">
        <f aca="false">IF(ISBLANK(customer_churn_dataset!D399),ROUND(MEDIAN(customer_churn_dataset!D$2:D$1501),2),IF(customer_churn_dataset!D399&lt;0,ABS(customer_churn_dataset!D399),customer_churn_dataset!D399))</f>
        <v>11.41</v>
      </c>
      <c r="E399" s="7" t="n">
        <f aca="false">IF(ISBLANK(customer_churn_dataset!E399),0,MAX(0,customer_churn_dataset!E399))</f>
        <v>25</v>
      </c>
      <c r="F399" s="8" t="n">
        <f aca="false">IF(ISBLANK(customer_churn_dataset!F399),"",customer_churn_dataset!F399)</f>
        <v>44364</v>
      </c>
      <c r="G399" s="7" t="str">
        <f aca="false">PROPER(TRIM(customer_churn_dataset!G399))</f>
        <v>Credit Card</v>
      </c>
      <c r="H399" s="7" t="n">
        <f aca="false">IF(ISBLANK(customer_churn_dataset!H399),0,customer_churn_dataset!H399)</f>
        <v>1</v>
      </c>
      <c r="I399" s="7" t="n">
        <f aca="false">IF(ISBLANK(customer_churn_dataset!I399),ROUND(MEDIAN(customer_churn_dataset!I$2:I$1501),1),MIN(100,MAX(0,customer_churn_dataset!I399)))</f>
        <v>45.5</v>
      </c>
      <c r="J399" s="7" t="n">
        <f aca="false">IF(ISBLANK(customer_churn_dataset!J399),0,MAX(0,customer_churn_dataset!J399))</f>
        <v>9</v>
      </c>
      <c r="K399" s="7" t="n">
        <f aca="false">IF(ISBLANK(customer_churn_dataset!K399),0,MIN(10,MAX(0,customer_churn_dataset!K399)))</f>
        <v>6</v>
      </c>
      <c r="L399" s="7" t="n">
        <f aca="false">IF(ISBLANK(customer_churn_dataset!L399),0,MAX(0,customer_churn_dataset!L399))</f>
        <v>1</v>
      </c>
      <c r="M399" s="7" t="n">
        <f aca="false">IF(ISBLANK(customer_churn_dataset!M399),0,customer_churn_dataset!M399)</f>
        <v>0</v>
      </c>
      <c r="N399" s="7" t="n">
        <f aca="false">IF(ISBLANK(customer_churn_dataset!N399),0,MAX(0,customer_churn_dataset!N399))</f>
        <v>285.25</v>
      </c>
      <c r="O399" s="7" t="n">
        <f aca="false">IF(ISBLANK(customer_churn_dataset!O399),0,customer_churn_dataset!O399)</f>
        <v>0</v>
      </c>
      <c r="P399" s="7" t="str">
        <f aca="false">IF(COUNTIF(customer_churn_dataset!$A$2:$A$1501,customer_churn_dataset!A399)&gt;1,"Duplicate","Unique")</f>
        <v>Unique</v>
      </c>
    </row>
    <row r="400" customFormat="false" ht="14.15" hidden="false" customHeight="true" outlineLevel="0" collapsed="false">
      <c r="A400" s="7" t="str">
        <f aca="false">TRIM(customer_churn_dataset!A400)</f>
        <v>CUST101131</v>
      </c>
      <c r="B400" s="7" t="str">
        <f aca="false">PROPER(TRIM(customer_churn_dataset!B400))</f>
        <v>Standard</v>
      </c>
      <c r="C400" s="7" t="str">
        <f aca="false">PROPER(TRIM(customer_churn_dataset!C400))</f>
        <v>Month-To-Month</v>
      </c>
      <c r="D400" s="7" t="n">
        <f aca="false">IF(ISBLANK(customer_churn_dataset!D400),ROUND(MEDIAN(customer_churn_dataset!D$2:D$1501),2),IF(customer_churn_dataset!D400&lt;0,ABS(customer_churn_dataset!D400),customer_churn_dataset!D400))</f>
        <v>20.97</v>
      </c>
      <c r="E400" s="7" t="n">
        <f aca="false">IF(ISBLANK(customer_churn_dataset!E400),0,MAX(0,customer_churn_dataset!E400))</f>
        <v>31</v>
      </c>
      <c r="F400" s="8" t="n">
        <f aca="false">IF(ISBLANK(customer_churn_dataset!F400),"",customer_churn_dataset!F400)</f>
        <v>44367</v>
      </c>
      <c r="G400" s="7" t="str">
        <f aca="false">PROPER(TRIM(customer_churn_dataset!G400))</f>
        <v>Bank Transfer</v>
      </c>
      <c r="H400" s="7" t="n">
        <f aca="false">IF(ISBLANK(customer_churn_dataset!H400),0,customer_churn_dataset!H400)</f>
        <v>1</v>
      </c>
      <c r="I400" s="7" t="n">
        <f aca="false">IF(ISBLANK(customer_churn_dataset!I400),ROUND(MEDIAN(customer_churn_dataset!I$2:I$1501),1),MIN(100,MAX(0,customer_churn_dataset!I400)))</f>
        <v>69.5</v>
      </c>
      <c r="J400" s="7" t="n">
        <f aca="false">IF(ISBLANK(customer_churn_dataset!J400),0,MAX(0,customer_churn_dataset!J400))</f>
        <v>18</v>
      </c>
      <c r="K400" s="7" t="n">
        <f aca="false">IF(ISBLANK(customer_churn_dataset!K400),0,MIN(10,MAX(0,customer_churn_dataset!K400)))</f>
        <v>6</v>
      </c>
      <c r="L400" s="7" t="n">
        <f aca="false">IF(ISBLANK(customer_churn_dataset!L400),0,MAX(0,customer_churn_dataset!L400))</f>
        <v>4</v>
      </c>
      <c r="M400" s="7" t="n">
        <f aca="false">IF(ISBLANK(customer_churn_dataset!M400),0,customer_churn_dataset!M400)</f>
        <v>1</v>
      </c>
      <c r="N400" s="7" t="n">
        <f aca="false">IF(ISBLANK(customer_churn_dataset!N400),0,MAX(0,customer_churn_dataset!N400))</f>
        <v>650.07</v>
      </c>
      <c r="O400" s="7" t="n">
        <f aca="false">IF(ISBLANK(customer_churn_dataset!O400),0,customer_churn_dataset!O400)</f>
        <v>0</v>
      </c>
      <c r="P400" s="7" t="str">
        <f aca="false">IF(COUNTIF(customer_churn_dataset!$A$2:$A$1501,customer_churn_dataset!A400)&gt;1,"Duplicate","Unique")</f>
        <v>Unique</v>
      </c>
    </row>
    <row r="401" customFormat="false" ht="14.15" hidden="false" customHeight="true" outlineLevel="0" collapsed="false">
      <c r="A401" s="7" t="str">
        <f aca="false">TRIM(customer_churn_dataset!A401)</f>
        <v>CUST100981</v>
      </c>
      <c r="B401" s="7" t="str">
        <f aca="false">PROPER(TRIM(customer_churn_dataset!B401))</f>
        <v>Standard</v>
      </c>
      <c r="C401" s="7" t="str">
        <f aca="false">PROPER(TRIM(customer_churn_dataset!C401))</f>
        <v>One Year</v>
      </c>
      <c r="D401" s="7" t="n">
        <f aca="false">IF(ISBLANK(customer_churn_dataset!D401),ROUND(MEDIAN(customer_churn_dataset!D$2:D$1501),2),IF(customer_churn_dataset!D401&lt;0,ABS(customer_churn_dataset!D401),customer_churn_dataset!D401))</f>
        <v>20.04</v>
      </c>
      <c r="E401" s="7" t="n">
        <f aca="false">IF(ISBLANK(customer_churn_dataset!E401),0,MAX(0,customer_churn_dataset!E401))</f>
        <v>29</v>
      </c>
      <c r="F401" s="8" t="n">
        <f aca="false">IF(ISBLANK(customer_churn_dataset!F401),"",customer_churn_dataset!F401)</f>
        <v>44368</v>
      </c>
      <c r="G401" s="7" t="str">
        <f aca="false">PROPER(TRIM(customer_churn_dataset!G401))</f>
        <v>Paypal</v>
      </c>
      <c r="H401" s="7" t="n">
        <f aca="false">IF(ISBLANK(customer_churn_dataset!H401),0,customer_churn_dataset!H401)</f>
        <v>1</v>
      </c>
      <c r="I401" s="7" t="n">
        <f aca="false">IF(ISBLANK(customer_churn_dataset!I401),ROUND(MEDIAN(customer_churn_dataset!I$2:I$1501),1),MIN(100,MAX(0,customer_churn_dataset!I401)))</f>
        <v>47.8</v>
      </c>
      <c r="J401" s="7" t="n">
        <f aca="false">IF(ISBLANK(customer_churn_dataset!J401),0,MAX(0,customer_churn_dataset!J401))</f>
        <v>15</v>
      </c>
      <c r="K401" s="7" t="n">
        <f aca="false">IF(ISBLANK(customer_churn_dataset!K401),0,MIN(10,MAX(0,customer_churn_dataset!K401)))</f>
        <v>5</v>
      </c>
      <c r="L401" s="7" t="n">
        <f aca="false">IF(ISBLANK(customer_churn_dataset!L401),0,MAX(0,customer_churn_dataset!L401))</f>
        <v>0</v>
      </c>
      <c r="M401" s="7" t="n">
        <f aca="false">IF(ISBLANK(customer_churn_dataset!M401),0,customer_churn_dataset!M401)</f>
        <v>0</v>
      </c>
      <c r="N401" s="7" t="n">
        <f aca="false">IF(ISBLANK(customer_churn_dataset!N401),0,MAX(0,customer_churn_dataset!N401))</f>
        <v>581.16</v>
      </c>
      <c r="O401" s="7" t="n">
        <f aca="false">IF(ISBLANK(customer_churn_dataset!O401),0,customer_churn_dataset!O401)</f>
        <v>0</v>
      </c>
      <c r="P401" s="7" t="str">
        <f aca="false">IF(COUNTIF(customer_churn_dataset!$A$2:$A$1501,customer_churn_dataset!A401)&gt;1,"Duplicate","Unique")</f>
        <v>Unique</v>
      </c>
    </row>
    <row r="402" customFormat="false" ht="14.15" hidden="false" customHeight="true" outlineLevel="0" collapsed="false">
      <c r="A402" s="7" t="str">
        <f aca="false">TRIM(customer_churn_dataset!A402)</f>
        <v>CUST101260</v>
      </c>
      <c r="B402" s="7" t="str">
        <f aca="false">PROPER(TRIM(customer_churn_dataset!B402))</f>
        <v>Basic</v>
      </c>
      <c r="C402" s="7" t="str">
        <f aca="false">PROPER(TRIM(customer_churn_dataset!C402))</f>
        <v>Month-To-Month</v>
      </c>
      <c r="D402" s="7" t="n">
        <f aca="false">IF(ISBLANK(customer_churn_dataset!D402),ROUND(MEDIAN(customer_churn_dataset!D$2:D$1501),2),IF(customer_churn_dataset!D402&lt;0,ABS(customer_churn_dataset!D402),customer_churn_dataset!D402))</f>
        <v>11.04</v>
      </c>
      <c r="E402" s="7" t="n">
        <f aca="false">IF(ISBLANK(customer_churn_dataset!E402),0,MAX(0,customer_churn_dataset!E402))</f>
        <v>15</v>
      </c>
      <c r="F402" s="8" t="n">
        <f aca="false">IF(ISBLANK(customer_churn_dataset!F402),"",customer_churn_dataset!F402)</f>
        <v>44369</v>
      </c>
      <c r="G402" s="7" t="str">
        <f aca="false">PROPER(TRIM(customer_churn_dataset!G402))</f>
        <v>Bank Transfer</v>
      </c>
      <c r="H402" s="7" t="n">
        <f aca="false">IF(ISBLANK(customer_churn_dataset!H402),0,customer_churn_dataset!H402)</f>
        <v>1</v>
      </c>
      <c r="I402" s="7" t="n">
        <f aca="false">IF(ISBLANK(customer_churn_dataset!I402),ROUND(MEDIAN(customer_churn_dataset!I$2:I$1501),1),MIN(100,MAX(0,customer_churn_dataset!I402)))</f>
        <v>42.9</v>
      </c>
      <c r="J402" s="7" t="n">
        <f aca="false">IF(ISBLANK(customer_churn_dataset!J402),0,MAX(0,customer_churn_dataset!J402))</f>
        <v>15</v>
      </c>
      <c r="K402" s="7" t="n">
        <f aca="false">IF(ISBLANK(customer_churn_dataset!K402),0,MIN(10,MAX(0,customer_churn_dataset!K402)))</f>
        <v>2</v>
      </c>
      <c r="L402" s="7" t="n">
        <f aca="false">IF(ISBLANK(customer_churn_dataset!L402),0,MAX(0,customer_churn_dataset!L402))</f>
        <v>0</v>
      </c>
      <c r="M402" s="7" t="n">
        <f aca="false">IF(ISBLANK(customer_churn_dataset!M402),0,customer_churn_dataset!M402)</f>
        <v>0</v>
      </c>
      <c r="N402" s="7" t="n">
        <f aca="false">IF(ISBLANK(customer_churn_dataset!N402),0,MAX(0,customer_churn_dataset!N402))</f>
        <v>165.6</v>
      </c>
      <c r="O402" s="7" t="n">
        <f aca="false">IF(ISBLANK(customer_churn_dataset!O402),0,customer_churn_dataset!O402)</f>
        <v>0</v>
      </c>
      <c r="P402" s="7" t="str">
        <f aca="false">IF(COUNTIF(customer_churn_dataset!$A$2:$A$1501,customer_churn_dataset!A402)&gt;1,"Duplicate","Unique")</f>
        <v>Unique</v>
      </c>
    </row>
    <row r="403" customFormat="false" ht="14.15" hidden="false" customHeight="true" outlineLevel="0" collapsed="false">
      <c r="A403" s="7" t="str">
        <f aca="false">TRIM(customer_churn_dataset!A403)</f>
        <v>CUST100768</v>
      </c>
      <c r="B403" s="7" t="str">
        <f aca="false">PROPER(TRIM(customer_churn_dataset!B403))</f>
        <v>Basic</v>
      </c>
      <c r="C403" s="7" t="str">
        <f aca="false">PROPER(TRIM(customer_churn_dataset!C403))</f>
        <v>One Year</v>
      </c>
      <c r="D403" s="7" t="n">
        <f aca="false">IF(ISBLANK(customer_churn_dataset!D403),ROUND(MEDIAN(customer_churn_dataset!D$2:D$1501),2),IF(customer_churn_dataset!D403&lt;0,ABS(customer_churn_dataset!D403),customer_churn_dataset!D403))</f>
        <v>11.09</v>
      </c>
      <c r="E403" s="7" t="n">
        <f aca="false">IF(ISBLANK(customer_churn_dataset!E403),0,MAX(0,customer_churn_dataset!E403))</f>
        <v>4</v>
      </c>
      <c r="F403" s="8" t="n">
        <f aca="false">IF(ISBLANK(customer_churn_dataset!F403),"",customer_churn_dataset!F403)</f>
        <v>44372</v>
      </c>
      <c r="G403" s="7" t="str">
        <f aca="false">PROPER(TRIM(customer_churn_dataset!G403))</f>
        <v>Paypal</v>
      </c>
      <c r="H403" s="7" t="n">
        <f aca="false">IF(ISBLANK(customer_churn_dataset!H403),0,customer_churn_dataset!H403)</f>
        <v>1</v>
      </c>
      <c r="I403" s="7" t="n">
        <f aca="false">IF(ISBLANK(customer_churn_dataset!I403),ROUND(MEDIAN(customer_churn_dataset!I$2:I$1501),1),MIN(100,MAX(0,customer_churn_dataset!I403)))</f>
        <v>53.8</v>
      </c>
      <c r="J403" s="7" t="n">
        <f aca="false">IF(ISBLANK(customer_churn_dataset!J403),0,MAX(0,customer_churn_dataset!J403))</f>
        <v>11</v>
      </c>
      <c r="K403" s="7" t="n">
        <f aca="false">IF(ISBLANK(customer_churn_dataset!K403),0,MIN(10,MAX(0,customer_churn_dataset!K403)))</f>
        <v>5</v>
      </c>
      <c r="L403" s="7" t="n">
        <f aca="false">IF(ISBLANK(customer_churn_dataset!L403),0,MAX(0,customer_churn_dataset!L403))</f>
        <v>1</v>
      </c>
      <c r="M403" s="7" t="n">
        <f aca="false">IF(ISBLANK(customer_churn_dataset!M403),0,customer_churn_dataset!M403)</f>
        <v>0</v>
      </c>
      <c r="N403" s="7" t="n">
        <f aca="false">IF(ISBLANK(customer_churn_dataset!N403),0,MAX(0,customer_churn_dataset!N403))</f>
        <v>44.36</v>
      </c>
      <c r="O403" s="7" t="n">
        <f aca="false">IF(ISBLANK(customer_churn_dataset!O403),0,customer_churn_dataset!O403)</f>
        <v>0</v>
      </c>
      <c r="P403" s="7" t="str">
        <f aca="false">IF(COUNTIF(customer_churn_dataset!$A$2:$A$1501,customer_churn_dataset!A403)&gt;1,"Duplicate","Unique")</f>
        <v>Unique</v>
      </c>
    </row>
    <row r="404" customFormat="false" ht="14.15" hidden="false" customHeight="true" outlineLevel="0" collapsed="false">
      <c r="A404" s="7" t="str">
        <f aca="false">TRIM(customer_churn_dataset!A404)</f>
        <v>CUST100246</v>
      </c>
      <c r="B404" s="7" t="str">
        <f aca="false">PROPER(TRIM(customer_churn_dataset!B404))</f>
        <v>Basic</v>
      </c>
      <c r="C404" s="7" t="str">
        <f aca="false">PROPER(TRIM(customer_churn_dataset!C404))</f>
        <v>Month-To-Month</v>
      </c>
      <c r="D404" s="7" t="n">
        <f aca="false">IF(ISBLANK(customer_churn_dataset!D404),ROUND(MEDIAN(customer_churn_dataset!D$2:D$1501),2),IF(customer_churn_dataset!D404&lt;0,ABS(customer_churn_dataset!D404),customer_churn_dataset!D404))</f>
        <v>8.57</v>
      </c>
      <c r="E404" s="7" t="n">
        <f aca="false">IF(ISBLANK(customer_churn_dataset!E404),0,MAX(0,customer_churn_dataset!E404))</f>
        <v>20</v>
      </c>
      <c r="F404" s="8" t="n">
        <f aca="false">IF(ISBLANK(customer_churn_dataset!F404),"",customer_churn_dataset!F404)</f>
        <v>44372</v>
      </c>
      <c r="G404" s="7" t="str">
        <f aca="false">PROPER(TRIM(customer_churn_dataset!G404))</f>
        <v>Credit Card</v>
      </c>
      <c r="H404" s="7" t="n">
        <f aca="false">IF(ISBLANK(customer_churn_dataset!H404),0,customer_churn_dataset!H404)</f>
        <v>1</v>
      </c>
      <c r="I404" s="7" t="n">
        <f aca="false">IF(ISBLANK(customer_churn_dataset!I404),ROUND(MEDIAN(customer_churn_dataset!I$2:I$1501),1),MIN(100,MAX(0,customer_churn_dataset!I404)))</f>
        <v>39.7</v>
      </c>
      <c r="J404" s="7" t="n">
        <f aca="false">IF(ISBLANK(customer_churn_dataset!J404),0,MAX(0,customer_churn_dataset!J404))</f>
        <v>16</v>
      </c>
      <c r="K404" s="7" t="n">
        <f aca="false">IF(ISBLANK(customer_churn_dataset!K404),0,MIN(10,MAX(0,customer_churn_dataset!K404)))</f>
        <v>3</v>
      </c>
      <c r="L404" s="7" t="n">
        <f aca="false">IF(ISBLANK(customer_churn_dataset!L404),0,MAX(0,customer_churn_dataset!L404))</f>
        <v>0</v>
      </c>
      <c r="M404" s="7" t="n">
        <f aca="false">IF(ISBLANK(customer_churn_dataset!M404),0,customer_churn_dataset!M404)</f>
        <v>0</v>
      </c>
      <c r="N404" s="7" t="n">
        <f aca="false">IF(ISBLANK(customer_churn_dataset!N404),0,MAX(0,customer_churn_dataset!N404))</f>
        <v>171.4</v>
      </c>
      <c r="O404" s="7" t="n">
        <f aca="false">IF(ISBLANK(customer_churn_dataset!O404),0,customer_churn_dataset!O404)</f>
        <v>0</v>
      </c>
      <c r="P404" s="7" t="str">
        <f aca="false">IF(COUNTIF(customer_churn_dataset!$A$2:$A$1501,customer_churn_dataset!A404)&gt;1,"Duplicate","Unique")</f>
        <v>Unique</v>
      </c>
    </row>
    <row r="405" customFormat="false" ht="14.15" hidden="false" customHeight="true" outlineLevel="0" collapsed="false">
      <c r="A405" s="7" t="str">
        <f aca="false">TRIM(customer_churn_dataset!A405)</f>
        <v>CUST100591</v>
      </c>
      <c r="B405" s="7" t="str">
        <f aca="false">PROPER(TRIM(customer_churn_dataset!B405))</f>
        <v>Standard</v>
      </c>
      <c r="C405" s="7" t="str">
        <f aca="false">PROPER(TRIM(customer_churn_dataset!C405))</f>
        <v>Month-To-Month</v>
      </c>
      <c r="D405" s="7" t="n">
        <f aca="false">IF(ISBLANK(customer_churn_dataset!D405),ROUND(MEDIAN(customer_churn_dataset!D$2:D$1501),2),IF(customer_churn_dataset!D405&lt;0,ABS(customer_churn_dataset!D405),customer_churn_dataset!D405))</f>
        <v>20.67</v>
      </c>
      <c r="E405" s="7" t="n">
        <f aca="false">IF(ISBLANK(customer_churn_dataset!E405),0,MAX(0,customer_churn_dataset!E405))</f>
        <v>10</v>
      </c>
      <c r="F405" s="8" t="n">
        <f aca="false">IF(ISBLANK(customer_churn_dataset!F405),"",customer_churn_dataset!F405)</f>
        <v>44373</v>
      </c>
      <c r="G405" s="7" t="str">
        <f aca="false">PROPER(TRIM(customer_churn_dataset!G405))</f>
        <v>Paypal</v>
      </c>
      <c r="H405" s="7" t="n">
        <f aca="false">IF(ISBLANK(customer_churn_dataset!H405),0,customer_churn_dataset!H405)</f>
        <v>1</v>
      </c>
      <c r="I405" s="7" t="n">
        <f aca="false">IF(ISBLANK(customer_churn_dataset!I405),ROUND(MEDIAN(customer_churn_dataset!I$2:I$1501),1),MIN(100,MAX(0,customer_churn_dataset!I405)))</f>
        <v>45.9</v>
      </c>
      <c r="J405" s="7" t="n">
        <f aca="false">IF(ISBLANK(customer_churn_dataset!J405),0,MAX(0,customer_churn_dataset!J405))</f>
        <v>23</v>
      </c>
      <c r="K405" s="7" t="n">
        <f aca="false">IF(ISBLANK(customer_churn_dataset!K405),0,MIN(10,MAX(0,customer_churn_dataset!K405)))</f>
        <v>5</v>
      </c>
      <c r="L405" s="7" t="n">
        <f aca="false">IF(ISBLANK(customer_churn_dataset!L405),0,MAX(0,customer_churn_dataset!L405))</f>
        <v>1</v>
      </c>
      <c r="M405" s="7" t="n">
        <f aca="false">IF(ISBLANK(customer_churn_dataset!M405),0,customer_churn_dataset!M405)</f>
        <v>1</v>
      </c>
      <c r="N405" s="7" t="n">
        <f aca="false">IF(ISBLANK(customer_churn_dataset!N405),0,MAX(0,customer_churn_dataset!N405))</f>
        <v>206.7</v>
      </c>
      <c r="O405" s="7" t="n">
        <f aca="false">IF(ISBLANK(customer_churn_dataset!O405),0,customer_churn_dataset!O405)</f>
        <v>0</v>
      </c>
      <c r="P405" s="7" t="str">
        <f aca="false">IF(COUNTIF(customer_churn_dataset!$A$2:$A$1501,customer_churn_dataset!A405)&gt;1,"Duplicate","Unique")</f>
        <v>Unique</v>
      </c>
    </row>
    <row r="406" customFormat="false" ht="14.15" hidden="false" customHeight="true" outlineLevel="0" collapsed="false">
      <c r="A406" s="7" t="str">
        <f aca="false">TRIM(customer_churn_dataset!A406)</f>
        <v>CUST100887</v>
      </c>
      <c r="B406" s="7" t="str">
        <f aca="false">PROPER(TRIM(customer_churn_dataset!B406))</f>
        <v>Basic</v>
      </c>
      <c r="C406" s="7" t="str">
        <f aca="false">PROPER(TRIM(customer_churn_dataset!C406))</f>
        <v>Month-To-Month</v>
      </c>
      <c r="D406" s="7" t="n">
        <f aca="false">IF(ISBLANK(customer_churn_dataset!D406),ROUND(MEDIAN(customer_churn_dataset!D$2:D$1501),2),IF(customer_churn_dataset!D406&lt;0,ABS(customer_churn_dataset!D406),customer_churn_dataset!D406))</f>
        <v>9.98</v>
      </c>
      <c r="E406" s="7" t="n">
        <f aca="false">IF(ISBLANK(customer_churn_dataset!E406),0,MAX(0,customer_churn_dataset!E406))</f>
        <v>33</v>
      </c>
      <c r="F406" s="8" t="n">
        <f aca="false">IF(ISBLANK(customer_churn_dataset!F406),"",customer_churn_dataset!F406)</f>
        <v>44374</v>
      </c>
      <c r="G406" s="7" t="str">
        <f aca="false">PROPER(TRIM(customer_churn_dataset!G406))</f>
        <v>Manual/Invoice</v>
      </c>
      <c r="H406" s="7" t="n">
        <f aca="false">IF(ISBLANK(customer_churn_dataset!H406),0,customer_churn_dataset!H406)</f>
        <v>1</v>
      </c>
      <c r="I406" s="7" t="n">
        <f aca="false">IF(ISBLANK(customer_churn_dataset!I406),ROUND(MEDIAN(customer_churn_dataset!I$2:I$1501),1),MIN(100,MAX(0,customer_churn_dataset!I406)))</f>
        <v>17.3</v>
      </c>
      <c r="J406" s="7" t="n">
        <f aca="false">IF(ISBLANK(customer_churn_dataset!J406),0,MAX(0,customer_churn_dataset!J406))</f>
        <v>0</v>
      </c>
      <c r="K406" s="7" t="n">
        <f aca="false">IF(ISBLANK(customer_churn_dataset!K406),0,MIN(10,MAX(0,customer_churn_dataset!K406)))</f>
        <v>0</v>
      </c>
      <c r="L406" s="7" t="n">
        <f aca="false">IF(ISBLANK(customer_churn_dataset!L406),0,MAX(0,customer_churn_dataset!L406))</f>
        <v>0</v>
      </c>
      <c r="M406" s="7" t="n">
        <f aca="false">IF(ISBLANK(customer_churn_dataset!M406),0,customer_churn_dataset!M406)</f>
        <v>0</v>
      </c>
      <c r="N406" s="7" t="n">
        <f aca="false">IF(ISBLANK(customer_churn_dataset!N406),0,MAX(0,customer_churn_dataset!N406))</f>
        <v>329.34</v>
      </c>
      <c r="O406" s="7" t="n">
        <f aca="false">IF(ISBLANK(customer_churn_dataset!O406),0,customer_churn_dataset!O406)</f>
        <v>1</v>
      </c>
      <c r="P406" s="7" t="str">
        <f aca="false">IF(COUNTIF(customer_churn_dataset!$A$2:$A$1501,customer_churn_dataset!A406)&gt;1,"Duplicate","Unique")</f>
        <v>Unique</v>
      </c>
    </row>
    <row r="407" customFormat="false" ht="14.15" hidden="false" customHeight="true" outlineLevel="0" collapsed="false">
      <c r="A407" s="7" t="str">
        <f aca="false">TRIM(customer_churn_dataset!A407)</f>
        <v>CUST101014</v>
      </c>
      <c r="B407" s="7" t="str">
        <f aca="false">PROPER(TRIM(customer_churn_dataset!B407))</f>
        <v>Standard</v>
      </c>
      <c r="C407" s="7" t="str">
        <f aca="false">PROPER(TRIM(customer_churn_dataset!C407))</f>
        <v>Month-To-Month</v>
      </c>
      <c r="D407" s="7" t="n">
        <f aca="false">IF(ISBLANK(customer_churn_dataset!D407),ROUND(MEDIAN(customer_churn_dataset!D$2:D$1501),2),IF(customer_churn_dataset!D407&lt;0,ABS(customer_churn_dataset!D407),customer_churn_dataset!D407))</f>
        <v>19.15</v>
      </c>
      <c r="E407" s="7" t="n">
        <f aca="false">IF(ISBLANK(customer_churn_dataset!E407),0,MAX(0,customer_churn_dataset!E407))</f>
        <v>5</v>
      </c>
      <c r="F407" s="8" t="n">
        <f aca="false">IF(ISBLANK(customer_churn_dataset!F407),"",customer_churn_dataset!F407)</f>
        <v>44376</v>
      </c>
      <c r="G407" s="7" t="str">
        <f aca="false">PROPER(TRIM(customer_churn_dataset!G407))</f>
        <v>Credit Card</v>
      </c>
      <c r="H407" s="7" t="n">
        <f aca="false">IF(ISBLANK(customer_churn_dataset!H407),0,customer_churn_dataset!H407)</f>
        <v>1</v>
      </c>
      <c r="I407" s="7" t="n">
        <f aca="false">IF(ISBLANK(customer_churn_dataset!I407),ROUND(MEDIAN(customer_churn_dataset!I$2:I$1501),1),MIN(100,MAX(0,customer_churn_dataset!I407)))</f>
        <v>55.3</v>
      </c>
      <c r="J407" s="7" t="n">
        <f aca="false">IF(ISBLANK(customer_churn_dataset!J407),0,MAX(0,customer_churn_dataset!J407))</f>
        <v>21</v>
      </c>
      <c r="K407" s="7" t="n">
        <f aca="false">IF(ISBLANK(customer_churn_dataset!K407),0,MIN(10,MAX(0,customer_churn_dataset!K407)))</f>
        <v>3</v>
      </c>
      <c r="L407" s="7" t="n">
        <f aca="false">IF(ISBLANK(customer_churn_dataset!L407),0,MAX(0,customer_churn_dataset!L407))</f>
        <v>2</v>
      </c>
      <c r="M407" s="7" t="n">
        <f aca="false">IF(ISBLANK(customer_churn_dataset!M407),0,customer_churn_dataset!M407)</f>
        <v>0</v>
      </c>
      <c r="N407" s="7" t="n">
        <f aca="false">IF(ISBLANK(customer_churn_dataset!N407),0,MAX(0,customer_churn_dataset!N407))</f>
        <v>95.75</v>
      </c>
      <c r="O407" s="7" t="n">
        <f aca="false">IF(ISBLANK(customer_churn_dataset!O407),0,customer_churn_dataset!O407)</f>
        <v>0</v>
      </c>
      <c r="P407" s="7" t="str">
        <f aca="false">IF(COUNTIF(customer_churn_dataset!$A$2:$A$1501,customer_churn_dataset!A407)&gt;1,"Duplicate","Unique")</f>
        <v>Unique</v>
      </c>
    </row>
    <row r="408" customFormat="false" ht="14.15" hidden="false" customHeight="true" outlineLevel="0" collapsed="false">
      <c r="A408" s="7" t="str">
        <f aca="false">TRIM(customer_churn_dataset!A408)</f>
        <v>CUST100332</v>
      </c>
      <c r="B408" s="7" t="str">
        <f aca="false">PROPER(TRIM(customer_churn_dataset!B408))</f>
        <v>Basic</v>
      </c>
      <c r="C408" s="7" t="str">
        <f aca="false">PROPER(TRIM(customer_churn_dataset!C408))</f>
        <v>Two Year</v>
      </c>
      <c r="D408" s="7" t="n">
        <f aca="false">IF(ISBLANK(customer_churn_dataset!D408),ROUND(MEDIAN(customer_churn_dataset!D$2:D$1501),2),IF(customer_churn_dataset!D408&lt;0,ABS(customer_churn_dataset!D408),customer_churn_dataset!D408))</f>
        <v>9.43</v>
      </c>
      <c r="E408" s="7" t="n">
        <f aca="false">IF(ISBLANK(customer_churn_dataset!E408),0,MAX(0,customer_churn_dataset!E408))</f>
        <v>10</v>
      </c>
      <c r="F408" s="8" t="n">
        <f aca="false">IF(ISBLANK(customer_churn_dataset!F408),"",customer_churn_dataset!F408)</f>
        <v>44378</v>
      </c>
      <c r="G408" s="7" t="str">
        <f aca="false">PROPER(TRIM(customer_churn_dataset!G408))</f>
        <v>Bank Transfer</v>
      </c>
      <c r="H408" s="7" t="n">
        <f aca="false">IF(ISBLANK(customer_churn_dataset!H408),0,customer_churn_dataset!H408)</f>
        <v>1</v>
      </c>
      <c r="I408" s="7" t="n">
        <f aca="false">IF(ISBLANK(customer_churn_dataset!I408),ROUND(MEDIAN(customer_churn_dataset!I$2:I$1501),1),MIN(100,MAX(0,customer_churn_dataset!I408)))</f>
        <v>85.8</v>
      </c>
      <c r="J408" s="7" t="n">
        <f aca="false">IF(ISBLANK(customer_churn_dataset!J408),0,MAX(0,customer_churn_dataset!J408))</f>
        <v>31</v>
      </c>
      <c r="K408" s="7" t="n">
        <f aca="false">IF(ISBLANK(customer_churn_dataset!K408),0,MIN(10,MAX(0,customer_churn_dataset!K408)))</f>
        <v>6</v>
      </c>
      <c r="L408" s="7" t="n">
        <f aca="false">IF(ISBLANK(customer_churn_dataset!L408),0,MAX(0,customer_churn_dataset!L408))</f>
        <v>1</v>
      </c>
      <c r="M408" s="7" t="n">
        <f aca="false">IF(ISBLANK(customer_churn_dataset!M408),0,customer_churn_dataset!M408)</f>
        <v>0</v>
      </c>
      <c r="N408" s="7" t="n">
        <f aca="false">IF(ISBLANK(customer_churn_dataset!N408),0,MAX(0,customer_churn_dataset!N408))</f>
        <v>94.3</v>
      </c>
      <c r="O408" s="7" t="n">
        <f aca="false">IF(ISBLANK(customer_churn_dataset!O408),0,customer_churn_dataset!O408)</f>
        <v>0</v>
      </c>
      <c r="P408" s="7" t="str">
        <f aca="false">IF(COUNTIF(customer_churn_dataset!$A$2:$A$1501,customer_churn_dataset!A408)&gt;1,"Duplicate","Unique")</f>
        <v>Unique</v>
      </c>
    </row>
    <row r="409" customFormat="false" ht="14.15" hidden="false" customHeight="true" outlineLevel="0" collapsed="false">
      <c r="A409" s="7" t="str">
        <f aca="false">TRIM(customer_churn_dataset!A409)</f>
        <v>CUST100171</v>
      </c>
      <c r="B409" s="7" t="str">
        <f aca="false">PROPER(TRIM(customer_churn_dataset!B409))</f>
        <v>Basic</v>
      </c>
      <c r="C409" s="7" t="str">
        <f aca="false">PROPER(TRIM(customer_churn_dataset!C409))</f>
        <v>Month-To-Month</v>
      </c>
      <c r="D409" s="7" t="n">
        <f aca="false">IF(ISBLANK(customer_churn_dataset!D409),ROUND(MEDIAN(customer_churn_dataset!D$2:D$1501),2),IF(customer_churn_dataset!D409&lt;0,ABS(customer_churn_dataset!D409),customer_churn_dataset!D409))</f>
        <v>11.21</v>
      </c>
      <c r="E409" s="7" t="n">
        <f aca="false">IF(ISBLANK(customer_churn_dataset!E409),0,MAX(0,customer_churn_dataset!E409))</f>
        <v>72</v>
      </c>
      <c r="F409" s="8" t="n">
        <f aca="false">IF(ISBLANK(customer_churn_dataset!F409),"",customer_churn_dataset!F409)</f>
        <v>44381</v>
      </c>
      <c r="G409" s="7" t="str">
        <f aca="false">PROPER(TRIM(customer_churn_dataset!G409))</f>
        <v>Bank Transfer</v>
      </c>
      <c r="H409" s="7" t="n">
        <f aca="false">IF(ISBLANK(customer_churn_dataset!H409),0,customer_churn_dataset!H409)</f>
        <v>1</v>
      </c>
      <c r="I409" s="7" t="n">
        <f aca="false">IF(ISBLANK(customer_churn_dataset!I409),ROUND(MEDIAN(customer_churn_dataset!I$2:I$1501),1),MIN(100,MAX(0,customer_churn_dataset!I409)))</f>
        <v>51.2</v>
      </c>
      <c r="J409" s="7" t="n">
        <f aca="false">IF(ISBLANK(customer_churn_dataset!J409),0,MAX(0,customer_churn_dataset!J409))</f>
        <v>23</v>
      </c>
      <c r="K409" s="7" t="n">
        <f aca="false">IF(ISBLANK(customer_churn_dataset!K409),0,MIN(10,MAX(0,customer_churn_dataset!K409)))</f>
        <v>5</v>
      </c>
      <c r="L409" s="7" t="n">
        <f aca="false">IF(ISBLANK(customer_churn_dataset!L409),0,MAX(0,customer_churn_dataset!L409))</f>
        <v>0</v>
      </c>
      <c r="M409" s="7" t="n">
        <f aca="false">IF(ISBLANK(customer_churn_dataset!M409),0,customer_churn_dataset!M409)</f>
        <v>0</v>
      </c>
      <c r="N409" s="7" t="n">
        <f aca="false">IF(ISBLANK(customer_churn_dataset!N409),0,MAX(0,customer_churn_dataset!N409))</f>
        <v>807.12</v>
      </c>
      <c r="O409" s="7" t="n">
        <f aca="false">IF(ISBLANK(customer_churn_dataset!O409),0,customer_churn_dataset!O409)</f>
        <v>0</v>
      </c>
      <c r="P409" s="7" t="str">
        <f aca="false">IF(COUNTIF(customer_churn_dataset!$A$2:$A$1501,customer_churn_dataset!A409)&gt;1,"Duplicate","Unique")</f>
        <v>Unique</v>
      </c>
    </row>
    <row r="410" customFormat="false" ht="14.15" hidden="false" customHeight="true" outlineLevel="0" collapsed="false">
      <c r="A410" s="7" t="str">
        <f aca="false">TRIM(customer_churn_dataset!A410)</f>
        <v>CUST100839</v>
      </c>
      <c r="B410" s="7" t="str">
        <f aca="false">PROPER(TRIM(customer_churn_dataset!B410))</f>
        <v>Standard</v>
      </c>
      <c r="C410" s="7" t="str">
        <f aca="false">PROPER(TRIM(customer_churn_dataset!C410))</f>
        <v>Month-To-Month</v>
      </c>
      <c r="D410" s="7" t="n">
        <f aca="false">IF(ISBLANK(customer_churn_dataset!D410),ROUND(MEDIAN(customer_churn_dataset!D$2:D$1501),2),IF(customer_churn_dataset!D410&lt;0,ABS(customer_churn_dataset!D410),customer_churn_dataset!D410))</f>
        <v>19.25</v>
      </c>
      <c r="E410" s="7" t="n">
        <f aca="false">IF(ISBLANK(customer_churn_dataset!E410),0,MAX(0,customer_churn_dataset!E410))</f>
        <v>6</v>
      </c>
      <c r="F410" s="8" t="n">
        <f aca="false">IF(ISBLANK(customer_churn_dataset!F410),"",customer_churn_dataset!F410)</f>
        <v>44381</v>
      </c>
      <c r="G410" s="7" t="str">
        <f aca="false">PROPER(TRIM(customer_churn_dataset!G410))</f>
        <v>Credit Card</v>
      </c>
      <c r="H410" s="7" t="n">
        <f aca="false">IF(ISBLANK(customer_churn_dataset!H410),0,customer_churn_dataset!H410)</f>
        <v>1</v>
      </c>
      <c r="I410" s="7" t="n">
        <f aca="false">IF(ISBLANK(customer_churn_dataset!I410),ROUND(MEDIAN(customer_churn_dataset!I$2:I$1501),1),MIN(100,MAX(0,customer_churn_dataset!I410)))</f>
        <v>39.3</v>
      </c>
      <c r="J410" s="7" t="n">
        <f aca="false">IF(ISBLANK(customer_churn_dataset!J410),0,MAX(0,customer_churn_dataset!J410))</f>
        <v>14</v>
      </c>
      <c r="K410" s="7" t="n">
        <f aca="false">IF(ISBLANK(customer_churn_dataset!K410),0,MIN(10,MAX(0,customer_churn_dataset!K410)))</f>
        <v>7</v>
      </c>
      <c r="L410" s="7" t="n">
        <f aca="false">IF(ISBLANK(customer_churn_dataset!L410),0,MAX(0,customer_churn_dataset!L410))</f>
        <v>1</v>
      </c>
      <c r="M410" s="7" t="n">
        <f aca="false">IF(ISBLANK(customer_churn_dataset!M410),0,customer_churn_dataset!M410)</f>
        <v>0</v>
      </c>
      <c r="N410" s="7" t="n">
        <f aca="false">IF(ISBLANK(customer_churn_dataset!N410),0,MAX(0,customer_churn_dataset!N410))</f>
        <v>115.5</v>
      </c>
      <c r="O410" s="7" t="n">
        <f aca="false">IF(ISBLANK(customer_churn_dataset!O410),0,customer_churn_dataset!O410)</f>
        <v>0</v>
      </c>
      <c r="P410" s="7" t="str">
        <f aca="false">IF(COUNTIF(customer_churn_dataset!$A$2:$A$1501,customer_churn_dataset!A410)&gt;1,"Duplicate","Unique")</f>
        <v>Unique</v>
      </c>
    </row>
    <row r="411" customFormat="false" ht="14.15" hidden="false" customHeight="true" outlineLevel="0" collapsed="false">
      <c r="A411" s="7" t="str">
        <f aca="false">TRIM(customer_churn_dataset!A411)</f>
        <v>CUST100136</v>
      </c>
      <c r="B411" s="7" t="str">
        <f aca="false">PROPER(TRIM(customer_churn_dataset!B411))</f>
        <v>Standard</v>
      </c>
      <c r="C411" s="7" t="str">
        <f aca="false">PROPER(TRIM(customer_churn_dataset!C411))</f>
        <v>Two Year</v>
      </c>
      <c r="D411" s="7" t="n">
        <f aca="false">IF(ISBLANK(customer_churn_dataset!D411),ROUND(MEDIAN(customer_churn_dataset!D$2:D$1501),2),IF(customer_churn_dataset!D411&lt;0,ABS(customer_churn_dataset!D411),customer_churn_dataset!D411))</f>
        <v>20.91</v>
      </c>
      <c r="E411" s="7" t="n">
        <f aca="false">IF(ISBLANK(customer_churn_dataset!E411),0,MAX(0,customer_churn_dataset!E411))</f>
        <v>42</v>
      </c>
      <c r="F411" s="8" t="n">
        <f aca="false">IF(ISBLANK(customer_churn_dataset!F411),"",customer_churn_dataset!F411)</f>
        <v>44381</v>
      </c>
      <c r="G411" s="7" t="str">
        <f aca="false">PROPER(TRIM(customer_churn_dataset!G411))</f>
        <v>Paypal</v>
      </c>
      <c r="H411" s="7" t="n">
        <f aca="false">IF(ISBLANK(customer_churn_dataset!H411),0,customer_churn_dataset!H411)</f>
        <v>1</v>
      </c>
      <c r="I411" s="7" t="n">
        <f aca="false">IF(ISBLANK(customer_churn_dataset!I411),ROUND(MEDIAN(customer_churn_dataset!I$2:I$1501),1),MIN(100,MAX(0,customer_churn_dataset!I411)))</f>
        <v>68.8</v>
      </c>
      <c r="J411" s="7" t="n">
        <f aca="false">IF(ISBLANK(customer_churn_dataset!J411),0,MAX(0,customer_churn_dataset!J411))</f>
        <v>23</v>
      </c>
      <c r="K411" s="7" t="n">
        <f aca="false">IF(ISBLANK(customer_churn_dataset!K411),0,MIN(10,MAX(0,customer_churn_dataset!K411)))</f>
        <v>9</v>
      </c>
      <c r="L411" s="7" t="n">
        <f aca="false">IF(ISBLANK(customer_churn_dataset!L411),0,MAX(0,customer_churn_dataset!L411))</f>
        <v>1</v>
      </c>
      <c r="M411" s="7" t="n">
        <f aca="false">IF(ISBLANK(customer_churn_dataset!M411),0,customer_churn_dataset!M411)</f>
        <v>0</v>
      </c>
      <c r="N411" s="7" t="n">
        <f aca="false">IF(ISBLANK(customer_churn_dataset!N411),0,MAX(0,customer_churn_dataset!N411))</f>
        <v>878.22</v>
      </c>
      <c r="O411" s="7" t="n">
        <f aca="false">IF(ISBLANK(customer_churn_dataset!O411),0,customer_churn_dataset!O411)</f>
        <v>0</v>
      </c>
      <c r="P411" s="7" t="str">
        <f aca="false">IF(COUNTIF(customer_churn_dataset!$A$2:$A$1501,customer_churn_dataset!A411)&gt;1,"Duplicate","Unique")</f>
        <v>Unique</v>
      </c>
    </row>
    <row r="412" customFormat="false" ht="14.15" hidden="false" customHeight="true" outlineLevel="0" collapsed="false">
      <c r="A412" s="7" t="str">
        <f aca="false">TRIM(customer_churn_dataset!A412)</f>
        <v>CUST100612</v>
      </c>
      <c r="B412" s="7" t="str">
        <f aca="false">PROPER(TRIM(customer_churn_dataset!B412))</f>
        <v>Standard</v>
      </c>
      <c r="C412" s="7" t="str">
        <f aca="false">PROPER(TRIM(customer_churn_dataset!C412))</f>
        <v>Month-To-Month</v>
      </c>
      <c r="D412" s="7" t="n">
        <f aca="false">IF(ISBLANK(customer_churn_dataset!D412),ROUND(MEDIAN(customer_churn_dataset!D$2:D$1501),2),IF(customer_churn_dataset!D412&lt;0,ABS(customer_churn_dataset!D412),customer_churn_dataset!D412))</f>
        <v>19.37</v>
      </c>
      <c r="E412" s="7" t="n">
        <f aca="false">IF(ISBLANK(customer_churn_dataset!E412),0,MAX(0,customer_churn_dataset!E412))</f>
        <v>31</v>
      </c>
      <c r="F412" s="8" t="n">
        <f aca="false">IF(ISBLANK(customer_churn_dataset!F412),"",customer_churn_dataset!F412)</f>
        <v>44382</v>
      </c>
      <c r="G412" s="7" t="str">
        <f aca="false">PROPER(TRIM(customer_churn_dataset!G412))</f>
        <v>Bank Transfer</v>
      </c>
      <c r="H412" s="7" t="n">
        <f aca="false">IF(ISBLANK(customer_churn_dataset!H412),0,customer_churn_dataset!H412)</f>
        <v>1</v>
      </c>
      <c r="I412" s="7" t="n">
        <f aca="false">IF(ISBLANK(customer_churn_dataset!I412),ROUND(MEDIAN(customer_churn_dataset!I$2:I$1501),1),MIN(100,MAX(0,customer_churn_dataset!I412)))</f>
        <v>38.3</v>
      </c>
      <c r="J412" s="7" t="n">
        <f aca="false">IF(ISBLANK(customer_churn_dataset!J412),0,MAX(0,customer_churn_dataset!J412))</f>
        <v>12</v>
      </c>
      <c r="K412" s="7" t="n">
        <f aca="false">IF(ISBLANK(customer_churn_dataset!K412),0,MIN(10,MAX(0,customer_churn_dataset!K412)))</f>
        <v>4</v>
      </c>
      <c r="L412" s="7" t="n">
        <f aca="false">IF(ISBLANK(customer_churn_dataset!L412),0,MAX(0,customer_churn_dataset!L412))</f>
        <v>0</v>
      </c>
      <c r="M412" s="7" t="n">
        <f aca="false">IF(ISBLANK(customer_churn_dataset!M412),0,customer_churn_dataset!M412)</f>
        <v>0</v>
      </c>
      <c r="N412" s="7" t="n">
        <f aca="false">IF(ISBLANK(customer_churn_dataset!N412),0,MAX(0,customer_churn_dataset!N412))</f>
        <v>600.47</v>
      </c>
      <c r="O412" s="7" t="n">
        <f aca="false">IF(ISBLANK(customer_churn_dataset!O412),0,customer_churn_dataset!O412)</f>
        <v>0</v>
      </c>
      <c r="P412" s="7" t="str">
        <f aca="false">IF(COUNTIF(customer_churn_dataset!$A$2:$A$1501,customer_churn_dataset!A412)&gt;1,"Duplicate","Unique")</f>
        <v>Unique</v>
      </c>
    </row>
    <row r="413" customFormat="false" ht="14.15" hidden="false" customHeight="true" outlineLevel="0" collapsed="false">
      <c r="A413" s="7" t="str">
        <f aca="false">TRIM(customer_churn_dataset!A413)</f>
        <v>CUST100871</v>
      </c>
      <c r="B413" s="7" t="str">
        <f aca="false">PROPER(TRIM(customer_churn_dataset!B413))</f>
        <v>Basic</v>
      </c>
      <c r="C413" s="7" t="str">
        <f aca="false">PROPER(TRIM(customer_churn_dataset!C413))</f>
        <v>One Year</v>
      </c>
      <c r="D413" s="7" t="n">
        <f aca="false">IF(ISBLANK(customer_churn_dataset!D413),ROUND(MEDIAN(customer_churn_dataset!D$2:D$1501),2),IF(customer_churn_dataset!D413&lt;0,ABS(customer_churn_dataset!D413),customer_churn_dataset!D413))</f>
        <v>9.02</v>
      </c>
      <c r="E413" s="7" t="n">
        <f aca="false">IF(ISBLANK(customer_churn_dataset!E413),0,MAX(0,customer_churn_dataset!E413))</f>
        <v>6</v>
      </c>
      <c r="F413" s="8" t="n">
        <f aca="false">IF(ISBLANK(customer_churn_dataset!F413),"",customer_churn_dataset!F413)</f>
        <v>44383</v>
      </c>
      <c r="G413" s="7" t="str">
        <f aca="false">PROPER(TRIM(customer_churn_dataset!G413))</f>
        <v>Bank Transfer</v>
      </c>
      <c r="H413" s="7" t="n">
        <f aca="false">IF(ISBLANK(customer_churn_dataset!H413),0,customer_churn_dataset!H413)</f>
        <v>1</v>
      </c>
      <c r="I413" s="7" t="n">
        <f aca="false">IF(ISBLANK(customer_churn_dataset!I413),ROUND(MEDIAN(customer_churn_dataset!I$2:I$1501),1),MIN(100,MAX(0,customer_churn_dataset!I413)))</f>
        <v>36.3</v>
      </c>
      <c r="J413" s="7" t="n">
        <f aca="false">IF(ISBLANK(customer_churn_dataset!J413),0,MAX(0,customer_churn_dataset!J413))</f>
        <v>13</v>
      </c>
      <c r="K413" s="7" t="n">
        <f aca="false">IF(ISBLANK(customer_churn_dataset!K413),0,MIN(10,MAX(0,customer_churn_dataset!K413)))</f>
        <v>2</v>
      </c>
      <c r="L413" s="7" t="n">
        <f aca="false">IF(ISBLANK(customer_churn_dataset!L413),0,MAX(0,customer_churn_dataset!L413))</f>
        <v>1</v>
      </c>
      <c r="M413" s="7" t="n">
        <f aca="false">IF(ISBLANK(customer_churn_dataset!M413),0,customer_churn_dataset!M413)</f>
        <v>0</v>
      </c>
      <c r="N413" s="7" t="n">
        <f aca="false">IF(ISBLANK(customer_churn_dataset!N413),0,MAX(0,customer_churn_dataset!N413))</f>
        <v>54.12</v>
      </c>
      <c r="O413" s="7" t="n">
        <f aca="false">IF(ISBLANK(customer_churn_dataset!O413),0,customer_churn_dataset!O413)</f>
        <v>0</v>
      </c>
      <c r="P413" s="7" t="str">
        <f aca="false">IF(COUNTIF(customer_churn_dataset!$A$2:$A$1501,customer_churn_dataset!A413)&gt;1,"Duplicate","Unique")</f>
        <v>Unique</v>
      </c>
    </row>
    <row r="414" customFormat="false" ht="14.15" hidden="false" customHeight="true" outlineLevel="0" collapsed="false">
      <c r="A414" s="7" t="str">
        <f aca="false">TRIM(customer_churn_dataset!A414)</f>
        <v>CUST101037</v>
      </c>
      <c r="B414" s="7" t="str">
        <f aca="false">PROPER(TRIM(customer_churn_dataset!B414))</f>
        <v>Standard</v>
      </c>
      <c r="C414" s="7" t="str">
        <f aca="false">PROPER(TRIM(customer_churn_dataset!C414))</f>
        <v>Month-To-Month</v>
      </c>
      <c r="D414" s="7" t="n">
        <f aca="false">IF(ISBLANK(customer_churn_dataset!D414),ROUND(MEDIAN(customer_churn_dataset!D$2:D$1501),2),IF(customer_churn_dataset!D414&lt;0,ABS(customer_churn_dataset!D414),customer_churn_dataset!D414))</f>
        <v>20.01</v>
      </c>
      <c r="E414" s="7" t="n">
        <f aca="false">IF(ISBLANK(customer_churn_dataset!E414),0,MAX(0,customer_churn_dataset!E414))</f>
        <v>10</v>
      </c>
      <c r="F414" s="8" t="n">
        <f aca="false">IF(ISBLANK(customer_churn_dataset!F414),"",customer_churn_dataset!F414)</f>
        <v>44384</v>
      </c>
      <c r="G414" s="7" t="str">
        <f aca="false">PROPER(TRIM(customer_churn_dataset!G414))</f>
        <v>Credit Card</v>
      </c>
      <c r="H414" s="7" t="n">
        <f aca="false">IF(ISBLANK(customer_churn_dataset!H414),0,customer_churn_dataset!H414)</f>
        <v>0</v>
      </c>
      <c r="I414" s="7" t="n">
        <f aca="false">IF(ISBLANK(customer_churn_dataset!I414),ROUND(MEDIAN(customer_churn_dataset!I$2:I$1501),1),MIN(100,MAX(0,customer_churn_dataset!I414)))</f>
        <v>60.6</v>
      </c>
      <c r="J414" s="7" t="n">
        <f aca="false">IF(ISBLANK(customer_churn_dataset!J414),0,MAX(0,customer_churn_dataset!J414))</f>
        <v>17</v>
      </c>
      <c r="K414" s="7" t="n">
        <f aca="false">IF(ISBLANK(customer_churn_dataset!K414),0,MIN(10,MAX(0,customer_churn_dataset!K414)))</f>
        <v>6</v>
      </c>
      <c r="L414" s="7" t="n">
        <f aca="false">IF(ISBLANK(customer_churn_dataset!L414),0,MAX(0,customer_churn_dataset!L414))</f>
        <v>3</v>
      </c>
      <c r="M414" s="7" t="n">
        <f aca="false">IF(ISBLANK(customer_churn_dataset!M414),0,customer_churn_dataset!M414)</f>
        <v>0</v>
      </c>
      <c r="N414" s="7" t="n">
        <f aca="false">IF(ISBLANK(customer_churn_dataset!N414),0,MAX(0,customer_churn_dataset!N414))</f>
        <v>200.1</v>
      </c>
      <c r="O414" s="7" t="n">
        <f aca="false">IF(ISBLANK(customer_churn_dataset!O414),0,customer_churn_dataset!O414)</f>
        <v>1</v>
      </c>
      <c r="P414" s="7" t="str">
        <f aca="false">IF(COUNTIF(customer_churn_dataset!$A$2:$A$1501,customer_churn_dataset!A414)&gt;1,"Duplicate","Unique")</f>
        <v>Unique</v>
      </c>
    </row>
    <row r="415" customFormat="false" ht="14.15" hidden="false" customHeight="true" outlineLevel="0" collapsed="false">
      <c r="A415" s="7" t="str">
        <f aca="false">TRIM(customer_churn_dataset!A415)</f>
        <v>CUST100808</v>
      </c>
      <c r="B415" s="7" t="str">
        <f aca="false">PROPER(TRIM(customer_churn_dataset!B415))</f>
        <v>Standard</v>
      </c>
      <c r="C415" s="7" t="str">
        <f aca="false">PROPER(TRIM(customer_churn_dataset!C415))</f>
        <v>Two Year</v>
      </c>
      <c r="D415" s="7" t="n">
        <f aca="false">IF(ISBLANK(customer_churn_dataset!D415),ROUND(MEDIAN(customer_churn_dataset!D$2:D$1501),2),IF(customer_churn_dataset!D415&lt;0,ABS(customer_churn_dataset!D415),customer_churn_dataset!D415))</f>
        <v>19.8</v>
      </c>
      <c r="E415" s="7" t="n">
        <f aca="false">IF(ISBLANK(customer_churn_dataset!E415),0,MAX(0,customer_churn_dataset!E415))</f>
        <v>69</v>
      </c>
      <c r="F415" s="8" t="n">
        <f aca="false">IF(ISBLANK(customer_churn_dataset!F415),"",customer_churn_dataset!F415)</f>
        <v>44385</v>
      </c>
      <c r="G415" s="7" t="str">
        <f aca="false">PROPER(TRIM(customer_churn_dataset!G415))</f>
        <v>Credit Card</v>
      </c>
      <c r="H415" s="7" t="n">
        <f aca="false">IF(ISBLANK(customer_churn_dataset!H415),0,customer_churn_dataset!H415)</f>
        <v>0</v>
      </c>
      <c r="I415" s="7" t="n">
        <f aca="false">IF(ISBLANK(customer_churn_dataset!I415),ROUND(MEDIAN(customer_churn_dataset!I$2:I$1501),1),MIN(100,MAX(0,customer_churn_dataset!I415)))</f>
        <v>81.9</v>
      </c>
      <c r="J415" s="7" t="n">
        <f aca="false">IF(ISBLANK(customer_churn_dataset!J415),0,MAX(0,customer_churn_dataset!J415))</f>
        <v>22</v>
      </c>
      <c r="K415" s="7" t="n">
        <f aca="false">IF(ISBLANK(customer_churn_dataset!K415),0,MIN(10,MAX(0,customer_churn_dataset!K415)))</f>
        <v>7</v>
      </c>
      <c r="L415" s="7" t="n">
        <f aca="false">IF(ISBLANK(customer_churn_dataset!L415),0,MAX(0,customer_churn_dataset!L415))</f>
        <v>1</v>
      </c>
      <c r="M415" s="7" t="n">
        <f aca="false">IF(ISBLANK(customer_churn_dataset!M415),0,customer_churn_dataset!M415)</f>
        <v>1</v>
      </c>
      <c r="N415" s="7" t="n">
        <f aca="false">IF(ISBLANK(customer_churn_dataset!N415),0,MAX(0,customer_churn_dataset!N415))</f>
        <v>1366.2</v>
      </c>
      <c r="O415" s="7" t="n">
        <f aca="false">IF(ISBLANK(customer_churn_dataset!O415),0,customer_churn_dataset!O415)</f>
        <v>0</v>
      </c>
      <c r="P415" s="7" t="str">
        <f aca="false">IF(COUNTIF(customer_churn_dataset!$A$2:$A$1501,customer_churn_dataset!A415)&gt;1,"Duplicate","Unique")</f>
        <v>Unique</v>
      </c>
    </row>
    <row r="416" customFormat="false" ht="14.15" hidden="false" customHeight="true" outlineLevel="0" collapsed="false">
      <c r="A416" s="7" t="str">
        <f aca="false">TRIM(customer_churn_dataset!A416)</f>
        <v>CUST101250</v>
      </c>
      <c r="B416" s="7" t="str">
        <f aca="false">PROPER(TRIM(customer_churn_dataset!B416))</f>
        <v>Standard</v>
      </c>
      <c r="C416" s="7" t="str">
        <f aca="false">PROPER(TRIM(customer_churn_dataset!C416))</f>
        <v>One Year</v>
      </c>
      <c r="D416" s="7" t="n">
        <f aca="false">IF(ISBLANK(customer_churn_dataset!D416),ROUND(MEDIAN(customer_churn_dataset!D$2:D$1501),2),IF(customer_churn_dataset!D416&lt;0,ABS(customer_churn_dataset!D416),customer_churn_dataset!D416))</f>
        <v>20.81</v>
      </c>
      <c r="E416" s="7" t="n">
        <f aca="false">IF(ISBLANK(customer_churn_dataset!E416),0,MAX(0,customer_churn_dataset!E416))</f>
        <v>23</v>
      </c>
      <c r="F416" s="8" t="n">
        <f aca="false">IF(ISBLANK(customer_churn_dataset!F416),"",customer_churn_dataset!F416)</f>
        <v>44386</v>
      </c>
      <c r="G416" s="7" t="str">
        <f aca="false">PROPER(TRIM(customer_churn_dataset!G416))</f>
        <v>Credit Card</v>
      </c>
      <c r="H416" s="7" t="n">
        <f aca="false">IF(ISBLANK(customer_churn_dataset!H416),0,customer_churn_dataset!H416)</f>
        <v>0</v>
      </c>
      <c r="I416" s="7" t="n">
        <f aca="false">IF(ISBLANK(customer_churn_dataset!I416),ROUND(MEDIAN(customer_churn_dataset!I$2:I$1501),1),MIN(100,MAX(0,customer_churn_dataset!I416)))</f>
        <v>45.8</v>
      </c>
      <c r="J416" s="7" t="n">
        <f aca="false">IF(ISBLANK(customer_churn_dataset!J416),0,MAX(0,customer_churn_dataset!J416))</f>
        <v>15</v>
      </c>
      <c r="K416" s="7" t="n">
        <f aca="false">IF(ISBLANK(customer_churn_dataset!K416),0,MIN(10,MAX(0,customer_churn_dataset!K416)))</f>
        <v>5</v>
      </c>
      <c r="L416" s="7" t="n">
        <f aca="false">IF(ISBLANK(customer_churn_dataset!L416),0,MAX(0,customer_churn_dataset!L416))</f>
        <v>6</v>
      </c>
      <c r="M416" s="7" t="n">
        <f aca="false">IF(ISBLANK(customer_churn_dataset!M416),0,customer_churn_dataset!M416)</f>
        <v>1</v>
      </c>
      <c r="N416" s="7" t="n">
        <f aca="false">IF(ISBLANK(customer_churn_dataset!N416),0,MAX(0,customer_churn_dataset!N416))</f>
        <v>478.63</v>
      </c>
      <c r="O416" s="7" t="n">
        <f aca="false">IF(ISBLANK(customer_churn_dataset!O416),0,customer_churn_dataset!O416)</f>
        <v>0</v>
      </c>
      <c r="P416" s="7" t="str">
        <f aca="false">IF(COUNTIF(customer_churn_dataset!$A$2:$A$1501,customer_churn_dataset!A416)&gt;1,"Duplicate","Unique")</f>
        <v>Unique</v>
      </c>
    </row>
    <row r="417" customFormat="false" ht="14.15" hidden="false" customHeight="true" outlineLevel="0" collapsed="false">
      <c r="A417" s="7" t="str">
        <f aca="false">TRIM(customer_churn_dataset!A417)</f>
        <v>CUST101262</v>
      </c>
      <c r="B417" s="7" t="str">
        <f aca="false">PROPER(TRIM(customer_churn_dataset!B417))</f>
        <v>Basic</v>
      </c>
      <c r="C417" s="7" t="str">
        <f aca="false">PROPER(TRIM(customer_churn_dataset!C417))</f>
        <v>One Year</v>
      </c>
      <c r="D417" s="7" t="n">
        <f aca="false">IF(ISBLANK(customer_churn_dataset!D417),ROUND(MEDIAN(customer_churn_dataset!D$2:D$1501),2),IF(customer_churn_dataset!D417&lt;0,ABS(customer_churn_dataset!D417),customer_churn_dataset!D417))</f>
        <v>9.76</v>
      </c>
      <c r="E417" s="7" t="n">
        <f aca="false">IF(ISBLANK(customer_churn_dataset!E417),0,MAX(0,customer_churn_dataset!E417))</f>
        <v>3</v>
      </c>
      <c r="F417" s="8" t="n">
        <f aca="false">IF(ISBLANK(customer_churn_dataset!F417),"",customer_churn_dataset!F417)</f>
        <v>44388</v>
      </c>
      <c r="G417" s="7" t="str">
        <f aca="false">PROPER(TRIM(customer_churn_dataset!G417))</f>
        <v>Manual/Invoice</v>
      </c>
      <c r="H417" s="7" t="n">
        <f aca="false">IF(ISBLANK(customer_churn_dataset!H417),0,customer_churn_dataset!H417)</f>
        <v>1</v>
      </c>
      <c r="I417" s="7" t="n">
        <f aca="false">IF(ISBLANK(customer_churn_dataset!I417),ROUND(MEDIAN(customer_churn_dataset!I$2:I$1501),1),MIN(100,MAX(0,customer_churn_dataset!I417)))</f>
        <v>31.4</v>
      </c>
      <c r="J417" s="7" t="n">
        <f aca="false">IF(ISBLANK(customer_churn_dataset!J417),0,MAX(0,customer_churn_dataset!J417))</f>
        <v>10</v>
      </c>
      <c r="K417" s="7" t="n">
        <f aca="false">IF(ISBLANK(customer_churn_dataset!K417),0,MIN(10,MAX(0,customer_churn_dataset!K417)))</f>
        <v>2</v>
      </c>
      <c r="L417" s="7" t="n">
        <f aca="false">IF(ISBLANK(customer_churn_dataset!L417),0,MAX(0,customer_churn_dataset!L417))</f>
        <v>0</v>
      </c>
      <c r="M417" s="7" t="n">
        <f aca="false">IF(ISBLANK(customer_churn_dataset!M417),0,customer_churn_dataset!M417)</f>
        <v>0</v>
      </c>
      <c r="N417" s="7" t="n">
        <f aca="false">IF(ISBLANK(customer_churn_dataset!N417),0,MAX(0,customer_churn_dataset!N417))</f>
        <v>29.28</v>
      </c>
      <c r="O417" s="7" t="n">
        <f aca="false">IF(ISBLANK(customer_churn_dataset!O417),0,customer_churn_dataset!O417)</f>
        <v>0</v>
      </c>
      <c r="P417" s="7" t="str">
        <f aca="false">IF(COUNTIF(customer_churn_dataset!$A$2:$A$1501,customer_churn_dataset!A417)&gt;1,"Duplicate","Unique")</f>
        <v>Unique</v>
      </c>
    </row>
    <row r="418" customFormat="false" ht="14.15" hidden="false" customHeight="true" outlineLevel="0" collapsed="false">
      <c r="A418" s="7" t="str">
        <f aca="false">TRIM(customer_churn_dataset!A418)</f>
        <v>CUST101480</v>
      </c>
      <c r="B418" s="7" t="str">
        <f aca="false">PROPER(TRIM(customer_churn_dataset!B418))</f>
        <v>Premium</v>
      </c>
      <c r="C418" s="7" t="str">
        <f aca="false">PROPER(TRIM(customer_churn_dataset!C418))</f>
        <v>Two Year</v>
      </c>
      <c r="D418" s="7" t="n">
        <f aca="false">IF(ISBLANK(customer_churn_dataset!D418),ROUND(MEDIAN(customer_churn_dataset!D$2:D$1501),2),IF(customer_churn_dataset!D418&lt;0,ABS(customer_churn_dataset!D418),customer_churn_dataset!D418))</f>
        <v>41.8</v>
      </c>
      <c r="E418" s="7" t="n">
        <f aca="false">IF(ISBLANK(customer_churn_dataset!E418),0,MAX(0,customer_churn_dataset!E418))</f>
        <v>7</v>
      </c>
      <c r="F418" s="8" t="n">
        <f aca="false">IF(ISBLANK(customer_churn_dataset!F418),"",customer_churn_dataset!F418)</f>
        <v>44389</v>
      </c>
      <c r="G418" s="7" t="str">
        <f aca="false">PROPER(TRIM(customer_churn_dataset!G418))</f>
        <v>Bank Transfer</v>
      </c>
      <c r="H418" s="7" t="n">
        <f aca="false">IF(ISBLANK(customer_churn_dataset!H418),0,customer_churn_dataset!H418)</f>
        <v>1</v>
      </c>
      <c r="I418" s="7" t="n">
        <f aca="false">IF(ISBLANK(customer_churn_dataset!I418),ROUND(MEDIAN(customer_churn_dataset!I$2:I$1501),1),MIN(100,MAX(0,customer_churn_dataset!I418)))</f>
        <v>65.7</v>
      </c>
      <c r="J418" s="7" t="n">
        <f aca="false">IF(ISBLANK(customer_churn_dataset!J418),0,MAX(0,customer_churn_dataset!J418))</f>
        <v>19</v>
      </c>
      <c r="K418" s="7" t="n">
        <f aca="false">IF(ISBLANK(customer_churn_dataset!K418),0,MIN(10,MAX(0,customer_churn_dataset!K418)))</f>
        <v>5</v>
      </c>
      <c r="L418" s="7" t="n">
        <f aca="false">IF(ISBLANK(customer_churn_dataset!L418),0,MAX(0,customer_churn_dataset!L418))</f>
        <v>5</v>
      </c>
      <c r="M418" s="7" t="n">
        <f aca="false">IF(ISBLANK(customer_churn_dataset!M418),0,customer_churn_dataset!M418)</f>
        <v>0</v>
      </c>
      <c r="N418" s="7" t="n">
        <f aca="false">IF(ISBLANK(customer_churn_dataset!N418),0,MAX(0,customer_churn_dataset!N418))</f>
        <v>292.6</v>
      </c>
      <c r="O418" s="7" t="n">
        <f aca="false">IF(ISBLANK(customer_churn_dataset!O418),0,customer_churn_dataset!O418)</f>
        <v>0</v>
      </c>
      <c r="P418" s="7" t="str">
        <f aca="false">IF(COUNTIF(customer_churn_dataset!$A$2:$A$1501,customer_churn_dataset!A418)&gt;1,"Duplicate","Unique")</f>
        <v>Unique</v>
      </c>
    </row>
    <row r="419" customFormat="false" ht="14.15" hidden="false" customHeight="true" outlineLevel="0" collapsed="false">
      <c r="A419" s="7" t="str">
        <f aca="false">TRIM(customer_churn_dataset!A419)</f>
        <v>CUST101226</v>
      </c>
      <c r="B419" s="7" t="str">
        <f aca="false">PROPER(TRIM(customer_churn_dataset!B419))</f>
        <v>Basic</v>
      </c>
      <c r="C419" s="7" t="str">
        <f aca="false">PROPER(TRIM(customer_churn_dataset!C419))</f>
        <v>Month-To-Month</v>
      </c>
      <c r="D419" s="7" t="n">
        <f aca="false">IF(ISBLANK(customer_churn_dataset!D419),ROUND(MEDIAN(customer_churn_dataset!D$2:D$1501),2),IF(customer_churn_dataset!D419&lt;0,ABS(customer_churn_dataset!D419),customer_churn_dataset!D419))</f>
        <v>9.76</v>
      </c>
      <c r="E419" s="7" t="n">
        <f aca="false">IF(ISBLANK(customer_churn_dataset!E419),0,MAX(0,customer_churn_dataset!E419))</f>
        <v>9</v>
      </c>
      <c r="F419" s="8" t="n">
        <f aca="false">IF(ISBLANK(customer_churn_dataset!F419),"",customer_churn_dataset!F419)</f>
        <v>44390</v>
      </c>
      <c r="G419" s="7" t="str">
        <f aca="false">PROPER(TRIM(customer_churn_dataset!G419))</f>
        <v>Bank Transfer</v>
      </c>
      <c r="H419" s="7" t="n">
        <f aca="false">IF(ISBLANK(customer_churn_dataset!H419),0,customer_churn_dataset!H419)</f>
        <v>1</v>
      </c>
      <c r="I419" s="7" t="n">
        <f aca="false">IF(ISBLANK(customer_churn_dataset!I419),ROUND(MEDIAN(customer_churn_dataset!I$2:I$1501),1),MIN(100,MAX(0,customer_churn_dataset!I419)))</f>
        <v>48.5</v>
      </c>
      <c r="J419" s="7" t="n">
        <f aca="false">IF(ISBLANK(customer_churn_dataset!J419),0,MAX(0,customer_churn_dataset!J419))</f>
        <v>9</v>
      </c>
      <c r="K419" s="7" t="n">
        <f aca="false">IF(ISBLANK(customer_churn_dataset!K419),0,MIN(10,MAX(0,customer_churn_dataset!K419)))</f>
        <v>5</v>
      </c>
      <c r="L419" s="7" t="n">
        <f aca="false">IF(ISBLANK(customer_churn_dataset!L419),0,MAX(0,customer_churn_dataset!L419))</f>
        <v>3</v>
      </c>
      <c r="M419" s="7" t="n">
        <f aca="false">IF(ISBLANK(customer_churn_dataset!M419),0,customer_churn_dataset!M419)</f>
        <v>1</v>
      </c>
      <c r="N419" s="7" t="n">
        <f aca="false">IF(ISBLANK(customer_churn_dataset!N419),0,MAX(0,customer_churn_dataset!N419))</f>
        <v>87.84</v>
      </c>
      <c r="O419" s="7" t="n">
        <f aca="false">IF(ISBLANK(customer_churn_dataset!O419),0,customer_churn_dataset!O419)</f>
        <v>1</v>
      </c>
      <c r="P419" s="7" t="str">
        <f aca="false">IF(COUNTIF(customer_churn_dataset!$A$2:$A$1501,customer_churn_dataset!A419)&gt;1,"Duplicate","Unique")</f>
        <v>Unique</v>
      </c>
    </row>
    <row r="420" customFormat="false" ht="14.15" hidden="false" customHeight="true" outlineLevel="0" collapsed="false">
      <c r="A420" s="7" t="str">
        <f aca="false">TRIM(customer_churn_dataset!A420)</f>
        <v>CUST101485</v>
      </c>
      <c r="B420" s="7" t="str">
        <f aca="false">PROPER(TRIM(customer_churn_dataset!B420))</f>
        <v>Basic</v>
      </c>
      <c r="C420" s="7" t="str">
        <f aca="false">PROPER(TRIM(customer_churn_dataset!C420))</f>
        <v>Month-To-Month</v>
      </c>
      <c r="D420" s="7" t="n">
        <f aca="false">IF(ISBLANK(customer_churn_dataset!D420),ROUND(MEDIAN(customer_churn_dataset!D$2:D$1501),2),IF(customer_churn_dataset!D420&lt;0,ABS(customer_churn_dataset!D420),customer_churn_dataset!D420))</f>
        <v>9.21</v>
      </c>
      <c r="E420" s="7" t="n">
        <f aca="false">IF(ISBLANK(customer_churn_dataset!E420),0,MAX(0,customer_churn_dataset!E420))</f>
        <v>16</v>
      </c>
      <c r="F420" s="8" t="n">
        <f aca="false">IF(ISBLANK(customer_churn_dataset!F420),"",customer_churn_dataset!F420)</f>
        <v>44391</v>
      </c>
      <c r="G420" s="7" t="str">
        <f aca="false">PROPER(TRIM(customer_churn_dataset!G420))</f>
        <v>Paypal</v>
      </c>
      <c r="H420" s="7" t="n">
        <f aca="false">IF(ISBLANK(customer_churn_dataset!H420),0,customer_churn_dataset!H420)</f>
        <v>0</v>
      </c>
      <c r="I420" s="7" t="n">
        <f aca="false">IF(ISBLANK(customer_churn_dataset!I420),ROUND(MEDIAN(customer_churn_dataset!I$2:I$1501),1),MIN(100,MAX(0,customer_churn_dataset!I420)))</f>
        <v>73</v>
      </c>
      <c r="J420" s="7" t="n">
        <f aca="false">IF(ISBLANK(customer_churn_dataset!J420),0,MAX(0,customer_churn_dataset!J420))</f>
        <v>22</v>
      </c>
      <c r="K420" s="7" t="n">
        <f aca="false">IF(ISBLANK(customer_churn_dataset!K420),0,MIN(10,MAX(0,customer_churn_dataset!K420)))</f>
        <v>6</v>
      </c>
      <c r="L420" s="7" t="n">
        <f aca="false">IF(ISBLANK(customer_churn_dataset!L420),0,MAX(0,customer_churn_dataset!L420))</f>
        <v>2</v>
      </c>
      <c r="M420" s="7" t="n">
        <f aca="false">IF(ISBLANK(customer_churn_dataset!M420),0,customer_churn_dataset!M420)</f>
        <v>1</v>
      </c>
      <c r="N420" s="7" t="n">
        <f aca="false">IF(ISBLANK(customer_churn_dataset!N420),0,MAX(0,customer_churn_dataset!N420))</f>
        <v>147.36</v>
      </c>
      <c r="O420" s="7" t="n">
        <f aca="false">IF(ISBLANK(customer_churn_dataset!O420),0,customer_churn_dataset!O420)</f>
        <v>0</v>
      </c>
      <c r="P420" s="7" t="str">
        <f aca="false">IF(COUNTIF(customer_churn_dataset!$A$2:$A$1501,customer_churn_dataset!A420)&gt;1,"Duplicate","Unique")</f>
        <v>Unique</v>
      </c>
    </row>
    <row r="421" customFormat="false" ht="14.15" hidden="false" customHeight="true" outlineLevel="0" collapsed="false">
      <c r="A421" s="7" t="str">
        <f aca="false">TRIM(customer_churn_dataset!A421)</f>
        <v>CUST100959</v>
      </c>
      <c r="B421" s="7" t="str">
        <f aca="false">PROPER(TRIM(customer_churn_dataset!B421))</f>
        <v>Standard</v>
      </c>
      <c r="C421" s="7" t="str">
        <f aca="false">PROPER(TRIM(customer_churn_dataset!C421))</f>
        <v>Two Year</v>
      </c>
      <c r="D421" s="7" t="n">
        <f aca="false">IF(ISBLANK(customer_churn_dataset!D421),ROUND(MEDIAN(customer_churn_dataset!D$2:D$1501),2),IF(customer_churn_dataset!D421&lt;0,ABS(customer_churn_dataset!D421),customer_churn_dataset!D421))</f>
        <v>19.8</v>
      </c>
      <c r="E421" s="7" t="n">
        <f aca="false">IF(ISBLANK(customer_churn_dataset!E421),0,MAX(0,customer_churn_dataset!E421))</f>
        <v>9</v>
      </c>
      <c r="F421" s="8" t="n">
        <f aca="false">IF(ISBLANK(customer_churn_dataset!F421),"",customer_churn_dataset!F421)</f>
        <v>44392</v>
      </c>
      <c r="G421" s="7" t="str">
        <f aca="false">PROPER(TRIM(customer_churn_dataset!G421))</f>
        <v>Credit Card</v>
      </c>
      <c r="H421" s="7" t="n">
        <f aca="false">IF(ISBLANK(customer_churn_dataset!H421),0,customer_churn_dataset!H421)</f>
        <v>1</v>
      </c>
      <c r="I421" s="7" t="n">
        <f aca="false">IF(ISBLANK(customer_churn_dataset!I421),ROUND(MEDIAN(customer_churn_dataset!I$2:I$1501),1),MIN(100,MAX(0,customer_churn_dataset!I421)))</f>
        <v>46.9</v>
      </c>
      <c r="J421" s="7" t="n">
        <f aca="false">IF(ISBLANK(customer_churn_dataset!J421),0,MAX(0,customer_churn_dataset!J421))</f>
        <v>15</v>
      </c>
      <c r="K421" s="7" t="n">
        <f aca="false">IF(ISBLANK(customer_churn_dataset!K421),0,MIN(10,MAX(0,customer_churn_dataset!K421)))</f>
        <v>7</v>
      </c>
      <c r="L421" s="7" t="n">
        <f aca="false">IF(ISBLANK(customer_churn_dataset!L421),0,MAX(0,customer_churn_dataset!L421))</f>
        <v>4</v>
      </c>
      <c r="M421" s="7" t="n">
        <f aca="false">IF(ISBLANK(customer_churn_dataset!M421),0,customer_churn_dataset!M421)</f>
        <v>0</v>
      </c>
      <c r="N421" s="7" t="n">
        <f aca="false">IF(ISBLANK(customer_churn_dataset!N421),0,MAX(0,customer_churn_dataset!N421))</f>
        <v>178.2</v>
      </c>
      <c r="O421" s="7" t="n">
        <f aca="false">IF(ISBLANK(customer_churn_dataset!O421),0,customer_churn_dataset!O421)</f>
        <v>0</v>
      </c>
      <c r="P421" s="7" t="str">
        <f aca="false">IF(COUNTIF(customer_churn_dataset!$A$2:$A$1501,customer_churn_dataset!A421)&gt;1,"Duplicate","Unique")</f>
        <v>Unique</v>
      </c>
    </row>
    <row r="422" customFormat="false" ht="14.15" hidden="false" customHeight="true" outlineLevel="0" collapsed="false">
      <c r="A422" s="7" t="str">
        <f aca="false">TRIM(customer_churn_dataset!A422)</f>
        <v>CUST101046</v>
      </c>
      <c r="B422" s="7" t="str">
        <f aca="false">PROPER(TRIM(customer_churn_dataset!B422))</f>
        <v>Basic</v>
      </c>
      <c r="C422" s="7" t="str">
        <f aca="false">PROPER(TRIM(customer_churn_dataset!C422))</f>
        <v>One Year</v>
      </c>
      <c r="D422" s="7" t="n">
        <f aca="false">IF(ISBLANK(customer_churn_dataset!D422),ROUND(MEDIAN(customer_churn_dataset!D$2:D$1501),2),IF(customer_churn_dataset!D422&lt;0,ABS(customer_churn_dataset!D422),customer_churn_dataset!D422))</f>
        <v>11.47</v>
      </c>
      <c r="E422" s="7" t="n">
        <f aca="false">IF(ISBLANK(customer_churn_dataset!E422),0,MAX(0,customer_churn_dataset!E422))</f>
        <v>27</v>
      </c>
      <c r="F422" s="8" t="n">
        <f aca="false">IF(ISBLANK(customer_churn_dataset!F422),"",customer_churn_dataset!F422)</f>
        <v>44393</v>
      </c>
      <c r="G422" s="7" t="str">
        <f aca="false">PROPER(TRIM(customer_churn_dataset!G422))</f>
        <v>Credit Card</v>
      </c>
      <c r="H422" s="7" t="n">
        <f aca="false">IF(ISBLANK(customer_churn_dataset!H422),0,customer_churn_dataset!H422)</f>
        <v>1</v>
      </c>
      <c r="I422" s="7" t="n">
        <f aca="false">IF(ISBLANK(customer_churn_dataset!I422),ROUND(MEDIAN(customer_churn_dataset!I$2:I$1501),1),MIN(100,MAX(0,customer_churn_dataset!I422)))</f>
        <v>52.6</v>
      </c>
      <c r="J422" s="7" t="n">
        <f aca="false">IF(ISBLANK(customer_churn_dataset!J422),0,MAX(0,customer_churn_dataset!J422))</f>
        <v>15</v>
      </c>
      <c r="K422" s="7" t="n">
        <f aca="false">IF(ISBLANK(customer_churn_dataset!K422),0,MIN(10,MAX(0,customer_churn_dataset!K422)))</f>
        <v>3</v>
      </c>
      <c r="L422" s="7" t="n">
        <f aca="false">IF(ISBLANK(customer_churn_dataset!L422),0,MAX(0,customer_churn_dataset!L422))</f>
        <v>3</v>
      </c>
      <c r="M422" s="7" t="n">
        <f aca="false">IF(ISBLANK(customer_churn_dataset!M422),0,customer_churn_dataset!M422)</f>
        <v>0</v>
      </c>
      <c r="N422" s="7" t="n">
        <f aca="false">IF(ISBLANK(customer_churn_dataset!N422),0,MAX(0,customer_churn_dataset!N422))</f>
        <v>309.69</v>
      </c>
      <c r="O422" s="7" t="n">
        <f aca="false">IF(ISBLANK(customer_churn_dataset!O422),0,customer_churn_dataset!O422)</f>
        <v>0</v>
      </c>
      <c r="P422" s="7" t="str">
        <f aca="false">IF(COUNTIF(customer_churn_dataset!$A$2:$A$1501,customer_churn_dataset!A422)&gt;1,"Duplicate","Unique")</f>
        <v>Unique</v>
      </c>
    </row>
    <row r="423" customFormat="false" ht="14.15" hidden="false" customHeight="true" outlineLevel="0" collapsed="false">
      <c r="A423" s="7" t="str">
        <f aca="false">TRIM(customer_churn_dataset!A423)</f>
        <v>CUST100631</v>
      </c>
      <c r="B423" s="7" t="str">
        <f aca="false">PROPER(TRIM(customer_churn_dataset!B423))</f>
        <v>Premium</v>
      </c>
      <c r="C423" s="7" t="str">
        <f aca="false">PROPER(TRIM(customer_churn_dataset!C423))</f>
        <v>Month-To-Month</v>
      </c>
      <c r="D423" s="7" t="n">
        <f aca="false">IF(ISBLANK(customer_churn_dataset!D423),ROUND(MEDIAN(customer_churn_dataset!D$2:D$1501),2),IF(customer_churn_dataset!D423&lt;0,ABS(customer_churn_dataset!D423),customer_churn_dataset!D423))</f>
        <v>40.11</v>
      </c>
      <c r="E423" s="7" t="n">
        <f aca="false">IF(ISBLANK(customer_churn_dataset!E423),0,MAX(0,customer_churn_dataset!E423))</f>
        <v>48</v>
      </c>
      <c r="F423" s="8" t="n">
        <f aca="false">IF(ISBLANK(customer_churn_dataset!F423),"",customer_churn_dataset!F423)</f>
        <v>44394</v>
      </c>
      <c r="G423" s="7" t="str">
        <f aca="false">PROPER(TRIM(customer_churn_dataset!G423))</f>
        <v>Manual/Invoice</v>
      </c>
      <c r="H423" s="7" t="n">
        <f aca="false">IF(ISBLANK(customer_churn_dataset!H423),0,customer_churn_dataset!H423)</f>
        <v>1</v>
      </c>
      <c r="I423" s="7" t="n">
        <f aca="false">IF(ISBLANK(customer_churn_dataset!I423),ROUND(MEDIAN(customer_churn_dataset!I$2:I$1501),1),MIN(100,MAX(0,customer_churn_dataset!I423)))</f>
        <v>40</v>
      </c>
      <c r="J423" s="7" t="n">
        <f aca="false">IF(ISBLANK(customer_churn_dataset!J423),0,MAX(0,customer_churn_dataset!J423))</f>
        <v>17</v>
      </c>
      <c r="K423" s="7" t="n">
        <f aca="false">IF(ISBLANK(customer_churn_dataset!K423),0,MIN(10,MAX(0,customer_churn_dataset!K423)))</f>
        <v>3</v>
      </c>
      <c r="L423" s="7" t="n">
        <f aca="false">IF(ISBLANK(customer_churn_dataset!L423),0,MAX(0,customer_churn_dataset!L423))</f>
        <v>1</v>
      </c>
      <c r="M423" s="7" t="n">
        <f aca="false">IF(ISBLANK(customer_churn_dataset!M423),0,customer_churn_dataset!M423)</f>
        <v>0</v>
      </c>
      <c r="N423" s="7" t="n">
        <f aca="false">IF(ISBLANK(customer_churn_dataset!N423),0,MAX(0,customer_churn_dataset!N423))</f>
        <v>1925.28</v>
      </c>
      <c r="O423" s="7" t="n">
        <f aca="false">IF(ISBLANK(customer_churn_dataset!O423),0,customer_churn_dataset!O423)</f>
        <v>1</v>
      </c>
      <c r="P423" s="7" t="str">
        <f aca="false">IF(COUNTIF(customer_churn_dataset!$A$2:$A$1501,customer_churn_dataset!A423)&gt;1,"Duplicate","Unique")</f>
        <v>Unique</v>
      </c>
    </row>
    <row r="424" customFormat="false" ht="14.15" hidden="false" customHeight="true" outlineLevel="0" collapsed="false">
      <c r="A424" s="7" t="str">
        <f aca="false">TRIM(customer_churn_dataset!A424)</f>
        <v>CUST100135</v>
      </c>
      <c r="B424" s="7" t="str">
        <f aca="false">PROPER(TRIM(customer_churn_dataset!B424))</f>
        <v>Basic</v>
      </c>
      <c r="C424" s="7" t="str">
        <f aca="false">PROPER(TRIM(customer_churn_dataset!C424))</f>
        <v>One Year</v>
      </c>
      <c r="D424" s="7" t="n">
        <f aca="false">IF(ISBLANK(customer_churn_dataset!D424),ROUND(MEDIAN(customer_churn_dataset!D$2:D$1501),2),IF(customer_churn_dataset!D424&lt;0,ABS(customer_churn_dataset!D424),customer_churn_dataset!D424))</f>
        <v>9.89</v>
      </c>
      <c r="E424" s="7" t="n">
        <f aca="false">IF(ISBLANK(customer_churn_dataset!E424),0,MAX(0,customer_churn_dataset!E424))</f>
        <v>14</v>
      </c>
      <c r="F424" s="8" t="n">
        <f aca="false">IF(ISBLANK(customer_churn_dataset!F424),"",customer_churn_dataset!F424)</f>
        <v>44395</v>
      </c>
      <c r="G424" s="7" t="str">
        <f aca="false">PROPER(TRIM(customer_churn_dataset!G424))</f>
        <v>Credit Card</v>
      </c>
      <c r="H424" s="7" t="n">
        <f aca="false">IF(ISBLANK(customer_churn_dataset!H424),0,customer_churn_dataset!H424)</f>
        <v>0</v>
      </c>
      <c r="I424" s="7" t="n">
        <f aca="false">IF(ISBLANK(customer_churn_dataset!I424),ROUND(MEDIAN(customer_churn_dataset!I$2:I$1501),1),MIN(100,MAX(0,customer_churn_dataset!I424)))</f>
        <v>56.7</v>
      </c>
      <c r="J424" s="7" t="n">
        <f aca="false">IF(ISBLANK(customer_churn_dataset!J424),0,MAX(0,customer_churn_dataset!J424))</f>
        <v>14</v>
      </c>
      <c r="K424" s="7" t="n">
        <f aca="false">IF(ISBLANK(customer_churn_dataset!K424),0,MIN(10,MAX(0,customer_churn_dataset!K424)))</f>
        <v>5</v>
      </c>
      <c r="L424" s="7" t="n">
        <f aca="false">IF(ISBLANK(customer_churn_dataset!L424),0,MAX(0,customer_churn_dataset!L424))</f>
        <v>1</v>
      </c>
      <c r="M424" s="7" t="n">
        <f aca="false">IF(ISBLANK(customer_churn_dataset!M424),0,customer_churn_dataset!M424)</f>
        <v>0</v>
      </c>
      <c r="N424" s="7" t="n">
        <f aca="false">IF(ISBLANK(customer_churn_dataset!N424),0,MAX(0,customer_churn_dataset!N424))</f>
        <v>138.46</v>
      </c>
      <c r="O424" s="7" t="n">
        <f aca="false">IF(ISBLANK(customer_churn_dataset!O424),0,customer_churn_dataset!O424)</f>
        <v>0</v>
      </c>
      <c r="P424" s="7" t="str">
        <f aca="false">IF(COUNTIF(customer_churn_dataset!$A$2:$A$1501,customer_churn_dataset!A424)&gt;1,"Duplicate","Unique")</f>
        <v>Unique</v>
      </c>
    </row>
    <row r="425" customFormat="false" ht="14.15" hidden="false" customHeight="true" outlineLevel="0" collapsed="false">
      <c r="A425" s="7" t="str">
        <f aca="false">TRIM(customer_churn_dataset!A425)</f>
        <v>CUST100889</v>
      </c>
      <c r="B425" s="7" t="str">
        <f aca="false">PROPER(TRIM(customer_churn_dataset!B425))</f>
        <v>Basic</v>
      </c>
      <c r="C425" s="7" t="str">
        <f aca="false">PROPER(TRIM(customer_churn_dataset!C425))</f>
        <v>One Year</v>
      </c>
      <c r="D425" s="7" t="n">
        <f aca="false">IF(ISBLANK(customer_churn_dataset!D425),ROUND(MEDIAN(customer_churn_dataset!D$2:D$1501),2),IF(customer_churn_dataset!D425&lt;0,ABS(customer_churn_dataset!D425),customer_churn_dataset!D425))</f>
        <v>10.15</v>
      </c>
      <c r="E425" s="7" t="n">
        <f aca="false">IF(ISBLANK(customer_churn_dataset!E425),0,MAX(0,customer_churn_dataset!E425))</f>
        <v>10</v>
      </c>
      <c r="F425" s="8" t="n">
        <f aca="false">IF(ISBLANK(customer_churn_dataset!F425),"",customer_churn_dataset!F425)</f>
        <v>44397</v>
      </c>
      <c r="G425" s="7" t="str">
        <f aca="false">PROPER(TRIM(customer_churn_dataset!G425))</f>
        <v>Paypal</v>
      </c>
      <c r="H425" s="7" t="n">
        <f aca="false">IF(ISBLANK(customer_churn_dataset!H425),0,customer_churn_dataset!H425)</f>
        <v>0</v>
      </c>
      <c r="I425" s="7" t="n">
        <f aca="false">IF(ISBLANK(customer_churn_dataset!I425),ROUND(MEDIAN(customer_churn_dataset!I$2:I$1501),1),MIN(100,MAX(0,customer_churn_dataset!I425)))</f>
        <v>72.3</v>
      </c>
      <c r="J425" s="7" t="n">
        <f aca="false">IF(ISBLANK(customer_churn_dataset!J425),0,MAX(0,customer_churn_dataset!J425))</f>
        <v>21</v>
      </c>
      <c r="K425" s="7" t="n">
        <f aca="false">IF(ISBLANK(customer_churn_dataset!K425),0,MIN(10,MAX(0,customer_churn_dataset!K425)))</f>
        <v>9</v>
      </c>
      <c r="L425" s="7" t="n">
        <f aca="false">IF(ISBLANK(customer_churn_dataset!L425),0,MAX(0,customer_churn_dataset!L425))</f>
        <v>1</v>
      </c>
      <c r="M425" s="7" t="n">
        <f aca="false">IF(ISBLANK(customer_churn_dataset!M425),0,customer_churn_dataset!M425)</f>
        <v>0</v>
      </c>
      <c r="N425" s="7" t="n">
        <f aca="false">IF(ISBLANK(customer_churn_dataset!N425),0,MAX(0,customer_churn_dataset!N425))</f>
        <v>101.5</v>
      </c>
      <c r="O425" s="7" t="n">
        <f aca="false">IF(ISBLANK(customer_churn_dataset!O425),0,customer_churn_dataset!O425)</f>
        <v>0</v>
      </c>
      <c r="P425" s="7" t="str">
        <f aca="false">IF(COUNTIF(customer_churn_dataset!$A$2:$A$1501,customer_churn_dataset!A425)&gt;1,"Duplicate","Unique")</f>
        <v>Unique</v>
      </c>
    </row>
    <row r="426" customFormat="false" ht="14.15" hidden="false" customHeight="true" outlineLevel="0" collapsed="false">
      <c r="A426" s="7" t="str">
        <f aca="false">TRIM(customer_churn_dataset!A426)</f>
        <v>CUST101325</v>
      </c>
      <c r="B426" s="7" t="str">
        <f aca="false">PROPER(TRIM(customer_churn_dataset!B426))</f>
        <v>Basic</v>
      </c>
      <c r="C426" s="7" t="str">
        <f aca="false">PROPER(TRIM(customer_churn_dataset!C426))</f>
        <v>Month-To-Month</v>
      </c>
      <c r="D426" s="7" t="n">
        <f aca="false">IF(ISBLANK(customer_churn_dataset!D426),ROUND(MEDIAN(customer_churn_dataset!D$2:D$1501),2),IF(customer_churn_dataset!D426&lt;0,ABS(customer_churn_dataset!D426),customer_churn_dataset!D426))</f>
        <v>10.85</v>
      </c>
      <c r="E426" s="7" t="n">
        <f aca="false">IF(ISBLANK(customer_churn_dataset!E426),0,MAX(0,customer_churn_dataset!E426))</f>
        <v>22</v>
      </c>
      <c r="F426" s="8" t="n">
        <f aca="false">IF(ISBLANK(customer_churn_dataset!F426),"",customer_churn_dataset!F426)</f>
        <v>44397</v>
      </c>
      <c r="G426" s="7" t="str">
        <f aca="false">PROPER(TRIM(customer_churn_dataset!G426))</f>
        <v>Bank Transfer</v>
      </c>
      <c r="H426" s="7" t="n">
        <f aca="false">IF(ISBLANK(customer_churn_dataset!H426),0,customer_churn_dataset!H426)</f>
        <v>1</v>
      </c>
      <c r="I426" s="7" t="n">
        <f aca="false">IF(ISBLANK(customer_churn_dataset!I426),ROUND(MEDIAN(customer_churn_dataset!I$2:I$1501),1),MIN(100,MAX(0,customer_churn_dataset!I426)))</f>
        <v>39.2</v>
      </c>
      <c r="J426" s="7" t="n">
        <f aca="false">IF(ISBLANK(customer_churn_dataset!J426),0,MAX(0,customer_churn_dataset!J426))</f>
        <v>15</v>
      </c>
      <c r="K426" s="7" t="n">
        <f aca="false">IF(ISBLANK(customer_churn_dataset!K426),0,MIN(10,MAX(0,customer_churn_dataset!K426)))</f>
        <v>4</v>
      </c>
      <c r="L426" s="7" t="n">
        <f aca="false">IF(ISBLANK(customer_churn_dataset!L426),0,MAX(0,customer_churn_dataset!L426))</f>
        <v>1</v>
      </c>
      <c r="M426" s="7" t="n">
        <f aca="false">IF(ISBLANK(customer_churn_dataset!M426),0,customer_churn_dataset!M426)</f>
        <v>0</v>
      </c>
      <c r="N426" s="7" t="n">
        <f aca="false">IF(ISBLANK(customer_churn_dataset!N426),0,MAX(0,customer_churn_dataset!N426))</f>
        <v>238.7</v>
      </c>
      <c r="O426" s="7" t="n">
        <f aca="false">IF(ISBLANK(customer_churn_dataset!O426),0,customer_churn_dataset!O426)</f>
        <v>1</v>
      </c>
      <c r="P426" s="7" t="str">
        <f aca="false">IF(COUNTIF(customer_churn_dataset!$A$2:$A$1501,customer_churn_dataset!A426)&gt;1,"Duplicate","Unique")</f>
        <v>Unique</v>
      </c>
    </row>
    <row r="427" customFormat="false" ht="14.15" hidden="false" customHeight="true" outlineLevel="0" collapsed="false">
      <c r="A427" s="7" t="str">
        <f aca="false">TRIM(customer_churn_dataset!A427)</f>
        <v>CUST100425</v>
      </c>
      <c r="B427" s="7" t="str">
        <f aca="false">PROPER(TRIM(customer_churn_dataset!B427))</f>
        <v>Standard</v>
      </c>
      <c r="C427" s="7" t="str">
        <f aca="false">PROPER(TRIM(customer_churn_dataset!C427))</f>
        <v>Month-To-Month</v>
      </c>
      <c r="D427" s="7" t="n">
        <f aca="false">IF(ISBLANK(customer_churn_dataset!D427),ROUND(MEDIAN(customer_churn_dataset!D$2:D$1501),2),IF(customer_churn_dataset!D427&lt;0,ABS(customer_churn_dataset!D427),customer_churn_dataset!D427))</f>
        <v>20.68</v>
      </c>
      <c r="E427" s="7" t="n">
        <f aca="false">IF(ISBLANK(customer_churn_dataset!E427),0,MAX(0,customer_churn_dataset!E427))</f>
        <v>4</v>
      </c>
      <c r="F427" s="8" t="n">
        <f aca="false">IF(ISBLANK(customer_churn_dataset!F427),"",customer_churn_dataset!F427)</f>
        <v>44404</v>
      </c>
      <c r="G427" s="7" t="str">
        <f aca="false">PROPER(TRIM(customer_churn_dataset!G427))</f>
        <v>Credit Card</v>
      </c>
      <c r="H427" s="7" t="n">
        <f aca="false">IF(ISBLANK(customer_churn_dataset!H427),0,customer_churn_dataset!H427)</f>
        <v>0</v>
      </c>
      <c r="I427" s="7" t="n">
        <f aca="false">IF(ISBLANK(customer_churn_dataset!I427),ROUND(MEDIAN(customer_churn_dataset!I$2:I$1501),1),MIN(100,MAX(0,customer_churn_dataset!I427)))</f>
        <v>14</v>
      </c>
      <c r="J427" s="7" t="n">
        <f aca="false">IF(ISBLANK(customer_churn_dataset!J427),0,MAX(0,customer_churn_dataset!J427))</f>
        <v>8</v>
      </c>
      <c r="K427" s="7" t="n">
        <f aca="false">IF(ISBLANK(customer_churn_dataset!K427),0,MIN(10,MAX(0,customer_churn_dataset!K427)))</f>
        <v>0</v>
      </c>
      <c r="L427" s="7" t="n">
        <f aca="false">IF(ISBLANK(customer_churn_dataset!L427),0,MAX(0,customer_churn_dataset!L427))</f>
        <v>3</v>
      </c>
      <c r="M427" s="7" t="n">
        <f aca="false">IF(ISBLANK(customer_churn_dataset!M427),0,customer_churn_dataset!M427)</f>
        <v>0</v>
      </c>
      <c r="N427" s="7" t="n">
        <f aca="false">IF(ISBLANK(customer_churn_dataset!N427),0,MAX(0,customer_churn_dataset!N427))</f>
        <v>82.72</v>
      </c>
      <c r="O427" s="7" t="n">
        <f aca="false">IF(ISBLANK(customer_churn_dataset!O427),0,customer_churn_dataset!O427)</f>
        <v>1</v>
      </c>
      <c r="P427" s="7" t="str">
        <f aca="false">IF(COUNTIF(customer_churn_dataset!$A$2:$A$1501,customer_churn_dataset!A427)&gt;1,"Duplicate","Unique")</f>
        <v>Unique</v>
      </c>
    </row>
    <row r="428" customFormat="false" ht="14.15" hidden="false" customHeight="true" outlineLevel="0" collapsed="false">
      <c r="A428" s="7" t="str">
        <f aca="false">TRIM(customer_churn_dataset!A428)</f>
        <v>CUST100538</v>
      </c>
      <c r="B428" s="7" t="str">
        <f aca="false">PROPER(TRIM(customer_churn_dataset!B428))</f>
        <v>Standard</v>
      </c>
      <c r="C428" s="7" t="str">
        <f aca="false">PROPER(TRIM(customer_churn_dataset!C428))</f>
        <v>One Year</v>
      </c>
      <c r="D428" s="7" t="n">
        <f aca="false">IF(ISBLANK(customer_churn_dataset!D428),ROUND(MEDIAN(customer_churn_dataset!D$2:D$1501),2),IF(customer_churn_dataset!D428&lt;0,ABS(customer_churn_dataset!D428),customer_churn_dataset!D428))</f>
        <v>20.5</v>
      </c>
      <c r="E428" s="7" t="n">
        <f aca="false">IF(ISBLANK(customer_churn_dataset!E428),0,MAX(0,customer_churn_dataset!E428))</f>
        <v>9</v>
      </c>
      <c r="F428" s="8" t="n">
        <f aca="false">IF(ISBLANK(customer_churn_dataset!F428),"",customer_churn_dataset!F428)</f>
        <v>44405</v>
      </c>
      <c r="G428" s="7" t="str">
        <f aca="false">PROPER(TRIM(customer_churn_dataset!G428))</f>
        <v>Credit Card</v>
      </c>
      <c r="H428" s="7" t="n">
        <f aca="false">IF(ISBLANK(customer_churn_dataset!H428),0,customer_churn_dataset!H428)</f>
        <v>1</v>
      </c>
      <c r="I428" s="7" t="n">
        <f aca="false">IF(ISBLANK(customer_churn_dataset!I428),ROUND(MEDIAN(customer_churn_dataset!I$2:I$1501),1),MIN(100,MAX(0,customer_churn_dataset!I428)))</f>
        <v>100</v>
      </c>
      <c r="J428" s="7" t="n">
        <f aca="false">IF(ISBLANK(customer_churn_dataset!J428),0,MAX(0,customer_churn_dataset!J428))</f>
        <v>36</v>
      </c>
      <c r="K428" s="7" t="n">
        <f aca="false">IF(ISBLANK(customer_churn_dataset!K428),0,MIN(10,MAX(0,customer_churn_dataset!K428)))</f>
        <v>10</v>
      </c>
      <c r="L428" s="7" t="n">
        <f aca="false">IF(ISBLANK(customer_churn_dataset!L428),0,MAX(0,customer_churn_dataset!L428))</f>
        <v>3</v>
      </c>
      <c r="M428" s="7" t="n">
        <f aca="false">IF(ISBLANK(customer_churn_dataset!M428),0,customer_churn_dataset!M428)</f>
        <v>0</v>
      </c>
      <c r="N428" s="7" t="n">
        <f aca="false">IF(ISBLANK(customer_churn_dataset!N428),0,MAX(0,customer_churn_dataset!N428))</f>
        <v>184.5</v>
      </c>
      <c r="O428" s="7" t="n">
        <f aca="false">IF(ISBLANK(customer_churn_dataset!O428),0,customer_churn_dataset!O428)</f>
        <v>0</v>
      </c>
      <c r="P428" s="7" t="str">
        <f aca="false">IF(COUNTIF(customer_churn_dataset!$A$2:$A$1501,customer_churn_dataset!A428)&gt;1,"Duplicate","Unique")</f>
        <v>Unique</v>
      </c>
    </row>
    <row r="429" customFormat="false" ht="14.15" hidden="false" customHeight="true" outlineLevel="0" collapsed="false">
      <c r="A429" s="7" t="str">
        <f aca="false">TRIM(customer_churn_dataset!A429)</f>
        <v>CUST101178</v>
      </c>
      <c r="B429" s="7" t="str">
        <f aca="false">PROPER(TRIM(customer_churn_dataset!B429))</f>
        <v>Standard</v>
      </c>
      <c r="C429" s="7" t="str">
        <f aca="false">PROPER(TRIM(customer_churn_dataset!C429))</f>
        <v>Month-To-Month</v>
      </c>
      <c r="D429" s="7" t="n">
        <f aca="false">IF(ISBLANK(customer_churn_dataset!D429),ROUND(MEDIAN(customer_churn_dataset!D$2:D$1501),2),IF(customer_churn_dataset!D429&lt;0,ABS(customer_churn_dataset!D429),customer_churn_dataset!D429))</f>
        <v>20</v>
      </c>
      <c r="E429" s="7" t="n">
        <f aca="false">IF(ISBLANK(customer_churn_dataset!E429),0,MAX(0,customer_churn_dataset!E429))</f>
        <v>26</v>
      </c>
      <c r="F429" s="8" t="n">
        <f aca="false">IF(ISBLANK(customer_churn_dataset!F429),"",customer_churn_dataset!F429)</f>
        <v>44405</v>
      </c>
      <c r="G429" s="7" t="str">
        <f aca="false">PROPER(TRIM(customer_churn_dataset!G429))</f>
        <v>Credit Card</v>
      </c>
      <c r="H429" s="7" t="n">
        <f aca="false">IF(ISBLANK(customer_churn_dataset!H429),0,customer_churn_dataset!H429)</f>
        <v>1</v>
      </c>
      <c r="I429" s="7" t="n">
        <f aca="false">IF(ISBLANK(customer_churn_dataset!I429),ROUND(MEDIAN(customer_churn_dataset!I$2:I$1501),1),MIN(100,MAX(0,customer_churn_dataset!I429)))</f>
        <v>66.4</v>
      </c>
      <c r="J429" s="7" t="n">
        <f aca="false">IF(ISBLANK(customer_churn_dataset!J429),0,MAX(0,customer_churn_dataset!J429))</f>
        <v>22</v>
      </c>
      <c r="K429" s="7" t="n">
        <f aca="false">IF(ISBLANK(customer_churn_dataset!K429),0,MIN(10,MAX(0,customer_churn_dataset!K429)))</f>
        <v>6</v>
      </c>
      <c r="L429" s="7" t="n">
        <f aca="false">IF(ISBLANK(customer_churn_dataset!L429),0,MAX(0,customer_churn_dataset!L429))</f>
        <v>0</v>
      </c>
      <c r="M429" s="7" t="n">
        <f aca="false">IF(ISBLANK(customer_churn_dataset!M429),0,customer_churn_dataset!M429)</f>
        <v>0</v>
      </c>
      <c r="N429" s="7" t="n">
        <f aca="false">IF(ISBLANK(customer_churn_dataset!N429),0,MAX(0,customer_churn_dataset!N429))</f>
        <v>520</v>
      </c>
      <c r="O429" s="7" t="n">
        <f aca="false">IF(ISBLANK(customer_churn_dataset!O429),0,customer_churn_dataset!O429)</f>
        <v>0</v>
      </c>
      <c r="P429" s="7" t="str">
        <f aca="false">IF(COUNTIF(customer_churn_dataset!$A$2:$A$1501,customer_churn_dataset!A429)&gt;1,"Duplicate","Unique")</f>
        <v>Unique</v>
      </c>
    </row>
    <row r="430" customFormat="false" ht="14.15" hidden="false" customHeight="true" outlineLevel="0" collapsed="false">
      <c r="A430" s="7" t="str">
        <f aca="false">TRIM(customer_churn_dataset!A430)</f>
        <v>CUST100937</v>
      </c>
      <c r="B430" s="7" t="str">
        <f aca="false">PROPER(TRIM(customer_churn_dataset!B430))</f>
        <v>Premium</v>
      </c>
      <c r="C430" s="7" t="str">
        <f aca="false">PROPER(TRIM(customer_churn_dataset!C430))</f>
        <v>One Year</v>
      </c>
      <c r="D430" s="7" t="n">
        <f aca="false">IF(ISBLANK(customer_churn_dataset!D430),ROUND(MEDIAN(customer_churn_dataset!D$2:D$1501),2),IF(customer_churn_dataset!D430&lt;0,ABS(customer_churn_dataset!D430),customer_churn_dataset!D430))</f>
        <v>38.92</v>
      </c>
      <c r="E430" s="7" t="n">
        <f aca="false">IF(ISBLANK(customer_churn_dataset!E430),0,MAX(0,customer_churn_dataset!E430))</f>
        <v>37</v>
      </c>
      <c r="F430" s="8" t="n">
        <f aca="false">IF(ISBLANK(customer_churn_dataset!F430),"",customer_churn_dataset!F430)</f>
        <v>44406</v>
      </c>
      <c r="G430" s="7" t="str">
        <f aca="false">PROPER(TRIM(customer_churn_dataset!G430))</f>
        <v>Bank Transfer</v>
      </c>
      <c r="H430" s="7" t="n">
        <f aca="false">IF(ISBLANK(customer_churn_dataset!H430),0,customer_churn_dataset!H430)</f>
        <v>1</v>
      </c>
      <c r="I430" s="7" t="n">
        <f aca="false">IF(ISBLANK(customer_churn_dataset!I430),ROUND(MEDIAN(customer_churn_dataset!I$2:I$1501),1),MIN(100,MAX(0,customer_churn_dataset!I430)))</f>
        <v>42.8</v>
      </c>
      <c r="J430" s="7" t="n">
        <f aca="false">IF(ISBLANK(customer_churn_dataset!J430),0,MAX(0,customer_churn_dataset!J430))</f>
        <v>8</v>
      </c>
      <c r="K430" s="7" t="n">
        <f aca="false">IF(ISBLANK(customer_churn_dataset!K430),0,MIN(10,MAX(0,customer_churn_dataset!K430)))</f>
        <v>2</v>
      </c>
      <c r="L430" s="7" t="n">
        <f aca="false">IF(ISBLANK(customer_churn_dataset!L430),0,MAX(0,customer_churn_dataset!L430))</f>
        <v>0</v>
      </c>
      <c r="M430" s="7" t="n">
        <f aca="false">IF(ISBLANK(customer_churn_dataset!M430),0,customer_churn_dataset!M430)</f>
        <v>0</v>
      </c>
      <c r="N430" s="7" t="n">
        <f aca="false">IF(ISBLANK(customer_churn_dataset!N430),0,MAX(0,customer_churn_dataset!N430))</f>
        <v>1440.04</v>
      </c>
      <c r="O430" s="7" t="n">
        <f aca="false">IF(ISBLANK(customer_churn_dataset!O430),0,customer_churn_dataset!O430)</f>
        <v>0</v>
      </c>
      <c r="P430" s="7" t="str">
        <f aca="false">IF(COUNTIF(customer_churn_dataset!$A$2:$A$1501,customer_churn_dataset!A430)&gt;1,"Duplicate","Unique")</f>
        <v>Unique</v>
      </c>
    </row>
    <row r="431" customFormat="false" ht="14.15" hidden="false" customHeight="true" outlineLevel="0" collapsed="false">
      <c r="A431" s="7" t="str">
        <f aca="false">TRIM(customer_churn_dataset!A431)</f>
        <v>CUST100169</v>
      </c>
      <c r="B431" s="7" t="str">
        <f aca="false">PROPER(TRIM(customer_churn_dataset!B431))</f>
        <v>Standard</v>
      </c>
      <c r="C431" s="7" t="str">
        <f aca="false">PROPER(TRIM(customer_churn_dataset!C431))</f>
        <v>Month-To-Month</v>
      </c>
      <c r="D431" s="7" t="n">
        <f aca="false">IF(ISBLANK(customer_churn_dataset!D431),ROUND(MEDIAN(customer_churn_dataset!D$2:D$1501),2),IF(customer_churn_dataset!D431&lt;0,ABS(customer_churn_dataset!D431),customer_churn_dataset!D431))</f>
        <v>20.59</v>
      </c>
      <c r="E431" s="7" t="n">
        <f aca="false">IF(ISBLANK(customer_churn_dataset!E431),0,MAX(0,customer_churn_dataset!E431))</f>
        <v>10</v>
      </c>
      <c r="F431" s="8" t="n">
        <f aca="false">IF(ISBLANK(customer_churn_dataset!F431),"",customer_churn_dataset!F431)</f>
        <v>44408</v>
      </c>
      <c r="G431" s="7" t="str">
        <f aca="false">PROPER(TRIM(customer_churn_dataset!G431))</f>
        <v>Credit Card</v>
      </c>
      <c r="H431" s="7" t="n">
        <f aca="false">IF(ISBLANK(customer_churn_dataset!H431),0,customer_churn_dataset!H431)</f>
        <v>1</v>
      </c>
      <c r="I431" s="7" t="n">
        <f aca="false">IF(ISBLANK(customer_churn_dataset!I431),ROUND(MEDIAN(customer_churn_dataset!I$2:I$1501),1),MIN(100,MAX(0,customer_churn_dataset!I431)))</f>
        <v>46.5</v>
      </c>
      <c r="J431" s="7" t="n">
        <f aca="false">IF(ISBLANK(customer_churn_dataset!J431),0,MAX(0,customer_churn_dataset!J431))</f>
        <v>17</v>
      </c>
      <c r="K431" s="7" t="n">
        <f aca="false">IF(ISBLANK(customer_churn_dataset!K431),0,MIN(10,MAX(0,customer_churn_dataset!K431)))</f>
        <v>5</v>
      </c>
      <c r="L431" s="7" t="n">
        <f aca="false">IF(ISBLANK(customer_churn_dataset!L431),0,MAX(0,customer_churn_dataset!L431))</f>
        <v>4</v>
      </c>
      <c r="M431" s="7" t="n">
        <f aca="false">IF(ISBLANK(customer_churn_dataset!M431),0,customer_churn_dataset!M431)</f>
        <v>0</v>
      </c>
      <c r="N431" s="7" t="n">
        <f aca="false">IF(ISBLANK(customer_churn_dataset!N431),0,MAX(0,customer_churn_dataset!N431))</f>
        <v>205.9</v>
      </c>
      <c r="O431" s="7" t="n">
        <f aca="false">IF(ISBLANK(customer_churn_dataset!O431),0,customer_churn_dataset!O431)</f>
        <v>1</v>
      </c>
      <c r="P431" s="7" t="str">
        <f aca="false">IF(COUNTIF(customer_churn_dataset!$A$2:$A$1501,customer_churn_dataset!A431)&gt;1,"Duplicate","Unique")</f>
        <v>Unique</v>
      </c>
    </row>
    <row r="432" customFormat="false" ht="14.15" hidden="false" customHeight="true" outlineLevel="0" collapsed="false">
      <c r="A432" s="7" t="str">
        <f aca="false">TRIM(customer_churn_dataset!A432)</f>
        <v>CUST100510</v>
      </c>
      <c r="B432" s="7" t="str">
        <f aca="false">PROPER(TRIM(customer_churn_dataset!B432))</f>
        <v>Standard</v>
      </c>
      <c r="C432" s="7" t="str">
        <f aca="false">PROPER(TRIM(customer_churn_dataset!C432))</f>
        <v>Month-To-Month</v>
      </c>
      <c r="D432" s="7" t="n">
        <f aca="false">IF(ISBLANK(customer_churn_dataset!D432),ROUND(MEDIAN(customer_churn_dataset!D$2:D$1501),2),IF(customer_churn_dataset!D432&lt;0,ABS(customer_churn_dataset!D432),customer_churn_dataset!D432))</f>
        <v>19.75</v>
      </c>
      <c r="E432" s="7" t="n">
        <f aca="false">IF(ISBLANK(customer_churn_dataset!E432),0,MAX(0,customer_churn_dataset!E432))</f>
        <v>18</v>
      </c>
      <c r="F432" s="8" t="n">
        <f aca="false">IF(ISBLANK(customer_churn_dataset!F432),"",customer_churn_dataset!F432)</f>
        <v>44411</v>
      </c>
      <c r="G432" s="7" t="str">
        <f aca="false">PROPER(TRIM(customer_churn_dataset!G432))</f>
        <v>Credit Card</v>
      </c>
      <c r="H432" s="7" t="n">
        <f aca="false">IF(ISBLANK(customer_churn_dataset!H432),0,customer_churn_dataset!H432)</f>
        <v>1</v>
      </c>
      <c r="I432" s="7" t="n">
        <f aca="false">IF(ISBLANK(customer_churn_dataset!I432),ROUND(MEDIAN(customer_churn_dataset!I$2:I$1501),1),MIN(100,MAX(0,customer_churn_dataset!I432)))</f>
        <v>76.5</v>
      </c>
      <c r="J432" s="7" t="n">
        <f aca="false">IF(ISBLANK(customer_churn_dataset!J432),0,MAX(0,customer_churn_dataset!J432))</f>
        <v>25</v>
      </c>
      <c r="K432" s="7" t="n">
        <f aca="false">IF(ISBLANK(customer_churn_dataset!K432),0,MIN(10,MAX(0,customer_churn_dataset!K432)))</f>
        <v>6</v>
      </c>
      <c r="L432" s="7" t="n">
        <f aca="false">IF(ISBLANK(customer_churn_dataset!L432),0,MAX(0,customer_churn_dataset!L432))</f>
        <v>2</v>
      </c>
      <c r="M432" s="7" t="n">
        <f aca="false">IF(ISBLANK(customer_churn_dataset!M432),0,customer_churn_dataset!M432)</f>
        <v>0</v>
      </c>
      <c r="N432" s="7" t="n">
        <f aca="false">IF(ISBLANK(customer_churn_dataset!N432),0,MAX(0,customer_churn_dataset!N432))</f>
        <v>355.5</v>
      </c>
      <c r="O432" s="7" t="n">
        <f aca="false">IF(ISBLANK(customer_churn_dataset!O432),0,customer_churn_dataset!O432)</f>
        <v>0</v>
      </c>
      <c r="P432" s="7" t="str">
        <f aca="false">IF(COUNTIF(customer_churn_dataset!$A$2:$A$1501,customer_churn_dataset!A432)&gt;1,"Duplicate","Unique")</f>
        <v>Unique</v>
      </c>
    </row>
    <row r="433" customFormat="false" ht="14.15" hidden="false" customHeight="true" outlineLevel="0" collapsed="false">
      <c r="A433" s="7" t="str">
        <f aca="false">TRIM(customer_churn_dataset!A433)</f>
        <v>CUST101221</v>
      </c>
      <c r="B433" s="7" t="str">
        <f aca="false">PROPER(TRIM(customer_churn_dataset!B433))</f>
        <v>Basic</v>
      </c>
      <c r="C433" s="7" t="str">
        <f aca="false">PROPER(TRIM(customer_churn_dataset!C433))</f>
        <v>Month-To-Month</v>
      </c>
      <c r="D433" s="7" t="n">
        <f aca="false">IF(ISBLANK(customer_churn_dataset!D433),ROUND(MEDIAN(customer_churn_dataset!D$2:D$1501),2),IF(customer_churn_dataset!D433&lt;0,ABS(customer_churn_dataset!D433),customer_churn_dataset!D433))</f>
        <v>9.03</v>
      </c>
      <c r="E433" s="7" t="n">
        <f aca="false">IF(ISBLANK(customer_churn_dataset!E433),0,MAX(0,customer_churn_dataset!E433))</f>
        <v>5</v>
      </c>
      <c r="F433" s="8" t="n">
        <f aca="false">IF(ISBLANK(customer_churn_dataset!F433),"",customer_churn_dataset!F433)</f>
        <v>44412</v>
      </c>
      <c r="G433" s="7" t="str">
        <f aca="false">PROPER(TRIM(customer_churn_dataset!G433))</f>
        <v>Bank Transfer</v>
      </c>
      <c r="H433" s="7" t="n">
        <f aca="false">IF(ISBLANK(customer_churn_dataset!H433),0,customer_churn_dataset!H433)</f>
        <v>0</v>
      </c>
      <c r="I433" s="7" t="n">
        <f aca="false">IF(ISBLANK(customer_churn_dataset!I433),ROUND(MEDIAN(customer_churn_dataset!I$2:I$1501),1),MIN(100,MAX(0,customer_churn_dataset!I433)))</f>
        <v>54.8</v>
      </c>
      <c r="J433" s="7" t="n">
        <f aca="false">IF(ISBLANK(customer_churn_dataset!J433),0,MAX(0,customer_churn_dataset!J433))</f>
        <v>18</v>
      </c>
      <c r="K433" s="7" t="n">
        <f aca="false">IF(ISBLANK(customer_churn_dataset!K433),0,MIN(10,MAX(0,customer_churn_dataset!K433)))</f>
        <v>6</v>
      </c>
      <c r="L433" s="7" t="n">
        <f aca="false">IF(ISBLANK(customer_churn_dataset!L433),0,MAX(0,customer_churn_dataset!L433))</f>
        <v>0</v>
      </c>
      <c r="M433" s="7" t="n">
        <f aca="false">IF(ISBLANK(customer_churn_dataset!M433),0,customer_churn_dataset!M433)</f>
        <v>0</v>
      </c>
      <c r="N433" s="7" t="n">
        <f aca="false">IF(ISBLANK(customer_churn_dataset!N433),0,MAX(0,customer_churn_dataset!N433))</f>
        <v>45.15</v>
      </c>
      <c r="O433" s="7" t="n">
        <f aca="false">IF(ISBLANK(customer_churn_dataset!O433),0,customer_churn_dataset!O433)</f>
        <v>0</v>
      </c>
      <c r="P433" s="7" t="str">
        <f aca="false">IF(COUNTIF(customer_churn_dataset!$A$2:$A$1501,customer_churn_dataset!A433)&gt;1,"Duplicate","Unique")</f>
        <v>Unique</v>
      </c>
    </row>
    <row r="434" customFormat="false" ht="14.15" hidden="false" customHeight="true" outlineLevel="0" collapsed="false">
      <c r="A434" s="7" t="str">
        <f aca="false">TRIM(customer_churn_dataset!A434)</f>
        <v>CUST100918</v>
      </c>
      <c r="B434" s="7" t="str">
        <f aca="false">PROPER(TRIM(customer_churn_dataset!B434))</f>
        <v>Standard</v>
      </c>
      <c r="C434" s="7" t="str">
        <f aca="false">PROPER(TRIM(customer_churn_dataset!C434))</f>
        <v>One Year</v>
      </c>
      <c r="D434" s="7" t="n">
        <f aca="false">IF(ISBLANK(customer_churn_dataset!D434),ROUND(MEDIAN(customer_churn_dataset!D$2:D$1501),2),IF(customer_churn_dataset!D434&lt;0,ABS(customer_churn_dataset!D434),customer_churn_dataset!D434))</f>
        <v>19.85</v>
      </c>
      <c r="E434" s="7" t="n">
        <f aca="false">IF(ISBLANK(customer_churn_dataset!E434),0,MAX(0,customer_churn_dataset!E434))</f>
        <v>0</v>
      </c>
      <c r="F434" s="8" t="n">
        <f aca="false">IF(ISBLANK(customer_churn_dataset!F434),"",customer_churn_dataset!F434)</f>
        <v>44413</v>
      </c>
      <c r="G434" s="7" t="str">
        <f aca="false">PROPER(TRIM(customer_churn_dataset!G434))</f>
        <v>Credit Card</v>
      </c>
      <c r="H434" s="7" t="n">
        <f aca="false">IF(ISBLANK(customer_churn_dataset!H434),0,customer_churn_dataset!H434)</f>
        <v>0</v>
      </c>
      <c r="I434" s="7" t="n">
        <f aca="false">IF(ISBLANK(customer_churn_dataset!I434),ROUND(MEDIAN(customer_churn_dataset!I$2:I$1501),1),MIN(100,MAX(0,customer_churn_dataset!I434)))</f>
        <v>38.2</v>
      </c>
      <c r="J434" s="7" t="n">
        <f aca="false">IF(ISBLANK(customer_churn_dataset!J434),0,MAX(0,customer_churn_dataset!J434))</f>
        <v>14</v>
      </c>
      <c r="K434" s="7" t="n">
        <f aca="false">IF(ISBLANK(customer_churn_dataset!K434),0,MIN(10,MAX(0,customer_churn_dataset!K434)))</f>
        <v>3</v>
      </c>
      <c r="L434" s="7" t="n">
        <f aca="false">IF(ISBLANK(customer_churn_dataset!L434),0,MAX(0,customer_churn_dataset!L434))</f>
        <v>1</v>
      </c>
      <c r="M434" s="7" t="n">
        <f aca="false">IF(ISBLANK(customer_churn_dataset!M434),0,customer_churn_dataset!M434)</f>
        <v>0</v>
      </c>
      <c r="N434" s="7" t="n">
        <f aca="false">IF(ISBLANK(customer_churn_dataset!N434),0,MAX(0,customer_churn_dataset!N434))</f>
        <v>0</v>
      </c>
      <c r="O434" s="7" t="n">
        <f aca="false">IF(ISBLANK(customer_churn_dataset!O434),0,customer_churn_dataset!O434)</f>
        <v>1</v>
      </c>
      <c r="P434" s="7" t="str">
        <f aca="false">IF(COUNTIF(customer_churn_dataset!$A$2:$A$1501,customer_churn_dataset!A434)&gt;1,"Duplicate","Unique")</f>
        <v>Unique</v>
      </c>
    </row>
    <row r="435" customFormat="false" ht="14.15" hidden="false" customHeight="true" outlineLevel="0" collapsed="false">
      <c r="A435" s="7" t="str">
        <f aca="false">TRIM(customer_churn_dataset!A435)</f>
        <v>CUST100128</v>
      </c>
      <c r="B435" s="7" t="str">
        <f aca="false">PROPER(TRIM(customer_churn_dataset!B435))</f>
        <v>Basic</v>
      </c>
      <c r="C435" s="7" t="str">
        <f aca="false">PROPER(TRIM(customer_churn_dataset!C435))</f>
        <v>One Year</v>
      </c>
      <c r="D435" s="7" t="n">
        <f aca="false">IF(ISBLANK(customer_churn_dataset!D435),ROUND(MEDIAN(customer_churn_dataset!D$2:D$1501),2),IF(customer_churn_dataset!D435&lt;0,ABS(customer_churn_dataset!D435),customer_churn_dataset!D435))</f>
        <v>8.89</v>
      </c>
      <c r="E435" s="7" t="n">
        <f aca="false">IF(ISBLANK(customer_churn_dataset!E435),0,MAX(0,customer_churn_dataset!E435))</f>
        <v>1</v>
      </c>
      <c r="F435" s="8" t="n">
        <f aca="false">IF(ISBLANK(customer_churn_dataset!F435),"",customer_churn_dataset!F435)</f>
        <v>44415</v>
      </c>
      <c r="G435" s="7" t="str">
        <f aca="false">PROPER(TRIM(customer_churn_dataset!G435))</f>
        <v>Manual/Invoice</v>
      </c>
      <c r="H435" s="7" t="n">
        <f aca="false">IF(ISBLANK(customer_churn_dataset!H435),0,customer_churn_dataset!H435)</f>
        <v>1</v>
      </c>
      <c r="I435" s="7" t="n">
        <f aca="false">IF(ISBLANK(customer_churn_dataset!I435),ROUND(MEDIAN(customer_churn_dataset!I$2:I$1501),1),MIN(100,MAX(0,customer_churn_dataset!I435)))</f>
        <v>82.8</v>
      </c>
      <c r="J435" s="7" t="n">
        <f aca="false">IF(ISBLANK(customer_churn_dataset!J435),0,MAX(0,customer_churn_dataset!J435))</f>
        <v>26</v>
      </c>
      <c r="K435" s="7" t="n">
        <f aca="false">IF(ISBLANK(customer_churn_dataset!K435),0,MIN(10,MAX(0,customer_churn_dataset!K435)))</f>
        <v>9</v>
      </c>
      <c r="L435" s="7" t="n">
        <f aca="false">IF(ISBLANK(customer_churn_dataset!L435),0,MAX(0,customer_churn_dataset!L435))</f>
        <v>0</v>
      </c>
      <c r="M435" s="7" t="n">
        <f aca="false">IF(ISBLANK(customer_churn_dataset!M435),0,customer_churn_dataset!M435)</f>
        <v>0</v>
      </c>
      <c r="N435" s="7" t="n">
        <f aca="false">IF(ISBLANK(customer_churn_dataset!N435),0,MAX(0,customer_churn_dataset!N435))</f>
        <v>8.89</v>
      </c>
      <c r="O435" s="7" t="n">
        <f aca="false">IF(ISBLANK(customer_churn_dataset!O435),0,customer_churn_dataset!O435)</f>
        <v>0</v>
      </c>
      <c r="P435" s="7" t="str">
        <f aca="false">IF(COUNTIF(customer_churn_dataset!$A$2:$A$1501,customer_churn_dataset!A435)&gt;1,"Duplicate","Unique")</f>
        <v>Unique</v>
      </c>
    </row>
    <row r="436" customFormat="false" ht="14.15" hidden="false" customHeight="true" outlineLevel="0" collapsed="false">
      <c r="A436" s="7" t="str">
        <f aca="false">TRIM(customer_churn_dataset!A436)</f>
        <v>CUST101458</v>
      </c>
      <c r="B436" s="7" t="str">
        <f aca="false">PROPER(TRIM(customer_churn_dataset!B436))</f>
        <v>Basic</v>
      </c>
      <c r="C436" s="7" t="str">
        <f aca="false">PROPER(TRIM(customer_churn_dataset!C436))</f>
        <v>Month-To-Month</v>
      </c>
      <c r="D436" s="7" t="n">
        <f aca="false">IF(ISBLANK(customer_churn_dataset!D436),ROUND(MEDIAN(customer_churn_dataset!D$2:D$1501),2),IF(customer_churn_dataset!D436&lt;0,ABS(customer_churn_dataset!D436),customer_churn_dataset!D436))</f>
        <v>10.45</v>
      </c>
      <c r="E436" s="7" t="n">
        <f aca="false">IF(ISBLANK(customer_churn_dataset!E436),0,MAX(0,customer_churn_dataset!E436))</f>
        <v>1</v>
      </c>
      <c r="F436" s="8" t="n">
        <f aca="false">IF(ISBLANK(customer_churn_dataset!F436),"",customer_churn_dataset!F436)</f>
        <v>44416</v>
      </c>
      <c r="G436" s="7" t="str">
        <f aca="false">PROPER(TRIM(customer_churn_dataset!G436))</f>
        <v>Paypal</v>
      </c>
      <c r="H436" s="7" t="n">
        <f aca="false">IF(ISBLANK(customer_churn_dataset!H436),0,customer_churn_dataset!H436)</f>
        <v>0</v>
      </c>
      <c r="I436" s="7" t="n">
        <f aca="false">IF(ISBLANK(customer_churn_dataset!I436),ROUND(MEDIAN(customer_churn_dataset!I$2:I$1501),1),MIN(100,MAX(0,customer_churn_dataset!I436)))</f>
        <v>70.2</v>
      </c>
      <c r="J436" s="7" t="n">
        <f aca="false">IF(ISBLANK(customer_churn_dataset!J436),0,MAX(0,customer_churn_dataset!J436))</f>
        <v>27</v>
      </c>
      <c r="K436" s="7" t="n">
        <f aca="false">IF(ISBLANK(customer_churn_dataset!K436),0,MIN(10,MAX(0,customer_churn_dataset!K436)))</f>
        <v>8</v>
      </c>
      <c r="L436" s="7" t="n">
        <f aca="false">IF(ISBLANK(customer_churn_dataset!L436),0,MAX(0,customer_churn_dataset!L436))</f>
        <v>0</v>
      </c>
      <c r="M436" s="7" t="n">
        <f aca="false">IF(ISBLANK(customer_churn_dataset!M436),0,customer_churn_dataset!M436)</f>
        <v>0</v>
      </c>
      <c r="N436" s="7" t="n">
        <f aca="false">IF(ISBLANK(customer_churn_dataset!N436),0,MAX(0,customer_churn_dataset!N436))</f>
        <v>10.45</v>
      </c>
      <c r="O436" s="7" t="n">
        <f aca="false">IF(ISBLANK(customer_churn_dataset!O436),0,customer_churn_dataset!O436)</f>
        <v>1</v>
      </c>
      <c r="P436" s="7" t="str">
        <f aca="false">IF(COUNTIF(customer_churn_dataset!$A$2:$A$1501,customer_churn_dataset!A436)&gt;1,"Duplicate","Unique")</f>
        <v>Unique</v>
      </c>
    </row>
    <row r="437" customFormat="false" ht="14.15" hidden="false" customHeight="true" outlineLevel="0" collapsed="false">
      <c r="A437" s="7" t="str">
        <f aca="false">TRIM(customer_churn_dataset!A437)</f>
        <v>CUST100750</v>
      </c>
      <c r="B437" s="7" t="str">
        <f aca="false">PROPER(TRIM(customer_churn_dataset!B437))</f>
        <v>Basic</v>
      </c>
      <c r="C437" s="7" t="str">
        <f aca="false">PROPER(TRIM(customer_churn_dataset!C437))</f>
        <v>Two Year</v>
      </c>
      <c r="D437" s="7" t="n">
        <f aca="false">IF(ISBLANK(customer_churn_dataset!D437),ROUND(MEDIAN(customer_churn_dataset!D$2:D$1501),2),IF(customer_churn_dataset!D437&lt;0,ABS(customer_churn_dataset!D437),customer_churn_dataset!D437))</f>
        <v>11.72</v>
      </c>
      <c r="E437" s="7" t="n">
        <f aca="false">IF(ISBLANK(customer_churn_dataset!E437),0,MAX(0,customer_churn_dataset!E437))</f>
        <v>46</v>
      </c>
      <c r="F437" s="8" t="n">
        <f aca="false">IF(ISBLANK(customer_churn_dataset!F437),"",customer_churn_dataset!F437)</f>
        <v>44416</v>
      </c>
      <c r="G437" s="7" t="str">
        <f aca="false">PROPER(TRIM(customer_churn_dataset!G437))</f>
        <v>Bank Transfer</v>
      </c>
      <c r="H437" s="7" t="n">
        <f aca="false">IF(ISBLANK(customer_churn_dataset!H437),0,customer_churn_dataset!H437)</f>
        <v>1</v>
      </c>
      <c r="I437" s="7" t="n">
        <f aca="false">IF(ISBLANK(customer_churn_dataset!I437),ROUND(MEDIAN(customer_churn_dataset!I$2:I$1501),1),MIN(100,MAX(0,customer_churn_dataset!I437)))</f>
        <v>28.4</v>
      </c>
      <c r="J437" s="7" t="n">
        <f aca="false">IF(ISBLANK(customer_churn_dataset!J437),0,MAX(0,customer_churn_dataset!J437))</f>
        <v>1</v>
      </c>
      <c r="K437" s="7" t="n">
        <f aca="false">IF(ISBLANK(customer_churn_dataset!K437),0,MIN(10,MAX(0,customer_churn_dataset!K437)))</f>
        <v>4</v>
      </c>
      <c r="L437" s="7" t="n">
        <f aca="false">IF(ISBLANK(customer_churn_dataset!L437),0,MAX(0,customer_churn_dataset!L437))</f>
        <v>3</v>
      </c>
      <c r="M437" s="7" t="n">
        <f aca="false">IF(ISBLANK(customer_churn_dataset!M437),0,customer_churn_dataset!M437)</f>
        <v>0</v>
      </c>
      <c r="N437" s="7" t="n">
        <f aca="false">IF(ISBLANK(customer_churn_dataset!N437),0,MAX(0,customer_churn_dataset!N437))</f>
        <v>539.12</v>
      </c>
      <c r="O437" s="7" t="n">
        <f aca="false">IF(ISBLANK(customer_churn_dataset!O437),0,customer_churn_dataset!O437)</f>
        <v>0</v>
      </c>
      <c r="P437" s="7" t="str">
        <f aca="false">IF(COUNTIF(customer_churn_dataset!$A$2:$A$1501,customer_churn_dataset!A437)&gt;1,"Duplicate","Unique")</f>
        <v>Unique</v>
      </c>
    </row>
    <row r="438" customFormat="false" ht="14.15" hidden="false" customHeight="true" outlineLevel="0" collapsed="false">
      <c r="A438" s="7" t="str">
        <f aca="false">TRIM(customer_churn_dataset!A438)</f>
        <v>CUST101062</v>
      </c>
      <c r="B438" s="7" t="str">
        <f aca="false">PROPER(TRIM(customer_churn_dataset!B438))</f>
        <v>Standard</v>
      </c>
      <c r="C438" s="7" t="str">
        <f aca="false">PROPER(TRIM(customer_churn_dataset!C438))</f>
        <v>Month-To-Month</v>
      </c>
      <c r="D438" s="7" t="n">
        <f aca="false">IF(ISBLANK(customer_churn_dataset!D438),ROUND(MEDIAN(customer_churn_dataset!D$2:D$1501),2),IF(customer_churn_dataset!D438&lt;0,ABS(customer_churn_dataset!D438),customer_churn_dataset!D438))</f>
        <v>20.73</v>
      </c>
      <c r="E438" s="7" t="n">
        <f aca="false">IF(ISBLANK(customer_churn_dataset!E438),0,MAX(0,customer_churn_dataset!E438))</f>
        <v>20</v>
      </c>
      <c r="F438" s="8" t="n">
        <f aca="false">IF(ISBLANK(customer_churn_dataset!F438),"",customer_churn_dataset!F438)</f>
        <v>44417</v>
      </c>
      <c r="G438" s="7" t="str">
        <f aca="false">PROPER(TRIM(customer_churn_dataset!G438))</f>
        <v>Paypal</v>
      </c>
      <c r="H438" s="7" t="n">
        <f aca="false">IF(ISBLANK(customer_churn_dataset!H438),0,customer_churn_dataset!H438)</f>
        <v>1</v>
      </c>
      <c r="I438" s="7" t="n">
        <f aca="false">IF(ISBLANK(customer_churn_dataset!I438),ROUND(MEDIAN(customer_churn_dataset!I$2:I$1501),1),MIN(100,MAX(0,customer_churn_dataset!I438)))</f>
        <v>62.7</v>
      </c>
      <c r="J438" s="7" t="n">
        <f aca="false">IF(ISBLANK(customer_churn_dataset!J438),0,MAX(0,customer_churn_dataset!J438))</f>
        <v>14</v>
      </c>
      <c r="K438" s="7" t="n">
        <f aca="false">IF(ISBLANK(customer_churn_dataset!K438),0,MIN(10,MAX(0,customer_churn_dataset!K438)))</f>
        <v>7</v>
      </c>
      <c r="L438" s="7" t="n">
        <f aca="false">IF(ISBLANK(customer_churn_dataset!L438),0,MAX(0,customer_churn_dataset!L438))</f>
        <v>1</v>
      </c>
      <c r="M438" s="7" t="n">
        <f aca="false">IF(ISBLANK(customer_churn_dataset!M438),0,customer_churn_dataset!M438)</f>
        <v>1</v>
      </c>
      <c r="N438" s="7" t="n">
        <f aca="false">IF(ISBLANK(customer_churn_dataset!N438),0,MAX(0,customer_churn_dataset!N438))</f>
        <v>414.6</v>
      </c>
      <c r="O438" s="7" t="n">
        <f aca="false">IF(ISBLANK(customer_churn_dataset!O438),0,customer_churn_dataset!O438)</f>
        <v>1</v>
      </c>
      <c r="P438" s="7" t="str">
        <f aca="false">IF(COUNTIF(customer_churn_dataset!$A$2:$A$1501,customer_churn_dataset!A438)&gt;1,"Duplicate","Unique")</f>
        <v>Unique</v>
      </c>
    </row>
    <row r="439" customFormat="false" ht="14.15" hidden="false" customHeight="true" outlineLevel="0" collapsed="false">
      <c r="A439" s="7" t="str">
        <f aca="false">TRIM(customer_churn_dataset!A439)</f>
        <v>CUST100741</v>
      </c>
      <c r="B439" s="7" t="str">
        <f aca="false">PROPER(TRIM(customer_churn_dataset!B439))</f>
        <v>Basic</v>
      </c>
      <c r="C439" s="7" t="str">
        <f aca="false">PROPER(TRIM(customer_churn_dataset!C439))</f>
        <v>Month-To-Month</v>
      </c>
      <c r="D439" s="7" t="n">
        <f aca="false">IF(ISBLANK(customer_churn_dataset!D439),ROUND(MEDIAN(customer_churn_dataset!D$2:D$1501),2),IF(customer_churn_dataset!D439&lt;0,ABS(customer_churn_dataset!D439),customer_churn_dataset!D439))</f>
        <v>9.66</v>
      </c>
      <c r="E439" s="7" t="n">
        <f aca="false">IF(ISBLANK(customer_churn_dataset!E439),0,MAX(0,customer_churn_dataset!E439))</f>
        <v>48</v>
      </c>
      <c r="F439" s="8" t="n">
        <f aca="false">IF(ISBLANK(customer_churn_dataset!F439),"",customer_churn_dataset!F439)</f>
        <v>44417</v>
      </c>
      <c r="G439" s="7" t="str">
        <f aca="false">PROPER(TRIM(customer_churn_dataset!G439))</f>
        <v>Credit Card</v>
      </c>
      <c r="H439" s="7" t="n">
        <f aca="false">IF(ISBLANK(customer_churn_dataset!H439),0,customer_churn_dataset!H439)</f>
        <v>1</v>
      </c>
      <c r="I439" s="7" t="n">
        <f aca="false">IF(ISBLANK(customer_churn_dataset!I439),ROUND(MEDIAN(customer_churn_dataset!I$2:I$1501),1),MIN(100,MAX(0,customer_churn_dataset!I439)))</f>
        <v>74.3</v>
      </c>
      <c r="J439" s="7" t="n">
        <f aca="false">IF(ISBLANK(customer_churn_dataset!J439),0,MAX(0,customer_churn_dataset!J439))</f>
        <v>28</v>
      </c>
      <c r="K439" s="7" t="n">
        <f aca="false">IF(ISBLANK(customer_churn_dataset!K439),0,MIN(10,MAX(0,customer_churn_dataset!K439)))</f>
        <v>10</v>
      </c>
      <c r="L439" s="7" t="n">
        <f aca="false">IF(ISBLANK(customer_churn_dataset!L439),0,MAX(0,customer_churn_dataset!L439))</f>
        <v>1</v>
      </c>
      <c r="M439" s="7" t="n">
        <f aca="false">IF(ISBLANK(customer_churn_dataset!M439),0,customer_churn_dataset!M439)</f>
        <v>1</v>
      </c>
      <c r="N439" s="7" t="n">
        <f aca="false">IF(ISBLANK(customer_churn_dataset!N439),0,MAX(0,customer_churn_dataset!N439))</f>
        <v>463.68</v>
      </c>
      <c r="O439" s="7" t="n">
        <f aca="false">IF(ISBLANK(customer_churn_dataset!O439),0,customer_churn_dataset!O439)</f>
        <v>0</v>
      </c>
      <c r="P439" s="7" t="str">
        <f aca="false">IF(COUNTIF(customer_churn_dataset!$A$2:$A$1501,customer_churn_dataset!A439)&gt;1,"Duplicate","Unique")</f>
        <v>Unique</v>
      </c>
    </row>
    <row r="440" customFormat="false" ht="14.15" hidden="false" customHeight="true" outlineLevel="0" collapsed="false">
      <c r="A440" s="7" t="str">
        <f aca="false">TRIM(customer_churn_dataset!A440)</f>
        <v>CUST100031</v>
      </c>
      <c r="B440" s="7" t="str">
        <f aca="false">PROPER(TRIM(customer_churn_dataset!B440))</f>
        <v>Basic</v>
      </c>
      <c r="C440" s="7" t="str">
        <f aca="false">PROPER(TRIM(customer_churn_dataset!C440))</f>
        <v>One Year</v>
      </c>
      <c r="D440" s="7" t="n">
        <f aca="false">IF(ISBLANK(customer_churn_dataset!D440),ROUND(MEDIAN(customer_churn_dataset!D$2:D$1501),2),IF(customer_churn_dataset!D440&lt;0,ABS(customer_churn_dataset!D440),customer_churn_dataset!D440))</f>
        <v>8.66</v>
      </c>
      <c r="E440" s="7" t="n">
        <f aca="false">IF(ISBLANK(customer_churn_dataset!E440),0,MAX(0,customer_churn_dataset!E440))</f>
        <v>7</v>
      </c>
      <c r="F440" s="8" t="n">
        <f aca="false">IF(ISBLANK(customer_churn_dataset!F440),"",customer_churn_dataset!F440)</f>
        <v>44419</v>
      </c>
      <c r="G440" s="7" t="str">
        <f aca="false">PROPER(TRIM(customer_churn_dataset!G440))</f>
        <v>Credit Card</v>
      </c>
      <c r="H440" s="7" t="n">
        <f aca="false">IF(ISBLANK(customer_churn_dataset!H440),0,customer_churn_dataset!H440)</f>
        <v>1</v>
      </c>
      <c r="I440" s="7" t="n">
        <f aca="false">IF(ISBLANK(customer_churn_dataset!I440),ROUND(MEDIAN(customer_churn_dataset!I$2:I$1501),1),MIN(100,MAX(0,customer_churn_dataset!I440)))</f>
        <v>47.7</v>
      </c>
      <c r="J440" s="7" t="n">
        <f aca="false">IF(ISBLANK(customer_churn_dataset!J440),0,MAX(0,customer_churn_dataset!J440))</f>
        <v>15</v>
      </c>
      <c r="K440" s="7" t="n">
        <f aca="false">IF(ISBLANK(customer_churn_dataset!K440),0,MIN(10,MAX(0,customer_churn_dataset!K440)))</f>
        <v>6</v>
      </c>
      <c r="L440" s="7" t="n">
        <f aca="false">IF(ISBLANK(customer_churn_dataset!L440),0,MAX(0,customer_churn_dataset!L440))</f>
        <v>1</v>
      </c>
      <c r="M440" s="7" t="n">
        <f aca="false">IF(ISBLANK(customer_churn_dataset!M440),0,customer_churn_dataset!M440)</f>
        <v>0</v>
      </c>
      <c r="N440" s="7" t="n">
        <f aca="false">IF(ISBLANK(customer_churn_dataset!N440),0,MAX(0,customer_churn_dataset!N440))</f>
        <v>60.62</v>
      </c>
      <c r="O440" s="7" t="n">
        <f aca="false">IF(ISBLANK(customer_churn_dataset!O440),0,customer_churn_dataset!O440)</f>
        <v>0</v>
      </c>
      <c r="P440" s="7" t="str">
        <f aca="false">IF(COUNTIF(customer_churn_dataset!$A$2:$A$1501,customer_churn_dataset!A440)&gt;1,"Duplicate","Unique")</f>
        <v>Unique</v>
      </c>
    </row>
    <row r="441" customFormat="false" ht="14.15" hidden="false" customHeight="true" outlineLevel="0" collapsed="false">
      <c r="A441" s="7" t="str">
        <f aca="false">TRIM(customer_churn_dataset!A441)</f>
        <v>CUST100646</v>
      </c>
      <c r="B441" s="7" t="str">
        <f aca="false">PROPER(TRIM(customer_churn_dataset!B441))</f>
        <v>Standard</v>
      </c>
      <c r="C441" s="7" t="str">
        <f aca="false">PROPER(TRIM(customer_churn_dataset!C441))</f>
        <v>One Year</v>
      </c>
      <c r="D441" s="7" t="n">
        <f aca="false">IF(ISBLANK(customer_churn_dataset!D441),ROUND(MEDIAN(customer_churn_dataset!D$2:D$1501),2),IF(customer_churn_dataset!D441&lt;0,ABS(customer_churn_dataset!D441),customer_churn_dataset!D441))</f>
        <v>20.26</v>
      </c>
      <c r="E441" s="7" t="n">
        <f aca="false">IF(ISBLANK(customer_churn_dataset!E441),0,MAX(0,customer_churn_dataset!E441))</f>
        <v>44</v>
      </c>
      <c r="F441" s="8" t="n">
        <f aca="false">IF(ISBLANK(customer_churn_dataset!F441),"",customer_churn_dataset!F441)</f>
        <v>44426</v>
      </c>
      <c r="G441" s="7" t="str">
        <f aca="false">PROPER(TRIM(customer_churn_dataset!G441))</f>
        <v>Credit Card</v>
      </c>
      <c r="H441" s="7" t="n">
        <f aca="false">IF(ISBLANK(customer_churn_dataset!H441),0,customer_churn_dataset!H441)</f>
        <v>1</v>
      </c>
      <c r="I441" s="7" t="n">
        <f aca="false">IF(ISBLANK(customer_churn_dataset!I441),ROUND(MEDIAN(customer_churn_dataset!I$2:I$1501),1),MIN(100,MAX(0,customer_churn_dataset!I441)))</f>
        <v>56.8</v>
      </c>
      <c r="J441" s="7" t="n">
        <f aca="false">IF(ISBLANK(customer_churn_dataset!J441),0,MAX(0,customer_churn_dataset!J441))</f>
        <v>16</v>
      </c>
      <c r="K441" s="7" t="n">
        <f aca="false">IF(ISBLANK(customer_churn_dataset!K441),0,MIN(10,MAX(0,customer_churn_dataset!K441)))</f>
        <v>6</v>
      </c>
      <c r="L441" s="7" t="n">
        <f aca="false">IF(ISBLANK(customer_churn_dataset!L441),0,MAX(0,customer_churn_dataset!L441))</f>
        <v>0</v>
      </c>
      <c r="M441" s="7" t="n">
        <f aca="false">IF(ISBLANK(customer_churn_dataset!M441),0,customer_churn_dataset!M441)</f>
        <v>0</v>
      </c>
      <c r="N441" s="7" t="n">
        <f aca="false">IF(ISBLANK(customer_churn_dataset!N441),0,MAX(0,customer_churn_dataset!N441))</f>
        <v>891.44</v>
      </c>
      <c r="O441" s="7" t="n">
        <f aca="false">IF(ISBLANK(customer_churn_dataset!O441),0,customer_churn_dataset!O441)</f>
        <v>0</v>
      </c>
      <c r="P441" s="7" t="str">
        <f aca="false">IF(COUNTIF(customer_churn_dataset!$A$2:$A$1501,customer_churn_dataset!A441)&gt;1,"Duplicate","Unique")</f>
        <v>Unique</v>
      </c>
    </row>
    <row r="442" customFormat="false" ht="14.15" hidden="false" customHeight="true" outlineLevel="0" collapsed="false">
      <c r="A442" s="7" t="str">
        <f aca="false">TRIM(customer_churn_dataset!A442)</f>
        <v>CUST100311</v>
      </c>
      <c r="B442" s="7" t="str">
        <f aca="false">PROPER(TRIM(customer_churn_dataset!B442))</f>
        <v>Basic</v>
      </c>
      <c r="C442" s="7" t="str">
        <f aca="false">PROPER(TRIM(customer_churn_dataset!C442))</f>
        <v>Month-To-Month</v>
      </c>
      <c r="D442" s="7" t="n">
        <f aca="false">IF(ISBLANK(customer_churn_dataset!D442),ROUND(MEDIAN(customer_churn_dataset!D$2:D$1501),2),IF(customer_churn_dataset!D442&lt;0,ABS(customer_churn_dataset!D442),customer_churn_dataset!D442))</f>
        <v>9.38</v>
      </c>
      <c r="E442" s="7" t="n">
        <f aca="false">IF(ISBLANK(customer_churn_dataset!E442),0,MAX(0,customer_churn_dataset!E442))</f>
        <v>1</v>
      </c>
      <c r="F442" s="8" t="n">
        <f aca="false">IF(ISBLANK(customer_churn_dataset!F442),"",customer_churn_dataset!F442)</f>
        <v>44427</v>
      </c>
      <c r="G442" s="7" t="str">
        <f aca="false">PROPER(TRIM(customer_churn_dataset!G442))</f>
        <v>Credit Card</v>
      </c>
      <c r="H442" s="7" t="n">
        <f aca="false">IF(ISBLANK(customer_churn_dataset!H442),0,customer_churn_dataset!H442)</f>
        <v>1</v>
      </c>
      <c r="I442" s="7" t="n">
        <f aca="false">IF(ISBLANK(customer_churn_dataset!I442),ROUND(MEDIAN(customer_churn_dataset!I$2:I$1501),1),MIN(100,MAX(0,customer_churn_dataset!I442)))</f>
        <v>72.6</v>
      </c>
      <c r="J442" s="7" t="n">
        <f aca="false">IF(ISBLANK(customer_churn_dataset!J442),0,MAX(0,customer_churn_dataset!J442))</f>
        <v>24</v>
      </c>
      <c r="K442" s="7" t="n">
        <f aca="false">IF(ISBLANK(customer_churn_dataset!K442),0,MIN(10,MAX(0,customer_churn_dataset!K442)))</f>
        <v>6</v>
      </c>
      <c r="L442" s="7" t="n">
        <f aca="false">IF(ISBLANK(customer_churn_dataset!L442),0,MAX(0,customer_churn_dataset!L442))</f>
        <v>0</v>
      </c>
      <c r="M442" s="7" t="n">
        <f aca="false">IF(ISBLANK(customer_churn_dataset!M442),0,customer_churn_dataset!M442)</f>
        <v>0</v>
      </c>
      <c r="N442" s="7" t="n">
        <f aca="false">IF(ISBLANK(customer_churn_dataset!N442),0,MAX(0,customer_churn_dataset!N442))</f>
        <v>9.38</v>
      </c>
      <c r="O442" s="7" t="n">
        <f aca="false">IF(ISBLANK(customer_churn_dataset!O442),0,customer_churn_dataset!O442)</f>
        <v>0</v>
      </c>
      <c r="P442" s="7" t="str">
        <f aca="false">IF(COUNTIF(customer_churn_dataset!$A$2:$A$1501,customer_churn_dataset!A442)&gt;1,"Duplicate","Unique")</f>
        <v>Unique</v>
      </c>
    </row>
    <row r="443" customFormat="false" ht="14.15" hidden="false" customHeight="true" outlineLevel="0" collapsed="false">
      <c r="A443" s="7" t="str">
        <f aca="false">TRIM(customer_churn_dataset!A443)</f>
        <v>CUST100042</v>
      </c>
      <c r="B443" s="7" t="str">
        <f aca="false">PROPER(TRIM(customer_churn_dataset!B443))</f>
        <v>Basic</v>
      </c>
      <c r="C443" s="7" t="str">
        <f aca="false">PROPER(TRIM(customer_churn_dataset!C443))</f>
        <v>Month-To-Month</v>
      </c>
      <c r="D443" s="7" t="n">
        <f aca="false">IF(ISBLANK(customer_churn_dataset!D443),ROUND(MEDIAN(customer_churn_dataset!D$2:D$1501),2),IF(customer_churn_dataset!D443&lt;0,ABS(customer_churn_dataset!D443),customer_churn_dataset!D443))</f>
        <v>10.11</v>
      </c>
      <c r="E443" s="7" t="n">
        <f aca="false">IF(ISBLANK(customer_churn_dataset!E443),0,MAX(0,customer_churn_dataset!E443))</f>
        <v>29</v>
      </c>
      <c r="F443" s="8" t="n">
        <f aca="false">IF(ISBLANK(customer_churn_dataset!F443),"",customer_churn_dataset!F443)</f>
        <v>44428</v>
      </c>
      <c r="G443" s="7" t="str">
        <f aca="false">PROPER(TRIM(customer_churn_dataset!G443))</f>
        <v>Paypal</v>
      </c>
      <c r="H443" s="7" t="n">
        <f aca="false">IF(ISBLANK(customer_churn_dataset!H443),0,customer_churn_dataset!H443)</f>
        <v>0</v>
      </c>
      <c r="I443" s="7" t="n">
        <f aca="false">IF(ISBLANK(customer_churn_dataset!I443),ROUND(MEDIAN(customer_churn_dataset!I$2:I$1501),1),MIN(100,MAX(0,customer_churn_dataset!I443)))</f>
        <v>81.7</v>
      </c>
      <c r="J443" s="7" t="n">
        <f aca="false">IF(ISBLANK(customer_churn_dataset!J443),0,MAX(0,customer_churn_dataset!J443))</f>
        <v>22</v>
      </c>
      <c r="K443" s="7" t="n">
        <f aca="false">IF(ISBLANK(customer_churn_dataset!K443),0,MIN(10,MAX(0,customer_churn_dataset!K443)))</f>
        <v>8</v>
      </c>
      <c r="L443" s="7" t="n">
        <f aca="false">IF(ISBLANK(customer_churn_dataset!L443),0,MAX(0,customer_churn_dataset!L443))</f>
        <v>0</v>
      </c>
      <c r="M443" s="7" t="n">
        <f aca="false">IF(ISBLANK(customer_churn_dataset!M443),0,customer_churn_dataset!M443)</f>
        <v>0</v>
      </c>
      <c r="N443" s="7" t="n">
        <f aca="false">IF(ISBLANK(customer_churn_dataset!N443),0,MAX(0,customer_churn_dataset!N443))</f>
        <v>293.19</v>
      </c>
      <c r="O443" s="7" t="n">
        <f aca="false">IF(ISBLANK(customer_churn_dataset!O443),0,customer_churn_dataset!O443)</f>
        <v>0</v>
      </c>
      <c r="P443" s="7" t="str">
        <f aca="false">IF(COUNTIF(customer_churn_dataset!$A$2:$A$1501,customer_churn_dataset!A443)&gt;1,"Duplicate","Unique")</f>
        <v>Unique</v>
      </c>
    </row>
    <row r="444" customFormat="false" ht="14.15" hidden="false" customHeight="true" outlineLevel="0" collapsed="false">
      <c r="A444" s="7" t="str">
        <f aca="false">TRIM(customer_churn_dataset!A444)</f>
        <v>CUST100967</v>
      </c>
      <c r="B444" s="7" t="str">
        <f aca="false">PROPER(TRIM(customer_churn_dataset!B444))</f>
        <v>Basic</v>
      </c>
      <c r="C444" s="7" t="str">
        <f aca="false">PROPER(TRIM(customer_churn_dataset!C444))</f>
        <v>One Year</v>
      </c>
      <c r="D444" s="7" t="n">
        <f aca="false">IF(ISBLANK(customer_churn_dataset!D444),ROUND(MEDIAN(customer_churn_dataset!D$2:D$1501),2),IF(customer_churn_dataset!D444&lt;0,ABS(customer_churn_dataset!D444),customer_churn_dataset!D444))</f>
        <v>11.1</v>
      </c>
      <c r="E444" s="7" t="n">
        <f aca="false">IF(ISBLANK(customer_churn_dataset!E444),0,MAX(0,customer_churn_dataset!E444))</f>
        <v>12</v>
      </c>
      <c r="F444" s="8" t="n">
        <f aca="false">IF(ISBLANK(customer_churn_dataset!F444),"",customer_churn_dataset!F444)</f>
        <v>44428</v>
      </c>
      <c r="G444" s="7" t="str">
        <f aca="false">PROPER(TRIM(customer_churn_dataset!G444))</f>
        <v>Paypal</v>
      </c>
      <c r="H444" s="7" t="n">
        <f aca="false">IF(ISBLANK(customer_churn_dataset!H444),0,customer_churn_dataset!H444)</f>
        <v>1</v>
      </c>
      <c r="I444" s="7" t="n">
        <f aca="false">IF(ISBLANK(customer_churn_dataset!I444),ROUND(MEDIAN(customer_churn_dataset!I$2:I$1501),1),MIN(100,MAX(0,customer_churn_dataset!I444)))</f>
        <v>52.7</v>
      </c>
      <c r="J444" s="7" t="n">
        <f aca="false">IF(ISBLANK(customer_churn_dataset!J444),0,MAX(0,customer_churn_dataset!J444))</f>
        <v>13</v>
      </c>
      <c r="K444" s="7" t="n">
        <f aca="false">IF(ISBLANK(customer_churn_dataset!K444),0,MIN(10,MAX(0,customer_churn_dataset!K444)))</f>
        <v>5</v>
      </c>
      <c r="L444" s="7" t="n">
        <f aca="false">IF(ISBLANK(customer_churn_dataset!L444),0,MAX(0,customer_churn_dataset!L444))</f>
        <v>1</v>
      </c>
      <c r="M444" s="7" t="n">
        <f aca="false">IF(ISBLANK(customer_churn_dataset!M444),0,customer_churn_dataset!M444)</f>
        <v>0</v>
      </c>
      <c r="N444" s="7" t="n">
        <f aca="false">IF(ISBLANK(customer_churn_dataset!N444),0,MAX(0,customer_churn_dataset!N444))</f>
        <v>133.2</v>
      </c>
      <c r="O444" s="7" t="n">
        <f aca="false">IF(ISBLANK(customer_churn_dataset!O444),0,customer_churn_dataset!O444)</f>
        <v>0</v>
      </c>
      <c r="P444" s="7" t="str">
        <f aca="false">IF(COUNTIF(customer_churn_dataset!$A$2:$A$1501,customer_churn_dataset!A444)&gt;1,"Duplicate","Unique")</f>
        <v>Unique</v>
      </c>
    </row>
    <row r="445" customFormat="false" ht="14.15" hidden="false" customHeight="true" outlineLevel="0" collapsed="false">
      <c r="A445" s="7" t="str">
        <f aca="false">TRIM(customer_churn_dataset!A445)</f>
        <v>CUST100062</v>
      </c>
      <c r="B445" s="7" t="str">
        <f aca="false">PROPER(TRIM(customer_churn_dataset!B445))</f>
        <v>Premium</v>
      </c>
      <c r="C445" s="7" t="str">
        <f aca="false">PROPER(TRIM(customer_churn_dataset!C445))</f>
        <v>Two Year</v>
      </c>
      <c r="D445" s="7" t="n">
        <f aca="false">IF(ISBLANK(customer_churn_dataset!D445),ROUND(MEDIAN(customer_churn_dataset!D$2:D$1501),2),IF(customer_churn_dataset!D445&lt;0,ABS(customer_churn_dataset!D445),customer_churn_dataset!D445))</f>
        <v>40.62</v>
      </c>
      <c r="E445" s="7" t="n">
        <f aca="false">IF(ISBLANK(customer_churn_dataset!E445),0,MAX(0,customer_churn_dataset!E445))</f>
        <v>29</v>
      </c>
      <c r="F445" s="8" t="n">
        <f aca="false">IF(ISBLANK(customer_churn_dataset!F445),"",customer_churn_dataset!F445)</f>
        <v>44429</v>
      </c>
      <c r="G445" s="7" t="str">
        <f aca="false">PROPER(TRIM(customer_churn_dataset!G445))</f>
        <v>Credit Card</v>
      </c>
      <c r="H445" s="7" t="n">
        <f aca="false">IF(ISBLANK(customer_churn_dataset!H445),0,customer_churn_dataset!H445)</f>
        <v>1</v>
      </c>
      <c r="I445" s="7" t="n">
        <f aca="false">IF(ISBLANK(customer_churn_dataset!I445),ROUND(MEDIAN(customer_churn_dataset!I$2:I$1501),1),MIN(100,MAX(0,customer_churn_dataset!I445)))</f>
        <v>51.8</v>
      </c>
      <c r="J445" s="7" t="n">
        <f aca="false">IF(ISBLANK(customer_churn_dataset!J445),0,MAX(0,customer_churn_dataset!J445))</f>
        <v>11</v>
      </c>
      <c r="K445" s="7" t="n">
        <f aca="false">IF(ISBLANK(customer_churn_dataset!K445),0,MIN(10,MAX(0,customer_churn_dataset!K445)))</f>
        <v>6</v>
      </c>
      <c r="L445" s="7" t="n">
        <f aca="false">IF(ISBLANK(customer_churn_dataset!L445),0,MAX(0,customer_churn_dataset!L445))</f>
        <v>2</v>
      </c>
      <c r="M445" s="7" t="n">
        <f aca="false">IF(ISBLANK(customer_churn_dataset!M445),0,customer_churn_dataset!M445)</f>
        <v>0</v>
      </c>
      <c r="N445" s="7" t="n">
        <f aca="false">IF(ISBLANK(customer_churn_dataset!N445),0,MAX(0,customer_churn_dataset!N445))</f>
        <v>1177.98</v>
      </c>
      <c r="O445" s="7" t="n">
        <f aca="false">IF(ISBLANK(customer_churn_dataset!O445),0,customer_churn_dataset!O445)</f>
        <v>0</v>
      </c>
      <c r="P445" s="7" t="str">
        <f aca="false">IF(COUNTIF(customer_churn_dataset!$A$2:$A$1501,customer_churn_dataset!A445)&gt;1,"Duplicate","Unique")</f>
        <v>Unique</v>
      </c>
    </row>
    <row r="446" customFormat="false" ht="14.15" hidden="false" customHeight="true" outlineLevel="0" collapsed="false">
      <c r="A446" s="7" t="str">
        <f aca="false">TRIM(customer_churn_dataset!A446)</f>
        <v>CUST100608</v>
      </c>
      <c r="B446" s="7" t="str">
        <f aca="false">PROPER(TRIM(customer_churn_dataset!B446))</f>
        <v>Standard</v>
      </c>
      <c r="C446" s="7" t="str">
        <f aca="false">PROPER(TRIM(customer_churn_dataset!C446))</f>
        <v>Month-To-Month</v>
      </c>
      <c r="D446" s="7" t="n">
        <f aca="false">IF(ISBLANK(customer_churn_dataset!D446),ROUND(MEDIAN(customer_churn_dataset!D$2:D$1501),2),IF(customer_churn_dataset!D446&lt;0,ABS(customer_churn_dataset!D446),customer_churn_dataset!D446))</f>
        <v>20.11</v>
      </c>
      <c r="E446" s="7" t="n">
        <f aca="false">IF(ISBLANK(customer_churn_dataset!E446),0,MAX(0,customer_churn_dataset!E446))</f>
        <v>0</v>
      </c>
      <c r="F446" s="8" t="n">
        <f aca="false">IF(ISBLANK(customer_churn_dataset!F446),"",customer_churn_dataset!F446)</f>
        <v>44429</v>
      </c>
      <c r="G446" s="7" t="str">
        <f aca="false">PROPER(TRIM(customer_churn_dataset!G446))</f>
        <v>Paypal</v>
      </c>
      <c r="H446" s="7" t="n">
        <f aca="false">IF(ISBLANK(customer_churn_dataset!H446),0,customer_churn_dataset!H446)</f>
        <v>0</v>
      </c>
      <c r="I446" s="7" t="n">
        <f aca="false">IF(ISBLANK(customer_churn_dataset!I446),ROUND(MEDIAN(customer_churn_dataset!I$2:I$1501),1),MIN(100,MAX(0,customer_churn_dataset!I446)))</f>
        <v>47.5</v>
      </c>
      <c r="J446" s="7" t="n">
        <f aca="false">IF(ISBLANK(customer_churn_dataset!J446),0,MAX(0,customer_churn_dataset!J446))</f>
        <v>12</v>
      </c>
      <c r="K446" s="7" t="n">
        <f aca="false">IF(ISBLANK(customer_churn_dataset!K446),0,MIN(10,MAX(0,customer_churn_dataset!K446)))</f>
        <v>2</v>
      </c>
      <c r="L446" s="7" t="n">
        <f aca="false">IF(ISBLANK(customer_churn_dataset!L446),0,MAX(0,customer_churn_dataset!L446))</f>
        <v>0</v>
      </c>
      <c r="M446" s="7" t="n">
        <f aca="false">IF(ISBLANK(customer_churn_dataset!M446),0,customer_churn_dataset!M446)</f>
        <v>0</v>
      </c>
      <c r="N446" s="7" t="n">
        <f aca="false">IF(ISBLANK(customer_churn_dataset!N446),0,MAX(0,customer_churn_dataset!N446))</f>
        <v>0</v>
      </c>
      <c r="O446" s="7" t="n">
        <f aca="false">IF(ISBLANK(customer_churn_dataset!O446),0,customer_churn_dataset!O446)</f>
        <v>0</v>
      </c>
      <c r="P446" s="7" t="str">
        <f aca="false">IF(COUNTIF(customer_churn_dataset!$A$2:$A$1501,customer_churn_dataset!A446)&gt;1,"Duplicate","Unique")</f>
        <v>Unique</v>
      </c>
    </row>
    <row r="447" customFormat="false" ht="14.15" hidden="false" customHeight="true" outlineLevel="0" collapsed="false">
      <c r="A447" s="7" t="str">
        <f aca="false">TRIM(customer_churn_dataset!A447)</f>
        <v>CUST100014</v>
      </c>
      <c r="B447" s="7" t="str">
        <f aca="false">PROPER(TRIM(customer_churn_dataset!B447))</f>
        <v>Basic</v>
      </c>
      <c r="C447" s="7" t="str">
        <f aca="false">PROPER(TRIM(customer_churn_dataset!C447))</f>
        <v>Month-To-Month</v>
      </c>
      <c r="D447" s="7" t="n">
        <f aca="false">IF(ISBLANK(customer_churn_dataset!D447),ROUND(MEDIAN(customer_churn_dataset!D$2:D$1501),2),IF(customer_churn_dataset!D447&lt;0,ABS(customer_churn_dataset!D447),customer_churn_dataset!D447))</f>
        <v>9.24</v>
      </c>
      <c r="E447" s="7" t="n">
        <f aca="false">IF(ISBLANK(customer_churn_dataset!E447),0,MAX(0,customer_churn_dataset!E447))</f>
        <v>5</v>
      </c>
      <c r="F447" s="8" t="n">
        <f aca="false">IF(ISBLANK(customer_churn_dataset!F447),"",customer_churn_dataset!F447)</f>
        <v>44431</v>
      </c>
      <c r="G447" s="7" t="str">
        <f aca="false">PROPER(TRIM(customer_churn_dataset!G447))</f>
        <v>Paypal</v>
      </c>
      <c r="H447" s="7" t="n">
        <f aca="false">IF(ISBLANK(customer_churn_dataset!H447),0,customer_churn_dataset!H447)</f>
        <v>1</v>
      </c>
      <c r="I447" s="7" t="n">
        <f aca="false">IF(ISBLANK(customer_churn_dataset!I447),ROUND(MEDIAN(customer_churn_dataset!I$2:I$1501),1),MIN(100,MAX(0,customer_churn_dataset!I447)))</f>
        <v>37.1</v>
      </c>
      <c r="J447" s="7" t="n">
        <f aca="false">IF(ISBLANK(customer_churn_dataset!J447),0,MAX(0,customer_churn_dataset!J447))</f>
        <v>16</v>
      </c>
      <c r="K447" s="7" t="n">
        <f aca="false">IF(ISBLANK(customer_churn_dataset!K447),0,MIN(10,MAX(0,customer_churn_dataset!K447)))</f>
        <v>3</v>
      </c>
      <c r="L447" s="7" t="n">
        <f aca="false">IF(ISBLANK(customer_churn_dataset!L447),0,MAX(0,customer_churn_dataset!L447))</f>
        <v>1</v>
      </c>
      <c r="M447" s="7" t="n">
        <f aca="false">IF(ISBLANK(customer_churn_dataset!M447),0,customer_churn_dataset!M447)</f>
        <v>0</v>
      </c>
      <c r="N447" s="7" t="n">
        <f aca="false">IF(ISBLANK(customer_churn_dataset!N447),0,MAX(0,customer_churn_dataset!N447))</f>
        <v>46.2</v>
      </c>
      <c r="O447" s="7" t="n">
        <f aca="false">IF(ISBLANK(customer_churn_dataset!O447),0,customer_churn_dataset!O447)</f>
        <v>0</v>
      </c>
      <c r="P447" s="7" t="str">
        <f aca="false">IF(COUNTIF(customer_churn_dataset!$A$2:$A$1501,customer_churn_dataset!A447)&gt;1,"Duplicate","Unique")</f>
        <v>Unique</v>
      </c>
    </row>
    <row r="448" customFormat="false" ht="14.15" hidden="false" customHeight="true" outlineLevel="0" collapsed="false">
      <c r="A448" s="7" t="str">
        <f aca="false">TRIM(customer_churn_dataset!A448)</f>
        <v>CUST101070</v>
      </c>
      <c r="B448" s="7" t="str">
        <f aca="false">PROPER(TRIM(customer_churn_dataset!B448))</f>
        <v>Basic</v>
      </c>
      <c r="C448" s="7" t="str">
        <f aca="false">PROPER(TRIM(customer_churn_dataset!C448))</f>
        <v>Month-To-Month</v>
      </c>
      <c r="D448" s="7" t="n">
        <f aca="false">IF(ISBLANK(customer_churn_dataset!D448),ROUND(MEDIAN(customer_churn_dataset!D$2:D$1501),2),IF(customer_churn_dataset!D448&lt;0,ABS(customer_churn_dataset!D448),customer_churn_dataset!D448))</f>
        <v>9.31</v>
      </c>
      <c r="E448" s="7" t="n">
        <f aca="false">IF(ISBLANK(customer_churn_dataset!E448),0,MAX(0,customer_churn_dataset!E448))</f>
        <v>25</v>
      </c>
      <c r="F448" s="8" t="n">
        <f aca="false">IF(ISBLANK(customer_churn_dataset!F448),"",customer_churn_dataset!F448)</f>
        <v>44431</v>
      </c>
      <c r="G448" s="7" t="str">
        <f aca="false">PROPER(TRIM(customer_churn_dataset!G448))</f>
        <v>Credit Card</v>
      </c>
      <c r="H448" s="7" t="n">
        <f aca="false">IF(ISBLANK(customer_churn_dataset!H448),0,customer_churn_dataset!H448)</f>
        <v>1</v>
      </c>
      <c r="I448" s="7" t="n">
        <f aca="false">IF(ISBLANK(customer_churn_dataset!I448),ROUND(MEDIAN(customer_churn_dataset!I$2:I$1501),1),MIN(100,MAX(0,customer_churn_dataset!I448)))</f>
        <v>20.6</v>
      </c>
      <c r="J448" s="7" t="n">
        <f aca="false">IF(ISBLANK(customer_churn_dataset!J448),0,MAX(0,customer_churn_dataset!J448))</f>
        <v>5</v>
      </c>
      <c r="K448" s="7" t="n">
        <f aca="false">IF(ISBLANK(customer_churn_dataset!K448),0,MIN(10,MAX(0,customer_churn_dataset!K448)))</f>
        <v>2</v>
      </c>
      <c r="L448" s="7" t="n">
        <f aca="false">IF(ISBLANK(customer_churn_dataset!L448),0,MAX(0,customer_churn_dataset!L448))</f>
        <v>2</v>
      </c>
      <c r="M448" s="7" t="n">
        <f aca="false">IF(ISBLANK(customer_churn_dataset!M448),0,customer_churn_dataset!M448)</f>
        <v>0</v>
      </c>
      <c r="N448" s="7" t="n">
        <f aca="false">IF(ISBLANK(customer_churn_dataset!N448),0,MAX(0,customer_churn_dataset!N448))</f>
        <v>232.75</v>
      </c>
      <c r="O448" s="7" t="n">
        <f aca="false">IF(ISBLANK(customer_churn_dataset!O448),0,customer_churn_dataset!O448)</f>
        <v>1</v>
      </c>
      <c r="P448" s="7" t="str">
        <f aca="false">IF(COUNTIF(customer_churn_dataset!$A$2:$A$1501,customer_churn_dataset!A448)&gt;1,"Duplicate","Unique")</f>
        <v>Unique</v>
      </c>
    </row>
    <row r="449" customFormat="false" ht="14.15" hidden="false" customHeight="true" outlineLevel="0" collapsed="false">
      <c r="A449" s="7" t="str">
        <f aca="false">TRIM(customer_churn_dataset!A449)</f>
        <v>CUST101020</v>
      </c>
      <c r="B449" s="7" t="str">
        <f aca="false">PROPER(TRIM(customer_churn_dataset!B449))</f>
        <v>Standard</v>
      </c>
      <c r="C449" s="7" t="str">
        <f aca="false">PROPER(TRIM(customer_churn_dataset!C449))</f>
        <v>Two Year</v>
      </c>
      <c r="D449" s="7" t="n">
        <f aca="false">IF(ISBLANK(customer_churn_dataset!D449),ROUND(MEDIAN(customer_churn_dataset!D$2:D$1501),2),IF(customer_churn_dataset!D449&lt;0,ABS(customer_churn_dataset!D449),customer_churn_dataset!D449))</f>
        <v>19.8</v>
      </c>
      <c r="E449" s="7" t="n">
        <f aca="false">IF(ISBLANK(customer_churn_dataset!E449),0,MAX(0,customer_churn_dataset!E449))</f>
        <v>18</v>
      </c>
      <c r="F449" s="8" t="n">
        <f aca="false">IF(ISBLANK(customer_churn_dataset!F449),"",customer_churn_dataset!F449)</f>
        <v>44434</v>
      </c>
      <c r="G449" s="7" t="str">
        <f aca="false">PROPER(TRIM(customer_churn_dataset!G449))</f>
        <v>Credit Card</v>
      </c>
      <c r="H449" s="7" t="n">
        <f aca="false">IF(ISBLANK(customer_churn_dataset!H449),0,customer_churn_dataset!H449)</f>
        <v>1</v>
      </c>
      <c r="I449" s="7" t="n">
        <f aca="false">IF(ISBLANK(customer_churn_dataset!I449),ROUND(MEDIAN(customer_churn_dataset!I$2:I$1501),1),MIN(100,MAX(0,customer_churn_dataset!I449)))</f>
        <v>77.1</v>
      </c>
      <c r="J449" s="7" t="n">
        <f aca="false">IF(ISBLANK(customer_churn_dataset!J449),0,MAX(0,customer_churn_dataset!J449))</f>
        <v>22</v>
      </c>
      <c r="K449" s="7" t="n">
        <f aca="false">IF(ISBLANK(customer_churn_dataset!K449),0,MIN(10,MAX(0,customer_churn_dataset!K449)))</f>
        <v>10</v>
      </c>
      <c r="L449" s="7" t="n">
        <f aca="false">IF(ISBLANK(customer_churn_dataset!L449),0,MAX(0,customer_churn_dataset!L449))</f>
        <v>2</v>
      </c>
      <c r="M449" s="7" t="n">
        <f aca="false">IF(ISBLANK(customer_churn_dataset!M449),0,customer_churn_dataset!M449)</f>
        <v>0</v>
      </c>
      <c r="N449" s="7" t="n">
        <f aca="false">IF(ISBLANK(customer_churn_dataset!N449),0,MAX(0,customer_churn_dataset!N449))</f>
        <v>356.4</v>
      </c>
      <c r="O449" s="7" t="n">
        <f aca="false">IF(ISBLANK(customer_churn_dataset!O449),0,customer_churn_dataset!O449)</f>
        <v>0</v>
      </c>
      <c r="P449" s="7" t="str">
        <f aca="false">IF(COUNTIF(customer_churn_dataset!$A$2:$A$1501,customer_churn_dataset!A449)&gt;1,"Duplicate","Unique")</f>
        <v>Unique</v>
      </c>
    </row>
    <row r="450" customFormat="false" ht="14.15" hidden="false" customHeight="true" outlineLevel="0" collapsed="false">
      <c r="A450" s="7" t="str">
        <f aca="false">TRIM(customer_churn_dataset!A450)</f>
        <v>CUST100783</v>
      </c>
      <c r="B450" s="7" t="str">
        <f aca="false">PROPER(TRIM(customer_churn_dataset!B450))</f>
        <v>Basic</v>
      </c>
      <c r="C450" s="7" t="str">
        <f aca="false">PROPER(TRIM(customer_churn_dataset!C450))</f>
        <v>One Year</v>
      </c>
      <c r="D450" s="7" t="n">
        <f aca="false">IF(ISBLANK(customer_churn_dataset!D450),ROUND(MEDIAN(customer_churn_dataset!D$2:D$1501),2),IF(customer_churn_dataset!D450&lt;0,ABS(customer_churn_dataset!D450),customer_churn_dataset!D450))</f>
        <v>9.65</v>
      </c>
      <c r="E450" s="7" t="n">
        <f aca="false">IF(ISBLANK(customer_churn_dataset!E450),0,MAX(0,customer_churn_dataset!E450))</f>
        <v>19</v>
      </c>
      <c r="F450" s="8" t="n">
        <f aca="false">IF(ISBLANK(customer_churn_dataset!F450),"",customer_churn_dataset!F450)</f>
        <v>44435</v>
      </c>
      <c r="G450" s="7" t="str">
        <f aca="false">PROPER(TRIM(customer_churn_dataset!G450))</f>
        <v>Paypal</v>
      </c>
      <c r="H450" s="7" t="n">
        <f aca="false">IF(ISBLANK(customer_churn_dataset!H450),0,customer_churn_dataset!H450)</f>
        <v>1</v>
      </c>
      <c r="I450" s="7" t="n">
        <f aca="false">IF(ISBLANK(customer_churn_dataset!I450),ROUND(MEDIAN(customer_churn_dataset!I$2:I$1501),1),MIN(100,MAX(0,customer_churn_dataset!I450)))</f>
        <v>41.6</v>
      </c>
      <c r="J450" s="7" t="n">
        <f aca="false">IF(ISBLANK(customer_churn_dataset!J450),0,MAX(0,customer_churn_dataset!J450))</f>
        <v>7</v>
      </c>
      <c r="K450" s="7" t="n">
        <f aca="false">IF(ISBLANK(customer_churn_dataset!K450),0,MIN(10,MAX(0,customer_churn_dataset!K450)))</f>
        <v>5</v>
      </c>
      <c r="L450" s="7" t="n">
        <f aca="false">IF(ISBLANK(customer_churn_dataset!L450),0,MAX(0,customer_churn_dataset!L450))</f>
        <v>1</v>
      </c>
      <c r="M450" s="7" t="n">
        <f aca="false">IF(ISBLANK(customer_churn_dataset!M450),0,customer_churn_dataset!M450)</f>
        <v>0</v>
      </c>
      <c r="N450" s="7" t="n">
        <f aca="false">IF(ISBLANK(customer_churn_dataset!N450),0,MAX(0,customer_churn_dataset!N450))</f>
        <v>183.35</v>
      </c>
      <c r="O450" s="7" t="n">
        <f aca="false">IF(ISBLANK(customer_churn_dataset!O450),0,customer_churn_dataset!O450)</f>
        <v>0</v>
      </c>
      <c r="P450" s="7" t="str">
        <f aca="false">IF(COUNTIF(customer_churn_dataset!$A$2:$A$1501,customer_churn_dataset!A450)&gt;1,"Duplicate","Unique")</f>
        <v>Unique</v>
      </c>
    </row>
    <row r="451" customFormat="false" ht="14.15" hidden="false" customHeight="true" outlineLevel="0" collapsed="false">
      <c r="A451" s="7" t="str">
        <f aca="false">TRIM(customer_churn_dataset!A451)</f>
        <v>CUST100419</v>
      </c>
      <c r="B451" s="7" t="str">
        <f aca="false">PROPER(TRIM(customer_churn_dataset!B451))</f>
        <v>Standard</v>
      </c>
      <c r="C451" s="7" t="str">
        <f aca="false">PROPER(TRIM(customer_churn_dataset!C451))</f>
        <v>Month-To-Month</v>
      </c>
      <c r="D451" s="7" t="n">
        <f aca="false">IF(ISBLANK(customer_churn_dataset!D451),ROUND(MEDIAN(customer_churn_dataset!D$2:D$1501),2),IF(customer_churn_dataset!D451&lt;0,ABS(customer_churn_dataset!D451),customer_churn_dataset!D451))</f>
        <v>19.18</v>
      </c>
      <c r="E451" s="7" t="n">
        <f aca="false">IF(ISBLANK(customer_churn_dataset!E451),0,MAX(0,customer_churn_dataset!E451))</f>
        <v>27</v>
      </c>
      <c r="F451" s="8" t="n">
        <f aca="false">IF(ISBLANK(customer_churn_dataset!F451),"",customer_churn_dataset!F451)</f>
        <v>44435</v>
      </c>
      <c r="G451" s="7" t="str">
        <f aca="false">PROPER(TRIM(customer_churn_dataset!G451))</f>
        <v>Bank Transfer</v>
      </c>
      <c r="H451" s="7" t="n">
        <f aca="false">IF(ISBLANK(customer_churn_dataset!H451),0,customer_churn_dataset!H451)</f>
        <v>1</v>
      </c>
      <c r="I451" s="7" t="n">
        <f aca="false">IF(ISBLANK(customer_churn_dataset!I451),ROUND(MEDIAN(customer_churn_dataset!I$2:I$1501),1),MIN(100,MAX(0,customer_churn_dataset!I451)))</f>
        <v>50.5</v>
      </c>
      <c r="J451" s="7" t="n">
        <f aca="false">IF(ISBLANK(customer_churn_dataset!J451),0,MAX(0,customer_churn_dataset!J451))</f>
        <v>15</v>
      </c>
      <c r="K451" s="7" t="n">
        <f aca="false">IF(ISBLANK(customer_churn_dataset!K451),0,MIN(10,MAX(0,customer_churn_dataset!K451)))</f>
        <v>4</v>
      </c>
      <c r="L451" s="7" t="n">
        <f aca="false">IF(ISBLANK(customer_churn_dataset!L451),0,MAX(0,customer_churn_dataset!L451))</f>
        <v>0</v>
      </c>
      <c r="M451" s="7" t="n">
        <f aca="false">IF(ISBLANK(customer_churn_dataset!M451),0,customer_churn_dataset!M451)</f>
        <v>0</v>
      </c>
      <c r="N451" s="7" t="n">
        <f aca="false">IF(ISBLANK(customer_churn_dataset!N451),0,MAX(0,customer_churn_dataset!N451))</f>
        <v>517.86</v>
      </c>
      <c r="O451" s="7" t="n">
        <f aca="false">IF(ISBLANK(customer_churn_dataset!O451),0,customer_churn_dataset!O451)</f>
        <v>0</v>
      </c>
      <c r="P451" s="7" t="str">
        <f aca="false">IF(COUNTIF(customer_churn_dataset!$A$2:$A$1501,customer_churn_dataset!A451)&gt;1,"Duplicate","Unique")</f>
        <v>Unique</v>
      </c>
    </row>
    <row r="452" customFormat="false" ht="14.15" hidden="false" customHeight="true" outlineLevel="0" collapsed="false">
      <c r="A452" s="7" t="str">
        <f aca="false">TRIM(customer_churn_dataset!A452)</f>
        <v>CUST101150</v>
      </c>
      <c r="B452" s="7" t="str">
        <f aca="false">PROPER(TRIM(customer_churn_dataset!B452))</f>
        <v>Standard</v>
      </c>
      <c r="C452" s="7" t="str">
        <f aca="false">PROPER(TRIM(customer_churn_dataset!C452))</f>
        <v>Month-To-Month</v>
      </c>
      <c r="D452" s="7" t="n">
        <f aca="false">IF(ISBLANK(customer_churn_dataset!D452),ROUND(MEDIAN(customer_churn_dataset!D$2:D$1501),2),IF(customer_churn_dataset!D452&lt;0,ABS(customer_churn_dataset!D452),customer_churn_dataset!D452))</f>
        <v>19.67</v>
      </c>
      <c r="E452" s="7" t="n">
        <f aca="false">IF(ISBLANK(customer_churn_dataset!E452),0,MAX(0,customer_churn_dataset!E452))</f>
        <v>3</v>
      </c>
      <c r="F452" s="8" t="n">
        <f aca="false">IF(ISBLANK(customer_churn_dataset!F452),"",customer_churn_dataset!F452)</f>
        <v>44436</v>
      </c>
      <c r="G452" s="7" t="str">
        <f aca="false">PROPER(TRIM(customer_churn_dataset!G452))</f>
        <v>Credit Card</v>
      </c>
      <c r="H452" s="7" t="n">
        <f aca="false">IF(ISBLANK(customer_churn_dataset!H452),0,customer_churn_dataset!H452)</f>
        <v>1</v>
      </c>
      <c r="I452" s="7" t="n">
        <f aca="false">IF(ISBLANK(customer_churn_dataset!I452),ROUND(MEDIAN(customer_churn_dataset!I$2:I$1501),1),MIN(100,MAX(0,customer_churn_dataset!I452)))</f>
        <v>36.7</v>
      </c>
      <c r="J452" s="7" t="n">
        <f aca="false">IF(ISBLANK(customer_churn_dataset!J452),0,MAX(0,customer_churn_dataset!J452))</f>
        <v>18</v>
      </c>
      <c r="K452" s="7" t="n">
        <f aca="false">IF(ISBLANK(customer_churn_dataset!K452),0,MIN(10,MAX(0,customer_churn_dataset!K452)))</f>
        <v>4</v>
      </c>
      <c r="L452" s="7" t="n">
        <f aca="false">IF(ISBLANK(customer_churn_dataset!L452),0,MAX(0,customer_churn_dataset!L452))</f>
        <v>2</v>
      </c>
      <c r="M452" s="7" t="n">
        <f aca="false">IF(ISBLANK(customer_churn_dataset!M452),0,customer_churn_dataset!M452)</f>
        <v>1</v>
      </c>
      <c r="N452" s="7" t="n">
        <f aca="false">IF(ISBLANK(customer_churn_dataset!N452),0,MAX(0,customer_churn_dataset!N452))</f>
        <v>59.01</v>
      </c>
      <c r="O452" s="7" t="n">
        <f aca="false">IF(ISBLANK(customer_churn_dataset!O452),0,customer_churn_dataset!O452)</f>
        <v>1</v>
      </c>
      <c r="P452" s="7" t="str">
        <f aca="false">IF(COUNTIF(customer_churn_dataset!$A$2:$A$1501,customer_churn_dataset!A452)&gt;1,"Duplicate","Unique")</f>
        <v>Unique</v>
      </c>
    </row>
    <row r="453" customFormat="false" ht="14.15" hidden="false" customHeight="true" outlineLevel="0" collapsed="false">
      <c r="A453" s="7" t="str">
        <f aca="false">TRIM(customer_churn_dataset!A453)</f>
        <v>CUST100831</v>
      </c>
      <c r="B453" s="7" t="str">
        <f aca="false">PROPER(TRIM(customer_churn_dataset!B453))</f>
        <v>Standard</v>
      </c>
      <c r="C453" s="7" t="str">
        <f aca="false">PROPER(TRIM(customer_churn_dataset!C453))</f>
        <v>Month-To-Month</v>
      </c>
      <c r="D453" s="7" t="n">
        <f aca="false">IF(ISBLANK(customer_churn_dataset!D453),ROUND(MEDIAN(customer_churn_dataset!D$2:D$1501),2),IF(customer_churn_dataset!D453&lt;0,ABS(customer_churn_dataset!D453),customer_churn_dataset!D453))</f>
        <v>20.74</v>
      </c>
      <c r="E453" s="7" t="n">
        <f aca="false">IF(ISBLANK(customer_churn_dataset!E453),0,MAX(0,customer_churn_dataset!E453))</f>
        <v>11</v>
      </c>
      <c r="F453" s="8" t="n">
        <f aca="false">IF(ISBLANK(customer_churn_dataset!F453),"",customer_churn_dataset!F453)</f>
        <v>44436</v>
      </c>
      <c r="G453" s="7" t="str">
        <f aca="false">PROPER(TRIM(customer_churn_dataset!G453))</f>
        <v>Bank Transfer</v>
      </c>
      <c r="H453" s="7" t="n">
        <f aca="false">IF(ISBLANK(customer_churn_dataset!H453),0,customer_churn_dataset!H453)</f>
        <v>1</v>
      </c>
      <c r="I453" s="7" t="n">
        <f aca="false">IF(ISBLANK(customer_churn_dataset!I453),ROUND(MEDIAN(customer_churn_dataset!I$2:I$1501),1),MIN(100,MAX(0,customer_churn_dataset!I453)))</f>
        <v>44.4</v>
      </c>
      <c r="J453" s="7" t="n">
        <f aca="false">IF(ISBLANK(customer_churn_dataset!J453),0,MAX(0,customer_churn_dataset!J453))</f>
        <v>8</v>
      </c>
      <c r="K453" s="7" t="n">
        <f aca="false">IF(ISBLANK(customer_churn_dataset!K453),0,MIN(10,MAX(0,customer_churn_dataset!K453)))</f>
        <v>6</v>
      </c>
      <c r="L453" s="7" t="n">
        <f aca="false">IF(ISBLANK(customer_churn_dataset!L453),0,MAX(0,customer_churn_dataset!L453))</f>
        <v>0</v>
      </c>
      <c r="M453" s="7" t="n">
        <f aca="false">IF(ISBLANK(customer_churn_dataset!M453),0,customer_churn_dataset!M453)</f>
        <v>0</v>
      </c>
      <c r="N453" s="7" t="n">
        <f aca="false">IF(ISBLANK(customer_churn_dataset!N453),0,MAX(0,customer_churn_dataset!N453))</f>
        <v>228.14</v>
      </c>
      <c r="O453" s="7" t="n">
        <f aca="false">IF(ISBLANK(customer_churn_dataset!O453),0,customer_churn_dataset!O453)</f>
        <v>0</v>
      </c>
      <c r="P453" s="7" t="str">
        <f aca="false">IF(COUNTIF(customer_churn_dataset!$A$2:$A$1501,customer_churn_dataset!A453)&gt;1,"Duplicate","Unique")</f>
        <v>Unique</v>
      </c>
    </row>
    <row r="454" customFormat="false" ht="14.15" hidden="false" customHeight="true" outlineLevel="0" collapsed="false">
      <c r="A454" s="7" t="str">
        <f aca="false">TRIM(customer_churn_dataset!A454)</f>
        <v>CUST100317</v>
      </c>
      <c r="B454" s="7" t="str">
        <f aca="false">PROPER(TRIM(customer_churn_dataset!B454))</f>
        <v>Basic</v>
      </c>
      <c r="C454" s="7" t="str">
        <f aca="false">PROPER(TRIM(customer_churn_dataset!C454))</f>
        <v>Month-To-Month</v>
      </c>
      <c r="D454" s="7" t="n">
        <f aca="false">IF(ISBLANK(customer_churn_dataset!D454),ROUND(MEDIAN(customer_churn_dataset!D$2:D$1501),2),IF(customer_churn_dataset!D454&lt;0,ABS(customer_churn_dataset!D454),customer_churn_dataset!D454))</f>
        <v>10.41</v>
      </c>
      <c r="E454" s="7" t="n">
        <f aca="false">IF(ISBLANK(customer_churn_dataset!E454),0,MAX(0,customer_churn_dataset!E454))</f>
        <v>60</v>
      </c>
      <c r="F454" s="8" t="n">
        <f aca="false">IF(ISBLANK(customer_churn_dataset!F454),"",customer_churn_dataset!F454)</f>
        <v>44437</v>
      </c>
      <c r="G454" s="7" t="str">
        <f aca="false">PROPER(TRIM(customer_churn_dataset!G454))</f>
        <v>Credit Card</v>
      </c>
      <c r="H454" s="7" t="n">
        <f aca="false">IF(ISBLANK(customer_churn_dataset!H454),0,customer_churn_dataset!H454)</f>
        <v>1</v>
      </c>
      <c r="I454" s="7" t="n">
        <f aca="false">IF(ISBLANK(customer_churn_dataset!I454),ROUND(MEDIAN(customer_churn_dataset!I$2:I$1501),1),MIN(100,MAX(0,customer_churn_dataset!I454)))</f>
        <v>57.9</v>
      </c>
      <c r="J454" s="7" t="n">
        <f aca="false">IF(ISBLANK(customer_churn_dataset!J454),0,MAX(0,customer_churn_dataset!J454))</f>
        <v>14</v>
      </c>
      <c r="K454" s="7" t="n">
        <f aca="false">IF(ISBLANK(customer_churn_dataset!K454),0,MIN(10,MAX(0,customer_churn_dataset!K454)))</f>
        <v>8</v>
      </c>
      <c r="L454" s="7" t="n">
        <f aca="false">IF(ISBLANK(customer_churn_dataset!L454),0,MAX(0,customer_churn_dataset!L454))</f>
        <v>0</v>
      </c>
      <c r="M454" s="7" t="n">
        <f aca="false">IF(ISBLANK(customer_churn_dataset!M454),0,customer_churn_dataset!M454)</f>
        <v>0</v>
      </c>
      <c r="N454" s="7" t="n">
        <f aca="false">IF(ISBLANK(customer_churn_dataset!N454),0,MAX(0,customer_churn_dataset!N454))</f>
        <v>624.6</v>
      </c>
      <c r="O454" s="7" t="n">
        <f aca="false">IF(ISBLANK(customer_churn_dataset!O454),0,customer_churn_dataset!O454)</f>
        <v>0</v>
      </c>
      <c r="P454" s="7" t="str">
        <f aca="false">IF(COUNTIF(customer_churn_dataset!$A$2:$A$1501,customer_churn_dataset!A454)&gt;1,"Duplicate","Unique")</f>
        <v>Unique</v>
      </c>
    </row>
    <row r="455" customFormat="false" ht="14.15" hidden="false" customHeight="true" outlineLevel="0" collapsed="false">
      <c r="A455" s="7" t="str">
        <f aca="false">TRIM(customer_churn_dataset!A455)</f>
        <v>CUST100948</v>
      </c>
      <c r="B455" s="7" t="str">
        <f aca="false">PROPER(TRIM(customer_churn_dataset!B455))</f>
        <v>Premium</v>
      </c>
      <c r="C455" s="7" t="str">
        <f aca="false">PROPER(TRIM(customer_churn_dataset!C455))</f>
        <v>Two Year</v>
      </c>
      <c r="D455" s="7" t="n">
        <f aca="false">IF(ISBLANK(customer_churn_dataset!D455),ROUND(MEDIAN(customer_churn_dataset!D$2:D$1501),2),IF(customer_churn_dataset!D455&lt;0,ABS(customer_churn_dataset!D455),customer_churn_dataset!D455))</f>
        <v>39.66</v>
      </c>
      <c r="E455" s="7" t="n">
        <f aca="false">IF(ISBLANK(customer_churn_dataset!E455),0,MAX(0,customer_churn_dataset!E455))</f>
        <v>1</v>
      </c>
      <c r="F455" s="8" t="n">
        <f aca="false">IF(ISBLANK(customer_churn_dataset!F455),"",customer_churn_dataset!F455)</f>
        <v>44438</v>
      </c>
      <c r="G455" s="7" t="str">
        <f aca="false">PROPER(TRIM(customer_churn_dataset!G455))</f>
        <v>Credit Card</v>
      </c>
      <c r="H455" s="7" t="n">
        <f aca="false">IF(ISBLANK(customer_churn_dataset!H455),0,customer_churn_dataset!H455)</f>
        <v>0</v>
      </c>
      <c r="I455" s="7" t="n">
        <f aca="false">IF(ISBLANK(customer_churn_dataset!I455),ROUND(MEDIAN(customer_churn_dataset!I$2:I$1501),1),MIN(100,MAX(0,customer_churn_dataset!I455)))</f>
        <v>82.3</v>
      </c>
      <c r="J455" s="7" t="n">
        <f aca="false">IF(ISBLANK(customer_churn_dataset!J455),0,MAX(0,customer_churn_dataset!J455))</f>
        <v>26</v>
      </c>
      <c r="K455" s="7" t="n">
        <f aca="false">IF(ISBLANK(customer_churn_dataset!K455),0,MIN(10,MAX(0,customer_churn_dataset!K455)))</f>
        <v>6</v>
      </c>
      <c r="L455" s="7" t="n">
        <f aca="false">IF(ISBLANK(customer_churn_dataset!L455),0,MAX(0,customer_churn_dataset!L455))</f>
        <v>2</v>
      </c>
      <c r="M455" s="7" t="n">
        <f aca="false">IF(ISBLANK(customer_churn_dataset!M455),0,customer_churn_dataset!M455)</f>
        <v>0</v>
      </c>
      <c r="N455" s="7" t="n">
        <f aca="false">IF(ISBLANK(customer_churn_dataset!N455),0,MAX(0,customer_churn_dataset!N455))</f>
        <v>39.66</v>
      </c>
      <c r="O455" s="7" t="n">
        <f aca="false">IF(ISBLANK(customer_churn_dataset!O455),0,customer_churn_dataset!O455)</f>
        <v>0</v>
      </c>
      <c r="P455" s="7" t="str">
        <f aca="false">IF(COUNTIF(customer_churn_dataset!$A$2:$A$1501,customer_churn_dataset!A455)&gt;1,"Duplicate","Unique")</f>
        <v>Unique</v>
      </c>
    </row>
    <row r="456" customFormat="false" ht="14.15" hidden="false" customHeight="true" outlineLevel="0" collapsed="false">
      <c r="A456" s="7" t="str">
        <f aca="false">TRIM(customer_churn_dataset!A456)</f>
        <v>CUST101166</v>
      </c>
      <c r="B456" s="7" t="str">
        <f aca="false">PROPER(TRIM(customer_churn_dataset!B456))</f>
        <v>Premium</v>
      </c>
      <c r="C456" s="7" t="str">
        <f aca="false">PROPER(TRIM(customer_churn_dataset!C456))</f>
        <v>Month-To-Month</v>
      </c>
      <c r="D456" s="7" t="n">
        <f aca="false">IF(ISBLANK(customer_churn_dataset!D456),ROUND(MEDIAN(customer_churn_dataset!D$2:D$1501),2),IF(customer_churn_dataset!D456&lt;0,ABS(customer_churn_dataset!D456),customer_churn_dataset!D456))</f>
        <v>38.9</v>
      </c>
      <c r="E456" s="7" t="n">
        <f aca="false">IF(ISBLANK(customer_churn_dataset!E456),0,MAX(0,customer_churn_dataset!E456))</f>
        <v>34</v>
      </c>
      <c r="F456" s="8" t="n">
        <f aca="false">IF(ISBLANK(customer_churn_dataset!F456),"",customer_churn_dataset!F456)</f>
        <v>44439</v>
      </c>
      <c r="G456" s="7" t="str">
        <f aca="false">PROPER(TRIM(customer_churn_dataset!G456))</f>
        <v>Credit Card</v>
      </c>
      <c r="H456" s="7" t="n">
        <f aca="false">IF(ISBLANK(customer_churn_dataset!H456),0,customer_churn_dataset!H456)</f>
        <v>0</v>
      </c>
      <c r="I456" s="7" t="n">
        <f aca="false">IF(ISBLANK(customer_churn_dataset!I456),ROUND(MEDIAN(customer_churn_dataset!I$2:I$1501),1),MIN(100,MAX(0,customer_churn_dataset!I456)))</f>
        <v>89.6</v>
      </c>
      <c r="J456" s="7" t="n">
        <f aca="false">IF(ISBLANK(customer_churn_dataset!J456),0,MAX(0,customer_churn_dataset!J456))</f>
        <v>28</v>
      </c>
      <c r="K456" s="7" t="n">
        <f aca="false">IF(ISBLANK(customer_churn_dataset!K456),0,MIN(10,MAX(0,customer_churn_dataset!K456)))</f>
        <v>7</v>
      </c>
      <c r="L456" s="7" t="n">
        <f aca="false">IF(ISBLANK(customer_churn_dataset!L456),0,MAX(0,customer_churn_dataset!L456))</f>
        <v>2</v>
      </c>
      <c r="M456" s="7" t="n">
        <f aca="false">IF(ISBLANK(customer_churn_dataset!M456),0,customer_churn_dataset!M456)</f>
        <v>1</v>
      </c>
      <c r="N456" s="7" t="n">
        <f aca="false">IF(ISBLANK(customer_churn_dataset!N456),0,MAX(0,customer_churn_dataset!N456))</f>
        <v>1322.6</v>
      </c>
      <c r="O456" s="7" t="n">
        <f aca="false">IF(ISBLANK(customer_churn_dataset!O456),0,customer_churn_dataset!O456)</f>
        <v>1</v>
      </c>
      <c r="P456" s="7" t="str">
        <f aca="false">IF(COUNTIF(customer_churn_dataset!$A$2:$A$1501,customer_churn_dataset!A456)&gt;1,"Duplicate","Unique")</f>
        <v>Unique</v>
      </c>
    </row>
    <row r="457" customFormat="false" ht="14.15" hidden="false" customHeight="true" outlineLevel="0" collapsed="false">
      <c r="A457" s="7" t="str">
        <f aca="false">TRIM(customer_churn_dataset!A457)</f>
        <v>CUST100043</v>
      </c>
      <c r="B457" s="7" t="str">
        <f aca="false">PROPER(TRIM(customer_churn_dataset!B457))</f>
        <v>Premium</v>
      </c>
      <c r="C457" s="7" t="str">
        <f aca="false">PROPER(TRIM(customer_churn_dataset!C457))</f>
        <v>Month-To-Month</v>
      </c>
      <c r="D457" s="7" t="n">
        <f aca="false">IF(ISBLANK(customer_churn_dataset!D457),ROUND(MEDIAN(customer_churn_dataset!D$2:D$1501),2),IF(customer_churn_dataset!D457&lt;0,ABS(customer_churn_dataset!D457),customer_churn_dataset!D457))</f>
        <v>40.53</v>
      </c>
      <c r="E457" s="7" t="n">
        <f aca="false">IF(ISBLANK(customer_churn_dataset!E457),0,MAX(0,customer_churn_dataset!E457))</f>
        <v>17</v>
      </c>
      <c r="F457" s="8" t="n">
        <f aca="false">IF(ISBLANK(customer_churn_dataset!F457),"",customer_churn_dataset!F457)</f>
        <v>44441</v>
      </c>
      <c r="G457" s="7" t="str">
        <f aca="false">PROPER(TRIM(customer_churn_dataset!G457))</f>
        <v>Manual/Invoice</v>
      </c>
      <c r="H457" s="7" t="n">
        <f aca="false">IF(ISBLANK(customer_churn_dataset!H457),0,customer_churn_dataset!H457)</f>
        <v>0</v>
      </c>
      <c r="I457" s="7" t="n">
        <f aca="false">IF(ISBLANK(customer_churn_dataset!I457),ROUND(MEDIAN(customer_churn_dataset!I$2:I$1501),1),MIN(100,MAX(0,customer_churn_dataset!I457)))</f>
        <v>73.6</v>
      </c>
      <c r="J457" s="7" t="n">
        <f aca="false">IF(ISBLANK(customer_churn_dataset!J457),0,MAX(0,customer_churn_dataset!J457))</f>
        <v>24</v>
      </c>
      <c r="K457" s="7" t="n">
        <f aca="false">IF(ISBLANK(customer_churn_dataset!K457),0,MIN(10,MAX(0,customer_churn_dataset!K457)))</f>
        <v>6</v>
      </c>
      <c r="L457" s="7" t="n">
        <f aca="false">IF(ISBLANK(customer_churn_dataset!L457),0,MAX(0,customer_churn_dataset!L457))</f>
        <v>0</v>
      </c>
      <c r="M457" s="7" t="n">
        <f aca="false">IF(ISBLANK(customer_churn_dataset!M457),0,customer_churn_dataset!M457)</f>
        <v>0</v>
      </c>
      <c r="N457" s="7" t="n">
        <f aca="false">IF(ISBLANK(customer_churn_dataset!N457),0,MAX(0,customer_churn_dataset!N457))</f>
        <v>689.01</v>
      </c>
      <c r="O457" s="7" t="n">
        <f aca="false">IF(ISBLANK(customer_churn_dataset!O457),0,customer_churn_dataset!O457)</f>
        <v>0</v>
      </c>
      <c r="P457" s="7" t="str">
        <f aca="false">IF(COUNTIF(customer_churn_dataset!$A$2:$A$1501,customer_churn_dataset!A457)&gt;1,"Duplicate","Unique")</f>
        <v>Unique</v>
      </c>
    </row>
    <row r="458" customFormat="false" ht="14.15" hidden="false" customHeight="true" outlineLevel="0" collapsed="false">
      <c r="A458" s="7" t="str">
        <f aca="false">TRIM(customer_churn_dataset!A458)</f>
        <v>CUST100491</v>
      </c>
      <c r="B458" s="7" t="str">
        <f aca="false">PROPER(TRIM(customer_churn_dataset!B458))</f>
        <v>Standard</v>
      </c>
      <c r="C458" s="7" t="str">
        <f aca="false">PROPER(TRIM(customer_churn_dataset!C458))</f>
        <v>One Year</v>
      </c>
      <c r="D458" s="7" t="n">
        <f aca="false">IF(ISBLANK(customer_churn_dataset!D458),ROUND(MEDIAN(customer_churn_dataset!D$2:D$1501),2),IF(customer_churn_dataset!D458&lt;0,ABS(customer_churn_dataset!D458),customer_churn_dataset!D458))</f>
        <v>20.32</v>
      </c>
      <c r="E458" s="7" t="n">
        <f aca="false">IF(ISBLANK(customer_churn_dataset!E458),0,MAX(0,customer_churn_dataset!E458))</f>
        <v>72</v>
      </c>
      <c r="F458" s="8" t="n">
        <f aca="false">IF(ISBLANK(customer_churn_dataset!F458),"",customer_churn_dataset!F458)</f>
        <v>44441</v>
      </c>
      <c r="G458" s="7" t="str">
        <f aca="false">PROPER(TRIM(customer_churn_dataset!G458))</f>
        <v>Credit Card</v>
      </c>
      <c r="H458" s="7" t="n">
        <f aca="false">IF(ISBLANK(customer_churn_dataset!H458),0,customer_churn_dataset!H458)</f>
        <v>1</v>
      </c>
      <c r="I458" s="7" t="n">
        <f aca="false">IF(ISBLANK(customer_churn_dataset!I458),ROUND(MEDIAN(customer_churn_dataset!I$2:I$1501),1),MIN(100,MAX(0,customer_churn_dataset!I458)))</f>
        <v>40.9</v>
      </c>
      <c r="J458" s="7" t="n">
        <f aca="false">IF(ISBLANK(customer_churn_dataset!J458),0,MAX(0,customer_churn_dataset!J458))</f>
        <v>11</v>
      </c>
      <c r="K458" s="7" t="n">
        <f aca="false">IF(ISBLANK(customer_churn_dataset!K458),0,MIN(10,MAX(0,customer_churn_dataset!K458)))</f>
        <v>4</v>
      </c>
      <c r="L458" s="7" t="n">
        <f aca="false">IF(ISBLANK(customer_churn_dataset!L458),0,MAX(0,customer_churn_dataset!L458))</f>
        <v>2</v>
      </c>
      <c r="M458" s="7" t="n">
        <f aca="false">IF(ISBLANK(customer_churn_dataset!M458),0,customer_churn_dataset!M458)</f>
        <v>1</v>
      </c>
      <c r="N458" s="7" t="n">
        <f aca="false">IF(ISBLANK(customer_churn_dataset!N458),0,MAX(0,customer_churn_dataset!N458))</f>
        <v>1463.04</v>
      </c>
      <c r="O458" s="7" t="n">
        <f aca="false">IF(ISBLANK(customer_churn_dataset!O458),0,customer_churn_dataset!O458)</f>
        <v>0</v>
      </c>
      <c r="P458" s="7" t="str">
        <f aca="false">IF(COUNTIF(customer_churn_dataset!$A$2:$A$1501,customer_churn_dataset!A458)&gt;1,"Duplicate","Unique")</f>
        <v>Unique</v>
      </c>
    </row>
    <row r="459" customFormat="false" ht="14.15" hidden="false" customHeight="true" outlineLevel="0" collapsed="false">
      <c r="A459" s="7" t="str">
        <f aca="false">TRIM(customer_churn_dataset!A459)</f>
        <v>CUST100709</v>
      </c>
      <c r="B459" s="7" t="str">
        <f aca="false">PROPER(TRIM(customer_churn_dataset!B459))</f>
        <v>Standard</v>
      </c>
      <c r="C459" s="7" t="str">
        <f aca="false">PROPER(TRIM(customer_churn_dataset!C459))</f>
        <v>One Year</v>
      </c>
      <c r="D459" s="7" t="n">
        <f aca="false">IF(ISBLANK(customer_churn_dataset!D459),ROUND(MEDIAN(customer_churn_dataset!D$2:D$1501),2),IF(customer_churn_dataset!D459&lt;0,ABS(customer_churn_dataset!D459),customer_churn_dataset!D459))</f>
        <v>19.58</v>
      </c>
      <c r="E459" s="7" t="n">
        <f aca="false">IF(ISBLANK(customer_churn_dataset!E459),0,MAX(0,customer_churn_dataset!E459))</f>
        <v>3</v>
      </c>
      <c r="F459" s="8" t="n">
        <f aca="false">IF(ISBLANK(customer_churn_dataset!F459),"",customer_churn_dataset!F459)</f>
        <v>44442</v>
      </c>
      <c r="G459" s="7" t="str">
        <f aca="false">PROPER(TRIM(customer_churn_dataset!G459))</f>
        <v>Credit Card</v>
      </c>
      <c r="H459" s="7" t="n">
        <f aca="false">IF(ISBLANK(customer_churn_dataset!H459),0,customer_churn_dataset!H459)</f>
        <v>0</v>
      </c>
      <c r="I459" s="7" t="n">
        <f aca="false">IF(ISBLANK(customer_churn_dataset!I459),ROUND(MEDIAN(customer_churn_dataset!I$2:I$1501),1),MIN(100,MAX(0,customer_churn_dataset!I459)))</f>
        <v>37.2</v>
      </c>
      <c r="J459" s="7" t="n">
        <f aca="false">IF(ISBLANK(customer_churn_dataset!J459),0,MAX(0,customer_churn_dataset!J459))</f>
        <v>11</v>
      </c>
      <c r="K459" s="7" t="n">
        <f aca="false">IF(ISBLANK(customer_churn_dataset!K459),0,MIN(10,MAX(0,customer_churn_dataset!K459)))</f>
        <v>6</v>
      </c>
      <c r="L459" s="7" t="n">
        <f aca="false">IF(ISBLANK(customer_churn_dataset!L459),0,MAX(0,customer_churn_dataset!L459))</f>
        <v>2</v>
      </c>
      <c r="M459" s="7" t="n">
        <f aca="false">IF(ISBLANK(customer_churn_dataset!M459),0,customer_churn_dataset!M459)</f>
        <v>0</v>
      </c>
      <c r="N459" s="7" t="n">
        <f aca="false">IF(ISBLANK(customer_churn_dataset!N459),0,MAX(0,customer_churn_dataset!N459))</f>
        <v>58.74</v>
      </c>
      <c r="O459" s="7" t="n">
        <f aca="false">IF(ISBLANK(customer_churn_dataset!O459),0,customer_churn_dataset!O459)</f>
        <v>0</v>
      </c>
      <c r="P459" s="7" t="str">
        <f aca="false">IF(COUNTIF(customer_churn_dataset!$A$2:$A$1501,customer_churn_dataset!A459)&gt;1,"Duplicate","Unique")</f>
        <v>Unique</v>
      </c>
    </row>
    <row r="460" customFormat="false" ht="14.15" hidden="false" customHeight="true" outlineLevel="0" collapsed="false">
      <c r="A460" s="7" t="str">
        <f aca="false">TRIM(customer_churn_dataset!A460)</f>
        <v>CUST101314</v>
      </c>
      <c r="B460" s="7" t="str">
        <f aca="false">PROPER(TRIM(customer_churn_dataset!B460))</f>
        <v>Standard</v>
      </c>
      <c r="C460" s="7" t="str">
        <f aca="false">PROPER(TRIM(customer_churn_dataset!C460))</f>
        <v>Month-To-Month</v>
      </c>
      <c r="D460" s="7" t="n">
        <f aca="false">IF(ISBLANK(customer_churn_dataset!D460),ROUND(MEDIAN(customer_churn_dataset!D$2:D$1501),2),IF(customer_churn_dataset!D460&lt;0,ABS(customer_churn_dataset!D460),customer_churn_dataset!D460))</f>
        <v>20.29</v>
      </c>
      <c r="E460" s="7" t="n">
        <f aca="false">IF(ISBLANK(customer_churn_dataset!E460),0,MAX(0,customer_churn_dataset!E460))</f>
        <v>19</v>
      </c>
      <c r="F460" s="8" t="n">
        <f aca="false">IF(ISBLANK(customer_churn_dataset!F460),"",customer_churn_dataset!F460)</f>
        <v>44444</v>
      </c>
      <c r="G460" s="7" t="str">
        <f aca="false">PROPER(TRIM(customer_churn_dataset!G460))</f>
        <v>Manual/Invoice</v>
      </c>
      <c r="H460" s="7" t="n">
        <f aca="false">IF(ISBLANK(customer_churn_dataset!H460),0,customer_churn_dataset!H460)</f>
        <v>1</v>
      </c>
      <c r="I460" s="7" t="n">
        <f aca="false">IF(ISBLANK(customer_churn_dataset!I460),ROUND(MEDIAN(customer_churn_dataset!I$2:I$1501),1),MIN(100,MAX(0,customer_churn_dataset!I460)))</f>
        <v>31.5</v>
      </c>
      <c r="J460" s="7" t="n">
        <f aca="false">IF(ISBLANK(customer_churn_dataset!J460),0,MAX(0,customer_churn_dataset!J460))</f>
        <v>9</v>
      </c>
      <c r="K460" s="7" t="n">
        <f aca="false">IF(ISBLANK(customer_churn_dataset!K460),0,MIN(10,MAX(0,customer_churn_dataset!K460)))</f>
        <v>3</v>
      </c>
      <c r="L460" s="7" t="n">
        <f aca="false">IF(ISBLANK(customer_churn_dataset!L460),0,MAX(0,customer_churn_dataset!L460))</f>
        <v>1</v>
      </c>
      <c r="M460" s="7" t="n">
        <f aca="false">IF(ISBLANK(customer_churn_dataset!M460),0,customer_churn_dataset!M460)</f>
        <v>0</v>
      </c>
      <c r="N460" s="7" t="n">
        <f aca="false">IF(ISBLANK(customer_churn_dataset!N460),0,MAX(0,customer_churn_dataset!N460))</f>
        <v>385.51</v>
      </c>
      <c r="O460" s="7" t="n">
        <f aca="false">IF(ISBLANK(customer_churn_dataset!O460),0,customer_churn_dataset!O460)</f>
        <v>1</v>
      </c>
      <c r="P460" s="7" t="str">
        <f aca="false">IF(COUNTIF(customer_churn_dataset!$A$2:$A$1501,customer_churn_dataset!A460)&gt;1,"Duplicate","Unique")</f>
        <v>Unique</v>
      </c>
    </row>
    <row r="461" customFormat="false" ht="14.15" hidden="false" customHeight="true" outlineLevel="0" collapsed="false">
      <c r="A461" s="7" t="str">
        <f aca="false">TRIM(customer_churn_dataset!A461)</f>
        <v>CUST101317</v>
      </c>
      <c r="B461" s="7" t="str">
        <f aca="false">PROPER(TRIM(customer_churn_dataset!B461))</f>
        <v>Standard</v>
      </c>
      <c r="C461" s="7" t="str">
        <f aca="false">PROPER(TRIM(customer_churn_dataset!C461))</f>
        <v>Month-To-Month</v>
      </c>
      <c r="D461" s="7" t="n">
        <f aca="false">IF(ISBLANK(customer_churn_dataset!D461),ROUND(MEDIAN(customer_churn_dataset!D$2:D$1501),2),IF(customer_churn_dataset!D461&lt;0,ABS(customer_churn_dataset!D461),customer_churn_dataset!D461))</f>
        <v>21.44</v>
      </c>
      <c r="E461" s="7" t="n">
        <f aca="false">IF(ISBLANK(customer_churn_dataset!E461),0,MAX(0,customer_churn_dataset!E461))</f>
        <v>72</v>
      </c>
      <c r="F461" s="8" t="n">
        <f aca="false">IF(ISBLANK(customer_churn_dataset!F461),"",customer_churn_dataset!F461)</f>
        <v>44445</v>
      </c>
      <c r="G461" s="7" t="str">
        <f aca="false">PROPER(TRIM(customer_churn_dataset!G461))</f>
        <v>Paypal</v>
      </c>
      <c r="H461" s="7" t="n">
        <f aca="false">IF(ISBLANK(customer_churn_dataset!H461),0,customer_churn_dataset!H461)</f>
        <v>1</v>
      </c>
      <c r="I461" s="7" t="n">
        <f aca="false">IF(ISBLANK(customer_churn_dataset!I461),ROUND(MEDIAN(customer_churn_dataset!I$2:I$1501),1),MIN(100,MAX(0,customer_churn_dataset!I461)))</f>
        <v>50.1</v>
      </c>
      <c r="J461" s="7" t="n">
        <f aca="false">IF(ISBLANK(customer_churn_dataset!J461),0,MAX(0,customer_churn_dataset!J461))</f>
        <v>12</v>
      </c>
      <c r="K461" s="7" t="n">
        <f aca="false">IF(ISBLANK(customer_churn_dataset!K461),0,MIN(10,MAX(0,customer_churn_dataset!K461)))</f>
        <v>7</v>
      </c>
      <c r="L461" s="7" t="n">
        <f aca="false">IF(ISBLANK(customer_churn_dataset!L461),0,MAX(0,customer_churn_dataset!L461))</f>
        <v>1</v>
      </c>
      <c r="M461" s="7" t="n">
        <f aca="false">IF(ISBLANK(customer_churn_dataset!M461),0,customer_churn_dataset!M461)</f>
        <v>1</v>
      </c>
      <c r="N461" s="7" t="n">
        <f aca="false">IF(ISBLANK(customer_churn_dataset!N461),0,MAX(0,customer_churn_dataset!N461))</f>
        <v>1543.68</v>
      </c>
      <c r="O461" s="7" t="n">
        <f aca="false">IF(ISBLANK(customer_churn_dataset!O461),0,customer_churn_dataset!O461)</f>
        <v>0</v>
      </c>
      <c r="P461" s="7" t="str">
        <f aca="false">IF(COUNTIF(customer_churn_dataset!$A$2:$A$1501,customer_churn_dataset!A461)&gt;1,"Duplicate","Unique")</f>
        <v>Unique</v>
      </c>
    </row>
    <row r="462" customFormat="false" ht="14.15" hidden="false" customHeight="true" outlineLevel="0" collapsed="false">
      <c r="A462" s="7" t="str">
        <f aca="false">TRIM(customer_churn_dataset!A462)</f>
        <v>CUST101419</v>
      </c>
      <c r="B462" s="7" t="str">
        <f aca="false">PROPER(TRIM(customer_churn_dataset!B462))</f>
        <v>Premium</v>
      </c>
      <c r="C462" s="7" t="str">
        <f aca="false">PROPER(TRIM(customer_churn_dataset!C462))</f>
        <v>Month-To-Month</v>
      </c>
      <c r="D462" s="7" t="n">
        <f aca="false">IF(ISBLANK(customer_churn_dataset!D462),ROUND(MEDIAN(customer_churn_dataset!D$2:D$1501),2),IF(customer_churn_dataset!D462&lt;0,ABS(customer_churn_dataset!D462),customer_churn_dataset!D462))</f>
        <v>41.75</v>
      </c>
      <c r="E462" s="7" t="n">
        <f aca="false">IF(ISBLANK(customer_churn_dataset!E462),0,MAX(0,customer_churn_dataset!E462))</f>
        <v>18</v>
      </c>
      <c r="F462" s="8" t="n">
        <f aca="false">IF(ISBLANK(customer_churn_dataset!F462),"",customer_churn_dataset!F462)</f>
        <v>44446</v>
      </c>
      <c r="G462" s="7" t="str">
        <f aca="false">PROPER(TRIM(customer_churn_dataset!G462))</f>
        <v>Paypal</v>
      </c>
      <c r="H462" s="7" t="n">
        <f aca="false">IF(ISBLANK(customer_churn_dataset!H462),0,customer_churn_dataset!H462)</f>
        <v>0</v>
      </c>
      <c r="I462" s="7" t="n">
        <f aca="false">IF(ISBLANK(customer_churn_dataset!I462),ROUND(MEDIAN(customer_churn_dataset!I$2:I$1501),1),MIN(100,MAX(0,customer_churn_dataset!I462)))</f>
        <v>62.9</v>
      </c>
      <c r="J462" s="7" t="n">
        <f aca="false">IF(ISBLANK(customer_churn_dataset!J462),0,MAX(0,customer_churn_dataset!J462))</f>
        <v>24</v>
      </c>
      <c r="K462" s="7" t="n">
        <f aca="false">IF(ISBLANK(customer_churn_dataset!K462),0,MIN(10,MAX(0,customer_churn_dataset!K462)))</f>
        <v>3</v>
      </c>
      <c r="L462" s="7" t="n">
        <f aca="false">IF(ISBLANK(customer_churn_dataset!L462),0,MAX(0,customer_churn_dataset!L462))</f>
        <v>3</v>
      </c>
      <c r="M462" s="7" t="n">
        <f aca="false">IF(ISBLANK(customer_churn_dataset!M462),0,customer_churn_dataset!M462)</f>
        <v>0</v>
      </c>
      <c r="N462" s="7" t="n">
        <f aca="false">IF(ISBLANK(customer_churn_dataset!N462),0,MAX(0,customer_churn_dataset!N462))</f>
        <v>751.5</v>
      </c>
      <c r="O462" s="7" t="n">
        <f aca="false">IF(ISBLANK(customer_churn_dataset!O462),0,customer_churn_dataset!O462)</f>
        <v>0</v>
      </c>
      <c r="P462" s="7" t="str">
        <f aca="false">IF(COUNTIF(customer_churn_dataset!$A$2:$A$1501,customer_churn_dataset!A462)&gt;1,"Duplicate","Unique")</f>
        <v>Unique</v>
      </c>
    </row>
    <row r="463" customFormat="false" ht="14.15" hidden="false" customHeight="true" outlineLevel="0" collapsed="false">
      <c r="A463" s="7" t="str">
        <f aca="false">TRIM(customer_churn_dataset!A463)</f>
        <v>CUST100132</v>
      </c>
      <c r="B463" s="7" t="str">
        <f aca="false">PROPER(TRIM(customer_churn_dataset!B463))</f>
        <v>Basic</v>
      </c>
      <c r="C463" s="7" t="str">
        <f aca="false">PROPER(TRIM(customer_churn_dataset!C463))</f>
        <v>Month-To-Month</v>
      </c>
      <c r="D463" s="7" t="n">
        <f aca="false">IF(ISBLANK(customer_churn_dataset!D463),ROUND(MEDIAN(customer_churn_dataset!D$2:D$1501),2),IF(customer_churn_dataset!D463&lt;0,ABS(customer_churn_dataset!D463),customer_churn_dataset!D463))</f>
        <v>9.98</v>
      </c>
      <c r="E463" s="7" t="n">
        <f aca="false">IF(ISBLANK(customer_churn_dataset!E463),0,MAX(0,customer_churn_dataset!E463))</f>
        <v>37</v>
      </c>
      <c r="F463" s="8" t="n">
        <f aca="false">IF(ISBLANK(customer_churn_dataset!F463),"",customer_churn_dataset!F463)</f>
        <v>44447</v>
      </c>
      <c r="G463" s="7" t="str">
        <f aca="false">PROPER(TRIM(customer_churn_dataset!G463))</f>
        <v>Credit Card</v>
      </c>
      <c r="H463" s="7" t="n">
        <f aca="false">IF(ISBLANK(customer_churn_dataset!H463),0,customer_churn_dataset!H463)</f>
        <v>1</v>
      </c>
      <c r="I463" s="7" t="n">
        <f aca="false">IF(ISBLANK(customer_churn_dataset!I463),ROUND(MEDIAN(customer_churn_dataset!I$2:I$1501),1),MIN(100,MAX(0,customer_churn_dataset!I463)))</f>
        <v>46.1</v>
      </c>
      <c r="J463" s="7" t="n">
        <f aca="false">IF(ISBLANK(customer_churn_dataset!J463),0,MAX(0,customer_churn_dataset!J463))</f>
        <v>16</v>
      </c>
      <c r="K463" s="7" t="n">
        <f aca="false">IF(ISBLANK(customer_churn_dataset!K463),0,MIN(10,MAX(0,customer_churn_dataset!K463)))</f>
        <v>4</v>
      </c>
      <c r="L463" s="7" t="n">
        <f aca="false">IF(ISBLANK(customer_churn_dataset!L463),0,MAX(0,customer_churn_dataset!L463))</f>
        <v>0</v>
      </c>
      <c r="M463" s="7" t="n">
        <f aca="false">IF(ISBLANK(customer_churn_dataset!M463),0,customer_churn_dataset!M463)</f>
        <v>0</v>
      </c>
      <c r="N463" s="7" t="n">
        <f aca="false">IF(ISBLANK(customer_churn_dataset!N463),0,MAX(0,customer_churn_dataset!N463))</f>
        <v>369.26</v>
      </c>
      <c r="O463" s="7" t="n">
        <f aca="false">IF(ISBLANK(customer_churn_dataset!O463),0,customer_churn_dataset!O463)</f>
        <v>0</v>
      </c>
      <c r="P463" s="7" t="str">
        <f aca="false">IF(COUNTIF(customer_churn_dataset!$A$2:$A$1501,customer_churn_dataset!A463)&gt;1,"Duplicate","Unique")</f>
        <v>Unique</v>
      </c>
    </row>
    <row r="464" customFormat="false" ht="14.15" hidden="false" customHeight="true" outlineLevel="0" collapsed="false">
      <c r="A464" s="7" t="str">
        <f aca="false">TRIM(customer_churn_dataset!A464)</f>
        <v>CUST100150</v>
      </c>
      <c r="B464" s="7" t="str">
        <f aca="false">PROPER(TRIM(customer_churn_dataset!B464))</f>
        <v>Premium</v>
      </c>
      <c r="C464" s="7" t="str">
        <f aca="false">PROPER(TRIM(customer_churn_dataset!C464))</f>
        <v>Month-To-Month</v>
      </c>
      <c r="D464" s="7" t="n">
        <f aca="false">IF(ISBLANK(customer_churn_dataset!D464),ROUND(MEDIAN(customer_churn_dataset!D$2:D$1501),2),IF(customer_churn_dataset!D464&lt;0,ABS(customer_churn_dataset!D464),customer_churn_dataset!D464))</f>
        <v>39.96</v>
      </c>
      <c r="E464" s="7" t="n">
        <f aca="false">IF(ISBLANK(customer_churn_dataset!E464),0,MAX(0,customer_churn_dataset!E464))</f>
        <v>0</v>
      </c>
      <c r="F464" s="8" t="n">
        <f aca="false">IF(ISBLANK(customer_churn_dataset!F464),"",customer_churn_dataset!F464)</f>
        <v>44447</v>
      </c>
      <c r="G464" s="7" t="str">
        <f aca="false">PROPER(TRIM(customer_churn_dataset!G464))</f>
        <v>Bank Transfer</v>
      </c>
      <c r="H464" s="7" t="n">
        <f aca="false">IF(ISBLANK(customer_churn_dataset!H464),0,customer_churn_dataset!H464)</f>
        <v>1</v>
      </c>
      <c r="I464" s="7" t="n">
        <f aca="false">IF(ISBLANK(customer_churn_dataset!I464),ROUND(MEDIAN(customer_churn_dataset!I$2:I$1501),1),MIN(100,MAX(0,customer_churn_dataset!I464)))</f>
        <v>100</v>
      </c>
      <c r="J464" s="7" t="n">
        <f aca="false">IF(ISBLANK(customer_churn_dataset!J464),0,MAX(0,customer_churn_dataset!J464))</f>
        <v>38</v>
      </c>
      <c r="K464" s="7" t="n">
        <f aca="false">IF(ISBLANK(customer_churn_dataset!K464),0,MIN(10,MAX(0,customer_churn_dataset!K464)))</f>
        <v>10</v>
      </c>
      <c r="L464" s="7" t="n">
        <f aca="false">IF(ISBLANK(customer_churn_dataset!L464),0,MAX(0,customer_churn_dataset!L464))</f>
        <v>1</v>
      </c>
      <c r="M464" s="7" t="n">
        <f aca="false">IF(ISBLANK(customer_churn_dataset!M464),0,customer_churn_dataset!M464)</f>
        <v>0</v>
      </c>
      <c r="N464" s="7" t="n">
        <f aca="false">IF(ISBLANK(customer_churn_dataset!N464),0,MAX(0,customer_churn_dataset!N464))</f>
        <v>0</v>
      </c>
      <c r="O464" s="7" t="n">
        <f aca="false">IF(ISBLANK(customer_churn_dataset!O464),0,customer_churn_dataset!O464)</f>
        <v>0</v>
      </c>
      <c r="P464" s="7" t="str">
        <f aca="false">IF(COUNTIF(customer_churn_dataset!$A$2:$A$1501,customer_churn_dataset!A464)&gt;1,"Duplicate","Unique")</f>
        <v>Unique</v>
      </c>
    </row>
    <row r="465" customFormat="false" ht="14.15" hidden="false" customHeight="true" outlineLevel="0" collapsed="false">
      <c r="A465" s="7" t="str">
        <f aca="false">TRIM(customer_churn_dataset!A465)</f>
        <v>CUST100173</v>
      </c>
      <c r="B465" s="7" t="str">
        <f aca="false">PROPER(TRIM(customer_churn_dataset!B465))</f>
        <v>Basic</v>
      </c>
      <c r="C465" s="7" t="str">
        <f aca="false">PROPER(TRIM(customer_churn_dataset!C465))</f>
        <v>Month-To-Month</v>
      </c>
      <c r="D465" s="7" t="n">
        <f aca="false">IF(ISBLANK(customer_churn_dataset!D465),ROUND(MEDIAN(customer_churn_dataset!D$2:D$1501),2),IF(customer_churn_dataset!D465&lt;0,ABS(customer_churn_dataset!D465),customer_churn_dataset!D465))</f>
        <v>11.48</v>
      </c>
      <c r="E465" s="7" t="n">
        <f aca="false">IF(ISBLANK(customer_churn_dataset!E465),0,MAX(0,customer_churn_dataset!E465))</f>
        <v>56</v>
      </c>
      <c r="F465" s="8" t="n">
        <f aca="false">IF(ISBLANK(customer_churn_dataset!F465),"",customer_churn_dataset!F465)</f>
        <v>44447</v>
      </c>
      <c r="G465" s="7" t="str">
        <f aca="false">PROPER(TRIM(customer_churn_dataset!G465))</f>
        <v>Paypal</v>
      </c>
      <c r="H465" s="7" t="n">
        <f aca="false">IF(ISBLANK(customer_churn_dataset!H465),0,customer_churn_dataset!H465)</f>
        <v>0</v>
      </c>
      <c r="I465" s="7" t="n">
        <f aca="false">IF(ISBLANK(customer_churn_dataset!I465),ROUND(MEDIAN(customer_churn_dataset!I$2:I$1501),1),MIN(100,MAX(0,customer_churn_dataset!I465)))</f>
        <v>80.5</v>
      </c>
      <c r="J465" s="7" t="n">
        <f aca="false">IF(ISBLANK(customer_churn_dataset!J465),0,MAX(0,customer_churn_dataset!J465))</f>
        <v>21</v>
      </c>
      <c r="K465" s="7" t="n">
        <f aca="false">IF(ISBLANK(customer_churn_dataset!K465),0,MIN(10,MAX(0,customer_churn_dataset!K465)))</f>
        <v>9</v>
      </c>
      <c r="L465" s="7" t="n">
        <f aca="false">IF(ISBLANK(customer_churn_dataset!L465),0,MAX(0,customer_churn_dataset!L465))</f>
        <v>0</v>
      </c>
      <c r="M465" s="7" t="n">
        <f aca="false">IF(ISBLANK(customer_churn_dataset!M465),0,customer_churn_dataset!M465)</f>
        <v>0</v>
      </c>
      <c r="N465" s="7" t="n">
        <f aca="false">IF(ISBLANK(customer_churn_dataset!N465),0,MAX(0,customer_churn_dataset!N465))</f>
        <v>642.88</v>
      </c>
      <c r="O465" s="7" t="n">
        <f aca="false">IF(ISBLANK(customer_churn_dataset!O465),0,customer_churn_dataset!O465)</f>
        <v>0</v>
      </c>
      <c r="P465" s="7" t="str">
        <f aca="false">IF(COUNTIF(customer_churn_dataset!$A$2:$A$1501,customer_churn_dataset!A465)&gt;1,"Duplicate","Unique")</f>
        <v>Unique</v>
      </c>
    </row>
    <row r="466" customFormat="false" ht="14.15" hidden="false" customHeight="true" outlineLevel="0" collapsed="false">
      <c r="A466" s="7" t="str">
        <f aca="false">TRIM(customer_churn_dataset!A466)</f>
        <v>CUST100090</v>
      </c>
      <c r="B466" s="7" t="str">
        <f aca="false">PROPER(TRIM(customer_churn_dataset!B466))</f>
        <v>Basic</v>
      </c>
      <c r="C466" s="7" t="str">
        <f aca="false">PROPER(TRIM(customer_churn_dataset!C466))</f>
        <v>Month-To-Month</v>
      </c>
      <c r="D466" s="7" t="n">
        <f aca="false">IF(ISBLANK(customer_churn_dataset!D466),ROUND(MEDIAN(customer_churn_dataset!D$2:D$1501),2),IF(customer_churn_dataset!D466&lt;0,ABS(customer_churn_dataset!D466),customer_churn_dataset!D466))</f>
        <v>10.32</v>
      </c>
      <c r="E466" s="7" t="n">
        <f aca="false">IF(ISBLANK(customer_churn_dataset!E466),0,MAX(0,customer_churn_dataset!E466))</f>
        <v>9</v>
      </c>
      <c r="F466" s="8" t="n">
        <f aca="false">IF(ISBLANK(customer_churn_dataset!F466),"",customer_churn_dataset!F466)</f>
        <v>44447</v>
      </c>
      <c r="G466" s="7" t="str">
        <f aca="false">PROPER(TRIM(customer_churn_dataset!G466))</f>
        <v>Paypal</v>
      </c>
      <c r="H466" s="7" t="n">
        <f aca="false">IF(ISBLANK(customer_churn_dataset!H466),0,customer_churn_dataset!H466)</f>
        <v>0</v>
      </c>
      <c r="I466" s="7" t="n">
        <f aca="false">IF(ISBLANK(customer_churn_dataset!I466),ROUND(MEDIAN(customer_churn_dataset!I$2:I$1501),1),MIN(100,MAX(0,customer_churn_dataset!I466)))</f>
        <v>50.2</v>
      </c>
      <c r="J466" s="7" t="n">
        <f aca="false">IF(ISBLANK(customer_churn_dataset!J466),0,MAX(0,customer_churn_dataset!J466))</f>
        <v>16</v>
      </c>
      <c r="K466" s="7" t="n">
        <f aca="false">IF(ISBLANK(customer_churn_dataset!K466),0,MIN(10,MAX(0,customer_churn_dataset!K466)))</f>
        <v>4</v>
      </c>
      <c r="L466" s="7" t="n">
        <f aca="false">IF(ISBLANK(customer_churn_dataset!L466),0,MAX(0,customer_churn_dataset!L466))</f>
        <v>0</v>
      </c>
      <c r="M466" s="7" t="n">
        <f aca="false">IF(ISBLANK(customer_churn_dataset!M466),0,customer_churn_dataset!M466)</f>
        <v>0</v>
      </c>
      <c r="N466" s="7" t="n">
        <f aca="false">IF(ISBLANK(customer_churn_dataset!N466),0,MAX(0,customer_churn_dataset!N466))</f>
        <v>92.88</v>
      </c>
      <c r="O466" s="7" t="n">
        <f aca="false">IF(ISBLANK(customer_churn_dataset!O466),0,customer_churn_dataset!O466)</f>
        <v>1</v>
      </c>
      <c r="P466" s="7" t="str">
        <f aca="false">IF(COUNTIF(customer_churn_dataset!$A$2:$A$1501,customer_churn_dataset!A466)&gt;1,"Duplicate","Unique")</f>
        <v>Unique</v>
      </c>
    </row>
    <row r="467" customFormat="false" ht="14.15" hidden="false" customHeight="true" outlineLevel="0" collapsed="false">
      <c r="A467" s="7" t="str">
        <f aca="false">TRIM(customer_churn_dataset!A467)</f>
        <v>CUST100759</v>
      </c>
      <c r="B467" s="7" t="str">
        <f aca="false">PROPER(TRIM(customer_churn_dataset!B467))</f>
        <v>Standard</v>
      </c>
      <c r="C467" s="7" t="str">
        <f aca="false">PROPER(TRIM(customer_churn_dataset!C467))</f>
        <v>One Year</v>
      </c>
      <c r="D467" s="7" t="n">
        <f aca="false">IF(ISBLANK(customer_churn_dataset!D467),ROUND(MEDIAN(customer_churn_dataset!D$2:D$1501),2),IF(customer_churn_dataset!D467&lt;0,ABS(customer_churn_dataset!D467),customer_churn_dataset!D467))</f>
        <v>19.52</v>
      </c>
      <c r="E467" s="7" t="n">
        <f aca="false">IF(ISBLANK(customer_churn_dataset!E467),0,MAX(0,customer_churn_dataset!E467))</f>
        <v>40</v>
      </c>
      <c r="F467" s="8" t="n">
        <f aca="false">IF(ISBLANK(customer_churn_dataset!F467),"",customer_churn_dataset!F467)</f>
        <v>44448</v>
      </c>
      <c r="G467" s="7" t="str">
        <f aca="false">PROPER(TRIM(customer_churn_dataset!G467))</f>
        <v>Paypal</v>
      </c>
      <c r="H467" s="7" t="n">
        <f aca="false">IF(ISBLANK(customer_churn_dataset!H467),0,customer_churn_dataset!H467)</f>
        <v>0</v>
      </c>
      <c r="I467" s="7" t="n">
        <f aca="false">IF(ISBLANK(customer_churn_dataset!I467),ROUND(MEDIAN(customer_churn_dataset!I$2:I$1501),1),MIN(100,MAX(0,customer_churn_dataset!I467)))</f>
        <v>56.9</v>
      </c>
      <c r="J467" s="7" t="n">
        <f aca="false">IF(ISBLANK(customer_churn_dataset!J467),0,MAX(0,customer_churn_dataset!J467))</f>
        <v>23</v>
      </c>
      <c r="K467" s="7" t="n">
        <f aca="false">IF(ISBLANK(customer_churn_dataset!K467),0,MIN(10,MAX(0,customer_churn_dataset!K467)))</f>
        <v>6</v>
      </c>
      <c r="L467" s="7" t="n">
        <f aca="false">IF(ISBLANK(customer_churn_dataset!L467),0,MAX(0,customer_churn_dataset!L467))</f>
        <v>0</v>
      </c>
      <c r="M467" s="7" t="n">
        <f aca="false">IF(ISBLANK(customer_churn_dataset!M467),0,customer_churn_dataset!M467)</f>
        <v>0</v>
      </c>
      <c r="N467" s="7" t="n">
        <f aca="false">IF(ISBLANK(customer_churn_dataset!N467),0,MAX(0,customer_churn_dataset!N467))</f>
        <v>780.8</v>
      </c>
      <c r="O467" s="7" t="n">
        <f aca="false">IF(ISBLANK(customer_churn_dataset!O467),0,customer_churn_dataset!O467)</f>
        <v>0</v>
      </c>
      <c r="P467" s="7" t="str">
        <f aca="false">IF(COUNTIF(customer_churn_dataset!$A$2:$A$1501,customer_churn_dataset!A467)&gt;1,"Duplicate","Unique")</f>
        <v>Unique</v>
      </c>
    </row>
    <row r="468" customFormat="false" ht="14.15" hidden="false" customHeight="true" outlineLevel="0" collapsed="false">
      <c r="A468" s="7" t="str">
        <f aca="false">TRIM(customer_churn_dataset!A468)</f>
        <v>CUST100186</v>
      </c>
      <c r="B468" s="7" t="str">
        <f aca="false">PROPER(TRIM(customer_churn_dataset!B468))</f>
        <v>Premium</v>
      </c>
      <c r="C468" s="7" t="str">
        <f aca="false">PROPER(TRIM(customer_churn_dataset!C468))</f>
        <v>One Year</v>
      </c>
      <c r="D468" s="7" t="n">
        <f aca="false">IF(ISBLANK(customer_churn_dataset!D468),ROUND(MEDIAN(customer_churn_dataset!D$2:D$1501),2),IF(customer_churn_dataset!D468&lt;0,ABS(customer_churn_dataset!D468),customer_churn_dataset!D468))</f>
        <v>37.44</v>
      </c>
      <c r="E468" s="7" t="n">
        <f aca="false">IF(ISBLANK(customer_churn_dataset!E468),0,MAX(0,customer_churn_dataset!E468))</f>
        <v>4</v>
      </c>
      <c r="F468" s="8" t="n">
        <f aca="false">IF(ISBLANK(customer_churn_dataset!F468),"",customer_churn_dataset!F468)</f>
        <v>44449</v>
      </c>
      <c r="G468" s="7" t="str">
        <f aca="false">PROPER(TRIM(customer_churn_dataset!G468))</f>
        <v>Paypal</v>
      </c>
      <c r="H468" s="7" t="n">
        <f aca="false">IF(ISBLANK(customer_churn_dataset!H468),0,customer_churn_dataset!H468)</f>
        <v>1</v>
      </c>
      <c r="I468" s="7" t="n">
        <f aca="false">IF(ISBLANK(customer_churn_dataset!I468),ROUND(MEDIAN(customer_churn_dataset!I$2:I$1501),1),MIN(100,MAX(0,customer_churn_dataset!I468)))</f>
        <v>54.5</v>
      </c>
      <c r="J468" s="7" t="n">
        <f aca="false">IF(ISBLANK(customer_churn_dataset!J468),0,MAX(0,customer_churn_dataset!J468))</f>
        <v>21</v>
      </c>
      <c r="K468" s="7" t="n">
        <f aca="false">IF(ISBLANK(customer_churn_dataset!K468),0,MIN(10,MAX(0,customer_churn_dataset!K468)))</f>
        <v>4</v>
      </c>
      <c r="L468" s="7" t="n">
        <f aca="false">IF(ISBLANK(customer_churn_dataset!L468),0,MAX(0,customer_churn_dataset!L468))</f>
        <v>1</v>
      </c>
      <c r="M468" s="7" t="n">
        <f aca="false">IF(ISBLANK(customer_churn_dataset!M468),0,customer_churn_dataset!M468)</f>
        <v>0</v>
      </c>
      <c r="N468" s="7" t="n">
        <f aca="false">IF(ISBLANK(customer_churn_dataset!N468),0,MAX(0,customer_churn_dataset!N468))</f>
        <v>149.76</v>
      </c>
      <c r="O468" s="7" t="n">
        <f aca="false">IF(ISBLANK(customer_churn_dataset!O468),0,customer_churn_dataset!O468)</f>
        <v>0</v>
      </c>
      <c r="P468" s="7" t="str">
        <f aca="false">IF(COUNTIF(customer_churn_dataset!$A$2:$A$1501,customer_churn_dataset!A468)&gt;1,"Duplicate","Unique")</f>
        <v>Unique</v>
      </c>
    </row>
    <row r="469" customFormat="false" ht="14.15" hidden="false" customHeight="true" outlineLevel="0" collapsed="false">
      <c r="A469" s="7" t="str">
        <f aca="false">TRIM(customer_churn_dataset!A469)</f>
        <v>CUST101123</v>
      </c>
      <c r="B469" s="7" t="str">
        <f aca="false">PROPER(TRIM(customer_churn_dataset!B469))</f>
        <v>Premium</v>
      </c>
      <c r="C469" s="7" t="str">
        <f aca="false">PROPER(TRIM(customer_churn_dataset!C469))</f>
        <v>One Year</v>
      </c>
      <c r="D469" s="7" t="n">
        <f aca="false">IF(ISBLANK(customer_churn_dataset!D469),ROUND(MEDIAN(customer_churn_dataset!D$2:D$1501),2),IF(customer_churn_dataset!D469&lt;0,ABS(customer_churn_dataset!D469),customer_churn_dataset!D469))</f>
        <v>39.01</v>
      </c>
      <c r="E469" s="7" t="n">
        <f aca="false">IF(ISBLANK(customer_churn_dataset!E469),0,MAX(0,customer_churn_dataset!E469))</f>
        <v>38</v>
      </c>
      <c r="F469" s="8" t="n">
        <f aca="false">IF(ISBLANK(customer_churn_dataset!F469),"",customer_churn_dataset!F469)</f>
        <v>44449</v>
      </c>
      <c r="G469" s="7" t="str">
        <f aca="false">PROPER(TRIM(customer_churn_dataset!G469))</f>
        <v>Bank Transfer</v>
      </c>
      <c r="H469" s="7" t="n">
        <f aca="false">IF(ISBLANK(customer_churn_dataset!H469),0,customer_churn_dataset!H469)</f>
        <v>0</v>
      </c>
      <c r="I469" s="7" t="n">
        <f aca="false">IF(ISBLANK(customer_churn_dataset!I469),ROUND(MEDIAN(customer_churn_dataset!I$2:I$1501),1),MIN(100,MAX(0,customer_churn_dataset!I469)))</f>
        <v>59.9</v>
      </c>
      <c r="J469" s="7" t="n">
        <f aca="false">IF(ISBLANK(customer_churn_dataset!J469),0,MAX(0,customer_churn_dataset!J469))</f>
        <v>15</v>
      </c>
      <c r="K469" s="7" t="n">
        <f aca="false">IF(ISBLANK(customer_churn_dataset!K469),0,MIN(10,MAX(0,customer_churn_dataset!K469)))</f>
        <v>6</v>
      </c>
      <c r="L469" s="7" t="n">
        <f aca="false">IF(ISBLANK(customer_churn_dataset!L469),0,MAX(0,customer_churn_dataset!L469))</f>
        <v>2</v>
      </c>
      <c r="M469" s="7" t="n">
        <f aca="false">IF(ISBLANK(customer_churn_dataset!M469),0,customer_churn_dataset!M469)</f>
        <v>0</v>
      </c>
      <c r="N469" s="7" t="n">
        <f aca="false">IF(ISBLANK(customer_churn_dataset!N469),0,MAX(0,customer_churn_dataset!N469))</f>
        <v>1482.38</v>
      </c>
      <c r="O469" s="7" t="n">
        <f aca="false">IF(ISBLANK(customer_churn_dataset!O469),0,customer_churn_dataset!O469)</f>
        <v>0</v>
      </c>
      <c r="P469" s="7" t="str">
        <f aca="false">IF(COUNTIF(customer_churn_dataset!$A$2:$A$1501,customer_churn_dataset!A469)&gt;1,"Duplicate","Unique")</f>
        <v>Unique</v>
      </c>
    </row>
    <row r="470" customFormat="false" ht="14.15" hidden="false" customHeight="true" outlineLevel="0" collapsed="false">
      <c r="A470" s="7" t="str">
        <f aca="false">TRIM(customer_churn_dataset!A470)</f>
        <v>CUST100033</v>
      </c>
      <c r="B470" s="7" t="str">
        <f aca="false">PROPER(TRIM(customer_churn_dataset!B470))</f>
        <v>Premium</v>
      </c>
      <c r="C470" s="7" t="str">
        <f aca="false">PROPER(TRIM(customer_churn_dataset!C470))</f>
        <v>One Year</v>
      </c>
      <c r="D470" s="7" t="n">
        <f aca="false">IF(ISBLANK(customer_churn_dataset!D470),ROUND(MEDIAN(customer_churn_dataset!D$2:D$1501),2),IF(customer_churn_dataset!D470&lt;0,ABS(customer_churn_dataset!D470),customer_churn_dataset!D470))</f>
        <v>40.31</v>
      </c>
      <c r="E470" s="7" t="n">
        <f aca="false">IF(ISBLANK(customer_churn_dataset!E470),0,MAX(0,customer_churn_dataset!E470))</f>
        <v>53</v>
      </c>
      <c r="F470" s="8" t="n">
        <f aca="false">IF(ISBLANK(customer_churn_dataset!F470),"",customer_churn_dataset!F470)</f>
        <v>44450</v>
      </c>
      <c r="G470" s="7" t="str">
        <f aca="false">PROPER(TRIM(customer_churn_dataset!G470))</f>
        <v>Bank Transfer</v>
      </c>
      <c r="H470" s="7" t="n">
        <f aca="false">IF(ISBLANK(customer_churn_dataset!H470),0,customer_churn_dataset!H470)</f>
        <v>1</v>
      </c>
      <c r="I470" s="7" t="n">
        <f aca="false">IF(ISBLANK(customer_churn_dataset!I470),ROUND(MEDIAN(customer_churn_dataset!I$2:I$1501),1),MIN(100,MAX(0,customer_churn_dataset!I470)))</f>
        <v>5.2</v>
      </c>
      <c r="J470" s="7" t="n">
        <f aca="false">IF(ISBLANK(customer_churn_dataset!J470),0,MAX(0,customer_churn_dataset!J470))</f>
        <v>2</v>
      </c>
      <c r="K470" s="7" t="n">
        <f aca="false">IF(ISBLANK(customer_churn_dataset!K470),0,MIN(10,MAX(0,customer_churn_dataset!K470)))</f>
        <v>0</v>
      </c>
      <c r="L470" s="7" t="n">
        <f aca="false">IF(ISBLANK(customer_churn_dataset!L470),0,MAX(0,customer_churn_dataset!L470))</f>
        <v>3</v>
      </c>
      <c r="M470" s="7" t="n">
        <f aca="false">IF(ISBLANK(customer_churn_dataset!M470),0,customer_churn_dataset!M470)</f>
        <v>0</v>
      </c>
      <c r="N470" s="7" t="n">
        <f aca="false">IF(ISBLANK(customer_churn_dataset!N470),0,MAX(0,customer_churn_dataset!N470))</f>
        <v>2136.43</v>
      </c>
      <c r="O470" s="7" t="n">
        <f aca="false">IF(ISBLANK(customer_churn_dataset!O470),0,customer_churn_dataset!O470)</f>
        <v>1</v>
      </c>
      <c r="P470" s="7" t="str">
        <f aca="false">IF(COUNTIF(customer_churn_dataset!$A$2:$A$1501,customer_churn_dataset!A470)&gt;1,"Duplicate","Unique")</f>
        <v>Unique</v>
      </c>
    </row>
    <row r="471" customFormat="false" ht="14.15" hidden="false" customHeight="true" outlineLevel="0" collapsed="false">
      <c r="A471" s="7" t="str">
        <f aca="false">TRIM(customer_churn_dataset!A471)</f>
        <v>CUST100005</v>
      </c>
      <c r="B471" s="7" t="str">
        <f aca="false">PROPER(TRIM(customer_churn_dataset!B471))</f>
        <v>Basic</v>
      </c>
      <c r="C471" s="7" t="str">
        <f aca="false">PROPER(TRIM(customer_churn_dataset!C471))</f>
        <v>One Year</v>
      </c>
      <c r="D471" s="7" t="n">
        <f aca="false">IF(ISBLANK(customer_churn_dataset!D471),ROUND(MEDIAN(customer_churn_dataset!D$2:D$1501),2),IF(customer_churn_dataset!D471&lt;0,ABS(customer_churn_dataset!D471),customer_churn_dataset!D471))</f>
        <v>12.43</v>
      </c>
      <c r="E471" s="7" t="n">
        <f aca="false">IF(ISBLANK(customer_churn_dataset!E471),0,MAX(0,customer_churn_dataset!E471))</f>
        <v>3</v>
      </c>
      <c r="F471" s="8" t="n">
        <f aca="false">IF(ISBLANK(customer_churn_dataset!F471),"",customer_churn_dataset!F471)</f>
        <v>44451</v>
      </c>
      <c r="G471" s="7" t="str">
        <f aca="false">PROPER(TRIM(customer_churn_dataset!G471))</f>
        <v>Credit Card</v>
      </c>
      <c r="H471" s="7" t="n">
        <f aca="false">IF(ISBLANK(customer_churn_dataset!H471),0,customer_churn_dataset!H471)</f>
        <v>1</v>
      </c>
      <c r="I471" s="7" t="n">
        <f aca="false">IF(ISBLANK(customer_churn_dataset!I471),ROUND(MEDIAN(customer_churn_dataset!I$2:I$1501),1),MIN(100,MAX(0,customer_churn_dataset!I471)))</f>
        <v>86.6</v>
      </c>
      <c r="J471" s="7" t="n">
        <f aca="false">IF(ISBLANK(customer_churn_dataset!J471),0,MAX(0,customer_churn_dataset!J471))</f>
        <v>25</v>
      </c>
      <c r="K471" s="7" t="n">
        <f aca="false">IF(ISBLANK(customer_churn_dataset!K471),0,MIN(10,MAX(0,customer_churn_dataset!K471)))</f>
        <v>6</v>
      </c>
      <c r="L471" s="7" t="n">
        <f aca="false">IF(ISBLANK(customer_churn_dataset!L471),0,MAX(0,customer_churn_dataset!L471))</f>
        <v>1</v>
      </c>
      <c r="M471" s="7" t="n">
        <f aca="false">IF(ISBLANK(customer_churn_dataset!M471),0,customer_churn_dataset!M471)</f>
        <v>0</v>
      </c>
      <c r="N471" s="7" t="n">
        <f aca="false">IF(ISBLANK(customer_churn_dataset!N471),0,MAX(0,customer_churn_dataset!N471))</f>
        <v>37.29</v>
      </c>
      <c r="O471" s="7" t="n">
        <f aca="false">IF(ISBLANK(customer_churn_dataset!O471),0,customer_churn_dataset!O471)</f>
        <v>0</v>
      </c>
      <c r="P471" s="7" t="str">
        <f aca="false">IF(COUNTIF(customer_churn_dataset!$A$2:$A$1501,customer_churn_dataset!A471)&gt;1,"Duplicate","Unique")</f>
        <v>Unique</v>
      </c>
    </row>
    <row r="472" customFormat="false" ht="14.15" hidden="false" customHeight="true" outlineLevel="0" collapsed="false">
      <c r="A472" s="7" t="str">
        <f aca="false">TRIM(customer_churn_dataset!A472)</f>
        <v>CUST100101</v>
      </c>
      <c r="B472" s="7" t="str">
        <f aca="false">PROPER(TRIM(customer_churn_dataset!B472))</f>
        <v>Standard</v>
      </c>
      <c r="C472" s="7" t="str">
        <f aca="false">PROPER(TRIM(customer_churn_dataset!C472))</f>
        <v>One Year</v>
      </c>
      <c r="D472" s="7" t="n">
        <f aca="false">IF(ISBLANK(customer_churn_dataset!D472),ROUND(MEDIAN(customer_churn_dataset!D$2:D$1501),2),IF(customer_churn_dataset!D472&lt;0,ABS(customer_churn_dataset!D472),customer_churn_dataset!D472))</f>
        <v>20.07</v>
      </c>
      <c r="E472" s="7" t="n">
        <f aca="false">IF(ISBLANK(customer_churn_dataset!E472),0,MAX(0,customer_churn_dataset!E472))</f>
        <v>27</v>
      </c>
      <c r="F472" s="8" t="n">
        <f aca="false">IF(ISBLANK(customer_churn_dataset!F472),"",customer_churn_dataset!F472)</f>
        <v>44452</v>
      </c>
      <c r="G472" s="7" t="str">
        <f aca="false">PROPER(TRIM(customer_churn_dataset!G472))</f>
        <v>Credit Card</v>
      </c>
      <c r="H472" s="7" t="n">
        <f aca="false">IF(ISBLANK(customer_churn_dataset!H472),0,customer_churn_dataset!H472)</f>
        <v>0</v>
      </c>
      <c r="I472" s="7" t="n">
        <f aca="false">IF(ISBLANK(customer_churn_dataset!I472),ROUND(MEDIAN(customer_churn_dataset!I$2:I$1501),1),MIN(100,MAX(0,customer_churn_dataset!I472)))</f>
        <v>26.2</v>
      </c>
      <c r="J472" s="7" t="n">
        <f aca="false">IF(ISBLANK(customer_churn_dataset!J472),0,MAX(0,customer_churn_dataset!J472))</f>
        <v>5</v>
      </c>
      <c r="K472" s="7" t="n">
        <f aca="false">IF(ISBLANK(customer_churn_dataset!K472),0,MIN(10,MAX(0,customer_churn_dataset!K472)))</f>
        <v>4</v>
      </c>
      <c r="L472" s="7" t="n">
        <f aca="false">IF(ISBLANK(customer_churn_dataset!L472),0,MAX(0,customer_churn_dataset!L472))</f>
        <v>1</v>
      </c>
      <c r="M472" s="7" t="n">
        <f aca="false">IF(ISBLANK(customer_churn_dataset!M472),0,customer_churn_dataset!M472)</f>
        <v>1</v>
      </c>
      <c r="N472" s="7" t="n">
        <f aca="false">IF(ISBLANK(customer_churn_dataset!N472),0,MAX(0,customer_churn_dataset!N472))</f>
        <v>541.89</v>
      </c>
      <c r="O472" s="7" t="n">
        <f aca="false">IF(ISBLANK(customer_churn_dataset!O472),0,customer_churn_dataset!O472)</f>
        <v>0</v>
      </c>
      <c r="P472" s="7" t="str">
        <f aca="false">IF(COUNTIF(customer_churn_dataset!$A$2:$A$1501,customer_churn_dataset!A472)&gt;1,"Duplicate","Unique")</f>
        <v>Unique</v>
      </c>
    </row>
    <row r="473" customFormat="false" ht="14.15" hidden="false" customHeight="true" outlineLevel="0" collapsed="false">
      <c r="A473" s="7" t="str">
        <f aca="false">TRIM(customer_churn_dataset!A473)</f>
        <v>CUST101467</v>
      </c>
      <c r="B473" s="7" t="str">
        <f aca="false">PROPER(TRIM(customer_churn_dataset!B473))</f>
        <v>Basic</v>
      </c>
      <c r="C473" s="7" t="str">
        <f aca="false">PROPER(TRIM(customer_churn_dataset!C473))</f>
        <v>Month-To-Month</v>
      </c>
      <c r="D473" s="7" t="n">
        <f aca="false">IF(ISBLANK(customer_churn_dataset!D473),ROUND(MEDIAN(customer_churn_dataset!D$2:D$1501),2),IF(customer_churn_dataset!D473&lt;0,ABS(customer_churn_dataset!D473),customer_churn_dataset!D473))</f>
        <v>10.69</v>
      </c>
      <c r="E473" s="7" t="n">
        <f aca="false">IF(ISBLANK(customer_churn_dataset!E473),0,MAX(0,customer_churn_dataset!E473))</f>
        <v>15</v>
      </c>
      <c r="F473" s="8" t="n">
        <f aca="false">IF(ISBLANK(customer_churn_dataset!F473),"",customer_churn_dataset!F473)</f>
        <v>44452</v>
      </c>
      <c r="G473" s="7" t="str">
        <f aca="false">PROPER(TRIM(customer_churn_dataset!G473))</f>
        <v>Bank Transfer</v>
      </c>
      <c r="H473" s="7" t="n">
        <f aca="false">IF(ISBLANK(customer_churn_dataset!H473),0,customer_churn_dataset!H473)</f>
        <v>0</v>
      </c>
      <c r="I473" s="7" t="n">
        <f aca="false">IF(ISBLANK(customer_churn_dataset!I473),ROUND(MEDIAN(customer_churn_dataset!I$2:I$1501),1),MIN(100,MAX(0,customer_churn_dataset!I473)))</f>
        <v>45.3</v>
      </c>
      <c r="J473" s="7" t="n">
        <f aca="false">IF(ISBLANK(customer_churn_dataset!J473),0,MAX(0,customer_churn_dataset!J473))</f>
        <v>10</v>
      </c>
      <c r="K473" s="7" t="n">
        <f aca="false">IF(ISBLANK(customer_churn_dataset!K473),0,MIN(10,MAX(0,customer_churn_dataset!K473)))</f>
        <v>6</v>
      </c>
      <c r="L473" s="7" t="n">
        <f aca="false">IF(ISBLANK(customer_churn_dataset!L473),0,MAX(0,customer_churn_dataset!L473))</f>
        <v>1</v>
      </c>
      <c r="M473" s="7" t="n">
        <f aca="false">IF(ISBLANK(customer_churn_dataset!M473),0,customer_churn_dataset!M473)</f>
        <v>1</v>
      </c>
      <c r="N473" s="7" t="n">
        <f aca="false">IF(ISBLANK(customer_churn_dataset!N473),0,MAX(0,customer_churn_dataset!N473))</f>
        <v>160.35</v>
      </c>
      <c r="O473" s="7" t="n">
        <f aca="false">IF(ISBLANK(customer_churn_dataset!O473),0,customer_churn_dataset!O473)</f>
        <v>1</v>
      </c>
      <c r="P473" s="7" t="str">
        <f aca="false">IF(COUNTIF(customer_churn_dataset!$A$2:$A$1501,customer_churn_dataset!A473)&gt;1,"Duplicate","Unique")</f>
        <v>Unique</v>
      </c>
    </row>
    <row r="474" customFormat="false" ht="14.15" hidden="false" customHeight="true" outlineLevel="0" collapsed="false">
      <c r="A474" s="7" t="str">
        <f aca="false">TRIM(customer_churn_dataset!A474)</f>
        <v>CUST100248</v>
      </c>
      <c r="B474" s="7" t="str">
        <f aca="false">PROPER(TRIM(customer_churn_dataset!B474))</f>
        <v>Premium</v>
      </c>
      <c r="C474" s="7" t="str">
        <f aca="false">PROPER(TRIM(customer_churn_dataset!C474))</f>
        <v>Month-To-Month</v>
      </c>
      <c r="D474" s="7" t="n">
        <f aca="false">IF(ISBLANK(customer_churn_dataset!D474),ROUND(MEDIAN(customer_churn_dataset!D$2:D$1501),2),IF(customer_churn_dataset!D474&lt;0,ABS(customer_churn_dataset!D474),customer_churn_dataset!D474))</f>
        <v>39.67</v>
      </c>
      <c r="E474" s="7" t="n">
        <f aca="false">IF(ISBLANK(customer_churn_dataset!E474),0,MAX(0,customer_churn_dataset!E474))</f>
        <v>7</v>
      </c>
      <c r="F474" s="8" t="n">
        <f aca="false">IF(ISBLANK(customer_churn_dataset!F474),"",customer_churn_dataset!F474)</f>
        <v>44453</v>
      </c>
      <c r="G474" s="7" t="str">
        <f aca="false">PROPER(TRIM(customer_churn_dataset!G474))</f>
        <v>Credit Card</v>
      </c>
      <c r="H474" s="7" t="n">
        <f aca="false">IF(ISBLANK(customer_churn_dataset!H474),0,customer_churn_dataset!H474)</f>
        <v>1</v>
      </c>
      <c r="I474" s="7" t="n">
        <f aca="false">IF(ISBLANK(customer_churn_dataset!I474),ROUND(MEDIAN(customer_churn_dataset!I$2:I$1501),1),MIN(100,MAX(0,customer_churn_dataset!I474)))</f>
        <v>9.9</v>
      </c>
      <c r="J474" s="7" t="n">
        <f aca="false">IF(ISBLANK(customer_churn_dataset!J474),0,MAX(0,customer_churn_dataset!J474))</f>
        <v>7</v>
      </c>
      <c r="K474" s="7" t="n">
        <f aca="false">IF(ISBLANK(customer_churn_dataset!K474),0,MIN(10,MAX(0,customer_churn_dataset!K474)))</f>
        <v>0</v>
      </c>
      <c r="L474" s="7" t="n">
        <f aca="false">IF(ISBLANK(customer_churn_dataset!L474),0,MAX(0,customer_churn_dataset!L474))</f>
        <v>4</v>
      </c>
      <c r="M474" s="7" t="n">
        <f aca="false">IF(ISBLANK(customer_churn_dataset!M474),0,customer_churn_dataset!M474)</f>
        <v>0</v>
      </c>
      <c r="N474" s="7" t="n">
        <f aca="false">IF(ISBLANK(customer_churn_dataset!N474),0,MAX(0,customer_churn_dataset!N474))</f>
        <v>277.69</v>
      </c>
      <c r="O474" s="7" t="n">
        <f aca="false">IF(ISBLANK(customer_churn_dataset!O474),0,customer_churn_dataset!O474)</f>
        <v>0</v>
      </c>
      <c r="P474" s="7" t="str">
        <f aca="false">IF(COUNTIF(customer_churn_dataset!$A$2:$A$1501,customer_churn_dataset!A474)&gt;1,"Duplicate","Unique")</f>
        <v>Unique</v>
      </c>
    </row>
    <row r="475" customFormat="false" ht="14.15" hidden="false" customHeight="true" outlineLevel="0" collapsed="false">
      <c r="A475" s="7" t="str">
        <f aca="false">TRIM(customer_churn_dataset!A475)</f>
        <v>CUST101254</v>
      </c>
      <c r="B475" s="7" t="str">
        <f aca="false">PROPER(TRIM(customer_churn_dataset!B475))</f>
        <v>Standard</v>
      </c>
      <c r="C475" s="7" t="str">
        <f aca="false">PROPER(TRIM(customer_churn_dataset!C475))</f>
        <v>Two Year</v>
      </c>
      <c r="D475" s="7" t="n">
        <f aca="false">IF(ISBLANK(customer_churn_dataset!D475),ROUND(MEDIAN(customer_churn_dataset!D$2:D$1501),2),IF(customer_churn_dataset!D475&lt;0,ABS(customer_churn_dataset!D475),customer_churn_dataset!D475))</f>
        <v>21.01</v>
      </c>
      <c r="E475" s="7" t="n">
        <f aca="false">IF(ISBLANK(customer_churn_dataset!E475),0,MAX(0,customer_churn_dataset!E475))</f>
        <v>1</v>
      </c>
      <c r="F475" s="8" t="n">
        <f aca="false">IF(ISBLANK(customer_churn_dataset!F475),"",customer_churn_dataset!F475)</f>
        <v>44453</v>
      </c>
      <c r="G475" s="7" t="str">
        <f aca="false">PROPER(TRIM(customer_churn_dataset!G475))</f>
        <v>Bank Transfer</v>
      </c>
      <c r="H475" s="7" t="n">
        <f aca="false">IF(ISBLANK(customer_churn_dataset!H475),0,customer_churn_dataset!H475)</f>
        <v>0</v>
      </c>
      <c r="I475" s="7" t="n">
        <f aca="false">IF(ISBLANK(customer_churn_dataset!I475),ROUND(MEDIAN(customer_churn_dataset!I$2:I$1501),1),MIN(100,MAX(0,customer_churn_dataset!I475)))</f>
        <v>33.9</v>
      </c>
      <c r="J475" s="7" t="n">
        <f aca="false">IF(ISBLANK(customer_churn_dataset!J475),0,MAX(0,customer_churn_dataset!J475))</f>
        <v>9</v>
      </c>
      <c r="K475" s="7" t="n">
        <f aca="false">IF(ISBLANK(customer_churn_dataset!K475),0,MIN(10,MAX(0,customer_churn_dataset!K475)))</f>
        <v>2</v>
      </c>
      <c r="L475" s="7" t="n">
        <f aca="false">IF(ISBLANK(customer_churn_dataset!L475),0,MAX(0,customer_churn_dataset!L475))</f>
        <v>3</v>
      </c>
      <c r="M475" s="7" t="n">
        <f aca="false">IF(ISBLANK(customer_churn_dataset!M475),0,customer_churn_dataset!M475)</f>
        <v>1</v>
      </c>
      <c r="N475" s="7" t="n">
        <f aca="false">IF(ISBLANK(customer_churn_dataset!N475),0,MAX(0,customer_churn_dataset!N475))</f>
        <v>21.01</v>
      </c>
      <c r="O475" s="7" t="n">
        <f aca="false">IF(ISBLANK(customer_churn_dataset!O475),0,customer_churn_dataset!O475)</f>
        <v>0</v>
      </c>
      <c r="P475" s="7" t="str">
        <f aca="false">IF(COUNTIF(customer_churn_dataset!$A$2:$A$1501,customer_churn_dataset!A475)&gt;1,"Duplicate","Unique")</f>
        <v>Unique</v>
      </c>
    </row>
    <row r="476" customFormat="false" ht="14.15" hidden="false" customHeight="true" outlineLevel="0" collapsed="false">
      <c r="A476" s="7" t="str">
        <f aca="false">TRIM(customer_churn_dataset!A476)</f>
        <v>CUST100285</v>
      </c>
      <c r="B476" s="7" t="str">
        <f aca="false">PROPER(TRIM(customer_churn_dataset!B476))</f>
        <v>Basic</v>
      </c>
      <c r="C476" s="7" t="str">
        <f aca="false">PROPER(TRIM(customer_churn_dataset!C476))</f>
        <v>Month-To-Month</v>
      </c>
      <c r="D476" s="7" t="n">
        <f aca="false">IF(ISBLANK(customer_churn_dataset!D476),ROUND(MEDIAN(customer_churn_dataset!D$2:D$1501),2),IF(customer_churn_dataset!D476&lt;0,ABS(customer_churn_dataset!D476),customer_churn_dataset!D476))</f>
        <v>9.34</v>
      </c>
      <c r="E476" s="7" t="n">
        <f aca="false">IF(ISBLANK(customer_churn_dataset!E476),0,MAX(0,customer_churn_dataset!E476))</f>
        <v>4</v>
      </c>
      <c r="F476" s="8" t="n">
        <f aca="false">IF(ISBLANK(customer_churn_dataset!F476),"",customer_churn_dataset!F476)</f>
        <v>44455</v>
      </c>
      <c r="G476" s="7" t="str">
        <f aca="false">PROPER(TRIM(customer_churn_dataset!G476))</f>
        <v>Bank Transfer</v>
      </c>
      <c r="H476" s="7" t="n">
        <f aca="false">IF(ISBLANK(customer_churn_dataset!H476),0,customer_churn_dataset!H476)</f>
        <v>0</v>
      </c>
      <c r="I476" s="7" t="n">
        <f aca="false">IF(ISBLANK(customer_churn_dataset!I476),ROUND(MEDIAN(customer_churn_dataset!I$2:I$1501),1),MIN(100,MAX(0,customer_churn_dataset!I476)))</f>
        <v>100</v>
      </c>
      <c r="J476" s="7" t="n">
        <f aca="false">IF(ISBLANK(customer_churn_dataset!J476),0,MAX(0,customer_churn_dataset!J476))</f>
        <v>27</v>
      </c>
      <c r="K476" s="7" t="n">
        <f aca="false">IF(ISBLANK(customer_churn_dataset!K476),0,MIN(10,MAX(0,customer_churn_dataset!K476)))</f>
        <v>10</v>
      </c>
      <c r="L476" s="7" t="n">
        <f aca="false">IF(ISBLANK(customer_churn_dataset!L476),0,MAX(0,customer_churn_dataset!L476))</f>
        <v>1</v>
      </c>
      <c r="M476" s="7" t="n">
        <f aca="false">IF(ISBLANK(customer_churn_dataset!M476),0,customer_churn_dataset!M476)</f>
        <v>0</v>
      </c>
      <c r="N476" s="7" t="n">
        <f aca="false">IF(ISBLANK(customer_churn_dataset!N476),0,MAX(0,customer_churn_dataset!N476))</f>
        <v>37.36</v>
      </c>
      <c r="O476" s="7" t="n">
        <f aca="false">IF(ISBLANK(customer_churn_dataset!O476),0,customer_churn_dataset!O476)</f>
        <v>0</v>
      </c>
      <c r="P476" s="7" t="str">
        <f aca="false">IF(COUNTIF(customer_churn_dataset!$A$2:$A$1501,customer_churn_dataset!A476)&gt;1,"Duplicate","Unique")</f>
        <v>Unique</v>
      </c>
    </row>
    <row r="477" customFormat="false" ht="14.15" hidden="false" customHeight="true" outlineLevel="0" collapsed="false">
      <c r="A477" s="7" t="str">
        <f aca="false">TRIM(customer_churn_dataset!A477)</f>
        <v>CUST100882</v>
      </c>
      <c r="B477" s="7" t="str">
        <f aca="false">PROPER(TRIM(customer_churn_dataset!B477))</f>
        <v>Basic</v>
      </c>
      <c r="C477" s="7" t="str">
        <f aca="false">PROPER(TRIM(customer_churn_dataset!C477))</f>
        <v>One Year</v>
      </c>
      <c r="D477" s="7" t="n">
        <f aca="false">IF(ISBLANK(customer_churn_dataset!D477),ROUND(MEDIAN(customer_churn_dataset!D$2:D$1501),2),IF(customer_churn_dataset!D477&lt;0,ABS(customer_churn_dataset!D477),customer_churn_dataset!D477))</f>
        <v>9.47</v>
      </c>
      <c r="E477" s="7" t="n">
        <f aca="false">IF(ISBLANK(customer_churn_dataset!E477),0,MAX(0,customer_churn_dataset!E477))</f>
        <v>72</v>
      </c>
      <c r="F477" s="8" t="n">
        <f aca="false">IF(ISBLANK(customer_churn_dataset!F477),"",customer_churn_dataset!F477)</f>
        <v>44459</v>
      </c>
      <c r="G477" s="7" t="str">
        <f aca="false">PROPER(TRIM(customer_churn_dataset!G477))</f>
        <v>Credit Card</v>
      </c>
      <c r="H477" s="7" t="n">
        <f aca="false">IF(ISBLANK(customer_churn_dataset!H477),0,customer_churn_dataset!H477)</f>
        <v>1</v>
      </c>
      <c r="I477" s="7" t="n">
        <f aca="false">IF(ISBLANK(customer_churn_dataset!I477),ROUND(MEDIAN(customer_churn_dataset!I$2:I$1501),1),MIN(100,MAX(0,customer_churn_dataset!I477)))</f>
        <v>39.4</v>
      </c>
      <c r="J477" s="7" t="n">
        <f aca="false">IF(ISBLANK(customer_churn_dataset!J477),0,MAX(0,customer_churn_dataset!J477))</f>
        <v>5</v>
      </c>
      <c r="K477" s="7" t="n">
        <f aca="false">IF(ISBLANK(customer_churn_dataset!K477),0,MIN(10,MAX(0,customer_churn_dataset!K477)))</f>
        <v>4</v>
      </c>
      <c r="L477" s="7" t="n">
        <f aca="false">IF(ISBLANK(customer_churn_dataset!L477),0,MAX(0,customer_churn_dataset!L477))</f>
        <v>0</v>
      </c>
      <c r="M477" s="7" t="n">
        <f aca="false">IF(ISBLANK(customer_churn_dataset!M477),0,customer_churn_dataset!M477)</f>
        <v>0</v>
      </c>
      <c r="N477" s="7" t="n">
        <f aca="false">IF(ISBLANK(customer_churn_dataset!N477),0,MAX(0,customer_churn_dataset!N477))</f>
        <v>681.84</v>
      </c>
      <c r="O477" s="7" t="n">
        <f aca="false">IF(ISBLANK(customer_churn_dataset!O477),0,customer_churn_dataset!O477)</f>
        <v>0</v>
      </c>
      <c r="P477" s="7" t="str">
        <f aca="false">IF(COUNTIF(customer_churn_dataset!$A$2:$A$1501,customer_churn_dataset!A477)&gt;1,"Duplicate","Unique")</f>
        <v>Unique</v>
      </c>
    </row>
    <row r="478" customFormat="false" ht="14.15" hidden="false" customHeight="true" outlineLevel="0" collapsed="false">
      <c r="A478" s="7" t="str">
        <f aca="false">TRIM(customer_churn_dataset!A478)</f>
        <v>CUST100527</v>
      </c>
      <c r="B478" s="7" t="str">
        <f aca="false">PROPER(TRIM(customer_churn_dataset!B478))</f>
        <v>Basic</v>
      </c>
      <c r="C478" s="7" t="str">
        <f aca="false">PROPER(TRIM(customer_churn_dataset!C478))</f>
        <v>Month-To-Month</v>
      </c>
      <c r="D478" s="7" t="n">
        <f aca="false">IF(ISBLANK(customer_churn_dataset!D478),ROUND(MEDIAN(customer_churn_dataset!D$2:D$1501),2),IF(customer_churn_dataset!D478&lt;0,ABS(customer_churn_dataset!D478),customer_churn_dataset!D478))</f>
        <v>10.19</v>
      </c>
      <c r="E478" s="7" t="n">
        <f aca="false">IF(ISBLANK(customer_churn_dataset!E478),0,MAX(0,customer_churn_dataset!E478))</f>
        <v>19</v>
      </c>
      <c r="F478" s="8" t="n">
        <f aca="false">IF(ISBLANK(customer_churn_dataset!F478),"",customer_churn_dataset!F478)</f>
        <v>44461</v>
      </c>
      <c r="G478" s="7" t="str">
        <f aca="false">PROPER(TRIM(customer_churn_dataset!G478))</f>
        <v>Credit Card</v>
      </c>
      <c r="H478" s="7" t="n">
        <f aca="false">IF(ISBLANK(customer_churn_dataset!H478),0,customer_churn_dataset!H478)</f>
        <v>1</v>
      </c>
      <c r="I478" s="7" t="n">
        <f aca="false">IF(ISBLANK(customer_churn_dataset!I478),ROUND(MEDIAN(customer_churn_dataset!I$2:I$1501),1),MIN(100,MAX(0,customer_churn_dataset!I478)))</f>
        <v>50.5</v>
      </c>
      <c r="J478" s="7" t="n">
        <f aca="false">IF(ISBLANK(customer_churn_dataset!J478),0,MAX(0,customer_churn_dataset!J478))</f>
        <v>24</v>
      </c>
      <c r="K478" s="7" t="n">
        <f aca="false">IF(ISBLANK(customer_churn_dataset!K478),0,MIN(10,MAX(0,customer_churn_dataset!K478)))</f>
        <v>3</v>
      </c>
      <c r="L478" s="7" t="n">
        <f aca="false">IF(ISBLANK(customer_churn_dataset!L478),0,MAX(0,customer_churn_dataset!L478))</f>
        <v>1</v>
      </c>
      <c r="M478" s="7" t="n">
        <f aca="false">IF(ISBLANK(customer_churn_dataset!M478),0,customer_churn_dataset!M478)</f>
        <v>0</v>
      </c>
      <c r="N478" s="7" t="n">
        <f aca="false">IF(ISBLANK(customer_churn_dataset!N478),0,MAX(0,customer_churn_dataset!N478))</f>
        <v>193.61</v>
      </c>
      <c r="O478" s="7" t="n">
        <f aca="false">IF(ISBLANK(customer_churn_dataset!O478),0,customer_churn_dataset!O478)</f>
        <v>0</v>
      </c>
      <c r="P478" s="7" t="str">
        <f aca="false">IF(COUNTIF(customer_churn_dataset!$A$2:$A$1501,customer_churn_dataset!A478)&gt;1,"Duplicate","Unique")</f>
        <v>Unique</v>
      </c>
    </row>
    <row r="479" customFormat="false" ht="14.15" hidden="false" customHeight="true" outlineLevel="0" collapsed="false">
      <c r="A479" s="7" t="str">
        <f aca="false">TRIM(customer_churn_dataset!A479)</f>
        <v>CUST101022</v>
      </c>
      <c r="B479" s="7" t="str">
        <f aca="false">PROPER(TRIM(customer_churn_dataset!B479))</f>
        <v>Premium</v>
      </c>
      <c r="C479" s="7" t="str">
        <f aca="false">PROPER(TRIM(customer_churn_dataset!C479))</f>
        <v>Month-To-Month</v>
      </c>
      <c r="D479" s="7" t="n">
        <f aca="false">IF(ISBLANK(customer_churn_dataset!D479),ROUND(MEDIAN(customer_churn_dataset!D$2:D$1501),2),IF(customer_churn_dataset!D479&lt;0,ABS(customer_churn_dataset!D479),customer_churn_dataset!D479))</f>
        <v>39.81</v>
      </c>
      <c r="E479" s="7" t="n">
        <f aca="false">IF(ISBLANK(customer_churn_dataset!E479),0,MAX(0,customer_churn_dataset!E479))</f>
        <v>35</v>
      </c>
      <c r="F479" s="8" t="n">
        <f aca="false">IF(ISBLANK(customer_churn_dataset!F479),"",customer_churn_dataset!F479)</f>
        <v>44469</v>
      </c>
      <c r="G479" s="7" t="str">
        <f aca="false">PROPER(TRIM(customer_churn_dataset!G479))</f>
        <v>Credit Card</v>
      </c>
      <c r="H479" s="7" t="n">
        <f aca="false">IF(ISBLANK(customer_churn_dataset!H479),0,customer_churn_dataset!H479)</f>
        <v>0</v>
      </c>
      <c r="I479" s="7" t="n">
        <f aca="false">IF(ISBLANK(customer_churn_dataset!I479),ROUND(MEDIAN(customer_churn_dataset!I$2:I$1501),1),MIN(100,MAX(0,customer_churn_dataset!I479)))</f>
        <v>50.9</v>
      </c>
      <c r="J479" s="7" t="n">
        <f aca="false">IF(ISBLANK(customer_churn_dataset!J479),0,MAX(0,customer_churn_dataset!J479))</f>
        <v>16</v>
      </c>
      <c r="K479" s="7" t="n">
        <f aca="false">IF(ISBLANK(customer_churn_dataset!K479),0,MIN(10,MAX(0,customer_churn_dataset!K479)))</f>
        <v>2</v>
      </c>
      <c r="L479" s="7" t="n">
        <f aca="false">IF(ISBLANK(customer_churn_dataset!L479),0,MAX(0,customer_churn_dataset!L479))</f>
        <v>0</v>
      </c>
      <c r="M479" s="7" t="n">
        <f aca="false">IF(ISBLANK(customer_churn_dataset!M479),0,customer_churn_dataset!M479)</f>
        <v>0</v>
      </c>
      <c r="N479" s="7" t="n">
        <f aca="false">IF(ISBLANK(customer_churn_dataset!N479),0,MAX(0,customer_churn_dataset!N479))</f>
        <v>1393.35</v>
      </c>
      <c r="O479" s="7" t="n">
        <f aca="false">IF(ISBLANK(customer_churn_dataset!O479),0,customer_churn_dataset!O479)</f>
        <v>0</v>
      </c>
      <c r="P479" s="7" t="str">
        <f aca="false">IF(COUNTIF(customer_churn_dataset!$A$2:$A$1501,customer_churn_dataset!A479)&gt;1,"Duplicate","Unique")</f>
        <v>Unique</v>
      </c>
    </row>
    <row r="480" customFormat="false" ht="14.15" hidden="false" customHeight="true" outlineLevel="0" collapsed="false">
      <c r="A480" s="7" t="str">
        <f aca="false">TRIM(customer_churn_dataset!A480)</f>
        <v>CUST100434</v>
      </c>
      <c r="B480" s="7" t="str">
        <f aca="false">PROPER(TRIM(customer_churn_dataset!B480))</f>
        <v>Basic</v>
      </c>
      <c r="C480" s="7" t="str">
        <f aca="false">PROPER(TRIM(customer_churn_dataset!C480))</f>
        <v>Month-To-Month</v>
      </c>
      <c r="D480" s="7" t="n">
        <f aca="false">IF(ISBLANK(customer_churn_dataset!D480),ROUND(MEDIAN(customer_churn_dataset!D$2:D$1501),2),IF(customer_churn_dataset!D480&lt;0,ABS(customer_churn_dataset!D480),customer_churn_dataset!D480))</f>
        <v>7.63</v>
      </c>
      <c r="E480" s="7" t="n">
        <f aca="false">IF(ISBLANK(customer_churn_dataset!E480),0,MAX(0,customer_churn_dataset!E480))</f>
        <v>33</v>
      </c>
      <c r="F480" s="8" t="n">
        <f aca="false">IF(ISBLANK(customer_churn_dataset!F480),"",customer_churn_dataset!F480)</f>
        <v>44470</v>
      </c>
      <c r="G480" s="7" t="str">
        <f aca="false">PROPER(TRIM(customer_churn_dataset!G480))</f>
        <v>Credit Card</v>
      </c>
      <c r="H480" s="7" t="n">
        <f aca="false">IF(ISBLANK(customer_churn_dataset!H480),0,customer_churn_dataset!H480)</f>
        <v>0</v>
      </c>
      <c r="I480" s="7" t="n">
        <f aca="false">IF(ISBLANK(customer_churn_dataset!I480),ROUND(MEDIAN(customer_churn_dataset!I$2:I$1501),1),MIN(100,MAX(0,customer_churn_dataset!I480)))</f>
        <v>39.8</v>
      </c>
      <c r="J480" s="7" t="n">
        <f aca="false">IF(ISBLANK(customer_churn_dataset!J480),0,MAX(0,customer_churn_dataset!J480))</f>
        <v>6</v>
      </c>
      <c r="K480" s="7" t="n">
        <f aca="false">IF(ISBLANK(customer_churn_dataset!K480),0,MIN(10,MAX(0,customer_churn_dataset!K480)))</f>
        <v>4</v>
      </c>
      <c r="L480" s="7" t="n">
        <f aca="false">IF(ISBLANK(customer_churn_dataset!L480),0,MAX(0,customer_churn_dataset!L480))</f>
        <v>1</v>
      </c>
      <c r="M480" s="7" t="n">
        <f aca="false">IF(ISBLANK(customer_churn_dataset!M480),0,customer_churn_dataset!M480)</f>
        <v>0</v>
      </c>
      <c r="N480" s="7" t="n">
        <f aca="false">IF(ISBLANK(customer_churn_dataset!N480),0,MAX(0,customer_churn_dataset!N480))</f>
        <v>251.79</v>
      </c>
      <c r="O480" s="7" t="n">
        <f aca="false">IF(ISBLANK(customer_churn_dataset!O480),0,customer_churn_dataset!O480)</f>
        <v>0</v>
      </c>
      <c r="P480" s="7" t="str">
        <f aca="false">IF(COUNTIF(customer_churn_dataset!$A$2:$A$1501,customer_churn_dataset!A480)&gt;1,"Duplicate","Unique")</f>
        <v>Unique</v>
      </c>
    </row>
    <row r="481" customFormat="false" ht="14.15" hidden="false" customHeight="true" outlineLevel="0" collapsed="false">
      <c r="A481" s="7" t="str">
        <f aca="false">TRIM(customer_churn_dataset!A481)</f>
        <v>CUST100041</v>
      </c>
      <c r="B481" s="7" t="str">
        <f aca="false">PROPER(TRIM(customer_churn_dataset!B481))</f>
        <v>Standard</v>
      </c>
      <c r="C481" s="7" t="str">
        <f aca="false">PROPER(TRIM(customer_churn_dataset!C481))</f>
        <v>Two Year</v>
      </c>
      <c r="D481" s="7" t="n">
        <f aca="false">IF(ISBLANK(customer_churn_dataset!D481),ROUND(MEDIAN(customer_churn_dataset!D$2:D$1501),2),IF(customer_churn_dataset!D481&lt;0,ABS(customer_churn_dataset!D481),customer_churn_dataset!D481))</f>
        <v>19.56</v>
      </c>
      <c r="E481" s="7" t="n">
        <f aca="false">IF(ISBLANK(customer_churn_dataset!E481),0,MAX(0,customer_churn_dataset!E481))</f>
        <v>5</v>
      </c>
      <c r="F481" s="8" t="n">
        <f aca="false">IF(ISBLANK(customer_churn_dataset!F481),"",customer_churn_dataset!F481)</f>
        <v>44474</v>
      </c>
      <c r="G481" s="7" t="str">
        <f aca="false">PROPER(TRIM(customer_churn_dataset!G481))</f>
        <v>Credit Card</v>
      </c>
      <c r="H481" s="7" t="n">
        <f aca="false">IF(ISBLANK(customer_churn_dataset!H481),0,customer_churn_dataset!H481)</f>
        <v>0</v>
      </c>
      <c r="I481" s="7" t="n">
        <f aca="false">IF(ISBLANK(customer_churn_dataset!I481),ROUND(MEDIAN(customer_churn_dataset!I$2:I$1501),1),MIN(100,MAX(0,customer_churn_dataset!I481)))</f>
        <v>36.2</v>
      </c>
      <c r="J481" s="7" t="n">
        <f aca="false">IF(ISBLANK(customer_churn_dataset!J481),0,MAX(0,customer_churn_dataset!J481))</f>
        <v>10</v>
      </c>
      <c r="K481" s="7" t="n">
        <f aca="false">IF(ISBLANK(customer_churn_dataset!K481),0,MIN(10,MAX(0,customer_churn_dataset!K481)))</f>
        <v>4</v>
      </c>
      <c r="L481" s="7" t="n">
        <f aca="false">IF(ISBLANK(customer_churn_dataset!L481),0,MAX(0,customer_churn_dataset!L481))</f>
        <v>2</v>
      </c>
      <c r="M481" s="7" t="n">
        <f aca="false">IF(ISBLANK(customer_churn_dataset!M481),0,customer_churn_dataset!M481)</f>
        <v>1</v>
      </c>
      <c r="N481" s="7" t="n">
        <f aca="false">IF(ISBLANK(customer_churn_dataset!N481),0,MAX(0,customer_churn_dataset!N481))</f>
        <v>97.8</v>
      </c>
      <c r="O481" s="7" t="n">
        <f aca="false">IF(ISBLANK(customer_churn_dataset!O481),0,customer_churn_dataset!O481)</f>
        <v>1</v>
      </c>
      <c r="P481" s="7" t="str">
        <f aca="false">IF(COUNTIF(customer_churn_dataset!$A$2:$A$1501,customer_churn_dataset!A481)&gt;1,"Duplicate","Unique")</f>
        <v>Unique</v>
      </c>
    </row>
    <row r="482" customFormat="false" ht="14.15" hidden="false" customHeight="true" outlineLevel="0" collapsed="false">
      <c r="A482" s="7" t="str">
        <f aca="false">TRIM(customer_churn_dataset!A482)</f>
        <v>CUST101415</v>
      </c>
      <c r="B482" s="7" t="str">
        <f aca="false">PROPER(TRIM(customer_churn_dataset!B482))</f>
        <v>Premium</v>
      </c>
      <c r="C482" s="7" t="str">
        <f aca="false">PROPER(TRIM(customer_churn_dataset!C482))</f>
        <v>Month-To-Month</v>
      </c>
      <c r="D482" s="7" t="n">
        <f aca="false">IF(ISBLANK(customer_churn_dataset!D482),ROUND(MEDIAN(customer_churn_dataset!D$2:D$1501),2),IF(customer_churn_dataset!D482&lt;0,ABS(customer_churn_dataset!D482),customer_churn_dataset!D482))</f>
        <v>38.88</v>
      </c>
      <c r="E482" s="7" t="n">
        <f aca="false">IF(ISBLANK(customer_churn_dataset!E482),0,MAX(0,customer_churn_dataset!E482))</f>
        <v>18</v>
      </c>
      <c r="F482" s="8" t="n">
        <f aca="false">IF(ISBLANK(customer_churn_dataset!F482),"",customer_churn_dataset!F482)</f>
        <v>44474</v>
      </c>
      <c r="G482" s="7" t="str">
        <f aca="false">PROPER(TRIM(customer_churn_dataset!G482))</f>
        <v>Credit Card</v>
      </c>
      <c r="H482" s="7" t="n">
        <f aca="false">IF(ISBLANK(customer_churn_dataset!H482),0,customer_churn_dataset!H482)</f>
        <v>0</v>
      </c>
      <c r="I482" s="7" t="n">
        <f aca="false">IF(ISBLANK(customer_churn_dataset!I482),ROUND(MEDIAN(customer_churn_dataset!I$2:I$1501),1),MIN(100,MAX(0,customer_churn_dataset!I482)))</f>
        <v>33.4</v>
      </c>
      <c r="J482" s="7" t="n">
        <f aca="false">IF(ISBLANK(customer_churn_dataset!J482),0,MAX(0,customer_churn_dataset!J482))</f>
        <v>14</v>
      </c>
      <c r="K482" s="7" t="n">
        <f aca="false">IF(ISBLANK(customer_churn_dataset!K482),0,MIN(10,MAX(0,customer_churn_dataset!K482)))</f>
        <v>4</v>
      </c>
      <c r="L482" s="7" t="n">
        <f aca="false">IF(ISBLANK(customer_churn_dataset!L482),0,MAX(0,customer_churn_dataset!L482))</f>
        <v>0</v>
      </c>
      <c r="M482" s="7" t="n">
        <f aca="false">IF(ISBLANK(customer_churn_dataset!M482),0,customer_churn_dataset!M482)</f>
        <v>0</v>
      </c>
      <c r="N482" s="7" t="n">
        <f aca="false">IF(ISBLANK(customer_churn_dataset!N482),0,MAX(0,customer_churn_dataset!N482))</f>
        <v>699.84</v>
      </c>
      <c r="O482" s="7" t="n">
        <f aca="false">IF(ISBLANK(customer_churn_dataset!O482),0,customer_churn_dataset!O482)</f>
        <v>1</v>
      </c>
      <c r="P482" s="7" t="str">
        <f aca="false">IF(COUNTIF(customer_churn_dataset!$A$2:$A$1501,customer_churn_dataset!A482)&gt;1,"Duplicate","Unique")</f>
        <v>Unique</v>
      </c>
    </row>
    <row r="483" customFormat="false" ht="14.15" hidden="false" customHeight="true" outlineLevel="0" collapsed="false">
      <c r="A483" s="7" t="str">
        <f aca="false">TRIM(customer_churn_dataset!A483)</f>
        <v>CUST100205</v>
      </c>
      <c r="B483" s="7" t="str">
        <f aca="false">PROPER(TRIM(customer_churn_dataset!B483))</f>
        <v>Basic</v>
      </c>
      <c r="C483" s="7" t="str">
        <f aca="false">PROPER(TRIM(customer_churn_dataset!C483))</f>
        <v>Month-To-Month</v>
      </c>
      <c r="D483" s="7" t="n">
        <f aca="false">IF(ISBLANK(customer_churn_dataset!D483),ROUND(MEDIAN(customer_churn_dataset!D$2:D$1501),2),IF(customer_churn_dataset!D483&lt;0,ABS(customer_churn_dataset!D483),customer_churn_dataset!D483))</f>
        <v>9.83</v>
      </c>
      <c r="E483" s="7" t="n">
        <f aca="false">IF(ISBLANK(customer_churn_dataset!E483),0,MAX(0,customer_churn_dataset!E483))</f>
        <v>29</v>
      </c>
      <c r="F483" s="8" t="n">
        <f aca="false">IF(ISBLANK(customer_churn_dataset!F483),"",customer_churn_dataset!F483)</f>
        <v>44474</v>
      </c>
      <c r="G483" s="7" t="str">
        <f aca="false">PROPER(TRIM(customer_churn_dataset!G483))</f>
        <v>Credit Card</v>
      </c>
      <c r="H483" s="7" t="n">
        <f aca="false">IF(ISBLANK(customer_churn_dataset!H483),0,customer_churn_dataset!H483)</f>
        <v>0</v>
      </c>
      <c r="I483" s="7" t="n">
        <f aca="false">IF(ISBLANK(customer_churn_dataset!I483),ROUND(MEDIAN(customer_churn_dataset!I$2:I$1501),1),MIN(100,MAX(0,customer_churn_dataset!I483)))</f>
        <v>81.7</v>
      </c>
      <c r="J483" s="7" t="n">
        <f aca="false">IF(ISBLANK(customer_churn_dataset!J483),0,MAX(0,customer_churn_dataset!J483))</f>
        <v>24</v>
      </c>
      <c r="K483" s="7" t="n">
        <f aca="false">IF(ISBLANK(customer_churn_dataset!K483),0,MIN(10,MAX(0,customer_churn_dataset!K483)))</f>
        <v>10</v>
      </c>
      <c r="L483" s="7" t="n">
        <f aca="false">IF(ISBLANK(customer_churn_dataset!L483),0,MAX(0,customer_churn_dataset!L483))</f>
        <v>0</v>
      </c>
      <c r="M483" s="7" t="n">
        <f aca="false">IF(ISBLANK(customer_churn_dataset!M483),0,customer_churn_dataset!M483)</f>
        <v>0</v>
      </c>
      <c r="N483" s="7" t="n">
        <f aca="false">IF(ISBLANK(customer_churn_dataset!N483),0,MAX(0,customer_churn_dataset!N483))</f>
        <v>285.07</v>
      </c>
      <c r="O483" s="7" t="n">
        <f aca="false">IF(ISBLANK(customer_churn_dataset!O483),0,customer_churn_dataset!O483)</f>
        <v>1</v>
      </c>
      <c r="P483" s="7" t="str">
        <f aca="false">IF(COUNTIF(customer_churn_dataset!$A$2:$A$1501,customer_churn_dataset!A483)&gt;1,"Duplicate","Unique")</f>
        <v>Unique</v>
      </c>
    </row>
    <row r="484" customFormat="false" ht="14.15" hidden="false" customHeight="true" outlineLevel="0" collapsed="false">
      <c r="A484" s="7" t="str">
        <f aca="false">TRIM(customer_churn_dataset!A484)</f>
        <v>CUST101449</v>
      </c>
      <c r="B484" s="7" t="str">
        <f aca="false">PROPER(TRIM(customer_churn_dataset!B484))</f>
        <v>Standard</v>
      </c>
      <c r="C484" s="7" t="str">
        <f aca="false">PROPER(TRIM(customer_churn_dataset!C484))</f>
        <v>Two Year</v>
      </c>
      <c r="D484" s="7" t="n">
        <f aca="false">IF(ISBLANK(customer_churn_dataset!D484),ROUND(MEDIAN(customer_churn_dataset!D$2:D$1501),2),IF(customer_churn_dataset!D484&lt;0,ABS(customer_churn_dataset!D484),customer_churn_dataset!D484))</f>
        <v>21.26</v>
      </c>
      <c r="E484" s="7" t="n">
        <f aca="false">IF(ISBLANK(customer_churn_dataset!E484),0,MAX(0,customer_churn_dataset!E484))</f>
        <v>59</v>
      </c>
      <c r="F484" s="8" t="n">
        <f aca="false">IF(ISBLANK(customer_churn_dataset!F484),"",customer_churn_dataset!F484)</f>
        <v>44478</v>
      </c>
      <c r="G484" s="7" t="str">
        <f aca="false">PROPER(TRIM(customer_churn_dataset!G484))</f>
        <v>Paypal</v>
      </c>
      <c r="H484" s="7" t="n">
        <f aca="false">IF(ISBLANK(customer_churn_dataset!H484),0,customer_churn_dataset!H484)</f>
        <v>1</v>
      </c>
      <c r="I484" s="7" t="n">
        <f aca="false">IF(ISBLANK(customer_churn_dataset!I484),ROUND(MEDIAN(customer_churn_dataset!I$2:I$1501),1),MIN(100,MAX(0,customer_churn_dataset!I484)))</f>
        <v>33.8</v>
      </c>
      <c r="J484" s="7" t="n">
        <f aca="false">IF(ISBLANK(customer_churn_dataset!J484),0,MAX(0,customer_churn_dataset!J484))</f>
        <v>12</v>
      </c>
      <c r="K484" s="7" t="n">
        <f aca="false">IF(ISBLANK(customer_churn_dataset!K484),0,MIN(10,MAX(0,customer_churn_dataset!K484)))</f>
        <v>1</v>
      </c>
      <c r="L484" s="7" t="n">
        <f aca="false">IF(ISBLANK(customer_churn_dataset!L484),0,MAX(0,customer_churn_dataset!L484))</f>
        <v>2</v>
      </c>
      <c r="M484" s="7" t="n">
        <f aca="false">IF(ISBLANK(customer_churn_dataset!M484),0,customer_churn_dataset!M484)</f>
        <v>0</v>
      </c>
      <c r="N484" s="7" t="n">
        <f aca="false">IF(ISBLANK(customer_churn_dataset!N484),0,MAX(0,customer_churn_dataset!N484))</f>
        <v>1254.34</v>
      </c>
      <c r="O484" s="7" t="n">
        <f aca="false">IF(ISBLANK(customer_churn_dataset!O484),0,customer_churn_dataset!O484)</f>
        <v>0</v>
      </c>
      <c r="P484" s="7" t="str">
        <f aca="false">IF(COUNTIF(customer_churn_dataset!$A$2:$A$1501,customer_churn_dataset!A484)&gt;1,"Duplicate","Unique")</f>
        <v>Unique</v>
      </c>
    </row>
    <row r="485" customFormat="false" ht="14.15" hidden="false" customHeight="true" outlineLevel="0" collapsed="false">
      <c r="A485" s="7" t="str">
        <f aca="false">TRIM(customer_churn_dataset!A485)</f>
        <v>CUST101192</v>
      </c>
      <c r="B485" s="7" t="str">
        <f aca="false">PROPER(TRIM(customer_churn_dataset!B485))</f>
        <v>Basic</v>
      </c>
      <c r="C485" s="7" t="str">
        <f aca="false">PROPER(TRIM(customer_churn_dataset!C485))</f>
        <v>Two Year</v>
      </c>
      <c r="D485" s="7" t="n">
        <f aca="false">IF(ISBLANK(customer_churn_dataset!D485),ROUND(MEDIAN(customer_churn_dataset!D$2:D$1501),2),IF(customer_churn_dataset!D485&lt;0,ABS(customer_churn_dataset!D485),customer_churn_dataset!D485))</f>
        <v>10.67</v>
      </c>
      <c r="E485" s="7" t="n">
        <f aca="false">IF(ISBLANK(customer_churn_dataset!E485),0,MAX(0,customer_churn_dataset!E485))</f>
        <v>41</v>
      </c>
      <c r="F485" s="8" t="n">
        <f aca="false">IF(ISBLANK(customer_churn_dataset!F485),"",customer_churn_dataset!F485)</f>
        <v>44485</v>
      </c>
      <c r="G485" s="7" t="str">
        <f aca="false">PROPER(TRIM(customer_churn_dataset!G485))</f>
        <v>Paypal</v>
      </c>
      <c r="H485" s="7" t="n">
        <f aca="false">IF(ISBLANK(customer_churn_dataset!H485),0,customer_churn_dataset!H485)</f>
        <v>0</v>
      </c>
      <c r="I485" s="7" t="n">
        <f aca="false">IF(ISBLANK(customer_churn_dataset!I485),ROUND(MEDIAN(customer_churn_dataset!I$2:I$1501),1),MIN(100,MAX(0,customer_churn_dataset!I485)))</f>
        <v>28.8</v>
      </c>
      <c r="J485" s="7" t="n">
        <f aca="false">IF(ISBLANK(customer_churn_dataset!J485),0,MAX(0,customer_churn_dataset!J485))</f>
        <v>5</v>
      </c>
      <c r="K485" s="7" t="n">
        <f aca="false">IF(ISBLANK(customer_churn_dataset!K485),0,MIN(10,MAX(0,customer_churn_dataset!K485)))</f>
        <v>5</v>
      </c>
      <c r="L485" s="7" t="n">
        <f aca="false">IF(ISBLANK(customer_churn_dataset!L485),0,MAX(0,customer_churn_dataset!L485))</f>
        <v>5</v>
      </c>
      <c r="M485" s="7" t="n">
        <f aca="false">IF(ISBLANK(customer_churn_dataset!M485),0,customer_churn_dataset!M485)</f>
        <v>0</v>
      </c>
      <c r="N485" s="7" t="n">
        <f aca="false">IF(ISBLANK(customer_churn_dataset!N485),0,MAX(0,customer_churn_dataset!N485))</f>
        <v>437.47</v>
      </c>
      <c r="O485" s="7" t="n">
        <f aca="false">IF(ISBLANK(customer_churn_dataset!O485),0,customer_churn_dataset!O485)</f>
        <v>0</v>
      </c>
      <c r="P485" s="7" t="str">
        <f aca="false">IF(COUNTIF(customer_churn_dataset!$A$2:$A$1501,customer_churn_dataset!A485)&gt;1,"Duplicate","Unique")</f>
        <v>Unique</v>
      </c>
    </row>
    <row r="486" customFormat="false" ht="14.15" hidden="false" customHeight="true" outlineLevel="0" collapsed="false">
      <c r="A486" s="7" t="str">
        <f aca="false">TRIM(customer_churn_dataset!A486)</f>
        <v>CUST101478</v>
      </c>
      <c r="B486" s="7" t="str">
        <f aca="false">PROPER(TRIM(customer_churn_dataset!B486))</f>
        <v>Standard</v>
      </c>
      <c r="C486" s="7" t="str">
        <f aca="false">PROPER(TRIM(customer_churn_dataset!C486))</f>
        <v>Month-To-Month</v>
      </c>
      <c r="D486" s="7" t="n">
        <f aca="false">IF(ISBLANK(customer_churn_dataset!D486),ROUND(MEDIAN(customer_churn_dataset!D$2:D$1501),2),IF(customer_churn_dataset!D486&lt;0,ABS(customer_churn_dataset!D486),customer_churn_dataset!D486))</f>
        <v>18.96</v>
      </c>
      <c r="E486" s="7" t="n">
        <f aca="false">IF(ISBLANK(customer_churn_dataset!E486),0,MAX(0,customer_churn_dataset!E486))</f>
        <v>11</v>
      </c>
      <c r="F486" s="8" t="n">
        <f aca="false">IF(ISBLANK(customer_churn_dataset!F486),"",customer_churn_dataset!F486)</f>
        <v>44489</v>
      </c>
      <c r="G486" s="7" t="str">
        <f aca="false">PROPER(TRIM(customer_churn_dataset!G486))</f>
        <v>Bank Transfer</v>
      </c>
      <c r="H486" s="7" t="n">
        <f aca="false">IF(ISBLANK(customer_churn_dataset!H486),0,customer_churn_dataset!H486)</f>
        <v>0</v>
      </c>
      <c r="I486" s="7" t="n">
        <f aca="false">IF(ISBLANK(customer_churn_dataset!I486),ROUND(MEDIAN(customer_churn_dataset!I$2:I$1501),1),MIN(100,MAX(0,customer_churn_dataset!I486)))</f>
        <v>41</v>
      </c>
      <c r="J486" s="7" t="n">
        <f aca="false">IF(ISBLANK(customer_churn_dataset!J486),0,MAX(0,customer_churn_dataset!J486))</f>
        <v>8</v>
      </c>
      <c r="K486" s="7" t="n">
        <f aca="false">IF(ISBLANK(customer_churn_dataset!K486),0,MIN(10,MAX(0,customer_churn_dataset!K486)))</f>
        <v>3</v>
      </c>
      <c r="L486" s="7" t="n">
        <f aca="false">IF(ISBLANK(customer_churn_dataset!L486),0,MAX(0,customer_churn_dataset!L486))</f>
        <v>3</v>
      </c>
      <c r="M486" s="7" t="n">
        <f aca="false">IF(ISBLANK(customer_churn_dataset!M486),0,customer_churn_dataset!M486)</f>
        <v>0</v>
      </c>
      <c r="N486" s="7" t="n">
        <f aca="false">IF(ISBLANK(customer_churn_dataset!N486),0,MAX(0,customer_churn_dataset!N486))</f>
        <v>208.56</v>
      </c>
      <c r="O486" s="7" t="n">
        <f aca="false">IF(ISBLANK(customer_churn_dataset!O486),0,customer_churn_dataset!O486)</f>
        <v>0</v>
      </c>
      <c r="P486" s="7" t="str">
        <f aca="false">IF(COUNTIF(customer_churn_dataset!$A$2:$A$1501,customer_churn_dataset!A486)&gt;1,"Duplicate","Unique")</f>
        <v>Unique</v>
      </c>
    </row>
    <row r="487" customFormat="false" ht="14.15" hidden="false" customHeight="true" outlineLevel="0" collapsed="false">
      <c r="A487" s="7" t="str">
        <f aca="false">TRIM(customer_churn_dataset!A487)</f>
        <v>CUST100046</v>
      </c>
      <c r="B487" s="7" t="str">
        <f aca="false">PROPER(TRIM(customer_churn_dataset!B487))</f>
        <v>Basic</v>
      </c>
      <c r="C487" s="7" t="str">
        <f aca="false">PROPER(TRIM(customer_churn_dataset!C487))</f>
        <v>Month-To-Month</v>
      </c>
      <c r="D487" s="7" t="n">
        <f aca="false">IF(ISBLANK(customer_churn_dataset!D487),ROUND(MEDIAN(customer_churn_dataset!D$2:D$1501),2),IF(customer_churn_dataset!D487&lt;0,ABS(customer_churn_dataset!D487),customer_churn_dataset!D487))</f>
        <v>9.29</v>
      </c>
      <c r="E487" s="7" t="n">
        <f aca="false">IF(ISBLANK(customer_churn_dataset!E487),0,MAX(0,customer_churn_dataset!E487))</f>
        <v>16</v>
      </c>
      <c r="F487" s="8" t="n">
        <f aca="false">IF(ISBLANK(customer_churn_dataset!F487),"",customer_churn_dataset!F487)</f>
        <v>44490</v>
      </c>
      <c r="G487" s="7" t="str">
        <f aca="false">PROPER(TRIM(customer_churn_dataset!G487))</f>
        <v>Bank Transfer</v>
      </c>
      <c r="H487" s="7" t="n">
        <f aca="false">IF(ISBLANK(customer_churn_dataset!H487),0,customer_churn_dataset!H487)</f>
        <v>1</v>
      </c>
      <c r="I487" s="7" t="n">
        <f aca="false">IF(ISBLANK(customer_churn_dataset!I487),ROUND(MEDIAN(customer_churn_dataset!I$2:I$1501),1),MIN(100,MAX(0,customer_churn_dataset!I487)))</f>
        <v>65.7</v>
      </c>
      <c r="J487" s="7" t="n">
        <f aca="false">IF(ISBLANK(customer_churn_dataset!J487),0,MAX(0,customer_churn_dataset!J487))</f>
        <v>25</v>
      </c>
      <c r="K487" s="7" t="n">
        <f aca="false">IF(ISBLANK(customer_churn_dataset!K487),0,MIN(10,MAX(0,customer_churn_dataset!K487)))</f>
        <v>7</v>
      </c>
      <c r="L487" s="7" t="n">
        <f aca="false">IF(ISBLANK(customer_churn_dataset!L487),0,MAX(0,customer_churn_dataset!L487))</f>
        <v>2</v>
      </c>
      <c r="M487" s="7" t="n">
        <f aca="false">IF(ISBLANK(customer_churn_dataset!M487),0,customer_churn_dataset!M487)</f>
        <v>0</v>
      </c>
      <c r="N487" s="7" t="n">
        <f aca="false">IF(ISBLANK(customer_churn_dataset!N487),0,MAX(0,customer_churn_dataset!N487))</f>
        <v>148.64</v>
      </c>
      <c r="O487" s="7" t="n">
        <f aca="false">IF(ISBLANK(customer_churn_dataset!O487),0,customer_churn_dataset!O487)</f>
        <v>0</v>
      </c>
      <c r="P487" s="7" t="str">
        <f aca="false">IF(COUNTIF(customer_churn_dataset!$A$2:$A$1501,customer_churn_dataset!A487)&gt;1,"Duplicate","Unique")</f>
        <v>Unique</v>
      </c>
    </row>
    <row r="488" customFormat="false" ht="14.15" hidden="false" customHeight="true" outlineLevel="0" collapsed="false">
      <c r="A488" s="7" t="str">
        <f aca="false">TRIM(customer_churn_dataset!A488)</f>
        <v>CUST100458</v>
      </c>
      <c r="B488" s="7" t="str">
        <f aca="false">PROPER(TRIM(customer_churn_dataset!B488))</f>
        <v>Basic</v>
      </c>
      <c r="C488" s="7" t="str">
        <f aca="false">PROPER(TRIM(customer_churn_dataset!C488))</f>
        <v>Month-To-Month</v>
      </c>
      <c r="D488" s="7" t="n">
        <f aca="false">IF(ISBLANK(customer_churn_dataset!D488),ROUND(MEDIAN(customer_churn_dataset!D$2:D$1501),2),IF(customer_churn_dataset!D488&lt;0,ABS(customer_churn_dataset!D488),customer_churn_dataset!D488))</f>
        <v>9.56</v>
      </c>
      <c r="E488" s="7" t="n">
        <f aca="false">IF(ISBLANK(customer_churn_dataset!E488),0,MAX(0,customer_churn_dataset!E488))</f>
        <v>1</v>
      </c>
      <c r="F488" s="8" t="n">
        <f aca="false">IF(ISBLANK(customer_churn_dataset!F488),"",customer_churn_dataset!F488)</f>
        <v>44491</v>
      </c>
      <c r="G488" s="7" t="str">
        <f aca="false">PROPER(TRIM(customer_churn_dataset!G488))</f>
        <v>Credit Card</v>
      </c>
      <c r="H488" s="7" t="n">
        <f aca="false">IF(ISBLANK(customer_churn_dataset!H488),0,customer_churn_dataset!H488)</f>
        <v>1</v>
      </c>
      <c r="I488" s="7" t="n">
        <f aca="false">IF(ISBLANK(customer_churn_dataset!I488),ROUND(MEDIAN(customer_churn_dataset!I$2:I$1501),1),MIN(100,MAX(0,customer_churn_dataset!I488)))</f>
        <v>52.8</v>
      </c>
      <c r="J488" s="7" t="n">
        <f aca="false">IF(ISBLANK(customer_churn_dataset!J488),0,MAX(0,customer_churn_dataset!J488))</f>
        <v>18</v>
      </c>
      <c r="K488" s="7" t="n">
        <f aca="false">IF(ISBLANK(customer_churn_dataset!K488),0,MIN(10,MAX(0,customer_churn_dataset!K488)))</f>
        <v>7</v>
      </c>
      <c r="L488" s="7" t="n">
        <f aca="false">IF(ISBLANK(customer_churn_dataset!L488),0,MAX(0,customer_churn_dataset!L488))</f>
        <v>0</v>
      </c>
      <c r="M488" s="7" t="n">
        <f aca="false">IF(ISBLANK(customer_churn_dataset!M488),0,customer_churn_dataset!M488)</f>
        <v>0</v>
      </c>
      <c r="N488" s="7" t="n">
        <f aca="false">IF(ISBLANK(customer_churn_dataset!N488),0,MAX(0,customer_churn_dataset!N488))</f>
        <v>9.56</v>
      </c>
      <c r="O488" s="7" t="n">
        <f aca="false">IF(ISBLANK(customer_churn_dataset!O488),0,customer_churn_dataset!O488)</f>
        <v>0</v>
      </c>
      <c r="P488" s="7" t="str">
        <f aca="false">IF(COUNTIF(customer_churn_dataset!$A$2:$A$1501,customer_churn_dataset!A488)&gt;1,"Duplicate","Unique")</f>
        <v>Unique</v>
      </c>
    </row>
    <row r="489" customFormat="false" ht="14.15" hidden="false" customHeight="true" outlineLevel="0" collapsed="false">
      <c r="A489" s="7" t="str">
        <f aca="false">TRIM(customer_churn_dataset!A489)</f>
        <v>CUST100773</v>
      </c>
      <c r="B489" s="7" t="str">
        <f aca="false">PROPER(TRIM(customer_churn_dataset!B489))</f>
        <v>Basic</v>
      </c>
      <c r="C489" s="7" t="str">
        <f aca="false">PROPER(TRIM(customer_churn_dataset!C489))</f>
        <v>One Year</v>
      </c>
      <c r="D489" s="7" t="n">
        <f aca="false">IF(ISBLANK(customer_churn_dataset!D489),ROUND(MEDIAN(customer_churn_dataset!D$2:D$1501),2),IF(customer_churn_dataset!D489&lt;0,ABS(customer_churn_dataset!D489),customer_churn_dataset!D489))</f>
        <v>9.88</v>
      </c>
      <c r="E489" s="7" t="n">
        <f aca="false">IF(ISBLANK(customer_churn_dataset!E489),0,MAX(0,customer_churn_dataset!E489))</f>
        <v>1</v>
      </c>
      <c r="F489" s="8" t="n">
        <f aca="false">IF(ISBLANK(customer_churn_dataset!F489),"",customer_churn_dataset!F489)</f>
        <v>44491</v>
      </c>
      <c r="G489" s="7" t="str">
        <f aca="false">PROPER(TRIM(customer_churn_dataset!G489))</f>
        <v>Credit Card</v>
      </c>
      <c r="H489" s="7" t="n">
        <f aca="false">IF(ISBLANK(customer_churn_dataset!H489),0,customer_churn_dataset!H489)</f>
        <v>1</v>
      </c>
      <c r="I489" s="7" t="n">
        <f aca="false">IF(ISBLANK(customer_churn_dataset!I489),ROUND(MEDIAN(customer_churn_dataset!I$2:I$1501),1),MIN(100,MAX(0,customer_churn_dataset!I489)))</f>
        <v>78.3</v>
      </c>
      <c r="J489" s="7" t="n">
        <f aca="false">IF(ISBLANK(customer_churn_dataset!J489),0,MAX(0,customer_churn_dataset!J489))</f>
        <v>21</v>
      </c>
      <c r="K489" s="7" t="n">
        <f aca="false">IF(ISBLANK(customer_churn_dataset!K489),0,MIN(10,MAX(0,customer_churn_dataset!K489)))</f>
        <v>9</v>
      </c>
      <c r="L489" s="7" t="n">
        <f aca="false">IF(ISBLANK(customer_churn_dataset!L489),0,MAX(0,customer_churn_dataset!L489))</f>
        <v>1</v>
      </c>
      <c r="M489" s="7" t="n">
        <f aca="false">IF(ISBLANK(customer_churn_dataset!M489),0,customer_churn_dataset!M489)</f>
        <v>0</v>
      </c>
      <c r="N489" s="7" t="n">
        <f aca="false">IF(ISBLANK(customer_churn_dataset!N489),0,MAX(0,customer_churn_dataset!N489))</f>
        <v>9.88</v>
      </c>
      <c r="O489" s="7" t="n">
        <f aca="false">IF(ISBLANK(customer_churn_dataset!O489),0,customer_churn_dataset!O489)</f>
        <v>0</v>
      </c>
      <c r="P489" s="7" t="str">
        <f aca="false">IF(COUNTIF(customer_churn_dataset!$A$2:$A$1501,customer_churn_dataset!A489)&gt;1,"Duplicate","Unique")</f>
        <v>Unique</v>
      </c>
    </row>
    <row r="490" customFormat="false" ht="14.15" hidden="false" customHeight="true" outlineLevel="0" collapsed="false">
      <c r="A490" s="7" t="str">
        <f aca="false">TRIM(customer_churn_dataset!A490)</f>
        <v>CUST100352</v>
      </c>
      <c r="B490" s="7" t="str">
        <f aca="false">PROPER(TRIM(customer_churn_dataset!B490))</f>
        <v>Standard</v>
      </c>
      <c r="C490" s="7" t="str">
        <f aca="false">PROPER(TRIM(customer_churn_dataset!C490))</f>
        <v>Month-To-Month</v>
      </c>
      <c r="D490" s="7" t="n">
        <f aca="false">IF(ISBLANK(customer_churn_dataset!D490),ROUND(MEDIAN(customer_churn_dataset!D$2:D$1501),2),IF(customer_churn_dataset!D490&lt;0,ABS(customer_churn_dataset!D490),customer_churn_dataset!D490))</f>
        <v>19.27</v>
      </c>
      <c r="E490" s="7" t="n">
        <f aca="false">IF(ISBLANK(customer_churn_dataset!E490),0,MAX(0,customer_churn_dataset!E490))</f>
        <v>5</v>
      </c>
      <c r="F490" s="8" t="n">
        <f aca="false">IF(ISBLANK(customer_churn_dataset!F490),"",customer_churn_dataset!F490)</f>
        <v>44495</v>
      </c>
      <c r="G490" s="7" t="str">
        <f aca="false">PROPER(TRIM(customer_churn_dataset!G490))</f>
        <v>Credit Card</v>
      </c>
      <c r="H490" s="7" t="n">
        <f aca="false">IF(ISBLANK(customer_churn_dataset!H490),0,customer_churn_dataset!H490)</f>
        <v>0</v>
      </c>
      <c r="I490" s="7" t="n">
        <f aca="false">IF(ISBLANK(customer_churn_dataset!I490),ROUND(MEDIAN(customer_churn_dataset!I$2:I$1501),1),MIN(100,MAX(0,customer_churn_dataset!I490)))</f>
        <v>62.9</v>
      </c>
      <c r="J490" s="7" t="n">
        <f aca="false">IF(ISBLANK(customer_churn_dataset!J490),0,MAX(0,customer_churn_dataset!J490))</f>
        <v>17</v>
      </c>
      <c r="K490" s="7" t="n">
        <f aca="false">IF(ISBLANK(customer_churn_dataset!K490),0,MIN(10,MAX(0,customer_churn_dataset!K490)))</f>
        <v>7</v>
      </c>
      <c r="L490" s="7" t="n">
        <f aca="false">IF(ISBLANK(customer_churn_dataset!L490),0,MAX(0,customer_churn_dataset!L490))</f>
        <v>0</v>
      </c>
      <c r="M490" s="7" t="n">
        <f aca="false">IF(ISBLANK(customer_churn_dataset!M490),0,customer_churn_dataset!M490)</f>
        <v>0</v>
      </c>
      <c r="N490" s="7" t="n">
        <f aca="false">IF(ISBLANK(customer_churn_dataset!N490),0,MAX(0,customer_churn_dataset!N490))</f>
        <v>96.35</v>
      </c>
      <c r="O490" s="7" t="n">
        <f aca="false">IF(ISBLANK(customer_churn_dataset!O490),0,customer_churn_dataset!O490)</f>
        <v>0</v>
      </c>
      <c r="P490" s="7" t="str">
        <f aca="false">IF(COUNTIF(customer_churn_dataset!$A$2:$A$1501,customer_churn_dataset!A490)&gt;1,"Duplicate","Unique")</f>
        <v>Unique</v>
      </c>
    </row>
    <row r="491" customFormat="false" ht="14.15" hidden="false" customHeight="true" outlineLevel="0" collapsed="false">
      <c r="A491" s="7" t="str">
        <f aca="false">TRIM(customer_churn_dataset!A491)</f>
        <v>CUST101051</v>
      </c>
      <c r="B491" s="7" t="str">
        <f aca="false">PROPER(TRIM(customer_churn_dataset!B491))</f>
        <v>Standard</v>
      </c>
      <c r="C491" s="7" t="str">
        <f aca="false">PROPER(TRIM(customer_churn_dataset!C491))</f>
        <v>Month-To-Month</v>
      </c>
      <c r="D491" s="7" t="n">
        <f aca="false">IF(ISBLANK(customer_churn_dataset!D491),ROUND(MEDIAN(customer_churn_dataset!D$2:D$1501),2),IF(customer_churn_dataset!D491&lt;0,ABS(customer_churn_dataset!D491),customer_churn_dataset!D491))</f>
        <v>20.59</v>
      </c>
      <c r="E491" s="7" t="n">
        <f aca="false">IF(ISBLANK(customer_churn_dataset!E491),0,MAX(0,customer_churn_dataset!E491))</f>
        <v>24</v>
      </c>
      <c r="F491" s="8" t="n">
        <f aca="false">IF(ISBLANK(customer_churn_dataset!F491),"",customer_churn_dataset!F491)</f>
        <v>44495</v>
      </c>
      <c r="G491" s="7" t="str">
        <f aca="false">PROPER(TRIM(customer_churn_dataset!G491))</f>
        <v>Credit Card</v>
      </c>
      <c r="H491" s="7" t="n">
        <f aca="false">IF(ISBLANK(customer_churn_dataset!H491),0,customer_churn_dataset!H491)</f>
        <v>0</v>
      </c>
      <c r="I491" s="7" t="n">
        <f aca="false">IF(ISBLANK(customer_churn_dataset!I491),ROUND(MEDIAN(customer_churn_dataset!I$2:I$1501),1),MIN(100,MAX(0,customer_churn_dataset!I491)))</f>
        <v>40.3</v>
      </c>
      <c r="J491" s="7" t="n">
        <f aca="false">IF(ISBLANK(customer_churn_dataset!J491),0,MAX(0,customer_churn_dataset!J491))</f>
        <v>14</v>
      </c>
      <c r="K491" s="7" t="n">
        <f aca="false">IF(ISBLANK(customer_churn_dataset!K491),0,MIN(10,MAX(0,customer_churn_dataset!K491)))</f>
        <v>6</v>
      </c>
      <c r="L491" s="7" t="n">
        <f aca="false">IF(ISBLANK(customer_churn_dataset!L491),0,MAX(0,customer_churn_dataset!L491))</f>
        <v>0</v>
      </c>
      <c r="M491" s="7" t="n">
        <f aca="false">IF(ISBLANK(customer_churn_dataset!M491),0,customer_churn_dataset!M491)</f>
        <v>0</v>
      </c>
      <c r="N491" s="7" t="n">
        <f aca="false">IF(ISBLANK(customer_churn_dataset!N491),0,MAX(0,customer_churn_dataset!N491))</f>
        <v>494.16</v>
      </c>
      <c r="O491" s="7" t="n">
        <f aca="false">IF(ISBLANK(customer_churn_dataset!O491),0,customer_churn_dataset!O491)</f>
        <v>0</v>
      </c>
      <c r="P491" s="7" t="str">
        <f aca="false">IF(COUNTIF(customer_churn_dataset!$A$2:$A$1501,customer_churn_dataset!A491)&gt;1,"Duplicate","Unique")</f>
        <v>Unique</v>
      </c>
    </row>
    <row r="492" customFormat="false" ht="14.15" hidden="false" customHeight="true" outlineLevel="0" collapsed="false">
      <c r="A492" s="7" t="str">
        <f aca="false">TRIM(customer_churn_dataset!A492)</f>
        <v>CUST101367</v>
      </c>
      <c r="B492" s="7" t="str">
        <f aca="false">PROPER(TRIM(customer_churn_dataset!B492))</f>
        <v>Premium</v>
      </c>
      <c r="C492" s="7" t="str">
        <f aca="false">PROPER(TRIM(customer_churn_dataset!C492))</f>
        <v>Two Year</v>
      </c>
      <c r="D492" s="7" t="n">
        <f aca="false">IF(ISBLANK(customer_churn_dataset!D492),ROUND(MEDIAN(customer_churn_dataset!D$2:D$1501),2),IF(customer_churn_dataset!D492&lt;0,ABS(customer_churn_dataset!D492),customer_churn_dataset!D492))</f>
        <v>40.6</v>
      </c>
      <c r="E492" s="7" t="n">
        <f aca="false">IF(ISBLANK(customer_churn_dataset!E492),0,MAX(0,customer_churn_dataset!E492))</f>
        <v>4</v>
      </c>
      <c r="F492" s="8" t="n">
        <f aca="false">IF(ISBLANK(customer_churn_dataset!F492),"",customer_churn_dataset!F492)</f>
        <v>44496</v>
      </c>
      <c r="G492" s="7" t="str">
        <f aca="false">PROPER(TRIM(customer_churn_dataset!G492))</f>
        <v>Bank Transfer</v>
      </c>
      <c r="H492" s="7" t="n">
        <f aca="false">IF(ISBLANK(customer_churn_dataset!H492),0,customer_churn_dataset!H492)</f>
        <v>1</v>
      </c>
      <c r="I492" s="7" t="n">
        <f aca="false">IF(ISBLANK(customer_churn_dataset!I492),ROUND(MEDIAN(customer_churn_dataset!I$2:I$1501),1),MIN(100,MAX(0,customer_churn_dataset!I492)))</f>
        <v>30.5</v>
      </c>
      <c r="J492" s="7" t="n">
        <f aca="false">IF(ISBLANK(customer_churn_dataset!J492),0,MAX(0,customer_churn_dataset!J492))</f>
        <v>11</v>
      </c>
      <c r="K492" s="7" t="n">
        <f aca="false">IF(ISBLANK(customer_churn_dataset!K492),0,MIN(10,MAX(0,customer_churn_dataset!K492)))</f>
        <v>4</v>
      </c>
      <c r="L492" s="7" t="n">
        <f aca="false">IF(ISBLANK(customer_churn_dataset!L492),0,MAX(0,customer_churn_dataset!L492))</f>
        <v>2</v>
      </c>
      <c r="M492" s="7" t="n">
        <f aca="false">IF(ISBLANK(customer_churn_dataset!M492),0,customer_churn_dataset!M492)</f>
        <v>0</v>
      </c>
      <c r="N492" s="7" t="n">
        <f aca="false">IF(ISBLANK(customer_churn_dataset!N492),0,MAX(0,customer_churn_dataset!N492))</f>
        <v>162.4</v>
      </c>
      <c r="O492" s="7" t="n">
        <f aca="false">IF(ISBLANK(customer_churn_dataset!O492),0,customer_churn_dataset!O492)</f>
        <v>0</v>
      </c>
      <c r="P492" s="7" t="str">
        <f aca="false">IF(COUNTIF(customer_churn_dataset!$A$2:$A$1501,customer_churn_dataset!A492)&gt;1,"Duplicate","Unique")</f>
        <v>Unique</v>
      </c>
    </row>
    <row r="493" customFormat="false" ht="14.15" hidden="false" customHeight="true" outlineLevel="0" collapsed="false">
      <c r="A493" s="7" t="str">
        <f aca="false">TRIM(customer_churn_dataset!A493)</f>
        <v>CUST100001</v>
      </c>
      <c r="B493" s="7" t="str">
        <f aca="false">PROPER(TRIM(customer_churn_dataset!B493))</f>
        <v>Premium</v>
      </c>
      <c r="C493" s="7" t="str">
        <f aca="false">PROPER(TRIM(customer_churn_dataset!C493))</f>
        <v>Month-To-Month</v>
      </c>
      <c r="D493" s="7" t="n">
        <f aca="false">IF(ISBLANK(customer_churn_dataset!D493),ROUND(MEDIAN(customer_churn_dataset!D$2:D$1501),2),IF(customer_churn_dataset!D493&lt;0,ABS(customer_churn_dataset!D493),customer_churn_dataset!D493))</f>
        <v>42.28</v>
      </c>
      <c r="E493" s="7" t="n">
        <f aca="false">IF(ISBLANK(customer_churn_dataset!E493),0,MAX(0,customer_churn_dataset!E493))</f>
        <v>3</v>
      </c>
      <c r="F493" s="8" t="n">
        <f aca="false">IF(ISBLANK(customer_churn_dataset!F493),"",customer_churn_dataset!F493)</f>
        <v>44496</v>
      </c>
      <c r="G493" s="7" t="str">
        <f aca="false">PROPER(TRIM(customer_churn_dataset!G493))</f>
        <v>Credit Card</v>
      </c>
      <c r="H493" s="7" t="n">
        <f aca="false">IF(ISBLANK(customer_churn_dataset!H493),0,customer_churn_dataset!H493)</f>
        <v>1</v>
      </c>
      <c r="I493" s="7" t="n">
        <f aca="false">IF(ISBLANK(customer_churn_dataset!I493),ROUND(MEDIAN(customer_churn_dataset!I$2:I$1501),1),MIN(100,MAX(0,customer_churn_dataset!I493)))</f>
        <v>33.1</v>
      </c>
      <c r="J493" s="7" t="n">
        <f aca="false">IF(ISBLANK(customer_churn_dataset!J493),0,MAX(0,customer_churn_dataset!J493))</f>
        <v>5</v>
      </c>
      <c r="K493" s="7" t="n">
        <f aca="false">IF(ISBLANK(customer_churn_dataset!K493),0,MIN(10,MAX(0,customer_churn_dataset!K493)))</f>
        <v>3</v>
      </c>
      <c r="L493" s="7" t="n">
        <f aca="false">IF(ISBLANK(customer_churn_dataset!L493),0,MAX(0,customer_churn_dataset!L493))</f>
        <v>2</v>
      </c>
      <c r="M493" s="7" t="n">
        <f aca="false">IF(ISBLANK(customer_churn_dataset!M493),0,customer_churn_dataset!M493)</f>
        <v>0</v>
      </c>
      <c r="N493" s="7" t="n">
        <f aca="false">IF(ISBLANK(customer_churn_dataset!N493),0,MAX(0,customer_churn_dataset!N493))</f>
        <v>126.84</v>
      </c>
      <c r="O493" s="7" t="n">
        <f aca="false">IF(ISBLANK(customer_churn_dataset!O493),0,customer_churn_dataset!O493)</f>
        <v>0</v>
      </c>
      <c r="P493" s="7" t="str">
        <f aca="false">IF(COUNTIF(customer_churn_dataset!$A$2:$A$1501,customer_churn_dataset!A493)&gt;1,"Duplicate","Unique")</f>
        <v>Unique</v>
      </c>
    </row>
    <row r="494" customFormat="false" ht="14.15" hidden="false" customHeight="true" outlineLevel="0" collapsed="false">
      <c r="A494" s="7" t="str">
        <f aca="false">TRIM(customer_churn_dataset!A494)</f>
        <v>CUST100483</v>
      </c>
      <c r="B494" s="7" t="str">
        <f aca="false">PROPER(TRIM(customer_churn_dataset!B494))</f>
        <v>Standard</v>
      </c>
      <c r="C494" s="7" t="str">
        <f aca="false">PROPER(TRIM(customer_churn_dataset!C494))</f>
        <v>Month-To-Month</v>
      </c>
      <c r="D494" s="7" t="n">
        <f aca="false">IF(ISBLANK(customer_churn_dataset!D494),ROUND(MEDIAN(customer_churn_dataset!D$2:D$1501),2),IF(customer_churn_dataset!D494&lt;0,ABS(customer_churn_dataset!D494),customer_churn_dataset!D494))</f>
        <v>20.44</v>
      </c>
      <c r="E494" s="7" t="n">
        <f aca="false">IF(ISBLANK(customer_churn_dataset!E494),0,MAX(0,customer_churn_dataset!E494))</f>
        <v>25</v>
      </c>
      <c r="F494" s="8" t="n">
        <f aca="false">IF(ISBLANK(customer_churn_dataset!F494),"",customer_churn_dataset!F494)</f>
        <v>44498</v>
      </c>
      <c r="G494" s="7" t="str">
        <f aca="false">PROPER(TRIM(customer_churn_dataset!G494))</f>
        <v>Credit Card</v>
      </c>
      <c r="H494" s="7" t="n">
        <f aca="false">IF(ISBLANK(customer_churn_dataset!H494),0,customer_churn_dataset!H494)</f>
        <v>1</v>
      </c>
      <c r="I494" s="7" t="n">
        <f aca="false">IF(ISBLANK(customer_churn_dataset!I494),ROUND(MEDIAN(customer_churn_dataset!I$2:I$1501),1),MIN(100,MAX(0,customer_churn_dataset!I494)))</f>
        <v>54</v>
      </c>
      <c r="J494" s="7" t="n">
        <f aca="false">IF(ISBLANK(customer_churn_dataset!J494),0,MAX(0,customer_churn_dataset!J494))</f>
        <v>17</v>
      </c>
      <c r="K494" s="7" t="n">
        <f aca="false">IF(ISBLANK(customer_churn_dataset!K494),0,MIN(10,MAX(0,customer_churn_dataset!K494)))</f>
        <v>4</v>
      </c>
      <c r="L494" s="7" t="n">
        <f aca="false">IF(ISBLANK(customer_churn_dataset!L494),0,MAX(0,customer_churn_dataset!L494))</f>
        <v>3</v>
      </c>
      <c r="M494" s="7" t="n">
        <f aca="false">IF(ISBLANK(customer_churn_dataset!M494),0,customer_churn_dataset!M494)</f>
        <v>1</v>
      </c>
      <c r="N494" s="7" t="n">
        <f aca="false">IF(ISBLANK(customer_churn_dataset!N494),0,MAX(0,customer_churn_dataset!N494))</f>
        <v>511</v>
      </c>
      <c r="O494" s="7" t="n">
        <f aca="false">IF(ISBLANK(customer_churn_dataset!O494),0,customer_churn_dataset!O494)</f>
        <v>0</v>
      </c>
      <c r="P494" s="7" t="str">
        <f aca="false">IF(COUNTIF(customer_churn_dataset!$A$2:$A$1501,customer_churn_dataset!A494)&gt;1,"Duplicate","Unique")</f>
        <v>Unique</v>
      </c>
    </row>
    <row r="495" customFormat="false" ht="14.15" hidden="false" customHeight="true" outlineLevel="0" collapsed="false">
      <c r="A495" s="7" t="str">
        <f aca="false">TRIM(customer_churn_dataset!A495)</f>
        <v>CUST101495</v>
      </c>
      <c r="B495" s="7" t="str">
        <f aca="false">PROPER(TRIM(customer_churn_dataset!B495))</f>
        <v>Standard</v>
      </c>
      <c r="C495" s="7" t="str">
        <f aca="false">PROPER(TRIM(customer_churn_dataset!C495))</f>
        <v>One Year</v>
      </c>
      <c r="D495" s="7" t="n">
        <f aca="false">IF(ISBLANK(customer_churn_dataset!D495),ROUND(MEDIAN(customer_churn_dataset!D$2:D$1501),2),IF(customer_churn_dataset!D495&lt;0,ABS(customer_churn_dataset!D495),customer_churn_dataset!D495))</f>
        <v>20.84</v>
      </c>
      <c r="E495" s="7" t="n">
        <f aca="false">IF(ISBLANK(customer_churn_dataset!E495),0,MAX(0,customer_churn_dataset!E495))</f>
        <v>13</v>
      </c>
      <c r="F495" s="8" t="n">
        <f aca="false">IF(ISBLANK(customer_churn_dataset!F495),"",customer_churn_dataset!F495)</f>
        <v>44499</v>
      </c>
      <c r="G495" s="7" t="str">
        <f aca="false">PROPER(TRIM(customer_churn_dataset!G495))</f>
        <v>Credit Card</v>
      </c>
      <c r="H495" s="7" t="n">
        <f aca="false">IF(ISBLANK(customer_churn_dataset!H495),0,customer_churn_dataset!H495)</f>
        <v>1</v>
      </c>
      <c r="I495" s="7" t="n">
        <f aca="false">IF(ISBLANK(customer_churn_dataset!I495),ROUND(MEDIAN(customer_churn_dataset!I$2:I$1501),1),MIN(100,MAX(0,customer_churn_dataset!I495)))</f>
        <v>84.1</v>
      </c>
      <c r="J495" s="7" t="n">
        <f aca="false">IF(ISBLANK(customer_churn_dataset!J495),0,MAX(0,customer_churn_dataset!J495))</f>
        <v>19</v>
      </c>
      <c r="K495" s="7" t="n">
        <f aca="false">IF(ISBLANK(customer_churn_dataset!K495),0,MIN(10,MAX(0,customer_churn_dataset!K495)))</f>
        <v>7</v>
      </c>
      <c r="L495" s="7" t="n">
        <f aca="false">IF(ISBLANK(customer_churn_dataset!L495),0,MAX(0,customer_churn_dataset!L495))</f>
        <v>0</v>
      </c>
      <c r="M495" s="7" t="n">
        <f aca="false">IF(ISBLANK(customer_churn_dataset!M495),0,customer_churn_dataset!M495)</f>
        <v>0</v>
      </c>
      <c r="N495" s="7" t="n">
        <f aca="false">IF(ISBLANK(customer_churn_dataset!N495),0,MAX(0,customer_churn_dataset!N495))</f>
        <v>270.92</v>
      </c>
      <c r="O495" s="7" t="n">
        <f aca="false">IF(ISBLANK(customer_churn_dataset!O495),0,customer_churn_dataset!O495)</f>
        <v>0</v>
      </c>
      <c r="P495" s="7" t="str">
        <f aca="false">IF(COUNTIF(customer_churn_dataset!$A$2:$A$1501,customer_churn_dataset!A495)&gt;1,"Duplicate","Unique")</f>
        <v>Unique</v>
      </c>
    </row>
    <row r="496" customFormat="false" ht="14.15" hidden="false" customHeight="true" outlineLevel="0" collapsed="false">
      <c r="A496" s="7" t="str">
        <f aca="false">TRIM(customer_churn_dataset!A496)</f>
        <v>CUST101181</v>
      </c>
      <c r="B496" s="7" t="str">
        <f aca="false">PROPER(TRIM(customer_churn_dataset!B496))</f>
        <v>Basic</v>
      </c>
      <c r="C496" s="7" t="str">
        <f aca="false">PROPER(TRIM(customer_churn_dataset!C496))</f>
        <v>One Year</v>
      </c>
      <c r="D496" s="7" t="n">
        <f aca="false">IF(ISBLANK(customer_churn_dataset!D496),ROUND(MEDIAN(customer_churn_dataset!D$2:D$1501),2),IF(customer_churn_dataset!D496&lt;0,ABS(customer_churn_dataset!D496),customer_churn_dataset!D496))</f>
        <v>10.41</v>
      </c>
      <c r="E496" s="7" t="n">
        <f aca="false">IF(ISBLANK(customer_churn_dataset!E496),0,MAX(0,customer_churn_dataset!E496))</f>
        <v>15</v>
      </c>
      <c r="F496" s="8" t="n">
        <f aca="false">IF(ISBLANK(customer_churn_dataset!F496),"",customer_churn_dataset!F496)</f>
        <v>44500</v>
      </c>
      <c r="G496" s="7" t="str">
        <f aca="false">PROPER(TRIM(customer_churn_dataset!G496))</f>
        <v>Credit Card</v>
      </c>
      <c r="H496" s="7" t="n">
        <f aca="false">IF(ISBLANK(customer_churn_dataset!H496),0,customer_churn_dataset!H496)</f>
        <v>0</v>
      </c>
      <c r="I496" s="7" t="n">
        <f aca="false">IF(ISBLANK(customer_churn_dataset!I496),ROUND(MEDIAN(customer_churn_dataset!I$2:I$1501),1),MIN(100,MAX(0,customer_churn_dataset!I496)))</f>
        <v>62.9</v>
      </c>
      <c r="J496" s="7" t="n">
        <f aca="false">IF(ISBLANK(customer_churn_dataset!J496),0,MAX(0,customer_churn_dataset!J496))</f>
        <v>17</v>
      </c>
      <c r="K496" s="7" t="n">
        <f aca="false">IF(ISBLANK(customer_churn_dataset!K496),0,MIN(10,MAX(0,customer_churn_dataset!K496)))</f>
        <v>8</v>
      </c>
      <c r="L496" s="7" t="n">
        <f aca="false">IF(ISBLANK(customer_churn_dataset!L496),0,MAX(0,customer_churn_dataset!L496))</f>
        <v>1</v>
      </c>
      <c r="M496" s="7" t="n">
        <f aca="false">IF(ISBLANK(customer_churn_dataset!M496),0,customer_churn_dataset!M496)</f>
        <v>0</v>
      </c>
      <c r="N496" s="7" t="n">
        <f aca="false">IF(ISBLANK(customer_churn_dataset!N496),0,MAX(0,customer_churn_dataset!N496))</f>
        <v>156.15</v>
      </c>
      <c r="O496" s="7" t="n">
        <f aca="false">IF(ISBLANK(customer_churn_dataset!O496),0,customer_churn_dataset!O496)</f>
        <v>0</v>
      </c>
      <c r="P496" s="7" t="str">
        <f aca="false">IF(COUNTIF(customer_churn_dataset!$A$2:$A$1501,customer_churn_dataset!A496)&gt;1,"Duplicate","Unique")</f>
        <v>Unique</v>
      </c>
    </row>
    <row r="497" customFormat="false" ht="14.15" hidden="false" customHeight="true" outlineLevel="0" collapsed="false">
      <c r="A497" s="7" t="str">
        <f aca="false">TRIM(customer_churn_dataset!A497)</f>
        <v>CUST101404</v>
      </c>
      <c r="B497" s="7" t="str">
        <f aca="false">PROPER(TRIM(customer_churn_dataset!B497))</f>
        <v>Standard</v>
      </c>
      <c r="C497" s="7" t="str">
        <f aca="false">PROPER(TRIM(customer_churn_dataset!C497))</f>
        <v>Month-To-Month</v>
      </c>
      <c r="D497" s="7" t="n">
        <f aca="false">IF(ISBLANK(customer_churn_dataset!D497),ROUND(MEDIAN(customer_churn_dataset!D$2:D$1501),2),IF(customer_churn_dataset!D497&lt;0,ABS(customer_churn_dataset!D497),customer_churn_dataset!D497))</f>
        <v>19.09</v>
      </c>
      <c r="E497" s="7" t="n">
        <f aca="false">IF(ISBLANK(customer_churn_dataset!E497),0,MAX(0,customer_churn_dataset!E497))</f>
        <v>9</v>
      </c>
      <c r="F497" s="8" t="n">
        <f aca="false">IF(ISBLANK(customer_churn_dataset!F497),"",customer_churn_dataset!F497)</f>
        <v>44503</v>
      </c>
      <c r="G497" s="7" t="str">
        <f aca="false">PROPER(TRIM(customer_churn_dataset!G497))</f>
        <v>Paypal</v>
      </c>
      <c r="H497" s="7" t="n">
        <f aca="false">IF(ISBLANK(customer_churn_dataset!H497),0,customer_churn_dataset!H497)</f>
        <v>1</v>
      </c>
      <c r="I497" s="7" t="n">
        <f aca="false">IF(ISBLANK(customer_churn_dataset!I497),ROUND(MEDIAN(customer_churn_dataset!I$2:I$1501),1),MIN(100,MAX(0,customer_churn_dataset!I497)))</f>
        <v>61.1</v>
      </c>
      <c r="J497" s="7" t="n">
        <f aca="false">IF(ISBLANK(customer_churn_dataset!J497),0,MAX(0,customer_churn_dataset!J497))</f>
        <v>14</v>
      </c>
      <c r="K497" s="7" t="n">
        <f aca="false">IF(ISBLANK(customer_churn_dataset!K497),0,MIN(10,MAX(0,customer_churn_dataset!K497)))</f>
        <v>6</v>
      </c>
      <c r="L497" s="7" t="n">
        <f aca="false">IF(ISBLANK(customer_churn_dataset!L497),0,MAX(0,customer_churn_dataset!L497))</f>
        <v>2</v>
      </c>
      <c r="M497" s="7" t="n">
        <f aca="false">IF(ISBLANK(customer_churn_dataset!M497),0,customer_churn_dataset!M497)</f>
        <v>0</v>
      </c>
      <c r="N497" s="7" t="n">
        <f aca="false">IF(ISBLANK(customer_churn_dataset!N497),0,MAX(0,customer_churn_dataset!N497))</f>
        <v>171.81</v>
      </c>
      <c r="O497" s="7" t="n">
        <f aca="false">IF(ISBLANK(customer_churn_dataset!O497),0,customer_churn_dataset!O497)</f>
        <v>1</v>
      </c>
      <c r="P497" s="7" t="str">
        <f aca="false">IF(COUNTIF(customer_churn_dataset!$A$2:$A$1501,customer_churn_dataset!A497)&gt;1,"Duplicate","Unique")</f>
        <v>Unique</v>
      </c>
    </row>
    <row r="498" customFormat="false" ht="14.15" hidden="false" customHeight="true" outlineLevel="0" collapsed="false">
      <c r="A498" s="7" t="str">
        <f aca="false">TRIM(customer_churn_dataset!A498)</f>
        <v>CUST100356</v>
      </c>
      <c r="B498" s="7" t="str">
        <f aca="false">PROPER(TRIM(customer_churn_dataset!B498))</f>
        <v>Basic</v>
      </c>
      <c r="C498" s="7" t="str">
        <f aca="false">PROPER(TRIM(customer_churn_dataset!C498))</f>
        <v>Two Year</v>
      </c>
      <c r="D498" s="7" t="n">
        <f aca="false">IF(ISBLANK(customer_churn_dataset!D498),ROUND(MEDIAN(customer_churn_dataset!D$2:D$1501),2),IF(customer_churn_dataset!D498&lt;0,ABS(customer_churn_dataset!D498),customer_churn_dataset!D498))</f>
        <v>11.5</v>
      </c>
      <c r="E498" s="7" t="n">
        <f aca="false">IF(ISBLANK(customer_churn_dataset!E498),0,MAX(0,customer_churn_dataset!E498))</f>
        <v>4</v>
      </c>
      <c r="F498" s="8" t="n">
        <f aca="false">IF(ISBLANK(customer_churn_dataset!F498),"",customer_churn_dataset!F498)</f>
        <v>44504</v>
      </c>
      <c r="G498" s="7" t="str">
        <f aca="false">PROPER(TRIM(customer_churn_dataset!G498))</f>
        <v>Bank Transfer</v>
      </c>
      <c r="H498" s="7" t="n">
        <f aca="false">IF(ISBLANK(customer_churn_dataset!H498),0,customer_churn_dataset!H498)</f>
        <v>1</v>
      </c>
      <c r="I498" s="7" t="n">
        <f aca="false">IF(ISBLANK(customer_churn_dataset!I498),ROUND(MEDIAN(customer_churn_dataset!I$2:I$1501),1),MIN(100,MAX(0,customer_churn_dataset!I498)))</f>
        <v>52.8</v>
      </c>
      <c r="J498" s="7" t="n">
        <f aca="false">IF(ISBLANK(customer_churn_dataset!J498),0,MAX(0,customer_churn_dataset!J498))</f>
        <v>16</v>
      </c>
      <c r="K498" s="7" t="n">
        <f aca="false">IF(ISBLANK(customer_churn_dataset!K498),0,MIN(10,MAX(0,customer_churn_dataset!K498)))</f>
        <v>3</v>
      </c>
      <c r="L498" s="7" t="n">
        <f aca="false">IF(ISBLANK(customer_churn_dataset!L498),0,MAX(0,customer_churn_dataset!L498))</f>
        <v>2</v>
      </c>
      <c r="M498" s="7" t="n">
        <f aca="false">IF(ISBLANK(customer_churn_dataset!M498),0,customer_churn_dataset!M498)</f>
        <v>0</v>
      </c>
      <c r="N498" s="7" t="n">
        <f aca="false">IF(ISBLANK(customer_churn_dataset!N498),0,MAX(0,customer_churn_dataset!N498))</f>
        <v>46</v>
      </c>
      <c r="O498" s="7" t="n">
        <f aca="false">IF(ISBLANK(customer_churn_dataset!O498),0,customer_churn_dataset!O498)</f>
        <v>0</v>
      </c>
      <c r="P498" s="7" t="str">
        <f aca="false">IF(COUNTIF(customer_churn_dataset!$A$2:$A$1501,customer_churn_dataset!A498)&gt;1,"Duplicate","Unique")</f>
        <v>Unique</v>
      </c>
    </row>
    <row r="499" customFormat="false" ht="14.15" hidden="false" customHeight="true" outlineLevel="0" collapsed="false">
      <c r="A499" s="7" t="str">
        <f aca="false">TRIM(customer_churn_dataset!A499)</f>
        <v>CUST101245</v>
      </c>
      <c r="B499" s="7" t="str">
        <f aca="false">PROPER(TRIM(customer_churn_dataset!B499))</f>
        <v>Standard</v>
      </c>
      <c r="C499" s="7" t="str">
        <f aca="false">PROPER(TRIM(customer_churn_dataset!C499))</f>
        <v>Month-To-Month</v>
      </c>
      <c r="D499" s="7" t="n">
        <f aca="false">IF(ISBLANK(customer_churn_dataset!D499),ROUND(MEDIAN(customer_churn_dataset!D$2:D$1501),2),IF(customer_churn_dataset!D499&lt;0,ABS(customer_churn_dataset!D499),customer_churn_dataset!D499))</f>
        <v>21.33</v>
      </c>
      <c r="E499" s="7" t="n">
        <f aca="false">IF(ISBLANK(customer_churn_dataset!E499),0,MAX(0,customer_churn_dataset!E499))</f>
        <v>10</v>
      </c>
      <c r="F499" s="8" t="n">
        <f aca="false">IF(ISBLANK(customer_churn_dataset!F499),"",customer_churn_dataset!F499)</f>
        <v>44504</v>
      </c>
      <c r="G499" s="7" t="str">
        <f aca="false">PROPER(TRIM(customer_churn_dataset!G499))</f>
        <v>Credit Card</v>
      </c>
      <c r="H499" s="7" t="n">
        <f aca="false">IF(ISBLANK(customer_churn_dataset!H499),0,customer_churn_dataset!H499)</f>
        <v>1</v>
      </c>
      <c r="I499" s="7" t="n">
        <f aca="false">IF(ISBLANK(customer_churn_dataset!I499),ROUND(MEDIAN(customer_churn_dataset!I$2:I$1501),1),MIN(100,MAX(0,customer_churn_dataset!I499)))</f>
        <v>85.1</v>
      </c>
      <c r="J499" s="7" t="n">
        <f aca="false">IF(ISBLANK(customer_churn_dataset!J499),0,MAX(0,customer_churn_dataset!J499))</f>
        <v>25</v>
      </c>
      <c r="K499" s="7" t="n">
        <f aca="false">IF(ISBLANK(customer_churn_dataset!K499),0,MIN(10,MAX(0,customer_churn_dataset!K499)))</f>
        <v>9</v>
      </c>
      <c r="L499" s="7" t="n">
        <f aca="false">IF(ISBLANK(customer_churn_dataset!L499),0,MAX(0,customer_churn_dataset!L499))</f>
        <v>2</v>
      </c>
      <c r="M499" s="7" t="n">
        <f aca="false">IF(ISBLANK(customer_churn_dataset!M499),0,customer_churn_dataset!M499)</f>
        <v>1</v>
      </c>
      <c r="N499" s="7" t="n">
        <f aca="false">IF(ISBLANK(customer_churn_dataset!N499),0,MAX(0,customer_churn_dataset!N499))</f>
        <v>213.3</v>
      </c>
      <c r="O499" s="7" t="n">
        <f aca="false">IF(ISBLANK(customer_churn_dataset!O499),0,customer_churn_dataset!O499)</f>
        <v>1</v>
      </c>
      <c r="P499" s="7" t="str">
        <f aca="false">IF(COUNTIF(customer_churn_dataset!$A$2:$A$1501,customer_churn_dataset!A499)&gt;1,"Duplicate","Unique")</f>
        <v>Unique</v>
      </c>
    </row>
    <row r="500" customFormat="false" ht="14.15" hidden="false" customHeight="true" outlineLevel="0" collapsed="false">
      <c r="A500" s="7" t="str">
        <f aca="false">TRIM(customer_churn_dataset!A500)</f>
        <v>CUST101080</v>
      </c>
      <c r="B500" s="7" t="str">
        <f aca="false">PROPER(TRIM(customer_churn_dataset!B500))</f>
        <v>Standard</v>
      </c>
      <c r="C500" s="7" t="str">
        <f aca="false">PROPER(TRIM(customer_churn_dataset!C500))</f>
        <v>Month-To-Month</v>
      </c>
      <c r="D500" s="7" t="n">
        <f aca="false">IF(ISBLANK(customer_churn_dataset!D500),ROUND(MEDIAN(customer_churn_dataset!D$2:D$1501),2),IF(customer_churn_dataset!D500&lt;0,ABS(customer_churn_dataset!D500),customer_churn_dataset!D500))</f>
        <v>20.1</v>
      </c>
      <c r="E500" s="7" t="n">
        <f aca="false">IF(ISBLANK(customer_churn_dataset!E500),0,MAX(0,customer_churn_dataset!E500))</f>
        <v>9</v>
      </c>
      <c r="F500" s="8" t="n">
        <f aca="false">IF(ISBLANK(customer_churn_dataset!F500),"",customer_churn_dataset!F500)</f>
        <v>44505</v>
      </c>
      <c r="G500" s="7" t="str">
        <f aca="false">PROPER(TRIM(customer_churn_dataset!G500))</f>
        <v>Paypal</v>
      </c>
      <c r="H500" s="7" t="n">
        <f aca="false">IF(ISBLANK(customer_churn_dataset!H500),0,customer_churn_dataset!H500)</f>
        <v>1</v>
      </c>
      <c r="I500" s="7" t="n">
        <f aca="false">IF(ISBLANK(customer_churn_dataset!I500),ROUND(MEDIAN(customer_churn_dataset!I$2:I$1501),1),MIN(100,MAX(0,customer_churn_dataset!I500)))</f>
        <v>39.5</v>
      </c>
      <c r="J500" s="7" t="n">
        <f aca="false">IF(ISBLANK(customer_churn_dataset!J500),0,MAX(0,customer_churn_dataset!J500))</f>
        <v>9</v>
      </c>
      <c r="K500" s="7" t="n">
        <f aca="false">IF(ISBLANK(customer_churn_dataset!K500),0,MIN(10,MAX(0,customer_churn_dataset!K500)))</f>
        <v>4</v>
      </c>
      <c r="L500" s="7" t="n">
        <f aca="false">IF(ISBLANK(customer_churn_dataset!L500),0,MAX(0,customer_churn_dataset!L500))</f>
        <v>0</v>
      </c>
      <c r="M500" s="7" t="n">
        <f aca="false">IF(ISBLANK(customer_churn_dataset!M500),0,customer_churn_dataset!M500)</f>
        <v>0</v>
      </c>
      <c r="N500" s="7" t="n">
        <f aca="false">IF(ISBLANK(customer_churn_dataset!N500),0,MAX(0,customer_churn_dataset!N500))</f>
        <v>180.9</v>
      </c>
      <c r="O500" s="7" t="n">
        <f aca="false">IF(ISBLANK(customer_churn_dataset!O500),0,customer_churn_dataset!O500)</f>
        <v>1</v>
      </c>
      <c r="P500" s="7" t="str">
        <f aca="false">IF(COUNTIF(customer_churn_dataset!$A$2:$A$1501,customer_churn_dataset!A500)&gt;1,"Duplicate","Unique")</f>
        <v>Unique</v>
      </c>
    </row>
    <row r="501" customFormat="false" ht="14.15" hidden="false" customHeight="true" outlineLevel="0" collapsed="false">
      <c r="A501" s="7" t="str">
        <f aca="false">TRIM(customer_churn_dataset!A501)</f>
        <v>CUST100815</v>
      </c>
      <c r="B501" s="7" t="str">
        <f aca="false">PROPER(TRIM(customer_churn_dataset!B501))</f>
        <v>Standard</v>
      </c>
      <c r="C501" s="7" t="str">
        <f aca="false">PROPER(TRIM(customer_churn_dataset!C501))</f>
        <v>One Year</v>
      </c>
      <c r="D501" s="7" t="n">
        <f aca="false">IF(ISBLANK(customer_churn_dataset!D501),ROUND(MEDIAN(customer_churn_dataset!D$2:D$1501),2),IF(customer_churn_dataset!D501&lt;0,ABS(customer_churn_dataset!D501),customer_churn_dataset!D501))</f>
        <v>19.6</v>
      </c>
      <c r="E501" s="7" t="n">
        <f aca="false">IF(ISBLANK(customer_churn_dataset!E501),0,MAX(0,customer_churn_dataset!E501))</f>
        <v>15</v>
      </c>
      <c r="F501" s="8" t="n">
        <f aca="false">IF(ISBLANK(customer_churn_dataset!F501),"",customer_churn_dataset!F501)</f>
        <v>44506</v>
      </c>
      <c r="G501" s="7" t="str">
        <f aca="false">PROPER(TRIM(customer_churn_dataset!G501))</f>
        <v>Credit Card</v>
      </c>
      <c r="H501" s="7" t="n">
        <f aca="false">IF(ISBLANK(customer_churn_dataset!H501),0,customer_churn_dataset!H501)</f>
        <v>1</v>
      </c>
      <c r="I501" s="7" t="n">
        <f aca="false">IF(ISBLANK(customer_churn_dataset!I501),ROUND(MEDIAN(customer_churn_dataset!I$2:I$1501),1),MIN(100,MAX(0,customer_churn_dataset!I501)))</f>
        <v>63.1</v>
      </c>
      <c r="J501" s="7" t="n">
        <f aca="false">IF(ISBLANK(customer_churn_dataset!J501),0,MAX(0,customer_churn_dataset!J501))</f>
        <v>20</v>
      </c>
      <c r="K501" s="7" t="n">
        <f aca="false">IF(ISBLANK(customer_churn_dataset!K501),0,MIN(10,MAX(0,customer_churn_dataset!K501)))</f>
        <v>6</v>
      </c>
      <c r="L501" s="7" t="n">
        <f aca="false">IF(ISBLANK(customer_churn_dataset!L501),0,MAX(0,customer_churn_dataset!L501))</f>
        <v>2</v>
      </c>
      <c r="M501" s="7" t="n">
        <f aca="false">IF(ISBLANK(customer_churn_dataset!M501),0,customer_churn_dataset!M501)</f>
        <v>0</v>
      </c>
      <c r="N501" s="7" t="n">
        <f aca="false">IF(ISBLANK(customer_churn_dataset!N501),0,MAX(0,customer_churn_dataset!N501))</f>
        <v>294</v>
      </c>
      <c r="O501" s="7" t="n">
        <f aca="false">IF(ISBLANK(customer_churn_dataset!O501),0,customer_churn_dataset!O501)</f>
        <v>0</v>
      </c>
      <c r="P501" s="7" t="str">
        <f aca="false">IF(COUNTIF(customer_churn_dataset!$A$2:$A$1501,customer_churn_dataset!A501)&gt;1,"Duplicate","Unique")</f>
        <v>Unique</v>
      </c>
    </row>
    <row r="502" customFormat="false" ht="14.15" hidden="false" customHeight="true" outlineLevel="0" collapsed="false">
      <c r="A502" s="7" t="str">
        <f aca="false">TRIM(customer_churn_dataset!A502)</f>
        <v>CUST101205</v>
      </c>
      <c r="B502" s="7" t="str">
        <f aca="false">PROPER(TRIM(customer_churn_dataset!B502))</f>
        <v>Standard</v>
      </c>
      <c r="C502" s="7" t="str">
        <f aca="false">PROPER(TRIM(customer_churn_dataset!C502))</f>
        <v>One Year</v>
      </c>
      <c r="D502" s="7" t="n">
        <f aca="false">IF(ISBLANK(customer_churn_dataset!D502),ROUND(MEDIAN(customer_churn_dataset!D$2:D$1501),2),IF(customer_churn_dataset!D502&lt;0,ABS(customer_churn_dataset!D502),customer_churn_dataset!D502))</f>
        <v>21.52</v>
      </c>
      <c r="E502" s="7" t="n">
        <f aca="false">IF(ISBLANK(customer_churn_dataset!E502),0,MAX(0,customer_churn_dataset!E502))</f>
        <v>8</v>
      </c>
      <c r="F502" s="8" t="n">
        <f aca="false">IF(ISBLANK(customer_churn_dataset!F502),"",customer_churn_dataset!F502)</f>
        <v>44506</v>
      </c>
      <c r="G502" s="7" t="str">
        <f aca="false">PROPER(TRIM(customer_churn_dataset!G502))</f>
        <v>Paypal</v>
      </c>
      <c r="H502" s="7" t="n">
        <f aca="false">IF(ISBLANK(customer_churn_dataset!H502),0,customer_churn_dataset!H502)</f>
        <v>1</v>
      </c>
      <c r="I502" s="7" t="n">
        <f aca="false">IF(ISBLANK(customer_churn_dataset!I502),ROUND(MEDIAN(customer_churn_dataset!I$2:I$1501),1),MIN(100,MAX(0,customer_churn_dataset!I502)))</f>
        <v>88.3</v>
      </c>
      <c r="J502" s="7" t="n">
        <f aca="false">IF(ISBLANK(customer_churn_dataset!J502),0,MAX(0,customer_churn_dataset!J502))</f>
        <v>23</v>
      </c>
      <c r="K502" s="7" t="n">
        <f aca="false">IF(ISBLANK(customer_churn_dataset!K502),0,MIN(10,MAX(0,customer_churn_dataset!K502)))</f>
        <v>10</v>
      </c>
      <c r="L502" s="7" t="n">
        <f aca="false">IF(ISBLANK(customer_churn_dataset!L502),0,MAX(0,customer_churn_dataset!L502))</f>
        <v>0</v>
      </c>
      <c r="M502" s="7" t="n">
        <f aca="false">IF(ISBLANK(customer_churn_dataset!M502),0,customer_churn_dataset!M502)</f>
        <v>0</v>
      </c>
      <c r="N502" s="7" t="n">
        <f aca="false">IF(ISBLANK(customer_churn_dataset!N502),0,MAX(0,customer_churn_dataset!N502))</f>
        <v>172.16</v>
      </c>
      <c r="O502" s="7" t="n">
        <f aca="false">IF(ISBLANK(customer_churn_dataset!O502),0,customer_churn_dataset!O502)</f>
        <v>0</v>
      </c>
      <c r="P502" s="7" t="str">
        <f aca="false">IF(COUNTIF(customer_churn_dataset!$A$2:$A$1501,customer_churn_dataset!A502)&gt;1,"Duplicate","Unique")</f>
        <v>Unique</v>
      </c>
    </row>
    <row r="503" customFormat="false" ht="14.15" hidden="false" customHeight="true" outlineLevel="0" collapsed="false">
      <c r="A503" s="7" t="str">
        <f aca="false">TRIM(customer_churn_dataset!A503)</f>
        <v>CUST100110</v>
      </c>
      <c r="B503" s="7" t="str">
        <f aca="false">PROPER(TRIM(customer_churn_dataset!B503))</f>
        <v>Basic</v>
      </c>
      <c r="C503" s="7" t="str">
        <f aca="false">PROPER(TRIM(customer_churn_dataset!C503))</f>
        <v>Two Year</v>
      </c>
      <c r="D503" s="7" t="n">
        <f aca="false">IF(ISBLANK(customer_churn_dataset!D503),ROUND(MEDIAN(customer_churn_dataset!D$2:D$1501),2),IF(customer_churn_dataset!D503&lt;0,ABS(customer_churn_dataset!D503),customer_churn_dataset!D503))</f>
        <v>11.08</v>
      </c>
      <c r="E503" s="7" t="n">
        <f aca="false">IF(ISBLANK(customer_churn_dataset!E503),0,MAX(0,customer_churn_dataset!E503))</f>
        <v>2</v>
      </c>
      <c r="F503" s="8" t="n">
        <f aca="false">IF(ISBLANK(customer_churn_dataset!F503),"",customer_churn_dataset!F503)</f>
        <v>44508</v>
      </c>
      <c r="G503" s="7" t="str">
        <f aca="false">PROPER(TRIM(customer_churn_dataset!G503))</f>
        <v>Paypal</v>
      </c>
      <c r="H503" s="7" t="n">
        <f aca="false">IF(ISBLANK(customer_churn_dataset!H503),0,customer_churn_dataset!H503)</f>
        <v>1</v>
      </c>
      <c r="I503" s="7" t="n">
        <f aca="false">IF(ISBLANK(customer_churn_dataset!I503),ROUND(MEDIAN(customer_churn_dataset!I$2:I$1501),1),MIN(100,MAX(0,customer_churn_dataset!I503)))</f>
        <v>51.3</v>
      </c>
      <c r="J503" s="7" t="n">
        <f aca="false">IF(ISBLANK(customer_churn_dataset!J503),0,MAX(0,customer_churn_dataset!J503))</f>
        <v>18</v>
      </c>
      <c r="K503" s="7" t="n">
        <f aca="false">IF(ISBLANK(customer_churn_dataset!K503),0,MIN(10,MAX(0,customer_churn_dataset!K503)))</f>
        <v>8</v>
      </c>
      <c r="L503" s="7" t="n">
        <f aca="false">IF(ISBLANK(customer_churn_dataset!L503),0,MAX(0,customer_churn_dataset!L503))</f>
        <v>0</v>
      </c>
      <c r="M503" s="7" t="n">
        <f aca="false">IF(ISBLANK(customer_churn_dataset!M503),0,customer_churn_dataset!M503)</f>
        <v>0</v>
      </c>
      <c r="N503" s="7" t="n">
        <f aca="false">IF(ISBLANK(customer_churn_dataset!N503),0,MAX(0,customer_churn_dataset!N503))</f>
        <v>22.16</v>
      </c>
      <c r="O503" s="7" t="n">
        <f aca="false">IF(ISBLANK(customer_churn_dataset!O503),0,customer_churn_dataset!O503)</f>
        <v>0</v>
      </c>
      <c r="P503" s="7" t="str">
        <f aca="false">IF(COUNTIF(customer_churn_dataset!$A$2:$A$1501,customer_churn_dataset!A503)&gt;1,"Duplicate","Unique")</f>
        <v>Unique</v>
      </c>
    </row>
    <row r="504" customFormat="false" ht="14.15" hidden="false" customHeight="true" outlineLevel="0" collapsed="false">
      <c r="A504" s="7" t="str">
        <f aca="false">TRIM(customer_churn_dataset!A504)</f>
        <v>CUST100264</v>
      </c>
      <c r="B504" s="7" t="str">
        <f aca="false">PROPER(TRIM(customer_churn_dataset!B504))</f>
        <v>Premium</v>
      </c>
      <c r="C504" s="7" t="str">
        <f aca="false">PROPER(TRIM(customer_churn_dataset!C504))</f>
        <v>One Year</v>
      </c>
      <c r="D504" s="7" t="n">
        <f aca="false">IF(ISBLANK(customer_churn_dataset!D504),ROUND(MEDIAN(customer_churn_dataset!D$2:D$1501),2),IF(customer_churn_dataset!D504&lt;0,ABS(customer_churn_dataset!D504),customer_churn_dataset!D504))</f>
        <v>38.95</v>
      </c>
      <c r="E504" s="7" t="n">
        <f aca="false">IF(ISBLANK(customer_churn_dataset!E504),0,MAX(0,customer_churn_dataset!E504))</f>
        <v>18</v>
      </c>
      <c r="F504" s="8" t="n">
        <f aca="false">IF(ISBLANK(customer_churn_dataset!F504),"",customer_churn_dataset!F504)</f>
        <v>44510</v>
      </c>
      <c r="G504" s="7" t="str">
        <f aca="false">PROPER(TRIM(customer_churn_dataset!G504))</f>
        <v>Credit Card</v>
      </c>
      <c r="H504" s="7" t="n">
        <f aca="false">IF(ISBLANK(customer_churn_dataset!H504),0,customer_churn_dataset!H504)</f>
        <v>0</v>
      </c>
      <c r="I504" s="7" t="n">
        <f aca="false">IF(ISBLANK(customer_churn_dataset!I504),ROUND(MEDIAN(customer_churn_dataset!I$2:I$1501),1),MIN(100,MAX(0,customer_churn_dataset!I504)))</f>
        <v>30.8</v>
      </c>
      <c r="J504" s="7" t="n">
        <f aca="false">IF(ISBLANK(customer_churn_dataset!J504),0,MAX(0,customer_churn_dataset!J504))</f>
        <v>7</v>
      </c>
      <c r="K504" s="7" t="n">
        <f aca="false">IF(ISBLANK(customer_churn_dataset!K504),0,MIN(10,MAX(0,customer_churn_dataset!K504)))</f>
        <v>4</v>
      </c>
      <c r="L504" s="7" t="n">
        <f aca="false">IF(ISBLANK(customer_churn_dataset!L504),0,MAX(0,customer_churn_dataset!L504))</f>
        <v>1</v>
      </c>
      <c r="M504" s="7" t="n">
        <f aca="false">IF(ISBLANK(customer_churn_dataset!M504),0,customer_churn_dataset!M504)</f>
        <v>0</v>
      </c>
      <c r="N504" s="7" t="n">
        <f aca="false">IF(ISBLANK(customer_churn_dataset!N504),0,MAX(0,customer_churn_dataset!N504))</f>
        <v>701.1</v>
      </c>
      <c r="O504" s="7" t="n">
        <f aca="false">IF(ISBLANK(customer_churn_dataset!O504),0,customer_churn_dataset!O504)</f>
        <v>0</v>
      </c>
      <c r="P504" s="7" t="str">
        <f aca="false">IF(COUNTIF(customer_churn_dataset!$A$2:$A$1501,customer_churn_dataset!A504)&gt;1,"Duplicate","Unique")</f>
        <v>Unique</v>
      </c>
    </row>
    <row r="505" customFormat="false" ht="14.15" hidden="false" customHeight="true" outlineLevel="0" collapsed="false">
      <c r="A505" s="7" t="str">
        <f aca="false">TRIM(customer_churn_dataset!A505)</f>
        <v>CUST100073</v>
      </c>
      <c r="B505" s="7" t="str">
        <f aca="false">PROPER(TRIM(customer_churn_dataset!B505))</f>
        <v>Premium</v>
      </c>
      <c r="C505" s="7" t="str">
        <f aca="false">PROPER(TRIM(customer_churn_dataset!C505))</f>
        <v>Two Year</v>
      </c>
      <c r="D505" s="7" t="n">
        <f aca="false">IF(ISBLANK(customer_churn_dataset!D505),ROUND(MEDIAN(customer_churn_dataset!D$2:D$1501),2),IF(customer_churn_dataset!D505&lt;0,ABS(customer_churn_dataset!D505),customer_churn_dataset!D505))</f>
        <v>42.57</v>
      </c>
      <c r="E505" s="7" t="n">
        <f aca="false">IF(ISBLANK(customer_churn_dataset!E505),0,MAX(0,customer_churn_dataset!E505))</f>
        <v>36</v>
      </c>
      <c r="F505" s="8" t="n">
        <f aca="false">IF(ISBLANK(customer_churn_dataset!F505),"",customer_churn_dataset!F505)</f>
        <v>44512</v>
      </c>
      <c r="G505" s="7" t="str">
        <f aca="false">PROPER(TRIM(customer_churn_dataset!G505))</f>
        <v>Paypal</v>
      </c>
      <c r="H505" s="7" t="n">
        <f aca="false">IF(ISBLANK(customer_churn_dataset!H505),0,customer_churn_dataset!H505)</f>
        <v>0</v>
      </c>
      <c r="I505" s="7" t="n">
        <f aca="false">IF(ISBLANK(customer_churn_dataset!I505),ROUND(MEDIAN(customer_churn_dataset!I$2:I$1501),1),MIN(100,MAX(0,customer_churn_dataset!I505)))</f>
        <v>33.4</v>
      </c>
      <c r="J505" s="7" t="n">
        <f aca="false">IF(ISBLANK(customer_churn_dataset!J505),0,MAX(0,customer_churn_dataset!J505))</f>
        <v>12</v>
      </c>
      <c r="K505" s="7" t="n">
        <f aca="false">IF(ISBLANK(customer_churn_dataset!K505),0,MIN(10,MAX(0,customer_churn_dataset!K505)))</f>
        <v>5</v>
      </c>
      <c r="L505" s="7" t="n">
        <f aca="false">IF(ISBLANK(customer_churn_dataset!L505),0,MAX(0,customer_churn_dataset!L505))</f>
        <v>3</v>
      </c>
      <c r="M505" s="7" t="n">
        <f aca="false">IF(ISBLANK(customer_churn_dataset!M505),0,customer_churn_dataset!M505)</f>
        <v>1</v>
      </c>
      <c r="N505" s="7" t="n">
        <f aca="false">IF(ISBLANK(customer_churn_dataset!N505),0,MAX(0,customer_churn_dataset!N505))</f>
        <v>1532.52</v>
      </c>
      <c r="O505" s="7" t="n">
        <f aca="false">IF(ISBLANK(customer_churn_dataset!O505),0,customer_churn_dataset!O505)</f>
        <v>0</v>
      </c>
      <c r="P505" s="7" t="str">
        <f aca="false">IF(COUNTIF(customer_churn_dataset!$A$2:$A$1501,customer_churn_dataset!A505)&gt;1,"Duplicate","Unique")</f>
        <v>Unique</v>
      </c>
    </row>
    <row r="506" customFormat="false" ht="14.15" hidden="false" customHeight="true" outlineLevel="0" collapsed="false">
      <c r="A506" s="7" t="str">
        <f aca="false">TRIM(customer_churn_dataset!A506)</f>
        <v>CUST100659</v>
      </c>
      <c r="B506" s="7" t="str">
        <f aca="false">PROPER(TRIM(customer_churn_dataset!B506))</f>
        <v>Standard</v>
      </c>
      <c r="C506" s="7" t="str">
        <f aca="false">PROPER(TRIM(customer_churn_dataset!C506))</f>
        <v>One Year</v>
      </c>
      <c r="D506" s="7" t="n">
        <f aca="false">IF(ISBLANK(customer_churn_dataset!D506),ROUND(MEDIAN(customer_churn_dataset!D$2:D$1501),2),IF(customer_churn_dataset!D506&lt;0,ABS(customer_churn_dataset!D506),customer_churn_dataset!D506))</f>
        <v>19</v>
      </c>
      <c r="E506" s="7" t="n">
        <f aca="false">IF(ISBLANK(customer_churn_dataset!E506),0,MAX(0,customer_churn_dataset!E506))</f>
        <v>0</v>
      </c>
      <c r="F506" s="8" t="n">
        <f aca="false">IF(ISBLANK(customer_churn_dataset!F506),"",customer_churn_dataset!F506)</f>
        <v>44514</v>
      </c>
      <c r="G506" s="7" t="str">
        <f aca="false">PROPER(TRIM(customer_churn_dataset!G506))</f>
        <v>Paypal</v>
      </c>
      <c r="H506" s="7" t="n">
        <f aca="false">IF(ISBLANK(customer_churn_dataset!H506),0,customer_churn_dataset!H506)</f>
        <v>1</v>
      </c>
      <c r="I506" s="7" t="n">
        <f aca="false">IF(ISBLANK(customer_churn_dataset!I506),ROUND(MEDIAN(customer_churn_dataset!I$2:I$1501),1),MIN(100,MAX(0,customer_churn_dataset!I506)))</f>
        <v>73</v>
      </c>
      <c r="J506" s="7" t="n">
        <f aca="false">IF(ISBLANK(customer_churn_dataset!J506),0,MAX(0,customer_churn_dataset!J506))</f>
        <v>20</v>
      </c>
      <c r="K506" s="7" t="n">
        <f aca="false">IF(ISBLANK(customer_churn_dataset!K506),0,MIN(10,MAX(0,customer_churn_dataset!K506)))</f>
        <v>10</v>
      </c>
      <c r="L506" s="7" t="n">
        <f aca="false">IF(ISBLANK(customer_churn_dataset!L506),0,MAX(0,customer_churn_dataset!L506))</f>
        <v>0</v>
      </c>
      <c r="M506" s="7" t="n">
        <f aca="false">IF(ISBLANK(customer_churn_dataset!M506),0,customer_churn_dataset!M506)</f>
        <v>0</v>
      </c>
      <c r="N506" s="7" t="n">
        <f aca="false">IF(ISBLANK(customer_churn_dataset!N506),0,MAX(0,customer_churn_dataset!N506))</f>
        <v>0</v>
      </c>
      <c r="O506" s="7" t="n">
        <f aca="false">IF(ISBLANK(customer_churn_dataset!O506),0,customer_churn_dataset!O506)</f>
        <v>0</v>
      </c>
      <c r="P506" s="7" t="str">
        <f aca="false">IF(COUNTIF(customer_churn_dataset!$A$2:$A$1501,customer_churn_dataset!A506)&gt;1,"Duplicate","Unique")</f>
        <v>Unique</v>
      </c>
    </row>
    <row r="507" customFormat="false" ht="14.15" hidden="false" customHeight="true" outlineLevel="0" collapsed="false">
      <c r="A507" s="7" t="str">
        <f aca="false">TRIM(customer_churn_dataset!A507)</f>
        <v>CUST100877</v>
      </c>
      <c r="B507" s="7" t="str">
        <f aca="false">PROPER(TRIM(customer_churn_dataset!B507))</f>
        <v>Standard</v>
      </c>
      <c r="C507" s="7" t="str">
        <f aca="false">PROPER(TRIM(customer_churn_dataset!C507))</f>
        <v>Month-To-Month</v>
      </c>
      <c r="D507" s="7" t="n">
        <f aca="false">IF(ISBLANK(customer_churn_dataset!D507),ROUND(MEDIAN(customer_churn_dataset!D$2:D$1501),2),IF(customer_churn_dataset!D507&lt;0,ABS(customer_churn_dataset!D507),customer_churn_dataset!D507))</f>
        <v>19.48</v>
      </c>
      <c r="E507" s="7" t="n">
        <f aca="false">IF(ISBLANK(customer_churn_dataset!E507),0,MAX(0,customer_churn_dataset!E507))</f>
        <v>72</v>
      </c>
      <c r="F507" s="8" t="n">
        <f aca="false">IF(ISBLANK(customer_churn_dataset!F507),"",customer_churn_dataset!F507)</f>
        <v>44514</v>
      </c>
      <c r="G507" s="7" t="str">
        <f aca="false">PROPER(TRIM(customer_churn_dataset!G507))</f>
        <v>Paypal</v>
      </c>
      <c r="H507" s="7" t="n">
        <f aca="false">IF(ISBLANK(customer_churn_dataset!H507),0,customer_churn_dataset!H507)</f>
        <v>1</v>
      </c>
      <c r="I507" s="7" t="n">
        <f aca="false">IF(ISBLANK(customer_churn_dataset!I507),ROUND(MEDIAN(customer_churn_dataset!I$2:I$1501),1),MIN(100,MAX(0,customer_churn_dataset!I507)))</f>
        <v>96.2</v>
      </c>
      <c r="J507" s="7" t="n">
        <f aca="false">IF(ISBLANK(customer_churn_dataset!J507),0,MAX(0,customer_churn_dataset!J507))</f>
        <v>25</v>
      </c>
      <c r="K507" s="7" t="n">
        <f aca="false">IF(ISBLANK(customer_churn_dataset!K507),0,MIN(10,MAX(0,customer_churn_dataset!K507)))</f>
        <v>8</v>
      </c>
      <c r="L507" s="7" t="n">
        <f aca="false">IF(ISBLANK(customer_churn_dataset!L507),0,MAX(0,customer_churn_dataset!L507))</f>
        <v>3</v>
      </c>
      <c r="M507" s="7" t="n">
        <f aca="false">IF(ISBLANK(customer_churn_dataset!M507),0,customer_churn_dataset!M507)</f>
        <v>1</v>
      </c>
      <c r="N507" s="7" t="n">
        <f aca="false">IF(ISBLANK(customer_churn_dataset!N507),0,MAX(0,customer_churn_dataset!N507))</f>
        <v>1402.56</v>
      </c>
      <c r="O507" s="7" t="n">
        <f aca="false">IF(ISBLANK(customer_churn_dataset!O507),0,customer_churn_dataset!O507)</f>
        <v>0</v>
      </c>
      <c r="P507" s="7" t="str">
        <f aca="false">IF(COUNTIF(customer_churn_dataset!$A$2:$A$1501,customer_churn_dataset!A507)&gt;1,"Duplicate","Unique")</f>
        <v>Unique</v>
      </c>
    </row>
    <row r="508" customFormat="false" ht="14.15" hidden="false" customHeight="true" outlineLevel="0" collapsed="false">
      <c r="A508" s="7" t="str">
        <f aca="false">TRIM(customer_churn_dataset!A508)</f>
        <v>CUST100083</v>
      </c>
      <c r="B508" s="7" t="str">
        <f aca="false">PROPER(TRIM(customer_churn_dataset!B508))</f>
        <v>Basic</v>
      </c>
      <c r="C508" s="7" t="str">
        <f aca="false">PROPER(TRIM(customer_churn_dataset!C508))</f>
        <v>Month-To-Month</v>
      </c>
      <c r="D508" s="7" t="n">
        <f aca="false">IF(ISBLANK(customer_churn_dataset!D508),ROUND(MEDIAN(customer_churn_dataset!D$2:D$1501),2),IF(customer_churn_dataset!D508&lt;0,ABS(customer_churn_dataset!D508),customer_churn_dataset!D508))</f>
        <v>8.98</v>
      </c>
      <c r="E508" s="7" t="n">
        <f aca="false">IF(ISBLANK(customer_churn_dataset!E508),0,MAX(0,customer_churn_dataset!E508))</f>
        <v>41</v>
      </c>
      <c r="F508" s="8" t="n">
        <f aca="false">IF(ISBLANK(customer_churn_dataset!F508),"",customer_churn_dataset!F508)</f>
        <v>44515</v>
      </c>
      <c r="G508" s="7" t="str">
        <f aca="false">PROPER(TRIM(customer_churn_dataset!G508))</f>
        <v>Paypal</v>
      </c>
      <c r="H508" s="7" t="n">
        <f aca="false">IF(ISBLANK(customer_churn_dataset!H508),0,customer_churn_dataset!H508)</f>
        <v>1</v>
      </c>
      <c r="I508" s="7" t="n">
        <f aca="false">IF(ISBLANK(customer_churn_dataset!I508),ROUND(MEDIAN(customer_churn_dataset!I$2:I$1501),1),MIN(100,MAX(0,customer_churn_dataset!I508)))</f>
        <v>75.4</v>
      </c>
      <c r="J508" s="7" t="n">
        <f aca="false">IF(ISBLANK(customer_churn_dataset!J508),0,MAX(0,customer_churn_dataset!J508))</f>
        <v>33</v>
      </c>
      <c r="K508" s="7" t="n">
        <f aca="false">IF(ISBLANK(customer_churn_dataset!K508),0,MIN(10,MAX(0,customer_churn_dataset!K508)))</f>
        <v>9</v>
      </c>
      <c r="L508" s="7" t="n">
        <f aca="false">IF(ISBLANK(customer_churn_dataset!L508),0,MAX(0,customer_churn_dataset!L508))</f>
        <v>0</v>
      </c>
      <c r="M508" s="7" t="n">
        <f aca="false">IF(ISBLANK(customer_churn_dataset!M508),0,customer_churn_dataset!M508)</f>
        <v>0</v>
      </c>
      <c r="N508" s="7" t="n">
        <f aca="false">IF(ISBLANK(customer_churn_dataset!N508),0,MAX(0,customer_churn_dataset!N508))</f>
        <v>368.18</v>
      </c>
      <c r="O508" s="7" t="n">
        <f aca="false">IF(ISBLANK(customer_churn_dataset!O508),0,customer_churn_dataset!O508)</f>
        <v>0</v>
      </c>
      <c r="P508" s="7" t="str">
        <f aca="false">IF(COUNTIF(customer_churn_dataset!$A$2:$A$1501,customer_churn_dataset!A508)&gt;1,"Duplicate","Unique")</f>
        <v>Unique</v>
      </c>
    </row>
    <row r="509" customFormat="false" ht="14.15" hidden="false" customHeight="true" outlineLevel="0" collapsed="false">
      <c r="A509" s="7" t="str">
        <f aca="false">TRIM(customer_churn_dataset!A509)</f>
        <v>CUST100013</v>
      </c>
      <c r="B509" s="7" t="str">
        <f aca="false">PROPER(TRIM(customer_churn_dataset!B509))</f>
        <v>Basic</v>
      </c>
      <c r="C509" s="7" t="str">
        <f aca="false">PROPER(TRIM(customer_churn_dataset!C509))</f>
        <v>One Year</v>
      </c>
      <c r="D509" s="7" t="n">
        <f aca="false">IF(ISBLANK(customer_churn_dataset!D509),ROUND(MEDIAN(customer_churn_dataset!D$2:D$1501),2),IF(customer_churn_dataset!D509&lt;0,ABS(customer_churn_dataset!D509),customer_churn_dataset!D509))</f>
        <v>9.93</v>
      </c>
      <c r="E509" s="7" t="n">
        <f aca="false">IF(ISBLANK(customer_churn_dataset!E509),0,MAX(0,customer_churn_dataset!E509))</f>
        <v>38</v>
      </c>
      <c r="F509" s="8" t="n">
        <f aca="false">IF(ISBLANK(customer_churn_dataset!F509),"",customer_churn_dataset!F509)</f>
        <v>44516</v>
      </c>
      <c r="G509" s="7" t="str">
        <f aca="false">PROPER(TRIM(customer_churn_dataset!G509))</f>
        <v>Bank Transfer</v>
      </c>
      <c r="H509" s="7" t="n">
        <f aca="false">IF(ISBLANK(customer_churn_dataset!H509),0,customer_churn_dataset!H509)</f>
        <v>1</v>
      </c>
      <c r="I509" s="7" t="n">
        <f aca="false">IF(ISBLANK(customer_churn_dataset!I509),ROUND(MEDIAN(customer_churn_dataset!I$2:I$1501),1),MIN(100,MAX(0,customer_churn_dataset!I509)))</f>
        <v>28.9</v>
      </c>
      <c r="J509" s="7" t="n">
        <f aca="false">IF(ISBLANK(customer_churn_dataset!J509),0,MAX(0,customer_churn_dataset!J509))</f>
        <v>10</v>
      </c>
      <c r="K509" s="7" t="n">
        <f aca="false">IF(ISBLANK(customer_churn_dataset!K509),0,MIN(10,MAX(0,customer_churn_dataset!K509)))</f>
        <v>4</v>
      </c>
      <c r="L509" s="7" t="n">
        <f aca="false">IF(ISBLANK(customer_churn_dataset!L509),0,MAX(0,customer_churn_dataset!L509))</f>
        <v>0</v>
      </c>
      <c r="M509" s="7" t="n">
        <f aca="false">IF(ISBLANK(customer_churn_dataset!M509),0,customer_churn_dataset!M509)</f>
        <v>0</v>
      </c>
      <c r="N509" s="7" t="n">
        <f aca="false">IF(ISBLANK(customer_churn_dataset!N509),0,MAX(0,customer_churn_dataset!N509))</f>
        <v>377.34</v>
      </c>
      <c r="O509" s="7" t="n">
        <f aca="false">IF(ISBLANK(customer_churn_dataset!O509),0,customer_churn_dataset!O509)</f>
        <v>1</v>
      </c>
      <c r="P509" s="7" t="str">
        <f aca="false">IF(COUNTIF(customer_churn_dataset!$A$2:$A$1501,customer_churn_dataset!A509)&gt;1,"Duplicate","Unique")</f>
        <v>Unique</v>
      </c>
    </row>
    <row r="510" customFormat="false" ht="14.15" hidden="false" customHeight="true" outlineLevel="0" collapsed="false">
      <c r="A510" s="7" t="str">
        <f aca="false">TRIM(customer_churn_dataset!A510)</f>
        <v>CUST100958</v>
      </c>
      <c r="B510" s="7" t="str">
        <f aca="false">PROPER(TRIM(customer_churn_dataset!B510))</f>
        <v>Basic</v>
      </c>
      <c r="C510" s="7" t="str">
        <f aca="false">PROPER(TRIM(customer_churn_dataset!C510))</f>
        <v>One Year</v>
      </c>
      <c r="D510" s="7" t="n">
        <f aca="false">IF(ISBLANK(customer_churn_dataset!D510),ROUND(MEDIAN(customer_churn_dataset!D$2:D$1501),2),IF(customer_churn_dataset!D510&lt;0,ABS(customer_churn_dataset!D510),customer_churn_dataset!D510))</f>
        <v>7.43</v>
      </c>
      <c r="E510" s="7" t="n">
        <f aca="false">IF(ISBLANK(customer_churn_dataset!E510),0,MAX(0,customer_churn_dataset!E510))</f>
        <v>4</v>
      </c>
      <c r="F510" s="8" t="n">
        <f aca="false">IF(ISBLANK(customer_churn_dataset!F510),"",customer_churn_dataset!F510)</f>
        <v>44519</v>
      </c>
      <c r="G510" s="7" t="str">
        <f aca="false">PROPER(TRIM(customer_churn_dataset!G510))</f>
        <v>Credit Card</v>
      </c>
      <c r="H510" s="7" t="n">
        <f aca="false">IF(ISBLANK(customer_churn_dataset!H510),0,customer_churn_dataset!H510)</f>
        <v>0</v>
      </c>
      <c r="I510" s="7" t="n">
        <f aca="false">IF(ISBLANK(customer_churn_dataset!I510),ROUND(MEDIAN(customer_churn_dataset!I$2:I$1501),1),MIN(100,MAX(0,customer_churn_dataset!I510)))</f>
        <v>37.9</v>
      </c>
      <c r="J510" s="7" t="n">
        <f aca="false">IF(ISBLANK(customer_churn_dataset!J510),0,MAX(0,customer_churn_dataset!J510))</f>
        <v>12</v>
      </c>
      <c r="K510" s="7" t="n">
        <f aca="false">IF(ISBLANK(customer_churn_dataset!K510),0,MIN(10,MAX(0,customer_churn_dataset!K510)))</f>
        <v>5</v>
      </c>
      <c r="L510" s="7" t="n">
        <f aca="false">IF(ISBLANK(customer_churn_dataset!L510),0,MAX(0,customer_churn_dataset!L510))</f>
        <v>0</v>
      </c>
      <c r="M510" s="7" t="n">
        <f aca="false">IF(ISBLANK(customer_churn_dataset!M510),0,customer_churn_dataset!M510)</f>
        <v>0</v>
      </c>
      <c r="N510" s="7" t="n">
        <f aca="false">IF(ISBLANK(customer_churn_dataset!N510),0,MAX(0,customer_churn_dataset!N510))</f>
        <v>29.72</v>
      </c>
      <c r="O510" s="7" t="n">
        <f aca="false">IF(ISBLANK(customer_churn_dataset!O510),0,customer_churn_dataset!O510)</f>
        <v>0</v>
      </c>
      <c r="P510" s="7" t="str">
        <f aca="false">IF(COUNTIF(customer_churn_dataset!$A$2:$A$1501,customer_churn_dataset!A510)&gt;1,"Duplicate","Unique")</f>
        <v>Unique</v>
      </c>
    </row>
    <row r="511" customFormat="false" ht="14.15" hidden="false" customHeight="true" outlineLevel="0" collapsed="false">
      <c r="A511" s="7" t="str">
        <f aca="false">TRIM(customer_churn_dataset!A511)</f>
        <v>CUST100819</v>
      </c>
      <c r="B511" s="7" t="str">
        <f aca="false">PROPER(TRIM(customer_churn_dataset!B511))</f>
        <v>Basic</v>
      </c>
      <c r="C511" s="7" t="str">
        <f aca="false">PROPER(TRIM(customer_churn_dataset!C511))</f>
        <v>One Year</v>
      </c>
      <c r="D511" s="7" t="n">
        <f aca="false">IF(ISBLANK(customer_churn_dataset!D511),ROUND(MEDIAN(customer_churn_dataset!D$2:D$1501),2),IF(customer_churn_dataset!D511&lt;0,ABS(customer_churn_dataset!D511),customer_churn_dataset!D511))</f>
        <v>10.4</v>
      </c>
      <c r="E511" s="7" t="n">
        <f aca="false">IF(ISBLANK(customer_churn_dataset!E511),0,MAX(0,customer_churn_dataset!E511))</f>
        <v>31</v>
      </c>
      <c r="F511" s="8" t="n">
        <f aca="false">IF(ISBLANK(customer_churn_dataset!F511),"",customer_churn_dataset!F511)</f>
        <v>44519</v>
      </c>
      <c r="G511" s="7" t="str">
        <f aca="false">PROPER(TRIM(customer_churn_dataset!G511))</f>
        <v>Manual/Invoice</v>
      </c>
      <c r="H511" s="7" t="n">
        <f aca="false">IF(ISBLANK(customer_churn_dataset!H511),0,customer_churn_dataset!H511)</f>
        <v>0</v>
      </c>
      <c r="I511" s="7" t="n">
        <f aca="false">IF(ISBLANK(customer_churn_dataset!I511),ROUND(MEDIAN(customer_churn_dataset!I$2:I$1501),1),MIN(100,MAX(0,customer_churn_dataset!I511)))</f>
        <v>56.1</v>
      </c>
      <c r="J511" s="7" t="n">
        <f aca="false">IF(ISBLANK(customer_churn_dataset!J511),0,MAX(0,customer_churn_dataset!J511))</f>
        <v>21</v>
      </c>
      <c r="K511" s="7" t="n">
        <f aca="false">IF(ISBLANK(customer_churn_dataset!K511),0,MIN(10,MAX(0,customer_churn_dataset!K511)))</f>
        <v>8</v>
      </c>
      <c r="L511" s="7" t="n">
        <f aca="false">IF(ISBLANK(customer_churn_dataset!L511),0,MAX(0,customer_churn_dataset!L511))</f>
        <v>0</v>
      </c>
      <c r="M511" s="7" t="n">
        <f aca="false">IF(ISBLANK(customer_churn_dataset!M511),0,customer_churn_dataset!M511)</f>
        <v>0</v>
      </c>
      <c r="N511" s="7" t="n">
        <f aca="false">IF(ISBLANK(customer_churn_dataset!N511),0,MAX(0,customer_churn_dataset!N511))</f>
        <v>322.4</v>
      </c>
      <c r="O511" s="7" t="n">
        <f aca="false">IF(ISBLANK(customer_churn_dataset!O511),0,customer_churn_dataset!O511)</f>
        <v>0</v>
      </c>
      <c r="P511" s="7" t="str">
        <f aca="false">IF(COUNTIF(customer_churn_dataset!$A$2:$A$1501,customer_churn_dataset!A511)&gt;1,"Duplicate","Unique")</f>
        <v>Unique</v>
      </c>
    </row>
    <row r="512" customFormat="false" ht="14.15" hidden="false" customHeight="true" outlineLevel="0" collapsed="false">
      <c r="A512" s="7" t="str">
        <f aca="false">TRIM(customer_churn_dataset!A512)</f>
        <v>CUST100185</v>
      </c>
      <c r="B512" s="7" t="str">
        <f aca="false">PROPER(TRIM(customer_churn_dataset!B512))</f>
        <v>Standard</v>
      </c>
      <c r="C512" s="7" t="str">
        <f aca="false">PROPER(TRIM(customer_churn_dataset!C512))</f>
        <v>Month-To-Month</v>
      </c>
      <c r="D512" s="7" t="n">
        <f aca="false">IF(ISBLANK(customer_churn_dataset!D512),ROUND(MEDIAN(customer_churn_dataset!D$2:D$1501),2),IF(customer_churn_dataset!D512&lt;0,ABS(customer_churn_dataset!D512),customer_churn_dataset!D512))</f>
        <v>18.51</v>
      </c>
      <c r="E512" s="7" t="n">
        <f aca="false">IF(ISBLANK(customer_churn_dataset!E512),0,MAX(0,customer_churn_dataset!E512))</f>
        <v>35</v>
      </c>
      <c r="F512" s="8" t="n">
        <f aca="false">IF(ISBLANK(customer_churn_dataset!F512),"",customer_churn_dataset!F512)</f>
        <v>44520</v>
      </c>
      <c r="G512" s="7" t="str">
        <f aca="false">PROPER(TRIM(customer_churn_dataset!G512))</f>
        <v>Paypal</v>
      </c>
      <c r="H512" s="7" t="n">
        <f aca="false">IF(ISBLANK(customer_churn_dataset!H512),0,customer_churn_dataset!H512)</f>
        <v>1</v>
      </c>
      <c r="I512" s="7" t="n">
        <f aca="false">IF(ISBLANK(customer_churn_dataset!I512),ROUND(MEDIAN(customer_churn_dataset!I$2:I$1501),1),MIN(100,MAX(0,customer_churn_dataset!I512)))</f>
        <v>80.4</v>
      </c>
      <c r="J512" s="7" t="n">
        <f aca="false">IF(ISBLANK(customer_churn_dataset!J512),0,MAX(0,customer_churn_dataset!J512))</f>
        <v>26</v>
      </c>
      <c r="K512" s="7" t="n">
        <f aca="false">IF(ISBLANK(customer_churn_dataset!K512),0,MIN(10,MAX(0,customer_churn_dataset!K512)))</f>
        <v>9</v>
      </c>
      <c r="L512" s="7" t="n">
        <f aca="false">IF(ISBLANK(customer_churn_dataset!L512),0,MAX(0,customer_churn_dataset!L512))</f>
        <v>0</v>
      </c>
      <c r="M512" s="7" t="n">
        <f aca="false">IF(ISBLANK(customer_churn_dataset!M512),0,customer_churn_dataset!M512)</f>
        <v>0</v>
      </c>
      <c r="N512" s="7" t="n">
        <f aca="false">IF(ISBLANK(customer_churn_dataset!N512),0,MAX(0,customer_churn_dataset!N512))</f>
        <v>647.85</v>
      </c>
      <c r="O512" s="7" t="n">
        <f aca="false">IF(ISBLANK(customer_churn_dataset!O512),0,customer_churn_dataset!O512)</f>
        <v>1</v>
      </c>
      <c r="P512" s="7" t="str">
        <f aca="false">IF(COUNTIF(customer_churn_dataset!$A$2:$A$1501,customer_churn_dataset!A512)&gt;1,"Duplicate","Unique")</f>
        <v>Unique</v>
      </c>
    </row>
    <row r="513" customFormat="false" ht="14.15" hidden="false" customHeight="true" outlineLevel="0" collapsed="false">
      <c r="A513" s="7" t="str">
        <f aca="false">TRIM(customer_churn_dataset!A513)</f>
        <v>CUST100485</v>
      </c>
      <c r="B513" s="7" t="str">
        <f aca="false">PROPER(TRIM(customer_churn_dataset!B513))</f>
        <v>Premium</v>
      </c>
      <c r="C513" s="7" t="str">
        <f aca="false">PROPER(TRIM(customer_churn_dataset!C513))</f>
        <v>Month-To-Month</v>
      </c>
      <c r="D513" s="7" t="n">
        <f aca="false">IF(ISBLANK(customer_churn_dataset!D513),ROUND(MEDIAN(customer_churn_dataset!D$2:D$1501),2),IF(customer_churn_dataset!D513&lt;0,ABS(customer_churn_dataset!D513),customer_churn_dataset!D513))</f>
        <v>40.42</v>
      </c>
      <c r="E513" s="7" t="n">
        <f aca="false">IF(ISBLANK(customer_churn_dataset!E513),0,MAX(0,customer_churn_dataset!E513))</f>
        <v>72</v>
      </c>
      <c r="F513" s="8" t="n">
        <f aca="false">IF(ISBLANK(customer_churn_dataset!F513),"",customer_churn_dataset!F513)</f>
        <v>44522</v>
      </c>
      <c r="G513" s="7" t="str">
        <f aca="false">PROPER(TRIM(customer_churn_dataset!G513))</f>
        <v>Manual/Invoice</v>
      </c>
      <c r="H513" s="7" t="n">
        <f aca="false">IF(ISBLANK(customer_churn_dataset!H513),0,customer_churn_dataset!H513)</f>
        <v>1</v>
      </c>
      <c r="I513" s="7" t="n">
        <f aca="false">IF(ISBLANK(customer_churn_dataset!I513),ROUND(MEDIAN(customer_churn_dataset!I$2:I$1501),1),MIN(100,MAX(0,customer_churn_dataset!I513)))</f>
        <v>57.9</v>
      </c>
      <c r="J513" s="7" t="n">
        <f aca="false">IF(ISBLANK(customer_churn_dataset!J513),0,MAX(0,customer_churn_dataset!J513))</f>
        <v>12</v>
      </c>
      <c r="K513" s="7" t="n">
        <f aca="false">IF(ISBLANK(customer_churn_dataset!K513),0,MIN(10,MAX(0,customer_churn_dataset!K513)))</f>
        <v>7</v>
      </c>
      <c r="L513" s="7" t="n">
        <f aca="false">IF(ISBLANK(customer_churn_dataset!L513),0,MAX(0,customer_churn_dataset!L513))</f>
        <v>1</v>
      </c>
      <c r="M513" s="7" t="n">
        <f aca="false">IF(ISBLANK(customer_churn_dataset!M513),0,customer_churn_dataset!M513)</f>
        <v>0</v>
      </c>
      <c r="N513" s="7" t="n">
        <f aca="false">IF(ISBLANK(customer_churn_dataset!N513),0,MAX(0,customer_churn_dataset!N513))</f>
        <v>2910.24</v>
      </c>
      <c r="O513" s="7" t="n">
        <f aca="false">IF(ISBLANK(customer_churn_dataset!O513),0,customer_churn_dataset!O513)</f>
        <v>0</v>
      </c>
      <c r="P513" s="7" t="str">
        <f aca="false">IF(COUNTIF(customer_churn_dataset!$A$2:$A$1501,customer_churn_dataset!A513)&gt;1,"Duplicate","Unique")</f>
        <v>Unique</v>
      </c>
    </row>
    <row r="514" customFormat="false" ht="14.15" hidden="false" customHeight="true" outlineLevel="0" collapsed="false">
      <c r="A514" s="7" t="str">
        <f aca="false">TRIM(customer_churn_dataset!A514)</f>
        <v>CUST101309</v>
      </c>
      <c r="B514" s="7" t="str">
        <f aca="false">PROPER(TRIM(customer_churn_dataset!B514))</f>
        <v>Premium</v>
      </c>
      <c r="C514" s="7" t="str">
        <f aca="false">PROPER(TRIM(customer_churn_dataset!C514))</f>
        <v>Two Year</v>
      </c>
      <c r="D514" s="7" t="n">
        <f aca="false">IF(ISBLANK(customer_churn_dataset!D514),ROUND(MEDIAN(customer_churn_dataset!D$2:D$1501),2),IF(customer_churn_dataset!D514&lt;0,ABS(customer_churn_dataset!D514),customer_churn_dataset!D514))</f>
        <v>39.78</v>
      </c>
      <c r="E514" s="7" t="n">
        <f aca="false">IF(ISBLANK(customer_churn_dataset!E514),0,MAX(0,customer_churn_dataset!E514))</f>
        <v>16</v>
      </c>
      <c r="F514" s="8" t="n">
        <f aca="false">IF(ISBLANK(customer_churn_dataset!F514),"",customer_churn_dataset!F514)</f>
        <v>44524</v>
      </c>
      <c r="G514" s="7" t="str">
        <f aca="false">PROPER(TRIM(customer_churn_dataset!G514))</f>
        <v>Paypal</v>
      </c>
      <c r="H514" s="7" t="n">
        <f aca="false">IF(ISBLANK(customer_churn_dataset!H514),0,customer_churn_dataset!H514)</f>
        <v>1</v>
      </c>
      <c r="I514" s="7" t="n">
        <f aca="false">IF(ISBLANK(customer_churn_dataset!I514),ROUND(MEDIAN(customer_churn_dataset!I$2:I$1501),1),MIN(100,MAX(0,customer_churn_dataset!I514)))</f>
        <v>45</v>
      </c>
      <c r="J514" s="7" t="n">
        <f aca="false">IF(ISBLANK(customer_churn_dataset!J514),0,MAX(0,customer_churn_dataset!J514))</f>
        <v>18</v>
      </c>
      <c r="K514" s="7" t="n">
        <f aca="false">IF(ISBLANK(customer_churn_dataset!K514),0,MIN(10,MAX(0,customer_churn_dataset!K514)))</f>
        <v>3</v>
      </c>
      <c r="L514" s="7" t="n">
        <f aca="false">IF(ISBLANK(customer_churn_dataset!L514),0,MAX(0,customer_churn_dataset!L514))</f>
        <v>0</v>
      </c>
      <c r="M514" s="7" t="n">
        <f aca="false">IF(ISBLANK(customer_churn_dataset!M514),0,customer_churn_dataset!M514)</f>
        <v>0</v>
      </c>
      <c r="N514" s="7" t="n">
        <f aca="false">IF(ISBLANK(customer_churn_dataset!N514),0,MAX(0,customer_churn_dataset!N514))</f>
        <v>636.48</v>
      </c>
      <c r="O514" s="7" t="n">
        <f aca="false">IF(ISBLANK(customer_churn_dataset!O514),0,customer_churn_dataset!O514)</f>
        <v>0</v>
      </c>
      <c r="P514" s="7" t="str">
        <f aca="false">IF(COUNTIF(customer_churn_dataset!$A$2:$A$1501,customer_churn_dataset!A514)&gt;1,"Duplicate","Unique")</f>
        <v>Unique</v>
      </c>
    </row>
    <row r="515" customFormat="false" ht="14.15" hidden="false" customHeight="true" outlineLevel="0" collapsed="false">
      <c r="A515" s="7" t="str">
        <f aca="false">TRIM(customer_churn_dataset!A515)</f>
        <v>CUST101394</v>
      </c>
      <c r="B515" s="7" t="str">
        <f aca="false">PROPER(TRIM(customer_churn_dataset!B515))</f>
        <v>Basic</v>
      </c>
      <c r="C515" s="7" t="str">
        <f aca="false">PROPER(TRIM(customer_churn_dataset!C515))</f>
        <v>Month-To-Month</v>
      </c>
      <c r="D515" s="7" t="n">
        <f aca="false">IF(ISBLANK(customer_churn_dataset!D515),ROUND(MEDIAN(customer_churn_dataset!D$2:D$1501),2),IF(customer_churn_dataset!D515&lt;0,ABS(customer_churn_dataset!D515),customer_churn_dataset!D515))</f>
        <v>9.12</v>
      </c>
      <c r="E515" s="7" t="n">
        <f aca="false">IF(ISBLANK(customer_churn_dataset!E515),0,MAX(0,customer_churn_dataset!E515))</f>
        <v>2</v>
      </c>
      <c r="F515" s="8" t="n">
        <f aca="false">IF(ISBLANK(customer_churn_dataset!F515),"",customer_churn_dataset!F515)</f>
        <v>44524</v>
      </c>
      <c r="G515" s="7" t="str">
        <f aca="false">PROPER(TRIM(customer_churn_dataset!G515))</f>
        <v>Paypal</v>
      </c>
      <c r="H515" s="7" t="n">
        <f aca="false">IF(ISBLANK(customer_churn_dataset!H515),0,customer_churn_dataset!H515)</f>
        <v>1</v>
      </c>
      <c r="I515" s="7" t="n">
        <f aca="false">IF(ISBLANK(customer_churn_dataset!I515),ROUND(MEDIAN(customer_churn_dataset!I$2:I$1501),1),MIN(100,MAX(0,customer_churn_dataset!I515)))</f>
        <v>83.9</v>
      </c>
      <c r="J515" s="7" t="n">
        <f aca="false">IF(ISBLANK(customer_churn_dataset!J515),0,MAX(0,customer_churn_dataset!J515))</f>
        <v>30</v>
      </c>
      <c r="K515" s="7" t="n">
        <f aca="false">IF(ISBLANK(customer_churn_dataset!K515),0,MIN(10,MAX(0,customer_churn_dataset!K515)))</f>
        <v>9</v>
      </c>
      <c r="L515" s="7" t="n">
        <f aca="false">IF(ISBLANK(customer_churn_dataset!L515),0,MAX(0,customer_churn_dataset!L515))</f>
        <v>1</v>
      </c>
      <c r="M515" s="7" t="n">
        <f aca="false">IF(ISBLANK(customer_churn_dataset!M515),0,customer_churn_dataset!M515)</f>
        <v>0</v>
      </c>
      <c r="N515" s="7" t="n">
        <f aca="false">IF(ISBLANK(customer_churn_dataset!N515),0,MAX(0,customer_churn_dataset!N515))</f>
        <v>18.24</v>
      </c>
      <c r="O515" s="7" t="n">
        <f aca="false">IF(ISBLANK(customer_churn_dataset!O515),0,customer_churn_dataset!O515)</f>
        <v>0</v>
      </c>
      <c r="P515" s="7" t="str">
        <f aca="false">IF(COUNTIF(customer_churn_dataset!$A$2:$A$1501,customer_churn_dataset!A515)&gt;1,"Duplicate","Unique")</f>
        <v>Unique</v>
      </c>
    </row>
    <row r="516" customFormat="false" ht="14.15" hidden="false" customHeight="true" outlineLevel="0" collapsed="false">
      <c r="A516" s="7" t="str">
        <f aca="false">TRIM(customer_churn_dataset!A516)</f>
        <v>CUST100377</v>
      </c>
      <c r="B516" s="7" t="str">
        <f aca="false">PROPER(TRIM(customer_churn_dataset!B516))</f>
        <v>Basic</v>
      </c>
      <c r="C516" s="7" t="str">
        <f aca="false">PROPER(TRIM(customer_churn_dataset!C516))</f>
        <v>Month-To-Month</v>
      </c>
      <c r="D516" s="7" t="n">
        <f aca="false">IF(ISBLANK(customer_churn_dataset!D516),ROUND(MEDIAN(customer_churn_dataset!D$2:D$1501),2),IF(customer_churn_dataset!D516&lt;0,ABS(customer_churn_dataset!D516),customer_churn_dataset!D516))</f>
        <v>9.46</v>
      </c>
      <c r="E516" s="7" t="n">
        <f aca="false">IF(ISBLANK(customer_churn_dataset!E516),0,MAX(0,customer_churn_dataset!E516))</f>
        <v>52</v>
      </c>
      <c r="F516" s="8" t="n">
        <f aca="false">IF(ISBLANK(customer_churn_dataset!F516),"",customer_churn_dataset!F516)</f>
        <v>44525</v>
      </c>
      <c r="G516" s="7" t="str">
        <f aca="false">PROPER(TRIM(customer_churn_dataset!G516))</f>
        <v>Bank Transfer</v>
      </c>
      <c r="H516" s="7" t="n">
        <f aca="false">IF(ISBLANK(customer_churn_dataset!H516),0,customer_churn_dataset!H516)</f>
        <v>1</v>
      </c>
      <c r="I516" s="7" t="n">
        <f aca="false">IF(ISBLANK(customer_churn_dataset!I516),ROUND(MEDIAN(customer_churn_dataset!I$2:I$1501),1),MIN(100,MAX(0,customer_churn_dataset!I516)))</f>
        <v>34.8</v>
      </c>
      <c r="J516" s="7" t="n">
        <f aca="false">IF(ISBLANK(customer_churn_dataset!J516),0,MAX(0,customer_churn_dataset!J516))</f>
        <v>15</v>
      </c>
      <c r="K516" s="7" t="n">
        <f aca="false">IF(ISBLANK(customer_churn_dataset!K516),0,MIN(10,MAX(0,customer_churn_dataset!K516)))</f>
        <v>5</v>
      </c>
      <c r="L516" s="7" t="n">
        <f aca="false">IF(ISBLANK(customer_churn_dataset!L516),0,MAX(0,customer_churn_dataset!L516))</f>
        <v>1</v>
      </c>
      <c r="M516" s="7" t="n">
        <f aca="false">IF(ISBLANK(customer_churn_dataset!M516),0,customer_churn_dataset!M516)</f>
        <v>0</v>
      </c>
      <c r="N516" s="7" t="n">
        <f aca="false">IF(ISBLANK(customer_churn_dataset!N516),0,MAX(0,customer_churn_dataset!N516))</f>
        <v>491.92</v>
      </c>
      <c r="O516" s="7" t="n">
        <f aca="false">IF(ISBLANK(customer_churn_dataset!O516),0,customer_churn_dataset!O516)</f>
        <v>0</v>
      </c>
      <c r="P516" s="7" t="str">
        <f aca="false">IF(COUNTIF(customer_churn_dataset!$A$2:$A$1501,customer_churn_dataset!A516)&gt;1,"Duplicate","Unique")</f>
        <v>Unique</v>
      </c>
    </row>
    <row r="517" customFormat="false" ht="14.15" hidden="false" customHeight="true" outlineLevel="0" collapsed="false">
      <c r="A517" s="7" t="str">
        <f aca="false">TRIM(customer_churn_dataset!A517)</f>
        <v>CUST100122</v>
      </c>
      <c r="B517" s="7" t="str">
        <f aca="false">PROPER(TRIM(customer_churn_dataset!B517))</f>
        <v>Basic</v>
      </c>
      <c r="C517" s="7" t="str">
        <f aca="false">PROPER(TRIM(customer_churn_dataset!C517))</f>
        <v>Month-To-Month</v>
      </c>
      <c r="D517" s="7" t="n">
        <f aca="false">IF(ISBLANK(customer_churn_dataset!D517),ROUND(MEDIAN(customer_churn_dataset!D$2:D$1501),2),IF(customer_churn_dataset!D517&lt;0,ABS(customer_churn_dataset!D517),customer_churn_dataset!D517))</f>
        <v>10.7</v>
      </c>
      <c r="E517" s="7" t="n">
        <f aca="false">IF(ISBLANK(customer_churn_dataset!E517),0,MAX(0,customer_churn_dataset!E517))</f>
        <v>28</v>
      </c>
      <c r="F517" s="8" t="n">
        <f aca="false">IF(ISBLANK(customer_churn_dataset!F517),"",customer_churn_dataset!F517)</f>
        <v>44526</v>
      </c>
      <c r="G517" s="7" t="str">
        <f aca="false">PROPER(TRIM(customer_churn_dataset!G517))</f>
        <v>Credit Card</v>
      </c>
      <c r="H517" s="7" t="n">
        <f aca="false">IF(ISBLANK(customer_churn_dataset!H517),0,customer_churn_dataset!H517)</f>
        <v>0</v>
      </c>
      <c r="I517" s="7" t="n">
        <f aca="false">IF(ISBLANK(customer_churn_dataset!I517),ROUND(MEDIAN(customer_churn_dataset!I$2:I$1501),1),MIN(100,MAX(0,customer_churn_dataset!I517)))</f>
        <v>47.2</v>
      </c>
      <c r="J517" s="7" t="n">
        <f aca="false">IF(ISBLANK(customer_churn_dataset!J517),0,MAX(0,customer_churn_dataset!J517))</f>
        <v>12</v>
      </c>
      <c r="K517" s="7" t="n">
        <f aca="false">IF(ISBLANK(customer_churn_dataset!K517),0,MIN(10,MAX(0,customer_churn_dataset!K517)))</f>
        <v>5</v>
      </c>
      <c r="L517" s="7" t="n">
        <f aca="false">IF(ISBLANK(customer_churn_dataset!L517),0,MAX(0,customer_churn_dataset!L517))</f>
        <v>1</v>
      </c>
      <c r="M517" s="7" t="n">
        <f aca="false">IF(ISBLANK(customer_churn_dataset!M517),0,customer_churn_dataset!M517)</f>
        <v>1</v>
      </c>
      <c r="N517" s="7" t="n">
        <f aca="false">IF(ISBLANK(customer_churn_dataset!N517),0,MAX(0,customer_churn_dataset!N517))</f>
        <v>299.6</v>
      </c>
      <c r="O517" s="7" t="n">
        <f aca="false">IF(ISBLANK(customer_churn_dataset!O517),0,customer_churn_dataset!O517)</f>
        <v>1</v>
      </c>
      <c r="P517" s="7" t="str">
        <f aca="false">IF(COUNTIF(customer_churn_dataset!$A$2:$A$1501,customer_churn_dataset!A517)&gt;1,"Duplicate","Unique")</f>
        <v>Unique</v>
      </c>
    </row>
    <row r="518" customFormat="false" ht="14.15" hidden="false" customHeight="true" outlineLevel="0" collapsed="false">
      <c r="A518" s="7" t="str">
        <f aca="false">TRIM(customer_churn_dataset!A518)</f>
        <v>CUST100178</v>
      </c>
      <c r="B518" s="7" t="str">
        <f aca="false">PROPER(TRIM(customer_churn_dataset!B518))</f>
        <v>Premium</v>
      </c>
      <c r="C518" s="7" t="str">
        <f aca="false">PROPER(TRIM(customer_churn_dataset!C518))</f>
        <v>Two Year</v>
      </c>
      <c r="D518" s="7" t="n">
        <f aca="false">IF(ISBLANK(customer_churn_dataset!D518),ROUND(MEDIAN(customer_churn_dataset!D$2:D$1501),2),IF(customer_churn_dataset!D518&lt;0,ABS(customer_churn_dataset!D518),customer_churn_dataset!D518))</f>
        <v>39.6</v>
      </c>
      <c r="E518" s="7" t="n">
        <f aca="false">IF(ISBLANK(customer_churn_dataset!E518),0,MAX(0,customer_churn_dataset!E518))</f>
        <v>21</v>
      </c>
      <c r="F518" s="8" t="n">
        <f aca="false">IF(ISBLANK(customer_churn_dataset!F518),"",customer_churn_dataset!F518)</f>
        <v>44527</v>
      </c>
      <c r="G518" s="7" t="str">
        <f aca="false">PROPER(TRIM(customer_churn_dataset!G518))</f>
        <v>Paypal</v>
      </c>
      <c r="H518" s="7" t="n">
        <f aca="false">IF(ISBLANK(customer_churn_dataset!H518),0,customer_churn_dataset!H518)</f>
        <v>1</v>
      </c>
      <c r="I518" s="7" t="n">
        <f aca="false">IF(ISBLANK(customer_churn_dataset!I518),ROUND(MEDIAN(customer_churn_dataset!I$2:I$1501),1),MIN(100,MAX(0,customer_churn_dataset!I518)))</f>
        <v>73.1</v>
      </c>
      <c r="J518" s="7" t="n">
        <f aca="false">IF(ISBLANK(customer_churn_dataset!J518),0,MAX(0,customer_churn_dataset!J518))</f>
        <v>20</v>
      </c>
      <c r="K518" s="7" t="n">
        <f aca="false">IF(ISBLANK(customer_churn_dataset!K518),0,MIN(10,MAX(0,customer_churn_dataset!K518)))</f>
        <v>7</v>
      </c>
      <c r="L518" s="7" t="n">
        <f aca="false">IF(ISBLANK(customer_churn_dataset!L518),0,MAX(0,customer_churn_dataset!L518))</f>
        <v>1</v>
      </c>
      <c r="M518" s="7" t="n">
        <f aca="false">IF(ISBLANK(customer_churn_dataset!M518),0,customer_churn_dataset!M518)</f>
        <v>1</v>
      </c>
      <c r="N518" s="7" t="n">
        <f aca="false">IF(ISBLANK(customer_churn_dataset!N518),0,MAX(0,customer_churn_dataset!N518))</f>
        <v>831.6</v>
      </c>
      <c r="O518" s="7" t="n">
        <f aca="false">IF(ISBLANK(customer_churn_dataset!O518),0,customer_churn_dataset!O518)</f>
        <v>0</v>
      </c>
      <c r="P518" s="7" t="str">
        <f aca="false">IF(COUNTIF(customer_churn_dataset!$A$2:$A$1501,customer_churn_dataset!A518)&gt;1,"Duplicate","Unique")</f>
        <v>Unique</v>
      </c>
    </row>
    <row r="519" customFormat="false" ht="14.15" hidden="false" customHeight="true" outlineLevel="0" collapsed="false">
      <c r="A519" s="7" t="str">
        <f aca="false">TRIM(customer_churn_dataset!A519)</f>
        <v>CUST100139</v>
      </c>
      <c r="B519" s="7" t="str">
        <f aca="false">PROPER(TRIM(customer_churn_dataset!B519))</f>
        <v>Premium</v>
      </c>
      <c r="C519" s="7" t="str">
        <f aca="false">PROPER(TRIM(customer_churn_dataset!C519))</f>
        <v>One Year</v>
      </c>
      <c r="D519" s="7" t="n">
        <f aca="false">IF(ISBLANK(customer_churn_dataset!D519),ROUND(MEDIAN(customer_churn_dataset!D$2:D$1501),2),IF(customer_churn_dataset!D519&lt;0,ABS(customer_churn_dataset!D519),customer_churn_dataset!D519))</f>
        <v>40.31</v>
      </c>
      <c r="E519" s="7" t="n">
        <f aca="false">IF(ISBLANK(customer_churn_dataset!E519),0,MAX(0,customer_churn_dataset!E519))</f>
        <v>2</v>
      </c>
      <c r="F519" s="8" t="n">
        <f aca="false">IF(ISBLANK(customer_churn_dataset!F519),"",customer_churn_dataset!F519)</f>
        <v>44527</v>
      </c>
      <c r="G519" s="7" t="str">
        <f aca="false">PROPER(TRIM(customer_churn_dataset!G519))</f>
        <v>Bank Transfer</v>
      </c>
      <c r="H519" s="7" t="n">
        <f aca="false">IF(ISBLANK(customer_churn_dataset!H519),0,customer_churn_dataset!H519)</f>
        <v>0</v>
      </c>
      <c r="I519" s="7" t="n">
        <f aca="false">IF(ISBLANK(customer_churn_dataset!I519),ROUND(MEDIAN(customer_churn_dataset!I$2:I$1501),1),MIN(100,MAX(0,customer_churn_dataset!I519)))</f>
        <v>54.1</v>
      </c>
      <c r="J519" s="7" t="n">
        <f aca="false">IF(ISBLANK(customer_churn_dataset!J519),0,MAX(0,customer_churn_dataset!J519))</f>
        <v>15</v>
      </c>
      <c r="K519" s="7" t="n">
        <f aca="false">IF(ISBLANK(customer_churn_dataset!K519),0,MIN(10,MAX(0,customer_churn_dataset!K519)))</f>
        <v>5</v>
      </c>
      <c r="L519" s="7" t="n">
        <f aca="false">IF(ISBLANK(customer_churn_dataset!L519),0,MAX(0,customer_churn_dataset!L519))</f>
        <v>2</v>
      </c>
      <c r="M519" s="7" t="n">
        <f aca="false">IF(ISBLANK(customer_churn_dataset!M519),0,customer_churn_dataset!M519)</f>
        <v>1</v>
      </c>
      <c r="N519" s="7" t="n">
        <f aca="false">IF(ISBLANK(customer_churn_dataset!N519),0,MAX(0,customer_churn_dataset!N519))</f>
        <v>80.62</v>
      </c>
      <c r="O519" s="7" t="n">
        <f aca="false">IF(ISBLANK(customer_churn_dataset!O519),0,customer_churn_dataset!O519)</f>
        <v>1</v>
      </c>
      <c r="P519" s="7" t="str">
        <f aca="false">IF(COUNTIF(customer_churn_dataset!$A$2:$A$1501,customer_churn_dataset!A519)&gt;1,"Duplicate","Unique")</f>
        <v>Unique</v>
      </c>
    </row>
    <row r="520" customFormat="false" ht="14.15" hidden="false" customHeight="true" outlineLevel="0" collapsed="false">
      <c r="A520" s="7" t="str">
        <f aca="false">TRIM(customer_churn_dataset!A520)</f>
        <v>CUST100327</v>
      </c>
      <c r="B520" s="7" t="str">
        <f aca="false">PROPER(TRIM(customer_churn_dataset!B520))</f>
        <v>Standard</v>
      </c>
      <c r="C520" s="7" t="str">
        <f aca="false">PROPER(TRIM(customer_churn_dataset!C520))</f>
        <v>Month-To-Month</v>
      </c>
      <c r="D520" s="7" t="n">
        <f aca="false">IF(ISBLANK(customer_churn_dataset!D520),ROUND(MEDIAN(customer_churn_dataset!D$2:D$1501),2),IF(customer_churn_dataset!D520&lt;0,ABS(customer_churn_dataset!D520),customer_churn_dataset!D520))</f>
        <v>18.23</v>
      </c>
      <c r="E520" s="7" t="n">
        <f aca="false">IF(ISBLANK(customer_churn_dataset!E520),0,MAX(0,customer_churn_dataset!E520))</f>
        <v>58</v>
      </c>
      <c r="F520" s="8" t="n">
        <f aca="false">IF(ISBLANK(customer_churn_dataset!F520),"",customer_churn_dataset!F520)</f>
        <v>44530</v>
      </c>
      <c r="G520" s="7" t="str">
        <f aca="false">PROPER(TRIM(customer_churn_dataset!G520))</f>
        <v>Bank Transfer</v>
      </c>
      <c r="H520" s="7" t="n">
        <f aca="false">IF(ISBLANK(customer_churn_dataset!H520),0,customer_churn_dataset!H520)</f>
        <v>1</v>
      </c>
      <c r="I520" s="7" t="n">
        <f aca="false">IF(ISBLANK(customer_churn_dataset!I520),ROUND(MEDIAN(customer_churn_dataset!I$2:I$1501),1),MIN(100,MAX(0,customer_churn_dataset!I520)))</f>
        <v>54.2</v>
      </c>
      <c r="J520" s="7" t="n">
        <f aca="false">IF(ISBLANK(customer_churn_dataset!J520),0,MAX(0,customer_churn_dataset!J520))</f>
        <v>16</v>
      </c>
      <c r="K520" s="7" t="n">
        <f aca="false">IF(ISBLANK(customer_churn_dataset!K520),0,MIN(10,MAX(0,customer_churn_dataset!K520)))</f>
        <v>6</v>
      </c>
      <c r="L520" s="7" t="n">
        <f aca="false">IF(ISBLANK(customer_churn_dataset!L520),0,MAX(0,customer_churn_dataset!L520))</f>
        <v>1</v>
      </c>
      <c r="M520" s="7" t="n">
        <f aca="false">IF(ISBLANK(customer_churn_dataset!M520),0,customer_churn_dataset!M520)</f>
        <v>1</v>
      </c>
      <c r="N520" s="7" t="n">
        <f aca="false">IF(ISBLANK(customer_churn_dataset!N520),0,MAX(0,customer_churn_dataset!N520))</f>
        <v>1057.34</v>
      </c>
      <c r="O520" s="7" t="n">
        <f aca="false">IF(ISBLANK(customer_churn_dataset!O520),0,customer_churn_dataset!O520)</f>
        <v>0</v>
      </c>
      <c r="P520" s="7" t="str">
        <f aca="false">IF(COUNTIF(customer_churn_dataset!$A$2:$A$1501,customer_churn_dataset!A520)&gt;1,"Duplicate","Unique")</f>
        <v>Unique</v>
      </c>
    </row>
    <row r="521" customFormat="false" ht="14.15" hidden="false" customHeight="true" outlineLevel="0" collapsed="false">
      <c r="A521" s="7" t="str">
        <f aca="false">TRIM(customer_churn_dataset!A521)</f>
        <v>CUST100512</v>
      </c>
      <c r="B521" s="7" t="str">
        <f aca="false">PROPER(TRIM(customer_churn_dataset!B521))</f>
        <v>Premium</v>
      </c>
      <c r="C521" s="7" t="str">
        <f aca="false">PROPER(TRIM(customer_churn_dataset!C521))</f>
        <v>One Year</v>
      </c>
      <c r="D521" s="7" t="n">
        <f aca="false">IF(ISBLANK(customer_churn_dataset!D521),ROUND(MEDIAN(customer_churn_dataset!D$2:D$1501),2),IF(customer_churn_dataset!D521&lt;0,ABS(customer_churn_dataset!D521),customer_churn_dataset!D521))</f>
        <v>39.6</v>
      </c>
      <c r="E521" s="7" t="n">
        <f aca="false">IF(ISBLANK(customer_churn_dataset!E521),0,MAX(0,customer_churn_dataset!E521))</f>
        <v>36</v>
      </c>
      <c r="F521" s="8" t="n">
        <f aca="false">IF(ISBLANK(customer_churn_dataset!F521),"",customer_churn_dataset!F521)</f>
        <v>44530</v>
      </c>
      <c r="G521" s="7" t="str">
        <f aca="false">PROPER(TRIM(customer_churn_dataset!G521))</f>
        <v>Bank Transfer</v>
      </c>
      <c r="H521" s="7" t="n">
        <f aca="false">IF(ISBLANK(customer_churn_dataset!H521),0,customer_churn_dataset!H521)</f>
        <v>1</v>
      </c>
      <c r="I521" s="7" t="n">
        <f aca="false">IF(ISBLANK(customer_churn_dataset!I521),ROUND(MEDIAN(customer_churn_dataset!I$2:I$1501),1),MIN(100,MAX(0,customer_churn_dataset!I521)))</f>
        <v>83.7</v>
      </c>
      <c r="J521" s="7" t="n">
        <f aca="false">IF(ISBLANK(customer_churn_dataset!J521),0,MAX(0,customer_churn_dataset!J521))</f>
        <v>22</v>
      </c>
      <c r="K521" s="7" t="n">
        <f aca="false">IF(ISBLANK(customer_churn_dataset!K521),0,MIN(10,MAX(0,customer_churn_dataset!K521)))</f>
        <v>6</v>
      </c>
      <c r="L521" s="7" t="n">
        <f aca="false">IF(ISBLANK(customer_churn_dataset!L521),0,MAX(0,customer_churn_dataset!L521))</f>
        <v>1</v>
      </c>
      <c r="M521" s="7" t="n">
        <f aca="false">IF(ISBLANK(customer_churn_dataset!M521),0,customer_churn_dataset!M521)</f>
        <v>1</v>
      </c>
      <c r="N521" s="7" t="n">
        <f aca="false">IF(ISBLANK(customer_churn_dataset!N521),0,MAX(0,customer_churn_dataset!N521))</f>
        <v>1425.6</v>
      </c>
      <c r="O521" s="7" t="n">
        <f aca="false">IF(ISBLANK(customer_churn_dataset!O521),0,customer_churn_dataset!O521)</f>
        <v>0</v>
      </c>
      <c r="P521" s="7" t="str">
        <f aca="false">IF(COUNTIF(customer_churn_dataset!$A$2:$A$1501,customer_churn_dataset!A521)&gt;1,"Duplicate","Unique")</f>
        <v>Unique</v>
      </c>
    </row>
    <row r="522" customFormat="false" ht="14.15" hidden="false" customHeight="true" outlineLevel="0" collapsed="false">
      <c r="A522" s="7" t="str">
        <f aca="false">TRIM(customer_churn_dataset!A522)</f>
        <v>CUST101275</v>
      </c>
      <c r="B522" s="7" t="str">
        <f aca="false">PROPER(TRIM(customer_churn_dataset!B522))</f>
        <v>Basic</v>
      </c>
      <c r="C522" s="7" t="str">
        <f aca="false">PROPER(TRIM(customer_churn_dataset!C522))</f>
        <v>Month-To-Month</v>
      </c>
      <c r="D522" s="7" t="n">
        <f aca="false">IF(ISBLANK(customer_churn_dataset!D522),ROUND(MEDIAN(customer_churn_dataset!D$2:D$1501),2),IF(customer_churn_dataset!D522&lt;0,ABS(customer_churn_dataset!D522),customer_churn_dataset!D522))</f>
        <v>9.62</v>
      </c>
      <c r="E522" s="7" t="n">
        <f aca="false">IF(ISBLANK(customer_churn_dataset!E522),0,MAX(0,customer_churn_dataset!E522))</f>
        <v>9</v>
      </c>
      <c r="F522" s="8" t="n">
        <f aca="false">IF(ISBLANK(customer_churn_dataset!F522),"",customer_churn_dataset!F522)</f>
        <v>44534</v>
      </c>
      <c r="G522" s="7" t="str">
        <f aca="false">PROPER(TRIM(customer_churn_dataset!G522))</f>
        <v>Credit Card</v>
      </c>
      <c r="H522" s="7" t="n">
        <f aca="false">IF(ISBLANK(customer_churn_dataset!H522),0,customer_churn_dataset!H522)</f>
        <v>1</v>
      </c>
      <c r="I522" s="7" t="n">
        <f aca="false">IF(ISBLANK(customer_churn_dataset!I522),ROUND(MEDIAN(customer_churn_dataset!I$2:I$1501),1),MIN(100,MAX(0,customer_churn_dataset!I522)))</f>
        <v>89.6</v>
      </c>
      <c r="J522" s="7" t="n">
        <f aca="false">IF(ISBLANK(customer_churn_dataset!J522),0,MAX(0,customer_churn_dataset!J522))</f>
        <v>23</v>
      </c>
      <c r="K522" s="7" t="n">
        <f aca="false">IF(ISBLANK(customer_churn_dataset!K522),0,MIN(10,MAX(0,customer_churn_dataset!K522)))</f>
        <v>7</v>
      </c>
      <c r="L522" s="7" t="n">
        <f aca="false">IF(ISBLANK(customer_churn_dataset!L522),0,MAX(0,customer_churn_dataset!L522))</f>
        <v>1</v>
      </c>
      <c r="M522" s="7" t="n">
        <f aca="false">IF(ISBLANK(customer_churn_dataset!M522),0,customer_churn_dataset!M522)</f>
        <v>1</v>
      </c>
      <c r="N522" s="7" t="n">
        <f aca="false">IF(ISBLANK(customer_churn_dataset!N522),0,MAX(0,customer_churn_dataset!N522))</f>
        <v>86.58</v>
      </c>
      <c r="O522" s="7" t="n">
        <f aca="false">IF(ISBLANK(customer_churn_dataset!O522),0,customer_churn_dataset!O522)</f>
        <v>1</v>
      </c>
      <c r="P522" s="7" t="str">
        <f aca="false">IF(COUNTIF(customer_churn_dataset!$A$2:$A$1501,customer_churn_dataset!A522)&gt;1,"Duplicate","Unique")</f>
        <v>Unique</v>
      </c>
    </row>
    <row r="523" customFormat="false" ht="14.15" hidden="false" customHeight="true" outlineLevel="0" collapsed="false">
      <c r="A523" s="7" t="str">
        <f aca="false">TRIM(customer_churn_dataset!A523)</f>
        <v>CUST101473</v>
      </c>
      <c r="B523" s="7" t="str">
        <f aca="false">PROPER(TRIM(customer_churn_dataset!B523))</f>
        <v>Basic</v>
      </c>
      <c r="C523" s="7" t="str">
        <f aca="false">PROPER(TRIM(customer_churn_dataset!C523))</f>
        <v>Month-To-Month</v>
      </c>
      <c r="D523" s="7" t="n">
        <f aca="false">IF(ISBLANK(customer_churn_dataset!D523),ROUND(MEDIAN(customer_churn_dataset!D$2:D$1501),2),IF(customer_churn_dataset!D523&lt;0,ABS(customer_churn_dataset!D523),customer_churn_dataset!D523))</f>
        <v>10.3</v>
      </c>
      <c r="E523" s="7" t="n">
        <f aca="false">IF(ISBLANK(customer_churn_dataset!E523),0,MAX(0,customer_churn_dataset!E523))</f>
        <v>7</v>
      </c>
      <c r="F523" s="8" t="n">
        <f aca="false">IF(ISBLANK(customer_churn_dataset!F523),"",customer_churn_dataset!F523)</f>
        <v>44535</v>
      </c>
      <c r="G523" s="7" t="str">
        <f aca="false">PROPER(TRIM(customer_churn_dataset!G523))</f>
        <v>Bank Transfer</v>
      </c>
      <c r="H523" s="7" t="n">
        <f aca="false">IF(ISBLANK(customer_churn_dataset!H523),0,customer_churn_dataset!H523)</f>
        <v>1</v>
      </c>
      <c r="I523" s="7" t="n">
        <f aca="false">IF(ISBLANK(customer_churn_dataset!I523),ROUND(MEDIAN(customer_churn_dataset!I$2:I$1501),1),MIN(100,MAX(0,customer_churn_dataset!I523)))</f>
        <v>49.2</v>
      </c>
      <c r="J523" s="7" t="n">
        <f aca="false">IF(ISBLANK(customer_churn_dataset!J523),0,MAX(0,customer_churn_dataset!J523))</f>
        <v>10</v>
      </c>
      <c r="K523" s="7" t="n">
        <f aca="false">IF(ISBLANK(customer_churn_dataset!K523),0,MIN(10,MAX(0,customer_churn_dataset!K523)))</f>
        <v>4</v>
      </c>
      <c r="L523" s="7" t="n">
        <f aca="false">IF(ISBLANK(customer_churn_dataset!L523),0,MAX(0,customer_churn_dataset!L523))</f>
        <v>0</v>
      </c>
      <c r="M523" s="7" t="n">
        <f aca="false">IF(ISBLANK(customer_churn_dataset!M523),0,customer_churn_dataset!M523)</f>
        <v>0</v>
      </c>
      <c r="N523" s="7" t="n">
        <f aca="false">IF(ISBLANK(customer_churn_dataset!N523),0,MAX(0,customer_churn_dataset!N523))</f>
        <v>72.1</v>
      </c>
      <c r="O523" s="7" t="n">
        <f aca="false">IF(ISBLANK(customer_churn_dataset!O523),0,customer_churn_dataset!O523)</f>
        <v>0</v>
      </c>
      <c r="P523" s="7" t="str">
        <f aca="false">IF(COUNTIF(customer_churn_dataset!$A$2:$A$1501,customer_churn_dataset!A523)&gt;1,"Duplicate","Unique")</f>
        <v>Unique</v>
      </c>
    </row>
    <row r="524" customFormat="false" ht="14.15" hidden="false" customHeight="true" outlineLevel="0" collapsed="false">
      <c r="A524" s="7" t="str">
        <f aca="false">TRIM(customer_churn_dataset!A524)</f>
        <v>CUST100965</v>
      </c>
      <c r="B524" s="7" t="str">
        <f aca="false">PROPER(TRIM(customer_churn_dataset!B524))</f>
        <v>Basic</v>
      </c>
      <c r="C524" s="7" t="str">
        <f aca="false">PROPER(TRIM(customer_churn_dataset!C524))</f>
        <v>Month-To-Month</v>
      </c>
      <c r="D524" s="7" t="n">
        <f aca="false">IF(ISBLANK(customer_churn_dataset!D524),ROUND(MEDIAN(customer_churn_dataset!D$2:D$1501),2),IF(customer_churn_dataset!D524&lt;0,ABS(customer_churn_dataset!D524),customer_churn_dataset!D524))</f>
        <v>10.54</v>
      </c>
      <c r="E524" s="7" t="n">
        <f aca="false">IF(ISBLANK(customer_churn_dataset!E524),0,MAX(0,customer_churn_dataset!E524))</f>
        <v>14</v>
      </c>
      <c r="F524" s="8" t="n">
        <f aca="false">IF(ISBLANK(customer_churn_dataset!F524),"",customer_churn_dataset!F524)</f>
        <v>44536</v>
      </c>
      <c r="G524" s="7" t="str">
        <f aca="false">PROPER(TRIM(customer_churn_dataset!G524))</f>
        <v>Bank Transfer</v>
      </c>
      <c r="H524" s="7" t="n">
        <f aca="false">IF(ISBLANK(customer_churn_dataset!H524),0,customer_churn_dataset!H524)</f>
        <v>1</v>
      </c>
      <c r="I524" s="7" t="n">
        <f aca="false">IF(ISBLANK(customer_churn_dataset!I524),ROUND(MEDIAN(customer_churn_dataset!I$2:I$1501),1),MIN(100,MAX(0,customer_churn_dataset!I524)))</f>
        <v>52.7</v>
      </c>
      <c r="J524" s="7" t="n">
        <f aca="false">IF(ISBLANK(customer_churn_dataset!J524),0,MAX(0,customer_churn_dataset!J524))</f>
        <v>19</v>
      </c>
      <c r="K524" s="7" t="n">
        <f aca="false">IF(ISBLANK(customer_churn_dataset!K524),0,MIN(10,MAX(0,customer_churn_dataset!K524)))</f>
        <v>6</v>
      </c>
      <c r="L524" s="7" t="n">
        <f aca="false">IF(ISBLANK(customer_churn_dataset!L524),0,MAX(0,customer_churn_dataset!L524))</f>
        <v>1</v>
      </c>
      <c r="M524" s="7" t="n">
        <f aca="false">IF(ISBLANK(customer_churn_dataset!M524),0,customer_churn_dataset!M524)</f>
        <v>0</v>
      </c>
      <c r="N524" s="7" t="n">
        <f aca="false">IF(ISBLANK(customer_churn_dataset!N524),0,MAX(0,customer_churn_dataset!N524))</f>
        <v>147.56</v>
      </c>
      <c r="O524" s="7" t="n">
        <f aca="false">IF(ISBLANK(customer_churn_dataset!O524),0,customer_churn_dataset!O524)</f>
        <v>1</v>
      </c>
      <c r="P524" s="7" t="str">
        <f aca="false">IF(COUNTIF(customer_churn_dataset!$A$2:$A$1501,customer_churn_dataset!A524)&gt;1,"Duplicate","Unique")</f>
        <v>Unique</v>
      </c>
    </row>
    <row r="525" customFormat="false" ht="14.15" hidden="false" customHeight="true" outlineLevel="0" collapsed="false">
      <c r="A525" s="7" t="str">
        <f aca="false">TRIM(customer_churn_dataset!A525)</f>
        <v>CUST101042</v>
      </c>
      <c r="B525" s="7" t="str">
        <f aca="false">PROPER(TRIM(customer_churn_dataset!B525))</f>
        <v>Basic</v>
      </c>
      <c r="C525" s="7" t="str">
        <f aca="false">PROPER(TRIM(customer_churn_dataset!C525))</f>
        <v>Month-To-Month</v>
      </c>
      <c r="D525" s="7" t="n">
        <f aca="false">IF(ISBLANK(customer_churn_dataset!D525),ROUND(MEDIAN(customer_churn_dataset!D$2:D$1501),2),IF(customer_churn_dataset!D525&lt;0,ABS(customer_churn_dataset!D525),customer_churn_dataset!D525))</f>
        <v>10.71</v>
      </c>
      <c r="E525" s="7" t="n">
        <f aca="false">IF(ISBLANK(customer_churn_dataset!E525),0,MAX(0,customer_churn_dataset!E525))</f>
        <v>5</v>
      </c>
      <c r="F525" s="8" t="n">
        <f aca="false">IF(ISBLANK(customer_churn_dataset!F525),"",customer_churn_dataset!F525)</f>
        <v>44537</v>
      </c>
      <c r="G525" s="7" t="str">
        <f aca="false">PROPER(TRIM(customer_churn_dataset!G525))</f>
        <v>Credit Card</v>
      </c>
      <c r="H525" s="7" t="n">
        <f aca="false">IF(ISBLANK(customer_churn_dataset!H525),0,customer_churn_dataset!H525)</f>
        <v>0</v>
      </c>
      <c r="I525" s="7" t="n">
        <f aca="false">IF(ISBLANK(customer_churn_dataset!I525),ROUND(MEDIAN(customer_churn_dataset!I$2:I$1501),1),MIN(100,MAX(0,customer_churn_dataset!I525)))</f>
        <v>37.9</v>
      </c>
      <c r="J525" s="7" t="n">
        <f aca="false">IF(ISBLANK(customer_churn_dataset!J525),0,MAX(0,customer_churn_dataset!J525))</f>
        <v>12</v>
      </c>
      <c r="K525" s="7" t="n">
        <f aca="false">IF(ISBLANK(customer_churn_dataset!K525),0,MIN(10,MAX(0,customer_churn_dataset!K525)))</f>
        <v>3</v>
      </c>
      <c r="L525" s="7" t="n">
        <f aca="false">IF(ISBLANK(customer_churn_dataset!L525),0,MAX(0,customer_churn_dataset!L525))</f>
        <v>2</v>
      </c>
      <c r="M525" s="7" t="n">
        <f aca="false">IF(ISBLANK(customer_churn_dataset!M525),0,customer_churn_dataset!M525)</f>
        <v>1</v>
      </c>
      <c r="N525" s="7" t="n">
        <f aca="false">IF(ISBLANK(customer_churn_dataset!N525),0,MAX(0,customer_churn_dataset!N525))</f>
        <v>53.55</v>
      </c>
      <c r="O525" s="7" t="n">
        <f aca="false">IF(ISBLANK(customer_churn_dataset!O525),0,customer_churn_dataset!O525)</f>
        <v>1</v>
      </c>
      <c r="P525" s="7" t="str">
        <f aca="false">IF(COUNTIF(customer_churn_dataset!$A$2:$A$1501,customer_churn_dataset!A525)&gt;1,"Duplicate","Unique")</f>
        <v>Unique</v>
      </c>
    </row>
    <row r="526" customFormat="false" ht="14.15" hidden="false" customHeight="true" outlineLevel="0" collapsed="false">
      <c r="A526" s="7" t="str">
        <f aca="false">TRIM(customer_churn_dataset!A526)</f>
        <v>CUST101017</v>
      </c>
      <c r="B526" s="7" t="str">
        <f aca="false">PROPER(TRIM(customer_churn_dataset!B526))</f>
        <v>Standard</v>
      </c>
      <c r="C526" s="7" t="str">
        <f aca="false">PROPER(TRIM(customer_churn_dataset!C526))</f>
        <v>One Year</v>
      </c>
      <c r="D526" s="7" t="n">
        <f aca="false">IF(ISBLANK(customer_churn_dataset!D526),ROUND(MEDIAN(customer_churn_dataset!D$2:D$1501),2),IF(customer_churn_dataset!D526&lt;0,ABS(customer_churn_dataset!D526),customer_churn_dataset!D526))</f>
        <v>20.17</v>
      </c>
      <c r="E526" s="7" t="n">
        <f aca="false">IF(ISBLANK(customer_churn_dataset!E526),0,MAX(0,customer_churn_dataset!E526))</f>
        <v>72</v>
      </c>
      <c r="F526" s="8" t="n">
        <f aca="false">IF(ISBLANK(customer_churn_dataset!F526),"",customer_churn_dataset!F526)</f>
        <v>44538</v>
      </c>
      <c r="G526" s="7" t="str">
        <f aca="false">PROPER(TRIM(customer_churn_dataset!G526))</f>
        <v>Paypal</v>
      </c>
      <c r="H526" s="7" t="n">
        <f aca="false">IF(ISBLANK(customer_churn_dataset!H526),0,customer_churn_dataset!H526)</f>
        <v>1</v>
      </c>
      <c r="I526" s="7" t="n">
        <f aca="false">IF(ISBLANK(customer_churn_dataset!I526),ROUND(MEDIAN(customer_churn_dataset!I$2:I$1501),1),MIN(100,MAX(0,customer_churn_dataset!I526)))</f>
        <v>86.1</v>
      </c>
      <c r="J526" s="7" t="n">
        <f aca="false">IF(ISBLANK(customer_churn_dataset!J526),0,MAX(0,customer_churn_dataset!J526))</f>
        <v>26</v>
      </c>
      <c r="K526" s="7" t="n">
        <f aca="false">IF(ISBLANK(customer_churn_dataset!K526),0,MIN(10,MAX(0,customer_churn_dataset!K526)))</f>
        <v>4</v>
      </c>
      <c r="L526" s="7" t="n">
        <f aca="false">IF(ISBLANK(customer_churn_dataset!L526),0,MAX(0,customer_churn_dataset!L526))</f>
        <v>1</v>
      </c>
      <c r="M526" s="7" t="n">
        <f aca="false">IF(ISBLANK(customer_churn_dataset!M526),0,customer_churn_dataset!M526)</f>
        <v>0</v>
      </c>
      <c r="N526" s="7" t="n">
        <f aca="false">IF(ISBLANK(customer_churn_dataset!N526),0,MAX(0,customer_churn_dataset!N526))</f>
        <v>1452.24</v>
      </c>
      <c r="O526" s="7" t="n">
        <f aca="false">IF(ISBLANK(customer_churn_dataset!O526),0,customer_churn_dataset!O526)</f>
        <v>0</v>
      </c>
      <c r="P526" s="7" t="str">
        <f aca="false">IF(COUNTIF(customer_churn_dataset!$A$2:$A$1501,customer_churn_dataset!A526)&gt;1,"Duplicate","Unique")</f>
        <v>Unique</v>
      </c>
    </row>
    <row r="527" customFormat="false" ht="14.15" hidden="false" customHeight="true" outlineLevel="0" collapsed="false">
      <c r="A527" s="7" t="str">
        <f aca="false">TRIM(customer_churn_dataset!A527)</f>
        <v>CUST101005</v>
      </c>
      <c r="B527" s="7" t="str">
        <f aca="false">PROPER(TRIM(customer_churn_dataset!B527))</f>
        <v>Standard</v>
      </c>
      <c r="C527" s="7" t="str">
        <f aca="false">PROPER(TRIM(customer_churn_dataset!C527))</f>
        <v>Month-To-Month</v>
      </c>
      <c r="D527" s="7" t="n">
        <f aca="false">IF(ISBLANK(customer_churn_dataset!D527),ROUND(MEDIAN(customer_churn_dataset!D$2:D$1501),2),IF(customer_churn_dataset!D527&lt;0,ABS(customer_churn_dataset!D527),customer_churn_dataset!D527))</f>
        <v>18.97</v>
      </c>
      <c r="E527" s="7" t="n">
        <f aca="false">IF(ISBLANK(customer_churn_dataset!E527),0,MAX(0,customer_churn_dataset!E527))</f>
        <v>5</v>
      </c>
      <c r="F527" s="8" t="n">
        <f aca="false">IF(ISBLANK(customer_churn_dataset!F527),"",customer_churn_dataset!F527)</f>
        <v>44540</v>
      </c>
      <c r="G527" s="7" t="str">
        <f aca="false">PROPER(TRIM(customer_churn_dataset!G527))</f>
        <v>Paypal</v>
      </c>
      <c r="H527" s="7" t="n">
        <f aca="false">IF(ISBLANK(customer_churn_dataset!H527),0,customer_churn_dataset!H527)</f>
        <v>1</v>
      </c>
      <c r="I527" s="7" t="n">
        <f aca="false">IF(ISBLANK(customer_churn_dataset!I527),ROUND(MEDIAN(customer_churn_dataset!I$2:I$1501),1),MIN(100,MAX(0,customer_churn_dataset!I527)))</f>
        <v>58.1</v>
      </c>
      <c r="J527" s="7" t="n">
        <f aca="false">IF(ISBLANK(customer_churn_dataset!J527),0,MAX(0,customer_churn_dataset!J527))</f>
        <v>20</v>
      </c>
      <c r="K527" s="7" t="n">
        <f aca="false">IF(ISBLANK(customer_churn_dataset!K527),0,MIN(10,MAX(0,customer_churn_dataset!K527)))</f>
        <v>8</v>
      </c>
      <c r="L527" s="7" t="n">
        <f aca="false">IF(ISBLANK(customer_churn_dataset!L527),0,MAX(0,customer_churn_dataset!L527))</f>
        <v>5</v>
      </c>
      <c r="M527" s="7" t="n">
        <f aca="false">IF(ISBLANK(customer_churn_dataset!M527),0,customer_churn_dataset!M527)</f>
        <v>0</v>
      </c>
      <c r="N527" s="7" t="n">
        <f aca="false">IF(ISBLANK(customer_churn_dataset!N527),0,MAX(0,customer_churn_dataset!N527))</f>
        <v>94.85</v>
      </c>
      <c r="O527" s="7" t="n">
        <f aca="false">IF(ISBLANK(customer_churn_dataset!O527),0,customer_churn_dataset!O527)</f>
        <v>0</v>
      </c>
      <c r="P527" s="7" t="str">
        <f aca="false">IF(COUNTIF(customer_churn_dataset!$A$2:$A$1501,customer_churn_dataset!A527)&gt;1,"Duplicate","Unique")</f>
        <v>Unique</v>
      </c>
    </row>
    <row r="528" customFormat="false" ht="14.15" hidden="false" customHeight="true" outlineLevel="0" collapsed="false">
      <c r="A528" s="7" t="str">
        <f aca="false">TRIM(customer_churn_dataset!A528)</f>
        <v>CUST100718</v>
      </c>
      <c r="B528" s="7" t="str">
        <f aca="false">PROPER(TRIM(customer_churn_dataset!B528))</f>
        <v>Basic</v>
      </c>
      <c r="C528" s="7" t="str">
        <f aca="false">PROPER(TRIM(customer_churn_dataset!C528))</f>
        <v>Month-To-Month</v>
      </c>
      <c r="D528" s="7" t="n">
        <f aca="false">IF(ISBLANK(customer_churn_dataset!D528),ROUND(MEDIAN(customer_churn_dataset!D$2:D$1501),2),IF(customer_churn_dataset!D528&lt;0,ABS(customer_churn_dataset!D528),customer_churn_dataset!D528))</f>
        <v>8.31</v>
      </c>
      <c r="E528" s="7" t="n">
        <f aca="false">IF(ISBLANK(customer_churn_dataset!E528),0,MAX(0,customer_churn_dataset!E528))</f>
        <v>13</v>
      </c>
      <c r="F528" s="8" t="n">
        <f aca="false">IF(ISBLANK(customer_churn_dataset!F528),"",customer_churn_dataset!F528)</f>
        <v>44540</v>
      </c>
      <c r="G528" s="7" t="str">
        <f aca="false">PROPER(TRIM(customer_churn_dataset!G528))</f>
        <v>Paypal</v>
      </c>
      <c r="H528" s="7" t="n">
        <f aca="false">IF(ISBLANK(customer_churn_dataset!H528),0,customer_churn_dataset!H528)</f>
        <v>0</v>
      </c>
      <c r="I528" s="7" t="n">
        <f aca="false">IF(ISBLANK(customer_churn_dataset!I528),ROUND(MEDIAN(customer_churn_dataset!I$2:I$1501),1),MIN(100,MAX(0,customer_churn_dataset!I528)))</f>
        <v>90</v>
      </c>
      <c r="J528" s="7" t="n">
        <f aca="false">IF(ISBLANK(customer_churn_dataset!J528),0,MAX(0,customer_churn_dataset!J528))</f>
        <v>25</v>
      </c>
      <c r="K528" s="7" t="n">
        <f aca="false">IF(ISBLANK(customer_churn_dataset!K528),0,MIN(10,MAX(0,customer_churn_dataset!K528)))</f>
        <v>9</v>
      </c>
      <c r="L528" s="7" t="n">
        <f aca="false">IF(ISBLANK(customer_churn_dataset!L528),0,MAX(0,customer_churn_dataset!L528))</f>
        <v>0</v>
      </c>
      <c r="M528" s="7" t="n">
        <f aca="false">IF(ISBLANK(customer_churn_dataset!M528),0,customer_churn_dataset!M528)</f>
        <v>0</v>
      </c>
      <c r="N528" s="7" t="n">
        <f aca="false">IF(ISBLANK(customer_churn_dataset!N528),0,MAX(0,customer_churn_dataset!N528))</f>
        <v>108.03</v>
      </c>
      <c r="O528" s="7" t="n">
        <f aca="false">IF(ISBLANK(customer_churn_dataset!O528),0,customer_churn_dataset!O528)</f>
        <v>0</v>
      </c>
      <c r="P528" s="7" t="str">
        <f aca="false">IF(COUNTIF(customer_churn_dataset!$A$2:$A$1501,customer_churn_dataset!A528)&gt;1,"Duplicate","Unique")</f>
        <v>Unique</v>
      </c>
    </row>
    <row r="529" customFormat="false" ht="14.15" hidden="false" customHeight="true" outlineLevel="0" collapsed="false">
      <c r="A529" s="7" t="str">
        <f aca="false">TRIM(customer_churn_dataset!A529)</f>
        <v>CUST101289</v>
      </c>
      <c r="B529" s="7" t="str">
        <f aca="false">PROPER(TRIM(customer_churn_dataset!B529))</f>
        <v>Basic</v>
      </c>
      <c r="C529" s="7" t="str">
        <f aca="false">PROPER(TRIM(customer_churn_dataset!C529))</f>
        <v>Month-To-Month</v>
      </c>
      <c r="D529" s="7" t="n">
        <f aca="false">IF(ISBLANK(customer_churn_dataset!D529),ROUND(MEDIAN(customer_churn_dataset!D$2:D$1501),2),IF(customer_churn_dataset!D529&lt;0,ABS(customer_churn_dataset!D529),customer_churn_dataset!D529))</f>
        <v>9.3</v>
      </c>
      <c r="E529" s="7" t="n">
        <f aca="false">IF(ISBLANK(customer_churn_dataset!E529),0,MAX(0,customer_churn_dataset!E529))</f>
        <v>0</v>
      </c>
      <c r="F529" s="8" t="n">
        <f aca="false">IF(ISBLANK(customer_churn_dataset!F529),"",customer_churn_dataset!F529)</f>
        <v>44542</v>
      </c>
      <c r="G529" s="7" t="str">
        <f aca="false">PROPER(TRIM(customer_churn_dataset!G529))</f>
        <v>Bank Transfer</v>
      </c>
      <c r="H529" s="7" t="n">
        <f aca="false">IF(ISBLANK(customer_churn_dataset!H529),0,customer_churn_dataset!H529)</f>
        <v>0</v>
      </c>
      <c r="I529" s="7" t="n">
        <f aca="false">IF(ISBLANK(customer_churn_dataset!I529),ROUND(MEDIAN(customer_churn_dataset!I$2:I$1501),1),MIN(100,MAX(0,customer_churn_dataset!I529)))</f>
        <v>71.2</v>
      </c>
      <c r="J529" s="7" t="n">
        <f aca="false">IF(ISBLANK(customer_churn_dataset!J529),0,MAX(0,customer_churn_dataset!J529))</f>
        <v>20</v>
      </c>
      <c r="K529" s="7" t="n">
        <f aca="false">IF(ISBLANK(customer_churn_dataset!K529),0,MIN(10,MAX(0,customer_churn_dataset!K529)))</f>
        <v>6</v>
      </c>
      <c r="L529" s="7" t="n">
        <f aca="false">IF(ISBLANK(customer_churn_dataset!L529),0,MAX(0,customer_churn_dataset!L529))</f>
        <v>0</v>
      </c>
      <c r="M529" s="7" t="n">
        <f aca="false">IF(ISBLANK(customer_churn_dataset!M529),0,customer_churn_dataset!M529)</f>
        <v>0</v>
      </c>
      <c r="N529" s="7" t="n">
        <f aca="false">IF(ISBLANK(customer_churn_dataset!N529),0,MAX(0,customer_churn_dataset!N529))</f>
        <v>0</v>
      </c>
      <c r="O529" s="7" t="n">
        <f aca="false">IF(ISBLANK(customer_churn_dataset!O529),0,customer_churn_dataset!O529)</f>
        <v>1</v>
      </c>
      <c r="P529" s="7" t="str">
        <f aca="false">IF(COUNTIF(customer_churn_dataset!$A$2:$A$1501,customer_churn_dataset!A529)&gt;1,"Duplicate","Unique")</f>
        <v>Unique</v>
      </c>
    </row>
    <row r="530" customFormat="false" ht="14.15" hidden="false" customHeight="true" outlineLevel="0" collapsed="false">
      <c r="A530" s="7" t="str">
        <f aca="false">TRIM(customer_churn_dataset!A530)</f>
        <v>CUST100763</v>
      </c>
      <c r="B530" s="7" t="str">
        <f aca="false">PROPER(TRIM(customer_churn_dataset!B530))</f>
        <v>Standard</v>
      </c>
      <c r="C530" s="7" t="str">
        <f aca="false">PROPER(TRIM(customer_churn_dataset!C530))</f>
        <v>Month-To-Month</v>
      </c>
      <c r="D530" s="7" t="n">
        <f aca="false">IF(ISBLANK(customer_churn_dataset!D530),ROUND(MEDIAN(customer_churn_dataset!D$2:D$1501),2),IF(customer_churn_dataset!D530&lt;0,ABS(customer_churn_dataset!D530),customer_churn_dataset!D530))</f>
        <v>20.23</v>
      </c>
      <c r="E530" s="7" t="n">
        <f aca="false">IF(ISBLANK(customer_churn_dataset!E530),0,MAX(0,customer_churn_dataset!E530))</f>
        <v>2</v>
      </c>
      <c r="F530" s="8" t="n">
        <f aca="false">IF(ISBLANK(customer_churn_dataset!F530),"",customer_churn_dataset!F530)</f>
        <v>44543</v>
      </c>
      <c r="G530" s="7" t="str">
        <f aca="false">PROPER(TRIM(customer_churn_dataset!G530))</f>
        <v>Manual/Invoice</v>
      </c>
      <c r="H530" s="7" t="n">
        <f aca="false">IF(ISBLANK(customer_churn_dataset!H530),0,customer_churn_dataset!H530)</f>
        <v>1</v>
      </c>
      <c r="I530" s="7" t="n">
        <f aca="false">IF(ISBLANK(customer_churn_dataset!I530),ROUND(MEDIAN(customer_churn_dataset!I$2:I$1501),1),MIN(100,MAX(0,customer_churn_dataset!I530)))</f>
        <v>48.2</v>
      </c>
      <c r="J530" s="7" t="n">
        <f aca="false">IF(ISBLANK(customer_churn_dataset!J530),0,MAX(0,customer_churn_dataset!J530))</f>
        <v>10</v>
      </c>
      <c r="K530" s="7" t="n">
        <f aca="false">IF(ISBLANK(customer_churn_dataset!K530),0,MIN(10,MAX(0,customer_churn_dataset!K530)))</f>
        <v>4</v>
      </c>
      <c r="L530" s="7" t="n">
        <f aca="false">IF(ISBLANK(customer_churn_dataset!L530),0,MAX(0,customer_churn_dataset!L530))</f>
        <v>0</v>
      </c>
      <c r="M530" s="7" t="n">
        <f aca="false">IF(ISBLANK(customer_churn_dataset!M530),0,customer_churn_dataset!M530)</f>
        <v>0</v>
      </c>
      <c r="N530" s="7" t="n">
        <f aca="false">IF(ISBLANK(customer_churn_dataset!N530),0,MAX(0,customer_churn_dataset!N530))</f>
        <v>40.46</v>
      </c>
      <c r="O530" s="7" t="n">
        <f aca="false">IF(ISBLANK(customer_churn_dataset!O530),0,customer_churn_dataset!O530)</f>
        <v>0</v>
      </c>
      <c r="P530" s="7" t="str">
        <f aca="false">IF(COUNTIF(customer_churn_dataset!$A$2:$A$1501,customer_churn_dataset!A530)&gt;1,"Duplicate","Unique")</f>
        <v>Unique</v>
      </c>
    </row>
    <row r="531" customFormat="false" ht="14.15" hidden="false" customHeight="true" outlineLevel="0" collapsed="false">
      <c r="A531" s="7" t="str">
        <f aca="false">TRIM(customer_churn_dataset!A531)</f>
        <v>CUST100182</v>
      </c>
      <c r="B531" s="7" t="str">
        <f aca="false">PROPER(TRIM(customer_churn_dataset!B531))</f>
        <v>Premium</v>
      </c>
      <c r="C531" s="7" t="str">
        <f aca="false">PROPER(TRIM(customer_churn_dataset!C531))</f>
        <v>Month-To-Month</v>
      </c>
      <c r="D531" s="7" t="n">
        <f aca="false">IF(ISBLANK(customer_churn_dataset!D531),ROUND(MEDIAN(customer_churn_dataset!D$2:D$1501),2),IF(customer_churn_dataset!D531&lt;0,ABS(customer_churn_dataset!D531),customer_churn_dataset!D531))</f>
        <v>40.43</v>
      </c>
      <c r="E531" s="7" t="n">
        <f aca="false">IF(ISBLANK(customer_churn_dataset!E531),0,MAX(0,customer_churn_dataset!E531))</f>
        <v>8</v>
      </c>
      <c r="F531" s="8" t="n">
        <f aca="false">IF(ISBLANK(customer_churn_dataset!F531),"",customer_churn_dataset!F531)</f>
        <v>44543</v>
      </c>
      <c r="G531" s="7" t="str">
        <f aca="false">PROPER(TRIM(customer_churn_dataset!G531))</f>
        <v>Credit Card</v>
      </c>
      <c r="H531" s="7" t="n">
        <f aca="false">IF(ISBLANK(customer_churn_dataset!H531),0,customer_churn_dataset!H531)</f>
        <v>1</v>
      </c>
      <c r="I531" s="7" t="n">
        <f aca="false">IF(ISBLANK(customer_churn_dataset!I531),ROUND(MEDIAN(customer_churn_dataset!I$2:I$1501),1),MIN(100,MAX(0,customer_churn_dataset!I531)))</f>
        <v>44.7</v>
      </c>
      <c r="J531" s="7" t="n">
        <f aca="false">IF(ISBLANK(customer_churn_dataset!J531),0,MAX(0,customer_churn_dataset!J531))</f>
        <v>19</v>
      </c>
      <c r="K531" s="7" t="n">
        <f aca="false">IF(ISBLANK(customer_churn_dataset!K531),0,MIN(10,MAX(0,customer_churn_dataset!K531)))</f>
        <v>3</v>
      </c>
      <c r="L531" s="7" t="n">
        <f aca="false">IF(ISBLANK(customer_churn_dataset!L531),0,MAX(0,customer_churn_dataset!L531))</f>
        <v>0</v>
      </c>
      <c r="M531" s="7" t="n">
        <f aca="false">IF(ISBLANK(customer_churn_dataset!M531),0,customer_churn_dataset!M531)</f>
        <v>0</v>
      </c>
      <c r="N531" s="7" t="n">
        <f aca="false">IF(ISBLANK(customer_churn_dataset!N531),0,MAX(0,customer_churn_dataset!N531))</f>
        <v>323.44</v>
      </c>
      <c r="O531" s="7" t="n">
        <f aca="false">IF(ISBLANK(customer_churn_dataset!O531),0,customer_churn_dataset!O531)</f>
        <v>0</v>
      </c>
      <c r="P531" s="7" t="str">
        <f aca="false">IF(COUNTIF(customer_churn_dataset!$A$2:$A$1501,customer_churn_dataset!A531)&gt;1,"Duplicate","Unique")</f>
        <v>Unique</v>
      </c>
    </row>
    <row r="532" customFormat="false" ht="14.15" hidden="false" customHeight="true" outlineLevel="0" collapsed="false">
      <c r="A532" s="7" t="str">
        <f aca="false">TRIM(customer_churn_dataset!A532)</f>
        <v>CUST100238</v>
      </c>
      <c r="B532" s="7" t="str">
        <f aca="false">PROPER(TRIM(customer_churn_dataset!B532))</f>
        <v>Standard</v>
      </c>
      <c r="C532" s="7" t="str">
        <f aca="false">PROPER(TRIM(customer_churn_dataset!C532))</f>
        <v>Month-To-Month</v>
      </c>
      <c r="D532" s="7" t="n">
        <f aca="false">IF(ISBLANK(customer_churn_dataset!D532),ROUND(MEDIAN(customer_churn_dataset!D$2:D$1501),2),IF(customer_churn_dataset!D532&lt;0,ABS(customer_churn_dataset!D532),customer_churn_dataset!D532))</f>
        <v>21.19</v>
      </c>
      <c r="E532" s="7" t="n">
        <f aca="false">IF(ISBLANK(customer_churn_dataset!E532),0,MAX(0,customer_churn_dataset!E532))</f>
        <v>8</v>
      </c>
      <c r="F532" s="8" t="n">
        <f aca="false">IF(ISBLANK(customer_churn_dataset!F532),"",customer_churn_dataset!F532)</f>
        <v>44543</v>
      </c>
      <c r="G532" s="7" t="str">
        <f aca="false">PROPER(TRIM(customer_churn_dataset!G532))</f>
        <v>Paypal</v>
      </c>
      <c r="H532" s="7" t="n">
        <f aca="false">IF(ISBLANK(customer_churn_dataset!H532),0,customer_churn_dataset!H532)</f>
        <v>0</v>
      </c>
      <c r="I532" s="7" t="n">
        <f aca="false">IF(ISBLANK(customer_churn_dataset!I532),ROUND(MEDIAN(customer_churn_dataset!I$2:I$1501),1),MIN(100,MAX(0,customer_churn_dataset!I532)))</f>
        <v>65.1</v>
      </c>
      <c r="J532" s="7" t="n">
        <f aca="false">IF(ISBLANK(customer_churn_dataset!J532),0,MAX(0,customer_churn_dataset!J532))</f>
        <v>26</v>
      </c>
      <c r="K532" s="7" t="n">
        <f aca="false">IF(ISBLANK(customer_churn_dataset!K532),0,MIN(10,MAX(0,customer_churn_dataset!K532)))</f>
        <v>8</v>
      </c>
      <c r="L532" s="7" t="n">
        <f aca="false">IF(ISBLANK(customer_churn_dataset!L532),0,MAX(0,customer_churn_dataset!L532))</f>
        <v>3</v>
      </c>
      <c r="M532" s="7" t="n">
        <f aca="false">IF(ISBLANK(customer_churn_dataset!M532),0,customer_churn_dataset!M532)</f>
        <v>0</v>
      </c>
      <c r="N532" s="7" t="n">
        <f aca="false">IF(ISBLANK(customer_churn_dataset!N532),0,MAX(0,customer_churn_dataset!N532))</f>
        <v>169.52</v>
      </c>
      <c r="O532" s="7" t="n">
        <f aca="false">IF(ISBLANK(customer_churn_dataset!O532),0,customer_churn_dataset!O532)</f>
        <v>1</v>
      </c>
      <c r="P532" s="7" t="str">
        <f aca="false">IF(COUNTIF(customer_churn_dataset!$A$2:$A$1501,customer_churn_dataset!A532)&gt;1,"Duplicate","Unique")</f>
        <v>Unique</v>
      </c>
    </row>
    <row r="533" customFormat="false" ht="14.15" hidden="false" customHeight="true" outlineLevel="0" collapsed="false">
      <c r="A533" s="7" t="str">
        <f aca="false">TRIM(customer_churn_dataset!A533)</f>
        <v>CUST101385</v>
      </c>
      <c r="B533" s="7" t="str">
        <f aca="false">PROPER(TRIM(customer_churn_dataset!B533))</f>
        <v>Basic</v>
      </c>
      <c r="C533" s="7" t="str">
        <f aca="false">PROPER(TRIM(customer_churn_dataset!C533))</f>
        <v>Month-To-Month</v>
      </c>
      <c r="D533" s="7" t="n">
        <f aca="false">IF(ISBLANK(customer_churn_dataset!D533),ROUND(MEDIAN(customer_churn_dataset!D$2:D$1501),2),IF(customer_churn_dataset!D533&lt;0,ABS(customer_churn_dataset!D533),customer_churn_dataset!D533))</f>
        <v>10.42</v>
      </c>
      <c r="E533" s="7" t="n">
        <f aca="false">IF(ISBLANK(customer_churn_dataset!E533),0,MAX(0,customer_churn_dataset!E533))</f>
        <v>4</v>
      </c>
      <c r="F533" s="8" t="n">
        <f aca="false">IF(ISBLANK(customer_churn_dataset!F533),"",customer_churn_dataset!F533)</f>
        <v>44544</v>
      </c>
      <c r="G533" s="7" t="str">
        <f aca="false">PROPER(TRIM(customer_churn_dataset!G533))</f>
        <v>Paypal</v>
      </c>
      <c r="H533" s="7" t="n">
        <f aca="false">IF(ISBLANK(customer_churn_dataset!H533),0,customer_churn_dataset!H533)</f>
        <v>0</v>
      </c>
      <c r="I533" s="7" t="n">
        <f aca="false">IF(ISBLANK(customer_churn_dataset!I533),ROUND(MEDIAN(customer_churn_dataset!I$2:I$1501),1),MIN(100,MAX(0,customer_churn_dataset!I533)))</f>
        <v>38.5</v>
      </c>
      <c r="J533" s="7" t="n">
        <f aca="false">IF(ISBLANK(customer_churn_dataset!J533),0,MAX(0,customer_churn_dataset!J533))</f>
        <v>10</v>
      </c>
      <c r="K533" s="7" t="n">
        <f aca="false">IF(ISBLANK(customer_churn_dataset!K533),0,MIN(10,MAX(0,customer_churn_dataset!K533)))</f>
        <v>2</v>
      </c>
      <c r="L533" s="7" t="n">
        <f aca="false">IF(ISBLANK(customer_churn_dataset!L533),0,MAX(0,customer_churn_dataset!L533))</f>
        <v>2</v>
      </c>
      <c r="M533" s="7" t="n">
        <f aca="false">IF(ISBLANK(customer_churn_dataset!M533),0,customer_churn_dataset!M533)</f>
        <v>1</v>
      </c>
      <c r="N533" s="7" t="n">
        <f aca="false">IF(ISBLANK(customer_churn_dataset!N533),0,MAX(0,customer_churn_dataset!N533))</f>
        <v>41.68</v>
      </c>
      <c r="O533" s="7" t="n">
        <f aca="false">IF(ISBLANK(customer_churn_dataset!O533),0,customer_churn_dataset!O533)</f>
        <v>1</v>
      </c>
      <c r="P533" s="7" t="str">
        <f aca="false">IF(COUNTIF(customer_churn_dataset!$A$2:$A$1501,customer_churn_dataset!A533)&gt;1,"Duplicate","Unique")</f>
        <v>Unique</v>
      </c>
    </row>
    <row r="534" customFormat="false" ht="14.15" hidden="false" customHeight="true" outlineLevel="0" collapsed="false">
      <c r="A534" s="7" t="str">
        <f aca="false">TRIM(customer_churn_dataset!A534)</f>
        <v>CUST101141</v>
      </c>
      <c r="B534" s="7" t="str">
        <f aca="false">PROPER(TRIM(customer_churn_dataset!B534))</f>
        <v>Basic</v>
      </c>
      <c r="C534" s="7" t="str">
        <f aca="false">PROPER(TRIM(customer_churn_dataset!C534))</f>
        <v>Month-To-Month</v>
      </c>
      <c r="D534" s="7" t="n">
        <f aca="false">IF(ISBLANK(customer_churn_dataset!D534),ROUND(MEDIAN(customer_churn_dataset!D$2:D$1501),2),IF(customer_churn_dataset!D534&lt;0,ABS(customer_churn_dataset!D534),customer_churn_dataset!D534))</f>
        <v>8.99</v>
      </c>
      <c r="E534" s="7" t="n">
        <f aca="false">IF(ISBLANK(customer_churn_dataset!E534),0,MAX(0,customer_churn_dataset!E534))</f>
        <v>1</v>
      </c>
      <c r="F534" s="8" t="n">
        <f aca="false">IF(ISBLANK(customer_churn_dataset!F534),"",customer_churn_dataset!F534)</f>
        <v>44545</v>
      </c>
      <c r="G534" s="7" t="str">
        <f aca="false">PROPER(TRIM(customer_churn_dataset!G534))</f>
        <v>Credit Card</v>
      </c>
      <c r="H534" s="7" t="n">
        <f aca="false">IF(ISBLANK(customer_churn_dataset!H534),0,customer_churn_dataset!H534)</f>
        <v>1</v>
      </c>
      <c r="I534" s="7" t="n">
        <f aca="false">IF(ISBLANK(customer_churn_dataset!I534),ROUND(MEDIAN(customer_churn_dataset!I$2:I$1501),1),MIN(100,MAX(0,customer_churn_dataset!I534)))</f>
        <v>63.2</v>
      </c>
      <c r="J534" s="7" t="n">
        <f aca="false">IF(ISBLANK(customer_churn_dataset!J534),0,MAX(0,customer_churn_dataset!J534))</f>
        <v>22</v>
      </c>
      <c r="K534" s="7" t="n">
        <f aca="false">IF(ISBLANK(customer_churn_dataset!K534),0,MIN(10,MAX(0,customer_churn_dataset!K534)))</f>
        <v>3</v>
      </c>
      <c r="L534" s="7" t="n">
        <f aca="false">IF(ISBLANK(customer_churn_dataset!L534),0,MAX(0,customer_churn_dataset!L534))</f>
        <v>0</v>
      </c>
      <c r="M534" s="7" t="n">
        <f aca="false">IF(ISBLANK(customer_churn_dataset!M534),0,customer_churn_dataset!M534)</f>
        <v>0</v>
      </c>
      <c r="N534" s="7" t="n">
        <f aca="false">IF(ISBLANK(customer_churn_dataset!N534),0,MAX(0,customer_churn_dataset!N534))</f>
        <v>8.99</v>
      </c>
      <c r="O534" s="7" t="n">
        <f aca="false">IF(ISBLANK(customer_churn_dataset!O534),0,customer_churn_dataset!O534)</f>
        <v>0</v>
      </c>
      <c r="P534" s="7" t="str">
        <f aca="false">IF(COUNTIF(customer_churn_dataset!$A$2:$A$1501,customer_churn_dataset!A534)&gt;1,"Duplicate","Unique")</f>
        <v>Unique</v>
      </c>
    </row>
    <row r="535" customFormat="false" ht="14.15" hidden="false" customHeight="true" outlineLevel="0" collapsed="false">
      <c r="A535" s="7" t="str">
        <f aca="false">TRIM(customer_churn_dataset!A535)</f>
        <v>CUST100445</v>
      </c>
      <c r="B535" s="7" t="str">
        <f aca="false">PROPER(TRIM(customer_churn_dataset!B535))</f>
        <v>Premium</v>
      </c>
      <c r="C535" s="7" t="str">
        <f aca="false">PROPER(TRIM(customer_churn_dataset!C535))</f>
        <v>Month-To-Month</v>
      </c>
      <c r="D535" s="7" t="n">
        <f aca="false">IF(ISBLANK(customer_churn_dataset!D535),ROUND(MEDIAN(customer_churn_dataset!D$2:D$1501),2),IF(customer_churn_dataset!D535&lt;0,ABS(customer_churn_dataset!D535),customer_churn_dataset!D535))</f>
        <v>39.04</v>
      </c>
      <c r="E535" s="7" t="n">
        <f aca="false">IF(ISBLANK(customer_churn_dataset!E535),0,MAX(0,customer_churn_dataset!E535))</f>
        <v>21</v>
      </c>
      <c r="F535" s="8" t="n">
        <f aca="false">IF(ISBLANK(customer_churn_dataset!F535),"",customer_churn_dataset!F535)</f>
        <v>44548</v>
      </c>
      <c r="G535" s="7" t="str">
        <f aca="false">PROPER(TRIM(customer_churn_dataset!G535))</f>
        <v>Credit Card</v>
      </c>
      <c r="H535" s="7" t="n">
        <f aca="false">IF(ISBLANK(customer_churn_dataset!H535),0,customer_churn_dataset!H535)</f>
        <v>1</v>
      </c>
      <c r="I535" s="7" t="n">
        <f aca="false">IF(ISBLANK(customer_churn_dataset!I535),ROUND(MEDIAN(customer_churn_dataset!I$2:I$1501),1),MIN(100,MAX(0,customer_churn_dataset!I535)))</f>
        <v>91</v>
      </c>
      <c r="J535" s="7" t="n">
        <f aca="false">IF(ISBLANK(customer_churn_dataset!J535),0,MAX(0,customer_churn_dataset!J535))</f>
        <v>27</v>
      </c>
      <c r="K535" s="7" t="n">
        <f aca="false">IF(ISBLANK(customer_churn_dataset!K535),0,MIN(10,MAX(0,customer_churn_dataset!K535)))</f>
        <v>9</v>
      </c>
      <c r="L535" s="7" t="n">
        <f aca="false">IF(ISBLANK(customer_churn_dataset!L535),0,MAX(0,customer_churn_dataset!L535))</f>
        <v>1</v>
      </c>
      <c r="M535" s="7" t="n">
        <f aca="false">IF(ISBLANK(customer_churn_dataset!M535),0,customer_churn_dataset!M535)</f>
        <v>0</v>
      </c>
      <c r="N535" s="7" t="n">
        <f aca="false">IF(ISBLANK(customer_churn_dataset!N535),0,MAX(0,customer_churn_dataset!N535))</f>
        <v>819.84</v>
      </c>
      <c r="O535" s="7" t="n">
        <f aca="false">IF(ISBLANK(customer_churn_dataset!O535),0,customer_churn_dataset!O535)</f>
        <v>1</v>
      </c>
      <c r="P535" s="7" t="str">
        <f aca="false">IF(COUNTIF(customer_churn_dataset!$A$2:$A$1501,customer_churn_dataset!A535)&gt;1,"Duplicate","Unique")</f>
        <v>Unique</v>
      </c>
    </row>
    <row r="536" customFormat="false" ht="14.15" hidden="false" customHeight="true" outlineLevel="0" collapsed="false">
      <c r="A536" s="7" t="str">
        <f aca="false">TRIM(customer_churn_dataset!A536)</f>
        <v>CUST101469</v>
      </c>
      <c r="B536" s="7" t="str">
        <f aca="false">PROPER(TRIM(customer_churn_dataset!B536))</f>
        <v>Standard</v>
      </c>
      <c r="C536" s="7" t="str">
        <f aca="false">PROPER(TRIM(customer_churn_dataset!C536))</f>
        <v>Month-To-Month</v>
      </c>
      <c r="D536" s="7" t="n">
        <f aca="false">IF(ISBLANK(customer_churn_dataset!D536),ROUND(MEDIAN(customer_churn_dataset!D$2:D$1501),2),IF(customer_churn_dataset!D536&lt;0,ABS(customer_churn_dataset!D536),customer_churn_dataset!D536))</f>
        <v>19.51</v>
      </c>
      <c r="E536" s="7" t="n">
        <f aca="false">IF(ISBLANK(customer_churn_dataset!E536),0,MAX(0,customer_churn_dataset!E536))</f>
        <v>30</v>
      </c>
      <c r="F536" s="8" t="n">
        <f aca="false">IF(ISBLANK(customer_churn_dataset!F536),"",customer_churn_dataset!F536)</f>
        <v>44550</v>
      </c>
      <c r="G536" s="7" t="str">
        <f aca="false">PROPER(TRIM(customer_churn_dataset!G536))</f>
        <v>Paypal</v>
      </c>
      <c r="H536" s="7" t="n">
        <f aca="false">IF(ISBLANK(customer_churn_dataset!H536),0,customer_churn_dataset!H536)</f>
        <v>1</v>
      </c>
      <c r="I536" s="7" t="n">
        <f aca="false">IF(ISBLANK(customer_churn_dataset!I536),ROUND(MEDIAN(customer_churn_dataset!I$2:I$1501),1),MIN(100,MAX(0,customer_churn_dataset!I536)))</f>
        <v>54.2</v>
      </c>
      <c r="J536" s="7" t="n">
        <f aca="false">IF(ISBLANK(customer_churn_dataset!J536),0,MAX(0,customer_churn_dataset!J536))</f>
        <v>18</v>
      </c>
      <c r="K536" s="7" t="n">
        <f aca="false">IF(ISBLANK(customer_churn_dataset!K536),0,MIN(10,MAX(0,customer_churn_dataset!K536)))</f>
        <v>5</v>
      </c>
      <c r="L536" s="7" t="n">
        <f aca="false">IF(ISBLANK(customer_churn_dataset!L536),0,MAX(0,customer_churn_dataset!L536))</f>
        <v>1</v>
      </c>
      <c r="M536" s="7" t="n">
        <f aca="false">IF(ISBLANK(customer_churn_dataset!M536),0,customer_churn_dataset!M536)</f>
        <v>0</v>
      </c>
      <c r="N536" s="7" t="n">
        <f aca="false">IF(ISBLANK(customer_churn_dataset!N536),0,MAX(0,customer_churn_dataset!N536))</f>
        <v>585.3</v>
      </c>
      <c r="O536" s="7" t="n">
        <f aca="false">IF(ISBLANK(customer_churn_dataset!O536),0,customer_churn_dataset!O536)</f>
        <v>0</v>
      </c>
      <c r="P536" s="7" t="str">
        <f aca="false">IF(COUNTIF(customer_churn_dataset!$A$2:$A$1501,customer_churn_dataset!A536)&gt;1,"Duplicate","Unique")</f>
        <v>Unique</v>
      </c>
    </row>
    <row r="537" customFormat="false" ht="14.15" hidden="false" customHeight="true" outlineLevel="0" collapsed="false">
      <c r="A537" s="7" t="str">
        <f aca="false">TRIM(customer_churn_dataset!A537)</f>
        <v>CUST100841</v>
      </c>
      <c r="B537" s="7" t="str">
        <f aca="false">PROPER(TRIM(customer_churn_dataset!B537))</f>
        <v>Standard</v>
      </c>
      <c r="C537" s="7" t="str">
        <f aca="false">PROPER(TRIM(customer_churn_dataset!C537))</f>
        <v>Month-To-Month</v>
      </c>
      <c r="D537" s="7" t="n">
        <f aca="false">IF(ISBLANK(customer_churn_dataset!D537),ROUND(MEDIAN(customer_churn_dataset!D$2:D$1501),2),IF(customer_churn_dataset!D537&lt;0,ABS(customer_churn_dataset!D537),customer_churn_dataset!D537))</f>
        <v>19.85</v>
      </c>
      <c r="E537" s="7" t="n">
        <f aca="false">IF(ISBLANK(customer_churn_dataset!E537),0,MAX(0,customer_churn_dataset!E537))</f>
        <v>2</v>
      </c>
      <c r="F537" s="8" t="n">
        <f aca="false">IF(ISBLANK(customer_churn_dataset!F537),"",customer_churn_dataset!F537)</f>
        <v>44552</v>
      </c>
      <c r="G537" s="7" t="str">
        <f aca="false">PROPER(TRIM(customer_churn_dataset!G537))</f>
        <v>Credit Card</v>
      </c>
      <c r="H537" s="7" t="n">
        <f aca="false">IF(ISBLANK(customer_churn_dataset!H537),0,customer_churn_dataset!H537)</f>
        <v>1</v>
      </c>
      <c r="I537" s="7" t="n">
        <f aca="false">IF(ISBLANK(customer_churn_dataset!I537),ROUND(MEDIAN(customer_churn_dataset!I$2:I$1501),1),MIN(100,MAX(0,customer_churn_dataset!I537)))</f>
        <v>46.7</v>
      </c>
      <c r="J537" s="7" t="n">
        <f aca="false">IF(ISBLANK(customer_churn_dataset!J537),0,MAX(0,customer_churn_dataset!J537))</f>
        <v>9</v>
      </c>
      <c r="K537" s="7" t="n">
        <f aca="false">IF(ISBLANK(customer_churn_dataset!K537),0,MIN(10,MAX(0,customer_churn_dataset!K537)))</f>
        <v>4</v>
      </c>
      <c r="L537" s="7" t="n">
        <f aca="false">IF(ISBLANK(customer_churn_dataset!L537),0,MAX(0,customer_churn_dataset!L537))</f>
        <v>3</v>
      </c>
      <c r="M537" s="7" t="n">
        <f aca="false">IF(ISBLANK(customer_churn_dataset!M537),0,customer_churn_dataset!M537)</f>
        <v>0</v>
      </c>
      <c r="N537" s="7" t="n">
        <f aca="false">IF(ISBLANK(customer_churn_dataset!N537),0,MAX(0,customer_churn_dataset!N537))</f>
        <v>39.7</v>
      </c>
      <c r="O537" s="7" t="n">
        <f aca="false">IF(ISBLANK(customer_churn_dataset!O537),0,customer_churn_dataset!O537)</f>
        <v>0</v>
      </c>
      <c r="P537" s="7" t="str">
        <f aca="false">IF(COUNTIF(customer_churn_dataset!$A$2:$A$1501,customer_churn_dataset!A537)&gt;1,"Duplicate","Unique")</f>
        <v>Unique</v>
      </c>
    </row>
    <row r="538" customFormat="false" ht="14.15" hidden="false" customHeight="true" outlineLevel="0" collapsed="false">
      <c r="A538" s="7" t="str">
        <f aca="false">TRIM(customer_churn_dataset!A538)</f>
        <v>CUST101335</v>
      </c>
      <c r="B538" s="7" t="str">
        <f aca="false">PROPER(TRIM(customer_churn_dataset!B538))</f>
        <v>Standard</v>
      </c>
      <c r="C538" s="7" t="str">
        <f aca="false">PROPER(TRIM(customer_churn_dataset!C538))</f>
        <v>Month-To-Month</v>
      </c>
      <c r="D538" s="7" t="n">
        <f aca="false">IF(ISBLANK(customer_churn_dataset!D538),ROUND(MEDIAN(customer_churn_dataset!D$2:D$1501),2),IF(customer_churn_dataset!D538&lt;0,ABS(customer_churn_dataset!D538),customer_churn_dataset!D538))</f>
        <v>20.8</v>
      </c>
      <c r="E538" s="7" t="n">
        <f aca="false">IF(ISBLANK(customer_churn_dataset!E538),0,MAX(0,customer_churn_dataset!E538))</f>
        <v>11</v>
      </c>
      <c r="F538" s="8" t="n">
        <f aca="false">IF(ISBLANK(customer_churn_dataset!F538),"",customer_churn_dataset!F538)</f>
        <v>44552</v>
      </c>
      <c r="G538" s="7" t="str">
        <f aca="false">PROPER(TRIM(customer_churn_dataset!G538))</f>
        <v>Bank Transfer</v>
      </c>
      <c r="H538" s="7" t="n">
        <f aca="false">IF(ISBLANK(customer_churn_dataset!H538),0,customer_churn_dataset!H538)</f>
        <v>0</v>
      </c>
      <c r="I538" s="7" t="n">
        <f aca="false">IF(ISBLANK(customer_churn_dataset!I538),ROUND(MEDIAN(customer_churn_dataset!I$2:I$1501),1),MIN(100,MAX(0,customer_churn_dataset!I538)))</f>
        <v>33.5</v>
      </c>
      <c r="J538" s="7" t="n">
        <f aca="false">IF(ISBLANK(customer_churn_dataset!J538),0,MAX(0,customer_churn_dataset!J538))</f>
        <v>12</v>
      </c>
      <c r="K538" s="7" t="n">
        <f aca="false">IF(ISBLANK(customer_churn_dataset!K538),0,MIN(10,MAX(0,customer_churn_dataset!K538)))</f>
        <v>2</v>
      </c>
      <c r="L538" s="7" t="n">
        <f aca="false">IF(ISBLANK(customer_churn_dataset!L538),0,MAX(0,customer_churn_dataset!L538))</f>
        <v>2</v>
      </c>
      <c r="M538" s="7" t="n">
        <f aca="false">IF(ISBLANK(customer_churn_dataset!M538),0,customer_churn_dataset!M538)</f>
        <v>0</v>
      </c>
      <c r="N538" s="7" t="n">
        <f aca="false">IF(ISBLANK(customer_churn_dataset!N538),0,MAX(0,customer_churn_dataset!N538))</f>
        <v>228.8</v>
      </c>
      <c r="O538" s="7" t="n">
        <f aca="false">IF(ISBLANK(customer_churn_dataset!O538),0,customer_churn_dataset!O538)</f>
        <v>1</v>
      </c>
      <c r="P538" s="7" t="str">
        <f aca="false">IF(COUNTIF(customer_churn_dataset!$A$2:$A$1501,customer_churn_dataset!A538)&gt;1,"Duplicate","Unique")</f>
        <v>Unique</v>
      </c>
    </row>
    <row r="539" customFormat="false" ht="14.15" hidden="false" customHeight="true" outlineLevel="0" collapsed="false">
      <c r="A539" s="7" t="str">
        <f aca="false">TRIM(customer_churn_dataset!A539)</f>
        <v>CUST100680</v>
      </c>
      <c r="B539" s="7" t="str">
        <f aca="false">PROPER(TRIM(customer_churn_dataset!B539))</f>
        <v>Premium</v>
      </c>
      <c r="C539" s="7" t="str">
        <f aca="false">PROPER(TRIM(customer_churn_dataset!C539))</f>
        <v>Month-To-Month</v>
      </c>
      <c r="D539" s="7" t="n">
        <f aca="false">IF(ISBLANK(customer_churn_dataset!D539),ROUND(MEDIAN(customer_churn_dataset!D$2:D$1501),2),IF(customer_churn_dataset!D539&lt;0,ABS(customer_churn_dataset!D539),customer_churn_dataset!D539))</f>
        <v>39.86</v>
      </c>
      <c r="E539" s="7" t="n">
        <f aca="false">IF(ISBLANK(customer_churn_dataset!E539),0,MAX(0,customer_churn_dataset!E539))</f>
        <v>2</v>
      </c>
      <c r="F539" s="8" t="n">
        <f aca="false">IF(ISBLANK(customer_churn_dataset!F539),"",customer_churn_dataset!F539)</f>
        <v>44554</v>
      </c>
      <c r="G539" s="7" t="str">
        <f aca="false">PROPER(TRIM(customer_churn_dataset!G539))</f>
        <v>Bank Transfer</v>
      </c>
      <c r="H539" s="7" t="n">
        <f aca="false">IF(ISBLANK(customer_churn_dataset!H539),0,customer_churn_dataset!H539)</f>
        <v>0</v>
      </c>
      <c r="I539" s="7" t="n">
        <f aca="false">IF(ISBLANK(customer_churn_dataset!I539),ROUND(MEDIAN(customer_churn_dataset!I$2:I$1501),1),MIN(100,MAX(0,customer_churn_dataset!I539)))</f>
        <v>58.7</v>
      </c>
      <c r="J539" s="7" t="n">
        <f aca="false">IF(ISBLANK(customer_churn_dataset!J539),0,MAX(0,customer_churn_dataset!J539))</f>
        <v>18</v>
      </c>
      <c r="K539" s="7" t="n">
        <f aca="false">IF(ISBLANK(customer_churn_dataset!K539),0,MIN(10,MAX(0,customer_churn_dataset!K539)))</f>
        <v>6</v>
      </c>
      <c r="L539" s="7" t="n">
        <f aca="false">IF(ISBLANK(customer_churn_dataset!L539),0,MAX(0,customer_churn_dataset!L539))</f>
        <v>0</v>
      </c>
      <c r="M539" s="7" t="n">
        <f aca="false">IF(ISBLANK(customer_churn_dataset!M539),0,customer_churn_dataset!M539)</f>
        <v>0</v>
      </c>
      <c r="N539" s="7" t="n">
        <f aca="false">IF(ISBLANK(customer_churn_dataset!N539),0,MAX(0,customer_churn_dataset!N539))</f>
        <v>79.72</v>
      </c>
      <c r="O539" s="7" t="n">
        <f aca="false">IF(ISBLANK(customer_churn_dataset!O539),0,customer_churn_dataset!O539)</f>
        <v>0</v>
      </c>
      <c r="P539" s="7" t="str">
        <f aca="false">IF(COUNTIF(customer_churn_dataset!$A$2:$A$1501,customer_churn_dataset!A539)&gt;1,"Duplicate","Unique")</f>
        <v>Unique</v>
      </c>
    </row>
    <row r="540" customFormat="false" ht="14.15" hidden="false" customHeight="true" outlineLevel="0" collapsed="false">
      <c r="A540" s="7" t="str">
        <f aca="false">TRIM(customer_churn_dataset!A540)</f>
        <v>CUST100648</v>
      </c>
      <c r="B540" s="7" t="str">
        <f aca="false">PROPER(TRIM(customer_churn_dataset!B540))</f>
        <v>Standard</v>
      </c>
      <c r="C540" s="7" t="str">
        <f aca="false">PROPER(TRIM(customer_churn_dataset!C540))</f>
        <v>One Year</v>
      </c>
      <c r="D540" s="7" t="n">
        <f aca="false">IF(ISBLANK(customer_churn_dataset!D540),ROUND(MEDIAN(customer_churn_dataset!D$2:D$1501),2),IF(customer_churn_dataset!D540&lt;0,ABS(customer_churn_dataset!D540),customer_churn_dataset!D540))</f>
        <v>18.41</v>
      </c>
      <c r="E540" s="7" t="n">
        <f aca="false">IF(ISBLANK(customer_churn_dataset!E540),0,MAX(0,customer_churn_dataset!E540))</f>
        <v>2</v>
      </c>
      <c r="F540" s="8" t="n">
        <f aca="false">IF(ISBLANK(customer_churn_dataset!F540),"",customer_churn_dataset!F540)</f>
        <v>44559</v>
      </c>
      <c r="G540" s="7" t="str">
        <f aca="false">PROPER(TRIM(customer_churn_dataset!G540))</f>
        <v>Paypal</v>
      </c>
      <c r="H540" s="7" t="n">
        <f aca="false">IF(ISBLANK(customer_churn_dataset!H540),0,customer_churn_dataset!H540)</f>
        <v>1</v>
      </c>
      <c r="I540" s="7" t="n">
        <f aca="false">IF(ISBLANK(customer_churn_dataset!I540),ROUND(MEDIAN(customer_churn_dataset!I$2:I$1501),1),MIN(100,MAX(0,customer_churn_dataset!I540)))</f>
        <v>100</v>
      </c>
      <c r="J540" s="7" t="n">
        <f aca="false">IF(ISBLANK(customer_churn_dataset!J540),0,MAX(0,customer_churn_dataset!J540))</f>
        <v>32</v>
      </c>
      <c r="K540" s="7" t="n">
        <f aca="false">IF(ISBLANK(customer_churn_dataset!K540),0,MIN(10,MAX(0,customer_churn_dataset!K540)))</f>
        <v>9</v>
      </c>
      <c r="L540" s="7" t="n">
        <f aca="false">IF(ISBLANK(customer_churn_dataset!L540),0,MAX(0,customer_churn_dataset!L540))</f>
        <v>0</v>
      </c>
      <c r="M540" s="7" t="n">
        <f aca="false">IF(ISBLANK(customer_churn_dataset!M540),0,customer_churn_dataset!M540)</f>
        <v>0</v>
      </c>
      <c r="N540" s="7" t="n">
        <f aca="false">IF(ISBLANK(customer_churn_dataset!N540),0,MAX(0,customer_churn_dataset!N540))</f>
        <v>36.82</v>
      </c>
      <c r="O540" s="7" t="n">
        <f aca="false">IF(ISBLANK(customer_churn_dataset!O540),0,customer_churn_dataset!O540)</f>
        <v>0</v>
      </c>
      <c r="P540" s="7" t="str">
        <f aca="false">IF(COUNTIF(customer_churn_dataset!$A$2:$A$1501,customer_churn_dataset!A540)&gt;1,"Duplicate","Unique")</f>
        <v>Unique</v>
      </c>
    </row>
    <row r="541" customFormat="false" ht="14.15" hidden="false" customHeight="true" outlineLevel="0" collapsed="false">
      <c r="A541" s="7" t="str">
        <f aca="false">TRIM(customer_churn_dataset!A541)</f>
        <v>CUST100737</v>
      </c>
      <c r="B541" s="7" t="str">
        <f aca="false">PROPER(TRIM(customer_churn_dataset!B541))</f>
        <v>Premium</v>
      </c>
      <c r="C541" s="7" t="str">
        <f aca="false">PROPER(TRIM(customer_churn_dataset!C541))</f>
        <v>Month-To-Month</v>
      </c>
      <c r="D541" s="7" t="n">
        <f aca="false">IF(ISBLANK(customer_churn_dataset!D541),ROUND(MEDIAN(customer_churn_dataset!D$2:D$1501),2),IF(customer_churn_dataset!D541&lt;0,ABS(customer_churn_dataset!D541),customer_churn_dataset!D541))</f>
        <v>41.59</v>
      </c>
      <c r="E541" s="7" t="n">
        <f aca="false">IF(ISBLANK(customer_churn_dataset!E541),0,MAX(0,customer_churn_dataset!E541))</f>
        <v>23</v>
      </c>
      <c r="F541" s="8" t="n">
        <f aca="false">IF(ISBLANK(customer_churn_dataset!F541),"",customer_churn_dataset!F541)</f>
        <v>44559</v>
      </c>
      <c r="G541" s="7" t="str">
        <f aca="false">PROPER(TRIM(customer_churn_dataset!G541))</f>
        <v>Paypal</v>
      </c>
      <c r="H541" s="7" t="n">
        <f aca="false">IF(ISBLANK(customer_churn_dataset!H541),0,customer_churn_dataset!H541)</f>
        <v>1</v>
      </c>
      <c r="I541" s="7" t="n">
        <f aca="false">IF(ISBLANK(customer_churn_dataset!I541),ROUND(MEDIAN(customer_churn_dataset!I$2:I$1501),1),MIN(100,MAX(0,customer_churn_dataset!I541)))</f>
        <v>45.8</v>
      </c>
      <c r="J541" s="7" t="n">
        <f aca="false">IF(ISBLANK(customer_churn_dataset!J541),0,MAX(0,customer_churn_dataset!J541))</f>
        <v>15</v>
      </c>
      <c r="K541" s="7" t="n">
        <f aca="false">IF(ISBLANK(customer_churn_dataset!K541),0,MIN(10,MAX(0,customer_churn_dataset!K541)))</f>
        <v>6</v>
      </c>
      <c r="L541" s="7" t="n">
        <f aca="false">IF(ISBLANK(customer_churn_dataset!L541),0,MAX(0,customer_churn_dataset!L541))</f>
        <v>0</v>
      </c>
      <c r="M541" s="7" t="n">
        <f aca="false">IF(ISBLANK(customer_churn_dataset!M541),0,customer_churn_dataset!M541)</f>
        <v>0</v>
      </c>
      <c r="N541" s="7" t="n">
        <f aca="false">IF(ISBLANK(customer_churn_dataset!N541),0,MAX(0,customer_churn_dataset!N541))</f>
        <v>956.57</v>
      </c>
      <c r="O541" s="7" t="n">
        <f aca="false">IF(ISBLANK(customer_churn_dataset!O541),0,customer_churn_dataset!O541)</f>
        <v>0</v>
      </c>
      <c r="P541" s="7" t="str">
        <f aca="false">IF(COUNTIF(customer_churn_dataset!$A$2:$A$1501,customer_churn_dataset!A541)&gt;1,"Duplicate","Unique")</f>
        <v>Unique</v>
      </c>
    </row>
    <row r="542" customFormat="false" ht="14.15" hidden="false" customHeight="true" outlineLevel="0" collapsed="false">
      <c r="A542" s="7" t="str">
        <f aca="false">TRIM(customer_churn_dataset!A542)</f>
        <v>CUST100707</v>
      </c>
      <c r="B542" s="7" t="str">
        <f aca="false">PROPER(TRIM(customer_churn_dataset!B542))</f>
        <v>Premium</v>
      </c>
      <c r="C542" s="7" t="str">
        <f aca="false">PROPER(TRIM(customer_churn_dataset!C542))</f>
        <v>One Year</v>
      </c>
      <c r="D542" s="7" t="n">
        <f aca="false">IF(ISBLANK(customer_churn_dataset!D542),ROUND(MEDIAN(customer_churn_dataset!D$2:D$1501),2),IF(customer_churn_dataset!D542&lt;0,ABS(customer_churn_dataset!D542),customer_churn_dataset!D542))</f>
        <v>41.12</v>
      </c>
      <c r="E542" s="7" t="n">
        <f aca="false">IF(ISBLANK(customer_churn_dataset!E542),0,MAX(0,customer_churn_dataset!E542))</f>
        <v>22</v>
      </c>
      <c r="F542" s="8" t="n">
        <f aca="false">IF(ISBLANK(customer_churn_dataset!F542),"",customer_churn_dataset!F542)</f>
        <v>44563</v>
      </c>
      <c r="G542" s="7" t="str">
        <f aca="false">PROPER(TRIM(customer_churn_dataset!G542))</f>
        <v>Credit Card</v>
      </c>
      <c r="H542" s="7" t="n">
        <f aca="false">IF(ISBLANK(customer_churn_dataset!H542),0,customer_churn_dataset!H542)</f>
        <v>1</v>
      </c>
      <c r="I542" s="7" t="n">
        <f aca="false">IF(ISBLANK(customer_churn_dataset!I542),ROUND(MEDIAN(customer_churn_dataset!I$2:I$1501),1),MIN(100,MAX(0,customer_churn_dataset!I542)))</f>
        <v>47.8</v>
      </c>
      <c r="J542" s="7" t="n">
        <f aca="false">IF(ISBLANK(customer_churn_dataset!J542),0,MAX(0,customer_churn_dataset!J542))</f>
        <v>8</v>
      </c>
      <c r="K542" s="7" t="n">
        <f aca="false">IF(ISBLANK(customer_churn_dataset!K542),0,MIN(10,MAX(0,customer_churn_dataset!K542)))</f>
        <v>8</v>
      </c>
      <c r="L542" s="7" t="n">
        <f aca="false">IF(ISBLANK(customer_churn_dataset!L542),0,MAX(0,customer_churn_dataset!L542))</f>
        <v>0</v>
      </c>
      <c r="M542" s="7" t="n">
        <f aca="false">IF(ISBLANK(customer_churn_dataset!M542),0,customer_churn_dataset!M542)</f>
        <v>0</v>
      </c>
      <c r="N542" s="7" t="n">
        <f aca="false">IF(ISBLANK(customer_churn_dataset!N542),0,MAX(0,customer_churn_dataset!N542))</f>
        <v>904.64</v>
      </c>
      <c r="O542" s="7" t="n">
        <f aca="false">IF(ISBLANK(customer_churn_dataset!O542),0,customer_churn_dataset!O542)</f>
        <v>0</v>
      </c>
      <c r="P542" s="7" t="str">
        <f aca="false">IF(COUNTIF(customer_churn_dataset!$A$2:$A$1501,customer_churn_dataset!A542)&gt;1,"Duplicate","Unique")</f>
        <v>Unique</v>
      </c>
    </row>
    <row r="543" customFormat="false" ht="14.15" hidden="false" customHeight="true" outlineLevel="0" collapsed="false">
      <c r="A543" s="7" t="str">
        <f aca="false">TRIM(customer_churn_dataset!A543)</f>
        <v>CUST100985</v>
      </c>
      <c r="B543" s="7" t="str">
        <f aca="false">PROPER(TRIM(customer_churn_dataset!B543))</f>
        <v>Standard</v>
      </c>
      <c r="C543" s="7" t="str">
        <f aca="false">PROPER(TRIM(customer_churn_dataset!C543))</f>
        <v>One Year</v>
      </c>
      <c r="D543" s="7" t="n">
        <f aca="false">IF(ISBLANK(customer_churn_dataset!D543),ROUND(MEDIAN(customer_churn_dataset!D$2:D$1501),2),IF(customer_churn_dataset!D543&lt;0,ABS(customer_churn_dataset!D543),customer_churn_dataset!D543))</f>
        <v>21.48</v>
      </c>
      <c r="E543" s="7" t="n">
        <f aca="false">IF(ISBLANK(customer_churn_dataset!E543),0,MAX(0,customer_churn_dataset!E543))</f>
        <v>70</v>
      </c>
      <c r="F543" s="8" t="n">
        <f aca="false">IF(ISBLANK(customer_churn_dataset!F543),"",customer_churn_dataset!F543)</f>
        <v>44565</v>
      </c>
      <c r="G543" s="7" t="str">
        <f aca="false">PROPER(TRIM(customer_churn_dataset!G543))</f>
        <v>Credit Card</v>
      </c>
      <c r="H543" s="7" t="n">
        <f aca="false">IF(ISBLANK(customer_churn_dataset!H543),0,customer_churn_dataset!H543)</f>
        <v>1</v>
      </c>
      <c r="I543" s="7" t="n">
        <f aca="false">IF(ISBLANK(customer_churn_dataset!I543),ROUND(MEDIAN(customer_churn_dataset!I$2:I$1501),1),MIN(100,MAX(0,customer_churn_dataset!I543)))</f>
        <v>68.7</v>
      </c>
      <c r="J543" s="7" t="n">
        <f aca="false">IF(ISBLANK(customer_churn_dataset!J543),0,MAX(0,customer_churn_dataset!J543))</f>
        <v>22</v>
      </c>
      <c r="K543" s="7" t="n">
        <f aca="false">IF(ISBLANK(customer_churn_dataset!K543),0,MIN(10,MAX(0,customer_churn_dataset!K543)))</f>
        <v>10</v>
      </c>
      <c r="L543" s="7" t="n">
        <f aca="false">IF(ISBLANK(customer_churn_dataset!L543),0,MAX(0,customer_churn_dataset!L543))</f>
        <v>1</v>
      </c>
      <c r="M543" s="7" t="n">
        <f aca="false">IF(ISBLANK(customer_churn_dataset!M543),0,customer_churn_dataset!M543)</f>
        <v>1</v>
      </c>
      <c r="N543" s="7" t="n">
        <f aca="false">IF(ISBLANK(customer_churn_dataset!N543),0,MAX(0,customer_churn_dataset!N543))</f>
        <v>1503.6</v>
      </c>
      <c r="O543" s="7" t="n">
        <f aca="false">IF(ISBLANK(customer_churn_dataset!O543),0,customer_churn_dataset!O543)</f>
        <v>0</v>
      </c>
      <c r="P543" s="7" t="str">
        <f aca="false">IF(COUNTIF(customer_churn_dataset!$A$2:$A$1501,customer_churn_dataset!A543)&gt;1,"Duplicate","Unique")</f>
        <v>Unique</v>
      </c>
    </row>
    <row r="544" customFormat="false" ht="14.15" hidden="false" customHeight="true" outlineLevel="0" collapsed="false">
      <c r="A544" s="7" t="str">
        <f aca="false">TRIM(customer_churn_dataset!A544)</f>
        <v>CUST100865</v>
      </c>
      <c r="B544" s="7" t="str">
        <f aca="false">PROPER(TRIM(customer_churn_dataset!B544))</f>
        <v>Standard</v>
      </c>
      <c r="C544" s="7" t="str">
        <f aca="false">PROPER(TRIM(customer_churn_dataset!C544))</f>
        <v>One Year</v>
      </c>
      <c r="D544" s="7" t="n">
        <f aca="false">IF(ISBLANK(customer_churn_dataset!D544),ROUND(MEDIAN(customer_churn_dataset!D$2:D$1501),2),IF(customer_churn_dataset!D544&lt;0,ABS(customer_churn_dataset!D544),customer_churn_dataset!D544))</f>
        <v>20.17</v>
      </c>
      <c r="E544" s="7" t="n">
        <f aca="false">IF(ISBLANK(customer_churn_dataset!E544),0,MAX(0,customer_churn_dataset!E544))</f>
        <v>9</v>
      </c>
      <c r="F544" s="8" t="n">
        <f aca="false">IF(ISBLANK(customer_churn_dataset!F544),"",customer_churn_dataset!F544)</f>
        <v>44566</v>
      </c>
      <c r="G544" s="7" t="str">
        <f aca="false">PROPER(TRIM(customer_churn_dataset!G544))</f>
        <v>Credit Card</v>
      </c>
      <c r="H544" s="7" t="n">
        <f aca="false">IF(ISBLANK(customer_churn_dataset!H544),0,customer_churn_dataset!H544)</f>
        <v>0</v>
      </c>
      <c r="I544" s="7" t="n">
        <f aca="false">IF(ISBLANK(customer_churn_dataset!I544),ROUND(MEDIAN(customer_churn_dataset!I$2:I$1501),1),MIN(100,MAX(0,customer_churn_dataset!I544)))</f>
        <v>36.2</v>
      </c>
      <c r="J544" s="7" t="n">
        <f aca="false">IF(ISBLANK(customer_churn_dataset!J544),0,MAX(0,customer_churn_dataset!J544))</f>
        <v>11</v>
      </c>
      <c r="K544" s="7" t="n">
        <f aca="false">IF(ISBLANK(customer_churn_dataset!K544),0,MIN(10,MAX(0,customer_churn_dataset!K544)))</f>
        <v>4</v>
      </c>
      <c r="L544" s="7" t="n">
        <f aca="false">IF(ISBLANK(customer_churn_dataset!L544),0,MAX(0,customer_churn_dataset!L544))</f>
        <v>2</v>
      </c>
      <c r="M544" s="7" t="n">
        <f aca="false">IF(ISBLANK(customer_churn_dataset!M544),0,customer_churn_dataset!M544)</f>
        <v>0</v>
      </c>
      <c r="N544" s="7" t="n">
        <f aca="false">IF(ISBLANK(customer_churn_dataset!N544),0,MAX(0,customer_churn_dataset!N544))</f>
        <v>181.53</v>
      </c>
      <c r="O544" s="7" t="n">
        <f aca="false">IF(ISBLANK(customer_churn_dataset!O544),0,customer_churn_dataset!O544)</f>
        <v>0</v>
      </c>
      <c r="P544" s="7" t="str">
        <f aca="false">IF(COUNTIF(customer_churn_dataset!$A$2:$A$1501,customer_churn_dataset!A544)&gt;1,"Duplicate","Unique")</f>
        <v>Unique</v>
      </c>
    </row>
    <row r="545" customFormat="false" ht="14.15" hidden="false" customHeight="true" outlineLevel="0" collapsed="false">
      <c r="A545" s="7" t="str">
        <f aca="false">TRIM(customer_churn_dataset!A545)</f>
        <v>CUST100476</v>
      </c>
      <c r="B545" s="7" t="str">
        <f aca="false">PROPER(TRIM(customer_churn_dataset!B545))</f>
        <v>Basic</v>
      </c>
      <c r="C545" s="7" t="str">
        <f aca="false">PROPER(TRIM(customer_churn_dataset!C545))</f>
        <v>Month-To-Month</v>
      </c>
      <c r="D545" s="7" t="n">
        <f aca="false">IF(ISBLANK(customer_churn_dataset!D545),ROUND(MEDIAN(customer_churn_dataset!D$2:D$1501),2),IF(customer_churn_dataset!D545&lt;0,ABS(customer_churn_dataset!D545),customer_churn_dataset!D545))</f>
        <v>9.03</v>
      </c>
      <c r="E545" s="7" t="n">
        <f aca="false">IF(ISBLANK(customer_churn_dataset!E545),0,MAX(0,customer_churn_dataset!E545))</f>
        <v>2</v>
      </c>
      <c r="F545" s="8" t="n">
        <f aca="false">IF(ISBLANK(customer_churn_dataset!F545),"",customer_churn_dataset!F545)</f>
        <v>44566</v>
      </c>
      <c r="G545" s="7" t="str">
        <f aca="false">PROPER(TRIM(customer_churn_dataset!G545))</f>
        <v>Credit Card</v>
      </c>
      <c r="H545" s="7" t="n">
        <f aca="false">IF(ISBLANK(customer_churn_dataset!H545),0,customer_churn_dataset!H545)</f>
        <v>1</v>
      </c>
      <c r="I545" s="7" t="n">
        <f aca="false">IF(ISBLANK(customer_churn_dataset!I545),ROUND(MEDIAN(customer_churn_dataset!I$2:I$1501),1),MIN(100,MAX(0,customer_churn_dataset!I545)))</f>
        <v>55.6</v>
      </c>
      <c r="J545" s="7" t="n">
        <f aca="false">IF(ISBLANK(customer_churn_dataset!J545),0,MAX(0,customer_churn_dataset!J545))</f>
        <v>23</v>
      </c>
      <c r="K545" s="7" t="n">
        <f aca="false">IF(ISBLANK(customer_churn_dataset!K545),0,MIN(10,MAX(0,customer_churn_dataset!K545)))</f>
        <v>4</v>
      </c>
      <c r="L545" s="7" t="n">
        <f aca="false">IF(ISBLANK(customer_churn_dataset!L545),0,MAX(0,customer_churn_dataset!L545))</f>
        <v>4</v>
      </c>
      <c r="M545" s="7" t="n">
        <f aca="false">IF(ISBLANK(customer_churn_dataset!M545),0,customer_churn_dataset!M545)</f>
        <v>0</v>
      </c>
      <c r="N545" s="7" t="n">
        <f aca="false">IF(ISBLANK(customer_churn_dataset!N545),0,MAX(0,customer_churn_dataset!N545))</f>
        <v>18.06</v>
      </c>
      <c r="O545" s="7" t="n">
        <f aca="false">IF(ISBLANK(customer_churn_dataset!O545),0,customer_churn_dataset!O545)</f>
        <v>1</v>
      </c>
      <c r="P545" s="7" t="str">
        <f aca="false">IF(COUNTIF(customer_churn_dataset!$A$2:$A$1501,customer_churn_dataset!A545)&gt;1,"Duplicate","Unique")</f>
        <v>Unique</v>
      </c>
    </row>
    <row r="546" customFormat="false" ht="14.15" hidden="false" customHeight="true" outlineLevel="0" collapsed="false">
      <c r="A546" s="7" t="str">
        <f aca="false">TRIM(customer_churn_dataset!A546)</f>
        <v>CUST101274</v>
      </c>
      <c r="B546" s="7" t="str">
        <f aca="false">PROPER(TRIM(customer_churn_dataset!B546))</f>
        <v>Standard</v>
      </c>
      <c r="C546" s="7" t="str">
        <f aca="false">PROPER(TRIM(customer_churn_dataset!C546))</f>
        <v>Two Year</v>
      </c>
      <c r="D546" s="7" t="n">
        <f aca="false">IF(ISBLANK(customer_churn_dataset!D546),ROUND(MEDIAN(customer_churn_dataset!D$2:D$1501),2),IF(customer_churn_dataset!D546&lt;0,ABS(customer_churn_dataset!D546),customer_churn_dataset!D546))</f>
        <v>20.22</v>
      </c>
      <c r="E546" s="7" t="n">
        <f aca="false">IF(ISBLANK(customer_churn_dataset!E546),0,MAX(0,customer_churn_dataset!E546))</f>
        <v>13</v>
      </c>
      <c r="F546" s="8" t="n">
        <f aca="false">IF(ISBLANK(customer_churn_dataset!F546),"",customer_churn_dataset!F546)</f>
        <v>44567</v>
      </c>
      <c r="G546" s="7" t="str">
        <f aca="false">PROPER(TRIM(customer_churn_dataset!G546))</f>
        <v>Paypal</v>
      </c>
      <c r="H546" s="7" t="n">
        <f aca="false">IF(ISBLANK(customer_churn_dataset!H546),0,customer_churn_dataset!H546)</f>
        <v>1</v>
      </c>
      <c r="I546" s="7" t="n">
        <f aca="false">IF(ISBLANK(customer_churn_dataset!I546),ROUND(MEDIAN(customer_churn_dataset!I$2:I$1501),1),MIN(100,MAX(0,customer_churn_dataset!I546)))</f>
        <v>53.1</v>
      </c>
      <c r="J546" s="7" t="n">
        <f aca="false">IF(ISBLANK(customer_churn_dataset!J546),0,MAX(0,customer_churn_dataset!J546))</f>
        <v>19</v>
      </c>
      <c r="K546" s="7" t="n">
        <f aca="false">IF(ISBLANK(customer_churn_dataset!K546),0,MIN(10,MAX(0,customer_churn_dataset!K546)))</f>
        <v>6</v>
      </c>
      <c r="L546" s="7" t="n">
        <f aca="false">IF(ISBLANK(customer_churn_dataset!L546),0,MAX(0,customer_churn_dataset!L546))</f>
        <v>0</v>
      </c>
      <c r="M546" s="7" t="n">
        <f aca="false">IF(ISBLANK(customer_churn_dataset!M546),0,customer_churn_dataset!M546)</f>
        <v>0</v>
      </c>
      <c r="N546" s="7" t="n">
        <f aca="false">IF(ISBLANK(customer_churn_dataset!N546),0,MAX(0,customer_churn_dataset!N546))</f>
        <v>262.86</v>
      </c>
      <c r="O546" s="7" t="n">
        <f aca="false">IF(ISBLANK(customer_churn_dataset!O546),0,customer_churn_dataset!O546)</f>
        <v>0</v>
      </c>
      <c r="P546" s="7" t="str">
        <f aca="false">IF(COUNTIF(customer_churn_dataset!$A$2:$A$1501,customer_churn_dataset!A546)&gt;1,"Duplicate","Unique")</f>
        <v>Unique</v>
      </c>
    </row>
    <row r="547" customFormat="false" ht="14.15" hidden="false" customHeight="true" outlineLevel="0" collapsed="false">
      <c r="A547" s="7" t="str">
        <f aca="false">TRIM(customer_churn_dataset!A547)</f>
        <v>CUST101272</v>
      </c>
      <c r="B547" s="7" t="str">
        <f aca="false">PROPER(TRIM(customer_churn_dataset!B547))</f>
        <v>Standard</v>
      </c>
      <c r="C547" s="7" t="str">
        <f aca="false">PROPER(TRIM(customer_churn_dataset!C547))</f>
        <v>One Year</v>
      </c>
      <c r="D547" s="7" t="n">
        <f aca="false">IF(ISBLANK(customer_churn_dataset!D547),ROUND(MEDIAN(customer_churn_dataset!D$2:D$1501),2),IF(customer_churn_dataset!D547&lt;0,ABS(customer_churn_dataset!D547),customer_churn_dataset!D547))</f>
        <v>19.97</v>
      </c>
      <c r="E547" s="7" t="n">
        <f aca="false">IF(ISBLANK(customer_churn_dataset!E547),0,MAX(0,customer_churn_dataset!E547))</f>
        <v>22</v>
      </c>
      <c r="F547" s="8" t="n">
        <f aca="false">IF(ISBLANK(customer_churn_dataset!F547),"",customer_churn_dataset!F547)</f>
        <v>44568</v>
      </c>
      <c r="G547" s="7" t="str">
        <f aca="false">PROPER(TRIM(customer_churn_dataset!G547))</f>
        <v>Credit Card</v>
      </c>
      <c r="H547" s="7" t="n">
        <f aca="false">IF(ISBLANK(customer_churn_dataset!H547),0,customer_churn_dataset!H547)</f>
        <v>1</v>
      </c>
      <c r="I547" s="7" t="n">
        <f aca="false">IF(ISBLANK(customer_churn_dataset!I547),ROUND(MEDIAN(customer_churn_dataset!I$2:I$1501),1),MIN(100,MAX(0,customer_churn_dataset!I547)))</f>
        <v>30.3</v>
      </c>
      <c r="J547" s="7" t="n">
        <f aca="false">IF(ISBLANK(customer_churn_dataset!J547),0,MAX(0,customer_churn_dataset!J547))</f>
        <v>6</v>
      </c>
      <c r="K547" s="7" t="n">
        <f aca="false">IF(ISBLANK(customer_churn_dataset!K547),0,MIN(10,MAX(0,customer_churn_dataset!K547)))</f>
        <v>2</v>
      </c>
      <c r="L547" s="7" t="n">
        <f aca="false">IF(ISBLANK(customer_churn_dataset!L547),0,MAX(0,customer_churn_dataset!L547))</f>
        <v>1</v>
      </c>
      <c r="M547" s="7" t="n">
        <f aca="false">IF(ISBLANK(customer_churn_dataset!M547),0,customer_churn_dataset!M547)</f>
        <v>0</v>
      </c>
      <c r="N547" s="7" t="n">
        <f aca="false">IF(ISBLANK(customer_churn_dataset!N547),0,MAX(0,customer_churn_dataset!N547))</f>
        <v>439.34</v>
      </c>
      <c r="O547" s="7" t="n">
        <f aca="false">IF(ISBLANK(customer_churn_dataset!O547),0,customer_churn_dataset!O547)</f>
        <v>1</v>
      </c>
      <c r="P547" s="7" t="str">
        <f aca="false">IF(COUNTIF(customer_churn_dataset!$A$2:$A$1501,customer_churn_dataset!A547)&gt;1,"Duplicate","Unique")</f>
        <v>Unique</v>
      </c>
    </row>
    <row r="548" customFormat="false" ht="14.15" hidden="false" customHeight="true" outlineLevel="0" collapsed="false">
      <c r="A548" s="7" t="str">
        <f aca="false">TRIM(customer_churn_dataset!A548)</f>
        <v>CUST100667</v>
      </c>
      <c r="B548" s="7" t="str">
        <f aca="false">PROPER(TRIM(customer_churn_dataset!B548))</f>
        <v>Basic</v>
      </c>
      <c r="C548" s="7" t="str">
        <f aca="false">PROPER(TRIM(customer_churn_dataset!C548))</f>
        <v>Two Year</v>
      </c>
      <c r="D548" s="7" t="n">
        <f aca="false">IF(ISBLANK(customer_churn_dataset!D548),ROUND(MEDIAN(customer_churn_dataset!D$2:D$1501),2),IF(customer_churn_dataset!D548&lt;0,ABS(customer_churn_dataset!D548),customer_churn_dataset!D548))</f>
        <v>11.4</v>
      </c>
      <c r="E548" s="7" t="n">
        <f aca="false">IF(ISBLANK(customer_churn_dataset!E548),0,MAX(0,customer_churn_dataset!E548))</f>
        <v>34</v>
      </c>
      <c r="F548" s="8" t="n">
        <f aca="false">IF(ISBLANK(customer_churn_dataset!F548),"",customer_churn_dataset!F548)</f>
        <v>44572</v>
      </c>
      <c r="G548" s="7" t="str">
        <f aca="false">PROPER(TRIM(customer_churn_dataset!G548))</f>
        <v>Paypal</v>
      </c>
      <c r="H548" s="7" t="n">
        <f aca="false">IF(ISBLANK(customer_churn_dataset!H548),0,customer_churn_dataset!H548)</f>
        <v>1</v>
      </c>
      <c r="I548" s="7" t="n">
        <f aca="false">IF(ISBLANK(customer_churn_dataset!I548),ROUND(MEDIAN(customer_churn_dataset!I$2:I$1501),1),MIN(100,MAX(0,customer_churn_dataset!I548)))</f>
        <v>38.9</v>
      </c>
      <c r="J548" s="7" t="n">
        <f aca="false">IF(ISBLANK(customer_churn_dataset!J548),0,MAX(0,customer_churn_dataset!J548))</f>
        <v>13</v>
      </c>
      <c r="K548" s="7" t="n">
        <f aca="false">IF(ISBLANK(customer_churn_dataset!K548),0,MIN(10,MAX(0,customer_churn_dataset!K548)))</f>
        <v>4</v>
      </c>
      <c r="L548" s="7" t="n">
        <f aca="false">IF(ISBLANK(customer_churn_dataset!L548),0,MAX(0,customer_churn_dataset!L548))</f>
        <v>2</v>
      </c>
      <c r="M548" s="7" t="n">
        <f aca="false">IF(ISBLANK(customer_churn_dataset!M548),0,customer_churn_dataset!M548)</f>
        <v>0</v>
      </c>
      <c r="N548" s="7" t="n">
        <f aca="false">IF(ISBLANK(customer_churn_dataset!N548),0,MAX(0,customer_churn_dataset!N548))</f>
        <v>387.6</v>
      </c>
      <c r="O548" s="7" t="n">
        <f aca="false">IF(ISBLANK(customer_churn_dataset!O548),0,customer_churn_dataset!O548)</f>
        <v>0</v>
      </c>
      <c r="P548" s="7" t="str">
        <f aca="false">IF(COUNTIF(customer_churn_dataset!$A$2:$A$1501,customer_churn_dataset!A548)&gt;1,"Duplicate","Unique")</f>
        <v>Unique</v>
      </c>
    </row>
    <row r="549" customFormat="false" ht="14.15" hidden="false" customHeight="true" outlineLevel="0" collapsed="false">
      <c r="A549" s="7" t="str">
        <f aca="false">TRIM(customer_churn_dataset!A549)</f>
        <v>CUST100067</v>
      </c>
      <c r="B549" s="7" t="str">
        <f aca="false">PROPER(TRIM(customer_churn_dataset!B549))</f>
        <v>Premium</v>
      </c>
      <c r="C549" s="7" t="str">
        <f aca="false">PROPER(TRIM(customer_churn_dataset!C549))</f>
        <v>Month-To-Month</v>
      </c>
      <c r="D549" s="7" t="n">
        <f aca="false">IF(ISBLANK(customer_churn_dataset!D549),ROUND(MEDIAN(customer_churn_dataset!D$2:D$1501),2),IF(customer_churn_dataset!D549&lt;0,ABS(customer_churn_dataset!D549),customer_churn_dataset!D549))</f>
        <v>39.84</v>
      </c>
      <c r="E549" s="7" t="n">
        <f aca="false">IF(ISBLANK(customer_churn_dataset!E549),0,MAX(0,customer_churn_dataset!E549))</f>
        <v>12</v>
      </c>
      <c r="F549" s="8" t="n">
        <f aca="false">IF(ISBLANK(customer_churn_dataset!F549),"",customer_churn_dataset!F549)</f>
        <v>44573</v>
      </c>
      <c r="G549" s="7" t="str">
        <f aca="false">PROPER(TRIM(customer_churn_dataset!G549))</f>
        <v>Paypal</v>
      </c>
      <c r="H549" s="7" t="n">
        <f aca="false">IF(ISBLANK(customer_churn_dataset!H549),0,customer_churn_dataset!H549)</f>
        <v>0</v>
      </c>
      <c r="I549" s="7" t="n">
        <f aca="false">IF(ISBLANK(customer_churn_dataset!I549),ROUND(MEDIAN(customer_churn_dataset!I$2:I$1501),1),MIN(100,MAX(0,customer_churn_dataset!I549)))</f>
        <v>74.4</v>
      </c>
      <c r="J549" s="7" t="n">
        <f aca="false">IF(ISBLANK(customer_churn_dataset!J549),0,MAX(0,customer_churn_dataset!J549))</f>
        <v>15</v>
      </c>
      <c r="K549" s="7" t="n">
        <f aca="false">IF(ISBLANK(customer_churn_dataset!K549),0,MIN(10,MAX(0,customer_churn_dataset!K549)))</f>
        <v>5</v>
      </c>
      <c r="L549" s="7" t="n">
        <f aca="false">IF(ISBLANK(customer_churn_dataset!L549),0,MAX(0,customer_churn_dataset!L549))</f>
        <v>2</v>
      </c>
      <c r="M549" s="7" t="n">
        <f aca="false">IF(ISBLANK(customer_churn_dataset!M549),0,customer_churn_dataset!M549)</f>
        <v>1</v>
      </c>
      <c r="N549" s="7" t="n">
        <f aca="false">IF(ISBLANK(customer_churn_dataset!N549),0,MAX(0,customer_churn_dataset!N549))</f>
        <v>478.08</v>
      </c>
      <c r="O549" s="7" t="n">
        <f aca="false">IF(ISBLANK(customer_churn_dataset!O549),0,customer_churn_dataset!O549)</f>
        <v>0</v>
      </c>
      <c r="P549" s="7" t="str">
        <f aca="false">IF(COUNTIF(customer_churn_dataset!$A$2:$A$1501,customer_churn_dataset!A549)&gt;1,"Duplicate","Unique")</f>
        <v>Unique</v>
      </c>
    </row>
    <row r="550" customFormat="false" ht="14.15" hidden="false" customHeight="true" outlineLevel="0" collapsed="false">
      <c r="A550" s="7" t="str">
        <f aca="false">TRIM(customer_churn_dataset!A550)</f>
        <v>CUST101072</v>
      </c>
      <c r="B550" s="7" t="str">
        <f aca="false">PROPER(TRIM(customer_churn_dataset!B550))</f>
        <v>Basic</v>
      </c>
      <c r="C550" s="7" t="str">
        <f aca="false">PROPER(TRIM(customer_churn_dataset!C550))</f>
        <v>Two Year</v>
      </c>
      <c r="D550" s="7" t="n">
        <f aca="false">IF(ISBLANK(customer_churn_dataset!D550),ROUND(MEDIAN(customer_churn_dataset!D$2:D$1501),2),IF(customer_churn_dataset!D550&lt;0,ABS(customer_churn_dataset!D550),customer_churn_dataset!D550))</f>
        <v>8.02</v>
      </c>
      <c r="E550" s="7" t="n">
        <f aca="false">IF(ISBLANK(customer_churn_dataset!E550),0,MAX(0,customer_churn_dataset!E550))</f>
        <v>6</v>
      </c>
      <c r="F550" s="8" t="n">
        <f aca="false">IF(ISBLANK(customer_churn_dataset!F550),"",customer_churn_dataset!F550)</f>
        <v>44574</v>
      </c>
      <c r="G550" s="7" t="str">
        <f aca="false">PROPER(TRIM(customer_churn_dataset!G550))</f>
        <v>Credit Card</v>
      </c>
      <c r="H550" s="7" t="n">
        <f aca="false">IF(ISBLANK(customer_churn_dataset!H550),0,customer_churn_dataset!H550)</f>
        <v>1</v>
      </c>
      <c r="I550" s="7" t="n">
        <f aca="false">IF(ISBLANK(customer_churn_dataset!I550),ROUND(MEDIAN(customer_churn_dataset!I$2:I$1501),1),MIN(100,MAX(0,customer_churn_dataset!I550)))</f>
        <v>73.1</v>
      </c>
      <c r="J550" s="7" t="n">
        <f aca="false">IF(ISBLANK(customer_churn_dataset!J550),0,MAX(0,customer_churn_dataset!J550))</f>
        <v>19</v>
      </c>
      <c r="K550" s="7" t="n">
        <f aca="false">IF(ISBLANK(customer_churn_dataset!K550),0,MIN(10,MAX(0,customer_churn_dataset!K550)))</f>
        <v>10</v>
      </c>
      <c r="L550" s="7" t="n">
        <f aca="false">IF(ISBLANK(customer_churn_dataset!L550),0,MAX(0,customer_churn_dataset!L550))</f>
        <v>3</v>
      </c>
      <c r="M550" s="7" t="n">
        <f aca="false">IF(ISBLANK(customer_churn_dataset!M550),0,customer_churn_dataset!M550)</f>
        <v>0</v>
      </c>
      <c r="N550" s="7" t="n">
        <f aca="false">IF(ISBLANK(customer_churn_dataset!N550),0,MAX(0,customer_churn_dataset!N550))</f>
        <v>48.12</v>
      </c>
      <c r="O550" s="7" t="n">
        <f aca="false">IF(ISBLANK(customer_churn_dataset!O550),0,customer_churn_dataset!O550)</f>
        <v>0</v>
      </c>
      <c r="P550" s="7" t="str">
        <f aca="false">IF(COUNTIF(customer_churn_dataset!$A$2:$A$1501,customer_churn_dataset!A550)&gt;1,"Duplicate","Unique")</f>
        <v>Unique</v>
      </c>
    </row>
    <row r="551" customFormat="false" ht="14.15" hidden="false" customHeight="true" outlineLevel="0" collapsed="false">
      <c r="A551" s="7" t="str">
        <f aca="false">TRIM(customer_churn_dataset!A551)</f>
        <v>CUST101009</v>
      </c>
      <c r="B551" s="7" t="str">
        <f aca="false">PROPER(TRIM(customer_churn_dataset!B551))</f>
        <v>Standard</v>
      </c>
      <c r="C551" s="7" t="str">
        <f aca="false">PROPER(TRIM(customer_churn_dataset!C551))</f>
        <v>Month-To-Month</v>
      </c>
      <c r="D551" s="7" t="n">
        <f aca="false">IF(ISBLANK(customer_churn_dataset!D551),ROUND(MEDIAN(customer_churn_dataset!D$2:D$1501),2),IF(customer_churn_dataset!D551&lt;0,ABS(customer_churn_dataset!D551),customer_churn_dataset!D551))</f>
        <v>20.46</v>
      </c>
      <c r="E551" s="7" t="n">
        <f aca="false">IF(ISBLANK(customer_churn_dataset!E551),0,MAX(0,customer_churn_dataset!E551))</f>
        <v>6</v>
      </c>
      <c r="F551" s="8" t="n">
        <f aca="false">IF(ISBLANK(customer_churn_dataset!F551),"",customer_churn_dataset!F551)</f>
        <v>44575</v>
      </c>
      <c r="G551" s="7" t="str">
        <f aca="false">PROPER(TRIM(customer_churn_dataset!G551))</f>
        <v>Credit Card</v>
      </c>
      <c r="H551" s="7" t="n">
        <f aca="false">IF(ISBLANK(customer_churn_dataset!H551),0,customer_churn_dataset!H551)</f>
        <v>0</v>
      </c>
      <c r="I551" s="7" t="n">
        <f aca="false">IF(ISBLANK(customer_churn_dataset!I551),ROUND(MEDIAN(customer_churn_dataset!I$2:I$1501),1),MIN(100,MAX(0,customer_churn_dataset!I551)))</f>
        <v>78.1</v>
      </c>
      <c r="J551" s="7" t="n">
        <f aca="false">IF(ISBLANK(customer_churn_dataset!J551),0,MAX(0,customer_churn_dataset!J551))</f>
        <v>20</v>
      </c>
      <c r="K551" s="7" t="n">
        <f aca="false">IF(ISBLANK(customer_churn_dataset!K551),0,MIN(10,MAX(0,customer_churn_dataset!K551)))</f>
        <v>7</v>
      </c>
      <c r="L551" s="7" t="n">
        <f aca="false">IF(ISBLANK(customer_churn_dataset!L551),0,MAX(0,customer_churn_dataset!L551))</f>
        <v>1</v>
      </c>
      <c r="M551" s="7" t="n">
        <f aca="false">IF(ISBLANK(customer_churn_dataset!M551),0,customer_churn_dataset!M551)</f>
        <v>0</v>
      </c>
      <c r="N551" s="7" t="n">
        <f aca="false">IF(ISBLANK(customer_churn_dataset!N551),0,MAX(0,customer_churn_dataset!N551))</f>
        <v>122.76</v>
      </c>
      <c r="O551" s="7" t="n">
        <f aca="false">IF(ISBLANK(customer_churn_dataset!O551),0,customer_churn_dataset!O551)</f>
        <v>0</v>
      </c>
      <c r="P551" s="7" t="str">
        <f aca="false">IF(COUNTIF(customer_churn_dataset!$A$2:$A$1501,customer_churn_dataset!A551)&gt;1,"Duplicate","Unique")</f>
        <v>Unique</v>
      </c>
    </row>
    <row r="552" customFormat="false" ht="14.15" hidden="false" customHeight="true" outlineLevel="0" collapsed="false">
      <c r="A552" s="7" t="str">
        <f aca="false">TRIM(customer_churn_dataset!A552)</f>
        <v>CUST100301</v>
      </c>
      <c r="B552" s="7" t="str">
        <f aca="false">PROPER(TRIM(customer_churn_dataset!B552))</f>
        <v>Standard</v>
      </c>
      <c r="C552" s="7" t="str">
        <f aca="false">PROPER(TRIM(customer_churn_dataset!C552))</f>
        <v>Month-To-Month</v>
      </c>
      <c r="D552" s="7" t="n">
        <f aca="false">IF(ISBLANK(customer_churn_dataset!D552),ROUND(MEDIAN(customer_churn_dataset!D$2:D$1501),2),IF(customer_churn_dataset!D552&lt;0,ABS(customer_churn_dataset!D552),customer_churn_dataset!D552))</f>
        <v>18.77</v>
      </c>
      <c r="E552" s="7" t="n">
        <f aca="false">IF(ISBLANK(customer_churn_dataset!E552),0,MAX(0,customer_churn_dataset!E552))</f>
        <v>3</v>
      </c>
      <c r="F552" s="8" t="n">
        <f aca="false">IF(ISBLANK(customer_churn_dataset!F552),"",customer_churn_dataset!F552)</f>
        <v>44579</v>
      </c>
      <c r="G552" s="7" t="str">
        <f aca="false">PROPER(TRIM(customer_churn_dataset!G552))</f>
        <v>Bank Transfer</v>
      </c>
      <c r="H552" s="7" t="n">
        <f aca="false">IF(ISBLANK(customer_churn_dataset!H552),0,customer_churn_dataset!H552)</f>
        <v>1</v>
      </c>
      <c r="I552" s="7" t="n">
        <f aca="false">IF(ISBLANK(customer_churn_dataset!I552),ROUND(MEDIAN(customer_churn_dataset!I$2:I$1501),1),MIN(100,MAX(0,customer_churn_dataset!I552)))</f>
        <v>30.8</v>
      </c>
      <c r="J552" s="7" t="n">
        <f aca="false">IF(ISBLANK(customer_churn_dataset!J552),0,MAX(0,customer_churn_dataset!J552))</f>
        <v>7</v>
      </c>
      <c r="K552" s="7" t="n">
        <f aca="false">IF(ISBLANK(customer_churn_dataset!K552),0,MIN(10,MAX(0,customer_churn_dataset!K552)))</f>
        <v>5</v>
      </c>
      <c r="L552" s="7" t="n">
        <f aca="false">IF(ISBLANK(customer_churn_dataset!L552),0,MAX(0,customer_churn_dataset!L552))</f>
        <v>0</v>
      </c>
      <c r="M552" s="7" t="n">
        <f aca="false">IF(ISBLANK(customer_churn_dataset!M552),0,customer_churn_dataset!M552)</f>
        <v>0</v>
      </c>
      <c r="N552" s="7" t="n">
        <f aca="false">IF(ISBLANK(customer_churn_dataset!N552),0,MAX(0,customer_churn_dataset!N552))</f>
        <v>56.31</v>
      </c>
      <c r="O552" s="7" t="n">
        <f aca="false">IF(ISBLANK(customer_churn_dataset!O552),0,customer_churn_dataset!O552)</f>
        <v>1</v>
      </c>
      <c r="P552" s="7" t="str">
        <f aca="false">IF(COUNTIF(customer_churn_dataset!$A$2:$A$1501,customer_churn_dataset!A552)&gt;1,"Duplicate","Unique")</f>
        <v>Unique</v>
      </c>
    </row>
    <row r="553" customFormat="false" ht="14.15" hidden="false" customHeight="true" outlineLevel="0" collapsed="false">
      <c r="A553" s="7" t="str">
        <f aca="false">TRIM(customer_churn_dataset!A553)</f>
        <v>CUST100241</v>
      </c>
      <c r="B553" s="7" t="str">
        <f aca="false">PROPER(TRIM(customer_churn_dataset!B553))</f>
        <v>Premium</v>
      </c>
      <c r="C553" s="7" t="str">
        <f aca="false">PROPER(TRIM(customer_churn_dataset!C553))</f>
        <v>Month-To-Month</v>
      </c>
      <c r="D553" s="7" t="n">
        <f aca="false">IF(ISBLANK(customer_churn_dataset!D553),ROUND(MEDIAN(customer_churn_dataset!D$2:D$1501),2),IF(customer_churn_dataset!D553&lt;0,ABS(customer_churn_dataset!D553),customer_churn_dataset!D553))</f>
        <v>40.53</v>
      </c>
      <c r="E553" s="7" t="n">
        <f aca="false">IF(ISBLANK(customer_churn_dataset!E553),0,MAX(0,customer_churn_dataset!E553))</f>
        <v>2</v>
      </c>
      <c r="F553" s="8" t="n">
        <f aca="false">IF(ISBLANK(customer_churn_dataset!F553),"",customer_churn_dataset!F553)</f>
        <v>44581</v>
      </c>
      <c r="G553" s="7" t="str">
        <f aca="false">PROPER(TRIM(customer_churn_dataset!G553))</f>
        <v>Paypal</v>
      </c>
      <c r="H553" s="7" t="n">
        <f aca="false">IF(ISBLANK(customer_churn_dataset!H553),0,customer_churn_dataset!H553)</f>
        <v>1</v>
      </c>
      <c r="I553" s="7" t="n">
        <f aca="false">IF(ISBLANK(customer_churn_dataset!I553),ROUND(MEDIAN(customer_churn_dataset!I$2:I$1501),1),MIN(100,MAX(0,customer_churn_dataset!I553)))</f>
        <v>52.4</v>
      </c>
      <c r="J553" s="7" t="n">
        <f aca="false">IF(ISBLANK(customer_churn_dataset!J553),0,MAX(0,customer_churn_dataset!J553))</f>
        <v>17</v>
      </c>
      <c r="K553" s="7" t="n">
        <f aca="false">IF(ISBLANK(customer_churn_dataset!K553),0,MIN(10,MAX(0,customer_churn_dataset!K553)))</f>
        <v>5</v>
      </c>
      <c r="L553" s="7" t="n">
        <f aca="false">IF(ISBLANK(customer_churn_dataset!L553),0,MAX(0,customer_churn_dataset!L553))</f>
        <v>1</v>
      </c>
      <c r="M553" s="7" t="n">
        <f aca="false">IF(ISBLANK(customer_churn_dataset!M553),0,customer_churn_dataset!M553)</f>
        <v>1</v>
      </c>
      <c r="N553" s="7" t="n">
        <f aca="false">IF(ISBLANK(customer_churn_dataset!N553),0,MAX(0,customer_churn_dataset!N553))</f>
        <v>81.06</v>
      </c>
      <c r="O553" s="7" t="n">
        <f aca="false">IF(ISBLANK(customer_churn_dataset!O553),0,customer_churn_dataset!O553)</f>
        <v>1</v>
      </c>
      <c r="P553" s="7" t="str">
        <f aca="false">IF(COUNTIF(customer_churn_dataset!$A$2:$A$1501,customer_churn_dataset!A553)&gt;1,"Duplicate","Unique")</f>
        <v>Unique</v>
      </c>
    </row>
    <row r="554" customFormat="false" ht="14.15" hidden="false" customHeight="true" outlineLevel="0" collapsed="false">
      <c r="A554" s="7" t="str">
        <f aca="false">TRIM(customer_churn_dataset!A554)</f>
        <v>CUST100086</v>
      </c>
      <c r="B554" s="7" t="str">
        <f aca="false">PROPER(TRIM(customer_churn_dataset!B554))</f>
        <v>Standard</v>
      </c>
      <c r="C554" s="7" t="str">
        <f aca="false">PROPER(TRIM(customer_churn_dataset!C554))</f>
        <v>One Year</v>
      </c>
      <c r="D554" s="7" t="n">
        <f aca="false">IF(ISBLANK(customer_churn_dataset!D554),ROUND(MEDIAN(customer_churn_dataset!D$2:D$1501),2),IF(customer_churn_dataset!D554&lt;0,ABS(customer_churn_dataset!D554),customer_churn_dataset!D554))</f>
        <v>20.02</v>
      </c>
      <c r="E554" s="7" t="n">
        <f aca="false">IF(ISBLANK(customer_churn_dataset!E554),0,MAX(0,customer_churn_dataset!E554))</f>
        <v>11</v>
      </c>
      <c r="F554" s="8" t="n">
        <f aca="false">IF(ISBLANK(customer_churn_dataset!F554),"",customer_churn_dataset!F554)</f>
        <v>44582</v>
      </c>
      <c r="G554" s="7" t="str">
        <f aca="false">PROPER(TRIM(customer_churn_dataset!G554))</f>
        <v>Credit Card</v>
      </c>
      <c r="H554" s="7" t="n">
        <f aca="false">IF(ISBLANK(customer_churn_dataset!H554),0,customer_churn_dataset!H554)</f>
        <v>0</v>
      </c>
      <c r="I554" s="7" t="n">
        <f aca="false">IF(ISBLANK(customer_churn_dataset!I554),ROUND(MEDIAN(customer_churn_dataset!I$2:I$1501),1),MIN(100,MAX(0,customer_churn_dataset!I554)))</f>
        <v>34.2</v>
      </c>
      <c r="J554" s="7" t="n">
        <f aca="false">IF(ISBLANK(customer_churn_dataset!J554),0,MAX(0,customer_churn_dataset!J554))</f>
        <v>11</v>
      </c>
      <c r="K554" s="7" t="n">
        <f aca="false">IF(ISBLANK(customer_churn_dataset!K554),0,MIN(10,MAX(0,customer_churn_dataset!K554)))</f>
        <v>4</v>
      </c>
      <c r="L554" s="7" t="n">
        <f aca="false">IF(ISBLANK(customer_churn_dataset!L554),0,MAX(0,customer_churn_dataset!L554))</f>
        <v>1</v>
      </c>
      <c r="M554" s="7" t="n">
        <f aca="false">IF(ISBLANK(customer_churn_dataset!M554),0,customer_churn_dataset!M554)</f>
        <v>0</v>
      </c>
      <c r="N554" s="7" t="n">
        <f aca="false">IF(ISBLANK(customer_churn_dataset!N554),0,MAX(0,customer_churn_dataset!N554))</f>
        <v>220.22</v>
      </c>
      <c r="O554" s="7" t="n">
        <f aca="false">IF(ISBLANK(customer_churn_dataset!O554),0,customer_churn_dataset!O554)</f>
        <v>0</v>
      </c>
      <c r="P554" s="7" t="str">
        <f aca="false">IF(COUNTIF(customer_churn_dataset!$A$2:$A$1501,customer_churn_dataset!A554)&gt;1,"Duplicate","Unique")</f>
        <v>Unique</v>
      </c>
    </row>
    <row r="555" customFormat="false" ht="14.15" hidden="false" customHeight="true" outlineLevel="0" collapsed="false">
      <c r="A555" s="7" t="str">
        <f aca="false">TRIM(customer_churn_dataset!A555)</f>
        <v>CUST101165</v>
      </c>
      <c r="B555" s="7" t="str">
        <f aca="false">PROPER(TRIM(customer_churn_dataset!B555))</f>
        <v>Premium</v>
      </c>
      <c r="C555" s="7" t="str">
        <f aca="false">PROPER(TRIM(customer_churn_dataset!C555))</f>
        <v>Month-To-Month</v>
      </c>
      <c r="D555" s="7" t="n">
        <f aca="false">IF(ISBLANK(customer_churn_dataset!D555),ROUND(MEDIAN(customer_churn_dataset!D$2:D$1501),2),IF(customer_churn_dataset!D555&lt;0,ABS(customer_churn_dataset!D555),customer_churn_dataset!D555))</f>
        <v>40.66</v>
      </c>
      <c r="E555" s="7" t="n">
        <f aca="false">IF(ISBLANK(customer_churn_dataset!E555),0,MAX(0,customer_churn_dataset!E555))</f>
        <v>9</v>
      </c>
      <c r="F555" s="8" t="n">
        <f aca="false">IF(ISBLANK(customer_churn_dataset!F555),"",customer_churn_dataset!F555)</f>
        <v>44583</v>
      </c>
      <c r="G555" s="7" t="str">
        <f aca="false">PROPER(TRIM(customer_churn_dataset!G555))</f>
        <v>Credit Card</v>
      </c>
      <c r="H555" s="7" t="n">
        <f aca="false">IF(ISBLANK(customer_churn_dataset!H555),0,customer_churn_dataset!H555)</f>
        <v>1</v>
      </c>
      <c r="I555" s="7" t="n">
        <f aca="false">IF(ISBLANK(customer_churn_dataset!I555),ROUND(MEDIAN(customer_churn_dataset!I$2:I$1501),1),MIN(100,MAX(0,customer_churn_dataset!I555)))</f>
        <v>70.3</v>
      </c>
      <c r="J555" s="7" t="n">
        <f aca="false">IF(ISBLANK(customer_churn_dataset!J555),0,MAX(0,customer_churn_dataset!J555))</f>
        <v>26</v>
      </c>
      <c r="K555" s="7" t="n">
        <f aca="false">IF(ISBLANK(customer_churn_dataset!K555),0,MIN(10,MAX(0,customer_churn_dataset!K555)))</f>
        <v>8</v>
      </c>
      <c r="L555" s="7" t="n">
        <f aca="false">IF(ISBLANK(customer_churn_dataset!L555),0,MAX(0,customer_churn_dataset!L555))</f>
        <v>2</v>
      </c>
      <c r="M555" s="7" t="n">
        <f aca="false">IF(ISBLANK(customer_churn_dataset!M555),0,customer_churn_dataset!M555)</f>
        <v>1</v>
      </c>
      <c r="N555" s="7" t="n">
        <f aca="false">IF(ISBLANK(customer_churn_dataset!N555),0,MAX(0,customer_churn_dataset!N555))</f>
        <v>365.94</v>
      </c>
      <c r="O555" s="7" t="n">
        <f aca="false">IF(ISBLANK(customer_churn_dataset!O555),0,customer_churn_dataset!O555)</f>
        <v>1</v>
      </c>
      <c r="P555" s="7" t="str">
        <f aca="false">IF(COUNTIF(customer_churn_dataset!$A$2:$A$1501,customer_churn_dataset!A555)&gt;1,"Duplicate","Unique")</f>
        <v>Unique</v>
      </c>
    </row>
    <row r="556" customFormat="false" ht="14.15" hidden="false" customHeight="true" outlineLevel="0" collapsed="false">
      <c r="A556" s="7" t="str">
        <f aca="false">TRIM(customer_churn_dataset!A556)</f>
        <v>CUST101443</v>
      </c>
      <c r="B556" s="7" t="str">
        <f aca="false">PROPER(TRIM(customer_churn_dataset!B556))</f>
        <v>Basic</v>
      </c>
      <c r="C556" s="7" t="str">
        <f aca="false">PROPER(TRIM(customer_churn_dataset!C556))</f>
        <v>Two Year</v>
      </c>
      <c r="D556" s="7" t="n">
        <f aca="false">IF(ISBLANK(customer_churn_dataset!D556),ROUND(MEDIAN(customer_churn_dataset!D$2:D$1501),2),IF(customer_churn_dataset!D556&lt;0,ABS(customer_churn_dataset!D556),customer_churn_dataset!D556))</f>
        <v>8.8</v>
      </c>
      <c r="E556" s="7" t="n">
        <f aca="false">IF(ISBLANK(customer_churn_dataset!E556),0,MAX(0,customer_churn_dataset!E556))</f>
        <v>36</v>
      </c>
      <c r="F556" s="8" t="n">
        <f aca="false">IF(ISBLANK(customer_churn_dataset!F556),"",customer_churn_dataset!F556)</f>
        <v>44584</v>
      </c>
      <c r="G556" s="7" t="str">
        <f aca="false">PROPER(TRIM(customer_churn_dataset!G556))</f>
        <v>Credit Card</v>
      </c>
      <c r="H556" s="7" t="n">
        <f aca="false">IF(ISBLANK(customer_churn_dataset!H556),0,customer_churn_dataset!H556)</f>
        <v>0</v>
      </c>
      <c r="I556" s="7" t="n">
        <f aca="false">IF(ISBLANK(customer_churn_dataset!I556),ROUND(MEDIAN(customer_churn_dataset!I$2:I$1501),1),MIN(100,MAX(0,customer_churn_dataset!I556)))</f>
        <v>55.2</v>
      </c>
      <c r="J556" s="7" t="n">
        <f aca="false">IF(ISBLANK(customer_churn_dataset!J556),0,MAX(0,customer_churn_dataset!J556))</f>
        <v>15</v>
      </c>
      <c r="K556" s="7" t="n">
        <f aca="false">IF(ISBLANK(customer_churn_dataset!K556),0,MIN(10,MAX(0,customer_churn_dataset!K556)))</f>
        <v>5</v>
      </c>
      <c r="L556" s="7" t="n">
        <f aca="false">IF(ISBLANK(customer_churn_dataset!L556),0,MAX(0,customer_churn_dataset!L556))</f>
        <v>2</v>
      </c>
      <c r="M556" s="7" t="n">
        <f aca="false">IF(ISBLANK(customer_churn_dataset!M556),0,customer_churn_dataset!M556)</f>
        <v>0</v>
      </c>
      <c r="N556" s="7" t="n">
        <f aca="false">IF(ISBLANK(customer_churn_dataset!N556),0,MAX(0,customer_churn_dataset!N556))</f>
        <v>316.8</v>
      </c>
      <c r="O556" s="7" t="n">
        <f aca="false">IF(ISBLANK(customer_churn_dataset!O556),0,customer_churn_dataset!O556)</f>
        <v>0</v>
      </c>
      <c r="P556" s="7" t="str">
        <f aca="false">IF(COUNTIF(customer_churn_dataset!$A$2:$A$1501,customer_churn_dataset!A556)&gt;1,"Duplicate","Unique")</f>
        <v>Unique</v>
      </c>
    </row>
    <row r="557" customFormat="false" ht="14.15" hidden="false" customHeight="true" outlineLevel="0" collapsed="false">
      <c r="A557" s="7" t="str">
        <f aca="false">TRIM(customer_churn_dataset!A557)</f>
        <v>CUST101316</v>
      </c>
      <c r="B557" s="7" t="str">
        <f aca="false">PROPER(TRIM(customer_churn_dataset!B557))</f>
        <v>Standard</v>
      </c>
      <c r="C557" s="7" t="str">
        <f aca="false">PROPER(TRIM(customer_churn_dataset!C557))</f>
        <v>Two Year</v>
      </c>
      <c r="D557" s="7" t="n">
        <f aca="false">IF(ISBLANK(customer_churn_dataset!D557),ROUND(MEDIAN(customer_churn_dataset!D$2:D$1501),2),IF(customer_churn_dataset!D557&lt;0,ABS(customer_churn_dataset!D557),customer_churn_dataset!D557))</f>
        <v>19.76</v>
      </c>
      <c r="E557" s="7" t="n">
        <f aca="false">IF(ISBLANK(customer_churn_dataset!E557),0,MAX(0,customer_churn_dataset!E557))</f>
        <v>2</v>
      </c>
      <c r="F557" s="8" t="n">
        <f aca="false">IF(ISBLANK(customer_churn_dataset!F557),"",customer_churn_dataset!F557)</f>
        <v>44585</v>
      </c>
      <c r="G557" s="7" t="str">
        <f aca="false">PROPER(TRIM(customer_churn_dataset!G557))</f>
        <v>Paypal</v>
      </c>
      <c r="H557" s="7" t="n">
        <f aca="false">IF(ISBLANK(customer_churn_dataset!H557),0,customer_churn_dataset!H557)</f>
        <v>1</v>
      </c>
      <c r="I557" s="7" t="n">
        <f aca="false">IF(ISBLANK(customer_churn_dataset!I557),ROUND(MEDIAN(customer_churn_dataset!I$2:I$1501),1),MIN(100,MAX(0,customer_churn_dataset!I557)))</f>
        <v>90.7</v>
      </c>
      <c r="J557" s="7" t="n">
        <f aca="false">IF(ISBLANK(customer_churn_dataset!J557),0,MAX(0,customer_churn_dataset!J557))</f>
        <v>20</v>
      </c>
      <c r="K557" s="7" t="n">
        <f aca="false">IF(ISBLANK(customer_churn_dataset!K557),0,MIN(10,MAX(0,customer_churn_dataset!K557)))</f>
        <v>7</v>
      </c>
      <c r="L557" s="7" t="n">
        <f aca="false">IF(ISBLANK(customer_churn_dataset!L557),0,MAX(0,customer_churn_dataset!L557))</f>
        <v>1</v>
      </c>
      <c r="M557" s="7" t="n">
        <f aca="false">IF(ISBLANK(customer_churn_dataset!M557),0,customer_churn_dataset!M557)</f>
        <v>1</v>
      </c>
      <c r="N557" s="7" t="n">
        <f aca="false">IF(ISBLANK(customer_churn_dataset!N557),0,MAX(0,customer_churn_dataset!N557))</f>
        <v>39.52</v>
      </c>
      <c r="O557" s="7" t="n">
        <f aca="false">IF(ISBLANK(customer_churn_dataset!O557),0,customer_churn_dataset!O557)</f>
        <v>0</v>
      </c>
      <c r="P557" s="7" t="str">
        <f aca="false">IF(COUNTIF(customer_churn_dataset!$A$2:$A$1501,customer_churn_dataset!A557)&gt;1,"Duplicate","Unique")</f>
        <v>Unique</v>
      </c>
    </row>
    <row r="558" customFormat="false" ht="14.15" hidden="false" customHeight="true" outlineLevel="0" collapsed="false">
      <c r="A558" s="7" t="str">
        <f aca="false">TRIM(customer_churn_dataset!A558)</f>
        <v>CUST100381</v>
      </c>
      <c r="B558" s="7" t="str">
        <f aca="false">PROPER(TRIM(customer_churn_dataset!B558))</f>
        <v>Standard</v>
      </c>
      <c r="C558" s="7" t="str">
        <f aca="false">PROPER(TRIM(customer_churn_dataset!C558))</f>
        <v>Month-To-Month</v>
      </c>
      <c r="D558" s="7" t="n">
        <f aca="false">IF(ISBLANK(customer_churn_dataset!D558),ROUND(MEDIAN(customer_churn_dataset!D$2:D$1501),2),IF(customer_churn_dataset!D558&lt;0,ABS(customer_churn_dataset!D558),customer_churn_dataset!D558))</f>
        <v>21.76</v>
      </c>
      <c r="E558" s="7" t="n">
        <f aca="false">IF(ISBLANK(customer_churn_dataset!E558),0,MAX(0,customer_churn_dataset!E558))</f>
        <v>43</v>
      </c>
      <c r="F558" s="8" t="n">
        <f aca="false">IF(ISBLANK(customer_churn_dataset!F558),"",customer_churn_dataset!F558)</f>
        <v>44586</v>
      </c>
      <c r="G558" s="7" t="str">
        <f aca="false">PROPER(TRIM(customer_churn_dataset!G558))</f>
        <v>Credit Card</v>
      </c>
      <c r="H558" s="7" t="n">
        <f aca="false">IF(ISBLANK(customer_churn_dataset!H558),0,customer_churn_dataset!H558)</f>
        <v>1</v>
      </c>
      <c r="I558" s="7" t="n">
        <f aca="false">IF(ISBLANK(customer_churn_dataset!I558),ROUND(MEDIAN(customer_churn_dataset!I$2:I$1501),1),MIN(100,MAX(0,customer_churn_dataset!I558)))</f>
        <v>59.9</v>
      </c>
      <c r="J558" s="7" t="n">
        <f aca="false">IF(ISBLANK(customer_churn_dataset!J558),0,MAX(0,customer_churn_dataset!J558))</f>
        <v>23</v>
      </c>
      <c r="K558" s="7" t="n">
        <f aca="false">IF(ISBLANK(customer_churn_dataset!K558),0,MIN(10,MAX(0,customer_churn_dataset!K558)))</f>
        <v>4</v>
      </c>
      <c r="L558" s="7" t="n">
        <f aca="false">IF(ISBLANK(customer_churn_dataset!L558),0,MAX(0,customer_churn_dataset!L558))</f>
        <v>6</v>
      </c>
      <c r="M558" s="7" t="n">
        <f aca="false">IF(ISBLANK(customer_churn_dataset!M558),0,customer_churn_dataset!M558)</f>
        <v>0</v>
      </c>
      <c r="N558" s="7" t="n">
        <f aca="false">IF(ISBLANK(customer_churn_dataset!N558),0,MAX(0,customer_churn_dataset!N558))</f>
        <v>935.68</v>
      </c>
      <c r="O558" s="7" t="n">
        <f aca="false">IF(ISBLANK(customer_churn_dataset!O558),0,customer_churn_dataset!O558)</f>
        <v>0</v>
      </c>
      <c r="P558" s="7" t="str">
        <f aca="false">IF(COUNTIF(customer_churn_dataset!$A$2:$A$1501,customer_churn_dataset!A558)&gt;1,"Duplicate","Unique")</f>
        <v>Unique</v>
      </c>
    </row>
    <row r="559" customFormat="false" ht="14.15" hidden="false" customHeight="true" outlineLevel="0" collapsed="false">
      <c r="A559" s="7" t="str">
        <f aca="false">TRIM(customer_churn_dataset!A559)</f>
        <v>CUST100194</v>
      </c>
      <c r="B559" s="7" t="str">
        <f aca="false">PROPER(TRIM(customer_churn_dataset!B559))</f>
        <v>Basic</v>
      </c>
      <c r="C559" s="7" t="str">
        <f aca="false">PROPER(TRIM(customer_churn_dataset!C559))</f>
        <v>Month-To-Month</v>
      </c>
      <c r="D559" s="7" t="n">
        <f aca="false">IF(ISBLANK(customer_churn_dataset!D559),ROUND(MEDIAN(customer_churn_dataset!D$2:D$1501),2),IF(customer_churn_dataset!D559&lt;0,ABS(customer_churn_dataset!D559),customer_churn_dataset!D559))</f>
        <v>9.41</v>
      </c>
      <c r="E559" s="7" t="n">
        <f aca="false">IF(ISBLANK(customer_churn_dataset!E559),0,MAX(0,customer_churn_dataset!E559))</f>
        <v>59</v>
      </c>
      <c r="F559" s="8" t="n">
        <f aca="false">IF(ISBLANK(customer_churn_dataset!F559),"",customer_churn_dataset!F559)</f>
        <v>44586</v>
      </c>
      <c r="G559" s="7" t="str">
        <f aca="false">PROPER(TRIM(customer_churn_dataset!G559))</f>
        <v>Credit Card</v>
      </c>
      <c r="H559" s="7" t="n">
        <f aca="false">IF(ISBLANK(customer_churn_dataset!H559),0,customer_churn_dataset!H559)</f>
        <v>1</v>
      </c>
      <c r="I559" s="7" t="n">
        <f aca="false">IF(ISBLANK(customer_churn_dataset!I559),ROUND(MEDIAN(customer_churn_dataset!I$2:I$1501),1),MIN(100,MAX(0,customer_churn_dataset!I559)))</f>
        <v>36.9</v>
      </c>
      <c r="J559" s="7" t="n">
        <f aca="false">IF(ISBLANK(customer_churn_dataset!J559),0,MAX(0,customer_churn_dataset!J559))</f>
        <v>3</v>
      </c>
      <c r="K559" s="7" t="n">
        <f aca="false">IF(ISBLANK(customer_churn_dataset!K559),0,MIN(10,MAX(0,customer_churn_dataset!K559)))</f>
        <v>4</v>
      </c>
      <c r="L559" s="7" t="n">
        <f aca="false">IF(ISBLANK(customer_churn_dataset!L559),0,MAX(0,customer_churn_dataset!L559))</f>
        <v>3</v>
      </c>
      <c r="M559" s="7" t="n">
        <f aca="false">IF(ISBLANK(customer_churn_dataset!M559),0,customer_churn_dataset!M559)</f>
        <v>0</v>
      </c>
      <c r="N559" s="7" t="n">
        <f aca="false">IF(ISBLANK(customer_churn_dataset!N559),0,MAX(0,customer_churn_dataset!N559))</f>
        <v>555.19</v>
      </c>
      <c r="O559" s="7" t="n">
        <f aca="false">IF(ISBLANK(customer_churn_dataset!O559),0,customer_churn_dataset!O559)</f>
        <v>1</v>
      </c>
      <c r="P559" s="7" t="str">
        <f aca="false">IF(COUNTIF(customer_churn_dataset!$A$2:$A$1501,customer_churn_dataset!A559)&gt;1,"Duplicate","Unique")</f>
        <v>Unique</v>
      </c>
    </row>
    <row r="560" customFormat="false" ht="14.15" hidden="false" customHeight="true" outlineLevel="0" collapsed="false">
      <c r="A560" s="7" t="str">
        <f aca="false">TRIM(customer_churn_dataset!A560)</f>
        <v>CUST100217</v>
      </c>
      <c r="B560" s="7" t="str">
        <f aca="false">PROPER(TRIM(customer_churn_dataset!B560))</f>
        <v>Standard</v>
      </c>
      <c r="C560" s="7" t="str">
        <f aca="false">PROPER(TRIM(customer_churn_dataset!C560))</f>
        <v>Two Year</v>
      </c>
      <c r="D560" s="7" t="n">
        <f aca="false">IF(ISBLANK(customer_churn_dataset!D560),ROUND(MEDIAN(customer_churn_dataset!D$2:D$1501),2),IF(customer_churn_dataset!D560&lt;0,ABS(customer_churn_dataset!D560),customer_churn_dataset!D560))</f>
        <v>21.03</v>
      </c>
      <c r="E560" s="7" t="n">
        <f aca="false">IF(ISBLANK(customer_churn_dataset!E560),0,MAX(0,customer_churn_dataset!E560))</f>
        <v>6</v>
      </c>
      <c r="F560" s="8" t="n">
        <f aca="false">IF(ISBLANK(customer_churn_dataset!F560),"",customer_churn_dataset!F560)</f>
        <v>44586</v>
      </c>
      <c r="G560" s="7" t="str">
        <f aca="false">PROPER(TRIM(customer_churn_dataset!G560))</f>
        <v>Credit Card</v>
      </c>
      <c r="H560" s="7" t="n">
        <f aca="false">IF(ISBLANK(customer_churn_dataset!H560),0,customer_churn_dataset!H560)</f>
        <v>1</v>
      </c>
      <c r="I560" s="7" t="n">
        <f aca="false">IF(ISBLANK(customer_churn_dataset!I560),ROUND(MEDIAN(customer_churn_dataset!I$2:I$1501),1),MIN(100,MAX(0,customer_churn_dataset!I560)))</f>
        <v>84.5</v>
      </c>
      <c r="J560" s="7" t="n">
        <f aca="false">IF(ISBLANK(customer_churn_dataset!J560),0,MAX(0,customer_churn_dataset!J560))</f>
        <v>24</v>
      </c>
      <c r="K560" s="7" t="n">
        <f aca="false">IF(ISBLANK(customer_churn_dataset!K560),0,MIN(10,MAX(0,customer_churn_dataset!K560)))</f>
        <v>9</v>
      </c>
      <c r="L560" s="7" t="n">
        <f aca="false">IF(ISBLANK(customer_churn_dataset!L560),0,MAX(0,customer_churn_dataset!L560))</f>
        <v>1</v>
      </c>
      <c r="M560" s="7" t="n">
        <f aca="false">IF(ISBLANK(customer_churn_dataset!M560),0,customer_churn_dataset!M560)</f>
        <v>0</v>
      </c>
      <c r="N560" s="7" t="n">
        <f aca="false">IF(ISBLANK(customer_churn_dataset!N560),0,MAX(0,customer_churn_dataset!N560))</f>
        <v>126.18</v>
      </c>
      <c r="O560" s="7" t="n">
        <f aca="false">IF(ISBLANK(customer_churn_dataset!O560),0,customer_churn_dataset!O560)</f>
        <v>0</v>
      </c>
      <c r="P560" s="7" t="str">
        <f aca="false">IF(COUNTIF(customer_churn_dataset!$A$2:$A$1501,customer_churn_dataset!A560)&gt;1,"Duplicate","Unique")</f>
        <v>Unique</v>
      </c>
    </row>
    <row r="561" customFormat="false" ht="14.15" hidden="false" customHeight="true" outlineLevel="0" collapsed="false">
      <c r="A561" s="7" t="str">
        <f aca="false">TRIM(customer_churn_dataset!A561)</f>
        <v>CUST100017</v>
      </c>
      <c r="B561" s="7" t="str">
        <f aca="false">PROPER(TRIM(customer_churn_dataset!B561))</f>
        <v>Standard</v>
      </c>
      <c r="C561" s="7" t="str">
        <f aca="false">PROPER(TRIM(customer_churn_dataset!C561))</f>
        <v>Month-To-Month</v>
      </c>
      <c r="D561" s="7" t="n">
        <f aca="false">IF(ISBLANK(customer_churn_dataset!D561),ROUND(MEDIAN(customer_churn_dataset!D$2:D$1501),2),IF(customer_churn_dataset!D561&lt;0,ABS(customer_churn_dataset!D561),customer_churn_dataset!D561))</f>
        <v>19.89</v>
      </c>
      <c r="E561" s="7" t="n">
        <f aca="false">IF(ISBLANK(customer_churn_dataset!E561),0,MAX(0,customer_churn_dataset!E561))</f>
        <v>4</v>
      </c>
      <c r="F561" s="8" t="n">
        <f aca="false">IF(ISBLANK(customer_churn_dataset!F561),"",customer_churn_dataset!F561)</f>
        <v>44587</v>
      </c>
      <c r="G561" s="7" t="str">
        <f aca="false">PROPER(TRIM(customer_churn_dataset!G561))</f>
        <v>Credit Card</v>
      </c>
      <c r="H561" s="7" t="n">
        <f aca="false">IF(ISBLANK(customer_churn_dataset!H561),0,customer_churn_dataset!H561)</f>
        <v>1</v>
      </c>
      <c r="I561" s="7" t="n">
        <f aca="false">IF(ISBLANK(customer_churn_dataset!I561),ROUND(MEDIAN(customer_churn_dataset!I$2:I$1501),1),MIN(100,MAX(0,customer_churn_dataset!I561)))</f>
        <v>31.1</v>
      </c>
      <c r="J561" s="7" t="n">
        <f aca="false">IF(ISBLANK(customer_churn_dataset!J561),0,MAX(0,customer_churn_dataset!J561))</f>
        <v>14</v>
      </c>
      <c r="K561" s="7" t="n">
        <f aca="false">IF(ISBLANK(customer_churn_dataset!K561),0,MIN(10,MAX(0,customer_churn_dataset!K561)))</f>
        <v>4</v>
      </c>
      <c r="L561" s="7" t="n">
        <f aca="false">IF(ISBLANK(customer_churn_dataset!L561),0,MAX(0,customer_churn_dataset!L561))</f>
        <v>0</v>
      </c>
      <c r="M561" s="7" t="n">
        <f aca="false">IF(ISBLANK(customer_churn_dataset!M561),0,customer_churn_dataset!M561)</f>
        <v>0</v>
      </c>
      <c r="N561" s="7" t="n">
        <f aca="false">IF(ISBLANK(customer_churn_dataset!N561),0,MAX(0,customer_churn_dataset!N561))</f>
        <v>79.56</v>
      </c>
      <c r="O561" s="7" t="n">
        <f aca="false">IF(ISBLANK(customer_churn_dataset!O561),0,customer_churn_dataset!O561)</f>
        <v>0</v>
      </c>
      <c r="P561" s="7" t="str">
        <f aca="false">IF(COUNTIF(customer_churn_dataset!$A$2:$A$1501,customer_churn_dataset!A561)&gt;1,"Duplicate","Unique")</f>
        <v>Unique</v>
      </c>
    </row>
    <row r="562" customFormat="false" ht="14.15" hidden="false" customHeight="true" outlineLevel="0" collapsed="false">
      <c r="A562" s="7" t="str">
        <f aca="false">TRIM(customer_churn_dataset!A562)</f>
        <v>CUST100568</v>
      </c>
      <c r="B562" s="7" t="str">
        <f aca="false">PROPER(TRIM(customer_churn_dataset!B562))</f>
        <v>Premium</v>
      </c>
      <c r="C562" s="7" t="str">
        <f aca="false">PROPER(TRIM(customer_churn_dataset!C562))</f>
        <v>Month-To-Month</v>
      </c>
      <c r="D562" s="7" t="n">
        <f aca="false">IF(ISBLANK(customer_churn_dataset!D562),ROUND(MEDIAN(customer_churn_dataset!D$2:D$1501),2),IF(customer_churn_dataset!D562&lt;0,ABS(customer_churn_dataset!D562),customer_churn_dataset!D562))</f>
        <v>40.36</v>
      </c>
      <c r="E562" s="7" t="n">
        <f aca="false">IF(ISBLANK(customer_churn_dataset!E562),0,MAX(0,customer_churn_dataset!E562))</f>
        <v>19</v>
      </c>
      <c r="F562" s="8" t="n">
        <f aca="false">IF(ISBLANK(customer_churn_dataset!F562),"",customer_churn_dataset!F562)</f>
        <v>44590</v>
      </c>
      <c r="G562" s="7" t="str">
        <f aca="false">PROPER(TRIM(customer_churn_dataset!G562))</f>
        <v>Manual/Invoice</v>
      </c>
      <c r="H562" s="7" t="n">
        <f aca="false">IF(ISBLANK(customer_churn_dataset!H562),0,customer_churn_dataset!H562)</f>
        <v>1</v>
      </c>
      <c r="I562" s="7" t="n">
        <f aca="false">IF(ISBLANK(customer_churn_dataset!I562),ROUND(MEDIAN(customer_churn_dataset!I$2:I$1501),1),MIN(100,MAX(0,customer_churn_dataset!I562)))</f>
        <v>88</v>
      </c>
      <c r="J562" s="7" t="n">
        <f aca="false">IF(ISBLANK(customer_churn_dataset!J562),0,MAX(0,customer_churn_dataset!J562))</f>
        <v>23</v>
      </c>
      <c r="K562" s="7" t="n">
        <f aca="false">IF(ISBLANK(customer_churn_dataset!K562),0,MIN(10,MAX(0,customer_churn_dataset!K562)))</f>
        <v>10</v>
      </c>
      <c r="L562" s="7" t="n">
        <f aca="false">IF(ISBLANK(customer_churn_dataset!L562),0,MAX(0,customer_churn_dataset!L562))</f>
        <v>1</v>
      </c>
      <c r="M562" s="7" t="n">
        <f aca="false">IF(ISBLANK(customer_churn_dataset!M562),0,customer_churn_dataset!M562)</f>
        <v>1</v>
      </c>
      <c r="N562" s="7" t="n">
        <f aca="false">IF(ISBLANK(customer_churn_dataset!N562),0,MAX(0,customer_churn_dataset!N562))</f>
        <v>766.84</v>
      </c>
      <c r="O562" s="7" t="n">
        <f aca="false">IF(ISBLANK(customer_churn_dataset!O562),0,customer_churn_dataset!O562)</f>
        <v>0</v>
      </c>
      <c r="P562" s="7" t="str">
        <f aca="false">IF(COUNTIF(customer_churn_dataset!$A$2:$A$1501,customer_churn_dataset!A562)&gt;1,"Duplicate","Unique")</f>
        <v>Unique</v>
      </c>
    </row>
    <row r="563" customFormat="false" ht="14.15" hidden="false" customHeight="true" outlineLevel="0" collapsed="false">
      <c r="A563" s="7" t="str">
        <f aca="false">TRIM(customer_churn_dataset!A563)</f>
        <v>CUST101152</v>
      </c>
      <c r="B563" s="7" t="str">
        <f aca="false">PROPER(TRIM(customer_churn_dataset!B563))</f>
        <v>Standard</v>
      </c>
      <c r="C563" s="7" t="str">
        <f aca="false">PROPER(TRIM(customer_churn_dataset!C563))</f>
        <v>Month-To-Month</v>
      </c>
      <c r="D563" s="7" t="n">
        <f aca="false">IF(ISBLANK(customer_churn_dataset!D563),ROUND(MEDIAN(customer_churn_dataset!D$2:D$1501),2),IF(customer_churn_dataset!D563&lt;0,ABS(customer_churn_dataset!D563),customer_churn_dataset!D563))</f>
        <v>20.22</v>
      </c>
      <c r="E563" s="7" t="n">
        <f aca="false">IF(ISBLANK(customer_churn_dataset!E563),0,MAX(0,customer_churn_dataset!E563))</f>
        <v>17</v>
      </c>
      <c r="F563" s="8" t="n">
        <f aca="false">IF(ISBLANK(customer_churn_dataset!F563),"",customer_churn_dataset!F563)</f>
        <v>44592</v>
      </c>
      <c r="G563" s="7" t="str">
        <f aca="false">PROPER(TRIM(customer_churn_dataset!G563))</f>
        <v>Bank Transfer</v>
      </c>
      <c r="H563" s="7" t="n">
        <f aca="false">IF(ISBLANK(customer_churn_dataset!H563),0,customer_churn_dataset!H563)</f>
        <v>0</v>
      </c>
      <c r="I563" s="7" t="n">
        <f aca="false">IF(ISBLANK(customer_churn_dataset!I563),ROUND(MEDIAN(customer_churn_dataset!I$2:I$1501),1),MIN(100,MAX(0,customer_churn_dataset!I563)))</f>
        <v>44.9</v>
      </c>
      <c r="J563" s="7" t="n">
        <f aca="false">IF(ISBLANK(customer_churn_dataset!J563),0,MAX(0,customer_churn_dataset!J563))</f>
        <v>7</v>
      </c>
      <c r="K563" s="7" t="n">
        <f aca="false">IF(ISBLANK(customer_churn_dataset!K563),0,MIN(10,MAX(0,customer_churn_dataset!K563)))</f>
        <v>4</v>
      </c>
      <c r="L563" s="7" t="n">
        <f aca="false">IF(ISBLANK(customer_churn_dataset!L563),0,MAX(0,customer_churn_dataset!L563))</f>
        <v>2</v>
      </c>
      <c r="M563" s="7" t="n">
        <f aca="false">IF(ISBLANK(customer_churn_dataset!M563),0,customer_churn_dataset!M563)</f>
        <v>0</v>
      </c>
      <c r="N563" s="7" t="n">
        <f aca="false">IF(ISBLANK(customer_churn_dataset!N563),0,MAX(0,customer_churn_dataset!N563))</f>
        <v>343.74</v>
      </c>
      <c r="O563" s="7" t="n">
        <f aca="false">IF(ISBLANK(customer_churn_dataset!O563),0,customer_churn_dataset!O563)</f>
        <v>0</v>
      </c>
      <c r="P563" s="7" t="str">
        <f aca="false">IF(COUNTIF(customer_churn_dataset!$A$2:$A$1501,customer_churn_dataset!A563)&gt;1,"Duplicate","Unique")</f>
        <v>Unique</v>
      </c>
    </row>
    <row r="564" customFormat="false" ht="14.15" hidden="false" customHeight="true" outlineLevel="0" collapsed="false">
      <c r="A564" s="7" t="str">
        <f aca="false">TRIM(customer_churn_dataset!A564)</f>
        <v>CUST101407</v>
      </c>
      <c r="B564" s="7" t="str">
        <f aca="false">PROPER(TRIM(customer_churn_dataset!B564))</f>
        <v>Premium</v>
      </c>
      <c r="C564" s="7" t="str">
        <f aca="false">PROPER(TRIM(customer_churn_dataset!C564))</f>
        <v>One Year</v>
      </c>
      <c r="D564" s="7" t="n">
        <f aca="false">IF(ISBLANK(customer_churn_dataset!D564),ROUND(MEDIAN(customer_churn_dataset!D$2:D$1501),2),IF(customer_churn_dataset!D564&lt;0,ABS(customer_churn_dataset!D564),customer_churn_dataset!D564))</f>
        <v>40.64</v>
      </c>
      <c r="E564" s="7" t="n">
        <f aca="false">IF(ISBLANK(customer_churn_dataset!E564),0,MAX(0,customer_churn_dataset!E564))</f>
        <v>17</v>
      </c>
      <c r="F564" s="8" t="n">
        <f aca="false">IF(ISBLANK(customer_churn_dataset!F564),"",customer_churn_dataset!F564)</f>
        <v>44592</v>
      </c>
      <c r="G564" s="7" t="str">
        <f aca="false">PROPER(TRIM(customer_churn_dataset!G564))</f>
        <v>Credit Card</v>
      </c>
      <c r="H564" s="7" t="n">
        <f aca="false">IF(ISBLANK(customer_churn_dataset!H564),0,customer_churn_dataset!H564)</f>
        <v>1</v>
      </c>
      <c r="I564" s="7" t="n">
        <f aca="false">IF(ISBLANK(customer_churn_dataset!I564),ROUND(MEDIAN(customer_churn_dataset!I$2:I$1501),1),MIN(100,MAX(0,customer_churn_dataset!I564)))</f>
        <v>42.3</v>
      </c>
      <c r="J564" s="7" t="n">
        <f aca="false">IF(ISBLANK(customer_churn_dataset!J564),0,MAX(0,customer_churn_dataset!J564))</f>
        <v>14</v>
      </c>
      <c r="K564" s="7" t="n">
        <f aca="false">IF(ISBLANK(customer_churn_dataset!K564),0,MIN(10,MAX(0,customer_churn_dataset!K564)))</f>
        <v>4</v>
      </c>
      <c r="L564" s="7" t="n">
        <f aca="false">IF(ISBLANK(customer_churn_dataset!L564),0,MAX(0,customer_churn_dataset!L564))</f>
        <v>1</v>
      </c>
      <c r="M564" s="7" t="n">
        <f aca="false">IF(ISBLANK(customer_churn_dataset!M564),0,customer_churn_dataset!M564)</f>
        <v>0</v>
      </c>
      <c r="N564" s="7" t="n">
        <f aca="false">IF(ISBLANK(customer_churn_dataset!N564),0,MAX(0,customer_churn_dataset!N564))</f>
        <v>690.88</v>
      </c>
      <c r="O564" s="7" t="n">
        <f aca="false">IF(ISBLANK(customer_churn_dataset!O564),0,customer_churn_dataset!O564)</f>
        <v>0</v>
      </c>
      <c r="P564" s="7" t="str">
        <f aca="false">IF(COUNTIF(customer_churn_dataset!$A$2:$A$1501,customer_churn_dataset!A564)&gt;1,"Duplicate","Unique")</f>
        <v>Unique</v>
      </c>
    </row>
    <row r="565" customFormat="false" ht="14.15" hidden="false" customHeight="true" outlineLevel="0" collapsed="false">
      <c r="A565" s="7" t="str">
        <f aca="false">TRIM(customer_churn_dataset!A565)</f>
        <v>CUST100949</v>
      </c>
      <c r="B565" s="7" t="str">
        <f aca="false">PROPER(TRIM(customer_churn_dataset!B565))</f>
        <v>Standard</v>
      </c>
      <c r="C565" s="7" t="str">
        <f aca="false">PROPER(TRIM(customer_churn_dataset!C565))</f>
        <v>Month-To-Month</v>
      </c>
      <c r="D565" s="7" t="n">
        <f aca="false">IF(ISBLANK(customer_churn_dataset!D565),ROUND(MEDIAN(customer_churn_dataset!D$2:D$1501),2),IF(customer_churn_dataset!D565&lt;0,ABS(customer_churn_dataset!D565),customer_churn_dataset!D565))</f>
        <v>20.59</v>
      </c>
      <c r="E565" s="7" t="n">
        <f aca="false">IF(ISBLANK(customer_churn_dataset!E565),0,MAX(0,customer_churn_dataset!E565))</f>
        <v>1</v>
      </c>
      <c r="F565" s="8" t="n">
        <f aca="false">IF(ISBLANK(customer_churn_dataset!F565),"",customer_churn_dataset!F565)</f>
        <v>44594</v>
      </c>
      <c r="G565" s="7" t="str">
        <f aca="false">PROPER(TRIM(customer_churn_dataset!G565))</f>
        <v>Manual/Invoice</v>
      </c>
      <c r="H565" s="7" t="n">
        <f aca="false">IF(ISBLANK(customer_churn_dataset!H565),0,customer_churn_dataset!H565)</f>
        <v>1</v>
      </c>
      <c r="I565" s="7" t="n">
        <f aca="false">IF(ISBLANK(customer_churn_dataset!I565),ROUND(MEDIAN(customer_churn_dataset!I$2:I$1501),1),MIN(100,MAX(0,customer_churn_dataset!I565)))</f>
        <v>40.2</v>
      </c>
      <c r="J565" s="7" t="n">
        <f aca="false">IF(ISBLANK(customer_churn_dataset!J565),0,MAX(0,customer_churn_dataset!J565))</f>
        <v>8</v>
      </c>
      <c r="K565" s="7" t="n">
        <f aca="false">IF(ISBLANK(customer_churn_dataset!K565),0,MIN(10,MAX(0,customer_churn_dataset!K565)))</f>
        <v>3</v>
      </c>
      <c r="L565" s="7" t="n">
        <f aca="false">IF(ISBLANK(customer_churn_dataset!L565),0,MAX(0,customer_churn_dataset!L565))</f>
        <v>1</v>
      </c>
      <c r="M565" s="7" t="n">
        <f aca="false">IF(ISBLANK(customer_churn_dataset!M565),0,customer_churn_dataset!M565)</f>
        <v>1</v>
      </c>
      <c r="N565" s="7" t="n">
        <f aca="false">IF(ISBLANK(customer_churn_dataset!N565),0,MAX(0,customer_churn_dataset!N565))</f>
        <v>20.59</v>
      </c>
      <c r="O565" s="7" t="n">
        <f aca="false">IF(ISBLANK(customer_churn_dataset!O565),0,customer_churn_dataset!O565)</f>
        <v>1</v>
      </c>
      <c r="P565" s="7" t="str">
        <f aca="false">IF(COUNTIF(customer_churn_dataset!$A$2:$A$1501,customer_churn_dataset!A565)&gt;1,"Duplicate","Unique")</f>
        <v>Unique</v>
      </c>
    </row>
    <row r="566" customFormat="false" ht="14.15" hidden="false" customHeight="true" outlineLevel="0" collapsed="false">
      <c r="A566" s="7" t="str">
        <f aca="false">TRIM(customer_churn_dataset!A566)</f>
        <v>CUST100511</v>
      </c>
      <c r="B566" s="7" t="str">
        <f aca="false">PROPER(TRIM(customer_churn_dataset!B566))</f>
        <v>Basic</v>
      </c>
      <c r="C566" s="7" t="str">
        <f aca="false">PROPER(TRIM(customer_churn_dataset!C566))</f>
        <v>Two Year</v>
      </c>
      <c r="D566" s="7" t="n">
        <f aca="false">IF(ISBLANK(customer_churn_dataset!D566),ROUND(MEDIAN(customer_churn_dataset!D$2:D$1501),2),IF(customer_churn_dataset!D566&lt;0,ABS(customer_churn_dataset!D566),customer_churn_dataset!D566))</f>
        <v>9.62</v>
      </c>
      <c r="E566" s="7" t="n">
        <f aca="false">IF(ISBLANK(customer_churn_dataset!E566),0,MAX(0,customer_churn_dataset!E566))</f>
        <v>9</v>
      </c>
      <c r="F566" s="8" t="n">
        <f aca="false">IF(ISBLANK(customer_churn_dataset!F566),"",customer_churn_dataset!F566)</f>
        <v>44596</v>
      </c>
      <c r="G566" s="7" t="str">
        <f aca="false">PROPER(TRIM(customer_churn_dataset!G566))</f>
        <v>Credit Card</v>
      </c>
      <c r="H566" s="7" t="n">
        <f aca="false">IF(ISBLANK(customer_churn_dataset!H566),0,customer_churn_dataset!H566)</f>
        <v>1</v>
      </c>
      <c r="I566" s="7" t="n">
        <f aca="false">IF(ISBLANK(customer_churn_dataset!I566),ROUND(MEDIAN(customer_churn_dataset!I$2:I$1501),1),MIN(100,MAX(0,customer_churn_dataset!I566)))</f>
        <v>83.6</v>
      </c>
      <c r="J566" s="7" t="n">
        <f aca="false">IF(ISBLANK(customer_churn_dataset!J566),0,MAX(0,customer_churn_dataset!J566))</f>
        <v>28</v>
      </c>
      <c r="K566" s="7" t="n">
        <f aca="false">IF(ISBLANK(customer_churn_dataset!K566),0,MIN(10,MAX(0,customer_churn_dataset!K566)))</f>
        <v>9</v>
      </c>
      <c r="L566" s="7" t="n">
        <f aca="false">IF(ISBLANK(customer_churn_dataset!L566),0,MAX(0,customer_churn_dataset!L566))</f>
        <v>1</v>
      </c>
      <c r="M566" s="7" t="n">
        <f aca="false">IF(ISBLANK(customer_churn_dataset!M566),0,customer_churn_dataset!M566)</f>
        <v>0</v>
      </c>
      <c r="N566" s="7" t="n">
        <f aca="false">IF(ISBLANK(customer_churn_dataset!N566),0,MAX(0,customer_churn_dataset!N566))</f>
        <v>86.58</v>
      </c>
      <c r="O566" s="7" t="n">
        <f aca="false">IF(ISBLANK(customer_churn_dataset!O566),0,customer_churn_dataset!O566)</f>
        <v>0</v>
      </c>
      <c r="P566" s="7" t="str">
        <f aca="false">IF(COUNTIF(customer_churn_dataset!$A$2:$A$1501,customer_churn_dataset!A566)&gt;1,"Duplicate","Unique")</f>
        <v>Unique</v>
      </c>
    </row>
    <row r="567" customFormat="false" ht="14.15" hidden="false" customHeight="true" outlineLevel="0" collapsed="false">
      <c r="A567" s="7" t="str">
        <f aca="false">TRIM(customer_churn_dataset!A567)</f>
        <v>CUST100913</v>
      </c>
      <c r="B567" s="7" t="str">
        <f aca="false">PROPER(TRIM(customer_churn_dataset!B567))</f>
        <v>Basic</v>
      </c>
      <c r="C567" s="7" t="str">
        <f aca="false">PROPER(TRIM(customer_churn_dataset!C567))</f>
        <v>Month-To-Month</v>
      </c>
      <c r="D567" s="7" t="n">
        <f aca="false">IF(ISBLANK(customer_churn_dataset!D567),ROUND(MEDIAN(customer_churn_dataset!D$2:D$1501),2),IF(customer_churn_dataset!D567&lt;0,ABS(customer_churn_dataset!D567),customer_churn_dataset!D567))</f>
        <v>10.19</v>
      </c>
      <c r="E567" s="7" t="n">
        <f aca="false">IF(ISBLANK(customer_churn_dataset!E567),0,MAX(0,customer_churn_dataset!E567))</f>
        <v>5</v>
      </c>
      <c r="F567" s="8" t="n">
        <f aca="false">IF(ISBLANK(customer_churn_dataset!F567),"",customer_churn_dataset!F567)</f>
        <v>44596</v>
      </c>
      <c r="G567" s="7" t="str">
        <f aca="false">PROPER(TRIM(customer_churn_dataset!G567))</f>
        <v>Paypal</v>
      </c>
      <c r="H567" s="7" t="n">
        <f aca="false">IF(ISBLANK(customer_churn_dataset!H567),0,customer_churn_dataset!H567)</f>
        <v>1</v>
      </c>
      <c r="I567" s="7" t="n">
        <f aca="false">IF(ISBLANK(customer_churn_dataset!I567),ROUND(MEDIAN(customer_churn_dataset!I$2:I$1501),1),MIN(100,MAX(0,customer_churn_dataset!I567)))</f>
        <v>36</v>
      </c>
      <c r="J567" s="7" t="n">
        <f aca="false">IF(ISBLANK(customer_churn_dataset!J567),0,MAX(0,customer_churn_dataset!J567))</f>
        <v>10</v>
      </c>
      <c r="K567" s="7" t="n">
        <f aca="false">IF(ISBLANK(customer_churn_dataset!K567),0,MIN(10,MAX(0,customer_churn_dataset!K567)))</f>
        <v>4</v>
      </c>
      <c r="L567" s="7" t="n">
        <f aca="false">IF(ISBLANK(customer_churn_dataset!L567),0,MAX(0,customer_churn_dataset!L567))</f>
        <v>4</v>
      </c>
      <c r="M567" s="7" t="n">
        <f aca="false">IF(ISBLANK(customer_churn_dataset!M567),0,customer_churn_dataset!M567)</f>
        <v>0</v>
      </c>
      <c r="N567" s="7" t="n">
        <f aca="false">IF(ISBLANK(customer_churn_dataset!N567),0,MAX(0,customer_churn_dataset!N567))</f>
        <v>50.95</v>
      </c>
      <c r="O567" s="7" t="n">
        <f aca="false">IF(ISBLANK(customer_churn_dataset!O567),0,customer_churn_dataset!O567)</f>
        <v>1</v>
      </c>
      <c r="P567" s="7" t="str">
        <f aca="false">IF(COUNTIF(customer_churn_dataset!$A$2:$A$1501,customer_churn_dataset!A567)&gt;1,"Duplicate","Unique")</f>
        <v>Unique</v>
      </c>
    </row>
    <row r="568" customFormat="false" ht="14.15" hidden="false" customHeight="true" outlineLevel="0" collapsed="false">
      <c r="A568" s="7" t="str">
        <f aca="false">TRIM(customer_churn_dataset!A568)</f>
        <v>CUST101130</v>
      </c>
      <c r="B568" s="7" t="str">
        <f aca="false">PROPER(TRIM(customer_churn_dataset!B568))</f>
        <v>Standard</v>
      </c>
      <c r="C568" s="7" t="str">
        <f aca="false">PROPER(TRIM(customer_churn_dataset!C568))</f>
        <v>Month-To-Month</v>
      </c>
      <c r="D568" s="7" t="n">
        <f aca="false">IF(ISBLANK(customer_churn_dataset!D568),ROUND(MEDIAN(customer_churn_dataset!D$2:D$1501),2),IF(customer_churn_dataset!D568&lt;0,ABS(customer_churn_dataset!D568),customer_churn_dataset!D568))</f>
        <v>21.73</v>
      </c>
      <c r="E568" s="7" t="n">
        <f aca="false">IF(ISBLANK(customer_churn_dataset!E568),0,MAX(0,customer_churn_dataset!E568))</f>
        <v>15</v>
      </c>
      <c r="F568" s="8" t="n">
        <f aca="false">IF(ISBLANK(customer_churn_dataset!F568),"",customer_churn_dataset!F568)</f>
        <v>44597</v>
      </c>
      <c r="G568" s="7" t="str">
        <f aca="false">PROPER(TRIM(customer_churn_dataset!G568))</f>
        <v>Credit Card</v>
      </c>
      <c r="H568" s="7" t="n">
        <f aca="false">IF(ISBLANK(customer_churn_dataset!H568),0,customer_churn_dataset!H568)</f>
        <v>0</v>
      </c>
      <c r="I568" s="7" t="n">
        <f aca="false">IF(ISBLANK(customer_churn_dataset!I568),ROUND(MEDIAN(customer_churn_dataset!I$2:I$1501),1),MIN(100,MAX(0,customer_churn_dataset!I568)))</f>
        <v>100</v>
      </c>
      <c r="J568" s="7" t="n">
        <f aca="false">IF(ISBLANK(customer_churn_dataset!J568),0,MAX(0,customer_churn_dataset!J568))</f>
        <v>28</v>
      </c>
      <c r="K568" s="7" t="n">
        <f aca="false">IF(ISBLANK(customer_churn_dataset!K568),0,MIN(10,MAX(0,customer_churn_dataset!K568)))</f>
        <v>9</v>
      </c>
      <c r="L568" s="7" t="n">
        <f aca="false">IF(ISBLANK(customer_churn_dataset!L568),0,MAX(0,customer_churn_dataset!L568))</f>
        <v>3</v>
      </c>
      <c r="M568" s="7" t="n">
        <f aca="false">IF(ISBLANK(customer_churn_dataset!M568),0,customer_churn_dataset!M568)</f>
        <v>1</v>
      </c>
      <c r="N568" s="7" t="n">
        <f aca="false">IF(ISBLANK(customer_churn_dataset!N568),0,MAX(0,customer_churn_dataset!N568))</f>
        <v>325.95</v>
      </c>
      <c r="O568" s="7" t="n">
        <f aca="false">IF(ISBLANK(customer_churn_dataset!O568),0,customer_churn_dataset!O568)</f>
        <v>0</v>
      </c>
      <c r="P568" s="7" t="str">
        <f aca="false">IF(COUNTIF(customer_churn_dataset!$A$2:$A$1501,customer_churn_dataset!A568)&gt;1,"Duplicate","Unique")</f>
        <v>Unique</v>
      </c>
    </row>
    <row r="569" customFormat="false" ht="14.15" hidden="false" customHeight="true" outlineLevel="0" collapsed="false">
      <c r="A569" s="7" t="str">
        <f aca="false">TRIM(customer_churn_dataset!A569)</f>
        <v>CUST100911</v>
      </c>
      <c r="B569" s="7" t="str">
        <f aca="false">PROPER(TRIM(customer_churn_dataset!B569))</f>
        <v>Basic</v>
      </c>
      <c r="C569" s="7" t="str">
        <f aca="false">PROPER(TRIM(customer_churn_dataset!C569))</f>
        <v>Month-To-Month</v>
      </c>
      <c r="D569" s="7" t="n">
        <f aca="false">IF(ISBLANK(customer_churn_dataset!D569),ROUND(MEDIAN(customer_churn_dataset!D$2:D$1501),2),IF(customer_churn_dataset!D569&lt;0,ABS(customer_churn_dataset!D569),customer_churn_dataset!D569))</f>
        <v>11.23</v>
      </c>
      <c r="E569" s="7" t="n">
        <f aca="false">IF(ISBLANK(customer_churn_dataset!E569),0,MAX(0,customer_churn_dataset!E569))</f>
        <v>3</v>
      </c>
      <c r="F569" s="8" t="n">
        <f aca="false">IF(ISBLANK(customer_churn_dataset!F569),"",customer_churn_dataset!F569)</f>
        <v>44599</v>
      </c>
      <c r="G569" s="7" t="str">
        <f aca="false">PROPER(TRIM(customer_churn_dataset!G569))</f>
        <v>Credit Card</v>
      </c>
      <c r="H569" s="7" t="n">
        <f aca="false">IF(ISBLANK(customer_churn_dataset!H569),0,customer_churn_dataset!H569)</f>
        <v>1</v>
      </c>
      <c r="I569" s="7" t="n">
        <f aca="false">IF(ISBLANK(customer_churn_dataset!I569),ROUND(MEDIAN(customer_churn_dataset!I$2:I$1501),1),MIN(100,MAX(0,customer_churn_dataset!I569)))</f>
        <v>58.3</v>
      </c>
      <c r="J569" s="7" t="n">
        <f aca="false">IF(ISBLANK(customer_churn_dataset!J569),0,MAX(0,customer_churn_dataset!J569))</f>
        <v>20</v>
      </c>
      <c r="K569" s="7" t="n">
        <f aca="false">IF(ISBLANK(customer_churn_dataset!K569),0,MIN(10,MAX(0,customer_churn_dataset!K569)))</f>
        <v>9</v>
      </c>
      <c r="L569" s="7" t="n">
        <f aca="false">IF(ISBLANK(customer_churn_dataset!L569),0,MAX(0,customer_churn_dataset!L569))</f>
        <v>0</v>
      </c>
      <c r="M569" s="7" t="n">
        <f aca="false">IF(ISBLANK(customer_churn_dataset!M569),0,customer_churn_dataset!M569)</f>
        <v>0</v>
      </c>
      <c r="N569" s="7" t="n">
        <f aca="false">IF(ISBLANK(customer_churn_dataset!N569),0,MAX(0,customer_churn_dataset!N569))</f>
        <v>33.69</v>
      </c>
      <c r="O569" s="7" t="n">
        <f aca="false">IF(ISBLANK(customer_churn_dataset!O569),0,customer_churn_dataset!O569)</f>
        <v>0</v>
      </c>
      <c r="P569" s="7" t="str">
        <f aca="false">IF(COUNTIF(customer_churn_dataset!$A$2:$A$1501,customer_churn_dataset!A569)&gt;1,"Duplicate","Unique")</f>
        <v>Unique</v>
      </c>
    </row>
    <row r="570" customFormat="false" ht="14.15" hidden="false" customHeight="true" outlineLevel="0" collapsed="false">
      <c r="A570" s="7" t="str">
        <f aca="false">TRIM(customer_churn_dataset!A570)</f>
        <v>CUST100829</v>
      </c>
      <c r="B570" s="7" t="str">
        <f aca="false">PROPER(TRIM(customer_churn_dataset!B570))</f>
        <v>Standard</v>
      </c>
      <c r="C570" s="7" t="str">
        <f aca="false">PROPER(TRIM(customer_churn_dataset!C570))</f>
        <v>Month-To-Month</v>
      </c>
      <c r="D570" s="7" t="n">
        <f aca="false">IF(ISBLANK(customer_churn_dataset!D570),ROUND(MEDIAN(customer_churn_dataset!D$2:D$1501),2),IF(customer_churn_dataset!D570&lt;0,ABS(customer_churn_dataset!D570),customer_churn_dataset!D570))</f>
        <v>20.42</v>
      </c>
      <c r="E570" s="7" t="n">
        <f aca="false">IF(ISBLANK(customer_churn_dataset!E570),0,MAX(0,customer_churn_dataset!E570))</f>
        <v>8</v>
      </c>
      <c r="F570" s="8" t="n">
        <f aca="false">IF(ISBLANK(customer_churn_dataset!F570),"",customer_churn_dataset!F570)</f>
        <v>44599</v>
      </c>
      <c r="G570" s="7" t="str">
        <f aca="false">PROPER(TRIM(customer_churn_dataset!G570))</f>
        <v>Paypal</v>
      </c>
      <c r="H570" s="7" t="n">
        <f aca="false">IF(ISBLANK(customer_churn_dataset!H570),0,customer_churn_dataset!H570)</f>
        <v>0</v>
      </c>
      <c r="I570" s="7" t="n">
        <f aca="false">IF(ISBLANK(customer_churn_dataset!I570),ROUND(MEDIAN(customer_churn_dataset!I$2:I$1501),1),MIN(100,MAX(0,customer_churn_dataset!I570)))</f>
        <v>61.5</v>
      </c>
      <c r="J570" s="7" t="n">
        <f aca="false">IF(ISBLANK(customer_churn_dataset!J570),0,MAX(0,customer_churn_dataset!J570))</f>
        <v>17</v>
      </c>
      <c r="K570" s="7" t="n">
        <f aca="false">IF(ISBLANK(customer_churn_dataset!K570),0,MIN(10,MAX(0,customer_churn_dataset!K570)))</f>
        <v>6</v>
      </c>
      <c r="L570" s="7" t="n">
        <f aca="false">IF(ISBLANK(customer_churn_dataset!L570),0,MAX(0,customer_churn_dataset!L570))</f>
        <v>0</v>
      </c>
      <c r="M570" s="7" t="n">
        <f aca="false">IF(ISBLANK(customer_churn_dataset!M570),0,customer_churn_dataset!M570)</f>
        <v>0</v>
      </c>
      <c r="N570" s="7" t="n">
        <f aca="false">IF(ISBLANK(customer_churn_dataset!N570),0,MAX(0,customer_churn_dataset!N570))</f>
        <v>163.36</v>
      </c>
      <c r="O570" s="7" t="n">
        <f aca="false">IF(ISBLANK(customer_churn_dataset!O570),0,customer_churn_dataset!O570)</f>
        <v>0</v>
      </c>
      <c r="P570" s="7" t="str">
        <f aca="false">IF(COUNTIF(customer_churn_dataset!$A$2:$A$1501,customer_churn_dataset!A570)&gt;1,"Duplicate","Unique")</f>
        <v>Unique</v>
      </c>
    </row>
    <row r="571" customFormat="false" ht="14.15" hidden="false" customHeight="true" outlineLevel="0" collapsed="false">
      <c r="A571" s="7" t="str">
        <f aca="false">TRIM(customer_churn_dataset!A571)</f>
        <v>CUST100079</v>
      </c>
      <c r="B571" s="7" t="str">
        <f aca="false">PROPER(TRIM(customer_churn_dataset!B571))</f>
        <v>Basic</v>
      </c>
      <c r="C571" s="7" t="str">
        <f aca="false">PROPER(TRIM(customer_churn_dataset!C571))</f>
        <v>One Year</v>
      </c>
      <c r="D571" s="7" t="n">
        <f aca="false">IF(ISBLANK(customer_churn_dataset!D571),ROUND(MEDIAN(customer_churn_dataset!D$2:D$1501),2),IF(customer_churn_dataset!D571&lt;0,ABS(customer_churn_dataset!D571),customer_churn_dataset!D571))</f>
        <v>11.62</v>
      </c>
      <c r="E571" s="7" t="n">
        <f aca="false">IF(ISBLANK(customer_churn_dataset!E571),0,MAX(0,customer_churn_dataset!E571))</f>
        <v>62</v>
      </c>
      <c r="F571" s="8" t="n">
        <f aca="false">IF(ISBLANK(customer_churn_dataset!F571),"",customer_churn_dataset!F571)</f>
        <v>44600</v>
      </c>
      <c r="G571" s="7" t="str">
        <f aca="false">PROPER(TRIM(customer_churn_dataset!G571))</f>
        <v>Paypal</v>
      </c>
      <c r="H571" s="7" t="n">
        <f aca="false">IF(ISBLANK(customer_churn_dataset!H571),0,customer_churn_dataset!H571)</f>
        <v>0</v>
      </c>
      <c r="I571" s="7" t="n">
        <f aca="false">IF(ISBLANK(customer_churn_dataset!I571),ROUND(MEDIAN(customer_churn_dataset!I$2:I$1501),1),MIN(100,MAX(0,customer_churn_dataset!I571)))</f>
        <v>56.1</v>
      </c>
      <c r="J571" s="7" t="n">
        <f aca="false">IF(ISBLANK(customer_churn_dataset!J571),0,MAX(0,customer_churn_dataset!J571))</f>
        <v>13</v>
      </c>
      <c r="K571" s="7" t="n">
        <f aca="false">IF(ISBLANK(customer_churn_dataset!K571),0,MIN(10,MAX(0,customer_churn_dataset!K571)))</f>
        <v>5</v>
      </c>
      <c r="L571" s="7" t="n">
        <f aca="false">IF(ISBLANK(customer_churn_dataset!L571),0,MAX(0,customer_churn_dataset!L571))</f>
        <v>0</v>
      </c>
      <c r="M571" s="7" t="n">
        <f aca="false">IF(ISBLANK(customer_churn_dataset!M571),0,customer_churn_dataset!M571)</f>
        <v>0</v>
      </c>
      <c r="N571" s="7" t="n">
        <f aca="false">IF(ISBLANK(customer_churn_dataset!N571),0,MAX(0,customer_churn_dataset!N571))</f>
        <v>720.44</v>
      </c>
      <c r="O571" s="7" t="n">
        <f aca="false">IF(ISBLANK(customer_churn_dataset!O571),0,customer_churn_dataset!O571)</f>
        <v>0</v>
      </c>
      <c r="P571" s="7" t="str">
        <f aca="false">IF(COUNTIF(customer_churn_dataset!$A$2:$A$1501,customer_churn_dataset!A571)&gt;1,"Duplicate","Unique")</f>
        <v>Unique</v>
      </c>
    </row>
    <row r="572" customFormat="false" ht="14.15" hidden="false" customHeight="true" outlineLevel="0" collapsed="false">
      <c r="A572" s="7" t="str">
        <f aca="false">TRIM(customer_churn_dataset!A572)</f>
        <v>CUST100449</v>
      </c>
      <c r="B572" s="7" t="str">
        <f aca="false">PROPER(TRIM(customer_churn_dataset!B572))</f>
        <v>Basic</v>
      </c>
      <c r="C572" s="7" t="str">
        <f aca="false">PROPER(TRIM(customer_churn_dataset!C572))</f>
        <v>One Year</v>
      </c>
      <c r="D572" s="7" t="n">
        <f aca="false">IF(ISBLANK(customer_churn_dataset!D572),ROUND(MEDIAN(customer_churn_dataset!D$2:D$1501),2),IF(customer_churn_dataset!D572&lt;0,ABS(customer_churn_dataset!D572),customer_churn_dataset!D572))</f>
        <v>9.74</v>
      </c>
      <c r="E572" s="7" t="n">
        <f aca="false">IF(ISBLANK(customer_churn_dataset!E572),0,MAX(0,customer_churn_dataset!E572))</f>
        <v>13</v>
      </c>
      <c r="F572" s="8" t="n">
        <f aca="false">IF(ISBLANK(customer_churn_dataset!F572),"",customer_churn_dataset!F572)</f>
        <v>44601</v>
      </c>
      <c r="G572" s="7" t="str">
        <f aca="false">PROPER(TRIM(customer_churn_dataset!G572))</f>
        <v>Credit Card</v>
      </c>
      <c r="H572" s="7" t="n">
        <f aca="false">IF(ISBLANK(customer_churn_dataset!H572),0,customer_churn_dataset!H572)</f>
        <v>1</v>
      </c>
      <c r="I572" s="7" t="n">
        <f aca="false">IF(ISBLANK(customer_churn_dataset!I572),ROUND(MEDIAN(customer_churn_dataset!I$2:I$1501),1),MIN(100,MAX(0,customer_churn_dataset!I572)))</f>
        <v>59</v>
      </c>
      <c r="J572" s="7" t="n">
        <f aca="false">IF(ISBLANK(customer_churn_dataset!J572),0,MAX(0,customer_churn_dataset!J572))</f>
        <v>15</v>
      </c>
      <c r="K572" s="7" t="n">
        <f aca="false">IF(ISBLANK(customer_churn_dataset!K572),0,MIN(10,MAX(0,customer_churn_dataset!K572)))</f>
        <v>6</v>
      </c>
      <c r="L572" s="7" t="n">
        <f aca="false">IF(ISBLANK(customer_churn_dataset!L572),0,MAX(0,customer_churn_dataset!L572))</f>
        <v>2</v>
      </c>
      <c r="M572" s="7" t="n">
        <f aca="false">IF(ISBLANK(customer_churn_dataset!M572),0,customer_churn_dataset!M572)</f>
        <v>0</v>
      </c>
      <c r="N572" s="7" t="n">
        <f aca="false">IF(ISBLANK(customer_churn_dataset!N572),0,MAX(0,customer_churn_dataset!N572))</f>
        <v>126.62</v>
      </c>
      <c r="O572" s="7" t="n">
        <f aca="false">IF(ISBLANK(customer_churn_dataset!O572),0,customer_churn_dataset!O572)</f>
        <v>0</v>
      </c>
      <c r="P572" s="7" t="str">
        <f aca="false">IF(COUNTIF(customer_churn_dataset!$A$2:$A$1501,customer_churn_dataset!A572)&gt;1,"Duplicate","Unique")</f>
        <v>Unique</v>
      </c>
    </row>
    <row r="573" customFormat="false" ht="14.15" hidden="false" customHeight="true" outlineLevel="0" collapsed="false">
      <c r="A573" s="7" t="str">
        <f aca="false">TRIM(customer_churn_dataset!A573)</f>
        <v>CUST100242</v>
      </c>
      <c r="B573" s="7" t="str">
        <f aca="false">PROPER(TRIM(customer_churn_dataset!B573))</f>
        <v>Premium</v>
      </c>
      <c r="C573" s="7" t="str">
        <f aca="false">PROPER(TRIM(customer_churn_dataset!C573))</f>
        <v>Two Year</v>
      </c>
      <c r="D573" s="7" t="n">
        <f aca="false">IF(ISBLANK(customer_churn_dataset!D573),ROUND(MEDIAN(customer_churn_dataset!D$2:D$1501),2),IF(customer_churn_dataset!D573&lt;0,ABS(customer_churn_dataset!D573),customer_churn_dataset!D573))</f>
        <v>41.18</v>
      </c>
      <c r="E573" s="7" t="n">
        <f aca="false">IF(ISBLANK(customer_churn_dataset!E573),0,MAX(0,customer_churn_dataset!E573))</f>
        <v>32</v>
      </c>
      <c r="F573" s="8" t="n">
        <f aca="false">IF(ISBLANK(customer_churn_dataset!F573),"",customer_churn_dataset!F573)</f>
        <v>44602</v>
      </c>
      <c r="G573" s="7" t="str">
        <f aca="false">PROPER(TRIM(customer_churn_dataset!G573))</f>
        <v>Manual/Invoice</v>
      </c>
      <c r="H573" s="7" t="n">
        <f aca="false">IF(ISBLANK(customer_churn_dataset!H573),0,customer_churn_dataset!H573)</f>
        <v>1</v>
      </c>
      <c r="I573" s="7" t="n">
        <f aca="false">IF(ISBLANK(customer_churn_dataset!I573),ROUND(MEDIAN(customer_churn_dataset!I$2:I$1501),1),MIN(100,MAX(0,customer_churn_dataset!I573)))</f>
        <v>27.3</v>
      </c>
      <c r="J573" s="7" t="n">
        <f aca="false">IF(ISBLANK(customer_churn_dataset!J573),0,MAX(0,customer_churn_dataset!J573))</f>
        <v>2</v>
      </c>
      <c r="K573" s="7" t="n">
        <f aca="false">IF(ISBLANK(customer_churn_dataset!K573),0,MIN(10,MAX(0,customer_churn_dataset!K573)))</f>
        <v>1</v>
      </c>
      <c r="L573" s="7" t="n">
        <f aca="false">IF(ISBLANK(customer_churn_dataset!L573),0,MAX(0,customer_churn_dataset!L573))</f>
        <v>5</v>
      </c>
      <c r="M573" s="7" t="n">
        <f aca="false">IF(ISBLANK(customer_churn_dataset!M573),0,customer_churn_dataset!M573)</f>
        <v>1</v>
      </c>
      <c r="N573" s="7" t="n">
        <f aca="false">IF(ISBLANK(customer_churn_dataset!N573),0,MAX(0,customer_churn_dataset!N573))</f>
        <v>1317.76</v>
      </c>
      <c r="O573" s="7" t="n">
        <f aca="false">IF(ISBLANK(customer_churn_dataset!O573),0,customer_churn_dataset!O573)</f>
        <v>0</v>
      </c>
      <c r="P573" s="7" t="str">
        <f aca="false">IF(COUNTIF(customer_churn_dataset!$A$2:$A$1501,customer_churn_dataset!A573)&gt;1,"Duplicate","Unique")</f>
        <v>Unique</v>
      </c>
    </row>
    <row r="574" customFormat="false" ht="14.15" hidden="false" customHeight="true" outlineLevel="0" collapsed="false">
      <c r="A574" s="7" t="str">
        <f aca="false">TRIM(customer_churn_dataset!A574)</f>
        <v>CUST101381</v>
      </c>
      <c r="B574" s="7" t="str">
        <f aca="false">PROPER(TRIM(customer_churn_dataset!B574))</f>
        <v>Basic</v>
      </c>
      <c r="C574" s="7" t="str">
        <f aca="false">PROPER(TRIM(customer_churn_dataset!C574))</f>
        <v>Month-To-Month</v>
      </c>
      <c r="D574" s="7" t="n">
        <f aca="false">IF(ISBLANK(customer_churn_dataset!D574),ROUND(MEDIAN(customer_churn_dataset!D$2:D$1501),2),IF(customer_churn_dataset!D574&lt;0,ABS(customer_churn_dataset!D574),customer_churn_dataset!D574))</f>
        <v>8.73</v>
      </c>
      <c r="E574" s="7" t="n">
        <f aca="false">IF(ISBLANK(customer_churn_dataset!E574),0,MAX(0,customer_churn_dataset!E574))</f>
        <v>35</v>
      </c>
      <c r="F574" s="8" t="n">
        <f aca="false">IF(ISBLANK(customer_churn_dataset!F574),"",customer_churn_dataset!F574)</f>
        <v>44603</v>
      </c>
      <c r="G574" s="7" t="str">
        <f aca="false">PROPER(TRIM(customer_churn_dataset!G574))</f>
        <v>Bank Transfer</v>
      </c>
      <c r="H574" s="7" t="n">
        <f aca="false">IF(ISBLANK(customer_churn_dataset!H574),0,customer_churn_dataset!H574)</f>
        <v>0</v>
      </c>
      <c r="I574" s="7" t="n">
        <f aca="false">IF(ISBLANK(customer_churn_dataset!I574),ROUND(MEDIAN(customer_churn_dataset!I$2:I$1501),1),MIN(100,MAX(0,customer_churn_dataset!I574)))</f>
        <v>68.3</v>
      </c>
      <c r="J574" s="7" t="n">
        <f aca="false">IF(ISBLANK(customer_churn_dataset!J574),0,MAX(0,customer_churn_dataset!J574))</f>
        <v>27</v>
      </c>
      <c r="K574" s="7" t="n">
        <f aca="false">IF(ISBLANK(customer_churn_dataset!K574),0,MIN(10,MAX(0,customer_churn_dataset!K574)))</f>
        <v>10</v>
      </c>
      <c r="L574" s="7" t="n">
        <f aca="false">IF(ISBLANK(customer_churn_dataset!L574),0,MAX(0,customer_churn_dataset!L574))</f>
        <v>1</v>
      </c>
      <c r="M574" s="7" t="n">
        <f aca="false">IF(ISBLANK(customer_churn_dataset!M574),0,customer_churn_dataset!M574)</f>
        <v>1</v>
      </c>
      <c r="N574" s="7" t="n">
        <f aca="false">IF(ISBLANK(customer_churn_dataset!N574),0,MAX(0,customer_churn_dataset!N574))</f>
        <v>305.55</v>
      </c>
      <c r="O574" s="7" t="n">
        <f aca="false">IF(ISBLANK(customer_churn_dataset!O574),0,customer_churn_dataset!O574)</f>
        <v>0</v>
      </c>
      <c r="P574" s="7" t="str">
        <f aca="false">IF(COUNTIF(customer_churn_dataset!$A$2:$A$1501,customer_churn_dataset!A574)&gt;1,"Duplicate","Unique")</f>
        <v>Unique</v>
      </c>
    </row>
    <row r="575" customFormat="false" ht="14.15" hidden="false" customHeight="true" outlineLevel="0" collapsed="false">
      <c r="A575" s="7" t="str">
        <f aca="false">TRIM(customer_churn_dataset!A575)</f>
        <v>CUST100369</v>
      </c>
      <c r="B575" s="7" t="str">
        <f aca="false">PROPER(TRIM(customer_churn_dataset!B575))</f>
        <v>Basic</v>
      </c>
      <c r="C575" s="7" t="str">
        <f aca="false">PROPER(TRIM(customer_churn_dataset!C575))</f>
        <v>Month-To-Month</v>
      </c>
      <c r="D575" s="7" t="n">
        <f aca="false">IF(ISBLANK(customer_churn_dataset!D575),ROUND(MEDIAN(customer_churn_dataset!D$2:D$1501),2),IF(customer_churn_dataset!D575&lt;0,ABS(customer_churn_dataset!D575),customer_churn_dataset!D575))</f>
        <v>8.87</v>
      </c>
      <c r="E575" s="7" t="n">
        <f aca="false">IF(ISBLANK(customer_churn_dataset!E575),0,MAX(0,customer_churn_dataset!E575))</f>
        <v>0</v>
      </c>
      <c r="F575" s="8" t="n">
        <f aca="false">IF(ISBLANK(customer_churn_dataset!F575),"",customer_churn_dataset!F575)</f>
        <v>44603</v>
      </c>
      <c r="G575" s="7" t="str">
        <f aca="false">PROPER(TRIM(customer_churn_dataset!G575))</f>
        <v>Paypal</v>
      </c>
      <c r="H575" s="7" t="n">
        <f aca="false">IF(ISBLANK(customer_churn_dataset!H575),0,customer_churn_dataset!H575)</f>
        <v>0</v>
      </c>
      <c r="I575" s="7" t="n">
        <f aca="false">IF(ISBLANK(customer_churn_dataset!I575),ROUND(MEDIAN(customer_churn_dataset!I$2:I$1501),1),MIN(100,MAX(0,customer_churn_dataset!I575)))</f>
        <v>80.8</v>
      </c>
      <c r="J575" s="7" t="n">
        <f aca="false">IF(ISBLANK(customer_churn_dataset!J575),0,MAX(0,customer_churn_dataset!J575))</f>
        <v>23</v>
      </c>
      <c r="K575" s="7" t="n">
        <f aca="false">IF(ISBLANK(customer_churn_dataset!K575),0,MIN(10,MAX(0,customer_churn_dataset!K575)))</f>
        <v>8</v>
      </c>
      <c r="L575" s="7" t="n">
        <f aca="false">IF(ISBLANK(customer_churn_dataset!L575),0,MAX(0,customer_churn_dataset!L575))</f>
        <v>1</v>
      </c>
      <c r="M575" s="7" t="n">
        <f aca="false">IF(ISBLANK(customer_churn_dataset!M575),0,customer_churn_dataset!M575)</f>
        <v>0</v>
      </c>
      <c r="N575" s="7" t="n">
        <f aca="false">IF(ISBLANK(customer_churn_dataset!N575),0,MAX(0,customer_churn_dataset!N575))</f>
        <v>0</v>
      </c>
      <c r="O575" s="7" t="n">
        <f aca="false">IF(ISBLANK(customer_churn_dataset!O575),0,customer_churn_dataset!O575)</f>
        <v>1</v>
      </c>
      <c r="P575" s="7" t="str">
        <f aca="false">IF(COUNTIF(customer_churn_dataset!$A$2:$A$1501,customer_churn_dataset!A575)&gt;1,"Duplicate","Unique")</f>
        <v>Unique</v>
      </c>
    </row>
    <row r="576" customFormat="false" ht="14.15" hidden="false" customHeight="true" outlineLevel="0" collapsed="false">
      <c r="A576" s="7" t="str">
        <f aca="false">TRIM(customer_churn_dataset!A576)</f>
        <v>CUST101010</v>
      </c>
      <c r="B576" s="7" t="str">
        <f aca="false">PROPER(TRIM(customer_churn_dataset!B576))</f>
        <v>Basic</v>
      </c>
      <c r="C576" s="7" t="str">
        <f aca="false">PROPER(TRIM(customer_churn_dataset!C576))</f>
        <v>Month-To-Month</v>
      </c>
      <c r="D576" s="7" t="n">
        <f aca="false">IF(ISBLANK(customer_churn_dataset!D576),ROUND(MEDIAN(customer_churn_dataset!D$2:D$1501),2),IF(customer_churn_dataset!D576&lt;0,ABS(customer_churn_dataset!D576),customer_churn_dataset!D576))</f>
        <v>10.98</v>
      </c>
      <c r="E576" s="7" t="n">
        <f aca="false">IF(ISBLANK(customer_churn_dataset!E576),0,MAX(0,customer_churn_dataset!E576))</f>
        <v>44</v>
      </c>
      <c r="F576" s="8" t="n">
        <f aca="false">IF(ISBLANK(customer_churn_dataset!F576),"",customer_churn_dataset!F576)</f>
        <v>44604</v>
      </c>
      <c r="G576" s="7" t="str">
        <f aca="false">PROPER(TRIM(customer_churn_dataset!G576))</f>
        <v>Paypal</v>
      </c>
      <c r="H576" s="7" t="n">
        <f aca="false">IF(ISBLANK(customer_churn_dataset!H576),0,customer_churn_dataset!H576)</f>
        <v>0</v>
      </c>
      <c r="I576" s="7" t="n">
        <f aca="false">IF(ISBLANK(customer_churn_dataset!I576),ROUND(MEDIAN(customer_churn_dataset!I$2:I$1501),1),MIN(100,MAX(0,customer_churn_dataset!I576)))</f>
        <v>100</v>
      </c>
      <c r="J576" s="7" t="n">
        <f aca="false">IF(ISBLANK(customer_churn_dataset!J576),0,MAX(0,customer_churn_dataset!J576))</f>
        <v>30</v>
      </c>
      <c r="K576" s="7" t="n">
        <f aca="false">IF(ISBLANK(customer_churn_dataset!K576),0,MIN(10,MAX(0,customer_churn_dataset!K576)))</f>
        <v>10</v>
      </c>
      <c r="L576" s="7" t="n">
        <f aca="false">IF(ISBLANK(customer_churn_dataset!L576),0,MAX(0,customer_churn_dataset!L576))</f>
        <v>1</v>
      </c>
      <c r="M576" s="7" t="n">
        <f aca="false">IF(ISBLANK(customer_churn_dataset!M576),0,customer_churn_dataset!M576)</f>
        <v>0</v>
      </c>
      <c r="N576" s="7" t="n">
        <f aca="false">IF(ISBLANK(customer_churn_dataset!N576),0,MAX(0,customer_churn_dataset!N576))</f>
        <v>483.12</v>
      </c>
      <c r="O576" s="7" t="n">
        <f aca="false">IF(ISBLANK(customer_churn_dataset!O576),0,customer_churn_dataset!O576)</f>
        <v>0</v>
      </c>
      <c r="P576" s="7" t="str">
        <f aca="false">IF(COUNTIF(customer_churn_dataset!$A$2:$A$1501,customer_churn_dataset!A576)&gt;1,"Duplicate","Unique")</f>
        <v>Unique</v>
      </c>
    </row>
    <row r="577" customFormat="false" ht="14.15" hidden="false" customHeight="true" outlineLevel="0" collapsed="false">
      <c r="A577" s="7" t="str">
        <f aca="false">TRIM(customer_churn_dataset!A577)</f>
        <v>CUST100441</v>
      </c>
      <c r="B577" s="7" t="str">
        <f aca="false">PROPER(TRIM(customer_churn_dataset!B577))</f>
        <v>Premium</v>
      </c>
      <c r="C577" s="7" t="str">
        <f aca="false">PROPER(TRIM(customer_churn_dataset!C577))</f>
        <v>Month-To-Month</v>
      </c>
      <c r="D577" s="7" t="n">
        <f aca="false">IF(ISBLANK(customer_churn_dataset!D577),ROUND(MEDIAN(customer_churn_dataset!D$2:D$1501),2),IF(customer_churn_dataset!D577&lt;0,ABS(customer_churn_dataset!D577),customer_churn_dataset!D577))</f>
        <v>41.36</v>
      </c>
      <c r="E577" s="7" t="n">
        <f aca="false">IF(ISBLANK(customer_churn_dataset!E577),0,MAX(0,customer_churn_dataset!E577))</f>
        <v>10</v>
      </c>
      <c r="F577" s="8" t="n">
        <f aca="false">IF(ISBLANK(customer_churn_dataset!F577),"",customer_churn_dataset!F577)</f>
        <v>44604</v>
      </c>
      <c r="G577" s="7" t="str">
        <f aca="false">PROPER(TRIM(customer_churn_dataset!G577))</f>
        <v>Credit Card</v>
      </c>
      <c r="H577" s="7" t="n">
        <f aca="false">IF(ISBLANK(customer_churn_dataset!H577),0,customer_churn_dataset!H577)</f>
        <v>1</v>
      </c>
      <c r="I577" s="7" t="n">
        <f aca="false">IF(ISBLANK(customer_churn_dataset!I577),ROUND(MEDIAN(customer_churn_dataset!I$2:I$1501),1),MIN(100,MAX(0,customer_churn_dataset!I577)))</f>
        <v>90.9</v>
      </c>
      <c r="J577" s="7" t="n">
        <f aca="false">IF(ISBLANK(customer_churn_dataset!J577),0,MAX(0,customer_churn_dataset!J577))</f>
        <v>24</v>
      </c>
      <c r="K577" s="7" t="n">
        <f aca="false">IF(ISBLANK(customer_churn_dataset!K577),0,MIN(10,MAX(0,customer_churn_dataset!K577)))</f>
        <v>10</v>
      </c>
      <c r="L577" s="7" t="n">
        <f aca="false">IF(ISBLANK(customer_churn_dataset!L577),0,MAX(0,customer_churn_dataset!L577))</f>
        <v>1</v>
      </c>
      <c r="M577" s="7" t="n">
        <f aca="false">IF(ISBLANK(customer_churn_dataset!M577),0,customer_churn_dataset!M577)</f>
        <v>0</v>
      </c>
      <c r="N577" s="7" t="n">
        <f aca="false">IF(ISBLANK(customer_churn_dataset!N577),0,MAX(0,customer_churn_dataset!N577))</f>
        <v>413.6</v>
      </c>
      <c r="O577" s="7" t="n">
        <f aca="false">IF(ISBLANK(customer_churn_dataset!O577),0,customer_churn_dataset!O577)</f>
        <v>0</v>
      </c>
      <c r="P577" s="7" t="str">
        <f aca="false">IF(COUNTIF(customer_churn_dataset!$A$2:$A$1501,customer_churn_dataset!A577)&gt;1,"Duplicate","Unique")</f>
        <v>Unique</v>
      </c>
    </row>
    <row r="578" customFormat="false" ht="14.15" hidden="false" customHeight="true" outlineLevel="0" collapsed="false">
      <c r="A578" s="7" t="str">
        <f aca="false">TRIM(customer_churn_dataset!A578)</f>
        <v>CUST100661</v>
      </c>
      <c r="B578" s="7" t="str">
        <f aca="false">PROPER(TRIM(customer_churn_dataset!B578))</f>
        <v>Premium</v>
      </c>
      <c r="C578" s="7" t="str">
        <f aca="false">PROPER(TRIM(customer_churn_dataset!C578))</f>
        <v>Month-To-Month</v>
      </c>
      <c r="D578" s="7" t="n">
        <f aca="false">IF(ISBLANK(customer_churn_dataset!D578),ROUND(MEDIAN(customer_churn_dataset!D$2:D$1501),2),IF(customer_churn_dataset!D578&lt;0,ABS(customer_churn_dataset!D578),customer_churn_dataset!D578))</f>
        <v>40.07</v>
      </c>
      <c r="E578" s="7" t="n">
        <f aca="false">IF(ISBLANK(customer_churn_dataset!E578),0,MAX(0,customer_churn_dataset!E578))</f>
        <v>1</v>
      </c>
      <c r="F578" s="8" t="n">
        <f aca="false">IF(ISBLANK(customer_churn_dataset!F578),"",customer_churn_dataset!F578)</f>
        <v>44605</v>
      </c>
      <c r="G578" s="7" t="str">
        <f aca="false">PROPER(TRIM(customer_churn_dataset!G578))</f>
        <v>Manual/Invoice</v>
      </c>
      <c r="H578" s="7" t="n">
        <f aca="false">IF(ISBLANK(customer_churn_dataset!H578),0,customer_churn_dataset!H578)</f>
        <v>0</v>
      </c>
      <c r="I578" s="7" t="n">
        <f aca="false">IF(ISBLANK(customer_churn_dataset!I578),ROUND(MEDIAN(customer_churn_dataset!I$2:I$1501),1),MIN(100,MAX(0,customer_churn_dataset!I578)))</f>
        <v>91.9</v>
      </c>
      <c r="J578" s="7" t="n">
        <f aca="false">IF(ISBLANK(customer_churn_dataset!J578),0,MAX(0,customer_churn_dataset!J578))</f>
        <v>29</v>
      </c>
      <c r="K578" s="7" t="n">
        <f aca="false">IF(ISBLANK(customer_churn_dataset!K578),0,MIN(10,MAX(0,customer_churn_dataset!K578)))</f>
        <v>10</v>
      </c>
      <c r="L578" s="7" t="n">
        <f aca="false">IF(ISBLANK(customer_churn_dataset!L578),0,MAX(0,customer_churn_dataset!L578))</f>
        <v>1</v>
      </c>
      <c r="M578" s="7" t="n">
        <f aca="false">IF(ISBLANK(customer_churn_dataset!M578),0,customer_churn_dataset!M578)</f>
        <v>0</v>
      </c>
      <c r="N578" s="7" t="n">
        <f aca="false">IF(ISBLANK(customer_churn_dataset!N578),0,MAX(0,customer_churn_dataset!N578))</f>
        <v>40.07</v>
      </c>
      <c r="O578" s="7" t="n">
        <f aca="false">IF(ISBLANK(customer_churn_dataset!O578),0,customer_churn_dataset!O578)</f>
        <v>0</v>
      </c>
      <c r="P578" s="7" t="str">
        <f aca="false">IF(COUNTIF(customer_churn_dataset!$A$2:$A$1501,customer_churn_dataset!A578)&gt;1,"Duplicate","Unique")</f>
        <v>Unique</v>
      </c>
    </row>
    <row r="579" customFormat="false" ht="14.15" hidden="false" customHeight="true" outlineLevel="0" collapsed="false">
      <c r="A579" s="7" t="str">
        <f aca="false">TRIM(customer_churn_dataset!A579)</f>
        <v>CUST101161</v>
      </c>
      <c r="B579" s="7" t="str">
        <f aca="false">PROPER(TRIM(customer_churn_dataset!B579))</f>
        <v>Basic</v>
      </c>
      <c r="C579" s="7" t="str">
        <f aca="false">PROPER(TRIM(customer_churn_dataset!C579))</f>
        <v>Two Year</v>
      </c>
      <c r="D579" s="7" t="n">
        <f aca="false">IF(ISBLANK(customer_churn_dataset!D579),ROUND(MEDIAN(customer_churn_dataset!D$2:D$1501),2),IF(customer_churn_dataset!D579&lt;0,ABS(customer_churn_dataset!D579),customer_churn_dataset!D579))</f>
        <v>10.77</v>
      </c>
      <c r="E579" s="7" t="n">
        <f aca="false">IF(ISBLANK(customer_churn_dataset!E579),0,MAX(0,customer_churn_dataset!E579))</f>
        <v>3</v>
      </c>
      <c r="F579" s="8" t="n">
        <f aca="false">IF(ISBLANK(customer_churn_dataset!F579),"",customer_churn_dataset!F579)</f>
        <v>44607</v>
      </c>
      <c r="G579" s="7" t="str">
        <f aca="false">PROPER(TRIM(customer_churn_dataset!G579))</f>
        <v>Paypal</v>
      </c>
      <c r="H579" s="7" t="n">
        <f aca="false">IF(ISBLANK(customer_churn_dataset!H579),0,customer_churn_dataset!H579)</f>
        <v>0</v>
      </c>
      <c r="I579" s="7" t="n">
        <f aca="false">IF(ISBLANK(customer_churn_dataset!I579),ROUND(MEDIAN(customer_churn_dataset!I$2:I$1501),1),MIN(100,MAX(0,customer_churn_dataset!I579)))</f>
        <v>68.3</v>
      </c>
      <c r="J579" s="7" t="n">
        <f aca="false">IF(ISBLANK(customer_churn_dataset!J579),0,MAX(0,customer_churn_dataset!J579))</f>
        <v>21</v>
      </c>
      <c r="K579" s="7" t="n">
        <f aca="false">IF(ISBLANK(customer_churn_dataset!K579),0,MIN(10,MAX(0,customer_churn_dataset!K579)))</f>
        <v>6</v>
      </c>
      <c r="L579" s="7" t="n">
        <f aca="false">IF(ISBLANK(customer_churn_dataset!L579),0,MAX(0,customer_churn_dataset!L579))</f>
        <v>0</v>
      </c>
      <c r="M579" s="7" t="n">
        <f aca="false">IF(ISBLANK(customer_churn_dataset!M579),0,customer_churn_dataset!M579)</f>
        <v>0</v>
      </c>
      <c r="N579" s="7" t="n">
        <f aca="false">IF(ISBLANK(customer_churn_dataset!N579),0,MAX(0,customer_churn_dataset!N579))</f>
        <v>32.31</v>
      </c>
      <c r="O579" s="7" t="n">
        <f aca="false">IF(ISBLANK(customer_churn_dataset!O579),0,customer_churn_dataset!O579)</f>
        <v>0</v>
      </c>
      <c r="P579" s="7" t="str">
        <f aca="false">IF(COUNTIF(customer_churn_dataset!$A$2:$A$1501,customer_churn_dataset!A579)&gt;1,"Duplicate","Unique")</f>
        <v>Unique</v>
      </c>
    </row>
    <row r="580" customFormat="false" ht="14.15" hidden="false" customHeight="true" outlineLevel="0" collapsed="false">
      <c r="A580" s="7" t="str">
        <f aca="false">TRIM(customer_churn_dataset!A580)</f>
        <v>CUST100092</v>
      </c>
      <c r="B580" s="7" t="str">
        <f aca="false">PROPER(TRIM(customer_churn_dataset!B580))</f>
        <v>Standard</v>
      </c>
      <c r="C580" s="7" t="str">
        <f aca="false">PROPER(TRIM(customer_churn_dataset!C580))</f>
        <v>One Year</v>
      </c>
      <c r="D580" s="7" t="n">
        <f aca="false">IF(ISBLANK(customer_churn_dataset!D580),ROUND(MEDIAN(customer_churn_dataset!D$2:D$1501),2),IF(customer_churn_dataset!D580&lt;0,ABS(customer_churn_dataset!D580),customer_churn_dataset!D580))</f>
        <v>18</v>
      </c>
      <c r="E580" s="7" t="n">
        <f aca="false">IF(ISBLANK(customer_churn_dataset!E580),0,MAX(0,customer_churn_dataset!E580))</f>
        <v>4</v>
      </c>
      <c r="F580" s="8" t="n">
        <f aca="false">IF(ISBLANK(customer_churn_dataset!F580),"",customer_churn_dataset!F580)</f>
        <v>44607</v>
      </c>
      <c r="G580" s="7" t="str">
        <f aca="false">PROPER(TRIM(customer_churn_dataset!G580))</f>
        <v>Credit Card</v>
      </c>
      <c r="H580" s="7" t="n">
        <f aca="false">IF(ISBLANK(customer_churn_dataset!H580),0,customer_churn_dataset!H580)</f>
        <v>1</v>
      </c>
      <c r="I580" s="7" t="n">
        <f aca="false">IF(ISBLANK(customer_churn_dataset!I580),ROUND(MEDIAN(customer_churn_dataset!I$2:I$1501),1),MIN(100,MAX(0,customer_churn_dataset!I580)))</f>
        <v>65.1</v>
      </c>
      <c r="J580" s="7" t="n">
        <f aca="false">IF(ISBLANK(customer_churn_dataset!J580),0,MAX(0,customer_churn_dataset!J580))</f>
        <v>16</v>
      </c>
      <c r="K580" s="7" t="n">
        <f aca="false">IF(ISBLANK(customer_churn_dataset!K580),0,MIN(10,MAX(0,customer_churn_dataset!K580)))</f>
        <v>4</v>
      </c>
      <c r="L580" s="7" t="n">
        <f aca="false">IF(ISBLANK(customer_churn_dataset!L580),0,MAX(0,customer_churn_dataset!L580))</f>
        <v>2</v>
      </c>
      <c r="M580" s="7" t="n">
        <f aca="false">IF(ISBLANK(customer_churn_dataset!M580),0,customer_churn_dataset!M580)</f>
        <v>0</v>
      </c>
      <c r="N580" s="7" t="n">
        <f aca="false">IF(ISBLANK(customer_churn_dataset!N580),0,MAX(0,customer_churn_dataset!N580))</f>
        <v>72</v>
      </c>
      <c r="O580" s="7" t="n">
        <f aca="false">IF(ISBLANK(customer_churn_dataset!O580),0,customer_churn_dataset!O580)</f>
        <v>0</v>
      </c>
      <c r="P580" s="7" t="str">
        <f aca="false">IF(COUNTIF(customer_churn_dataset!$A$2:$A$1501,customer_churn_dataset!A580)&gt;1,"Duplicate","Unique")</f>
        <v>Unique</v>
      </c>
    </row>
    <row r="581" customFormat="false" ht="14.15" hidden="false" customHeight="true" outlineLevel="0" collapsed="false">
      <c r="A581" s="7" t="str">
        <f aca="false">TRIM(customer_churn_dataset!A581)</f>
        <v>CUST101263</v>
      </c>
      <c r="B581" s="7" t="str">
        <f aca="false">PROPER(TRIM(customer_churn_dataset!B581))</f>
        <v>Standard</v>
      </c>
      <c r="C581" s="7" t="str">
        <f aca="false">PROPER(TRIM(customer_churn_dataset!C581))</f>
        <v>Month-To-Month</v>
      </c>
      <c r="D581" s="7" t="n">
        <f aca="false">IF(ISBLANK(customer_churn_dataset!D581),ROUND(MEDIAN(customer_churn_dataset!D$2:D$1501),2),IF(customer_churn_dataset!D581&lt;0,ABS(customer_churn_dataset!D581),customer_churn_dataset!D581))</f>
        <v>19.95</v>
      </c>
      <c r="E581" s="7" t="n">
        <f aca="false">IF(ISBLANK(customer_churn_dataset!E581),0,MAX(0,customer_churn_dataset!E581))</f>
        <v>7</v>
      </c>
      <c r="F581" s="8" t="n">
        <f aca="false">IF(ISBLANK(customer_churn_dataset!F581),"",customer_churn_dataset!F581)</f>
        <v>44608</v>
      </c>
      <c r="G581" s="7" t="str">
        <f aca="false">PROPER(TRIM(customer_churn_dataset!G581))</f>
        <v>Bank Transfer</v>
      </c>
      <c r="H581" s="7" t="n">
        <f aca="false">IF(ISBLANK(customer_churn_dataset!H581),0,customer_churn_dataset!H581)</f>
        <v>1</v>
      </c>
      <c r="I581" s="7" t="n">
        <f aca="false">IF(ISBLANK(customer_churn_dataset!I581),ROUND(MEDIAN(customer_churn_dataset!I$2:I$1501),1),MIN(100,MAX(0,customer_churn_dataset!I581)))</f>
        <v>32</v>
      </c>
      <c r="J581" s="7" t="n">
        <f aca="false">IF(ISBLANK(customer_churn_dataset!J581),0,MAX(0,customer_churn_dataset!J581))</f>
        <v>9</v>
      </c>
      <c r="K581" s="7" t="n">
        <f aca="false">IF(ISBLANK(customer_churn_dataset!K581),0,MIN(10,MAX(0,customer_churn_dataset!K581)))</f>
        <v>2</v>
      </c>
      <c r="L581" s="7" t="n">
        <f aca="false">IF(ISBLANK(customer_churn_dataset!L581),0,MAX(0,customer_churn_dataset!L581))</f>
        <v>1</v>
      </c>
      <c r="M581" s="7" t="n">
        <f aca="false">IF(ISBLANK(customer_churn_dataset!M581),0,customer_churn_dataset!M581)</f>
        <v>1</v>
      </c>
      <c r="N581" s="7" t="n">
        <f aca="false">IF(ISBLANK(customer_churn_dataset!N581),0,MAX(0,customer_churn_dataset!N581))</f>
        <v>139.65</v>
      </c>
      <c r="O581" s="7" t="n">
        <f aca="false">IF(ISBLANK(customer_churn_dataset!O581),0,customer_churn_dataset!O581)</f>
        <v>0</v>
      </c>
      <c r="P581" s="7" t="str">
        <f aca="false">IF(COUNTIF(customer_churn_dataset!$A$2:$A$1501,customer_churn_dataset!A581)&gt;1,"Duplicate","Unique")</f>
        <v>Unique</v>
      </c>
    </row>
    <row r="582" customFormat="false" ht="14.15" hidden="false" customHeight="true" outlineLevel="0" collapsed="false">
      <c r="A582" s="7" t="str">
        <f aca="false">TRIM(customer_churn_dataset!A582)</f>
        <v>CUST100007</v>
      </c>
      <c r="B582" s="7" t="str">
        <f aca="false">PROPER(TRIM(customer_churn_dataset!B582))</f>
        <v>Premium</v>
      </c>
      <c r="C582" s="7" t="str">
        <f aca="false">PROPER(TRIM(customer_churn_dataset!C582))</f>
        <v>One Year</v>
      </c>
      <c r="D582" s="7" t="n">
        <f aca="false">IF(ISBLANK(customer_churn_dataset!D582),ROUND(MEDIAN(customer_churn_dataset!D$2:D$1501),2),IF(customer_churn_dataset!D582&lt;0,ABS(customer_churn_dataset!D582),customer_churn_dataset!D582))</f>
        <v>40.55</v>
      </c>
      <c r="E582" s="7" t="n">
        <f aca="false">IF(ISBLANK(customer_churn_dataset!E582),0,MAX(0,customer_churn_dataset!E582))</f>
        <v>5</v>
      </c>
      <c r="F582" s="8" t="n">
        <f aca="false">IF(ISBLANK(customer_churn_dataset!F582),"",customer_churn_dataset!F582)</f>
        <v>44611</v>
      </c>
      <c r="G582" s="7" t="str">
        <f aca="false">PROPER(TRIM(customer_churn_dataset!G582))</f>
        <v>Manual/Invoice</v>
      </c>
      <c r="H582" s="7" t="n">
        <f aca="false">IF(ISBLANK(customer_churn_dataset!H582),0,customer_churn_dataset!H582)</f>
        <v>1</v>
      </c>
      <c r="I582" s="7" t="n">
        <f aca="false">IF(ISBLANK(customer_churn_dataset!I582),ROUND(MEDIAN(customer_churn_dataset!I$2:I$1501),1),MIN(100,MAX(0,customer_churn_dataset!I582)))</f>
        <v>57.6</v>
      </c>
      <c r="J582" s="7" t="n">
        <f aca="false">IF(ISBLANK(customer_churn_dataset!J582),0,MAX(0,customer_churn_dataset!J582))</f>
        <v>17</v>
      </c>
      <c r="K582" s="7" t="n">
        <f aca="false">IF(ISBLANK(customer_churn_dataset!K582),0,MIN(10,MAX(0,customer_churn_dataset!K582)))</f>
        <v>3</v>
      </c>
      <c r="L582" s="7" t="n">
        <f aca="false">IF(ISBLANK(customer_churn_dataset!L582),0,MAX(0,customer_churn_dataset!L582))</f>
        <v>3</v>
      </c>
      <c r="M582" s="7" t="n">
        <f aca="false">IF(ISBLANK(customer_churn_dataset!M582),0,customer_churn_dataset!M582)</f>
        <v>0</v>
      </c>
      <c r="N582" s="7" t="n">
        <f aca="false">IF(ISBLANK(customer_churn_dataset!N582),0,MAX(0,customer_churn_dataset!N582))</f>
        <v>202.75</v>
      </c>
      <c r="O582" s="7" t="n">
        <f aca="false">IF(ISBLANK(customer_churn_dataset!O582),0,customer_churn_dataset!O582)</f>
        <v>0</v>
      </c>
      <c r="P582" s="7" t="str">
        <f aca="false">IF(COUNTIF(customer_churn_dataset!$A$2:$A$1501,customer_churn_dataset!A582)&gt;1,"Duplicate","Unique")</f>
        <v>Unique</v>
      </c>
    </row>
    <row r="583" customFormat="false" ht="14.15" hidden="false" customHeight="true" outlineLevel="0" collapsed="false">
      <c r="A583" s="7" t="str">
        <f aca="false">TRIM(customer_churn_dataset!A583)</f>
        <v>CUST101436</v>
      </c>
      <c r="B583" s="7" t="str">
        <f aca="false">PROPER(TRIM(customer_churn_dataset!B583))</f>
        <v>Basic</v>
      </c>
      <c r="C583" s="7" t="str">
        <f aca="false">PROPER(TRIM(customer_churn_dataset!C583))</f>
        <v>Two Year</v>
      </c>
      <c r="D583" s="7" t="n">
        <f aca="false">IF(ISBLANK(customer_churn_dataset!D583),ROUND(MEDIAN(customer_churn_dataset!D$2:D$1501),2),IF(customer_churn_dataset!D583&lt;0,ABS(customer_churn_dataset!D583),customer_churn_dataset!D583))</f>
        <v>9.38</v>
      </c>
      <c r="E583" s="7" t="n">
        <f aca="false">IF(ISBLANK(customer_churn_dataset!E583),0,MAX(0,customer_churn_dataset!E583))</f>
        <v>14</v>
      </c>
      <c r="F583" s="8" t="n">
        <f aca="false">IF(ISBLANK(customer_churn_dataset!F583),"",customer_churn_dataset!F583)</f>
        <v>44611</v>
      </c>
      <c r="G583" s="7" t="str">
        <f aca="false">PROPER(TRIM(customer_churn_dataset!G583))</f>
        <v>Manual/Invoice</v>
      </c>
      <c r="H583" s="7" t="n">
        <f aca="false">IF(ISBLANK(customer_churn_dataset!H583),0,customer_churn_dataset!H583)</f>
        <v>1</v>
      </c>
      <c r="I583" s="7" t="n">
        <f aca="false">IF(ISBLANK(customer_churn_dataset!I583),ROUND(MEDIAN(customer_churn_dataset!I$2:I$1501),1),MIN(100,MAX(0,customer_churn_dataset!I583)))</f>
        <v>33</v>
      </c>
      <c r="J583" s="7" t="n">
        <f aca="false">IF(ISBLANK(customer_churn_dataset!J583),0,MAX(0,customer_churn_dataset!J583))</f>
        <v>9</v>
      </c>
      <c r="K583" s="7" t="n">
        <f aca="false">IF(ISBLANK(customer_churn_dataset!K583),0,MIN(10,MAX(0,customer_churn_dataset!K583)))</f>
        <v>2</v>
      </c>
      <c r="L583" s="7" t="n">
        <f aca="false">IF(ISBLANK(customer_churn_dataset!L583),0,MAX(0,customer_churn_dataset!L583))</f>
        <v>3</v>
      </c>
      <c r="M583" s="7" t="n">
        <f aca="false">IF(ISBLANK(customer_churn_dataset!M583),0,customer_churn_dataset!M583)</f>
        <v>0</v>
      </c>
      <c r="N583" s="7" t="n">
        <f aca="false">IF(ISBLANK(customer_churn_dataset!N583),0,MAX(0,customer_churn_dataset!N583))</f>
        <v>131.32</v>
      </c>
      <c r="O583" s="7" t="n">
        <f aca="false">IF(ISBLANK(customer_churn_dataset!O583),0,customer_churn_dataset!O583)</f>
        <v>0</v>
      </c>
      <c r="P583" s="7" t="str">
        <f aca="false">IF(COUNTIF(customer_churn_dataset!$A$2:$A$1501,customer_churn_dataset!A583)&gt;1,"Duplicate","Unique")</f>
        <v>Unique</v>
      </c>
    </row>
    <row r="584" customFormat="false" ht="14.15" hidden="false" customHeight="true" outlineLevel="0" collapsed="false">
      <c r="A584" s="7" t="str">
        <f aca="false">TRIM(customer_churn_dataset!A584)</f>
        <v>CUST100431</v>
      </c>
      <c r="B584" s="7" t="str">
        <f aca="false">PROPER(TRIM(customer_churn_dataset!B584))</f>
        <v>Standard</v>
      </c>
      <c r="C584" s="7" t="str">
        <f aca="false">PROPER(TRIM(customer_churn_dataset!C584))</f>
        <v>Month-To-Month</v>
      </c>
      <c r="D584" s="7" t="n">
        <f aca="false">IF(ISBLANK(customer_churn_dataset!D584),ROUND(MEDIAN(customer_churn_dataset!D$2:D$1501),2),IF(customer_churn_dataset!D584&lt;0,ABS(customer_churn_dataset!D584),customer_churn_dataset!D584))</f>
        <v>17.07</v>
      </c>
      <c r="E584" s="7" t="n">
        <f aca="false">IF(ISBLANK(customer_churn_dataset!E584),0,MAX(0,customer_churn_dataset!E584))</f>
        <v>20</v>
      </c>
      <c r="F584" s="8" t="n">
        <f aca="false">IF(ISBLANK(customer_churn_dataset!F584),"",customer_churn_dataset!F584)</f>
        <v>44613</v>
      </c>
      <c r="G584" s="7" t="str">
        <f aca="false">PROPER(TRIM(customer_churn_dataset!G584))</f>
        <v>Credit Card</v>
      </c>
      <c r="H584" s="7" t="n">
        <f aca="false">IF(ISBLANK(customer_churn_dataset!H584),0,customer_churn_dataset!H584)</f>
        <v>1</v>
      </c>
      <c r="I584" s="7" t="n">
        <f aca="false">IF(ISBLANK(customer_churn_dataset!I584),ROUND(MEDIAN(customer_churn_dataset!I$2:I$1501),1),MIN(100,MAX(0,customer_churn_dataset!I584)))</f>
        <v>64.1</v>
      </c>
      <c r="J584" s="7" t="n">
        <f aca="false">IF(ISBLANK(customer_churn_dataset!J584),0,MAX(0,customer_churn_dataset!J584))</f>
        <v>22</v>
      </c>
      <c r="K584" s="7" t="n">
        <f aca="false">IF(ISBLANK(customer_churn_dataset!K584),0,MIN(10,MAX(0,customer_churn_dataset!K584)))</f>
        <v>6</v>
      </c>
      <c r="L584" s="7" t="n">
        <f aca="false">IF(ISBLANK(customer_churn_dataset!L584),0,MAX(0,customer_churn_dataset!L584))</f>
        <v>1</v>
      </c>
      <c r="M584" s="7" t="n">
        <f aca="false">IF(ISBLANK(customer_churn_dataset!M584),0,customer_churn_dataset!M584)</f>
        <v>1</v>
      </c>
      <c r="N584" s="7" t="n">
        <f aca="false">IF(ISBLANK(customer_churn_dataset!N584),0,MAX(0,customer_churn_dataset!N584))</f>
        <v>341.4</v>
      </c>
      <c r="O584" s="7" t="n">
        <f aca="false">IF(ISBLANK(customer_churn_dataset!O584),0,customer_churn_dataset!O584)</f>
        <v>1</v>
      </c>
      <c r="P584" s="7" t="str">
        <f aca="false">IF(COUNTIF(customer_churn_dataset!$A$2:$A$1501,customer_churn_dataset!A584)&gt;1,"Duplicate","Unique")</f>
        <v>Unique</v>
      </c>
    </row>
    <row r="585" customFormat="false" ht="14.15" hidden="false" customHeight="true" outlineLevel="0" collapsed="false">
      <c r="A585" s="7" t="str">
        <f aca="false">TRIM(customer_churn_dataset!A585)</f>
        <v>CUST100779</v>
      </c>
      <c r="B585" s="7" t="str">
        <f aca="false">PROPER(TRIM(customer_churn_dataset!B585))</f>
        <v>Standard</v>
      </c>
      <c r="C585" s="7" t="str">
        <f aca="false">PROPER(TRIM(customer_churn_dataset!C585))</f>
        <v>One Year</v>
      </c>
      <c r="D585" s="7" t="n">
        <f aca="false">IF(ISBLANK(customer_churn_dataset!D585),ROUND(MEDIAN(customer_churn_dataset!D$2:D$1501),2),IF(customer_churn_dataset!D585&lt;0,ABS(customer_churn_dataset!D585),customer_churn_dataset!D585))</f>
        <v>20.09</v>
      </c>
      <c r="E585" s="7" t="n">
        <f aca="false">IF(ISBLANK(customer_churn_dataset!E585),0,MAX(0,customer_churn_dataset!E585))</f>
        <v>7</v>
      </c>
      <c r="F585" s="8" t="n">
        <f aca="false">IF(ISBLANK(customer_churn_dataset!F585),"",customer_churn_dataset!F585)</f>
        <v>44615</v>
      </c>
      <c r="G585" s="7" t="str">
        <f aca="false">PROPER(TRIM(customer_churn_dataset!G585))</f>
        <v>Bank Transfer</v>
      </c>
      <c r="H585" s="7" t="n">
        <f aca="false">IF(ISBLANK(customer_churn_dataset!H585),0,customer_churn_dataset!H585)</f>
        <v>1</v>
      </c>
      <c r="I585" s="7" t="n">
        <f aca="false">IF(ISBLANK(customer_churn_dataset!I585),ROUND(MEDIAN(customer_churn_dataset!I$2:I$1501),1),MIN(100,MAX(0,customer_churn_dataset!I585)))</f>
        <v>16</v>
      </c>
      <c r="J585" s="7" t="n">
        <f aca="false">IF(ISBLANK(customer_churn_dataset!J585),0,MAX(0,customer_churn_dataset!J585))</f>
        <v>0</v>
      </c>
      <c r="K585" s="7" t="n">
        <f aca="false">IF(ISBLANK(customer_churn_dataset!K585),0,MIN(10,MAX(0,customer_churn_dataset!K585)))</f>
        <v>0</v>
      </c>
      <c r="L585" s="7" t="n">
        <f aca="false">IF(ISBLANK(customer_churn_dataset!L585),0,MAX(0,customer_churn_dataset!L585))</f>
        <v>2</v>
      </c>
      <c r="M585" s="7" t="n">
        <f aca="false">IF(ISBLANK(customer_churn_dataset!M585),0,customer_churn_dataset!M585)</f>
        <v>0</v>
      </c>
      <c r="N585" s="7" t="n">
        <f aca="false">IF(ISBLANK(customer_churn_dataset!N585),0,MAX(0,customer_churn_dataset!N585))</f>
        <v>140.63</v>
      </c>
      <c r="O585" s="7" t="n">
        <f aca="false">IF(ISBLANK(customer_churn_dataset!O585),0,customer_churn_dataset!O585)</f>
        <v>0</v>
      </c>
      <c r="P585" s="7" t="str">
        <f aca="false">IF(COUNTIF(customer_churn_dataset!$A$2:$A$1501,customer_churn_dataset!A585)&gt;1,"Duplicate","Unique")</f>
        <v>Unique</v>
      </c>
    </row>
    <row r="586" customFormat="false" ht="14.15" hidden="false" customHeight="true" outlineLevel="0" collapsed="false">
      <c r="A586" s="7" t="str">
        <f aca="false">TRIM(customer_churn_dataset!A586)</f>
        <v>CUST100218</v>
      </c>
      <c r="B586" s="7" t="str">
        <f aca="false">PROPER(TRIM(customer_churn_dataset!B586))</f>
        <v>Standard</v>
      </c>
      <c r="C586" s="7" t="str">
        <f aca="false">PROPER(TRIM(customer_churn_dataset!C586))</f>
        <v>Month-To-Month</v>
      </c>
      <c r="D586" s="7" t="n">
        <f aca="false">IF(ISBLANK(customer_churn_dataset!D586),ROUND(MEDIAN(customer_churn_dataset!D$2:D$1501),2),IF(customer_churn_dataset!D586&lt;0,ABS(customer_churn_dataset!D586),customer_churn_dataset!D586))</f>
        <v>19.38</v>
      </c>
      <c r="E586" s="7" t="n">
        <f aca="false">IF(ISBLANK(customer_churn_dataset!E586),0,MAX(0,customer_churn_dataset!E586))</f>
        <v>4</v>
      </c>
      <c r="F586" s="8" t="n">
        <f aca="false">IF(ISBLANK(customer_churn_dataset!F586),"",customer_churn_dataset!F586)</f>
        <v>44616</v>
      </c>
      <c r="G586" s="7" t="str">
        <f aca="false">PROPER(TRIM(customer_churn_dataset!G586))</f>
        <v>Paypal</v>
      </c>
      <c r="H586" s="7" t="n">
        <f aca="false">IF(ISBLANK(customer_churn_dataset!H586),0,customer_churn_dataset!H586)</f>
        <v>0</v>
      </c>
      <c r="I586" s="7" t="n">
        <f aca="false">IF(ISBLANK(customer_churn_dataset!I586),ROUND(MEDIAN(customer_churn_dataset!I$2:I$1501),1),MIN(100,MAX(0,customer_churn_dataset!I586)))</f>
        <v>64.8</v>
      </c>
      <c r="J586" s="7" t="n">
        <f aca="false">IF(ISBLANK(customer_churn_dataset!J586),0,MAX(0,customer_churn_dataset!J586))</f>
        <v>17</v>
      </c>
      <c r="K586" s="7" t="n">
        <f aca="false">IF(ISBLANK(customer_churn_dataset!K586),0,MIN(10,MAX(0,customer_churn_dataset!K586)))</f>
        <v>7</v>
      </c>
      <c r="L586" s="7" t="n">
        <f aca="false">IF(ISBLANK(customer_churn_dataset!L586),0,MAX(0,customer_churn_dataset!L586))</f>
        <v>1</v>
      </c>
      <c r="M586" s="7" t="n">
        <f aca="false">IF(ISBLANK(customer_churn_dataset!M586),0,customer_churn_dataset!M586)</f>
        <v>1</v>
      </c>
      <c r="N586" s="7" t="n">
        <f aca="false">IF(ISBLANK(customer_churn_dataset!N586),0,MAX(0,customer_churn_dataset!N586))</f>
        <v>77.52</v>
      </c>
      <c r="O586" s="7" t="n">
        <f aca="false">IF(ISBLANK(customer_churn_dataset!O586),0,customer_churn_dataset!O586)</f>
        <v>1</v>
      </c>
      <c r="P586" s="7" t="str">
        <f aca="false">IF(COUNTIF(customer_churn_dataset!$A$2:$A$1501,customer_churn_dataset!A586)&gt;1,"Duplicate","Unique")</f>
        <v>Unique</v>
      </c>
    </row>
    <row r="587" customFormat="false" ht="14.15" hidden="false" customHeight="true" outlineLevel="0" collapsed="false">
      <c r="A587" s="7" t="str">
        <f aca="false">TRIM(customer_churn_dataset!A587)</f>
        <v>CUST101184</v>
      </c>
      <c r="B587" s="7" t="str">
        <f aca="false">PROPER(TRIM(customer_churn_dataset!B587))</f>
        <v>Basic</v>
      </c>
      <c r="C587" s="7" t="str">
        <f aca="false">PROPER(TRIM(customer_churn_dataset!C587))</f>
        <v>Two Year</v>
      </c>
      <c r="D587" s="7" t="n">
        <f aca="false">IF(ISBLANK(customer_churn_dataset!D587),ROUND(MEDIAN(customer_churn_dataset!D$2:D$1501),2),IF(customer_churn_dataset!D587&lt;0,ABS(customer_churn_dataset!D587),customer_churn_dataset!D587))</f>
        <v>7.84</v>
      </c>
      <c r="E587" s="7" t="n">
        <f aca="false">IF(ISBLANK(customer_churn_dataset!E587),0,MAX(0,customer_churn_dataset!E587))</f>
        <v>15</v>
      </c>
      <c r="F587" s="8" t="n">
        <f aca="false">IF(ISBLANK(customer_churn_dataset!F587),"",customer_churn_dataset!F587)</f>
        <v>44618</v>
      </c>
      <c r="G587" s="7" t="str">
        <f aca="false">PROPER(TRIM(customer_churn_dataset!G587))</f>
        <v>Manual/Invoice</v>
      </c>
      <c r="H587" s="7" t="n">
        <f aca="false">IF(ISBLANK(customer_churn_dataset!H587),0,customer_churn_dataset!H587)</f>
        <v>1</v>
      </c>
      <c r="I587" s="7" t="n">
        <f aca="false">IF(ISBLANK(customer_churn_dataset!I587),ROUND(MEDIAN(customer_churn_dataset!I$2:I$1501),1),MIN(100,MAX(0,customer_churn_dataset!I587)))</f>
        <v>50</v>
      </c>
      <c r="J587" s="7" t="n">
        <f aca="false">IF(ISBLANK(customer_churn_dataset!J587),0,MAX(0,customer_churn_dataset!J587))</f>
        <v>22</v>
      </c>
      <c r="K587" s="7" t="n">
        <f aca="false">IF(ISBLANK(customer_churn_dataset!K587),0,MIN(10,MAX(0,customer_churn_dataset!K587)))</f>
        <v>4</v>
      </c>
      <c r="L587" s="7" t="n">
        <f aca="false">IF(ISBLANK(customer_churn_dataset!L587),0,MAX(0,customer_churn_dataset!L587))</f>
        <v>4</v>
      </c>
      <c r="M587" s="7" t="n">
        <f aca="false">IF(ISBLANK(customer_churn_dataset!M587),0,customer_churn_dataset!M587)</f>
        <v>0</v>
      </c>
      <c r="N587" s="7" t="n">
        <f aca="false">IF(ISBLANK(customer_churn_dataset!N587),0,MAX(0,customer_churn_dataset!N587))</f>
        <v>117.6</v>
      </c>
      <c r="O587" s="7" t="n">
        <f aca="false">IF(ISBLANK(customer_churn_dataset!O587),0,customer_churn_dataset!O587)</f>
        <v>0</v>
      </c>
      <c r="P587" s="7" t="str">
        <f aca="false">IF(COUNTIF(customer_churn_dataset!$A$2:$A$1501,customer_churn_dataset!A587)&gt;1,"Duplicate","Unique")</f>
        <v>Unique</v>
      </c>
    </row>
    <row r="588" customFormat="false" ht="14.15" hidden="false" customHeight="true" outlineLevel="0" collapsed="false">
      <c r="A588" s="7" t="str">
        <f aca="false">TRIM(customer_churn_dataset!A588)</f>
        <v>CUST100654</v>
      </c>
      <c r="B588" s="7" t="str">
        <f aca="false">PROPER(TRIM(customer_churn_dataset!B588))</f>
        <v>Basic</v>
      </c>
      <c r="C588" s="7" t="str">
        <f aca="false">PROPER(TRIM(customer_churn_dataset!C588))</f>
        <v>Month-To-Month</v>
      </c>
      <c r="D588" s="7" t="n">
        <f aca="false">IF(ISBLANK(customer_churn_dataset!D588),ROUND(MEDIAN(customer_churn_dataset!D$2:D$1501),2),IF(customer_churn_dataset!D588&lt;0,ABS(customer_churn_dataset!D588),customer_churn_dataset!D588))</f>
        <v>9.72</v>
      </c>
      <c r="E588" s="7" t="n">
        <f aca="false">IF(ISBLANK(customer_churn_dataset!E588),0,MAX(0,customer_churn_dataset!E588))</f>
        <v>39</v>
      </c>
      <c r="F588" s="8" t="n">
        <f aca="false">IF(ISBLANK(customer_churn_dataset!F588),"",customer_churn_dataset!F588)</f>
        <v>44621</v>
      </c>
      <c r="G588" s="7" t="str">
        <f aca="false">PROPER(TRIM(customer_churn_dataset!G588))</f>
        <v>Paypal</v>
      </c>
      <c r="H588" s="7" t="n">
        <f aca="false">IF(ISBLANK(customer_churn_dataset!H588),0,customer_churn_dataset!H588)</f>
        <v>0</v>
      </c>
      <c r="I588" s="7" t="n">
        <f aca="false">IF(ISBLANK(customer_churn_dataset!I588),ROUND(MEDIAN(customer_churn_dataset!I$2:I$1501),1),MIN(100,MAX(0,customer_churn_dataset!I588)))</f>
        <v>55.4</v>
      </c>
      <c r="J588" s="7" t="n">
        <f aca="false">IF(ISBLANK(customer_churn_dataset!J588),0,MAX(0,customer_churn_dataset!J588))</f>
        <v>25</v>
      </c>
      <c r="K588" s="7" t="n">
        <f aca="false">IF(ISBLANK(customer_churn_dataset!K588),0,MIN(10,MAX(0,customer_churn_dataset!K588)))</f>
        <v>5</v>
      </c>
      <c r="L588" s="7" t="n">
        <f aca="false">IF(ISBLANK(customer_churn_dataset!L588),0,MAX(0,customer_churn_dataset!L588))</f>
        <v>0</v>
      </c>
      <c r="M588" s="7" t="n">
        <f aca="false">IF(ISBLANK(customer_churn_dataset!M588),0,customer_churn_dataset!M588)</f>
        <v>0</v>
      </c>
      <c r="N588" s="7" t="n">
        <f aca="false">IF(ISBLANK(customer_churn_dataset!N588),0,MAX(0,customer_churn_dataset!N588))</f>
        <v>379.08</v>
      </c>
      <c r="O588" s="7" t="n">
        <f aca="false">IF(ISBLANK(customer_churn_dataset!O588),0,customer_churn_dataset!O588)</f>
        <v>0</v>
      </c>
      <c r="P588" s="7" t="str">
        <f aca="false">IF(COUNTIF(customer_churn_dataset!$A$2:$A$1501,customer_churn_dataset!A588)&gt;1,"Duplicate","Unique")</f>
        <v>Unique</v>
      </c>
    </row>
    <row r="589" customFormat="false" ht="14.15" hidden="false" customHeight="true" outlineLevel="0" collapsed="false">
      <c r="A589" s="7" t="str">
        <f aca="false">TRIM(customer_churn_dataset!A589)</f>
        <v>CUST100280</v>
      </c>
      <c r="B589" s="7" t="str">
        <f aca="false">PROPER(TRIM(customer_churn_dataset!B589))</f>
        <v>Premium</v>
      </c>
      <c r="C589" s="7" t="str">
        <f aca="false">PROPER(TRIM(customer_churn_dataset!C589))</f>
        <v>Month-To-Month</v>
      </c>
      <c r="D589" s="7" t="n">
        <f aca="false">IF(ISBLANK(customer_churn_dataset!D589),ROUND(MEDIAN(customer_churn_dataset!D$2:D$1501),2),IF(customer_churn_dataset!D589&lt;0,ABS(customer_churn_dataset!D589),customer_churn_dataset!D589))</f>
        <v>40.65</v>
      </c>
      <c r="E589" s="7" t="n">
        <f aca="false">IF(ISBLANK(customer_churn_dataset!E589),0,MAX(0,customer_churn_dataset!E589))</f>
        <v>23</v>
      </c>
      <c r="F589" s="8" t="n">
        <f aca="false">IF(ISBLANK(customer_churn_dataset!F589),"",customer_churn_dataset!F589)</f>
        <v>44621</v>
      </c>
      <c r="G589" s="7" t="str">
        <f aca="false">PROPER(TRIM(customer_churn_dataset!G589))</f>
        <v>Bank Transfer</v>
      </c>
      <c r="H589" s="7" t="n">
        <f aca="false">IF(ISBLANK(customer_churn_dataset!H589),0,customer_churn_dataset!H589)</f>
        <v>1</v>
      </c>
      <c r="I589" s="7" t="n">
        <f aca="false">IF(ISBLANK(customer_churn_dataset!I589),ROUND(MEDIAN(customer_churn_dataset!I$2:I$1501),1),MIN(100,MAX(0,customer_churn_dataset!I589)))</f>
        <v>68.9</v>
      </c>
      <c r="J589" s="7" t="n">
        <f aca="false">IF(ISBLANK(customer_churn_dataset!J589),0,MAX(0,customer_churn_dataset!J589))</f>
        <v>17</v>
      </c>
      <c r="K589" s="7" t="n">
        <f aca="false">IF(ISBLANK(customer_churn_dataset!K589),0,MIN(10,MAX(0,customer_churn_dataset!K589)))</f>
        <v>8</v>
      </c>
      <c r="L589" s="7" t="n">
        <f aca="false">IF(ISBLANK(customer_churn_dataset!L589),0,MAX(0,customer_churn_dataset!L589))</f>
        <v>4</v>
      </c>
      <c r="M589" s="7" t="n">
        <f aca="false">IF(ISBLANK(customer_churn_dataset!M589),0,customer_churn_dataset!M589)</f>
        <v>1</v>
      </c>
      <c r="N589" s="7" t="n">
        <f aca="false">IF(ISBLANK(customer_churn_dataset!N589),0,MAX(0,customer_churn_dataset!N589))</f>
        <v>934.95</v>
      </c>
      <c r="O589" s="7" t="n">
        <f aca="false">IF(ISBLANK(customer_churn_dataset!O589),0,customer_churn_dataset!O589)</f>
        <v>0</v>
      </c>
      <c r="P589" s="7" t="str">
        <f aca="false">IF(COUNTIF(customer_churn_dataset!$A$2:$A$1501,customer_churn_dataset!A589)&gt;1,"Duplicate","Unique")</f>
        <v>Unique</v>
      </c>
    </row>
    <row r="590" customFormat="false" ht="14.15" hidden="false" customHeight="true" outlineLevel="0" collapsed="false">
      <c r="A590" s="7" t="str">
        <f aca="false">TRIM(customer_churn_dataset!A590)</f>
        <v>CUST100119</v>
      </c>
      <c r="B590" s="7" t="str">
        <f aca="false">PROPER(TRIM(customer_churn_dataset!B590))</f>
        <v>Standard</v>
      </c>
      <c r="C590" s="7" t="str">
        <f aca="false">PROPER(TRIM(customer_churn_dataset!C590))</f>
        <v>One Year</v>
      </c>
      <c r="D590" s="7" t="n">
        <f aca="false">IF(ISBLANK(customer_churn_dataset!D590),ROUND(MEDIAN(customer_churn_dataset!D$2:D$1501),2),IF(customer_churn_dataset!D590&lt;0,ABS(customer_churn_dataset!D590),customer_churn_dataset!D590))</f>
        <v>19.68</v>
      </c>
      <c r="E590" s="7" t="n">
        <f aca="false">IF(ISBLANK(customer_churn_dataset!E590),0,MAX(0,customer_churn_dataset!E590))</f>
        <v>3</v>
      </c>
      <c r="F590" s="8" t="n">
        <f aca="false">IF(ISBLANK(customer_churn_dataset!F590),"",customer_churn_dataset!F590)</f>
        <v>44622</v>
      </c>
      <c r="G590" s="7" t="str">
        <f aca="false">PROPER(TRIM(customer_churn_dataset!G590))</f>
        <v>Paypal</v>
      </c>
      <c r="H590" s="7" t="n">
        <f aca="false">IF(ISBLANK(customer_churn_dataset!H590),0,customer_churn_dataset!H590)</f>
        <v>1</v>
      </c>
      <c r="I590" s="7" t="n">
        <f aca="false">IF(ISBLANK(customer_churn_dataset!I590),ROUND(MEDIAN(customer_churn_dataset!I$2:I$1501),1),MIN(100,MAX(0,customer_churn_dataset!I590)))</f>
        <v>52.9</v>
      </c>
      <c r="J590" s="7" t="n">
        <f aca="false">IF(ISBLANK(customer_churn_dataset!J590),0,MAX(0,customer_churn_dataset!J590))</f>
        <v>17</v>
      </c>
      <c r="K590" s="7" t="n">
        <f aca="false">IF(ISBLANK(customer_churn_dataset!K590),0,MIN(10,MAX(0,customer_churn_dataset!K590)))</f>
        <v>4</v>
      </c>
      <c r="L590" s="7" t="n">
        <f aca="false">IF(ISBLANK(customer_churn_dataset!L590),0,MAX(0,customer_churn_dataset!L590))</f>
        <v>0</v>
      </c>
      <c r="M590" s="7" t="n">
        <f aca="false">IF(ISBLANK(customer_churn_dataset!M590),0,customer_churn_dataset!M590)</f>
        <v>0</v>
      </c>
      <c r="N590" s="7" t="n">
        <f aca="false">IF(ISBLANK(customer_churn_dataset!N590),0,MAX(0,customer_churn_dataset!N590))</f>
        <v>59.04</v>
      </c>
      <c r="O590" s="7" t="n">
        <f aca="false">IF(ISBLANK(customer_churn_dataset!O590),0,customer_churn_dataset!O590)</f>
        <v>0</v>
      </c>
      <c r="P590" s="7" t="str">
        <f aca="false">IF(COUNTIF(customer_churn_dataset!$A$2:$A$1501,customer_churn_dataset!A590)&gt;1,"Duplicate","Unique")</f>
        <v>Unique</v>
      </c>
    </row>
    <row r="591" customFormat="false" ht="14.15" hidden="false" customHeight="true" outlineLevel="0" collapsed="false">
      <c r="A591" s="7" t="str">
        <f aca="false">TRIM(customer_churn_dataset!A591)</f>
        <v>CUST100769</v>
      </c>
      <c r="B591" s="7" t="str">
        <f aca="false">PROPER(TRIM(customer_churn_dataset!B591))</f>
        <v>Premium</v>
      </c>
      <c r="C591" s="7" t="str">
        <f aca="false">PROPER(TRIM(customer_churn_dataset!C591))</f>
        <v>Month-To-Month</v>
      </c>
      <c r="D591" s="7" t="n">
        <f aca="false">IF(ISBLANK(customer_churn_dataset!D591),ROUND(MEDIAN(customer_churn_dataset!D$2:D$1501),2),IF(customer_churn_dataset!D591&lt;0,ABS(customer_churn_dataset!D591),customer_churn_dataset!D591))</f>
        <v>41.95</v>
      </c>
      <c r="E591" s="7" t="n">
        <f aca="false">IF(ISBLANK(customer_churn_dataset!E591),0,MAX(0,customer_churn_dataset!E591))</f>
        <v>1</v>
      </c>
      <c r="F591" s="8" t="n">
        <f aca="false">IF(ISBLANK(customer_churn_dataset!F591),"",customer_churn_dataset!F591)</f>
        <v>44626</v>
      </c>
      <c r="G591" s="7" t="str">
        <f aca="false">PROPER(TRIM(customer_churn_dataset!G591))</f>
        <v>Bank Transfer</v>
      </c>
      <c r="H591" s="7" t="n">
        <f aca="false">IF(ISBLANK(customer_churn_dataset!H591),0,customer_churn_dataset!H591)</f>
        <v>1</v>
      </c>
      <c r="I591" s="7" t="n">
        <f aca="false">IF(ISBLANK(customer_churn_dataset!I591),ROUND(MEDIAN(customer_churn_dataset!I$2:I$1501),1),MIN(100,MAX(0,customer_churn_dataset!I591)))</f>
        <v>71.5</v>
      </c>
      <c r="J591" s="7" t="n">
        <f aca="false">IF(ISBLANK(customer_churn_dataset!J591),0,MAX(0,customer_churn_dataset!J591))</f>
        <v>19</v>
      </c>
      <c r="K591" s="7" t="n">
        <f aca="false">IF(ISBLANK(customer_churn_dataset!K591),0,MIN(10,MAX(0,customer_churn_dataset!K591)))</f>
        <v>6</v>
      </c>
      <c r="L591" s="7" t="n">
        <f aca="false">IF(ISBLANK(customer_churn_dataset!L591),0,MAX(0,customer_churn_dataset!L591))</f>
        <v>0</v>
      </c>
      <c r="M591" s="7" t="n">
        <f aca="false">IF(ISBLANK(customer_churn_dataset!M591),0,customer_churn_dataset!M591)</f>
        <v>0</v>
      </c>
      <c r="N591" s="7" t="n">
        <f aca="false">IF(ISBLANK(customer_churn_dataset!N591),0,MAX(0,customer_churn_dataset!N591))</f>
        <v>41.95</v>
      </c>
      <c r="O591" s="7" t="n">
        <f aca="false">IF(ISBLANK(customer_churn_dataset!O591),0,customer_churn_dataset!O591)</f>
        <v>0</v>
      </c>
      <c r="P591" s="7" t="str">
        <f aca="false">IF(COUNTIF(customer_churn_dataset!$A$2:$A$1501,customer_churn_dataset!A591)&gt;1,"Duplicate","Unique")</f>
        <v>Unique</v>
      </c>
    </row>
    <row r="592" customFormat="false" ht="14.15" hidden="false" customHeight="true" outlineLevel="0" collapsed="false">
      <c r="A592" s="7" t="str">
        <f aca="false">TRIM(customer_churn_dataset!A592)</f>
        <v>CUST100676</v>
      </c>
      <c r="B592" s="7" t="str">
        <f aca="false">PROPER(TRIM(customer_churn_dataset!B592))</f>
        <v>Basic</v>
      </c>
      <c r="C592" s="7" t="str">
        <f aca="false">PROPER(TRIM(customer_churn_dataset!C592))</f>
        <v>Month-To-Month</v>
      </c>
      <c r="D592" s="7" t="n">
        <f aca="false">IF(ISBLANK(customer_churn_dataset!D592),ROUND(MEDIAN(customer_churn_dataset!D$2:D$1501),2),IF(customer_churn_dataset!D592&lt;0,ABS(customer_churn_dataset!D592),customer_churn_dataset!D592))</f>
        <v>8.85</v>
      </c>
      <c r="E592" s="7" t="n">
        <f aca="false">IF(ISBLANK(customer_churn_dataset!E592),0,MAX(0,customer_churn_dataset!E592))</f>
        <v>44</v>
      </c>
      <c r="F592" s="8" t="n">
        <f aca="false">IF(ISBLANK(customer_churn_dataset!F592),"",customer_churn_dataset!F592)</f>
        <v>44629</v>
      </c>
      <c r="G592" s="7" t="str">
        <f aca="false">PROPER(TRIM(customer_churn_dataset!G592))</f>
        <v>Paypal</v>
      </c>
      <c r="H592" s="7" t="n">
        <f aca="false">IF(ISBLANK(customer_churn_dataset!H592),0,customer_churn_dataset!H592)</f>
        <v>1</v>
      </c>
      <c r="I592" s="7" t="n">
        <f aca="false">IF(ISBLANK(customer_churn_dataset!I592),ROUND(MEDIAN(customer_churn_dataset!I$2:I$1501),1),MIN(100,MAX(0,customer_churn_dataset!I592)))</f>
        <v>66</v>
      </c>
      <c r="J592" s="7" t="n">
        <f aca="false">IF(ISBLANK(customer_churn_dataset!J592),0,MAX(0,customer_churn_dataset!J592))</f>
        <v>14</v>
      </c>
      <c r="K592" s="7" t="n">
        <f aca="false">IF(ISBLANK(customer_churn_dataset!K592),0,MIN(10,MAX(0,customer_churn_dataset!K592)))</f>
        <v>9</v>
      </c>
      <c r="L592" s="7" t="n">
        <f aca="false">IF(ISBLANK(customer_churn_dataset!L592),0,MAX(0,customer_churn_dataset!L592))</f>
        <v>3</v>
      </c>
      <c r="M592" s="7" t="n">
        <f aca="false">IF(ISBLANK(customer_churn_dataset!M592),0,customer_churn_dataset!M592)</f>
        <v>0</v>
      </c>
      <c r="N592" s="7" t="n">
        <f aca="false">IF(ISBLANK(customer_churn_dataset!N592),0,MAX(0,customer_churn_dataset!N592))</f>
        <v>389.4</v>
      </c>
      <c r="O592" s="7" t="n">
        <f aca="false">IF(ISBLANK(customer_churn_dataset!O592),0,customer_churn_dataset!O592)</f>
        <v>0</v>
      </c>
      <c r="P592" s="7" t="str">
        <f aca="false">IF(COUNTIF(customer_churn_dataset!$A$2:$A$1501,customer_churn_dataset!A592)&gt;1,"Duplicate","Unique")</f>
        <v>Unique</v>
      </c>
    </row>
    <row r="593" customFormat="false" ht="14.15" hidden="false" customHeight="true" outlineLevel="0" collapsed="false">
      <c r="A593" s="7" t="str">
        <f aca="false">TRIM(customer_churn_dataset!A593)</f>
        <v>CUST100342</v>
      </c>
      <c r="B593" s="7" t="str">
        <f aca="false">PROPER(TRIM(customer_churn_dataset!B593))</f>
        <v>Basic</v>
      </c>
      <c r="C593" s="7" t="str">
        <f aca="false">PROPER(TRIM(customer_churn_dataset!C593))</f>
        <v>Month-To-Month</v>
      </c>
      <c r="D593" s="7" t="n">
        <f aca="false">IF(ISBLANK(customer_churn_dataset!D593),ROUND(MEDIAN(customer_churn_dataset!D$2:D$1501),2),IF(customer_churn_dataset!D593&lt;0,ABS(customer_churn_dataset!D593),customer_churn_dataset!D593))</f>
        <v>9.17</v>
      </c>
      <c r="E593" s="7" t="n">
        <f aca="false">IF(ISBLANK(customer_churn_dataset!E593),0,MAX(0,customer_churn_dataset!E593))</f>
        <v>44</v>
      </c>
      <c r="F593" s="8" t="n">
        <f aca="false">IF(ISBLANK(customer_churn_dataset!F593),"",customer_churn_dataset!F593)</f>
        <v>44630</v>
      </c>
      <c r="G593" s="7" t="str">
        <f aca="false">PROPER(TRIM(customer_churn_dataset!G593))</f>
        <v>Paypal</v>
      </c>
      <c r="H593" s="7" t="n">
        <f aca="false">IF(ISBLANK(customer_churn_dataset!H593),0,customer_churn_dataset!H593)</f>
        <v>0</v>
      </c>
      <c r="I593" s="7" t="n">
        <f aca="false">IF(ISBLANK(customer_churn_dataset!I593),ROUND(MEDIAN(customer_churn_dataset!I$2:I$1501),1),MIN(100,MAX(0,customer_churn_dataset!I593)))</f>
        <v>20</v>
      </c>
      <c r="J593" s="7" t="n">
        <f aca="false">IF(ISBLANK(customer_churn_dataset!J593),0,MAX(0,customer_churn_dataset!J593))</f>
        <v>0</v>
      </c>
      <c r="K593" s="7" t="n">
        <f aca="false">IF(ISBLANK(customer_churn_dataset!K593),0,MIN(10,MAX(0,customer_churn_dataset!K593)))</f>
        <v>3</v>
      </c>
      <c r="L593" s="7" t="n">
        <f aca="false">IF(ISBLANK(customer_churn_dataset!L593),0,MAX(0,customer_churn_dataset!L593))</f>
        <v>3</v>
      </c>
      <c r="M593" s="7" t="n">
        <f aca="false">IF(ISBLANK(customer_churn_dataset!M593),0,customer_churn_dataset!M593)</f>
        <v>1</v>
      </c>
      <c r="N593" s="7" t="n">
        <f aca="false">IF(ISBLANK(customer_churn_dataset!N593),0,MAX(0,customer_churn_dataset!N593))</f>
        <v>403.48</v>
      </c>
      <c r="O593" s="7" t="n">
        <f aca="false">IF(ISBLANK(customer_churn_dataset!O593),0,customer_churn_dataset!O593)</f>
        <v>0</v>
      </c>
      <c r="P593" s="7" t="str">
        <f aca="false">IF(COUNTIF(customer_churn_dataset!$A$2:$A$1501,customer_churn_dataset!A593)&gt;1,"Duplicate","Unique")</f>
        <v>Unique</v>
      </c>
    </row>
    <row r="594" customFormat="false" ht="14.15" hidden="false" customHeight="true" outlineLevel="0" collapsed="false">
      <c r="A594" s="7" t="str">
        <f aca="false">TRIM(customer_churn_dataset!A594)</f>
        <v>CUST100428</v>
      </c>
      <c r="B594" s="7" t="str">
        <f aca="false">PROPER(TRIM(customer_churn_dataset!B594))</f>
        <v>Basic</v>
      </c>
      <c r="C594" s="7" t="str">
        <f aca="false">PROPER(TRIM(customer_churn_dataset!C594))</f>
        <v>Month-To-Month</v>
      </c>
      <c r="D594" s="7" t="n">
        <f aca="false">IF(ISBLANK(customer_churn_dataset!D594),ROUND(MEDIAN(customer_churn_dataset!D$2:D$1501),2),IF(customer_churn_dataset!D594&lt;0,ABS(customer_churn_dataset!D594),customer_churn_dataset!D594))</f>
        <v>9.16</v>
      </c>
      <c r="E594" s="7" t="n">
        <f aca="false">IF(ISBLANK(customer_churn_dataset!E594),0,MAX(0,customer_churn_dataset!E594))</f>
        <v>32</v>
      </c>
      <c r="F594" s="8" t="n">
        <f aca="false">IF(ISBLANK(customer_churn_dataset!F594),"",customer_churn_dataset!F594)</f>
        <v>44630</v>
      </c>
      <c r="G594" s="7" t="str">
        <f aca="false">PROPER(TRIM(customer_churn_dataset!G594))</f>
        <v>Paypal</v>
      </c>
      <c r="H594" s="7" t="n">
        <f aca="false">IF(ISBLANK(customer_churn_dataset!H594),0,customer_churn_dataset!H594)</f>
        <v>0</v>
      </c>
      <c r="I594" s="7" t="n">
        <f aca="false">IF(ISBLANK(customer_churn_dataset!I594),ROUND(MEDIAN(customer_churn_dataset!I$2:I$1501),1),MIN(100,MAX(0,customer_churn_dataset!I594)))</f>
        <v>43.2</v>
      </c>
      <c r="J594" s="7" t="n">
        <f aca="false">IF(ISBLANK(customer_churn_dataset!J594),0,MAX(0,customer_churn_dataset!J594))</f>
        <v>12</v>
      </c>
      <c r="K594" s="7" t="n">
        <f aca="false">IF(ISBLANK(customer_churn_dataset!K594),0,MIN(10,MAX(0,customer_churn_dataset!K594)))</f>
        <v>3</v>
      </c>
      <c r="L594" s="7" t="n">
        <f aca="false">IF(ISBLANK(customer_churn_dataset!L594),0,MAX(0,customer_churn_dataset!L594))</f>
        <v>1</v>
      </c>
      <c r="M594" s="7" t="n">
        <f aca="false">IF(ISBLANK(customer_churn_dataset!M594),0,customer_churn_dataset!M594)</f>
        <v>0</v>
      </c>
      <c r="N594" s="7" t="n">
        <f aca="false">IF(ISBLANK(customer_churn_dataset!N594),0,MAX(0,customer_churn_dataset!N594))</f>
        <v>293.12</v>
      </c>
      <c r="O594" s="7" t="n">
        <f aca="false">IF(ISBLANK(customer_churn_dataset!O594),0,customer_churn_dataset!O594)</f>
        <v>0</v>
      </c>
      <c r="P594" s="7" t="str">
        <f aca="false">IF(COUNTIF(customer_churn_dataset!$A$2:$A$1501,customer_churn_dataset!A594)&gt;1,"Duplicate","Unique")</f>
        <v>Unique</v>
      </c>
    </row>
    <row r="595" customFormat="false" ht="14.15" hidden="false" customHeight="true" outlineLevel="0" collapsed="false">
      <c r="A595" s="7" t="str">
        <f aca="false">TRIM(customer_churn_dataset!A595)</f>
        <v>CUST101244</v>
      </c>
      <c r="B595" s="7" t="str">
        <f aca="false">PROPER(TRIM(customer_churn_dataset!B595))</f>
        <v>Standard</v>
      </c>
      <c r="C595" s="7" t="str">
        <f aca="false">PROPER(TRIM(customer_churn_dataset!C595))</f>
        <v>Month-To-Month</v>
      </c>
      <c r="D595" s="7" t="n">
        <f aca="false">IF(ISBLANK(customer_churn_dataset!D595),ROUND(MEDIAN(customer_churn_dataset!D$2:D$1501),2),IF(customer_churn_dataset!D595&lt;0,ABS(customer_churn_dataset!D595),customer_churn_dataset!D595))</f>
        <v>21.66</v>
      </c>
      <c r="E595" s="7" t="n">
        <f aca="false">IF(ISBLANK(customer_churn_dataset!E595),0,MAX(0,customer_churn_dataset!E595))</f>
        <v>72</v>
      </c>
      <c r="F595" s="8" t="n">
        <f aca="false">IF(ISBLANK(customer_churn_dataset!F595),"",customer_churn_dataset!F595)</f>
        <v>44632</v>
      </c>
      <c r="G595" s="7" t="str">
        <f aca="false">PROPER(TRIM(customer_churn_dataset!G595))</f>
        <v>Credit Card</v>
      </c>
      <c r="H595" s="7" t="n">
        <f aca="false">IF(ISBLANK(customer_churn_dataset!H595),0,customer_churn_dataset!H595)</f>
        <v>1</v>
      </c>
      <c r="I595" s="7" t="n">
        <f aca="false">IF(ISBLANK(customer_churn_dataset!I595),ROUND(MEDIAN(customer_churn_dataset!I$2:I$1501),1),MIN(100,MAX(0,customer_churn_dataset!I595)))</f>
        <v>19.4</v>
      </c>
      <c r="J595" s="7" t="n">
        <f aca="false">IF(ISBLANK(customer_churn_dataset!J595),0,MAX(0,customer_churn_dataset!J595))</f>
        <v>2</v>
      </c>
      <c r="K595" s="7" t="n">
        <f aca="false">IF(ISBLANK(customer_churn_dataset!K595),0,MIN(10,MAX(0,customer_churn_dataset!K595)))</f>
        <v>3</v>
      </c>
      <c r="L595" s="7" t="n">
        <f aca="false">IF(ISBLANK(customer_churn_dataset!L595),0,MAX(0,customer_churn_dataset!L595))</f>
        <v>2</v>
      </c>
      <c r="M595" s="7" t="n">
        <f aca="false">IF(ISBLANK(customer_churn_dataset!M595),0,customer_churn_dataset!M595)</f>
        <v>0</v>
      </c>
      <c r="N595" s="7" t="n">
        <f aca="false">IF(ISBLANK(customer_churn_dataset!N595),0,MAX(0,customer_churn_dataset!N595))</f>
        <v>1559.52</v>
      </c>
      <c r="O595" s="7" t="n">
        <f aca="false">IF(ISBLANK(customer_churn_dataset!O595),0,customer_churn_dataset!O595)</f>
        <v>0</v>
      </c>
      <c r="P595" s="7" t="str">
        <f aca="false">IF(COUNTIF(customer_churn_dataset!$A$2:$A$1501,customer_churn_dataset!A595)&gt;1,"Duplicate","Unique")</f>
        <v>Unique</v>
      </c>
    </row>
    <row r="596" customFormat="false" ht="14.15" hidden="false" customHeight="true" outlineLevel="0" collapsed="false">
      <c r="A596" s="7" t="str">
        <f aca="false">TRIM(customer_churn_dataset!A596)</f>
        <v>CUST101092</v>
      </c>
      <c r="B596" s="7" t="str">
        <f aca="false">PROPER(TRIM(customer_churn_dataset!B596))</f>
        <v>Standard</v>
      </c>
      <c r="C596" s="7" t="str">
        <f aca="false">PROPER(TRIM(customer_churn_dataset!C596))</f>
        <v>Month-To-Month</v>
      </c>
      <c r="D596" s="7" t="n">
        <f aca="false">IF(ISBLANK(customer_churn_dataset!D596),ROUND(MEDIAN(customer_churn_dataset!D$2:D$1501),2),IF(customer_churn_dataset!D596&lt;0,ABS(customer_churn_dataset!D596),customer_churn_dataset!D596))</f>
        <v>18.54</v>
      </c>
      <c r="E596" s="7" t="n">
        <f aca="false">IF(ISBLANK(customer_churn_dataset!E596),0,MAX(0,customer_churn_dataset!E596))</f>
        <v>32</v>
      </c>
      <c r="F596" s="8" t="n">
        <f aca="false">IF(ISBLANK(customer_churn_dataset!F596),"",customer_churn_dataset!F596)</f>
        <v>44633</v>
      </c>
      <c r="G596" s="7" t="str">
        <f aca="false">PROPER(TRIM(customer_churn_dataset!G596))</f>
        <v>Credit Card</v>
      </c>
      <c r="H596" s="7" t="n">
        <f aca="false">IF(ISBLANK(customer_churn_dataset!H596),0,customer_churn_dataset!H596)</f>
        <v>0</v>
      </c>
      <c r="I596" s="7" t="n">
        <f aca="false">IF(ISBLANK(customer_churn_dataset!I596),ROUND(MEDIAN(customer_churn_dataset!I$2:I$1501),1),MIN(100,MAX(0,customer_churn_dataset!I596)))</f>
        <v>42.5</v>
      </c>
      <c r="J596" s="7" t="n">
        <f aca="false">IF(ISBLANK(customer_churn_dataset!J596),0,MAX(0,customer_churn_dataset!J596))</f>
        <v>13</v>
      </c>
      <c r="K596" s="7" t="n">
        <f aca="false">IF(ISBLANK(customer_churn_dataset!K596),0,MIN(10,MAX(0,customer_churn_dataset!K596)))</f>
        <v>3</v>
      </c>
      <c r="L596" s="7" t="n">
        <f aca="false">IF(ISBLANK(customer_churn_dataset!L596),0,MAX(0,customer_churn_dataset!L596))</f>
        <v>2</v>
      </c>
      <c r="M596" s="7" t="n">
        <f aca="false">IF(ISBLANK(customer_churn_dataset!M596),0,customer_churn_dataset!M596)</f>
        <v>1</v>
      </c>
      <c r="N596" s="7" t="n">
        <f aca="false">IF(ISBLANK(customer_churn_dataset!N596),0,MAX(0,customer_churn_dataset!N596))</f>
        <v>593.28</v>
      </c>
      <c r="O596" s="7" t="n">
        <f aca="false">IF(ISBLANK(customer_churn_dataset!O596),0,customer_churn_dataset!O596)</f>
        <v>0</v>
      </c>
      <c r="P596" s="7" t="str">
        <f aca="false">IF(COUNTIF(customer_churn_dataset!$A$2:$A$1501,customer_churn_dataset!A596)&gt;1,"Duplicate","Unique")</f>
        <v>Unique</v>
      </c>
    </row>
    <row r="597" customFormat="false" ht="14.15" hidden="false" customHeight="true" outlineLevel="0" collapsed="false">
      <c r="A597" s="7" t="str">
        <f aca="false">TRIM(customer_churn_dataset!A597)</f>
        <v>CUST101359</v>
      </c>
      <c r="B597" s="7" t="str">
        <f aca="false">PROPER(TRIM(customer_churn_dataset!B597))</f>
        <v>Standard</v>
      </c>
      <c r="C597" s="7" t="str">
        <f aca="false">PROPER(TRIM(customer_churn_dataset!C597))</f>
        <v>Month-To-Month</v>
      </c>
      <c r="D597" s="7" t="n">
        <f aca="false">IF(ISBLANK(customer_churn_dataset!D597),ROUND(MEDIAN(customer_churn_dataset!D$2:D$1501),2),IF(customer_churn_dataset!D597&lt;0,ABS(customer_churn_dataset!D597),customer_churn_dataset!D597))</f>
        <v>19.14</v>
      </c>
      <c r="E597" s="7" t="n">
        <f aca="false">IF(ISBLANK(customer_churn_dataset!E597),0,MAX(0,customer_churn_dataset!E597))</f>
        <v>21</v>
      </c>
      <c r="F597" s="8" t="n">
        <f aca="false">IF(ISBLANK(customer_churn_dataset!F597),"",customer_churn_dataset!F597)</f>
        <v>44633</v>
      </c>
      <c r="G597" s="7" t="str">
        <f aca="false">PROPER(TRIM(customer_churn_dataset!G597))</f>
        <v>Credit Card</v>
      </c>
      <c r="H597" s="7" t="n">
        <f aca="false">IF(ISBLANK(customer_churn_dataset!H597),0,customer_churn_dataset!H597)</f>
        <v>1</v>
      </c>
      <c r="I597" s="7" t="n">
        <f aca="false">IF(ISBLANK(customer_churn_dataset!I597),ROUND(MEDIAN(customer_churn_dataset!I$2:I$1501),1),MIN(100,MAX(0,customer_churn_dataset!I597)))</f>
        <v>50.7</v>
      </c>
      <c r="J597" s="7" t="n">
        <f aca="false">IF(ISBLANK(customer_churn_dataset!J597),0,MAX(0,customer_churn_dataset!J597))</f>
        <v>20</v>
      </c>
      <c r="K597" s="7" t="n">
        <f aca="false">IF(ISBLANK(customer_churn_dataset!K597),0,MIN(10,MAX(0,customer_churn_dataset!K597)))</f>
        <v>7</v>
      </c>
      <c r="L597" s="7" t="n">
        <f aca="false">IF(ISBLANK(customer_churn_dataset!L597),0,MAX(0,customer_churn_dataset!L597))</f>
        <v>0</v>
      </c>
      <c r="M597" s="7" t="n">
        <f aca="false">IF(ISBLANK(customer_churn_dataset!M597),0,customer_churn_dataset!M597)</f>
        <v>0</v>
      </c>
      <c r="N597" s="7" t="n">
        <f aca="false">IF(ISBLANK(customer_churn_dataset!N597),0,MAX(0,customer_churn_dataset!N597))</f>
        <v>401.94</v>
      </c>
      <c r="O597" s="7" t="n">
        <f aca="false">IF(ISBLANK(customer_churn_dataset!O597),0,customer_churn_dataset!O597)</f>
        <v>0</v>
      </c>
      <c r="P597" s="7" t="str">
        <f aca="false">IF(COUNTIF(customer_churn_dataset!$A$2:$A$1501,customer_churn_dataset!A597)&gt;1,"Duplicate","Unique")</f>
        <v>Unique</v>
      </c>
    </row>
    <row r="598" customFormat="false" ht="14.15" hidden="false" customHeight="true" outlineLevel="0" collapsed="false">
      <c r="A598" s="7" t="str">
        <f aca="false">TRIM(customer_churn_dataset!A598)</f>
        <v>CUST100636</v>
      </c>
      <c r="B598" s="7" t="str">
        <f aca="false">PROPER(TRIM(customer_churn_dataset!B598))</f>
        <v>Standard</v>
      </c>
      <c r="C598" s="7" t="str">
        <f aca="false">PROPER(TRIM(customer_churn_dataset!C598))</f>
        <v>One Year</v>
      </c>
      <c r="D598" s="7" t="n">
        <f aca="false">IF(ISBLANK(customer_churn_dataset!D598),ROUND(MEDIAN(customer_churn_dataset!D$2:D$1501),2),IF(customer_churn_dataset!D598&lt;0,ABS(customer_churn_dataset!D598),customer_churn_dataset!D598))</f>
        <v>19.67</v>
      </c>
      <c r="E598" s="7" t="n">
        <f aca="false">IF(ISBLANK(customer_churn_dataset!E598),0,MAX(0,customer_churn_dataset!E598))</f>
        <v>5</v>
      </c>
      <c r="F598" s="8" t="n">
        <f aca="false">IF(ISBLANK(customer_churn_dataset!F598),"",customer_churn_dataset!F598)</f>
        <v>44635</v>
      </c>
      <c r="G598" s="7" t="str">
        <f aca="false">PROPER(TRIM(customer_churn_dataset!G598))</f>
        <v>Bank Transfer</v>
      </c>
      <c r="H598" s="7" t="n">
        <f aca="false">IF(ISBLANK(customer_churn_dataset!H598),0,customer_churn_dataset!H598)</f>
        <v>1</v>
      </c>
      <c r="I598" s="7" t="n">
        <f aca="false">IF(ISBLANK(customer_churn_dataset!I598),ROUND(MEDIAN(customer_churn_dataset!I$2:I$1501),1),MIN(100,MAX(0,customer_churn_dataset!I598)))</f>
        <v>73.6</v>
      </c>
      <c r="J598" s="7" t="n">
        <f aca="false">IF(ISBLANK(customer_churn_dataset!J598),0,MAX(0,customer_churn_dataset!J598))</f>
        <v>18</v>
      </c>
      <c r="K598" s="7" t="n">
        <f aca="false">IF(ISBLANK(customer_churn_dataset!K598),0,MIN(10,MAX(0,customer_churn_dataset!K598)))</f>
        <v>9</v>
      </c>
      <c r="L598" s="7" t="n">
        <f aca="false">IF(ISBLANK(customer_churn_dataset!L598),0,MAX(0,customer_churn_dataset!L598))</f>
        <v>1</v>
      </c>
      <c r="M598" s="7" t="n">
        <f aca="false">IF(ISBLANK(customer_churn_dataset!M598),0,customer_churn_dataset!M598)</f>
        <v>0</v>
      </c>
      <c r="N598" s="7" t="n">
        <f aca="false">IF(ISBLANK(customer_churn_dataset!N598),0,MAX(0,customer_churn_dataset!N598))</f>
        <v>98.35</v>
      </c>
      <c r="O598" s="7" t="n">
        <f aca="false">IF(ISBLANK(customer_churn_dataset!O598),0,customer_churn_dataset!O598)</f>
        <v>0</v>
      </c>
      <c r="P598" s="7" t="str">
        <f aca="false">IF(COUNTIF(customer_churn_dataset!$A$2:$A$1501,customer_churn_dataset!A598)&gt;1,"Duplicate","Unique")</f>
        <v>Unique</v>
      </c>
    </row>
    <row r="599" customFormat="false" ht="14.15" hidden="false" customHeight="true" outlineLevel="0" collapsed="false">
      <c r="A599" s="7" t="str">
        <f aca="false">TRIM(customer_churn_dataset!A599)</f>
        <v>CUST100481</v>
      </c>
      <c r="B599" s="7" t="str">
        <f aca="false">PROPER(TRIM(customer_churn_dataset!B599))</f>
        <v>Standard</v>
      </c>
      <c r="C599" s="7" t="str">
        <f aca="false">PROPER(TRIM(customer_churn_dataset!C599))</f>
        <v>One Year</v>
      </c>
      <c r="D599" s="7" t="n">
        <f aca="false">IF(ISBLANK(customer_churn_dataset!D599),ROUND(MEDIAN(customer_churn_dataset!D$2:D$1501),2),IF(customer_churn_dataset!D599&lt;0,ABS(customer_churn_dataset!D599),customer_churn_dataset!D599))</f>
        <v>21.4</v>
      </c>
      <c r="E599" s="7" t="n">
        <f aca="false">IF(ISBLANK(customer_churn_dataset!E599),0,MAX(0,customer_churn_dataset!E599))</f>
        <v>6</v>
      </c>
      <c r="F599" s="8" t="n">
        <f aca="false">IF(ISBLANK(customer_churn_dataset!F599),"",customer_churn_dataset!F599)</f>
        <v>44635</v>
      </c>
      <c r="G599" s="7" t="str">
        <f aca="false">PROPER(TRIM(customer_churn_dataset!G599))</f>
        <v>Credit Card</v>
      </c>
      <c r="H599" s="7" t="n">
        <f aca="false">IF(ISBLANK(customer_churn_dataset!H599),0,customer_churn_dataset!H599)</f>
        <v>0</v>
      </c>
      <c r="I599" s="7" t="n">
        <f aca="false">IF(ISBLANK(customer_churn_dataset!I599),ROUND(MEDIAN(customer_churn_dataset!I$2:I$1501),1),MIN(100,MAX(0,customer_churn_dataset!I599)))</f>
        <v>60.4</v>
      </c>
      <c r="J599" s="7" t="n">
        <f aca="false">IF(ISBLANK(customer_churn_dataset!J599),0,MAX(0,customer_churn_dataset!J599))</f>
        <v>19</v>
      </c>
      <c r="K599" s="7" t="n">
        <f aca="false">IF(ISBLANK(customer_churn_dataset!K599),0,MIN(10,MAX(0,customer_churn_dataset!K599)))</f>
        <v>4</v>
      </c>
      <c r="L599" s="7" t="n">
        <f aca="false">IF(ISBLANK(customer_churn_dataset!L599),0,MAX(0,customer_churn_dataset!L599))</f>
        <v>4</v>
      </c>
      <c r="M599" s="7" t="n">
        <f aca="false">IF(ISBLANK(customer_churn_dataset!M599),0,customer_churn_dataset!M599)</f>
        <v>0</v>
      </c>
      <c r="N599" s="7" t="n">
        <f aca="false">IF(ISBLANK(customer_churn_dataset!N599),0,MAX(0,customer_churn_dataset!N599))</f>
        <v>128.4</v>
      </c>
      <c r="O599" s="7" t="n">
        <f aca="false">IF(ISBLANK(customer_churn_dataset!O599),0,customer_churn_dataset!O599)</f>
        <v>0</v>
      </c>
      <c r="P599" s="7" t="str">
        <f aca="false">IF(COUNTIF(customer_churn_dataset!$A$2:$A$1501,customer_churn_dataset!A599)&gt;1,"Duplicate","Unique")</f>
        <v>Unique</v>
      </c>
    </row>
    <row r="600" customFormat="false" ht="14.15" hidden="false" customHeight="true" outlineLevel="0" collapsed="false">
      <c r="A600" s="7" t="str">
        <f aca="false">TRIM(customer_churn_dataset!A600)</f>
        <v>CUST100743</v>
      </c>
      <c r="B600" s="7" t="str">
        <f aca="false">PROPER(TRIM(customer_churn_dataset!B600))</f>
        <v>Standard</v>
      </c>
      <c r="C600" s="7" t="str">
        <f aca="false">PROPER(TRIM(customer_churn_dataset!C600))</f>
        <v>One Year</v>
      </c>
      <c r="D600" s="7" t="n">
        <f aca="false">IF(ISBLANK(customer_churn_dataset!D600),ROUND(MEDIAN(customer_churn_dataset!D$2:D$1501),2),IF(customer_churn_dataset!D600&lt;0,ABS(customer_churn_dataset!D600),customer_churn_dataset!D600))</f>
        <v>20.36</v>
      </c>
      <c r="E600" s="7" t="n">
        <f aca="false">IF(ISBLANK(customer_churn_dataset!E600),0,MAX(0,customer_churn_dataset!E600))</f>
        <v>13</v>
      </c>
      <c r="F600" s="8" t="n">
        <f aca="false">IF(ISBLANK(customer_churn_dataset!F600),"",customer_churn_dataset!F600)</f>
        <v>44635</v>
      </c>
      <c r="G600" s="7" t="str">
        <f aca="false">PROPER(TRIM(customer_churn_dataset!G600))</f>
        <v>Credit Card</v>
      </c>
      <c r="H600" s="7" t="n">
        <f aca="false">IF(ISBLANK(customer_churn_dataset!H600),0,customer_churn_dataset!H600)</f>
        <v>1</v>
      </c>
      <c r="I600" s="7" t="n">
        <f aca="false">IF(ISBLANK(customer_churn_dataset!I600),ROUND(MEDIAN(customer_churn_dataset!I$2:I$1501),1),MIN(100,MAX(0,customer_churn_dataset!I600)))</f>
        <v>74.2</v>
      </c>
      <c r="J600" s="7" t="n">
        <f aca="false">IF(ISBLANK(customer_churn_dataset!J600),0,MAX(0,customer_churn_dataset!J600))</f>
        <v>17</v>
      </c>
      <c r="K600" s="7" t="n">
        <f aca="false">IF(ISBLANK(customer_churn_dataset!K600),0,MIN(10,MAX(0,customer_churn_dataset!K600)))</f>
        <v>10</v>
      </c>
      <c r="L600" s="7" t="n">
        <f aca="false">IF(ISBLANK(customer_churn_dataset!L600),0,MAX(0,customer_churn_dataset!L600))</f>
        <v>0</v>
      </c>
      <c r="M600" s="7" t="n">
        <f aca="false">IF(ISBLANK(customer_churn_dataset!M600),0,customer_churn_dataset!M600)</f>
        <v>0</v>
      </c>
      <c r="N600" s="7" t="n">
        <f aca="false">IF(ISBLANK(customer_churn_dataset!N600),0,MAX(0,customer_churn_dataset!N600))</f>
        <v>264.68</v>
      </c>
      <c r="O600" s="7" t="n">
        <f aca="false">IF(ISBLANK(customer_churn_dataset!O600),0,customer_churn_dataset!O600)</f>
        <v>0</v>
      </c>
      <c r="P600" s="7" t="str">
        <f aca="false">IF(COUNTIF(customer_churn_dataset!$A$2:$A$1501,customer_churn_dataset!A600)&gt;1,"Duplicate","Unique")</f>
        <v>Unique</v>
      </c>
    </row>
    <row r="601" customFormat="false" ht="14.15" hidden="false" customHeight="true" outlineLevel="0" collapsed="false">
      <c r="A601" s="7" t="str">
        <f aca="false">TRIM(customer_churn_dataset!A601)</f>
        <v>CUST100650</v>
      </c>
      <c r="B601" s="7" t="str">
        <f aca="false">PROPER(TRIM(customer_churn_dataset!B601))</f>
        <v>Basic</v>
      </c>
      <c r="C601" s="7" t="str">
        <f aca="false">PROPER(TRIM(customer_churn_dataset!C601))</f>
        <v>Two Year</v>
      </c>
      <c r="D601" s="7" t="n">
        <f aca="false">IF(ISBLANK(customer_churn_dataset!D601),ROUND(MEDIAN(customer_churn_dataset!D$2:D$1501),2),IF(customer_churn_dataset!D601&lt;0,ABS(customer_churn_dataset!D601),customer_churn_dataset!D601))</f>
        <v>9.51</v>
      </c>
      <c r="E601" s="7" t="n">
        <f aca="false">IF(ISBLANK(customer_churn_dataset!E601),0,MAX(0,customer_churn_dataset!E601))</f>
        <v>36</v>
      </c>
      <c r="F601" s="8" t="n">
        <f aca="false">IF(ISBLANK(customer_churn_dataset!F601),"",customer_churn_dataset!F601)</f>
        <v>44639</v>
      </c>
      <c r="G601" s="7" t="str">
        <f aca="false">PROPER(TRIM(customer_churn_dataset!G601))</f>
        <v>Credit Card</v>
      </c>
      <c r="H601" s="7" t="n">
        <f aca="false">IF(ISBLANK(customer_churn_dataset!H601),0,customer_churn_dataset!H601)</f>
        <v>0</v>
      </c>
      <c r="I601" s="7" t="n">
        <f aca="false">IF(ISBLANK(customer_churn_dataset!I601),ROUND(MEDIAN(customer_churn_dataset!I$2:I$1501),1),MIN(100,MAX(0,customer_churn_dataset!I601)))</f>
        <v>32.6</v>
      </c>
      <c r="J601" s="7" t="n">
        <f aca="false">IF(ISBLANK(customer_churn_dataset!J601),0,MAX(0,customer_churn_dataset!J601))</f>
        <v>4</v>
      </c>
      <c r="K601" s="7" t="n">
        <f aca="false">IF(ISBLANK(customer_churn_dataset!K601),0,MIN(10,MAX(0,customer_churn_dataset!K601)))</f>
        <v>2</v>
      </c>
      <c r="L601" s="7" t="n">
        <f aca="false">IF(ISBLANK(customer_churn_dataset!L601),0,MAX(0,customer_churn_dataset!L601))</f>
        <v>1</v>
      </c>
      <c r="M601" s="7" t="n">
        <f aca="false">IF(ISBLANK(customer_churn_dataset!M601),0,customer_churn_dataset!M601)</f>
        <v>1</v>
      </c>
      <c r="N601" s="7" t="n">
        <f aca="false">IF(ISBLANK(customer_churn_dataset!N601),0,MAX(0,customer_churn_dataset!N601))</f>
        <v>342.36</v>
      </c>
      <c r="O601" s="7" t="n">
        <f aca="false">IF(ISBLANK(customer_churn_dataset!O601),0,customer_churn_dataset!O601)</f>
        <v>0</v>
      </c>
      <c r="P601" s="7" t="str">
        <f aca="false">IF(COUNTIF(customer_churn_dataset!$A$2:$A$1501,customer_churn_dataset!A601)&gt;1,"Duplicate","Unique")</f>
        <v>Unique</v>
      </c>
    </row>
    <row r="602" customFormat="false" ht="14.15" hidden="false" customHeight="true" outlineLevel="0" collapsed="false">
      <c r="A602" s="7" t="str">
        <f aca="false">TRIM(customer_churn_dataset!A602)</f>
        <v>CUST100920</v>
      </c>
      <c r="B602" s="7" t="str">
        <f aca="false">PROPER(TRIM(customer_churn_dataset!B602))</f>
        <v>Premium</v>
      </c>
      <c r="C602" s="7" t="str">
        <f aca="false">PROPER(TRIM(customer_churn_dataset!C602))</f>
        <v>Two Year</v>
      </c>
      <c r="D602" s="7" t="n">
        <f aca="false">IF(ISBLANK(customer_churn_dataset!D602),ROUND(MEDIAN(customer_churn_dataset!D$2:D$1501),2),IF(customer_churn_dataset!D602&lt;0,ABS(customer_churn_dataset!D602),customer_churn_dataset!D602))</f>
        <v>39.99</v>
      </c>
      <c r="E602" s="7" t="n">
        <f aca="false">IF(ISBLANK(customer_churn_dataset!E602),0,MAX(0,customer_churn_dataset!E602))</f>
        <v>6</v>
      </c>
      <c r="F602" s="8" t="n">
        <f aca="false">IF(ISBLANK(customer_churn_dataset!F602),"",customer_churn_dataset!F602)</f>
        <v>44640</v>
      </c>
      <c r="G602" s="7" t="str">
        <f aca="false">PROPER(TRIM(customer_churn_dataset!G602))</f>
        <v>Paypal</v>
      </c>
      <c r="H602" s="7" t="n">
        <f aca="false">IF(ISBLANK(customer_churn_dataset!H602),0,customer_churn_dataset!H602)</f>
        <v>0</v>
      </c>
      <c r="I602" s="7" t="n">
        <f aca="false">IF(ISBLANK(customer_churn_dataset!I602),ROUND(MEDIAN(customer_churn_dataset!I$2:I$1501),1),MIN(100,MAX(0,customer_churn_dataset!I602)))</f>
        <v>46.3</v>
      </c>
      <c r="J602" s="7" t="n">
        <f aca="false">IF(ISBLANK(customer_churn_dataset!J602),0,MAX(0,customer_churn_dataset!J602))</f>
        <v>11</v>
      </c>
      <c r="K602" s="7" t="n">
        <f aca="false">IF(ISBLANK(customer_churn_dataset!K602),0,MIN(10,MAX(0,customer_churn_dataset!K602)))</f>
        <v>8</v>
      </c>
      <c r="L602" s="7" t="n">
        <f aca="false">IF(ISBLANK(customer_churn_dataset!L602),0,MAX(0,customer_churn_dataset!L602))</f>
        <v>2</v>
      </c>
      <c r="M602" s="7" t="n">
        <f aca="false">IF(ISBLANK(customer_churn_dataset!M602),0,customer_churn_dataset!M602)</f>
        <v>1</v>
      </c>
      <c r="N602" s="7" t="n">
        <f aca="false">IF(ISBLANK(customer_churn_dataset!N602),0,MAX(0,customer_churn_dataset!N602))</f>
        <v>239.94</v>
      </c>
      <c r="O602" s="7" t="n">
        <f aca="false">IF(ISBLANK(customer_churn_dataset!O602),0,customer_churn_dataset!O602)</f>
        <v>0</v>
      </c>
      <c r="P602" s="7" t="str">
        <f aca="false">IF(COUNTIF(customer_churn_dataset!$A$2:$A$1501,customer_churn_dataset!A602)&gt;1,"Duplicate","Unique")</f>
        <v>Unique</v>
      </c>
    </row>
    <row r="603" customFormat="false" ht="14.15" hidden="false" customHeight="true" outlineLevel="0" collapsed="false">
      <c r="A603" s="7" t="str">
        <f aca="false">TRIM(customer_churn_dataset!A603)</f>
        <v>CUST100221</v>
      </c>
      <c r="B603" s="7" t="str">
        <f aca="false">PROPER(TRIM(customer_churn_dataset!B603))</f>
        <v>Standard</v>
      </c>
      <c r="C603" s="7" t="str">
        <f aca="false">PROPER(TRIM(customer_churn_dataset!C603))</f>
        <v>One Year</v>
      </c>
      <c r="D603" s="7" t="n">
        <f aca="false">IF(ISBLANK(customer_churn_dataset!D603),ROUND(MEDIAN(customer_churn_dataset!D$2:D$1501),2),IF(customer_churn_dataset!D603&lt;0,ABS(customer_churn_dataset!D603),customer_churn_dataset!D603))</f>
        <v>19.5</v>
      </c>
      <c r="E603" s="7" t="n">
        <f aca="false">IF(ISBLANK(customer_churn_dataset!E603),0,MAX(0,customer_churn_dataset!E603))</f>
        <v>1</v>
      </c>
      <c r="F603" s="8" t="n">
        <f aca="false">IF(ISBLANK(customer_churn_dataset!F603),"",customer_churn_dataset!F603)</f>
        <v>44642</v>
      </c>
      <c r="G603" s="7" t="str">
        <f aca="false">PROPER(TRIM(customer_churn_dataset!G603))</f>
        <v>Credit Card</v>
      </c>
      <c r="H603" s="7" t="n">
        <f aca="false">IF(ISBLANK(customer_churn_dataset!H603),0,customer_churn_dataset!H603)</f>
        <v>1</v>
      </c>
      <c r="I603" s="7" t="n">
        <f aca="false">IF(ISBLANK(customer_churn_dataset!I603),ROUND(MEDIAN(customer_churn_dataset!I$2:I$1501),1),MIN(100,MAX(0,customer_churn_dataset!I603)))</f>
        <v>38.6</v>
      </c>
      <c r="J603" s="7" t="n">
        <f aca="false">IF(ISBLANK(customer_churn_dataset!J603),0,MAX(0,customer_churn_dataset!J603))</f>
        <v>16</v>
      </c>
      <c r="K603" s="7" t="n">
        <f aca="false">IF(ISBLANK(customer_churn_dataset!K603),0,MIN(10,MAX(0,customer_churn_dataset!K603)))</f>
        <v>4</v>
      </c>
      <c r="L603" s="7" t="n">
        <f aca="false">IF(ISBLANK(customer_churn_dataset!L603),0,MAX(0,customer_churn_dataset!L603))</f>
        <v>1</v>
      </c>
      <c r="M603" s="7" t="n">
        <f aca="false">IF(ISBLANK(customer_churn_dataset!M603),0,customer_churn_dataset!M603)</f>
        <v>1</v>
      </c>
      <c r="N603" s="7" t="n">
        <f aca="false">IF(ISBLANK(customer_churn_dataset!N603),0,MAX(0,customer_churn_dataset!N603))</f>
        <v>19.5</v>
      </c>
      <c r="O603" s="7" t="n">
        <f aca="false">IF(ISBLANK(customer_churn_dataset!O603),0,customer_churn_dataset!O603)</f>
        <v>0</v>
      </c>
      <c r="P603" s="7" t="str">
        <f aca="false">IF(COUNTIF(customer_churn_dataset!$A$2:$A$1501,customer_churn_dataset!A603)&gt;1,"Duplicate","Unique")</f>
        <v>Unique</v>
      </c>
    </row>
    <row r="604" customFormat="false" ht="14.15" hidden="false" customHeight="true" outlineLevel="0" collapsed="false">
      <c r="A604" s="7" t="str">
        <f aca="false">TRIM(customer_churn_dataset!A604)</f>
        <v>CUST101370</v>
      </c>
      <c r="B604" s="7" t="str">
        <f aca="false">PROPER(TRIM(customer_churn_dataset!B604))</f>
        <v>Premium</v>
      </c>
      <c r="C604" s="7" t="str">
        <f aca="false">PROPER(TRIM(customer_churn_dataset!C604))</f>
        <v>Month-To-Month</v>
      </c>
      <c r="D604" s="7" t="n">
        <f aca="false">IF(ISBLANK(customer_churn_dataset!D604),ROUND(MEDIAN(customer_churn_dataset!D$2:D$1501),2),IF(customer_churn_dataset!D604&lt;0,ABS(customer_churn_dataset!D604),customer_churn_dataset!D604))</f>
        <v>40.46</v>
      </c>
      <c r="E604" s="7" t="n">
        <f aca="false">IF(ISBLANK(customer_churn_dataset!E604),0,MAX(0,customer_churn_dataset!E604))</f>
        <v>22</v>
      </c>
      <c r="F604" s="8" t="n">
        <f aca="false">IF(ISBLANK(customer_churn_dataset!F604),"",customer_churn_dataset!F604)</f>
        <v>44642</v>
      </c>
      <c r="G604" s="7" t="str">
        <f aca="false">PROPER(TRIM(customer_churn_dataset!G604))</f>
        <v>Manual/Invoice</v>
      </c>
      <c r="H604" s="7" t="n">
        <f aca="false">IF(ISBLANK(customer_churn_dataset!H604),0,customer_churn_dataset!H604)</f>
        <v>1</v>
      </c>
      <c r="I604" s="7" t="n">
        <f aca="false">IF(ISBLANK(customer_churn_dataset!I604),ROUND(MEDIAN(customer_churn_dataset!I$2:I$1501),1),MIN(100,MAX(0,customer_churn_dataset!I604)))</f>
        <v>33.3</v>
      </c>
      <c r="J604" s="7" t="n">
        <f aca="false">IF(ISBLANK(customer_churn_dataset!J604),0,MAX(0,customer_churn_dataset!J604))</f>
        <v>14</v>
      </c>
      <c r="K604" s="7" t="n">
        <f aca="false">IF(ISBLANK(customer_churn_dataset!K604),0,MIN(10,MAX(0,customer_churn_dataset!K604)))</f>
        <v>1</v>
      </c>
      <c r="L604" s="7" t="n">
        <f aca="false">IF(ISBLANK(customer_churn_dataset!L604),0,MAX(0,customer_churn_dataset!L604))</f>
        <v>0</v>
      </c>
      <c r="M604" s="7" t="n">
        <f aca="false">IF(ISBLANK(customer_churn_dataset!M604),0,customer_churn_dataset!M604)</f>
        <v>0</v>
      </c>
      <c r="N604" s="7" t="n">
        <f aca="false">IF(ISBLANK(customer_churn_dataset!N604),0,MAX(0,customer_churn_dataset!N604))</f>
        <v>890.12</v>
      </c>
      <c r="O604" s="7" t="n">
        <f aca="false">IF(ISBLANK(customer_churn_dataset!O604),0,customer_churn_dataset!O604)</f>
        <v>0</v>
      </c>
      <c r="P604" s="7" t="str">
        <f aca="false">IF(COUNTIF(customer_churn_dataset!$A$2:$A$1501,customer_churn_dataset!A604)&gt;1,"Duplicate","Unique")</f>
        <v>Unique</v>
      </c>
    </row>
    <row r="605" customFormat="false" ht="14.15" hidden="false" customHeight="true" outlineLevel="0" collapsed="false">
      <c r="A605" s="7" t="str">
        <f aca="false">TRIM(customer_churn_dataset!A605)</f>
        <v>CUST101016</v>
      </c>
      <c r="B605" s="7" t="str">
        <f aca="false">PROPER(TRIM(customer_churn_dataset!B605))</f>
        <v>Basic</v>
      </c>
      <c r="C605" s="7" t="str">
        <f aca="false">PROPER(TRIM(customer_churn_dataset!C605))</f>
        <v>One Year</v>
      </c>
      <c r="D605" s="7" t="n">
        <f aca="false">IF(ISBLANK(customer_churn_dataset!D605),ROUND(MEDIAN(customer_churn_dataset!D$2:D$1501),2),IF(customer_churn_dataset!D605&lt;0,ABS(customer_churn_dataset!D605),customer_churn_dataset!D605))</f>
        <v>8.38</v>
      </c>
      <c r="E605" s="7" t="n">
        <f aca="false">IF(ISBLANK(customer_churn_dataset!E605),0,MAX(0,customer_churn_dataset!E605))</f>
        <v>9</v>
      </c>
      <c r="F605" s="8" t="n">
        <f aca="false">IF(ISBLANK(customer_churn_dataset!F605),"",customer_churn_dataset!F605)</f>
        <v>44647</v>
      </c>
      <c r="G605" s="7" t="str">
        <f aca="false">PROPER(TRIM(customer_churn_dataset!G605))</f>
        <v>Manual/Invoice</v>
      </c>
      <c r="H605" s="7" t="n">
        <f aca="false">IF(ISBLANK(customer_churn_dataset!H605),0,customer_churn_dataset!H605)</f>
        <v>0</v>
      </c>
      <c r="I605" s="7" t="n">
        <f aca="false">IF(ISBLANK(customer_churn_dataset!I605),ROUND(MEDIAN(customer_churn_dataset!I$2:I$1501),1),MIN(100,MAX(0,customer_churn_dataset!I605)))</f>
        <v>43.2</v>
      </c>
      <c r="J605" s="7" t="n">
        <f aca="false">IF(ISBLANK(customer_churn_dataset!J605),0,MAX(0,customer_churn_dataset!J605))</f>
        <v>16</v>
      </c>
      <c r="K605" s="7" t="n">
        <f aca="false">IF(ISBLANK(customer_churn_dataset!K605),0,MIN(10,MAX(0,customer_churn_dataset!K605)))</f>
        <v>6</v>
      </c>
      <c r="L605" s="7" t="n">
        <f aca="false">IF(ISBLANK(customer_churn_dataset!L605),0,MAX(0,customer_churn_dataset!L605))</f>
        <v>1</v>
      </c>
      <c r="M605" s="7" t="n">
        <f aca="false">IF(ISBLANK(customer_churn_dataset!M605),0,customer_churn_dataset!M605)</f>
        <v>1</v>
      </c>
      <c r="N605" s="7" t="n">
        <f aca="false">IF(ISBLANK(customer_churn_dataset!N605),0,MAX(0,customer_churn_dataset!N605))</f>
        <v>75.42</v>
      </c>
      <c r="O605" s="7" t="n">
        <f aca="false">IF(ISBLANK(customer_churn_dataset!O605),0,customer_churn_dataset!O605)</f>
        <v>1</v>
      </c>
      <c r="P605" s="7" t="str">
        <f aca="false">IF(COUNTIF(customer_churn_dataset!$A$2:$A$1501,customer_churn_dataset!A605)&gt;1,"Duplicate","Unique")</f>
        <v>Unique</v>
      </c>
    </row>
    <row r="606" customFormat="false" ht="14.15" hidden="false" customHeight="true" outlineLevel="0" collapsed="false">
      <c r="A606" s="7" t="str">
        <f aca="false">TRIM(customer_churn_dataset!A606)</f>
        <v>CUST101486</v>
      </c>
      <c r="B606" s="7" t="str">
        <f aca="false">PROPER(TRIM(customer_churn_dataset!B606))</f>
        <v>Basic</v>
      </c>
      <c r="C606" s="7" t="str">
        <f aca="false">PROPER(TRIM(customer_churn_dataset!C606))</f>
        <v>One Year</v>
      </c>
      <c r="D606" s="7" t="n">
        <f aca="false">IF(ISBLANK(customer_churn_dataset!D606),ROUND(MEDIAN(customer_churn_dataset!D$2:D$1501),2),IF(customer_churn_dataset!D606&lt;0,ABS(customer_churn_dataset!D606),customer_churn_dataset!D606))</f>
        <v>9.62</v>
      </c>
      <c r="E606" s="7" t="n">
        <f aca="false">IF(ISBLANK(customer_churn_dataset!E606),0,MAX(0,customer_churn_dataset!E606))</f>
        <v>0</v>
      </c>
      <c r="F606" s="8" t="n">
        <f aca="false">IF(ISBLANK(customer_churn_dataset!F606),"",customer_churn_dataset!F606)</f>
        <v>44647</v>
      </c>
      <c r="G606" s="7" t="str">
        <f aca="false">PROPER(TRIM(customer_churn_dataset!G606))</f>
        <v>Bank Transfer</v>
      </c>
      <c r="H606" s="7" t="n">
        <f aca="false">IF(ISBLANK(customer_churn_dataset!H606),0,customer_churn_dataset!H606)</f>
        <v>1</v>
      </c>
      <c r="I606" s="7" t="n">
        <f aca="false">IF(ISBLANK(customer_churn_dataset!I606),ROUND(MEDIAN(customer_churn_dataset!I$2:I$1501),1),MIN(100,MAX(0,customer_churn_dataset!I606)))</f>
        <v>45</v>
      </c>
      <c r="J606" s="7" t="n">
        <f aca="false">IF(ISBLANK(customer_churn_dataset!J606),0,MAX(0,customer_churn_dataset!J606))</f>
        <v>7</v>
      </c>
      <c r="K606" s="7" t="n">
        <f aca="false">IF(ISBLANK(customer_churn_dataset!K606),0,MIN(10,MAX(0,customer_churn_dataset!K606)))</f>
        <v>2</v>
      </c>
      <c r="L606" s="7" t="n">
        <f aca="false">IF(ISBLANK(customer_churn_dataset!L606),0,MAX(0,customer_churn_dataset!L606))</f>
        <v>0</v>
      </c>
      <c r="M606" s="7" t="n">
        <f aca="false">IF(ISBLANK(customer_churn_dataset!M606),0,customer_churn_dataset!M606)</f>
        <v>0</v>
      </c>
      <c r="N606" s="7" t="n">
        <f aca="false">IF(ISBLANK(customer_churn_dataset!N606),0,MAX(0,customer_churn_dataset!N606))</f>
        <v>0</v>
      </c>
      <c r="O606" s="7" t="n">
        <f aca="false">IF(ISBLANK(customer_churn_dataset!O606),0,customer_churn_dataset!O606)</f>
        <v>1</v>
      </c>
      <c r="P606" s="7" t="str">
        <f aca="false">IF(COUNTIF(customer_churn_dataset!$A$2:$A$1501,customer_churn_dataset!A606)&gt;1,"Duplicate","Unique")</f>
        <v>Unique</v>
      </c>
    </row>
    <row r="607" customFormat="false" ht="14.15" hidden="false" customHeight="true" outlineLevel="0" collapsed="false">
      <c r="A607" s="7" t="str">
        <f aca="false">TRIM(customer_churn_dataset!A607)</f>
        <v>CUST100787</v>
      </c>
      <c r="B607" s="7" t="str">
        <f aca="false">PROPER(TRIM(customer_churn_dataset!B607))</f>
        <v>Basic</v>
      </c>
      <c r="C607" s="7" t="str">
        <f aca="false">PROPER(TRIM(customer_churn_dataset!C607))</f>
        <v>Month-To-Month</v>
      </c>
      <c r="D607" s="7" t="n">
        <f aca="false">IF(ISBLANK(customer_churn_dataset!D607),ROUND(MEDIAN(customer_churn_dataset!D$2:D$1501),2),IF(customer_churn_dataset!D607&lt;0,ABS(customer_churn_dataset!D607),customer_churn_dataset!D607))</f>
        <v>9.96</v>
      </c>
      <c r="E607" s="7" t="n">
        <f aca="false">IF(ISBLANK(customer_churn_dataset!E607),0,MAX(0,customer_churn_dataset!E607))</f>
        <v>9</v>
      </c>
      <c r="F607" s="8" t="n">
        <f aca="false">IF(ISBLANK(customer_churn_dataset!F607),"",customer_churn_dataset!F607)</f>
        <v>44649</v>
      </c>
      <c r="G607" s="7" t="str">
        <f aca="false">PROPER(TRIM(customer_churn_dataset!G607))</f>
        <v>Bank Transfer</v>
      </c>
      <c r="H607" s="7" t="n">
        <f aca="false">IF(ISBLANK(customer_churn_dataset!H607),0,customer_churn_dataset!H607)</f>
        <v>1</v>
      </c>
      <c r="I607" s="7" t="n">
        <f aca="false">IF(ISBLANK(customer_churn_dataset!I607),ROUND(MEDIAN(customer_churn_dataset!I$2:I$1501),1),MIN(100,MAX(0,customer_churn_dataset!I607)))</f>
        <v>96.8</v>
      </c>
      <c r="J607" s="7" t="n">
        <f aca="false">IF(ISBLANK(customer_churn_dataset!J607),0,MAX(0,customer_churn_dataset!J607))</f>
        <v>25</v>
      </c>
      <c r="K607" s="7" t="n">
        <f aca="false">IF(ISBLANK(customer_churn_dataset!K607),0,MIN(10,MAX(0,customer_churn_dataset!K607)))</f>
        <v>7</v>
      </c>
      <c r="L607" s="7" t="n">
        <f aca="false">IF(ISBLANK(customer_churn_dataset!L607),0,MAX(0,customer_churn_dataset!L607))</f>
        <v>5</v>
      </c>
      <c r="M607" s="7" t="n">
        <f aca="false">IF(ISBLANK(customer_churn_dataset!M607),0,customer_churn_dataset!M607)</f>
        <v>0</v>
      </c>
      <c r="N607" s="7" t="n">
        <f aca="false">IF(ISBLANK(customer_churn_dataset!N607),0,MAX(0,customer_churn_dataset!N607))</f>
        <v>89.64</v>
      </c>
      <c r="O607" s="7" t="n">
        <f aca="false">IF(ISBLANK(customer_churn_dataset!O607),0,customer_churn_dataset!O607)</f>
        <v>0</v>
      </c>
      <c r="P607" s="7" t="str">
        <f aca="false">IF(COUNTIF(customer_churn_dataset!$A$2:$A$1501,customer_churn_dataset!A607)&gt;1,"Duplicate","Unique")</f>
        <v>Unique</v>
      </c>
    </row>
    <row r="608" customFormat="false" ht="14.15" hidden="false" customHeight="true" outlineLevel="0" collapsed="false">
      <c r="A608" s="7" t="str">
        <f aca="false">TRIM(customer_churn_dataset!A608)</f>
        <v>CUST100188</v>
      </c>
      <c r="B608" s="7" t="str">
        <f aca="false">PROPER(TRIM(customer_churn_dataset!B608))</f>
        <v>Standard</v>
      </c>
      <c r="C608" s="7" t="str">
        <f aca="false">PROPER(TRIM(customer_churn_dataset!C608))</f>
        <v>Month-To-Month</v>
      </c>
      <c r="D608" s="7" t="n">
        <f aca="false">IF(ISBLANK(customer_churn_dataset!D608),ROUND(MEDIAN(customer_churn_dataset!D$2:D$1501),2),IF(customer_churn_dataset!D608&lt;0,ABS(customer_churn_dataset!D608),customer_churn_dataset!D608))</f>
        <v>18.62</v>
      </c>
      <c r="E608" s="7" t="n">
        <f aca="false">IF(ISBLANK(customer_churn_dataset!E608),0,MAX(0,customer_churn_dataset!E608))</f>
        <v>12</v>
      </c>
      <c r="F608" s="8" t="n">
        <f aca="false">IF(ISBLANK(customer_churn_dataset!F608),"",customer_churn_dataset!F608)</f>
        <v>44649</v>
      </c>
      <c r="G608" s="7" t="str">
        <f aca="false">PROPER(TRIM(customer_churn_dataset!G608))</f>
        <v>Bank Transfer</v>
      </c>
      <c r="H608" s="7" t="n">
        <f aca="false">IF(ISBLANK(customer_churn_dataset!H608),0,customer_churn_dataset!H608)</f>
        <v>0</v>
      </c>
      <c r="I608" s="7" t="n">
        <f aca="false">IF(ISBLANK(customer_churn_dataset!I608),ROUND(MEDIAN(customer_churn_dataset!I$2:I$1501),1),MIN(100,MAX(0,customer_churn_dataset!I608)))</f>
        <v>71.9</v>
      </c>
      <c r="J608" s="7" t="n">
        <f aca="false">IF(ISBLANK(customer_churn_dataset!J608),0,MAX(0,customer_churn_dataset!J608))</f>
        <v>24</v>
      </c>
      <c r="K608" s="7" t="n">
        <f aca="false">IF(ISBLANK(customer_churn_dataset!K608),0,MIN(10,MAX(0,customer_churn_dataset!K608)))</f>
        <v>9</v>
      </c>
      <c r="L608" s="7" t="n">
        <f aca="false">IF(ISBLANK(customer_churn_dataset!L608),0,MAX(0,customer_churn_dataset!L608))</f>
        <v>7</v>
      </c>
      <c r="M608" s="7" t="n">
        <f aca="false">IF(ISBLANK(customer_churn_dataset!M608),0,customer_churn_dataset!M608)</f>
        <v>0</v>
      </c>
      <c r="N608" s="7" t="n">
        <f aca="false">IF(ISBLANK(customer_churn_dataset!N608),0,MAX(0,customer_churn_dataset!N608))</f>
        <v>223.44</v>
      </c>
      <c r="O608" s="7" t="n">
        <f aca="false">IF(ISBLANK(customer_churn_dataset!O608),0,customer_churn_dataset!O608)</f>
        <v>1</v>
      </c>
      <c r="P608" s="7" t="str">
        <f aca="false">IF(COUNTIF(customer_churn_dataset!$A$2:$A$1501,customer_churn_dataset!A608)&gt;1,"Duplicate","Unique")</f>
        <v>Unique</v>
      </c>
    </row>
    <row r="609" customFormat="false" ht="14.15" hidden="false" customHeight="true" outlineLevel="0" collapsed="false">
      <c r="A609" s="7" t="str">
        <f aca="false">TRIM(customer_churn_dataset!A609)</f>
        <v>CUST101324</v>
      </c>
      <c r="B609" s="7" t="str">
        <f aca="false">PROPER(TRIM(customer_churn_dataset!B609))</f>
        <v>Premium</v>
      </c>
      <c r="C609" s="7" t="str">
        <f aca="false">PROPER(TRIM(customer_churn_dataset!C609))</f>
        <v>Month-To-Month</v>
      </c>
      <c r="D609" s="7" t="n">
        <f aca="false">IF(ISBLANK(customer_churn_dataset!D609),ROUND(MEDIAN(customer_churn_dataset!D$2:D$1501),2),IF(customer_churn_dataset!D609&lt;0,ABS(customer_churn_dataset!D609),customer_churn_dataset!D609))</f>
        <v>39.44</v>
      </c>
      <c r="E609" s="7" t="n">
        <f aca="false">IF(ISBLANK(customer_churn_dataset!E609),0,MAX(0,customer_churn_dataset!E609))</f>
        <v>26</v>
      </c>
      <c r="F609" s="8" t="n">
        <f aca="false">IF(ISBLANK(customer_churn_dataset!F609),"",customer_churn_dataset!F609)</f>
        <v>44649</v>
      </c>
      <c r="G609" s="7" t="str">
        <f aca="false">PROPER(TRIM(customer_churn_dataset!G609))</f>
        <v>Credit Card</v>
      </c>
      <c r="H609" s="7" t="n">
        <f aca="false">IF(ISBLANK(customer_churn_dataset!H609),0,customer_churn_dataset!H609)</f>
        <v>1</v>
      </c>
      <c r="I609" s="7" t="n">
        <f aca="false">IF(ISBLANK(customer_churn_dataset!I609),ROUND(MEDIAN(customer_churn_dataset!I$2:I$1501),1),MIN(100,MAX(0,customer_churn_dataset!I609)))</f>
        <v>53.5</v>
      </c>
      <c r="J609" s="7" t="n">
        <f aca="false">IF(ISBLANK(customer_churn_dataset!J609),0,MAX(0,customer_churn_dataset!J609))</f>
        <v>16</v>
      </c>
      <c r="K609" s="7" t="n">
        <f aca="false">IF(ISBLANK(customer_churn_dataset!K609),0,MIN(10,MAX(0,customer_churn_dataset!K609)))</f>
        <v>6</v>
      </c>
      <c r="L609" s="7" t="n">
        <f aca="false">IF(ISBLANK(customer_churn_dataset!L609),0,MAX(0,customer_churn_dataset!L609))</f>
        <v>1</v>
      </c>
      <c r="M609" s="7" t="n">
        <f aca="false">IF(ISBLANK(customer_churn_dataset!M609),0,customer_churn_dataset!M609)</f>
        <v>1</v>
      </c>
      <c r="N609" s="7" t="n">
        <f aca="false">IF(ISBLANK(customer_churn_dataset!N609),0,MAX(0,customer_churn_dataset!N609))</f>
        <v>1025.44</v>
      </c>
      <c r="O609" s="7" t="n">
        <f aca="false">IF(ISBLANK(customer_churn_dataset!O609),0,customer_churn_dataset!O609)</f>
        <v>1</v>
      </c>
      <c r="P609" s="7" t="str">
        <f aca="false">IF(COUNTIF(customer_churn_dataset!$A$2:$A$1501,customer_churn_dataset!A609)&gt;1,"Duplicate","Unique")</f>
        <v>Unique</v>
      </c>
    </row>
    <row r="610" customFormat="false" ht="14.15" hidden="false" customHeight="true" outlineLevel="0" collapsed="false">
      <c r="A610" s="7" t="str">
        <f aca="false">TRIM(customer_churn_dataset!A610)</f>
        <v>CUST100134</v>
      </c>
      <c r="B610" s="7" t="str">
        <f aca="false">PROPER(TRIM(customer_churn_dataset!B610))</f>
        <v>Premium</v>
      </c>
      <c r="C610" s="7" t="str">
        <f aca="false">PROPER(TRIM(customer_churn_dataset!C610))</f>
        <v>Month-To-Month</v>
      </c>
      <c r="D610" s="7" t="n">
        <f aca="false">IF(ISBLANK(customer_churn_dataset!D610),ROUND(MEDIAN(customer_churn_dataset!D$2:D$1501),2),IF(customer_churn_dataset!D610&lt;0,ABS(customer_churn_dataset!D610),customer_churn_dataset!D610))</f>
        <v>40.07</v>
      </c>
      <c r="E610" s="7" t="n">
        <f aca="false">IF(ISBLANK(customer_churn_dataset!E610),0,MAX(0,customer_churn_dataset!E610))</f>
        <v>11</v>
      </c>
      <c r="F610" s="8" t="n">
        <f aca="false">IF(ISBLANK(customer_churn_dataset!F610),"",customer_churn_dataset!F610)</f>
        <v>44650</v>
      </c>
      <c r="G610" s="7" t="str">
        <f aca="false">PROPER(TRIM(customer_churn_dataset!G610))</f>
        <v>Credit Card</v>
      </c>
      <c r="H610" s="7" t="n">
        <f aca="false">IF(ISBLANK(customer_churn_dataset!H610),0,customer_churn_dataset!H610)</f>
        <v>1</v>
      </c>
      <c r="I610" s="7" t="n">
        <f aca="false">IF(ISBLANK(customer_churn_dataset!I610),ROUND(MEDIAN(customer_churn_dataset!I$2:I$1501),1),MIN(100,MAX(0,customer_churn_dataset!I610)))</f>
        <v>52.7</v>
      </c>
      <c r="J610" s="7" t="n">
        <f aca="false">IF(ISBLANK(customer_churn_dataset!J610),0,MAX(0,customer_churn_dataset!J610))</f>
        <v>17</v>
      </c>
      <c r="K610" s="7" t="n">
        <f aca="false">IF(ISBLANK(customer_churn_dataset!K610),0,MIN(10,MAX(0,customer_churn_dataset!K610)))</f>
        <v>6</v>
      </c>
      <c r="L610" s="7" t="n">
        <f aca="false">IF(ISBLANK(customer_churn_dataset!L610),0,MAX(0,customer_churn_dataset!L610))</f>
        <v>3</v>
      </c>
      <c r="M610" s="7" t="n">
        <f aca="false">IF(ISBLANK(customer_churn_dataset!M610),0,customer_churn_dataset!M610)</f>
        <v>0</v>
      </c>
      <c r="N610" s="7" t="n">
        <f aca="false">IF(ISBLANK(customer_churn_dataset!N610),0,MAX(0,customer_churn_dataset!N610))</f>
        <v>440.77</v>
      </c>
      <c r="O610" s="7" t="n">
        <f aca="false">IF(ISBLANK(customer_churn_dataset!O610),0,customer_churn_dataset!O610)</f>
        <v>1</v>
      </c>
      <c r="P610" s="7" t="str">
        <f aca="false">IF(COUNTIF(customer_churn_dataset!$A$2:$A$1501,customer_churn_dataset!A610)&gt;1,"Duplicate","Unique")</f>
        <v>Unique</v>
      </c>
    </row>
    <row r="611" customFormat="false" ht="14.15" hidden="false" customHeight="true" outlineLevel="0" collapsed="false">
      <c r="A611" s="7" t="str">
        <f aca="false">TRIM(customer_churn_dataset!A611)</f>
        <v>CUST100605</v>
      </c>
      <c r="B611" s="7" t="str">
        <f aca="false">PROPER(TRIM(customer_churn_dataset!B611))</f>
        <v>Standard</v>
      </c>
      <c r="C611" s="7" t="str">
        <f aca="false">PROPER(TRIM(customer_churn_dataset!C611))</f>
        <v>Month-To-Month</v>
      </c>
      <c r="D611" s="7" t="n">
        <f aca="false">IF(ISBLANK(customer_churn_dataset!D611),ROUND(MEDIAN(customer_churn_dataset!D$2:D$1501),2),IF(customer_churn_dataset!D611&lt;0,ABS(customer_churn_dataset!D611),customer_churn_dataset!D611))</f>
        <v>19.15</v>
      </c>
      <c r="E611" s="7" t="n">
        <f aca="false">IF(ISBLANK(customer_churn_dataset!E611),0,MAX(0,customer_churn_dataset!E611))</f>
        <v>8</v>
      </c>
      <c r="F611" s="8" t="n">
        <f aca="false">IF(ISBLANK(customer_churn_dataset!F611),"",customer_churn_dataset!F611)</f>
        <v>44651</v>
      </c>
      <c r="G611" s="7" t="str">
        <f aca="false">PROPER(TRIM(customer_churn_dataset!G611))</f>
        <v>Paypal</v>
      </c>
      <c r="H611" s="7" t="n">
        <f aca="false">IF(ISBLANK(customer_churn_dataset!H611),0,customer_churn_dataset!H611)</f>
        <v>1</v>
      </c>
      <c r="I611" s="7" t="n">
        <f aca="false">IF(ISBLANK(customer_churn_dataset!I611),ROUND(MEDIAN(customer_churn_dataset!I$2:I$1501),1),MIN(100,MAX(0,customer_churn_dataset!I611)))</f>
        <v>52.5</v>
      </c>
      <c r="J611" s="7" t="n">
        <f aca="false">IF(ISBLANK(customer_churn_dataset!J611),0,MAX(0,customer_churn_dataset!J611))</f>
        <v>19</v>
      </c>
      <c r="K611" s="7" t="n">
        <f aca="false">IF(ISBLANK(customer_churn_dataset!K611),0,MIN(10,MAX(0,customer_churn_dataset!K611)))</f>
        <v>3</v>
      </c>
      <c r="L611" s="7" t="n">
        <f aca="false">IF(ISBLANK(customer_churn_dataset!L611),0,MAX(0,customer_churn_dataset!L611))</f>
        <v>1</v>
      </c>
      <c r="M611" s="7" t="n">
        <f aca="false">IF(ISBLANK(customer_churn_dataset!M611),0,customer_churn_dataset!M611)</f>
        <v>1</v>
      </c>
      <c r="N611" s="7" t="n">
        <f aca="false">IF(ISBLANK(customer_churn_dataset!N611),0,MAX(0,customer_churn_dataset!N611))</f>
        <v>153.2</v>
      </c>
      <c r="O611" s="7" t="n">
        <f aca="false">IF(ISBLANK(customer_churn_dataset!O611),0,customer_churn_dataset!O611)</f>
        <v>0</v>
      </c>
      <c r="P611" s="7" t="str">
        <f aca="false">IF(COUNTIF(customer_churn_dataset!$A$2:$A$1501,customer_churn_dataset!A611)&gt;1,"Duplicate","Unique")</f>
        <v>Unique</v>
      </c>
    </row>
    <row r="612" customFormat="false" ht="14.15" hidden="false" customHeight="true" outlineLevel="0" collapsed="false">
      <c r="A612" s="7" t="str">
        <f aca="false">TRIM(customer_churn_dataset!A612)</f>
        <v>CUST101440</v>
      </c>
      <c r="B612" s="7" t="str">
        <f aca="false">PROPER(TRIM(customer_churn_dataset!B612))</f>
        <v>Premium</v>
      </c>
      <c r="C612" s="7" t="str">
        <f aca="false">PROPER(TRIM(customer_churn_dataset!C612))</f>
        <v>Month-To-Month</v>
      </c>
      <c r="D612" s="7" t="n">
        <f aca="false">IF(ISBLANK(customer_churn_dataset!D612),ROUND(MEDIAN(customer_churn_dataset!D$2:D$1501),2),IF(customer_churn_dataset!D612&lt;0,ABS(customer_churn_dataset!D612),customer_churn_dataset!D612))</f>
        <v>38.11</v>
      </c>
      <c r="E612" s="7" t="n">
        <f aca="false">IF(ISBLANK(customer_churn_dataset!E612),0,MAX(0,customer_churn_dataset!E612))</f>
        <v>10</v>
      </c>
      <c r="F612" s="8" t="n">
        <f aca="false">IF(ISBLANK(customer_churn_dataset!F612),"",customer_churn_dataset!F612)</f>
        <v>44651</v>
      </c>
      <c r="G612" s="7" t="str">
        <f aca="false">PROPER(TRIM(customer_churn_dataset!G612))</f>
        <v>Bank Transfer</v>
      </c>
      <c r="H612" s="7" t="n">
        <f aca="false">IF(ISBLANK(customer_churn_dataset!H612),0,customer_churn_dataset!H612)</f>
        <v>0</v>
      </c>
      <c r="I612" s="7" t="n">
        <f aca="false">IF(ISBLANK(customer_churn_dataset!I612),ROUND(MEDIAN(customer_churn_dataset!I$2:I$1501),1),MIN(100,MAX(0,customer_churn_dataset!I612)))</f>
        <v>13.6</v>
      </c>
      <c r="J612" s="7" t="n">
        <f aca="false">IF(ISBLANK(customer_churn_dataset!J612),0,MAX(0,customer_churn_dataset!J612))</f>
        <v>4</v>
      </c>
      <c r="K612" s="7" t="n">
        <f aca="false">IF(ISBLANK(customer_churn_dataset!K612),0,MIN(10,MAX(0,customer_churn_dataset!K612)))</f>
        <v>2</v>
      </c>
      <c r="L612" s="7" t="n">
        <f aca="false">IF(ISBLANK(customer_churn_dataset!L612),0,MAX(0,customer_churn_dataset!L612))</f>
        <v>1</v>
      </c>
      <c r="M612" s="7" t="n">
        <f aca="false">IF(ISBLANK(customer_churn_dataset!M612),0,customer_churn_dataset!M612)</f>
        <v>1</v>
      </c>
      <c r="N612" s="7" t="n">
        <f aca="false">IF(ISBLANK(customer_churn_dataset!N612),0,MAX(0,customer_churn_dataset!N612))</f>
        <v>381.1</v>
      </c>
      <c r="O612" s="7" t="n">
        <f aca="false">IF(ISBLANK(customer_churn_dataset!O612),0,customer_churn_dataset!O612)</f>
        <v>1</v>
      </c>
      <c r="P612" s="7" t="str">
        <f aca="false">IF(COUNTIF(customer_churn_dataset!$A$2:$A$1501,customer_churn_dataset!A612)&gt;1,"Duplicate","Unique")</f>
        <v>Unique</v>
      </c>
    </row>
    <row r="613" customFormat="false" ht="14.15" hidden="false" customHeight="true" outlineLevel="0" collapsed="false">
      <c r="A613" s="7" t="str">
        <f aca="false">TRIM(customer_churn_dataset!A613)</f>
        <v>CUST100439</v>
      </c>
      <c r="B613" s="7" t="str">
        <f aca="false">PROPER(TRIM(customer_churn_dataset!B613))</f>
        <v>Basic</v>
      </c>
      <c r="C613" s="7" t="str">
        <f aca="false">PROPER(TRIM(customer_churn_dataset!C613))</f>
        <v>Two Year</v>
      </c>
      <c r="D613" s="7" t="n">
        <f aca="false">IF(ISBLANK(customer_churn_dataset!D613),ROUND(MEDIAN(customer_churn_dataset!D$2:D$1501),2),IF(customer_churn_dataset!D613&lt;0,ABS(customer_churn_dataset!D613),customer_churn_dataset!D613))</f>
        <v>9.26</v>
      </c>
      <c r="E613" s="7" t="n">
        <f aca="false">IF(ISBLANK(customer_churn_dataset!E613),0,MAX(0,customer_churn_dataset!E613))</f>
        <v>16</v>
      </c>
      <c r="F613" s="8" t="n">
        <f aca="false">IF(ISBLANK(customer_churn_dataset!F613),"",customer_churn_dataset!F613)</f>
        <v>44652</v>
      </c>
      <c r="G613" s="7" t="str">
        <f aca="false">PROPER(TRIM(customer_churn_dataset!G613))</f>
        <v>Bank Transfer</v>
      </c>
      <c r="H613" s="7" t="n">
        <f aca="false">IF(ISBLANK(customer_churn_dataset!H613),0,customer_churn_dataset!H613)</f>
        <v>1</v>
      </c>
      <c r="I613" s="7" t="n">
        <f aca="false">IF(ISBLANK(customer_churn_dataset!I613),ROUND(MEDIAN(customer_churn_dataset!I$2:I$1501),1),MIN(100,MAX(0,customer_churn_dataset!I613)))</f>
        <v>54.2</v>
      </c>
      <c r="J613" s="7" t="n">
        <f aca="false">IF(ISBLANK(customer_churn_dataset!J613),0,MAX(0,customer_churn_dataset!J613))</f>
        <v>18</v>
      </c>
      <c r="K613" s="7" t="n">
        <f aca="false">IF(ISBLANK(customer_churn_dataset!K613),0,MIN(10,MAX(0,customer_churn_dataset!K613)))</f>
        <v>5</v>
      </c>
      <c r="L613" s="7" t="n">
        <f aca="false">IF(ISBLANK(customer_churn_dataset!L613),0,MAX(0,customer_churn_dataset!L613))</f>
        <v>4</v>
      </c>
      <c r="M613" s="7" t="n">
        <f aca="false">IF(ISBLANK(customer_churn_dataset!M613),0,customer_churn_dataset!M613)</f>
        <v>0</v>
      </c>
      <c r="N613" s="7" t="n">
        <f aca="false">IF(ISBLANK(customer_churn_dataset!N613),0,MAX(0,customer_churn_dataset!N613))</f>
        <v>148.16</v>
      </c>
      <c r="O613" s="7" t="n">
        <f aca="false">IF(ISBLANK(customer_churn_dataset!O613),0,customer_churn_dataset!O613)</f>
        <v>0</v>
      </c>
      <c r="P613" s="7" t="str">
        <f aca="false">IF(COUNTIF(customer_churn_dataset!$A$2:$A$1501,customer_churn_dataset!A613)&gt;1,"Duplicate","Unique")</f>
        <v>Unique</v>
      </c>
    </row>
    <row r="614" customFormat="false" ht="14.15" hidden="false" customHeight="true" outlineLevel="0" collapsed="false">
      <c r="A614" s="7" t="str">
        <f aca="false">TRIM(customer_churn_dataset!A614)</f>
        <v>CUST100520</v>
      </c>
      <c r="B614" s="7" t="str">
        <f aca="false">PROPER(TRIM(customer_churn_dataset!B614))</f>
        <v>Standard</v>
      </c>
      <c r="C614" s="7" t="str">
        <f aca="false">PROPER(TRIM(customer_churn_dataset!C614))</f>
        <v>Two Year</v>
      </c>
      <c r="D614" s="7" t="n">
        <f aca="false">IF(ISBLANK(customer_churn_dataset!D614),ROUND(MEDIAN(customer_churn_dataset!D$2:D$1501),2),IF(customer_churn_dataset!D614&lt;0,ABS(customer_churn_dataset!D614),customer_churn_dataset!D614))</f>
        <v>20.39</v>
      </c>
      <c r="E614" s="7" t="n">
        <f aca="false">IF(ISBLANK(customer_churn_dataset!E614),0,MAX(0,customer_churn_dataset!E614))</f>
        <v>12</v>
      </c>
      <c r="F614" s="8" t="n">
        <f aca="false">IF(ISBLANK(customer_churn_dataset!F614),"",customer_churn_dataset!F614)</f>
        <v>44653</v>
      </c>
      <c r="G614" s="7" t="str">
        <f aca="false">PROPER(TRIM(customer_churn_dataset!G614))</f>
        <v>Credit Card</v>
      </c>
      <c r="H614" s="7" t="n">
        <f aca="false">IF(ISBLANK(customer_churn_dataset!H614),0,customer_churn_dataset!H614)</f>
        <v>1</v>
      </c>
      <c r="I614" s="7" t="n">
        <f aca="false">IF(ISBLANK(customer_churn_dataset!I614),ROUND(MEDIAN(customer_churn_dataset!I$2:I$1501),1),MIN(100,MAX(0,customer_churn_dataset!I614)))</f>
        <v>66.4</v>
      </c>
      <c r="J614" s="7" t="n">
        <f aca="false">IF(ISBLANK(customer_churn_dataset!J614),0,MAX(0,customer_churn_dataset!J614))</f>
        <v>13</v>
      </c>
      <c r="K614" s="7" t="n">
        <f aca="false">IF(ISBLANK(customer_churn_dataset!K614),0,MIN(10,MAX(0,customer_churn_dataset!K614)))</f>
        <v>6</v>
      </c>
      <c r="L614" s="7" t="n">
        <f aca="false">IF(ISBLANK(customer_churn_dataset!L614),0,MAX(0,customer_churn_dataset!L614))</f>
        <v>2</v>
      </c>
      <c r="M614" s="7" t="n">
        <f aca="false">IF(ISBLANK(customer_churn_dataset!M614),0,customer_churn_dataset!M614)</f>
        <v>1</v>
      </c>
      <c r="N614" s="7" t="n">
        <f aca="false">IF(ISBLANK(customer_churn_dataset!N614),0,MAX(0,customer_churn_dataset!N614))</f>
        <v>244.68</v>
      </c>
      <c r="O614" s="7" t="n">
        <f aca="false">IF(ISBLANK(customer_churn_dataset!O614),0,customer_churn_dataset!O614)</f>
        <v>0</v>
      </c>
      <c r="P614" s="7" t="str">
        <f aca="false">IF(COUNTIF(customer_churn_dataset!$A$2:$A$1501,customer_churn_dataset!A614)&gt;1,"Duplicate","Unique")</f>
        <v>Unique</v>
      </c>
    </row>
    <row r="615" customFormat="false" ht="14.15" hidden="false" customHeight="true" outlineLevel="0" collapsed="false">
      <c r="A615" s="7" t="str">
        <f aca="false">TRIM(customer_churn_dataset!A615)</f>
        <v>CUST100506</v>
      </c>
      <c r="B615" s="7" t="str">
        <f aca="false">PROPER(TRIM(customer_churn_dataset!B615))</f>
        <v>Premium</v>
      </c>
      <c r="C615" s="7" t="str">
        <f aca="false">PROPER(TRIM(customer_churn_dataset!C615))</f>
        <v>Month-To-Month</v>
      </c>
      <c r="D615" s="7" t="n">
        <f aca="false">IF(ISBLANK(customer_churn_dataset!D615),ROUND(MEDIAN(customer_churn_dataset!D$2:D$1501),2),IF(customer_churn_dataset!D615&lt;0,ABS(customer_churn_dataset!D615),customer_churn_dataset!D615))</f>
        <v>38.99</v>
      </c>
      <c r="E615" s="7" t="n">
        <f aca="false">IF(ISBLANK(customer_churn_dataset!E615),0,MAX(0,customer_churn_dataset!E615))</f>
        <v>12</v>
      </c>
      <c r="F615" s="8" t="n">
        <f aca="false">IF(ISBLANK(customer_churn_dataset!F615),"",customer_churn_dataset!F615)</f>
        <v>44655</v>
      </c>
      <c r="G615" s="7" t="str">
        <f aca="false">PROPER(TRIM(customer_churn_dataset!G615))</f>
        <v>Paypal</v>
      </c>
      <c r="H615" s="7" t="n">
        <f aca="false">IF(ISBLANK(customer_churn_dataset!H615),0,customer_churn_dataset!H615)</f>
        <v>1</v>
      </c>
      <c r="I615" s="7" t="n">
        <f aca="false">IF(ISBLANK(customer_churn_dataset!I615),ROUND(MEDIAN(customer_churn_dataset!I$2:I$1501),1),MIN(100,MAX(0,customer_churn_dataset!I615)))</f>
        <v>46.7</v>
      </c>
      <c r="J615" s="7" t="n">
        <f aca="false">IF(ISBLANK(customer_churn_dataset!J615),0,MAX(0,customer_churn_dataset!J615))</f>
        <v>16</v>
      </c>
      <c r="K615" s="7" t="n">
        <f aca="false">IF(ISBLANK(customer_churn_dataset!K615),0,MIN(10,MAX(0,customer_churn_dataset!K615)))</f>
        <v>7</v>
      </c>
      <c r="L615" s="7" t="n">
        <f aca="false">IF(ISBLANK(customer_churn_dataset!L615),0,MAX(0,customer_churn_dataset!L615))</f>
        <v>2</v>
      </c>
      <c r="M615" s="7" t="n">
        <f aca="false">IF(ISBLANK(customer_churn_dataset!M615),0,customer_churn_dataset!M615)</f>
        <v>1</v>
      </c>
      <c r="N615" s="7" t="n">
        <f aca="false">IF(ISBLANK(customer_churn_dataset!N615),0,MAX(0,customer_churn_dataset!N615))</f>
        <v>467.88</v>
      </c>
      <c r="O615" s="7" t="n">
        <f aca="false">IF(ISBLANK(customer_churn_dataset!O615),0,customer_churn_dataset!O615)</f>
        <v>1</v>
      </c>
      <c r="P615" s="7" t="str">
        <f aca="false">IF(COUNTIF(customer_churn_dataset!$A$2:$A$1501,customer_churn_dataset!A615)&gt;1,"Duplicate","Unique")</f>
        <v>Unique</v>
      </c>
    </row>
    <row r="616" customFormat="false" ht="14.15" hidden="false" customHeight="true" outlineLevel="0" collapsed="false">
      <c r="A616" s="7" t="str">
        <f aca="false">TRIM(customer_churn_dataset!A616)</f>
        <v>CUST100827</v>
      </c>
      <c r="B616" s="7" t="str">
        <f aca="false">PROPER(TRIM(customer_churn_dataset!B616))</f>
        <v>Basic</v>
      </c>
      <c r="C616" s="7" t="str">
        <f aca="false">PROPER(TRIM(customer_churn_dataset!C616))</f>
        <v>One Year</v>
      </c>
      <c r="D616" s="7" t="n">
        <f aca="false">IF(ISBLANK(customer_churn_dataset!D616),ROUND(MEDIAN(customer_churn_dataset!D$2:D$1501),2),IF(customer_churn_dataset!D616&lt;0,ABS(customer_churn_dataset!D616),customer_churn_dataset!D616))</f>
        <v>10.51</v>
      </c>
      <c r="E616" s="7" t="n">
        <f aca="false">IF(ISBLANK(customer_churn_dataset!E616),0,MAX(0,customer_churn_dataset!E616))</f>
        <v>19</v>
      </c>
      <c r="F616" s="8" t="n">
        <f aca="false">IF(ISBLANK(customer_churn_dataset!F616),"",customer_churn_dataset!F616)</f>
        <v>44656</v>
      </c>
      <c r="G616" s="7" t="str">
        <f aca="false">PROPER(TRIM(customer_churn_dataset!G616))</f>
        <v>Credit Card</v>
      </c>
      <c r="H616" s="7" t="n">
        <f aca="false">IF(ISBLANK(customer_churn_dataset!H616),0,customer_churn_dataset!H616)</f>
        <v>1</v>
      </c>
      <c r="I616" s="7" t="n">
        <f aca="false">IF(ISBLANK(customer_churn_dataset!I616),ROUND(MEDIAN(customer_churn_dataset!I$2:I$1501),1),MIN(100,MAX(0,customer_churn_dataset!I616)))</f>
        <v>32.5</v>
      </c>
      <c r="J616" s="7" t="n">
        <f aca="false">IF(ISBLANK(customer_churn_dataset!J616),0,MAX(0,customer_churn_dataset!J616))</f>
        <v>11</v>
      </c>
      <c r="K616" s="7" t="n">
        <f aca="false">IF(ISBLANK(customer_churn_dataset!K616),0,MIN(10,MAX(0,customer_churn_dataset!K616)))</f>
        <v>3</v>
      </c>
      <c r="L616" s="7" t="n">
        <f aca="false">IF(ISBLANK(customer_churn_dataset!L616),0,MAX(0,customer_churn_dataset!L616))</f>
        <v>4</v>
      </c>
      <c r="M616" s="7" t="n">
        <f aca="false">IF(ISBLANK(customer_churn_dataset!M616),0,customer_churn_dataset!M616)</f>
        <v>1</v>
      </c>
      <c r="N616" s="7" t="n">
        <f aca="false">IF(ISBLANK(customer_churn_dataset!N616),0,MAX(0,customer_churn_dataset!N616))</f>
        <v>199.69</v>
      </c>
      <c r="O616" s="7" t="n">
        <f aca="false">IF(ISBLANK(customer_churn_dataset!O616),0,customer_churn_dataset!O616)</f>
        <v>0</v>
      </c>
      <c r="P616" s="7" t="str">
        <f aca="false">IF(COUNTIF(customer_churn_dataset!$A$2:$A$1501,customer_churn_dataset!A616)&gt;1,"Duplicate","Unique")</f>
        <v>Unique</v>
      </c>
    </row>
    <row r="617" customFormat="false" ht="14.15" hidden="false" customHeight="true" outlineLevel="0" collapsed="false">
      <c r="A617" s="7" t="str">
        <f aca="false">TRIM(customer_churn_dataset!A617)</f>
        <v>CUST100960</v>
      </c>
      <c r="B617" s="7" t="str">
        <f aca="false">PROPER(TRIM(customer_churn_dataset!B617))</f>
        <v>Basic</v>
      </c>
      <c r="C617" s="7" t="str">
        <f aca="false">PROPER(TRIM(customer_churn_dataset!C617))</f>
        <v>Month-To-Month</v>
      </c>
      <c r="D617" s="7" t="n">
        <f aca="false">IF(ISBLANK(customer_churn_dataset!D617),ROUND(MEDIAN(customer_churn_dataset!D$2:D$1501),2),IF(customer_churn_dataset!D617&lt;0,ABS(customer_churn_dataset!D617),customer_churn_dataset!D617))</f>
        <v>12.4</v>
      </c>
      <c r="E617" s="7" t="n">
        <f aca="false">IF(ISBLANK(customer_churn_dataset!E617),0,MAX(0,customer_churn_dataset!E617))</f>
        <v>22</v>
      </c>
      <c r="F617" s="8" t="n">
        <f aca="false">IF(ISBLANK(customer_churn_dataset!F617),"",customer_churn_dataset!F617)</f>
        <v>44658</v>
      </c>
      <c r="G617" s="7" t="str">
        <f aca="false">PROPER(TRIM(customer_churn_dataset!G617))</f>
        <v>Credit Card</v>
      </c>
      <c r="H617" s="7" t="n">
        <f aca="false">IF(ISBLANK(customer_churn_dataset!H617),0,customer_churn_dataset!H617)</f>
        <v>0</v>
      </c>
      <c r="I617" s="7" t="n">
        <f aca="false">IF(ISBLANK(customer_churn_dataset!I617),ROUND(MEDIAN(customer_churn_dataset!I$2:I$1501),1),MIN(100,MAX(0,customer_churn_dataset!I617)))</f>
        <v>60.4</v>
      </c>
      <c r="J617" s="7" t="n">
        <f aca="false">IF(ISBLANK(customer_churn_dataset!J617),0,MAX(0,customer_churn_dataset!J617))</f>
        <v>27</v>
      </c>
      <c r="K617" s="7" t="n">
        <f aca="false">IF(ISBLANK(customer_churn_dataset!K617),0,MIN(10,MAX(0,customer_churn_dataset!K617)))</f>
        <v>4</v>
      </c>
      <c r="L617" s="7" t="n">
        <f aca="false">IF(ISBLANK(customer_churn_dataset!L617),0,MAX(0,customer_churn_dataset!L617))</f>
        <v>0</v>
      </c>
      <c r="M617" s="7" t="n">
        <f aca="false">IF(ISBLANK(customer_churn_dataset!M617),0,customer_churn_dataset!M617)</f>
        <v>0</v>
      </c>
      <c r="N617" s="7" t="n">
        <f aca="false">IF(ISBLANK(customer_churn_dataset!N617),0,MAX(0,customer_churn_dataset!N617))</f>
        <v>272.8</v>
      </c>
      <c r="O617" s="7" t="n">
        <f aca="false">IF(ISBLANK(customer_churn_dataset!O617),0,customer_churn_dataset!O617)</f>
        <v>0</v>
      </c>
      <c r="P617" s="7" t="str">
        <f aca="false">IF(COUNTIF(customer_churn_dataset!$A$2:$A$1501,customer_churn_dataset!A617)&gt;1,"Duplicate","Unique")</f>
        <v>Unique</v>
      </c>
    </row>
    <row r="618" customFormat="false" ht="14.15" hidden="false" customHeight="true" outlineLevel="0" collapsed="false">
      <c r="A618" s="7" t="str">
        <f aca="false">TRIM(customer_churn_dataset!A618)</f>
        <v>CUST101357</v>
      </c>
      <c r="B618" s="7" t="str">
        <f aca="false">PROPER(TRIM(customer_churn_dataset!B618))</f>
        <v>Basic</v>
      </c>
      <c r="C618" s="7" t="str">
        <f aca="false">PROPER(TRIM(customer_churn_dataset!C618))</f>
        <v>Month-To-Month</v>
      </c>
      <c r="D618" s="7" t="n">
        <f aca="false">IF(ISBLANK(customer_churn_dataset!D618),ROUND(MEDIAN(customer_churn_dataset!D$2:D$1501),2),IF(customer_churn_dataset!D618&lt;0,ABS(customer_churn_dataset!D618),customer_churn_dataset!D618))</f>
        <v>7.77</v>
      </c>
      <c r="E618" s="7" t="n">
        <f aca="false">IF(ISBLANK(customer_churn_dataset!E618),0,MAX(0,customer_churn_dataset!E618))</f>
        <v>10</v>
      </c>
      <c r="F618" s="8" t="n">
        <f aca="false">IF(ISBLANK(customer_churn_dataset!F618),"",customer_churn_dataset!F618)</f>
        <v>44659</v>
      </c>
      <c r="G618" s="7" t="str">
        <f aca="false">PROPER(TRIM(customer_churn_dataset!G618))</f>
        <v>Bank Transfer</v>
      </c>
      <c r="H618" s="7" t="n">
        <f aca="false">IF(ISBLANK(customer_churn_dataset!H618),0,customer_churn_dataset!H618)</f>
        <v>1</v>
      </c>
      <c r="I618" s="7" t="n">
        <f aca="false">IF(ISBLANK(customer_churn_dataset!I618),ROUND(MEDIAN(customer_churn_dataset!I$2:I$1501),1),MIN(100,MAX(0,customer_churn_dataset!I618)))</f>
        <v>54.7</v>
      </c>
      <c r="J618" s="7" t="n">
        <f aca="false">IF(ISBLANK(customer_churn_dataset!J618),0,MAX(0,customer_churn_dataset!J618))</f>
        <v>16</v>
      </c>
      <c r="K618" s="7" t="n">
        <f aca="false">IF(ISBLANK(customer_churn_dataset!K618),0,MIN(10,MAX(0,customer_churn_dataset!K618)))</f>
        <v>5</v>
      </c>
      <c r="L618" s="7" t="n">
        <f aca="false">IF(ISBLANK(customer_churn_dataset!L618),0,MAX(0,customer_churn_dataset!L618))</f>
        <v>3</v>
      </c>
      <c r="M618" s="7" t="n">
        <f aca="false">IF(ISBLANK(customer_churn_dataset!M618),0,customer_churn_dataset!M618)</f>
        <v>0</v>
      </c>
      <c r="N618" s="7" t="n">
        <f aca="false">IF(ISBLANK(customer_churn_dataset!N618),0,MAX(0,customer_churn_dataset!N618))</f>
        <v>77.7</v>
      </c>
      <c r="O618" s="7" t="n">
        <f aca="false">IF(ISBLANK(customer_churn_dataset!O618),0,customer_churn_dataset!O618)</f>
        <v>0</v>
      </c>
      <c r="P618" s="7" t="str">
        <f aca="false">IF(COUNTIF(customer_churn_dataset!$A$2:$A$1501,customer_churn_dataset!A618)&gt;1,"Duplicate","Unique")</f>
        <v>Unique</v>
      </c>
    </row>
    <row r="619" customFormat="false" ht="14.15" hidden="false" customHeight="true" outlineLevel="0" collapsed="false">
      <c r="A619" s="7" t="str">
        <f aca="false">TRIM(customer_churn_dataset!A619)</f>
        <v>CUST100482</v>
      </c>
      <c r="B619" s="7" t="str">
        <f aca="false">PROPER(TRIM(customer_churn_dataset!B619))</f>
        <v>Standard</v>
      </c>
      <c r="C619" s="7" t="str">
        <f aca="false">PROPER(TRIM(customer_churn_dataset!C619))</f>
        <v>One Year</v>
      </c>
      <c r="D619" s="7" t="n">
        <f aca="false">IF(ISBLANK(customer_churn_dataset!D619),ROUND(MEDIAN(customer_churn_dataset!D$2:D$1501),2),IF(customer_churn_dataset!D619&lt;0,ABS(customer_churn_dataset!D619),customer_churn_dataset!D619))</f>
        <v>19.91</v>
      </c>
      <c r="E619" s="7" t="n">
        <f aca="false">IF(ISBLANK(customer_churn_dataset!E619),0,MAX(0,customer_churn_dataset!E619))</f>
        <v>13</v>
      </c>
      <c r="F619" s="8" t="n">
        <f aca="false">IF(ISBLANK(customer_churn_dataset!F619),"",customer_churn_dataset!F619)</f>
        <v>44659</v>
      </c>
      <c r="G619" s="7" t="str">
        <f aca="false">PROPER(TRIM(customer_churn_dataset!G619))</f>
        <v>Paypal</v>
      </c>
      <c r="H619" s="7" t="n">
        <f aca="false">IF(ISBLANK(customer_churn_dataset!H619),0,customer_churn_dataset!H619)</f>
        <v>0</v>
      </c>
      <c r="I619" s="7" t="n">
        <f aca="false">IF(ISBLANK(customer_churn_dataset!I619),ROUND(MEDIAN(customer_churn_dataset!I$2:I$1501),1),MIN(100,MAX(0,customer_churn_dataset!I619)))</f>
        <v>69.3</v>
      </c>
      <c r="J619" s="7" t="n">
        <f aca="false">IF(ISBLANK(customer_churn_dataset!J619),0,MAX(0,customer_churn_dataset!J619))</f>
        <v>21</v>
      </c>
      <c r="K619" s="7" t="n">
        <f aca="false">IF(ISBLANK(customer_churn_dataset!K619),0,MIN(10,MAX(0,customer_churn_dataset!K619)))</f>
        <v>8</v>
      </c>
      <c r="L619" s="7" t="n">
        <f aca="false">IF(ISBLANK(customer_churn_dataset!L619),0,MAX(0,customer_churn_dataset!L619))</f>
        <v>1</v>
      </c>
      <c r="M619" s="7" t="n">
        <f aca="false">IF(ISBLANK(customer_churn_dataset!M619),0,customer_churn_dataset!M619)</f>
        <v>1</v>
      </c>
      <c r="N619" s="7" t="n">
        <f aca="false">IF(ISBLANK(customer_churn_dataset!N619),0,MAX(0,customer_churn_dataset!N619))</f>
        <v>258.83</v>
      </c>
      <c r="O619" s="7" t="n">
        <f aca="false">IF(ISBLANK(customer_churn_dataset!O619),0,customer_churn_dataset!O619)</f>
        <v>0</v>
      </c>
      <c r="P619" s="7" t="str">
        <f aca="false">IF(COUNTIF(customer_churn_dataset!$A$2:$A$1501,customer_churn_dataset!A619)&gt;1,"Duplicate","Unique")</f>
        <v>Unique</v>
      </c>
    </row>
    <row r="620" customFormat="false" ht="14.15" hidden="false" customHeight="true" outlineLevel="0" collapsed="false">
      <c r="A620" s="7" t="str">
        <f aca="false">TRIM(customer_churn_dataset!A620)</f>
        <v>CUST101392</v>
      </c>
      <c r="B620" s="7" t="str">
        <f aca="false">PROPER(TRIM(customer_churn_dataset!B620))</f>
        <v>Basic</v>
      </c>
      <c r="C620" s="7" t="str">
        <f aca="false">PROPER(TRIM(customer_churn_dataset!C620))</f>
        <v>Month-To-Month</v>
      </c>
      <c r="D620" s="7" t="n">
        <f aca="false">IF(ISBLANK(customer_churn_dataset!D620),ROUND(MEDIAN(customer_churn_dataset!D$2:D$1501),2),IF(customer_churn_dataset!D620&lt;0,ABS(customer_churn_dataset!D620),customer_churn_dataset!D620))</f>
        <v>11.86</v>
      </c>
      <c r="E620" s="7" t="n">
        <f aca="false">IF(ISBLANK(customer_churn_dataset!E620),0,MAX(0,customer_churn_dataset!E620))</f>
        <v>39</v>
      </c>
      <c r="F620" s="8" t="n">
        <f aca="false">IF(ISBLANK(customer_churn_dataset!F620),"",customer_churn_dataset!F620)</f>
        <v>44660</v>
      </c>
      <c r="G620" s="7" t="str">
        <f aca="false">PROPER(TRIM(customer_churn_dataset!G620))</f>
        <v>Bank Transfer</v>
      </c>
      <c r="H620" s="7" t="n">
        <f aca="false">IF(ISBLANK(customer_churn_dataset!H620),0,customer_churn_dataset!H620)</f>
        <v>1</v>
      </c>
      <c r="I620" s="7" t="n">
        <f aca="false">IF(ISBLANK(customer_churn_dataset!I620),ROUND(MEDIAN(customer_churn_dataset!I$2:I$1501),1),MIN(100,MAX(0,customer_churn_dataset!I620)))</f>
        <v>39.9</v>
      </c>
      <c r="J620" s="7" t="n">
        <f aca="false">IF(ISBLANK(customer_churn_dataset!J620),0,MAX(0,customer_churn_dataset!J620))</f>
        <v>7</v>
      </c>
      <c r="K620" s="7" t="n">
        <f aca="false">IF(ISBLANK(customer_churn_dataset!K620),0,MIN(10,MAX(0,customer_churn_dataset!K620)))</f>
        <v>4</v>
      </c>
      <c r="L620" s="7" t="n">
        <f aca="false">IF(ISBLANK(customer_churn_dataset!L620),0,MAX(0,customer_churn_dataset!L620))</f>
        <v>1</v>
      </c>
      <c r="M620" s="7" t="n">
        <f aca="false">IF(ISBLANK(customer_churn_dataset!M620),0,customer_churn_dataset!M620)</f>
        <v>1</v>
      </c>
      <c r="N620" s="7" t="n">
        <f aca="false">IF(ISBLANK(customer_churn_dataset!N620),0,MAX(0,customer_churn_dataset!N620))</f>
        <v>462.54</v>
      </c>
      <c r="O620" s="7" t="n">
        <f aca="false">IF(ISBLANK(customer_churn_dataset!O620),0,customer_churn_dataset!O620)</f>
        <v>0</v>
      </c>
      <c r="P620" s="7" t="str">
        <f aca="false">IF(COUNTIF(customer_churn_dataset!$A$2:$A$1501,customer_churn_dataset!A620)&gt;1,"Duplicate","Unique")</f>
        <v>Unique</v>
      </c>
    </row>
    <row r="621" customFormat="false" ht="14.15" hidden="false" customHeight="true" outlineLevel="0" collapsed="false">
      <c r="A621" s="7" t="str">
        <f aca="false">TRIM(customer_churn_dataset!A621)</f>
        <v>CUST100992</v>
      </c>
      <c r="B621" s="7" t="str">
        <f aca="false">PROPER(TRIM(customer_churn_dataset!B621))</f>
        <v>Basic</v>
      </c>
      <c r="C621" s="7" t="str">
        <f aca="false">PROPER(TRIM(customer_churn_dataset!C621))</f>
        <v>One Year</v>
      </c>
      <c r="D621" s="7" t="n">
        <f aca="false">IF(ISBLANK(customer_churn_dataset!D621),ROUND(MEDIAN(customer_churn_dataset!D$2:D$1501),2),IF(customer_churn_dataset!D621&lt;0,ABS(customer_churn_dataset!D621),customer_churn_dataset!D621))</f>
        <v>10.01</v>
      </c>
      <c r="E621" s="7" t="n">
        <f aca="false">IF(ISBLANK(customer_churn_dataset!E621),0,MAX(0,customer_churn_dataset!E621))</f>
        <v>0</v>
      </c>
      <c r="F621" s="8" t="n">
        <f aca="false">IF(ISBLANK(customer_churn_dataset!F621),"",customer_churn_dataset!F621)</f>
        <v>44663</v>
      </c>
      <c r="G621" s="7" t="str">
        <f aca="false">PROPER(TRIM(customer_churn_dataset!G621))</f>
        <v>Credit Card</v>
      </c>
      <c r="H621" s="7" t="n">
        <f aca="false">IF(ISBLANK(customer_churn_dataset!H621),0,customer_churn_dataset!H621)</f>
        <v>1</v>
      </c>
      <c r="I621" s="7" t="n">
        <f aca="false">IF(ISBLANK(customer_churn_dataset!I621),ROUND(MEDIAN(customer_churn_dataset!I$2:I$1501),1),MIN(100,MAX(0,customer_churn_dataset!I621)))</f>
        <v>53.4</v>
      </c>
      <c r="J621" s="7" t="n">
        <f aca="false">IF(ISBLANK(customer_churn_dataset!J621),0,MAX(0,customer_churn_dataset!J621))</f>
        <v>18</v>
      </c>
      <c r="K621" s="7" t="n">
        <f aca="false">IF(ISBLANK(customer_churn_dataset!K621),0,MIN(10,MAX(0,customer_churn_dataset!K621)))</f>
        <v>7</v>
      </c>
      <c r="L621" s="7" t="n">
        <f aca="false">IF(ISBLANK(customer_churn_dataset!L621),0,MAX(0,customer_churn_dataset!L621))</f>
        <v>2</v>
      </c>
      <c r="M621" s="7" t="n">
        <f aca="false">IF(ISBLANK(customer_churn_dataset!M621),0,customer_churn_dataset!M621)</f>
        <v>0</v>
      </c>
      <c r="N621" s="7" t="n">
        <f aca="false">IF(ISBLANK(customer_churn_dataset!N621),0,MAX(0,customer_churn_dataset!N621))</f>
        <v>0</v>
      </c>
      <c r="O621" s="7" t="n">
        <f aca="false">IF(ISBLANK(customer_churn_dataset!O621),0,customer_churn_dataset!O621)</f>
        <v>0</v>
      </c>
      <c r="P621" s="7" t="str">
        <f aca="false">IF(COUNTIF(customer_churn_dataset!$A$2:$A$1501,customer_churn_dataset!A621)&gt;1,"Duplicate","Unique")</f>
        <v>Unique</v>
      </c>
    </row>
    <row r="622" customFormat="false" ht="14.15" hidden="false" customHeight="true" outlineLevel="0" collapsed="false">
      <c r="A622" s="7" t="str">
        <f aca="false">TRIM(customer_churn_dataset!A622)</f>
        <v>CUST100486</v>
      </c>
      <c r="B622" s="7" t="str">
        <f aca="false">PROPER(TRIM(customer_churn_dataset!B622))</f>
        <v>Basic</v>
      </c>
      <c r="C622" s="7" t="str">
        <f aca="false">PROPER(TRIM(customer_churn_dataset!C622))</f>
        <v>One Year</v>
      </c>
      <c r="D622" s="7" t="n">
        <f aca="false">IF(ISBLANK(customer_churn_dataset!D622),ROUND(MEDIAN(customer_churn_dataset!D$2:D$1501),2),IF(customer_churn_dataset!D622&lt;0,ABS(customer_churn_dataset!D622),customer_churn_dataset!D622))</f>
        <v>9.8</v>
      </c>
      <c r="E622" s="7" t="n">
        <f aca="false">IF(ISBLANK(customer_churn_dataset!E622),0,MAX(0,customer_churn_dataset!E622))</f>
        <v>7</v>
      </c>
      <c r="F622" s="8" t="n">
        <f aca="false">IF(ISBLANK(customer_churn_dataset!F622),"",customer_churn_dataset!F622)</f>
        <v>44663</v>
      </c>
      <c r="G622" s="7" t="str">
        <f aca="false">PROPER(TRIM(customer_churn_dataset!G622))</f>
        <v>Manual/Invoice</v>
      </c>
      <c r="H622" s="7" t="n">
        <f aca="false">IF(ISBLANK(customer_churn_dataset!H622),0,customer_churn_dataset!H622)</f>
        <v>1</v>
      </c>
      <c r="I622" s="7" t="n">
        <f aca="false">IF(ISBLANK(customer_churn_dataset!I622),ROUND(MEDIAN(customer_churn_dataset!I$2:I$1501),1),MIN(100,MAX(0,customer_churn_dataset!I622)))</f>
        <v>44.7</v>
      </c>
      <c r="J622" s="7" t="n">
        <f aca="false">IF(ISBLANK(customer_churn_dataset!J622),0,MAX(0,customer_churn_dataset!J622))</f>
        <v>16</v>
      </c>
      <c r="K622" s="7" t="n">
        <f aca="false">IF(ISBLANK(customer_churn_dataset!K622),0,MIN(10,MAX(0,customer_churn_dataset!K622)))</f>
        <v>2</v>
      </c>
      <c r="L622" s="7" t="n">
        <f aca="false">IF(ISBLANK(customer_churn_dataset!L622),0,MAX(0,customer_churn_dataset!L622))</f>
        <v>2</v>
      </c>
      <c r="M622" s="7" t="n">
        <f aca="false">IF(ISBLANK(customer_churn_dataset!M622),0,customer_churn_dataset!M622)</f>
        <v>0</v>
      </c>
      <c r="N622" s="7" t="n">
        <f aca="false">IF(ISBLANK(customer_churn_dataset!N622),0,MAX(0,customer_churn_dataset!N622))</f>
        <v>68.6</v>
      </c>
      <c r="O622" s="7" t="n">
        <f aca="false">IF(ISBLANK(customer_churn_dataset!O622),0,customer_churn_dataset!O622)</f>
        <v>0</v>
      </c>
      <c r="P622" s="7" t="str">
        <f aca="false">IF(COUNTIF(customer_churn_dataset!$A$2:$A$1501,customer_churn_dataset!A622)&gt;1,"Duplicate","Unique")</f>
        <v>Unique</v>
      </c>
    </row>
    <row r="623" customFormat="false" ht="14.15" hidden="false" customHeight="true" outlineLevel="0" collapsed="false">
      <c r="A623" s="7" t="str">
        <f aca="false">TRIM(customer_churn_dataset!A623)</f>
        <v>CUST101222</v>
      </c>
      <c r="B623" s="7" t="str">
        <f aca="false">PROPER(TRIM(customer_churn_dataset!B623))</f>
        <v>Basic</v>
      </c>
      <c r="C623" s="7" t="str">
        <f aca="false">PROPER(TRIM(customer_churn_dataset!C623))</f>
        <v>One Year</v>
      </c>
      <c r="D623" s="7" t="n">
        <f aca="false">IF(ISBLANK(customer_churn_dataset!D623),ROUND(MEDIAN(customer_churn_dataset!D$2:D$1501),2),IF(customer_churn_dataset!D623&lt;0,ABS(customer_churn_dataset!D623),customer_churn_dataset!D623))</f>
        <v>10.33</v>
      </c>
      <c r="E623" s="7" t="n">
        <f aca="false">IF(ISBLANK(customer_churn_dataset!E623),0,MAX(0,customer_churn_dataset!E623))</f>
        <v>27</v>
      </c>
      <c r="F623" s="8" t="n">
        <f aca="false">IF(ISBLANK(customer_churn_dataset!F623),"",customer_churn_dataset!F623)</f>
        <v>44668</v>
      </c>
      <c r="G623" s="7" t="str">
        <f aca="false">PROPER(TRIM(customer_churn_dataset!G623))</f>
        <v>Paypal</v>
      </c>
      <c r="H623" s="7" t="n">
        <f aca="false">IF(ISBLANK(customer_churn_dataset!H623),0,customer_churn_dataset!H623)</f>
        <v>1</v>
      </c>
      <c r="I623" s="7" t="n">
        <f aca="false">IF(ISBLANK(customer_churn_dataset!I623),ROUND(MEDIAN(customer_churn_dataset!I$2:I$1501),1),MIN(100,MAX(0,customer_churn_dataset!I623)))</f>
        <v>32.3</v>
      </c>
      <c r="J623" s="7" t="n">
        <f aca="false">IF(ISBLANK(customer_churn_dataset!J623),0,MAX(0,customer_churn_dataset!J623))</f>
        <v>5</v>
      </c>
      <c r="K623" s="7" t="n">
        <f aca="false">IF(ISBLANK(customer_churn_dataset!K623),0,MIN(10,MAX(0,customer_churn_dataset!K623)))</f>
        <v>3</v>
      </c>
      <c r="L623" s="7" t="n">
        <f aca="false">IF(ISBLANK(customer_churn_dataset!L623),0,MAX(0,customer_churn_dataset!L623))</f>
        <v>2</v>
      </c>
      <c r="M623" s="7" t="n">
        <f aca="false">IF(ISBLANK(customer_churn_dataset!M623),0,customer_churn_dataset!M623)</f>
        <v>0</v>
      </c>
      <c r="N623" s="7" t="n">
        <f aca="false">IF(ISBLANK(customer_churn_dataset!N623),0,MAX(0,customer_churn_dataset!N623))</f>
        <v>278.91</v>
      </c>
      <c r="O623" s="7" t="n">
        <f aca="false">IF(ISBLANK(customer_churn_dataset!O623),0,customer_churn_dataset!O623)</f>
        <v>0</v>
      </c>
      <c r="P623" s="7" t="str">
        <f aca="false">IF(COUNTIF(customer_churn_dataset!$A$2:$A$1501,customer_churn_dataset!A623)&gt;1,"Duplicate","Unique")</f>
        <v>Unique</v>
      </c>
    </row>
    <row r="624" customFormat="false" ht="14.15" hidden="false" customHeight="true" outlineLevel="0" collapsed="false">
      <c r="A624" s="7" t="str">
        <f aca="false">TRIM(customer_churn_dataset!A624)</f>
        <v>CUST100036</v>
      </c>
      <c r="B624" s="7" t="str">
        <f aca="false">PROPER(TRIM(customer_churn_dataset!B624))</f>
        <v>Basic</v>
      </c>
      <c r="C624" s="7" t="str">
        <f aca="false">PROPER(TRIM(customer_churn_dataset!C624))</f>
        <v>Two Year</v>
      </c>
      <c r="D624" s="7" t="n">
        <f aca="false">IF(ISBLANK(customer_churn_dataset!D624),ROUND(MEDIAN(customer_churn_dataset!D$2:D$1501),2),IF(customer_churn_dataset!D624&lt;0,ABS(customer_churn_dataset!D624),customer_churn_dataset!D624))</f>
        <v>9.97</v>
      </c>
      <c r="E624" s="7" t="n">
        <f aca="false">IF(ISBLANK(customer_churn_dataset!E624),0,MAX(0,customer_churn_dataset!E624))</f>
        <v>2</v>
      </c>
      <c r="F624" s="8" t="n">
        <f aca="false">IF(ISBLANK(customer_churn_dataset!F624),"",customer_churn_dataset!F624)</f>
        <v>44671</v>
      </c>
      <c r="G624" s="7" t="str">
        <f aca="false">PROPER(TRIM(customer_churn_dataset!G624))</f>
        <v>Credit Card</v>
      </c>
      <c r="H624" s="7" t="n">
        <f aca="false">IF(ISBLANK(customer_churn_dataset!H624),0,customer_churn_dataset!H624)</f>
        <v>1</v>
      </c>
      <c r="I624" s="7" t="n">
        <f aca="false">IF(ISBLANK(customer_churn_dataset!I624),ROUND(MEDIAN(customer_churn_dataset!I$2:I$1501),1),MIN(100,MAX(0,customer_churn_dataset!I624)))</f>
        <v>42.4</v>
      </c>
      <c r="J624" s="7" t="n">
        <f aca="false">IF(ISBLANK(customer_churn_dataset!J624),0,MAX(0,customer_churn_dataset!J624))</f>
        <v>24</v>
      </c>
      <c r="K624" s="7" t="n">
        <f aca="false">IF(ISBLANK(customer_churn_dataset!K624),0,MIN(10,MAX(0,customer_churn_dataset!K624)))</f>
        <v>5</v>
      </c>
      <c r="L624" s="7" t="n">
        <f aca="false">IF(ISBLANK(customer_churn_dataset!L624),0,MAX(0,customer_churn_dataset!L624))</f>
        <v>0</v>
      </c>
      <c r="M624" s="7" t="n">
        <f aca="false">IF(ISBLANK(customer_churn_dataset!M624),0,customer_churn_dataset!M624)</f>
        <v>0</v>
      </c>
      <c r="N624" s="7" t="n">
        <f aca="false">IF(ISBLANK(customer_churn_dataset!N624),0,MAX(0,customer_churn_dataset!N624))</f>
        <v>19.94</v>
      </c>
      <c r="O624" s="7" t="n">
        <f aca="false">IF(ISBLANK(customer_churn_dataset!O624),0,customer_churn_dataset!O624)</f>
        <v>0</v>
      </c>
      <c r="P624" s="7" t="str">
        <f aca="false">IF(COUNTIF(customer_churn_dataset!$A$2:$A$1501,customer_churn_dataset!A624)&gt;1,"Duplicate","Unique")</f>
        <v>Unique</v>
      </c>
    </row>
    <row r="625" customFormat="false" ht="14.15" hidden="false" customHeight="true" outlineLevel="0" collapsed="false">
      <c r="A625" s="7" t="str">
        <f aca="false">TRIM(customer_churn_dataset!A625)</f>
        <v>CUST100230</v>
      </c>
      <c r="B625" s="7" t="str">
        <f aca="false">PROPER(TRIM(customer_churn_dataset!B625))</f>
        <v>Standard</v>
      </c>
      <c r="C625" s="7" t="str">
        <f aca="false">PROPER(TRIM(customer_churn_dataset!C625))</f>
        <v>Month-To-Month</v>
      </c>
      <c r="D625" s="7" t="n">
        <f aca="false">IF(ISBLANK(customer_churn_dataset!D625),ROUND(MEDIAN(customer_churn_dataset!D$2:D$1501),2),IF(customer_churn_dataset!D625&lt;0,ABS(customer_churn_dataset!D625),customer_churn_dataset!D625))</f>
        <v>20.45</v>
      </c>
      <c r="E625" s="7" t="n">
        <f aca="false">IF(ISBLANK(customer_churn_dataset!E625),0,MAX(0,customer_churn_dataset!E625))</f>
        <v>40</v>
      </c>
      <c r="F625" s="8" t="n">
        <f aca="false">IF(ISBLANK(customer_churn_dataset!F625),"",customer_churn_dataset!F625)</f>
        <v>44673</v>
      </c>
      <c r="G625" s="7" t="str">
        <f aca="false">PROPER(TRIM(customer_churn_dataset!G625))</f>
        <v>Credit Card</v>
      </c>
      <c r="H625" s="7" t="n">
        <f aca="false">IF(ISBLANK(customer_churn_dataset!H625),0,customer_churn_dataset!H625)</f>
        <v>1</v>
      </c>
      <c r="I625" s="7" t="n">
        <f aca="false">IF(ISBLANK(customer_churn_dataset!I625),ROUND(MEDIAN(customer_churn_dataset!I$2:I$1501),1),MIN(100,MAX(0,customer_churn_dataset!I625)))</f>
        <v>42.4</v>
      </c>
      <c r="J625" s="7" t="n">
        <f aca="false">IF(ISBLANK(customer_churn_dataset!J625),0,MAX(0,customer_churn_dataset!J625))</f>
        <v>15</v>
      </c>
      <c r="K625" s="7" t="n">
        <f aca="false">IF(ISBLANK(customer_churn_dataset!K625),0,MIN(10,MAX(0,customer_churn_dataset!K625)))</f>
        <v>6</v>
      </c>
      <c r="L625" s="7" t="n">
        <f aca="false">IF(ISBLANK(customer_churn_dataset!L625),0,MAX(0,customer_churn_dataset!L625))</f>
        <v>0</v>
      </c>
      <c r="M625" s="7" t="n">
        <f aca="false">IF(ISBLANK(customer_churn_dataset!M625),0,customer_churn_dataset!M625)</f>
        <v>0</v>
      </c>
      <c r="N625" s="7" t="n">
        <f aca="false">IF(ISBLANK(customer_churn_dataset!N625),0,MAX(0,customer_churn_dataset!N625))</f>
        <v>818</v>
      </c>
      <c r="O625" s="7" t="n">
        <f aca="false">IF(ISBLANK(customer_churn_dataset!O625),0,customer_churn_dataset!O625)</f>
        <v>0</v>
      </c>
      <c r="P625" s="7" t="str">
        <f aca="false">IF(COUNTIF(customer_churn_dataset!$A$2:$A$1501,customer_churn_dataset!A625)&gt;1,"Duplicate","Unique")</f>
        <v>Unique</v>
      </c>
    </row>
    <row r="626" customFormat="false" ht="14.15" hidden="false" customHeight="true" outlineLevel="0" collapsed="false">
      <c r="A626" s="7" t="str">
        <f aca="false">TRIM(customer_churn_dataset!A626)</f>
        <v>CUST100854</v>
      </c>
      <c r="B626" s="7" t="str">
        <f aca="false">PROPER(TRIM(customer_churn_dataset!B626))</f>
        <v>Basic</v>
      </c>
      <c r="C626" s="7" t="str">
        <f aca="false">PROPER(TRIM(customer_churn_dataset!C626))</f>
        <v>Month-To-Month</v>
      </c>
      <c r="D626" s="7" t="n">
        <f aca="false">IF(ISBLANK(customer_churn_dataset!D626),ROUND(MEDIAN(customer_churn_dataset!D$2:D$1501),2),IF(customer_churn_dataset!D626&lt;0,ABS(customer_churn_dataset!D626),customer_churn_dataset!D626))</f>
        <v>10.82</v>
      </c>
      <c r="E626" s="7" t="n">
        <f aca="false">IF(ISBLANK(customer_churn_dataset!E626),0,MAX(0,customer_churn_dataset!E626))</f>
        <v>2</v>
      </c>
      <c r="F626" s="8" t="n">
        <f aca="false">IF(ISBLANK(customer_churn_dataset!F626),"",customer_churn_dataset!F626)</f>
        <v>44674</v>
      </c>
      <c r="G626" s="7" t="str">
        <f aca="false">PROPER(TRIM(customer_churn_dataset!G626))</f>
        <v>Manual/Invoice</v>
      </c>
      <c r="H626" s="7" t="n">
        <f aca="false">IF(ISBLANK(customer_churn_dataset!H626),0,customer_churn_dataset!H626)</f>
        <v>1</v>
      </c>
      <c r="I626" s="7" t="n">
        <f aca="false">IF(ISBLANK(customer_churn_dataset!I626),ROUND(MEDIAN(customer_churn_dataset!I$2:I$1501),1),MIN(100,MAX(0,customer_churn_dataset!I626)))</f>
        <v>57.9</v>
      </c>
      <c r="J626" s="7" t="n">
        <f aca="false">IF(ISBLANK(customer_churn_dataset!J626),0,MAX(0,customer_churn_dataset!J626))</f>
        <v>21</v>
      </c>
      <c r="K626" s="7" t="n">
        <f aca="false">IF(ISBLANK(customer_churn_dataset!K626),0,MIN(10,MAX(0,customer_churn_dataset!K626)))</f>
        <v>4</v>
      </c>
      <c r="L626" s="7" t="n">
        <f aca="false">IF(ISBLANK(customer_churn_dataset!L626),0,MAX(0,customer_churn_dataset!L626))</f>
        <v>2</v>
      </c>
      <c r="M626" s="7" t="n">
        <f aca="false">IF(ISBLANK(customer_churn_dataset!M626),0,customer_churn_dataset!M626)</f>
        <v>0</v>
      </c>
      <c r="N626" s="7" t="n">
        <f aca="false">IF(ISBLANK(customer_churn_dataset!N626),0,MAX(0,customer_churn_dataset!N626))</f>
        <v>21.64</v>
      </c>
      <c r="O626" s="7" t="n">
        <f aca="false">IF(ISBLANK(customer_churn_dataset!O626),0,customer_churn_dataset!O626)</f>
        <v>1</v>
      </c>
      <c r="P626" s="7" t="str">
        <f aca="false">IF(COUNTIF(customer_churn_dataset!$A$2:$A$1501,customer_churn_dataset!A626)&gt;1,"Duplicate","Unique")</f>
        <v>Unique</v>
      </c>
    </row>
    <row r="627" customFormat="false" ht="14.15" hidden="false" customHeight="true" outlineLevel="0" collapsed="false">
      <c r="A627" s="7" t="str">
        <f aca="false">TRIM(customer_churn_dataset!A627)</f>
        <v>CUST100902</v>
      </c>
      <c r="B627" s="7" t="str">
        <f aca="false">PROPER(TRIM(customer_churn_dataset!B627))</f>
        <v>Basic</v>
      </c>
      <c r="C627" s="7" t="str">
        <f aca="false">PROPER(TRIM(customer_churn_dataset!C627))</f>
        <v>One Year</v>
      </c>
      <c r="D627" s="7" t="n">
        <f aca="false">IF(ISBLANK(customer_churn_dataset!D627),ROUND(MEDIAN(customer_churn_dataset!D$2:D$1501),2),IF(customer_churn_dataset!D627&lt;0,ABS(customer_churn_dataset!D627),customer_churn_dataset!D627))</f>
        <v>10.38</v>
      </c>
      <c r="E627" s="7" t="n">
        <f aca="false">IF(ISBLANK(customer_churn_dataset!E627),0,MAX(0,customer_churn_dataset!E627))</f>
        <v>6</v>
      </c>
      <c r="F627" s="8" t="n">
        <f aca="false">IF(ISBLANK(customer_churn_dataset!F627),"",customer_churn_dataset!F627)</f>
        <v>44674</v>
      </c>
      <c r="G627" s="7" t="str">
        <f aca="false">PROPER(TRIM(customer_churn_dataset!G627))</f>
        <v>Paypal</v>
      </c>
      <c r="H627" s="7" t="n">
        <f aca="false">IF(ISBLANK(customer_churn_dataset!H627),0,customer_churn_dataset!H627)</f>
        <v>1</v>
      </c>
      <c r="I627" s="7" t="n">
        <f aca="false">IF(ISBLANK(customer_churn_dataset!I627),ROUND(MEDIAN(customer_churn_dataset!I$2:I$1501),1),MIN(100,MAX(0,customer_churn_dataset!I627)))</f>
        <v>57.1</v>
      </c>
      <c r="J627" s="7" t="n">
        <f aca="false">IF(ISBLANK(customer_churn_dataset!J627),0,MAX(0,customer_churn_dataset!J627))</f>
        <v>27</v>
      </c>
      <c r="K627" s="7" t="n">
        <f aca="false">IF(ISBLANK(customer_churn_dataset!K627),0,MIN(10,MAX(0,customer_churn_dataset!K627)))</f>
        <v>3</v>
      </c>
      <c r="L627" s="7" t="n">
        <f aca="false">IF(ISBLANK(customer_churn_dataset!L627),0,MAX(0,customer_churn_dataset!L627))</f>
        <v>1</v>
      </c>
      <c r="M627" s="7" t="n">
        <f aca="false">IF(ISBLANK(customer_churn_dataset!M627),0,customer_churn_dataset!M627)</f>
        <v>1</v>
      </c>
      <c r="N627" s="7" t="n">
        <f aca="false">IF(ISBLANK(customer_churn_dataset!N627),0,MAX(0,customer_churn_dataset!N627))</f>
        <v>62.28</v>
      </c>
      <c r="O627" s="7" t="n">
        <f aca="false">IF(ISBLANK(customer_churn_dataset!O627),0,customer_churn_dataset!O627)</f>
        <v>0</v>
      </c>
      <c r="P627" s="7" t="str">
        <f aca="false">IF(COUNTIF(customer_churn_dataset!$A$2:$A$1501,customer_churn_dataset!A627)&gt;1,"Duplicate","Unique")</f>
        <v>Unique</v>
      </c>
    </row>
    <row r="628" customFormat="false" ht="14.15" hidden="false" customHeight="true" outlineLevel="0" collapsed="false">
      <c r="A628" s="7" t="str">
        <f aca="false">TRIM(customer_churn_dataset!A628)</f>
        <v>CUST100064</v>
      </c>
      <c r="B628" s="7" t="str">
        <f aca="false">PROPER(TRIM(customer_churn_dataset!B628))</f>
        <v>Basic</v>
      </c>
      <c r="C628" s="7" t="str">
        <f aca="false">PROPER(TRIM(customer_churn_dataset!C628))</f>
        <v>One Year</v>
      </c>
      <c r="D628" s="7" t="n">
        <f aca="false">IF(ISBLANK(customer_churn_dataset!D628),ROUND(MEDIAN(customer_churn_dataset!D$2:D$1501),2),IF(customer_churn_dataset!D628&lt;0,ABS(customer_churn_dataset!D628),customer_churn_dataset!D628))</f>
        <v>9.8</v>
      </c>
      <c r="E628" s="7" t="n">
        <f aca="false">IF(ISBLANK(customer_churn_dataset!E628),0,MAX(0,customer_churn_dataset!E628))</f>
        <v>12</v>
      </c>
      <c r="F628" s="8" t="n">
        <f aca="false">IF(ISBLANK(customer_churn_dataset!F628),"",customer_churn_dataset!F628)</f>
        <v>44676</v>
      </c>
      <c r="G628" s="7" t="str">
        <f aca="false">PROPER(TRIM(customer_churn_dataset!G628))</f>
        <v>Bank Transfer</v>
      </c>
      <c r="H628" s="7" t="n">
        <f aca="false">IF(ISBLANK(customer_churn_dataset!H628),0,customer_churn_dataset!H628)</f>
        <v>0</v>
      </c>
      <c r="I628" s="7" t="n">
        <f aca="false">IF(ISBLANK(customer_churn_dataset!I628),ROUND(MEDIAN(customer_churn_dataset!I$2:I$1501),1),MIN(100,MAX(0,customer_churn_dataset!I628)))</f>
        <v>43</v>
      </c>
      <c r="J628" s="7" t="n">
        <f aca="false">IF(ISBLANK(customer_churn_dataset!J628),0,MAX(0,customer_churn_dataset!J628))</f>
        <v>19</v>
      </c>
      <c r="K628" s="7" t="n">
        <f aca="false">IF(ISBLANK(customer_churn_dataset!K628),0,MIN(10,MAX(0,customer_churn_dataset!K628)))</f>
        <v>3</v>
      </c>
      <c r="L628" s="7" t="n">
        <f aca="false">IF(ISBLANK(customer_churn_dataset!L628),0,MAX(0,customer_churn_dataset!L628))</f>
        <v>4</v>
      </c>
      <c r="M628" s="7" t="n">
        <f aca="false">IF(ISBLANK(customer_churn_dataset!M628),0,customer_churn_dataset!M628)</f>
        <v>1</v>
      </c>
      <c r="N628" s="7" t="n">
        <f aca="false">IF(ISBLANK(customer_churn_dataset!N628),0,MAX(0,customer_churn_dataset!N628))</f>
        <v>117.6</v>
      </c>
      <c r="O628" s="7" t="n">
        <f aca="false">IF(ISBLANK(customer_churn_dataset!O628),0,customer_churn_dataset!O628)</f>
        <v>0</v>
      </c>
      <c r="P628" s="7" t="str">
        <f aca="false">IF(COUNTIF(customer_churn_dataset!$A$2:$A$1501,customer_churn_dataset!A628)&gt;1,"Duplicate","Unique")</f>
        <v>Unique</v>
      </c>
    </row>
    <row r="629" customFormat="false" ht="14.15" hidden="false" customHeight="true" outlineLevel="0" collapsed="false">
      <c r="A629" s="7" t="str">
        <f aca="false">TRIM(customer_churn_dataset!A629)</f>
        <v>CUST100754</v>
      </c>
      <c r="B629" s="7" t="str">
        <f aca="false">PROPER(TRIM(customer_churn_dataset!B629))</f>
        <v>Basic</v>
      </c>
      <c r="C629" s="7" t="str">
        <f aca="false">PROPER(TRIM(customer_churn_dataset!C629))</f>
        <v>Month-To-Month</v>
      </c>
      <c r="D629" s="7" t="n">
        <f aca="false">IF(ISBLANK(customer_churn_dataset!D629),ROUND(MEDIAN(customer_churn_dataset!D$2:D$1501),2),IF(customer_churn_dataset!D629&lt;0,ABS(customer_churn_dataset!D629),customer_churn_dataset!D629))</f>
        <v>8.19</v>
      </c>
      <c r="E629" s="7" t="n">
        <f aca="false">IF(ISBLANK(customer_churn_dataset!E629),0,MAX(0,customer_churn_dataset!E629))</f>
        <v>2</v>
      </c>
      <c r="F629" s="8" t="n">
        <f aca="false">IF(ISBLANK(customer_churn_dataset!F629),"",customer_churn_dataset!F629)</f>
        <v>44679</v>
      </c>
      <c r="G629" s="7" t="str">
        <f aca="false">PROPER(TRIM(customer_churn_dataset!G629))</f>
        <v>Manual/Invoice</v>
      </c>
      <c r="H629" s="7" t="n">
        <f aca="false">IF(ISBLANK(customer_churn_dataset!H629),0,customer_churn_dataset!H629)</f>
        <v>1</v>
      </c>
      <c r="I629" s="7" t="n">
        <f aca="false">IF(ISBLANK(customer_churn_dataset!I629),ROUND(MEDIAN(customer_churn_dataset!I$2:I$1501),1),MIN(100,MAX(0,customer_churn_dataset!I629)))</f>
        <v>35</v>
      </c>
      <c r="J629" s="7" t="n">
        <f aca="false">IF(ISBLANK(customer_churn_dataset!J629),0,MAX(0,customer_churn_dataset!J629))</f>
        <v>6</v>
      </c>
      <c r="K629" s="7" t="n">
        <f aca="false">IF(ISBLANK(customer_churn_dataset!K629),0,MIN(10,MAX(0,customer_churn_dataset!K629)))</f>
        <v>4</v>
      </c>
      <c r="L629" s="7" t="n">
        <f aca="false">IF(ISBLANK(customer_churn_dataset!L629),0,MAX(0,customer_churn_dataset!L629))</f>
        <v>1</v>
      </c>
      <c r="M629" s="7" t="n">
        <f aca="false">IF(ISBLANK(customer_churn_dataset!M629),0,customer_churn_dataset!M629)</f>
        <v>0</v>
      </c>
      <c r="N629" s="7" t="n">
        <f aca="false">IF(ISBLANK(customer_churn_dataset!N629),0,MAX(0,customer_churn_dataset!N629))</f>
        <v>16.38</v>
      </c>
      <c r="O629" s="7" t="n">
        <f aca="false">IF(ISBLANK(customer_churn_dataset!O629),0,customer_churn_dataset!O629)</f>
        <v>0</v>
      </c>
      <c r="P629" s="7" t="str">
        <f aca="false">IF(COUNTIF(customer_churn_dataset!$A$2:$A$1501,customer_churn_dataset!A629)&gt;1,"Duplicate","Unique")</f>
        <v>Unique</v>
      </c>
    </row>
    <row r="630" customFormat="false" ht="14.15" hidden="false" customHeight="true" outlineLevel="0" collapsed="false">
      <c r="A630" s="7" t="str">
        <f aca="false">TRIM(customer_churn_dataset!A630)</f>
        <v>CUST101430</v>
      </c>
      <c r="B630" s="7" t="str">
        <f aca="false">PROPER(TRIM(customer_churn_dataset!B630))</f>
        <v>Standard</v>
      </c>
      <c r="C630" s="7" t="str">
        <f aca="false">PROPER(TRIM(customer_churn_dataset!C630))</f>
        <v>Month-To-Month</v>
      </c>
      <c r="D630" s="7" t="n">
        <f aca="false">IF(ISBLANK(customer_churn_dataset!D630),ROUND(MEDIAN(customer_churn_dataset!D$2:D$1501),2),IF(customer_churn_dataset!D630&lt;0,ABS(customer_churn_dataset!D630),customer_churn_dataset!D630))</f>
        <v>21.23</v>
      </c>
      <c r="E630" s="7" t="n">
        <f aca="false">IF(ISBLANK(customer_churn_dataset!E630),0,MAX(0,customer_churn_dataset!E630))</f>
        <v>9</v>
      </c>
      <c r="F630" s="8" t="n">
        <f aca="false">IF(ISBLANK(customer_churn_dataset!F630),"",customer_churn_dataset!F630)</f>
        <v>44681</v>
      </c>
      <c r="G630" s="7" t="str">
        <f aca="false">PROPER(TRIM(customer_churn_dataset!G630))</f>
        <v>Manual/Invoice</v>
      </c>
      <c r="H630" s="7" t="n">
        <f aca="false">IF(ISBLANK(customer_churn_dataset!H630),0,customer_churn_dataset!H630)</f>
        <v>1</v>
      </c>
      <c r="I630" s="7" t="n">
        <f aca="false">IF(ISBLANK(customer_churn_dataset!I630),ROUND(MEDIAN(customer_churn_dataset!I$2:I$1501),1),MIN(100,MAX(0,customer_churn_dataset!I630)))</f>
        <v>76.5</v>
      </c>
      <c r="J630" s="7" t="n">
        <f aca="false">IF(ISBLANK(customer_churn_dataset!J630),0,MAX(0,customer_churn_dataset!J630))</f>
        <v>28</v>
      </c>
      <c r="K630" s="7" t="n">
        <f aca="false">IF(ISBLANK(customer_churn_dataset!K630),0,MIN(10,MAX(0,customer_churn_dataset!K630)))</f>
        <v>9</v>
      </c>
      <c r="L630" s="7" t="n">
        <f aca="false">IF(ISBLANK(customer_churn_dataset!L630),0,MAX(0,customer_churn_dataset!L630))</f>
        <v>1</v>
      </c>
      <c r="M630" s="7" t="n">
        <f aca="false">IF(ISBLANK(customer_churn_dataset!M630),0,customer_churn_dataset!M630)</f>
        <v>1</v>
      </c>
      <c r="N630" s="7" t="n">
        <f aca="false">IF(ISBLANK(customer_churn_dataset!N630),0,MAX(0,customer_churn_dataset!N630))</f>
        <v>191.07</v>
      </c>
      <c r="O630" s="7" t="n">
        <f aca="false">IF(ISBLANK(customer_churn_dataset!O630),0,customer_churn_dataset!O630)</f>
        <v>1</v>
      </c>
      <c r="P630" s="7" t="str">
        <f aca="false">IF(COUNTIF(customer_churn_dataset!$A$2:$A$1501,customer_churn_dataset!A630)&gt;1,"Duplicate","Unique")</f>
        <v>Unique</v>
      </c>
    </row>
    <row r="631" customFormat="false" ht="14.15" hidden="false" customHeight="true" outlineLevel="0" collapsed="false">
      <c r="A631" s="7" t="str">
        <f aca="false">TRIM(customer_churn_dataset!A631)</f>
        <v>CUST100237</v>
      </c>
      <c r="B631" s="7" t="str">
        <f aca="false">PROPER(TRIM(customer_churn_dataset!B631))</f>
        <v>Basic</v>
      </c>
      <c r="C631" s="7" t="str">
        <f aca="false">PROPER(TRIM(customer_churn_dataset!C631))</f>
        <v>Month-To-Month</v>
      </c>
      <c r="D631" s="7" t="n">
        <f aca="false">IF(ISBLANK(customer_churn_dataset!D631),ROUND(MEDIAN(customer_churn_dataset!D$2:D$1501),2),IF(customer_churn_dataset!D631&lt;0,ABS(customer_churn_dataset!D631),customer_churn_dataset!D631))</f>
        <v>9.02</v>
      </c>
      <c r="E631" s="7" t="n">
        <f aca="false">IF(ISBLANK(customer_churn_dataset!E631),0,MAX(0,customer_churn_dataset!E631))</f>
        <v>8</v>
      </c>
      <c r="F631" s="8" t="n">
        <f aca="false">IF(ISBLANK(customer_churn_dataset!F631),"",customer_churn_dataset!F631)</f>
        <v>44684</v>
      </c>
      <c r="G631" s="7" t="str">
        <f aca="false">PROPER(TRIM(customer_churn_dataset!G631))</f>
        <v>Bank Transfer</v>
      </c>
      <c r="H631" s="7" t="n">
        <f aca="false">IF(ISBLANK(customer_churn_dataset!H631),0,customer_churn_dataset!H631)</f>
        <v>1</v>
      </c>
      <c r="I631" s="7" t="n">
        <f aca="false">IF(ISBLANK(customer_churn_dataset!I631),ROUND(MEDIAN(customer_churn_dataset!I$2:I$1501),1),MIN(100,MAX(0,customer_churn_dataset!I631)))</f>
        <v>49.4</v>
      </c>
      <c r="J631" s="7" t="n">
        <f aca="false">IF(ISBLANK(customer_churn_dataset!J631),0,MAX(0,customer_churn_dataset!J631))</f>
        <v>24</v>
      </c>
      <c r="K631" s="7" t="n">
        <f aca="false">IF(ISBLANK(customer_churn_dataset!K631),0,MIN(10,MAX(0,customer_churn_dataset!K631)))</f>
        <v>5</v>
      </c>
      <c r="L631" s="7" t="n">
        <f aca="false">IF(ISBLANK(customer_churn_dataset!L631),0,MAX(0,customer_churn_dataset!L631))</f>
        <v>2</v>
      </c>
      <c r="M631" s="7" t="n">
        <f aca="false">IF(ISBLANK(customer_churn_dataset!M631),0,customer_churn_dataset!M631)</f>
        <v>1</v>
      </c>
      <c r="N631" s="7" t="n">
        <f aca="false">IF(ISBLANK(customer_churn_dataset!N631),0,MAX(0,customer_churn_dataset!N631))</f>
        <v>72.16</v>
      </c>
      <c r="O631" s="7" t="n">
        <f aca="false">IF(ISBLANK(customer_churn_dataset!O631),0,customer_churn_dataset!O631)</f>
        <v>0</v>
      </c>
      <c r="P631" s="7" t="str">
        <f aca="false">IF(COUNTIF(customer_churn_dataset!$A$2:$A$1501,customer_churn_dataset!A631)&gt;1,"Duplicate","Unique")</f>
        <v>Unique</v>
      </c>
    </row>
    <row r="632" customFormat="false" ht="14.15" hidden="false" customHeight="true" outlineLevel="0" collapsed="false">
      <c r="A632" s="7" t="str">
        <f aca="false">TRIM(customer_churn_dataset!A632)</f>
        <v>CUST100872</v>
      </c>
      <c r="B632" s="7" t="str">
        <f aca="false">PROPER(TRIM(customer_churn_dataset!B632))</f>
        <v>Standard</v>
      </c>
      <c r="C632" s="7" t="str">
        <f aca="false">PROPER(TRIM(customer_churn_dataset!C632))</f>
        <v>One Year</v>
      </c>
      <c r="D632" s="7" t="n">
        <f aca="false">IF(ISBLANK(customer_churn_dataset!D632),ROUND(MEDIAN(customer_churn_dataset!D$2:D$1501),2),IF(customer_churn_dataset!D632&lt;0,ABS(customer_churn_dataset!D632),customer_churn_dataset!D632))</f>
        <v>20.47</v>
      </c>
      <c r="E632" s="7" t="n">
        <f aca="false">IF(ISBLANK(customer_churn_dataset!E632),0,MAX(0,customer_churn_dataset!E632))</f>
        <v>0</v>
      </c>
      <c r="F632" s="8" t="n">
        <f aca="false">IF(ISBLANK(customer_churn_dataset!F632),"",customer_churn_dataset!F632)</f>
        <v>44685</v>
      </c>
      <c r="G632" s="7" t="str">
        <f aca="false">PROPER(TRIM(customer_churn_dataset!G632))</f>
        <v>Paypal</v>
      </c>
      <c r="H632" s="7" t="n">
        <f aca="false">IF(ISBLANK(customer_churn_dataset!H632),0,customer_churn_dataset!H632)</f>
        <v>0</v>
      </c>
      <c r="I632" s="7" t="n">
        <f aca="false">IF(ISBLANK(customer_churn_dataset!I632),ROUND(MEDIAN(customer_churn_dataset!I$2:I$1501),1),MIN(100,MAX(0,customer_churn_dataset!I632)))</f>
        <v>27.6</v>
      </c>
      <c r="J632" s="7" t="n">
        <f aca="false">IF(ISBLANK(customer_churn_dataset!J632),0,MAX(0,customer_churn_dataset!J632))</f>
        <v>10</v>
      </c>
      <c r="K632" s="7" t="n">
        <f aca="false">IF(ISBLANK(customer_churn_dataset!K632),0,MIN(10,MAX(0,customer_churn_dataset!K632)))</f>
        <v>4</v>
      </c>
      <c r="L632" s="7" t="n">
        <f aca="false">IF(ISBLANK(customer_churn_dataset!L632),0,MAX(0,customer_churn_dataset!L632))</f>
        <v>1</v>
      </c>
      <c r="M632" s="7" t="n">
        <f aca="false">IF(ISBLANK(customer_churn_dataset!M632),0,customer_churn_dataset!M632)</f>
        <v>1</v>
      </c>
      <c r="N632" s="7" t="n">
        <f aca="false">IF(ISBLANK(customer_churn_dataset!N632),0,MAX(0,customer_churn_dataset!N632))</f>
        <v>0</v>
      </c>
      <c r="O632" s="7" t="n">
        <f aca="false">IF(ISBLANK(customer_churn_dataset!O632),0,customer_churn_dataset!O632)</f>
        <v>0</v>
      </c>
      <c r="P632" s="7" t="str">
        <f aca="false">IF(COUNTIF(customer_churn_dataset!$A$2:$A$1501,customer_churn_dataset!A632)&gt;1,"Duplicate","Unique")</f>
        <v>Unique</v>
      </c>
    </row>
    <row r="633" customFormat="false" ht="14.15" hidden="false" customHeight="true" outlineLevel="0" collapsed="false">
      <c r="A633" s="7" t="str">
        <f aca="false">TRIM(customer_churn_dataset!A633)</f>
        <v>CUST100816</v>
      </c>
      <c r="B633" s="7" t="str">
        <f aca="false">PROPER(TRIM(customer_churn_dataset!B633))</f>
        <v>Standard</v>
      </c>
      <c r="C633" s="7" t="str">
        <f aca="false">PROPER(TRIM(customer_churn_dataset!C633))</f>
        <v>One Year</v>
      </c>
      <c r="D633" s="7" t="n">
        <f aca="false">IF(ISBLANK(customer_churn_dataset!D633),ROUND(MEDIAN(customer_churn_dataset!D$2:D$1501),2),IF(customer_churn_dataset!D633&lt;0,ABS(customer_churn_dataset!D633),customer_churn_dataset!D633))</f>
        <v>21.11</v>
      </c>
      <c r="E633" s="7" t="n">
        <f aca="false">IF(ISBLANK(customer_churn_dataset!E633),0,MAX(0,customer_churn_dataset!E633))</f>
        <v>54</v>
      </c>
      <c r="F633" s="8" t="n">
        <f aca="false">IF(ISBLANK(customer_churn_dataset!F633),"",customer_churn_dataset!F633)</f>
        <v>44686</v>
      </c>
      <c r="G633" s="7" t="str">
        <f aca="false">PROPER(TRIM(customer_churn_dataset!G633))</f>
        <v>Bank Transfer</v>
      </c>
      <c r="H633" s="7" t="n">
        <f aca="false">IF(ISBLANK(customer_churn_dataset!H633),0,customer_churn_dataset!H633)</f>
        <v>1</v>
      </c>
      <c r="I633" s="7" t="n">
        <f aca="false">IF(ISBLANK(customer_churn_dataset!I633),ROUND(MEDIAN(customer_churn_dataset!I$2:I$1501),1),MIN(100,MAX(0,customer_churn_dataset!I633)))</f>
        <v>54.3</v>
      </c>
      <c r="J633" s="7" t="n">
        <f aca="false">IF(ISBLANK(customer_churn_dataset!J633),0,MAX(0,customer_churn_dataset!J633))</f>
        <v>13</v>
      </c>
      <c r="K633" s="7" t="n">
        <f aca="false">IF(ISBLANK(customer_churn_dataset!K633),0,MIN(10,MAX(0,customer_churn_dataset!K633)))</f>
        <v>4</v>
      </c>
      <c r="L633" s="7" t="n">
        <f aca="false">IF(ISBLANK(customer_churn_dataset!L633),0,MAX(0,customer_churn_dataset!L633))</f>
        <v>1</v>
      </c>
      <c r="M633" s="7" t="n">
        <f aca="false">IF(ISBLANK(customer_churn_dataset!M633),0,customer_churn_dataset!M633)</f>
        <v>0</v>
      </c>
      <c r="N633" s="7" t="n">
        <f aca="false">IF(ISBLANK(customer_churn_dataset!N633),0,MAX(0,customer_churn_dataset!N633))</f>
        <v>1139.94</v>
      </c>
      <c r="O633" s="7" t="n">
        <f aca="false">IF(ISBLANK(customer_churn_dataset!O633),0,customer_churn_dataset!O633)</f>
        <v>0</v>
      </c>
      <c r="P633" s="7" t="str">
        <f aca="false">IF(COUNTIF(customer_churn_dataset!$A$2:$A$1501,customer_churn_dataset!A633)&gt;1,"Duplicate","Unique")</f>
        <v>Unique</v>
      </c>
    </row>
    <row r="634" customFormat="false" ht="14.15" hidden="false" customHeight="true" outlineLevel="0" collapsed="false">
      <c r="A634" s="7" t="str">
        <f aca="false">TRIM(customer_churn_dataset!A634)</f>
        <v>CUST100193</v>
      </c>
      <c r="B634" s="7" t="str">
        <f aca="false">PROPER(TRIM(customer_churn_dataset!B634))</f>
        <v>Standard</v>
      </c>
      <c r="C634" s="7" t="str">
        <f aca="false">PROPER(TRIM(customer_churn_dataset!C634))</f>
        <v>Month-To-Month</v>
      </c>
      <c r="D634" s="7" t="n">
        <f aca="false">IF(ISBLANK(customer_churn_dataset!D634),ROUND(MEDIAN(customer_churn_dataset!D$2:D$1501),2),IF(customer_churn_dataset!D634&lt;0,ABS(customer_churn_dataset!D634),customer_churn_dataset!D634))</f>
        <v>20.75</v>
      </c>
      <c r="E634" s="7" t="n">
        <f aca="false">IF(ISBLANK(customer_churn_dataset!E634),0,MAX(0,customer_churn_dataset!E634))</f>
        <v>9</v>
      </c>
      <c r="F634" s="8" t="n">
        <f aca="false">IF(ISBLANK(customer_churn_dataset!F634),"",customer_churn_dataset!F634)</f>
        <v>44687</v>
      </c>
      <c r="G634" s="7" t="str">
        <f aca="false">PROPER(TRIM(customer_churn_dataset!G634))</f>
        <v>Manual/Invoice</v>
      </c>
      <c r="H634" s="7" t="n">
        <f aca="false">IF(ISBLANK(customer_churn_dataset!H634),0,customer_churn_dataset!H634)</f>
        <v>1</v>
      </c>
      <c r="I634" s="7" t="n">
        <f aca="false">IF(ISBLANK(customer_churn_dataset!I634),ROUND(MEDIAN(customer_churn_dataset!I$2:I$1501),1),MIN(100,MAX(0,customer_churn_dataset!I634)))</f>
        <v>41.7</v>
      </c>
      <c r="J634" s="7" t="n">
        <f aca="false">IF(ISBLANK(customer_churn_dataset!J634),0,MAX(0,customer_churn_dataset!J634))</f>
        <v>8</v>
      </c>
      <c r="K634" s="7" t="n">
        <f aca="false">IF(ISBLANK(customer_churn_dataset!K634),0,MIN(10,MAX(0,customer_churn_dataset!K634)))</f>
        <v>4</v>
      </c>
      <c r="L634" s="7" t="n">
        <f aca="false">IF(ISBLANK(customer_churn_dataset!L634),0,MAX(0,customer_churn_dataset!L634))</f>
        <v>0</v>
      </c>
      <c r="M634" s="7" t="n">
        <f aca="false">IF(ISBLANK(customer_churn_dataset!M634),0,customer_churn_dataset!M634)</f>
        <v>0</v>
      </c>
      <c r="N634" s="7" t="n">
        <f aca="false">IF(ISBLANK(customer_churn_dataset!N634),0,MAX(0,customer_churn_dataset!N634))</f>
        <v>186.75</v>
      </c>
      <c r="O634" s="7" t="n">
        <f aca="false">IF(ISBLANK(customer_churn_dataset!O634),0,customer_churn_dataset!O634)</f>
        <v>0</v>
      </c>
      <c r="P634" s="7" t="str">
        <f aca="false">IF(COUNTIF(customer_churn_dataset!$A$2:$A$1501,customer_churn_dataset!A634)&gt;1,"Duplicate","Unique")</f>
        <v>Unique</v>
      </c>
    </row>
    <row r="635" customFormat="false" ht="14.15" hidden="false" customHeight="true" outlineLevel="0" collapsed="false">
      <c r="A635" s="7" t="str">
        <f aca="false">TRIM(customer_churn_dataset!A635)</f>
        <v>CUST100389</v>
      </c>
      <c r="B635" s="7" t="str">
        <f aca="false">PROPER(TRIM(customer_churn_dataset!B635))</f>
        <v>Premium</v>
      </c>
      <c r="C635" s="7" t="str">
        <f aca="false">PROPER(TRIM(customer_churn_dataset!C635))</f>
        <v>Month-To-Month</v>
      </c>
      <c r="D635" s="7" t="n">
        <f aca="false">IF(ISBLANK(customer_churn_dataset!D635),ROUND(MEDIAN(customer_churn_dataset!D$2:D$1501),2),IF(customer_churn_dataset!D635&lt;0,ABS(customer_churn_dataset!D635),customer_churn_dataset!D635))</f>
        <v>41.22</v>
      </c>
      <c r="E635" s="7" t="n">
        <f aca="false">IF(ISBLANK(customer_churn_dataset!E635),0,MAX(0,customer_churn_dataset!E635))</f>
        <v>14</v>
      </c>
      <c r="F635" s="8" t="n">
        <f aca="false">IF(ISBLANK(customer_churn_dataset!F635),"",customer_churn_dataset!F635)</f>
        <v>44689</v>
      </c>
      <c r="G635" s="7" t="str">
        <f aca="false">PROPER(TRIM(customer_churn_dataset!G635))</f>
        <v>Credit Card</v>
      </c>
      <c r="H635" s="7" t="n">
        <f aca="false">IF(ISBLANK(customer_churn_dataset!H635),0,customer_churn_dataset!H635)</f>
        <v>1</v>
      </c>
      <c r="I635" s="7" t="n">
        <f aca="false">IF(ISBLANK(customer_churn_dataset!I635),ROUND(MEDIAN(customer_churn_dataset!I$2:I$1501),1),MIN(100,MAX(0,customer_churn_dataset!I635)))</f>
        <v>60.4</v>
      </c>
      <c r="J635" s="7" t="n">
        <f aca="false">IF(ISBLANK(customer_churn_dataset!J635),0,MAX(0,customer_churn_dataset!J635))</f>
        <v>16</v>
      </c>
      <c r="K635" s="7" t="n">
        <f aca="false">IF(ISBLANK(customer_churn_dataset!K635),0,MIN(10,MAX(0,customer_churn_dataset!K635)))</f>
        <v>7</v>
      </c>
      <c r="L635" s="7" t="n">
        <f aca="false">IF(ISBLANK(customer_churn_dataset!L635),0,MAX(0,customer_churn_dataset!L635))</f>
        <v>1</v>
      </c>
      <c r="M635" s="7" t="n">
        <f aca="false">IF(ISBLANK(customer_churn_dataset!M635),0,customer_churn_dataset!M635)</f>
        <v>0</v>
      </c>
      <c r="N635" s="7" t="n">
        <f aca="false">IF(ISBLANK(customer_churn_dataset!N635),0,MAX(0,customer_churn_dataset!N635))</f>
        <v>577.08</v>
      </c>
      <c r="O635" s="7" t="n">
        <f aca="false">IF(ISBLANK(customer_churn_dataset!O635),0,customer_churn_dataset!O635)</f>
        <v>0</v>
      </c>
      <c r="P635" s="7" t="str">
        <f aca="false">IF(COUNTIF(customer_churn_dataset!$A$2:$A$1501,customer_churn_dataset!A635)&gt;1,"Duplicate","Unique")</f>
        <v>Unique</v>
      </c>
    </row>
    <row r="636" customFormat="false" ht="14.15" hidden="false" customHeight="true" outlineLevel="0" collapsed="false">
      <c r="A636" s="7" t="str">
        <f aca="false">TRIM(customer_churn_dataset!A636)</f>
        <v>CUST101258</v>
      </c>
      <c r="B636" s="7" t="str">
        <f aca="false">PROPER(TRIM(customer_churn_dataset!B636))</f>
        <v>Basic</v>
      </c>
      <c r="C636" s="7" t="str">
        <f aca="false">PROPER(TRIM(customer_churn_dataset!C636))</f>
        <v>Two Year</v>
      </c>
      <c r="D636" s="7" t="n">
        <f aca="false">IF(ISBLANK(customer_churn_dataset!D636),ROUND(MEDIAN(customer_churn_dataset!D$2:D$1501),2),IF(customer_churn_dataset!D636&lt;0,ABS(customer_churn_dataset!D636),customer_churn_dataset!D636))</f>
        <v>10.38</v>
      </c>
      <c r="E636" s="7" t="n">
        <f aca="false">IF(ISBLANK(customer_churn_dataset!E636),0,MAX(0,customer_churn_dataset!E636))</f>
        <v>35</v>
      </c>
      <c r="F636" s="8" t="n">
        <f aca="false">IF(ISBLANK(customer_churn_dataset!F636),"",customer_churn_dataset!F636)</f>
        <v>44690</v>
      </c>
      <c r="G636" s="7" t="str">
        <f aca="false">PROPER(TRIM(customer_churn_dataset!G636))</f>
        <v>Paypal</v>
      </c>
      <c r="H636" s="7" t="n">
        <f aca="false">IF(ISBLANK(customer_churn_dataset!H636),0,customer_churn_dataset!H636)</f>
        <v>1</v>
      </c>
      <c r="I636" s="7" t="n">
        <f aca="false">IF(ISBLANK(customer_churn_dataset!I636),ROUND(MEDIAN(customer_churn_dataset!I$2:I$1501),1),MIN(100,MAX(0,customer_churn_dataset!I636)))</f>
        <v>42.7</v>
      </c>
      <c r="J636" s="7" t="n">
        <f aca="false">IF(ISBLANK(customer_churn_dataset!J636),0,MAX(0,customer_churn_dataset!J636))</f>
        <v>17</v>
      </c>
      <c r="K636" s="7" t="n">
        <f aca="false">IF(ISBLANK(customer_churn_dataset!K636),0,MIN(10,MAX(0,customer_churn_dataset!K636)))</f>
        <v>4</v>
      </c>
      <c r="L636" s="7" t="n">
        <f aca="false">IF(ISBLANK(customer_churn_dataset!L636),0,MAX(0,customer_churn_dataset!L636))</f>
        <v>3</v>
      </c>
      <c r="M636" s="7" t="n">
        <f aca="false">IF(ISBLANK(customer_churn_dataset!M636),0,customer_churn_dataset!M636)</f>
        <v>0</v>
      </c>
      <c r="N636" s="7" t="n">
        <f aca="false">IF(ISBLANK(customer_churn_dataset!N636),0,MAX(0,customer_churn_dataset!N636))</f>
        <v>363.3</v>
      </c>
      <c r="O636" s="7" t="n">
        <f aca="false">IF(ISBLANK(customer_churn_dataset!O636),0,customer_churn_dataset!O636)</f>
        <v>0</v>
      </c>
      <c r="P636" s="7" t="str">
        <f aca="false">IF(COUNTIF(customer_churn_dataset!$A$2:$A$1501,customer_churn_dataset!A636)&gt;1,"Duplicate","Unique")</f>
        <v>Unique</v>
      </c>
    </row>
    <row r="637" customFormat="false" ht="14.15" hidden="false" customHeight="true" outlineLevel="0" collapsed="false">
      <c r="A637" s="7" t="str">
        <f aca="false">TRIM(customer_churn_dataset!A637)</f>
        <v>CUST100459</v>
      </c>
      <c r="B637" s="7" t="str">
        <f aca="false">PROPER(TRIM(customer_churn_dataset!B637))</f>
        <v>Basic</v>
      </c>
      <c r="C637" s="7" t="str">
        <f aca="false">PROPER(TRIM(customer_churn_dataset!C637))</f>
        <v>Month-To-Month</v>
      </c>
      <c r="D637" s="7" t="n">
        <f aca="false">IF(ISBLANK(customer_churn_dataset!D637),ROUND(MEDIAN(customer_churn_dataset!D$2:D$1501),2),IF(customer_churn_dataset!D637&lt;0,ABS(customer_churn_dataset!D637),customer_churn_dataset!D637))</f>
        <v>11.14</v>
      </c>
      <c r="E637" s="7" t="n">
        <f aca="false">IF(ISBLANK(customer_churn_dataset!E637),0,MAX(0,customer_churn_dataset!E637))</f>
        <v>19</v>
      </c>
      <c r="F637" s="8" t="n">
        <f aca="false">IF(ISBLANK(customer_churn_dataset!F637),"",customer_churn_dataset!F637)</f>
        <v>44690</v>
      </c>
      <c r="G637" s="7" t="str">
        <f aca="false">PROPER(TRIM(customer_churn_dataset!G637))</f>
        <v>Bank Transfer</v>
      </c>
      <c r="H637" s="7" t="n">
        <f aca="false">IF(ISBLANK(customer_churn_dataset!H637),0,customer_churn_dataset!H637)</f>
        <v>1</v>
      </c>
      <c r="I637" s="7" t="n">
        <f aca="false">IF(ISBLANK(customer_churn_dataset!I637),ROUND(MEDIAN(customer_churn_dataset!I$2:I$1501),1),MIN(100,MAX(0,customer_churn_dataset!I637)))</f>
        <v>61</v>
      </c>
      <c r="J637" s="7" t="n">
        <f aca="false">IF(ISBLANK(customer_churn_dataset!J637),0,MAX(0,customer_churn_dataset!J637))</f>
        <v>15</v>
      </c>
      <c r="K637" s="7" t="n">
        <f aca="false">IF(ISBLANK(customer_churn_dataset!K637),0,MIN(10,MAX(0,customer_churn_dataset!K637)))</f>
        <v>6</v>
      </c>
      <c r="L637" s="7" t="n">
        <f aca="false">IF(ISBLANK(customer_churn_dataset!L637),0,MAX(0,customer_churn_dataset!L637))</f>
        <v>2</v>
      </c>
      <c r="M637" s="7" t="n">
        <f aca="false">IF(ISBLANK(customer_churn_dataset!M637),0,customer_churn_dataset!M637)</f>
        <v>1</v>
      </c>
      <c r="N637" s="7" t="n">
        <f aca="false">IF(ISBLANK(customer_churn_dataset!N637),0,MAX(0,customer_churn_dataset!N637))</f>
        <v>211.66</v>
      </c>
      <c r="O637" s="7" t="n">
        <f aca="false">IF(ISBLANK(customer_churn_dataset!O637),0,customer_churn_dataset!O637)</f>
        <v>0</v>
      </c>
      <c r="P637" s="7" t="str">
        <f aca="false">IF(COUNTIF(customer_churn_dataset!$A$2:$A$1501,customer_churn_dataset!A637)&gt;1,"Duplicate","Unique")</f>
        <v>Unique</v>
      </c>
    </row>
    <row r="638" customFormat="false" ht="14.15" hidden="false" customHeight="true" outlineLevel="0" collapsed="false">
      <c r="A638" s="7" t="str">
        <f aca="false">TRIM(customer_churn_dataset!A638)</f>
        <v>CUST100518</v>
      </c>
      <c r="B638" s="7" t="str">
        <f aca="false">PROPER(TRIM(customer_churn_dataset!B638))</f>
        <v>Premium</v>
      </c>
      <c r="C638" s="7" t="str">
        <f aca="false">PROPER(TRIM(customer_churn_dataset!C638))</f>
        <v>Two Year</v>
      </c>
      <c r="D638" s="7" t="n">
        <f aca="false">IF(ISBLANK(customer_churn_dataset!D638),ROUND(MEDIAN(customer_churn_dataset!D$2:D$1501),2),IF(customer_churn_dataset!D638&lt;0,ABS(customer_churn_dataset!D638),customer_churn_dataset!D638))</f>
        <v>40.99</v>
      </c>
      <c r="E638" s="7" t="n">
        <f aca="false">IF(ISBLANK(customer_churn_dataset!E638),0,MAX(0,customer_churn_dataset!E638))</f>
        <v>22</v>
      </c>
      <c r="F638" s="8" t="n">
        <f aca="false">IF(ISBLANK(customer_churn_dataset!F638),"",customer_churn_dataset!F638)</f>
        <v>44691</v>
      </c>
      <c r="G638" s="7" t="str">
        <f aca="false">PROPER(TRIM(customer_churn_dataset!G638))</f>
        <v>Manual/Invoice</v>
      </c>
      <c r="H638" s="7" t="n">
        <f aca="false">IF(ISBLANK(customer_churn_dataset!H638),0,customer_churn_dataset!H638)</f>
        <v>1</v>
      </c>
      <c r="I638" s="7" t="n">
        <f aca="false">IF(ISBLANK(customer_churn_dataset!I638),ROUND(MEDIAN(customer_churn_dataset!I$2:I$1501),1),MIN(100,MAX(0,customer_churn_dataset!I638)))</f>
        <v>89.9</v>
      </c>
      <c r="J638" s="7" t="n">
        <f aca="false">IF(ISBLANK(customer_churn_dataset!J638),0,MAX(0,customer_churn_dataset!J638))</f>
        <v>26</v>
      </c>
      <c r="K638" s="7" t="n">
        <f aca="false">IF(ISBLANK(customer_churn_dataset!K638),0,MIN(10,MAX(0,customer_churn_dataset!K638)))</f>
        <v>10</v>
      </c>
      <c r="L638" s="7" t="n">
        <f aca="false">IF(ISBLANK(customer_churn_dataset!L638),0,MAX(0,customer_churn_dataset!L638))</f>
        <v>1</v>
      </c>
      <c r="M638" s="7" t="n">
        <f aca="false">IF(ISBLANK(customer_churn_dataset!M638),0,customer_churn_dataset!M638)</f>
        <v>0</v>
      </c>
      <c r="N638" s="7" t="n">
        <f aca="false">IF(ISBLANK(customer_churn_dataset!N638),0,MAX(0,customer_churn_dataset!N638))</f>
        <v>901.78</v>
      </c>
      <c r="O638" s="7" t="n">
        <f aca="false">IF(ISBLANK(customer_churn_dataset!O638),0,customer_churn_dataset!O638)</f>
        <v>0</v>
      </c>
      <c r="P638" s="7" t="str">
        <f aca="false">IF(COUNTIF(customer_churn_dataset!$A$2:$A$1501,customer_churn_dataset!A638)&gt;1,"Duplicate","Unique")</f>
        <v>Unique</v>
      </c>
    </row>
    <row r="639" customFormat="false" ht="14.15" hidden="false" customHeight="true" outlineLevel="0" collapsed="false">
      <c r="A639" s="7" t="str">
        <f aca="false">TRIM(customer_churn_dataset!A639)</f>
        <v>CUST100323</v>
      </c>
      <c r="B639" s="7" t="str">
        <f aca="false">PROPER(TRIM(customer_churn_dataset!B639))</f>
        <v>Basic</v>
      </c>
      <c r="C639" s="7" t="str">
        <f aca="false">PROPER(TRIM(customer_churn_dataset!C639))</f>
        <v>Month-To-Month</v>
      </c>
      <c r="D639" s="7" t="n">
        <f aca="false">IF(ISBLANK(customer_churn_dataset!D639),ROUND(MEDIAN(customer_churn_dataset!D$2:D$1501),2),IF(customer_churn_dataset!D639&lt;0,ABS(customer_churn_dataset!D639),customer_churn_dataset!D639))</f>
        <v>9.59</v>
      </c>
      <c r="E639" s="7" t="n">
        <f aca="false">IF(ISBLANK(customer_churn_dataset!E639),0,MAX(0,customer_churn_dataset!E639))</f>
        <v>7</v>
      </c>
      <c r="F639" s="8" t="n">
        <f aca="false">IF(ISBLANK(customer_churn_dataset!F639),"",customer_churn_dataset!F639)</f>
        <v>44691</v>
      </c>
      <c r="G639" s="7" t="str">
        <f aca="false">PROPER(TRIM(customer_churn_dataset!G639))</f>
        <v>Credit Card</v>
      </c>
      <c r="H639" s="7" t="n">
        <f aca="false">IF(ISBLANK(customer_churn_dataset!H639),0,customer_churn_dataset!H639)</f>
        <v>1</v>
      </c>
      <c r="I639" s="7" t="n">
        <f aca="false">IF(ISBLANK(customer_churn_dataset!I639),ROUND(MEDIAN(customer_churn_dataset!I$2:I$1501),1),MIN(100,MAX(0,customer_churn_dataset!I639)))</f>
        <v>71.1</v>
      </c>
      <c r="J639" s="7" t="n">
        <f aca="false">IF(ISBLANK(customer_churn_dataset!J639),0,MAX(0,customer_churn_dataset!J639))</f>
        <v>18</v>
      </c>
      <c r="K639" s="7" t="n">
        <f aca="false">IF(ISBLANK(customer_churn_dataset!K639),0,MIN(10,MAX(0,customer_churn_dataset!K639)))</f>
        <v>10</v>
      </c>
      <c r="L639" s="7" t="n">
        <f aca="false">IF(ISBLANK(customer_churn_dataset!L639),0,MAX(0,customer_churn_dataset!L639))</f>
        <v>1</v>
      </c>
      <c r="M639" s="7" t="n">
        <f aca="false">IF(ISBLANK(customer_churn_dataset!M639),0,customer_churn_dataset!M639)</f>
        <v>0</v>
      </c>
      <c r="N639" s="7" t="n">
        <f aca="false">IF(ISBLANK(customer_churn_dataset!N639),0,MAX(0,customer_churn_dataset!N639))</f>
        <v>67.13</v>
      </c>
      <c r="O639" s="7" t="n">
        <f aca="false">IF(ISBLANK(customer_churn_dataset!O639),0,customer_churn_dataset!O639)</f>
        <v>1</v>
      </c>
      <c r="P639" s="7" t="str">
        <f aca="false">IF(COUNTIF(customer_churn_dataset!$A$2:$A$1501,customer_churn_dataset!A639)&gt;1,"Duplicate","Unique")</f>
        <v>Unique</v>
      </c>
    </row>
    <row r="640" customFormat="false" ht="14.15" hidden="false" customHeight="true" outlineLevel="0" collapsed="false">
      <c r="A640" s="7" t="str">
        <f aca="false">TRIM(customer_churn_dataset!A640)</f>
        <v>CUST100088</v>
      </c>
      <c r="B640" s="7" t="str">
        <f aca="false">PROPER(TRIM(customer_churn_dataset!B640))</f>
        <v>Premium</v>
      </c>
      <c r="C640" s="7" t="str">
        <f aca="false">PROPER(TRIM(customer_churn_dataset!C640))</f>
        <v>Two Year</v>
      </c>
      <c r="D640" s="7" t="n">
        <f aca="false">IF(ISBLANK(customer_churn_dataset!D640),ROUND(MEDIAN(customer_churn_dataset!D$2:D$1501),2),IF(customer_churn_dataset!D640&lt;0,ABS(customer_churn_dataset!D640),customer_churn_dataset!D640))</f>
        <v>40.22</v>
      </c>
      <c r="E640" s="7" t="n">
        <f aca="false">IF(ISBLANK(customer_churn_dataset!E640),0,MAX(0,customer_churn_dataset!E640))</f>
        <v>13</v>
      </c>
      <c r="F640" s="8" t="n">
        <f aca="false">IF(ISBLANK(customer_churn_dataset!F640),"",customer_churn_dataset!F640)</f>
        <v>44692</v>
      </c>
      <c r="G640" s="7" t="str">
        <f aca="false">PROPER(TRIM(customer_churn_dataset!G640))</f>
        <v>Manual/Invoice</v>
      </c>
      <c r="H640" s="7" t="n">
        <f aca="false">IF(ISBLANK(customer_churn_dataset!H640),0,customer_churn_dataset!H640)</f>
        <v>1</v>
      </c>
      <c r="I640" s="7" t="n">
        <f aca="false">IF(ISBLANK(customer_churn_dataset!I640),ROUND(MEDIAN(customer_churn_dataset!I$2:I$1501),1),MIN(100,MAX(0,customer_churn_dataset!I640)))</f>
        <v>84</v>
      </c>
      <c r="J640" s="7" t="n">
        <f aca="false">IF(ISBLANK(customer_churn_dataset!J640),0,MAX(0,customer_churn_dataset!J640))</f>
        <v>25</v>
      </c>
      <c r="K640" s="7" t="n">
        <f aca="false">IF(ISBLANK(customer_churn_dataset!K640),0,MIN(10,MAX(0,customer_churn_dataset!K640)))</f>
        <v>8</v>
      </c>
      <c r="L640" s="7" t="n">
        <f aca="false">IF(ISBLANK(customer_churn_dataset!L640),0,MAX(0,customer_churn_dataset!L640))</f>
        <v>2</v>
      </c>
      <c r="M640" s="7" t="n">
        <f aca="false">IF(ISBLANK(customer_churn_dataset!M640),0,customer_churn_dataset!M640)</f>
        <v>1</v>
      </c>
      <c r="N640" s="7" t="n">
        <f aca="false">IF(ISBLANK(customer_churn_dataset!N640),0,MAX(0,customer_churn_dataset!N640))</f>
        <v>522.86</v>
      </c>
      <c r="O640" s="7" t="n">
        <f aca="false">IF(ISBLANK(customer_churn_dataset!O640),0,customer_churn_dataset!O640)</f>
        <v>0</v>
      </c>
      <c r="P640" s="7" t="str">
        <f aca="false">IF(COUNTIF(customer_churn_dataset!$A$2:$A$1501,customer_churn_dataset!A640)&gt;1,"Duplicate","Unique")</f>
        <v>Unique</v>
      </c>
    </row>
    <row r="641" customFormat="false" ht="14.15" hidden="false" customHeight="true" outlineLevel="0" collapsed="false">
      <c r="A641" s="7" t="str">
        <f aca="false">TRIM(customer_churn_dataset!A641)</f>
        <v>CUST101023</v>
      </c>
      <c r="B641" s="7" t="str">
        <f aca="false">PROPER(TRIM(customer_churn_dataset!B641))</f>
        <v>Premium</v>
      </c>
      <c r="C641" s="7" t="str">
        <f aca="false">PROPER(TRIM(customer_churn_dataset!C641))</f>
        <v>Month-To-Month</v>
      </c>
      <c r="D641" s="7" t="n">
        <f aca="false">IF(ISBLANK(customer_churn_dataset!D641),ROUND(MEDIAN(customer_churn_dataset!D$2:D$1501),2),IF(customer_churn_dataset!D641&lt;0,ABS(customer_churn_dataset!D641),customer_churn_dataset!D641))</f>
        <v>41.36</v>
      </c>
      <c r="E641" s="7" t="n">
        <f aca="false">IF(ISBLANK(customer_churn_dataset!E641),0,MAX(0,customer_churn_dataset!E641))</f>
        <v>13</v>
      </c>
      <c r="F641" s="8" t="n">
        <f aca="false">IF(ISBLANK(customer_churn_dataset!F641),"",customer_churn_dataset!F641)</f>
        <v>44693</v>
      </c>
      <c r="G641" s="7" t="str">
        <f aca="false">PROPER(TRIM(customer_churn_dataset!G641))</f>
        <v>Credit Card</v>
      </c>
      <c r="H641" s="7" t="n">
        <f aca="false">IF(ISBLANK(customer_churn_dataset!H641),0,customer_churn_dataset!H641)</f>
        <v>1</v>
      </c>
      <c r="I641" s="7" t="n">
        <f aca="false">IF(ISBLANK(customer_churn_dataset!I641),ROUND(MEDIAN(customer_churn_dataset!I$2:I$1501),1),MIN(100,MAX(0,customer_churn_dataset!I641)))</f>
        <v>100</v>
      </c>
      <c r="J641" s="7" t="n">
        <f aca="false">IF(ISBLANK(customer_churn_dataset!J641),0,MAX(0,customer_churn_dataset!J641))</f>
        <v>31</v>
      </c>
      <c r="K641" s="7" t="n">
        <f aca="false">IF(ISBLANK(customer_churn_dataset!K641),0,MIN(10,MAX(0,customer_churn_dataset!K641)))</f>
        <v>10</v>
      </c>
      <c r="L641" s="7" t="n">
        <f aca="false">IF(ISBLANK(customer_churn_dataset!L641),0,MAX(0,customer_churn_dataset!L641))</f>
        <v>2</v>
      </c>
      <c r="M641" s="7" t="n">
        <f aca="false">IF(ISBLANK(customer_churn_dataset!M641),0,customer_churn_dataset!M641)</f>
        <v>0</v>
      </c>
      <c r="N641" s="7" t="n">
        <f aca="false">IF(ISBLANK(customer_churn_dataset!N641),0,MAX(0,customer_churn_dataset!N641))</f>
        <v>537.68</v>
      </c>
      <c r="O641" s="7" t="n">
        <f aca="false">IF(ISBLANK(customer_churn_dataset!O641),0,customer_churn_dataset!O641)</f>
        <v>1</v>
      </c>
      <c r="P641" s="7" t="str">
        <f aca="false">IF(COUNTIF(customer_churn_dataset!$A$2:$A$1501,customer_churn_dataset!A641)&gt;1,"Duplicate","Unique")</f>
        <v>Unique</v>
      </c>
    </row>
    <row r="642" customFormat="false" ht="14.15" hidden="false" customHeight="true" outlineLevel="0" collapsed="false">
      <c r="A642" s="7" t="str">
        <f aca="false">TRIM(customer_churn_dataset!A642)</f>
        <v>CUST100027</v>
      </c>
      <c r="B642" s="7" t="str">
        <f aca="false">PROPER(TRIM(customer_churn_dataset!B642))</f>
        <v>Standard</v>
      </c>
      <c r="C642" s="7" t="str">
        <f aca="false">PROPER(TRIM(customer_churn_dataset!C642))</f>
        <v>Month-To-Month</v>
      </c>
      <c r="D642" s="7" t="n">
        <f aca="false">IF(ISBLANK(customer_churn_dataset!D642),ROUND(MEDIAN(customer_churn_dataset!D$2:D$1501),2),IF(customer_churn_dataset!D642&lt;0,ABS(customer_churn_dataset!D642),customer_churn_dataset!D642))</f>
        <v>19.77</v>
      </c>
      <c r="E642" s="7" t="n">
        <f aca="false">IF(ISBLANK(customer_churn_dataset!E642),0,MAX(0,customer_churn_dataset!E642))</f>
        <v>6</v>
      </c>
      <c r="F642" s="8" t="n">
        <f aca="false">IF(ISBLANK(customer_churn_dataset!F642),"",customer_churn_dataset!F642)</f>
        <v>44693</v>
      </c>
      <c r="G642" s="7" t="str">
        <f aca="false">PROPER(TRIM(customer_churn_dataset!G642))</f>
        <v>Paypal</v>
      </c>
      <c r="H642" s="7" t="n">
        <f aca="false">IF(ISBLANK(customer_churn_dataset!H642),0,customer_churn_dataset!H642)</f>
        <v>1</v>
      </c>
      <c r="I642" s="7" t="n">
        <f aca="false">IF(ISBLANK(customer_churn_dataset!I642),ROUND(MEDIAN(customer_churn_dataset!I$2:I$1501),1),MIN(100,MAX(0,customer_churn_dataset!I642)))</f>
        <v>62.9</v>
      </c>
      <c r="J642" s="7" t="n">
        <f aca="false">IF(ISBLANK(customer_churn_dataset!J642),0,MAX(0,customer_churn_dataset!J642))</f>
        <v>12</v>
      </c>
      <c r="K642" s="7" t="n">
        <f aca="false">IF(ISBLANK(customer_churn_dataset!K642),0,MIN(10,MAX(0,customer_churn_dataset!K642)))</f>
        <v>5</v>
      </c>
      <c r="L642" s="7" t="n">
        <f aca="false">IF(ISBLANK(customer_churn_dataset!L642),0,MAX(0,customer_churn_dataset!L642))</f>
        <v>0</v>
      </c>
      <c r="M642" s="7" t="n">
        <f aca="false">IF(ISBLANK(customer_churn_dataset!M642),0,customer_churn_dataset!M642)</f>
        <v>0</v>
      </c>
      <c r="N642" s="7" t="n">
        <f aca="false">IF(ISBLANK(customer_churn_dataset!N642),0,MAX(0,customer_churn_dataset!N642))</f>
        <v>118.62</v>
      </c>
      <c r="O642" s="7" t="n">
        <f aca="false">IF(ISBLANK(customer_churn_dataset!O642),0,customer_churn_dataset!O642)</f>
        <v>0</v>
      </c>
      <c r="P642" s="7" t="str">
        <f aca="false">IF(COUNTIF(customer_churn_dataset!$A$2:$A$1501,customer_churn_dataset!A642)&gt;1,"Duplicate","Unique")</f>
        <v>Unique</v>
      </c>
    </row>
    <row r="643" customFormat="false" ht="14.15" hidden="false" customHeight="true" outlineLevel="0" collapsed="false">
      <c r="A643" s="7" t="str">
        <f aca="false">TRIM(customer_churn_dataset!A643)</f>
        <v>CUST100202</v>
      </c>
      <c r="B643" s="7" t="str">
        <f aca="false">PROPER(TRIM(customer_churn_dataset!B643))</f>
        <v>Basic</v>
      </c>
      <c r="C643" s="7" t="str">
        <f aca="false">PROPER(TRIM(customer_churn_dataset!C643))</f>
        <v>One Year</v>
      </c>
      <c r="D643" s="7" t="n">
        <f aca="false">IF(ISBLANK(customer_churn_dataset!D643),ROUND(MEDIAN(customer_churn_dataset!D$2:D$1501),2),IF(customer_churn_dataset!D643&lt;0,ABS(customer_churn_dataset!D643),customer_churn_dataset!D643))</f>
        <v>10.11</v>
      </c>
      <c r="E643" s="7" t="n">
        <f aca="false">IF(ISBLANK(customer_churn_dataset!E643),0,MAX(0,customer_churn_dataset!E643))</f>
        <v>55</v>
      </c>
      <c r="F643" s="8" t="n">
        <f aca="false">IF(ISBLANK(customer_churn_dataset!F643),"",customer_churn_dataset!F643)</f>
        <v>44693</v>
      </c>
      <c r="G643" s="7" t="str">
        <f aca="false">PROPER(TRIM(customer_churn_dataset!G643))</f>
        <v>Credit Card</v>
      </c>
      <c r="H643" s="7" t="n">
        <f aca="false">IF(ISBLANK(customer_churn_dataset!H643),0,customer_churn_dataset!H643)</f>
        <v>1</v>
      </c>
      <c r="I643" s="7" t="n">
        <f aca="false">IF(ISBLANK(customer_churn_dataset!I643),ROUND(MEDIAN(customer_churn_dataset!I$2:I$1501),1),MIN(100,MAX(0,customer_churn_dataset!I643)))</f>
        <v>47.7</v>
      </c>
      <c r="J643" s="7" t="n">
        <f aca="false">IF(ISBLANK(customer_churn_dataset!J643),0,MAX(0,customer_churn_dataset!J643))</f>
        <v>16</v>
      </c>
      <c r="K643" s="7" t="n">
        <f aca="false">IF(ISBLANK(customer_churn_dataset!K643),0,MIN(10,MAX(0,customer_churn_dataset!K643)))</f>
        <v>2</v>
      </c>
      <c r="L643" s="7" t="n">
        <f aca="false">IF(ISBLANK(customer_churn_dataset!L643),0,MAX(0,customer_churn_dataset!L643))</f>
        <v>2</v>
      </c>
      <c r="M643" s="7" t="n">
        <f aca="false">IF(ISBLANK(customer_churn_dataset!M643),0,customer_churn_dataset!M643)</f>
        <v>0</v>
      </c>
      <c r="N643" s="7" t="n">
        <f aca="false">IF(ISBLANK(customer_churn_dataset!N643),0,MAX(0,customer_churn_dataset!N643))</f>
        <v>556.05</v>
      </c>
      <c r="O643" s="7" t="n">
        <f aca="false">IF(ISBLANK(customer_churn_dataset!O643),0,customer_churn_dataset!O643)</f>
        <v>0</v>
      </c>
      <c r="P643" s="7" t="str">
        <f aca="false">IF(COUNTIF(customer_churn_dataset!$A$2:$A$1501,customer_churn_dataset!A643)&gt;1,"Duplicate","Unique")</f>
        <v>Unique</v>
      </c>
    </row>
    <row r="644" customFormat="false" ht="14.15" hidden="false" customHeight="true" outlineLevel="0" collapsed="false">
      <c r="A644" s="7" t="str">
        <f aca="false">TRIM(customer_churn_dataset!A644)</f>
        <v>CUST100392</v>
      </c>
      <c r="B644" s="7" t="str">
        <f aca="false">PROPER(TRIM(customer_churn_dataset!B644))</f>
        <v>Basic</v>
      </c>
      <c r="C644" s="7" t="str">
        <f aca="false">PROPER(TRIM(customer_churn_dataset!C644))</f>
        <v>Month-To-Month</v>
      </c>
      <c r="D644" s="7" t="n">
        <f aca="false">IF(ISBLANK(customer_churn_dataset!D644),ROUND(MEDIAN(customer_churn_dataset!D$2:D$1501),2),IF(customer_churn_dataset!D644&lt;0,ABS(customer_churn_dataset!D644),customer_churn_dataset!D644))</f>
        <v>9.11</v>
      </c>
      <c r="E644" s="7" t="n">
        <f aca="false">IF(ISBLANK(customer_churn_dataset!E644),0,MAX(0,customer_churn_dataset!E644))</f>
        <v>11</v>
      </c>
      <c r="F644" s="8" t="n">
        <f aca="false">IF(ISBLANK(customer_churn_dataset!F644),"",customer_churn_dataset!F644)</f>
        <v>44695</v>
      </c>
      <c r="G644" s="7" t="str">
        <f aca="false">PROPER(TRIM(customer_churn_dataset!G644))</f>
        <v>Manual/Invoice</v>
      </c>
      <c r="H644" s="7" t="n">
        <f aca="false">IF(ISBLANK(customer_churn_dataset!H644),0,customer_churn_dataset!H644)</f>
        <v>1</v>
      </c>
      <c r="I644" s="7" t="n">
        <f aca="false">IF(ISBLANK(customer_churn_dataset!I644),ROUND(MEDIAN(customer_churn_dataset!I$2:I$1501),1),MIN(100,MAX(0,customer_churn_dataset!I644)))</f>
        <v>84.4</v>
      </c>
      <c r="J644" s="7" t="n">
        <f aca="false">IF(ISBLANK(customer_churn_dataset!J644),0,MAX(0,customer_churn_dataset!J644))</f>
        <v>25</v>
      </c>
      <c r="K644" s="7" t="n">
        <f aca="false">IF(ISBLANK(customer_churn_dataset!K644),0,MIN(10,MAX(0,customer_churn_dataset!K644)))</f>
        <v>10</v>
      </c>
      <c r="L644" s="7" t="n">
        <f aca="false">IF(ISBLANK(customer_churn_dataset!L644),0,MAX(0,customer_churn_dataset!L644))</f>
        <v>1</v>
      </c>
      <c r="M644" s="7" t="n">
        <f aca="false">IF(ISBLANK(customer_churn_dataset!M644),0,customer_churn_dataset!M644)</f>
        <v>0</v>
      </c>
      <c r="N644" s="7" t="n">
        <f aca="false">IF(ISBLANK(customer_churn_dataset!N644),0,MAX(0,customer_churn_dataset!N644))</f>
        <v>100.21</v>
      </c>
      <c r="O644" s="7" t="n">
        <f aca="false">IF(ISBLANK(customer_churn_dataset!O644),0,customer_churn_dataset!O644)</f>
        <v>0</v>
      </c>
      <c r="P644" s="7" t="str">
        <f aca="false">IF(COUNTIF(customer_churn_dataset!$A$2:$A$1501,customer_churn_dataset!A644)&gt;1,"Duplicate","Unique")</f>
        <v>Unique</v>
      </c>
    </row>
    <row r="645" customFormat="false" ht="14.15" hidden="false" customHeight="true" outlineLevel="0" collapsed="false">
      <c r="A645" s="7" t="str">
        <f aca="false">TRIM(customer_churn_dataset!A645)</f>
        <v>CUST100471</v>
      </c>
      <c r="B645" s="7" t="str">
        <f aca="false">PROPER(TRIM(customer_churn_dataset!B645))</f>
        <v>Premium</v>
      </c>
      <c r="C645" s="7" t="str">
        <f aca="false">PROPER(TRIM(customer_churn_dataset!C645))</f>
        <v>Month-To-Month</v>
      </c>
      <c r="D645" s="7" t="n">
        <f aca="false">IF(ISBLANK(customer_churn_dataset!D645),ROUND(MEDIAN(customer_churn_dataset!D$2:D$1501),2),IF(customer_churn_dataset!D645&lt;0,ABS(customer_churn_dataset!D645),customer_churn_dataset!D645))</f>
        <v>39.14</v>
      </c>
      <c r="E645" s="7" t="n">
        <f aca="false">IF(ISBLANK(customer_churn_dataset!E645),0,MAX(0,customer_churn_dataset!E645))</f>
        <v>18</v>
      </c>
      <c r="F645" s="8" t="n">
        <f aca="false">IF(ISBLANK(customer_churn_dataset!F645),"",customer_churn_dataset!F645)</f>
        <v>44697</v>
      </c>
      <c r="G645" s="7" t="str">
        <f aca="false">PROPER(TRIM(customer_churn_dataset!G645))</f>
        <v>Paypal</v>
      </c>
      <c r="H645" s="7" t="n">
        <f aca="false">IF(ISBLANK(customer_churn_dataset!H645),0,customer_churn_dataset!H645)</f>
        <v>1</v>
      </c>
      <c r="I645" s="7" t="n">
        <f aca="false">IF(ISBLANK(customer_churn_dataset!I645),ROUND(MEDIAN(customer_churn_dataset!I$2:I$1501),1),MIN(100,MAX(0,customer_churn_dataset!I645)))</f>
        <v>41.7</v>
      </c>
      <c r="J645" s="7" t="n">
        <f aca="false">IF(ISBLANK(customer_churn_dataset!J645),0,MAX(0,customer_churn_dataset!J645))</f>
        <v>18</v>
      </c>
      <c r="K645" s="7" t="n">
        <f aca="false">IF(ISBLANK(customer_churn_dataset!K645),0,MIN(10,MAX(0,customer_churn_dataset!K645)))</f>
        <v>5</v>
      </c>
      <c r="L645" s="7" t="n">
        <f aca="false">IF(ISBLANK(customer_churn_dataset!L645),0,MAX(0,customer_churn_dataset!L645))</f>
        <v>1</v>
      </c>
      <c r="M645" s="7" t="n">
        <f aca="false">IF(ISBLANK(customer_churn_dataset!M645),0,customer_churn_dataset!M645)</f>
        <v>1</v>
      </c>
      <c r="N645" s="7" t="n">
        <f aca="false">IF(ISBLANK(customer_churn_dataset!N645),0,MAX(0,customer_churn_dataset!N645))</f>
        <v>704.52</v>
      </c>
      <c r="O645" s="7" t="n">
        <f aca="false">IF(ISBLANK(customer_churn_dataset!O645),0,customer_churn_dataset!O645)</f>
        <v>0</v>
      </c>
      <c r="P645" s="7" t="str">
        <f aca="false">IF(COUNTIF(customer_churn_dataset!$A$2:$A$1501,customer_churn_dataset!A645)&gt;1,"Duplicate","Unique")</f>
        <v>Unique</v>
      </c>
    </row>
    <row r="646" customFormat="false" ht="14.15" hidden="false" customHeight="true" outlineLevel="0" collapsed="false">
      <c r="A646" s="7" t="str">
        <f aca="false">TRIM(customer_churn_dataset!A646)</f>
        <v>CUST100159</v>
      </c>
      <c r="B646" s="7" t="str">
        <f aca="false">PROPER(TRIM(customer_churn_dataset!B646))</f>
        <v>Standard</v>
      </c>
      <c r="C646" s="7" t="str">
        <f aca="false">PROPER(TRIM(customer_churn_dataset!C646))</f>
        <v>Month-To-Month</v>
      </c>
      <c r="D646" s="7" t="n">
        <f aca="false">IF(ISBLANK(customer_churn_dataset!D646),ROUND(MEDIAN(customer_churn_dataset!D$2:D$1501),2),IF(customer_churn_dataset!D646&lt;0,ABS(customer_churn_dataset!D646),customer_churn_dataset!D646))</f>
        <v>19.8</v>
      </c>
      <c r="E646" s="7" t="n">
        <f aca="false">IF(ISBLANK(customer_churn_dataset!E646),0,MAX(0,customer_churn_dataset!E646))</f>
        <v>16</v>
      </c>
      <c r="F646" s="8" t="n">
        <f aca="false">IF(ISBLANK(customer_churn_dataset!F646),"",customer_churn_dataset!F646)</f>
        <v>44699</v>
      </c>
      <c r="G646" s="7" t="str">
        <f aca="false">PROPER(TRIM(customer_churn_dataset!G646))</f>
        <v>Manual/Invoice</v>
      </c>
      <c r="H646" s="7" t="n">
        <f aca="false">IF(ISBLANK(customer_churn_dataset!H646),0,customer_churn_dataset!H646)</f>
        <v>1</v>
      </c>
      <c r="I646" s="7" t="n">
        <f aca="false">IF(ISBLANK(customer_churn_dataset!I646),ROUND(MEDIAN(customer_churn_dataset!I$2:I$1501),1),MIN(100,MAX(0,customer_churn_dataset!I646)))</f>
        <v>25</v>
      </c>
      <c r="J646" s="7" t="n">
        <f aca="false">IF(ISBLANK(customer_churn_dataset!J646),0,MAX(0,customer_churn_dataset!J646))</f>
        <v>10</v>
      </c>
      <c r="K646" s="7" t="n">
        <f aca="false">IF(ISBLANK(customer_churn_dataset!K646),0,MIN(10,MAX(0,customer_churn_dataset!K646)))</f>
        <v>3</v>
      </c>
      <c r="L646" s="7" t="n">
        <f aca="false">IF(ISBLANK(customer_churn_dataset!L646),0,MAX(0,customer_churn_dataset!L646))</f>
        <v>5</v>
      </c>
      <c r="M646" s="7" t="n">
        <f aca="false">IF(ISBLANK(customer_churn_dataset!M646),0,customer_churn_dataset!M646)</f>
        <v>1</v>
      </c>
      <c r="N646" s="7" t="n">
        <f aca="false">IF(ISBLANK(customer_churn_dataset!N646),0,MAX(0,customer_churn_dataset!N646))</f>
        <v>316.8</v>
      </c>
      <c r="O646" s="7" t="n">
        <f aca="false">IF(ISBLANK(customer_churn_dataset!O646),0,customer_churn_dataset!O646)</f>
        <v>1</v>
      </c>
      <c r="P646" s="7" t="str">
        <f aca="false">IF(COUNTIF(customer_churn_dataset!$A$2:$A$1501,customer_churn_dataset!A646)&gt;1,"Duplicate","Unique")</f>
        <v>Unique</v>
      </c>
    </row>
    <row r="647" customFormat="false" ht="14.15" hidden="false" customHeight="true" outlineLevel="0" collapsed="false">
      <c r="A647" s="7" t="str">
        <f aca="false">TRIM(customer_churn_dataset!A647)</f>
        <v>CUST100862</v>
      </c>
      <c r="B647" s="7" t="str">
        <f aca="false">PROPER(TRIM(customer_churn_dataset!B647))</f>
        <v>Standard</v>
      </c>
      <c r="C647" s="7" t="str">
        <f aca="false">PROPER(TRIM(customer_churn_dataset!C647))</f>
        <v>Month-To-Month</v>
      </c>
      <c r="D647" s="7" t="n">
        <f aca="false">IF(ISBLANK(customer_churn_dataset!D647),ROUND(MEDIAN(customer_churn_dataset!D$2:D$1501),2),IF(customer_churn_dataset!D647&lt;0,ABS(customer_churn_dataset!D647),customer_churn_dataset!D647))</f>
        <v>21.35</v>
      </c>
      <c r="E647" s="7" t="n">
        <f aca="false">IF(ISBLANK(customer_churn_dataset!E647),0,MAX(0,customer_churn_dataset!E647))</f>
        <v>4</v>
      </c>
      <c r="F647" s="8" t="n">
        <f aca="false">IF(ISBLANK(customer_churn_dataset!F647),"",customer_churn_dataset!F647)</f>
        <v>44702</v>
      </c>
      <c r="G647" s="7" t="str">
        <f aca="false">PROPER(TRIM(customer_churn_dataset!G647))</f>
        <v>Manual/Invoice</v>
      </c>
      <c r="H647" s="7" t="n">
        <f aca="false">IF(ISBLANK(customer_churn_dataset!H647),0,customer_churn_dataset!H647)</f>
        <v>1</v>
      </c>
      <c r="I647" s="7" t="n">
        <f aca="false">IF(ISBLANK(customer_churn_dataset!I647),ROUND(MEDIAN(customer_churn_dataset!I$2:I$1501),1),MIN(100,MAX(0,customer_churn_dataset!I647)))</f>
        <v>40.8</v>
      </c>
      <c r="J647" s="7" t="n">
        <f aca="false">IF(ISBLANK(customer_churn_dataset!J647),0,MAX(0,customer_churn_dataset!J647))</f>
        <v>16</v>
      </c>
      <c r="K647" s="7" t="n">
        <f aca="false">IF(ISBLANK(customer_churn_dataset!K647),0,MIN(10,MAX(0,customer_churn_dataset!K647)))</f>
        <v>5</v>
      </c>
      <c r="L647" s="7" t="n">
        <f aca="false">IF(ISBLANK(customer_churn_dataset!L647),0,MAX(0,customer_churn_dataset!L647))</f>
        <v>2</v>
      </c>
      <c r="M647" s="7" t="n">
        <f aca="false">IF(ISBLANK(customer_churn_dataset!M647),0,customer_churn_dataset!M647)</f>
        <v>1</v>
      </c>
      <c r="N647" s="7" t="n">
        <f aca="false">IF(ISBLANK(customer_churn_dataset!N647),0,MAX(0,customer_churn_dataset!N647))</f>
        <v>85.4</v>
      </c>
      <c r="O647" s="7" t="n">
        <f aca="false">IF(ISBLANK(customer_churn_dataset!O647),0,customer_churn_dataset!O647)</f>
        <v>0</v>
      </c>
      <c r="P647" s="7" t="str">
        <f aca="false">IF(COUNTIF(customer_churn_dataset!$A$2:$A$1501,customer_churn_dataset!A647)&gt;1,"Duplicate","Unique")</f>
        <v>Unique</v>
      </c>
    </row>
    <row r="648" customFormat="false" ht="14.15" hidden="false" customHeight="true" outlineLevel="0" collapsed="false">
      <c r="A648" s="7" t="str">
        <f aca="false">TRIM(customer_churn_dataset!A648)</f>
        <v>CUST100733</v>
      </c>
      <c r="B648" s="7" t="str">
        <f aca="false">PROPER(TRIM(customer_churn_dataset!B648))</f>
        <v>Standard</v>
      </c>
      <c r="C648" s="7" t="str">
        <f aca="false">PROPER(TRIM(customer_churn_dataset!C648))</f>
        <v>Month-To-Month</v>
      </c>
      <c r="D648" s="7" t="n">
        <f aca="false">IF(ISBLANK(customer_churn_dataset!D648),ROUND(MEDIAN(customer_churn_dataset!D$2:D$1501),2),IF(customer_churn_dataset!D648&lt;0,ABS(customer_churn_dataset!D648),customer_churn_dataset!D648))</f>
        <v>19.88</v>
      </c>
      <c r="E648" s="7" t="n">
        <f aca="false">IF(ISBLANK(customer_churn_dataset!E648),0,MAX(0,customer_churn_dataset!E648))</f>
        <v>27</v>
      </c>
      <c r="F648" s="8" t="n">
        <f aca="false">IF(ISBLANK(customer_churn_dataset!F648),"",customer_churn_dataset!F648)</f>
        <v>44703</v>
      </c>
      <c r="G648" s="7" t="str">
        <f aca="false">PROPER(TRIM(customer_churn_dataset!G648))</f>
        <v>Bank Transfer</v>
      </c>
      <c r="H648" s="7" t="n">
        <f aca="false">IF(ISBLANK(customer_churn_dataset!H648),0,customer_churn_dataset!H648)</f>
        <v>1</v>
      </c>
      <c r="I648" s="7" t="n">
        <f aca="false">IF(ISBLANK(customer_churn_dataset!I648),ROUND(MEDIAN(customer_churn_dataset!I$2:I$1501),1),MIN(100,MAX(0,customer_churn_dataset!I648)))</f>
        <v>54.8</v>
      </c>
      <c r="J648" s="7" t="n">
        <f aca="false">IF(ISBLANK(customer_churn_dataset!J648),0,MAX(0,customer_churn_dataset!J648))</f>
        <v>19</v>
      </c>
      <c r="K648" s="7" t="n">
        <f aca="false">IF(ISBLANK(customer_churn_dataset!K648),0,MIN(10,MAX(0,customer_churn_dataset!K648)))</f>
        <v>4</v>
      </c>
      <c r="L648" s="7" t="n">
        <f aca="false">IF(ISBLANK(customer_churn_dataset!L648),0,MAX(0,customer_churn_dataset!L648))</f>
        <v>1</v>
      </c>
      <c r="M648" s="7" t="n">
        <f aca="false">IF(ISBLANK(customer_churn_dataset!M648),0,customer_churn_dataset!M648)</f>
        <v>0</v>
      </c>
      <c r="N648" s="7" t="n">
        <f aca="false">IF(ISBLANK(customer_churn_dataset!N648),0,MAX(0,customer_churn_dataset!N648))</f>
        <v>536.76</v>
      </c>
      <c r="O648" s="7" t="n">
        <f aca="false">IF(ISBLANK(customer_churn_dataset!O648),0,customer_churn_dataset!O648)</f>
        <v>0</v>
      </c>
      <c r="P648" s="7" t="str">
        <f aca="false">IF(COUNTIF(customer_churn_dataset!$A$2:$A$1501,customer_churn_dataset!A648)&gt;1,"Duplicate","Unique")</f>
        <v>Unique</v>
      </c>
    </row>
    <row r="649" customFormat="false" ht="14.15" hidden="false" customHeight="true" outlineLevel="0" collapsed="false">
      <c r="A649" s="7" t="str">
        <f aca="false">TRIM(customer_churn_dataset!A649)</f>
        <v>CUST100509</v>
      </c>
      <c r="B649" s="7" t="str">
        <f aca="false">PROPER(TRIM(customer_churn_dataset!B649))</f>
        <v>Standard</v>
      </c>
      <c r="C649" s="7" t="str">
        <f aca="false">PROPER(TRIM(customer_churn_dataset!C649))</f>
        <v>Month-To-Month</v>
      </c>
      <c r="D649" s="7" t="n">
        <f aca="false">IF(ISBLANK(customer_churn_dataset!D649),ROUND(MEDIAN(customer_churn_dataset!D$2:D$1501),2),IF(customer_churn_dataset!D649&lt;0,ABS(customer_churn_dataset!D649),customer_churn_dataset!D649))</f>
        <v>20.54</v>
      </c>
      <c r="E649" s="7" t="n">
        <f aca="false">IF(ISBLANK(customer_churn_dataset!E649),0,MAX(0,customer_churn_dataset!E649))</f>
        <v>34</v>
      </c>
      <c r="F649" s="8" t="n">
        <f aca="false">IF(ISBLANK(customer_churn_dataset!F649),"",customer_churn_dataset!F649)</f>
        <v>44705</v>
      </c>
      <c r="G649" s="7" t="str">
        <f aca="false">PROPER(TRIM(customer_churn_dataset!G649))</f>
        <v>Credit Card</v>
      </c>
      <c r="H649" s="7" t="n">
        <f aca="false">IF(ISBLANK(customer_churn_dataset!H649),0,customer_churn_dataset!H649)</f>
        <v>0</v>
      </c>
      <c r="I649" s="7" t="n">
        <f aca="false">IF(ISBLANK(customer_churn_dataset!I649),ROUND(MEDIAN(customer_churn_dataset!I$2:I$1501),1),MIN(100,MAX(0,customer_churn_dataset!I649)))</f>
        <v>49.2</v>
      </c>
      <c r="J649" s="7" t="n">
        <f aca="false">IF(ISBLANK(customer_churn_dataset!J649),0,MAX(0,customer_churn_dataset!J649))</f>
        <v>16</v>
      </c>
      <c r="K649" s="7" t="n">
        <f aca="false">IF(ISBLANK(customer_churn_dataset!K649),0,MIN(10,MAX(0,customer_churn_dataset!K649)))</f>
        <v>3</v>
      </c>
      <c r="L649" s="7" t="n">
        <f aca="false">IF(ISBLANK(customer_churn_dataset!L649),0,MAX(0,customer_churn_dataset!L649))</f>
        <v>0</v>
      </c>
      <c r="M649" s="7" t="n">
        <f aca="false">IF(ISBLANK(customer_churn_dataset!M649),0,customer_churn_dataset!M649)</f>
        <v>0</v>
      </c>
      <c r="N649" s="7" t="n">
        <f aca="false">IF(ISBLANK(customer_churn_dataset!N649),0,MAX(0,customer_churn_dataset!N649))</f>
        <v>698.36</v>
      </c>
      <c r="O649" s="7" t="n">
        <f aca="false">IF(ISBLANK(customer_churn_dataset!O649),0,customer_churn_dataset!O649)</f>
        <v>0</v>
      </c>
      <c r="P649" s="7" t="str">
        <f aca="false">IF(COUNTIF(customer_churn_dataset!$A$2:$A$1501,customer_churn_dataset!A649)&gt;1,"Duplicate","Unique")</f>
        <v>Unique</v>
      </c>
    </row>
    <row r="650" customFormat="false" ht="14.15" hidden="false" customHeight="true" outlineLevel="0" collapsed="false">
      <c r="A650" s="7" t="str">
        <f aca="false">TRIM(customer_churn_dataset!A650)</f>
        <v>CUST100245</v>
      </c>
      <c r="B650" s="7" t="str">
        <f aca="false">PROPER(TRIM(customer_churn_dataset!B650))</f>
        <v>Premium</v>
      </c>
      <c r="C650" s="7" t="str">
        <f aca="false">PROPER(TRIM(customer_churn_dataset!C650))</f>
        <v>Month-To-Month</v>
      </c>
      <c r="D650" s="7" t="n">
        <f aca="false">IF(ISBLANK(customer_churn_dataset!D650),ROUND(MEDIAN(customer_churn_dataset!D$2:D$1501),2),IF(customer_churn_dataset!D650&lt;0,ABS(customer_churn_dataset!D650),customer_churn_dataset!D650))</f>
        <v>39.23</v>
      </c>
      <c r="E650" s="7" t="n">
        <f aca="false">IF(ISBLANK(customer_churn_dataset!E650),0,MAX(0,customer_churn_dataset!E650))</f>
        <v>44</v>
      </c>
      <c r="F650" s="8" t="n">
        <f aca="false">IF(ISBLANK(customer_churn_dataset!F650),"",customer_churn_dataset!F650)</f>
        <v>44708</v>
      </c>
      <c r="G650" s="7" t="str">
        <f aca="false">PROPER(TRIM(customer_churn_dataset!G650))</f>
        <v>Bank Transfer</v>
      </c>
      <c r="H650" s="7" t="n">
        <f aca="false">IF(ISBLANK(customer_churn_dataset!H650),0,customer_churn_dataset!H650)</f>
        <v>1</v>
      </c>
      <c r="I650" s="7" t="n">
        <f aca="false">IF(ISBLANK(customer_churn_dataset!I650),ROUND(MEDIAN(customer_churn_dataset!I$2:I$1501),1),MIN(100,MAX(0,customer_churn_dataset!I650)))</f>
        <v>37</v>
      </c>
      <c r="J650" s="7" t="n">
        <f aca="false">IF(ISBLANK(customer_churn_dataset!J650),0,MAX(0,customer_churn_dataset!J650))</f>
        <v>7</v>
      </c>
      <c r="K650" s="7" t="n">
        <f aca="false">IF(ISBLANK(customer_churn_dataset!K650),0,MIN(10,MAX(0,customer_churn_dataset!K650)))</f>
        <v>1</v>
      </c>
      <c r="L650" s="7" t="n">
        <f aca="false">IF(ISBLANK(customer_churn_dataset!L650),0,MAX(0,customer_churn_dataset!L650))</f>
        <v>1</v>
      </c>
      <c r="M650" s="7" t="n">
        <f aca="false">IF(ISBLANK(customer_churn_dataset!M650),0,customer_churn_dataset!M650)</f>
        <v>1</v>
      </c>
      <c r="N650" s="7" t="n">
        <f aca="false">IF(ISBLANK(customer_churn_dataset!N650),0,MAX(0,customer_churn_dataset!N650))</f>
        <v>1726.12</v>
      </c>
      <c r="O650" s="7" t="n">
        <f aca="false">IF(ISBLANK(customer_churn_dataset!O650),0,customer_churn_dataset!O650)</f>
        <v>0</v>
      </c>
      <c r="P650" s="7" t="str">
        <f aca="false">IF(COUNTIF(customer_churn_dataset!$A$2:$A$1501,customer_churn_dataset!A650)&gt;1,"Duplicate","Unique")</f>
        <v>Unique</v>
      </c>
    </row>
    <row r="651" customFormat="false" ht="14.15" hidden="false" customHeight="true" outlineLevel="0" collapsed="false">
      <c r="A651" s="7" t="str">
        <f aca="false">TRIM(customer_churn_dataset!A651)</f>
        <v>CUST100643</v>
      </c>
      <c r="B651" s="7" t="str">
        <f aca="false">PROPER(TRIM(customer_churn_dataset!B651))</f>
        <v>Basic</v>
      </c>
      <c r="C651" s="7" t="str">
        <f aca="false">PROPER(TRIM(customer_churn_dataset!C651))</f>
        <v>Month-To-Month</v>
      </c>
      <c r="D651" s="7" t="n">
        <f aca="false">IF(ISBLANK(customer_churn_dataset!D651),ROUND(MEDIAN(customer_churn_dataset!D$2:D$1501),2),IF(customer_churn_dataset!D651&lt;0,ABS(customer_churn_dataset!D651),customer_churn_dataset!D651))</f>
        <v>8.48</v>
      </c>
      <c r="E651" s="7" t="n">
        <f aca="false">IF(ISBLANK(customer_churn_dataset!E651),0,MAX(0,customer_churn_dataset!E651))</f>
        <v>13</v>
      </c>
      <c r="F651" s="8" t="n">
        <f aca="false">IF(ISBLANK(customer_churn_dataset!F651),"",customer_churn_dataset!F651)</f>
        <v>44709</v>
      </c>
      <c r="G651" s="7" t="str">
        <f aca="false">PROPER(TRIM(customer_churn_dataset!G651))</f>
        <v>Credit Card</v>
      </c>
      <c r="H651" s="7" t="n">
        <f aca="false">IF(ISBLANK(customer_churn_dataset!H651),0,customer_churn_dataset!H651)</f>
        <v>1</v>
      </c>
      <c r="I651" s="7" t="n">
        <f aca="false">IF(ISBLANK(customer_churn_dataset!I651),ROUND(MEDIAN(customer_churn_dataset!I$2:I$1501),1),MIN(100,MAX(0,customer_churn_dataset!I651)))</f>
        <v>38</v>
      </c>
      <c r="J651" s="7" t="n">
        <f aca="false">IF(ISBLANK(customer_churn_dataset!J651),0,MAX(0,customer_churn_dataset!J651))</f>
        <v>6</v>
      </c>
      <c r="K651" s="7" t="n">
        <f aca="false">IF(ISBLANK(customer_churn_dataset!K651),0,MIN(10,MAX(0,customer_churn_dataset!K651)))</f>
        <v>2</v>
      </c>
      <c r="L651" s="7" t="n">
        <f aca="false">IF(ISBLANK(customer_churn_dataset!L651),0,MAX(0,customer_churn_dataset!L651))</f>
        <v>2</v>
      </c>
      <c r="M651" s="7" t="n">
        <f aca="false">IF(ISBLANK(customer_churn_dataset!M651),0,customer_churn_dataset!M651)</f>
        <v>1</v>
      </c>
      <c r="N651" s="7" t="n">
        <f aca="false">IF(ISBLANK(customer_churn_dataset!N651),0,MAX(0,customer_churn_dataset!N651))</f>
        <v>110.24</v>
      </c>
      <c r="O651" s="7" t="n">
        <f aca="false">IF(ISBLANK(customer_churn_dataset!O651),0,customer_churn_dataset!O651)</f>
        <v>0</v>
      </c>
      <c r="P651" s="7" t="str">
        <f aca="false">IF(COUNTIF(customer_churn_dataset!$A$2:$A$1501,customer_churn_dataset!A651)&gt;1,"Duplicate","Unique")</f>
        <v>Unique</v>
      </c>
    </row>
    <row r="652" customFormat="false" ht="14.15" hidden="false" customHeight="true" outlineLevel="0" collapsed="false">
      <c r="A652" s="7" t="str">
        <f aca="false">TRIM(customer_churn_dataset!A652)</f>
        <v>CUST100594</v>
      </c>
      <c r="B652" s="7" t="str">
        <f aca="false">PROPER(TRIM(customer_churn_dataset!B652))</f>
        <v>Premium</v>
      </c>
      <c r="C652" s="7" t="str">
        <f aca="false">PROPER(TRIM(customer_churn_dataset!C652))</f>
        <v>One Year</v>
      </c>
      <c r="D652" s="7" t="n">
        <f aca="false">IF(ISBLANK(customer_churn_dataset!D652),ROUND(MEDIAN(customer_churn_dataset!D$2:D$1501),2),IF(customer_churn_dataset!D652&lt;0,ABS(customer_churn_dataset!D652),customer_churn_dataset!D652))</f>
        <v>40.5</v>
      </c>
      <c r="E652" s="7" t="n">
        <f aca="false">IF(ISBLANK(customer_churn_dataset!E652),0,MAX(0,customer_churn_dataset!E652))</f>
        <v>35</v>
      </c>
      <c r="F652" s="8" t="n">
        <f aca="false">IF(ISBLANK(customer_churn_dataset!F652),"",customer_churn_dataset!F652)</f>
        <v>44709</v>
      </c>
      <c r="G652" s="7" t="str">
        <f aca="false">PROPER(TRIM(customer_churn_dataset!G652))</f>
        <v>Paypal</v>
      </c>
      <c r="H652" s="7" t="n">
        <f aca="false">IF(ISBLANK(customer_churn_dataset!H652),0,customer_churn_dataset!H652)</f>
        <v>0</v>
      </c>
      <c r="I652" s="7" t="n">
        <f aca="false">IF(ISBLANK(customer_churn_dataset!I652),ROUND(MEDIAN(customer_churn_dataset!I$2:I$1501),1),MIN(100,MAX(0,customer_churn_dataset!I652)))</f>
        <v>51</v>
      </c>
      <c r="J652" s="7" t="n">
        <f aca="false">IF(ISBLANK(customer_churn_dataset!J652),0,MAX(0,customer_churn_dataset!J652))</f>
        <v>19</v>
      </c>
      <c r="K652" s="7" t="n">
        <f aca="false">IF(ISBLANK(customer_churn_dataset!K652),0,MIN(10,MAX(0,customer_churn_dataset!K652)))</f>
        <v>4</v>
      </c>
      <c r="L652" s="7" t="n">
        <f aca="false">IF(ISBLANK(customer_churn_dataset!L652),0,MAX(0,customer_churn_dataset!L652))</f>
        <v>2</v>
      </c>
      <c r="M652" s="7" t="n">
        <f aca="false">IF(ISBLANK(customer_churn_dataset!M652),0,customer_churn_dataset!M652)</f>
        <v>0</v>
      </c>
      <c r="N652" s="7" t="n">
        <f aca="false">IF(ISBLANK(customer_churn_dataset!N652),0,MAX(0,customer_churn_dataset!N652))</f>
        <v>1417.5</v>
      </c>
      <c r="O652" s="7" t="n">
        <f aca="false">IF(ISBLANK(customer_churn_dataset!O652),0,customer_churn_dataset!O652)</f>
        <v>0</v>
      </c>
      <c r="P652" s="7" t="str">
        <f aca="false">IF(COUNTIF(customer_churn_dataset!$A$2:$A$1501,customer_churn_dataset!A652)&gt;1,"Duplicate","Unique")</f>
        <v>Unique</v>
      </c>
    </row>
    <row r="653" customFormat="false" ht="14.15" hidden="false" customHeight="true" outlineLevel="0" collapsed="false">
      <c r="A653" s="7" t="str">
        <f aca="false">TRIM(customer_churn_dataset!A653)</f>
        <v>CUST100982</v>
      </c>
      <c r="B653" s="7" t="str">
        <f aca="false">PROPER(TRIM(customer_churn_dataset!B653))</f>
        <v>Basic</v>
      </c>
      <c r="C653" s="7" t="str">
        <f aca="false">PROPER(TRIM(customer_churn_dataset!C653))</f>
        <v>One Year</v>
      </c>
      <c r="D653" s="7" t="n">
        <f aca="false">IF(ISBLANK(customer_churn_dataset!D653),ROUND(MEDIAN(customer_churn_dataset!D$2:D$1501),2),IF(customer_churn_dataset!D653&lt;0,ABS(customer_churn_dataset!D653),customer_churn_dataset!D653))</f>
        <v>10.16</v>
      </c>
      <c r="E653" s="7" t="n">
        <f aca="false">IF(ISBLANK(customer_churn_dataset!E653),0,MAX(0,customer_churn_dataset!E653))</f>
        <v>8</v>
      </c>
      <c r="F653" s="8" t="n">
        <f aca="false">IF(ISBLANK(customer_churn_dataset!F653),"",customer_churn_dataset!F653)</f>
        <v>44710</v>
      </c>
      <c r="G653" s="7" t="str">
        <f aca="false">PROPER(TRIM(customer_churn_dataset!G653))</f>
        <v>Bank Transfer</v>
      </c>
      <c r="H653" s="7" t="n">
        <f aca="false">IF(ISBLANK(customer_churn_dataset!H653),0,customer_churn_dataset!H653)</f>
        <v>1</v>
      </c>
      <c r="I653" s="7" t="n">
        <f aca="false">IF(ISBLANK(customer_churn_dataset!I653),ROUND(MEDIAN(customer_churn_dataset!I$2:I$1501),1),MIN(100,MAX(0,customer_churn_dataset!I653)))</f>
        <v>69.6</v>
      </c>
      <c r="J653" s="7" t="n">
        <f aca="false">IF(ISBLANK(customer_churn_dataset!J653),0,MAX(0,customer_churn_dataset!J653))</f>
        <v>14</v>
      </c>
      <c r="K653" s="7" t="n">
        <f aca="false">IF(ISBLANK(customer_churn_dataset!K653),0,MIN(10,MAX(0,customer_churn_dataset!K653)))</f>
        <v>8</v>
      </c>
      <c r="L653" s="7" t="n">
        <f aca="false">IF(ISBLANK(customer_churn_dataset!L653),0,MAX(0,customer_churn_dataset!L653))</f>
        <v>3</v>
      </c>
      <c r="M653" s="7" t="n">
        <f aca="false">IF(ISBLANK(customer_churn_dataset!M653),0,customer_churn_dataset!M653)</f>
        <v>0</v>
      </c>
      <c r="N653" s="7" t="n">
        <f aca="false">IF(ISBLANK(customer_churn_dataset!N653),0,MAX(0,customer_churn_dataset!N653))</f>
        <v>81.28</v>
      </c>
      <c r="O653" s="7" t="n">
        <f aca="false">IF(ISBLANK(customer_churn_dataset!O653),0,customer_churn_dataset!O653)</f>
        <v>0</v>
      </c>
      <c r="P653" s="7" t="str">
        <f aca="false">IF(COUNTIF(customer_churn_dataset!$A$2:$A$1501,customer_churn_dataset!A653)&gt;1,"Duplicate","Unique")</f>
        <v>Unique</v>
      </c>
    </row>
    <row r="654" customFormat="false" ht="14.15" hidden="false" customHeight="true" outlineLevel="0" collapsed="false">
      <c r="A654" s="7" t="str">
        <f aca="false">TRIM(customer_churn_dataset!A654)</f>
        <v>CUST100868</v>
      </c>
      <c r="B654" s="7" t="str">
        <f aca="false">PROPER(TRIM(customer_churn_dataset!B654))</f>
        <v>Premium</v>
      </c>
      <c r="C654" s="7" t="str">
        <f aca="false">PROPER(TRIM(customer_churn_dataset!C654))</f>
        <v>Month-To-Month</v>
      </c>
      <c r="D654" s="7" t="n">
        <f aca="false">IF(ISBLANK(customer_churn_dataset!D654),ROUND(MEDIAN(customer_churn_dataset!D$2:D$1501),2),IF(customer_churn_dataset!D654&lt;0,ABS(customer_churn_dataset!D654),customer_churn_dataset!D654))</f>
        <v>40.2</v>
      </c>
      <c r="E654" s="7" t="n">
        <f aca="false">IF(ISBLANK(customer_churn_dataset!E654),0,MAX(0,customer_churn_dataset!E654))</f>
        <v>24</v>
      </c>
      <c r="F654" s="8" t="n">
        <f aca="false">IF(ISBLANK(customer_churn_dataset!F654),"",customer_churn_dataset!F654)</f>
        <v>44710</v>
      </c>
      <c r="G654" s="7" t="str">
        <f aca="false">PROPER(TRIM(customer_churn_dataset!G654))</f>
        <v>Credit Card</v>
      </c>
      <c r="H654" s="7" t="n">
        <f aca="false">IF(ISBLANK(customer_churn_dataset!H654),0,customer_churn_dataset!H654)</f>
        <v>0</v>
      </c>
      <c r="I654" s="7" t="n">
        <f aca="false">IF(ISBLANK(customer_churn_dataset!I654),ROUND(MEDIAN(customer_churn_dataset!I$2:I$1501),1),MIN(100,MAX(0,customer_churn_dataset!I654)))</f>
        <v>87.1</v>
      </c>
      <c r="J654" s="7" t="n">
        <f aca="false">IF(ISBLANK(customer_churn_dataset!J654),0,MAX(0,customer_churn_dataset!J654))</f>
        <v>28</v>
      </c>
      <c r="K654" s="7" t="n">
        <f aca="false">IF(ISBLANK(customer_churn_dataset!K654),0,MIN(10,MAX(0,customer_churn_dataset!K654)))</f>
        <v>9</v>
      </c>
      <c r="L654" s="7" t="n">
        <f aca="false">IF(ISBLANK(customer_churn_dataset!L654),0,MAX(0,customer_churn_dataset!L654))</f>
        <v>1</v>
      </c>
      <c r="M654" s="7" t="n">
        <f aca="false">IF(ISBLANK(customer_churn_dataset!M654),0,customer_churn_dataset!M654)</f>
        <v>0</v>
      </c>
      <c r="N654" s="7" t="n">
        <f aca="false">IF(ISBLANK(customer_churn_dataset!N654),0,MAX(0,customer_churn_dataset!N654))</f>
        <v>964.8</v>
      </c>
      <c r="O654" s="7" t="n">
        <f aca="false">IF(ISBLANK(customer_churn_dataset!O654),0,customer_churn_dataset!O654)</f>
        <v>0</v>
      </c>
      <c r="P654" s="7" t="str">
        <f aca="false">IF(COUNTIF(customer_churn_dataset!$A$2:$A$1501,customer_churn_dataset!A654)&gt;1,"Duplicate","Unique")</f>
        <v>Unique</v>
      </c>
    </row>
    <row r="655" customFormat="false" ht="14.15" hidden="false" customHeight="true" outlineLevel="0" collapsed="false">
      <c r="A655" s="7" t="str">
        <f aca="false">TRIM(customer_churn_dataset!A655)</f>
        <v>CUST100540</v>
      </c>
      <c r="B655" s="7" t="str">
        <f aca="false">PROPER(TRIM(customer_churn_dataset!B655))</f>
        <v>Premium</v>
      </c>
      <c r="C655" s="7" t="str">
        <f aca="false">PROPER(TRIM(customer_churn_dataset!C655))</f>
        <v>Month-To-Month</v>
      </c>
      <c r="D655" s="7" t="n">
        <f aca="false">IF(ISBLANK(customer_churn_dataset!D655),ROUND(MEDIAN(customer_churn_dataset!D$2:D$1501),2),IF(customer_churn_dataset!D655&lt;0,ABS(customer_churn_dataset!D655),customer_churn_dataset!D655))</f>
        <v>40.34</v>
      </c>
      <c r="E655" s="7" t="n">
        <f aca="false">IF(ISBLANK(customer_churn_dataset!E655),0,MAX(0,customer_churn_dataset!E655))</f>
        <v>72</v>
      </c>
      <c r="F655" s="8" t="n">
        <f aca="false">IF(ISBLANK(customer_churn_dataset!F655),"",customer_churn_dataset!F655)</f>
        <v>44711</v>
      </c>
      <c r="G655" s="7" t="str">
        <f aca="false">PROPER(TRIM(customer_churn_dataset!G655))</f>
        <v>Credit Card</v>
      </c>
      <c r="H655" s="7" t="n">
        <f aca="false">IF(ISBLANK(customer_churn_dataset!H655),0,customer_churn_dataset!H655)</f>
        <v>1</v>
      </c>
      <c r="I655" s="7" t="n">
        <f aca="false">IF(ISBLANK(customer_churn_dataset!I655),ROUND(MEDIAN(customer_churn_dataset!I$2:I$1501),1),MIN(100,MAX(0,customer_churn_dataset!I655)))</f>
        <v>20.8</v>
      </c>
      <c r="J655" s="7" t="n">
        <f aca="false">IF(ISBLANK(customer_churn_dataset!J655),0,MAX(0,customer_churn_dataset!J655))</f>
        <v>7</v>
      </c>
      <c r="K655" s="7" t="n">
        <f aca="false">IF(ISBLANK(customer_churn_dataset!K655),0,MIN(10,MAX(0,customer_churn_dataset!K655)))</f>
        <v>1</v>
      </c>
      <c r="L655" s="7" t="n">
        <f aca="false">IF(ISBLANK(customer_churn_dataset!L655),0,MAX(0,customer_churn_dataset!L655))</f>
        <v>1</v>
      </c>
      <c r="M655" s="7" t="n">
        <f aca="false">IF(ISBLANK(customer_churn_dataset!M655),0,customer_churn_dataset!M655)</f>
        <v>0</v>
      </c>
      <c r="N655" s="7" t="n">
        <f aca="false">IF(ISBLANK(customer_churn_dataset!N655),0,MAX(0,customer_churn_dataset!N655))</f>
        <v>2904.48</v>
      </c>
      <c r="O655" s="7" t="n">
        <f aca="false">IF(ISBLANK(customer_churn_dataset!O655),0,customer_churn_dataset!O655)</f>
        <v>0</v>
      </c>
      <c r="P655" s="7" t="str">
        <f aca="false">IF(COUNTIF(customer_churn_dataset!$A$2:$A$1501,customer_churn_dataset!A655)&gt;1,"Duplicate","Unique")</f>
        <v>Unique</v>
      </c>
    </row>
    <row r="656" customFormat="false" ht="14.15" hidden="false" customHeight="true" outlineLevel="0" collapsed="false">
      <c r="A656" s="7" t="str">
        <f aca="false">TRIM(customer_churn_dataset!A656)</f>
        <v>CUST100672</v>
      </c>
      <c r="B656" s="7" t="str">
        <f aca="false">PROPER(TRIM(customer_churn_dataset!B656))</f>
        <v>Basic</v>
      </c>
      <c r="C656" s="7" t="str">
        <f aca="false">PROPER(TRIM(customer_churn_dataset!C656))</f>
        <v>One Year</v>
      </c>
      <c r="D656" s="7" t="n">
        <f aca="false">IF(ISBLANK(customer_churn_dataset!D656),ROUND(MEDIAN(customer_churn_dataset!D$2:D$1501),2),IF(customer_churn_dataset!D656&lt;0,ABS(customer_churn_dataset!D656),customer_churn_dataset!D656))</f>
        <v>10.94</v>
      </c>
      <c r="E656" s="7" t="n">
        <f aca="false">IF(ISBLANK(customer_churn_dataset!E656),0,MAX(0,customer_churn_dataset!E656))</f>
        <v>16</v>
      </c>
      <c r="F656" s="8" t="n">
        <f aca="false">IF(ISBLANK(customer_churn_dataset!F656),"",customer_churn_dataset!F656)</f>
        <v>44712</v>
      </c>
      <c r="G656" s="7" t="str">
        <f aca="false">PROPER(TRIM(customer_churn_dataset!G656))</f>
        <v>Paypal</v>
      </c>
      <c r="H656" s="7" t="n">
        <f aca="false">IF(ISBLANK(customer_churn_dataset!H656),0,customer_churn_dataset!H656)</f>
        <v>1</v>
      </c>
      <c r="I656" s="7" t="n">
        <f aca="false">IF(ISBLANK(customer_churn_dataset!I656),ROUND(MEDIAN(customer_churn_dataset!I$2:I$1501),1),MIN(100,MAX(0,customer_churn_dataset!I656)))</f>
        <v>28</v>
      </c>
      <c r="J656" s="7" t="n">
        <f aca="false">IF(ISBLANK(customer_churn_dataset!J656),0,MAX(0,customer_churn_dataset!J656))</f>
        <v>9</v>
      </c>
      <c r="K656" s="7" t="n">
        <f aca="false">IF(ISBLANK(customer_churn_dataset!K656),0,MIN(10,MAX(0,customer_churn_dataset!K656)))</f>
        <v>2</v>
      </c>
      <c r="L656" s="7" t="n">
        <f aca="false">IF(ISBLANK(customer_churn_dataset!L656),0,MAX(0,customer_churn_dataset!L656))</f>
        <v>4</v>
      </c>
      <c r="M656" s="7" t="n">
        <f aca="false">IF(ISBLANK(customer_churn_dataset!M656),0,customer_churn_dataset!M656)</f>
        <v>0</v>
      </c>
      <c r="N656" s="7" t="n">
        <f aca="false">IF(ISBLANK(customer_churn_dataset!N656),0,MAX(0,customer_churn_dataset!N656))</f>
        <v>175.04</v>
      </c>
      <c r="O656" s="7" t="n">
        <f aca="false">IF(ISBLANK(customer_churn_dataset!O656),0,customer_churn_dataset!O656)</f>
        <v>0</v>
      </c>
      <c r="P656" s="7" t="str">
        <f aca="false">IF(COUNTIF(customer_churn_dataset!$A$2:$A$1501,customer_churn_dataset!A656)&gt;1,"Duplicate","Unique")</f>
        <v>Unique</v>
      </c>
    </row>
    <row r="657" customFormat="false" ht="14.15" hidden="false" customHeight="true" outlineLevel="0" collapsed="false">
      <c r="A657" s="7" t="str">
        <f aca="false">TRIM(customer_churn_dataset!A657)</f>
        <v>CUST101468</v>
      </c>
      <c r="B657" s="7" t="str">
        <f aca="false">PROPER(TRIM(customer_churn_dataset!B657))</f>
        <v>Premium</v>
      </c>
      <c r="C657" s="7" t="str">
        <f aca="false">PROPER(TRIM(customer_churn_dataset!C657))</f>
        <v>Month-To-Month</v>
      </c>
      <c r="D657" s="7" t="n">
        <f aca="false">IF(ISBLANK(customer_churn_dataset!D657),ROUND(MEDIAN(customer_churn_dataset!D$2:D$1501),2),IF(customer_churn_dataset!D657&lt;0,ABS(customer_churn_dataset!D657),customer_churn_dataset!D657))</f>
        <v>39.55</v>
      </c>
      <c r="E657" s="7" t="n">
        <f aca="false">IF(ISBLANK(customer_churn_dataset!E657),0,MAX(0,customer_churn_dataset!E657))</f>
        <v>6</v>
      </c>
      <c r="F657" s="8" t="n">
        <f aca="false">IF(ISBLANK(customer_churn_dataset!F657),"",customer_churn_dataset!F657)</f>
        <v>44712</v>
      </c>
      <c r="G657" s="7" t="str">
        <f aca="false">PROPER(TRIM(customer_churn_dataset!G657))</f>
        <v>Credit Card</v>
      </c>
      <c r="H657" s="7" t="n">
        <f aca="false">IF(ISBLANK(customer_churn_dataset!H657),0,customer_churn_dataset!H657)</f>
        <v>0</v>
      </c>
      <c r="I657" s="7" t="n">
        <f aca="false">IF(ISBLANK(customer_churn_dataset!I657),ROUND(MEDIAN(customer_churn_dataset!I$2:I$1501),1),MIN(100,MAX(0,customer_churn_dataset!I657)))</f>
        <v>54.9</v>
      </c>
      <c r="J657" s="7" t="n">
        <f aca="false">IF(ISBLANK(customer_churn_dataset!J657),0,MAX(0,customer_churn_dataset!J657))</f>
        <v>18</v>
      </c>
      <c r="K657" s="7" t="n">
        <f aca="false">IF(ISBLANK(customer_churn_dataset!K657),0,MIN(10,MAX(0,customer_churn_dataset!K657)))</f>
        <v>6</v>
      </c>
      <c r="L657" s="7" t="n">
        <f aca="false">IF(ISBLANK(customer_churn_dataset!L657),0,MAX(0,customer_churn_dataset!L657))</f>
        <v>2</v>
      </c>
      <c r="M657" s="7" t="n">
        <f aca="false">IF(ISBLANK(customer_churn_dataset!M657),0,customer_churn_dataset!M657)</f>
        <v>0</v>
      </c>
      <c r="N657" s="7" t="n">
        <f aca="false">IF(ISBLANK(customer_churn_dataset!N657),0,MAX(0,customer_churn_dataset!N657))</f>
        <v>237.3</v>
      </c>
      <c r="O657" s="7" t="n">
        <f aca="false">IF(ISBLANK(customer_churn_dataset!O657),0,customer_churn_dataset!O657)</f>
        <v>1</v>
      </c>
      <c r="P657" s="7" t="str">
        <f aca="false">IF(COUNTIF(customer_churn_dataset!$A$2:$A$1501,customer_churn_dataset!A657)&gt;1,"Duplicate","Unique")</f>
        <v>Unique</v>
      </c>
    </row>
    <row r="658" customFormat="false" ht="14.15" hidden="false" customHeight="true" outlineLevel="0" collapsed="false">
      <c r="A658" s="7" t="str">
        <f aca="false">TRIM(customer_churn_dataset!A658)</f>
        <v>CUST100770</v>
      </c>
      <c r="B658" s="7" t="str">
        <f aca="false">PROPER(TRIM(customer_churn_dataset!B658))</f>
        <v>Basic</v>
      </c>
      <c r="C658" s="7" t="str">
        <f aca="false">PROPER(TRIM(customer_churn_dataset!C658))</f>
        <v>One Year</v>
      </c>
      <c r="D658" s="7" t="n">
        <f aca="false">IF(ISBLANK(customer_churn_dataset!D658),ROUND(MEDIAN(customer_churn_dataset!D$2:D$1501),2),IF(customer_churn_dataset!D658&lt;0,ABS(customer_churn_dataset!D658),customer_churn_dataset!D658))</f>
        <v>8.76</v>
      </c>
      <c r="E658" s="7" t="n">
        <f aca="false">IF(ISBLANK(customer_churn_dataset!E658),0,MAX(0,customer_churn_dataset!E658))</f>
        <v>19</v>
      </c>
      <c r="F658" s="8" t="n">
        <f aca="false">IF(ISBLANK(customer_churn_dataset!F658),"",customer_churn_dataset!F658)</f>
        <v>44713</v>
      </c>
      <c r="G658" s="7" t="str">
        <f aca="false">PROPER(TRIM(customer_churn_dataset!G658))</f>
        <v>Bank Transfer</v>
      </c>
      <c r="H658" s="7" t="n">
        <f aca="false">IF(ISBLANK(customer_churn_dataset!H658),0,customer_churn_dataset!H658)</f>
        <v>1</v>
      </c>
      <c r="I658" s="7" t="n">
        <f aca="false">IF(ISBLANK(customer_churn_dataset!I658),ROUND(MEDIAN(customer_churn_dataset!I$2:I$1501),1),MIN(100,MAX(0,customer_churn_dataset!I658)))</f>
        <v>33.7</v>
      </c>
      <c r="J658" s="7" t="n">
        <f aca="false">IF(ISBLANK(customer_churn_dataset!J658),0,MAX(0,customer_churn_dataset!J658))</f>
        <v>10</v>
      </c>
      <c r="K658" s="7" t="n">
        <f aca="false">IF(ISBLANK(customer_churn_dataset!K658),0,MIN(10,MAX(0,customer_churn_dataset!K658)))</f>
        <v>2</v>
      </c>
      <c r="L658" s="7" t="n">
        <f aca="false">IF(ISBLANK(customer_churn_dataset!L658),0,MAX(0,customer_churn_dataset!L658))</f>
        <v>1</v>
      </c>
      <c r="M658" s="7" t="n">
        <f aca="false">IF(ISBLANK(customer_churn_dataset!M658),0,customer_churn_dataset!M658)</f>
        <v>0</v>
      </c>
      <c r="N658" s="7" t="n">
        <f aca="false">IF(ISBLANK(customer_churn_dataset!N658),0,MAX(0,customer_churn_dataset!N658))</f>
        <v>166.44</v>
      </c>
      <c r="O658" s="7" t="n">
        <f aca="false">IF(ISBLANK(customer_churn_dataset!O658),0,customer_churn_dataset!O658)</f>
        <v>0</v>
      </c>
      <c r="P658" s="7" t="str">
        <f aca="false">IF(COUNTIF(customer_churn_dataset!$A$2:$A$1501,customer_churn_dataset!A658)&gt;1,"Duplicate","Unique")</f>
        <v>Unique</v>
      </c>
    </row>
    <row r="659" customFormat="false" ht="14.15" hidden="false" customHeight="true" outlineLevel="0" collapsed="false">
      <c r="A659" s="7" t="str">
        <f aca="false">TRIM(customer_churn_dataset!A659)</f>
        <v>CUST100070</v>
      </c>
      <c r="B659" s="7" t="str">
        <f aca="false">PROPER(TRIM(customer_churn_dataset!B659))</f>
        <v>Standard</v>
      </c>
      <c r="C659" s="7" t="str">
        <f aca="false">PROPER(TRIM(customer_churn_dataset!C659))</f>
        <v>Month-To-Month</v>
      </c>
      <c r="D659" s="7" t="n">
        <f aca="false">IF(ISBLANK(customer_churn_dataset!D659),ROUND(MEDIAN(customer_churn_dataset!D$2:D$1501),2),IF(customer_churn_dataset!D659&lt;0,ABS(customer_churn_dataset!D659),customer_churn_dataset!D659))</f>
        <v>19.43</v>
      </c>
      <c r="E659" s="7" t="n">
        <f aca="false">IF(ISBLANK(customer_churn_dataset!E659),0,MAX(0,customer_churn_dataset!E659))</f>
        <v>52</v>
      </c>
      <c r="F659" s="8" t="n">
        <f aca="false">IF(ISBLANK(customer_churn_dataset!F659),"",customer_churn_dataset!F659)</f>
        <v>44716</v>
      </c>
      <c r="G659" s="7" t="str">
        <f aca="false">PROPER(TRIM(customer_churn_dataset!G659))</f>
        <v>Paypal</v>
      </c>
      <c r="H659" s="7" t="n">
        <f aca="false">IF(ISBLANK(customer_churn_dataset!H659),0,customer_churn_dataset!H659)</f>
        <v>1</v>
      </c>
      <c r="I659" s="7" t="n">
        <f aca="false">IF(ISBLANK(customer_churn_dataset!I659),ROUND(MEDIAN(customer_churn_dataset!I$2:I$1501),1),MIN(100,MAX(0,customer_churn_dataset!I659)))</f>
        <v>47.8</v>
      </c>
      <c r="J659" s="7" t="n">
        <f aca="false">IF(ISBLANK(customer_churn_dataset!J659),0,MAX(0,customer_churn_dataset!J659))</f>
        <v>18</v>
      </c>
      <c r="K659" s="7" t="n">
        <f aca="false">IF(ISBLANK(customer_churn_dataset!K659),0,MIN(10,MAX(0,customer_churn_dataset!K659)))</f>
        <v>7</v>
      </c>
      <c r="L659" s="7" t="n">
        <f aca="false">IF(ISBLANK(customer_churn_dataset!L659),0,MAX(0,customer_churn_dataset!L659))</f>
        <v>1</v>
      </c>
      <c r="M659" s="7" t="n">
        <f aca="false">IF(ISBLANK(customer_churn_dataset!M659),0,customer_churn_dataset!M659)</f>
        <v>0</v>
      </c>
      <c r="N659" s="7" t="n">
        <f aca="false">IF(ISBLANK(customer_churn_dataset!N659),0,MAX(0,customer_churn_dataset!N659))</f>
        <v>1010.36</v>
      </c>
      <c r="O659" s="7" t="n">
        <f aca="false">IF(ISBLANK(customer_churn_dataset!O659),0,customer_churn_dataset!O659)</f>
        <v>0</v>
      </c>
      <c r="P659" s="7" t="str">
        <f aca="false">IF(COUNTIF(customer_churn_dataset!$A$2:$A$1501,customer_churn_dataset!A659)&gt;1,"Duplicate","Unique")</f>
        <v>Unique</v>
      </c>
    </row>
    <row r="660" customFormat="false" ht="14.15" hidden="false" customHeight="true" outlineLevel="0" collapsed="false">
      <c r="A660" s="7" t="str">
        <f aca="false">TRIM(customer_churn_dataset!A660)</f>
        <v>CUST101220</v>
      </c>
      <c r="B660" s="7" t="str">
        <f aca="false">PROPER(TRIM(customer_churn_dataset!B660))</f>
        <v>Premium</v>
      </c>
      <c r="C660" s="7" t="str">
        <f aca="false">PROPER(TRIM(customer_churn_dataset!C660))</f>
        <v>Month-To-Month</v>
      </c>
      <c r="D660" s="7" t="n">
        <f aca="false">IF(ISBLANK(customer_churn_dataset!D660),ROUND(MEDIAN(customer_churn_dataset!D$2:D$1501),2),IF(customer_churn_dataset!D660&lt;0,ABS(customer_churn_dataset!D660),customer_churn_dataset!D660))</f>
        <v>39.03</v>
      </c>
      <c r="E660" s="7" t="n">
        <f aca="false">IF(ISBLANK(customer_churn_dataset!E660),0,MAX(0,customer_churn_dataset!E660))</f>
        <v>31</v>
      </c>
      <c r="F660" s="8" t="n">
        <f aca="false">IF(ISBLANK(customer_churn_dataset!F660),"",customer_churn_dataset!F660)</f>
        <v>44718</v>
      </c>
      <c r="G660" s="7" t="str">
        <f aca="false">PROPER(TRIM(customer_churn_dataset!G660))</f>
        <v>Credit Card</v>
      </c>
      <c r="H660" s="7" t="n">
        <f aca="false">IF(ISBLANK(customer_churn_dataset!H660),0,customer_churn_dataset!H660)</f>
        <v>0</v>
      </c>
      <c r="I660" s="7" t="n">
        <f aca="false">IF(ISBLANK(customer_churn_dataset!I660),ROUND(MEDIAN(customer_churn_dataset!I$2:I$1501),1),MIN(100,MAX(0,customer_churn_dataset!I660)))</f>
        <v>46.4</v>
      </c>
      <c r="J660" s="7" t="n">
        <f aca="false">IF(ISBLANK(customer_churn_dataset!J660),0,MAX(0,customer_churn_dataset!J660))</f>
        <v>21</v>
      </c>
      <c r="K660" s="7" t="n">
        <f aca="false">IF(ISBLANK(customer_churn_dataset!K660),0,MIN(10,MAX(0,customer_churn_dataset!K660)))</f>
        <v>6</v>
      </c>
      <c r="L660" s="7" t="n">
        <f aca="false">IF(ISBLANK(customer_churn_dataset!L660),0,MAX(0,customer_churn_dataset!L660))</f>
        <v>0</v>
      </c>
      <c r="M660" s="7" t="n">
        <f aca="false">IF(ISBLANK(customer_churn_dataset!M660),0,customer_churn_dataset!M660)</f>
        <v>0</v>
      </c>
      <c r="N660" s="7" t="n">
        <f aca="false">IF(ISBLANK(customer_churn_dataset!N660),0,MAX(0,customer_churn_dataset!N660))</f>
        <v>1209.93</v>
      </c>
      <c r="O660" s="7" t="n">
        <f aca="false">IF(ISBLANK(customer_churn_dataset!O660),0,customer_churn_dataset!O660)</f>
        <v>1</v>
      </c>
      <c r="P660" s="7" t="str">
        <f aca="false">IF(COUNTIF(customer_churn_dataset!$A$2:$A$1501,customer_churn_dataset!A660)&gt;1,"Duplicate","Unique")</f>
        <v>Unique</v>
      </c>
    </row>
    <row r="661" customFormat="false" ht="14.15" hidden="false" customHeight="true" outlineLevel="0" collapsed="false">
      <c r="A661" s="7" t="str">
        <f aca="false">TRIM(customer_churn_dataset!A661)</f>
        <v>CUST100861</v>
      </c>
      <c r="B661" s="7" t="str">
        <f aca="false">PROPER(TRIM(customer_churn_dataset!B661))</f>
        <v>Standard</v>
      </c>
      <c r="C661" s="7" t="str">
        <f aca="false">PROPER(TRIM(customer_churn_dataset!C661))</f>
        <v>One Year</v>
      </c>
      <c r="D661" s="7" t="n">
        <f aca="false">IF(ISBLANK(customer_churn_dataset!D661),ROUND(MEDIAN(customer_churn_dataset!D$2:D$1501),2),IF(customer_churn_dataset!D661&lt;0,ABS(customer_churn_dataset!D661),customer_churn_dataset!D661))</f>
        <v>20.27</v>
      </c>
      <c r="E661" s="7" t="n">
        <f aca="false">IF(ISBLANK(customer_churn_dataset!E661),0,MAX(0,customer_churn_dataset!E661))</f>
        <v>2</v>
      </c>
      <c r="F661" s="8" t="n">
        <f aca="false">IF(ISBLANK(customer_churn_dataset!F661),"",customer_churn_dataset!F661)</f>
        <v>44719</v>
      </c>
      <c r="G661" s="7" t="str">
        <f aca="false">PROPER(TRIM(customer_churn_dataset!G661))</f>
        <v>Credit Card</v>
      </c>
      <c r="H661" s="7" t="n">
        <f aca="false">IF(ISBLANK(customer_churn_dataset!H661),0,customer_churn_dataset!H661)</f>
        <v>1</v>
      </c>
      <c r="I661" s="7" t="n">
        <f aca="false">IF(ISBLANK(customer_churn_dataset!I661),ROUND(MEDIAN(customer_churn_dataset!I$2:I$1501),1),MIN(100,MAX(0,customer_churn_dataset!I661)))</f>
        <v>67</v>
      </c>
      <c r="J661" s="7" t="n">
        <f aca="false">IF(ISBLANK(customer_churn_dataset!J661),0,MAX(0,customer_churn_dataset!J661))</f>
        <v>23</v>
      </c>
      <c r="K661" s="7" t="n">
        <f aca="false">IF(ISBLANK(customer_churn_dataset!K661),0,MIN(10,MAX(0,customer_churn_dataset!K661)))</f>
        <v>7</v>
      </c>
      <c r="L661" s="7" t="n">
        <f aca="false">IF(ISBLANK(customer_churn_dataset!L661),0,MAX(0,customer_churn_dataset!L661))</f>
        <v>2</v>
      </c>
      <c r="M661" s="7" t="n">
        <f aca="false">IF(ISBLANK(customer_churn_dataset!M661),0,customer_churn_dataset!M661)</f>
        <v>0</v>
      </c>
      <c r="N661" s="7" t="n">
        <f aca="false">IF(ISBLANK(customer_churn_dataset!N661),0,MAX(0,customer_churn_dataset!N661))</f>
        <v>40.54</v>
      </c>
      <c r="O661" s="7" t="n">
        <f aca="false">IF(ISBLANK(customer_churn_dataset!O661),0,customer_churn_dataset!O661)</f>
        <v>0</v>
      </c>
      <c r="P661" s="7" t="str">
        <f aca="false">IF(COUNTIF(customer_churn_dataset!$A$2:$A$1501,customer_churn_dataset!A661)&gt;1,"Duplicate","Unique")</f>
        <v>Unique</v>
      </c>
    </row>
    <row r="662" customFormat="false" ht="14.15" hidden="false" customHeight="true" outlineLevel="0" collapsed="false">
      <c r="A662" s="7" t="str">
        <f aca="false">TRIM(customer_churn_dataset!A662)</f>
        <v>CUST100534</v>
      </c>
      <c r="B662" s="7" t="str">
        <f aca="false">PROPER(TRIM(customer_churn_dataset!B662))</f>
        <v>Standard</v>
      </c>
      <c r="C662" s="7" t="str">
        <f aca="false">PROPER(TRIM(customer_churn_dataset!C662))</f>
        <v>Month-To-Month</v>
      </c>
      <c r="D662" s="7" t="n">
        <f aca="false">IF(ISBLANK(customer_churn_dataset!D662),ROUND(MEDIAN(customer_churn_dataset!D$2:D$1501),2),IF(customer_churn_dataset!D662&lt;0,ABS(customer_churn_dataset!D662),customer_churn_dataset!D662))</f>
        <v>20.12</v>
      </c>
      <c r="E662" s="7" t="n">
        <f aca="false">IF(ISBLANK(customer_churn_dataset!E662),0,MAX(0,customer_churn_dataset!E662))</f>
        <v>6</v>
      </c>
      <c r="F662" s="8" t="n">
        <f aca="false">IF(ISBLANK(customer_churn_dataset!F662),"",customer_churn_dataset!F662)</f>
        <v>44720</v>
      </c>
      <c r="G662" s="7" t="str">
        <f aca="false">PROPER(TRIM(customer_churn_dataset!G662))</f>
        <v>Credit Card</v>
      </c>
      <c r="H662" s="7" t="n">
        <f aca="false">IF(ISBLANK(customer_churn_dataset!H662),0,customer_churn_dataset!H662)</f>
        <v>0</v>
      </c>
      <c r="I662" s="7" t="n">
        <f aca="false">IF(ISBLANK(customer_churn_dataset!I662),ROUND(MEDIAN(customer_churn_dataset!I$2:I$1501),1),MIN(100,MAX(0,customer_churn_dataset!I662)))</f>
        <v>67.3</v>
      </c>
      <c r="J662" s="7" t="n">
        <f aca="false">IF(ISBLANK(customer_churn_dataset!J662),0,MAX(0,customer_churn_dataset!J662))</f>
        <v>24</v>
      </c>
      <c r="K662" s="7" t="n">
        <f aca="false">IF(ISBLANK(customer_churn_dataset!K662),0,MIN(10,MAX(0,customer_churn_dataset!K662)))</f>
        <v>9</v>
      </c>
      <c r="L662" s="7" t="n">
        <f aca="false">IF(ISBLANK(customer_churn_dataset!L662),0,MAX(0,customer_churn_dataset!L662))</f>
        <v>0</v>
      </c>
      <c r="M662" s="7" t="n">
        <f aca="false">IF(ISBLANK(customer_churn_dataset!M662),0,customer_churn_dataset!M662)</f>
        <v>0</v>
      </c>
      <c r="N662" s="7" t="n">
        <f aca="false">IF(ISBLANK(customer_churn_dataset!N662),0,MAX(0,customer_churn_dataset!N662))</f>
        <v>120.72</v>
      </c>
      <c r="O662" s="7" t="n">
        <f aca="false">IF(ISBLANK(customer_churn_dataset!O662),0,customer_churn_dataset!O662)</f>
        <v>1</v>
      </c>
      <c r="P662" s="7" t="str">
        <f aca="false">IF(COUNTIF(customer_churn_dataset!$A$2:$A$1501,customer_churn_dataset!A662)&gt;1,"Duplicate","Unique")</f>
        <v>Unique</v>
      </c>
    </row>
    <row r="663" customFormat="false" ht="14.15" hidden="false" customHeight="true" outlineLevel="0" collapsed="false">
      <c r="A663" s="7" t="str">
        <f aca="false">TRIM(customer_churn_dataset!A663)</f>
        <v>CUST101223</v>
      </c>
      <c r="B663" s="7" t="str">
        <f aca="false">PROPER(TRIM(customer_churn_dataset!B663))</f>
        <v>Premium</v>
      </c>
      <c r="C663" s="7" t="str">
        <f aca="false">PROPER(TRIM(customer_churn_dataset!C663))</f>
        <v>One Year</v>
      </c>
      <c r="D663" s="7" t="n">
        <f aca="false">IF(ISBLANK(customer_churn_dataset!D663),ROUND(MEDIAN(customer_churn_dataset!D$2:D$1501),2),IF(customer_churn_dataset!D663&lt;0,ABS(customer_churn_dataset!D663),customer_churn_dataset!D663))</f>
        <v>39.94</v>
      </c>
      <c r="E663" s="7" t="n">
        <f aca="false">IF(ISBLANK(customer_churn_dataset!E663),0,MAX(0,customer_churn_dataset!E663))</f>
        <v>0</v>
      </c>
      <c r="F663" s="8" t="n">
        <f aca="false">IF(ISBLANK(customer_churn_dataset!F663),"",customer_churn_dataset!F663)</f>
        <v>44721</v>
      </c>
      <c r="G663" s="7" t="str">
        <f aca="false">PROPER(TRIM(customer_churn_dataset!G663))</f>
        <v>Credit Card</v>
      </c>
      <c r="H663" s="7" t="n">
        <f aca="false">IF(ISBLANK(customer_churn_dataset!H663),0,customer_churn_dataset!H663)</f>
        <v>1</v>
      </c>
      <c r="I663" s="7" t="n">
        <f aca="false">IF(ISBLANK(customer_churn_dataset!I663),ROUND(MEDIAN(customer_churn_dataset!I$2:I$1501),1),MIN(100,MAX(0,customer_churn_dataset!I663)))</f>
        <v>75.6</v>
      </c>
      <c r="J663" s="7" t="n">
        <f aca="false">IF(ISBLANK(customer_churn_dataset!J663),0,MAX(0,customer_churn_dataset!J663))</f>
        <v>22</v>
      </c>
      <c r="K663" s="7" t="n">
        <f aca="false">IF(ISBLANK(customer_churn_dataset!K663),0,MIN(10,MAX(0,customer_churn_dataset!K663)))</f>
        <v>8</v>
      </c>
      <c r="L663" s="7" t="n">
        <f aca="false">IF(ISBLANK(customer_churn_dataset!L663),0,MAX(0,customer_churn_dataset!L663))</f>
        <v>0</v>
      </c>
      <c r="M663" s="7" t="n">
        <f aca="false">IF(ISBLANK(customer_churn_dataset!M663),0,customer_churn_dataset!M663)</f>
        <v>0</v>
      </c>
      <c r="N663" s="7" t="n">
        <f aca="false">IF(ISBLANK(customer_churn_dataset!N663),0,MAX(0,customer_churn_dataset!N663))</f>
        <v>0</v>
      </c>
      <c r="O663" s="7" t="n">
        <f aca="false">IF(ISBLANK(customer_churn_dataset!O663),0,customer_churn_dataset!O663)</f>
        <v>0</v>
      </c>
      <c r="P663" s="7" t="str">
        <f aca="false">IF(COUNTIF(customer_churn_dataset!$A$2:$A$1501,customer_churn_dataset!A663)&gt;1,"Duplicate","Unique")</f>
        <v>Unique</v>
      </c>
    </row>
    <row r="664" customFormat="false" ht="14.15" hidden="false" customHeight="true" outlineLevel="0" collapsed="false">
      <c r="A664" s="7" t="str">
        <f aca="false">TRIM(customer_churn_dataset!A664)</f>
        <v>CUST100379</v>
      </c>
      <c r="B664" s="7" t="str">
        <f aca="false">PROPER(TRIM(customer_churn_dataset!B664))</f>
        <v>Basic</v>
      </c>
      <c r="C664" s="7" t="str">
        <f aca="false">PROPER(TRIM(customer_churn_dataset!C664))</f>
        <v>Month-To-Month</v>
      </c>
      <c r="D664" s="7" t="n">
        <f aca="false">IF(ISBLANK(customer_churn_dataset!D664),ROUND(MEDIAN(customer_churn_dataset!D$2:D$1501),2),IF(customer_churn_dataset!D664&lt;0,ABS(customer_churn_dataset!D664),customer_churn_dataset!D664))</f>
        <v>7.12</v>
      </c>
      <c r="E664" s="7" t="n">
        <f aca="false">IF(ISBLANK(customer_churn_dataset!E664),0,MAX(0,customer_churn_dataset!E664))</f>
        <v>19</v>
      </c>
      <c r="F664" s="8" t="n">
        <f aca="false">IF(ISBLANK(customer_churn_dataset!F664),"",customer_churn_dataset!F664)</f>
        <v>44722</v>
      </c>
      <c r="G664" s="7" t="str">
        <f aca="false">PROPER(TRIM(customer_churn_dataset!G664))</f>
        <v>Manual/Invoice</v>
      </c>
      <c r="H664" s="7" t="n">
        <f aca="false">IF(ISBLANK(customer_churn_dataset!H664),0,customer_churn_dataset!H664)</f>
        <v>1</v>
      </c>
      <c r="I664" s="7" t="n">
        <f aca="false">IF(ISBLANK(customer_churn_dataset!I664),ROUND(MEDIAN(customer_churn_dataset!I$2:I$1501),1),MIN(100,MAX(0,customer_churn_dataset!I664)))</f>
        <v>19.1</v>
      </c>
      <c r="J664" s="7" t="n">
        <f aca="false">IF(ISBLANK(customer_churn_dataset!J664),0,MAX(0,customer_churn_dataset!J664))</f>
        <v>11</v>
      </c>
      <c r="K664" s="7" t="n">
        <f aca="false">IF(ISBLANK(customer_churn_dataset!K664),0,MIN(10,MAX(0,customer_churn_dataset!K664)))</f>
        <v>1</v>
      </c>
      <c r="L664" s="7" t="n">
        <f aca="false">IF(ISBLANK(customer_churn_dataset!L664),0,MAX(0,customer_churn_dataset!L664))</f>
        <v>4</v>
      </c>
      <c r="M664" s="7" t="n">
        <f aca="false">IF(ISBLANK(customer_churn_dataset!M664),0,customer_churn_dataset!M664)</f>
        <v>0</v>
      </c>
      <c r="N664" s="7" t="n">
        <f aca="false">IF(ISBLANK(customer_churn_dataset!N664),0,MAX(0,customer_churn_dataset!N664))</f>
        <v>135.28</v>
      </c>
      <c r="O664" s="7" t="n">
        <f aca="false">IF(ISBLANK(customer_churn_dataset!O664),0,customer_churn_dataset!O664)</f>
        <v>0</v>
      </c>
      <c r="P664" s="7" t="str">
        <f aca="false">IF(COUNTIF(customer_churn_dataset!$A$2:$A$1501,customer_churn_dataset!A664)&gt;1,"Duplicate","Unique")</f>
        <v>Unique</v>
      </c>
    </row>
    <row r="665" customFormat="false" ht="14.15" hidden="false" customHeight="true" outlineLevel="0" collapsed="false">
      <c r="A665" s="7" t="str">
        <f aca="false">TRIM(customer_churn_dataset!A665)</f>
        <v>CUST100983</v>
      </c>
      <c r="B665" s="7" t="str">
        <f aca="false">PROPER(TRIM(customer_churn_dataset!B665))</f>
        <v>Basic</v>
      </c>
      <c r="C665" s="7" t="str">
        <f aca="false">PROPER(TRIM(customer_churn_dataset!C665))</f>
        <v>One Year</v>
      </c>
      <c r="D665" s="7" t="n">
        <f aca="false">IF(ISBLANK(customer_churn_dataset!D665),ROUND(MEDIAN(customer_churn_dataset!D$2:D$1501),2),IF(customer_churn_dataset!D665&lt;0,ABS(customer_churn_dataset!D665),customer_churn_dataset!D665))</f>
        <v>10.23</v>
      </c>
      <c r="E665" s="7" t="n">
        <f aca="false">IF(ISBLANK(customer_churn_dataset!E665),0,MAX(0,customer_churn_dataset!E665))</f>
        <v>15</v>
      </c>
      <c r="F665" s="8" t="n">
        <f aca="false">IF(ISBLANK(customer_churn_dataset!F665),"",customer_churn_dataset!F665)</f>
        <v>44723</v>
      </c>
      <c r="G665" s="7" t="str">
        <f aca="false">PROPER(TRIM(customer_churn_dataset!G665))</f>
        <v>Manual/Invoice</v>
      </c>
      <c r="H665" s="7" t="n">
        <f aca="false">IF(ISBLANK(customer_churn_dataset!H665),0,customer_churn_dataset!H665)</f>
        <v>0</v>
      </c>
      <c r="I665" s="7" t="n">
        <f aca="false">IF(ISBLANK(customer_churn_dataset!I665),ROUND(MEDIAN(customer_churn_dataset!I$2:I$1501),1),MIN(100,MAX(0,customer_churn_dataset!I665)))</f>
        <v>36.4</v>
      </c>
      <c r="J665" s="7" t="n">
        <f aca="false">IF(ISBLANK(customer_churn_dataset!J665),0,MAX(0,customer_churn_dataset!J665))</f>
        <v>14</v>
      </c>
      <c r="K665" s="7" t="n">
        <f aca="false">IF(ISBLANK(customer_churn_dataset!K665),0,MIN(10,MAX(0,customer_churn_dataset!K665)))</f>
        <v>5</v>
      </c>
      <c r="L665" s="7" t="n">
        <f aca="false">IF(ISBLANK(customer_churn_dataset!L665),0,MAX(0,customer_churn_dataset!L665))</f>
        <v>1</v>
      </c>
      <c r="M665" s="7" t="n">
        <f aca="false">IF(ISBLANK(customer_churn_dataset!M665),0,customer_churn_dataset!M665)</f>
        <v>0</v>
      </c>
      <c r="N665" s="7" t="n">
        <f aca="false">IF(ISBLANK(customer_churn_dataset!N665),0,MAX(0,customer_churn_dataset!N665))</f>
        <v>153.45</v>
      </c>
      <c r="O665" s="7" t="n">
        <f aca="false">IF(ISBLANK(customer_churn_dataset!O665),0,customer_churn_dataset!O665)</f>
        <v>0</v>
      </c>
      <c r="P665" s="7" t="str">
        <f aca="false">IF(COUNTIF(customer_churn_dataset!$A$2:$A$1501,customer_churn_dataset!A665)&gt;1,"Duplicate","Unique")</f>
        <v>Unique</v>
      </c>
    </row>
    <row r="666" customFormat="false" ht="14.15" hidden="false" customHeight="true" outlineLevel="0" collapsed="false">
      <c r="A666" s="7" t="str">
        <f aca="false">TRIM(customer_churn_dataset!A666)</f>
        <v>CUST100628</v>
      </c>
      <c r="B666" s="7" t="str">
        <f aca="false">PROPER(TRIM(customer_churn_dataset!B666))</f>
        <v>Basic</v>
      </c>
      <c r="C666" s="7" t="str">
        <f aca="false">PROPER(TRIM(customer_churn_dataset!C666))</f>
        <v>Month-To-Month</v>
      </c>
      <c r="D666" s="7" t="n">
        <f aca="false">IF(ISBLANK(customer_churn_dataset!D666),ROUND(MEDIAN(customer_churn_dataset!D$2:D$1501),2),IF(customer_churn_dataset!D666&lt;0,ABS(customer_churn_dataset!D666),customer_churn_dataset!D666))</f>
        <v>10.31</v>
      </c>
      <c r="E666" s="7" t="n">
        <f aca="false">IF(ISBLANK(customer_churn_dataset!E666),0,MAX(0,customer_churn_dataset!E666))</f>
        <v>14</v>
      </c>
      <c r="F666" s="8" t="n">
        <f aca="false">IF(ISBLANK(customer_churn_dataset!F666),"",customer_churn_dataset!F666)</f>
        <v>44726</v>
      </c>
      <c r="G666" s="7" t="str">
        <f aca="false">PROPER(TRIM(customer_churn_dataset!G666))</f>
        <v>Manual/Invoice</v>
      </c>
      <c r="H666" s="7" t="n">
        <f aca="false">IF(ISBLANK(customer_churn_dataset!H666),0,customer_churn_dataset!H666)</f>
        <v>0</v>
      </c>
      <c r="I666" s="7" t="n">
        <f aca="false">IF(ISBLANK(customer_churn_dataset!I666),ROUND(MEDIAN(customer_churn_dataset!I$2:I$1501),1),MIN(100,MAX(0,customer_churn_dataset!I666)))</f>
        <v>51.5</v>
      </c>
      <c r="J666" s="7" t="n">
        <f aca="false">IF(ISBLANK(customer_churn_dataset!J666),0,MAX(0,customer_churn_dataset!J666))</f>
        <v>16</v>
      </c>
      <c r="K666" s="7" t="n">
        <f aca="false">IF(ISBLANK(customer_churn_dataset!K666),0,MIN(10,MAX(0,customer_churn_dataset!K666)))</f>
        <v>6</v>
      </c>
      <c r="L666" s="7" t="n">
        <f aca="false">IF(ISBLANK(customer_churn_dataset!L666),0,MAX(0,customer_churn_dataset!L666))</f>
        <v>1</v>
      </c>
      <c r="M666" s="7" t="n">
        <f aca="false">IF(ISBLANK(customer_churn_dataset!M666),0,customer_churn_dataset!M666)</f>
        <v>1</v>
      </c>
      <c r="N666" s="7" t="n">
        <f aca="false">IF(ISBLANK(customer_churn_dataset!N666),0,MAX(0,customer_churn_dataset!N666))</f>
        <v>144.34</v>
      </c>
      <c r="O666" s="7" t="n">
        <f aca="false">IF(ISBLANK(customer_churn_dataset!O666),0,customer_churn_dataset!O666)</f>
        <v>0</v>
      </c>
      <c r="P666" s="7" t="str">
        <f aca="false">IF(COUNTIF(customer_churn_dataset!$A$2:$A$1501,customer_churn_dataset!A666)&gt;1,"Duplicate","Unique")</f>
        <v>Unique</v>
      </c>
    </row>
    <row r="667" customFormat="false" ht="14.15" hidden="false" customHeight="true" outlineLevel="0" collapsed="false">
      <c r="A667" s="7" t="str">
        <f aca="false">TRIM(customer_churn_dataset!A667)</f>
        <v>CUST100907</v>
      </c>
      <c r="B667" s="7" t="str">
        <f aca="false">PROPER(TRIM(customer_churn_dataset!B667))</f>
        <v>Basic</v>
      </c>
      <c r="C667" s="7" t="str">
        <f aca="false">PROPER(TRIM(customer_churn_dataset!C667))</f>
        <v>Month-To-Month</v>
      </c>
      <c r="D667" s="7" t="n">
        <f aca="false">IF(ISBLANK(customer_churn_dataset!D667),ROUND(MEDIAN(customer_churn_dataset!D$2:D$1501),2),IF(customer_churn_dataset!D667&lt;0,ABS(customer_churn_dataset!D667),customer_churn_dataset!D667))</f>
        <v>9.86</v>
      </c>
      <c r="E667" s="7" t="n">
        <f aca="false">IF(ISBLANK(customer_churn_dataset!E667),0,MAX(0,customer_churn_dataset!E667))</f>
        <v>27</v>
      </c>
      <c r="F667" s="8" t="n">
        <f aca="false">IF(ISBLANK(customer_churn_dataset!F667),"",customer_churn_dataset!F667)</f>
        <v>44728</v>
      </c>
      <c r="G667" s="7" t="str">
        <f aca="false">PROPER(TRIM(customer_churn_dataset!G667))</f>
        <v>Credit Card</v>
      </c>
      <c r="H667" s="7" t="n">
        <f aca="false">IF(ISBLANK(customer_churn_dataset!H667),0,customer_churn_dataset!H667)</f>
        <v>0</v>
      </c>
      <c r="I667" s="7" t="n">
        <f aca="false">IF(ISBLANK(customer_churn_dataset!I667),ROUND(MEDIAN(customer_churn_dataset!I$2:I$1501),1),MIN(100,MAX(0,customer_churn_dataset!I667)))</f>
        <v>52</v>
      </c>
      <c r="J667" s="7" t="n">
        <f aca="false">IF(ISBLANK(customer_churn_dataset!J667),0,MAX(0,customer_churn_dataset!J667))</f>
        <v>23</v>
      </c>
      <c r="K667" s="7" t="n">
        <f aca="false">IF(ISBLANK(customer_churn_dataset!K667),0,MIN(10,MAX(0,customer_churn_dataset!K667)))</f>
        <v>5</v>
      </c>
      <c r="L667" s="7" t="n">
        <f aca="false">IF(ISBLANK(customer_churn_dataset!L667),0,MAX(0,customer_churn_dataset!L667))</f>
        <v>1</v>
      </c>
      <c r="M667" s="7" t="n">
        <f aca="false">IF(ISBLANK(customer_churn_dataset!M667),0,customer_churn_dataset!M667)</f>
        <v>1</v>
      </c>
      <c r="N667" s="7" t="n">
        <f aca="false">IF(ISBLANK(customer_churn_dataset!N667),0,MAX(0,customer_churn_dataset!N667))</f>
        <v>266.22</v>
      </c>
      <c r="O667" s="7" t="n">
        <f aca="false">IF(ISBLANK(customer_churn_dataset!O667),0,customer_churn_dataset!O667)</f>
        <v>0</v>
      </c>
      <c r="P667" s="7" t="str">
        <f aca="false">IF(COUNTIF(customer_churn_dataset!$A$2:$A$1501,customer_churn_dataset!A667)&gt;1,"Duplicate","Unique")</f>
        <v>Unique</v>
      </c>
    </row>
    <row r="668" customFormat="false" ht="14.15" hidden="false" customHeight="true" outlineLevel="0" collapsed="false">
      <c r="A668" s="7" t="str">
        <f aca="false">TRIM(customer_churn_dataset!A668)</f>
        <v>CUST100204</v>
      </c>
      <c r="B668" s="7" t="str">
        <f aca="false">PROPER(TRIM(customer_churn_dataset!B668))</f>
        <v>Standard</v>
      </c>
      <c r="C668" s="7" t="str">
        <f aca="false">PROPER(TRIM(customer_churn_dataset!C668))</f>
        <v>Month-To-Month</v>
      </c>
      <c r="D668" s="7" t="n">
        <f aca="false">IF(ISBLANK(customer_churn_dataset!D668),ROUND(MEDIAN(customer_churn_dataset!D$2:D$1501),2),IF(customer_churn_dataset!D668&lt;0,ABS(customer_churn_dataset!D668),customer_churn_dataset!D668))</f>
        <v>21.19</v>
      </c>
      <c r="E668" s="7" t="n">
        <f aca="false">IF(ISBLANK(customer_churn_dataset!E668),0,MAX(0,customer_churn_dataset!E668))</f>
        <v>17</v>
      </c>
      <c r="F668" s="8" t="n">
        <f aca="false">IF(ISBLANK(customer_churn_dataset!F668),"",customer_churn_dataset!F668)</f>
        <v>44731</v>
      </c>
      <c r="G668" s="7" t="str">
        <f aca="false">PROPER(TRIM(customer_churn_dataset!G668))</f>
        <v>Paypal</v>
      </c>
      <c r="H668" s="7" t="n">
        <f aca="false">IF(ISBLANK(customer_churn_dataset!H668),0,customer_churn_dataset!H668)</f>
        <v>1</v>
      </c>
      <c r="I668" s="7" t="n">
        <f aca="false">IF(ISBLANK(customer_churn_dataset!I668),ROUND(MEDIAN(customer_churn_dataset!I$2:I$1501),1),MIN(100,MAX(0,customer_churn_dataset!I668)))</f>
        <v>65.4</v>
      </c>
      <c r="J668" s="7" t="n">
        <f aca="false">IF(ISBLANK(customer_churn_dataset!J668),0,MAX(0,customer_churn_dataset!J668))</f>
        <v>24</v>
      </c>
      <c r="K668" s="7" t="n">
        <f aca="false">IF(ISBLANK(customer_churn_dataset!K668),0,MIN(10,MAX(0,customer_churn_dataset!K668)))</f>
        <v>7</v>
      </c>
      <c r="L668" s="7" t="n">
        <f aca="false">IF(ISBLANK(customer_churn_dataset!L668),0,MAX(0,customer_churn_dataset!L668))</f>
        <v>0</v>
      </c>
      <c r="M668" s="7" t="n">
        <f aca="false">IF(ISBLANK(customer_churn_dataset!M668),0,customer_churn_dataset!M668)</f>
        <v>0</v>
      </c>
      <c r="N668" s="7" t="n">
        <f aca="false">IF(ISBLANK(customer_churn_dataset!N668),0,MAX(0,customer_churn_dataset!N668))</f>
        <v>360.23</v>
      </c>
      <c r="O668" s="7" t="n">
        <f aca="false">IF(ISBLANK(customer_churn_dataset!O668),0,customer_churn_dataset!O668)</f>
        <v>0</v>
      </c>
      <c r="P668" s="7" t="str">
        <f aca="false">IF(COUNTIF(customer_churn_dataset!$A$2:$A$1501,customer_churn_dataset!A668)&gt;1,"Duplicate","Unique")</f>
        <v>Unique</v>
      </c>
    </row>
    <row r="669" customFormat="false" ht="14.15" hidden="false" customHeight="true" outlineLevel="0" collapsed="false">
      <c r="A669" s="7" t="str">
        <f aca="false">TRIM(customer_churn_dataset!A669)</f>
        <v>CUST101234</v>
      </c>
      <c r="B669" s="7" t="str">
        <f aca="false">PROPER(TRIM(customer_churn_dataset!B669))</f>
        <v>Standard</v>
      </c>
      <c r="C669" s="7" t="str">
        <f aca="false">PROPER(TRIM(customer_churn_dataset!C669))</f>
        <v>Month-To-Month</v>
      </c>
      <c r="D669" s="7" t="n">
        <f aca="false">IF(ISBLANK(customer_churn_dataset!D669),ROUND(MEDIAN(customer_churn_dataset!D$2:D$1501),2),IF(customer_churn_dataset!D669&lt;0,ABS(customer_churn_dataset!D669),customer_churn_dataset!D669))</f>
        <v>19.91</v>
      </c>
      <c r="E669" s="7" t="n">
        <f aca="false">IF(ISBLANK(customer_churn_dataset!E669),0,MAX(0,customer_churn_dataset!E669))</f>
        <v>9</v>
      </c>
      <c r="F669" s="8" t="n">
        <f aca="false">IF(ISBLANK(customer_churn_dataset!F669),"",customer_churn_dataset!F669)</f>
        <v>44732</v>
      </c>
      <c r="G669" s="7" t="str">
        <f aca="false">PROPER(TRIM(customer_churn_dataset!G669))</f>
        <v>Paypal</v>
      </c>
      <c r="H669" s="7" t="n">
        <f aca="false">IF(ISBLANK(customer_churn_dataset!H669),0,customer_churn_dataset!H669)</f>
        <v>1</v>
      </c>
      <c r="I669" s="7" t="n">
        <f aca="false">IF(ISBLANK(customer_churn_dataset!I669),ROUND(MEDIAN(customer_churn_dataset!I$2:I$1501),1),MIN(100,MAX(0,customer_churn_dataset!I669)))</f>
        <v>46</v>
      </c>
      <c r="J669" s="7" t="n">
        <f aca="false">IF(ISBLANK(customer_churn_dataset!J669),0,MAX(0,customer_churn_dataset!J669))</f>
        <v>16</v>
      </c>
      <c r="K669" s="7" t="n">
        <f aca="false">IF(ISBLANK(customer_churn_dataset!K669),0,MIN(10,MAX(0,customer_churn_dataset!K669)))</f>
        <v>5</v>
      </c>
      <c r="L669" s="7" t="n">
        <f aca="false">IF(ISBLANK(customer_churn_dataset!L669),0,MAX(0,customer_churn_dataset!L669))</f>
        <v>3</v>
      </c>
      <c r="M669" s="7" t="n">
        <f aca="false">IF(ISBLANK(customer_churn_dataset!M669),0,customer_churn_dataset!M669)</f>
        <v>0</v>
      </c>
      <c r="N669" s="7" t="n">
        <f aca="false">IF(ISBLANK(customer_churn_dataset!N669),0,MAX(0,customer_churn_dataset!N669))</f>
        <v>179.19</v>
      </c>
      <c r="O669" s="7" t="n">
        <f aca="false">IF(ISBLANK(customer_churn_dataset!O669),0,customer_churn_dataset!O669)</f>
        <v>0</v>
      </c>
      <c r="P669" s="7" t="str">
        <f aca="false">IF(COUNTIF(customer_churn_dataset!$A$2:$A$1501,customer_churn_dataset!A669)&gt;1,"Duplicate","Unique")</f>
        <v>Unique</v>
      </c>
    </row>
    <row r="670" customFormat="false" ht="14.15" hidden="false" customHeight="true" outlineLevel="0" collapsed="false">
      <c r="A670" s="7" t="str">
        <f aca="false">TRIM(customer_churn_dataset!A670)</f>
        <v>CUST100290</v>
      </c>
      <c r="B670" s="7" t="str">
        <f aca="false">PROPER(TRIM(customer_churn_dataset!B670))</f>
        <v>Basic</v>
      </c>
      <c r="C670" s="7" t="str">
        <f aca="false">PROPER(TRIM(customer_churn_dataset!C670))</f>
        <v>Month-To-Month</v>
      </c>
      <c r="D670" s="7" t="n">
        <f aca="false">IF(ISBLANK(customer_churn_dataset!D670),ROUND(MEDIAN(customer_churn_dataset!D$2:D$1501),2),IF(customer_churn_dataset!D670&lt;0,ABS(customer_churn_dataset!D670),customer_churn_dataset!D670))</f>
        <v>10.3</v>
      </c>
      <c r="E670" s="7" t="n">
        <f aca="false">IF(ISBLANK(customer_churn_dataset!E670),0,MAX(0,customer_churn_dataset!E670))</f>
        <v>4</v>
      </c>
      <c r="F670" s="8" t="n">
        <f aca="false">IF(ISBLANK(customer_churn_dataset!F670),"",customer_churn_dataset!F670)</f>
        <v>44734</v>
      </c>
      <c r="G670" s="7" t="str">
        <f aca="false">PROPER(TRIM(customer_churn_dataset!G670))</f>
        <v>Credit Card</v>
      </c>
      <c r="H670" s="7" t="n">
        <f aca="false">IF(ISBLANK(customer_churn_dataset!H670),0,customer_churn_dataset!H670)</f>
        <v>0</v>
      </c>
      <c r="I670" s="7" t="n">
        <f aca="false">IF(ISBLANK(customer_churn_dataset!I670),ROUND(MEDIAN(customer_churn_dataset!I$2:I$1501),1),MIN(100,MAX(0,customer_churn_dataset!I670)))</f>
        <v>57.2</v>
      </c>
      <c r="J670" s="7" t="n">
        <f aca="false">IF(ISBLANK(customer_churn_dataset!J670),0,MAX(0,customer_churn_dataset!J670))</f>
        <v>22</v>
      </c>
      <c r="K670" s="7" t="n">
        <f aca="false">IF(ISBLANK(customer_churn_dataset!K670),0,MIN(10,MAX(0,customer_churn_dataset!K670)))</f>
        <v>6</v>
      </c>
      <c r="L670" s="7" t="n">
        <f aca="false">IF(ISBLANK(customer_churn_dataset!L670),0,MAX(0,customer_churn_dataset!L670))</f>
        <v>4</v>
      </c>
      <c r="M670" s="7" t="n">
        <f aca="false">IF(ISBLANK(customer_churn_dataset!M670),0,customer_churn_dataset!M670)</f>
        <v>0</v>
      </c>
      <c r="N670" s="7" t="n">
        <f aca="false">IF(ISBLANK(customer_churn_dataset!N670),0,MAX(0,customer_churn_dataset!N670))</f>
        <v>41.2</v>
      </c>
      <c r="O670" s="7" t="n">
        <f aca="false">IF(ISBLANK(customer_churn_dataset!O670),0,customer_churn_dataset!O670)</f>
        <v>1</v>
      </c>
      <c r="P670" s="7" t="str">
        <f aca="false">IF(COUNTIF(customer_churn_dataset!$A$2:$A$1501,customer_churn_dataset!A670)&gt;1,"Duplicate","Unique")</f>
        <v>Unique</v>
      </c>
    </row>
    <row r="671" customFormat="false" ht="14.15" hidden="false" customHeight="true" outlineLevel="0" collapsed="false">
      <c r="A671" s="7" t="str">
        <f aca="false">TRIM(customer_churn_dataset!A671)</f>
        <v>CUST100883</v>
      </c>
      <c r="B671" s="7" t="str">
        <f aca="false">PROPER(TRIM(customer_churn_dataset!B671))</f>
        <v>Basic</v>
      </c>
      <c r="C671" s="7" t="str">
        <f aca="false">PROPER(TRIM(customer_churn_dataset!C671))</f>
        <v>Two Year</v>
      </c>
      <c r="D671" s="7" t="n">
        <f aca="false">IF(ISBLANK(customer_churn_dataset!D671),ROUND(MEDIAN(customer_churn_dataset!D$2:D$1501),2),IF(customer_churn_dataset!D671&lt;0,ABS(customer_churn_dataset!D671),customer_churn_dataset!D671))</f>
        <v>10.14</v>
      </c>
      <c r="E671" s="7" t="n">
        <f aca="false">IF(ISBLANK(customer_churn_dataset!E671),0,MAX(0,customer_churn_dataset!E671))</f>
        <v>25</v>
      </c>
      <c r="F671" s="8" t="n">
        <f aca="false">IF(ISBLANK(customer_churn_dataset!F671),"",customer_churn_dataset!F671)</f>
        <v>44735</v>
      </c>
      <c r="G671" s="7" t="str">
        <f aca="false">PROPER(TRIM(customer_churn_dataset!G671))</f>
        <v>Bank Transfer</v>
      </c>
      <c r="H671" s="7" t="n">
        <f aca="false">IF(ISBLANK(customer_churn_dataset!H671),0,customer_churn_dataset!H671)</f>
        <v>1</v>
      </c>
      <c r="I671" s="7" t="n">
        <f aca="false">IF(ISBLANK(customer_churn_dataset!I671),ROUND(MEDIAN(customer_churn_dataset!I$2:I$1501),1),MIN(100,MAX(0,customer_churn_dataset!I671)))</f>
        <v>42</v>
      </c>
      <c r="J671" s="7" t="n">
        <f aca="false">IF(ISBLANK(customer_churn_dataset!J671),0,MAX(0,customer_churn_dataset!J671))</f>
        <v>15</v>
      </c>
      <c r="K671" s="7" t="n">
        <f aca="false">IF(ISBLANK(customer_churn_dataset!K671),0,MIN(10,MAX(0,customer_churn_dataset!K671)))</f>
        <v>7</v>
      </c>
      <c r="L671" s="7" t="n">
        <f aca="false">IF(ISBLANK(customer_churn_dataset!L671),0,MAX(0,customer_churn_dataset!L671))</f>
        <v>0</v>
      </c>
      <c r="M671" s="7" t="n">
        <f aca="false">IF(ISBLANK(customer_churn_dataset!M671),0,customer_churn_dataset!M671)</f>
        <v>0</v>
      </c>
      <c r="N671" s="7" t="n">
        <f aca="false">IF(ISBLANK(customer_churn_dataset!N671),0,MAX(0,customer_churn_dataset!N671))</f>
        <v>253.5</v>
      </c>
      <c r="O671" s="7" t="n">
        <f aca="false">IF(ISBLANK(customer_churn_dataset!O671),0,customer_churn_dataset!O671)</f>
        <v>0</v>
      </c>
      <c r="P671" s="7" t="str">
        <f aca="false">IF(COUNTIF(customer_churn_dataset!$A$2:$A$1501,customer_churn_dataset!A671)&gt;1,"Duplicate","Unique")</f>
        <v>Unique</v>
      </c>
    </row>
    <row r="672" customFormat="false" ht="14.15" hidden="false" customHeight="true" outlineLevel="0" collapsed="false">
      <c r="A672" s="7" t="str">
        <f aca="false">TRIM(customer_churn_dataset!A672)</f>
        <v>CUST100339</v>
      </c>
      <c r="B672" s="7" t="str">
        <f aca="false">PROPER(TRIM(customer_churn_dataset!B672))</f>
        <v>Basic</v>
      </c>
      <c r="C672" s="7" t="str">
        <f aca="false">PROPER(TRIM(customer_churn_dataset!C672))</f>
        <v>Two Year</v>
      </c>
      <c r="D672" s="7" t="n">
        <f aca="false">IF(ISBLANK(customer_churn_dataset!D672),ROUND(MEDIAN(customer_churn_dataset!D$2:D$1501),2),IF(customer_churn_dataset!D672&lt;0,ABS(customer_churn_dataset!D672),customer_churn_dataset!D672))</f>
        <v>10.58</v>
      </c>
      <c r="E672" s="7" t="n">
        <f aca="false">IF(ISBLANK(customer_churn_dataset!E672),0,MAX(0,customer_churn_dataset!E672))</f>
        <v>10</v>
      </c>
      <c r="F672" s="8" t="n">
        <f aca="false">IF(ISBLANK(customer_churn_dataset!F672),"",customer_churn_dataset!F672)</f>
        <v>44735</v>
      </c>
      <c r="G672" s="7" t="str">
        <f aca="false">PROPER(TRIM(customer_churn_dataset!G672))</f>
        <v>Bank Transfer</v>
      </c>
      <c r="H672" s="7" t="n">
        <f aca="false">IF(ISBLANK(customer_churn_dataset!H672),0,customer_churn_dataset!H672)</f>
        <v>0</v>
      </c>
      <c r="I672" s="7" t="n">
        <f aca="false">IF(ISBLANK(customer_churn_dataset!I672),ROUND(MEDIAN(customer_churn_dataset!I$2:I$1501),1),MIN(100,MAX(0,customer_churn_dataset!I672)))</f>
        <v>34.5</v>
      </c>
      <c r="J672" s="7" t="n">
        <f aca="false">IF(ISBLANK(customer_churn_dataset!J672),0,MAX(0,customer_churn_dataset!J672))</f>
        <v>19</v>
      </c>
      <c r="K672" s="7" t="n">
        <f aca="false">IF(ISBLANK(customer_churn_dataset!K672),0,MIN(10,MAX(0,customer_churn_dataset!K672)))</f>
        <v>3</v>
      </c>
      <c r="L672" s="7" t="n">
        <f aca="false">IF(ISBLANK(customer_churn_dataset!L672),0,MAX(0,customer_churn_dataset!L672))</f>
        <v>2</v>
      </c>
      <c r="M672" s="7" t="n">
        <f aca="false">IF(ISBLANK(customer_churn_dataset!M672),0,customer_churn_dataset!M672)</f>
        <v>0</v>
      </c>
      <c r="N672" s="7" t="n">
        <f aca="false">IF(ISBLANK(customer_churn_dataset!N672),0,MAX(0,customer_churn_dataset!N672))</f>
        <v>105.8</v>
      </c>
      <c r="O672" s="7" t="n">
        <f aca="false">IF(ISBLANK(customer_churn_dataset!O672),0,customer_churn_dataset!O672)</f>
        <v>0</v>
      </c>
      <c r="P672" s="7" t="str">
        <f aca="false">IF(COUNTIF(customer_churn_dataset!$A$2:$A$1501,customer_churn_dataset!A672)&gt;1,"Duplicate","Unique")</f>
        <v>Unique</v>
      </c>
    </row>
    <row r="673" customFormat="false" ht="14.15" hidden="false" customHeight="true" outlineLevel="0" collapsed="false">
      <c r="A673" s="7" t="str">
        <f aca="false">TRIM(customer_churn_dataset!A673)</f>
        <v>CUST101159</v>
      </c>
      <c r="B673" s="7" t="str">
        <f aca="false">PROPER(TRIM(customer_churn_dataset!B673))</f>
        <v>Basic</v>
      </c>
      <c r="C673" s="7" t="str">
        <f aca="false">PROPER(TRIM(customer_churn_dataset!C673))</f>
        <v>Month-To-Month</v>
      </c>
      <c r="D673" s="7" t="n">
        <f aca="false">IF(ISBLANK(customer_churn_dataset!D673),ROUND(MEDIAN(customer_churn_dataset!D$2:D$1501),2),IF(customer_churn_dataset!D673&lt;0,ABS(customer_churn_dataset!D673),customer_churn_dataset!D673))</f>
        <v>8.89</v>
      </c>
      <c r="E673" s="7" t="n">
        <f aca="false">IF(ISBLANK(customer_churn_dataset!E673),0,MAX(0,customer_churn_dataset!E673))</f>
        <v>6</v>
      </c>
      <c r="F673" s="8" t="n">
        <f aca="false">IF(ISBLANK(customer_churn_dataset!F673),"",customer_churn_dataset!F673)</f>
        <v>44738</v>
      </c>
      <c r="G673" s="7" t="str">
        <f aca="false">PROPER(TRIM(customer_churn_dataset!G673))</f>
        <v>Paypal</v>
      </c>
      <c r="H673" s="7" t="n">
        <f aca="false">IF(ISBLANK(customer_churn_dataset!H673),0,customer_churn_dataset!H673)</f>
        <v>0</v>
      </c>
      <c r="I673" s="7" t="n">
        <f aca="false">IF(ISBLANK(customer_churn_dataset!I673),ROUND(MEDIAN(customer_churn_dataset!I$2:I$1501),1),MIN(100,MAX(0,customer_churn_dataset!I673)))</f>
        <v>93.9</v>
      </c>
      <c r="J673" s="7" t="n">
        <f aca="false">IF(ISBLANK(customer_churn_dataset!J673),0,MAX(0,customer_churn_dataset!J673))</f>
        <v>21</v>
      </c>
      <c r="K673" s="7" t="n">
        <f aca="false">IF(ISBLANK(customer_churn_dataset!K673),0,MIN(10,MAX(0,customer_churn_dataset!K673)))</f>
        <v>10</v>
      </c>
      <c r="L673" s="7" t="n">
        <f aca="false">IF(ISBLANK(customer_churn_dataset!L673),0,MAX(0,customer_churn_dataset!L673))</f>
        <v>2</v>
      </c>
      <c r="M673" s="7" t="n">
        <f aca="false">IF(ISBLANK(customer_churn_dataset!M673),0,customer_churn_dataset!M673)</f>
        <v>0</v>
      </c>
      <c r="N673" s="7" t="n">
        <f aca="false">IF(ISBLANK(customer_churn_dataset!N673),0,MAX(0,customer_churn_dataset!N673))</f>
        <v>53.34</v>
      </c>
      <c r="O673" s="7" t="n">
        <f aca="false">IF(ISBLANK(customer_churn_dataset!O673),0,customer_churn_dataset!O673)</f>
        <v>0</v>
      </c>
      <c r="P673" s="7" t="str">
        <f aca="false">IF(COUNTIF(customer_churn_dataset!$A$2:$A$1501,customer_churn_dataset!A673)&gt;1,"Duplicate","Unique")</f>
        <v>Unique</v>
      </c>
    </row>
    <row r="674" customFormat="false" ht="14.15" hidden="false" customHeight="true" outlineLevel="0" collapsed="false">
      <c r="A674" s="7" t="str">
        <f aca="false">TRIM(customer_churn_dataset!A674)</f>
        <v>CUST100802</v>
      </c>
      <c r="B674" s="7" t="str">
        <f aca="false">PROPER(TRIM(customer_churn_dataset!B674))</f>
        <v>Standard</v>
      </c>
      <c r="C674" s="7" t="str">
        <f aca="false">PROPER(TRIM(customer_churn_dataset!C674))</f>
        <v>Month-To-Month</v>
      </c>
      <c r="D674" s="7" t="n">
        <f aca="false">IF(ISBLANK(customer_churn_dataset!D674),ROUND(MEDIAN(customer_churn_dataset!D$2:D$1501),2),IF(customer_churn_dataset!D674&lt;0,ABS(customer_churn_dataset!D674),customer_churn_dataset!D674))</f>
        <v>20.51</v>
      </c>
      <c r="E674" s="7" t="n">
        <f aca="false">IF(ISBLANK(customer_churn_dataset!E674),0,MAX(0,customer_churn_dataset!E674))</f>
        <v>1</v>
      </c>
      <c r="F674" s="8" t="n">
        <f aca="false">IF(ISBLANK(customer_churn_dataset!F674),"",customer_churn_dataset!F674)</f>
        <v>44738</v>
      </c>
      <c r="G674" s="7" t="str">
        <f aca="false">PROPER(TRIM(customer_churn_dataset!G674))</f>
        <v>Credit Card</v>
      </c>
      <c r="H674" s="7" t="n">
        <f aca="false">IF(ISBLANK(customer_churn_dataset!H674),0,customer_churn_dataset!H674)</f>
        <v>1</v>
      </c>
      <c r="I674" s="7" t="n">
        <f aca="false">IF(ISBLANK(customer_churn_dataset!I674),ROUND(MEDIAN(customer_churn_dataset!I$2:I$1501),1),MIN(100,MAX(0,customer_churn_dataset!I674)))</f>
        <v>69.3</v>
      </c>
      <c r="J674" s="7" t="n">
        <f aca="false">IF(ISBLANK(customer_churn_dataset!J674),0,MAX(0,customer_churn_dataset!J674))</f>
        <v>28</v>
      </c>
      <c r="K674" s="7" t="n">
        <f aca="false">IF(ISBLANK(customer_churn_dataset!K674),0,MIN(10,MAX(0,customer_churn_dataset!K674)))</f>
        <v>6</v>
      </c>
      <c r="L674" s="7" t="n">
        <f aca="false">IF(ISBLANK(customer_churn_dataset!L674),0,MAX(0,customer_churn_dataset!L674))</f>
        <v>1</v>
      </c>
      <c r="M674" s="7" t="n">
        <f aca="false">IF(ISBLANK(customer_churn_dataset!M674),0,customer_churn_dataset!M674)</f>
        <v>1</v>
      </c>
      <c r="N674" s="7" t="n">
        <f aca="false">IF(ISBLANK(customer_churn_dataset!N674),0,MAX(0,customer_churn_dataset!N674))</f>
        <v>20.51</v>
      </c>
      <c r="O674" s="7" t="n">
        <f aca="false">IF(ISBLANK(customer_churn_dataset!O674),0,customer_churn_dataset!O674)</f>
        <v>1</v>
      </c>
      <c r="P674" s="7" t="str">
        <f aca="false">IF(COUNTIF(customer_churn_dataset!$A$2:$A$1501,customer_churn_dataset!A674)&gt;1,"Duplicate","Unique")</f>
        <v>Unique</v>
      </c>
    </row>
    <row r="675" customFormat="false" ht="14.15" hidden="false" customHeight="true" outlineLevel="0" collapsed="false">
      <c r="A675" s="7" t="str">
        <f aca="false">TRIM(customer_churn_dataset!A675)</f>
        <v>CUST100437</v>
      </c>
      <c r="B675" s="7" t="str">
        <f aca="false">PROPER(TRIM(customer_churn_dataset!B675))</f>
        <v>Premium</v>
      </c>
      <c r="C675" s="7" t="str">
        <f aca="false">PROPER(TRIM(customer_churn_dataset!C675))</f>
        <v>Two Year</v>
      </c>
      <c r="D675" s="7" t="n">
        <f aca="false">IF(ISBLANK(customer_churn_dataset!D675),ROUND(MEDIAN(customer_churn_dataset!D$2:D$1501),2),IF(customer_churn_dataset!D675&lt;0,ABS(customer_churn_dataset!D675),customer_churn_dataset!D675))</f>
        <v>42.05</v>
      </c>
      <c r="E675" s="7" t="n">
        <f aca="false">IF(ISBLANK(customer_churn_dataset!E675),0,MAX(0,customer_churn_dataset!E675))</f>
        <v>49</v>
      </c>
      <c r="F675" s="8" t="n">
        <f aca="false">IF(ISBLANK(customer_churn_dataset!F675),"",customer_churn_dataset!F675)</f>
        <v>44741</v>
      </c>
      <c r="G675" s="7" t="str">
        <f aca="false">PROPER(TRIM(customer_churn_dataset!G675))</f>
        <v>Paypal</v>
      </c>
      <c r="H675" s="7" t="n">
        <f aca="false">IF(ISBLANK(customer_churn_dataset!H675),0,customer_churn_dataset!H675)</f>
        <v>1</v>
      </c>
      <c r="I675" s="7" t="n">
        <f aca="false">IF(ISBLANK(customer_churn_dataset!I675),ROUND(MEDIAN(customer_churn_dataset!I$2:I$1501),1),MIN(100,MAX(0,customer_churn_dataset!I675)))</f>
        <v>28.8</v>
      </c>
      <c r="J675" s="7" t="n">
        <f aca="false">IF(ISBLANK(customer_churn_dataset!J675),0,MAX(0,customer_churn_dataset!J675))</f>
        <v>11</v>
      </c>
      <c r="K675" s="7" t="n">
        <f aca="false">IF(ISBLANK(customer_churn_dataset!K675),0,MIN(10,MAX(0,customer_churn_dataset!K675)))</f>
        <v>5</v>
      </c>
      <c r="L675" s="7" t="n">
        <f aca="false">IF(ISBLANK(customer_churn_dataset!L675),0,MAX(0,customer_churn_dataset!L675))</f>
        <v>4</v>
      </c>
      <c r="M675" s="7" t="n">
        <f aca="false">IF(ISBLANK(customer_churn_dataset!M675),0,customer_churn_dataset!M675)</f>
        <v>1</v>
      </c>
      <c r="N675" s="7" t="n">
        <f aca="false">IF(ISBLANK(customer_churn_dataset!N675),0,MAX(0,customer_churn_dataset!N675))</f>
        <v>2060.45</v>
      </c>
      <c r="O675" s="7" t="n">
        <f aca="false">IF(ISBLANK(customer_churn_dataset!O675),0,customer_churn_dataset!O675)</f>
        <v>1</v>
      </c>
      <c r="P675" s="7" t="str">
        <f aca="false">IF(COUNTIF(customer_churn_dataset!$A$2:$A$1501,customer_churn_dataset!A675)&gt;1,"Duplicate","Unique")</f>
        <v>Unique</v>
      </c>
    </row>
    <row r="676" customFormat="false" ht="14.15" hidden="false" customHeight="true" outlineLevel="0" collapsed="false">
      <c r="A676" s="7" t="str">
        <f aca="false">TRIM(customer_churn_dataset!A676)</f>
        <v>CUST100542</v>
      </c>
      <c r="B676" s="7" t="str">
        <f aca="false">PROPER(TRIM(customer_churn_dataset!B676))</f>
        <v>Basic</v>
      </c>
      <c r="C676" s="7" t="str">
        <f aca="false">PROPER(TRIM(customer_churn_dataset!C676))</f>
        <v>One Year</v>
      </c>
      <c r="D676" s="7" t="n">
        <f aca="false">IF(ISBLANK(customer_churn_dataset!D676),ROUND(MEDIAN(customer_churn_dataset!D$2:D$1501),2),IF(customer_churn_dataset!D676&lt;0,ABS(customer_churn_dataset!D676),customer_churn_dataset!D676))</f>
        <v>10.62</v>
      </c>
      <c r="E676" s="7" t="n">
        <f aca="false">IF(ISBLANK(customer_churn_dataset!E676),0,MAX(0,customer_churn_dataset!E676))</f>
        <v>8</v>
      </c>
      <c r="F676" s="8" t="n">
        <f aca="false">IF(ISBLANK(customer_churn_dataset!F676),"",customer_churn_dataset!F676)</f>
        <v>44742</v>
      </c>
      <c r="G676" s="7" t="str">
        <f aca="false">PROPER(TRIM(customer_churn_dataset!G676))</f>
        <v>Bank Transfer</v>
      </c>
      <c r="H676" s="7" t="n">
        <f aca="false">IF(ISBLANK(customer_churn_dataset!H676),0,customer_churn_dataset!H676)</f>
        <v>0</v>
      </c>
      <c r="I676" s="7" t="n">
        <f aca="false">IF(ISBLANK(customer_churn_dataset!I676),ROUND(MEDIAN(customer_churn_dataset!I$2:I$1501),1),MIN(100,MAX(0,customer_churn_dataset!I676)))</f>
        <v>23.6</v>
      </c>
      <c r="J676" s="7" t="n">
        <f aca="false">IF(ISBLANK(customer_churn_dataset!J676),0,MAX(0,customer_churn_dataset!J676))</f>
        <v>6</v>
      </c>
      <c r="K676" s="7" t="n">
        <f aca="false">IF(ISBLANK(customer_churn_dataset!K676),0,MIN(10,MAX(0,customer_churn_dataset!K676)))</f>
        <v>0</v>
      </c>
      <c r="L676" s="7" t="n">
        <f aca="false">IF(ISBLANK(customer_churn_dataset!L676),0,MAX(0,customer_churn_dataset!L676))</f>
        <v>3</v>
      </c>
      <c r="M676" s="7" t="n">
        <f aca="false">IF(ISBLANK(customer_churn_dataset!M676),0,customer_churn_dataset!M676)</f>
        <v>0</v>
      </c>
      <c r="N676" s="7" t="n">
        <f aca="false">IF(ISBLANK(customer_churn_dataset!N676),0,MAX(0,customer_churn_dataset!N676))</f>
        <v>84.96</v>
      </c>
      <c r="O676" s="7" t="n">
        <f aca="false">IF(ISBLANK(customer_churn_dataset!O676),0,customer_churn_dataset!O676)</f>
        <v>1</v>
      </c>
      <c r="P676" s="7" t="str">
        <f aca="false">IF(COUNTIF(customer_churn_dataset!$A$2:$A$1501,customer_churn_dataset!A676)&gt;1,"Duplicate","Unique")</f>
        <v>Unique</v>
      </c>
    </row>
    <row r="677" customFormat="false" ht="14.15" hidden="false" customHeight="true" outlineLevel="0" collapsed="false">
      <c r="A677" s="7" t="str">
        <f aca="false">TRIM(customer_churn_dataset!A677)</f>
        <v>CUST100803</v>
      </c>
      <c r="B677" s="7" t="str">
        <f aca="false">PROPER(TRIM(customer_churn_dataset!B677))</f>
        <v>Standard</v>
      </c>
      <c r="C677" s="7" t="str">
        <f aca="false">PROPER(TRIM(customer_churn_dataset!C677))</f>
        <v>Month-To-Month</v>
      </c>
      <c r="D677" s="7" t="n">
        <f aca="false">IF(ISBLANK(customer_churn_dataset!D677),ROUND(MEDIAN(customer_churn_dataset!D$2:D$1501),2),IF(customer_churn_dataset!D677&lt;0,ABS(customer_churn_dataset!D677),customer_churn_dataset!D677))</f>
        <v>20.64</v>
      </c>
      <c r="E677" s="7" t="n">
        <f aca="false">IF(ISBLANK(customer_churn_dataset!E677),0,MAX(0,customer_churn_dataset!E677))</f>
        <v>30</v>
      </c>
      <c r="F677" s="8" t="n">
        <f aca="false">IF(ISBLANK(customer_churn_dataset!F677),"",customer_churn_dataset!F677)</f>
        <v>44742</v>
      </c>
      <c r="G677" s="7" t="str">
        <f aca="false">PROPER(TRIM(customer_churn_dataset!G677))</f>
        <v>Credit Card</v>
      </c>
      <c r="H677" s="7" t="n">
        <f aca="false">IF(ISBLANK(customer_churn_dataset!H677),0,customer_churn_dataset!H677)</f>
        <v>1</v>
      </c>
      <c r="I677" s="7" t="n">
        <f aca="false">IF(ISBLANK(customer_churn_dataset!I677),ROUND(MEDIAN(customer_churn_dataset!I$2:I$1501),1),MIN(100,MAX(0,customer_churn_dataset!I677)))</f>
        <v>50.3</v>
      </c>
      <c r="J677" s="7" t="n">
        <f aca="false">IF(ISBLANK(customer_churn_dataset!J677),0,MAX(0,customer_churn_dataset!J677))</f>
        <v>14</v>
      </c>
      <c r="K677" s="7" t="n">
        <f aca="false">IF(ISBLANK(customer_churn_dataset!K677),0,MIN(10,MAX(0,customer_churn_dataset!K677)))</f>
        <v>5</v>
      </c>
      <c r="L677" s="7" t="n">
        <f aca="false">IF(ISBLANK(customer_churn_dataset!L677),0,MAX(0,customer_churn_dataset!L677))</f>
        <v>2</v>
      </c>
      <c r="M677" s="7" t="n">
        <f aca="false">IF(ISBLANK(customer_churn_dataset!M677),0,customer_churn_dataset!M677)</f>
        <v>0</v>
      </c>
      <c r="N677" s="7" t="n">
        <f aca="false">IF(ISBLANK(customer_churn_dataset!N677),0,MAX(0,customer_churn_dataset!N677))</f>
        <v>619.2</v>
      </c>
      <c r="O677" s="7" t="n">
        <f aca="false">IF(ISBLANK(customer_churn_dataset!O677),0,customer_churn_dataset!O677)</f>
        <v>0</v>
      </c>
      <c r="P677" s="7" t="str">
        <f aca="false">IF(COUNTIF(customer_churn_dataset!$A$2:$A$1501,customer_churn_dataset!A677)&gt;1,"Duplicate","Unique")</f>
        <v>Unique</v>
      </c>
    </row>
    <row r="678" customFormat="false" ht="14.15" hidden="false" customHeight="true" outlineLevel="0" collapsed="false">
      <c r="A678" s="7" t="str">
        <f aca="false">TRIM(customer_churn_dataset!A678)</f>
        <v>CUST100207</v>
      </c>
      <c r="B678" s="7" t="str">
        <f aca="false">PROPER(TRIM(customer_churn_dataset!B678))</f>
        <v>Standard</v>
      </c>
      <c r="C678" s="7" t="str">
        <f aca="false">PROPER(TRIM(customer_churn_dataset!C678))</f>
        <v>Two Year</v>
      </c>
      <c r="D678" s="7" t="n">
        <f aca="false">IF(ISBLANK(customer_churn_dataset!D678),ROUND(MEDIAN(customer_churn_dataset!D$2:D$1501),2),IF(customer_churn_dataset!D678&lt;0,ABS(customer_churn_dataset!D678),customer_churn_dataset!D678))</f>
        <v>19.06</v>
      </c>
      <c r="E678" s="7" t="n">
        <f aca="false">IF(ISBLANK(customer_churn_dataset!E678),0,MAX(0,customer_churn_dataset!E678))</f>
        <v>1</v>
      </c>
      <c r="F678" s="8" t="n">
        <f aca="false">IF(ISBLANK(customer_churn_dataset!F678),"",customer_churn_dataset!F678)</f>
        <v>44743</v>
      </c>
      <c r="G678" s="7" t="str">
        <f aca="false">PROPER(TRIM(customer_churn_dataset!G678))</f>
        <v>Bank Transfer</v>
      </c>
      <c r="H678" s="7" t="n">
        <f aca="false">IF(ISBLANK(customer_churn_dataset!H678),0,customer_churn_dataset!H678)</f>
        <v>1</v>
      </c>
      <c r="I678" s="7" t="n">
        <f aca="false">IF(ISBLANK(customer_churn_dataset!I678),ROUND(MEDIAN(customer_churn_dataset!I$2:I$1501),1),MIN(100,MAX(0,customer_churn_dataset!I678)))</f>
        <v>61.1</v>
      </c>
      <c r="J678" s="7" t="n">
        <f aca="false">IF(ISBLANK(customer_churn_dataset!J678),0,MAX(0,customer_churn_dataset!J678))</f>
        <v>17</v>
      </c>
      <c r="K678" s="7" t="n">
        <f aca="false">IF(ISBLANK(customer_churn_dataset!K678),0,MIN(10,MAX(0,customer_churn_dataset!K678)))</f>
        <v>5</v>
      </c>
      <c r="L678" s="7" t="n">
        <f aca="false">IF(ISBLANK(customer_churn_dataset!L678),0,MAX(0,customer_churn_dataset!L678))</f>
        <v>1</v>
      </c>
      <c r="M678" s="7" t="n">
        <f aca="false">IF(ISBLANK(customer_churn_dataset!M678),0,customer_churn_dataset!M678)</f>
        <v>0</v>
      </c>
      <c r="N678" s="7" t="n">
        <f aca="false">IF(ISBLANK(customer_churn_dataset!N678),0,MAX(0,customer_churn_dataset!N678))</f>
        <v>19.06</v>
      </c>
      <c r="O678" s="7" t="n">
        <f aca="false">IF(ISBLANK(customer_churn_dataset!O678),0,customer_churn_dataset!O678)</f>
        <v>0</v>
      </c>
      <c r="P678" s="7" t="str">
        <f aca="false">IF(COUNTIF(customer_churn_dataset!$A$2:$A$1501,customer_churn_dataset!A678)&gt;1,"Duplicate","Unique")</f>
        <v>Unique</v>
      </c>
    </row>
    <row r="679" customFormat="false" ht="14.15" hidden="false" customHeight="true" outlineLevel="0" collapsed="false">
      <c r="A679" s="7" t="str">
        <f aca="false">TRIM(customer_churn_dataset!A679)</f>
        <v>CUST101291</v>
      </c>
      <c r="B679" s="7" t="str">
        <f aca="false">PROPER(TRIM(customer_churn_dataset!B679))</f>
        <v>Basic</v>
      </c>
      <c r="C679" s="7" t="str">
        <f aca="false">PROPER(TRIM(customer_churn_dataset!C679))</f>
        <v>Month-To-Month</v>
      </c>
      <c r="D679" s="7" t="n">
        <f aca="false">IF(ISBLANK(customer_churn_dataset!D679),ROUND(MEDIAN(customer_churn_dataset!D$2:D$1501),2),IF(customer_churn_dataset!D679&lt;0,ABS(customer_churn_dataset!D679),customer_churn_dataset!D679))</f>
        <v>9.16</v>
      </c>
      <c r="E679" s="7" t="n">
        <f aca="false">IF(ISBLANK(customer_churn_dataset!E679),0,MAX(0,customer_churn_dataset!E679))</f>
        <v>28</v>
      </c>
      <c r="F679" s="8" t="n">
        <f aca="false">IF(ISBLANK(customer_churn_dataset!F679),"",customer_churn_dataset!F679)</f>
        <v>44743</v>
      </c>
      <c r="G679" s="7" t="str">
        <f aca="false">PROPER(TRIM(customer_churn_dataset!G679))</f>
        <v>Paypal</v>
      </c>
      <c r="H679" s="7" t="n">
        <f aca="false">IF(ISBLANK(customer_churn_dataset!H679),0,customer_churn_dataset!H679)</f>
        <v>1</v>
      </c>
      <c r="I679" s="7" t="n">
        <f aca="false">IF(ISBLANK(customer_churn_dataset!I679),ROUND(MEDIAN(customer_churn_dataset!I$2:I$1501),1),MIN(100,MAX(0,customer_churn_dataset!I679)))</f>
        <v>39.5</v>
      </c>
      <c r="J679" s="7" t="n">
        <f aca="false">IF(ISBLANK(customer_churn_dataset!J679),0,MAX(0,customer_churn_dataset!J679))</f>
        <v>15</v>
      </c>
      <c r="K679" s="7" t="n">
        <f aca="false">IF(ISBLANK(customer_churn_dataset!K679),0,MIN(10,MAX(0,customer_churn_dataset!K679)))</f>
        <v>4</v>
      </c>
      <c r="L679" s="7" t="n">
        <f aca="false">IF(ISBLANK(customer_churn_dataset!L679),0,MAX(0,customer_churn_dataset!L679))</f>
        <v>3</v>
      </c>
      <c r="M679" s="7" t="n">
        <f aca="false">IF(ISBLANK(customer_churn_dataset!M679),0,customer_churn_dataset!M679)</f>
        <v>1</v>
      </c>
      <c r="N679" s="7" t="n">
        <f aca="false">IF(ISBLANK(customer_churn_dataset!N679),0,MAX(0,customer_churn_dataset!N679))</f>
        <v>256.48</v>
      </c>
      <c r="O679" s="7" t="n">
        <f aca="false">IF(ISBLANK(customer_churn_dataset!O679),0,customer_churn_dataset!O679)</f>
        <v>1</v>
      </c>
      <c r="P679" s="7" t="str">
        <f aca="false">IF(COUNTIF(customer_churn_dataset!$A$2:$A$1501,customer_churn_dataset!A679)&gt;1,"Duplicate","Unique")</f>
        <v>Unique</v>
      </c>
    </row>
    <row r="680" customFormat="false" ht="14.15" hidden="false" customHeight="true" outlineLevel="0" collapsed="false">
      <c r="A680" s="7" t="str">
        <f aca="false">TRIM(customer_churn_dataset!A680)</f>
        <v>CUST101118</v>
      </c>
      <c r="B680" s="7" t="str">
        <f aca="false">PROPER(TRIM(customer_churn_dataset!B680))</f>
        <v>Basic</v>
      </c>
      <c r="C680" s="7" t="str">
        <f aca="false">PROPER(TRIM(customer_churn_dataset!C680))</f>
        <v>Month-To-Month</v>
      </c>
      <c r="D680" s="7" t="n">
        <f aca="false">IF(ISBLANK(customer_churn_dataset!D680),ROUND(MEDIAN(customer_churn_dataset!D$2:D$1501),2),IF(customer_churn_dataset!D680&lt;0,ABS(customer_churn_dataset!D680),customer_churn_dataset!D680))</f>
        <v>10.66</v>
      </c>
      <c r="E680" s="7" t="n">
        <f aca="false">IF(ISBLANK(customer_churn_dataset!E680),0,MAX(0,customer_churn_dataset!E680))</f>
        <v>3</v>
      </c>
      <c r="F680" s="8" t="n">
        <f aca="false">IF(ISBLANK(customer_churn_dataset!F680),"",customer_churn_dataset!F680)</f>
        <v>44743</v>
      </c>
      <c r="G680" s="7" t="str">
        <f aca="false">PROPER(TRIM(customer_churn_dataset!G680))</f>
        <v>Credit Card</v>
      </c>
      <c r="H680" s="7" t="n">
        <f aca="false">IF(ISBLANK(customer_churn_dataset!H680),0,customer_churn_dataset!H680)</f>
        <v>0</v>
      </c>
      <c r="I680" s="7" t="n">
        <f aca="false">IF(ISBLANK(customer_churn_dataset!I680),ROUND(MEDIAN(customer_churn_dataset!I$2:I$1501),1),MIN(100,MAX(0,customer_churn_dataset!I680)))</f>
        <v>62.1</v>
      </c>
      <c r="J680" s="7" t="n">
        <f aca="false">IF(ISBLANK(customer_churn_dataset!J680),0,MAX(0,customer_churn_dataset!J680))</f>
        <v>21</v>
      </c>
      <c r="K680" s="7" t="n">
        <f aca="false">IF(ISBLANK(customer_churn_dataset!K680),0,MIN(10,MAX(0,customer_churn_dataset!K680)))</f>
        <v>8</v>
      </c>
      <c r="L680" s="7" t="n">
        <f aca="false">IF(ISBLANK(customer_churn_dataset!L680),0,MAX(0,customer_churn_dataset!L680))</f>
        <v>5</v>
      </c>
      <c r="M680" s="7" t="n">
        <f aca="false">IF(ISBLANK(customer_churn_dataset!M680),0,customer_churn_dataset!M680)</f>
        <v>1</v>
      </c>
      <c r="N680" s="7" t="n">
        <f aca="false">IF(ISBLANK(customer_churn_dataset!N680),0,MAX(0,customer_churn_dataset!N680))</f>
        <v>31.98</v>
      </c>
      <c r="O680" s="7" t="n">
        <f aca="false">IF(ISBLANK(customer_churn_dataset!O680),0,customer_churn_dataset!O680)</f>
        <v>0</v>
      </c>
      <c r="P680" s="7" t="str">
        <f aca="false">IF(COUNTIF(customer_churn_dataset!$A$2:$A$1501,customer_churn_dataset!A680)&gt;1,"Duplicate","Unique")</f>
        <v>Unique</v>
      </c>
    </row>
    <row r="681" customFormat="false" ht="14.15" hidden="false" customHeight="true" outlineLevel="0" collapsed="false">
      <c r="A681" s="7" t="str">
        <f aca="false">TRIM(customer_churn_dataset!A681)</f>
        <v>CUST100156</v>
      </c>
      <c r="B681" s="7" t="str">
        <f aca="false">PROPER(TRIM(customer_churn_dataset!B681))</f>
        <v>Standard</v>
      </c>
      <c r="C681" s="7" t="str">
        <f aca="false">PROPER(TRIM(customer_churn_dataset!C681))</f>
        <v>Month-To-Month</v>
      </c>
      <c r="D681" s="7" t="n">
        <f aca="false">IF(ISBLANK(customer_churn_dataset!D681),ROUND(MEDIAN(customer_churn_dataset!D$2:D$1501),2),IF(customer_churn_dataset!D681&lt;0,ABS(customer_churn_dataset!D681),customer_churn_dataset!D681))</f>
        <v>18.92</v>
      </c>
      <c r="E681" s="7" t="n">
        <f aca="false">IF(ISBLANK(customer_churn_dataset!E681),0,MAX(0,customer_churn_dataset!E681))</f>
        <v>67</v>
      </c>
      <c r="F681" s="8" t="n">
        <f aca="false">IF(ISBLANK(customer_churn_dataset!F681),"",customer_churn_dataset!F681)</f>
        <v>44744</v>
      </c>
      <c r="G681" s="7" t="str">
        <f aca="false">PROPER(TRIM(customer_churn_dataset!G681))</f>
        <v>Bank Transfer</v>
      </c>
      <c r="H681" s="7" t="n">
        <f aca="false">IF(ISBLANK(customer_churn_dataset!H681),0,customer_churn_dataset!H681)</f>
        <v>1</v>
      </c>
      <c r="I681" s="7" t="n">
        <f aca="false">IF(ISBLANK(customer_churn_dataset!I681),ROUND(MEDIAN(customer_churn_dataset!I$2:I$1501),1),MIN(100,MAX(0,customer_churn_dataset!I681)))</f>
        <v>97.9</v>
      </c>
      <c r="J681" s="7" t="n">
        <f aca="false">IF(ISBLANK(customer_churn_dataset!J681),0,MAX(0,customer_churn_dataset!J681))</f>
        <v>25</v>
      </c>
      <c r="K681" s="7" t="n">
        <f aca="false">IF(ISBLANK(customer_churn_dataset!K681),0,MIN(10,MAX(0,customer_churn_dataset!K681)))</f>
        <v>10</v>
      </c>
      <c r="L681" s="7" t="n">
        <f aca="false">IF(ISBLANK(customer_churn_dataset!L681),0,MAX(0,customer_churn_dataset!L681))</f>
        <v>0</v>
      </c>
      <c r="M681" s="7" t="n">
        <f aca="false">IF(ISBLANK(customer_churn_dataset!M681),0,customer_churn_dataset!M681)</f>
        <v>0</v>
      </c>
      <c r="N681" s="7" t="n">
        <f aca="false">IF(ISBLANK(customer_churn_dataset!N681),0,MAX(0,customer_churn_dataset!N681))</f>
        <v>1267.64</v>
      </c>
      <c r="O681" s="7" t="n">
        <f aca="false">IF(ISBLANK(customer_churn_dataset!O681),0,customer_churn_dataset!O681)</f>
        <v>0</v>
      </c>
      <c r="P681" s="7" t="str">
        <f aca="false">IF(COUNTIF(customer_churn_dataset!$A$2:$A$1501,customer_churn_dataset!A681)&gt;1,"Duplicate","Unique")</f>
        <v>Unique</v>
      </c>
    </row>
    <row r="682" customFormat="false" ht="14.15" hidden="false" customHeight="true" outlineLevel="0" collapsed="false">
      <c r="A682" s="7" t="str">
        <f aca="false">TRIM(customer_churn_dataset!A682)</f>
        <v>CUST100462</v>
      </c>
      <c r="B682" s="7" t="str">
        <f aca="false">PROPER(TRIM(customer_churn_dataset!B682))</f>
        <v>Standard</v>
      </c>
      <c r="C682" s="7" t="str">
        <f aca="false">PROPER(TRIM(customer_churn_dataset!C682))</f>
        <v>One Year</v>
      </c>
      <c r="D682" s="7" t="n">
        <f aca="false">IF(ISBLANK(customer_churn_dataset!D682),ROUND(MEDIAN(customer_churn_dataset!D$2:D$1501),2),IF(customer_churn_dataset!D682&lt;0,ABS(customer_churn_dataset!D682),customer_churn_dataset!D682))</f>
        <v>20.91</v>
      </c>
      <c r="E682" s="7" t="n">
        <f aca="false">IF(ISBLANK(customer_churn_dataset!E682),0,MAX(0,customer_churn_dataset!E682))</f>
        <v>12</v>
      </c>
      <c r="F682" s="8" t="n">
        <f aca="false">IF(ISBLANK(customer_churn_dataset!F682),"",customer_churn_dataset!F682)</f>
        <v>44746</v>
      </c>
      <c r="G682" s="7" t="str">
        <f aca="false">PROPER(TRIM(customer_churn_dataset!G682))</f>
        <v>Paypal</v>
      </c>
      <c r="H682" s="7" t="n">
        <f aca="false">IF(ISBLANK(customer_churn_dataset!H682),0,customer_churn_dataset!H682)</f>
        <v>1</v>
      </c>
      <c r="I682" s="7" t="n">
        <f aca="false">IF(ISBLANK(customer_churn_dataset!I682),ROUND(MEDIAN(customer_churn_dataset!I$2:I$1501),1),MIN(100,MAX(0,customer_churn_dataset!I682)))</f>
        <v>72.3</v>
      </c>
      <c r="J682" s="7" t="n">
        <f aca="false">IF(ISBLANK(customer_churn_dataset!J682),0,MAX(0,customer_churn_dataset!J682))</f>
        <v>25</v>
      </c>
      <c r="K682" s="7" t="n">
        <f aca="false">IF(ISBLANK(customer_churn_dataset!K682),0,MIN(10,MAX(0,customer_churn_dataset!K682)))</f>
        <v>7</v>
      </c>
      <c r="L682" s="7" t="n">
        <f aca="false">IF(ISBLANK(customer_churn_dataset!L682),0,MAX(0,customer_churn_dataset!L682))</f>
        <v>1</v>
      </c>
      <c r="M682" s="7" t="n">
        <f aca="false">IF(ISBLANK(customer_churn_dataset!M682),0,customer_churn_dataset!M682)</f>
        <v>1</v>
      </c>
      <c r="N682" s="7" t="n">
        <f aca="false">IF(ISBLANK(customer_churn_dataset!N682),0,MAX(0,customer_churn_dataset!N682))</f>
        <v>250.92</v>
      </c>
      <c r="O682" s="7" t="n">
        <f aca="false">IF(ISBLANK(customer_churn_dataset!O682),0,customer_churn_dataset!O682)</f>
        <v>0</v>
      </c>
      <c r="P682" s="7" t="str">
        <f aca="false">IF(COUNTIF(customer_churn_dataset!$A$2:$A$1501,customer_churn_dataset!A682)&gt;1,"Duplicate","Unique")</f>
        <v>Unique</v>
      </c>
    </row>
    <row r="683" customFormat="false" ht="14.15" hidden="false" customHeight="true" outlineLevel="0" collapsed="false">
      <c r="A683" s="7" t="str">
        <f aca="false">TRIM(customer_churn_dataset!A683)</f>
        <v>CUST100473</v>
      </c>
      <c r="B683" s="7" t="str">
        <f aca="false">PROPER(TRIM(customer_churn_dataset!B683))</f>
        <v>Premium</v>
      </c>
      <c r="C683" s="7" t="str">
        <f aca="false">PROPER(TRIM(customer_churn_dataset!C683))</f>
        <v>One Year</v>
      </c>
      <c r="D683" s="7" t="n">
        <f aca="false">IF(ISBLANK(customer_churn_dataset!D683),ROUND(MEDIAN(customer_churn_dataset!D$2:D$1501),2),IF(customer_churn_dataset!D683&lt;0,ABS(customer_churn_dataset!D683),customer_churn_dataset!D683))</f>
        <v>41.02</v>
      </c>
      <c r="E683" s="7" t="n">
        <f aca="false">IF(ISBLANK(customer_churn_dataset!E683),0,MAX(0,customer_churn_dataset!E683))</f>
        <v>0</v>
      </c>
      <c r="F683" s="8" t="n">
        <f aca="false">IF(ISBLANK(customer_churn_dataset!F683),"",customer_churn_dataset!F683)</f>
        <v>44748</v>
      </c>
      <c r="G683" s="7" t="str">
        <f aca="false">PROPER(TRIM(customer_churn_dataset!G683))</f>
        <v>Manual/Invoice</v>
      </c>
      <c r="H683" s="7" t="n">
        <f aca="false">IF(ISBLANK(customer_churn_dataset!H683),0,customer_churn_dataset!H683)</f>
        <v>1</v>
      </c>
      <c r="I683" s="7" t="n">
        <f aca="false">IF(ISBLANK(customer_churn_dataset!I683),ROUND(MEDIAN(customer_churn_dataset!I$2:I$1501),1),MIN(100,MAX(0,customer_churn_dataset!I683)))</f>
        <v>57.5</v>
      </c>
      <c r="J683" s="7" t="n">
        <f aca="false">IF(ISBLANK(customer_churn_dataset!J683),0,MAX(0,customer_churn_dataset!J683))</f>
        <v>14</v>
      </c>
      <c r="K683" s="7" t="n">
        <f aca="false">IF(ISBLANK(customer_churn_dataset!K683),0,MIN(10,MAX(0,customer_churn_dataset!K683)))</f>
        <v>3</v>
      </c>
      <c r="L683" s="7" t="n">
        <f aca="false">IF(ISBLANK(customer_churn_dataset!L683),0,MAX(0,customer_churn_dataset!L683))</f>
        <v>1</v>
      </c>
      <c r="M683" s="7" t="n">
        <f aca="false">IF(ISBLANK(customer_churn_dataset!M683),0,customer_churn_dataset!M683)</f>
        <v>0</v>
      </c>
      <c r="N683" s="7" t="n">
        <f aca="false">IF(ISBLANK(customer_churn_dataset!N683),0,MAX(0,customer_churn_dataset!N683))</f>
        <v>0</v>
      </c>
      <c r="O683" s="7" t="n">
        <f aca="false">IF(ISBLANK(customer_churn_dataset!O683),0,customer_churn_dataset!O683)</f>
        <v>0</v>
      </c>
      <c r="P683" s="7" t="str">
        <f aca="false">IF(COUNTIF(customer_churn_dataset!$A$2:$A$1501,customer_churn_dataset!A683)&gt;1,"Duplicate","Unique")</f>
        <v>Unique</v>
      </c>
    </row>
    <row r="684" customFormat="false" ht="14.15" hidden="false" customHeight="true" outlineLevel="0" collapsed="false">
      <c r="A684" s="7" t="str">
        <f aca="false">TRIM(customer_churn_dataset!A684)</f>
        <v>CUST100288</v>
      </c>
      <c r="B684" s="7" t="str">
        <f aca="false">PROPER(TRIM(customer_churn_dataset!B684))</f>
        <v>Basic</v>
      </c>
      <c r="C684" s="7" t="str">
        <f aca="false">PROPER(TRIM(customer_churn_dataset!C684))</f>
        <v>Month-To-Month</v>
      </c>
      <c r="D684" s="7" t="n">
        <f aca="false">IF(ISBLANK(customer_churn_dataset!D684),ROUND(MEDIAN(customer_churn_dataset!D$2:D$1501),2),IF(customer_churn_dataset!D684&lt;0,ABS(customer_churn_dataset!D684),customer_churn_dataset!D684))</f>
        <v>11.23</v>
      </c>
      <c r="E684" s="7" t="n">
        <f aca="false">IF(ISBLANK(customer_churn_dataset!E684),0,MAX(0,customer_churn_dataset!E684))</f>
        <v>24</v>
      </c>
      <c r="F684" s="8" t="n">
        <f aca="false">IF(ISBLANK(customer_churn_dataset!F684),"",customer_churn_dataset!F684)</f>
        <v>44751</v>
      </c>
      <c r="G684" s="7" t="str">
        <f aca="false">PROPER(TRIM(customer_churn_dataset!G684))</f>
        <v>Credit Card</v>
      </c>
      <c r="H684" s="7" t="n">
        <f aca="false">IF(ISBLANK(customer_churn_dataset!H684),0,customer_churn_dataset!H684)</f>
        <v>1</v>
      </c>
      <c r="I684" s="7" t="n">
        <f aca="false">IF(ISBLANK(customer_churn_dataset!I684),ROUND(MEDIAN(customer_churn_dataset!I$2:I$1501),1),MIN(100,MAX(0,customer_churn_dataset!I684)))</f>
        <v>63</v>
      </c>
      <c r="J684" s="7" t="n">
        <f aca="false">IF(ISBLANK(customer_churn_dataset!J684),0,MAX(0,customer_churn_dataset!J684))</f>
        <v>20</v>
      </c>
      <c r="K684" s="7" t="n">
        <f aca="false">IF(ISBLANK(customer_churn_dataset!K684),0,MIN(10,MAX(0,customer_churn_dataset!K684)))</f>
        <v>6</v>
      </c>
      <c r="L684" s="7" t="n">
        <f aca="false">IF(ISBLANK(customer_churn_dataset!L684),0,MAX(0,customer_churn_dataset!L684))</f>
        <v>1</v>
      </c>
      <c r="M684" s="7" t="n">
        <f aca="false">IF(ISBLANK(customer_churn_dataset!M684),0,customer_churn_dataset!M684)</f>
        <v>0</v>
      </c>
      <c r="N684" s="7" t="n">
        <f aca="false">IF(ISBLANK(customer_churn_dataset!N684),0,MAX(0,customer_churn_dataset!N684))</f>
        <v>269.52</v>
      </c>
      <c r="O684" s="7" t="n">
        <f aca="false">IF(ISBLANK(customer_churn_dataset!O684),0,customer_churn_dataset!O684)</f>
        <v>0</v>
      </c>
      <c r="P684" s="7" t="str">
        <f aca="false">IF(COUNTIF(customer_churn_dataset!$A$2:$A$1501,customer_churn_dataset!A684)&gt;1,"Duplicate","Unique")</f>
        <v>Unique</v>
      </c>
    </row>
    <row r="685" customFormat="false" ht="14.15" hidden="false" customHeight="true" outlineLevel="0" collapsed="false">
      <c r="A685" s="7" t="str">
        <f aca="false">TRIM(customer_churn_dataset!A685)</f>
        <v>CUST101498</v>
      </c>
      <c r="B685" s="7" t="str">
        <f aca="false">PROPER(TRIM(customer_churn_dataset!B685))</f>
        <v>Basic</v>
      </c>
      <c r="C685" s="7" t="str">
        <f aca="false">PROPER(TRIM(customer_churn_dataset!C685))</f>
        <v>Month-To-Month</v>
      </c>
      <c r="D685" s="7" t="n">
        <f aca="false">IF(ISBLANK(customer_churn_dataset!D685),ROUND(MEDIAN(customer_churn_dataset!D$2:D$1501),2),IF(customer_churn_dataset!D685&lt;0,ABS(customer_churn_dataset!D685),customer_churn_dataset!D685))</f>
        <v>10.16</v>
      </c>
      <c r="E685" s="7" t="n">
        <f aca="false">IF(ISBLANK(customer_churn_dataset!E685),0,MAX(0,customer_churn_dataset!E685))</f>
        <v>13</v>
      </c>
      <c r="F685" s="8" t="n">
        <f aca="false">IF(ISBLANK(customer_churn_dataset!F685),"",customer_churn_dataset!F685)</f>
        <v>44752</v>
      </c>
      <c r="G685" s="7" t="str">
        <f aca="false">PROPER(TRIM(customer_churn_dataset!G685))</f>
        <v>Credit Card</v>
      </c>
      <c r="H685" s="7" t="n">
        <f aca="false">IF(ISBLANK(customer_churn_dataset!H685),0,customer_churn_dataset!H685)</f>
        <v>1</v>
      </c>
      <c r="I685" s="7" t="n">
        <f aca="false">IF(ISBLANK(customer_churn_dataset!I685),ROUND(MEDIAN(customer_churn_dataset!I$2:I$1501),1),MIN(100,MAX(0,customer_churn_dataset!I685)))</f>
        <v>63.9</v>
      </c>
      <c r="J685" s="7" t="n">
        <f aca="false">IF(ISBLANK(customer_churn_dataset!J685),0,MAX(0,customer_churn_dataset!J685))</f>
        <v>9</v>
      </c>
      <c r="K685" s="7" t="n">
        <f aca="false">IF(ISBLANK(customer_churn_dataset!K685),0,MIN(10,MAX(0,customer_churn_dataset!K685)))</f>
        <v>7</v>
      </c>
      <c r="L685" s="7" t="n">
        <f aca="false">IF(ISBLANK(customer_churn_dataset!L685),0,MAX(0,customer_churn_dataset!L685))</f>
        <v>2</v>
      </c>
      <c r="M685" s="7" t="n">
        <f aca="false">IF(ISBLANK(customer_churn_dataset!M685),0,customer_churn_dataset!M685)</f>
        <v>1</v>
      </c>
      <c r="N685" s="7" t="n">
        <f aca="false">IF(ISBLANK(customer_churn_dataset!N685),0,MAX(0,customer_churn_dataset!N685))</f>
        <v>132.08</v>
      </c>
      <c r="O685" s="7" t="n">
        <f aca="false">IF(ISBLANK(customer_churn_dataset!O685),0,customer_churn_dataset!O685)</f>
        <v>1</v>
      </c>
      <c r="P685" s="7" t="str">
        <f aca="false">IF(COUNTIF(customer_churn_dataset!$A$2:$A$1501,customer_churn_dataset!A685)&gt;1,"Duplicate","Unique")</f>
        <v>Unique</v>
      </c>
    </row>
    <row r="686" customFormat="false" ht="14.15" hidden="false" customHeight="true" outlineLevel="0" collapsed="false">
      <c r="A686" s="7" t="str">
        <f aca="false">TRIM(customer_churn_dataset!A686)</f>
        <v>CUST100029</v>
      </c>
      <c r="B686" s="7" t="str">
        <f aca="false">PROPER(TRIM(customer_churn_dataset!B686))</f>
        <v>Basic</v>
      </c>
      <c r="C686" s="7" t="str">
        <f aca="false">PROPER(TRIM(customer_churn_dataset!C686))</f>
        <v>Two Year</v>
      </c>
      <c r="D686" s="7" t="n">
        <f aca="false">IF(ISBLANK(customer_churn_dataset!D686),ROUND(MEDIAN(customer_churn_dataset!D$2:D$1501),2),IF(customer_churn_dataset!D686&lt;0,ABS(customer_churn_dataset!D686),customer_churn_dataset!D686))</f>
        <v>9.02</v>
      </c>
      <c r="E686" s="7" t="n">
        <f aca="false">IF(ISBLANK(customer_churn_dataset!E686),0,MAX(0,customer_churn_dataset!E686))</f>
        <v>1</v>
      </c>
      <c r="F686" s="8" t="n">
        <f aca="false">IF(ISBLANK(customer_churn_dataset!F686),"",customer_churn_dataset!F686)</f>
        <v>44752</v>
      </c>
      <c r="G686" s="7" t="str">
        <f aca="false">PROPER(TRIM(customer_churn_dataset!G686))</f>
        <v>Credit Card</v>
      </c>
      <c r="H686" s="7" t="n">
        <f aca="false">IF(ISBLANK(customer_churn_dataset!H686),0,customer_churn_dataset!H686)</f>
        <v>1</v>
      </c>
      <c r="I686" s="7" t="n">
        <f aca="false">IF(ISBLANK(customer_churn_dataset!I686),ROUND(MEDIAN(customer_churn_dataset!I$2:I$1501),1),MIN(100,MAX(0,customer_churn_dataset!I686)))</f>
        <v>42.4</v>
      </c>
      <c r="J686" s="7" t="n">
        <f aca="false">IF(ISBLANK(customer_churn_dataset!J686),0,MAX(0,customer_churn_dataset!J686))</f>
        <v>13</v>
      </c>
      <c r="K686" s="7" t="n">
        <f aca="false">IF(ISBLANK(customer_churn_dataset!K686),0,MIN(10,MAX(0,customer_churn_dataset!K686)))</f>
        <v>4</v>
      </c>
      <c r="L686" s="7" t="n">
        <f aca="false">IF(ISBLANK(customer_churn_dataset!L686),0,MAX(0,customer_churn_dataset!L686))</f>
        <v>1</v>
      </c>
      <c r="M686" s="7" t="n">
        <f aca="false">IF(ISBLANK(customer_churn_dataset!M686),0,customer_churn_dataset!M686)</f>
        <v>1</v>
      </c>
      <c r="N686" s="7" t="n">
        <f aca="false">IF(ISBLANK(customer_churn_dataset!N686),0,MAX(0,customer_churn_dataset!N686))</f>
        <v>9.02</v>
      </c>
      <c r="O686" s="7" t="n">
        <f aca="false">IF(ISBLANK(customer_churn_dataset!O686),0,customer_churn_dataset!O686)</f>
        <v>0</v>
      </c>
      <c r="P686" s="7" t="str">
        <f aca="false">IF(COUNTIF(customer_churn_dataset!$A$2:$A$1501,customer_churn_dataset!A686)&gt;1,"Duplicate","Unique")</f>
        <v>Unique</v>
      </c>
    </row>
    <row r="687" customFormat="false" ht="14.15" hidden="false" customHeight="true" outlineLevel="0" collapsed="false">
      <c r="A687" s="7" t="str">
        <f aca="false">TRIM(customer_churn_dataset!A687)</f>
        <v>CUST100974</v>
      </c>
      <c r="B687" s="7" t="str">
        <f aca="false">PROPER(TRIM(customer_churn_dataset!B687))</f>
        <v>Basic</v>
      </c>
      <c r="C687" s="7" t="str">
        <f aca="false">PROPER(TRIM(customer_churn_dataset!C687))</f>
        <v>Month-To-Month</v>
      </c>
      <c r="D687" s="7" t="n">
        <f aca="false">IF(ISBLANK(customer_churn_dataset!D687),ROUND(MEDIAN(customer_churn_dataset!D$2:D$1501),2),IF(customer_churn_dataset!D687&lt;0,ABS(customer_churn_dataset!D687),customer_churn_dataset!D687))</f>
        <v>9.64</v>
      </c>
      <c r="E687" s="7" t="n">
        <f aca="false">IF(ISBLANK(customer_churn_dataset!E687),0,MAX(0,customer_churn_dataset!E687))</f>
        <v>11</v>
      </c>
      <c r="F687" s="8" t="n">
        <f aca="false">IF(ISBLANK(customer_churn_dataset!F687),"",customer_churn_dataset!F687)</f>
        <v>44752</v>
      </c>
      <c r="G687" s="7" t="str">
        <f aca="false">PROPER(TRIM(customer_churn_dataset!G687))</f>
        <v>Manual/Invoice</v>
      </c>
      <c r="H687" s="7" t="n">
        <f aca="false">IF(ISBLANK(customer_churn_dataset!H687),0,customer_churn_dataset!H687)</f>
        <v>1</v>
      </c>
      <c r="I687" s="7" t="n">
        <f aca="false">IF(ISBLANK(customer_churn_dataset!I687),ROUND(MEDIAN(customer_churn_dataset!I$2:I$1501),1),MIN(100,MAX(0,customer_churn_dataset!I687)))</f>
        <v>82.5</v>
      </c>
      <c r="J687" s="7" t="n">
        <f aca="false">IF(ISBLANK(customer_churn_dataset!J687),0,MAX(0,customer_churn_dataset!J687))</f>
        <v>23</v>
      </c>
      <c r="K687" s="7" t="n">
        <f aca="false">IF(ISBLANK(customer_churn_dataset!K687),0,MIN(10,MAX(0,customer_churn_dataset!K687)))</f>
        <v>7</v>
      </c>
      <c r="L687" s="7" t="n">
        <f aca="false">IF(ISBLANK(customer_churn_dataset!L687),0,MAX(0,customer_churn_dataset!L687))</f>
        <v>1</v>
      </c>
      <c r="M687" s="7" t="n">
        <f aca="false">IF(ISBLANK(customer_churn_dataset!M687),0,customer_churn_dataset!M687)</f>
        <v>0</v>
      </c>
      <c r="N687" s="7" t="n">
        <f aca="false">IF(ISBLANK(customer_churn_dataset!N687),0,MAX(0,customer_churn_dataset!N687))</f>
        <v>106.04</v>
      </c>
      <c r="O687" s="7" t="n">
        <f aca="false">IF(ISBLANK(customer_churn_dataset!O687),0,customer_churn_dataset!O687)</f>
        <v>1</v>
      </c>
      <c r="P687" s="7" t="str">
        <f aca="false">IF(COUNTIF(customer_churn_dataset!$A$2:$A$1501,customer_churn_dataset!A687)&gt;1,"Duplicate","Unique")</f>
        <v>Unique</v>
      </c>
    </row>
    <row r="688" customFormat="false" ht="14.15" hidden="false" customHeight="true" outlineLevel="0" collapsed="false">
      <c r="A688" s="7" t="str">
        <f aca="false">TRIM(customer_churn_dataset!A688)</f>
        <v>CUST101116</v>
      </c>
      <c r="B688" s="7" t="str">
        <f aca="false">PROPER(TRIM(customer_churn_dataset!B688))</f>
        <v>Basic</v>
      </c>
      <c r="C688" s="7" t="str">
        <f aca="false">PROPER(TRIM(customer_churn_dataset!C688))</f>
        <v>One Year</v>
      </c>
      <c r="D688" s="7" t="n">
        <f aca="false">IF(ISBLANK(customer_churn_dataset!D688),ROUND(MEDIAN(customer_churn_dataset!D$2:D$1501),2),IF(customer_churn_dataset!D688&lt;0,ABS(customer_churn_dataset!D688),customer_churn_dataset!D688))</f>
        <v>10.67</v>
      </c>
      <c r="E688" s="7" t="n">
        <f aca="false">IF(ISBLANK(customer_churn_dataset!E688),0,MAX(0,customer_churn_dataset!E688))</f>
        <v>71</v>
      </c>
      <c r="F688" s="8" t="n">
        <f aca="false">IF(ISBLANK(customer_churn_dataset!F688),"",customer_churn_dataset!F688)</f>
        <v>44754</v>
      </c>
      <c r="G688" s="7" t="str">
        <f aca="false">PROPER(TRIM(customer_churn_dataset!G688))</f>
        <v>Credit Card</v>
      </c>
      <c r="H688" s="7" t="n">
        <f aca="false">IF(ISBLANK(customer_churn_dataset!H688),0,customer_churn_dataset!H688)</f>
        <v>1</v>
      </c>
      <c r="I688" s="7" t="n">
        <f aca="false">IF(ISBLANK(customer_churn_dataset!I688),ROUND(MEDIAN(customer_churn_dataset!I$2:I$1501),1),MIN(100,MAX(0,customer_churn_dataset!I688)))</f>
        <v>36.4</v>
      </c>
      <c r="J688" s="7" t="n">
        <f aca="false">IF(ISBLANK(customer_churn_dataset!J688),0,MAX(0,customer_churn_dataset!J688))</f>
        <v>10</v>
      </c>
      <c r="K688" s="7" t="n">
        <f aca="false">IF(ISBLANK(customer_churn_dataset!K688),0,MIN(10,MAX(0,customer_churn_dataset!K688)))</f>
        <v>5</v>
      </c>
      <c r="L688" s="7" t="n">
        <f aca="false">IF(ISBLANK(customer_churn_dataset!L688),0,MAX(0,customer_churn_dataset!L688))</f>
        <v>1</v>
      </c>
      <c r="M688" s="7" t="n">
        <f aca="false">IF(ISBLANK(customer_churn_dataset!M688),0,customer_churn_dataset!M688)</f>
        <v>0</v>
      </c>
      <c r="N688" s="7" t="n">
        <f aca="false">IF(ISBLANK(customer_churn_dataset!N688),0,MAX(0,customer_churn_dataset!N688))</f>
        <v>757.57</v>
      </c>
      <c r="O688" s="7" t="n">
        <f aca="false">IF(ISBLANK(customer_churn_dataset!O688),0,customer_churn_dataset!O688)</f>
        <v>0</v>
      </c>
      <c r="P688" s="7" t="str">
        <f aca="false">IF(COUNTIF(customer_churn_dataset!$A$2:$A$1501,customer_churn_dataset!A688)&gt;1,"Duplicate","Unique")</f>
        <v>Unique</v>
      </c>
    </row>
    <row r="689" customFormat="false" ht="14.15" hidden="false" customHeight="true" outlineLevel="0" collapsed="false">
      <c r="A689" s="7" t="str">
        <f aca="false">TRIM(customer_churn_dataset!A689)</f>
        <v>CUST100727</v>
      </c>
      <c r="B689" s="7" t="str">
        <f aca="false">PROPER(TRIM(customer_churn_dataset!B689))</f>
        <v>Standard</v>
      </c>
      <c r="C689" s="7" t="str">
        <f aca="false">PROPER(TRIM(customer_churn_dataset!C689))</f>
        <v>Two Year</v>
      </c>
      <c r="D689" s="7" t="n">
        <f aca="false">IF(ISBLANK(customer_churn_dataset!D689),ROUND(MEDIAN(customer_churn_dataset!D$2:D$1501),2),IF(customer_churn_dataset!D689&lt;0,ABS(customer_churn_dataset!D689),customer_churn_dataset!D689))</f>
        <v>20.41</v>
      </c>
      <c r="E689" s="7" t="n">
        <f aca="false">IF(ISBLANK(customer_churn_dataset!E689),0,MAX(0,customer_churn_dataset!E689))</f>
        <v>72</v>
      </c>
      <c r="F689" s="8" t="n">
        <f aca="false">IF(ISBLANK(customer_churn_dataset!F689),"",customer_churn_dataset!F689)</f>
        <v>44755</v>
      </c>
      <c r="G689" s="7" t="str">
        <f aca="false">PROPER(TRIM(customer_churn_dataset!G689))</f>
        <v>Credit Card</v>
      </c>
      <c r="H689" s="7" t="n">
        <f aca="false">IF(ISBLANK(customer_churn_dataset!H689),0,customer_churn_dataset!H689)</f>
        <v>0</v>
      </c>
      <c r="I689" s="7" t="n">
        <f aca="false">IF(ISBLANK(customer_churn_dataset!I689),ROUND(MEDIAN(customer_churn_dataset!I$2:I$1501),1),MIN(100,MAX(0,customer_churn_dataset!I689)))</f>
        <v>32.4</v>
      </c>
      <c r="J689" s="7" t="n">
        <f aca="false">IF(ISBLANK(customer_churn_dataset!J689),0,MAX(0,customer_churn_dataset!J689))</f>
        <v>6</v>
      </c>
      <c r="K689" s="7" t="n">
        <f aca="false">IF(ISBLANK(customer_churn_dataset!K689),0,MIN(10,MAX(0,customer_churn_dataset!K689)))</f>
        <v>3</v>
      </c>
      <c r="L689" s="7" t="n">
        <f aca="false">IF(ISBLANK(customer_churn_dataset!L689),0,MAX(0,customer_churn_dataset!L689))</f>
        <v>1</v>
      </c>
      <c r="M689" s="7" t="n">
        <f aca="false">IF(ISBLANK(customer_churn_dataset!M689),0,customer_churn_dataset!M689)</f>
        <v>0</v>
      </c>
      <c r="N689" s="7" t="n">
        <f aca="false">IF(ISBLANK(customer_churn_dataset!N689),0,MAX(0,customer_churn_dataset!N689))</f>
        <v>1469.52</v>
      </c>
      <c r="O689" s="7" t="n">
        <f aca="false">IF(ISBLANK(customer_churn_dataset!O689),0,customer_churn_dataset!O689)</f>
        <v>0</v>
      </c>
      <c r="P689" s="7" t="str">
        <f aca="false">IF(COUNTIF(customer_churn_dataset!$A$2:$A$1501,customer_churn_dataset!A689)&gt;1,"Duplicate","Unique")</f>
        <v>Unique</v>
      </c>
    </row>
    <row r="690" customFormat="false" ht="14.15" hidden="false" customHeight="true" outlineLevel="0" collapsed="false">
      <c r="A690" s="7" t="str">
        <f aca="false">TRIM(customer_churn_dataset!A690)</f>
        <v>CUST101333</v>
      </c>
      <c r="B690" s="7" t="str">
        <f aca="false">PROPER(TRIM(customer_churn_dataset!B690))</f>
        <v>Premium</v>
      </c>
      <c r="C690" s="7" t="str">
        <f aca="false">PROPER(TRIM(customer_churn_dataset!C690))</f>
        <v>Two Year</v>
      </c>
      <c r="D690" s="7" t="n">
        <f aca="false">IF(ISBLANK(customer_churn_dataset!D690),ROUND(MEDIAN(customer_churn_dataset!D$2:D$1501),2),IF(customer_churn_dataset!D690&lt;0,ABS(customer_churn_dataset!D690),customer_churn_dataset!D690))</f>
        <v>41.43</v>
      </c>
      <c r="E690" s="7" t="n">
        <f aca="false">IF(ISBLANK(customer_churn_dataset!E690),0,MAX(0,customer_churn_dataset!E690))</f>
        <v>1</v>
      </c>
      <c r="F690" s="8" t="n">
        <f aca="false">IF(ISBLANK(customer_churn_dataset!F690),"",customer_churn_dataset!F690)</f>
        <v>44759</v>
      </c>
      <c r="G690" s="7" t="str">
        <f aca="false">PROPER(TRIM(customer_churn_dataset!G690))</f>
        <v>Credit Card</v>
      </c>
      <c r="H690" s="7" t="n">
        <f aca="false">IF(ISBLANK(customer_churn_dataset!H690),0,customer_churn_dataset!H690)</f>
        <v>1</v>
      </c>
      <c r="I690" s="7" t="n">
        <f aca="false">IF(ISBLANK(customer_churn_dataset!I690),ROUND(MEDIAN(customer_churn_dataset!I$2:I$1501),1),MIN(100,MAX(0,customer_churn_dataset!I690)))</f>
        <v>46.2</v>
      </c>
      <c r="J690" s="7" t="n">
        <f aca="false">IF(ISBLANK(customer_churn_dataset!J690),0,MAX(0,customer_churn_dataset!J690))</f>
        <v>9</v>
      </c>
      <c r="K690" s="7" t="n">
        <f aca="false">IF(ISBLANK(customer_churn_dataset!K690),0,MIN(10,MAX(0,customer_churn_dataset!K690)))</f>
        <v>6</v>
      </c>
      <c r="L690" s="7" t="n">
        <f aca="false">IF(ISBLANK(customer_churn_dataset!L690),0,MAX(0,customer_churn_dataset!L690))</f>
        <v>0</v>
      </c>
      <c r="M690" s="7" t="n">
        <f aca="false">IF(ISBLANK(customer_churn_dataset!M690),0,customer_churn_dataset!M690)</f>
        <v>0</v>
      </c>
      <c r="N690" s="7" t="n">
        <f aca="false">IF(ISBLANK(customer_churn_dataset!N690),0,MAX(0,customer_churn_dataset!N690))</f>
        <v>41.43</v>
      </c>
      <c r="O690" s="7" t="n">
        <f aca="false">IF(ISBLANK(customer_churn_dataset!O690),0,customer_churn_dataset!O690)</f>
        <v>0</v>
      </c>
      <c r="P690" s="7" t="str">
        <f aca="false">IF(COUNTIF(customer_churn_dataset!$A$2:$A$1501,customer_churn_dataset!A690)&gt;1,"Duplicate","Unique")</f>
        <v>Unique</v>
      </c>
    </row>
    <row r="691" customFormat="false" ht="14.15" hidden="false" customHeight="true" outlineLevel="0" collapsed="false">
      <c r="A691" s="7" t="str">
        <f aca="false">TRIM(customer_churn_dataset!A691)</f>
        <v>CUST100309</v>
      </c>
      <c r="B691" s="7" t="str">
        <f aca="false">PROPER(TRIM(customer_churn_dataset!B691))</f>
        <v>Basic</v>
      </c>
      <c r="C691" s="7" t="str">
        <f aca="false">PROPER(TRIM(customer_churn_dataset!C691))</f>
        <v>Month-To-Month</v>
      </c>
      <c r="D691" s="7" t="n">
        <f aca="false">IF(ISBLANK(customer_churn_dataset!D691),ROUND(MEDIAN(customer_churn_dataset!D$2:D$1501),2),IF(customer_churn_dataset!D691&lt;0,ABS(customer_churn_dataset!D691),customer_churn_dataset!D691))</f>
        <v>10.43</v>
      </c>
      <c r="E691" s="7" t="n">
        <f aca="false">IF(ISBLANK(customer_churn_dataset!E691),0,MAX(0,customer_churn_dataset!E691))</f>
        <v>37</v>
      </c>
      <c r="F691" s="8" t="n">
        <f aca="false">IF(ISBLANK(customer_churn_dataset!F691),"",customer_churn_dataset!F691)</f>
        <v>44760</v>
      </c>
      <c r="G691" s="7" t="str">
        <f aca="false">PROPER(TRIM(customer_churn_dataset!G691))</f>
        <v>Bank Transfer</v>
      </c>
      <c r="H691" s="7" t="n">
        <f aca="false">IF(ISBLANK(customer_churn_dataset!H691),0,customer_churn_dataset!H691)</f>
        <v>1</v>
      </c>
      <c r="I691" s="7" t="n">
        <f aca="false">IF(ISBLANK(customer_churn_dataset!I691),ROUND(MEDIAN(customer_churn_dataset!I$2:I$1501),1),MIN(100,MAX(0,customer_churn_dataset!I691)))</f>
        <v>83.5</v>
      </c>
      <c r="J691" s="7" t="n">
        <f aca="false">IF(ISBLANK(customer_churn_dataset!J691),0,MAX(0,customer_churn_dataset!J691))</f>
        <v>29</v>
      </c>
      <c r="K691" s="7" t="n">
        <f aca="false">IF(ISBLANK(customer_churn_dataset!K691),0,MIN(10,MAX(0,customer_churn_dataset!K691)))</f>
        <v>10</v>
      </c>
      <c r="L691" s="7" t="n">
        <f aca="false">IF(ISBLANK(customer_churn_dataset!L691),0,MAX(0,customer_churn_dataset!L691))</f>
        <v>0</v>
      </c>
      <c r="M691" s="7" t="n">
        <f aca="false">IF(ISBLANK(customer_churn_dataset!M691),0,customer_churn_dataset!M691)</f>
        <v>0</v>
      </c>
      <c r="N691" s="7" t="n">
        <f aca="false">IF(ISBLANK(customer_churn_dataset!N691),0,MAX(0,customer_churn_dataset!N691))</f>
        <v>385.91</v>
      </c>
      <c r="O691" s="7" t="n">
        <f aca="false">IF(ISBLANK(customer_churn_dataset!O691),0,customer_churn_dataset!O691)</f>
        <v>0</v>
      </c>
      <c r="P691" s="7" t="str">
        <f aca="false">IF(COUNTIF(customer_churn_dataset!$A$2:$A$1501,customer_churn_dataset!A691)&gt;1,"Duplicate","Unique")</f>
        <v>Unique</v>
      </c>
    </row>
    <row r="692" customFormat="false" ht="14.15" hidden="false" customHeight="true" outlineLevel="0" collapsed="false">
      <c r="A692" s="7" t="str">
        <f aca="false">TRIM(customer_churn_dataset!A692)</f>
        <v>CUST100729</v>
      </c>
      <c r="B692" s="7" t="str">
        <f aca="false">PROPER(TRIM(customer_churn_dataset!B692))</f>
        <v>Basic</v>
      </c>
      <c r="C692" s="7" t="str">
        <f aca="false">PROPER(TRIM(customer_churn_dataset!C692))</f>
        <v>Month-To-Month</v>
      </c>
      <c r="D692" s="7" t="n">
        <f aca="false">IF(ISBLANK(customer_churn_dataset!D692),ROUND(MEDIAN(customer_churn_dataset!D$2:D$1501),2),IF(customer_churn_dataset!D692&lt;0,ABS(customer_churn_dataset!D692),customer_churn_dataset!D692))</f>
        <v>9.98</v>
      </c>
      <c r="E692" s="7" t="n">
        <f aca="false">IF(ISBLANK(customer_churn_dataset!E692),0,MAX(0,customer_churn_dataset!E692))</f>
        <v>14</v>
      </c>
      <c r="F692" s="8" t="n">
        <f aca="false">IF(ISBLANK(customer_churn_dataset!F692),"",customer_churn_dataset!F692)</f>
        <v>44761</v>
      </c>
      <c r="G692" s="7" t="str">
        <f aca="false">PROPER(TRIM(customer_churn_dataset!G692))</f>
        <v>Paypal</v>
      </c>
      <c r="H692" s="7" t="n">
        <f aca="false">IF(ISBLANK(customer_churn_dataset!H692),0,customer_churn_dataset!H692)</f>
        <v>0</v>
      </c>
      <c r="I692" s="7" t="n">
        <f aca="false">IF(ISBLANK(customer_churn_dataset!I692),ROUND(MEDIAN(customer_churn_dataset!I$2:I$1501),1),MIN(100,MAX(0,customer_churn_dataset!I692)))</f>
        <v>33.5</v>
      </c>
      <c r="J692" s="7" t="n">
        <f aca="false">IF(ISBLANK(customer_churn_dataset!J692),0,MAX(0,customer_churn_dataset!J692))</f>
        <v>8</v>
      </c>
      <c r="K692" s="7" t="n">
        <f aca="false">IF(ISBLANK(customer_churn_dataset!K692),0,MIN(10,MAX(0,customer_churn_dataset!K692)))</f>
        <v>4</v>
      </c>
      <c r="L692" s="7" t="n">
        <f aca="false">IF(ISBLANK(customer_churn_dataset!L692),0,MAX(0,customer_churn_dataset!L692))</f>
        <v>0</v>
      </c>
      <c r="M692" s="7" t="n">
        <f aca="false">IF(ISBLANK(customer_churn_dataset!M692),0,customer_churn_dataset!M692)</f>
        <v>0</v>
      </c>
      <c r="N692" s="7" t="n">
        <f aca="false">IF(ISBLANK(customer_churn_dataset!N692),0,MAX(0,customer_churn_dataset!N692))</f>
        <v>139.72</v>
      </c>
      <c r="O692" s="7" t="n">
        <f aca="false">IF(ISBLANK(customer_churn_dataset!O692),0,customer_churn_dataset!O692)</f>
        <v>1</v>
      </c>
      <c r="P692" s="7" t="str">
        <f aca="false">IF(COUNTIF(customer_churn_dataset!$A$2:$A$1501,customer_churn_dataset!A692)&gt;1,"Duplicate","Unique")</f>
        <v>Unique</v>
      </c>
    </row>
    <row r="693" customFormat="false" ht="14.15" hidden="false" customHeight="true" outlineLevel="0" collapsed="false">
      <c r="A693" s="7" t="str">
        <f aca="false">TRIM(customer_churn_dataset!A693)</f>
        <v>CUST101378</v>
      </c>
      <c r="B693" s="7" t="str">
        <f aca="false">PROPER(TRIM(customer_churn_dataset!B693))</f>
        <v>Basic</v>
      </c>
      <c r="C693" s="7" t="str">
        <f aca="false">PROPER(TRIM(customer_churn_dataset!C693))</f>
        <v>Month-To-Month</v>
      </c>
      <c r="D693" s="7" t="n">
        <f aca="false">IF(ISBLANK(customer_churn_dataset!D693),ROUND(MEDIAN(customer_churn_dataset!D$2:D$1501),2),IF(customer_churn_dataset!D693&lt;0,ABS(customer_churn_dataset!D693),customer_churn_dataset!D693))</f>
        <v>8.74</v>
      </c>
      <c r="E693" s="7" t="n">
        <f aca="false">IF(ISBLANK(customer_churn_dataset!E693),0,MAX(0,customer_churn_dataset!E693))</f>
        <v>31</v>
      </c>
      <c r="F693" s="8" t="n">
        <f aca="false">IF(ISBLANK(customer_churn_dataset!F693),"",customer_churn_dataset!F693)</f>
        <v>44761</v>
      </c>
      <c r="G693" s="7" t="str">
        <f aca="false">PROPER(TRIM(customer_churn_dataset!G693))</f>
        <v>Paypal</v>
      </c>
      <c r="H693" s="7" t="n">
        <f aca="false">IF(ISBLANK(customer_churn_dataset!H693),0,customer_churn_dataset!H693)</f>
        <v>1</v>
      </c>
      <c r="I693" s="7" t="n">
        <f aca="false">IF(ISBLANK(customer_churn_dataset!I693),ROUND(MEDIAN(customer_churn_dataset!I$2:I$1501),1),MIN(100,MAX(0,customer_churn_dataset!I693)))</f>
        <v>43.8</v>
      </c>
      <c r="J693" s="7" t="n">
        <f aca="false">IF(ISBLANK(customer_churn_dataset!J693),0,MAX(0,customer_churn_dataset!J693))</f>
        <v>9</v>
      </c>
      <c r="K693" s="7" t="n">
        <f aca="false">IF(ISBLANK(customer_churn_dataset!K693),0,MIN(10,MAX(0,customer_churn_dataset!K693)))</f>
        <v>5</v>
      </c>
      <c r="L693" s="7" t="n">
        <f aca="false">IF(ISBLANK(customer_churn_dataset!L693),0,MAX(0,customer_churn_dataset!L693))</f>
        <v>1</v>
      </c>
      <c r="M693" s="7" t="n">
        <f aca="false">IF(ISBLANK(customer_churn_dataset!M693),0,customer_churn_dataset!M693)</f>
        <v>0</v>
      </c>
      <c r="N693" s="7" t="n">
        <f aca="false">IF(ISBLANK(customer_churn_dataset!N693),0,MAX(0,customer_churn_dataset!N693))</f>
        <v>270.94</v>
      </c>
      <c r="O693" s="7" t="n">
        <f aca="false">IF(ISBLANK(customer_churn_dataset!O693),0,customer_churn_dataset!O693)</f>
        <v>1</v>
      </c>
      <c r="P693" s="7" t="str">
        <f aca="false">IF(COUNTIF(customer_churn_dataset!$A$2:$A$1501,customer_churn_dataset!A693)&gt;1,"Duplicate","Unique")</f>
        <v>Unique</v>
      </c>
    </row>
    <row r="694" customFormat="false" ht="14.15" hidden="false" customHeight="true" outlineLevel="0" collapsed="false">
      <c r="A694" s="7" t="str">
        <f aca="false">TRIM(customer_churn_dataset!A694)</f>
        <v>CUST100579</v>
      </c>
      <c r="B694" s="7" t="str">
        <f aca="false">PROPER(TRIM(customer_churn_dataset!B694))</f>
        <v>Basic</v>
      </c>
      <c r="C694" s="7" t="str">
        <f aca="false">PROPER(TRIM(customer_churn_dataset!C694))</f>
        <v>Month-To-Month</v>
      </c>
      <c r="D694" s="7" t="n">
        <f aca="false">IF(ISBLANK(customer_churn_dataset!D694),ROUND(MEDIAN(customer_churn_dataset!D$2:D$1501),2),IF(customer_churn_dataset!D694&lt;0,ABS(customer_churn_dataset!D694),customer_churn_dataset!D694))</f>
        <v>11.7</v>
      </c>
      <c r="E694" s="7" t="n">
        <f aca="false">IF(ISBLANK(customer_churn_dataset!E694),0,MAX(0,customer_churn_dataset!E694))</f>
        <v>4</v>
      </c>
      <c r="F694" s="8" t="n">
        <f aca="false">IF(ISBLANK(customer_churn_dataset!F694),"",customer_churn_dataset!F694)</f>
        <v>44763</v>
      </c>
      <c r="G694" s="7" t="str">
        <f aca="false">PROPER(TRIM(customer_churn_dataset!G694))</f>
        <v>Bank Transfer</v>
      </c>
      <c r="H694" s="7" t="n">
        <f aca="false">IF(ISBLANK(customer_churn_dataset!H694),0,customer_churn_dataset!H694)</f>
        <v>1</v>
      </c>
      <c r="I694" s="7" t="n">
        <f aca="false">IF(ISBLANK(customer_churn_dataset!I694),ROUND(MEDIAN(customer_churn_dataset!I$2:I$1501),1),MIN(100,MAX(0,customer_churn_dataset!I694)))</f>
        <v>51.7</v>
      </c>
      <c r="J694" s="7" t="n">
        <f aca="false">IF(ISBLANK(customer_churn_dataset!J694),0,MAX(0,customer_churn_dataset!J694))</f>
        <v>20</v>
      </c>
      <c r="K694" s="7" t="n">
        <f aca="false">IF(ISBLANK(customer_churn_dataset!K694),0,MIN(10,MAX(0,customer_churn_dataset!K694)))</f>
        <v>6</v>
      </c>
      <c r="L694" s="7" t="n">
        <f aca="false">IF(ISBLANK(customer_churn_dataset!L694),0,MAX(0,customer_churn_dataset!L694))</f>
        <v>1</v>
      </c>
      <c r="M694" s="7" t="n">
        <f aca="false">IF(ISBLANK(customer_churn_dataset!M694),0,customer_churn_dataset!M694)</f>
        <v>0</v>
      </c>
      <c r="N694" s="7" t="n">
        <f aca="false">IF(ISBLANK(customer_churn_dataset!N694),0,MAX(0,customer_churn_dataset!N694))</f>
        <v>46.8</v>
      </c>
      <c r="O694" s="7" t="n">
        <f aca="false">IF(ISBLANK(customer_churn_dataset!O694),0,customer_churn_dataset!O694)</f>
        <v>0</v>
      </c>
      <c r="P694" s="7" t="str">
        <f aca="false">IF(COUNTIF(customer_churn_dataset!$A$2:$A$1501,customer_churn_dataset!A694)&gt;1,"Duplicate","Unique")</f>
        <v>Unique</v>
      </c>
    </row>
    <row r="695" customFormat="false" ht="14.15" hidden="false" customHeight="true" outlineLevel="0" collapsed="false">
      <c r="A695" s="7" t="str">
        <f aca="false">TRIM(customer_churn_dataset!A695)</f>
        <v>CUST100834</v>
      </c>
      <c r="B695" s="7" t="str">
        <f aca="false">PROPER(TRIM(customer_churn_dataset!B695))</f>
        <v>Standard</v>
      </c>
      <c r="C695" s="7" t="str">
        <f aca="false">PROPER(TRIM(customer_churn_dataset!C695))</f>
        <v>One Year</v>
      </c>
      <c r="D695" s="7" t="n">
        <f aca="false">IF(ISBLANK(customer_churn_dataset!D695),ROUND(MEDIAN(customer_churn_dataset!D$2:D$1501),2),IF(customer_churn_dataset!D695&lt;0,ABS(customer_churn_dataset!D695),customer_churn_dataset!D695))</f>
        <v>20.34</v>
      </c>
      <c r="E695" s="7" t="n">
        <f aca="false">IF(ISBLANK(customer_churn_dataset!E695),0,MAX(0,customer_churn_dataset!E695))</f>
        <v>7</v>
      </c>
      <c r="F695" s="8" t="n">
        <f aca="false">IF(ISBLANK(customer_churn_dataset!F695),"",customer_churn_dataset!F695)</f>
        <v>44764</v>
      </c>
      <c r="G695" s="7" t="str">
        <f aca="false">PROPER(TRIM(customer_churn_dataset!G695))</f>
        <v>Credit Card</v>
      </c>
      <c r="H695" s="7" t="n">
        <f aca="false">IF(ISBLANK(customer_churn_dataset!H695),0,customer_churn_dataset!H695)</f>
        <v>1</v>
      </c>
      <c r="I695" s="7" t="n">
        <f aca="false">IF(ISBLANK(customer_churn_dataset!I695),ROUND(MEDIAN(customer_churn_dataset!I$2:I$1501),1),MIN(100,MAX(0,customer_churn_dataset!I695)))</f>
        <v>87.1</v>
      </c>
      <c r="J695" s="7" t="n">
        <f aca="false">IF(ISBLANK(customer_churn_dataset!J695),0,MAX(0,customer_churn_dataset!J695))</f>
        <v>31</v>
      </c>
      <c r="K695" s="7" t="n">
        <f aca="false">IF(ISBLANK(customer_churn_dataset!K695),0,MIN(10,MAX(0,customer_churn_dataset!K695)))</f>
        <v>6</v>
      </c>
      <c r="L695" s="7" t="n">
        <f aca="false">IF(ISBLANK(customer_churn_dataset!L695),0,MAX(0,customer_churn_dataset!L695))</f>
        <v>3</v>
      </c>
      <c r="M695" s="7" t="n">
        <f aca="false">IF(ISBLANK(customer_churn_dataset!M695),0,customer_churn_dataset!M695)</f>
        <v>0</v>
      </c>
      <c r="N695" s="7" t="n">
        <f aca="false">IF(ISBLANK(customer_churn_dataset!N695),0,MAX(0,customer_churn_dataset!N695))</f>
        <v>142.38</v>
      </c>
      <c r="O695" s="7" t="n">
        <f aca="false">IF(ISBLANK(customer_churn_dataset!O695),0,customer_churn_dataset!O695)</f>
        <v>0</v>
      </c>
      <c r="P695" s="7" t="str">
        <f aca="false">IF(COUNTIF(customer_churn_dataset!$A$2:$A$1501,customer_churn_dataset!A695)&gt;1,"Duplicate","Unique")</f>
        <v>Unique</v>
      </c>
    </row>
    <row r="696" customFormat="false" ht="14.15" hidden="false" customHeight="true" outlineLevel="0" collapsed="false">
      <c r="A696" s="7" t="str">
        <f aca="false">TRIM(customer_churn_dataset!A696)</f>
        <v>CUST100633</v>
      </c>
      <c r="B696" s="7" t="str">
        <f aca="false">PROPER(TRIM(customer_churn_dataset!B696))</f>
        <v>Standard</v>
      </c>
      <c r="C696" s="7" t="str">
        <f aca="false">PROPER(TRIM(customer_churn_dataset!C696))</f>
        <v>Month-To-Month</v>
      </c>
      <c r="D696" s="7" t="n">
        <f aca="false">IF(ISBLANK(customer_churn_dataset!D696),ROUND(MEDIAN(customer_churn_dataset!D$2:D$1501),2),IF(customer_churn_dataset!D696&lt;0,ABS(customer_churn_dataset!D696),customer_churn_dataset!D696))</f>
        <v>20.66</v>
      </c>
      <c r="E696" s="7" t="n">
        <f aca="false">IF(ISBLANK(customer_churn_dataset!E696),0,MAX(0,customer_churn_dataset!E696))</f>
        <v>21</v>
      </c>
      <c r="F696" s="8" t="n">
        <f aca="false">IF(ISBLANK(customer_churn_dataset!F696),"",customer_churn_dataset!F696)</f>
        <v>44764</v>
      </c>
      <c r="G696" s="7" t="str">
        <f aca="false">PROPER(TRIM(customer_churn_dataset!G696))</f>
        <v>Paypal</v>
      </c>
      <c r="H696" s="7" t="n">
        <f aca="false">IF(ISBLANK(customer_churn_dataset!H696),0,customer_churn_dataset!H696)</f>
        <v>0</v>
      </c>
      <c r="I696" s="7" t="n">
        <f aca="false">IF(ISBLANK(customer_churn_dataset!I696),ROUND(MEDIAN(customer_churn_dataset!I$2:I$1501),1),MIN(100,MAX(0,customer_churn_dataset!I696)))</f>
        <v>57.2</v>
      </c>
      <c r="J696" s="7" t="n">
        <f aca="false">IF(ISBLANK(customer_churn_dataset!J696),0,MAX(0,customer_churn_dataset!J696))</f>
        <v>20</v>
      </c>
      <c r="K696" s="7" t="n">
        <f aca="false">IF(ISBLANK(customer_churn_dataset!K696),0,MIN(10,MAX(0,customer_churn_dataset!K696)))</f>
        <v>5</v>
      </c>
      <c r="L696" s="7" t="n">
        <f aca="false">IF(ISBLANK(customer_churn_dataset!L696),0,MAX(0,customer_churn_dataset!L696))</f>
        <v>1</v>
      </c>
      <c r="M696" s="7" t="n">
        <f aca="false">IF(ISBLANK(customer_churn_dataset!M696),0,customer_churn_dataset!M696)</f>
        <v>0</v>
      </c>
      <c r="N696" s="7" t="n">
        <f aca="false">IF(ISBLANK(customer_churn_dataset!N696),0,MAX(0,customer_churn_dataset!N696))</f>
        <v>433.86</v>
      </c>
      <c r="O696" s="7" t="n">
        <f aca="false">IF(ISBLANK(customer_churn_dataset!O696),0,customer_churn_dataset!O696)</f>
        <v>0</v>
      </c>
      <c r="P696" s="7" t="str">
        <f aca="false">IF(COUNTIF(customer_churn_dataset!$A$2:$A$1501,customer_churn_dataset!A696)&gt;1,"Duplicate","Unique")</f>
        <v>Unique</v>
      </c>
    </row>
    <row r="697" customFormat="false" ht="14.15" hidden="false" customHeight="true" outlineLevel="0" collapsed="false">
      <c r="A697" s="7" t="str">
        <f aca="false">TRIM(customer_churn_dataset!A697)</f>
        <v>CUST100198</v>
      </c>
      <c r="B697" s="7" t="str">
        <f aca="false">PROPER(TRIM(customer_churn_dataset!B697))</f>
        <v>Premium</v>
      </c>
      <c r="C697" s="7" t="str">
        <f aca="false">PROPER(TRIM(customer_churn_dataset!C697))</f>
        <v>Month-To-Month</v>
      </c>
      <c r="D697" s="7" t="n">
        <f aca="false">IF(ISBLANK(customer_churn_dataset!D697),ROUND(MEDIAN(customer_churn_dataset!D$2:D$1501),2),IF(customer_churn_dataset!D697&lt;0,ABS(customer_churn_dataset!D697),customer_churn_dataset!D697))</f>
        <v>38.51</v>
      </c>
      <c r="E697" s="7" t="n">
        <f aca="false">IF(ISBLANK(customer_churn_dataset!E697),0,MAX(0,customer_churn_dataset!E697))</f>
        <v>29</v>
      </c>
      <c r="F697" s="8" t="n">
        <f aca="false">IF(ISBLANK(customer_churn_dataset!F697),"",customer_churn_dataset!F697)</f>
        <v>44766</v>
      </c>
      <c r="G697" s="7" t="str">
        <f aca="false">PROPER(TRIM(customer_churn_dataset!G697))</f>
        <v>Credit Card</v>
      </c>
      <c r="H697" s="7" t="n">
        <f aca="false">IF(ISBLANK(customer_churn_dataset!H697),0,customer_churn_dataset!H697)</f>
        <v>0</v>
      </c>
      <c r="I697" s="7" t="n">
        <f aca="false">IF(ISBLANK(customer_churn_dataset!I697),ROUND(MEDIAN(customer_churn_dataset!I$2:I$1501),1),MIN(100,MAX(0,customer_churn_dataset!I697)))</f>
        <v>72.6</v>
      </c>
      <c r="J697" s="7" t="n">
        <f aca="false">IF(ISBLANK(customer_churn_dataset!J697),0,MAX(0,customer_churn_dataset!J697))</f>
        <v>16</v>
      </c>
      <c r="K697" s="7" t="n">
        <f aca="false">IF(ISBLANK(customer_churn_dataset!K697),0,MIN(10,MAX(0,customer_churn_dataset!K697)))</f>
        <v>6</v>
      </c>
      <c r="L697" s="7" t="n">
        <f aca="false">IF(ISBLANK(customer_churn_dataset!L697),0,MAX(0,customer_churn_dataset!L697))</f>
        <v>0</v>
      </c>
      <c r="M697" s="7" t="n">
        <f aca="false">IF(ISBLANK(customer_churn_dataset!M697),0,customer_churn_dataset!M697)</f>
        <v>0</v>
      </c>
      <c r="N697" s="7" t="n">
        <f aca="false">IF(ISBLANK(customer_churn_dataset!N697),0,MAX(0,customer_churn_dataset!N697))</f>
        <v>1116.79</v>
      </c>
      <c r="O697" s="7" t="n">
        <f aca="false">IF(ISBLANK(customer_churn_dataset!O697),0,customer_churn_dataset!O697)</f>
        <v>0</v>
      </c>
      <c r="P697" s="7" t="str">
        <f aca="false">IF(COUNTIF(customer_churn_dataset!$A$2:$A$1501,customer_churn_dataset!A697)&gt;1,"Duplicate","Unique")</f>
        <v>Unique</v>
      </c>
    </row>
    <row r="698" customFormat="false" ht="14.15" hidden="false" customHeight="true" outlineLevel="0" collapsed="false">
      <c r="A698" s="7" t="str">
        <f aca="false">TRIM(customer_churn_dataset!A698)</f>
        <v>CUST100438</v>
      </c>
      <c r="B698" s="7" t="str">
        <f aca="false">PROPER(TRIM(customer_churn_dataset!B698))</f>
        <v>Standard</v>
      </c>
      <c r="C698" s="7" t="str">
        <f aca="false">PROPER(TRIM(customer_churn_dataset!C698))</f>
        <v>Month-To-Month</v>
      </c>
      <c r="D698" s="7" t="n">
        <f aca="false">IF(ISBLANK(customer_churn_dataset!D698),ROUND(MEDIAN(customer_churn_dataset!D$2:D$1501),2),IF(customer_churn_dataset!D698&lt;0,ABS(customer_churn_dataset!D698),customer_churn_dataset!D698))</f>
        <v>20.01</v>
      </c>
      <c r="E698" s="7" t="n">
        <f aca="false">IF(ISBLANK(customer_churn_dataset!E698),0,MAX(0,customer_churn_dataset!E698))</f>
        <v>12</v>
      </c>
      <c r="F698" s="8" t="n">
        <f aca="false">IF(ISBLANK(customer_churn_dataset!F698),"",customer_churn_dataset!F698)</f>
        <v>44767</v>
      </c>
      <c r="G698" s="7" t="str">
        <f aca="false">PROPER(TRIM(customer_churn_dataset!G698))</f>
        <v>Credit Card</v>
      </c>
      <c r="H698" s="7" t="n">
        <f aca="false">IF(ISBLANK(customer_churn_dataset!H698),0,customer_churn_dataset!H698)</f>
        <v>0</v>
      </c>
      <c r="I698" s="7" t="n">
        <f aca="false">IF(ISBLANK(customer_churn_dataset!I698),ROUND(MEDIAN(customer_churn_dataset!I$2:I$1501),1),MIN(100,MAX(0,customer_churn_dataset!I698)))</f>
        <v>47.1</v>
      </c>
      <c r="J698" s="7" t="n">
        <f aca="false">IF(ISBLANK(customer_churn_dataset!J698),0,MAX(0,customer_churn_dataset!J698))</f>
        <v>8</v>
      </c>
      <c r="K698" s="7" t="n">
        <f aca="false">IF(ISBLANK(customer_churn_dataset!K698),0,MIN(10,MAX(0,customer_churn_dataset!K698)))</f>
        <v>4</v>
      </c>
      <c r="L698" s="7" t="n">
        <f aca="false">IF(ISBLANK(customer_churn_dataset!L698),0,MAX(0,customer_churn_dataset!L698))</f>
        <v>2</v>
      </c>
      <c r="M698" s="7" t="n">
        <f aca="false">IF(ISBLANK(customer_churn_dataset!M698),0,customer_churn_dataset!M698)</f>
        <v>0</v>
      </c>
      <c r="N698" s="7" t="n">
        <f aca="false">IF(ISBLANK(customer_churn_dataset!N698),0,MAX(0,customer_churn_dataset!N698))</f>
        <v>240.12</v>
      </c>
      <c r="O698" s="7" t="n">
        <f aca="false">IF(ISBLANK(customer_churn_dataset!O698),0,customer_churn_dataset!O698)</f>
        <v>1</v>
      </c>
      <c r="P698" s="7" t="str">
        <f aca="false">IF(COUNTIF(customer_churn_dataset!$A$2:$A$1501,customer_churn_dataset!A698)&gt;1,"Duplicate","Unique")</f>
        <v>Unique</v>
      </c>
    </row>
    <row r="699" customFormat="false" ht="14.15" hidden="false" customHeight="true" outlineLevel="0" collapsed="false">
      <c r="A699" s="7" t="str">
        <f aca="false">TRIM(customer_churn_dataset!A699)</f>
        <v>CUST100370</v>
      </c>
      <c r="B699" s="7" t="str">
        <f aca="false">PROPER(TRIM(customer_churn_dataset!B699))</f>
        <v>Basic</v>
      </c>
      <c r="C699" s="7" t="str">
        <f aca="false">PROPER(TRIM(customer_churn_dataset!C699))</f>
        <v>One Year</v>
      </c>
      <c r="D699" s="7" t="n">
        <f aca="false">IF(ISBLANK(customer_churn_dataset!D699),ROUND(MEDIAN(customer_churn_dataset!D$2:D$1501),2),IF(customer_churn_dataset!D699&lt;0,ABS(customer_churn_dataset!D699),customer_churn_dataset!D699))</f>
        <v>10.13</v>
      </c>
      <c r="E699" s="7" t="n">
        <f aca="false">IF(ISBLANK(customer_churn_dataset!E699),0,MAX(0,customer_churn_dataset!E699))</f>
        <v>25</v>
      </c>
      <c r="F699" s="8" t="n">
        <f aca="false">IF(ISBLANK(customer_churn_dataset!F699),"",customer_churn_dataset!F699)</f>
        <v>44768</v>
      </c>
      <c r="G699" s="7" t="str">
        <f aca="false">PROPER(TRIM(customer_churn_dataset!G699))</f>
        <v>Manual/Invoice</v>
      </c>
      <c r="H699" s="7" t="n">
        <f aca="false">IF(ISBLANK(customer_churn_dataset!H699),0,customer_churn_dataset!H699)</f>
        <v>1</v>
      </c>
      <c r="I699" s="7" t="n">
        <f aca="false">IF(ISBLANK(customer_churn_dataset!I699),ROUND(MEDIAN(customer_churn_dataset!I$2:I$1501),1),MIN(100,MAX(0,customer_churn_dataset!I699)))</f>
        <v>52.3</v>
      </c>
      <c r="J699" s="7" t="n">
        <f aca="false">IF(ISBLANK(customer_churn_dataset!J699),0,MAX(0,customer_churn_dataset!J699))</f>
        <v>19</v>
      </c>
      <c r="K699" s="7" t="n">
        <f aca="false">IF(ISBLANK(customer_churn_dataset!K699),0,MIN(10,MAX(0,customer_churn_dataset!K699)))</f>
        <v>5</v>
      </c>
      <c r="L699" s="7" t="n">
        <f aca="false">IF(ISBLANK(customer_churn_dataset!L699),0,MAX(0,customer_churn_dataset!L699))</f>
        <v>2</v>
      </c>
      <c r="M699" s="7" t="n">
        <f aca="false">IF(ISBLANK(customer_churn_dataset!M699),0,customer_churn_dataset!M699)</f>
        <v>0</v>
      </c>
      <c r="N699" s="7" t="n">
        <f aca="false">IF(ISBLANK(customer_churn_dataset!N699),0,MAX(0,customer_churn_dataset!N699))</f>
        <v>253.25</v>
      </c>
      <c r="O699" s="7" t="n">
        <f aca="false">IF(ISBLANK(customer_churn_dataset!O699),0,customer_churn_dataset!O699)</f>
        <v>0</v>
      </c>
      <c r="P699" s="7" t="str">
        <f aca="false">IF(COUNTIF(customer_churn_dataset!$A$2:$A$1501,customer_churn_dataset!A699)&gt;1,"Duplicate","Unique")</f>
        <v>Unique</v>
      </c>
    </row>
    <row r="700" customFormat="false" ht="14.15" hidden="false" customHeight="true" outlineLevel="0" collapsed="false">
      <c r="A700" s="7" t="str">
        <f aca="false">TRIM(customer_churn_dataset!A700)</f>
        <v>CUST100049</v>
      </c>
      <c r="B700" s="7" t="str">
        <f aca="false">PROPER(TRIM(customer_churn_dataset!B700))</f>
        <v>Basic</v>
      </c>
      <c r="C700" s="7" t="str">
        <f aca="false">PROPER(TRIM(customer_churn_dataset!C700))</f>
        <v>One Year</v>
      </c>
      <c r="D700" s="7" t="n">
        <f aca="false">IF(ISBLANK(customer_churn_dataset!D700),ROUND(MEDIAN(customer_churn_dataset!D$2:D$1501),2),IF(customer_churn_dataset!D700&lt;0,ABS(customer_churn_dataset!D700),customer_churn_dataset!D700))</f>
        <v>11.74</v>
      </c>
      <c r="E700" s="7" t="n">
        <f aca="false">IF(ISBLANK(customer_churn_dataset!E700),0,MAX(0,customer_churn_dataset!E700))</f>
        <v>54</v>
      </c>
      <c r="F700" s="8" t="n">
        <f aca="false">IF(ISBLANK(customer_churn_dataset!F700),"",customer_churn_dataset!F700)</f>
        <v>44768</v>
      </c>
      <c r="G700" s="7" t="str">
        <f aca="false">PROPER(TRIM(customer_churn_dataset!G700))</f>
        <v>Credit Card</v>
      </c>
      <c r="H700" s="7" t="n">
        <f aca="false">IF(ISBLANK(customer_churn_dataset!H700),0,customer_churn_dataset!H700)</f>
        <v>1</v>
      </c>
      <c r="I700" s="7" t="n">
        <f aca="false">IF(ISBLANK(customer_churn_dataset!I700),ROUND(MEDIAN(customer_churn_dataset!I$2:I$1501),1),MIN(100,MAX(0,customer_churn_dataset!I700)))</f>
        <v>75.1</v>
      </c>
      <c r="J700" s="7" t="n">
        <f aca="false">IF(ISBLANK(customer_churn_dataset!J700),0,MAX(0,customer_churn_dataset!J700))</f>
        <v>28</v>
      </c>
      <c r="K700" s="7" t="n">
        <f aca="false">IF(ISBLANK(customer_churn_dataset!K700),0,MIN(10,MAX(0,customer_churn_dataset!K700)))</f>
        <v>5</v>
      </c>
      <c r="L700" s="7" t="n">
        <f aca="false">IF(ISBLANK(customer_churn_dataset!L700),0,MAX(0,customer_churn_dataset!L700))</f>
        <v>2</v>
      </c>
      <c r="M700" s="7" t="n">
        <f aca="false">IF(ISBLANK(customer_churn_dataset!M700),0,customer_churn_dataset!M700)</f>
        <v>0</v>
      </c>
      <c r="N700" s="7" t="n">
        <f aca="false">IF(ISBLANK(customer_churn_dataset!N700),0,MAX(0,customer_churn_dataset!N700))</f>
        <v>633.96</v>
      </c>
      <c r="O700" s="7" t="n">
        <f aca="false">IF(ISBLANK(customer_churn_dataset!O700),0,customer_churn_dataset!O700)</f>
        <v>1</v>
      </c>
      <c r="P700" s="7" t="str">
        <f aca="false">IF(COUNTIF(customer_churn_dataset!$A$2:$A$1501,customer_churn_dataset!A700)&gt;1,"Duplicate","Unique")</f>
        <v>Unique</v>
      </c>
    </row>
    <row r="701" customFormat="false" ht="14.15" hidden="false" customHeight="true" outlineLevel="0" collapsed="false">
      <c r="A701" s="7" t="str">
        <f aca="false">TRIM(customer_churn_dataset!A701)</f>
        <v>CUST101375</v>
      </c>
      <c r="B701" s="7" t="str">
        <f aca="false">PROPER(TRIM(customer_churn_dataset!B701))</f>
        <v>Premium</v>
      </c>
      <c r="C701" s="7" t="str">
        <f aca="false">PROPER(TRIM(customer_churn_dataset!C701))</f>
        <v>Month-To-Month</v>
      </c>
      <c r="D701" s="7" t="n">
        <f aca="false">IF(ISBLANK(customer_churn_dataset!D701),ROUND(MEDIAN(customer_churn_dataset!D$2:D$1501),2),IF(customer_churn_dataset!D701&lt;0,ABS(customer_churn_dataset!D701),customer_churn_dataset!D701))</f>
        <v>39.69</v>
      </c>
      <c r="E701" s="7" t="n">
        <f aca="false">IF(ISBLANK(customer_churn_dataset!E701),0,MAX(0,customer_churn_dataset!E701))</f>
        <v>2</v>
      </c>
      <c r="F701" s="8" t="n">
        <f aca="false">IF(ISBLANK(customer_churn_dataset!F701),"",customer_churn_dataset!F701)</f>
        <v>44768</v>
      </c>
      <c r="G701" s="7" t="str">
        <f aca="false">PROPER(TRIM(customer_churn_dataset!G701))</f>
        <v>Credit Card</v>
      </c>
      <c r="H701" s="7" t="n">
        <f aca="false">IF(ISBLANK(customer_churn_dataset!H701),0,customer_churn_dataset!H701)</f>
        <v>1</v>
      </c>
      <c r="I701" s="7" t="n">
        <f aca="false">IF(ISBLANK(customer_churn_dataset!I701),ROUND(MEDIAN(customer_churn_dataset!I$2:I$1501),1),MIN(100,MAX(0,customer_churn_dataset!I701)))</f>
        <v>27</v>
      </c>
      <c r="J701" s="7" t="n">
        <f aca="false">IF(ISBLANK(customer_churn_dataset!J701),0,MAX(0,customer_churn_dataset!J701))</f>
        <v>14</v>
      </c>
      <c r="K701" s="7" t="n">
        <f aca="false">IF(ISBLANK(customer_churn_dataset!K701),0,MIN(10,MAX(0,customer_churn_dataset!K701)))</f>
        <v>3</v>
      </c>
      <c r="L701" s="7" t="n">
        <f aca="false">IF(ISBLANK(customer_churn_dataset!L701),0,MAX(0,customer_churn_dataset!L701))</f>
        <v>5</v>
      </c>
      <c r="M701" s="7" t="n">
        <f aca="false">IF(ISBLANK(customer_churn_dataset!M701),0,customer_churn_dataset!M701)</f>
        <v>1</v>
      </c>
      <c r="N701" s="7" t="n">
        <f aca="false">IF(ISBLANK(customer_churn_dataset!N701),0,MAX(0,customer_churn_dataset!N701))</f>
        <v>79.38</v>
      </c>
      <c r="O701" s="7" t="n">
        <f aca="false">IF(ISBLANK(customer_churn_dataset!O701),0,customer_churn_dataset!O701)</f>
        <v>0</v>
      </c>
      <c r="P701" s="7" t="str">
        <f aca="false">IF(COUNTIF(customer_churn_dataset!$A$2:$A$1501,customer_churn_dataset!A701)&gt;1,"Duplicate","Unique")</f>
        <v>Unique</v>
      </c>
    </row>
    <row r="702" customFormat="false" ht="14.15" hidden="false" customHeight="true" outlineLevel="0" collapsed="false">
      <c r="A702" s="7" t="str">
        <f aca="false">TRIM(customer_churn_dataset!A702)</f>
        <v>CUST100917</v>
      </c>
      <c r="B702" s="7" t="str">
        <f aca="false">PROPER(TRIM(customer_churn_dataset!B702))</f>
        <v>Premium</v>
      </c>
      <c r="C702" s="7" t="str">
        <f aca="false">PROPER(TRIM(customer_churn_dataset!C702))</f>
        <v>Month-To-Month</v>
      </c>
      <c r="D702" s="7" t="n">
        <f aca="false">IF(ISBLANK(customer_churn_dataset!D702),ROUND(MEDIAN(customer_churn_dataset!D$2:D$1501),2),IF(customer_churn_dataset!D702&lt;0,ABS(customer_churn_dataset!D702),customer_churn_dataset!D702))</f>
        <v>41.19</v>
      </c>
      <c r="E702" s="7" t="n">
        <f aca="false">IF(ISBLANK(customer_churn_dataset!E702),0,MAX(0,customer_churn_dataset!E702))</f>
        <v>2</v>
      </c>
      <c r="F702" s="8" t="n">
        <f aca="false">IF(ISBLANK(customer_churn_dataset!F702),"",customer_churn_dataset!F702)</f>
        <v>44770</v>
      </c>
      <c r="G702" s="7" t="str">
        <f aca="false">PROPER(TRIM(customer_churn_dataset!G702))</f>
        <v>Paypal</v>
      </c>
      <c r="H702" s="7" t="n">
        <f aca="false">IF(ISBLANK(customer_churn_dataset!H702),0,customer_churn_dataset!H702)</f>
        <v>1</v>
      </c>
      <c r="I702" s="7" t="n">
        <f aca="false">IF(ISBLANK(customer_churn_dataset!I702),ROUND(MEDIAN(customer_churn_dataset!I$2:I$1501),1),MIN(100,MAX(0,customer_churn_dataset!I702)))</f>
        <v>47.7</v>
      </c>
      <c r="J702" s="7" t="n">
        <f aca="false">IF(ISBLANK(customer_churn_dataset!J702),0,MAX(0,customer_churn_dataset!J702))</f>
        <v>17</v>
      </c>
      <c r="K702" s="7" t="n">
        <f aca="false">IF(ISBLANK(customer_churn_dataset!K702),0,MIN(10,MAX(0,customer_churn_dataset!K702)))</f>
        <v>5</v>
      </c>
      <c r="L702" s="7" t="n">
        <f aca="false">IF(ISBLANK(customer_churn_dataset!L702),0,MAX(0,customer_churn_dataset!L702))</f>
        <v>0</v>
      </c>
      <c r="M702" s="7" t="n">
        <f aca="false">IF(ISBLANK(customer_churn_dataset!M702),0,customer_churn_dataset!M702)</f>
        <v>0</v>
      </c>
      <c r="N702" s="7" t="n">
        <f aca="false">IF(ISBLANK(customer_churn_dataset!N702),0,MAX(0,customer_churn_dataset!N702))</f>
        <v>82.38</v>
      </c>
      <c r="O702" s="7" t="n">
        <f aca="false">IF(ISBLANK(customer_churn_dataset!O702),0,customer_churn_dataset!O702)</f>
        <v>0</v>
      </c>
      <c r="P702" s="7" t="str">
        <f aca="false">IF(COUNTIF(customer_churn_dataset!$A$2:$A$1501,customer_churn_dataset!A702)&gt;1,"Duplicate","Unique")</f>
        <v>Unique</v>
      </c>
    </row>
    <row r="703" customFormat="false" ht="14.15" hidden="false" customHeight="true" outlineLevel="0" collapsed="false">
      <c r="A703" s="7" t="str">
        <f aca="false">TRIM(customer_churn_dataset!A703)</f>
        <v>CUST100990</v>
      </c>
      <c r="B703" s="7" t="str">
        <f aca="false">PROPER(TRIM(customer_churn_dataset!B703))</f>
        <v>Standard</v>
      </c>
      <c r="C703" s="7" t="str">
        <f aca="false">PROPER(TRIM(customer_churn_dataset!C703))</f>
        <v>Month-To-Month</v>
      </c>
      <c r="D703" s="7" t="n">
        <f aca="false">IF(ISBLANK(customer_churn_dataset!D703),ROUND(MEDIAN(customer_churn_dataset!D$2:D$1501),2),IF(customer_churn_dataset!D703&lt;0,ABS(customer_churn_dataset!D703),customer_churn_dataset!D703))</f>
        <v>19.81</v>
      </c>
      <c r="E703" s="7" t="n">
        <f aca="false">IF(ISBLANK(customer_churn_dataset!E703),0,MAX(0,customer_churn_dataset!E703))</f>
        <v>3</v>
      </c>
      <c r="F703" s="8" t="n">
        <f aca="false">IF(ISBLANK(customer_churn_dataset!F703),"",customer_churn_dataset!F703)</f>
        <v>44771</v>
      </c>
      <c r="G703" s="7" t="str">
        <f aca="false">PROPER(TRIM(customer_churn_dataset!G703))</f>
        <v>Manual/Invoice</v>
      </c>
      <c r="H703" s="7" t="n">
        <f aca="false">IF(ISBLANK(customer_churn_dataset!H703),0,customer_churn_dataset!H703)</f>
        <v>1</v>
      </c>
      <c r="I703" s="7" t="n">
        <f aca="false">IF(ISBLANK(customer_churn_dataset!I703),ROUND(MEDIAN(customer_churn_dataset!I$2:I$1501),1),MIN(100,MAX(0,customer_churn_dataset!I703)))</f>
        <v>58.2</v>
      </c>
      <c r="J703" s="7" t="n">
        <f aca="false">IF(ISBLANK(customer_churn_dataset!J703),0,MAX(0,customer_churn_dataset!J703))</f>
        <v>20</v>
      </c>
      <c r="K703" s="7" t="n">
        <f aca="false">IF(ISBLANK(customer_churn_dataset!K703),0,MIN(10,MAX(0,customer_churn_dataset!K703)))</f>
        <v>5</v>
      </c>
      <c r="L703" s="7" t="n">
        <f aca="false">IF(ISBLANK(customer_churn_dataset!L703),0,MAX(0,customer_churn_dataset!L703))</f>
        <v>0</v>
      </c>
      <c r="M703" s="7" t="n">
        <f aca="false">IF(ISBLANK(customer_churn_dataset!M703),0,customer_churn_dataset!M703)</f>
        <v>0</v>
      </c>
      <c r="N703" s="7" t="n">
        <f aca="false">IF(ISBLANK(customer_churn_dataset!N703),0,MAX(0,customer_churn_dataset!N703))</f>
        <v>59.43</v>
      </c>
      <c r="O703" s="7" t="n">
        <f aca="false">IF(ISBLANK(customer_churn_dataset!O703),0,customer_churn_dataset!O703)</f>
        <v>0</v>
      </c>
      <c r="P703" s="7" t="str">
        <f aca="false">IF(COUNTIF(customer_churn_dataset!$A$2:$A$1501,customer_churn_dataset!A703)&gt;1,"Duplicate","Unique")</f>
        <v>Unique</v>
      </c>
    </row>
    <row r="704" customFormat="false" ht="14.15" hidden="false" customHeight="true" outlineLevel="0" collapsed="false">
      <c r="A704" s="7" t="str">
        <f aca="false">TRIM(customer_churn_dataset!A704)</f>
        <v>CUST101471</v>
      </c>
      <c r="B704" s="7" t="str">
        <f aca="false">PROPER(TRIM(customer_churn_dataset!B704))</f>
        <v>Standard</v>
      </c>
      <c r="C704" s="7" t="str">
        <f aca="false">PROPER(TRIM(customer_churn_dataset!C704))</f>
        <v>Month-To-Month</v>
      </c>
      <c r="D704" s="7" t="n">
        <f aca="false">IF(ISBLANK(customer_churn_dataset!D704),ROUND(MEDIAN(customer_churn_dataset!D$2:D$1501),2),IF(customer_churn_dataset!D704&lt;0,ABS(customer_churn_dataset!D704),customer_churn_dataset!D704))</f>
        <v>20.45</v>
      </c>
      <c r="E704" s="7" t="n">
        <f aca="false">IF(ISBLANK(customer_churn_dataset!E704),0,MAX(0,customer_churn_dataset!E704))</f>
        <v>4</v>
      </c>
      <c r="F704" s="8" t="n">
        <f aca="false">IF(ISBLANK(customer_churn_dataset!F704),"",customer_churn_dataset!F704)</f>
        <v>44771</v>
      </c>
      <c r="G704" s="7" t="str">
        <f aca="false">PROPER(TRIM(customer_churn_dataset!G704))</f>
        <v>Paypal</v>
      </c>
      <c r="H704" s="7" t="n">
        <f aca="false">IF(ISBLANK(customer_churn_dataset!H704),0,customer_churn_dataset!H704)</f>
        <v>1</v>
      </c>
      <c r="I704" s="7" t="n">
        <f aca="false">IF(ISBLANK(customer_churn_dataset!I704),ROUND(MEDIAN(customer_churn_dataset!I$2:I$1501),1),MIN(100,MAX(0,customer_churn_dataset!I704)))</f>
        <v>14.7</v>
      </c>
      <c r="J704" s="7" t="n">
        <f aca="false">IF(ISBLANK(customer_churn_dataset!J704),0,MAX(0,customer_churn_dataset!J704))</f>
        <v>5</v>
      </c>
      <c r="K704" s="7" t="n">
        <f aca="false">IF(ISBLANK(customer_churn_dataset!K704),0,MIN(10,MAX(0,customer_churn_dataset!K704)))</f>
        <v>1</v>
      </c>
      <c r="L704" s="7" t="n">
        <f aca="false">IF(ISBLANK(customer_churn_dataset!L704),0,MAX(0,customer_churn_dataset!L704))</f>
        <v>1</v>
      </c>
      <c r="M704" s="7" t="n">
        <f aca="false">IF(ISBLANK(customer_churn_dataset!M704),0,customer_churn_dataset!M704)</f>
        <v>1</v>
      </c>
      <c r="N704" s="7" t="n">
        <f aca="false">IF(ISBLANK(customer_churn_dataset!N704),0,MAX(0,customer_churn_dataset!N704))</f>
        <v>81.8</v>
      </c>
      <c r="O704" s="7" t="n">
        <f aca="false">IF(ISBLANK(customer_churn_dataset!O704),0,customer_churn_dataset!O704)</f>
        <v>0</v>
      </c>
      <c r="P704" s="7" t="str">
        <f aca="false">IF(COUNTIF(customer_churn_dataset!$A$2:$A$1501,customer_churn_dataset!A704)&gt;1,"Duplicate","Unique")</f>
        <v>Unique</v>
      </c>
    </row>
    <row r="705" customFormat="false" ht="14.15" hidden="false" customHeight="true" outlineLevel="0" collapsed="false">
      <c r="A705" s="7" t="str">
        <f aca="false">TRIM(customer_churn_dataset!A705)</f>
        <v>CUST101479</v>
      </c>
      <c r="B705" s="7" t="str">
        <f aca="false">PROPER(TRIM(customer_churn_dataset!B705))</f>
        <v>Basic</v>
      </c>
      <c r="C705" s="7" t="str">
        <f aca="false">PROPER(TRIM(customer_churn_dataset!C705))</f>
        <v>Month-To-Month</v>
      </c>
      <c r="D705" s="7" t="n">
        <f aca="false">IF(ISBLANK(customer_churn_dataset!D705),ROUND(MEDIAN(customer_churn_dataset!D$2:D$1501),2),IF(customer_churn_dataset!D705&lt;0,ABS(customer_churn_dataset!D705),customer_churn_dataset!D705))</f>
        <v>10.39</v>
      </c>
      <c r="E705" s="7" t="n">
        <f aca="false">IF(ISBLANK(customer_churn_dataset!E705),0,MAX(0,customer_churn_dataset!E705))</f>
        <v>1</v>
      </c>
      <c r="F705" s="8" t="n">
        <f aca="false">IF(ISBLANK(customer_churn_dataset!F705),"",customer_churn_dataset!F705)</f>
        <v>44774</v>
      </c>
      <c r="G705" s="7" t="str">
        <f aca="false">PROPER(TRIM(customer_churn_dataset!G705))</f>
        <v>Paypal</v>
      </c>
      <c r="H705" s="7" t="n">
        <f aca="false">IF(ISBLANK(customer_churn_dataset!H705),0,customer_churn_dataset!H705)</f>
        <v>1</v>
      </c>
      <c r="I705" s="7" t="n">
        <f aca="false">IF(ISBLANK(customer_churn_dataset!I705),ROUND(MEDIAN(customer_churn_dataset!I$2:I$1501),1),MIN(100,MAX(0,customer_churn_dataset!I705)))</f>
        <v>37.5</v>
      </c>
      <c r="J705" s="7" t="n">
        <f aca="false">IF(ISBLANK(customer_churn_dataset!J705),0,MAX(0,customer_churn_dataset!J705))</f>
        <v>9</v>
      </c>
      <c r="K705" s="7" t="n">
        <f aca="false">IF(ISBLANK(customer_churn_dataset!K705),0,MIN(10,MAX(0,customer_churn_dataset!K705)))</f>
        <v>5</v>
      </c>
      <c r="L705" s="7" t="n">
        <f aca="false">IF(ISBLANK(customer_churn_dataset!L705),0,MAX(0,customer_churn_dataset!L705))</f>
        <v>2</v>
      </c>
      <c r="M705" s="7" t="n">
        <f aca="false">IF(ISBLANK(customer_churn_dataset!M705),0,customer_churn_dataset!M705)</f>
        <v>1</v>
      </c>
      <c r="N705" s="7" t="n">
        <f aca="false">IF(ISBLANK(customer_churn_dataset!N705),0,MAX(0,customer_churn_dataset!N705))</f>
        <v>10.39</v>
      </c>
      <c r="O705" s="7" t="n">
        <f aca="false">IF(ISBLANK(customer_churn_dataset!O705),0,customer_churn_dataset!O705)</f>
        <v>1</v>
      </c>
      <c r="P705" s="7" t="str">
        <f aca="false">IF(COUNTIF(customer_churn_dataset!$A$2:$A$1501,customer_churn_dataset!A705)&gt;1,"Duplicate","Unique")</f>
        <v>Unique</v>
      </c>
    </row>
    <row r="706" customFormat="false" ht="14.15" hidden="false" customHeight="true" outlineLevel="0" collapsed="false">
      <c r="A706" s="7" t="str">
        <f aca="false">TRIM(customer_churn_dataset!A706)</f>
        <v>CUST101249</v>
      </c>
      <c r="B706" s="7" t="str">
        <f aca="false">PROPER(TRIM(customer_churn_dataset!B706))</f>
        <v>Standard</v>
      </c>
      <c r="C706" s="7" t="str">
        <f aca="false">PROPER(TRIM(customer_churn_dataset!C706))</f>
        <v>Month-To-Month</v>
      </c>
      <c r="D706" s="7" t="n">
        <f aca="false">IF(ISBLANK(customer_churn_dataset!D706),ROUND(MEDIAN(customer_churn_dataset!D$2:D$1501),2),IF(customer_churn_dataset!D706&lt;0,ABS(customer_churn_dataset!D706),customer_churn_dataset!D706))</f>
        <v>18.84</v>
      </c>
      <c r="E706" s="7" t="n">
        <f aca="false">IF(ISBLANK(customer_churn_dataset!E706),0,MAX(0,customer_churn_dataset!E706))</f>
        <v>26</v>
      </c>
      <c r="F706" s="8" t="n">
        <f aca="false">IF(ISBLANK(customer_churn_dataset!F706),"",customer_churn_dataset!F706)</f>
        <v>44774</v>
      </c>
      <c r="G706" s="7" t="str">
        <f aca="false">PROPER(TRIM(customer_churn_dataset!G706))</f>
        <v>Credit Card</v>
      </c>
      <c r="H706" s="7" t="n">
        <f aca="false">IF(ISBLANK(customer_churn_dataset!H706),0,customer_churn_dataset!H706)</f>
        <v>1</v>
      </c>
      <c r="I706" s="7" t="n">
        <f aca="false">IF(ISBLANK(customer_churn_dataset!I706),ROUND(MEDIAN(customer_churn_dataset!I$2:I$1501),1),MIN(100,MAX(0,customer_churn_dataset!I706)))</f>
        <v>49.9</v>
      </c>
      <c r="J706" s="7" t="n">
        <f aca="false">IF(ISBLANK(customer_churn_dataset!J706),0,MAX(0,customer_churn_dataset!J706))</f>
        <v>17</v>
      </c>
      <c r="K706" s="7" t="n">
        <f aca="false">IF(ISBLANK(customer_churn_dataset!K706),0,MIN(10,MAX(0,customer_churn_dataset!K706)))</f>
        <v>5</v>
      </c>
      <c r="L706" s="7" t="n">
        <f aca="false">IF(ISBLANK(customer_churn_dataset!L706),0,MAX(0,customer_churn_dataset!L706))</f>
        <v>1</v>
      </c>
      <c r="M706" s="7" t="n">
        <f aca="false">IF(ISBLANK(customer_churn_dataset!M706),0,customer_churn_dataset!M706)</f>
        <v>0</v>
      </c>
      <c r="N706" s="7" t="n">
        <f aca="false">IF(ISBLANK(customer_churn_dataset!N706),0,MAX(0,customer_churn_dataset!N706))</f>
        <v>489.84</v>
      </c>
      <c r="O706" s="7" t="n">
        <f aca="false">IF(ISBLANK(customer_churn_dataset!O706),0,customer_churn_dataset!O706)</f>
        <v>0</v>
      </c>
      <c r="P706" s="7" t="str">
        <f aca="false">IF(COUNTIF(customer_churn_dataset!$A$2:$A$1501,customer_churn_dataset!A706)&gt;1,"Duplicate","Unique")</f>
        <v>Unique</v>
      </c>
    </row>
    <row r="707" customFormat="false" ht="14.15" hidden="false" customHeight="true" outlineLevel="0" collapsed="false">
      <c r="A707" s="7" t="str">
        <f aca="false">TRIM(customer_churn_dataset!A707)</f>
        <v>CUST100401</v>
      </c>
      <c r="B707" s="7" t="str">
        <f aca="false">PROPER(TRIM(customer_churn_dataset!B707))</f>
        <v>Premium</v>
      </c>
      <c r="C707" s="7" t="str">
        <f aca="false">PROPER(TRIM(customer_churn_dataset!C707))</f>
        <v>Month-To-Month</v>
      </c>
      <c r="D707" s="7" t="n">
        <f aca="false">IF(ISBLANK(customer_churn_dataset!D707),ROUND(MEDIAN(customer_churn_dataset!D$2:D$1501),2),IF(customer_churn_dataset!D707&lt;0,ABS(customer_churn_dataset!D707),customer_churn_dataset!D707))</f>
        <v>39.24</v>
      </c>
      <c r="E707" s="7" t="n">
        <f aca="false">IF(ISBLANK(customer_churn_dataset!E707),0,MAX(0,customer_churn_dataset!E707))</f>
        <v>13</v>
      </c>
      <c r="F707" s="8" t="n">
        <f aca="false">IF(ISBLANK(customer_churn_dataset!F707),"",customer_churn_dataset!F707)</f>
        <v>44775</v>
      </c>
      <c r="G707" s="7" t="str">
        <f aca="false">PROPER(TRIM(customer_churn_dataset!G707))</f>
        <v>Credit Card</v>
      </c>
      <c r="H707" s="7" t="n">
        <f aca="false">IF(ISBLANK(customer_churn_dataset!H707),0,customer_churn_dataset!H707)</f>
        <v>1</v>
      </c>
      <c r="I707" s="7" t="n">
        <f aca="false">IF(ISBLANK(customer_churn_dataset!I707),ROUND(MEDIAN(customer_churn_dataset!I$2:I$1501),1),MIN(100,MAX(0,customer_churn_dataset!I707)))</f>
        <v>56.2</v>
      </c>
      <c r="J707" s="7" t="n">
        <f aca="false">IF(ISBLANK(customer_churn_dataset!J707),0,MAX(0,customer_churn_dataset!J707))</f>
        <v>14</v>
      </c>
      <c r="K707" s="7" t="n">
        <f aca="false">IF(ISBLANK(customer_churn_dataset!K707),0,MIN(10,MAX(0,customer_churn_dataset!K707)))</f>
        <v>8</v>
      </c>
      <c r="L707" s="7" t="n">
        <f aca="false">IF(ISBLANK(customer_churn_dataset!L707),0,MAX(0,customer_churn_dataset!L707))</f>
        <v>2</v>
      </c>
      <c r="M707" s="7" t="n">
        <f aca="false">IF(ISBLANK(customer_churn_dataset!M707),0,customer_churn_dataset!M707)</f>
        <v>0</v>
      </c>
      <c r="N707" s="7" t="n">
        <f aca="false">IF(ISBLANK(customer_churn_dataset!N707),0,MAX(0,customer_churn_dataset!N707))</f>
        <v>510.12</v>
      </c>
      <c r="O707" s="7" t="n">
        <f aca="false">IF(ISBLANK(customer_churn_dataset!O707),0,customer_churn_dataset!O707)</f>
        <v>0</v>
      </c>
      <c r="P707" s="7" t="str">
        <f aca="false">IF(COUNTIF(customer_churn_dataset!$A$2:$A$1501,customer_churn_dataset!A707)&gt;1,"Duplicate","Unique")</f>
        <v>Unique</v>
      </c>
    </row>
    <row r="708" customFormat="false" ht="14.15" hidden="false" customHeight="true" outlineLevel="0" collapsed="false">
      <c r="A708" s="7" t="str">
        <f aca="false">TRIM(customer_churn_dataset!A708)</f>
        <v>CUST101398</v>
      </c>
      <c r="B708" s="7" t="str">
        <f aca="false">PROPER(TRIM(customer_churn_dataset!B708))</f>
        <v>Standard</v>
      </c>
      <c r="C708" s="7" t="str">
        <f aca="false">PROPER(TRIM(customer_churn_dataset!C708))</f>
        <v>Month-To-Month</v>
      </c>
      <c r="D708" s="7" t="n">
        <f aca="false">IF(ISBLANK(customer_churn_dataset!D708),ROUND(MEDIAN(customer_churn_dataset!D$2:D$1501),2),IF(customer_churn_dataset!D708&lt;0,ABS(customer_churn_dataset!D708),customer_churn_dataset!D708))</f>
        <v>20.32</v>
      </c>
      <c r="E708" s="7" t="n">
        <f aca="false">IF(ISBLANK(customer_churn_dataset!E708),0,MAX(0,customer_churn_dataset!E708))</f>
        <v>40</v>
      </c>
      <c r="F708" s="8" t="n">
        <f aca="false">IF(ISBLANK(customer_churn_dataset!F708),"",customer_churn_dataset!F708)</f>
        <v>44776</v>
      </c>
      <c r="G708" s="7" t="str">
        <f aca="false">PROPER(TRIM(customer_churn_dataset!G708))</f>
        <v>Paypal</v>
      </c>
      <c r="H708" s="7" t="n">
        <f aca="false">IF(ISBLANK(customer_churn_dataset!H708),0,customer_churn_dataset!H708)</f>
        <v>0</v>
      </c>
      <c r="I708" s="7" t="n">
        <f aca="false">IF(ISBLANK(customer_churn_dataset!I708),ROUND(MEDIAN(customer_churn_dataset!I$2:I$1501),1),MIN(100,MAX(0,customer_churn_dataset!I708)))</f>
        <v>74.9</v>
      </c>
      <c r="J708" s="7" t="n">
        <f aca="false">IF(ISBLANK(customer_churn_dataset!J708),0,MAX(0,customer_churn_dataset!J708))</f>
        <v>23</v>
      </c>
      <c r="K708" s="7" t="n">
        <f aca="false">IF(ISBLANK(customer_churn_dataset!K708),0,MIN(10,MAX(0,customer_churn_dataset!K708)))</f>
        <v>8</v>
      </c>
      <c r="L708" s="7" t="n">
        <f aca="false">IF(ISBLANK(customer_churn_dataset!L708),0,MAX(0,customer_churn_dataset!L708))</f>
        <v>0</v>
      </c>
      <c r="M708" s="7" t="n">
        <f aca="false">IF(ISBLANK(customer_churn_dataset!M708),0,customer_churn_dataset!M708)</f>
        <v>0</v>
      </c>
      <c r="N708" s="7" t="n">
        <f aca="false">IF(ISBLANK(customer_churn_dataset!N708),0,MAX(0,customer_churn_dataset!N708))</f>
        <v>812.8</v>
      </c>
      <c r="O708" s="7" t="n">
        <f aca="false">IF(ISBLANK(customer_churn_dataset!O708),0,customer_churn_dataset!O708)</f>
        <v>0</v>
      </c>
      <c r="P708" s="7" t="str">
        <f aca="false">IF(COUNTIF(customer_churn_dataset!$A$2:$A$1501,customer_churn_dataset!A708)&gt;1,"Duplicate","Unique")</f>
        <v>Unique</v>
      </c>
    </row>
    <row r="709" customFormat="false" ht="14.15" hidden="false" customHeight="true" outlineLevel="0" collapsed="false">
      <c r="A709" s="7" t="str">
        <f aca="false">TRIM(customer_churn_dataset!A709)</f>
        <v>CUST101308</v>
      </c>
      <c r="B709" s="7" t="str">
        <f aca="false">PROPER(TRIM(customer_churn_dataset!B709))</f>
        <v>Basic</v>
      </c>
      <c r="C709" s="7" t="str">
        <f aca="false">PROPER(TRIM(customer_churn_dataset!C709))</f>
        <v>Month-To-Month</v>
      </c>
      <c r="D709" s="7" t="n">
        <f aca="false">IF(ISBLANK(customer_churn_dataset!D709),ROUND(MEDIAN(customer_churn_dataset!D$2:D$1501),2),IF(customer_churn_dataset!D709&lt;0,ABS(customer_churn_dataset!D709),customer_churn_dataset!D709))</f>
        <v>10.67</v>
      </c>
      <c r="E709" s="7" t="n">
        <f aca="false">IF(ISBLANK(customer_churn_dataset!E709),0,MAX(0,customer_churn_dataset!E709))</f>
        <v>15</v>
      </c>
      <c r="F709" s="8" t="n">
        <f aca="false">IF(ISBLANK(customer_churn_dataset!F709),"",customer_churn_dataset!F709)</f>
        <v>44780</v>
      </c>
      <c r="G709" s="7" t="str">
        <f aca="false">PROPER(TRIM(customer_churn_dataset!G709))</f>
        <v>Paypal</v>
      </c>
      <c r="H709" s="7" t="n">
        <f aca="false">IF(ISBLANK(customer_churn_dataset!H709),0,customer_churn_dataset!H709)</f>
        <v>1</v>
      </c>
      <c r="I709" s="7" t="n">
        <f aca="false">IF(ISBLANK(customer_churn_dataset!I709),ROUND(MEDIAN(customer_churn_dataset!I$2:I$1501),1),MIN(100,MAX(0,customer_churn_dataset!I709)))</f>
        <v>39</v>
      </c>
      <c r="J709" s="7" t="n">
        <f aca="false">IF(ISBLANK(customer_churn_dataset!J709),0,MAX(0,customer_churn_dataset!J709))</f>
        <v>13</v>
      </c>
      <c r="K709" s="7" t="n">
        <f aca="false">IF(ISBLANK(customer_churn_dataset!K709),0,MIN(10,MAX(0,customer_churn_dataset!K709)))</f>
        <v>5</v>
      </c>
      <c r="L709" s="7" t="n">
        <f aca="false">IF(ISBLANK(customer_churn_dataset!L709),0,MAX(0,customer_churn_dataset!L709))</f>
        <v>1</v>
      </c>
      <c r="M709" s="7" t="n">
        <f aca="false">IF(ISBLANK(customer_churn_dataset!M709),0,customer_churn_dataset!M709)</f>
        <v>1</v>
      </c>
      <c r="N709" s="7" t="n">
        <f aca="false">IF(ISBLANK(customer_churn_dataset!N709),0,MAX(0,customer_churn_dataset!N709))</f>
        <v>160.05</v>
      </c>
      <c r="O709" s="7" t="n">
        <f aca="false">IF(ISBLANK(customer_churn_dataset!O709),0,customer_churn_dataset!O709)</f>
        <v>1</v>
      </c>
      <c r="P709" s="7" t="str">
        <f aca="false">IF(COUNTIF(customer_churn_dataset!$A$2:$A$1501,customer_churn_dataset!A709)&gt;1,"Duplicate","Unique")</f>
        <v>Unique</v>
      </c>
    </row>
    <row r="710" customFormat="false" ht="14.15" hidden="false" customHeight="true" outlineLevel="0" collapsed="false">
      <c r="A710" s="7" t="str">
        <f aca="false">TRIM(customer_churn_dataset!A710)</f>
        <v>CUST100149</v>
      </c>
      <c r="B710" s="7" t="str">
        <f aca="false">PROPER(TRIM(customer_churn_dataset!B710))</f>
        <v>Basic</v>
      </c>
      <c r="C710" s="7" t="str">
        <f aca="false">PROPER(TRIM(customer_churn_dataset!C710))</f>
        <v>Two Year</v>
      </c>
      <c r="D710" s="7" t="n">
        <f aca="false">IF(ISBLANK(customer_churn_dataset!D710),ROUND(MEDIAN(customer_churn_dataset!D$2:D$1501),2),IF(customer_churn_dataset!D710&lt;0,ABS(customer_churn_dataset!D710),customer_churn_dataset!D710))</f>
        <v>10.46</v>
      </c>
      <c r="E710" s="7" t="n">
        <f aca="false">IF(ISBLANK(customer_churn_dataset!E710),0,MAX(0,customer_churn_dataset!E710))</f>
        <v>5</v>
      </c>
      <c r="F710" s="8" t="n">
        <f aca="false">IF(ISBLANK(customer_churn_dataset!F710),"",customer_churn_dataset!F710)</f>
        <v>44781</v>
      </c>
      <c r="G710" s="7" t="str">
        <f aca="false">PROPER(TRIM(customer_churn_dataset!G710))</f>
        <v>Credit Card</v>
      </c>
      <c r="H710" s="7" t="n">
        <f aca="false">IF(ISBLANK(customer_churn_dataset!H710),0,customer_churn_dataset!H710)</f>
        <v>1</v>
      </c>
      <c r="I710" s="7" t="n">
        <f aca="false">IF(ISBLANK(customer_churn_dataset!I710),ROUND(MEDIAN(customer_churn_dataset!I$2:I$1501),1),MIN(100,MAX(0,customer_churn_dataset!I710)))</f>
        <v>40.6</v>
      </c>
      <c r="J710" s="7" t="n">
        <f aca="false">IF(ISBLANK(customer_churn_dataset!J710),0,MAX(0,customer_churn_dataset!J710))</f>
        <v>11</v>
      </c>
      <c r="K710" s="7" t="n">
        <f aca="false">IF(ISBLANK(customer_churn_dataset!K710),0,MIN(10,MAX(0,customer_churn_dataset!K710)))</f>
        <v>4</v>
      </c>
      <c r="L710" s="7" t="n">
        <f aca="false">IF(ISBLANK(customer_churn_dataset!L710),0,MAX(0,customer_churn_dataset!L710))</f>
        <v>1</v>
      </c>
      <c r="M710" s="7" t="n">
        <f aca="false">IF(ISBLANK(customer_churn_dataset!M710),0,customer_churn_dataset!M710)</f>
        <v>1</v>
      </c>
      <c r="N710" s="7" t="n">
        <f aca="false">IF(ISBLANK(customer_churn_dataset!N710),0,MAX(0,customer_churn_dataset!N710))</f>
        <v>52.3</v>
      </c>
      <c r="O710" s="7" t="n">
        <f aca="false">IF(ISBLANK(customer_churn_dataset!O710),0,customer_churn_dataset!O710)</f>
        <v>0</v>
      </c>
      <c r="P710" s="7" t="str">
        <f aca="false">IF(COUNTIF(customer_churn_dataset!$A$2:$A$1501,customer_churn_dataset!A710)&gt;1,"Duplicate","Unique")</f>
        <v>Unique</v>
      </c>
    </row>
    <row r="711" customFormat="false" ht="14.15" hidden="false" customHeight="true" outlineLevel="0" collapsed="false">
      <c r="A711" s="7" t="str">
        <f aca="false">TRIM(customer_churn_dataset!A711)</f>
        <v>CUST101015</v>
      </c>
      <c r="B711" s="7" t="str">
        <f aca="false">PROPER(TRIM(customer_churn_dataset!B711))</f>
        <v>Premium</v>
      </c>
      <c r="C711" s="7" t="str">
        <f aca="false">PROPER(TRIM(customer_churn_dataset!C711))</f>
        <v>Month-To-Month</v>
      </c>
      <c r="D711" s="7" t="n">
        <f aca="false">IF(ISBLANK(customer_churn_dataset!D711),ROUND(MEDIAN(customer_churn_dataset!D$2:D$1501),2),IF(customer_churn_dataset!D711&lt;0,ABS(customer_churn_dataset!D711),customer_churn_dataset!D711))</f>
        <v>42.08</v>
      </c>
      <c r="E711" s="7" t="n">
        <f aca="false">IF(ISBLANK(customer_churn_dataset!E711),0,MAX(0,customer_churn_dataset!E711))</f>
        <v>21</v>
      </c>
      <c r="F711" s="8" t="n">
        <f aca="false">IF(ISBLANK(customer_churn_dataset!F711),"",customer_churn_dataset!F711)</f>
        <v>44781</v>
      </c>
      <c r="G711" s="7" t="str">
        <f aca="false">PROPER(TRIM(customer_churn_dataset!G711))</f>
        <v>Credit Card</v>
      </c>
      <c r="H711" s="7" t="n">
        <f aca="false">IF(ISBLANK(customer_churn_dataset!H711),0,customer_churn_dataset!H711)</f>
        <v>1</v>
      </c>
      <c r="I711" s="7" t="n">
        <f aca="false">IF(ISBLANK(customer_churn_dataset!I711),ROUND(MEDIAN(customer_churn_dataset!I$2:I$1501),1),MIN(100,MAX(0,customer_churn_dataset!I711)))</f>
        <v>66.3</v>
      </c>
      <c r="J711" s="7" t="n">
        <f aca="false">IF(ISBLANK(customer_churn_dataset!J711),0,MAX(0,customer_churn_dataset!J711))</f>
        <v>22</v>
      </c>
      <c r="K711" s="7" t="n">
        <f aca="false">IF(ISBLANK(customer_churn_dataset!K711),0,MIN(10,MAX(0,customer_churn_dataset!K711)))</f>
        <v>5</v>
      </c>
      <c r="L711" s="7" t="n">
        <f aca="false">IF(ISBLANK(customer_churn_dataset!L711),0,MAX(0,customer_churn_dataset!L711))</f>
        <v>0</v>
      </c>
      <c r="M711" s="7" t="n">
        <f aca="false">IF(ISBLANK(customer_churn_dataset!M711),0,customer_churn_dataset!M711)</f>
        <v>0</v>
      </c>
      <c r="N711" s="7" t="n">
        <f aca="false">IF(ISBLANK(customer_churn_dataset!N711),0,MAX(0,customer_churn_dataset!N711))</f>
        <v>883.68</v>
      </c>
      <c r="O711" s="7" t="n">
        <f aca="false">IF(ISBLANK(customer_churn_dataset!O711),0,customer_churn_dataset!O711)</f>
        <v>0</v>
      </c>
      <c r="P711" s="7" t="str">
        <f aca="false">IF(COUNTIF(customer_churn_dataset!$A$2:$A$1501,customer_churn_dataset!A711)&gt;1,"Duplicate","Unique")</f>
        <v>Unique</v>
      </c>
    </row>
    <row r="712" customFormat="false" ht="14.15" hidden="false" customHeight="true" outlineLevel="0" collapsed="false">
      <c r="A712" s="7" t="str">
        <f aca="false">TRIM(customer_churn_dataset!A712)</f>
        <v>CUST101403</v>
      </c>
      <c r="B712" s="7" t="str">
        <f aca="false">PROPER(TRIM(customer_churn_dataset!B712))</f>
        <v>Standard</v>
      </c>
      <c r="C712" s="7" t="str">
        <f aca="false">PROPER(TRIM(customer_churn_dataset!C712))</f>
        <v>Month-To-Month</v>
      </c>
      <c r="D712" s="7" t="n">
        <f aca="false">IF(ISBLANK(customer_churn_dataset!D712),ROUND(MEDIAN(customer_churn_dataset!D$2:D$1501),2),IF(customer_churn_dataset!D712&lt;0,ABS(customer_churn_dataset!D712),customer_churn_dataset!D712))</f>
        <v>20.25</v>
      </c>
      <c r="E712" s="7" t="n">
        <f aca="false">IF(ISBLANK(customer_churn_dataset!E712),0,MAX(0,customer_churn_dataset!E712))</f>
        <v>22</v>
      </c>
      <c r="F712" s="8" t="n">
        <f aca="false">IF(ISBLANK(customer_churn_dataset!F712),"",customer_churn_dataset!F712)</f>
        <v>44782</v>
      </c>
      <c r="G712" s="7" t="str">
        <f aca="false">PROPER(TRIM(customer_churn_dataset!G712))</f>
        <v>Bank Transfer</v>
      </c>
      <c r="H712" s="7" t="n">
        <f aca="false">IF(ISBLANK(customer_churn_dataset!H712),0,customer_churn_dataset!H712)</f>
        <v>0</v>
      </c>
      <c r="I712" s="7" t="n">
        <f aca="false">IF(ISBLANK(customer_churn_dataset!I712),ROUND(MEDIAN(customer_churn_dataset!I$2:I$1501),1),MIN(100,MAX(0,customer_churn_dataset!I712)))</f>
        <v>38</v>
      </c>
      <c r="J712" s="7" t="n">
        <f aca="false">IF(ISBLANK(customer_churn_dataset!J712),0,MAX(0,customer_churn_dataset!J712))</f>
        <v>17</v>
      </c>
      <c r="K712" s="7" t="n">
        <f aca="false">IF(ISBLANK(customer_churn_dataset!K712),0,MIN(10,MAX(0,customer_churn_dataset!K712)))</f>
        <v>2</v>
      </c>
      <c r="L712" s="7" t="n">
        <f aca="false">IF(ISBLANK(customer_churn_dataset!L712),0,MAX(0,customer_churn_dataset!L712))</f>
        <v>1</v>
      </c>
      <c r="M712" s="7" t="n">
        <f aca="false">IF(ISBLANK(customer_churn_dataset!M712),0,customer_churn_dataset!M712)</f>
        <v>0</v>
      </c>
      <c r="N712" s="7" t="n">
        <f aca="false">IF(ISBLANK(customer_churn_dataset!N712),0,MAX(0,customer_churn_dataset!N712))</f>
        <v>445.5</v>
      </c>
      <c r="O712" s="7" t="n">
        <f aca="false">IF(ISBLANK(customer_churn_dataset!O712),0,customer_churn_dataset!O712)</f>
        <v>0</v>
      </c>
      <c r="P712" s="7" t="str">
        <f aca="false">IF(COUNTIF(customer_churn_dataset!$A$2:$A$1501,customer_churn_dataset!A712)&gt;1,"Duplicate","Unique")</f>
        <v>Unique</v>
      </c>
    </row>
    <row r="713" customFormat="false" ht="14.15" hidden="false" customHeight="true" outlineLevel="0" collapsed="false">
      <c r="A713" s="7" t="str">
        <f aca="false">TRIM(customer_churn_dataset!A713)</f>
        <v>CUST100494</v>
      </c>
      <c r="B713" s="7" t="str">
        <f aca="false">PROPER(TRIM(customer_churn_dataset!B713))</f>
        <v>Standard</v>
      </c>
      <c r="C713" s="7" t="str">
        <f aca="false">PROPER(TRIM(customer_churn_dataset!C713))</f>
        <v>One Year</v>
      </c>
      <c r="D713" s="7" t="n">
        <f aca="false">IF(ISBLANK(customer_churn_dataset!D713),ROUND(MEDIAN(customer_churn_dataset!D$2:D$1501),2),IF(customer_churn_dataset!D713&lt;0,ABS(customer_churn_dataset!D713),customer_churn_dataset!D713))</f>
        <v>20.33</v>
      </c>
      <c r="E713" s="7" t="n">
        <f aca="false">IF(ISBLANK(customer_churn_dataset!E713),0,MAX(0,customer_churn_dataset!E713))</f>
        <v>20</v>
      </c>
      <c r="F713" s="8" t="n">
        <f aca="false">IF(ISBLANK(customer_churn_dataset!F713),"",customer_churn_dataset!F713)</f>
        <v>44785</v>
      </c>
      <c r="G713" s="7" t="str">
        <f aca="false">PROPER(TRIM(customer_churn_dataset!G713))</f>
        <v>Credit Card</v>
      </c>
      <c r="H713" s="7" t="n">
        <f aca="false">IF(ISBLANK(customer_churn_dataset!H713),0,customer_churn_dataset!H713)</f>
        <v>0</v>
      </c>
      <c r="I713" s="7" t="n">
        <f aca="false">IF(ISBLANK(customer_churn_dataset!I713),ROUND(MEDIAN(customer_churn_dataset!I$2:I$1501),1),MIN(100,MAX(0,customer_churn_dataset!I713)))</f>
        <v>65.4</v>
      </c>
      <c r="J713" s="7" t="n">
        <f aca="false">IF(ISBLANK(customer_churn_dataset!J713),0,MAX(0,customer_churn_dataset!J713))</f>
        <v>20</v>
      </c>
      <c r="K713" s="7" t="n">
        <f aca="false">IF(ISBLANK(customer_churn_dataset!K713),0,MIN(10,MAX(0,customer_churn_dataset!K713)))</f>
        <v>6</v>
      </c>
      <c r="L713" s="7" t="n">
        <f aca="false">IF(ISBLANK(customer_churn_dataset!L713),0,MAX(0,customer_churn_dataset!L713))</f>
        <v>1</v>
      </c>
      <c r="M713" s="7" t="n">
        <f aca="false">IF(ISBLANK(customer_churn_dataset!M713),0,customer_churn_dataset!M713)</f>
        <v>0</v>
      </c>
      <c r="N713" s="7" t="n">
        <f aca="false">IF(ISBLANK(customer_churn_dataset!N713),0,MAX(0,customer_churn_dataset!N713))</f>
        <v>406.6</v>
      </c>
      <c r="O713" s="7" t="n">
        <f aca="false">IF(ISBLANK(customer_churn_dataset!O713),0,customer_churn_dataset!O713)</f>
        <v>0</v>
      </c>
      <c r="P713" s="7" t="str">
        <f aca="false">IF(COUNTIF(customer_churn_dataset!$A$2:$A$1501,customer_churn_dataset!A713)&gt;1,"Duplicate","Unique")</f>
        <v>Unique</v>
      </c>
    </row>
    <row r="714" customFormat="false" ht="14.15" hidden="false" customHeight="true" outlineLevel="0" collapsed="false">
      <c r="A714" s="7" t="str">
        <f aca="false">TRIM(customer_churn_dataset!A714)</f>
        <v>CUST101423</v>
      </c>
      <c r="B714" s="7" t="str">
        <f aca="false">PROPER(TRIM(customer_churn_dataset!B714))</f>
        <v>Basic</v>
      </c>
      <c r="C714" s="7" t="str">
        <f aca="false">PROPER(TRIM(customer_churn_dataset!C714))</f>
        <v>Month-To-Month</v>
      </c>
      <c r="D714" s="7" t="n">
        <f aca="false">IF(ISBLANK(customer_churn_dataset!D714),ROUND(MEDIAN(customer_churn_dataset!D$2:D$1501),2),IF(customer_churn_dataset!D714&lt;0,ABS(customer_churn_dataset!D714),customer_churn_dataset!D714))</f>
        <v>11.21</v>
      </c>
      <c r="E714" s="7" t="n">
        <f aca="false">IF(ISBLANK(customer_churn_dataset!E714),0,MAX(0,customer_churn_dataset!E714))</f>
        <v>13</v>
      </c>
      <c r="F714" s="8" t="n">
        <f aca="false">IF(ISBLANK(customer_churn_dataset!F714),"",customer_churn_dataset!F714)</f>
        <v>44786</v>
      </c>
      <c r="G714" s="7" t="str">
        <f aca="false">PROPER(TRIM(customer_churn_dataset!G714))</f>
        <v>Paypal</v>
      </c>
      <c r="H714" s="7" t="n">
        <f aca="false">IF(ISBLANK(customer_churn_dataset!H714),0,customer_churn_dataset!H714)</f>
        <v>1</v>
      </c>
      <c r="I714" s="7" t="n">
        <f aca="false">IF(ISBLANK(customer_churn_dataset!I714),ROUND(MEDIAN(customer_churn_dataset!I$2:I$1501),1),MIN(100,MAX(0,customer_churn_dataset!I714)))</f>
        <v>40.4</v>
      </c>
      <c r="J714" s="7" t="n">
        <f aca="false">IF(ISBLANK(customer_churn_dataset!J714),0,MAX(0,customer_churn_dataset!J714))</f>
        <v>12</v>
      </c>
      <c r="K714" s="7" t="n">
        <f aca="false">IF(ISBLANK(customer_churn_dataset!K714),0,MIN(10,MAX(0,customer_churn_dataset!K714)))</f>
        <v>6</v>
      </c>
      <c r="L714" s="7" t="n">
        <f aca="false">IF(ISBLANK(customer_churn_dataset!L714),0,MAX(0,customer_churn_dataset!L714))</f>
        <v>2</v>
      </c>
      <c r="M714" s="7" t="n">
        <f aca="false">IF(ISBLANK(customer_churn_dataset!M714),0,customer_churn_dataset!M714)</f>
        <v>1</v>
      </c>
      <c r="N714" s="7" t="n">
        <f aca="false">IF(ISBLANK(customer_churn_dataset!N714),0,MAX(0,customer_churn_dataset!N714))</f>
        <v>145.73</v>
      </c>
      <c r="O714" s="7" t="n">
        <f aca="false">IF(ISBLANK(customer_churn_dataset!O714),0,customer_churn_dataset!O714)</f>
        <v>1</v>
      </c>
      <c r="P714" s="7" t="str">
        <f aca="false">IF(COUNTIF(customer_churn_dataset!$A$2:$A$1501,customer_churn_dataset!A714)&gt;1,"Duplicate","Unique")</f>
        <v>Unique</v>
      </c>
    </row>
    <row r="715" customFormat="false" ht="14.15" hidden="false" customHeight="true" outlineLevel="0" collapsed="false">
      <c r="A715" s="7" t="str">
        <f aca="false">TRIM(customer_churn_dataset!A715)</f>
        <v>CUST100919</v>
      </c>
      <c r="B715" s="7" t="str">
        <f aca="false">PROPER(TRIM(customer_churn_dataset!B715))</f>
        <v>Basic</v>
      </c>
      <c r="C715" s="7" t="str">
        <f aca="false">PROPER(TRIM(customer_churn_dataset!C715))</f>
        <v>One Year</v>
      </c>
      <c r="D715" s="7" t="n">
        <f aca="false">IF(ISBLANK(customer_churn_dataset!D715),ROUND(MEDIAN(customer_churn_dataset!D$2:D$1501),2),IF(customer_churn_dataset!D715&lt;0,ABS(customer_churn_dataset!D715),customer_churn_dataset!D715))</f>
        <v>9.54</v>
      </c>
      <c r="E715" s="7" t="n">
        <f aca="false">IF(ISBLANK(customer_churn_dataset!E715),0,MAX(0,customer_churn_dataset!E715))</f>
        <v>52</v>
      </c>
      <c r="F715" s="8" t="n">
        <f aca="false">IF(ISBLANK(customer_churn_dataset!F715),"",customer_churn_dataset!F715)</f>
        <v>44786</v>
      </c>
      <c r="G715" s="7" t="str">
        <f aca="false">PROPER(TRIM(customer_churn_dataset!G715))</f>
        <v>Paypal</v>
      </c>
      <c r="H715" s="7" t="n">
        <f aca="false">IF(ISBLANK(customer_churn_dataset!H715),0,customer_churn_dataset!H715)</f>
        <v>0</v>
      </c>
      <c r="I715" s="7" t="n">
        <f aca="false">IF(ISBLANK(customer_churn_dataset!I715),ROUND(MEDIAN(customer_churn_dataset!I$2:I$1501),1),MIN(100,MAX(0,customer_churn_dataset!I715)))</f>
        <v>68.7</v>
      </c>
      <c r="J715" s="7" t="n">
        <f aca="false">IF(ISBLANK(customer_churn_dataset!J715),0,MAX(0,customer_churn_dataset!J715))</f>
        <v>27</v>
      </c>
      <c r="K715" s="7" t="n">
        <f aca="false">IF(ISBLANK(customer_churn_dataset!K715),0,MIN(10,MAX(0,customer_churn_dataset!K715)))</f>
        <v>5</v>
      </c>
      <c r="L715" s="7" t="n">
        <f aca="false">IF(ISBLANK(customer_churn_dataset!L715),0,MAX(0,customer_churn_dataset!L715))</f>
        <v>0</v>
      </c>
      <c r="M715" s="7" t="n">
        <f aca="false">IF(ISBLANK(customer_churn_dataset!M715),0,customer_churn_dataset!M715)</f>
        <v>0</v>
      </c>
      <c r="N715" s="7" t="n">
        <f aca="false">IF(ISBLANK(customer_churn_dataset!N715),0,MAX(0,customer_churn_dataset!N715))</f>
        <v>496.08</v>
      </c>
      <c r="O715" s="7" t="n">
        <f aca="false">IF(ISBLANK(customer_churn_dataset!O715),0,customer_churn_dataset!O715)</f>
        <v>0</v>
      </c>
      <c r="P715" s="7" t="str">
        <f aca="false">IF(COUNTIF(customer_churn_dataset!$A$2:$A$1501,customer_churn_dataset!A715)&gt;1,"Duplicate","Unique")</f>
        <v>Unique</v>
      </c>
    </row>
    <row r="716" customFormat="false" ht="14.15" hidden="false" customHeight="true" outlineLevel="0" collapsed="false">
      <c r="A716" s="7" t="str">
        <f aca="false">TRIM(customer_churn_dataset!A716)</f>
        <v>CUST100269</v>
      </c>
      <c r="B716" s="7" t="str">
        <f aca="false">PROPER(TRIM(customer_churn_dataset!B716))</f>
        <v>Basic</v>
      </c>
      <c r="C716" s="7" t="str">
        <f aca="false">PROPER(TRIM(customer_churn_dataset!C716))</f>
        <v>Month-To-Month</v>
      </c>
      <c r="D716" s="7" t="n">
        <f aca="false">IF(ISBLANK(customer_churn_dataset!D716),ROUND(MEDIAN(customer_churn_dataset!D$2:D$1501),2),IF(customer_churn_dataset!D716&lt;0,ABS(customer_churn_dataset!D716),customer_churn_dataset!D716))</f>
        <v>9.71</v>
      </c>
      <c r="E716" s="7" t="n">
        <f aca="false">IF(ISBLANK(customer_churn_dataset!E716),0,MAX(0,customer_churn_dataset!E716))</f>
        <v>10</v>
      </c>
      <c r="F716" s="8" t="n">
        <f aca="false">IF(ISBLANK(customer_churn_dataset!F716),"",customer_churn_dataset!F716)</f>
        <v>44786</v>
      </c>
      <c r="G716" s="7" t="str">
        <f aca="false">PROPER(TRIM(customer_churn_dataset!G716))</f>
        <v>Credit Card</v>
      </c>
      <c r="H716" s="7" t="n">
        <f aca="false">IF(ISBLANK(customer_churn_dataset!H716),0,customer_churn_dataset!H716)</f>
        <v>1</v>
      </c>
      <c r="I716" s="7" t="n">
        <f aca="false">IF(ISBLANK(customer_churn_dataset!I716),ROUND(MEDIAN(customer_churn_dataset!I$2:I$1501),1),MIN(100,MAX(0,customer_churn_dataset!I716)))</f>
        <v>41.7</v>
      </c>
      <c r="J716" s="7" t="n">
        <f aca="false">IF(ISBLANK(customer_churn_dataset!J716),0,MAX(0,customer_churn_dataset!J716))</f>
        <v>17</v>
      </c>
      <c r="K716" s="7" t="n">
        <f aca="false">IF(ISBLANK(customer_churn_dataset!K716),0,MIN(10,MAX(0,customer_churn_dataset!K716)))</f>
        <v>4</v>
      </c>
      <c r="L716" s="7" t="n">
        <f aca="false">IF(ISBLANK(customer_churn_dataset!L716),0,MAX(0,customer_churn_dataset!L716))</f>
        <v>1</v>
      </c>
      <c r="M716" s="7" t="n">
        <f aca="false">IF(ISBLANK(customer_churn_dataset!M716),0,customer_churn_dataset!M716)</f>
        <v>0</v>
      </c>
      <c r="N716" s="7" t="n">
        <f aca="false">IF(ISBLANK(customer_churn_dataset!N716),0,MAX(0,customer_churn_dataset!N716))</f>
        <v>97.1</v>
      </c>
      <c r="O716" s="7" t="n">
        <f aca="false">IF(ISBLANK(customer_churn_dataset!O716),0,customer_churn_dataset!O716)</f>
        <v>0</v>
      </c>
      <c r="P716" s="7" t="str">
        <f aca="false">IF(COUNTIF(customer_churn_dataset!$A$2:$A$1501,customer_churn_dataset!A716)&gt;1,"Duplicate","Unique")</f>
        <v>Unique</v>
      </c>
    </row>
    <row r="717" customFormat="false" ht="14.15" hidden="false" customHeight="true" outlineLevel="0" collapsed="false">
      <c r="A717" s="7" t="str">
        <f aca="false">TRIM(customer_churn_dataset!A717)</f>
        <v>CUST101327</v>
      </c>
      <c r="B717" s="7" t="str">
        <f aca="false">PROPER(TRIM(customer_churn_dataset!B717))</f>
        <v>Standard</v>
      </c>
      <c r="C717" s="7" t="str">
        <f aca="false">PROPER(TRIM(customer_churn_dataset!C717))</f>
        <v>Month-To-Month</v>
      </c>
      <c r="D717" s="7" t="n">
        <f aca="false">IF(ISBLANK(customer_churn_dataset!D717),ROUND(MEDIAN(customer_churn_dataset!D$2:D$1501),2),IF(customer_churn_dataset!D717&lt;0,ABS(customer_churn_dataset!D717),customer_churn_dataset!D717))</f>
        <v>19.94</v>
      </c>
      <c r="E717" s="7" t="n">
        <f aca="false">IF(ISBLANK(customer_churn_dataset!E717),0,MAX(0,customer_churn_dataset!E717))</f>
        <v>60</v>
      </c>
      <c r="F717" s="8" t="n">
        <f aca="false">IF(ISBLANK(customer_churn_dataset!F717),"",customer_churn_dataset!F717)</f>
        <v>44789</v>
      </c>
      <c r="G717" s="7" t="str">
        <f aca="false">PROPER(TRIM(customer_churn_dataset!G717))</f>
        <v>Paypal</v>
      </c>
      <c r="H717" s="7" t="n">
        <f aca="false">IF(ISBLANK(customer_churn_dataset!H717),0,customer_churn_dataset!H717)</f>
        <v>1</v>
      </c>
      <c r="I717" s="7" t="n">
        <f aca="false">IF(ISBLANK(customer_churn_dataset!I717),ROUND(MEDIAN(customer_churn_dataset!I$2:I$1501),1),MIN(100,MAX(0,customer_churn_dataset!I717)))</f>
        <v>46.9</v>
      </c>
      <c r="J717" s="7" t="n">
        <f aca="false">IF(ISBLANK(customer_churn_dataset!J717),0,MAX(0,customer_churn_dataset!J717))</f>
        <v>18</v>
      </c>
      <c r="K717" s="7" t="n">
        <f aca="false">IF(ISBLANK(customer_churn_dataset!K717),0,MIN(10,MAX(0,customer_churn_dataset!K717)))</f>
        <v>3</v>
      </c>
      <c r="L717" s="7" t="n">
        <f aca="false">IF(ISBLANK(customer_churn_dataset!L717),0,MAX(0,customer_churn_dataset!L717))</f>
        <v>0</v>
      </c>
      <c r="M717" s="7" t="n">
        <f aca="false">IF(ISBLANK(customer_churn_dataset!M717),0,customer_churn_dataset!M717)</f>
        <v>0</v>
      </c>
      <c r="N717" s="7" t="n">
        <f aca="false">IF(ISBLANK(customer_churn_dataset!N717),0,MAX(0,customer_churn_dataset!N717))</f>
        <v>1196.4</v>
      </c>
      <c r="O717" s="7" t="n">
        <f aca="false">IF(ISBLANK(customer_churn_dataset!O717),0,customer_churn_dataset!O717)</f>
        <v>0</v>
      </c>
      <c r="P717" s="7" t="str">
        <f aca="false">IF(COUNTIF(customer_churn_dataset!$A$2:$A$1501,customer_churn_dataset!A717)&gt;1,"Duplicate","Unique")</f>
        <v>Unique</v>
      </c>
    </row>
    <row r="718" customFormat="false" ht="14.15" hidden="false" customHeight="true" outlineLevel="0" collapsed="false">
      <c r="A718" s="7" t="str">
        <f aca="false">TRIM(customer_churn_dataset!A718)</f>
        <v>CUST100756</v>
      </c>
      <c r="B718" s="7" t="str">
        <f aca="false">PROPER(TRIM(customer_churn_dataset!B718))</f>
        <v>Standard</v>
      </c>
      <c r="C718" s="7" t="str">
        <f aca="false">PROPER(TRIM(customer_churn_dataset!C718))</f>
        <v>One Year</v>
      </c>
      <c r="D718" s="7" t="n">
        <f aca="false">IF(ISBLANK(customer_churn_dataset!D718),ROUND(MEDIAN(customer_churn_dataset!D$2:D$1501),2),IF(customer_churn_dataset!D718&lt;0,ABS(customer_churn_dataset!D718),customer_churn_dataset!D718))</f>
        <v>19.2</v>
      </c>
      <c r="E718" s="7" t="n">
        <f aca="false">IF(ISBLANK(customer_churn_dataset!E718),0,MAX(0,customer_churn_dataset!E718))</f>
        <v>37</v>
      </c>
      <c r="F718" s="8" t="n">
        <f aca="false">IF(ISBLANK(customer_churn_dataset!F718),"",customer_churn_dataset!F718)</f>
        <v>44790</v>
      </c>
      <c r="G718" s="7" t="str">
        <f aca="false">PROPER(TRIM(customer_churn_dataset!G718))</f>
        <v>Paypal</v>
      </c>
      <c r="H718" s="7" t="n">
        <f aca="false">IF(ISBLANK(customer_churn_dataset!H718),0,customer_churn_dataset!H718)</f>
        <v>0</v>
      </c>
      <c r="I718" s="7" t="n">
        <f aca="false">IF(ISBLANK(customer_churn_dataset!I718),ROUND(MEDIAN(customer_churn_dataset!I$2:I$1501),1),MIN(100,MAX(0,customer_churn_dataset!I718)))</f>
        <v>56.9</v>
      </c>
      <c r="J718" s="7" t="n">
        <f aca="false">IF(ISBLANK(customer_churn_dataset!J718),0,MAX(0,customer_churn_dataset!J718))</f>
        <v>21</v>
      </c>
      <c r="K718" s="7" t="n">
        <f aca="false">IF(ISBLANK(customer_churn_dataset!K718),0,MIN(10,MAX(0,customer_churn_dataset!K718)))</f>
        <v>6</v>
      </c>
      <c r="L718" s="7" t="n">
        <f aca="false">IF(ISBLANK(customer_churn_dataset!L718),0,MAX(0,customer_churn_dataset!L718))</f>
        <v>0</v>
      </c>
      <c r="M718" s="7" t="n">
        <f aca="false">IF(ISBLANK(customer_churn_dataset!M718),0,customer_churn_dataset!M718)</f>
        <v>0</v>
      </c>
      <c r="N718" s="7" t="n">
        <f aca="false">IF(ISBLANK(customer_churn_dataset!N718),0,MAX(0,customer_churn_dataset!N718))</f>
        <v>710.4</v>
      </c>
      <c r="O718" s="7" t="n">
        <f aca="false">IF(ISBLANK(customer_churn_dataset!O718),0,customer_churn_dataset!O718)</f>
        <v>0</v>
      </c>
      <c r="P718" s="7" t="str">
        <f aca="false">IF(COUNTIF(customer_churn_dataset!$A$2:$A$1501,customer_churn_dataset!A718)&gt;1,"Duplicate","Unique")</f>
        <v>Unique</v>
      </c>
    </row>
    <row r="719" customFormat="false" ht="14.15" hidden="false" customHeight="true" outlineLevel="0" collapsed="false">
      <c r="A719" s="7" t="str">
        <f aca="false">TRIM(customer_churn_dataset!A719)</f>
        <v>CUST100469</v>
      </c>
      <c r="B719" s="7" t="str">
        <f aca="false">PROPER(TRIM(customer_churn_dataset!B719))</f>
        <v>Premium</v>
      </c>
      <c r="C719" s="7" t="str">
        <f aca="false">PROPER(TRIM(customer_churn_dataset!C719))</f>
        <v>Month-To-Month</v>
      </c>
      <c r="D719" s="7" t="n">
        <f aca="false">IF(ISBLANK(customer_churn_dataset!D719),ROUND(MEDIAN(customer_churn_dataset!D$2:D$1501),2),IF(customer_churn_dataset!D719&lt;0,ABS(customer_churn_dataset!D719),customer_churn_dataset!D719))</f>
        <v>40.84</v>
      </c>
      <c r="E719" s="7" t="n">
        <f aca="false">IF(ISBLANK(customer_churn_dataset!E719),0,MAX(0,customer_churn_dataset!E719))</f>
        <v>63</v>
      </c>
      <c r="F719" s="8" t="n">
        <f aca="false">IF(ISBLANK(customer_churn_dataset!F719),"",customer_churn_dataset!F719)</f>
        <v>44791</v>
      </c>
      <c r="G719" s="7" t="str">
        <f aca="false">PROPER(TRIM(customer_churn_dataset!G719))</f>
        <v>Credit Card</v>
      </c>
      <c r="H719" s="7" t="n">
        <f aca="false">IF(ISBLANK(customer_churn_dataset!H719),0,customer_churn_dataset!H719)</f>
        <v>1</v>
      </c>
      <c r="I719" s="7" t="n">
        <f aca="false">IF(ISBLANK(customer_churn_dataset!I719),ROUND(MEDIAN(customer_churn_dataset!I$2:I$1501),1),MIN(100,MAX(0,customer_churn_dataset!I719)))</f>
        <v>69.1</v>
      </c>
      <c r="J719" s="7" t="n">
        <f aca="false">IF(ISBLANK(customer_churn_dataset!J719),0,MAX(0,customer_churn_dataset!J719))</f>
        <v>20</v>
      </c>
      <c r="K719" s="7" t="n">
        <f aca="false">IF(ISBLANK(customer_churn_dataset!K719),0,MIN(10,MAX(0,customer_churn_dataset!K719)))</f>
        <v>7</v>
      </c>
      <c r="L719" s="7" t="n">
        <f aca="false">IF(ISBLANK(customer_churn_dataset!L719),0,MAX(0,customer_churn_dataset!L719))</f>
        <v>0</v>
      </c>
      <c r="M719" s="7" t="n">
        <f aca="false">IF(ISBLANK(customer_churn_dataset!M719),0,customer_churn_dataset!M719)</f>
        <v>0</v>
      </c>
      <c r="N719" s="7" t="n">
        <f aca="false">IF(ISBLANK(customer_churn_dataset!N719),0,MAX(0,customer_churn_dataset!N719))</f>
        <v>2572.92</v>
      </c>
      <c r="O719" s="7" t="n">
        <f aca="false">IF(ISBLANK(customer_churn_dataset!O719),0,customer_churn_dataset!O719)</f>
        <v>0</v>
      </c>
      <c r="P719" s="7" t="str">
        <f aca="false">IF(COUNTIF(customer_churn_dataset!$A$2:$A$1501,customer_churn_dataset!A719)&gt;1,"Duplicate","Unique")</f>
        <v>Unique</v>
      </c>
    </row>
    <row r="720" customFormat="false" ht="14.15" hidden="false" customHeight="true" outlineLevel="0" collapsed="false">
      <c r="A720" s="7" t="str">
        <f aca="false">TRIM(customer_churn_dataset!A720)</f>
        <v>CUST100823</v>
      </c>
      <c r="B720" s="7" t="str">
        <f aca="false">PROPER(TRIM(customer_churn_dataset!B720))</f>
        <v>Basic</v>
      </c>
      <c r="C720" s="7" t="str">
        <f aca="false">PROPER(TRIM(customer_churn_dataset!C720))</f>
        <v>One Year</v>
      </c>
      <c r="D720" s="7" t="n">
        <f aca="false">IF(ISBLANK(customer_churn_dataset!D720),ROUND(MEDIAN(customer_churn_dataset!D$2:D$1501),2),IF(customer_churn_dataset!D720&lt;0,ABS(customer_churn_dataset!D720),customer_churn_dataset!D720))</f>
        <v>10.85</v>
      </c>
      <c r="E720" s="7" t="n">
        <f aca="false">IF(ISBLANK(customer_churn_dataset!E720),0,MAX(0,customer_churn_dataset!E720))</f>
        <v>22</v>
      </c>
      <c r="F720" s="8" t="n">
        <f aca="false">IF(ISBLANK(customer_churn_dataset!F720),"",customer_churn_dataset!F720)</f>
        <v>44795</v>
      </c>
      <c r="G720" s="7" t="str">
        <f aca="false">PROPER(TRIM(customer_churn_dataset!G720))</f>
        <v>Paypal</v>
      </c>
      <c r="H720" s="7" t="n">
        <f aca="false">IF(ISBLANK(customer_churn_dataset!H720),0,customer_churn_dataset!H720)</f>
        <v>0</v>
      </c>
      <c r="I720" s="7" t="n">
        <f aca="false">IF(ISBLANK(customer_churn_dataset!I720),ROUND(MEDIAN(customer_churn_dataset!I$2:I$1501),1),MIN(100,MAX(0,customer_churn_dataset!I720)))</f>
        <v>55.7</v>
      </c>
      <c r="J720" s="7" t="n">
        <f aca="false">IF(ISBLANK(customer_churn_dataset!J720),0,MAX(0,customer_churn_dataset!J720))</f>
        <v>13</v>
      </c>
      <c r="K720" s="7" t="n">
        <f aca="false">IF(ISBLANK(customer_churn_dataset!K720),0,MIN(10,MAX(0,customer_churn_dataset!K720)))</f>
        <v>6</v>
      </c>
      <c r="L720" s="7" t="n">
        <f aca="false">IF(ISBLANK(customer_churn_dataset!L720),0,MAX(0,customer_churn_dataset!L720))</f>
        <v>2</v>
      </c>
      <c r="M720" s="7" t="n">
        <f aca="false">IF(ISBLANK(customer_churn_dataset!M720),0,customer_churn_dataset!M720)</f>
        <v>1</v>
      </c>
      <c r="N720" s="7" t="n">
        <f aca="false">IF(ISBLANK(customer_churn_dataset!N720),0,MAX(0,customer_churn_dataset!N720))</f>
        <v>238.7</v>
      </c>
      <c r="O720" s="7" t="n">
        <f aca="false">IF(ISBLANK(customer_churn_dataset!O720),0,customer_churn_dataset!O720)</f>
        <v>0</v>
      </c>
      <c r="P720" s="7" t="str">
        <f aca="false">IF(COUNTIF(customer_churn_dataset!$A$2:$A$1501,customer_churn_dataset!A720)&gt;1,"Duplicate","Unique")</f>
        <v>Unique</v>
      </c>
    </row>
    <row r="721" customFormat="false" ht="14.15" hidden="false" customHeight="true" outlineLevel="0" collapsed="false">
      <c r="A721" s="7" t="str">
        <f aca="false">TRIM(customer_churn_dataset!A721)</f>
        <v>CUST101380</v>
      </c>
      <c r="B721" s="7" t="str">
        <f aca="false">PROPER(TRIM(customer_churn_dataset!B721))</f>
        <v>Basic</v>
      </c>
      <c r="C721" s="7" t="str">
        <f aca="false">PROPER(TRIM(customer_churn_dataset!C721))</f>
        <v>Month-To-Month</v>
      </c>
      <c r="D721" s="7" t="n">
        <f aca="false">IF(ISBLANK(customer_churn_dataset!D721),ROUND(MEDIAN(customer_churn_dataset!D$2:D$1501),2),IF(customer_churn_dataset!D721&lt;0,ABS(customer_churn_dataset!D721),customer_churn_dataset!D721))</f>
        <v>9.28</v>
      </c>
      <c r="E721" s="7" t="n">
        <f aca="false">IF(ISBLANK(customer_churn_dataset!E721),0,MAX(0,customer_churn_dataset!E721))</f>
        <v>4</v>
      </c>
      <c r="F721" s="8" t="n">
        <f aca="false">IF(ISBLANK(customer_churn_dataset!F721),"",customer_churn_dataset!F721)</f>
        <v>44796</v>
      </c>
      <c r="G721" s="7" t="str">
        <f aca="false">PROPER(TRIM(customer_churn_dataset!G721))</f>
        <v>Credit Card</v>
      </c>
      <c r="H721" s="7" t="n">
        <f aca="false">IF(ISBLANK(customer_churn_dataset!H721),0,customer_churn_dataset!H721)</f>
        <v>0</v>
      </c>
      <c r="I721" s="7" t="n">
        <f aca="false">IF(ISBLANK(customer_churn_dataset!I721),ROUND(MEDIAN(customer_churn_dataset!I$2:I$1501),1),MIN(100,MAX(0,customer_churn_dataset!I721)))</f>
        <v>78.8</v>
      </c>
      <c r="J721" s="7" t="n">
        <f aca="false">IF(ISBLANK(customer_churn_dataset!J721),0,MAX(0,customer_churn_dataset!J721))</f>
        <v>23</v>
      </c>
      <c r="K721" s="7" t="n">
        <f aca="false">IF(ISBLANK(customer_churn_dataset!K721),0,MIN(10,MAX(0,customer_churn_dataset!K721)))</f>
        <v>6</v>
      </c>
      <c r="L721" s="7" t="n">
        <f aca="false">IF(ISBLANK(customer_churn_dataset!L721),0,MAX(0,customer_churn_dataset!L721))</f>
        <v>0</v>
      </c>
      <c r="M721" s="7" t="n">
        <f aca="false">IF(ISBLANK(customer_churn_dataset!M721),0,customer_churn_dataset!M721)</f>
        <v>0</v>
      </c>
      <c r="N721" s="7" t="n">
        <f aca="false">IF(ISBLANK(customer_churn_dataset!N721),0,MAX(0,customer_churn_dataset!N721))</f>
        <v>37.12</v>
      </c>
      <c r="O721" s="7" t="n">
        <f aca="false">IF(ISBLANK(customer_churn_dataset!O721),0,customer_churn_dataset!O721)</f>
        <v>0</v>
      </c>
      <c r="P721" s="7" t="str">
        <f aca="false">IF(COUNTIF(customer_churn_dataset!$A$2:$A$1501,customer_churn_dataset!A721)&gt;1,"Duplicate","Unique")</f>
        <v>Unique</v>
      </c>
    </row>
    <row r="722" customFormat="false" ht="14.15" hidden="false" customHeight="true" outlineLevel="0" collapsed="false">
      <c r="A722" s="7" t="str">
        <f aca="false">TRIM(customer_churn_dataset!A722)</f>
        <v>CUST100713</v>
      </c>
      <c r="B722" s="7" t="str">
        <f aca="false">PROPER(TRIM(customer_churn_dataset!B722))</f>
        <v>Basic</v>
      </c>
      <c r="C722" s="7" t="str">
        <f aca="false">PROPER(TRIM(customer_churn_dataset!C722))</f>
        <v>Month-To-Month</v>
      </c>
      <c r="D722" s="7" t="n">
        <f aca="false">IF(ISBLANK(customer_churn_dataset!D722),ROUND(MEDIAN(customer_churn_dataset!D$2:D$1501),2),IF(customer_churn_dataset!D722&lt;0,ABS(customer_churn_dataset!D722),customer_churn_dataset!D722))</f>
        <v>10.77</v>
      </c>
      <c r="E722" s="7" t="n">
        <f aca="false">IF(ISBLANK(customer_churn_dataset!E722),0,MAX(0,customer_churn_dataset!E722))</f>
        <v>12</v>
      </c>
      <c r="F722" s="8" t="n">
        <f aca="false">IF(ISBLANK(customer_churn_dataset!F722),"",customer_churn_dataset!F722)</f>
        <v>44798</v>
      </c>
      <c r="G722" s="7" t="str">
        <f aca="false">PROPER(TRIM(customer_churn_dataset!G722))</f>
        <v>Bank Transfer</v>
      </c>
      <c r="H722" s="7" t="n">
        <f aca="false">IF(ISBLANK(customer_churn_dataset!H722),0,customer_churn_dataset!H722)</f>
        <v>1</v>
      </c>
      <c r="I722" s="7" t="n">
        <f aca="false">IF(ISBLANK(customer_churn_dataset!I722),ROUND(MEDIAN(customer_churn_dataset!I$2:I$1501),1),MIN(100,MAX(0,customer_churn_dataset!I722)))</f>
        <v>78.3</v>
      </c>
      <c r="J722" s="7" t="n">
        <f aca="false">IF(ISBLANK(customer_churn_dataset!J722),0,MAX(0,customer_churn_dataset!J722))</f>
        <v>25</v>
      </c>
      <c r="K722" s="7" t="n">
        <f aca="false">IF(ISBLANK(customer_churn_dataset!K722),0,MIN(10,MAX(0,customer_churn_dataset!K722)))</f>
        <v>9</v>
      </c>
      <c r="L722" s="7" t="n">
        <f aca="false">IF(ISBLANK(customer_churn_dataset!L722),0,MAX(0,customer_churn_dataset!L722))</f>
        <v>1</v>
      </c>
      <c r="M722" s="7" t="n">
        <f aca="false">IF(ISBLANK(customer_churn_dataset!M722),0,customer_churn_dataset!M722)</f>
        <v>0</v>
      </c>
      <c r="N722" s="7" t="n">
        <f aca="false">IF(ISBLANK(customer_churn_dataset!N722),0,MAX(0,customer_churn_dataset!N722))</f>
        <v>129.24</v>
      </c>
      <c r="O722" s="7" t="n">
        <f aca="false">IF(ISBLANK(customer_churn_dataset!O722),0,customer_churn_dataset!O722)</f>
        <v>0</v>
      </c>
      <c r="P722" s="7" t="str">
        <f aca="false">IF(COUNTIF(customer_churn_dataset!$A$2:$A$1501,customer_churn_dataset!A722)&gt;1,"Duplicate","Unique")</f>
        <v>Unique</v>
      </c>
    </row>
    <row r="723" customFormat="false" ht="14.15" hidden="false" customHeight="true" outlineLevel="0" collapsed="false">
      <c r="A723" s="7" t="str">
        <f aca="false">TRIM(customer_churn_dataset!A723)</f>
        <v>CUST100873</v>
      </c>
      <c r="B723" s="7" t="str">
        <f aca="false">PROPER(TRIM(customer_churn_dataset!B723))</f>
        <v>Basic</v>
      </c>
      <c r="C723" s="7" t="str">
        <f aca="false">PROPER(TRIM(customer_churn_dataset!C723))</f>
        <v>Month-To-Month</v>
      </c>
      <c r="D723" s="7" t="n">
        <f aca="false">IF(ISBLANK(customer_churn_dataset!D723),ROUND(MEDIAN(customer_churn_dataset!D$2:D$1501),2),IF(customer_churn_dataset!D723&lt;0,ABS(customer_churn_dataset!D723),customer_churn_dataset!D723))</f>
        <v>10.5</v>
      </c>
      <c r="E723" s="7" t="n">
        <f aca="false">IF(ISBLANK(customer_churn_dataset!E723),0,MAX(0,customer_churn_dataset!E723))</f>
        <v>13</v>
      </c>
      <c r="F723" s="8" t="n">
        <f aca="false">IF(ISBLANK(customer_churn_dataset!F723),"",customer_churn_dataset!F723)</f>
        <v>44800</v>
      </c>
      <c r="G723" s="7" t="str">
        <f aca="false">PROPER(TRIM(customer_churn_dataset!G723))</f>
        <v>Credit Card</v>
      </c>
      <c r="H723" s="7" t="n">
        <f aca="false">IF(ISBLANK(customer_churn_dataset!H723),0,customer_churn_dataset!H723)</f>
        <v>1</v>
      </c>
      <c r="I723" s="7" t="n">
        <f aca="false">IF(ISBLANK(customer_churn_dataset!I723),ROUND(MEDIAN(customer_churn_dataset!I$2:I$1501),1),MIN(100,MAX(0,customer_churn_dataset!I723)))</f>
        <v>78.6</v>
      </c>
      <c r="J723" s="7" t="n">
        <f aca="false">IF(ISBLANK(customer_churn_dataset!J723),0,MAX(0,customer_churn_dataset!J723))</f>
        <v>28</v>
      </c>
      <c r="K723" s="7" t="n">
        <f aca="false">IF(ISBLANK(customer_churn_dataset!K723),0,MIN(10,MAX(0,customer_churn_dataset!K723)))</f>
        <v>9</v>
      </c>
      <c r="L723" s="7" t="n">
        <f aca="false">IF(ISBLANK(customer_churn_dataset!L723),0,MAX(0,customer_churn_dataset!L723))</f>
        <v>1</v>
      </c>
      <c r="M723" s="7" t="n">
        <f aca="false">IF(ISBLANK(customer_churn_dataset!M723),0,customer_churn_dataset!M723)</f>
        <v>0</v>
      </c>
      <c r="N723" s="7" t="n">
        <f aca="false">IF(ISBLANK(customer_churn_dataset!N723),0,MAX(0,customer_churn_dataset!N723))</f>
        <v>136.5</v>
      </c>
      <c r="O723" s="7" t="n">
        <f aca="false">IF(ISBLANK(customer_churn_dataset!O723),0,customer_churn_dataset!O723)</f>
        <v>0</v>
      </c>
      <c r="P723" s="7" t="str">
        <f aca="false">IF(COUNTIF(customer_churn_dataset!$A$2:$A$1501,customer_churn_dataset!A723)&gt;1,"Duplicate","Unique")</f>
        <v>Unique</v>
      </c>
    </row>
    <row r="724" customFormat="false" ht="14.15" hidden="false" customHeight="true" outlineLevel="0" collapsed="false">
      <c r="A724" s="7" t="str">
        <f aca="false">TRIM(customer_churn_dataset!A724)</f>
        <v>CUST100235</v>
      </c>
      <c r="B724" s="7" t="str">
        <f aca="false">PROPER(TRIM(customer_churn_dataset!B724))</f>
        <v>Standard</v>
      </c>
      <c r="C724" s="7" t="str">
        <f aca="false">PROPER(TRIM(customer_churn_dataset!C724))</f>
        <v>One Year</v>
      </c>
      <c r="D724" s="7" t="n">
        <f aca="false">IF(ISBLANK(customer_churn_dataset!D724),ROUND(MEDIAN(customer_churn_dataset!D$2:D$1501),2),IF(customer_churn_dataset!D724&lt;0,ABS(customer_churn_dataset!D724),customer_churn_dataset!D724))</f>
        <v>20.17</v>
      </c>
      <c r="E724" s="7" t="n">
        <f aca="false">IF(ISBLANK(customer_churn_dataset!E724),0,MAX(0,customer_churn_dataset!E724))</f>
        <v>18</v>
      </c>
      <c r="F724" s="8" t="n">
        <f aca="false">IF(ISBLANK(customer_churn_dataset!F724),"",customer_churn_dataset!F724)</f>
        <v>44801</v>
      </c>
      <c r="G724" s="7" t="str">
        <f aca="false">PROPER(TRIM(customer_churn_dataset!G724))</f>
        <v>Paypal</v>
      </c>
      <c r="H724" s="7" t="n">
        <f aca="false">IF(ISBLANK(customer_churn_dataset!H724),0,customer_churn_dataset!H724)</f>
        <v>1</v>
      </c>
      <c r="I724" s="7" t="n">
        <f aca="false">IF(ISBLANK(customer_churn_dataset!I724),ROUND(MEDIAN(customer_churn_dataset!I$2:I$1501),1),MIN(100,MAX(0,customer_churn_dataset!I724)))</f>
        <v>48.5</v>
      </c>
      <c r="J724" s="7" t="n">
        <f aca="false">IF(ISBLANK(customer_churn_dataset!J724),0,MAX(0,customer_churn_dataset!J724))</f>
        <v>18</v>
      </c>
      <c r="K724" s="7" t="n">
        <f aca="false">IF(ISBLANK(customer_churn_dataset!K724),0,MIN(10,MAX(0,customer_churn_dataset!K724)))</f>
        <v>3</v>
      </c>
      <c r="L724" s="7" t="n">
        <f aca="false">IF(ISBLANK(customer_churn_dataset!L724),0,MAX(0,customer_churn_dataset!L724))</f>
        <v>1</v>
      </c>
      <c r="M724" s="7" t="n">
        <f aca="false">IF(ISBLANK(customer_churn_dataset!M724),0,customer_churn_dataset!M724)</f>
        <v>1</v>
      </c>
      <c r="N724" s="7" t="n">
        <f aca="false">IF(ISBLANK(customer_churn_dataset!N724),0,MAX(0,customer_churn_dataset!N724))</f>
        <v>363.06</v>
      </c>
      <c r="O724" s="7" t="n">
        <f aca="false">IF(ISBLANK(customer_churn_dataset!O724),0,customer_churn_dataset!O724)</f>
        <v>0</v>
      </c>
      <c r="P724" s="7" t="str">
        <f aca="false">IF(COUNTIF(customer_churn_dataset!$A$2:$A$1501,customer_churn_dataset!A724)&gt;1,"Duplicate","Unique")</f>
        <v>Unique</v>
      </c>
    </row>
    <row r="725" customFormat="false" ht="14.15" hidden="false" customHeight="true" outlineLevel="0" collapsed="false">
      <c r="A725" s="7" t="str">
        <f aca="false">TRIM(customer_churn_dataset!A725)</f>
        <v>CUST101284</v>
      </c>
      <c r="B725" s="7" t="str">
        <f aca="false">PROPER(TRIM(customer_churn_dataset!B725))</f>
        <v>Basic</v>
      </c>
      <c r="C725" s="7" t="str">
        <f aca="false">PROPER(TRIM(customer_churn_dataset!C725))</f>
        <v>Month-To-Month</v>
      </c>
      <c r="D725" s="7" t="n">
        <f aca="false">IF(ISBLANK(customer_churn_dataset!D725),ROUND(MEDIAN(customer_churn_dataset!D$2:D$1501),2),IF(customer_churn_dataset!D725&lt;0,ABS(customer_churn_dataset!D725),customer_churn_dataset!D725))</f>
        <v>9.49</v>
      </c>
      <c r="E725" s="7" t="n">
        <f aca="false">IF(ISBLANK(customer_churn_dataset!E725),0,MAX(0,customer_churn_dataset!E725))</f>
        <v>19</v>
      </c>
      <c r="F725" s="8" t="n">
        <f aca="false">IF(ISBLANK(customer_churn_dataset!F725),"",customer_churn_dataset!F725)</f>
        <v>44803</v>
      </c>
      <c r="G725" s="7" t="str">
        <f aca="false">PROPER(TRIM(customer_churn_dataset!G725))</f>
        <v>Credit Card</v>
      </c>
      <c r="H725" s="7" t="n">
        <f aca="false">IF(ISBLANK(customer_churn_dataset!H725),0,customer_churn_dataset!H725)</f>
        <v>1</v>
      </c>
      <c r="I725" s="7" t="n">
        <f aca="false">IF(ISBLANK(customer_churn_dataset!I725),ROUND(MEDIAN(customer_churn_dataset!I$2:I$1501),1),MIN(100,MAX(0,customer_churn_dataset!I725)))</f>
        <v>48.2</v>
      </c>
      <c r="J725" s="7" t="n">
        <f aca="false">IF(ISBLANK(customer_churn_dataset!J725),0,MAX(0,customer_churn_dataset!J725))</f>
        <v>14</v>
      </c>
      <c r="K725" s="7" t="n">
        <f aca="false">IF(ISBLANK(customer_churn_dataset!K725),0,MIN(10,MAX(0,customer_churn_dataset!K725)))</f>
        <v>6</v>
      </c>
      <c r="L725" s="7" t="n">
        <f aca="false">IF(ISBLANK(customer_churn_dataset!L725),0,MAX(0,customer_churn_dataset!L725))</f>
        <v>0</v>
      </c>
      <c r="M725" s="7" t="n">
        <f aca="false">IF(ISBLANK(customer_churn_dataset!M725),0,customer_churn_dataset!M725)</f>
        <v>0</v>
      </c>
      <c r="N725" s="7" t="n">
        <f aca="false">IF(ISBLANK(customer_churn_dataset!N725),0,MAX(0,customer_churn_dataset!N725))</f>
        <v>180.31</v>
      </c>
      <c r="O725" s="7" t="n">
        <f aca="false">IF(ISBLANK(customer_churn_dataset!O725),0,customer_churn_dataset!O725)</f>
        <v>0</v>
      </c>
      <c r="P725" s="7" t="str">
        <f aca="false">IF(COUNTIF(customer_churn_dataset!$A$2:$A$1501,customer_churn_dataset!A725)&gt;1,"Duplicate","Unique")</f>
        <v>Unique</v>
      </c>
    </row>
    <row r="726" customFormat="false" ht="14.15" hidden="false" customHeight="true" outlineLevel="0" collapsed="false">
      <c r="A726" s="7" t="str">
        <f aca="false">TRIM(customer_churn_dataset!A726)</f>
        <v>CUST101055</v>
      </c>
      <c r="B726" s="7" t="str">
        <f aca="false">PROPER(TRIM(customer_churn_dataset!B726))</f>
        <v>Basic</v>
      </c>
      <c r="C726" s="7" t="str">
        <f aca="false">PROPER(TRIM(customer_churn_dataset!C726))</f>
        <v>Two Year</v>
      </c>
      <c r="D726" s="7" t="n">
        <f aca="false">IF(ISBLANK(customer_churn_dataset!D726),ROUND(MEDIAN(customer_churn_dataset!D$2:D$1501),2),IF(customer_churn_dataset!D726&lt;0,ABS(customer_churn_dataset!D726),customer_churn_dataset!D726))</f>
        <v>10.26</v>
      </c>
      <c r="E726" s="7" t="n">
        <f aca="false">IF(ISBLANK(customer_churn_dataset!E726),0,MAX(0,customer_churn_dataset!E726))</f>
        <v>72</v>
      </c>
      <c r="F726" s="8" t="n">
        <f aca="false">IF(ISBLANK(customer_churn_dataset!F726),"",customer_churn_dataset!F726)</f>
        <v>44805</v>
      </c>
      <c r="G726" s="7" t="str">
        <f aca="false">PROPER(TRIM(customer_churn_dataset!G726))</f>
        <v>Paypal</v>
      </c>
      <c r="H726" s="7" t="n">
        <f aca="false">IF(ISBLANK(customer_churn_dataset!H726),0,customer_churn_dataset!H726)</f>
        <v>1</v>
      </c>
      <c r="I726" s="7" t="n">
        <f aca="false">IF(ISBLANK(customer_churn_dataset!I726),ROUND(MEDIAN(customer_churn_dataset!I$2:I$1501),1),MIN(100,MAX(0,customer_churn_dataset!I726)))</f>
        <v>91.4</v>
      </c>
      <c r="J726" s="7" t="n">
        <f aca="false">IF(ISBLANK(customer_churn_dataset!J726),0,MAX(0,customer_churn_dataset!J726))</f>
        <v>32</v>
      </c>
      <c r="K726" s="7" t="n">
        <f aca="false">IF(ISBLANK(customer_churn_dataset!K726),0,MIN(10,MAX(0,customer_churn_dataset!K726)))</f>
        <v>7</v>
      </c>
      <c r="L726" s="7" t="n">
        <f aca="false">IF(ISBLANK(customer_churn_dataset!L726),0,MAX(0,customer_churn_dataset!L726))</f>
        <v>0</v>
      </c>
      <c r="M726" s="7" t="n">
        <f aca="false">IF(ISBLANK(customer_churn_dataset!M726),0,customer_churn_dataset!M726)</f>
        <v>0</v>
      </c>
      <c r="N726" s="7" t="n">
        <f aca="false">IF(ISBLANK(customer_churn_dataset!N726),0,MAX(0,customer_churn_dataset!N726))</f>
        <v>738.72</v>
      </c>
      <c r="O726" s="7" t="n">
        <f aca="false">IF(ISBLANK(customer_churn_dataset!O726),0,customer_churn_dataset!O726)</f>
        <v>0</v>
      </c>
      <c r="P726" s="7" t="str">
        <f aca="false">IF(COUNTIF(customer_churn_dataset!$A$2:$A$1501,customer_churn_dataset!A726)&gt;1,"Duplicate","Unique")</f>
        <v>Unique</v>
      </c>
    </row>
    <row r="727" customFormat="false" ht="14.15" hidden="false" customHeight="true" outlineLevel="0" collapsed="false">
      <c r="A727" s="7" t="str">
        <f aca="false">TRIM(customer_churn_dataset!A727)</f>
        <v>CUST100162</v>
      </c>
      <c r="B727" s="7" t="str">
        <f aca="false">PROPER(TRIM(customer_churn_dataset!B727))</f>
        <v>Standard</v>
      </c>
      <c r="C727" s="7" t="str">
        <f aca="false">PROPER(TRIM(customer_churn_dataset!C727))</f>
        <v>Two Year</v>
      </c>
      <c r="D727" s="7" t="n">
        <f aca="false">IF(ISBLANK(customer_churn_dataset!D727),ROUND(MEDIAN(customer_churn_dataset!D$2:D$1501),2),IF(customer_churn_dataset!D727&lt;0,ABS(customer_churn_dataset!D727),customer_churn_dataset!D727))</f>
        <v>19.92</v>
      </c>
      <c r="E727" s="7" t="n">
        <f aca="false">IF(ISBLANK(customer_churn_dataset!E727),0,MAX(0,customer_churn_dataset!E727))</f>
        <v>28</v>
      </c>
      <c r="F727" s="8" t="n">
        <f aca="false">IF(ISBLANK(customer_churn_dataset!F727),"",customer_churn_dataset!F727)</f>
        <v>44806</v>
      </c>
      <c r="G727" s="7" t="str">
        <f aca="false">PROPER(TRIM(customer_churn_dataset!G727))</f>
        <v>Credit Card</v>
      </c>
      <c r="H727" s="7" t="n">
        <f aca="false">IF(ISBLANK(customer_churn_dataset!H727),0,customer_churn_dataset!H727)</f>
        <v>0</v>
      </c>
      <c r="I727" s="7" t="n">
        <f aca="false">IF(ISBLANK(customer_churn_dataset!I727),ROUND(MEDIAN(customer_churn_dataset!I$2:I$1501),1),MIN(100,MAX(0,customer_churn_dataset!I727)))</f>
        <v>44.7</v>
      </c>
      <c r="J727" s="7" t="n">
        <f aca="false">IF(ISBLANK(customer_churn_dataset!J727),0,MAX(0,customer_churn_dataset!J727))</f>
        <v>8</v>
      </c>
      <c r="K727" s="7" t="n">
        <f aca="false">IF(ISBLANK(customer_churn_dataset!K727),0,MIN(10,MAX(0,customer_churn_dataset!K727)))</f>
        <v>4</v>
      </c>
      <c r="L727" s="7" t="n">
        <f aca="false">IF(ISBLANK(customer_churn_dataset!L727),0,MAX(0,customer_churn_dataset!L727))</f>
        <v>1</v>
      </c>
      <c r="M727" s="7" t="n">
        <f aca="false">IF(ISBLANK(customer_churn_dataset!M727),0,customer_churn_dataset!M727)</f>
        <v>0</v>
      </c>
      <c r="N727" s="7" t="n">
        <f aca="false">IF(ISBLANK(customer_churn_dataset!N727),0,MAX(0,customer_churn_dataset!N727))</f>
        <v>557.76</v>
      </c>
      <c r="O727" s="7" t="n">
        <f aca="false">IF(ISBLANK(customer_churn_dataset!O727),0,customer_churn_dataset!O727)</f>
        <v>0</v>
      </c>
      <c r="P727" s="7" t="str">
        <f aca="false">IF(COUNTIF(customer_churn_dataset!$A$2:$A$1501,customer_churn_dataset!A727)&gt;1,"Duplicate","Unique")</f>
        <v>Unique</v>
      </c>
    </row>
    <row r="728" customFormat="false" ht="14.15" hidden="false" customHeight="true" outlineLevel="0" collapsed="false">
      <c r="A728" s="7" t="str">
        <f aca="false">TRIM(customer_churn_dataset!A728)</f>
        <v>CUST101105</v>
      </c>
      <c r="B728" s="7" t="str">
        <f aca="false">PROPER(TRIM(customer_churn_dataset!B728))</f>
        <v>Basic</v>
      </c>
      <c r="C728" s="7" t="str">
        <f aca="false">PROPER(TRIM(customer_churn_dataset!C728))</f>
        <v>Two Year</v>
      </c>
      <c r="D728" s="7" t="n">
        <f aca="false">IF(ISBLANK(customer_churn_dataset!D728),ROUND(MEDIAN(customer_churn_dataset!D$2:D$1501),2),IF(customer_churn_dataset!D728&lt;0,ABS(customer_churn_dataset!D728),customer_churn_dataset!D728))</f>
        <v>11.18</v>
      </c>
      <c r="E728" s="7" t="n">
        <f aca="false">IF(ISBLANK(customer_churn_dataset!E728),0,MAX(0,customer_churn_dataset!E728))</f>
        <v>4</v>
      </c>
      <c r="F728" s="8" t="n">
        <f aca="false">IF(ISBLANK(customer_churn_dataset!F728),"",customer_churn_dataset!F728)</f>
        <v>44806</v>
      </c>
      <c r="G728" s="7" t="str">
        <f aca="false">PROPER(TRIM(customer_churn_dataset!G728))</f>
        <v>Credit Card</v>
      </c>
      <c r="H728" s="7" t="n">
        <f aca="false">IF(ISBLANK(customer_churn_dataset!H728),0,customer_churn_dataset!H728)</f>
        <v>0</v>
      </c>
      <c r="I728" s="7" t="n">
        <f aca="false">IF(ISBLANK(customer_churn_dataset!I728),ROUND(MEDIAN(customer_churn_dataset!I$2:I$1501),1),MIN(100,MAX(0,customer_churn_dataset!I728)))</f>
        <v>0</v>
      </c>
      <c r="J728" s="7" t="n">
        <f aca="false">IF(ISBLANK(customer_churn_dataset!J728),0,MAX(0,customer_churn_dataset!J728))</f>
        <v>0</v>
      </c>
      <c r="K728" s="7" t="n">
        <f aca="false">IF(ISBLANK(customer_churn_dataset!K728),0,MIN(10,MAX(0,customer_churn_dataset!K728)))</f>
        <v>0</v>
      </c>
      <c r="L728" s="7" t="n">
        <f aca="false">IF(ISBLANK(customer_churn_dataset!L728),0,MAX(0,customer_churn_dataset!L728))</f>
        <v>2</v>
      </c>
      <c r="M728" s="7" t="n">
        <f aca="false">IF(ISBLANK(customer_churn_dataset!M728),0,customer_churn_dataset!M728)</f>
        <v>0</v>
      </c>
      <c r="N728" s="7" t="n">
        <f aca="false">IF(ISBLANK(customer_churn_dataset!N728),0,MAX(0,customer_churn_dataset!N728))</f>
        <v>44.72</v>
      </c>
      <c r="O728" s="7" t="n">
        <f aca="false">IF(ISBLANK(customer_churn_dataset!O728),0,customer_churn_dataset!O728)</f>
        <v>0</v>
      </c>
      <c r="P728" s="7" t="str">
        <f aca="false">IF(COUNTIF(customer_churn_dataset!$A$2:$A$1501,customer_churn_dataset!A728)&gt;1,"Duplicate","Unique")</f>
        <v>Unique</v>
      </c>
    </row>
    <row r="729" customFormat="false" ht="14.15" hidden="false" customHeight="true" outlineLevel="0" collapsed="false">
      <c r="A729" s="7" t="str">
        <f aca="false">TRIM(customer_churn_dataset!A729)</f>
        <v>CUST100711</v>
      </c>
      <c r="B729" s="7" t="str">
        <f aca="false">PROPER(TRIM(customer_churn_dataset!B729))</f>
        <v>Standard</v>
      </c>
      <c r="C729" s="7" t="str">
        <f aca="false">PROPER(TRIM(customer_churn_dataset!C729))</f>
        <v>Month-To-Month</v>
      </c>
      <c r="D729" s="7" t="n">
        <f aca="false">IF(ISBLANK(customer_churn_dataset!D729),ROUND(MEDIAN(customer_churn_dataset!D$2:D$1501),2),IF(customer_churn_dataset!D729&lt;0,ABS(customer_churn_dataset!D729),customer_churn_dataset!D729))</f>
        <v>19.78</v>
      </c>
      <c r="E729" s="7" t="n">
        <f aca="false">IF(ISBLANK(customer_churn_dataset!E729),0,MAX(0,customer_churn_dataset!E729))</f>
        <v>72</v>
      </c>
      <c r="F729" s="8" t="n">
        <f aca="false">IF(ISBLANK(customer_churn_dataset!F729),"",customer_churn_dataset!F729)</f>
        <v>44807</v>
      </c>
      <c r="G729" s="7" t="str">
        <f aca="false">PROPER(TRIM(customer_churn_dataset!G729))</f>
        <v>Paypal</v>
      </c>
      <c r="H729" s="7" t="n">
        <f aca="false">IF(ISBLANK(customer_churn_dataset!H729),0,customer_churn_dataset!H729)</f>
        <v>0</v>
      </c>
      <c r="I729" s="7" t="n">
        <f aca="false">IF(ISBLANK(customer_churn_dataset!I729),ROUND(MEDIAN(customer_churn_dataset!I$2:I$1501),1),MIN(100,MAX(0,customer_churn_dataset!I729)))</f>
        <v>81.8</v>
      </c>
      <c r="J729" s="7" t="n">
        <f aca="false">IF(ISBLANK(customer_churn_dataset!J729),0,MAX(0,customer_churn_dataset!J729))</f>
        <v>29</v>
      </c>
      <c r="K729" s="7" t="n">
        <f aca="false">IF(ISBLANK(customer_churn_dataset!K729),0,MIN(10,MAX(0,customer_churn_dataset!K729)))</f>
        <v>10</v>
      </c>
      <c r="L729" s="7" t="n">
        <f aca="false">IF(ISBLANK(customer_churn_dataset!L729),0,MAX(0,customer_churn_dataset!L729))</f>
        <v>0</v>
      </c>
      <c r="M729" s="7" t="n">
        <f aca="false">IF(ISBLANK(customer_churn_dataset!M729),0,customer_churn_dataset!M729)</f>
        <v>0</v>
      </c>
      <c r="N729" s="7" t="n">
        <f aca="false">IF(ISBLANK(customer_churn_dataset!N729),0,MAX(0,customer_churn_dataset!N729))</f>
        <v>1424.16</v>
      </c>
      <c r="O729" s="7" t="n">
        <f aca="false">IF(ISBLANK(customer_churn_dataset!O729),0,customer_churn_dataset!O729)</f>
        <v>0</v>
      </c>
      <c r="P729" s="7" t="str">
        <f aca="false">IF(COUNTIF(customer_churn_dataset!$A$2:$A$1501,customer_churn_dataset!A729)&gt;1,"Duplicate","Unique")</f>
        <v>Unique</v>
      </c>
    </row>
    <row r="730" customFormat="false" ht="14.15" hidden="false" customHeight="true" outlineLevel="0" collapsed="false">
      <c r="A730" s="7" t="str">
        <f aca="false">TRIM(customer_churn_dataset!A730)</f>
        <v>CUST100421</v>
      </c>
      <c r="B730" s="7" t="str">
        <f aca="false">PROPER(TRIM(customer_churn_dataset!B730))</f>
        <v>Standard</v>
      </c>
      <c r="C730" s="7" t="str">
        <f aca="false">PROPER(TRIM(customer_churn_dataset!C730))</f>
        <v>Month-To-Month</v>
      </c>
      <c r="D730" s="7" t="n">
        <f aca="false">IF(ISBLANK(customer_churn_dataset!D730),ROUND(MEDIAN(customer_churn_dataset!D$2:D$1501),2),IF(customer_churn_dataset!D730&lt;0,ABS(customer_churn_dataset!D730),customer_churn_dataset!D730))</f>
        <v>21.14</v>
      </c>
      <c r="E730" s="7" t="n">
        <f aca="false">IF(ISBLANK(customer_churn_dataset!E730),0,MAX(0,customer_churn_dataset!E730))</f>
        <v>1</v>
      </c>
      <c r="F730" s="8" t="n">
        <f aca="false">IF(ISBLANK(customer_churn_dataset!F730),"",customer_churn_dataset!F730)</f>
        <v>44808</v>
      </c>
      <c r="G730" s="7" t="str">
        <f aca="false">PROPER(TRIM(customer_churn_dataset!G730))</f>
        <v>Bank Transfer</v>
      </c>
      <c r="H730" s="7" t="n">
        <f aca="false">IF(ISBLANK(customer_churn_dataset!H730),0,customer_churn_dataset!H730)</f>
        <v>1</v>
      </c>
      <c r="I730" s="7" t="n">
        <f aca="false">IF(ISBLANK(customer_churn_dataset!I730),ROUND(MEDIAN(customer_churn_dataset!I$2:I$1501),1),MIN(100,MAX(0,customer_churn_dataset!I730)))</f>
        <v>58.9</v>
      </c>
      <c r="J730" s="7" t="n">
        <f aca="false">IF(ISBLANK(customer_churn_dataset!J730),0,MAX(0,customer_churn_dataset!J730))</f>
        <v>13</v>
      </c>
      <c r="K730" s="7" t="n">
        <f aca="false">IF(ISBLANK(customer_churn_dataset!K730),0,MIN(10,MAX(0,customer_churn_dataset!K730)))</f>
        <v>5</v>
      </c>
      <c r="L730" s="7" t="n">
        <f aca="false">IF(ISBLANK(customer_churn_dataset!L730),0,MAX(0,customer_churn_dataset!L730))</f>
        <v>2</v>
      </c>
      <c r="M730" s="7" t="n">
        <f aca="false">IF(ISBLANK(customer_churn_dataset!M730),0,customer_churn_dataset!M730)</f>
        <v>0</v>
      </c>
      <c r="N730" s="7" t="n">
        <f aca="false">IF(ISBLANK(customer_churn_dataset!N730),0,MAX(0,customer_churn_dataset!N730))</f>
        <v>21.14</v>
      </c>
      <c r="O730" s="7" t="n">
        <f aca="false">IF(ISBLANK(customer_churn_dataset!O730),0,customer_churn_dataset!O730)</f>
        <v>0</v>
      </c>
      <c r="P730" s="7" t="str">
        <f aca="false">IF(COUNTIF(customer_churn_dataset!$A$2:$A$1501,customer_churn_dataset!A730)&gt;1,"Duplicate","Unique")</f>
        <v>Unique</v>
      </c>
    </row>
    <row r="731" customFormat="false" ht="14.15" hidden="false" customHeight="true" outlineLevel="0" collapsed="false">
      <c r="A731" s="7" t="str">
        <f aca="false">TRIM(customer_churn_dataset!A731)</f>
        <v>CUST100508</v>
      </c>
      <c r="B731" s="7" t="str">
        <f aca="false">PROPER(TRIM(customer_churn_dataset!B731))</f>
        <v>Premium</v>
      </c>
      <c r="C731" s="7" t="str">
        <f aca="false">PROPER(TRIM(customer_churn_dataset!C731))</f>
        <v>Month-To-Month</v>
      </c>
      <c r="D731" s="7" t="n">
        <f aca="false">IF(ISBLANK(customer_churn_dataset!D731),ROUND(MEDIAN(customer_churn_dataset!D$2:D$1501),2),IF(customer_churn_dataset!D731&lt;0,ABS(customer_churn_dataset!D731),customer_churn_dataset!D731))</f>
        <v>40.83</v>
      </c>
      <c r="E731" s="7" t="n">
        <f aca="false">IF(ISBLANK(customer_churn_dataset!E731),0,MAX(0,customer_churn_dataset!E731))</f>
        <v>14</v>
      </c>
      <c r="F731" s="8" t="n">
        <f aca="false">IF(ISBLANK(customer_churn_dataset!F731),"",customer_churn_dataset!F731)</f>
        <v>44810</v>
      </c>
      <c r="G731" s="7" t="str">
        <f aca="false">PROPER(TRIM(customer_churn_dataset!G731))</f>
        <v>Bank Transfer</v>
      </c>
      <c r="H731" s="7" t="n">
        <f aca="false">IF(ISBLANK(customer_churn_dataset!H731),0,customer_churn_dataset!H731)</f>
        <v>0</v>
      </c>
      <c r="I731" s="7" t="n">
        <f aca="false">IF(ISBLANK(customer_churn_dataset!I731),ROUND(MEDIAN(customer_churn_dataset!I$2:I$1501),1),MIN(100,MAX(0,customer_churn_dataset!I731)))</f>
        <v>84.2</v>
      </c>
      <c r="J731" s="7" t="n">
        <f aca="false">IF(ISBLANK(customer_churn_dataset!J731),0,MAX(0,customer_churn_dataset!J731))</f>
        <v>21</v>
      </c>
      <c r="K731" s="7" t="n">
        <f aca="false">IF(ISBLANK(customer_churn_dataset!K731),0,MIN(10,MAX(0,customer_churn_dataset!K731)))</f>
        <v>6</v>
      </c>
      <c r="L731" s="7" t="n">
        <f aca="false">IF(ISBLANK(customer_churn_dataset!L731),0,MAX(0,customer_churn_dataset!L731))</f>
        <v>0</v>
      </c>
      <c r="M731" s="7" t="n">
        <f aca="false">IF(ISBLANK(customer_churn_dataset!M731),0,customer_churn_dataset!M731)</f>
        <v>0</v>
      </c>
      <c r="N731" s="7" t="n">
        <f aca="false">IF(ISBLANK(customer_churn_dataset!N731),0,MAX(0,customer_churn_dataset!N731))</f>
        <v>571.62</v>
      </c>
      <c r="O731" s="7" t="n">
        <f aca="false">IF(ISBLANK(customer_churn_dataset!O731),0,customer_churn_dataset!O731)</f>
        <v>0</v>
      </c>
      <c r="P731" s="7" t="str">
        <f aca="false">IF(COUNTIF(customer_churn_dataset!$A$2:$A$1501,customer_churn_dataset!A731)&gt;1,"Duplicate","Unique")</f>
        <v>Unique</v>
      </c>
    </row>
    <row r="732" customFormat="false" ht="14.15" hidden="false" customHeight="true" outlineLevel="0" collapsed="false">
      <c r="A732" s="7" t="str">
        <f aca="false">TRIM(customer_churn_dataset!A732)</f>
        <v>CUST101416</v>
      </c>
      <c r="B732" s="7" t="str">
        <f aca="false">PROPER(TRIM(customer_churn_dataset!B732))</f>
        <v>Basic</v>
      </c>
      <c r="C732" s="7" t="str">
        <f aca="false">PROPER(TRIM(customer_churn_dataset!C732))</f>
        <v>One Year</v>
      </c>
      <c r="D732" s="7" t="n">
        <f aca="false">IF(ISBLANK(customer_churn_dataset!D732),ROUND(MEDIAN(customer_churn_dataset!D$2:D$1501),2),IF(customer_churn_dataset!D732&lt;0,ABS(customer_churn_dataset!D732),customer_churn_dataset!D732))</f>
        <v>11.45</v>
      </c>
      <c r="E732" s="7" t="n">
        <f aca="false">IF(ISBLANK(customer_churn_dataset!E732),0,MAX(0,customer_churn_dataset!E732))</f>
        <v>31</v>
      </c>
      <c r="F732" s="8" t="n">
        <f aca="false">IF(ISBLANK(customer_churn_dataset!F732),"",customer_churn_dataset!F732)</f>
        <v>44810</v>
      </c>
      <c r="G732" s="7" t="str">
        <f aca="false">PROPER(TRIM(customer_churn_dataset!G732))</f>
        <v>Bank Transfer</v>
      </c>
      <c r="H732" s="7" t="n">
        <f aca="false">IF(ISBLANK(customer_churn_dataset!H732),0,customer_churn_dataset!H732)</f>
        <v>0</v>
      </c>
      <c r="I732" s="7" t="n">
        <f aca="false">IF(ISBLANK(customer_churn_dataset!I732),ROUND(MEDIAN(customer_churn_dataset!I$2:I$1501),1),MIN(100,MAX(0,customer_churn_dataset!I732)))</f>
        <v>58.3</v>
      </c>
      <c r="J732" s="7" t="n">
        <f aca="false">IF(ISBLANK(customer_churn_dataset!J732),0,MAX(0,customer_churn_dataset!J732))</f>
        <v>24</v>
      </c>
      <c r="K732" s="7" t="n">
        <f aca="false">IF(ISBLANK(customer_churn_dataset!K732),0,MIN(10,MAX(0,customer_churn_dataset!K732)))</f>
        <v>6</v>
      </c>
      <c r="L732" s="7" t="n">
        <f aca="false">IF(ISBLANK(customer_churn_dataset!L732),0,MAX(0,customer_churn_dataset!L732))</f>
        <v>2</v>
      </c>
      <c r="M732" s="7" t="n">
        <f aca="false">IF(ISBLANK(customer_churn_dataset!M732),0,customer_churn_dataset!M732)</f>
        <v>1</v>
      </c>
      <c r="N732" s="7" t="n">
        <f aca="false">IF(ISBLANK(customer_churn_dataset!N732),0,MAX(0,customer_churn_dataset!N732))</f>
        <v>354.95</v>
      </c>
      <c r="O732" s="7" t="n">
        <f aca="false">IF(ISBLANK(customer_churn_dataset!O732),0,customer_churn_dataset!O732)</f>
        <v>0</v>
      </c>
      <c r="P732" s="7" t="str">
        <f aca="false">IF(COUNTIF(customer_churn_dataset!$A$2:$A$1501,customer_churn_dataset!A732)&gt;1,"Duplicate","Unique")</f>
        <v>Unique</v>
      </c>
    </row>
    <row r="733" customFormat="false" ht="14.15" hidden="false" customHeight="true" outlineLevel="0" collapsed="false">
      <c r="A733" s="7" t="str">
        <f aca="false">TRIM(customer_churn_dataset!A733)</f>
        <v>CUST101151</v>
      </c>
      <c r="B733" s="7" t="str">
        <f aca="false">PROPER(TRIM(customer_churn_dataset!B733))</f>
        <v>Premium</v>
      </c>
      <c r="C733" s="7" t="str">
        <f aca="false">PROPER(TRIM(customer_churn_dataset!C733))</f>
        <v>Two Year</v>
      </c>
      <c r="D733" s="7" t="n">
        <f aca="false">IF(ISBLANK(customer_churn_dataset!D733),ROUND(MEDIAN(customer_churn_dataset!D$2:D$1501),2),IF(customer_churn_dataset!D733&lt;0,ABS(customer_churn_dataset!D733),customer_churn_dataset!D733))</f>
        <v>41.79</v>
      </c>
      <c r="E733" s="7" t="n">
        <f aca="false">IF(ISBLANK(customer_churn_dataset!E733),0,MAX(0,customer_churn_dataset!E733))</f>
        <v>17</v>
      </c>
      <c r="F733" s="8" t="n">
        <f aca="false">IF(ISBLANK(customer_churn_dataset!F733),"",customer_churn_dataset!F733)</f>
        <v>44812</v>
      </c>
      <c r="G733" s="7" t="str">
        <f aca="false">PROPER(TRIM(customer_churn_dataset!G733))</f>
        <v>Credit Card</v>
      </c>
      <c r="H733" s="7" t="n">
        <f aca="false">IF(ISBLANK(customer_churn_dataset!H733),0,customer_churn_dataset!H733)</f>
        <v>1</v>
      </c>
      <c r="I733" s="7" t="n">
        <f aca="false">IF(ISBLANK(customer_churn_dataset!I733),ROUND(MEDIAN(customer_churn_dataset!I$2:I$1501),1),MIN(100,MAX(0,customer_churn_dataset!I733)))</f>
        <v>57.5</v>
      </c>
      <c r="J733" s="7" t="n">
        <f aca="false">IF(ISBLANK(customer_churn_dataset!J733),0,MAX(0,customer_churn_dataset!J733))</f>
        <v>14</v>
      </c>
      <c r="K733" s="7" t="n">
        <f aca="false">IF(ISBLANK(customer_churn_dataset!K733),0,MIN(10,MAX(0,customer_churn_dataset!K733)))</f>
        <v>3</v>
      </c>
      <c r="L733" s="7" t="n">
        <f aca="false">IF(ISBLANK(customer_churn_dataset!L733),0,MAX(0,customer_churn_dataset!L733))</f>
        <v>3</v>
      </c>
      <c r="M733" s="7" t="n">
        <f aca="false">IF(ISBLANK(customer_churn_dataset!M733),0,customer_churn_dataset!M733)</f>
        <v>0</v>
      </c>
      <c r="N733" s="7" t="n">
        <f aca="false">IF(ISBLANK(customer_churn_dataset!N733),0,MAX(0,customer_churn_dataset!N733))</f>
        <v>710.43</v>
      </c>
      <c r="O733" s="7" t="n">
        <f aca="false">IF(ISBLANK(customer_churn_dataset!O733),0,customer_churn_dataset!O733)</f>
        <v>0</v>
      </c>
      <c r="P733" s="7" t="str">
        <f aca="false">IF(COUNTIF(customer_churn_dataset!$A$2:$A$1501,customer_churn_dataset!A733)&gt;1,"Duplicate","Unique")</f>
        <v>Unique</v>
      </c>
    </row>
    <row r="734" customFormat="false" ht="14.15" hidden="false" customHeight="true" outlineLevel="0" collapsed="false">
      <c r="A734" s="7" t="str">
        <f aca="false">TRIM(customer_churn_dataset!A734)</f>
        <v>CUST101176</v>
      </c>
      <c r="B734" s="7" t="str">
        <f aca="false">PROPER(TRIM(customer_churn_dataset!B734))</f>
        <v>Standard</v>
      </c>
      <c r="C734" s="7" t="str">
        <f aca="false">PROPER(TRIM(customer_churn_dataset!C734))</f>
        <v>Month-To-Month</v>
      </c>
      <c r="D734" s="7" t="n">
        <f aca="false">IF(ISBLANK(customer_churn_dataset!D734),ROUND(MEDIAN(customer_churn_dataset!D$2:D$1501),2),IF(customer_churn_dataset!D734&lt;0,ABS(customer_churn_dataset!D734),customer_churn_dataset!D734))</f>
        <v>20.49</v>
      </c>
      <c r="E734" s="7" t="n">
        <f aca="false">IF(ISBLANK(customer_churn_dataset!E734),0,MAX(0,customer_churn_dataset!E734))</f>
        <v>12</v>
      </c>
      <c r="F734" s="8" t="n">
        <f aca="false">IF(ISBLANK(customer_churn_dataset!F734),"",customer_churn_dataset!F734)</f>
        <v>44813</v>
      </c>
      <c r="G734" s="7" t="str">
        <f aca="false">PROPER(TRIM(customer_churn_dataset!G734))</f>
        <v>Paypal</v>
      </c>
      <c r="H734" s="7" t="n">
        <f aca="false">IF(ISBLANK(customer_churn_dataset!H734),0,customer_churn_dataset!H734)</f>
        <v>1</v>
      </c>
      <c r="I734" s="7" t="n">
        <f aca="false">IF(ISBLANK(customer_churn_dataset!I734),ROUND(MEDIAN(customer_churn_dataset!I$2:I$1501),1),MIN(100,MAX(0,customer_churn_dataset!I734)))</f>
        <v>64.3</v>
      </c>
      <c r="J734" s="7" t="n">
        <f aca="false">IF(ISBLANK(customer_churn_dataset!J734),0,MAX(0,customer_churn_dataset!J734))</f>
        <v>18</v>
      </c>
      <c r="K734" s="7" t="n">
        <f aca="false">IF(ISBLANK(customer_churn_dataset!K734),0,MIN(10,MAX(0,customer_churn_dataset!K734)))</f>
        <v>8</v>
      </c>
      <c r="L734" s="7" t="n">
        <f aca="false">IF(ISBLANK(customer_churn_dataset!L734),0,MAX(0,customer_churn_dataset!L734))</f>
        <v>1</v>
      </c>
      <c r="M734" s="7" t="n">
        <f aca="false">IF(ISBLANK(customer_churn_dataset!M734),0,customer_churn_dataset!M734)</f>
        <v>0</v>
      </c>
      <c r="N734" s="7" t="n">
        <f aca="false">IF(ISBLANK(customer_churn_dataset!N734),0,MAX(0,customer_churn_dataset!N734))</f>
        <v>245.88</v>
      </c>
      <c r="O734" s="7" t="n">
        <f aca="false">IF(ISBLANK(customer_churn_dataset!O734),0,customer_churn_dataset!O734)</f>
        <v>0</v>
      </c>
      <c r="P734" s="7" t="str">
        <f aca="false">IF(COUNTIF(customer_churn_dataset!$A$2:$A$1501,customer_churn_dataset!A734)&gt;1,"Duplicate","Unique")</f>
        <v>Unique</v>
      </c>
    </row>
    <row r="735" customFormat="false" ht="14.15" hidden="false" customHeight="true" outlineLevel="0" collapsed="false">
      <c r="A735" s="7" t="str">
        <f aca="false">TRIM(customer_churn_dataset!A735)</f>
        <v>CUST100798</v>
      </c>
      <c r="B735" s="7" t="str">
        <f aca="false">PROPER(TRIM(customer_churn_dataset!B735))</f>
        <v>Standard</v>
      </c>
      <c r="C735" s="7" t="str">
        <f aca="false">PROPER(TRIM(customer_churn_dataset!C735))</f>
        <v>One Year</v>
      </c>
      <c r="D735" s="7" t="n">
        <f aca="false">IF(ISBLANK(customer_churn_dataset!D735),ROUND(MEDIAN(customer_churn_dataset!D$2:D$1501),2),IF(customer_churn_dataset!D735&lt;0,ABS(customer_churn_dataset!D735),customer_churn_dataset!D735))</f>
        <v>21.05</v>
      </c>
      <c r="E735" s="7" t="n">
        <f aca="false">IF(ISBLANK(customer_churn_dataset!E735),0,MAX(0,customer_churn_dataset!E735))</f>
        <v>21</v>
      </c>
      <c r="F735" s="8" t="n">
        <f aca="false">IF(ISBLANK(customer_churn_dataset!F735),"",customer_churn_dataset!F735)</f>
        <v>44815</v>
      </c>
      <c r="G735" s="7" t="str">
        <f aca="false">PROPER(TRIM(customer_churn_dataset!G735))</f>
        <v>Bank Transfer</v>
      </c>
      <c r="H735" s="7" t="n">
        <f aca="false">IF(ISBLANK(customer_churn_dataset!H735),0,customer_churn_dataset!H735)</f>
        <v>0</v>
      </c>
      <c r="I735" s="7" t="n">
        <f aca="false">IF(ISBLANK(customer_churn_dataset!I735),ROUND(MEDIAN(customer_churn_dataset!I$2:I$1501),1),MIN(100,MAX(0,customer_churn_dataset!I735)))</f>
        <v>54.9</v>
      </c>
      <c r="J735" s="7" t="n">
        <f aca="false">IF(ISBLANK(customer_churn_dataset!J735),0,MAX(0,customer_churn_dataset!J735))</f>
        <v>9</v>
      </c>
      <c r="K735" s="7" t="n">
        <f aca="false">IF(ISBLANK(customer_churn_dataset!K735),0,MIN(10,MAX(0,customer_churn_dataset!K735)))</f>
        <v>6</v>
      </c>
      <c r="L735" s="7" t="n">
        <f aca="false">IF(ISBLANK(customer_churn_dataset!L735),0,MAX(0,customer_churn_dataset!L735))</f>
        <v>1</v>
      </c>
      <c r="M735" s="7" t="n">
        <f aca="false">IF(ISBLANK(customer_churn_dataset!M735),0,customer_churn_dataset!M735)</f>
        <v>1</v>
      </c>
      <c r="N735" s="7" t="n">
        <f aca="false">IF(ISBLANK(customer_churn_dataset!N735),0,MAX(0,customer_churn_dataset!N735))</f>
        <v>442.05</v>
      </c>
      <c r="O735" s="7" t="n">
        <f aca="false">IF(ISBLANK(customer_churn_dataset!O735),0,customer_churn_dataset!O735)</f>
        <v>0</v>
      </c>
      <c r="P735" s="7" t="str">
        <f aca="false">IF(COUNTIF(customer_churn_dataset!$A$2:$A$1501,customer_churn_dataset!A735)&gt;1,"Duplicate","Unique")</f>
        <v>Unique</v>
      </c>
    </row>
    <row r="736" customFormat="false" ht="14.15" hidden="false" customHeight="true" outlineLevel="0" collapsed="false">
      <c r="A736" s="7" t="str">
        <f aca="false">TRIM(customer_churn_dataset!A736)</f>
        <v>CUST100751</v>
      </c>
      <c r="B736" s="7" t="str">
        <f aca="false">PROPER(TRIM(customer_churn_dataset!B736))</f>
        <v>Premium</v>
      </c>
      <c r="C736" s="7" t="str">
        <f aca="false">PROPER(TRIM(customer_churn_dataset!C736))</f>
        <v>Month-To-Month</v>
      </c>
      <c r="D736" s="7" t="n">
        <f aca="false">IF(ISBLANK(customer_churn_dataset!D736),ROUND(MEDIAN(customer_churn_dataset!D$2:D$1501),2),IF(customer_churn_dataset!D736&lt;0,ABS(customer_churn_dataset!D736),customer_churn_dataset!D736))</f>
        <v>42.22</v>
      </c>
      <c r="E736" s="7" t="n">
        <f aca="false">IF(ISBLANK(customer_churn_dataset!E736),0,MAX(0,customer_churn_dataset!E736))</f>
        <v>6</v>
      </c>
      <c r="F736" s="8" t="n">
        <f aca="false">IF(ISBLANK(customer_churn_dataset!F736),"",customer_churn_dataset!F736)</f>
        <v>44819</v>
      </c>
      <c r="G736" s="7" t="str">
        <f aca="false">PROPER(TRIM(customer_churn_dataset!G736))</f>
        <v>Credit Card</v>
      </c>
      <c r="H736" s="7" t="n">
        <f aca="false">IF(ISBLANK(customer_churn_dataset!H736),0,customer_churn_dataset!H736)</f>
        <v>0</v>
      </c>
      <c r="I736" s="7" t="n">
        <f aca="false">IF(ISBLANK(customer_churn_dataset!I736),ROUND(MEDIAN(customer_churn_dataset!I$2:I$1501),1),MIN(100,MAX(0,customer_churn_dataset!I736)))</f>
        <v>78.4</v>
      </c>
      <c r="J736" s="7" t="n">
        <f aca="false">IF(ISBLANK(customer_churn_dataset!J736),0,MAX(0,customer_churn_dataset!J736))</f>
        <v>25</v>
      </c>
      <c r="K736" s="7" t="n">
        <f aca="false">IF(ISBLANK(customer_churn_dataset!K736),0,MIN(10,MAX(0,customer_churn_dataset!K736)))</f>
        <v>8</v>
      </c>
      <c r="L736" s="7" t="n">
        <f aca="false">IF(ISBLANK(customer_churn_dataset!L736),0,MAX(0,customer_churn_dataset!L736))</f>
        <v>2</v>
      </c>
      <c r="M736" s="7" t="n">
        <f aca="false">IF(ISBLANK(customer_churn_dataset!M736),0,customer_churn_dataset!M736)</f>
        <v>0</v>
      </c>
      <c r="N736" s="7" t="n">
        <f aca="false">IF(ISBLANK(customer_churn_dataset!N736),0,MAX(0,customer_churn_dataset!N736))</f>
        <v>253.32</v>
      </c>
      <c r="O736" s="7" t="n">
        <f aca="false">IF(ISBLANK(customer_churn_dataset!O736),0,customer_churn_dataset!O736)</f>
        <v>0</v>
      </c>
      <c r="P736" s="7" t="str">
        <f aca="false">IF(COUNTIF(customer_churn_dataset!$A$2:$A$1501,customer_churn_dataset!A736)&gt;1,"Duplicate","Unique")</f>
        <v>Unique</v>
      </c>
    </row>
    <row r="737" customFormat="false" ht="14.15" hidden="false" customHeight="true" outlineLevel="0" collapsed="false">
      <c r="A737" s="7" t="str">
        <f aca="false">TRIM(customer_churn_dataset!A737)</f>
        <v>CUST101112</v>
      </c>
      <c r="B737" s="7" t="str">
        <f aca="false">PROPER(TRIM(customer_churn_dataset!B737))</f>
        <v>Basic</v>
      </c>
      <c r="C737" s="7" t="str">
        <f aca="false">PROPER(TRIM(customer_churn_dataset!C737))</f>
        <v>One Year</v>
      </c>
      <c r="D737" s="7" t="n">
        <f aca="false">IF(ISBLANK(customer_churn_dataset!D737),ROUND(MEDIAN(customer_churn_dataset!D$2:D$1501),2),IF(customer_churn_dataset!D737&lt;0,ABS(customer_churn_dataset!D737),customer_churn_dataset!D737))</f>
        <v>9.31</v>
      </c>
      <c r="E737" s="7" t="n">
        <f aca="false">IF(ISBLANK(customer_churn_dataset!E737),0,MAX(0,customer_churn_dataset!E737))</f>
        <v>16</v>
      </c>
      <c r="F737" s="8" t="n">
        <f aca="false">IF(ISBLANK(customer_churn_dataset!F737),"",customer_churn_dataset!F737)</f>
        <v>44819</v>
      </c>
      <c r="G737" s="7" t="str">
        <f aca="false">PROPER(TRIM(customer_churn_dataset!G737))</f>
        <v>Bank Transfer</v>
      </c>
      <c r="H737" s="7" t="n">
        <f aca="false">IF(ISBLANK(customer_churn_dataset!H737),0,customer_churn_dataset!H737)</f>
        <v>1</v>
      </c>
      <c r="I737" s="7" t="n">
        <f aca="false">IF(ISBLANK(customer_churn_dataset!I737),ROUND(MEDIAN(customer_churn_dataset!I$2:I$1501),1),MIN(100,MAX(0,customer_churn_dataset!I737)))</f>
        <v>59.5</v>
      </c>
      <c r="J737" s="7" t="n">
        <f aca="false">IF(ISBLANK(customer_churn_dataset!J737),0,MAX(0,customer_churn_dataset!J737))</f>
        <v>18</v>
      </c>
      <c r="K737" s="7" t="n">
        <f aca="false">IF(ISBLANK(customer_churn_dataset!K737),0,MIN(10,MAX(0,customer_churn_dataset!K737)))</f>
        <v>5</v>
      </c>
      <c r="L737" s="7" t="n">
        <f aca="false">IF(ISBLANK(customer_churn_dataset!L737),0,MAX(0,customer_churn_dataset!L737))</f>
        <v>1</v>
      </c>
      <c r="M737" s="7" t="n">
        <f aca="false">IF(ISBLANK(customer_churn_dataset!M737),0,customer_churn_dataset!M737)</f>
        <v>0</v>
      </c>
      <c r="N737" s="7" t="n">
        <f aca="false">IF(ISBLANK(customer_churn_dataset!N737),0,MAX(0,customer_churn_dataset!N737))</f>
        <v>148.96</v>
      </c>
      <c r="O737" s="7" t="n">
        <f aca="false">IF(ISBLANK(customer_churn_dataset!O737),0,customer_churn_dataset!O737)</f>
        <v>0</v>
      </c>
      <c r="P737" s="7" t="str">
        <f aca="false">IF(COUNTIF(customer_churn_dataset!$A$2:$A$1501,customer_churn_dataset!A737)&gt;1,"Duplicate","Unique")</f>
        <v>Unique</v>
      </c>
    </row>
    <row r="738" customFormat="false" ht="14.15" hidden="false" customHeight="true" outlineLevel="0" collapsed="false">
      <c r="A738" s="7" t="str">
        <f aca="false">TRIM(customer_churn_dataset!A738)</f>
        <v>CUST101397</v>
      </c>
      <c r="B738" s="7" t="str">
        <f aca="false">PROPER(TRIM(customer_churn_dataset!B738))</f>
        <v>Basic</v>
      </c>
      <c r="C738" s="7" t="str">
        <f aca="false">PROPER(TRIM(customer_churn_dataset!C738))</f>
        <v>Month-To-Month</v>
      </c>
      <c r="D738" s="7" t="n">
        <f aca="false">IF(ISBLANK(customer_churn_dataset!D738),ROUND(MEDIAN(customer_churn_dataset!D$2:D$1501),2),IF(customer_churn_dataset!D738&lt;0,ABS(customer_churn_dataset!D738),customer_churn_dataset!D738))</f>
        <v>9.99</v>
      </c>
      <c r="E738" s="7" t="n">
        <f aca="false">IF(ISBLANK(customer_churn_dataset!E738),0,MAX(0,customer_churn_dataset!E738))</f>
        <v>72</v>
      </c>
      <c r="F738" s="8" t="n">
        <f aca="false">IF(ISBLANK(customer_churn_dataset!F738),"",customer_churn_dataset!F738)</f>
        <v>44820</v>
      </c>
      <c r="G738" s="7" t="str">
        <f aca="false">PROPER(TRIM(customer_churn_dataset!G738))</f>
        <v>Bank Transfer</v>
      </c>
      <c r="H738" s="7" t="n">
        <f aca="false">IF(ISBLANK(customer_churn_dataset!H738),0,customer_churn_dataset!H738)</f>
        <v>1</v>
      </c>
      <c r="I738" s="7" t="n">
        <f aca="false">IF(ISBLANK(customer_churn_dataset!I738),ROUND(MEDIAN(customer_churn_dataset!I$2:I$1501),1),MIN(100,MAX(0,customer_churn_dataset!I738)))</f>
        <v>33.9</v>
      </c>
      <c r="J738" s="7" t="n">
        <f aca="false">IF(ISBLANK(customer_churn_dataset!J738),0,MAX(0,customer_churn_dataset!J738))</f>
        <v>5</v>
      </c>
      <c r="K738" s="7" t="n">
        <f aca="false">IF(ISBLANK(customer_churn_dataset!K738),0,MIN(10,MAX(0,customer_churn_dataset!K738)))</f>
        <v>5</v>
      </c>
      <c r="L738" s="7" t="n">
        <f aca="false">IF(ISBLANK(customer_churn_dataset!L738),0,MAX(0,customer_churn_dataset!L738))</f>
        <v>1</v>
      </c>
      <c r="M738" s="7" t="n">
        <f aca="false">IF(ISBLANK(customer_churn_dataset!M738),0,customer_churn_dataset!M738)</f>
        <v>0</v>
      </c>
      <c r="N738" s="7" t="n">
        <f aca="false">IF(ISBLANK(customer_churn_dataset!N738),0,MAX(0,customer_churn_dataset!N738))</f>
        <v>719.28</v>
      </c>
      <c r="O738" s="7" t="n">
        <f aca="false">IF(ISBLANK(customer_churn_dataset!O738),0,customer_churn_dataset!O738)</f>
        <v>0</v>
      </c>
      <c r="P738" s="7" t="str">
        <f aca="false">IF(COUNTIF(customer_churn_dataset!$A$2:$A$1501,customer_churn_dataset!A738)&gt;1,"Duplicate","Unique")</f>
        <v>Unique</v>
      </c>
    </row>
    <row r="739" customFormat="false" ht="14.15" hidden="false" customHeight="true" outlineLevel="0" collapsed="false">
      <c r="A739" s="7" t="str">
        <f aca="false">TRIM(customer_churn_dataset!A739)</f>
        <v>CUST100795</v>
      </c>
      <c r="B739" s="7" t="str">
        <f aca="false">PROPER(TRIM(customer_churn_dataset!B739))</f>
        <v>Premium</v>
      </c>
      <c r="C739" s="7" t="str">
        <f aca="false">PROPER(TRIM(customer_churn_dataset!C739))</f>
        <v>Month-To-Month</v>
      </c>
      <c r="D739" s="7" t="n">
        <f aca="false">IF(ISBLANK(customer_churn_dataset!D739),ROUND(MEDIAN(customer_churn_dataset!D$2:D$1501),2),IF(customer_churn_dataset!D739&lt;0,ABS(customer_churn_dataset!D739),customer_churn_dataset!D739))</f>
        <v>41.36</v>
      </c>
      <c r="E739" s="7" t="n">
        <f aca="false">IF(ISBLANK(customer_churn_dataset!E739),0,MAX(0,customer_churn_dataset!E739))</f>
        <v>2</v>
      </c>
      <c r="F739" s="8" t="n">
        <f aca="false">IF(ISBLANK(customer_churn_dataset!F739),"",customer_churn_dataset!F739)</f>
        <v>44820</v>
      </c>
      <c r="G739" s="7" t="str">
        <f aca="false">PROPER(TRIM(customer_churn_dataset!G739))</f>
        <v>Credit Card</v>
      </c>
      <c r="H739" s="7" t="n">
        <f aca="false">IF(ISBLANK(customer_churn_dataset!H739),0,customer_churn_dataset!H739)</f>
        <v>1</v>
      </c>
      <c r="I739" s="7" t="n">
        <f aca="false">IF(ISBLANK(customer_churn_dataset!I739),ROUND(MEDIAN(customer_churn_dataset!I$2:I$1501),1),MIN(100,MAX(0,customer_churn_dataset!I739)))</f>
        <v>49</v>
      </c>
      <c r="J739" s="7" t="n">
        <f aca="false">IF(ISBLANK(customer_churn_dataset!J739),0,MAX(0,customer_churn_dataset!J739))</f>
        <v>18</v>
      </c>
      <c r="K739" s="7" t="n">
        <f aca="false">IF(ISBLANK(customer_churn_dataset!K739),0,MIN(10,MAX(0,customer_churn_dataset!K739)))</f>
        <v>7</v>
      </c>
      <c r="L739" s="7" t="n">
        <f aca="false">IF(ISBLANK(customer_churn_dataset!L739),0,MAX(0,customer_churn_dataset!L739))</f>
        <v>2</v>
      </c>
      <c r="M739" s="7" t="n">
        <f aca="false">IF(ISBLANK(customer_churn_dataset!M739),0,customer_churn_dataset!M739)</f>
        <v>1</v>
      </c>
      <c r="N739" s="7" t="n">
        <f aca="false">IF(ISBLANK(customer_churn_dataset!N739),0,MAX(0,customer_churn_dataset!N739))</f>
        <v>82.72</v>
      </c>
      <c r="O739" s="7" t="n">
        <f aca="false">IF(ISBLANK(customer_churn_dataset!O739),0,customer_churn_dataset!O739)</f>
        <v>1</v>
      </c>
      <c r="P739" s="7" t="str">
        <f aca="false">IF(COUNTIF(customer_churn_dataset!$A$2:$A$1501,customer_churn_dataset!A739)&gt;1,"Duplicate","Unique")</f>
        <v>Unique</v>
      </c>
    </row>
    <row r="740" customFormat="false" ht="14.15" hidden="false" customHeight="true" outlineLevel="0" collapsed="false">
      <c r="A740" s="7" t="str">
        <f aca="false">TRIM(customer_churn_dataset!A740)</f>
        <v>CUST101426</v>
      </c>
      <c r="B740" s="7" t="str">
        <f aca="false">PROPER(TRIM(customer_churn_dataset!B740))</f>
        <v>Basic</v>
      </c>
      <c r="C740" s="7" t="str">
        <f aca="false">PROPER(TRIM(customer_churn_dataset!C740))</f>
        <v>Month-To-Month</v>
      </c>
      <c r="D740" s="7" t="n">
        <f aca="false">IF(ISBLANK(customer_churn_dataset!D740),ROUND(MEDIAN(customer_churn_dataset!D$2:D$1501),2),IF(customer_churn_dataset!D740&lt;0,ABS(customer_churn_dataset!D740),customer_churn_dataset!D740))</f>
        <v>8.67</v>
      </c>
      <c r="E740" s="7" t="n">
        <f aca="false">IF(ISBLANK(customer_churn_dataset!E740),0,MAX(0,customer_churn_dataset!E740))</f>
        <v>66</v>
      </c>
      <c r="F740" s="8" t="n">
        <f aca="false">IF(ISBLANK(customer_churn_dataset!F740),"",customer_churn_dataset!F740)</f>
        <v>44825</v>
      </c>
      <c r="G740" s="7" t="str">
        <f aca="false">PROPER(TRIM(customer_churn_dataset!G740))</f>
        <v>Credit Card</v>
      </c>
      <c r="H740" s="7" t="n">
        <f aca="false">IF(ISBLANK(customer_churn_dataset!H740),0,customer_churn_dataset!H740)</f>
        <v>1</v>
      </c>
      <c r="I740" s="7" t="n">
        <f aca="false">IF(ISBLANK(customer_churn_dataset!I740),ROUND(MEDIAN(customer_churn_dataset!I$2:I$1501),1),MIN(100,MAX(0,customer_churn_dataset!I740)))</f>
        <v>77</v>
      </c>
      <c r="J740" s="7" t="n">
        <f aca="false">IF(ISBLANK(customer_churn_dataset!J740),0,MAX(0,customer_churn_dataset!J740))</f>
        <v>25</v>
      </c>
      <c r="K740" s="7" t="n">
        <f aca="false">IF(ISBLANK(customer_churn_dataset!K740),0,MIN(10,MAX(0,customer_churn_dataset!K740)))</f>
        <v>10</v>
      </c>
      <c r="L740" s="7" t="n">
        <f aca="false">IF(ISBLANK(customer_churn_dataset!L740),0,MAX(0,customer_churn_dataset!L740))</f>
        <v>4</v>
      </c>
      <c r="M740" s="7" t="n">
        <f aca="false">IF(ISBLANK(customer_churn_dataset!M740),0,customer_churn_dataset!M740)</f>
        <v>0</v>
      </c>
      <c r="N740" s="7" t="n">
        <f aca="false">IF(ISBLANK(customer_churn_dataset!N740),0,MAX(0,customer_churn_dataset!N740))</f>
        <v>572.22</v>
      </c>
      <c r="O740" s="7" t="n">
        <f aca="false">IF(ISBLANK(customer_churn_dataset!O740),0,customer_churn_dataset!O740)</f>
        <v>0</v>
      </c>
      <c r="P740" s="7" t="str">
        <f aca="false">IF(COUNTIF(customer_churn_dataset!$A$2:$A$1501,customer_churn_dataset!A740)&gt;1,"Duplicate","Unique")</f>
        <v>Unique</v>
      </c>
    </row>
    <row r="741" customFormat="false" ht="14.15" hidden="false" customHeight="true" outlineLevel="0" collapsed="false">
      <c r="A741" s="7" t="str">
        <f aca="false">TRIM(customer_churn_dataset!A741)</f>
        <v>CUST100832</v>
      </c>
      <c r="B741" s="7" t="str">
        <f aca="false">PROPER(TRIM(customer_churn_dataset!B741))</f>
        <v>Basic</v>
      </c>
      <c r="C741" s="7" t="str">
        <f aca="false">PROPER(TRIM(customer_churn_dataset!C741))</f>
        <v>Month-To-Month</v>
      </c>
      <c r="D741" s="7" t="n">
        <f aca="false">IF(ISBLANK(customer_churn_dataset!D741),ROUND(MEDIAN(customer_churn_dataset!D$2:D$1501),2),IF(customer_churn_dataset!D741&lt;0,ABS(customer_churn_dataset!D741),customer_churn_dataset!D741))</f>
        <v>11.18</v>
      </c>
      <c r="E741" s="7" t="n">
        <f aca="false">IF(ISBLANK(customer_churn_dataset!E741),0,MAX(0,customer_churn_dataset!E741))</f>
        <v>72</v>
      </c>
      <c r="F741" s="8" t="n">
        <f aca="false">IF(ISBLANK(customer_churn_dataset!F741),"",customer_churn_dataset!F741)</f>
        <v>44827</v>
      </c>
      <c r="G741" s="7" t="str">
        <f aca="false">PROPER(TRIM(customer_churn_dataset!G741))</f>
        <v>Manual/Invoice</v>
      </c>
      <c r="H741" s="7" t="n">
        <f aca="false">IF(ISBLANK(customer_churn_dataset!H741),0,customer_churn_dataset!H741)</f>
        <v>1</v>
      </c>
      <c r="I741" s="7" t="n">
        <f aca="false">IF(ISBLANK(customer_churn_dataset!I741),ROUND(MEDIAN(customer_churn_dataset!I$2:I$1501),1),MIN(100,MAX(0,customer_churn_dataset!I741)))</f>
        <v>65</v>
      </c>
      <c r="J741" s="7" t="n">
        <f aca="false">IF(ISBLANK(customer_churn_dataset!J741),0,MAX(0,customer_churn_dataset!J741))</f>
        <v>21</v>
      </c>
      <c r="K741" s="7" t="n">
        <f aca="false">IF(ISBLANK(customer_churn_dataset!K741),0,MIN(10,MAX(0,customer_churn_dataset!K741)))</f>
        <v>7</v>
      </c>
      <c r="L741" s="7" t="n">
        <f aca="false">IF(ISBLANK(customer_churn_dataset!L741),0,MAX(0,customer_churn_dataset!L741))</f>
        <v>2</v>
      </c>
      <c r="M741" s="7" t="n">
        <f aca="false">IF(ISBLANK(customer_churn_dataset!M741),0,customer_churn_dataset!M741)</f>
        <v>0</v>
      </c>
      <c r="N741" s="7" t="n">
        <f aca="false">IF(ISBLANK(customer_churn_dataset!N741),0,MAX(0,customer_churn_dataset!N741))</f>
        <v>804.96</v>
      </c>
      <c r="O741" s="7" t="n">
        <f aca="false">IF(ISBLANK(customer_churn_dataset!O741),0,customer_churn_dataset!O741)</f>
        <v>0</v>
      </c>
      <c r="P741" s="7" t="str">
        <f aca="false">IF(COUNTIF(customer_churn_dataset!$A$2:$A$1501,customer_churn_dataset!A741)&gt;1,"Duplicate","Unique")</f>
        <v>Unique</v>
      </c>
    </row>
    <row r="742" customFormat="false" ht="14.15" hidden="false" customHeight="true" outlineLevel="0" collapsed="false">
      <c r="A742" s="7" t="str">
        <f aca="false">TRIM(customer_churn_dataset!A742)</f>
        <v>CUST101293</v>
      </c>
      <c r="B742" s="7" t="str">
        <f aca="false">PROPER(TRIM(customer_churn_dataset!B742))</f>
        <v>Standard</v>
      </c>
      <c r="C742" s="7" t="str">
        <f aca="false">PROPER(TRIM(customer_churn_dataset!C742))</f>
        <v>One Year</v>
      </c>
      <c r="D742" s="7" t="n">
        <f aca="false">IF(ISBLANK(customer_churn_dataset!D742),ROUND(MEDIAN(customer_churn_dataset!D$2:D$1501),2),IF(customer_churn_dataset!D742&lt;0,ABS(customer_churn_dataset!D742),customer_churn_dataset!D742))</f>
        <v>19.27</v>
      </c>
      <c r="E742" s="7" t="n">
        <f aca="false">IF(ISBLANK(customer_churn_dataset!E742),0,MAX(0,customer_churn_dataset!E742))</f>
        <v>39</v>
      </c>
      <c r="F742" s="8" t="n">
        <f aca="false">IF(ISBLANK(customer_churn_dataset!F742),"",customer_churn_dataset!F742)</f>
        <v>44827</v>
      </c>
      <c r="G742" s="7" t="str">
        <f aca="false">PROPER(TRIM(customer_churn_dataset!G742))</f>
        <v>Paypal</v>
      </c>
      <c r="H742" s="7" t="n">
        <f aca="false">IF(ISBLANK(customer_churn_dataset!H742),0,customer_churn_dataset!H742)</f>
        <v>0</v>
      </c>
      <c r="I742" s="7" t="n">
        <f aca="false">IF(ISBLANK(customer_churn_dataset!I742),ROUND(MEDIAN(customer_churn_dataset!I$2:I$1501),1),MIN(100,MAX(0,customer_churn_dataset!I742)))</f>
        <v>55</v>
      </c>
      <c r="J742" s="7" t="n">
        <f aca="false">IF(ISBLANK(customer_churn_dataset!J742),0,MAX(0,customer_churn_dataset!J742))</f>
        <v>9</v>
      </c>
      <c r="K742" s="7" t="n">
        <f aca="false">IF(ISBLANK(customer_churn_dataset!K742),0,MIN(10,MAX(0,customer_churn_dataset!K742)))</f>
        <v>4</v>
      </c>
      <c r="L742" s="7" t="n">
        <f aca="false">IF(ISBLANK(customer_churn_dataset!L742),0,MAX(0,customer_churn_dataset!L742))</f>
        <v>1</v>
      </c>
      <c r="M742" s="7" t="n">
        <f aca="false">IF(ISBLANK(customer_churn_dataset!M742),0,customer_churn_dataset!M742)</f>
        <v>0</v>
      </c>
      <c r="N742" s="7" t="n">
        <f aca="false">IF(ISBLANK(customer_churn_dataset!N742),0,MAX(0,customer_churn_dataset!N742))</f>
        <v>751.53</v>
      </c>
      <c r="O742" s="7" t="n">
        <f aca="false">IF(ISBLANK(customer_churn_dataset!O742),0,customer_churn_dataset!O742)</f>
        <v>0</v>
      </c>
      <c r="P742" s="7" t="str">
        <f aca="false">IF(COUNTIF(customer_churn_dataset!$A$2:$A$1501,customer_churn_dataset!A742)&gt;1,"Duplicate","Unique")</f>
        <v>Unique</v>
      </c>
    </row>
    <row r="743" customFormat="false" ht="14.15" hidden="false" customHeight="true" outlineLevel="0" collapsed="false">
      <c r="A743" s="7" t="str">
        <f aca="false">TRIM(customer_churn_dataset!A743)</f>
        <v>CUST100929</v>
      </c>
      <c r="B743" s="7" t="str">
        <f aca="false">PROPER(TRIM(customer_churn_dataset!B743))</f>
        <v>Basic</v>
      </c>
      <c r="C743" s="7" t="str">
        <f aca="false">PROPER(TRIM(customer_churn_dataset!C743))</f>
        <v>Month-To-Month</v>
      </c>
      <c r="D743" s="7" t="n">
        <f aca="false">IF(ISBLANK(customer_churn_dataset!D743),ROUND(MEDIAN(customer_churn_dataset!D$2:D$1501),2),IF(customer_churn_dataset!D743&lt;0,ABS(customer_churn_dataset!D743),customer_churn_dataset!D743))</f>
        <v>11.44</v>
      </c>
      <c r="E743" s="7" t="n">
        <f aca="false">IF(ISBLANK(customer_churn_dataset!E743),0,MAX(0,customer_churn_dataset!E743))</f>
        <v>34</v>
      </c>
      <c r="F743" s="8" t="n">
        <f aca="false">IF(ISBLANK(customer_churn_dataset!F743),"",customer_churn_dataset!F743)</f>
        <v>44829</v>
      </c>
      <c r="G743" s="7" t="str">
        <f aca="false">PROPER(TRIM(customer_churn_dataset!G743))</f>
        <v>Manual/Invoice</v>
      </c>
      <c r="H743" s="7" t="n">
        <f aca="false">IF(ISBLANK(customer_churn_dataset!H743),0,customer_churn_dataset!H743)</f>
        <v>1</v>
      </c>
      <c r="I743" s="7" t="n">
        <f aca="false">IF(ISBLANK(customer_churn_dataset!I743),ROUND(MEDIAN(customer_churn_dataset!I$2:I$1501),1),MIN(100,MAX(0,customer_churn_dataset!I743)))</f>
        <v>81.2</v>
      </c>
      <c r="J743" s="7" t="n">
        <f aca="false">IF(ISBLANK(customer_churn_dataset!J743),0,MAX(0,customer_churn_dataset!J743))</f>
        <v>22</v>
      </c>
      <c r="K743" s="7" t="n">
        <f aca="false">IF(ISBLANK(customer_churn_dataset!K743),0,MIN(10,MAX(0,customer_churn_dataset!K743)))</f>
        <v>6</v>
      </c>
      <c r="L743" s="7" t="n">
        <f aca="false">IF(ISBLANK(customer_churn_dataset!L743),0,MAX(0,customer_churn_dataset!L743))</f>
        <v>2</v>
      </c>
      <c r="M743" s="7" t="n">
        <f aca="false">IF(ISBLANK(customer_churn_dataset!M743),0,customer_churn_dataset!M743)</f>
        <v>0</v>
      </c>
      <c r="N743" s="7" t="n">
        <f aca="false">IF(ISBLANK(customer_churn_dataset!N743),0,MAX(0,customer_churn_dataset!N743))</f>
        <v>388.96</v>
      </c>
      <c r="O743" s="7" t="n">
        <f aca="false">IF(ISBLANK(customer_churn_dataset!O743),0,customer_churn_dataset!O743)</f>
        <v>0</v>
      </c>
      <c r="P743" s="7" t="str">
        <f aca="false">IF(COUNTIF(customer_churn_dataset!$A$2:$A$1501,customer_churn_dataset!A743)&gt;1,"Duplicate","Unique")</f>
        <v>Unique</v>
      </c>
    </row>
    <row r="744" customFormat="false" ht="14.15" hidden="false" customHeight="true" outlineLevel="0" collapsed="false">
      <c r="A744" s="7" t="str">
        <f aca="false">TRIM(customer_churn_dataset!A744)</f>
        <v>CUST100863</v>
      </c>
      <c r="B744" s="7" t="str">
        <f aca="false">PROPER(TRIM(customer_churn_dataset!B744))</f>
        <v>Basic</v>
      </c>
      <c r="C744" s="7" t="str">
        <f aca="false">PROPER(TRIM(customer_churn_dataset!C744))</f>
        <v>Month-To-Month</v>
      </c>
      <c r="D744" s="7" t="n">
        <f aca="false">IF(ISBLANK(customer_churn_dataset!D744),ROUND(MEDIAN(customer_churn_dataset!D$2:D$1501),2),IF(customer_churn_dataset!D744&lt;0,ABS(customer_churn_dataset!D744),customer_churn_dataset!D744))</f>
        <v>8.68</v>
      </c>
      <c r="E744" s="7" t="n">
        <f aca="false">IF(ISBLANK(customer_churn_dataset!E744),0,MAX(0,customer_churn_dataset!E744))</f>
        <v>56</v>
      </c>
      <c r="F744" s="8" t="n">
        <f aca="false">IF(ISBLANK(customer_churn_dataset!F744),"",customer_churn_dataset!F744)</f>
        <v>44831</v>
      </c>
      <c r="G744" s="7" t="str">
        <f aca="false">PROPER(TRIM(customer_churn_dataset!G744))</f>
        <v>Credit Card</v>
      </c>
      <c r="H744" s="7" t="n">
        <f aca="false">IF(ISBLANK(customer_churn_dataset!H744),0,customer_churn_dataset!H744)</f>
        <v>1</v>
      </c>
      <c r="I744" s="7" t="n">
        <f aca="false">IF(ISBLANK(customer_churn_dataset!I744),ROUND(MEDIAN(customer_churn_dataset!I$2:I$1501),1),MIN(100,MAX(0,customer_churn_dataset!I744)))</f>
        <v>57.3</v>
      </c>
      <c r="J744" s="7" t="n">
        <f aca="false">IF(ISBLANK(customer_churn_dataset!J744),0,MAX(0,customer_churn_dataset!J744))</f>
        <v>18</v>
      </c>
      <c r="K744" s="7" t="n">
        <f aca="false">IF(ISBLANK(customer_churn_dataset!K744),0,MIN(10,MAX(0,customer_churn_dataset!K744)))</f>
        <v>8</v>
      </c>
      <c r="L744" s="7" t="n">
        <f aca="false">IF(ISBLANK(customer_churn_dataset!L744),0,MAX(0,customer_churn_dataset!L744))</f>
        <v>3</v>
      </c>
      <c r="M744" s="7" t="n">
        <f aca="false">IF(ISBLANK(customer_churn_dataset!M744),0,customer_churn_dataset!M744)</f>
        <v>1</v>
      </c>
      <c r="N744" s="7" t="n">
        <f aca="false">IF(ISBLANK(customer_churn_dataset!N744),0,MAX(0,customer_churn_dataset!N744))</f>
        <v>486.08</v>
      </c>
      <c r="O744" s="7" t="n">
        <f aca="false">IF(ISBLANK(customer_churn_dataset!O744),0,customer_churn_dataset!O744)</f>
        <v>0</v>
      </c>
      <c r="P744" s="7" t="str">
        <f aca="false">IF(COUNTIF(customer_churn_dataset!$A$2:$A$1501,customer_churn_dataset!A744)&gt;1,"Duplicate","Unique")</f>
        <v>Unique</v>
      </c>
    </row>
    <row r="745" customFormat="false" ht="14.15" hidden="false" customHeight="true" outlineLevel="0" collapsed="false">
      <c r="A745" s="7" t="str">
        <f aca="false">TRIM(customer_churn_dataset!A745)</f>
        <v>CUST101432</v>
      </c>
      <c r="B745" s="7" t="str">
        <f aca="false">PROPER(TRIM(customer_churn_dataset!B745))</f>
        <v>Standard</v>
      </c>
      <c r="C745" s="7" t="str">
        <f aca="false">PROPER(TRIM(customer_churn_dataset!C745))</f>
        <v>Month-To-Month</v>
      </c>
      <c r="D745" s="7" t="n">
        <f aca="false">IF(ISBLANK(customer_churn_dataset!D745),ROUND(MEDIAN(customer_churn_dataset!D$2:D$1501),2),IF(customer_churn_dataset!D745&lt;0,ABS(customer_churn_dataset!D745),customer_churn_dataset!D745))</f>
        <v>19.95</v>
      </c>
      <c r="E745" s="7" t="n">
        <f aca="false">IF(ISBLANK(customer_churn_dataset!E745),0,MAX(0,customer_churn_dataset!E745))</f>
        <v>28</v>
      </c>
      <c r="F745" s="8" t="n">
        <f aca="false">IF(ISBLANK(customer_churn_dataset!F745),"",customer_churn_dataset!F745)</f>
        <v>44832</v>
      </c>
      <c r="G745" s="7" t="str">
        <f aca="false">PROPER(TRIM(customer_churn_dataset!G745))</f>
        <v>Credit Card</v>
      </c>
      <c r="H745" s="7" t="n">
        <f aca="false">IF(ISBLANK(customer_churn_dataset!H745),0,customer_churn_dataset!H745)</f>
        <v>1</v>
      </c>
      <c r="I745" s="7" t="n">
        <f aca="false">IF(ISBLANK(customer_churn_dataset!I745),ROUND(MEDIAN(customer_churn_dataset!I$2:I$1501),1),MIN(100,MAX(0,customer_churn_dataset!I745)))</f>
        <v>74.3</v>
      </c>
      <c r="J745" s="7" t="n">
        <f aca="false">IF(ISBLANK(customer_churn_dataset!J745),0,MAX(0,customer_churn_dataset!J745))</f>
        <v>23</v>
      </c>
      <c r="K745" s="7" t="n">
        <f aca="false">IF(ISBLANK(customer_churn_dataset!K745),0,MIN(10,MAX(0,customer_churn_dataset!K745)))</f>
        <v>7</v>
      </c>
      <c r="L745" s="7" t="n">
        <f aca="false">IF(ISBLANK(customer_churn_dataset!L745),0,MAX(0,customer_churn_dataset!L745))</f>
        <v>0</v>
      </c>
      <c r="M745" s="7" t="n">
        <f aca="false">IF(ISBLANK(customer_churn_dataset!M745),0,customer_churn_dataset!M745)</f>
        <v>0</v>
      </c>
      <c r="N745" s="7" t="n">
        <f aca="false">IF(ISBLANK(customer_churn_dataset!N745),0,MAX(0,customer_churn_dataset!N745))</f>
        <v>558.6</v>
      </c>
      <c r="O745" s="7" t="n">
        <f aca="false">IF(ISBLANK(customer_churn_dataset!O745),0,customer_churn_dataset!O745)</f>
        <v>0</v>
      </c>
      <c r="P745" s="7" t="str">
        <f aca="false">IF(COUNTIF(customer_churn_dataset!$A$2:$A$1501,customer_churn_dataset!A745)&gt;1,"Duplicate","Unique")</f>
        <v>Unique</v>
      </c>
    </row>
    <row r="746" customFormat="false" ht="14.15" hidden="false" customHeight="true" outlineLevel="0" collapsed="false">
      <c r="A746" s="7" t="str">
        <f aca="false">TRIM(customer_churn_dataset!A746)</f>
        <v>CUST100793</v>
      </c>
      <c r="B746" s="7" t="str">
        <f aca="false">PROPER(TRIM(customer_churn_dataset!B746))</f>
        <v>Standard</v>
      </c>
      <c r="C746" s="7" t="str">
        <f aca="false">PROPER(TRIM(customer_churn_dataset!C746))</f>
        <v>One Year</v>
      </c>
      <c r="D746" s="7" t="n">
        <f aca="false">IF(ISBLANK(customer_churn_dataset!D746),ROUND(MEDIAN(customer_churn_dataset!D$2:D$1501),2),IF(customer_churn_dataset!D746&lt;0,ABS(customer_churn_dataset!D746),customer_churn_dataset!D746))</f>
        <v>19.34</v>
      </c>
      <c r="E746" s="7" t="n">
        <f aca="false">IF(ISBLANK(customer_churn_dataset!E746),0,MAX(0,customer_churn_dataset!E746))</f>
        <v>21</v>
      </c>
      <c r="F746" s="8" t="n">
        <f aca="false">IF(ISBLANK(customer_churn_dataset!F746),"",customer_churn_dataset!F746)</f>
        <v>44834</v>
      </c>
      <c r="G746" s="7" t="str">
        <f aca="false">PROPER(TRIM(customer_churn_dataset!G746))</f>
        <v>Paypal</v>
      </c>
      <c r="H746" s="7" t="n">
        <f aca="false">IF(ISBLANK(customer_churn_dataset!H746),0,customer_churn_dataset!H746)</f>
        <v>1</v>
      </c>
      <c r="I746" s="7" t="n">
        <f aca="false">IF(ISBLANK(customer_churn_dataset!I746),ROUND(MEDIAN(customer_churn_dataset!I$2:I$1501),1),MIN(100,MAX(0,customer_churn_dataset!I746)))</f>
        <v>76.5</v>
      </c>
      <c r="J746" s="7" t="n">
        <f aca="false">IF(ISBLANK(customer_churn_dataset!J746),0,MAX(0,customer_churn_dataset!J746))</f>
        <v>21</v>
      </c>
      <c r="K746" s="7" t="n">
        <f aca="false">IF(ISBLANK(customer_churn_dataset!K746),0,MIN(10,MAX(0,customer_churn_dataset!K746)))</f>
        <v>5</v>
      </c>
      <c r="L746" s="7" t="n">
        <f aca="false">IF(ISBLANK(customer_churn_dataset!L746),0,MAX(0,customer_churn_dataset!L746))</f>
        <v>0</v>
      </c>
      <c r="M746" s="7" t="n">
        <f aca="false">IF(ISBLANK(customer_churn_dataset!M746),0,customer_churn_dataset!M746)</f>
        <v>0</v>
      </c>
      <c r="N746" s="7" t="n">
        <f aca="false">IF(ISBLANK(customer_churn_dataset!N746),0,MAX(0,customer_churn_dataset!N746))</f>
        <v>406.14</v>
      </c>
      <c r="O746" s="7" t="n">
        <f aca="false">IF(ISBLANK(customer_churn_dataset!O746),0,customer_churn_dataset!O746)</f>
        <v>0</v>
      </c>
      <c r="P746" s="7" t="str">
        <f aca="false">IF(COUNTIF(customer_churn_dataset!$A$2:$A$1501,customer_churn_dataset!A746)&gt;1,"Duplicate","Unique")</f>
        <v>Unique</v>
      </c>
    </row>
    <row r="747" customFormat="false" ht="14.15" hidden="false" customHeight="true" outlineLevel="0" collapsed="false">
      <c r="A747" s="7" t="str">
        <f aca="false">TRIM(customer_churn_dataset!A747)</f>
        <v>CUST101180</v>
      </c>
      <c r="B747" s="7" t="str">
        <f aca="false">PROPER(TRIM(customer_churn_dataset!B747))</f>
        <v>Premium</v>
      </c>
      <c r="C747" s="7" t="str">
        <f aca="false">PROPER(TRIM(customer_churn_dataset!C747))</f>
        <v>Month-To-Month</v>
      </c>
      <c r="D747" s="7" t="n">
        <f aca="false">IF(ISBLANK(customer_churn_dataset!D747),ROUND(MEDIAN(customer_churn_dataset!D$2:D$1501),2),IF(customer_churn_dataset!D747&lt;0,ABS(customer_churn_dataset!D747),customer_churn_dataset!D747))</f>
        <v>40.69</v>
      </c>
      <c r="E747" s="7" t="n">
        <f aca="false">IF(ISBLANK(customer_churn_dataset!E747),0,MAX(0,customer_churn_dataset!E747))</f>
        <v>2</v>
      </c>
      <c r="F747" s="8" t="n">
        <f aca="false">IF(ISBLANK(customer_churn_dataset!F747),"",customer_churn_dataset!F747)</f>
        <v>44835</v>
      </c>
      <c r="G747" s="7" t="str">
        <f aca="false">PROPER(TRIM(customer_churn_dataset!G747))</f>
        <v>Bank Transfer</v>
      </c>
      <c r="H747" s="7" t="n">
        <f aca="false">IF(ISBLANK(customer_churn_dataset!H747),0,customer_churn_dataset!H747)</f>
        <v>1</v>
      </c>
      <c r="I747" s="7" t="n">
        <f aca="false">IF(ISBLANK(customer_churn_dataset!I747),ROUND(MEDIAN(customer_churn_dataset!I$2:I$1501),1),MIN(100,MAX(0,customer_churn_dataset!I747)))</f>
        <v>73.6</v>
      </c>
      <c r="J747" s="7" t="n">
        <f aca="false">IF(ISBLANK(customer_churn_dataset!J747),0,MAX(0,customer_churn_dataset!J747))</f>
        <v>13</v>
      </c>
      <c r="K747" s="7" t="n">
        <f aca="false">IF(ISBLANK(customer_churn_dataset!K747),0,MIN(10,MAX(0,customer_churn_dataset!K747)))</f>
        <v>10</v>
      </c>
      <c r="L747" s="7" t="n">
        <f aca="false">IF(ISBLANK(customer_churn_dataset!L747),0,MAX(0,customer_churn_dataset!L747))</f>
        <v>2</v>
      </c>
      <c r="M747" s="7" t="n">
        <f aca="false">IF(ISBLANK(customer_churn_dataset!M747),0,customer_churn_dataset!M747)</f>
        <v>0</v>
      </c>
      <c r="N747" s="7" t="n">
        <f aca="false">IF(ISBLANK(customer_churn_dataset!N747),0,MAX(0,customer_churn_dataset!N747))</f>
        <v>81.38</v>
      </c>
      <c r="O747" s="7" t="n">
        <f aca="false">IF(ISBLANK(customer_churn_dataset!O747),0,customer_churn_dataset!O747)</f>
        <v>0</v>
      </c>
      <c r="P747" s="7" t="str">
        <f aca="false">IF(COUNTIF(customer_churn_dataset!$A$2:$A$1501,customer_churn_dataset!A747)&gt;1,"Duplicate","Unique")</f>
        <v>Unique</v>
      </c>
    </row>
    <row r="748" customFormat="false" ht="14.15" hidden="false" customHeight="true" outlineLevel="0" collapsed="false">
      <c r="A748" s="7" t="str">
        <f aca="false">TRIM(customer_churn_dataset!A748)</f>
        <v>CUST100152</v>
      </c>
      <c r="B748" s="7" t="str">
        <f aca="false">PROPER(TRIM(customer_churn_dataset!B748))</f>
        <v>Basic</v>
      </c>
      <c r="C748" s="7" t="str">
        <f aca="false">PROPER(TRIM(customer_churn_dataset!C748))</f>
        <v>Month-To-Month</v>
      </c>
      <c r="D748" s="7" t="n">
        <f aca="false">IF(ISBLANK(customer_churn_dataset!D748),ROUND(MEDIAN(customer_churn_dataset!D$2:D$1501),2),IF(customer_churn_dataset!D748&lt;0,ABS(customer_churn_dataset!D748),customer_churn_dataset!D748))</f>
        <v>11.38</v>
      </c>
      <c r="E748" s="7" t="n">
        <f aca="false">IF(ISBLANK(customer_churn_dataset!E748),0,MAX(0,customer_churn_dataset!E748))</f>
        <v>18</v>
      </c>
      <c r="F748" s="8" t="n">
        <f aca="false">IF(ISBLANK(customer_churn_dataset!F748),"",customer_churn_dataset!F748)</f>
        <v>44835</v>
      </c>
      <c r="G748" s="7" t="str">
        <f aca="false">PROPER(TRIM(customer_churn_dataset!G748))</f>
        <v>Manual/Invoice</v>
      </c>
      <c r="H748" s="7" t="n">
        <f aca="false">IF(ISBLANK(customer_churn_dataset!H748),0,customer_churn_dataset!H748)</f>
        <v>1</v>
      </c>
      <c r="I748" s="7" t="n">
        <f aca="false">IF(ISBLANK(customer_churn_dataset!I748),ROUND(MEDIAN(customer_churn_dataset!I$2:I$1501),1),MIN(100,MAX(0,customer_churn_dataset!I748)))</f>
        <v>27.9</v>
      </c>
      <c r="J748" s="7" t="n">
        <f aca="false">IF(ISBLANK(customer_churn_dataset!J748),0,MAX(0,customer_churn_dataset!J748))</f>
        <v>10</v>
      </c>
      <c r="K748" s="7" t="n">
        <f aca="false">IF(ISBLANK(customer_churn_dataset!K748),0,MIN(10,MAX(0,customer_churn_dataset!K748)))</f>
        <v>1</v>
      </c>
      <c r="L748" s="7" t="n">
        <f aca="false">IF(ISBLANK(customer_churn_dataset!L748),0,MAX(0,customer_churn_dataset!L748))</f>
        <v>1</v>
      </c>
      <c r="M748" s="7" t="n">
        <f aca="false">IF(ISBLANK(customer_churn_dataset!M748),0,customer_churn_dataset!M748)</f>
        <v>1</v>
      </c>
      <c r="N748" s="7" t="n">
        <f aca="false">IF(ISBLANK(customer_churn_dataset!N748),0,MAX(0,customer_churn_dataset!N748))</f>
        <v>204.84</v>
      </c>
      <c r="O748" s="7" t="n">
        <f aca="false">IF(ISBLANK(customer_churn_dataset!O748),0,customer_churn_dataset!O748)</f>
        <v>0</v>
      </c>
      <c r="P748" s="7" t="str">
        <f aca="false">IF(COUNTIF(customer_churn_dataset!$A$2:$A$1501,customer_churn_dataset!A748)&gt;1,"Duplicate","Unique")</f>
        <v>Unique</v>
      </c>
    </row>
    <row r="749" customFormat="false" ht="14.15" hidden="false" customHeight="true" outlineLevel="0" collapsed="false">
      <c r="A749" s="7" t="str">
        <f aca="false">TRIM(customer_churn_dataset!A749)</f>
        <v>CUST101175</v>
      </c>
      <c r="B749" s="7" t="str">
        <f aca="false">PROPER(TRIM(customer_churn_dataset!B749))</f>
        <v>Standard</v>
      </c>
      <c r="C749" s="7" t="str">
        <f aca="false">PROPER(TRIM(customer_churn_dataset!C749))</f>
        <v>Month-To-Month</v>
      </c>
      <c r="D749" s="7" t="n">
        <f aca="false">IF(ISBLANK(customer_churn_dataset!D749),ROUND(MEDIAN(customer_churn_dataset!D$2:D$1501),2),IF(customer_churn_dataset!D749&lt;0,ABS(customer_churn_dataset!D749),customer_churn_dataset!D749))</f>
        <v>20.57</v>
      </c>
      <c r="E749" s="7" t="n">
        <f aca="false">IF(ISBLANK(customer_churn_dataset!E749),0,MAX(0,customer_churn_dataset!E749))</f>
        <v>2</v>
      </c>
      <c r="F749" s="8" t="n">
        <f aca="false">IF(ISBLANK(customer_churn_dataset!F749),"",customer_churn_dataset!F749)</f>
        <v>44835</v>
      </c>
      <c r="G749" s="7" t="str">
        <f aca="false">PROPER(TRIM(customer_churn_dataset!G749))</f>
        <v>Credit Card</v>
      </c>
      <c r="H749" s="7" t="n">
        <f aca="false">IF(ISBLANK(customer_churn_dataset!H749),0,customer_churn_dataset!H749)</f>
        <v>1</v>
      </c>
      <c r="I749" s="7" t="n">
        <f aca="false">IF(ISBLANK(customer_churn_dataset!I749),ROUND(MEDIAN(customer_churn_dataset!I$2:I$1501),1),MIN(100,MAX(0,customer_churn_dataset!I749)))</f>
        <v>94.4</v>
      </c>
      <c r="J749" s="7" t="n">
        <f aca="false">IF(ISBLANK(customer_churn_dataset!J749),0,MAX(0,customer_churn_dataset!J749))</f>
        <v>27</v>
      </c>
      <c r="K749" s="7" t="n">
        <f aca="false">IF(ISBLANK(customer_churn_dataset!K749),0,MIN(10,MAX(0,customer_churn_dataset!K749)))</f>
        <v>10</v>
      </c>
      <c r="L749" s="7" t="n">
        <f aca="false">IF(ISBLANK(customer_churn_dataset!L749),0,MAX(0,customer_churn_dataset!L749))</f>
        <v>0</v>
      </c>
      <c r="M749" s="7" t="n">
        <f aca="false">IF(ISBLANK(customer_churn_dataset!M749),0,customer_churn_dataset!M749)</f>
        <v>0</v>
      </c>
      <c r="N749" s="7" t="n">
        <f aca="false">IF(ISBLANK(customer_churn_dataset!N749),0,MAX(0,customer_churn_dataset!N749))</f>
        <v>41.14</v>
      </c>
      <c r="O749" s="7" t="n">
        <f aca="false">IF(ISBLANK(customer_churn_dataset!O749),0,customer_churn_dataset!O749)</f>
        <v>0</v>
      </c>
      <c r="P749" s="7" t="str">
        <f aca="false">IF(COUNTIF(customer_churn_dataset!$A$2:$A$1501,customer_churn_dataset!A749)&gt;1,"Duplicate","Unique")</f>
        <v>Unique</v>
      </c>
    </row>
    <row r="750" customFormat="false" ht="14.15" hidden="false" customHeight="true" outlineLevel="0" collapsed="false">
      <c r="A750" s="7" t="str">
        <f aca="false">TRIM(customer_churn_dataset!A750)</f>
        <v>CUST101201</v>
      </c>
      <c r="B750" s="7" t="str">
        <f aca="false">PROPER(TRIM(customer_churn_dataset!B750))</f>
        <v>Basic</v>
      </c>
      <c r="C750" s="7" t="str">
        <f aca="false">PROPER(TRIM(customer_churn_dataset!C750))</f>
        <v>Month-To-Month</v>
      </c>
      <c r="D750" s="7" t="n">
        <f aca="false">IF(ISBLANK(customer_churn_dataset!D750),ROUND(MEDIAN(customer_churn_dataset!D$2:D$1501),2),IF(customer_churn_dataset!D750&lt;0,ABS(customer_churn_dataset!D750),customer_churn_dataset!D750))</f>
        <v>8.64</v>
      </c>
      <c r="E750" s="7" t="n">
        <f aca="false">IF(ISBLANK(customer_churn_dataset!E750),0,MAX(0,customer_churn_dataset!E750))</f>
        <v>8</v>
      </c>
      <c r="F750" s="8" t="n">
        <f aca="false">IF(ISBLANK(customer_churn_dataset!F750),"",customer_churn_dataset!F750)</f>
        <v>44836</v>
      </c>
      <c r="G750" s="7" t="str">
        <f aca="false">PROPER(TRIM(customer_churn_dataset!G750))</f>
        <v>Credit Card</v>
      </c>
      <c r="H750" s="7" t="n">
        <f aca="false">IF(ISBLANK(customer_churn_dataset!H750),0,customer_churn_dataset!H750)</f>
        <v>0</v>
      </c>
      <c r="I750" s="7" t="n">
        <f aca="false">IF(ISBLANK(customer_churn_dataset!I750),ROUND(MEDIAN(customer_churn_dataset!I$2:I$1501),1),MIN(100,MAX(0,customer_churn_dataset!I750)))</f>
        <v>66.5</v>
      </c>
      <c r="J750" s="7" t="n">
        <f aca="false">IF(ISBLANK(customer_churn_dataset!J750),0,MAX(0,customer_churn_dataset!J750))</f>
        <v>21</v>
      </c>
      <c r="K750" s="7" t="n">
        <f aca="false">IF(ISBLANK(customer_churn_dataset!K750),0,MIN(10,MAX(0,customer_churn_dataset!K750)))</f>
        <v>7</v>
      </c>
      <c r="L750" s="7" t="n">
        <f aca="false">IF(ISBLANK(customer_churn_dataset!L750),0,MAX(0,customer_churn_dataset!L750))</f>
        <v>1</v>
      </c>
      <c r="M750" s="7" t="n">
        <f aca="false">IF(ISBLANK(customer_churn_dataset!M750),0,customer_churn_dataset!M750)</f>
        <v>0</v>
      </c>
      <c r="N750" s="7" t="n">
        <f aca="false">IF(ISBLANK(customer_churn_dataset!N750),0,MAX(0,customer_churn_dataset!N750))</f>
        <v>69.12</v>
      </c>
      <c r="O750" s="7" t="n">
        <f aca="false">IF(ISBLANK(customer_churn_dataset!O750),0,customer_churn_dataset!O750)</f>
        <v>0</v>
      </c>
      <c r="P750" s="7" t="str">
        <f aca="false">IF(COUNTIF(customer_churn_dataset!$A$2:$A$1501,customer_churn_dataset!A750)&gt;1,"Duplicate","Unique")</f>
        <v>Unique</v>
      </c>
    </row>
    <row r="751" customFormat="false" ht="14.15" hidden="false" customHeight="true" outlineLevel="0" collapsed="false">
      <c r="A751" s="7" t="str">
        <f aca="false">TRIM(customer_churn_dataset!A751)</f>
        <v>CUST100266</v>
      </c>
      <c r="B751" s="7" t="str">
        <f aca="false">PROPER(TRIM(customer_churn_dataset!B751))</f>
        <v>Standard</v>
      </c>
      <c r="C751" s="7" t="str">
        <f aca="false">PROPER(TRIM(customer_churn_dataset!C751))</f>
        <v>Month-To-Month</v>
      </c>
      <c r="D751" s="7" t="n">
        <f aca="false">IF(ISBLANK(customer_churn_dataset!D751),ROUND(MEDIAN(customer_churn_dataset!D$2:D$1501),2),IF(customer_churn_dataset!D751&lt;0,ABS(customer_churn_dataset!D751),customer_churn_dataset!D751))</f>
        <v>22.05</v>
      </c>
      <c r="E751" s="7" t="n">
        <f aca="false">IF(ISBLANK(customer_churn_dataset!E751),0,MAX(0,customer_churn_dataset!E751))</f>
        <v>2</v>
      </c>
      <c r="F751" s="8" t="n">
        <f aca="false">IF(ISBLANK(customer_churn_dataset!F751),"",customer_churn_dataset!F751)</f>
        <v>44836</v>
      </c>
      <c r="G751" s="7" t="str">
        <f aca="false">PROPER(TRIM(customer_churn_dataset!G751))</f>
        <v>Paypal</v>
      </c>
      <c r="H751" s="7" t="n">
        <f aca="false">IF(ISBLANK(customer_churn_dataset!H751),0,customer_churn_dataset!H751)</f>
        <v>1</v>
      </c>
      <c r="I751" s="7" t="n">
        <f aca="false">IF(ISBLANK(customer_churn_dataset!I751),ROUND(MEDIAN(customer_churn_dataset!I$2:I$1501),1),MIN(100,MAX(0,customer_churn_dataset!I751)))</f>
        <v>38</v>
      </c>
      <c r="J751" s="7" t="n">
        <f aca="false">IF(ISBLANK(customer_churn_dataset!J751),0,MAX(0,customer_churn_dataset!J751))</f>
        <v>16</v>
      </c>
      <c r="K751" s="7" t="n">
        <f aca="false">IF(ISBLANK(customer_churn_dataset!K751),0,MIN(10,MAX(0,customer_churn_dataset!K751)))</f>
        <v>6</v>
      </c>
      <c r="L751" s="7" t="n">
        <f aca="false">IF(ISBLANK(customer_churn_dataset!L751),0,MAX(0,customer_churn_dataset!L751))</f>
        <v>3</v>
      </c>
      <c r="M751" s="7" t="n">
        <f aca="false">IF(ISBLANK(customer_churn_dataset!M751),0,customer_churn_dataset!M751)</f>
        <v>0</v>
      </c>
      <c r="N751" s="7" t="n">
        <f aca="false">IF(ISBLANK(customer_churn_dataset!N751),0,MAX(0,customer_churn_dataset!N751))</f>
        <v>44.1</v>
      </c>
      <c r="O751" s="7" t="n">
        <f aca="false">IF(ISBLANK(customer_churn_dataset!O751),0,customer_churn_dataset!O751)</f>
        <v>0</v>
      </c>
      <c r="P751" s="7" t="str">
        <f aca="false">IF(COUNTIF(customer_churn_dataset!$A$2:$A$1501,customer_churn_dataset!A751)&gt;1,"Duplicate","Unique")</f>
        <v>Unique</v>
      </c>
    </row>
    <row r="752" customFormat="false" ht="14.15" hidden="false" customHeight="true" outlineLevel="0" collapsed="false">
      <c r="A752" s="7" t="str">
        <f aca="false">TRIM(customer_churn_dataset!A752)</f>
        <v>CUST101315</v>
      </c>
      <c r="B752" s="7" t="str">
        <f aca="false">PROPER(TRIM(customer_churn_dataset!B752))</f>
        <v>Standard</v>
      </c>
      <c r="C752" s="7" t="str">
        <f aca="false">PROPER(TRIM(customer_churn_dataset!C752))</f>
        <v>Month-To-Month</v>
      </c>
      <c r="D752" s="7" t="n">
        <f aca="false">IF(ISBLANK(customer_churn_dataset!D752),ROUND(MEDIAN(customer_churn_dataset!D$2:D$1501),2),IF(customer_churn_dataset!D752&lt;0,ABS(customer_churn_dataset!D752),customer_churn_dataset!D752))</f>
        <v>20.71</v>
      </c>
      <c r="E752" s="7" t="n">
        <f aca="false">IF(ISBLANK(customer_churn_dataset!E752),0,MAX(0,customer_churn_dataset!E752))</f>
        <v>5</v>
      </c>
      <c r="F752" s="8" t="n">
        <f aca="false">IF(ISBLANK(customer_churn_dataset!F752),"",customer_churn_dataset!F752)</f>
        <v>44838</v>
      </c>
      <c r="G752" s="7" t="str">
        <f aca="false">PROPER(TRIM(customer_churn_dataset!G752))</f>
        <v>Paypal</v>
      </c>
      <c r="H752" s="7" t="n">
        <f aca="false">IF(ISBLANK(customer_churn_dataset!H752),0,customer_churn_dataset!H752)</f>
        <v>1</v>
      </c>
      <c r="I752" s="7" t="n">
        <f aca="false">IF(ISBLANK(customer_churn_dataset!I752),ROUND(MEDIAN(customer_churn_dataset!I$2:I$1501),1),MIN(100,MAX(0,customer_churn_dataset!I752)))</f>
        <v>64.4</v>
      </c>
      <c r="J752" s="7" t="n">
        <f aca="false">IF(ISBLANK(customer_churn_dataset!J752),0,MAX(0,customer_churn_dataset!J752))</f>
        <v>15</v>
      </c>
      <c r="K752" s="7" t="n">
        <f aca="false">IF(ISBLANK(customer_churn_dataset!K752),0,MIN(10,MAX(0,customer_churn_dataset!K752)))</f>
        <v>8</v>
      </c>
      <c r="L752" s="7" t="n">
        <f aca="false">IF(ISBLANK(customer_churn_dataset!L752),0,MAX(0,customer_churn_dataset!L752))</f>
        <v>0</v>
      </c>
      <c r="M752" s="7" t="n">
        <f aca="false">IF(ISBLANK(customer_churn_dataset!M752),0,customer_churn_dataset!M752)</f>
        <v>0</v>
      </c>
      <c r="N752" s="7" t="n">
        <f aca="false">IF(ISBLANK(customer_churn_dataset!N752),0,MAX(0,customer_churn_dataset!N752))</f>
        <v>103.55</v>
      </c>
      <c r="O752" s="7" t="n">
        <f aca="false">IF(ISBLANK(customer_churn_dataset!O752),0,customer_churn_dataset!O752)</f>
        <v>0</v>
      </c>
      <c r="P752" s="7" t="str">
        <f aca="false">IF(COUNTIF(customer_churn_dataset!$A$2:$A$1501,customer_churn_dataset!A752)&gt;1,"Duplicate","Unique")</f>
        <v>Unique</v>
      </c>
    </row>
    <row r="753" customFormat="false" ht="14.15" hidden="false" customHeight="true" outlineLevel="0" collapsed="false">
      <c r="A753" s="7" t="str">
        <f aca="false">TRIM(customer_churn_dataset!A753)</f>
        <v>CUST101124</v>
      </c>
      <c r="B753" s="7" t="str">
        <f aca="false">PROPER(TRIM(customer_churn_dataset!B753))</f>
        <v>Standard</v>
      </c>
      <c r="C753" s="7" t="str">
        <f aca="false">PROPER(TRIM(customer_churn_dataset!C753))</f>
        <v>Month-To-Month</v>
      </c>
      <c r="D753" s="7" t="n">
        <f aca="false">IF(ISBLANK(customer_churn_dataset!D753),ROUND(MEDIAN(customer_churn_dataset!D$2:D$1501),2),IF(customer_churn_dataset!D753&lt;0,ABS(customer_churn_dataset!D753),customer_churn_dataset!D753))</f>
        <v>19.53</v>
      </c>
      <c r="E753" s="7" t="n">
        <f aca="false">IF(ISBLANK(customer_churn_dataset!E753),0,MAX(0,customer_churn_dataset!E753))</f>
        <v>0</v>
      </c>
      <c r="F753" s="8" t="n">
        <f aca="false">IF(ISBLANK(customer_churn_dataset!F753),"",customer_churn_dataset!F753)</f>
        <v>44838</v>
      </c>
      <c r="G753" s="7" t="str">
        <f aca="false">PROPER(TRIM(customer_churn_dataset!G753))</f>
        <v>Credit Card</v>
      </c>
      <c r="H753" s="7" t="n">
        <f aca="false">IF(ISBLANK(customer_churn_dataset!H753),0,customer_churn_dataset!H753)</f>
        <v>1</v>
      </c>
      <c r="I753" s="7" t="n">
        <f aca="false">IF(ISBLANK(customer_churn_dataset!I753),ROUND(MEDIAN(customer_churn_dataset!I$2:I$1501),1),MIN(100,MAX(0,customer_churn_dataset!I753)))</f>
        <v>64.5</v>
      </c>
      <c r="J753" s="7" t="n">
        <f aca="false">IF(ISBLANK(customer_churn_dataset!J753),0,MAX(0,customer_churn_dataset!J753))</f>
        <v>23</v>
      </c>
      <c r="K753" s="7" t="n">
        <f aca="false">IF(ISBLANK(customer_churn_dataset!K753),0,MIN(10,MAX(0,customer_churn_dataset!K753)))</f>
        <v>7</v>
      </c>
      <c r="L753" s="7" t="n">
        <f aca="false">IF(ISBLANK(customer_churn_dataset!L753),0,MAX(0,customer_churn_dataset!L753))</f>
        <v>1</v>
      </c>
      <c r="M753" s="7" t="n">
        <f aca="false">IF(ISBLANK(customer_churn_dataset!M753),0,customer_churn_dataset!M753)</f>
        <v>1</v>
      </c>
      <c r="N753" s="7" t="n">
        <f aca="false">IF(ISBLANK(customer_churn_dataset!N753),0,MAX(0,customer_churn_dataset!N753))</f>
        <v>0</v>
      </c>
      <c r="O753" s="7" t="n">
        <f aca="false">IF(ISBLANK(customer_churn_dataset!O753),0,customer_churn_dataset!O753)</f>
        <v>0</v>
      </c>
      <c r="P753" s="7" t="str">
        <f aca="false">IF(COUNTIF(customer_churn_dataset!$A$2:$A$1501,customer_churn_dataset!A753)&gt;1,"Duplicate","Unique")</f>
        <v>Unique</v>
      </c>
    </row>
    <row r="754" customFormat="false" ht="14.15" hidden="false" customHeight="true" outlineLevel="0" collapsed="false">
      <c r="A754" s="7" t="str">
        <f aca="false">TRIM(customer_churn_dataset!A754)</f>
        <v>CUST100777</v>
      </c>
      <c r="B754" s="7" t="str">
        <f aca="false">PROPER(TRIM(customer_churn_dataset!B754))</f>
        <v>Standard</v>
      </c>
      <c r="C754" s="7" t="str">
        <f aca="false">PROPER(TRIM(customer_churn_dataset!C754))</f>
        <v>One Year</v>
      </c>
      <c r="D754" s="7" t="n">
        <f aca="false">IF(ISBLANK(customer_churn_dataset!D754),ROUND(MEDIAN(customer_churn_dataset!D$2:D$1501),2),IF(customer_churn_dataset!D754&lt;0,ABS(customer_churn_dataset!D754),customer_churn_dataset!D754))</f>
        <v>20.46</v>
      </c>
      <c r="E754" s="7" t="n">
        <f aca="false">IF(ISBLANK(customer_churn_dataset!E754),0,MAX(0,customer_churn_dataset!E754))</f>
        <v>9</v>
      </c>
      <c r="F754" s="8" t="n">
        <f aca="false">IF(ISBLANK(customer_churn_dataset!F754),"",customer_churn_dataset!F754)</f>
        <v>44839</v>
      </c>
      <c r="G754" s="7" t="str">
        <f aca="false">PROPER(TRIM(customer_churn_dataset!G754))</f>
        <v>Credit Card</v>
      </c>
      <c r="H754" s="7" t="n">
        <f aca="false">IF(ISBLANK(customer_churn_dataset!H754),0,customer_churn_dataset!H754)</f>
        <v>1</v>
      </c>
      <c r="I754" s="7" t="n">
        <f aca="false">IF(ISBLANK(customer_churn_dataset!I754),ROUND(MEDIAN(customer_churn_dataset!I$2:I$1501),1),MIN(100,MAX(0,customer_churn_dataset!I754)))</f>
        <v>75</v>
      </c>
      <c r="J754" s="7" t="n">
        <f aca="false">IF(ISBLANK(customer_churn_dataset!J754),0,MAX(0,customer_churn_dataset!J754))</f>
        <v>16</v>
      </c>
      <c r="K754" s="7" t="n">
        <f aca="false">IF(ISBLANK(customer_churn_dataset!K754),0,MIN(10,MAX(0,customer_churn_dataset!K754)))</f>
        <v>6</v>
      </c>
      <c r="L754" s="7" t="n">
        <f aca="false">IF(ISBLANK(customer_churn_dataset!L754),0,MAX(0,customer_churn_dataset!L754))</f>
        <v>1</v>
      </c>
      <c r="M754" s="7" t="n">
        <f aca="false">IF(ISBLANK(customer_churn_dataset!M754),0,customer_churn_dataset!M754)</f>
        <v>1</v>
      </c>
      <c r="N754" s="7" t="n">
        <f aca="false">IF(ISBLANK(customer_churn_dataset!N754),0,MAX(0,customer_churn_dataset!N754))</f>
        <v>184.14</v>
      </c>
      <c r="O754" s="7" t="n">
        <f aca="false">IF(ISBLANK(customer_churn_dataset!O754),0,customer_churn_dataset!O754)</f>
        <v>0</v>
      </c>
      <c r="P754" s="7" t="str">
        <f aca="false">IF(COUNTIF(customer_churn_dataset!$A$2:$A$1501,customer_churn_dataset!A754)&gt;1,"Duplicate","Unique")</f>
        <v>Unique</v>
      </c>
    </row>
    <row r="755" customFormat="false" ht="14.15" hidden="false" customHeight="true" outlineLevel="0" collapsed="false">
      <c r="A755" s="7" t="str">
        <f aca="false">TRIM(customer_churn_dataset!A755)</f>
        <v>CUST100675</v>
      </c>
      <c r="B755" s="7" t="str">
        <f aca="false">PROPER(TRIM(customer_churn_dataset!B755))</f>
        <v>Premium</v>
      </c>
      <c r="C755" s="7" t="str">
        <f aca="false">PROPER(TRIM(customer_churn_dataset!C755))</f>
        <v>Month-To-Month</v>
      </c>
      <c r="D755" s="7" t="n">
        <f aca="false">IF(ISBLANK(customer_churn_dataset!D755),ROUND(MEDIAN(customer_churn_dataset!D$2:D$1501),2),IF(customer_churn_dataset!D755&lt;0,ABS(customer_churn_dataset!D755),customer_churn_dataset!D755))</f>
        <v>40.35</v>
      </c>
      <c r="E755" s="7" t="n">
        <f aca="false">IF(ISBLANK(customer_churn_dataset!E755),0,MAX(0,customer_churn_dataset!E755))</f>
        <v>23</v>
      </c>
      <c r="F755" s="8" t="n">
        <f aca="false">IF(ISBLANK(customer_churn_dataset!F755),"",customer_churn_dataset!F755)</f>
        <v>44841</v>
      </c>
      <c r="G755" s="7" t="str">
        <f aca="false">PROPER(TRIM(customer_churn_dataset!G755))</f>
        <v>Credit Card</v>
      </c>
      <c r="H755" s="7" t="n">
        <f aca="false">IF(ISBLANK(customer_churn_dataset!H755),0,customer_churn_dataset!H755)</f>
        <v>1</v>
      </c>
      <c r="I755" s="7" t="n">
        <f aca="false">IF(ISBLANK(customer_churn_dataset!I755),ROUND(MEDIAN(customer_churn_dataset!I$2:I$1501),1),MIN(100,MAX(0,customer_churn_dataset!I755)))</f>
        <v>37</v>
      </c>
      <c r="J755" s="7" t="n">
        <f aca="false">IF(ISBLANK(customer_churn_dataset!J755),0,MAX(0,customer_churn_dataset!J755))</f>
        <v>10</v>
      </c>
      <c r="K755" s="7" t="n">
        <f aca="false">IF(ISBLANK(customer_churn_dataset!K755),0,MIN(10,MAX(0,customer_churn_dataset!K755)))</f>
        <v>4</v>
      </c>
      <c r="L755" s="7" t="n">
        <f aca="false">IF(ISBLANK(customer_churn_dataset!L755),0,MAX(0,customer_churn_dataset!L755))</f>
        <v>3</v>
      </c>
      <c r="M755" s="7" t="n">
        <f aca="false">IF(ISBLANK(customer_churn_dataset!M755),0,customer_churn_dataset!M755)</f>
        <v>0</v>
      </c>
      <c r="N755" s="7" t="n">
        <f aca="false">IF(ISBLANK(customer_churn_dataset!N755),0,MAX(0,customer_churn_dataset!N755))</f>
        <v>928.05</v>
      </c>
      <c r="O755" s="7" t="n">
        <f aca="false">IF(ISBLANK(customer_churn_dataset!O755),0,customer_churn_dataset!O755)</f>
        <v>0</v>
      </c>
      <c r="P755" s="7" t="str">
        <f aca="false">IF(COUNTIF(customer_churn_dataset!$A$2:$A$1501,customer_churn_dataset!A755)&gt;1,"Duplicate","Unique")</f>
        <v>Unique</v>
      </c>
    </row>
    <row r="756" customFormat="false" ht="14.15" hidden="false" customHeight="true" outlineLevel="0" collapsed="false">
      <c r="A756" s="7" t="str">
        <f aca="false">TRIM(customer_churn_dataset!A756)</f>
        <v>CUST100490</v>
      </c>
      <c r="B756" s="7" t="str">
        <f aca="false">PROPER(TRIM(customer_churn_dataset!B756))</f>
        <v>Standard</v>
      </c>
      <c r="C756" s="7" t="str">
        <f aca="false">PROPER(TRIM(customer_churn_dataset!C756))</f>
        <v>Month-To-Month</v>
      </c>
      <c r="D756" s="7" t="n">
        <f aca="false">IF(ISBLANK(customer_churn_dataset!D756),ROUND(MEDIAN(customer_churn_dataset!D$2:D$1501),2),IF(customer_churn_dataset!D756&lt;0,ABS(customer_churn_dataset!D756),customer_churn_dataset!D756))</f>
        <v>20.57</v>
      </c>
      <c r="E756" s="7" t="n">
        <f aca="false">IF(ISBLANK(customer_churn_dataset!E756),0,MAX(0,customer_churn_dataset!E756))</f>
        <v>4</v>
      </c>
      <c r="F756" s="8" t="n">
        <f aca="false">IF(ISBLANK(customer_churn_dataset!F756),"",customer_churn_dataset!F756)</f>
        <v>44842</v>
      </c>
      <c r="G756" s="7" t="str">
        <f aca="false">PROPER(TRIM(customer_churn_dataset!G756))</f>
        <v>Paypal</v>
      </c>
      <c r="H756" s="7" t="n">
        <f aca="false">IF(ISBLANK(customer_churn_dataset!H756),0,customer_churn_dataset!H756)</f>
        <v>0</v>
      </c>
      <c r="I756" s="7" t="n">
        <f aca="false">IF(ISBLANK(customer_churn_dataset!I756),ROUND(MEDIAN(customer_churn_dataset!I$2:I$1501),1),MIN(100,MAX(0,customer_churn_dataset!I756)))</f>
        <v>64.5</v>
      </c>
      <c r="J756" s="7" t="n">
        <f aca="false">IF(ISBLANK(customer_churn_dataset!J756),0,MAX(0,customer_churn_dataset!J756))</f>
        <v>22</v>
      </c>
      <c r="K756" s="7" t="n">
        <f aca="false">IF(ISBLANK(customer_churn_dataset!K756),0,MIN(10,MAX(0,customer_churn_dataset!K756)))</f>
        <v>7</v>
      </c>
      <c r="L756" s="7" t="n">
        <f aca="false">IF(ISBLANK(customer_churn_dataset!L756),0,MAX(0,customer_churn_dataset!L756))</f>
        <v>1</v>
      </c>
      <c r="M756" s="7" t="n">
        <f aca="false">IF(ISBLANK(customer_churn_dataset!M756),0,customer_churn_dataset!M756)</f>
        <v>0</v>
      </c>
      <c r="N756" s="7" t="n">
        <f aca="false">IF(ISBLANK(customer_churn_dataset!N756),0,MAX(0,customer_churn_dataset!N756))</f>
        <v>82.28</v>
      </c>
      <c r="O756" s="7" t="n">
        <f aca="false">IF(ISBLANK(customer_churn_dataset!O756),0,customer_churn_dataset!O756)</f>
        <v>1</v>
      </c>
      <c r="P756" s="7" t="str">
        <f aca="false">IF(COUNTIF(customer_churn_dataset!$A$2:$A$1501,customer_churn_dataset!A756)&gt;1,"Duplicate","Unique")</f>
        <v>Unique</v>
      </c>
    </row>
    <row r="757" customFormat="false" ht="14.15" hidden="false" customHeight="true" outlineLevel="0" collapsed="false">
      <c r="A757" s="7" t="str">
        <f aca="false">TRIM(customer_churn_dataset!A757)</f>
        <v>CUST100009</v>
      </c>
      <c r="B757" s="7" t="str">
        <f aca="false">PROPER(TRIM(customer_churn_dataset!B757))</f>
        <v>Standard</v>
      </c>
      <c r="C757" s="7" t="str">
        <f aca="false">PROPER(TRIM(customer_churn_dataset!C757))</f>
        <v>One Year</v>
      </c>
      <c r="D757" s="7" t="n">
        <f aca="false">IF(ISBLANK(customer_churn_dataset!D757),ROUND(MEDIAN(customer_churn_dataset!D$2:D$1501),2),IF(customer_churn_dataset!D757&lt;0,ABS(customer_churn_dataset!D757),customer_churn_dataset!D757))</f>
        <v>20.84</v>
      </c>
      <c r="E757" s="7" t="n">
        <f aca="false">IF(ISBLANK(customer_churn_dataset!E757),0,MAX(0,customer_churn_dataset!E757))</f>
        <v>22</v>
      </c>
      <c r="F757" s="8" t="n">
        <f aca="false">IF(ISBLANK(customer_churn_dataset!F757),"",customer_churn_dataset!F757)</f>
        <v>44844</v>
      </c>
      <c r="G757" s="7" t="str">
        <f aca="false">PROPER(TRIM(customer_churn_dataset!G757))</f>
        <v>Credit Card</v>
      </c>
      <c r="H757" s="7" t="n">
        <f aca="false">IF(ISBLANK(customer_churn_dataset!H757),0,customer_churn_dataset!H757)</f>
        <v>0</v>
      </c>
      <c r="I757" s="7" t="n">
        <f aca="false">IF(ISBLANK(customer_churn_dataset!I757),ROUND(MEDIAN(customer_churn_dataset!I$2:I$1501),1),MIN(100,MAX(0,customer_churn_dataset!I757)))</f>
        <v>41.8</v>
      </c>
      <c r="J757" s="7" t="n">
        <f aca="false">IF(ISBLANK(customer_churn_dataset!J757),0,MAX(0,customer_churn_dataset!J757))</f>
        <v>9</v>
      </c>
      <c r="K757" s="7" t="n">
        <f aca="false">IF(ISBLANK(customer_churn_dataset!K757),0,MIN(10,MAX(0,customer_churn_dataset!K757)))</f>
        <v>6</v>
      </c>
      <c r="L757" s="7" t="n">
        <f aca="false">IF(ISBLANK(customer_churn_dataset!L757),0,MAX(0,customer_churn_dataset!L757))</f>
        <v>2</v>
      </c>
      <c r="M757" s="7" t="n">
        <f aca="false">IF(ISBLANK(customer_churn_dataset!M757),0,customer_churn_dataset!M757)</f>
        <v>0</v>
      </c>
      <c r="N757" s="7" t="n">
        <f aca="false">IF(ISBLANK(customer_churn_dataset!N757),0,MAX(0,customer_churn_dataset!N757))</f>
        <v>458.48</v>
      </c>
      <c r="O757" s="7" t="n">
        <f aca="false">IF(ISBLANK(customer_churn_dataset!O757),0,customer_churn_dataset!O757)</f>
        <v>0</v>
      </c>
      <c r="P757" s="7" t="str">
        <f aca="false">IF(COUNTIF(customer_churn_dataset!$A$2:$A$1501,customer_churn_dataset!A757)&gt;1,"Duplicate","Unique")</f>
        <v>Unique</v>
      </c>
    </row>
    <row r="758" customFormat="false" ht="14.15" hidden="false" customHeight="true" outlineLevel="0" collapsed="false">
      <c r="A758" s="7" t="str">
        <f aca="false">TRIM(customer_churn_dataset!A758)</f>
        <v>CUST100151</v>
      </c>
      <c r="B758" s="7" t="str">
        <f aca="false">PROPER(TRIM(customer_churn_dataset!B758))</f>
        <v>Basic</v>
      </c>
      <c r="C758" s="7" t="str">
        <f aca="false">PROPER(TRIM(customer_churn_dataset!C758))</f>
        <v>Month-To-Month</v>
      </c>
      <c r="D758" s="7" t="n">
        <f aca="false">IF(ISBLANK(customer_churn_dataset!D758),ROUND(MEDIAN(customer_churn_dataset!D$2:D$1501),2),IF(customer_churn_dataset!D758&lt;0,ABS(customer_churn_dataset!D758),customer_churn_dataset!D758))</f>
        <v>10.81</v>
      </c>
      <c r="E758" s="7" t="n">
        <f aca="false">IF(ISBLANK(customer_churn_dataset!E758),0,MAX(0,customer_churn_dataset!E758))</f>
        <v>8</v>
      </c>
      <c r="F758" s="8" t="n">
        <f aca="false">IF(ISBLANK(customer_churn_dataset!F758),"",customer_churn_dataset!F758)</f>
        <v>44845</v>
      </c>
      <c r="G758" s="7" t="str">
        <f aca="false">PROPER(TRIM(customer_churn_dataset!G758))</f>
        <v>Bank Transfer</v>
      </c>
      <c r="H758" s="7" t="n">
        <f aca="false">IF(ISBLANK(customer_churn_dataset!H758),0,customer_churn_dataset!H758)</f>
        <v>1</v>
      </c>
      <c r="I758" s="7" t="n">
        <f aca="false">IF(ISBLANK(customer_churn_dataset!I758),ROUND(MEDIAN(customer_churn_dataset!I$2:I$1501),1),MIN(100,MAX(0,customer_churn_dataset!I758)))</f>
        <v>34.2</v>
      </c>
      <c r="J758" s="7" t="n">
        <f aca="false">IF(ISBLANK(customer_churn_dataset!J758),0,MAX(0,customer_churn_dataset!J758))</f>
        <v>9</v>
      </c>
      <c r="K758" s="7" t="n">
        <f aca="false">IF(ISBLANK(customer_churn_dataset!K758),0,MIN(10,MAX(0,customer_churn_dataset!K758)))</f>
        <v>4</v>
      </c>
      <c r="L758" s="7" t="n">
        <f aca="false">IF(ISBLANK(customer_churn_dataset!L758),0,MAX(0,customer_churn_dataset!L758))</f>
        <v>2</v>
      </c>
      <c r="M758" s="7" t="n">
        <f aca="false">IF(ISBLANK(customer_churn_dataset!M758),0,customer_churn_dataset!M758)</f>
        <v>0</v>
      </c>
      <c r="N758" s="7" t="n">
        <f aca="false">IF(ISBLANK(customer_churn_dataset!N758),0,MAX(0,customer_churn_dataset!N758))</f>
        <v>86.48</v>
      </c>
      <c r="O758" s="7" t="n">
        <f aca="false">IF(ISBLANK(customer_churn_dataset!O758),0,customer_churn_dataset!O758)</f>
        <v>0</v>
      </c>
      <c r="P758" s="7" t="str">
        <f aca="false">IF(COUNTIF(customer_churn_dataset!$A$2:$A$1501,customer_churn_dataset!A758)&gt;1,"Duplicate","Unique")</f>
        <v>Unique</v>
      </c>
    </row>
    <row r="759" customFormat="false" ht="14.15" hidden="false" customHeight="true" outlineLevel="0" collapsed="false">
      <c r="A759" s="7" t="str">
        <f aca="false">TRIM(customer_churn_dataset!A759)</f>
        <v>CUST101026</v>
      </c>
      <c r="B759" s="7" t="str">
        <f aca="false">PROPER(TRIM(customer_churn_dataset!B759))</f>
        <v>Premium</v>
      </c>
      <c r="C759" s="7" t="str">
        <f aca="false">PROPER(TRIM(customer_churn_dataset!C759))</f>
        <v>One Year</v>
      </c>
      <c r="D759" s="7" t="n">
        <f aca="false">IF(ISBLANK(customer_churn_dataset!D759),ROUND(MEDIAN(customer_churn_dataset!D$2:D$1501),2),IF(customer_churn_dataset!D759&lt;0,ABS(customer_churn_dataset!D759),customer_churn_dataset!D759))</f>
        <v>38.57</v>
      </c>
      <c r="E759" s="7" t="n">
        <f aca="false">IF(ISBLANK(customer_churn_dataset!E759),0,MAX(0,customer_churn_dataset!E759))</f>
        <v>14</v>
      </c>
      <c r="F759" s="8" t="n">
        <f aca="false">IF(ISBLANK(customer_churn_dataset!F759),"",customer_churn_dataset!F759)</f>
        <v>44846</v>
      </c>
      <c r="G759" s="7" t="str">
        <f aca="false">PROPER(TRIM(customer_churn_dataset!G759))</f>
        <v>Bank Transfer</v>
      </c>
      <c r="H759" s="7" t="n">
        <f aca="false">IF(ISBLANK(customer_churn_dataset!H759),0,customer_churn_dataset!H759)</f>
        <v>1</v>
      </c>
      <c r="I759" s="7" t="n">
        <f aca="false">IF(ISBLANK(customer_churn_dataset!I759),ROUND(MEDIAN(customer_churn_dataset!I$2:I$1501),1),MIN(100,MAX(0,customer_churn_dataset!I759)))</f>
        <v>53.9</v>
      </c>
      <c r="J759" s="7" t="n">
        <f aca="false">IF(ISBLANK(customer_churn_dataset!J759),0,MAX(0,customer_churn_dataset!J759))</f>
        <v>29</v>
      </c>
      <c r="K759" s="7" t="n">
        <f aca="false">IF(ISBLANK(customer_churn_dataset!K759),0,MIN(10,MAX(0,customer_churn_dataset!K759)))</f>
        <v>4</v>
      </c>
      <c r="L759" s="7" t="n">
        <f aca="false">IF(ISBLANK(customer_churn_dataset!L759),0,MAX(0,customer_churn_dataset!L759))</f>
        <v>0</v>
      </c>
      <c r="M759" s="7" t="n">
        <f aca="false">IF(ISBLANK(customer_churn_dataset!M759),0,customer_churn_dataset!M759)</f>
        <v>0</v>
      </c>
      <c r="N759" s="7" t="n">
        <f aca="false">IF(ISBLANK(customer_churn_dataset!N759),0,MAX(0,customer_churn_dataset!N759))</f>
        <v>539.98</v>
      </c>
      <c r="O759" s="7" t="n">
        <f aca="false">IF(ISBLANK(customer_churn_dataset!O759),0,customer_churn_dataset!O759)</f>
        <v>0</v>
      </c>
      <c r="P759" s="7" t="str">
        <f aca="false">IF(COUNTIF(customer_churn_dataset!$A$2:$A$1501,customer_churn_dataset!A759)&gt;1,"Duplicate","Unique")</f>
        <v>Unique</v>
      </c>
    </row>
    <row r="760" customFormat="false" ht="14.15" hidden="false" customHeight="true" outlineLevel="0" collapsed="false">
      <c r="A760" s="7" t="str">
        <f aca="false">TRIM(customer_churn_dataset!A760)</f>
        <v>CUST100997</v>
      </c>
      <c r="B760" s="7" t="str">
        <f aca="false">PROPER(TRIM(customer_churn_dataset!B760))</f>
        <v>Basic</v>
      </c>
      <c r="C760" s="7" t="str">
        <f aca="false">PROPER(TRIM(customer_churn_dataset!C760))</f>
        <v>Month-To-Month</v>
      </c>
      <c r="D760" s="7" t="n">
        <f aca="false">IF(ISBLANK(customer_churn_dataset!D760),ROUND(MEDIAN(customer_churn_dataset!D$2:D$1501),2),IF(customer_churn_dataset!D760&lt;0,ABS(customer_churn_dataset!D760),customer_churn_dataset!D760))</f>
        <v>9.67</v>
      </c>
      <c r="E760" s="7" t="n">
        <f aca="false">IF(ISBLANK(customer_churn_dataset!E760),0,MAX(0,customer_churn_dataset!E760))</f>
        <v>12</v>
      </c>
      <c r="F760" s="8" t="n">
        <f aca="false">IF(ISBLANK(customer_churn_dataset!F760),"",customer_churn_dataset!F760)</f>
        <v>44846</v>
      </c>
      <c r="G760" s="7" t="str">
        <f aca="false">PROPER(TRIM(customer_churn_dataset!G760))</f>
        <v>Bank Transfer</v>
      </c>
      <c r="H760" s="7" t="n">
        <f aca="false">IF(ISBLANK(customer_churn_dataset!H760),0,customer_churn_dataset!H760)</f>
        <v>0</v>
      </c>
      <c r="I760" s="7" t="n">
        <f aca="false">IF(ISBLANK(customer_churn_dataset!I760),ROUND(MEDIAN(customer_churn_dataset!I$2:I$1501),1),MIN(100,MAX(0,customer_churn_dataset!I760)))</f>
        <v>52.9</v>
      </c>
      <c r="J760" s="7" t="n">
        <f aca="false">IF(ISBLANK(customer_churn_dataset!J760),0,MAX(0,customer_churn_dataset!J760))</f>
        <v>10</v>
      </c>
      <c r="K760" s="7" t="n">
        <f aca="false">IF(ISBLANK(customer_churn_dataset!K760),0,MIN(10,MAX(0,customer_churn_dataset!K760)))</f>
        <v>7</v>
      </c>
      <c r="L760" s="7" t="n">
        <f aca="false">IF(ISBLANK(customer_churn_dataset!L760),0,MAX(0,customer_churn_dataset!L760))</f>
        <v>0</v>
      </c>
      <c r="M760" s="7" t="n">
        <f aca="false">IF(ISBLANK(customer_churn_dataset!M760),0,customer_churn_dataset!M760)</f>
        <v>0</v>
      </c>
      <c r="N760" s="7" t="n">
        <f aca="false">IF(ISBLANK(customer_churn_dataset!N760),0,MAX(0,customer_churn_dataset!N760))</f>
        <v>116.04</v>
      </c>
      <c r="O760" s="7" t="n">
        <f aca="false">IF(ISBLANK(customer_churn_dataset!O760),0,customer_churn_dataset!O760)</f>
        <v>0</v>
      </c>
      <c r="P760" s="7" t="str">
        <f aca="false">IF(COUNTIF(customer_churn_dataset!$A$2:$A$1501,customer_churn_dataset!A760)&gt;1,"Duplicate","Unique")</f>
        <v>Unique</v>
      </c>
    </row>
    <row r="761" customFormat="false" ht="14.15" hidden="false" customHeight="true" outlineLevel="0" collapsed="false">
      <c r="A761" s="7" t="str">
        <f aca="false">TRIM(customer_churn_dataset!A761)</f>
        <v>CUST100613</v>
      </c>
      <c r="B761" s="7" t="str">
        <f aca="false">PROPER(TRIM(customer_churn_dataset!B761))</f>
        <v>Basic</v>
      </c>
      <c r="C761" s="7" t="str">
        <f aca="false">PROPER(TRIM(customer_churn_dataset!C761))</f>
        <v>Month-To-Month</v>
      </c>
      <c r="D761" s="7" t="n">
        <f aca="false">IF(ISBLANK(customer_churn_dataset!D761),ROUND(MEDIAN(customer_churn_dataset!D$2:D$1501),2),IF(customer_churn_dataset!D761&lt;0,ABS(customer_churn_dataset!D761),customer_churn_dataset!D761))</f>
        <v>10.18</v>
      </c>
      <c r="E761" s="7" t="n">
        <f aca="false">IF(ISBLANK(customer_churn_dataset!E761),0,MAX(0,customer_churn_dataset!E761))</f>
        <v>7</v>
      </c>
      <c r="F761" s="8" t="n">
        <f aca="false">IF(ISBLANK(customer_churn_dataset!F761),"",customer_churn_dataset!F761)</f>
        <v>44847</v>
      </c>
      <c r="G761" s="7" t="str">
        <f aca="false">PROPER(TRIM(customer_churn_dataset!G761))</f>
        <v>Credit Card</v>
      </c>
      <c r="H761" s="7" t="n">
        <f aca="false">IF(ISBLANK(customer_churn_dataset!H761),0,customer_churn_dataset!H761)</f>
        <v>1</v>
      </c>
      <c r="I761" s="7" t="n">
        <f aca="false">IF(ISBLANK(customer_churn_dataset!I761),ROUND(MEDIAN(customer_churn_dataset!I$2:I$1501),1),MIN(100,MAX(0,customer_churn_dataset!I761)))</f>
        <v>12.9</v>
      </c>
      <c r="J761" s="7" t="n">
        <f aca="false">IF(ISBLANK(customer_churn_dataset!J761),0,MAX(0,customer_churn_dataset!J761))</f>
        <v>0</v>
      </c>
      <c r="K761" s="7" t="n">
        <f aca="false">IF(ISBLANK(customer_churn_dataset!K761),0,MIN(10,MAX(0,customer_churn_dataset!K761)))</f>
        <v>3</v>
      </c>
      <c r="L761" s="7" t="n">
        <f aca="false">IF(ISBLANK(customer_churn_dataset!L761),0,MAX(0,customer_churn_dataset!L761))</f>
        <v>2</v>
      </c>
      <c r="M761" s="7" t="n">
        <f aca="false">IF(ISBLANK(customer_churn_dataset!M761),0,customer_churn_dataset!M761)</f>
        <v>0</v>
      </c>
      <c r="N761" s="7" t="n">
        <f aca="false">IF(ISBLANK(customer_churn_dataset!N761),0,MAX(0,customer_churn_dataset!N761))</f>
        <v>71.26</v>
      </c>
      <c r="O761" s="7" t="n">
        <f aca="false">IF(ISBLANK(customer_churn_dataset!O761),0,customer_churn_dataset!O761)</f>
        <v>1</v>
      </c>
      <c r="P761" s="7" t="str">
        <f aca="false">IF(COUNTIF(customer_churn_dataset!$A$2:$A$1501,customer_churn_dataset!A761)&gt;1,"Duplicate","Unique")</f>
        <v>Unique</v>
      </c>
    </row>
    <row r="762" customFormat="false" ht="14.15" hidden="false" customHeight="true" outlineLevel="0" collapsed="false">
      <c r="A762" s="7" t="str">
        <f aca="false">TRIM(customer_churn_dataset!A762)</f>
        <v>CUST101476</v>
      </c>
      <c r="B762" s="7" t="str">
        <f aca="false">PROPER(TRIM(customer_churn_dataset!B762))</f>
        <v>Premium</v>
      </c>
      <c r="C762" s="7" t="str">
        <f aca="false">PROPER(TRIM(customer_churn_dataset!C762))</f>
        <v>Month-To-Month</v>
      </c>
      <c r="D762" s="7" t="n">
        <f aca="false">IF(ISBLANK(customer_churn_dataset!D762),ROUND(MEDIAN(customer_churn_dataset!D$2:D$1501),2),IF(customer_churn_dataset!D762&lt;0,ABS(customer_churn_dataset!D762),customer_churn_dataset!D762))</f>
        <v>40.18</v>
      </c>
      <c r="E762" s="7" t="n">
        <f aca="false">IF(ISBLANK(customer_churn_dataset!E762),0,MAX(0,customer_churn_dataset!E762))</f>
        <v>23</v>
      </c>
      <c r="F762" s="8" t="n">
        <f aca="false">IF(ISBLANK(customer_churn_dataset!F762),"",customer_churn_dataset!F762)</f>
        <v>44848</v>
      </c>
      <c r="G762" s="7" t="str">
        <f aca="false">PROPER(TRIM(customer_churn_dataset!G762))</f>
        <v>Credit Card</v>
      </c>
      <c r="H762" s="7" t="n">
        <f aca="false">IF(ISBLANK(customer_churn_dataset!H762),0,customer_churn_dataset!H762)</f>
        <v>1</v>
      </c>
      <c r="I762" s="7" t="n">
        <f aca="false">IF(ISBLANK(customer_churn_dataset!I762),ROUND(MEDIAN(customer_churn_dataset!I$2:I$1501),1),MIN(100,MAX(0,customer_churn_dataset!I762)))</f>
        <v>50.7</v>
      </c>
      <c r="J762" s="7" t="n">
        <f aca="false">IF(ISBLANK(customer_churn_dataset!J762),0,MAX(0,customer_churn_dataset!J762))</f>
        <v>20</v>
      </c>
      <c r="K762" s="7" t="n">
        <f aca="false">IF(ISBLANK(customer_churn_dataset!K762),0,MIN(10,MAX(0,customer_churn_dataset!K762)))</f>
        <v>7</v>
      </c>
      <c r="L762" s="7" t="n">
        <f aca="false">IF(ISBLANK(customer_churn_dataset!L762),0,MAX(0,customer_churn_dataset!L762))</f>
        <v>2</v>
      </c>
      <c r="M762" s="7" t="n">
        <f aca="false">IF(ISBLANK(customer_churn_dataset!M762),0,customer_churn_dataset!M762)</f>
        <v>0</v>
      </c>
      <c r="N762" s="7" t="n">
        <f aca="false">IF(ISBLANK(customer_churn_dataset!N762),0,MAX(0,customer_churn_dataset!N762))</f>
        <v>924.14</v>
      </c>
      <c r="O762" s="7" t="n">
        <f aca="false">IF(ISBLANK(customer_churn_dataset!O762),0,customer_churn_dataset!O762)</f>
        <v>0</v>
      </c>
      <c r="P762" s="7" t="str">
        <f aca="false">IF(COUNTIF(customer_churn_dataset!$A$2:$A$1501,customer_churn_dataset!A762)&gt;1,"Duplicate","Unique")</f>
        <v>Unique</v>
      </c>
    </row>
    <row r="763" customFormat="false" ht="14.15" hidden="false" customHeight="true" outlineLevel="0" collapsed="false">
      <c r="A763" s="7" t="str">
        <f aca="false">TRIM(customer_churn_dataset!A763)</f>
        <v>CUST100249</v>
      </c>
      <c r="B763" s="7" t="str">
        <f aca="false">PROPER(TRIM(customer_churn_dataset!B763))</f>
        <v>Premium</v>
      </c>
      <c r="C763" s="7" t="str">
        <f aca="false">PROPER(TRIM(customer_churn_dataset!C763))</f>
        <v>Month-To-Month</v>
      </c>
      <c r="D763" s="7" t="n">
        <f aca="false">IF(ISBLANK(customer_churn_dataset!D763),ROUND(MEDIAN(customer_churn_dataset!D$2:D$1501),2),IF(customer_churn_dataset!D763&lt;0,ABS(customer_churn_dataset!D763),customer_churn_dataset!D763))</f>
        <v>39.74</v>
      </c>
      <c r="E763" s="7" t="n">
        <f aca="false">IF(ISBLANK(customer_churn_dataset!E763),0,MAX(0,customer_churn_dataset!E763))</f>
        <v>21</v>
      </c>
      <c r="F763" s="8" t="n">
        <f aca="false">IF(ISBLANK(customer_churn_dataset!F763),"",customer_churn_dataset!F763)</f>
        <v>44848</v>
      </c>
      <c r="G763" s="7" t="str">
        <f aca="false">PROPER(TRIM(customer_churn_dataset!G763))</f>
        <v>Bank Transfer</v>
      </c>
      <c r="H763" s="7" t="n">
        <f aca="false">IF(ISBLANK(customer_churn_dataset!H763),0,customer_churn_dataset!H763)</f>
        <v>1</v>
      </c>
      <c r="I763" s="7" t="n">
        <f aca="false">IF(ISBLANK(customer_churn_dataset!I763),ROUND(MEDIAN(customer_churn_dataset!I$2:I$1501),1),MIN(100,MAX(0,customer_churn_dataset!I763)))</f>
        <v>61.7</v>
      </c>
      <c r="J763" s="7" t="n">
        <f aca="false">IF(ISBLANK(customer_churn_dataset!J763),0,MAX(0,customer_churn_dataset!J763))</f>
        <v>19</v>
      </c>
      <c r="K763" s="7" t="n">
        <f aca="false">IF(ISBLANK(customer_churn_dataset!K763),0,MIN(10,MAX(0,customer_churn_dataset!K763)))</f>
        <v>7</v>
      </c>
      <c r="L763" s="7" t="n">
        <f aca="false">IF(ISBLANK(customer_churn_dataset!L763),0,MAX(0,customer_churn_dataset!L763))</f>
        <v>2</v>
      </c>
      <c r="M763" s="7" t="n">
        <f aca="false">IF(ISBLANK(customer_churn_dataset!M763),0,customer_churn_dataset!M763)</f>
        <v>0</v>
      </c>
      <c r="N763" s="7" t="n">
        <f aca="false">IF(ISBLANK(customer_churn_dataset!N763),0,MAX(0,customer_churn_dataset!N763))</f>
        <v>834.54</v>
      </c>
      <c r="O763" s="7" t="n">
        <f aca="false">IF(ISBLANK(customer_churn_dataset!O763),0,customer_churn_dataset!O763)</f>
        <v>0</v>
      </c>
      <c r="P763" s="7" t="str">
        <f aca="false">IF(COUNTIF(customer_churn_dataset!$A$2:$A$1501,customer_churn_dataset!A763)&gt;1,"Duplicate","Unique")</f>
        <v>Unique</v>
      </c>
    </row>
    <row r="764" customFormat="false" ht="14.15" hidden="false" customHeight="true" outlineLevel="0" collapsed="false">
      <c r="A764" s="7" t="str">
        <f aca="false">TRIM(customer_churn_dataset!A764)</f>
        <v>CUST100869</v>
      </c>
      <c r="B764" s="7" t="str">
        <f aca="false">PROPER(TRIM(customer_churn_dataset!B764))</f>
        <v>Premium</v>
      </c>
      <c r="C764" s="7" t="str">
        <f aca="false">PROPER(TRIM(customer_churn_dataset!C764))</f>
        <v>Month-To-Month</v>
      </c>
      <c r="D764" s="7" t="n">
        <f aca="false">IF(ISBLANK(customer_churn_dataset!D764),ROUND(MEDIAN(customer_churn_dataset!D$2:D$1501),2),IF(customer_churn_dataset!D764&lt;0,ABS(customer_churn_dataset!D764),customer_churn_dataset!D764))</f>
        <v>39.5</v>
      </c>
      <c r="E764" s="7" t="n">
        <f aca="false">IF(ISBLANK(customer_churn_dataset!E764),0,MAX(0,customer_churn_dataset!E764))</f>
        <v>25</v>
      </c>
      <c r="F764" s="8" t="n">
        <f aca="false">IF(ISBLANK(customer_churn_dataset!F764),"",customer_churn_dataset!F764)</f>
        <v>44852</v>
      </c>
      <c r="G764" s="7" t="str">
        <f aca="false">PROPER(TRIM(customer_churn_dataset!G764))</f>
        <v>Paypal</v>
      </c>
      <c r="H764" s="7" t="n">
        <f aca="false">IF(ISBLANK(customer_churn_dataset!H764),0,customer_churn_dataset!H764)</f>
        <v>1</v>
      </c>
      <c r="I764" s="7" t="n">
        <f aca="false">IF(ISBLANK(customer_churn_dataset!I764),ROUND(MEDIAN(customer_churn_dataset!I$2:I$1501),1),MIN(100,MAX(0,customer_churn_dataset!I764)))</f>
        <v>13.4</v>
      </c>
      <c r="J764" s="7" t="n">
        <f aca="false">IF(ISBLANK(customer_churn_dataset!J764),0,MAX(0,customer_churn_dataset!J764))</f>
        <v>0</v>
      </c>
      <c r="K764" s="7" t="n">
        <f aca="false">IF(ISBLANK(customer_churn_dataset!K764),0,MIN(10,MAX(0,customer_churn_dataset!K764)))</f>
        <v>1</v>
      </c>
      <c r="L764" s="7" t="n">
        <f aca="false">IF(ISBLANK(customer_churn_dataset!L764),0,MAX(0,customer_churn_dataset!L764))</f>
        <v>6</v>
      </c>
      <c r="M764" s="7" t="n">
        <f aca="false">IF(ISBLANK(customer_churn_dataset!M764),0,customer_churn_dataset!M764)</f>
        <v>1</v>
      </c>
      <c r="N764" s="7" t="n">
        <f aca="false">IF(ISBLANK(customer_churn_dataset!N764),0,MAX(0,customer_churn_dataset!N764))</f>
        <v>987.5</v>
      </c>
      <c r="O764" s="7" t="n">
        <f aca="false">IF(ISBLANK(customer_churn_dataset!O764),0,customer_churn_dataset!O764)</f>
        <v>1</v>
      </c>
      <c r="P764" s="7" t="str">
        <f aca="false">IF(COUNTIF(customer_churn_dataset!$A$2:$A$1501,customer_churn_dataset!A764)&gt;1,"Duplicate","Unique")</f>
        <v>Unique</v>
      </c>
    </row>
    <row r="765" customFormat="false" ht="14.15" hidden="false" customHeight="true" outlineLevel="0" collapsed="false">
      <c r="A765" s="7" t="str">
        <f aca="false">TRIM(customer_churn_dataset!A765)</f>
        <v>CUST100244</v>
      </c>
      <c r="B765" s="7" t="str">
        <f aca="false">PROPER(TRIM(customer_churn_dataset!B765))</f>
        <v>Basic</v>
      </c>
      <c r="C765" s="7" t="str">
        <f aca="false">PROPER(TRIM(customer_churn_dataset!C765))</f>
        <v>One Year</v>
      </c>
      <c r="D765" s="7" t="n">
        <f aca="false">IF(ISBLANK(customer_churn_dataset!D765),ROUND(MEDIAN(customer_churn_dataset!D$2:D$1501),2),IF(customer_churn_dataset!D765&lt;0,ABS(customer_churn_dataset!D765),customer_churn_dataset!D765))</f>
        <v>10.99</v>
      </c>
      <c r="E765" s="7" t="n">
        <f aca="false">IF(ISBLANK(customer_churn_dataset!E765),0,MAX(0,customer_churn_dataset!E765))</f>
        <v>72</v>
      </c>
      <c r="F765" s="8" t="n">
        <f aca="false">IF(ISBLANK(customer_churn_dataset!F765),"",customer_churn_dataset!F765)</f>
        <v>44855</v>
      </c>
      <c r="G765" s="7" t="str">
        <f aca="false">PROPER(TRIM(customer_churn_dataset!G765))</f>
        <v>Bank Transfer</v>
      </c>
      <c r="H765" s="7" t="n">
        <f aca="false">IF(ISBLANK(customer_churn_dataset!H765),0,customer_churn_dataset!H765)</f>
        <v>1</v>
      </c>
      <c r="I765" s="7" t="n">
        <f aca="false">IF(ISBLANK(customer_churn_dataset!I765),ROUND(MEDIAN(customer_churn_dataset!I$2:I$1501),1),MIN(100,MAX(0,customer_churn_dataset!I765)))</f>
        <v>70.7</v>
      </c>
      <c r="J765" s="7" t="n">
        <f aca="false">IF(ISBLANK(customer_churn_dataset!J765),0,MAX(0,customer_churn_dataset!J765))</f>
        <v>23</v>
      </c>
      <c r="K765" s="7" t="n">
        <f aca="false">IF(ISBLANK(customer_churn_dataset!K765),0,MIN(10,MAX(0,customer_churn_dataset!K765)))</f>
        <v>9</v>
      </c>
      <c r="L765" s="7" t="n">
        <f aca="false">IF(ISBLANK(customer_churn_dataset!L765),0,MAX(0,customer_churn_dataset!L765))</f>
        <v>2</v>
      </c>
      <c r="M765" s="7" t="n">
        <f aca="false">IF(ISBLANK(customer_churn_dataset!M765),0,customer_churn_dataset!M765)</f>
        <v>1</v>
      </c>
      <c r="N765" s="7" t="n">
        <f aca="false">IF(ISBLANK(customer_churn_dataset!N765),0,MAX(0,customer_churn_dataset!N765))</f>
        <v>791.28</v>
      </c>
      <c r="O765" s="7" t="n">
        <f aca="false">IF(ISBLANK(customer_churn_dataset!O765),0,customer_churn_dataset!O765)</f>
        <v>0</v>
      </c>
      <c r="P765" s="7" t="str">
        <f aca="false">IF(COUNTIF(customer_churn_dataset!$A$2:$A$1501,customer_churn_dataset!A765)&gt;1,"Duplicate","Unique")</f>
        <v>Unique</v>
      </c>
    </row>
    <row r="766" customFormat="false" ht="14.15" hidden="false" customHeight="true" outlineLevel="0" collapsed="false">
      <c r="A766" s="7" t="str">
        <f aca="false">TRIM(customer_churn_dataset!A766)</f>
        <v>CUST101255</v>
      </c>
      <c r="B766" s="7" t="str">
        <f aca="false">PROPER(TRIM(customer_churn_dataset!B766))</f>
        <v>Basic</v>
      </c>
      <c r="C766" s="7" t="str">
        <f aca="false">PROPER(TRIM(customer_churn_dataset!C766))</f>
        <v>One Year</v>
      </c>
      <c r="D766" s="7" t="n">
        <f aca="false">IF(ISBLANK(customer_churn_dataset!D766),ROUND(MEDIAN(customer_churn_dataset!D$2:D$1501),2),IF(customer_churn_dataset!D766&lt;0,ABS(customer_churn_dataset!D766),customer_churn_dataset!D766))</f>
        <v>10.26</v>
      </c>
      <c r="E766" s="7" t="n">
        <f aca="false">IF(ISBLANK(customer_churn_dataset!E766),0,MAX(0,customer_churn_dataset!E766))</f>
        <v>2</v>
      </c>
      <c r="F766" s="8" t="n">
        <f aca="false">IF(ISBLANK(customer_churn_dataset!F766),"",customer_churn_dataset!F766)</f>
        <v>44856</v>
      </c>
      <c r="G766" s="7" t="str">
        <f aca="false">PROPER(TRIM(customer_churn_dataset!G766))</f>
        <v>Paypal</v>
      </c>
      <c r="H766" s="7" t="n">
        <f aca="false">IF(ISBLANK(customer_churn_dataset!H766),0,customer_churn_dataset!H766)</f>
        <v>1</v>
      </c>
      <c r="I766" s="7" t="n">
        <f aca="false">IF(ISBLANK(customer_churn_dataset!I766),ROUND(MEDIAN(customer_churn_dataset!I$2:I$1501),1),MIN(100,MAX(0,customer_churn_dataset!I766)))</f>
        <v>34</v>
      </c>
      <c r="J766" s="7" t="n">
        <f aca="false">IF(ISBLANK(customer_churn_dataset!J766),0,MAX(0,customer_churn_dataset!J766))</f>
        <v>14</v>
      </c>
      <c r="K766" s="7" t="n">
        <f aca="false">IF(ISBLANK(customer_churn_dataset!K766),0,MIN(10,MAX(0,customer_churn_dataset!K766)))</f>
        <v>3</v>
      </c>
      <c r="L766" s="7" t="n">
        <f aca="false">IF(ISBLANK(customer_churn_dataset!L766),0,MAX(0,customer_churn_dataset!L766))</f>
        <v>2</v>
      </c>
      <c r="M766" s="7" t="n">
        <f aca="false">IF(ISBLANK(customer_churn_dataset!M766),0,customer_churn_dataset!M766)</f>
        <v>0</v>
      </c>
      <c r="N766" s="7" t="n">
        <f aca="false">IF(ISBLANK(customer_churn_dataset!N766),0,MAX(0,customer_churn_dataset!N766))</f>
        <v>20.52</v>
      </c>
      <c r="O766" s="7" t="n">
        <f aca="false">IF(ISBLANK(customer_churn_dataset!O766),0,customer_churn_dataset!O766)</f>
        <v>0</v>
      </c>
      <c r="P766" s="7" t="str">
        <f aca="false">IF(COUNTIF(customer_churn_dataset!$A$2:$A$1501,customer_churn_dataset!A766)&gt;1,"Duplicate","Unique")</f>
        <v>Unique</v>
      </c>
    </row>
    <row r="767" customFormat="false" ht="14.15" hidden="false" customHeight="true" outlineLevel="0" collapsed="false">
      <c r="A767" s="7" t="str">
        <f aca="false">TRIM(customer_churn_dataset!A767)</f>
        <v>CUST100933</v>
      </c>
      <c r="B767" s="7" t="str">
        <f aca="false">PROPER(TRIM(customer_churn_dataset!B767))</f>
        <v>Standard</v>
      </c>
      <c r="C767" s="7" t="str">
        <f aca="false">PROPER(TRIM(customer_churn_dataset!C767))</f>
        <v>One Year</v>
      </c>
      <c r="D767" s="7" t="n">
        <f aca="false">IF(ISBLANK(customer_churn_dataset!D767),ROUND(MEDIAN(customer_churn_dataset!D$2:D$1501),2),IF(customer_churn_dataset!D767&lt;0,ABS(customer_churn_dataset!D767),customer_churn_dataset!D767))</f>
        <v>18.85</v>
      </c>
      <c r="E767" s="7" t="n">
        <f aca="false">IF(ISBLANK(customer_churn_dataset!E767),0,MAX(0,customer_churn_dataset!E767))</f>
        <v>3</v>
      </c>
      <c r="F767" s="8" t="n">
        <f aca="false">IF(ISBLANK(customer_churn_dataset!F767),"",customer_churn_dataset!F767)</f>
        <v>44857</v>
      </c>
      <c r="G767" s="7" t="str">
        <f aca="false">PROPER(TRIM(customer_churn_dataset!G767))</f>
        <v>Paypal</v>
      </c>
      <c r="H767" s="7" t="n">
        <f aca="false">IF(ISBLANK(customer_churn_dataset!H767),0,customer_churn_dataset!H767)</f>
        <v>1</v>
      </c>
      <c r="I767" s="7" t="n">
        <f aca="false">IF(ISBLANK(customer_churn_dataset!I767),ROUND(MEDIAN(customer_churn_dataset!I$2:I$1501),1),MIN(100,MAX(0,customer_churn_dataset!I767)))</f>
        <v>57</v>
      </c>
      <c r="J767" s="7" t="n">
        <f aca="false">IF(ISBLANK(customer_churn_dataset!J767),0,MAX(0,customer_churn_dataset!J767))</f>
        <v>22</v>
      </c>
      <c r="K767" s="7" t="n">
        <f aca="false">IF(ISBLANK(customer_churn_dataset!K767),0,MIN(10,MAX(0,customer_churn_dataset!K767)))</f>
        <v>5</v>
      </c>
      <c r="L767" s="7" t="n">
        <f aca="false">IF(ISBLANK(customer_churn_dataset!L767),0,MAX(0,customer_churn_dataset!L767))</f>
        <v>2</v>
      </c>
      <c r="M767" s="7" t="n">
        <f aca="false">IF(ISBLANK(customer_churn_dataset!M767),0,customer_churn_dataset!M767)</f>
        <v>0</v>
      </c>
      <c r="N767" s="7" t="n">
        <f aca="false">IF(ISBLANK(customer_churn_dataset!N767),0,MAX(0,customer_churn_dataset!N767))</f>
        <v>56.55</v>
      </c>
      <c r="O767" s="7" t="n">
        <f aca="false">IF(ISBLANK(customer_churn_dataset!O767),0,customer_churn_dataset!O767)</f>
        <v>0</v>
      </c>
      <c r="P767" s="7" t="str">
        <f aca="false">IF(COUNTIF(customer_churn_dataset!$A$2:$A$1501,customer_churn_dataset!A767)&gt;1,"Duplicate","Unique")</f>
        <v>Unique</v>
      </c>
    </row>
    <row r="768" customFormat="false" ht="14.15" hidden="false" customHeight="true" outlineLevel="0" collapsed="false">
      <c r="A768" s="7" t="str">
        <f aca="false">TRIM(customer_churn_dataset!A768)</f>
        <v>CUST100804</v>
      </c>
      <c r="B768" s="7" t="str">
        <f aca="false">PROPER(TRIM(customer_churn_dataset!B768))</f>
        <v>Basic</v>
      </c>
      <c r="C768" s="7" t="str">
        <f aca="false">PROPER(TRIM(customer_churn_dataset!C768))</f>
        <v>Month-To-Month</v>
      </c>
      <c r="D768" s="7" t="n">
        <f aca="false">IF(ISBLANK(customer_churn_dataset!D768),ROUND(MEDIAN(customer_churn_dataset!D$2:D$1501),2),IF(customer_churn_dataset!D768&lt;0,ABS(customer_churn_dataset!D768),customer_churn_dataset!D768))</f>
        <v>10.55</v>
      </c>
      <c r="E768" s="7" t="n">
        <f aca="false">IF(ISBLANK(customer_churn_dataset!E768),0,MAX(0,customer_churn_dataset!E768))</f>
        <v>41</v>
      </c>
      <c r="F768" s="8" t="n">
        <f aca="false">IF(ISBLANK(customer_churn_dataset!F768),"",customer_churn_dataset!F768)</f>
        <v>44861</v>
      </c>
      <c r="G768" s="7" t="str">
        <f aca="false">PROPER(TRIM(customer_churn_dataset!G768))</f>
        <v>Paypal</v>
      </c>
      <c r="H768" s="7" t="n">
        <f aca="false">IF(ISBLANK(customer_churn_dataset!H768),0,customer_churn_dataset!H768)</f>
        <v>1</v>
      </c>
      <c r="I768" s="7" t="n">
        <f aca="false">IF(ISBLANK(customer_churn_dataset!I768),ROUND(MEDIAN(customer_churn_dataset!I$2:I$1501),1),MIN(100,MAX(0,customer_churn_dataset!I768)))</f>
        <v>69.1</v>
      </c>
      <c r="J768" s="7" t="n">
        <f aca="false">IF(ISBLANK(customer_churn_dataset!J768),0,MAX(0,customer_churn_dataset!J768))</f>
        <v>15</v>
      </c>
      <c r="K768" s="7" t="n">
        <f aca="false">IF(ISBLANK(customer_churn_dataset!K768),0,MIN(10,MAX(0,customer_churn_dataset!K768)))</f>
        <v>9</v>
      </c>
      <c r="L768" s="7" t="n">
        <f aca="false">IF(ISBLANK(customer_churn_dataset!L768),0,MAX(0,customer_churn_dataset!L768))</f>
        <v>2</v>
      </c>
      <c r="M768" s="7" t="n">
        <f aca="false">IF(ISBLANK(customer_churn_dataset!M768),0,customer_churn_dataset!M768)</f>
        <v>1</v>
      </c>
      <c r="N768" s="7" t="n">
        <f aca="false">IF(ISBLANK(customer_churn_dataset!N768),0,MAX(0,customer_churn_dataset!N768))</f>
        <v>432.55</v>
      </c>
      <c r="O768" s="7" t="n">
        <f aca="false">IF(ISBLANK(customer_churn_dataset!O768),0,customer_churn_dataset!O768)</f>
        <v>0</v>
      </c>
      <c r="P768" s="7" t="str">
        <f aca="false">IF(COUNTIF(customer_churn_dataset!$A$2:$A$1501,customer_churn_dataset!A768)&gt;1,"Duplicate","Unique")</f>
        <v>Unique</v>
      </c>
    </row>
    <row r="769" customFormat="false" ht="14.15" hidden="false" customHeight="true" outlineLevel="0" collapsed="false">
      <c r="A769" s="7" t="str">
        <f aca="false">TRIM(customer_churn_dataset!A769)</f>
        <v>CUST101208</v>
      </c>
      <c r="B769" s="7" t="str">
        <f aca="false">PROPER(TRIM(customer_churn_dataset!B769))</f>
        <v>Basic</v>
      </c>
      <c r="C769" s="7" t="str">
        <f aca="false">PROPER(TRIM(customer_churn_dataset!C769))</f>
        <v>One Year</v>
      </c>
      <c r="D769" s="7" t="n">
        <f aca="false">IF(ISBLANK(customer_churn_dataset!D769),ROUND(MEDIAN(customer_churn_dataset!D$2:D$1501),2),IF(customer_churn_dataset!D769&lt;0,ABS(customer_churn_dataset!D769),customer_churn_dataset!D769))</f>
        <v>8.87</v>
      </c>
      <c r="E769" s="7" t="n">
        <f aca="false">IF(ISBLANK(customer_churn_dataset!E769),0,MAX(0,customer_churn_dataset!E769))</f>
        <v>8</v>
      </c>
      <c r="F769" s="8" t="n">
        <f aca="false">IF(ISBLANK(customer_churn_dataset!F769),"",customer_churn_dataset!F769)</f>
        <v>44862</v>
      </c>
      <c r="G769" s="7" t="str">
        <f aca="false">PROPER(TRIM(customer_churn_dataset!G769))</f>
        <v>Credit Card</v>
      </c>
      <c r="H769" s="7" t="n">
        <f aca="false">IF(ISBLANK(customer_churn_dataset!H769),0,customer_churn_dataset!H769)</f>
        <v>1</v>
      </c>
      <c r="I769" s="7" t="n">
        <f aca="false">IF(ISBLANK(customer_churn_dataset!I769),ROUND(MEDIAN(customer_churn_dataset!I$2:I$1501),1),MIN(100,MAX(0,customer_churn_dataset!I769)))</f>
        <v>17.5</v>
      </c>
      <c r="J769" s="7" t="n">
        <f aca="false">IF(ISBLANK(customer_churn_dataset!J769),0,MAX(0,customer_churn_dataset!J769))</f>
        <v>8</v>
      </c>
      <c r="K769" s="7" t="n">
        <f aca="false">IF(ISBLANK(customer_churn_dataset!K769),0,MIN(10,MAX(0,customer_churn_dataset!K769)))</f>
        <v>3</v>
      </c>
      <c r="L769" s="7" t="n">
        <f aca="false">IF(ISBLANK(customer_churn_dataset!L769),0,MAX(0,customer_churn_dataset!L769))</f>
        <v>3</v>
      </c>
      <c r="M769" s="7" t="n">
        <f aca="false">IF(ISBLANK(customer_churn_dataset!M769),0,customer_churn_dataset!M769)</f>
        <v>1</v>
      </c>
      <c r="N769" s="7" t="n">
        <f aca="false">IF(ISBLANK(customer_churn_dataset!N769),0,MAX(0,customer_churn_dataset!N769))</f>
        <v>70.96</v>
      </c>
      <c r="O769" s="7" t="n">
        <f aca="false">IF(ISBLANK(customer_churn_dataset!O769),0,customer_churn_dataset!O769)</f>
        <v>1</v>
      </c>
      <c r="P769" s="7" t="str">
        <f aca="false">IF(COUNTIF(customer_churn_dataset!$A$2:$A$1501,customer_churn_dataset!A769)&gt;1,"Duplicate","Unique")</f>
        <v>Unique</v>
      </c>
    </row>
    <row r="770" customFormat="false" ht="14.15" hidden="false" customHeight="true" outlineLevel="0" collapsed="false">
      <c r="A770" s="7" t="str">
        <f aca="false">TRIM(customer_churn_dataset!A770)</f>
        <v>CUST100293</v>
      </c>
      <c r="B770" s="7" t="str">
        <f aca="false">PROPER(TRIM(customer_churn_dataset!B770))</f>
        <v>Basic</v>
      </c>
      <c r="C770" s="7" t="str">
        <f aca="false">PROPER(TRIM(customer_churn_dataset!C770))</f>
        <v>Two Year</v>
      </c>
      <c r="D770" s="7" t="n">
        <f aca="false">IF(ISBLANK(customer_churn_dataset!D770),ROUND(MEDIAN(customer_churn_dataset!D$2:D$1501),2),IF(customer_churn_dataset!D770&lt;0,ABS(customer_churn_dataset!D770),customer_churn_dataset!D770))</f>
        <v>12.59</v>
      </c>
      <c r="E770" s="7" t="n">
        <f aca="false">IF(ISBLANK(customer_churn_dataset!E770),0,MAX(0,customer_churn_dataset!E770))</f>
        <v>5</v>
      </c>
      <c r="F770" s="8" t="n">
        <f aca="false">IF(ISBLANK(customer_churn_dataset!F770),"",customer_churn_dataset!F770)</f>
        <v>44862</v>
      </c>
      <c r="G770" s="7" t="str">
        <f aca="false">PROPER(TRIM(customer_churn_dataset!G770))</f>
        <v>Credit Card</v>
      </c>
      <c r="H770" s="7" t="n">
        <f aca="false">IF(ISBLANK(customer_churn_dataset!H770),0,customer_churn_dataset!H770)</f>
        <v>1</v>
      </c>
      <c r="I770" s="7" t="n">
        <f aca="false">IF(ISBLANK(customer_churn_dataset!I770),ROUND(MEDIAN(customer_churn_dataset!I$2:I$1501),1),MIN(100,MAX(0,customer_churn_dataset!I770)))</f>
        <v>68.3</v>
      </c>
      <c r="J770" s="7" t="n">
        <f aca="false">IF(ISBLANK(customer_churn_dataset!J770),0,MAX(0,customer_churn_dataset!J770))</f>
        <v>24</v>
      </c>
      <c r="K770" s="7" t="n">
        <f aca="false">IF(ISBLANK(customer_churn_dataset!K770),0,MIN(10,MAX(0,customer_churn_dataset!K770)))</f>
        <v>7</v>
      </c>
      <c r="L770" s="7" t="n">
        <f aca="false">IF(ISBLANK(customer_churn_dataset!L770),0,MAX(0,customer_churn_dataset!L770))</f>
        <v>0</v>
      </c>
      <c r="M770" s="7" t="n">
        <f aca="false">IF(ISBLANK(customer_churn_dataset!M770),0,customer_churn_dataset!M770)</f>
        <v>0</v>
      </c>
      <c r="N770" s="7" t="n">
        <f aca="false">IF(ISBLANK(customer_churn_dataset!N770),0,MAX(0,customer_churn_dataset!N770))</f>
        <v>62.95</v>
      </c>
      <c r="O770" s="7" t="n">
        <f aca="false">IF(ISBLANK(customer_churn_dataset!O770),0,customer_churn_dataset!O770)</f>
        <v>0</v>
      </c>
      <c r="P770" s="7" t="str">
        <f aca="false">IF(COUNTIF(customer_churn_dataset!$A$2:$A$1501,customer_churn_dataset!A770)&gt;1,"Duplicate","Unique")</f>
        <v>Unique</v>
      </c>
    </row>
    <row r="771" customFormat="false" ht="14.15" hidden="false" customHeight="true" outlineLevel="0" collapsed="false">
      <c r="A771" s="7" t="str">
        <f aca="false">TRIM(customer_churn_dataset!A771)</f>
        <v>CUST100969</v>
      </c>
      <c r="B771" s="7" t="str">
        <f aca="false">PROPER(TRIM(customer_churn_dataset!B771))</f>
        <v>Standard</v>
      </c>
      <c r="C771" s="7" t="str">
        <f aca="false">PROPER(TRIM(customer_churn_dataset!C771))</f>
        <v>Month-To-Month</v>
      </c>
      <c r="D771" s="7" t="n">
        <f aca="false">IF(ISBLANK(customer_churn_dataset!D771),ROUND(MEDIAN(customer_churn_dataset!D$2:D$1501),2),IF(customer_churn_dataset!D771&lt;0,ABS(customer_churn_dataset!D771),customer_churn_dataset!D771))</f>
        <v>20.71</v>
      </c>
      <c r="E771" s="7" t="n">
        <f aca="false">IF(ISBLANK(customer_churn_dataset!E771),0,MAX(0,customer_churn_dataset!E771))</f>
        <v>19</v>
      </c>
      <c r="F771" s="8" t="n">
        <f aca="false">IF(ISBLANK(customer_churn_dataset!F771),"",customer_churn_dataset!F771)</f>
        <v>44862</v>
      </c>
      <c r="G771" s="7" t="str">
        <f aca="false">PROPER(TRIM(customer_churn_dataset!G771))</f>
        <v>Credit Card</v>
      </c>
      <c r="H771" s="7" t="n">
        <f aca="false">IF(ISBLANK(customer_churn_dataset!H771),0,customer_churn_dataset!H771)</f>
        <v>1</v>
      </c>
      <c r="I771" s="7" t="n">
        <f aca="false">IF(ISBLANK(customer_churn_dataset!I771),ROUND(MEDIAN(customer_churn_dataset!I$2:I$1501),1),MIN(100,MAX(0,customer_churn_dataset!I771)))</f>
        <v>55.8</v>
      </c>
      <c r="J771" s="7" t="n">
        <f aca="false">IF(ISBLANK(customer_churn_dataset!J771),0,MAX(0,customer_churn_dataset!J771))</f>
        <v>20</v>
      </c>
      <c r="K771" s="7" t="n">
        <f aca="false">IF(ISBLANK(customer_churn_dataset!K771),0,MIN(10,MAX(0,customer_churn_dataset!K771)))</f>
        <v>5</v>
      </c>
      <c r="L771" s="7" t="n">
        <f aca="false">IF(ISBLANK(customer_churn_dataset!L771),0,MAX(0,customer_churn_dataset!L771))</f>
        <v>1</v>
      </c>
      <c r="M771" s="7" t="n">
        <f aca="false">IF(ISBLANK(customer_churn_dataset!M771),0,customer_churn_dataset!M771)</f>
        <v>1</v>
      </c>
      <c r="N771" s="7" t="n">
        <f aca="false">IF(ISBLANK(customer_churn_dataset!N771),0,MAX(0,customer_churn_dataset!N771))</f>
        <v>393.49</v>
      </c>
      <c r="O771" s="7" t="n">
        <f aca="false">IF(ISBLANK(customer_churn_dataset!O771),0,customer_churn_dataset!O771)</f>
        <v>0</v>
      </c>
      <c r="P771" s="7" t="str">
        <f aca="false">IF(COUNTIF(customer_churn_dataset!$A$2:$A$1501,customer_churn_dataset!A771)&gt;1,"Duplicate","Unique")</f>
        <v>Unique</v>
      </c>
    </row>
    <row r="772" customFormat="false" ht="14.15" hidden="false" customHeight="true" outlineLevel="0" collapsed="false">
      <c r="A772" s="7" t="str">
        <f aca="false">TRIM(customer_churn_dataset!A772)</f>
        <v>CUST100008</v>
      </c>
      <c r="B772" s="7" t="str">
        <f aca="false">PROPER(TRIM(customer_churn_dataset!B772))</f>
        <v>Standard</v>
      </c>
      <c r="C772" s="7" t="str">
        <f aca="false">PROPER(TRIM(customer_churn_dataset!C772))</f>
        <v>One Year</v>
      </c>
      <c r="D772" s="7" t="n">
        <f aca="false">IF(ISBLANK(customer_churn_dataset!D772),ROUND(MEDIAN(customer_churn_dataset!D$2:D$1501),2),IF(customer_churn_dataset!D772&lt;0,ABS(customer_churn_dataset!D772),customer_churn_dataset!D772))</f>
        <v>20.58</v>
      </c>
      <c r="E772" s="7" t="n">
        <f aca="false">IF(ISBLANK(customer_churn_dataset!E772),0,MAX(0,customer_churn_dataset!E772))</f>
        <v>7</v>
      </c>
      <c r="F772" s="8" t="n">
        <f aca="false">IF(ISBLANK(customer_churn_dataset!F772),"",customer_churn_dataset!F772)</f>
        <v>44862</v>
      </c>
      <c r="G772" s="7" t="str">
        <f aca="false">PROPER(TRIM(customer_churn_dataset!G772))</f>
        <v>Credit Card</v>
      </c>
      <c r="H772" s="7" t="n">
        <f aca="false">IF(ISBLANK(customer_churn_dataset!H772),0,customer_churn_dataset!H772)</f>
        <v>1</v>
      </c>
      <c r="I772" s="7" t="n">
        <f aca="false">IF(ISBLANK(customer_churn_dataset!I772),ROUND(MEDIAN(customer_churn_dataset!I$2:I$1501),1),MIN(100,MAX(0,customer_churn_dataset!I772)))</f>
        <v>53.7</v>
      </c>
      <c r="J772" s="7" t="n">
        <f aca="false">IF(ISBLANK(customer_churn_dataset!J772),0,MAX(0,customer_churn_dataset!J772))</f>
        <v>13</v>
      </c>
      <c r="K772" s="7" t="n">
        <f aca="false">IF(ISBLANK(customer_churn_dataset!K772),0,MIN(10,MAX(0,customer_churn_dataset!K772)))</f>
        <v>6</v>
      </c>
      <c r="L772" s="7" t="n">
        <f aca="false">IF(ISBLANK(customer_churn_dataset!L772),0,MAX(0,customer_churn_dataset!L772))</f>
        <v>0</v>
      </c>
      <c r="M772" s="7" t="n">
        <f aca="false">IF(ISBLANK(customer_churn_dataset!M772),0,customer_churn_dataset!M772)</f>
        <v>0</v>
      </c>
      <c r="N772" s="7" t="n">
        <f aca="false">IF(ISBLANK(customer_churn_dataset!N772),0,MAX(0,customer_churn_dataset!N772))</f>
        <v>144.06</v>
      </c>
      <c r="O772" s="7" t="n">
        <f aca="false">IF(ISBLANK(customer_churn_dataset!O772),0,customer_churn_dataset!O772)</f>
        <v>0</v>
      </c>
      <c r="P772" s="7" t="str">
        <f aca="false">IF(COUNTIF(customer_churn_dataset!$A$2:$A$1501,customer_churn_dataset!A772)&gt;1,"Duplicate","Unique")</f>
        <v>Unique</v>
      </c>
    </row>
    <row r="773" customFormat="false" ht="14.15" hidden="false" customHeight="true" outlineLevel="0" collapsed="false">
      <c r="A773" s="7" t="str">
        <f aca="false">TRIM(customer_churn_dataset!A773)</f>
        <v>CUST101266</v>
      </c>
      <c r="B773" s="7" t="str">
        <f aca="false">PROPER(TRIM(customer_churn_dataset!B773))</f>
        <v>Basic</v>
      </c>
      <c r="C773" s="7" t="str">
        <f aca="false">PROPER(TRIM(customer_churn_dataset!C773))</f>
        <v>One Year</v>
      </c>
      <c r="D773" s="7" t="n">
        <f aca="false">IF(ISBLANK(customer_churn_dataset!D773),ROUND(MEDIAN(customer_churn_dataset!D$2:D$1501),2),IF(customer_churn_dataset!D773&lt;0,ABS(customer_churn_dataset!D773),customer_churn_dataset!D773))</f>
        <v>10.56</v>
      </c>
      <c r="E773" s="7" t="n">
        <f aca="false">IF(ISBLANK(customer_churn_dataset!E773),0,MAX(0,customer_churn_dataset!E773))</f>
        <v>17</v>
      </c>
      <c r="F773" s="8" t="n">
        <f aca="false">IF(ISBLANK(customer_churn_dataset!F773),"",customer_churn_dataset!F773)</f>
        <v>44863</v>
      </c>
      <c r="G773" s="7" t="str">
        <f aca="false">PROPER(TRIM(customer_churn_dataset!G773))</f>
        <v>Credit Card</v>
      </c>
      <c r="H773" s="7" t="n">
        <f aca="false">IF(ISBLANK(customer_churn_dataset!H773),0,customer_churn_dataset!H773)</f>
        <v>0</v>
      </c>
      <c r="I773" s="7" t="n">
        <f aca="false">IF(ISBLANK(customer_churn_dataset!I773),ROUND(MEDIAN(customer_churn_dataset!I$2:I$1501),1),MIN(100,MAX(0,customer_churn_dataset!I773)))</f>
        <v>48.5</v>
      </c>
      <c r="J773" s="7" t="n">
        <f aca="false">IF(ISBLANK(customer_churn_dataset!J773),0,MAX(0,customer_churn_dataset!J773))</f>
        <v>13</v>
      </c>
      <c r="K773" s="7" t="n">
        <f aca="false">IF(ISBLANK(customer_churn_dataset!K773),0,MIN(10,MAX(0,customer_churn_dataset!K773)))</f>
        <v>4</v>
      </c>
      <c r="L773" s="7" t="n">
        <f aca="false">IF(ISBLANK(customer_churn_dataset!L773),0,MAX(0,customer_churn_dataset!L773))</f>
        <v>2</v>
      </c>
      <c r="M773" s="7" t="n">
        <f aca="false">IF(ISBLANK(customer_churn_dataset!M773),0,customer_churn_dataset!M773)</f>
        <v>0</v>
      </c>
      <c r="N773" s="7" t="n">
        <f aca="false">IF(ISBLANK(customer_churn_dataset!N773),0,MAX(0,customer_churn_dataset!N773))</f>
        <v>179.52</v>
      </c>
      <c r="O773" s="7" t="n">
        <f aca="false">IF(ISBLANK(customer_churn_dataset!O773),0,customer_churn_dataset!O773)</f>
        <v>0</v>
      </c>
      <c r="P773" s="7" t="str">
        <f aca="false">IF(COUNTIF(customer_churn_dataset!$A$2:$A$1501,customer_churn_dataset!A773)&gt;1,"Duplicate","Unique")</f>
        <v>Unique</v>
      </c>
    </row>
    <row r="774" customFormat="false" ht="14.15" hidden="false" customHeight="true" outlineLevel="0" collapsed="false">
      <c r="A774" s="7" t="str">
        <f aca="false">TRIM(customer_churn_dataset!A774)</f>
        <v>CUST100799</v>
      </c>
      <c r="B774" s="7" t="str">
        <f aca="false">PROPER(TRIM(customer_churn_dataset!B774))</f>
        <v>Premium</v>
      </c>
      <c r="C774" s="7" t="str">
        <f aca="false">PROPER(TRIM(customer_churn_dataset!C774))</f>
        <v>Month-To-Month</v>
      </c>
      <c r="D774" s="7" t="n">
        <f aca="false">IF(ISBLANK(customer_churn_dataset!D774),ROUND(MEDIAN(customer_churn_dataset!D$2:D$1501),2),IF(customer_churn_dataset!D774&lt;0,ABS(customer_churn_dataset!D774),customer_churn_dataset!D774))</f>
        <v>40.21</v>
      </c>
      <c r="E774" s="7" t="n">
        <f aca="false">IF(ISBLANK(customer_churn_dataset!E774),0,MAX(0,customer_churn_dataset!E774))</f>
        <v>33</v>
      </c>
      <c r="F774" s="8" t="n">
        <f aca="false">IF(ISBLANK(customer_churn_dataset!F774),"",customer_churn_dataset!F774)</f>
        <v>44866</v>
      </c>
      <c r="G774" s="7" t="str">
        <f aca="false">PROPER(TRIM(customer_churn_dataset!G774))</f>
        <v>Credit Card</v>
      </c>
      <c r="H774" s="7" t="n">
        <f aca="false">IF(ISBLANK(customer_churn_dataset!H774),0,customer_churn_dataset!H774)</f>
        <v>1</v>
      </c>
      <c r="I774" s="7" t="n">
        <f aca="false">IF(ISBLANK(customer_churn_dataset!I774),ROUND(MEDIAN(customer_churn_dataset!I$2:I$1501),1),MIN(100,MAX(0,customer_churn_dataset!I774)))</f>
        <v>63</v>
      </c>
      <c r="J774" s="7" t="n">
        <f aca="false">IF(ISBLANK(customer_churn_dataset!J774),0,MAX(0,customer_churn_dataset!J774))</f>
        <v>23</v>
      </c>
      <c r="K774" s="7" t="n">
        <f aca="false">IF(ISBLANK(customer_churn_dataset!K774),0,MIN(10,MAX(0,customer_churn_dataset!K774)))</f>
        <v>7</v>
      </c>
      <c r="L774" s="7" t="n">
        <f aca="false">IF(ISBLANK(customer_churn_dataset!L774),0,MAX(0,customer_churn_dataset!L774))</f>
        <v>0</v>
      </c>
      <c r="M774" s="7" t="n">
        <f aca="false">IF(ISBLANK(customer_churn_dataset!M774),0,customer_churn_dataset!M774)</f>
        <v>0</v>
      </c>
      <c r="N774" s="7" t="n">
        <f aca="false">IF(ISBLANK(customer_churn_dataset!N774),0,MAX(0,customer_churn_dataset!N774))</f>
        <v>1326.93</v>
      </c>
      <c r="O774" s="7" t="n">
        <f aca="false">IF(ISBLANK(customer_churn_dataset!O774),0,customer_churn_dataset!O774)</f>
        <v>0</v>
      </c>
      <c r="P774" s="7" t="str">
        <f aca="false">IF(COUNTIF(customer_churn_dataset!$A$2:$A$1501,customer_churn_dataset!A774)&gt;1,"Duplicate","Unique")</f>
        <v>Unique</v>
      </c>
    </row>
    <row r="775" customFormat="false" ht="14.15" hidden="false" customHeight="true" outlineLevel="0" collapsed="false">
      <c r="A775" s="7" t="str">
        <f aca="false">TRIM(customer_churn_dataset!A775)</f>
        <v>CUST100376</v>
      </c>
      <c r="B775" s="7" t="str">
        <f aca="false">PROPER(TRIM(customer_churn_dataset!B775))</f>
        <v>Premium</v>
      </c>
      <c r="C775" s="7" t="str">
        <f aca="false">PROPER(TRIM(customer_churn_dataset!C775))</f>
        <v>One Year</v>
      </c>
      <c r="D775" s="7" t="n">
        <f aca="false">IF(ISBLANK(customer_churn_dataset!D775),ROUND(MEDIAN(customer_churn_dataset!D$2:D$1501),2),IF(customer_churn_dataset!D775&lt;0,ABS(customer_churn_dataset!D775),customer_churn_dataset!D775))</f>
        <v>40.5</v>
      </c>
      <c r="E775" s="7" t="n">
        <f aca="false">IF(ISBLANK(customer_churn_dataset!E775),0,MAX(0,customer_churn_dataset!E775))</f>
        <v>15</v>
      </c>
      <c r="F775" s="8" t="n">
        <f aca="false">IF(ISBLANK(customer_churn_dataset!F775),"",customer_churn_dataset!F775)</f>
        <v>44868</v>
      </c>
      <c r="G775" s="7" t="str">
        <f aca="false">PROPER(TRIM(customer_churn_dataset!G775))</f>
        <v>Paypal</v>
      </c>
      <c r="H775" s="7" t="n">
        <f aca="false">IF(ISBLANK(customer_churn_dataset!H775),0,customer_churn_dataset!H775)</f>
        <v>1</v>
      </c>
      <c r="I775" s="7" t="n">
        <f aca="false">IF(ISBLANK(customer_churn_dataset!I775),ROUND(MEDIAN(customer_churn_dataset!I$2:I$1501),1),MIN(100,MAX(0,customer_churn_dataset!I775)))</f>
        <v>42.8</v>
      </c>
      <c r="J775" s="7" t="n">
        <f aca="false">IF(ISBLANK(customer_churn_dataset!J775),0,MAX(0,customer_churn_dataset!J775))</f>
        <v>13</v>
      </c>
      <c r="K775" s="7" t="n">
        <f aca="false">IF(ISBLANK(customer_churn_dataset!K775),0,MIN(10,MAX(0,customer_churn_dataset!K775)))</f>
        <v>2</v>
      </c>
      <c r="L775" s="7" t="n">
        <f aca="false">IF(ISBLANK(customer_churn_dataset!L775),0,MAX(0,customer_churn_dataset!L775))</f>
        <v>1</v>
      </c>
      <c r="M775" s="7" t="n">
        <f aca="false">IF(ISBLANK(customer_churn_dataset!M775),0,customer_churn_dataset!M775)</f>
        <v>0</v>
      </c>
      <c r="N775" s="7" t="n">
        <f aca="false">IF(ISBLANK(customer_churn_dataset!N775),0,MAX(0,customer_churn_dataset!N775))</f>
        <v>607.5</v>
      </c>
      <c r="O775" s="7" t="n">
        <f aca="false">IF(ISBLANK(customer_churn_dataset!O775),0,customer_churn_dataset!O775)</f>
        <v>0</v>
      </c>
      <c r="P775" s="7" t="str">
        <f aca="false">IF(COUNTIF(customer_churn_dataset!$A$2:$A$1501,customer_churn_dataset!A775)&gt;1,"Duplicate","Unique")</f>
        <v>Unique</v>
      </c>
    </row>
    <row r="776" customFormat="false" ht="14.15" hidden="false" customHeight="true" outlineLevel="0" collapsed="false">
      <c r="A776" s="7" t="str">
        <f aca="false">TRIM(customer_churn_dataset!A776)</f>
        <v>CUST101049</v>
      </c>
      <c r="B776" s="7" t="str">
        <f aca="false">PROPER(TRIM(customer_churn_dataset!B776))</f>
        <v>Basic</v>
      </c>
      <c r="C776" s="7" t="str">
        <f aca="false">PROPER(TRIM(customer_churn_dataset!C776))</f>
        <v>Month-To-Month</v>
      </c>
      <c r="D776" s="7" t="n">
        <f aca="false">IF(ISBLANK(customer_churn_dataset!D776),ROUND(MEDIAN(customer_churn_dataset!D$2:D$1501),2),IF(customer_churn_dataset!D776&lt;0,ABS(customer_churn_dataset!D776),customer_churn_dataset!D776))</f>
        <v>9.99</v>
      </c>
      <c r="E776" s="7" t="n">
        <f aca="false">IF(ISBLANK(customer_churn_dataset!E776),0,MAX(0,customer_churn_dataset!E776))</f>
        <v>1</v>
      </c>
      <c r="F776" s="8" t="n">
        <f aca="false">IF(ISBLANK(customer_churn_dataset!F776),"",customer_churn_dataset!F776)</f>
        <v>44868</v>
      </c>
      <c r="G776" s="7" t="str">
        <f aca="false">PROPER(TRIM(customer_churn_dataset!G776))</f>
        <v>Paypal</v>
      </c>
      <c r="H776" s="7" t="n">
        <f aca="false">IF(ISBLANK(customer_churn_dataset!H776),0,customer_churn_dataset!H776)</f>
        <v>1</v>
      </c>
      <c r="I776" s="7" t="n">
        <f aca="false">IF(ISBLANK(customer_churn_dataset!I776),ROUND(MEDIAN(customer_churn_dataset!I$2:I$1501),1),MIN(100,MAX(0,customer_churn_dataset!I776)))</f>
        <v>25.6</v>
      </c>
      <c r="J776" s="7" t="n">
        <f aca="false">IF(ISBLANK(customer_churn_dataset!J776),0,MAX(0,customer_churn_dataset!J776))</f>
        <v>6</v>
      </c>
      <c r="K776" s="7" t="n">
        <f aca="false">IF(ISBLANK(customer_churn_dataset!K776),0,MIN(10,MAX(0,customer_churn_dataset!K776)))</f>
        <v>3</v>
      </c>
      <c r="L776" s="7" t="n">
        <f aca="false">IF(ISBLANK(customer_churn_dataset!L776),0,MAX(0,customer_churn_dataset!L776))</f>
        <v>3</v>
      </c>
      <c r="M776" s="7" t="n">
        <f aca="false">IF(ISBLANK(customer_churn_dataset!M776),0,customer_churn_dataset!M776)</f>
        <v>0</v>
      </c>
      <c r="N776" s="7" t="n">
        <f aca="false">IF(ISBLANK(customer_churn_dataset!N776),0,MAX(0,customer_churn_dataset!N776))</f>
        <v>9.99</v>
      </c>
      <c r="O776" s="7" t="n">
        <f aca="false">IF(ISBLANK(customer_churn_dataset!O776),0,customer_churn_dataset!O776)</f>
        <v>0</v>
      </c>
      <c r="P776" s="7" t="str">
        <f aca="false">IF(COUNTIF(customer_churn_dataset!$A$2:$A$1501,customer_churn_dataset!A776)&gt;1,"Duplicate","Unique")</f>
        <v>Unique</v>
      </c>
    </row>
    <row r="777" customFormat="false" ht="14.15" hidden="false" customHeight="true" outlineLevel="0" collapsed="false">
      <c r="A777" s="7" t="str">
        <f aca="false">TRIM(customer_churn_dataset!A777)</f>
        <v>CUST100368</v>
      </c>
      <c r="B777" s="7" t="str">
        <f aca="false">PROPER(TRIM(customer_churn_dataset!B777))</f>
        <v>Basic</v>
      </c>
      <c r="C777" s="7" t="str">
        <f aca="false">PROPER(TRIM(customer_churn_dataset!C777))</f>
        <v>Month-To-Month</v>
      </c>
      <c r="D777" s="7" t="n">
        <f aca="false">IF(ISBLANK(customer_churn_dataset!D777),ROUND(MEDIAN(customer_churn_dataset!D$2:D$1501),2),IF(customer_churn_dataset!D777&lt;0,ABS(customer_churn_dataset!D777),customer_churn_dataset!D777))</f>
        <v>9.5</v>
      </c>
      <c r="E777" s="7" t="n">
        <f aca="false">IF(ISBLANK(customer_churn_dataset!E777),0,MAX(0,customer_churn_dataset!E777))</f>
        <v>15</v>
      </c>
      <c r="F777" s="8" t="n">
        <f aca="false">IF(ISBLANK(customer_churn_dataset!F777),"",customer_churn_dataset!F777)</f>
        <v>44868</v>
      </c>
      <c r="G777" s="7" t="str">
        <f aca="false">PROPER(TRIM(customer_churn_dataset!G777))</f>
        <v>Credit Card</v>
      </c>
      <c r="H777" s="7" t="n">
        <f aca="false">IF(ISBLANK(customer_churn_dataset!H777),0,customer_churn_dataset!H777)</f>
        <v>1</v>
      </c>
      <c r="I777" s="7" t="n">
        <f aca="false">IF(ISBLANK(customer_churn_dataset!I777),ROUND(MEDIAN(customer_churn_dataset!I$2:I$1501),1),MIN(100,MAX(0,customer_churn_dataset!I777)))</f>
        <v>59.4</v>
      </c>
      <c r="J777" s="7" t="n">
        <f aca="false">IF(ISBLANK(customer_churn_dataset!J777),0,MAX(0,customer_churn_dataset!J777))</f>
        <v>18</v>
      </c>
      <c r="K777" s="7" t="n">
        <f aca="false">IF(ISBLANK(customer_churn_dataset!K777),0,MIN(10,MAX(0,customer_churn_dataset!K777)))</f>
        <v>9</v>
      </c>
      <c r="L777" s="7" t="n">
        <f aca="false">IF(ISBLANK(customer_churn_dataset!L777),0,MAX(0,customer_churn_dataset!L777))</f>
        <v>0</v>
      </c>
      <c r="M777" s="7" t="n">
        <f aca="false">IF(ISBLANK(customer_churn_dataset!M777),0,customer_churn_dataset!M777)</f>
        <v>0</v>
      </c>
      <c r="N777" s="7" t="n">
        <f aca="false">IF(ISBLANK(customer_churn_dataset!N777),0,MAX(0,customer_churn_dataset!N777))</f>
        <v>142.5</v>
      </c>
      <c r="O777" s="7" t="n">
        <f aca="false">IF(ISBLANK(customer_churn_dataset!O777),0,customer_churn_dataset!O777)</f>
        <v>0</v>
      </c>
      <c r="P777" s="7" t="str">
        <f aca="false">IF(COUNTIF(customer_churn_dataset!$A$2:$A$1501,customer_churn_dataset!A777)&gt;1,"Duplicate","Unique")</f>
        <v>Unique</v>
      </c>
    </row>
    <row r="778" customFormat="false" ht="14.15" hidden="false" customHeight="true" outlineLevel="0" collapsed="false">
      <c r="A778" s="7" t="str">
        <f aca="false">TRIM(customer_churn_dataset!A778)</f>
        <v>CUST100104</v>
      </c>
      <c r="B778" s="7" t="str">
        <f aca="false">PROPER(TRIM(customer_churn_dataset!B778))</f>
        <v>Premium</v>
      </c>
      <c r="C778" s="7" t="str">
        <f aca="false">PROPER(TRIM(customer_churn_dataset!C778))</f>
        <v>Month-To-Month</v>
      </c>
      <c r="D778" s="7" t="n">
        <f aca="false">IF(ISBLANK(customer_churn_dataset!D778),ROUND(MEDIAN(customer_churn_dataset!D$2:D$1501),2),IF(customer_churn_dataset!D778&lt;0,ABS(customer_churn_dataset!D778),customer_churn_dataset!D778))</f>
        <v>40.16</v>
      </c>
      <c r="E778" s="7" t="n">
        <f aca="false">IF(ISBLANK(customer_churn_dataset!E778),0,MAX(0,customer_churn_dataset!E778))</f>
        <v>14</v>
      </c>
      <c r="F778" s="8" t="n">
        <f aca="false">IF(ISBLANK(customer_churn_dataset!F778),"",customer_churn_dataset!F778)</f>
        <v>44868</v>
      </c>
      <c r="G778" s="7" t="str">
        <f aca="false">PROPER(TRIM(customer_churn_dataset!G778))</f>
        <v>Paypal</v>
      </c>
      <c r="H778" s="7" t="n">
        <f aca="false">IF(ISBLANK(customer_churn_dataset!H778),0,customer_churn_dataset!H778)</f>
        <v>1</v>
      </c>
      <c r="I778" s="7" t="n">
        <f aca="false">IF(ISBLANK(customer_churn_dataset!I778),ROUND(MEDIAN(customer_churn_dataset!I$2:I$1501),1),MIN(100,MAX(0,customer_churn_dataset!I778)))</f>
        <v>16.1</v>
      </c>
      <c r="J778" s="7" t="n">
        <f aca="false">IF(ISBLANK(customer_churn_dataset!J778),0,MAX(0,customer_churn_dataset!J778))</f>
        <v>4</v>
      </c>
      <c r="K778" s="7" t="n">
        <f aca="false">IF(ISBLANK(customer_churn_dataset!K778),0,MIN(10,MAX(0,customer_churn_dataset!K778)))</f>
        <v>3</v>
      </c>
      <c r="L778" s="7" t="n">
        <f aca="false">IF(ISBLANK(customer_churn_dataset!L778),0,MAX(0,customer_churn_dataset!L778))</f>
        <v>3</v>
      </c>
      <c r="M778" s="7" t="n">
        <f aca="false">IF(ISBLANK(customer_churn_dataset!M778),0,customer_churn_dataset!M778)</f>
        <v>1</v>
      </c>
      <c r="N778" s="7" t="n">
        <f aca="false">IF(ISBLANK(customer_churn_dataset!N778),0,MAX(0,customer_churn_dataset!N778))</f>
        <v>562.24</v>
      </c>
      <c r="O778" s="7" t="n">
        <f aca="false">IF(ISBLANK(customer_churn_dataset!O778),0,customer_churn_dataset!O778)</f>
        <v>0</v>
      </c>
      <c r="P778" s="7" t="str">
        <f aca="false">IF(COUNTIF(customer_churn_dataset!$A$2:$A$1501,customer_churn_dataset!A778)&gt;1,"Duplicate","Unique")</f>
        <v>Unique</v>
      </c>
    </row>
    <row r="779" customFormat="false" ht="14.15" hidden="false" customHeight="true" outlineLevel="0" collapsed="false">
      <c r="A779" s="7" t="str">
        <f aca="false">TRIM(customer_churn_dataset!A779)</f>
        <v>CUST100805</v>
      </c>
      <c r="B779" s="7" t="str">
        <f aca="false">PROPER(TRIM(customer_churn_dataset!B779))</f>
        <v>Standard</v>
      </c>
      <c r="C779" s="7" t="str">
        <f aca="false">PROPER(TRIM(customer_churn_dataset!C779))</f>
        <v>Two Year</v>
      </c>
      <c r="D779" s="7" t="n">
        <f aca="false">IF(ISBLANK(customer_churn_dataset!D779),ROUND(MEDIAN(customer_churn_dataset!D$2:D$1501),2),IF(customer_churn_dataset!D779&lt;0,ABS(customer_churn_dataset!D779),customer_churn_dataset!D779))</f>
        <v>20.08</v>
      </c>
      <c r="E779" s="7" t="n">
        <f aca="false">IF(ISBLANK(customer_churn_dataset!E779),0,MAX(0,customer_churn_dataset!E779))</f>
        <v>7</v>
      </c>
      <c r="F779" s="8" t="n">
        <f aca="false">IF(ISBLANK(customer_churn_dataset!F779),"",customer_churn_dataset!F779)</f>
        <v>44870</v>
      </c>
      <c r="G779" s="7" t="str">
        <f aca="false">PROPER(TRIM(customer_churn_dataset!G779))</f>
        <v>Bank Transfer</v>
      </c>
      <c r="H779" s="7" t="n">
        <f aca="false">IF(ISBLANK(customer_churn_dataset!H779),0,customer_churn_dataset!H779)</f>
        <v>1</v>
      </c>
      <c r="I779" s="7" t="n">
        <f aca="false">IF(ISBLANK(customer_churn_dataset!I779),ROUND(MEDIAN(customer_churn_dataset!I$2:I$1501),1),MIN(100,MAX(0,customer_churn_dataset!I779)))</f>
        <v>70.5</v>
      </c>
      <c r="J779" s="7" t="n">
        <f aca="false">IF(ISBLANK(customer_churn_dataset!J779),0,MAX(0,customer_churn_dataset!J779))</f>
        <v>20</v>
      </c>
      <c r="K779" s="7" t="n">
        <f aca="false">IF(ISBLANK(customer_churn_dataset!K779),0,MIN(10,MAX(0,customer_churn_dataset!K779)))</f>
        <v>6</v>
      </c>
      <c r="L779" s="7" t="n">
        <f aca="false">IF(ISBLANK(customer_churn_dataset!L779),0,MAX(0,customer_churn_dataset!L779))</f>
        <v>3</v>
      </c>
      <c r="M779" s="7" t="n">
        <f aca="false">IF(ISBLANK(customer_churn_dataset!M779),0,customer_churn_dataset!M779)</f>
        <v>0</v>
      </c>
      <c r="N779" s="7" t="n">
        <f aca="false">IF(ISBLANK(customer_churn_dataset!N779),0,MAX(0,customer_churn_dataset!N779))</f>
        <v>140.56</v>
      </c>
      <c r="O779" s="7" t="n">
        <f aca="false">IF(ISBLANK(customer_churn_dataset!O779),0,customer_churn_dataset!O779)</f>
        <v>0</v>
      </c>
      <c r="P779" s="7" t="str">
        <f aca="false">IF(COUNTIF(customer_churn_dataset!$A$2:$A$1501,customer_churn_dataset!A779)&gt;1,"Duplicate","Unique")</f>
        <v>Unique</v>
      </c>
    </row>
    <row r="780" customFormat="false" ht="14.15" hidden="false" customHeight="true" outlineLevel="0" collapsed="false">
      <c r="A780" s="7" t="str">
        <f aca="false">TRIM(customer_churn_dataset!A780)</f>
        <v>CUST101058</v>
      </c>
      <c r="B780" s="7" t="str">
        <f aca="false">PROPER(TRIM(customer_churn_dataset!B780))</f>
        <v>Standard</v>
      </c>
      <c r="C780" s="7" t="str">
        <f aca="false">PROPER(TRIM(customer_churn_dataset!C780))</f>
        <v>Month-To-Month</v>
      </c>
      <c r="D780" s="7" t="n">
        <f aca="false">IF(ISBLANK(customer_churn_dataset!D780),ROUND(MEDIAN(customer_churn_dataset!D$2:D$1501),2),IF(customer_churn_dataset!D780&lt;0,ABS(customer_churn_dataset!D780),customer_churn_dataset!D780))</f>
        <v>22.09</v>
      </c>
      <c r="E780" s="7" t="n">
        <f aca="false">IF(ISBLANK(customer_churn_dataset!E780),0,MAX(0,customer_churn_dataset!E780))</f>
        <v>6</v>
      </c>
      <c r="F780" s="8" t="n">
        <f aca="false">IF(ISBLANK(customer_churn_dataset!F780),"",customer_churn_dataset!F780)</f>
        <v>44870</v>
      </c>
      <c r="G780" s="7" t="str">
        <f aca="false">PROPER(TRIM(customer_churn_dataset!G780))</f>
        <v>Paypal</v>
      </c>
      <c r="H780" s="7" t="n">
        <f aca="false">IF(ISBLANK(customer_churn_dataset!H780),0,customer_churn_dataset!H780)</f>
        <v>0</v>
      </c>
      <c r="I780" s="7" t="n">
        <f aca="false">IF(ISBLANK(customer_churn_dataset!I780),ROUND(MEDIAN(customer_churn_dataset!I$2:I$1501),1),MIN(100,MAX(0,customer_churn_dataset!I780)))</f>
        <v>43.3</v>
      </c>
      <c r="J780" s="7" t="n">
        <f aca="false">IF(ISBLANK(customer_churn_dataset!J780),0,MAX(0,customer_churn_dataset!J780))</f>
        <v>14</v>
      </c>
      <c r="K780" s="7" t="n">
        <f aca="false">IF(ISBLANK(customer_churn_dataset!K780),0,MIN(10,MAX(0,customer_churn_dataset!K780)))</f>
        <v>4</v>
      </c>
      <c r="L780" s="7" t="n">
        <f aca="false">IF(ISBLANK(customer_churn_dataset!L780),0,MAX(0,customer_churn_dataset!L780))</f>
        <v>2</v>
      </c>
      <c r="M780" s="7" t="n">
        <f aca="false">IF(ISBLANK(customer_churn_dataset!M780),0,customer_churn_dataset!M780)</f>
        <v>0</v>
      </c>
      <c r="N780" s="7" t="n">
        <f aca="false">IF(ISBLANK(customer_churn_dataset!N780),0,MAX(0,customer_churn_dataset!N780))</f>
        <v>132.54</v>
      </c>
      <c r="O780" s="7" t="n">
        <f aca="false">IF(ISBLANK(customer_churn_dataset!O780),0,customer_churn_dataset!O780)</f>
        <v>1</v>
      </c>
      <c r="P780" s="7" t="str">
        <f aca="false">IF(COUNTIF(customer_churn_dataset!$A$2:$A$1501,customer_churn_dataset!A780)&gt;1,"Duplicate","Unique")</f>
        <v>Unique</v>
      </c>
    </row>
    <row r="781" customFormat="false" ht="14.15" hidden="false" customHeight="true" outlineLevel="0" collapsed="false">
      <c r="A781" s="7" t="str">
        <f aca="false">TRIM(customer_churn_dataset!A781)</f>
        <v>CUST100121</v>
      </c>
      <c r="B781" s="7" t="str">
        <f aca="false">PROPER(TRIM(customer_churn_dataset!B781))</f>
        <v>Premium</v>
      </c>
      <c r="C781" s="7" t="str">
        <f aca="false">PROPER(TRIM(customer_churn_dataset!C781))</f>
        <v>Month-To-Month</v>
      </c>
      <c r="D781" s="7" t="n">
        <f aca="false">IF(ISBLANK(customer_churn_dataset!D781),ROUND(MEDIAN(customer_churn_dataset!D$2:D$1501),2),IF(customer_churn_dataset!D781&lt;0,ABS(customer_churn_dataset!D781),customer_churn_dataset!D781))</f>
        <v>39.84</v>
      </c>
      <c r="E781" s="7" t="n">
        <f aca="false">IF(ISBLANK(customer_churn_dataset!E781),0,MAX(0,customer_churn_dataset!E781))</f>
        <v>20</v>
      </c>
      <c r="F781" s="8" t="n">
        <f aca="false">IF(ISBLANK(customer_churn_dataset!F781),"",customer_churn_dataset!F781)</f>
        <v>44871</v>
      </c>
      <c r="G781" s="7" t="str">
        <f aca="false">PROPER(TRIM(customer_churn_dataset!G781))</f>
        <v>Credit Card</v>
      </c>
      <c r="H781" s="7" t="n">
        <f aca="false">IF(ISBLANK(customer_churn_dataset!H781),0,customer_churn_dataset!H781)</f>
        <v>0</v>
      </c>
      <c r="I781" s="7" t="n">
        <f aca="false">IF(ISBLANK(customer_churn_dataset!I781),ROUND(MEDIAN(customer_churn_dataset!I$2:I$1501),1),MIN(100,MAX(0,customer_churn_dataset!I781)))</f>
        <v>54.8</v>
      </c>
      <c r="J781" s="7" t="n">
        <f aca="false">IF(ISBLANK(customer_churn_dataset!J781),0,MAX(0,customer_churn_dataset!J781))</f>
        <v>20</v>
      </c>
      <c r="K781" s="7" t="n">
        <f aca="false">IF(ISBLANK(customer_churn_dataset!K781),0,MIN(10,MAX(0,customer_churn_dataset!K781)))</f>
        <v>5</v>
      </c>
      <c r="L781" s="7" t="n">
        <f aca="false">IF(ISBLANK(customer_churn_dataset!L781),0,MAX(0,customer_churn_dataset!L781))</f>
        <v>1</v>
      </c>
      <c r="M781" s="7" t="n">
        <f aca="false">IF(ISBLANK(customer_churn_dataset!M781),0,customer_churn_dataset!M781)</f>
        <v>1</v>
      </c>
      <c r="N781" s="7" t="n">
        <f aca="false">IF(ISBLANK(customer_churn_dataset!N781),0,MAX(0,customer_churn_dataset!N781))</f>
        <v>796.8</v>
      </c>
      <c r="O781" s="7" t="n">
        <f aca="false">IF(ISBLANK(customer_churn_dataset!O781),0,customer_churn_dataset!O781)</f>
        <v>1</v>
      </c>
      <c r="P781" s="7" t="str">
        <f aca="false">IF(COUNTIF(customer_churn_dataset!$A$2:$A$1501,customer_churn_dataset!A781)&gt;1,"Duplicate","Unique")</f>
        <v>Unique</v>
      </c>
    </row>
    <row r="782" customFormat="false" ht="14.15" hidden="false" customHeight="true" outlineLevel="0" collapsed="false">
      <c r="A782" s="7" t="str">
        <f aca="false">TRIM(customer_churn_dataset!A782)</f>
        <v>CUST100934</v>
      </c>
      <c r="B782" s="7" t="str">
        <f aca="false">PROPER(TRIM(customer_churn_dataset!B782))</f>
        <v>Basic</v>
      </c>
      <c r="C782" s="7" t="str">
        <f aca="false">PROPER(TRIM(customer_churn_dataset!C782))</f>
        <v>Month-To-Month</v>
      </c>
      <c r="D782" s="7" t="n">
        <f aca="false">IF(ISBLANK(customer_churn_dataset!D782),ROUND(MEDIAN(customer_churn_dataset!D$2:D$1501),2),IF(customer_churn_dataset!D782&lt;0,ABS(customer_churn_dataset!D782),customer_churn_dataset!D782))</f>
        <v>11.03</v>
      </c>
      <c r="E782" s="7" t="n">
        <f aca="false">IF(ISBLANK(customer_churn_dataset!E782),0,MAX(0,customer_churn_dataset!E782))</f>
        <v>7</v>
      </c>
      <c r="F782" s="8" t="n">
        <f aca="false">IF(ISBLANK(customer_churn_dataset!F782),"",customer_churn_dataset!F782)</f>
        <v>44873</v>
      </c>
      <c r="G782" s="7" t="str">
        <f aca="false">PROPER(TRIM(customer_churn_dataset!G782))</f>
        <v>Credit Card</v>
      </c>
      <c r="H782" s="7" t="n">
        <f aca="false">IF(ISBLANK(customer_churn_dataset!H782),0,customer_churn_dataset!H782)</f>
        <v>1</v>
      </c>
      <c r="I782" s="7" t="n">
        <f aca="false">IF(ISBLANK(customer_churn_dataset!I782),ROUND(MEDIAN(customer_churn_dataset!I$2:I$1501),1),MIN(100,MAX(0,customer_churn_dataset!I782)))</f>
        <v>47.2</v>
      </c>
      <c r="J782" s="7" t="n">
        <f aca="false">IF(ISBLANK(customer_churn_dataset!J782),0,MAX(0,customer_churn_dataset!J782))</f>
        <v>10</v>
      </c>
      <c r="K782" s="7" t="n">
        <f aca="false">IF(ISBLANK(customer_churn_dataset!K782),0,MIN(10,MAX(0,customer_churn_dataset!K782)))</f>
        <v>3</v>
      </c>
      <c r="L782" s="7" t="n">
        <f aca="false">IF(ISBLANK(customer_churn_dataset!L782),0,MAX(0,customer_churn_dataset!L782))</f>
        <v>3</v>
      </c>
      <c r="M782" s="7" t="n">
        <f aca="false">IF(ISBLANK(customer_churn_dataset!M782),0,customer_churn_dataset!M782)</f>
        <v>1</v>
      </c>
      <c r="N782" s="7" t="n">
        <f aca="false">IF(ISBLANK(customer_churn_dataset!N782),0,MAX(0,customer_churn_dataset!N782))</f>
        <v>77.21</v>
      </c>
      <c r="O782" s="7" t="n">
        <f aca="false">IF(ISBLANK(customer_churn_dataset!O782),0,customer_churn_dataset!O782)</f>
        <v>0</v>
      </c>
      <c r="P782" s="7" t="str">
        <f aca="false">IF(COUNTIF(customer_churn_dataset!$A$2:$A$1501,customer_churn_dataset!A782)&gt;1,"Duplicate","Unique")</f>
        <v>Unique</v>
      </c>
    </row>
    <row r="783" customFormat="false" ht="14.15" hidden="false" customHeight="true" outlineLevel="0" collapsed="false">
      <c r="A783" s="7" t="str">
        <f aca="false">TRIM(customer_churn_dataset!A783)</f>
        <v>CUST100367</v>
      </c>
      <c r="B783" s="7" t="str">
        <f aca="false">PROPER(TRIM(customer_churn_dataset!B783))</f>
        <v>Premium</v>
      </c>
      <c r="C783" s="7" t="str">
        <f aca="false">PROPER(TRIM(customer_churn_dataset!C783))</f>
        <v>Month-To-Month</v>
      </c>
      <c r="D783" s="7" t="n">
        <f aca="false">IF(ISBLANK(customer_churn_dataset!D783),ROUND(MEDIAN(customer_churn_dataset!D$2:D$1501),2),IF(customer_churn_dataset!D783&lt;0,ABS(customer_churn_dataset!D783),customer_churn_dataset!D783))</f>
        <v>41.53</v>
      </c>
      <c r="E783" s="7" t="n">
        <f aca="false">IF(ISBLANK(customer_churn_dataset!E783),0,MAX(0,customer_churn_dataset!E783))</f>
        <v>11</v>
      </c>
      <c r="F783" s="8" t="n">
        <f aca="false">IF(ISBLANK(customer_churn_dataset!F783),"",customer_churn_dataset!F783)</f>
        <v>44875</v>
      </c>
      <c r="G783" s="7" t="str">
        <f aca="false">PROPER(TRIM(customer_churn_dataset!G783))</f>
        <v>Credit Card</v>
      </c>
      <c r="H783" s="7" t="n">
        <f aca="false">IF(ISBLANK(customer_churn_dataset!H783),0,customer_churn_dataset!H783)</f>
        <v>1</v>
      </c>
      <c r="I783" s="7" t="n">
        <f aca="false">IF(ISBLANK(customer_churn_dataset!I783),ROUND(MEDIAN(customer_churn_dataset!I$2:I$1501),1),MIN(100,MAX(0,customer_churn_dataset!I783)))</f>
        <v>51.1</v>
      </c>
      <c r="J783" s="7" t="n">
        <f aca="false">IF(ISBLANK(customer_churn_dataset!J783),0,MAX(0,customer_churn_dataset!J783))</f>
        <v>19</v>
      </c>
      <c r="K783" s="7" t="n">
        <f aca="false">IF(ISBLANK(customer_churn_dataset!K783),0,MIN(10,MAX(0,customer_churn_dataset!K783)))</f>
        <v>6</v>
      </c>
      <c r="L783" s="7" t="n">
        <f aca="false">IF(ISBLANK(customer_churn_dataset!L783),0,MAX(0,customer_churn_dataset!L783))</f>
        <v>0</v>
      </c>
      <c r="M783" s="7" t="n">
        <f aca="false">IF(ISBLANK(customer_churn_dataset!M783),0,customer_churn_dataset!M783)</f>
        <v>0</v>
      </c>
      <c r="N783" s="7" t="n">
        <f aca="false">IF(ISBLANK(customer_churn_dataset!N783),0,MAX(0,customer_churn_dataset!N783))</f>
        <v>456.83</v>
      </c>
      <c r="O783" s="7" t="n">
        <f aca="false">IF(ISBLANK(customer_churn_dataset!O783),0,customer_churn_dataset!O783)</f>
        <v>0</v>
      </c>
      <c r="P783" s="7" t="str">
        <f aca="false">IF(COUNTIF(customer_churn_dataset!$A$2:$A$1501,customer_churn_dataset!A783)&gt;1,"Duplicate","Unique")</f>
        <v>Unique</v>
      </c>
    </row>
    <row r="784" customFormat="false" ht="14.15" hidden="false" customHeight="true" outlineLevel="0" collapsed="false">
      <c r="A784" s="7" t="str">
        <f aca="false">TRIM(customer_churn_dataset!A784)</f>
        <v>CUST101321</v>
      </c>
      <c r="B784" s="7" t="str">
        <f aca="false">PROPER(TRIM(customer_churn_dataset!B784))</f>
        <v>Basic</v>
      </c>
      <c r="C784" s="7" t="str">
        <f aca="false">PROPER(TRIM(customer_churn_dataset!C784))</f>
        <v>Month-To-Month</v>
      </c>
      <c r="D784" s="7" t="n">
        <f aca="false">IF(ISBLANK(customer_churn_dataset!D784),ROUND(MEDIAN(customer_churn_dataset!D$2:D$1501),2),IF(customer_churn_dataset!D784&lt;0,ABS(customer_churn_dataset!D784),customer_churn_dataset!D784))</f>
        <v>11.71</v>
      </c>
      <c r="E784" s="7" t="n">
        <f aca="false">IF(ISBLANK(customer_churn_dataset!E784),0,MAX(0,customer_churn_dataset!E784))</f>
        <v>7</v>
      </c>
      <c r="F784" s="8" t="n">
        <f aca="false">IF(ISBLANK(customer_churn_dataset!F784),"",customer_churn_dataset!F784)</f>
        <v>44875</v>
      </c>
      <c r="G784" s="7" t="str">
        <f aca="false">PROPER(TRIM(customer_churn_dataset!G784))</f>
        <v>Credit Card</v>
      </c>
      <c r="H784" s="7" t="n">
        <f aca="false">IF(ISBLANK(customer_churn_dataset!H784),0,customer_churn_dataset!H784)</f>
        <v>0</v>
      </c>
      <c r="I784" s="7" t="n">
        <f aca="false">IF(ISBLANK(customer_churn_dataset!I784),ROUND(MEDIAN(customer_churn_dataset!I$2:I$1501),1),MIN(100,MAX(0,customer_churn_dataset!I784)))</f>
        <v>23.3</v>
      </c>
      <c r="J784" s="7" t="n">
        <f aca="false">IF(ISBLANK(customer_churn_dataset!J784),0,MAX(0,customer_churn_dataset!J784))</f>
        <v>13</v>
      </c>
      <c r="K784" s="7" t="n">
        <f aca="false">IF(ISBLANK(customer_churn_dataset!K784),0,MIN(10,MAX(0,customer_churn_dataset!K784)))</f>
        <v>3</v>
      </c>
      <c r="L784" s="7" t="n">
        <f aca="false">IF(ISBLANK(customer_churn_dataset!L784),0,MAX(0,customer_churn_dataset!L784))</f>
        <v>3</v>
      </c>
      <c r="M784" s="7" t="n">
        <f aca="false">IF(ISBLANK(customer_churn_dataset!M784),0,customer_churn_dataset!M784)</f>
        <v>1</v>
      </c>
      <c r="N784" s="7" t="n">
        <f aca="false">IF(ISBLANK(customer_churn_dataset!N784),0,MAX(0,customer_churn_dataset!N784))</f>
        <v>81.97</v>
      </c>
      <c r="O784" s="7" t="n">
        <f aca="false">IF(ISBLANK(customer_churn_dataset!O784),0,customer_churn_dataset!O784)</f>
        <v>0</v>
      </c>
      <c r="P784" s="7" t="str">
        <f aca="false">IF(COUNTIF(customer_churn_dataset!$A$2:$A$1501,customer_churn_dataset!A784)&gt;1,"Duplicate","Unique")</f>
        <v>Unique</v>
      </c>
    </row>
    <row r="785" customFormat="false" ht="14.15" hidden="false" customHeight="true" outlineLevel="0" collapsed="false">
      <c r="A785" s="7" t="str">
        <f aca="false">TRIM(customer_churn_dataset!A785)</f>
        <v>CUST100103</v>
      </c>
      <c r="B785" s="7" t="str">
        <f aca="false">PROPER(TRIM(customer_churn_dataset!B785))</f>
        <v>Standard</v>
      </c>
      <c r="C785" s="7" t="str">
        <f aca="false">PROPER(TRIM(customer_churn_dataset!C785))</f>
        <v>Month-To-Month</v>
      </c>
      <c r="D785" s="7" t="n">
        <f aca="false">IF(ISBLANK(customer_churn_dataset!D785),ROUND(MEDIAN(customer_churn_dataset!D$2:D$1501),2),IF(customer_churn_dataset!D785&lt;0,ABS(customer_churn_dataset!D785),customer_churn_dataset!D785))</f>
        <v>19.07</v>
      </c>
      <c r="E785" s="7" t="n">
        <f aca="false">IF(ISBLANK(customer_churn_dataset!E785),0,MAX(0,customer_churn_dataset!E785))</f>
        <v>12</v>
      </c>
      <c r="F785" s="8" t="n">
        <f aca="false">IF(ISBLANK(customer_churn_dataset!F785),"",customer_churn_dataset!F785)</f>
        <v>44882</v>
      </c>
      <c r="G785" s="7" t="str">
        <f aca="false">PROPER(TRIM(customer_churn_dataset!G785))</f>
        <v>Bank Transfer</v>
      </c>
      <c r="H785" s="7" t="n">
        <f aca="false">IF(ISBLANK(customer_churn_dataset!H785),0,customer_churn_dataset!H785)</f>
        <v>1</v>
      </c>
      <c r="I785" s="7" t="n">
        <f aca="false">IF(ISBLANK(customer_churn_dataset!I785),ROUND(MEDIAN(customer_churn_dataset!I$2:I$1501),1),MIN(100,MAX(0,customer_churn_dataset!I785)))</f>
        <v>77.6</v>
      </c>
      <c r="J785" s="7" t="n">
        <f aca="false">IF(ISBLANK(customer_churn_dataset!J785),0,MAX(0,customer_churn_dataset!J785))</f>
        <v>24</v>
      </c>
      <c r="K785" s="7" t="n">
        <f aca="false">IF(ISBLANK(customer_churn_dataset!K785),0,MIN(10,MAX(0,customer_churn_dataset!K785)))</f>
        <v>5</v>
      </c>
      <c r="L785" s="7" t="n">
        <f aca="false">IF(ISBLANK(customer_churn_dataset!L785),0,MAX(0,customer_churn_dataset!L785))</f>
        <v>3</v>
      </c>
      <c r="M785" s="7" t="n">
        <f aca="false">IF(ISBLANK(customer_churn_dataset!M785),0,customer_churn_dataset!M785)</f>
        <v>1</v>
      </c>
      <c r="N785" s="7" t="n">
        <f aca="false">IF(ISBLANK(customer_churn_dataset!N785),0,MAX(0,customer_churn_dataset!N785))</f>
        <v>228.84</v>
      </c>
      <c r="O785" s="7" t="n">
        <f aca="false">IF(ISBLANK(customer_churn_dataset!O785),0,customer_churn_dataset!O785)</f>
        <v>0</v>
      </c>
      <c r="P785" s="7" t="str">
        <f aca="false">IF(COUNTIF(customer_churn_dataset!$A$2:$A$1501,customer_churn_dataset!A785)&gt;1,"Duplicate","Unique")</f>
        <v>Unique</v>
      </c>
    </row>
    <row r="786" customFormat="false" ht="14.15" hidden="false" customHeight="true" outlineLevel="0" collapsed="false">
      <c r="A786" s="7" t="str">
        <f aca="false">TRIM(customer_churn_dataset!A786)</f>
        <v>CUST101401</v>
      </c>
      <c r="B786" s="7" t="str">
        <f aca="false">PROPER(TRIM(customer_churn_dataset!B786))</f>
        <v>Basic</v>
      </c>
      <c r="C786" s="7" t="str">
        <f aca="false">PROPER(TRIM(customer_churn_dataset!C786))</f>
        <v>Month-To-Month</v>
      </c>
      <c r="D786" s="7" t="n">
        <f aca="false">IF(ISBLANK(customer_churn_dataset!D786),ROUND(MEDIAN(customer_churn_dataset!D$2:D$1501),2),IF(customer_churn_dataset!D786&lt;0,ABS(customer_churn_dataset!D786),customer_churn_dataset!D786))</f>
        <v>10.08</v>
      </c>
      <c r="E786" s="7" t="n">
        <f aca="false">IF(ISBLANK(customer_churn_dataset!E786),0,MAX(0,customer_churn_dataset!E786))</f>
        <v>2</v>
      </c>
      <c r="F786" s="8" t="n">
        <f aca="false">IF(ISBLANK(customer_churn_dataset!F786),"",customer_churn_dataset!F786)</f>
        <v>44883</v>
      </c>
      <c r="G786" s="7" t="str">
        <f aca="false">PROPER(TRIM(customer_churn_dataset!G786))</f>
        <v>Credit Card</v>
      </c>
      <c r="H786" s="7" t="n">
        <f aca="false">IF(ISBLANK(customer_churn_dataset!H786),0,customer_churn_dataset!H786)</f>
        <v>1</v>
      </c>
      <c r="I786" s="7" t="n">
        <f aca="false">IF(ISBLANK(customer_churn_dataset!I786),ROUND(MEDIAN(customer_churn_dataset!I$2:I$1501),1),MIN(100,MAX(0,customer_churn_dataset!I786)))</f>
        <v>44.8</v>
      </c>
      <c r="J786" s="7" t="n">
        <f aca="false">IF(ISBLANK(customer_churn_dataset!J786),0,MAX(0,customer_churn_dataset!J786))</f>
        <v>18</v>
      </c>
      <c r="K786" s="7" t="n">
        <f aca="false">IF(ISBLANK(customer_churn_dataset!K786),0,MIN(10,MAX(0,customer_churn_dataset!K786)))</f>
        <v>3</v>
      </c>
      <c r="L786" s="7" t="n">
        <f aca="false">IF(ISBLANK(customer_churn_dataset!L786),0,MAX(0,customer_churn_dataset!L786))</f>
        <v>0</v>
      </c>
      <c r="M786" s="7" t="n">
        <f aca="false">IF(ISBLANK(customer_churn_dataset!M786),0,customer_churn_dataset!M786)</f>
        <v>0</v>
      </c>
      <c r="N786" s="7" t="n">
        <f aca="false">IF(ISBLANK(customer_churn_dataset!N786),0,MAX(0,customer_churn_dataset!N786))</f>
        <v>20.16</v>
      </c>
      <c r="O786" s="7" t="n">
        <f aca="false">IF(ISBLANK(customer_churn_dataset!O786),0,customer_churn_dataset!O786)</f>
        <v>0</v>
      </c>
      <c r="P786" s="7" t="str">
        <f aca="false">IF(COUNTIF(customer_churn_dataset!$A$2:$A$1501,customer_churn_dataset!A786)&gt;1,"Duplicate","Unique")</f>
        <v>Unique</v>
      </c>
    </row>
    <row r="787" customFormat="false" ht="14.15" hidden="false" customHeight="true" outlineLevel="0" collapsed="false">
      <c r="A787" s="7" t="str">
        <f aca="false">TRIM(customer_churn_dataset!A787)</f>
        <v>CUST101382</v>
      </c>
      <c r="B787" s="7" t="str">
        <f aca="false">PROPER(TRIM(customer_churn_dataset!B787))</f>
        <v>Premium</v>
      </c>
      <c r="C787" s="7" t="str">
        <f aca="false">PROPER(TRIM(customer_churn_dataset!C787))</f>
        <v>Month-To-Month</v>
      </c>
      <c r="D787" s="7" t="n">
        <f aca="false">IF(ISBLANK(customer_churn_dataset!D787),ROUND(MEDIAN(customer_churn_dataset!D$2:D$1501),2),IF(customer_churn_dataset!D787&lt;0,ABS(customer_churn_dataset!D787),customer_churn_dataset!D787))</f>
        <v>39.77</v>
      </c>
      <c r="E787" s="7" t="n">
        <f aca="false">IF(ISBLANK(customer_churn_dataset!E787),0,MAX(0,customer_churn_dataset!E787))</f>
        <v>28</v>
      </c>
      <c r="F787" s="8" t="n">
        <f aca="false">IF(ISBLANK(customer_churn_dataset!F787),"",customer_churn_dataset!F787)</f>
        <v>44883</v>
      </c>
      <c r="G787" s="7" t="str">
        <f aca="false">PROPER(TRIM(customer_churn_dataset!G787))</f>
        <v>Credit Card</v>
      </c>
      <c r="H787" s="7" t="n">
        <f aca="false">IF(ISBLANK(customer_churn_dataset!H787),0,customer_churn_dataset!H787)</f>
        <v>0</v>
      </c>
      <c r="I787" s="7" t="n">
        <f aca="false">IF(ISBLANK(customer_churn_dataset!I787),ROUND(MEDIAN(customer_churn_dataset!I$2:I$1501),1),MIN(100,MAX(0,customer_churn_dataset!I787)))</f>
        <v>54.4</v>
      </c>
      <c r="J787" s="7" t="n">
        <f aca="false">IF(ISBLANK(customer_churn_dataset!J787),0,MAX(0,customer_churn_dataset!J787))</f>
        <v>16</v>
      </c>
      <c r="K787" s="7" t="n">
        <f aca="false">IF(ISBLANK(customer_churn_dataset!K787),0,MIN(10,MAX(0,customer_churn_dataset!K787)))</f>
        <v>5</v>
      </c>
      <c r="L787" s="7" t="n">
        <f aca="false">IF(ISBLANK(customer_churn_dataset!L787),0,MAX(0,customer_churn_dataset!L787))</f>
        <v>0</v>
      </c>
      <c r="M787" s="7" t="n">
        <f aca="false">IF(ISBLANK(customer_churn_dataset!M787),0,customer_churn_dataset!M787)</f>
        <v>0</v>
      </c>
      <c r="N787" s="7" t="n">
        <f aca="false">IF(ISBLANK(customer_churn_dataset!N787),0,MAX(0,customer_churn_dataset!N787))</f>
        <v>1113.56</v>
      </c>
      <c r="O787" s="7" t="n">
        <f aca="false">IF(ISBLANK(customer_churn_dataset!O787),0,customer_churn_dataset!O787)</f>
        <v>0</v>
      </c>
      <c r="P787" s="7" t="str">
        <f aca="false">IF(COUNTIF(customer_churn_dataset!$A$2:$A$1501,customer_churn_dataset!A787)&gt;1,"Duplicate","Unique")</f>
        <v>Unique</v>
      </c>
    </row>
    <row r="788" customFormat="false" ht="14.15" hidden="false" customHeight="true" outlineLevel="0" collapsed="false">
      <c r="A788" s="7" t="str">
        <f aca="false">TRIM(customer_churn_dataset!A788)</f>
        <v>CUST101239</v>
      </c>
      <c r="B788" s="7" t="str">
        <f aca="false">PROPER(TRIM(customer_churn_dataset!B788))</f>
        <v>Basic</v>
      </c>
      <c r="C788" s="7" t="str">
        <f aca="false">PROPER(TRIM(customer_churn_dataset!C788))</f>
        <v>Two Year</v>
      </c>
      <c r="D788" s="7" t="n">
        <f aca="false">IF(ISBLANK(customer_churn_dataset!D788),ROUND(MEDIAN(customer_churn_dataset!D$2:D$1501),2),IF(customer_churn_dataset!D788&lt;0,ABS(customer_churn_dataset!D788),customer_churn_dataset!D788))</f>
        <v>10.06</v>
      </c>
      <c r="E788" s="7" t="n">
        <f aca="false">IF(ISBLANK(customer_churn_dataset!E788),0,MAX(0,customer_churn_dataset!E788))</f>
        <v>4</v>
      </c>
      <c r="F788" s="8" t="n">
        <f aca="false">IF(ISBLANK(customer_churn_dataset!F788),"",customer_churn_dataset!F788)</f>
        <v>44884</v>
      </c>
      <c r="G788" s="7" t="str">
        <f aca="false">PROPER(TRIM(customer_churn_dataset!G788))</f>
        <v>Paypal</v>
      </c>
      <c r="H788" s="7" t="n">
        <f aca="false">IF(ISBLANK(customer_churn_dataset!H788),0,customer_churn_dataset!H788)</f>
        <v>1</v>
      </c>
      <c r="I788" s="7" t="n">
        <f aca="false">IF(ISBLANK(customer_churn_dataset!I788),ROUND(MEDIAN(customer_churn_dataset!I$2:I$1501),1),MIN(100,MAX(0,customer_churn_dataset!I788)))</f>
        <v>67.6</v>
      </c>
      <c r="J788" s="7" t="n">
        <f aca="false">IF(ISBLANK(customer_churn_dataset!J788),0,MAX(0,customer_churn_dataset!J788))</f>
        <v>20</v>
      </c>
      <c r="K788" s="7" t="n">
        <f aca="false">IF(ISBLANK(customer_churn_dataset!K788),0,MIN(10,MAX(0,customer_churn_dataset!K788)))</f>
        <v>6</v>
      </c>
      <c r="L788" s="7" t="n">
        <f aca="false">IF(ISBLANK(customer_churn_dataset!L788),0,MAX(0,customer_churn_dataset!L788))</f>
        <v>2</v>
      </c>
      <c r="M788" s="7" t="n">
        <f aca="false">IF(ISBLANK(customer_churn_dataset!M788),0,customer_churn_dataset!M788)</f>
        <v>1</v>
      </c>
      <c r="N788" s="7" t="n">
        <f aca="false">IF(ISBLANK(customer_churn_dataset!N788),0,MAX(0,customer_churn_dataset!N788))</f>
        <v>40.24</v>
      </c>
      <c r="O788" s="7" t="n">
        <f aca="false">IF(ISBLANK(customer_churn_dataset!O788),0,customer_churn_dataset!O788)</f>
        <v>0</v>
      </c>
      <c r="P788" s="7" t="str">
        <f aca="false">IF(COUNTIF(customer_churn_dataset!$A$2:$A$1501,customer_churn_dataset!A788)&gt;1,"Duplicate","Unique")</f>
        <v>Unique</v>
      </c>
    </row>
    <row r="789" customFormat="false" ht="14.15" hidden="false" customHeight="true" outlineLevel="0" collapsed="false">
      <c r="A789" s="7" t="str">
        <f aca="false">TRIM(customer_churn_dataset!A789)</f>
        <v>CUST101457</v>
      </c>
      <c r="B789" s="7" t="str">
        <f aca="false">PROPER(TRIM(customer_churn_dataset!B789))</f>
        <v>Standard</v>
      </c>
      <c r="C789" s="7" t="str">
        <f aca="false">PROPER(TRIM(customer_churn_dataset!C789))</f>
        <v>Month-To-Month</v>
      </c>
      <c r="D789" s="7" t="n">
        <f aca="false">IF(ISBLANK(customer_churn_dataset!D789),ROUND(MEDIAN(customer_churn_dataset!D$2:D$1501),2),IF(customer_churn_dataset!D789&lt;0,ABS(customer_churn_dataset!D789),customer_churn_dataset!D789))</f>
        <v>20.07</v>
      </c>
      <c r="E789" s="7" t="n">
        <f aca="false">IF(ISBLANK(customer_churn_dataset!E789),0,MAX(0,customer_churn_dataset!E789))</f>
        <v>9</v>
      </c>
      <c r="F789" s="8" t="n">
        <f aca="false">IF(ISBLANK(customer_churn_dataset!F789),"",customer_churn_dataset!F789)</f>
        <v>44886</v>
      </c>
      <c r="G789" s="7" t="str">
        <f aca="false">PROPER(TRIM(customer_churn_dataset!G789))</f>
        <v>Bank Transfer</v>
      </c>
      <c r="H789" s="7" t="n">
        <f aca="false">IF(ISBLANK(customer_churn_dataset!H789),0,customer_churn_dataset!H789)</f>
        <v>0</v>
      </c>
      <c r="I789" s="7" t="n">
        <f aca="false">IF(ISBLANK(customer_churn_dataset!I789),ROUND(MEDIAN(customer_churn_dataset!I$2:I$1501),1),MIN(100,MAX(0,customer_churn_dataset!I789)))</f>
        <v>12.3</v>
      </c>
      <c r="J789" s="7" t="n">
        <f aca="false">IF(ISBLANK(customer_churn_dataset!J789),0,MAX(0,customer_churn_dataset!J789))</f>
        <v>6</v>
      </c>
      <c r="K789" s="7" t="n">
        <f aca="false">IF(ISBLANK(customer_churn_dataset!K789),0,MIN(10,MAX(0,customer_churn_dataset!K789)))</f>
        <v>0</v>
      </c>
      <c r="L789" s="7" t="n">
        <f aca="false">IF(ISBLANK(customer_churn_dataset!L789),0,MAX(0,customer_churn_dataset!L789))</f>
        <v>3</v>
      </c>
      <c r="M789" s="7" t="n">
        <f aca="false">IF(ISBLANK(customer_churn_dataset!M789),0,customer_churn_dataset!M789)</f>
        <v>1</v>
      </c>
      <c r="N789" s="7" t="n">
        <f aca="false">IF(ISBLANK(customer_churn_dataset!N789),0,MAX(0,customer_churn_dataset!N789))</f>
        <v>180.63</v>
      </c>
      <c r="O789" s="7" t="n">
        <f aca="false">IF(ISBLANK(customer_churn_dataset!O789),0,customer_churn_dataset!O789)</f>
        <v>1</v>
      </c>
      <c r="P789" s="7" t="str">
        <f aca="false">IF(COUNTIF(customer_churn_dataset!$A$2:$A$1501,customer_churn_dataset!A789)&gt;1,"Duplicate","Unique")</f>
        <v>Unique</v>
      </c>
    </row>
    <row r="790" customFormat="false" ht="14.15" hidden="false" customHeight="true" outlineLevel="0" collapsed="false">
      <c r="A790" s="7" t="str">
        <f aca="false">TRIM(customer_churn_dataset!A790)</f>
        <v>CUST100442</v>
      </c>
      <c r="B790" s="7" t="str">
        <f aca="false">PROPER(TRIM(customer_churn_dataset!B790))</f>
        <v>Basic</v>
      </c>
      <c r="C790" s="7" t="str">
        <f aca="false">PROPER(TRIM(customer_churn_dataset!C790))</f>
        <v>Month-To-Month</v>
      </c>
      <c r="D790" s="7" t="n">
        <f aca="false">IF(ISBLANK(customer_churn_dataset!D790),ROUND(MEDIAN(customer_churn_dataset!D$2:D$1501),2),IF(customer_churn_dataset!D790&lt;0,ABS(customer_churn_dataset!D790),customer_churn_dataset!D790))</f>
        <v>9.34</v>
      </c>
      <c r="E790" s="7" t="n">
        <f aca="false">IF(ISBLANK(customer_churn_dataset!E790),0,MAX(0,customer_churn_dataset!E790))</f>
        <v>48</v>
      </c>
      <c r="F790" s="8" t="n">
        <f aca="false">IF(ISBLANK(customer_churn_dataset!F790),"",customer_churn_dataset!F790)</f>
        <v>44886</v>
      </c>
      <c r="G790" s="7" t="str">
        <f aca="false">PROPER(TRIM(customer_churn_dataset!G790))</f>
        <v>Credit Card</v>
      </c>
      <c r="H790" s="7" t="n">
        <f aca="false">IF(ISBLANK(customer_churn_dataset!H790),0,customer_churn_dataset!H790)</f>
        <v>1</v>
      </c>
      <c r="I790" s="7" t="n">
        <f aca="false">IF(ISBLANK(customer_churn_dataset!I790),ROUND(MEDIAN(customer_churn_dataset!I$2:I$1501),1),MIN(100,MAX(0,customer_churn_dataset!I790)))</f>
        <v>37.9</v>
      </c>
      <c r="J790" s="7" t="n">
        <f aca="false">IF(ISBLANK(customer_churn_dataset!J790),0,MAX(0,customer_churn_dataset!J790))</f>
        <v>6</v>
      </c>
      <c r="K790" s="7" t="n">
        <f aca="false">IF(ISBLANK(customer_churn_dataset!K790),0,MIN(10,MAX(0,customer_churn_dataset!K790)))</f>
        <v>4</v>
      </c>
      <c r="L790" s="7" t="n">
        <f aca="false">IF(ISBLANK(customer_churn_dataset!L790),0,MAX(0,customer_churn_dataset!L790))</f>
        <v>1</v>
      </c>
      <c r="M790" s="7" t="n">
        <f aca="false">IF(ISBLANK(customer_churn_dataset!M790),0,customer_churn_dataset!M790)</f>
        <v>1</v>
      </c>
      <c r="N790" s="7" t="n">
        <f aca="false">IF(ISBLANK(customer_churn_dataset!N790),0,MAX(0,customer_churn_dataset!N790))</f>
        <v>448.32</v>
      </c>
      <c r="O790" s="7" t="n">
        <f aca="false">IF(ISBLANK(customer_churn_dataset!O790),0,customer_churn_dataset!O790)</f>
        <v>1</v>
      </c>
      <c r="P790" s="7" t="str">
        <f aca="false">IF(COUNTIF(customer_churn_dataset!$A$2:$A$1501,customer_churn_dataset!A790)&gt;1,"Duplicate","Unique")</f>
        <v>Unique</v>
      </c>
    </row>
    <row r="791" customFormat="false" ht="14.15" hidden="false" customHeight="true" outlineLevel="0" collapsed="false">
      <c r="A791" s="7" t="str">
        <f aca="false">TRIM(customer_churn_dataset!A791)</f>
        <v>CUST101214</v>
      </c>
      <c r="B791" s="7" t="str">
        <f aca="false">PROPER(TRIM(customer_churn_dataset!B791))</f>
        <v>Standard</v>
      </c>
      <c r="C791" s="7" t="str">
        <f aca="false">PROPER(TRIM(customer_churn_dataset!C791))</f>
        <v>Two Year</v>
      </c>
      <c r="D791" s="7" t="n">
        <f aca="false">IF(ISBLANK(customer_churn_dataset!D791),ROUND(MEDIAN(customer_churn_dataset!D$2:D$1501),2),IF(customer_churn_dataset!D791&lt;0,ABS(customer_churn_dataset!D791),customer_churn_dataset!D791))</f>
        <v>21.11</v>
      </c>
      <c r="E791" s="7" t="n">
        <f aca="false">IF(ISBLANK(customer_churn_dataset!E791),0,MAX(0,customer_churn_dataset!E791))</f>
        <v>13</v>
      </c>
      <c r="F791" s="8" t="n">
        <f aca="false">IF(ISBLANK(customer_churn_dataset!F791),"",customer_churn_dataset!F791)</f>
        <v>44887</v>
      </c>
      <c r="G791" s="7" t="str">
        <f aca="false">PROPER(TRIM(customer_churn_dataset!G791))</f>
        <v>Paypal</v>
      </c>
      <c r="H791" s="7" t="n">
        <f aca="false">IF(ISBLANK(customer_churn_dataset!H791),0,customer_churn_dataset!H791)</f>
        <v>0</v>
      </c>
      <c r="I791" s="7" t="n">
        <f aca="false">IF(ISBLANK(customer_churn_dataset!I791),ROUND(MEDIAN(customer_churn_dataset!I$2:I$1501),1),MIN(100,MAX(0,customer_churn_dataset!I791)))</f>
        <v>100</v>
      </c>
      <c r="J791" s="7" t="n">
        <f aca="false">IF(ISBLANK(customer_churn_dataset!J791),0,MAX(0,customer_churn_dataset!J791))</f>
        <v>29</v>
      </c>
      <c r="K791" s="7" t="n">
        <f aca="false">IF(ISBLANK(customer_churn_dataset!K791),0,MIN(10,MAX(0,customer_churn_dataset!K791)))</f>
        <v>10</v>
      </c>
      <c r="L791" s="7" t="n">
        <f aca="false">IF(ISBLANK(customer_churn_dataset!L791),0,MAX(0,customer_churn_dataset!L791))</f>
        <v>0</v>
      </c>
      <c r="M791" s="7" t="n">
        <f aca="false">IF(ISBLANK(customer_churn_dataset!M791),0,customer_churn_dataset!M791)</f>
        <v>0</v>
      </c>
      <c r="N791" s="7" t="n">
        <f aca="false">IF(ISBLANK(customer_churn_dataset!N791),0,MAX(0,customer_churn_dataset!N791))</f>
        <v>274.43</v>
      </c>
      <c r="O791" s="7" t="n">
        <f aca="false">IF(ISBLANK(customer_churn_dataset!O791),0,customer_churn_dataset!O791)</f>
        <v>0</v>
      </c>
      <c r="P791" s="7" t="str">
        <f aca="false">IF(COUNTIF(customer_churn_dataset!$A$2:$A$1501,customer_churn_dataset!A791)&gt;1,"Duplicate","Unique")</f>
        <v>Unique</v>
      </c>
    </row>
    <row r="792" customFormat="false" ht="14.15" hidden="false" customHeight="true" outlineLevel="0" collapsed="false">
      <c r="A792" s="7" t="str">
        <f aca="false">TRIM(customer_churn_dataset!A792)</f>
        <v>CUST100443</v>
      </c>
      <c r="B792" s="7" t="str">
        <f aca="false">PROPER(TRIM(customer_churn_dataset!B792))</f>
        <v>Basic</v>
      </c>
      <c r="C792" s="7" t="str">
        <f aca="false">PROPER(TRIM(customer_churn_dataset!C792))</f>
        <v>Month-To-Month</v>
      </c>
      <c r="D792" s="7" t="n">
        <f aca="false">IF(ISBLANK(customer_churn_dataset!D792),ROUND(MEDIAN(customer_churn_dataset!D$2:D$1501),2),IF(customer_churn_dataset!D792&lt;0,ABS(customer_churn_dataset!D792),customer_churn_dataset!D792))</f>
        <v>9.19</v>
      </c>
      <c r="E792" s="7" t="n">
        <f aca="false">IF(ISBLANK(customer_churn_dataset!E792),0,MAX(0,customer_churn_dataset!E792))</f>
        <v>49</v>
      </c>
      <c r="F792" s="8" t="n">
        <f aca="false">IF(ISBLANK(customer_churn_dataset!F792),"",customer_churn_dataset!F792)</f>
        <v>44887</v>
      </c>
      <c r="G792" s="7" t="str">
        <f aca="false">PROPER(TRIM(customer_churn_dataset!G792))</f>
        <v>Credit Card</v>
      </c>
      <c r="H792" s="7" t="n">
        <f aca="false">IF(ISBLANK(customer_churn_dataset!H792),0,customer_churn_dataset!H792)</f>
        <v>1</v>
      </c>
      <c r="I792" s="7" t="n">
        <f aca="false">IF(ISBLANK(customer_churn_dataset!I792),ROUND(MEDIAN(customer_churn_dataset!I$2:I$1501),1),MIN(100,MAX(0,customer_churn_dataset!I792)))</f>
        <v>41.6</v>
      </c>
      <c r="J792" s="7" t="n">
        <f aca="false">IF(ISBLANK(customer_churn_dataset!J792),0,MAX(0,customer_churn_dataset!J792))</f>
        <v>11</v>
      </c>
      <c r="K792" s="7" t="n">
        <f aca="false">IF(ISBLANK(customer_churn_dataset!K792),0,MIN(10,MAX(0,customer_churn_dataset!K792)))</f>
        <v>4</v>
      </c>
      <c r="L792" s="7" t="n">
        <f aca="false">IF(ISBLANK(customer_churn_dataset!L792),0,MAX(0,customer_churn_dataset!L792))</f>
        <v>4</v>
      </c>
      <c r="M792" s="7" t="n">
        <f aca="false">IF(ISBLANK(customer_churn_dataset!M792),0,customer_churn_dataset!M792)</f>
        <v>1</v>
      </c>
      <c r="N792" s="7" t="n">
        <f aca="false">IF(ISBLANK(customer_churn_dataset!N792),0,MAX(0,customer_churn_dataset!N792))</f>
        <v>450.31</v>
      </c>
      <c r="O792" s="7" t="n">
        <f aca="false">IF(ISBLANK(customer_churn_dataset!O792),0,customer_churn_dataset!O792)</f>
        <v>0</v>
      </c>
      <c r="P792" s="7" t="str">
        <f aca="false">IF(COUNTIF(customer_churn_dataset!$A$2:$A$1501,customer_churn_dataset!A792)&gt;1,"Duplicate","Unique")</f>
        <v>Unique</v>
      </c>
    </row>
    <row r="793" customFormat="false" ht="14.15" hidden="false" customHeight="true" outlineLevel="0" collapsed="false">
      <c r="A793" s="7" t="str">
        <f aca="false">TRIM(customer_churn_dataset!A793)</f>
        <v>CUST101348</v>
      </c>
      <c r="B793" s="7" t="str">
        <f aca="false">PROPER(TRIM(customer_churn_dataset!B793))</f>
        <v>Premium</v>
      </c>
      <c r="C793" s="7" t="str">
        <f aca="false">PROPER(TRIM(customer_churn_dataset!C793))</f>
        <v>Month-To-Month</v>
      </c>
      <c r="D793" s="7" t="n">
        <f aca="false">IF(ISBLANK(customer_churn_dataset!D793),ROUND(MEDIAN(customer_churn_dataset!D$2:D$1501),2),IF(customer_churn_dataset!D793&lt;0,ABS(customer_churn_dataset!D793),customer_churn_dataset!D793))</f>
        <v>38.64</v>
      </c>
      <c r="E793" s="7" t="n">
        <f aca="false">IF(ISBLANK(customer_churn_dataset!E793),0,MAX(0,customer_churn_dataset!E793))</f>
        <v>32</v>
      </c>
      <c r="F793" s="8" t="n">
        <f aca="false">IF(ISBLANK(customer_churn_dataset!F793),"",customer_churn_dataset!F793)</f>
        <v>44888</v>
      </c>
      <c r="G793" s="7" t="str">
        <f aca="false">PROPER(TRIM(customer_churn_dataset!G793))</f>
        <v>Credit Card</v>
      </c>
      <c r="H793" s="7" t="n">
        <f aca="false">IF(ISBLANK(customer_churn_dataset!H793),0,customer_churn_dataset!H793)</f>
        <v>0</v>
      </c>
      <c r="I793" s="7" t="n">
        <f aca="false">IF(ISBLANK(customer_churn_dataset!I793),ROUND(MEDIAN(customer_churn_dataset!I$2:I$1501),1),MIN(100,MAX(0,customer_churn_dataset!I793)))</f>
        <v>69.8</v>
      </c>
      <c r="J793" s="7" t="n">
        <f aca="false">IF(ISBLANK(customer_churn_dataset!J793),0,MAX(0,customer_churn_dataset!J793))</f>
        <v>20</v>
      </c>
      <c r="K793" s="7" t="n">
        <f aca="false">IF(ISBLANK(customer_churn_dataset!K793),0,MIN(10,MAX(0,customer_churn_dataset!K793)))</f>
        <v>6</v>
      </c>
      <c r="L793" s="7" t="n">
        <f aca="false">IF(ISBLANK(customer_churn_dataset!L793),0,MAX(0,customer_churn_dataset!L793))</f>
        <v>0</v>
      </c>
      <c r="M793" s="7" t="n">
        <f aca="false">IF(ISBLANK(customer_churn_dataset!M793),0,customer_churn_dataset!M793)</f>
        <v>0</v>
      </c>
      <c r="N793" s="7" t="n">
        <f aca="false">IF(ISBLANK(customer_churn_dataset!N793),0,MAX(0,customer_churn_dataset!N793))</f>
        <v>1236.48</v>
      </c>
      <c r="O793" s="7" t="n">
        <f aca="false">IF(ISBLANK(customer_churn_dataset!O793),0,customer_churn_dataset!O793)</f>
        <v>0</v>
      </c>
      <c r="P793" s="7" t="str">
        <f aca="false">IF(COUNTIF(customer_churn_dataset!$A$2:$A$1501,customer_churn_dataset!A793)&gt;1,"Duplicate","Unique")</f>
        <v>Unique</v>
      </c>
    </row>
    <row r="794" customFormat="false" ht="14.15" hidden="false" customHeight="true" outlineLevel="0" collapsed="false">
      <c r="A794" s="7" t="str">
        <f aca="false">TRIM(customer_churn_dataset!A794)</f>
        <v>CUST100660</v>
      </c>
      <c r="B794" s="7" t="str">
        <f aca="false">PROPER(TRIM(customer_churn_dataset!B794))</f>
        <v>Basic</v>
      </c>
      <c r="C794" s="7" t="str">
        <f aca="false">PROPER(TRIM(customer_churn_dataset!C794))</f>
        <v>Month-To-Month</v>
      </c>
      <c r="D794" s="7" t="n">
        <f aca="false">IF(ISBLANK(customer_churn_dataset!D794),ROUND(MEDIAN(customer_churn_dataset!D$2:D$1501),2),IF(customer_churn_dataset!D794&lt;0,ABS(customer_churn_dataset!D794),customer_churn_dataset!D794))</f>
        <v>9.86</v>
      </c>
      <c r="E794" s="7" t="n">
        <f aca="false">IF(ISBLANK(customer_churn_dataset!E794),0,MAX(0,customer_churn_dataset!E794))</f>
        <v>22</v>
      </c>
      <c r="F794" s="8" t="n">
        <f aca="false">IF(ISBLANK(customer_churn_dataset!F794),"",customer_churn_dataset!F794)</f>
        <v>44890</v>
      </c>
      <c r="G794" s="7" t="str">
        <f aca="false">PROPER(TRIM(customer_churn_dataset!G794))</f>
        <v>Credit Card</v>
      </c>
      <c r="H794" s="7" t="n">
        <f aca="false">IF(ISBLANK(customer_churn_dataset!H794),0,customer_churn_dataset!H794)</f>
        <v>1</v>
      </c>
      <c r="I794" s="7" t="n">
        <f aca="false">IF(ISBLANK(customer_churn_dataset!I794),ROUND(MEDIAN(customer_churn_dataset!I$2:I$1501),1),MIN(100,MAX(0,customer_churn_dataset!I794)))</f>
        <v>38.5</v>
      </c>
      <c r="J794" s="7" t="n">
        <f aca="false">IF(ISBLANK(customer_churn_dataset!J794),0,MAX(0,customer_churn_dataset!J794))</f>
        <v>14</v>
      </c>
      <c r="K794" s="7" t="n">
        <f aca="false">IF(ISBLANK(customer_churn_dataset!K794),0,MIN(10,MAX(0,customer_churn_dataset!K794)))</f>
        <v>5</v>
      </c>
      <c r="L794" s="7" t="n">
        <f aca="false">IF(ISBLANK(customer_churn_dataset!L794),0,MAX(0,customer_churn_dataset!L794))</f>
        <v>4</v>
      </c>
      <c r="M794" s="7" t="n">
        <f aca="false">IF(ISBLANK(customer_churn_dataset!M794),0,customer_churn_dataset!M794)</f>
        <v>0</v>
      </c>
      <c r="N794" s="7" t="n">
        <f aca="false">IF(ISBLANK(customer_churn_dataset!N794),0,MAX(0,customer_churn_dataset!N794))</f>
        <v>216.92</v>
      </c>
      <c r="O794" s="7" t="n">
        <f aca="false">IF(ISBLANK(customer_churn_dataset!O794),0,customer_churn_dataset!O794)</f>
        <v>0</v>
      </c>
      <c r="P794" s="7" t="str">
        <f aca="false">IF(COUNTIF(customer_churn_dataset!$A$2:$A$1501,customer_churn_dataset!A794)&gt;1,"Duplicate","Unique")</f>
        <v>Unique</v>
      </c>
    </row>
    <row r="795" customFormat="false" ht="14.15" hidden="false" customHeight="true" outlineLevel="0" collapsed="false">
      <c r="A795" s="7" t="str">
        <f aca="false">TRIM(customer_churn_dataset!A795)</f>
        <v>CUST100501</v>
      </c>
      <c r="B795" s="7" t="str">
        <f aca="false">PROPER(TRIM(customer_churn_dataset!B795))</f>
        <v>Standard</v>
      </c>
      <c r="C795" s="7" t="str">
        <f aca="false">PROPER(TRIM(customer_churn_dataset!C795))</f>
        <v>One Year</v>
      </c>
      <c r="D795" s="7" t="n">
        <f aca="false">IF(ISBLANK(customer_churn_dataset!D795),ROUND(MEDIAN(customer_churn_dataset!D$2:D$1501),2),IF(customer_churn_dataset!D795&lt;0,ABS(customer_churn_dataset!D795),customer_churn_dataset!D795))</f>
        <v>19.87</v>
      </c>
      <c r="E795" s="7" t="n">
        <f aca="false">IF(ISBLANK(customer_churn_dataset!E795),0,MAX(0,customer_churn_dataset!E795))</f>
        <v>10</v>
      </c>
      <c r="F795" s="8" t="n">
        <f aca="false">IF(ISBLANK(customer_churn_dataset!F795),"",customer_churn_dataset!F795)</f>
        <v>44891</v>
      </c>
      <c r="G795" s="7" t="str">
        <f aca="false">PROPER(TRIM(customer_churn_dataset!G795))</f>
        <v>Credit Card</v>
      </c>
      <c r="H795" s="7" t="n">
        <f aca="false">IF(ISBLANK(customer_churn_dataset!H795),0,customer_churn_dataset!H795)</f>
        <v>1</v>
      </c>
      <c r="I795" s="7" t="n">
        <f aca="false">IF(ISBLANK(customer_churn_dataset!I795),ROUND(MEDIAN(customer_churn_dataset!I$2:I$1501),1),MIN(100,MAX(0,customer_churn_dataset!I795)))</f>
        <v>52.1</v>
      </c>
      <c r="J795" s="7" t="n">
        <f aca="false">IF(ISBLANK(customer_churn_dataset!J795),0,MAX(0,customer_churn_dataset!J795))</f>
        <v>21</v>
      </c>
      <c r="K795" s="7" t="n">
        <f aca="false">IF(ISBLANK(customer_churn_dataset!K795),0,MIN(10,MAX(0,customer_churn_dataset!K795)))</f>
        <v>6</v>
      </c>
      <c r="L795" s="7" t="n">
        <f aca="false">IF(ISBLANK(customer_churn_dataset!L795),0,MAX(0,customer_churn_dataset!L795))</f>
        <v>2</v>
      </c>
      <c r="M795" s="7" t="n">
        <f aca="false">IF(ISBLANK(customer_churn_dataset!M795),0,customer_churn_dataset!M795)</f>
        <v>0</v>
      </c>
      <c r="N795" s="7" t="n">
        <f aca="false">IF(ISBLANK(customer_churn_dataset!N795),0,MAX(0,customer_churn_dataset!N795))</f>
        <v>198.7</v>
      </c>
      <c r="O795" s="7" t="n">
        <f aca="false">IF(ISBLANK(customer_churn_dataset!O795),0,customer_churn_dataset!O795)</f>
        <v>0</v>
      </c>
      <c r="P795" s="7" t="str">
        <f aca="false">IF(COUNTIF(customer_churn_dataset!$A$2:$A$1501,customer_churn_dataset!A795)&gt;1,"Duplicate","Unique")</f>
        <v>Unique</v>
      </c>
    </row>
    <row r="796" customFormat="false" ht="14.15" hidden="false" customHeight="true" outlineLevel="0" collapsed="false">
      <c r="A796" s="7" t="str">
        <f aca="false">TRIM(customer_churn_dataset!A796)</f>
        <v>CUST100580</v>
      </c>
      <c r="B796" s="7" t="str">
        <f aca="false">PROPER(TRIM(customer_churn_dataset!B796))</f>
        <v>Standard</v>
      </c>
      <c r="C796" s="7" t="str">
        <f aca="false">PROPER(TRIM(customer_churn_dataset!C796))</f>
        <v>One Year</v>
      </c>
      <c r="D796" s="7" t="n">
        <f aca="false">IF(ISBLANK(customer_churn_dataset!D796),ROUND(MEDIAN(customer_churn_dataset!D$2:D$1501),2),IF(customer_churn_dataset!D796&lt;0,ABS(customer_churn_dataset!D796),customer_churn_dataset!D796))</f>
        <v>19.89</v>
      </c>
      <c r="E796" s="7" t="n">
        <f aca="false">IF(ISBLANK(customer_churn_dataset!E796),0,MAX(0,customer_churn_dataset!E796))</f>
        <v>9</v>
      </c>
      <c r="F796" s="8" t="n">
        <f aca="false">IF(ISBLANK(customer_churn_dataset!F796),"",customer_churn_dataset!F796)</f>
        <v>44892</v>
      </c>
      <c r="G796" s="7" t="str">
        <f aca="false">PROPER(TRIM(customer_churn_dataset!G796))</f>
        <v>Credit Card</v>
      </c>
      <c r="H796" s="7" t="n">
        <f aca="false">IF(ISBLANK(customer_churn_dataset!H796),0,customer_churn_dataset!H796)</f>
        <v>1</v>
      </c>
      <c r="I796" s="7" t="n">
        <f aca="false">IF(ISBLANK(customer_churn_dataset!I796),ROUND(MEDIAN(customer_churn_dataset!I$2:I$1501),1),MIN(100,MAX(0,customer_churn_dataset!I796)))</f>
        <v>79</v>
      </c>
      <c r="J796" s="7" t="n">
        <f aca="false">IF(ISBLANK(customer_churn_dataset!J796),0,MAX(0,customer_churn_dataset!J796))</f>
        <v>22</v>
      </c>
      <c r="K796" s="7" t="n">
        <f aca="false">IF(ISBLANK(customer_churn_dataset!K796),0,MIN(10,MAX(0,customer_churn_dataset!K796)))</f>
        <v>7</v>
      </c>
      <c r="L796" s="7" t="n">
        <f aca="false">IF(ISBLANK(customer_churn_dataset!L796),0,MAX(0,customer_churn_dataset!L796))</f>
        <v>1</v>
      </c>
      <c r="M796" s="7" t="n">
        <f aca="false">IF(ISBLANK(customer_churn_dataset!M796),0,customer_churn_dataset!M796)</f>
        <v>0</v>
      </c>
      <c r="N796" s="7" t="n">
        <f aca="false">IF(ISBLANK(customer_churn_dataset!N796),0,MAX(0,customer_churn_dataset!N796))</f>
        <v>179.01</v>
      </c>
      <c r="O796" s="7" t="n">
        <f aca="false">IF(ISBLANK(customer_churn_dataset!O796),0,customer_churn_dataset!O796)</f>
        <v>0</v>
      </c>
      <c r="P796" s="7" t="str">
        <f aca="false">IF(COUNTIF(customer_churn_dataset!$A$2:$A$1501,customer_churn_dataset!A796)&gt;1,"Duplicate","Unique")</f>
        <v>Unique</v>
      </c>
    </row>
    <row r="797" customFormat="false" ht="14.15" hidden="false" customHeight="true" outlineLevel="0" collapsed="false">
      <c r="A797" s="7" t="str">
        <f aca="false">TRIM(customer_churn_dataset!A797)</f>
        <v>CUST100927</v>
      </c>
      <c r="B797" s="7" t="str">
        <f aca="false">PROPER(TRIM(customer_churn_dataset!B797))</f>
        <v>Standard</v>
      </c>
      <c r="C797" s="7" t="str">
        <f aca="false">PROPER(TRIM(customer_churn_dataset!C797))</f>
        <v>Two Year</v>
      </c>
      <c r="D797" s="7" t="n">
        <f aca="false">IF(ISBLANK(customer_churn_dataset!D797),ROUND(MEDIAN(customer_churn_dataset!D$2:D$1501),2),IF(customer_churn_dataset!D797&lt;0,ABS(customer_churn_dataset!D797),customer_churn_dataset!D797))</f>
        <v>19.84</v>
      </c>
      <c r="E797" s="7" t="n">
        <f aca="false">IF(ISBLANK(customer_churn_dataset!E797),0,MAX(0,customer_churn_dataset!E797))</f>
        <v>54</v>
      </c>
      <c r="F797" s="8" t="n">
        <f aca="false">IF(ISBLANK(customer_churn_dataset!F797),"",customer_churn_dataset!F797)</f>
        <v>44893</v>
      </c>
      <c r="G797" s="7" t="str">
        <f aca="false">PROPER(TRIM(customer_churn_dataset!G797))</f>
        <v>Paypal</v>
      </c>
      <c r="H797" s="7" t="n">
        <f aca="false">IF(ISBLANK(customer_churn_dataset!H797),0,customer_churn_dataset!H797)</f>
        <v>1</v>
      </c>
      <c r="I797" s="7" t="n">
        <f aca="false">IF(ISBLANK(customer_churn_dataset!I797),ROUND(MEDIAN(customer_churn_dataset!I$2:I$1501),1),MIN(100,MAX(0,customer_churn_dataset!I797)))</f>
        <v>67.5</v>
      </c>
      <c r="J797" s="7" t="n">
        <f aca="false">IF(ISBLANK(customer_churn_dataset!J797),0,MAX(0,customer_churn_dataset!J797))</f>
        <v>24</v>
      </c>
      <c r="K797" s="7" t="n">
        <f aca="false">IF(ISBLANK(customer_churn_dataset!K797),0,MIN(10,MAX(0,customer_churn_dataset!K797)))</f>
        <v>3</v>
      </c>
      <c r="L797" s="7" t="n">
        <f aca="false">IF(ISBLANK(customer_churn_dataset!L797),0,MAX(0,customer_churn_dataset!L797))</f>
        <v>0</v>
      </c>
      <c r="M797" s="7" t="n">
        <f aca="false">IF(ISBLANK(customer_churn_dataset!M797),0,customer_churn_dataset!M797)</f>
        <v>0</v>
      </c>
      <c r="N797" s="7" t="n">
        <f aca="false">IF(ISBLANK(customer_churn_dataset!N797),0,MAX(0,customer_churn_dataset!N797))</f>
        <v>1071.36</v>
      </c>
      <c r="O797" s="7" t="n">
        <f aca="false">IF(ISBLANK(customer_churn_dataset!O797),0,customer_churn_dataset!O797)</f>
        <v>0</v>
      </c>
      <c r="P797" s="7" t="str">
        <f aca="false">IF(COUNTIF(customer_churn_dataset!$A$2:$A$1501,customer_churn_dataset!A797)&gt;1,"Duplicate","Unique")</f>
        <v>Unique</v>
      </c>
    </row>
    <row r="798" customFormat="false" ht="14.15" hidden="false" customHeight="true" outlineLevel="0" collapsed="false">
      <c r="A798" s="7" t="str">
        <f aca="false">TRIM(customer_churn_dataset!A798)</f>
        <v>CUST100394</v>
      </c>
      <c r="B798" s="7" t="str">
        <f aca="false">PROPER(TRIM(customer_churn_dataset!B798))</f>
        <v>Basic</v>
      </c>
      <c r="C798" s="7" t="str">
        <f aca="false">PROPER(TRIM(customer_churn_dataset!C798))</f>
        <v>Month-To-Month</v>
      </c>
      <c r="D798" s="7" t="n">
        <f aca="false">IF(ISBLANK(customer_churn_dataset!D798),ROUND(MEDIAN(customer_churn_dataset!D$2:D$1501),2),IF(customer_churn_dataset!D798&lt;0,ABS(customer_churn_dataset!D798),customer_churn_dataset!D798))</f>
        <v>9.76</v>
      </c>
      <c r="E798" s="7" t="n">
        <f aca="false">IF(ISBLANK(customer_churn_dataset!E798),0,MAX(0,customer_churn_dataset!E798))</f>
        <v>5</v>
      </c>
      <c r="F798" s="8" t="n">
        <f aca="false">IF(ISBLANK(customer_churn_dataset!F798),"",customer_churn_dataset!F798)</f>
        <v>44893</v>
      </c>
      <c r="G798" s="7" t="str">
        <f aca="false">PROPER(TRIM(customer_churn_dataset!G798))</f>
        <v>Credit Card</v>
      </c>
      <c r="H798" s="7" t="n">
        <f aca="false">IF(ISBLANK(customer_churn_dataset!H798),0,customer_churn_dataset!H798)</f>
        <v>1</v>
      </c>
      <c r="I798" s="7" t="n">
        <f aca="false">IF(ISBLANK(customer_churn_dataset!I798),ROUND(MEDIAN(customer_churn_dataset!I$2:I$1501),1),MIN(100,MAX(0,customer_churn_dataset!I798)))</f>
        <v>18.2</v>
      </c>
      <c r="J798" s="7" t="n">
        <f aca="false">IF(ISBLANK(customer_churn_dataset!J798),0,MAX(0,customer_churn_dataset!J798))</f>
        <v>6</v>
      </c>
      <c r="K798" s="7" t="n">
        <f aca="false">IF(ISBLANK(customer_churn_dataset!K798),0,MIN(10,MAX(0,customer_churn_dataset!K798)))</f>
        <v>2</v>
      </c>
      <c r="L798" s="7" t="n">
        <f aca="false">IF(ISBLANK(customer_churn_dataset!L798),0,MAX(0,customer_churn_dataset!L798))</f>
        <v>0</v>
      </c>
      <c r="M798" s="7" t="n">
        <f aca="false">IF(ISBLANK(customer_churn_dataset!M798),0,customer_churn_dataset!M798)</f>
        <v>0</v>
      </c>
      <c r="N798" s="7" t="n">
        <f aca="false">IF(ISBLANK(customer_churn_dataset!N798),0,MAX(0,customer_churn_dataset!N798))</f>
        <v>48.8</v>
      </c>
      <c r="O798" s="7" t="n">
        <f aca="false">IF(ISBLANK(customer_churn_dataset!O798),0,customer_churn_dataset!O798)</f>
        <v>0</v>
      </c>
      <c r="P798" s="7" t="str">
        <f aca="false">IF(COUNTIF(customer_churn_dataset!$A$2:$A$1501,customer_churn_dataset!A798)&gt;1,"Duplicate","Unique")</f>
        <v>Unique</v>
      </c>
    </row>
    <row r="799" customFormat="false" ht="14.15" hidden="false" customHeight="true" outlineLevel="0" collapsed="false">
      <c r="A799" s="7" t="str">
        <f aca="false">TRIM(customer_churn_dataset!A799)</f>
        <v>CUST100809</v>
      </c>
      <c r="B799" s="7" t="str">
        <f aca="false">PROPER(TRIM(customer_churn_dataset!B799))</f>
        <v>Basic</v>
      </c>
      <c r="C799" s="7" t="str">
        <f aca="false">PROPER(TRIM(customer_churn_dataset!C799))</f>
        <v>Two Year</v>
      </c>
      <c r="D799" s="7" t="n">
        <f aca="false">IF(ISBLANK(customer_churn_dataset!D799),ROUND(MEDIAN(customer_churn_dataset!D$2:D$1501),2),IF(customer_churn_dataset!D799&lt;0,ABS(customer_churn_dataset!D799),customer_churn_dataset!D799))</f>
        <v>11.12</v>
      </c>
      <c r="E799" s="7" t="n">
        <f aca="false">IF(ISBLANK(customer_churn_dataset!E799),0,MAX(0,customer_churn_dataset!E799))</f>
        <v>0</v>
      </c>
      <c r="F799" s="8" t="n">
        <f aca="false">IF(ISBLANK(customer_churn_dataset!F799),"",customer_churn_dataset!F799)</f>
        <v>44894</v>
      </c>
      <c r="G799" s="7" t="str">
        <f aca="false">PROPER(TRIM(customer_churn_dataset!G799))</f>
        <v>Paypal</v>
      </c>
      <c r="H799" s="7" t="n">
        <f aca="false">IF(ISBLANK(customer_churn_dataset!H799),0,customer_churn_dataset!H799)</f>
        <v>1</v>
      </c>
      <c r="I799" s="7" t="n">
        <f aca="false">IF(ISBLANK(customer_churn_dataset!I799),ROUND(MEDIAN(customer_churn_dataset!I$2:I$1501),1),MIN(100,MAX(0,customer_churn_dataset!I799)))</f>
        <v>83.9</v>
      </c>
      <c r="J799" s="7" t="n">
        <f aca="false">IF(ISBLANK(customer_churn_dataset!J799),0,MAX(0,customer_churn_dataset!J799))</f>
        <v>28</v>
      </c>
      <c r="K799" s="7" t="n">
        <f aca="false">IF(ISBLANK(customer_churn_dataset!K799),0,MIN(10,MAX(0,customer_churn_dataset!K799)))</f>
        <v>10</v>
      </c>
      <c r="L799" s="7" t="n">
        <f aca="false">IF(ISBLANK(customer_churn_dataset!L799),0,MAX(0,customer_churn_dataset!L799))</f>
        <v>1</v>
      </c>
      <c r="M799" s="7" t="n">
        <f aca="false">IF(ISBLANK(customer_churn_dataset!M799),0,customer_churn_dataset!M799)</f>
        <v>0</v>
      </c>
      <c r="N799" s="7" t="n">
        <f aca="false">IF(ISBLANK(customer_churn_dataset!N799),0,MAX(0,customer_churn_dataset!N799))</f>
        <v>0</v>
      </c>
      <c r="O799" s="7" t="n">
        <f aca="false">IF(ISBLANK(customer_churn_dataset!O799),0,customer_churn_dataset!O799)</f>
        <v>0</v>
      </c>
      <c r="P799" s="7" t="str">
        <f aca="false">IF(COUNTIF(customer_churn_dataset!$A$2:$A$1501,customer_churn_dataset!A799)&gt;1,"Duplicate","Unique")</f>
        <v>Unique</v>
      </c>
    </row>
    <row r="800" customFormat="false" ht="14.15" hidden="false" customHeight="true" outlineLevel="0" collapsed="false">
      <c r="A800" s="7" t="str">
        <f aca="false">TRIM(customer_churn_dataset!A800)</f>
        <v>CUST100504</v>
      </c>
      <c r="B800" s="7" t="str">
        <f aca="false">PROPER(TRIM(customer_churn_dataset!B800))</f>
        <v>Standard</v>
      </c>
      <c r="C800" s="7" t="str">
        <f aca="false">PROPER(TRIM(customer_churn_dataset!C800))</f>
        <v>Month-To-Month</v>
      </c>
      <c r="D800" s="7" t="n">
        <f aca="false">IF(ISBLANK(customer_churn_dataset!D800),ROUND(MEDIAN(customer_churn_dataset!D$2:D$1501),2),IF(customer_churn_dataset!D800&lt;0,ABS(customer_churn_dataset!D800),customer_churn_dataset!D800))</f>
        <v>21.29</v>
      </c>
      <c r="E800" s="7" t="n">
        <f aca="false">IF(ISBLANK(customer_churn_dataset!E800),0,MAX(0,customer_churn_dataset!E800))</f>
        <v>10</v>
      </c>
      <c r="F800" s="8" t="n">
        <f aca="false">IF(ISBLANK(customer_churn_dataset!F800),"",customer_churn_dataset!F800)</f>
        <v>44894</v>
      </c>
      <c r="G800" s="7" t="str">
        <f aca="false">PROPER(TRIM(customer_churn_dataset!G800))</f>
        <v>Paypal</v>
      </c>
      <c r="H800" s="7" t="n">
        <f aca="false">IF(ISBLANK(customer_churn_dataset!H800),0,customer_churn_dataset!H800)</f>
        <v>0</v>
      </c>
      <c r="I800" s="7" t="n">
        <f aca="false">IF(ISBLANK(customer_churn_dataset!I800),ROUND(MEDIAN(customer_churn_dataset!I$2:I$1501),1),MIN(100,MAX(0,customer_churn_dataset!I800)))</f>
        <v>50</v>
      </c>
      <c r="J800" s="7" t="n">
        <f aca="false">IF(ISBLANK(customer_churn_dataset!J800),0,MAX(0,customer_churn_dataset!J800))</f>
        <v>13</v>
      </c>
      <c r="K800" s="7" t="n">
        <f aca="false">IF(ISBLANK(customer_churn_dataset!K800),0,MIN(10,MAX(0,customer_churn_dataset!K800)))</f>
        <v>6</v>
      </c>
      <c r="L800" s="7" t="n">
        <f aca="false">IF(ISBLANK(customer_churn_dataset!L800),0,MAX(0,customer_churn_dataset!L800))</f>
        <v>1</v>
      </c>
      <c r="M800" s="7" t="n">
        <f aca="false">IF(ISBLANK(customer_churn_dataset!M800),0,customer_churn_dataset!M800)</f>
        <v>0</v>
      </c>
      <c r="N800" s="7" t="n">
        <f aca="false">IF(ISBLANK(customer_churn_dataset!N800),0,MAX(0,customer_churn_dataset!N800))</f>
        <v>212.9</v>
      </c>
      <c r="O800" s="7" t="n">
        <f aca="false">IF(ISBLANK(customer_churn_dataset!O800),0,customer_churn_dataset!O800)</f>
        <v>1</v>
      </c>
      <c r="P800" s="7" t="str">
        <f aca="false">IF(COUNTIF(customer_churn_dataset!$A$2:$A$1501,customer_churn_dataset!A800)&gt;1,"Duplicate","Unique")</f>
        <v>Unique</v>
      </c>
    </row>
    <row r="801" customFormat="false" ht="14.15" hidden="false" customHeight="true" outlineLevel="0" collapsed="false">
      <c r="A801" s="7" t="str">
        <f aca="false">TRIM(customer_churn_dataset!A801)</f>
        <v>CUST100240</v>
      </c>
      <c r="B801" s="7" t="str">
        <f aca="false">PROPER(TRIM(customer_churn_dataset!B801))</f>
        <v>Premium</v>
      </c>
      <c r="C801" s="7" t="str">
        <f aca="false">PROPER(TRIM(customer_churn_dataset!C801))</f>
        <v>One Year</v>
      </c>
      <c r="D801" s="7" t="n">
        <f aca="false">IF(ISBLANK(customer_churn_dataset!D801),ROUND(MEDIAN(customer_churn_dataset!D$2:D$1501),2),IF(customer_churn_dataset!D801&lt;0,ABS(customer_churn_dataset!D801),customer_churn_dataset!D801))</f>
        <v>38.94</v>
      </c>
      <c r="E801" s="7" t="n">
        <f aca="false">IF(ISBLANK(customer_churn_dataset!E801),0,MAX(0,customer_churn_dataset!E801))</f>
        <v>10</v>
      </c>
      <c r="F801" s="8" t="n">
        <f aca="false">IF(ISBLANK(customer_churn_dataset!F801),"",customer_churn_dataset!F801)</f>
        <v>44894</v>
      </c>
      <c r="G801" s="7" t="str">
        <f aca="false">PROPER(TRIM(customer_churn_dataset!G801))</f>
        <v>Credit Card</v>
      </c>
      <c r="H801" s="7" t="n">
        <f aca="false">IF(ISBLANK(customer_churn_dataset!H801),0,customer_churn_dataset!H801)</f>
        <v>1</v>
      </c>
      <c r="I801" s="7" t="n">
        <f aca="false">IF(ISBLANK(customer_churn_dataset!I801),ROUND(MEDIAN(customer_churn_dataset!I$2:I$1501),1),MIN(100,MAX(0,customer_churn_dataset!I801)))</f>
        <v>17</v>
      </c>
      <c r="J801" s="7" t="n">
        <f aca="false">IF(ISBLANK(customer_churn_dataset!J801),0,MAX(0,customer_churn_dataset!J801))</f>
        <v>0</v>
      </c>
      <c r="K801" s="7" t="n">
        <f aca="false">IF(ISBLANK(customer_churn_dataset!K801),0,MIN(10,MAX(0,customer_churn_dataset!K801)))</f>
        <v>0</v>
      </c>
      <c r="L801" s="7" t="n">
        <f aca="false">IF(ISBLANK(customer_churn_dataset!L801),0,MAX(0,customer_churn_dataset!L801))</f>
        <v>6</v>
      </c>
      <c r="M801" s="7" t="n">
        <f aca="false">IF(ISBLANK(customer_churn_dataset!M801),0,customer_churn_dataset!M801)</f>
        <v>1</v>
      </c>
      <c r="N801" s="7" t="n">
        <f aca="false">IF(ISBLANK(customer_churn_dataset!N801),0,MAX(0,customer_churn_dataset!N801))</f>
        <v>389.4</v>
      </c>
      <c r="O801" s="7" t="n">
        <f aca="false">IF(ISBLANK(customer_churn_dataset!O801),0,customer_churn_dataset!O801)</f>
        <v>0</v>
      </c>
      <c r="P801" s="7" t="str">
        <f aca="false">IF(COUNTIF(customer_churn_dataset!$A$2:$A$1501,customer_churn_dataset!A801)&gt;1,"Duplicate","Unique")</f>
        <v>Unique</v>
      </c>
    </row>
    <row r="802" customFormat="false" ht="14.15" hidden="false" customHeight="true" outlineLevel="0" collapsed="false">
      <c r="A802" s="7" t="str">
        <f aca="false">TRIM(customer_churn_dataset!A802)</f>
        <v>CUST100630</v>
      </c>
      <c r="B802" s="7" t="str">
        <f aca="false">PROPER(TRIM(customer_churn_dataset!B802))</f>
        <v>Standard</v>
      </c>
      <c r="C802" s="7" t="str">
        <f aca="false">PROPER(TRIM(customer_churn_dataset!C802))</f>
        <v>Month-To-Month</v>
      </c>
      <c r="D802" s="7" t="n">
        <f aca="false">IF(ISBLANK(customer_churn_dataset!D802),ROUND(MEDIAN(customer_churn_dataset!D$2:D$1501),2),IF(customer_churn_dataset!D802&lt;0,ABS(customer_churn_dataset!D802),customer_churn_dataset!D802))</f>
        <v>18.11</v>
      </c>
      <c r="E802" s="7" t="n">
        <f aca="false">IF(ISBLANK(customer_churn_dataset!E802),0,MAX(0,customer_churn_dataset!E802))</f>
        <v>19</v>
      </c>
      <c r="F802" s="8" t="n">
        <f aca="false">IF(ISBLANK(customer_churn_dataset!F802),"",customer_churn_dataset!F802)</f>
        <v>44894</v>
      </c>
      <c r="G802" s="7" t="str">
        <f aca="false">PROPER(TRIM(customer_churn_dataset!G802))</f>
        <v>Paypal</v>
      </c>
      <c r="H802" s="7" t="n">
        <f aca="false">IF(ISBLANK(customer_churn_dataset!H802),0,customer_churn_dataset!H802)</f>
        <v>1</v>
      </c>
      <c r="I802" s="7" t="n">
        <f aca="false">IF(ISBLANK(customer_churn_dataset!I802),ROUND(MEDIAN(customer_churn_dataset!I$2:I$1501),1),MIN(100,MAX(0,customer_churn_dataset!I802)))</f>
        <v>63.8</v>
      </c>
      <c r="J802" s="7" t="n">
        <f aca="false">IF(ISBLANK(customer_churn_dataset!J802),0,MAX(0,customer_churn_dataset!J802))</f>
        <v>18</v>
      </c>
      <c r="K802" s="7" t="n">
        <f aca="false">IF(ISBLANK(customer_churn_dataset!K802),0,MIN(10,MAX(0,customer_churn_dataset!K802)))</f>
        <v>5</v>
      </c>
      <c r="L802" s="7" t="n">
        <f aca="false">IF(ISBLANK(customer_churn_dataset!L802),0,MAX(0,customer_churn_dataset!L802))</f>
        <v>1</v>
      </c>
      <c r="M802" s="7" t="n">
        <f aca="false">IF(ISBLANK(customer_churn_dataset!M802),0,customer_churn_dataset!M802)</f>
        <v>0</v>
      </c>
      <c r="N802" s="7" t="n">
        <f aca="false">IF(ISBLANK(customer_churn_dataset!N802),0,MAX(0,customer_churn_dataset!N802))</f>
        <v>344.09</v>
      </c>
      <c r="O802" s="7" t="n">
        <f aca="false">IF(ISBLANK(customer_churn_dataset!O802),0,customer_churn_dataset!O802)</f>
        <v>0</v>
      </c>
      <c r="P802" s="7" t="str">
        <f aca="false">IF(COUNTIF(customer_churn_dataset!$A$2:$A$1501,customer_churn_dataset!A802)&gt;1,"Duplicate","Unique")</f>
        <v>Unique</v>
      </c>
    </row>
    <row r="803" customFormat="false" ht="14.15" hidden="false" customHeight="true" outlineLevel="0" collapsed="false">
      <c r="A803" s="7" t="str">
        <f aca="false">TRIM(customer_churn_dataset!A803)</f>
        <v>CUST101139</v>
      </c>
      <c r="B803" s="7" t="str">
        <f aca="false">PROPER(TRIM(customer_churn_dataset!B803))</f>
        <v>Standard</v>
      </c>
      <c r="C803" s="7" t="str">
        <f aca="false">PROPER(TRIM(customer_churn_dataset!C803))</f>
        <v>Month-To-Month</v>
      </c>
      <c r="D803" s="7" t="n">
        <f aca="false">IF(ISBLANK(customer_churn_dataset!D803),ROUND(MEDIAN(customer_churn_dataset!D$2:D$1501),2),IF(customer_churn_dataset!D803&lt;0,ABS(customer_churn_dataset!D803),customer_churn_dataset!D803))</f>
        <v>18.49</v>
      </c>
      <c r="E803" s="7" t="n">
        <f aca="false">IF(ISBLANK(customer_churn_dataset!E803),0,MAX(0,customer_churn_dataset!E803))</f>
        <v>72</v>
      </c>
      <c r="F803" s="8" t="n">
        <f aca="false">IF(ISBLANK(customer_churn_dataset!F803),"",customer_churn_dataset!F803)</f>
        <v>44897</v>
      </c>
      <c r="G803" s="7" t="str">
        <f aca="false">PROPER(TRIM(customer_churn_dataset!G803))</f>
        <v>Manual/Invoice</v>
      </c>
      <c r="H803" s="7" t="n">
        <f aca="false">IF(ISBLANK(customer_churn_dataset!H803),0,customer_churn_dataset!H803)</f>
        <v>1</v>
      </c>
      <c r="I803" s="7" t="n">
        <f aca="false">IF(ISBLANK(customer_churn_dataset!I803),ROUND(MEDIAN(customer_churn_dataset!I$2:I$1501),1),MIN(100,MAX(0,customer_churn_dataset!I803)))</f>
        <v>79.2</v>
      </c>
      <c r="J803" s="7" t="n">
        <f aca="false">IF(ISBLANK(customer_churn_dataset!J803),0,MAX(0,customer_churn_dataset!J803))</f>
        <v>26</v>
      </c>
      <c r="K803" s="7" t="n">
        <f aca="false">IF(ISBLANK(customer_churn_dataset!K803),0,MIN(10,MAX(0,customer_churn_dataset!K803)))</f>
        <v>6</v>
      </c>
      <c r="L803" s="7" t="n">
        <f aca="false">IF(ISBLANK(customer_churn_dataset!L803),0,MAX(0,customer_churn_dataset!L803))</f>
        <v>0</v>
      </c>
      <c r="M803" s="7" t="n">
        <f aca="false">IF(ISBLANK(customer_churn_dataset!M803),0,customer_churn_dataset!M803)</f>
        <v>0</v>
      </c>
      <c r="N803" s="7" t="n">
        <f aca="false">IF(ISBLANK(customer_churn_dataset!N803),0,MAX(0,customer_churn_dataset!N803))</f>
        <v>1331.28</v>
      </c>
      <c r="O803" s="7" t="n">
        <f aca="false">IF(ISBLANK(customer_churn_dataset!O803),0,customer_churn_dataset!O803)</f>
        <v>0</v>
      </c>
      <c r="P803" s="7" t="str">
        <f aca="false">IF(COUNTIF(customer_churn_dataset!$A$2:$A$1501,customer_churn_dataset!A803)&gt;1,"Duplicate","Unique")</f>
        <v>Unique</v>
      </c>
    </row>
    <row r="804" customFormat="false" ht="14.15" hidden="false" customHeight="true" outlineLevel="0" collapsed="false">
      <c r="A804" s="7" t="str">
        <f aca="false">TRIM(customer_churn_dataset!A804)</f>
        <v>CUST100610</v>
      </c>
      <c r="B804" s="7" t="str">
        <f aca="false">PROPER(TRIM(customer_churn_dataset!B804))</f>
        <v>Basic</v>
      </c>
      <c r="C804" s="7" t="str">
        <f aca="false">PROPER(TRIM(customer_churn_dataset!C804))</f>
        <v>Month-To-Month</v>
      </c>
      <c r="D804" s="7" t="n">
        <f aca="false">IF(ISBLANK(customer_churn_dataset!D804),ROUND(MEDIAN(customer_churn_dataset!D$2:D$1501),2),IF(customer_churn_dataset!D804&lt;0,ABS(customer_churn_dataset!D804),customer_churn_dataset!D804))</f>
        <v>10.03</v>
      </c>
      <c r="E804" s="7" t="n">
        <f aca="false">IF(ISBLANK(customer_churn_dataset!E804),0,MAX(0,customer_churn_dataset!E804))</f>
        <v>8</v>
      </c>
      <c r="F804" s="8" t="n">
        <f aca="false">IF(ISBLANK(customer_churn_dataset!F804),"",customer_churn_dataset!F804)</f>
        <v>44898</v>
      </c>
      <c r="G804" s="7" t="str">
        <f aca="false">PROPER(TRIM(customer_churn_dataset!G804))</f>
        <v>Bank Transfer</v>
      </c>
      <c r="H804" s="7" t="n">
        <f aca="false">IF(ISBLANK(customer_churn_dataset!H804),0,customer_churn_dataset!H804)</f>
        <v>1</v>
      </c>
      <c r="I804" s="7" t="n">
        <f aca="false">IF(ISBLANK(customer_churn_dataset!I804),ROUND(MEDIAN(customer_churn_dataset!I$2:I$1501),1),MIN(100,MAX(0,customer_churn_dataset!I804)))</f>
        <v>63.8</v>
      </c>
      <c r="J804" s="7" t="n">
        <f aca="false">IF(ISBLANK(customer_churn_dataset!J804),0,MAX(0,customer_churn_dataset!J804))</f>
        <v>16</v>
      </c>
      <c r="K804" s="7" t="n">
        <f aca="false">IF(ISBLANK(customer_churn_dataset!K804),0,MIN(10,MAX(0,customer_churn_dataset!K804)))</f>
        <v>6</v>
      </c>
      <c r="L804" s="7" t="n">
        <f aca="false">IF(ISBLANK(customer_churn_dataset!L804),0,MAX(0,customer_churn_dataset!L804))</f>
        <v>1</v>
      </c>
      <c r="M804" s="7" t="n">
        <f aca="false">IF(ISBLANK(customer_churn_dataset!M804),0,customer_churn_dataset!M804)</f>
        <v>1</v>
      </c>
      <c r="N804" s="7" t="n">
        <f aca="false">IF(ISBLANK(customer_churn_dataset!N804),0,MAX(0,customer_churn_dataset!N804))</f>
        <v>80.24</v>
      </c>
      <c r="O804" s="7" t="n">
        <f aca="false">IF(ISBLANK(customer_churn_dataset!O804),0,customer_churn_dataset!O804)</f>
        <v>0</v>
      </c>
      <c r="P804" s="7" t="str">
        <f aca="false">IF(COUNTIF(customer_churn_dataset!$A$2:$A$1501,customer_churn_dataset!A804)&gt;1,"Duplicate","Unique")</f>
        <v>Unique</v>
      </c>
    </row>
    <row r="805" customFormat="false" ht="14.15" hidden="false" customHeight="true" outlineLevel="0" collapsed="false">
      <c r="A805" s="7" t="str">
        <f aca="false">TRIM(customer_churn_dataset!A805)</f>
        <v>CUST100168</v>
      </c>
      <c r="B805" s="7" t="str">
        <f aca="false">PROPER(TRIM(customer_churn_dataset!B805))</f>
        <v>Basic</v>
      </c>
      <c r="C805" s="7" t="str">
        <f aca="false">PROPER(TRIM(customer_churn_dataset!C805))</f>
        <v>Month-To-Month</v>
      </c>
      <c r="D805" s="7" t="n">
        <f aca="false">IF(ISBLANK(customer_churn_dataset!D805),ROUND(MEDIAN(customer_churn_dataset!D$2:D$1501),2),IF(customer_churn_dataset!D805&lt;0,ABS(customer_churn_dataset!D805),customer_churn_dataset!D805))</f>
        <v>8.78</v>
      </c>
      <c r="E805" s="7" t="n">
        <f aca="false">IF(ISBLANK(customer_churn_dataset!E805),0,MAX(0,customer_churn_dataset!E805))</f>
        <v>4</v>
      </c>
      <c r="F805" s="8" t="n">
        <f aca="false">IF(ISBLANK(customer_churn_dataset!F805),"",customer_churn_dataset!F805)</f>
        <v>44898</v>
      </c>
      <c r="G805" s="7" t="str">
        <f aca="false">PROPER(TRIM(customer_churn_dataset!G805))</f>
        <v>Credit Card</v>
      </c>
      <c r="H805" s="7" t="n">
        <f aca="false">IF(ISBLANK(customer_churn_dataset!H805),0,customer_churn_dataset!H805)</f>
        <v>1</v>
      </c>
      <c r="I805" s="7" t="n">
        <f aca="false">IF(ISBLANK(customer_churn_dataset!I805),ROUND(MEDIAN(customer_churn_dataset!I$2:I$1501),1),MIN(100,MAX(0,customer_churn_dataset!I805)))</f>
        <v>38.6</v>
      </c>
      <c r="J805" s="7" t="n">
        <f aca="false">IF(ISBLANK(customer_churn_dataset!J805),0,MAX(0,customer_churn_dataset!J805))</f>
        <v>7</v>
      </c>
      <c r="K805" s="7" t="n">
        <f aca="false">IF(ISBLANK(customer_churn_dataset!K805),0,MIN(10,MAX(0,customer_churn_dataset!K805)))</f>
        <v>5</v>
      </c>
      <c r="L805" s="7" t="n">
        <f aca="false">IF(ISBLANK(customer_churn_dataset!L805),0,MAX(0,customer_churn_dataset!L805))</f>
        <v>2</v>
      </c>
      <c r="M805" s="7" t="n">
        <f aca="false">IF(ISBLANK(customer_churn_dataset!M805),0,customer_churn_dataset!M805)</f>
        <v>1</v>
      </c>
      <c r="N805" s="7" t="n">
        <f aca="false">IF(ISBLANK(customer_churn_dataset!N805),0,MAX(0,customer_churn_dataset!N805))</f>
        <v>35.12</v>
      </c>
      <c r="O805" s="7" t="n">
        <f aca="false">IF(ISBLANK(customer_churn_dataset!O805),0,customer_churn_dataset!O805)</f>
        <v>0</v>
      </c>
      <c r="P805" s="7" t="str">
        <f aca="false">IF(COUNTIF(customer_churn_dataset!$A$2:$A$1501,customer_churn_dataset!A805)&gt;1,"Duplicate","Unique")</f>
        <v>Unique</v>
      </c>
    </row>
    <row r="806" customFormat="false" ht="14.15" hidden="false" customHeight="true" outlineLevel="0" collapsed="false">
      <c r="A806" s="7" t="str">
        <f aca="false">TRIM(customer_churn_dataset!A806)</f>
        <v>CUST101347</v>
      </c>
      <c r="B806" s="7" t="str">
        <f aca="false">PROPER(TRIM(customer_churn_dataset!B806))</f>
        <v>Basic</v>
      </c>
      <c r="C806" s="7" t="str">
        <f aca="false">PROPER(TRIM(customer_churn_dataset!C806))</f>
        <v>One Year</v>
      </c>
      <c r="D806" s="7" t="n">
        <f aca="false">IF(ISBLANK(customer_churn_dataset!D806),ROUND(MEDIAN(customer_churn_dataset!D$2:D$1501),2),IF(customer_churn_dataset!D806&lt;0,ABS(customer_churn_dataset!D806),customer_churn_dataset!D806))</f>
        <v>11.23</v>
      </c>
      <c r="E806" s="7" t="n">
        <f aca="false">IF(ISBLANK(customer_churn_dataset!E806),0,MAX(0,customer_churn_dataset!E806))</f>
        <v>9</v>
      </c>
      <c r="F806" s="8" t="n">
        <f aca="false">IF(ISBLANK(customer_churn_dataset!F806),"",customer_churn_dataset!F806)</f>
        <v>44899</v>
      </c>
      <c r="G806" s="7" t="str">
        <f aca="false">PROPER(TRIM(customer_churn_dataset!G806))</f>
        <v>Credit Card</v>
      </c>
      <c r="H806" s="7" t="n">
        <f aca="false">IF(ISBLANK(customer_churn_dataset!H806),0,customer_churn_dataset!H806)</f>
        <v>1</v>
      </c>
      <c r="I806" s="7" t="n">
        <f aca="false">IF(ISBLANK(customer_churn_dataset!I806),ROUND(MEDIAN(customer_churn_dataset!I$2:I$1501),1),MIN(100,MAX(0,customer_churn_dataset!I806)))</f>
        <v>35.4</v>
      </c>
      <c r="J806" s="7" t="n">
        <f aca="false">IF(ISBLANK(customer_churn_dataset!J806),0,MAX(0,customer_churn_dataset!J806))</f>
        <v>10</v>
      </c>
      <c r="K806" s="7" t="n">
        <f aca="false">IF(ISBLANK(customer_churn_dataset!K806),0,MIN(10,MAX(0,customer_churn_dataset!K806)))</f>
        <v>5</v>
      </c>
      <c r="L806" s="7" t="n">
        <f aca="false">IF(ISBLANK(customer_churn_dataset!L806),0,MAX(0,customer_churn_dataset!L806))</f>
        <v>3</v>
      </c>
      <c r="M806" s="7" t="n">
        <f aca="false">IF(ISBLANK(customer_churn_dataset!M806),0,customer_churn_dataset!M806)</f>
        <v>0</v>
      </c>
      <c r="N806" s="7" t="n">
        <f aca="false">IF(ISBLANK(customer_churn_dataset!N806),0,MAX(0,customer_churn_dataset!N806))</f>
        <v>101.07</v>
      </c>
      <c r="O806" s="7" t="n">
        <f aca="false">IF(ISBLANK(customer_churn_dataset!O806),0,customer_churn_dataset!O806)</f>
        <v>0</v>
      </c>
      <c r="P806" s="7" t="str">
        <f aca="false">IF(COUNTIF(customer_churn_dataset!$A$2:$A$1501,customer_churn_dataset!A806)&gt;1,"Duplicate","Unique")</f>
        <v>Unique</v>
      </c>
    </row>
    <row r="807" customFormat="false" ht="14.15" hidden="false" customHeight="true" outlineLevel="0" collapsed="false">
      <c r="A807" s="7" t="str">
        <f aca="false">TRIM(customer_churn_dataset!A807)</f>
        <v>CUST100222</v>
      </c>
      <c r="B807" s="7" t="str">
        <f aca="false">PROPER(TRIM(customer_churn_dataset!B807))</f>
        <v>Basic</v>
      </c>
      <c r="C807" s="7" t="str">
        <f aca="false">PROPER(TRIM(customer_churn_dataset!C807))</f>
        <v>Month-To-Month</v>
      </c>
      <c r="D807" s="7" t="n">
        <f aca="false">IF(ISBLANK(customer_churn_dataset!D807),ROUND(MEDIAN(customer_churn_dataset!D$2:D$1501),2),IF(customer_churn_dataset!D807&lt;0,ABS(customer_churn_dataset!D807),customer_churn_dataset!D807))</f>
        <v>12.15</v>
      </c>
      <c r="E807" s="7" t="n">
        <f aca="false">IF(ISBLANK(customer_churn_dataset!E807),0,MAX(0,customer_churn_dataset!E807))</f>
        <v>18</v>
      </c>
      <c r="F807" s="8" t="n">
        <f aca="false">IF(ISBLANK(customer_churn_dataset!F807),"",customer_churn_dataset!F807)</f>
        <v>44899</v>
      </c>
      <c r="G807" s="7" t="str">
        <f aca="false">PROPER(TRIM(customer_churn_dataset!G807))</f>
        <v>Credit Card</v>
      </c>
      <c r="H807" s="7" t="n">
        <f aca="false">IF(ISBLANK(customer_churn_dataset!H807),0,customer_churn_dataset!H807)</f>
        <v>0</v>
      </c>
      <c r="I807" s="7" t="n">
        <f aca="false">IF(ISBLANK(customer_churn_dataset!I807),ROUND(MEDIAN(customer_churn_dataset!I$2:I$1501),1),MIN(100,MAX(0,customer_churn_dataset!I807)))</f>
        <v>81.1</v>
      </c>
      <c r="J807" s="7" t="n">
        <f aca="false">IF(ISBLANK(customer_churn_dataset!J807),0,MAX(0,customer_churn_dataset!J807))</f>
        <v>19</v>
      </c>
      <c r="K807" s="7" t="n">
        <f aca="false">IF(ISBLANK(customer_churn_dataset!K807),0,MIN(10,MAX(0,customer_churn_dataset!K807)))</f>
        <v>9</v>
      </c>
      <c r="L807" s="7" t="n">
        <f aca="false">IF(ISBLANK(customer_churn_dataset!L807),0,MAX(0,customer_churn_dataset!L807))</f>
        <v>1</v>
      </c>
      <c r="M807" s="7" t="n">
        <f aca="false">IF(ISBLANK(customer_churn_dataset!M807),0,customer_churn_dataset!M807)</f>
        <v>1</v>
      </c>
      <c r="N807" s="7" t="n">
        <f aca="false">IF(ISBLANK(customer_churn_dataset!N807),0,MAX(0,customer_churn_dataset!N807))</f>
        <v>218.7</v>
      </c>
      <c r="O807" s="7" t="n">
        <f aca="false">IF(ISBLANK(customer_churn_dataset!O807),0,customer_churn_dataset!O807)</f>
        <v>0</v>
      </c>
      <c r="P807" s="7" t="str">
        <f aca="false">IF(COUNTIF(customer_churn_dataset!$A$2:$A$1501,customer_churn_dataset!A807)&gt;1,"Duplicate","Unique")</f>
        <v>Unique</v>
      </c>
    </row>
    <row r="808" customFormat="false" ht="14.15" hidden="false" customHeight="true" outlineLevel="0" collapsed="false">
      <c r="A808" s="7" t="str">
        <f aca="false">TRIM(customer_churn_dataset!A808)</f>
        <v>CUST100556</v>
      </c>
      <c r="B808" s="7" t="str">
        <f aca="false">PROPER(TRIM(customer_churn_dataset!B808))</f>
        <v>Basic</v>
      </c>
      <c r="C808" s="7" t="str">
        <f aca="false">PROPER(TRIM(customer_churn_dataset!C808))</f>
        <v>One Year</v>
      </c>
      <c r="D808" s="7" t="n">
        <f aca="false">IF(ISBLANK(customer_churn_dataset!D808),ROUND(MEDIAN(customer_churn_dataset!D$2:D$1501),2),IF(customer_churn_dataset!D808&lt;0,ABS(customer_churn_dataset!D808),customer_churn_dataset!D808))</f>
        <v>10.32</v>
      </c>
      <c r="E808" s="7" t="n">
        <f aca="false">IF(ISBLANK(customer_churn_dataset!E808),0,MAX(0,customer_churn_dataset!E808))</f>
        <v>72</v>
      </c>
      <c r="F808" s="8" t="n">
        <f aca="false">IF(ISBLANK(customer_churn_dataset!F808),"",customer_churn_dataset!F808)</f>
        <v>44899</v>
      </c>
      <c r="G808" s="7" t="str">
        <f aca="false">PROPER(TRIM(customer_churn_dataset!G808))</f>
        <v>Credit Card</v>
      </c>
      <c r="H808" s="7" t="n">
        <f aca="false">IF(ISBLANK(customer_churn_dataset!H808),0,customer_churn_dataset!H808)</f>
        <v>1</v>
      </c>
      <c r="I808" s="7" t="n">
        <f aca="false">IF(ISBLANK(customer_churn_dataset!I808),ROUND(MEDIAN(customer_churn_dataset!I$2:I$1501),1),MIN(100,MAX(0,customer_churn_dataset!I808)))</f>
        <v>61.9</v>
      </c>
      <c r="J808" s="7" t="n">
        <f aca="false">IF(ISBLANK(customer_churn_dataset!J808),0,MAX(0,customer_churn_dataset!J808))</f>
        <v>23</v>
      </c>
      <c r="K808" s="7" t="n">
        <f aca="false">IF(ISBLANK(customer_churn_dataset!K808),0,MIN(10,MAX(0,customer_churn_dataset!K808)))</f>
        <v>7</v>
      </c>
      <c r="L808" s="7" t="n">
        <f aca="false">IF(ISBLANK(customer_churn_dataset!L808),0,MAX(0,customer_churn_dataset!L808))</f>
        <v>1</v>
      </c>
      <c r="M808" s="7" t="n">
        <f aca="false">IF(ISBLANK(customer_churn_dataset!M808),0,customer_churn_dataset!M808)</f>
        <v>1</v>
      </c>
      <c r="N808" s="7" t="n">
        <f aca="false">IF(ISBLANK(customer_churn_dataset!N808),0,MAX(0,customer_churn_dataset!N808))</f>
        <v>743.04</v>
      </c>
      <c r="O808" s="7" t="n">
        <f aca="false">IF(ISBLANK(customer_churn_dataset!O808),0,customer_churn_dataset!O808)</f>
        <v>0</v>
      </c>
      <c r="P808" s="7" t="str">
        <f aca="false">IF(COUNTIF(customer_churn_dataset!$A$2:$A$1501,customer_churn_dataset!A808)&gt;1,"Duplicate","Unique")</f>
        <v>Unique</v>
      </c>
    </row>
    <row r="809" customFormat="false" ht="14.15" hidden="false" customHeight="true" outlineLevel="0" collapsed="false">
      <c r="A809" s="7" t="str">
        <f aca="false">TRIM(customer_churn_dataset!A809)</f>
        <v>CUST101247</v>
      </c>
      <c r="B809" s="7" t="str">
        <f aca="false">PROPER(TRIM(customer_churn_dataset!B809))</f>
        <v>Basic</v>
      </c>
      <c r="C809" s="7" t="str">
        <f aca="false">PROPER(TRIM(customer_churn_dataset!C809))</f>
        <v>Month-To-Month</v>
      </c>
      <c r="D809" s="7" t="n">
        <f aca="false">IF(ISBLANK(customer_churn_dataset!D809),ROUND(MEDIAN(customer_churn_dataset!D$2:D$1501),2),IF(customer_churn_dataset!D809&lt;0,ABS(customer_churn_dataset!D809),customer_churn_dataset!D809))</f>
        <v>10.82</v>
      </c>
      <c r="E809" s="7" t="n">
        <f aca="false">IF(ISBLANK(customer_churn_dataset!E809),0,MAX(0,customer_churn_dataset!E809))</f>
        <v>17</v>
      </c>
      <c r="F809" s="8" t="n">
        <f aca="false">IF(ISBLANK(customer_churn_dataset!F809),"",customer_churn_dataset!F809)</f>
        <v>44902</v>
      </c>
      <c r="G809" s="7" t="str">
        <f aca="false">PROPER(TRIM(customer_churn_dataset!G809))</f>
        <v>Credit Card</v>
      </c>
      <c r="H809" s="7" t="n">
        <f aca="false">IF(ISBLANK(customer_churn_dataset!H809),0,customer_churn_dataset!H809)</f>
        <v>1</v>
      </c>
      <c r="I809" s="7" t="n">
        <f aca="false">IF(ISBLANK(customer_churn_dataset!I809),ROUND(MEDIAN(customer_churn_dataset!I$2:I$1501),1),MIN(100,MAX(0,customer_churn_dataset!I809)))</f>
        <v>45.3</v>
      </c>
      <c r="J809" s="7" t="n">
        <f aca="false">IF(ISBLANK(customer_churn_dataset!J809),0,MAX(0,customer_churn_dataset!J809))</f>
        <v>14</v>
      </c>
      <c r="K809" s="7" t="n">
        <f aca="false">IF(ISBLANK(customer_churn_dataset!K809),0,MIN(10,MAX(0,customer_churn_dataset!K809)))</f>
        <v>3</v>
      </c>
      <c r="L809" s="7" t="n">
        <f aca="false">IF(ISBLANK(customer_churn_dataset!L809),0,MAX(0,customer_churn_dataset!L809))</f>
        <v>0</v>
      </c>
      <c r="M809" s="7" t="n">
        <f aca="false">IF(ISBLANK(customer_churn_dataset!M809),0,customer_churn_dataset!M809)</f>
        <v>0</v>
      </c>
      <c r="N809" s="7" t="n">
        <f aca="false">IF(ISBLANK(customer_churn_dataset!N809),0,MAX(0,customer_churn_dataset!N809))</f>
        <v>183.94</v>
      </c>
      <c r="O809" s="7" t="n">
        <f aca="false">IF(ISBLANK(customer_churn_dataset!O809),0,customer_churn_dataset!O809)</f>
        <v>0</v>
      </c>
      <c r="P809" s="7" t="str">
        <f aca="false">IF(COUNTIF(customer_churn_dataset!$A$2:$A$1501,customer_churn_dataset!A809)&gt;1,"Duplicate","Unique")</f>
        <v>Unique</v>
      </c>
    </row>
    <row r="810" customFormat="false" ht="14.15" hidden="false" customHeight="true" outlineLevel="0" collapsed="false">
      <c r="A810" s="7" t="str">
        <f aca="false">TRIM(customer_churn_dataset!A810)</f>
        <v>CUST101187</v>
      </c>
      <c r="B810" s="7" t="str">
        <f aca="false">PROPER(TRIM(customer_churn_dataset!B810))</f>
        <v>Basic</v>
      </c>
      <c r="C810" s="7" t="str">
        <f aca="false">PROPER(TRIM(customer_churn_dataset!C810))</f>
        <v>Two Year</v>
      </c>
      <c r="D810" s="7" t="n">
        <f aca="false">IF(ISBLANK(customer_churn_dataset!D810),ROUND(MEDIAN(customer_churn_dataset!D$2:D$1501),2),IF(customer_churn_dataset!D810&lt;0,ABS(customer_churn_dataset!D810),customer_churn_dataset!D810))</f>
        <v>9.13</v>
      </c>
      <c r="E810" s="7" t="n">
        <f aca="false">IF(ISBLANK(customer_churn_dataset!E810),0,MAX(0,customer_churn_dataset!E810))</f>
        <v>11</v>
      </c>
      <c r="F810" s="8" t="n">
        <f aca="false">IF(ISBLANK(customer_churn_dataset!F810),"",customer_churn_dataset!F810)</f>
        <v>44904</v>
      </c>
      <c r="G810" s="7" t="str">
        <f aca="false">PROPER(TRIM(customer_churn_dataset!G810))</f>
        <v>Paypal</v>
      </c>
      <c r="H810" s="7" t="n">
        <f aca="false">IF(ISBLANK(customer_churn_dataset!H810),0,customer_churn_dataset!H810)</f>
        <v>1</v>
      </c>
      <c r="I810" s="7" t="n">
        <f aca="false">IF(ISBLANK(customer_churn_dataset!I810),ROUND(MEDIAN(customer_churn_dataset!I$2:I$1501),1),MIN(100,MAX(0,customer_churn_dataset!I810)))</f>
        <v>61.3</v>
      </c>
      <c r="J810" s="7" t="n">
        <f aca="false">IF(ISBLANK(customer_churn_dataset!J810),0,MAX(0,customer_churn_dataset!J810))</f>
        <v>18</v>
      </c>
      <c r="K810" s="7" t="n">
        <f aca="false">IF(ISBLANK(customer_churn_dataset!K810),0,MIN(10,MAX(0,customer_churn_dataset!K810)))</f>
        <v>6</v>
      </c>
      <c r="L810" s="7" t="n">
        <f aca="false">IF(ISBLANK(customer_churn_dataset!L810),0,MAX(0,customer_churn_dataset!L810))</f>
        <v>3</v>
      </c>
      <c r="M810" s="7" t="n">
        <f aca="false">IF(ISBLANK(customer_churn_dataset!M810),0,customer_churn_dataset!M810)</f>
        <v>1</v>
      </c>
      <c r="N810" s="7" t="n">
        <f aca="false">IF(ISBLANK(customer_churn_dataset!N810),0,MAX(0,customer_churn_dataset!N810))</f>
        <v>100.43</v>
      </c>
      <c r="O810" s="7" t="n">
        <f aca="false">IF(ISBLANK(customer_churn_dataset!O810),0,customer_churn_dataset!O810)</f>
        <v>0</v>
      </c>
      <c r="P810" s="7" t="str">
        <f aca="false">IF(COUNTIF(customer_churn_dataset!$A$2:$A$1501,customer_churn_dataset!A810)&gt;1,"Duplicate","Unique")</f>
        <v>Unique</v>
      </c>
    </row>
    <row r="811" customFormat="false" ht="14.15" hidden="false" customHeight="true" outlineLevel="0" collapsed="false">
      <c r="A811" s="7" t="str">
        <f aca="false">TRIM(customer_churn_dataset!A811)</f>
        <v>CUST101286</v>
      </c>
      <c r="B811" s="7" t="str">
        <f aca="false">PROPER(TRIM(customer_churn_dataset!B811))</f>
        <v>Basic</v>
      </c>
      <c r="C811" s="7" t="str">
        <f aca="false">PROPER(TRIM(customer_churn_dataset!C811))</f>
        <v>Month-To-Month</v>
      </c>
      <c r="D811" s="7" t="n">
        <f aca="false">IF(ISBLANK(customer_churn_dataset!D811),ROUND(MEDIAN(customer_churn_dataset!D$2:D$1501),2),IF(customer_churn_dataset!D811&lt;0,ABS(customer_churn_dataset!D811),customer_churn_dataset!D811))</f>
        <v>10.28</v>
      </c>
      <c r="E811" s="7" t="n">
        <f aca="false">IF(ISBLANK(customer_churn_dataset!E811),0,MAX(0,customer_churn_dataset!E811))</f>
        <v>1</v>
      </c>
      <c r="F811" s="8" t="n">
        <f aca="false">IF(ISBLANK(customer_churn_dataset!F811),"",customer_churn_dataset!F811)</f>
        <v>44905</v>
      </c>
      <c r="G811" s="7" t="str">
        <f aca="false">PROPER(TRIM(customer_churn_dataset!G811))</f>
        <v>Credit Card</v>
      </c>
      <c r="H811" s="7" t="n">
        <f aca="false">IF(ISBLANK(customer_churn_dataset!H811),0,customer_churn_dataset!H811)</f>
        <v>0</v>
      </c>
      <c r="I811" s="7" t="n">
        <f aca="false">IF(ISBLANK(customer_churn_dataset!I811),ROUND(MEDIAN(customer_churn_dataset!I$2:I$1501),1),MIN(100,MAX(0,customer_churn_dataset!I811)))</f>
        <v>79.6</v>
      </c>
      <c r="J811" s="7" t="n">
        <f aca="false">IF(ISBLANK(customer_churn_dataset!J811),0,MAX(0,customer_churn_dataset!J811))</f>
        <v>21</v>
      </c>
      <c r="K811" s="7" t="n">
        <f aca="false">IF(ISBLANK(customer_churn_dataset!K811),0,MIN(10,MAX(0,customer_churn_dataset!K811)))</f>
        <v>8</v>
      </c>
      <c r="L811" s="7" t="n">
        <f aca="false">IF(ISBLANK(customer_churn_dataset!L811),0,MAX(0,customer_churn_dataset!L811))</f>
        <v>2</v>
      </c>
      <c r="M811" s="7" t="n">
        <f aca="false">IF(ISBLANK(customer_churn_dataset!M811),0,customer_churn_dataset!M811)</f>
        <v>0</v>
      </c>
      <c r="N811" s="7" t="n">
        <f aca="false">IF(ISBLANK(customer_churn_dataset!N811),0,MAX(0,customer_churn_dataset!N811))</f>
        <v>10.28</v>
      </c>
      <c r="O811" s="7" t="n">
        <f aca="false">IF(ISBLANK(customer_churn_dataset!O811),0,customer_churn_dataset!O811)</f>
        <v>0</v>
      </c>
      <c r="P811" s="7" t="str">
        <f aca="false">IF(COUNTIF(customer_churn_dataset!$A$2:$A$1501,customer_churn_dataset!A811)&gt;1,"Duplicate","Unique")</f>
        <v>Unique</v>
      </c>
    </row>
    <row r="812" customFormat="false" ht="14.15" hidden="false" customHeight="true" outlineLevel="0" collapsed="false">
      <c r="A812" s="7" t="str">
        <f aca="false">TRIM(customer_churn_dataset!A812)</f>
        <v>CUST101227</v>
      </c>
      <c r="B812" s="7" t="str">
        <f aca="false">PROPER(TRIM(customer_churn_dataset!B812))</f>
        <v>Basic</v>
      </c>
      <c r="C812" s="7" t="str">
        <f aca="false">PROPER(TRIM(customer_churn_dataset!C812))</f>
        <v>Month-To-Month</v>
      </c>
      <c r="D812" s="7" t="n">
        <f aca="false">IF(ISBLANK(customer_churn_dataset!D812),ROUND(MEDIAN(customer_churn_dataset!D$2:D$1501),2),IF(customer_churn_dataset!D812&lt;0,ABS(customer_churn_dataset!D812),customer_churn_dataset!D812))</f>
        <v>9.07</v>
      </c>
      <c r="E812" s="7" t="n">
        <f aca="false">IF(ISBLANK(customer_churn_dataset!E812),0,MAX(0,customer_churn_dataset!E812))</f>
        <v>18</v>
      </c>
      <c r="F812" s="8" t="n">
        <f aca="false">IF(ISBLANK(customer_churn_dataset!F812),"",customer_churn_dataset!F812)</f>
        <v>44906</v>
      </c>
      <c r="G812" s="7" t="str">
        <f aca="false">PROPER(TRIM(customer_churn_dataset!G812))</f>
        <v>Bank Transfer</v>
      </c>
      <c r="H812" s="7" t="n">
        <f aca="false">IF(ISBLANK(customer_churn_dataset!H812),0,customer_churn_dataset!H812)</f>
        <v>0</v>
      </c>
      <c r="I812" s="7" t="n">
        <f aca="false">IF(ISBLANK(customer_churn_dataset!I812),ROUND(MEDIAN(customer_churn_dataset!I$2:I$1501),1),MIN(100,MAX(0,customer_churn_dataset!I812)))</f>
        <v>31.6</v>
      </c>
      <c r="J812" s="7" t="n">
        <f aca="false">IF(ISBLANK(customer_churn_dataset!J812),0,MAX(0,customer_churn_dataset!J812))</f>
        <v>8</v>
      </c>
      <c r="K812" s="7" t="n">
        <f aca="false">IF(ISBLANK(customer_churn_dataset!K812),0,MIN(10,MAX(0,customer_churn_dataset!K812)))</f>
        <v>2</v>
      </c>
      <c r="L812" s="7" t="n">
        <f aca="false">IF(ISBLANK(customer_churn_dataset!L812),0,MAX(0,customer_churn_dataset!L812))</f>
        <v>1</v>
      </c>
      <c r="M812" s="7" t="n">
        <f aca="false">IF(ISBLANK(customer_churn_dataset!M812),0,customer_churn_dataset!M812)</f>
        <v>0</v>
      </c>
      <c r="N812" s="7" t="n">
        <f aca="false">IF(ISBLANK(customer_churn_dataset!N812),0,MAX(0,customer_churn_dataset!N812))</f>
        <v>163.26</v>
      </c>
      <c r="O812" s="7" t="n">
        <f aca="false">IF(ISBLANK(customer_churn_dataset!O812),0,customer_churn_dataset!O812)</f>
        <v>0</v>
      </c>
      <c r="P812" s="7" t="str">
        <f aca="false">IF(COUNTIF(customer_churn_dataset!$A$2:$A$1501,customer_churn_dataset!A812)&gt;1,"Duplicate","Unique")</f>
        <v>Unique</v>
      </c>
    </row>
    <row r="813" customFormat="false" ht="14.15" hidden="false" customHeight="true" outlineLevel="0" collapsed="false">
      <c r="A813" s="7" t="str">
        <f aca="false">TRIM(customer_churn_dataset!A813)</f>
        <v>CUST100976</v>
      </c>
      <c r="B813" s="7" t="str">
        <f aca="false">PROPER(TRIM(customer_churn_dataset!B813))</f>
        <v>Standard</v>
      </c>
      <c r="C813" s="7" t="str">
        <f aca="false">PROPER(TRIM(customer_churn_dataset!C813))</f>
        <v>One Year</v>
      </c>
      <c r="D813" s="7" t="n">
        <f aca="false">IF(ISBLANK(customer_churn_dataset!D813),ROUND(MEDIAN(customer_churn_dataset!D$2:D$1501),2),IF(customer_churn_dataset!D813&lt;0,ABS(customer_churn_dataset!D813),customer_churn_dataset!D813))</f>
        <v>20.09</v>
      </c>
      <c r="E813" s="7" t="n">
        <f aca="false">IF(ISBLANK(customer_churn_dataset!E813),0,MAX(0,customer_churn_dataset!E813))</f>
        <v>2</v>
      </c>
      <c r="F813" s="8" t="n">
        <f aca="false">IF(ISBLANK(customer_churn_dataset!F813),"",customer_churn_dataset!F813)</f>
        <v>44907</v>
      </c>
      <c r="G813" s="7" t="str">
        <f aca="false">PROPER(TRIM(customer_churn_dataset!G813))</f>
        <v>Paypal</v>
      </c>
      <c r="H813" s="7" t="n">
        <f aca="false">IF(ISBLANK(customer_churn_dataset!H813),0,customer_churn_dataset!H813)</f>
        <v>1</v>
      </c>
      <c r="I813" s="7" t="n">
        <f aca="false">IF(ISBLANK(customer_churn_dataset!I813),ROUND(MEDIAN(customer_churn_dataset!I$2:I$1501),1),MIN(100,MAX(0,customer_churn_dataset!I813)))</f>
        <v>78.7</v>
      </c>
      <c r="J813" s="7" t="n">
        <f aca="false">IF(ISBLANK(customer_churn_dataset!J813),0,MAX(0,customer_churn_dataset!J813))</f>
        <v>24</v>
      </c>
      <c r="K813" s="7" t="n">
        <f aca="false">IF(ISBLANK(customer_churn_dataset!K813),0,MIN(10,MAX(0,customer_churn_dataset!K813)))</f>
        <v>8</v>
      </c>
      <c r="L813" s="7" t="n">
        <f aca="false">IF(ISBLANK(customer_churn_dataset!L813),0,MAX(0,customer_churn_dataset!L813))</f>
        <v>1</v>
      </c>
      <c r="M813" s="7" t="n">
        <f aca="false">IF(ISBLANK(customer_churn_dataset!M813),0,customer_churn_dataset!M813)</f>
        <v>0</v>
      </c>
      <c r="N813" s="7" t="n">
        <f aca="false">IF(ISBLANK(customer_churn_dataset!N813),0,MAX(0,customer_churn_dataset!N813))</f>
        <v>40.18</v>
      </c>
      <c r="O813" s="7" t="n">
        <f aca="false">IF(ISBLANK(customer_churn_dataset!O813),0,customer_churn_dataset!O813)</f>
        <v>0</v>
      </c>
      <c r="P813" s="7" t="str">
        <f aca="false">IF(COUNTIF(customer_churn_dataset!$A$2:$A$1501,customer_churn_dataset!A813)&gt;1,"Duplicate","Unique")</f>
        <v>Unique</v>
      </c>
    </row>
    <row r="814" customFormat="false" ht="14.15" hidden="false" customHeight="true" outlineLevel="0" collapsed="false">
      <c r="A814" s="7" t="str">
        <f aca="false">TRIM(customer_churn_dataset!A814)</f>
        <v>CUST101351</v>
      </c>
      <c r="B814" s="7" t="str">
        <f aca="false">PROPER(TRIM(customer_churn_dataset!B814))</f>
        <v>Standard</v>
      </c>
      <c r="C814" s="7" t="str">
        <f aca="false">PROPER(TRIM(customer_churn_dataset!C814))</f>
        <v>Two Year</v>
      </c>
      <c r="D814" s="7" t="n">
        <f aca="false">IF(ISBLANK(customer_churn_dataset!D814),ROUND(MEDIAN(customer_churn_dataset!D$2:D$1501),2),IF(customer_churn_dataset!D814&lt;0,ABS(customer_churn_dataset!D814),customer_churn_dataset!D814))</f>
        <v>20.54</v>
      </c>
      <c r="E814" s="7" t="n">
        <f aca="false">IF(ISBLANK(customer_churn_dataset!E814),0,MAX(0,customer_churn_dataset!E814))</f>
        <v>10</v>
      </c>
      <c r="F814" s="8" t="n">
        <f aca="false">IF(ISBLANK(customer_churn_dataset!F814),"",customer_churn_dataset!F814)</f>
        <v>44908</v>
      </c>
      <c r="G814" s="7" t="str">
        <f aca="false">PROPER(TRIM(customer_churn_dataset!G814))</f>
        <v>Manual/Invoice</v>
      </c>
      <c r="H814" s="7" t="n">
        <f aca="false">IF(ISBLANK(customer_churn_dataset!H814),0,customer_churn_dataset!H814)</f>
        <v>1</v>
      </c>
      <c r="I814" s="7" t="n">
        <f aca="false">IF(ISBLANK(customer_churn_dataset!I814),ROUND(MEDIAN(customer_churn_dataset!I$2:I$1501),1),MIN(100,MAX(0,customer_churn_dataset!I814)))</f>
        <v>93.3</v>
      </c>
      <c r="J814" s="7" t="n">
        <f aca="false">IF(ISBLANK(customer_churn_dataset!J814),0,MAX(0,customer_churn_dataset!J814))</f>
        <v>23</v>
      </c>
      <c r="K814" s="7" t="n">
        <f aca="false">IF(ISBLANK(customer_churn_dataset!K814),0,MIN(10,MAX(0,customer_churn_dataset!K814)))</f>
        <v>7</v>
      </c>
      <c r="L814" s="7" t="n">
        <f aca="false">IF(ISBLANK(customer_churn_dataset!L814),0,MAX(0,customer_churn_dataset!L814))</f>
        <v>2</v>
      </c>
      <c r="M814" s="7" t="n">
        <f aca="false">IF(ISBLANK(customer_churn_dataset!M814),0,customer_churn_dataset!M814)</f>
        <v>1</v>
      </c>
      <c r="N814" s="7" t="n">
        <f aca="false">IF(ISBLANK(customer_churn_dataset!N814),0,MAX(0,customer_churn_dataset!N814))</f>
        <v>205.4</v>
      </c>
      <c r="O814" s="7" t="n">
        <f aca="false">IF(ISBLANK(customer_churn_dataset!O814),0,customer_churn_dataset!O814)</f>
        <v>0</v>
      </c>
      <c r="P814" s="7" t="str">
        <f aca="false">IF(COUNTIF(customer_churn_dataset!$A$2:$A$1501,customer_churn_dataset!A814)&gt;1,"Duplicate","Unique")</f>
        <v>Unique</v>
      </c>
    </row>
    <row r="815" customFormat="false" ht="14.15" hidden="false" customHeight="true" outlineLevel="0" collapsed="false">
      <c r="A815" s="7" t="str">
        <f aca="false">TRIM(customer_churn_dataset!A815)</f>
        <v>CUST100325</v>
      </c>
      <c r="B815" s="7" t="str">
        <f aca="false">PROPER(TRIM(customer_churn_dataset!B815))</f>
        <v>Standard</v>
      </c>
      <c r="C815" s="7" t="str">
        <f aca="false">PROPER(TRIM(customer_churn_dataset!C815))</f>
        <v>Month-To-Month</v>
      </c>
      <c r="D815" s="7" t="n">
        <f aca="false">IF(ISBLANK(customer_churn_dataset!D815),ROUND(MEDIAN(customer_churn_dataset!D$2:D$1501),2),IF(customer_churn_dataset!D815&lt;0,ABS(customer_churn_dataset!D815),customer_churn_dataset!D815))</f>
        <v>20.92</v>
      </c>
      <c r="E815" s="7" t="n">
        <f aca="false">IF(ISBLANK(customer_churn_dataset!E815),0,MAX(0,customer_churn_dataset!E815))</f>
        <v>26</v>
      </c>
      <c r="F815" s="8" t="n">
        <f aca="false">IF(ISBLANK(customer_churn_dataset!F815),"",customer_churn_dataset!F815)</f>
        <v>44910</v>
      </c>
      <c r="G815" s="7" t="str">
        <f aca="false">PROPER(TRIM(customer_churn_dataset!G815))</f>
        <v>Credit Card</v>
      </c>
      <c r="H815" s="7" t="n">
        <f aca="false">IF(ISBLANK(customer_churn_dataset!H815),0,customer_churn_dataset!H815)</f>
        <v>1</v>
      </c>
      <c r="I815" s="7" t="n">
        <f aca="false">IF(ISBLANK(customer_churn_dataset!I815),ROUND(MEDIAN(customer_churn_dataset!I$2:I$1501),1),MIN(100,MAX(0,customer_churn_dataset!I815)))</f>
        <v>60.7</v>
      </c>
      <c r="J815" s="7" t="n">
        <f aca="false">IF(ISBLANK(customer_churn_dataset!J815),0,MAX(0,customer_churn_dataset!J815))</f>
        <v>18</v>
      </c>
      <c r="K815" s="7" t="n">
        <f aca="false">IF(ISBLANK(customer_churn_dataset!K815),0,MIN(10,MAX(0,customer_churn_dataset!K815)))</f>
        <v>5</v>
      </c>
      <c r="L815" s="7" t="n">
        <f aca="false">IF(ISBLANK(customer_churn_dataset!L815),0,MAX(0,customer_churn_dataset!L815))</f>
        <v>3</v>
      </c>
      <c r="M815" s="7" t="n">
        <f aca="false">IF(ISBLANK(customer_churn_dataset!M815),0,customer_churn_dataset!M815)</f>
        <v>0</v>
      </c>
      <c r="N815" s="7" t="n">
        <f aca="false">IF(ISBLANK(customer_churn_dataset!N815),0,MAX(0,customer_churn_dataset!N815))</f>
        <v>543.92</v>
      </c>
      <c r="O815" s="7" t="n">
        <f aca="false">IF(ISBLANK(customer_churn_dataset!O815),0,customer_churn_dataset!O815)</f>
        <v>0</v>
      </c>
      <c r="P815" s="7" t="str">
        <f aca="false">IF(COUNTIF(customer_churn_dataset!$A$2:$A$1501,customer_churn_dataset!A815)&gt;1,"Duplicate","Unique")</f>
        <v>Unique</v>
      </c>
    </row>
    <row r="816" customFormat="false" ht="14.15" hidden="false" customHeight="true" outlineLevel="0" collapsed="false">
      <c r="A816" s="7" t="str">
        <f aca="false">TRIM(customer_churn_dataset!A816)</f>
        <v>CUST101444</v>
      </c>
      <c r="B816" s="7" t="str">
        <f aca="false">PROPER(TRIM(customer_churn_dataset!B816))</f>
        <v>Premium</v>
      </c>
      <c r="C816" s="7" t="str">
        <f aca="false">PROPER(TRIM(customer_churn_dataset!C816))</f>
        <v>Month-To-Month</v>
      </c>
      <c r="D816" s="7" t="n">
        <f aca="false">IF(ISBLANK(customer_churn_dataset!D816),ROUND(MEDIAN(customer_churn_dataset!D$2:D$1501),2),IF(customer_churn_dataset!D816&lt;0,ABS(customer_churn_dataset!D816),customer_churn_dataset!D816))</f>
        <v>39.37</v>
      </c>
      <c r="E816" s="7" t="n">
        <f aca="false">IF(ISBLANK(customer_churn_dataset!E816),0,MAX(0,customer_churn_dataset!E816))</f>
        <v>9</v>
      </c>
      <c r="F816" s="8" t="n">
        <f aca="false">IF(ISBLANK(customer_churn_dataset!F816),"",customer_churn_dataset!F816)</f>
        <v>44912</v>
      </c>
      <c r="G816" s="7" t="str">
        <f aca="false">PROPER(TRIM(customer_churn_dataset!G816))</f>
        <v>Credit Card</v>
      </c>
      <c r="H816" s="7" t="n">
        <f aca="false">IF(ISBLANK(customer_churn_dataset!H816),0,customer_churn_dataset!H816)</f>
        <v>1</v>
      </c>
      <c r="I816" s="7" t="n">
        <f aca="false">IF(ISBLANK(customer_churn_dataset!I816),ROUND(MEDIAN(customer_churn_dataset!I$2:I$1501),1),MIN(100,MAX(0,customer_churn_dataset!I816)))</f>
        <v>73.9</v>
      </c>
      <c r="J816" s="7" t="n">
        <f aca="false">IF(ISBLANK(customer_churn_dataset!J816),0,MAX(0,customer_churn_dataset!J816))</f>
        <v>20</v>
      </c>
      <c r="K816" s="7" t="n">
        <f aca="false">IF(ISBLANK(customer_churn_dataset!K816),0,MIN(10,MAX(0,customer_churn_dataset!K816)))</f>
        <v>6</v>
      </c>
      <c r="L816" s="7" t="n">
        <f aca="false">IF(ISBLANK(customer_churn_dataset!L816),0,MAX(0,customer_churn_dataset!L816))</f>
        <v>1</v>
      </c>
      <c r="M816" s="7" t="n">
        <f aca="false">IF(ISBLANK(customer_churn_dataset!M816),0,customer_churn_dataset!M816)</f>
        <v>1</v>
      </c>
      <c r="N816" s="7" t="n">
        <f aca="false">IF(ISBLANK(customer_churn_dataset!N816),0,MAX(0,customer_churn_dataset!N816))</f>
        <v>354.33</v>
      </c>
      <c r="O816" s="7" t="n">
        <f aca="false">IF(ISBLANK(customer_churn_dataset!O816),0,customer_churn_dataset!O816)</f>
        <v>0</v>
      </c>
      <c r="P816" s="7" t="str">
        <f aca="false">IF(COUNTIF(customer_churn_dataset!$A$2:$A$1501,customer_churn_dataset!A816)&gt;1,"Duplicate","Unique")</f>
        <v>Unique</v>
      </c>
    </row>
    <row r="817" customFormat="false" ht="14.15" hidden="false" customHeight="true" outlineLevel="0" collapsed="false">
      <c r="A817" s="7" t="str">
        <f aca="false">TRIM(customer_churn_dataset!A817)</f>
        <v>CUST101028</v>
      </c>
      <c r="B817" s="7" t="str">
        <f aca="false">PROPER(TRIM(customer_churn_dataset!B817))</f>
        <v>Basic</v>
      </c>
      <c r="C817" s="7" t="str">
        <f aca="false">PROPER(TRIM(customer_churn_dataset!C817))</f>
        <v>Two Year</v>
      </c>
      <c r="D817" s="7" t="n">
        <f aca="false">IF(ISBLANK(customer_churn_dataset!D817),ROUND(MEDIAN(customer_churn_dataset!D$2:D$1501),2),IF(customer_churn_dataset!D817&lt;0,ABS(customer_churn_dataset!D817),customer_churn_dataset!D817))</f>
        <v>9.56</v>
      </c>
      <c r="E817" s="7" t="n">
        <f aca="false">IF(ISBLANK(customer_churn_dataset!E817),0,MAX(0,customer_churn_dataset!E817))</f>
        <v>13</v>
      </c>
      <c r="F817" s="8" t="n">
        <f aca="false">IF(ISBLANK(customer_churn_dataset!F817),"",customer_churn_dataset!F817)</f>
        <v>44913</v>
      </c>
      <c r="G817" s="7" t="str">
        <f aca="false">PROPER(TRIM(customer_churn_dataset!G817))</f>
        <v>Credit Card</v>
      </c>
      <c r="H817" s="7" t="n">
        <f aca="false">IF(ISBLANK(customer_churn_dataset!H817),0,customer_churn_dataset!H817)</f>
        <v>1</v>
      </c>
      <c r="I817" s="7" t="n">
        <f aca="false">IF(ISBLANK(customer_churn_dataset!I817),ROUND(MEDIAN(customer_churn_dataset!I$2:I$1501),1),MIN(100,MAX(0,customer_churn_dataset!I817)))</f>
        <v>58.2</v>
      </c>
      <c r="J817" s="7" t="n">
        <f aca="false">IF(ISBLANK(customer_churn_dataset!J817),0,MAX(0,customer_churn_dataset!J817))</f>
        <v>19</v>
      </c>
      <c r="K817" s="7" t="n">
        <f aca="false">IF(ISBLANK(customer_churn_dataset!K817),0,MIN(10,MAX(0,customer_churn_dataset!K817)))</f>
        <v>5</v>
      </c>
      <c r="L817" s="7" t="n">
        <f aca="false">IF(ISBLANK(customer_churn_dataset!L817),0,MAX(0,customer_churn_dataset!L817))</f>
        <v>0</v>
      </c>
      <c r="M817" s="7" t="n">
        <f aca="false">IF(ISBLANK(customer_churn_dataset!M817),0,customer_churn_dataset!M817)</f>
        <v>0</v>
      </c>
      <c r="N817" s="7" t="n">
        <f aca="false">IF(ISBLANK(customer_churn_dataset!N817),0,MAX(0,customer_churn_dataset!N817))</f>
        <v>124.28</v>
      </c>
      <c r="O817" s="7" t="n">
        <f aca="false">IF(ISBLANK(customer_churn_dataset!O817),0,customer_churn_dataset!O817)</f>
        <v>0</v>
      </c>
      <c r="P817" s="7" t="str">
        <f aca="false">IF(COUNTIF(customer_churn_dataset!$A$2:$A$1501,customer_churn_dataset!A817)&gt;1,"Duplicate","Unique")</f>
        <v>Unique</v>
      </c>
    </row>
    <row r="818" customFormat="false" ht="14.15" hidden="false" customHeight="true" outlineLevel="0" collapsed="false">
      <c r="A818" s="7" t="str">
        <f aca="false">TRIM(customer_churn_dataset!A818)</f>
        <v>CUST100253</v>
      </c>
      <c r="B818" s="7" t="str">
        <f aca="false">PROPER(TRIM(customer_churn_dataset!B818))</f>
        <v>Basic</v>
      </c>
      <c r="C818" s="7" t="str">
        <f aca="false">PROPER(TRIM(customer_churn_dataset!C818))</f>
        <v>Month-To-Month</v>
      </c>
      <c r="D818" s="7" t="n">
        <f aca="false">IF(ISBLANK(customer_churn_dataset!D818),ROUND(MEDIAN(customer_churn_dataset!D$2:D$1501),2),IF(customer_churn_dataset!D818&lt;0,ABS(customer_churn_dataset!D818),customer_churn_dataset!D818))</f>
        <v>12.16</v>
      </c>
      <c r="E818" s="7" t="n">
        <f aca="false">IF(ISBLANK(customer_churn_dataset!E818),0,MAX(0,customer_churn_dataset!E818))</f>
        <v>7</v>
      </c>
      <c r="F818" s="8" t="n">
        <f aca="false">IF(ISBLANK(customer_churn_dataset!F818),"",customer_churn_dataset!F818)</f>
        <v>44916</v>
      </c>
      <c r="G818" s="7" t="str">
        <f aca="false">PROPER(TRIM(customer_churn_dataset!G818))</f>
        <v>Bank Transfer</v>
      </c>
      <c r="H818" s="7" t="n">
        <f aca="false">IF(ISBLANK(customer_churn_dataset!H818),0,customer_churn_dataset!H818)</f>
        <v>0</v>
      </c>
      <c r="I818" s="7" t="n">
        <f aca="false">IF(ISBLANK(customer_churn_dataset!I818),ROUND(MEDIAN(customer_churn_dataset!I$2:I$1501),1),MIN(100,MAX(0,customer_churn_dataset!I818)))</f>
        <v>42.6</v>
      </c>
      <c r="J818" s="7" t="n">
        <f aca="false">IF(ISBLANK(customer_churn_dataset!J818),0,MAX(0,customer_churn_dataset!J818))</f>
        <v>7</v>
      </c>
      <c r="K818" s="7" t="n">
        <f aca="false">IF(ISBLANK(customer_churn_dataset!K818),0,MIN(10,MAX(0,customer_churn_dataset!K818)))</f>
        <v>5</v>
      </c>
      <c r="L818" s="7" t="n">
        <f aca="false">IF(ISBLANK(customer_churn_dataset!L818),0,MAX(0,customer_churn_dataset!L818))</f>
        <v>3</v>
      </c>
      <c r="M818" s="7" t="n">
        <f aca="false">IF(ISBLANK(customer_churn_dataset!M818),0,customer_churn_dataset!M818)</f>
        <v>1</v>
      </c>
      <c r="N818" s="7" t="n">
        <f aca="false">IF(ISBLANK(customer_churn_dataset!N818),0,MAX(0,customer_churn_dataset!N818))</f>
        <v>85.12</v>
      </c>
      <c r="O818" s="7" t="n">
        <f aca="false">IF(ISBLANK(customer_churn_dataset!O818),0,customer_churn_dataset!O818)</f>
        <v>1</v>
      </c>
      <c r="P818" s="7" t="str">
        <f aca="false">IF(COUNTIF(customer_churn_dataset!$A$2:$A$1501,customer_churn_dataset!A818)&gt;1,"Duplicate","Unique")</f>
        <v>Unique</v>
      </c>
    </row>
    <row r="819" customFormat="false" ht="14.15" hidden="false" customHeight="true" outlineLevel="0" collapsed="false">
      <c r="A819" s="7" t="str">
        <f aca="false">TRIM(customer_churn_dataset!A819)</f>
        <v>CUST101003</v>
      </c>
      <c r="B819" s="7" t="str">
        <f aca="false">PROPER(TRIM(customer_churn_dataset!B819))</f>
        <v>Standard</v>
      </c>
      <c r="C819" s="7" t="str">
        <f aca="false">PROPER(TRIM(customer_churn_dataset!C819))</f>
        <v>Month-To-Month</v>
      </c>
      <c r="D819" s="7" t="n">
        <f aca="false">IF(ISBLANK(customer_churn_dataset!D819),ROUND(MEDIAN(customer_churn_dataset!D$2:D$1501),2),IF(customer_churn_dataset!D819&lt;0,ABS(customer_churn_dataset!D819),customer_churn_dataset!D819))</f>
        <v>21.13</v>
      </c>
      <c r="E819" s="7" t="n">
        <f aca="false">IF(ISBLANK(customer_churn_dataset!E819),0,MAX(0,customer_churn_dataset!E819))</f>
        <v>19</v>
      </c>
      <c r="F819" s="8" t="n">
        <f aca="false">IF(ISBLANK(customer_churn_dataset!F819),"",customer_churn_dataset!F819)</f>
        <v>44916</v>
      </c>
      <c r="G819" s="7" t="str">
        <f aca="false">PROPER(TRIM(customer_churn_dataset!G819))</f>
        <v>Manual/Invoice</v>
      </c>
      <c r="H819" s="7" t="n">
        <f aca="false">IF(ISBLANK(customer_churn_dataset!H819),0,customer_churn_dataset!H819)</f>
        <v>1</v>
      </c>
      <c r="I819" s="7" t="n">
        <f aca="false">IF(ISBLANK(customer_churn_dataset!I819),ROUND(MEDIAN(customer_churn_dataset!I$2:I$1501),1),MIN(100,MAX(0,customer_churn_dataset!I819)))</f>
        <v>38.1</v>
      </c>
      <c r="J819" s="7" t="n">
        <f aca="false">IF(ISBLANK(customer_churn_dataset!J819),0,MAX(0,customer_churn_dataset!J819))</f>
        <v>14</v>
      </c>
      <c r="K819" s="7" t="n">
        <f aca="false">IF(ISBLANK(customer_churn_dataset!K819),0,MIN(10,MAX(0,customer_churn_dataset!K819)))</f>
        <v>4</v>
      </c>
      <c r="L819" s="7" t="n">
        <f aca="false">IF(ISBLANK(customer_churn_dataset!L819),0,MAX(0,customer_churn_dataset!L819))</f>
        <v>1</v>
      </c>
      <c r="M819" s="7" t="n">
        <f aca="false">IF(ISBLANK(customer_churn_dataset!M819),0,customer_churn_dataset!M819)</f>
        <v>0</v>
      </c>
      <c r="N819" s="7" t="n">
        <f aca="false">IF(ISBLANK(customer_churn_dataset!N819),0,MAX(0,customer_churn_dataset!N819))</f>
        <v>401.47</v>
      </c>
      <c r="O819" s="7" t="n">
        <f aca="false">IF(ISBLANK(customer_churn_dataset!O819),0,customer_churn_dataset!O819)</f>
        <v>0</v>
      </c>
      <c r="P819" s="7" t="str">
        <f aca="false">IF(COUNTIF(customer_churn_dataset!$A$2:$A$1501,customer_churn_dataset!A819)&gt;1,"Duplicate","Unique")</f>
        <v>Unique</v>
      </c>
    </row>
    <row r="820" customFormat="false" ht="14.15" hidden="false" customHeight="true" outlineLevel="0" collapsed="false">
      <c r="A820" s="7" t="str">
        <f aca="false">TRIM(customer_churn_dataset!A820)</f>
        <v>CUST100915</v>
      </c>
      <c r="B820" s="7" t="str">
        <f aca="false">PROPER(TRIM(customer_churn_dataset!B820))</f>
        <v>Basic</v>
      </c>
      <c r="C820" s="7" t="str">
        <f aca="false">PROPER(TRIM(customer_churn_dataset!C820))</f>
        <v>One Year</v>
      </c>
      <c r="D820" s="7" t="n">
        <f aca="false">IF(ISBLANK(customer_churn_dataset!D820),ROUND(MEDIAN(customer_churn_dataset!D$2:D$1501),2),IF(customer_churn_dataset!D820&lt;0,ABS(customer_churn_dataset!D820),customer_churn_dataset!D820))</f>
        <v>9.67</v>
      </c>
      <c r="E820" s="7" t="n">
        <f aca="false">IF(ISBLANK(customer_churn_dataset!E820),0,MAX(0,customer_churn_dataset!E820))</f>
        <v>11</v>
      </c>
      <c r="F820" s="8" t="n">
        <f aca="false">IF(ISBLANK(customer_churn_dataset!F820),"",customer_churn_dataset!F820)</f>
        <v>44916</v>
      </c>
      <c r="G820" s="7" t="str">
        <f aca="false">PROPER(TRIM(customer_churn_dataset!G820))</f>
        <v>Credit Card</v>
      </c>
      <c r="H820" s="7" t="n">
        <f aca="false">IF(ISBLANK(customer_churn_dataset!H820),0,customer_churn_dataset!H820)</f>
        <v>0</v>
      </c>
      <c r="I820" s="7" t="n">
        <f aca="false">IF(ISBLANK(customer_churn_dataset!I820),ROUND(MEDIAN(customer_churn_dataset!I$2:I$1501),1),MIN(100,MAX(0,customer_churn_dataset!I820)))</f>
        <v>46.3</v>
      </c>
      <c r="J820" s="7" t="n">
        <f aca="false">IF(ISBLANK(customer_churn_dataset!J820),0,MAX(0,customer_churn_dataset!J820))</f>
        <v>10</v>
      </c>
      <c r="K820" s="7" t="n">
        <f aca="false">IF(ISBLANK(customer_churn_dataset!K820),0,MIN(10,MAX(0,customer_churn_dataset!K820)))</f>
        <v>5</v>
      </c>
      <c r="L820" s="7" t="n">
        <f aca="false">IF(ISBLANK(customer_churn_dataset!L820),0,MAX(0,customer_churn_dataset!L820))</f>
        <v>1</v>
      </c>
      <c r="M820" s="7" t="n">
        <f aca="false">IF(ISBLANK(customer_churn_dataset!M820),0,customer_churn_dataset!M820)</f>
        <v>0</v>
      </c>
      <c r="N820" s="7" t="n">
        <f aca="false">IF(ISBLANK(customer_churn_dataset!N820),0,MAX(0,customer_churn_dataset!N820))</f>
        <v>106.37</v>
      </c>
      <c r="O820" s="7" t="n">
        <f aca="false">IF(ISBLANK(customer_churn_dataset!O820),0,customer_churn_dataset!O820)</f>
        <v>0</v>
      </c>
      <c r="P820" s="7" t="str">
        <f aca="false">IF(COUNTIF(customer_churn_dataset!$A$2:$A$1501,customer_churn_dataset!A820)&gt;1,"Duplicate","Unique")</f>
        <v>Unique</v>
      </c>
    </row>
    <row r="821" customFormat="false" ht="14.15" hidden="false" customHeight="true" outlineLevel="0" collapsed="false">
      <c r="A821" s="7" t="str">
        <f aca="false">TRIM(customer_churn_dataset!A821)</f>
        <v>CUST100361</v>
      </c>
      <c r="B821" s="7" t="str">
        <f aca="false">PROPER(TRIM(customer_churn_dataset!B821))</f>
        <v>Standard</v>
      </c>
      <c r="C821" s="7" t="str">
        <f aca="false">PROPER(TRIM(customer_churn_dataset!C821))</f>
        <v>Month-To-Month</v>
      </c>
      <c r="D821" s="7" t="n">
        <f aca="false">IF(ISBLANK(customer_churn_dataset!D821),ROUND(MEDIAN(customer_churn_dataset!D$2:D$1501),2),IF(customer_churn_dataset!D821&lt;0,ABS(customer_churn_dataset!D821),customer_churn_dataset!D821))</f>
        <v>20.57</v>
      </c>
      <c r="E821" s="7" t="n">
        <f aca="false">IF(ISBLANK(customer_churn_dataset!E821),0,MAX(0,customer_churn_dataset!E821))</f>
        <v>47</v>
      </c>
      <c r="F821" s="8" t="n">
        <f aca="false">IF(ISBLANK(customer_churn_dataset!F821),"",customer_churn_dataset!F821)</f>
        <v>44917</v>
      </c>
      <c r="G821" s="7" t="str">
        <f aca="false">PROPER(TRIM(customer_churn_dataset!G821))</f>
        <v>Credit Card</v>
      </c>
      <c r="H821" s="7" t="n">
        <f aca="false">IF(ISBLANK(customer_churn_dataset!H821),0,customer_churn_dataset!H821)</f>
        <v>1</v>
      </c>
      <c r="I821" s="7" t="n">
        <f aca="false">IF(ISBLANK(customer_churn_dataset!I821),ROUND(MEDIAN(customer_churn_dataset!I$2:I$1501),1),MIN(100,MAX(0,customer_churn_dataset!I821)))</f>
        <v>81.9</v>
      </c>
      <c r="J821" s="7" t="n">
        <f aca="false">IF(ISBLANK(customer_churn_dataset!J821),0,MAX(0,customer_churn_dataset!J821))</f>
        <v>25</v>
      </c>
      <c r="K821" s="7" t="n">
        <f aca="false">IF(ISBLANK(customer_churn_dataset!K821),0,MIN(10,MAX(0,customer_churn_dataset!K821)))</f>
        <v>7</v>
      </c>
      <c r="L821" s="7" t="n">
        <f aca="false">IF(ISBLANK(customer_churn_dataset!L821),0,MAX(0,customer_churn_dataset!L821))</f>
        <v>0</v>
      </c>
      <c r="M821" s="7" t="n">
        <f aca="false">IF(ISBLANK(customer_churn_dataset!M821),0,customer_churn_dataset!M821)</f>
        <v>0</v>
      </c>
      <c r="N821" s="7" t="n">
        <f aca="false">IF(ISBLANK(customer_churn_dataset!N821),0,MAX(0,customer_churn_dataset!N821))</f>
        <v>966.79</v>
      </c>
      <c r="O821" s="7" t="n">
        <f aca="false">IF(ISBLANK(customer_churn_dataset!O821),0,customer_churn_dataset!O821)</f>
        <v>0</v>
      </c>
      <c r="P821" s="7" t="str">
        <f aca="false">IF(COUNTIF(customer_churn_dataset!$A$2:$A$1501,customer_churn_dataset!A821)&gt;1,"Duplicate","Unique")</f>
        <v>Unique</v>
      </c>
    </row>
    <row r="822" customFormat="false" ht="14.15" hidden="false" customHeight="true" outlineLevel="0" collapsed="false">
      <c r="A822" s="7" t="str">
        <f aca="false">TRIM(customer_churn_dataset!A822)</f>
        <v>CUST101019</v>
      </c>
      <c r="B822" s="7" t="str">
        <f aca="false">PROPER(TRIM(customer_churn_dataset!B822))</f>
        <v>Basic</v>
      </c>
      <c r="C822" s="7" t="str">
        <f aca="false">PROPER(TRIM(customer_churn_dataset!C822))</f>
        <v>One Year</v>
      </c>
      <c r="D822" s="7" t="n">
        <f aca="false">IF(ISBLANK(customer_churn_dataset!D822),ROUND(MEDIAN(customer_churn_dataset!D$2:D$1501),2),IF(customer_churn_dataset!D822&lt;0,ABS(customer_churn_dataset!D822),customer_churn_dataset!D822))</f>
        <v>10</v>
      </c>
      <c r="E822" s="7" t="n">
        <f aca="false">IF(ISBLANK(customer_churn_dataset!E822),0,MAX(0,customer_churn_dataset!E822))</f>
        <v>14</v>
      </c>
      <c r="F822" s="8" t="n">
        <f aca="false">IF(ISBLANK(customer_churn_dataset!F822),"",customer_churn_dataset!F822)</f>
        <v>44917</v>
      </c>
      <c r="G822" s="7" t="str">
        <f aca="false">PROPER(TRIM(customer_churn_dataset!G822))</f>
        <v>Credit Card</v>
      </c>
      <c r="H822" s="7" t="n">
        <f aca="false">IF(ISBLANK(customer_churn_dataset!H822),0,customer_churn_dataset!H822)</f>
        <v>0</v>
      </c>
      <c r="I822" s="7" t="n">
        <f aca="false">IF(ISBLANK(customer_churn_dataset!I822),ROUND(MEDIAN(customer_churn_dataset!I$2:I$1501),1),MIN(100,MAX(0,customer_churn_dataset!I822)))</f>
        <v>20.2</v>
      </c>
      <c r="J822" s="7" t="n">
        <f aca="false">IF(ISBLANK(customer_churn_dataset!J822),0,MAX(0,customer_churn_dataset!J822))</f>
        <v>3</v>
      </c>
      <c r="K822" s="7" t="n">
        <f aca="false">IF(ISBLANK(customer_churn_dataset!K822),0,MIN(10,MAX(0,customer_churn_dataset!K822)))</f>
        <v>3</v>
      </c>
      <c r="L822" s="7" t="n">
        <f aca="false">IF(ISBLANK(customer_churn_dataset!L822),0,MAX(0,customer_churn_dataset!L822))</f>
        <v>1</v>
      </c>
      <c r="M822" s="7" t="n">
        <f aca="false">IF(ISBLANK(customer_churn_dataset!M822),0,customer_churn_dataset!M822)</f>
        <v>0</v>
      </c>
      <c r="N822" s="7" t="n">
        <f aca="false">IF(ISBLANK(customer_churn_dataset!N822),0,MAX(0,customer_churn_dataset!N822))</f>
        <v>140</v>
      </c>
      <c r="O822" s="7" t="n">
        <f aca="false">IF(ISBLANK(customer_churn_dataset!O822),0,customer_churn_dataset!O822)</f>
        <v>0</v>
      </c>
      <c r="P822" s="7" t="str">
        <f aca="false">IF(COUNTIF(customer_churn_dataset!$A$2:$A$1501,customer_churn_dataset!A822)&gt;1,"Duplicate","Unique")</f>
        <v>Unique</v>
      </c>
    </row>
    <row r="823" customFormat="false" ht="14.15" hidden="false" customHeight="true" outlineLevel="0" collapsed="false">
      <c r="A823" s="7" t="str">
        <f aca="false">TRIM(customer_churn_dataset!A823)</f>
        <v>CUST100113</v>
      </c>
      <c r="B823" s="7" t="str">
        <f aca="false">PROPER(TRIM(customer_churn_dataset!B823))</f>
        <v>Premium</v>
      </c>
      <c r="C823" s="7" t="str">
        <f aca="false">PROPER(TRIM(customer_churn_dataset!C823))</f>
        <v>Month-To-Month</v>
      </c>
      <c r="D823" s="7" t="n">
        <f aca="false">IF(ISBLANK(customer_churn_dataset!D823),ROUND(MEDIAN(customer_churn_dataset!D$2:D$1501),2),IF(customer_churn_dataset!D823&lt;0,ABS(customer_churn_dataset!D823),customer_churn_dataset!D823))</f>
        <v>39.67</v>
      </c>
      <c r="E823" s="7" t="n">
        <f aca="false">IF(ISBLANK(customer_churn_dataset!E823),0,MAX(0,customer_churn_dataset!E823))</f>
        <v>0</v>
      </c>
      <c r="F823" s="8" t="n">
        <f aca="false">IF(ISBLANK(customer_churn_dataset!F823),"",customer_churn_dataset!F823)</f>
        <v>44920</v>
      </c>
      <c r="G823" s="7" t="str">
        <f aca="false">PROPER(TRIM(customer_churn_dataset!G823))</f>
        <v>Credit Card</v>
      </c>
      <c r="H823" s="7" t="n">
        <f aca="false">IF(ISBLANK(customer_churn_dataset!H823),0,customer_churn_dataset!H823)</f>
        <v>1</v>
      </c>
      <c r="I823" s="7" t="n">
        <f aca="false">IF(ISBLANK(customer_churn_dataset!I823),ROUND(MEDIAN(customer_churn_dataset!I$2:I$1501),1),MIN(100,MAX(0,customer_churn_dataset!I823)))</f>
        <v>67.2</v>
      </c>
      <c r="J823" s="7" t="n">
        <f aca="false">IF(ISBLANK(customer_churn_dataset!J823),0,MAX(0,customer_churn_dataset!J823))</f>
        <v>19</v>
      </c>
      <c r="K823" s="7" t="n">
        <f aca="false">IF(ISBLANK(customer_churn_dataset!K823),0,MIN(10,MAX(0,customer_churn_dataset!K823)))</f>
        <v>7</v>
      </c>
      <c r="L823" s="7" t="n">
        <f aca="false">IF(ISBLANK(customer_churn_dataset!L823),0,MAX(0,customer_churn_dataset!L823))</f>
        <v>0</v>
      </c>
      <c r="M823" s="7" t="n">
        <f aca="false">IF(ISBLANK(customer_churn_dataset!M823),0,customer_churn_dataset!M823)</f>
        <v>0</v>
      </c>
      <c r="N823" s="7" t="n">
        <f aca="false">IF(ISBLANK(customer_churn_dataset!N823),0,MAX(0,customer_churn_dataset!N823))</f>
        <v>0</v>
      </c>
      <c r="O823" s="7" t="n">
        <f aca="false">IF(ISBLANK(customer_churn_dataset!O823),0,customer_churn_dataset!O823)</f>
        <v>0</v>
      </c>
      <c r="P823" s="7" t="str">
        <f aca="false">IF(COUNTIF(customer_churn_dataset!$A$2:$A$1501,customer_churn_dataset!A823)&gt;1,"Duplicate","Unique")</f>
        <v>Unique</v>
      </c>
    </row>
    <row r="824" customFormat="false" ht="14.15" hidden="false" customHeight="true" outlineLevel="0" collapsed="false">
      <c r="A824" s="7" t="str">
        <f aca="false">TRIM(customer_churn_dataset!A824)</f>
        <v>CUST100406</v>
      </c>
      <c r="B824" s="7" t="str">
        <f aca="false">PROPER(TRIM(customer_churn_dataset!B824))</f>
        <v>Basic</v>
      </c>
      <c r="C824" s="7" t="str">
        <f aca="false">PROPER(TRIM(customer_churn_dataset!C824))</f>
        <v>Month-To-Month</v>
      </c>
      <c r="D824" s="7" t="n">
        <f aca="false">IF(ISBLANK(customer_churn_dataset!D824),ROUND(MEDIAN(customer_churn_dataset!D$2:D$1501),2),IF(customer_churn_dataset!D824&lt;0,ABS(customer_churn_dataset!D824),customer_churn_dataset!D824))</f>
        <v>10.06</v>
      </c>
      <c r="E824" s="7" t="n">
        <f aca="false">IF(ISBLANK(customer_churn_dataset!E824),0,MAX(0,customer_churn_dataset!E824))</f>
        <v>7</v>
      </c>
      <c r="F824" s="8" t="n">
        <f aca="false">IF(ISBLANK(customer_churn_dataset!F824),"",customer_churn_dataset!F824)</f>
        <v>44920</v>
      </c>
      <c r="G824" s="7" t="str">
        <f aca="false">PROPER(TRIM(customer_churn_dataset!G824))</f>
        <v>Paypal</v>
      </c>
      <c r="H824" s="7" t="n">
        <f aca="false">IF(ISBLANK(customer_churn_dataset!H824),0,customer_churn_dataset!H824)</f>
        <v>0</v>
      </c>
      <c r="I824" s="7" t="n">
        <f aca="false">IF(ISBLANK(customer_churn_dataset!I824),ROUND(MEDIAN(customer_churn_dataset!I$2:I$1501),1),MIN(100,MAX(0,customer_churn_dataset!I824)))</f>
        <v>38.8</v>
      </c>
      <c r="J824" s="7" t="n">
        <f aca="false">IF(ISBLANK(customer_churn_dataset!J824),0,MAX(0,customer_churn_dataset!J824))</f>
        <v>11</v>
      </c>
      <c r="K824" s="7" t="n">
        <f aca="false">IF(ISBLANK(customer_churn_dataset!K824),0,MIN(10,MAX(0,customer_churn_dataset!K824)))</f>
        <v>0</v>
      </c>
      <c r="L824" s="7" t="n">
        <f aca="false">IF(ISBLANK(customer_churn_dataset!L824),0,MAX(0,customer_churn_dataset!L824))</f>
        <v>1</v>
      </c>
      <c r="M824" s="7" t="n">
        <f aca="false">IF(ISBLANK(customer_churn_dataset!M824),0,customer_churn_dataset!M824)</f>
        <v>0</v>
      </c>
      <c r="N824" s="7" t="n">
        <f aca="false">IF(ISBLANK(customer_churn_dataset!N824),0,MAX(0,customer_churn_dataset!N824))</f>
        <v>70.42</v>
      </c>
      <c r="O824" s="7" t="n">
        <f aca="false">IF(ISBLANK(customer_churn_dataset!O824),0,customer_churn_dataset!O824)</f>
        <v>0</v>
      </c>
      <c r="P824" s="7" t="str">
        <f aca="false">IF(COUNTIF(customer_churn_dataset!$A$2:$A$1501,customer_churn_dataset!A824)&gt;1,"Duplicate","Unique")</f>
        <v>Unique</v>
      </c>
    </row>
    <row r="825" customFormat="false" ht="14.15" hidden="false" customHeight="true" outlineLevel="0" collapsed="false">
      <c r="A825" s="7" t="str">
        <f aca="false">TRIM(customer_churn_dataset!A825)</f>
        <v>CUST100517</v>
      </c>
      <c r="B825" s="7" t="str">
        <f aca="false">PROPER(TRIM(customer_churn_dataset!B825))</f>
        <v>Premium</v>
      </c>
      <c r="C825" s="7" t="str">
        <f aca="false">PROPER(TRIM(customer_churn_dataset!C825))</f>
        <v>Month-To-Month</v>
      </c>
      <c r="D825" s="7" t="n">
        <f aca="false">IF(ISBLANK(customer_churn_dataset!D825),ROUND(MEDIAN(customer_churn_dataset!D$2:D$1501),2),IF(customer_churn_dataset!D825&lt;0,ABS(customer_churn_dataset!D825),customer_churn_dataset!D825))</f>
        <v>41.51</v>
      </c>
      <c r="E825" s="7" t="n">
        <f aca="false">IF(ISBLANK(customer_churn_dataset!E825),0,MAX(0,customer_churn_dataset!E825))</f>
        <v>0</v>
      </c>
      <c r="F825" s="8" t="n">
        <f aca="false">IF(ISBLANK(customer_churn_dataset!F825),"",customer_churn_dataset!F825)</f>
        <v>44923</v>
      </c>
      <c r="G825" s="7" t="str">
        <f aca="false">PROPER(TRIM(customer_churn_dataset!G825))</f>
        <v>Paypal</v>
      </c>
      <c r="H825" s="7" t="n">
        <f aca="false">IF(ISBLANK(customer_churn_dataset!H825),0,customer_churn_dataset!H825)</f>
        <v>0</v>
      </c>
      <c r="I825" s="7" t="n">
        <f aca="false">IF(ISBLANK(customer_churn_dataset!I825),ROUND(MEDIAN(customer_churn_dataset!I$2:I$1501),1),MIN(100,MAX(0,customer_churn_dataset!I825)))</f>
        <v>53.4</v>
      </c>
      <c r="J825" s="7" t="n">
        <f aca="false">IF(ISBLANK(customer_churn_dataset!J825),0,MAX(0,customer_churn_dataset!J825))</f>
        <v>8</v>
      </c>
      <c r="K825" s="7" t="n">
        <f aca="false">IF(ISBLANK(customer_churn_dataset!K825),0,MIN(10,MAX(0,customer_churn_dataset!K825)))</f>
        <v>4</v>
      </c>
      <c r="L825" s="7" t="n">
        <f aca="false">IF(ISBLANK(customer_churn_dataset!L825),0,MAX(0,customer_churn_dataset!L825))</f>
        <v>2</v>
      </c>
      <c r="M825" s="7" t="n">
        <f aca="false">IF(ISBLANK(customer_churn_dataset!M825),0,customer_churn_dataset!M825)</f>
        <v>0</v>
      </c>
      <c r="N825" s="7" t="n">
        <f aca="false">IF(ISBLANK(customer_churn_dataset!N825),0,MAX(0,customer_churn_dataset!N825))</f>
        <v>0</v>
      </c>
      <c r="O825" s="7" t="n">
        <f aca="false">IF(ISBLANK(customer_churn_dataset!O825),0,customer_churn_dataset!O825)</f>
        <v>0</v>
      </c>
      <c r="P825" s="7" t="str">
        <f aca="false">IF(COUNTIF(customer_churn_dataset!$A$2:$A$1501,customer_churn_dataset!A825)&gt;1,"Duplicate","Unique")</f>
        <v>Unique</v>
      </c>
    </row>
    <row r="826" customFormat="false" ht="14.15" hidden="false" customHeight="true" outlineLevel="0" collapsed="false">
      <c r="A826" s="7" t="str">
        <f aca="false">TRIM(customer_churn_dataset!A826)</f>
        <v>CUST101122</v>
      </c>
      <c r="B826" s="7" t="str">
        <f aca="false">PROPER(TRIM(customer_churn_dataset!B826))</f>
        <v>Premium</v>
      </c>
      <c r="C826" s="7" t="str">
        <f aca="false">PROPER(TRIM(customer_churn_dataset!C826))</f>
        <v>One Year</v>
      </c>
      <c r="D826" s="7" t="n">
        <f aca="false">IF(ISBLANK(customer_churn_dataset!D826),ROUND(MEDIAN(customer_churn_dataset!D$2:D$1501),2),IF(customer_churn_dataset!D826&lt;0,ABS(customer_churn_dataset!D826),customer_churn_dataset!D826))</f>
        <v>41.18</v>
      </c>
      <c r="E826" s="7" t="n">
        <f aca="false">IF(ISBLANK(customer_churn_dataset!E826),0,MAX(0,customer_churn_dataset!E826))</f>
        <v>24</v>
      </c>
      <c r="F826" s="8" t="n">
        <f aca="false">IF(ISBLANK(customer_churn_dataset!F826),"",customer_churn_dataset!F826)</f>
        <v>44930</v>
      </c>
      <c r="G826" s="7" t="str">
        <f aca="false">PROPER(TRIM(customer_churn_dataset!G826))</f>
        <v>Paypal</v>
      </c>
      <c r="H826" s="7" t="n">
        <f aca="false">IF(ISBLANK(customer_churn_dataset!H826),0,customer_churn_dataset!H826)</f>
        <v>1</v>
      </c>
      <c r="I826" s="7" t="n">
        <f aca="false">IF(ISBLANK(customer_churn_dataset!I826),ROUND(MEDIAN(customer_churn_dataset!I$2:I$1501),1),MIN(100,MAX(0,customer_churn_dataset!I826)))</f>
        <v>45.9</v>
      </c>
      <c r="J826" s="7" t="n">
        <f aca="false">IF(ISBLANK(customer_churn_dataset!J826),0,MAX(0,customer_churn_dataset!J826))</f>
        <v>15</v>
      </c>
      <c r="K826" s="7" t="n">
        <f aca="false">IF(ISBLANK(customer_churn_dataset!K826),0,MIN(10,MAX(0,customer_churn_dataset!K826)))</f>
        <v>6</v>
      </c>
      <c r="L826" s="7" t="n">
        <f aca="false">IF(ISBLANK(customer_churn_dataset!L826),0,MAX(0,customer_churn_dataset!L826))</f>
        <v>2</v>
      </c>
      <c r="M826" s="7" t="n">
        <f aca="false">IF(ISBLANK(customer_churn_dataset!M826),0,customer_churn_dataset!M826)</f>
        <v>0</v>
      </c>
      <c r="N826" s="7" t="n">
        <f aca="false">IF(ISBLANK(customer_churn_dataset!N826),0,MAX(0,customer_churn_dataset!N826))</f>
        <v>988.32</v>
      </c>
      <c r="O826" s="7" t="n">
        <f aca="false">IF(ISBLANK(customer_churn_dataset!O826),0,customer_churn_dataset!O826)</f>
        <v>0</v>
      </c>
      <c r="P826" s="7" t="str">
        <f aca="false">IF(COUNTIF(customer_churn_dataset!$A$2:$A$1501,customer_churn_dataset!A826)&gt;1,"Duplicate","Unique")</f>
        <v>Unique</v>
      </c>
    </row>
    <row r="827" customFormat="false" ht="14.15" hidden="false" customHeight="true" outlineLevel="0" collapsed="false">
      <c r="A827" s="7" t="str">
        <f aca="false">TRIM(customer_churn_dataset!A827)</f>
        <v>CUST100493</v>
      </c>
      <c r="B827" s="7" t="str">
        <f aca="false">PROPER(TRIM(customer_churn_dataset!B827))</f>
        <v>Basic</v>
      </c>
      <c r="C827" s="7" t="str">
        <f aca="false">PROPER(TRIM(customer_churn_dataset!C827))</f>
        <v>One Year</v>
      </c>
      <c r="D827" s="7" t="n">
        <f aca="false">IF(ISBLANK(customer_churn_dataset!D827),ROUND(MEDIAN(customer_churn_dataset!D$2:D$1501),2),IF(customer_churn_dataset!D827&lt;0,ABS(customer_churn_dataset!D827),customer_churn_dataset!D827))</f>
        <v>9.64</v>
      </c>
      <c r="E827" s="7" t="n">
        <f aca="false">IF(ISBLANK(customer_churn_dataset!E827),0,MAX(0,customer_churn_dataset!E827))</f>
        <v>15</v>
      </c>
      <c r="F827" s="8" t="n">
        <f aca="false">IF(ISBLANK(customer_churn_dataset!F827),"",customer_churn_dataset!F827)</f>
        <v>44933</v>
      </c>
      <c r="G827" s="7" t="str">
        <f aca="false">PROPER(TRIM(customer_churn_dataset!G827))</f>
        <v>Paypal</v>
      </c>
      <c r="H827" s="7" t="n">
        <f aca="false">IF(ISBLANK(customer_churn_dataset!H827),0,customer_churn_dataset!H827)</f>
        <v>1</v>
      </c>
      <c r="I827" s="7" t="n">
        <f aca="false">IF(ISBLANK(customer_churn_dataset!I827),ROUND(MEDIAN(customer_churn_dataset!I$2:I$1501),1),MIN(100,MAX(0,customer_churn_dataset!I827)))</f>
        <v>64.3</v>
      </c>
      <c r="J827" s="7" t="n">
        <f aca="false">IF(ISBLANK(customer_churn_dataset!J827),0,MAX(0,customer_churn_dataset!J827))</f>
        <v>20</v>
      </c>
      <c r="K827" s="7" t="n">
        <f aca="false">IF(ISBLANK(customer_churn_dataset!K827),0,MIN(10,MAX(0,customer_churn_dataset!K827)))</f>
        <v>6</v>
      </c>
      <c r="L827" s="7" t="n">
        <f aca="false">IF(ISBLANK(customer_churn_dataset!L827),0,MAX(0,customer_churn_dataset!L827))</f>
        <v>0</v>
      </c>
      <c r="M827" s="7" t="n">
        <f aca="false">IF(ISBLANK(customer_churn_dataset!M827),0,customer_churn_dataset!M827)</f>
        <v>0</v>
      </c>
      <c r="N827" s="7" t="n">
        <f aca="false">IF(ISBLANK(customer_churn_dataset!N827),0,MAX(0,customer_churn_dataset!N827))</f>
        <v>144.6</v>
      </c>
      <c r="O827" s="7" t="n">
        <f aca="false">IF(ISBLANK(customer_churn_dataset!O827),0,customer_churn_dataset!O827)</f>
        <v>0</v>
      </c>
      <c r="P827" s="7" t="str">
        <f aca="false">IF(COUNTIF(customer_churn_dataset!$A$2:$A$1501,customer_churn_dataset!A827)&gt;1,"Duplicate","Unique")</f>
        <v>Unique</v>
      </c>
    </row>
    <row r="828" customFormat="false" ht="14.15" hidden="false" customHeight="true" outlineLevel="0" collapsed="false">
      <c r="A828" s="7" t="str">
        <f aca="false">TRIM(customer_churn_dataset!A828)</f>
        <v>CUST100304</v>
      </c>
      <c r="B828" s="7" t="str">
        <f aca="false">PROPER(TRIM(customer_churn_dataset!B828))</f>
        <v>Standard</v>
      </c>
      <c r="C828" s="7" t="str">
        <f aca="false">PROPER(TRIM(customer_churn_dataset!C828))</f>
        <v>Month-To-Month</v>
      </c>
      <c r="D828" s="7" t="n">
        <f aca="false">IF(ISBLANK(customer_churn_dataset!D828),ROUND(MEDIAN(customer_churn_dataset!D$2:D$1501),2),IF(customer_churn_dataset!D828&lt;0,ABS(customer_churn_dataset!D828),customer_churn_dataset!D828))</f>
        <v>19.41</v>
      </c>
      <c r="E828" s="7" t="n">
        <f aca="false">IF(ISBLANK(customer_churn_dataset!E828),0,MAX(0,customer_churn_dataset!E828))</f>
        <v>12</v>
      </c>
      <c r="F828" s="8" t="n">
        <f aca="false">IF(ISBLANK(customer_churn_dataset!F828),"",customer_churn_dataset!F828)</f>
        <v>44935</v>
      </c>
      <c r="G828" s="7" t="str">
        <f aca="false">PROPER(TRIM(customer_churn_dataset!G828))</f>
        <v>Credit Card</v>
      </c>
      <c r="H828" s="7" t="n">
        <f aca="false">IF(ISBLANK(customer_churn_dataset!H828),0,customer_churn_dataset!H828)</f>
        <v>1</v>
      </c>
      <c r="I828" s="7" t="n">
        <f aca="false">IF(ISBLANK(customer_churn_dataset!I828),ROUND(MEDIAN(customer_churn_dataset!I$2:I$1501),1),MIN(100,MAX(0,customer_churn_dataset!I828)))</f>
        <v>76.3</v>
      </c>
      <c r="J828" s="7" t="n">
        <f aca="false">IF(ISBLANK(customer_churn_dataset!J828),0,MAX(0,customer_churn_dataset!J828))</f>
        <v>28</v>
      </c>
      <c r="K828" s="7" t="n">
        <f aca="false">IF(ISBLANK(customer_churn_dataset!K828),0,MIN(10,MAX(0,customer_churn_dataset!K828)))</f>
        <v>10</v>
      </c>
      <c r="L828" s="7" t="n">
        <f aca="false">IF(ISBLANK(customer_churn_dataset!L828),0,MAX(0,customer_churn_dataset!L828))</f>
        <v>4</v>
      </c>
      <c r="M828" s="7" t="n">
        <f aca="false">IF(ISBLANK(customer_churn_dataset!M828),0,customer_churn_dataset!M828)</f>
        <v>0</v>
      </c>
      <c r="N828" s="7" t="n">
        <f aca="false">IF(ISBLANK(customer_churn_dataset!N828),0,MAX(0,customer_churn_dataset!N828))</f>
        <v>232.92</v>
      </c>
      <c r="O828" s="7" t="n">
        <f aca="false">IF(ISBLANK(customer_churn_dataset!O828),0,customer_churn_dataset!O828)</f>
        <v>0</v>
      </c>
      <c r="P828" s="7" t="str">
        <f aca="false">IF(COUNTIF(customer_churn_dataset!$A$2:$A$1501,customer_churn_dataset!A828)&gt;1,"Duplicate","Unique")</f>
        <v>Unique</v>
      </c>
    </row>
    <row r="829" customFormat="false" ht="14.15" hidden="false" customHeight="true" outlineLevel="0" collapsed="false">
      <c r="A829" s="7" t="str">
        <f aca="false">TRIM(customer_churn_dataset!A829)</f>
        <v>CUST100143</v>
      </c>
      <c r="B829" s="7" t="str">
        <f aca="false">PROPER(TRIM(customer_churn_dataset!B829))</f>
        <v>Basic</v>
      </c>
      <c r="C829" s="7" t="str">
        <f aca="false">PROPER(TRIM(customer_churn_dataset!C829))</f>
        <v>Month-To-Month</v>
      </c>
      <c r="D829" s="7" t="n">
        <f aca="false">IF(ISBLANK(customer_churn_dataset!D829),ROUND(MEDIAN(customer_churn_dataset!D$2:D$1501),2),IF(customer_churn_dataset!D829&lt;0,ABS(customer_churn_dataset!D829),customer_churn_dataset!D829))</f>
        <v>9.23</v>
      </c>
      <c r="E829" s="7" t="n">
        <f aca="false">IF(ISBLANK(customer_churn_dataset!E829),0,MAX(0,customer_churn_dataset!E829))</f>
        <v>12</v>
      </c>
      <c r="F829" s="8" t="n">
        <f aca="false">IF(ISBLANK(customer_churn_dataset!F829),"",customer_churn_dataset!F829)</f>
        <v>44935</v>
      </c>
      <c r="G829" s="7" t="str">
        <f aca="false">PROPER(TRIM(customer_churn_dataset!G829))</f>
        <v>Paypal</v>
      </c>
      <c r="H829" s="7" t="n">
        <f aca="false">IF(ISBLANK(customer_churn_dataset!H829),0,customer_churn_dataset!H829)</f>
        <v>0</v>
      </c>
      <c r="I829" s="7" t="n">
        <f aca="false">IF(ISBLANK(customer_churn_dataset!I829),ROUND(MEDIAN(customer_churn_dataset!I$2:I$1501),1),MIN(100,MAX(0,customer_churn_dataset!I829)))</f>
        <v>51.7</v>
      </c>
      <c r="J829" s="7" t="n">
        <f aca="false">IF(ISBLANK(customer_churn_dataset!J829),0,MAX(0,customer_churn_dataset!J829))</f>
        <v>14</v>
      </c>
      <c r="K829" s="7" t="n">
        <f aca="false">IF(ISBLANK(customer_churn_dataset!K829),0,MIN(10,MAX(0,customer_churn_dataset!K829)))</f>
        <v>6</v>
      </c>
      <c r="L829" s="7" t="n">
        <f aca="false">IF(ISBLANK(customer_churn_dataset!L829),0,MAX(0,customer_churn_dataset!L829))</f>
        <v>0</v>
      </c>
      <c r="M829" s="7" t="n">
        <f aca="false">IF(ISBLANK(customer_churn_dataset!M829),0,customer_churn_dataset!M829)</f>
        <v>0</v>
      </c>
      <c r="N829" s="7" t="n">
        <f aca="false">IF(ISBLANK(customer_churn_dataset!N829),0,MAX(0,customer_churn_dataset!N829))</f>
        <v>110.76</v>
      </c>
      <c r="O829" s="7" t="n">
        <f aca="false">IF(ISBLANK(customer_churn_dataset!O829),0,customer_churn_dataset!O829)</f>
        <v>0</v>
      </c>
      <c r="P829" s="7" t="str">
        <f aca="false">IF(COUNTIF(customer_churn_dataset!$A$2:$A$1501,customer_churn_dataset!A829)&gt;1,"Duplicate","Unique")</f>
        <v>Unique</v>
      </c>
    </row>
    <row r="830" customFormat="false" ht="14.15" hidden="false" customHeight="true" outlineLevel="0" collapsed="false">
      <c r="A830" s="7" t="str">
        <f aca="false">TRIM(customer_churn_dataset!A830)</f>
        <v>CUST101477</v>
      </c>
      <c r="B830" s="7" t="str">
        <f aca="false">PROPER(TRIM(customer_churn_dataset!B830))</f>
        <v>Standard</v>
      </c>
      <c r="C830" s="7" t="str">
        <f aca="false">PROPER(TRIM(customer_churn_dataset!C830))</f>
        <v>Month-To-Month</v>
      </c>
      <c r="D830" s="7" t="n">
        <f aca="false">IF(ISBLANK(customer_churn_dataset!D830),ROUND(MEDIAN(customer_churn_dataset!D$2:D$1501),2),IF(customer_churn_dataset!D830&lt;0,ABS(customer_churn_dataset!D830),customer_churn_dataset!D830))</f>
        <v>20.93</v>
      </c>
      <c r="E830" s="7" t="n">
        <f aca="false">IF(ISBLANK(customer_churn_dataset!E830),0,MAX(0,customer_churn_dataset!E830))</f>
        <v>38</v>
      </c>
      <c r="F830" s="8" t="n">
        <f aca="false">IF(ISBLANK(customer_churn_dataset!F830),"",customer_churn_dataset!F830)</f>
        <v>44936</v>
      </c>
      <c r="G830" s="7" t="str">
        <f aca="false">PROPER(TRIM(customer_churn_dataset!G830))</f>
        <v>Paypal</v>
      </c>
      <c r="H830" s="7" t="n">
        <f aca="false">IF(ISBLANK(customer_churn_dataset!H830),0,customer_churn_dataset!H830)</f>
        <v>1</v>
      </c>
      <c r="I830" s="7" t="n">
        <f aca="false">IF(ISBLANK(customer_churn_dataset!I830),ROUND(MEDIAN(customer_churn_dataset!I$2:I$1501),1),MIN(100,MAX(0,customer_churn_dataset!I830)))</f>
        <v>0</v>
      </c>
      <c r="J830" s="7" t="n">
        <f aca="false">IF(ISBLANK(customer_churn_dataset!J830),0,MAX(0,customer_churn_dataset!J830))</f>
        <v>0</v>
      </c>
      <c r="K830" s="7" t="n">
        <f aca="false">IF(ISBLANK(customer_churn_dataset!K830),0,MIN(10,MAX(0,customer_churn_dataset!K830)))</f>
        <v>0</v>
      </c>
      <c r="L830" s="7" t="n">
        <f aca="false">IF(ISBLANK(customer_churn_dataset!L830),0,MAX(0,customer_churn_dataset!L830))</f>
        <v>11</v>
      </c>
      <c r="M830" s="7" t="n">
        <f aca="false">IF(ISBLANK(customer_churn_dataset!M830),0,customer_churn_dataset!M830)</f>
        <v>0</v>
      </c>
      <c r="N830" s="7" t="n">
        <f aca="false">IF(ISBLANK(customer_churn_dataset!N830),0,MAX(0,customer_churn_dataset!N830))</f>
        <v>795.34</v>
      </c>
      <c r="O830" s="7" t="n">
        <f aca="false">IF(ISBLANK(customer_churn_dataset!O830),0,customer_churn_dataset!O830)</f>
        <v>1</v>
      </c>
      <c r="P830" s="7" t="str">
        <f aca="false">IF(COUNTIF(customer_churn_dataset!$A$2:$A$1501,customer_churn_dataset!A830)&gt;1,"Duplicate","Unique")</f>
        <v>Unique</v>
      </c>
    </row>
    <row r="831" customFormat="false" ht="14.15" hidden="false" customHeight="true" outlineLevel="0" collapsed="false">
      <c r="A831" s="7" t="str">
        <f aca="false">TRIM(customer_churn_dataset!A831)</f>
        <v>CUST100407</v>
      </c>
      <c r="B831" s="7" t="str">
        <f aca="false">PROPER(TRIM(customer_churn_dataset!B831))</f>
        <v>Basic</v>
      </c>
      <c r="C831" s="7" t="str">
        <f aca="false">PROPER(TRIM(customer_churn_dataset!C831))</f>
        <v>One Year</v>
      </c>
      <c r="D831" s="7" t="n">
        <f aca="false">IF(ISBLANK(customer_churn_dataset!D831),ROUND(MEDIAN(customer_churn_dataset!D$2:D$1501),2),IF(customer_churn_dataset!D831&lt;0,ABS(customer_churn_dataset!D831),customer_churn_dataset!D831))</f>
        <v>10.51</v>
      </c>
      <c r="E831" s="7" t="n">
        <f aca="false">IF(ISBLANK(customer_churn_dataset!E831),0,MAX(0,customer_churn_dataset!E831))</f>
        <v>33</v>
      </c>
      <c r="F831" s="8" t="n">
        <f aca="false">IF(ISBLANK(customer_churn_dataset!F831),"",customer_churn_dataset!F831)</f>
        <v>44936</v>
      </c>
      <c r="G831" s="7" t="str">
        <f aca="false">PROPER(TRIM(customer_churn_dataset!G831))</f>
        <v>Credit Card</v>
      </c>
      <c r="H831" s="7" t="n">
        <f aca="false">IF(ISBLANK(customer_churn_dataset!H831),0,customer_churn_dataset!H831)</f>
        <v>0</v>
      </c>
      <c r="I831" s="7" t="n">
        <f aca="false">IF(ISBLANK(customer_churn_dataset!I831),ROUND(MEDIAN(customer_churn_dataset!I$2:I$1501),1),MIN(100,MAX(0,customer_churn_dataset!I831)))</f>
        <v>58.8</v>
      </c>
      <c r="J831" s="7" t="n">
        <f aca="false">IF(ISBLANK(customer_churn_dataset!J831),0,MAX(0,customer_churn_dataset!J831))</f>
        <v>21</v>
      </c>
      <c r="K831" s="7" t="n">
        <f aca="false">IF(ISBLANK(customer_churn_dataset!K831),0,MIN(10,MAX(0,customer_churn_dataset!K831)))</f>
        <v>7</v>
      </c>
      <c r="L831" s="7" t="n">
        <f aca="false">IF(ISBLANK(customer_churn_dataset!L831),0,MAX(0,customer_churn_dataset!L831))</f>
        <v>2</v>
      </c>
      <c r="M831" s="7" t="n">
        <f aca="false">IF(ISBLANK(customer_churn_dataset!M831),0,customer_churn_dataset!M831)</f>
        <v>0</v>
      </c>
      <c r="N831" s="7" t="n">
        <f aca="false">IF(ISBLANK(customer_churn_dataset!N831),0,MAX(0,customer_churn_dataset!N831))</f>
        <v>346.83</v>
      </c>
      <c r="O831" s="7" t="n">
        <f aca="false">IF(ISBLANK(customer_churn_dataset!O831),0,customer_churn_dataset!O831)</f>
        <v>0</v>
      </c>
      <c r="P831" s="7" t="str">
        <f aca="false">IF(COUNTIF(customer_churn_dataset!$A$2:$A$1501,customer_churn_dataset!A831)&gt;1,"Duplicate","Unique")</f>
        <v>Unique</v>
      </c>
    </row>
    <row r="832" customFormat="false" ht="14.15" hidden="false" customHeight="true" outlineLevel="0" collapsed="false">
      <c r="A832" s="7" t="str">
        <f aca="false">TRIM(customer_churn_dataset!A832)</f>
        <v>CUST101050</v>
      </c>
      <c r="B832" s="7" t="str">
        <f aca="false">PROPER(TRIM(customer_churn_dataset!B832))</f>
        <v>Premium</v>
      </c>
      <c r="C832" s="7" t="str">
        <f aca="false">PROPER(TRIM(customer_churn_dataset!C832))</f>
        <v>Month-To-Month</v>
      </c>
      <c r="D832" s="7" t="n">
        <f aca="false">IF(ISBLANK(customer_churn_dataset!D832),ROUND(MEDIAN(customer_churn_dataset!D$2:D$1501),2),IF(customer_churn_dataset!D832&lt;0,ABS(customer_churn_dataset!D832),customer_churn_dataset!D832))</f>
        <v>38.74</v>
      </c>
      <c r="E832" s="7" t="n">
        <f aca="false">IF(ISBLANK(customer_churn_dataset!E832),0,MAX(0,customer_churn_dataset!E832))</f>
        <v>72</v>
      </c>
      <c r="F832" s="8" t="n">
        <f aca="false">IF(ISBLANK(customer_churn_dataset!F832),"",customer_churn_dataset!F832)</f>
        <v>44937</v>
      </c>
      <c r="G832" s="7" t="str">
        <f aca="false">PROPER(TRIM(customer_churn_dataset!G832))</f>
        <v>Credit Card</v>
      </c>
      <c r="H832" s="7" t="n">
        <f aca="false">IF(ISBLANK(customer_churn_dataset!H832),0,customer_churn_dataset!H832)</f>
        <v>0</v>
      </c>
      <c r="I832" s="7" t="n">
        <f aca="false">IF(ISBLANK(customer_churn_dataset!I832),ROUND(MEDIAN(customer_churn_dataset!I$2:I$1501),1),MIN(100,MAX(0,customer_churn_dataset!I832)))</f>
        <v>61.7</v>
      </c>
      <c r="J832" s="7" t="n">
        <f aca="false">IF(ISBLANK(customer_churn_dataset!J832),0,MAX(0,customer_churn_dataset!J832))</f>
        <v>22</v>
      </c>
      <c r="K832" s="7" t="n">
        <f aca="false">IF(ISBLANK(customer_churn_dataset!K832),0,MIN(10,MAX(0,customer_churn_dataset!K832)))</f>
        <v>5</v>
      </c>
      <c r="L832" s="7" t="n">
        <f aca="false">IF(ISBLANK(customer_churn_dataset!L832),0,MAX(0,customer_churn_dataset!L832))</f>
        <v>0</v>
      </c>
      <c r="M832" s="7" t="n">
        <f aca="false">IF(ISBLANK(customer_churn_dataset!M832),0,customer_churn_dataset!M832)</f>
        <v>0</v>
      </c>
      <c r="N832" s="7" t="n">
        <f aca="false">IF(ISBLANK(customer_churn_dataset!N832),0,MAX(0,customer_churn_dataset!N832))</f>
        <v>2789.28</v>
      </c>
      <c r="O832" s="7" t="n">
        <f aca="false">IF(ISBLANK(customer_churn_dataset!O832),0,customer_churn_dataset!O832)</f>
        <v>1</v>
      </c>
      <c r="P832" s="7" t="str">
        <f aca="false">IF(COUNTIF(customer_churn_dataset!$A$2:$A$1501,customer_churn_dataset!A832)&gt;1,"Duplicate","Unique")</f>
        <v>Unique</v>
      </c>
    </row>
    <row r="833" customFormat="false" ht="14.15" hidden="false" customHeight="true" outlineLevel="0" collapsed="false">
      <c r="A833" s="7" t="str">
        <f aca="false">TRIM(customer_churn_dataset!A833)</f>
        <v>CUST100114</v>
      </c>
      <c r="B833" s="7" t="str">
        <f aca="false">PROPER(TRIM(customer_churn_dataset!B833))</f>
        <v>Standard</v>
      </c>
      <c r="C833" s="7" t="str">
        <f aca="false">PROPER(TRIM(customer_churn_dataset!C833))</f>
        <v>Month-To-Month</v>
      </c>
      <c r="D833" s="7" t="n">
        <f aca="false">IF(ISBLANK(customer_churn_dataset!D833),ROUND(MEDIAN(customer_churn_dataset!D$2:D$1501),2),IF(customer_churn_dataset!D833&lt;0,ABS(customer_churn_dataset!D833),customer_churn_dataset!D833))</f>
        <v>21.2</v>
      </c>
      <c r="E833" s="7" t="n">
        <f aca="false">IF(ISBLANK(customer_churn_dataset!E833),0,MAX(0,customer_churn_dataset!E833))</f>
        <v>72</v>
      </c>
      <c r="F833" s="8" t="n">
        <f aca="false">IF(ISBLANK(customer_churn_dataset!F833),"",customer_churn_dataset!F833)</f>
        <v>44937</v>
      </c>
      <c r="G833" s="7" t="str">
        <f aca="false">PROPER(TRIM(customer_churn_dataset!G833))</f>
        <v>Paypal</v>
      </c>
      <c r="H833" s="7" t="n">
        <f aca="false">IF(ISBLANK(customer_churn_dataset!H833),0,customer_churn_dataset!H833)</f>
        <v>1</v>
      </c>
      <c r="I833" s="7" t="n">
        <f aca="false">IF(ISBLANK(customer_churn_dataset!I833),ROUND(MEDIAN(customer_churn_dataset!I$2:I$1501),1),MIN(100,MAX(0,customer_churn_dataset!I833)))</f>
        <v>77</v>
      </c>
      <c r="J833" s="7" t="n">
        <f aca="false">IF(ISBLANK(customer_churn_dataset!J833),0,MAX(0,customer_churn_dataset!J833))</f>
        <v>24</v>
      </c>
      <c r="K833" s="7" t="n">
        <f aca="false">IF(ISBLANK(customer_churn_dataset!K833),0,MIN(10,MAX(0,customer_churn_dataset!K833)))</f>
        <v>8</v>
      </c>
      <c r="L833" s="7" t="n">
        <f aca="false">IF(ISBLANK(customer_churn_dataset!L833),0,MAX(0,customer_churn_dataset!L833))</f>
        <v>5</v>
      </c>
      <c r="M833" s="7" t="n">
        <f aca="false">IF(ISBLANK(customer_churn_dataset!M833),0,customer_churn_dataset!M833)</f>
        <v>1</v>
      </c>
      <c r="N833" s="7" t="n">
        <f aca="false">IF(ISBLANK(customer_churn_dataset!N833),0,MAX(0,customer_churn_dataset!N833))</f>
        <v>1526.4</v>
      </c>
      <c r="O833" s="7" t="n">
        <f aca="false">IF(ISBLANK(customer_churn_dataset!O833),0,customer_churn_dataset!O833)</f>
        <v>0</v>
      </c>
      <c r="P833" s="7" t="str">
        <f aca="false">IF(COUNTIF(customer_churn_dataset!$A$2:$A$1501,customer_churn_dataset!A833)&gt;1,"Duplicate","Unique")</f>
        <v>Unique</v>
      </c>
    </row>
    <row r="834" customFormat="false" ht="14.15" hidden="false" customHeight="true" outlineLevel="0" collapsed="false">
      <c r="A834" s="7" t="str">
        <f aca="false">TRIM(customer_churn_dataset!A834)</f>
        <v>CUST100651</v>
      </c>
      <c r="B834" s="7" t="str">
        <f aca="false">PROPER(TRIM(customer_churn_dataset!B834))</f>
        <v>Standard</v>
      </c>
      <c r="C834" s="7" t="str">
        <f aca="false">PROPER(TRIM(customer_churn_dataset!C834))</f>
        <v>Two Year</v>
      </c>
      <c r="D834" s="7" t="n">
        <f aca="false">IF(ISBLANK(customer_churn_dataset!D834),ROUND(MEDIAN(customer_churn_dataset!D$2:D$1501),2),IF(customer_churn_dataset!D834&lt;0,ABS(customer_churn_dataset!D834),customer_churn_dataset!D834))</f>
        <v>20.14</v>
      </c>
      <c r="E834" s="7" t="n">
        <f aca="false">IF(ISBLANK(customer_churn_dataset!E834),0,MAX(0,customer_churn_dataset!E834))</f>
        <v>32</v>
      </c>
      <c r="F834" s="8" t="n">
        <f aca="false">IF(ISBLANK(customer_churn_dataset!F834),"",customer_churn_dataset!F834)</f>
        <v>44941</v>
      </c>
      <c r="G834" s="7" t="str">
        <f aca="false">PROPER(TRIM(customer_churn_dataset!G834))</f>
        <v>Credit Card</v>
      </c>
      <c r="H834" s="7" t="n">
        <f aca="false">IF(ISBLANK(customer_churn_dataset!H834),0,customer_churn_dataset!H834)</f>
        <v>0</v>
      </c>
      <c r="I834" s="7" t="n">
        <f aca="false">IF(ISBLANK(customer_churn_dataset!I834),ROUND(MEDIAN(customer_churn_dataset!I$2:I$1501),1),MIN(100,MAX(0,customer_churn_dataset!I834)))</f>
        <v>39.9</v>
      </c>
      <c r="J834" s="7" t="n">
        <f aca="false">IF(ISBLANK(customer_churn_dataset!J834),0,MAX(0,customer_churn_dataset!J834))</f>
        <v>10</v>
      </c>
      <c r="K834" s="7" t="n">
        <f aca="false">IF(ISBLANK(customer_churn_dataset!K834),0,MIN(10,MAX(0,customer_churn_dataset!K834)))</f>
        <v>4</v>
      </c>
      <c r="L834" s="7" t="n">
        <f aca="false">IF(ISBLANK(customer_churn_dataset!L834),0,MAX(0,customer_churn_dataset!L834))</f>
        <v>2</v>
      </c>
      <c r="M834" s="7" t="n">
        <f aca="false">IF(ISBLANK(customer_churn_dataset!M834),0,customer_churn_dataset!M834)</f>
        <v>1</v>
      </c>
      <c r="N834" s="7" t="n">
        <f aca="false">IF(ISBLANK(customer_churn_dataset!N834),0,MAX(0,customer_churn_dataset!N834))</f>
        <v>644.48</v>
      </c>
      <c r="O834" s="7" t="n">
        <f aca="false">IF(ISBLANK(customer_churn_dataset!O834),0,customer_churn_dataset!O834)</f>
        <v>0</v>
      </c>
      <c r="P834" s="7" t="str">
        <f aca="false">IF(COUNTIF(customer_churn_dataset!$A$2:$A$1501,customer_churn_dataset!A834)&gt;1,"Duplicate","Unique")</f>
        <v>Unique</v>
      </c>
    </row>
    <row r="835" customFormat="false" ht="14.15" hidden="false" customHeight="true" outlineLevel="0" collapsed="false">
      <c r="A835" s="7" t="str">
        <f aca="false">TRIM(customer_churn_dataset!A835)</f>
        <v>CUST101127</v>
      </c>
      <c r="B835" s="7" t="str">
        <f aca="false">PROPER(TRIM(customer_churn_dataset!B835))</f>
        <v>Basic</v>
      </c>
      <c r="C835" s="7" t="str">
        <f aca="false">PROPER(TRIM(customer_churn_dataset!C835))</f>
        <v>One Year</v>
      </c>
      <c r="D835" s="7" t="n">
        <f aca="false">IF(ISBLANK(customer_churn_dataset!D835),ROUND(MEDIAN(customer_churn_dataset!D$2:D$1501),2),IF(customer_churn_dataset!D835&lt;0,ABS(customer_churn_dataset!D835),customer_churn_dataset!D835))</f>
        <v>9.74</v>
      </c>
      <c r="E835" s="7" t="n">
        <f aca="false">IF(ISBLANK(customer_churn_dataset!E835),0,MAX(0,customer_churn_dataset!E835))</f>
        <v>15</v>
      </c>
      <c r="F835" s="8" t="n">
        <f aca="false">IF(ISBLANK(customer_churn_dataset!F835),"",customer_churn_dataset!F835)</f>
        <v>44944</v>
      </c>
      <c r="G835" s="7" t="str">
        <f aca="false">PROPER(TRIM(customer_churn_dataset!G835))</f>
        <v>Paypal</v>
      </c>
      <c r="H835" s="7" t="n">
        <f aca="false">IF(ISBLANK(customer_churn_dataset!H835),0,customer_churn_dataset!H835)</f>
        <v>1</v>
      </c>
      <c r="I835" s="7" t="n">
        <f aca="false">IF(ISBLANK(customer_churn_dataset!I835),ROUND(MEDIAN(customer_churn_dataset!I$2:I$1501),1),MIN(100,MAX(0,customer_churn_dataset!I835)))</f>
        <v>63.2</v>
      </c>
      <c r="J835" s="7" t="n">
        <f aca="false">IF(ISBLANK(customer_churn_dataset!J835),0,MAX(0,customer_churn_dataset!J835))</f>
        <v>20</v>
      </c>
      <c r="K835" s="7" t="n">
        <f aca="false">IF(ISBLANK(customer_churn_dataset!K835),0,MIN(10,MAX(0,customer_churn_dataset!K835)))</f>
        <v>7</v>
      </c>
      <c r="L835" s="7" t="n">
        <f aca="false">IF(ISBLANK(customer_churn_dataset!L835),0,MAX(0,customer_churn_dataset!L835))</f>
        <v>1</v>
      </c>
      <c r="M835" s="7" t="n">
        <f aca="false">IF(ISBLANK(customer_churn_dataset!M835),0,customer_churn_dataset!M835)</f>
        <v>1</v>
      </c>
      <c r="N835" s="7" t="n">
        <f aca="false">IF(ISBLANK(customer_churn_dataset!N835),0,MAX(0,customer_churn_dataset!N835))</f>
        <v>146.1</v>
      </c>
      <c r="O835" s="7" t="n">
        <f aca="false">IF(ISBLANK(customer_churn_dataset!O835),0,customer_churn_dataset!O835)</f>
        <v>0</v>
      </c>
      <c r="P835" s="7" t="str">
        <f aca="false">IF(COUNTIF(customer_churn_dataset!$A$2:$A$1501,customer_churn_dataset!A835)&gt;1,"Duplicate","Unique")</f>
        <v>Unique</v>
      </c>
    </row>
    <row r="836" customFormat="false" ht="14.15" hidden="false" customHeight="true" outlineLevel="0" collapsed="false">
      <c r="A836" s="7" t="str">
        <f aca="false">TRIM(customer_churn_dataset!A836)</f>
        <v>CUST100785</v>
      </c>
      <c r="B836" s="7" t="str">
        <f aca="false">PROPER(TRIM(customer_churn_dataset!B836))</f>
        <v>Premium</v>
      </c>
      <c r="C836" s="7" t="str">
        <f aca="false">PROPER(TRIM(customer_churn_dataset!C836))</f>
        <v>Month-To-Month</v>
      </c>
      <c r="D836" s="7" t="n">
        <f aca="false">IF(ISBLANK(customer_churn_dataset!D836),ROUND(MEDIAN(customer_churn_dataset!D$2:D$1501),2),IF(customer_churn_dataset!D836&lt;0,ABS(customer_churn_dataset!D836),customer_churn_dataset!D836))</f>
        <v>39.62</v>
      </c>
      <c r="E836" s="7" t="n">
        <f aca="false">IF(ISBLANK(customer_churn_dataset!E836),0,MAX(0,customer_churn_dataset!E836))</f>
        <v>24</v>
      </c>
      <c r="F836" s="8" t="n">
        <f aca="false">IF(ISBLANK(customer_churn_dataset!F836),"",customer_churn_dataset!F836)</f>
        <v>44944</v>
      </c>
      <c r="G836" s="7" t="str">
        <f aca="false">PROPER(TRIM(customer_churn_dataset!G836))</f>
        <v>Credit Card</v>
      </c>
      <c r="H836" s="7" t="n">
        <f aca="false">IF(ISBLANK(customer_churn_dataset!H836),0,customer_churn_dataset!H836)</f>
        <v>1</v>
      </c>
      <c r="I836" s="7" t="n">
        <f aca="false">IF(ISBLANK(customer_churn_dataset!I836),ROUND(MEDIAN(customer_churn_dataset!I$2:I$1501),1),MIN(100,MAX(0,customer_churn_dataset!I836)))</f>
        <v>43.9</v>
      </c>
      <c r="J836" s="7" t="n">
        <f aca="false">IF(ISBLANK(customer_churn_dataset!J836),0,MAX(0,customer_churn_dataset!J836))</f>
        <v>16</v>
      </c>
      <c r="K836" s="7" t="n">
        <f aca="false">IF(ISBLANK(customer_churn_dataset!K836),0,MIN(10,MAX(0,customer_churn_dataset!K836)))</f>
        <v>4</v>
      </c>
      <c r="L836" s="7" t="n">
        <f aca="false">IF(ISBLANK(customer_churn_dataset!L836),0,MAX(0,customer_churn_dataset!L836))</f>
        <v>1</v>
      </c>
      <c r="M836" s="7" t="n">
        <f aca="false">IF(ISBLANK(customer_churn_dataset!M836),0,customer_churn_dataset!M836)</f>
        <v>0</v>
      </c>
      <c r="N836" s="7" t="n">
        <f aca="false">IF(ISBLANK(customer_churn_dataset!N836),0,MAX(0,customer_churn_dataset!N836))</f>
        <v>950.88</v>
      </c>
      <c r="O836" s="7" t="n">
        <f aca="false">IF(ISBLANK(customer_churn_dataset!O836),0,customer_churn_dataset!O836)</f>
        <v>0</v>
      </c>
      <c r="P836" s="7" t="str">
        <f aca="false">IF(COUNTIF(customer_churn_dataset!$A$2:$A$1501,customer_churn_dataset!A836)&gt;1,"Duplicate","Unique")</f>
        <v>Unique</v>
      </c>
    </row>
    <row r="837" customFormat="false" ht="14.15" hidden="false" customHeight="true" outlineLevel="0" collapsed="false">
      <c r="A837" s="7" t="str">
        <f aca="false">TRIM(customer_churn_dataset!A837)</f>
        <v>CUST101232</v>
      </c>
      <c r="B837" s="7" t="str">
        <f aca="false">PROPER(TRIM(customer_churn_dataset!B837))</f>
        <v>Basic</v>
      </c>
      <c r="C837" s="7" t="str">
        <f aca="false">PROPER(TRIM(customer_churn_dataset!C837))</f>
        <v>Month-To-Month</v>
      </c>
      <c r="D837" s="7" t="n">
        <f aca="false">IF(ISBLANK(customer_churn_dataset!D837),ROUND(MEDIAN(customer_churn_dataset!D$2:D$1501),2),IF(customer_churn_dataset!D837&lt;0,ABS(customer_churn_dataset!D837),customer_churn_dataset!D837))</f>
        <v>8.49</v>
      </c>
      <c r="E837" s="7" t="n">
        <f aca="false">IF(ISBLANK(customer_churn_dataset!E837),0,MAX(0,customer_churn_dataset!E837))</f>
        <v>4</v>
      </c>
      <c r="F837" s="8" t="n">
        <f aca="false">IF(ISBLANK(customer_churn_dataset!F837),"",customer_churn_dataset!F837)</f>
        <v>44945</v>
      </c>
      <c r="G837" s="7" t="str">
        <f aca="false">PROPER(TRIM(customer_churn_dataset!G837))</f>
        <v>Manual/Invoice</v>
      </c>
      <c r="H837" s="7" t="n">
        <f aca="false">IF(ISBLANK(customer_churn_dataset!H837),0,customer_churn_dataset!H837)</f>
        <v>0</v>
      </c>
      <c r="I837" s="7" t="n">
        <f aca="false">IF(ISBLANK(customer_churn_dataset!I837),ROUND(MEDIAN(customer_churn_dataset!I$2:I$1501),1),MIN(100,MAX(0,customer_churn_dataset!I837)))</f>
        <v>64.2</v>
      </c>
      <c r="J837" s="7" t="n">
        <f aca="false">IF(ISBLANK(customer_churn_dataset!J837),0,MAX(0,customer_churn_dataset!J837))</f>
        <v>19</v>
      </c>
      <c r="K837" s="7" t="n">
        <f aca="false">IF(ISBLANK(customer_churn_dataset!K837),0,MIN(10,MAX(0,customer_churn_dataset!K837)))</f>
        <v>7</v>
      </c>
      <c r="L837" s="7" t="n">
        <f aca="false">IF(ISBLANK(customer_churn_dataset!L837),0,MAX(0,customer_churn_dataset!L837))</f>
        <v>2</v>
      </c>
      <c r="M837" s="7" t="n">
        <f aca="false">IF(ISBLANK(customer_churn_dataset!M837),0,customer_churn_dataset!M837)</f>
        <v>1</v>
      </c>
      <c r="N837" s="7" t="n">
        <f aca="false">IF(ISBLANK(customer_churn_dataset!N837),0,MAX(0,customer_churn_dataset!N837))</f>
        <v>33.96</v>
      </c>
      <c r="O837" s="7" t="n">
        <f aca="false">IF(ISBLANK(customer_churn_dataset!O837),0,customer_churn_dataset!O837)</f>
        <v>0</v>
      </c>
      <c r="P837" s="7" t="str">
        <f aca="false">IF(COUNTIF(customer_churn_dataset!$A$2:$A$1501,customer_churn_dataset!A837)&gt;1,"Duplicate","Unique")</f>
        <v>Unique</v>
      </c>
    </row>
    <row r="838" customFormat="false" ht="14.15" hidden="false" customHeight="true" outlineLevel="0" collapsed="false">
      <c r="A838" s="7" t="str">
        <f aca="false">TRIM(customer_churn_dataset!A838)</f>
        <v>CUST100484</v>
      </c>
      <c r="B838" s="7" t="str">
        <f aca="false">PROPER(TRIM(customer_churn_dataset!B838))</f>
        <v>Standard</v>
      </c>
      <c r="C838" s="7" t="str">
        <f aca="false">PROPER(TRIM(customer_churn_dataset!C838))</f>
        <v>Month-To-Month</v>
      </c>
      <c r="D838" s="7" t="n">
        <f aca="false">IF(ISBLANK(customer_churn_dataset!D838),ROUND(MEDIAN(customer_churn_dataset!D$2:D$1501),2),IF(customer_churn_dataset!D838&lt;0,ABS(customer_churn_dataset!D838),customer_churn_dataset!D838))</f>
        <v>18.93</v>
      </c>
      <c r="E838" s="7" t="n">
        <f aca="false">IF(ISBLANK(customer_churn_dataset!E838),0,MAX(0,customer_churn_dataset!E838))</f>
        <v>29</v>
      </c>
      <c r="F838" s="8" t="n">
        <f aca="false">IF(ISBLANK(customer_churn_dataset!F838),"",customer_churn_dataset!F838)</f>
        <v>44946</v>
      </c>
      <c r="G838" s="7" t="str">
        <f aca="false">PROPER(TRIM(customer_churn_dataset!G838))</f>
        <v>Credit Card</v>
      </c>
      <c r="H838" s="7" t="n">
        <f aca="false">IF(ISBLANK(customer_churn_dataset!H838),0,customer_churn_dataset!H838)</f>
        <v>1</v>
      </c>
      <c r="I838" s="7" t="n">
        <f aca="false">IF(ISBLANK(customer_churn_dataset!I838),ROUND(MEDIAN(customer_churn_dataset!I$2:I$1501),1),MIN(100,MAX(0,customer_churn_dataset!I838)))</f>
        <v>55.3</v>
      </c>
      <c r="J838" s="7" t="n">
        <f aca="false">IF(ISBLANK(customer_churn_dataset!J838),0,MAX(0,customer_churn_dataset!J838))</f>
        <v>17</v>
      </c>
      <c r="K838" s="7" t="n">
        <f aca="false">IF(ISBLANK(customer_churn_dataset!K838),0,MIN(10,MAX(0,customer_churn_dataset!K838)))</f>
        <v>4</v>
      </c>
      <c r="L838" s="7" t="n">
        <f aca="false">IF(ISBLANK(customer_churn_dataset!L838),0,MAX(0,customer_churn_dataset!L838))</f>
        <v>1</v>
      </c>
      <c r="M838" s="7" t="n">
        <f aca="false">IF(ISBLANK(customer_churn_dataset!M838),0,customer_churn_dataset!M838)</f>
        <v>0</v>
      </c>
      <c r="N838" s="7" t="n">
        <f aca="false">IF(ISBLANK(customer_churn_dataset!N838),0,MAX(0,customer_churn_dataset!N838))</f>
        <v>548.97</v>
      </c>
      <c r="O838" s="7" t="n">
        <f aca="false">IF(ISBLANK(customer_churn_dataset!O838),0,customer_churn_dataset!O838)</f>
        <v>1</v>
      </c>
      <c r="P838" s="7" t="str">
        <f aca="false">IF(COUNTIF(customer_churn_dataset!$A$2:$A$1501,customer_churn_dataset!A838)&gt;1,"Duplicate","Unique")</f>
        <v>Unique</v>
      </c>
    </row>
    <row r="839" customFormat="false" ht="14.15" hidden="false" customHeight="true" outlineLevel="0" collapsed="false">
      <c r="A839" s="7" t="str">
        <f aca="false">TRIM(customer_churn_dataset!A839)</f>
        <v>CUST101125</v>
      </c>
      <c r="B839" s="7" t="str">
        <f aca="false">PROPER(TRIM(customer_churn_dataset!B839))</f>
        <v>Standard</v>
      </c>
      <c r="C839" s="7" t="str">
        <f aca="false">PROPER(TRIM(customer_churn_dataset!C839))</f>
        <v>One Year</v>
      </c>
      <c r="D839" s="7" t="n">
        <f aca="false">IF(ISBLANK(customer_churn_dataset!D839),ROUND(MEDIAN(customer_churn_dataset!D$2:D$1501),2),IF(customer_churn_dataset!D839&lt;0,ABS(customer_churn_dataset!D839),customer_churn_dataset!D839))</f>
        <v>20.45</v>
      </c>
      <c r="E839" s="7" t="n">
        <f aca="false">IF(ISBLANK(customer_churn_dataset!E839),0,MAX(0,customer_churn_dataset!E839))</f>
        <v>17</v>
      </c>
      <c r="F839" s="8" t="n">
        <f aca="false">IF(ISBLANK(customer_churn_dataset!F839),"",customer_churn_dataset!F839)</f>
        <v>44948</v>
      </c>
      <c r="G839" s="7" t="str">
        <f aca="false">PROPER(TRIM(customer_churn_dataset!G839))</f>
        <v>Credit Card</v>
      </c>
      <c r="H839" s="7" t="n">
        <f aca="false">IF(ISBLANK(customer_churn_dataset!H839),0,customer_churn_dataset!H839)</f>
        <v>0</v>
      </c>
      <c r="I839" s="7" t="n">
        <f aca="false">IF(ISBLANK(customer_churn_dataset!I839),ROUND(MEDIAN(customer_churn_dataset!I$2:I$1501),1),MIN(100,MAX(0,customer_churn_dataset!I839)))</f>
        <v>69.2</v>
      </c>
      <c r="J839" s="7" t="n">
        <f aca="false">IF(ISBLANK(customer_churn_dataset!J839),0,MAX(0,customer_churn_dataset!J839))</f>
        <v>15</v>
      </c>
      <c r="K839" s="7" t="n">
        <f aca="false">IF(ISBLANK(customer_churn_dataset!K839),0,MIN(10,MAX(0,customer_churn_dataset!K839)))</f>
        <v>5</v>
      </c>
      <c r="L839" s="7" t="n">
        <f aca="false">IF(ISBLANK(customer_churn_dataset!L839),0,MAX(0,customer_churn_dataset!L839))</f>
        <v>2</v>
      </c>
      <c r="M839" s="7" t="n">
        <f aca="false">IF(ISBLANK(customer_churn_dataset!M839),0,customer_churn_dataset!M839)</f>
        <v>0</v>
      </c>
      <c r="N839" s="7" t="n">
        <f aca="false">IF(ISBLANK(customer_churn_dataset!N839),0,MAX(0,customer_churn_dataset!N839))</f>
        <v>347.65</v>
      </c>
      <c r="O839" s="7" t="n">
        <f aca="false">IF(ISBLANK(customer_churn_dataset!O839),0,customer_churn_dataset!O839)</f>
        <v>0</v>
      </c>
      <c r="P839" s="7" t="str">
        <f aca="false">IF(COUNTIF(customer_churn_dataset!$A$2:$A$1501,customer_churn_dataset!A839)&gt;1,"Duplicate","Unique")</f>
        <v>Unique</v>
      </c>
    </row>
    <row r="840" customFormat="false" ht="14.15" hidden="false" customHeight="true" outlineLevel="0" collapsed="false">
      <c r="A840" s="7" t="str">
        <f aca="false">TRIM(customer_churn_dataset!A840)</f>
        <v>CUST100314</v>
      </c>
      <c r="B840" s="7" t="str">
        <f aca="false">PROPER(TRIM(customer_churn_dataset!B840))</f>
        <v>Premium</v>
      </c>
      <c r="C840" s="7" t="str">
        <f aca="false">PROPER(TRIM(customer_churn_dataset!C840))</f>
        <v>One Year</v>
      </c>
      <c r="D840" s="7" t="n">
        <f aca="false">IF(ISBLANK(customer_churn_dataset!D840),ROUND(MEDIAN(customer_churn_dataset!D$2:D$1501),2),IF(customer_churn_dataset!D840&lt;0,ABS(customer_churn_dataset!D840),customer_churn_dataset!D840))</f>
        <v>39.21</v>
      </c>
      <c r="E840" s="7" t="n">
        <f aca="false">IF(ISBLANK(customer_churn_dataset!E840),0,MAX(0,customer_churn_dataset!E840))</f>
        <v>10</v>
      </c>
      <c r="F840" s="8" t="n">
        <f aca="false">IF(ISBLANK(customer_churn_dataset!F840),"",customer_churn_dataset!F840)</f>
        <v>44948</v>
      </c>
      <c r="G840" s="7" t="str">
        <f aca="false">PROPER(TRIM(customer_churn_dataset!G840))</f>
        <v>Paypal</v>
      </c>
      <c r="H840" s="7" t="n">
        <f aca="false">IF(ISBLANK(customer_churn_dataset!H840),0,customer_churn_dataset!H840)</f>
        <v>0</v>
      </c>
      <c r="I840" s="7" t="n">
        <f aca="false">IF(ISBLANK(customer_churn_dataset!I840),ROUND(MEDIAN(customer_churn_dataset!I$2:I$1501),1),MIN(100,MAX(0,customer_churn_dataset!I840)))</f>
        <v>57.9</v>
      </c>
      <c r="J840" s="7" t="n">
        <f aca="false">IF(ISBLANK(customer_churn_dataset!J840),0,MAX(0,customer_churn_dataset!J840))</f>
        <v>16</v>
      </c>
      <c r="K840" s="7" t="n">
        <f aca="false">IF(ISBLANK(customer_churn_dataset!K840),0,MIN(10,MAX(0,customer_churn_dataset!K840)))</f>
        <v>6</v>
      </c>
      <c r="L840" s="7" t="n">
        <f aca="false">IF(ISBLANK(customer_churn_dataset!L840),0,MAX(0,customer_churn_dataset!L840))</f>
        <v>1</v>
      </c>
      <c r="M840" s="7" t="n">
        <f aca="false">IF(ISBLANK(customer_churn_dataset!M840),0,customer_churn_dataset!M840)</f>
        <v>1</v>
      </c>
      <c r="N840" s="7" t="n">
        <f aca="false">IF(ISBLANK(customer_churn_dataset!N840),0,MAX(0,customer_churn_dataset!N840))</f>
        <v>392.1</v>
      </c>
      <c r="O840" s="7" t="n">
        <f aca="false">IF(ISBLANK(customer_churn_dataset!O840),0,customer_churn_dataset!O840)</f>
        <v>0</v>
      </c>
      <c r="P840" s="7" t="str">
        <f aca="false">IF(COUNTIF(customer_churn_dataset!$A$2:$A$1501,customer_churn_dataset!A840)&gt;1,"Duplicate","Unique")</f>
        <v>Unique</v>
      </c>
    </row>
    <row r="841" customFormat="false" ht="14.15" hidden="false" customHeight="true" outlineLevel="0" collapsed="false">
      <c r="A841" s="7" t="str">
        <f aca="false">TRIM(customer_churn_dataset!A841)</f>
        <v>CUST101094</v>
      </c>
      <c r="B841" s="7" t="str">
        <f aca="false">PROPER(TRIM(customer_churn_dataset!B841))</f>
        <v>Basic</v>
      </c>
      <c r="C841" s="7" t="str">
        <f aca="false">PROPER(TRIM(customer_churn_dataset!C841))</f>
        <v>Month-To-Month</v>
      </c>
      <c r="D841" s="7" t="n">
        <f aca="false">IF(ISBLANK(customer_churn_dataset!D841),ROUND(MEDIAN(customer_churn_dataset!D$2:D$1501),2),IF(customer_churn_dataset!D841&lt;0,ABS(customer_churn_dataset!D841),customer_churn_dataset!D841))</f>
        <v>8.74</v>
      </c>
      <c r="E841" s="7" t="n">
        <f aca="false">IF(ISBLANK(customer_churn_dataset!E841),0,MAX(0,customer_churn_dataset!E841))</f>
        <v>11</v>
      </c>
      <c r="F841" s="8" t="n">
        <f aca="false">IF(ISBLANK(customer_churn_dataset!F841),"",customer_churn_dataset!F841)</f>
        <v>44948</v>
      </c>
      <c r="G841" s="7" t="str">
        <f aca="false">PROPER(TRIM(customer_churn_dataset!G841))</f>
        <v>Paypal</v>
      </c>
      <c r="H841" s="7" t="n">
        <f aca="false">IF(ISBLANK(customer_churn_dataset!H841),0,customer_churn_dataset!H841)</f>
        <v>1</v>
      </c>
      <c r="I841" s="7" t="n">
        <f aca="false">IF(ISBLANK(customer_churn_dataset!I841),ROUND(MEDIAN(customer_churn_dataset!I$2:I$1501),1),MIN(100,MAX(0,customer_churn_dataset!I841)))</f>
        <v>57.4</v>
      </c>
      <c r="J841" s="7" t="n">
        <f aca="false">IF(ISBLANK(customer_churn_dataset!J841),0,MAX(0,customer_churn_dataset!J841))</f>
        <v>13</v>
      </c>
      <c r="K841" s="7" t="n">
        <f aca="false">IF(ISBLANK(customer_churn_dataset!K841),0,MIN(10,MAX(0,customer_churn_dataset!K841)))</f>
        <v>6</v>
      </c>
      <c r="L841" s="7" t="n">
        <f aca="false">IF(ISBLANK(customer_churn_dataset!L841),0,MAX(0,customer_churn_dataset!L841))</f>
        <v>2</v>
      </c>
      <c r="M841" s="7" t="n">
        <f aca="false">IF(ISBLANK(customer_churn_dataset!M841),0,customer_churn_dataset!M841)</f>
        <v>0</v>
      </c>
      <c r="N841" s="7" t="n">
        <f aca="false">IF(ISBLANK(customer_churn_dataset!N841),0,MAX(0,customer_churn_dataset!N841))</f>
        <v>96.14</v>
      </c>
      <c r="O841" s="7" t="n">
        <f aca="false">IF(ISBLANK(customer_churn_dataset!O841),0,customer_churn_dataset!O841)</f>
        <v>0</v>
      </c>
      <c r="P841" s="7" t="str">
        <f aca="false">IF(COUNTIF(customer_churn_dataset!$A$2:$A$1501,customer_churn_dataset!A841)&gt;1,"Duplicate","Unique")</f>
        <v>Unique</v>
      </c>
    </row>
    <row r="842" customFormat="false" ht="14.15" hidden="false" customHeight="true" outlineLevel="0" collapsed="false">
      <c r="A842" s="7" t="str">
        <f aca="false">TRIM(customer_churn_dataset!A842)</f>
        <v>CUST100909</v>
      </c>
      <c r="B842" s="7" t="str">
        <f aca="false">PROPER(TRIM(customer_churn_dataset!B842))</f>
        <v>Basic</v>
      </c>
      <c r="C842" s="7" t="str">
        <f aca="false">PROPER(TRIM(customer_churn_dataset!C842))</f>
        <v>One Year</v>
      </c>
      <c r="D842" s="7" t="n">
        <f aca="false">IF(ISBLANK(customer_churn_dataset!D842),ROUND(MEDIAN(customer_churn_dataset!D$2:D$1501),2),IF(customer_churn_dataset!D842&lt;0,ABS(customer_churn_dataset!D842),customer_churn_dataset!D842))</f>
        <v>10.92</v>
      </c>
      <c r="E842" s="7" t="n">
        <f aca="false">IF(ISBLANK(customer_churn_dataset!E842),0,MAX(0,customer_churn_dataset!E842))</f>
        <v>10</v>
      </c>
      <c r="F842" s="8" t="n">
        <f aca="false">IF(ISBLANK(customer_churn_dataset!F842),"",customer_churn_dataset!F842)</f>
        <v>44949</v>
      </c>
      <c r="G842" s="7" t="str">
        <f aca="false">PROPER(TRIM(customer_churn_dataset!G842))</f>
        <v>Bank Transfer</v>
      </c>
      <c r="H842" s="7" t="n">
        <f aca="false">IF(ISBLANK(customer_churn_dataset!H842),0,customer_churn_dataset!H842)</f>
        <v>1</v>
      </c>
      <c r="I842" s="7" t="n">
        <f aca="false">IF(ISBLANK(customer_churn_dataset!I842),ROUND(MEDIAN(customer_churn_dataset!I$2:I$1501),1),MIN(100,MAX(0,customer_churn_dataset!I842)))</f>
        <v>62.1</v>
      </c>
      <c r="J842" s="7" t="n">
        <f aca="false">IF(ISBLANK(customer_churn_dataset!J842),0,MAX(0,customer_churn_dataset!J842))</f>
        <v>16</v>
      </c>
      <c r="K842" s="7" t="n">
        <f aca="false">IF(ISBLANK(customer_churn_dataset!K842),0,MIN(10,MAX(0,customer_churn_dataset!K842)))</f>
        <v>8</v>
      </c>
      <c r="L842" s="7" t="n">
        <f aca="false">IF(ISBLANK(customer_churn_dataset!L842),0,MAX(0,customer_churn_dataset!L842))</f>
        <v>2</v>
      </c>
      <c r="M842" s="7" t="n">
        <f aca="false">IF(ISBLANK(customer_churn_dataset!M842),0,customer_churn_dataset!M842)</f>
        <v>1</v>
      </c>
      <c r="N842" s="7" t="n">
        <f aca="false">IF(ISBLANK(customer_churn_dataset!N842),0,MAX(0,customer_churn_dataset!N842))</f>
        <v>109.2</v>
      </c>
      <c r="O842" s="7" t="n">
        <f aca="false">IF(ISBLANK(customer_churn_dataset!O842),0,customer_churn_dataset!O842)</f>
        <v>1</v>
      </c>
      <c r="P842" s="7" t="str">
        <f aca="false">IF(COUNTIF(customer_churn_dataset!$A$2:$A$1501,customer_churn_dataset!A842)&gt;1,"Duplicate","Unique")</f>
        <v>Unique</v>
      </c>
    </row>
    <row r="843" customFormat="false" ht="14.15" hidden="false" customHeight="true" outlineLevel="0" collapsed="false">
      <c r="A843" s="7" t="str">
        <f aca="false">TRIM(customer_churn_dataset!A843)</f>
        <v>CUST100404</v>
      </c>
      <c r="B843" s="7" t="str">
        <f aca="false">PROPER(TRIM(customer_churn_dataset!B843))</f>
        <v>Basic</v>
      </c>
      <c r="C843" s="7" t="str">
        <f aca="false">PROPER(TRIM(customer_churn_dataset!C843))</f>
        <v>Month-To-Month</v>
      </c>
      <c r="D843" s="7" t="n">
        <f aca="false">IF(ISBLANK(customer_churn_dataset!D843),ROUND(MEDIAN(customer_churn_dataset!D$2:D$1501),2),IF(customer_churn_dataset!D843&lt;0,ABS(customer_churn_dataset!D843),customer_churn_dataset!D843))</f>
        <v>10.73</v>
      </c>
      <c r="E843" s="7" t="n">
        <f aca="false">IF(ISBLANK(customer_churn_dataset!E843),0,MAX(0,customer_churn_dataset!E843))</f>
        <v>4</v>
      </c>
      <c r="F843" s="8" t="n">
        <f aca="false">IF(ISBLANK(customer_churn_dataset!F843),"",customer_churn_dataset!F843)</f>
        <v>44951</v>
      </c>
      <c r="G843" s="7" t="str">
        <f aca="false">PROPER(TRIM(customer_churn_dataset!G843))</f>
        <v>Credit Card</v>
      </c>
      <c r="H843" s="7" t="n">
        <f aca="false">IF(ISBLANK(customer_churn_dataset!H843),0,customer_churn_dataset!H843)</f>
        <v>1</v>
      </c>
      <c r="I843" s="7" t="n">
        <f aca="false">IF(ISBLANK(customer_churn_dataset!I843),ROUND(MEDIAN(customer_churn_dataset!I$2:I$1501),1),MIN(100,MAX(0,customer_churn_dataset!I843)))</f>
        <v>53.8</v>
      </c>
      <c r="J843" s="7" t="n">
        <f aca="false">IF(ISBLANK(customer_churn_dataset!J843),0,MAX(0,customer_churn_dataset!J843))</f>
        <v>12</v>
      </c>
      <c r="K843" s="7" t="n">
        <f aca="false">IF(ISBLANK(customer_churn_dataset!K843),0,MIN(10,MAX(0,customer_churn_dataset!K843)))</f>
        <v>7</v>
      </c>
      <c r="L843" s="7" t="n">
        <f aca="false">IF(ISBLANK(customer_churn_dataset!L843),0,MAX(0,customer_churn_dataset!L843))</f>
        <v>1</v>
      </c>
      <c r="M843" s="7" t="n">
        <f aca="false">IF(ISBLANK(customer_churn_dataset!M843),0,customer_churn_dataset!M843)</f>
        <v>1</v>
      </c>
      <c r="N843" s="7" t="n">
        <f aca="false">IF(ISBLANK(customer_churn_dataset!N843),0,MAX(0,customer_churn_dataset!N843))</f>
        <v>42.92</v>
      </c>
      <c r="O843" s="7" t="n">
        <f aca="false">IF(ISBLANK(customer_churn_dataset!O843),0,customer_churn_dataset!O843)</f>
        <v>0</v>
      </c>
      <c r="P843" s="7" t="str">
        <f aca="false">IF(COUNTIF(customer_churn_dataset!$A$2:$A$1501,customer_churn_dataset!A843)&gt;1,"Duplicate","Unique")</f>
        <v>Unique</v>
      </c>
    </row>
    <row r="844" customFormat="false" ht="14.15" hidden="false" customHeight="true" outlineLevel="0" collapsed="false">
      <c r="A844" s="7" t="str">
        <f aca="false">TRIM(customer_churn_dataset!A844)</f>
        <v>CUST101329</v>
      </c>
      <c r="B844" s="7" t="str">
        <f aca="false">PROPER(TRIM(customer_churn_dataset!B844))</f>
        <v>Standard</v>
      </c>
      <c r="C844" s="7" t="str">
        <f aca="false">PROPER(TRIM(customer_churn_dataset!C844))</f>
        <v>Two Year</v>
      </c>
      <c r="D844" s="7" t="n">
        <f aca="false">IF(ISBLANK(customer_churn_dataset!D844),ROUND(MEDIAN(customer_churn_dataset!D$2:D$1501),2),IF(customer_churn_dataset!D844&lt;0,ABS(customer_churn_dataset!D844),customer_churn_dataset!D844))</f>
        <v>18.07</v>
      </c>
      <c r="E844" s="7" t="n">
        <f aca="false">IF(ISBLANK(customer_churn_dataset!E844),0,MAX(0,customer_churn_dataset!E844))</f>
        <v>3</v>
      </c>
      <c r="F844" s="8" t="n">
        <f aca="false">IF(ISBLANK(customer_churn_dataset!F844),"",customer_churn_dataset!F844)</f>
        <v>44952</v>
      </c>
      <c r="G844" s="7" t="str">
        <f aca="false">PROPER(TRIM(customer_churn_dataset!G844))</f>
        <v>Paypal</v>
      </c>
      <c r="H844" s="7" t="n">
        <f aca="false">IF(ISBLANK(customer_churn_dataset!H844),0,customer_churn_dataset!H844)</f>
        <v>1</v>
      </c>
      <c r="I844" s="7" t="n">
        <f aca="false">IF(ISBLANK(customer_churn_dataset!I844),ROUND(MEDIAN(customer_churn_dataset!I$2:I$1501),1),MIN(100,MAX(0,customer_churn_dataset!I844)))</f>
        <v>14</v>
      </c>
      <c r="J844" s="7" t="n">
        <f aca="false">IF(ISBLANK(customer_churn_dataset!J844),0,MAX(0,customer_churn_dataset!J844))</f>
        <v>1</v>
      </c>
      <c r="K844" s="7" t="n">
        <f aca="false">IF(ISBLANK(customer_churn_dataset!K844),0,MIN(10,MAX(0,customer_churn_dataset!K844)))</f>
        <v>1</v>
      </c>
      <c r="L844" s="7" t="n">
        <f aca="false">IF(ISBLANK(customer_churn_dataset!L844),0,MAX(0,customer_churn_dataset!L844))</f>
        <v>3</v>
      </c>
      <c r="M844" s="7" t="n">
        <f aca="false">IF(ISBLANK(customer_churn_dataset!M844),0,customer_churn_dataset!M844)</f>
        <v>0</v>
      </c>
      <c r="N844" s="7" t="n">
        <f aca="false">IF(ISBLANK(customer_churn_dataset!N844),0,MAX(0,customer_churn_dataset!N844))</f>
        <v>54.21</v>
      </c>
      <c r="O844" s="7" t="n">
        <f aca="false">IF(ISBLANK(customer_churn_dataset!O844),0,customer_churn_dataset!O844)</f>
        <v>0</v>
      </c>
      <c r="P844" s="7" t="str">
        <f aca="false">IF(COUNTIF(customer_churn_dataset!$A$2:$A$1501,customer_churn_dataset!A844)&gt;1,"Duplicate","Unique")</f>
        <v>Unique</v>
      </c>
    </row>
    <row r="845" customFormat="false" ht="14.15" hidden="false" customHeight="true" outlineLevel="0" collapsed="false">
      <c r="A845" s="7" t="str">
        <f aca="false">TRIM(customer_churn_dataset!A845)</f>
        <v>CUST101497</v>
      </c>
      <c r="B845" s="7" t="str">
        <f aca="false">PROPER(TRIM(customer_churn_dataset!B845))</f>
        <v>Standard</v>
      </c>
      <c r="C845" s="7" t="str">
        <f aca="false">PROPER(TRIM(customer_churn_dataset!C845))</f>
        <v>Month-To-Month</v>
      </c>
      <c r="D845" s="7" t="n">
        <f aca="false">IF(ISBLANK(customer_churn_dataset!D845),ROUND(MEDIAN(customer_churn_dataset!D$2:D$1501),2),IF(customer_churn_dataset!D845&lt;0,ABS(customer_churn_dataset!D845),customer_churn_dataset!D845))</f>
        <v>20.88</v>
      </c>
      <c r="E845" s="7" t="n">
        <f aca="false">IF(ISBLANK(customer_churn_dataset!E845),0,MAX(0,customer_churn_dataset!E845))</f>
        <v>13</v>
      </c>
      <c r="F845" s="8" t="n">
        <f aca="false">IF(ISBLANK(customer_churn_dataset!F845),"",customer_churn_dataset!F845)</f>
        <v>44953</v>
      </c>
      <c r="G845" s="7" t="str">
        <f aca="false">PROPER(TRIM(customer_churn_dataset!G845))</f>
        <v>Paypal</v>
      </c>
      <c r="H845" s="7" t="n">
        <f aca="false">IF(ISBLANK(customer_churn_dataset!H845),0,customer_churn_dataset!H845)</f>
        <v>0</v>
      </c>
      <c r="I845" s="7" t="n">
        <f aca="false">IF(ISBLANK(customer_churn_dataset!I845),ROUND(MEDIAN(customer_churn_dataset!I$2:I$1501),1),MIN(100,MAX(0,customer_churn_dataset!I845)))</f>
        <v>26.8</v>
      </c>
      <c r="J845" s="7" t="n">
        <f aca="false">IF(ISBLANK(customer_churn_dataset!J845),0,MAX(0,customer_churn_dataset!J845))</f>
        <v>14</v>
      </c>
      <c r="K845" s="7" t="n">
        <f aca="false">IF(ISBLANK(customer_churn_dataset!K845),0,MIN(10,MAX(0,customer_churn_dataset!K845)))</f>
        <v>6</v>
      </c>
      <c r="L845" s="7" t="n">
        <f aca="false">IF(ISBLANK(customer_churn_dataset!L845),0,MAX(0,customer_churn_dataset!L845))</f>
        <v>6</v>
      </c>
      <c r="M845" s="7" t="n">
        <f aca="false">IF(ISBLANK(customer_churn_dataset!M845),0,customer_churn_dataset!M845)</f>
        <v>0</v>
      </c>
      <c r="N845" s="7" t="n">
        <f aca="false">IF(ISBLANK(customer_churn_dataset!N845),0,MAX(0,customer_churn_dataset!N845))</f>
        <v>271.44</v>
      </c>
      <c r="O845" s="7" t="n">
        <f aca="false">IF(ISBLANK(customer_churn_dataset!O845),0,customer_churn_dataset!O845)</f>
        <v>1</v>
      </c>
      <c r="P845" s="7" t="str">
        <f aca="false">IF(COUNTIF(customer_churn_dataset!$A$2:$A$1501,customer_churn_dataset!A845)&gt;1,"Duplicate","Unique")</f>
        <v>Unique</v>
      </c>
    </row>
    <row r="846" customFormat="false" ht="14.15" hidden="false" customHeight="true" outlineLevel="0" collapsed="false">
      <c r="A846" s="7" t="str">
        <f aca="false">TRIM(customer_churn_dataset!A846)</f>
        <v>CUST101287</v>
      </c>
      <c r="B846" s="7" t="str">
        <f aca="false">PROPER(TRIM(customer_churn_dataset!B846))</f>
        <v>Basic</v>
      </c>
      <c r="C846" s="7" t="str">
        <f aca="false">PROPER(TRIM(customer_churn_dataset!C846))</f>
        <v>One Year</v>
      </c>
      <c r="D846" s="7" t="n">
        <f aca="false">IF(ISBLANK(customer_churn_dataset!D846),ROUND(MEDIAN(customer_churn_dataset!D$2:D$1501),2),IF(customer_churn_dataset!D846&lt;0,ABS(customer_churn_dataset!D846),customer_churn_dataset!D846))</f>
        <v>9.76</v>
      </c>
      <c r="E846" s="7" t="n">
        <f aca="false">IF(ISBLANK(customer_churn_dataset!E846),0,MAX(0,customer_churn_dataset!E846))</f>
        <v>1</v>
      </c>
      <c r="F846" s="8" t="n">
        <f aca="false">IF(ISBLANK(customer_churn_dataset!F846),"",customer_churn_dataset!F846)</f>
        <v>44955</v>
      </c>
      <c r="G846" s="7" t="str">
        <f aca="false">PROPER(TRIM(customer_churn_dataset!G846))</f>
        <v>Bank Transfer</v>
      </c>
      <c r="H846" s="7" t="n">
        <f aca="false">IF(ISBLANK(customer_churn_dataset!H846),0,customer_churn_dataset!H846)</f>
        <v>1</v>
      </c>
      <c r="I846" s="7" t="n">
        <f aca="false">IF(ISBLANK(customer_churn_dataset!I846),ROUND(MEDIAN(customer_churn_dataset!I$2:I$1501),1),MIN(100,MAX(0,customer_churn_dataset!I846)))</f>
        <v>64.2</v>
      </c>
      <c r="J846" s="7" t="n">
        <f aca="false">IF(ISBLANK(customer_churn_dataset!J846),0,MAX(0,customer_churn_dataset!J846))</f>
        <v>17</v>
      </c>
      <c r="K846" s="7" t="n">
        <f aca="false">IF(ISBLANK(customer_churn_dataset!K846),0,MIN(10,MAX(0,customer_churn_dataset!K846)))</f>
        <v>8</v>
      </c>
      <c r="L846" s="7" t="n">
        <f aca="false">IF(ISBLANK(customer_churn_dataset!L846),0,MAX(0,customer_churn_dataset!L846))</f>
        <v>3</v>
      </c>
      <c r="M846" s="7" t="n">
        <f aca="false">IF(ISBLANK(customer_churn_dataset!M846),0,customer_churn_dataset!M846)</f>
        <v>0</v>
      </c>
      <c r="N846" s="7" t="n">
        <f aca="false">IF(ISBLANK(customer_churn_dataset!N846),0,MAX(0,customer_churn_dataset!N846))</f>
        <v>9.76</v>
      </c>
      <c r="O846" s="7" t="n">
        <f aca="false">IF(ISBLANK(customer_churn_dataset!O846),0,customer_churn_dataset!O846)</f>
        <v>0</v>
      </c>
      <c r="P846" s="7" t="str">
        <f aca="false">IF(COUNTIF(customer_churn_dataset!$A$2:$A$1501,customer_churn_dataset!A846)&gt;1,"Duplicate","Unique")</f>
        <v>Unique</v>
      </c>
    </row>
    <row r="847" customFormat="false" ht="14.15" hidden="false" customHeight="true" outlineLevel="0" collapsed="false">
      <c r="A847" s="7" t="str">
        <f aca="false">TRIM(customer_churn_dataset!A847)</f>
        <v>CUST101075</v>
      </c>
      <c r="B847" s="7" t="str">
        <f aca="false">PROPER(TRIM(customer_churn_dataset!B847))</f>
        <v>Basic</v>
      </c>
      <c r="C847" s="7" t="str">
        <f aca="false">PROPER(TRIM(customer_churn_dataset!C847))</f>
        <v>One Year</v>
      </c>
      <c r="D847" s="7" t="n">
        <f aca="false">IF(ISBLANK(customer_churn_dataset!D847),ROUND(MEDIAN(customer_churn_dataset!D$2:D$1501),2),IF(customer_churn_dataset!D847&lt;0,ABS(customer_churn_dataset!D847),customer_churn_dataset!D847))</f>
        <v>10.72</v>
      </c>
      <c r="E847" s="7" t="n">
        <f aca="false">IF(ISBLANK(customer_churn_dataset!E847),0,MAX(0,customer_churn_dataset!E847))</f>
        <v>5</v>
      </c>
      <c r="F847" s="8" t="n">
        <f aca="false">IF(ISBLANK(customer_churn_dataset!F847),"",customer_churn_dataset!F847)</f>
        <v>44955</v>
      </c>
      <c r="G847" s="7" t="str">
        <f aca="false">PROPER(TRIM(customer_churn_dataset!G847))</f>
        <v>Credit Card</v>
      </c>
      <c r="H847" s="7" t="n">
        <f aca="false">IF(ISBLANK(customer_churn_dataset!H847),0,customer_churn_dataset!H847)</f>
        <v>1</v>
      </c>
      <c r="I847" s="7" t="n">
        <f aca="false">IF(ISBLANK(customer_churn_dataset!I847),ROUND(MEDIAN(customer_churn_dataset!I$2:I$1501),1),MIN(100,MAX(0,customer_churn_dataset!I847)))</f>
        <v>40.9</v>
      </c>
      <c r="J847" s="7" t="n">
        <f aca="false">IF(ISBLANK(customer_churn_dataset!J847),0,MAX(0,customer_churn_dataset!J847))</f>
        <v>7</v>
      </c>
      <c r="K847" s="7" t="n">
        <f aca="false">IF(ISBLANK(customer_churn_dataset!K847),0,MIN(10,MAX(0,customer_churn_dataset!K847)))</f>
        <v>5</v>
      </c>
      <c r="L847" s="7" t="n">
        <f aca="false">IF(ISBLANK(customer_churn_dataset!L847),0,MAX(0,customer_churn_dataset!L847))</f>
        <v>1</v>
      </c>
      <c r="M847" s="7" t="n">
        <f aca="false">IF(ISBLANK(customer_churn_dataset!M847),0,customer_churn_dataset!M847)</f>
        <v>1</v>
      </c>
      <c r="N847" s="7" t="n">
        <f aca="false">IF(ISBLANK(customer_churn_dataset!N847),0,MAX(0,customer_churn_dataset!N847))</f>
        <v>53.6</v>
      </c>
      <c r="O847" s="7" t="n">
        <f aca="false">IF(ISBLANK(customer_churn_dataset!O847),0,customer_churn_dataset!O847)</f>
        <v>0</v>
      </c>
      <c r="P847" s="7" t="str">
        <f aca="false">IF(COUNTIF(customer_churn_dataset!$A$2:$A$1501,customer_churn_dataset!A847)&gt;1,"Duplicate","Unique")</f>
        <v>Unique</v>
      </c>
    </row>
    <row r="848" customFormat="false" ht="14.15" hidden="false" customHeight="true" outlineLevel="0" collapsed="false">
      <c r="A848" s="7" t="str">
        <f aca="false">TRIM(customer_churn_dataset!A848)</f>
        <v>CUST101261</v>
      </c>
      <c r="B848" s="7" t="str">
        <f aca="false">PROPER(TRIM(customer_churn_dataset!B848))</f>
        <v>Standard</v>
      </c>
      <c r="C848" s="7" t="str">
        <f aca="false">PROPER(TRIM(customer_churn_dataset!C848))</f>
        <v>Month-To-Month</v>
      </c>
      <c r="D848" s="7" t="n">
        <f aca="false">IF(ISBLANK(customer_churn_dataset!D848),ROUND(MEDIAN(customer_churn_dataset!D$2:D$1501),2),IF(customer_churn_dataset!D848&lt;0,ABS(customer_churn_dataset!D848),customer_churn_dataset!D848))</f>
        <v>21.16</v>
      </c>
      <c r="E848" s="7" t="n">
        <f aca="false">IF(ISBLANK(customer_churn_dataset!E848),0,MAX(0,customer_churn_dataset!E848))</f>
        <v>7</v>
      </c>
      <c r="F848" s="8" t="n">
        <f aca="false">IF(ISBLANK(customer_churn_dataset!F848),"",customer_churn_dataset!F848)</f>
        <v>44955</v>
      </c>
      <c r="G848" s="7" t="str">
        <f aca="false">PROPER(TRIM(customer_churn_dataset!G848))</f>
        <v>Credit Card</v>
      </c>
      <c r="H848" s="7" t="n">
        <f aca="false">IF(ISBLANK(customer_churn_dataset!H848),0,customer_churn_dataset!H848)</f>
        <v>0</v>
      </c>
      <c r="I848" s="7" t="n">
        <f aca="false">IF(ISBLANK(customer_churn_dataset!I848),ROUND(MEDIAN(customer_churn_dataset!I$2:I$1501),1),MIN(100,MAX(0,customer_churn_dataset!I848)))</f>
        <v>54.4</v>
      </c>
      <c r="J848" s="7" t="n">
        <f aca="false">IF(ISBLANK(customer_churn_dataset!J848),0,MAX(0,customer_churn_dataset!J848))</f>
        <v>16</v>
      </c>
      <c r="K848" s="7" t="n">
        <f aca="false">IF(ISBLANK(customer_churn_dataset!K848),0,MIN(10,MAX(0,customer_churn_dataset!K848)))</f>
        <v>4</v>
      </c>
      <c r="L848" s="7" t="n">
        <f aca="false">IF(ISBLANK(customer_churn_dataset!L848),0,MAX(0,customer_churn_dataset!L848))</f>
        <v>1</v>
      </c>
      <c r="M848" s="7" t="n">
        <f aca="false">IF(ISBLANK(customer_churn_dataset!M848),0,customer_churn_dataset!M848)</f>
        <v>1</v>
      </c>
      <c r="N848" s="7" t="n">
        <f aca="false">IF(ISBLANK(customer_churn_dataset!N848),0,MAX(0,customer_churn_dataset!N848))</f>
        <v>148.12</v>
      </c>
      <c r="O848" s="7" t="n">
        <f aca="false">IF(ISBLANK(customer_churn_dataset!O848),0,customer_churn_dataset!O848)</f>
        <v>1</v>
      </c>
      <c r="P848" s="7" t="str">
        <f aca="false">IF(COUNTIF(customer_churn_dataset!$A$2:$A$1501,customer_churn_dataset!A848)&gt;1,"Duplicate","Unique")</f>
        <v>Unique</v>
      </c>
    </row>
    <row r="849" customFormat="false" ht="14.15" hidden="false" customHeight="true" outlineLevel="0" collapsed="false">
      <c r="A849" s="7" t="str">
        <f aca="false">TRIM(customer_churn_dataset!A849)</f>
        <v>CUST101174</v>
      </c>
      <c r="B849" s="7" t="str">
        <f aca="false">PROPER(TRIM(customer_churn_dataset!B849))</f>
        <v>Standard</v>
      </c>
      <c r="C849" s="7" t="str">
        <f aca="false">PROPER(TRIM(customer_churn_dataset!C849))</f>
        <v>Month-To-Month</v>
      </c>
      <c r="D849" s="7" t="n">
        <f aca="false">IF(ISBLANK(customer_churn_dataset!D849),ROUND(MEDIAN(customer_churn_dataset!D$2:D$1501),2),IF(customer_churn_dataset!D849&lt;0,ABS(customer_churn_dataset!D849),customer_churn_dataset!D849))</f>
        <v>20.88</v>
      </c>
      <c r="E849" s="7" t="n">
        <f aca="false">IF(ISBLANK(customer_churn_dataset!E849),0,MAX(0,customer_churn_dataset!E849))</f>
        <v>19</v>
      </c>
      <c r="F849" s="8" t="n">
        <f aca="false">IF(ISBLANK(customer_churn_dataset!F849),"",customer_churn_dataset!F849)</f>
        <v>44957</v>
      </c>
      <c r="G849" s="7" t="str">
        <f aca="false">PROPER(TRIM(customer_churn_dataset!G849))</f>
        <v>Credit Card</v>
      </c>
      <c r="H849" s="7" t="n">
        <f aca="false">IF(ISBLANK(customer_churn_dataset!H849),0,customer_churn_dataset!H849)</f>
        <v>0</v>
      </c>
      <c r="I849" s="7" t="n">
        <f aca="false">IF(ISBLANK(customer_churn_dataset!I849),ROUND(MEDIAN(customer_churn_dataset!I$2:I$1501),1),MIN(100,MAX(0,customer_churn_dataset!I849)))</f>
        <v>64.4</v>
      </c>
      <c r="J849" s="7" t="n">
        <f aca="false">IF(ISBLANK(customer_churn_dataset!J849),0,MAX(0,customer_churn_dataset!J849))</f>
        <v>21</v>
      </c>
      <c r="K849" s="7" t="n">
        <f aca="false">IF(ISBLANK(customer_churn_dataset!K849),0,MIN(10,MAX(0,customer_churn_dataset!K849)))</f>
        <v>7</v>
      </c>
      <c r="L849" s="7" t="n">
        <f aca="false">IF(ISBLANK(customer_churn_dataset!L849),0,MAX(0,customer_churn_dataset!L849))</f>
        <v>3</v>
      </c>
      <c r="M849" s="7" t="n">
        <f aca="false">IF(ISBLANK(customer_churn_dataset!M849),0,customer_churn_dataset!M849)</f>
        <v>0</v>
      </c>
      <c r="N849" s="7" t="n">
        <f aca="false">IF(ISBLANK(customer_churn_dataset!N849),0,MAX(0,customer_churn_dataset!N849))</f>
        <v>396.72</v>
      </c>
      <c r="O849" s="7" t="n">
        <f aca="false">IF(ISBLANK(customer_churn_dataset!O849),0,customer_churn_dataset!O849)</f>
        <v>0</v>
      </c>
      <c r="P849" s="7" t="str">
        <f aca="false">IF(COUNTIF(customer_churn_dataset!$A$2:$A$1501,customer_churn_dataset!A849)&gt;1,"Duplicate","Unique")</f>
        <v>Unique</v>
      </c>
    </row>
    <row r="850" customFormat="false" ht="14.15" hidden="false" customHeight="true" outlineLevel="0" collapsed="false">
      <c r="A850" s="7" t="str">
        <f aca="false">TRIM(customer_churn_dataset!A850)</f>
        <v>CUST100457</v>
      </c>
      <c r="B850" s="7" t="str">
        <f aca="false">PROPER(TRIM(customer_churn_dataset!B850))</f>
        <v>Standard</v>
      </c>
      <c r="C850" s="7" t="str">
        <f aca="false">PROPER(TRIM(customer_churn_dataset!C850))</f>
        <v>Month-To-Month</v>
      </c>
      <c r="D850" s="7" t="n">
        <f aca="false">IF(ISBLANK(customer_churn_dataset!D850),ROUND(MEDIAN(customer_churn_dataset!D$2:D$1501),2),IF(customer_churn_dataset!D850&lt;0,ABS(customer_churn_dataset!D850),customer_churn_dataset!D850))</f>
        <v>19.24</v>
      </c>
      <c r="E850" s="7" t="n">
        <f aca="false">IF(ISBLANK(customer_churn_dataset!E850),0,MAX(0,customer_churn_dataset!E850))</f>
        <v>72</v>
      </c>
      <c r="F850" s="8" t="n">
        <f aca="false">IF(ISBLANK(customer_churn_dataset!F850),"",customer_churn_dataset!F850)</f>
        <v>44957</v>
      </c>
      <c r="G850" s="7" t="str">
        <f aca="false">PROPER(TRIM(customer_churn_dataset!G850))</f>
        <v>Manual/Invoice</v>
      </c>
      <c r="H850" s="7" t="n">
        <f aca="false">IF(ISBLANK(customer_churn_dataset!H850),0,customer_churn_dataset!H850)</f>
        <v>1</v>
      </c>
      <c r="I850" s="7" t="n">
        <f aca="false">IF(ISBLANK(customer_churn_dataset!I850),ROUND(MEDIAN(customer_churn_dataset!I$2:I$1501),1),MIN(100,MAX(0,customer_churn_dataset!I850)))</f>
        <v>85.7</v>
      </c>
      <c r="J850" s="7" t="n">
        <f aca="false">IF(ISBLANK(customer_churn_dataset!J850),0,MAX(0,customer_churn_dataset!J850))</f>
        <v>22</v>
      </c>
      <c r="K850" s="7" t="n">
        <f aca="false">IF(ISBLANK(customer_churn_dataset!K850),0,MIN(10,MAX(0,customer_churn_dataset!K850)))</f>
        <v>6</v>
      </c>
      <c r="L850" s="7" t="n">
        <f aca="false">IF(ISBLANK(customer_churn_dataset!L850),0,MAX(0,customer_churn_dataset!L850))</f>
        <v>1</v>
      </c>
      <c r="M850" s="7" t="n">
        <f aca="false">IF(ISBLANK(customer_churn_dataset!M850),0,customer_churn_dataset!M850)</f>
        <v>0</v>
      </c>
      <c r="N850" s="7" t="n">
        <f aca="false">IF(ISBLANK(customer_churn_dataset!N850),0,MAX(0,customer_churn_dataset!N850))</f>
        <v>1385.28</v>
      </c>
      <c r="O850" s="7" t="n">
        <f aca="false">IF(ISBLANK(customer_churn_dataset!O850),0,customer_churn_dataset!O850)</f>
        <v>0</v>
      </c>
      <c r="P850" s="7" t="str">
        <f aca="false">IF(COUNTIF(customer_churn_dataset!$A$2:$A$1501,customer_churn_dataset!A850)&gt;1,"Duplicate","Unique")</f>
        <v>Unique</v>
      </c>
    </row>
    <row r="851" customFormat="false" ht="14.15" hidden="false" customHeight="true" outlineLevel="0" collapsed="false">
      <c r="A851" s="7" t="str">
        <f aca="false">TRIM(customer_churn_dataset!A851)</f>
        <v>CUST101281</v>
      </c>
      <c r="B851" s="7" t="str">
        <f aca="false">PROPER(TRIM(customer_churn_dataset!B851))</f>
        <v>Standard</v>
      </c>
      <c r="C851" s="7" t="str">
        <f aca="false">PROPER(TRIM(customer_churn_dataset!C851))</f>
        <v>Month-To-Month</v>
      </c>
      <c r="D851" s="7" t="n">
        <f aca="false">IF(ISBLANK(customer_churn_dataset!D851),ROUND(MEDIAN(customer_churn_dataset!D$2:D$1501),2),IF(customer_churn_dataset!D851&lt;0,ABS(customer_churn_dataset!D851),customer_churn_dataset!D851))</f>
        <v>21.37</v>
      </c>
      <c r="E851" s="7" t="n">
        <f aca="false">IF(ISBLANK(customer_churn_dataset!E851),0,MAX(0,customer_churn_dataset!E851))</f>
        <v>14</v>
      </c>
      <c r="F851" s="8" t="n">
        <f aca="false">IF(ISBLANK(customer_churn_dataset!F851),"",customer_churn_dataset!F851)</f>
        <v>44957</v>
      </c>
      <c r="G851" s="7" t="str">
        <f aca="false">PROPER(TRIM(customer_churn_dataset!G851))</f>
        <v>Credit Card</v>
      </c>
      <c r="H851" s="7" t="n">
        <f aca="false">IF(ISBLANK(customer_churn_dataset!H851),0,customer_churn_dataset!H851)</f>
        <v>1</v>
      </c>
      <c r="I851" s="7" t="n">
        <f aca="false">IF(ISBLANK(customer_churn_dataset!I851),ROUND(MEDIAN(customer_churn_dataset!I$2:I$1501),1),MIN(100,MAX(0,customer_churn_dataset!I851)))</f>
        <v>60.9</v>
      </c>
      <c r="J851" s="7" t="n">
        <f aca="false">IF(ISBLANK(customer_churn_dataset!J851),0,MAX(0,customer_churn_dataset!J851))</f>
        <v>24</v>
      </c>
      <c r="K851" s="7" t="n">
        <f aca="false">IF(ISBLANK(customer_churn_dataset!K851),0,MIN(10,MAX(0,customer_churn_dataset!K851)))</f>
        <v>6</v>
      </c>
      <c r="L851" s="7" t="n">
        <f aca="false">IF(ISBLANK(customer_churn_dataset!L851),0,MAX(0,customer_churn_dataset!L851))</f>
        <v>0</v>
      </c>
      <c r="M851" s="7" t="n">
        <f aca="false">IF(ISBLANK(customer_churn_dataset!M851),0,customer_churn_dataset!M851)</f>
        <v>0</v>
      </c>
      <c r="N851" s="7" t="n">
        <f aca="false">IF(ISBLANK(customer_churn_dataset!N851),0,MAX(0,customer_churn_dataset!N851))</f>
        <v>299.18</v>
      </c>
      <c r="O851" s="7" t="n">
        <f aca="false">IF(ISBLANK(customer_churn_dataset!O851),0,customer_churn_dataset!O851)</f>
        <v>0</v>
      </c>
      <c r="P851" s="7" t="str">
        <f aca="false">IF(COUNTIF(customer_churn_dataset!$A$2:$A$1501,customer_churn_dataset!A851)&gt;1,"Duplicate","Unique")</f>
        <v>Unique</v>
      </c>
    </row>
    <row r="852" customFormat="false" ht="14.15" hidden="false" customHeight="true" outlineLevel="0" collapsed="false">
      <c r="A852" s="7" t="str">
        <f aca="false">TRIM(customer_churn_dataset!A852)</f>
        <v>CUST100851</v>
      </c>
      <c r="B852" s="7" t="str">
        <f aca="false">PROPER(TRIM(customer_churn_dataset!B852))</f>
        <v>Standard</v>
      </c>
      <c r="C852" s="7" t="str">
        <f aca="false">PROPER(TRIM(customer_churn_dataset!C852))</f>
        <v>Month-To-Month</v>
      </c>
      <c r="D852" s="7" t="n">
        <f aca="false">IF(ISBLANK(customer_churn_dataset!D852),ROUND(MEDIAN(customer_churn_dataset!D$2:D$1501),2),IF(customer_churn_dataset!D852&lt;0,ABS(customer_churn_dataset!D852),customer_churn_dataset!D852))</f>
        <v>19.23</v>
      </c>
      <c r="E852" s="7" t="n">
        <f aca="false">IF(ISBLANK(customer_churn_dataset!E852),0,MAX(0,customer_churn_dataset!E852))</f>
        <v>7</v>
      </c>
      <c r="F852" s="8" t="n">
        <f aca="false">IF(ISBLANK(customer_churn_dataset!F852),"",customer_churn_dataset!F852)</f>
        <v>44958</v>
      </c>
      <c r="G852" s="7" t="str">
        <f aca="false">PROPER(TRIM(customer_churn_dataset!G852))</f>
        <v>Bank Transfer</v>
      </c>
      <c r="H852" s="7" t="n">
        <f aca="false">IF(ISBLANK(customer_churn_dataset!H852),0,customer_churn_dataset!H852)</f>
        <v>1</v>
      </c>
      <c r="I852" s="7" t="n">
        <f aca="false">IF(ISBLANK(customer_churn_dataset!I852),ROUND(MEDIAN(customer_churn_dataset!I$2:I$1501),1),MIN(100,MAX(0,customer_churn_dataset!I852)))</f>
        <v>63</v>
      </c>
      <c r="J852" s="7" t="n">
        <f aca="false">IF(ISBLANK(customer_churn_dataset!J852),0,MAX(0,customer_churn_dataset!J852))</f>
        <v>16</v>
      </c>
      <c r="K852" s="7" t="n">
        <f aca="false">IF(ISBLANK(customer_churn_dataset!K852),0,MIN(10,MAX(0,customer_churn_dataset!K852)))</f>
        <v>7</v>
      </c>
      <c r="L852" s="7" t="n">
        <f aca="false">IF(ISBLANK(customer_churn_dataset!L852),0,MAX(0,customer_churn_dataset!L852))</f>
        <v>1</v>
      </c>
      <c r="M852" s="7" t="n">
        <f aca="false">IF(ISBLANK(customer_churn_dataset!M852),0,customer_churn_dataset!M852)</f>
        <v>1</v>
      </c>
      <c r="N852" s="7" t="n">
        <f aca="false">IF(ISBLANK(customer_churn_dataset!N852),0,MAX(0,customer_churn_dataset!N852))</f>
        <v>134.61</v>
      </c>
      <c r="O852" s="7" t="n">
        <f aca="false">IF(ISBLANK(customer_churn_dataset!O852),0,customer_churn_dataset!O852)</f>
        <v>0</v>
      </c>
      <c r="P852" s="7" t="str">
        <f aca="false">IF(COUNTIF(customer_churn_dataset!$A$2:$A$1501,customer_churn_dataset!A852)&gt;1,"Duplicate","Unique")</f>
        <v>Unique</v>
      </c>
    </row>
    <row r="853" customFormat="false" ht="14.15" hidden="false" customHeight="true" outlineLevel="0" collapsed="false">
      <c r="A853" s="7" t="str">
        <f aca="false">TRIM(customer_churn_dataset!A853)</f>
        <v>CUST100614</v>
      </c>
      <c r="B853" s="7" t="str">
        <f aca="false">PROPER(TRIM(customer_churn_dataset!B853))</f>
        <v>Premium</v>
      </c>
      <c r="C853" s="7" t="str">
        <f aca="false">PROPER(TRIM(customer_churn_dataset!C853))</f>
        <v>One Year</v>
      </c>
      <c r="D853" s="7" t="n">
        <f aca="false">IF(ISBLANK(customer_churn_dataset!D853),ROUND(MEDIAN(customer_churn_dataset!D$2:D$1501),2),IF(customer_churn_dataset!D853&lt;0,ABS(customer_churn_dataset!D853),customer_churn_dataset!D853))</f>
        <v>39.25</v>
      </c>
      <c r="E853" s="7" t="n">
        <f aca="false">IF(ISBLANK(customer_churn_dataset!E853),0,MAX(0,customer_churn_dataset!E853))</f>
        <v>36</v>
      </c>
      <c r="F853" s="8" t="n">
        <f aca="false">IF(ISBLANK(customer_churn_dataset!F853),"",customer_churn_dataset!F853)</f>
        <v>44959</v>
      </c>
      <c r="G853" s="7" t="str">
        <f aca="false">PROPER(TRIM(customer_churn_dataset!G853))</f>
        <v>Credit Card</v>
      </c>
      <c r="H853" s="7" t="n">
        <f aca="false">IF(ISBLANK(customer_churn_dataset!H853),0,customer_churn_dataset!H853)</f>
        <v>1</v>
      </c>
      <c r="I853" s="7" t="n">
        <f aca="false">IF(ISBLANK(customer_churn_dataset!I853),ROUND(MEDIAN(customer_churn_dataset!I$2:I$1501),1),MIN(100,MAX(0,customer_churn_dataset!I853)))</f>
        <v>26.5</v>
      </c>
      <c r="J853" s="7" t="n">
        <f aca="false">IF(ISBLANK(customer_churn_dataset!J853),0,MAX(0,customer_churn_dataset!J853))</f>
        <v>11</v>
      </c>
      <c r="K853" s="7" t="n">
        <f aca="false">IF(ISBLANK(customer_churn_dataset!K853),0,MIN(10,MAX(0,customer_churn_dataset!K853)))</f>
        <v>2</v>
      </c>
      <c r="L853" s="7" t="n">
        <f aca="false">IF(ISBLANK(customer_churn_dataset!L853),0,MAX(0,customer_churn_dataset!L853))</f>
        <v>1</v>
      </c>
      <c r="M853" s="7" t="n">
        <f aca="false">IF(ISBLANK(customer_churn_dataset!M853),0,customer_churn_dataset!M853)</f>
        <v>1</v>
      </c>
      <c r="N853" s="7" t="n">
        <f aca="false">IF(ISBLANK(customer_churn_dataset!N853),0,MAX(0,customer_churn_dataset!N853))</f>
        <v>1413</v>
      </c>
      <c r="O853" s="7" t="n">
        <f aca="false">IF(ISBLANK(customer_churn_dataset!O853),0,customer_churn_dataset!O853)</f>
        <v>0</v>
      </c>
      <c r="P853" s="7" t="str">
        <f aca="false">IF(COUNTIF(customer_churn_dataset!$A$2:$A$1501,customer_churn_dataset!A853)&gt;1,"Duplicate","Unique")</f>
        <v>Unique</v>
      </c>
    </row>
    <row r="854" customFormat="false" ht="14.15" hidden="false" customHeight="true" outlineLevel="0" collapsed="false">
      <c r="A854" s="7" t="str">
        <f aca="false">TRIM(customer_churn_dataset!A854)</f>
        <v>CUST101463</v>
      </c>
      <c r="B854" s="7" t="str">
        <f aca="false">PROPER(TRIM(customer_churn_dataset!B854))</f>
        <v>Standard</v>
      </c>
      <c r="C854" s="7" t="str">
        <f aca="false">PROPER(TRIM(customer_churn_dataset!C854))</f>
        <v>Month-To-Month</v>
      </c>
      <c r="D854" s="7" t="n">
        <f aca="false">IF(ISBLANK(customer_churn_dataset!D854),ROUND(MEDIAN(customer_churn_dataset!D$2:D$1501),2),IF(customer_churn_dataset!D854&lt;0,ABS(customer_churn_dataset!D854),customer_churn_dataset!D854))</f>
        <v>21.4</v>
      </c>
      <c r="E854" s="7" t="n">
        <f aca="false">IF(ISBLANK(customer_churn_dataset!E854),0,MAX(0,customer_churn_dataset!E854))</f>
        <v>1</v>
      </c>
      <c r="F854" s="8" t="n">
        <f aca="false">IF(ISBLANK(customer_churn_dataset!F854),"",customer_churn_dataset!F854)</f>
        <v>44965</v>
      </c>
      <c r="G854" s="7" t="str">
        <f aca="false">PROPER(TRIM(customer_churn_dataset!G854))</f>
        <v>Credit Card</v>
      </c>
      <c r="H854" s="7" t="n">
        <f aca="false">IF(ISBLANK(customer_churn_dataset!H854),0,customer_churn_dataset!H854)</f>
        <v>1</v>
      </c>
      <c r="I854" s="7" t="n">
        <f aca="false">IF(ISBLANK(customer_churn_dataset!I854),ROUND(MEDIAN(customer_churn_dataset!I$2:I$1501),1),MIN(100,MAX(0,customer_churn_dataset!I854)))</f>
        <v>68.3</v>
      </c>
      <c r="J854" s="7" t="n">
        <f aca="false">IF(ISBLANK(customer_churn_dataset!J854),0,MAX(0,customer_churn_dataset!J854))</f>
        <v>25</v>
      </c>
      <c r="K854" s="7" t="n">
        <f aca="false">IF(ISBLANK(customer_churn_dataset!K854),0,MIN(10,MAX(0,customer_churn_dataset!K854)))</f>
        <v>4</v>
      </c>
      <c r="L854" s="7" t="n">
        <f aca="false">IF(ISBLANK(customer_churn_dataset!L854),0,MAX(0,customer_churn_dataset!L854))</f>
        <v>3</v>
      </c>
      <c r="M854" s="7" t="n">
        <f aca="false">IF(ISBLANK(customer_churn_dataset!M854),0,customer_churn_dataset!M854)</f>
        <v>1</v>
      </c>
      <c r="N854" s="7" t="n">
        <f aca="false">IF(ISBLANK(customer_churn_dataset!N854),0,MAX(0,customer_churn_dataset!N854))</f>
        <v>21.4</v>
      </c>
      <c r="O854" s="7" t="n">
        <f aca="false">IF(ISBLANK(customer_churn_dataset!O854),0,customer_churn_dataset!O854)</f>
        <v>0</v>
      </c>
      <c r="P854" s="7" t="str">
        <f aca="false">IF(COUNTIF(customer_churn_dataset!$A$2:$A$1501,customer_churn_dataset!A854)&gt;1,"Duplicate","Unique")</f>
        <v>Unique</v>
      </c>
    </row>
    <row r="855" customFormat="false" ht="14.15" hidden="false" customHeight="true" outlineLevel="0" collapsed="false">
      <c r="A855" s="7" t="str">
        <f aca="false">TRIM(customer_churn_dataset!A855)</f>
        <v>CUST100072</v>
      </c>
      <c r="B855" s="7" t="str">
        <f aca="false">PROPER(TRIM(customer_churn_dataset!B855))</f>
        <v>Basic</v>
      </c>
      <c r="C855" s="7" t="str">
        <f aca="false">PROPER(TRIM(customer_churn_dataset!C855))</f>
        <v>Two Year</v>
      </c>
      <c r="D855" s="7" t="n">
        <f aca="false">IF(ISBLANK(customer_churn_dataset!D855),ROUND(MEDIAN(customer_churn_dataset!D$2:D$1501),2),IF(customer_churn_dataset!D855&lt;0,ABS(customer_churn_dataset!D855),customer_churn_dataset!D855))</f>
        <v>9.9</v>
      </c>
      <c r="E855" s="7" t="n">
        <f aca="false">IF(ISBLANK(customer_churn_dataset!E855),0,MAX(0,customer_churn_dataset!E855))</f>
        <v>31</v>
      </c>
      <c r="F855" s="8" t="n">
        <f aca="false">IF(ISBLANK(customer_churn_dataset!F855),"",customer_churn_dataset!F855)</f>
        <v>44968</v>
      </c>
      <c r="G855" s="7" t="str">
        <f aca="false">PROPER(TRIM(customer_churn_dataset!G855))</f>
        <v>Credit Card</v>
      </c>
      <c r="H855" s="7" t="n">
        <f aca="false">IF(ISBLANK(customer_churn_dataset!H855),0,customer_churn_dataset!H855)</f>
        <v>1</v>
      </c>
      <c r="I855" s="7" t="n">
        <f aca="false">IF(ISBLANK(customer_churn_dataset!I855),ROUND(MEDIAN(customer_churn_dataset!I$2:I$1501),1),MIN(100,MAX(0,customer_churn_dataset!I855)))</f>
        <v>53.2</v>
      </c>
      <c r="J855" s="7" t="n">
        <f aca="false">IF(ISBLANK(customer_churn_dataset!J855),0,MAX(0,customer_churn_dataset!J855))</f>
        <v>15</v>
      </c>
      <c r="K855" s="7" t="n">
        <f aca="false">IF(ISBLANK(customer_churn_dataset!K855),0,MIN(10,MAX(0,customer_churn_dataset!K855)))</f>
        <v>4</v>
      </c>
      <c r="L855" s="7" t="n">
        <f aca="false">IF(ISBLANK(customer_churn_dataset!L855),0,MAX(0,customer_churn_dataset!L855))</f>
        <v>0</v>
      </c>
      <c r="M855" s="7" t="n">
        <f aca="false">IF(ISBLANK(customer_churn_dataset!M855),0,customer_churn_dataset!M855)</f>
        <v>0</v>
      </c>
      <c r="N855" s="7" t="n">
        <f aca="false">IF(ISBLANK(customer_churn_dataset!N855),0,MAX(0,customer_churn_dataset!N855))</f>
        <v>306.9</v>
      </c>
      <c r="O855" s="7" t="n">
        <f aca="false">IF(ISBLANK(customer_churn_dataset!O855),0,customer_churn_dataset!O855)</f>
        <v>0</v>
      </c>
      <c r="P855" s="7" t="str">
        <f aca="false">IF(COUNTIF(customer_churn_dataset!$A$2:$A$1501,customer_churn_dataset!A855)&gt;1,"Duplicate","Unique")</f>
        <v>Unique</v>
      </c>
    </row>
    <row r="856" customFormat="false" ht="14.15" hidden="false" customHeight="true" outlineLevel="0" collapsed="false">
      <c r="A856" s="7" t="str">
        <f aca="false">TRIM(customer_churn_dataset!A856)</f>
        <v>CUST101093</v>
      </c>
      <c r="B856" s="7" t="str">
        <f aca="false">PROPER(TRIM(customer_churn_dataset!B856))</f>
        <v>Standard</v>
      </c>
      <c r="C856" s="7" t="str">
        <f aca="false">PROPER(TRIM(customer_churn_dataset!C856))</f>
        <v>Month-To-Month</v>
      </c>
      <c r="D856" s="7" t="n">
        <f aca="false">IF(ISBLANK(customer_churn_dataset!D856),ROUND(MEDIAN(customer_churn_dataset!D$2:D$1501),2),IF(customer_churn_dataset!D856&lt;0,ABS(customer_churn_dataset!D856),customer_churn_dataset!D856))</f>
        <v>19.98</v>
      </c>
      <c r="E856" s="7" t="n">
        <f aca="false">IF(ISBLANK(customer_churn_dataset!E856),0,MAX(0,customer_churn_dataset!E856))</f>
        <v>36</v>
      </c>
      <c r="F856" s="8" t="n">
        <f aca="false">IF(ISBLANK(customer_churn_dataset!F856),"",customer_churn_dataset!F856)</f>
        <v>44968</v>
      </c>
      <c r="G856" s="7" t="str">
        <f aca="false">PROPER(TRIM(customer_churn_dataset!G856))</f>
        <v>Credit Card</v>
      </c>
      <c r="H856" s="7" t="n">
        <f aca="false">IF(ISBLANK(customer_churn_dataset!H856),0,customer_churn_dataset!H856)</f>
        <v>1</v>
      </c>
      <c r="I856" s="7" t="n">
        <f aca="false">IF(ISBLANK(customer_churn_dataset!I856),ROUND(MEDIAN(customer_churn_dataset!I$2:I$1501),1),MIN(100,MAX(0,customer_churn_dataset!I856)))</f>
        <v>35.4</v>
      </c>
      <c r="J856" s="7" t="n">
        <f aca="false">IF(ISBLANK(customer_churn_dataset!J856),0,MAX(0,customer_churn_dataset!J856))</f>
        <v>10</v>
      </c>
      <c r="K856" s="7" t="n">
        <f aca="false">IF(ISBLANK(customer_churn_dataset!K856),0,MIN(10,MAX(0,customer_churn_dataset!K856)))</f>
        <v>3</v>
      </c>
      <c r="L856" s="7" t="n">
        <f aca="false">IF(ISBLANK(customer_churn_dataset!L856),0,MAX(0,customer_churn_dataset!L856))</f>
        <v>1</v>
      </c>
      <c r="M856" s="7" t="n">
        <f aca="false">IF(ISBLANK(customer_churn_dataset!M856),0,customer_churn_dataset!M856)</f>
        <v>0</v>
      </c>
      <c r="N856" s="7" t="n">
        <f aca="false">IF(ISBLANK(customer_churn_dataset!N856),0,MAX(0,customer_churn_dataset!N856))</f>
        <v>719.28</v>
      </c>
      <c r="O856" s="7" t="n">
        <f aca="false">IF(ISBLANK(customer_churn_dataset!O856),0,customer_churn_dataset!O856)</f>
        <v>1</v>
      </c>
      <c r="P856" s="7" t="str">
        <f aca="false">IF(COUNTIF(customer_churn_dataset!$A$2:$A$1501,customer_churn_dataset!A856)&gt;1,"Duplicate","Unique")</f>
        <v>Unique</v>
      </c>
    </row>
    <row r="857" customFormat="false" ht="14.15" hidden="false" customHeight="true" outlineLevel="0" collapsed="false">
      <c r="A857" s="7" t="str">
        <f aca="false">TRIM(customer_churn_dataset!A857)</f>
        <v>CUST100797</v>
      </c>
      <c r="B857" s="7" t="str">
        <f aca="false">PROPER(TRIM(customer_churn_dataset!B857))</f>
        <v>Standard</v>
      </c>
      <c r="C857" s="7" t="str">
        <f aca="false">PROPER(TRIM(customer_churn_dataset!C857))</f>
        <v>Month-To-Month</v>
      </c>
      <c r="D857" s="7" t="n">
        <f aca="false">IF(ISBLANK(customer_churn_dataset!D857),ROUND(MEDIAN(customer_churn_dataset!D$2:D$1501),2),IF(customer_churn_dataset!D857&lt;0,ABS(customer_churn_dataset!D857),customer_churn_dataset!D857))</f>
        <v>23.13</v>
      </c>
      <c r="E857" s="7" t="n">
        <f aca="false">IF(ISBLANK(customer_churn_dataset!E857),0,MAX(0,customer_churn_dataset!E857))</f>
        <v>19</v>
      </c>
      <c r="F857" s="8" t="n">
        <f aca="false">IF(ISBLANK(customer_churn_dataset!F857),"",customer_churn_dataset!F857)</f>
        <v>44970</v>
      </c>
      <c r="G857" s="7" t="str">
        <f aca="false">PROPER(TRIM(customer_churn_dataset!G857))</f>
        <v>Paypal</v>
      </c>
      <c r="H857" s="7" t="n">
        <f aca="false">IF(ISBLANK(customer_churn_dataset!H857),0,customer_churn_dataset!H857)</f>
        <v>1</v>
      </c>
      <c r="I857" s="7" t="n">
        <f aca="false">IF(ISBLANK(customer_churn_dataset!I857),ROUND(MEDIAN(customer_churn_dataset!I$2:I$1501),1),MIN(100,MAX(0,customer_churn_dataset!I857)))</f>
        <v>44.5</v>
      </c>
      <c r="J857" s="7" t="n">
        <f aca="false">IF(ISBLANK(customer_churn_dataset!J857),0,MAX(0,customer_churn_dataset!J857))</f>
        <v>18</v>
      </c>
      <c r="K857" s="7" t="n">
        <f aca="false">IF(ISBLANK(customer_churn_dataset!K857),0,MIN(10,MAX(0,customer_churn_dataset!K857)))</f>
        <v>3</v>
      </c>
      <c r="L857" s="7" t="n">
        <f aca="false">IF(ISBLANK(customer_churn_dataset!L857),0,MAX(0,customer_churn_dataset!L857))</f>
        <v>0</v>
      </c>
      <c r="M857" s="7" t="n">
        <f aca="false">IF(ISBLANK(customer_churn_dataset!M857),0,customer_churn_dataset!M857)</f>
        <v>0</v>
      </c>
      <c r="N857" s="7" t="n">
        <f aca="false">IF(ISBLANK(customer_churn_dataset!N857),0,MAX(0,customer_churn_dataset!N857))</f>
        <v>439.47</v>
      </c>
      <c r="O857" s="7" t="n">
        <f aca="false">IF(ISBLANK(customer_churn_dataset!O857),0,customer_churn_dataset!O857)</f>
        <v>0</v>
      </c>
      <c r="P857" s="7" t="str">
        <f aca="false">IF(COUNTIF(customer_churn_dataset!$A$2:$A$1501,customer_churn_dataset!A857)&gt;1,"Duplicate","Unique")</f>
        <v>Unique</v>
      </c>
    </row>
    <row r="858" customFormat="false" ht="14.15" hidden="false" customHeight="true" outlineLevel="0" collapsed="false">
      <c r="A858" s="7" t="str">
        <f aca="false">TRIM(customer_churn_dataset!A858)</f>
        <v>CUST101063</v>
      </c>
      <c r="B858" s="7" t="str">
        <f aca="false">PROPER(TRIM(customer_churn_dataset!B858))</f>
        <v>Basic</v>
      </c>
      <c r="C858" s="7" t="str">
        <f aca="false">PROPER(TRIM(customer_churn_dataset!C858))</f>
        <v>One Year</v>
      </c>
      <c r="D858" s="7" t="n">
        <f aca="false">IF(ISBLANK(customer_churn_dataset!D858),ROUND(MEDIAN(customer_churn_dataset!D$2:D$1501),2),IF(customer_churn_dataset!D858&lt;0,ABS(customer_churn_dataset!D858),customer_churn_dataset!D858))</f>
        <v>9.81</v>
      </c>
      <c r="E858" s="7" t="n">
        <f aca="false">IF(ISBLANK(customer_churn_dataset!E858),0,MAX(0,customer_churn_dataset!E858))</f>
        <v>49</v>
      </c>
      <c r="F858" s="8" t="n">
        <f aca="false">IF(ISBLANK(customer_churn_dataset!F858),"",customer_churn_dataset!F858)</f>
        <v>44970</v>
      </c>
      <c r="G858" s="7" t="str">
        <f aca="false">PROPER(TRIM(customer_churn_dataset!G858))</f>
        <v>Paypal</v>
      </c>
      <c r="H858" s="7" t="n">
        <f aca="false">IF(ISBLANK(customer_churn_dataset!H858),0,customer_churn_dataset!H858)</f>
        <v>0</v>
      </c>
      <c r="I858" s="7" t="n">
        <f aca="false">IF(ISBLANK(customer_churn_dataset!I858),ROUND(MEDIAN(customer_churn_dataset!I$2:I$1501),1),MIN(100,MAX(0,customer_churn_dataset!I858)))</f>
        <v>82.2</v>
      </c>
      <c r="J858" s="7" t="n">
        <f aca="false">IF(ISBLANK(customer_churn_dataset!J858),0,MAX(0,customer_churn_dataset!J858))</f>
        <v>27</v>
      </c>
      <c r="K858" s="7" t="n">
        <f aca="false">IF(ISBLANK(customer_churn_dataset!K858),0,MIN(10,MAX(0,customer_churn_dataset!K858)))</f>
        <v>8</v>
      </c>
      <c r="L858" s="7" t="n">
        <f aca="false">IF(ISBLANK(customer_churn_dataset!L858),0,MAX(0,customer_churn_dataset!L858))</f>
        <v>0</v>
      </c>
      <c r="M858" s="7" t="n">
        <f aca="false">IF(ISBLANK(customer_churn_dataset!M858),0,customer_churn_dataset!M858)</f>
        <v>0</v>
      </c>
      <c r="N858" s="7" t="n">
        <f aca="false">IF(ISBLANK(customer_churn_dataset!N858),0,MAX(0,customer_churn_dataset!N858))</f>
        <v>480.69</v>
      </c>
      <c r="O858" s="7" t="n">
        <f aca="false">IF(ISBLANK(customer_churn_dataset!O858),0,customer_churn_dataset!O858)</f>
        <v>0</v>
      </c>
      <c r="P858" s="7" t="str">
        <f aca="false">IF(COUNTIF(customer_churn_dataset!$A$2:$A$1501,customer_churn_dataset!A858)&gt;1,"Duplicate","Unique")</f>
        <v>Unique</v>
      </c>
    </row>
    <row r="859" customFormat="false" ht="14.15" hidden="false" customHeight="true" outlineLevel="0" collapsed="false">
      <c r="A859" s="7" t="str">
        <f aca="false">TRIM(customer_churn_dataset!A859)</f>
        <v>CUST100387</v>
      </c>
      <c r="B859" s="7" t="str">
        <f aca="false">PROPER(TRIM(customer_churn_dataset!B859))</f>
        <v>Basic</v>
      </c>
      <c r="C859" s="7" t="str">
        <f aca="false">PROPER(TRIM(customer_churn_dataset!C859))</f>
        <v>One Year</v>
      </c>
      <c r="D859" s="7" t="n">
        <f aca="false">IF(ISBLANK(customer_churn_dataset!D859),ROUND(MEDIAN(customer_churn_dataset!D$2:D$1501),2),IF(customer_churn_dataset!D859&lt;0,ABS(customer_churn_dataset!D859),customer_churn_dataset!D859))</f>
        <v>10.29</v>
      </c>
      <c r="E859" s="7" t="n">
        <f aca="false">IF(ISBLANK(customer_churn_dataset!E859),0,MAX(0,customer_churn_dataset!E859))</f>
        <v>1</v>
      </c>
      <c r="F859" s="8" t="n">
        <f aca="false">IF(ISBLANK(customer_churn_dataset!F859),"",customer_churn_dataset!F859)</f>
        <v>44970</v>
      </c>
      <c r="G859" s="7" t="str">
        <f aca="false">PROPER(TRIM(customer_churn_dataset!G859))</f>
        <v>Credit Card</v>
      </c>
      <c r="H859" s="7" t="n">
        <f aca="false">IF(ISBLANK(customer_churn_dataset!H859),0,customer_churn_dataset!H859)</f>
        <v>1</v>
      </c>
      <c r="I859" s="7" t="n">
        <f aca="false">IF(ISBLANK(customer_churn_dataset!I859),ROUND(MEDIAN(customer_churn_dataset!I$2:I$1501),1),MIN(100,MAX(0,customer_churn_dataset!I859)))</f>
        <v>49.8</v>
      </c>
      <c r="J859" s="7" t="n">
        <f aca="false">IF(ISBLANK(customer_churn_dataset!J859),0,MAX(0,customer_churn_dataset!J859))</f>
        <v>14</v>
      </c>
      <c r="K859" s="7" t="n">
        <f aca="false">IF(ISBLANK(customer_churn_dataset!K859),0,MIN(10,MAX(0,customer_churn_dataset!K859)))</f>
        <v>6</v>
      </c>
      <c r="L859" s="7" t="n">
        <f aca="false">IF(ISBLANK(customer_churn_dataset!L859),0,MAX(0,customer_churn_dataset!L859))</f>
        <v>0</v>
      </c>
      <c r="M859" s="7" t="n">
        <f aca="false">IF(ISBLANK(customer_churn_dataset!M859),0,customer_churn_dataset!M859)</f>
        <v>0</v>
      </c>
      <c r="N859" s="7" t="n">
        <f aca="false">IF(ISBLANK(customer_churn_dataset!N859),0,MAX(0,customer_churn_dataset!N859))</f>
        <v>10.29</v>
      </c>
      <c r="O859" s="7" t="n">
        <f aca="false">IF(ISBLANK(customer_churn_dataset!O859),0,customer_churn_dataset!O859)</f>
        <v>0</v>
      </c>
      <c r="P859" s="7" t="str">
        <f aca="false">IF(COUNTIF(customer_churn_dataset!$A$2:$A$1501,customer_churn_dataset!A859)&gt;1,"Duplicate","Unique")</f>
        <v>Unique</v>
      </c>
    </row>
    <row r="860" customFormat="false" ht="14.15" hidden="false" customHeight="true" outlineLevel="0" collapsed="false">
      <c r="A860" s="7" t="str">
        <f aca="false">TRIM(customer_churn_dataset!A860)</f>
        <v>CUST100333</v>
      </c>
      <c r="B860" s="7" t="str">
        <f aca="false">PROPER(TRIM(customer_churn_dataset!B860))</f>
        <v>Basic</v>
      </c>
      <c r="C860" s="7" t="str">
        <f aca="false">PROPER(TRIM(customer_churn_dataset!C860))</f>
        <v>Month-To-Month</v>
      </c>
      <c r="D860" s="7" t="n">
        <f aca="false">IF(ISBLANK(customer_churn_dataset!D860),ROUND(MEDIAN(customer_churn_dataset!D$2:D$1501),2),IF(customer_churn_dataset!D860&lt;0,ABS(customer_churn_dataset!D860),customer_churn_dataset!D860))</f>
        <v>10.17</v>
      </c>
      <c r="E860" s="7" t="n">
        <f aca="false">IF(ISBLANK(customer_churn_dataset!E860),0,MAX(0,customer_churn_dataset!E860))</f>
        <v>7</v>
      </c>
      <c r="F860" s="8" t="n">
        <f aca="false">IF(ISBLANK(customer_churn_dataset!F860),"",customer_churn_dataset!F860)</f>
        <v>44972</v>
      </c>
      <c r="G860" s="7" t="str">
        <f aca="false">PROPER(TRIM(customer_churn_dataset!G860))</f>
        <v>Credit Card</v>
      </c>
      <c r="H860" s="7" t="n">
        <f aca="false">IF(ISBLANK(customer_churn_dataset!H860),0,customer_churn_dataset!H860)</f>
        <v>1</v>
      </c>
      <c r="I860" s="7" t="n">
        <f aca="false">IF(ISBLANK(customer_churn_dataset!I860),ROUND(MEDIAN(customer_churn_dataset!I$2:I$1501),1),MIN(100,MAX(0,customer_churn_dataset!I860)))</f>
        <v>80.1</v>
      </c>
      <c r="J860" s="7" t="n">
        <f aca="false">IF(ISBLANK(customer_churn_dataset!J860),0,MAX(0,customer_churn_dataset!J860))</f>
        <v>27</v>
      </c>
      <c r="K860" s="7" t="n">
        <f aca="false">IF(ISBLANK(customer_churn_dataset!K860),0,MIN(10,MAX(0,customer_churn_dataset!K860)))</f>
        <v>7</v>
      </c>
      <c r="L860" s="7" t="n">
        <f aca="false">IF(ISBLANK(customer_churn_dataset!L860),0,MAX(0,customer_churn_dataset!L860))</f>
        <v>1</v>
      </c>
      <c r="M860" s="7" t="n">
        <f aca="false">IF(ISBLANK(customer_churn_dataset!M860),0,customer_churn_dataset!M860)</f>
        <v>1</v>
      </c>
      <c r="N860" s="7" t="n">
        <f aca="false">IF(ISBLANK(customer_churn_dataset!N860),0,MAX(0,customer_churn_dataset!N860))</f>
        <v>71.19</v>
      </c>
      <c r="O860" s="7" t="n">
        <f aca="false">IF(ISBLANK(customer_churn_dataset!O860),0,customer_churn_dataset!O860)</f>
        <v>1</v>
      </c>
      <c r="P860" s="7" t="str">
        <f aca="false">IF(COUNTIF(customer_churn_dataset!$A$2:$A$1501,customer_churn_dataset!A860)&gt;1,"Duplicate","Unique")</f>
        <v>Unique</v>
      </c>
    </row>
    <row r="861" customFormat="false" ht="14.15" hidden="false" customHeight="true" outlineLevel="0" collapsed="false">
      <c r="A861" s="7" t="str">
        <f aca="false">TRIM(customer_churn_dataset!A861)</f>
        <v>CUST101386</v>
      </c>
      <c r="B861" s="7" t="str">
        <f aca="false">PROPER(TRIM(customer_churn_dataset!B861))</f>
        <v>Standard</v>
      </c>
      <c r="C861" s="7" t="str">
        <f aca="false">PROPER(TRIM(customer_churn_dataset!C861))</f>
        <v>One Year</v>
      </c>
      <c r="D861" s="7" t="n">
        <f aca="false">IF(ISBLANK(customer_churn_dataset!D861),ROUND(MEDIAN(customer_churn_dataset!D$2:D$1501),2),IF(customer_churn_dataset!D861&lt;0,ABS(customer_churn_dataset!D861),customer_churn_dataset!D861))</f>
        <v>18.61</v>
      </c>
      <c r="E861" s="7" t="n">
        <f aca="false">IF(ISBLANK(customer_churn_dataset!E861),0,MAX(0,customer_churn_dataset!E861))</f>
        <v>9</v>
      </c>
      <c r="F861" s="8" t="n">
        <f aca="false">IF(ISBLANK(customer_churn_dataset!F861),"",customer_churn_dataset!F861)</f>
        <v>44973</v>
      </c>
      <c r="G861" s="7" t="str">
        <f aca="false">PROPER(TRIM(customer_churn_dataset!G861))</f>
        <v>Credit Card</v>
      </c>
      <c r="H861" s="7" t="n">
        <f aca="false">IF(ISBLANK(customer_churn_dataset!H861),0,customer_churn_dataset!H861)</f>
        <v>1</v>
      </c>
      <c r="I861" s="7" t="n">
        <f aca="false">IF(ISBLANK(customer_churn_dataset!I861),ROUND(MEDIAN(customer_churn_dataset!I$2:I$1501),1),MIN(100,MAX(0,customer_churn_dataset!I861)))</f>
        <v>34.2</v>
      </c>
      <c r="J861" s="7" t="n">
        <f aca="false">IF(ISBLANK(customer_churn_dataset!J861),0,MAX(0,customer_churn_dataset!J861))</f>
        <v>18</v>
      </c>
      <c r="K861" s="7" t="n">
        <f aca="false">IF(ISBLANK(customer_churn_dataset!K861),0,MIN(10,MAX(0,customer_churn_dataset!K861)))</f>
        <v>5</v>
      </c>
      <c r="L861" s="7" t="n">
        <f aca="false">IF(ISBLANK(customer_churn_dataset!L861),0,MAX(0,customer_churn_dataset!L861))</f>
        <v>2</v>
      </c>
      <c r="M861" s="7" t="n">
        <f aca="false">IF(ISBLANK(customer_churn_dataset!M861),0,customer_churn_dataset!M861)</f>
        <v>1</v>
      </c>
      <c r="N861" s="7" t="n">
        <f aca="false">IF(ISBLANK(customer_churn_dataset!N861),0,MAX(0,customer_churn_dataset!N861))</f>
        <v>167.49</v>
      </c>
      <c r="O861" s="7" t="n">
        <f aca="false">IF(ISBLANK(customer_churn_dataset!O861),0,customer_churn_dataset!O861)</f>
        <v>0</v>
      </c>
      <c r="P861" s="7" t="str">
        <f aca="false">IF(COUNTIF(customer_churn_dataset!$A$2:$A$1501,customer_churn_dataset!A861)&gt;1,"Duplicate","Unique")</f>
        <v>Unique</v>
      </c>
    </row>
    <row r="862" customFormat="false" ht="14.15" hidden="false" customHeight="true" outlineLevel="0" collapsed="false">
      <c r="A862" s="7" t="str">
        <f aca="false">TRIM(customer_churn_dataset!A862)</f>
        <v>CUST100859</v>
      </c>
      <c r="B862" s="7" t="str">
        <f aca="false">PROPER(TRIM(customer_churn_dataset!B862))</f>
        <v>Basic</v>
      </c>
      <c r="C862" s="7" t="str">
        <f aca="false">PROPER(TRIM(customer_churn_dataset!C862))</f>
        <v>One Year</v>
      </c>
      <c r="D862" s="7" t="n">
        <f aca="false">IF(ISBLANK(customer_churn_dataset!D862),ROUND(MEDIAN(customer_churn_dataset!D$2:D$1501),2),IF(customer_churn_dataset!D862&lt;0,ABS(customer_churn_dataset!D862),customer_churn_dataset!D862))</f>
        <v>8.75</v>
      </c>
      <c r="E862" s="7" t="n">
        <f aca="false">IF(ISBLANK(customer_churn_dataset!E862),0,MAX(0,customer_churn_dataset!E862))</f>
        <v>22</v>
      </c>
      <c r="F862" s="8" t="n">
        <f aca="false">IF(ISBLANK(customer_churn_dataset!F862),"",customer_churn_dataset!F862)</f>
        <v>44974</v>
      </c>
      <c r="G862" s="7" t="str">
        <f aca="false">PROPER(TRIM(customer_churn_dataset!G862))</f>
        <v>Manual/Invoice</v>
      </c>
      <c r="H862" s="7" t="n">
        <f aca="false">IF(ISBLANK(customer_churn_dataset!H862),0,customer_churn_dataset!H862)</f>
        <v>1</v>
      </c>
      <c r="I862" s="7" t="n">
        <f aca="false">IF(ISBLANK(customer_churn_dataset!I862),ROUND(MEDIAN(customer_churn_dataset!I$2:I$1501),1),MIN(100,MAX(0,customer_churn_dataset!I862)))</f>
        <v>68.7</v>
      </c>
      <c r="J862" s="7" t="n">
        <f aca="false">IF(ISBLANK(customer_churn_dataset!J862),0,MAX(0,customer_churn_dataset!J862))</f>
        <v>25</v>
      </c>
      <c r="K862" s="7" t="n">
        <f aca="false">IF(ISBLANK(customer_churn_dataset!K862),0,MIN(10,MAX(0,customer_churn_dataset!K862)))</f>
        <v>5</v>
      </c>
      <c r="L862" s="7" t="n">
        <f aca="false">IF(ISBLANK(customer_churn_dataset!L862),0,MAX(0,customer_churn_dataset!L862))</f>
        <v>2</v>
      </c>
      <c r="M862" s="7" t="n">
        <f aca="false">IF(ISBLANK(customer_churn_dataset!M862),0,customer_churn_dataset!M862)</f>
        <v>0</v>
      </c>
      <c r="N862" s="7" t="n">
        <f aca="false">IF(ISBLANK(customer_churn_dataset!N862),0,MAX(0,customer_churn_dataset!N862))</f>
        <v>192.5</v>
      </c>
      <c r="O862" s="7" t="n">
        <f aca="false">IF(ISBLANK(customer_churn_dataset!O862),0,customer_churn_dataset!O862)</f>
        <v>0</v>
      </c>
      <c r="P862" s="7" t="str">
        <f aca="false">IF(COUNTIF(customer_churn_dataset!$A$2:$A$1501,customer_churn_dataset!A862)&gt;1,"Duplicate","Unique")</f>
        <v>Unique</v>
      </c>
    </row>
    <row r="863" customFormat="false" ht="14.15" hidden="false" customHeight="true" outlineLevel="0" collapsed="false">
      <c r="A863" s="7" t="str">
        <f aca="false">TRIM(customer_churn_dataset!A863)</f>
        <v>CUST101035</v>
      </c>
      <c r="B863" s="7" t="str">
        <f aca="false">PROPER(TRIM(customer_churn_dataset!B863))</f>
        <v>Standard</v>
      </c>
      <c r="C863" s="7" t="str">
        <f aca="false">PROPER(TRIM(customer_churn_dataset!C863))</f>
        <v>Month-To-Month</v>
      </c>
      <c r="D863" s="7" t="n">
        <f aca="false">IF(ISBLANK(customer_churn_dataset!D863),ROUND(MEDIAN(customer_churn_dataset!D$2:D$1501),2),IF(customer_churn_dataset!D863&lt;0,ABS(customer_churn_dataset!D863),customer_churn_dataset!D863))</f>
        <v>19.33</v>
      </c>
      <c r="E863" s="7" t="n">
        <f aca="false">IF(ISBLANK(customer_churn_dataset!E863),0,MAX(0,customer_churn_dataset!E863))</f>
        <v>17</v>
      </c>
      <c r="F863" s="8" t="n">
        <f aca="false">IF(ISBLANK(customer_churn_dataset!F863),"",customer_churn_dataset!F863)</f>
        <v>44975</v>
      </c>
      <c r="G863" s="7" t="str">
        <f aca="false">PROPER(TRIM(customer_churn_dataset!G863))</f>
        <v>Paypal</v>
      </c>
      <c r="H863" s="7" t="n">
        <f aca="false">IF(ISBLANK(customer_churn_dataset!H863),0,customer_churn_dataset!H863)</f>
        <v>1</v>
      </c>
      <c r="I863" s="7" t="n">
        <f aca="false">IF(ISBLANK(customer_churn_dataset!I863),ROUND(MEDIAN(customer_churn_dataset!I$2:I$1501),1),MIN(100,MAX(0,customer_churn_dataset!I863)))</f>
        <v>80.7</v>
      </c>
      <c r="J863" s="7" t="n">
        <f aca="false">IF(ISBLANK(customer_churn_dataset!J863),0,MAX(0,customer_churn_dataset!J863))</f>
        <v>22</v>
      </c>
      <c r="K863" s="7" t="n">
        <f aca="false">IF(ISBLANK(customer_churn_dataset!K863),0,MIN(10,MAX(0,customer_churn_dataset!K863)))</f>
        <v>8</v>
      </c>
      <c r="L863" s="7" t="n">
        <f aca="false">IF(ISBLANK(customer_churn_dataset!L863),0,MAX(0,customer_churn_dataset!L863))</f>
        <v>4</v>
      </c>
      <c r="M863" s="7" t="n">
        <f aca="false">IF(ISBLANK(customer_churn_dataset!M863),0,customer_churn_dataset!M863)</f>
        <v>0</v>
      </c>
      <c r="N863" s="7" t="n">
        <f aca="false">IF(ISBLANK(customer_churn_dataset!N863),0,MAX(0,customer_churn_dataset!N863))</f>
        <v>328.61</v>
      </c>
      <c r="O863" s="7" t="n">
        <f aca="false">IF(ISBLANK(customer_churn_dataset!O863),0,customer_churn_dataset!O863)</f>
        <v>0</v>
      </c>
      <c r="P863" s="7" t="str">
        <f aca="false">IF(COUNTIF(customer_churn_dataset!$A$2:$A$1501,customer_churn_dataset!A863)&gt;1,"Duplicate","Unique")</f>
        <v>Unique</v>
      </c>
    </row>
    <row r="864" customFormat="false" ht="14.15" hidden="false" customHeight="true" outlineLevel="0" collapsed="false">
      <c r="A864" s="7" t="str">
        <f aca="false">TRIM(customer_churn_dataset!A864)</f>
        <v>CUST100133</v>
      </c>
      <c r="B864" s="7" t="str">
        <f aca="false">PROPER(TRIM(customer_churn_dataset!B864))</f>
        <v>Basic</v>
      </c>
      <c r="C864" s="7" t="str">
        <f aca="false">PROPER(TRIM(customer_churn_dataset!C864))</f>
        <v>One Year</v>
      </c>
      <c r="D864" s="7" t="n">
        <f aca="false">IF(ISBLANK(customer_churn_dataset!D864),ROUND(MEDIAN(customer_churn_dataset!D$2:D$1501),2),IF(customer_churn_dataset!D864&lt;0,ABS(customer_churn_dataset!D864),customer_churn_dataset!D864))</f>
        <v>10.83</v>
      </c>
      <c r="E864" s="7" t="n">
        <f aca="false">IF(ISBLANK(customer_churn_dataset!E864),0,MAX(0,customer_churn_dataset!E864))</f>
        <v>20</v>
      </c>
      <c r="F864" s="8" t="n">
        <f aca="false">IF(ISBLANK(customer_churn_dataset!F864),"",customer_churn_dataset!F864)</f>
        <v>44977</v>
      </c>
      <c r="G864" s="7" t="str">
        <f aca="false">PROPER(TRIM(customer_churn_dataset!G864))</f>
        <v>Bank Transfer</v>
      </c>
      <c r="H864" s="7" t="n">
        <f aca="false">IF(ISBLANK(customer_churn_dataset!H864),0,customer_churn_dataset!H864)</f>
        <v>1</v>
      </c>
      <c r="I864" s="7" t="n">
        <f aca="false">IF(ISBLANK(customer_churn_dataset!I864),ROUND(MEDIAN(customer_churn_dataset!I$2:I$1501),1),MIN(100,MAX(0,customer_churn_dataset!I864)))</f>
        <v>49.2</v>
      </c>
      <c r="J864" s="7" t="n">
        <f aca="false">IF(ISBLANK(customer_churn_dataset!J864),0,MAX(0,customer_churn_dataset!J864))</f>
        <v>14</v>
      </c>
      <c r="K864" s="7" t="n">
        <f aca="false">IF(ISBLANK(customer_churn_dataset!K864),0,MIN(10,MAX(0,customer_churn_dataset!K864)))</f>
        <v>6</v>
      </c>
      <c r="L864" s="7" t="n">
        <f aca="false">IF(ISBLANK(customer_churn_dataset!L864),0,MAX(0,customer_churn_dataset!L864))</f>
        <v>2</v>
      </c>
      <c r="M864" s="7" t="n">
        <f aca="false">IF(ISBLANK(customer_churn_dataset!M864),0,customer_churn_dataset!M864)</f>
        <v>0</v>
      </c>
      <c r="N864" s="7" t="n">
        <f aca="false">IF(ISBLANK(customer_churn_dataset!N864),0,MAX(0,customer_churn_dataset!N864))</f>
        <v>216.6</v>
      </c>
      <c r="O864" s="7" t="n">
        <f aca="false">IF(ISBLANK(customer_churn_dataset!O864),0,customer_churn_dataset!O864)</f>
        <v>0</v>
      </c>
      <c r="P864" s="7" t="str">
        <f aca="false">IF(COUNTIF(customer_churn_dataset!$A$2:$A$1501,customer_churn_dataset!A864)&gt;1,"Duplicate","Unique")</f>
        <v>Unique</v>
      </c>
    </row>
    <row r="865" customFormat="false" ht="14.15" hidden="false" customHeight="true" outlineLevel="0" collapsed="false">
      <c r="A865" s="7" t="str">
        <f aca="false">TRIM(customer_churn_dataset!A865)</f>
        <v>CUST100412</v>
      </c>
      <c r="B865" s="7" t="str">
        <f aca="false">PROPER(TRIM(customer_churn_dataset!B865))</f>
        <v>Premium</v>
      </c>
      <c r="C865" s="7" t="str">
        <f aca="false">PROPER(TRIM(customer_churn_dataset!C865))</f>
        <v>One Year</v>
      </c>
      <c r="D865" s="7" t="n">
        <f aca="false">IF(ISBLANK(customer_churn_dataset!D865),ROUND(MEDIAN(customer_churn_dataset!D$2:D$1501),2),IF(customer_churn_dataset!D865&lt;0,ABS(customer_churn_dataset!D865),customer_churn_dataset!D865))</f>
        <v>40.28</v>
      </c>
      <c r="E865" s="7" t="n">
        <f aca="false">IF(ISBLANK(customer_churn_dataset!E865),0,MAX(0,customer_churn_dataset!E865))</f>
        <v>61</v>
      </c>
      <c r="F865" s="8" t="n">
        <f aca="false">IF(ISBLANK(customer_churn_dataset!F865),"",customer_churn_dataset!F865)</f>
        <v>44977</v>
      </c>
      <c r="G865" s="7" t="str">
        <f aca="false">PROPER(TRIM(customer_churn_dataset!G865))</f>
        <v>Manual/Invoice</v>
      </c>
      <c r="H865" s="7" t="n">
        <f aca="false">IF(ISBLANK(customer_churn_dataset!H865),0,customer_churn_dataset!H865)</f>
        <v>0</v>
      </c>
      <c r="I865" s="7" t="n">
        <f aca="false">IF(ISBLANK(customer_churn_dataset!I865),ROUND(MEDIAN(customer_churn_dataset!I$2:I$1501),1),MIN(100,MAX(0,customer_churn_dataset!I865)))</f>
        <v>30.5</v>
      </c>
      <c r="J865" s="7" t="n">
        <f aca="false">IF(ISBLANK(customer_churn_dataset!J865),0,MAX(0,customer_churn_dataset!J865))</f>
        <v>2</v>
      </c>
      <c r="K865" s="7" t="n">
        <f aca="false">IF(ISBLANK(customer_churn_dataset!K865),0,MIN(10,MAX(0,customer_churn_dataset!K865)))</f>
        <v>2</v>
      </c>
      <c r="L865" s="7" t="n">
        <f aca="false">IF(ISBLANK(customer_churn_dataset!L865),0,MAX(0,customer_churn_dataset!L865))</f>
        <v>1</v>
      </c>
      <c r="M865" s="7" t="n">
        <f aca="false">IF(ISBLANK(customer_churn_dataset!M865),0,customer_churn_dataset!M865)</f>
        <v>0</v>
      </c>
      <c r="N865" s="7" t="n">
        <f aca="false">IF(ISBLANK(customer_churn_dataset!N865),0,MAX(0,customer_churn_dataset!N865))</f>
        <v>2457.08</v>
      </c>
      <c r="O865" s="7" t="n">
        <f aca="false">IF(ISBLANK(customer_churn_dataset!O865),0,customer_churn_dataset!O865)</f>
        <v>0</v>
      </c>
      <c r="P865" s="7" t="str">
        <f aca="false">IF(COUNTIF(customer_churn_dataset!$A$2:$A$1501,customer_churn_dataset!A865)&gt;1,"Duplicate","Unique")</f>
        <v>Unique</v>
      </c>
    </row>
    <row r="866" customFormat="false" ht="14.15" hidden="false" customHeight="true" outlineLevel="0" collapsed="false">
      <c r="A866" s="7" t="str">
        <f aca="false">TRIM(customer_churn_dataset!A866)</f>
        <v>CUST101177</v>
      </c>
      <c r="B866" s="7" t="str">
        <f aca="false">PROPER(TRIM(customer_churn_dataset!B866))</f>
        <v>Basic</v>
      </c>
      <c r="C866" s="7" t="str">
        <f aca="false">PROPER(TRIM(customer_churn_dataset!C866))</f>
        <v>Month-To-Month</v>
      </c>
      <c r="D866" s="7" t="n">
        <f aca="false">IF(ISBLANK(customer_churn_dataset!D866),ROUND(MEDIAN(customer_churn_dataset!D$2:D$1501),2),IF(customer_churn_dataset!D866&lt;0,ABS(customer_churn_dataset!D866),customer_churn_dataset!D866))</f>
        <v>10.04</v>
      </c>
      <c r="E866" s="7" t="n">
        <f aca="false">IF(ISBLANK(customer_churn_dataset!E866),0,MAX(0,customer_churn_dataset!E866))</f>
        <v>3</v>
      </c>
      <c r="F866" s="8" t="n">
        <f aca="false">IF(ISBLANK(customer_churn_dataset!F866),"",customer_churn_dataset!F866)</f>
        <v>44980</v>
      </c>
      <c r="G866" s="7" t="str">
        <f aca="false">PROPER(TRIM(customer_churn_dataset!G866))</f>
        <v>Manual/Invoice</v>
      </c>
      <c r="H866" s="7" t="n">
        <f aca="false">IF(ISBLANK(customer_churn_dataset!H866),0,customer_churn_dataset!H866)</f>
        <v>0</v>
      </c>
      <c r="I866" s="7" t="n">
        <f aca="false">IF(ISBLANK(customer_churn_dataset!I866),ROUND(MEDIAN(customer_churn_dataset!I$2:I$1501),1),MIN(100,MAX(0,customer_churn_dataset!I866)))</f>
        <v>67.2</v>
      </c>
      <c r="J866" s="7" t="n">
        <f aca="false">IF(ISBLANK(customer_churn_dataset!J866),0,MAX(0,customer_churn_dataset!J866))</f>
        <v>15</v>
      </c>
      <c r="K866" s="7" t="n">
        <f aca="false">IF(ISBLANK(customer_churn_dataset!K866),0,MIN(10,MAX(0,customer_churn_dataset!K866)))</f>
        <v>8</v>
      </c>
      <c r="L866" s="7" t="n">
        <f aca="false">IF(ISBLANK(customer_churn_dataset!L866),0,MAX(0,customer_churn_dataset!L866))</f>
        <v>1</v>
      </c>
      <c r="M866" s="7" t="n">
        <f aca="false">IF(ISBLANK(customer_churn_dataset!M866),0,customer_churn_dataset!M866)</f>
        <v>0</v>
      </c>
      <c r="N866" s="7" t="n">
        <f aca="false">IF(ISBLANK(customer_churn_dataset!N866),0,MAX(0,customer_churn_dataset!N866))</f>
        <v>30.12</v>
      </c>
      <c r="O866" s="7" t="n">
        <f aca="false">IF(ISBLANK(customer_churn_dataset!O866),0,customer_churn_dataset!O866)</f>
        <v>1</v>
      </c>
      <c r="P866" s="7" t="str">
        <f aca="false">IF(COUNTIF(customer_churn_dataset!$A$2:$A$1501,customer_churn_dataset!A866)&gt;1,"Duplicate","Unique")</f>
        <v>Unique</v>
      </c>
    </row>
    <row r="867" customFormat="false" ht="14.15" hidden="false" customHeight="true" outlineLevel="0" collapsed="false">
      <c r="A867" s="7" t="str">
        <f aca="false">TRIM(customer_churn_dataset!A867)</f>
        <v>CUST100105</v>
      </c>
      <c r="B867" s="7" t="str">
        <f aca="false">PROPER(TRIM(customer_churn_dataset!B867))</f>
        <v>Basic</v>
      </c>
      <c r="C867" s="7" t="str">
        <f aca="false">PROPER(TRIM(customer_churn_dataset!C867))</f>
        <v>One Year</v>
      </c>
      <c r="D867" s="7" t="n">
        <f aca="false">IF(ISBLANK(customer_churn_dataset!D867),ROUND(MEDIAN(customer_churn_dataset!D$2:D$1501),2),IF(customer_churn_dataset!D867&lt;0,ABS(customer_churn_dataset!D867),customer_churn_dataset!D867))</f>
        <v>8.58</v>
      </c>
      <c r="E867" s="7" t="n">
        <f aca="false">IF(ISBLANK(customer_churn_dataset!E867),0,MAX(0,customer_churn_dataset!E867))</f>
        <v>50</v>
      </c>
      <c r="F867" s="8" t="n">
        <f aca="false">IF(ISBLANK(customer_churn_dataset!F867),"",customer_churn_dataset!F867)</f>
        <v>44981</v>
      </c>
      <c r="G867" s="7" t="str">
        <f aca="false">PROPER(TRIM(customer_churn_dataset!G867))</f>
        <v>Bank Transfer</v>
      </c>
      <c r="H867" s="7" t="n">
        <f aca="false">IF(ISBLANK(customer_churn_dataset!H867),0,customer_churn_dataset!H867)</f>
        <v>0</v>
      </c>
      <c r="I867" s="7" t="n">
        <f aca="false">IF(ISBLANK(customer_churn_dataset!I867),ROUND(MEDIAN(customer_churn_dataset!I$2:I$1501),1),MIN(100,MAX(0,customer_churn_dataset!I867)))</f>
        <v>74.6</v>
      </c>
      <c r="J867" s="7" t="n">
        <f aca="false">IF(ISBLANK(customer_churn_dataset!J867),0,MAX(0,customer_churn_dataset!J867))</f>
        <v>20</v>
      </c>
      <c r="K867" s="7" t="n">
        <f aca="false">IF(ISBLANK(customer_churn_dataset!K867),0,MIN(10,MAX(0,customer_churn_dataset!K867)))</f>
        <v>9</v>
      </c>
      <c r="L867" s="7" t="n">
        <f aca="false">IF(ISBLANK(customer_churn_dataset!L867),0,MAX(0,customer_churn_dataset!L867))</f>
        <v>3</v>
      </c>
      <c r="M867" s="7" t="n">
        <f aca="false">IF(ISBLANK(customer_churn_dataset!M867),0,customer_churn_dataset!M867)</f>
        <v>0</v>
      </c>
      <c r="N867" s="7" t="n">
        <f aca="false">IF(ISBLANK(customer_churn_dataset!N867),0,MAX(0,customer_churn_dataset!N867))</f>
        <v>429</v>
      </c>
      <c r="O867" s="7" t="n">
        <f aca="false">IF(ISBLANK(customer_churn_dataset!O867),0,customer_churn_dataset!O867)</f>
        <v>0</v>
      </c>
      <c r="P867" s="7" t="str">
        <f aca="false">IF(COUNTIF(customer_churn_dataset!$A$2:$A$1501,customer_churn_dataset!A867)&gt;1,"Duplicate","Unique")</f>
        <v>Unique</v>
      </c>
    </row>
    <row r="868" customFormat="false" ht="14.15" hidden="false" customHeight="true" outlineLevel="0" collapsed="false">
      <c r="A868" s="7" t="str">
        <f aca="false">TRIM(customer_churn_dataset!A868)</f>
        <v>CUST100546</v>
      </c>
      <c r="B868" s="7" t="str">
        <f aca="false">PROPER(TRIM(customer_churn_dataset!B868))</f>
        <v>Basic</v>
      </c>
      <c r="C868" s="7" t="str">
        <f aca="false">PROPER(TRIM(customer_churn_dataset!C868))</f>
        <v>Month-To-Month</v>
      </c>
      <c r="D868" s="7" t="n">
        <f aca="false">IF(ISBLANK(customer_churn_dataset!D868),ROUND(MEDIAN(customer_churn_dataset!D$2:D$1501),2),IF(customer_churn_dataset!D868&lt;0,ABS(customer_churn_dataset!D868),customer_churn_dataset!D868))</f>
        <v>10.66</v>
      </c>
      <c r="E868" s="7" t="n">
        <f aca="false">IF(ISBLANK(customer_churn_dataset!E868),0,MAX(0,customer_churn_dataset!E868))</f>
        <v>29</v>
      </c>
      <c r="F868" s="8" t="n">
        <f aca="false">IF(ISBLANK(customer_churn_dataset!F868),"",customer_churn_dataset!F868)</f>
        <v>44984</v>
      </c>
      <c r="G868" s="7" t="str">
        <f aca="false">PROPER(TRIM(customer_churn_dataset!G868))</f>
        <v>Credit Card</v>
      </c>
      <c r="H868" s="7" t="n">
        <f aca="false">IF(ISBLANK(customer_churn_dataset!H868),0,customer_churn_dataset!H868)</f>
        <v>1</v>
      </c>
      <c r="I868" s="7" t="n">
        <f aca="false">IF(ISBLANK(customer_churn_dataset!I868),ROUND(MEDIAN(customer_churn_dataset!I$2:I$1501),1),MIN(100,MAX(0,customer_churn_dataset!I868)))</f>
        <v>35.9</v>
      </c>
      <c r="J868" s="7" t="n">
        <f aca="false">IF(ISBLANK(customer_churn_dataset!J868),0,MAX(0,customer_churn_dataset!J868))</f>
        <v>11</v>
      </c>
      <c r="K868" s="7" t="n">
        <f aca="false">IF(ISBLANK(customer_churn_dataset!K868),0,MIN(10,MAX(0,customer_churn_dataset!K868)))</f>
        <v>3</v>
      </c>
      <c r="L868" s="7" t="n">
        <f aca="false">IF(ISBLANK(customer_churn_dataset!L868),0,MAX(0,customer_churn_dataset!L868))</f>
        <v>2</v>
      </c>
      <c r="M868" s="7" t="n">
        <f aca="false">IF(ISBLANK(customer_churn_dataset!M868),0,customer_churn_dataset!M868)</f>
        <v>0</v>
      </c>
      <c r="N868" s="7" t="n">
        <f aca="false">IF(ISBLANK(customer_churn_dataset!N868),0,MAX(0,customer_churn_dataset!N868))</f>
        <v>309.14</v>
      </c>
      <c r="O868" s="7" t="n">
        <f aca="false">IF(ISBLANK(customer_churn_dataset!O868),0,customer_churn_dataset!O868)</f>
        <v>0</v>
      </c>
      <c r="P868" s="7" t="str">
        <f aca="false">IF(COUNTIF(customer_churn_dataset!$A$2:$A$1501,customer_churn_dataset!A868)&gt;1,"Duplicate","Unique")</f>
        <v>Unique</v>
      </c>
    </row>
    <row r="869" customFormat="false" ht="14.15" hidden="false" customHeight="true" outlineLevel="0" collapsed="false">
      <c r="A869" s="7" t="str">
        <f aca="false">TRIM(customer_churn_dataset!A869)</f>
        <v>CUST101059</v>
      </c>
      <c r="B869" s="7" t="str">
        <f aca="false">PROPER(TRIM(customer_churn_dataset!B869))</f>
        <v>Standard</v>
      </c>
      <c r="C869" s="7" t="str">
        <f aca="false">PROPER(TRIM(customer_churn_dataset!C869))</f>
        <v>Month-To-Month</v>
      </c>
      <c r="D869" s="7" t="n">
        <f aca="false">IF(ISBLANK(customer_churn_dataset!D869),ROUND(MEDIAN(customer_churn_dataset!D$2:D$1501),2),IF(customer_churn_dataset!D869&lt;0,ABS(customer_churn_dataset!D869),customer_churn_dataset!D869))</f>
        <v>19.74</v>
      </c>
      <c r="E869" s="7" t="n">
        <f aca="false">IF(ISBLANK(customer_churn_dataset!E869),0,MAX(0,customer_churn_dataset!E869))</f>
        <v>27</v>
      </c>
      <c r="F869" s="8" t="n">
        <f aca="false">IF(ISBLANK(customer_churn_dataset!F869),"",customer_churn_dataset!F869)</f>
        <v>44986</v>
      </c>
      <c r="G869" s="7" t="str">
        <f aca="false">PROPER(TRIM(customer_churn_dataset!G869))</f>
        <v>Credit Card</v>
      </c>
      <c r="H869" s="7" t="n">
        <f aca="false">IF(ISBLANK(customer_churn_dataset!H869),0,customer_churn_dataset!H869)</f>
        <v>0</v>
      </c>
      <c r="I869" s="7" t="n">
        <f aca="false">IF(ISBLANK(customer_churn_dataset!I869),ROUND(MEDIAN(customer_churn_dataset!I$2:I$1501),1),MIN(100,MAX(0,customer_churn_dataset!I869)))</f>
        <v>100</v>
      </c>
      <c r="J869" s="7" t="n">
        <f aca="false">IF(ISBLANK(customer_churn_dataset!J869),0,MAX(0,customer_churn_dataset!J869))</f>
        <v>36</v>
      </c>
      <c r="K869" s="7" t="n">
        <f aca="false">IF(ISBLANK(customer_churn_dataset!K869),0,MIN(10,MAX(0,customer_churn_dataset!K869)))</f>
        <v>10</v>
      </c>
      <c r="L869" s="7" t="n">
        <f aca="false">IF(ISBLANK(customer_churn_dataset!L869),0,MAX(0,customer_churn_dataset!L869))</f>
        <v>2</v>
      </c>
      <c r="M869" s="7" t="n">
        <f aca="false">IF(ISBLANK(customer_churn_dataset!M869),0,customer_churn_dataset!M869)</f>
        <v>0</v>
      </c>
      <c r="N869" s="7" t="n">
        <f aca="false">IF(ISBLANK(customer_churn_dataset!N869),0,MAX(0,customer_churn_dataset!N869))</f>
        <v>532.98</v>
      </c>
      <c r="O869" s="7" t="n">
        <f aca="false">IF(ISBLANK(customer_churn_dataset!O869),0,customer_churn_dataset!O869)</f>
        <v>0</v>
      </c>
      <c r="P869" s="7" t="str">
        <f aca="false">IF(COUNTIF(customer_churn_dataset!$A$2:$A$1501,customer_churn_dataset!A869)&gt;1,"Duplicate","Unique")</f>
        <v>Unique</v>
      </c>
    </row>
    <row r="870" customFormat="false" ht="14.15" hidden="false" customHeight="true" outlineLevel="0" collapsed="false">
      <c r="A870" s="7" t="str">
        <f aca="false">TRIM(customer_churn_dataset!A870)</f>
        <v>CUST100095</v>
      </c>
      <c r="B870" s="7" t="str">
        <f aca="false">PROPER(TRIM(customer_churn_dataset!B870))</f>
        <v>Standard</v>
      </c>
      <c r="C870" s="7" t="str">
        <f aca="false">PROPER(TRIM(customer_churn_dataset!C870))</f>
        <v>Month-To-Month</v>
      </c>
      <c r="D870" s="7" t="n">
        <f aca="false">IF(ISBLANK(customer_churn_dataset!D870),ROUND(MEDIAN(customer_churn_dataset!D$2:D$1501),2),IF(customer_churn_dataset!D870&lt;0,ABS(customer_churn_dataset!D870),customer_churn_dataset!D870))</f>
        <v>18.78</v>
      </c>
      <c r="E870" s="7" t="n">
        <f aca="false">IF(ISBLANK(customer_churn_dataset!E870),0,MAX(0,customer_churn_dataset!E870))</f>
        <v>5</v>
      </c>
      <c r="F870" s="8" t="n">
        <f aca="false">IF(ISBLANK(customer_churn_dataset!F870),"",customer_churn_dataset!F870)</f>
        <v>44987</v>
      </c>
      <c r="G870" s="7" t="str">
        <f aca="false">PROPER(TRIM(customer_churn_dataset!G870))</f>
        <v>Paypal</v>
      </c>
      <c r="H870" s="7" t="n">
        <f aca="false">IF(ISBLANK(customer_churn_dataset!H870),0,customer_churn_dataset!H870)</f>
        <v>1</v>
      </c>
      <c r="I870" s="7" t="n">
        <f aca="false">IF(ISBLANK(customer_churn_dataset!I870),ROUND(MEDIAN(customer_churn_dataset!I$2:I$1501),1),MIN(100,MAX(0,customer_churn_dataset!I870)))</f>
        <v>68.6</v>
      </c>
      <c r="J870" s="7" t="n">
        <f aca="false">IF(ISBLANK(customer_churn_dataset!J870),0,MAX(0,customer_churn_dataset!J870))</f>
        <v>25</v>
      </c>
      <c r="K870" s="7" t="n">
        <f aca="false">IF(ISBLANK(customer_churn_dataset!K870),0,MIN(10,MAX(0,customer_churn_dataset!K870)))</f>
        <v>5</v>
      </c>
      <c r="L870" s="7" t="n">
        <f aca="false">IF(ISBLANK(customer_churn_dataset!L870),0,MAX(0,customer_churn_dataset!L870))</f>
        <v>0</v>
      </c>
      <c r="M870" s="7" t="n">
        <f aca="false">IF(ISBLANK(customer_churn_dataset!M870),0,customer_churn_dataset!M870)</f>
        <v>0</v>
      </c>
      <c r="N870" s="7" t="n">
        <f aca="false">IF(ISBLANK(customer_churn_dataset!N870),0,MAX(0,customer_churn_dataset!N870))</f>
        <v>93.9</v>
      </c>
      <c r="O870" s="7" t="n">
        <f aca="false">IF(ISBLANK(customer_churn_dataset!O870),0,customer_churn_dataset!O870)</f>
        <v>1</v>
      </c>
      <c r="P870" s="7" t="str">
        <f aca="false">IF(COUNTIF(customer_churn_dataset!$A$2:$A$1501,customer_churn_dataset!A870)&gt;1,"Duplicate","Unique")</f>
        <v>Unique</v>
      </c>
    </row>
    <row r="871" customFormat="false" ht="14.15" hidden="false" customHeight="true" outlineLevel="0" collapsed="false">
      <c r="A871" s="7" t="str">
        <f aca="false">TRIM(customer_churn_dataset!A871)</f>
        <v>CUST100353</v>
      </c>
      <c r="B871" s="7" t="str">
        <f aca="false">PROPER(TRIM(customer_churn_dataset!B871))</f>
        <v>Basic</v>
      </c>
      <c r="C871" s="7" t="str">
        <f aca="false">PROPER(TRIM(customer_churn_dataset!C871))</f>
        <v>Month-To-Month</v>
      </c>
      <c r="D871" s="7" t="n">
        <f aca="false">IF(ISBLANK(customer_churn_dataset!D871),ROUND(MEDIAN(customer_churn_dataset!D$2:D$1501),2),IF(customer_churn_dataset!D871&lt;0,ABS(customer_churn_dataset!D871),customer_churn_dataset!D871))</f>
        <v>8.12</v>
      </c>
      <c r="E871" s="7" t="n">
        <f aca="false">IF(ISBLANK(customer_churn_dataset!E871),0,MAX(0,customer_churn_dataset!E871))</f>
        <v>1</v>
      </c>
      <c r="F871" s="8" t="n">
        <f aca="false">IF(ISBLANK(customer_churn_dataset!F871),"",customer_churn_dataset!F871)</f>
        <v>44987</v>
      </c>
      <c r="G871" s="7" t="str">
        <f aca="false">PROPER(TRIM(customer_churn_dataset!G871))</f>
        <v>Credit Card</v>
      </c>
      <c r="H871" s="7" t="n">
        <f aca="false">IF(ISBLANK(customer_churn_dataset!H871),0,customer_churn_dataset!H871)</f>
        <v>0</v>
      </c>
      <c r="I871" s="7" t="n">
        <f aca="false">IF(ISBLANK(customer_churn_dataset!I871),ROUND(MEDIAN(customer_churn_dataset!I$2:I$1501),1),MIN(100,MAX(0,customer_churn_dataset!I871)))</f>
        <v>40.1</v>
      </c>
      <c r="J871" s="7" t="n">
        <f aca="false">IF(ISBLANK(customer_churn_dataset!J871),0,MAX(0,customer_churn_dataset!J871))</f>
        <v>10</v>
      </c>
      <c r="K871" s="7" t="n">
        <f aca="false">IF(ISBLANK(customer_churn_dataset!K871),0,MIN(10,MAX(0,customer_churn_dataset!K871)))</f>
        <v>4</v>
      </c>
      <c r="L871" s="7" t="n">
        <f aca="false">IF(ISBLANK(customer_churn_dataset!L871),0,MAX(0,customer_churn_dataset!L871))</f>
        <v>0</v>
      </c>
      <c r="M871" s="7" t="n">
        <f aca="false">IF(ISBLANK(customer_churn_dataset!M871),0,customer_churn_dataset!M871)</f>
        <v>0</v>
      </c>
      <c r="N871" s="7" t="n">
        <f aca="false">IF(ISBLANK(customer_churn_dataset!N871),0,MAX(0,customer_churn_dataset!N871))</f>
        <v>8.12</v>
      </c>
      <c r="O871" s="7" t="n">
        <f aca="false">IF(ISBLANK(customer_churn_dataset!O871),0,customer_churn_dataset!O871)</f>
        <v>1</v>
      </c>
      <c r="P871" s="7" t="str">
        <f aca="false">IF(COUNTIF(customer_churn_dataset!$A$2:$A$1501,customer_churn_dataset!A871)&gt;1,"Duplicate","Unique")</f>
        <v>Unique</v>
      </c>
    </row>
    <row r="872" customFormat="false" ht="14.15" hidden="false" customHeight="true" outlineLevel="0" collapsed="false">
      <c r="A872" s="7" t="str">
        <f aca="false">TRIM(customer_churn_dataset!A872)</f>
        <v>CUST100447</v>
      </c>
      <c r="B872" s="7" t="str">
        <f aca="false">PROPER(TRIM(customer_churn_dataset!B872))</f>
        <v>Standard</v>
      </c>
      <c r="C872" s="7" t="str">
        <f aca="false">PROPER(TRIM(customer_churn_dataset!C872))</f>
        <v>One Year</v>
      </c>
      <c r="D872" s="7" t="n">
        <f aca="false">IF(ISBLANK(customer_churn_dataset!D872),ROUND(MEDIAN(customer_churn_dataset!D$2:D$1501),2),IF(customer_churn_dataset!D872&lt;0,ABS(customer_churn_dataset!D872),customer_churn_dataset!D872))</f>
        <v>21.61</v>
      </c>
      <c r="E872" s="7" t="n">
        <f aca="false">IF(ISBLANK(customer_churn_dataset!E872),0,MAX(0,customer_churn_dataset!E872))</f>
        <v>71</v>
      </c>
      <c r="F872" s="8" t="n">
        <f aca="false">IF(ISBLANK(customer_churn_dataset!F872),"",customer_churn_dataset!F872)</f>
        <v>44987</v>
      </c>
      <c r="G872" s="7" t="str">
        <f aca="false">PROPER(TRIM(customer_churn_dataset!G872))</f>
        <v>Bank Transfer</v>
      </c>
      <c r="H872" s="7" t="n">
        <f aca="false">IF(ISBLANK(customer_churn_dataset!H872),0,customer_churn_dataset!H872)</f>
        <v>1</v>
      </c>
      <c r="I872" s="7" t="n">
        <f aca="false">IF(ISBLANK(customer_churn_dataset!I872),ROUND(MEDIAN(customer_churn_dataset!I$2:I$1501),1),MIN(100,MAX(0,customer_churn_dataset!I872)))</f>
        <v>36.3</v>
      </c>
      <c r="J872" s="7" t="n">
        <f aca="false">IF(ISBLANK(customer_churn_dataset!J872),0,MAX(0,customer_churn_dataset!J872))</f>
        <v>18</v>
      </c>
      <c r="K872" s="7" t="n">
        <f aca="false">IF(ISBLANK(customer_churn_dataset!K872),0,MIN(10,MAX(0,customer_churn_dataset!K872)))</f>
        <v>4</v>
      </c>
      <c r="L872" s="7" t="n">
        <f aca="false">IF(ISBLANK(customer_churn_dataset!L872),0,MAX(0,customer_churn_dataset!L872))</f>
        <v>2</v>
      </c>
      <c r="M872" s="7" t="n">
        <f aca="false">IF(ISBLANK(customer_churn_dataset!M872),0,customer_churn_dataset!M872)</f>
        <v>1</v>
      </c>
      <c r="N872" s="7" t="n">
        <f aca="false">IF(ISBLANK(customer_churn_dataset!N872),0,MAX(0,customer_churn_dataset!N872))</f>
        <v>1534.31</v>
      </c>
      <c r="O872" s="7" t="n">
        <f aca="false">IF(ISBLANK(customer_churn_dataset!O872),0,customer_churn_dataset!O872)</f>
        <v>0</v>
      </c>
      <c r="P872" s="7" t="str">
        <f aca="false">IF(COUNTIF(customer_churn_dataset!$A$2:$A$1501,customer_churn_dataset!A872)&gt;1,"Duplicate","Unique")</f>
        <v>Unique</v>
      </c>
    </row>
    <row r="873" customFormat="false" ht="14.15" hidden="false" customHeight="true" outlineLevel="0" collapsed="false">
      <c r="A873" s="7" t="str">
        <f aca="false">TRIM(customer_churn_dataset!A873)</f>
        <v>CUST100573</v>
      </c>
      <c r="B873" s="7" t="str">
        <f aca="false">PROPER(TRIM(customer_churn_dataset!B873))</f>
        <v>Standard</v>
      </c>
      <c r="C873" s="7" t="str">
        <f aca="false">PROPER(TRIM(customer_churn_dataset!C873))</f>
        <v>Month-To-Month</v>
      </c>
      <c r="D873" s="7" t="n">
        <f aca="false">IF(ISBLANK(customer_churn_dataset!D873),ROUND(MEDIAN(customer_churn_dataset!D$2:D$1501),2),IF(customer_churn_dataset!D873&lt;0,ABS(customer_churn_dataset!D873),customer_churn_dataset!D873))</f>
        <v>19.69</v>
      </c>
      <c r="E873" s="7" t="n">
        <f aca="false">IF(ISBLANK(customer_churn_dataset!E873),0,MAX(0,customer_churn_dataset!E873))</f>
        <v>40</v>
      </c>
      <c r="F873" s="8" t="n">
        <f aca="false">IF(ISBLANK(customer_churn_dataset!F873),"",customer_churn_dataset!F873)</f>
        <v>44987</v>
      </c>
      <c r="G873" s="7" t="str">
        <f aca="false">PROPER(TRIM(customer_churn_dataset!G873))</f>
        <v>Credit Card</v>
      </c>
      <c r="H873" s="7" t="n">
        <f aca="false">IF(ISBLANK(customer_churn_dataset!H873),0,customer_churn_dataset!H873)</f>
        <v>0</v>
      </c>
      <c r="I873" s="7" t="n">
        <f aca="false">IF(ISBLANK(customer_churn_dataset!I873),ROUND(MEDIAN(customer_churn_dataset!I$2:I$1501),1),MIN(100,MAX(0,customer_churn_dataset!I873)))</f>
        <v>31.6</v>
      </c>
      <c r="J873" s="7" t="n">
        <f aca="false">IF(ISBLANK(customer_churn_dataset!J873),0,MAX(0,customer_churn_dataset!J873))</f>
        <v>8</v>
      </c>
      <c r="K873" s="7" t="n">
        <f aca="false">IF(ISBLANK(customer_churn_dataset!K873),0,MIN(10,MAX(0,customer_churn_dataset!K873)))</f>
        <v>3</v>
      </c>
      <c r="L873" s="7" t="n">
        <f aca="false">IF(ISBLANK(customer_churn_dataset!L873),0,MAX(0,customer_churn_dataset!L873))</f>
        <v>1</v>
      </c>
      <c r="M873" s="7" t="n">
        <f aca="false">IF(ISBLANK(customer_churn_dataset!M873),0,customer_churn_dataset!M873)</f>
        <v>0</v>
      </c>
      <c r="N873" s="7" t="n">
        <f aca="false">IF(ISBLANK(customer_churn_dataset!N873),0,MAX(0,customer_churn_dataset!N873))</f>
        <v>787.6</v>
      </c>
      <c r="O873" s="7" t="n">
        <f aca="false">IF(ISBLANK(customer_churn_dataset!O873),0,customer_churn_dataset!O873)</f>
        <v>0</v>
      </c>
      <c r="P873" s="7" t="str">
        <f aca="false">IF(COUNTIF(customer_churn_dataset!$A$2:$A$1501,customer_churn_dataset!A873)&gt;1,"Duplicate","Unique")</f>
        <v>Unique</v>
      </c>
    </row>
    <row r="874" customFormat="false" ht="14.15" hidden="false" customHeight="true" outlineLevel="0" collapsed="false">
      <c r="A874" s="7" t="str">
        <f aca="false">TRIM(customer_churn_dataset!A874)</f>
        <v>CUST100003</v>
      </c>
      <c r="B874" s="7" t="str">
        <f aca="false">PROPER(TRIM(customer_churn_dataset!B874))</f>
        <v>Standard</v>
      </c>
      <c r="C874" s="7" t="str">
        <f aca="false">PROPER(TRIM(customer_churn_dataset!C874))</f>
        <v>One Year</v>
      </c>
      <c r="D874" s="7" t="n">
        <f aca="false">IF(ISBLANK(customer_churn_dataset!D874),ROUND(MEDIAN(customer_churn_dataset!D$2:D$1501),2),IF(customer_churn_dataset!D874&lt;0,ABS(customer_churn_dataset!D874),customer_churn_dataset!D874))</f>
        <v>18.34</v>
      </c>
      <c r="E874" s="7" t="n">
        <f aca="false">IF(ISBLANK(customer_churn_dataset!E874),0,MAX(0,customer_churn_dataset!E874))</f>
        <v>37</v>
      </c>
      <c r="F874" s="8" t="n">
        <f aca="false">IF(ISBLANK(customer_churn_dataset!F874),"",customer_churn_dataset!F874)</f>
        <v>44990</v>
      </c>
      <c r="G874" s="7" t="str">
        <f aca="false">PROPER(TRIM(customer_churn_dataset!G874))</f>
        <v>Bank Transfer</v>
      </c>
      <c r="H874" s="7" t="n">
        <f aca="false">IF(ISBLANK(customer_churn_dataset!H874),0,customer_churn_dataset!H874)</f>
        <v>1</v>
      </c>
      <c r="I874" s="7" t="n">
        <f aca="false">IF(ISBLANK(customer_churn_dataset!I874),ROUND(MEDIAN(customer_churn_dataset!I$2:I$1501),1),MIN(100,MAX(0,customer_churn_dataset!I874)))</f>
        <v>92.3</v>
      </c>
      <c r="J874" s="7" t="n">
        <f aca="false">IF(ISBLANK(customer_churn_dataset!J874),0,MAX(0,customer_churn_dataset!J874))</f>
        <v>32</v>
      </c>
      <c r="K874" s="7" t="n">
        <f aca="false">IF(ISBLANK(customer_churn_dataset!K874),0,MIN(10,MAX(0,customer_churn_dataset!K874)))</f>
        <v>9</v>
      </c>
      <c r="L874" s="7" t="n">
        <f aca="false">IF(ISBLANK(customer_churn_dataset!L874),0,MAX(0,customer_churn_dataset!L874))</f>
        <v>1</v>
      </c>
      <c r="M874" s="7" t="n">
        <f aca="false">IF(ISBLANK(customer_churn_dataset!M874),0,customer_churn_dataset!M874)</f>
        <v>1</v>
      </c>
      <c r="N874" s="7" t="n">
        <f aca="false">IF(ISBLANK(customer_churn_dataset!N874),0,MAX(0,customer_churn_dataset!N874))</f>
        <v>678.58</v>
      </c>
      <c r="O874" s="7" t="n">
        <f aca="false">IF(ISBLANK(customer_churn_dataset!O874),0,customer_churn_dataset!O874)</f>
        <v>0</v>
      </c>
      <c r="P874" s="7" t="str">
        <f aca="false">IF(COUNTIF(customer_churn_dataset!$A$2:$A$1501,customer_churn_dataset!A874)&gt;1,"Duplicate","Unique")</f>
        <v>Unique</v>
      </c>
    </row>
    <row r="875" customFormat="false" ht="14.15" hidden="false" customHeight="true" outlineLevel="0" collapsed="false">
      <c r="A875" s="7" t="str">
        <f aca="false">TRIM(customer_churn_dataset!A875)</f>
        <v>CUST101399</v>
      </c>
      <c r="B875" s="7" t="str">
        <f aca="false">PROPER(TRIM(customer_churn_dataset!B875))</f>
        <v>Standard</v>
      </c>
      <c r="C875" s="7" t="str">
        <f aca="false">PROPER(TRIM(customer_churn_dataset!C875))</f>
        <v>Two Year</v>
      </c>
      <c r="D875" s="7" t="n">
        <f aca="false">IF(ISBLANK(customer_churn_dataset!D875),ROUND(MEDIAN(customer_churn_dataset!D$2:D$1501),2),IF(customer_churn_dataset!D875&lt;0,ABS(customer_churn_dataset!D875),customer_churn_dataset!D875))</f>
        <v>20.91</v>
      </c>
      <c r="E875" s="7" t="n">
        <f aca="false">IF(ISBLANK(customer_churn_dataset!E875),0,MAX(0,customer_churn_dataset!E875))</f>
        <v>15</v>
      </c>
      <c r="F875" s="8" t="n">
        <f aca="false">IF(ISBLANK(customer_churn_dataset!F875),"",customer_churn_dataset!F875)</f>
        <v>44990</v>
      </c>
      <c r="G875" s="7" t="str">
        <f aca="false">PROPER(TRIM(customer_churn_dataset!G875))</f>
        <v>Paypal</v>
      </c>
      <c r="H875" s="7" t="n">
        <f aca="false">IF(ISBLANK(customer_churn_dataset!H875),0,customer_churn_dataset!H875)</f>
        <v>1</v>
      </c>
      <c r="I875" s="7" t="n">
        <f aca="false">IF(ISBLANK(customer_churn_dataset!I875),ROUND(MEDIAN(customer_churn_dataset!I$2:I$1501),1),MIN(100,MAX(0,customer_churn_dataset!I875)))</f>
        <v>60.1</v>
      </c>
      <c r="J875" s="7" t="n">
        <f aca="false">IF(ISBLANK(customer_churn_dataset!J875),0,MAX(0,customer_churn_dataset!J875))</f>
        <v>16</v>
      </c>
      <c r="K875" s="7" t="n">
        <f aca="false">IF(ISBLANK(customer_churn_dataset!K875),0,MIN(10,MAX(0,customer_churn_dataset!K875)))</f>
        <v>7</v>
      </c>
      <c r="L875" s="7" t="n">
        <f aca="false">IF(ISBLANK(customer_churn_dataset!L875),0,MAX(0,customer_churn_dataset!L875))</f>
        <v>3</v>
      </c>
      <c r="M875" s="7" t="n">
        <f aca="false">IF(ISBLANK(customer_churn_dataset!M875),0,customer_churn_dataset!M875)</f>
        <v>0</v>
      </c>
      <c r="N875" s="7" t="n">
        <f aca="false">IF(ISBLANK(customer_churn_dataset!N875),0,MAX(0,customer_churn_dataset!N875))</f>
        <v>313.65</v>
      </c>
      <c r="O875" s="7" t="n">
        <f aca="false">IF(ISBLANK(customer_churn_dataset!O875),0,customer_churn_dataset!O875)</f>
        <v>0</v>
      </c>
      <c r="P875" s="7" t="str">
        <f aca="false">IF(COUNTIF(customer_churn_dataset!$A$2:$A$1501,customer_churn_dataset!A875)&gt;1,"Duplicate","Unique")</f>
        <v>Unique</v>
      </c>
    </row>
    <row r="876" customFormat="false" ht="14.15" hidden="false" customHeight="true" outlineLevel="0" collapsed="false">
      <c r="A876" s="7" t="str">
        <f aca="false">TRIM(customer_churn_dataset!A876)</f>
        <v>CUST100566</v>
      </c>
      <c r="B876" s="7" t="str">
        <f aca="false">PROPER(TRIM(customer_churn_dataset!B876))</f>
        <v>Basic</v>
      </c>
      <c r="C876" s="7" t="str">
        <f aca="false">PROPER(TRIM(customer_churn_dataset!C876))</f>
        <v>One Year</v>
      </c>
      <c r="D876" s="7" t="n">
        <f aca="false">IF(ISBLANK(customer_churn_dataset!D876),ROUND(MEDIAN(customer_churn_dataset!D$2:D$1501),2),IF(customer_churn_dataset!D876&lt;0,ABS(customer_churn_dataset!D876),customer_churn_dataset!D876))</f>
        <v>9.45</v>
      </c>
      <c r="E876" s="7" t="n">
        <f aca="false">IF(ISBLANK(customer_churn_dataset!E876),0,MAX(0,customer_churn_dataset!E876))</f>
        <v>24</v>
      </c>
      <c r="F876" s="8" t="n">
        <f aca="false">IF(ISBLANK(customer_churn_dataset!F876),"",customer_churn_dataset!F876)</f>
        <v>44990</v>
      </c>
      <c r="G876" s="7" t="str">
        <f aca="false">PROPER(TRIM(customer_churn_dataset!G876))</f>
        <v>Credit Card</v>
      </c>
      <c r="H876" s="7" t="n">
        <f aca="false">IF(ISBLANK(customer_churn_dataset!H876),0,customer_churn_dataset!H876)</f>
        <v>0</v>
      </c>
      <c r="I876" s="7" t="n">
        <f aca="false">IF(ISBLANK(customer_churn_dataset!I876),ROUND(MEDIAN(customer_churn_dataset!I$2:I$1501),1),MIN(100,MAX(0,customer_churn_dataset!I876)))</f>
        <v>97.7</v>
      </c>
      <c r="J876" s="7" t="n">
        <f aca="false">IF(ISBLANK(customer_churn_dataset!J876),0,MAX(0,customer_churn_dataset!J876))</f>
        <v>33</v>
      </c>
      <c r="K876" s="7" t="n">
        <f aca="false">IF(ISBLANK(customer_churn_dataset!K876),0,MIN(10,MAX(0,customer_churn_dataset!K876)))</f>
        <v>10</v>
      </c>
      <c r="L876" s="7" t="n">
        <f aca="false">IF(ISBLANK(customer_churn_dataset!L876),0,MAX(0,customer_churn_dataset!L876))</f>
        <v>1</v>
      </c>
      <c r="M876" s="7" t="n">
        <f aca="false">IF(ISBLANK(customer_churn_dataset!M876),0,customer_churn_dataset!M876)</f>
        <v>0</v>
      </c>
      <c r="N876" s="7" t="n">
        <f aca="false">IF(ISBLANK(customer_churn_dataset!N876),0,MAX(0,customer_churn_dataset!N876))</f>
        <v>226.8</v>
      </c>
      <c r="O876" s="7" t="n">
        <f aca="false">IF(ISBLANK(customer_churn_dataset!O876),0,customer_churn_dataset!O876)</f>
        <v>1</v>
      </c>
      <c r="P876" s="7" t="str">
        <f aca="false">IF(COUNTIF(customer_churn_dataset!$A$2:$A$1501,customer_churn_dataset!A876)&gt;1,"Duplicate","Unique")</f>
        <v>Unique</v>
      </c>
    </row>
    <row r="877" customFormat="false" ht="14.15" hidden="false" customHeight="true" outlineLevel="0" collapsed="false">
      <c r="A877" s="7" t="str">
        <f aca="false">TRIM(customer_churn_dataset!A877)</f>
        <v>CUST101460</v>
      </c>
      <c r="B877" s="7" t="str">
        <f aca="false">PROPER(TRIM(customer_churn_dataset!B877))</f>
        <v>Basic</v>
      </c>
      <c r="C877" s="7" t="str">
        <f aca="false">PROPER(TRIM(customer_churn_dataset!C877))</f>
        <v>One Year</v>
      </c>
      <c r="D877" s="7" t="n">
        <f aca="false">IF(ISBLANK(customer_churn_dataset!D877),ROUND(MEDIAN(customer_churn_dataset!D$2:D$1501),2),IF(customer_churn_dataset!D877&lt;0,ABS(customer_churn_dataset!D877),customer_churn_dataset!D877))</f>
        <v>10.69</v>
      </c>
      <c r="E877" s="7" t="n">
        <f aca="false">IF(ISBLANK(customer_churn_dataset!E877),0,MAX(0,customer_churn_dataset!E877))</f>
        <v>66</v>
      </c>
      <c r="F877" s="8" t="n">
        <f aca="false">IF(ISBLANK(customer_churn_dataset!F877),"",customer_churn_dataset!F877)</f>
        <v>44991</v>
      </c>
      <c r="G877" s="7" t="str">
        <f aca="false">PROPER(TRIM(customer_churn_dataset!G877))</f>
        <v>Manual/Invoice</v>
      </c>
      <c r="H877" s="7" t="n">
        <f aca="false">IF(ISBLANK(customer_churn_dataset!H877),0,customer_churn_dataset!H877)</f>
        <v>0</v>
      </c>
      <c r="I877" s="7" t="n">
        <f aca="false">IF(ISBLANK(customer_churn_dataset!I877),ROUND(MEDIAN(customer_churn_dataset!I$2:I$1501),1),MIN(100,MAX(0,customer_churn_dataset!I877)))</f>
        <v>82.4</v>
      </c>
      <c r="J877" s="7" t="n">
        <f aca="false">IF(ISBLANK(customer_churn_dataset!J877),0,MAX(0,customer_churn_dataset!J877))</f>
        <v>23</v>
      </c>
      <c r="K877" s="7" t="n">
        <f aca="false">IF(ISBLANK(customer_churn_dataset!K877),0,MIN(10,MAX(0,customer_churn_dataset!K877)))</f>
        <v>10</v>
      </c>
      <c r="L877" s="7" t="n">
        <f aca="false">IF(ISBLANK(customer_churn_dataset!L877),0,MAX(0,customer_churn_dataset!L877))</f>
        <v>0</v>
      </c>
      <c r="M877" s="7" t="n">
        <f aca="false">IF(ISBLANK(customer_churn_dataset!M877),0,customer_churn_dataset!M877)</f>
        <v>0</v>
      </c>
      <c r="N877" s="7" t="n">
        <f aca="false">IF(ISBLANK(customer_churn_dataset!N877),0,MAX(0,customer_churn_dataset!N877))</f>
        <v>705.54</v>
      </c>
      <c r="O877" s="7" t="n">
        <f aca="false">IF(ISBLANK(customer_churn_dataset!O877),0,customer_churn_dataset!O877)</f>
        <v>0</v>
      </c>
      <c r="P877" s="7" t="str">
        <f aca="false">IF(COUNTIF(customer_churn_dataset!$A$2:$A$1501,customer_churn_dataset!A877)&gt;1,"Duplicate","Unique")</f>
        <v>Unique</v>
      </c>
    </row>
    <row r="878" customFormat="false" ht="14.15" hidden="false" customHeight="true" outlineLevel="0" collapsed="false">
      <c r="A878" s="7" t="str">
        <f aca="false">TRIM(customer_churn_dataset!A878)</f>
        <v>CUST100210</v>
      </c>
      <c r="B878" s="7" t="str">
        <f aca="false">PROPER(TRIM(customer_churn_dataset!B878))</f>
        <v>Standard</v>
      </c>
      <c r="C878" s="7" t="str">
        <f aca="false">PROPER(TRIM(customer_churn_dataset!C878))</f>
        <v>Month-To-Month</v>
      </c>
      <c r="D878" s="7" t="n">
        <f aca="false">IF(ISBLANK(customer_churn_dataset!D878),ROUND(MEDIAN(customer_churn_dataset!D$2:D$1501),2),IF(customer_churn_dataset!D878&lt;0,ABS(customer_churn_dataset!D878),customer_churn_dataset!D878))</f>
        <v>19.82</v>
      </c>
      <c r="E878" s="7" t="n">
        <f aca="false">IF(ISBLANK(customer_churn_dataset!E878),0,MAX(0,customer_churn_dataset!E878))</f>
        <v>20</v>
      </c>
      <c r="F878" s="8" t="n">
        <f aca="false">IF(ISBLANK(customer_churn_dataset!F878),"",customer_churn_dataset!F878)</f>
        <v>44995</v>
      </c>
      <c r="G878" s="7" t="str">
        <f aca="false">PROPER(TRIM(customer_churn_dataset!G878))</f>
        <v>Manual/Invoice</v>
      </c>
      <c r="H878" s="7" t="n">
        <f aca="false">IF(ISBLANK(customer_churn_dataset!H878),0,customer_churn_dataset!H878)</f>
        <v>1</v>
      </c>
      <c r="I878" s="7" t="n">
        <f aca="false">IF(ISBLANK(customer_churn_dataset!I878),ROUND(MEDIAN(customer_churn_dataset!I$2:I$1501),1),MIN(100,MAX(0,customer_churn_dataset!I878)))</f>
        <v>63.8</v>
      </c>
      <c r="J878" s="7" t="n">
        <f aca="false">IF(ISBLANK(customer_churn_dataset!J878),0,MAX(0,customer_churn_dataset!J878))</f>
        <v>20</v>
      </c>
      <c r="K878" s="7" t="n">
        <f aca="false">IF(ISBLANK(customer_churn_dataset!K878),0,MIN(10,MAX(0,customer_churn_dataset!K878)))</f>
        <v>6</v>
      </c>
      <c r="L878" s="7" t="n">
        <f aca="false">IF(ISBLANK(customer_churn_dataset!L878),0,MAX(0,customer_churn_dataset!L878))</f>
        <v>1</v>
      </c>
      <c r="M878" s="7" t="n">
        <f aca="false">IF(ISBLANK(customer_churn_dataset!M878),0,customer_churn_dataset!M878)</f>
        <v>0</v>
      </c>
      <c r="N878" s="7" t="n">
        <f aca="false">IF(ISBLANK(customer_churn_dataset!N878),0,MAX(0,customer_churn_dataset!N878))</f>
        <v>396.4</v>
      </c>
      <c r="O878" s="7" t="n">
        <f aca="false">IF(ISBLANK(customer_churn_dataset!O878),0,customer_churn_dataset!O878)</f>
        <v>0</v>
      </c>
      <c r="P878" s="7" t="str">
        <f aca="false">IF(COUNTIF(customer_churn_dataset!$A$2:$A$1501,customer_churn_dataset!A878)&gt;1,"Duplicate","Unique")</f>
        <v>Unique</v>
      </c>
    </row>
    <row r="879" customFormat="false" ht="14.15" hidden="false" customHeight="true" outlineLevel="0" collapsed="false">
      <c r="A879" s="7" t="str">
        <f aca="false">TRIM(customer_churn_dataset!A879)</f>
        <v>CUST101304</v>
      </c>
      <c r="B879" s="7" t="str">
        <f aca="false">PROPER(TRIM(customer_churn_dataset!B879))</f>
        <v>Standard</v>
      </c>
      <c r="C879" s="7" t="str">
        <f aca="false">PROPER(TRIM(customer_churn_dataset!C879))</f>
        <v>Month-To-Month</v>
      </c>
      <c r="D879" s="7" t="n">
        <f aca="false">IF(ISBLANK(customer_churn_dataset!D879),ROUND(MEDIAN(customer_churn_dataset!D$2:D$1501),2),IF(customer_churn_dataset!D879&lt;0,ABS(customer_churn_dataset!D879),customer_churn_dataset!D879))</f>
        <v>20.86</v>
      </c>
      <c r="E879" s="7" t="n">
        <f aca="false">IF(ISBLANK(customer_churn_dataset!E879),0,MAX(0,customer_churn_dataset!E879))</f>
        <v>1</v>
      </c>
      <c r="F879" s="8" t="n">
        <f aca="false">IF(ISBLANK(customer_churn_dataset!F879),"",customer_churn_dataset!F879)</f>
        <v>44995</v>
      </c>
      <c r="G879" s="7" t="str">
        <f aca="false">PROPER(TRIM(customer_churn_dataset!G879))</f>
        <v>Bank Transfer</v>
      </c>
      <c r="H879" s="7" t="n">
        <f aca="false">IF(ISBLANK(customer_churn_dataset!H879),0,customer_churn_dataset!H879)</f>
        <v>1</v>
      </c>
      <c r="I879" s="7" t="n">
        <f aca="false">IF(ISBLANK(customer_churn_dataset!I879),ROUND(MEDIAN(customer_churn_dataset!I$2:I$1501),1),MIN(100,MAX(0,customer_churn_dataset!I879)))</f>
        <v>41.7</v>
      </c>
      <c r="J879" s="7" t="n">
        <f aca="false">IF(ISBLANK(customer_churn_dataset!J879),0,MAX(0,customer_churn_dataset!J879))</f>
        <v>12</v>
      </c>
      <c r="K879" s="7" t="n">
        <f aca="false">IF(ISBLANK(customer_churn_dataset!K879),0,MIN(10,MAX(0,customer_churn_dataset!K879)))</f>
        <v>4</v>
      </c>
      <c r="L879" s="7" t="n">
        <f aca="false">IF(ISBLANK(customer_churn_dataset!L879),0,MAX(0,customer_churn_dataset!L879))</f>
        <v>0</v>
      </c>
      <c r="M879" s="7" t="n">
        <f aca="false">IF(ISBLANK(customer_churn_dataset!M879),0,customer_churn_dataset!M879)</f>
        <v>0</v>
      </c>
      <c r="N879" s="7" t="n">
        <f aca="false">IF(ISBLANK(customer_churn_dataset!N879),0,MAX(0,customer_churn_dataset!N879))</f>
        <v>20.86</v>
      </c>
      <c r="O879" s="7" t="n">
        <f aca="false">IF(ISBLANK(customer_churn_dataset!O879),0,customer_churn_dataset!O879)</f>
        <v>0</v>
      </c>
      <c r="P879" s="7" t="str">
        <f aca="false">IF(COUNTIF(customer_churn_dataset!$A$2:$A$1501,customer_churn_dataset!A879)&gt;1,"Duplicate","Unique")</f>
        <v>Unique</v>
      </c>
    </row>
    <row r="880" customFormat="false" ht="14.15" hidden="false" customHeight="true" outlineLevel="0" collapsed="false">
      <c r="A880" s="7" t="str">
        <f aca="false">TRIM(customer_churn_dataset!A880)</f>
        <v>CUST100857</v>
      </c>
      <c r="B880" s="7" t="str">
        <f aca="false">PROPER(TRIM(customer_churn_dataset!B880))</f>
        <v>Standard</v>
      </c>
      <c r="C880" s="7" t="str">
        <f aca="false">PROPER(TRIM(customer_churn_dataset!C880))</f>
        <v>One Year</v>
      </c>
      <c r="D880" s="7" t="n">
        <f aca="false">IF(ISBLANK(customer_churn_dataset!D880),ROUND(MEDIAN(customer_churn_dataset!D$2:D$1501),2),IF(customer_churn_dataset!D880&lt;0,ABS(customer_churn_dataset!D880),customer_churn_dataset!D880))</f>
        <v>17.99</v>
      </c>
      <c r="E880" s="7" t="n">
        <f aca="false">IF(ISBLANK(customer_churn_dataset!E880),0,MAX(0,customer_churn_dataset!E880))</f>
        <v>3</v>
      </c>
      <c r="F880" s="8" t="n">
        <f aca="false">IF(ISBLANK(customer_churn_dataset!F880),"",customer_churn_dataset!F880)</f>
        <v>44998</v>
      </c>
      <c r="G880" s="7" t="str">
        <f aca="false">PROPER(TRIM(customer_churn_dataset!G880))</f>
        <v>Credit Card</v>
      </c>
      <c r="H880" s="7" t="n">
        <f aca="false">IF(ISBLANK(customer_churn_dataset!H880),0,customer_churn_dataset!H880)</f>
        <v>1</v>
      </c>
      <c r="I880" s="7" t="n">
        <f aca="false">IF(ISBLANK(customer_churn_dataset!I880),ROUND(MEDIAN(customer_churn_dataset!I$2:I$1501),1),MIN(100,MAX(0,customer_churn_dataset!I880)))</f>
        <v>54.5</v>
      </c>
      <c r="J880" s="7" t="n">
        <f aca="false">IF(ISBLANK(customer_churn_dataset!J880),0,MAX(0,customer_churn_dataset!J880))</f>
        <v>25</v>
      </c>
      <c r="K880" s="7" t="n">
        <f aca="false">IF(ISBLANK(customer_churn_dataset!K880),0,MIN(10,MAX(0,customer_churn_dataset!K880)))</f>
        <v>3</v>
      </c>
      <c r="L880" s="7" t="n">
        <f aca="false">IF(ISBLANK(customer_churn_dataset!L880),0,MAX(0,customer_churn_dataset!L880))</f>
        <v>1</v>
      </c>
      <c r="M880" s="7" t="n">
        <f aca="false">IF(ISBLANK(customer_churn_dataset!M880),0,customer_churn_dataset!M880)</f>
        <v>0</v>
      </c>
      <c r="N880" s="7" t="n">
        <f aca="false">IF(ISBLANK(customer_churn_dataset!N880),0,MAX(0,customer_churn_dataset!N880))</f>
        <v>53.97</v>
      </c>
      <c r="O880" s="7" t="n">
        <f aca="false">IF(ISBLANK(customer_churn_dataset!O880),0,customer_churn_dataset!O880)</f>
        <v>0</v>
      </c>
      <c r="P880" s="7" t="str">
        <f aca="false">IF(COUNTIF(customer_churn_dataset!$A$2:$A$1501,customer_churn_dataset!A880)&gt;1,"Duplicate","Unique")</f>
        <v>Unique</v>
      </c>
    </row>
    <row r="881" customFormat="false" ht="14.15" hidden="false" customHeight="true" outlineLevel="0" collapsed="false">
      <c r="A881" s="7" t="str">
        <f aca="false">TRIM(customer_churn_dataset!A881)</f>
        <v>CUST100663</v>
      </c>
      <c r="B881" s="7" t="str">
        <f aca="false">PROPER(TRIM(customer_churn_dataset!B881))</f>
        <v>Basic</v>
      </c>
      <c r="C881" s="7" t="str">
        <f aca="false">PROPER(TRIM(customer_churn_dataset!C881))</f>
        <v>Month-To-Month</v>
      </c>
      <c r="D881" s="7" t="n">
        <f aca="false">IF(ISBLANK(customer_churn_dataset!D881),ROUND(MEDIAN(customer_churn_dataset!D$2:D$1501),2),IF(customer_churn_dataset!D881&lt;0,ABS(customer_churn_dataset!D881),customer_churn_dataset!D881))</f>
        <v>9.34</v>
      </c>
      <c r="E881" s="7" t="n">
        <f aca="false">IF(ISBLANK(customer_churn_dataset!E881),0,MAX(0,customer_churn_dataset!E881))</f>
        <v>7</v>
      </c>
      <c r="F881" s="8" t="n">
        <f aca="false">IF(ISBLANK(customer_churn_dataset!F881),"",customer_churn_dataset!F881)</f>
        <v>44998</v>
      </c>
      <c r="G881" s="7" t="str">
        <f aca="false">PROPER(TRIM(customer_churn_dataset!G881))</f>
        <v>Credit Card</v>
      </c>
      <c r="H881" s="7" t="n">
        <f aca="false">IF(ISBLANK(customer_churn_dataset!H881),0,customer_churn_dataset!H881)</f>
        <v>1</v>
      </c>
      <c r="I881" s="7" t="n">
        <f aca="false">IF(ISBLANK(customer_churn_dataset!I881),ROUND(MEDIAN(customer_churn_dataset!I$2:I$1501),1),MIN(100,MAX(0,customer_churn_dataset!I881)))</f>
        <v>60.1</v>
      </c>
      <c r="J881" s="7" t="n">
        <f aca="false">IF(ISBLANK(customer_churn_dataset!J881),0,MAX(0,customer_churn_dataset!J881))</f>
        <v>16</v>
      </c>
      <c r="K881" s="7" t="n">
        <f aca="false">IF(ISBLANK(customer_churn_dataset!K881),0,MIN(10,MAX(0,customer_churn_dataset!K881)))</f>
        <v>4</v>
      </c>
      <c r="L881" s="7" t="n">
        <f aca="false">IF(ISBLANK(customer_churn_dataset!L881),0,MAX(0,customer_churn_dataset!L881))</f>
        <v>1</v>
      </c>
      <c r="M881" s="7" t="n">
        <f aca="false">IF(ISBLANK(customer_churn_dataset!M881),0,customer_churn_dataset!M881)</f>
        <v>0</v>
      </c>
      <c r="N881" s="7" t="n">
        <f aca="false">IF(ISBLANK(customer_churn_dataset!N881),0,MAX(0,customer_churn_dataset!N881))</f>
        <v>65.38</v>
      </c>
      <c r="O881" s="7" t="n">
        <f aca="false">IF(ISBLANK(customer_churn_dataset!O881),0,customer_churn_dataset!O881)</f>
        <v>0</v>
      </c>
      <c r="P881" s="7" t="str">
        <f aca="false">IF(COUNTIF(customer_churn_dataset!$A$2:$A$1501,customer_churn_dataset!A881)&gt;1,"Duplicate","Unique")</f>
        <v>Unique</v>
      </c>
    </row>
    <row r="882" customFormat="false" ht="14.15" hidden="false" customHeight="true" outlineLevel="0" collapsed="false">
      <c r="A882" s="7" t="str">
        <f aca="false">TRIM(customer_churn_dataset!A882)</f>
        <v>CUST100706</v>
      </c>
      <c r="B882" s="7" t="str">
        <f aca="false">PROPER(TRIM(customer_churn_dataset!B882))</f>
        <v>Basic</v>
      </c>
      <c r="C882" s="7" t="str">
        <f aca="false">PROPER(TRIM(customer_churn_dataset!C882))</f>
        <v>One Year</v>
      </c>
      <c r="D882" s="7" t="n">
        <f aca="false">IF(ISBLANK(customer_churn_dataset!D882),ROUND(MEDIAN(customer_churn_dataset!D$2:D$1501),2),IF(customer_churn_dataset!D882&lt;0,ABS(customer_churn_dataset!D882),customer_churn_dataset!D882))</f>
        <v>11.02</v>
      </c>
      <c r="E882" s="7" t="n">
        <f aca="false">IF(ISBLANK(customer_churn_dataset!E882),0,MAX(0,customer_churn_dataset!E882))</f>
        <v>37</v>
      </c>
      <c r="F882" s="8" t="n">
        <f aca="false">IF(ISBLANK(customer_churn_dataset!F882),"",customer_churn_dataset!F882)</f>
        <v>44998</v>
      </c>
      <c r="G882" s="7" t="str">
        <f aca="false">PROPER(TRIM(customer_churn_dataset!G882))</f>
        <v>Paypal</v>
      </c>
      <c r="H882" s="7" t="n">
        <f aca="false">IF(ISBLANK(customer_churn_dataset!H882),0,customer_churn_dataset!H882)</f>
        <v>1</v>
      </c>
      <c r="I882" s="7" t="n">
        <f aca="false">IF(ISBLANK(customer_churn_dataset!I882),ROUND(MEDIAN(customer_churn_dataset!I$2:I$1501),1),MIN(100,MAX(0,customer_churn_dataset!I882)))</f>
        <v>31.7</v>
      </c>
      <c r="J882" s="7" t="n">
        <f aca="false">IF(ISBLANK(customer_churn_dataset!J882),0,MAX(0,customer_churn_dataset!J882))</f>
        <v>18</v>
      </c>
      <c r="K882" s="7" t="n">
        <f aca="false">IF(ISBLANK(customer_churn_dataset!K882),0,MIN(10,MAX(0,customer_churn_dataset!K882)))</f>
        <v>4</v>
      </c>
      <c r="L882" s="7" t="n">
        <f aca="false">IF(ISBLANK(customer_churn_dataset!L882),0,MAX(0,customer_churn_dataset!L882))</f>
        <v>3</v>
      </c>
      <c r="M882" s="7" t="n">
        <f aca="false">IF(ISBLANK(customer_churn_dataset!M882),0,customer_churn_dataset!M882)</f>
        <v>0</v>
      </c>
      <c r="N882" s="7" t="n">
        <f aca="false">IF(ISBLANK(customer_churn_dataset!N882),0,MAX(0,customer_churn_dataset!N882))</f>
        <v>407.74</v>
      </c>
      <c r="O882" s="7" t="n">
        <f aca="false">IF(ISBLANK(customer_churn_dataset!O882),0,customer_churn_dataset!O882)</f>
        <v>0</v>
      </c>
      <c r="P882" s="7" t="str">
        <f aca="false">IF(COUNTIF(customer_churn_dataset!$A$2:$A$1501,customer_churn_dataset!A882)&gt;1,"Duplicate","Unique")</f>
        <v>Unique</v>
      </c>
    </row>
    <row r="883" customFormat="false" ht="14.15" hidden="false" customHeight="true" outlineLevel="0" collapsed="false">
      <c r="A883" s="7" t="str">
        <f aca="false">TRIM(customer_churn_dataset!A883)</f>
        <v>CUST100478</v>
      </c>
      <c r="B883" s="7" t="str">
        <f aca="false">PROPER(TRIM(customer_churn_dataset!B883))</f>
        <v>Premium</v>
      </c>
      <c r="C883" s="7" t="str">
        <f aca="false">PROPER(TRIM(customer_churn_dataset!C883))</f>
        <v>Month-To-Month</v>
      </c>
      <c r="D883" s="7" t="n">
        <f aca="false">IF(ISBLANK(customer_churn_dataset!D883),ROUND(MEDIAN(customer_churn_dataset!D$2:D$1501),2),IF(customer_churn_dataset!D883&lt;0,ABS(customer_churn_dataset!D883),customer_churn_dataset!D883))</f>
        <v>42.05</v>
      </c>
      <c r="E883" s="7" t="n">
        <f aca="false">IF(ISBLANK(customer_churn_dataset!E883),0,MAX(0,customer_churn_dataset!E883))</f>
        <v>71</v>
      </c>
      <c r="F883" s="8" t="n">
        <f aca="false">IF(ISBLANK(customer_churn_dataset!F883),"",customer_churn_dataset!F883)</f>
        <v>44999</v>
      </c>
      <c r="G883" s="7" t="str">
        <f aca="false">PROPER(TRIM(customer_churn_dataset!G883))</f>
        <v>Manual/Invoice</v>
      </c>
      <c r="H883" s="7" t="n">
        <f aca="false">IF(ISBLANK(customer_churn_dataset!H883),0,customer_churn_dataset!H883)</f>
        <v>0</v>
      </c>
      <c r="I883" s="7" t="n">
        <f aca="false">IF(ISBLANK(customer_churn_dataset!I883),ROUND(MEDIAN(customer_churn_dataset!I$2:I$1501),1),MIN(100,MAX(0,customer_churn_dataset!I883)))</f>
        <v>41.9</v>
      </c>
      <c r="J883" s="7" t="n">
        <f aca="false">IF(ISBLANK(customer_churn_dataset!J883),0,MAX(0,customer_churn_dataset!J883))</f>
        <v>16</v>
      </c>
      <c r="K883" s="7" t="n">
        <f aca="false">IF(ISBLANK(customer_churn_dataset!K883),0,MIN(10,MAX(0,customer_churn_dataset!K883)))</f>
        <v>5</v>
      </c>
      <c r="L883" s="7" t="n">
        <f aca="false">IF(ISBLANK(customer_churn_dataset!L883),0,MAX(0,customer_churn_dataset!L883))</f>
        <v>0</v>
      </c>
      <c r="M883" s="7" t="n">
        <f aca="false">IF(ISBLANK(customer_churn_dataset!M883),0,customer_churn_dataset!M883)</f>
        <v>0</v>
      </c>
      <c r="N883" s="7" t="n">
        <f aca="false">IF(ISBLANK(customer_churn_dataset!N883),0,MAX(0,customer_churn_dataset!N883))</f>
        <v>2985.55</v>
      </c>
      <c r="O883" s="7" t="n">
        <f aca="false">IF(ISBLANK(customer_churn_dataset!O883),0,customer_churn_dataset!O883)</f>
        <v>0</v>
      </c>
      <c r="P883" s="7" t="str">
        <f aca="false">IF(COUNTIF(customer_churn_dataset!$A$2:$A$1501,customer_churn_dataset!A883)&gt;1,"Duplicate","Unique")</f>
        <v>Unique</v>
      </c>
    </row>
    <row r="884" customFormat="false" ht="14.15" hidden="false" customHeight="true" outlineLevel="0" collapsed="false">
      <c r="A884" s="7" t="str">
        <f aca="false">TRIM(customer_churn_dataset!A884)</f>
        <v>CUST100347</v>
      </c>
      <c r="B884" s="7" t="str">
        <f aca="false">PROPER(TRIM(customer_churn_dataset!B884))</f>
        <v>Basic</v>
      </c>
      <c r="C884" s="7" t="str">
        <f aca="false">PROPER(TRIM(customer_churn_dataset!C884))</f>
        <v>One Year</v>
      </c>
      <c r="D884" s="7" t="n">
        <f aca="false">IF(ISBLANK(customer_churn_dataset!D884),ROUND(MEDIAN(customer_churn_dataset!D$2:D$1501),2),IF(customer_churn_dataset!D884&lt;0,ABS(customer_churn_dataset!D884),customer_churn_dataset!D884))</f>
        <v>10.95</v>
      </c>
      <c r="E884" s="7" t="n">
        <f aca="false">IF(ISBLANK(customer_churn_dataset!E884),0,MAX(0,customer_churn_dataset!E884))</f>
        <v>31</v>
      </c>
      <c r="F884" s="8" t="n">
        <f aca="false">IF(ISBLANK(customer_churn_dataset!F884),"",customer_churn_dataset!F884)</f>
        <v>45001</v>
      </c>
      <c r="G884" s="7" t="str">
        <f aca="false">PROPER(TRIM(customer_churn_dataset!G884))</f>
        <v>Bank Transfer</v>
      </c>
      <c r="H884" s="7" t="n">
        <f aca="false">IF(ISBLANK(customer_churn_dataset!H884),0,customer_churn_dataset!H884)</f>
        <v>0</v>
      </c>
      <c r="I884" s="7" t="n">
        <f aca="false">IF(ISBLANK(customer_churn_dataset!I884),ROUND(MEDIAN(customer_churn_dataset!I$2:I$1501),1),MIN(100,MAX(0,customer_churn_dataset!I884)))</f>
        <v>38.6</v>
      </c>
      <c r="J884" s="7" t="n">
        <f aca="false">IF(ISBLANK(customer_churn_dataset!J884),0,MAX(0,customer_churn_dataset!J884))</f>
        <v>9</v>
      </c>
      <c r="K884" s="7" t="n">
        <f aca="false">IF(ISBLANK(customer_churn_dataset!K884),0,MIN(10,MAX(0,customer_churn_dataset!K884)))</f>
        <v>5</v>
      </c>
      <c r="L884" s="7" t="n">
        <f aca="false">IF(ISBLANK(customer_churn_dataset!L884),0,MAX(0,customer_churn_dataset!L884))</f>
        <v>2</v>
      </c>
      <c r="M884" s="7" t="n">
        <f aca="false">IF(ISBLANK(customer_churn_dataset!M884),0,customer_churn_dataset!M884)</f>
        <v>1</v>
      </c>
      <c r="N884" s="7" t="n">
        <f aca="false">IF(ISBLANK(customer_churn_dataset!N884),0,MAX(0,customer_churn_dataset!N884))</f>
        <v>339.45</v>
      </c>
      <c r="O884" s="7" t="n">
        <f aca="false">IF(ISBLANK(customer_churn_dataset!O884),0,customer_churn_dataset!O884)</f>
        <v>0</v>
      </c>
      <c r="P884" s="7" t="str">
        <f aca="false">IF(COUNTIF(customer_churn_dataset!$A$2:$A$1501,customer_churn_dataset!A884)&gt;1,"Duplicate","Unique")</f>
        <v>Unique</v>
      </c>
    </row>
    <row r="885" customFormat="false" ht="14.15" hidden="false" customHeight="true" outlineLevel="0" collapsed="false">
      <c r="A885" s="7" t="str">
        <f aca="false">TRIM(customer_churn_dataset!A885)</f>
        <v>CUST100812</v>
      </c>
      <c r="B885" s="7" t="str">
        <f aca="false">PROPER(TRIM(customer_churn_dataset!B885))</f>
        <v>Basic</v>
      </c>
      <c r="C885" s="7" t="str">
        <f aca="false">PROPER(TRIM(customer_churn_dataset!C885))</f>
        <v>Month-To-Month</v>
      </c>
      <c r="D885" s="7" t="n">
        <f aca="false">IF(ISBLANK(customer_churn_dataset!D885),ROUND(MEDIAN(customer_churn_dataset!D$2:D$1501),2),IF(customer_churn_dataset!D885&lt;0,ABS(customer_churn_dataset!D885),customer_churn_dataset!D885))</f>
        <v>10.65</v>
      </c>
      <c r="E885" s="7" t="n">
        <f aca="false">IF(ISBLANK(customer_churn_dataset!E885),0,MAX(0,customer_churn_dataset!E885))</f>
        <v>27</v>
      </c>
      <c r="F885" s="8" t="n">
        <f aca="false">IF(ISBLANK(customer_churn_dataset!F885),"",customer_churn_dataset!F885)</f>
        <v>45001</v>
      </c>
      <c r="G885" s="7" t="str">
        <f aca="false">PROPER(TRIM(customer_churn_dataset!G885))</f>
        <v>Credit Card</v>
      </c>
      <c r="H885" s="7" t="n">
        <f aca="false">IF(ISBLANK(customer_churn_dataset!H885),0,customer_churn_dataset!H885)</f>
        <v>0</v>
      </c>
      <c r="I885" s="7" t="n">
        <f aca="false">IF(ISBLANK(customer_churn_dataset!I885),ROUND(MEDIAN(customer_churn_dataset!I$2:I$1501),1),MIN(100,MAX(0,customer_churn_dataset!I885)))</f>
        <v>72.5</v>
      </c>
      <c r="J885" s="7" t="n">
        <f aca="false">IF(ISBLANK(customer_churn_dataset!J885),0,MAX(0,customer_churn_dataset!J885))</f>
        <v>23</v>
      </c>
      <c r="K885" s="7" t="n">
        <f aca="false">IF(ISBLANK(customer_churn_dataset!K885),0,MIN(10,MAX(0,customer_churn_dataset!K885)))</f>
        <v>5</v>
      </c>
      <c r="L885" s="7" t="n">
        <f aca="false">IF(ISBLANK(customer_churn_dataset!L885),0,MAX(0,customer_churn_dataset!L885))</f>
        <v>2</v>
      </c>
      <c r="M885" s="7" t="n">
        <f aca="false">IF(ISBLANK(customer_churn_dataset!M885),0,customer_churn_dataset!M885)</f>
        <v>0</v>
      </c>
      <c r="N885" s="7" t="n">
        <f aca="false">IF(ISBLANK(customer_churn_dataset!N885),0,MAX(0,customer_churn_dataset!N885))</f>
        <v>287.55</v>
      </c>
      <c r="O885" s="7" t="n">
        <f aca="false">IF(ISBLANK(customer_churn_dataset!O885),0,customer_churn_dataset!O885)</f>
        <v>0</v>
      </c>
      <c r="P885" s="7" t="str">
        <f aca="false">IF(COUNTIF(customer_churn_dataset!$A$2:$A$1501,customer_churn_dataset!A885)&gt;1,"Duplicate","Unique")</f>
        <v>Unique</v>
      </c>
    </row>
    <row r="886" customFormat="false" ht="14.15" hidden="false" customHeight="true" outlineLevel="0" collapsed="false">
      <c r="A886" s="7" t="str">
        <f aca="false">TRIM(customer_churn_dataset!A886)</f>
        <v>CUST100757</v>
      </c>
      <c r="B886" s="7" t="str">
        <f aca="false">PROPER(TRIM(customer_churn_dataset!B886))</f>
        <v>Standard</v>
      </c>
      <c r="C886" s="7" t="str">
        <f aca="false">PROPER(TRIM(customer_churn_dataset!C886))</f>
        <v>Two Year</v>
      </c>
      <c r="D886" s="7" t="n">
        <f aca="false">IF(ISBLANK(customer_churn_dataset!D886),ROUND(MEDIAN(customer_churn_dataset!D$2:D$1501),2),IF(customer_churn_dataset!D886&lt;0,ABS(customer_churn_dataset!D886),customer_churn_dataset!D886))</f>
        <v>19.37</v>
      </c>
      <c r="E886" s="7" t="n">
        <f aca="false">IF(ISBLANK(customer_churn_dataset!E886),0,MAX(0,customer_churn_dataset!E886))</f>
        <v>31</v>
      </c>
      <c r="F886" s="8" t="n">
        <f aca="false">IF(ISBLANK(customer_churn_dataset!F886),"",customer_churn_dataset!F886)</f>
        <v>45003</v>
      </c>
      <c r="G886" s="7" t="str">
        <f aca="false">PROPER(TRIM(customer_churn_dataset!G886))</f>
        <v>Bank Transfer</v>
      </c>
      <c r="H886" s="7" t="n">
        <f aca="false">IF(ISBLANK(customer_churn_dataset!H886),0,customer_churn_dataset!H886)</f>
        <v>1</v>
      </c>
      <c r="I886" s="7" t="n">
        <f aca="false">IF(ISBLANK(customer_churn_dataset!I886),ROUND(MEDIAN(customer_churn_dataset!I$2:I$1501),1),MIN(100,MAX(0,customer_churn_dataset!I886)))</f>
        <v>91.1</v>
      </c>
      <c r="J886" s="7" t="n">
        <f aca="false">IF(ISBLANK(customer_churn_dataset!J886),0,MAX(0,customer_churn_dataset!J886))</f>
        <v>27</v>
      </c>
      <c r="K886" s="7" t="n">
        <f aca="false">IF(ISBLANK(customer_churn_dataset!K886),0,MIN(10,MAX(0,customer_churn_dataset!K886)))</f>
        <v>8</v>
      </c>
      <c r="L886" s="7" t="n">
        <f aca="false">IF(ISBLANK(customer_churn_dataset!L886),0,MAX(0,customer_churn_dataset!L886))</f>
        <v>5</v>
      </c>
      <c r="M886" s="7" t="n">
        <f aca="false">IF(ISBLANK(customer_churn_dataset!M886),0,customer_churn_dataset!M886)</f>
        <v>1</v>
      </c>
      <c r="N886" s="7" t="n">
        <f aca="false">IF(ISBLANK(customer_churn_dataset!N886),0,MAX(0,customer_churn_dataset!N886))</f>
        <v>600.47</v>
      </c>
      <c r="O886" s="7" t="n">
        <f aca="false">IF(ISBLANK(customer_churn_dataset!O886),0,customer_churn_dataset!O886)</f>
        <v>0</v>
      </c>
      <c r="P886" s="7" t="str">
        <f aca="false">IF(COUNTIF(customer_churn_dataset!$A$2:$A$1501,customer_churn_dataset!A886)&gt;1,"Duplicate","Unique")</f>
        <v>Unique</v>
      </c>
    </row>
    <row r="887" customFormat="false" ht="14.15" hidden="false" customHeight="true" outlineLevel="0" collapsed="false">
      <c r="A887" s="7" t="str">
        <f aca="false">TRIM(customer_churn_dataset!A887)</f>
        <v>CUST101212</v>
      </c>
      <c r="B887" s="7" t="str">
        <f aca="false">PROPER(TRIM(customer_churn_dataset!B887))</f>
        <v>Basic</v>
      </c>
      <c r="C887" s="7" t="str">
        <f aca="false">PROPER(TRIM(customer_churn_dataset!C887))</f>
        <v>Two Year</v>
      </c>
      <c r="D887" s="7" t="n">
        <f aca="false">IF(ISBLANK(customer_churn_dataset!D887),ROUND(MEDIAN(customer_churn_dataset!D$2:D$1501),2),IF(customer_churn_dataset!D887&lt;0,ABS(customer_churn_dataset!D887),customer_churn_dataset!D887))</f>
        <v>10.15</v>
      </c>
      <c r="E887" s="7" t="n">
        <f aca="false">IF(ISBLANK(customer_churn_dataset!E887),0,MAX(0,customer_churn_dataset!E887))</f>
        <v>17</v>
      </c>
      <c r="F887" s="8" t="n">
        <f aca="false">IF(ISBLANK(customer_churn_dataset!F887),"",customer_churn_dataset!F887)</f>
        <v>45003</v>
      </c>
      <c r="G887" s="7" t="str">
        <f aca="false">PROPER(TRIM(customer_churn_dataset!G887))</f>
        <v>Manual/Invoice</v>
      </c>
      <c r="H887" s="7" t="n">
        <f aca="false">IF(ISBLANK(customer_churn_dataset!H887),0,customer_churn_dataset!H887)</f>
        <v>1</v>
      </c>
      <c r="I887" s="7" t="n">
        <f aca="false">IF(ISBLANK(customer_churn_dataset!I887),ROUND(MEDIAN(customer_churn_dataset!I$2:I$1501),1),MIN(100,MAX(0,customer_churn_dataset!I887)))</f>
        <v>50.5</v>
      </c>
      <c r="J887" s="7" t="n">
        <f aca="false">IF(ISBLANK(customer_churn_dataset!J887),0,MAX(0,customer_churn_dataset!J887))</f>
        <v>14</v>
      </c>
      <c r="K887" s="7" t="n">
        <f aca="false">IF(ISBLANK(customer_churn_dataset!K887),0,MIN(10,MAX(0,customer_churn_dataset!K887)))</f>
        <v>3</v>
      </c>
      <c r="L887" s="7" t="n">
        <f aca="false">IF(ISBLANK(customer_churn_dataset!L887),0,MAX(0,customer_churn_dataset!L887))</f>
        <v>3</v>
      </c>
      <c r="M887" s="7" t="n">
        <f aca="false">IF(ISBLANK(customer_churn_dataset!M887),0,customer_churn_dataset!M887)</f>
        <v>0</v>
      </c>
      <c r="N887" s="7" t="n">
        <f aca="false">IF(ISBLANK(customer_churn_dataset!N887),0,MAX(0,customer_churn_dataset!N887))</f>
        <v>172.55</v>
      </c>
      <c r="O887" s="7" t="n">
        <f aca="false">IF(ISBLANK(customer_churn_dataset!O887),0,customer_churn_dataset!O887)</f>
        <v>0</v>
      </c>
      <c r="P887" s="7" t="str">
        <f aca="false">IF(COUNTIF(customer_churn_dataset!$A$2:$A$1501,customer_churn_dataset!A887)&gt;1,"Duplicate","Unique")</f>
        <v>Unique</v>
      </c>
    </row>
    <row r="888" customFormat="false" ht="14.15" hidden="false" customHeight="true" outlineLevel="0" collapsed="false">
      <c r="A888" s="7" t="str">
        <f aca="false">TRIM(customer_churn_dataset!A888)</f>
        <v>CUST100032</v>
      </c>
      <c r="B888" s="7" t="str">
        <f aca="false">PROPER(TRIM(customer_churn_dataset!B888))</f>
        <v>Basic</v>
      </c>
      <c r="C888" s="7" t="str">
        <f aca="false">PROPER(TRIM(customer_churn_dataset!C888))</f>
        <v>Month-To-Month</v>
      </c>
      <c r="D888" s="7" t="n">
        <f aca="false">IF(ISBLANK(customer_churn_dataset!D888),ROUND(MEDIAN(customer_churn_dataset!D$2:D$1501),2),IF(customer_churn_dataset!D888&lt;0,ABS(customer_churn_dataset!D888),customer_churn_dataset!D888))</f>
        <v>9.39</v>
      </c>
      <c r="E888" s="7" t="n">
        <f aca="false">IF(ISBLANK(customer_churn_dataset!E888),0,MAX(0,customer_churn_dataset!E888))</f>
        <v>2</v>
      </c>
      <c r="F888" s="8" t="n">
        <f aca="false">IF(ISBLANK(customer_churn_dataset!F888),"",customer_churn_dataset!F888)</f>
        <v>45004</v>
      </c>
      <c r="G888" s="7" t="str">
        <f aca="false">PROPER(TRIM(customer_churn_dataset!G888))</f>
        <v>Credit Card</v>
      </c>
      <c r="H888" s="7" t="n">
        <f aca="false">IF(ISBLANK(customer_churn_dataset!H888),0,customer_churn_dataset!H888)</f>
        <v>1</v>
      </c>
      <c r="I888" s="7" t="n">
        <f aca="false">IF(ISBLANK(customer_churn_dataset!I888),ROUND(MEDIAN(customer_churn_dataset!I$2:I$1501),1),MIN(100,MAX(0,customer_churn_dataset!I888)))</f>
        <v>51.3</v>
      </c>
      <c r="J888" s="7" t="n">
        <f aca="false">IF(ISBLANK(customer_churn_dataset!J888),0,MAX(0,customer_churn_dataset!J888))</f>
        <v>14</v>
      </c>
      <c r="K888" s="7" t="n">
        <f aca="false">IF(ISBLANK(customer_churn_dataset!K888),0,MIN(10,MAX(0,customer_churn_dataset!K888)))</f>
        <v>5</v>
      </c>
      <c r="L888" s="7" t="n">
        <f aca="false">IF(ISBLANK(customer_churn_dataset!L888),0,MAX(0,customer_churn_dataset!L888))</f>
        <v>1</v>
      </c>
      <c r="M888" s="7" t="n">
        <f aca="false">IF(ISBLANK(customer_churn_dataset!M888),0,customer_churn_dataset!M888)</f>
        <v>0</v>
      </c>
      <c r="N888" s="7" t="n">
        <f aca="false">IF(ISBLANK(customer_churn_dataset!N888),0,MAX(0,customer_churn_dataset!N888))</f>
        <v>18.78</v>
      </c>
      <c r="O888" s="7" t="n">
        <f aca="false">IF(ISBLANK(customer_churn_dataset!O888),0,customer_churn_dataset!O888)</f>
        <v>1</v>
      </c>
      <c r="P888" s="7" t="str">
        <f aca="false">IF(COUNTIF(customer_churn_dataset!$A$2:$A$1501,customer_churn_dataset!A888)&gt;1,"Duplicate","Unique")</f>
        <v>Unique</v>
      </c>
    </row>
    <row r="889" customFormat="false" ht="14.15" hidden="false" customHeight="true" outlineLevel="0" collapsed="false">
      <c r="A889" s="7" t="str">
        <f aca="false">TRIM(customer_churn_dataset!A889)</f>
        <v>CUST100947</v>
      </c>
      <c r="B889" s="7" t="str">
        <f aca="false">PROPER(TRIM(customer_churn_dataset!B889))</f>
        <v>Premium</v>
      </c>
      <c r="C889" s="7" t="str">
        <f aca="false">PROPER(TRIM(customer_churn_dataset!C889))</f>
        <v>Two Year</v>
      </c>
      <c r="D889" s="7" t="n">
        <f aca="false">IF(ISBLANK(customer_churn_dataset!D889),ROUND(MEDIAN(customer_churn_dataset!D$2:D$1501),2),IF(customer_churn_dataset!D889&lt;0,ABS(customer_churn_dataset!D889),customer_churn_dataset!D889))</f>
        <v>40.63</v>
      </c>
      <c r="E889" s="7" t="n">
        <f aca="false">IF(ISBLANK(customer_churn_dataset!E889),0,MAX(0,customer_churn_dataset!E889))</f>
        <v>7</v>
      </c>
      <c r="F889" s="8" t="n">
        <f aca="false">IF(ISBLANK(customer_churn_dataset!F889),"",customer_churn_dataset!F889)</f>
        <v>45005</v>
      </c>
      <c r="G889" s="7" t="str">
        <f aca="false">PROPER(TRIM(customer_churn_dataset!G889))</f>
        <v>Credit Card</v>
      </c>
      <c r="H889" s="7" t="n">
        <f aca="false">IF(ISBLANK(customer_churn_dataset!H889),0,customer_churn_dataset!H889)</f>
        <v>1</v>
      </c>
      <c r="I889" s="7" t="n">
        <f aca="false">IF(ISBLANK(customer_churn_dataset!I889),ROUND(MEDIAN(customer_churn_dataset!I$2:I$1501),1),MIN(100,MAX(0,customer_churn_dataset!I889)))</f>
        <v>2</v>
      </c>
      <c r="J889" s="7" t="n">
        <f aca="false">IF(ISBLANK(customer_churn_dataset!J889),0,MAX(0,customer_churn_dataset!J889))</f>
        <v>0</v>
      </c>
      <c r="K889" s="7" t="n">
        <f aca="false">IF(ISBLANK(customer_churn_dataset!K889),0,MIN(10,MAX(0,customer_churn_dataset!K889)))</f>
        <v>0</v>
      </c>
      <c r="L889" s="7" t="n">
        <f aca="false">IF(ISBLANK(customer_churn_dataset!L889),0,MAX(0,customer_churn_dataset!L889))</f>
        <v>5</v>
      </c>
      <c r="M889" s="7" t="n">
        <f aca="false">IF(ISBLANK(customer_churn_dataset!M889),0,customer_churn_dataset!M889)</f>
        <v>0</v>
      </c>
      <c r="N889" s="7" t="n">
        <f aca="false">IF(ISBLANK(customer_churn_dataset!N889),0,MAX(0,customer_churn_dataset!N889))</f>
        <v>284.41</v>
      </c>
      <c r="O889" s="7" t="n">
        <f aca="false">IF(ISBLANK(customer_churn_dataset!O889),0,customer_churn_dataset!O889)</f>
        <v>0</v>
      </c>
      <c r="P889" s="7" t="str">
        <f aca="false">IF(COUNTIF(customer_churn_dataset!$A$2:$A$1501,customer_churn_dataset!A889)&gt;1,"Duplicate","Unique")</f>
        <v>Unique</v>
      </c>
    </row>
    <row r="890" customFormat="false" ht="14.15" hidden="false" customHeight="true" outlineLevel="0" collapsed="false">
      <c r="A890" s="7" t="str">
        <f aca="false">TRIM(customer_churn_dataset!A890)</f>
        <v>CUST100634</v>
      </c>
      <c r="B890" s="7" t="str">
        <f aca="false">PROPER(TRIM(customer_churn_dataset!B890))</f>
        <v>Basic</v>
      </c>
      <c r="C890" s="7" t="str">
        <f aca="false">PROPER(TRIM(customer_churn_dataset!C890))</f>
        <v>One Year</v>
      </c>
      <c r="D890" s="7" t="n">
        <f aca="false">IF(ISBLANK(customer_churn_dataset!D890),ROUND(MEDIAN(customer_churn_dataset!D$2:D$1501),2),IF(customer_churn_dataset!D890&lt;0,ABS(customer_churn_dataset!D890),customer_churn_dataset!D890))</f>
        <v>10.2</v>
      </c>
      <c r="E890" s="7" t="n">
        <f aca="false">IF(ISBLANK(customer_churn_dataset!E890),0,MAX(0,customer_churn_dataset!E890))</f>
        <v>16</v>
      </c>
      <c r="F890" s="8" t="n">
        <f aca="false">IF(ISBLANK(customer_churn_dataset!F890),"",customer_churn_dataset!F890)</f>
        <v>45011</v>
      </c>
      <c r="G890" s="7" t="str">
        <f aca="false">PROPER(TRIM(customer_churn_dataset!G890))</f>
        <v>Credit Card</v>
      </c>
      <c r="H890" s="7" t="n">
        <f aca="false">IF(ISBLANK(customer_churn_dataset!H890),0,customer_churn_dataset!H890)</f>
        <v>1</v>
      </c>
      <c r="I890" s="7" t="n">
        <f aca="false">IF(ISBLANK(customer_churn_dataset!I890),ROUND(MEDIAN(customer_churn_dataset!I$2:I$1501),1),MIN(100,MAX(0,customer_churn_dataset!I890)))</f>
        <v>62.7</v>
      </c>
      <c r="J890" s="7" t="n">
        <f aca="false">IF(ISBLANK(customer_churn_dataset!J890),0,MAX(0,customer_churn_dataset!J890))</f>
        <v>23</v>
      </c>
      <c r="K890" s="7" t="n">
        <f aca="false">IF(ISBLANK(customer_churn_dataset!K890),0,MIN(10,MAX(0,customer_churn_dataset!K890)))</f>
        <v>10</v>
      </c>
      <c r="L890" s="7" t="n">
        <f aca="false">IF(ISBLANK(customer_churn_dataset!L890),0,MAX(0,customer_churn_dataset!L890))</f>
        <v>2</v>
      </c>
      <c r="M890" s="7" t="n">
        <f aca="false">IF(ISBLANK(customer_churn_dataset!M890),0,customer_churn_dataset!M890)</f>
        <v>1</v>
      </c>
      <c r="N890" s="7" t="n">
        <f aca="false">IF(ISBLANK(customer_churn_dataset!N890),0,MAX(0,customer_churn_dataset!N890))</f>
        <v>163.2</v>
      </c>
      <c r="O890" s="7" t="n">
        <f aca="false">IF(ISBLANK(customer_churn_dataset!O890),0,customer_churn_dataset!O890)</f>
        <v>0</v>
      </c>
      <c r="P890" s="7" t="str">
        <f aca="false">IF(COUNTIF(customer_churn_dataset!$A$2:$A$1501,customer_churn_dataset!A890)&gt;1,"Duplicate","Unique")</f>
        <v>Unique</v>
      </c>
    </row>
    <row r="891" customFormat="false" ht="14.15" hidden="false" customHeight="true" outlineLevel="0" collapsed="false">
      <c r="A891" s="7" t="str">
        <f aca="false">TRIM(customer_churn_dataset!A891)</f>
        <v>CUST100555</v>
      </c>
      <c r="B891" s="7" t="str">
        <f aca="false">PROPER(TRIM(customer_churn_dataset!B891))</f>
        <v>Basic</v>
      </c>
      <c r="C891" s="7" t="str">
        <f aca="false">PROPER(TRIM(customer_churn_dataset!C891))</f>
        <v>Month-To-Month</v>
      </c>
      <c r="D891" s="7" t="n">
        <f aca="false">IF(ISBLANK(customer_churn_dataset!D891),ROUND(MEDIAN(customer_churn_dataset!D$2:D$1501),2),IF(customer_churn_dataset!D891&lt;0,ABS(customer_churn_dataset!D891),customer_churn_dataset!D891))</f>
        <v>9.9</v>
      </c>
      <c r="E891" s="7" t="n">
        <f aca="false">IF(ISBLANK(customer_churn_dataset!E891),0,MAX(0,customer_churn_dataset!E891))</f>
        <v>8</v>
      </c>
      <c r="F891" s="8" t="n">
        <f aca="false">IF(ISBLANK(customer_churn_dataset!F891),"",customer_churn_dataset!F891)</f>
        <v>45012</v>
      </c>
      <c r="G891" s="7" t="str">
        <f aca="false">PROPER(TRIM(customer_churn_dataset!G891))</f>
        <v>Credit Card</v>
      </c>
      <c r="H891" s="7" t="n">
        <f aca="false">IF(ISBLANK(customer_churn_dataset!H891),0,customer_churn_dataset!H891)</f>
        <v>0</v>
      </c>
      <c r="I891" s="7" t="n">
        <f aca="false">IF(ISBLANK(customer_churn_dataset!I891),ROUND(MEDIAN(customer_churn_dataset!I$2:I$1501),1),MIN(100,MAX(0,customer_churn_dataset!I891)))</f>
        <v>7.3</v>
      </c>
      <c r="J891" s="7" t="n">
        <f aca="false">IF(ISBLANK(customer_churn_dataset!J891),0,MAX(0,customer_churn_dataset!J891))</f>
        <v>8</v>
      </c>
      <c r="K891" s="7" t="n">
        <f aca="false">IF(ISBLANK(customer_churn_dataset!K891),0,MIN(10,MAX(0,customer_churn_dataset!K891)))</f>
        <v>2</v>
      </c>
      <c r="L891" s="7" t="n">
        <f aca="false">IF(ISBLANK(customer_churn_dataset!L891),0,MAX(0,customer_churn_dataset!L891))</f>
        <v>3</v>
      </c>
      <c r="M891" s="7" t="n">
        <f aca="false">IF(ISBLANK(customer_churn_dataset!M891),0,customer_churn_dataset!M891)</f>
        <v>0</v>
      </c>
      <c r="N891" s="7" t="n">
        <f aca="false">IF(ISBLANK(customer_churn_dataset!N891),0,MAX(0,customer_churn_dataset!N891))</f>
        <v>79.2</v>
      </c>
      <c r="O891" s="7" t="n">
        <f aca="false">IF(ISBLANK(customer_churn_dataset!O891),0,customer_churn_dataset!O891)</f>
        <v>1</v>
      </c>
      <c r="P891" s="7" t="str">
        <f aca="false">IF(COUNTIF(customer_churn_dataset!$A$2:$A$1501,customer_churn_dataset!A891)&gt;1,"Duplicate","Unique")</f>
        <v>Unique</v>
      </c>
    </row>
    <row r="892" customFormat="false" ht="14.15" hidden="false" customHeight="true" outlineLevel="0" collapsed="false">
      <c r="A892" s="7" t="str">
        <f aca="false">TRIM(customer_churn_dataset!A892)</f>
        <v>CUST101008</v>
      </c>
      <c r="B892" s="7" t="str">
        <f aca="false">PROPER(TRIM(customer_churn_dataset!B892))</f>
        <v>Basic</v>
      </c>
      <c r="C892" s="7" t="str">
        <f aca="false">PROPER(TRIM(customer_churn_dataset!C892))</f>
        <v>Month-To-Month</v>
      </c>
      <c r="D892" s="7" t="n">
        <f aca="false">IF(ISBLANK(customer_churn_dataset!D892),ROUND(MEDIAN(customer_churn_dataset!D$2:D$1501),2),IF(customer_churn_dataset!D892&lt;0,ABS(customer_churn_dataset!D892),customer_churn_dataset!D892))</f>
        <v>9.76</v>
      </c>
      <c r="E892" s="7" t="n">
        <f aca="false">IF(ISBLANK(customer_churn_dataset!E892),0,MAX(0,customer_churn_dataset!E892))</f>
        <v>11</v>
      </c>
      <c r="F892" s="8" t="n">
        <f aca="false">IF(ISBLANK(customer_churn_dataset!F892),"",customer_churn_dataset!F892)</f>
        <v>45013</v>
      </c>
      <c r="G892" s="7" t="str">
        <f aca="false">PROPER(TRIM(customer_churn_dataset!G892))</f>
        <v>Credit Card</v>
      </c>
      <c r="H892" s="7" t="n">
        <f aca="false">IF(ISBLANK(customer_churn_dataset!H892),0,customer_churn_dataset!H892)</f>
        <v>1</v>
      </c>
      <c r="I892" s="7" t="n">
        <f aca="false">IF(ISBLANK(customer_churn_dataset!I892),ROUND(MEDIAN(customer_churn_dataset!I$2:I$1501),1),MIN(100,MAX(0,customer_churn_dataset!I892)))</f>
        <v>29.6</v>
      </c>
      <c r="J892" s="7" t="n">
        <f aca="false">IF(ISBLANK(customer_churn_dataset!J892),0,MAX(0,customer_churn_dataset!J892))</f>
        <v>15</v>
      </c>
      <c r="K892" s="7" t="n">
        <f aca="false">IF(ISBLANK(customer_churn_dataset!K892),0,MIN(10,MAX(0,customer_churn_dataset!K892)))</f>
        <v>3</v>
      </c>
      <c r="L892" s="7" t="n">
        <f aca="false">IF(ISBLANK(customer_churn_dataset!L892),0,MAX(0,customer_churn_dataset!L892))</f>
        <v>4</v>
      </c>
      <c r="M892" s="7" t="n">
        <f aca="false">IF(ISBLANK(customer_churn_dataset!M892),0,customer_churn_dataset!M892)</f>
        <v>0</v>
      </c>
      <c r="N892" s="7" t="n">
        <f aca="false">IF(ISBLANK(customer_churn_dataset!N892),0,MAX(0,customer_churn_dataset!N892))</f>
        <v>107.36</v>
      </c>
      <c r="O892" s="7" t="n">
        <f aca="false">IF(ISBLANK(customer_churn_dataset!O892),0,customer_churn_dataset!O892)</f>
        <v>0</v>
      </c>
      <c r="P892" s="7" t="str">
        <f aca="false">IF(COUNTIF(customer_churn_dataset!$A$2:$A$1501,customer_churn_dataset!A892)&gt;1,"Duplicate","Unique")</f>
        <v>Unique</v>
      </c>
    </row>
    <row r="893" customFormat="false" ht="14.15" hidden="false" customHeight="true" outlineLevel="0" collapsed="false">
      <c r="A893" s="7" t="str">
        <f aca="false">TRIM(customer_churn_dataset!A893)</f>
        <v>CUST101086</v>
      </c>
      <c r="B893" s="7" t="str">
        <f aca="false">PROPER(TRIM(customer_churn_dataset!B893))</f>
        <v>Standard</v>
      </c>
      <c r="C893" s="7" t="str">
        <f aca="false">PROPER(TRIM(customer_churn_dataset!C893))</f>
        <v>One Year</v>
      </c>
      <c r="D893" s="7" t="n">
        <f aca="false">IF(ISBLANK(customer_churn_dataset!D893),ROUND(MEDIAN(customer_churn_dataset!D$2:D$1501),2),IF(customer_churn_dataset!D893&lt;0,ABS(customer_churn_dataset!D893),customer_churn_dataset!D893))</f>
        <v>19.09</v>
      </c>
      <c r="E893" s="7" t="n">
        <f aca="false">IF(ISBLANK(customer_churn_dataset!E893),0,MAX(0,customer_churn_dataset!E893))</f>
        <v>34</v>
      </c>
      <c r="F893" s="8" t="n">
        <f aca="false">IF(ISBLANK(customer_churn_dataset!F893),"",customer_churn_dataset!F893)</f>
        <v>45015</v>
      </c>
      <c r="G893" s="7" t="str">
        <f aca="false">PROPER(TRIM(customer_churn_dataset!G893))</f>
        <v>Credit Card</v>
      </c>
      <c r="H893" s="7" t="n">
        <f aca="false">IF(ISBLANK(customer_churn_dataset!H893),0,customer_churn_dataset!H893)</f>
        <v>0</v>
      </c>
      <c r="I893" s="7" t="n">
        <f aca="false">IF(ISBLANK(customer_churn_dataset!I893),ROUND(MEDIAN(customer_churn_dataset!I$2:I$1501),1),MIN(100,MAX(0,customer_churn_dataset!I893)))</f>
        <v>76.5</v>
      </c>
      <c r="J893" s="7" t="n">
        <f aca="false">IF(ISBLANK(customer_churn_dataset!J893),0,MAX(0,customer_churn_dataset!J893))</f>
        <v>25</v>
      </c>
      <c r="K893" s="7" t="n">
        <f aca="false">IF(ISBLANK(customer_churn_dataset!K893),0,MIN(10,MAX(0,customer_churn_dataset!K893)))</f>
        <v>8</v>
      </c>
      <c r="L893" s="7" t="n">
        <f aca="false">IF(ISBLANK(customer_churn_dataset!L893),0,MAX(0,customer_churn_dataset!L893))</f>
        <v>0</v>
      </c>
      <c r="M893" s="7" t="n">
        <f aca="false">IF(ISBLANK(customer_churn_dataset!M893),0,customer_churn_dataset!M893)</f>
        <v>0</v>
      </c>
      <c r="N893" s="7" t="n">
        <f aca="false">IF(ISBLANK(customer_churn_dataset!N893),0,MAX(0,customer_churn_dataset!N893))</f>
        <v>649.06</v>
      </c>
      <c r="O893" s="7" t="n">
        <f aca="false">IF(ISBLANK(customer_churn_dataset!O893),0,customer_churn_dataset!O893)</f>
        <v>0</v>
      </c>
      <c r="P893" s="7" t="str">
        <f aca="false">IF(COUNTIF(customer_churn_dataset!$A$2:$A$1501,customer_churn_dataset!A893)&gt;1,"Duplicate","Unique")</f>
        <v>Unique</v>
      </c>
    </row>
    <row r="894" customFormat="false" ht="14.15" hidden="false" customHeight="true" outlineLevel="0" collapsed="false">
      <c r="A894" s="7" t="str">
        <f aca="false">TRIM(customer_churn_dataset!A894)</f>
        <v>CUST100334</v>
      </c>
      <c r="B894" s="7" t="str">
        <f aca="false">PROPER(TRIM(customer_churn_dataset!B894))</f>
        <v>Basic</v>
      </c>
      <c r="C894" s="7" t="str">
        <f aca="false">PROPER(TRIM(customer_churn_dataset!C894))</f>
        <v>One Year</v>
      </c>
      <c r="D894" s="7" t="n">
        <f aca="false">IF(ISBLANK(customer_churn_dataset!D894),ROUND(MEDIAN(customer_churn_dataset!D$2:D$1501),2),IF(customer_churn_dataset!D894&lt;0,ABS(customer_churn_dataset!D894),customer_churn_dataset!D894))</f>
        <v>11.53</v>
      </c>
      <c r="E894" s="7" t="n">
        <f aca="false">IF(ISBLANK(customer_churn_dataset!E894),0,MAX(0,customer_churn_dataset!E894))</f>
        <v>7</v>
      </c>
      <c r="F894" s="8" t="n">
        <f aca="false">IF(ISBLANK(customer_churn_dataset!F894),"",customer_churn_dataset!F894)</f>
        <v>45016</v>
      </c>
      <c r="G894" s="7" t="str">
        <f aca="false">PROPER(TRIM(customer_churn_dataset!G894))</f>
        <v>Paypal</v>
      </c>
      <c r="H894" s="7" t="n">
        <f aca="false">IF(ISBLANK(customer_churn_dataset!H894),0,customer_churn_dataset!H894)</f>
        <v>0</v>
      </c>
      <c r="I894" s="7" t="n">
        <f aca="false">IF(ISBLANK(customer_churn_dataset!I894),ROUND(MEDIAN(customer_churn_dataset!I$2:I$1501),1),MIN(100,MAX(0,customer_churn_dataset!I894)))</f>
        <v>41.3</v>
      </c>
      <c r="J894" s="7" t="n">
        <f aca="false">IF(ISBLANK(customer_churn_dataset!J894),0,MAX(0,customer_churn_dataset!J894))</f>
        <v>11</v>
      </c>
      <c r="K894" s="7" t="n">
        <f aca="false">IF(ISBLANK(customer_churn_dataset!K894),0,MIN(10,MAX(0,customer_churn_dataset!K894)))</f>
        <v>5</v>
      </c>
      <c r="L894" s="7" t="n">
        <f aca="false">IF(ISBLANK(customer_churn_dataset!L894),0,MAX(0,customer_churn_dataset!L894))</f>
        <v>1</v>
      </c>
      <c r="M894" s="7" t="n">
        <f aca="false">IF(ISBLANK(customer_churn_dataset!M894),0,customer_churn_dataset!M894)</f>
        <v>0</v>
      </c>
      <c r="N894" s="7" t="n">
        <f aca="false">IF(ISBLANK(customer_churn_dataset!N894),0,MAX(0,customer_churn_dataset!N894))</f>
        <v>80.71</v>
      </c>
      <c r="O894" s="7" t="n">
        <f aca="false">IF(ISBLANK(customer_churn_dataset!O894),0,customer_churn_dataset!O894)</f>
        <v>0</v>
      </c>
      <c r="P894" s="7" t="str">
        <f aca="false">IF(COUNTIF(customer_churn_dataset!$A$2:$A$1501,customer_churn_dataset!A894)&gt;1,"Duplicate","Unique")</f>
        <v>Unique</v>
      </c>
    </row>
    <row r="895" customFormat="false" ht="14.15" hidden="false" customHeight="true" outlineLevel="0" collapsed="false">
      <c r="A895" s="7" t="str">
        <f aca="false">TRIM(customer_churn_dataset!A895)</f>
        <v>CUST100350</v>
      </c>
      <c r="B895" s="7" t="str">
        <f aca="false">PROPER(TRIM(customer_churn_dataset!B895))</f>
        <v>Standard</v>
      </c>
      <c r="C895" s="7" t="str">
        <f aca="false">PROPER(TRIM(customer_churn_dataset!C895))</f>
        <v>Month-To-Month</v>
      </c>
      <c r="D895" s="7" t="n">
        <f aca="false">IF(ISBLANK(customer_churn_dataset!D895),ROUND(MEDIAN(customer_churn_dataset!D$2:D$1501),2),IF(customer_churn_dataset!D895&lt;0,ABS(customer_churn_dataset!D895),customer_churn_dataset!D895))</f>
        <v>18.85</v>
      </c>
      <c r="E895" s="7" t="n">
        <f aca="false">IF(ISBLANK(customer_churn_dataset!E895),0,MAX(0,customer_churn_dataset!E895))</f>
        <v>12</v>
      </c>
      <c r="F895" s="8" t="n">
        <f aca="false">IF(ISBLANK(customer_churn_dataset!F895),"",customer_churn_dataset!F895)</f>
        <v>45016</v>
      </c>
      <c r="G895" s="7" t="str">
        <f aca="false">PROPER(TRIM(customer_churn_dataset!G895))</f>
        <v>Credit Card</v>
      </c>
      <c r="H895" s="7" t="n">
        <f aca="false">IF(ISBLANK(customer_churn_dataset!H895),0,customer_churn_dataset!H895)</f>
        <v>1</v>
      </c>
      <c r="I895" s="7" t="n">
        <f aca="false">IF(ISBLANK(customer_churn_dataset!I895),ROUND(MEDIAN(customer_churn_dataset!I$2:I$1501),1),MIN(100,MAX(0,customer_churn_dataset!I895)))</f>
        <v>54.7</v>
      </c>
      <c r="J895" s="7" t="n">
        <f aca="false">IF(ISBLANK(customer_churn_dataset!J895),0,MAX(0,customer_churn_dataset!J895))</f>
        <v>12</v>
      </c>
      <c r="K895" s="7" t="n">
        <f aca="false">IF(ISBLANK(customer_churn_dataset!K895),0,MIN(10,MAX(0,customer_churn_dataset!K895)))</f>
        <v>6</v>
      </c>
      <c r="L895" s="7" t="n">
        <f aca="false">IF(ISBLANK(customer_churn_dataset!L895),0,MAX(0,customer_churn_dataset!L895))</f>
        <v>2</v>
      </c>
      <c r="M895" s="7" t="n">
        <f aca="false">IF(ISBLANK(customer_churn_dataset!M895),0,customer_churn_dataset!M895)</f>
        <v>1</v>
      </c>
      <c r="N895" s="7" t="n">
        <f aca="false">IF(ISBLANK(customer_churn_dataset!N895),0,MAX(0,customer_churn_dataset!N895))</f>
        <v>226.2</v>
      </c>
      <c r="O895" s="7" t="n">
        <f aca="false">IF(ISBLANK(customer_churn_dataset!O895),0,customer_churn_dataset!O895)</f>
        <v>0</v>
      </c>
      <c r="P895" s="7" t="str">
        <f aca="false">IF(COUNTIF(customer_churn_dataset!$A$2:$A$1501,customer_churn_dataset!A895)&gt;1,"Duplicate","Unique")</f>
        <v>Unique</v>
      </c>
    </row>
    <row r="896" customFormat="false" ht="14.15" hidden="false" customHeight="true" outlineLevel="0" collapsed="false">
      <c r="A896" s="7" t="str">
        <f aca="false">TRIM(customer_churn_dataset!A896)</f>
        <v>CUST100464</v>
      </c>
      <c r="B896" s="7" t="str">
        <f aca="false">PROPER(TRIM(customer_churn_dataset!B896))</f>
        <v>Premium</v>
      </c>
      <c r="C896" s="7" t="str">
        <f aca="false">PROPER(TRIM(customer_churn_dataset!C896))</f>
        <v>Month-To-Month</v>
      </c>
      <c r="D896" s="7" t="n">
        <f aca="false">IF(ISBLANK(customer_churn_dataset!D896),ROUND(MEDIAN(customer_churn_dataset!D$2:D$1501),2),IF(customer_churn_dataset!D896&lt;0,ABS(customer_churn_dataset!D896),customer_churn_dataset!D896))</f>
        <v>41.86</v>
      </c>
      <c r="E896" s="7" t="n">
        <f aca="false">IF(ISBLANK(customer_churn_dataset!E896),0,MAX(0,customer_churn_dataset!E896))</f>
        <v>6</v>
      </c>
      <c r="F896" s="8" t="n">
        <f aca="false">IF(ISBLANK(customer_churn_dataset!F896),"",customer_churn_dataset!F896)</f>
        <v>45016</v>
      </c>
      <c r="G896" s="7" t="str">
        <f aca="false">PROPER(TRIM(customer_churn_dataset!G896))</f>
        <v>Manual/Invoice</v>
      </c>
      <c r="H896" s="7" t="n">
        <f aca="false">IF(ISBLANK(customer_churn_dataset!H896),0,customer_churn_dataset!H896)</f>
        <v>0</v>
      </c>
      <c r="I896" s="7" t="n">
        <f aca="false">IF(ISBLANK(customer_churn_dataset!I896),ROUND(MEDIAN(customer_churn_dataset!I$2:I$1501),1),MIN(100,MAX(0,customer_churn_dataset!I896)))</f>
        <v>40.6</v>
      </c>
      <c r="J896" s="7" t="n">
        <f aca="false">IF(ISBLANK(customer_churn_dataset!J896),0,MAX(0,customer_churn_dataset!J896))</f>
        <v>5</v>
      </c>
      <c r="K896" s="7" t="n">
        <f aca="false">IF(ISBLANK(customer_churn_dataset!K896),0,MIN(10,MAX(0,customer_churn_dataset!K896)))</f>
        <v>3</v>
      </c>
      <c r="L896" s="7" t="n">
        <f aca="false">IF(ISBLANK(customer_churn_dataset!L896),0,MAX(0,customer_churn_dataset!L896))</f>
        <v>0</v>
      </c>
      <c r="M896" s="7" t="n">
        <f aca="false">IF(ISBLANK(customer_churn_dataset!M896),0,customer_churn_dataset!M896)</f>
        <v>0</v>
      </c>
      <c r="N896" s="7" t="n">
        <f aca="false">IF(ISBLANK(customer_churn_dataset!N896),0,MAX(0,customer_churn_dataset!N896))</f>
        <v>251.16</v>
      </c>
      <c r="O896" s="7" t="n">
        <f aca="false">IF(ISBLANK(customer_churn_dataset!O896),0,customer_churn_dataset!O896)</f>
        <v>1</v>
      </c>
      <c r="P896" s="7" t="str">
        <f aca="false">IF(COUNTIF(customer_churn_dataset!$A$2:$A$1501,customer_churn_dataset!A896)&gt;1,"Duplicate","Unique")</f>
        <v>Unique</v>
      </c>
    </row>
    <row r="897" customFormat="false" ht="14.15" hidden="false" customHeight="true" outlineLevel="0" collapsed="false">
      <c r="A897" s="7" t="str">
        <f aca="false">TRIM(customer_churn_dataset!A897)</f>
        <v>CUST100047</v>
      </c>
      <c r="B897" s="7" t="str">
        <f aca="false">PROPER(TRIM(customer_churn_dataset!B897))</f>
        <v>Standard</v>
      </c>
      <c r="C897" s="7" t="str">
        <f aca="false">PROPER(TRIM(customer_churn_dataset!C897))</f>
        <v>Month-To-Month</v>
      </c>
      <c r="D897" s="7" t="n">
        <f aca="false">IF(ISBLANK(customer_churn_dataset!D897),ROUND(MEDIAN(customer_churn_dataset!D$2:D$1501),2),IF(customer_churn_dataset!D897&lt;0,ABS(customer_churn_dataset!D897),customer_churn_dataset!D897))</f>
        <v>19.33</v>
      </c>
      <c r="E897" s="7" t="n">
        <f aca="false">IF(ISBLANK(customer_churn_dataset!E897),0,MAX(0,customer_churn_dataset!E897))</f>
        <v>4</v>
      </c>
      <c r="F897" s="8" t="n">
        <f aca="false">IF(ISBLANK(customer_churn_dataset!F897),"",customer_churn_dataset!F897)</f>
        <v>45016</v>
      </c>
      <c r="G897" s="7" t="str">
        <f aca="false">PROPER(TRIM(customer_churn_dataset!G897))</f>
        <v>Credit Card</v>
      </c>
      <c r="H897" s="7" t="n">
        <f aca="false">IF(ISBLANK(customer_churn_dataset!H897),0,customer_churn_dataset!H897)</f>
        <v>0</v>
      </c>
      <c r="I897" s="7" t="n">
        <f aca="false">IF(ISBLANK(customer_churn_dataset!I897),ROUND(MEDIAN(customer_churn_dataset!I$2:I$1501),1),MIN(100,MAX(0,customer_churn_dataset!I897)))</f>
        <v>67.8</v>
      </c>
      <c r="J897" s="7" t="n">
        <f aca="false">IF(ISBLANK(customer_churn_dataset!J897),0,MAX(0,customer_churn_dataset!J897))</f>
        <v>22</v>
      </c>
      <c r="K897" s="7" t="n">
        <f aca="false">IF(ISBLANK(customer_churn_dataset!K897),0,MIN(10,MAX(0,customer_churn_dataset!K897)))</f>
        <v>5</v>
      </c>
      <c r="L897" s="7" t="n">
        <f aca="false">IF(ISBLANK(customer_churn_dataset!L897),0,MAX(0,customer_churn_dataset!L897))</f>
        <v>2</v>
      </c>
      <c r="M897" s="7" t="n">
        <f aca="false">IF(ISBLANK(customer_churn_dataset!M897),0,customer_churn_dataset!M897)</f>
        <v>0</v>
      </c>
      <c r="N897" s="7" t="n">
        <f aca="false">IF(ISBLANK(customer_churn_dataset!N897),0,MAX(0,customer_churn_dataset!N897))</f>
        <v>77.32</v>
      </c>
      <c r="O897" s="7" t="n">
        <f aca="false">IF(ISBLANK(customer_churn_dataset!O897),0,customer_churn_dataset!O897)</f>
        <v>0</v>
      </c>
      <c r="P897" s="7" t="str">
        <f aca="false">IF(COUNTIF(customer_churn_dataset!$A$2:$A$1501,customer_churn_dataset!A897)&gt;1,"Duplicate","Unique")</f>
        <v>Unique</v>
      </c>
    </row>
    <row r="898" customFormat="false" ht="14.15" hidden="false" customHeight="true" outlineLevel="0" collapsed="false">
      <c r="A898" s="7" t="str">
        <f aca="false">TRIM(customer_churn_dataset!A898)</f>
        <v>CUST100888</v>
      </c>
      <c r="B898" s="7" t="str">
        <f aca="false">PROPER(TRIM(customer_churn_dataset!B898))</f>
        <v>Basic</v>
      </c>
      <c r="C898" s="7" t="str">
        <f aca="false">PROPER(TRIM(customer_churn_dataset!C898))</f>
        <v>Month-To-Month</v>
      </c>
      <c r="D898" s="7" t="n">
        <f aca="false">IF(ISBLANK(customer_churn_dataset!D898),ROUND(MEDIAN(customer_churn_dataset!D$2:D$1501),2),IF(customer_churn_dataset!D898&lt;0,ABS(customer_churn_dataset!D898),customer_churn_dataset!D898))</f>
        <v>9.66</v>
      </c>
      <c r="E898" s="7" t="n">
        <f aca="false">IF(ISBLANK(customer_churn_dataset!E898),0,MAX(0,customer_churn_dataset!E898))</f>
        <v>53</v>
      </c>
      <c r="F898" s="8" t="n">
        <f aca="false">IF(ISBLANK(customer_churn_dataset!F898),"",customer_churn_dataset!F898)</f>
        <v>45017</v>
      </c>
      <c r="G898" s="7" t="str">
        <f aca="false">PROPER(TRIM(customer_churn_dataset!G898))</f>
        <v>Credit Card</v>
      </c>
      <c r="H898" s="7" t="n">
        <f aca="false">IF(ISBLANK(customer_churn_dataset!H898),0,customer_churn_dataset!H898)</f>
        <v>0</v>
      </c>
      <c r="I898" s="7" t="n">
        <f aca="false">IF(ISBLANK(customer_churn_dataset!I898),ROUND(MEDIAN(customer_churn_dataset!I$2:I$1501),1),MIN(100,MAX(0,customer_churn_dataset!I898)))</f>
        <v>56.1</v>
      </c>
      <c r="J898" s="7" t="n">
        <f aca="false">IF(ISBLANK(customer_churn_dataset!J898),0,MAX(0,customer_churn_dataset!J898))</f>
        <v>14</v>
      </c>
      <c r="K898" s="7" t="n">
        <f aca="false">IF(ISBLANK(customer_churn_dataset!K898),0,MIN(10,MAX(0,customer_churn_dataset!K898)))</f>
        <v>7</v>
      </c>
      <c r="L898" s="7" t="n">
        <f aca="false">IF(ISBLANK(customer_churn_dataset!L898),0,MAX(0,customer_churn_dataset!L898))</f>
        <v>2</v>
      </c>
      <c r="M898" s="7" t="n">
        <f aca="false">IF(ISBLANK(customer_churn_dataset!M898),0,customer_churn_dataset!M898)</f>
        <v>1</v>
      </c>
      <c r="N898" s="7" t="n">
        <f aca="false">IF(ISBLANK(customer_churn_dataset!N898),0,MAX(0,customer_churn_dataset!N898))</f>
        <v>511.98</v>
      </c>
      <c r="O898" s="7" t="n">
        <f aca="false">IF(ISBLANK(customer_churn_dataset!O898),0,customer_churn_dataset!O898)</f>
        <v>0</v>
      </c>
      <c r="P898" s="7" t="str">
        <f aca="false">IF(COUNTIF(customer_churn_dataset!$A$2:$A$1501,customer_churn_dataset!A898)&gt;1,"Duplicate","Unique")</f>
        <v>Unique</v>
      </c>
    </row>
    <row r="899" customFormat="false" ht="14.15" hidden="false" customHeight="true" outlineLevel="0" collapsed="false">
      <c r="A899" s="7" t="str">
        <f aca="false">TRIM(customer_churn_dataset!A899)</f>
        <v>CUST101421</v>
      </c>
      <c r="B899" s="7" t="str">
        <f aca="false">PROPER(TRIM(customer_churn_dataset!B899))</f>
        <v>Standard</v>
      </c>
      <c r="C899" s="7" t="str">
        <f aca="false">PROPER(TRIM(customer_churn_dataset!C899))</f>
        <v>Two Year</v>
      </c>
      <c r="D899" s="7" t="n">
        <f aca="false">IF(ISBLANK(customer_churn_dataset!D899),ROUND(MEDIAN(customer_churn_dataset!D$2:D$1501),2),IF(customer_churn_dataset!D899&lt;0,ABS(customer_churn_dataset!D899),customer_churn_dataset!D899))</f>
        <v>20.38</v>
      </c>
      <c r="E899" s="7" t="n">
        <f aca="false">IF(ISBLANK(customer_churn_dataset!E899),0,MAX(0,customer_churn_dataset!E899))</f>
        <v>12</v>
      </c>
      <c r="F899" s="8" t="n">
        <f aca="false">IF(ISBLANK(customer_churn_dataset!F899),"",customer_churn_dataset!F899)</f>
        <v>45018</v>
      </c>
      <c r="G899" s="7" t="str">
        <f aca="false">PROPER(TRIM(customer_churn_dataset!G899))</f>
        <v>Manual/Invoice</v>
      </c>
      <c r="H899" s="7" t="n">
        <f aca="false">IF(ISBLANK(customer_churn_dataset!H899),0,customer_churn_dataset!H899)</f>
        <v>0</v>
      </c>
      <c r="I899" s="7" t="n">
        <f aca="false">IF(ISBLANK(customer_churn_dataset!I899),ROUND(MEDIAN(customer_churn_dataset!I$2:I$1501),1),MIN(100,MAX(0,customer_churn_dataset!I899)))</f>
        <v>44.9</v>
      </c>
      <c r="J899" s="7" t="n">
        <f aca="false">IF(ISBLANK(customer_churn_dataset!J899),0,MAX(0,customer_churn_dataset!J899))</f>
        <v>8</v>
      </c>
      <c r="K899" s="7" t="n">
        <f aca="false">IF(ISBLANK(customer_churn_dataset!K899),0,MIN(10,MAX(0,customer_churn_dataset!K899)))</f>
        <v>5</v>
      </c>
      <c r="L899" s="7" t="n">
        <f aca="false">IF(ISBLANK(customer_churn_dataset!L899),0,MAX(0,customer_churn_dataset!L899))</f>
        <v>1</v>
      </c>
      <c r="M899" s="7" t="n">
        <f aca="false">IF(ISBLANK(customer_churn_dataset!M899),0,customer_churn_dataset!M899)</f>
        <v>0</v>
      </c>
      <c r="N899" s="7" t="n">
        <f aca="false">IF(ISBLANK(customer_churn_dataset!N899),0,MAX(0,customer_churn_dataset!N899))</f>
        <v>244.56</v>
      </c>
      <c r="O899" s="7" t="n">
        <f aca="false">IF(ISBLANK(customer_churn_dataset!O899),0,customer_churn_dataset!O899)</f>
        <v>0</v>
      </c>
      <c r="P899" s="7" t="str">
        <f aca="false">IF(COUNTIF(customer_churn_dataset!$A$2:$A$1501,customer_churn_dataset!A899)&gt;1,"Duplicate","Unique")</f>
        <v>Unique</v>
      </c>
    </row>
    <row r="900" customFormat="false" ht="14.15" hidden="false" customHeight="true" outlineLevel="0" collapsed="false">
      <c r="A900" s="7" t="str">
        <f aca="false">TRIM(customer_churn_dataset!A900)</f>
        <v>CUST100337</v>
      </c>
      <c r="B900" s="7" t="str">
        <f aca="false">PROPER(TRIM(customer_churn_dataset!B900))</f>
        <v>Standard</v>
      </c>
      <c r="C900" s="7" t="str">
        <f aca="false">PROPER(TRIM(customer_churn_dataset!C900))</f>
        <v>One Year</v>
      </c>
      <c r="D900" s="7" t="n">
        <f aca="false">IF(ISBLANK(customer_churn_dataset!D900),ROUND(MEDIAN(customer_churn_dataset!D$2:D$1501),2),IF(customer_churn_dataset!D900&lt;0,ABS(customer_churn_dataset!D900),customer_churn_dataset!D900))</f>
        <v>21.2</v>
      </c>
      <c r="E900" s="7" t="n">
        <f aca="false">IF(ISBLANK(customer_churn_dataset!E900),0,MAX(0,customer_churn_dataset!E900))</f>
        <v>27</v>
      </c>
      <c r="F900" s="8" t="n">
        <f aca="false">IF(ISBLANK(customer_churn_dataset!F900),"",customer_churn_dataset!F900)</f>
        <v>45018</v>
      </c>
      <c r="G900" s="7" t="str">
        <f aca="false">PROPER(TRIM(customer_churn_dataset!G900))</f>
        <v>Credit Card</v>
      </c>
      <c r="H900" s="7" t="n">
        <f aca="false">IF(ISBLANK(customer_churn_dataset!H900),0,customer_churn_dataset!H900)</f>
        <v>1</v>
      </c>
      <c r="I900" s="7" t="n">
        <f aca="false">IF(ISBLANK(customer_churn_dataset!I900),ROUND(MEDIAN(customer_churn_dataset!I$2:I$1501),1),MIN(100,MAX(0,customer_churn_dataset!I900)))</f>
        <v>68.9</v>
      </c>
      <c r="J900" s="7" t="n">
        <f aca="false">IF(ISBLANK(customer_churn_dataset!J900),0,MAX(0,customer_churn_dataset!J900))</f>
        <v>15</v>
      </c>
      <c r="K900" s="7" t="n">
        <f aca="false">IF(ISBLANK(customer_churn_dataset!K900),0,MIN(10,MAX(0,customer_churn_dataset!K900)))</f>
        <v>8</v>
      </c>
      <c r="L900" s="7" t="n">
        <f aca="false">IF(ISBLANK(customer_churn_dataset!L900),0,MAX(0,customer_churn_dataset!L900))</f>
        <v>0</v>
      </c>
      <c r="M900" s="7" t="n">
        <f aca="false">IF(ISBLANK(customer_churn_dataset!M900),0,customer_churn_dataset!M900)</f>
        <v>0</v>
      </c>
      <c r="N900" s="7" t="n">
        <f aca="false">IF(ISBLANK(customer_churn_dataset!N900),0,MAX(0,customer_churn_dataset!N900))</f>
        <v>572.4</v>
      </c>
      <c r="O900" s="7" t="n">
        <f aca="false">IF(ISBLANK(customer_churn_dataset!O900),0,customer_churn_dataset!O900)</f>
        <v>0</v>
      </c>
      <c r="P900" s="7" t="str">
        <f aca="false">IF(COUNTIF(customer_churn_dataset!$A$2:$A$1501,customer_churn_dataset!A900)&gt;1,"Duplicate","Unique")</f>
        <v>Unique</v>
      </c>
    </row>
    <row r="901" customFormat="false" ht="14.15" hidden="false" customHeight="true" outlineLevel="0" collapsed="false">
      <c r="A901" s="7" t="str">
        <f aca="false">TRIM(customer_churn_dataset!A901)</f>
        <v>CUST101090</v>
      </c>
      <c r="B901" s="7" t="str">
        <f aca="false">PROPER(TRIM(customer_churn_dataset!B901))</f>
        <v>Premium</v>
      </c>
      <c r="C901" s="7" t="str">
        <f aca="false">PROPER(TRIM(customer_churn_dataset!C901))</f>
        <v>One Year</v>
      </c>
      <c r="D901" s="7" t="n">
        <f aca="false">IF(ISBLANK(customer_churn_dataset!D901),ROUND(MEDIAN(customer_churn_dataset!D$2:D$1501),2),IF(customer_churn_dataset!D901&lt;0,ABS(customer_churn_dataset!D901),customer_churn_dataset!D901))</f>
        <v>39.86</v>
      </c>
      <c r="E901" s="7" t="n">
        <f aca="false">IF(ISBLANK(customer_churn_dataset!E901),0,MAX(0,customer_churn_dataset!E901))</f>
        <v>8</v>
      </c>
      <c r="F901" s="8" t="n">
        <f aca="false">IF(ISBLANK(customer_churn_dataset!F901),"",customer_churn_dataset!F901)</f>
        <v>45020</v>
      </c>
      <c r="G901" s="7" t="str">
        <f aca="false">PROPER(TRIM(customer_churn_dataset!G901))</f>
        <v>Paypal</v>
      </c>
      <c r="H901" s="7" t="n">
        <f aca="false">IF(ISBLANK(customer_churn_dataset!H901),0,customer_churn_dataset!H901)</f>
        <v>1</v>
      </c>
      <c r="I901" s="7" t="n">
        <f aca="false">IF(ISBLANK(customer_churn_dataset!I901),ROUND(MEDIAN(customer_churn_dataset!I$2:I$1501),1),MIN(100,MAX(0,customer_churn_dataset!I901)))</f>
        <v>0</v>
      </c>
      <c r="J901" s="7" t="n">
        <f aca="false">IF(ISBLANK(customer_churn_dataset!J901),0,MAX(0,customer_churn_dataset!J901))</f>
        <v>0</v>
      </c>
      <c r="K901" s="7" t="n">
        <f aca="false">IF(ISBLANK(customer_churn_dataset!K901),0,MIN(10,MAX(0,customer_churn_dataset!K901)))</f>
        <v>0</v>
      </c>
      <c r="L901" s="7" t="n">
        <f aca="false">IF(ISBLANK(customer_churn_dataset!L901),0,MAX(0,customer_churn_dataset!L901))</f>
        <v>4</v>
      </c>
      <c r="M901" s="7" t="n">
        <f aca="false">IF(ISBLANK(customer_churn_dataset!M901),0,customer_churn_dataset!M901)</f>
        <v>1</v>
      </c>
      <c r="N901" s="7" t="n">
        <f aca="false">IF(ISBLANK(customer_churn_dataset!N901),0,MAX(0,customer_churn_dataset!N901))</f>
        <v>318.88</v>
      </c>
      <c r="O901" s="7" t="n">
        <f aca="false">IF(ISBLANK(customer_churn_dataset!O901),0,customer_churn_dataset!O901)</f>
        <v>1</v>
      </c>
      <c r="P901" s="7" t="str">
        <f aca="false">IF(COUNTIF(customer_churn_dataset!$A$2:$A$1501,customer_churn_dataset!A901)&gt;1,"Duplicate","Unique")</f>
        <v>Unique</v>
      </c>
    </row>
    <row r="902" customFormat="false" ht="14.15" hidden="false" customHeight="true" outlineLevel="0" collapsed="false">
      <c r="A902" s="7" t="str">
        <f aca="false">TRIM(customer_churn_dataset!A902)</f>
        <v>CUST100840</v>
      </c>
      <c r="B902" s="7" t="str">
        <f aca="false">PROPER(TRIM(customer_churn_dataset!B902))</f>
        <v>Basic</v>
      </c>
      <c r="C902" s="7" t="str">
        <f aca="false">PROPER(TRIM(customer_churn_dataset!C902))</f>
        <v>One Year</v>
      </c>
      <c r="D902" s="7" t="n">
        <f aca="false">IF(ISBLANK(customer_churn_dataset!D902),ROUND(MEDIAN(customer_churn_dataset!D$2:D$1501),2),IF(customer_churn_dataset!D902&lt;0,ABS(customer_churn_dataset!D902),customer_churn_dataset!D902))</f>
        <v>9.31</v>
      </c>
      <c r="E902" s="7" t="n">
        <f aca="false">IF(ISBLANK(customer_churn_dataset!E902),0,MAX(0,customer_churn_dataset!E902))</f>
        <v>49</v>
      </c>
      <c r="F902" s="8" t="n">
        <f aca="false">IF(ISBLANK(customer_churn_dataset!F902),"",customer_churn_dataset!F902)</f>
        <v>45020</v>
      </c>
      <c r="G902" s="7" t="str">
        <f aca="false">PROPER(TRIM(customer_churn_dataset!G902))</f>
        <v>Credit Card</v>
      </c>
      <c r="H902" s="7" t="n">
        <f aca="false">IF(ISBLANK(customer_churn_dataset!H902),0,customer_churn_dataset!H902)</f>
        <v>1</v>
      </c>
      <c r="I902" s="7" t="n">
        <f aca="false">IF(ISBLANK(customer_churn_dataset!I902),ROUND(MEDIAN(customer_churn_dataset!I$2:I$1501),1),MIN(100,MAX(0,customer_churn_dataset!I902)))</f>
        <v>70.3</v>
      </c>
      <c r="J902" s="7" t="n">
        <f aca="false">IF(ISBLANK(customer_churn_dataset!J902),0,MAX(0,customer_churn_dataset!J902))</f>
        <v>20</v>
      </c>
      <c r="K902" s="7" t="n">
        <f aca="false">IF(ISBLANK(customer_churn_dataset!K902),0,MIN(10,MAX(0,customer_churn_dataset!K902)))</f>
        <v>7</v>
      </c>
      <c r="L902" s="7" t="n">
        <f aca="false">IF(ISBLANK(customer_churn_dataset!L902),0,MAX(0,customer_churn_dataset!L902))</f>
        <v>1</v>
      </c>
      <c r="M902" s="7" t="n">
        <f aca="false">IF(ISBLANK(customer_churn_dataset!M902),0,customer_churn_dataset!M902)</f>
        <v>0</v>
      </c>
      <c r="N902" s="7" t="n">
        <f aca="false">IF(ISBLANK(customer_churn_dataset!N902),0,MAX(0,customer_churn_dataset!N902))</f>
        <v>456.19</v>
      </c>
      <c r="O902" s="7" t="n">
        <f aca="false">IF(ISBLANK(customer_churn_dataset!O902),0,customer_churn_dataset!O902)</f>
        <v>0</v>
      </c>
      <c r="P902" s="7" t="str">
        <f aca="false">IF(COUNTIF(customer_churn_dataset!$A$2:$A$1501,customer_churn_dataset!A902)&gt;1,"Duplicate","Unique")</f>
        <v>Unique</v>
      </c>
    </row>
    <row r="903" customFormat="false" ht="14.15" hidden="false" customHeight="true" outlineLevel="0" collapsed="false">
      <c r="A903" s="7" t="str">
        <f aca="false">TRIM(customer_churn_dataset!A903)</f>
        <v>CUST100000</v>
      </c>
      <c r="B903" s="7" t="str">
        <f aca="false">PROPER(TRIM(customer_churn_dataset!B903))</f>
        <v>Basic</v>
      </c>
      <c r="C903" s="7" t="str">
        <f aca="false">PROPER(TRIM(customer_churn_dataset!C903))</f>
        <v>Month-To-Month</v>
      </c>
      <c r="D903" s="7" t="n">
        <f aca="false">IF(ISBLANK(customer_churn_dataset!D903),ROUND(MEDIAN(customer_churn_dataset!D$2:D$1501),2),IF(customer_churn_dataset!D903&lt;0,ABS(customer_churn_dataset!D903),customer_churn_dataset!D903))</f>
        <v>7.49</v>
      </c>
      <c r="E903" s="7" t="n">
        <f aca="false">IF(ISBLANK(customer_churn_dataset!E903),0,MAX(0,customer_churn_dataset!E903))</f>
        <v>9</v>
      </c>
      <c r="F903" s="8" t="n">
        <f aca="false">IF(ISBLANK(customer_churn_dataset!F903),"",customer_churn_dataset!F903)</f>
        <v>45020</v>
      </c>
      <c r="G903" s="7" t="str">
        <f aca="false">PROPER(TRIM(customer_churn_dataset!G903))</f>
        <v>Credit Card</v>
      </c>
      <c r="H903" s="7" t="n">
        <f aca="false">IF(ISBLANK(customer_churn_dataset!H903),0,customer_churn_dataset!H903)</f>
        <v>1</v>
      </c>
      <c r="I903" s="7" t="n">
        <f aca="false">IF(ISBLANK(customer_churn_dataset!I903),ROUND(MEDIAN(customer_churn_dataset!I$2:I$1501),1),MIN(100,MAX(0,customer_churn_dataset!I903)))</f>
        <v>44</v>
      </c>
      <c r="J903" s="7" t="n">
        <f aca="false">IF(ISBLANK(customer_churn_dataset!J903),0,MAX(0,customer_churn_dataset!J903))</f>
        <v>17</v>
      </c>
      <c r="K903" s="7" t="n">
        <f aca="false">IF(ISBLANK(customer_churn_dataset!K903),0,MIN(10,MAX(0,customer_churn_dataset!K903)))</f>
        <v>7</v>
      </c>
      <c r="L903" s="7" t="n">
        <f aca="false">IF(ISBLANK(customer_churn_dataset!L903),0,MAX(0,customer_churn_dataset!L903))</f>
        <v>1</v>
      </c>
      <c r="M903" s="7" t="n">
        <f aca="false">IF(ISBLANK(customer_churn_dataset!M903),0,customer_churn_dataset!M903)</f>
        <v>0</v>
      </c>
      <c r="N903" s="7" t="n">
        <f aca="false">IF(ISBLANK(customer_churn_dataset!N903),0,MAX(0,customer_churn_dataset!N903))</f>
        <v>67.41</v>
      </c>
      <c r="O903" s="7" t="n">
        <f aca="false">IF(ISBLANK(customer_churn_dataset!O903),0,customer_churn_dataset!O903)</f>
        <v>0</v>
      </c>
      <c r="P903" s="7" t="str">
        <f aca="false">IF(COUNTIF(customer_churn_dataset!$A$2:$A$1501,customer_churn_dataset!A903)&gt;1,"Duplicate","Unique")</f>
        <v>Unique</v>
      </c>
    </row>
    <row r="904" customFormat="false" ht="14.15" hidden="false" customHeight="true" outlineLevel="0" collapsed="false">
      <c r="A904" s="7" t="str">
        <f aca="false">TRIM(customer_churn_dataset!A904)</f>
        <v>CUST101248</v>
      </c>
      <c r="B904" s="7" t="str">
        <f aca="false">PROPER(TRIM(customer_churn_dataset!B904))</f>
        <v>Premium</v>
      </c>
      <c r="C904" s="7" t="str">
        <f aca="false">PROPER(TRIM(customer_churn_dataset!C904))</f>
        <v>Month-To-Month</v>
      </c>
      <c r="D904" s="7" t="n">
        <f aca="false">IF(ISBLANK(customer_churn_dataset!D904),ROUND(MEDIAN(customer_churn_dataset!D$2:D$1501),2),IF(customer_churn_dataset!D904&lt;0,ABS(customer_churn_dataset!D904),customer_churn_dataset!D904))</f>
        <v>40.8</v>
      </c>
      <c r="E904" s="7" t="n">
        <f aca="false">IF(ISBLANK(customer_churn_dataset!E904),0,MAX(0,customer_churn_dataset!E904))</f>
        <v>6</v>
      </c>
      <c r="F904" s="8" t="n">
        <f aca="false">IF(ISBLANK(customer_churn_dataset!F904),"",customer_churn_dataset!F904)</f>
        <v>45022</v>
      </c>
      <c r="G904" s="7" t="str">
        <f aca="false">PROPER(TRIM(customer_churn_dataset!G904))</f>
        <v>Credit Card</v>
      </c>
      <c r="H904" s="7" t="n">
        <f aca="false">IF(ISBLANK(customer_churn_dataset!H904),0,customer_churn_dataset!H904)</f>
        <v>0</v>
      </c>
      <c r="I904" s="7" t="n">
        <f aca="false">IF(ISBLANK(customer_churn_dataset!I904),ROUND(MEDIAN(customer_churn_dataset!I$2:I$1501),1),MIN(100,MAX(0,customer_churn_dataset!I904)))</f>
        <v>79.7</v>
      </c>
      <c r="J904" s="7" t="n">
        <f aca="false">IF(ISBLANK(customer_churn_dataset!J904),0,MAX(0,customer_churn_dataset!J904))</f>
        <v>25</v>
      </c>
      <c r="K904" s="7" t="n">
        <f aca="false">IF(ISBLANK(customer_churn_dataset!K904),0,MIN(10,MAX(0,customer_churn_dataset!K904)))</f>
        <v>7</v>
      </c>
      <c r="L904" s="7" t="n">
        <f aca="false">IF(ISBLANK(customer_churn_dataset!L904),0,MAX(0,customer_churn_dataset!L904))</f>
        <v>1</v>
      </c>
      <c r="M904" s="7" t="n">
        <f aca="false">IF(ISBLANK(customer_churn_dataset!M904),0,customer_churn_dataset!M904)</f>
        <v>0</v>
      </c>
      <c r="N904" s="7" t="n">
        <f aca="false">IF(ISBLANK(customer_churn_dataset!N904),0,MAX(0,customer_churn_dataset!N904))</f>
        <v>244.8</v>
      </c>
      <c r="O904" s="7" t="n">
        <f aca="false">IF(ISBLANK(customer_churn_dataset!O904),0,customer_churn_dataset!O904)</f>
        <v>0</v>
      </c>
      <c r="P904" s="7" t="str">
        <f aca="false">IF(COUNTIF(customer_churn_dataset!$A$2:$A$1501,customer_churn_dataset!A904)&gt;1,"Duplicate","Unique")</f>
        <v>Unique</v>
      </c>
    </row>
    <row r="905" customFormat="false" ht="14.15" hidden="false" customHeight="true" outlineLevel="0" collapsed="false">
      <c r="A905" s="7" t="str">
        <f aca="false">TRIM(customer_churn_dataset!A905)</f>
        <v>CUST100373</v>
      </c>
      <c r="B905" s="7" t="str">
        <f aca="false">PROPER(TRIM(customer_churn_dataset!B905))</f>
        <v>Standard</v>
      </c>
      <c r="C905" s="7" t="str">
        <f aca="false">PROPER(TRIM(customer_churn_dataset!C905))</f>
        <v>One Year</v>
      </c>
      <c r="D905" s="7" t="n">
        <f aca="false">IF(ISBLANK(customer_churn_dataset!D905),ROUND(MEDIAN(customer_churn_dataset!D$2:D$1501),2),IF(customer_churn_dataset!D905&lt;0,ABS(customer_churn_dataset!D905),customer_churn_dataset!D905))</f>
        <v>19.84</v>
      </c>
      <c r="E905" s="7" t="n">
        <f aca="false">IF(ISBLANK(customer_churn_dataset!E905),0,MAX(0,customer_churn_dataset!E905))</f>
        <v>10</v>
      </c>
      <c r="F905" s="8" t="n">
        <f aca="false">IF(ISBLANK(customer_churn_dataset!F905),"",customer_churn_dataset!F905)</f>
        <v>45022</v>
      </c>
      <c r="G905" s="7" t="str">
        <f aca="false">PROPER(TRIM(customer_churn_dataset!G905))</f>
        <v>Manual/Invoice</v>
      </c>
      <c r="H905" s="7" t="n">
        <f aca="false">IF(ISBLANK(customer_churn_dataset!H905),0,customer_churn_dataset!H905)</f>
        <v>1</v>
      </c>
      <c r="I905" s="7" t="n">
        <f aca="false">IF(ISBLANK(customer_churn_dataset!I905),ROUND(MEDIAN(customer_churn_dataset!I$2:I$1501),1),MIN(100,MAX(0,customer_churn_dataset!I905)))</f>
        <v>45.6</v>
      </c>
      <c r="J905" s="7" t="n">
        <f aca="false">IF(ISBLANK(customer_churn_dataset!J905),0,MAX(0,customer_churn_dataset!J905))</f>
        <v>11</v>
      </c>
      <c r="K905" s="7" t="n">
        <f aca="false">IF(ISBLANK(customer_churn_dataset!K905),0,MIN(10,MAX(0,customer_churn_dataset!K905)))</f>
        <v>0</v>
      </c>
      <c r="L905" s="7" t="n">
        <f aca="false">IF(ISBLANK(customer_churn_dataset!L905),0,MAX(0,customer_churn_dataset!L905))</f>
        <v>0</v>
      </c>
      <c r="M905" s="7" t="n">
        <f aca="false">IF(ISBLANK(customer_churn_dataset!M905),0,customer_churn_dataset!M905)</f>
        <v>0</v>
      </c>
      <c r="N905" s="7" t="n">
        <f aca="false">IF(ISBLANK(customer_churn_dataset!N905),0,MAX(0,customer_churn_dataset!N905))</f>
        <v>198.4</v>
      </c>
      <c r="O905" s="7" t="n">
        <f aca="false">IF(ISBLANK(customer_churn_dataset!O905),0,customer_churn_dataset!O905)</f>
        <v>0</v>
      </c>
      <c r="P905" s="7" t="str">
        <f aca="false">IF(COUNTIF(customer_churn_dataset!$A$2:$A$1501,customer_churn_dataset!A905)&gt;1,"Duplicate","Unique")</f>
        <v>Unique</v>
      </c>
    </row>
    <row r="906" customFormat="false" ht="14.15" hidden="false" customHeight="true" outlineLevel="0" collapsed="false">
      <c r="A906" s="7" t="str">
        <f aca="false">TRIM(customer_churn_dataset!A906)</f>
        <v>CUST100320</v>
      </c>
      <c r="B906" s="7" t="str">
        <f aca="false">PROPER(TRIM(customer_churn_dataset!B906))</f>
        <v>Standard</v>
      </c>
      <c r="C906" s="7" t="str">
        <f aca="false">PROPER(TRIM(customer_churn_dataset!C906))</f>
        <v>Two Year</v>
      </c>
      <c r="D906" s="7" t="n">
        <f aca="false">IF(ISBLANK(customer_churn_dataset!D906),ROUND(MEDIAN(customer_churn_dataset!D$2:D$1501),2),IF(customer_churn_dataset!D906&lt;0,ABS(customer_churn_dataset!D906),customer_churn_dataset!D906))</f>
        <v>20.71</v>
      </c>
      <c r="E906" s="7" t="n">
        <f aca="false">IF(ISBLANK(customer_churn_dataset!E906),0,MAX(0,customer_churn_dataset!E906))</f>
        <v>24</v>
      </c>
      <c r="F906" s="8" t="n">
        <f aca="false">IF(ISBLANK(customer_churn_dataset!F906),"",customer_churn_dataset!F906)</f>
        <v>45024</v>
      </c>
      <c r="G906" s="7" t="str">
        <f aca="false">PROPER(TRIM(customer_churn_dataset!G906))</f>
        <v>Credit Card</v>
      </c>
      <c r="H906" s="7" t="n">
        <f aca="false">IF(ISBLANK(customer_churn_dataset!H906),0,customer_churn_dataset!H906)</f>
        <v>0</v>
      </c>
      <c r="I906" s="7" t="n">
        <f aca="false">IF(ISBLANK(customer_churn_dataset!I906),ROUND(MEDIAN(customer_churn_dataset!I$2:I$1501),1),MIN(100,MAX(0,customer_churn_dataset!I906)))</f>
        <v>48</v>
      </c>
      <c r="J906" s="7" t="n">
        <f aca="false">IF(ISBLANK(customer_churn_dataset!J906),0,MAX(0,customer_churn_dataset!J906))</f>
        <v>5</v>
      </c>
      <c r="K906" s="7" t="n">
        <f aca="false">IF(ISBLANK(customer_churn_dataset!K906),0,MIN(10,MAX(0,customer_churn_dataset!K906)))</f>
        <v>6</v>
      </c>
      <c r="L906" s="7" t="n">
        <f aca="false">IF(ISBLANK(customer_churn_dataset!L906),0,MAX(0,customer_churn_dataset!L906))</f>
        <v>4</v>
      </c>
      <c r="M906" s="7" t="n">
        <f aca="false">IF(ISBLANK(customer_churn_dataset!M906),0,customer_churn_dataset!M906)</f>
        <v>1</v>
      </c>
      <c r="N906" s="7" t="n">
        <f aca="false">IF(ISBLANK(customer_churn_dataset!N906),0,MAX(0,customer_churn_dataset!N906))</f>
        <v>497.04</v>
      </c>
      <c r="O906" s="7" t="n">
        <f aca="false">IF(ISBLANK(customer_churn_dataset!O906),0,customer_churn_dataset!O906)</f>
        <v>0</v>
      </c>
      <c r="P906" s="7" t="str">
        <f aca="false">IF(COUNTIF(customer_churn_dataset!$A$2:$A$1501,customer_churn_dataset!A906)&gt;1,"Duplicate","Unique")</f>
        <v>Unique</v>
      </c>
    </row>
    <row r="907" customFormat="false" ht="14.15" hidden="false" customHeight="true" outlineLevel="0" collapsed="false">
      <c r="A907" s="7" t="str">
        <f aca="false">TRIM(customer_churn_dataset!A907)</f>
        <v>CUST100978</v>
      </c>
      <c r="B907" s="7" t="str">
        <f aca="false">PROPER(TRIM(customer_churn_dataset!B907))</f>
        <v>Standard</v>
      </c>
      <c r="C907" s="7" t="str">
        <f aca="false">PROPER(TRIM(customer_churn_dataset!C907))</f>
        <v>One Year</v>
      </c>
      <c r="D907" s="7" t="n">
        <f aca="false">IF(ISBLANK(customer_churn_dataset!D907),ROUND(MEDIAN(customer_churn_dataset!D$2:D$1501),2),IF(customer_churn_dataset!D907&lt;0,ABS(customer_churn_dataset!D907),customer_churn_dataset!D907))</f>
        <v>18.75</v>
      </c>
      <c r="E907" s="7" t="n">
        <f aca="false">IF(ISBLANK(customer_churn_dataset!E907),0,MAX(0,customer_churn_dataset!E907))</f>
        <v>45</v>
      </c>
      <c r="F907" s="8" t="n">
        <f aca="false">IF(ISBLANK(customer_churn_dataset!F907),"",customer_churn_dataset!F907)</f>
        <v>45024</v>
      </c>
      <c r="G907" s="7" t="str">
        <f aca="false">PROPER(TRIM(customer_churn_dataset!G907))</f>
        <v>Paypal</v>
      </c>
      <c r="H907" s="7" t="n">
        <f aca="false">IF(ISBLANK(customer_churn_dataset!H907),0,customer_churn_dataset!H907)</f>
        <v>0</v>
      </c>
      <c r="I907" s="7" t="n">
        <f aca="false">IF(ISBLANK(customer_churn_dataset!I907),ROUND(MEDIAN(customer_churn_dataset!I$2:I$1501),1),MIN(100,MAX(0,customer_churn_dataset!I907)))</f>
        <v>46.7</v>
      </c>
      <c r="J907" s="7" t="n">
        <f aca="false">IF(ISBLANK(customer_churn_dataset!J907),0,MAX(0,customer_churn_dataset!J907))</f>
        <v>16</v>
      </c>
      <c r="K907" s="7" t="n">
        <f aca="false">IF(ISBLANK(customer_churn_dataset!K907),0,MIN(10,MAX(0,customer_churn_dataset!K907)))</f>
        <v>7</v>
      </c>
      <c r="L907" s="7" t="n">
        <f aca="false">IF(ISBLANK(customer_churn_dataset!L907),0,MAX(0,customer_churn_dataset!L907))</f>
        <v>1</v>
      </c>
      <c r="M907" s="7" t="n">
        <f aca="false">IF(ISBLANK(customer_churn_dataset!M907),0,customer_churn_dataset!M907)</f>
        <v>1</v>
      </c>
      <c r="N907" s="7" t="n">
        <f aca="false">IF(ISBLANK(customer_churn_dataset!N907),0,MAX(0,customer_churn_dataset!N907))</f>
        <v>843.75</v>
      </c>
      <c r="O907" s="7" t="n">
        <f aca="false">IF(ISBLANK(customer_churn_dataset!O907),0,customer_churn_dataset!O907)</f>
        <v>1</v>
      </c>
      <c r="P907" s="7" t="str">
        <f aca="false">IF(COUNTIF(customer_churn_dataset!$A$2:$A$1501,customer_churn_dataset!A907)&gt;1,"Duplicate","Unique")</f>
        <v>Unique</v>
      </c>
    </row>
    <row r="908" customFormat="false" ht="14.15" hidden="false" customHeight="true" outlineLevel="0" collapsed="false">
      <c r="A908" s="7" t="str">
        <f aca="false">TRIM(customer_churn_dataset!A908)</f>
        <v>CUST100687</v>
      </c>
      <c r="B908" s="7" t="str">
        <f aca="false">PROPER(TRIM(customer_churn_dataset!B908))</f>
        <v>Basic</v>
      </c>
      <c r="C908" s="7" t="str">
        <f aca="false">PROPER(TRIM(customer_churn_dataset!C908))</f>
        <v>One Year</v>
      </c>
      <c r="D908" s="7" t="n">
        <f aca="false">IF(ISBLANK(customer_churn_dataset!D908),ROUND(MEDIAN(customer_churn_dataset!D$2:D$1501),2),IF(customer_churn_dataset!D908&lt;0,ABS(customer_churn_dataset!D908),customer_churn_dataset!D908))</f>
        <v>9.12</v>
      </c>
      <c r="E908" s="7" t="n">
        <f aca="false">IF(ISBLANK(customer_churn_dataset!E908),0,MAX(0,customer_churn_dataset!E908))</f>
        <v>20</v>
      </c>
      <c r="F908" s="8" t="n">
        <f aca="false">IF(ISBLANK(customer_churn_dataset!F908),"",customer_churn_dataset!F908)</f>
        <v>45025</v>
      </c>
      <c r="G908" s="7" t="str">
        <f aca="false">PROPER(TRIM(customer_churn_dataset!G908))</f>
        <v>Paypal</v>
      </c>
      <c r="H908" s="7" t="n">
        <f aca="false">IF(ISBLANK(customer_churn_dataset!H908),0,customer_churn_dataset!H908)</f>
        <v>0</v>
      </c>
      <c r="I908" s="7" t="n">
        <f aca="false">IF(ISBLANK(customer_churn_dataset!I908),ROUND(MEDIAN(customer_churn_dataset!I$2:I$1501),1),MIN(100,MAX(0,customer_churn_dataset!I908)))</f>
        <v>91.1</v>
      </c>
      <c r="J908" s="7" t="n">
        <f aca="false">IF(ISBLANK(customer_churn_dataset!J908),0,MAX(0,customer_churn_dataset!J908))</f>
        <v>29</v>
      </c>
      <c r="K908" s="7" t="n">
        <f aca="false">IF(ISBLANK(customer_churn_dataset!K908),0,MIN(10,MAX(0,customer_churn_dataset!K908)))</f>
        <v>9</v>
      </c>
      <c r="L908" s="7" t="n">
        <f aca="false">IF(ISBLANK(customer_churn_dataset!L908),0,MAX(0,customer_churn_dataset!L908))</f>
        <v>2</v>
      </c>
      <c r="M908" s="7" t="n">
        <f aca="false">IF(ISBLANK(customer_churn_dataset!M908),0,customer_churn_dataset!M908)</f>
        <v>1</v>
      </c>
      <c r="N908" s="7" t="n">
        <f aca="false">IF(ISBLANK(customer_churn_dataset!N908),0,MAX(0,customer_churn_dataset!N908))</f>
        <v>182.4</v>
      </c>
      <c r="O908" s="7" t="n">
        <f aca="false">IF(ISBLANK(customer_churn_dataset!O908),0,customer_churn_dataset!O908)</f>
        <v>1</v>
      </c>
      <c r="P908" s="7" t="str">
        <f aca="false">IF(COUNTIF(customer_churn_dataset!$A$2:$A$1501,customer_churn_dataset!A908)&gt;1,"Duplicate","Unique")</f>
        <v>Unique</v>
      </c>
    </row>
    <row r="909" customFormat="false" ht="14.15" hidden="false" customHeight="true" outlineLevel="0" collapsed="false">
      <c r="A909" s="7" t="str">
        <f aca="false">TRIM(customer_churn_dataset!A909)</f>
        <v>CUST101456</v>
      </c>
      <c r="B909" s="7" t="str">
        <f aca="false">PROPER(TRIM(customer_churn_dataset!B909))</f>
        <v>Standard</v>
      </c>
      <c r="C909" s="7" t="str">
        <f aca="false">PROPER(TRIM(customer_churn_dataset!C909))</f>
        <v>Month-To-Month</v>
      </c>
      <c r="D909" s="7" t="n">
        <f aca="false">IF(ISBLANK(customer_churn_dataset!D909),ROUND(MEDIAN(customer_churn_dataset!D$2:D$1501),2),IF(customer_churn_dataset!D909&lt;0,ABS(customer_churn_dataset!D909),customer_churn_dataset!D909))</f>
        <v>19.26</v>
      </c>
      <c r="E909" s="7" t="n">
        <f aca="false">IF(ISBLANK(customer_churn_dataset!E909),0,MAX(0,customer_churn_dataset!E909))</f>
        <v>17</v>
      </c>
      <c r="F909" s="8" t="n">
        <f aca="false">IF(ISBLANK(customer_churn_dataset!F909),"",customer_churn_dataset!F909)</f>
        <v>45028</v>
      </c>
      <c r="G909" s="7" t="str">
        <f aca="false">PROPER(TRIM(customer_churn_dataset!G909))</f>
        <v>Credit Card</v>
      </c>
      <c r="H909" s="7" t="n">
        <f aca="false">IF(ISBLANK(customer_churn_dataset!H909),0,customer_churn_dataset!H909)</f>
        <v>0</v>
      </c>
      <c r="I909" s="7" t="n">
        <f aca="false">IF(ISBLANK(customer_churn_dataset!I909),ROUND(MEDIAN(customer_churn_dataset!I$2:I$1501),1),MIN(100,MAX(0,customer_churn_dataset!I909)))</f>
        <v>85.4</v>
      </c>
      <c r="J909" s="7" t="n">
        <f aca="false">IF(ISBLANK(customer_churn_dataset!J909),0,MAX(0,customer_churn_dataset!J909))</f>
        <v>27</v>
      </c>
      <c r="K909" s="7" t="n">
        <f aca="false">IF(ISBLANK(customer_churn_dataset!K909),0,MIN(10,MAX(0,customer_churn_dataset!K909)))</f>
        <v>10</v>
      </c>
      <c r="L909" s="7" t="n">
        <f aca="false">IF(ISBLANK(customer_churn_dataset!L909),0,MAX(0,customer_churn_dataset!L909))</f>
        <v>0</v>
      </c>
      <c r="M909" s="7" t="n">
        <f aca="false">IF(ISBLANK(customer_churn_dataset!M909),0,customer_churn_dataset!M909)</f>
        <v>0</v>
      </c>
      <c r="N909" s="7" t="n">
        <f aca="false">IF(ISBLANK(customer_churn_dataset!N909),0,MAX(0,customer_churn_dataset!N909))</f>
        <v>327.42</v>
      </c>
      <c r="O909" s="7" t="n">
        <f aca="false">IF(ISBLANK(customer_churn_dataset!O909),0,customer_churn_dataset!O909)</f>
        <v>0</v>
      </c>
      <c r="P909" s="7" t="str">
        <f aca="false">IF(COUNTIF(customer_churn_dataset!$A$2:$A$1501,customer_churn_dataset!A909)&gt;1,"Duplicate","Unique")</f>
        <v>Unique</v>
      </c>
    </row>
    <row r="910" customFormat="false" ht="14.15" hidden="false" customHeight="true" outlineLevel="0" collapsed="false">
      <c r="A910" s="7" t="str">
        <f aca="false">TRIM(customer_churn_dataset!A910)</f>
        <v>CUST101013</v>
      </c>
      <c r="B910" s="7" t="str">
        <f aca="false">PROPER(TRIM(customer_churn_dataset!B910))</f>
        <v>Basic</v>
      </c>
      <c r="C910" s="7" t="str">
        <f aca="false">PROPER(TRIM(customer_churn_dataset!C910))</f>
        <v>Month-To-Month</v>
      </c>
      <c r="D910" s="7" t="n">
        <f aca="false">IF(ISBLANK(customer_churn_dataset!D910),ROUND(MEDIAN(customer_churn_dataset!D$2:D$1501),2),IF(customer_churn_dataset!D910&lt;0,ABS(customer_churn_dataset!D910),customer_churn_dataset!D910))</f>
        <v>10.14</v>
      </c>
      <c r="E910" s="7" t="n">
        <f aca="false">IF(ISBLANK(customer_churn_dataset!E910),0,MAX(0,customer_churn_dataset!E910))</f>
        <v>14</v>
      </c>
      <c r="F910" s="8" t="n">
        <f aca="false">IF(ISBLANK(customer_churn_dataset!F910),"",customer_churn_dataset!F910)</f>
        <v>45028</v>
      </c>
      <c r="G910" s="7" t="str">
        <f aca="false">PROPER(TRIM(customer_churn_dataset!G910))</f>
        <v>Credit Card</v>
      </c>
      <c r="H910" s="7" t="n">
        <f aca="false">IF(ISBLANK(customer_churn_dataset!H910),0,customer_churn_dataset!H910)</f>
        <v>1</v>
      </c>
      <c r="I910" s="7" t="n">
        <f aca="false">IF(ISBLANK(customer_churn_dataset!I910),ROUND(MEDIAN(customer_churn_dataset!I$2:I$1501),1),MIN(100,MAX(0,customer_churn_dataset!I910)))</f>
        <v>46.9</v>
      </c>
      <c r="J910" s="7" t="n">
        <f aca="false">IF(ISBLANK(customer_churn_dataset!J910),0,MAX(0,customer_churn_dataset!J910))</f>
        <v>13</v>
      </c>
      <c r="K910" s="7" t="n">
        <f aca="false">IF(ISBLANK(customer_churn_dataset!K910),0,MIN(10,MAX(0,customer_churn_dataset!K910)))</f>
        <v>5</v>
      </c>
      <c r="L910" s="7" t="n">
        <f aca="false">IF(ISBLANK(customer_churn_dataset!L910),0,MAX(0,customer_churn_dataset!L910))</f>
        <v>0</v>
      </c>
      <c r="M910" s="7" t="n">
        <f aca="false">IF(ISBLANK(customer_churn_dataset!M910),0,customer_churn_dataset!M910)</f>
        <v>0</v>
      </c>
      <c r="N910" s="7" t="n">
        <f aca="false">IF(ISBLANK(customer_churn_dataset!N910),0,MAX(0,customer_churn_dataset!N910))</f>
        <v>141.96</v>
      </c>
      <c r="O910" s="7" t="n">
        <f aca="false">IF(ISBLANK(customer_churn_dataset!O910),0,customer_churn_dataset!O910)</f>
        <v>0</v>
      </c>
      <c r="P910" s="7" t="str">
        <f aca="false">IF(COUNTIF(customer_churn_dataset!$A$2:$A$1501,customer_churn_dataset!A910)&gt;1,"Duplicate","Unique")</f>
        <v>Unique</v>
      </c>
    </row>
    <row r="911" customFormat="false" ht="14.15" hidden="false" customHeight="true" outlineLevel="0" collapsed="false">
      <c r="A911" s="7" t="str">
        <f aca="false">TRIM(customer_churn_dataset!A911)</f>
        <v>CUST100085</v>
      </c>
      <c r="B911" s="7" t="str">
        <f aca="false">PROPER(TRIM(customer_churn_dataset!B911))</f>
        <v>Basic</v>
      </c>
      <c r="C911" s="7" t="str">
        <f aca="false">PROPER(TRIM(customer_churn_dataset!C911))</f>
        <v>One Year</v>
      </c>
      <c r="D911" s="7" t="n">
        <f aca="false">IF(ISBLANK(customer_churn_dataset!D911),ROUND(MEDIAN(customer_churn_dataset!D$2:D$1501),2),IF(customer_churn_dataset!D911&lt;0,ABS(customer_churn_dataset!D911),customer_churn_dataset!D911))</f>
        <v>8.77</v>
      </c>
      <c r="E911" s="7" t="n">
        <f aca="false">IF(ISBLANK(customer_churn_dataset!E911),0,MAX(0,customer_churn_dataset!E911))</f>
        <v>1</v>
      </c>
      <c r="F911" s="8" t="n">
        <f aca="false">IF(ISBLANK(customer_churn_dataset!F911),"",customer_churn_dataset!F911)</f>
        <v>45031</v>
      </c>
      <c r="G911" s="7" t="str">
        <f aca="false">PROPER(TRIM(customer_churn_dataset!G911))</f>
        <v>Manual/Invoice</v>
      </c>
      <c r="H911" s="7" t="n">
        <f aca="false">IF(ISBLANK(customer_churn_dataset!H911),0,customer_churn_dataset!H911)</f>
        <v>1</v>
      </c>
      <c r="I911" s="7" t="n">
        <f aca="false">IF(ISBLANK(customer_churn_dataset!I911),ROUND(MEDIAN(customer_churn_dataset!I$2:I$1501),1),MIN(100,MAX(0,customer_churn_dataset!I911)))</f>
        <v>42.7</v>
      </c>
      <c r="J911" s="7" t="n">
        <f aca="false">IF(ISBLANK(customer_churn_dataset!J911),0,MAX(0,customer_churn_dataset!J911))</f>
        <v>13</v>
      </c>
      <c r="K911" s="7" t="n">
        <f aca="false">IF(ISBLANK(customer_churn_dataset!K911),0,MIN(10,MAX(0,customer_churn_dataset!K911)))</f>
        <v>0</v>
      </c>
      <c r="L911" s="7" t="n">
        <f aca="false">IF(ISBLANK(customer_churn_dataset!L911),0,MAX(0,customer_churn_dataset!L911))</f>
        <v>0</v>
      </c>
      <c r="M911" s="7" t="n">
        <f aca="false">IF(ISBLANK(customer_churn_dataset!M911),0,customer_churn_dataset!M911)</f>
        <v>0</v>
      </c>
      <c r="N911" s="7" t="n">
        <f aca="false">IF(ISBLANK(customer_churn_dataset!N911),0,MAX(0,customer_churn_dataset!N911))</f>
        <v>8.77</v>
      </c>
      <c r="O911" s="7" t="n">
        <f aca="false">IF(ISBLANK(customer_churn_dataset!O911),0,customer_churn_dataset!O911)</f>
        <v>0</v>
      </c>
      <c r="P911" s="7" t="str">
        <f aca="false">IF(COUNTIF(customer_churn_dataset!$A$2:$A$1501,customer_churn_dataset!A911)&gt;1,"Duplicate","Unique")</f>
        <v>Unique</v>
      </c>
    </row>
    <row r="912" customFormat="false" ht="14.15" hidden="false" customHeight="true" outlineLevel="0" collapsed="false">
      <c r="A912" s="7" t="str">
        <f aca="false">TRIM(customer_churn_dataset!A912)</f>
        <v>CUST101339</v>
      </c>
      <c r="B912" s="7" t="str">
        <f aca="false">PROPER(TRIM(customer_churn_dataset!B912))</f>
        <v>Basic</v>
      </c>
      <c r="C912" s="7" t="str">
        <f aca="false">PROPER(TRIM(customer_churn_dataset!C912))</f>
        <v>Month-To-Month</v>
      </c>
      <c r="D912" s="7" t="n">
        <f aca="false">IF(ISBLANK(customer_churn_dataset!D912),ROUND(MEDIAN(customer_churn_dataset!D$2:D$1501),2),IF(customer_churn_dataset!D912&lt;0,ABS(customer_churn_dataset!D912),customer_churn_dataset!D912))</f>
        <v>10.33</v>
      </c>
      <c r="E912" s="7" t="n">
        <f aca="false">IF(ISBLANK(customer_churn_dataset!E912),0,MAX(0,customer_churn_dataset!E912))</f>
        <v>64</v>
      </c>
      <c r="F912" s="8" t="n">
        <f aca="false">IF(ISBLANK(customer_churn_dataset!F912),"",customer_churn_dataset!F912)</f>
        <v>45032</v>
      </c>
      <c r="G912" s="7" t="str">
        <f aca="false">PROPER(TRIM(customer_churn_dataset!G912))</f>
        <v>Credit Card</v>
      </c>
      <c r="H912" s="7" t="n">
        <f aca="false">IF(ISBLANK(customer_churn_dataset!H912),0,customer_churn_dataset!H912)</f>
        <v>0</v>
      </c>
      <c r="I912" s="7" t="n">
        <f aca="false">IF(ISBLANK(customer_churn_dataset!I912),ROUND(MEDIAN(customer_churn_dataset!I$2:I$1501),1),MIN(100,MAX(0,customer_churn_dataset!I912)))</f>
        <v>48.8</v>
      </c>
      <c r="J912" s="7" t="n">
        <f aca="false">IF(ISBLANK(customer_churn_dataset!J912),0,MAX(0,customer_churn_dataset!J912))</f>
        <v>15</v>
      </c>
      <c r="K912" s="7" t="n">
        <f aca="false">IF(ISBLANK(customer_churn_dataset!K912),0,MIN(10,MAX(0,customer_churn_dataset!K912)))</f>
        <v>8</v>
      </c>
      <c r="L912" s="7" t="n">
        <f aca="false">IF(ISBLANK(customer_churn_dataset!L912),0,MAX(0,customer_churn_dataset!L912))</f>
        <v>0</v>
      </c>
      <c r="M912" s="7" t="n">
        <f aca="false">IF(ISBLANK(customer_churn_dataset!M912),0,customer_churn_dataset!M912)</f>
        <v>0</v>
      </c>
      <c r="N912" s="7" t="n">
        <f aca="false">IF(ISBLANK(customer_churn_dataset!N912),0,MAX(0,customer_churn_dataset!N912))</f>
        <v>661.12</v>
      </c>
      <c r="O912" s="7" t="n">
        <f aca="false">IF(ISBLANK(customer_churn_dataset!O912),0,customer_churn_dataset!O912)</f>
        <v>0</v>
      </c>
      <c r="P912" s="7" t="str">
        <f aca="false">IF(COUNTIF(customer_churn_dataset!$A$2:$A$1501,customer_churn_dataset!A912)&gt;1,"Duplicate","Unique")</f>
        <v>Unique</v>
      </c>
    </row>
    <row r="913" customFormat="false" ht="14.15" hidden="false" customHeight="true" outlineLevel="0" collapsed="false">
      <c r="A913" s="7" t="str">
        <f aca="false">TRIM(customer_churn_dataset!A913)</f>
        <v>CUST101299</v>
      </c>
      <c r="B913" s="7" t="str">
        <f aca="false">PROPER(TRIM(customer_churn_dataset!B913))</f>
        <v>Standard</v>
      </c>
      <c r="C913" s="7" t="str">
        <f aca="false">PROPER(TRIM(customer_churn_dataset!C913))</f>
        <v>One Year</v>
      </c>
      <c r="D913" s="7" t="n">
        <f aca="false">IF(ISBLANK(customer_churn_dataset!D913),ROUND(MEDIAN(customer_churn_dataset!D$2:D$1501),2),IF(customer_churn_dataset!D913&lt;0,ABS(customer_churn_dataset!D913),customer_churn_dataset!D913))</f>
        <v>20.46</v>
      </c>
      <c r="E913" s="7" t="n">
        <f aca="false">IF(ISBLANK(customer_churn_dataset!E913),0,MAX(0,customer_churn_dataset!E913))</f>
        <v>14</v>
      </c>
      <c r="F913" s="8" t="n">
        <f aca="false">IF(ISBLANK(customer_churn_dataset!F913),"",customer_churn_dataset!F913)</f>
        <v>45034</v>
      </c>
      <c r="G913" s="7" t="str">
        <f aca="false">PROPER(TRIM(customer_churn_dataset!G913))</f>
        <v>Credit Card</v>
      </c>
      <c r="H913" s="7" t="n">
        <f aca="false">IF(ISBLANK(customer_churn_dataset!H913),0,customer_churn_dataset!H913)</f>
        <v>0</v>
      </c>
      <c r="I913" s="7" t="n">
        <f aca="false">IF(ISBLANK(customer_churn_dataset!I913),ROUND(MEDIAN(customer_churn_dataset!I$2:I$1501),1),MIN(100,MAX(0,customer_churn_dataset!I913)))</f>
        <v>51.4</v>
      </c>
      <c r="J913" s="7" t="n">
        <f aca="false">IF(ISBLANK(customer_churn_dataset!J913),0,MAX(0,customer_churn_dataset!J913))</f>
        <v>19</v>
      </c>
      <c r="K913" s="7" t="n">
        <f aca="false">IF(ISBLANK(customer_churn_dataset!K913),0,MIN(10,MAX(0,customer_churn_dataset!K913)))</f>
        <v>5</v>
      </c>
      <c r="L913" s="7" t="n">
        <f aca="false">IF(ISBLANK(customer_churn_dataset!L913),0,MAX(0,customer_churn_dataset!L913))</f>
        <v>1</v>
      </c>
      <c r="M913" s="7" t="n">
        <f aca="false">IF(ISBLANK(customer_churn_dataset!M913),0,customer_churn_dataset!M913)</f>
        <v>0</v>
      </c>
      <c r="N913" s="7" t="n">
        <f aca="false">IF(ISBLANK(customer_churn_dataset!N913),0,MAX(0,customer_churn_dataset!N913))</f>
        <v>286.44</v>
      </c>
      <c r="O913" s="7" t="n">
        <f aca="false">IF(ISBLANK(customer_churn_dataset!O913),0,customer_churn_dataset!O913)</f>
        <v>0</v>
      </c>
      <c r="P913" s="7" t="str">
        <f aca="false">IF(COUNTIF(customer_churn_dataset!$A$2:$A$1501,customer_churn_dataset!A913)&gt;1,"Duplicate","Unique")</f>
        <v>Unique</v>
      </c>
    </row>
    <row r="914" customFormat="false" ht="14.15" hidden="false" customHeight="true" outlineLevel="0" collapsed="false">
      <c r="A914" s="7" t="str">
        <f aca="false">TRIM(customer_churn_dataset!A914)</f>
        <v>CUST101199</v>
      </c>
      <c r="B914" s="7" t="str">
        <f aca="false">PROPER(TRIM(customer_churn_dataset!B914))</f>
        <v>Basic</v>
      </c>
      <c r="C914" s="7" t="str">
        <f aca="false">PROPER(TRIM(customer_churn_dataset!C914))</f>
        <v>Two Year</v>
      </c>
      <c r="D914" s="7" t="n">
        <f aca="false">IF(ISBLANK(customer_churn_dataset!D914),ROUND(MEDIAN(customer_churn_dataset!D$2:D$1501),2),IF(customer_churn_dataset!D914&lt;0,ABS(customer_churn_dataset!D914),customer_churn_dataset!D914))</f>
        <v>10.4</v>
      </c>
      <c r="E914" s="7" t="n">
        <f aca="false">IF(ISBLANK(customer_churn_dataset!E914),0,MAX(0,customer_churn_dataset!E914))</f>
        <v>34</v>
      </c>
      <c r="F914" s="8" t="n">
        <f aca="false">IF(ISBLANK(customer_churn_dataset!F914),"",customer_churn_dataset!F914)</f>
        <v>45039</v>
      </c>
      <c r="G914" s="7" t="str">
        <f aca="false">PROPER(TRIM(customer_churn_dataset!G914))</f>
        <v>Bank Transfer</v>
      </c>
      <c r="H914" s="7" t="n">
        <f aca="false">IF(ISBLANK(customer_churn_dataset!H914),0,customer_churn_dataset!H914)</f>
        <v>1</v>
      </c>
      <c r="I914" s="7" t="n">
        <f aca="false">IF(ISBLANK(customer_churn_dataset!I914),ROUND(MEDIAN(customer_churn_dataset!I$2:I$1501),1),MIN(100,MAX(0,customer_churn_dataset!I914)))</f>
        <v>82.3</v>
      </c>
      <c r="J914" s="7" t="n">
        <f aca="false">IF(ISBLANK(customer_churn_dataset!J914),0,MAX(0,customer_churn_dataset!J914))</f>
        <v>27</v>
      </c>
      <c r="K914" s="7" t="n">
        <f aca="false">IF(ISBLANK(customer_churn_dataset!K914),0,MIN(10,MAX(0,customer_churn_dataset!K914)))</f>
        <v>5</v>
      </c>
      <c r="L914" s="7" t="n">
        <f aca="false">IF(ISBLANK(customer_churn_dataset!L914),0,MAX(0,customer_churn_dataset!L914))</f>
        <v>1</v>
      </c>
      <c r="M914" s="7" t="n">
        <f aca="false">IF(ISBLANK(customer_churn_dataset!M914),0,customer_churn_dataset!M914)</f>
        <v>0</v>
      </c>
      <c r="N914" s="7" t="n">
        <f aca="false">IF(ISBLANK(customer_churn_dataset!N914),0,MAX(0,customer_churn_dataset!N914))</f>
        <v>353.6</v>
      </c>
      <c r="O914" s="7" t="n">
        <f aca="false">IF(ISBLANK(customer_churn_dataset!O914),0,customer_churn_dataset!O914)</f>
        <v>0</v>
      </c>
      <c r="P914" s="7" t="str">
        <f aca="false">IF(COUNTIF(customer_churn_dataset!$A$2:$A$1501,customer_churn_dataset!A914)&gt;1,"Duplicate","Unique")</f>
        <v>Unique</v>
      </c>
    </row>
    <row r="915" customFormat="false" ht="14.15" hidden="false" customHeight="true" outlineLevel="0" collapsed="false">
      <c r="A915" s="7" t="str">
        <f aca="false">TRIM(customer_churn_dataset!A915)</f>
        <v>CUST100621</v>
      </c>
      <c r="B915" s="7" t="str">
        <f aca="false">PROPER(TRIM(customer_churn_dataset!B915))</f>
        <v>Basic</v>
      </c>
      <c r="C915" s="7" t="str">
        <f aca="false">PROPER(TRIM(customer_churn_dataset!C915))</f>
        <v>Month-To-Month</v>
      </c>
      <c r="D915" s="7" t="n">
        <f aca="false">IF(ISBLANK(customer_churn_dataset!D915),ROUND(MEDIAN(customer_churn_dataset!D$2:D$1501),2),IF(customer_churn_dataset!D915&lt;0,ABS(customer_churn_dataset!D915),customer_churn_dataset!D915))</f>
        <v>9.91</v>
      </c>
      <c r="E915" s="7" t="n">
        <f aca="false">IF(ISBLANK(customer_churn_dataset!E915),0,MAX(0,customer_churn_dataset!E915))</f>
        <v>23</v>
      </c>
      <c r="F915" s="8" t="n">
        <f aca="false">IF(ISBLANK(customer_churn_dataset!F915),"",customer_churn_dataset!F915)</f>
        <v>45041</v>
      </c>
      <c r="G915" s="7" t="str">
        <f aca="false">PROPER(TRIM(customer_churn_dataset!G915))</f>
        <v>Paypal</v>
      </c>
      <c r="H915" s="7" t="n">
        <f aca="false">IF(ISBLANK(customer_churn_dataset!H915),0,customer_churn_dataset!H915)</f>
        <v>0</v>
      </c>
      <c r="I915" s="7" t="n">
        <f aca="false">IF(ISBLANK(customer_churn_dataset!I915),ROUND(MEDIAN(customer_churn_dataset!I$2:I$1501),1),MIN(100,MAX(0,customer_churn_dataset!I915)))</f>
        <v>91.7</v>
      </c>
      <c r="J915" s="7" t="n">
        <f aca="false">IF(ISBLANK(customer_churn_dataset!J915),0,MAX(0,customer_churn_dataset!J915))</f>
        <v>22</v>
      </c>
      <c r="K915" s="7" t="n">
        <f aca="false">IF(ISBLANK(customer_churn_dataset!K915),0,MIN(10,MAX(0,customer_churn_dataset!K915)))</f>
        <v>10</v>
      </c>
      <c r="L915" s="7" t="n">
        <f aca="false">IF(ISBLANK(customer_churn_dataset!L915),0,MAX(0,customer_churn_dataset!L915))</f>
        <v>1</v>
      </c>
      <c r="M915" s="7" t="n">
        <f aca="false">IF(ISBLANK(customer_churn_dataset!M915),0,customer_churn_dataset!M915)</f>
        <v>0</v>
      </c>
      <c r="N915" s="7" t="n">
        <f aca="false">IF(ISBLANK(customer_churn_dataset!N915),0,MAX(0,customer_churn_dataset!N915))</f>
        <v>227.93</v>
      </c>
      <c r="O915" s="7" t="n">
        <f aca="false">IF(ISBLANK(customer_churn_dataset!O915),0,customer_churn_dataset!O915)</f>
        <v>0</v>
      </c>
      <c r="P915" s="7" t="str">
        <f aca="false">IF(COUNTIF(customer_churn_dataset!$A$2:$A$1501,customer_churn_dataset!A915)&gt;1,"Duplicate","Unique")</f>
        <v>Unique</v>
      </c>
    </row>
    <row r="916" customFormat="false" ht="14.15" hidden="false" customHeight="true" outlineLevel="0" collapsed="false">
      <c r="A916" s="7" t="str">
        <f aca="false">TRIM(customer_churn_dataset!A916)</f>
        <v>CUST101238</v>
      </c>
      <c r="B916" s="7" t="str">
        <f aca="false">PROPER(TRIM(customer_churn_dataset!B916))</f>
        <v>Premium</v>
      </c>
      <c r="C916" s="7" t="str">
        <f aca="false">PROPER(TRIM(customer_churn_dataset!C916))</f>
        <v>One Year</v>
      </c>
      <c r="D916" s="7" t="n">
        <f aca="false">IF(ISBLANK(customer_churn_dataset!D916),ROUND(MEDIAN(customer_churn_dataset!D$2:D$1501),2),IF(customer_churn_dataset!D916&lt;0,ABS(customer_churn_dataset!D916),customer_churn_dataset!D916))</f>
        <v>40.2</v>
      </c>
      <c r="E916" s="7" t="n">
        <f aca="false">IF(ISBLANK(customer_churn_dataset!E916),0,MAX(0,customer_churn_dataset!E916))</f>
        <v>2</v>
      </c>
      <c r="F916" s="8" t="n">
        <f aca="false">IF(ISBLANK(customer_churn_dataset!F916),"",customer_churn_dataset!F916)</f>
        <v>45041</v>
      </c>
      <c r="G916" s="7" t="str">
        <f aca="false">PROPER(TRIM(customer_churn_dataset!G916))</f>
        <v>Credit Card</v>
      </c>
      <c r="H916" s="7" t="n">
        <f aca="false">IF(ISBLANK(customer_churn_dataset!H916),0,customer_churn_dataset!H916)</f>
        <v>1</v>
      </c>
      <c r="I916" s="7" t="n">
        <f aca="false">IF(ISBLANK(customer_churn_dataset!I916),ROUND(MEDIAN(customer_churn_dataset!I$2:I$1501),1),MIN(100,MAX(0,customer_churn_dataset!I916)))</f>
        <v>24.7</v>
      </c>
      <c r="J916" s="7" t="n">
        <f aca="false">IF(ISBLANK(customer_churn_dataset!J916),0,MAX(0,customer_churn_dataset!J916))</f>
        <v>9</v>
      </c>
      <c r="K916" s="7" t="n">
        <f aca="false">IF(ISBLANK(customer_churn_dataset!K916),0,MIN(10,MAX(0,customer_churn_dataset!K916)))</f>
        <v>5</v>
      </c>
      <c r="L916" s="7" t="n">
        <f aca="false">IF(ISBLANK(customer_churn_dataset!L916),0,MAX(0,customer_churn_dataset!L916))</f>
        <v>2</v>
      </c>
      <c r="M916" s="7" t="n">
        <f aca="false">IF(ISBLANK(customer_churn_dataset!M916),0,customer_churn_dataset!M916)</f>
        <v>0</v>
      </c>
      <c r="N916" s="7" t="n">
        <f aca="false">IF(ISBLANK(customer_churn_dataset!N916),0,MAX(0,customer_churn_dataset!N916))</f>
        <v>80.4</v>
      </c>
      <c r="O916" s="7" t="n">
        <f aca="false">IF(ISBLANK(customer_churn_dataset!O916),0,customer_churn_dataset!O916)</f>
        <v>0</v>
      </c>
      <c r="P916" s="7" t="str">
        <f aca="false">IF(COUNTIF(customer_churn_dataset!$A$2:$A$1501,customer_churn_dataset!A916)&gt;1,"Duplicate","Unique")</f>
        <v>Unique</v>
      </c>
    </row>
    <row r="917" customFormat="false" ht="14.15" hidden="false" customHeight="true" outlineLevel="0" collapsed="false">
      <c r="A917" s="7" t="str">
        <f aca="false">TRIM(customer_churn_dataset!A917)</f>
        <v>CUST100175</v>
      </c>
      <c r="B917" s="7" t="str">
        <f aca="false">PROPER(TRIM(customer_churn_dataset!B917))</f>
        <v>Basic</v>
      </c>
      <c r="C917" s="7" t="str">
        <f aca="false">PROPER(TRIM(customer_churn_dataset!C917))</f>
        <v>One Year</v>
      </c>
      <c r="D917" s="7" t="n">
        <f aca="false">IF(ISBLANK(customer_churn_dataset!D917),ROUND(MEDIAN(customer_churn_dataset!D$2:D$1501),2),IF(customer_churn_dataset!D917&lt;0,ABS(customer_churn_dataset!D917),customer_churn_dataset!D917))</f>
        <v>9.65</v>
      </c>
      <c r="E917" s="7" t="n">
        <f aca="false">IF(ISBLANK(customer_churn_dataset!E917),0,MAX(0,customer_churn_dataset!E917))</f>
        <v>19</v>
      </c>
      <c r="F917" s="8" t="n">
        <f aca="false">IF(ISBLANK(customer_churn_dataset!F917),"",customer_churn_dataset!F917)</f>
        <v>45041</v>
      </c>
      <c r="G917" s="7" t="str">
        <f aca="false">PROPER(TRIM(customer_churn_dataset!G917))</f>
        <v>Bank Transfer</v>
      </c>
      <c r="H917" s="7" t="n">
        <f aca="false">IF(ISBLANK(customer_churn_dataset!H917),0,customer_churn_dataset!H917)</f>
        <v>1</v>
      </c>
      <c r="I917" s="7" t="n">
        <f aca="false">IF(ISBLANK(customer_churn_dataset!I917),ROUND(MEDIAN(customer_churn_dataset!I$2:I$1501),1),MIN(100,MAX(0,customer_churn_dataset!I917)))</f>
        <v>77</v>
      </c>
      <c r="J917" s="7" t="n">
        <f aca="false">IF(ISBLANK(customer_churn_dataset!J917),0,MAX(0,customer_churn_dataset!J917))</f>
        <v>22</v>
      </c>
      <c r="K917" s="7" t="n">
        <f aca="false">IF(ISBLANK(customer_churn_dataset!K917),0,MIN(10,MAX(0,customer_churn_dataset!K917)))</f>
        <v>6</v>
      </c>
      <c r="L917" s="7" t="n">
        <f aca="false">IF(ISBLANK(customer_churn_dataset!L917),0,MAX(0,customer_churn_dataset!L917))</f>
        <v>0</v>
      </c>
      <c r="M917" s="7" t="n">
        <f aca="false">IF(ISBLANK(customer_churn_dataset!M917),0,customer_churn_dataset!M917)</f>
        <v>0</v>
      </c>
      <c r="N917" s="7" t="n">
        <f aca="false">IF(ISBLANK(customer_churn_dataset!N917),0,MAX(0,customer_churn_dataset!N917))</f>
        <v>183.35</v>
      </c>
      <c r="O917" s="7" t="n">
        <f aca="false">IF(ISBLANK(customer_churn_dataset!O917),0,customer_churn_dataset!O917)</f>
        <v>0</v>
      </c>
      <c r="P917" s="7" t="str">
        <f aca="false">IF(COUNTIF(customer_churn_dataset!$A$2:$A$1501,customer_churn_dataset!A917)&gt;1,"Duplicate","Unique")</f>
        <v>Unique</v>
      </c>
    </row>
    <row r="918" customFormat="false" ht="14.15" hidden="false" customHeight="true" outlineLevel="0" collapsed="false">
      <c r="A918" s="7" t="str">
        <f aca="false">TRIM(customer_churn_dataset!A918)</f>
        <v>CUST101490</v>
      </c>
      <c r="B918" s="7" t="str">
        <f aca="false">PROPER(TRIM(customer_churn_dataset!B918))</f>
        <v>Basic</v>
      </c>
      <c r="C918" s="7" t="str">
        <f aca="false">PROPER(TRIM(customer_churn_dataset!C918))</f>
        <v>Month-To-Month</v>
      </c>
      <c r="D918" s="7" t="n">
        <f aca="false">IF(ISBLANK(customer_churn_dataset!D918),ROUND(MEDIAN(customer_churn_dataset!D$2:D$1501),2),IF(customer_churn_dataset!D918&lt;0,ABS(customer_churn_dataset!D918),customer_churn_dataset!D918))</f>
        <v>9.08</v>
      </c>
      <c r="E918" s="7" t="n">
        <f aca="false">IF(ISBLANK(customer_churn_dataset!E918),0,MAX(0,customer_churn_dataset!E918))</f>
        <v>17</v>
      </c>
      <c r="F918" s="8" t="n">
        <f aca="false">IF(ISBLANK(customer_churn_dataset!F918),"",customer_churn_dataset!F918)</f>
        <v>45042</v>
      </c>
      <c r="G918" s="7" t="str">
        <f aca="false">PROPER(TRIM(customer_churn_dataset!G918))</f>
        <v>Credit Card</v>
      </c>
      <c r="H918" s="7" t="n">
        <f aca="false">IF(ISBLANK(customer_churn_dataset!H918),0,customer_churn_dataset!H918)</f>
        <v>1</v>
      </c>
      <c r="I918" s="7" t="n">
        <f aca="false">IF(ISBLANK(customer_churn_dataset!I918),ROUND(MEDIAN(customer_churn_dataset!I$2:I$1501),1),MIN(100,MAX(0,customer_churn_dataset!I918)))</f>
        <v>63.2</v>
      </c>
      <c r="J918" s="7" t="n">
        <f aca="false">IF(ISBLANK(customer_churn_dataset!J918),0,MAX(0,customer_churn_dataset!J918))</f>
        <v>15</v>
      </c>
      <c r="K918" s="7" t="n">
        <f aca="false">IF(ISBLANK(customer_churn_dataset!K918),0,MIN(10,MAX(0,customer_churn_dataset!K918)))</f>
        <v>6</v>
      </c>
      <c r="L918" s="7" t="n">
        <f aca="false">IF(ISBLANK(customer_churn_dataset!L918),0,MAX(0,customer_churn_dataset!L918))</f>
        <v>1</v>
      </c>
      <c r="M918" s="7" t="n">
        <f aca="false">IF(ISBLANK(customer_churn_dataset!M918),0,customer_churn_dataset!M918)</f>
        <v>0</v>
      </c>
      <c r="N918" s="7" t="n">
        <f aca="false">IF(ISBLANK(customer_churn_dataset!N918),0,MAX(0,customer_churn_dataset!N918))</f>
        <v>154.36</v>
      </c>
      <c r="O918" s="7" t="n">
        <f aca="false">IF(ISBLANK(customer_churn_dataset!O918),0,customer_churn_dataset!O918)</f>
        <v>0</v>
      </c>
      <c r="P918" s="7" t="str">
        <f aca="false">IF(COUNTIF(customer_churn_dataset!$A$2:$A$1501,customer_churn_dataset!A918)&gt;1,"Duplicate","Unique")</f>
        <v>Unique</v>
      </c>
    </row>
    <row r="919" customFormat="false" ht="14.15" hidden="false" customHeight="true" outlineLevel="0" collapsed="false">
      <c r="A919" s="7" t="str">
        <f aca="false">TRIM(customer_churn_dataset!A919)</f>
        <v>CUST100413</v>
      </c>
      <c r="B919" s="7" t="str">
        <f aca="false">PROPER(TRIM(customer_churn_dataset!B919))</f>
        <v>Standard</v>
      </c>
      <c r="C919" s="7" t="str">
        <f aca="false">PROPER(TRIM(customer_churn_dataset!C919))</f>
        <v>Two Year</v>
      </c>
      <c r="D919" s="7" t="n">
        <f aca="false">IF(ISBLANK(customer_churn_dataset!D919),ROUND(MEDIAN(customer_churn_dataset!D$2:D$1501),2),IF(customer_churn_dataset!D919&lt;0,ABS(customer_churn_dataset!D919),customer_churn_dataset!D919))</f>
        <v>18.63</v>
      </c>
      <c r="E919" s="7" t="n">
        <f aca="false">IF(ISBLANK(customer_churn_dataset!E919),0,MAX(0,customer_churn_dataset!E919))</f>
        <v>9</v>
      </c>
      <c r="F919" s="8" t="n">
        <f aca="false">IF(ISBLANK(customer_churn_dataset!F919),"",customer_churn_dataset!F919)</f>
        <v>45043</v>
      </c>
      <c r="G919" s="7" t="str">
        <f aca="false">PROPER(TRIM(customer_churn_dataset!G919))</f>
        <v>Credit Card</v>
      </c>
      <c r="H919" s="7" t="n">
        <f aca="false">IF(ISBLANK(customer_churn_dataset!H919),0,customer_churn_dataset!H919)</f>
        <v>0</v>
      </c>
      <c r="I919" s="7" t="n">
        <f aca="false">IF(ISBLANK(customer_churn_dataset!I919),ROUND(MEDIAN(customer_churn_dataset!I$2:I$1501),1),MIN(100,MAX(0,customer_churn_dataset!I919)))</f>
        <v>98.9</v>
      </c>
      <c r="J919" s="7" t="n">
        <f aca="false">IF(ISBLANK(customer_churn_dataset!J919),0,MAX(0,customer_churn_dataset!J919))</f>
        <v>25</v>
      </c>
      <c r="K919" s="7" t="n">
        <f aca="false">IF(ISBLANK(customer_churn_dataset!K919),0,MIN(10,MAX(0,customer_churn_dataset!K919)))</f>
        <v>7</v>
      </c>
      <c r="L919" s="7" t="n">
        <f aca="false">IF(ISBLANK(customer_churn_dataset!L919),0,MAX(0,customer_churn_dataset!L919))</f>
        <v>2</v>
      </c>
      <c r="M919" s="7" t="n">
        <f aca="false">IF(ISBLANK(customer_churn_dataset!M919),0,customer_churn_dataset!M919)</f>
        <v>1</v>
      </c>
      <c r="N919" s="7" t="n">
        <f aca="false">IF(ISBLANK(customer_churn_dataset!N919),0,MAX(0,customer_churn_dataset!N919))</f>
        <v>167.67</v>
      </c>
      <c r="O919" s="7" t="n">
        <f aca="false">IF(ISBLANK(customer_churn_dataset!O919),0,customer_churn_dataset!O919)</f>
        <v>0</v>
      </c>
      <c r="P919" s="7" t="str">
        <f aca="false">IF(COUNTIF(customer_churn_dataset!$A$2:$A$1501,customer_churn_dataset!A919)&gt;1,"Duplicate","Unique")</f>
        <v>Unique</v>
      </c>
    </row>
    <row r="920" customFormat="false" ht="14.15" hidden="false" customHeight="true" outlineLevel="0" collapsed="false">
      <c r="A920" s="7" t="str">
        <f aca="false">TRIM(customer_churn_dataset!A920)</f>
        <v>CUST101155</v>
      </c>
      <c r="B920" s="7" t="str">
        <f aca="false">PROPER(TRIM(customer_churn_dataset!B920))</f>
        <v>Standard</v>
      </c>
      <c r="C920" s="7" t="str">
        <f aca="false">PROPER(TRIM(customer_churn_dataset!C920))</f>
        <v>One Year</v>
      </c>
      <c r="D920" s="7" t="n">
        <f aca="false">IF(ISBLANK(customer_churn_dataset!D920),ROUND(MEDIAN(customer_churn_dataset!D$2:D$1501),2),IF(customer_churn_dataset!D920&lt;0,ABS(customer_churn_dataset!D920),customer_churn_dataset!D920))</f>
        <v>20.41</v>
      </c>
      <c r="E920" s="7" t="n">
        <f aca="false">IF(ISBLANK(customer_churn_dataset!E920),0,MAX(0,customer_churn_dataset!E920))</f>
        <v>42</v>
      </c>
      <c r="F920" s="8" t="n">
        <f aca="false">IF(ISBLANK(customer_churn_dataset!F920),"",customer_churn_dataset!F920)</f>
        <v>45043</v>
      </c>
      <c r="G920" s="7" t="str">
        <f aca="false">PROPER(TRIM(customer_churn_dataset!G920))</f>
        <v>Paypal</v>
      </c>
      <c r="H920" s="7" t="n">
        <f aca="false">IF(ISBLANK(customer_churn_dataset!H920),0,customer_churn_dataset!H920)</f>
        <v>0</v>
      </c>
      <c r="I920" s="7" t="n">
        <f aca="false">IF(ISBLANK(customer_churn_dataset!I920),ROUND(MEDIAN(customer_churn_dataset!I$2:I$1501),1),MIN(100,MAX(0,customer_churn_dataset!I920)))</f>
        <v>72.3</v>
      </c>
      <c r="J920" s="7" t="n">
        <f aca="false">IF(ISBLANK(customer_churn_dataset!J920),0,MAX(0,customer_churn_dataset!J920))</f>
        <v>19</v>
      </c>
      <c r="K920" s="7" t="n">
        <f aca="false">IF(ISBLANK(customer_churn_dataset!K920),0,MIN(10,MAX(0,customer_churn_dataset!K920)))</f>
        <v>10</v>
      </c>
      <c r="L920" s="7" t="n">
        <f aca="false">IF(ISBLANK(customer_churn_dataset!L920),0,MAX(0,customer_churn_dataset!L920))</f>
        <v>1</v>
      </c>
      <c r="M920" s="7" t="n">
        <f aca="false">IF(ISBLANK(customer_churn_dataset!M920),0,customer_churn_dataset!M920)</f>
        <v>1</v>
      </c>
      <c r="N920" s="7" t="n">
        <f aca="false">IF(ISBLANK(customer_churn_dataset!N920),0,MAX(0,customer_churn_dataset!N920))</f>
        <v>857.22</v>
      </c>
      <c r="O920" s="7" t="n">
        <f aca="false">IF(ISBLANK(customer_churn_dataset!O920),0,customer_churn_dataset!O920)</f>
        <v>0</v>
      </c>
      <c r="P920" s="7" t="str">
        <f aca="false">IF(COUNTIF(customer_churn_dataset!$A$2:$A$1501,customer_churn_dataset!A920)&gt;1,"Duplicate","Unique")</f>
        <v>Unique</v>
      </c>
    </row>
    <row r="921" customFormat="false" ht="14.15" hidden="false" customHeight="true" outlineLevel="0" collapsed="false">
      <c r="A921" s="7" t="str">
        <f aca="false">TRIM(customer_churn_dataset!A921)</f>
        <v>CUST100093</v>
      </c>
      <c r="B921" s="7" t="str">
        <f aca="false">PROPER(TRIM(customer_churn_dataset!B921))</f>
        <v>Standard</v>
      </c>
      <c r="C921" s="7" t="str">
        <f aca="false">PROPER(TRIM(customer_churn_dataset!C921))</f>
        <v>One Year</v>
      </c>
      <c r="D921" s="7" t="n">
        <f aca="false">IF(ISBLANK(customer_churn_dataset!D921),ROUND(MEDIAN(customer_churn_dataset!D$2:D$1501),2),IF(customer_churn_dataset!D921&lt;0,ABS(customer_churn_dataset!D921),customer_churn_dataset!D921))</f>
        <v>20.36</v>
      </c>
      <c r="E921" s="7" t="n">
        <f aca="false">IF(ISBLANK(customer_churn_dataset!E921),0,MAX(0,customer_churn_dataset!E921))</f>
        <v>30</v>
      </c>
      <c r="F921" s="8" t="n">
        <f aca="false">IF(ISBLANK(customer_churn_dataset!F921),"",customer_churn_dataset!F921)</f>
        <v>45044</v>
      </c>
      <c r="G921" s="7" t="str">
        <f aca="false">PROPER(TRIM(customer_churn_dataset!G921))</f>
        <v>Credit Card</v>
      </c>
      <c r="H921" s="7" t="n">
        <f aca="false">IF(ISBLANK(customer_churn_dataset!H921),0,customer_churn_dataset!H921)</f>
        <v>1</v>
      </c>
      <c r="I921" s="7" t="n">
        <f aca="false">IF(ISBLANK(customer_churn_dataset!I921),ROUND(MEDIAN(customer_churn_dataset!I$2:I$1501),1),MIN(100,MAX(0,customer_churn_dataset!I921)))</f>
        <v>63.7</v>
      </c>
      <c r="J921" s="7" t="n">
        <f aca="false">IF(ISBLANK(customer_churn_dataset!J921),0,MAX(0,customer_churn_dataset!J921))</f>
        <v>17</v>
      </c>
      <c r="K921" s="7" t="n">
        <f aca="false">IF(ISBLANK(customer_churn_dataset!K921),0,MIN(10,MAX(0,customer_churn_dataset!K921)))</f>
        <v>7</v>
      </c>
      <c r="L921" s="7" t="n">
        <f aca="false">IF(ISBLANK(customer_churn_dataset!L921),0,MAX(0,customer_churn_dataset!L921))</f>
        <v>1</v>
      </c>
      <c r="M921" s="7" t="n">
        <f aca="false">IF(ISBLANK(customer_churn_dataset!M921),0,customer_churn_dataset!M921)</f>
        <v>1</v>
      </c>
      <c r="N921" s="7" t="n">
        <f aca="false">IF(ISBLANK(customer_churn_dataset!N921),0,MAX(0,customer_churn_dataset!N921))</f>
        <v>610.8</v>
      </c>
      <c r="O921" s="7" t="n">
        <f aca="false">IF(ISBLANK(customer_churn_dataset!O921),0,customer_churn_dataset!O921)</f>
        <v>1</v>
      </c>
      <c r="P921" s="7" t="str">
        <f aca="false">IF(COUNTIF(customer_churn_dataset!$A$2:$A$1501,customer_churn_dataset!A921)&gt;1,"Duplicate","Unique")</f>
        <v>Unique</v>
      </c>
    </row>
    <row r="922" customFormat="false" ht="14.15" hidden="false" customHeight="true" outlineLevel="0" collapsed="false">
      <c r="A922" s="7" t="str">
        <f aca="false">TRIM(customer_churn_dataset!A922)</f>
        <v>CUST100870</v>
      </c>
      <c r="B922" s="7" t="str">
        <f aca="false">PROPER(TRIM(customer_churn_dataset!B922))</f>
        <v>Basic</v>
      </c>
      <c r="C922" s="7" t="str">
        <f aca="false">PROPER(TRIM(customer_churn_dataset!C922))</f>
        <v>Month-To-Month</v>
      </c>
      <c r="D922" s="7" t="n">
        <f aca="false">IF(ISBLANK(customer_churn_dataset!D922),ROUND(MEDIAN(customer_churn_dataset!D$2:D$1501),2),IF(customer_churn_dataset!D922&lt;0,ABS(customer_churn_dataset!D922),customer_churn_dataset!D922))</f>
        <v>10.8</v>
      </c>
      <c r="E922" s="7" t="n">
        <f aca="false">IF(ISBLANK(customer_churn_dataset!E922),0,MAX(0,customer_churn_dataset!E922))</f>
        <v>21</v>
      </c>
      <c r="F922" s="8" t="n">
        <f aca="false">IF(ISBLANK(customer_churn_dataset!F922),"",customer_churn_dataset!F922)</f>
        <v>45045</v>
      </c>
      <c r="G922" s="7" t="str">
        <f aca="false">PROPER(TRIM(customer_churn_dataset!G922))</f>
        <v>Paypal</v>
      </c>
      <c r="H922" s="7" t="n">
        <f aca="false">IF(ISBLANK(customer_churn_dataset!H922),0,customer_churn_dataset!H922)</f>
        <v>1</v>
      </c>
      <c r="I922" s="7" t="n">
        <f aca="false">IF(ISBLANK(customer_churn_dataset!I922),ROUND(MEDIAN(customer_churn_dataset!I$2:I$1501),1),MIN(100,MAX(0,customer_churn_dataset!I922)))</f>
        <v>79.1</v>
      </c>
      <c r="J922" s="7" t="n">
        <f aca="false">IF(ISBLANK(customer_churn_dataset!J922),0,MAX(0,customer_churn_dataset!J922))</f>
        <v>21</v>
      </c>
      <c r="K922" s="7" t="n">
        <f aca="false">IF(ISBLANK(customer_churn_dataset!K922),0,MIN(10,MAX(0,customer_churn_dataset!K922)))</f>
        <v>7</v>
      </c>
      <c r="L922" s="7" t="n">
        <f aca="false">IF(ISBLANK(customer_churn_dataset!L922),0,MAX(0,customer_churn_dataset!L922))</f>
        <v>1</v>
      </c>
      <c r="M922" s="7" t="n">
        <f aca="false">IF(ISBLANK(customer_churn_dataset!M922),0,customer_churn_dataset!M922)</f>
        <v>0</v>
      </c>
      <c r="N922" s="7" t="n">
        <f aca="false">IF(ISBLANK(customer_churn_dataset!N922),0,MAX(0,customer_churn_dataset!N922))</f>
        <v>226.8</v>
      </c>
      <c r="O922" s="7" t="n">
        <f aca="false">IF(ISBLANK(customer_churn_dataset!O922),0,customer_churn_dataset!O922)</f>
        <v>0</v>
      </c>
      <c r="P922" s="7" t="str">
        <f aca="false">IF(COUNTIF(customer_churn_dataset!$A$2:$A$1501,customer_churn_dataset!A922)&gt;1,"Duplicate","Unique")</f>
        <v>Unique</v>
      </c>
    </row>
    <row r="923" customFormat="false" ht="14.15" hidden="false" customHeight="true" outlineLevel="0" collapsed="false">
      <c r="A923" s="7" t="str">
        <f aca="false">TRIM(customer_churn_dataset!A923)</f>
        <v>CUST100300</v>
      </c>
      <c r="B923" s="7" t="str">
        <f aca="false">PROPER(TRIM(customer_churn_dataset!B923))</f>
        <v>Basic</v>
      </c>
      <c r="C923" s="7" t="str">
        <f aca="false">PROPER(TRIM(customer_churn_dataset!C923))</f>
        <v>One Year</v>
      </c>
      <c r="D923" s="7" t="n">
        <f aca="false">IF(ISBLANK(customer_churn_dataset!D923),ROUND(MEDIAN(customer_churn_dataset!D$2:D$1501),2),IF(customer_churn_dataset!D923&lt;0,ABS(customer_churn_dataset!D923),customer_churn_dataset!D923))</f>
        <v>9.85</v>
      </c>
      <c r="E923" s="7" t="n">
        <f aca="false">IF(ISBLANK(customer_churn_dataset!E923),0,MAX(0,customer_churn_dataset!E923))</f>
        <v>5</v>
      </c>
      <c r="F923" s="8" t="n">
        <f aca="false">IF(ISBLANK(customer_churn_dataset!F923),"",customer_churn_dataset!F923)</f>
        <v>45046</v>
      </c>
      <c r="G923" s="7" t="str">
        <f aca="false">PROPER(TRIM(customer_churn_dataset!G923))</f>
        <v>Credit Card</v>
      </c>
      <c r="H923" s="7" t="n">
        <f aca="false">IF(ISBLANK(customer_churn_dataset!H923),0,customer_churn_dataset!H923)</f>
        <v>1</v>
      </c>
      <c r="I923" s="7" t="n">
        <f aca="false">IF(ISBLANK(customer_churn_dataset!I923),ROUND(MEDIAN(customer_churn_dataset!I$2:I$1501),1),MIN(100,MAX(0,customer_churn_dataset!I923)))</f>
        <v>79.5</v>
      </c>
      <c r="J923" s="7" t="n">
        <f aca="false">IF(ISBLANK(customer_churn_dataset!J923),0,MAX(0,customer_churn_dataset!J923))</f>
        <v>24</v>
      </c>
      <c r="K923" s="7" t="n">
        <f aca="false">IF(ISBLANK(customer_churn_dataset!K923),0,MIN(10,MAX(0,customer_churn_dataset!K923)))</f>
        <v>8</v>
      </c>
      <c r="L923" s="7" t="n">
        <f aca="false">IF(ISBLANK(customer_churn_dataset!L923),0,MAX(0,customer_churn_dataset!L923))</f>
        <v>2</v>
      </c>
      <c r="M923" s="7" t="n">
        <f aca="false">IF(ISBLANK(customer_churn_dataset!M923),0,customer_churn_dataset!M923)</f>
        <v>0</v>
      </c>
      <c r="N923" s="7" t="n">
        <f aca="false">IF(ISBLANK(customer_churn_dataset!N923),0,MAX(0,customer_churn_dataset!N923))</f>
        <v>49.25</v>
      </c>
      <c r="O923" s="7" t="n">
        <f aca="false">IF(ISBLANK(customer_churn_dataset!O923),0,customer_churn_dataset!O923)</f>
        <v>0</v>
      </c>
      <c r="P923" s="7" t="str">
        <f aca="false">IF(COUNTIF(customer_churn_dataset!$A$2:$A$1501,customer_churn_dataset!A923)&gt;1,"Duplicate","Unique")</f>
        <v>Unique</v>
      </c>
    </row>
    <row r="924" customFormat="false" ht="14.15" hidden="false" customHeight="true" outlineLevel="0" collapsed="false">
      <c r="A924" s="7" t="str">
        <f aca="false">TRIM(customer_churn_dataset!A924)</f>
        <v>CUST100479</v>
      </c>
      <c r="B924" s="7" t="str">
        <f aca="false">PROPER(TRIM(customer_churn_dataset!B924))</f>
        <v>Standard</v>
      </c>
      <c r="C924" s="7" t="str">
        <f aca="false">PROPER(TRIM(customer_churn_dataset!C924))</f>
        <v>One Year</v>
      </c>
      <c r="D924" s="7" t="n">
        <f aca="false">IF(ISBLANK(customer_churn_dataset!D924),ROUND(MEDIAN(customer_churn_dataset!D$2:D$1501),2),IF(customer_churn_dataset!D924&lt;0,ABS(customer_churn_dataset!D924),customer_churn_dataset!D924))</f>
        <v>18.92</v>
      </c>
      <c r="E924" s="7" t="n">
        <f aca="false">IF(ISBLANK(customer_churn_dataset!E924),0,MAX(0,customer_churn_dataset!E924))</f>
        <v>16</v>
      </c>
      <c r="F924" s="8" t="n">
        <f aca="false">IF(ISBLANK(customer_churn_dataset!F924),"",customer_churn_dataset!F924)</f>
        <v>45046</v>
      </c>
      <c r="G924" s="7" t="str">
        <f aca="false">PROPER(TRIM(customer_churn_dataset!G924))</f>
        <v>Credit Card</v>
      </c>
      <c r="H924" s="7" t="n">
        <f aca="false">IF(ISBLANK(customer_churn_dataset!H924),0,customer_churn_dataset!H924)</f>
        <v>0</v>
      </c>
      <c r="I924" s="7" t="n">
        <f aca="false">IF(ISBLANK(customer_churn_dataset!I924),ROUND(MEDIAN(customer_churn_dataset!I$2:I$1501),1),MIN(100,MAX(0,customer_churn_dataset!I924)))</f>
        <v>44</v>
      </c>
      <c r="J924" s="7" t="n">
        <f aca="false">IF(ISBLANK(customer_churn_dataset!J924),0,MAX(0,customer_churn_dataset!J924))</f>
        <v>12</v>
      </c>
      <c r="K924" s="7" t="n">
        <f aca="false">IF(ISBLANK(customer_churn_dataset!K924),0,MIN(10,MAX(0,customer_churn_dataset!K924)))</f>
        <v>4</v>
      </c>
      <c r="L924" s="7" t="n">
        <f aca="false">IF(ISBLANK(customer_churn_dataset!L924),0,MAX(0,customer_churn_dataset!L924))</f>
        <v>0</v>
      </c>
      <c r="M924" s="7" t="n">
        <f aca="false">IF(ISBLANK(customer_churn_dataset!M924),0,customer_churn_dataset!M924)</f>
        <v>0</v>
      </c>
      <c r="N924" s="7" t="n">
        <f aca="false">IF(ISBLANK(customer_churn_dataset!N924),0,MAX(0,customer_churn_dataset!N924))</f>
        <v>302.72</v>
      </c>
      <c r="O924" s="7" t="n">
        <f aca="false">IF(ISBLANK(customer_churn_dataset!O924),0,customer_churn_dataset!O924)</f>
        <v>0</v>
      </c>
      <c r="P924" s="7" t="str">
        <f aca="false">IF(COUNTIF(customer_churn_dataset!$A$2:$A$1501,customer_churn_dataset!A924)&gt;1,"Duplicate","Unique")</f>
        <v>Unique</v>
      </c>
    </row>
    <row r="925" customFormat="false" ht="14.15" hidden="false" customHeight="true" outlineLevel="0" collapsed="false">
      <c r="A925" s="7" t="str">
        <f aca="false">TRIM(customer_churn_dataset!A925)</f>
        <v>CUST100366</v>
      </c>
      <c r="B925" s="7" t="str">
        <f aca="false">PROPER(TRIM(customer_churn_dataset!B925))</f>
        <v>Premium</v>
      </c>
      <c r="C925" s="7" t="str">
        <f aca="false">PROPER(TRIM(customer_churn_dataset!C925))</f>
        <v>Month-To-Month</v>
      </c>
      <c r="D925" s="7" t="n">
        <f aca="false">IF(ISBLANK(customer_churn_dataset!D925),ROUND(MEDIAN(customer_churn_dataset!D$2:D$1501),2),IF(customer_churn_dataset!D925&lt;0,ABS(customer_churn_dataset!D925),customer_churn_dataset!D925))</f>
        <v>41.87</v>
      </c>
      <c r="E925" s="7" t="n">
        <f aca="false">IF(ISBLANK(customer_churn_dataset!E925),0,MAX(0,customer_churn_dataset!E925))</f>
        <v>26</v>
      </c>
      <c r="F925" s="8" t="n">
        <f aca="false">IF(ISBLANK(customer_churn_dataset!F925),"",customer_churn_dataset!F925)</f>
        <v>45047</v>
      </c>
      <c r="G925" s="7" t="str">
        <f aca="false">PROPER(TRIM(customer_churn_dataset!G925))</f>
        <v>Manual/Invoice</v>
      </c>
      <c r="H925" s="7" t="n">
        <f aca="false">IF(ISBLANK(customer_churn_dataset!H925),0,customer_churn_dataset!H925)</f>
        <v>0</v>
      </c>
      <c r="I925" s="7" t="n">
        <f aca="false">IF(ISBLANK(customer_churn_dataset!I925),ROUND(MEDIAN(customer_churn_dataset!I$2:I$1501),1),MIN(100,MAX(0,customer_churn_dataset!I925)))</f>
        <v>84.5</v>
      </c>
      <c r="J925" s="7" t="n">
        <f aca="false">IF(ISBLANK(customer_churn_dataset!J925),0,MAX(0,customer_churn_dataset!J925))</f>
        <v>30</v>
      </c>
      <c r="K925" s="7" t="n">
        <f aca="false">IF(ISBLANK(customer_churn_dataset!K925),0,MIN(10,MAX(0,customer_churn_dataset!K925)))</f>
        <v>7</v>
      </c>
      <c r="L925" s="7" t="n">
        <f aca="false">IF(ISBLANK(customer_churn_dataset!L925),0,MAX(0,customer_churn_dataset!L925))</f>
        <v>0</v>
      </c>
      <c r="M925" s="7" t="n">
        <f aca="false">IF(ISBLANK(customer_churn_dataset!M925),0,customer_churn_dataset!M925)</f>
        <v>0</v>
      </c>
      <c r="N925" s="7" t="n">
        <f aca="false">IF(ISBLANK(customer_churn_dataset!N925),0,MAX(0,customer_churn_dataset!N925))</f>
        <v>1088.62</v>
      </c>
      <c r="O925" s="7" t="n">
        <f aca="false">IF(ISBLANK(customer_churn_dataset!O925),0,customer_churn_dataset!O925)</f>
        <v>0</v>
      </c>
      <c r="P925" s="7" t="str">
        <f aca="false">IF(COUNTIF(customer_churn_dataset!$A$2:$A$1501,customer_churn_dataset!A925)&gt;1,"Duplicate","Unique")</f>
        <v>Unique</v>
      </c>
    </row>
    <row r="926" customFormat="false" ht="14.15" hidden="false" customHeight="true" outlineLevel="0" collapsed="false">
      <c r="A926" s="7" t="str">
        <f aca="false">TRIM(customer_churn_dataset!A926)</f>
        <v>CUST100316</v>
      </c>
      <c r="B926" s="7" t="str">
        <f aca="false">PROPER(TRIM(customer_churn_dataset!B926))</f>
        <v>Basic</v>
      </c>
      <c r="C926" s="7" t="str">
        <f aca="false">PROPER(TRIM(customer_churn_dataset!C926))</f>
        <v>One Year</v>
      </c>
      <c r="D926" s="7" t="n">
        <f aca="false">IF(ISBLANK(customer_churn_dataset!D926),ROUND(MEDIAN(customer_churn_dataset!D$2:D$1501),2),IF(customer_churn_dataset!D926&lt;0,ABS(customer_churn_dataset!D926),customer_churn_dataset!D926))</f>
        <v>9.87</v>
      </c>
      <c r="E926" s="7" t="n">
        <f aca="false">IF(ISBLANK(customer_churn_dataset!E926),0,MAX(0,customer_churn_dataset!E926))</f>
        <v>3</v>
      </c>
      <c r="F926" s="8" t="n">
        <f aca="false">IF(ISBLANK(customer_churn_dataset!F926),"",customer_churn_dataset!F926)</f>
        <v>45048</v>
      </c>
      <c r="G926" s="7" t="str">
        <f aca="false">PROPER(TRIM(customer_churn_dataset!G926))</f>
        <v>Bank Transfer</v>
      </c>
      <c r="H926" s="7" t="n">
        <f aca="false">IF(ISBLANK(customer_churn_dataset!H926),0,customer_churn_dataset!H926)</f>
        <v>0</v>
      </c>
      <c r="I926" s="7" t="n">
        <f aca="false">IF(ISBLANK(customer_churn_dataset!I926),ROUND(MEDIAN(customer_churn_dataset!I$2:I$1501),1),MIN(100,MAX(0,customer_churn_dataset!I926)))</f>
        <v>88.8</v>
      </c>
      <c r="J926" s="7" t="n">
        <f aca="false">IF(ISBLANK(customer_churn_dataset!J926),0,MAX(0,customer_churn_dataset!J926))</f>
        <v>24</v>
      </c>
      <c r="K926" s="7" t="n">
        <f aca="false">IF(ISBLANK(customer_churn_dataset!K926),0,MIN(10,MAX(0,customer_churn_dataset!K926)))</f>
        <v>10</v>
      </c>
      <c r="L926" s="7" t="n">
        <f aca="false">IF(ISBLANK(customer_churn_dataset!L926),0,MAX(0,customer_churn_dataset!L926))</f>
        <v>0</v>
      </c>
      <c r="M926" s="7" t="n">
        <f aca="false">IF(ISBLANK(customer_churn_dataset!M926),0,customer_churn_dataset!M926)</f>
        <v>0</v>
      </c>
      <c r="N926" s="7" t="n">
        <f aca="false">IF(ISBLANK(customer_churn_dataset!N926),0,MAX(0,customer_churn_dataset!N926))</f>
        <v>29.61</v>
      </c>
      <c r="O926" s="7" t="n">
        <f aca="false">IF(ISBLANK(customer_churn_dataset!O926),0,customer_churn_dataset!O926)</f>
        <v>1</v>
      </c>
      <c r="P926" s="7" t="str">
        <f aca="false">IF(COUNTIF(customer_churn_dataset!$A$2:$A$1501,customer_churn_dataset!A926)&gt;1,"Duplicate","Unique")</f>
        <v>Unique</v>
      </c>
    </row>
    <row r="927" customFormat="false" ht="14.15" hidden="false" customHeight="true" outlineLevel="0" collapsed="false">
      <c r="A927" s="7" t="str">
        <f aca="false">TRIM(customer_churn_dataset!A927)</f>
        <v>CUST100942</v>
      </c>
      <c r="B927" s="7" t="str">
        <f aca="false">PROPER(TRIM(customer_churn_dataset!B927))</f>
        <v>Standard</v>
      </c>
      <c r="C927" s="7" t="str">
        <f aca="false">PROPER(TRIM(customer_churn_dataset!C927))</f>
        <v>One Year</v>
      </c>
      <c r="D927" s="7" t="n">
        <f aca="false">IF(ISBLANK(customer_churn_dataset!D927),ROUND(MEDIAN(customer_churn_dataset!D$2:D$1501),2),IF(customer_churn_dataset!D927&lt;0,ABS(customer_churn_dataset!D927),customer_churn_dataset!D927))</f>
        <v>19.12</v>
      </c>
      <c r="E927" s="7" t="n">
        <f aca="false">IF(ISBLANK(customer_churn_dataset!E927),0,MAX(0,customer_churn_dataset!E927))</f>
        <v>21</v>
      </c>
      <c r="F927" s="8" t="n">
        <f aca="false">IF(ISBLANK(customer_churn_dataset!F927),"",customer_churn_dataset!F927)</f>
        <v>45050</v>
      </c>
      <c r="G927" s="7" t="str">
        <f aca="false">PROPER(TRIM(customer_churn_dataset!G927))</f>
        <v>Bank Transfer</v>
      </c>
      <c r="H927" s="7" t="n">
        <f aca="false">IF(ISBLANK(customer_churn_dataset!H927),0,customer_churn_dataset!H927)</f>
        <v>1</v>
      </c>
      <c r="I927" s="7" t="n">
        <f aca="false">IF(ISBLANK(customer_churn_dataset!I927),ROUND(MEDIAN(customer_churn_dataset!I$2:I$1501),1),MIN(100,MAX(0,customer_churn_dataset!I927)))</f>
        <v>55.7</v>
      </c>
      <c r="J927" s="7" t="n">
        <f aca="false">IF(ISBLANK(customer_churn_dataset!J927),0,MAX(0,customer_churn_dataset!J927))</f>
        <v>21</v>
      </c>
      <c r="K927" s="7" t="n">
        <f aca="false">IF(ISBLANK(customer_churn_dataset!K927),0,MIN(10,MAX(0,customer_churn_dataset!K927)))</f>
        <v>5</v>
      </c>
      <c r="L927" s="7" t="n">
        <f aca="false">IF(ISBLANK(customer_churn_dataset!L927),0,MAX(0,customer_churn_dataset!L927))</f>
        <v>3</v>
      </c>
      <c r="M927" s="7" t="n">
        <f aca="false">IF(ISBLANK(customer_churn_dataset!M927),0,customer_churn_dataset!M927)</f>
        <v>1</v>
      </c>
      <c r="N927" s="7" t="n">
        <f aca="false">IF(ISBLANK(customer_churn_dataset!N927),0,MAX(0,customer_churn_dataset!N927))</f>
        <v>401.52</v>
      </c>
      <c r="O927" s="7" t="n">
        <f aca="false">IF(ISBLANK(customer_churn_dataset!O927),0,customer_churn_dataset!O927)</f>
        <v>0</v>
      </c>
      <c r="P927" s="7" t="str">
        <f aca="false">IF(COUNTIF(customer_churn_dataset!$A$2:$A$1501,customer_churn_dataset!A927)&gt;1,"Duplicate","Unique")</f>
        <v>Unique</v>
      </c>
    </row>
    <row r="928" customFormat="false" ht="14.15" hidden="false" customHeight="true" outlineLevel="0" collapsed="false">
      <c r="A928" s="7" t="str">
        <f aca="false">TRIM(customer_churn_dataset!A928)</f>
        <v>CUST100153</v>
      </c>
      <c r="B928" s="7" t="str">
        <f aca="false">PROPER(TRIM(customer_churn_dataset!B928))</f>
        <v>Standard</v>
      </c>
      <c r="C928" s="7" t="str">
        <f aca="false">PROPER(TRIM(customer_churn_dataset!C928))</f>
        <v>Month-To-Month</v>
      </c>
      <c r="D928" s="7" t="n">
        <f aca="false">IF(ISBLANK(customer_churn_dataset!D928),ROUND(MEDIAN(customer_churn_dataset!D$2:D$1501),2),IF(customer_churn_dataset!D928&lt;0,ABS(customer_churn_dataset!D928),customer_churn_dataset!D928))</f>
        <v>20.55</v>
      </c>
      <c r="E928" s="7" t="n">
        <f aca="false">IF(ISBLANK(customer_churn_dataset!E928),0,MAX(0,customer_churn_dataset!E928))</f>
        <v>42</v>
      </c>
      <c r="F928" s="8" t="n">
        <f aca="false">IF(ISBLANK(customer_churn_dataset!F928),"",customer_churn_dataset!F928)</f>
        <v>45051</v>
      </c>
      <c r="G928" s="7" t="str">
        <f aca="false">PROPER(TRIM(customer_churn_dataset!G928))</f>
        <v>Credit Card</v>
      </c>
      <c r="H928" s="7" t="n">
        <f aca="false">IF(ISBLANK(customer_churn_dataset!H928),0,customer_churn_dataset!H928)</f>
        <v>0</v>
      </c>
      <c r="I928" s="7" t="n">
        <f aca="false">IF(ISBLANK(customer_churn_dataset!I928),ROUND(MEDIAN(customer_churn_dataset!I$2:I$1501),1),MIN(100,MAX(0,customer_churn_dataset!I928)))</f>
        <v>69.7</v>
      </c>
      <c r="J928" s="7" t="n">
        <f aca="false">IF(ISBLANK(customer_churn_dataset!J928),0,MAX(0,customer_churn_dataset!J928))</f>
        <v>23</v>
      </c>
      <c r="K928" s="7" t="n">
        <f aca="false">IF(ISBLANK(customer_churn_dataset!K928),0,MIN(10,MAX(0,customer_churn_dataset!K928)))</f>
        <v>7</v>
      </c>
      <c r="L928" s="7" t="n">
        <f aca="false">IF(ISBLANK(customer_churn_dataset!L928),0,MAX(0,customer_churn_dataset!L928))</f>
        <v>1</v>
      </c>
      <c r="M928" s="7" t="n">
        <f aca="false">IF(ISBLANK(customer_churn_dataset!M928),0,customer_churn_dataset!M928)</f>
        <v>1</v>
      </c>
      <c r="N928" s="7" t="n">
        <f aca="false">IF(ISBLANK(customer_churn_dataset!N928),0,MAX(0,customer_churn_dataset!N928))</f>
        <v>863.1</v>
      </c>
      <c r="O928" s="7" t="n">
        <f aca="false">IF(ISBLANK(customer_churn_dataset!O928),0,customer_churn_dataset!O928)</f>
        <v>0</v>
      </c>
      <c r="P928" s="7" t="str">
        <f aca="false">IF(COUNTIF(customer_churn_dataset!$A$2:$A$1501,customer_churn_dataset!A928)&gt;1,"Duplicate","Unique")</f>
        <v>Unique</v>
      </c>
    </row>
    <row r="929" customFormat="false" ht="14.15" hidden="false" customHeight="true" outlineLevel="0" collapsed="false">
      <c r="A929" s="7" t="str">
        <f aca="false">TRIM(customer_churn_dataset!A929)</f>
        <v>CUST100460</v>
      </c>
      <c r="B929" s="7" t="str">
        <f aca="false">PROPER(TRIM(customer_churn_dataset!B929))</f>
        <v>Basic</v>
      </c>
      <c r="C929" s="7" t="str">
        <f aca="false">PROPER(TRIM(customer_churn_dataset!C929))</f>
        <v>Month-To-Month</v>
      </c>
      <c r="D929" s="7" t="n">
        <f aca="false">IF(ISBLANK(customer_churn_dataset!D929),ROUND(MEDIAN(customer_churn_dataset!D$2:D$1501),2),IF(customer_churn_dataset!D929&lt;0,ABS(customer_churn_dataset!D929),customer_churn_dataset!D929))</f>
        <v>10.1</v>
      </c>
      <c r="E929" s="7" t="n">
        <f aca="false">IF(ISBLANK(customer_churn_dataset!E929),0,MAX(0,customer_churn_dataset!E929))</f>
        <v>1</v>
      </c>
      <c r="F929" s="8" t="n">
        <f aca="false">IF(ISBLANK(customer_churn_dataset!F929),"",customer_churn_dataset!F929)</f>
        <v>45051</v>
      </c>
      <c r="G929" s="7" t="str">
        <f aca="false">PROPER(TRIM(customer_churn_dataset!G929))</f>
        <v>Credit Card</v>
      </c>
      <c r="H929" s="7" t="n">
        <f aca="false">IF(ISBLANK(customer_churn_dataset!H929),0,customer_churn_dataset!H929)</f>
        <v>1</v>
      </c>
      <c r="I929" s="7" t="n">
        <f aca="false">IF(ISBLANK(customer_churn_dataset!I929),ROUND(MEDIAN(customer_churn_dataset!I$2:I$1501),1),MIN(100,MAX(0,customer_churn_dataset!I929)))</f>
        <v>71.7</v>
      </c>
      <c r="J929" s="7" t="n">
        <f aca="false">IF(ISBLANK(customer_churn_dataset!J929),0,MAX(0,customer_churn_dataset!J929))</f>
        <v>21</v>
      </c>
      <c r="K929" s="7" t="n">
        <f aca="false">IF(ISBLANK(customer_churn_dataset!K929),0,MIN(10,MAX(0,customer_churn_dataset!K929)))</f>
        <v>7</v>
      </c>
      <c r="L929" s="7" t="n">
        <f aca="false">IF(ISBLANK(customer_churn_dataset!L929),0,MAX(0,customer_churn_dataset!L929))</f>
        <v>1</v>
      </c>
      <c r="M929" s="7" t="n">
        <f aca="false">IF(ISBLANK(customer_churn_dataset!M929),0,customer_churn_dataset!M929)</f>
        <v>1</v>
      </c>
      <c r="N929" s="7" t="n">
        <f aca="false">IF(ISBLANK(customer_churn_dataset!N929),0,MAX(0,customer_churn_dataset!N929))</f>
        <v>10.1</v>
      </c>
      <c r="O929" s="7" t="n">
        <f aca="false">IF(ISBLANK(customer_churn_dataset!O929),0,customer_churn_dataset!O929)</f>
        <v>1</v>
      </c>
      <c r="P929" s="7" t="str">
        <f aca="false">IF(COUNTIF(customer_churn_dataset!$A$2:$A$1501,customer_churn_dataset!A929)&gt;1,"Duplicate","Unique")</f>
        <v>Unique</v>
      </c>
    </row>
    <row r="930" customFormat="false" ht="14.15" hidden="false" customHeight="true" outlineLevel="0" collapsed="false">
      <c r="A930" s="7" t="str">
        <f aca="false">TRIM(customer_churn_dataset!A930)</f>
        <v>CUST100402</v>
      </c>
      <c r="B930" s="7" t="str">
        <f aca="false">PROPER(TRIM(customer_churn_dataset!B930))</f>
        <v>Standard</v>
      </c>
      <c r="C930" s="7" t="str">
        <f aca="false">PROPER(TRIM(customer_churn_dataset!C930))</f>
        <v>Month-To-Month</v>
      </c>
      <c r="D930" s="7" t="n">
        <f aca="false">IF(ISBLANK(customer_churn_dataset!D930),ROUND(MEDIAN(customer_churn_dataset!D$2:D$1501),2),IF(customer_churn_dataset!D930&lt;0,ABS(customer_churn_dataset!D930),customer_churn_dataset!D930))</f>
        <v>17.57</v>
      </c>
      <c r="E930" s="7" t="n">
        <f aca="false">IF(ISBLANK(customer_churn_dataset!E930),0,MAX(0,customer_churn_dataset!E930))</f>
        <v>42</v>
      </c>
      <c r="F930" s="8" t="n">
        <f aca="false">IF(ISBLANK(customer_churn_dataset!F930),"",customer_churn_dataset!F930)</f>
        <v>45053</v>
      </c>
      <c r="G930" s="7" t="str">
        <f aca="false">PROPER(TRIM(customer_churn_dataset!G930))</f>
        <v>Bank Transfer</v>
      </c>
      <c r="H930" s="7" t="n">
        <f aca="false">IF(ISBLANK(customer_churn_dataset!H930),0,customer_churn_dataset!H930)</f>
        <v>1</v>
      </c>
      <c r="I930" s="7" t="n">
        <f aca="false">IF(ISBLANK(customer_churn_dataset!I930),ROUND(MEDIAN(customer_churn_dataset!I$2:I$1501),1),MIN(100,MAX(0,customer_churn_dataset!I930)))</f>
        <v>73.3</v>
      </c>
      <c r="J930" s="7" t="n">
        <f aca="false">IF(ISBLANK(customer_churn_dataset!J930),0,MAX(0,customer_churn_dataset!J930))</f>
        <v>20</v>
      </c>
      <c r="K930" s="7" t="n">
        <f aca="false">IF(ISBLANK(customer_churn_dataset!K930),0,MIN(10,MAX(0,customer_churn_dataset!K930)))</f>
        <v>8</v>
      </c>
      <c r="L930" s="7" t="n">
        <f aca="false">IF(ISBLANK(customer_churn_dataset!L930),0,MAX(0,customer_churn_dataset!L930))</f>
        <v>2</v>
      </c>
      <c r="M930" s="7" t="n">
        <f aca="false">IF(ISBLANK(customer_churn_dataset!M930),0,customer_churn_dataset!M930)</f>
        <v>0</v>
      </c>
      <c r="N930" s="7" t="n">
        <f aca="false">IF(ISBLANK(customer_churn_dataset!N930),0,MAX(0,customer_churn_dataset!N930))</f>
        <v>737.94</v>
      </c>
      <c r="O930" s="7" t="n">
        <f aca="false">IF(ISBLANK(customer_churn_dataset!O930),0,customer_churn_dataset!O930)</f>
        <v>0</v>
      </c>
      <c r="P930" s="7" t="str">
        <f aca="false">IF(COUNTIF(customer_churn_dataset!$A$2:$A$1501,customer_churn_dataset!A930)&gt;1,"Duplicate","Unique")</f>
        <v>Unique</v>
      </c>
    </row>
    <row r="931" customFormat="false" ht="14.15" hidden="false" customHeight="true" outlineLevel="0" collapsed="false">
      <c r="A931" s="7" t="str">
        <f aca="false">TRIM(customer_churn_dataset!A931)</f>
        <v>CUST100531</v>
      </c>
      <c r="B931" s="7" t="str">
        <f aca="false">PROPER(TRIM(customer_churn_dataset!B931))</f>
        <v>Premium</v>
      </c>
      <c r="C931" s="7" t="str">
        <f aca="false">PROPER(TRIM(customer_churn_dataset!C931))</f>
        <v>One Year</v>
      </c>
      <c r="D931" s="7" t="n">
        <f aca="false">IF(ISBLANK(customer_churn_dataset!D931),ROUND(MEDIAN(customer_churn_dataset!D$2:D$1501),2),IF(customer_churn_dataset!D931&lt;0,ABS(customer_churn_dataset!D931),customer_churn_dataset!D931))</f>
        <v>39.52</v>
      </c>
      <c r="E931" s="7" t="n">
        <f aca="false">IF(ISBLANK(customer_churn_dataset!E931),0,MAX(0,customer_churn_dataset!E931))</f>
        <v>13</v>
      </c>
      <c r="F931" s="8" t="n">
        <f aca="false">IF(ISBLANK(customer_churn_dataset!F931),"",customer_churn_dataset!F931)</f>
        <v>45054</v>
      </c>
      <c r="G931" s="7" t="str">
        <f aca="false">PROPER(TRIM(customer_churn_dataset!G931))</f>
        <v>Credit Card</v>
      </c>
      <c r="H931" s="7" t="n">
        <f aca="false">IF(ISBLANK(customer_churn_dataset!H931),0,customer_churn_dataset!H931)</f>
        <v>0</v>
      </c>
      <c r="I931" s="7" t="n">
        <f aca="false">IF(ISBLANK(customer_churn_dataset!I931),ROUND(MEDIAN(customer_churn_dataset!I$2:I$1501),1),MIN(100,MAX(0,customer_churn_dataset!I931)))</f>
        <v>37.3</v>
      </c>
      <c r="J931" s="7" t="n">
        <f aca="false">IF(ISBLANK(customer_churn_dataset!J931),0,MAX(0,customer_churn_dataset!J931))</f>
        <v>4</v>
      </c>
      <c r="K931" s="7" t="n">
        <f aca="false">IF(ISBLANK(customer_churn_dataset!K931),0,MIN(10,MAX(0,customer_churn_dataset!K931)))</f>
        <v>5</v>
      </c>
      <c r="L931" s="7" t="n">
        <f aca="false">IF(ISBLANK(customer_churn_dataset!L931),0,MAX(0,customer_churn_dataset!L931))</f>
        <v>1</v>
      </c>
      <c r="M931" s="7" t="n">
        <f aca="false">IF(ISBLANK(customer_churn_dataset!M931),0,customer_churn_dataset!M931)</f>
        <v>0</v>
      </c>
      <c r="N931" s="7" t="n">
        <f aca="false">IF(ISBLANK(customer_churn_dataset!N931),0,MAX(0,customer_churn_dataset!N931))</f>
        <v>513.76</v>
      </c>
      <c r="O931" s="7" t="n">
        <f aca="false">IF(ISBLANK(customer_churn_dataset!O931),0,customer_churn_dataset!O931)</f>
        <v>0</v>
      </c>
      <c r="P931" s="7" t="str">
        <f aca="false">IF(COUNTIF(customer_churn_dataset!$A$2:$A$1501,customer_churn_dataset!A931)&gt;1,"Duplicate","Unique")</f>
        <v>Unique</v>
      </c>
    </row>
    <row r="932" customFormat="false" ht="14.15" hidden="false" customHeight="true" outlineLevel="0" collapsed="false">
      <c r="A932" s="7" t="str">
        <f aca="false">TRIM(customer_churn_dataset!A932)</f>
        <v>CUST100184</v>
      </c>
      <c r="B932" s="7" t="str">
        <f aca="false">PROPER(TRIM(customer_churn_dataset!B932))</f>
        <v>Basic</v>
      </c>
      <c r="C932" s="7" t="str">
        <f aca="false">PROPER(TRIM(customer_churn_dataset!C932))</f>
        <v>One Year</v>
      </c>
      <c r="D932" s="7" t="n">
        <f aca="false">IF(ISBLANK(customer_churn_dataset!D932),ROUND(MEDIAN(customer_churn_dataset!D$2:D$1501),2),IF(customer_churn_dataset!D932&lt;0,ABS(customer_churn_dataset!D932),customer_churn_dataset!D932))</f>
        <v>10.94</v>
      </c>
      <c r="E932" s="7" t="n">
        <f aca="false">IF(ISBLANK(customer_churn_dataset!E932),0,MAX(0,customer_churn_dataset!E932))</f>
        <v>4</v>
      </c>
      <c r="F932" s="8" t="n">
        <f aca="false">IF(ISBLANK(customer_churn_dataset!F932),"",customer_churn_dataset!F932)</f>
        <v>45057</v>
      </c>
      <c r="G932" s="7" t="str">
        <f aca="false">PROPER(TRIM(customer_churn_dataset!G932))</f>
        <v>Credit Card</v>
      </c>
      <c r="H932" s="7" t="n">
        <f aca="false">IF(ISBLANK(customer_churn_dataset!H932),0,customer_churn_dataset!H932)</f>
        <v>1</v>
      </c>
      <c r="I932" s="7" t="n">
        <f aca="false">IF(ISBLANK(customer_churn_dataset!I932),ROUND(MEDIAN(customer_churn_dataset!I$2:I$1501),1),MIN(100,MAX(0,customer_churn_dataset!I932)))</f>
        <v>63.8</v>
      </c>
      <c r="J932" s="7" t="n">
        <f aca="false">IF(ISBLANK(customer_churn_dataset!J932),0,MAX(0,customer_churn_dataset!J932))</f>
        <v>20</v>
      </c>
      <c r="K932" s="7" t="n">
        <f aca="false">IF(ISBLANK(customer_churn_dataset!K932),0,MIN(10,MAX(0,customer_churn_dataset!K932)))</f>
        <v>5</v>
      </c>
      <c r="L932" s="7" t="n">
        <f aca="false">IF(ISBLANK(customer_churn_dataset!L932),0,MAX(0,customer_churn_dataset!L932))</f>
        <v>0</v>
      </c>
      <c r="M932" s="7" t="n">
        <f aca="false">IF(ISBLANK(customer_churn_dataset!M932),0,customer_churn_dataset!M932)</f>
        <v>0</v>
      </c>
      <c r="N932" s="7" t="n">
        <f aca="false">IF(ISBLANK(customer_churn_dataset!N932),0,MAX(0,customer_churn_dataset!N932))</f>
        <v>43.76</v>
      </c>
      <c r="O932" s="7" t="n">
        <f aca="false">IF(ISBLANK(customer_churn_dataset!O932),0,customer_churn_dataset!O932)</f>
        <v>0</v>
      </c>
      <c r="P932" s="7" t="str">
        <f aca="false">IF(COUNTIF(customer_churn_dataset!$A$2:$A$1501,customer_churn_dataset!A932)&gt;1,"Duplicate","Unique")</f>
        <v>Unique</v>
      </c>
    </row>
    <row r="933" customFormat="false" ht="14.15" hidden="false" customHeight="true" outlineLevel="0" collapsed="false">
      <c r="A933" s="7" t="str">
        <f aca="false">TRIM(customer_churn_dataset!A933)</f>
        <v>CUST100297</v>
      </c>
      <c r="B933" s="7" t="str">
        <f aca="false">PROPER(TRIM(customer_churn_dataset!B933))</f>
        <v>Basic</v>
      </c>
      <c r="C933" s="7" t="str">
        <f aca="false">PROPER(TRIM(customer_churn_dataset!C933))</f>
        <v>Month-To-Month</v>
      </c>
      <c r="D933" s="7" t="n">
        <f aca="false">IF(ISBLANK(customer_churn_dataset!D933),ROUND(MEDIAN(customer_churn_dataset!D$2:D$1501),2),IF(customer_churn_dataset!D933&lt;0,ABS(customer_churn_dataset!D933),customer_churn_dataset!D933))</f>
        <v>10.37</v>
      </c>
      <c r="E933" s="7" t="n">
        <f aca="false">IF(ISBLANK(customer_churn_dataset!E933),0,MAX(0,customer_churn_dataset!E933))</f>
        <v>13</v>
      </c>
      <c r="F933" s="8" t="n">
        <f aca="false">IF(ISBLANK(customer_churn_dataset!F933),"",customer_churn_dataset!F933)</f>
        <v>45058</v>
      </c>
      <c r="G933" s="7" t="str">
        <f aca="false">PROPER(TRIM(customer_churn_dataset!G933))</f>
        <v>Bank Transfer</v>
      </c>
      <c r="H933" s="7" t="n">
        <f aca="false">IF(ISBLANK(customer_churn_dataset!H933),0,customer_churn_dataset!H933)</f>
        <v>1</v>
      </c>
      <c r="I933" s="7" t="n">
        <f aca="false">IF(ISBLANK(customer_churn_dataset!I933),ROUND(MEDIAN(customer_churn_dataset!I$2:I$1501),1),MIN(100,MAX(0,customer_churn_dataset!I933)))</f>
        <v>78.6</v>
      </c>
      <c r="J933" s="7" t="n">
        <f aca="false">IF(ISBLANK(customer_churn_dataset!J933),0,MAX(0,customer_churn_dataset!J933))</f>
        <v>20</v>
      </c>
      <c r="K933" s="7" t="n">
        <f aca="false">IF(ISBLANK(customer_churn_dataset!K933),0,MIN(10,MAX(0,customer_churn_dataset!K933)))</f>
        <v>9</v>
      </c>
      <c r="L933" s="7" t="n">
        <f aca="false">IF(ISBLANK(customer_churn_dataset!L933),0,MAX(0,customer_churn_dataset!L933))</f>
        <v>1</v>
      </c>
      <c r="M933" s="7" t="n">
        <f aca="false">IF(ISBLANK(customer_churn_dataset!M933),0,customer_churn_dataset!M933)</f>
        <v>1</v>
      </c>
      <c r="N933" s="7" t="n">
        <f aca="false">IF(ISBLANK(customer_churn_dataset!N933),0,MAX(0,customer_churn_dataset!N933))</f>
        <v>134.81</v>
      </c>
      <c r="O933" s="7" t="n">
        <f aca="false">IF(ISBLANK(customer_churn_dataset!O933),0,customer_churn_dataset!O933)</f>
        <v>0</v>
      </c>
      <c r="P933" s="7" t="str">
        <f aca="false">IF(COUNTIF(customer_churn_dataset!$A$2:$A$1501,customer_churn_dataset!A933)&gt;1,"Duplicate","Unique")</f>
        <v>Unique</v>
      </c>
    </row>
    <row r="934" customFormat="false" ht="14.15" hidden="false" customHeight="true" outlineLevel="0" collapsed="false">
      <c r="A934" s="7" t="str">
        <f aca="false">TRIM(customer_churn_dataset!A934)</f>
        <v>CUST100203</v>
      </c>
      <c r="B934" s="7" t="str">
        <f aca="false">PROPER(TRIM(customer_churn_dataset!B934))</f>
        <v>Premium</v>
      </c>
      <c r="C934" s="7" t="str">
        <f aca="false">PROPER(TRIM(customer_churn_dataset!C934))</f>
        <v>Two Year</v>
      </c>
      <c r="D934" s="7" t="n">
        <f aca="false">IF(ISBLANK(customer_churn_dataset!D934),ROUND(MEDIAN(customer_churn_dataset!D$2:D$1501),2),IF(customer_churn_dataset!D934&lt;0,ABS(customer_churn_dataset!D934),customer_churn_dataset!D934))</f>
        <v>39.02</v>
      </c>
      <c r="E934" s="7" t="n">
        <f aca="false">IF(ISBLANK(customer_churn_dataset!E934),0,MAX(0,customer_churn_dataset!E934))</f>
        <v>0</v>
      </c>
      <c r="F934" s="8" t="n">
        <f aca="false">IF(ISBLANK(customer_churn_dataset!F934),"",customer_churn_dataset!F934)</f>
        <v>45058</v>
      </c>
      <c r="G934" s="7" t="str">
        <f aca="false">PROPER(TRIM(customer_churn_dataset!G934))</f>
        <v>Credit Card</v>
      </c>
      <c r="H934" s="7" t="n">
        <f aca="false">IF(ISBLANK(customer_churn_dataset!H934),0,customer_churn_dataset!H934)</f>
        <v>1</v>
      </c>
      <c r="I934" s="7" t="n">
        <f aca="false">IF(ISBLANK(customer_churn_dataset!I934),ROUND(MEDIAN(customer_churn_dataset!I$2:I$1501),1),MIN(100,MAX(0,customer_churn_dataset!I934)))</f>
        <v>65.1</v>
      </c>
      <c r="J934" s="7" t="n">
        <f aca="false">IF(ISBLANK(customer_churn_dataset!J934),0,MAX(0,customer_churn_dataset!J934))</f>
        <v>15</v>
      </c>
      <c r="K934" s="7" t="n">
        <f aca="false">IF(ISBLANK(customer_churn_dataset!K934),0,MIN(10,MAX(0,customer_churn_dataset!K934)))</f>
        <v>6</v>
      </c>
      <c r="L934" s="7" t="n">
        <f aca="false">IF(ISBLANK(customer_churn_dataset!L934),0,MAX(0,customer_churn_dataset!L934))</f>
        <v>0</v>
      </c>
      <c r="M934" s="7" t="n">
        <f aca="false">IF(ISBLANK(customer_churn_dataset!M934),0,customer_churn_dataset!M934)</f>
        <v>0</v>
      </c>
      <c r="N934" s="7" t="n">
        <f aca="false">IF(ISBLANK(customer_churn_dataset!N934),0,MAX(0,customer_churn_dataset!N934))</f>
        <v>0</v>
      </c>
      <c r="O934" s="7" t="n">
        <f aca="false">IF(ISBLANK(customer_churn_dataset!O934),0,customer_churn_dataset!O934)</f>
        <v>0</v>
      </c>
      <c r="P934" s="7" t="str">
        <f aca="false">IF(COUNTIF(customer_churn_dataset!$A$2:$A$1501,customer_churn_dataset!A934)&gt;1,"Duplicate","Unique")</f>
        <v>Unique</v>
      </c>
    </row>
    <row r="935" customFormat="false" ht="14.15" hidden="false" customHeight="true" outlineLevel="0" collapsed="false">
      <c r="A935" s="7" t="str">
        <f aca="false">TRIM(customer_churn_dataset!A935)</f>
        <v>CUST100627</v>
      </c>
      <c r="B935" s="7" t="str">
        <f aca="false">PROPER(TRIM(customer_churn_dataset!B935))</f>
        <v>Standard</v>
      </c>
      <c r="C935" s="7" t="str">
        <f aca="false">PROPER(TRIM(customer_churn_dataset!C935))</f>
        <v>Month-To-Month</v>
      </c>
      <c r="D935" s="7" t="n">
        <f aca="false">IF(ISBLANK(customer_churn_dataset!D935),ROUND(MEDIAN(customer_churn_dataset!D$2:D$1501),2),IF(customer_churn_dataset!D935&lt;0,ABS(customer_churn_dataset!D935),customer_churn_dataset!D935))</f>
        <v>19.24</v>
      </c>
      <c r="E935" s="7" t="n">
        <f aca="false">IF(ISBLANK(customer_churn_dataset!E935),0,MAX(0,customer_churn_dataset!E935))</f>
        <v>7</v>
      </c>
      <c r="F935" s="8" t="n">
        <f aca="false">IF(ISBLANK(customer_churn_dataset!F935),"",customer_churn_dataset!F935)</f>
        <v>45061</v>
      </c>
      <c r="G935" s="7" t="str">
        <f aca="false">PROPER(TRIM(customer_churn_dataset!G935))</f>
        <v>Credit Card</v>
      </c>
      <c r="H935" s="7" t="n">
        <f aca="false">IF(ISBLANK(customer_churn_dataset!H935),0,customer_churn_dataset!H935)</f>
        <v>1</v>
      </c>
      <c r="I935" s="7" t="n">
        <f aca="false">IF(ISBLANK(customer_churn_dataset!I935),ROUND(MEDIAN(customer_churn_dataset!I$2:I$1501),1),MIN(100,MAX(0,customer_churn_dataset!I935)))</f>
        <v>54.8</v>
      </c>
      <c r="J935" s="7" t="n">
        <f aca="false">IF(ISBLANK(customer_churn_dataset!J935),0,MAX(0,customer_churn_dataset!J935))</f>
        <v>15</v>
      </c>
      <c r="K935" s="7" t="n">
        <f aca="false">IF(ISBLANK(customer_churn_dataset!K935),0,MIN(10,MAX(0,customer_churn_dataset!K935)))</f>
        <v>5</v>
      </c>
      <c r="L935" s="7" t="n">
        <f aca="false">IF(ISBLANK(customer_churn_dataset!L935),0,MAX(0,customer_churn_dataset!L935))</f>
        <v>1</v>
      </c>
      <c r="M935" s="7" t="n">
        <f aca="false">IF(ISBLANK(customer_churn_dataset!M935),0,customer_churn_dataset!M935)</f>
        <v>1</v>
      </c>
      <c r="N935" s="7" t="n">
        <f aca="false">IF(ISBLANK(customer_churn_dataset!N935),0,MAX(0,customer_churn_dataset!N935))</f>
        <v>134.68</v>
      </c>
      <c r="O935" s="7" t="n">
        <f aca="false">IF(ISBLANK(customer_churn_dataset!O935),0,customer_churn_dataset!O935)</f>
        <v>0</v>
      </c>
      <c r="P935" s="7" t="str">
        <f aca="false">IF(COUNTIF(customer_churn_dataset!$A$2:$A$1501,customer_churn_dataset!A935)&gt;1,"Duplicate","Unique")</f>
        <v>Unique</v>
      </c>
    </row>
    <row r="936" customFormat="false" ht="14.15" hidden="false" customHeight="true" outlineLevel="0" collapsed="false">
      <c r="A936" s="7" t="str">
        <f aca="false">TRIM(customer_churn_dataset!A936)</f>
        <v>CUST100336</v>
      </c>
      <c r="B936" s="7" t="str">
        <f aca="false">PROPER(TRIM(customer_churn_dataset!B936))</f>
        <v>Premium</v>
      </c>
      <c r="C936" s="7" t="str">
        <f aca="false">PROPER(TRIM(customer_churn_dataset!C936))</f>
        <v>Month-To-Month</v>
      </c>
      <c r="D936" s="7" t="n">
        <f aca="false">IF(ISBLANK(customer_churn_dataset!D936),ROUND(MEDIAN(customer_churn_dataset!D$2:D$1501),2),IF(customer_churn_dataset!D936&lt;0,ABS(customer_churn_dataset!D936),customer_churn_dataset!D936))</f>
        <v>42.05</v>
      </c>
      <c r="E936" s="7" t="n">
        <f aca="false">IF(ISBLANK(customer_churn_dataset!E936),0,MAX(0,customer_churn_dataset!E936))</f>
        <v>22</v>
      </c>
      <c r="F936" s="8" t="n">
        <f aca="false">IF(ISBLANK(customer_churn_dataset!F936),"",customer_churn_dataset!F936)</f>
        <v>45061</v>
      </c>
      <c r="G936" s="7" t="str">
        <f aca="false">PROPER(TRIM(customer_churn_dataset!G936))</f>
        <v>Credit Card</v>
      </c>
      <c r="H936" s="7" t="n">
        <f aca="false">IF(ISBLANK(customer_churn_dataset!H936),0,customer_churn_dataset!H936)</f>
        <v>0</v>
      </c>
      <c r="I936" s="7" t="n">
        <f aca="false">IF(ISBLANK(customer_churn_dataset!I936),ROUND(MEDIAN(customer_churn_dataset!I$2:I$1501),1),MIN(100,MAX(0,customer_churn_dataset!I936)))</f>
        <v>36</v>
      </c>
      <c r="J936" s="7" t="n">
        <f aca="false">IF(ISBLANK(customer_churn_dataset!J936),0,MAX(0,customer_churn_dataset!J936))</f>
        <v>5</v>
      </c>
      <c r="K936" s="7" t="n">
        <f aca="false">IF(ISBLANK(customer_churn_dataset!K936),0,MIN(10,MAX(0,customer_churn_dataset!K936)))</f>
        <v>2</v>
      </c>
      <c r="L936" s="7" t="n">
        <f aca="false">IF(ISBLANK(customer_churn_dataset!L936),0,MAX(0,customer_churn_dataset!L936))</f>
        <v>1</v>
      </c>
      <c r="M936" s="7" t="n">
        <f aca="false">IF(ISBLANK(customer_churn_dataset!M936),0,customer_churn_dataset!M936)</f>
        <v>0</v>
      </c>
      <c r="N936" s="7" t="n">
        <f aca="false">IF(ISBLANK(customer_churn_dataset!N936),0,MAX(0,customer_churn_dataset!N936))</f>
        <v>925.1</v>
      </c>
      <c r="O936" s="7" t="n">
        <f aca="false">IF(ISBLANK(customer_churn_dataset!O936),0,customer_churn_dataset!O936)</f>
        <v>0</v>
      </c>
      <c r="P936" s="7" t="str">
        <f aca="false">IF(COUNTIF(customer_churn_dataset!$A$2:$A$1501,customer_churn_dataset!A936)&gt;1,"Duplicate","Unique")</f>
        <v>Unique</v>
      </c>
    </row>
    <row r="937" customFormat="false" ht="14.15" hidden="false" customHeight="true" outlineLevel="0" collapsed="false">
      <c r="A937" s="7" t="str">
        <f aca="false">TRIM(customer_churn_dataset!A937)</f>
        <v>CUST100850</v>
      </c>
      <c r="B937" s="7" t="str">
        <f aca="false">PROPER(TRIM(customer_churn_dataset!B937))</f>
        <v>Basic</v>
      </c>
      <c r="C937" s="7" t="str">
        <f aca="false">PROPER(TRIM(customer_churn_dataset!C937))</f>
        <v>Month-To-Month</v>
      </c>
      <c r="D937" s="7" t="n">
        <f aca="false">IF(ISBLANK(customer_churn_dataset!D937),ROUND(MEDIAN(customer_churn_dataset!D$2:D$1501),2),IF(customer_churn_dataset!D937&lt;0,ABS(customer_churn_dataset!D937),customer_churn_dataset!D937))</f>
        <v>8.38</v>
      </c>
      <c r="E937" s="7" t="n">
        <f aca="false">IF(ISBLANK(customer_churn_dataset!E937),0,MAX(0,customer_churn_dataset!E937))</f>
        <v>4</v>
      </c>
      <c r="F937" s="8" t="n">
        <f aca="false">IF(ISBLANK(customer_churn_dataset!F937),"",customer_churn_dataset!F937)</f>
        <v>45063</v>
      </c>
      <c r="G937" s="7" t="str">
        <f aca="false">PROPER(TRIM(customer_churn_dataset!G937))</f>
        <v>Paypal</v>
      </c>
      <c r="H937" s="7" t="n">
        <f aca="false">IF(ISBLANK(customer_churn_dataset!H937),0,customer_churn_dataset!H937)</f>
        <v>1</v>
      </c>
      <c r="I937" s="7" t="n">
        <f aca="false">IF(ISBLANK(customer_churn_dataset!I937),ROUND(MEDIAN(customer_churn_dataset!I$2:I$1501),1),MIN(100,MAX(0,customer_churn_dataset!I937)))</f>
        <v>74.4</v>
      </c>
      <c r="J937" s="7" t="n">
        <f aca="false">IF(ISBLANK(customer_churn_dataset!J937),0,MAX(0,customer_churn_dataset!J937))</f>
        <v>17</v>
      </c>
      <c r="K937" s="7" t="n">
        <f aca="false">IF(ISBLANK(customer_churn_dataset!K937),0,MIN(10,MAX(0,customer_churn_dataset!K937)))</f>
        <v>5</v>
      </c>
      <c r="L937" s="7" t="n">
        <f aca="false">IF(ISBLANK(customer_churn_dataset!L937),0,MAX(0,customer_churn_dataset!L937))</f>
        <v>1</v>
      </c>
      <c r="M937" s="7" t="n">
        <f aca="false">IF(ISBLANK(customer_churn_dataset!M937),0,customer_churn_dataset!M937)</f>
        <v>0</v>
      </c>
      <c r="N937" s="7" t="n">
        <f aca="false">IF(ISBLANK(customer_churn_dataset!N937),0,MAX(0,customer_churn_dataset!N937))</f>
        <v>33.52</v>
      </c>
      <c r="O937" s="7" t="n">
        <f aca="false">IF(ISBLANK(customer_churn_dataset!O937),0,customer_churn_dataset!O937)</f>
        <v>0</v>
      </c>
      <c r="P937" s="7" t="str">
        <f aca="false">IF(COUNTIF(customer_churn_dataset!$A$2:$A$1501,customer_churn_dataset!A937)&gt;1,"Duplicate","Unique")</f>
        <v>Unique</v>
      </c>
    </row>
    <row r="938" customFormat="false" ht="14.15" hidden="false" customHeight="true" outlineLevel="0" collapsed="false">
      <c r="A938" s="7" t="str">
        <f aca="false">TRIM(customer_churn_dataset!A938)</f>
        <v>CUST101338</v>
      </c>
      <c r="B938" s="7" t="str">
        <f aca="false">PROPER(TRIM(customer_churn_dataset!B938))</f>
        <v>Basic</v>
      </c>
      <c r="C938" s="7" t="str">
        <f aca="false">PROPER(TRIM(customer_churn_dataset!C938))</f>
        <v>Month-To-Month</v>
      </c>
      <c r="D938" s="7" t="n">
        <f aca="false">IF(ISBLANK(customer_churn_dataset!D938),ROUND(MEDIAN(customer_churn_dataset!D$2:D$1501),2),IF(customer_churn_dataset!D938&lt;0,ABS(customer_churn_dataset!D938),customer_churn_dataset!D938))</f>
        <v>10.78</v>
      </c>
      <c r="E938" s="7" t="n">
        <f aca="false">IF(ISBLANK(customer_churn_dataset!E938),0,MAX(0,customer_churn_dataset!E938))</f>
        <v>2</v>
      </c>
      <c r="F938" s="8" t="n">
        <f aca="false">IF(ISBLANK(customer_churn_dataset!F938),"",customer_churn_dataset!F938)</f>
        <v>45065</v>
      </c>
      <c r="G938" s="7" t="str">
        <f aca="false">PROPER(TRIM(customer_churn_dataset!G938))</f>
        <v>Credit Card</v>
      </c>
      <c r="H938" s="7" t="n">
        <f aca="false">IF(ISBLANK(customer_churn_dataset!H938),0,customer_churn_dataset!H938)</f>
        <v>1</v>
      </c>
      <c r="I938" s="7" t="n">
        <f aca="false">IF(ISBLANK(customer_churn_dataset!I938),ROUND(MEDIAN(customer_churn_dataset!I$2:I$1501),1),MIN(100,MAX(0,customer_churn_dataset!I938)))</f>
        <v>40.3</v>
      </c>
      <c r="J938" s="7" t="n">
        <f aca="false">IF(ISBLANK(customer_churn_dataset!J938),0,MAX(0,customer_churn_dataset!J938))</f>
        <v>15</v>
      </c>
      <c r="K938" s="7" t="n">
        <f aca="false">IF(ISBLANK(customer_churn_dataset!K938),0,MIN(10,MAX(0,customer_churn_dataset!K938)))</f>
        <v>1</v>
      </c>
      <c r="L938" s="7" t="n">
        <f aca="false">IF(ISBLANK(customer_churn_dataset!L938),0,MAX(0,customer_churn_dataset!L938))</f>
        <v>1</v>
      </c>
      <c r="M938" s="7" t="n">
        <f aca="false">IF(ISBLANK(customer_churn_dataset!M938),0,customer_churn_dataset!M938)</f>
        <v>0</v>
      </c>
      <c r="N938" s="7" t="n">
        <f aca="false">IF(ISBLANK(customer_churn_dataset!N938),0,MAX(0,customer_churn_dataset!N938))</f>
        <v>21.56</v>
      </c>
      <c r="O938" s="7" t="n">
        <f aca="false">IF(ISBLANK(customer_churn_dataset!O938),0,customer_churn_dataset!O938)</f>
        <v>0</v>
      </c>
      <c r="P938" s="7" t="str">
        <f aca="false">IF(COUNTIF(customer_churn_dataset!$A$2:$A$1501,customer_churn_dataset!A938)&gt;1,"Duplicate","Unique")</f>
        <v>Unique</v>
      </c>
    </row>
    <row r="939" customFormat="false" ht="14.15" hidden="false" customHeight="true" outlineLevel="0" collapsed="false">
      <c r="A939" s="7" t="str">
        <f aca="false">TRIM(customer_churn_dataset!A939)</f>
        <v>CUST100788</v>
      </c>
      <c r="B939" s="7" t="str">
        <f aca="false">PROPER(TRIM(customer_churn_dataset!B939))</f>
        <v>Standard</v>
      </c>
      <c r="C939" s="7" t="str">
        <f aca="false">PROPER(TRIM(customer_churn_dataset!C939))</f>
        <v>Month-To-Month</v>
      </c>
      <c r="D939" s="7" t="n">
        <f aca="false">IF(ISBLANK(customer_churn_dataset!D939),ROUND(MEDIAN(customer_churn_dataset!D$2:D$1501),2),IF(customer_churn_dataset!D939&lt;0,ABS(customer_churn_dataset!D939),customer_churn_dataset!D939))</f>
        <v>21.12</v>
      </c>
      <c r="E939" s="7" t="n">
        <f aca="false">IF(ISBLANK(customer_churn_dataset!E939),0,MAX(0,customer_churn_dataset!E939))</f>
        <v>2</v>
      </c>
      <c r="F939" s="8" t="n">
        <f aca="false">IF(ISBLANK(customer_churn_dataset!F939),"",customer_churn_dataset!F939)</f>
        <v>45065</v>
      </c>
      <c r="G939" s="7" t="str">
        <f aca="false">PROPER(TRIM(customer_churn_dataset!G939))</f>
        <v>Credit Card</v>
      </c>
      <c r="H939" s="7" t="n">
        <f aca="false">IF(ISBLANK(customer_churn_dataset!H939),0,customer_churn_dataset!H939)</f>
        <v>0</v>
      </c>
      <c r="I939" s="7" t="n">
        <f aca="false">IF(ISBLANK(customer_churn_dataset!I939),ROUND(MEDIAN(customer_churn_dataset!I$2:I$1501),1),MIN(100,MAX(0,customer_churn_dataset!I939)))</f>
        <v>54.6</v>
      </c>
      <c r="J939" s="7" t="n">
        <f aca="false">IF(ISBLANK(customer_churn_dataset!J939),0,MAX(0,customer_churn_dataset!J939))</f>
        <v>19</v>
      </c>
      <c r="K939" s="7" t="n">
        <f aca="false">IF(ISBLANK(customer_churn_dataset!K939),0,MIN(10,MAX(0,customer_churn_dataset!K939)))</f>
        <v>4</v>
      </c>
      <c r="L939" s="7" t="n">
        <f aca="false">IF(ISBLANK(customer_churn_dataset!L939),0,MAX(0,customer_churn_dataset!L939))</f>
        <v>3</v>
      </c>
      <c r="M939" s="7" t="n">
        <f aca="false">IF(ISBLANK(customer_churn_dataset!M939),0,customer_churn_dataset!M939)</f>
        <v>0</v>
      </c>
      <c r="N939" s="7" t="n">
        <f aca="false">IF(ISBLANK(customer_churn_dataset!N939),0,MAX(0,customer_churn_dataset!N939))</f>
        <v>42.24</v>
      </c>
      <c r="O939" s="7" t="n">
        <f aca="false">IF(ISBLANK(customer_churn_dataset!O939),0,customer_churn_dataset!O939)</f>
        <v>0</v>
      </c>
      <c r="P939" s="7" t="str">
        <f aca="false">IF(COUNTIF(customer_churn_dataset!$A$2:$A$1501,customer_churn_dataset!A939)&gt;1,"Duplicate","Unique")</f>
        <v>Unique</v>
      </c>
    </row>
    <row r="940" customFormat="false" ht="14.15" hidden="false" customHeight="true" outlineLevel="0" collapsed="false">
      <c r="A940" s="7" t="str">
        <f aca="false">TRIM(customer_churn_dataset!A940)</f>
        <v>CUST101295</v>
      </c>
      <c r="B940" s="7" t="str">
        <f aca="false">PROPER(TRIM(customer_churn_dataset!B940))</f>
        <v>Basic</v>
      </c>
      <c r="C940" s="7" t="str">
        <f aca="false">PROPER(TRIM(customer_churn_dataset!C940))</f>
        <v>One Year</v>
      </c>
      <c r="D940" s="7" t="n">
        <f aca="false">IF(ISBLANK(customer_churn_dataset!D940),ROUND(MEDIAN(customer_churn_dataset!D$2:D$1501),2),IF(customer_churn_dataset!D940&lt;0,ABS(customer_churn_dataset!D940),customer_churn_dataset!D940))</f>
        <v>11.48</v>
      </c>
      <c r="E940" s="7" t="n">
        <f aca="false">IF(ISBLANK(customer_churn_dataset!E940),0,MAX(0,customer_churn_dataset!E940))</f>
        <v>7</v>
      </c>
      <c r="F940" s="8" t="n">
        <f aca="false">IF(ISBLANK(customer_churn_dataset!F940),"",customer_churn_dataset!F940)</f>
        <v>45065</v>
      </c>
      <c r="G940" s="7" t="str">
        <f aca="false">PROPER(TRIM(customer_churn_dataset!G940))</f>
        <v>Paypal</v>
      </c>
      <c r="H940" s="7" t="n">
        <f aca="false">IF(ISBLANK(customer_churn_dataset!H940),0,customer_churn_dataset!H940)</f>
        <v>0</v>
      </c>
      <c r="I940" s="7" t="n">
        <f aca="false">IF(ISBLANK(customer_churn_dataset!I940),ROUND(MEDIAN(customer_churn_dataset!I$2:I$1501),1),MIN(100,MAX(0,customer_churn_dataset!I940)))</f>
        <v>45</v>
      </c>
      <c r="J940" s="7" t="n">
        <f aca="false">IF(ISBLANK(customer_churn_dataset!J940),0,MAX(0,customer_churn_dataset!J940))</f>
        <v>14</v>
      </c>
      <c r="K940" s="7" t="n">
        <f aca="false">IF(ISBLANK(customer_churn_dataset!K940),0,MIN(10,MAX(0,customer_churn_dataset!K940)))</f>
        <v>4</v>
      </c>
      <c r="L940" s="7" t="n">
        <f aca="false">IF(ISBLANK(customer_churn_dataset!L940),0,MAX(0,customer_churn_dataset!L940))</f>
        <v>0</v>
      </c>
      <c r="M940" s="7" t="n">
        <f aca="false">IF(ISBLANK(customer_churn_dataset!M940),0,customer_churn_dataset!M940)</f>
        <v>0</v>
      </c>
      <c r="N940" s="7" t="n">
        <f aca="false">IF(ISBLANK(customer_churn_dataset!N940),0,MAX(0,customer_churn_dataset!N940))</f>
        <v>80.36</v>
      </c>
      <c r="O940" s="7" t="n">
        <f aca="false">IF(ISBLANK(customer_churn_dataset!O940),0,customer_churn_dataset!O940)</f>
        <v>0</v>
      </c>
      <c r="P940" s="7" t="str">
        <f aca="false">IF(COUNTIF(customer_churn_dataset!$A$2:$A$1501,customer_churn_dataset!A940)&gt;1,"Duplicate","Unique")</f>
        <v>Unique</v>
      </c>
    </row>
    <row r="941" customFormat="false" ht="14.15" hidden="false" customHeight="true" outlineLevel="0" collapsed="false">
      <c r="A941" s="7" t="str">
        <f aca="false">TRIM(customer_churn_dataset!A941)</f>
        <v>CUST100077</v>
      </c>
      <c r="B941" s="7" t="str">
        <f aca="false">PROPER(TRIM(customer_churn_dataset!B941))</f>
        <v>Basic</v>
      </c>
      <c r="C941" s="7" t="str">
        <f aca="false">PROPER(TRIM(customer_churn_dataset!C941))</f>
        <v>Two Year</v>
      </c>
      <c r="D941" s="7" t="n">
        <f aca="false">IF(ISBLANK(customer_churn_dataset!D941),ROUND(MEDIAN(customer_churn_dataset!D$2:D$1501),2),IF(customer_churn_dataset!D941&lt;0,ABS(customer_churn_dataset!D941),customer_churn_dataset!D941))</f>
        <v>9.44</v>
      </c>
      <c r="E941" s="7" t="n">
        <f aca="false">IF(ISBLANK(customer_churn_dataset!E941),0,MAX(0,customer_churn_dataset!E941))</f>
        <v>9</v>
      </c>
      <c r="F941" s="8" t="n">
        <f aca="false">IF(ISBLANK(customer_churn_dataset!F941),"",customer_churn_dataset!F941)</f>
        <v>45066</v>
      </c>
      <c r="G941" s="7" t="str">
        <f aca="false">PROPER(TRIM(customer_churn_dataset!G941))</f>
        <v>Credit Card</v>
      </c>
      <c r="H941" s="7" t="n">
        <f aca="false">IF(ISBLANK(customer_churn_dataset!H941),0,customer_churn_dataset!H941)</f>
        <v>1</v>
      </c>
      <c r="I941" s="7" t="n">
        <f aca="false">IF(ISBLANK(customer_churn_dataset!I941),ROUND(MEDIAN(customer_churn_dataset!I$2:I$1501),1),MIN(100,MAX(0,customer_churn_dataset!I941)))</f>
        <v>51.3</v>
      </c>
      <c r="J941" s="7" t="n">
        <f aca="false">IF(ISBLANK(customer_churn_dataset!J941),0,MAX(0,customer_churn_dataset!J941))</f>
        <v>11</v>
      </c>
      <c r="K941" s="7" t="n">
        <f aca="false">IF(ISBLANK(customer_churn_dataset!K941),0,MIN(10,MAX(0,customer_churn_dataset!K941)))</f>
        <v>6</v>
      </c>
      <c r="L941" s="7" t="n">
        <f aca="false">IF(ISBLANK(customer_churn_dataset!L941),0,MAX(0,customer_churn_dataset!L941))</f>
        <v>1</v>
      </c>
      <c r="M941" s="7" t="n">
        <f aca="false">IF(ISBLANK(customer_churn_dataset!M941),0,customer_churn_dataset!M941)</f>
        <v>0</v>
      </c>
      <c r="N941" s="7" t="n">
        <f aca="false">IF(ISBLANK(customer_churn_dataset!N941),0,MAX(0,customer_churn_dataset!N941))</f>
        <v>84.96</v>
      </c>
      <c r="O941" s="7" t="n">
        <f aca="false">IF(ISBLANK(customer_churn_dataset!O941),0,customer_churn_dataset!O941)</f>
        <v>0</v>
      </c>
      <c r="P941" s="7" t="str">
        <f aca="false">IF(COUNTIF(customer_churn_dataset!$A$2:$A$1501,customer_churn_dataset!A941)&gt;1,"Duplicate","Unique")</f>
        <v>Unique</v>
      </c>
    </row>
    <row r="942" customFormat="false" ht="14.15" hidden="false" customHeight="true" outlineLevel="0" collapsed="false">
      <c r="A942" s="7" t="str">
        <f aca="false">TRIM(customer_churn_dataset!A942)</f>
        <v>CUST101113</v>
      </c>
      <c r="B942" s="7" t="str">
        <f aca="false">PROPER(TRIM(customer_churn_dataset!B942))</f>
        <v>Standard</v>
      </c>
      <c r="C942" s="7" t="str">
        <f aca="false">PROPER(TRIM(customer_churn_dataset!C942))</f>
        <v>One Year</v>
      </c>
      <c r="D942" s="7" t="n">
        <f aca="false">IF(ISBLANK(customer_churn_dataset!D942),ROUND(MEDIAN(customer_churn_dataset!D$2:D$1501),2),IF(customer_churn_dataset!D942&lt;0,ABS(customer_churn_dataset!D942),customer_churn_dataset!D942))</f>
        <v>20.02</v>
      </c>
      <c r="E942" s="7" t="n">
        <f aca="false">IF(ISBLANK(customer_churn_dataset!E942),0,MAX(0,customer_churn_dataset!E942))</f>
        <v>18</v>
      </c>
      <c r="F942" s="8" t="n">
        <f aca="false">IF(ISBLANK(customer_churn_dataset!F942),"",customer_churn_dataset!F942)</f>
        <v>45066</v>
      </c>
      <c r="G942" s="7" t="str">
        <f aca="false">PROPER(TRIM(customer_churn_dataset!G942))</f>
        <v>Credit Card</v>
      </c>
      <c r="H942" s="7" t="n">
        <f aca="false">IF(ISBLANK(customer_churn_dataset!H942),0,customer_churn_dataset!H942)</f>
        <v>1</v>
      </c>
      <c r="I942" s="7" t="n">
        <f aca="false">IF(ISBLANK(customer_churn_dataset!I942),ROUND(MEDIAN(customer_churn_dataset!I$2:I$1501),1),MIN(100,MAX(0,customer_churn_dataset!I942)))</f>
        <v>16.1</v>
      </c>
      <c r="J942" s="7" t="n">
        <f aca="false">IF(ISBLANK(customer_churn_dataset!J942),0,MAX(0,customer_churn_dataset!J942))</f>
        <v>8</v>
      </c>
      <c r="K942" s="7" t="n">
        <f aca="false">IF(ISBLANK(customer_churn_dataset!K942),0,MIN(10,MAX(0,customer_churn_dataset!K942)))</f>
        <v>3</v>
      </c>
      <c r="L942" s="7" t="n">
        <f aca="false">IF(ISBLANK(customer_churn_dataset!L942),0,MAX(0,customer_churn_dataset!L942))</f>
        <v>3</v>
      </c>
      <c r="M942" s="7" t="n">
        <f aca="false">IF(ISBLANK(customer_churn_dataset!M942),0,customer_churn_dataset!M942)</f>
        <v>1</v>
      </c>
      <c r="N942" s="7" t="n">
        <f aca="false">IF(ISBLANK(customer_churn_dataset!N942),0,MAX(0,customer_churn_dataset!N942))</f>
        <v>360.36</v>
      </c>
      <c r="O942" s="7" t="n">
        <f aca="false">IF(ISBLANK(customer_churn_dataset!O942),0,customer_churn_dataset!O942)</f>
        <v>0</v>
      </c>
      <c r="P942" s="7" t="str">
        <f aca="false">IF(COUNTIF(customer_churn_dataset!$A$2:$A$1501,customer_churn_dataset!A942)&gt;1,"Duplicate","Unique")</f>
        <v>Unique</v>
      </c>
    </row>
    <row r="943" customFormat="false" ht="14.15" hidden="false" customHeight="true" outlineLevel="0" collapsed="false">
      <c r="A943" s="7" t="str">
        <f aca="false">TRIM(customer_churn_dataset!A943)</f>
        <v>CUST100220</v>
      </c>
      <c r="B943" s="7" t="str">
        <f aca="false">PROPER(TRIM(customer_churn_dataset!B943))</f>
        <v>Standard</v>
      </c>
      <c r="C943" s="7" t="str">
        <f aca="false">PROPER(TRIM(customer_churn_dataset!C943))</f>
        <v>Month-To-Month</v>
      </c>
      <c r="D943" s="7" t="n">
        <f aca="false">IF(ISBLANK(customer_churn_dataset!D943),ROUND(MEDIAN(customer_churn_dataset!D$2:D$1501),2),IF(customer_churn_dataset!D943&lt;0,ABS(customer_churn_dataset!D943),customer_churn_dataset!D943))</f>
        <v>20.67</v>
      </c>
      <c r="E943" s="7" t="n">
        <f aca="false">IF(ISBLANK(customer_churn_dataset!E943),0,MAX(0,customer_churn_dataset!E943))</f>
        <v>32</v>
      </c>
      <c r="F943" s="8" t="n">
        <f aca="false">IF(ISBLANK(customer_churn_dataset!F943),"",customer_churn_dataset!F943)</f>
        <v>45067</v>
      </c>
      <c r="G943" s="7" t="str">
        <f aca="false">PROPER(TRIM(customer_churn_dataset!G943))</f>
        <v>Paypal</v>
      </c>
      <c r="H943" s="7" t="n">
        <f aca="false">IF(ISBLANK(customer_churn_dataset!H943),0,customer_churn_dataset!H943)</f>
        <v>1</v>
      </c>
      <c r="I943" s="7" t="n">
        <f aca="false">IF(ISBLANK(customer_churn_dataset!I943),ROUND(MEDIAN(customer_churn_dataset!I$2:I$1501),1),MIN(100,MAX(0,customer_churn_dataset!I943)))</f>
        <v>32.3</v>
      </c>
      <c r="J943" s="7" t="n">
        <f aca="false">IF(ISBLANK(customer_churn_dataset!J943),0,MAX(0,customer_churn_dataset!J943))</f>
        <v>15</v>
      </c>
      <c r="K943" s="7" t="n">
        <f aca="false">IF(ISBLANK(customer_churn_dataset!K943),0,MIN(10,MAX(0,customer_churn_dataset!K943)))</f>
        <v>4</v>
      </c>
      <c r="L943" s="7" t="n">
        <f aca="false">IF(ISBLANK(customer_churn_dataset!L943),0,MAX(0,customer_churn_dataset!L943))</f>
        <v>1</v>
      </c>
      <c r="M943" s="7" t="n">
        <f aca="false">IF(ISBLANK(customer_churn_dataset!M943),0,customer_churn_dataset!M943)</f>
        <v>0</v>
      </c>
      <c r="N943" s="7" t="n">
        <f aca="false">IF(ISBLANK(customer_churn_dataset!N943),0,MAX(0,customer_churn_dataset!N943))</f>
        <v>661.44</v>
      </c>
      <c r="O943" s="7" t="n">
        <f aca="false">IF(ISBLANK(customer_churn_dataset!O943),0,customer_churn_dataset!O943)</f>
        <v>1</v>
      </c>
      <c r="P943" s="7" t="str">
        <f aca="false">IF(COUNTIF(customer_churn_dataset!$A$2:$A$1501,customer_churn_dataset!A943)&gt;1,"Duplicate","Unique")</f>
        <v>Unique</v>
      </c>
    </row>
    <row r="944" customFormat="false" ht="14.15" hidden="false" customHeight="true" outlineLevel="0" collapsed="false">
      <c r="A944" s="7" t="str">
        <f aca="false">TRIM(customer_churn_dataset!A944)</f>
        <v>CUST100771</v>
      </c>
      <c r="B944" s="7" t="str">
        <f aca="false">PROPER(TRIM(customer_churn_dataset!B944))</f>
        <v>Premium</v>
      </c>
      <c r="C944" s="7" t="str">
        <f aca="false">PROPER(TRIM(customer_churn_dataset!C944))</f>
        <v>Month-To-Month</v>
      </c>
      <c r="D944" s="7" t="n">
        <f aca="false">IF(ISBLANK(customer_churn_dataset!D944),ROUND(MEDIAN(customer_churn_dataset!D$2:D$1501),2),IF(customer_churn_dataset!D944&lt;0,ABS(customer_churn_dataset!D944),customer_churn_dataset!D944))</f>
        <v>40.49</v>
      </c>
      <c r="E944" s="7" t="n">
        <f aca="false">IF(ISBLANK(customer_churn_dataset!E944),0,MAX(0,customer_churn_dataset!E944))</f>
        <v>40</v>
      </c>
      <c r="F944" s="8" t="n">
        <f aca="false">IF(ISBLANK(customer_churn_dataset!F944),"",customer_churn_dataset!F944)</f>
        <v>45068</v>
      </c>
      <c r="G944" s="7" t="str">
        <f aca="false">PROPER(TRIM(customer_churn_dataset!G944))</f>
        <v>Paypal</v>
      </c>
      <c r="H944" s="7" t="n">
        <f aca="false">IF(ISBLANK(customer_churn_dataset!H944),0,customer_churn_dataset!H944)</f>
        <v>1</v>
      </c>
      <c r="I944" s="7" t="n">
        <f aca="false">IF(ISBLANK(customer_churn_dataset!I944),ROUND(MEDIAN(customer_churn_dataset!I$2:I$1501),1),MIN(100,MAX(0,customer_churn_dataset!I944)))</f>
        <v>54</v>
      </c>
      <c r="J944" s="7" t="n">
        <f aca="false">IF(ISBLANK(customer_churn_dataset!J944),0,MAX(0,customer_churn_dataset!J944))</f>
        <v>22</v>
      </c>
      <c r="K944" s="7" t="n">
        <f aca="false">IF(ISBLANK(customer_churn_dataset!K944),0,MIN(10,MAX(0,customer_churn_dataset!K944)))</f>
        <v>6</v>
      </c>
      <c r="L944" s="7" t="n">
        <f aca="false">IF(ISBLANK(customer_churn_dataset!L944),0,MAX(0,customer_churn_dataset!L944))</f>
        <v>1</v>
      </c>
      <c r="M944" s="7" t="n">
        <f aca="false">IF(ISBLANK(customer_churn_dataset!M944),0,customer_churn_dataset!M944)</f>
        <v>1</v>
      </c>
      <c r="N944" s="7" t="n">
        <f aca="false">IF(ISBLANK(customer_churn_dataset!N944),0,MAX(0,customer_churn_dataset!N944))</f>
        <v>1619.6</v>
      </c>
      <c r="O944" s="7" t="n">
        <f aca="false">IF(ISBLANK(customer_churn_dataset!O944),0,customer_churn_dataset!O944)</f>
        <v>1</v>
      </c>
      <c r="P944" s="7" t="str">
        <f aca="false">IF(COUNTIF(customer_churn_dataset!$A$2:$A$1501,customer_churn_dataset!A944)&gt;1,"Duplicate","Unique")</f>
        <v>Unique</v>
      </c>
    </row>
    <row r="945" customFormat="false" ht="14.15" hidden="false" customHeight="true" outlineLevel="0" collapsed="false">
      <c r="A945" s="7" t="str">
        <f aca="false">TRIM(customer_churn_dataset!A945)</f>
        <v>CUST100489</v>
      </c>
      <c r="B945" s="7" t="str">
        <f aca="false">PROPER(TRIM(customer_churn_dataset!B945))</f>
        <v>Premium</v>
      </c>
      <c r="C945" s="7" t="str">
        <f aca="false">PROPER(TRIM(customer_churn_dataset!C945))</f>
        <v>Month-To-Month</v>
      </c>
      <c r="D945" s="7" t="n">
        <f aca="false">IF(ISBLANK(customer_churn_dataset!D945),ROUND(MEDIAN(customer_churn_dataset!D$2:D$1501),2),IF(customer_churn_dataset!D945&lt;0,ABS(customer_churn_dataset!D945),customer_churn_dataset!D945))</f>
        <v>42.58</v>
      </c>
      <c r="E945" s="7" t="n">
        <f aca="false">IF(ISBLANK(customer_churn_dataset!E945),0,MAX(0,customer_churn_dataset!E945))</f>
        <v>11</v>
      </c>
      <c r="F945" s="8" t="n">
        <f aca="false">IF(ISBLANK(customer_churn_dataset!F945),"",customer_churn_dataset!F945)</f>
        <v>45069</v>
      </c>
      <c r="G945" s="7" t="str">
        <f aca="false">PROPER(TRIM(customer_churn_dataset!G945))</f>
        <v>Credit Card</v>
      </c>
      <c r="H945" s="7" t="n">
        <f aca="false">IF(ISBLANK(customer_churn_dataset!H945),0,customer_churn_dataset!H945)</f>
        <v>1</v>
      </c>
      <c r="I945" s="7" t="n">
        <f aca="false">IF(ISBLANK(customer_churn_dataset!I945),ROUND(MEDIAN(customer_churn_dataset!I$2:I$1501),1),MIN(100,MAX(0,customer_churn_dataset!I945)))</f>
        <v>41.1</v>
      </c>
      <c r="J945" s="7" t="n">
        <f aca="false">IF(ISBLANK(customer_churn_dataset!J945),0,MAX(0,customer_churn_dataset!J945))</f>
        <v>16</v>
      </c>
      <c r="K945" s="7" t="n">
        <f aca="false">IF(ISBLANK(customer_churn_dataset!K945),0,MIN(10,MAX(0,customer_churn_dataset!K945)))</f>
        <v>5</v>
      </c>
      <c r="L945" s="7" t="n">
        <f aca="false">IF(ISBLANK(customer_churn_dataset!L945),0,MAX(0,customer_churn_dataset!L945))</f>
        <v>0</v>
      </c>
      <c r="M945" s="7" t="n">
        <f aca="false">IF(ISBLANK(customer_churn_dataset!M945),0,customer_churn_dataset!M945)</f>
        <v>0</v>
      </c>
      <c r="N945" s="7" t="n">
        <f aca="false">IF(ISBLANK(customer_churn_dataset!N945),0,MAX(0,customer_churn_dataset!N945))</f>
        <v>468.38</v>
      </c>
      <c r="O945" s="7" t="n">
        <f aca="false">IF(ISBLANK(customer_churn_dataset!O945),0,customer_churn_dataset!O945)</f>
        <v>0</v>
      </c>
      <c r="P945" s="7" t="str">
        <f aca="false">IF(COUNTIF(customer_churn_dataset!$A$2:$A$1501,customer_churn_dataset!A945)&gt;1,"Duplicate","Unique")</f>
        <v>Unique</v>
      </c>
    </row>
    <row r="946" customFormat="false" ht="14.15" hidden="false" customHeight="true" outlineLevel="0" collapsed="false">
      <c r="A946" s="7" t="str">
        <f aca="false">TRIM(customer_churn_dataset!A946)</f>
        <v>CUST100076</v>
      </c>
      <c r="B946" s="7" t="str">
        <f aca="false">PROPER(TRIM(customer_churn_dataset!B946))</f>
        <v>Standard</v>
      </c>
      <c r="C946" s="7" t="str">
        <f aca="false">PROPER(TRIM(customer_churn_dataset!C946))</f>
        <v>Month-To-Month</v>
      </c>
      <c r="D946" s="7" t="n">
        <f aca="false">IF(ISBLANK(customer_churn_dataset!D946),ROUND(MEDIAN(customer_churn_dataset!D$2:D$1501),2),IF(customer_churn_dataset!D946&lt;0,ABS(customer_churn_dataset!D946),customer_churn_dataset!D946))</f>
        <v>21.67</v>
      </c>
      <c r="E946" s="7" t="n">
        <f aca="false">IF(ISBLANK(customer_churn_dataset!E946),0,MAX(0,customer_churn_dataset!E946))</f>
        <v>41</v>
      </c>
      <c r="F946" s="8" t="n">
        <f aca="false">IF(ISBLANK(customer_churn_dataset!F946),"",customer_churn_dataset!F946)</f>
        <v>45069</v>
      </c>
      <c r="G946" s="7" t="str">
        <f aca="false">PROPER(TRIM(customer_churn_dataset!G946))</f>
        <v>Bank Transfer</v>
      </c>
      <c r="H946" s="7" t="n">
        <f aca="false">IF(ISBLANK(customer_churn_dataset!H946),0,customer_churn_dataset!H946)</f>
        <v>1</v>
      </c>
      <c r="I946" s="7" t="n">
        <f aca="false">IF(ISBLANK(customer_churn_dataset!I946),ROUND(MEDIAN(customer_churn_dataset!I$2:I$1501),1),MIN(100,MAX(0,customer_churn_dataset!I946)))</f>
        <v>73.2</v>
      </c>
      <c r="J946" s="7" t="n">
        <f aca="false">IF(ISBLANK(customer_churn_dataset!J946),0,MAX(0,customer_churn_dataset!J946))</f>
        <v>26</v>
      </c>
      <c r="K946" s="7" t="n">
        <f aca="false">IF(ISBLANK(customer_churn_dataset!K946),0,MIN(10,MAX(0,customer_churn_dataset!K946)))</f>
        <v>7</v>
      </c>
      <c r="L946" s="7" t="n">
        <f aca="false">IF(ISBLANK(customer_churn_dataset!L946),0,MAX(0,customer_churn_dataset!L946))</f>
        <v>3</v>
      </c>
      <c r="M946" s="7" t="n">
        <f aca="false">IF(ISBLANK(customer_churn_dataset!M946),0,customer_churn_dataset!M946)</f>
        <v>0</v>
      </c>
      <c r="N946" s="7" t="n">
        <f aca="false">IF(ISBLANK(customer_churn_dataset!N946),0,MAX(0,customer_churn_dataset!N946))</f>
        <v>888.47</v>
      </c>
      <c r="O946" s="7" t="n">
        <f aca="false">IF(ISBLANK(customer_churn_dataset!O946),0,customer_churn_dataset!O946)</f>
        <v>0</v>
      </c>
      <c r="P946" s="7" t="str">
        <f aca="false">IF(COUNTIF(customer_churn_dataset!$A$2:$A$1501,customer_churn_dataset!A946)&gt;1,"Duplicate","Unique")</f>
        <v>Unique</v>
      </c>
    </row>
    <row r="947" customFormat="false" ht="14.15" hidden="false" customHeight="true" outlineLevel="0" collapsed="false">
      <c r="A947" s="7" t="str">
        <f aca="false">TRIM(customer_churn_dataset!A947)</f>
        <v>CUST101285</v>
      </c>
      <c r="B947" s="7" t="str">
        <f aca="false">PROPER(TRIM(customer_churn_dataset!B947))</f>
        <v>Standard</v>
      </c>
      <c r="C947" s="7" t="str">
        <f aca="false">PROPER(TRIM(customer_churn_dataset!C947))</f>
        <v>One Year</v>
      </c>
      <c r="D947" s="7" t="n">
        <f aca="false">IF(ISBLANK(customer_churn_dataset!D947),ROUND(MEDIAN(customer_churn_dataset!D$2:D$1501),2),IF(customer_churn_dataset!D947&lt;0,ABS(customer_churn_dataset!D947),customer_churn_dataset!D947))</f>
        <v>20.25</v>
      </c>
      <c r="E947" s="7" t="n">
        <f aca="false">IF(ISBLANK(customer_churn_dataset!E947),0,MAX(0,customer_churn_dataset!E947))</f>
        <v>17</v>
      </c>
      <c r="F947" s="8" t="n">
        <f aca="false">IF(ISBLANK(customer_churn_dataset!F947),"",customer_churn_dataset!F947)</f>
        <v>45070</v>
      </c>
      <c r="G947" s="7" t="str">
        <f aca="false">PROPER(TRIM(customer_churn_dataset!G947))</f>
        <v>Credit Card</v>
      </c>
      <c r="H947" s="7" t="n">
        <f aca="false">IF(ISBLANK(customer_churn_dataset!H947),0,customer_churn_dataset!H947)</f>
        <v>1</v>
      </c>
      <c r="I947" s="7" t="n">
        <f aca="false">IF(ISBLANK(customer_churn_dataset!I947),ROUND(MEDIAN(customer_churn_dataset!I$2:I$1501),1),MIN(100,MAX(0,customer_churn_dataset!I947)))</f>
        <v>42.5</v>
      </c>
      <c r="J947" s="7" t="n">
        <f aca="false">IF(ISBLANK(customer_churn_dataset!J947),0,MAX(0,customer_churn_dataset!J947))</f>
        <v>19</v>
      </c>
      <c r="K947" s="7" t="n">
        <f aca="false">IF(ISBLANK(customer_churn_dataset!K947),0,MIN(10,MAX(0,customer_churn_dataset!K947)))</f>
        <v>4</v>
      </c>
      <c r="L947" s="7" t="n">
        <f aca="false">IF(ISBLANK(customer_churn_dataset!L947),0,MAX(0,customer_churn_dataset!L947))</f>
        <v>1</v>
      </c>
      <c r="M947" s="7" t="n">
        <f aca="false">IF(ISBLANK(customer_churn_dataset!M947),0,customer_churn_dataset!M947)</f>
        <v>0</v>
      </c>
      <c r="N947" s="7" t="n">
        <f aca="false">IF(ISBLANK(customer_churn_dataset!N947),0,MAX(0,customer_churn_dataset!N947))</f>
        <v>344.25</v>
      </c>
      <c r="O947" s="7" t="n">
        <f aca="false">IF(ISBLANK(customer_churn_dataset!O947),0,customer_churn_dataset!O947)</f>
        <v>0</v>
      </c>
      <c r="P947" s="7" t="str">
        <f aca="false">IF(COUNTIF(customer_churn_dataset!$A$2:$A$1501,customer_churn_dataset!A947)&gt;1,"Duplicate","Unique")</f>
        <v>Unique</v>
      </c>
    </row>
    <row r="948" customFormat="false" ht="14.15" hidden="false" customHeight="true" outlineLevel="0" collapsed="false">
      <c r="A948" s="7" t="str">
        <f aca="false">TRIM(customer_churn_dataset!A948)</f>
        <v>CUST100157</v>
      </c>
      <c r="B948" s="7" t="str">
        <f aca="false">PROPER(TRIM(customer_churn_dataset!B948))</f>
        <v>Standard</v>
      </c>
      <c r="C948" s="7" t="str">
        <f aca="false">PROPER(TRIM(customer_churn_dataset!C948))</f>
        <v>Month-To-Month</v>
      </c>
      <c r="D948" s="7" t="n">
        <f aca="false">IF(ISBLANK(customer_churn_dataset!D948),ROUND(MEDIAN(customer_churn_dataset!D$2:D$1501),2),IF(customer_churn_dataset!D948&lt;0,ABS(customer_churn_dataset!D948),customer_churn_dataset!D948))</f>
        <v>19.68</v>
      </c>
      <c r="E948" s="7" t="n">
        <f aca="false">IF(ISBLANK(customer_churn_dataset!E948),0,MAX(0,customer_churn_dataset!E948))</f>
        <v>27</v>
      </c>
      <c r="F948" s="8" t="n">
        <f aca="false">IF(ISBLANK(customer_churn_dataset!F948),"",customer_churn_dataset!F948)</f>
        <v>45071</v>
      </c>
      <c r="G948" s="7" t="str">
        <f aca="false">PROPER(TRIM(customer_churn_dataset!G948))</f>
        <v>Credit Card</v>
      </c>
      <c r="H948" s="7" t="n">
        <f aca="false">IF(ISBLANK(customer_churn_dataset!H948),0,customer_churn_dataset!H948)</f>
        <v>1</v>
      </c>
      <c r="I948" s="7" t="n">
        <f aca="false">IF(ISBLANK(customer_churn_dataset!I948),ROUND(MEDIAN(customer_churn_dataset!I$2:I$1501),1),MIN(100,MAX(0,customer_churn_dataset!I948)))</f>
        <v>24.1</v>
      </c>
      <c r="J948" s="7" t="n">
        <f aca="false">IF(ISBLANK(customer_churn_dataset!J948),0,MAX(0,customer_churn_dataset!J948))</f>
        <v>4</v>
      </c>
      <c r="K948" s="7" t="n">
        <f aca="false">IF(ISBLANK(customer_churn_dataset!K948),0,MIN(10,MAX(0,customer_churn_dataset!K948)))</f>
        <v>4</v>
      </c>
      <c r="L948" s="7" t="n">
        <f aca="false">IF(ISBLANK(customer_churn_dataset!L948),0,MAX(0,customer_churn_dataset!L948))</f>
        <v>2</v>
      </c>
      <c r="M948" s="7" t="n">
        <f aca="false">IF(ISBLANK(customer_churn_dataset!M948),0,customer_churn_dataset!M948)</f>
        <v>1</v>
      </c>
      <c r="N948" s="7" t="n">
        <f aca="false">IF(ISBLANK(customer_churn_dataset!N948),0,MAX(0,customer_churn_dataset!N948))</f>
        <v>531.36</v>
      </c>
      <c r="O948" s="7" t="n">
        <f aca="false">IF(ISBLANK(customer_churn_dataset!O948),0,customer_churn_dataset!O948)</f>
        <v>1</v>
      </c>
      <c r="P948" s="7" t="str">
        <f aca="false">IF(COUNTIF(customer_churn_dataset!$A$2:$A$1501,customer_churn_dataset!A948)&gt;1,"Duplicate","Unique")</f>
        <v>Unique</v>
      </c>
    </row>
    <row r="949" customFormat="false" ht="14.15" hidden="false" customHeight="true" outlineLevel="0" collapsed="false">
      <c r="A949" s="7" t="str">
        <f aca="false">TRIM(customer_churn_dataset!A949)</f>
        <v>CUST100298</v>
      </c>
      <c r="B949" s="7" t="str">
        <f aca="false">PROPER(TRIM(customer_churn_dataset!B949))</f>
        <v>Standard</v>
      </c>
      <c r="C949" s="7" t="str">
        <f aca="false">PROPER(TRIM(customer_churn_dataset!C949))</f>
        <v>One Year</v>
      </c>
      <c r="D949" s="7" t="n">
        <f aca="false">IF(ISBLANK(customer_churn_dataset!D949),ROUND(MEDIAN(customer_churn_dataset!D$2:D$1501),2),IF(customer_churn_dataset!D949&lt;0,ABS(customer_churn_dataset!D949),customer_churn_dataset!D949))</f>
        <v>21.28</v>
      </c>
      <c r="E949" s="7" t="n">
        <f aca="false">IF(ISBLANK(customer_churn_dataset!E949),0,MAX(0,customer_churn_dataset!E949))</f>
        <v>3</v>
      </c>
      <c r="F949" s="8" t="n">
        <f aca="false">IF(ISBLANK(customer_churn_dataset!F949),"",customer_churn_dataset!F949)</f>
        <v>45073</v>
      </c>
      <c r="G949" s="7" t="str">
        <f aca="false">PROPER(TRIM(customer_churn_dataset!G949))</f>
        <v>Bank Transfer</v>
      </c>
      <c r="H949" s="7" t="n">
        <f aca="false">IF(ISBLANK(customer_churn_dataset!H949),0,customer_churn_dataset!H949)</f>
        <v>1</v>
      </c>
      <c r="I949" s="7" t="n">
        <f aca="false">IF(ISBLANK(customer_churn_dataset!I949),ROUND(MEDIAN(customer_churn_dataset!I$2:I$1501),1),MIN(100,MAX(0,customer_churn_dataset!I949)))</f>
        <v>53.7</v>
      </c>
      <c r="J949" s="7" t="n">
        <f aca="false">IF(ISBLANK(customer_churn_dataset!J949),0,MAX(0,customer_churn_dataset!J949))</f>
        <v>23</v>
      </c>
      <c r="K949" s="7" t="n">
        <f aca="false">IF(ISBLANK(customer_churn_dataset!K949),0,MIN(10,MAX(0,customer_churn_dataset!K949)))</f>
        <v>5</v>
      </c>
      <c r="L949" s="7" t="n">
        <f aca="false">IF(ISBLANK(customer_churn_dataset!L949),0,MAX(0,customer_churn_dataset!L949))</f>
        <v>1</v>
      </c>
      <c r="M949" s="7" t="n">
        <f aca="false">IF(ISBLANK(customer_churn_dataset!M949),0,customer_churn_dataset!M949)</f>
        <v>0</v>
      </c>
      <c r="N949" s="7" t="n">
        <f aca="false">IF(ISBLANK(customer_churn_dataset!N949),0,MAX(0,customer_churn_dataset!N949))</f>
        <v>63.84</v>
      </c>
      <c r="O949" s="7" t="n">
        <f aca="false">IF(ISBLANK(customer_churn_dataset!O949),0,customer_churn_dataset!O949)</f>
        <v>0</v>
      </c>
      <c r="P949" s="7" t="str">
        <f aca="false">IF(COUNTIF(customer_churn_dataset!$A$2:$A$1501,customer_churn_dataset!A949)&gt;1,"Duplicate","Unique")</f>
        <v>Unique</v>
      </c>
    </row>
    <row r="950" customFormat="false" ht="14.15" hidden="false" customHeight="true" outlineLevel="0" collapsed="false">
      <c r="A950" s="7" t="str">
        <f aca="false">TRIM(customer_churn_dataset!A950)</f>
        <v>CUST101107</v>
      </c>
      <c r="B950" s="7" t="str">
        <f aca="false">PROPER(TRIM(customer_churn_dataset!B950))</f>
        <v>Standard</v>
      </c>
      <c r="C950" s="7" t="str">
        <f aca="false">PROPER(TRIM(customer_churn_dataset!C950))</f>
        <v>Month-To-Month</v>
      </c>
      <c r="D950" s="7" t="n">
        <f aca="false">IF(ISBLANK(customer_churn_dataset!D950),ROUND(MEDIAN(customer_churn_dataset!D$2:D$1501),2),IF(customer_churn_dataset!D950&lt;0,ABS(customer_churn_dataset!D950),customer_churn_dataset!D950))</f>
        <v>20.31</v>
      </c>
      <c r="E950" s="7" t="n">
        <f aca="false">IF(ISBLANK(customer_churn_dataset!E950),0,MAX(0,customer_churn_dataset!E950))</f>
        <v>41</v>
      </c>
      <c r="F950" s="8" t="n">
        <f aca="false">IF(ISBLANK(customer_churn_dataset!F950),"",customer_churn_dataset!F950)</f>
        <v>45076</v>
      </c>
      <c r="G950" s="7" t="str">
        <f aca="false">PROPER(TRIM(customer_churn_dataset!G950))</f>
        <v>Paypal</v>
      </c>
      <c r="H950" s="7" t="n">
        <f aca="false">IF(ISBLANK(customer_churn_dataset!H950),0,customer_churn_dataset!H950)</f>
        <v>0</v>
      </c>
      <c r="I950" s="7" t="n">
        <f aca="false">IF(ISBLANK(customer_churn_dataset!I950),ROUND(MEDIAN(customer_churn_dataset!I$2:I$1501),1),MIN(100,MAX(0,customer_churn_dataset!I950)))</f>
        <v>83.7</v>
      </c>
      <c r="J950" s="7" t="n">
        <f aca="false">IF(ISBLANK(customer_churn_dataset!J950),0,MAX(0,customer_churn_dataset!J950))</f>
        <v>25</v>
      </c>
      <c r="K950" s="7" t="n">
        <f aca="false">IF(ISBLANK(customer_churn_dataset!K950),0,MIN(10,MAX(0,customer_churn_dataset!K950)))</f>
        <v>9</v>
      </c>
      <c r="L950" s="7" t="n">
        <f aca="false">IF(ISBLANK(customer_churn_dataset!L950),0,MAX(0,customer_churn_dataset!L950))</f>
        <v>1</v>
      </c>
      <c r="M950" s="7" t="n">
        <f aca="false">IF(ISBLANK(customer_churn_dataset!M950),0,customer_churn_dataset!M950)</f>
        <v>0</v>
      </c>
      <c r="N950" s="7" t="n">
        <f aca="false">IF(ISBLANK(customer_churn_dataset!N950),0,MAX(0,customer_churn_dataset!N950))</f>
        <v>832.71</v>
      </c>
      <c r="O950" s="7" t="n">
        <f aca="false">IF(ISBLANK(customer_churn_dataset!O950),0,customer_churn_dataset!O950)</f>
        <v>0</v>
      </c>
      <c r="P950" s="7" t="str">
        <f aca="false">IF(COUNTIF(customer_churn_dataset!$A$2:$A$1501,customer_churn_dataset!A950)&gt;1,"Duplicate","Unique")</f>
        <v>Unique</v>
      </c>
    </row>
    <row r="951" customFormat="false" ht="14.15" hidden="false" customHeight="true" outlineLevel="0" collapsed="false">
      <c r="A951" s="7" t="str">
        <f aca="false">TRIM(customer_churn_dataset!A951)</f>
        <v>CUST101466</v>
      </c>
      <c r="B951" s="7" t="str">
        <f aca="false">PROPER(TRIM(customer_churn_dataset!B951))</f>
        <v>Premium</v>
      </c>
      <c r="C951" s="7" t="str">
        <f aca="false">PROPER(TRIM(customer_churn_dataset!C951))</f>
        <v>One Year</v>
      </c>
      <c r="D951" s="7" t="n">
        <f aca="false">IF(ISBLANK(customer_churn_dataset!D951),ROUND(MEDIAN(customer_churn_dataset!D$2:D$1501),2),IF(customer_churn_dataset!D951&lt;0,ABS(customer_churn_dataset!D951),customer_churn_dataset!D951))</f>
        <v>41.39</v>
      </c>
      <c r="E951" s="7" t="n">
        <f aca="false">IF(ISBLANK(customer_churn_dataset!E951),0,MAX(0,customer_churn_dataset!E951))</f>
        <v>16</v>
      </c>
      <c r="F951" s="8" t="n">
        <f aca="false">IF(ISBLANK(customer_churn_dataset!F951),"",customer_churn_dataset!F951)</f>
        <v>45077</v>
      </c>
      <c r="G951" s="7" t="str">
        <f aca="false">PROPER(TRIM(customer_churn_dataset!G951))</f>
        <v>Credit Card</v>
      </c>
      <c r="H951" s="7" t="n">
        <f aca="false">IF(ISBLANK(customer_churn_dataset!H951),0,customer_churn_dataset!H951)</f>
        <v>0</v>
      </c>
      <c r="I951" s="7" t="n">
        <f aca="false">IF(ISBLANK(customer_churn_dataset!I951),ROUND(MEDIAN(customer_churn_dataset!I$2:I$1501),1),MIN(100,MAX(0,customer_churn_dataset!I951)))</f>
        <v>34.4</v>
      </c>
      <c r="J951" s="7" t="n">
        <f aca="false">IF(ISBLANK(customer_churn_dataset!J951),0,MAX(0,customer_churn_dataset!J951))</f>
        <v>5</v>
      </c>
      <c r="K951" s="7" t="n">
        <f aca="false">IF(ISBLANK(customer_churn_dataset!K951),0,MIN(10,MAX(0,customer_churn_dataset!K951)))</f>
        <v>5</v>
      </c>
      <c r="L951" s="7" t="n">
        <f aca="false">IF(ISBLANK(customer_churn_dataset!L951),0,MAX(0,customer_churn_dataset!L951))</f>
        <v>1</v>
      </c>
      <c r="M951" s="7" t="n">
        <f aca="false">IF(ISBLANK(customer_churn_dataset!M951),0,customer_churn_dataset!M951)</f>
        <v>0</v>
      </c>
      <c r="N951" s="7" t="n">
        <f aca="false">IF(ISBLANK(customer_churn_dataset!N951),0,MAX(0,customer_churn_dataset!N951))</f>
        <v>662.24</v>
      </c>
      <c r="O951" s="7" t="n">
        <f aca="false">IF(ISBLANK(customer_churn_dataset!O951),0,customer_churn_dataset!O951)</f>
        <v>0</v>
      </c>
      <c r="P951" s="7" t="str">
        <f aca="false">IF(COUNTIF(customer_churn_dataset!$A$2:$A$1501,customer_churn_dataset!A951)&gt;1,"Duplicate","Unique")</f>
        <v>Unique</v>
      </c>
    </row>
    <row r="952" customFormat="false" ht="14.15" hidden="false" customHeight="true" outlineLevel="0" collapsed="false">
      <c r="A952" s="7" t="str">
        <f aca="false">TRIM(customer_churn_dataset!A952)</f>
        <v>CUST101371</v>
      </c>
      <c r="B952" s="7" t="str">
        <f aca="false">PROPER(TRIM(customer_churn_dataset!B952))</f>
        <v>Basic</v>
      </c>
      <c r="C952" s="7" t="str">
        <f aca="false">PROPER(TRIM(customer_churn_dataset!C952))</f>
        <v>Month-To-Month</v>
      </c>
      <c r="D952" s="7" t="n">
        <f aca="false">IF(ISBLANK(customer_churn_dataset!D952),ROUND(MEDIAN(customer_churn_dataset!D$2:D$1501),2),IF(customer_churn_dataset!D952&lt;0,ABS(customer_churn_dataset!D952),customer_churn_dataset!D952))</f>
        <v>9.06</v>
      </c>
      <c r="E952" s="7" t="n">
        <f aca="false">IF(ISBLANK(customer_churn_dataset!E952),0,MAX(0,customer_churn_dataset!E952))</f>
        <v>23</v>
      </c>
      <c r="F952" s="8" t="n">
        <f aca="false">IF(ISBLANK(customer_churn_dataset!F952),"",customer_churn_dataset!F952)</f>
        <v>45077</v>
      </c>
      <c r="G952" s="7" t="str">
        <f aca="false">PROPER(TRIM(customer_churn_dataset!G952))</f>
        <v>Credit Card</v>
      </c>
      <c r="H952" s="7" t="n">
        <f aca="false">IF(ISBLANK(customer_churn_dataset!H952),0,customer_churn_dataset!H952)</f>
        <v>1</v>
      </c>
      <c r="I952" s="7" t="n">
        <f aca="false">IF(ISBLANK(customer_churn_dataset!I952),ROUND(MEDIAN(customer_churn_dataset!I$2:I$1501),1),MIN(100,MAX(0,customer_churn_dataset!I952)))</f>
        <v>55.6</v>
      </c>
      <c r="J952" s="7" t="n">
        <f aca="false">IF(ISBLANK(customer_churn_dataset!J952),0,MAX(0,customer_churn_dataset!J952))</f>
        <v>15</v>
      </c>
      <c r="K952" s="7" t="n">
        <f aca="false">IF(ISBLANK(customer_churn_dataset!K952),0,MIN(10,MAX(0,customer_churn_dataset!K952)))</f>
        <v>5</v>
      </c>
      <c r="L952" s="7" t="n">
        <f aca="false">IF(ISBLANK(customer_churn_dataset!L952),0,MAX(0,customer_churn_dataset!L952))</f>
        <v>1</v>
      </c>
      <c r="M952" s="7" t="n">
        <f aca="false">IF(ISBLANK(customer_churn_dataset!M952),0,customer_churn_dataset!M952)</f>
        <v>1</v>
      </c>
      <c r="N952" s="7" t="n">
        <f aca="false">IF(ISBLANK(customer_churn_dataset!N952),0,MAX(0,customer_churn_dataset!N952))</f>
        <v>208.38</v>
      </c>
      <c r="O952" s="7" t="n">
        <f aca="false">IF(ISBLANK(customer_churn_dataset!O952),0,customer_churn_dataset!O952)</f>
        <v>0</v>
      </c>
      <c r="P952" s="7" t="str">
        <f aca="false">IF(COUNTIF(customer_churn_dataset!$A$2:$A$1501,customer_churn_dataset!A952)&gt;1,"Duplicate","Unique")</f>
        <v>Unique</v>
      </c>
    </row>
    <row r="953" customFormat="false" ht="14.15" hidden="false" customHeight="true" outlineLevel="0" collapsed="false">
      <c r="A953" s="7" t="str">
        <f aca="false">TRIM(customer_churn_dataset!A953)</f>
        <v>CUST101001</v>
      </c>
      <c r="B953" s="7" t="str">
        <f aca="false">PROPER(TRIM(customer_churn_dataset!B953))</f>
        <v>Standard</v>
      </c>
      <c r="C953" s="7" t="str">
        <f aca="false">PROPER(TRIM(customer_churn_dataset!C953))</f>
        <v>Month-To-Month</v>
      </c>
      <c r="D953" s="7" t="n">
        <f aca="false">IF(ISBLANK(customer_churn_dataset!D953),ROUND(MEDIAN(customer_churn_dataset!D$2:D$1501),2),IF(customer_churn_dataset!D953&lt;0,ABS(customer_churn_dataset!D953),customer_churn_dataset!D953))</f>
        <v>20.24</v>
      </c>
      <c r="E953" s="7" t="n">
        <f aca="false">IF(ISBLANK(customer_churn_dataset!E953),0,MAX(0,customer_churn_dataset!E953))</f>
        <v>5</v>
      </c>
      <c r="F953" s="8" t="n">
        <f aca="false">IF(ISBLANK(customer_churn_dataset!F953),"",customer_churn_dataset!F953)</f>
        <v>45077</v>
      </c>
      <c r="G953" s="7" t="str">
        <f aca="false">PROPER(TRIM(customer_churn_dataset!G953))</f>
        <v>Paypal</v>
      </c>
      <c r="H953" s="7" t="n">
        <f aca="false">IF(ISBLANK(customer_churn_dataset!H953),0,customer_churn_dataset!H953)</f>
        <v>1</v>
      </c>
      <c r="I953" s="7" t="n">
        <f aca="false">IF(ISBLANK(customer_churn_dataset!I953),ROUND(MEDIAN(customer_churn_dataset!I$2:I$1501),1),MIN(100,MAX(0,customer_churn_dataset!I953)))</f>
        <v>56.3</v>
      </c>
      <c r="J953" s="7" t="n">
        <f aca="false">IF(ISBLANK(customer_churn_dataset!J953),0,MAX(0,customer_churn_dataset!J953))</f>
        <v>15</v>
      </c>
      <c r="K953" s="7" t="n">
        <f aca="false">IF(ISBLANK(customer_churn_dataset!K953),0,MIN(10,MAX(0,customer_churn_dataset!K953)))</f>
        <v>6</v>
      </c>
      <c r="L953" s="7" t="n">
        <f aca="false">IF(ISBLANK(customer_churn_dataset!L953),0,MAX(0,customer_churn_dataset!L953))</f>
        <v>2</v>
      </c>
      <c r="M953" s="7" t="n">
        <f aca="false">IF(ISBLANK(customer_churn_dataset!M953),0,customer_churn_dataset!M953)</f>
        <v>0</v>
      </c>
      <c r="N953" s="7" t="n">
        <f aca="false">IF(ISBLANK(customer_churn_dataset!N953),0,MAX(0,customer_churn_dataset!N953))</f>
        <v>101.2</v>
      </c>
      <c r="O953" s="7" t="n">
        <f aca="false">IF(ISBLANK(customer_churn_dataset!O953),0,customer_churn_dataset!O953)</f>
        <v>0</v>
      </c>
      <c r="P953" s="7" t="str">
        <f aca="false">IF(COUNTIF(customer_churn_dataset!$A$2:$A$1501,customer_churn_dataset!A953)&gt;1,"Duplicate","Unique")</f>
        <v>Unique</v>
      </c>
    </row>
    <row r="954" customFormat="false" ht="14.15" hidden="false" customHeight="true" outlineLevel="0" collapsed="false">
      <c r="A954" s="7" t="str">
        <f aca="false">TRIM(customer_churn_dataset!A954)</f>
        <v>CUST101434</v>
      </c>
      <c r="B954" s="7" t="str">
        <f aca="false">PROPER(TRIM(customer_churn_dataset!B954))</f>
        <v>Basic</v>
      </c>
      <c r="C954" s="7" t="str">
        <f aca="false">PROPER(TRIM(customer_churn_dataset!C954))</f>
        <v>Month-To-Month</v>
      </c>
      <c r="D954" s="7" t="n">
        <f aca="false">IF(ISBLANK(customer_churn_dataset!D954),ROUND(MEDIAN(customer_churn_dataset!D$2:D$1501),2),IF(customer_churn_dataset!D954&lt;0,ABS(customer_churn_dataset!D954),customer_churn_dataset!D954))</f>
        <v>10.84</v>
      </c>
      <c r="E954" s="7" t="n">
        <f aca="false">IF(ISBLANK(customer_churn_dataset!E954),0,MAX(0,customer_churn_dataset!E954))</f>
        <v>33</v>
      </c>
      <c r="F954" s="8" t="n">
        <f aca="false">IF(ISBLANK(customer_churn_dataset!F954),"",customer_churn_dataset!F954)</f>
        <v>45079</v>
      </c>
      <c r="G954" s="7" t="str">
        <f aca="false">PROPER(TRIM(customer_churn_dataset!G954))</f>
        <v>Credit Card</v>
      </c>
      <c r="H954" s="7" t="n">
        <f aca="false">IF(ISBLANK(customer_churn_dataset!H954),0,customer_churn_dataset!H954)</f>
        <v>1</v>
      </c>
      <c r="I954" s="7" t="n">
        <f aca="false">IF(ISBLANK(customer_churn_dataset!I954),ROUND(MEDIAN(customer_churn_dataset!I$2:I$1501),1),MIN(100,MAX(0,customer_churn_dataset!I954)))</f>
        <v>92</v>
      </c>
      <c r="J954" s="7" t="n">
        <f aca="false">IF(ISBLANK(customer_churn_dataset!J954),0,MAX(0,customer_churn_dataset!J954))</f>
        <v>22</v>
      </c>
      <c r="K954" s="7" t="n">
        <f aca="false">IF(ISBLANK(customer_churn_dataset!K954),0,MIN(10,MAX(0,customer_churn_dataset!K954)))</f>
        <v>10</v>
      </c>
      <c r="L954" s="7" t="n">
        <f aca="false">IF(ISBLANK(customer_churn_dataset!L954),0,MAX(0,customer_churn_dataset!L954))</f>
        <v>0</v>
      </c>
      <c r="M954" s="7" t="n">
        <f aca="false">IF(ISBLANK(customer_churn_dataset!M954),0,customer_churn_dataset!M954)</f>
        <v>0</v>
      </c>
      <c r="N954" s="7" t="n">
        <f aca="false">IF(ISBLANK(customer_churn_dataset!N954),0,MAX(0,customer_churn_dataset!N954))</f>
        <v>357.72</v>
      </c>
      <c r="O954" s="7" t="n">
        <f aca="false">IF(ISBLANK(customer_churn_dataset!O954),0,customer_churn_dataset!O954)</f>
        <v>0</v>
      </c>
      <c r="P954" s="7" t="str">
        <f aca="false">IF(COUNTIF(customer_churn_dataset!$A$2:$A$1501,customer_churn_dataset!A954)&gt;1,"Duplicate","Unique")</f>
        <v>Unique</v>
      </c>
    </row>
    <row r="955" customFormat="false" ht="14.15" hidden="false" customHeight="true" outlineLevel="0" collapsed="false">
      <c r="A955" s="7" t="str">
        <f aca="false">TRIM(customer_churn_dataset!A955)</f>
        <v>CUST100845</v>
      </c>
      <c r="B955" s="7" t="str">
        <f aca="false">PROPER(TRIM(customer_churn_dataset!B955))</f>
        <v>Basic</v>
      </c>
      <c r="C955" s="7" t="str">
        <f aca="false">PROPER(TRIM(customer_churn_dataset!C955))</f>
        <v>One Year</v>
      </c>
      <c r="D955" s="7" t="n">
        <f aca="false">IF(ISBLANK(customer_churn_dataset!D955),ROUND(MEDIAN(customer_churn_dataset!D$2:D$1501),2),IF(customer_churn_dataset!D955&lt;0,ABS(customer_churn_dataset!D955),customer_churn_dataset!D955))</f>
        <v>10.2</v>
      </c>
      <c r="E955" s="7" t="n">
        <f aca="false">IF(ISBLANK(customer_churn_dataset!E955),0,MAX(0,customer_churn_dataset!E955))</f>
        <v>72</v>
      </c>
      <c r="F955" s="8" t="n">
        <f aca="false">IF(ISBLANK(customer_churn_dataset!F955),"",customer_churn_dataset!F955)</f>
        <v>45080</v>
      </c>
      <c r="G955" s="7" t="str">
        <f aca="false">PROPER(TRIM(customer_churn_dataset!G955))</f>
        <v>Credit Card</v>
      </c>
      <c r="H955" s="7" t="n">
        <f aca="false">IF(ISBLANK(customer_churn_dataset!H955),0,customer_churn_dataset!H955)</f>
        <v>1</v>
      </c>
      <c r="I955" s="7" t="n">
        <f aca="false">IF(ISBLANK(customer_churn_dataset!I955),ROUND(MEDIAN(customer_churn_dataset!I$2:I$1501),1),MIN(100,MAX(0,customer_churn_dataset!I955)))</f>
        <v>43.9</v>
      </c>
      <c r="J955" s="7" t="n">
        <f aca="false">IF(ISBLANK(customer_churn_dataset!J955),0,MAX(0,customer_churn_dataset!J955))</f>
        <v>21</v>
      </c>
      <c r="K955" s="7" t="n">
        <f aca="false">IF(ISBLANK(customer_churn_dataset!K955),0,MIN(10,MAX(0,customer_churn_dataset!K955)))</f>
        <v>5</v>
      </c>
      <c r="L955" s="7" t="n">
        <f aca="false">IF(ISBLANK(customer_churn_dataset!L955),0,MAX(0,customer_churn_dataset!L955))</f>
        <v>1</v>
      </c>
      <c r="M955" s="7" t="n">
        <f aca="false">IF(ISBLANK(customer_churn_dataset!M955),0,customer_churn_dataset!M955)</f>
        <v>1</v>
      </c>
      <c r="N955" s="7" t="n">
        <f aca="false">IF(ISBLANK(customer_churn_dataset!N955),0,MAX(0,customer_churn_dataset!N955))</f>
        <v>734.4</v>
      </c>
      <c r="O955" s="7" t="n">
        <f aca="false">IF(ISBLANK(customer_churn_dataset!O955),0,customer_churn_dataset!O955)</f>
        <v>0</v>
      </c>
      <c r="P955" s="7" t="str">
        <f aca="false">IF(COUNTIF(customer_churn_dataset!$A$2:$A$1501,customer_churn_dataset!A955)&gt;1,"Duplicate","Unique")</f>
        <v>Unique</v>
      </c>
    </row>
    <row r="956" customFormat="false" ht="14.15" hidden="false" customHeight="true" outlineLevel="0" collapsed="false">
      <c r="A956" s="7" t="str">
        <f aca="false">TRIM(customer_churn_dataset!A956)</f>
        <v>CUST100319</v>
      </c>
      <c r="B956" s="7" t="str">
        <f aca="false">PROPER(TRIM(customer_churn_dataset!B956))</f>
        <v>Basic</v>
      </c>
      <c r="C956" s="7" t="str">
        <f aca="false">PROPER(TRIM(customer_churn_dataset!C956))</f>
        <v>One Year</v>
      </c>
      <c r="D956" s="7" t="n">
        <f aca="false">IF(ISBLANK(customer_churn_dataset!D956),ROUND(MEDIAN(customer_churn_dataset!D$2:D$1501),2),IF(customer_churn_dataset!D956&lt;0,ABS(customer_churn_dataset!D956),customer_churn_dataset!D956))</f>
        <v>9.55</v>
      </c>
      <c r="E956" s="7" t="n">
        <f aca="false">IF(ISBLANK(customer_churn_dataset!E956),0,MAX(0,customer_churn_dataset!E956))</f>
        <v>62</v>
      </c>
      <c r="F956" s="8" t="n">
        <f aca="false">IF(ISBLANK(customer_churn_dataset!F956),"",customer_churn_dataset!F956)</f>
        <v>45080</v>
      </c>
      <c r="G956" s="7" t="str">
        <f aca="false">PROPER(TRIM(customer_churn_dataset!G956))</f>
        <v>Credit Card</v>
      </c>
      <c r="H956" s="7" t="n">
        <f aca="false">IF(ISBLANK(customer_churn_dataset!H956),0,customer_churn_dataset!H956)</f>
        <v>0</v>
      </c>
      <c r="I956" s="7" t="n">
        <f aca="false">IF(ISBLANK(customer_churn_dataset!I956),ROUND(MEDIAN(customer_churn_dataset!I$2:I$1501),1),MIN(100,MAX(0,customer_churn_dataset!I956)))</f>
        <v>61.8</v>
      </c>
      <c r="J956" s="7" t="n">
        <f aca="false">IF(ISBLANK(customer_churn_dataset!J956),0,MAX(0,customer_churn_dataset!J956))</f>
        <v>22</v>
      </c>
      <c r="K956" s="7" t="n">
        <f aca="false">IF(ISBLANK(customer_churn_dataset!K956),0,MIN(10,MAX(0,customer_churn_dataset!K956)))</f>
        <v>6</v>
      </c>
      <c r="L956" s="7" t="n">
        <f aca="false">IF(ISBLANK(customer_churn_dataset!L956),0,MAX(0,customer_churn_dataset!L956))</f>
        <v>1</v>
      </c>
      <c r="M956" s="7" t="n">
        <f aca="false">IF(ISBLANK(customer_churn_dataset!M956),0,customer_churn_dataset!M956)</f>
        <v>0</v>
      </c>
      <c r="N956" s="7" t="n">
        <f aca="false">IF(ISBLANK(customer_churn_dataset!N956),0,MAX(0,customer_churn_dataset!N956))</f>
        <v>592.1</v>
      </c>
      <c r="O956" s="7" t="n">
        <f aca="false">IF(ISBLANK(customer_churn_dataset!O956),0,customer_churn_dataset!O956)</f>
        <v>0</v>
      </c>
      <c r="P956" s="7" t="str">
        <f aca="false">IF(COUNTIF(customer_churn_dataset!$A$2:$A$1501,customer_churn_dataset!A956)&gt;1,"Duplicate","Unique")</f>
        <v>Unique</v>
      </c>
    </row>
    <row r="957" customFormat="false" ht="14.15" hidden="false" customHeight="true" outlineLevel="0" collapsed="false">
      <c r="A957" s="7" t="str">
        <f aca="false">TRIM(customer_churn_dataset!A957)</f>
        <v>CUST101040</v>
      </c>
      <c r="B957" s="7" t="str">
        <f aca="false">PROPER(TRIM(customer_churn_dataset!B957))</f>
        <v>Standard</v>
      </c>
      <c r="C957" s="7" t="str">
        <f aca="false">PROPER(TRIM(customer_churn_dataset!C957))</f>
        <v>Two Year</v>
      </c>
      <c r="D957" s="7" t="n">
        <f aca="false">IF(ISBLANK(customer_churn_dataset!D957),ROUND(MEDIAN(customer_churn_dataset!D$2:D$1501),2),IF(customer_churn_dataset!D957&lt;0,ABS(customer_churn_dataset!D957),customer_churn_dataset!D957))</f>
        <v>21.79</v>
      </c>
      <c r="E957" s="7" t="n">
        <f aca="false">IF(ISBLANK(customer_churn_dataset!E957),0,MAX(0,customer_churn_dataset!E957))</f>
        <v>13</v>
      </c>
      <c r="F957" s="8" t="n">
        <f aca="false">IF(ISBLANK(customer_churn_dataset!F957),"",customer_churn_dataset!F957)</f>
        <v>45081</v>
      </c>
      <c r="G957" s="7" t="str">
        <f aca="false">PROPER(TRIM(customer_churn_dataset!G957))</f>
        <v>Paypal</v>
      </c>
      <c r="H957" s="7" t="n">
        <f aca="false">IF(ISBLANK(customer_churn_dataset!H957),0,customer_churn_dataset!H957)</f>
        <v>1</v>
      </c>
      <c r="I957" s="7" t="n">
        <f aca="false">IF(ISBLANK(customer_churn_dataset!I957),ROUND(MEDIAN(customer_churn_dataset!I$2:I$1501),1),MIN(100,MAX(0,customer_churn_dataset!I957)))</f>
        <v>68.8</v>
      </c>
      <c r="J957" s="7" t="n">
        <f aca="false">IF(ISBLANK(customer_churn_dataset!J957),0,MAX(0,customer_churn_dataset!J957))</f>
        <v>18</v>
      </c>
      <c r="K957" s="7" t="n">
        <f aca="false">IF(ISBLANK(customer_churn_dataset!K957),0,MIN(10,MAX(0,customer_churn_dataset!K957)))</f>
        <v>9</v>
      </c>
      <c r="L957" s="7" t="n">
        <f aca="false">IF(ISBLANK(customer_churn_dataset!L957),0,MAX(0,customer_churn_dataset!L957))</f>
        <v>1</v>
      </c>
      <c r="M957" s="7" t="n">
        <f aca="false">IF(ISBLANK(customer_churn_dataset!M957),0,customer_churn_dataset!M957)</f>
        <v>0</v>
      </c>
      <c r="N957" s="7" t="n">
        <f aca="false">IF(ISBLANK(customer_churn_dataset!N957),0,MAX(0,customer_churn_dataset!N957))</f>
        <v>283.27</v>
      </c>
      <c r="O957" s="7" t="n">
        <f aca="false">IF(ISBLANK(customer_churn_dataset!O957),0,customer_churn_dataset!O957)</f>
        <v>0</v>
      </c>
      <c r="P957" s="7" t="str">
        <f aca="false">IF(COUNTIF(customer_churn_dataset!$A$2:$A$1501,customer_churn_dataset!A957)&gt;1,"Duplicate","Unique")</f>
        <v>Unique</v>
      </c>
    </row>
    <row r="958" customFormat="false" ht="14.15" hidden="false" customHeight="true" outlineLevel="0" collapsed="false">
      <c r="A958" s="7" t="str">
        <f aca="false">TRIM(customer_churn_dataset!A958)</f>
        <v>CUST100810</v>
      </c>
      <c r="B958" s="7" t="str">
        <f aca="false">PROPER(TRIM(customer_churn_dataset!B958))</f>
        <v>Premium</v>
      </c>
      <c r="C958" s="7" t="str">
        <f aca="false">PROPER(TRIM(customer_churn_dataset!C958))</f>
        <v>One Year</v>
      </c>
      <c r="D958" s="7" t="n">
        <f aca="false">IF(ISBLANK(customer_churn_dataset!D958),ROUND(MEDIAN(customer_churn_dataset!D$2:D$1501),2),IF(customer_churn_dataset!D958&lt;0,ABS(customer_churn_dataset!D958),customer_churn_dataset!D958))</f>
        <v>40.58</v>
      </c>
      <c r="E958" s="7" t="n">
        <f aca="false">IF(ISBLANK(customer_churn_dataset!E958),0,MAX(0,customer_churn_dataset!E958))</f>
        <v>19</v>
      </c>
      <c r="F958" s="8" t="n">
        <f aca="false">IF(ISBLANK(customer_churn_dataset!F958),"",customer_churn_dataset!F958)</f>
        <v>45085</v>
      </c>
      <c r="G958" s="7" t="str">
        <f aca="false">PROPER(TRIM(customer_churn_dataset!G958))</f>
        <v>Manual/Invoice</v>
      </c>
      <c r="H958" s="7" t="n">
        <f aca="false">IF(ISBLANK(customer_churn_dataset!H958),0,customer_churn_dataset!H958)</f>
        <v>1</v>
      </c>
      <c r="I958" s="7" t="n">
        <f aca="false">IF(ISBLANK(customer_churn_dataset!I958),ROUND(MEDIAN(customer_churn_dataset!I$2:I$1501),1),MIN(100,MAX(0,customer_churn_dataset!I958)))</f>
        <v>60.8</v>
      </c>
      <c r="J958" s="7" t="n">
        <f aca="false">IF(ISBLANK(customer_churn_dataset!J958),0,MAX(0,customer_churn_dataset!J958))</f>
        <v>18</v>
      </c>
      <c r="K958" s="7" t="n">
        <f aca="false">IF(ISBLANK(customer_churn_dataset!K958),0,MIN(10,MAX(0,customer_churn_dataset!K958)))</f>
        <v>7</v>
      </c>
      <c r="L958" s="7" t="n">
        <f aca="false">IF(ISBLANK(customer_churn_dataset!L958),0,MAX(0,customer_churn_dataset!L958))</f>
        <v>0</v>
      </c>
      <c r="M958" s="7" t="n">
        <f aca="false">IF(ISBLANK(customer_churn_dataset!M958),0,customer_churn_dataset!M958)</f>
        <v>0</v>
      </c>
      <c r="N958" s="7" t="n">
        <f aca="false">IF(ISBLANK(customer_churn_dataset!N958),0,MAX(0,customer_churn_dataset!N958))</f>
        <v>771.02</v>
      </c>
      <c r="O958" s="7" t="n">
        <f aca="false">IF(ISBLANK(customer_churn_dataset!O958),0,customer_churn_dataset!O958)</f>
        <v>0</v>
      </c>
      <c r="P958" s="7" t="str">
        <f aca="false">IF(COUNTIF(customer_churn_dataset!$A$2:$A$1501,customer_churn_dataset!A958)&gt;1,"Duplicate","Unique")</f>
        <v>Unique</v>
      </c>
    </row>
    <row r="959" customFormat="false" ht="14.15" hidden="false" customHeight="true" outlineLevel="0" collapsed="false">
      <c r="A959" s="7" t="str">
        <f aca="false">TRIM(customer_churn_dataset!A959)</f>
        <v>CUST101310</v>
      </c>
      <c r="B959" s="7" t="str">
        <f aca="false">PROPER(TRIM(customer_churn_dataset!B959))</f>
        <v>Basic</v>
      </c>
      <c r="C959" s="7" t="str">
        <f aca="false">PROPER(TRIM(customer_churn_dataset!C959))</f>
        <v>Month-To-Month</v>
      </c>
      <c r="D959" s="7" t="n">
        <f aca="false">IF(ISBLANK(customer_churn_dataset!D959),ROUND(MEDIAN(customer_churn_dataset!D$2:D$1501),2),IF(customer_churn_dataset!D959&lt;0,ABS(customer_churn_dataset!D959),customer_churn_dataset!D959))</f>
        <v>11.06</v>
      </c>
      <c r="E959" s="7" t="n">
        <f aca="false">IF(ISBLANK(customer_churn_dataset!E959),0,MAX(0,customer_churn_dataset!E959))</f>
        <v>18</v>
      </c>
      <c r="F959" s="8" t="n">
        <f aca="false">IF(ISBLANK(customer_churn_dataset!F959),"",customer_churn_dataset!F959)</f>
        <v>45086</v>
      </c>
      <c r="G959" s="7" t="str">
        <f aca="false">PROPER(TRIM(customer_churn_dataset!G959))</f>
        <v>Bank Transfer</v>
      </c>
      <c r="H959" s="7" t="n">
        <f aca="false">IF(ISBLANK(customer_churn_dataset!H959),0,customer_churn_dataset!H959)</f>
        <v>0</v>
      </c>
      <c r="I959" s="7" t="n">
        <f aca="false">IF(ISBLANK(customer_churn_dataset!I959),ROUND(MEDIAN(customer_churn_dataset!I$2:I$1501),1),MIN(100,MAX(0,customer_churn_dataset!I959)))</f>
        <v>89.9</v>
      </c>
      <c r="J959" s="7" t="n">
        <f aca="false">IF(ISBLANK(customer_churn_dataset!J959),0,MAX(0,customer_churn_dataset!J959))</f>
        <v>28</v>
      </c>
      <c r="K959" s="7" t="n">
        <f aca="false">IF(ISBLANK(customer_churn_dataset!K959),0,MIN(10,MAX(0,customer_churn_dataset!K959)))</f>
        <v>8</v>
      </c>
      <c r="L959" s="7" t="n">
        <f aca="false">IF(ISBLANK(customer_churn_dataset!L959),0,MAX(0,customer_churn_dataset!L959))</f>
        <v>1</v>
      </c>
      <c r="M959" s="7" t="n">
        <f aca="false">IF(ISBLANK(customer_churn_dataset!M959),0,customer_churn_dataset!M959)</f>
        <v>1</v>
      </c>
      <c r="N959" s="7" t="n">
        <f aca="false">IF(ISBLANK(customer_churn_dataset!N959),0,MAX(0,customer_churn_dataset!N959))</f>
        <v>199.08</v>
      </c>
      <c r="O959" s="7" t="n">
        <f aca="false">IF(ISBLANK(customer_churn_dataset!O959),0,customer_churn_dataset!O959)</f>
        <v>0</v>
      </c>
      <c r="P959" s="7" t="str">
        <f aca="false">IF(COUNTIF(customer_churn_dataset!$A$2:$A$1501,customer_churn_dataset!A959)&gt;1,"Duplicate","Unique")</f>
        <v>Unique</v>
      </c>
    </row>
    <row r="960" customFormat="false" ht="14.15" hidden="false" customHeight="true" outlineLevel="0" collapsed="false">
      <c r="A960" s="7" t="str">
        <f aca="false">TRIM(customer_churn_dataset!A960)</f>
        <v>CUST100653</v>
      </c>
      <c r="B960" s="7" t="str">
        <f aca="false">PROPER(TRIM(customer_churn_dataset!B960))</f>
        <v>Standard</v>
      </c>
      <c r="C960" s="7" t="str">
        <f aca="false">PROPER(TRIM(customer_churn_dataset!C960))</f>
        <v>Month-To-Month</v>
      </c>
      <c r="D960" s="7" t="n">
        <f aca="false">IF(ISBLANK(customer_churn_dataset!D960),ROUND(MEDIAN(customer_churn_dataset!D$2:D$1501),2),IF(customer_churn_dataset!D960&lt;0,ABS(customer_churn_dataset!D960),customer_churn_dataset!D960))</f>
        <v>20.89</v>
      </c>
      <c r="E960" s="7" t="n">
        <f aca="false">IF(ISBLANK(customer_churn_dataset!E960),0,MAX(0,customer_churn_dataset!E960))</f>
        <v>22</v>
      </c>
      <c r="F960" s="8" t="n">
        <f aca="false">IF(ISBLANK(customer_churn_dataset!F960),"",customer_churn_dataset!F960)</f>
        <v>45086</v>
      </c>
      <c r="G960" s="7" t="str">
        <f aca="false">PROPER(TRIM(customer_churn_dataset!G960))</f>
        <v>Bank Transfer</v>
      </c>
      <c r="H960" s="7" t="n">
        <f aca="false">IF(ISBLANK(customer_churn_dataset!H960),0,customer_churn_dataset!H960)</f>
        <v>0</v>
      </c>
      <c r="I960" s="7" t="n">
        <f aca="false">IF(ISBLANK(customer_churn_dataset!I960),ROUND(MEDIAN(customer_churn_dataset!I$2:I$1501),1),MIN(100,MAX(0,customer_churn_dataset!I960)))</f>
        <v>20.5</v>
      </c>
      <c r="J960" s="7" t="n">
        <f aca="false">IF(ISBLANK(customer_churn_dataset!J960),0,MAX(0,customer_churn_dataset!J960))</f>
        <v>9</v>
      </c>
      <c r="K960" s="7" t="n">
        <f aca="false">IF(ISBLANK(customer_churn_dataset!K960),0,MIN(10,MAX(0,customer_churn_dataset!K960)))</f>
        <v>1</v>
      </c>
      <c r="L960" s="7" t="n">
        <f aca="false">IF(ISBLANK(customer_churn_dataset!L960),0,MAX(0,customer_churn_dataset!L960))</f>
        <v>0</v>
      </c>
      <c r="M960" s="7" t="n">
        <f aca="false">IF(ISBLANK(customer_churn_dataset!M960),0,customer_churn_dataset!M960)</f>
        <v>0</v>
      </c>
      <c r="N960" s="7" t="n">
        <f aca="false">IF(ISBLANK(customer_churn_dataset!N960),0,MAX(0,customer_churn_dataset!N960))</f>
        <v>459.58</v>
      </c>
      <c r="O960" s="7" t="n">
        <f aca="false">IF(ISBLANK(customer_churn_dataset!O960),0,customer_churn_dataset!O960)</f>
        <v>0</v>
      </c>
      <c r="P960" s="7" t="str">
        <f aca="false">IF(COUNTIF(customer_churn_dataset!$A$2:$A$1501,customer_churn_dataset!A960)&gt;1,"Duplicate","Unique")</f>
        <v>Unique</v>
      </c>
    </row>
    <row r="961" customFormat="false" ht="14.15" hidden="false" customHeight="true" outlineLevel="0" collapsed="false">
      <c r="A961" s="7" t="str">
        <f aca="false">TRIM(customer_churn_dataset!A961)</f>
        <v>CUST101158</v>
      </c>
      <c r="B961" s="7" t="str">
        <f aca="false">PROPER(TRIM(customer_churn_dataset!B961))</f>
        <v>Premium</v>
      </c>
      <c r="C961" s="7" t="str">
        <f aca="false">PROPER(TRIM(customer_churn_dataset!C961))</f>
        <v>One Year</v>
      </c>
      <c r="D961" s="7" t="n">
        <f aca="false">IF(ISBLANK(customer_churn_dataset!D961),ROUND(MEDIAN(customer_churn_dataset!D$2:D$1501),2),IF(customer_churn_dataset!D961&lt;0,ABS(customer_churn_dataset!D961),customer_churn_dataset!D961))</f>
        <v>39.43</v>
      </c>
      <c r="E961" s="7" t="n">
        <f aca="false">IF(ISBLANK(customer_churn_dataset!E961),0,MAX(0,customer_churn_dataset!E961))</f>
        <v>2</v>
      </c>
      <c r="F961" s="8" t="n">
        <f aca="false">IF(ISBLANK(customer_churn_dataset!F961),"",customer_churn_dataset!F961)</f>
        <v>45086</v>
      </c>
      <c r="G961" s="7" t="str">
        <f aca="false">PROPER(TRIM(customer_churn_dataset!G961))</f>
        <v>Credit Card</v>
      </c>
      <c r="H961" s="7" t="n">
        <f aca="false">IF(ISBLANK(customer_churn_dataset!H961),0,customer_churn_dataset!H961)</f>
        <v>0</v>
      </c>
      <c r="I961" s="7" t="n">
        <f aca="false">IF(ISBLANK(customer_churn_dataset!I961),ROUND(MEDIAN(customer_churn_dataset!I$2:I$1501),1),MIN(100,MAX(0,customer_churn_dataset!I961)))</f>
        <v>31.2</v>
      </c>
      <c r="J961" s="7" t="n">
        <f aca="false">IF(ISBLANK(customer_churn_dataset!J961),0,MAX(0,customer_churn_dataset!J961))</f>
        <v>3</v>
      </c>
      <c r="K961" s="7" t="n">
        <f aca="false">IF(ISBLANK(customer_churn_dataset!K961),0,MIN(10,MAX(0,customer_churn_dataset!K961)))</f>
        <v>3</v>
      </c>
      <c r="L961" s="7" t="n">
        <f aca="false">IF(ISBLANK(customer_churn_dataset!L961),0,MAX(0,customer_churn_dataset!L961))</f>
        <v>1</v>
      </c>
      <c r="M961" s="7" t="n">
        <f aca="false">IF(ISBLANK(customer_churn_dataset!M961),0,customer_churn_dataset!M961)</f>
        <v>0</v>
      </c>
      <c r="N961" s="7" t="n">
        <f aca="false">IF(ISBLANK(customer_churn_dataset!N961),0,MAX(0,customer_churn_dataset!N961))</f>
        <v>78.86</v>
      </c>
      <c r="O961" s="7" t="n">
        <f aca="false">IF(ISBLANK(customer_churn_dataset!O961),0,customer_churn_dataset!O961)</f>
        <v>0</v>
      </c>
      <c r="P961" s="7" t="str">
        <f aca="false">IF(COUNTIF(customer_churn_dataset!$A$2:$A$1501,customer_churn_dataset!A961)&gt;1,"Duplicate","Unique")</f>
        <v>Unique</v>
      </c>
    </row>
    <row r="962" customFormat="false" ht="14.15" hidden="false" customHeight="true" outlineLevel="0" collapsed="false">
      <c r="A962" s="7" t="str">
        <f aca="false">TRIM(customer_churn_dataset!A962)</f>
        <v>CUST100658</v>
      </c>
      <c r="B962" s="7" t="str">
        <f aca="false">PROPER(TRIM(customer_churn_dataset!B962))</f>
        <v>Standard</v>
      </c>
      <c r="C962" s="7" t="str">
        <f aca="false">PROPER(TRIM(customer_churn_dataset!C962))</f>
        <v>One Year</v>
      </c>
      <c r="D962" s="7" t="n">
        <f aca="false">IF(ISBLANK(customer_churn_dataset!D962),ROUND(MEDIAN(customer_churn_dataset!D$2:D$1501),2),IF(customer_churn_dataset!D962&lt;0,ABS(customer_churn_dataset!D962),customer_churn_dataset!D962))</f>
        <v>19.78</v>
      </c>
      <c r="E962" s="7" t="n">
        <f aca="false">IF(ISBLANK(customer_churn_dataset!E962),0,MAX(0,customer_churn_dataset!E962))</f>
        <v>16</v>
      </c>
      <c r="F962" s="8" t="n">
        <f aca="false">IF(ISBLANK(customer_churn_dataset!F962),"",customer_churn_dataset!F962)</f>
        <v>45088</v>
      </c>
      <c r="G962" s="7" t="str">
        <f aca="false">PROPER(TRIM(customer_churn_dataset!G962))</f>
        <v>Paypal</v>
      </c>
      <c r="H962" s="7" t="n">
        <f aca="false">IF(ISBLANK(customer_churn_dataset!H962),0,customer_churn_dataset!H962)</f>
        <v>1</v>
      </c>
      <c r="I962" s="7" t="n">
        <f aca="false">IF(ISBLANK(customer_churn_dataset!I962),ROUND(MEDIAN(customer_churn_dataset!I$2:I$1501),1),MIN(100,MAX(0,customer_churn_dataset!I962)))</f>
        <v>42.6</v>
      </c>
      <c r="J962" s="7" t="n">
        <f aca="false">IF(ISBLANK(customer_churn_dataset!J962),0,MAX(0,customer_churn_dataset!J962))</f>
        <v>11</v>
      </c>
      <c r="K962" s="7" t="n">
        <f aca="false">IF(ISBLANK(customer_churn_dataset!K962),0,MIN(10,MAX(0,customer_churn_dataset!K962)))</f>
        <v>5</v>
      </c>
      <c r="L962" s="7" t="n">
        <f aca="false">IF(ISBLANK(customer_churn_dataset!L962),0,MAX(0,customer_churn_dataset!L962))</f>
        <v>0</v>
      </c>
      <c r="M962" s="7" t="n">
        <f aca="false">IF(ISBLANK(customer_churn_dataset!M962),0,customer_churn_dataset!M962)</f>
        <v>0</v>
      </c>
      <c r="N962" s="7" t="n">
        <f aca="false">IF(ISBLANK(customer_churn_dataset!N962),0,MAX(0,customer_churn_dataset!N962))</f>
        <v>316.48</v>
      </c>
      <c r="O962" s="7" t="n">
        <f aca="false">IF(ISBLANK(customer_churn_dataset!O962),0,customer_churn_dataset!O962)</f>
        <v>0</v>
      </c>
      <c r="P962" s="7" t="str">
        <f aca="false">IF(COUNTIF(customer_churn_dataset!$A$2:$A$1501,customer_churn_dataset!A962)&gt;1,"Duplicate","Unique")</f>
        <v>Unique</v>
      </c>
    </row>
    <row r="963" customFormat="false" ht="14.15" hidden="false" customHeight="true" outlineLevel="0" collapsed="false">
      <c r="A963" s="7" t="str">
        <f aca="false">TRIM(customer_churn_dataset!A963)</f>
        <v>CUST100498</v>
      </c>
      <c r="B963" s="7" t="str">
        <f aca="false">PROPER(TRIM(customer_churn_dataset!B963))</f>
        <v>Premium</v>
      </c>
      <c r="C963" s="7" t="str">
        <f aca="false">PROPER(TRIM(customer_churn_dataset!C963))</f>
        <v>Month-To-Month</v>
      </c>
      <c r="D963" s="7" t="n">
        <f aca="false">IF(ISBLANK(customer_churn_dataset!D963),ROUND(MEDIAN(customer_churn_dataset!D$2:D$1501),2),IF(customer_churn_dataset!D963&lt;0,ABS(customer_churn_dataset!D963),customer_churn_dataset!D963))</f>
        <v>38.98</v>
      </c>
      <c r="E963" s="7" t="n">
        <f aca="false">IF(ISBLANK(customer_churn_dataset!E963),0,MAX(0,customer_churn_dataset!E963))</f>
        <v>15</v>
      </c>
      <c r="F963" s="8" t="n">
        <f aca="false">IF(ISBLANK(customer_churn_dataset!F963),"",customer_churn_dataset!F963)</f>
        <v>45089</v>
      </c>
      <c r="G963" s="7" t="str">
        <f aca="false">PROPER(TRIM(customer_churn_dataset!G963))</f>
        <v>Paypal</v>
      </c>
      <c r="H963" s="7" t="n">
        <f aca="false">IF(ISBLANK(customer_churn_dataset!H963),0,customer_churn_dataset!H963)</f>
        <v>1</v>
      </c>
      <c r="I963" s="7" t="n">
        <f aca="false">IF(ISBLANK(customer_churn_dataset!I963),ROUND(MEDIAN(customer_churn_dataset!I$2:I$1501),1),MIN(100,MAX(0,customer_churn_dataset!I963)))</f>
        <v>32.4</v>
      </c>
      <c r="J963" s="7" t="n">
        <f aca="false">IF(ISBLANK(customer_churn_dataset!J963),0,MAX(0,customer_churn_dataset!J963))</f>
        <v>19</v>
      </c>
      <c r="K963" s="7" t="n">
        <f aca="false">IF(ISBLANK(customer_churn_dataset!K963),0,MIN(10,MAX(0,customer_churn_dataset!K963)))</f>
        <v>5</v>
      </c>
      <c r="L963" s="7" t="n">
        <f aca="false">IF(ISBLANK(customer_churn_dataset!L963),0,MAX(0,customer_churn_dataset!L963))</f>
        <v>0</v>
      </c>
      <c r="M963" s="7" t="n">
        <f aca="false">IF(ISBLANK(customer_churn_dataset!M963),0,customer_churn_dataset!M963)</f>
        <v>0</v>
      </c>
      <c r="N963" s="7" t="n">
        <f aca="false">IF(ISBLANK(customer_churn_dataset!N963),0,MAX(0,customer_churn_dataset!N963))</f>
        <v>584.7</v>
      </c>
      <c r="O963" s="7" t="n">
        <f aca="false">IF(ISBLANK(customer_churn_dataset!O963),0,customer_churn_dataset!O963)</f>
        <v>0</v>
      </c>
      <c r="P963" s="7" t="str">
        <f aca="false">IF(COUNTIF(customer_churn_dataset!$A$2:$A$1501,customer_churn_dataset!A963)&gt;1,"Duplicate","Unique")</f>
        <v>Unique</v>
      </c>
    </row>
    <row r="964" customFormat="false" ht="14.15" hidden="false" customHeight="true" outlineLevel="0" collapsed="false">
      <c r="A964" s="7" t="str">
        <f aca="false">TRIM(customer_churn_dataset!A964)</f>
        <v>CUST100977</v>
      </c>
      <c r="B964" s="7" t="str">
        <f aca="false">PROPER(TRIM(customer_churn_dataset!B964))</f>
        <v>Basic</v>
      </c>
      <c r="C964" s="7" t="str">
        <f aca="false">PROPER(TRIM(customer_churn_dataset!C964))</f>
        <v>One Year</v>
      </c>
      <c r="D964" s="7" t="n">
        <f aca="false">IF(ISBLANK(customer_churn_dataset!D964),ROUND(MEDIAN(customer_churn_dataset!D$2:D$1501),2),IF(customer_churn_dataset!D964&lt;0,ABS(customer_churn_dataset!D964),customer_churn_dataset!D964))</f>
        <v>11.54</v>
      </c>
      <c r="E964" s="7" t="n">
        <f aca="false">IF(ISBLANK(customer_churn_dataset!E964),0,MAX(0,customer_churn_dataset!E964))</f>
        <v>0</v>
      </c>
      <c r="F964" s="8" t="n">
        <f aca="false">IF(ISBLANK(customer_churn_dataset!F964),"",customer_churn_dataset!F964)</f>
        <v>45090</v>
      </c>
      <c r="G964" s="7" t="str">
        <f aca="false">PROPER(TRIM(customer_churn_dataset!G964))</f>
        <v>Paypal</v>
      </c>
      <c r="H964" s="7" t="n">
        <f aca="false">IF(ISBLANK(customer_churn_dataset!H964),0,customer_churn_dataset!H964)</f>
        <v>0</v>
      </c>
      <c r="I964" s="7" t="n">
        <f aca="false">IF(ISBLANK(customer_churn_dataset!I964),ROUND(MEDIAN(customer_churn_dataset!I$2:I$1501),1),MIN(100,MAX(0,customer_churn_dataset!I964)))</f>
        <v>35.7</v>
      </c>
      <c r="J964" s="7" t="n">
        <f aca="false">IF(ISBLANK(customer_churn_dataset!J964),0,MAX(0,customer_churn_dataset!J964))</f>
        <v>12</v>
      </c>
      <c r="K964" s="7" t="n">
        <f aca="false">IF(ISBLANK(customer_churn_dataset!K964),0,MIN(10,MAX(0,customer_churn_dataset!K964)))</f>
        <v>4</v>
      </c>
      <c r="L964" s="7" t="n">
        <f aca="false">IF(ISBLANK(customer_churn_dataset!L964),0,MAX(0,customer_churn_dataset!L964))</f>
        <v>0</v>
      </c>
      <c r="M964" s="7" t="n">
        <f aca="false">IF(ISBLANK(customer_churn_dataset!M964),0,customer_churn_dataset!M964)</f>
        <v>0</v>
      </c>
      <c r="N964" s="7" t="n">
        <f aca="false">IF(ISBLANK(customer_churn_dataset!N964),0,MAX(0,customer_churn_dataset!N964))</f>
        <v>0</v>
      </c>
      <c r="O964" s="7" t="n">
        <f aca="false">IF(ISBLANK(customer_churn_dataset!O964),0,customer_churn_dataset!O964)</f>
        <v>0</v>
      </c>
      <c r="P964" s="7" t="str">
        <f aca="false">IF(COUNTIF(customer_churn_dataset!$A$2:$A$1501,customer_churn_dataset!A964)&gt;1,"Duplicate","Unique")</f>
        <v>Unique</v>
      </c>
    </row>
    <row r="965" customFormat="false" ht="14.15" hidden="false" customHeight="true" outlineLevel="0" collapsed="false">
      <c r="A965" s="7" t="str">
        <f aca="false">TRIM(customer_churn_dataset!A965)</f>
        <v>CUST100271</v>
      </c>
      <c r="B965" s="7" t="str">
        <f aca="false">PROPER(TRIM(customer_churn_dataset!B965))</f>
        <v>Premium</v>
      </c>
      <c r="C965" s="7" t="str">
        <f aca="false">PROPER(TRIM(customer_churn_dataset!C965))</f>
        <v>Month-To-Month</v>
      </c>
      <c r="D965" s="7" t="n">
        <f aca="false">IF(ISBLANK(customer_churn_dataset!D965),ROUND(MEDIAN(customer_churn_dataset!D$2:D$1501),2),IF(customer_churn_dataset!D965&lt;0,ABS(customer_churn_dataset!D965),customer_churn_dataset!D965))</f>
        <v>40.81</v>
      </c>
      <c r="E965" s="7" t="n">
        <f aca="false">IF(ISBLANK(customer_churn_dataset!E965),0,MAX(0,customer_churn_dataset!E965))</f>
        <v>1</v>
      </c>
      <c r="F965" s="8" t="n">
        <f aca="false">IF(ISBLANK(customer_churn_dataset!F965),"",customer_churn_dataset!F965)</f>
        <v>45091</v>
      </c>
      <c r="G965" s="7" t="str">
        <f aca="false">PROPER(TRIM(customer_churn_dataset!G965))</f>
        <v>Paypal</v>
      </c>
      <c r="H965" s="7" t="n">
        <f aca="false">IF(ISBLANK(customer_churn_dataset!H965),0,customer_churn_dataset!H965)</f>
        <v>0</v>
      </c>
      <c r="I965" s="7" t="n">
        <f aca="false">IF(ISBLANK(customer_churn_dataset!I965),ROUND(MEDIAN(customer_churn_dataset!I$2:I$1501),1),MIN(100,MAX(0,customer_churn_dataset!I965)))</f>
        <v>48.7</v>
      </c>
      <c r="J965" s="7" t="n">
        <f aca="false">IF(ISBLANK(customer_churn_dataset!J965),0,MAX(0,customer_churn_dataset!J965))</f>
        <v>17</v>
      </c>
      <c r="K965" s="7" t="n">
        <f aca="false">IF(ISBLANK(customer_churn_dataset!K965),0,MIN(10,MAX(0,customer_churn_dataset!K965)))</f>
        <v>7</v>
      </c>
      <c r="L965" s="7" t="n">
        <f aca="false">IF(ISBLANK(customer_churn_dataset!L965),0,MAX(0,customer_churn_dataset!L965))</f>
        <v>1</v>
      </c>
      <c r="M965" s="7" t="n">
        <f aca="false">IF(ISBLANK(customer_churn_dataset!M965),0,customer_churn_dataset!M965)</f>
        <v>0</v>
      </c>
      <c r="N965" s="7" t="n">
        <f aca="false">IF(ISBLANK(customer_churn_dataset!N965),0,MAX(0,customer_churn_dataset!N965))</f>
        <v>40.81</v>
      </c>
      <c r="O965" s="7" t="n">
        <f aca="false">IF(ISBLANK(customer_churn_dataset!O965),0,customer_churn_dataset!O965)</f>
        <v>0</v>
      </c>
      <c r="P965" s="7" t="str">
        <f aca="false">IF(COUNTIF(customer_churn_dataset!$A$2:$A$1501,customer_churn_dataset!A965)&gt;1,"Duplicate","Unique")</f>
        <v>Unique</v>
      </c>
    </row>
    <row r="966" customFormat="false" ht="14.15" hidden="false" customHeight="true" outlineLevel="0" collapsed="false">
      <c r="A966" s="7" t="str">
        <f aca="false">TRIM(customer_churn_dataset!A966)</f>
        <v>CUST100734</v>
      </c>
      <c r="B966" s="7" t="str">
        <f aca="false">PROPER(TRIM(customer_churn_dataset!B966))</f>
        <v>Basic</v>
      </c>
      <c r="C966" s="7" t="str">
        <f aca="false">PROPER(TRIM(customer_churn_dataset!C966))</f>
        <v>One Year</v>
      </c>
      <c r="D966" s="7" t="n">
        <f aca="false">IF(ISBLANK(customer_churn_dataset!D966),ROUND(MEDIAN(customer_churn_dataset!D$2:D$1501),2),IF(customer_churn_dataset!D966&lt;0,ABS(customer_churn_dataset!D966),customer_churn_dataset!D966))</f>
        <v>9.9</v>
      </c>
      <c r="E966" s="7" t="n">
        <f aca="false">IF(ISBLANK(customer_churn_dataset!E966),0,MAX(0,customer_churn_dataset!E966))</f>
        <v>6</v>
      </c>
      <c r="F966" s="8" t="n">
        <f aca="false">IF(ISBLANK(customer_churn_dataset!F966),"",customer_churn_dataset!F966)</f>
        <v>45092</v>
      </c>
      <c r="G966" s="7" t="str">
        <f aca="false">PROPER(TRIM(customer_churn_dataset!G966))</f>
        <v>Credit Card</v>
      </c>
      <c r="H966" s="7" t="n">
        <f aca="false">IF(ISBLANK(customer_churn_dataset!H966),0,customer_churn_dataset!H966)</f>
        <v>1</v>
      </c>
      <c r="I966" s="7" t="n">
        <f aca="false">IF(ISBLANK(customer_churn_dataset!I966),ROUND(MEDIAN(customer_churn_dataset!I$2:I$1501),1),MIN(100,MAX(0,customer_churn_dataset!I966)))</f>
        <v>72.6</v>
      </c>
      <c r="J966" s="7" t="n">
        <f aca="false">IF(ISBLANK(customer_churn_dataset!J966),0,MAX(0,customer_churn_dataset!J966))</f>
        <v>21</v>
      </c>
      <c r="K966" s="7" t="n">
        <f aca="false">IF(ISBLANK(customer_churn_dataset!K966),0,MIN(10,MAX(0,customer_churn_dataset!K966)))</f>
        <v>7</v>
      </c>
      <c r="L966" s="7" t="n">
        <f aca="false">IF(ISBLANK(customer_churn_dataset!L966),0,MAX(0,customer_churn_dataset!L966))</f>
        <v>2</v>
      </c>
      <c r="M966" s="7" t="n">
        <f aca="false">IF(ISBLANK(customer_churn_dataset!M966),0,customer_churn_dataset!M966)</f>
        <v>0</v>
      </c>
      <c r="N966" s="7" t="n">
        <f aca="false">IF(ISBLANK(customer_churn_dataset!N966),0,MAX(0,customer_churn_dataset!N966))</f>
        <v>59.4</v>
      </c>
      <c r="O966" s="7" t="n">
        <f aca="false">IF(ISBLANK(customer_churn_dataset!O966),0,customer_churn_dataset!O966)</f>
        <v>0</v>
      </c>
      <c r="P966" s="7" t="str">
        <f aca="false">IF(COUNTIF(customer_churn_dataset!$A$2:$A$1501,customer_churn_dataset!A966)&gt;1,"Duplicate","Unique")</f>
        <v>Unique</v>
      </c>
    </row>
    <row r="967" customFormat="false" ht="14.15" hidden="false" customHeight="true" outlineLevel="0" collapsed="false">
      <c r="A967" s="7" t="str">
        <f aca="false">TRIM(customer_churn_dataset!A967)</f>
        <v>CUST101229</v>
      </c>
      <c r="B967" s="7" t="str">
        <f aca="false">PROPER(TRIM(customer_churn_dataset!B967))</f>
        <v>Basic</v>
      </c>
      <c r="C967" s="7" t="str">
        <f aca="false">PROPER(TRIM(customer_churn_dataset!C967))</f>
        <v>One Year</v>
      </c>
      <c r="D967" s="7" t="n">
        <f aca="false">IF(ISBLANK(customer_churn_dataset!D967),ROUND(MEDIAN(customer_churn_dataset!D$2:D$1501),2),IF(customer_churn_dataset!D967&lt;0,ABS(customer_churn_dataset!D967),customer_churn_dataset!D967))</f>
        <v>11.03</v>
      </c>
      <c r="E967" s="7" t="n">
        <f aca="false">IF(ISBLANK(customer_churn_dataset!E967),0,MAX(0,customer_churn_dataset!E967))</f>
        <v>29</v>
      </c>
      <c r="F967" s="8" t="n">
        <f aca="false">IF(ISBLANK(customer_churn_dataset!F967),"",customer_churn_dataset!F967)</f>
        <v>45092</v>
      </c>
      <c r="G967" s="7" t="str">
        <f aca="false">PROPER(TRIM(customer_churn_dataset!G967))</f>
        <v>Manual/Invoice</v>
      </c>
      <c r="H967" s="7" t="n">
        <f aca="false">IF(ISBLANK(customer_churn_dataset!H967),0,customer_churn_dataset!H967)</f>
        <v>0</v>
      </c>
      <c r="I967" s="7" t="n">
        <f aca="false">IF(ISBLANK(customer_churn_dataset!I967),ROUND(MEDIAN(customer_churn_dataset!I$2:I$1501),1),MIN(100,MAX(0,customer_churn_dataset!I967)))</f>
        <v>23.9</v>
      </c>
      <c r="J967" s="7" t="n">
        <f aca="false">IF(ISBLANK(customer_churn_dataset!J967),0,MAX(0,customer_churn_dataset!J967))</f>
        <v>8</v>
      </c>
      <c r="K967" s="7" t="n">
        <f aca="false">IF(ISBLANK(customer_churn_dataset!K967),0,MIN(10,MAX(0,customer_churn_dataset!K967)))</f>
        <v>1</v>
      </c>
      <c r="L967" s="7" t="n">
        <f aca="false">IF(ISBLANK(customer_churn_dataset!L967),0,MAX(0,customer_churn_dataset!L967))</f>
        <v>2</v>
      </c>
      <c r="M967" s="7" t="n">
        <f aca="false">IF(ISBLANK(customer_churn_dataset!M967),0,customer_churn_dataset!M967)</f>
        <v>1</v>
      </c>
      <c r="N967" s="7" t="n">
        <f aca="false">IF(ISBLANK(customer_churn_dataset!N967),0,MAX(0,customer_churn_dataset!N967))</f>
        <v>319.87</v>
      </c>
      <c r="O967" s="7" t="n">
        <f aca="false">IF(ISBLANK(customer_churn_dataset!O967),0,customer_churn_dataset!O967)</f>
        <v>0</v>
      </c>
      <c r="P967" s="7" t="str">
        <f aca="false">IF(COUNTIF(customer_churn_dataset!$A$2:$A$1501,customer_churn_dataset!A967)&gt;1,"Duplicate","Unique")</f>
        <v>Unique</v>
      </c>
    </row>
    <row r="968" customFormat="false" ht="14.15" hidden="false" customHeight="true" outlineLevel="0" collapsed="false">
      <c r="A968" s="7" t="str">
        <f aca="false">TRIM(customer_churn_dataset!A968)</f>
        <v>CUST101307</v>
      </c>
      <c r="B968" s="7" t="str">
        <f aca="false">PROPER(TRIM(customer_churn_dataset!B968))</f>
        <v>Premium</v>
      </c>
      <c r="C968" s="7" t="str">
        <f aca="false">PROPER(TRIM(customer_churn_dataset!C968))</f>
        <v>Month-To-Month</v>
      </c>
      <c r="D968" s="7" t="n">
        <f aca="false">IF(ISBLANK(customer_churn_dataset!D968),ROUND(MEDIAN(customer_churn_dataset!D$2:D$1501),2),IF(customer_churn_dataset!D968&lt;0,ABS(customer_churn_dataset!D968),customer_churn_dataset!D968))</f>
        <v>40.03</v>
      </c>
      <c r="E968" s="7" t="n">
        <f aca="false">IF(ISBLANK(customer_churn_dataset!E968),0,MAX(0,customer_churn_dataset!E968))</f>
        <v>39</v>
      </c>
      <c r="F968" s="8" t="n">
        <f aca="false">IF(ISBLANK(customer_churn_dataset!F968),"",customer_churn_dataset!F968)</f>
        <v>45092</v>
      </c>
      <c r="G968" s="7" t="str">
        <f aca="false">PROPER(TRIM(customer_churn_dataset!G968))</f>
        <v>Paypal</v>
      </c>
      <c r="H968" s="7" t="n">
        <f aca="false">IF(ISBLANK(customer_churn_dataset!H968),0,customer_churn_dataset!H968)</f>
        <v>0</v>
      </c>
      <c r="I968" s="7" t="n">
        <f aca="false">IF(ISBLANK(customer_churn_dataset!I968),ROUND(MEDIAN(customer_churn_dataset!I$2:I$1501),1),MIN(100,MAX(0,customer_churn_dataset!I968)))</f>
        <v>39.5</v>
      </c>
      <c r="J968" s="7" t="n">
        <f aca="false">IF(ISBLANK(customer_churn_dataset!J968),0,MAX(0,customer_churn_dataset!J968))</f>
        <v>16</v>
      </c>
      <c r="K968" s="7" t="n">
        <f aca="false">IF(ISBLANK(customer_churn_dataset!K968),0,MIN(10,MAX(0,customer_churn_dataset!K968)))</f>
        <v>1</v>
      </c>
      <c r="L968" s="7" t="n">
        <f aca="false">IF(ISBLANK(customer_churn_dataset!L968),0,MAX(0,customer_churn_dataset!L968))</f>
        <v>4</v>
      </c>
      <c r="M968" s="7" t="n">
        <f aca="false">IF(ISBLANK(customer_churn_dataset!M968),0,customer_churn_dataset!M968)</f>
        <v>0</v>
      </c>
      <c r="N968" s="7" t="n">
        <f aca="false">IF(ISBLANK(customer_churn_dataset!N968),0,MAX(0,customer_churn_dataset!N968))</f>
        <v>1561.17</v>
      </c>
      <c r="O968" s="7" t="n">
        <f aca="false">IF(ISBLANK(customer_churn_dataset!O968),0,customer_churn_dataset!O968)</f>
        <v>1</v>
      </c>
      <c r="P968" s="7" t="str">
        <f aca="false">IF(COUNTIF(customer_churn_dataset!$A$2:$A$1501,customer_churn_dataset!A968)&gt;1,"Duplicate","Unique")</f>
        <v>Unique</v>
      </c>
    </row>
    <row r="969" customFormat="false" ht="14.15" hidden="false" customHeight="true" outlineLevel="0" collapsed="false">
      <c r="A969" s="7" t="str">
        <f aca="false">TRIM(customer_churn_dataset!A969)</f>
        <v>CUST100905</v>
      </c>
      <c r="B969" s="7" t="str">
        <f aca="false">PROPER(TRIM(customer_churn_dataset!B969))</f>
        <v>Premium</v>
      </c>
      <c r="C969" s="7" t="str">
        <f aca="false">PROPER(TRIM(customer_churn_dataset!C969))</f>
        <v>Two Year</v>
      </c>
      <c r="D969" s="7" t="n">
        <f aca="false">IF(ISBLANK(customer_churn_dataset!D969),ROUND(MEDIAN(customer_churn_dataset!D$2:D$1501),2),IF(customer_churn_dataset!D969&lt;0,ABS(customer_churn_dataset!D969),customer_churn_dataset!D969))</f>
        <v>39.41</v>
      </c>
      <c r="E969" s="7" t="n">
        <f aca="false">IF(ISBLANK(customer_churn_dataset!E969),0,MAX(0,customer_churn_dataset!E969))</f>
        <v>28</v>
      </c>
      <c r="F969" s="8" t="n">
        <f aca="false">IF(ISBLANK(customer_churn_dataset!F969),"",customer_churn_dataset!F969)</f>
        <v>45093</v>
      </c>
      <c r="G969" s="7" t="str">
        <f aca="false">PROPER(TRIM(customer_churn_dataset!G969))</f>
        <v>Manual/Invoice</v>
      </c>
      <c r="H969" s="7" t="n">
        <f aca="false">IF(ISBLANK(customer_churn_dataset!H969),0,customer_churn_dataset!H969)</f>
        <v>1</v>
      </c>
      <c r="I969" s="7" t="n">
        <f aca="false">IF(ISBLANK(customer_churn_dataset!I969),ROUND(MEDIAN(customer_churn_dataset!I$2:I$1501),1),MIN(100,MAX(0,customer_churn_dataset!I969)))</f>
        <v>47.2</v>
      </c>
      <c r="J969" s="7" t="n">
        <f aca="false">IF(ISBLANK(customer_churn_dataset!J969),0,MAX(0,customer_churn_dataset!J969))</f>
        <v>19</v>
      </c>
      <c r="K969" s="7" t="n">
        <f aca="false">IF(ISBLANK(customer_churn_dataset!K969),0,MIN(10,MAX(0,customer_churn_dataset!K969)))</f>
        <v>4</v>
      </c>
      <c r="L969" s="7" t="n">
        <f aca="false">IF(ISBLANK(customer_churn_dataset!L969),0,MAX(0,customer_churn_dataset!L969))</f>
        <v>0</v>
      </c>
      <c r="M969" s="7" t="n">
        <f aca="false">IF(ISBLANK(customer_churn_dataset!M969),0,customer_churn_dataset!M969)</f>
        <v>0</v>
      </c>
      <c r="N969" s="7" t="n">
        <f aca="false">IF(ISBLANK(customer_churn_dataset!N969),0,MAX(0,customer_churn_dataset!N969))</f>
        <v>1103.48</v>
      </c>
      <c r="O969" s="7" t="n">
        <f aca="false">IF(ISBLANK(customer_churn_dataset!O969),0,customer_churn_dataset!O969)</f>
        <v>0</v>
      </c>
      <c r="P969" s="7" t="str">
        <f aca="false">IF(COUNTIF(customer_churn_dataset!$A$2:$A$1501,customer_churn_dataset!A969)&gt;1,"Duplicate","Unique")</f>
        <v>Unique</v>
      </c>
    </row>
    <row r="970" customFormat="false" ht="14.15" hidden="false" customHeight="true" outlineLevel="0" collapsed="false">
      <c r="A970" s="7" t="str">
        <f aca="false">TRIM(customer_churn_dataset!A970)</f>
        <v>CUST101410</v>
      </c>
      <c r="B970" s="7" t="str">
        <f aca="false">PROPER(TRIM(customer_churn_dataset!B970))</f>
        <v>Basic</v>
      </c>
      <c r="C970" s="7" t="str">
        <f aca="false">PROPER(TRIM(customer_churn_dataset!C970))</f>
        <v>Month-To-Month</v>
      </c>
      <c r="D970" s="7" t="n">
        <f aca="false">IF(ISBLANK(customer_churn_dataset!D970),ROUND(MEDIAN(customer_churn_dataset!D$2:D$1501),2),IF(customer_churn_dataset!D970&lt;0,ABS(customer_churn_dataset!D970),customer_churn_dataset!D970))</f>
        <v>10.03</v>
      </c>
      <c r="E970" s="7" t="n">
        <f aca="false">IF(ISBLANK(customer_churn_dataset!E970),0,MAX(0,customer_churn_dataset!E970))</f>
        <v>6</v>
      </c>
      <c r="F970" s="8" t="n">
        <f aca="false">IF(ISBLANK(customer_churn_dataset!F970),"",customer_churn_dataset!F970)</f>
        <v>45097</v>
      </c>
      <c r="G970" s="7" t="str">
        <f aca="false">PROPER(TRIM(customer_churn_dataset!G970))</f>
        <v>Credit Card</v>
      </c>
      <c r="H970" s="7" t="n">
        <f aca="false">IF(ISBLANK(customer_churn_dataset!H970),0,customer_churn_dataset!H970)</f>
        <v>1</v>
      </c>
      <c r="I970" s="7" t="n">
        <f aca="false">IF(ISBLANK(customer_churn_dataset!I970),ROUND(MEDIAN(customer_churn_dataset!I$2:I$1501),1),MIN(100,MAX(0,customer_churn_dataset!I970)))</f>
        <v>59.7</v>
      </c>
      <c r="J970" s="7" t="n">
        <f aca="false">IF(ISBLANK(customer_churn_dataset!J970),0,MAX(0,customer_churn_dataset!J970))</f>
        <v>25</v>
      </c>
      <c r="K970" s="7" t="n">
        <f aca="false">IF(ISBLANK(customer_churn_dataset!K970),0,MIN(10,MAX(0,customer_churn_dataset!K970)))</f>
        <v>6</v>
      </c>
      <c r="L970" s="7" t="n">
        <f aca="false">IF(ISBLANK(customer_churn_dataset!L970),0,MAX(0,customer_churn_dataset!L970))</f>
        <v>0</v>
      </c>
      <c r="M970" s="7" t="n">
        <f aca="false">IF(ISBLANK(customer_churn_dataset!M970),0,customer_churn_dataset!M970)</f>
        <v>0</v>
      </c>
      <c r="N970" s="7" t="n">
        <f aca="false">IF(ISBLANK(customer_churn_dataset!N970),0,MAX(0,customer_churn_dataset!N970))</f>
        <v>60.18</v>
      </c>
      <c r="O970" s="7" t="n">
        <f aca="false">IF(ISBLANK(customer_churn_dataset!O970),0,customer_churn_dataset!O970)</f>
        <v>1</v>
      </c>
      <c r="P970" s="7" t="str">
        <f aca="false">IF(COUNTIF(customer_churn_dataset!$A$2:$A$1501,customer_churn_dataset!A970)&gt;1,"Duplicate","Unique")</f>
        <v>Unique</v>
      </c>
    </row>
    <row r="971" customFormat="false" ht="14.15" hidden="false" customHeight="true" outlineLevel="0" collapsed="false">
      <c r="A971" s="7" t="str">
        <f aca="false">TRIM(customer_churn_dataset!A971)</f>
        <v>CUST101301</v>
      </c>
      <c r="B971" s="7" t="str">
        <f aca="false">PROPER(TRIM(customer_churn_dataset!B971))</f>
        <v>Premium</v>
      </c>
      <c r="C971" s="7" t="str">
        <f aca="false">PROPER(TRIM(customer_churn_dataset!C971))</f>
        <v>One Year</v>
      </c>
      <c r="D971" s="7" t="n">
        <f aca="false">IF(ISBLANK(customer_churn_dataset!D971),ROUND(MEDIAN(customer_churn_dataset!D$2:D$1501),2),IF(customer_churn_dataset!D971&lt;0,ABS(customer_churn_dataset!D971),customer_churn_dataset!D971))</f>
        <v>40.73</v>
      </c>
      <c r="E971" s="7" t="n">
        <f aca="false">IF(ISBLANK(customer_churn_dataset!E971),0,MAX(0,customer_churn_dataset!E971))</f>
        <v>72</v>
      </c>
      <c r="F971" s="8" t="n">
        <f aca="false">IF(ISBLANK(customer_churn_dataset!F971),"",customer_churn_dataset!F971)</f>
        <v>45097</v>
      </c>
      <c r="G971" s="7" t="str">
        <f aca="false">PROPER(TRIM(customer_churn_dataset!G971))</f>
        <v>Paypal</v>
      </c>
      <c r="H971" s="7" t="n">
        <f aca="false">IF(ISBLANK(customer_churn_dataset!H971),0,customer_churn_dataset!H971)</f>
        <v>0</v>
      </c>
      <c r="I971" s="7" t="n">
        <f aca="false">IF(ISBLANK(customer_churn_dataset!I971),ROUND(MEDIAN(customer_churn_dataset!I$2:I$1501),1),MIN(100,MAX(0,customer_churn_dataset!I971)))</f>
        <v>57.4</v>
      </c>
      <c r="J971" s="7" t="n">
        <f aca="false">IF(ISBLANK(customer_churn_dataset!J971),0,MAX(0,customer_churn_dataset!J971))</f>
        <v>22</v>
      </c>
      <c r="K971" s="7" t="n">
        <f aca="false">IF(ISBLANK(customer_churn_dataset!K971),0,MIN(10,MAX(0,customer_churn_dataset!K971)))</f>
        <v>8</v>
      </c>
      <c r="L971" s="7" t="n">
        <f aca="false">IF(ISBLANK(customer_churn_dataset!L971),0,MAX(0,customer_churn_dataset!L971))</f>
        <v>0</v>
      </c>
      <c r="M971" s="7" t="n">
        <f aca="false">IF(ISBLANK(customer_churn_dataset!M971),0,customer_churn_dataset!M971)</f>
        <v>0</v>
      </c>
      <c r="N971" s="7" t="n">
        <f aca="false">IF(ISBLANK(customer_churn_dataset!N971),0,MAX(0,customer_churn_dataset!N971))</f>
        <v>2932.56</v>
      </c>
      <c r="O971" s="7" t="n">
        <f aca="false">IF(ISBLANK(customer_churn_dataset!O971),0,customer_churn_dataset!O971)</f>
        <v>0</v>
      </c>
      <c r="P971" s="7" t="str">
        <f aca="false">IF(COUNTIF(customer_churn_dataset!$A$2:$A$1501,customer_churn_dataset!A971)&gt;1,"Duplicate","Unique")</f>
        <v>Unique</v>
      </c>
    </row>
    <row r="972" customFormat="false" ht="14.15" hidden="false" customHeight="true" outlineLevel="0" collapsed="false">
      <c r="A972" s="7" t="str">
        <f aca="false">TRIM(customer_churn_dataset!A972)</f>
        <v>CUST100535</v>
      </c>
      <c r="B972" s="7" t="str">
        <f aca="false">PROPER(TRIM(customer_churn_dataset!B972))</f>
        <v>Premium</v>
      </c>
      <c r="C972" s="7" t="str">
        <f aca="false">PROPER(TRIM(customer_churn_dataset!C972))</f>
        <v>Month-To-Month</v>
      </c>
      <c r="D972" s="7" t="n">
        <f aca="false">IF(ISBLANK(customer_churn_dataset!D972),ROUND(MEDIAN(customer_churn_dataset!D$2:D$1501),2),IF(customer_churn_dataset!D972&lt;0,ABS(customer_churn_dataset!D972),customer_churn_dataset!D972))</f>
        <v>41.93</v>
      </c>
      <c r="E972" s="7" t="n">
        <f aca="false">IF(ISBLANK(customer_churn_dataset!E972),0,MAX(0,customer_churn_dataset!E972))</f>
        <v>72</v>
      </c>
      <c r="F972" s="8" t="n">
        <f aca="false">IF(ISBLANK(customer_churn_dataset!F972),"",customer_churn_dataset!F972)</f>
        <v>45097</v>
      </c>
      <c r="G972" s="7" t="str">
        <f aca="false">PROPER(TRIM(customer_churn_dataset!G972))</f>
        <v>Credit Card</v>
      </c>
      <c r="H972" s="7" t="n">
        <f aca="false">IF(ISBLANK(customer_churn_dataset!H972),0,customer_churn_dataset!H972)</f>
        <v>1</v>
      </c>
      <c r="I972" s="7" t="n">
        <f aca="false">IF(ISBLANK(customer_churn_dataset!I972),ROUND(MEDIAN(customer_churn_dataset!I$2:I$1501),1),MIN(100,MAX(0,customer_churn_dataset!I972)))</f>
        <v>65.2</v>
      </c>
      <c r="J972" s="7" t="n">
        <f aca="false">IF(ISBLANK(customer_churn_dataset!J972),0,MAX(0,customer_churn_dataset!J972))</f>
        <v>23</v>
      </c>
      <c r="K972" s="7" t="n">
        <f aca="false">IF(ISBLANK(customer_churn_dataset!K972),0,MIN(10,MAX(0,customer_churn_dataset!K972)))</f>
        <v>6</v>
      </c>
      <c r="L972" s="7" t="n">
        <f aca="false">IF(ISBLANK(customer_churn_dataset!L972),0,MAX(0,customer_churn_dataset!L972))</f>
        <v>2</v>
      </c>
      <c r="M972" s="7" t="n">
        <f aca="false">IF(ISBLANK(customer_churn_dataset!M972),0,customer_churn_dataset!M972)</f>
        <v>0</v>
      </c>
      <c r="N972" s="7" t="n">
        <f aca="false">IF(ISBLANK(customer_churn_dataset!N972),0,MAX(0,customer_churn_dataset!N972))</f>
        <v>3018.96</v>
      </c>
      <c r="O972" s="7" t="n">
        <f aca="false">IF(ISBLANK(customer_churn_dataset!O972),0,customer_churn_dataset!O972)</f>
        <v>0</v>
      </c>
      <c r="P972" s="7" t="str">
        <f aca="false">IF(COUNTIF(customer_churn_dataset!$A$2:$A$1501,customer_churn_dataset!A972)&gt;1,"Duplicate","Unique")</f>
        <v>Unique</v>
      </c>
    </row>
    <row r="973" customFormat="false" ht="14.15" hidden="false" customHeight="true" outlineLevel="0" collapsed="false">
      <c r="A973" s="7" t="str">
        <f aca="false">TRIM(customer_churn_dataset!A973)</f>
        <v>CUST101056</v>
      </c>
      <c r="B973" s="7" t="str">
        <f aca="false">PROPER(TRIM(customer_churn_dataset!B973))</f>
        <v>Standard</v>
      </c>
      <c r="C973" s="7" t="str">
        <f aca="false">PROPER(TRIM(customer_churn_dataset!C973))</f>
        <v>One Year</v>
      </c>
      <c r="D973" s="7" t="n">
        <f aca="false">IF(ISBLANK(customer_churn_dataset!D973),ROUND(MEDIAN(customer_churn_dataset!D$2:D$1501),2),IF(customer_churn_dataset!D973&lt;0,ABS(customer_churn_dataset!D973),customer_churn_dataset!D973))</f>
        <v>19.55</v>
      </c>
      <c r="E973" s="7" t="n">
        <f aca="false">IF(ISBLANK(customer_churn_dataset!E973),0,MAX(0,customer_churn_dataset!E973))</f>
        <v>4</v>
      </c>
      <c r="F973" s="8" t="n">
        <f aca="false">IF(ISBLANK(customer_churn_dataset!F973),"",customer_churn_dataset!F973)</f>
        <v>45099</v>
      </c>
      <c r="G973" s="7" t="str">
        <f aca="false">PROPER(TRIM(customer_churn_dataset!G973))</f>
        <v>Credit Card</v>
      </c>
      <c r="H973" s="7" t="n">
        <f aca="false">IF(ISBLANK(customer_churn_dataset!H973),0,customer_churn_dataset!H973)</f>
        <v>1</v>
      </c>
      <c r="I973" s="7" t="n">
        <f aca="false">IF(ISBLANK(customer_churn_dataset!I973),ROUND(MEDIAN(customer_churn_dataset!I$2:I$1501),1),MIN(100,MAX(0,customer_churn_dataset!I973)))</f>
        <v>53.3</v>
      </c>
      <c r="J973" s="7" t="n">
        <f aca="false">IF(ISBLANK(customer_churn_dataset!J973),0,MAX(0,customer_churn_dataset!J973))</f>
        <v>14</v>
      </c>
      <c r="K973" s="7" t="n">
        <f aca="false">IF(ISBLANK(customer_churn_dataset!K973),0,MIN(10,MAX(0,customer_churn_dataset!K973)))</f>
        <v>6</v>
      </c>
      <c r="L973" s="7" t="n">
        <f aca="false">IF(ISBLANK(customer_churn_dataset!L973),0,MAX(0,customer_churn_dataset!L973))</f>
        <v>1</v>
      </c>
      <c r="M973" s="7" t="n">
        <f aca="false">IF(ISBLANK(customer_churn_dataset!M973),0,customer_churn_dataset!M973)</f>
        <v>0</v>
      </c>
      <c r="N973" s="7" t="n">
        <f aca="false">IF(ISBLANK(customer_churn_dataset!N973),0,MAX(0,customer_churn_dataset!N973))</f>
        <v>78.2</v>
      </c>
      <c r="O973" s="7" t="n">
        <f aca="false">IF(ISBLANK(customer_churn_dataset!O973),0,customer_churn_dataset!O973)</f>
        <v>0</v>
      </c>
      <c r="P973" s="7" t="str">
        <f aca="false">IF(COUNTIF(customer_churn_dataset!$A$2:$A$1501,customer_churn_dataset!A973)&gt;1,"Duplicate","Unique")</f>
        <v>Unique</v>
      </c>
    </row>
    <row r="974" customFormat="false" ht="14.15" hidden="false" customHeight="true" outlineLevel="0" collapsed="false">
      <c r="A974" s="7" t="str">
        <f aca="false">TRIM(customer_churn_dataset!A974)</f>
        <v>CUST100322</v>
      </c>
      <c r="B974" s="7" t="str">
        <f aca="false">PROPER(TRIM(customer_churn_dataset!B974))</f>
        <v>Standard</v>
      </c>
      <c r="C974" s="7" t="str">
        <f aca="false">PROPER(TRIM(customer_churn_dataset!C974))</f>
        <v>Month-To-Month</v>
      </c>
      <c r="D974" s="7" t="n">
        <f aca="false">IF(ISBLANK(customer_churn_dataset!D974),ROUND(MEDIAN(customer_churn_dataset!D$2:D$1501),2),IF(customer_churn_dataset!D974&lt;0,ABS(customer_churn_dataset!D974),customer_churn_dataset!D974))</f>
        <v>21.72</v>
      </c>
      <c r="E974" s="7" t="n">
        <f aca="false">IF(ISBLANK(customer_churn_dataset!E974),0,MAX(0,customer_churn_dataset!E974))</f>
        <v>61</v>
      </c>
      <c r="F974" s="8" t="n">
        <f aca="false">IF(ISBLANK(customer_churn_dataset!F974),"",customer_churn_dataset!F974)</f>
        <v>45100</v>
      </c>
      <c r="G974" s="7" t="str">
        <f aca="false">PROPER(TRIM(customer_churn_dataset!G974))</f>
        <v>Paypal</v>
      </c>
      <c r="H974" s="7" t="n">
        <f aca="false">IF(ISBLANK(customer_churn_dataset!H974),0,customer_churn_dataset!H974)</f>
        <v>1</v>
      </c>
      <c r="I974" s="7" t="n">
        <f aca="false">IF(ISBLANK(customer_churn_dataset!I974),ROUND(MEDIAN(customer_churn_dataset!I$2:I$1501),1),MIN(100,MAX(0,customer_churn_dataset!I974)))</f>
        <v>47.6</v>
      </c>
      <c r="J974" s="7" t="n">
        <f aca="false">IF(ISBLANK(customer_churn_dataset!J974),0,MAX(0,customer_churn_dataset!J974))</f>
        <v>7</v>
      </c>
      <c r="K974" s="7" t="n">
        <f aca="false">IF(ISBLANK(customer_churn_dataset!K974),0,MIN(10,MAX(0,customer_churn_dataset!K974)))</f>
        <v>6</v>
      </c>
      <c r="L974" s="7" t="n">
        <f aca="false">IF(ISBLANK(customer_churn_dataset!L974),0,MAX(0,customer_churn_dataset!L974))</f>
        <v>3</v>
      </c>
      <c r="M974" s="7" t="n">
        <f aca="false">IF(ISBLANK(customer_churn_dataset!M974),0,customer_churn_dataset!M974)</f>
        <v>1</v>
      </c>
      <c r="N974" s="7" t="n">
        <f aca="false">IF(ISBLANK(customer_churn_dataset!N974),0,MAX(0,customer_churn_dataset!N974))</f>
        <v>1324.92</v>
      </c>
      <c r="O974" s="7" t="n">
        <f aca="false">IF(ISBLANK(customer_churn_dataset!O974),0,customer_churn_dataset!O974)</f>
        <v>0</v>
      </c>
      <c r="P974" s="7" t="str">
        <f aca="false">IF(COUNTIF(customer_churn_dataset!$A$2:$A$1501,customer_churn_dataset!A974)&gt;1,"Duplicate","Unique")</f>
        <v>Unique</v>
      </c>
    </row>
    <row r="975" customFormat="false" ht="14.15" hidden="false" customHeight="true" outlineLevel="0" collapsed="false">
      <c r="A975" s="7" t="str">
        <f aca="false">TRIM(customer_churn_dataset!A975)</f>
        <v>CUST101433</v>
      </c>
      <c r="B975" s="7" t="str">
        <f aca="false">PROPER(TRIM(customer_churn_dataset!B975))</f>
        <v>Standard</v>
      </c>
      <c r="C975" s="7" t="str">
        <f aca="false">PROPER(TRIM(customer_churn_dataset!C975))</f>
        <v>One Year</v>
      </c>
      <c r="D975" s="7" t="n">
        <f aca="false">IF(ISBLANK(customer_churn_dataset!D975),ROUND(MEDIAN(customer_churn_dataset!D$2:D$1501),2),IF(customer_churn_dataset!D975&lt;0,ABS(customer_churn_dataset!D975),customer_churn_dataset!D975))</f>
        <v>20.05</v>
      </c>
      <c r="E975" s="7" t="n">
        <f aca="false">IF(ISBLANK(customer_churn_dataset!E975),0,MAX(0,customer_churn_dataset!E975))</f>
        <v>8</v>
      </c>
      <c r="F975" s="8" t="n">
        <f aca="false">IF(ISBLANK(customer_churn_dataset!F975),"",customer_churn_dataset!F975)</f>
        <v>45101</v>
      </c>
      <c r="G975" s="7" t="str">
        <f aca="false">PROPER(TRIM(customer_churn_dataset!G975))</f>
        <v>Credit Card</v>
      </c>
      <c r="H975" s="7" t="n">
        <f aca="false">IF(ISBLANK(customer_churn_dataset!H975),0,customer_churn_dataset!H975)</f>
        <v>1</v>
      </c>
      <c r="I975" s="7" t="n">
        <f aca="false">IF(ISBLANK(customer_churn_dataset!I975),ROUND(MEDIAN(customer_churn_dataset!I$2:I$1501),1),MIN(100,MAX(0,customer_churn_dataset!I975)))</f>
        <v>69.1</v>
      </c>
      <c r="J975" s="7" t="n">
        <f aca="false">IF(ISBLANK(customer_churn_dataset!J975),0,MAX(0,customer_churn_dataset!J975))</f>
        <v>22</v>
      </c>
      <c r="K975" s="7" t="n">
        <f aca="false">IF(ISBLANK(customer_churn_dataset!K975),0,MIN(10,MAX(0,customer_churn_dataset!K975)))</f>
        <v>5</v>
      </c>
      <c r="L975" s="7" t="n">
        <f aca="false">IF(ISBLANK(customer_churn_dataset!L975),0,MAX(0,customer_churn_dataset!L975))</f>
        <v>2</v>
      </c>
      <c r="M975" s="7" t="n">
        <f aca="false">IF(ISBLANK(customer_churn_dataset!M975),0,customer_churn_dataset!M975)</f>
        <v>1</v>
      </c>
      <c r="N975" s="7" t="n">
        <f aca="false">IF(ISBLANK(customer_churn_dataset!N975),0,MAX(0,customer_churn_dataset!N975))</f>
        <v>160.4</v>
      </c>
      <c r="O975" s="7" t="n">
        <f aca="false">IF(ISBLANK(customer_churn_dataset!O975),0,customer_churn_dataset!O975)</f>
        <v>0</v>
      </c>
      <c r="P975" s="7" t="str">
        <f aca="false">IF(COUNTIF(customer_churn_dataset!$A$2:$A$1501,customer_churn_dataset!A975)&gt;1,"Duplicate","Unique")</f>
        <v>Unique</v>
      </c>
    </row>
    <row r="976" customFormat="false" ht="14.15" hidden="false" customHeight="true" outlineLevel="0" collapsed="false">
      <c r="A976" s="7" t="str">
        <f aca="false">TRIM(customer_churn_dataset!A976)</f>
        <v>CUST100371</v>
      </c>
      <c r="B976" s="7" t="str">
        <f aca="false">PROPER(TRIM(customer_churn_dataset!B976))</f>
        <v>Basic</v>
      </c>
      <c r="C976" s="7" t="str">
        <f aca="false">PROPER(TRIM(customer_churn_dataset!C976))</f>
        <v>One Year</v>
      </c>
      <c r="D976" s="7" t="n">
        <f aca="false">IF(ISBLANK(customer_churn_dataset!D976),ROUND(MEDIAN(customer_churn_dataset!D$2:D$1501),2),IF(customer_churn_dataset!D976&lt;0,ABS(customer_churn_dataset!D976),customer_churn_dataset!D976))</f>
        <v>8.22</v>
      </c>
      <c r="E976" s="7" t="n">
        <f aca="false">IF(ISBLANK(customer_churn_dataset!E976),0,MAX(0,customer_churn_dataset!E976))</f>
        <v>23</v>
      </c>
      <c r="F976" s="8" t="n">
        <f aca="false">IF(ISBLANK(customer_churn_dataset!F976),"",customer_churn_dataset!F976)</f>
        <v>45101</v>
      </c>
      <c r="G976" s="7" t="str">
        <f aca="false">PROPER(TRIM(customer_churn_dataset!G976))</f>
        <v>Credit Card</v>
      </c>
      <c r="H976" s="7" t="n">
        <f aca="false">IF(ISBLANK(customer_churn_dataset!H976),0,customer_churn_dataset!H976)</f>
        <v>1</v>
      </c>
      <c r="I976" s="7" t="n">
        <f aca="false">IF(ISBLANK(customer_churn_dataset!I976),ROUND(MEDIAN(customer_churn_dataset!I$2:I$1501),1),MIN(100,MAX(0,customer_churn_dataset!I976)))</f>
        <v>28.6</v>
      </c>
      <c r="J976" s="7" t="n">
        <f aca="false">IF(ISBLANK(customer_churn_dataset!J976),0,MAX(0,customer_churn_dataset!J976))</f>
        <v>11</v>
      </c>
      <c r="K976" s="7" t="n">
        <f aca="false">IF(ISBLANK(customer_churn_dataset!K976),0,MIN(10,MAX(0,customer_churn_dataset!K976)))</f>
        <v>2</v>
      </c>
      <c r="L976" s="7" t="n">
        <f aca="false">IF(ISBLANK(customer_churn_dataset!L976),0,MAX(0,customer_churn_dataset!L976))</f>
        <v>2</v>
      </c>
      <c r="M976" s="7" t="n">
        <f aca="false">IF(ISBLANK(customer_churn_dataset!M976),0,customer_churn_dataset!M976)</f>
        <v>1</v>
      </c>
      <c r="N976" s="7" t="n">
        <f aca="false">IF(ISBLANK(customer_churn_dataset!N976),0,MAX(0,customer_churn_dataset!N976))</f>
        <v>189.06</v>
      </c>
      <c r="O976" s="7" t="n">
        <f aca="false">IF(ISBLANK(customer_churn_dataset!O976),0,customer_churn_dataset!O976)</f>
        <v>0</v>
      </c>
      <c r="P976" s="7" t="str">
        <f aca="false">IF(COUNTIF(customer_churn_dataset!$A$2:$A$1501,customer_churn_dataset!A976)&gt;1,"Duplicate","Unique")</f>
        <v>Unique</v>
      </c>
    </row>
    <row r="977" customFormat="false" ht="14.15" hidden="false" customHeight="true" outlineLevel="0" collapsed="false">
      <c r="A977" s="7" t="str">
        <f aca="false">TRIM(customer_churn_dataset!A977)</f>
        <v>CUST100196</v>
      </c>
      <c r="B977" s="7" t="str">
        <f aca="false">PROPER(TRIM(customer_churn_dataset!B977))</f>
        <v>Standard</v>
      </c>
      <c r="C977" s="7" t="str">
        <f aca="false">PROPER(TRIM(customer_churn_dataset!C977))</f>
        <v>Month-To-Month</v>
      </c>
      <c r="D977" s="7" t="n">
        <f aca="false">IF(ISBLANK(customer_churn_dataset!D977),ROUND(MEDIAN(customer_churn_dataset!D$2:D$1501),2),IF(customer_churn_dataset!D977&lt;0,ABS(customer_churn_dataset!D977),customer_churn_dataset!D977))</f>
        <v>19.44</v>
      </c>
      <c r="E977" s="7" t="n">
        <f aca="false">IF(ISBLANK(customer_churn_dataset!E977),0,MAX(0,customer_churn_dataset!E977))</f>
        <v>15</v>
      </c>
      <c r="F977" s="8" t="n">
        <f aca="false">IF(ISBLANK(customer_churn_dataset!F977),"",customer_churn_dataset!F977)</f>
        <v>45102</v>
      </c>
      <c r="G977" s="7" t="str">
        <f aca="false">PROPER(TRIM(customer_churn_dataset!G977))</f>
        <v>Credit Card</v>
      </c>
      <c r="H977" s="7" t="n">
        <f aca="false">IF(ISBLANK(customer_churn_dataset!H977),0,customer_churn_dataset!H977)</f>
        <v>0</v>
      </c>
      <c r="I977" s="7" t="n">
        <f aca="false">IF(ISBLANK(customer_churn_dataset!I977),ROUND(MEDIAN(customer_churn_dataset!I$2:I$1501),1),MIN(100,MAX(0,customer_churn_dataset!I977)))</f>
        <v>57.3</v>
      </c>
      <c r="J977" s="7" t="n">
        <f aca="false">IF(ISBLANK(customer_churn_dataset!J977),0,MAX(0,customer_churn_dataset!J977))</f>
        <v>23</v>
      </c>
      <c r="K977" s="7" t="n">
        <f aca="false">IF(ISBLANK(customer_churn_dataset!K977),0,MIN(10,MAX(0,customer_churn_dataset!K977)))</f>
        <v>7</v>
      </c>
      <c r="L977" s="7" t="n">
        <f aca="false">IF(ISBLANK(customer_churn_dataset!L977),0,MAX(0,customer_churn_dataset!L977))</f>
        <v>1</v>
      </c>
      <c r="M977" s="7" t="n">
        <f aca="false">IF(ISBLANK(customer_churn_dataset!M977),0,customer_churn_dataset!M977)</f>
        <v>0</v>
      </c>
      <c r="N977" s="7" t="n">
        <f aca="false">IF(ISBLANK(customer_churn_dataset!N977),0,MAX(0,customer_churn_dataset!N977))</f>
        <v>291.6</v>
      </c>
      <c r="O977" s="7" t="n">
        <f aca="false">IF(ISBLANK(customer_churn_dataset!O977),0,customer_churn_dataset!O977)</f>
        <v>0</v>
      </c>
      <c r="P977" s="7" t="str">
        <f aca="false">IF(COUNTIF(customer_churn_dataset!$A$2:$A$1501,customer_churn_dataset!A977)&gt;1,"Duplicate","Unique")</f>
        <v>Unique</v>
      </c>
    </row>
    <row r="978" customFormat="false" ht="14.15" hidden="false" customHeight="true" outlineLevel="0" collapsed="false">
      <c r="A978" s="7" t="str">
        <f aca="false">TRIM(customer_churn_dataset!A978)</f>
        <v>CUST100695</v>
      </c>
      <c r="B978" s="7" t="str">
        <f aca="false">PROPER(TRIM(customer_churn_dataset!B978))</f>
        <v>Standard</v>
      </c>
      <c r="C978" s="7" t="str">
        <f aca="false">PROPER(TRIM(customer_churn_dataset!C978))</f>
        <v>Month-To-Month</v>
      </c>
      <c r="D978" s="7" t="n">
        <f aca="false">IF(ISBLANK(customer_churn_dataset!D978),ROUND(MEDIAN(customer_churn_dataset!D$2:D$1501),2),IF(customer_churn_dataset!D978&lt;0,ABS(customer_churn_dataset!D978),customer_churn_dataset!D978))</f>
        <v>19.32</v>
      </c>
      <c r="E978" s="7" t="n">
        <f aca="false">IF(ISBLANK(customer_churn_dataset!E978),0,MAX(0,customer_churn_dataset!E978))</f>
        <v>72</v>
      </c>
      <c r="F978" s="8" t="n">
        <f aca="false">IF(ISBLANK(customer_churn_dataset!F978),"",customer_churn_dataset!F978)</f>
        <v>45103</v>
      </c>
      <c r="G978" s="7" t="str">
        <f aca="false">PROPER(TRIM(customer_churn_dataset!G978))</f>
        <v>Paypal</v>
      </c>
      <c r="H978" s="7" t="n">
        <f aca="false">IF(ISBLANK(customer_churn_dataset!H978),0,customer_churn_dataset!H978)</f>
        <v>1</v>
      </c>
      <c r="I978" s="7" t="n">
        <f aca="false">IF(ISBLANK(customer_churn_dataset!I978),ROUND(MEDIAN(customer_churn_dataset!I$2:I$1501),1),MIN(100,MAX(0,customer_churn_dataset!I978)))</f>
        <v>44.2</v>
      </c>
      <c r="J978" s="7" t="n">
        <f aca="false">IF(ISBLANK(customer_churn_dataset!J978),0,MAX(0,customer_churn_dataset!J978))</f>
        <v>17</v>
      </c>
      <c r="K978" s="7" t="n">
        <f aca="false">IF(ISBLANK(customer_churn_dataset!K978),0,MIN(10,MAX(0,customer_churn_dataset!K978)))</f>
        <v>3</v>
      </c>
      <c r="L978" s="7" t="n">
        <f aca="false">IF(ISBLANK(customer_churn_dataset!L978),0,MAX(0,customer_churn_dataset!L978))</f>
        <v>1</v>
      </c>
      <c r="M978" s="7" t="n">
        <f aca="false">IF(ISBLANK(customer_churn_dataset!M978),0,customer_churn_dataset!M978)</f>
        <v>0</v>
      </c>
      <c r="N978" s="7" t="n">
        <f aca="false">IF(ISBLANK(customer_churn_dataset!N978),0,MAX(0,customer_churn_dataset!N978))</f>
        <v>1391.04</v>
      </c>
      <c r="O978" s="7" t="n">
        <f aca="false">IF(ISBLANK(customer_churn_dataset!O978),0,customer_churn_dataset!O978)</f>
        <v>0</v>
      </c>
      <c r="P978" s="7" t="str">
        <f aca="false">IF(COUNTIF(customer_churn_dataset!$A$2:$A$1501,customer_churn_dataset!A978)&gt;1,"Duplicate","Unique")</f>
        <v>Unique</v>
      </c>
    </row>
    <row r="979" customFormat="false" ht="14.15" hidden="false" customHeight="true" outlineLevel="0" collapsed="false">
      <c r="A979" s="7" t="str">
        <f aca="false">TRIM(customer_churn_dataset!A979)</f>
        <v>CUST100306</v>
      </c>
      <c r="B979" s="7" t="str">
        <f aca="false">PROPER(TRIM(customer_churn_dataset!B979))</f>
        <v>Standard</v>
      </c>
      <c r="C979" s="7" t="str">
        <f aca="false">PROPER(TRIM(customer_churn_dataset!C979))</f>
        <v>One Year</v>
      </c>
      <c r="D979" s="7" t="n">
        <f aca="false">IF(ISBLANK(customer_churn_dataset!D979),ROUND(MEDIAN(customer_churn_dataset!D$2:D$1501),2),IF(customer_churn_dataset!D979&lt;0,ABS(customer_churn_dataset!D979),customer_churn_dataset!D979))</f>
        <v>21.66</v>
      </c>
      <c r="E979" s="7" t="n">
        <f aca="false">IF(ISBLANK(customer_churn_dataset!E979),0,MAX(0,customer_churn_dataset!E979))</f>
        <v>0</v>
      </c>
      <c r="F979" s="8" t="n">
        <f aca="false">IF(ISBLANK(customer_churn_dataset!F979),"",customer_churn_dataset!F979)</f>
        <v>45103</v>
      </c>
      <c r="G979" s="7" t="str">
        <f aca="false">PROPER(TRIM(customer_churn_dataset!G979))</f>
        <v>Credit Card</v>
      </c>
      <c r="H979" s="7" t="n">
        <f aca="false">IF(ISBLANK(customer_churn_dataset!H979),0,customer_churn_dataset!H979)</f>
        <v>0</v>
      </c>
      <c r="I979" s="7" t="n">
        <f aca="false">IF(ISBLANK(customer_churn_dataset!I979),ROUND(MEDIAN(customer_churn_dataset!I$2:I$1501),1),MIN(100,MAX(0,customer_churn_dataset!I979)))</f>
        <v>80.4</v>
      </c>
      <c r="J979" s="7" t="n">
        <f aca="false">IF(ISBLANK(customer_churn_dataset!J979),0,MAX(0,customer_churn_dataset!J979))</f>
        <v>25</v>
      </c>
      <c r="K979" s="7" t="n">
        <f aca="false">IF(ISBLANK(customer_churn_dataset!K979),0,MIN(10,MAX(0,customer_churn_dataset!K979)))</f>
        <v>8</v>
      </c>
      <c r="L979" s="7" t="n">
        <f aca="false">IF(ISBLANK(customer_churn_dataset!L979),0,MAX(0,customer_churn_dataset!L979))</f>
        <v>0</v>
      </c>
      <c r="M979" s="7" t="n">
        <f aca="false">IF(ISBLANK(customer_churn_dataset!M979),0,customer_churn_dataset!M979)</f>
        <v>0</v>
      </c>
      <c r="N979" s="7" t="n">
        <f aca="false">IF(ISBLANK(customer_churn_dataset!N979),0,MAX(0,customer_churn_dataset!N979))</f>
        <v>0</v>
      </c>
      <c r="O979" s="7" t="n">
        <f aca="false">IF(ISBLANK(customer_churn_dataset!O979),0,customer_churn_dataset!O979)</f>
        <v>0</v>
      </c>
      <c r="P979" s="7" t="str">
        <f aca="false">IF(COUNTIF(customer_churn_dataset!$A$2:$A$1501,customer_churn_dataset!A979)&gt;1,"Duplicate","Unique")</f>
        <v>Unique</v>
      </c>
    </row>
    <row r="980" customFormat="false" ht="14.15" hidden="false" customHeight="true" outlineLevel="0" collapsed="false">
      <c r="A980" s="7" t="str">
        <f aca="false">TRIM(customer_churn_dataset!A980)</f>
        <v>CUST100536</v>
      </c>
      <c r="B980" s="7" t="str">
        <f aca="false">PROPER(TRIM(customer_churn_dataset!B980))</f>
        <v>Premium</v>
      </c>
      <c r="C980" s="7" t="str">
        <f aca="false">PROPER(TRIM(customer_churn_dataset!C980))</f>
        <v>Two Year</v>
      </c>
      <c r="D980" s="7" t="n">
        <f aca="false">IF(ISBLANK(customer_churn_dataset!D980),ROUND(MEDIAN(customer_churn_dataset!D$2:D$1501),2),IF(customer_churn_dataset!D980&lt;0,ABS(customer_churn_dataset!D980),customer_churn_dataset!D980))</f>
        <v>38.99</v>
      </c>
      <c r="E980" s="7" t="n">
        <f aca="false">IF(ISBLANK(customer_churn_dataset!E980),0,MAX(0,customer_churn_dataset!E980))</f>
        <v>69</v>
      </c>
      <c r="F980" s="8" t="n">
        <f aca="false">IF(ISBLANK(customer_churn_dataset!F980),"",customer_churn_dataset!F980)</f>
        <v>45104</v>
      </c>
      <c r="G980" s="7" t="str">
        <f aca="false">PROPER(TRIM(customer_churn_dataset!G980))</f>
        <v>Credit Card</v>
      </c>
      <c r="H980" s="7" t="n">
        <f aca="false">IF(ISBLANK(customer_churn_dataset!H980),0,customer_churn_dataset!H980)</f>
        <v>0</v>
      </c>
      <c r="I980" s="7" t="n">
        <f aca="false">IF(ISBLANK(customer_churn_dataset!I980),ROUND(MEDIAN(customer_churn_dataset!I$2:I$1501),1),MIN(100,MAX(0,customer_churn_dataset!I980)))</f>
        <v>71.2</v>
      </c>
      <c r="J980" s="7" t="n">
        <f aca="false">IF(ISBLANK(customer_churn_dataset!J980),0,MAX(0,customer_churn_dataset!J980))</f>
        <v>25</v>
      </c>
      <c r="K980" s="7" t="n">
        <f aca="false">IF(ISBLANK(customer_churn_dataset!K980),0,MIN(10,MAX(0,customer_churn_dataset!K980)))</f>
        <v>8</v>
      </c>
      <c r="L980" s="7" t="n">
        <f aca="false">IF(ISBLANK(customer_churn_dataset!L980),0,MAX(0,customer_churn_dataset!L980))</f>
        <v>0</v>
      </c>
      <c r="M980" s="7" t="n">
        <f aca="false">IF(ISBLANK(customer_churn_dataset!M980),0,customer_churn_dataset!M980)</f>
        <v>0</v>
      </c>
      <c r="N980" s="7" t="n">
        <f aca="false">IF(ISBLANK(customer_churn_dataset!N980),0,MAX(0,customer_churn_dataset!N980))</f>
        <v>2690.31</v>
      </c>
      <c r="O980" s="7" t="n">
        <f aca="false">IF(ISBLANK(customer_churn_dataset!O980),0,customer_churn_dataset!O980)</f>
        <v>0</v>
      </c>
      <c r="P980" s="7" t="str">
        <f aca="false">IF(COUNTIF(customer_churn_dataset!$A$2:$A$1501,customer_churn_dataset!A980)&gt;1,"Duplicate","Unique")</f>
        <v>Unique</v>
      </c>
    </row>
    <row r="981" customFormat="false" ht="14.15" hidden="false" customHeight="true" outlineLevel="0" collapsed="false">
      <c r="A981" s="7" t="str">
        <f aca="false">TRIM(customer_churn_dataset!A981)</f>
        <v>CUST101246</v>
      </c>
      <c r="B981" s="7" t="str">
        <f aca="false">PROPER(TRIM(customer_churn_dataset!B981))</f>
        <v>Basic</v>
      </c>
      <c r="C981" s="7" t="str">
        <f aca="false">PROPER(TRIM(customer_churn_dataset!C981))</f>
        <v>Month-To-Month</v>
      </c>
      <c r="D981" s="7" t="n">
        <f aca="false">IF(ISBLANK(customer_churn_dataset!D981),ROUND(MEDIAN(customer_churn_dataset!D$2:D$1501),2),IF(customer_churn_dataset!D981&lt;0,ABS(customer_churn_dataset!D981),customer_churn_dataset!D981))</f>
        <v>8.69</v>
      </c>
      <c r="E981" s="7" t="n">
        <f aca="false">IF(ISBLANK(customer_churn_dataset!E981),0,MAX(0,customer_churn_dataset!E981))</f>
        <v>56</v>
      </c>
      <c r="F981" s="8" t="n">
        <f aca="false">IF(ISBLANK(customer_churn_dataset!F981),"",customer_churn_dataset!F981)</f>
        <v>45105</v>
      </c>
      <c r="G981" s="7" t="str">
        <f aca="false">PROPER(TRIM(customer_churn_dataset!G981))</f>
        <v>Manual/Invoice</v>
      </c>
      <c r="H981" s="7" t="n">
        <f aca="false">IF(ISBLANK(customer_churn_dataset!H981),0,customer_churn_dataset!H981)</f>
        <v>1</v>
      </c>
      <c r="I981" s="7" t="n">
        <f aca="false">IF(ISBLANK(customer_churn_dataset!I981),ROUND(MEDIAN(customer_churn_dataset!I$2:I$1501),1),MIN(100,MAX(0,customer_churn_dataset!I981)))</f>
        <v>70.5</v>
      </c>
      <c r="J981" s="7" t="n">
        <f aca="false">IF(ISBLANK(customer_churn_dataset!J981),0,MAX(0,customer_churn_dataset!J981))</f>
        <v>20</v>
      </c>
      <c r="K981" s="7" t="n">
        <f aca="false">IF(ISBLANK(customer_churn_dataset!K981),0,MIN(10,MAX(0,customer_churn_dataset!K981)))</f>
        <v>8</v>
      </c>
      <c r="L981" s="7" t="n">
        <f aca="false">IF(ISBLANK(customer_churn_dataset!L981),0,MAX(0,customer_churn_dataset!L981))</f>
        <v>0</v>
      </c>
      <c r="M981" s="7" t="n">
        <f aca="false">IF(ISBLANK(customer_churn_dataset!M981),0,customer_churn_dataset!M981)</f>
        <v>0</v>
      </c>
      <c r="N981" s="7" t="n">
        <f aca="false">IF(ISBLANK(customer_churn_dataset!N981),0,MAX(0,customer_churn_dataset!N981))</f>
        <v>486.64</v>
      </c>
      <c r="O981" s="7" t="n">
        <f aca="false">IF(ISBLANK(customer_churn_dataset!O981),0,customer_churn_dataset!O981)</f>
        <v>0</v>
      </c>
      <c r="P981" s="7" t="str">
        <f aca="false">IF(COUNTIF(customer_churn_dataset!$A$2:$A$1501,customer_churn_dataset!A981)&gt;1,"Duplicate","Unique")</f>
        <v>Unique</v>
      </c>
    </row>
    <row r="982" customFormat="false" ht="14.15" hidden="false" customHeight="true" outlineLevel="0" collapsed="false">
      <c r="A982" s="7" t="str">
        <f aca="false">TRIM(customer_churn_dataset!A982)</f>
        <v>CUST101195</v>
      </c>
      <c r="B982" s="7" t="str">
        <f aca="false">PROPER(TRIM(customer_churn_dataset!B982))</f>
        <v>Premium</v>
      </c>
      <c r="C982" s="7" t="str">
        <f aca="false">PROPER(TRIM(customer_churn_dataset!C982))</f>
        <v>Month-To-Month</v>
      </c>
      <c r="D982" s="7" t="n">
        <f aca="false">IF(ISBLANK(customer_churn_dataset!D982),ROUND(MEDIAN(customer_churn_dataset!D$2:D$1501),2),IF(customer_churn_dataset!D982&lt;0,ABS(customer_churn_dataset!D982),customer_churn_dataset!D982))</f>
        <v>40.25</v>
      </c>
      <c r="E982" s="7" t="n">
        <f aca="false">IF(ISBLANK(customer_churn_dataset!E982),0,MAX(0,customer_churn_dataset!E982))</f>
        <v>8</v>
      </c>
      <c r="F982" s="8" t="n">
        <f aca="false">IF(ISBLANK(customer_churn_dataset!F982),"",customer_churn_dataset!F982)</f>
        <v>45105</v>
      </c>
      <c r="G982" s="7" t="str">
        <f aca="false">PROPER(TRIM(customer_churn_dataset!G982))</f>
        <v>Paypal</v>
      </c>
      <c r="H982" s="7" t="n">
        <f aca="false">IF(ISBLANK(customer_churn_dataset!H982),0,customer_churn_dataset!H982)</f>
        <v>1</v>
      </c>
      <c r="I982" s="7" t="n">
        <f aca="false">IF(ISBLANK(customer_churn_dataset!I982),ROUND(MEDIAN(customer_churn_dataset!I$2:I$1501),1),MIN(100,MAX(0,customer_churn_dataset!I982)))</f>
        <v>18.3</v>
      </c>
      <c r="J982" s="7" t="n">
        <f aca="false">IF(ISBLANK(customer_churn_dataset!J982),0,MAX(0,customer_churn_dataset!J982))</f>
        <v>14</v>
      </c>
      <c r="K982" s="7" t="n">
        <f aca="false">IF(ISBLANK(customer_churn_dataset!K982),0,MIN(10,MAX(0,customer_churn_dataset!K982)))</f>
        <v>1</v>
      </c>
      <c r="L982" s="7" t="n">
        <f aca="false">IF(ISBLANK(customer_churn_dataset!L982),0,MAX(0,customer_churn_dataset!L982))</f>
        <v>4</v>
      </c>
      <c r="M982" s="7" t="n">
        <f aca="false">IF(ISBLANK(customer_churn_dataset!M982),0,customer_churn_dataset!M982)</f>
        <v>1</v>
      </c>
      <c r="N982" s="7" t="n">
        <f aca="false">IF(ISBLANK(customer_churn_dataset!N982),0,MAX(0,customer_churn_dataset!N982))</f>
        <v>322</v>
      </c>
      <c r="O982" s="7" t="n">
        <f aca="false">IF(ISBLANK(customer_churn_dataset!O982),0,customer_churn_dataset!O982)</f>
        <v>0</v>
      </c>
      <c r="P982" s="7" t="str">
        <f aca="false">IF(COUNTIF(customer_churn_dataset!$A$2:$A$1501,customer_churn_dataset!A982)&gt;1,"Duplicate","Unique")</f>
        <v>Unique</v>
      </c>
    </row>
    <row r="983" customFormat="false" ht="14.15" hidden="false" customHeight="true" outlineLevel="0" collapsed="false">
      <c r="A983" s="7" t="str">
        <f aca="false">TRIM(customer_churn_dataset!A983)</f>
        <v>CUST101276</v>
      </c>
      <c r="B983" s="7" t="str">
        <f aca="false">PROPER(TRIM(customer_churn_dataset!B983))</f>
        <v>Basic</v>
      </c>
      <c r="C983" s="7" t="str">
        <f aca="false">PROPER(TRIM(customer_churn_dataset!C983))</f>
        <v>Two Year</v>
      </c>
      <c r="D983" s="7" t="n">
        <f aca="false">IF(ISBLANK(customer_churn_dataset!D983),ROUND(MEDIAN(customer_churn_dataset!D$2:D$1501),2),IF(customer_churn_dataset!D983&lt;0,ABS(customer_churn_dataset!D983),customer_churn_dataset!D983))</f>
        <v>9.86</v>
      </c>
      <c r="E983" s="7" t="n">
        <f aca="false">IF(ISBLANK(customer_churn_dataset!E983),0,MAX(0,customer_churn_dataset!E983))</f>
        <v>2</v>
      </c>
      <c r="F983" s="8" t="n">
        <f aca="false">IF(ISBLANK(customer_churn_dataset!F983),"",customer_churn_dataset!F983)</f>
        <v>45105</v>
      </c>
      <c r="G983" s="7" t="str">
        <f aca="false">PROPER(TRIM(customer_churn_dataset!G983))</f>
        <v>Credit Card</v>
      </c>
      <c r="H983" s="7" t="n">
        <f aca="false">IF(ISBLANK(customer_churn_dataset!H983),0,customer_churn_dataset!H983)</f>
        <v>1</v>
      </c>
      <c r="I983" s="7" t="n">
        <f aca="false">IF(ISBLANK(customer_churn_dataset!I983),ROUND(MEDIAN(customer_churn_dataset!I$2:I$1501),1),MIN(100,MAX(0,customer_churn_dataset!I983)))</f>
        <v>10.1</v>
      </c>
      <c r="J983" s="7" t="n">
        <f aca="false">IF(ISBLANK(customer_churn_dataset!J983),0,MAX(0,customer_churn_dataset!J983))</f>
        <v>4</v>
      </c>
      <c r="K983" s="7" t="n">
        <f aca="false">IF(ISBLANK(customer_churn_dataset!K983),0,MIN(10,MAX(0,customer_churn_dataset!K983)))</f>
        <v>0</v>
      </c>
      <c r="L983" s="7" t="n">
        <f aca="false">IF(ISBLANK(customer_churn_dataset!L983),0,MAX(0,customer_churn_dataset!L983))</f>
        <v>1</v>
      </c>
      <c r="M983" s="7" t="n">
        <f aca="false">IF(ISBLANK(customer_churn_dataset!M983),0,customer_churn_dataset!M983)</f>
        <v>0</v>
      </c>
      <c r="N983" s="7" t="n">
        <f aca="false">IF(ISBLANK(customer_churn_dataset!N983),0,MAX(0,customer_churn_dataset!N983))</f>
        <v>19.72</v>
      </c>
      <c r="O983" s="7" t="n">
        <f aca="false">IF(ISBLANK(customer_churn_dataset!O983),0,customer_churn_dataset!O983)</f>
        <v>0</v>
      </c>
      <c r="P983" s="7" t="str">
        <f aca="false">IF(COUNTIF(customer_churn_dataset!$A$2:$A$1501,customer_churn_dataset!A983)&gt;1,"Duplicate","Unique")</f>
        <v>Unique</v>
      </c>
    </row>
    <row r="984" customFormat="false" ht="14.15" hidden="false" customHeight="true" outlineLevel="0" collapsed="false">
      <c r="A984" s="7" t="str">
        <f aca="false">TRIM(customer_churn_dataset!A984)</f>
        <v>CUST100452</v>
      </c>
      <c r="B984" s="7" t="str">
        <f aca="false">PROPER(TRIM(customer_churn_dataset!B984))</f>
        <v>Basic</v>
      </c>
      <c r="C984" s="7" t="str">
        <f aca="false">PROPER(TRIM(customer_churn_dataset!C984))</f>
        <v>One Year</v>
      </c>
      <c r="D984" s="7" t="n">
        <f aca="false">IF(ISBLANK(customer_churn_dataset!D984),ROUND(MEDIAN(customer_churn_dataset!D$2:D$1501),2),IF(customer_churn_dataset!D984&lt;0,ABS(customer_churn_dataset!D984),customer_churn_dataset!D984))</f>
        <v>10.87</v>
      </c>
      <c r="E984" s="7" t="n">
        <f aca="false">IF(ISBLANK(customer_churn_dataset!E984),0,MAX(0,customer_churn_dataset!E984))</f>
        <v>3</v>
      </c>
      <c r="F984" s="8" t="n">
        <f aca="false">IF(ISBLANK(customer_churn_dataset!F984),"",customer_churn_dataset!F984)</f>
        <v>45106</v>
      </c>
      <c r="G984" s="7" t="str">
        <f aca="false">PROPER(TRIM(customer_churn_dataset!G984))</f>
        <v>Bank Transfer</v>
      </c>
      <c r="H984" s="7" t="n">
        <f aca="false">IF(ISBLANK(customer_churn_dataset!H984),0,customer_churn_dataset!H984)</f>
        <v>1</v>
      </c>
      <c r="I984" s="7" t="n">
        <f aca="false">IF(ISBLANK(customer_churn_dataset!I984),ROUND(MEDIAN(customer_churn_dataset!I$2:I$1501),1),MIN(100,MAX(0,customer_churn_dataset!I984)))</f>
        <v>40</v>
      </c>
      <c r="J984" s="7" t="n">
        <f aca="false">IF(ISBLANK(customer_churn_dataset!J984),0,MAX(0,customer_churn_dataset!J984))</f>
        <v>10</v>
      </c>
      <c r="K984" s="7" t="n">
        <f aca="false">IF(ISBLANK(customer_churn_dataset!K984),0,MIN(10,MAX(0,customer_churn_dataset!K984)))</f>
        <v>4</v>
      </c>
      <c r="L984" s="7" t="n">
        <f aca="false">IF(ISBLANK(customer_churn_dataset!L984),0,MAX(0,customer_churn_dataset!L984))</f>
        <v>1</v>
      </c>
      <c r="M984" s="7" t="n">
        <f aca="false">IF(ISBLANK(customer_churn_dataset!M984),0,customer_churn_dataset!M984)</f>
        <v>0</v>
      </c>
      <c r="N984" s="7" t="n">
        <f aca="false">IF(ISBLANK(customer_churn_dataset!N984),0,MAX(0,customer_churn_dataset!N984))</f>
        <v>32.61</v>
      </c>
      <c r="O984" s="7" t="n">
        <f aca="false">IF(ISBLANK(customer_churn_dataset!O984),0,customer_churn_dataset!O984)</f>
        <v>0</v>
      </c>
      <c r="P984" s="7" t="str">
        <f aca="false">IF(COUNTIF(customer_churn_dataset!$A$2:$A$1501,customer_churn_dataset!A984)&gt;1,"Duplicate","Unique")</f>
        <v>Unique</v>
      </c>
    </row>
    <row r="985" customFormat="false" ht="14.15" hidden="false" customHeight="true" outlineLevel="0" collapsed="false">
      <c r="A985" s="7" t="str">
        <f aca="false">TRIM(customer_churn_dataset!A985)</f>
        <v>CUST101406</v>
      </c>
      <c r="B985" s="7" t="str">
        <f aca="false">PROPER(TRIM(customer_churn_dataset!B985))</f>
        <v>Premium</v>
      </c>
      <c r="C985" s="7" t="str">
        <f aca="false">PROPER(TRIM(customer_churn_dataset!C985))</f>
        <v>Month-To-Month</v>
      </c>
      <c r="D985" s="7" t="n">
        <f aca="false">IF(ISBLANK(customer_churn_dataset!D985),ROUND(MEDIAN(customer_churn_dataset!D$2:D$1501),2),IF(customer_churn_dataset!D985&lt;0,ABS(customer_churn_dataset!D985),customer_churn_dataset!D985))</f>
        <v>38.99</v>
      </c>
      <c r="E985" s="7" t="n">
        <f aca="false">IF(ISBLANK(customer_churn_dataset!E985),0,MAX(0,customer_churn_dataset!E985))</f>
        <v>1</v>
      </c>
      <c r="F985" s="8" t="n">
        <f aca="false">IF(ISBLANK(customer_churn_dataset!F985),"",customer_churn_dataset!F985)</f>
        <v>45107</v>
      </c>
      <c r="G985" s="7" t="str">
        <f aca="false">PROPER(TRIM(customer_churn_dataset!G985))</f>
        <v>Credit Card</v>
      </c>
      <c r="H985" s="7" t="n">
        <f aca="false">IF(ISBLANK(customer_churn_dataset!H985),0,customer_churn_dataset!H985)</f>
        <v>0</v>
      </c>
      <c r="I985" s="7" t="n">
        <f aca="false">IF(ISBLANK(customer_churn_dataset!I985),ROUND(MEDIAN(customer_churn_dataset!I$2:I$1501),1),MIN(100,MAX(0,customer_churn_dataset!I985)))</f>
        <v>37</v>
      </c>
      <c r="J985" s="7" t="n">
        <f aca="false">IF(ISBLANK(customer_churn_dataset!J985),0,MAX(0,customer_churn_dataset!J985))</f>
        <v>14</v>
      </c>
      <c r="K985" s="7" t="n">
        <f aca="false">IF(ISBLANK(customer_churn_dataset!K985),0,MIN(10,MAX(0,customer_churn_dataset!K985)))</f>
        <v>4</v>
      </c>
      <c r="L985" s="7" t="n">
        <f aca="false">IF(ISBLANK(customer_churn_dataset!L985),0,MAX(0,customer_churn_dataset!L985))</f>
        <v>3</v>
      </c>
      <c r="M985" s="7" t="n">
        <f aca="false">IF(ISBLANK(customer_churn_dataset!M985),0,customer_churn_dataset!M985)</f>
        <v>0</v>
      </c>
      <c r="N985" s="7" t="n">
        <f aca="false">IF(ISBLANK(customer_churn_dataset!N985),0,MAX(0,customer_churn_dataset!N985))</f>
        <v>38.99</v>
      </c>
      <c r="O985" s="7" t="n">
        <f aca="false">IF(ISBLANK(customer_churn_dataset!O985),0,customer_churn_dataset!O985)</f>
        <v>0</v>
      </c>
      <c r="P985" s="7" t="str">
        <f aca="false">IF(COUNTIF(customer_churn_dataset!$A$2:$A$1501,customer_churn_dataset!A985)&gt;1,"Duplicate","Unique")</f>
        <v>Unique</v>
      </c>
    </row>
    <row r="986" customFormat="false" ht="14.15" hidden="false" customHeight="true" outlineLevel="0" collapsed="false">
      <c r="A986" s="7" t="str">
        <f aca="false">TRIM(customer_churn_dataset!A986)</f>
        <v>CUST100318</v>
      </c>
      <c r="B986" s="7" t="str">
        <f aca="false">PROPER(TRIM(customer_churn_dataset!B986))</f>
        <v>Basic</v>
      </c>
      <c r="C986" s="7" t="str">
        <f aca="false">PROPER(TRIM(customer_churn_dataset!C986))</f>
        <v>One Year</v>
      </c>
      <c r="D986" s="7" t="n">
        <f aca="false">IF(ISBLANK(customer_churn_dataset!D986),ROUND(MEDIAN(customer_churn_dataset!D$2:D$1501),2),IF(customer_churn_dataset!D986&lt;0,ABS(customer_churn_dataset!D986),customer_churn_dataset!D986))</f>
        <v>9.1</v>
      </c>
      <c r="E986" s="7" t="n">
        <f aca="false">IF(ISBLANK(customer_churn_dataset!E986),0,MAX(0,customer_churn_dataset!E986))</f>
        <v>30</v>
      </c>
      <c r="F986" s="8" t="n">
        <f aca="false">IF(ISBLANK(customer_churn_dataset!F986),"",customer_churn_dataset!F986)</f>
        <v>45108</v>
      </c>
      <c r="G986" s="7" t="str">
        <f aca="false">PROPER(TRIM(customer_churn_dataset!G986))</f>
        <v>Paypal</v>
      </c>
      <c r="H986" s="7" t="n">
        <f aca="false">IF(ISBLANK(customer_churn_dataset!H986),0,customer_churn_dataset!H986)</f>
        <v>1</v>
      </c>
      <c r="I986" s="7" t="n">
        <f aca="false">IF(ISBLANK(customer_churn_dataset!I986),ROUND(MEDIAN(customer_churn_dataset!I$2:I$1501),1),MIN(100,MAX(0,customer_churn_dataset!I986)))</f>
        <v>0.9</v>
      </c>
      <c r="J986" s="7" t="n">
        <f aca="false">IF(ISBLANK(customer_churn_dataset!J986),0,MAX(0,customer_churn_dataset!J986))</f>
        <v>9</v>
      </c>
      <c r="K986" s="7" t="n">
        <f aca="false">IF(ISBLANK(customer_churn_dataset!K986),0,MIN(10,MAX(0,customer_churn_dataset!K986)))</f>
        <v>0</v>
      </c>
      <c r="L986" s="7" t="n">
        <f aca="false">IF(ISBLANK(customer_churn_dataset!L986),0,MAX(0,customer_churn_dataset!L986))</f>
        <v>0</v>
      </c>
      <c r="M986" s="7" t="n">
        <f aca="false">IF(ISBLANK(customer_churn_dataset!M986),0,customer_churn_dataset!M986)</f>
        <v>0</v>
      </c>
      <c r="N986" s="7" t="n">
        <f aca="false">IF(ISBLANK(customer_churn_dataset!N986),0,MAX(0,customer_churn_dataset!N986))</f>
        <v>273</v>
      </c>
      <c r="O986" s="7" t="n">
        <f aca="false">IF(ISBLANK(customer_churn_dataset!O986),0,customer_churn_dataset!O986)</f>
        <v>0</v>
      </c>
      <c r="P986" s="7" t="str">
        <f aca="false">IF(COUNTIF(customer_churn_dataset!$A$2:$A$1501,customer_churn_dataset!A986)&gt;1,"Duplicate","Unique")</f>
        <v>Unique</v>
      </c>
    </row>
    <row r="987" customFormat="false" ht="14.15" hidden="false" customHeight="true" outlineLevel="0" collapsed="false">
      <c r="A987" s="7" t="str">
        <f aca="false">TRIM(customer_churn_dataset!A987)</f>
        <v>CUST100378</v>
      </c>
      <c r="B987" s="7" t="str">
        <f aca="false">PROPER(TRIM(customer_churn_dataset!B987))</f>
        <v>Premium</v>
      </c>
      <c r="C987" s="7" t="str">
        <f aca="false">PROPER(TRIM(customer_churn_dataset!C987))</f>
        <v>Month-To-Month</v>
      </c>
      <c r="D987" s="7" t="n">
        <f aca="false">IF(ISBLANK(customer_churn_dataset!D987),ROUND(MEDIAN(customer_churn_dataset!D$2:D$1501),2),IF(customer_churn_dataset!D987&lt;0,ABS(customer_churn_dataset!D987),customer_churn_dataset!D987))</f>
        <v>38.82</v>
      </c>
      <c r="E987" s="7" t="n">
        <f aca="false">IF(ISBLANK(customer_churn_dataset!E987),0,MAX(0,customer_churn_dataset!E987))</f>
        <v>27</v>
      </c>
      <c r="F987" s="8" t="n">
        <f aca="false">IF(ISBLANK(customer_churn_dataset!F987),"",customer_churn_dataset!F987)</f>
        <v>45110</v>
      </c>
      <c r="G987" s="7" t="str">
        <f aca="false">PROPER(TRIM(customer_churn_dataset!G987))</f>
        <v>Paypal</v>
      </c>
      <c r="H987" s="7" t="n">
        <f aca="false">IF(ISBLANK(customer_churn_dataset!H987),0,customer_churn_dataset!H987)</f>
        <v>0</v>
      </c>
      <c r="I987" s="7" t="n">
        <f aca="false">IF(ISBLANK(customer_churn_dataset!I987),ROUND(MEDIAN(customer_churn_dataset!I$2:I$1501),1),MIN(100,MAX(0,customer_churn_dataset!I987)))</f>
        <v>60.1</v>
      </c>
      <c r="J987" s="7" t="n">
        <f aca="false">IF(ISBLANK(customer_churn_dataset!J987),0,MAX(0,customer_churn_dataset!J987))</f>
        <v>19</v>
      </c>
      <c r="K987" s="7" t="n">
        <f aca="false">IF(ISBLANK(customer_churn_dataset!K987),0,MIN(10,MAX(0,customer_churn_dataset!K987)))</f>
        <v>4</v>
      </c>
      <c r="L987" s="7" t="n">
        <f aca="false">IF(ISBLANK(customer_churn_dataset!L987),0,MAX(0,customer_churn_dataset!L987))</f>
        <v>1</v>
      </c>
      <c r="M987" s="7" t="n">
        <f aca="false">IF(ISBLANK(customer_churn_dataset!M987),0,customer_churn_dataset!M987)</f>
        <v>1</v>
      </c>
      <c r="N987" s="7" t="n">
        <f aca="false">IF(ISBLANK(customer_churn_dataset!N987),0,MAX(0,customer_churn_dataset!N987))</f>
        <v>1048.14</v>
      </c>
      <c r="O987" s="7" t="n">
        <f aca="false">IF(ISBLANK(customer_churn_dataset!O987),0,customer_churn_dataset!O987)</f>
        <v>0</v>
      </c>
      <c r="P987" s="7" t="str">
        <f aca="false">IF(COUNTIF(customer_churn_dataset!$A$2:$A$1501,customer_churn_dataset!A987)&gt;1,"Duplicate","Unique")</f>
        <v>Unique</v>
      </c>
    </row>
    <row r="988" customFormat="false" ht="14.15" hidden="false" customHeight="true" outlineLevel="0" collapsed="false">
      <c r="A988" s="7" t="str">
        <f aca="false">TRIM(customer_churn_dataset!A988)</f>
        <v>CUST100811</v>
      </c>
      <c r="B988" s="7" t="str">
        <f aca="false">PROPER(TRIM(customer_churn_dataset!B988))</f>
        <v>Premium</v>
      </c>
      <c r="C988" s="7" t="str">
        <f aca="false">PROPER(TRIM(customer_churn_dataset!C988))</f>
        <v>One Year</v>
      </c>
      <c r="D988" s="7" t="n">
        <f aca="false">IF(ISBLANK(customer_churn_dataset!D988),ROUND(MEDIAN(customer_churn_dataset!D$2:D$1501),2),IF(customer_churn_dataset!D988&lt;0,ABS(customer_churn_dataset!D988),customer_churn_dataset!D988))</f>
        <v>37.05</v>
      </c>
      <c r="E988" s="7" t="n">
        <f aca="false">IF(ISBLANK(customer_churn_dataset!E988),0,MAX(0,customer_churn_dataset!E988))</f>
        <v>4</v>
      </c>
      <c r="F988" s="8" t="n">
        <f aca="false">IF(ISBLANK(customer_churn_dataset!F988),"",customer_churn_dataset!F988)</f>
        <v>45110</v>
      </c>
      <c r="G988" s="7" t="str">
        <f aca="false">PROPER(TRIM(customer_churn_dataset!G988))</f>
        <v>Bank Transfer</v>
      </c>
      <c r="H988" s="7" t="n">
        <f aca="false">IF(ISBLANK(customer_churn_dataset!H988),0,customer_churn_dataset!H988)</f>
        <v>1</v>
      </c>
      <c r="I988" s="7" t="n">
        <f aca="false">IF(ISBLANK(customer_churn_dataset!I988),ROUND(MEDIAN(customer_churn_dataset!I$2:I$1501),1),MIN(100,MAX(0,customer_churn_dataset!I988)))</f>
        <v>55.6</v>
      </c>
      <c r="J988" s="7" t="n">
        <f aca="false">IF(ISBLANK(customer_churn_dataset!J988),0,MAX(0,customer_churn_dataset!J988))</f>
        <v>19</v>
      </c>
      <c r="K988" s="7" t="n">
        <f aca="false">IF(ISBLANK(customer_churn_dataset!K988),0,MIN(10,MAX(0,customer_churn_dataset!K988)))</f>
        <v>7</v>
      </c>
      <c r="L988" s="7" t="n">
        <f aca="false">IF(ISBLANK(customer_churn_dataset!L988),0,MAX(0,customer_churn_dataset!L988))</f>
        <v>0</v>
      </c>
      <c r="M988" s="7" t="n">
        <f aca="false">IF(ISBLANK(customer_churn_dataset!M988),0,customer_churn_dataset!M988)</f>
        <v>0</v>
      </c>
      <c r="N988" s="7" t="n">
        <f aca="false">IF(ISBLANK(customer_churn_dataset!N988),0,MAX(0,customer_churn_dataset!N988))</f>
        <v>148.2</v>
      </c>
      <c r="O988" s="7" t="n">
        <f aca="false">IF(ISBLANK(customer_churn_dataset!O988),0,customer_churn_dataset!O988)</f>
        <v>0</v>
      </c>
      <c r="P988" s="7" t="str">
        <f aca="false">IF(COUNTIF(customer_churn_dataset!$A$2:$A$1501,customer_churn_dataset!A988)&gt;1,"Duplicate","Unique")</f>
        <v>Unique</v>
      </c>
    </row>
    <row r="989" customFormat="false" ht="14.15" hidden="false" customHeight="true" outlineLevel="0" collapsed="false">
      <c r="A989" s="7" t="str">
        <f aca="false">TRIM(customer_churn_dataset!A989)</f>
        <v>CUST100561</v>
      </c>
      <c r="B989" s="7" t="str">
        <f aca="false">PROPER(TRIM(customer_churn_dataset!B989))</f>
        <v>Basic</v>
      </c>
      <c r="C989" s="7" t="str">
        <f aca="false">PROPER(TRIM(customer_churn_dataset!C989))</f>
        <v>One Year</v>
      </c>
      <c r="D989" s="7" t="n">
        <f aca="false">IF(ISBLANK(customer_churn_dataset!D989),ROUND(MEDIAN(customer_churn_dataset!D$2:D$1501),2),IF(customer_churn_dataset!D989&lt;0,ABS(customer_churn_dataset!D989),customer_churn_dataset!D989))</f>
        <v>9.73</v>
      </c>
      <c r="E989" s="7" t="n">
        <f aca="false">IF(ISBLANK(customer_churn_dataset!E989),0,MAX(0,customer_churn_dataset!E989))</f>
        <v>6</v>
      </c>
      <c r="F989" s="8" t="n">
        <f aca="false">IF(ISBLANK(customer_churn_dataset!F989),"",customer_churn_dataset!F989)</f>
        <v>45111</v>
      </c>
      <c r="G989" s="7" t="str">
        <f aca="false">PROPER(TRIM(customer_churn_dataset!G989))</f>
        <v>Paypal</v>
      </c>
      <c r="H989" s="7" t="n">
        <f aca="false">IF(ISBLANK(customer_churn_dataset!H989),0,customer_churn_dataset!H989)</f>
        <v>0</v>
      </c>
      <c r="I989" s="7" t="n">
        <f aca="false">IF(ISBLANK(customer_churn_dataset!I989),ROUND(MEDIAN(customer_churn_dataset!I$2:I$1501),1),MIN(100,MAX(0,customer_churn_dataset!I989)))</f>
        <v>51.1</v>
      </c>
      <c r="J989" s="7" t="n">
        <f aca="false">IF(ISBLANK(customer_churn_dataset!J989),0,MAX(0,customer_churn_dataset!J989))</f>
        <v>22</v>
      </c>
      <c r="K989" s="7" t="n">
        <f aca="false">IF(ISBLANK(customer_churn_dataset!K989),0,MIN(10,MAX(0,customer_churn_dataset!K989)))</f>
        <v>4</v>
      </c>
      <c r="L989" s="7" t="n">
        <f aca="false">IF(ISBLANK(customer_churn_dataset!L989),0,MAX(0,customer_churn_dataset!L989))</f>
        <v>1</v>
      </c>
      <c r="M989" s="7" t="n">
        <f aca="false">IF(ISBLANK(customer_churn_dataset!M989),0,customer_churn_dataset!M989)</f>
        <v>0</v>
      </c>
      <c r="N989" s="7" t="n">
        <f aca="false">IF(ISBLANK(customer_churn_dataset!N989),0,MAX(0,customer_churn_dataset!N989))</f>
        <v>58.38</v>
      </c>
      <c r="O989" s="7" t="n">
        <f aca="false">IF(ISBLANK(customer_churn_dataset!O989),0,customer_churn_dataset!O989)</f>
        <v>0</v>
      </c>
      <c r="P989" s="7" t="str">
        <f aca="false">IF(COUNTIF(customer_churn_dataset!$A$2:$A$1501,customer_churn_dataset!A989)&gt;1,"Duplicate","Unique")</f>
        <v>Unique</v>
      </c>
    </row>
    <row r="990" customFormat="false" ht="14.15" hidden="false" customHeight="true" outlineLevel="0" collapsed="false">
      <c r="A990" s="7" t="str">
        <f aca="false">TRIM(customer_churn_dataset!A990)</f>
        <v>CUST100945</v>
      </c>
      <c r="B990" s="7" t="str">
        <f aca="false">PROPER(TRIM(customer_churn_dataset!B990))</f>
        <v>Basic</v>
      </c>
      <c r="C990" s="7" t="str">
        <f aca="false">PROPER(TRIM(customer_churn_dataset!C990))</f>
        <v>Two Year</v>
      </c>
      <c r="D990" s="7" t="n">
        <f aca="false">IF(ISBLANK(customer_churn_dataset!D990),ROUND(MEDIAN(customer_churn_dataset!D$2:D$1501),2),IF(customer_churn_dataset!D990&lt;0,ABS(customer_churn_dataset!D990),customer_churn_dataset!D990))</f>
        <v>11.63</v>
      </c>
      <c r="E990" s="7" t="n">
        <f aca="false">IF(ISBLANK(customer_churn_dataset!E990),0,MAX(0,customer_churn_dataset!E990))</f>
        <v>72</v>
      </c>
      <c r="F990" s="8" t="n">
        <f aca="false">IF(ISBLANK(customer_churn_dataset!F990),"",customer_churn_dataset!F990)</f>
        <v>45114</v>
      </c>
      <c r="G990" s="7" t="str">
        <f aca="false">PROPER(TRIM(customer_churn_dataset!G990))</f>
        <v>Paypal</v>
      </c>
      <c r="H990" s="7" t="n">
        <f aca="false">IF(ISBLANK(customer_churn_dataset!H990),0,customer_churn_dataset!H990)</f>
        <v>1</v>
      </c>
      <c r="I990" s="7" t="n">
        <f aca="false">IF(ISBLANK(customer_churn_dataset!I990),ROUND(MEDIAN(customer_churn_dataset!I$2:I$1501),1),MIN(100,MAX(0,customer_churn_dataset!I990)))</f>
        <v>64.5</v>
      </c>
      <c r="J990" s="7" t="n">
        <f aca="false">IF(ISBLANK(customer_churn_dataset!J990),0,MAX(0,customer_churn_dataset!J990))</f>
        <v>11</v>
      </c>
      <c r="K990" s="7" t="n">
        <f aca="false">IF(ISBLANK(customer_churn_dataset!K990),0,MIN(10,MAX(0,customer_churn_dataset!K990)))</f>
        <v>8</v>
      </c>
      <c r="L990" s="7" t="n">
        <f aca="false">IF(ISBLANK(customer_churn_dataset!L990),0,MAX(0,customer_churn_dataset!L990))</f>
        <v>0</v>
      </c>
      <c r="M990" s="7" t="n">
        <f aca="false">IF(ISBLANK(customer_churn_dataset!M990),0,customer_churn_dataset!M990)</f>
        <v>0</v>
      </c>
      <c r="N990" s="7" t="n">
        <f aca="false">IF(ISBLANK(customer_churn_dataset!N990),0,MAX(0,customer_churn_dataset!N990))</f>
        <v>837.36</v>
      </c>
      <c r="O990" s="7" t="n">
        <f aca="false">IF(ISBLANK(customer_churn_dataset!O990),0,customer_churn_dataset!O990)</f>
        <v>0</v>
      </c>
      <c r="P990" s="7" t="str">
        <f aca="false">IF(COUNTIF(customer_churn_dataset!$A$2:$A$1501,customer_churn_dataset!A990)&gt;1,"Duplicate","Unique")</f>
        <v>Unique</v>
      </c>
    </row>
    <row r="991" customFormat="false" ht="14.15" hidden="false" customHeight="true" outlineLevel="0" collapsed="false">
      <c r="A991" s="7" t="str">
        <f aca="false">TRIM(customer_churn_dataset!A991)</f>
        <v>CUST100583</v>
      </c>
      <c r="B991" s="7" t="str">
        <f aca="false">PROPER(TRIM(customer_churn_dataset!B991))</f>
        <v>Basic</v>
      </c>
      <c r="C991" s="7" t="str">
        <f aca="false">PROPER(TRIM(customer_churn_dataset!C991))</f>
        <v>Month-To-Month</v>
      </c>
      <c r="D991" s="7" t="n">
        <f aca="false">IF(ISBLANK(customer_churn_dataset!D991),ROUND(MEDIAN(customer_churn_dataset!D$2:D$1501),2),IF(customer_churn_dataset!D991&lt;0,ABS(customer_churn_dataset!D991),customer_churn_dataset!D991))</f>
        <v>11.15</v>
      </c>
      <c r="E991" s="7" t="n">
        <f aca="false">IF(ISBLANK(customer_churn_dataset!E991),0,MAX(0,customer_churn_dataset!E991))</f>
        <v>2</v>
      </c>
      <c r="F991" s="8" t="n">
        <f aca="false">IF(ISBLANK(customer_churn_dataset!F991),"",customer_churn_dataset!F991)</f>
        <v>45116</v>
      </c>
      <c r="G991" s="7" t="str">
        <f aca="false">PROPER(TRIM(customer_churn_dataset!G991))</f>
        <v>Credit Card</v>
      </c>
      <c r="H991" s="7" t="n">
        <f aca="false">IF(ISBLANK(customer_churn_dataset!H991),0,customer_churn_dataset!H991)</f>
        <v>1</v>
      </c>
      <c r="I991" s="7" t="n">
        <f aca="false">IF(ISBLANK(customer_churn_dataset!I991),ROUND(MEDIAN(customer_churn_dataset!I$2:I$1501),1),MIN(100,MAX(0,customer_churn_dataset!I991)))</f>
        <v>49.7</v>
      </c>
      <c r="J991" s="7" t="n">
        <f aca="false">IF(ISBLANK(customer_churn_dataset!J991),0,MAX(0,customer_churn_dataset!J991))</f>
        <v>3</v>
      </c>
      <c r="K991" s="7" t="n">
        <f aca="false">IF(ISBLANK(customer_churn_dataset!K991),0,MIN(10,MAX(0,customer_churn_dataset!K991)))</f>
        <v>5</v>
      </c>
      <c r="L991" s="7" t="n">
        <f aca="false">IF(ISBLANK(customer_churn_dataset!L991),0,MAX(0,customer_churn_dataset!L991))</f>
        <v>2</v>
      </c>
      <c r="M991" s="7" t="n">
        <f aca="false">IF(ISBLANK(customer_churn_dataset!M991),0,customer_churn_dataset!M991)</f>
        <v>1</v>
      </c>
      <c r="N991" s="7" t="n">
        <f aca="false">IF(ISBLANK(customer_churn_dataset!N991),0,MAX(0,customer_churn_dataset!N991))</f>
        <v>22.3</v>
      </c>
      <c r="O991" s="7" t="n">
        <f aca="false">IF(ISBLANK(customer_churn_dataset!O991),0,customer_churn_dataset!O991)</f>
        <v>1</v>
      </c>
      <c r="P991" s="7" t="str">
        <f aca="false">IF(COUNTIF(customer_churn_dataset!$A$2:$A$1501,customer_churn_dataset!A991)&gt;1,"Duplicate","Unique")</f>
        <v>Unique</v>
      </c>
    </row>
    <row r="992" customFormat="false" ht="14.15" hidden="false" customHeight="true" outlineLevel="0" collapsed="false">
      <c r="A992" s="7" t="str">
        <f aca="false">TRIM(customer_churn_dataset!A992)</f>
        <v>CUST100665</v>
      </c>
      <c r="B992" s="7" t="str">
        <f aca="false">PROPER(TRIM(customer_churn_dataset!B992))</f>
        <v>Basic</v>
      </c>
      <c r="C992" s="7" t="str">
        <f aca="false">PROPER(TRIM(customer_churn_dataset!C992))</f>
        <v>Month-To-Month</v>
      </c>
      <c r="D992" s="7" t="n">
        <f aca="false">IF(ISBLANK(customer_churn_dataset!D992),ROUND(MEDIAN(customer_churn_dataset!D$2:D$1501),2),IF(customer_churn_dataset!D992&lt;0,ABS(customer_churn_dataset!D992),customer_churn_dataset!D992))</f>
        <v>10.43</v>
      </c>
      <c r="E992" s="7" t="n">
        <f aca="false">IF(ISBLANK(customer_churn_dataset!E992),0,MAX(0,customer_churn_dataset!E992))</f>
        <v>3</v>
      </c>
      <c r="F992" s="8" t="n">
        <f aca="false">IF(ISBLANK(customer_churn_dataset!F992),"",customer_churn_dataset!F992)</f>
        <v>45117</v>
      </c>
      <c r="G992" s="7" t="str">
        <f aca="false">PROPER(TRIM(customer_churn_dataset!G992))</f>
        <v>Credit Card</v>
      </c>
      <c r="H992" s="7" t="n">
        <f aca="false">IF(ISBLANK(customer_churn_dataset!H992),0,customer_churn_dataset!H992)</f>
        <v>0</v>
      </c>
      <c r="I992" s="7" t="n">
        <f aca="false">IF(ISBLANK(customer_churn_dataset!I992),ROUND(MEDIAN(customer_churn_dataset!I$2:I$1501),1),MIN(100,MAX(0,customer_churn_dataset!I992)))</f>
        <v>75.6</v>
      </c>
      <c r="J992" s="7" t="n">
        <f aca="false">IF(ISBLANK(customer_churn_dataset!J992),0,MAX(0,customer_churn_dataset!J992))</f>
        <v>24</v>
      </c>
      <c r="K992" s="7" t="n">
        <f aca="false">IF(ISBLANK(customer_churn_dataset!K992),0,MIN(10,MAX(0,customer_churn_dataset!K992)))</f>
        <v>8</v>
      </c>
      <c r="L992" s="7" t="n">
        <f aca="false">IF(ISBLANK(customer_churn_dataset!L992),0,MAX(0,customer_churn_dataset!L992))</f>
        <v>1</v>
      </c>
      <c r="M992" s="7" t="n">
        <f aca="false">IF(ISBLANK(customer_churn_dataset!M992),0,customer_churn_dataset!M992)</f>
        <v>1</v>
      </c>
      <c r="N992" s="7" t="n">
        <f aca="false">IF(ISBLANK(customer_churn_dataset!N992),0,MAX(0,customer_churn_dataset!N992))</f>
        <v>31.29</v>
      </c>
      <c r="O992" s="7" t="n">
        <f aca="false">IF(ISBLANK(customer_churn_dataset!O992),0,customer_churn_dataset!O992)</f>
        <v>0</v>
      </c>
      <c r="P992" s="7" t="str">
        <f aca="false">IF(COUNTIF(customer_churn_dataset!$A$2:$A$1501,customer_churn_dataset!A992)&gt;1,"Duplicate","Unique")</f>
        <v>Unique</v>
      </c>
    </row>
    <row r="993" customFormat="false" ht="14.15" hidden="false" customHeight="true" outlineLevel="0" collapsed="false">
      <c r="A993" s="7" t="str">
        <f aca="false">TRIM(customer_churn_dataset!A993)</f>
        <v>CUST100059</v>
      </c>
      <c r="B993" s="7" t="str">
        <f aca="false">PROPER(TRIM(customer_churn_dataset!B993))</f>
        <v>Basic</v>
      </c>
      <c r="C993" s="7" t="str">
        <f aca="false">PROPER(TRIM(customer_churn_dataset!C993))</f>
        <v>One Year</v>
      </c>
      <c r="D993" s="7" t="n">
        <f aca="false">IF(ISBLANK(customer_churn_dataset!D993),ROUND(MEDIAN(customer_churn_dataset!D$2:D$1501),2),IF(customer_churn_dataset!D993&lt;0,ABS(customer_churn_dataset!D993),customer_churn_dataset!D993))</f>
        <v>12.14</v>
      </c>
      <c r="E993" s="7" t="n">
        <f aca="false">IF(ISBLANK(customer_churn_dataset!E993),0,MAX(0,customer_churn_dataset!E993))</f>
        <v>6</v>
      </c>
      <c r="F993" s="8" t="n">
        <f aca="false">IF(ISBLANK(customer_churn_dataset!F993),"",customer_churn_dataset!F993)</f>
        <v>45119</v>
      </c>
      <c r="G993" s="7" t="str">
        <f aca="false">PROPER(TRIM(customer_churn_dataset!G993))</f>
        <v>Credit Card</v>
      </c>
      <c r="H993" s="7" t="n">
        <f aca="false">IF(ISBLANK(customer_churn_dataset!H993),0,customer_churn_dataset!H993)</f>
        <v>1</v>
      </c>
      <c r="I993" s="7" t="n">
        <f aca="false">IF(ISBLANK(customer_churn_dataset!I993),ROUND(MEDIAN(customer_churn_dataset!I$2:I$1501),1),MIN(100,MAX(0,customer_churn_dataset!I993)))</f>
        <v>48.4</v>
      </c>
      <c r="J993" s="7" t="n">
        <f aca="false">IF(ISBLANK(customer_churn_dataset!J993),0,MAX(0,customer_churn_dataset!J993))</f>
        <v>9</v>
      </c>
      <c r="K993" s="7" t="n">
        <f aca="false">IF(ISBLANK(customer_churn_dataset!K993),0,MIN(10,MAX(0,customer_churn_dataset!K993)))</f>
        <v>4</v>
      </c>
      <c r="L993" s="7" t="n">
        <f aca="false">IF(ISBLANK(customer_churn_dataset!L993),0,MAX(0,customer_churn_dataset!L993))</f>
        <v>0</v>
      </c>
      <c r="M993" s="7" t="n">
        <f aca="false">IF(ISBLANK(customer_churn_dataset!M993),0,customer_churn_dataset!M993)</f>
        <v>0</v>
      </c>
      <c r="N993" s="7" t="n">
        <f aca="false">IF(ISBLANK(customer_churn_dataset!N993),0,MAX(0,customer_churn_dataset!N993))</f>
        <v>72.84</v>
      </c>
      <c r="O993" s="7" t="n">
        <f aca="false">IF(ISBLANK(customer_churn_dataset!O993),0,customer_churn_dataset!O993)</f>
        <v>0</v>
      </c>
      <c r="P993" s="7" t="str">
        <f aca="false">IF(COUNTIF(customer_churn_dataset!$A$2:$A$1501,customer_churn_dataset!A993)&gt;1,"Duplicate","Unique")</f>
        <v>Unique</v>
      </c>
    </row>
    <row r="994" customFormat="false" ht="14.15" hidden="false" customHeight="true" outlineLevel="0" collapsed="false">
      <c r="A994" s="7" t="str">
        <f aca="false">TRIM(customer_churn_dataset!A994)</f>
        <v>CUST100436</v>
      </c>
      <c r="B994" s="7" t="str">
        <f aca="false">PROPER(TRIM(customer_churn_dataset!B994))</f>
        <v>Basic</v>
      </c>
      <c r="C994" s="7" t="str">
        <f aca="false">PROPER(TRIM(customer_churn_dataset!C994))</f>
        <v>One Year</v>
      </c>
      <c r="D994" s="7" t="n">
        <f aca="false">IF(ISBLANK(customer_churn_dataset!D994),ROUND(MEDIAN(customer_churn_dataset!D$2:D$1501),2),IF(customer_churn_dataset!D994&lt;0,ABS(customer_churn_dataset!D994),customer_churn_dataset!D994))</f>
        <v>10.61</v>
      </c>
      <c r="E994" s="7" t="n">
        <f aca="false">IF(ISBLANK(customer_churn_dataset!E994),0,MAX(0,customer_churn_dataset!E994))</f>
        <v>31</v>
      </c>
      <c r="F994" s="8" t="n">
        <f aca="false">IF(ISBLANK(customer_churn_dataset!F994),"",customer_churn_dataset!F994)</f>
        <v>45122</v>
      </c>
      <c r="G994" s="7" t="str">
        <f aca="false">PROPER(TRIM(customer_churn_dataset!G994))</f>
        <v>Credit Card</v>
      </c>
      <c r="H994" s="7" t="n">
        <f aca="false">IF(ISBLANK(customer_churn_dataset!H994),0,customer_churn_dataset!H994)</f>
        <v>1</v>
      </c>
      <c r="I994" s="7" t="n">
        <f aca="false">IF(ISBLANK(customer_churn_dataset!I994),ROUND(MEDIAN(customer_churn_dataset!I$2:I$1501),1),MIN(100,MAX(0,customer_churn_dataset!I994)))</f>
        <v>62.6</v>
      </c>
      <c r="J994" s="7" t="n">
        <f aca="false">IF(ISBLANK(customer_churn_dataset!J994),0,MAX(0,customer_churn_dataset!J994))</f>
        <v>15</v>
      </c>
      <c r="K994" s="7" t="n">
        <f aca="false">IF(ISBLANK(customer_churn_dataset!K994),0,MIN(10,MAX(0,customer_churn_dataset!K994)))</f>
        <v>6</v>
      </c>
      <c r="L994" s="7" t="n">
        <f aca="false">IF(ISBLANK(customer_churn_dataset!L994),0,MAX(0,customer_churn_dataset!L994))</f>
        <v>3</v>
      </c>
      <c r="M994" s="7" t="n">
        <f aca="false">IF(ISBLANK(customer_churn_dataset!M994),0,customer_churn_dataset!M994)</f>
        <v>0</v>
      </c>
      <c r="N994" s="7" t="n">
        <f aca="false">IF(ISBLANK(customer_churn_dataset!N994),0,MAX(0,customer_churn_dataset!N994))</f>
        <v>328.91</v>
      </c>
      <c r="O994" s="7" t="n">
        <f aca="false">IF(ISBLANK(customer_churn_dataset!O994),0,customer_churn_dataset!O994)</f>
        <v>0</v>
      </c>
      <c r="P994" s="7" t="str">
        <f aca="false">IF(COUNTIF(customer_churn_dataset!$A$2:$A$1501,customer_churn_dataset!A994)&gt;1,"Duplicate","Unique")</f>
        <v>Unique</v>
      </c>
    </row>
    <row r="995" customFormat="false" ht="14.15" hidden="false" customHeight="true" outlineLevel="0" collapsed="false">
      <c r="A995" s="7" t="str">
        <f aca="false">TRIM(customer_churn_dataset!A995)</f>
        <v>CUST100749</v>
      </c>
      <c r="B995" s="7" t="str">
        <f aca="false">PROPER(TRIM(customer_churn_dataset!B995))</f>
        <v>Standard</v>
      </c>
      <c r="C995" s="7" t="str">
        <f aca="false">PROPER(TRIM(customer_churn_dataset!C995))</f>
        <v>Month-To-Month</v>
      </c>
      <c r="D995" s="7" t="n">
        <f aca="false">IF(ISBLANK(customer_churn_dataset!D995),ROUND(MEDIAN(customer_churn_dataset!D$2:D$1501),2),IF(customer_churn_dataset!D995&lt;0,ABS(customer_churn_dataset!D995),customer_churn_dataset!D995))</f>
        <v>20.13</v>
      </c>
      <c r="E995" s="7" t="n">
        <f aca="false">IF(ISBLANK(customer_churn_dataset!E995),0,MAX(0,customer_churn_dataset!E995))</f>
        <v>40</v>
      </c>
      <c r="F995" s="8" t="n">
        <f aca="false">IF(ISBLANK(customer_churn_dataset!F995),"",customer_churn_dataset!F995)</f>
        <v>45123</v>
      </c>
      <c r="G995" s="7" t="str">
        <f aca="false">PROPER(TRIM(customer_churn_dataset!G995))</f>
        <v>Manual/Invoice</v>
      </c>
      <c r="H995" s="7" t="n">
        <f aca="false">IF(ISBLANK(customer_churn_dataset!H995),0,customer_churn_dataset!H995)</f>
        <v>1</v>
      </c>
      <c r="I995" s="7" t="n">
        <f aca="false">IF(ISBLANK(customer_churn_dataset!I995),ROUND(MEDIAN(customer_churn_dataset!I$2:I$1501),1),MIN(100,MAX(0,customer_churn_dataset!I995)))</f>
        <v>69.1</v>
      </c>
      <c r="J995" s="7" t="n">
        <f aca="false">IF(ISBLANK(customer_churn_dataset!J995),0,MAX(0,customer_churn_dataset!J995))</f>
        <v>22</v>
      </c>
      <c r="K995" s="7" t="n">
        <f aca="false">IF(ISBLANK(customer_churn_dataset!K995),0,MIN(10,MAX(0,customer_churn_dataset!K995)))</f>
        <v>9</v>
      </c>
      <c r="L995" s="7" t="n">
        <f aca="false">IF(ISBLANK(customer_churn_dataset!L995),0,MAX(0,customer_churn_dataset!L995))</f>
        <v>1</v>
      </c>
      <c r="M995" s="7" t="n">
        <f aca="false">IF(ISBLANK(customer_churn_dataset!M995),0,customer_churn_dataset!M995)</f>
        <v>0</v>
      </c>
      <c r="N995" s="7" t="n">
        <f aca="false">IF(ISBLANK(customer_churn_dataset!N995),0,MAX(0,customer_churn_dataset!N995))</f>
        <v>805.2</v>
      </c>
      <c r="O995" s="7" t="n">
        <f aca="false">IF(ISBLANK(customer_churn_dataset!O995),0,customer_churn_dataset!O995)</f>
        <v>0</v>
      </c>
      <c r="P995" s="7" t="str">
        <f aca="false">IF(COUNTIF(customer_churn_dataset!$A$2:$A$1501,customer_churn_dataset!A995)&gt;1,"Duplicate","Unique")</f>
        <v>Unique</v>
      </c>
    </row>
    <row r="996" customFormat="false" ht="14.15" hidden="false" customHeight="true" outlineLevel="0" collapsed="false">
      <c r="A996" s="7" t="str">
        <f aca="false">TRIM(customer_churn_dataset!A996)</f>
        <v>CUST100513</v>
      </c>
      <c r="B996" s="7" t="str">
        <f aca="false">PROPER(TRIM(customer_churn_dataset!B996))</f>
        <v>Premium</v>
      </c>
      <c r="C996" s="7" t="str">
        <f aca="false">PROPER(TRIM(customer_churn_dataset!C996))</f>
        <v>Month-To-Month</v>
      </c>
      <c r="D996" s="7" t="n">
        <f aca="false">IF(ISBLANK(customer_churn_dataset!D996),ROUND(MEDIAN(customer_churn_dataset!D$2:D$1501),2),IF(customer_churn_dataset!D996&lt;0,ABS(customer_churn_dataset!D996),customer_churn_dataset!D996))</f>
        <v>39.07</v>
      </c>
      <c r="E996" s="7" t="n">
        <f aca="false">IF(ISBLANK(customer_churn_dataset!E996),0,MAX(0,customer_churn_dataset!E996))</f>
        <v>5</v>
      </c>
      <c r="F996" s="8" t="n">
        <f aca="false">IF(ISBLANK(customer_churn_dataset!F996),"",customer_churn_dataset!F996)</f>
        <v>45123</v>
      </c>
      <c r="G996" s="7" t="str">
        <f aca="false">PROPER(TRIM(customer_churn_dataset!G996))</f>
        <v>Credit Card</v>
      </c>
      <c r="H996" s="7" t="n">
        <f aca="false">IF(ISBLANK(customer_churn_dataset!H996),0,customer_churn_dataset!H996)</f>
        <v>1</v>
      </c>
      <c r="I996" s="7" t="n">
        <f aca="false">IF(ISBLANK(customer_churn_dataset!I996),ROUND(MEDIAN(customer_churn_dataset!I$2:I$1501),1),MIN(100,MAX(0,customer_churn_dataset!I996)))</f>
        <v>60.7</v>
      </c>
      <c r="J996" s="7" t="n">
        <f aca="false">IF(ISBLANK(customer_churn_dataset!J996),0,MAX(0,customer_churn_dataset!J996))</f>
        <v>14</v>
      </c>
      <c r="K996" s="7" t="n">
        <f aca="false">IF(ISBLANK(customer_churn_dataset!K996),0,MIN(10,MAX(0,customer_churn_dataset!K996)))</f>
        <v>6</v>
      </c>
      <c r="L996" s="7" t="n">
        <f aca="false">IF(ISBLANK(customer_churn_dataset!L996),0,MAX(0,customer_churn_dataset!L996))</f>
        <v>1</v>
      </c>
      <c r="M996" s="7" t="n">
        <f aca="false">IF(ISBLANK(customer_churn_dataset!M996),0,customer_churn_dataset!M996)</f>
        <v>0</v>
      </c>
      <c r="N996" s="7" t="n">
        <f aca="false">IF(ISBLANK(customer_churn_dataset!N996),0,MAX(0,customer_churn_dataset!N996))</f>
        <v>195.35</v>
      </c>
      <c r="O996" s="7" t="n">
        <f aca="false">IF(ISBLANK(customer_churn_dataset!O996),0,customer_churn_dataset!O996)</f>
        <v>0</v>
      </c>
      <c r="P996" s="7" t="str">
        <f aca="false">IF(COUNTIF(customer_churn_dataset!$A$2:$A$1501,customer_churn_dataset!A996)&gt;1,"Duplicate","Unique")</f>
        <v>Unique</v>
      </c>
    </row>
    <row r="997" customFormat="false" ht="14.15" hidden="false" customHeight="true" outlineLevel="0" collapsed="false">
      <c r="A997" s="7" t="str">
        <f aca="false">TRIM(customer_churn_dataset!A997)</f>
        <v>CUST101413</v>
      </c>
      <c r="B997" s="7" t="str">
        <f aca="false">PROPER(TRIM(customer_churn_dataset!B997))</f>
        <v>Basic</v>
      </c>
      <c r="C997" s="7" t="str">
        <f aca="false">PROPER(TRIM(customer_churn_dataset!C997))</f>
        <v>Month-To-Month</v>
      </c>
      <c r="D997" s="7" t="n">
        <f aca="false">IF(ISBLANK(customer_churn_dataset!D997),ROUND(MEDIAN(customer_churn_dataset!D$2:D$1501),2),IF(customer_churn_dataset!D997&lt;0,ABS(customer_churn_dataset!D997),customer_churn_dataset!D997))</f>
        <v>9.94</v>
      </c>
      <c r="E997" s="7" t="n">
        <f aca="false">IF(ISBLANK(customer_churn_dataset!E997),0,MAX(0,customer_churn_dataset!E997))</f>
        <v>4</v>
      </c>
      <c r="F997" s="8" t="n">
        <f aca="false">IF(ISBLANK(customer_churn_dataset!F997),"",customer_churn_dataset!F997)</f>
        <v>45125</v>
      </c>
      <c r="G997" s="7" t="str">
        <f aca="false">PROPER(TRIM(customer_churn_dataset!G997))</f>
        <v>Paypal</v>
      </c>
      <c r="H997" s="7" t="n">
        <f aca="false">IF(ISBLANK(customer_churn_dataset!H997),0,customer_churn_dataset!H997)</f>
        <v>1</v>
      </c>
      <c r="I997" s="7" t="n">
        <f aca="false">IF(ISBLANK(customer_churn_dataset!I997),ROUND(MEDIAN(customer_churn_dataset!I$2:I$1501),1),MIN(100,MAX(0,customer_churn_dataset!I997)))</f>
        <v>47.2</v>
      </c>
      <c r="J997" s="7" t="n">
        <f aca="false">IF(ISBLANK(customer_churn_dataset!J997),0,MAX(0,customer_churn_dataset!J997))</f>
        <v>13</v>
      </c>
      <c r="K997" s="7" t="n">
        <f aca="false">IF(ISBLANK(customer_churn_dataset!K997),0,MIN(10,MAX(0,customer_churn_dataset!K997)))</f>
        <v>4</v>
      </c>
      <c r="L997" s="7" t="n">
        <f aca="false">IF(ISBLANK(customer_churn_dataset!L997),0,MAX(0,customer_churn_dataset!L997))</f>
        <v>1</v>
      </c>
      <c r="M997" s="7" t="n">
        <f aca="false">IF(ISBLANK(customer_churn_dataset!M997),0,customer_churn_dataset!M997)</f>
        <v>0</v>
      </c>
      <c r="N997" s="7" t="n">
        <f aca="false">IF(ISBLANK(customer_churn_dataset!N997),0,MAX(0,customer_churn_dataset!N997))</f>
        <v>39.76</v>
      </c>
      <c r="O997" s="7" t="n">
        <f aca="false">IF(ISBLANK(customer_churn_dataset!O997),0,customer_churn_dataset!O997)</f>
        <v>0</v>
      </c>
      <c r="P997" s="7" t="str">
        <f aca="false">IF(COUNTIF(customer_churn_dataset!$A$2:$A$1501,customer_churn_dataset!A997)&gt;1,"Duplicate","Unique")</f>
        <v>Unique</v>
      </c>
    </row>
    <row r="998" customFormat="false" ht="14.15" hidden="false" customHeight="true" outlineLevel="0" collapsed="false">
      <c r="A998" s="7" t="str">
        <f aca="false">TRIM(customer_churn_dataset!A998)</f>
        <v>CUST100894</v>
      </c>
      <c r="B998" s="7" t="str">
        <f aca="false">PROPER(TRIM(customer_churn_dataset!B998))</f>
        <v>Standard</v>
      </c>
      <c r="C998" s="7" t="str">
        <f aca="false">PROPER(TRIM(customer_churn_dataset!C998))</f>
        <v>Month-To-Month</v>
      </c>
      <c r="D998" s="7" t="n">
        <f aca="false">IF(ISBLANK(customer_churn_dataset!D998),ROUND(MEDIAN(customer_churn_dataset!D$2:D$1501),2),IF(customer_churn_dataset!D998&lt;0,ABS(customer_churn_dataset!D998),customer_churn_dataset!D998))</f>
        <v>18.64</v>
      </c>
      <c r="E998" s="7" t="n">
        <f aca="false">IF(ISBLANK(customer_churn_dataset!E998),0,MAX(0,customer_churn_dataset!E998))</f>
        <v>31</v>
      </c>
      <c r="F998" s="8" t="n">
        <f aca="false">IF(ISBLANK(customer_churn_dataset!F998),"",customer_churn_dataset!F998)</f>
        <v>45126</v>
      </c>
      <c r="G998" s="7" t="str">
        <f aca="false">PROPER(TRIM(customer_churn_dataset!G998))</f>
        <v>Credit Card</v>
      </c>
      <c r="H998" s="7" t="n">
        <f aca="false">IF(ISBLANK(customer_churn_dataset!H998),0,customer_churn_dataset!H998)</f>
        <v>1</v>
      </c>
      <c r="I998" s="7" t="n">
        <f aca="false">IF(ISBLANK(customer_churn_dataset!I998),ROUND(MEDIAN(customer_churn_dataset!I$2:I$1501),1),MIN(100,MAX(0,customer_churn_dataset!I998)))</f>
        <v>68.5</v>
      </c>
      <c r="J998" s="7" t="n">
        <f aca="false">IF(ISBLANK(customer_churn_dataset!J998),0,MAX(0,customer_churn_dataset!J998))</f>
        <v>20</v>
      </c>
      <c r="K998" s="7" t="n">
        <f aca="false">IF(ISBLANK(customer_churn_dataset!K998),0,MIN(10,MAX(0,customer_churn_dataset!K998)))</f>
        <v>7</v>
      </c>
      <c r="L998" s="7" t="n">
        <f aca="false">IF(ISBLANK(customer_churn_dataset!L998),0,MAX(0,customer_churn_dataset!L998))</f>
        <v>1</v>
      </c>
      <c r="M998" s="7" t="n">
        <f aca="false">IF(ISBLANK(customer_churn_dataset!M998),0,customer_churn_dataset!M998)</f>
        <v>1</v>
      </c>
      <c r="N998" s="7" t="n">
        <f aca="false">IF(ISBLANK(customer_churn_dataset!N998),0,MAX(0,customer_churn_dataset!N998))</f>
        <v>577.84</v>
      </c>
      <c r="O998" s="7" t="n">
        <f aca="false">IF(ISBLANK(customer_churn_dataset!O998),0,customer_churn_dataset!O998)</f>
        <v>0</v>
      </c>
      <c r="P998" s="7" t="str">
        <f aca="false">IF(COUNTIF(customer_churn_dataset!$A$2:$A$1501,customer_churn_dataset!A998)&gt;1,"Duplicate","Unique")</f>
        <v>Unique</v>
      </c>
    </row>
    <row r="999" customFormat="false" ht="14.15" hidden="false" customHeight="true" outlineLevel="0" collapsed="false">
      <c r="A999" s="7" t="str">
        <f aca="false">TRIM(customer_churn_dataset!A999)</f>
        <v>CUST101470</v>
      </c>
      <c r="B999" s="7" t="str">
        <f aca="false">PROPER(TRIM(customer_churn_dataset!B999))</f>
        <v>Standard</v>
      </c>
      <c r="C999" s="7" t="str">
        <f aca="false">PROPER(TRIM(customer_churn_dataset!C999))</f>
        <v>Month-To-Month</v>
      </c>
      <c r="D999" s="7" t="n">
        <f aca="false">IF(ISBLANK(customer_churn_dataset!D999),ROUND(MEDIAN(customer_churn_dataset!D$2:D$1501),2),IF(customer_churn_dataset!D999&lt;0,ABS(customer_churn_dataset!D999),customer_churn_dataset!D999))</f>
        <v>20.29</v>
      </c>
      <c r="E999" s="7" t="n">
        <f aca="false">IF(ISBLANK(customer_churn_dataset!E999),0,MAX(0,customer_churn_dataset!E999))</f>
        <v>4</v>
      </c>
      <c r="F999" s="8" t="n">
        <f aca="false">IF(ISBLANK(customer_churn_dataset!F999),"",customer_churn_dataset!F999)</f>
        <v>45127</v>
      </c>
      <c r="G999" s="7" t="str">
        <f aca="false">PROPER(TRIM(customer_churn_dataset!G999))</f>
        <v>Paypal</v>
      </c>
      <c r="H999" s="7" t="n">
        <f aca="false">IF(ISBLANK(customer_churn_dataset!H999),0,customer_churn_dataset!H999)</f>
        <v>1</v>
      </c>
      <c r="I999" s="7" t="n">
        <f aca="false">IF(ISBLANK(customer_churn_dataset!I999),ROUND(MEDIAN(customer_churn_dataset!I$2:I$1501),1),MIN(100,MAX(0,customer_churn_dataset!I999)))</f>
        <v>70</v>
      </c>
      <c r="J999" s="7" t="n">
        <f aca="false">IF(ISBLANK(customer_churn_dataset!J999),0,MAX(0,customer_churn_dataset!J999))</f>
        <v>17</v>
      </c>
      <c r="K999" s="7" t="n">
        <f aca="false">IF(ISBLANK(customer_churn_dataset!K999),0,MIN(10,MAX(0,customer_churn_dataset!K999)))</f>
        <v>8</v>
      </c>
      <c r="L999" s="7" t="n">
        <f aca="false">IF(ISBLANK(customer_churn_dataset!L999),0,MAX(0,customer_churn_dataset!L999))</f>
        <v>0</v>
      </c>
      <c r="M999" s="7" t="n">
        <f aca="false">IF(ISBLANK(customer_churn_dataset!M999),0,customer_churn_dataset!M999)</f>
        <v>0</v>
      </c>
      <c r="N999" s="7" t="n">
        <f aca="false">IF(ISBLANK(customer_churn_dataset!N999),0,MAX(0,customer_churn_dataset!N999))</f>
        <v>81.16</v>
      </c>
      <c r="O999" s="7" t="n">
        <f aca="false">IF(ISBLANK(customer_churn_dataset!O999),0,customer_churn_dataset!O999)</f>
        <v>0</v>
      </c>
      <c r="P999" s="7" t="str">
        <f aca="false">IF(COUNTIF(customer_churn_dataset!$A$2:$A$1501,customer_churn_dataset!A999)&gt;1,"Duplicate","Unique")</f>
        <v>Unique</v>
      </c>
    </row>
    <row r="1000" customFormat="false" ht="14.15" hidden="false" customHeight="true" outlineLevel="0" collapsed="false">
      <c r="A1000" s="7" t="str">
        <f aca="false">TRIM(customer_churn_dataset!A1000)</f>
        <v>CUST100386</v>
      </c>
      <c r="B1000" s="7" t="str">
        <f aca="false">PROPER(TRIM(customer_churn_dataset!B1000))</f>
        <v>Basic</v>
      </c>
      <c r="C1000" s="7" t="str">
        <f aca="false">PROPER(TRIM(customer_churn_dataset!C1000))</f>
        <v>Month-To-Month</v>
      </c>
      <c r="D1000" s="7" t="n">
        <f aca="false">IF(ISBLANK(customer_churn_dataset!D1000),ROUND(MEDIAN(customer_churn_dataset!D$2:D$1501),2),IF(customer_churn_dataset!D1000&lt;0,ABS(customer_churn_dataset!D1000),customer_churn_dataset!D1000))</f>
        <v>8.99</v>
      </c>
      <c r="E1000" s="7" t="n">
        <f aca="false">IF(ISBLANK(customer_churn_dataset!E1000),0,MAX(0,customer_churn_dataset!E1000))</f>
        <v>26</v>
      </c>
      <c r="F1000" s="8" t="n">
        <f aca="false">IF(ISBLANK(customer_churn_dataset!F1000),"",customer_churn_dataset!F1000)</f>
        <v>45128</v>
      </c>
      <c r="G1000" s="7" t="str">
        <f aca="false">PROPER(TRIM(customer_churn_dataset!G1000))</f>
        <v>Credit Card</v>
      </c>
      <c r="H1000" s="7" t="n">
        <f aca="false">IF(ISBLANK(customer_churn_dataset!H1000),0,customer_churn_dataset!H1000)</f>
        <v>1</v>
      </c>
      <c r="I1000" s="7" t="n">
        <f aca="false">IF(ISBLANK(customer_churn_dataset!I1000),ROUND(MEDIAN(customer_churn_dataset!I$2:I$1501),1),MIN(100,MAX(0,customer_churn_dataset!I1000)))</f>
        <v>83.6</v>
      </c>
      <c r="J1000" s="7" t="n">
        <f aca="false">IF(ISBLANK(customer_churn_dataset!J1000),0,MAX(0,customer_churn_dataset!J1000))</f>
        <v>17</v>
      </c>
      <c r="K1000" s="7" t="n">
        <f aca="false">IF(ISBLANK(customer_churn_dataset!K1000),0,MIN(10,MAX(0,customer_churn_dataset!K1000)))</f>
        <v>9</v>
      </c>
      <c r="L1000" s="7" t="n">
        <f aca="false">IF(ISBLANK(customer_churn_dataset!L1000),0,MAX(0,customer_churn_dataset!L1000))</f>
        <v>2</v>
      </c>
      <c r="M1000" s="7" t="n">
        <f aca="false">IF(ISBLANK(customer_churn_dataset!M1000),0,customer_churn_dataset!M1000)</f>
        <v>1</v>
      </c>
      <c r="N1000" s="7" t="n">
        <f aca="false">IF(ISBLANK(customer_churn_dataset!N1000),0,MAX(0,customer_churn_dataset!N1000))</f>
        <v>233.74</v>
      </c>
      <c r="O1000" s="7" t="n">
        <f aca="false">IF(ISBLANK(customer_churn_dataset!O1000),0,customer_churn_dataset!O1000)</f>
        <v>0</v>
      </c>
      <c r="P1000" s="7" t="str">
        <f aca="false">IF(COUNTIF(customer_churn_dataset!$A$2:$A$1501,customer_churn_dataset!A1000)&gt;1,"Duplicate","Unique")</f>
        <v>Unique</v>
      </c>
    </row>
    <row r="1001" customFormat="false" ht="14.15" hidden="false" customHeight="true" outlineLevel="0" collapsed="false">
      <c r="A1001" s="7" t="str">
        <f aca="false">TRIM(customer_churn_dataset!A1001)</f>
        <v>CUST100530</v>
      </c>
      <c r="B1001" s="7" t="str">
        <f aca="false">PROPER(TRIM(customer_churn_dataset!B1001))</f>
        <v>Premium</v>
      </c>
      <c r="C1001" s="7" t="str">
        <f aca="false">PROPER(TRIM(customer_churn_dataset!C1001))</f>
        <v>Month-To-Month</v>
      </c>
      <c r="D1001" s="7" t="n">
        <f aca="false">IF(ISBLANK(customer_churn_dataset!D1001),ROUND(MEDIAN(customer_churn_dataset!D$2:D$1501),2),IF(customer_churn_dataset!D1001&lt;0,ABS(customer_churn_dataset!D1001),customer_churn_dataset!D1001))</f>
        <v>40.58</v>
      </c>
      <c r="E1001" s="7" t="n">
        <f aca="false">IF(ISBLANK(customer_churn_dataset!E1001),0,MAX(0,customer_churn_dataset!E1001))</f>
        <v>2</v>
      </c>
      <c r="F1001" s="8" t="n">
        <f aca="false">IF(ISBLANK(customer_churn_dataset!F1001),"",customer_churn_dataset!F1001)</f>
        <v>45128</v>
      </c>
      <c r="G1001" s="7" t="str">
        <f aca="false">PROPER(TRIM(customer_churn_dataset!G1001))</f>
        <v>Bank Transfer</v>
      </c>
      <c r="H1001" s="7" t="n">
        <f aca="false">IF(ISBLANK(customer_churn_dataset!H1001),0,customer_churn_dataset!H1001)</f>
        <v>1</v>
      </c>
      <c r="I1001" s="7" t="n">
        <f aca="false">IF(ISBLANK(customer_churn_dataset!I1001),ROUND(MEDIAN(customer_churn_dataset!I$2:I$1501),1),MIN(100,MAX(0,customer_churn_dataset!I1001)))</f>
        <v>88.6</v>
      </c>
      <c r="J1001" s="7" t="n">
        <f aca="false">IF(ISBLANK(customer_churn_dataset!J1001),0,MAX(0,customer_churn_dataset!J1001))</f>
        <v>27</v>
      </c>
      <c r="K1001" s="7" t="n">
        <f aca="false">IF(ISBLANK(customer_churn_dataset!K1001),0,MIN(10,MAX(0,customer_churn_dataset!K1001)))</f>
        <v>7</v>
      </c>
      <c r="L1001" s="7" t="n">
        <f aca="false">IF(ISBLANK(customer_churn_dataset!L1001),0,MAX(0,customer_churn_dataset!L1001))</f>
        <v>0</v>
      </c>
      <c r="M1001" s="7" t="n">
        <f aca="false">IF(ISBLANK(customer_churn_dataset!M1001),0,customer_churn_dataset!M1001)</f>
        <v>0</v>
      </c>
      <c r="N1001" s="7" t="n">
        <f aca="false">IF(ISBLANK(customer_churn_dataset!N1001),0,MAX(0,customer_churn_dataset!N1001))</f>
        <v>81.16</v>
      </c>
      <c r="O1001" s="7" t="n">
        <f aca="false">IF(ISBLANK(customer_churn_dataset!O1001),0,customer_churn_dataset!O1001)</f>
        <v>0</v>
      </c>
      <c r="P1001" s="7" t="str">
        <f aca="false">IF(COUNTIF(customer_churn_dataset!$A$2:$A$1501,customer_churn_dataset!A1001)&gt;1,"Duplicate","Unique")</f>
        <v>Unique</v>
      </c>
    </row>
    <row r="1002" customFormat="false" ht="14.15" hidden="false" customHeight="true" outlineLevel="0" collapsed="false">
      <c r="A1002" s="7" t="str">
        <f aca="false">TRIM(customer_churn_dataset!A1002)</f>
        <v>CUST100807</v>
      </c>
      <c r="B1002" s="7" t="str">
        <f aca="false">PROPER(TRIM(customer_churn_dataset!B1002))</f>
        <v>Premium</v>
      </c>
      <c r="C1002" s="7" t="str">
        <f aca="false">PROPER(TRIM(customer_churn_dataset!C1002))</f>
        <v>Month-To-Month</v>
      </c>
      <c r="D1002" s="7" t="n">
        <f aca="false">IF(ISBLANK(customer_churn_dataset!D1002),ROUND(MEDIAN(customer_churn_dataset!D$2:D$1501),2),IF(customer_churn_dataset!D1002&lt;0,ABS(customer_churn_dataset!D1002),customer_churn_dataset!D1002))</f>
        <v>39.84</v>
      </c>
      <c r="E1002" s="7" t="n">
        <f aca="false">IF(ISBLANK(customer_churn_dataset!E1002),0,MAX(0,customer_churn_dataset!E1002))</f>
        <v>8</v>
      </c>
      <c r="F1002" s="8" t="n">
        <f aca="false">IF(ISBLANK(customer_churn_dataset!F1002),"",customer_churn_dataset!F1002)</f>
        <v>45129</v>
      </c>
      <c r="G1002" s="7" t="str">
        <f aca="false">PROPER(TRIM(customer_churn_dataset!G1002))</f>
        <v>Bank Transfer</v>
      </c>
      <c r="H1002" s="7" t="n">
        <f aca="false">IF(ISBLANK(customer_churn_dataset!H1002),0,customer_churn_dataset!H1002)</f>
        <v>0</v>
      </c>
      <c r="I1002" s="7" t="n">
        <f aca="false">IF(ISBLANK(customer_churn_dataset!I1002),ROUND(MEDIAN(customer_churn_dataset!I$2:I$1501),1),MIN(100,MAX(0,customer_churn_dataset!I1002)))</f>
        <v>82.1</v>
      </c>
      <c r="J1002" s="7" t="n">
        <f aca="false">IF(ISBLANK(customer_churn_dataset!J1002),0,MAX(0,customer_churn_dataset!J1002))</f>
        <v>21</v>
      </c>
      <c r="K1002" s="7" t="n">
        <f aca="false">IF(ISBLANK(customer_churn_dataset!K1002),0,MIN(10,MAX(0,customer_churn_dataset!K1002)))</f>
        <v>7</v>
      </c>
      <c r="L1002" s="7" t="n">
        <f aca="false">IF(ISBLANK(customer_churn_dataset!L1002),0,MAX(0,customer_churn_dataset!L1002))</f>
        <v>0</v>
      </c>
      <c r="M1002" s="7" t="n">
        <f aca="false">IF(ISBLANK(customer_churn_dataset!M1002),0,customer_churn_dataset!M1002)</f>
        <v>0</v>
      </c>
      <c r="N1002" s="7" t="n">
        <f aca="false">IF(ISBLANK(customer_churn_dataset!N1002),0,MAX(0,customer_churn_dataset!N1002))</f>
        <v>318.72</v>
      </c>
      <c r="O1002" s="7" t="n">
        <f aca="false">IF(ISBLANK(customer_churn_dataset!O1002),0,customer_churn_dataset!O1002)</f>
        <v>1</v>
      </c>
      <c r="P1002" s="7" t="str">
        <f aca="false">IF(COUNTIF(customer_churn_dataset!$A$2:$A$1501,customer_churn_dataset!A1002)&gt;1,"Duplicate","Unique")</f>
        <v>Unique</v>
      </c>
    </row>
    <row r="1003" customFormat="false" ht="14.15" hidden="false" customHeight="true" outlineLevel="0" collapsed="false">
      <c r="A1003" s="7" t="str">
        <f aca="false">TRIM(customer_churn_dataset!A1003)</f>
        <v>CUST100259</v>
      </c>
      <c r="B1003" s="7" t="str">
        <f aca="false">PROPER(TRIM(customer_churn_dataset!B1003))</f>
        <v>Basic</v>
      </c>
      <c r="C1003" s="7" t="str">
        <f aca="false">PROPER(TRIM(customer_churn_dataset!C1003))</f>
        <v>Month-To-Month</v>
      </c>
      <c r="D1003" s="7" t="n">
        <f aca="false">IF(ISBLANK(customer_churn_dataset!D1003),ROUND(MEDIAN(customer_churn_dataset!D$2:D$1501),2),IF(customer_churn_dataset!D1003&lt;0,ABS(customer_churn_dataset!D1003),customer_churn_dataset!D1003))</f>
        <v>10.5</v>
      </c>
      <c r="E1003" s="7" t="n">
        <f aca="false">IF(ISBLANK(customer_churn_dataset!E1003),0,MAX(0,customer_churn_dataset!E1003))</f>
        <v>20</v>
      </c>
      <c r="F1003" s="8" t="n">
        <f aca="false">IF(ISBLANK(customer_churn_dataset!F1003),"",customer_churn_dataset!F1003)</f>
        <v>45133</v>
      </c>
      <c r="G1003" s="7" t="str">
        <f aca="false">PROPER(TRIM(customer_churn_dataset!G1003))</f>
        <v>Credit Card</v>
      </c>
      <c r="H1003" s="7" t="n">
        <f aca="false">IF(ISBLANK(customer_churn_dataset!H1003),0,customer_churn_dataset!H1003)</f>
        <v>1</v>
      </c>
      <c r="I1003" s="7" t="n">
        <f aca="false">IF(ISBLANK(customer_churn_dataset!I1003),ROUND(MEDIAN(customer_churn_dataset!I$2:I$1501),1),MIN(100,MAX(0,customer_churn_dataset!I1003)))</f>
        <v>57.5</v>
      </c>
      <c r="J1003" s="7" t="n">
        <f aca="false">IF(ISBLANK(customer_churn_dataset!J1003),0,MAX(0,customer_churn_dataset!J1003))</f>
        <v>16</v>
      </c>
      <c r="K1003" s="7" t="n">
        <f aca="false">IF(ISBLANK(customer_churn_dataset!K1003),0,MIN(10,MAX(0,customer_churn_dataset!K1003)))</f>
        <v>5</v>
      </c>
      <c r="L1003" s="7" t="n">
        <f aca="false">IF(ISBLANK(customer_churn_dataset!L1003),0,MAX(0,customer_churn_dataset!L1003))</f>
        <v>2</v>
      </c>
      <c r="M1003" s="7" t="n">
        <f aca="false">IF(ISBLANK(customer_churn_dataset!M1003),0,customer_churn_dataset!M1003)</f>
        <v>0</v>
      </c>
      <c r="N1003" s="7" t="n">
        <f aca="false">IF(ISBLANK(customer_churn_dataset!N1003),0,MAX(0,customer_churn_dataset!N1003))</f>
        <v>210</v>
      </c>
      <c r="O1003" s="7" t="n">
        <f aca="false">IF(ISBLANK(customer_churn_dataset!O1003),0,customer_churn_dataset!O1003)</f>
        <v>1</v>
      </c>
      <c r="P1003" s="7" t="str">
        <f aca="false">IF(COUNTIF(customer_churn_dataset!$A$2:$A$1501,customer_churn_dataset!A1003)&gt;1,"Duplicate","Unique")</f>
        <v>Unique</v>
      </c>
    </row>
    <row r="1004" customFormat="false" ht="14.15" hidden="false" customHeight="true" outlineLevel="0" collapsed="false">
      <c r="A1004" s="7" t="str">
        <f aca="false">TRIM(customer_churn_dataset!A1004)</f>
        <v>CUST101088</v>
      </c>
      <c r="B1004" s="7" t="str">
        <f aca="false">PROPER(TRIM(customer_churn_dataset!B1004))</f>
        <v>Premium</v>
      </c>
      <c r="C1004" s="7" t="str">
        <f aca="false">PROPER(TRIM(customer_churn_dataset!C1004))</f>
        <v>Two Year</v>
      </c>
      <c r="D1004" s="7" t="n">
        <f aca="false">IF(ISBLANK(customer_churn_dataset!D1004),ROUND(MEDIAN(customer_churn_dataset!D$2:D$1501),2),IF(customer_churn_dataset!D1004&lt;0,ABS(customer_churn_dataset!D1004),customer_churn_dataset!D1004))</f>
        <v>39.8</v>
      </c>
      <c r="E1004" s="7" t="n">
        <f aca="false">IF(ISBLANK(customer_churn_dataset!E1004),0,MAX(0,customer_churn_dataset!E1004))</f>
        <v>1</v>
      </c>
      <c r="F1004" s="8" t="n">
        <f aca="false">IF(ISBLANK(customer_churn_dataset!F1004),"",customer_churn_dataset!F1004)</f>
        <v>45133</v>
      </c>
      <c r="G1004" s="7" t="str">
        <f aca="false">PROPER(TRIM(customer_churn_dataset!G1004))</f>
        <v>Bank Transfer</v>
      </c>
      <c r="H1004" s="7" t="n">
        <f aca="false">IF(ISBLANK(customer_churn_dataset!H1004),0,customer_churn_dataset!H1004)</f>
        <v>0</v>
      </c>
      <c r="I1004" s="7" t="n">
        <f aca="false">IF(ISBLANK(customer_churn_dataset!I1004),ROUND(MEDIAN(customer_churn_dataset!I$2:I$1501),1),MIN(100,MAX(0,customer_churn_dataset!I1004)))</f>
        <v>72.3</v>
      </c>
      <c r="J1004" s="7" t="n">
        <f aca="false">IF(ISBLANK(customer_churn_dataset!J1004),0,MAX(0,customer_churn_dataset!J1004))</f>
        <v>24</v>
      </c>
      <c r="K1004" s="7" t="n">
        <f aca="false">IF(ISBLANK(customer_churn_dataset!K1004),0,MIN(10,MAX(0,customer_churn_dataset!K1004)))</f>
        <v>6</v>
      </c>
      <c r="L1004" s="7" t="n">
        <f aca="false">IF(ISBLANK(customer_churn_dataset!L1004),0,MAX(0,customer_churn_dataset!L1004))</f>
        <v>2</v>
      </c>
      <c r="M1004" s="7" t="n">
        <f aca="false">IF(ISBLANK(customer_churn_dataset!M1004),0,customer_churn_dataset!M1004)</f>
        <v>0</v>
      </c>
      <c r="N1004" s="7" t="n">
        <f aca="false">IF(ISBLANK(customer_churn_dataset!N1004),0,MAX(0,customer_churn_dataset!N1004))</f>
        <v>39.8</v>
      </c>
      <c r="O1004" s="7" t="n">
        <f aca="false">IF(ISBLANK(customer_churn_dataset!O1004),0,customer_churn_dataset!O1004)</f>
        <v>0</v>
      </c>
      <c r="P1004" s="7" t="str">
        <f aca="false">IF(COUNTIF(customer_churn_dataset!$A$2:$A$1501,customer_churn_dataset!A1004)&gt;1,"Duplicate","Unique")</f>
        <v>Unique</v>
      </c>
    </row>
    <row r="1005" customFormat="false" ht="14.15" hidden="false" customHeight="true" outlineLevel="0" collapsed="false">
      <c r="A1005" s="7" t="str">
        <f aca="false">TRIM(customer_churn_dataset!A1005)</f>
        <v>CUST100708</v>
      </c>
      <c r="B1005" s="7" t="str">
        <f aca="false">PROPER(TRIM(customer_churn_dataset!B1005))</f>
        <v>Basic</v>
      </c>
      <c r="C1005" s="7" t="str">
        <f aca="false">PROPER(TRIM(customer_churn_dataset!C1005))</f>
        <v>One Year</v>
      </c>
      <c r="D1005" s="7" t="n">
        <f aca="false">IF(ISBLANK(customer_churn_dataset!D1005),ROUND(MEDIAN(customer_churn_dataset!D$2:D$1501),2),IF(customer_churn_dataset!D1005&lt;0,ABS(customer_churn_dataset!D1005),customer_churn_dataset!D1005))</f>
        <v>8.9</v>
      </c>
      <c r="E1005" s="7" t="n">
        <f aca="false">IF(ISBLANK(customer_churn_dataset!E1005),0,MAX(0,customer_churn_dataset!E1005))</f>
        <v>22</v>
      </c>
      <c r="F1005" s="8" t="n">
        <f aca="false">IF(ISBLANK(customer_churn_dataset!F1005),"",customer_churn_dataset!F1005)</f>
        <v>45136</v>
      </c>
      <c r="G1005" s="7" t="str">
        <f aca="false">PROPER(TRIM(customer_churn_dataset!G1005))</f>
        <v>Paypal</v>
      </c>
      <c r="H1005" s="7" t="n">
        <f aca="false">IF(ISBLANK(customer_churn_dataset!H1005),0,customer_churn_dataset!H1005)</f>
        <v>1</v>
      </c>
      <c r="I1005" s="7" t="n">
        <f aca="false">IF(ISBLANK(customer_churn_dataset!I1005),ROUND(MEDIAN(customer_churn_dataset!I$2:I$1501),1),MIN(100,MAX(0,customer_churn_dataset!I1005)))</f>
        <v>37.8</v>
      </c>
      <c r="J1005" s="7" t="n">
        <f aca="false">IF(ISBLANK(customer_churn_dataset!J1005),0,MAX(0,customer_churn_dataset!J1005))</f>
        <v>9</v>
      </c>
      <c r="K1005" s="7" t="n">
        <f aca="false">IF(ISBLANK(customer_churn_dataset!K1005),0,MIN(10,MAX(0,customer_churn_dataset!K1005)))</f>
        <v>5</v>
      </c>
      <c r="L1005" s="7" t="n">
        <f aca="false">IF(ISBLANK(customer_churn_dataset!L1005),0,MAX(0,customer_churn_dataset!L1005))</f>
        <v>3</v>
      </c>
      <c r="M1005" s="7" t="n">
        <f aca="false">IF(ISBLANK(customer_churn_dataset!M1005),0,customer_churn_dataset!M1005)</f>
        <v>1</v>
      </c>
      <c r="N1005" s="7" t="n">
        <f aca="false">IF(ISBLANK(customer_churn_dataset!N1005),0,MAX(0,customer_churn_dataset!N1005))</f>
        <v>195.8</v>
      </c>
      <c r="O1005" s="7" t="n">
        <f aca="false">IF(ISBLANK(customer_churn_dataset!O1005),0,customer_churn_dataset!O1005)</f>
        <v>0</v>
      </c>
      <c r="P1005" s="7" t="str">
        <f aca="false">IF(COUNTIF(customer_churn_dataset!$A$2:$A$1501,customer_churn_dataset!A1005)&gt;1,"Duplicate","Unique")</f>
        <v>Unique</v>
      </c>
    </row>
    <row r="1006" customFormat="false" ht="14.15" hidden="false" customHeight="true" outlineLevel="0" collapsed="false">
      <c r="A1006" s="7" t="str">
        <f aca="false">TRIM(customer_churn_dataset!A1006)</f>
        <v>CUST100232</v>
      </c>
      <c r="B1006" s="7" t="str">
        <f aca="false">PROPER(TRIM(customer_churn_dataset!B1006))</f>
        <v>Standard</v>
      </c>
      <c r="C1006" s="7" t="str">
        <f aca="false">PROPER(TRIM(customer_churn_dataset!C1006))</f>
        <v>Month-To-Month</v>
      </c>
      <c r="D1006" s="7" t="n">
        <f aca="false">IF(ISBLANK(customer_churn_dataset!D1006),ROUND(MEDIAN(customer_churn_dataset!D$2:D$1501),2),IF(customer_churn_dataset!D1006&lt;0,ABS(customer_churn_dataset!D1006),customer_churn_dataset!D1006))</f>
        <v>22</v>
      </c>
      <c r="E1006" s="7" t="n">
        <f aca="false">IF(ISBLANK(customer_churn_dataset!E1006),0,MAX(0,customer_churn_dataset!E1006))</f>
        <v>12</v>
      </c>
      <c r="F1006" s="8" t="n">
        <f aca="false">IF(ISBLANK(customer_churn_dataset!F1006),"",customer_churn_dataset!F1006)</f>
        <v>45140</v>
      </c>
      <c r="G1006" s="7" t="str">
        <f aca="false">PROPER(TRIM(customer_churn_dataset!G1006))</f>
        <v>Manual/Invoice</v>
      </c>
      <c r="H1006" s="7" t="n">
        <f aca="false">IF(ISBLANK(customer_churn_dataset!H1006),0,customer_churn_dataset!H1006)</f>
        <v>1</v>
      </c>
      <c r="I1006" s="7" t="n">
        <f aca="false">IF(ISBLANK(customer_churn_dataset!I1006),ROUND(MEDIAN(customer_churn_dataset!I$2:I$1501),1),MIN(100,MAX(0,customer_churn_dataset!I1006)))</f>
        <v>25.4</v>
      </c>
      <c r="J1006" s="7" t="n">
        <f aca="false">IF(ISBLANK(customer_churn_dataset!J1006),0,MAX(0,customer_churn_dataset!J1006))</f>
        <v>7</v>
      </c>
      <c r="K1006" s="7" t="n">
        <f aca="false">IF(ISBLANK(customer_churn_dataset!K1006),0,MIN(10,MAX(0,customer_churn_dataset!K1006)))</f>
        <v>2</v>
      </c>
      <c r="L1006" s="7" t="n">
        <f aca="false">IF(ISBLANK(customer_churn_dataset!L1006),0,MAX(0,customer_churn_dataset!L1006))</f>
        <v>1</v>
      </c>
      <c r="M1006" s="7" t="n">
        <f aca="false">IF(ISBLANK(customer_churn_dataset!M1006),0,customer_churn_dataset!M1006)</f>
        <v>0</v>
      </c>
      <c r="N1006" s="7" t="n">
        <f aca="false">IF(ISBLANK(customer_churn_dataset!N1006),0,MAX(0,customer_churn_dataset!N1006))</f>
        <v>264</v>
      </c>
      <c r="O1006" s="7" t="n">
        <f aca="false">IF(ISBLANK(customer_churn_dataset!O1006),0,customer_churn_dataset!O1006)</f>
        <v>0</v>
      </c>
      <c r="P1006" s="7" t="str">
        <f aca="false">IF(COUNTIF(customer_churn_dataset!$A$2:$A$1501,customer_churn_dataset!A1006)&gt;1,"Duplicate","Unique")</f>
        <v>Unique</v>
      </c>
    </row>
    <row r="1007" customFormat="false" ht="14.15" hidden="false" customHeight="true" outlineLevel="0" collapsed="false">
      <c r="A1007" s="7" t="str">
        <f aca="false">TRIM(customer_churn_dataset!A1007)</f>
        <v>CUST100453</v>
      </c>
      <c r="B1007" s="7" t="str">
        <f aca="false">PROPER(TRIM(customer_churn_dataset!B1007))</f>
        <v>Premium</v>
      </c>
      <c r="C1007" s="7" t="str">
        <f aca="false">PROPER(TRIM(customer_churn_dataset!C1007))</f>
        <v>Month-To-Month</v>
      </c>
      <c r="D1007" s="7" t="n">
        <f aca="false">IF(ISBLANK(customer_churn_dataset!D1007),ROUND(MEDIAN(customer_churn_dataset!D$2:D$1501),2),IF(customer_churn_dataset!D1007&lt;0,ABS(customer_churn_dataset!D1007),customer_churn_dataset!D1007))</f>
        <v>39.91</v>
      </c>
      <c r="E1007" s="7" t="n">
        <f aca="false">IF(ISBLANK(customer_churn_dataset!E1007),0,MAX(0,customer_churn_dataset!E1007))</f>
        <v>19</v>
      </c>
      <c r="F1007" s="8" t="n">
        <f aca="false">IF(ISBLANK(customer_churn_dataset!F1007),"",customer_churn_dataset!F1007)</f>
        <v>45140</v>
      </c>
      <c r="G1007" s="7" t="str">
        <f aca="false">PROPER(TRIM(customer_churn_dataset!G1007))</f>
        <v>Bank Transfer</v>
      </c>
      <c r="H1007" s="7" t="n">
        <f aca="false">IF(ISBLANK(customer_churn_dataset!H1007),0,customer_churn_dataset!H1007)</f>
        <v>1</v>
      </c>
      <c r="I1007" s="7" t="n">
        <f aca="false">IF(ISBLANK(customer_churn_dataset!I1007),ROUND(MEDIAN(customer_churn_dataset!I$2:I$1501),1),MIN(100,MAX(0,customer_churn_dataset!I1007)))</f>
        <v>61.8</v>
      </c>
      <c r="J1007" s="7" t="n">
        <f aca="false">IF(ISBLANK(customer_churn_dataset!J1007),0,MAX(0,customer_churn_dataset!J1007))</f>
        <v>12</v>
      </c>
      <c r="K1007" s="7" t="n">
        <f aca="false">IF(ISBLANK(customer_churn_dataset!K1007),0,MIN(10,MAX(0,customer_churn_dataset!K1007)))</f>
        <v>8</v>
      </c>
      <c r="L1007" s="7" t="n">
        <f aca="false">IF(ISBLANK(customer_churn_dataset!L1007),0,MAX(0,customer_churn_dataset!L1007))</f>
        <v>0</v>
      </c>
      <c r="M1007" s="7" t="n">
        <f aca="false">IF(ISBLANK(customer_churn_dataset!M1007),0,customer_churn_dataset!M1007)</f>
        <v>0</v>
      </c>
      <c r="N1007" s="7" t="n">
        <f aca="false">IF(ISBLANK(customer_churn_dataset!N1007),0,MAX(0,customer_churn_dataset!N1007))</f>
        <v>758.29</v>
      </c>
      <c r="O1007" s="7" t="n">
        <f aca="false">IF(ISBLANK(customer_churn_dataset!O1007),0,customer_churn_dataset!O1007)</f>
        <v>1</v>
      </c>
      <c r="P1007" s="7" t="str">
        <f aca="false">IF(COUNTIF(customer_churn_dataset!$A$2:$A$1501,customer_churn_dataset!A1007)&gt;1,"Duplicate","Unique")</f>
        <v>Unique</v>
      </c>
    </row>
    <row r="1008" customFormat="false" ht="14.15" hidden="false" customHeight="true" outlineLevel="0" collapsed="false">
      <c r="A1008" s="7" t="str">
        <f aca="false">TRIM(customer_churn_dataset!A1008)</f>
        <v>CUST100936</v>
      </c>
      <c r="B1008" s="7" t="str">
        <f aca="false">PROPER(TRIM(customer_churn_dataset!B1008))</f>
        <v>Basic</v>
      </c>
      <c r="C1008" s="7" t="str">
        <f aca="false">PROPER(TRIM(customer_churn_dataset!C1008))</f>
        <v>One Year</v>
      </c>
      <c r="D1008" s="7" t="n">
        <f aca="false">IF(ISBLANK(customer_churn_dataset!D1008),ROUND(MEDIAN(customer_churn_dataset!D$2:D$1501),2),IF(customer_churn_dataset!D1008&lt;0,ABS(customer_churn_dataset!D1008),customer_churn_dataset!D1008))</f>
        <v>10.66</v>
      </c>
      <c r="E1008" s="7" t="n">
        <f aca="false">IF(ISBLANK(customer_churn_dataset!E1008),0,MAX(0,customer_churn_dataset!E1008))</f>
        <v>6</v>
      </c>
      <c r="F1008" s="8" t="n">
        <f aca="false">IF(ISBLANK(customer_churn_dataset!F1008),"",customer_churn_dataset!F1008)</f>
        <v>45140</v>
      </c>
      <c r="G1008" s="7" t="str">
        <f aca="false">PROPER(TRIM(customer_churn_dataset!G1008))</f>
        <v>Credit Card</v>
      </c>
      <c r="H1008" s="7" t="n">
        <f aca="false">IF(ISBLANK(customer_churn_dataset!H1008),0,customer_churn_dataset!H1008)</f>
        <v>1</v>
      </c>
      <c r="I1008" s="7" t="n">
        <f aca="false">IF(ISBLANK(customer_churn_dataset!I1008),ROUND(MEDIAN(customer_churn_dataset!I$2:I$1501),1),MIN(100,MAX(0,customer_churn_dataset!I1008)))</f>
        <v>41.9</v>
      </c>
      <c r="J1008" s="7" t="n">
        <f aca="false">IF(ISBLANK(customer_churn_dataset!J1008),0,MAX(0,customer_churn_dataset!J1008))</f>
        <v>18</v>
      </c>
      <c r="K1008" s="7" t="n">
        <f aca="false">IF(ISBLANK(customer_churn_dataset!K1008),0,MIN(10,MAX(0,customer_churn_dataset!K1008)))</f>
        <v>2</v>
      </c>
      <c r="L1008" s="7" t="n">
        <f aca="false">IF(ISBLANK(customer_churn_dataset!L1008),0,MAX(0,customer_churn_dataset!L1008))</f>
        <v>2</v>
      </c>
      <c r="M1008" s="7" t="n">
        <f aca="false">IF(ISBLANK(customer_churn_dataset!M1008),0,customer_churn_dataset!M1008)</f>
        <v>0</v>
      </c>
      <c r="N1008" s="7" t="n">
        <f aca="false">IF(ISBLANK(customer_churn_dataset!N1008),0,MAX(0,customer_churn_dataset!N1008))</f>
        <v>63.96</v>
      </c>
      <c r="O1008" s="7" t="n">
        <f aca="false">IF(ISBLANK(customer_churn_dataset!O1008),0,customer_churn_dataset!O1008)</f>
        <v>0</v>
      </c>
      <c r="P1008" s="7" t="str">
        <f aca="false">IF(COUNTIF(customer_churn_dataset!$A$2:$A$1501,customer_churn_dataset!A1008)&gt;1,"Duplicate","Unique")</f>
        <v>Unique</v>
      </c>
    </row>
    <row r="1009" customFormat="false" ht="14.15" hidden="false" customHeight="true" outlineLevel="0" collapsed="false">
      <c r="A1009" s="7" t="str">
        <f aca="false">TRIM(customer_churn_dataset!A1009)</f>
        <v>CUST100180</v>
      </c>
      <c r="B1009" s="7" t="str">
        <f aca="false">PROPER(TRIM(customer_churn_dataset!B1009))</f>
        <v>Basic</v>
      </c>
      <c r="C1009" s="7" t="str">
        <f aca="false">PROPER(TRIM(customer_churn_dataset!C1009))</f>
        <v>Month-To-Month</v>
      </c>
      <c r="D1009" s="7" t="n">
        <f aca="false">IF(ISBLANK(customer_churn_dataset!D1009),ROUND(MEDIAN(customer_churn_dataset!D$2:D$1501),2),IF(customer_churn_dataset!D1009&lt;0,ABS(customer_churn_dataset!D1009),customer_churn_dataset!D1009))</f>
        <v>10.15</v>
      </c>
      <c r="E1009" s="7" t="n">
        <f aca="false">IF(ISBLANK(customer_churn_dataset!E1009),0,MAX(0,customer_churn_dataset!E1009))</f>
        <v>14</v>
      </c>
      <c r="F1009" s="8" t="n">
        <f aca="false">IF(ISBLANK(customer_churn_dataset!F1009),"",customer_churn_dataset!F1009)</f>
        <v>45141</v>
      </c>
      <c r="G1009" s="7" t="str">
        <f aca="false">PROPER(TRIM(customer_churn_dataset!G1009))</f>
        <v>Paypal</v>
      </c>
      <c r="H1009" s="7" t="n">
        <f aca="false">IF(ISBLANK(customer_churn_dataset!H1009),0,customer_churn_dataset!H1009)</f>
        <v>0</v>
      </c>
      <c r="I1009" s="7" t="n">
        <f aca="false">IF(ISBLANK(customer_churn_dataset!I1009),ROUND(MEDIAN(customer_churn_dataset!I$2:I$1501),1),MIN(100,MAX(0,customer_churn_dataset!I1009)))</f>
        <v>96.2</v>
      </c>
      <c r="J1009" s="7" t="n">
        <f aca="false">IF(ISBLANK(customer_churn_dataset!J1009),0,MAX(0,customer_churn_dataset!J1009))</f>
        <v>24</v>
      </c>
      <c r="K1009" s="7" t="n">
        <f aca="false">IF(ISBLANK(customer_churn_dataset!K1009),0,MIN(10,MAX(0,customer_churn_dataset!K1009)))</f>
        <v>10</v>
      </c>
      <c r="L1009" s="7" t="n">
        <f aca="false">IF(ISBLANK(customer_churn_dataset!L1009),0,MAX(0,customer_churn_dataset!L1009))</f>
        <v>2</v>
      </c>
      <c r="M1009" s="7" t="n">
        <f aca="false">IF(ISBLANK(customer_churn_dataset!M1009),0,customer_churn_dataset!M1009)</f>
        <v>1</v>
      </c>
      <c r="N1009" s="7" t="n">
        <f aca="false">IF(ISBLANK(customer_churn_dataset!N1009),0,MAX(0,customer_churn_dataset!N1009))</f>
        <v>142.1</v>
      </c>
      <c r="O1009" s="7" t="n">
        <f aca="false">IF(ISBLANK(customer_churn_dataset!O1009),0,customer_churn_dataset!O1009)</f>
        <v>0</v>
      </c>
      <c r="P1009" s="7" t="str">
        <f aca="false">IF(COUNTIF(customer_churn_dataset!$A$2:$A$1501,customer_churn_dataset!A1009)&gt;1,"Duplicate","Unique")</f>
        <v>Unique</v>
      </c>
    </row>
    <row r="1010" customFormat="false" ht="14.15" hidden="false" customHeight="true" outlineLevel="0" collapsed="false">
      <c r="A1010" s="7" t="str">
        <f aca="false">TRIM(customer_churn_dataset!A1010)</f>
        <v>CUST100155</v>
      </c>
      <c r="B1010" s="7" t="str">
        <f aca="false">PROPER(TRIM(customer_churn_dataset!B1010))</f>
        <v>Basic</v>
      </c>
      <c r="C1010" s="7" t="str">
        <f aca="false">PROPER(TRIM(customer_churn_dataset!C1010))</f>
        <v>Month-To-Month</v>
      </c>
      <c r="D1010" s="7" t="n">
        <f aca="false">IF(ISBLANK(customer_churn_dataset!D1010),ROUND(MEDIAN(customer_churn_dataset!D$2:D$1501),2),IF(customer_churn_dataset!D1010&lt;0,ABS(customer_churn_dataset!D1010),customer_churn_dataset!D1010))</f>
        <v>8.68</v>
      </c>
      <c r="E1010" s="7" t="n">
        <f aca="false">IF(ISBLANK(customer_churn_dataset!E1010),0,MAX(0,customer_churn_dataset!E1010))</f>
        <v>12</v>
      </c>
      <c r="F1010" s="8" t="n">
        <f aca="false">IF(ISBLANK(customer_churn_dataset!F1010),"",customer_churn_dataset!F1010)</f>
        <v>45142</v>
      </c>
      <c r="G1010" s="7" t="str">
        <f aca="false">PROPER(TRIM(customer_churn_dataset!G1010))</f>
        <v>Credit Card</v>
      </c>
      <c r="H1010" s="7" t="n">
        <f aca="false">IF(ISBLANK(customer_churn_dataset!H1010),0,customer_churn_dataset!H1010)</f>
        <v>1</v>
      </c>
      <c r="I1010" s="7" t="n">
        <f aca="false">IF(ISBLANK(customer_churn_dataset!I1010),ROUND(MEDIAN(customer_churn_dataset!I$2:I$1501),1),MIN(100,MAX(0,customer_churn_dataset!I1010)))</f>
        <v>50.3</v>
      </c>
      <c r="J1010" s="7" t="n">
        <f aca="false">IF(ISBLANK(customer_churn_dataset!J1010),0,MAX(0,customer_churn_dataset!J1010))</f>
        <v>12</v>
      </c>
      <c r="K1010" s="7" t="n">
        <f aca="false">IF(ISBLANK(customer_churn_dataset!K1010),0,MIN(10,MAX(0,customer_churn_dataset!K1010)))</f>
        <v>6</v>
      </c>
      <c r="L1010" s="7" t="n">
        <f aca="false">IF(ISBLANK(customer_churn_dataset!L1010),0,MAX(0,customer_churn_dataset!L1010))</f>
        <v>1</v>
      </c>
      <c r="M1010" s="7" t="n">
        <f aca="false">IF(ISBLANK(customer_churn_dataset!M1010),0,customer_churn_dataset!M1010)</f>
        <v>0</v>
      </c>
      <c r="N1010" s="7" t="n">
        <f aca="false">IF(ISBLANK(customer_churn_dataset!N1010),0,MAX(0,customer_churn_dataset!N1010))</f>
        <v>104.16</v>
      </c>
      <c r="O1010" s="7" t="n">
        <f aca="false">IF(ISBLANK(customer_churn_dataset!O1010),0,customer_churn_dataset!O1010)</f>
        <v>0</v>
      </c>
      <c r="P1010" s="7" t="str">
        <f aca="false">IF(COUNTIF(customer_churn_dataset!$A$2:$A$1501,customer_churn_dataset!A1010)&gt;1,"Duplicate","Unique")</f>
        <v>Unique</v>
      </c>
    </row>
    <row r="1011" customFormat="false" ht="14.15" hidden="false" customHeight="true" outlineLevel="0" collapsed="false">
      <c r="A1011" s="7" t="str">
        <f aca="false">TRIM(customer_churn_dataset!A1011)</f>
        <v>CUST100094</v>
      </c>
      <c r="B1011" s="7" t="str">
        <f aca="false">PROPER(TRIM(customer_churn_dataset!B1011))</f>
        <v>Standard</v>
      </c>
      <c r="C1011" s="7" t="str">
        <f aca="false">PROPER(TRIM(customer_churn_dataset!C1011))</f>
        <v>Month-To-Month</v>
      </c>
      <c r="D1011" s="7" t="n">
        <f aca="false">IF(ISBLANK(customer_churn_dataset!D1011),ROUND(MEDIAN(customer_churn_dataset!D$2:D$1501),2),IF(customer_churn_dataset!D1011&lt;0,ABS(customer_churn_dataset!D1011),customer_churn_dataset!D1011))</f>
        <v>21.22</v>
      </c>
      <c r="E1011" s="7" t="n">
        <f aca="false">IF(ISBLANK(customer_churn_dataset!E1011),0,MAX(0,customer_churn_dataset!E1011))</f>
        <v>17</v>
      </c>
      <c r="F1011" s="8" t="n">
        <f aca="false">IF(ISBLANK(customer_churn_dataset!F1011),"",customer_churn_dataset!F1011)</f>
        <v>45144</v>
      </c>
      <c r="G1011" s="7" t="str">
        <f aca="false">PROPER(TRIM(customer_churn_dataset!G1011))</f>
        <v>Credit Card</v>
      </c>
      <c r="H1011" s="7" t="n">
        <f aca="false">IF(ISBLANK(customer_churn_dataset!H1011),0,customer_churn_dataset!H1011)</f>
        <v>0</v>
      </c>
      <c r="I1011" s="7" t="n">
        <f aca="false">IF(ISBLANK(customer_churn_dataset!I1011),ROUND(MEDIAN(customer_churn_dataset!I$2:I$1501),1),MIN(100,MAX(0,customer_churn_dataset!I1011)))</f>
        <v>31.2</v>
      </c>
      <c r="J1011" s="7" t="n">
        <f aca="false">IF(ISBLANK(customer_churn_dataset!J1011),0,MAX(0,customer_churn_dataset!J1011))</f>
        <v>10</v>
      </c>
      <c r="K1011" s="7" t="n">
        <f aca="false">IF(ISBLANK(customer_churn_dataset!K1011),0,MIN(10,MAX(0,customer_churn_dataset!K1011)))</f>
        <v>6</v>
      </c>
      <c r="L1011" s="7" t="n">
        <f aca="false">IF(ISBLANK(customer_churn_dataset!L1011),0,MAX(0,customer_churn_dataset!L1011))</f>
        <v>0</v>
      </c>
      <c r="M1011" s="7" t="n">
        <f aca="false">IF(ISBLANK(customer_churn_dataset!M1011),0,customer_churn_dataset!M1011)</f>
        <v>0</v>
      </c>
      <c r="N1011" s="7" t="n">
        <f aca="false">IF(ISBLANK(customer_churn_dataset!N1011),0,MAX(0,customer_churn_dataset!N1011))</f>
        <v>360.74</v>
      </c>
      <c r="O1011" s="7" t="n">
        <f aca="false">IF(ISBLANK(customer_churn_dataset!O1011),0,customer_churn_dataset!O1011)</f>
        <v>0</v>
      </c>
      <c r="P1011" s="7" t="str">
        <f aca="false">IF(COUNTIF(customer_churn_dataset!$A$2:$A$1501,customer_churn_dataset!A1011)&gt;1,"Duplicate","Unique")</f>
        <v>Unique</v>
      </c>
    </row>
    <row r="1012" customFormat="false" ht="14.15" hidden="false" customHeight="true" outlineLevel="0" collapsed="false">
      <c r="A1012" s="7" t="str">
        <f aca="false">TRIM(customer_churn_dataset!A1012)</f>
        <v>CUST101219</v>
      </c>
      <c r="B1012" s="7" t="str">
        <f aca="false">PROPER(TRIM(customer_churn_dataset!B1012))</f>
        <v>Basic</v>
      </c>
      <c r="C1012" s="7" t="str">
        <f aca="false">PROPER(TRIM(customer_churn_dataset!C1012))</f>
        <v>Two Year</v>
      </c>
      <c r="D1012" s="7" t="n">
        <f aca="false">IF(ISBLANK(customer_churn_dataset!D1012),ROUND(MEDIAN(customer_churn_dataset!D$2:D$1501),2),IF(customer_churn_dataset!D1012&lt;0,ABS(customer_churn_dataset!D1012),customer_churn_dataset!D1012))</f>
        <v>10.25</v>
      </c>
      <c r="E1012" s="7" t="n">
        <f aca="false">IF(ISBLANK(customer_churn_dataset!E1012),0,MAX(0,customer_churn_dataset!E1012))</f>
        <v>13</v>
      </c>
      <c r="F1012" s="8" t="n">
        <f aca="false">IF(ISBLANK(customer_churn_dataset!F1012),"",customer_churn_dataset!F1012)</f>
        <v>45146</v>
      </c>
      <c r="G1012" s="7" t="str">
        <f aca="false">PROPER(TRIM(customer_churn_dataset!G1012))</f>
        <v>Paypal</v>
      </c>
      <c r="H1012" s="7" t="n">
        <f aca="false">IF(ISBLANK(customer_churn_dataset!H1012),0,customer_churn_dataset!H1012)</f>
        <v>1</v>
      </c>
      <c r="I1012" s="7" t="n">
        <f aca="false">IF(ISBLANK(customer_churn_dataset!I1012),ROUND(MEDIAN(customer_churn_dataset!I$2:I$1501),1),MIN(100,MAX(0,customer_churn_dataset!I1012)))</f>
        <v>50</v>
      </c>
      <c r="J1012" s="7" t="n">
        <f aca="false">IF(ISBLANK(customer_churn_dataset!J1012),0,MAX(0,customer_churn_dataset!J1012))</f>
        <v>18</v>
      </c>
      <c r="K1012" s="7" t="n">
        <f aca="false">IF(ISBLANK(customer_churn_dataset!K1012),0,MIN(10,MAX(0,customer_churn_dataset!K1012)))</f>
        <v>5</v>
      </c>
      <c r="L1012" s="7" t="n">
        <f aca="false">IF(ISBLANK(customer_churn_dataset!L1012),0,MAX(0,customer_churn_dataset!L1012))</f>
        <v>0</v>
      </c>
      <c r="M1012" s="7" t="n">
        <f aca="false">IF(ISBLANK(customer_churn_dataset!M1012),0,customer_churn_dataset!M1012)</f>
        <v>0</v>
      </c>
      <c r="N1012" s="7" t="n">
        <f aca="false">IF(ISBLANK(customer_churn_dataset!N1012),0,MAX(0,customer_churn_dataset!N1012))</f>
        <v>133.25</v>
      </c>
      <c r="O1012" s="7" t="n">
        <f aca="false">IF(ISBLANK(customer_churn_dataset!O1012),0,customer_churn_dataset!O1012)</f>
        <v>0</v>
      </c>
      <c r="P1012" s="7" t="str">
        <f aca="false">IF(COUNTIF(customer_churn_dataset!$A$2:$A$1501,customer_churn_dataset!A1012)&gt;1,"Duplicate","Unique")</f>
        <v>Unique</v>
      </c>
    </row>
    <row r="1013" customFormat="false" ht="14.15" hidden="false" customHeight="true" outlineLevel="0" collapsed="false">
      <c r="A1013" s="7" t="str">
        <f aca="false">TRIM(customer_churn_dataset!A1013)</f>
        <v>CUST100170</v>
      </c>
      <c r="B1013" s="7" t="str">
        <f aca="false">PROPER(TRIM(customer_churn_dataset!B1013))</f>
        <v>Standard</v>
      </c>
      <c r="C1013" s="7" t="str">
        <f aca="false">PROPER(TRIM(customer_churn_dataset!C1013))</f>
        <v>Month-To-Month</v>
      </c>
      <c r="D1013" s="7" t="n">
        <f aca="false">IF(ISBLANK(customer_churn_dataset!D1013),ROUND(MEDIAN(customer_churn_dataset!D$2:D$1501),2),IF(customer_churn_dataset!D1013&lt;0,ABS(customer_churn_dataset!D1013),customer_churn_dataset!D1013))</f>
        <v>21.52</v>
      </c>
      <c r="E1013" s="7" t="n">
        <f aca="false">IF(ISBLANK(customer_churn_dataset!E1013),0,MAX(0,customer_churn_dataset!E1013))</f>
        <v>21</v>
      </c>
      <c r="F1013" s="8" t="n">
        <f aca="false">IF(ISBLANK(customer_churn_dataset!F1013),"",customer_churn_dataset!F1013)</f>
        <v>45146</v>
      </c>
      <c r="G1013" s="7" t="str">
        <f aca="false">PROPER(TRIM(customer_churn_dataset!G1013))</f>
        <v>Paypal</v>
      </c>
      <c r="H1013" s="7" t="n">
        <f aca="false">IF(ISBLANK(customer_churn_dataset!H1013),0,customer_churn_dataset!H1013)</f>
        <v>1</v>
      </c>
      <c r="I1013" s="7" t="n">
        <f aca="false">IF(ISBLANK(customer_churn_dataset!I1013),ROUND(MEDIAN(customer_churn_dataset!I$2:I$1501),1),MIN(100,MAX(0,customer_churn_dataset!I1013)))</f>
        <v>49.8</v>
      </c>
      <c r="J1013" s="7" t="n">
        <f aca="false">IF(ISBLANK(customer_churn_dataset!J1013),0,MAX(0,customer_churn_dataset!J1013))</f>
        <v>21</v>
      </c>
      <c r="K1013" s="7" t="n">
        <f aca="false">IF(ISBLANK(customer_churn_dataset!K1013),0,MIN(10,MAX(0,customer_churn_dataset!K1013)))</f>
        <v>3</v>
      </c>
      <c r="L1013" s="7" t="n">
        <f aca="false">IF(ISBLANK(customer_churn_dataset!L1013),0,MAX(0,customer_churn_dataset!L1013))</f>
        <v>0</v>
      </c>
      <c r="M1013" s="7" t="n">
        <f aca="false">IF(ISBLANK(customer_churn_dataset!M1013),0,customer_churn_dataset!M1013)</f>
        <v>0</v>
      </c>
      <c r="N1013" s="7" t="n">
        <f aca="false">IF(ISBLANK(customer_churn_dataset!N1013),0,MAX(0,customer_churn_dataset!N1013))</f>
        <v>451.92</v>
      </c>
      <c r="O1013" s="7" t="n">
        <f aca="false">IF(ISBLANK(customer_churn_dataset!O1013),0,customer_churn_dataset!O1013)</f>
        <v>1</v>
      </c>
      <c r="P1013" s="7" t="str">
        <f aca="false">IF(COUNTIF(customer_churn_dataset!$A$2:$A$1501,customer_churn_dataset!A1013)&gt;1,"Duplicate","Unique")</f>
        <v>Unique</v>
      </c>
    </row>
    <row r="1014" customFormat="false" ht="14.15" hidden="false" customHeight="true" outlineLevel="0" collapsed="false">
      <c r="A1014" s="7" t="str">
        <f aca="false">TRIM(customer_churn_dataset!A1014)</f>
        <v>CUST101033</v>
      </c>
      <c r="B1014" s="7" t="str">
        <f aca="false">PROPER(TRIM(customer_churn_dataset!B1014))</f>
        <v>Basic</v>
      </c>
      <c r="C1014" s="7" t="str">
        <f aca="false">PROPER(TRIM(customer_churn_dataset!C1014))</f>
        <v>Month-To-Month</v>
      </c>
      <c r="D1014" s="7" t="n">
        <f aca="false">IF(ISBLANK(customer_churn_dataset!D1014),ROUND(MEDIAN(customer_churn_dataset!D$2:D$1501),2),IF(customer_churn_dataset!D1014&lt;0,ABS(customer_churn_dataset!D1014),customer_churn_dataset!D1014))</f>
        <v>8.63</v>
      </c>
      <c r="E1014" s="7" t="n">
        <f aca="false">IF(ISBLANK(customer_churn_dataset!E1014),0,MAX(0,customer_churn_dataset!E1014))</f>
        <v>16</v>
      </c>
      <c r="F1014" s="8" t="n">
        <f aca="false">IF(ISBLANK(customer_churn_dataset!F1014),"",customer_churn_dataset!F1014)</f>
        <v>45146</v>
      </c>
      <c r="G1014" s="7" t="str">
        <f aca="false">PROPER(TRIM(customer_churn_dataset!G1014))</f>
        <v>Credit Card</v>
      </c>
      <c r="H1014" s="7" t="n">
        <f aca="false">IF(ISBLANK(customer_churn_dataset!H1014),0,customer_churn_dataset!H1014)</f>
        <v>1</v>
      </c>
      <c r="I1014" s="7" t="n">
        <f aca="false">IF(ISBLANK(customer_churn_dataset!I1014),ROUND(MEDIAN(customer_churn_dataset!I$2:I$1501),1),MIN(100,MAX(0,customer_churn_dataset!I1014)))</f>
        <v>69.5</v>
      </c>
      <c r="J1014" s="7" t="n">
        <f aca="false">IF(ISBLANK(customer_churn_dataset!J1014),0,MAX(0,customer_churn_dataset!J1014))</f>
        <v>13</v>
      </c>
      <c r="K1014" s="7" t="n">
        <f aca="false">IF(ISBLANK(customer_churn_dataset!K1014),0,MIN(10,MAX(0,customer_churn_dataset!K1014)))</f>
        <v>5</v>
      </c>
      <c r="L1014" s="7" t="n">
        <f aca="false">IF(ISBLANK(customer_churn_dataset!L1014),0,MAX(0,customer_churn_dataset!L1014))</f>
        <v>1</v>
      </c>
      <c r="M1014" s="7" t="n">
        <f aca="false">IF(ISBLANK(customer_churn_dataset!M1014),0,customer_churn_dataset!M1014)</f>
        <v>1</v>
      </c>
      <c r="N1014" s="7" t="n">
        <f aca="false">IF(ISBLANK(customer_churn_dataset!N1014),0,MAX(0,customer_churn_dataset!N1014))</f>
        <v>138.08</v>
      </c>
      <c r="O1014" s="7" t="n">
        <f aca="false">IF(ISBLANK(customer_churn_dataset!O1014),0,customer_churn_dataset!O1014)</f>
        <v>1</v>
      </c>
      <c r="P1014" s="7" t="str">
        <f aca="false">IF(COUNTIF(customer_churn_dataset!$A$2:$A$1501,customer_churn_dataset!A1014)&gt;1,"Duplicate","Unique")</f>
        <v>Unique</v>
      </c>
    </row>
    <row r="1015" customFormat="false" ht="14.15" hidden="false" customHeight="true" outlineLevel="0" collapsed="false">
      <c r="A1015" s="7" t="str">
        <f aca="false">TRIM(customer_churn_dataset!A1015)</f>
        <v>CUST100516</v>
      </c>
      <c r="B1015" s="7" t="str">
        <f aca="false">PROPER(TRIM(customer_churn_dataset!B1015))</f>
        <v>Basic</v>
      </c>
      <c r="C1015" s="7" t="str">
        <f aca="false">PROPER(TRIM(customer_churn_dataset!C1015))</f>
        <v>Two Year</v>
      </c>
      <c r="D1015" s="7" t="n">
        <f aca="false">IF(ISBLANK(customer_churn_dataset!D1015),ROUND(MEDIAN(customer_churn_dataset!D$2:D$1501),2),IF(customer_churn_dataset!D1015&lt;0,ABS(customer_churn_dataset!D1015),customer_churn_dataset!D1015))</f>
        <v>11.21</v>
      </c>
      <c r="E1015" s="7" t="n">
        <f aca="false">IF(ISBLANK(customer_churn_dataset!E1015),0,MAX(0,customer_churn_dataset!E1015))</f>
        <v>6</v>
      </c>
      <c r="F1015" s="8" t="n">
        <f aca="false">IF(ISBLANK(customer_churn_dataset!F1015),"",customer_churn_dataset!F1015)</f>
        <v>45151</v>
      </c>
      <c r="G1015" s="7" t="str">
        <f aca="false">PROPER(TRIM(customer_churn_dataset!G1015))</f>
        <v>Credit Card</v>
      </c>
      <c r="H1015" s="7" t="n">
        <f aca="false">IF(ISBLANK(customer_churn_dataset!H1015),0,customer_churn_dataset!H1015)</f>
        <v>1</v>
      </c>
      <c r="I1015" s="7" t="n">
        <f aca="false">IF(ISBLANK(customer_churn_dataset!I1015),ROUND(MEDIAN(customer_churn_dataset!I$2:I$1501),1),MIN(100,MAX(0,customer_churn_dataset!I1015)))</f>
        <v>76</v>
      </c>
      <c r="J1015" s="7" t="n">
        <f aca="false">IF(ISBLANK(customer_churn_dataset!J1015),0,MAX(0,customer_churn_dataset!J1015))</f>
        <v>29</v>
      </c>
      <c r="K1015" s="7" t="n">
        <f aca="false">IF(ISBLANK(customer_churn_dataset!K1015),0,MIN(10,MAX(0,customer_churn_dataset!K1015)))</f>
        <v>8</v>
      </c>
      <c r="L1015" s="7" t="n">
        <f aca="false">IF(ISBLANK(customer_churn_dataset!L1015),0,MAX(0,customer_churn_dataset!L1015))</f>
        <v>0</v>
      </c>
      <c r="M1015" s="7" t="n">
        <f aca="false">IF(ISBLANK(customer_churn_dataset!M1015),0,customer_churn_dataset!M1015)</f>
        <v>0</v>
      </c>
      <c r="N1015" s="7" t="n">
        <f aca="false">IF(ISBLANK(customer_churn_dataset!N1015),0,MAX(0,customer_churn_dataset!N1015))</f>
        <v>67.26</v>
      </c>
      <c r="O1015" s="7" t="n">
        <f aca="false">IF(ISBLANK(customer_churn_dataset!O1015),0,customer_churn_dataset!O1015)</f>
        <v>0</v>
      </c>
      <c r="P1015" s="7" t="str">
        <f aca="false">IF(COUNTIF(customer_churn_dataset!$A$2:$A$1501,customer_churn_dataset!A1015)&gt;1,"Duplicate","Unique")</f>
        <v>Unique</v>
      </c>
    </row>
    <row r="1016" customFormat="false" ht="14.15" hidden="false" customHeight="true" outlineLevel="0" collapsed="false">
      <c r="A1016" s="7" t="str">
        <f aca="false">TRIM(customer_churn_dataset!A1016)</f>
        <v>CUST100730</v>
      </c>
      <c r="B1016" s="7" t="str">
        <f aca="false">PROPER(TRIM(customer_churn_dataset!B1016))</f>
        <v>Basic</v>
      </c>
      <c r="C1016" s="7" t="str">
        <f aca="false">PROPER(TRIM(customer_churn_dataset!C1016))</f>
        <v>Month-To-Month</v>
      </c>
      <c r="D1016" s="7" t="n">
        <f aca="false">IF(ISBLANK(customer_churn_dataset!D1016),ROUND(MEDIAN(customer_churn_dataset!D$2:D$1501),2),IF(customer_churn_dataset!D1016&lt;0,ABS(customer_churn_dataset!D1016),customer_churn_dataset!D1016))</f>
        <v>10.54</v>
      </c>
      <c r="E1016" s="7" t="n">
        <f aca="false">IF(ISBLANK(customer_churn_dataset!E1016),0,MAX(0,customer_churn_dataset!E1016))</f>
        <v>9</v>
      </c>
      <c r="F1016" s="8" t="n">
        <f aca="false">IF(ISBLANK(customer_churn_dataset!F1016),"",customer_churn_dataset!F1016)</f>
        <v>45152</v>
      </c>
      <c r="G1016" s="7" t="str">
        <f aca="false">PROPER(TRIM(customer_churn_dataset!G1016))</f>
        <v>Bank Transfer</v>
      </c>
      <c r="H1016" s="7" t="n">
        <f aca="false">IF(ISBLANK(customer_churn_dataset!H1016),0,customer_churn_dataset!H1016)</f>
        <v>1</v>
      </c>
      <c r="I1016" s="7" t="n">
        <f aca="false">IF(ISBLANK(customer_churn_dataset!I1016),ROUND(MEDIAN(customer_churn_dataset!I$2:I$1501),1),MIN(100,MAX(0,customer_churn_dataset!I1016)))</f>
        <v>39.4</v>
      </c>
      <c r="J1016" s="7" t="n">
        <f aca="false">IF(ISBLANK(customer_churn_dataset!J1016),0,MAX(0,customer_churn_dataset!J1016))</f>
        <v>9</v>
      </c>
      <c r="K1016" s="7" t="n">
        <f aca="false">IF(ISBLANK(customer_churn_dataset!K1016),0,MIN(10,MAX(0,customer_churn_dataset!K1016)))</f>
        <v>3</v>
      </c>
      <c r="L1016" s="7" t="n">
        <f aca="false">IF(ISBLANK(customer_churn_dataset!L1016),0,MAX(0,customer_churn_dataset!L1016))</f>
        <v>0</v>
      </c>
      <c r="M1016" s="7" t="n">
        <f aca="false">IF(ISBLANK(customer_churn_dataset!M1016),0,customer_churn_dataset!M1016)</f>
        <v>0</v>
      </c>
      <c r="N1016" s="7" t="n">
        <f aca="false">IF(ISBLANK(customer_churn_dataset!N1016),0,MAX(0,customer_churn_dataset!N1016))</f>
        <v>94.86</v>
      </c>
      <c r="O1016" s="7" t="n">
        <f aca="false">IF(ISBLANK(customer_churn_dataset!O1016),0,customer_churn_dataset!O1016)</f>
        <v>0</v>
      </c>
      <c r="P1016" s="7" t="str">
        <f aca="false">IF(COUNTIF(customer_churn_dataset!$A$2:$A$1501,customer_churn_dataset!A1016)&gt;1,"Duplicate","Unique")</f>
        <v>Unique</v>
      </c>
    </row>
    <row r="1017" customFormat="false" ht="14.15" hidden="false" customHeight="true" outlineLevel="0" collapsed="false">
      <c r="A1017" s="7" t="str">
        <f aca="false">TRIM(customer_churn_dataset!A1017)</f>
        <v>CUST101021</v>
      </c>
      <c r="B1017" s="7" t="str">
        <f aca="false">PROPER(TRIM(customer_churn_dataset!B1017))</f>
        <v>Basic</v>
      </c>
      <c r="C1017" s="7" t="str">
        <f aca="false">PROPER(TRIM(customer_churn_dataset!C1017))</f>
        <v>Month-To-Month</v>
      </c>
      <c r="D1017" s="7" t="n">
        <f aca="false">IF(ISBLANK(customer_churn_dataset!D1017),ROUND(MEDIAN(customer_churn_dataset!D$2:D$1501),2),IF(customer_churn_dataset!D1017&lt;0,ABS(customer_churn_dataset!D1017),customer_churn_dataset!D1017))</f>
        <v>9.63</v>
      </c>
      <c r="E1017" s="7" t="n">
        <f aca="false">IF(ISBLANK(customer_churn_dataset!E1017),0,MAX(0,customer_churn_dataset!E1017))</f>
        <v>54</v>
      </c>
      <c r="F1017" s="8" t="n">
        <f aca="false">IF(ISBLANK(customer_churn_dataset!F1017),"",customer_churn_dataset!F1017)</f>
        <v>45152</v>
      </c>
      <c r="G1017" s="7" t="str">
        <f aca="false">PROPER(TRIM(customer_churn_dataset!G1017))</f>
        <v>Manual/Invoice</v>
      </c>
      <c r="H1017" s="7" t="n">
        <f aca="false">IF(ISBLANK(customer_churn_dataset!H1017),0,customer_churn_dataset!H1017)</f>
        <v>0</v>
      </c>
      <c r="I1017" s="7" t="n">
        <f aca="false">IF(ISBLANK(customer_churn_dataset!I1017),ROUND(MEDIAN(customer_churn_dataset!I$2:I$1501),1),MIN(100,MAX(0,customer_churn_dataset!I1017)))</f>
        <v>9.5</v>
      </c>
      <c r="J1017" s="7" t="n">
        <f aca="false">IF(ISBLANK(customer_churn_dataset!J1017),0,MAX(0,customer_churn_dataset!J1017))</f>
        <v>4</v>
      </c>
      <c r="K1017" s="7" t="n">
        <f aca="false">IF(ISBLANK(customer_churn_dataset!K1017),0,MIN(10,MAX(0,customer_churn_dataset!K1017)))</f>
        <v>1</v>
      </c>
      <c r="L1017" s="7" t="n">
        <f aca="false">IF(ISBLANK(customer_churn_dataset!L1017),0,MAX(0,customer_churn_dataset!L1017))</f>
        <v>1</v>
      </c>
      <c r="M1017" s="7" t="n">
        <f aca="false">IF(ISBLANK(customer_churn_dataset!M1017),0,customer_churn_dataset!M1017)</f>
        <v>0</v>
      </c>
      <c r="N1017" s="7" t="n">
        <f aca="false">IF(ISBLANK(customer_churn_dataset!N1017),0,MAX(0,customer_churn_dataset!N1017))</f>
        <v>520.02</v>
      </c>
      <c r="O1017" s="7" t="n">
        <f aca="false">IF(ISBLANK(customer_churn_dataset!O1017),0,customer_churn_dataset!O1017)</f>
        <v>1</v>
      </c>
      <c r="P1017" s="7" t="str">
        <f aca="false">IF(COUNTIF(customer_churn_dataset!$A$2:$A$1501,customer_churn_dataset!A1017)&gt;1,"Duplicate","Unique")</f>
        <v>Unique</v>
      </c>
    </row>
    <row r="1018" customFormat="false" ht="14.15" hidden="false" customHeight="true" outlineLevel="0" collapsed="false">
      <c r="A1018" s="7" t="str">
        <f aca="false">TRIM(customer_churn_dataset!A1018)</f>
        <v>CUST100901</v>
      </c>
      <c r="B1018" s="7" t="str">
        <f aca="false">PROPER(TRIM(customer_churn_dataset!B1018))</f>
        <v>Basic</v>
      </c>
      <c r="C1018" s="7" t="str">
        <f aca="false">PROPER(TRIM(customer_churn_dataset!C1018))</f>
        <v>Month-To-Month</v>
      </c>
      <c r="D1018" s="7" t="n">
        <f aca="false">IF(ISBLANK(customer_churn_dataset!D1018),ROUND(MEDIAN(customer_churn_dataset!D$2:D$1501),2),IF(customer_churn_dataset!D1018&lt;0,ABS(customer_churn_dataset!D1018),customer_churn_dataset!D1018))</f>
        <v>9.85</v>
      </c>
      <c r="E1018" s="7" t="n">
        <f aca="false">IF(ISBLANK(customer_churn_dataset!E1018),0,MAX(0,customer_churn_dataset!E1018))</f>
        <v>1</v>
      </c>
      <c r="F1018" s="8" t="n">
        <f aca="false">IF(ISBLANK(customer_churn_dataset!F1018),"",customer_churn_dataset!F1018)</f>
        <v>45155</v>
      </c>
      <c r="G1018" s="7" t="str">
        <f aca="false">PROPER(TRIM(customer_churn_dataset!G1018))</f>
        <v>Credit Card</v>
      </c>
      <c r="H1018" s="7" t="n">
        <f aca="false">IF(ISBLANK(customer_churn_dataset!H1018),0,customer_churn_dataset!H1018)</f>
        <v>1</v>
      </c>
      <c r="I1018" s="7" t="n">
        <f aca="false">IF(ISBLANK(customer_churn_dataset!I1018),ROUND(MEDIAN(customer_churn_dataset!I$2:I$1501),1),MIN(100,MAX(0,customer_churn_dataset!I1018)))</f>
        <v>52.5</v>
      </c>
      <c r="J1018" s="7" t="n">
        <f aca="false">IF(ISBLANK(customer_churn_dataset!J1018),0,MAX(0,customer_churn_dataset!J1018))</f>
        <v>13</v>
      </c>
      <c r="K1018" s="7" t="n">
        <f aca="false">IF(ISBLANK(customer_churn_dataset!K1018),0,MIN(10,MAX(0,customer_churn_dataset!K1018)))</f>
        <v>6</v>
      </c>
      <c r="L1018" s="7" t="n">
        <f aca="false">IF(ISBLANK(customer_churn_dataset!L1018),0,MAX(0,customer_churn_dataset!L1018))</f>
        <v>0</v>
      </c>
      <c r="M1018" s="7" t="n">
        <f aca="false">IF(ISBLANK(customer_churn_dataset!M1018),0,customer_churn_dataset!M1018)</f>
        <v>0</v>
      </c>
      <c r="N1018" s="7" t="n">
        <f aca="false">IF(ISBLANK(customer_churn_dataset!N1018),0,MAX(0,customer_churn_dataset!N1018))</f>
        <v>9.85</v>
      </c>
      <c r="O1018" s="7" t="n">
        <f aca="false">IF(ISBLANK(customer_churn_dataset!O1018),0,customer_churn_dataset!O1018)</f>
        <v>0</v>
      </c>
      <c r="P1018" s="7" t="str">
        <f aca="false">IF(COUNTIF(customer_churn_dataset!$A$2:$A$1501,customer_churn_dataset!A1018)&gt;1,"Duplicate","Unique")</f>
        <v>Unique</v>
      </c>
    </row>
    <row r="1019" customFormat="false" ht="14.15" hidden="false" customHeight="true" outlineLevel="0" collapsed="false">
      <c r="A1019" s="7" t="str">
        <f aca="false">TRIM(customer_churn_dataset!A1019)</f>
        <v>CUST101179</v>
      </c>
      <c r="B1019" s="7" t="str">
        <f aca="false">PROPER(TRIM(customer_churn_dataset!B1019))</f>
        <v>Standard</v>
      </c>
      <c r="C1019" s="7" t="str">
        <f aca="false">PROPER(TRIM(customer_churn_dataset!C1019))</f>
        <v>One Year</v>
      </c>
      <c r="D1019" s="7" t="n">
        <f aca="false">IF(ISBLANK(customer_churn_dataset!D1019),ROUND(MEDIAN(customer_churn_dataset!D$2:D$1501),2),IF(customer_churn_dataset!D1019&lt;0,ABS(customer_churn_dataset!D1019),customer_churn_dataset!D1019))</f>
        <v>19.33</v>
      </c>
      <c r="E1019" s="7" t="n">
        <f aca="false">IF(ISBLANK(customer_churn_dataset!E1019),0,MAX(0,customer_churn_dataset!E1019))</f>
        <v>31</v>
      </c>
      <c r="F1019" s="8" t="n">
        <f aca="false">IF(ISBLANK(customer_churn_dataset!F1019),"",customer_churn_dataset!F1019)</f>
        <v>45156</v>
      </c>
      <c r="G1019" s="7" t="str">
        <f aca="false">PROPER(TRIM(customer_churn_dataset!G1019))</f>
        <v>Credit Card</v>
      </c>
      <c r="H1019" s="7" t="n">
        <f aca="false">IF(ISBLANK(customer_churn_dataset!H1019),0,customer_churn_dataset!H1019)</f>
        <v>1</v>
      </c>
      <c r="I1019" s="7" t="n">
        <f aca="false">IF(ISBLANK(customer_churn_dataset!I1019),ROUND(MEDIAN(customer_churn_dataset!I$2:I$1501),1),MIN(100,MAX(0,customer_churn_dataset!I1019)))</f>
        <v>62.9</v>
      </c>
      <c r="J1019" s="7" t="n">
        <f aca="false">IF(ISBLANK(customer_churn_dataset!J1019),0,MAX(0,customer_churn_dataset!J1019))</f>
        <v>16</v>
      </c>
      <c r="K1019" s="7" t="n">
        <f aca="false">IF(ISBLANK(customer_churn_dataset!K1019),0,MIN(10,MAX(0,customer_churn_dataset!K1019)))</f>
        <v>6</v>
      </c>
      <c r="L1019" s="7" t="n">
        <f aca="false">IF(ISBLANK(customer_churn_dataset!L1019),0,MAX(0,customer_churn_dataset!L1019))</f>
        <v>0</v>
      </c>
      <c r="M1019" s="7" t="n">
        <f aca="false">IF(ISBLANK(customer_churn_dataset!M1019),0,customer_churn_dataset!M1019)</f>
        <v>0</v>
      </c>
      <c r="N1019" s="7" t="n">
        <f aca="false">IF(ISBLANK(customer_churn_dataset!N1019),0,MAX(0,customer_churn_dataset!N1019))</f>
        <v>599.23</v>
      </c>
      <c r="O1019" s="7" t="n">
        <f aca="false">IF(ISBLANK(customer_churn_dataset!O1019),0,customer_churn_dataset!O1019)</f>
        <v>0</v>
      </c>
      <c r="P1019" s="7" t="str">
        <f aca="false">IF(COUNTIF(customer_churn_dataset!$A$2:$A$1501,customer_churn_dataset!A1019)&gt;1,"Duplicate","Unique")</f>
        <v>Unique</v>
      </c>
    </row>
    <row r="1020" customFormat="false" ht="14.15" hidden="false" customHeight="true" outlineLevel="0" collapsed="false">
      <c r="A1020" s="7" t="str">
        <f aca="false">TRIM(customer_churn_dataset!A1020)</f>
        <v>CUST100589</v>
      </c>
      <c r="B1020" s="7" t="str">
        <f aca="false">PROPER(TRIM(customer_churn_dataset!B1020))</f>
        <v>Basic</v>
      </c>
      <c r="C1020" s="7" t="str">
        <f aca="false">PROPER(TRIM(customer_churn_dataset!C1020))</f>
        <v>Two Year</v>
      </c>
      <c r="D1020" s="7" t="n">
        <f aca="false">IF(ISBLANK(customer_churn_dataset!D1020),ROUND(MEDIAN(customer_churn_dataset!D$2:D$1501),2),IF(customer_churn_dataset!D1020&lt;0,ABS(customer_churn_dataset!D1020),customer_churn_dataset!D1020))</f>
        <v>10.99</v>
      </c>
      <c r="E1020" s="7" t="n">
        <f aca="false">IF(ISBLANK(customer_churn_dataset!E1020),0,MAX(0,customer_churn_dataset!E1020))</f>
        <v>5</v>
      </c>
      <c r="F1020" s="8" t="n">
        <f aca="false">IF(ISBLANK(customer_churn_dataset!F1020),"",customer_churn_dataset!F1020)</f>
        <v>45157</v>
      </c>
      <c r="G1020" s="7" t="str">
        <f aca="false">PROPER(TRIM(customer_churn_dataset!G1020))</f>
        <v>Credit Card</v>
      </c>
      <c r="H1020" s="7" t="n">
        <f aca="false">IF(ISBLANK(customer_churn_dataset!H1020),0,customer_churn_dataset!H1020)</f>
        <v>1</v>
      </c>
      <c r="I1020" s="7" t="n">
        <f aca="false">IF(ISBLANK(customer_churn_dataset!I1020),ROUND(MEDIAN(customer_churn_dataset!I$2:I$1501),1),MIN(100,MAX(0,customer_churn_dataset!I1020)))</f>
        <v>68.7</v>
      </c>
      <c r="J1020" s="7" t="n">
        <f aca="false">IF(ISBLANK(customer_churn_dataset!J1020),0,MAX(0,customer_churn_dataset!J1020))</f>
        <v>13</v>
      </c>
      <c r="K1020" s="7" t="n">
        <f aca="false">IF(ISBLANK(customer_churn_dataset!K1020),0,MIN(10,MAX(0,customer_churn_dataset!K1020)))</f>
        <v>6</v>
      </c>
      <c r="L1020" s="7" t="n">
        <f aca="false">IF(ISBLANK(customer_churn_dataset!L1020),0,MAX(0,customer_churn_dataset!L1020))</f>
        <v>1</v>
      </c>
      <c r="M1020" s="7" t="n">
        <f aca="false">IF(ISBLANK(customer_churn_dataset!M1020),0,customer_churn_dataset!M1020)</f>
        <v>1</v>
      </c>
      <c r="N1020" s="7" t="n">
        <f aca="false">IF(ISBLANK(customer_churn_dataset!N1020),0,MAX(0,customer_churn_dataset!N1020))</f>
        <v>54.95</v>
      </c>
      <c r="O1020" s="7" t="n">
        <f aca="false">IF(ISBLANK(customer_churn_dataset!O1020),0,customer_churn_dataset!O1020)</f>
        <v>0</v>
      </c>
      <c r="P1020" s="7" t="str">
        <f aca="false">IF(COUNTIF(customer_churn_dataset!$A$2:$A$1501,customer_churn_dataset!A1020)&gt;1,"Duplicate","Unique")</f>
        <v>Unique</v>
      </c>
    </row>
    <row r="1021" customFormat="false" ht="14.15" hidden="false" customHeight="true" outlineLevel="0" collapsed="false">
      <c r="A1021" s="7" t="str">
        <f aca="false">TRIM(customer_churn_dataset!A1021)</f>
        <v>CUST101496</v>
      </c>
      <c r="B1021" s="7" t="str">
        <f aca="false">PROPER(TRIM(customer_churn_dataset!B1021))</f>
        <v>Standard</v>
      </c>
      <c r="C1021" s="7" t="str">
        <f aca="false">PROPER(TRIM(customer_churn_dataset!C1021))</f>
        <v>Month-To-Month</v>
      </c>
      <c r="D1021" s="7" t="n">
        <f aca="false">IF(ISBLANK(customer_churn_dataset!D1021),ROUND(MEDIAN(customer_churn_dataset!D$2:D$1501),2),IF(customer_churn_dataset!D1021&lt;0,ABS(customer_churn_dataset!D1021),customer_churn_dataset!D1021))</f>
        <v>18.9</v>
      </c>
      <c r="E1021" s="7" t="n">
        <f aca="false">IF(ISBLANK(customer_churn_dataset!E1021),0,MAX(0,customer_churn_dataset!E1021))</f>
        <v>6</v>
      </c>
      <c r="F1021" s="8" t="n">
        <f aca="false">IF(ISBLANK(customer_churn_dataset!F1021),"",customer_churn_dataset!F1021)</f>
        <v>45159</v>
      </c>
      <c r="G1021" s="7" t="str">
        <f aca="false">PROPER(TRIM(customer_churn_dataset!G1021))</f>
        <v>Credit Card</v>
      </c>
      <c r="H1021" s="7" t="n">
        <f aca="false">IF(ISBLANK(customer_churn_dataset!H1021),0,customer_churn_dataset!H1021)</f>
        <v>1</v>
      </c>
      <c r="I1021" s="7" t="n">
        <f aca="false">IF(ISBLANK(customer_churn_dataset!I1021),ROUND(MEDIAN(customer_churn_dataset!I$2:I$1501),1),MIN(100,MAX(0,customer_churn_dataset!I1021)))</f>
        <v>75.6</v>
      </c>
      <c r="J1021" s="7" t="n">
        <f aca="false">IF(ISBLANK(customer_churn_dataset!J1021),0,MAX(0,customer_churn_dataset!J1021))</f>
        <v>29</v>
      </c>
      <c r="K1021" s="7" t="n">
        <f aca="false">IF(ISBLANK(customer_churn_dataset!K1021),0,MIN(10,MAX(0,customer_churn_dataset!K1021)))</f>
        <v>10</v>
      </c>
      <c r="L1021" s="7" t="n">
        <f aca="false">IF(ISBLANK(customer_churn_dataset!L1021),0,MAX(0,customer_churn_dataset!L1021))</f>
        <v>2</v>
      </c>
      <c r="M1021" s="7" t="n">
        <f aca="false">IF(ISBLANK(customer_churn_dataset!M1021),0,customer_churn_dataset!M1021)</f>
        <v>1</v>
      </c>
      <c r="N1021" s="7" t="n">
        <f aca="false">IF(ISBLANK(customer_churn_dataset!N1021),0,MAX(0,customer_churn_dataset!N1021))</f>
        <v>113.4</v>
      </c>
      <c r="O1021" s="7" t="n">
        <f aca="false">IF(ISBLANK(customer_churn_dataset!O1021),0,customer_churn_dataset!O1021)</f>
        <v>0</v>
      </c>
      <c r="P1021" s="7" t="str">
        <f aca="false">IF(COUNTIF(customer_churn_dataset!$A$2:$A$1501,customer_churn_dataset!A1021)&gt;1,"Duplicate","Unique")</f>
        <v>Unique</v>
      </c>
    </row>
    <row r="1022" customFormat="false" ht="14.15" hidden="false" customHeight="true" outlineLevel="0" collapsed="false">
      <c r="A1022" s="7" t="str">
        <f aca="false">TRIM(customer_churn_dataset!A1022)</f>
        <v>CUST100744</v>
      </c>
      <c r="B1022" s="7" t="str">
        <f aca="false">PROPER(TRIM(customer_churn_dataset!B1022))</f>
        <v>Basic</v>
      </c>
      <c r="C1022" s="7" t="str">
        <f aca="false">PROPER(TRIM(customer_churn_dataset!C1022))</f>
        <v>One Year</v>
      </c>
      <c r="D1022" s="7" t="n">
        <f aca="false">IF(ISBLANK(customer_churn_dataset!D1022),ROUND(MEDIAN(customer_churn_dataset!D$2:D$1501),2),IF(customer_churn_dataset!D1022&lt;0,ABS(customer_churn_dataset!D1022),customer_churn_dataset!D1022))</f>
        <v>9.88</v>
      </c>
      <c r="E1022" s="7" t="n">
        <f aca="false">IF(ISBLANK(customer_churn_dataset!E1022),0,MAX(0,customer_churn_dataset!E1022))</f>
        <v>1</v>
      </c>
      <c r="F1022" s="8" t="n">
        <f aca="false">IF(ISBLANK(customer_churn_dataset!F1022),"",customer_churn_dataset!F1022)</f>
        <v>45161</v>
      </c>
      <c r="G1022" s="7" t="str">
        <f aca="false">PROPER(TRIM(customer_churn_dataset!G1022))</f>
        <v>Bank Transfer</v>
      </c>
      <c r="H1022" s="7" t="n">
        <f aca="false">IF(ISBLANK(customer_churn_dataset!H1022),0,customer_churn_dataset!H1022)</f>
        <v>1</v>
      </c>
      <c r="I1022" s="7" t="n">
        <f aca="false">IF(ISBLANK(customer_churn_dataset!I1022),ROUND(MEDIAN(customer_churn_dataset!I$2:I$1501),1),MIN(100,MAX(0,customer_churn_dataset!I1022)))</f>
        <v>19.1</v>
      </c>
      <c r="J1022" s="7" t="n">
        <f aca="false">IF(ISBLANK(customer_churn_dataset!J1022),0,MAX(0,customer_churn_dataset!J1022))</f>
        <v>6</v>
      </c>
      <c r="K1022" s="7" t="n">
        <f aca="false">IF(ISBLANK(customer_churn_dataset!K1022),0,MIN(10,MAX(0,customer_churn_dataset!K1022)))</f>
        <v>2</v>
      </c>
      <c r="L1022" s="7" t="n">
        <f aca="false">IF(ISBLANK(customer_churn_dataset!L1022),0,MAX(0,customer_churn_dataset!L1022))</f>
        <v>0</v>
      </c>
      <c r="M1022" s="7" t="n">
        <f aca="false">IF(ISBLANK(customer_churn_dataset!M1022),0,customer_churn_dataset!M1022)</f>
        <v>0</v>
      </c>
      <c r="N1022" s="7" t="n">
        <f aca="false">IF(ISBLANK(customer_churn_dataset!N1022),0,MAX(0,customer_churn_dataset!N1022))</f>
        <v>9.88</v>
      </c>
      <c r="O1022" s="7" t="n">
        <f aca="false">IF(ISBLANK(customer_churn_dataset!O1022),0,customer_churn_dataset!O1022)</f>
        <v>0</v>
      </c>
      <c r="P1022" s="7" t="str">
        <f aca="false">IF(COUNTIF(customer_churn_dataset!$A$2:$A$1501,customer_churn_dataset!A1022)&gt;1,"Duplicate","Unique")</f>
        <v>Unique</v>
      </c>
    </row>
    <row r="1023" customFormat="false" ht="14.15" hidden="false" customHeight="true" outlineLevel="0" collapsed="false">
      <c r="A1023" s="7" t="str">
        <f aca="false">TRIM(customer_churn_dataset!A1023)</f>
        <v>CUST100393</v>
      </c>
      <c r="B1023" s="7" t="str">
        <f aca="false">PROPER(TRIM(customer_churn_dataset!B1023))</f>
        <v>Standard</v>
      </c>
      <c r="C1023" s="7" t="str">
        <f aca="false">PROPER(TRIM(customer_churn_dataset!C1023))</f>
        <v>One Year</v>
      </c>
      <c r="D1023" s="7" t="n">
        <f aca="false">IF(ISBLANK(customer_churn_dataset!D1023),ROUND(MEDIAN(customer_churn_dataset!D$2:D$1501),2),IF(customer_churn_dataset!D1023&lt;0,ABS(customer_churn_dataset!D1023),customer_churn_dataset!D1023))</f>
        <v>19.16</v>
      </c>
      <c r="E1023" s="7" t="n">
        <f aca="false">IF(ISBLANK(customer_churn_dataset!E1023),0,MAX(0,customer_churn_dataset!E1023))</f>
        <v>46</v>
      </c>
      <c r="F1023" s="8" t="n">
        <f aca="false">IF(ISBLANK(customer_churn_dataset!F1023),"",customer_churn_dataset!F1023)</f>
        <v>45161</v>
      </c>
      <c r="G1023" s="7" t="str">
        <f aca="false">PROPER(TRIM(customer_churn_dataset!G1023))</f>
        <v>Credit Card</v>
      </c>
      <c r="H1023" s="7" t="n">
        <f aca="false">IF(ISBLANK(customer_churn_dataset!H1023),0,customer_churn_dataset!H1023)</f>
        <v>0</v>
      </c>
      <c r="I1023" s="7" t="n">
        <f aca="false">IF(ISBLANK(customer_churn_dataset!I1023),ROUND(MEDIAN(customer_churn_dataset!I$2:I$1501),1),MIN(100,MAX(0,customer_churn_dataset!I1023)))</f>
        <v>42.6</v>
      </c>
      <c r="J1023" s="7" t="n">
        <f aca="false">IF(ISBLANK(customer_churn_dataset!J1023),0,MAX(0,customer_churn_dataset!J1023))</f>
        <v>11</v>
      </c>
      <c r="K1023" s="7" t="n">
        <f aca="false">IF(ISBLANK(customer_churn_dataset!K1023),0,MIN(10,MAX(0,customer_churn_dataset!K1023)))</f>
        <v>6</v>
      </c>
      <c r="L1023" s="7" t="n">
        <f aca="false">IF(ISBLANK(customer_churn_dataset!L1023),0,MAX(0,customer_churn_dataset!L1023))</f>
        <v>1</v>
      </c>
      <c r="M1023" s="7" t="n">
        <f aca="false">IF(ISBLANK(customer_churn_dataset!M1023),0,customer_churn_dataset!M1023)</f>
        <v>1</v>
      </c>
      <c r="N1023" s="7" t="n">
        <f aca="false">IF(ISBLANK(customer_churn_dataset!N1023),0,MAX(0,customer_churn_dataset!N1023))</f>
        <v>881.36</v>
      </c>
      <c r="O1023" s="7" t="n">
        <f aca="false">IF(ISBLANK(customer_churn_dataset!O1023),0,customer_churn_dataset!O1023)</f>
        <v>0</v>
      </c>
      <c r="P1023" s="7" t="str">
        <f aca="false">IF(COUNTIF(customer_churn_dataset!$A$2:$A$1501,customer_churn_dataset!A1023)&gt;1,"Duplicate","Unique")</f>
        <v>Unique</v>
      </c>
    </row>
    <row r="1024" customFormat="false" ht="14.15" hidden="false" customHeight="true" outlineLevel="0" collapsed="false">
      <c r="A1024" s="7" t="str">
        <f aca="false">TRIM(customer_churn_dataset!A1024)</f>
        <v>CUST100979</v>
      </c>
      <c r="B1024" s="7" t="str">
        <f aca="false">PROPER(TRIM(customer_churn_dataset!B1024))</f>
        <v>Standard</v>
      </c>
      <c r="C1024" s="7" t="str">
        <f aca="false">PROPER(TRIM(customer_churn_dataset!C1024))</f>
        <v>Month-To-Month</v>
      </c>
      <c r="D1024" s="7" t="n">
        <f aca="false">IF(ISBLANK(customer_churn_dataset!D1024),ROUND(MEDIAN(customer_churn_dataset!D$2:D$1501),2),IF(customer_churn_dataset!D1024&lt;0,ABS(customer_churn_dataset!D1024),customer_churn_dataset!D1024))</f>
        <v>18.52</v>
      </c>
      <c r="E1024" s="7" t="n">
        <f aca="false">IF(ISBLANK(customer_churn_dataset!E1024),0,MAX(0,customer_churn_dataset!E1024))</f>
        <v>5</v>
      </c>
      <c r="F1024" s="8" t="n">
        <f aca="false">IF(ISBLANK(customer_churn_dataset!F1024),"",customer_churn_dataset!F1024)</f>
        <v>45162</v>
      </c>
      <c r="G1024" s="7" t="str">
        <f aca="false">PROPER(TRIM(customer_churn_dataset!G1024))</f>
        <v>Credit Card</v>
      </c>
      <c r="H1024" s="7" t="n">
        <f aca="false">IF(ISBLANK(customer_churn_dataset!H1024),0,customer_churn_dataset!H1024)</f>
        <v>1</v>
      </c>
      <c r="I1024" s="7" t="n">
        <f aca="false">IF(ISBLANK(customer_churn_dataset!I1024),ROUND(MEDIAN(customer_churn_dataset!I$2:I$1501),1),MIN(100,MAX(0,customer_churn_dataset!I1024)))</f>
        <v>40.5</v>
      </c>
      <c r="J1024" s="7" t="n">
        <f aca="false">IF(ISBLANK(customer_churn_dataset!J1024),0,MAX(0,customer_churn_dataset!J1024))</f>
        <v>6</v>
      </c>
      <c r="K1024" s="7" t="n">
        <f aca="false">IF(ISBLANK(customer_churn_dataset!K1024),0,MIN(10,MAX(0,customer_churn_dataset!K1024)))</f>
        <v>6</v>
      </c>
      <c r="L1024" s="7" t="n">
        <f aca="false">IF(ISBLANK(customer_churn_dataset!L1024),0,MAX(0,customer_churn_dataset!L1024))</f>
        <v>1</v>
      </c>
      <c r="M1024" s="7" t="n">
        <f aca="false">IF(ISBLANK(customer_churn_dataset!M1024),0,customer_churn_dataset!M1024)</f>
        <v>1</v>
      </c>
      <c r="N1024" s="7" t="n">
        <f aca="false">IF(ISBLANK(customer_churn_dataset!N1024),0,MAX(0,customer_churn_dataset!N1024))</f>
        <v>92.6</v>
      </c>
      <c r="O1024" s="7" t="n">
        <f aca="false">IF(ISBLANK(customer_churn_dataset!O1024),0,customer_churn_dataset!O1024)</f>
        <v>1</v>
      </c>
      <c r="P1024" s="7" t="str">
        <f aca="false">IF(COUNTIF(customer_churn_dataset!$A$2:$A$1501,customer_churn_dataset!A1024)&gt;1,"Duplicate","Unique")</f>
        <v>Unique</v>
      </c>
    </row>
    <row r="1025" customFormat="false" ht="14.15" hidden="false" customHeight="true" outlineLevel="0" collapsed="false">
      <c r="A1025" s="7" t="str">
        <f aca="false">TRIM(customer_churn_dataset!A1025)</f>
        <v>CUST101356</v>
      </c>
      <c r="B1025" s="7" t="str">
        <f aca="false">PROPER(TRIM(customer_churn_dataset!B1025))</f>
        <v>Premium</v>
      </c>
      <c r="C1025" s="7" t="str">
        <f aca="false">PROPER(TRIM(customer_churn_dataset!C1025))</f>
        <v>Month-To-Month</v>
      </c>
      <c r="D1025" s="7" t="n">
        <f aca="false">IF(ISBLANK(customer_churn_dataset!D1025),ROUND(MEDIAN(customer_churn_dataset!D$2:D$1501),2),IF(customer_churn_dataset!D1025&lt;0,ABS(customer_churn_dataset!D1025),customer_churn_dataset!D1025))</f>
        <v>40.08</v>
      </c>
      <c r="E1025" s="7" t="n">
        <f aca="false">IF(ISBLANK(customer_churn_dataset!E1025),0,MAX(0,customer_churn_dataset!E1025))</f>
        <v>4</v>
      </c>
      <c r="F1025" s="8" t="n">
        <f aca="false">IF(ISBLANK(customer_churn_dataset!F1025),"",customer_churn_dataset!F1025)</f>
        <v>45165</v>
      </c>
      <c r="G1025" s="7" t="str">
        <f aca="false">PROPER(TRIM(customer_churn_dataset!G1025))</f>
        <v>Credit Card</v>
      </c>
      <c r="H1025" s="7" t="n">
        <f aca="false">IF(ISBLANK(customer_churn_dataset!H1025),0,customer_churn_dataset!H1025)</f>
        <v>1</v>
      </c>
      <c r="I1025" s="7" t="n">
        <f aca="false">IF(ISBLANK(customer_churn_dataset!I1025),ROUND(MEDIAN(customer_churn_dataset!I$2:I$1501),1),MIN(100,MAX(0,customer_churn_dataset!I1025)))</f>
        <v>81.3</v>
      </c>
      <c r="J1025" s="7" t="n">
        <f aca="false">IF(ISBLANK(customer_churn_dataset!J1025),0,MAX(0,customer_churn_dataset!J1025))</f>
        <v>24</v>
      </c>
      <c r="K1025" s="7" t="n">
        <f aca="false">IF(ISBLANK(customer_churn_dataset!K1025),0,MIN(10,MAX(0,customer_churn_dataset!K1025)))</f>
        <v>9</v>
      </c>
      <c r="L1025" s="7" t="n">
        <f aca="false">IF(ISBLANK(customer_churn_dataset!L1025),0,MAX(0,customer_churn_dataset!L1025))</f>
        <v>1</v>
      </c>
      <c r="M1025" s="7" t="n">
        <f aca="false">IF(ISBLANK(customer_churn_dataset!M1025),0,customer_churn_dataset!M1025)</f>
        <v>1</v>
      </c>
      <c r="N1025" s="7" t="n">
        <f aca="false">IF(ISBLANK(customer_churn_dataset!N1025),0,MAX(0,customer_churn_dataset!N1025))</f>
        <v>160.32</v>
      </c>
      <c r="O1025" s="7" t="n">
        <f aca="false">IF(ISBLANK(customer_churn_dataset!O1025),0,customer_churn_dataset!O1025)</f>
        <v>0</v>
      </c>
      <c r="P1025" s="7" t="str">
        <f aca="false">IF(COUNTIF(customer_churn_dataset!$A$2:$A$1501,customer_churn_dataset!A1025)&gt;1,"Duplicate","Unique")</f>
        <v>Unique</v>
      </c>
    </row>
    <row r="1026" customFormat="false" ht="14.15" hidden="false" customHeight="true" outlineLevel="0" collapsed="false">
      <c r="A1026" s="7" t="str">
        <f aca="false">TRIM(customer_churn_dataset!A1026)</f>
        <v>CUST100495</v>
      </c>
      <c r="B1026" s="7" t="str">
        <f aca="false">PROPER(TRIM(customer_churn_dataset!B1026))</f>
        <v>Basic</v>
      </c>
      <c r="C1026" s="7" t="str">
        <f aca="false">PROPER(TRIM(customer_churn_dataset!C1026))</f>
        <v>One Year</v>
      </c>
      <c r="D1026" s="7" t="n">
        <f aca="false">IF(ISBLANK(customer_churn_dataset!D1026),ROUND(MEDIAN(customer_churn_dataset!D$2:D$1501),2),IF(customer_churn_dataset!D1026&lt;0,ABS(customer_churn_dataset!D1026),customer_churn_dataset!D1026))</f>
        <v>9.69</v>
      </c>
      <c r="E1026" s="7" t="n">
        <f aca="false">IF(ISBLANK(customer_churn_dataset!E1026),0,MAX(0,customer_churn_dataset!E1026))</f>
        <v>5</v>
      </c>
      <c r="F1026" s="8" t="n">
        <f aca="false">IF(ISBLANK(customer_churn_dataset!F1026),"",customer_churn_dataset!F1026)</f>
        <v>45166</v>
      </c>
      <c r="G1026" s="7" t="str">
        <f aca="false">PROPER(TRIM(customer_churn_dataset!G1026))</f>
        <v>Manual/Invoice</v>
      </c>
      <c r="H1026" s="7" t="n">
        <f aca="false">IF(ISBLANK(customer_churn_dataset!H1026),0,customer_churn_dataset!H1026)</f>
        <v>1</v>
      </c>
      <c r="I1026" s="7" t="n">
        <f aca="false">IF(ISBLANK(customer_churn_dataset!I1026),ROUND(MEDIAN(customer_churn_dataset!I$2:I$1501),1),MIN(100,MAX(0,customer_churn_dataset!I1026)))</f>
        <v>33.4</v>
      </c>
      <c r="J1026" s="7" t="n">
        <f aca="false">IF(ISBLANK(customer_churn_dataset!J1026),0,MAX(0,customer_churn_dataset!J1026))</f>
        <v>14</v>
      </c>
      <c r="K1026" s="7" t="n">
        <f aca="false">IF(ISBLANK(customer_churn_dataset!K1026),0,MIN(10,MAX(0,customer_churn_dataset!K1026)))</f>
        <v>2</v>
      </c>
      <c r="L1026" s="7" t="n">
        <f aca="false">IF(ISBLANK(customer_churn_dataset!L1026),0,MAX(0,customer_churn_dataset!L1026))</f>
        <v>2</v>
      </c>
      <c r="M1026" s="7" t="n">
        <f aca="false">IF(ISBLANK(customer_churn_dataset!M1026),0,customer_churn_dataset!M1026)</f>
        <v>0</v>
      </c>
      <c r="N1026" s="7" t="n">
        <f aca="false">IF(ISBLANK(customer_churn_dataset!N1026),0,MAX(0,customer_churn_dataset!N1026))</f>
        <v>48.45</v>
      </c>
      <c r="O1026" s="7" t="n">
        <f aca="false">IF(ISBLANK(customer_churn_dataset!O1026),0,customer_churn_dataset!O1026)</f>
        <v>0</v>
      </c>
      <c r="P1026" s="7" t="str">
        <f aca="false">IF(COUNTIF(customer_churn_dataset!$A$2:$A$1501,customer_churn_dataset!A1026)&gt;1,"Duplicate","Unique")</f>
        <v>Unique</v>
      </c>
    </row>
    <row r="1027" customFormat="false" ht="14.15" hidden="false" customHeight="true" outlineLevel="0" collapsed="false">
      <c r="A1027" s="7" t="str">
        <f aca="false">TRIM(customer_churn_dataset!A1027)</f>
        <v>CUST101153</v>
      </c>
      <c r="B1027" s="7" t="str">
        <f aca="false">PROPER(TRIM(customer_churn_dataset!B1027))</f>
        <v>Standard</v>
      </c>
      <c r="C1027" s="7" t="str">
        <f aca="false">PROPER(TRIM(customer_churn_dataset!C1027))</f>
        <v>Month-To-Month</v>
      </c>
      <c r="D1027" s="7" t="n">
        <f aca="false">IF(ISBLANK(customer_churn_dataset!D1027),ROUND(MEDIAN(customer_churn_dataset!D$2:D$1501),2),IF(customer_churn_dataset!D1027&lt;0,ABS(customer_churn_dataset!D1027),customer_churn_dataset!D1027))</f>
        <v>20.49</v>
      </c>
      <c r="E1027" s="7" t="n">
        <f aca="false">IF(ISBLANK(customer_churn_dataset!E1027),0,MAX(0,customer_churn_dataset!E1027))</f>
        <v>2</v>
      </c>
      <c r="F1027" s="8" t="n">
        <f aca="false">IF(ISBLANK(customer_churn_dataset!F1027),"",customer_churn_dataset!F1027)</f>
        <v>45166</v>
      </c>
      <c r="G1027" s="7" t="str">
        <f aca="false">PROPER(TRIM(customer_churn_dataset!G1027))</f>
        <v>Credit Card</v>
      </c>
      <c r="H1027" s="7" t="n">
        <f aca="false">IF(ISBLANK(customer_churn_dataset!H1027),0,customer_churn_dataset!H1027)</f>
        <v>1</v>
      </c>
      <c r="I1027" s="7" t="n">
        <f aca="false">IF(ISBLANK(customer_churn_dataset!I1027),ROUND(MEDIAN(customer_churn_dataset!I$2:I$1501),1),MIN(100,MAX(0,customer_churn_dataset!I1027)))</f>
        <v>78.6</v>
      </c>
      <c r="J1027" s="7" t="n">
        <f aca="false">IF(ISBLANK(customer_churn_dataset!J1027),0,MAX(0,customer_churn_dataset!J1027))</f>
        <v>16</v>
      </c>
      <c r="K1027" s="7" t="n">
        <f aca="false">IF(ISBLANK(customer_churn_dataset!K1027),0,MIN(10,MAX(0,customer_churn_dataset!K1027)))</f>
        <v>7</v>
      </c>
      <c r="L1027" s="7" t="n">
        <f aca="false">IF(ISBLANK(customer_churn_dataset!L1027),0,MAX(0,customer_churn_dataset!L1027))</f>
        <v>0</v>
      </c>
      <c r="M1027" s="7" t="n">
        <f aca="false">IF(ISBLANK(customer_churn_dataset!M1027),0,customer_churn_dataset!M1027)</f>
        <v>0</v>
      </c>
      <c r="N1027" s="7" t="n">
        <f aca="false">IF(ISBLANK(customer_churn_dataset!N1027),0,MAX(0,customer_churn_dataset!N1027))</f>
        <v>40.98</v>
      </c>
      <c r="O1027" s="7" t="n">
        <f aca="false">IF(ISBLANK(customer_churn_dataset!O1027),0,customer_churn_dataset!O1027)</f>
        <v>0</v>
      </c>
      <c r="P1027" s="7" t="str">
        <f aca="false">IF(COUNTIF(customer_churn_dataset!$A$2:$A$1501,customer_churn_dataset!A1027)&gt;1,"Duplicate","Unique")</f>
        <v>Unique</v>
      </c>
    </row>
    <row r="1028" customFormat="false" ht="14.15" hidden="false" customHeight="true" outlineLevel="0" collapsed="false">
      <c r="A1028" s="7" t="str">
        <f aca="false">TRIM(customer_churn_dataset!A1028)</f>
        <v>CUST100699</v>
      </c>
      <c r="B1028" s="7" t="str">
        <f aca="false">PROPER(TRIM(customer_churn_dataset!B1028))</f>
        <v>Standard</v>
      </c>
      <c r="C1028" s="7" t="str">
        <f aca="false">PROPER(TRIM(customer_churn_dataset!C1028))</f>
        <v>Month-To-Month</v>
      </c>
      <c r="D1028" s="7" t="n">
        <f aca="false">IF(ISBLANK(customer_churn_dataset!D1028),ROUND(MEDIAN(customer_churn_dataset!D$2:D$1501),2),IF(customer_churn_dataset!D1028&lt;0,ABS(customer_churn_dataset!D1028),customer_churn_dataset!D1028))</f>
        <v>20.25</v>
      </c>
      <c r="E1028" s="7" t="n">
        <f aca="false">IF(ISBLANK(customer_churn_dataset!E1028),0,MAX(0,customer_churn_dataset!E1028))</f>
        <v>0</v>
      </c>
      <c r="F1028" s="8" t="n">
        <f aca="false">IF(ISBLANK(customer_churn_dataset!F1028),"",customer_churn_dataset!F1028)</f>
        <v>45166</v>
      </c>
      <c r="G1028" s="7" t="str">
        <f aca="false">PROPER(TRIM(customer_churn_dataset!G1028))</f>
        <v>Paypal</v>
      </c>
      <c r="H1028" s="7" t="n">
        <f aca="false">IF(ISBLANK(customer_churn_dataset!H1028),0,customer_churn_dataset!H1028)</f>
        <v>0</v>
      </c>
      <c r="I1028" s="7" t="n">
        <f aca="false">IF(ISBLANK(customer_churn_dataset!I1028),ROUND(MEDIAN(customer_churn_dataset!I$2:I$1501),1),MIN(100,MAX(0,customer_churn_dataset!I1028)))</f>
        <v>25.5</v>
      </c>
      <c r="J1028" s="7" t="n">
        <f aca="false">IF(ISBLANK(customer_churn_dataset!J1028),0,MAX(0,customer_churn_dataset!J1028))</f>
        <v>7</v>
      </c>
      <c r="K1028" s="7" t="n">
        <f aca="false">IF(ISBLANK(customer_churn_dataset!K1028),0,MIN(10,MAX(0,customer_churn_dataset!K1028)))</f>
        <v>4</v>
      </c>
      <c r="L1028" s="7" t="n">
        <f aca="false">IF(ISBLANK(customer_churn_dataset!L1028),0,MAX(0,customer_churn_dataset!L1028))</f>
        <v>2</v>
      </c>
      <c r="M1028" s="7" t="n">
        <f aca="false">IF(ISBLANK(customer_churn_dataset!M1028),0,customer_churn_dataset!M1028)</f>
        <v>1</v>
      </c>
      <c r="N1028" s="7" t="n">
        <f aca="false">IF(ISBLANK(customer_churn_dataset!N1028),0,MAX(0,customer_churn_dataset!N1028))</f>
        <v>0</v>
      </c>
      <c r="O1028" s="7" t="n">
        <f aca="false">IF(ISBLANK(customer_churn_dataset!O1028),0,customer_churn_dataset!O1028)</f>
        <v>0</v>
      </c>
      <c r="P1028" s="7" t="str">
        <f aca="false">IF(COUNTIF(customer_churn_dataset!$A$2:$A$1501,customer_churn_dataset!A1028)&gt;1,"Duplicate","Unique")</f>
        <v>Unique</v>
      </c>
    </row>
    <row r="1029" customFormat="false" ht="14.15" hidden="false" customHeight="true" outlineLevel="0" collapsed="false">
      <c r="A1029" s="7" t="str">
        <f aca="false">TRIM(customer_churn_dataset!A1029)</f>
        <v>CUST100532</v>
      </c>
      <c r="B1029" s="7" t="str">
        <f aca="false">PROPER(TRIM(customer_churn_dataset!B1029))</f>
        <v>Premium</v>
      </c>
      <c r="C1029" s="7" t="str">
        <f aca="false">PROPER(TRIM(customer_churn_dataset!C1029))</f>
        <v>Month-To-Month</v>
      </c>
      <c r="D1029" s="7" t="n">
        <f aca="false">IF(ISBLANK(customer_churn_dataset!D1029),ROUND(MEDIAN(customer_churn_dataset!D$2:D$1501),2),IF(customer_churn_dataset!D1029&lt;0,ABS(customer_churn_dataset!D1029),customer_churn_dataset!D1029))</f>
        <v>40.86</v>
      </c>
      <c r="E1029" s="7" t="n">
        <f aca="false">IF(ISBLANK(customer_churn_dataset!E1029),0,MAX(0,customer_churn_dataset!E1029))</f>
        <v>11</v>
      </c>
      <c r="F1029" s="8" t="n">
        <f aca="false">IF(ISBLANK(customer_churn_dataset!F1029),"",customer_churn_dataset!F1029)</f>
        <v>45166</v>
      </c>
      <c r="G1029" s="7" t="str">
        <f aca="false">PROPER(TRIM(customer_churn_dataset!G1029))</f>
        <v>Credit Card</v>
      </c>
      <c r="H1029" s="7" t="n">
        <f aca="false">IF(ISBLANK(customer_churn_dataset!H1029),0,customer_churn_dataset!H1029)</f>
        <v>1</v>
      </c>
      <c r="I1029" s="7" t="n">
        <f aca="false">IF(ISBLANK(customer_churn_dataset!I1029),ROUND(MEDIAN(customer_churn_dataset!I$2:I$1501),1),MIN(100,MAX(0,customer_churn_dataset!I1029)))</f>
        <v>57.9</v>
      </c>
      <c r="J1029" s="7" t="n">
        <f aca="false">IF(ISBLANK(customer_churn_dataset!J1029),0,MAX(0,customer_churn_dataset!J1029))</f>
        <v>9</v>
      </c>
      <c r="K1029" s="7" t="n">
        <f aca="false">IF(ISBLANK(customer_churn_dataset!K1029),0,MIN(10,MAX(0,customer_churn_dataset!K1029)))</f>
        <v>8</v>
      </c>
      <c r="L1029" s="7" t="n">
        <f aca="false">IF(ISBLANK(customer_churn_dataset!L1029),0,MAX(0,customer_churn_dataset!L1029))</f>
        <v>3</v>
      </c>
      <c r="M1029" s="7" t="n">
        <f aca="false">IF(ISBLANK(customer_churn_dataset!M1029),0,customer_churn_dataset!M1029)</f>
        <v>1</v>
      </c>
      <c r="N1029" s="7" t="n">
        <f aca="false">IF(ISBLANK(customer_churn_dataset!N1029),0,MAX(0,customer_churn_dataset!N1029))</f>
        <v>449.46</v>
      </c>
      <c r="O1029" s="7" t="n">
        <f aca="false">IF(ISBLANK(customer_churn_dataset!O1029),0,customer_churn_dataset!O1029)</f>
        <v>1</v>
      </c>
      <c r="P1029" s="7" t="str">
        <f aca="false">IF(COUNTIF(customer_churn_dataset!$A$2:$A$1501,customer_churn_dataset!A1029)&gt;1,"Duplicate","Unique")</f>
        <v>Unique</v>
      </c>
    </row>
    <row r="1030" customFormat="false" ht="14.15" hidden="false" customHeight="true" outlineLevel="0" collapsed="false">
      <c r="A1030" s="7" t="str">
        <f aca="false">TRIM(customer_churn_dataset!A1030)</f>
        <v>CUST100893</v>
      </c>
      <c r="B1030" s="7" t="str">
        <f aca="false">PROPER(TRIM(customer_churn_dataset!B1030))</f>
        <v>Basic</v>
      </c>
      <c r="C1030" s="7" t="str">
        <f aca="false">PROPER(TRIM(customer_churn_dataset!C1030))</f>
        <v>Month-To-Month</v>
      </c>
      <c r="D1030" s="7" t="n">
        <f aca="false">IF(ISBLANK(customer_churn_dataset!D1030),ROUND(MEDIAN(customer_churn_dataset!D$2:D$1501),2),IF(customer_churn_dataset!D1030&lt;0,ABS(customer_churn_dataset!D1030),customer_churn_dataset!D1030))</f>
        <v>9.69</v>
      </c>
      <c r="E1030" s="7" t="n">
        <f aca="false">IF(ISBLANK(customer_churn_dataset!E1030),0,MAX(0,customer_churn_dataset!E1030))</f>
        <v>8</v>
      </c>
      <c r="F1030" s="8" t="n">
        <f aca="false">IF(ISBLANK(customer_churn_dataset!F1030),"",customer_churn_dataset!F1030)</f>
        <v>45166</v>
      </c>
      <c r="G1030" s="7" t="str">
        <f aca="false">PROPER(TRIM(customer_churn_dataset!G1030))</f>
        <v>Credit Card</v>
      </c>
      <c r="H1030" s="7" t="n">
        <f aca="false">IF(ISBLANK(customer_churn_dataset!H1030),0,customer_churn_dataset!H1030)</f>
        <v>1</v>
      </c>
      <c r="I1030" s="7" t="n">
        <f aca="false">IF(ISBLANK(customer_churn_dataset!I1030),ROUND(MEDIAN(customer_churn_dataset!I$2:I$1501),1),MIN(100,MAX(0,customer_churn_dataset!I1030)))</f>
        <v>78.8</v>
      </c>
      <c r="J1030" s="7" t="n">
        <f aca="false">IF(ISBLANK(customer_churn_dataset!J1030),0,MAX(0,customer_churn_dataset!J1030))</f>
        <v>24</v>
      </c>
      <c r="K1030" s="7" t="n">
        <f aca="false">IF(ISBLANK(customer_churn_dataset!K1030),0,MIN(10,MAX(0,customer_churn_dataset!K1030)))</f>
        <v>6</v>
      </c>
      <c r="L1030" s="7" t="n">
        <f aca="false">IF(ISBLANK(customer_churn_dataset!L1030),0,MAX(0,customer_churn_dataset!L1030))</f>
        <v>2</v>
      </c>
      <c r="M1030" s="7" t="n">
        <f aca="false">IF(ISBLANK(customer_churn_dataset!M1030),0,customer_churn_dataset!M1030)</f>
        <v>0</v>
      </c>
      <c r="N1030" s="7" t="n">
        <f aca="false">IF(ISBLANK(customer_churn_dataset!N1030),0,MAX(0,customer_churn_dataset!N1030))</f>
        <v>77.52</v>
      </c>
      <c r="O1030" s="7" t="n">
        <f aca="false">IF(ISBLANK(customer_churn_dataset!O1030),0,customer_churn_dataset!O1030)</f>
        <v>0</v>
      </c>
      <c r="P1030" s="7" t="str">
        <f aca="false">IF(COUNTIF(customer_churn_dataset!$A$2:$A$1501,customer_churn_dataset!A1030)&gt;1,"Duplicate","Unique")</f>
        <v>Unique</v>
      </c>
    </row>
    <row r="1031" customFormat="false" ht="14.15" hidden="false" customHeight="true" outlineLevel="0" collapsed="false">
      <c r="A1031" s="7" t="str">
        <f aca="false">TRIM(customer_churn_dataset!A1031)</f>
        <v>CUST101330</v>
      </c>
      <c r="B1031" s="7" t="str">
        <f aca="false">PROPER(TRIM(customer_churn_dataset!B1031))</f>
        <v>Standard</v>
      </c>
      <c r="C1031" s="7" t="str">
        <f aca="false">PROPER(TRIM(customer_churn_dataset!C1031))</f>
        <v>Month-To-Month</v>
      </c>
      <c r="D1031" s="7" t="n">
        <f aca="false">IF(ISBLANK(customer_churn_dataset!D1031),ROUND(MEDIAN(customer_churn_dataset!D$2:D$1501),2),IF(customer_churn_dataset!D1031&lt;0,ABS(customer_churn_dataset!D1031),customer_churn_dataset!D1031))</f>
        <v>19.98</v>
      </c>
      <c r="E1031" s="7" t="n">
        <f aca="false">IF(ISBLANK(customer_churn_dataset!E1031),0,MAX(0,customer_churn_dataset!E1031))</f>
        <v>6</v>
      </c>
      <c r="F1031" s="8" t="n">
        <f aca="false">IF(ISBLANK(customer_churn_dataset!F1031),"",customer_churn_dataset!F1031)</f>
        <v>45166</v>
      </c>
      <c r="G1031" s="7" t="str">
        <f aca="false">PROPER(TRIM(customer_churn_dataset!G1031))</f>
        <v>Credit Card</v>
      </c>
      <c r="H1031" s="7" t="n">
        <f aca="false">IF(ISBLANK(customer_churn_dataset!H1031),0,customer_churn_dataset!H1031)</f>
        <v>1</v>
      </c>
      <c r="I1031" s="7" t="n">
        <f aca="false">IF(ISBLANK(customer_churn_dataset!I1031),ROUND(MEDIAN(customer_churn_dataset!I$2:I$1501),1),MIN(100,MAX(0,customer_churn_dataset!I1031)))</f>
        <v>80.2</v>
      </c>
      <c r="J1031" s="7" t="n">
        <f aca="false">IF(ISBLANK(customer_churn_dataset!J1031),0,MAX(0,customer_churn_dataset!J1031))</f>
        <v>24</v>
      </c>
      <c r="K1031" s="7" t="n">
        <f aca="false">IF(ISBLANK(customer_churn_dataset!K1031),0,MIN(10,MAX(0,customer_churn_dataset!K1031)))</f>
        <v>10</v>
      </c>
      <c r="L1031" s="7" t="n">
        <f aca="false">IF(ISBLANK(customer_churn_dataset!L1031),0,MAX(0,customer_churn_dataset!L1031))</f>
        <v>0</v>
      </c>
      <c r="M1031" s="7" t="n">
        <f aca="false">IF(ISBLANK(customer_churn_dataset!M1031),0,customer_churn_dataset!M1031)</f>
        <v>0</v>
      </c>
      <c r="N1031" s="7" t="n">
        <f aca="false">IF(ISBLANK(customer_churn_dataset!N1031),0,MAX(0,customer_churn_dataset!N1031))</f>
        <v>119.88</v>
      </c>
      <c r="O1031" s="7" t="n">
        <f aca="false">IF(ISBLANK(customer_churn_dataset!O1031),0,customer_churn_dataset!O1031)</f>
        <v>0</v>
      </c>
      <c r="P1031" s="7" t="str">
        <f aca="false">IF(COUNTIF(customer_churn_dataset!$A$2:$A$1501,customer_churn_dataset!A1031)&gt;1,"Duplicate","Unique")</f>
        <v>Unique</v>
      </c>
    </row>
    <row r="1032" customFormat="false" ht="14.15" hidden="false" customHeight="true" outlineLevel="0" collapsed="false">
      <c r="A1032" s="7" t="str">
        <f aca="false">TRIM(customer_churn_dataset!A1032)</f>
        <v>CUST100423</v>
      </c>
      <c r="B1032" s="7" t="str">
        <f aca="false">PROPER(TRIM(customer_churn_dataset!B1032))</f>
        <v>Standard</v>
      </c>
      <c r="C1032" s="7" t="str">
        <f aca="false">PROPER(TRIM(customer_churn_dataset!C1032))</f>
        <v>Two Year</v>
      </c>
      <c r="D1032" s="7" t="n">
        <f aca="false">IF(ISBLANK(customer_churn_dataset!D1032),ROUND(MEDIAN(customer_churn_dataset!D$2:D$1501),2),IF(customer_churn_dataset!D1032&lt;0,ABS(customer_churn_dataset!D1032),customer_churn_dataset!D1032))</f>
        <v>20.05</v>
      </c>
      <c r="E1032" s="7" t="n">
        <f aca="false">IF(ISBLANK(customer_churn_dataset!E1032),0,MAX(0,customer_churn_dataset!E1032))</f>
        <v>28</v>
      </c>
      <c r="F1032" s="8" t="n">
        <f aca="false">IF(ISBLANK(customer_churn_dataset!F1032),"",customer_churn_dataset!F1032)</f>
        <v>45168</v>
      </c>
      <c r="G1032" s="7" t="str">
        <f aca="false">PROPER(TRIM(customer_churn_dataset!G1032))</f>
        <v>Paypal</v>
      </c>
      <c r="H1032" s="7" t="n">
        <f aca="false">IF(ISBLANK(customer_churn_dataset!H1032),0,customer_churn_dataset!H1032)</f>
        <v>0</v>
      </c>
      <c r="I1032" s="7" t="n">
        <f aca="false">IF(ISBLANK(customer_churn_dataset!I1032),ROUND(MEDIAN(customer_churn_dataset!I$2:I$1501),1),MIN(100,MAX(0,customer_churn_dataset!I1032)))</f>
        <v>54.2</v>
      </c>
      <c r="J1032" s="7" t="n">
        <f aca="false">IF(ISBLANK(customer_churn_dataset!J1032),0,MAX(0,customer_churn_dataset!J1032))</f>
        <v>16</v>
      </c>
      <c r="K1032" s="7" t="n">
        <f aca="false">IF(ISBLANK(customer_churn_dataset!K1032),0,MIN(10,MAX(0,customer_churn_dataset!K1032)))</f>
        <v>7</v>
      </c>
      <c r="L1032" s="7" t="n">
        <f aca="false">IF(ISBLANK(customer_churn_dataset!L1032),0,MAX(0,customer_churn_dataset!L1032))</f>
        <v>2</v>
      </c>
      <c r="M1032" s="7" t="n">
        <f aca="false">IF(ISBLANK(customer_churn_dataset!M1032),0,customer_churn_dataset!M1032)</f>
        <v>0</v>
      </c>
      <c r="N1032" s="7" t="n">
        <f aca="false">IF(ISBLANK(customer_churn_dataset!N1032),0,MAX(0,customer_churn_dataset!N1032))</f>
        <v>561.4</v>
      </c>
      <c r="O1032" s="7" t="n">
        <f aca="false">IF(ISBLANK(customer_churn_dataset!O1032),0,customer_churn_dataset!O1032)</f>
        <v>0</v>
      </c>
      <c r="P1032" s="7" t="str">
        <f aca="false">IF(COUNTIF(customer_churn_dataset!$A$2:$A$1501,customer_churn_dataset!A1032)&gt;1,"Duplicate","Unique")</f>
        <v>Unique</v>
      </c>
    </row>
    <row r="1033" customFormat="false" ht="14.15" hidden="false" customHeight="true" outlineLevel="0" collapsed="false">
      <c r="A1033" s="7" t="str">
        <f aca="false">TRIM(customer_churn_dataset!A1033)</f>
        <v>CUST100089</v>
      </c>
      <c r="B1033" s="7" t="str">
        <f aca="false">PROPER(TRIM(customer_churn_dataset!B1033))</f>
        <v>Standard</v>
      </c>
      <c r="C1033" s="7" t="str">
        <f aca="false">PROPER(TRIM(customer_churn_dataset!C1033))</f>
        <v>Month-To-Month</v>
      </c>
      <c r="D1033" s="7" t="n">
        <f aca="false">IF(ISBLANK(customer_churn_dataset!D1033),ROUND(MEDIAN(customer_churn_dataset!D$2:D$1501),2),IF(customer_churn_dataset!D1033&lt;0,ABS(customer_churn_dataset!D1033),customer_churn_dataset!D1033))</f>
        <v>18.43</v>
      </c>
      <c r="E1033" s="7" t="n">
        <f aca="false">IF(ISBLANK(customer_churn_dataset!E1033),0,MAX(0,customer_churn_dataset!E1033))</f>
        <v>30</v>
      </c>
      <c r="F1033" s="8" t="n">
        <f aca="false">IF(ISBLANK(customer_churn_dataset!F1033),"",customer_churn_dataset!F1033)</f>
        <v>45168</v>
      </c>
      <c r="G1033" s="7" t="str">
        <f aca="false">PROPER(TRIM(customer_churn_dataset!G1033))</f>
        <v>Credit Card</v>
      </c>
      <c r="H1033" s="7" t="n">
        <f aca="false">IF(ISBLANK(customer_churn_dataset!H1033),0,customer_churn_dataset!H1033)</f>
        <v>1</v>
      </c>
      <c r="I1033" s="7" t="n">
        <f aca="false">IF(ISBLANK(customer_churn_dataset!I1033),ROUND(MEDIAN(customer_churn_dataset!I$2:I$1501),1),MIN(100,MAX(0,customer_churn_dataset!I1033)))</f>
        <v>48.7</v>
      </c>
      <c r="J1033" s="7" t="n">
        <f aca="false">IF(ISBLANK(customer_churn_dataset!J1033),0,MAX(0,customer_churn_dataset!J1033))</f>
        <v>19</v>
      </c>
      <c r="K1033" s="7" t="n">
        <f aca="false">IF(ISBLANK(customer_churn_dataset!K1033),0,MIN(10,MAX(0,customer_churn_dataset!K1033)))</f>
        <v>6</v>
      </c>
      <c r="L1033" s="7" t="n">
        <f aca="false">IF(ISBLANK(customer_churn_dataset!L1033),0,MAX(0,customer_churn_dataset!L1033))</f>
        <v>1</v>
      </c>
      <c r="M1033" s="7" t="n">
        <f aca="false">IF(ISBLANK(customer_churn_dataset!M1033),0,customer_churn_dataset!M1033)</f>
        <v>0</v>
      </c>
      <c r="N1033" s="7" t="n">
        <f aca="false">IF(ISBLANK(customer_churn_dataset!N1033),0,MAX(0,customer_churn_dataset!N1033))</f>
        <v>552.9</v>
      </c>
      <c r="O1033" s="7" t="n">
        <f aca="false">IF(ISBLANK(customer_churn_dataset!O1033),0,customer_churn_dataset!O1033)</f>
        <v>0</v>
      </c>
      <c r="P1033" s="7" t="str">
        <f aca="false">IF(COUNTIF(customer_churn_dataset!$A$2:$A$1501,customer_churn_dataset!A1033)&gt;1,"Duplicate","Unique")</f>
        <v>Unique</v>
      </c>
    </row>
    <row r="1034" customFormat="false" ht="14.15" hidden="false" customHeight="true" outlineLevel="0" collapsed="false">
      <c r="A1034" s="7" t="str">
        <f aca="false">TRIM(customer_churn_dataset!A1034)</f>
        <v>CUST100024</v>
      </c>
      <c r="B1034" s="7" t="str">
        <f aca="false">PROPER(TRIM(customer_churn_dataset!B1034))</f>
        <v>Standard</v>
      </c>
      <c r="C1034" s="7" t="str">
        <f aca="false">PROPER(TRIM(customer_churn_dataset!C1034))</f>
        <v>Month-To-Month</v>
      </c>
      <c r="D1034" s="7" t="n">
        <f aca="false">IF(ISBLANK(customer_churn_dataset!D1034),ROUND(MEDIAN(customer_churn_dataset!D$2:D$1501),2),IF(customer_churn_dataset!D1034&lt;0,ABS(customer_churn_dataset!D1034),customer_churn_dataset!D1034))</f>
        <v>19</v>
      </c>
      <c r="E1034" s="7" t="n">
        <f aca="false">IF(ISBLANK(customer_churn_dataset!E1034),0,MAX(0,customer_churn_dataset!E1034))</f>
        <v>8</v>
      </c>
      <c r="F1034" s="8" t="n">
        <f aca="false">IF(ISBLANK(customer_churn_dataset!F1034),"",customer_churn_dataset!F1034)</f>
        <v>45169</v>
      </c>
      <c r="G1034" s="7" t="str">
        <f aca="false">PROPER(TRIM(customer_churn_dataset!G1034))</f>
        <v>Credit Card</v>
      </c>
      <c r="H1034" s="7" t="n">
        <f aca="false">IF(ISBLANK(customer_churn_dataset!H1034),0,customer_churn_dataset!H1034)</f>
        <v>1</v>
      </c>
      <c r="I1034" s="7" t="n">
        <f aca="false">IF(ISBLANK(customer_churn_dataset!I1034),ROUND(MEDIAN(customer_churn_dataset!I$2:I$1501),1),MIN(100,MAX(0,customer_churn_dataset!I1034)))</f>
        <v>65.4</v>
      </c>
      <c r="J1034" s="7" t="n">
        <f aca="false">IF(ISBLANK(customer_churn_dataset!J1034),0,MAX(0,customer_churn_dataset!J1034))</f>
        <v>26</v>
      </c>
      <c r="K1034" s="7" t="n">
        <f aca="false">IF(ISBLANK(customer_churn_dataset!K1034),0,MIN(10,MAX(0,customer_churn_dataset!K1034)))</f>
        <v>4</v>
      </c>
      <c r="L1034" s="7" t="n">
        <f aca="false">IF(ISBLANK(customer_churn_dataset!L1034),0,MAX(0,customer_churn_dataset!L1034))</f>
        <v>1</v>
      </c>
      <c r="M1034" s="7" t="n">
        <f aca="false">IF(ISBLANK(customer_churn_dataset!M1034),0,customer_churn_dataset!M1034)</f>
        <v>0</v>
      </c>
      <c r="N1034" s="7" t="n">
        <f aca="false">IF(ISBLANK(customer_churn_dataset!N1034),0,MAX(0,customer_churn_dataset!N1034))</f>
        <v>152</v>
      </c>
      <c r="O1034" s="7" t="n">
        <f aca="false">IF(ISBLANK(customer_churn_dataset!O1034),0,customer_churn_dataset!O1034)</f>
        <v>0</v>
      </c>
      <c r="P1034" s="7" t="str">
        <f aca="false">IF(COUNTIF(customer_churn_dataset!$A$2:$A$1501,customer_churn_dataset!A1034)&gt;1,"Duplicate","Unique")</f>
        <v>Unique</v>
      </c>
    </row>
    <row r="1035" customFormat="false" ht="14.15" hidden="false" customHeight="true" outlineLevel="0" collapsed="false">
      <c r="A1035" s="7" t="str">
        <f aca="false">TRIM(customer_churn_dataset!A1035)</f>
        <v>CUST100995</v>
      </c>
      <c r="B1035" s="7" t="str">
        <f aca="false">PROPER(TRIM(customer_churn_dataset!B1035))</f>
        <v>Basic</v>
      </c>
      <c r="C1035" s="7" t="str">
        <f aca="false">PROPER(TRIM(customer_churn_dataset!C1035))</f>
        <v>One Year</v>
      </c>
      <c r="D1035" s="7" t="n">
        <f aca="false">IF(ISBLANK(customer_churn_dataset!D1035),ROUND(MEDIAN(customer_churn_dataset!D$2:D$1501),2),IF(customer_churn_dataset!D1035&lt;0,ABS(customer_churn_dataset!D1035),customer_churn_dataset!D1035))</f>
        <v>9.37</v>
      </c>
      <c r="E1035" s="7" t="n">
        <f aca="false">IF(ISBLANK(customer_churn_dataset!E1035),0,MAX(0,customer_churn_dataset!E1035))</f>
        <v>16</v>
      </c>
      <c r="F1035" s="8" t="n">
        <f aca="false">IF(ISBLANK(customer_churn_dataset!F1035),"",customer_churn_dataset!F1035)</f>
        <v>45170</v>
      </c>
      <c r="G1035" s="7" t="str">
        <f aca="false">PROPER(TRIM(customer_churn_dataset!G1035))</f>
        <v>Paypal</v>
      </c>
      <c r="H1035" s="7" t="n">
        <f aca="false">IF(ISBLANK(customer_churn_dataset!H1035),0,customer_churn_dataset!H1035)</f>
        <v>0</v>
      </c>
      <c r="I1035" s="7" t="n">
        <f aca="false">IF(ISBLANK(customer_churn_dataset!I1035),ROUND(MEDIAN(customer_churn_dataset!I$2:I$1501),1),MIN(100,MAX(0,customer_churn_dataset!I1035)))</f>
        <v>61</v>
      </c>
      <c r="J1035" s="7" t="n">
        <f aca="false">IF(ISBLANK(customer_churn_dataset!J1035),0,MAX(0,customer_churn_dataset!J1035))</f>
        <v>22</v>
      </c>
      <c r="K1035" s="7" t="n">
        <f aca="false">IF(ISBLANK(customer_churn_dataset!K1035),0,MIN(10,MAX(0,customer_churn_dataset!K1035)))</f>
        <v>7</v>
      </c>
      <c r="L1035" s="7" t="n">
        <f aca="false">IF(ISBLANK(customer_churn_dataset!L1035),0,MAX(0,customer_churn_dataset!L1035))</f>
        <v>0</v>
      </c>
      <c r="M1035" s="7" t="n">
        <f aca="false">IF(ISBLANK(customer_churn_dataset!M1035),0,customer_churn_dataset!M1035)</f>
        <v>0</v>
      </c>
      <c r="N1035" s="7" t="n">
        <f aca="false">IF(ISBLANK(customer_churn_dataset!N1035),0,MAX(0,customer_churn_dataset!N1035))</f>
        <v>149.92</v>
      </c>
      <c r="O1035" s="7" t="n">
        <f aca="false">IF(ISBLANK(customer_churn_dataset!O1035),0,customer_churn_dataset!O1035)</f>
        <v>0</v>
      </c>
      <c r="P1035" s="7" t="str">
        <f aca="false">IF(COUNTIF(customer_churn_dataset!$A$2:$A$1501,customer_churn_dataset!A1035)&gt;1,"Duplicate","Unique")</f>
        <v>Unique</v>
      </c>
    </row>
    <row r="1036" customFormat="false" ht="14.15" hidden="false" customHeight="true" outlineLevel="0" collapsed="false">
      <c r="A1036" s="7" t="str">
        <f aca="false">TRIM(customer_churn_dataset!A1036)</f>
        <v>CUST100507</v>
      </c>
      <c r="B1036" s="7" t="str">
        <f aca="false">PROPER(TRIM(customer_churn_dataset!B1036))</f>
        <v>Premium</v>
      </c>
      <c r="C1036" s="7" t="str">
        <f aca="false">PROPER(TRIM(customer_churn_dataset!C1036))</f>
        <v>One Year</v>
      </c>
      <c r="D1036" s="7" t="n">
        <f aca="false">IF(ISBLANK(customer_churn_dataset!D1036),ROUND(MEDIAN(customer_churn_dataset!D$2:D$1501),2),IF(customer_churn_dataset!D1036&lt;0,ABS(customer_churn_dataset!D1036),customer_churn_dataset!D1036))</f>
        <v>39.49</v>
      </c>
      <c r="E1036" s="7" t="n">
        <f aca="false">IF(ISBLANK(customer_churn_dataset!E1036),0,MAX(0,customer_churn_dataset!E1036))</f>
        <v>33</v>
      </c>
      <c r="F1036" s="8" t="n">
        <f aca="false">IF(ISBLANK(customer_churn_dataset!F1036),"",customer_churn_dataset!F1036)</f>
        <v>45171</v>
      </c>
      <c r="G1036" s="7" t="str">
        <f aca="false">PROPER(TRIM(customer_churn_dataset!G1036))</f>
        <v>Credit Card</v>
      </c>
      <c r="H1036" s="7" t="n">
        <f aca="false">IF(ISBLANK(customer_churn_dataset!H1036),0,customer_churn_dataset!H1036)</f>
        <v>1</v>
      </c>
      <c r="I1036" s="7" t="n">
        <f aca="false">IF(ISBLANK(customer_churn_dataset!I1036),ROUND(MEDIAN(customer_churn_dataset!I$2:I$1501),1),MIN(100,MAX(0,customer_churn_dataset!I1036)))</f>
        <v>55.6</v>
      </c>
      <c r="J1036" s="7" t="n">
        <f aca="false">IF(ISBLANK(customer_churn_dataset!J1036),0,MAX(0,customer_churn_dataset!J1036))</f>
        <v>10</v>
      </c>
      <c r="K1036" s="7" t="n">
        <f aca="false">IF(ISBLANK(customer_churn_dataset!K1036),0,MIN(10,MAX(0,customer_churn_dataset!K1036)))</f>
        <v>7</v>
      </c>
      <c r="L1036" s="7" t="n">
        <f aca="false">IF(ISBLANK(customer_churn_dataset!L1036),0,MAX(0,customer_churn_dataset!L1036))</f>
        <v>1</v>
      </c>
      <c r="M1036" s="7" t="n">
        <f aca="false">IF(ISBLANK(customer_churn_dataset!M1036),0,customer_churn_dataset!M1036)</f>
        <v>0</v>
      </c>
      <c r="N1036" s="7" t="n">
        <f aca="false">IF(ISBLANK(customer_churn_dataset!N1036),0,MAX(0,customer_churn_dataset!N1036))</f>
        <v>1303.17</v>
      </c>
      <c r="O1036" s="7" t="n">
        <f aca="false">IF(ISBLANK(customer_churn_dataset!O1036),0,customer_churn_dataset!O1036)</f>
        <v>1</v>
      </c>
      <c r="P1036" s="7" t="str">
        <f aca="false">IF(COUNTIF(customer_churn_dataset!$A$2:$A$1501,customer_churn_dataset!A1036)&gt;1,"Duplicate","Unique")</f>
        <v>Unique</v>
      </c>
    </row>
    <row r="1037" customFormat="false" ht="14.15" hidden="false" customHeight="true" outlineLevel="0" collapsed="false">
      <c r="A1037" s="7" t="str">
        <f aca="false">TRIM(customer_churn_dataset!A1037)</f>
        <v>CUST100525</v>
      </c>
      <c r="B1037" s="7" t="str">
        <f aca="false">PROPER(TRIM(customer_churn_dataset!B1037))</f>
        <v>Standard</v>
      </c>
      <c r="C1037" s="7" t="str">
        <f aca="false">PROPER(TRIM(customer_churn_dataset!C1037))</f>
        <v>Month-To-Month</v>
      </c>
      <c r="D1037" s="7" t="n">
        <f aca="false">IF(ISBLANK(customer_churn_dataset!D1037),ROUND(MEDIAN(customer_churn_dataset!D$2:D$1501),2),IF(customer_churn_dataset!D1037&lt;0,ABS(customer_churn_dataset!D1037),customer_churn_dataset!D1037))</f>
        <v>21.18</v>
      </c>
      <c r="E1037" s="7" t="n">
        <f aca="false">IF(ISBLANK(customer_churn_dataset!E1037),0,MAX(0,customer_churn_dataset!E1037))</f>
        <v>18</v>
      </c>
      <c r="F1037" s="8" t="n">
        <f aca="false">IF(ISBLANK(customer_churn_dataset!F1037),"",customer_churn_dataset!F1037)</f>
        <v>45171</v>
      </c>
      <c r="G1037" s="7" t="str">
        <f aca="false">PROPER(TRIM(customer_churn_dataset!G1037))</f>
        <v>Manual/Invoice</v>
      </c>
      <c r="H1037" s="7" t="n">
        <f aca="false">IF(ISBLANK(customer_churn_dataset!H1037),0,customer_churn_dataset!H1037)</f>
        <v>0</v>
      </c>
      <c r="I1037" s="7" t="n">
        <f aca="false">IF(ISBLANK(customer_churn_dataset!I1037),ROUND(MEDIAN(customer_churn_dataset!I$2:I$1501),1),MIN(100,MAX(0,customer_churn_dataset!I1037)))</f>
        <v>78.9</v>
      </c>
      <c r="J1037" s="7" t="n">
        <f aca="false">IF(ISBLANK(customer_churn_dataset!J1037),0,MAX(0,customer_churn_dataset!J1037))</f>
        <v>22</v>
      </c>
      <c r="K1037" s="7" t="n">
        <f aca="false">IF(ISBLANK(customer_churn_dataset!K1037),0,MIN(10,MAX(0,customer_churn_dataset!K1037)))</f>
        <v>7</v>
      </c>
      <c r="L1037" s="7" t="n">
        <f aca="false">IF(ISBLANK(customer_churn_dataset!L1037),0,MAX(0,customer_churn_dataset!L1037))</f>
        <v>1</v>
      </c>
      <c r="M1037" s="7" t="n">
        <f aca="false">IF(ISBLANK(customer_churn_dataset!M1037),0,customer_churn_dataset!M1037)</f>
        <v>0</v>
      </c>
      <c r="N1037" s="7" t="n">
        <f aca="false">IF(ISBLANK(customer_churn_dataset!N1037),0,MAX(0,customer_churn_dataset!N1037))</f>
        <v>381.24</v>
      </c>
      <c r="O1037" s="7" t="n">
        <f aca="false">IF(ISBLANK(customer_churn_dataset!O1037),0,customer_churn_dataset!O1037)</f>
        <v>0</v>
      </c>
      <c r="P1037" s="7" t="str">
        <f aca="false">IF(COUNTIF(customer_churn_dataset!$A$2:$A$1501,customer_churn_dataset!A1037)&gt;1,"Duplicate","Unique")</f>
        <v>Unique</v>
      </c>
    </row>
    <row r="1038" customFormat="false" ht="14.15" hidden="false" customHeight="true" outlineLevel="0" collapsed="false">
      <c r="A1038" s="7" t="str">
        <f aca="false">TRIM(customer_churn_dataset!A1038)</f>
        <v>CUST100541</v>
      </c>
      <c r="B1038" s="7" t="str">
        <f aca="false">PROPER(TRIM(customer_churn_dataset!B1038))</f>
        <v>Standard</v>
      </c>
      <c r="C1038" s="7" t="str">
        <f aca="false">PROPER(TRIM(customer_churn_dataset!C1038))</f>
        <v>Month-To-Month</v>
      </c>
      <c r="D1038" s="7" t="n">
        <f aca="false">IF(ISBLANK(customer_churn_dataset!D1038),ROUND(MEDIAN(customer_churn_dataset!D$2:D$1501),2),IF(customer_churn_dataset!D1038&lt;0,ABS(customer_churn_dataset!D1038),customer_churn_dataset!D1038))</f>
        <v>20.48</v>
      </c>
      <c r="E1038" s="7" t="n">
        <f aca="false">IF(ISBLANK(customer_churn_dataset!E1038),0,MAX(0,customer_churn_dataset!E1038))</f>
        <v>12</v>
      </c>
      <c r="F1038" s="8" t="n">
        <f aca="false">IF(ISBLANK(customer_churn_dataset!F1038),"",customer_churn_dataset!F1038)</f>
        <v>45171</v>
      </c>
      <c r="G1038" s="7" t="str">
        <f aca="false">PROPER(TRIM(customer_churn_dataset!G1038))</f>
        <v>Bank Transfer</v>
      </c>
      <c r="H1038" s="7" t="n">
        <f aca="false">IF(ISBLANK(customer_churn_dataset!H1038),0,customer_churn_dataset!H1038)</f>
        <v>1</v>
      </c>
      <c r="I1038" s="7" t="n">
        <f aca="false">IF(ISBLANK(customer_churn_dataset!I1038),ROUND(MEDIAN(customer_churn_dataset!I$2:I$1501),1),MIN(100,MAX(0,customer_churn_dataset!I1038)))</f>
        <v>47.1</v>
      </c>
      <c r="J1038" s="7" t="n">
        <f aca="false">IF(ISBLANK(customer_churn_dataset!J1038),0,MAX(0,customer_churn_dataset!J1038))</f>
        <v>14</v>
      </c>
      <c r="K1038" s="7" t="n">
        <f aca="false">IF(ISBLANK(customer_churn_dataset!K1038),0,MIN(10,MAX(0,customer_churn_dataset!K1038)))</f>
        <v>3</v>
      </c>
      <c r="L1038" s="7" t="n">
        <f aca="false">IF(ISBLANK(customer_churn_dataset!L1038),0,MAX(0,customer_churn_dataset!L1038))</f>
        <v>1</v>
      </c>
      <c r="M1038" s="7" t="n">
        <f aca="false">IF(ISBLANK(customer_churn_dataset!M1038),0,customer_churn_dataset!M1038)</f>
        <v>0</v>
      </c>
      <c r="N1038" s="7" t="n">
        <f aca="false">IF(ISBLANK(customer_churn_dataset!N1038),0,MAX(0,customer_churn_dataset!N1038))</f>
        <v>245.76</v>
      </c>
      <c r="O1038" s="7" t="n">
        <f aca="false">IF(ISBLANK(customer_churn_dataset!O1038),0,customer_churn_dataset!O1038)</f>
        <v>0</v>
      </c>
      <c r="P1038" s="7" t="str">
        <f aca="false">IF(COUNTIF(customer_churn_dataset!$A$2:$A$1501,customer_churn_dataset!A1038)&gt;1,"Duplicate","Unique")</f>
        <v>Unique</v>
      </c>
    </row>
    <row r="1039" customFormat="false" ht="14.15" hidden="false" customHeight="true" outlineLevel="0" collapsed="false">
      <c r="A1039" s="7" t="str">
        <f aca="false">TRIM(customer_churn_dataset!A1039)</f>
        <v>CUST101209</v>
      </c>
      <c r="B1039" s="7" t="str">
        <f aca="false">PROPER(TRIM(customer_churn_dataset!B1039))</f>
        <v>Premium</v>
      </c>
      <c r="C1039" s="7" t="str">
        <f aca="false">PROPER(TRIM(customer_churn_dataset!C1039))</f>
        <v>Month-To-Month</v>
      </c>
      <c r="D1039" s="7" t="n">
        <f aca="false">IF(ISBLANK(customer_churn_dataset!D1039),ROUND(MEDIAN(customer_churn_dataset!D$2:D$1501),2),IF(customer_churn_dataset!D1039&lt;0,ABS(customer_churn_dataset!D1039),customer_churn_dataset!D1039))</f>
        <v>41.23</v>
      </c>
      <c r="E1039" s="7" t="n">
        <f aca="false">IF(ISBLANK(customer_churn_dataset!E1039),0,MAX(0,customer_churn_dataset!E1039))</f>
        <v>0</v>
      </c>
      <c r="F1039" s="8" t="n">
        <f aca="false">IF(ISBLANK(customer_churn_dataset!F1039),"",customer_churn_dataset!F1039)</f>
        <v>45172</v>
      </c>
      <c r="G1039" s="7" t="str">
        <f aca="false">PROPER(TRIM(customer_churn_dataset!G1039))</f>
        <v>Credit Card</v>
      </c>
      <c r="H1039" s="7" t="n">
        <f aca="false">IF(ISBLANK(customer_churn_dataset!H1039),0,customer_churn_dataset!H1039)</f>
        <v>1</v>
      </c>
      <c r="I1039" s="7" t="n">
        <f aca="false">IF(ISBLANK(customer_churn_dataset!I1039),ROUND(MEDIAN(customer_churn_dataset!I$2:I$1501),1),MIN(100,MAX(0,customer_churn_dataset!I1039)))</f>
        <v>78.6</v>
      </c>
      <c r="J1039" s="7" t="n">
        <f aca="false">IF(ISBLANK(customer_churn_dataset!J1039),0,MAX(0,customer_churn_dataset!J1039))</f>
        <v>26</v>
      </c>
      <c r="K1039" s="7" t="n">
        <f aca="false">IF(ISBLANK(customer_churn_dataset!K1039),0,MIN(10,MAX(0,customer_churn_dataset!K1039)))</f>
        <v>8</v>
      </c>
      <c r="L1039" s="7" t="n">
        <f aca="false">IF(ISBLANK(customer_churn_dataset!L1039),0,MAX(0,customer_churn_dataset!L1039))</f>
        <v>0</v>
      </c>
      <c r="M1039" s="7" t="n">
        <f aca="false">IF(ISBLANK(customer_churn_dataset!M1039),0,customer_churn_dataset!M1039)</f>
        <v>0</v>
      </c>
      <c r="N1039" s="7" t="n">
        <f aca="false">IF(ISBLANK(customer_churn_dataset!N1039),0,MAX(0,customer_churn_dataset!N1039))</f>
        <v>0</v>
      </c>
      <c r="O1039" s="7" t="n">
        <f aca="false">IF(ISBLANK(customer_churn_dataset!O1039),0,customer_churn_dataset!O1039)</f>
        <v>0</v>
      </c>
      <c r="P1039" s="7" t="str">
        <f aca="false">IF(COUNTIF(customer_churn_dataset!$A$2:$A$1501,customer_churn_dataset!A1039)&gt;1,"Duplicate","Unique")</f>
        <v>Unique</v>
      </c>
    </row>
    <row r="1040" customFormat="false" ht="14.15" hidden="false" customHeight="true" outlineLevel="0" collapsed="false">
      <c r="A1040" s="7" t="str">
        <f aca="false">TRIM(customer_churn_dataset!A1040)</f>
        <v>CUST101453</v>
      </c>
      <c r="B1040" s="7" t="str">
        <f aca="false">PROPER(TRIM(customer_churn_dataset!B1040))</f>
        <v>Standard</v>
      </c>
      <c r="C1040" s="7" t="str">
        <f aca="false">PROPER(TRIM(customer_churn_dataset!C1040))</f>
        <v>Month-To-Month</v>
      </c>
      <c r="D1040" s="7" t="n">
        <f aca="false">IF(ISBLANK(customer_churn_dataset!D1040),ROUND(MEDIAN(customer_churn_dataset!D$2:D$1501),2),IF(customer_churn_dataset!D1040&lt;0,ABS(customer_churn_dataset!D1040),customer_churn_dataset!D1040))</f>
        <v>19.98</v>
      </c>
      <c r="E1040" s="7" t="n">
        <f aca="false">IF(ISBLANK(customer_churn_dataset!E1040),0,MAX(0,customer_churn_dataset!E1040))</f>
        <v>0</v>
      </c>
      <c r="F1040" s="8" t="n">
        <f aca="false">IF(ISBLANK(customer_churn_dataset!F1040),"",customer_churn_dataset!F1040)</f>
        <v>45176</v>
      </c>
      <c r="G1040" s="7" t="str">
        <f aca="false">PROPER(TRIM(customer_churn_dataset!G1040))</f>
        <v>Paypal</v>
      </c>
      <c r="H1040" s="7" t="n">
        <f aca="false">IF(ISBLANK(customer_churn_dataset!H1040),0,customer_churn_dataset!H1040)</f>
        <v>0</v>
      </c>
      <c r="I1040" s="7" t="n">
        <f aca="false">IF(ISBLANK(customer_churn_dataset!I1040),ROUND(MEDIAN(customer_churn_dataset!I$2:I$1501),1),MIN(100,MAX(0,customer_churn_dataset!I1040)))</f>
        <v>64.7</v>
      </c>
      <c r="J1040" s="7" t="n">
        <f aca="false">IF(ISBLANK(customer_churn_dataset!J1040),0,MAX(0,customer_churn_dataset!J1040))</f>
        <v>22</v>
      </c>
      <c r="K1040" s="7" t="n">
        <f aca="false">IF(ISBLANK(customer_churn_dataset!K1040),0,MIN(10,MAX(0,customer_churn_dataset!K1040)))</f>
        <v>4</v>
      </c>
      <c r="L1040" s="7" t="n">
        <f aca="false">IF(ISBLANK(customer_churn_dataset!L1040),0,MAX(0,customer_churn_dataset!L1040))</f>
        <v>1</v>
      </c>
      <c r="M1040" s="7" t="n">
        <f aca="false">IF(ISBLANK(customer_churn_dataset!M1040),0,customer_churn_dataset!M1040)</f>
        <v>1</v>
      </c>
      <c r="N1040" s="7" t="n">
        <f aca="false">IF(ISBLANK(customer_churn_dataset!N1040),0,MAX(0,customer_churn_dataset!N1040))</f>
        <v>0</v>
      </c>
      <c r="O1040" s="7" t="n">
        <f aca="false">IF(ISBLANK(customer_churn_dataset!O1040),0,customer_churn_dataset!O1040)</f>
        <v>0</v>
      </c>
      <c r="P1040" s="7" t="str">
        <f aca="false">IF(COUNTIF(customer_churn_dataset!$A$2:$A$1501,customer_churn_dataset!A1040)&gt;1,"Duplicate","Unique")</f>
        <v>Unique</v>
      </c>
    </row>
    <row r="1041" customFormat="false" ht="14.15" hidden="false" customHeight="true" outlineLevel="0" collapsed="false">
      <c r="A1041" s="7" t="str">
        <f aca="false">TRIM(customer_churn_dataset!A1041)</f>
        <v>CUST100656</v>
      </c>
      <c r="B1041" s="7" t="str">
        <f aca="false">PROPER(TRIM(customer_churn_dataset!B1041))</f>
        <v>Basic</v>
      </c>
      <c r="C1041" s="7" t="str">
        <f aca="false">PROPER(TRIM(customer_churn_dataset!C1041))</f>
        <v>One Year</v>
      </c>
      <c r="D1041" s="7" t="n">
        <f aca="false">IF(ISBLANK(customer_churn_dataset!D1041),ROUND(MEDIAN(customer_churn_dataset!D$2:D$1501),2),IF(customer_churn_dataset!D1041&lt;0,ABS(customer_churn_dataset!D1041),customer_churn_dataset!D1041))</f>
        <v>7.84</v>
      </c>
      <c r="E1041" s="7" t="n">
        <f aca="false">IF(ISBLANK(customer_churn_dataset!E1041),0,MAX(0,customer_churn_dataset!E1041))</f>
        <v>22</v>
      </c>
      <c r="F1041" s="8" t="n">
        <f aca="false">IF(ISBLANK(customer_churn_dataset!F1041),"",customer_churn_dataset!F1041)</f>
        <v>45178</v>
      </c>
      <c r="G1041" s="7" t="str">
        <f aca="false">PROPER(TRIM(customer_churn_dataset!G1041))</f>
        <v>Manual/Invoice</v>
      </c>
      <c r="H1041" s="7" t="n">
        <f aca="false">IF(ISBLANK(customer_churn_dataset!H1041),0,customer_churn_dataset!H1041)</f>
        <v>0</v>
      </c>
      <c r="I1041" s="7" t="n">
        <f aca="false">IF(ISBLANK(customer_churn_dataset!I1041),ROUND(MEDIAN(customer_churn_dataset!I$2:I$1501),1),MIN(100,MAX(0,customer_churn_dataset!I1041)))</f>
        <v>58</v>
      </c>
      <c r="J1041" s="7" t="n">
        <f aca="false">IF(ISBLANK(customer_churn_dataset!J1041),0,MAX(0,customer_churn_dataset!J1041))</f>
        <v>17</v>
      </c>
      <c r="K1041" s="7" t="n">
        <f aca="false">IF(ISBLANK(customer_churn_dataset!K1041),0,MIN(10,MAX(0,customer_churn_dataset!K1041)))</f>
        <v>5</v>
      </c>
      <c r="L1041" s="7" t="n">
        <f aca="false">IF(ISBLANK(customer_churn_dataset!L1041),0,MAX(0,customer_churn_dataset!L1041))</f>
        <v>1</v>
      </c>
      <c r="M1041" s="7" t="n">
        <f aca="false">IF(ISBLANK(customer_churn_dataset!M1041),0,customer_churn_dataset!M1041)</f>
        <v>1</v>
      </c>
      <c r="N1041" s="7" t="n">
        <f aca="false">IF(ISBLANK(customer_churn_dataset!N1041),0,MAX(0,customer_churn_dataset!N1041))</f>
        <v>172.48</v>
      </c>
      <c r="O1041" s="7" t="n">
        <f aca="false">IF(ISBLANK(customer_churn_dataset!O1041),0,customer_churn_dataset!O1041)</f>
        <v>0</v>
      </c>
      <c r="P1041" s="7" t="str">
        <f aca="false">IF(COUNTIF(customer_churn_dataset!$A$2:$A$1501,customer_churn_dataset!A1041)&gt;1,"Duplicate","Unique")</f>
        <v>Unique</v>
      </c>
    </row>
    <row r="1042" customFormat="false" ht="14.15" hidden="false" customHeight="true" outlineLevel="0" collapsed="false">
      <c r="A1042" s="7" t="str">
        <f aca="false">TRIM(customer_churn_dataset!A1042)</f>
        <v>CUST101405</v>
      </c>
      <c r="B1042" s="7" t="str">
        <f aca="false">PROPER(TRIM(customer_churn_dataset!B1042))</f>
        <v>Standard</v>
      </c>
      <c r="C1042" s="7" t="str">
        <f aca="false">PROPER(TRIM(customer_churn_dataset!C1042))</f>
        <v>Month-To-Month</v>
      </c>
      <c r="D1042" s="7" t="n">
        <f aca="false">IF(ISBLANK(customer_churn_dataset!D1042),ROUND(MEDIAN(customer_churn_dataset!D$2:D$1501),2),IF(customer_churn_dataset!D1042&lt;0,ABS(customer_churn_dataset!D1042),customer_churn_dataset!D1042))</f>
        <v>19.58</v>
      </c>
      <c r="E1042" s="7" t="n">
        <f aca="false">IF(ISBLANK(customer_churn_dataset!E1042),0,MAX(0,customer_churn_dataset!E1042))</f>
        <v>57</v>
      </c>
      <c r="F1042" s="8" t="n">
        <f aca="false">IF(ISBLANK(customer_churn_dataset!F1042),"",customer_churn_dataset!F1042)</f>
        <v>45180</v>
      </c>
      <c r="G1042" s="7" t="str">
        <f aca="false">PROPER(TRIM(customer_churn_dataset!G1042))</f>
        <v>Bank Transfer</v>
      </c>
      <c r="H1042" s="7" t="n">
        <f aca="false">IF(ISBLANK(customer_churn_dataset!H1042),0,customer_churn_dataset!H1042)</f>
        <v>0</v>
      </c>
      <c r="I1042" s="7" t="n">
        <f aca="false">IF(ISBLANK(customer_churn_dataset!I1042),ROUND(MEDIAN(customer_churn_dataset!I$2:I$1501),1),MIN(100,MAX(0,customer_churn_dataset!I1042)))</f>
        <v>40.4</v>
      </c>
      <c r="J1042" s="7" t="n">
        <f aca="false">IF(ISBLANK(customer_churn_dataset!J1042),0,MAX(0,customer_churn_dataset!J1042))</f>
        <v>11</v>
      </c>
      <c r="K1042" s="7" t="n">
        <f aca="false">IF(ISBLANK(customer_churn_dataset!K1042),0,MIN(10,MAX(0,customer_churn_dataset!K1042)))</f>
        <v>1</v>
      </c>
      <c r="L1042" s="7" t="n">
        <f aca="false">IF(ISBLANK(customer_churn_dataset!L1042),0,MAX(0,customer_churn_dataset!L1042))</f>
        <v>0</v>
      </c>
      <c r="M1042" s="7" t="n">
        <f aca="false">IF(ISBLANK(customer_churn_dataset!M1042),0,customer_churn_dataset!M1042)</f>
        <v>0</v>
      </c>
      <c r="N1042" s="7" t="n">
        <f aca="false">IF(ISBLANK(customer_churn_dataset!N1042),0,MAX(0,customer_churn_dataset!N1042))</f>
        <v>1116.06</v>
      </c>
      <c r="O1042" s="7" t="n">
        <f aca="false">IF(ISBLANK(customer_churn_dataset!O1042),0,customer_churn_dataset!O1042)</f>
        <v>1</v>
      </c>
      <c r="P1042" s="7" t="str">
        <f aca="false">IF(COUNTIF(customer_churn_dataset!$A$2:$A$1501,customer_churn_dataset!A1042)&gt;1,"Duplicate","Unique")</f>
        <v>Unique</v>
      </c>
    </row>
    <row r="1043" customFormat="false" ht="14.15" hidden="false" customHeight="true" outlineLevel="0" collapsed="false">
      <c r="A1043" s="7" t="str">
        <f aca="false">TRIM(customer_churn_dataset!A1043)</f>
        <v>CUST100545</v>
      </c>
      <c r="B1043" s="7" t="str">
        <f aca="false">PROPER(TRIM(customer_churn_dataset!B1043))</f>
        <v>Basic</v>
      </c>
      <c r="C1043" s="7" t="str">
        <f aca="false">PROPER(TRIM(customer_churn_dataset!C1043))</f>
        <v>Month-To-Month</v>
      </c>
      <c r="D1043" s="7" t="n">
        <f aca="false">IF(ISBLANK(customer_churn_dataset!D1043),ROUND(MEDIAN(customer_churn_dataset!D$2:D$1501),2),IF(customer_churn_dataset!D1043&lt;0,ABS(customer_churn_dataset!D1043),customer_churn_dataset!D1043))</f>
        <v>9.75</v>
      </c>
      <c r="E1043" s="7" t="n">
        <f aca="false">IF(ISBLANK(customer_churn_dataset!E1043),0,MAX(0,customer_churn_dataset!E1043))</f>
        <v>7</v>
      </c>
      <c r="F1043" s="8" t="n">
        <f aca="false">IF(ISBLANK(customer_churn_dataset!F1043),"",customer_churn_dataset!F1043)</f>
        <v>45181</v>
      </c>
      <c r="G1043" s="7" t="str">
        <f aca="false">PROPER(TRIM(customer_churn_dataset!G1043))</f>
        <v>Manual/Invoice</v>
      </c>
      <c r="H1043" s="7" t="n">
        <f aca="false">IF(ISBLANK(customer_churn_dataset!H1043),0,customer_churn_dataset!H1043)</f>
        <v>1</v>
      </c>
      <c r="I1043" s="7" t="n">
        <f aca="false">IF(ISBLANK(customer_churn_dataset!I1043),ROUND(MEDIAN(customer_churn_dataset!I$2:I$1501),1),MIN(100,MAX(0,customer_churn_dataset!I1043)))</f>
        <v>36.6</v>
      </c>
      <c r="J1043" s="7" t="n">
        <f aca="false">IF(ISBLANK(customer_churn_dataset!J1043),0,MAX(0,customer_churn_dataset!J1043))</f>
        <v>6</v>
      </c>
      <c r="K1043" s="7" t="n">
        <f aca="false">IF(ISBLANK(customer_churn_dataset!K1043),0,MIN(10,MAX(0,customer_churn_dataset!K1043)))</f>
        <v>5</v>
      </c>
      <c r="L1043" s="7" t="n">
        <f aca="false">IF(ISBLANK(customer_churn_dataset!L1043),0,MAX(0,customer_churn_dataset!L1043))</f>
        <v>2</v>
      </c>
      <c r="M1043" s="7" t="n">
        <f aca="false">IF(ISBLANK(customer_churn_dataset!M1043),0,customer_churn_dataset!M1043)</f>
        <v>1</v>
      </c>
      <c r="N1043" s="7" t="n">
        <f aca="false">IF(ISBLANK(customer_churn_dataset!N1043),0,MAX(0,customer_churn_dataset!N1043))</f>
        <v>68.25</v>
      </c>
      <c r="O1043" s="7" t="n">
        <f aca="false">IF(ISBLANK(customer_churn_dataset!O1043),0,customer_churn_dataset!O1043)</f>
        <v>1</v>
      </c>
      <c r="P1043" s="7" t="str">
        <f aca="false">IF(COUNTIF(customer_churn_dataset!$A$2:$A$1501,customer_churn_dataset!A1043)&gt;1,"Duplicate","Unique")</f>
        <v>Unique</v>
      </c>
    </row>
    <row r="1044" customFormat="false" ht="14.15" hidden="false" customHeight="true" outlineLevel="0" collapsed="false">
      <c r="A1044" s="7" t="str">
        <f aca="false">TRIM(customer_churn_dataset!A1044)</f>
        <v>CUST101383</v>
      </c>
      <c r="B1044" s="7" t="str">
        <f aca="false">PROPER(TRIM(customer_churn_dataset!B1044))</f>
        <v>Basic</v>
      </c>
      <c r="C1044" s="7" t="str">
        <f aca="false">PROPER(TRIM(customer_churn_dataset!C1044))</f>
        <v>One Year</v>
      </c>
      <c r="D1044" s="7" t="n">
        <f aca="false">IF(ISBLANK(customer_churn_dataset!D1044),ROUND(MEDIAN(customer_churn_dataset!D$2:D$1501),2),IF(customer_churn_dataset!D1044&lt;0,ABS(customer_churn_dataset!D1044),customer_churn_dataset!D1044))</f>
        <v>9.68</v>
      </c>
      <c r="E1044" s="7" t="n">
        <f aca="false">IF(ISBLANK(customer_churn_dataset!E1044),0,MAX(0,customer_churn_dataset!E1044))</f>
        <v>1</v>
      </c>
      <c r="F1044" s="8" t="n">
        <f aca="false">IF(ISBLANK(customer_churn_dataset!F1044),"",customer_churn_dataset!F1044)</f>
        <v>45182</v>
      </c>
      <c r="G1044" s="7" t="str">
        <f aca="false">PROPER(TRIM(customer_churn_dataset!G1044))</f>
        <v>Paypal</v>
      </c>
      <c r="H1044" s="7" t="n">
        <f aca="false">IF(ISBLANK(customer_churn_dataset!H1044),0,customer_churn_dataset!H1044)</f>
        <v>0</v>
      </c>
      <c r="I1044" s="7" t="n">
        <f aca="false">IF(ISBLANK(customer_churn_dataset!I1044),ROUND(MEDIAN(customer_churn_dataset!I$2:I$1501),1),MIN(100,MAX(0,customer_churn_dataset!I1044)))</f>
        <v>82.3</v>
      </c>
      <c r="J1044" s="7" t="n">
        <f aca="false">IF(ISBLANK(customer_churn_dataset!J1044),0,MAX(0,customer_churn_dataset!J1044))</f>
        <v>26</v>
      </c>
      <c r="K1044" s="7" t="n">
        <f aca="false">IF(ISBLANK(customer_churn_dataset!K1044),0,MIN(10,MAX(0,customer_churn_dataset!K1044)))</f>
        <v>5</v>
      </c>
      <c r="L1044" s="7" t="n">
        <f aca="false">IF(ISBLANK(customer_churn_dataset!L1044),0,MAX(0,customer_churn_dataset!L1044))</f>
        <v>1</v>
      </c>
      <c r="M1044" s="7" t="n">
        <f aca="false">IF(ISBLANK(customer_churn_dataset!M1044),0,customer_churn_dataset!M1044)</f>
        <v>0</v>
      </c>
      <c r="N1044" s="7" t="n">
        <f aca="false">IF(ISBLANK(customer_churn_dataset!N1044),0,MAX(0,customer_churn_dataset!N1044))</f>
        <v>9.68</v>
      </c>
      <c r="O1044" s="7" t="n">
        <f aca="false">IF(ISBLANK(customer_churn_dataset!O1044),0,customer_churn_dataset!O1044)</f>
        <v>0</v>
      </c>
      <c r="P1044" s="7" t="str">
        <f aca="false">IF(COUNTIF(customer_churn_dataset!$A$2:$A$1501,customer_churn_dataset!A1044)&gt;1,"Duplicate","Unique")</f>
        <v>Unique</v>
      </c>
    </row>
    <row r="1045" customFormat="false" ht="14.15" hidden="false" customHeight="true" outlineLevel="0" collapsed="false">
      <c r="A1045" s="7" t="str">
        <f aca="false">TRIM(customer_churn_dataset!A1045)</f>
        <v>CUST100165</v>
      </c>
      <c r="B1045" s="7" t="str">
        <f aca="false">PROPER(TRIM(customer_churn_dataset!B1045))</f>
        <v>Premium</v>
      </c>
      <c r="C1045" s="7" t="str">
        <f aca="false">PROPER(TRIM(customer_churn_dataset!C1045))</f>
        <v>One Year</v>
      </c>
      <c r="D1045" s="7" t="n">
        <f aca="false">IF(ISBLANK(customer_churn_dataset!D1045),ROUND(MEDIAN(customer_churn_dataset!D$2:D$1501),2),IF(customer_churn_dataset!D1045&lt;0,ABS(customer_churn_dataset!D1045),customer_churn_dataset!D1045))</f>
        <v>38.01</v>
      </c>
      <c r="E1045" s="7" t="n">
        <f aca="false">IF(ISBLANK(customer_churn_dataset!E1045),0,MAX(0,customer_churn_dataset!E1045))</f>
        <v>16</v>
      </c>
      <c r="F1045" s="8" t="n">
        <f aca="false">IF(ISBLANK(customer_churn_dataset!F1045),"",customer_churn_dataset!F1045)</f>
        <v>45182</v>
      </c>
      <c r="G1045" s="7" t="str">
        <f aca="false">PROPER(TRIM(customer_churn_dataset!G1045))</f>
        <v>Manual/Invoice</v>
      </c>
      <c r="H1045" s="7" t="n">
        <f aca="false">IF(ISBLANK(customer_churn_dataset!H1045),0,customer_churn_dataset!H1045)</f>
        <v>0</v>
      </c>
      <c r="I1045" s="7" t="n">
        <f aca="false">IF(ISBLANK(customer_churn_dataset!I1045),ROUND(MEDIAN(customer_churn_dataset!I$2:I$1501),1),MIN(100,MAX(0,customer_churn_dataset!I1045)))</f>
        <v>90.7</v>
      </c>
      <c r="J1045" s="7" t="n">
        <f aca="false">IF(ISBLANK(customer_churn_dataset!J1045),0,MAX(0,customer_churn_dataset!J1045))</f>
        <v>23</v>
      </c>
      <c r="K1045" s="7" t="n">
        <f aca="false">IF(ISBLANK(customer_churn_dataset!K1045),0,MIN(10,MAX(0,customer_churn_dataset!K1045)))</f>
        <v>7</v>
      </c>
      <c r="L1045" s="7" t="n">
        <f aca="false">IF(ISBLANK(customer_churn_dataset!L1045),0,MAX(0,customer_churn_dataset!L1045))</f>
        <v>2</v>
      </c>
      <c r="M1045" s="7" t="n">
        <f aca="false">IF(ISBLANK(customer_churn_dataset!M1045),0,customer_churn_dataset!M1045)</f>
        <v>0</v>
      </c>
      <c r="N1045" s="7" t="n">
        <f aca="false">IF(ISBLANK(customer_churn_dataset!N1045),0,MAX(0,customer_churn_dataset!N1045))</f>
        <v>608.16</v>
      </c>
      <c r="O1045" s="7" t="n">
        <f aca="false">IF(ISBLANK(customer_churn_dataset!O1045),0,customer_churn_dataset!O1045)</f>
        <v>0</v>
      </c>
      <c r="P1045" s="7" t="str">
        <f aca="false">IF(COUNTIF(customer_churn_dataset!$A$2:$A$1501,customer_churn_dataset!A1045)&gt;1,"Duplicate","Unique")</f>
        <v>Unique</v>
      </c>
    </row>
    <row r="1046" customFormat="false" ht="14.15" hidden="false" customHeight="true" outlineLevel="0" collapsed="false">
      <c r="A1046" s="7" t="str">
        <f aca="false">TRIM(customer_churn_dataset!A1046)</f>
        <v>CUST100975</v>
      </c>
      <c r="B1046" s="7" t="str">
        <f aca="false">PROPER(TRIM(customer_churn_dataset!B1046))</f>
        <v>Basic</v>
      </c>
      <c r="C1046" s="7" t="str">
        <f aca="false">PROPER(TRIM(customer_churn_dataset!C1046))</f>
        <v>Month-To-Month</v>
      </c>
      <c r="D1046" s="7" t="n">
        <f aca="false">IF(ISBLANK(customer_churn_dataset!D1046),ROUND(MEDIAN(customer_churn_dataset!D$2:D$1501),2),IF(customer_churn_dataset!D1046&lt;0,ABS(customer_churn_dataset!D1046),customer_churn_dataset!D1046))</f>
        <v>9.42</v>
      </c>
      <c r="E1046" s="7" t="n">
        <f aca="false">IF(ISBLANK(customer_churn_dataset!E1046),0,MAX(0,customer_churn_dataset!E1046))</f>
        <v>3</v>
      </c>
      <c r="F1046" s="8" t="n">
        <f aca="false">IF(ISBLANK(customer_churn_dataset!F1046),"",customer_churn_dataset!F1046)</f>
        <v>45184</v>
      </c>
      <c r="G1046" s="7" t="str">
        <f aca="false">PROPER(TRIM(customer_churn_dataset!G1046))</f>
        <v>Credit Card</v>
      </c>
      <c r="H1046" s="7" t="n">
        <f aca="false">IF(ISBLANK(customer_churn_dataset!H1046),0,customer_churn_dataset!H1046)</f>
        <v>1</v>
      </c>
      <c r="I1046" s="7" t="n">
        <f aca="false">IF(ISBLANK(customer_churn_dataset!I1046),ROUND(MEDIAN(customer_churn_dataset!I$2:I$1501),1),MIN(100,MAX(0,customer_churn_dataset!I1046)))</f>
        <v>62.2</v>
      </c>
      <c r="J1046" s="7" t="n">
        <f aca="false">IF(ISBLANK(customer_churn_dataset!J1046),0,MAX(0,customer_churn_dataset!J1046))</f>
        <v>22</v>
      </c>
      <c r="K1046" s="7" t="n">
        <f aca="false">IF(ISBLANK(customer_churn_dataset!K1046),0,MIN(10,MAX(0,customer_churn_dataset!K1046)))</f>
        <v>6</v>
      </c>
      <c r="L1046" s="7" t="n">
        <f aca="false">IF(ISBLANK(customer_churn_dataset!L1046),0,MAX(0,customer_churn_dataset!L1046))</f>
        <v>1</v>
      </c>
      <c r="M1046" s="7" t="n">
        <f aca="false">IF(ISBLANK(customer_churn_dataset!M1046),0,customer_churn_dataset!M1046)</f>
        <v>0</v>
      </c>
      <c r="N1046" s="7" t="n">
        <f aca="false">IF(ISBLANK(customer_churn_dataset!N1046),0,MAX(0,customer_churn_dataset!N1046))</f>
        <v>28.26</v>
      </c>
      <c r="O1046" s="7" t="n">
        <f aca="false">IF(ISBLANK(customer_churn_dataset!O1046),0,customer_churn_dataset!O1046)</f>
        <v>0</v>
      </c>
      <c r="P1046" s="7" t="str">
        <f aca="false">IF(COUNTIF(customer_churn_dataset!$A$2:$A$1501,customer_churn_dataset!A1046)&gt;1,"Duplicate","Unique")</f>
        <v>Unique</v>
      </c>
    </row>
    <row r="1047" customFormat="false" ht="14.15" hidden="false" customHeight="true" outlineLevel="0" collapsed="false">
      <c r="A1047" s="7" t="str">
        <f aca="false">TRIM(customer_churn_dataset!A1047)</f>
        <v>CUST101391</v>
      </c>
      <c r="B1047" s="7" t="str">
        <f aca="false">PROPER(TRIM(customer_churn_dataset!B1047))</f>
        <v>Basic</v>
      </c>
      <c r="C1047" s="7" t="str">
        <f aca="false">PROPER(TRIM(customer_churn_dataset!C1047))</f>
        <v>One Year</v>
      </c>
      <c r="D1047" s="7" t="n">
        <f aca="false">IF(ISBLANK(customer_churn_dataset!D1047),ROUND(MEDIAN(customer_churn_dataset!D$2:D$1501),2),IF(customer_churn_dataset!D1047&lt;0,ABS(customer_churn_dataset!D1047),customer_churn_dataset!D1047))</f>
        <v>8.11</v>
      </c>
      <c r="E1047" s="7" t="n">
        <f aca="false">IF(ISBLANK(customer_churn_dataset!E1047),0,MAX(0,customer_churn_dataset!E1047))</f>
        <v>23</v>
      </c>
      <c r="F1047" s="8" t="n">
        <f aca="false">IF(ISBLANK(customer_churn_dataset!F1047),"",customer_churn_dataset!F1047)</f>
        <v>45184</v>
      </c>
      <c r="G1047" s="7" t="str">
        <f aca="false">PROPER(TRIM(customer_churn_dataset!G1047))</f>
        <v>Bank Transfer</v>
      </c>
      <c r="H1047" s="7" t="n">
        <f aca="false">IF(ISBLANK(customer_churn_dataset!H1047),0,customer_churn_dataset!H1047)</f>
        <v>1</v>
      </c>
      <c r="I1047" s="7" t="n">
        <f aca="false">IF(ISBLANK(customer_churn_dataset!I1047),ROUND(MEDIAN(customer_churn_dataset!I$2:I$1501),1),MIN(100,MAX(0,customer_churn_dataset!I1047)))</f>
        <v>67.2</v>
      </c>
      <c r="J1047" s="7" t="n">
        <f aca="false">IF(ISBLANK(customer_churn_dataset!J1047),0,MAX(0,customer_churn_dataset!J1047))</f>
        <v>19</v>
      </c>
      <c r="K1047" s="7" t="n">
        <f aca="false">IF(ISBLANK(customer_churn_dataset!K1047),0,MIN(10,MAX(0,customer_churn_dataset!K1047)))</f>
        <v>6</v>
      </c>
      <c r="L1047" s="7" t="n">
        <f aca="false">IF(ISBLANK(customer_churn_dataset!L1047),0,MAX(0,customer_churn_dataset!L1047))</f>
        <v>1</v>
      </c>
      <c r="M1047" s="7" t="n">
        <f aca="false">IF(ISBLANK(customer_churn_dataset!M1047),0,customer_churn_dataset!M1047)</f>
        <v>0</v>
      </c>
      <c r="N1047" s="7" t="n">
        <f aca="false">IF(ISBLANK(customer_churn_dataset!N1047),0,MAX(0,customer_churn_dataset!N1047))</f>
        <v>186.53</v>
      </c>
      <c r="O1047" s="7" t="n">
        <f aca="false">IF(ISBLANK(customer_churn_dataset!O1047),0,customer_churn_dataset!O1047)</f>
        <v>0</v>
      </c>
      <c r="P1047" s="7" t="str">
        <f aca="false">IF(COUNTIF(customer_churn_dataset!$A$2:$A$1501,customer_churn_dataset!A1047)&gt;1,"Duplicate","Unique")</f>
        <v>Unique</v>
      </c>
    </row>
    <row r="1048" customFormat="false" ht="14.15" hidden="false" customHeight="true" outlineLevel="0" collapsed="false">
      <c r="A1048" s="7" t="str">
        <f aca="false">TRIM(customer_churn_dataset!A1048)</f>
        <v>CUST101162</v>
      </c>
      <c r="B1048" s="7" t="str">
        <f aca="false">PROPER(TRIM(customer_churn_dataset!B1048))</f>
        <v>Basic</v>
      </c>
      <c r="C1048" s="7" t="str">
        <f aca="false">PROPER(TRIM(customer_churn_dataset!C1048))</f>
        <v>One Year</v>
      </c>
      <c r="D1048" s="7" t="n">
        <f aca="false">IF(ISBLANK(customer_churn_dataset!D1048),ROUND(MEDIAN(customer_churn_dataset!D$2:D$1501),2),IF(customer_churn_dataset!D1048&lt;0,ABS(customer_churn_dataset!D1048),customer_churn_dataset!D1048))</f>
        <v>10.45</v>
      </c>
      <c r="E1048" s="7" t="n">
        <f aca="false">IF(ISBLANK(customer_churn_dataset!E1048),0,MAX(0,customer_churn_dataset!E1048))</f>
        <v>28</v>
      </c>
      <c r="F1048" s="8" t="n">
        <f aca="false">IF(ISBLANK(customer_churn_dataset!F1048),"",customer_churn_dataset!F1048)</f>
        <v>45189</v>
      </c>
      <c r="G1048" s="7" t="str">
        <f aca="false">PROPER(TRIM(customer_churn_dataset!G1048))</f>
        <v>Paypal</v>
      </c>
      <c r="H1048" s="7" t="n">
        <f aca="false">IF(ISBLANK(customer_churn_dataset!H1048),0,customer_churn_dataset!H1048)</f>
        <v>0</v>
      </c>
      <c r="I1048" s="7" t="n">
        <f aca="false">IF(ISBLANK(customer_churn_dataset!I1048),ROUND(MEDIAN(customer_churn_dataset!I$2:I$1501),1),MIN(100,MAX(0,customer_churn_dataset!I1048)))</f>
        <v>76.2</v>
      </c>
      <c r="J1048" s="7" t="n">
        <f aca="false">IF(ISBLANK(customer_churn_dataset!J1048),0,MAX(0,customer_churn_dataset!J1048))</f>
        <v>21</v>
      </c>
      <c r="K1048" s="7" t="n">
        <f aca="false">IF(ISBLANK(customer_churn_dataset!K1048),0,MIN(10,MAX(0,customer_churn_dataset!K1048)))</f>
        <v>8</v>
      </c>
      <c r="L1048" s="7" t="n">
        <f aca="false">IF(ISBLANK(customer_churn_dataset!L1048),0,MAX(0,customer_churn_dataset!L1048))</f>
        <v>0</v>
      </c>
      <c r="M1048" s="7" t="n">
        <f aca="false">IF(ISBLANK(customer_churn_dataset!M1048),0,customer_churn_dataset!M1048)</f>
        <v>0</v>
      </c>
      <c r="N1048" s="7" t="n">
        <f aca="false">IF(ISBLANK(customer_churn_dataset!N1048),0,MAX(0,customer_churn_dataset!N1048))</f>
        <v>292.6</v>
      </c>
      <c r="O1048" s="7" t="n">
        <f aca="false">IF(ISBLANK(customer_churn_dataset!O1048),0,customer_churn_dataset!O1048)</f>
        <v>0</v>
      </c>
      <c r="P1048" s="7" t="str">
        <f aca="false">IF(COUNTIF(customer_churn_dataset!$A$2:$A$1501,customer_churn_dataset!A1048)&gt;1,"Duplicate","Unique")</f>
        <v>Unique</v>
      </c>
    </row>
    <row r="1049" customFormat="false" ht="14.15" hidden="false" customHeight="true" outlineLevel="0" collapsed="false">
      <c r="A1049" s="7" t="str">
        <f aca="false">TRIM(customer_churn_dataset!A1049)</f>
        <v>CUST100740</v>
      </c>
      <c r="B1049" s="7" t="str">
        <f aca="false">PROPER(TRIM(customer_churn_dataset!B1049))</f>
        <v>Standard</v>
      </c>
      <c r="C1049" s="7" t="str">
        <f aca="false">PROPER(TRIM(customer_churn_dataset!C1049))</f>
        <v>Two Year</v>
      </c>
      <c r="D1049" s="7" t="n">
        <f aca="false">IF(ISBLANK(customer_churn_dataset!D1049),ROUND(MEDIAN(customer_churn_dataset!D$2:D$1501),2),IF(customer_churn_dataset!D1049&lt;0,ABS(customer_churn_dataset!D1049),customer_churn_dataset!D1049))</f>
        <v>20.69</v>
      </c>
      <c r="E1049" s="7" t="n">
        <f aca="false">IF(ISBLANK(customer_churn_dataset!E1049),0,MAX(0,customer_churn_dataset!E1049))</f>
        <v>44</v>
      </c>
      <c r="F1049" s="8" t="n">
        <f aca="false">IF(ISBLANK(customer_churn_dataset!F1049),"",customer_churn_dataset!F1049)</f>
        <v>45190</v>
      </c>
      <c r="G1049" s="7" t="str">
        <f aca="false">PROPER(TRIM(customer_churn_dataset!G1049))</f>
        <v>Credit Card</v>
      </c>
      <c r="H1049" s="7" t="n">
        <f aca="false">IF(ISBLANK(customer_churn_dataset!H1049),0,customer_churn_dataset!H1049)</f>
        <v>1</v>
      </c>
      <c r="I1049" s="7" t="n">
        <f aca="false">IF(ISBLANK(customer_churn_dataset!I1049),ROUND(MEDIAN(customer_churn_dataset!I$2:I$1501),1),MIN(100,MAX(0,customer_churn_dataset!I1049)))</f>
        <v>46.4</v>
      </c>
      <c r="J1049" s="7" t="n">
        <f aca="false">IF(ISBLANK(customer_churn_dataset!J1049),0,MAX(0,customer_churn_dataset!J1049))</f>
        <v>11</v>
      </c>
      <c r="K1049" s="7" t="n">
        <f aca="false">IF(ISBLANK(customer_churn_dataset!K1049),0,MIN(10,MAX(0,customer_churn_dataset!K1049)))</f>
        <v>4</v>
      </c>
      <c r="L1049" s="7" t="n">
        <f aca="false">IF(ISBLANK(customer_churn_dataset!L1049),0,MAX(0,customer_churn_dataset!L1049))</f>
        <v>1</v>
      </c>
      <c r="M1049" s="7" t="n">
        <f aca="false">IF(ISBLANK(customer_churn_dataset!M1049),0,customer_churn_dataset!M1049)</f>
        <v>0</v>
      </c>
      <c r="N1049" s="7" t="n">
        <f aca="false">IF(ISBLANK(customer_churn_dataset!N1049),0,MAX(0,customer_churn_dataset!N1049))</f>
        <v>910.36</v>
      </c>
      <c r="O1049" s="7" t="n">
        <f aca="false">IF(ISBLANK(customer_churn_dataset!O1049),0,customer_churn_dataset!O1049)</f>
        <v>0</v>
      </c>
      <c r="P1049" s="7" t="str">
        <f aca="false">IF(COUNTIF(customer_churn_dataset!$A$2:$A$1501,customer_churn_dataset!A1049)&gt;1,"Duplicate","Unique")</f>
        <v>Unique</v>
      </c>
    </row>
    <row r="1050" customFormat="false" ht="14.15" hidden="false" customHeight="true" outlineLevel="0" collapsed="false">
      <c r="A1050" s="7" t="str">
        <f aca="false">TRIM(customer_churn_dataset!A1050)</f>
        <v>CUST101358</v>
      </c>
      <c r="B1050" s="7" t="str">
        <f aca="false">PROPER(TRIM(customer_churn_dataset!B1050))</f>
        <v>Basic</v>
      </c>
      <c r="C1050" s="7" t="str">
        <f aca="false">PROPER(TRIM(customer_churn_dataset!C1050))</f>
        <v>Month-To-Month</v>
      </c>
      <c r="D1050" s="7" t="n">
        <f aca="false">IF(ISBLANK(customer_churn_dataset!D1050),ROUND(MEDIAN(customer_churn_dataset!D$2:D$1501),2),IF(customer_churn_dataset!D1050&lt;0,ABS(customer_churn_dataset!D1050),customer_churn_dataset!D1050))</f>
        <v>9.76</v>
      </c>
      <c r="E1050" s="7" t="n">
        <f aca="false">IF(ISBLANK(customer_churn_dataset!E1050),0,MAX(0,customer_churn_dataset!E1050))</f>
        <v>2</v>
      </c>
      <c r="F1050" s="8" t="n">
        <f aca="false">IF(ISBLANK(customer_churn_dataset!F1050),"",customer_churn_dataset!F1050)</f>
        <v>45191</v>
      </c>
      <c r="G1050" s="7" t="str">
        <f aca="false">PROPER(TRIM(customer_churn_dataset!G1050))</f>
        <v>Manual/Invoice</v>
      </c>
      <c r="H1050" s="7" t="n">
        <f aca="false">IF(ISBLANK(customer_churn_dataset!H1050),0,customer_churn_dataset!H1050)</f>
        <v>0</v>
      </c>
      <c r="I1050" s="7" t="n">
        <f aca="false">IF(ISBLANK(customer_churn_dataset!I1050),ROUND(MEDIAN(customer_churn_dataset!I$2:I$1501),1),MIN(100,MAX(0,customer_churn_dataset!I1050)))</f>
        <v>37.6</v>
      </c>
      <c r="J1050" s="7" t="n">
        <f aca="false">IF(ISBLANK(customer_churn_dataset!J1050),0,MAX(0,customer_churn_dataset!J1050))</f>
        <v>5</v>
      </c>
      <c r="K1050" s="7" t="n">
        <f aca="false">IF(ISBLANK(customer_churn_dataset!K1050),0,MIN(10,MAX(0,customer_churn_dataset!K1050)))</f>
        <v>4</v>
      </c>
      <c r="L1050" s="7" t="n">
        <f aca="false">IF(ISBLANK(customer_churn_dataset!L1050),0,MAX(0,customer_churn_dataset!L1050))</f>
        <v>2</v>
      </c>
      <c r="M1050" s="7" t="n">
        <f aca="false">IF(ISBLANK(customer_churn_dataset!M1050),0,customer_churn_dataset!M1050)</f>
        <v>0</v>
      </c>
      <c r="N1050" s="7" t="n">
        <f aca="false">IF(ISBLANK(customer_churn_dataset!N1050),0,MAX(0,customer_churn_dataset!N1050))</f>
        <v>19.52</v>
      </c>
      <c r="O1050" s="7" t="n">
        <f aca="false">IF(ISBLANK(customer_churn_dataset!O1050),0,customer_churn_dataset!O1050)</f>
        <v>0</v>
      </c>
      <c r="P1050" s="7" t="str">
        <f aca="false">IF(COUNTIF(customer_churn_dataset!$A$2:$A$1501,customer_churn_dataset!A1050)&gt;1,"Duplicate","Unique")</f>
        <v>Unique</v>
      </c>
    </row>
    <row r="1051" customFormat="false" ht="14.15" hidden="false" customHeight="true" outlineLevel="0" collapsed="false">
      <c r="A1051" s="7" t="str">
        <f aca="false">TRIM(customer_churn_dataset!A1051)</f>
        <v>CUST100078</v>
      </c>
      <c r="B1051" s="7" t="str">
        <f aca="false">PROPER(TRIM(customer_churn_dataset!B1051))</f>
        <v>Basic</v>
      </c>
      <c r="C1051" s="7" t="str">
        <f aca="false">PROPER(TRIM(customer_churn_dataset!C1051))</f>
        <v>Two Year</v>
      </c>
      <c r="D1051" s="7" t="n">
        <f aca="false">IF(ISBLANK(customer_churn_dataset!D1051),ROUND(MEDIAN(customer_churn_dataset!D$2:D$1501),2),IF(customer_churn_dataset!D1051&lt;0,ABS(customer_churn_dataset!D1051),customer_churn_dataset!D1051))</f>
        <v>10.56</v>
      </c>
      <c r="E1051" s="7" t="n">
        <f aca="false">IF(ISBLANK(customer_churn_dataset!E1051),0,MAX(0,customer_churn_dataset!E1051))</f>
        <v>34</v>
      </c>
      <c r="F1051" s="8" t="n">
        <f aca="false">IF(ISBLANK(customer_churn_dataset!F1051),"",customer_churn_dataset!F1051)</f>
        <v>45196</v>
      </c>
      <c r="G1051" s="7" t="str">
        <f aca="false">PROPER(TRIM(customer_churn_dataset!G1051))</f>
        <v>Paypal</v>
      </c>
      <c r="H1051" s="7" t="n">
        <f aca="false">IF(ISBLANK(customer_churn_dataset!H1051),0,customer_churn_dataset!H1051)</f>
        <v>1</v>
      </c>
      <c r="I1051" s="7" t="n">
        <f aca="false">IF(ISBLANK(customer_churn_dataset!I1051),ROUND(MEDIAN(customer_churn_dataset!I$2:I$1501),1),MIN(100,MAX(0,customer_churn_dataset!I1051)))</f>
        <v>30.8</v>
      </c>
      <c r="J1051" s="7" t="n">
        <f aca="false">IF(ISBLANK(customer_churn_dataset!J1051),0,MAX(0,customer_churn_dataset!J1051))</f>
        <v>8</v>
      </c>
      <c r="K1051" s="7" t="n">
        <f aca="false">IF(ISBLANK(customer_churn_dataset!K1051),0,MIN(10,MAX(0,customer_churn_dataset!K1051)))</f>
        <v>2</v>
      </c>
      <c r="L1051" s="7" t="n">
        <f aca="false">IF(ISBLANK(customer_churn_dataset!L1051),0,MAX(0,customer_churn_dataset!L1051))</f>
        <v>0</v>
      </c>
      <c r="M1051" s="7" t="n">
        <f aca="false">IF(ISBLANK(customer_churn_dataset!M1051),0,customer_churn_dataset!M1051)</f>
        <v>0</v>
      </c>
      <c r="N1051" s="7" t="n">
        <f aca="false">IF(ISBLANK(customer_churn_dataset!N1051),0,MAX(0,customer_churn_dataset!N1051))</f>
        <v>359.04</v>
      </c>
      <c r="O1051" s="7" t="n">
        <f aca="false">IF(ISBLANK(customer_churn_dataset!O1051),0,customer_churn_dataset!O1051)</f>
        <v>0</v>
      </c>
      <c r="P1051" s="7" t="str">
        <f aca="false">IF(COUNTIF(customer_churn_dataset!$A$2:$A$1501,customer_churn_dataset!A1051)&gt;1,"Duplicate","Unique")</f>
        <v>Unique</v>
      </c>
    </row>
    <row r="1052" customFormat="false" ht="14.15" hidden="false" customHeight="true" outlineLevel="0" collapsed="false">
      <c r="A1052" s="7" t="str">
        <f aca="false">TRIM(customer_churn_dataset!A1052)</f>
        <v>CUST100722</v>
      </c>
      <c r="B1052" s="7" t="str">
        <f aca="false">PROPER(TRIM(customer_churn_dataset!B1052))</f>
        <v>Basic</v>
      </c>
      <c r="C1052" s="7" t="str">
        <f aca="false">PROPER(TRIM(customer_churn_dataset!C1052))</f>
        <v>One Year</v>
      </c>
      <c r="D1052" s="7" t="n">
        <f aca="false">IF(ISBLANK(customer_churn_dataset!D1052),ROUND(MEDIAN(customer_churn_dataset!D$2:D$1501),2),IF(customer_churn_dataset!D1052&lt;0,ABS(customer_churn_dataset!D1052),customer_churn_dataset!D1052))</f>
        <v>8.76</v>
      </c>
      <c r="E1052" s="7" t="n">
        <f aca="false">IF(ISBLANK(customer_churn_dataset!E1052),0,MAX(0,customer_churn_dataset!E1052))</f>
        <v>58</v>
      </c>
      <c r="F1052" s="8" t="n">
        <f aca="false">IF(ISBLANK(customer_churn_dataset!F1052),"",customer_churn_dataset!F1052)</f>
        <v>45197</v>
      </c>
      <c r="G1052" s="7" t="str">
        <f aca="false">PROPER(TRIM(customer_churn_dataset!G1052))</f>
        <v>Credit Card</v>
      </c>
      <c r="H1052" s="7" t="n">
        <f aca="false">IF(ISBLANK(customer_churn_dataset!H1052),0,customer_churn_dataset!H1052)</f>
        <v>1</v>
      </c>
      <c r="I1052" s="7" t="n">
        <f aca="false">IF(ISBLANK(customer_churn_dataset!I1052),ROUND(MEDIAN(customer_churn_dataset!I$2:I$1501),1),MIN(100,MAX(0,customer_churn_dataset!I1052)))</f>
        <v>63.6</v>
      </c>
      <c r="J1052" s="7" t="n">
        <f aca="false">IF(ISBLANK(customer_churn_dataset!J1052),0,MAX(0,customer_churn_dataset!J1052))</f>
        <v>17</v>
      </c>
      <c r="K1052" s="7" t="n">
        <f aca="false">IF(ISBLANK(customer_churn_dataset!K1052),0,MIN(10,MAX(0,customer_churn_dataset!K1052)))</f>
        <v>4</v>
      </c>
      <c r="L1052" s="7" t="n">
        <f aca="false">IF(ISBLANK(customer_churn_dataset!L1052),0,MAX(0,customer_churn_dataset!L1052))</f>
        <v>3</v>
      </c>
      <c r="M1052" s="7" t="n">
        <f aca="false">IF(ISBLANK(customer_churn_dataset!M1052),0,customer_churn_dataset!M1052)</f>
        <v>0</v>
      </c>
      <c r="N1052" s="7" t="n">
        <f aca="false">IF(ISBLANK(customer_churn_dataset!N1052),0,MAX(0,customer_churn_dataset!N1052))</f>
        <v>508.08</v>
      </c>
      <c r="O1052" s="7" t="n">
        <f aca="false">IF(ISBLANK(customer_churn_dataset!O1052),0,customer_churn_dataset!O1052)</f>
        <v>0</v>
      </c>
      <c r="P1052" s="7" t="str">
        <f aca="false">IF(COUNTIF(customer_churn_dataset!$A$2:$A$1501,customer_churn_dataset!A1052)&gt;1,"Duplicate","Unique")</f>
        <v>Unique</v>
      </c>
    </row>
    <row r="1053" customFormat="false" ht="14.15" hidden="false" customHeight="true" outlineLevel="0" collapsed="false">
      <c r="A1053" s="7" t="str">
        <f aca="false">TRIM(customer_churn_dataset!A1053)</f>
        <v>CUST100075</v>
      </c>
      <c r="B1053" s="7" t="str">
        <f aca="false">PROPER(TRIM(customer_churn_dataset!B1053))</f>
        <v>Standard</v>
      </c>
      <c r="C1053" s="7" t="str">
        <f aca="false">PROPER(TRIM(customer_churn_dataset!C1053))</f>
        <v>Month-To-Month</v>
      </c>
      <c r="D1053" s="7" t="n">
        <f aca="false">IF(ISBLANK(customer_churn_dataset!D1053),ROUND(MEDIAN(customer_churn_dataset!D$2:D$1501),2),IF(customer_churn_dataset!D1053&lt;0,ABS(customer_churn_dataset!D1053),customer_churn_dataset!D1053))</f>
        <v>21.63</v>
      </c>
      <c r="E1053" s="7" t="n">
        <f aca="false">IF(ISBLANK(customer_churn_dataset!E1053),0,MAX(0,customer_churn_dataset!E1053))</f>
        <v>12</v>
      </c>
      <c r="F1053" s="8" t="n">
        <f aca="false">IF(ISBLANK(customer_churn_dataset!F1053),"",customer_churn_dataset!F1053)</f>
        <v>45197</v>
      </c>
      <c r="G1053" s="7" t="str">
        <f aca="false">PROPER(TRIM(customer_churn_dataset!G1053))</f>
        <v>Credit Card</v>
      </c>
      <c r="H1053" s="7" t="n">
        <f aca="false">IF(ISBLANK(customer_churn_dataset!H1053),0,customer_churn_dataset!H1053)</f>
        <v>1</v>
      </c>
      <c r="I1053" s="7" t="n">
        <f aca="false">IF(ISBLANK(customer_churn_dataset!I1053),ROUND(MEDIAN(customer_churn_dataset!I$2:I$1501),1),MIN(100,MAX(0,customer_churn_dataset!I1053)))</f>
        <v>56.7</v>
      </c>
      <c r="J1053" s="7" t="n">
        <f aca="false">IF(ISBLANK(customer_churn_dataset!J1053),0,MAX(0,customer_churn_dataset!J1053))</f>
        <v>19</v>
      </c>
      <c r="K1053" s="7" t="n">
        <f aca="false">IF(ISBLANK(customer_churn_dataset!K1053),0,MIN(10,MAX(0,customer_churn_dataset!K1053)))</f>
        <v>3</v>
      </c>
      <c r="L1053" s="7" t="n">
        <f aca="false">IF(ISBLANK(customer_churn_dataset!L1053),0,MAX(0,customer_churn_dataset!L1053))</f>
        <v>1</v>
      </c>
      <c r="M1053" s="7" t="n">
        <f aca="false">IF(ISBLANK(customer_churn_dataset!M1053),0,customer_churn_dataset!M1053)</f>
        <v>1</v>
      </c>
      <c r="N1053" s="7" t="n">
        <f aca="false">IF(ISBLANK(customer_churn_dataset!N1053),0,MAX(0,customer_churn_dataset!N1053))</f>
        <v>259.56</v>
      </c>
      <c r="O1053" s="7" t="n">
        <f aca="false">IF(ISBLANK(customer_churn_dataset!O1053),0,customer_churn_dataset!O1053)</f>
        <v>0</v>
      </c>
      <c r="P1053" s="7" t="str">
        <f aca="false">IF(COUNTIF(customer_churn_dataset!$A$2:$A$1501,customer_churn_dataset!A1053)&gt;1,"Duplicate","Unique")</f>
        <v>Unique</v>
      </c>
    </row>
    <row r="1054" customFormat="false" ht="14.15" hidden="false" customHeight="true" outlineLevel="0" collapsed="false">
      <c r="A1054" s="7" t="str">
        <f aca="false">TRIM(customer_churn_dataset!A1054)</f>
        <v>CUST100923</v>
      </c>
      <c r="B1054" s="7" t="str">
        <f aca="false">PROPER(TRIM(customer_churn_dataset!B1054))</f>
        <v>Standard</v>
      </c>
      <c r="C1054" s="7" t="str">
        <f aca="false">PROPER(TRIM(customer_churn_dataset!C1054))</f>
        <v>One Year</v>
      </c>
      <c r="D1054" s="7" t="n">
        <f aca="false">IF(ISBLANK(customer_churn_dataset!D1054),ROUND(MEDIAN(customer_churn_dataset!D$2:D$1501),2),IF(customer_churn_dataset!D1054&lt;0,ABS(customer_churn_dataset!D1054),customer_churn_dataset!D1054))</f>
        <v>17.69</v>
      </c>
      <c r="E1054" s="7" t="n">
        <f aca="false">IF(ISBLANK(customer_churn_dataset!E1054),0,MAX(0,customer_churn_dataset!E1054))</f>
        <v>5</v>
      </c>
      <c r="F1054" s="8" t="n">
        <f aca="false">IF(ISBLANK(customer_churn_dataset!F1054),"",customer_churn_dataset!F1054)</f>
        <v>45198</v>
      </c>
      <c r="G1054" s="7" t="str">
        <f aca="false">PROPER(TRIM(customer_churn_dataset!G1054))</f>
        <v>Bank Transfer</v>
      </c>
      <c r="H1054" s="7" t="n">
        <f aca="false">IF(ISBLANK(customer_churn_dataset!H1054),0,customer_churn_dataset!H1054)</f>
        <v>1</v>
      </c>
      <c r="I1054" s="7" t="n">
        <f aca="false">IF(ISBLANK(customer_churn_dataset!I1054),ROUND(MEDIAN(customer_churn_dataset!I$2:I$1501),1),MIN(100,MAX(0,customer_churn_dataset!I1054)))</f>
        <v>54.1</v>
      </c>
      <c r="J1054" s="7" t="n">
        <f aca="false">IF(ISBLANK(customer_churn_dataset!J1054),0,MAX(0,customer_churn_dataset!J1054))</f>
        <v>21</v>
      </c>
      <c r="K1054" s="7" t="n">
        <f aca="false">IF(ISBLANK(customer_churn_dataset!K1054),0,MIN(10,MAX(0,customer_churn_dataset!K1054)))</f>
        <v>3</v>
      </c>
      <c r="L1054" s="7" t="n">
        <f aca="false">IF(ISBLANK(customer_churn_dataset!L1054),0,MAX(0,customer_churn_dataset!L1054))</f>
        <v>0</v>
      </c>
      <c r="M1054" s="7" t="n">
        <f aca="false">IF(ISBLANK(customer_churn_dataset!M1054),0,customer_churn_dataset!M1054)</f>
        <v>0</v>
      </c>
      <c r="N1054" s="7" t="n">
        <f aca="false">IF(ISBLANK(customer_churn_dataset!N1054),0,MAX(0,customer_churn_dataset!N1054))</f>
        <v>88.45</v>
      </c>
      <c r="O1054" s="7" t="n">
        <f aca="false">IF(ISBLANK(customer_churn_dataset!O1054),0,customer_churn_dataset!O1054)</f>
        <v>0</v>
      </c>
      <c r="P1054" s="7" t="str">
        <f aca="false">IF(COUNTIF(customer_churn_dataset!$A$2:$A$1501,customer_churn_dataset!A1054)&gt;1,"Duplicate","Unique")</f>
        <v>Unique</v>
      </c>
    </row>
    <row r="1055" customFormat="false" ht="14.15" hidden="false" customHeight="true" outlineLevel="0" collapsed="false">
      <c r="A1055" s="7" t="str">
        <f aca="false">TRIM(customer_churn_dataset!A1055)</f>
        <v>CUST100891</v>
      </c>
      <c r="B1055" s="7" t="str">
        <f aca="false">PROPER(TRIM(customer_churn_dataset!B1055))</f>
        <v>Premium</v>
      </c>
      <c r="C1055" s="7" t="str">
        <f aca="false">PROPER(TRIM(customer_churn_dataset!C1055))</f>
        <v>Month-To-Month</v>
      </c>
      <c r="D1055" s="7" t="n">
        <f aca="false">IF(ISBLANK(customer_churn_dataset!D1055),ROUND(MEDIAN(customer_churn_dataset!D$2:D$1501),2),IF(customer_churn_dataset!D1055&lt;0,ABS(customer_churn_dataset!D1055),customer_churn_dataset!D1055))</f>
        <v>39.12</v>
      </c>
      <c r="E1055" s="7" t="n">
        <f aca="false">IF(ISBLANK(customer_churn_dataset!E1055),0,MAX(0,customer_churn_dataset!E1055))</f>
        <v>12</v>
      </c>
      <c r="F1055" s="8" t="n">
        <f aca="false">IF(ISBLANK(customer_churn_dataset!F1055),"",customer_churn_dataset!F1055)</f>
        <v>45199</v>
      </c>
      <c r="G1055" s="7" t="str">
        <f aca="false">PROPER(TRIM(customer_churn_dataset!G1055))</f>
        <v>Credit Card</v>
      </c>
      <c r="H1055" s="7" t="n">
        <f aca="false">IF(ISBLANK(customer_churn_dataset!H1055),0,customer_churn_dataset!H1055)</f>
        <v>1</v>
      </c>
      <c r="I1055" s="7" t="n">
        <f aca="false">IF(ISBLANK(customer_churn_dataset!I1055),ROUND(MEDIAN(customer_churn_dataset!I$2:I$1501),1),MIN(100,MAX(0,customer_churn_dataset!I1055)))</f>
        <v>88.5</v>
      </c>
      <c r="J1055" s="7" t="n">
        <f aca="false">IF(ISBLANK(customer_churn_dataset!J1055),0,MAX(0,customer_churn_dataset!J1055))</f>
        <v>20</v>
      </c>
      <c r="K1055" s="7" t="n">
        <f aca="false">IF(ISBLANK(customer_churn_dataset!K1055),0,MIN(10,MAX(0,customer_churn_dataset!K1055)))</f>
        <v>7</v>
      </c>
      <c r="L1055" s="7" t="n">
        <f aca="false">IF(ISBLANK(customer_churn_dataset!L1055),0,MAX(0,customer_churn_dataset!L1055))</f>
        <v>0</v>
      </c>
      <c r="M1055" s="7" t="n">
        <f aca="false">IF(ISBLANK(customer_churn_dataset!M1055),0,customer_churn_dataset!M1055)</f>
        <v>0</v>
      </c>
      <c r="N1055" s="7" t="n">
        <f aca="false">IF(ISBLANK(customer_churn_dataset!N1055),0,MAX(0,customer_churn_dataset!N1055))</f>
        <v>469.44</v>
      </c>
      <c r="O1055" s="7" t="n">
        <f aca="false">IF(ISBLANK(customer_churn_dataset!O1055),0,customer_churn_dataset!O1055)</f>
        <v>0</v>
      </c>
      <c r="P1055" s="7" t="str">
        <f aca="false">IF(COUNTIF(customer_churn_dataset!$A$2:$A$1501,customer_churn_dataset!A1055)&gt;1,"Duplicate","Unique")</f>
        <v>Unique</v>
      </c>
    </row>
    <row r="1056" customFormat="false" ht="14.15" hidden="false" customHeight="true" outlineLevel="0" collapsed="false">
      <c r="A1056" s="7" t="str">
        <f aca="false">TRIM(customer_churn_dataset!A1056)</f>
        <v>CUST100424</v>
      </c>
      <c r="B1056" s="7" t="str">
        <f aca="false">PROPER(TRIM(customer_churn_dataset!B1056))</f>
        <v>Basic</v>
      </c>
      <c r="C1056" s="7" t="str">
        <f aca="false">PROPER(TRIM(customer_churn_dataset!C1056))</f>
        <v>Month-To-Month</v>
      </c>
      <c r="D1056" s="7" t="n">
        <f aca="false">IF(ISBLANK(customer_churn_dataset!D1056),ROUND(MEDIAN(customer_churn_dataset!D$2:D$1501),2),IF(customer_churn_dataset!D1056&lt;0,ABS(customer_churn_dataset!D1056),customer_churn_dataset!D1056))</f>
        <v>10.42</v>
      </c>
      <c r="E1056" s="7" t="n">
        <f aca="false">IF(ISBLANK(customer_churn_dataset!E1056),0,MAX(0,customer_churn_dataset!E1056))</f>
        <v>7</v>
      </c>
      <c r="F1056" s="8" t="n">
        <f aca="false">IF(ISBLANK(customer_churn_dataset!F1056),"",customer_churn_dataset!F1056)</f>
        <v>45199</v>
      </c>
      <c r="G1056" s="7" t="str">
        <f aca="false">PROPER(TRIM(customer_churn_dataset!G1056))</f>
        <v>Bank Transfer</v>
      </c>
      <c r="H1056" s="7" t="n">
        <f aca="false">IF(ISBLANK(customer_churn_dataset!H1056),0,customer_churn_dataset!H1056)</f>
        <v>0</v>
      </c>
      <c r="I1056" s="7" t="n">
        <f aca="false">IF(ISBLANK(customer_churn_dataset!I1056),ROUND(MEDIAN(customer_churn_dataset!I$2:I$1501),1),MIN(100,MAX(0,customer_churn_dataset!I1056)))</f>
        <v>41.9</v>
      </c>
      <c r="J1056" s="7" t="n">
        <f aca="false">IF(ISBLANK(customer_churn_dataset!J1056),0,MAX(0,customer_churn_dataset!J1056))</f>
        <v>11</v>
      </c>
      <c r="K1056" s="7" t="n">
        <f aca="false">IF(ISBLANK(customer_churn_dataset!K1056),0,MIN(10,MAX(0,customer_churn_dataset!K1056)))</f>
        <v>2</v>
      </c>
      <c r="L1056" s="7" t="n">
        <f aca="false">IF(ISBLANK(customer_churn_dataset!L1056),0,MAX(0,customer_churn_dataset!L1056))</f>
        <v>2</v>
      </c>
      <c r="M1056" s="7" t="n">
        <f aca="false">IF(ISBLANK(customer_churn_dataset!M1056),0,customer_churn_dataset!M1056)</f>
        <v>0</v>
      </c>
      <c r="N1056" s="7" t="n">
        <f aca="false">IF(ISBLANK(customer_churn_dataset!N1056),0,MAX(0,customer_churn_dataset!N1056))</f>
        <v>72.94</v>
      </c>
      <c r="O1056" s="7" t="n">
        <f aca="false">IF(ISBLANK(customer_churn_dataset!O1056),0,customer_churn_dataset!O1056)</f>
        <v>1</v>
      </c>
      <c r="P1056" s="7" t="str">
        <f aca="false">IF(COUNTIF(customer_churn_dataset!$A$2:$A$1501,customer_churn_dataset!A1056)&gt;1,"Duplicate","Unique")</f>
        <v>Unique</v>
      </c>
    </row>
    <row r="1057" customFormat="false" ht="14.15" hidden="false" customHeight="true" outlineLevel="0" collapsed="false">
      <c r="A1057" s="7" t="str">
        <f aca="false">TRIM(customer_churn_dataset!A1057)</f>
        <v>CUST100034</v>
      </c>
      <c r="B1057" s="7" t="str">
        <f aca="false">PROPER(TRIM(customer_churn_dataset!B1057))</f>
        <v>Premium</v>
      </c>
      <c r="C1057" s="7" t="str">
        <f aca="false">PROPER(TRIM(customer_churn_dataset!C1057))</f>
        <v>Month-To-Month</v>
      </c>
      <c r="D1057" s="7" t="n">
        <f aca="false">IF(ISBLANK(customer_churn_dataset!D1057),ROUND(MEDIAN(customer_churn_dataset!D$2:D$1501),2),IF(customer_churn_dataset!D1057&lt;0,ABS(customer_churn_dataset!D1057),customer_churn_dataset!D1057))</f>
        <v>38.4</v>
      </c>
      <c r="E1057" s="7" t="n">
        <f aca="false">IF(ISBLANK(customer_churn_dataset!E1057),0,MAX(0,customer_churn_dataset!E1057))</f>
        <v>0</v>
      </c>
      <c r="F1057" s="8" t="n">
        <f aca="false">IF(ISBLANK(customer_churn_dataset!F1057),"",customer_churn_dataset!F1057)</f>
        <v>45201</v>
      </c>
      <c r="G1057" s="7" t="str">
        <f aca="false">PROPER(TRIM(customer_churn_dataset!G1057))</f>
        <v>Paypal</v>
      </c>
      <c r="H1057" s="7" t="n">
        <f aca="false">IF(ISBLANK(customer_churn_dataset!H1057),0,customer_churn_dataset!H1057)</f>
        <v>0</v>
      </c>
      <c r="I1057" s="7" t="n">
        <f aca="false">IF(ISBLANK(customer_churn_dataset!I1057),ROUND(MEDIAN(customer_churn_dataset!I$2:I$1501),1),MIN(100,MAX(0,customer_churn_dataset!I1057)))</f>
        <v>50.6</v>
      </c>
      <c r="J1057" s="7" t="n">
        <f aca="false">IF(ISBLANK(customer_churn_dataset!J1057),0,MAX(0,customer_churn_dataset!J1057))</f>
        <v>16</v>
      </c>
      <c r="K1057" s="7" t="n">
        <f aca="false">IF(ISBLANK(customer_churn_dataset!K1057),0,MIN(10,MAX(0,customer_churn_dataset!K1057)))</f>
        <v>7</v>
      </c>
      <c r="L1057" s="7" t="n">
        <f aca="false">IF(ISBLANK(customer_churn_dataset!L1057),0,MAX(0,customer_churn_dataset!L1057))</f>
        <v>2</v>
      </c>
      <c r="M1057" s="7" t="n">
        <f aca="false">IF(ISBLANK(customer_churn_dataset!M1057),0,customer_churn_dataset!M1057)</f>
        <v>0</v>
      </c>
      <c r="N1057" s="7" t="n">
        <f aca="false">IF(ISBLANK(customer_churn_dataset!N1057),0,MAX(0,customer_churn_dataset!N1057))</f>
        <v>0</v>
      </c>
      <c r="O1057" s="7" t="n">
        <f aca="false">IF(ISBLANK(customer_churn_dataset!O1057),0,customer_churn_dataset!O1057)</f>
        <v>1</v>
      </c>
      <c r="P1057" s="7" t="str">
        <f aca="false">IF(COUNTIF(customer_churn_dataset!$A$2:$A$1501,customer_churn_dataset!A1057)&gt;1,"Duplicate","Unique")</f>
        <v>Unique</v>
      </c>
    </row>
    <row r="1058" customFormat="false" ht="14.15" hidden="false" customHeight="true" outlineLevel="0" collapsed="false">
      <c r="A1058" s="7" t="str">
        <f aca="false">TRIM(customer_churn_dataset!A1058)</f>
        <v>CUST100015</v>
      </c>
      <c r="B1058" s="7" t="str">
        <f aca="false">PROPER(TRIM(customer_churn_dataset!B1058))</f>
        <v>Basic</v>
      </c>
      <c r="C1058" s="7" t="str">
        <f aca="false">PROPER(TRIM(customer_churn_dataset!C1058))</f>
        <v>Month-To-Month</v>
      </c>
      <c r="D1058" s="7" t="n">
        <f aca="false">IF(ISBLANK(customer_churn_dataset!D1058),ROUND(MEDIAN(customer_churn_dataset!D$2:D$1501),2),IF(customer_churn_dataset!D1058&lt;0,ABS(customer_churn_dataset!D1058),customer_churn_dataset!D1058))</f>
        <v>9.71</v>
      </c>
      <c r="E1058" s="7" t="n">
        <f aca="false">IF(ISBLANK(customer_churn_dataset!E1058),0,MAX(0,customer_churn_dataset!E1058))</f>
        <v>13</v>
      </c>
      <c r="F1058" s="8" t="n">
        <f aca="false">IF(ISBLANK(customer_churn_dataset!F1058),"",customer_churn_dataset!F1058)</f>
        <v>45201</v>
      </c>
      <c r="G1058" s="7" t="str">
        <f aca="false">PROPER(TRIM(customer_churn_dataset!G1058))</f>
        <v>Paypal</v>
      </c>
      <c r="H1058" s="7" t="n">
        <f aca="false">IF(ISBLANK(customer_churn_dataset!H1058),0,customer_churn_dataset!H1058)</f>
        <v>1</v>
      </c>
      <c r="I1058" s="7" t="n">
        <f aca="false">IF(ISBLANK(customer_churn_dataset!I1058),ROUND(MEDIAN(customer_churn_dataset!I$2:I$1501),1),MIN(100,MAX(0,customer_churn_dataset!I1058)))</f>
        <v>22.2</v>
      </c>
      <c r="J1058" s="7" t="n">
        <f aca="false">IF(ISBLANK(customer_churn_dataset!J1058),0,MAX(0,customer_churn_dataset!J1058))</f>
        <v>9</v>
      </c>
      <c r="K1058" s="7" t="n">
        <f aca="false">IF(ISBLANK(customer_churn_dataset!K1058),0,MIN(10,MAX(0,customer_churn_dataset!K1058)))</f>
        <v>4</v>
      </c>
      <c r="L1058" s="7" t="n">
        <f aca="false">IF(ISBLANK(customer_churn_dataset!L1058),0,MAX(0,customer_churn_dataset!L1058))</f>
        <v>0</v>
      </c>
      <c r="M1058" s="7" t="n">
        <f aca="false">IF(ISBLANK(customer_churn_dataset!M1058),0,customer_churn_dataset!M1058)</f>
        <v>0</v>
      </c>
      <c r="N1058" s="7" t="n">
        <f aca="false">IF(ISBLANK(customer_churn_dataset!N1058),0,MAX(0,customer_churn_dataset!N1058))</f>
        <v>126.23</v>
      </c>
      <c r="O1058" s="7" t="n">
        <f aca="false">IF(ISBLANK(customer_churn_dataset!O1058),0,customer_churn_dataset!O1058)</f>
        <v>0</v>
      </c>
      <c r="P1058" s="7" t="str">
        <f aca="false">IF(COUNTIF(customer_churn_dataset!$A$2:$A$1501,customer_churn_dataset!A1058)&gt;1,"Duplicate","Unique")</f>
        <v>Unique</v>
      </c>
    </row>
    <row r="1059" customFormat="false" ht="14.15" hidden="false" customHeight="true" outlineLevel="0" collapsed="false">
      <c r="A1059" s="7" t="str">
        <f aca="false">TRIM(customer_churn_dataset!A1059)</f>
        <v>CUST100197</v>
      </c>
      <c r="B1059" s="7" t="str">
        <f aca="false">PROPER(TRIM(customer_churn_dataset!B1059))</f>
        <v>Premium</v>
      </c>
      <c r="C1059" s="7" t="str">
        <f aca="false">PROPER(TRIM(customer_churn_dataset!C1059))</f>
        <v>Month-To-Month</v>
      </c>
      <c r="D1059" s="7" t="n">
        <f aca="false">IF(ISBLANK(customer_churn_dataset!D1059),ROUND(MEDIAN(customer_churn_dataset!D$2:D$1501),2),IF(customer_churn_dataset!D1059&lt;0,ABS(customer_churn_dataset!D1059),customer_churn_dataset!D1059))</f>
        <v>40.38</v>
      </c>
      <c r="E1059" s="7" t="n">
        <f aca="false">IF(ISBLANK(customer_churn_dataset!E1059),0,MAX(0,customer_churn_dataset!E1059))</f>
        <v>8</v>
      </c>
      <c r="F1059" s="8" t="n">
        <f aca="false">IF(ISBLANK(customer_churn_dataset!F1059),"",customer_churn_dataset!F1059)</f>
        <v>45202</v>
      </c>
      <c r="G1059" s="7" t="str">
        <f aca="false">PROPER(TRIM(customer_churn_dataset!G1059))</f>
        <v>Paypal</v>
      </c>
      <c r="H1059" s="7" t="n">
        <f aca="false">IF(ISBLANK(customer_churn_dataset!H1059),0,customer_churn_dataset!H1059)</f>
        <v>1</v>
      </c>
      <c r="I1059" s="7" t="n">
        <f aca="false">IF(ISBLANK(customer_churn_dataset!I1059),ROUND(MEDIAN(customer_churn_dataset!I$2:I$1501),1),MIN(100,MAX(0,customer_churn_dataset!I1059)))</f>
        <v>29.3</v>
      </c>
      <c r="J1059" s="7" t="n">
        <f aca="false">IF(ISBLANK(customer_churn_dataset!J1059),0,MAX(0,customer_churn_dataset!J1059))</f>
        <v>8</v>
      </c>
      <c r="K1059" s="7" t="n">
        <f aca="false">IF(ISBLANK(customer_churn_dataset!K1059),0,MIN(10,MAX(0,customer_churn_dataset!K1059)))</f>
        <v>2</v>
      </c>
      <c r="L1059" s="7" t="n">
        <f aca="false">IF(ISBLANK(customer_churn_dataset!L1059),0,MAX(0,customer_churn_dataset!L1059))</f>
        <v>0</v>
      </c>
      <c r="M1059" s="7" t="n">
        <f aca="false">IF(ISBLANK(customer_churn_dataset!M1059),0,customer_churn_dataset!M1059)</f>
        <v>0</v>
      </c>
      <c r="N1059" s="7" t="n">
        <f aca="false">IF(ISBLANK(customer_churn_dataset!N1059),0,MAX(0,customer_churn_dataset!N1059))</f>
        <v>323.04</v>
      </c>
      <c r="O1059" s="7" t="n">
        <f aca="false">IF(ISBLANK(customer_churn_dataset!O1059),0,customer_churn_dataset!O1059)</f>
        <v>0</v>
      </c>
      <c r="P1059" s="7" t="str">
        <f aca="false">IF(COUNTIF(customer_churn_dataset!$A$2:$A$1501,customer_churn_dataset!A1059)&gt;1,"Duplicate","Unique")</f>
        <v>Unique</v>
      </c>
    </row>
    <row r="1060" customFormat="false" ht="14.15" hidden="false" customHeight="true" outlineLevel="0" collapsed="false">
      <c r="A1060" s="7" t="str">
        <f aca="false">TRIM(customer_churn_dataset!A1060)</f>
        <v>CUST100964</v>
      </c>
      <c r="B1060" s="7" t="str">
        <f aca="false">PROPER(TRIM(customer_churn_dataset!B1060))</f>
        <v>Basic</v>
      </c>
      <c r="C1060" s="7" t="str">
        <f aca="false">PROPER(TRIM(customer_churn_dataset!C1060))</f>
        <v>Month-To-Month</v>
      </c>
      <c r="D1060" s="7" t="n">
        <f aca="false">IF(ISBLANK(customer_churn_dataset!D1060),ROUND(MEDIAN(customer_churn_dataset!D$2:D$1501),2),IF(customer_churn_dataset!D1060&lt;0,ABS(customer_churn_dataset!D1060),customer_churn_dataset!D1060))</f>
        <v>10.01</v>
      </c>
      <c r="E1060" s="7" t="n">
        <f aca="false">IF(ISBLANK(customer_churn_dataset!E1060),0,MAX(0,customer_churn_dataset!E1060))</f>
        <v>72</v>
      </c>
      <c r="F1060" s="8" t="n">
        <f aca="false">IF(ISBLANK(customer_churn_dataset!F1060),"",customer_churn_dataset!F1060)</f>
        <v>45203</v>
      </c>
      <c r="G1060" s="7" t="str">
        <f aca="false">PROPER(TRIM(customer_churn_dataset!G1060))</f>
        <v>Credit Card</v>
      </c>
      <c r="H1060" s="7" t="n">
        <f aca="false">IF(ISBLANK(customer_churn_dataset!H1060),0,customer_churn_dataset!H1060)</f>
        <v>0</v>
      </c>
      <c r="I1060" s="7" t="n">
        <f aca="false">IF(ISBLANK(customer_churn_dataset!I1060),ROUND(MEDIAN(customer_churn_dataset!I$2:I$1501),1),MIN(100,MAX(0,customer_churn_dataset!I1060)))</f>
        <v>40.2</v>
      </c>
      <c r="J1060" s="7" t="n">
        <f aca="false">IF(ISBLANK(customer_churn_dataset!J1060),0,MAX(0,customer_churn_dataset!J1060))</f>
        <v>11</v>
      </c>
      <c r="K1060" s="7" t="n">
        <f aca="false">IF(ISBLANK(customer_churn_dataset!K1060),0,MIN(10,MAX(0,customer_churn_dataset!K1060)))</f>
        <v>0</v>
      </c>
      <c r="L1060" s="7" t="n">
        <f aca="false">IF(ISBLANK(customer_churn_dataset!L1060),0,MAX(0,customer_churn_dataset!L1060))</f>
        <v>3</v>
      </c>
      <c r="M1060" s="7" t="n">
        <f aca="false">IF(ISBLANK(customer_churn_dataset!M1060),0,customer_churn_dataset!M1060)</f>
        <v>1</v>
      </c>
      <c r="N1060" s="7" t="n">
        <f aca="false">IF(ISBLANK(customer_churn_dataset!N1060),0,MAX(0,customer_churn_dataset!N1060))</f>
        <v>720.72</v>
      </c>
      <c r="O1060" s="7" t="n">
        <f aca="false">IF(ISBLANK(customer_churn_dataset!O1060),0,customer_churn_dataset!O1060)</f>
        <v>1</v>
      </c>
      <c r="P1060" s="7" t="str">
        <f aca="false">IF(COUNTIF(customer_churn_dataset!$A$2:$A$1501,customer_churn_dataset!A1060)&gt;1,"Duplicate","Unique")</f>
        <v>Unique</v>
      </c>
    </row>
    <row r="1061" customFormat="false" ht="14.15" hidden="false" customHeight="true" outlineLevel="0" collapsed="false">
      <c r="A1061" s="7" t="str">
        <f aca="false">TRIM(customer_churn_dataset!A1061)</f>
        <v>CUST100874</v>
      </c>
      <c r="B1061" s="7" t="str">
        <f aca="false">PROPER(TRIM(customer_churn_dataset!B1061))</f>
        <v>Basic</v>
      </c>
      <c r="C1061" s="7" t="str">
        <f aca="false">PROPER(TRIM(customer_churn_dataset!C1061))</f>
        <v>One Year</v>
      </c>
      <c r="D1061" s="7" t="n">
        <f aca="false">IF(ISBLANK(customer_churn_dataset!D1061),ROUND(MEDIAN(customer_churn_dataset!D$2:D$1501),2),IF(customer_churn_dataset!D1061&lt;0,ABS(customer_churn_dataset!D1061),customer_churn_dataset!D1061))</f>
        <v>11.05</v>
      </c>
      <c r="E1061" s="7" t="n">
        <f aca="false">IF(ISBLANK(customer_churn_dataset!E1061),0,MAX(0,customer_churn_dataset!E1061))</f>
        <v>48</v>
      </c>
      <c r="F1061" s="8" t="n">
        <f aca="false">IF(ISBLANK(customer_churn_dataset!F1061),"",customer_churn_dataset!F1061)</f>
        <v>45204</v>
      </c>
      <c r="G1061" s="7" t="str">
        <f aca="false">PROPER(TRIM(customer_churn_dataset!G1061))</f>
        <v>Bank Transfer</v>
      </c>
      <c r="H1061" s="7" t="n">
        <f aca="false">IF(ISBLANK(customer_churn_dataset!H1061),0,customer_churn_dataset!H1061)</f>
        <v>0</v>
      </c>
      <c r="I1061" s="7" t="n">
        <f aca="false">IF(ISBLANK(customer_churn_dataset!I1061),ROUND(MEDIAN(customer_churn_dataset!I$2:I$1501),1),MIN(100,MAX(0,customer_churn_dataset!I1061)))</f>
        <v>69.6</v>
      </c>
      <c r="J1061" s="7" t="n">
        <f aca="false">IF(ISBLANK(customer_churn_dataset!J1061),0,MAX(0,customer_churn_dataset!J1061))</f>
        <v>20</v>
      </c>
      <c r="K1061" s="7" t="n">
        <f aca="false">IF(ISBLANK(customer_churn_dataset!K1061),0,MIN(10,MAX(0,customer_churn_dataset!K1061)))</f>
        <v>8</v>
      </c>
      <c r="L1061" s="7" t="n">
        <f aca="false">IF(ISBLANK(customer_churn_dataset!L1061),0,MAX(0,customer_churn_dataset!L1061))</f>
        <v>2</v>
      </c>
      <c r="M1061" s="7" t="n">
        <f aca="false">IF(ISBLANK(customer_churn_dataset!M1061),0,customer_churn_dataset!M1061)</f>
        <v>0</v>
      </c>
      <c r="N1061" s="7" t="n">
        <f aca="false">IF(ISBLANK(customer_churn_dataset!N1061),0,MAX(0,customer_churn_dataset!N1061))</f>
        <v>530.4</v>
      </c>
      <c r="O1061" s="7" t="n">
        <f aca="false">IF(ISBLANK(customer_churn_dataset!O1061),0,customer_churn_dataset!O1061)</f>
        <v>0</v>
      </c>
      <c r="P1061" s="7" t="str">
        <f aca="false">IF(COUNTIF(customer_churn_dataset!$A$2:$A$1501,customer_churn_dataset!A1061)&gt;1,"Duplicate","Unique")</f>
        <v>Unique</v>
      </c>
    </row>
    <row r="1062" customFormat="false" ht="14.15" hidden="false" customHeight="true" outlineLevel="0" collapsed="false">
      <c r="A1062" s="7" t="str">
        <f aca="false">TRIM(customer_churn_dataset!A1062)</f>
        <v>CUST100666</v>
      </c>
      <c r="B1062" s="7" t="str">
        <f aca="false">PROPER(TRIM(customer_churn_dataset!B1062))</f>
        <v>Basic</v>
      </c>
      <c r="C1062" s="7" t="str">
        <f aca="false">PROPER(TRIM(customer_churn_dataset!C1062))</f>
        <v>Month-To-Month</v>
      </c>
      <c r="D1062" s="7" t="n">
        <f aca="false">IF(ISBLANK(customer_churn_dataset!D1062),ROUND(MEDIAN(customer_churn_dataset!D$2:D$1501),2),IF(customer_churn_dataset!D1062&lt;0,ABS(customer_churn_dataset!D1062),customer_churn_dataset!D1062))</f>
        <v>8.9</v>
      </c>
      <c r="E1062" s="7" t="n">
        <f aca="false">IF(ISBLANK(customer_churn_dataset!E1062),0,MAX(0,customer_churn_dataset!E1062))</f>
        <v>25</v>
      </c>
      <c r="F1062" s="8" t="n">
        <f aca="false">IF(ISBLANK(customer_churn_dataset!F1062),"",customer_churn_dataset!F1062)</f>
        <v>45205</v>
      </c>
      <c r="G1062" s="7" t="str">
        <f aca="false">PROPER(TRIM(customer_churn_dataset!G1062))</f>
        <v>Paypal</v>
      </c>
      <c r="H1062" s="7" t="n">
        <f aca="false">IF(ISBLANK(customer_churn_dataset!H1062),0,customer_churn_dataset!H1062)</f>
        <v>1</v>
      </c>
      <c r="I1062" s="7" t="n">
        <f aca="false">IF(ISBLANK(customer_churn_dataset!I1062),ROUND(MEDIAN(customer_churn_dataset!I$2:I$1501),1),MIN(100,MAX(0,customer_churn_dataset!I1062)))</f>
        <v>76.9</v>
      </c>
      <c r="J1062" s="7" t="n">
        <f aca="false">IF(ISBLANK(customer_churn_dataset!J1062),0,MAX(0,customer_churn_dataset!J1062))</f>
        <v>25</v>
      </c>
      <c r="K1062" s="7" t="n">
        <f aca="false">IF(ISBLANK(customer_churn_dataset!K1062),0,MIN(10,MAX(0,customer_churn_dataset!K1062)))</f>
        <v>8</v>
      </c>
      <c r="L1062" s="7" t="n">
        <f aca="false">IF(ISBLANK(customer_churn_dataset!L1062),0,MAX(0,customer_churn_dataset!L1062))</f>
        <v>2</v>
      </c>
      <c r="M1062" s="7" t="n">
        <f aca="false">IF(ISBLANK(customer_churn_dataset!M1062),0,customer_churn_dataset!M1062)</f>
        <v>0</v>
      </c>
      <c r="N1062" s="7" t="n">
        <f aca="false">IF(ISBLANK(customer_churn_dataset!N1062),0,MAX(0,customer_churn_dataset!N1062))</f>
        <v>222.5</v>
      </c>
      <c r="O1062" s="7" t="n">
        <f aca="false">IF(ISBLANK(customer_churn_dataset!O1062),0,customer_churn_dataset!O1062)</f>
        <v>0</v>
      </c>
      <c r="P1062" s="7" t="str">
        <f aca="false">IF(COUNTIF(customer_churn_dataset!$A$2:$A$1501,customer_churn_dataset!A1062)&gt;1,"Duplicate","Unique")</f>
        <v>Unique</v>
      </c>
    </row>
    <row r="1063" customFormat="false" ht="14.15" hidden="false" customHeight="true" outlineLevel="0" collapsed="false">
      <c r="A1063" s="7" t="str">
        <f aca="false">TRIM(customer_churn_dataset!A1063)</f>
        <v>CUST101450</v>
      </c>
      <c r="B1063" s="7" t="str">
        <f aca="false">PROPER(TRIM(customer_churn_dataset!B1063))</f>
        <v>Standard</v>
      </c>
      <c r="C1063" s="7" t="str">
        <f aca="false">PROPER(TRIM(customer_churn_dataset!C1063))</f>
        <v>Two Year</v>
      </c>
      <c r="D1063" s="7" t="n">
        <f aca="false">IF(ISBLANK(customer_churn_dataset!D1063),ROUND(MEDIAN(customer_churn_dataset!D$2:D$1501),2),IF(customer_churn_dataset!D1063&lt;0,ABS(customer_churn_dataset!D1063),customer_churn_dataset!D1063))</f>
        <v>20.64</v>
      </c>
      <c r="E1063" s="7" t="n">
        <f aca="false">IF(ISBLANK(customer_churn_dataset!E1063),0,MAX(0,customer_churn_dataset!E1063))</f>
        <v>28</v>
      </c>
      <c r="F1063" s="8" t="n">
        <f aca="false">IF(ISBLANK(customer_churn_dataset!F1063),"",customer_churn_dataset!F1063)</f>
        <v>45206</v>
      </c>
      <c r="G1063" s="7" t="str">
        <f aca="false">PROPER(TRIM(customer_churn_dataset!G1063))</f>
        <v>Credit Card</v>
      </c>
      <c r="H1063" s="7" t="n">
        <f aca="false">IF(ISBLANK(customer_churn_dataset!H1063),0,customer_churn_dataset!H1063)</f>
        <v>1</v>
      </c>
      <c r="I1063" s="7" t="n">
        <f aca="false">IF(ISBLANK(customer_churn_dataset!I1063),ROUND(MEDIAN(customer_churn_dataset!I$2:I$1501),1),MIN(100,MAX(0,customer_churn_dataset!I1063)))</f>
        <v>77.1</v>
      </c>
      <c r="J1063" s="7" t="n">
        <f aca="false">IF(ISBLANK(customer_churn_dataset!J1063),0,MAX(0,customer_churn_dataset!J1063))</f>
        <v>26</v>
      </c>
      <c r="K1063" s="7" t="n">
        <f aca="false">IF(ISBLANK(customer_churn_dataset!K1063),0,MIN(10,MAX(0,customer_churn_dataset!K1063)))</f>
        <v>7</v>
      </c>
      <c r="L1063" s="7" t="n">
        <f aca="false">IF(ISBLANK(customer_churn_dataset!L1063),0,MAX(0,customer_churn_dataset!L1063))</f>
        <v>2</v>
      </c>
      <c r="M1063" s="7" t="n">
        <f aca="false">IF(ISBLANK(customer_churn_dataset!M1063),0,customer_churn_dataset!M1063)</f>
        <v>1</v>
      </c>
      <c r="N1063" s="7" t="n">
        <f aca="false">IF(ISBLANK(customer_churn_dataset!N1063),0,MAX(0,customer_churn_dataset!N1063))</f>
        <v>577.92</v>
      </c>
      <c r="O1063" s="7" t="n">
        <f aca="false">IF(ISBLANK(customer_churn_dataset!O1063),0,customer_churn_dataset!O1063)</f>
        <v>0</v>
      </c>
      <c r="P1063" s="7" t="str">
        <f aca="false">IF(COUNTIF(customer_churn_dataset!$A$2:$A$1501,customer_churn_dataset!A1063)&gt;1,"Duplicate","Unique")</f>
        <v>Unique</v>
      </c>
    </row>
    <row r="1064" customFormat="false" ht="14.15" hidden="false" customHeight="true" outlineLevel="0" collapsed="false">
      <c r="A1064" s="7" t="str">
        <f aca="false">TRIM(customer_churn_dataset!A1064)</f>
        <v>CUST100941</v>
      </c>
      <c r="B1064" s="7" t="str">
        <f aca="false">PROPER(TRIM(customer_churn_dataset!B1064))</f>
        <v>Standard</v>
      </c>
      <c r="C1064" s="7" t="str">
        <f aca="false">PROPER(TRIM(customer_churn_dataset!C1064))</f>
        <v>One Year</v>
      </c>
      <c r="D1064" s="7" t="n">
        <f aca="false">IF(ISBLANK(customer_churn_dataset!D1064),ROUND(MEDIAN(customer_churn_dataset!D$2:D$1501),2),IF(customer_churn_dataset!D1064&lt;0,ABS(customer_churn_dataset!D1064),customer_churn_dataset!D1064))</f>
        <v>19.09</v>
      </c>
      <c r="E1064" s="7" t="n">
        <f aca="false">IF(ISBLANK(customer_churn_dataset!E1064),0,MAX(0,customer_churn_dataset!E1064))</f>
        <v>72</v>
      </c>
      <c r="F1064" s="8" t="n">
        <f aca="false">IF(ISBLANK(customer_churn_dataset!F1064),"",customer_churn_dataset!F1064)</f>
        <v>45212</v>
      </c>
      <c r="G1064" s="7" t="str">
        <f aca="false">PROPER(TRIM(customer_churn_dataset!G1064))</f>
        <v>Credit Card</v>
      </c>
      <c r="H1064" s="7" t="n">
        <f aca="false">IF(ISBLANK(customer_churn_dataset!H1064),0,customer_churn_dataset!H1064)</f>
        <v>1</v>
      </c>
      <c r="I1064" s="7" t="n">
        <f aca="false">IF(ISBLANK(customer_churn_dataset!I1064),ROUND(MEDIAN(customer_churn_dataset!I$2:I$1501),1),MIN(100,MAX(0,customer_churn_dataset!I1064)))</f>
        <v>62.9</v>
      </c>
      <c r="J1064" s="7" t="n">
        <f aca="false">IF(ISBLANK(customer_churn_dataset!J1064),0,MAX(0,customer_churn_dataset!J1064))</f>
        <v>16</v>
      </c>
      <c r="K1064" s="7" t="n">
        <f aca="false">IF(ISBLANK(customer_churn_dataset!K1064),0,MIN(10,MAX(0,customer_churn_dataset!K1064)))</f>
        <v>7</v>
      </c>
      <c r="L1064" s="7" t="n">
        <f aca="false">IF(ISBLANK(customer_churn_dataset!L1064),0,MAX(0,customer_churn_dataset!L1064))</f>
        <v>0</v>
      </c>
      <c r="M1064" s="7" t="n">
        <f aca="false">IF(ISBLANK(customer_churn_dataset!M1064),0,customer_churn_dataset!M1064)</f>
        <v>0</v>
      </c>
      <c r="N1064" s="7" t="n">
        <f aca="false">IF(ISBLANK(customer_churn_dataset!N1064),0,MAX(0,customer_churn_dataset!N1064))</f>
        <v>1374.48</v>
      </c>
      <c r="O1064" s="7" t="n">
        <f aca="false">IF(ISBLANK(customer_churn_dataset!O1064),0,customer_churn_dataset!O1064)</f>
        <v>0</v>
      </c>
      <c r="P1064" s="7" t="str">
        <f aca="false">IF(COUNTIF(customer_churn_dataset!$A$2:$A$1501,customer_churn_dataset!A1064)&gt;1,"Duplicate","Unique")</f>
        <v>Unique</v>
      </c>
    </row>
    <row r="1065" customFormat="false" ht="14.15" hidden="false" customHeight="true" outlineLevel="0" collapsed="false">
      <c r="A1065" s="7" t="str">
        <f aca="false">TRIM(customer_churn_dataset!A1065)</f>
        <v>CUST100097</v>
      </c>
      <c r="B1065" s="7" t="str">
        <f aca="false">PROPER(TRIM(customer_churn_dataset!B1065))</f>
        <v>Basic</v>
      </c>
      <c r="C1065" s="7" t="str">
        <f aca="false">PROPER(TRIM(customer_churn_dataset!C1065))</f>
        <v>One Year</v>
      </c>
      <c r="D1065" s="7" t="n">
        <f aca="false">IF(ISBLANK(customer_churn_dataset!D1065),ROUND(MEDIAN(customer_churn_dataset!D$2:D$1501),2),IF(customer_churn_dataset!D1065&lt;0,ABS(customer_churn_dataset!D1065),customer_churn_dataset!D1065))</f>
        <v>10.41</v>
      </c>
      <c r="E1065" s="7" t="n">
        <f aca="false">IF(ISBLANK(customer_churn_dataset!E1065),0,MAX(0,customer_churn_dataset!E1065))</f>
        <v>30</v>
      </c>
      <c r="F1065" s="8" t="n">
        <f aca="false">IF(ISBLANK(customer_churn_dataset!F1065),"",customer_churn_dataset!F1065)</f>
        <v>45213</v>
      </c>
      <c r="G1065" s="7" t="str">
        <f aca="false">PROPER(TRIM(customer_churn_dataset!G1065))</f>
        <v>Credit Card</v>
      </c>
      <c r="H1065" s="7" t="n">
        <f aca="false">IF(ISBLANK(customer_churn_dataset!H1065),0,customer_churn_dataset!H1065)</f>
        <v>0</v>
      </c>
      <c r="I1065" s="7" t="n">
        <f aca="false">IF(ISBLANK(customer_churn_dataset!I1065),ROUND(MEDIAN(customer_churn_dataset!I$2:I$1501),1),MIN(100,MAX(0,customer_churn_dataset!I1065)))</f>
        <v>32.3</v>
      </c>
      <c r="J1065" s="7" t="n">
        <f aca="false">IF(ISBLANK(customer_churn_dataset!J1065),0,MAX(0,customer_churn_dataset!J1065))</f>
        <v>8</v>
      </c>
      <c r="K1065" s="7" t="n">
        <f aca="false">IF(ISBLANK(customer_churn_dataset!K1065),0,MIN(10,MAX(0,customer_churn_dataset!K1065)))</f>
        <v>2</v>
      </c>
      <c r="L1065" s="7" t="n">
        <f aca="false">IF(ISBLANK(customer_churn_dataset!L1065),0,MAX(0,customer_churn_dataset!L1065))</f>
        <v>0</v>
      </c>
      <c r="M1065" s="7" t="n">
        <f aca="false">IF(ISBLANK(customer_churn_dataset!M1065),0,customer_churn_dataset!M1065)</f>
        <v>0</v>
      </c>
      <c r="N1065" s="7" t="n">
        <f aca="false">IF(ISBLANK(customer_churn_dataset!N1065),0,MAX(0,customer_churn_dataset!N1065))</f>
        <v>312.3</v>
      </c>
      <c r="O1065" s="7" t="n">
        <f aca="false">IF(ISBLANK(customer_churn_dataset!O1065),0,customer_churn_dataset!O1065)</f>
        <v>0</v>
      </c>
      <c r="P1065" s="7" t="str">
        <f aca="false">IF(COUNTIF(customer_churn_dataset!$A$2:$A$1501,customer_churn_dataset!A1065)&gt;1,"Duplicate","Unique")</f>
        <v>Unique</v>
      </c>
    </row>
    <row r="1066" customFormat="false" ht="14.15" hidden="false" customHeight="true" outlineLevel="0" collapsed="false">
      <c r="A1066" s="7" t="str">
        <f aca="false">TRIM(customer_churn_dataset!A1066)</f>
        <v>CUST100696</v>
      </c>
      <c r="B1066" s="7" t="str">
        <f aca="false">PROPER(TRIM(customer_churn_dataset!B1066))</f>
        <v>Basic</v>
      </c>
      <c r="C1066" s="7" t="str">
        <f aca="false">PROPER(TRIM(customer_churn_dataset!C1066))</f>
        <v>One Year</v>
      </c>
      <c r="D1066" s="7" t="n">
        <f aca="false">IF(ISBLANK(customer_churn_dataset!D1066),ROUND(MEDIAN(customer_churn_dataset!D$2:D$1501),2),IF(customer_churn_dataset!D1066&lt;0,ABS(customer_churn_dataset!D1066),customer_churn_dataset!D1066))</f>
        <v>11.38</v>
      </c>
      <c r="E1066" s="7" t="n">
        <f aca="false">IF(ISBLANK(customer_churn_dataset!E1066),0,MAX(0,customer_churn_dataset!E1066))</f>
        <v>6</v>
      </c>
      <c r="F1066" s="8" t="n">
        <f aca="false">IF(ISBLANK(customer_churn_dataset!F1066),"",customer_churn_dataset!F1066)</f>
        <v>45216</v>
      </c>
      <c r="G1066" s="7" t="str">
        <f aca="false">PROPER(TRIM(customer_churn_dataset!G1066))</f>
        <v>Paypal</v>
      </c>
      <c r="H1066" s="7" t="n">
        <f aca="false">IF(ISBLANK(customer_churn_dataset!H1066),0,customer_churn_dataset!H1066)</f>
        <v>0</v>
      </c>
      <c r="I1066" s="7" t="n">
        <f aca="false">IF(ISBLANK(customer_churn_dataset!I1066),ROUND(MEDIAN(customer_churn_dataset!I$2:I$1501),1),MIN(100,MAX(0,customer_churn_dataset!I1066)))</f>
        <v>40.6</v>
      </c>
      <c r="J1066" s="7" t="n">
        <f aca="false">IF(ISBLANK(customer_churn_dataset!J1066),0,MAX(0,customer_churn_dataset!J1066))</f>
        <v>16</v>
      </c>
      <c r="K1066" s="7" t="n">
        <f aca="false">IF(ISBLANK(customer_churn_dataset!K1066),0,MIN(10,MAX(0,customer_churn_dataset!K1066)))</f>
        <v>3</v>
      </c>
      <c r="L1066" s="7" t="n">
        <f aca="false">IF(ISBLANK(customer_churn_dataset!L1066),0,MAX(0,customer_churn_dataset!L1066))</f>
        <v>0</v>
      </c>
      <c r="M1066" s="7" t="n">
        <f aca="false">IF(ISBLANK(customer_churn_dataset!M1066),0,customer_churn_dataset!M1066)</f>
        <v>0</v>
      </c>
      <c r="N1066" s="7" t="n">
        <f aca="false">IF(ISBLANK(customer_churn_dataset!N1066),0,MAX(0,customer_churn_dataset!N1066))</f>
        <v>68.28</v>
      </c>
      <c r="O1066" s="7" t="n">
        <f aca="false">IF(ISBLANK(customer_churn_dataset!O1066),0,customer_churn_dataset!O1066)</f>
        <v>0</v>
      </c>
      <c r="P1066" s="7" t="str">
        <f aca="false">IF(COUNTIF(customer_churn_dataset!$A$2:$A$1501,customer_churn_dataset!A1066)&gt;1,"Duplicate","Unique")</f>
        <v>Unique</v>
      </c>
    </row>
    <row r="1067" customFormat="false" ht="14.15" hidden="false" customHeight="true" outlineLevel="0" collapsed="false">
      <c r="A1067" s="7" t="str">
        <f aca="false">TRIM(customer_churn_dataset!A1067)</f>
        <v>CUST100255</v>
      </c>
      <c r="B1067" s="7" t="str">
        <f aca="false">PROPER(TRIM(customer_churn_dataset!B1067))</f>
        <v>Standard</v>
      </c>
      <c r="C1067" s="7" t="str">
        <f aca="false">PROPER(TRIM(customer_churn_dataset!C1067))</f>
        <v>Month-To-Month</v>
      </c>
      <c r="D1067" s="7" t="n">
        <f aca="false">IF(ISBLANK(customer_churn_dataset!D1067),ROUND(MEDIAN(customer_churn_dataset!D$2:D$1501),2),IF(customer_churn_dataset!D1067&lt;0,ABS(customer_churn_dataset!D1067),customer_churn_dataset!D1067))</f>
        <v>20.92</v>
      </c>
      <c r="E1067" s="7" t="n">
        <f aca="false">IF(ISBLANK(customer_churn_dataset!E1067),0,MAX(0,customer_churn_dataset!E1067))</f>
        <v>56</v>
      </c>
      <c r="F1067" s="8" t="n">
        <f aca="false">IF(ISBLANK(customer_churn_dataset!F1067),"",customer_churn_dataset!F1067)</f>
        <v>45217</v>
      </c>
      <c r="G1067" s="7" t="str">
        <f aca="false">PROPER(TRIM(customer_churn_dataset!G1067))</f>
        <v>Credit Card</v>
      </c>
      <c r="H1067" s="7" t="n">
        <f aca="false">IF(ISBLANK(customer_churn_dataset!H1067),0,customer_churn_dataset!H1067)</f>
        <v>1</v>
      </c>
      <c r="I1067" s="7" t="n">
        <f aca="false">IF(ISBLANK(customer_churn_dataset!I1067),ROUND(MEDIAN(customer_churn_dataset!I$2:I$1501),1),MIN(100,MAX(0,customer_churn_dataset!I1067)))</f>
        <v>34.9</v>
      </c>
      <c r="J1067" s="7" t="n">
        <f aca="false">IF(ISBLANK(customer_churn_dataset!J1067),0,MAX(0,customer_churn_dataset!J1067))</f>
        <v>19</v>
      </c>
      <c r="K1067" s="7" t="n">
        <f aca="false">IF(ISBLANK(customer_churn_dataset!K1067),0,MIN(10,MAX(0,customer_churn_dataset!K1067)))</f>
        <v>2</v>
      </c>
      <c r="L1067" s="7" t="n">
        <f aca="false">IF(ISBLANK(customer_churn_dataset!L1067),0,MAX(0,customer_churn_dataset!L1067))</f>
        <v>1</v>
      </c>
      <c r="M1067" s="7" t="n">
        <f aca="false">IF(ISBLANK(customer_churn_dataset!M1067),0,customer_churn_dataset!M1067)</f>
        <v>1</v>
      </c>
      <c r="N1067" s="7" t="n">
        <f aca="false">IF(ISBLANK(customer_churn_dataset!N1067),0,MAX(0,customer_churn_dataset!N1067))</f>
        <v>1171.52</v>
      </c>
      <c r="O1067" s="7" t="n">
        <f aca="false">IF(ISBLANK(customer_churn_dataset!O1067),0,customer_churn_dataset!O1067)</f>
        <v>0</v>
      </c>
      <c r="P1067" s="7" t="str">
        <f aca="false">IF(COUNTIF(customer_churn_dataset!$A$2:$A$1501,customer_churn_dataset!A1067)&gt;1,"Duplicate","Unique")</f>
        <v>Unique</v>
      </c>
    </row>
    <row r="1068" customFormat="false" ht="14.15" hidden="false" customHeight="true" outlineLevel="0" collapsed="false">
      <c r="A1068" s="7" t="str">
        <f aca="false">TRIM(customer_churn_dataset!A1068)</f>
        <v>CUST101235</v>
      </c>
      <c r="B1068" s="7" t="str">
        <f aca="false">PROPER(TRIM(customer_churn_dataset!B1068))</f>
        <v>Basic</v>
      </c>
      <c r="C1068" s="7" t="str">
        <f aca="false">PROPER(TRIM(customer_churn_dataset!C1068))</f>
        <v>One Year</v>
      </c>
      <c r="D1068" s="7" t="n">
        <f aca="false">IF(ISBLANK(customer_churn_dataset!D1068),ROUND(MEDIAN(customer_churn_dataset!D$2:D$1501),2),IF(customer_churn_dataset!D1068&lt;0,ABS(customer_churn_dataset!D1068),customer_churn_dataset!D1068))</f>
        <v>8.54</v>
      </c>
      <c r="E1068" s="7" t="n">
        <f aca="false">IF(ISBLANK(customer_churn_dataset!E1068),0,MAX(0,customer_churn_dataset!E1068))</f>
        <v>28</v>
      </c>
      <c r="F1068" s="8" t="n">
        <f aca="false">IF(ISBLANK(customer_churn_dataset!F1068),"",customer_churn_dataset!F1068)</f>
        <v>45217</v>
      </c>
      <c r="G1068" s="7" t="str">
        <f aca="false">PROPER(TRIM(customer_churn_dataset!G1068))</f>
        <v>Credit Card</v>
      </c>
      <c r="H1068" s="7" t="n">
        <f aca="false">IF(ISBLANK(customer_churn_dataset!H1068),0,customer_churn_dataset!H1068)</f>
        <v>0</v>
      </c>
      <c r="I1068" s="7" t="n">
        <f aca="false">IF(ISBLANK(customer_churn_dataset!I1068),ROUND(MEDIAN(customer_churn_dataset!I$2:I$1501),1),MIN(100,MAX(0,customer_churn_dataset!I1068)))</f>
        <v>60.9</v>
      </c>
      <c r="J1068" s="7" t="n">
        <f aca="false">IF(ISBLANK(customer_churn_dataset!J1068),0,MAX(0,customer_churn_dataset!J1068))</f>
        <v>18</v>
      </c>
      <c r="K1068" s="7" t="n">
        <f aca="false">IF(ISBLANK(customer_churn_dataset!K1068),0,MIN(10,MAX(0,customer_churn_dataset!K1068)))</f>
        <v>6</v>
      </c>
      <c r="L1068" s="7" t="n">
        <f aca="false">IF(ISBLANK(customer_churn_dataset!L1068),0,MAX(0,customer_churn_dataset!L1068))</f>
        <v>0</v>
      </c>
      <c r="M1068" s="7" t="n">
        <f aca="false">IF(ISBLANK(customer_churn_dataset!M1068),0,customer_churn_dataset!M1068)</f>
        <v>0</v>
      </c>
      <c r="N1068" s="7" t="n">
        <f aca="false">IF(ISBLANK(customer_churn_dataset!N1068),0,MAX(0,customer_churn_dataset!N1068))</f>
        <v>239.12</v>
      </c>
      <c r="O1068" s="7" t="n">
        <f aca="false">IF(ISBLANK(customer_churn_dataset!O1068),0,customer_churn_dataset!O1068)</f>
        <v>0</v>
      </c>
      <c r="P1068" s="7" t="str">
        <f aca="false">IF(COUNTIF(customer_churn_dataset!$A$2:$A$1501,customer_churn_dataset!A1068)&gt;1,"Duplicate","Unique")</f>
        <v>Unique</v>
      </c>
    </row>
    <row r="1069" customFormat="false" ht="14.15" hidden="false" customHeight="true" outlineLevel="0" collapsed="false">
      <c r="A1069" s="7" t="str">
        <f aca="false">TRIM(customer_churn_dataset!A1069)</f>
        <v>CUST101111</v>
      </c>
      <c r="B1069" s="7" t="str">
        <f aca="false">PROPER(TRIM(customer_churn_dataset!B1069))</f>
        <v>Basic</v>
      </c>
      <c r="C1069" s="7" t="str">
        <f aca="false">PROPER(TRIM(customer_churn_dataset!C1069))</f>
        <v>Month-To-Month</v>
      </c>
      <c r="D1069" s="7" t="n">
        <f aca="false">IF(ISBLANK(customer_churn_dataset!D1069),ROUND(MEDIAN(customer_churn_dataset!D$2:D$1501),2),IF(customer_churn_dataset!D1069&lt;0,ABS(customer_churn_dataset!D1069),customer_churn_dataset!D1069))</f>
        <v>9.5</v>
      </c>
      <c r="E1069" s="7" t="n">
        <f aca="false">IF(ISBLANK(customer_churn_dataset!E1069),0,MAX(0,customer_churn_dataset!E1069))</f>
        <v>3</v>
      </c>
      <c r="F1069" s="8" t="n">
        <f aca="false">IF(ISBLANK(customer_churn_dataset!F1069),"",customer_churn_dataset!F1069)</f>
        <v>45218</v>
      </c>
      <c r="G1069" s="7" t="str">
        <f aca="false">PROPER(TRIM(customer_churn_dataset!G1069))</f>
        <v>Credit Card</v>
      </c>
      <c r="H1069" s="7" t="n">
        <f aca="false">IF(ISBLANK(customer_churn_dataset!H1069),0,customer_churn_dataset!H1069)</f>
        <v>1</v>
      </c>
      <c r="I1069" s="7" t="n">
        <f aca="false">IF(ISBLANK(customer_churn_dataset!I1069),ROUND(MEDIAN(customer_churn_dataset!I$2:I$1501),1),MIN(100,MAX(0,customer_churn_dataset!I1069)))</f>
        <v>39.9</v>
      </c>
      <c r="J1069" s="7" t="n">
        <f aca="false">IF(ISBLANK(customer_churn_dataset!J1069),0,MAX(0,customer_churn_dataset!J1069))</f>
        <v>13</v>
      </c>
      <c r="K1069" s="7" t="n">
        <f aca="false">IF(ISBLANK(customer_churn_dataset!K1069),0,MIN(10,MAX(0,customer_churn_dataset!K1069)))</f>
        <v>3</v>
      </c>
      <c r="L1069" s="7" t="n">
        <f aca="false">IF(ISBLANK(customer_churn_dataset!L1069),0,MAX(0,customer_churn_dataset!L1069))</f>
        <v>1</v>
      </c>
      <c r="M1069" s="7" t="n">
        <f aca="false">IF(ISBLANK(customer_churn_dataset!M1069),0,customer_churn_dataset!M1069)</f>
        <v>1</v>
      </c>
      <c r="N1069" s="7" t="n">
        <f aca="false">IF(ISBLANK(customer_churn_dataset!N1069),0,MAX(0,customer_churn_dataset!N1069))</f>
        <v>28.5</v>
      </c>
      <c r="O1069" s="7" t="n">
        <f aca="false">IF(ISBLANK(customer_churn_dataset!O1069),0,customer_churn_dataset!O1069)</f>
        <v>1</v>
      </c>
      <c r="P1069" s="7" t="str">
        <f aca="false">IF(COUNTIF(customer_churn_dataset!$A$2:$A$1501,customer_churn_dataset!A1069)&gt;1,"Duplicate","Unique")</f>
        <v>Unique</v>
      </c>
    </row>
    <row r="1070" customFormat="false" ht="14.15" hidden="false" customHeight="true" outlineLevel="0" collapsed="false">
      <c r="A1070" s="7" t="str">
        <f aca="false">TRIM(customer_churn_dataset!A1070)</f>
        <v>CUST100576</v>
      </c>
      <c r="B1070" s="7" t="str">
        <f aca="false">PROPER(TRIM(customer_churn_dataset!B1070))</f>
        <v>Basic</v>
      </c>
      <c r="C1070" s="7" t="str">
        <f aca="false">PROPER(TRIM(customer_churn_dataset!C1070))</f>
        <v>Month-To-Month</v>
      </c>
      <c r="D1070" s="7" t="n">
        <f aca="false">IF(ISBLANK(customer_churn_dataset!D1070),ROUND(MEDIAN(customer_churn_dataset!D$2:D$1501),2),IF(customer_churn_dataset!D1070&lt;0,ABS(customer_churn_dataset!D1070),customer_churn_dataset!D1070))</f>
        <v>8.94</v>
      </c>
      <c r="E1070" s="7" t="n">
        <f aca="false">IF(ISBLANK(customer_churn_dataset!E1070),0,MAX(0,customer_churn_dataset!E1070))</f>
        <v>3</v>
      </c>
      <c r="F1070" s="8" t="n">
        <f aca="false">IF(ISBLANK(customer_churn_dataset!F1070),"",customer_churn_dataset!F1070)</f>
        <v>45220</v>
      </c>
      <c r="G1070" s="7" t="str">
        <f aca="false">PROPER(TRIM(customer_churn_dataset!G1070))</f>
        <v>Paypal</v>
      </c>
      <c r="H1070" s="7" t="n">
        <f aca="false">IF(ISBLANK(customer_churn_dataset!H1070),0,customer_churn_dataset!H1070)</f>
        <v>1</v>
      </c>
      <c r="I1070" s="7" t="n">
        <f aca="false">IF(ISBLANK(customer_churn_dataset!I1070),ROUND(MEDIAN(customer_churn_dataset!I$2:I$1501),1),MIN(100,MAX(0,customer_churn_dataset!I1070)))</f>
        <v>72.4</v>
      </c>
      <c r="J1070" s="7" t="n">
        <f aca="false">IF(ISBLANK(customer_churn_dataset!J1070),0,MAX(0,customer_churn_dataset!J1070))</f>
        <v>32</v>
      </c>
      <c r="K1070" s="7" t="n">
        <f aca="false">IF(ISBLANK(customer_churn_dataset!K1070),0,MIN(10,MAX(0,customer_churn_dataset!K1070)))</f>
        <v>8</v>
      </c>
      <c r="L1070" s="7" t="n">
        <f aca="false">IF(ISBLANK(customer_churn_dataset!L1070),0,MAX(0,customer_churn_dataset!L1070))</f>
        <v>2</v>
      </c>
      <c r="M1070" s="7" t="n">
        <f aca="false">IF(ISBLANK(customer_churn_dataset!M1070),0,customer_churn_dataset!M1070)</f>
        <v>1</v>
      </c>
      <c r="N1070" s="7" t="n">
        <f aca="false">IF(ISBLANK(customer_churn_dataset!N1070),0,MAX(0,customer_churn_dataset!N1070))</f>
        <v>26.82</v>
      </c>
      <c r="O1070" s="7" t="n">
        <f aca="false">IF(ISBLANK(customer_churn_dataset!O1070),0,customer_churn_dataset!O1070)</f>
        <v>1</v>
      </c>
      <c r="P1070" s="7" t="str">
        <f aca="false">IF(COUNTIF(customer_churn_dataset!$A$2:$A$1501,customer_churn_dataset!A1070)&gt;1,"Duplicate","Unique")</f>
        <v>Unique</v>
      </c>
    </row>
    <row r="1071" customFormat="false" ht="14.15" hidden="false" customHeight="true" outlineLevel="0" collapsed="false">
      <c r="A1071" s="7" t="str">
        <f aca="false">TRIM(customer_churn_dataset!A1071)</f>
        <v>CUST100384</v>
      </c>
      <c r="B1071" s="7" t="str">
        <f aca="false">PROPER(TRIM(customer_churn_dataset!B1071))</f>
        <v>Standard</v>
      </c>
      <c r="C1071" s="7" t="str">
        <f aca="false">PROPER(TRIM(customer_churn_dataset!C1071))</f>
        <v>Two Year</v>
      </c>
      <c r="D1071" s="7" t="n">
        <f aca="false">IF(ISBLANK(customer_churn_dataset!D1071),ROUND(MEDIAN(customer_churn_dataset!D$2:D$1501),2),IF(customer_churn_dataset!D1071&lt;0,ABS(customer_churn_dataset!D1071),customer_churn_dataset!D1071))</f>
        <v>19.39</v>
      </c>
      <c r="E1071" s="7" t="n">
        <f aca="false">IF(ISBLANK(customer_churn_dataset!E1071),0,MAX(0,customer_churn_dataset!E1071))</f>
        <v>10</v>
      </c>
      <c r="F1071" s="8" t="n">
        <f aca="false">IF(ISBLANK(customer_churn_dataset!F1071),"",customer_churn_dataset!F1071)</f>
        <v>45224</v>
      </c>
      <c r="G1071" s="7" t="str">
        <f aca="false">PROPER(TRIM(customer_churn_dataset!G1071))</f>
        <v>Credit Card</v>
      </c>
      <c r="H1071" s="7" t="n">
        <f aca="false">IF(ISBLANK(customer_churn_dataset!H1071),0,customer_churn_dataset!H1071)</f>
        <v>0</v>
      </c>
      <c r="I1071" s="7" t="n">
        <f aca="false">IF(ISBLANK(customer_churn_dataset!I1071),ROUND(MEDIAN(customer_churn_dataset!I$2:I$1501),1),MIN(100,MAX(0,customer_churn_dataset!I1071)))</f>
        <v>86.9</v>
      </c>
      <c r="J1071" s="7" t="n">
        <f aca="false">IF(ISBLANK(customer_churn_dataset!J1071),0,MAX(0,customer_churn_dataset!J1071))</f>
        <v>20</v>
      </c>
      <c r="K1071" s="7" t="n">
        <f aca="false">IF(ISBLANK(customer_churn_dataset!K1071),0,MIN(10,MAX(0,customer_churn_dataset!K1071)))</f>
        <v>10</v>
      </c>
      <c r="L1071" s="7" t="n">
        <f aca="false">IF(ISBLANK(customer_churn_dataset!L1071),0,MAX(0,customer_churn_dataset!L1071))</f>
        <v>4</v>
      </c>
      <c r="M1071" s="7" t="n">
        <f aca="false">IF(ISBLANK(customer_churn_dataset!M1071),0,customer_churn_dataset!M1071)</f>
        <v>0</v>
      </c>
      <c r="N1071" s="7" t="n">
        <f aca="false">IF(ISBLANK(customer_churn_dataset!N1071),0,MAX(0,customer_churn_dataset!N1071))</f>
        <v>193.9</v>
      </c>
      <c r="O1071" s="7" t="n">
        <f aca="false">IF(ISBLANK(customer_churn_dataset!O1071),0,customer_churn_dataset!O1071)</f>
        <v>0</v>
      </c>
      <c r="P1071" s="7" t="str">
        <f aca="false">IF(COUNTIF(customer_churn_dataset!$A$2:$A$1501,customer_churn_dataset!A1071)&gt;1,"Duplicate","Unique")</f>
        <v>Unique</v>
      </c>
    </row>
    <row r="1072" customFormat="false" ht="14.15" hidden="false" customHeight="true" outlineLevel="0" collapsed="false">
      <c r="A1072" s="7" t="str">
        <f aca="false">TRIM(customer_churn_dataset!A1072)</f>
        <v>CUST100145</v>
      </c>
      <c r="B1072" s="7" t="str">
        <f aca="false">PROPER(TRIM(customer_churn_dataset!B1072))</f>
        <v>Basic</v>
      </c>
      <c r="C1072" s="7" t="str">
        <f aca="false">PROPER(TRIM(customer_churn_dataset!C1072))</f>
        <v>Month-To-Month</v>
      </c>
      <c r="D1072" s="7" t="n">
        <f aca="false">IF(ISBLANK(customer_churn_dataset!D1072),ROUND(MEDIAN(customer_churn_dataset!D$2:D$1501),2),IF(customer_churn_dataset!D1072&lt;0,ABS(customer_churn_dataset!D1072),customer_churn_dataset!D1072))</f>
        <v>9.09</v>
      </c>
      <c r="E1072" s="7" t="n">
        <f aca="false">IF(ISBLANK(customer_churn_dataset!E1072),0,MAX(0,customer_churn_dataset!E1072))</f>
        <v>26</v>
      </c>
      <c r="F1072" s="8" t="n">
        <f aca="false">IF(ISBLANK(customer_churn_dataset!F1072),"",customer_churn_dataset!F1072)</f>
        <v>45225</v>
      </c>
      <c r="G1072" s="7" t="str">
        <f aca="false">PROPER(TRIM(customer_churn_dataset!G1072))</f>
        <v>Bank Transfer</v>
      </c>
      <c r="H1072" s="7" t="n">
        <f aca="false">IF(ISBLANK(customer_churn_dataset!H1072),0,customer_churn_dataset!H1072)</f>
        <v>1</v>
      </c>
      <c r="I1072" s="7" t="n">
        <f aca="false">IF(ISBLANK(customer_churn_dataset!I1072),ROUND(MEDIAN(customer_churn_dataset!I$2:I$1501),1),MIN(100,MAX(0,customer_churn_dataset!I1072)))</f>
        <v>56.5</v>
      </c>
      <c r="J1072" s="7" t="n">
        <f aca="false">IF(ISBLANK(customer_churn_dataset!J1072),0,MAX(0,customer_churn_dataset!J1072))</f>
        <v>23</v>
      </c>
      <c r="K1072" s="7" t="n">
        <f aca="false">IF(ISBLANK(customer_churn_dataset!K1072),0,MIN(10,MAX(0,customer_churn_dataset!K1072)))</f>
        <v>5</v>
      </c>
      <c r="L1072" s="7" t="n">
        <f aca="false">IF(ISBLANK(customer_churn_dataset!L1072),0,MAX(0,customer_churn_dataset!L1072))</f>
        <v>2</v>
      </c>
      <c r="M1072" s="7" t="n">
        <f aca="false">IF(ISBLANK(customer_churn_dataset!M1072),0,customer_churn_dataset!M1072)</f>
        <v>0</v>
      </c>
      <c r="N1072" s="7" t="n">
        <f aca="false">IF(ISBLANK(customer_churn_dataset!N1072),0,MAX(0,customer_churn_dataset!N1072))</f>
        <v>236.34</v>
      </c>
      <c r="O1072" s="7" t="n">
        <f aca="false">IF(ISBLANK(customer_churn_dataset!O1072),0,customer_churn_dataset!O1072)</f>
        <v>0</v>
      </c>
      <c r="P1072" s="7" t="str">
        <f aca="false">IF(COUNTIF(customer_churn_dataset!$A$2:$A$1501,customer_churn_dataset!A1072)&gt;1,"Duplicate","Unique")</f>
        <v>Unique</v>
      </c>
    </row>
    <row r="1073" customFormat="false" ht="14.15" hidden="false" customHeight="true" outlineLevel="0" collapsed="false">
      <c r="A1073" s="7" t="str">
        <f aca="false">TRIM(customer_churn_dataset!A1073)</f>
        <v>CUST100864</v>
      </c>
      <c r="B1073" s="7" t="str">
        <f aca="false">PROPER(TRIM(customer_churn_dataset!B1073))</f>
        <v>Basic</v>
      </c>
      <c r="C1073" s="7" t="str">
        <f aca="false">PROPER(TRIM(customer_churn_dataset!C1073))</f>
        <v>One Year</v>
      </c>
      <c r="D1073" s="7" t="n">
        <f aca="false">IF(ISBLANK(customer_churn_dataset!D1073),ROUND(MEDIAN(customer_churn_dataset!D$2:D$1501),2),IF(customer_churn_dataset!D1073&lt;0,ABS(customer_churn_dataset!D1073),customer_churn_dataset!D1073))</f>
        <v>6.97</v>
      </c>
      <c r="E1073" s="7" t="n">
        <f aca="false">IF(ISBLANK(customer_churn_dataset!E1073),0,MAX(0,customer_churn_dataset!E1073))</f>
        <v>37</v>
      </c>
      <c r="F1073" s="8" t="n">
        <f aca="false">IF(ISBLANK(customer_churn_dataset!F1073),"",customer_churn_dataset!F1073)</f>
        <v>45225</v>
      </c>
      <c r="G1073" s="7" t="str">
        <f aca="false">PROPER(TRIM(customer_churn_dataset!G1073))</f>
        <v>Credit Card</v>
      </c>
      <c r="H1073" s="7" t="n">
        <f aca="false">IF(ISBLANK(customer_churn_dataset!H1073),0,customer_churn_dataset!H1073)</f>
        <v>1</v>
      </c>
      <c r="I1073" s="7" t="n">
        <f aca="false">IF(ISBLANK(customer_churn_dataset!I1073),ROUND(MEDIAN(customer_churn_dataset!I$2:I$1501),1),MIN(100,MAX(0,customer_churn_dataset!I1073)))</f>
        <v>59.7</v>
      </c>
      <c r="J1073" s="7" t="n">
        <f aca="false">IF(ISBLANK(customer_churn_dataset!J1073),0,MAX(0,customer_churn_dataset!J1073))</f>
        <v>8</v>
      </c>
      <c r="K1073" s="7" t="n">
        <f aca="false">IF(ISBLANK(customer_churn_dataset!K1073),0,MIN(10,MAX(0,customer_churn_dataset!K1073)))</f>
        <v>4</v>
      </c>
      <c r="L1073" s="7" t="n">
        <f aca="false">IF(ISBLANK(customer_churn_dataset!L1073),0,MAX(0,customer_churn_dataset!L1073))</f>
        <v>2</v>
      </c>
      <c r="M1073" s="7" t="n">
        <f aca="false">IF(ISBLANK(customer_churn_dataset!M1073),0,customer_churn_dataset!M1073)</f>
        <v>1</v>
      </c>
      <c r="N1073" s="7" t="n">
        <f aca="false">IF(ISBLANK(customer_churn_dataset!N1073),0,MAX(0,customer_churn_dataset!N1073))</f>
        <v>257.89</v>
      </c>
      <c r="O1073" s="7" t="n">
        <f aca="false">IF(ISBLANK(customer_churn_dataset!O1073),0,customer_churn_dataset!O1073)</f>
        <v>0</v>
      </c>
      <c r="P1073" s="7" t="str">
        <f aca="false">IF(COUNTIF(customer_churn_dataset!$A$2:$A$1501,customer_churn_dataset!A1073)&gt;1,"Duplicate","Unique")</f>
        <v>Unique</v>
      </c>
    </row>
    <row r="1074" customFormat="false" ht="14.15" hidden="false" customHeight="true" outlineLevel="0" collapsed="false">
      <c r="A1074" s="7" t="str">
        <f aca="false">TRIM(customer_churn_dataset!A1074)</f>
        <v>CUST100972</v>
      </c>
      <c r="B1074" s="7" t="str">
        <f aca="false">PROPER(TRIM(customer_churn_dataset!B1074))</f>
        <v>Standard</v>
      </c>
      <c r="C1074" s="7" t="str">
        <f aca="false">PROPER(TRIM(customer_churn_dataset!C1074))</f>
        <v>Month-To-Month</v>
      </c>
      <c r="D1074" s="7" t="n">
        <f aca="false">IF(ISBLANK(customer_churn_dataset!D1074),ROUND(MEDIAN(customer_churn_dataset!D$2:D$1501),2),IF(customer_churn_dataset!D1074&lt;0,ABS(customer_churn_dataset!D1074),customer_churn_dataset!D1074))</f>
        <v>20.66</v>
      </c>
      <c r="E1074" s="7" t="n">
        <f aca="false">IF(ISBLANK(customer_churn_dataset!E1074),0,MAX(0,customer_churn_dataset!E1074))</f>
        <v>20</v>
      </c>
      <c r="F1074" s="8" t="n">
        <f aca="false">IF(ISBLANK(customer_churn_dataset!F1074),"",customer_churn_dataset!F1074)</f>
        <v>45227</v>
      </c>
      <c r="G1074" s="7" t="str">
        <f aca="false">PROPER(TRIM(customer_churn_dataset!G1074))</f>
        <v>Paypal</v>
      </c>
      <c r="H1074" s="7" t="n">
        <f aca="false">IF(ISBLANK(customer_churn_dataset!H1074),0,customer_churn_dataset!H1074)</f>
        <v>0</v>
      </c>
      <c r="I1074" s="7" t="n">
        <f aca="false">IF(ISBLANK(customer_churn_dataset!I1074),ROUND(MEDIAN(customer_churn_dataset!I$2:I$1501),1),MIN(100,MAX(0,customer_churn_dataset!I1074)))</f>
        <v>51.6</v>
      </c>
      <c r="J1074" s="7" t="n">
        <f aca="false">IF(ISBLANK(customer_churn_dataset!J1074),0,MAX(0,customer_churn_dataset!J1074))</f>
        <v>15</v>
      </c>
      <c r="K1074" s="7" t="n">
        <f aca="false">IF(ISBLANK(customer_churn_dataset!K1074),0,MIN(10,MAX(0,customer_churn_dataset!K1074)))</f>
        <v>6</v>
      </c>
      <c r="L1074" s="7" t="n">
        <f aca="false">IF(ISBLANK(customer_churn_dataset!L1074),0,MAX(0,customer_churn_dataset!L1074))</f>
        <v>1</v>
      </c>
      <c r="M1074" s="7" t="n">
        <f aca="false">IF(ISBLANK(customer_churn_dataset!M1074),0,customer_churn_dataset!M1074)</f>
        <v>0</v>
      </c>
      <c r="N1074" s="7" t="n">
        <f aca="false">IF(ISBLANK(customer_churn_dataset!N1074),0,MAX(0,customer_churn_dataset!N1074))</f>
        <v>413.2</v>
      </c>
      <c r="O1074" s="7" t="n">
        <f aca="false">IF(ISBLANK(customer_churn_dataset!O1074),0,customer_churn_dataset!O1074)</f>
        <v>0</v>
      </c>
      <c r="P1074" s="7" t="str">
        <f aca="false">IF(COUNTIF(customer_churn_dataset!$A$2:$A$1501,customer_churn_dataset!A1074)&gt;1,"Duplicate","Unique")</f>
        <v>Unique</v>
      </c>
    </row>
    <row r="1075" customFormat="false" ht="14.15" hidden="false" customHeight="true" outlineLevel="0" collapsed="false">
      <c r="A1075" s="7" t="str">
        <f aca="false">TRIM(customer_churn_dataset!A1075)</f>
        <v>CUST101228</v>
      </c>
      <c r="B1075" s="7" t="str">
        <f aca="false">PROPER(TRIM(customer_churn_dataset!B1075))</f>
        <v>Premium</v>
      </c>
      <c r="C1075" s="7" t="str">
        <f aca="false">PROPER(TRIM(customer_churn_dataset!C1075))</f>
        <v>Month-To-Month</v>
      </c>
      <c r="D1075" s="7" t="n">
        <f aca="false">IF(ISBLANK(customer_churn_dataset!D1075),ROUND(MEDIAN(customer_churn_dataset!D$2:D$1501),2),IF(customer_churn_dataset!D1075&lt;0,ABS(customer_churn_dataset!D1075),customer_churn_dataset!D1075))</f>
        <v>40.88</v>
      </c>
      <c r="E1075" s="7" t="n">
        <f aca="false">IF(ISBLANK(customer_churn_dataset!E1075),0,MAX(0,customer_churn_dataset!E1075))</f>
        <v>5</v>
      </c>
      <c r="F1075" s="8" t="n">
        <f aca="false">IF(ISBLANK(customer_churn_dataset!F1075),"",customer_churn_dataset!F1075)</f>
        <v>45227</v>
      </c>
      <c r="G1075" s="7" t="str">
        <f aca="false">PROPER(TRIM(customer_churn_dataset!G1075))</f>
        <v>Credit Card</v>
      </c>
      <c r="H1075" s="7" t="n">
        <f aca="false">IF(ISBLANK(customer_churn_dataset!H1075),0,customer_churn_dataset!H1075)</f>
        <v>1</v>
      </c>
      <c r="I1075" s="7" t="n">
        <f aca="false">IF(ISBLANK(customer_churn_dataset!I1075),ROUND(MEDIAN(customer_churn_dataset!I$2:I$1501),1),MIN(100,MAX(0,customer_churn_dataset!I1075)))</f>
        <v>59</v>
      </c>
      <c r="J1075" s="7" t="n">
        <f aca="false">IF(ISBLANK(customer_churn_dataset!J1075),0,MAX(0,customer_churn_dataset!J1075))</f>
        <v>14</v>
      </c>
      <c r="K1075" s="7" t="n">
        <f aca="false">IF(ISBLANK(customer_churn_dataset!K1075),0,MIN(10,MAX(0,customer_churn_dataset!K1075)))</f>
        <v>8</v>
      </c>
      <c r="L1075" s="7" t="n">
        <f aca="false">IF(ISBLANK(customer_churn_dataset!L1075),0,MAX(0,customer_churn_dataset!L1075))</f>
        <v>4</v>
      </c>
      <c r="M1075" s="7" t="n">
        <f aca="false">IF(ISBLANK(customer_churn_dataset!M1075),0,customer_churn_dataset!M1075)</f>
        <v>0</v>
      </c>
      <c r="N1075" s="7" t="n">
        <f aca="false">IF(ISBLANK(customer_churn_dataset!N1075),0,MAX(0,customer_churn_dataset!N1075))</f>
        <v>204.4</v>
      </c>
      <c r="O1075" s="7" t="n">
        <f aca="false">IF(ISBLANK(customer_churn_dataset!O1075),0,customer_churn_dataset!O1075)</f>
        <v>0</v>
      </c>
      <c r="P1075" s="7" t="str">
        <f aca="false">IF(COUNTIF(customer_churn_dataset!$A$2:$A$1501,customer_churn_dataset!A1075)&gt;1,"Duplicate","Unique")</f>
        <v>Unique</v>
      </c>
    </row>
    <row r="1076" customFormat="false" ht="14.15" hidden="false" customHeight="true" outlineLevel="0" collapsed="false">
      <c r="A1076" s="7" t="str">
        <f aca="false">TRIM(customer_churn_dataset!A1076)</f>
        <v>CUST101483</v>
      </c>
      <c r="B1076" s="7" t="str">
        <f aca="false">PROPER(TRIM(customer_churn_dataset!B1076))</f>
        <v>Basic</v>
      </c>
      <c r="C1076" s="7" t="str">
        <f aca="false">PROPER(TRIM(customer_churn_dataset!C1076))</f>
        <v>Month-To-Month</v>
      </c>
      <c r="D1076" s="7" t="n">
        <f aca="false">IF(ISBLANK(customer_churn_dataset!D1076),ROUND(MEDIAN(customer_churn_dataset!D$2:D$1501),2),IF(customer_churn_dataset!D1076&lt;0,ABS(customer_churn_dataset!D1076),customer_churn_dataset!D1076))</f>
        <v>9.34</v>
      </c>
      <c r="E1076" s="7" t="n">
        <f aca="false">IF(ISBLANK(customer_churn_dataset!E1076),0,MAX(0,customer_churn_dataset!E1076))</f>
        <v>27</v>
      </c>
      <c r="F1076" s="8" t="n">
        <f aca="false">IF(ISBLANK(customer_churn_dataset!F1076),"",customer_churn_dataset!F1076)</f>
        <v>45231</v>
      </c>
      <c r="G1076" s="7" t="str">
        <f aca="false">PROPER(TRIM(customer_churn_dataset!G1076))</f>
        <v>Credit Card</v>
      </c>
      <c r="H1076" s="7" t="n">
        <f aca="false">IF(ISBLANK(customer_churn_dataset!H1076),0,customer_churn_dataset!H1076)</f>
        <v>1</v>
      </c>
      <c r="I1076" s="7" t="n">
        <f aca="false">IF(ISBLANK(customer_churn_dataset!I1076),ROUND(MEDIAN(customer_churn_dataset!I$2:I$1501),1),MIN(100,MAX(0,customer_churn_dataset!I1076)))</f>
        <v>85.8</v>
      </c>
      <c r="J1076" s="7" t="n">
        <f aca="false">IF(ISBLANK(customer_churn_dataset!J1076),0,MAX(0,customer_churn_dataset!J1076))</f>
        <v>27</v>
      </c>
      <c r="K1076" s="7" t="n">
        <f aca="false">IF(ISBLANK(customer_churn_dataset!K1076),0,MIN(10,MAX(0,customer_churn_dataset!K1076)))</f>
        <v>10</v>
      </c>
      <c r="L1076" s="7" t="n">
        <f aca="false">IF(ISBLANK(customer_churn_dataset!L1076),0,MAX(0,customer_churn_dataset!L1076))</f>
        <v>0</v>
      </c>
      <c r="M1076" s="7" t="n">
        <f aca="false">IF(ISBLANK(customer_churn_dataset!M1076),0,customer_churn_dataset!M1076)</f>
        <v>0</v>
      </c>
      <c r="N1076" s="7" t="n">
        <f aca="false">IF(ISBLANK(customer_churn_dataset!N1076),0,MAX(0,customer_churn_dataset!N1076))</f>
        <v>252.18</v>
      </c>
      <c r="O1076" s="7" t="n">
        <f aca="false">IF(ISBLANK(customer_churn_dataset!O1076),0,customer_churn_dataset!O1076)</f>
        <v>0</v>
      </c>
      <c r="P1076" s="7" t="str">
        <f aca="false">IF(COUNTIF(customer_churn_dataset!$A$2:$A$1501,customer_churn_dataset!A1076)&gt;1,"Duplicate","Unique")</f>
        <v>Unique</v>
      </c>
    </row>
    <row r="1077" customFormat="false" ht="14.15" hidden="false" customHeight="true" outlineLevel="0" collapsed="false">
      <c r="A1077" s="7" t="str">
        <f aca="false">TRIM(customer_churn_dataset!A1077)</f>
        <v>CUST100760</v>
      </c>
      <c r="B1077" s="7" t="str">
        <f aca="false">PROPER(TRIM(customer_churn_dataset!B1077))</f>
        <v>Basic</v>
      </c>
      <c r="C1077" s="7" t="str">
        <f aca="false">PROPER(TRIM(customer_churn_dataset!C1077))</f>
        <v>One Year</v>
      </c>
      <c r="D1077" s="7" t="n">
        <f aca="false">IF(ISBLANK(customer_churn_dataset!D1077),ROUND(MEDIAN(customer_churn_dataset!D$2:D$1501),2),IF(customer_churn_dataset!D1077&lt;0,ABS(customer_churn_dataset!D1077),customer_churn_dataset!D1077))</f>
        <v>8.01</v>
      </c>
      <c r="E1077" s="7" t="n">
        <f aca="false">IF(ISBLANK(customer_churn_dataset!E1077),0,MAX(0,customer_churn_dataset!E1077))</f>
        <v>12</v>
      </c>
      <c r="F1077" s="8" t="n">
        <f aca="false">IF(ISBLANK(customer_churn_dataset!F1077),"",customer_churn_dataset!F1077)</f>
        <v>45232</v>
      </c>
      <c r="G1077" s="7" t="str">
        <f aca="false">PROPER(TRIM(customer_churn_dataset!G1077))</f>
        <v>Credit Card</v>
      </c>
      <c r="H1077" s="7" t="n">
        <f aca="false">IF(ISBLANK(customer_churn_dataset!H1077),0,customer_churn_dataset!H1077)</f>
        <v>1</v>
      </c>
      <c r="I1077" s="7" t="n">
        <f aca="false">IF(ISBLANK(customer_churn_dataset!I1077),ROUND(MEDIAN(customer_churn_dataset!I$2:I$1501),1),MIN(100,MAX(0,customer_churn_dataset!I1077)))</f>
        <v>77.3</v>
      </c>
      <c r="J1077" s="7" t="n">
        <f aca="false">IF(ISBLANK(customer_churn_dataset!J1077),0,MAX(0,customer_churn_dataset!J1077))</f>
        <v>20</v>
      </c>
      <c r="K1077" s="7" t="n">
        <f aca="false">IF(ISBLANK(customer_churn_dataset!K1077),0,MIN(10,MAX(0,customer_churn_dataset!K1077)))</f>
        <v>6</v>
      </c>
      <c r="L1077" s="7" t="n">
        <f aca="false">IF(ISBLANK(customer_churn_dataset!L1077),0,MAX(0,customer_churn_dataset!L1077))</f>
        <v>1</v>
      </c>
      <c r="M1077" s="7" t="n">
        <f aca="false">IF(ISBLANK(customer_churn_dataset!M1077),0,customer_churn_dataset!M1077)</f>
        <v>0</v>
      </c>
      <c r="N1077" s="7" t="n">
        <f aca="false">IF(ISBLANK(customer_churn_dataset!N1077),0,MAX(0,customer_churn_dataset!N1077))</f>
        <v>96.12</v>
      </c>
      <c r="O1077" s="7" t="n">
        <f aca="false">IF(ISBLANK(customer_churn_dataset!O1077),0,customer_churn_dataset!O1077)</f>
        <v>0</v>
      </c>
      <c r="P1077" s="7" t="str">
        <f aca="false">IF(COUNTIF(customer_churn_dataset!$A$2:$A$1501,customer_churn_dataset!A1077)&gt;1,"Duplicate","Unique")</f>
        <v>Unique</v>
      </c>
    </row>
    <row r="1078" customFormat="false" ht="14.15" hidden="false" customHeight="true" outlineLevel="0" collapsed="false">
      <c r="A1078" s="7" t="str">
        <f aca="false">TRIM(customer_churn_dataset!A1078)</f>
        <v>CUST100662</v>
      </c>
      <c r="B1078" s="7" t="str">
        <f aca="false">PROPER(TRIM(customer_churn_dataset!B1078))</f>
        <v>Standard</v>
      </c>
      <c r="C1078" s="7" t="str">
        <f aca="false">PROPER(TRIM(customer_churn_dataset!C1078))</f>
        <v>One Year</v>
      </c>
      <c r="D1078" s="7" t="n">
        <f aca="false">IF(ISBLANK(customer_churn_dataset!D1078),ROUND(MEDIAN(customer_churn_dataset!D$2:D$1501),2),IF(customer_churn_dataset!D1078&lt;0,ABS(customer_churn_dataset!D1078),customer_churn_dataset!D1078))</f>
        <v>19.77</v>
      </c>
      <c r="E1078" s="7" t="n">
        <f aca="false">IF(ISBLANK(customer_churn_dataset!E1078),0,MAX(0,customer_churn_dataset!E1078))</f>
        <v>12</v>
      </c>
      <c r="F1078" s="8" t="n">
        <f aca="false">IF(ISBLANK(customer_churn_dataset!F1078),"",customer_churn_dataset!F1078)</f>
        <v>45232</v>
      </c>
      <c r="G1078" s="7" t="str">
        <f aca="false">PROPER(TRIM(customer_churn_dataset!G1078))</f>
        <v>Credit Card</v>
      </c>
      <c r="H1078" s="7" t="n">
        <f aca="false">IF(ISBLANK(customer_churn_dataset!H1078),0,customer_churn_dataset!H1078)</f>
        <v>0</v>
      </c>
      <c r="I1078" s="7" t="n">
        <f aca="false">IF(ISBLANK(customer_churn_dataset!I1078),ROUND(MEDIAN(customer_churn_dataset!I$2:I$1501),1),MIN(100,MAX(0,customer_churn_dataset!I1078)))</f>
        <v>93.7</v>
      </c>
      <c r="J1078" s="7" t="n">
        <f aca="false">IF(ISBLANK(customer_churn_dataset!J1078),0,MAX(0,customer_churn_dataset!J1078))</f>
        <v>23</v>
      </c>
      <c r="K1078" s="7" t="n">
        <f aca="false">IF(ISBLANK(customer_churn_dataset!K1078),0,MIN(10,MAX(0,customer_churn_dataset!K1078)))</f>
        <v>10</v>
      </c>
      <c r="L1078" s="7" t="n">
        <f aca="false">IF(ISBLANK(customer_churn_dataset!L1078),0,MAX(0,customer_churn_dataset!L1078))</f>
        <v>1</v>
      </c>
      <c r="M1078" s="7" t="n">
        <f aca="false">IF(ISBLANK(customer_churn_dataset!M1078),0,customer_churn_dataset!M1078)</f>
        <v>1</v>
      </c>
      <c r="N1078" s="7" t="n">
        <f aca="false">IF(ISBLANK(customer_churn_dataset!N1078),0,MAX(0,customer_churn_dataset!N1078))</f>
        <v>237.24</v>
      </c>
      <c r="O1078" s="7" t="n">
        <f aca="false">IF(ISBLANK(customer_churn_dataset!O1078),0,customer_churn_dataset!O1078)</f>
        <v>0</v>
      </c>
      <c r="P1078" s="7" t="str">
        <f aca="false">IF(COUNTIF(customer_churn_dataset!$A$2:$A$1501,customer_churn_dataset!A1078)&gt;1,"Duplicate","Unique")</f>
        <v>Unique</v>
      </c>
    </row>
    <row r="1079" customFormat="false" ht="14.15" hidden="false" customHeight="true" outlineLevel="0" collapsed="false">
      <c r="A1079" s="7" t="str">
        <f aca="false">TRIM(customer_churn_dataset!A1079)</f>
        <v>CUST101031</v>
      </c>
      <c r="B1079" s="7" t="str">
        <f aca="false">PROPER(TRIM(customer_churn_dataset!B1079))</f>
        <v>Standard</v>
      </c>
      <c r="C1079" s="7" t="str">
        <f aca="false">PROPER(TRIM(customer_churn_dataset!C1079))</f>
        <v>Month-To-Month</v>
      </c>
      <c r="D1079" s="7" t="n">
        <f aca="false">IF(ISBLANK(customer_churn_dataset!D1079),ROUND(MEDIAN(customer_churn_dataset!D$2:D$1501),2),IF(customer_churn_dataset!D1079&lt;0,ABS(customer_churn_dataset!D1079),customer_churn_dataset!D1079))</f>
        <v>20.45</v>
      </c>
      <c r="E1079" s="7" t="n">
        <f aca="false">IF(ISBLANK(customer_churn_dataset!E1079),0,MAX(0,customer_churn_dataset!E1079))</f>
        <v>8</v>
      </c>
      <c r="F1079" s="8" t="n">
        <f aca="false">IF(ISBLANK(customer_churn_dataset!F1079),"",customer_churn_dataset!F1079)</f>
        <v>45232</v>
      </c>
      <c r="G1079" s="7" t="str">
        <f aca="false">PROPER(TRIM(customer_churn_dataset!G1079))</f>
        <v>Bank Transfer</v>
      </c>
      <c r="H1079" s="7" t="n">
        <f aca="false">IF(ISBLANK(customer_churn_dataset!H1079),0,customer_churn_dataset!H1079)</f>
        <v>1</v>
      </c>
      <c r="I1079" s="7" t="n">
        <f aca="false">IF(ISBLANK(customer_churn_dataset!I1079),ROUND(MEDIAN(customer_churn_dataset!I$2:I$1501),1),MIN(100,MAX(0,customer_churn_dataset!I1079)))</f>
        <v>88.8</v>
      </c>
      <c r="J1079" s="7" t="n">
        <f aca="false">IF(ISBLANK(customer_churn_dataset!J1079),0,MAX(0,customer_churn_dataset!J1079))</f>
        <v>26</v>
      </c>
      <c r="K1079" s="7" t="n">
        <f aca="false">IF(ISBLANK(customer_churn_dataset!K1079),0,MIN(10,MAX(0,customer_churn_dataset!K1079)))</f>
        <v>7</v>
      </c>
      <c r="L1079" s="7" t="n">
        <f aca="false">IF(ISBLANK(customer_churn_dataset!L1079),0,MAX(0,customer_churn_dataset!L1079))</f>
        <v>0</v>
      </c>
      <c r="M1079" s="7" t="n">
        <f aca="false">IF(ISBLANK(customer_churn_dataset!M1079),0,customer_churn_dataset!M1079)</f>
        <v>0</v>
      </c>
      <c r="N1079" s="7" t="n">
        <f aca="false">IF(ISBLANK(customer_churn_dataset!N1079),0,MAX(0,customer_churn_dataset!N1079))</f>
        <v>163.6</v>
      </c>
      <c r="O1079" s="7" t="n">
        <f aca="false">IF(ISBLANK(customer_churn_dataset!O1079),0,customer_churn_dataset!O1079)</f>
        <v>0</v>
      </c>
      <c r="P1079" s="7" t="str">
        <f aca="false">IF(COUNTIF(customer_churn_dataset!$A$2:$A$1501,customer_churn_dataset!A1079)&gt;1,"Duplicate","Unique")</f>
        <v>Unique</v>
      </c>
    </row>
    <row r="1080" customFormat="false" ht="14.15" hidden="false" customHeight="true" outlineLevel="0" collapsed="false">
      <c r="A1080" s="7" t="str">
        <f aca="false">TRIM(customer_churn_dataset!A1080)</f>
        <v>CUST100523</v>
      </c>
      <c r="B1080" s="7" t="str">
        <f aca="false">PROPER(TRIM(customer_churn_dataset!B1080))</f>
        <v>Premium</v>
      </c>
      <c r="C1080" s="7" t="str">
        <f aca="false">PROPER(TRIM(customer_churn_dataset!C1080))</f>
        <v>Month-To-Month</v>
      </c>
      <c r="D1080" s="7" t="n">
        <f aca="false">IF(ISBLANK(customer_churn_dataset!D1080),ROUND(MEDIAN(customer_churn_dataset!D$2:D$1501),2),IF(customer_churn_dataset!D1080&lt;0,ABS(customer_churn_dataset!D1080),customer_churn_dataset!D1080))</f>
        <v>40.31</v>
      </c>
      <c r="E1080" s="7" t="n">
        <f aca="false">IF(ISBLANK(customer_churn_dataset!E1080),0,MAX(0,customer_churn_dataset!E1080))</f>
        <v>43</v>
      </c>
      <c r="F1080" s="8" t="n">
        <f aca="false">IF(ISBLANK(customer_churn_dataset!F1080),"",customer_churn_dataset!F1080)</f>
        <v>45236</v>
      </c>
      <c r="G1080" s="7" t="str">
        <f aca="false">PROPER(TRIM(customer_churn_dataset!G1080))</f>
        <v>Paypal</v>
      </c>
      <c r="H1080" s="7" t="n">
        <f aca="false">IF(ISBLANK(customer_churn_dataset!H1080),0,customer_churn_dataset!H1080)</f>
        <v>1</v>
      </c>
      <c r="I1080" s="7" t="n">
        <f aca="false">IF(ISBLANK(customer_churn_dataset!I1080),ROUND(MEDIAN(customer_churn_dataset!I$2:I$1501),1),MIN(100,MAX(0,customer_churn_dataset!I1080)))</f>
        <v>5.1</v>
      </c>
      <c r="J1080" s="7" t="n">
        <f aca="false">IF(ISBLANK(customer_churn_dataset!J1080),0,MAX(0,customer_churn_dataset!J1080))</f>
        <v>3</v>
      </c>
      <c r="K1080" s="7" t="n">
        <f aca="false">IF(ISBLANK(customer_churn_dataset!K1080),0,MIN(10,MAX(0,customer_churn_dataset!K1080)))</f>
        <v>1</v>
      </c>
      <c r="L1080" s="7" t="n">
        <f aca="false">IF(ISBLANK(customer_churn_dataset!L1080),0,MAX(0,customer_churn_dataset!L1080))</f>
        <v>3</v>
      </c>
      <c r="M1080" s="7" t="n">
        <f aca="false">IF(ISBLANK(customer_churn_dataset!M1080),0,customer_churn_dataset!M1080)</f>
        <v>1</v>
      </c>
      <c r="N1080" s="7" t="n">
        <f aca="false">IF(ISBLANK(customer_churn_dataset!N1080),0,MAX(0,customer_churn_dataset!N1080))</f>
        <v>1733.33</v>
      </c>
      <c r="O1080" s="7" t="n">
        <f aca="false">IF(ISBLANK(customer_churn_dataset!O1080),0,customer_churn_dataset!O1080)</f>
        <v>0</v>
      </c>
      <c r="P1080" s="7" t="str">
        <f aca="false">IF(COUNTIF(customer_churn_dataset!$A$2:$A$1501,customer_churn_dataset!A1080)&gt;1,"Duplicate","Unique")</f>
        <v>Unique</v>
      </c>
    </row>
    <row r="1081" customFormat="false" ht="14.15" hidden="false" customHeight="true" outlineLevel="0" collapsed="false">
      <c r="A1081" s="7" t="str">
        <f aca="false">TRIM(customer_churn_dataset!A1081)</f>
        <v>CUST100588</v>
      </c>
      <c r="B1081" s="7" t="str">
        <f aca="false">PROPER(TRIM(customer_churn_dataset!B1081))</f>
        <v>Basic</v>
      </c>
      <c r="C1081" s="7" t="str">
        <f aca="false">PROPER(TRIM(customer_churn_dataset!C1081))</f>
        <v>Month-To-Month</v>
      </c>
      <c r="D1081" s="7" t="n">
        <f aca="false">IF(ISBLANK(customer_churn_dataset!D1081),ROUND(MEDIAN(customer_churn_dataset!D$2:D$1501),2),IF(customer_churn_dataset!D1081&lt;0,ABS(customer_churn_dataset!D1081),customer_churn_dataset!D1081))</f>
        <v>10.18</v>
      </c>
      <c r="E1081" s="7" t="n">
        <f aca="false">IF(ISBLANK(customer_churn_dataset!E1081),0,MAX(0,customer_churn_dataset!E1081))</f>
        <v>26</v>
      </c>
      <c r="F1081" s="8" t="n">
        <f aca="false">IF(ISBLANK(customer_churn_dataset!F1081),"",customer_churn_dataset!F1081)</f>
        <v>45242</v>
      </c>
      <c r="G1081" s="7" t="str">
        <f aca="false">PROPER(TRIM(customer_churn_dataset!G1081))</f>
        <v>Bank Transfer</v>
      </c>
      <c r="H1081" s="7" t="n">
        <f aca="false">IF(ISBLANK(customer_churn_dataset!H1081),0,customer_churn_dataset!H1081)</f>
        <v>0</v>
      </c>
      <c r="I1081" s="7" t="n">
        <f aca="false">IF(ISBLANK(customer_churn_dataset!I1081),ROUND(MEDIAN(customer_churn_dataset!I$2:I$1501),1),MIN(100,MAX(0,customer_churn_dataset!I1081)))</f>
        <v>33</v>
      </c>
      <c r="J1081" s="7" t="n">
        <f aca="false">IF(ISBLANK(customer_churn_dataset!J1081),0,MAX(0,customer_churn_dataset!J1081))</f>
        <v>7</v>
      </c>
      <c r="K1081" s="7" t="n">
        <f aca="false">IF(ISBLANK(customer_churn_dataset!K1081),0,MIN(10,MAX(0,customer_churn_dataset!K1081)))</f>
        <v>1</v>
      </c>
      <c r="L1081" s="7" t="n">
        <f aca="false">IF(ISBLANK(customer_churn_dataset!L1081),0,MAX(0,customer_churn_dataset!L1081))</f>
        <v>2</v>
      </c>
      <c r="M1081" s="7" t="n">
        <f aca="false">IF(ISBLANK(customer_churn_dataset!M1081),0,customer_churn_dataset!M1081)</f>
        <v>0</v>
      </c>
      <c r="N1081" s="7" t="n">
        <f aca="false">IF(ISBLANK(customer_churn_dataset!N1081),0,MAX(0,customer_churn_dataset!N1081))</f>
        <v>264.68</v>
      </c>
      <c r="O1081" s="7" t="n">
        <f aca="false">IF(ISBLANK(customer_churn_dataset!O1081),0,customer_churn_dataset!O1081)</f>
        <v>1</v>
      </c>
      <c r="P1081" s="7" t="str">
        <f aca="false">IF(COUNTIF(customer_churn_dataset!$A$2:$A$1501,customer_churn_dataset!A1081)&gt;1,"Duplicate","Unique")</f>
        <v>Unique</v>
      </c>
    </row>
    <row r="1082" customFormat="false" ht="14.15" hidden="false" customHeight="true" outlineLevel="0" collapsed="false">
      <c r="A1082" s="7" t="str">
        <f aca="false">TRIM(customer_churn_dataset!A1082)</f>
        <v>CUST100782</v>
      </c>
      <c r="B1082" s="7" t="str">
        <f aca="false">PROPER(TRIM(customer_churn_dataset!B1082))</f>
        <v>Basic</v>
      </c>
      <c r="C1082" s="7" t="str">
        <f aca="false">PROPER(TRIM(customer_churn_dataset!C1082))</f>
        <v>One Year</v>
      </c>
      <c r="D1082" s="7" t="n">
        <f aca="false">IF(ISBLANK(customer_churn_dataset!D1082),ROUND(MEDIAN(customer_churn_dataset!D$2:D$1501),2),IF(customer_churn_dataset!D1082&lt;0,ABS(customer_churn_dataset!D1082),customer_churn_dataset!D1082))</f>
        <v>10.26</v>
      </c>
      <c r="E1082" s="7" t="n">
        <f aca="false">IF(ISBLANK(customer_churn_dataset!E1082),0,MAX(0,customer_churn_dataset!E1082))</f>
        <v>21</v>
      </c>
      <c r="F1082" s="8" t="n">
        <f aca="false">IF(ISBLANK(customer_churn_dataset!F1082),"",customer_churn_dataset!F1082)</f>
        <v>45242</v>
      </c>
      <c r="G1082" s="7" t="str">
        <f aca="false">PROPER(TRIM(customer_churn_dataset!G1082))</f>
        <v>Credit Card</v>
      </c>
      <c r="H1082" s="7" t="n">
        <f aca="false">IF(ISBLANK(customer_churn_dataset!H1082),0,customer_churn_dataset!H1082)</f>
        <v>0</v>
      </c>
      <c r="I1082" s="7" t="n">
        <f aca="false">IF(ISBLANK(customer_churn_dataset!I1082),ROUND(MEDIAN(customer_churn_dataset!I$2:I$1501),1),MIN(100,MAX(0,customer_churn_dataset!I1082)))</f>
        <v>49.5</v>
      </c>
      <c r="J1082" s="7" t="n">
        <f aca="false">IF(ISBLANK(customer_churn_dataset!J1082),0,MAX(0,customer_churn_dataset!J1082))</f>
        <v>23</v>
      </c>
      <c r="K1082" s="7" t="n">
        <f aca="false">IF(ISBLANK(customer_churn_dataset!K1082),0,MIN(10,MAX(0,customer_churn_dataset!K1082)))</f>
        <v>6</v>
      </c>
      <c r="L1082" s="7" t="n">
        <f aca="false">IF(ISBLANK(customer_churn_dataset!L1082),0,MAX(0,customer_churn_dataset!L1082))</f>
        <v>1</v>
      </c>
      <c r="M1082" s="7" t="n">
        <f aca="false">IF(ISBLANK(customer_churn_dataset!M1082),0,customer_churn_dataset!M1082)</f>
        <v>0</v>
      </c>
      <c r="N1082" s="7" t="n">
        <f aca="false">IF(ISBLANK(customer_churn_dataset!N1082),0,MAX(0,customer_churn_dataset!N1082))</f>
        <v>215.46</v>
      </c>
      <c r="O1082" s="7" t="n">
        <f aca="false">IF(ISBLANK(customer_churn_dataset!O1082),0,customer_churn_dataset!O1082)</f>
        <v>0</v>
      </c>
      <c r="P1082" s="7" t="str">
        <f aca="false">IF(COUNTIF(customer_churn_dataset!$A$2:$A$1501,customer_churn_dataset!A1082)&gt;1,"Duplicate","Unique")</f>
        <v>Unique</v>
      </c>
    </row>
    <row r="1083" customFormat="false" ht="14.15" hidden="false" customHeight="true" outlineLevel="0" collapsed="false">
      <c r="A1083" s="7" t="str">
        <f aca="false">TRIM(customer_churn_dataset!A1083)</f>
        <v>CUST101461</v>
      </c>
      <c r="B1083" s="7" t="str">
        <f aca="false">PROPER(TRIM(customer_churn_dataset!B1083))</f>
        <v>Standard</v>
      </c>
      <c r="C1083" s="7" t="str">
        <f aca="false">PROPER(TRIM(customer_churn_dataset!C1083))</f>
        <v>Month-To-Month</v>
      </c>
      <c r="D1083" s="7" t="n">
        <f aca="false">IF(ISBLANK(customer_churn_dataset!D1083),ROUND(MEDIAN(customer_churn_dataset!D$2:D$1501),2),IF(customer_churn_dataset!D1083&lt;0,ABS(customer_churn_dataset!D1083),customer_churn_dataset!D1083))</f>
        <v>20.78</v>
      </c>
      <c r="E1083" s="7" t="n">
        <f aca="false">IF(ISBLANK(customer_churn_dataset!E1083),0,MAX(0,customer_churn_dataset!E1083))</f>
        <v>11</v>
      </c>
      <c r="F1083" s="8" t="n">
        <f aca="false">IF(ISBLANK(customer_churn_dataset!F1083),"",customer_churn_dataset!F1083)</f>
        <v>45243</v>
      </c>
      <c r="G1083" s="7" t="str">
        <f aca="false">PROPER(TRIM(customer_churn_dataset!G1083))</f>
        <v>Credit Card</v>
      </c>
      <c r="H1083" s="7" t="n">
        <f aca="false">IF(ISBLANK(customer_churn_dataset!H1083),0,customer_churn_dataset!H1083)</f>
        <v>0</v>
      </c>
      <c r="I1083" s="7" t="n">
        <f aca="false">IF(ISBLANK(customer_churn_dataset!I1083),ROUND(MEDIAN(customer_churn_dataset!I$2:I$1501),1),MIN(100,MAX(0,customer_churn_dataset!I1083)))</f>
        <v>57.8</v>
      </c>
      <c r="J1083" s="7" t="n">
        <f aca="false">IF(ISBLANK(customer_churn_dataset!J1083),0,MAX(0,customer_churn_dataset!J1083))</f>
        <v>17</v>
      </c>
      <c r="K1083" s="7" t="n">
        <f aca="false">IF(ISBLANK(customer_churn_dataset!K1083),0,MIN(10,MAX(0,customer_churn_dataset!K1083)))</f>
        <v>6</v>
      </c>
      <c r="L1083" s="7" t="n">
        <f aca="false">IF(ISBLANK(customer_churn_dataset!L1083),0,MAX(0,customer_churn_dataset!L1083))</f>
        <v>0</v>
      </c>
      <c r="M1083" s="7" t="n">
        <f aca="false">IF(ISBLANK(customer_churn_dataset!M1083),0,customer_churn_dataset!M1083)</f>
        <v>0</v>
      </c>
      <c r="N1083" s="7" t="n">
        <f aca="false">IF(ISBLANK(customer_churn_dataset!N1083),0,MAX(0,customer_churn_dataset!N1083))</f>
        <v>228.58</v>
      </c>
      <c r="O1083" s="7" t="n">
        <f aca="false">IF(ISBLANK(customer_churn_dataset!O1083),0,customer_churn_dataset!O1083)</f>
        <v>0</v>
      </c>
      <c r="P1083" s="7" t="str">
        <f aca="false">IF(COUNTIF(customer_churn_dataset!$A$2:$A$1501,customer_churn_dataset!A1083)&gt;1,"Duplicate","Unique")</f>
        <v>Unique</v>
      </c>
    </row>
    <row r="1084" customFormat="false" ht="14.15" hidden="false" customHeight="true" outlineLevel="0" collapsed="false">
      <c r="A1084" s="7" t="str">
        <f aca="false">TRIM(customer_churn_dataset!A1084)</f>
        <v>CUST101437</v>
      </c>
      <c r="B1084" s="7" t="str">
        <f aca="false">PROPER(TRIM(customer_churn_dataset!B1084))</f>
        <v>Standard</v>
      </c>
      <c r="C1084" s="7" t="str">
        <f aca="false">PROPER(TRIM(customer_churn_dataset!C1084))</f>
        <v>Month-To-Month</v>
      </c>
      <c r="D1084" s="7" t="n">
        <f aca="false">IF(ISBLANK(customer_churn_dataset!D1084),ROUND(MEDIAN(customer_churn_dataset!D$2:D$1501),2),IF(customer_churn_dataset!D1084&lt;0,ABS(customer_churn_dataset!D1084),customer_churn_dataset!D1084))</f>
        <v>20.2</v>
      </c>
      <c r="E1084" s="7" t="n">
        <f aca="false">IF(ISBLANK(customer_churn_dataset!E1084),0,MAX(0,customer_churn_dataset!E1084))</f>
        <v>33</v>
      </c>
      <c r="F1084" s="8" t="n">
        <f aca="false">IF(ISBLANK(customer_churn_dataset!F1084),"",customer_churn_dataset!F1084)</f>
        <v>45244</v>
      </c>
      <c r="G1084" s="7" t="str">
        <f aca="false">PROPER(TRIM(customer_churn_dataset!G1084))</f>
        <v>Credit Card</v>
      </c>
      <c r="H1084" s="7" t="n">
        <f aca="false">IF(ISBLANK(customer_churn_dataset!H1084),0,customer_churn_dataset!H1084)</f>
        <v>1</v>
      </c>
      <c r="I1084" s="7" t="n">
        <f aca="false">IF(ISBLANK(customer_churn_dataset!I1084),ROUND(MEDIAN(customer_churn_dataset!I$2:I$1501),1),MIN(100,MAX(0,customer_churn_dataset!I1084)))</f>
        <v>47.8</v>
      </c>
      <c r="J1084" s="7" t="n">
        <f aca="false">IF(ISBLANK(customer_churn_dataset!J1084),0,MAX(0,customer_churn_dataset!J1084))</f>
        <v>19</v>
      </c>
      <c r="K1084" s="7" t="n">
        <f aca="false">IF(ISBLANK(customer_churn_dataset!K1084),0,MIN(10,MAX(0,customer_churn_dataset!K1084)))</f>
        <v>3</v>
      </c>
      <c r="L1084" s="7" t="n">
        <f aca="false">IF(ISBLANK(customer_churn_dataset!L1084),0,MAX(0,customer_churn_dataset!L1084))</f>
        <v>2</v>
      </c>
      <c r="M1084" s="7" t="n">
        <f aca="false">IF(ISBLANK(customer_churn_dataset!M1084),0,customer_churn_dataset!M1084)</f>
        <v>1</v>
      </c>
      <c r="N1084" s="7" t="n">
        <f aca="false">IF(ISBLANK(customer_churn_dataset!N1084),0,MAX(0,customer_churn_dataset!N1084))</f>
        <v>666.6</v>
      </c>
      <c r="O1084" s="7" t="n">
        <f aca="false">IF(ISBLANK(customer_churn_dataset!O1084),0,customer_churn_dataset!O1084)</f>
        <v>0</v>
      </c>
      <c r="P1084" s="7" t="str">
        <f aca="false">IF(COUNTIF(customer_churn_dataset!$A$2:$A$1501,customer_churn_dataset!A1084)&gt;1,"Duplicate","Unique")</f>
        <v>Unique</v>
      </c>
    </row>
    <row r="1085" customFormat="false" ht="14.15" hidden="false" customHeight="true" outlineLevel="0" collapsed="false">
      <c r="A1085" s="7" t="str">
        <f aca="false">TRIM(customer_churn_dataset!A1085)</f>
        <v>CUST101279</v>
      </c>
      <c r="B1085" s="7" t="str">
        <f aca="false">PROPER(TRIM(customer_churn_dataset!B1085))</f>
        <v>Standard</v>
      </c>
      <c r="C1085" s="7" t="str">
        <f aca="false">PROPER(TRIM(customer_churn_dataset!C1085))</f>
        <v>One Year</v>
      </c>
      <c r="D1085" s="7" t="n">
        <f aca="false">IF(ISBLANK(customer_churn_dataset!D1085),ROUND(MEDIAN(customer_churn_dataset!D$2:D$1501),2),IF(customer_churn_dataset!D1085&lt;0,ABS(customer_churn_dataset!D1085),customer_churn_dataset!D1085))</f>
        <v>18.38</v>
      </c>
      <c r="E1085" s="7" t="n">
        <f aca="false">IF(ISBLANK(customer_churn_dataset!E1085),0,MAX(0,customer_churn_dataset!E1085))</f>
        <v>4</v>
      </c>
      <c r="F1085" s="8" t="n">
        <f aca="false">IF(ISBLANK(customer_churn_dataset!F1085),"",customer_churn_dataset!F1085)</f>
        <v>45245</v>
      </c>
      <c r="G1085" s="7" t="str">
        <f aca="false">PROPER(TRIM(customer_churn_dataset!G1085))</f>
        <v>Paypal</v>
      </c>
      <c r="H1085" s="7" t="n">
        <f aca="false">IF(ISBLANK(customer_churn_dataset!H1085),0,customer_churn_dataset!H1085)</f>
        <v>1</v>
      </c>
      <c r="I1085" s="7" t="n">
        <f aca="false">IF(ISBLANK(customer_churn_dataset!I1085),ROUND(MEDIAN(customer_churn_dataset!I$2:I$1501),1),MIN(100,MAX(0,customer_churn_dataset!I1085)))</f>
        <v>47.9</v>
      </c>
      <c r="J1085" s="7" t="n">
        <f aca="false">IF(ISBLANK(customer_churn_dataset!J1085),0,MAX(0,customer_churn_dataset!J1085))</f>
        <v>13</v>
      </c>
      <c r="K1085" s="7" t="n">
        <f aca="false">IF(ISBLANK(customer_churn_dataset!K1085),0,MIN(10,MAX(0,customer_churn_dataset!K1085)))</f>
        <v>5</v>
      </c>
      <c r="L1085" s="7" t="n">
        <f aca="false">IF(ISBLANK(customer_churn_dataset!L1085),0,MAX(0,customer_churn_dataset!L1085))</f>
        <v>0</v>
      </c>
      <c r="M1085" s="7" t="n">
        <f aca="false">IF(ISBLANK(customer_churn_dataset!M1085),0,customer_churn_dataset!M1085)</f>
        <v>0</v>
      </c>
      <c r="N1085" s="7" t="n">
        <f aca="false">IF(ISBLANK(customer_churn_dataset!N1085),0,MAX(0,customer_churn_dataset!N1085))</f>
        <v>73.52</v>
      </c>
      <c r="O1085" s="7" t="n">
        <f aca="false">IF(ISBLANK(customer_churn_dataset!O1085),0,customer_churn_dataset!O1085)</f>
        <v>0</v>
      </c>
      <c r="P1085" s="7" t="str">
        <f aca="false">IF(COUNTIF(customer_churn_dataset!$A$2:$A$1501,customer_churn_dataset!A1085)&gt;1,"Duplicate","Unique")</f>
        <v>Unique</v>
      </c>
    </row>
    <row r="1086" customFormat="false" ht="14.15" hidden="false" customHeight="true" outlineLevel="0" collapsed="false">
      <c r="A1086" s="7" t="str">
        <f aca="false">TRIM(customer_churn_dataset!A1086)</f>
        <v>CUST100952</v>
      </c>
      <c r="B1086" s="7" t="str">
        <f aca="false">PROPER(TRIM(customer_churn_dataset!B1086))</f>
        <v>Basic</v>
      </c>
      <c r="C1086" s="7" t="str">
        <f aca="false">PROPER(TRIM(customer_churn_dataset!C1086))</f>
        <v>Month-To-Month</v>
      </c>
      <c r="D1086" s="7" t="n">
        <f aca="false">IF(ISBLANK(customer_churn_dataset!D1086),ROUND(MEDIAN(customer_churn_dataset!D$2:D$1501),2),IF(customer_churn_dataset!D1086&lt;0,ABS(customer_churn_dataset!D1086),customer_churn_dataset!D1086))</f>
        <v>10.03</v>
      </c>
      <c r="E1086" s="7" t="n">
        <f aca="false">IF(ISBLANK(customer_churn_dataset!E1086),0,MAX(0,customer_churn_dataset!E1086))</f>
        <v>58</v>
      </c>
      <c r="F1086" s="8" t="n">
        <f aca="false">IF(ISBLANK(customer_churn_dataset!F1086),"",customer_churn_dataset!F1086)</f>
        <v>45246</v>
      </c>
      <c r="G1086" s="7" t="str">
        <f aca="false">PROPER(TRIM(customer_churn_dataset!G1086))</f>
        <v>Credit Card</v>
      </c>
      <c r="H1086" s="7" t="n">
        <f aca="false">IF(ISBLANK(customer_churn_dataset!H1086),0,customer_churn_dataset!H1086)</f>
        <v>1</v>
      </c>
      <c r="I1086" s="7" t="n">
        <f aca="false">IF(ISBLANK(customer_churn_dataset!I1086),ROUND(MEDIAN(customer_churn_dataset!I$2:I$1501),1),MIN(100,MAX(0,customer_churn_dataset!I1086)))</f>
        <v>37.5</v>
      </c>
      <c r="J1086" s="7" t="n">
        <f aca="false">IF(ISBLANK(customer_churn_dataset!J1086),0,MAX(0,customer_churn_dataset!J1086))</f>
        <v>14</v>
      </c>
      <c r="K1086" s="7" t="n">
        <f aca="false">IF(ISBLANK(customer_churn_dataset!K1086),0,MIN(10,MAX(0,customer_churn_dataset!K1086)))</f>
        <v>3</v>
      </c>
      <c r="L1086" s="7" t="n">
        <f aca="false">IF(ISBLANK(customer_churn_dataset!L1086),0,MAX(0,customer_churn_dataset!L1086))</f>
        <v>3</v>
      </c>
      <c r="M1086" s="7" t="n">
        <f aca="false">IF(ISBLANK(customer_churn_dataset!M1086),0,customer_churn_dataset!M1086)</f>
        <v>0</v>
      </c>
      <c r="N1086" s="7" t="n">
        <f aca="false">IF(ISBLANK(customer_churn_dataset!N1086),0,MAX(0,customer_churn_dataset!N1086))</f>
        <v>581.74</v>
      </c>
      <c r="O1086" s="7" t="n">
        <f aca="false">IF(ISBLANK(customer_churn_dataset!O1086),0,customer_churn_dataset!O1086)</f>
        <v>0</v>
      </c>
      <c r="P1086" s="7" t="str">
        <f aca="false">IF(COUNTIF(customer_churn_dataset!$A$2:$A$1501,customer_churn_dataset!A1086)&gt;1,"Duplicate","Unique")</f>
        <v>Unique</v>
      </c>
    </row>
    <row r="1087" customFormat="false" ht="14.15" hidden="false" customHeight="true" outlineLevel="0" collapsed="false">
      <c r="A1087" s="7" t="str">
        <f aca="false">TRIM(customer_churn_dataset!A1087)</f>
        <v>CUST100388</v>
      </c>
      <c r="B1087" s="7" t="str">
        <f aca="false">PROPER(TRIM(customer_churn_dataset!B1087))</f>
        <v>Standard</v>
      </c>
      <c r="C1087" s="7" t="str">
        <f aca="false">PROPER(TRIM(customer_churn_dataset!C1087))</f>
        <v>Month-To-Month</v>
      </c>
      <c r="D1087" s="7" t="n">
        <f aca="false">IF(ISBLANK(customer_churn_dataset!D1087),ROUND(MEDIAN(customer_churn_dataset!D$2:D$1501),2),IF(customer_churn_dataset!D1087&lt;0,ABS(customer_churn_dataset!D1087),customer_churn_dataset!D1087))</f>
        <v>20.76</v>
      </c>
      <c r="E1087" s="7" t="n">
        <f aca="false">IF(ISBLANK(customer_churn_dataset!E1087),0,MAX(0,customer_churn_dataset!E1087))</f>
        <v>43</v>
      </c>
      <c r="F1087" s="8" t="n">
        <f aca="false">IF(ISBLANK(customer_churn_dataset!F1087),"",customer_churn_dataset!F1087)</f>
        <v>45246</v>
      </c>
      <c r="G1087" s="7" t="str">
        <f aca="false">PROPER(TRIM(customer_churn_dataset!G1087))</f>
        <v>Credit Card</v>
      </c>
      <c r="H1087" s="7" t="n">
        <f aca="false">IF(ISBLANK(customer_churn_dataset!H1087),0,customer_churn_dataset!H1087)</f>
        <v>1</v>
      </c>
      <c r="I1087" s="7" t="n">
        <f aca="false">IF(ISBLANK(customer_churn_dataset!I1087),ROUND(MEDIAN(customer_churn_dataset!I$2:I$1501),1),MIN(100,MAX(0,customer_churn_dataset!I1087)))</f>
        <v>37.4</v>
      </c>
      <c r="J1087" s="7" t="n">
        <f aca="false">IF(ISBLANK(customer_churn_dataset!J1087),0,MAX(0,customer_churn_dataset!J1087))</f>
        <v>13</v>
      </c>
      <c r="K1087" s="7" t="n">
        <f aca="false">IF(ISBLANK(customer_churn_dataset!K1087),0,MIN(10,MAX(0,customer_churn_dataset!K1087)))</f>
        <v>1</v>
      </c>
      <c r="L1087" s="7" t="n">
        <f aca="false">IF(ISBLANK(customer_churn_dataset!L1087),0,MAX(0,customer_churn_dataset!L1087))</f>
        <v>4</v>
      </c>
      <c r="M1087" s="7" t="n">
        <f aca="false">IF(ISBLANK(customer_churn_dataset!M1087),0,customer_churn_dataset!M1087)</f>
        <v>0</v>
      </c>
      <c r="N1087" s="7" t="n">
        <f aca="false">IF(ISBLANK(customer_churn_dataset!N1087),0,MAX(0,customer_churn_dataset!N1087))</f>
        <v>892.68</v>
      </c>
      <c r="O1087" s="7" t="n">
        <f aca="false">IF(ISBLANK(customer_churn_dataset!O1087),0,customer_churn_dataset!O1087)</f>
        <v>1</v>
      </c>
      <c r="P1087" s="7" t="str">
        <f aca="false">IF(COUNTIF(customer_churn_dataset!$A$2:$A$1501,customer_churn_dataset!A1087)&gt;1,"Duplicate","Unique")</f>
        <v>Unique</v>
      </c>
    </row>
    <row r="1088" customFormat="false" ht="14.15" hidden="false" customHeight="true" outlineLevel="0" collapsed="false">
      <c r="A1088" s="7" t="str">
        <f aca="false">TRIM(customer_churn_dataset!A1088)</f>
        <v>CUST100991</v>
      </c>
      <c r="B1088" s="7" t="str">
        <f aca="false">PROPER(TRIM(customer_churn_dataset!B1088))</f>
        <v>Standard</v>
      </c>
      <c r="C1088" s="7" t="str">
        <f aca="false">PROPER(TRIM(customer_churn_dataset!C1088))</f>
        <v>One Year</v>
      </c>
      <c r="D1088" s="7" t="n">
        <f aca="false">IF(ISBLANK(customer_churn_dataset!D1088),ROUND(MEDIAN(customer_churn_dataset!D$2:D$1501),2),IF(customer_churn_dataset!D1088&lt;0,ABS(customer_churn_dataset!D1088),customer_churn_dataset!D1088))</f>
        <v>21.65</v>
      </c>
      <c r="E1088" s="7" t="n">
        <f aca="false">IF(ISBLANK(customer_churn_dataset!E1088),0,MAX(0,customer_churn_dataset!E1088))</f>
        <v>0</v>
      </c>
      <c r="F1088" s="8" t="n">
        <f aca="false">IF(ISBLANK(customer_churn_dataset!F1088),"",customer_churn_dataset!F1088)</f>
        <v>45248</v>
      </c>
      <c r="G1088" s="7" t="str">
        <f aca="false">PROPER(TRIM(customer_churn_dataset!G1088))</f>
        <v>Manual/Invoice</v>
      </c>
      <c r="H1088" s="7" t="n">
        <f aca="false">IF(ISBLANK(customer_churn_dataset!H1088),0,customer_churn_dataset!H1088)</f>
        <v>1</v>
      </c>
      <c r="I1088" s="7" t="n">
        <f aca="false">IF(ISBLANK(customer_churn_dataset!I1088),ROUND(MEDIAN(customer_churn_dataset!I$2:I$1501),1),MIN(100,MAX(0,customer_churn_dataset!I1088)))</f>
        <v>55.7</v>
      </c>
      <c r="J1088" s="7" t="n">
        <f aca="false">IF(ISBLANK(customer_churn_dataset!J1088),0,MAX(0,customer_churn_dataset!J1088))</f>
        <v>18</v>
      </c>
      <c r="K1088" s="7" t="n">
        <f aca="false">IF(ISBLANK(customer_churn_dataset!K1088),0,MIN(10,MAX(0,customer_churn_dataset!K1088)))</f>
        <v>5</v>
      </c>
      <c r="L1088" s="7" t="n">
        <f aca="false">IF(ISBLANK(customer_churn_dataset!L1088),0,MAX(0,customer_churn_dataset!L1088))</f>
        <v>2</v>
      </c>
      <c r="M1088" s="7" t="n">
        <f aca="false">IF(ISBLANK(customer_churn_dataset!M1088),0,customer_churn_dataset!M1088)</f>
        <v>1</v>
      </c>
      <c r="N1088" s="7" t="n">
        <f aca="false">IF(ISBLANK(customer_churn_dataset!N1088),0,MAX(0,customer_churn_dataset!N1088))</f>
        <v>0</v>
      </c>
      <c r="O1088" s="7" t="n">
        <f aca="false">IF(ISBLANK(customer_churn_dataset!O1088),0,customer_churn_dataset!O1088)</f>
        <v>0</v>
      </c>
      <c r="P1088" s="7" t="str">
        <f aca="false">IF(COUNTIF(customer_churn_dataset!$A$2:$A$1501,customer_churn_dataset!A1088)&gt;1,"Duplicate","Unique")</f>
        <v>Unique</v>
      </c>
    </row>
    <row r="1089" customFormat="false" ht="14.15" hidden="false" customHeight="true" outlineLevel="0" collapsed="false">
      <c r="A1089" s="7" t="str">
        <f aca="false">TRIM(customer_churn_dataset!A1089)</f>
        <v>CUST100116</v>
      </c>
      <c r="B1089" s="7" t="str">
        <f aca="false">PROPER(TRIM(customer_churn_dataset!B1089))</f>
        <v>Premium</v>
      </c>
      <c r="C1089" s="7" t="str">
        <f aca="false">PROPER(TRIM(customer_churn_dataset!C1089))</f>
        <v>Month-To-Month</v>
      </c>
      <c r="D1089" s="7" t="n">
        <f aca="false">IF(ISBLANK(customer_churn_dataset!D1089),ROUND(MEDIAN(customer_churn_dataset!D$2:D$1501),2),IF(customer_churn_dataset!D1089&lt;0,ABS(customer_churn_dataset!D1089),customer_churn_dataset!D1089))</f>
        <v>42.31</v>
      </c>
      <c r="E1089" s="7" t="n">
        <f aca="false">IF(ISBLANK(customer_churn_dataset!E1089),0,MAX(0,customer_churn_dataset!E1089))</f>
        <v>23</v>
      </c>
      <c r="F1089" s="8" t="n">
        <f aca="false">IF(ISBLANK(customer_churn_dataset!F1089),"",customer_churn_dataset!F1089)</f>
        <v>45254</v>
      </c>
      <c r="G1089" s="7" t="str">
        <f aca="false">PROPER(TRIM(customer_churn_dataset!G1089))</f>
        <v>Paypal</v>
      </c>
      <c r="H1089" s="7" t="n">
        <f aca="false">IF(ISBLANK(customer_churn_dataset!H1089),0,customer_churn_dataset!H1089)</f>
        <v>1</v>
      </c>
      <c r="I1089" s="7" t="n">
        <f aca="false">IF(ISBLANK(customer_churn_dataset!I1089),ROUND(MEDIAN(customer_churn_dataset!I$2:I$1501),1),MIN(100,MAX(0,customer_churn_dataset!I1089)))</f>
        <v>100</v>
      </c>
      <c r="J1089" s="7" t="n">
        <f aca="false">IF(ISBLANK(customer_churn_dataset!J1089),0,MAX(0,customer_churn_dataset!J1089))</f>
        <v>28</v>
      </c>
      <c r="K1089" s="7" t="n">
        <f aca="false">IF(ISBLANK(customer_churn_dataset!K1089),0,MIN(10,MAX(0,customer_churn_dataset!K1089)))</f>
        <v>10</v>
      </c>
      <c r="L1089" s="7" t="n">
        <f aca="false">IF(ISBLANK(customer_churn_dataset!L1089),0,MAX(0,customer_churn_dataset!L1089))</f>
        <v>3</v>
      </c>
      <c r="M1089" s="7" t="n">
        <f aca="false">IF(ISBLANK(customer_churn_dataset!M1089),0,customer_churn_dataset!M1089)</f>
        <v>0</v>
      </c>
      <c r="N1089" s="7" t="n">
        <f aca="false">IF(ISBLANK(customer_churn_dataset!N1089),0,MAX(0,customer_churn_dataset!N1089))</f>
        <v>973.13</v>
      </c>
      <c r="O1089" s="7" t="n">
        <f aca="false">IF(ISBLANK(customer_churn_dataset!O1089),0,customer_churn_dataset!O1089)</f>
        <v>0</v>
      </c>
      <c r="P1089" s="7" t="str">
        <f aca="false">IF(COUNTIF(customer_churn_dataset!$A$2:$A$1501,customer_churn_dataset!A1089)&gt;1,"Duplicate","Unique")</f>
        <v>Unique</v>
      </c>
    </row>
    <row r="1090" customFormat="false" ht="14.15" hidden="false" customHeight="true" outlineLevel="0" collapsed="false">
      <c r="A1090" s="7" t="str">
        <f aca="false">TRIM(customer_churn_dataset!A1090)</f>
        <v>CUST100657</v>
      </c>
      <c r="B1090" s="7" t="str">
        <f aca="false">PROPER(TRIM(customer_churn_dataset!B1090))</f>
        <v>Basic</v>
      </c>
      <c r="C1090" s="7" t="str">
        <f aca="false">PROPER(TRIM(customer_churn_dataset!C1090))</f>
        <v>One Year</v>
      </c>
      <c r="D1090" s="7" t="n">
        <f aca="false">IF(ISBLANK(customer_churn_dataset!D1090),ROUND(MEDIAN(customer_churn_dataset!D$2:D$1501),2),IF(customer_churn_dataset!D1090&lt;0,ABS(customer_churn_dataset!D1090),customer_churn_dataset!D1090))</f>
        <v>9.27</v>
      </c>
      <c r="E1090" s="7" t="n">
        <f aca="false">IF(ISBLANK(customer_churn_dataset!E1090),0,MAX(0,customer_churn_dataset!E1090))</f>
        <v>13</v>
      </c>
      <c r="F1090" s="8" t="n">
        <f aca="false">IF(ISBLANK(customer_churn_dataset!F1090),"",customer_churn_dataset!F1090)</f>
        <v>45255</v>
      </c>
      <c r="G1090" s="7" t="str">
        <f aca="false">PROPER(TRIM(customer_churn_dataset!G1090))</f>
        <v>Bank Transfer</v>
      </c>
      <c r="H1090" s="7" t="n">
        <f aca="false">IF(ISBLANK(customer_churn_dataset!H1090),0,customer_churn_dataset!H1090)</f>
        <v>0</v>
      </c>
      <c r="I1090" s="7" t="n">
        <f aca="false">IF(ISBLANK(customer_churn_dataset!I1090),ROUND(MEDIAN(customer_churn_dataset!I$2:I$1501),1),MIN(100,MAX(0,customer_churn_dataset!I1090)))</f>
        <v>49.1</v>
      </c>
      <c r="J1090" s="7" t="n">
        <f aca="false">IF(ISBLANK(customer_churn_dataset!J1090),0,MAX(0,customer_churn_dataset!J1090))</f>
        <v>11</v>
      </c>
      <c r="K1090" s="7" t="n">
        <f aca="false">IF(ISBLANK(customer_churn_dataset!K1090),0,MIN(10,MAX(0,customer_churn_dataset!K1090)))</f>
        <v>4</v>
      </c>
      <c r="L1090" s="7" t="n">
        <f aca="false">IF(ISBLANK(customer_churn_dataset!L1090),0,MAX(0,customer_churn_dataset!L1090))</f>
        <v>0</v>
      </c>
      <c r="M1090" s="7" t="n">
        <f aca="false">IF(ISBLANK(customer_churn_dataset!M1090),0,customer_churn_dataset!M1090)</f>
        <v>0</v>
      </c>
      <c r="N1090" s="7" t="n">
        <f aca="false">IF(ISBLANK(customer_churn_dataset!N1090),0,MAX(0,customer_churn_dataset!N1090))</f>
        <v>120.51</v>
      </c>
      <c r="O1090" s="7" t="n">
        <f aca="false">IF(ISBLANK(customer_churn_dataset!O1090),0,customer_churn_dataset!O1090)</f>
        <v>0</v>
      </c>
      <c r="P1090" s="7" t="str">
        <f aca="false">IF(COUNTIF(customer_churn_dataset!$A$2:$A$1501,customer_churn_dataset!A1090)&gt;1,"Duplicate","Unique")</f>
        <v>Unique</v>
      </c>
    </row>
    <row r="1091" customFormat="false" ht="14.15" hidden="false" customHeight="true" outlineLevel="0" collapsed="false">
      <c r="A1091" s="7" t="str">
        <f aca="false">TRIM(customer_churn_dataset!A1091)</f>
        <v>CUST101077</v>
      </c>
      <c r="B1091" s="7" t="str">
        <f aca="false">PROPER(TRIM(customer_churn_dataset!B1091))</f>
        <v>Standard</v>
      </c>
      <c r="C1091" s="7" t="str">
        <f aca="false">PROPER(TRIM(customer_churn_dataset!C1091))</f>
        <v>Month-To-Month</v>
      </c>
      <c r="D1091" s="7" t="n">
        <f aca="false">IF(ISBLANK(customer_churn_dataset!D1091),ROUND(MEDIAN(customer_churn_dataset!D$2:D$1501),2),IF(customer_churn_dataset!D1091&lt;0,ABS(customer_churn_dataset!D1091),customer_churn_dataset!D1091))</f>
        <v>19.04</v>
      </c>
      <c r="E1091" s="7" t="n">
        <f aca="false">IF(ISBLANK(customer_churn_dataset!E1091),0,MAX(0,customer_churn_dataset!E1091))</f>
        <v>46</v>
      </c>
      <c r="F1091" s="8" t="n">
        <f aca="false">IF(ISBLANK(customer_churn_dataset!F1091),"",customer_churn_dataset!F1091)</f>
        <v>45256</v>
      </c>
      <c r="G1091" s="7" t="str">
        <f aca="false">PROPER(TRIM(customer_churn_dataset!G1091))</f>
        <v>Paypal</v>
      </c>
      <c r="H1091" s="7" t="n">
        <f aca="false">IF(ISBLANK(customer_churn_dataset!H1091),0,customer_churn_dataset!H1091)</f>
        <v>1</v>
      </c>
      <c r="I1091" s="7" t="n">
        <f aca="false">IF(ISBLANK(customer_churn_dataset!I1091),ROUND(MEDIAN(customer_churn_dataset!I$2:I$1501),1),MIN(100,MAX(0,customer_churn_dataset!I1091)))</f>
        <v>53.7</v>
      </c>
      <c r="J1091" s="7" t="n">
        <f aca="false">IF(ISBLANK(customer_churn_dataset!J1091),0,MAX(0,customer_churn_dataset!J1091))</f>
        <v>21</v>
      </c>
      <c r="K1091" s="7" t="n">
        <f aca="false">IF(ISBLANK(customer_churn_dataset!K1091),0,MIN(10,MAX(0,customer_churn_dataset!K1091)))</f>
        <v>6</v>
      </c>
      <c r="L1091" s="7" t="n">
        <f aca="false">IF(ISBLANK(customer_churn_dataset!L1091),0,MAX(0,customer_churn_dataset!L1091))</f>
        <v>1</v>
      </c>
      <c r="M1091" s="7" t="n">
        <f aca="false">IF(ISBLANK(customer_churn_dataset!M1091),0,customer_churn_dataset!M1091)</f>
        <v>0</v>
      </c>
      <c r="N1091" s="7" t="n">
        <f aca="false">IF(ISBLANK(customer_churn_dataset!N1091),0,MAX(0,customer_churn_dataset!N1091))</f>
        <v>875.84</v>
      </c>
      <c r="O1091" s="7" t="n">
        <f aca="false">IF(ISBLANK(customer_churn_dataset!O1091),0,customer_churn_dataset!O1091)</f>
        <v>0</v>
      </c>
      <c r="P1091" s="7" t="str">
        <f aca="false">IF(COUNTIF(customer_churn_dataset!$A$2:$A$1501,customer_churn_dataset!A1091)&gt;1,"Duplicate","Unique")</f>
        <v>Unique</v>
      </c>
    </row>
    <row r="1092" customFormat="false" ht="14.15" hidden="false" customHeight="true" outlineLevel="0" collapsed="false">
      <c r="A1092" s="7" t="str">
        <f aca="false">TRIM(customer_churn_dataset!A1092)</f>
        <v>CUST100343</v>
      </c>
      <c r="B1092" s="7" t="str">
        <f aca="false">PROPER(TRIM(customer_churn_dataset!B1092))</f>
        <v>Basic</v>
      </c>
      <c r="C1092" s="7" t="str">
        <f aca="false">PROPER(TRIM(customer_churn_dataset!C1092))</f>
        <v>Two Year</v>
      </c>
      <c r="D1092" s="7" t="n">
        <f aca="false">IF(ISBLANK(customer_churn_dataset!D1092),ROUND(MEDIAN(customer_churn_dataset!D$2:D$1501),2),IF(customer_churn_dataset!D1092&lt;0,ABS(customer_churn_dataset!D1092),customer_churn_dataset!D1092))</f>
        <v>9.99</v>
      </c>
      <c r="E1092" s="7" t="n">
        <f aca="false">IF(ISBLANK(customer_churn_dataset!E1092),0,MAX(0,customer_churn_dataset!E1092))</f>
        <v>4</v>
      </c>
      <c r="F1092" s="8" t="n">
        <f aca="false">IF(ISBLANK(customer_churn_dataset!F1092),"",customer_churn_dataset!F1092)</f>
        <v>45256</v>
      </c>
      <c r="G1092" s="7" t="str">
        <f aca="false">PROPER(TRIM(customer_churn_dataset!G1092))</f>
        <v>Manual/Invoice</v>
      </c>
      <c r="H1092" s="7" t="n">
        <f aca="false">IF(ISBLANK(customer_churn_dataset!H1092),0,customer_churn_dataset!H1092)</f>
        <v>1</v>
      </c>
      <c r="I1092" s="7" t="n">
        <f aca="false">IF(ISBLANK(customer_churn_dataset!I1092),ROUND(MEDIAN(customer_churn_dataset!I$2:I$1501),1),MIN(100,MAX(0,customer_churn_dataset!I1092)))</f>
        <v>51.5</v>
      </c>
      <c r="J1092" s="7" t="n">
        <f aca="false">IF(ISBLANK(customer_churn_dataset!J1092),0,MAX(0,customer_churn_dataset!J1092))</f>
        <v>19</v>
      </c>
      <c r="K1092" s="7" t="n">
        <f aca="false">IF(ISBLANK(customer_churn_dataset!K1092),0,MIN(10,MAX(0,customer_churn_dataset!K1092)))</f>
        <v>4</v>
      </c>
      <c r="L1092" s="7" t="n">
        <f aca="false">IF(ISBLANK(customer_churn_dataset!L1092),0,MAX(0,customer_churn_dataset!L1092))</f>
        <v>1</v>
      </c>
      <c r="M1092" s="7" t="n">
        <f aca="false">IF(ISBLANK(customer_churn_dataset!M1092),0,customer_churn_dataset!M1092)</f>
        <v>0</v>
      </c>
      <c r="N1092" s="7" t="n">
        <f aca="false">IF(ISBLANK(customer_churn_dataset!N1092),0,MAX(0,customer_churn_dataset!N1092))</f>
        <v>39.96</v>
      </c>
      <c r="O1092" s="7" t="n">
        <f aca="false">IF(ISBLANK(customer_churn_dataset!O1092),0,customer_churn_dataset!O1092)</f>
        <v>0</v>
      </c>
      <c r="P1092" s="7" t="str">
        <f aca="false">IF(COUNTIF(customer_churn_dataset!$A$2:$A$1501,customer_churn_dataset!A1092)&gt;1,"Duplicate","Unique")</f>
        <v>Unique</v>
      </c>
    </row>
    <row r="1093" customFormat="false" ht="14.15" hidden="false" customHeight="true" outlineLevel="0" collapsed="false">
      <c r="A1093" s="7" t="str">
        <f aca="false">TRIM(customer_churn_dataset!A1093)</f>
        <v>CUST100564</v>
      </c>
      <c r="B1093" s="7" t="str">
        <f aca="false">PROPER(TRIM(customer_churn_dataset!B1093))</f>
        <v>Basic</v>
      </c>
      <c r="C1093" s="7" t="str">
        <f aca="false">PROPER(TRIM(customer_churn_dataset!C1093))</f>
        <v>Two Year</v>
      </c>
      <c r="D1093" s="7" t="n">
        <f aca="false">IF(ISBLANK(customer_churn_dataset!D1093),ROUND(MEDIAN(customer_churn_dataset!D$2:D$1501),2),IF(customer_churn_dataset!D1093&lt;0,ABS(customer_churn_dataset!D1093),customer_churn_dataset!D1093))</f>
        <v>9.05</v>
      </c>
      <c r="E1093" s="7" t="n">
        <f aca="false">IF(ISBLANK(customer_churn_dataset!E1093),0,MAX(0,customer_churn_dataset!E1093))</f>
        <v>20</v>
      </c>
      <c r="F1093" s="8" t="n">
        <f aca="false">IF(ISBLANK(customer_churn_dataset!F1093),"",customer_churn_dataset!F1093)</f>
        <v>45258</v>
      </c>
      <c r="G1093" s="7" t="str">
        <f aca="false">PROPER(TRIM(customer_churn_dataset!G1093))</f>
        <v>Credit Card</v>
      </c>
      <c r="H1093" s="7" t="n">
        <f aca="false">IF(ISBLANK(customer_churn_dataset!H1093),0,customer_churn_dataset!H1093)</f>
        <v>1</v>
      </c>
      <c r="I1093" s="7" t="n">
        <f aca="false">IF(ISBLANK(customer_churn_dataset!I1093),ROUND(MEDIAN(customer_churn_dataset!I$2:I$1501),1),MIN(100,MAX(0,customer_churn_dataset!I1093)))</f>
        <v>12.5</v>
      </c>
      <c r="J1093" s="7" t="n">
        <f aca="false">IF(ISBLANK(customer_churn_dataset!J1093),0,MAX(0,customer_churn_dataset!J1093))</f>
        <v>0</v>
      </c>
      <c r="K1093" s="7" t="n">
        <f aca="false">IF(ISBLANK(customer_churn_dataset!K1093),0,MIN(10,MAX(0,customer_churn_dataset!K1093)))</f>
        <v>1</v>
      </c>
      <c r="L1093" s="7" t="n">
        <f aca="false">IF(ISBLANK(customer_churn_dataset!L1093),0,MAX(0,customer_churn_dataset!L1093))</f>
        <v>3</v>
      </c>
      <c r="M1093" s="7" t="n">
        <f aca="false">IF(ISBLANK(customer_churn_dataset!M1093),0,customer_churn_dataset!M1093)</f>
        <v>1</v>
      </c>
      <c r="N1093" s="7" t="n">
        <f aca="false">IF(ISBLANK(customer_churn_dataset!N1093),0,MAX(0,customer_churn_dataset!N1093))</f>
        <v>181</v>
      </c>
      <c r="O1093" s="7" t="n">
        <f aca="false">IF(ISBLANK(customer_churn_dataset!O1093),0,customer_churn_dataset!O1093)</f>
        <v>1</v>
      </c>
      <c r="P1093" s="7" t="str">
        <f aca="false">IF(COUNTIF(customer_churn_dataset!$A$2:$A$1501,customer_churn_dataset!A1093)&gt;1,"Duplicate","Unique")</f>
        <v>Unique</v>
      </c>
    </row>
    <row r="1094" customFormat="false" ht="14.15" hidden="false" customHeight="true" outlineLevel="0" collapsed="false">
      <c r="A1094" s="7" t="str">
        <f aca="false">TRIM(customer_churn_dataset!A1094)</f>
        <v>CUST100570</v>
      </c>
      <c r="B1094" s="7" t="str">
        <f aca="false">PROPER(TRIM(customer_churn_dataset!B1094))</f>
        <v>Standard</v>
      </c>
      <c r="C1094" s="7" t="str">
        <f aca="false">PROPER(TRIM(customer_churn_dataset!C1094))</f>
        <v>Month-To-Month</v>
      </c>
      <c r="D1094" s="7" t="n">
        <f aca="false">IF(ISBLANK(customer_churn_dataset!D1094),ROUND(MEDIAN(customer_churn_dataset!D$2:D$1501),2),IF(customer_churn_dataset!D1094&lt;0,ABS(customer_churn_dataset!D1094),customer_churn_dataset!D1094))</f>
        <v>19.77</v>
      </c>
      <c r="E1094" s="7" t="n">
        <f aca="false">IF(ISBLANK(customer_churn_dataset!E1094),0,MAX(0,customer_churn_dataset!E1094))</f>
        <v>5</v>
      </c>
      <c r="F1094" s="8" t="n">
        <f aca="false">IF(ISBLANK(customer_churn_dataset!F1094),"",customer_churn_dataset!F1094)</f>
        <v>45258</v>
      </c>
      <c r="G1094" s="7" t="str">
        <f aca="false">PROPER(TRIM(customer_churn_dataset!G1094))</f>
        <v>Credit Card</v>
      </c>
      <c r="H1094" s="7" t="n">
        <f aca="false">IF(ISBLANK(customer_churn_dataset!H1094),0,customer_churn_dataset!H1094)</f>
        <v>1</v>
      </c>
      <c r="I1094" s="7" t="n">
        <f aca="false">IF(ISBLANK(customer_churn_dataset!I1094),ROUND(MEDIAN(customer_churn_dataset!I$2:I$1501),1),MIN(100,MAX(0,customer_churn_dataset!I1094)))</f>
        <v>54.4</v>
      </c>
      <c r="J1094" s="7" t="n">
        <f aca="false">IF(ISBLANK(customer_churn_dataset!J1094),0,MAX(0,customer_churn_dataset!J1094))</f>
        <v>10</v>
      </c>
      <c r="K1094" s="7" t="n">
        <f aca="false">IF(ISBLANK(customer_churn_dataset!K1094),0,MIN(10,MAX(0,customer_churn_dataset!K1094)))</f>
        <v>0</v>
      </c>
      <c r="L1094" s="7" t="n">
        <f aca="false">IF(ISBLANK(customer_churn_dataset!L1094),0,MAX(0,customer_churn_dataset!L1094))</f>
        <v>0</v>
      </c>
      <c r="M1094" s="7" t="n">
        <f aca="false">IF(ISBLANK(customer_churn_dataset!M1094),0,customer_churn_dataset!M1094)</f>
        <v>0</v>
      </c>
      <c r="N1094" s="7" t="n">
        <f aca="false">IF(ISBLANK(customer_churn_dataset!N1094),0,MAX(0,customer_churn_dataset!N1094))</f>
        <v>98.85</v>
      </c>
      <c r="O1094" s="7" t="n">
        <f aca="false">IF(ISBLANK(customer_churn_dataset!O1094),0,customer_churn_dataset!O1094)</f>
        <v>0</v>
      </c>
      <c r="P1094" s="7" t="str">
        <f aca="false">IF(COUNTIF(customer_churn_dataset!$A$2:$A$1501,customer_churn_dataset!A1094)&gt;1,"Duplicate","Unique")</f>
        <v>Unique</v>
      </c>
    </row>
    <row r="1095" customFormat="false" ht="14.15" hidden="false" customHeight="true" outlineLevel="0" collapsed="false">
      <c r="A1095" s="7" t="str">
        <f aca="false">TRIM(customer_churn_dataset!A1095)</f>
        <v>CUST101067</v>
      </c>
      <c r="B1095" s="7" t="str">
        <f aca="false">PROPER(TRIM(customer_churn_dataset!B1095))</f>
        <v>Basic</v>
      </c>
      <c r="C1095" s="7" t="str">
        <f aca="false">PROPER(TRIM(customer_churn_dataset!C1095))</f>
        <v>Two Year</v>
      </c>
      <c r="D1095" s="7" t="n">
        <f aca="false">IF(ISBLANK(customer_churn_dataset!D1095),ROUND(MEDIAN(customer_churn_dataset!D$2:D$1501),2),IF(customer_churn_dataset!D1095&lt;0,ABS(customer_churn_dataset!D1095),customer_churn_dataset!D1095))</f>
        <v>9.39</v>
      </c>
      <c r="E1095" s="7" t="n">
        <f aca="false">IF(ISBLANK(customer_churn_dataset!E1095),0,MAX(0,customer_churn_dataset!E1095))</f>
        <v>72</v>
      </c>
      <c r="F1095" s="8" t="n">
        <f aca="false">IF(ISBLANK(customer_churn_dataset!F1095),"",customer_churn_dataset!F1095)</f>
        <v>45259</v>
      </c>
      <c r="G1095" s="7" t="str">
        <f aca="false">PROPER(TRIM(customer_churn_dataset!G1095))</f>
        <v>Credit Card</v>
      </c>
      <c r="H1095" s="7" t="n">
        <f aca="false">IF(ISBLANK(customer_churn_dataset!H1095),0,customer_churn_dataset!H1095)</f>
        <v>0</v>
      </c>
      <c r="I1095" s="7" t="n">
        <f aca="false">IF(ISBLANK(customer_churn_dataset!I1095),ROUND(MEDIAN(customer_churn_dataset!I$2:I$1501),1),MIN(100,MAX(0,customer_churn_dataset!I1095)))</f>
        <v>56.6</v>
      </c>
      <c r="J1095" s="7" t="n">
        <f aca="false">IF(ISBLANK(customer_churn_dataset!J1095),0,MAX(0,customer_churn_dataset!J1095))</f>
        <v>18</v>
      </c>
      <c r="K1095" s="7" t="n">
        <f aca="false">IF(ISBLANK(customer_churn_dataset!K1095),0,MIN(10,MAX(0,customer_churn_dataset!K1095)))</f>
        <v>5</v>
      </c>
      <c r="L1095" s="7" t="n">
        <f aca="false">IF(ISBLANK(customer_churn_dataset!L1095),0,MAX(0,customer_churn_dataset!L1095))</f>
        <v>0</v>
      </c>
      <c r="M1095" s="7" t="n">
        <f aca="false">IF(ISBLANK(customer_churn_dataset!M1095),0,customer_churn_dataset!M1095)</f>
        <v>0</v>
      </c>
      <c r="N1095" s="7" t="n">
        <f aca="false">IF(ISBLANK(customer_churn_dataset!N1095),0,MAX(0,customer_churn_dataset!N1095))</f>
        <v>676.08</v>
      </c>
      <c r="O1095" s="7" t="n">
        <f aca="false">IF(ISBLANK(customer_churn_dataset!O1095),0,customer_churn_dataset!O1095)</f>
        <v>0</v>
      </c>
      <c r="P1095" s="7" t="str">
        <f aca="false">IF(COUNTIF(customer_churn_dataset!$A$2:$A$1501,customer_churn_dataset!A1095)&gt;1,"Duplicate","Unique")</f>
        <v>Unique</v>
      </c>
    </row>
    <row r="1096" customFormat="false" ht="14.15" hidden="false" customHeight="true" outlineLevel="0" collapsed="false">
      <c r="A1096" s="7" t="str">
        <f aca="false">TRIM(customer_churn_dataset!A1096)</f>
        <v>CUST100961</v>
      </c>
      <c r="B1096" s="7" t="str">
        <f aca="false">PROPER(TRIM(customer_churn_dataset!B1096))</f>
        <v>Standard</v>
      </c>
      <c r="C1096" s="7" t="str">
        <f aca="false">PROPER(TRIM(customer_churn_dataset!C1096))</f>
        <v>Two Year</v>
      </c>
      <c r="D1096" s="7" t="n">
        <f aca="false">IF(ISBLANK(customer_churn_dataset!D1096),ROUND(MEDIAN(customer_churn_dataset!D$2:D$1501),2),IF(customer_churn_dataset!D1096&lt;0,ABS(customer_churn_dataset!D1096),customer_churn_dataset!D1096))</f>
        <v>20.77</v>
      </c>
      <c r="E1096" s="7" t="n">
        <f aca="false">IF(ISBLANK(customer_churn_dataset!E1096),0,MAX(0,customer_churn_dataset!E1096))</f>
        <v>1</v>
      </c>
      <c r="F1096" s="8" t="n">
        <f aca="false">IF(ISBLANK(customer_churn_dataset!F1096),"",customer_churn_dataset!F1096)</f>
        <v>45259</v>
      </c>
      <c r="G1096" s="7" t="str">
        <f aca="false">PROPER(TRIM(customer_churn_dataset!G1096))</f>
        <v>Bank Transfer</v>
      </c>
      <c r="H1096" s="7" t="n">
        <f aca="false">IF(ISBLANK(customer_churn_dataset!H1096),0,customer_churn_dataset!H1096)</f>
        <v>1</v>
      </c>
      <c r="I1096" s="7" t="n">
        <f aca="false">IF(ISBLANK(customer_churn_dataset!I1096),ROUND(MEDIAN(customer_churn_dataset!I$2:I$1501),1),MIN(100,MAX(0,customer_churn_dataset!I1096)))</f>
        <v>53.9</v>
      </c>
      <c r="J1096" s="7" t="n">
        <f aca="false">IF(ISBLANK(customer_churn_dataset!J1096),0,MAX(0,customer_churn_dataset!J1096))</f>
        <v>11</v>
      </c>
      <c r="K1096" s="7" t="n">
        <f aca="false">IF(ISBLANK(customer_churn_dataset!K1096),0,MIN(10,MAX(0,customer_churn_dataset!K1096)))</f>
        <v>5</v>
      </c>
      <c r="L1096" s="7" t="n">
        <f aca="false">IF(ISBLANK(customer_churn_dataset!L1096),0,MAX(0,customer_churn_dataset!L1096))</f>
        <v>1</v>
      </c>
      <c r="M1096" s="7" t="n">
        <f aca="false">IF(ISBLANK(customer_churn_dataset!M1096),0,customer_churn_dataset!M1096)</f>
        <v>0</v>
      </c>
      <c r="N1096" s="7" t="n">
        <f aca="false">IF(ISBLANK(customer_churn_dataset!N1096),0,MAX(0,customer_churn_dataset!N1096))</f>
        <v>20.77</v>
      </c>
      <c r="O1096" s="7" t="n">
        <f aca="false">IF(ISBLANK(customer_churn_dataset!O1096),0,customer_churn_dataset!O1096)</f>
        <v>0</v>
      </c>
      <c r="P1096" s="7" t="str">
        <f aca="false">IF(COUNTIF(customer_churn_dataset!$A$2:$A$1501,customer_churn_dataset!A1096)&gt;1,"Duplicate","Unique")</f>
        <v>Unique</v>
      </c>
    </row>
    <row r="1097" customFormat="false" ht="14.15" hidden="false" customHeight="true" outlineLevel="0" collapsed="false">
      <c r="A1097" s="7" t="str">
        <f aca="false">TRIM(customer_churn_dataset!A1097)</f>
        <v>CUST100467</v>
      </c>
      <c r="B1097" s="7" t="str">
        <f aca="false">PROPER(TRIM(customer_churn_dataset!B1097))</f>
        <v>Premium</v>
      </c>
      <c r="C1097" s="7" t="str">
        <f aca="false">PROPER(TRIM(customer_churn_dataset!C1097))</f>
        <v>Month-To-Month</v>
      </c>
      <c r="D1097" s="7" t="n">
        <f aca="false">IF(ISBLANK(customer_churn_dataset!D1097),ROUND(MEDIAN(customer_churn_dataset!D$2:D$1501),2),IF(customer_churn_dataset!D1097&lt;0,ABS(customer_churn_dataset!D1097),customer_churn_dataset!D1097))</f>
        <v>41.27</v>
      </c>
      <c r="E1097" s="7" t="n">
        <f aca="false">IF(ISBLANK(customer_churn_dataset!E1097),0,MAX(0,customer_churn_dataset!E1097))</f>
        <v>7</v>
      </c>
      <c r="F1097" s="8" t="n">
        <f aca="false">IF(ISBLANK(customer_churn_dataset!F1097),"",customer_churn_dataset!F1097)</f>
        <v>45263</v>
      </c>
      <c r="G1097" s="7" t="str">
        <f aca="false">PROPER(TRIM(customer_churn_dataset!G1097))</f>
        <v>Manual/Invoice</v>
      </c>
      <c r="H1097" s="7" t="n">
        <f aca="false">IF(ISBLANK(customer_churn_dataset!H1097),0,customer_churn_dataset!H1097)</f>
        <v>1</v>
      </c>
      <c r="I1097" s="7" t="n">
        <f aca="false">IF(ISBLANK(customer_churn_dataset!I1097),ROUND(MEDIAN(customer_churn_dataset!I$2:I$1501),1),MIN(100,MAX(0,customer_churn_dataset!I1097)))</f>
        <v>50.7</v>
      </c>
      <c r="J1097" s="7" t="n">
        <f aca="false">IF(ISBLANK(customer_churn_dataset!J1097),0,MAX(0,customer_churn_dataset!J1097))</f>
        <v>18</v>
      </c>
      <c r="K1097" s="7" t="n">
        <f aca="false">IF(ISBLANK(customer_churn_dataset!K1097),0,MIN(10,MAX(0,customer_churn_dataset!K1097)))</f>
        <v>4</v>
      </c>
      <c r="L1097" s="7" t="n">
        <f aca="false">IF(ISBLANK(customer_churn_dataset!L1097),0,MAX(0,customer_churn_dataset!L1097))</f>
        <v>3</v>
      </c>
      <c r="M1097" s="7" t="n">
        <f aca="false">IF(ISBLANK(customer_churn_dataset!M1097),0,customer_churn_dataset!M1097)</f>
        <v>0</v>
      </c>
      <c r="N1097" s="7" t="n">
        <f aca="false">IF(ISBLANK(customer_churn_dataset!N1097),0,MAX(0,customer_churn_dataset!N1097))</f>
        <v>288.89</v>
      </c>
      <c r="O1097" s="7" t="n">
        <f aca="false">IF(ISBLANK(customer_churn_dataset!O1097),0,customer_churn_dataset!O1097)</f>
        <v>0</v>
      </c>
      <c r="P1097" s="7" t="str">
        <f aca="false">IF(COUNTIF(customer_churn_dataset!$A$2:$A$1501,customer_churn_dataset!A1097)&gt;1,"Duplicate","Unique")</f>
        <v>Unique</v>
      </c>
    </row>
    <row r="1098" customFormat="false" ht="14.15" hidden="false" customHeight="true" outlineLevel="0" collapsed="false">
      <c r="A1098" s="7" t="str">
        <f aca="false">TRIM(customer_churn_dataset!A1098)</f>
        <v>CUST100843</v>
      </c>
      <c r="B1098" s="7" t="str">
        <f aca="false">PROPER(TRIM(customer_churn_dataset!B1098))</f>
        <v>Premium</v>
      </c>
      <c r="C1098" s="7" t="str">
        <f aca="false">PROPER(TRIM(customer_churn_dataset!C1098))</f>
        <v>Month-To-Month</v>
      </c>
      <c r="D1098" s="7" t="n">
        <f aca="false">IF(ISBLANK(customer_churn_dataset!D1098),ROUND(MEDIAN(customer_churn_dataset!D$2:D$1501),2),IF(customer_churn_dataset!D1098&lt;0,ABS(customer_churn_dataset!D1098),customer_churn_dataset!D1098))</f>
        <v>39.68</v>
      </c>
      <c r="E1098" s="7" t="n">
        <f aca="false">IF(ISBLANK(customer_churn_dataset!E1098),0,MAX(0,customer_churn_dataset!E1098))</f>
        <v>52</v>
      </c>
      <c r="F1098" s="8" t="n">
        <f aca="false">IF(ISBLANK(customer_churn_dataset!F1098),"",customer_churn_dataset!F1098)</f>
        <v>45264</v>
      </c>
      <c r="G1098" s="7" t="str">
        <f aca="false">PROPER(TRIM(customer_churn_dataset!G1098))</f>
        <v>Bank Transfer</v>
      </c>
      <c r="H1098" s="7" t="n">
        <f aca="false">IF(ISBLANK(customer_churn_dataset!H1098),0,customer_churn_dataset!H1098)</f>
        <v>0</v>
      </c>
      <c r="I1098" s="7" t="n">
        <f aca="false">IF(ISBLANK(customer_churn_dataset!I1098),ROUND(MEDIAN(customer_churn_dataset!I$2:I$1501),1),MIN(100,MAX(0,customer_churn_dataset!I1098)))</f>
        <v>24.6</v>
      </c>
      <c r="J1098" s="7" t="n">
        <f aca="false">IF(ISBLANK(customer_churn_dataset!J1098),0,MAX(0,customer_churn_dataset!J1098))</f>
        <v>7</v>
      </c>
      <c r="K1098" s="7" t="n">
        <f aca="false">IF(ISBLANK(customer_churn_dataset!K1098),0,MIN(10,MAX(0,customer_churn_dataset!K1098)))</f>
        <v>3</v>
      </c>
      <c r="L1098" s="7" t="n">
        <f aca="false">IF(ISBLANK(customer_churn_dataset!L1098),0,MAX(0,customer_churn_dataset!L1098))</f>
        <v>2</v>
      </c>
      <c r="M1098" s="7" t="n">
        <f aca="false">IF(ISBLANK(customer_churn_dataset!M1098),0,customer_churn_dataset!M1098)</f>
        <v>1</v>
      </c>
      <c r="N1098" s="7" t="n">
        <f aca="false">IF(ISBLANK(customer_churn_dataset!N1098),0,MAX(0,customer_churn_dataset!N1098))</f>
        <v>2063.36</v>
      </c>
      <c r="O1098" s="7" t="n">
        <f aca="false">IF(ISBLANK(customer_churn_dataset!O1098),0,customer_churn_dataset!O1098)</f>
        <v>0</v>
      </c>
      <c r="P1098" s="7" t="str">
        <f aca="false">IF(COUNTIF(customer_churn_dataset!$A$2:$A$1501,customer_churn_dataset!A1098)&gt;1,"Duplicate","Unique")</f>
        <v>Unique</v>
      </c>
    </row>
    <row r="1099" customFormat="false" ht="14.15" hidden="false" customHeight="true" outlineLevel="0" collapsed="false">
      <c r="A1099" s="7" t="str">
        <f aca="false">TRIM(customer_churn_dataset!A1099)</f>
        <v>CUST100446</v>
      </c>
      <c r="B1099" s="7" t="str">
        <f aca="false">PROPER(TRIM(customer_churn_dataset!B1099))</f>
        <v>Premium</v>
      </c>
      <c r="C1099" s="7" t="str">
        <f aca="false">PROPER(TRIM(customer_churn_dataset!C1099))</f>
        <v>Month-To-Month</v>
      </c>
      <c r="D1099" s="7" t="n">
        <f aca="false">IF(ISBLANK(customer_churn_dataset!D1099),ROUND(MEDIAN(customer_churn_dataset!D$2:D$1501),2),IF(customer_churn_dataset!D1099&lt;0,ABS(customer_churn_dataset!D1099),customer_churn_dataset!D1099))</f>
        <v>40.11</v>
      </c>
      <c r="E1099" s="7" t="n">
        <f aca="false">IF(ISBLANK(customer_churn_dataset!E1099),0,MAX(0,customer_churn_dataset!E1099))</f>
        <v>57</v>
      </c>
      <c r="F1099" s="8" t="n">
        <f aca="false">IF(ISBLANK(customer_churn_dataset!F1099),"",customer_churn_dataset!F1099)</f>
        <v>45264</v>
      </c>
      <c r="G1099" s="7" t="str">
        <f aca="false">PROPER(TRIM(customer_churn_dataset!G1099))</f>
        <v>Credit Card</v>
      </c>
      <c r="H1099" s="7" t="n">
        <f aca="false">IF(ISBLANK(customer_churn_dataset!H1099),0,customer_churn_dataset!H1099)</f>
        <v>0</v>
      </c>
      <c r="I1099" s="7" t="n">
        <f aca="false">IF(ISBLANK(customer_churn_dataset!I1099),ROUND(MEDIAN(customer_churn_dataset!I$2:I$1501),1),MIN(100,MAX(0,customer_churn_dataset!I1099)))</f>
        <v>66.1</v>
      </c>
      <c r="J1099" s="7" t="n">
        <f aca="false">IF(ISBLANK(customer_churn_dataset!J1099),0,MAX(0,customer_churn_dataset!J1099))</f>
        <v>22</v>
      </c>
      <c r="K1099" s="7" t="n">
        <f aca="false">IF(ISBLANK(customer_churn_dataset!K1099),0,MIN(10,MAX(0,customer_churn_dataset!K1099)))</f>
        <v>7</v>
      </c>
      <c r="L1099" s="7" t="n">
        <f aca="false">IF(ISBLANK(customer_churn_dataset!L1099),0,MAX(0,customer_churn_dataset!L1099))</f>
        <v>1</v>
      </c>
      <c r="M1099" s="7" t="n">
        <f aca="false">IF(ISBLANK(customer_churn_dataset!M1099),0,customer_churn_dataset!M1099)</f>
        <v>0</v>
      </c>
      <c r="N1099" s="7" t="n">
        <f aca="false">IF(ISBLANK(customer_churn_dataset!N1099),0,MAX(0,customer_churn_dataset!N1099))</f>
        <v>2286.27</v>
      </c>
      <c r="O1099" s="7" t="n">
        <f aca="false">IF(ISBLANK(customer_churn_dataset!O1099),0,customer_churn_dataset!O1099)</f>
        <v>0</v>
      </c>
      <c r="P1099" s="7" t="str">
        <f aca="false">IF(COUNTIF(customer_churn_dataset!$A$2:$A$1501,customer_churn_dataset!A1099)&gt;1,"Duplicate","Unique")</f>
        <v>Unique</v>
      </c>
    </row>
    <row r="1100" customFormat="false" ht="14.15" hidden="false" customHeight="true" outlineLevel="0" collapsed="false">
      <c r="A1100" s="7" t="str">
        <f aca="false">TRIM(customer_churn_dataset!A1100)</f>
        <v>CUST100286</v>
      </c>
      <c r="B1100" s="7" t="str">
        <f aca="false">PROPER(TRIM(customer_churn_dataset!B1100))</f>
        <v>Standard</v>
      </c>
      <c r="C1100" s="7" t="str">
        <f aca="false">PROPER(TRIM(customer_churn_dataset!C1100))</f>
        <v>One Year</v>
      </c>
      <c r="D1100" s="7" t="n">
        <f aca="false">IF(ISBLANK(customer_churn_dataset!D1100),ROUND(MEDIAN(customer_churn_dataset!D$2:D$1501),2),IF(customer_churn_dataset!D1100&lt;0,ABS(customer_churn_dataset!D1100),customer_churn_dataset!D1100))</f>
        <v>19.46</v>
      </c>
      <c r="E1100" s="7" t="n">
        <f aca="false">IF(ISBLANK(customer_churn_dataset!E1100),0,MAX(0,customer_churn_dataset!E1100))</f>
        <v>52</v>
      </c>
      <c r="F1100" s="8" t="n">
        <f aca="false">IF(ISBLANK(customer_churn_dataset!F1100),"",customer_churn_dataset!F1100)</f>
        <v>45265</v>
      </c>
      <c r="G1100" s="7" t="str">
        <f aca="false">PROPER(TRIM(customer_churn_dataset!G1100))</f>
        <v>Credit Card</v>
      </c>
      <c r="H1100" s="7" t="n">
        <f aca="false">IF(ISBLANK(customer_churn_dataset!H1100),0,customer_churn_dataset!H1100)</f>
        <v>1</v>
      </c>
      <c r="I1100" s="7" t="n">
        <f aca="false">IF(ISBLANK(customer_churn_dataset!I1100),ROUND(MEDIAN(customer_churn_dataset!I$2:I$1501),1),MIN(100,MAX(0,customer_churn_dataset!I1100)))</f>
        <v>50.4</v>
      </c>
      <c r="J1100" s="7" t="n">
        <f aca="false">IF(ISBLANK(customer_churn_dataset!J1100),0,MAX(0,customer_churn_dataset!J1100))</f>
        <v>16</v>
      </c>
      <c r="K1100" s="7" t="n">
        <f aca="false">IF(ISBLANK(customer_churn_dataset!K1100),0,MIN(10,MAX(0,customer_churn_dataset!K1100)))</f>
        <v>5</v>
      </c>
      <c r="L1100" s="7" t="n">
        <f aca="false">IF(ISBLANK(customer_churn_dataset!L1100),0,MAX(0,customer_churn_dataset!L1100))</f>
        <v>1</v>
      </c>
      <c r="M1100" s="7" t="n">
        <f aca="false">IF(ISBLANK(customer_churn_dataset!M1100),0,customer_churn_dataset!M1100)</f>
        <v>1</v>
      </c>
      <c r="N1100" s="7" t="n">
        <f aca="false">IF(ISBLANK(customer_churn_dataset!N1100),0,MAX(0,customer_churn_dataset!N1100))</f>
        <v>1011.92</v>
      </c>
      <c r="O1100" s="7" t="n">
        <f aca="false">IF(ISBLANK(customer_churn_dataset!O1100),0,customer_churn_dataset!O1100)</f>
        <v>0</v>
      </c>
      <c r="P1100" s="7" t="str">
        <f aca="false">IF(COUNTIF(customer_churn_dataset!$A$2:$A$1501,customer_churn_dataset!A1100)&gt;1,"Duplicate","Unique")</f>
        <v>Unique</v>
      </c>
    </row>
    <row r="1101" customFormat="false" ht="14.15" hidden="false" customHeight="true" outlineLevel="0" collapsed="false">
      <c r="A1101" s="7" t="str">
        <f aca="false">TRIM(customer_churn_dataset!A1101)</f>
        <v>CUST100553</v>
      </c>
      <c r="B1101" s="7" t="str">
        <f aca="false">PROPER(TRIM(customer_churn_dataset!B1101))</f>
        <v>Standard</v>
      </c>
      <c r="C1101" s="7" t="str">
        <f aca="false">PROPER(TRIM(customer_churn_dataset!C1101))</f>
        <v>One Year</v>
      </c>
      <c r="D1101" s="7" t="n">
        <f aca="false">IF(ISBLANK(customer_churn_dataset!D1101),ROUND(MEDIAN(customer_churn_dataset!D$2:D$1501),2),IF(customer_churn_dataset!D1101&lt;0,ABS(customer_churn_dataset!D1101),customer_churn_dataset!D1101))</f>
        <v>20.84</v>
      </c>
      <c r="E1101" s="7" t="n">
        <f aca="false">IF(ISBLANK(customer_churn_dataset!E1101),0,MAX(0,customer_churn_dataset!E1101))</f>
        <v>8</v>
      </c>
      <c r="F1101" s="8" t="n">
        <f aca="false">IF(ISBLANK(customer_churn_dataset!F1101),"",customer_churn_dataset!F1101)</f>
        <v>45265</v>
      </c>
      <c r="G1101" s="7" t="str">
        <f aca="false">PROPER(TRIM(customer_churn_dataset!G1101))</f>
        <v>Credit Card</v>
      </c>
      <c r="H1101" s="7" t="n">
        <f aca="false">IF(ISBLANK(customer_churn_dataset!H1101),0,customer_churn_dataset!H1101)</f>
        <v>1</v>
      </c>
      <c r="I1101" s="7" t="n">
        <f aca="false">IF(ISBLANK(customer_churn_dataset!I1101),ROUND(MEDIAN(customer_churn_dataset!I$2:I$1501),1),MIN(100,MAX(0,customer_churn_dataset!I1101)))</f>
        <v>62.3</v>
      </c>
      <c r="J1101" s="7" t="n">
        <f aca="false">IF(ISBLANK(customer_churn_dataset!J1101),0,MAX(0,customer_churn_dataset!J1101))</f>
        <v>15</v>
      </c>
      <c r="K1101" s="7" t="n">
        <f aca="false">IF(ISBLANK(customer_churn_dataset!K1101),0,MIN(10,MAX(0,customer_churn_dataset!K1101)))</f>
        <v>7</v>
      </c>
      <c r="L1101" s="7" t="n">
        <f aca="false">IF(ISBLANK(customer_churn_dataset!L1101),0,MAX(0,customer_churn_dataset!L1101))</f>
        <v>0</v>
      </c>
      <c r="M1101" s="7" t="n">
        <f aca="false">IF(ISBLANK(customer_churn_dataset!M1101),0,customer_churn_dataset!M1101)</f>
        <v>0</v>
      </c>
      <c r="N1101" s="7" t="n">
        <f aca="false">IF(ISBLANK(customer_churn_dataset!N1101),0,MAX(0,customer_churn_dataset!N1101))</f>
        <v>166.72</v>
      </c>
      <c r="O1101" s="7" t="n">
        <f aca="false">IF(ISBLANK(customer_churn_dataset!O1101),0,customer_churn_dataset!O1101)</f>
        <v>0</v>
      </c>
      <c r="P1101" s="7" t="str">
        <f aca="false">IF(COUNTIF(customer_churn_dataset!$A$2:$A$1501,customer_churn_dataset!A1101)&gt;1,"Duplicate","Unique")</f>
        <v>Unique</v>
      </c>
    </row>
    <row r="1102" customFormat="false" ht="14.15" hidden="false" customHeight="true" outlineLevel="0" collapsed="false">
      <c r="A1102" s="7" t="str">
        <f aca="false">TRIM(customer_churn_dataset!A1102)</f>
        <v>CUST100572</v>
      </c>
      <c r="B1102" s="7" t="str">
        <f aca="false">PROPER(TRIM(customer_churn_dataset!B1102))</f>
        <v>Basic</v>
      </c>
      <c r="C1102" s="7" t="str">
        <f aca="false">PROPER(TRIM(customer_churn_dataset!C1102))</f>
        <v>Month-To-Month</v>
      </c>
      <c r="D1102" s="7" t="n">
        <f aca="false">IF(ISBLANK(customer_churn_dataset!D1102),ROUND(MEDIAN(customer_churn_dataset!D$2:D$1501),2),IF(customer_churn_dataset!D1102&lt;0,ABS(customer_churn_dataset!D1102),customer_churn_dataset!D1102))</f>
        <v>9.97</v>
      </c>
      <c r="E1102" s="7" t="n">
        <f aca="false">IF(ISBLANK(customer_churn_dataset!E1102),0,MAX(0,customer_churn_dataset!E1102))</f>
        <v>0</v>
      </c>
      <c r="F1102" s="8" t="n">
        <f aca="false">IF(ISBLANK(customer_churn_dataset!F1102),"",customer_churn_dataset!F1102)</f>
        <v>45265</v>
      </c>
      <c r="G1102" s="7" t="str">
        <f aca="false">PROPER(TRIM(customer_churn_dataset!G1102))</f>
        <v>Paypal</v>
      </c>
      <c r="H1102" s="7" t="n">
        <f aca="false">IF(ISBLANK(customer_churn_dataset!H1102),0,customer_churn_dataset!H1102)</f>
        <v>1</v>
      </c>
      <c r="I1102" s="7" t="n">
        <f aca="false">IF(ISBLANK(customer_churn_dataset!I1102),ROUND(MEDIAN(customer_churn_dataset!I$2:I$1501),1),MIN(100,MAX(0,customer_churn_dataset!I1102)))</f>
        <v>10.6</v>
      </c>
      <c r="J1102" s="7" t="n">
        <f aca="false">IF(ISBLANK(customer_churn_dataset!J1102),0,MAX(0,customer_churn_dataset!J1102))</f>
        <v>1</v>
      </c>
      <c r="K1102" s="7" t="n">
        <f aca="false">IF(ISBLANK(customer_churn_dataset!K1102),0,MIN(10,MAX(0,customer_churn_dataset!K1102)))</f>
        <v>0</v>
      </c>
      <c r="L1102" s="7" t="n">
        <f aca="false">IF(ISBLANK(customer_churn_dataset!L1102),0,MAX(0,customer_churn_dataset!L1102))</f>
        <v>2</v>
      </c>
      <c r="M1102" s="7" t="n">
        <f aca="false">IF(ISBLANK(customer_churn_dataset!M1102),0,customer_churn_dataset!M1102)</f>
        <v>0</v>
      </c>
      <c r="N1102" s="7" t="n">
        <f aca="false">IF(ISBLANK(customer_churn_dataset!N1102),0,MAX(0,customer_churn_dataset!N1102))</f>
        <v>0</v>
      </c>
      <c r="O1102" s="7" t="n">
        <f aca="false">IF(ISBLANK(customer_churn_dataset!O1102),0,customer_churn_dataset!O1102)</f>
        <v>1</v>
      </c>
      <c r="P1102" s="7" t="str">
        <f aca="false">IF(COUNTIF(customer_churn_dataset!$A$2:$A$1501,customer_churn_dataset!A1102)&gt;1,"Duplicate","Unique")</f>
        <v>Unique</v>
      </c>
    </row>
    <row r="1103" customFormat="false" ht="14.15" hidden="false" customHeight="true" outlineLevel="0" collapsed="false">
      <c r="A1103" s="7" t="str">
        <f aca="false">TRIM(customer_churn_dataset!A1103)</f>
        <v>CUST101361</v>
      </c>
      <c r="B1103" s="7" t="str">
        <f aca="false">PROPER(TRIM(customer_churn_dataset!B1103))</f>
        <v>Basic</v>
      </c>
      <c r="C1103" s="7" t="str">
        <f aca="false">PROPER(TRIM(customer_churn_dataset!C1103))</f>
        <v>One Year</v>
      </c>
      <c r="D1103" s="7" t="n">
        <f aca="false">IF(ISBLANK(customer_churn_dataset!D1103),ROUND(MEDIAN(customer_churn_dataset!D$2:D$1501),2),IF(customer_churn_dataset!D1103&lt;0,ABS(customer_churn_dataset!D1103),customer_churn_dataset!D1103))</f>
        <v>12.98</v>
      </c>
      <c r="E1103" s="7" t="n">
        <f aca="false">IF(ISBLANK(customer_churn_dataset!E1103),0,MAX(0,customer_churn_dataset!E1103))</f>
        <v>72</v>
      </c>
      <c r="F1103" s="8" t="n">
        <f aca="false">IF(ISBLANK(customer_churn_dataset!F1103),"",customer_churn_dataset!F1103)</f>
        <v>45268</v>
      </c>
      <c r="G1103" s="7" t="str">
        <f aca="false">PROPER(TRIM(customer_churn_dataset!G1103))</f>
        <v>Credit Card</v>
      </c>
      <c r="H1103" s="7" t="n">
        <f aca="false">IF(ISBLANK(customer_churn_dataset!H1103),0,customer_churn_dataset!H1103)</f>
        <v>1</v>
      </c>
      <c r="I1103" s="7" t="n">
        <f aca="false">IF(ISBLANK(customer_churn_dataset!I1103),ROUND(MEDIAN(customer_churn_dataset!I$2:I$1501),1),MIN(100,MAX(0,customer_churn_dataset!I1103)))</f>
        <v>32.4</v>
      </c>
      <c r="J1103" s="7" t="n">
        <f aca="false">IF(ISBLANK(customer_churn_dataset!J1103),0,MAX(0,customer_churn_dataset!J1103))</f>
        <v>10</v>
      </c>
      <c r="K1103" s="7" t="n">
        <f aca="false">IF(ISBLANK(customer_churn_dataset!K1103),0,MIN(10,MAX(0,customer_churn_dataset!K1103)))</f>
        <v>4</v>
      </c>
      <c r="L1103" s="7" t="n">
        <f aca="false">IF(ISBLANK(customer_churn_dataset!L1103),0,MAX(0,customer_churn_dataset!L1103))</f>
        <v>3</v>
      </c>
      <c r="M1103" s="7" t="n">
        <f aca="false">IF(ISBLANK(customer_churn_dataset!M1103),0,customer_churn_dataset!M1103)</f>
        <v>0</v>
      </c>
      <c r="N1103" s="7" t="n">
        <f aca="false">IF(ISBLANK(customer_churn_dataset!N1103),0,MAX(0,customer_churn_dataset!N1103))</f>
        <v>934.56</v>
      </c>
      <c r="O1103" s="7" t="n">
        <f aca="false">IF(ISBLANK(customer_churn_dataset!O1103),0,customer_churn_dataset!O1103)</f>
        <v>0</v>
      </c>
      <c r="P1103" s="7" t="str">
        <f aca="false">IF(COUNTIF(customer_churn_dataset!$A$2:$A$1501,customer_churn_dataset!A1103)&gt;1,"Duplicate","Unique")</f>
        <v>Unique</v>
      </c>
    </row>
    <row r="1104" customFormat="false" ht="14.15" hidden="false" customHeight="true" outlineLevel="0" collapsed="false">
      <c r="A1104" s="7" t="str">
        <f aca="false">TRIM(customer_churn_dataset!A1104)</f>
        <v>CUST101087</v>
      </c>
      <c r="B1104" s="7" t="str">
        <f aca="false">PROPER(TRIM(customer_churn_dataset!B1104))</f>
        <v>Basic</v>
      </c>
      <c r="C1104" s="7" t="str">
        <f aca="false">PROPER(TRIM(customer_churn_dataset!C1104))</f>
        <v>One Year</v>
      </c>
      <c r="D1104" s="7" t="n">
        <f aca="false">IF(ISBLANK(customer_churn_dataset!D1104),ROUND(MEDIAN(customer_churn_dataset!D$2:D$1501),2),IF(customer_churn_dataset!D1104&lt;0,ABS(customer_churn_dataset!D1104),customer_churn_dataset!D1104))</f>
        <v>8.66</v>
      </c>
      <c r="E1104" s="7" t="n">
        <f aca="false">IF(ISBLANK(customer_churn_dataset!E1104),0,MAX(0,customer_churn_dataset!E1104))</f>
        <v>21</v>
      </c>
      <c r="F1104" s="8" t="n">
        <f aca="false">IF(ISBLANK(customer_churn_dataset!F1104),"",customer_churn_dataset!F1104)</f>
        <v>45270</v>
      </c>
      <c r="G1104" s="7" t="str">
        <f aca="false">PROPER(TRIM(customer_churn_dataset!G1104))</f>
        <v>Paypal</v>
      </c>
      <c r="H1104" s="7" t="n">
        <f aca="false">IF(ISBLANK(customer_churn_dataset!H1104),0,customer_churn_dataset!H1104)</f>
        <v>1</v>
      </c>
      <c r="I1104" s="7" t="n">
        <f aca="false">IF(ISBLANK(customer_churn_dataset!I1104),ROUND(MEDIAN(customer_churn_dataset!I$2:I$1501),1),MIN(100,MAX(0,customer_churn_dataset!I1104)))</f>
        <v>75.9</v>
      </c>
      <c r="J1104" s="7" t="n">
        <f aca="false">IF(ISBLANK(customer_churn_dataset!J1104),0,MAX(0,customer_churn_dataset!J1104))</f>
        <v>22</v>
      </c>
      <c r="K1104" s="7" t="n">
        <f aca="false">IF(ISBLANK(customer_churn_dataset!K1104),0,MIN(10,MAX(0,customer_churn_dataset!K1104)))</f>
        <v>8</v>
      </c>
      <c r="L1104" s="7" t="n">
        <f aca="false">IF(ISBLANK(customer_churn_dataset!L1104),0,MAX(0,customer_churn_dataset!L1104))</f>
        <v>1</v>
      </c>
      <c r="M1104" s="7" t="n">
        <f aca="false">IF(ISBLANK(customer_churn_dataset!M1104),0,customer_churn_dataset!M1104)</f>
        <v>1</v>
      </c>
      <c r="N1104" s="7" t="n">
        <f aca="false">IF(ISBLANK(customer_churn_dataset!N1104),0,MAX(0,customer_churn_dataset!N1104))</f>
        <v>181.86</v>
      </c>
      <c r="O1104" s="7" t="n">
        <f aca="false">IF(ISBLANK(customer_churn_dataset!O1104),0,customer_churn_dataset!O1104)</f>
        <v>0</v>
      </c>
      <c r="P1104" s="7" t="str">
        <f aca="false">IF(COUNTIF(customer_churn_dataset!$A$2:$A$1501,customer_churn_dataset!A1104)&gt;1,"Duplicate","Unique")</f>
        <v>Unique</v>
      </c>
    </row>
    <row r="1105" customFormat="false" ht="14.15" hidden="false" customHeight="true" outlineLevel="0" collapsed="false">
      <c r="A1105" s="7" t="str">
        <f aca="false">TRIM(customer_churn_dataset!A1105)</f>
        <v>CUST101156</v>
      </c>
      <c r="B1105" s="7" t="str">
        <f aca="false">PROPER(TRIM(customer_churn_dataset!B1105))</f>
        <v>Basic</v>
      </c>
      <c r="C1105" s="7" t="str">
        <f aca="false">PROPER(TRIM(customer_churn_dataset!C1105))</f>
        <v>Two Year</v>
      </c>
      <c r="D1105" s="7" t="n">
        <f aca="false">IF(ISBLANK(customer_churn_dataset!D1105),ROUND(MEDIAN(customer_churn_dataset!D$2:D$1501),2),IF(customer_churn_dataset!D1105&lt;0,ABS(customer_churn_dataset!D1105),customer_churn_dataset!D1105))</f>
        <v>10.83</v>
      </c>
      <c r="E1105" s="7" t="n">
        <f aca="false">IF(ISBLANK(customer_churn_dataset!E1105),0,MAX(0,customer_churn_dataset!E1105))</f>
        <v>42</v>
      </c>
      <c r="F1105" s="8" t="n">
        <f aca="false">IF(ISBLANK(customer_churn_dataset!F1105),"",customer_churn_dataset!F1105)</f>
        <v>45273</v>
      </c>
      <c r="G1105" s="7" t="str">
        <f aca="false">PROPER(TRIM(customer_churn_dataset!G1105))</f>
        <v>Paypal</v>
      </c>
      <c r="H1105" s="7" t="n">
        <f aca="false">IF(ISBLANK(customer_churn_dataset!H1105),0,customer_churn_dataset!H1105)</f>
        <v>1</v>
      </c>
      <c r="I1105" s="7" t="n">
        <f aca="false">IF(ISBLANK(customer_churn_dataset!I1105),ROUND(MEDIAN(customer_churn_dataset!I$2:I$1501),1),MIN(100,MAX(0,customer_churn_dataset!I1105)))</f>
        <v>61.1</v>
      </c>
      <c r="J1105" s="7" t="n">
        <f aca="false">IF(ISBLANK(customer_churn_dataset!J1105),0,MAX(0,customer_churn_dataset!J1105))</f>
        <v>19</v>
      </c>
      <c r="K1105" s="7" t="n">
        <f aca="false">IF(ISBLANK(customer_churn_dataset!K1105),0,MIN(10,MAX(0,customer_churn_dataset!K1105)))</f>
        <v>7</v>
      </c>
      <c r="L1105" s="7" t="n">
        <f aca="false">IF(ISBLANK(customer_churn_dataset!L1105),0,MAX(0,customer_churn_dataset!L1105))</f>
        <v>2</v>
      </c>
      <c r="M1105" s="7" t="n">
        <f aca="false">IF(ISBLANK(customer_churn_dataset!M1105),0,customer_churn_dataset!M1105)</f>
        <v>1</v>
      </c>
      <c r="N1105" s="7" t="n">
        <f aca="false">IF(ISBLANK(customer_churn_dataset!N1105),0,MAX(0,customer_churn_dataset!N1105))</f>
        <v>454.86</v>
      </c>
      <c r="O1105" s="7" t="n">
        <f aca="false">IF(ISBLANK(customer_churn_dataset!O1105),0,customer_churn_dataset!O1105)</f>
        <v>0</v>
      </c>
      <c r="P1105" s="7" t="str">
        <f aca="false">IF(COUNTIF(customer_churn_dataset!$A$2:$A$1501,customer_churn_dataset!A1105)&gt;1,"Duplicate","Unique")</f>
        <v>Unique</v>
      </c>
    </row>
    <row r="1106" customFormat="false" ht="14.15" hidden="false" customHeight="true" outlineLevel="0" collapsed="false">
      <c r="A1106" s="7" t="str">
        <f aca="false">TRIM(customer_churn_dataset!A1106)</f>
        <v>CUST100951</v>
      </c>
      <c r="B1106" s="7" t="str">
        <f aca="false">PROPER(TRIM(customer_churn_dataset!B1106))</f>
        <v>Standard</v>
      </c>
      <c r="C1106" s="7" t="str">
        <f aca="false">PROPER(TRIM(customer_churn_dataset!C1106))</f>
        <v>Month-To-Month</v>
      </c>
      <c r="D1106" s="7" t="n">
        <f aca="false">IF(ISBLANK(customer_churn_dataset!D1106),ROUND(MEDIAN(customer_churn_dataset!D$2:D$1501),2),IF(customer_churn_dataset!D1106&lt;0,ABS(customer_churn_dataset!D1106),customer_churn_dataset!D1106))</f>
        <v>19.83</v>
      </c>
      <c r="E1106" s="7" t="n">
        <f aca="false">IF(ISBLANK(customer_churn_dataset!E1106),0,MAX(0,customer_churn_dataset!E1106))</f>
        <v>19</v>
      </c>
      <c r="F1106" s="8" t="n">
        <f aca="false">IF(ISBLANK(customer_churn_dataset!F1106),"",customer_churn_dataset!F1106)</f>
        <v>45276</v>
      </c>
      <c r="G1106" s="7" t="str">
        <f aca="false">PROPER(TRIM(customer_churn_dataset!G1106))</f>
        <v>Paypal</v>
      </c>
      <c r="H1106" s="7" t="n">
        <f aca="false">IF(ISBLANK(customer_churn_dataset!H1106),0,customer_churn_dataset!H1106)</f>
        <v>0</v>
      </c>
      <c r="I1106" s="7" t="n">
        <f aca="false">IF(ISBLANK(customer_churn_dataset!I1106),ROUND(MEDIAN(customer_churn_dataset!I$2:I$1501),1),MIN(100,MAX(0,customer_churn_dataset!I1106)))</f>
        <v>69.8</v>
      </c>
      <c r="J1106" s="7" t="n">
        <f aca="false">IF(ISBLANK(customer_churn_dataset!J1106),0,MAX(0,customer_churn_dataset!J1106))</f>
        <v>23</v>
      </c>
      <c r="K1106" s="7" t="n">
        <f aca="false">IF(ISBLANK(customer_churn_dataset!K1106),0,MIN(10,MAX(0,customer_churn_dataset!K1106)))</f>
        <v>6</v>
      </c>
      <c r="L1106" s="7" t="n">
        <f aca="false">IF(ISBLANK(customer_churn_dataset!L1106),0,MAX(0,customer_churn_dataset!L1106))</f>
        <v>1</v>
      </c>
      <c r="M1106" s="7" t="n">
        <f aca="false">IF(ISBLANK(customer_churn_dataset!M1106),0,customer_churn_dataset!M1106)</f>
        <v>0</v>
      </c>
      <c r="N1106" s="7" t="n">
        <f aca="false">IF(ISBLANK(customer_churn_dataset!N1106),0,MAX(0,customer_churn_dataset!N1106))</f>
        <v>376.77</v>
      </c>
      <c r="O1106" s="7" t="n">
        <f aca="false">IF(ISBLANK(customer_churn_dataset!O1106),0,customer_churn_dataset!O1106)</f>
        <v>0</v>
      </c>
      <c r="P1106" s="7" t="str">
        <f aca="false">IF(COUNTIF(customer_churn_dataset!$A$2:$A$1501,customer_churn_dataset!A1106)&gt;1,"Duplicate","Unique")</f>
        <v>Unique</v>
      </c>
    </row>
    <row r="1107" customFormat="false" ht="14.15" hidden="false" customHeight="true" outlineLevel="0" collapsed="false">
      <c r="A1107" s="7" t="str">
        <f aca="false">TRIM(customer_churn_dataset!A1107)</f>
        <v>CUST101376</v>
      </c>
      <c r="B1107" s="7" t="str">
        <f aca="false">PROPER(TRIM(customer_churn_dataset!B1107))</f>
        <v>Basic</v>
      </c>
      <c r="C1107" s="7" t="str">
        <f aca="false">PROPER(TRIM(customer_churn_dataset!C1107))</f>
        <v>Month-To-Month</v>
      </c>
      <c r="D1107" s="7" t="n">
        <f aca="false">IF(ISBLANK(customer_churn_dataset!D1107),ROUND(MEDIAN(customer_churn_dataset!D$2:D$1501),2),IF(customer_churn_dataset!D1107&lt;0,ABS(customer_churn_dataset!D1107),customer_churn_dataset!D1107))</f>
        <v>10.97</v>
      </c>
      <c r="E1107" s="7" t="n">
        <f aca="false">IF(ISBLANK(customer_churn_dataset!E1107),0,MAX(0,customer_churn_dataset!E1107))</f>
        <v>17</v>
      </c>
      <c r="F1107" s="8" t="n">
        <f aca="false">IF(ISBLANK(customer_churn_dataset!F1107),"",customer_churn_dataset!F1107)</f>
        <v>45278</v>
      </c>
      <c r="G1107" s="7" t="str">
        <f aca="false">PROPER(TRIM(customer_churn_dataset!G1107))</f>
        <v>Bank Transfer</v>
      </c>
      <c r="H1107" s="7" t="n">
        <f aca="false">IF(ISBLANK(customer_churn_dataset!H1107),0,customer_churn_dataset!H1107)</f>
        <v>0</v>
      </c>
      <c r="I1107" s="7" t="n">
        <f aca="false">IF(ISBLANK(customer_churn_dataset!I1107),ROUND(MEDIAN(customer_churn_dataset!I$2:I$1501),1),MIN(100,MAX(0,customer_churn_dataset!I1107)))</f>
        <v>11.9</v>
      </c>
      <c r="J1107" s="7" t="n">
        <f aca="false">IF(ISBLANK(customer_churn_dataset!J1107),0,MAX(0,customer_churn_dataset!J1107))</f>
        <v>2</v>
      </c>
      <c r="K1107" s="7" t="n">
        <f aca="false">IF(ISBLANK(customer_churn_dataset!K1107),0,MIN(10,MAX(0,customer_churn_dataset!K1107)))</f>
        <v>1</v>
      </c>
      <c r="L1107" s="7" t="n">
        <f aca="false">IF(ISBLANK(customer_churn_dataset!L1107),0,MAX(0,customer_churn_dataset!L1107))</f>
        <v>3</v>
      </c>
      <c r="M1107" s="7" t="n">
        <f aca="false">IF(ISBLANK(customer_churn_dataset!M1107),0,customer_churn_dataset!M1107)</f>
        <v>0</v>
      </c>
      <c r="N1107" s="7" t="n">
        <f aca="false">IF(ISBLANK(customer_churn_dataset!N1107),0,MAX(0,customer_churn_dataset!N1107))</f>
        <v>186.49</v>
      </c>
      <c r="O1107" s="7" t="n">
        <f aca="false">IF(ISBLANK(customer_churn_dataset!O1107),0,customer_churn_dataset!O1107)</f>
        <v>1</v>
      </c>
      <c r="P1107" s="7" t="str">
        <f aca="false">IF(COUNTIF(customer_churn_dataset!$A$2:$A$1501,customer_churn_dataset!A1107)&gt;1,"Duplicate","Unique")</f>
        <v>Unique</v>
      </c>
    </row>
    <row r="1108" customFormat="false" ht="14.15" hidden="false" customHeight="true" outlineLevel="0" collapsed="false">
      <c r="A1108" s="7" t="str">
        <f aca="false">TRIM(customer_churn_dataset!A1108)</f>
        <v>CUST100673</v>
      </c>
      <c r="B1108" s="7" t="str">
        <f aca="false">PROPER(TRIM(customer_churn_dataset!B1108))</f>
        <v>Standard</v>
      </c>
      <c r="C1108" s="7" t="str">
        <f aca="false">PROPER(TRIM(customer_churn_dataset!C1108))</f>
        <v>One Year</v>
      </c>
      <c r="D1108" s="7" t="n">
        <f aca="false">IF(ISBLANK(customer_churn_dataset!D1108),ROUND(MEDIAN(customer_churn_dataset!D$2:D$1501),2),IF(customer_churn_dataset!D1108&lt;0,ABS(customer_churn_dataset!D1108),customer_churn_dataset!D1108))</f>
        <v>20.28</v>
      </c>
      <c r="E1108" s="7" t="n">
        <f aca="false">IF(ISBLANK(customer_churn_dataset!E1108),0,MAX(0,customer_churn_dataset!E1108))</f>
        <v>13</v>
      </c>
      <c r="F1108" s="8" t="n">
        <f aca="false">IF(ISBLANK(customer_churn_dataset!F1108),"",customer_churn_dataset!F1108)</f>
        <v>45278</v>
      </c>
      <c r="G1108" s="7" t="str">
        <f aca="false">PROPER(TRIM(customer_churn_dataset!G1108))</f>
        <v>Paypal</v>
      </c>
      <c r="H1108" s="7" t="n">
        <f aca="false">IF(ISBLANK(customer_churn_dataset!H1108),0,customer_churn_dataset!H1108)</f>
        <v>1</v>
      </c>
      <c r="I1108" s="7" t="n">
        <f aca="false">IF(ISBLANK(customer_churn_dataset!I1108),ROUND(MEDIAN(customer_churn_dataset!I$2:I$1501),1),MIN(100,MAX(0,customer_churn_dataset!I1108)))</f>
        <v>45.9</v>
      </c>
      <c r="J1108" s="7" t="n">
        <f aca="false">IF(ISBLANK(customer_churn_dataset!J1108),0,MAX(0,customer_churn_dataset!J1108))</f>
        <v>4</v>
      </c>
      <c r="K1108" s="7" t="n">
        <f aca="false">IF(ISBLANK(customer_churn_dataset!K1108),0,MIN(10,MAX(0,customer_churn_dataset!K1108)))</f>
        <v>7</v>
      </c>
      <c r="L1108" s="7" t="n">
        <f aca="false">IF(ISBLANK(customer_churn_dataset!L1108),0,MAX(0,customer_churn_dataset!L1108))</f>
        <v>0</v>
      </c>
      <c r="M1108" s="7" t="n">
        <f aca="false">IF(ISBLANK(customer_churn_dataset!M1108),0,customer_churn_dataset!M1108)</f>
        <v>0</v>
      </c>
      <c r="N1108" s="7" t="n">
        <f aca="false">IF(ISBLANK(customer_churn_dataset!N1108),0,MAX(0,customer_churn_dataset!N1108))</f>
        <v>263.64</v>
      </c>
      <c r="O1108" s="7" t="n">
        <f aca="false">IF(ISBLANK(customer_churn_dataset!O1108),0,customer_churn_dataset!O1108)</f>
        <v>0</v>
      </c>
      <c r="P1108" s="7" t="str">
        <f aca="false">IF(COUNTIF(customer_churn_dataset!$A$2:$A$1501,customer_churn_dataset!A1108)&gt;1,"Duplicate","Unique")</f>
        <v>Unique</v>
      </c>
    </row>
    <row r="1109" customFormat="false" ht="14.15" hidden="false" customHeight="true" outlineLevel="0" collapsed="false">
      <c r="A1109" s="7" t="str">
        <f aca="false">TRIM(customer_churn_dataset!A1109)</f>
        <v>CUST100904</v>
      </c>
      <c r="B1109" s="7" t="str">
        <f aca="false">PROPER(TRIM(customer_churn_dataset!B1109))</f>
        <v>Basic</v>
      </c>
      <c r="C1109" s="7" t="str">
        <f aca="false">PROPER(TRIM(customer_churn_dataset!C1109))</f>
        <v>One Year</v>
      </c>
      <c r="D1109" s="7" t="n">
        <f aca="false">IF(ISBLANK(customer_churn_dataset!D1109),ROUND(MEDIAN(customer_churn_dataset!D$2:D$1501),2),IF(customer_churn_dataset!D1109&lt;0,ABS(customer_churn_dataset!D1109),customer_churn_dataset!D1109))</f>
        <v>10.26</v>
      </c>
      <c r="E1109" s="7" t="n">
        <f aca="false">IF(ISBLANK(customer_churn_dataset!E1109),0,MAX(0,customer_churn_dataset!E1109))</f>
        <v>22</v>
      </c>
      <c r="F1109" s="8" t="n">
        <f aca="false">IF(ISBLANK(customer_churn_dataset!F1109),"",customer_churn_dataset!F1109)</f>
        <v>45279</v>
      </c>
      <c r="G1109" s="7" t="str">
        <f aca="false">PROPER(TRIM(customer_churn_dataset!G1109))</f>
        <v>Credit Card</v>
      </c>
      <c r="H1109" s="7" t="n">
        <f aca="false">IF(ISBLANK(customer_churn_dataset!H1109),0,customer_churn_dataset!H1109)</f>
        <v>1</v>
      </c>
      <c r="I1109" s="7" t="n">
        <f aca="false">IF(ISBLANK(customer_churn_dataset!I1109),ROUND(MEDIAN(customer_churn_dataset!I$2:I$1501),1),MIN(100,MAX(0,customer_churn_dataset!I1109)))</f>
        <v>67.7</v>
      </c>
      <c r="J1109" s="7" t="n">
        <f aca="false">IF(ISBLANK(customer_churn_dataset!J1109),0,MAX(0,customer_churn_dataset!J1109))</f>
        <v>23</v>
      </c>
      <c r="K1109" s="7" t="n">
        <f aca="false">IF(ISBLANK(customer_churn_dataset!K1109),0,MIN(10,MAX(0,customer_churn_dataset!K1109)))</f>
        <v>5</v>
      </c>
      <c r="L1109" s="7" t="n">
        <f aca="false">IF(ISBLANK(customer_churn_dataset!L1109),0,MAX(0,customer_churn_dataset!L1109))</f>
        <v>1</v>
      </c>
      <c r="M1109" s="7" t="n">
        <f aca="false">IF(ISBLANK(customer_churn_dataset!M1109),0,customer_churn_dataset!M1109)</f>
        <v>0</v>
      </c>
      <c r="N1109" s="7" t="n">
        <f aca="false">IF(ISBLANK(customer_churn_dataset!N1109),0,MAX(0,customer_churn_dataset!N1109))</f>
        <v>225.72</v>
      </c>
      <c r="O1109" s="7" t="n">
        <f aca="false">IF(ISBLANK(customer_churn_dataset!O1109),0,customer_churn_dataset!O1109)</f>
        <v>0</v>
      </c>
      <c r="P1109" s="7" t="str">
        <f aca="false">IF(COUNTIF(customer_churn_dataset!$A$2:$A$1501,customer_churn_dataset!A1109)&gt;1,"Duplicate","Unique")</f>
        <v>Unique</v>
      </c>
    </row>
    <row r="1110" customFormat="false" ht="14.15" hidden="false" customHeight="true" outlineLevel="0" collapsed="false">
      <c r="A1110" s="7" t="str">
        <f aca="false">TRIM(customer_churn_dataset!A1110)</f>
        <v>CUST100058</v>
      </c>
      <c r="B1110" s="7" t="str">
        <f aca="false">PROPER(TRIM(customer_churn_dataset!B1110))</f>
        <v>Basic</v>
      </c>
      <c r="C1110" s="7" t="str">
        <f aca="false">PROPER(TRIM(customer_churn_dataset!C1110))</f>
        <v>One Year</v>
      </c>
      <c r="D1110" s="7" t="n">
        <f aca="false">IF(ISBLANK(customer_churn_dataset!D1110),ROUND(MEDIAN(customer_churn_dataset!D$2:D$1501),2),IF(customer_churn_dataset!D1110&lt;0,ABS(customer_churn_dataset!D1110),customer_churn_dataset!D1110))</f>
        <v>9.15</v>
      </c>
      <c r="E1110" s="7" t="n">
        <f aca="false">IF(ISBLANK(customer_churn_dataset!E1110),0,MAX(0,customer_churn_dataset!E1110))</f>
        <v>1</v>
      </c>
      <c r="F1110" s="8" t="n">
        <f aca="false">IF(ISBLANK(customer_churn_dataset!F1110),"",customer_churn_dataset!F1110)</f>
        <v>45280</v>
      </c>
      <c r="G1110" s="7" t="str">
        <f aca="false">PROPER(TRIM(customer_churn_dataset!G1110))</f>
        <v>Credit Card</v>
      </c>
      <c r="H1110" s="7" t="n">
        <f aca="false">IF(ISBLANK(customer_churn_dataset!H1110),0,customer_churn_dataset!H1110)</f>
        <v>1</v>
      </c>
      <c r="I1110" s="7" t="n">
        <f aca="false">IF(ISBLANK(customer_churn_dataset!I1110),ROUND(MEDIAN(customer_churn_dataset!I$2:I$1501),1),MIN(100,MAX(0,customer_churn_dataset!I1110)))</f>
        <v>34.9</v>
      </c>
      <c r="J1110" s="7" t="n">
        <f aca="false">IF(ISBLANK(customer_churn_dataset!J1110),0,MAX(0,customer_churn_dataset!J1110))</f>
        <v>5</v>
      </c>
      <c r="K1110" s="7" t="n">
        <f aca="false">IF(ISBLANK(customer_churn_dataset!K1110),0,MIN(10,MAX(0,customer_churn_dataset!K1110)))</f>
        <v>8</v>
      </c>
      <c r="L1110" s="7" t="n">
        <f aca="false">IF(ISBLANK(customer_churn_dataset!L1110),0,MAX(0,customer_churn_dataset!L1110))</f>
        <v>2</v>
      </c>
      <c r="M1110" s="7" t="n">
        <f aca="false">IF(ISBLANK(customer_churn_dataset!M1110),0,customer_churn_dataset!M1110)</f>
        <v>0</v>
      </c>
      <c r="N1110" s="7" t="n">
        <f aca="false">IF(ISBLANK(customer_churn_dataset!N1110),0,MAX(0,customer_churn_dataset!N1110))</f>
        <v>9.15</v>
      </c>
      <c r="O1110" s="7" t="n">
        <f aca="false">IF(ISBLANK(customer_churn_dataset!O1110),0,customer_churn_dataset!O1110)</f>
        <v>0</v>
      </c>
      <c r="P1110" s="7" t="str">
        <f aca="false">IF(COUNTIF(customer_churn_dataset!$A$2:$A$1501,customer_churn_dataset!A1110)&gt;1,"Duplicate","Unique")</f>
        <v>Unique</v>
      </c>
    </row>
    <row r="1111" customFormat="false" ht="14.15" hidden="false" customHeight="true" outlineLevel="0" collapsed="false">
      <c r="A1111" s="7" t="str">
        <f aca="false">TRIM(customer_churn_dataset!A1111)</f>
        <v>CUST101133</v>
      </c>
      <c r="B1111" s="7" t="str">
        <f aca="false">PROPER(TRIM(customer_churn_dataset!B1111))</f>
        <v>Basic</v>
      </c>
      <c r="C1111" s="7" t="str">
        <f aca="false">PROPER(TRIM(customer_churn_dataset!C1111))</f>
        <v>Month-To-Month</v>
      </c>
      <c r="D1111" s="7" t="n">
        <f aca="false">IF(ISBLANK(customer_churn_dataset!D1111),ROUND(MEDIAN(customer_churn_dataset!D$2:D$1501),2),IF(customer_churn_dataset!D1111&lt;0,ABS(customer_churn_dataset!D1111),customer_churn_dataset!D1111))</f>
        <v>9.18</v>
      </c>
      <c r="E1111" s="7" t="n">
        <f aca="false">IF(ISBLANK(customer_churn_dataset!E1111),0,MAX(0,customer_churn_dataset!E1111))</f>
        <v>3</v>
      </c>
      <c r="F1111" s="8" t="n">
        <f aca="false">IF(ISBLANK(customer_churn_dataset!F1111),"",customer_churn_dataset!F1111)</f>
        <v>45280</v>
      </c>
      <c r="G1111" s="7" t="str">
        <f aca="false">PROPER(TRIM(customer_churn_dataset!G1111))</f>
        <v>Paypal</v>
      </c>
      <c r="H1111" s="7" t="n">
        <f aca="false">IF(ISBLANK(customer_churn_dataset!H1111),0,customer_churn_dataset!H1111)</f>
        <v>0</v>
      </c>
      <c r="I1111" s="7" t="n">
        <f aca="false">IF(ISBLANK(customer_churn_dataset!I1111),ROUND(MEDIAN(customer_churn_dataset!I$2:I$1501),1),MIN(100,MAX(0,customer_churn_dataset!I1111)))</f>
        <v>82.9</v>
      </c>
      <c r="J1111" s="7" t="n">
        <f aca="false">IF(ISBLANK(customer_churn_dataset!J1111),0,MAX(0,customer_churn_dataset!J1111))</f>
        <v>29</v>
      </c>
      <c r="K1111" s="7" t="n">
        <f aca="false">IF(ISBLANK(customer_churn_dataset!K1111),0,MIN(10,MAX(0,customer_churn_dataset!K1111)))</f>
        <v>8</v>
      </c>
      <c r="L1111" s="7" t="n">
        <f aca="false">IF(ISBLANK(customer_churn_dataset!L1111),0,MAX(0,customer_churn_dataset!L1111))</f>
        <v>1</v>
      </c>
      <c r="M1111" s="7" t="n">
        <f aca="false">IF(ISBLANK(customer_churn_dataset!M1111),0,customer_churn_dataset!M1111)</f>
        <v>0</v>
      </c>
      <c r="N1111" s="7" t="n">
        <f aca="false">IF(ISBLANK(customer_churn_dataset!N1111),0,MAX(0,customer_churn_dataset!N1111))</f>
        <v>27.54</v>
      </c>
      <c r="O1111" s="7" t="n">
        <f aca="false">IF(ISBLANK(customer_churn_dataset!O1111),0,customer_churn_dataset!O1111)</f>
        <v>0</v>
      </c>
      <c r="P1111" s="7" t="str">
        <f aca="false">IF(COUNTIF(customer_churn_dataset!$A$2:$A$1501,customer_churn_dataset!A1111)&gt;1,"Duplicate","Unique")</f>
        <v>Unique</v>
      </c>
    </row>
    <row r="1112" customFormat="false" ht="14.15" hidden="false" customHeight="true" outlineLevel="0" collapsed="false">
      <c r="A1112" s="7" t="str">
        <f aca="false">TRIM(customer_churn_dataset!A1112)</f>
        <v>CUST100071</v>
      </c>
      <c r="B1112" s="7" t="str">
        <f aca="false">PROPER(TRIM(customer_churn_dataset!B1112))</f>
        <v>Basic</v>
      </c>
      <c r="C1112" s="7" t="str">
        <f aca="false">PROPER(TRIM(customer_churn_dataset!C1112))</f>
        <v>One Year</v>
      </c>
      <c r="D1112" s="7" t="n">
        <f aca="false">IF(ISBLANK(customer_churn_dataset!D1112),ROUND(MEDIAN(customer_churn_dataset!D$2:D$1501),2),IF(customer_churn_dataset!D1112&lt;0,ABS(customer_churn_dataset!D1112),customer_churn_dataset!D1112))</f>
        <v>8.62</v>
      </c>
      <c r="E1112" s="7" t="n">
        <f aca="false">IF(ISBLANK(customer_churn_dataset!E1112),0,MAX(0,customer_churn_dataset!E1112))</f>
        <v>18</v>
      </c>
      <c r="F1112" s="8" t="n">
        <f aca="false">IF(ISBLANK(customer_churn_dataset!F1112),"",customer_churn_dataset!F1112)</f>
        <v>45280</v>
      </c>
      <c r="G1112" s="7" t="str">
        <f aca="false">PROPER(TRIM(customer_churn_dataset!G1112))</f>
        <v>Credit Card</v>
      </c>
      <c r="H1112" s="7" t="n">
        <f aca="false">IF(ISBLANK(customer_churn_dataset!H1112),0,customer_churn_dataset!H1112)</f>
        <v>1</v>
      </c>
      <c r="I1112" s="7" t="n">
        <f aca="false">IF(ISBLANK(customer_churn_dataset!I1112),ROUND(MEDIAN(customer_churn_dataset!I$2:I$1501),1),MIN(100,MAX(0,customer_churn_dataset!I1112)))</f>
        <v>69.8</v>
      </c>
      <c r="J1112" s="7" t="n">
        <f aca="false">IF(ISBLANK(customer_churn_dataset!J1112),0,MAX(0,customer_churn_dataset!J1112))</f>
        <v>20</v>
      </c>
      <c r="K1112" s="7" t="n">
        <f aca="false">IF(ISBLANK(customer_churn_dataset!K1112),0,MIN(10,MAX(0,customer_churn_dataset!K1112)))</f>
        <v>9</v>
      </c>
      <c r="L1112" s="7" t="n">
        <f aca="false">IF(ISBLANK(customer_churn_dataset!L1112),0,MAX(0,customer_churn_dataset!L1112))</f>
        <v>0</v>
      </c>
      <c r="M1112" s="7" t="n">
        <f aca="false">IF(ISBLANK(customer_churn_dataset!M1112),0,customer_churn_dataset!M1112)</f>
        <v>0</v>
      </c>
      <c r="N1112" s="7" t="n">
        <f aca="false">IF(ISBLANK(customer_churn_dataset!N1112),0,MAX(0,customer_churn_dataset!N1112))</f>
        <v>155.16</v>
      </c>
      <c r="O1112" s="7" t="n">
        <f aca="false">IF(ISBLANK(customer_churn_dataset!O1112),0,customer_churn_dataset!O1112)</f>
        <v>0</v>
      </c>
      <c r="P1112" s="7" t="str">
        <f aca="false">IF(COUNTIF(customer_churn_dataset!$A$2:$A$1501,customer_churn_dataset!A1112)&gt;1,"Duplicate","Unique")</f>
        <v>Unique</v>
      </c>
    </row>
    <row r="1113" customFormat="false" ht="14.15" hidden="false" customHeight="true" outlineLevel="0" collapsed="false">
      <c r="A1113" s="7" t="str">
        <f aca="false">TRIM(customer_churn_dataset!A1113)</f>
        <v>CUST100625</v>
      </c>
      <c r="B1113" s="7" t="str">
        <f aca="false">PROPER(TRIM(customer_churn_dataset!B1113))</f>
        <v>Basic</v>
      </c>
      <c r="C1113" s="7" t="str">
        <f aca="false">PROPER(TRIM(customer_churn_dataset!C1113))</f>
        <v>Month-To-Month</v>
      </c>
      <c r="D1113" s="7" t="n">
        <f aca="false">IF(ISBLANK(customer_churn_dataset!D1113),ROUND(MEDIAN(customer_churn_dataset!D$2:D$1501),2),IF(customer_churn_dataset!D1113&lt;0,ABS(customer_churn_dataset!D1113),customer_churn_dataset!D1113))</f>
        <v>8.53</v>
      </c>
      <c r="E1113" s="7" t="n">
        <f aca="false">IF(ISBLANK(customer_churn_dataset!E1113),0,MAX(0,customer_churn_dataset!E1113))</f>
        <v>30</v>
      </c>
      <c r="F1113" s="8" t="n">
        <f aca="false">IF(ISBLANK(customer_churn_dataset!F1113),"",customer_churn_dataset!F1113)</f>
        <v>45281</v>
      </c>
      <c r="G1113" s="7" t="str">
        <f aca="false">PROPER(TRIM(customer_churn_dataset!G1113))</f>
        <v>Credit Card</v>
      </c>
      <c r="H1113" s="7" t="n">
        <f aca="false">IF(ISBLANK(customer_churn_dataset!H1113),0,customer_churn_dataset!H1113)</f>
        <v>1</v>
      </c>
      <c r="I1113" s="7" t="n">
        <f aca="false">IF(ISBLANK(customer_churn_dataset!I1113),ROUND(MEDIAN(customer_churn_dataset!I$2:I$1501),1),MIN(100,MAX(0,customer_churn_dataset!I1113)))</f>
        <v>43.1</v>
      </c>
      <c r="J1113" s="7" t="n">
        <f aca="false">IF(ISBLANK(customer_churn_dataset!J1113),0,MAX(0,customer_churn_dataset!J1113))</f>
        <v>20</v>
      </c>
      <c r="K1113" s="7" t="n">
        <f aca="false">IF(ISBLANK(customer_churn_dataset!K1113),0,MIN(10,MAX(0,customer_churn_dataset!K1113)))</f>
        <v>2</v>
      </c>
      <c r="L1113" s="7" t="n">
        <f aca="false">IF(ISBLANK(customer_churn_dataset!L1113),0,MAX(0,customer_churn_dataset!L1113))</f>
        <v>0</v>
      </c>
      <c r="M1113" s="7" t="n">
        <f aca="false">IF(ISBLANK(customer_churn_dataset!M1113),0,customer_churn_dataset!M1113)</f>
        <v>0</v>
      </c>
      <c r="N1113" s="7" t="n">
        <f aca="false">IF(ISBLANK(customer_churn_dataset!N1113),0,MAX(0,customer_churn_dataset!N1113))</f>
        <v>255.9</v>
      </c>
      <c r="O1113" s="7" t="n">
        <f aca="false">IF(ISBLANK(customer_churn_dataset!O1113),0,customer_churn_dataset!O1113)</f>
        <v>0</v>
      </c>
      <c r="P1113" s="7" t="str">
        <f aca="false">IF(COUNTIF(customer_churn_dataset!$A$2:$A$1501,customer_churn_dataset!A1113)&gt;1,"Duplicate","Unique")</f>
        <v>Unique</v>
      </c>
    </row>
    <row r="1114" customFormat="false" ht="14.15" hidden="false" customHeight="true" outlineLevel="0" collapsed="false">
      <c r="A1114" s="7" t="str">
        <f aca="false">TRIM(customer_churn_dataset!A1114)</f>
        <v>CUST100409</v>
      </c>
      <c r="B1114" s="7" t="str">
        <f aca="false">PROPER(TRIM(customer_churn_dataset!B1114))</f>
        <v>Basic</v>
      </c>
      <c r="C1114" s="7" t="str">
        <f aca="false">PROPER(TRIM(customer_churn_dataset!C1114))</f>
        <v>Two Year</v>
      </c>
      <c r="D1114" s="7" t="n">
        <f aca="false">IF(ISBLANK(customer_churn_dataset!D1114),ROUND(MEDIAN(customer_churn_dataset!D$2:D$1501),2),IF(customer_churn_dataset!D1114&lt;0,ABS(customer_churn_dataset!D1114),customer_churn_dataset!D1114))</f>
        <v>9.46</v>
      </c>
      <c r="E1114" s="7" t="n">
        <f aca="false">IF(ISBLANK(customer_churn_dataset!E1114),0,MAX(0,customer_churn_dataset!E1114))</f>
        <v>5</v>
      </c>
      <c r="F1114" s="8" t="n">
        <f aca="false">IF(ISBLANK(customer_churn_dataset!F1114),"",customer_churn_dataset!F1114)</f>
        <v>45281</v>
      </c>
      <c r="G1114" s="7" t="str">
        <f aca="false">PROPER(TRIM(customer_churn_dataset!G1114))</f>
        <v>Credit Card</v>
      </c>
      <c r="H1114" s="7" t="n">
        <f aca="false">IF(ISBLANK(customer_churn_dataset!H1114),0,customer_churn_dataset!H1114)</f>
        <v>1</v>
      </c>
      <c r="I1114" s="7" t="n">
        <f aca="false">IF(ISBLANK(customer_churn_dataset!I1114),ROUND(MEDIAN(customer_churn_dataset!I$2:I$1501),1),MIN(100,MAX(0,customer_churn_dataset!I1114)))</f>
        <v>59.1</v>
      </c>
      <c r="J1114" s="7" t="n">
        <f aca="false">IF(ISBLANK(customer_churn_dataset!J1114),0,MAX(0,customer_churn_dataset!J1114))</f>
        <v>19</v>
      </c>
      <c r="K1114" s="7" t="n">
        <f aca="false">IF(ISBLANK(customer_churn_dataset!K1114),0,MIN(10,MAX(0,customer_churn_dataset!K1114)))</f>
        <v>7</v>
      </c>
      <c r="L1114" s="7" t="n">
        <f aca="false">IF(ISBLANK(customer_churn_dataset!L1114),0,MAX(0,customer_churn_dataset!L1114))</f>
        <v>2</v>
      </c>
      <c r="M1114" s="7" t="n">
        <f aca="false">IF(ISBLANK(customer_churn_dataset!M1114),0,customer_churn_dataset!M1114)</f>
        <v>1</v>
      </c>
      <c r="N1114" s="7" t="n">
        <f aca="false">IF(ISBLANK(customer_churn_dataset!N1114),0,MAX(0,customer_churn_dataset!N1114))</f>
        <v>47.3</v>
      </c>
      <c r="O1114" s="7" t="n">
        <f aca="false">IF(ISBLANK(customer_churn_dataset!O1114),0,customer_churn_dataset!O1114)</f>
        <v>0</v>
      </c>
      <c r="P1114" s="7" t="str">
        <f aca="false">IF(COUNTIF(customer_churn_dataset!$A$2:$A$1501,customer_churn_dataset!A1114)&gt;1,"Duplicate","Unique")</f>
        <v>Unique</v>
      </c>
    </row>
    <row r="1115" customFormat="false" ht="14.15" hidden="false" customHeight="true" outlineLevel="0" collapsed="false">
      <c r="A1115" s="7" t="str">
        <f aca="false">TRIM(customer_churn_dataset!A1115)</f>
        <v>CUST101353</v>
      </c>
      <c r="B1115" s="7" t="str">
        <f aca="false">PROPER(TRIM(customer_churn_dataset!B1115))</f>
        <v>Standard</v>
      </c>
      <c r="C1115" s="7" t="str">
        <f aca="false">PROPER(TRIM(customer_churn_dataset!C1115))</f>
        <v>Two Year</v>
      </c>
      <c r="D1115" s="7" t="n">
        <f aca="false">IF(ISBLANK(customer_churn_dataset!D1115),ROUND(MEDIAN(customer_churn_dataset!D$2:D$1501),2),IF(customer_churn_dataset!D1115&lt;0,ABS(customer_churn_dataset!D1115),customer_churn_dataset!D1115))</f>
        <v>19.74</v>
      </c>
      <c r="E1115" s="7" t="n">
        <f aca="false">IF(ISBLANK(customer_churn_dataset!E1115),0,MAX(0,customer_churn_dataset!E1115))</f>
        <v>3</v>
      </c>
      <c r="F1115" s="8" t="n">
        <f aca="false">IF(ISBLANK(customer_churn_dataset!F1115),"",customer_churn_dataset!F1115)</f>
        <v>45281</v>
      </c>
      <c r="G1115" s="7" t="str">
        <f aca="false">PROPER(TRIM(customer_churn_dataset!G1115))</f>
        <v>Manual/Invoice</v>
      </c>
      <c r="H1115" s="7" t="n">
        <f aca="false">IF(ISBLANK(customer_churn_dataset!H1115),0,customer_churn_dataset!H1115)</f>
        <v>0</v>
      </c>
      <c r="I1115" s="7" t="n">
        <f aca="false">IF(ISBLANK(customer_churn_dataset!I1115),ROUND(MEDIAN(customer_churn_dataset!I$2:I$1501),1),MIN(100,MAX(0,customer_churn_dataset!I1115)))</f>
        <v>31.9</v>
      </c>
      <c r="J1115" s="7" t="n">
        <f aca="false">IF(ISBLANK(customer_churn_dataset!J1115),0,MAX(0,customer_churn_dataset!J1115))</f>
        <v>8</v>
      </c>
      <c r="K1115" s="7" t="n">
        <f aca="false">IF(ISBLANK(customer_churn_dataset!K1115),0,MIN(10,MAX(0,customer_churn_dataset!K1115)))</f>
        <v>1</v>
      </c>
      <c r="L1115" s="7" t="n">
        <f aca="false">IF(ISBLANK(customer_churn_dataset!L1115),0,MAX(0,customer_churn_dataset!L1115))</f>
        <v>3</v>
      </c>
      <c r="M1115" s="7" t="n">
        <f aca="false">IF(ISBLANK(customer_churn_dataset!M1115),0,customer_churn_dataset!M1115)</f>
        <v>1</v>
      </c>
      <c r="N1115" s="7" t="n">
        <f aca="false">IF(ISBLANK(customer_churn_dataset!N1115),0,MAX(0,customer_churn_dataset!N1115))</f>
        <v>59.22</v>
      </c>
      <c r="O1115" s="7" t="n">
        <f aca="false">IF(ISBLANK(customer_churn_dataset!O1115),0,customer_churn_dataset!O1115)</f>
        <v>1</v>
      </c>
      <c r="P1115" s="7" t="str">
        <f aca="false">IF(COUNTIF(customer_churn_dataset!$A$2:$A$1501,customer_churn_dataset!A1115)&gt;1,"Duplicate","Unique")</f>
        <v>Unique</v>
      </c>
    </row>
    <row r="1116" customFormat="false" ht="14.15" hidden="false" customHeight="true" outlineLevel="0" collapsed="false">
      <c r="A1116" s="7" t="str">
        <f aca="false">TRIM(customer_churn_dataset!A1116)</f>
        <v>CUST101098</v>
      </c>
      <c r="B1116" s="7" t="str">
        <f aca="false">PROPER(TRIM(customer_churn_dataset!B1116))</f>
        <v>Standard</v>
      </c>
      <c r="C1116" s="7" t="str">
        <f aca="false">PROPER(TRIM(customer_churn_dataset!C1116))</f>
        <v>One Year</v>
      </c>
      <c r="D1116" s="7" t="n">
        <f aca="false">IF(ISBLANK(customer_churn_dataset!D1116),ROUND(MEDIAN(customer_churn_dataset!D$2:D$1501),2),IF(customer_churn_dataset!D1116&lt;0,ABS(customer_churn_dataset!D1116),customer_churn_dataset!D1116))</f>
        <v>17.39</v>
      </c>
      <c r="E1116" s="7" t="n">
        <f aca="false">IF(ISBLANK(customer_churn_dataset!E1116),0,MAX(0,customer_churn_dataset!E1116))</f>
        <v>14</v>
      </c>
      <c r="F1116" s="8" t="n">
        <f aca="false">IF(ISBLANK(customer_churn_dataset!F1116),"",customer_churn_dataset!F1116)</f>
        <v>45282</v>
      </c>
      <c r="G1116" s="7" t="str">
        <f aca="false">PROPER(TRIM(customer_churn_dataset!G1116))</f>
        <v>Credit Card</v>
      </c>
      <c r="H1116" s="7" t="n">
        <f aca="false">IF(ISBLANK(customer_churn_dataset!H1116),0,customer_churn_dataset!H1116)</f>
        <v>1</v>
      </c>
      <c r="I1116" s="7" t="n">
        <f aca="false">IF(ISBLANK(customer_churn_dataset!I1116),ROUND(MEDIAN(customer_churn_dataset!I$2:I$1501),1),MIN(100,MAX(0,customer_churn_dataset!I1116)))</f>
        <v>40.7</v>
      </c>
      <c r="J1116" s="7" t="n">
        <f aca="false">IF(ISBLANK(customer_churn_dataset!J1116),0,MAX(0,customer_churn_dataset!J1116))</f>
        <v>17</v>
      </c>
      <c r="K1116" s="7" t="n">
        <f aca="false">IF(ISBLANK(customer_churn_dataset!K1116),0,MIN(10,MAX(0,customer_churn_dataset!K1116)))</f>
        <v>6</v>
      </c>
      <c r="L1116" s="7" t="n">
        <f aca="false">IF(ISBLANK(customer_churn_dataset!L1116),0,MAX(0,customer_churn_dataset!L1116))</f>
        <v>1</v>
      </c>
      <c r="M1116" s="7" t="n">
        <f aca="false">IF(ISBLANK(customer_churn_dataset!M1116),0,customer_churn_dataset!M1116)</f>
        <v>0</v>
      </c>
      <c r="N1116" s="7" t="n">
        <f aca="false">IF(ISBLANK(customer_churn_dataset!N1116),0,MAX(0,customer_churn_dataset!N1116))</f>
        <v>243.46</v>
      </c>
      <c r="O1116" s="7" t="n">
        <f aca="false">IF(ISBLANK(customer_churn_dataset!O1116),0,customer_churn_dataset!O1116)</f>
        <v>0</v>
      </c>
      <c r="P1116" s="7" t="str">
        <f aca="false">IF(COUNTIF(customer_churn_dataset!$A$2:$A$1501,customer_churn_dataset!A1116)&gt;1,"Duplicate","Unique")</f>
        <v>Unique</v>
      </c>
    </row>
    <row r="1117" customFormat="false" ht="14.15" hidden="false" customHeight="true" outlineLevel="0" collapsed="false">
      <c r="A1117" s="7" t="str">
        <f aca="false">TRIM(customer_churn_dataset!A1117)</f>
        <v>CUST100002</v>
      </c>
      <c r="B1117" s="7" t="str">
        <f aca="false">PROPER(TRIM(customer_churn_dataset!B1117))</f>
        <v>Standard</v>
      </c>
      <c r="C1117" s="7" t="str">
        <f aca="false">PROPER(TRIM(customer_churn_dataset!C1117))</f>
        <v>Month-To-Month</v>
      </c>
      <c r="D1117" s="7" t="n">
        <f aca="false">IF(ISBLANK(customer_churn_dataset!D1117),ROUND(MEDIAN(customer_churn_dataset!D$2:D$1501),2),IF(customer_churn_dataset!D1117&lt;0,ABS(customer_churn_dataset!D1117),customer_churn_dataset!D1117))</f>
        <v>18.6</v>
      </c>
      <c r="E1117" s="7" t="n">
        <f aca="false">IF(ISBLANK(customer_churn_dataset!E1117),0,MAX(0,customer_churn_dataset!E1117))</f>
        <v>19</v>
      </c>
      <c r="F1117" s="8" t="n">
        <f aca="false">IF(ISBLANK(customer_churn_dataset!F1117),"",customer_churn_dataset!F1117)</f>
        <v>45282</v>
      </c>
      <c r="G1117" s="7" t="str">
        <f aca="false">PROPER(TRIM(customer_churn_dataset!G1117))</f>
        <v>Paypal</v>
      </c>
      <c r="H1117" s="7" t="n">
        <f aca="false">IF(ISBLANK(customer_churn_dataset!H1117),0,customer_churn_dataset!H1117)</f>
        <v>0</v>
      </c>
      <c r="I1117" s="7" t="n">
        <f aca="false">IF(ISBLANK(customer_churn_dataset!I1117),ROUND(MEDIAN(customer_churn_dataset!I$2:I$1501),1),MIN(100,MAX(0,customer_churn_dataset!I1117)))</f>
        <v>100</v>
      </c>
      <c r="J1117" s="7" t="n">
        <f aca="false">IF(ISBLANK(customer_churn_dataset!J1117),0,MAX(0,customer_churn_dataset!J1117))</f>
        <v>27</v>
      </c>
      <c r="K1117" s="7" t="n">
        <f aca="false">IF(ISBLANK(customer_churn_dataset!K1117),0,MIN(10,MAX(0,customer_churn_dataset!K1117)))</f>
        <v>9</v>
      </c>
      <c r="L1117" s="7" t="n">
        <f aca="false">IF(ISBLANK(customer_churn_dataset!L1117),0,MAX(0,customer_churn_dataset!L1117))</f>
        <v>1</v>
      </c>
      <c r="M1117" s="7" t="n">
        <f aca="false">IF(ISBLANK(customer_churn_dataset!M1117),0,customer_churn_dataset!M1117)</f>
        <v>0</v>
      </c>
      <c r="N1117" s="7" t="n">
        <f aca="false">IF(ISBLANK(customer_churn_dataset!N1117),0,MAX(0,customer_churn_dataset!N1117))</f>
        <v>353.4</v>
      </c>
      <c r="O1117" s="7" t="n">
        <f aca="false">IF(ISBLANK(customer_churn_dataset!O1117),0,customer_churn_dataset!O1117)</f>
        <v>0</v>
      </c>
      <c r="P1117" s="7" t="str">
        <f aca="false">IF(COUNTIF(customer_churn_dataset!$A$2:$A$1501,customer_churn_dataset!A1117)&gt;1,"Duplicate","Unique")</f>
        <v>Unique</v>
      </c>
    </row>
    <row r="1118" customFormat="false" ht="14.15" hidden="false" customHeight="true" outlineLevel="0" collapsed="false">
      <c r="A1118" s="7" t="str">
        <f aca="false">TRIM(customer_churn_dataset!A1118)</f>
        <v>CUST100074</v>
      </c>
      <c r="B1118" s="7" t="str">
        <f aca="false">PROPER(TRIM(customer_churn_dataset!B1118))</f>
        <v>Standard</v>
      </c>
      <c r="C1118" s="7" t="str">
        <f aca="false">PROPER(TRIM(customer_churn_dataset!C1118))</f>
        <v>Month-To-Month</v>
      </c>
      <c r="D1118" s="7" t="n">
        <f aca="false">IF(ISBLANK(customer_churn_dataset!D1118),ROUND(MEDIAN(customer_churn_dataset!D$2:D$1501),2),IF(customer_churn_dataset!D1118&lt;0,ABS(customer_churn_dataset!D1118),customer_churn_dataset!D1118))</f>
        <v>19.19</v>
      </c>
      <c r="E1118" s="7" t="n">
        <f aca="false">IF(ISBLANK(customer_churn_dataset!E1118),0,MAX(0,customer_churn_dataset!E1118))</f>
        <v>9</v>
      </c>
      <c r="F1118" s="8" t="n">
        <f aca="false">IF(ISBLANK(customer_churn_dataset!F1118),"",customer_churn_dataset!F1118)</f>
        <v>45282</v>
      </c>
      <c r="G1118" s="7" t="str">
        <f aca="false">PROPER(TRIM(customer_churn_dataset!G1118))</f>
        <v>Credit Card</v>
      </c>
      <c r="H1118" s="7" t="n">
        <f aca="false">IF(ISBLANK(customer_churn_dataset!H1118),0,customer_churn_dataset!H1118)</f>
        <v>0</v>
      </c>
      <c r="I1118" s="7" t="n">
        <f aca="false">IF(ISBLANK(customer_churn_dataset!I1118),ROUND(MEDIAN(customer_churn_dataset!I$2:I$1501),1),MIN(100,MAX(0,customer_churn_dataset!I1118)))</f>
        <v>46.9</v>
      </c>
      <c r="J1118" s="7" t="n">
        <f aca="false">IF(ISBLANK(customer_churn_dataset!J1118),0,MAX(0,customer_churn_dataset!J1118))</f>
        <v>17</v>
      </c>
      <c r="K1118" s="7" t="n">
        <f aca="false">IF(ISBLANK(customer_churn_dataset!K1118),0,MIN(10,MAX(0,customer_churn_dataset!K1118)))</f>
        <v>4</v>
      </c>
      <c r="L1118" s="7" t="n">
        <f aca="false">IF(ISBLANK(customer_churn_dataset!L1118),0,MAX(0,customer_churn_dataset!L1118))</f>
        <v>1</v>
      </c>
      <c r="M1118" s="7" t="n">
        <f aca="false">IF(ISBLANK(customer_churn_dataset!M1118),0,customer_churn_dataset!M1118)</f>
        <v>0</v>
      </c>
      <c r="N1118" s="7" t="n">
        <f aca="false">IF(ISBLANK(customer_churn_dataset!N1118),0,MAX(0,customer_churn_dataset!N1118))</f>
        <v>172.71</v>
      </c>
      <c r="O1118" s="7" t="n">
        <f aca="false">IF(ISBLANK(customer_churn_dataset!O1118),0,customer_churn_dataset!O1118)</f>
        <v>1</v>
      </c>
      <c r="P1118" s="7" t="str">
        <f aca="false">IF(COUNTIF(customer_churn_dataset!$A$2:$A$1501,customer_churn_dataset!A1118)&gt;1,"Duplicate","Unique")</f>
        <v>Unique</v>
      </c>
    </row>
    <row r="1119" customFormat="false" ht="14.15" hidden="false" customHeight="true" outlineLevel="0" collapsed="false">
      <c r="A1119" s="7" t="str">
        <f aca="false">TRIM(customer_churn_dataset!A1119)</f>
        <v>CUST101193</v>
      </c>
      <c r="B1119" s="7" t="str">
        <f aca="false">PROPER(TRIM(customer_churn_dataset!B1119))</f>
        <v>Standard</v>
      </c>
      <c r="C1119" s="7" t="str">
        <f aca="false">PROPER(TRIM(customer_churn_dataset!C1119))</f>
        <v>Two Year</v>
      </c>
      <c r="D1119" s="7" t="n">
        <f aca="false">IF(ISBLANK(customer_churn_dataset!D1119),ROUND(MEDIAN(customer_churn_dataset!D$2:D$1501),2),IF(customer_churn_dataset!D1119&lt;0,ABS(customer_churn_dataset!D1119),customer_churn_dataset!D1119))</f>
        <v>18.62</v>
      </c>
      <c r="E1119" s="7" t="n">
        <f aca="false">IF(ISBLANK(customer_churn_dataset!E1119),0,MAX(0,customer_churn_dataset!E1119))</f>
        <v>39</v>
      </c>
      <c r="F1119" s="8" t="n">
        <f aca="false">IF(ISBLANK(customer_churn_dataset!F1119),"",customer_churn_dataset!F1119)</f>
        <v>45284</v>
      </c>
      <c r="G1119" s="7" t="str">
        <f aca="false">PROPER(TRIM(customer_churn_dataset!G1119))</f>
        <v>Bank Transfer</v>
      </c>
      <c r="H1119" s="7" t="n">
        <f aca="false">IF(ISBLANK(customer_churn_dataset!H1119),0,customer_churn_dataset!H1119)</f>
        <v>1</v>
      </c>
      <c r="I1119" s="7" t="n">
        <f aca="false">IF(ISBLANK(customer_churn_dataset!I1119),ROUND(MEDIAN(customer_churn_dataset!I$2:I$1501),1),MIN(100,MAX(0,customer_churn_dataset!I1119)))</f>
        <v>48.1</v>
      </c>
      <c r="J1119" s="7" t="n">
        <f aca="false">IF(ISBLANK(customer_churn_dataset!J1119),0,MAX(0,customer_churn_dataset!J1119))</f>
        <v>10</v>
      </c>
      <c r="K1119" s="7" t="n">
        <f aca="false">IF(ISBLANK(customer_churn_dataset!K1119),0,MIN(10,MAX(0,customer_churn_dataset!K1119)))</f>
        <v>4</v>
      </c>
      <c r="L1119" s="7" t="n">
        <f aca="false">IF(ISBLANK(customer_churn_dataset!L1119),0,MAX(0,customer_churn_dataset!L1119))</f>
        <v>0</v>
      </c>
      <c r="M1119" s="7" t="n">
        <f aca="false">IF(ISBLANK(customer_churn_dataset!M1119),0,customer_churn_dataset!M1119)</f>
        <v>0</v>
      </c>
      <c r="N1119" s="7" t="n">
        <f aca="false">IF(ISBLANK(customer_churn_dataset!N1119),0,MAX(0,customer_churn_dataset!N1119))</f>
        <v>726.18</v>
      </c>
      <c r="O1119" s="7" t="n">
        <f aca="false">IF(ISBLANK(customer_churn_dataset!O1119),0,customer_churn_dataset!O1119)</f>
        <v>0</v>
      </c>
      <c r="P1119" s="7" t="str">
        <f aca="false">IF(COUNTIF(customer_churn_dataset!$A$2:$A$1501,customer_churn_dataset!A1119)&gt;1,"Duplicate","Unique")</f>
        <v>Unique</v>
      </c>
    </row>
    <row r="1120" customFormat="false" ht="14.15" hidden="false" customHeight="true" outlineLevel="0" collapsed="false">
      <c r="A1120" s="7" t="str">
        <f aca="false">TRIM(customer_churn_dataset!A1120)</f>
        <v>CUST100262</v>
      </c>
      <c r="B1120" s="7" t="str">
        <f aca="false">PROPER(TRIM(customer_churn_dataset!B1120))</f>
        <v>Basic</v>
      </c>
      <c r="C1120" s="7" t="str">
        <f aca="false">PROPER(TRIM(customer_churn_dataset!C1120))</f>
        <v>One Year</v>
      </c>
      <c r="D1120" s="7" t="n">
        <f aca="false">IF(ISBLANK(customer_churn_dataset!D1120),ROUND(MEDIAN(customer_churn_dataset!D$2:D$1501),2),IF(customer_churn_dataset!D1120&lt;0,ABS(customer_churn_dataset!D1120),customer_churn_dataset!D1120))</f>
        <v>9.63</v>
      </c>
      <c r="E1120" s="7" t="n">
        <f aca="false">IF(ISBLANK(customer_churn_dataset!E1120),0,MAX(0,customer_churn_dataset!E1120))</f>
        <v>9</v>
      </c>
      <c r="F1120" s="8" t="n">
        <f aca="false">IF(ISBLANK(customer_churn_dataset!F1120),"",customer_churn_dataset!F1120)</f>
        <v>45284</v>
      </c>
      <c r="G1120" s="7" t="str">
        <f aca="false">PROPER(TRIM(customer_churn_dataset!G1120))</f>
        <v>Paypal</v>
      </c>
      <c r="H1120" s="7" t="n">
        <f aca="false">IF(ISBLANK(customer_churn_dataset!H1120),0,customer_churn_dataset!H1120)</f>
        <v>1</v>
      </c>
      <c r="I1120" s="7" t="n">
        <f aca="false">IF(ISBLANK(customer_churn_dataset!I1120),ROUND(MEDIAN(customer_churn_dataset!I$2:I$1501),1),MIN(100,MAX(0,customer_churn_dataset!I1120)))</f>
        <v>51.6</v>
      </c>
      <c r="J1120" s="7" t="n">
        <f aca="false">IF(ISBLANK(customer_churn_dataset!J1120),0,MAX(0,customer_churn_dataset!J1120))</f>
        <v>12</v>
      </c>
      <c r="K1120" s="7" t="n">
        <f aca="false">IF(ISBLANK(customer_churn_dataset!K1120),0,MIN(10,MAX(0,customer_churn_dataset!K1120)))</f>
        <v>5</v>
      </c>
      <c r="L1120" s="7" t="n">
        <f aca="false">IF(ISBLANK(customer_churn_dataset!L1120),0,MAX(0,customer_churn_dataset!L1120))</f>
        <v>0</v>
      </c>
      <c r="M1120" s="7" t="n">
        <f aca="false">IF(ISBLANK(customer_churn_dataset!M1120),0,customer_churn_dataset!M1120)</f>
        <v>0</v>
      </c>
      <c r="N1120" s="7" t="n">
        <f aca="false">IF(ISBLANK(customer_churn_dataset!N1120),0,MAX(0,customer_churn_dataset!N1120))</f>
        <v>86.67</v>
      </c>
      <c r="O1120" s="7" t="n">
        <f aca="false">IF(ISBLANK(customer_churn_dataset!O1120),0,customer_churn_dataset!O1120)</f>
        <v>0</v>
      </c>
      <c r="P1120" s="7" t="str">
        <f aca="false">IF(COUNTIF(customer_churn_dataset!$A$2:$A$1501,customer_churn_dataset!A1120)&gt;1,"Duplicate","Unique")</f>
        <v>Unique</v>
      </c>
    </row>
    <row r="1121" customFormat="false" ht="14.15" hidden="false" customHeight="true" outlineLevel="0" collapsed="false">
      <c r="A1121" s="7" t="str">
        <f aca="false">TRIM(customer_churn_dataset!A1121)</f>
        <v>CUST101384</v>
      </c>
      <c r="B1121" s="7" t="str">
        <f aca="false">PROPER(TRIM(customer_churn_dataset!B1121))</f>
        <v>Standard</v>
      </c>
      <c r="C1121" s="7" t="str">
        <f aca="false">PROPER(TRIM(customer_churn_dataset!C1121))</f>
        <v>Month-To-Month</v>
      </c>
      <c r="D1121" s="7" t="n">
        <f aca="false">IF(ISBLANK(customer_churn_dataset!D1121),ROUND(MEDIAN(customer_churn_dataset!D$2:D$1501),2),IF(customer_churn_dataset!D1121&lt;0,ABS(customer_churn_dataset!D1121),customer_churn_dataset!D1121))</f>
        <v>22.42</v>
      </c>
      <c r="E1121" s="7" t="n">
        <f aca="false">IF(ISBLANK(customer_churn_dataset!E1121),0,MAX(0,customer_churn_dataset!E1121))</f>
        <v>13</v>
      </c>
      <c r="F1121" s="8" t="n">
        <f aca="false">IF(ISBLANK(customer_churn_dataset!F1121),"",customer_churn_dataset!F1121)</f>
        <v>45284</v>
      </c>
      <c r="G1121" s="7" t="str">
        <f aca="false">PROPER(TRIM(customer_churn_dataset!G1121))</f>
        <v>Credit Card</v>
      </c>
      <c r="H1121" s="7" t="n">
        <f aca="false">IF(ISBLANK(customer_churn_dataset!H1121),0,customer_churn_dataset!H1121)</f>
        <v>1</v>
      </c>
      <c r="I1121" s="7" t="n">
        <f aca="false">IF(ISBLANK(customer_churn_dataset!I1121),ROUND(MEDIAN(customer_churn_dataset!I$2:I$1501),1),MIN(100,MAX(0,customer_churn_dataset!I1121)))</f>
        <v>68.3</v>
      </c>
      <c r="J1121" s="7" t="n">
        <f aca="false">IF(ISBLANK(customer_churn_dataset!J1121),0,MAX(0,customer_churn_dataset!J1121))</f>
        <v>26</v>
      </c>
      <c r="K1121" s="7" t="n">
        <f aca="false">IF(ISBLANK(customer_churn_dataset!K1121),0,MIN(10,MAX(0,customer_churn_dataset!K1121)))</f>
        <v>6</v>
      </c>
      <c r="L1121" s="7" t="n">
        <f aca="false">IF(ISBLANK(customer_churn_dataset!L1121),0,MAX(0,customer_churn_dataset!L1121))</f>
        <v>3</v>
      </c>
      <c r="M1121" s="7" t="n">
        <f aca="false">IF(ISBLANK(customer_churn_dataset!M1121),0,customer_churn_dataset!M1121)</f>
        <v>0</v>
      </c>
      <c r="N1121" s="7" t="n">
        <f aca="false">IF(ISBLANK(customer_churn_dataset!N1121),0,MAX(0,customer_churn_dataset!N1121))</f>
        <v>291.46</v>
      </c>
      <c r="O1121" s="7" t="n">
        <f aca="false">IF(ISBLANK(customer_churn_dataset!O1121),0,customer_churn_dataset!O1121)</f>
        <v>0</v>
      </c>
      <c r="P1121" s="7" t="str">
        <f aca="false">IF(COUNTIF(customer_churn_dataset!$A$2:$A$1501,customer_churn_dataset!A1121)&gt;1,"Duplicate","Unique")</f>
        <v>Unique</v>
      </c>
    </row>
    <row r="1122" customFormat="false" ht="14.15" hidden="false" customHeight="true" outlineLevel="0" collapsed="false">
      <c r="A1122" s="7" t="str">
        <f aca="false">TRIM(customer_churn_dataset!A1122)</f>
        <v>CUST100492</v>
      </c>
      <c r="B1122" s="7" t="str">
        <f aca="false">PROPER(TRIM(customer_churn_dataset!B1122))</f>
        <v>Basic</v>
      </c>
      <c r="C1122" s="7" t="str">
        <f aca="false">PROPER(TRIM(customer_churn_dataset!C1122))</f>
        <v>Month-To-Month</v>
      </c>
      <c r="D1122" s="7" t="n">
        <f aca="false">IF(ISBLANK(customer_churn_dataset!D1122),ROUND(MEDIAN(customer_churn_dataset!D$2:D$1501),2),IF(customer_churn_dataset!D1122&lt;0,ABS(customer_churn_dataset!D1122),customer_churn_dataset!D1122))</f>
        <v>10.18</v>
      </c>
      <c r="E1122" s="7" t="n">
        <f aca="false">IF(ISBLANK(customer_churn_dataset!E1122),0,MAX(0,customer_churn_dataset!E1122))</f>
        <v>42</v>
      </c>
      <c r="F1122" s="8" t="n">
        <f aca="false">IF(ISBLANK(customer_churn_dataset!F1122),"",customer_churn_dataset!F1122)</f>
        <v>45286</v>
      </c>
      <c r="G1122" s="7" t="str">
        <f aca="false">PROPER(TRIM(customer_churn_dataset!G1122))</f>
        <v>Manual/Invoice</v>
      </c>
      <c r="H1122" s="7" t="n">
        <f aca="false">IF(ISBLANK(customer_churn_dataset!H1122),0,customer_churn_dataset!H1122)</f>
        <v>1</v>
      </c>
      <c r="I1122" s="7" t="n">
        <f aca="false">IF(ISBLANK(customer_churn_dataset!I1122),ROUND(MEDIAN(customer_churn_dataset!I$2:I$1501),1),MIN(100,MAX(0,customer_churn_dataset!I1122)))</f>
        <v>50.2</v>
      </c>
      <c r="J1122" s="7" t="n">
        <f aca="false">IF(ISBLANK(customer_churn_dataset!J1122),0,MAX(0,customer_churn_dataset!J1122))</f>
        <v>15</v>
      </c>
      <c r="K1122" s="7" t="n">
        <f aca="false">IF(ISBLANK(customer_churn_dataset!K1122),0,MIN(10,MAX(0,customer_churn_dataset!K1122)))</f>
        <v>9</v>
      </c>
      <c r="L1122" s="7" t="n">
        <f aca="false">IF(ISBLANK(customer_churn_dataset!L1122),0,MAX(0,customer_churn_dataset!L1122))</f>
        <v>2</v>
      </c>
      <c r="M1122" s="7" t="n">
        <f aca="false">IF(ISBLANK(customer_churn_dataset!M1122),0,customer_churn_dataset!M1122)</f>
        <v>0</v>
      </c>
      <c r="N1122" s="7" t="n">
        <f aca="false">IF(ISBLANK(customer_churn_dataset!N1122),0,MAX(0,customer_churn_dataset!N1122))</f>
        <v>427.56</v>
      </c>
      <c r="O1122" s="7" t="n">
        <f aca="false">IF(ISBLANK(customer_churn_dataset!O1122),0,customer_churn_dataset!O1122)</f>
        <v>0</v>
      </c>
      <c r="P1122" s="7" t="str">
        <f aca="false">IF(COUNTIF(customer_churn_dataset!$A$2:$A$1501,customer_churn_dataset!A1122)&gt;1,"Duplicate","Unique")</f>
        <v>Unique</v>
      </c>
    </row>
    <row r="1123" customFormat="false" ht="14.15" hidden="false" customHeight="true" outlineLevel="0" collapsed="false">
      <c r="A1123" s="7" t="str">
        <f aca="false">TRIM(customer_churn_dataset!A1123)</f>
        <v>CUST101183</v>
      </c>
      <c r="B1123" s="7" t="str">
        <f aca="false">PROPER(TRIM(customer_churn_dataset!B1123))</f>
        <v>Premium</v>
      </c>
      <c r="C1123" s="7" t="str">
        <f aca="false">PROPER(TRIM(customer_churn_dataset!C1123))</f>
        <v>One Year</v>
      </c>
      <c r="D1123" s="7" t="n">
        <f aca="false">IF(ISBLANK(customer_churn_dataset!D1123),ROUND(MEDIAN(customer_churn_dataset!D$2:D$1501),2),IF(customer_churn_dataset!D1123&lt;0,ABS(customer_churn_dataset!D1123),customer_churn_dataset!D1123))</f>
        <v>39.46</v>
      </c>
      <c r="E1123" s="7" t="n">
        <f aca="false">IF(ISBLANK(customer_churn_dataset!E1123),0,MAX(0,customer_churn_dataset!E1123))</f>
        <v>60</v>
      </c>
      <c r="F1123" s="8" t="n">
        <f aca="false">IF(ISBLANK(customer_churn_dataset!F1123),"",customer_churn_dataset!F1123)</f>
        <v>45286</v>
      </c>
      <c r="G1123" s="7" t="str">
        <f aca="false">PROPER(TRIM(customer_churn_dataset!G1123))</f>
        <v>Bank Transfer</v>
      </c>
      <c r="H1123" s="7" t="n">
        <f aca="false">IF(ISBLANK(customer_churn_dataset!H1123),0,customer_churn_dataset!H1123)</f>
        <v>1</v>
      </c>
      <c r="I1123" s="7" t="n">
        <f aca="false">IF(ISBLANK(customer_churn_dataset!I1123),ROUND(MEDIAN(customer_churn_dataset!I$2:I$1501),1),MIN(100,MAX(0,customer_churn_dataset!I1123)))</f>
        <v>39.1</v>
      </c>
      <c r="J1123" s="7" t="n">
        <f aca="false">IF(ISBLANK(customer_churn_dataset!J1123),0,MAX(0,customer_churn_dataset!J1123))</f>
        <v>10</v>
      </c>
      <c r="K1123" s="7" t="n">
        <f aca="false">IF(ISBLANK(customer_churn_dataset!K1123),0,MIN(10,MAX(0,customer_churn_dataset!K1123)))</f>
        <v>4</v>
      </c>
      <c r="L1123" s="7" t="n">
        <f aca="false">IF(ISBLANK(customer_churn_dataset!L1123),0,MAX(0,customer_churn_dataset!L1123))</f>
        <v>1</v>
      </c>
      <c r="M1123" s="7" t="n">
        <f aca="false">IF(ISBLANK(customer_churn_dataset!M1123),0,customer_churn_dataset!M1123)</f>
        <v>1</v>
      </c>
      <c r="N1123" s="7" t="n">
        <f aca="false">IF(ISBLANK(customer_churn_dataset!N1123),0,MAX(0,customer_churn_dataset!N1123))</f>
        <v>2367.6</v>
      </c>
      <c r="O1123" s="7" t="n">
        <f aca="false">IF(ISBLANK(customer_churn_dataset!O1123),0,customer_churn_dataset!O1123)</f>
        <v>0</v>
      </c>
      <c r="P1123" s="7" t="str">
        <f aca="false">IF(COUNTIF(customer_churn_dataset!$A$2:$A$1501,customer_churn_dataset!A1123)&gt;1,"Duplicate","Unique")</f>
        <v>Unique</v>
      </c>
    </row>
    <row r="1124" customFormat="false" ht="14.15" hidden="false" customHeight="true" outlineLevel="0" collapsed="false">
      <c r="A1124" s="7" t="str">
        <f aca="false">TRIM(customer_churn_dataset!A1124)</f>
        <v>CUST101363</v>
      </c>
      <c r="B1124" s="7" t="str">
        <f aca="false">PROPER(TRIM(customer_churn_dataset!B1124))</f>
        <v>Standard</v>
      </c>
      <c r="C1124" s="7" t="str">
        <f aca="false">PROPER(TRIM(customer_churn_dataset!C1124))</f>
        <v>Month-To-Month</v>
      </c>
      <c r="D1124" s="7" t="n">
        <f aca="false">IF(ISBLANK(customer_churn_dataset!D1124),ROUND(MEDIAN(customer_churn_dataset!D$2:D$1501),2),IF(customer_churn_dataset!D1124&lt;0,ABS(customer_churn_dataset!D1124),customer_churn_dataset!D1124))</f>
        <v>19.68</v>
      </c>
      <c r="E1124" s="7" t="n">
        <f aca="false">IF(ISBLANK(customer_churn_dataset!E1124),0,MAX(0,customer_churn_dataset!E1124))</f>
        <v>10</v>
      </c>
      <c r="F1124" s="8" t="n">
        <f aca="false">IF(ISBLANK(customer_churn_dataset!F1124),"",customer_churn_dataset!F1124)</f>
        <v>45288</v>
      </c>
      <c r="G1124" s="7" t="str">
        <f aca="false">PROPER(TRIM(customer_churn_dataset!G1124))</f>
        <v>Paypal</v>
      </c>
      <c r="H1124" s="7" t="n">
        <f aca="false">IF(ISBLANK(customer_churn_dataset!H1124),0,customer_churn_dataset!H1124)</f>
        <v>1</v>
      </c>
      <c r="I1124" s="7" t="n">
        <f aca="false">IF(ISBLANK(customer_churn_dataset!I1124),ROUND(MEDIAN(customer_churn_dataset!I$2:I$1501),1),MIN(100,MAX(0,customer_churn_dataset!I1124)))</f>
        <v>72.5</v>
      </c>
      <c r="J1124" s="7" t="n">
        <f aca="false">IF(ISBLANK(customer_churn_dataset!J1124),0,MAX(0,customer_churn_dataset!J1124))</f>
        <v>19</v>
      </c>
      <c r="K1124" s="7" t="n">
        <f aca="false">IF(ISBLANK(customer_churn_dataset!K1124),0,MIN(10,MAX(0,customer_churn_dataset!K1124)))</f>
        <v>7</v>
      </c>
      <c r="L1124" s="7" t="n">
        <f aca="false">IF(ISBLANK(customer_churn_dataset!L1124),0,MAX(0,customer_churn_dataset!L1124))</f>
        <v>1</v>
      </c>
      <c r="M1124" s="7" t="n">
        <f aca="false">IF(ISBLANK(customer_churn_dataset!M1124),0,customer_churn_dataset!M1124)</f>
        <v>0</v>
      </c>
      <c r="N1124" s="7" t="n">
        <f aca="false">IF(ISBLANK(customer_churn_dataset!N1124),0,MAX(0,customer_churn_dataset!N1124))</f>
        <v>196.8</v>
      </c>
      <c r="O1124" s="7" t="n">
        <f aca="false">IF(ISBLANK(customer_churn_dataset!O1124),0,customer_churn_dataset!O1124)</f>
        <v>0</v>
      </c>
      <c r="P1124" s="7" t="str">
        <f aca="false">IF(COUNTIF(customer_churn_dataset!$A$2:$A$1501,customer_churn_dataset!A1124)&gt;1,"Duplicate","Unique")</f>
        <v>Unique</v>
      </c>
    </row>
    <row r="1125" customFormat="false" ht="14.15" hidden="false" customHeight="true" outlineLevel="0" collapsed="false">
      <c r="A1125" s="7" t="str">
        <f aca="false">TRIM(customer_churn_dataset!A1125)</f>
        <v>CUST100558</v>
      </c>
      <c r="B1125" s="7" t="str">
        <f aca="false">PROPER(TRIM(customer_churn_dataset!B1125))</f>
        <v>Standard</v>
      </c>
      <c r="C1125" s="7" t="str">
        <f aca="false">PROPER(TRIM(customer_churn_dataset!C1125))</f>
        <v>Two Year</v>
      </c>
      <c r="D1125" s="7" t="n">
        <f aca="false">IF(ISBLANK(customer_churn_dataset!D1125),ROUND(MEDIAN(customer_churn_dataset!D$2:D$1501),2),IF(customer_churn_dataset!D1125&lt;0,ABS(customer_churn_dataset!D1125),customer_churn_dataset!D1125))</f>
        <v>20.7</v>
      </c>
      <c r="E1125" s="7" t="n">
        <f aca="false">IF(ISBLANK(customer_churn_dataset!E1125),0,MAX(0,customer_churn_dataset!E1125))</f>
        <v>12</v>
      </c>
      <c r="F1125" s="8" t="n">
        <f aca="false">IF(ISBLANK(customer_churn_dataset!F1125),"",customer_churn_dataset!F1125)</f>
        <v>45289</v>
      </c>
      <c r="G1125" s="7" t="str">
        <f aca="false">PROPER(TRIM(customer_churn_dataset!G1125))</f>
        <v>Paypal</v>
      </c>
      <c r="H1125" s="7" t="n">
        <f aca="false">IF(ISBLANK(customer_churn_dataset!H1125),0,customer_churn_dataset!H1125)</f>
        <v>0</v>
      </c>
      <c r="I1125" s="7" t="n">
        <f aca="false">IF(ISBLANK(customer_churn_dataset!I1125),ROUND(MEDIAN(customer_churn_dataset!I$2:I$1501),1),MIN(100,MAX(0,customer_churn_dataset!I1125)))</f>
        <v>96.3</v>
      </c>
      <c r="J1125" s="7" t="n">
        <f aca="false">IF(ISBLANK(customer_churn_dataset!J1125),0,MAX(0,customer_churn_dataset!J1125))</f>
        <v>28</v>
      </c>
      <c r="K1125" s="7" t="n">
        <f aca="false">IF(ISBLANK(customer_churn_dataset!K1125),0,MIN(10,MAX(0,customer_churn_dataset!K1125)))</f>
        <v>9</v>
      </c>
      <c r="L1125" s="7" t="n">
        <f aca="false">IF(ISBLANK(customer_churn_dataset!L1125),0,MAX(0,customer_churn_dataset!L1125))</f>
        <v>2</v>
      </c>
      <c r="M1125" s="7" t="n">
        <f aca="false">IF(ISBLANK(customer_churn_dataset!M1125),0,customer_churn_dataset!M1125)</f>
        <v>0</v>
      </c>
      <c r="N1125" s="7" t="n">
        <f aca="false">IF(ISBLANK(customer_churn_dataset!N1125),0,MAX(0,customer_churn_dataset!N1125))</f>
        <v>248.4</v>
      </c>
      <c r="O1125" s="7" t="n">
        <f aca="false">IF(ISBLANK(customer_churn_dataset!O1125),0,customer_churn_dataset!O1125)</f>
        <v>0</v>
      </c>
      <c r="P1125" s="7" t="str">
        <f aca="false">IF(COUNTIF(customer_churn_dataset!$A$2:$A$1501,customer_churn_dataset!A1125)&gt;1,"Duplicate","Unique")</f>
        <v>Unique</v>
      </c>
    </row>
    <row r="1126" customFormat="false" ht="14.15" hidden="false" customHeight="true" outlineLevel="0" collapsed="false">
      <c r="A1126" s="7" t="str">
        <f aca="false">TRIM(customer_churn_dataset!A1126)</f>
        <v>CUST100619</v>
      </c>
      <c r="B1126" s="7" t="str">
        <f aca="false">PROPER(TRIM(customer_churn_dataset!B1126))</f>
        <v>Standard</v>
      </c>
      <c r="C1126" s="7" t="str">
        <f aca="false">PROPER(TRIM(customer_churn_dataset!C1126))</f>
        <v>Two Year</v>
      </c>
      <c r="D1126" s="7" t="n">
        <f aca="false">IF(ISBLANK(customer_churn_dataset!D1126),ROUND(MEDIAN(customer_churn_dataset!D$2:D$1501),2),IF(customer_churn_dataset!D1126&lt;0,ABS(customer_churn_dataset!D1126),customer_churn_dataset!D1126))</f>
        <v>19.3</v>
      </c>
      <c r="E1126" s="7" t="n">
        <f aca="false">IF(ISBLANK(customer_churn_dataset!E1126),0,MAX(0,customer_churn_dataset!E1126))</f>
        <v>72</v>
      </c>
      <c r="F1126" s="8" t="n">
        <f aca="false">IF(ISBLANK(customer_churn_dataset!F1126),"",customer_churn_dataset!F1126)</f>
        <v>45292</v>
      </c>
      <c r="G1126" s="7" t="str">
        <f aca="false">PROPER(TRIM(customer_churn_dataset!G1126))</f>
        <v>Credit Card</v>
      </c>
      <c r="H1126" s="7" t="n">
        <f aca="false">IF(ISBLANK(customer_churn_dataset!H1126),0,customer_churn_dataset!H1126)</f>
        <v>0</v>
      </c>
      <c r="I1126" s="7" t="n">
        <f aca="false">IF(ISBLANK(customer_churn_dataset!I1126),ROUND(MEDIAN(customer_churn_dataset!I$2:I$1501),1),MIN(100,MAX(0,customer_churn_dataset!I1126)))</f>
        <v>44.1</v>
      </c>
      <c r="J1126" s="7" t="n">
        <f aca="false">IF(ISBLANK(customer_churn_dataset!J1126),0,MAX(0,customer_churn_dataset!J1126))</f>
        <v>11</v>
      </c>
      <c r="K1126" s="7" t="n">
        <f aca="false">IF(ISBLANK(customer_churn_dataset!K1126),0,MIN(10,MAX(0,customer_churn_dataset!K1126)))</f>
        <v>6</v>
      </c>
      <c r="L1126" s="7" t="n">
        <f aca="false">IF(ISBLANK(customer_churn_dataset!L1126),0,MAX(0,customer_churn_dataset!L1126))</f>
        <v>2</v>
      </c>
      <c r="M1126" s="7" t="n">
        <f aca="false">IF(ISBLANK(customer_churn_dataset!M1126),0,customer_churn_dataset!M1126)</f>
        <v>0</v>
      </c>
      <c r="N1126" s="7" t="n">
        <f aca="false">IF(ISBLANK(customer_churn_dataset!N1126),0,MAX(0,customer_churn_dataset!N1126))</f>
        <v>1389.6</v>
      </c>
      <c r="O1126" s="7" t="n">
        <f aca="false">IF(ISBLANK(customer_churn_dataset!O1126),0,customer_churn_dataset!O1126)</f>
        <v>0</v>
      </c>
      <c r="P1126" s="7" t="str">
        <f aca="false">IF(COUNTIF(customer_churn_dataset!$A$2:$A$1501,customer_churn_dataset!A1126)&gt;1,"Duplicate","Unique")</f>
        <v>Unique</v>
      </c>
    </row>
    <row r="1127" customFormat="false" ht="14.15" hidden="false" customHeight="true" outlineLevel="0" collapsed="false">
      <c r="A1127" s="7" t="str">
        <f aca="false">TRIM(customer_churn_dataset!A1127)</f>
        <v>CUST100903</v>
      </c>
      <c r="B1127" s="7" t="str">
        <f aca="false">PROPER(TRIM(customer_churn_dataset!B1127))</f>
        <v>Standard</v>
      </c>
      <c r="C1127" s="7" t="str">
        <f aca="false">PROPER(TRIM(customer_churn_dataset!C1127))</f>
        <v>Two Year</v>
      </c>
      <c r="D1127" s="7" t="n">
        <f aca="false">IF(ISBLANK(customer_churn_dataset!D1127),ROUND(MEDIAN(customer_churn_dataset!D$2:D$1501),2),IF(customer_churn_dataset!D1127&lt;0,ABS(customer_churn_dataset!D1127),customer_churn_dataset!D1127))</f>
        <v>19.89</v>
      </c>
      <c r="E1127" s="7" t="n">
        <f aca="false">IF(ISBLANK(customer_churn_dataset!E1127),0,MAX(0,customer_churn_dataset!E1127))</f>
        <v>53</v>
      </c>
      <c r="F1127" s="8" t="n">
        <f aca="false">IF(ISBLANK(customer_churn_dataset!F1127),"",customer_churn_dataset!F1127)</f>
        <v>45292</v>
      </c>
      <c r="G1127" s="7" t="str">
        <f aca="false">PROPER(TRIM(customer_churn_dataset!G1127))</f>
        <v>Credit Card</v>
      </c>
      <c r="H1127" s="7" t="n">
        <f aca="false">IF(ISBLANK(customer_churn_dataset!H1127),0,customer_churn_dataset!H1127)</f>
        <v>0</v>
      </c>
      <c r="I1127" s="7" t="n">
        <f aca="false">IF(ISBLANK(customer_churn_dataset!I1127),ROUND(MEDIAN(customer_churn_dataset!I$2:I$1501),1),MIN(100,MAX(0,customer_churn_dataset!I1127)))</f>
        <v>49</v>
      </c>
      <c r="J1127" s="7" t="n">
        <f aca="false">IF(ISBLANK(customer_churn_dataset!J1127),0,MAX(0,customer_churn_dataset!J1127))</f>
        <v>16</v>
      </c>
      <c r="K1127" s="7" t="n">
        <f aca="false">IF(ISBLANK(customer_churn_dataset!K1127),0,MIN(10,MAX(0,customer_churn_dataset!K1127)))</f>
        <v>4</v>
      </c>
      <c r="L1127" s="7" t="n">
        <f aca="false">IF(ISBLANK(customer_churn_dataset!L1127),0,MAX(0,customer_churn_dataset!L1127))</f>
        <v>5</v>
      </c>
      <c r="M1127" s="7" t="n">
        <f aca="false">IF(ISBLANK(customer_churn_dataset!M1127),0,customer_churn_dataset!M1127)</f>
        <v>1</v>
      </c>
      <c r="N1127" s="7" t="n">
        <f aca="false">IF(ISBLANK(customer_churn_dataset!N1127),0,MAX(0,customer_churn_dataset!N1127))</f>
        <v>1054.17</v>
      </c>
      <c r="O1127" s="7" t="n">
        <f aca="false">IF(ISBLANK(customer_churn_dataset!O1127),0,customer_churn_dataset!O1127)</f>
        <v>0</v>
      </c>
      <c r="P1127" s="7" t="str">
        <f aca="false">IF(COUNTIF(customer_churn_dataset!$A$2:$A$1501,customer_churn_dataset!A1127)&gt;1,"Duplicate","Unique")</f>
        <v>Unique</v>
      </c>
    </row>
    <row r="1128" customFormat="false" ht="14.15" hidden="false" customHeight="true" outlineLevel="0" collapsed="false">
      <c r="A1128" s="7" t="str">
        <f aca="false">TRIM(customer_churn_dataset!A1128)</f>
        <v>CUST100989</v>
      </c>
      <c r="B1128" s="7" t="str">
        <f aca="false">PROPER(TRIM(customer_churn_dataset!B1128))</f>
        <v>Premium</v>
      </c>
      <c r="C1128" s="7" t="str">
        <f aca="false">PROPER(TRIM(customer_churn_dataset!C1128))</f>
        <v>One Year</v>
      </c>
      <c r="D1128" s="7" t="n">
        <f aca="false">IF(ISBLANK(customer_churn_dataset!D1128),ROUND(MEDIAN(customer_churn_dataset!D$2:D$1501),2),IF(customer_churn_dataset!D1128&lt;0,ABS(customer_churn_dataset!D1128),customer_churn_dataset!D1128))</f>
        <v>38.35</v>
      </c>
      <c r="E1128" s="7" t="n">
        <f aca="false">IF(ISBLANK(customer_churn_dataset!E1128),0,MAX(0,customer_churn_dataset!E1128))</f>
        <v>31</v>
      </c>
      <c r="F1128" s="8" t="n">
        <f aca="false">IF(ISBLANK(customer_churn_dataset!F1128),"",customer_churn_dataset!F1128)</f>
        <v>45294</v>
      </c>
      <c r="G1128" s="7" t="str">
        <f aca="false">PROPER(TRIM(customer_churn_dataset!G1128))</f>
        <v>Bank Transfer</v>
      </c>
      <c r="H1128" s="7" t="n">
        <f aca="false">IF(ISBLANK(customer_churn_dataset!H1128),0,customer_churn_dataset!H1128)</f>
        <v>1</v>
      </c>
      <c r="I1128" s="7" t="n">
        <f aca="false">IF(ISBLANK(customer_churn_dataset!I1128),ROUND(MEDIAN(customer_churn_dataset!I$2:I$1501),1),MIN(100,MAX(0,customer_churn_dataset!I1128)))</f>
        <v>14.5</v>
      </c>
      <c r="J1128" s="7" t="n">
        <f aca="false">IF(ISBLANK(customer_churn_dataset!J1128),0,MAX(0,customer_churn_dataset!J1128))</f>
        <v>5</v>
      </c>
      <c r="K1128" s="7" t="n">
        <f aca="false">IF(ISBLANK(customer_churn_dataset!K1128),0,MIN(10,MAX(0,customer_churn_dataset!K1128)))</f>
        <v>5</v>
      </c>
      <c r="L1128" s="7" t="n">
        <f aca="false">IF(ISBLANK(customer_churn_dataset!L1128),0,MAX(0,customer_churn_dataset!L1128))</f>
        <v>1</v>
      </c>
      <c r="M1128" s="7" t="n">
        <f aca="false">IF(ISBLANK(customer_churn_dataset!M1128),0,customer_churn_dataset!M1128)</f>
        <v>0</v>
      </c>
      <c r="N1128" s="7" t="n">
        <f aca="false">IF(ISBLANK(customer_churn_dataset!N1128),0,MAX(0,customer_churn_dataset!N1128))</f>
        <v>1188.85</v>
      </c>
      <c r="O1128" s="7" t="n">
        <f aca="false">IF(ISBLANK(customer_churn_dataset!O1128),0,customer_churn_dataset!O1128)</f>
        <v>0</v>
      </c>
      <c r="P1128" s="7" t="str">
        <f aca="false">IF(COUNTIF(customer_churn_dataset!$A$2:$A$1501,customer_churn_dataset!A1128)&gt;1,"Duplicate","Unique")</f>
        <v>Unique</v>
      </c>
    </row>
    <row r="1129" customFormat="false" ht="14.15" hidden="false" customHeight="true" outlineLevel="0" collapsed="false">
      <c r="A1129" s="7" t="str">
        <f aca="false">TRIM(customer_churn_dataset!A1129)</f>
        <v>CUST100973</v>
      </c>
      <c r="B1129" s="7" t="str">
        <f aca="false">PROPER(TRIM(customer_churn_dataset!B1129))</f>
        <v>Basic</v>
      </c>
      <c r="C1129" s="7" t="str">
        <f aca="false">PROPER(TRIM(customer_churn_dataset!C1129))</f>
        <v>Month-To-Month</v>
      </c>
      <c r="D1129" s="7" t="n">
        <f aca="false">IF(ISBLANK(customer_churn_dataset!D1129),ROUND(MEDIAN(customer_churn_dataset!D$2:D$1501),2),IF(customer_churn_dataset!D1129&lt;0,ABS(customer_churn_dataset!D1129),customer_churn_dataset!D1129))</f>
        <v>10.58</v>
      </c>
      <c r="E1129" s="7" t="n">
        <f aca="false">IF(ISBLANK(customer_churn_dataset!E1129),0,MAX(0,customer_churn_dataset!E1129))</f>
        <v>21</v>
      </c>
      <c r="F1129" s="8" t="n">
        <f aca="false">IF(ISBLANK(customer_churn_dataset!F1129),"",customer_churn_dataset!F1129)</f>
        <v>45295</v>
      </c>
      <c r="G1129" s="7" t="str">
        <f aca="false">PROPER(TRIM(customer_churn_dataset!G1129))</f>
        <v>Paypal</v>
      </c>
      <c r="H1129" s="7" t="n">
        <f aca="false">IF(ISBLANK(customer_churn_dataset!H1129),0,customer_churn_dataset!H1129)</f>
        <v>0</v>
      </c>
      <c r="I1129" s="7" t="n">
        <f aca="false">IF(ISBLANK(customer_churn_dataset!I1129),ROUND(MEDIAN(customer_churn_dataset!I$2:I$1501),1),MIN(100,MAX(0,customer_churn_dataset!I1129)))</f>
        <v>67.1</v>
      </c>
      <c r="J1129" s="7" t="n">
        <f aca="false">IF(ISBLANK(customer_churn_dataset!J1129),0,MAX(0,customer_churn_dataset!J1129))</f>
        <v>25</v>
      </c>
      <c r="K1129" s="7" t="n">
        <f aca="false">IF(ISBLANK(customer_churn_dataset!K1129),0,MIN(10,MAX(0,customer_churn_dataset!K1129)))</f>
        <v>7</v>
      </c>
      <c r="L1129" s="7" t="n">
        <f aca="false">IF(ISBLANK(customer_churn_dataset!L1129),0,MAX(0,customer_churn_dataset!L1129))</f>
        <v>1</v>
      </c>
      <c r="M1129" s="7" t="n">
        <f aca="false">IF(ISBLANK(customer_churn_dataset!M1129),0,customer_churn_dataset!M1129)</f>
        <v>1</v>
      </c>
      <c r="N1129" s="7" t="n">
        <f aca="false">IF(ISBLANK(customer_churn_dataset!N1129),0,MAX(0,customer_churn_dataset!N1129))</f>
        <v>222.18</v>
      </c>
      <c r="O1129" s="7" t="n">
        <f aca="false">IF(ISBLANK(customer_churn_dataset!O1129),0,customer_churn_dataset!O1129)</f>
        <v>0</v>
      </c>
      <c r="P1129" s="7" t="str">
        <f aca="false">IF(COUNTIF(customer_churn_dataset!$A$2:$A$1501,customer_churn_dataset!A1129)&gt;1,"Duplicate","Unique")</f>
        <v>Unique</v>
      </c>
    </row>
    <row r="1130" customFormat="false" ht="14.15" hidden="false" customHeight="true" outlineLevel="0" collapsed="false">
      <c r="A1130" s="7" t="str">
        <f aca="false">TRIM(customer_churn_dataset!A1130)</f>
        <v>CUST100260</v>
      </c>
      <c r="B1130" s="7" t="str">
        <f aca="false">PROPER(TRIM(customer_churn_dataset!B1130))</f>
        <v>Standard</v>
      </c>
      <c r="C1130" s="7" t="str">
        <f aca="false">PROPER(TRIM(customer_churn_dataset!C1130))</f>
        <v>Month-To-Month</v>
      </c>
      <c r="D1130" s="7" t="n">
        <f aca="false">IF(ISBLANK(customer_churn_dataset!D1130),ROUND(MEDIAN(customer_churn_dataset!D$2:D$1501),2),IF(customer_churn_dataset!D1130&lt;0,ABS(customer_churn_dataset!D1130),customer_churn_dataset!D1130))</f>
        <v>20.53</v>
      </c>
      <c r="E1130" s="7" t="n">
        <f aca="false">IF(ISBLANK(customer_churn_dataset!E1130),0,MAX(0,customer_churn_dataset!E1130))</f>
        <v>17</v>
      </c>
      <c r="F1130" s="8" t="n">
        <f aca="false">IF(ISBLANK(customer_churn_dataset!F1130),"",customer_churn_dataset!F1130)</f>
        <v>45295</v>
      </c>
      <c r="G1130" s="7" t="str">
        <f aca="false">PROPER(TRIM(customer_churn_dataset!G1130))</f>
        <v>Bank Transfer</v>
      </c>
      <c r="H1130" s="7" t="n">
        <f aca="false">IF(ISBLANK(customer_churn_dataset!H1130),0,customer_churn_dataset!H1130)</f>
        <v>1</v>
      </c>
      <c r="I1130" s="7" t="n">
        <f aca="false">IF(ISBLANK(customer_churn_dataset!I1130),ROUND(MEDIAN(customer_churn_dataset!I$2:I$1501),1),MIN(100,MAX(0,customer_churn_dataset!I1130)))</f>
        <v>47.4</v>
      </c>
      <c r="J1130" s="7" t="n">
        <f aca="false">IF(ISBLANK(customer_churn_dataset!J1130),0,MAX(0,customer_churn_dataset!J1130))</f>
        <v>12</v>
      </c>
      <c r="K1130" s="7" t="n">
        <f aca="false">IF(ISBLANK(customer_churn_dataset!K1130),0,MIN(10,MAX(0,customer_churn_dataset!K1130)))</f>
        <v>5</v>
      </c>
      <c r="L1130" s="7" t="n">
        <f aca="false">IF(ISBLANK(customer_churn_dataset!L1130),0,MAX(0,customer_churn_dataset!L1130))</f>
        <v>1</v>
      </c>
      <c r="M1130" s="7" t="n">
        <f aca="false">IF(ISBLANK(customer_churn_dataset!M1130),0,customer_churn_dataset!M1130)</f>
        <v>0</v>
      </c>
      <c r="N1130" s="7" t="n">
        <f aca="false">IF(ISBLANK(customer_churn_dataset!N1130),0,MAX(0,customer_churn_dataset!N1130))</f>
        <v>349.01</v>
      </c>
      <c r="O1130" s="7" t="n">
        <f aca="false">IF(ISBLANK(customer_churn_dataset!O1130),0,customer_churn_dataset!O1130)</f>
        <v>0</v>
      </c>
      <c r="P1130" s="7" t="str">
        <f aca="false">IF(COUNTIF(customer_churn_dataset!$A$2:$A$1501,customer_churn_dataset!A1130)&gt;1,"Duplicate","Unique")</f>
        <v>Unique</v>
      </c>
    </row>
    <row r="1131" customFormat="false" ht="14.15" hidden="false" customHeight="true" outlineLevel="0" collapsed="false">
      <c r="A1131" s="7" t="str">
        <f aca="false">TRIM(customer_churn_dataset!A1131)</f>
        <v>CUST100330</v>
      </c>
      <c r="B1131" s="7" t="str">
        <f aca="false">PROPER(TRIM(customer_churn_dataset!B1131))</f>
        <v>Basic</v>
      </c>
      <c r="C1131" s="7" t="str">
        <f aca="false">PROPER(TRIM(customer_churn_dataset!C1131))</f>
        <v>Two Year</v>
      </c>
      <c r="D1131" s="7" t="n">
        <f aca="false">IF(ISBLANK(customer_churn_dataset!D1131),ROUND(MEDIAN(customer_churn_dataset!D$2:D$1501),2),IF(customer_churn_dataset!D1131&lt;0,ABS(customer_churn_dataset!D1131),customer_churn_dataset!D1131))</f>
        <v>9.44</v>
      </c>
      <c r="E1131" s="7" t="n">
        <f aca="false">IF(ISBLANK(customer_churn_dataset!E1131),0,MAX(0,customer_churn_dataset!E1131))</f>
        <v>29</v>
      </c>
      <c r="F1131" s="8" t="n">
        <f aca="false">IF(ISBLANK(customer_churn_dataset!F1131),"",customer_churn_dataset!F1131)</f>
        <v>45295</v>
      </c>
      <c r="G1131" s="7" t="str">
        <f aca="false">PROPER(TRIM(customer_churn_dataset!G1131))</f>
        <v>Paypal</v>
      </c>
      <c r="H1131" s="7" t="n">
        <f aca="false">IF(ISBLANK(customer_churn_dataset!H1131),0,customer_churn_dataset!H1131)</f>
        <v>1</v>
      </c>
      <c r="I1131" s="7" t="n">
        <f aca="false">IF(ISBLANK(customer_churn_dataset!I1131),ROUND(MEDIAN(customer_churn_dataset!I$2:I$1501),1),MIN(100,MAX(0,customer_churn_dataset!I1131)))</f>
        <v>66.6</v>
      </c>
      <c r="J1131" s="7" t="n">
        <f aca="false">IF(ISBLANK(customer_churn_dataset!J1131),0,MAX(0,customer_churn_dataset!J1131))</f>
        <v>18</v>
      </c>
      <c r="K1131" s="7" t="n">
        <f aca="false">IF(ISBLANK(customer_churn_dataset!K1131),0,MIN(10,MAX(0,customer_churn_dataset!K1131)))</f>
        <v>8</v>
      </c>
      <c r="L1131" s="7" t="n">
        <f aca="false">IF(ISBLANK(customer_churn_dataset!L1131),0,MAX(0,customer_churn_dataset!L1131))</f>
        <v>2</v>
      </c>
      <c r="M1131" s="7" t="n">
        <f aca="false">IF(ISBLANK(customer_churn_dataset!M1131),0,customer_churn_dataset!M1131)</f>
        <v>0</v>
      </c>
      <c r="N1131" s="7" t="n">
        <f aca="false">IF(ISBLANK(customer_churn_dataset!N1131),0,MAX(0,customer_churn_dataset!N1131))</f>
        <v>273.76</v>
      </c>
      <c r="O1131" s="7" t="n">
        <f aca="false">IF(ISBLANK(customer_churn_dataset!O1131),0,customer_churn_dataset!O1131)</f>
        <v>0</v>
      </c>
      <c r="P1131" s="7" t="str">
        <f aca="false">IF(COUNTIF(customer_churn_dataset!$A$2:$A$1501,customer_churn_dataset!A1131)&gt;1,"Duplicate","Unique")</f>
        <v>Unique</v>
      </c>
    </row>
    <row r="1132" customFormat="false" ht="14.15" hidden="false" customHeight="true" outlineLevel="0" collapsed="false">
      <c r="A1132" s="7" t="str">
        <f aca="false">TRIM(customer_churn_dataset!A1132)</f>
        <v>CUST100117</v>
      </c>
      <c r="B1132" s="7" t="str">
        <f aca="false">PROPER(TRIM(customer_churn_dataset!B1132))</f>
        <v>Basic</v>
      </c>
      <c r="C1132" s="7" t="str">
        <f aca="false">PROPER(TRIM(customer_churn_dataset!C1132))</f>
        <v>Two Year</v>
      </c>
      <c r="D1132" s="7" t="n">
        <f aca="false">IF(ISBLANK(customer_churn_dataset!D1132),ROUND(MEDIAN(customer_churn_dataset!D$2:D$1501),2),IF(customer_churn_dataset!D1132&lt;0,ABS(customer_churn_dataset!D1132),customer_churn_dataset!D1132))</f>
        <v>10.38</v>
      </c>
      <c r="E1132" s="7" t="n">
        <f aca="false">IF(ISBLANK(customer_churn_dataset!E1132),0,MAX(0,customer_churn_dataset!E1132))</f>
        <v>40</v>
      </c>
      <c r="F1132" s="8" t="n">
        <f aca="false">IF(ISBLANK(customer_churn_dataset!F1132),"",customer_churn_dataset!F1132)</f>
        <v>45296</v>
      </c>
      <c r="G1132" s="7" t="str">
        <f aca="false">PROPER(TRIM(customer_churn_dataset!G1132))</f>
        <v>Credit Card</v>
      </c>
      <c r="H1132" s="7" t="n">
        <f aca="false">IF(ISBLANK(customer_churn_dataset!H1132),0,customer_churn_dataset!H1132)</f>
        <v>0</v>
      </c>
      <c r="I1132" s="7" t="n">
        <f aca="false">IF(ISBLANK(customer_churn_dataset!I1132),ROUND(MEDIAN(customer_churn_dataset!I$2:I$1501),1),MIN(100,MAX(0,customer_churn_dataset!I1132)))</f>
        <v>44.4</v>
      </c>
      <c r="J1132" s="7" t="n">
        <f aca="false">IF(ISBLANK(customer_churn_dataset!J1132),0,MAX(0,customer_churn_dataset!J1132))</f>
        <v>10</v>
      </c>
      <c r="K1132" s="7" t="n">
        <f aca="false">IF(ISBLANK(customer_churn_dataset!K1132),0,MIN(10,MAX(0,customer_churn_dataset!K1132)))</f>
        <v>3</v>
      </c>
      <c r="L1132" s="7" t="n">
        <f aca="false">IF(ISBLANK(customer_churn_dataset!L1132),0,MAX(0,customer_churn_dataset!L1132))</f>
        <v>1</v>
      </c>
      <c r="M1132" s="7" t="n">
        <f aca="false">IF(ISBLANK(customer_churn_dataset!M1132),0,customer_churn_dataset!M1132)</f>
        <v>1</v>
      </c>
      <c r="N1132" s="7" t="n">
        <f aca="false">IF(ISBLANK(customer_churn_dataset!N1132),0,MAX(0,customer_churn_dataset!N1132))</f>
        <v>415.2</v>
      </c>
      <c r="O1132" s="7" t="n">
        <f aca="false">IF(ISBLANK(customer_churn_dataset!O1132),0,customer_churn_dataset!O1132)</f>
        <v>0</v>
      </c>
      <c r="P1132" s="7" t="str">
        <f aca="false">IF(COUNTIF(customer_churn_dataset!$A$2:$A$1501,customer_churn_dataset!A1132)&gt;1,"Duplicate","Unique")</f>
        <v>Unique</v>
      </c>
    </row>
    <row r="1133" customFormat="false" ht="14.15" hidden="false" customHeight="true" outlineLevel="0" collapsed="false">
      <c r="A1133" s="7" t="str">
        <f aca="false">TRIM(customer_churn_dataset!A1133)</f>
        <v>CUST100792</v>
      </c>
      <c r="B1133" s="7" t="str">
        <f aca="false">PROPER(TRIM(customer_churn_dataset!B1133))</f>
        <v>Standard</v>
      </c>
      <c r="C1133" s="7" t="str">
        <f aca="false">PROPER(TRIM(customer_churn_dataset!C1133))</f>
        <v>Two Year</v>
      </c>
      <c r="D1133" s="7" t="n">
        <f aca="false">IF(ISBLANK(customer_churn_dataset!D1133),ROUND(MEDIAN(customer_churn_dataset!D$2:D$1501),2),IF(customer_churn_dataset!D1133&lt;0,ABS(customer_churn_dataset!D1133),customer_churn_dataset!D1133))</f>
        <v>19.08</v>
      </c>
      <c r="E1133" s="7" t="n">
        <f aca="false">IF(ISBLANK(customer_churn_dataset!E1133),0,MAX(0,customer_churn_dataset!E1133))</f>
        <v>72</v>
      </c>
      <c r="F1133" s="8" t="n">
        <f aca="false">IF(ISBLANK(customer_churn_dataset!F1133),"",customer_churn_dataset!F1133)</f>
        <v>45297</v>
      </c>
      <c r="G1133" s="7" t="str">
        <f aca="false">PROPER(TRIM(customer_churn_dataset!G1133))</f>
        <v>Credit Card</v>
      </c>
      <c r="H1133" s="7" t="n">
        <f aca="false">IF(ISBLANK(customer_churn_dataset!H1133),0,customer_churn_dataset!H1133)</f>
        <v>0</v>
      </c>
      <c r="I1133" s="7" t="n">
        <f aca="false">IF(ISBLANK(customer_churn_dataset!I1133),ROUND(MEDIAN(customer_churn_dataset!I$2:I$1501),1),MIN(100,MAX(0,customer_churn_dataset!I1133)))</f>
        <v>73.9</v>
      </c>
      <c r="J1133" s="7" t="n">
        <f aca="false">IF(ISBLANK(customer_churn_dataset!J1133),0,MAX(0,customer_churn_dataset!J1133))</f>
        <v>22</v>
      </c>
      <c r="K1133" s="7" t="n">
        <f aca="false">IF(ISBLANK(customer_churn_dataset!K1133),0,MIN(10,MAX(0,customer_churn_dataset!K1133)))</f>
        <v>8</v>
      </c>
      <c r="L1133" s="7" t="n">
        <f aca="false">IF(ISBLANK(customer_churn_dataset!L1133),0,MAX(0,customer_churn_dataset!L1133))</f>
        <v>1</v>
      </c>
      <c r="M1133" s="7" t="n">
        <f aca="false">IF(ISBLANK(customer_churn_dataset!M1133),0,customer_churn_dataset!M1133)</f>
        <v>1</v>
      </c>
      <c r="N1133" s="7" t="n">
        <f aca="false">IF(ISBLANK(customer_churn_dataset!N1133),0,MAX(0,customer_churn_dataset!N1133))</f>
        <v>1373.76</v>
      </c>
      <c r="O1133" s="7" t="n">
        <f aca="false">IF(ISBLANK(customer_churn_dataset!O1133),0,customer_churn_dataset!O1133)</f>
        <v>0</v>
      </c>
      <c r="P1133" s="7" t="str">
        <f aca="false">IF(COUNTIF(customer_churn_dataset!$A$2:$A$1501,customer_churn_dataset!A1133)&gt;1,"Duplicate","Unique")</f>
        <v>Unique</v>
      </c>
    </row>
    <row r="1134" customFormat="false" ht="14.15" hidden="false" customHeight="true" outlineLevel="0" collapsed="false">
      <c r="A1134" s="7" t="str">
        <f aca="false">TRIM(customer_churn_dataset!A1134)</f>
        <v>CUST100400</v>
      </c>
      <c r="B1134" s="7" t="str">
        <f aca="false">PROPER(TRIM(customer_churn_dataset!B1134))</f>
        <v>Basic</v>
      </c>
      <c r="C1134" s="7" t="str">
        <f aca="false">PROPER(TRIM(customer_churn_dataset!C1134))</f>
        <v>One Year</v>
      </c>
      <c r="D1134" s="7" t="n">
        <f aca="false">IF(ISBLANK(customer_churn_dataset!D1134),ROUND(MEDIAN(customer_churn_dataset!D$2:D$1501),2),IF(customer_churn_dataset!D1134&lt;0,ABS(customer_churn_dataset!D1134),customer_churn_dataset!D1134))</f>
        <v>9.97</v>
      </c>
      <c r="E1134" s="7" t="n">
        <f aca="false">IF(ISBLANK(customer_churn_dataset!E1134),0,MAX(0,customer_churn_dataset!E1134))</f>
        <v>7</v>
      </c>
      <c r="F1134" s="8" t="n">
        <f aca="false">IF(ISBLANK(customer_churn_dataset!F1134),"",customer_churn_dataset!F1134)</f>
        <v>45304</v>
      </c>
      <c r="G1134" s="7" t="str">
        <f aca="false">PROPER(TRIM(customer_churn_dataset!G1134))</f>
        <v>Manual/Invoice</v>
      </c>
      <c r="H1134" s="7" t="n">
        <f aca="false">IF(ISBLANK(customer_churn_dataset!H1134),0,customer_churn_dataset!H1134)</f>
        <v>1</v>
      </c>
      <c r="I1134" s="7" t="n">
        <f aca="false">IF(ISBLANK(customer_churn_dataset!I1134),ROUND(MEDIAN(customer_churn_dataset!I$2:I$1501),1),MIN(100,MAX(0,customer_churn_dataset!I1134)))</f>
        <v>29.2</v>
      </c>
      <c r="J1134" s="7" t="n">
        <f aca="false">IF(ISBLANK(customer_churn_dataset!J1134),0,MAX(0,customer_churn_dataset!J1134))</f>
        <v>0</v>
      </c>
      <c r="K1134" s="7" t="n">
        <f aca="false">IF(ISBLANK(customer_churn_dataset!K1134),0,MIN(10,MAX(0,customer_churn_dataset!K1134)))</f>
        <v>0</v>
      </c>
      <c r="L1134" s="7" t="n">
        <f aca="false">IF(ISBLANK(customer_churn_dataset!L1134),0,MAX(0,customer_churn_dataset!L1134))</f>
        <v>1</v>
      </c>
      <c r="M1134" s="7" t="n">
        <f aca="false">IF(ISBLANK(customer_churn_dataset!M1134),0,customer_churn_dataset!M1134)</f>
        <v>0</v>
      </c>
      <c r="N1134" s="7" t="n">
        <f aca="false">IF(ISBLANK(customer_churn_dataset!N1134),0,MAX(0,customer_churn_dataset!N1134))</f>
        <v>69.79</v>
      </c>
      <c r="O1134" s="7" t="n">
        <f aca="false">IF(ISBLANK(customer_churn_dataset!O1134),0,customer_churn_dataset!O1134)</f>
        <v>0</v>
      </c>
      <c r="P1134" s="7" t="str">
        <f aca="false">IF(COUNTIF(customer_churn_dataset!$A$2:$A$1501,customer_churn_dataset!A1134)&gt;1,"Duplicate","Unique")</f>
        <v>Unique</v>
      </c>
    </row>
    <row r="1135" customFormat="false" ht="14.15" hidden="false" customHeight="true" outlineLevel="0" collapsed="false">
      <c r="A1135" s="7" t="str">
        <f aca="false">TRIM(customer_churn_dataset!A1135)</f>
        <v>CUST100179</v>
      </c>
      <c r="B1135" s="7" t="str">
        <f aca="false">PROPER(TRIM(customer_churn_dataset!B1135))</f>
        <v>Basic</v>
      </c>
      <c r="C1135" s="7" t="str">
        <f aca="false">PROPER(TRIM(customer_churn_dataset!C1135))</f>
        <v>Month-To-Month</v>
      </c>
      <c r="D1135" s="7" t="n">
        <f aca="false">IF(ISBLANK(customer_churn_dataset!D1135),ROUND(MEDIAN(customer_churn_dataset!D$2:D$1501),2),IF(customer_churn_dataset!D1135&lt;0,ABS(customer_churn_dataset!D1135),customer_churn_dataset!D1135))</f>
        <v>10.16</v>
      </c>
      <c r="E1135" s="7" t="n">
        <f aca="false">IF(ISBLANK(customer_churn_dataset!E1135),0,MAX(0,customer_churn_dataset!E1135))</f>
        <v>20</v>
      </c>
      <c r="F1135" s="8" t="n">
        <f aca="false">IF(ISBLANK(customer_churn_dataset!F1135),"",customer_churn_dataset!F1135)</f>
        <v>45305</v>
      </c>
      <c r="G1135" s="7" t="str">
        <f aca="false">PROPER(TRIM(customer_churn_dataset!G1135))</f>
        <v>Credit Card</v>
      </c>
      <c r="H1135" s="7" t="n">
        <f aca="false">IF(ISBLANK(customer_churn_dataset!H1135),0,customer_churn_dataset!H1135)</f>
        <v>1</v>
      </c>
      <c r="I1135" s="7" t="n">
        <f aca="false">IF(ISBLANK(customer_churn_dataset!I1135),ROUND(MEDIAN(customer_churn_dataset!I$2:I$1501),1),MIN(100,MAX(0,customer_churn_dataset!I1135)))</f>
        <v>56.4</v>
      </c>
      <c r="J1135" s="7" t="n">
        <f aca="false">IF(ISBLANK(customer_churn_dataset!J1135),0,MAX(0,customer_churn_dataset!J1135))</f>
        <v>19</v>
      </c>
      <c r="K1135" s="7" t="n">
        <f aca="false">IF(ISBLANK(customer_churn_dataset!K1135),0,MIN(10,MAX(0,customer_churn_dataset!K1135)))</f>
        <v>6</v>
      </c>
      <c r="L1135" s="7" t="n">
        <f aca="false">IF(ISBLANK(customer_churn_dataset!L1135),0,MAX(0,customer_churn_dataset!L1135))</f>
        <v>2</v>
      </c>
      <c r="M1135" s="7" t="n">
        <f aca="false">IF(ISBLANK(customer_churn_dataset!M1135),0,customer_churn_dataset!M1135)</f>
        <v>0</v>
      </c>
      <c r="N1135" s="7" t="n">
        <f aca="false">IF(ISBLANK(customer_churn_dataset!N1135),0,MAX(0,customer_churn_dataset!N1135))</f>
        <v>203.2</v>
      </c>
      <c r="O1135" s="7" t="n">
        <f aca="false">IF(ISBLANK(customer_churn_dataset!O1135),0,customer_churn_dataset!O1135)</f>
        <v>0</v>
      </c>
      <c r="P1135" s="7" t="str">
        <f aca="false">IF(COUNTIF(customer_churn_dataset!$A$2:$A$1501,customer_churn_dataset!A1135)&gt;1,"Duplicate","Unique")</f>
        <v>Unique</v>
      </c>
    </row>
    <row r="1136" customFormat="false" ht="14.15" hidden="false" customHeight="true" outlineLevel="0" collapsed="false">
      <c r="A1136" s="7" t="str">
        <f aca="false">TRIM(customer_churn_dataset!A1136)</f>
        <v>CUST100876</v>
      </c>
      <c r="B1136" s="7" t="str">
        <f aca="false">PROPER(TRIM(customer_churn_dataset!B1136))</f>
        <v>Standard</v>
      </c>
      <c r="C1136" s="7" t="str">
        <f aca="false">PROPER(TRIM(customer_churn_dataset!C1136))</f>
        <v>One Year</v>
      </c>
      <c r="D1136" s="7" t="n">
        <f aca="false">IF(ISBLANK(customer_churn_dataset!D1136),ROUND(MEDIAN(customer_churn_dataset!D$2:D$1501),2),IF(customer_churn_dataset!D1136&lt;0,ABS(customer_churn_dataset!D1136),customer_churn_dataset!D1136))</f>
        <v>20.38</v>
      </c>
      <c r="E1136" s="7" t="n">
        <f aca="false">IF(ISBLANK(customer_churn_dataset!E1136),0,MAX(0,customer_churn_dataset!E1136))</f>
        <v>39</v>
      </c>
      <c r="F1136" s="8" t="n">
        <f aca="false">IF(ISBLANK(customer_churn_dataset!F1136),"",customer_churn_dataset!F1136)</f>
        <v>45306</v>
      </c>
      <c r="G1136" s="7" t="str">
        <f aca="false">PROPER(TRIM(customer_churn_dataset!G1136))</f>
        <v>Credit Card</v>
      </c>
      <c r="H1136" s="7" t="n">
        <f aca="false">IF(ISBLANK(customer_churn_dataset!H1136),0,customer_churn_dataset!H1136)</f>
        <v>1</v>
      </c>
      <c r="I1136" s="7" t="n">
        <f aca="false">IF(ISBLANK(customer_churn_dataset!I1136),ROUND(MEDIAN(customer_churn_dataset!I$2:I$1501),1),MIN(100,MAX(0,customer_churn_dataset!I1136)))</f>
        <v>71</v>
      </c>
      <c r="J1136" s="7" t="n">
        <f aca="false">IF(ISBLANK(customer_churn_dataset!J1136),0,MAX(0,customer_churn_dataset!J1136))</f>
        <v>21</v>
      </c>
      <c r="K1136" s="7" t="n">
        <f aca="false">IF(ISBLANK(customer_churn_dataset!K1136),0,MIN(10,MAX(0,customer_churn_dataset!K1136)))</f>
        <v>6</v>
      </c>
      <c r="L1136" s="7" t="n">
        <f aca="false">IF(ISBLANK(customer_churn_dataset!L1136),0,MAX(0,customer_churn_dataset!L1136))</f>
        <v>0</v>
      </c>
      <c r="M1136" s="7" t="n">
        <f aca="false">IF(ISBLANK(customer_churn_dataset!M1136),0,customer_churn_dataset!M1136)</f>
        <v>0</v>
      </c>
      <c r="N1136" s="7" t="n">
        <f aca="false">IF(ISBLANK(customer_churn_dataset!N1136),0,MAX(0,customer_churn_dataset!N1136))</f>
        <v>794.82</v>
      </c>
      <c r="O1136" s="7" t="n">
        <f aca="false">IF(ISBLANK(customer_churn_dataset!O1136),0,customer_churn_dataset!O1136)</f>
        <v>0</v>
      </c>
      <c r="P1136" s="7" t="str">
        <f aca="false">IF(COUNTIF(customer_churn_dataset!$A$2:$A$1501,customer_churn_dataset!A1136)&gt;1,"Duplicate","Unique")</f>
        <v>Unique</v>
      </c>
    </row>
    <row r="1137" customFormat="false" ht="14.15" hidden="false" customHeight="true" outlineLevel="0" collapsed="false">
      <c r="A1137" s="7" t="str">
        <f aca="false">TRIM(customer_churn_dataset!A1137)</f>
        <v>CUST100257</v>
      </c>
      <c r="B1137" s="7" t="str">
        <f aca="false">PROPER(TRIM(customer_churn_dataset!B1137))</f>
        <v>Standard</v>
      </c>
      <c r="C1137" s="7" t="str">
        <f aca="false">PROPER(TRIM(customer_churn_dataset!C1137))</f>
        <v>Two Year</v>
      </c>
      <c r="D1137" s="7" t="n">
        <f aca="false">IF(ISBLANK(customer_churn_dataset!D1137),ROUND(MEDIAN(customer_churn_dataset!D$2:D$1501),2),IF(customer_churn_dataset!D1137&lt;0,ABS(customer_churn_dataset!D1137),customer_churn_dataset!D1137))</f>
        <v>20.26</v>
      </c>
      <c r="E1137" s="7" t="n">
        <f aca="false">IF(ISBLANK(customer_churn_dataset!E1137),0,MAX(0,customer_churn_dataset!E1137))</f>
        <v>14</v>
      </c>
      <c r="F1137" s="8" t="n">
        <f aca="false">IF(ISBLANK(customer_churn_dataset!F1137),"",customer_churn_dataset!F1137)</f>
        <v>45308</v>
      </c>
      <c r="G1137" s="7" t="str">
        <f aca="false">PROPER(TRIM(customer_churn_dataset!G1137))</f>
        <v>Paypal</v>
      </c>
      <c r="H1137" s="7" t="n">
        <f aca="false">IF(ISBLANK(customer_churn_dataset!H1137),0,customer_churn_dataset!H1137)</f>
        <v>1</v>
      </c>
      <c r="I1137" s="7" t="n">
        <f aca="false">IF(ISBLANK(customer_churn_dataset!I1137),ROUND(MEDIAN(customer_churn_dataset!I$2:I$1501),1),MIN(100,MAX(0,customer_churn_dataset!I1137)))</f>
        <v>74.9</v>
      </c>
      <c r="J1137" s="7" t="n">
        <f aca="false">IF(ISBLANK(customer_churn_dataset!J1137),0,MAX(0,customer_churn_dataset!J1137))</f>
        <v>31</v>
      </c>
      <c r="K1137" s="7" t="n">
        <f aca="false">IF(ISBLANK(customer_churn_dataset!K1137),0,MIN(10,MAX(0,customer_churn_dataset!K1137)))</f>
        <v>8</v>
      </c>
      <c r="L1137" s="7" t="n">
        <f aca="false">IF(ISBLANK(customer_churn_dataset!L1137),0,MAX(0,customer_churn_dataset!L1137))</f>
        <v>1</v>
      </c>
      <c r="M1137" s="7" t="n">
        <f aca="false">IF(ISBLANK(customer_churn_dataset!M1137),0,customer_churn_dataset!M1137)</f>
        <v>0</v>
      </c>
      <c r="N1137" s="7" t="n">
        <f aca="false">IF(ISBLANK(customer_churn_dataset!N1137),0,MAX(0,customer_churn_dataset!N1137))</f>
        <v>283.64</v>
      </c>
      <c r="O1137" s="7" t="n">
        <f aca="false">IF(ISBLANK(customer_churn_dataset!O1137),0,customer_churn_dataset!O1137)</f>
        <v>1</v>
      </c>
      <c r="P1137" s="7" t="str">
        <f aca="false">IF(COUNTIF(customer_churn_dataset!$A$2:$A$1501,customer_churn_dataset!A1137)&gt;1,"Duplicate","Unique")</f>
        <v>Unique</v>
      </c>
    </row>
    <row r="1138" customFormat="false" ht="14.15" hidden="false" customHeight="true" outlineLevel="0" collapsed="false">
      <c r="A1138" s="7" t="str">
        <f aca="false">TRIM(customer_churn_dataset!A1138)</f>
        <v>CUST101115</v>
      </c>
      <c r="B1138" s="7" t="str">
        <f aca="false">PROPER(TRIM(customer_churn_dataset!B1138))</f>
        <v>Standard</v>
      </c>
      <c r="C1138" s="7" t="str">
        <f aca="false">PROPER(TRIM(customer_churn_dataset!C1138))</f>
        <v>Month-To-Month</v>
      </c>
      <c r="D1138" s="7" t="n">
        <f aca="false">IF(ISBLANK(customer_churn_dataset!D1138),ROUND(MEDIAN(customer_churn_dataset!D$2:D$1501),2),IF(customer_churn_dataset!D1138&lt;0,ABS(customer_churn_dataset!D1138),customer_churn_dataset!D1138))</f>
        <v>18.9</v>
      </c>
      <c r="E1138" s="7" t="n">
        <f aca="false">IF(ISBLANK(customer_churn_dataset!E1138),0,MAX(0,customer_churn_dataset!E1138))</f>
        <v>0</v>
      </c>
      <c r="F1138" s="8" t="n">
        <f aca="false">IF(ISBLANK(customer_churn_dataset!F1138),"",customer_churn_dataset!F1138)</f>
        <v>45311</v>
      </c>
      <c r="G1138" s="7" t="str">
        <f aca="false">PROPER(TRIM(customer_churn_dataset!G1138))</f>
        <v>Credit Card</v>
      </c>
      <c r="H1138" s="7" t="n">
        <f aca="false">IF(ISBLANK(customer_churn_dataset!H1138),0,customer_churn_dataset!H1138)</f>
        <v>1</v>
      </c>
      <c r="I1138" s="7" t="n">
        <f aca="false">IF(ISBLANK(customer_churn_dataset!I1138),ROUND(MEDIAN(customer_churn_dataset!I$2:I$1501),1),MIN(100,MAX(0,customer_churn_dataset!I1138)))</f>
        <v>85.8</v>
      </c>
      <c r="J1138" s="7" t="n">
        <f aca="false">IF(ISBLANK(customer_churn_dataset!J1138),0,MAX(0,customer_churn_dataset!J1138))</f>
        <v>26</v>
      </c>
      <c r="K1138" s="7" t="n">
        <f aca="false">IF(ISBLANK(customer_churn_dataset!K1138),0,MIN(10,MAX(0,customer_churn_dataset!K1138)))</f>
        <v>10</v>
      </c>
      <c r="L1138" s="7" t="n">
        <f aca="false">IF(ISBLANK(customer_churn_dataset!L1138),0,MAX(0,customer_churn_dataset!L1138))</f>
        <v>0</v>
      </c>
      <c r="M1138" s="7" t="n">
        <f aca="false">IF(ISBLANK(customer_churn_dataset!M1138),0,customer_churn_dataset!M1138)</f>
        <v>0</v>
      </c>
      <c r="N1138" s="7" t="n">
        <f aca="false">IF(ISBLANK(customer_churn_dataset!N1138),0,MAX(0,customer_churn_dataset!N1138))</f>
        <v>0</v>
      </c>
      <c r="O1138" s="7" t="n">
        <f aca="false">IF(ISBLANK(customer_churn_dataset!O1138),0,customer_churn_dataset!O1138)</f>
        <v>0</v>
      </c>
      <c r="P1138" s="7" t="str">
        <f aca="false">IF(COUNTIF(customer_churn_dataset!$A$2:$A$1501,customer_churn_dataset!A1138)&gt;1,"Duplicate","Unique")</f>
        <v>Unique</v>
      </c>
    </row>
    <row r="1139" customFormat="false" ht="14.15" hidden="false" customHeight="true" outlineLevel="0" collapsed="false">
      <c r="A1139" s="7" t="str">
        <f aca="false">TRIM(customer_churn_dataset!A1139)</f>
        <v>CUST101474</v>
      </c>
      <c r="B1139" s="7" t="str">
        <f aca="false">PROPER(TRIM(customer_churn_dataset!B1139))</f>
        <v>Basic</v>
      </c>
      <c r="C1139" s="7" t="str">
        <f aca="false">PROPER(TRIM(customer_churn_dataset!C1139))</f>
        <v>Two Year</v>
      </c>
      <c r="D1139" s="7" t="n">
        <f aca="false">IF(ISBLANK(customer_churn_dataset!D1139),ROUND(MEDIAN(customer_churn_dataset!D$2:D$1501),2),IF(customer_churn_dataset!D1139&lt;0,ABS(customer_churn_dataset!D1139),customer_churn_dataset!D1139))</f>
        <v>11.69</v>
      </c>
      <c r="E1139" s="7" t="n">
        <f aca="false">IF(ISBLANK(customer_churn_dataset!E1139),0,MAX(0,customer_churn_dataset!E1139))</f>
        <v>6</v>
      </c>
      <c r="F1139" s="8" t="n">
        <f aca="false">IF(ISBLANK(customer_churn_dataset!F1139),"",customer_churn_dataset!F1139)</f>
        <v>45311</v>
      </c>
      <c r="G1139" s="7" t="str">
        <f aca="false">PROPER(TRIM(customer_churn_dataset!G1139))</f>
        <v>Paypal</v>
      </c>
      <c r="H1139" s="7" t="n">
        <f aca="false">IF(ISBLANK(customer_churn_dataset!H1139),0,customer_churn_dataset!H1139)</f>
        <v>0</v>
      </c>
      <c r="I1139" s="7" t="n">
        <f aca="false">IF(ISBLANK(customer_churn_dataset!I1139),ROUND(MEDIAN(customer_churn_dataset!I$2:I$1501),1),MIN(100,MAX(0,customer_churn_dataset!I1139)))</f>
        <v>38.2</v>
      </c>
      <c r="J1139" s="7" t="n">
        <f aca="false">IF(ISBLANK(customer_churn_dataset!J1139),0,MAX(0,customer_churn_dataset!J1139))</f>
        <v>16</v>
      </c>
      <c r="K1139" s="7" t="n">
        <f aca="false">IF(ISBLANK(customer_churn_dataset!K1139),0,MIN(10,MAX(0,customer_churn_dataset!K1139)))</f>
        <v>2</v>
      </c>
      <c r="L1139" s="7" t="n">
        <f aca="false">IF(ISBLANK(customer_churn_dataset!L1139),0,MAX(0,customer_churn_dataset!L1139))</f>
        <v>2</v>
      </c>
      <c r="M1139" s="7" t="n">
        <f aca="false">IF(ISBLANK(customer_churn_dataset!M1139),0,customer_churn_dataset!M1139)</f>
        <v>1</v>
      </c>
      <c r="N1139" s="7" t="n">
        <f aca="false">IF(ISBLANK(customer_churn_dataset!N1139),0,MAX(0,customer_churn_dataset!N1139))</f>
        <v>70.14</v>
      </c>
      <c r="O1139" s="7" t="n">
        <f aca="false">IF(ISBLANK(customer_churn_dataset!O1139),0,customer_churn_dataset!O1139)</f>
        <v>0</v>
      </c>
      <c r="P1139" s="7" t="str">
        <f aca="false">IF(COUNTIF(customer_churn_dataset!$A$2:$A$1501,customer_churn_dataset!A1139)&gt;1,"Duplicate","Unique")</f>
        <v>Unique</v>
      </c>
    </row>
    <row r="1140" customFormat="false" ht="14.15" hidden="false" customHeight="true" outlineLevel="0" collapsed="false">
      <c r="A1140" s="7" t="str">
        <f aca="false">TRIM(customer_churn_dataset!A1140)</f>
        <v>CUST101259</v>
      </c>
      <c r="B1140" s="7" t="str">
        <f aca="false">PROPER(TRIM(customer_churn_dataset!B1140))</f>
        <v>Standard</v>
      </c>
      <c r="C1140" s="7" t="str">
        <f aca="false">PROPER(TRIM(customer_churn_dataset!C1140))</f>
        <v>One Year</v>
      </c>
      <c r="D1140" s="7" t="n">
        <f aca="false">IF(ISBLANK(customer_churn_dataset!D1140),ROUND(MEDIAN(customer_churn_dataset!D$2:D$1501),2),IF(customer_churn_dataset!D1140&lt;0,ABS(customer_churn_dataset!D1140),customer_churn_dataset!D1140))</f>
        <v>18.66</v>
      </c>
      <c r="E1140" s="7" t="n">
        <f aca="false">IF(ISBLANK(customer_churn_dataset!E1140),0,MAX(0,customer_churn_dataset!E1140))</f>
        <v>33</v>
      </c>
      <c r="F1140" s="8" t="n">
        <f aca="false">IF(ISBLANK(customer_churn_dataset!F1140),"",customer_churn_dataset!F1140)</f>
        <v>45314</v>
      </c>
      <c r="G1140" s="7" t="str">
        <f aca="false">PROPER(TRIM(customer_churn_dataset!G1140))</f>
        <v>Paypal</v>
      </c>
      <c r="H1140" s="7" t="n">
        <f aca="false">IF(ISBLANK(customer_churn_dataset!H1140),0,customer_churn_dataset!H1140)</f>
        <v>1</v>
      </c>
      <c r="I1140" s="7" t="n">
        <f aca="false">IF(ISBLANK(customer_churn_dataset!I1140),ROUND(MEDIAN(customer_churn_dataset!I$2:I$1501),1),MIN(100,MAX(0,customer_churn_dataset!I1140)))</f>
        <v>28</v>
      </c>
      <c r="J1140" s="7" t="n">
        <f aca="false">IF(ISBLANK(customer_churn_dataset!J1140),0,MAX(0,customer_churn_dataset!J1140))</f>
        <v>7</v>
      </c>
      <c r="K1140" s="7" t="n">
        <f aca="false">IF(ISBLANK(customer_churn_dataset!K1140),0,MIN(10,MAX(0,customer_churn_dataset!K1140)))</f>
        <v>5</v>
      </c>
      <c r="L1140" s="7" t="n">
        <f aca="false">IF(ISBLANK(customer_churn_dataset!L1140),0,MAX(0,customer_churn_dataset!L1140))</f>
        <v>1</v>
      </c>
      <c r="M1140" s="7" t="n">
        <f aca="false">IF(ISBLANK(customer_churn_dataset!M1140),0,customer_churn_dataset!M1140)</f>
        <v>0</v>
      </c>
      <c r="N1140" s="7" t="n">
        <f aca="false">IF(ISBLANK(customer_churn_dataset!N1140),0,MAX(0,customer_churn_dataset!N1140))</f>
        <v>615.78</v>
      </c>
      <c r="O1140" s="7" t="n">
        <f aca="false">IF(ISBLANK(customer_churn_dataset!O1140),0,customer_churn_dataset!O1140)</f>
        <v>0</v>
      </c>
      <c r="P1140" s="7" t="str">
        <f aca="false">IF(COUNTIF(customer_churn_dataset!$A$2:$A$1501,customer_churn_dataset!A1140)&gt;1,"Duplicate","Unique")</f>
        <v>Unique</v>
      </c>
    </row>
    <row r="1141" customFormat="false" ht="14.15" hidden="false" customHeight="true" outlineLevel="0" collapsed="false">
      <c r="A1141" s="7" t="str">
        <f aca="false">TRIM(customer_churn_dataset!A1141)</f>
        <v>CUST101060</v>
      </c>
      <c r="B1141" s="7" t="str">
        <f aca="false">PROPER(TRIM(customer_churn_dataset!B1141))</f>
        <v>Premium</v>
      </c>
      <c r="C1141" s="7" t="str">
        <f aca="false">PROPER(TRIM(customer_churn_dataset!C1141))</f>
        <v>Month-To-Month</v>
      </c>
      <c r="D1141" s="7" t="n">
        <f aca="false">IF(ISBLANK(customer_churn_dataset!D1141),ROUND(MEDIAN(customer_churn_dataset!D$2:D$1501),2),IF(customer_churn_dataset!D1141&lt;0,ABS(customer_churn_dataset!D1141),customer_churn_dataset!D1141))</f>
        <v>39.63</v>
      </c>
      <c r="E1141" s="7" t="n">
        <f aca="false">IF(ISBLANK(customer_churn_dataset!E1141),0,MAX(0,customer_churn_dataset!E1141))</f>
        <v>32</v>
      </c>
      <c r="F1141" s="8" t="n">
        <f aca="false">IF(ISBLANK(customer_churn_dataset!F1141),"",customer_churn_dataset!F1141)</f>
        <v>45315</v>
      </c>
      <c r="G1141" s="7" t="str">
        <f aca="false">PROPER(TRIM(customer_churn_dataset!G1141))</f>
        <v>Credit Card</v>
      </c>
      <c r="H1141" s="7" t="n">
        <f aca="false">IF(ISBLANK(customer_churn_dataset!H1141),0,customer_churn_dataset!H1141)</f>
        <v>1</v>
      </c>
      <c r="I1141" s="7" t="n">
        <f aca="false">IF(ISBLANK(customer_churn_dataset!I1141),ROUND(MEDIAN(customer_churn_dataset!I$2:I$1501),1),MIN(100,MAX(0,customer_churn_dataset!I1141)))</f>
        <v>94.7</v>
      </c>
      <c r="J1141" s="7" t="n">
        <f aca="false">IF(ISBLANK(customer_churn_dataset!J1141),0,MAX(0,customer_churn_dataset!J1141))</f>
        <v>32</v>
      </c>
      <c r="K1141" s="7" t="n">
        <f aca="false">IF(ISBLANK(customer_churn_dataset!K1141),0,MIN(10,MAX(0,customer_churn_dataset!K1141)))</f>
        <v>10</v>
      </c>
      <c r="L1141" s="7" t="n">
        <f aca="false">IF(ISBLANK(customer_churn_dataset!L1141),0,MAX(0,customer_churn_dataset!L1141))</f>
        <v>0</v>
      </c>
      <c r="M1141" s="7" t="n">
        <f aca="false">IF(ISBLANK(customer_churn_dataset!M1141),0,customer_churn_dataset!M1141)</f>
        <v>0</v>
      </c>
      <c r="N1141" s="7" t="n">
        <f aca="false">IF(ISBLANK(customer_churn_dataset!N1141),0,MAX(0,customer_churn_dataset!N1141))</f>
        <v>1268.16</v>
      </c>
      <c r="O1141" s="7" t="n">
        <f aca="false">IF(ISBLANK(customer_churn_dataset!O1141),0,customer_churn_dataset!O1141)</f>
        <v>0</v>
      </c>
      <c r="P1141" s="7" t="str">
        <f aca="false">IF(COUNTIF(customer_churn_dataset!$A$2:$A$1501,customer_churn_dataset!A1141)&gt;1,"Duplicate","Unique")</f>
        <v>Unique</v>
      </c>
    </row>
    <row r="1142" customFormat="false" ht="14.15" hidden="false" customHeight="true" outlineLevel="0" collapsed="false">
      <c r="A1142" s="7" t="str">
        <f aca="false">TRIM(customer_churn_dataset!A1142)</f>
        <v>CUST100106</v>
      </c>
      <c r="B1142" s="7" t="str">
        <f aca="false">PROPER(TRIM(customer_churn_dataset!B1142))</f>
        <v>Basic</v>
      </c>
      <c r="C1142" s="7" t="str">
        <f aca="false">PROPER(TRIM(customer_churn_dataset!C1142))</f>
        <v>One Year</v>
      </c>
      <c r="D1142" s="7" t="n">
        <f aca="false">IF(ISBLANK(customer_churn_dataset!D1142),ROUND(MEDIAN(customer_churn_dataset!D$2:D$1501),2),IF(customer_churn_dataset!D1142&lt;0,ABS(customer_churn_dataset!D1142),customer_churn_dataset!D1142))</f>
        <v>9.88</v>
      </c>
      <c r="E1142" s="7" t="n">
        <f aca="false">IF(ISBLANK(customer_churn_dataset!E1142),0,MAX(0,customer_churn_dataset!E1142))</f>
        <v>16</v>
      </c>
      <c r="F1142" s="8" t="n">
        <f aca="false">IF(ISBLANK(customer_churn_dataset!F1142),"",customer_churn_dataset!F1142)</f>
        <v>45321</v>
      </c>
      <c r="G1142" s="7" t="str">
        <f aca="false">PROPER(TRIM(customer_churn_dataset!G1142))</f>
        <v>Paypal</v>
      </c>
      <c r="H1142" s="7" t="n">
        <f aca="false">IF(ISBLANK(customer_churn_dataset!H1142),0,customer_churn_dataset!H1142)</f>
        <v>1</v>
      </c>
      <c r="I1142" s="7" t="n">
        <f aca="false">IF(ISBLANK(customer_churn_dataset!I1142),ROUND(MEDIAN(customer_churn_dataset!I$2:I$1501),1),MIN(100,MAX(0,customer_churn_dataset!I1142)))</f>
        <v>38.8</v>
      </c>
      <c r="J1142" s="7" t="n">
        <f aca="false">IF(ISBLANK(customer_churn_dataset!J1142),0,MAX(0,customer_churn_dataset!J1142))</f>
        <v>13</v>
      </c>
      <c r="K1142" s="7" t="n">
        <f aca="false">IF(ISBLANK(customer_churn_dataset!K1142),0,MIN(10,MAX(0,customer_churn_dataset!K1142)))</f>
        <v>5</v>
      </c>
      <c r="L1142" s="7" t="n">
        <f aca="false">IF(ISBLANK(customer_churn_dataset!L1142),0,MAX(0,customer_churn_dataset!L1142))</f>
        <v>3</v>
      </c>
      <c r="M1142" s="7" t="n">
        <f aca="false">IF(ISBLANK(customer_churn_dataset!M1142),0,customer_churn_dataset!M1142)</f>
        <v>0</v>
      </c>
      <c r="N1142" s="7" t="n">
        <f aca="false">IF(ISBLANK(customer_churn_dataset!N1142),0,MAX(0,customer_churn_dataset!N1142))</f>
        <v>158.08</v>
      </c>
      <c r="O1142" s="7" t="n">
        <f aca="false">IF(ISBLANK(customer_churn_dataset!O1142),0,customer_churn_dataset!O1142)</f>
        <v>0</v>
      </c>
      <c r="P1142" s="7" t="str">
        <f aca="false">IF(COUNTIF(customer_churn_dataset!$A$2:$A$1501,customer_churn_dataset!A1142)&gt;1,"Duplicate","Unique")</f>
        <v>Unique</v>
      </c>
    </row>
    <row r="1143" customFormat="false" ht="14.15" hidden="false" customHeight="true" outlineLevel="0" collapsed="false">
      <c r="A1143" s="7" t="str">
        <f aca="false">TRIM(customer_churn_dataset!A1143)</f>
        <v>CUST100794</v>
      </c>
      <c r="B1143" s="7" t="str">
        <f aca="false">PROPER(TRIM(customer_churn_dataset!B1143))</f>
        <v>Basic</v>
      </c>
      <c r="C1143" s="7" t="str">
        <f aca="false">PROPER(TRIM(customer_churn_dataset!C1143))</f>
        <v>Month-To-Month</v>
      </c>
      <c r="D1143" s="7" t="n">
        <f aca="false">IF(ISBLANK(customer_churn_dataset!D1143),ROUND(MEDIAN(customer_churn_dataset!D$2:D$1501),2),IF(customer_churn_dataset!D1143&lt;0,ABS(customer_churn_dataset!D1143),customer_churn_dataset!D1143))</f>
        <v>9.39</v>
      </c>
      <c r="E1143" s="7" t="n">
        <f aca="false">IF(ISBLANK(customer_churn_dataset!E1143),0,MAX(0,customer_churn_dataset!E1143))</f>
        <v>4</v>
      </c>
      <c r="F1143" s="8" t="n">
        <f aca="false">IF(ISBLANK(customer_churn_dataset!F1143),"",customer_churn_dataset!F1143)</f>
        <v>45322</v>
      </c>
      <c r="G1143" s="7" t="str">
        <f aca="false">PROPER(TRIM(customer_churn_dataset!G1143))</f>
        <v>Bank Transfer</v>
      </c>
      <c r="H1143" s="7" t="n">
        <f aca="false">IF(ISBLANK(customer_churn_dataset!H1143),0,customer_churn_dataset!H1143)</f>
        <v>1</v>
      </c>
      <c r="I1143" s="7" t="n">
        <f aca="false">IF(ISBLANK(customer_churn_dataset!I1143),ROUND(MEDIAN(customer_churn_dataset!I$2:I$1501),1),MIN(100,MAX(0,customer_churn_dataset!I1143)))</f>
        <v>42.4</v>
      </c>
      <c r="J1143" s="7" t="n">
        <f aca="false">IF(ISBLANK(customer_churn_dataset!J1143),0,MAX(0,customer_churn_dataset!J1143))</f>
        <v>9</v>
      </c>
      <c r="K1143" s="7" t="n">
        <f aca="false">IF(ISBLANK(customer_churn_dataset!K1143),0,MIN(10,MAX(0,customer_churn_dataset!K1143)))</f>
        <v>6</v>
      </c>
      <c r="L1143" s="7" t="n">
        <f aca="false">IF(ISBLANK(customer_churn_dataset!L1143),0,MAX(0,customer_churn_dataset!L1143))</f>
        <v>3</v>
      </c>
      <c r="M1143" s="7" t="n">
        <f aca="false">IF(ISBLANK(customer_churn_dataset!M1143),0,customer_churn_dataset!M1143)</f>
        <v>1</v>
      </c>
      <c r="N1143" s="7" t="n">
        <f aca="false">IF(ISBLANK(customer_churn_dataset!N1143),0,MAX(0,customer_churn_dataset!N1143))</f>
        <v>37.56</v>
      </c>
      <c r="O1143" s="7" t="n">
        <f aca="false">IF(ISBLANK(customer_churn_dataset!O1143),0,customer_churn_dataset!O1143)</f>
        <v>1</v>
      </c>
      <c r="P1143" s="7" t="str">
        <f aca="false">IF(COUNTIF(customer_churn_dataset!$A$2:$A$1501,customer_churn_dataset!A1143)&gt;1,"Duplicate","Unique")</f>
        <v>Unique</v>
      </c>
    </row>
    <row r="1144" customFormat="false" ht="14.15" hidden="false" customHeight="true" outlineLevel="0" collapsed="false">
      <c r="A1144" s="7" t="str">
        <f aca="false">TRIM(customer_churn_dataset!A1144)</f>
        <v>CUST100505</v>
      </c>
      <c r="B1144" s="7" t="str">
        <f aca="false">PROPER(TRIM(customer_churn_dataset!B1144))</f>
        <v>Basic</v>
      </c>
      <c r="C1144" s="7" t="str">
        <f aca="false">PROPER(TRIM(customer_churn_dataset!C1144))</f>
        <v>Month-To-Month</v>
      </c>
      <c r="D1144" s="7" t="n">
        <f aca="false">IF(ISBLANK(customer_churn_dataset!D1144),ROUND(MEDIAN(customer_churn_dataset!D$2:D$1501),2),IF(customer_churn_dataset!D1144&lt;0,ABS(customer_churn_dataset!D1144),customer_churn_dataset!D1144))</f>
        <v>9.97</v>
      </c>
      <c r="E1144" s="7" t="n">
        <f aca="false">IF(ISBLANK(customer_churn_dataset!E1144),0,MAX(0,customer_churn_dataset!E1144))</f>
        <v>9</v>
      </c>
      <c r="F1144" s="8" t="n">
        <f aca="false">IF(ISBLANK(customer_churn_dataset!F1144),"",customer_churn_dataset!F1144)</f>
        <v>45324</v>
      </c>
      <c r="G1144" s="7" t="str">
        <f aca="false">PROPER(TRIM(customer_churn_dataset!G1144))</f>
        <v>Credit Card</v>
      </c>
      <c r="H1144" s="7" t="n">
        <f aca="false">IF(ISBLANK(customer_churn_dataset!H1144),0,customer_churn_dataset!H1144)</f>
        <v>0</v>
      </c>
      <c r="I1144" s="7" t="n">
        <f aca="false">IF(ISBLANK(customer_churn_dataset!I1144),ROUND(MEDIAN(customer_churn_dataset!I$2:I$1501),1),MIN(100,MAX(0,customer_churn_dataset!I1144)))</f>
        <v>31.7</v>
      </c>
      <c r="J1144" s="7" t="n">
        <f aca="false">IF(ISBLANK(customer_churn_dataset!J1144),0,MAX(0,customer_churn_dataset!J1144))</f>
        <v>8</v>
      </c>
      <c r="K1144" s="7" t="n">
        <f aca="false">IF(ISBLANK(customer_churn_dataset!K1144),0,MIN(10,MAX(0,customer_churn_dataset!K1144)))</f>
        <v>2</v>
      </c>
      <c r="L1144" s="7" t="n">
        <f aca="false">IF(ISBLANK(customer_churn_dataset!L1144),0,MAX(0,customer_churn_dataset!L1144))</f>
        <v>2</v>
      </c>
      <c r="M1144" s="7" t="n">
        <f aca="false">IF(ISBLANK(customer_churn_dataset!M1144),0,customer_churn_dataset!M1144)</f>
        <v>1</v>
      </c>
      <c r="N1144" s="7" t="n">
        <f aca="false">IF(ISBLANK(customer_churn_dataset!N1144),0,MAX(0,customer_churn_dataset!N1144))</f>
        <v>89.73</v>
      </c>
      <c r="O1144" s="7" t="n">
        <f aca="false">IF(ISBLANK(customer_churn_dataset!O1144),0,customer_churn_dataset!O1144)</f>
        <v>0</v>
      </c>
      <c r="P1144" s="7" t="str">
        <f aca="false">IF(COUNTIF(customer_churn_dataset!$A$2:$A$1501,customer_churn_dataset!A1144)&gt;1,"Duplicate","Unique")</f>
        <v>Unique</v>
      </c>
    </row>
    <row r="1145" customFormat="false" ht="14.15" hidden="false" customHeight="true" outlineLevel="0" collapsed="false">
      <c r="A1145" s="7" t="str">
        <f aca="false">TRIM(customer_churn_dataset!A1145)</f>
        <v>CUST100018</v>
      </c>
      <c r="B1145" s="7" t="str">
        <f aca="false">PROPER(TRIM(customer_churn_dataset!B1145))</f>
        <v>Basic</v>
      </c>
      <c r="C1145" s="7" t="str">
        <f aca="false">PROPER(TRIM(customer_churn_dataset!C1145))</f>
        <v>Month-To-Month</v>
      </c>
      <c r="D1145" s="7" t="n">
        <f aca="false">IF(ISBLANK(customer_churn_dataset!D1145),ROUND(MEDIAN(customer_churn_dataset!D$2:D$1501),2),IF(customer_churn_dataset!D1145&lt;0,ABS(customer_churn_dataset!D1145),customer_churn_dataset!D1145))</f>
        <v>9</v>
      </c>
      <c r="E1145" s="7" t="n">
        <f aca="false">IF(ISBLANK(customer_churn_dataset!E1145),0,MAX(0,customer_churn_dataset!E1145))</f>
        <v>2</v>
      </c>
      <c r="F1145" s="8" t="n">
        <f aca="false">IF(ISBLANK(customer_churn_dataset!F1145),"",customer_churn_dataset!F1145)</f>
        <v>45324</v>
      </c>
      <c r="G1145" s="7" t="str">
        <f aca="false">PROPER(TRIM(customer_churn_dataset!G1145))</f>
        <v>Paypal</v>
      </c>
      <c r="H1145" s="7" t="n">
        <f aca="false">IF(ISBLANK(customer_churn_dataset!H1145),0,customer_churn_dataset!H1145)</f>
        <v>1</v>
      </c>
      <c r="I1145" s="7" t="n">
        <f aca="false">IF(ISBLANK(customer_churn_dataset!I1145),ROUND(MEDIAN(customer_churn_dataset!I$2:I$1501),1),MIN(100,MAX(0,customer_churn_dataset!I1145)))</f>
        <v>49.7</v>
      </c>
      <c r="J1145" s="7" t="n">
        <f aca="false">IF(ISBLANK(customer_churn_dataset!J1145),0,MAX(0,customer_churn_dataset!J1145))</f>
        <v>14</v>
      </c>
      <c r="K1145" s="7" t="n">
        <f aca="false">IF(ISBLANK(customer_churn_dataset!K1145),0,MIN(10,MAX(0,customer_churn_dataset!K1145)))</f>
        <v>4</v>
      </c>
      <c r="L1145" s="7" t="n">
        <f aca="false">IF(ISBLANK(customer_churn_dataset!L1145),0,MAX(0,customer_churn_dataset!L1145))</f>
        <v>0</v>
      </c>
      <c r="M1145" s="7" t="n">
        <f aca="false">IF(ISBLANK(customer_churn_dataset!M1145),0,customer_churn_dataset!M1145)</f>
        <v>0</v>
      </c>
      <c r="N1145" s="7" t="n">
        <f aca="false">IF(ISBLANK(customer_churn_dataset!N1145),0,MAX(0,customer_churn_dataset!N1145))</f>
        <v>18</v>
      </c>
      <c r="O1145" s="7" t="n">
        <f aca="false">IF(ISBLANK(customer_churn_dataset!O1145),0,customer_churn_dataset!O1145)</f>
        <v>0</v>
      </c>
      <c r="P1145" s="7" t="str">
        <f aca="false">IF(COUNTIF(customer_churn_dataset!$A$2:$A$1501,customer_churn_dataset!A1145)&gt;1,"Duplicate","Unique")</f>
        <v>Unique</v>
      </c>
    </row>
    <row r="1146" customFormat="false" ht="14.15" hidden="false" customHeight="true" outlineLevel="0" collapsed="false">
      <c r="A1146" s="7" t="str">
        <f aca="false">TRIM(customer_churn_dataset!A1146)</f>
        <v>CUST100302</v>
      </c>
      <c r="B1146" s="7" t="str">
        <f aca="false">PROPER(TRIM(customer_churn_dataset!B1146))</f>
        <v>Standard</v>
      </c>
      <c r="C1146" s="7" t="str">
        <f aca="false">PROPER(TRIM(customer_churn_dataset!C1146))</f>
        <v>Month-To-Month</v>
      </c>
      <c r="D1146" s="7" t="n">
        <f aca="false">IF(ISBLANK(customer_churn_dataset!D1146),ROUND(MEDIAN(customer_churn_dataset!D$2:D$1501),2),IF(customer_churn_dataset!D1146&lt;0,ABS(customer_churn_dataset!D1146),customer_churn_dataset!D1146))</f>
        <v>19.78</v>
      </c>
      <c r="E1146" s="7" t="n">
        <f aca="false">IF(ISBLANK(customer_churn_dataset!E1146),0,MAX(0,customer_churn_dataset!E1146))</f>
        <v>5</v>
      </c>
      <c r="F1146" s="8" t="n">
        <f aca="false">IF(ISBLANK(customer_churn_dataset!F1146),"",customer_churn_dataset!F1146)</f>
        <v>45325</v>
      </c>
      <c r="G1146" s="7" t="str">
        <f aca="false">PROPER(TRIM(customer_churn_dataset!G1146))</f>
        <v>Credit Card</v>
      </c>
      <c r="H1146" s="7" t="n">
        <f aca="false">IF(ISBLANK(customer_churn_dataset!H1146),0,customer_churn_dataset!H1146)</f>
        <v>1</v>
      </c>
      <c r="I1146" s="7" t="n">
        <f aca="false">IF(ISBLANK(customer_churn_dataset!I1146),ROUND(MEDIAN(customer_churn_dataset!I$2:I$1501),1),MIN(100,MAX(0,customer_churn_dataset!I1146)))</f>
        <v>63.8</v>
      </c>
      <c r="J1146" s="7" t="n">
        <f aca="false">IF(ISBLANK(customer_churn_dataset!J1146),0,MAX(0,customer_churn_dataset!J1146))</f>
        <v>18</v>
      </c>
      <c r="K1146" s="7" t="n">
        <f aca="false">IF(ISBLANK(customer_churn_dataset!K1146),0,MIN(10,MAX(0,customer_churn_dataset!K1146)))</f>
        <v>7</v>
      </c>
      <c r="L1146" s="7" t="n">
        <f aca="false">IF(ISBLANK(customer_churn_dataset!L1146),0,MAX(0,customer_churn_dataset!L1146))</f>
        <v>0</v>
      </c>
      <c r="M1146" s="7" t="n">
        <f aca="false">IF(ISBLANK(customer_churn_dataset!M1146),0,customer_churn_dataset!M1146)</f>
        <v>0</v>
      </c>
      <c r="N1146" s="7" t="n">
        <f aca="false">IF(ISBLANK(customer_churn_dataset!N1146),0,MAX(0,customer_churn_dataset!N1146))</f>
        <v>98.9</v>
      </c>
      <c r="O1146" s="7" t="n">
        <f aca="false">IF(ISBLANK(customer_churn_dataset!O1146),0,customer_churn_dataset!O1146)</f>
        <v>0</v>
      </c>
      <c r="P1146" s="7" t="str">
        <f aca="false">IF(COUNTIF(customer_churn_dataset!$A$2:$A$1501,customer_churn_dataset!A1146)&gt;1,"Duplicate","Unique")</f>
        <v>Unique</v>
      </c>
    </row>
    <row r="1147" customFormat="false" ht="14.15" hidden="false" customHeight="true" outlineLevel="0" collapsed="false">
      <c r="A1147" s="7" t="str">
        <f aca="false">TRIM(customer_churn_dataset!A1147)</f>
        <v>CUST100275</v>
      </c>
      <c r="B1147" s="7" t="str">
        <f aca="false">PROPER(TRIM(customer_churn_dataset!B1147))</f>
        <v>Standard</v>
      </c>
      <c r="C1147" s="7" t="str">
        <f aca="false">PROPER(TRIM(customer_churn_dataset!C1147))</f>
        <v>Two Year</v>
      </c>
      <c r="D1147" s="7" t="n">
        <f aca="false">IF(ISBLANK(customer_churn_dataset!D1147),ROUND(MEDIAN(customer_churn_dataset!D$2:D$1501),2),IF(customer_churn_dataset!D1147&lt;0,ABS(customer_churn_dataset!D1147),customer_churn_dataset!D1147))</f>
        <v>20.27</v>
      </c>
      <c r="E1147" s="7" t="n">
        <f aca="false">IF(ISBLANK(customer_churn_dataset!E1147),0,MAX(0,customer_churn_dataset!E1147))</f>
        <v>2</v>
      </c>
      <c r="F1147" s="8" t="n">
        <f aca="false">IF(ISBLANK(customer_churn_dataset!F1147),"",customer_churn_dataset!F1147)</f>
        <v>45328</v>
      </c>
      <c r="G1147" s="7" t="str">
        <f aca="false">PROPER(TRIM(customer_churn_dataset!G1147))</f>
        <v>Bank Transfer</v>
      </c>
      <c r="H1147" s="7" t="n">
        <f aca="false">IF(ISBLANK(customer_churn_dataset!H1147),0,customer_churn_dataset!H1147)</f>
        <v>1</v>
      </c>
      <c r="I1147" s="7" t="n">
        <f aca="false">IF(ISBLANK(customer_churn_dataset!I1147),ROUND(MEDIAN(customer_churn_dataset!I$2:I$1501),1),MIN(100,MAX(0,customer_churn_dataset!I1147)))</f>
        <v>67.3</v>
      </c>
      <c r="J1147" s="7" t="n">
        <f aca="false">IF(ISBLANK(customer_churn_dataset!J1147),0,MAX(0,customer_churn_dataset!J1147))</f>
        <v>21</v>
      </c>
      <c r="K1147" s="7" t="n">
        <f aca="false">IF(ISBLANK(customer_churn_dataset!K1147),0,MIN(10,MAX(0,customer_churn_dataset!K1147)))</f>
        <v>7</v>
      </c>
      <c r="L1147" s="7" t="n">
        <f aca="false">IF(ISBLANK(customer_churn_dataset!L1147),0,MAX(0,customer_churn_dataset!L1147))</f>
        <v>0</v>
      </c>
      <c r="M1147" s="7" t="n">
        <f aca="false">IF(ISBLANK(customer_churn_dataset!M1147),0,customer_churn_dataset!M1147)</f>
        <v>0</v>
      </c>
      <c r="N1147" s="7" t="n">
        <f aca="false">IF(ISBLANK(customer_churn_dataset!N1147),0,MAX(0,customer_churn_dataset!N1147))</f>
        <v>40.54</v>
      </c>
      <c r="O1147" s="7" t="n">
        <f aca="false">IF(ISBLANK(customer_churn_dataset!O1147),0,customer_churn_dataset!O1147)</f>
        <v>0</v>
      </c>
      <c r="P1147" s="7" t="str">
        <f aca="false">IF(COUNTIF(customer_churn_dataset!$A$2:$A$1501,customer_churn_dataset!A1147)&gt;1,"Duplicate","Unique")</f>
        <v>Unique</v>
      </c>
    </row>
    <row r="1148" customFormat="false" ht="14.15" hidden="false" customHeight="true" outlineLevel="0" collapsed="false">
      <c r="A1148" s="7" t="str">
        <f aca="false">TRIM(customer_churn_dataset!A1148)</f>
        <v>CUST100307</v>
      </c>
      <c r="B1148" s="7" t="str">
        <f aca="false">PROPER(TRIM(customer_churn_dataset!B1148))</f>
        <v>Basic</v>
      </c>
      <c r="C1148" s="7" t="str">
        <f aca="false">PROPER(TRIM(customer_churn_dataset!C1148))</f>
        <v>Month-To-Month</v>
      </c>
      <c r="D1148" s="7" t="n">
        <f aca="false">IF(ISBLANK(customer_churn_dataset!D1148),ROUND(MEDIAN(customer_churn_dataset!D$2:D$1501),2),IF(customer_churn_dataset!D1148&lt;0,ABS(customer_churn_dataset!D1148),customer_churn_dataset!D1148))</f>
        <v>10.38</v>
      </c>
      <c r="E1148" s="7" t="n">
        <f aca="false">IF(ISBLANK(customer_churn_dataset!E1148),0,MAX(0,customer_churn_dataset!E1148))</f>
        <v>0</v>
      </c>
      <c r="F1148" s="8" t="n">
        <f aca="false">IF(ISBLANK(customer_churn_dataset!F1148),"",customer_churn_dataset!F1148)</f>
        <v>45328</v>
      </c>
      <c r="G1148" s="7" t="str">
        <f aca="false">PROPER(TRIM(customer_churn_dataset!G1148))</f>
        <v>Credit Card</v>
      </c>
      <c r="H1148" s="7" t="n">
        <f aca="false">IF(ISBLANK(customer_churn_dataset!H1148),0,customer_churn_dataset!H1148)</f>
        <v>1</v>
      </c>
      <c r="I1148" s="7" t="n">
        <f aca="false">IF(ISBLANK(customer_churn_dataset!I1148),ROUND(MEDIAN(customer_churn_dataset!I$2:I$1501),1),MIN(100,MAX(0,customer_churn_dataset!I1148)))</f>
        <v>64.8</v>
      </c>
      <c r="J1148" s="7" t="n">
        <f aca="false">IF(ISBLANK(customer_churn_dataset!J1148),0,MAX(0,customer_churn_dataset!J1148))</f>
        <v>25</v>
      </c>
      <c r="K1148" s="7" t="n">
        <f aca="false">IF(ISBLANK(customer_churn_dataset!K1148),0,MIN(10,MAX(0,customer_churn_dataset!K1148)))</f>
        <v>8</v>
      </c>
      <c r="L1148" s="7" t="n">
        <f aca="false">IF(ISBLANK(customer_churn_dataset!L1148),0,MAX(0,customer_churn_dataset!L1148))</f>
        <v>1</v>
      </c>
      <c r="M1148" s="7" t="n">
        <f aca="false">IF(ISBLANK(customer_churn_dataset!M1148),0,customer_churn_dataset!M1148)</f>
        <v>1</v>
      </c>
      <c r="N1148" s="7" t="n">
        <f aca="false">IF(ISBLANK(customer_churn_dataset!N1148),0,MAX(0,customer_churn_dataset!N1148))</f>
        <v>0</v>
      </c>
      <c r="O1148" s="7" t="n">
        <f aca="false">IF(ISBLANK(customer_churn_dataset!O1148),0,customer_churn_dataset!O1148)</f>
        <v>0</v>
      </c>
      <c r="P1148" s="7" t="str">
        <f aca="false">IF(COUNTIF(customer_churn_dataset!$A$2:$A$1501,customer_churn_dataset!A1148)&gt;1,"Duplicate","Unique")</f>
        <v>Unique</v>
      </c>
    </row>
    <row r="1149" customFormat="false" ht="14.15" hidden="false" customHeight="true" outlineLevel="0" collapsed="false">
      <c r="A1149" s="7" t="str">
        <f aca="false">TRIM(customer_churn_dataset!A1149)</f>
        <v>CUST100258</v>
      </c>
      <c r="B1149" s="7" t="str">
        <f aca="false">PROPER(TRIM(customer_churn_dataset!B1149))</f>
        <v>Standard</v>
      </c>
      <c r="C1149" s="7" t="str">
        <f aca="false">PROPER(TRIM(customer_churn_dataset!C1149))</f>
        <v>Month-To-Month</v>
      </c>
      <c r="D1149" s="7" t="n">
        <f aca="false">IF(ISBLANK(customer_churn_dataset!D1149),ROUND(MEDIAN(customer_churn_dataset!D$2:D$1501),2),IF(customer_churn_dataset!D1149&lt;0,ABS(customer_churn_dataset!D1149),customer_churn_dataset!D1149))</f>
        <v>21.52</v>
      </c>
      <c r="E1149" s="7" t="n">
        <f aca="false">IF(ISBLANK(customer_churn_dataset!E1149),0,MAX(0,customer_churn_dataset!E1149))</f>
        <v>53</v>
      </c>
      <c r="F1149" s="8" t="n">
        <f aca="false">IF(ISBLANK(customer_churn_dataset!F1149),"",customer_churn_dataset!F1149)</f>
        <v>45330</v>
      </c>
      <c r="G1149" s="7" t="str">
        <f aca="false">PROPER(TRIM(customer_churn_dataset!G1149))</f>
        <v>Bank Transfer</v>
      </c>
      <c r="H1149" s="7" t="n">
        <f aca="false">IF(ISBLANK(customer_churn_dataset!H1149),0,customer_churn_dataset!H1149)</f>
        <v>1</v>
      </c>
      <c r="I1149" s="7" t="n">
        <f aca="false">IF(ISBLANK(customer_churn_dataset!I1149),ROUND(MEDIAN(customer_churn_dataset!I$2:I$1501),1),MIN(100,MAX(0,customer_churn_dataset!I1149)))</f>
        <v>41</v>
      </c>
      <c r="J1149" s="7" t="n">
        <f aca="false">IF(ISBLANK(customer_churn_dataset!J1149),0,MAX(0,customer_churn_dataset!J1149))</f>
        <v>13</v>
      </c>
      <c r="K1149" s="7" t="n">
        <f aca="false">IF(ISBLANK(customer_churn_dataset!K1149),0,MIN(10,MAX(0,customer_churn_dataset!K1149)))</f>
        <v>6</v>
      </c>
      <c r="L1149" s="7" t="n">
        <f aca="false">IF(ISBLANK(customer_churn_dataset!L1149),0,MAX(0,customer_churn_dataset!L1149))</f>
        <v>1</v>
      </c>
      <c r="M1149" s="7" t="n">
        <f aca="false">IF(ISBLANK(customer_churn_dataset!M1149),0,customer_churn_dataset!M1149)</f>
        <v>0</v>
      </c>
      <c r="N1149" s="7" t="n">
        <f aca="false">IF(ISBLANK(customer_churn_dataset!N1149),0,MAX(0,customer_churn_dataset!N1149))</f>
        <v>1140.56</v>
      </c>
      <c r="O1149" s="7" t="n">
        <f aca="false">IF(ISBLANK(customer_churn_dataset!O1149),0,customer_churn_dataset!O1149)</f>
        <v>0</v>
      </c>
      <c r="P1149" s="7" t="str">
        <f aca="false">IF(COUNTIF(customer_churn_dataset!$A$2:$A$1501,customer_churn_dataset!A1149)&gt;1,"Duplicate","Unique")</f>
        <v>Unique</v>
      </c>
    </row>
    <row r="1150" customFormat="false" ht="14.15" hidden="false" customHeight="true" outlineLevel="0" collapsed="false">
      <c r="A1150" s="7" t="str">
        <f aca="false">TRIM(customer_churn_dataset!A1150)</f>
        <v>CUST100472</v>
      </c>
      <c r="B1150" s="7" t="str">
        <f aca="false">PROPER(TRIM(customer_churn_dataset!B1150))</f>
        <v>Basic</v>
      </c>
      <c r="C1150" s="7" t="str">
        <f aca="false">PROPER(TRIM(customer_churn_dataset!C1150))</f>
        <v>Two Year</v>
      </c>
      <c r="D1150" s="7" t="n">
        <f aca="false">IF(ISBLANK(customer_churn_dataset!D1150),ROUND(MEDIAN(customer_churn_dataset!D$2:D$1501),2),IF(customer_churn_dataset!D1150&lt;0,ABS(customer_churn_dataset!D1150),customer_churn_dataset!D1150))</f>
        <v>9.35</v>
      </c>
      <c r="E1150" s="7" t="n">
        <f aca="false">IF(ISBLANK(customer_churn_dataset!E1150),0,MAX(0,customer_churn_dataset!E1150))</f>
        <v>52</v>
      </c>
      <c r="F1150" s="8" t="n">
        <f aca="false">IF(ISBLANK(customer_churn_dataset!F1150),"",customer_churn_dataset!F1150)</f>
        <v>45330</v>
      </c>
      <c r="G1150" s="7" t="str">
        <f aca="false">PROPER(TRIM(customer_churn_dataset!G1150))</f>
        <v>Credit Card</v>
      </c>
      <c r="H1150" s="7" t="n">
        <f aca="false">IF(ISBLANK(customer_churn_dataset!H1150),0,customer_churn_dataset!H1150)</f>
        <v>1</v>
      </c>
      <c r="I1150" s="7" t="n">
        <f aca="false">IF(ISBLANK(customer_churn_dataset!I1150),ROUND(MEDIAN(customer_churn_dataset!I$2:I$1501),1),MIN(100,MAX(0,customer_churn_dataset!I1150)))</f>
        <v>62.4</v>
      </c>
      <c r="J1150" s="7" t="n">
        <f aca="false">IF(ISBLANK(customer_churn_dataset!J1150),0,MAX(0,customer_churn_dataset!J1150))</f>
        <v>20</v>
      </c>
      <c r="K1150" s="7" t="n">
        <f aca="false">IF(ISBLANK(customer_churn_dataset!K1150),0,MIN(10,MAX(0,customer_churn_dataset!K1150)))</f>
        <v>5</v>
      </c>
      <c r="L1150" s="7" t="n">
        <f aca="false">IF(ISBLANK(customer_churn_dataset!L1150),0,MAX(0,customer_churn_dataset!L1150))</f>
        <v>1</v>
      </c>
      <c r="M1150" s="7" t="n">
        <f aca="false">IF(ISBLANK(customer_churn_dataset!M1150),0,customer_churn_dataset!M1150)</f>
        <v>0</v>
      </c>
      <c r="N1150" s="7" t="n">
        <f aca="false">IF(ISBLANK(customer_churn_dataset!N1150),0,MAX(0,customer_churn_dataset!N1150))</f>
        <v>486.2</v>
      </c>
      <c r="O1150" s="7" t="n">
        <f aca="false">IF(ISBLANK(customer_churn_dataset!O1150),0,customer_churn_dataset!O1150)</f>
        <v>0</v>
      </c>
      <c r="P1150" s="7" t="str">
        <f aca="false">IF(COUNTIF(customer_churn_dataset!$A$2:$A$1501,customer_churn_dataset!A1150)&gt;1,"Duplicate","Unique")</f>
        <v>Unique</v>
      </c>
    </row>
    <row r="1151" customFormat="false" ht="14.15" hidden="false" customHeight="true" outlineLevel="0" collapsed="false">
      <c r="A1151" s="7" t="str">
        <f aca="false">TRIM(customer_churn_dataset!A1151)</f>
        <v>CUST100284</v>
      </c>
      <c r="B1151" s="7" t="str">
        <f aca="false">PROPER(TRIM(customer_churn_dataset!B1151))</f>
        <v>Standard</v>
      </c>
      <c r="C1151" s="7" t="str">
        <f aca="false">PROPER(TRIM(customer_churn_dataset!C1151))</f>
        <v>One Year</v>
      </c>
      <c r="D1151" s="7" t="n">
        <f aca="false">IF(ISBLANK(customer_churn_dataset!D1151),ROUND(MEDIAN(customer_churn_dataset!D$2:D$1501),2),IF(customer_churn_dataset!D1151&lt;0,ABS(customer_churn_dataset!D1151),customer_churn_dataset!D1151))</f>
        <v>20.39</v>
      </c>
      <c r="E1151" s="7" t="n">
        <f aca="false">IF(ISBLANK(customer_churn_dataset!E1151),0,MAX(0,customer_churn_dataset!E1151))</f>
        <v>8</v>
      </c>
      <c r="F1151" s="8" t="n">
        <f aca="false">IF(ISBLANK(customer_churn_dataset!F1151),"",customer_churn_dataset!F1151)</f>
        <v>45333</v>
      </c>
      <c r="G1151" s="7" t="str">
        <f aca="false">PROPER(TRIM(customer_churn_dataset!G1151))</f>
        <v>Credit Card</v>
      </c>
      <c r="H1151" s="7" t="n">
        <f aca="false">IF(ISBLANK(customer_churn_dataset!H1151),0,customer_churn_dataset!H1151)</f>
        <v>1</v>
      </c>
      <c r="I1151" s="7" t="n">
        <f aca="false">IF(ISBLANK(customer_churn_dataset!I1151),ROUND(MEDIAN(customer_churn_dataset!I$2:I$1501),1),MIN(100,MAX(0,customer_churn_dataset!I1151)))</f>
        <v>69.1</v>
      </c>
      <c r="J1151" s="7" t="n">
        <f aca="false">IF(ISBLANK(customer_churn_dataset!J1151),0,MAX(0,customer_churn_dataset!J1151))</f>
        <v>22</v>
      </c>
      <c r="K1151" s="7" t="n">
        <f aca="false">IF(ISBLANK(customer_churn_dataset!K1151),0,MIN(10,MAX(0,customer_churn_dataset!K1151)))</f>
        <v>5</v>
      </c>
      <c r="L1151" s="7" t="n">
        <f aca="false">IF(ISBLANK(customer_churn_dataset!L1151),0,MAX(0,customer_churn_dataset!L1151))</f>
        <v>1</v>
      </c>
      <c r="M1151" s="7" t="n">
        <f aca="false">IF(ISBLANK(customer_churn_dataset!M1151),0,customer_churn_dataset!M1151)</f>
        <v>1</v>
      </c>
      <c r="N1151" s="7" t="n">
        <f aca="false">IF(ISBLANK(customer_churn_dataset!N1151),0,MAX(0,customer_churn_dataset!N1151))</f>
        <v>163.12</v>
      </c>
      <c r="O1151" s="7" t="n">
        <f aca="false">IF(ISBLANK(customer_churn_dataset!O1151),0,customer_churn_dataset!O1151)</f>
        <v>0</v>
      </c>
      <c r="P1151" s="7" t="str">
        <f aca="false">IF(COUNTIF(customer_churn_dataset!$A$2:$A$1501,customer_churn_dataset!A1151)&gt;1,"Duplicate","Unique")</f>
        <v>Unique</v>
      </c>
    </row>
    <row r="1152" customFormat="false" ht="14.15" hidden="false" customHeight="true" outlineLevel="0" collapsed="false">
      <c r="A1152" s="7" t="str">
        <f aca="false">TRIM(customer_churn_dataset!A1152)</f>
        <v>CUST100900</v>
      </c>
      <c r="B1152" s="7" t="str">
        <f aca="false">PROPER(TRIM(customer_churn_dataset!B1152))</f>
        <v>Basic</v>
      </c>
      <c r="C1152" s="7" t="str">
        <f aca="false">PROPER(TRIM(customer_churn_dataset!C1152))</f>
        <v>One Year</v>
      </c>
      <c r="D1152" s="7" t="n">
        <f aca="false">IF(ISBLANK(customer_churn_dataset!D1152),ROUND(MEDIAN(customer_churn_dataset!D$2:D$1501),2),IF(customer_churn_dataset!D1152&lt;0,ABS(customer_churn_dataset!D1152),customer_churn_dataset!D1152))</f>
        <v>10.84</v>
      </c>
      <c r="E1152" s="7" t="n">
        <f aca="false">IF(ISBLANK(customer_churn_dataset!E1152),0,MAX(0,customer_churn_dataset!E1152))</f>
        <v>6</v>
      </c>
      <c r="F1152" s="8" t="n">
        <f aca="false">IF(ISBLANK(customer_churn_dataset!F1152),"",customer_churn_dataset!F1152)</f>
        <v>45334</v>
      </c>
      <c r="G1152" s="7" t="str">
        <f aca="false">PROPER(TRIM(customer_churn_dataset!G1152))</f>
        <v>Credit Card</v>
      </c>
      <c r="H1152" s="7" t="n">
        <f aca="false">IF(ISBLANK(customer_churn_dataset!H1152),0,customer_churn_dataset!H1152)</f>
        <v>0</v>
      </c>
      <c r="I1152" s="7" t="n">
        <f aca="false">IF(ISBLANK(customer_churn_dataset!I1152),ROUND(MEDIAN(customer_churn_dataset!I$2:I$1501),1),MIN(100,MAX(0,customer_churn_dataset!I1152)))</f>
        <v>50.6</v>
      </c>
      <c r="J1152" s="7" t="n">
        <f aca="false">IF(ISBLANK(customer_churn_dataset!J1152),0,MAX(0,customer_churn_dataset!J1152))</f>
        <v>14</v>
      </c>
      <c r="K1152" s="7" t="n">
        <f aca="false">IF(ISBLANK(customer_churn_dataset!K1152),0,MIN(10,MAX(0,customer_churn_dataset!K1152)))</f>
        <v>7</v>
      </c>
      <c r="L1152" s="7" t="n">
        <f aca="false">IF(ISBLANK(customer_churn_dataset!L1152),0,MAX(0,customer_churn_dataset!L1152))</f>
        <v>0</v>
      </c>
      <c r="M1152" s="7" t="n">
        <f aca="false">IF(ISBLANK(customer_churn_dataset!M1152),0,customer_churn_dataset!M1152)</f>
        <v>0</v>
      </c>
      <c r="N1152" s="7" t="n">
        <f aca="false">IF(ISBLANK(customer_churn_dataset!N1152),0,MAX(0,customer_churn_dataset!N1152))</f>
        <v>65.04</v>
      </c>
      <c r="O1152" s="7" t="n">
        <f aca="false">IF(ISBLANK(customer_churn_dataset!O1152),0,customer_churn_dataset!O1152)</f>
        <v>0</v>
      </c>
      <c r="P1152" s="7" t="str">
        <f aca="false">IF(COUNTIF(customer_churn_dataset!$A$2:$A$1501,customer_churn_dataset!A1152)&gt;1,"Duplicate","Unique")</f>
        <v>Unique</v>
      </c>
    </row>
    <row r="1153" customFormat="false" ht="14.15" hidden="false" customHeight="true" outlineLevel="0" collapsed="false">
      <c r="A1153" s="7" t="str">
        <f aca="false">TRIM(customer_churn_dataset!A1153)</f>
        <v>CUST101312</v>
      </c>
      <c r="B1153" s="7" t="str">
        <f aca="false">PROPER(TRIM(customer_churn_dataset!B1153))</f>
        <v>Standard</v>
      </c>
      <c r="C1153" s="7" t="str">
        <f aca="false">PROPER(TRIM(customer_churn_dataset!C1153))</f>
        <v>One Year</v>
      </c>
      <c r="D1153" s="7" t="n">
        <f aca="false">IF(ISBLANK(customer_churn_dataset!D1153),ROUND(MEDIAN(customer_churn_dataset!D$2:D$1501),2),IF(customer_churn_dataset!D1153&lt;0,ABS(customer_churn_dataset!D1153),customer_churn_dataset!D1153))</f>
        <v>19.2</v>
      </c>
      <c r="E1153" s="7" t="n">
        <f aca="false">IF(ISBLANK(customer_churn_dataset!E1153),0,MAX(0,customer_churn_dataset!E1153))</f>
        <v>4</v>
      </c>
      <c r="F1153" s="8" t="n">
        <f aca="false">IF(ISBLANK(customer_churn_dataset!F1153),"",customer_churn_dataset!F1153)</f>
        <v>45337</v>
      </c>
      <c r="G1153" s="7" t="str">
        <f aca="false">PROPER(TRIM(customer_churn_dataset!G1153))</f>
        <v>Credit Card</v>
      </c>
      <c r="H1153" s="7" t="n">
        <f aca="false">IF(ISBLANK(customer_churn_dataset!H1153),0,customer_churn_dataset!H1153)</f>
        <v>1</v>
      </c>
      <c r="I1153" s="7" t="n">
        <f aca="false">IF(ISBLANK(customer_churn_dataset!I1153),ROUND(MEDIAN(customer_churn_dataset!I$2:I$1501),1),MIN(100,MAX(0,customer_churn_dataset!I1153)))</f>
        <v>59.3</v>
      </c>
      <c r="J1153" s="7" t="n">
        <f aca="false">IF(ISBLANK(customer_churn_dataset!J1153),0,MAX(0,customer_churn_dataset!J1153))</f>
        <v>8</v>
      </c>
      <c r="K1153" s="7" t="n">
        <f aca="false">IF(ISBLANK(customer_churn_dataset!K1153),0,MIN(10,MAX(0,customer_churn_dataset!K1153)))</f>
        <v>6</v>
      </c>
      <c r="L1153" s="7" t="n">
        <f aca="false">IF(ISBLANK(customer_churn_dataset!L1153),0,MAX(0,customer_churn_dataset!L1153))</f>
        <v>1</v>
      </c>
      <c r="M1153" s="7" t="n">
        <f aca="false">IF(ISBLANK(customer_churn_dataset!M1153),0,customer_churn_dataset!M1153)</f>
        <v>1</v>
      </c>
      <c r="N1153" s="7" t="n">
        <f aca="false">IF(ISBLANK(customer_churn_dataset!N1153),0,MAX(0,customer_churn_dataset!N1153))</f>
        <v>76.8</v>
      </c>
      <c r="O1153" s="7" t="n">
        <f aca="false">IF(ISBLANK(customer_churn_dataset!O1153),0,customer_churn_dataset!O1153)</f>
        <v>0</v>
      </c>
      <c r="P1153" s="7" t="str">
        <f aca="false">IF(COUNTIF(customer_churn_dataset!$A$2:$A$1501,customer_churn_dataset!A1153)&gt;1,"Duplicate","Unique")</f>
        <v>Unique</v>
      </c>
    </row>
    <row r="1154" customFormat="false" ht="14.15" hidden="false" customHeight="true" outlineLevel="0" collapsed="false">
      <c r="A1154" s="7" t="str">
        <f aca="false">TRIM(customer_churn_dataset!A1154)</f>
        <v>CUST100581</v>
      </c>
      <c r="B1154" s="7" t="str">
        <f aca="false">PROPER(TRIM(customer_churn_dataset!B1154))</f>
        <v>Premium</v>
      </c>
      <c r="C1154" s="7" t="str">
        <f aca="false">PROPER(TRIM(customer_churn_dataset!C1154))</f>
        <v>One Year</v>
      </c>
      <c r="D1154" s="7" t="n">
        <f aca="false">IF(ISBLANK(customer_churn_dataset!D1154),ROUND(MEDIAN(customer_churn_dataset!D$2:D$1501),2),IF(customer_churn_dataset!D1154&lt;0,ABS(customer_churn_dataset!D1154),customer_churn_dataset!D1154))</f>
        <v>39.82</v>
      </c>
      <c r="E1154" s="7" t="n">
        <f aca="false">IF(ISBLANK(customer_churn_dataset!E1154),0,MAX(0,customer_churn_dataset!E1154))</f>
        <v>21</v>
      </c>
      <c r="F1154" s="8" t="n">
        <f aca="false">IF(ISBLANK(customer_churn_dataset!F1154),"",customer_churn_dataset!F1154)</f>
        <v>45338</v>
      </c>
      <c r="G1154" s="7" t="str">
        <f aca="false">PROPER(TRIM(customer_churn_dataset!G1154))</f>
        <v>Credit Card</v>
      </c>
      <c r="H1154" s="7" t="n">
        <f aca="false">IF(ISBLANK(customer_churn_dataset!H1154),0,customer_churn_dataset!H1154)</f>
        <v>1</v>
      </c>
      <c r="I1154" s="7" t="n">
        <f aca="false">IF(ISBLANK(customer_churn_dataset!I1154),ROUND(MEDIAN(customer_churn_dataset!I$2:I$1501),1),MIN(100,MAX(0,customer_churn_dataset!I1154)))</f>
        <v>55.2</v>
      </c>
      <c r="J1154" s="7" t="n">
        <f aca="false">IF(ISBLANK(customer_churn_dataset!J1154),0,MAX(0,customer_churn_dataset!J1154))</f>
        <v>22</v>
      </c>
      <c r="K1154" s="7" t="n">
        <f aca="false">IF(ISBLANK(customer_churn_dataset!K1154),0,MIN(10,MAX(0,customer_churn_dataset!K1154)))</f>
        <v>7</v>
      </c>
      <c r="L1154" s="7" t="n">
        <f aca="false">IF(ISBLANK(customer_churn_dataset!L1154),0,MAX(0,customer_churn_dataset!L1154))</f>
        <v>1</v>
      </c>
      <c r="M1154" s="7" t="n">
        <f aca="false">IF(ISBLANK(customer_churn_dataset!M1154),0,customer_churn_dataset!M1154)</f>
        <v>0</v>
      </c>
      <c r="N1154" s="7" t="n">
        <f aca="false">IF(ISBLANK(customer_churn_dataset!N1154),0,MAX(0,customer_churn_dataset!N1154))</f>
        <v>836.22</v>
      </c>
      <c r="O1154" s="7" t="n">
        <f aca="false">IF(ISBLANK(customer_churn_dataset!O1154),0,customer_churn_dataset!O1154)</f>
        <v>0</v>
      </c>
      <c r="P1154" s="7" t="str">
        <f aca="false">IF(COUNTIF(customer_churn_dataset!$A$2:$A$1501,customer_churn_dataset!A1154)&gt;1,"Duplicate","Unique")</f>
        <v>Unique</v>
      </c>
    </row>
    <row r="1155" customFormat="false" ht="14.15" hidden="false" customHeight="true" outlineLevel="0" collapsed="false">
      <c r="A1155" s="7" t="str">
        <f aca="false">TRIM(customer_churn_dataset!A1155)</f>
        <v>CUST101280</v>
      </c>
      <c r="B1155" s="7" t="str">
        <f aca="false">PROPER(TRIM(customer_churn_dataset!B1155))</f>
        <v>Standard</v>
      </c>
      <c r="C1155" s="7" t="str">
        <f aca="false">PROPER(TRIM(customer_churn_dataset!C1155))</f>
        <v>One Year</v>
      </c>
      <c r="D1155" s="7" t="n">
        <f aca="false">IF(ISBLANK(customer_churn_dataset!D1155),ROUND(MEDIAN(customer_churn_dataset!D$2:D$1501),2),IF(customer_churn_dataset!D1155&lt;0,ABS(customer_churn_dataset!D1155),customer_churn_dataset!D1155))</f>
        <v>21.74</v>
      </c>
      <c r="E1155" s="7" t="n">
        <f aca="false">IF(ISBLANK(customer_churn_dataset!E1155),0,MAX(0,customer_churn_dataset!E1155))</f>
        <v>15</v>
      </c>
      <c r="F1155" s="8" t="n">
        <f aca="false">IF(ISBLANK(customer_churn_dataset!F1155),"",customer_churn_dataset!F1155)</f>
        <v>45340</v>
      </c>
      <c r="G1155" s="7" t="str">
        <f aca="false">PROPER(TRIM(customer_churn_dataset!G1155))</f>
        <v>Paypal</v>
      </c>
      <c r="H1155" s="7" t="n">
        <f aca="false">IF(ISBLANK(customer_churn_dataset!H1155),0,customer_churn_dataset!H1155)</f>
        <v>1</v>
      </c>
      <c r="I1155" s="7" t="n">
        <f aca="false">IF(ISBLANK(customer_churn_dataset!I1155),ROUND(MEDIAN(customer_churn_dataset!I$2:I$1501),1),MIN(100,MAX(0,customer_churn_dataset!I1155)))</f>
        <v>50.5</v>
      </c>
      <c r="J1155" s="7" t="n">
        <f aca="false">IF(ISBLANK(customer_churn_dataset!J1155),0,MAX(0,customer_churn_dataset!J1155))</f>
        <v>14</v>
      </c>
      <c r="K1155" s="7" t="n">
        <f aca="false">IF(ISBLANK(customer_churn_dataset!K1155),0,MIN(10,MAX(0,customer_churn_dataset!K1155)))</f>
        <v>7</v>
      </c>
      <c r="L1155" s="7" t="n">
        <f aca="false">IF(ISBLANK(customer_churn_dataset!L1155),0,MAX(0,customer_churn_dataset!L1155))</f>
        <v>1</v>
      </c>
      <c r="M1155" s="7" t="n">
        <f aca="false">IF(ISBLANK(customer_churn_dataset!M1155),0,customer_churn_dataset!M1155)</f>
        <v>0</v>
      </c>
      <c r="N1155" s="7" t="n">
        <f aca="false">IF(ISBLANK(customer_churn_dataset!N1155),0,MAX(0,customer_churn_dataset!N1155))</f>
        <v>326.1</v>
      </c>
      <c r="O1155" s="7" t="n">
        <f aca="false">IF(ISBLANK(customer_churn_dataset!O1155),0,customer_churn_dataset!O1155)</f>
        <v>0</v>
      </c>
      <c r="P1155" s="7" t="str">
        <f aca="false">IF(COUNTIF(customer_churn_dataset!$A$2:$A$1501,customer_churn_dataset!A1155)&gt;1,"Duplicate","Unique")</f>
        <v>Unique</v>
      </c>
    </row>
    <row r="1156" customFormat="false" ht="14.15" hidden="false" customHeight="true" outlineLevel="0" collapsed="false">
      <c r="A1156" s="7" t="str">
        <f aca="false">TRIM(customer_churn_dataset!A1156)</f>
        <v>CUST100010</v>
      </c>
      <c r="B1156" s="7" t="str">
        <f aca="false">PROPER(TRIM(customer_churn_dataset!B1156))</f>
        <v>Basic</v>
      </c>
      <c r="C1156" s="7" t="str">
        <f aca="false">PROPER(TRIM(customer_churn_dataset!C1156))</f>
        <v>One Year</v>
      </c>
      <c r="D1156" s="7" t="n">
        <f aca="false">IF(ISBLANK(customer_churn_dataset!D1156),ROUND(MEDIAN(customer_churn_dataset!D$2:D$1501),2),IF(customer_churn_dataset!D1156&lt;0,ABS(customer_churn_dataset!D1156),customer_churn_dataset!D1156))</f>
        <v>10.75</v>
      </c>
      <c r="E1156" s="7" t="n">
        <f aca="false">IF(ISBLANK(customer_churn_dataset!E1156),0,MAX(0,customer_churn_dataset!E1156))</f>
        <v>20</v>
      </c>
      <c r="F1156" s="8" t="n">
        <f aca="false">IF(ISBLANK(customer_churn_dataset!F1156),"",customer_churn_dataset!F1156)</f>
        <v>45340</v>
      </c>
      <c r="G1156" s="7" t="str">
        <f aca="false">PROPER(TRIM(customer_churn_dataset!G1156))</f>
        <v>Bank Transfer</v>
      </c>
      <c r="H1156" s="7" t="n">
        <f aca="false">IF(ISBLANK(customer_churn_dataset!H1156),0,customer_churn_dataset!H1156)</f>
        <v>1</v>
      </c>
      <c r="I1156" s="7" t="n">
        <f aca="false">IF(ISBLANK(customer_churn_dataset!I1156),ROUND(MEDIAN(customer_churn_dataset!I$2:I$1501),1),MIN(100,MAX(0,customer_churn_dataset!I1156)))</f>
        <v>74.7</v>
      </c>
      <c r="J1156" s="7" t="n">
        <f aca="false">IF(ISBLANK(customer_churn_dataset!J1156),0,MAX(0,customer_churn_dataset!J1156))</f>
        <v>24</v>
      </c>
      <c r="K1156" s="7" t="n">
        <f aca="false">IF(ISBLANK(customer_churn_dataset!K1156),0,MIN(10,MAX(0,customer_churn_dataset!K1156)))</f>
        <v>5</v>
      </c>
      <c r="L1156" s="7" t="n">
        <f aca="false">IF(ISBLANK(customer_churn_dataset!L1156),0,MAX(0,customer_churn_dataset!L1156))</f>
        <v>1</v>
      </c>
      <c r="M1156" s="7" t="n">
        <f aca="false">IF(ISBLANK(customer_churn_dataset!M1156),0,customer_churn_dataset!M1156)</f>
        <v>0</v>
      </c>
      <c r="N1156" s="7" t="n">
        <f aca="false">IF(ISBLANK(customer_churn_dataset!N1156),0,MAX(0,customer_churn_dataset!N1156))</f>
        <v>215</v>
      </c>
      <c r="O1156" s="7" t="n">
        <f aca="false">IF(ISBLANK(customer_churn_dataset!O1156),0,customer_churn_dataset!O1156)</f>
        <v>0</v>
      </c>
      <c r="P1156" s="7" t="str">
        <f aca="false">IF(COUNTIF(customer_churn_dataset!$A$2:$A$1501,customer_churn_dataset!A1156)&gt;1,"Duplicate","Unique")</f>
        <v>Unique</v>
      </c>
    </row>
    <row r="1157" customFormat="false" ht="14.15" hidden="false" customHeight="true" outlineLevel="0" collapsed="false">
      <c r="A1157" s="7" t="str">
        <f aca="false">TRIM(customer_churn_dataset!A1157)</f>
        <v>CUST101414</v>
      </c>
      <c r="B1157" s="7" t="str">
        <f aca="false">PROPER(TRIM(customer_churn_dataset!B1157))</f>
        <v>Standard</v>
      </c>
      <c r="C1157" s="7" t="str">
        <f aca="false">PROPER(TRIM(customer_churn_dataset!C1157))</f>
        <v>Month-To-Month</v>
      </c>
      <c r="D1157" s="7" t="n">
        <f aca="false">IF(ISBLANK(customer_churn_dataset!D1157),ROUND(MEDIAN(customer_churn_dataset!D$2:D$1501),2),IF(customer_churn_dataset!D1157&lt;0,ABS(customer_churn_dataset!D1157),customer_churn_dataset!D1157))</f>
        <v>22.61</v>
      </c>
      <c r="E1157" s="7" t="n">
        <f aca="false">IF(ISBLANK(customer_churn_dataset!E1157),0,MAX(0,customer_churn_dataset!E1157))</f>
        <v>38</v>
      </c>
      <c r="F1157" s="8" t="n">
        <f aca="false">IF(ISBLANK(customer_churn_dataset!F1157),"",customer_churn_dataset!F1157)</f>
        <v>45342</v>
      </c>
      <c r="G1157" s="7" t="str">
        <f aca="false">PROPER(TRIM(customer_churn_dataset!G1157))</f>
        <v>Paypal</v>
      </c>
      <c r="H1157" s="7" t="n">
        <f aca="false">IF(ISBLANK(customer_churn_dataset!H1157),0,customer_churn_dataset!H1157)</f>
        <v>0</v>
      </c>
      <c r="I1157" s="7" t="n">
        <f aca="false">IF(ISBLANK(customer_churn_dataset!I1157),ROUND(MEDIAN(customer_churn_dataset!I$2:I$1501),1),MIN(100,MAX(0,customer_churn_dataset!I1157)))</f>
        <v>85.1</v>
      </c>
      <c r="J1157" s="7" t="n">
        <f aca="false">IF(ISBLANK(customer_churn_dataset!J1157),0,MAX(0,customer_churn_dataset!J1157))</f>
        <v>26</v>
      </c>
      <c r="K1157" s="7" t="n">
        <f aca="false">IF(ISBLANK(customer_churn_dataset!K1157),0,MIN(10,MAX(0,customer_churn_dataset!K1157)))</f>
        <v>9</v>
      </c>
      <c r="L1157" s="7" t="n">
        <f aca="false">IF(ISBLANK(customer_churn_dataset!L1157),0,MAX(0,customer_churn_dataset!L1157))</f>
        <v>0</v>
      </c>
      <c r="M1157" s="7" t="n">
        <f aca="false">IF(ISBLANK(customer_churn_dataset!M1157),0,customer_churn_dataset!M1157)</f>
        <v>0</v>
      </c>
      <c r="N1157" s="7" t="n">
        <f aca="false">IF(ISBLANK(customer_churn_dataset!N1157),0,MAX(0,customer_churn_dataset!N1157))</f>
        <v>859.18</v>
      </c>
      <c r="O1157" s="7" t="n">
        <f aca="false">IF(ISBLANK(customer_churn_dataset!O1157),0,customer_churn_dataset!O1157)</f>
        <v>0</v>
      </c>
      <c r="P1157" s="7" t="str">
        <f aca="false">IF(COUNTIF(customer_churn_dataset!$A$2:$A$1501,customer_churn_dataset!A1157)&gt;1,"Duplicate","Unique")</f>
        <v>Unique</v>
      </c>
    </row>
    <row r="1158" customFormat="false" ht="14.15" hidden="false" customHeight="true" outlineLevel="0" collapsed="false">
      <c r="A1158" s="7" t="str">
        <f aca="false">TRIM(customer_churn_dataset!A1158)</f>
        <v>CUST101282</v>
      </c>
      <c r="B1158" s="7" t="str">
        <f aca="false">PROPER(TRIM(customer_churn_dataset!B1158))</f>
        <v>Standard</v>
      </c>
      <c r="C1158" s="7" t="str">
        <f aca="false">PROPER(TRIM(customer_churn_dataset!C1158))</f>
        <v>Two Year</v>
      </c>
      <c r="D1158" s="7" t="n">
        <f aca="false">IF(ISBLANK(customer_churn_dataset!D1158),ROUND(MEDIAN(customer_churn_dataset!D$2:D$1501),2),IF(customer_churn_dataset!D1158&lt;0,ABS(customer_churn_dataset!D1158),customer_churn_dataset!D1158))</f>
        <v>18.7</v>
      </c>
      <c r="E1158" s="7" t="n">
        <f aca="false">IF(ISBLANK(customer_churn_dataset!E1158),0,MAX(0,customer_churn_dataset!E1158))</f>
        <v>21</v>
      </c>
      <c r="F1158" s="8" t="n">
        <f aca="false">IF(ISBLANK(customer_churn_dataset!F1158),"",customer_churn_dataset!F1158)</f>
        <v>45342</v>
      </c>
      <c r="G1158" s="7" t="str">
        <f aca="false">PROPER(TRIM(customer_churn_dataset!G1158))</f>
        <v>Credit Card</v>
      </c>
      <c r="H1158" s="7" t="n">
        <f aca="false">IF(ISBLANK(customer_churn_dataset!H1158),0,customer_churn_dataset!H1158)</f>
        <v>0</v>
      </c>
      <c r="I1158" s="7" t="n">
        <f aca="false">IF(ISBLANK(customer_churn_dataset!I1158),ROUND(MEDIAN(customer_churn_dataset!I$2:I$1501),1),MIN(100,MAX(0,customer_churn_dataset!I1158)))</f>
        <v>43.8</v>
      </c>
      <c r="J1158" s="7" t="n">
        <f aca="false">IF(ISBLANK(customer_churn_dataset!J1158),0,MAX(0,customer_churn_dataset!J1158))</f>
        <v>13</v>
      </c>
      <c r="K1158" s="7" t="n">
        <f aca="false">IF(ISBLANK(customer_churn_dataset!K1158),0,MIN(10,MAX(0,customer_churn_dataset!K1158)))</f>
        <v>2</v>
      </c>
      <c r="L1158" s="7" t="n">
        <f aca="false">IF(ISBLANK(customer_churn_dataset!L1158),0,MAX(0,customer_churn_dataset!L1158))</f>
        <v>0</v>
      </c>
      <c r="M1158" s="7" t="n">
        <f aca="false">IF(ISBLANK(customer_churn_dataset!M1158),0,customer_churn_dataset!M1158)</f>
        <v>0</v>
      </c>
      <c r="N1158" s="7" t="n">
        <f aca="false">IF(ISBLANK(customer_churn_dataset!N1158),0,MAX(0,customer_churn_dataset!N1158))</f>
        <v>392.7</v>
      </c>
      <c r="O1158" s="7" t="n">
        <f aca="false">IF(ISBLANK(customer_churn_dataset!O1158),0,customer_churn_dataset!O1158)</f>
        <v>0</v>
      </c>
      <c r="P1158" s="7" t="str">
        <f aca="false">IF(COUNTIF(customer_churn_dataset!$A$2:$A$1501,customer_churn_dataset!A1158)&gt;1,"Duplicate","Unique")</f>
        <v>Unique</v>
      </c>
    </row>
    <row r="1159" customFormat="false" ht="14.15" hidden="false" customHeight="true" outlineLevel="0" collapsed="false">
      <c r="A1159" s="7" t="str">
        <f aca="false">TRIM(customer_churn_dataset!A1159)</f>
        <v>CUST101128</v>
      </c>
      <c r="B1159" s="7" t="str">
        <f aca="false">PROPER(TRIM(customer_churn_dataset!B1159))</f>
        <v>Basic</v>
      </c>
      <c r="C1159" s="7" t="str">
        <f aca="false">PROPER(TRIM(customer_churn_dataset!C1159))</f>
        <v>One Year</v>
      </c>
      <c r="D1159" s="7" t="n">
        <f aca="false">IF(ISBLANK(customer_churn_dataset!D1159),ROUND(MEDIAN(customer_churn_dataset!D$2:D$1501),2),IF(customer_churn_dataset!D1159&lt;0,ABS(customer_churn_dataset!D1159),customer_churn_dataset!D1159))</f>
        <v>9.39</v>
      </c>
      <c r="E1159" s="7" t="n">
        <f aca="false">IF(ISBLANK(customer_churn_dataset!E1159),0,MAX(0,customer_churn_dataset!E1159))</f>
        <v>1</v>
      </c>
      <c r="F1159" s="8" t="n">
        <f aca="false">IF(ISBLANK(customer_churn_dataset!F1159),"",customer_churn_dataset!F1159)</f>
        <v>45343</v>
      </c>
      <c r="G1159" s="7" t="str">
        <f aca="false">PROPER(TRIM(customer_churn_dataset!G1159))</f>
        <v>Bank Transfer</v>
      </c>
      <c r="H1159" s="7" t="n">
        <f aca="false">IF(ISBLANK(customer_churn_dataset!H1159),0,customer_churn_dataset!H1159)</f>
        <v>1</v>
      </c>
      <c r="I1159" s="7" t="n">
        <f aca="false">IF(ISBLANK(customer_churn_dataset!I1159),ROUND(MEDIAN(customer_churn_dataset!I$2:I$1501),1),MIN(100,MAX(0,customer_churn_dataset!I1159)))</f>
        <v>27.5</v>
      </c>
      <c r="J1159" s="7" t="n">
        <f aca="false">IF(ISBLANK(customer_churn_dataset!J1159),0,MAX(0,customer_churn_dataset!J1159))</f>
        <v>10</v>
      </c>
      <c r="K1159" s="7" t="n">
        <f aca="false">IF(ISBLANK(customer_churn_dataset!K1159),0,MIN(10,MAX(0,customer_churn_dataset!K1159)))</f>
        <v>4</v>
      </c>
      <c r="L1159" s="7" t="n">
        <f aca="false">IF(ISBLANK(customer_churn_dataset!L1159),0,MAX(0,customer_churn_dataset!L1159))</f>
        <v>2</v>
      </c>
      <c r="M1159" s="7" t="n">
        <f aca="false">IF(ISBLANK(customer_churn_dataset!M1159),0,customer_churn_dataset!M1159)</f>
        <v>1</v>
      </c>
      <c r="N1159" s="7" t="n">
        <f aca="false">IF(ISBLANK(customer_churn_dataset!N1159),0,MAX(0,customer_churn_dataset!N1159))</f>
        <v>9.39</v>
      </c>
      <c r="O1159" s="7" t="n">
        <f aca="false">IF(ISBLANK(customer_churn_dataset!O1159),0,customer_churn_dataset!O1159)</f>
        <v>0</v>
      </c>
      <c r="P1159" s="7" t="str">
        <f aca="false">IF(COUNTIF(customer_churn_dataset!$A$2:$A$1501,customer_churn_dataset!A1159)&gt;1,"Duplicate","Unique")</f>
        <v>Unique</v>
      </c>
    </row>
    <row r="1160" customFormat="false" ht="14.15" hidden="false" customHeight="true" outlineLevel="0" collapsed="false">
      <c r="A1160" s="7" t="str">
        <f aca="false">TRIM(customer_churn_dataset!A1160)</f>
        <v>CUST100940</v>
      </c>
      <c r="B1160" s="7" t="str">
        <f aca="false">PROPER(TRIM(customer_churn_dataset!B1160))</f>
        <v>Basic</v>
      </c>
      <c r="C1160" s="7" t="str">
        <f aca="false">PROPER(TRIM(customer_churn_dataset!C1160))</f>
        <v>Month-To-Month</v>
      </c>
      <c r="D1160" s="7" t="n">
        <f aca="false">IF(ISBLANK(customer_churn_dataset!D1160),ROUND(MEDIAN(customer_churn_dataset!D$2:D$1501),2),IF(customer_churn_dataset!D1160&lt;0,ABS(customer_churn_dataset!D1160),customer_churn_dataset!D1160))</f>
        <v>10.37</v>
      </c>
      <c r="E1160" s="7" t="n">
        <f aca="false">IF(ISBLANK(customer_churn_dataset!E1160),0,MAX(0,customer_churn_dataset!E1160))</f>
        <v>9</v>
      </c>
      <c r="F1160" s="8" t="n">
        <f aca="false">IF(ISBLANK(customer_churn_dataset!F1160),"",customer_churn_dataset!F1160)</f>
        <v>45344</v>
      </c>
      <c r="G1160" s="7" t="str">
        <f aca="false">PROPER(TRIM(customer_churn_dataset!G1160))</f>
        <v>Bank Transfer</v>
      </c>
      <c r="H1160" s="7" t="n">
        <f aca="false">IF(ISBLANK(customer_churn_dataset!H1160),0,customer_churn_dataset!H1160)</f>
        <v>1</v>
      </c>
      <c r="I1160" s="7" t="n">
        <f aca="false">IF(ISBLANK(customer_churn_dataset!I1160),ROUND(MEDIAN(customer_churn_dataset!I$2:I$1501),1),MIN(100,MAX(0,customer_churn_dataset!I1160)))</f>
        <v>0</v>
      </c>
      <c r="J1160" s="7" t="n">
        <f aca="false">IF(ISBLANK(customer_churn_dataset!J1160),0,MAX(0,customer_churn_dataset!J1160))</f>
        <v>6</v>
      </c>
      <c r="K1160" s="7" t="n">
        <f aca="false">IF(ISBLANK(customer_churn_dataset!K1160),0,MIN(10,MAX(0,customer_churn_dataset!K1160)))</f>
        <v>0</v>
      </c>
      <c r="L1160" s="7" t="n">
        <f aca="false">IF(ISBLANK(customer_churn_dataset!L1160),0,MAX(0,customer_churn_dataset!L1160))</f>
        <v>4</v>
      </c>
      <c r="M1160" s="7" t="n">
        <f aca="false">IF(ISBLANK(customer_churn_dataset!M1160),0,customer_churn_dataset!M1160)</f>
        <v>0</v>
      </c>
      <c r="N1160" s="7" t="n">
        <f aca="false">IF(ISBLANK(customer_churn_dataset!N1160),0,MAX(0,customer_churn_dataset!N1160))</f>
        <v>93.33</v>
      </c>
      <c r="O1160" s="7" t="n">
        <f aca="false">IF(ISBLANK(customer_churn_dataset!O1160),0,customer_churn_dataset!O1160)</f>
        <v>1</v>
      </c>
      <c r="P1160" s="7" t="str">
        <f aca="false">IF(COUNTIF(customer_churn_dataset!$A$2:$A$1501,customer_churn_dataset!A1160)&gt;1,"Duplicate","Unique")</f>
        <v>Unique</v>
      </c>
    </row>
    <row r="1161" customFormat="false" ht="14.15" hidden="false" customHeight="true" outlineLevel="0" collapsed="false">
      <c r="A1161" s="7" t="str">
        <f aca="false">TRIM(customer_churn_dataset!A1161)</f>
        <v>CUST100607</v>
      </c>
      <c r="B1161" s="7" t="str">
        <f aca="false">PROPER(TRIM(customer_churn_dataset!B1161))</f>
        <v>Basic</v>
      </c>
      <c r="C1161" s="7" t="str">
        <f aca="false">PROPER(TRIM(customer_churn_dataset!C1161))</f>
        <v>One Year</v>
      </c>
      <c r="D1161" s="7" t="n">
        <f aca="false">IF(ISBLANK(customer_churn_dataset!D1161),ROUND(MEDIAN(customer_churn_dataset!D$2:D$1501),2),IF(customer_churn_dataset!D1161&lt;0,ABS(customer_churn_dataset!D1161),customer_churn_dataset!D1161))</f>
        <v>9.81</v>
      </c>
      <c r="E1161" s="7" t="n">
        <f aca="false">IF(ISBLANK(customer_churn_dataset!E1161),0,MAX(0,customer_churn_dataset!E1161))</f>
        <v>26</v>
      </c>
      <c r="F1161" s="8" t="n">
        <f aca="false">IF(ISBLANK(customer_churn_dataset!F1161),"",customer_churn_dataset!F1161)</f>
        <v>45347</v>
      </c>
      <c r="G1161" s="7" t="str">
        <f aca="false">PROPER(TRIM(customer_churn_dataset!G1161))</f>
        <v>Credit Card</v>
      </c>
      <c r="H1161" s="7" t="n">
        <f aca="false">IF(ISBLANK(customer_churn_dataset!H1161),0,customer_churn_dataset!H1161)</f>
        <v>1</v>
      </c>
      <c r="I1161" s="7" t="n">
        <f aca="false">IF(ISBLANK(customer_churn_dataset!I1161),ROUND(MEDIAN(customer_churn_dataset!I$2:I$1501),1),MIN(100,MAX(0,customer_churn_dataset!I1161)))</f>
        <v>68.9</v>
      </c>
      <c r="J1161" s="7" t="n">
        <f aca="false">IF(ISBLANK(customer_churn_dataset!J1161),0,MAX(0,customer_churn_dataset!J1161))</f>
        <v>28</v>
      </c>
      <c r="K1161" s="7" t="n">
        <f aca="false">IF(ISBLANK(customer_churn_dataset!K1161),0,MIN(10,MAX(0,customer_churn_dataset!K1161)))</f>
        <v>8</v>
      </c>
      <c r="L1161" s="7" t="n">
        <f aca="false">IF(ISBLANK(customer_churn_dataset!L1161),0,MAX(0,customer_churn_dataset!L1161))</f>
        <v>0</v>
      </c>
      <c r="M1161" s="7" t="n">
        <f aca="false">IF(ISBLANK(customer_churn_dataset!M1161),0,customer_churn_dataset!M1161)</f>
        <v>0</v>
      </c>
      <c r="N1161" s="7" t="n">
        <f aca="false">IF(ISBLANK(customer_churn_dataset!N1161),0,MAX(0,customer_churn_dataset!N1161))</f>
        <v>255.06</v>
      </c>
      <c r="O1161" s="7" t="n">
        <f aca="false">IF(ISBLANK(customer_churn_dataset!O1161),0,customer_churn_dataset!O1161)</f>
        <v>0</v>
      </c>
      <c r="P1161" s="7" t="str">
        <f aca="false">IF(COUNTIF(customer_churn_dataset!$A$2:$A$1501,customer_churn_dataset!A1161)&gt;1,"Duplicate","Unique")</f>
        <v>Unique</v>
      </c>
    </row>
    <row r="1162" customFormat="false" ht="14.15" hidden="false" customHeight="true" outlineLevel="0" collapsed="false">
      <c r="A1162" s="7" t="str">
        <f aca="false">TRIM(customer_churn_dataset!A1162)</f>
        <v>CUST100142</v>
      </c>
      <c r="B1162" s="7" t="str">
        <f aca="false">PROPER(TRIM(customer_churn_dataset!B1162))</f>
        <v>Standard</v>
      </c>
      <c r="C1162" s="7" t="str">
        <f aca="false">PROPER(TRIM(customer_churn_dataset!C1162))</f>
        <v>One Year</v>
      </c>
      <c r="D1162" s="7" t="n">
        <f aca="false">IF(ISBLANK(customer_churn_dataset!D1162),ROUND(MEDIAN(customer_churn_dataset!D$2:D$1501),2),IF(customer_churn_dataset!D1162&lt;0,ABS(customer_churn_dataset!D1162),customer_churn_dataset!D1162))</f>
        <v>19.82</v>
      </c>
      <c r="E1162" s="7" t="n">
        <f aca="false">IF(ISBLANK(customer_churn_dataset!E1162),0,MAX(0,customer_churn_dataset!E1162))</f>
        <v>4</v>
      </c>
      <c r="F1162" s="8" t="n">
        <f aca="false">IF(ISBLANK(customer_churn_dataset!F1162),"",customer_churn_dataset!F1162)</f>
        <v>45349</v>
      </c>
      <c r="G1162" s="7" t="str">
        <f aca="false">PROPER(TRIM(customer_churn_dataset!G1162))</f>
        <v>Bank Transfer</v>
      </c>
      <c r="H1162" s="7" t="n">
        <f aca="false">IF(ISBLANK(customer_churn_dataset!H1162),0,customer_churn_dataset!H1162)</f>
        <v>0</v>
      </c>
      <c r="I1162" s="7" t="n">
        <f aca="false">IF(ISBLANK(customer_churn_dataset!I1162),ROUND(MEDIAN(customer_churn_dataset!I$2:I$1501),1),MIN(100,MAX(0,customer_churn_dataset!I1162)))</f>
        <v>52.1</v>
      </c>
      <c r="J1162" s="7" t="n">
        <f aca="false">IF(ISBLANK(customer_churn_dataset!J1162),0,MAX(0,customer_churn_dataset!J1162))</f>
        <v>18</v>
      </c>
      <c r="K1162" s="7" t="n">
        <f aca="false">IF(ISBLANK(customer_churn_dataset!K1162),0,MIN(10,MAX(0,customer_churn_dataset!K1162)))</f>
        <v>7</v>
      </c>
      <c r="L1162" s="7" t="n">
        <f aca="false">IF(ISBLANK(customer_churn_dataset!L1162),0,MAX(0,customer_churn_dataset!L1162))</f>
        <v>2</v>
      </c>
      <c r="M1162" s="7" t="n">
        <f aca="false">IF(ISBLANK(customer_churn_dataset!M1162),0,customer_churn_dataset!M1162)</f>
        <v>0</v>
      </c>
      <c r="N1162" s="7" t="n">
        <f aca="false">IF(ISBLANK(customer_churn_dataset!N1162),0,MAX(0,customer_churn_dataset!N1162))</f>
        <v>79.28</v>
      </c>
      <c r="O1162" s="7" t="n">
        <f aca="false">IF(ISBLANK(customer_churn_dataset!O1162),0,customer_churn_dataset!O1162)</f>
        <v>0</v>
      </c>
      <c r="P1162" s="7" t="str">
        <f aca="false">IF(COUNTIF(customer_churn_dataset!$A$2:$A$1501,customer_churn_dataset!A1162)&gt;1,"Duplicate","Unique")</f>
        <v>Unique</v>
      </c>
    </row>
    <row r="1163" customFormat="false" ht="14.15" hidden="false" customHeight="true" outlineLevel="0" collapsed="false">
      <c r="A1163" s="7" t="str">
        <f aca="false">TRIM(customer_churn_dataset!A1163)</f>
        <v>CUST100025</v>
      </c>
      <c r="B1163" s="7" t="str">
        <f aca="false">PROPER(TRIM(customer_churn_dataset!B1163))</f>
        <v>Standard</v>
      </c>
      <c r="C1163" s="7" t="str">
        <f aca="false">PROPER(TRIM(customer_churn_dataset!C1163))</f>
        <v>Two Year</v>
      </c>
      <c r="D1163" s="7" t="n">
        <f aca="false">IF(ISBLANK(customer_churn_dataset!D1163),ROUND(MEDIAN(customer_churn_dataset!D$2:D$1501),2),IF(customer_churn_dataset!D1163&lt;0,ABS(customer_churn_dataset!D1163),customer_churn_dataset!D1163))</f>
        <v>20.93</v>
      </c>
      <c r="E1163" s="7" t="n">
        <f aca="false">IF(ISBLANK(customer_churn_dataset!E1163),0,MAX(0,customer_churn_dataset!E1163))</f>
        <v>1</v>
      </c>
      <c r="F1163" s="8" t="n">
        <f aca="false">IF(ISBLANK(customer_churn_dataset!F1163),"",customer_churn_dataset!F1163)</f>
        <v>45351</v>
      </c>
      <c r="G1163" s="7" t="str">
        <f aca="false">PROPER(TRIM(customer_churn_dataset!G1163))</f>
        <v>Credit Card</v>
      </c>
      <c r="H1163" s="7" t="n">
        <f aca="false">IF(ISBLANK(customer_churn_dataset!H1163),0,customer_churn_dataset!H1163)</f>
        <v>0</v>
      </c>
      <c r="I1163" s="7" t="n">
        <f aca="false">IF(ISBLANK(customer_churn_dataset!I1163),ROUND(MEDIAN(customer_churn_dataset!I$2:I$1501),1),MIN(100,MAX(0,customer_churn_dataset!I1163)))</f>
        <v>48.4</v>
      </c>
      <c r="J1163" s="7" t="n">
        <f aca="false">IF(ISBLANK(customer_churn_dataset!J1163),0,MAX(0,customer_churn_dataset!J1163))</f>
        <v>9</v>
      </c>
      <c r="K1163" s="7" t="n">
        <f aca="false">IF(ISBLANK(customer_churn_dataset!K1163),0,MIN(10,MAX(0,customer_churn_dataset!K1163)))</f>
        <v>5</v>
      </c>
      <c r="L1163" s="7" t="n">
        <f aca="false">IF(ISBLANK(customer_churn_dataset!L1163),0,MAX(0,customer_churn_dataset!L1163))</f>
        <v>0</v>
      </c>
      <c r="M1163" s="7" t="n">
        <f aca="false">IF(ISBLANK(customer_churn_dataset!M1163),0,customer_churn_dataset!M1163)</f>
        <v>0</v>
      </c>
      <c r="N1163" s="7" t="n">
        <f aca="false">IF(ISBLANK(customer_churn_dataset!N1163),0,MAX(0,customer_churn_dataset!N1163))</f>
        <v>20.93</v>
      </c>
      <c r="O1163" s="7" t="n">
        <f aca="false">IF(ISBLANK(customer_churn_dataset!O1163),0,customer_churn_dataset!O1163)</f>
        <v>0</v>
      </c>
      <c r="P1163" s="7" t="str">
        <f aca="false">IF(COUNTIF(customer_churn_dataset!$A$2:$A$1501,customer_churn_dataset!A1163)&gt;1,"Duplicate","Unique")</f>
        <v>Unique</v>
      </c>
    </row>
    <row r="1164" customFormat="false" ht="14.15" hidden="false" customHeight="true" outlineLevel="0" collapsed="false">
      <c r="A1164" s="7" t="str">
        <f aca="false">TRIM(customer_churn_dataset!A1164)</f>
        <v>CUST100351</v>
      </c>
      <c r="B1164" s="7" t="str">
        <f aca="false">PROPER(TRIM(customer_churn_dataset!B1164))</f>
        <v>Premium</v>
      </c>
      <c r="C1164" s="7" t="str">
        <f aca="false">PROPER(TRIM(customer_churn_dataset!C1164))</f>
        <v>Month-To-Month</v>
      </c>
      <c r="D1164" s="7" t="n">
        <f aca="false">IF(ISBLANK(customer_churn_dataset!D1164),ROUND(MEDIAN(customer_churn_dataset!D$2:D$1501),2),IF(customer_churn_dataset!D1164&lt;0,ABS(customer_churn_dataset!D1164),customer_churn_dataset!D1164))</f>
        <v>39.8</v>
      </c>
      <c r="E1164" s="7" t="n">
        <f aca="false">IF(ISBLANK(customer_churn_dataset!E1164),0,MAX(0,customer_churn_dataset!E1164))</f>
        <v>29</v>
      </c>
      <c r="F1164" s="8" t="n">
        <f aca="false">IF(ISBLANK(customer_churn_dataset!F1164),"",customer_churn_dataset!F1164)</f>
        <v>45353</v>
      </c>
      <c r="G1164" s="7" t="str">
        <f aca="false">PROPER(TRIM(customer_churn_dataset!G1164))</f>
        <v>Credit Card</v>
      </c>
      <c r="H1164" s="7" t="n">
        <f aca="false">IF(ISBLANK(customer_churn_dataset!H1164),0,customer_churn_dataset!H1164)</f>
        <v>1</v>
      </c>
      <c r="I1164" s="7" t="n">
        <f aca="false">IF(ISBLANK(customer_churn_dataset!I1164),ROUND(MEDIAN(customer_churn_dataset!I$2:I$1501),1),MIN(100,MAX(0,customer_churn_dataset!I1164)))</f>
        <v>78.1</v>
      </c>
      <c r="J1164" s="7" t="n">
        <f aca="false">IF(ISBLANK(customer_churn_dataset!J1164),0,MAX(0,customer_churn_dataset!J1164))</f>
        <v>19</v>
      </c>
      <c r="K1164" s="7" t="n">
        <f aca="false">IF(ISBLANK(customer_churn_dataset!K1164),0,MIN(10,MAX(0,customer_churn_dataset!K1164)))</f>
        <v>8</v>
      </c>
      <c r="L1164" s="7" t="n">
        <f aca="false">IF(ISBLANK(customer_churn_dataset!L1164),0,MAX(0,customer_churn_dataset!L1164))</f>
        <v>0</v>
      </c>
      <c r="M1164" s="7" t="n">
        <f aca="false">IF(ISBLANK(customer_churn_dataset!M1164),0,customer_churn_dataset!M1164)</f>
        <v>0</v>
      </c>
      <c r="N1164" s="7" t="n">
        <f aca="false">IF(ISBLANK(customer_churn_dataset!N1164),0,MAX(0,customer_churn_dataset!N1164))</f>
        <v>1154.2</v>
      </c>
      <c r="O1164" s="7" t="n">
        <f aca="false">IF(ISBLANK(customer_churn_dataset!O1164),0,customer_churn_dataset!O1164)</f>
        <v>0</v>
      </c>
      <c r="P1164" s="7" t="str">
        <f aca="false">IF(COUNTIF(customer_churn_dataset!$A$2:$A$1501,customer_churn_dataset!A1164)&gt;1,"Duplicate","Unique")</f>
        <v>Unique</v>
      </c>
    </row>
    <row r="1165" customFormat="false" ht="14.15" hidden="false" customHeight="true" outlineLevel="0" collapsed="false">
      <c r="A1165" s="7" t="str">
        <f aca="false">TRIM(customer_churn_dataset!A1165)</f>
        <v>CUST100444</v>
      </c>
      <c r="B1165" s="7" t="str">
        <f aca="false">PROPER(TRIM(customer_churn_dataset!B1165))</f>
        <v>Premium</v>
      </c>
      <c r="C1165" s="7" t="str">
        <f aca="false">PROPER(TRIM(customer_churn_dataset!C1165))</f>
        <v>One Year</v>
      </c>
      <c r="D1165" s="7" t="n">
        <f aca="false">IF(ISBLANK(customer_churn_dataset!D1165),ROUND(MEDIAN(customer_churn_dataset!D$2:D$1501),2),IF(customer_churn_dataset!D1165&lt;0,ABS(customer_churn_dataset!D1165),customer_churn_dataset!D1165))</f>
        <v>39.51</v>
      </c>
      <c r="E1165" s="7" t="n">
        <f aca="false">IF(ISBLANK(customer_churn_dataset!E1165),0,MAX(0,customer_churn_dataset!E1165))</f>
        <v>9</v>
      </c>
      <c r="F1165" s="8" t="n">
        <f aca="false">IF(ISBLANK(customer_churn_dataset!F1165),"",customer_churn_dataset!F1165)</f>
        <v>45354</v>
      </c>
      <c r="G1165" s="7" t="str">
        <f aca="false">PROPER(TRIM(customer_churn_dataset!G1165))</f>
        <v>Bank Transfer</v>
      </c>
      <c r="H1165" s="7" t="n">
        <f aca="false">IF(ISBLANK(customer_churn_dataset!H1165),0,customer_churn_dataset!H1165)</f>
        <v>0</v>
      </c>
      <c r="I1165" s="7" t="n">
        <f aca="false">IF(ISBLANK(customer_churn_dataset!I1165),ROUND(MEDIAN(customer_churn_dataset!I$2:I$1501),1),MIN(100,MAX(0,customer_churn_dataset!I1165)))</f>
        <v>35.4</v>
      </c>
      <c r="J1165" s="7" t="n">
        <f aca="false">IF(ISBLANK(customer_churn_dataset!J1165),0,MAX(0,customer_churn_dataset!J1165))</f>
        <v>15</v>
      </c>
      <c r="K1165" s="7" t="n">
        <f aca="false">IF(ISBLANK(customer_churn_dataset!K1165),0,MIN(10,MAX(0,customer_churn_dataset!K1165)))</f>
        <v>3</v>
      </c>
      <c r="L1165" s="7" t="n">
        <f aca="false">IF(ISBLANK(customer_churn_dataset!L1165),0,MAX(0,customer_churn_dataset!L1165))</f>
        <v>0</v>
      </c>
      <c r="M1165" s="7" t="n">
        <f aca="false">IF(ISBLANK(customer_churn_dataset!M1165),0,customer_churn_dataset!M1165)</f>
        <v>0</v>
      </c>
      <c r="N1165" s="7" t="n">
        <f aca="false">IF(ISBLANK(customer_churn_dataset!N1165),0,MAX(0,customer_churn_dataset!N1165))</f>
        <v>355.59</v>
      </c>
      <c r="O1165" s="7" t="n">
        <f aca="false">IF(ISBLANK(customer_churn_dataset!O1165),0,customer_churn_dataset!O1165)</f>
        <v>0</v>
      </c>
      <c r="P1165" s="7" t="str">
        <f aca="false">IF(COUNTIF(customer_churn_dataset!$A$2:$A$1501,customer_churn_dataset!A1165)&gt;1,"Duplicate","Unique")</f>
        <v>Unique</v>
      </c>
    </row>
    <row r="1166" customFormat="false" ht="14.15" hidden="false" customHeight="true" outlineLevel="0" collapsed="false">
      <c r="A1166" s="7" t="str">
        <f aca="false">TRIM(customer_churn_dataset!A1166)</f>
        <v>CUST100292</v>
      </c>
      <c r="B1166" s="7" t="str">
        <f aca="false">PROPER(TRIM(customer_churn_dataset!B1166))</f>
        <v>Premium</v>
      </c>
      <c r="C1166" s="7" t="str">
        <f aca="false">PROPER(TRIM(customer_churn_dataset!C1166))</f>
        <v>One Year</v>
      </c>
      <c r="D1166" s="7" t="n">
        <f aca="false">IF(ISBLANK(customer_churn_dataset!D1166),ROUND(MEDIAN(customer_churn_dataset!D$2:D$1501),2),IF(customer_churn_dataset!D1166&lt;0,ABS(customer_churn_dataset!D1166),customer_churn_dataset!D1166))</f>
        <v>40.23</v>
      </c>
      <c r="E1166" s="7" t="n">
        <f aca="false">IF(ISBLANK(customer_churn_dataset!E1166),0,MAX(0,customer_churn_dataset!E1166))</f>
        <v>14</v>
      </c>
      <c r="F1166" s="8" t="n">
        <f aca="false">IF(ISBLANK(customer_churn_dataset!F1166),"",customer_churn_dataset!F1166)</f>
        <v>45355</v>
      </c>
      <c r="G1166" s="7" t="str">
        <f aca="false">PROPER(TRIM(customer_churn_dataset!G1166))</f>
        <v>Credit Card</v>
      </c>
      <c r="H1166" s="7" t="n">
        <f aca="false">IF(ISBLANK(customer_churn_dataset!H1166),0,customer_churn_dataset!H1166)</f>
        <v>0</v>
      </c>
      <c r="I1166" s="7" t="n">
        <f aca="false">IF(ISBLANK(customer_churn_dataset!I1166),ROUND(MEDIAN(customer_churn_dataset!I$2:I$1501),1),MIN(100,MAX(0,customer_churn_dataset!I1166)))</f>
        <v>74.2</v>
      </c>
      <c r="J1166" s="7" t="n">
        <f aca="false">IF(ISBLANK(customer_churn_dataset!J1166),0,MAX(0,customer_churn_dataset!J1166))</f>
        <v>29</v>
      </c>
      <c r="K1166" s="7" t="n">
        <f aca="false">IF(ISBLANK(customer_churn_dataset!K1166),0,MIN(10,MAX(0,customer_churn_dataset!K1166)))</f>
        <v>7</v>
      </c>
      <c r="L1166" s="7" t="n">
        <f aca="false">IF(ISBLANK(customer_churn_dataset!L1166),0,MAX(0,customer_churn_dataset!L1166))</f>
        <v>0</v>
      </c>
      <c r="M1166" s="7" t="n">
        <f aca="false">IF(ISBLANK(customer_churn_dataset!M1166),0,customer_churn_dataset!M1166)</f>
        <v>0</v>
      </c>
      <c r="N1166" s="7" t="n">
        <f aca="false">IF(ISBLANK(customer_churn_dataset!N1166),0,MAX(0,customer_churn_dataset!N1166))</f>
        <v>563.22</v>
      </c>
      <c r="O1166" s="7" t="n">
        <f aca="false">IF(ISBLANK(customer_churn_dataset!O1166),0,customer_churn_dataset!O1166)</f>
        <v>0</v>
      </c>
      <c r="P1166" s="7" t="str">
        <f aca="false">IF(COUNTIF(customer_churn_dataset!$A$2:$A$1501,customer_churn_dataset!A1166)&gt;1,"Duplicate","Unique")</f>
        <v>Unique</v>
      </c>
    </row>
    <row r="1167" customFormat="false" ht="14.15" hidden="false" customHeight="true" outlineLevel="0" collapsed="false">
      <c r="A1167" s="7" t="str">
        <f aca="false">TRIM(customer_churn_dataset!A1167)</f>
        <v>CUST100944</v>
      </c>
      <c r="B1167" s="7" t="str">
        <f aca="false">PROPER(TRIM(customer_churn_dataset!B1167))</f>
        <v>Basic</v>
      </c>
      <c r="C1167" s="7" t="str">
        <f aca="false">PROPER(TRIM(customer_churn_dataset!C1167))</f>
        <v>Month-To-Month</v>
      </c>
      <c r="D1167" s="7" t="n">
        <f aca="false">IF(ISBLANK(customer_churn_dataset!D1167),ROUND(MEDIAN(customer_churn_dataset!D$2:D$1501),2),IF(customer_churn_dataset!D1167&lt;0,ABS(customer_churn_dataset!D1167),customer_churn_dataset!D1167))</f>
        <v>8.8</v>
      </c>
      <c r="E1167" s="7" t="n">
        <f aca="false">IF(ISBLANK(customer_churn_dataset!E1167),0,MAX(0,customer_churn_dataset!E1167))</f>
        <v>4</v>
      </c>
      <c r="F1167" s="8" t="n">
        <f aca="false">IF(ISBLANK(customer_churn_dataset!F1167),"",customer_churn_dataset!F1167)</f>
        <v>45356</v>
      </c>
      <c r="G1167" s="7" t="str">
        <f aca="false">PROPER(TRIM(customer_churn_dataset!G1167))</f>
        <v>Manual/Invoice</v>
      </c>
      <c r="H1167" s="7" t="n">
        <f aca="false">IF(ISBLANK(customer_churn_dataset!H1167),0,customer_churn_dataset!H1167)</f>
        <v>1</v>
      </c>
      <c r="I1167" s="7" t="n">
        <f aca="false">IF(ISBLANK(customer_churn_dataset!I1167),ROUND(MEDIAN(customer_churn_dataset!I$2:I$1501),1),MIN(100,MAX(0,customer_churn_dataset!I1167)))</f>
        <v>61.2</v>
      </c>
      <c r="J1167" s="7" t="n">
        <f aca="false">IF(ISBLANK(customer_churn_dataset!J1167),0,MAX(0,customer_churn_dataset!J1167))</f>
        <v>19</v>
      </c>
      <c r="K1167" s="7" t="n">
        <f aca="false">IF(ISBLANK(customer_churn_dataset!K1167),0,MIN(10,MAX(0,customer_churn_dataset!K1167)))</f>
        <v>6</v>
      </c>
      <c r="L1167" s="7" t="n">
        <f aca="false">IF(ISBLANK(customer_churn_dataset!L1167),0,MAX(0,customer_churn_dataset!L1167))</f>
        <v>0</v>
      </c>
      <c r="M1167" s="7" t="n">
        <f aca="false">IF(ISBLANK(customer_churn_dataset!M1167),0,customer_churn_dataset!M1167)</f>
        <v>0</v>
      </c>
      <c r="N1167" s="7" t="n">
        <f aca="false">IF(ISBLANK(customer_churn_dataset!N1167),0,MAX(0,customer_churn_dataset!N1167))</f>
        <v>35.2</v>
      </c>
      <c r="O1167" s="7" t="n">
        <f aca="false">IF(ISBLANK(customer_churn_dataset!O1167),0,customer_churn_dataset!O1167)</f>
        <v>1</v>
      </c>
      <c r="P1167" s="7" t="str">
        <f aca="false">IF(COUNTIF(customer_churn_dataset!$A$2:$A$1501,customer_churn_dataset!A1167)&gt;1,"Duplicate","Unique")</f>
        <v>Unique</v>
      </c>
    </row>
    <row r="1168" customFormat="false" ht="14.15" hidden="false" customHeight="true" outlineLevel="0" collapsed="false">
      <c r="A1168" s="7" t="str">
        <f aca="false">TRIM(customer_churn_dataset!A1168)</f>
        <v>CUST100433</v>
      </c>
      <c r="B1168" s="7" t="str">
        <f aca="false">PROPER(TRIM(customer_churn_dataset!B1168))</f>
        <v>Basic</v>
      </c>
      <c r="C1168" s="7" t="str">
        <f aca="false">PROPER(TRIM(customer_churn_dataset!C1168))</f>
        <v>One Year</v>
      </c>
      <c r="D1168" s="7" t="n">
        <f aca="false">IF(ISBLANK(customer_churn_dataset!D1168),ROUND(MEDIAN(customer_churn_dataset!D$2:D$1501),2),IF(customer_churn_dataset!D1168&lt;0,ABS(customer_churn_dataset!D1168),customer_churn_dataset!D1168))</f>
        <v>10.89</v>
      </c>
      <c r="E1168" s="7" t="n">
        <f aca="false">IF(ISBLANK(customer_churn_dataset!E1168),0,MAX(0,customer_churn_dataset!E1168))</f>
        <v>0</v>
      </c>
      <c r="F1168" s="8" t="n">
        <f aca="false">IF(ISBLANK(customer_churn_dataset!F1168),"",customer_churn_dataset!F1168)</f>
        <v>45359</v>
      </c>
      <c r="G1168" s="7" t="str">
        <f aca="false">PROPER(TRIM(customer_churn_dataset!G1168))</f>
        <v>Paypal</v>
      </c>
      <c r="H1168" s="7" t="n">
        <f aca="false">IF(ISBLANK(customer_churn_dataset!H1168),0,customer_churn_dataset!H1168)</f>
        <v>1</v>
      </c>
      <c r="I1168" s="7" t="n">
        <f aca="false">IF(ISBLANK(customer_churn_dataset!I1168),ROUND(MEDIAN(customer_churn_dataset!I$2:I$1501),1),MIN(100,MAX(0,customer_churn_dataset!I1168)))</f>
        <v>39.8</v>
      </c>
      <c r="J1168" s="7" t="n">
        <f aca="false">IF(ISBLANK(customer_churn_dataset!J1168),0,MAX(0,customer_churn_dataset!J1168))</f>
        <v>19</v>
      </c>
      <c r="K1168" s="7" t="n">
        <f aca="false">IF(ISBLANK(customer_churn_dataset!K1168),0,MIN(10,MAX(0,customer_churn_dataset!K1168)))</f>
        <v>3</v>
      </c>
      <c r="L1168" s="7" t="n">
        <f aca="false">IF(ISBLANK(customer_churn_dataset!L1168),0,MAX(0,customer_churn_dataset!L1168))</f>
        <v>0</v>
      </c>
      <c r="M1168" s="7" t="n">
        <f aca="false">IF(ISBLANK(customer_churn_dataset!M1168),0,customer_churn_dataset!M1168)</f>
        <v>0</v>
      </c>
      <c r="N1168" s="7" t="n">
        <f aca="false">IF(ISBLANK(customer_churn_dataset!N1168),0,MAX(0,customer_churn_dataset!N1168))</f>
        <v>0</v>
      </c>
      <c r="O1168" s="7" t="n">
        <f aca="false">IF(ISBLANK(customer_churn_dataset!O1168),0,customer_churn_dataset!O1168)</f>
        <v>0</v>
      </c>
      <c r="P1168" s="7" t="str">
        <f aca="false">IF(COUNTIF(customer_churn_dataset!$A$2:$A$1501,customer_churn_dataset!A1168)&gt;1,"Duplicate","Unique")</f>
        <v>Unique</v>
      </c>
    </row>
    <row r="1169" customFormat="false" ht="14.15" hidden="false" customHeight="true" outlineLevel="0" collapsed="false">
      <c r="A1169" s="7" t="str">
        <f aca="false">TRIM(customer_churn_dataset!A1169)</f>
        <v>CUST100736</v>
      </c>
      <c r="B1169" s="7" t="str">
        <f aca="false">PROPER(TRIM(customer_churn_dataset!B1169))</f>
        <v>Basic</v>
      </c>
      <c r="C1169" s="7" t="str">
        <f aca="false">PROPER(TRIM(customer_churn_dataset!C1169))</f>
        <v>Month-To-Month</v>
      </c>
      <c r="D1169" s="7" t="n">
        <f aca="false">IF(ISBLANK(customer_churn_dataset!D1169),ROUND(MEDIAN(customer_churn_dataset!D$2:D$1501),2),IF(customer_churn_dataset!D1169&lt;0,ABS(customer_churn_dataset!D1169),customer_churn_dataset!D1169))</f>
        <v>9.73</v>
      </c>
      <c r="E1169" s="7" t="n">
        <f aca="false">IF(ISBLANK(customer_churn_dataset!E1169),0,MAX(0,customer_churn_dataset!E1169))</f>
        <v>2</v>
      </c>
      <c r="F1169" s="8" t="n">
        <f aca="false">IF(ISBLANK(customer_churn_dataset!F1169),"",customer_churn_dataset!F1169)</f>
        <v>45360</v>
      </c>
      <c r="G1169" s="7" t="str">
        <f aca="false">PROPER(TRIM(customer_churn_dataset!G1169))</f>
        <v>Manual/Invoice</v>
      </c>
      <c r="H1169" s="7" t="n">
        <f aca="false">IF(ISBLANK(customer_churn_dataset!H1169),0,customer_churn_dataset!H1169)</f>
        <v>1</v>
      </c>
      <c r="I1169" s="7" t="n">
        <f aca="false">IF(ISBLANK(customer_churn_dataset!I1169),ROUND(MEDIAN(customer_churn_dataset!I$2:I$1501),1),MIN(100,MAX(0,customer_churn_dataset!I1169)))</f>
        <v>83.9</v>
      </c>
      <c r="J1169" s="7" t="n">
        <f aca="false">IF(ISBLANK(customer_churn_dataset!J1169),0,MAX(0,customer_churn_dataset!J1169))</f>
        <v>26</v>
      </c>
      <c r="K1169" s="7" t="n">
        <f aca="false">IF(ISBLANK(customer_churn_dataset!K1169),0,MIN(10,MAX(0,customer_churn_dataset!K1169)))</f>
        <v>9</v>
      </c>
      <c r="L1169" s="7" t="n">
        <f aca="false">IF(ISBLANK(customer_churn_dataset!L1169),0,MAX(0,customer_churn_dataset!L1169))</f>
        <v>1</v>
      </c>
      <c r="M1169" s="7" t="n">
        <f aca="false">IF(ISBLANK(customer_churn_dataset!M1169),0,customer_churn_dataset!M1169)</f>
        <v>1</v>
      </c>
      <c r="N1169" s="7" t="n">
        <f aca="false">IF(ISBLANK(customer_churn_dataset!N1169),0,MAX(0,customer_churn_dataset!N1169))</f>
        <v>19.46</v>
      </c>
      <c r="O1169" s="7" t="n">
        <f aca="false">IF(ISBLANK(customer_churn_dataset!O1169),0,customer_churn_dataset!O1169)</f>
        <v>1</v>
      </c>
      <c r="P1169" s="7" t="str">
        <f aca="false">IF(COUNTIF(customer_churn_dataset!$A$2:$A$1501,customer_churn_dataset!A1169)&gt;1,"Duplicate","Unique")</f>
        <v>Unique</v>
      </c>
    </row>
    <row r="1170" customFormat="false" ht="14.15" hidden="false" customHeight="true" outlineLevel="0" collapsed="false">
      <c r="A1170" s="7" t="str">
        <f aca="false">TRIM(customer_churn_dataset!A1170)</f>
        <v>CUST101034</v>
      </c>
      <c r="B1170" s="7" t="str">
        <f aca="false">PROPER(TRIM(customer_churn_dataset!B1170))</f>
        <v>Basic</v>
      </c>
      <c r="C1170" s="7" t="str">
        <f aca="false">PROPER(TRIM(customer_churn_dataset!C1170))</f>
        <v>Month-To-Month</v>
      </c>
      <c r="D1170" s="7" t="n">
        <f aca="false">IF(ISBLANK(customer_churn_dataset!D1170),ROUND(MEDIAN(customer_churn_dataset!D$2:D$1501),2),IF(customer_churn_dataset!D1170&lt;0,ABS(customer_churn_dataset!D1170),customer_churn_dataset!D1170))</f>
        <v>10.18</v>
      </c>
      <c r="E1170" s="7" t="n">
        <f aca="false">IF(ISBLANK(customer_churn_dataset!E1170),0,MAX(0,customer_churn_dataset!E1170))</f>
        <v>21</v>
      </c>
      <c r="F1170" s="8" t="n">
        <f aca="false">IF(ISBLANK(customer_churn_dataset!F1170),"",customer_churn_dataset!F1170)</f>
        <v>45363</v>
      </c>
      <c r="G1170" s="7" t="str">
        <f aca="false">PROPER(TRIM(customer_churn_dataset!G1170))</f>
        <v>Credit Card</v>
      </c>
      <c r="H1170" s="7" t="n">
        <f aca="false">IF(ISBLANK(customer_churn_dataset!H1170),0,customer_churn_dataset!H1170)</f>
        <v>1</v>
      </c>
      <c r="I1170" s="7" t="n">
        <f aca="false">IF(ISBLANK(customer_churn_dataset!I1170),ROUND(MEDIAN(customer_churn_dataset!I$2:I$1501),1),MIN(100,MAX(0,customer_churn_dataset!I1170)))</f>
        <v>42.4</v>
      </c>
      <c r="J1170" s="7" t="n">
        <f aca="false">IF(ISBLANK(customer_churn_dataset!J1170),0,MAX(0,customer_churn_dataset!J1170))</f>
        <v>6</v>
      </c>
      <c r="K1170" s="7" t="n">
        <f aca="false">IF(ISBLANK(customer_churn_dataset!K1170),0,MIN(10,MAX(0,customer_churn_dataset!K1170)))</f>
        <v>2</v>
      </c>
      <c r="L1170" s="7" t="n">
        <f aca="false">IF(ISBLANK(customer_churn_dataset!L1170),0,MAX(0,customer_churn_dataset!L1170))</f>
        <v>3</v>
      </c>
      <c r="M1170" s="7" t="n">
        <f aca="false">IF(ISBLANK(customer_churn_dataset!M1170),0,customer_churn_dataset!M1170)</f>
        <v>0</v>
      </c>
      <c r="N1170" s="7" t="n">
        <f aca="false">IF(ISBLANK(customer_churn_dataset!N1170),0,MAX(0,customer_churn_dataset!N1170))</f>
        <v>213.78</v>
      </c>
      <c r="O1170" s="7" t="n">
        <f aca="false">IF(ISBLANK(customer_churn_dataset!O1170),0,customer_churn_dataset!O1170)</f>
        <v>0</v>
      </c>
      <c r="P1170" s="7" t="str">
        <f aca="false">IF(COUNTIF(customer_churn_dataset!$A$2:$A$1501,customer_churn_dataset!A1170)&gt;1,"Duplicate","Unique")</f>
        <v>Unique</v>
      </c>
    </row>
    <row r="1171" customFormat="false" ht="14.15" hidden="false" customHeight="true" outlineLevel="0" collapsed="false">
      <c r="A1171" s="7" t="str">
        <f aca="false">TRIM(customer_churn_dataset!A1171)</f>
        <v>CUST100020</v>
      </c>
      <c r="B1171" s="7" t="str">
        <f aca="false">PROPER(TRIM(customer_churn_dataset!B1171))</f>
        <v>Standard</v>
      </c>
      <c r="C1171" s="7" t="str">
        <f aca="false">PROPER(TRIM(customer_churn_dataset!C1171))</f>
        <v>Month-To-Month</v>
      </c>
      <c r="D1171" s="7" t="n">
        <f aca="false">IF(ISBLANK(customer_churn_dataset!D1171),ROUND(MEDIAN(customer_churn_dataset!D$2:D$1501),2),IF(customer_churn_dataset!D1171&lt;0,ABS(customer_churn_dataset!D1171),customer_churn_dataset!D1171))</f>
        <v>20.17</v>
      </c>
      <c r="E1171" s="7" t="n">
        <f aca="false">IF(ISBLANK(customer_churn_dataset!E1171),0,MAX(0,customer_churn_dataset!E1171))</f>
        <v>9</v>
      </c>
      <c r="F1171" s="8" t="n">
        <f aca="false">IF(ISBLANK(customer_churn_dataset!F1171),"",customer_churn_dataset!F1171)</f>
        <v>45364</v>
      </c>
      <c r="G1171" s="7" t="str">
        <f aca="false">PROPER(TRIM(customer_churn_dataset!G1171))</f>
        <v>Paypal</v>
      </c>
      <c r="H1171" s="7" t="n">
        <f aca="false">IF(ISBLANK(customer_churn_dataset!H1171),0,customer_churn_dataset!H1171)</f>
        <v>1</v>
      </c>
      <c r="I1171" s="7" t="n">
        <f aca="false">IF(ISBLANK(customer_churn_dataset!I1171),ROUND(MEDIAN(customer_churn_dataset!I$2:I$1501),1),MIN(100,MAX(0,customer_churn_dataset!I1171)))</f>
        <v>79</v>
      </c>
      <c r="J1171" s="7" t="n">
        <f aca="false">IF(ISBLANK(customer_churn_dataset!J1171),0,MAX(0,customer_churn_dataset!J1171))</f>
        <v>23</v>
      </c>
      <c r="K1171" s="7" t="n">
        <f aca="false">IF(ISBLANK(customer_churn_dataset!K1171),0,MIN(10,MAX(0,customer_churn_dataset!K1171)))</f>
        <v>8</v>
      </c>
      <c r="L1171" s="7" t="n">
        <f aca="false">IF(ISBLANK(customer_churn_dataset!L1171),0,MAX(0,customer_churn_dataset!L1171))</f>
        <v>3</v>
      </c>
      <c r="M1171" s="7" t="n">
        <f aca="false">IF(ISBLANK(customer_churn_dataset!M1171),0,customer_churn_dataset!M1171)</f>
        <v>0</v>
      </c>
      <c r="N1171" s="7" t="n">
        <f aca="false">IF(ISBLANK(customer_churn_dataset!N1171),0,MAX(0,customer_churn_dataset!N1171))</f>
        <v>181.53</v>
      </c>
      <c r="O1171" s="7" t="n">
        <f aca="false">IF(ISBLANK(customer_churn_dataset!O1171),0,customer_churn_dataset!O1171)</f>
        <v>1</v>
      </c>
      <c r="P1171" s="7" t="str">
        <f aca="false">IF(COUNTIF(customer_churn_dataset!$A$2:$A$1501,customer_churn_dataset!A1171)&gt;1,"Duplicate","Unique")</f>
        <v>Unique</v>
      </c>
    </row>
    <row r="1172" customFormat="false" ht="14.15" hidden="false" customHeight="true" outlineLevel="0" collapsed="false">
      <c r="A1172" s="7" t="str">
        <f aca="false">TRIM(customer_churn_dataset!A1172)</f>
        <v>CUST100692</v>
      </c>
      <c r="B1172" s="7" t="str">
        <f aca="false">PROPER(TRIM(customer_churn_dataset!B1172))</f>
        <v>Standard</v>
      </c>
      <c r="C1172" s="7" t="str">
        <f aca="false">PROPER(TRIM(customer_churn_dataset!C1172))</f>
        <v>Two Year</v>
      </c>
      <c r="D1172" s="7" t="n">
        <f aca="false">IF(ISBLANK(customer_churn_dataset!D1172),ROUND(MEDIAN(customer_churn_dataset!D$2:D$1501),2),IF(customer_churn_dataset!D1172&lt;0,ABS(customer_churn_dataset!D1172),customer_churn_dataset!D1172))</f>
        <v>18.8</v>
      </c>
      <c r="E1172" s="7" t="n">
        <f aca="false">IF(ISBLANK(customer_churn_dataset!E1172),0,MAX(0,customer_churn_dataset!E1172))</f>
        <v>7</v>
      </c>
      <c r="F1172" s="8" t="n">
        <f aca="false">IF(ISBLANK(customer_churn_dataset!F1172),"",customer_churn_dataset!F1172)</f>
        <v>45366</v>
      </c>
      <c r="G1172" s="7" t="str">
        <f aca="false">PROPER(TRIM(customer_churn_dataset!G1172))</f>
        <v>Bank Transfer</v>
      </c>
      <c r="H1172" s="7" t="n">
        <f aca="false">IF(ISBLANK(customer_churn_dataset!H1172),0,customer_churn_dataset!H1172)</f>
        <v>0</v>
      </c>
      <c r="I1172" s="7" t="n">
        <f aca="false">IF(ISBLANK(customer_churn_dataset!I1172),ROUND(MEDIAN(customer_churn_dataset!I$2:I$1501),1),MIN(100,MAX(0,customer_churn_dataset!I1172)))</f>
        <v>30.1</v>
      </c>
      <c r="J1172" s="7" t="n">
        <f aca="false">IF(ISBLANK(customer_churn_dataset!J1172),0,MAX(0,customer_churn_dataset!J1172))</f>
        <v>15</v>
      </c>
      <c r="K1172" s="7" t="n">
        <f aca="false">IF(ISBLANK(customer_churn_dataset!K1172),0,MIN(10,MAX(0,customer_churn_dataset!K1172)))</f>
        <v>2</v>
      </c>
      <c r="L1172" s="7" t="n">
        <f aca="false">IF(ISBLANK(customer_churn_dataset!L1172),0,MAX(0,customer_churn_dataset!L1172))</f>
        <v>0</v>
      </c>
      <c r="M1172" s="7" t="n">
        <f aca="false">IF(ISBLANK(customer_churn_dataset!M1172),0,customer_churn_dataset!M1172)</f>
        <v>0</v>
      </c>
      <c r="N1172" s="7" t="n">
        <f aca="false">IF(ISBLANK(customer_churn_dataset!N1172),0,MAX(0,customer_churn_dataset!N1172))</f>
        <v>131.6</v>
      </c>
      <c r="O1172" s="7" t="n">
        <f aca="false">IF(ISBLANK(customer_churn_dataset!O1172),0,customer_churn_dataset!O1172)</f>
        <v>0</v>
      </c>
      <c r="P1172" s="7" t="str">
        <f aca="false">IF(COUNTIF(customer_churn_dataset!$A$2:$A$1501,customer_churn_dataset!A1172)&gt;1,"Duplicate","Unique")</f>
        <v>Unique</v>
      </c>
    </row>
    <row r="1173" customFormat="false" ht="14.15" hidden="false" customHeight="true" outlineLevel="0" collapsed="false">
      <c r="A1173" s="7" t="str">
        <f aca="false">TRIM(customer_churn_dataset!A1173)</f>
        <v>CUST101425</v>
      </c>
      <c r="B1173" s="7" t="str">
        <f aca="false">PROPER(TRIM(customer_churn_dataset!B1173))</f>
        <v>Premium</v>
      </c>
      <c r="C1173" s="7" t="str">
        <f aca="false">PROPER(TRIM(customer_churn_dataset!C1173))</f>
        <v>Two Year</v>
      </c>
      <c r="D1173" s="7" t="n">
        <f aca="false">IF(ISBLANK(customer_churn_dataset!D1173),ROUND(MEDIAN(customer_churn_dataset!D$2:D$1501),2),IF(customer_churn_dataset!D1173&lt;0,ABS(customer_churn_dataset!D1173),customer_churn_dataset!D1173))</f>
        <v>39.36</v>
      </c>
      <c r="E1173" s="7" t="n">
        <f aca="false">IF(ISBLANK(customer_churn_dataset!E1173),0,MAX(0,customer_churn_dataset!E1173))</f>
        <v>10</v>
      </c>
      <c r="F1173" s="8" t="n">
        <f aca="false">IF(ISBLANK(customer_churn_dataset!F1173),"",customer_churn_dataset!F1173)</f>
        <v>45367</v>
      </c>
      <c r="G1173" s="7" t="str">
        <f aca="false">PROPER(TRIM(customer_churn_dataset!G1173))</f>
        <v>Credit Card</v>
      </c>
      <c r="H1173" s="7" t="n">
        <f aca="false">IF(ISBLANK(customer_churn_dataset!H1173),0,customer_churn_dataset!H1173)</f>
        <v>1</v>
      </c>
      <c r="I1173" s="7" t="n">
        <f aca="false">IF(ISBLANK(customer_churn_dataset!I1173),ROUND(MEDIAN(customer_churn_dataset!I$2:I$1501),1),MIN(100,MAX(0,customer_churn_dataset!I1173)))</f>
        <v>71.9</v>
      </c>
      <c r="J1173" s="7" t="n">
        <f aca="false">IF(ISBLANK(customer_churn_dataset!J1173),0,MAX(0,customer_churn_dataset!J1173))</f>
        <v>22</v>
      </c>
      <c r="K1173" s="7" t="n">
        <f aca="false">IF(ISBLANK(customer_churn_dataset!K1173),0,MIN(10,MAX(0,customer_churn_dataset!K1173)))</f>
        <v>7</v>
      </c>
      <c r="L1173" s="7" t="n">
        <f aca="false">IF(ISBLANK(customer_churn_dataset!L1173),0,MAX(0,customer_churn_dataset!L1173))</f>
        <v>1</v>
      </c>
      <c r="M1173" s="7" t="n">
        <f aca="false">IF(ISBLANK(customer_churn_dataset!M1173),0,customer_churn_dataset!M1173)</f>
        <v>0</v>
      </c>
      <c r="N1173" s="7" t="n">
        <f aca="false">IF(ISBLANK(customer_churn_dataset!N1173),0,MAX(0,customer_churn_dataset!N1173))</f>
        <v>393.6</v>
      </c>
      <c r="O1173" s="7" t="n">
        <f aca="false">IF(ISBLANK(customer_churn_dataset!O1173),0,customer_churn_dataset!O1173)</f>
        <v>0</v>
      </c>
      <c r="P1173" s="7" t="str">
        <f aca="false">IF(COUNTIF(customer_churn_dataset!$A$2:$A$1501,customer_churn_dataset!A1173)&gt;1,"Duplicate","Unique")</f>
        <v>Unique</v>
      </c>
    </row>
    <row r="1174" customFormat="false" ht="14.15" hidden="false" customHeight="true" outlineLevel="0" collapsed="false">
      <c r="A1174" s="7" t="str">
        <f aca="false">TRIM(customer_churn_dataset!A1174)</f>
        <v>CUST100291</v>
      </c>
      <c r="B1174" s="7" t="str">
        <f aca="false">PROPER(TRIM(customer_churn_dataset!B1174))</f>
        <v>Basic</v>
      </c>
      <c r="C1174" s="7" t="str">
        <f aca="false">PROPER(TRIM(customer_churn_dataset!C1174))</f>
        <v>Month-To-Month</v>
      </c>
      <c r="D1174" s="7" t="n">
        <f aca="false">IF(ISBLANK(customer_churn_dataset!D1174),ROUND(MEDIAN(customer_churn_dataset!D$2:D$1501),2),IF(customer_churn_dataset!D1174&lt;0,ABS(customer_churn_dataset!D1174),customer_churn_dataset!D1174))</f>
        <v>11.69</v>
      </c>
      <c r="E1174" s="7" t="n">
        <f aca="false">IF(ISBLANK(customer_churn_dataset!E1174),0,MAX(0,customer_churn_dataset!E1174))</f>
        <v>31</v>
      </c>
      <c r="F1174" s="8" t="n">
        <f aca="false">IF(ISBLANK(customer_churn_dataset!F1174),"",customer_churn_dataset!F1174)</f>
        <v>45369</v>
      </c>
      <c r="G1174" s="7" t="str">
        <f aca="false">PROPER(TRIM(customer_churn_dataset!G1174))</f>
        <v>Credit Card</v>
      </c>
      <c r="H1174" s="7" t="n">
        <f aca="false">IF(ISBLANK(customer_churn_dataset!H1174),0,customer_churn_dataset!H1174)</f>
        <v>1</v>
      </c>
      <c r="I1174" s="7" t="n">
        <f aca="false">IF(ISBLANK(customer_churn_dataset!I1174),ROUND(MEDIAN(customer_churn_dataset!I$2:I$1501),1),MIN(100,MAX(0,customer_churn_dataset!I1174)))</f>
        <v>36.9</v>
      </c>
      <c r="J1174" s="7" t="n">
        <f aca="false">IF(ISBLANK(customer_churn_dataset!J1174),0,MAX(0,customer_churn_dataset!J1174))</f>
        <v>11</v>
      </c>
      <c r="K1174" s="7" t="n">
        <f aca="false">IF(ISBLANK(customer_churn_dataset!K1174),0,MIN(10,MAX(0,customer_churn_dataset!K1174)))</f>
        <v>4</v>
      </c>
      <c r="L1174" s="7" t="n">
        <f aca="false">IF(ISBLANK(customer_churn_dataset!L1174),0,MAX(0,customer_churn_dataset!L1174))</f>
        <v>1</v>
      </c>
      <c r="M1174" s="7" t="n">
        <f aca="false">IF(ISBLANK(customer_churn_dataset!M1174),0,customer_churn_dataset!M1174)</f>
        <v>1</v>
      </c>
      <c r="N1174" s="7" t="n">
        <f aca="false">IF(ISBLANK(customer_churn_dataset!N1174),0,MAX(0,customer_churn_dataset!N1174))</f>
        <v>362.39</v>
      </c>
      <c r="O1174" s="7" t="n">
        <f aca="false">IF(ISBLANK(customer_churn_dataset!O1174),0,customer_churn_dataset!O1174)</f>
        <v>0</v>
      </c>
      <c r="P1174" s="7" t="str">
        <f aca="false">IF(COUNTIF(customer_churn_dataset!$A$2:$A$1501,customer_churn_dataset!A1174)&gt;1,"Duplicate","Unique")</f>
        <v>Unique</v>
      </c>
    </row>
    <row r="1175" customFormat="false" ht="14.15" hidden="false" customHeight="true" outlineLevel="0" collapsed="false">
      <c r="A1175" s="7" t="str">
        <f aca="false">TRIM(customer_churn_dataset!A1175)</f>
        <v>CUST101102</v>
      </c>
      <c r="B1175" s="7" t="str">
        <f aca="false">PROPER(TRIM(customer_churn_dataset!B1175))</f>
        <v>Premium</v>
      </c>
      <c r="C1175" s="7" t="str">
        <f aca="false">PROPER(TRIM(customer_churn_dataset!C1175))</f>
        <v>Two Year</v>
      </c>
      <c r="D1175" s="7" t="n">
        <f aca="false">IF(ISBLANK(customer_churn_dataset!D1175),ROUND(MEDIAN(customer_churn_dataset!D$2:D$1501),2),IF(customer_churn_dataset!D1175&lt;0,ABS(customer_churn_dataset!D1175),customer_churn_dataset!D1175))</f>
        <v>41.23</v>
      </c>
      <c r="E1175" s="7" t="n">
        <f aca="false">IF(ISBLANK(customer_churn_dataset!E1175),0,MAX(0,customer_churn_dataset!E1175))</f>
        <v>60</v>
      </c>
      <c r="F1175" s="8" t="n">
        <f aca="false">IF(ISBLANK(customer_churn_dataset!F1175),"",customer_churn_dataset!F1175)</f>
        <v>45369</v>
      </c>
      <c r="G1175" s="7" t="str">
        <f aca="false">PROPER(TRIM(customer_churn_dataset!G1175))</f>
        <v>Paypal</v>
      </c>
      <c r="H1175" s="7" t="n">
        <f aca="false">IF(ISBLANK(customer_churn_dataset!H1175),0,customer_churn_dataset!H1175)</f>
        <v>0</v>
      </c>
      <c r="I1175" s="7" t="n">
        <f aca="false">IF(ISBLANK(customer_churn_dataset!I1175),ROUND(MEDIAN(customer_churn_dataset!I$2:I$1501),1),MIN(100,MAX(0,customer_churn_dataset!I1175)))</f>
        <v>45.9</v>
      </c>
      <c r="J1175" s="7" t="n">
        <f aca="false">IF(ISBLANK(customer_churn_dataset!J1175),0,MAX(0,customer_churn_dataset!J1175))</f>
        <v>16</v>
      </c>
      <c r="K1175" s="7" t="n">
        <f aca="false">IF(ISBLANK(customer_churn_dataset!K1175),0,MIN(10,MAX(0,customer_churn_dataset!K1175)))</f>
        <v>7</v>
      </c>
      <c r="L1175" s="7" t="n">
        <f aca="false">IF(ISBLANK(customer_churn_dataset!L1175),0,MAX(0,customer_churn_dataset!L1175))</f>
        <v>0</v>
      </c>
      <c r="M1175" s="7" t="n">
        <f aca="false">IF(ISBLANK(customer_churn_dataset!M1175),0,customer_churn_dataset!M1175)</f>
        <v>0</v>
      </c>
      <c r="N1175" s="7" t="n">
        <f aca="false">IF(ISBLANK(customer_churn_dataset!N1175),0,MAX(0,customer_churn_dataset!N1175))</f>
        <v>2473.8</v>
      </c>
      <c r="O1175" s="7" t="n">
        <f aca="false">IF(ISBLANK(customer_churn_dataset!O1175),0,customer_churn_dataset!O1175)</f>
        <v>0</v>
      </c>
      <c r="P1175" s="7" t="str">
        <f aca="false">IF(COUNTIF(customer_churn_dataset!$A$2:$A$1501,customer_churn_dataset!A1175)&gt;1,"Duplicate","Unique")</f>
        <v>Unique</v>
      </c>
    </row>
    <row r="1176" customFormat="false" ht="14.15" hidden="false" customHeight="true" outlineLevel="0" collapsed="false">
      <c r="A1176" s="7" t="str">
        <f aca="false">TRIM(customer_churn_dataset!A1176)</f>
        <v>CUST100748</v>
      </c>
      <c r="B1176" s="7" t="str">
        <f aca="false">PROPER(TRIM(customer_churn_dataset!B1176))</f>
        <v>Premium</v>
      </c>
      <c r="C1176" s="7" t="str">
        <f aca="false">PROPER(TRIM(customer_churn_dataset!C1176))</f>
        <v>One Year</v>
      </c>
      <c r="D1176" s="7" t="n">
        <f aca="false">IF(ISBLANK(customer_churn_dataset!D1176),ROUND(MEDIAN(customer_churn_dataset!D$2:D$1501),2),IF(customer_churn_dataset!D1176&lt;0,ABS(customer_churn_dataset!D1176),customer_churn_dataset!D1176))</f>
        <v>38.8</v>
      </c>
      <c r="E1176" s="7" t="n">
        <f aca="false">IF(ISBLANK(customer_churn_dataset!E1176),0,MAX(0,customer_churn_dataset!E1176))</f>
        <v>12</v>
      </c>
      <c r="F1176" s="8" t="n">
        <f aca="false">IF(ISBLANK(customer_churn_dataset!F1176),"",customer_churn_dataset!F1176)</f>
        <v>45371</v>
      </c>
      <c r="G1176" s="7" t="str">
        <f aca="false">PROPER(TRIM(customer_churn_dataset!G1176))</f>
        <v>Paypal</v>
      </c>
      <c r="H1176" s="7" t="n">
        <f aca="false">IF(ISBLANK(customer_churn_dataset!H1176),0,customer_churn_dataset!H1176)</f>
        <v>0</v>
      </c>
      <c r="I1176" s="7" t="n">
        <f aca="false">IF(ISBLANK(customer_churn_dataset!I1176),ROUND(MEDIAN(customer_churn_dataset!I$2:I$1501),1),MIN(100,MAX(0,customer_churn_dataset!I1176)))</f>
        <v>47.6</v>
      </c>
      <c r="J1176" s="7" t="n">
        <f aca="false">IF(ISBLANK(customer_churn_dataset!J1176),0,MAX(0,customer_churn_dataset!J1176))</f>
        <v>11</v>
      </c>
      <c r="K1176" s="7" t="n">
        <f aca="false">IF(ISBLANK(customer_churn_dataset!K1176),0,MIN(10,MAX(0,customer_churn_dataset!K1176)))</f>
        <v>4</v>
      </c>
      <c r="L1176" s="7" t="n">
        <f aca="false">IF(ISBLANK(customer_churn_dataset!L1176),0,MAX(0,customer_churn_dataset!L1176))</f>
        <v>2</v>
      </c>
      <c r="M1176" s="7" t="n">
        <f aca="false">IF(ISBLANK(customer_churn_dataset!M1176),0,customer_churn_dataset!M1176)</f>
        <v>0</v>
      </c>
      <c r="N1176" s="7" t="n">
        <f aca="false">IF(ISBLANK(customer_churn_dataset!N1176),0,MAX(0,customer_churn_dataset!N1176))</f>
        <v>465.6</v>
      </c>
      <c r="O1176" s="7" t="n">
        <f aca="false">IF(ISBLANK(customer_churn_dataset!O1176),0,customer_churn_dataset!O1176)</f>
        <v>0</v>
      </c>
      <c r="P1176" s="7" t="str">
        <f aca="false">IF(COUNTIF(customer_churn_dataset!$A$2:$A$1501,customer_churn_dataset!A1176)&gt;1,"Duplicate","Unique")</f>
        <v>Unique</v>
      </c>
    </row>
    <row r="1177" customFormat="false" ht="14.15" hidden="false" customHeight="true" outlineLevel="0" collapsed="false">
      <c r="A1177" s="7" t="str">
        <f aca="false">TRIM(customer_churn_dataset!A1177)</f>
        <v>CUST100539</v>
      </c>
      <c r="B1177" s="7" t="str">
        <f aca="false">PROPER(TRIM(customer_churn_dataset!B1177))</f>
        <v>Basic</v>
      </c>
      <c r="C1177" s="7" t="str">
        <f aca="false">PROPER(TRIM(customer_churn_dataset!C1177))</f>
        <v>Month-To-Month</v>
      </c>
      <c r="D1177" s="7" t="n">
        <f aca="false">IF(ISBLANK(customer_churn_dataset!D1177),ROUND(MEDIAN(customer_churn_dataset!D$2:D$1501),2),IF(customer_churn_dataset!D1177&lt;0,ABS(customer_churn_dataset!D1177),customer_churn_dataset!D1177))</f>
        <v>10.17</v>
      </c>
      <c r="E1177" s="7" t="n">
        <f aca="false">IF(ISBLANK(customer_churn_dataset!E1177),0,MAX(0,customer_churn_dataset!E1177))</f>
        <v>49</v>
      </c>
      <c r="F1177" s="8" t="n">
        <f aca="false">IF(ISBLANK(customer_churn_dataset!F1177),"",customer_churn_dataset!F1177)</f>
        <v>45371</v>
      </c>
      <c r="G1177" s="7" t="str">
        <f aca="false">PROPER(TRIM(customer_churn_dataset!G1177))</f>
        <v>Credit Card</v>
      </c>
      <c r="H1177" s="7" t="n">
        <f aca="false">IF(ISBLANK(customer_churn_dataset!H1177),0,customer_churn_dataset!H1177)</f>
        <v>1</v>
      </c>
      <c r="I1177" s="7" t="n">
        <f aca="false">IF(ISBLANK(customer_churn_dataset!I1177),ROUND(MEDIAN(customer_churn_dataset!I$2:I$1501),1),MIN(100,MAX(0,customer_churn_dataset!I1177)))</f>
        <v>34.4</v>
      </c>
      <c r="J1177" s="7" t="n">
        <f aca="false">IF(ISBLANK(customer_churn_dataset!J1177),0,MAX(0,customer_churn_dataset!J1177))</f>
        <v>6</v>
      </c>
      <c r="K1177" s="7" t="n">
        <f aca="false">IF(ISBLANK(customer_churn_dataset!K1177),0,MIN(10,MAX(0,customer_churn_dataset!K1177)))</f>
        <v>4</v>
      </c>
      <c r="L1177" s="7" t="n">
        <f aca="false">IF(ISBLANK(customer_churn_dataset!L1177),0,MAX(0,customer_churn_dataset!L1177))</f>
        <v>0</v>
      </c>
      <c r="M1177" s="7" t="n">
        <f aca="false">IF(ISBLANK(customer_churn_dataset!M1177),0,customer_churn_dataset!M1177)</f>
        <v>0</v>
      </c>
      <c r="N1177" s="7" t="n">
        <f aca="false">IF(ISBLANK(customer_churn_dataset!N1177),0,MAX(0,customer_churn_dataset!N1177))</f>
        <v>498.33</v>
      </c>
      <c r="O1177" s="7" t="n">
        <f aca="false">IF(ISBLANK(customer_churn_dataset!O1177),0,customer_churn_dataset!O1177)</f>
        <v>0</v>
      </c>
      <c r="P1177" s="7" t="str">
        <f aca="false">IF(COUNTIF(customer_churn_dataset!$A$2:$A$1501,customer_churn_dataset!A1177)&gt;1,"Duplicate","Unique")</f>
        <v>Unique</v>
      </c>
    </row>
    <row r="1178" customFormat="false" ht="14.15" hidden="false" customHeight="true" outlineLevel="0" collapsed="false">
      <c r="A1178" s="7" t="str">
        <f aca="false">TRIM(customer_churn_dataset!A1178)</f>
        <v>CUST101484</v>
      </c>
      <c r="B1178" s="7" t="str">
        <f aca="false">PROPER(TRIM(customer_churn_dataset!B1178))</f>
        <v>Basic</v>
      </c>
      <c r="C1178" s="7" t="str">
        <f aca="false">PROPER(TRIM(customer_churn_dataset!C1178))</f>
        <v>Two Year</v>
      </c>
      <c r="D1178" s="7" t="n">
        <f aca="false">IF(ISBLANK(customer_churn_dataset!D1178),ROUND(MEDIAN(customer_churn_dataset!D$2:D$1501),2),IF(customer_churn_dataset!D1178&lt;0,ABS(customer_churn_dataset!D1178),customer_churn_dataset!D1178))</f>
        <v>8.9</v>
      </c>
      <c r="E1178" s="7" t="n">
        <f aca="false">IF(ISBLANK(customer_churn_dataset!E1178),0,MAX(0,customer_churn_dataset!E1178))</f>
        <v>0</v>
      </c>
      <c r="F1178" s="8" t="n">
        <f aca="false">IF(ISBLANK(customer_churn_dataset!F1178),"",customer_churn_dataset!F1178)</f>
        <v>45372</v>
      </c>
      <c r="G1178" s="7" t="str">
        <f aca="false">PROPER(TRIM(customer_churn_dataset!G1178))</f>
        <v>Credit Card</v>
      </c>
      <c r="H1178" s="7" t="n">
        <f aca="false">IF(ISBLANK(customer_churn_dataset!H1178),0,customer_churn_dataset!H1178)</f>
        <v>1</v>
      </c>
      <c r="I1178" s="7" t="n">
        <f aca="false">IF(ISBLANK(customer_churn_dataset!I1178),ROUND(MEDIAN(customer_churn_dataset!I$2:I$1501),1),MIN(100,MAX(0,customer_churn_dataset!I1178)))</f>
        <v>74.9</v>
      </c>
      <c r="J1178" s="7" t="n">
        <f aca="false">IF(ISBLANK(customer_churn_dataset!J1178),0,MAX(0,customer_churn_dataset!J1178))</f>
        <v>22</v>
      </c>
      <c r="K1178" s="7" t="n">
        <f aca="false">IF(ISBLANK(customer_churn_dataset!K1178),0,MIN(10,MAX(0,customer_churn_dataset!K1178)))</f>
        <v>5</v>
      </c>
      <c r="L1178" s="7" t="n">
        <f aca="false">IF(ISBLANK(customer_churn_dataset!L1178),0,MAX(0,customer_churn_dataset!L1178))</f>
        <v>1</v>
      </c>
      <c r="M1178" s="7" t="n">
        <f aca="false">IF(ISBLANK(customer_churn_dataset!M1178),0,customer_churn_dataset!M1178)</f>
        <v>1</v>
      </c>
      <c r="N1178" s="7" t="n">
        <f aca="false">IF(ISBLANK(customer_churn_dataset!N1178),0,MAX(0,customer_churn_dataset!N1178))</f>
        <v>0</v>
      </c>
      <c r="O1178" s="7" t="n">
        <f aca="false">IF(ISBLANK(customer_churn_dataset!O1178),0,customer_churn_dataset!O1178)</f>
        <v>0</v>
      </c>
      <c r="P1178" s="7" t="str">
        <f aca="false">IF(COUNTIF(customer_churn_dataset!$A$2:$A$1501,customer_churn_dataset!A1178)&gt;1,"Duplicate","Unique")</f>
        <v>Unique</v>
      </c>
    </row>
    <row r="1179" customFormat="false" ht="14.15" hidden="false" customHeight="true" outlineLevel="0" collapsed="false">
      <c r="A1179" s="7" t="str">
        <f aca="false">TRIM(customer_churn_dataset!A1179)</f>
        <v>CUST101081</v>
      </c>
      <c r="B1179" s="7" t="str">
        <f aca="false">PROPER(TRIM(customer_churn_dataset!B1179))</f>
        <v>Basic</v>
      </c>
      <c r="C1179" s="7" t="str">
        <f aca="false">PROPER(TRIM(customer_churn_dataset!C1179))</f>
        <v>One Year</v>
      </c>
      <c r="D1179" s="7" t="n">
        <f aca="false">IF(ISBLANK(customer_churn_dataset!D1179),ROUND(MEDIAN(customer_churn_dataset!D$2:D$1501),2),IF(customer_churn_dataset!D1179&lt;0,ABS(customer_churn_dataset!D1179),customer_churn_dataset!D1179))</f>
        <v>10.57</v>
      </c>
      <c r="E1179" s="7" t="n">
        <f aca="false">IF(ISBLANK(customer_churn_dataset!E1179),0,MAX(0,customer_churn_dataset!E1179))</f>
        <v>0</v>
      </c>
      <c r="F1179" s="8" t="n">
        <f aca="false">IF(ISBLANK(customer_churn_dataset!F1179),"",customer_churn_dataset!F1179)</f>
        <v>45373</v>
      </c>
      <c r="G1179" s="7" t="str">
        <f aca="false">PROPER(TRIM(customer_churn_dataset!G1179))</f>
        <v>Credit Card</v>
      </c>
      <c r="H1179" s="7" t="n">
        <f aca="false">IF(ISBLANK(customer_churn_dataset!H1179),0,customer_churn_dataset!H1179)</f>
        <v>1</v>
      </c>
      <c r="I1179" s="7" t="n">
        <f aca="false">IF(ISBLANK(customer_churn_dataset!I1179),ROUND(MEDIAN(customer_churn_dataset!I$2:I$1501),1),MIN(100,MAX(0,customer_churn_dataset!I1179)))</f>
        <v>82.4</v>
      </c>
      <c r="J1179" s="7" t="n">
        <f aca="false">IF(ISBLANK(customer_churn_dataset!J1179),0,MAX(0,customer_churn_dataset!J1179))</f>
        <v>29</v>
      </c>
      <c r="K1179" s="7" t="n">
        <f aca="false">IF(ISBLANK(customer_churn_dataset!K1179),0,MIN(10,MAX(0,customer_churn_dataset!K1179)))</f>
        <v>8</v>
      </c>
      <c r="L1179" s="7" t="n">
        <f aca="false">IF(ISBLANK(customer_churn_dataset!L1179),0,MAX(0,customer_churn_dataset!L1179))</f>
        <v>1</v>
      </c>
      <c r="M1179" s="7" t="n">
        <f aca="false">IF(ISBLANK(customer_churn_dataset!M1179),0,customer_churn_dataset!M1179)</f>
        <v>0</v>
      </c>
      <c r="N1179" s="7" t="n">
        <f aca="false">IF(ISBLANK(customer_churn_dataset!N1179),0,MAX(0,customer_churn_dataset!N1179))</f>
        <v>0</v>
      </c>
      <c r="O1179" s="7" t="n">
        <f aca="false">IF(ISBLANK(customer_churn_dataset!O1179),0,customer_churn_dataset!O1179)</f>
        <v>0</v>
      </c>
      <c r="P1179" s="7" t="str">
        <f aca="false">IF(COUNTIF(customer_churn_dataset!$A$2:$A$1501,customer_churn_dataset!A1179)&gt;1,"Duplicate","Unique")</f>
        <v>Unique</v>
      </c>
    </row>
    <row r="1180" customFormat="false" ht="14.15" hidden="false" customHeight="true" outlineLevel="0" collapsed="false">
      <c r="A1180" s="7" t="str">
        <f aca="false">TRIM(customer_churn_dataset!A1180)</f>
        <v>CUST100214</v>
      </c>
      <c r="B1180" s="7" t="str">
        <f aca="false">PROPER(TRIM(customer_churn_dataset!B1180))</f>
        <v>Standard</v>
      </c>
      <c r="C1180" s="7" t="str">
        <f aca="false">PROPER(TRIM(customer_churn_dataset!C1180))</f>
        <v>Month-To-Month</v>
      </c>
      <c r="D1180" s="7" t="n">
        <f aca="false">IF(ISBLANK(customer_churn_dataset!D1180),ROUND(MEDIAN(customer_churn_dataset!D$2:D$1501),2),IF(customer_churn_dataset!D1180&lt;0,ABS(customer_churn_dataset!D1180),customer_churn_dataset!D1180))</f>
        <v>21.46</v>
      </c>
      <c r="E1180" s="7" t="n">
        <f aca="false">IF(ISBLANK(customer_churn_dataset!E1180),0,MAX(0,customer_churn_dataset!E1180))</f>
        <v>1</v>
      </c>
      <c r="F1180" s="8" t="n">
        <f aca="false">IF(ISBLANK(customer_churn_dataset!F1180),"",customer_churn_dataset!F1180)</f>
        <v>45375</v>
      </c>
      <c r="G1180" s="7" t="str">
        <f aca="false">PROPER(TRIM(customer_churn_dataset!G1180))</f>
        <v>Bank Transfer</v>
      </c>
      <c r="H1180" s="7" t="n">
        <f aca="false">IF(ISBLANK(customer_churn_dataset!H1180),0,customer_churn_dataset!H1180)</f>
        <v>1</v>
      </c>
      <c r="I1180" s="7" t="n">
        <f aca="false">IF(ISBLANK(customer_churn_dataset!I1180),ROUND(MEDIAN(customer_churn_dataset!I$2:I$1501),1),MIN(100,MAX(0,customer_churn_dataset!I1180)))</f>
        <v>62.3</v>
      </c>
      <c r="J1180" s="7" t="n">
        <f aca="false">IF(ISBLANK(customer_churn_dataset!J1180),0,MAX(0,customer_churn_dataset!J1180))</f>
        <v>17</v>
      </c>
      <c r="K1180" s="7" t="n">
        <f aca="false">IF(ISBLANK(customer_churn_dataset!K1180),0,MIN(10,MAX(0,customer_churn_dataset!K1180)))</f>
        <v>4</v>
      </c>
      <c r="L1180" s="7" t="n">
        <f aca="false">IF(ISBLANK(customer_churn_dataset!L1180),0,MAX(0,customer_churn_dataset!L1180))</f>
        <v>4</v>
      </c>
      <c r="M1180" s="7" t="n">
        <f aca="false">IF(ISBLANK(customer_churn_dataset!M1180),0,customer_churn_dataset!M1180)</f>
        <v>1</v>
      </c>
      <c r="N1180" s="7" t="n">
        <f aca="false">IF(ISBLANK(customer_churn_dataset!N1180),0,MAX(0,customer_churn_dataset!N1180))</f>
        <v>21.46</v>
      </c>
      <c r="O1180" s="7" t="n">
        <f aca="false">IF(ISBLANK(customer_churn_dataset!O1180),0,customer_churn_dataset!O1180)</f>
        <v>0</v>
      </c>
      <c r="P1180" s="7" t="str">
        <f aca="false">IF(COUNTIF(customer_churn_dataset!$A$2:$A$1501,customer_churn_dataset!A1180)&gt;1,"Duplicate","Unique")</f>
        <v>Unique</v>
      </c>
    </row>
    <row r="1181" customFormat="false" ht="14.15" hidden="false" customHeight="true" outlineLevel="0" collapsed="false">
      <c r="A1181" s="7" t="str">
        <f aca="false">TRIM(customer_churn_dataset!A1181)</f>
        <v>CUST101030</v>
      </c>
      <c r="B1181" s="7" t="str">
        <f aca="false">PROPER(TRIM(customer_churn_dataset!B1181))</f>
        <v>Basic</v>
      </c>
      <c r="C1181" s="7" t="str">
        <f aca="false">PROPER(TRIM(customer_churn_dataset!C1181))</f>
        <v>Month-To-Month</v>
      </c>
      <c r="D1181" s="7" t="n">
        <f aca="false">IF(ISBLANK(customer_churn_dataset!D1181),ROUND(MEDIAN(customer_churn_dataset!D$2:D$1501),2),IF(customer_churn_dataset!D1181&lt;0,ABS(customer_churn_dataset!D1181),customer_churn_dataset!D1181))</f>
        <v>8.39</v>
      </c>
      <c r="E1181" s="7" t="n">
        <f aca="false">IF(ISBLANK(customer_churn_dataset!E1181),0,MAX(0,customer_churn_dataset!E1181))</f>
        <v>54</v>
      </c>
      <c r="F1181" s="8" t="n">
        <f aca="false">IF(ISBLANK(customer_churn_dataset!F1181),"",customer_churn_dataset!F1181)</f>
        <v>45376</v>
      </c>
      <c r="G1181" s="7" t="str">
        <f aca="false">PROPER(TRIM(customer_churn_dataset!G1181))</f>
        <v>Credit Card</v>
      </c>
      <c r="H1181" s="7" t="n">
        <f aca="false">IF(ISBLANK(customer_churn_dataset!H1181),0,customer_churn_dataset!H1181)</f>
        <v>1</v>
      </c>
      <c r="I1181" s="7" t="n">
        <f aca="false">IF(ISBLANK(customer_churn_dataset!I1181),ROUND(MEDIAN(customer_churn_dataset!I$2:I$1501),1),MIN(100,MAX(0,customer_churn_dataset!I1181)))</f>
        <v>34.2</v>
      </c>
      <c r="J1181" s="7" t="n">
        <f aca="false">IF(ISBLANK(customer_churn_dataset!J1181),0,MAX(0,customer_churn_dataset!J1181))</f>
        <v>8</v>
      </c>
      <c r="K1181" s="7" t="n">
        <f aca="false">IF(ISBLANK(customer_churn_dataset!K1181),0,MIN(10,MAX(0,customer_churn_dataset!K1181)))</f>
        <v>5</v>
      </c>
      <c r="L1181" s="7" t="n">
        <f aca="false">IF(ISBLANK(customer_churn_dataset!L1181),0,MAX(0,customer_churn_dataset!L1181))</f>
        <v>1</v>
      </c>
      <c r="M1181" s="7" t="n">
        <f aca="false">IF(ISBLANK(customer_churn_dataset!M1181),0,customer_churn_dataset!M1181)</f>
        <v>1</v>
      </c>
      <c r="N1181" s="7" t="n">
        <f aca="false">IF(ISBLANK(customer_churn_dataset!N1181),0,MAX(0,customer_churn_dataset!N1181))</f>
        <v>453.06</v>
      </c>
      <c r="O1181" s="7" t="n">
        <f aca="false">IF(ISBLANK(customer_churn_dataset!O1181),0,customer_churn_dataset!O1181)</f>
        <v>1</v>
      </c>
      <c r="P1181" s="7" t="str">
        <f aca="false">IF(COUNTIF(customer_churn_dataset!$A$2:$A$1501,customer_churn_dataset!A1181)&gt;1,"Duplicate","Unique")</f>
        <v>Unique</v>
      </c>
    </row>
    <row r="1182" customFormat="false" ht="14.15" hidden="false" customHeight="true" outlineLevel="0" collapsed="false">
      <c r="A1182" s="7" t="str">
        <f aca="false">TRIM(customer_churn_dataset!A1182)</f>
        <v>CUST100875</v>
      </c>
      <c r="B1182" s="7" t="str">
        <f aca="false">PROPER(TRIM(customer_churn_dataset!B1182))</f>
        <v>Basic</v>
      </c>
      <c r="C1182" s="7" t="str">
        <f aca="false">PROPER(TRIM(customer_churn_dataset!C1182))</f>
        <v>Month-To-Month</v>
      </c>
      <c r="D1182" s="7" t="n">
        <f aca="false">IF(ISBLANK(customer_churn_dataset!D1182),ROUND(MEDIAN(customer_churn_dataset!D$2:D$1501),2),IF(customer_churn_dataset!D1182&lt;0,ABS(customer_churn_dataset!D1182),customer_churn_dataset!D1182))</f>
        <v>12.75</v>
      </c>
      <c r="E1182" s="7" t="n">
        <f aca="false">IF(ISBLANK(customer_churn_dataset!E1182),0,MAX(0,customer_churn_dataset!E1182))</f>
        <v>18</v>
      </c>
      <c r="F1182" s="8" t="n">
        <f aca="false">IF(ISBLANK(customer_churn_dataset!F1182),"",customer_churn_dataset!F1182)</f>
        <v>45378</v>
      </c>
      <c r="G1182" s="7" t="str">
        <f aca="false">PROPER(TRIM(customer_churn_dataset!G1182))</f>
        <v>Manual/Invoice</v>
      </c>
      <c r="H1182" s="7" t="n">
        <f aca="false">IF(ISBLANK(customer_churn_dataset!H1182),0,customer_churn_dataset!H1182)</f>
        <v>1</v>
      </c>
      <c r="I1182" s="7" t="n">
        <f aca="false">IF(ISBLANK(customer_churn_dataset!I1182),ROUND(MEDIAN(customer_churn_dataset!I$2:I$1501),1),MIN(100,MAX(0,customer_churn_dataset!I1182)))</f>
        <v>80.1</v>
      </c>
      <c r="J1182" s="7" t="n">
        <f aca="false">IF(ISBLANK(customer_churn_dataset!J1182),0,MAX(0,customer_churn_dataset!J1182))</f>
        <v>26</v>
      </c>
      <c r="K1182" s="7" t="n">
        <f aca="false">IF(ISBLANK(customer_churn_dataset!K1182),0,MIN(10,MAX(0,customer_churn_dataset!K1182)))</f>
        <v>8</v>
      </c>
      <c r="L1182" s="7" t="n">
        <f aca="false">IF(ISBLANK(customer_churn_dataset!L1182),0,MAX(0,customer_churn_dataset!L1182))</f>
        <v>0</v>
      </c>
      <c r="M1182" s="7" t="n">
        <f aca="false">IF(ISBLANK(customer_churn_dataset!M1182),0,customer_churn_dataset!M1182)</f>
        <v>0</v>
      </c>
      <c r="N1182" s="7" t="n">
        <f aca="false">IF(ISBLANK(customer_churn_dataset!N1182),0,MAX(0,customer_churn_dataset!N1182))</f>
        <v>229.5</v>
      </c>
      <c r="O1182" s="7" t="n">
        <f aca="false">IF(ISBLANK(customer_churn_dataset!O1182),0,customer_churn_dataset!O1182)</f>
        <v>1</v>
      </c>
      <c r="P1182" s="7" t="str">
        <f aca="false">IF(COUNTIF(customer_churn_dataset!$A$2:$A$1501,customer_churn_dataset!A1182)&gt;1,"Duplicate","Unique")</f>
        <v>Unique</v>
      </c>
    </row>
    <row r="1183" customFormat="false" ht="14.15" hidden="false" customHeight="true" outlineLevel="0" collapsed="false">
      <c r="A1183" s="7" t="str">
        <f aca="false">TRIM(customer_churn_dataset!A1183)</f>
        <v>CUST100023</v>
      </c>
      <c r="B1183" s="7" t="str">
        <f aca="false">PROPER(TRIM(customer_churn_dataset!B1183))</f>
        <v>Basic</v>
      </c>
      <c r="C1183" s="7" t="str">
        <f aca="false">PROPER(TRIM(customer_churn_dataset!C1183))</f>
        <v>One Year</v>
      </c>
      <c r="D1183" s="7" t="n">
        <f aca="false">IF(ISBLANK(customer_churn_dataset!D1183),ROUND(MEDIAN(customer_churn_dataset!D$2:D$1501),2),IF(customer_churn_dataset!D1183&lt;0,ABS(customer_churn_dataset!D1183),customer_churn_dataset!D1183))</f>
        <v>8.42</v>
      </c>
      <c r="E1183" s="7" t="n">
        <f aca="false">IF(ISBLANK(customer_churn_dataset!E1183),0,MAX(0,customer_churn_dataset!E1183))</f>
        <v>25</v>
      </c>
      <c r="F1183" s="8" t="n">
        <f aca="false">IF(ISBLANK(customer_churn_dataset!F1183),"",customer_churn_dataset!F1183)</f>
        <v>45379</v>
      </c>
      <c r="G1183" s="7" t="str">
        <f aca="false">PROPER(TRIM(customer_churn_dataset!G1183))</f>
        <v>Paypal</v>
      </c>
      <c r="H1183" s="7" t="n">
        <f aca="false">IF(ISBLANK(customer_churn_dataset!H1183),0,customer_churn_dataset!H1183)</f>
        <v>1</v>
      </c>
      <c r="I1183" s="7" t="n">
        <f aca="false">IF(ISBLANK(customer_churn_dataset!I1183),ROUND(MEDIAN(customer_churn_dataset!I$2:I$1501),1),MIN(100,MAX(0,customer_churn_dataset!I1183)))</f>
        <v>92.6</v>
      </c>
      <c r="J1183" s="7" t="n">
        <f aca="false">IF(ISBLANK(customer_churn_dataset!J1183),0,MAX(0,customer_churn_dataset!J1183))</f>
        <v>28</v>
      </c>
      <c r="K1183" s="7" t="n">
        <f aca="false">IF(ISBLANK(customer_churn_dataset!K1183),0,MIN(10,MAX(0,customer_churn_dataset!K1183)))</f>
        <v>7</v>
      </c>
      <c r="L1183" s="7" t="n">
        <f aca="false">IF(ISBLANK(customer_churn_dataset!L1183),0,MAX(0,customer_churn_dataset!L1183))</f>
        <v>0</v>
      </c>
      <c r="M1183" s="7" t="n">
        <f aca="false">IF(ISBLANK(customer_churn_dataset!M1183),0,customer_churn_dataset!M1183)</f>
        <v>0</v>
      </c>
      <c r="N1183" s="7" t="n">
        <f aca="false">IF(ISBLANK(customer_churn_dataset!N1183),0,MAX(0,customer_churn_dataset!N1183))</f>
        <v>210.5</v>
      </c>
      <c r="O1183" s="7" t="n">
        <f aca="false">IF(ISBLANK(customer_churn_dataset!O1183),0,customer_churn_dataset!O1183)</f>
        <v>0</v>
      </c>
      <c r="P1183" s="7" t="str">
        <f aca="false">IF(COUNTIF(customer_churn_dataset!$A$2:$A$1501,customer_churn_dataset!A1183)&gt;1,"Duplicate","Unique")</f>
        <v>Unique</v>
      </c>
    </row>
    <row r="1184" customFormat="false" ht="14.15" hidden="false" customHeight="true" outlineLevel="0" collapsed="false">
      <c r="A1184" s="7" t="str">
        <f aca="false">TRIM(customer_churn_dataset!A1184)</f>
        <v>CUST100984</v>
      </c>
      <c r="B1184" s="7" t="str">
        <f aca="false">PROPER(TRIM(customer_churn_dataset!B1184))</f>
        <v>Standard</v>
      </c>
      <c r="C1184" s="7" t="str">
        <f aca="false">PROPER(TRIM(customer_churn_dataset!C1184))</f>
        <v>One Year</v>
      </c>
      <c r="D1184" s="7" t="n">
        <f aca="false">IF(ISBLANK(customer_churn_dataset!D1184),ROUND(MEDIAN(customer_churn_dataset!D$2:D$1501),2),IF(customer_churn_dataset!D1184&lt;0,ABS(customer_churn_dataset!D1184),customer_churn_dataset!D1184))</f>
        <v>19.77</v>
      </c>
      <c r="E1184" s="7" t="n">
        <f aca="false">IF(ISBLANK(customer_churn_dataset!E1184),0,MAX(0,customer_churn_dataset!E1184))</f>
        <v>3</v>
      </c>
      <c r="F1184" s="8" t="n">
        <f aca="false">IF(ISBLANK(customer_churn_dataset!F1184),"",customer_churn_dataset!F1184)</f>
        <v>45379</v>
      </c>
      <c r="G1184" s="7" t="str">
        <f aca="false">PROPER(TRIM(customer_churn_dataset!G1184))</f>
        <v>Credit Card</v>
      </c>
      <c r="H1184" s="7" t="n">
        <f aca="false">IF(ISBLANK(customer_churn_dataset!H1184),0,customer_churn_dataset!H1184)</f>
        <v>1</v>
      </c>
      <c r="I1184" s="7" t="n">
        <f aca="false">IF(ISBLANK(customer_churn_dataset!I1184),ROUND(MEDIAN(customer_churn_dataset!I$2:I$1501),1),MIN(100,MAX(0,customer_churn_dataset!I1184)))</f>
        <v>55.9</v>
      </c>
      <c r="J1184" s="7" t="n">
        <f aca="false">IF(ISBLANK(customer_churn_dataset!J1184),0,MAX(0,customer_churn_dataset!J1184))</f>
        <v>20</v>
      </c>
      <c r="K1184" s="7" t="n">
        <f aca="false">IF(ISBLANK(customer_churn_dataset!K1184),0,MIN(10,MAX(0,customer_churn_dataset!K1184)))</f>
        <v>5</v>
      </c>
      <c r="L1184" s="7" t="n">
        <f aca="false">IF(ISBLANK(customer_churn_dataset!L1184),0,MAX(0,customer_churn_dataset!L1184))</f>
        <v>0</v>
      </c>
      <c r="M1184" s="7" t="n">
        <f aca="false">IF(ISBLANK(customer_churn_dataset!M1184),0,customer_churn_dataset!M1184)</f>
        <v>0</v>
      </c>
      <c r="N1184" s="7" t="n">
        <f aca="false">IF(ISBLANK(customer_churn_dataset!N1184),0,MAX(0,customer_churn_dataset!N1184))</f>
        <v>59.31</v>
      </c>
      <c r="O1184" s="7" t="n">
        <f aca="false">IF(ISBLANK(customer_churn_dataset!O1184),0,customer_churn_dataset!O1184)</f>
        <v>0</v>
      </c>
      <c r="P1184" s="7" t="str">
        <f aca="false">IF(COUNTIF(customer_churn_dataset!$A$2:$A$1501,customer_churn_dataset!A1184)&gt;1,"Duplicate","Unique")</f>
        <v>Unique</v>
      </c>
    </row>
    <row r="1185" customFormat="false" ht="14.15" hidden="false" customHeight="true" outlineLevel="0" collapsed="false">
      <c r="A1185" s="7" t="str">
        <f aca="false">TRIM(customer_churn_dataset!A1185)</f>
        <v>CUST101424</v>
      </c>
      <c r="B1185" s="7" t="str">
        <f aca="false">PROPER(TRIM(customer_churn_dataset!B1185))</f>
        <v>Premium</v>
      </c>
      <c r="C1185" s="7" t="str">
        <f aca="false">PROPER(TRIM(customer_churn_dataset!C1185))</f>
        <v>Month-To-Month</v>
      </c>
      <c r="D1185" s="7" t="n">
        <f aca="false">IF(ISBLANK(customer_churn_dataset!D1185),ROUND(MEDIAN(customer_churn_dataset!D$2:D$1501),2),IF(customer_churn_dataset!D1185&lt;0,ABS(customer_churn_dataset!D1185),customer_churn_dataset!D1185))</f>
        <v>41.09</v>
      </c>
      <c r="E1185" s="7" t="n">
        <f aca="false">IF(ISBLANK(customer_churn_dataset!E1185),0,MAX(0,customer_churn_dataset!E1185))</f>
        <v>3</v>
      </c>
      <c r="F1185" s="8" t="n">
        <f aca="false">IF(ISBLANK(customer_churn_dataset!F1185),"",customer_churn_dataset!F1185)</f>
        <v>45380</v>
      </c>
      <c r="G1185" s="7" t="str">
        <f aca="false">PROPER(TRIM(customer_churn_dataset!G1185))</f>
        <v>Paypal</v>
      </c>
      <c r="H1185" s="7" t="n">
        <f aca="false">IF(ISBLANK(customer_churn_dataset!H1185),0,customer_churn_dataset!H1185)</f>
        <v>0</v>
      </c>
      <c r="I1185" s="7" t="n">
        <f aca="false">IF(ISBLANK(customer_churn_dataset!I1185),ROUND(MEDIAN(customer_churn_dataset!I$2:I$1501),1),MIN(100,MAX(0,customer_churn_dataset!I1185)))</f>
        <v>100</v>
      </c>
      <c r="J1185" s="7" t="n">
        <f aca="false">IF(ISBLANK(customer_churn_dataset!J1185),0,MAX(0,customer_churn_dataset!J1185))</f>
        <v>32</v>
      </c>
      <c r="K1185" s="7" t="n">
        <f aca="false">IF(ISBLANK(customer_churn_dataset!K1185),0,MIN(10,MAX(0,customer_churn_dataset!K1185)))</f>
        <v>10</v>
      </c>
      <c r="L1185" s="7" t="n">
        <f aca="false">IF(ISBLANK(customer_churn_dataset!L1185),0,MAX(0,customer_churn_dataset!L1185))</f>
        <v>3</v>
      </c>
      <c r="M1185" s="7" t="n">
        <f aca="false">IF(ISBLANK(customer_churn_dataset!M1185),0,customer_churn_dataset!M1185)</f>
        <v>0</v>
      </c>
      <c r="N1185" s="7" t="n">
        <f aca="false">IF(ISBLANK(customer_churn_dataset!N1185),0,MAX(0,customer_churn_dataset!N1185))</f>
        <v>123.27</v>
      </c>
      <c r="O1185" s="7" t="n">
        <f aca="false">IF(ISBLANK(customer_churn_dataset!O1185),0,customer_churn_dataset!O1185)</f>
        <v>1</v>
      </c>
      <c r="P1185" s="7" t="str">
        <f aca="false">IF(COUNTIF(customer_churn_dataset!$A$2:$A$1501,customer_churn_dataset!A1185)&gt;1,"Duplicate","Unique")</f>
        <v>Unique</v>
      </c>
    </row>
    <row r="1186" customFormat="false" ht="14.15" hidden="false" customHeight="true" outlineLevel="0" collapsed="false">
      <c r="A1186" s="7" t="str">
        <f aca="false">TRIM(customer_churn_dataset!A1186)</f>
        <v>CUST100417</v>
      </c>
      <c r="B1186" s="7" t="str">
        <f aca="false">PROPER(TRIM(customer_churn_dataset!B1186))</f>
        <v>Basic</v>
      </c>
      <c r="C1186" s="7" t="str">
        <f aca="false">PROPER(TRIM(customer_churn_dataset!C1186))</f>
        <v>One Year</v>
      </c>
      <c r="D1186" s="7" t="n">
        <f aca="false">IF(ISBLANK(customer_churn_dataset!D1186),ROUND(MEDIAN(customer_churn_dataset!D$2:D$1501),2),IF(customer_churn_dataset!D1186&lt;0,ABS(customer_churn_dataset!D1186),customer_churn_dataset!D1186))</f>
        <v>11.15</v>
      </c>
      <c r="E1186" s="7" t="n">
        <f aca="false">IF(ISBLANK(customer_churn_dataset!E1186),0,MAX(0,customer_churn_dataset!E1186))</f>
        <v>48</v>
      </c>
      <c r="F1186" s="8" t="n">
        <f aca="false">IF(ISBLANK(customer_churn_dataset!F1186),"",customer_churn_dataset!F1186)</f>
        <v>45380</v>
      </c>
      <c r="G1186" s="7" t="str">
        <f aca="false">PROPER(TRIM(customer_churn_dataset!G1186))</f>
        <v>Credit Card</v>
      </c>
      <c r="H1186" s="7" t="n">
        <f aca="false">IF(ISBLANK(customer_churn_dataset!H1186),0,customer_churn_dataset!H1186)</f>
        <v>1</v>
      </c>
      <c r="I1186" s="7" t="n">
        <f aca="false">IF(ISBLANK(customer_churn_dataset!I1186),ROUND(MEDIAN(customer_churn_dataset!I$2:I$1501),1),MIN(100,MAX(0,customer_churn_dataset!I1186)))</f>
        <v>100</v>
      </c>
      <c r="J1186" s="7" t="n">
        <f aca="false">IF(ISBLANK(customer_churn_dataset!J1186),0,MAX(0,customer_churn_dataset!J1186))</f>
        <v>31</v>
      </c>
      <c r="K1186" s="7" t="n">
        <f aca="false">IF(ISBLANK(customer_churn_dataset!K1186),0,MIN(10,MAX(0,customer_churn_dataset!K1186)))</f>
        <v>8</v>
      </c>
      <c r="L1186" s="7" t="n">
        <f aca="false">IF(ISBLANK(customer_churn_dataset!L1186),0,MAX(0,customer_churn_dataset!L1186))</f>
        <v>0</v>
      </c>
      <c r="M1186" s="7" t="n">
        <f aca="false">IF(ISBLANK(customer_churn_dataset!M1186),0,customer_churn_dataset!M1186)</f>
        <v>0</v>
      </c>
      <c r="N1186" s="7" t="n">
        <f aca="false">IF(ISBLANK(customer_churn_dataset!N1186),0,MAX(0,customer_churn_dataset!N1186))</f>
        <v>535.2</v>
      </c>
      <c r="O1186" s="7" t="n">
        <f aca="false">IF(ISBLANK(customer_churn_dataset!O1186),0,customer_churn_dataset!O1186)</f>
        <v>0</v>
      </c>
      <c r="P1186" s="7" t="str">
        <f aca="false">IF(COUNTIF(customer_churn_dataset!$A$2:$A$1501,customer_churn_dataset!A1186)&gt;1,"Duplicate","Unique")</f>
        <v>Unique</v>
      </c>
    </row>
    <row r="1187" customFormat="false" ht="14.15" hidden="false" customHeight="true" outlineLevel="0" collapsed="false">
      <c r="A1187" s="7" t="str">
        <f aca="false">TRIM(customer_churn_dataset!A1187)</f>
        <v>CUST100335</v>
      </c>
      <c r="B1187" s="7" t="str">
        <f aca="false">PROPER(TRIM(customer_churn_dataset!B1187))</f>
        <v>Basic</v>
      </c>
      <c r="C1187" s="7" t="str">
        <f aca="false">PROPER(TRIM(customer_churn_dataset!C1187))</f>
        <v>One Year</v>
      </c>
      <c r="D1187" s="7" t="n">
        <f aca="false">IF(ISBLANK(customer_churn_dataset!D1187),ROUND(MEDIAN(customer_churn_dataset!D$2:D$1501),2),IF(customer_churn_dataset!D1187&lt;0,ABS(customer_churn_dataset!D1187),customer_churn_dataset!D1187))</f>
        <v>12</v>
      </c>
      <c r="E1187" s="7" t="n">
        <f aca="false">IF(ISBLANK(customer_churn_dataset!E1187),0,MAX(0,customer_churn_dataset!E1187))</f>
        <v>72</v>
      </c>
      <c r="F1187" s="8" t="n">
        <f aca="false">IF(ISBLANK(customer_churn_dataset!F1187),"",customer_churn_dataset!F1187)</f>
        <v>45381</v>
      </c>
      <c r="G1187" s="7" t="str">
        <f aca="false">PROPER(TRIM(customer_churn_dataset!G1187))</f>
        <v>Bank Transfer</v>
      </c>
      <c r="H1187" s="7" t="n">
        <f aca="false">IF(ISBLANK(customer_churn_dataset!H1187),0,customer_churn_dataset!H1187)</f>
        <v>0</v>
      </c>
      <c r="I1187" s="7" t="n">
        <f aca="false">IF(ISBLANK(customer_churn_dataset!I1187),ROUND(MEDIAN(customer_churn_dataset!I$2:I$1501),1),MIN(100,MAX(0,customer_churn_dataset!I1187)))</f>
        <v>71.4</v>
      </c>
      <c r="J1187" s="7" t="n">
        <f aca="false">IF(ISBLANK(customer_churn_dataset!J1187),0,MAX(0,customer_churn_dataset!J1187))</f>
        <v>29</v>
      </c>
      <c r="K1187" s="7" t="n">
        <f aca="false">IF(ISBLANK(customer_churn_dataset!K1187),0,MIN(10,MAX(0,customer_churn_dataset!K1187)))</f>
        <v>6</v>
      </c>
      <c r="L1187" s="7" t="n">
        <f aca="false">IF(ISBLANK(customer_churn_dataset!L1187),0,MAX(0,customer_churn_dataset!L1187))</f>
        <v>0</v>
      </c>
      <c r="M1187" s="7" t="n">
        <f aca="false">IF(ISBLANK(customer_churn_dataset!M1187),0,customer_churn_dataset!M1187)</f>
        <v>0</v>
      </c>
      <c r="N1187" s="7" t="n">
        <f aca="false">IF(ISBLANK(customer_churn_dataset!N1187),0,MAX(0,customer_churn_dataset!N1187))</f>
        <v>864</v>
      </c>
      <c r="O1187" s="7" t="n">
        <f aca="false">IF(ISBLANK(customer_churn_dataset!O1187),0,customer_churn_dataset!O1187)</f>
        <v>0</v>
      </c>
      <c r="P1187" s="7" t="str">
        <f aca="false">IF(COUNTIF(customer_churn_dataset!$A$2:$A$1501,customer_churn_dataset!A1187)&gt;1,"Duplicate","Unique")</f>
        <v>Unique</v>
      </c>
    </row>
    <row r="1188" customFormat="false" ht="14.15" hidden="false" customHeight="true" outlineLevel="0" collapsed="false">
      <c r="A1188" s="7" t="str">
        <f aca="false">TRIM(customer_churn_dataset!A1188)</f>
        <v>CUST100529</v>
      </c>
      <c r="B1188" s="7" t="str">
        <f aca="false">PROPER(TRIM(customer_churn_dataset!B1188))</f>
        <v>Premium</v>
      </c>
      <c r="C1188" s="7" t="str">
        <f aca="false">PROPER(TRIM(customer_churn_dataset!C1188))</f>
        <v>One Year</v>
      </c>
      <c r="D1188" s="7" t="n">
        <f aca="false">IF(ISBLANK(customer_churn_dataset!D1188),ROUND(MEDIAN(customer_churn_dataset!D$2:D$1501),2),IF(customer_churn_dataset!D1188&lt;0,ABS(customer_churn_dataset!D1188),customer_churn_dataset!D1188))</f>
        <v>39.73</v>
      </c>
      <c r="E1188" s="7" t="n">
        <f aca="false">IF(ISBLANK(customer_churn_dataset!E1188),0,MAX(0,customer_churn_dataset!E1188))</f>
        <v>10</v>
      </c>
      <c r="F1188" s="8" t="n">
        <f aca="false">IF(ISBLANK(customer_churn_dataset!F1188),"",customer_churn_dataset!F1188)</f>
        <v>45382</v>
      </c>
      <c r="G1188" s="7" t="str">
        <f aca="false">PROPER(TRIM(customer_churn_dataset!G1188))</f>
        <v>Bank Transfer</v>
      </c>
      <c r="H1188" s="7" t="n">
        <f aca="false">IF(ISBLANK(customer_churn_dataset!H1188),0,customer_churn_dataset!H1188)</f>
        <v>1</v>
      </c>
      <c r="I1188" s="7" t="n">
        <f aca="false">IF(ISBLANK(customer_churn_dataset!I1188),ROUND(MEDIAN(customer_churn_dataset!I$2:I$1501),1),MIN(100,MAX(0,customer_churn_dataset!I1188)))</f>
        <v>90.7</v>
      </c>
      <c r="J1188" s="7" t="n">
        <f aca="false">IF(ISBLANK(customer_churn_dataset!J1188),0,MAX(0,customer_churn_dataset!J1188))</f>
        <v>30</v>
      </c>
      <c r="K1188" s="7" t="n">
        <f aca="false">IF(ISBLANK(customer_churn_dataset!K1188),0,MIN(10,MAX(0,customer_churn_dataset!K1188)))</f>
        <v>10</v>
      </c>
      <c r="L1188" s="7" t="n">
        <f aca="false">IF(ISBLANK(customer_churn_dataset!L1188),0,MAX(0,customer_churn_dataset!L1188))</f>
        <v>1</v>
      </c>
      <c r="M1188" s="7" t="n">
        <f aca="false">IF(ISBLANK(customer_churn_dataset!M1188),0,customer_churn_dataset!M1188)</f>
        <v>0</v>
      </c>
      <c r="N1188" s="7" t="n">
        <f aca="false">IF(ISBLANK(customer_churn_dataset!N1188),0,MAX(0,customer_churn_dataset!N1188))</f>
        <v>397.3</v>
      </c>
      <c r="O1188" s="7" t="n">
        <f aca="false">IF(ISBLANK(customer_churn_dataset!O1188),0,customer_churn_dataset!O1188)</f>
        <v>0</v>
      </c>
      <c r="P1188" s="7" t="str">
        <f aca="false">IF(COUNTIF(customer_churn_dataset!$A$2:$A$1501,customer_churn_dataset!A1188)&gt;1,"Duplicate","Unique")</f>
        <v>Unique</v>
      </c>
    </row>
    <row r="1189" customFormat="false" ht="14.15" hidden="false" customHeight="true" outlineLevel="0" collapsed="false">
      <c r="A1189" s="7" t="str">
        <f aca="false">TRIM(customer_churn_dataset!A1189)</f>
        <v>CUST101447</v>
      </c>
      <c r="B1189" s="7" t="str">
        <f aca="false">PROPER(TRIM(customer_churn_dataset!B1189))</f>
        <v>Premium</v>
      </c>
      <c r="C1189" s="7" t="str">
        <f aca="false">PROPER(TRIM(customer_churn_dataset!C1189))</f>
        <v>Month-To-Month</v>
      </c>
      <c r="D1189" s="7" t="n">
        <f aca="false">IF(ISBLANK(customer_churn_dataset!D1189),ROUND(MEDIAN(customer_churn_dataset!D$2:D$1501),2),IF(customer_churn_dataset!D1189&lt;0,ABS(customer_churn_dataset!D1189),customer_churn_dataset!D1189))</f>
        <v>37.78</v>
      </c>
      <c r="E1189" s="7" t="n">
        <f aca="false">IF(ISBLANK(customer_churn_dataset!E1189),0,MAX(0,customer_churn_dataset!E1189))</f>
        <v>6</v>
      </c>
      <c r="F1189" s="8" t="n">
        <f aca="false">IF(ISBLANK(customer_churn_dataset!F1189),"",customer_churn_dataset!F1189)</f>
        <v>45386</v>
      </c>
      <c r="G1189" s="7" t="str">
        <f aca="false">PROPER(TRIM(customer_churn_dataset!G1189))</f>
        <v>Credit Card</v>
      </c>
      <c r="H1189" s="7" t="n">
        <f aca="false">IF(ISBLANK(customer_churn_dataset!H1189),0,customer_churn_dataset!H1189)</f>
        <v>1</v>
      </c>
      <c r="I1189" s="7" t="n">
        <f aca="false">IF(ISBLANK(customer_churn_dataset!I1189),ROUND(MEDIAN(customer_churn_dataset!I$2:I$1501),1),MIN(100,MAX(0,customer_churn_dataset!I1189)))</f>
        <v>95.9</v>
      </c>
      <c r="J1189" s="7" t="n">
        <f aca="false">IF(ISBLANK(customer_churn_dataset!J1189),0,MAX(0,customer_churn_dataset!J1189))</f>
        <v>27</v>
      </c>
      <c r="K1189" s="7" t="n">
        <f aca="false">IF(ISBLANK(customer_churn_dataset!K1189),0,MIN(10,MAX(0,customer_churn_dataset!K1189)))</f>
        <v>10</v>
      </c>
      <c r="L1189" s="7" t="n">
        <f aca="false">IF(ISBLANK(customer_churn_dataset!L1189),0,MAX(0,customer_churn_dataset!L1189))</f>
        <v>1</v>
      </c>
      <c r="M1189" s="7" t="n">
        <f aca="false">IF(ISBLANK(customer_churn_dataset!M1189),0,customer_churn_dataset!M1189)</f>
        <v>1</v>
      </c>
      <c r="N1189" s="7" t="n">
        <f aca="false">IF(ISBLANK(customer_churn_dataset!N1189),0,MAX(0,customer_churn_dataset!N1189))</f>
        <v>226.68</v>
      </c>
      <c r="O1189" s="7" t="n">
        <f aca="false">IF(ISBLANK(customer_churn_dataset!O1189),0,customer_churn_dataset!O1189)</f>
        <v>0</v>
      </c>
      <c r="P1189" s="7" t="str">
        <f aca="false">IF(COUNTIF(customer_churn_dataset!$A$2:$A$1501,customer_churn_dataset!A1189)&gt;1,"Duplicate","Unique")</f>
        <v>Unique</v>
      </c>
    </row>
    <row r="1190" customFormat="false" ht="14.15" hidden="false" customHeight="true" outlineLevel="0" collapsed="false">
      <c r="A1190" s="7" t="str">
        <f aca="false">TRIM(customer_churn_dataset!A1190)</f>
        <v>CUST100885</v>
      </c>
      <c r="B1190" s="7" t="str">
        <f aca="false">PROPER(TRIM(customer_churn_dataset!B1190))</f>
        <v>Basic</v>
      </c>
      <c r="C1190" s="7" t="str">
        <f aca="false">PROPER(TRIM(customer_churn_dataset!C1190))</f>
        <v>Month-To-Month</v>
      </c>
      <c r="D1190" s="7" t="n">
        <f aca="false">IF(ISBLANK(customer_churn_dataset!D1190),ROUND(MEDIAN(customer_churn_dataset!D$2:D$1501),2),IF(customer_churn_dataset!D1190&lt;0,ABS(customer_churn_dataset!D1190),customer_churn_dataset!D1190))</f>
        <v>11.11</v>
      </c>
      <c r="E1190" s="7" t="n">
        <f aca="false">IF(ISBLANK(customer_churn_dataset!E1190),0,MAX(0,customer_churn_dataset!E1190))</f>
        <v>35</v>
      </c>
      <c r="F1190" s="8" t="n">
        <f aca="false">IF(ISBLANK(customer_churn_dataset!F1190),"",customer_churn_dataset!F1190)</f>
        <v>45387</v>
      </c>
      <c r="G1190" s="7" t="str">
        <f aca="false">PROPER(TRIM(customer_churn_dataset!G1190))</f>
        <v>Manual/Invoice</v>
      </c>
      <c r="H1190" s="7" t="n">
        <f aca="false">IF(ISBLANK(customer_churn_dataset!H1190),0,customer_churn_dataset!H1190)</f>
        <v>0</v>
      </c>
      <c r="I1190" s="7" t="n">
        <f aca="false">IF(ISBLANK(customer_churn_dataset!I1190),ROUND(MEDIAN(customer_churn_dataset!I$2:I$1501),1),MIN(100,MAX(0,customer_churn_dataset!I1190)))</f>
        <v>12.9</v>
      </c>
      <c r="J1190" s="7" t="n">
        <f aca="false">IF(ISBLANK(customer_churn_dataset!J1190),0,MAX(0,customer_churn_dataset!J1190))</f>
        <v>6</v>
      </c>
      <c r="K1190" s="7" t="n">
        <f aca="false">IF(ISBLANK(customer_churn_dataset!K1190),0,MIN(10,MAX(0,customer_churn_dataset!K1190)))</f>
        <v>2</v>
      </c>
      <c r="L1190" s="7" t="n">
        <f aca="false">IF(ISBLANK(customer_churn_dataset!L1190),0,MAX(0,customer_churn_dataset!L1190))</f>
        <v>3</v>
      </c>
      <c r="M1190" s="7" t="n">
        <f aca="false">IF(ISBLANK(customer_churn_dataset!M1190),0,customer_churn_dataset!M1190)</f>
        <v>1</v>
      </c>
      <c r="N1190" s="7" t="n">
        <f aca="false">IF(ISBLANK(customer_churn_dataset!N1190),0,MAX(0,customer_churn_dataset!N1190))</f>
        <v>388.85</v>
      </c>
      <c r="O1190" s="7" t="n">
        <f aca="false">IF(ISBLANK(customer_churn_dataset!O1190),0,customer_churn_dataset!O1190)</f>
        <v>1</v>
      </c>
      <c r="P1190" s="7" t="str">
        <f aca="false">IF(COUNTIF(customer_churn_dataset!$A$2:$A$1501,customer_churn_dataset!A1190)&gt;1,"Duplicate","Unique")</f>
        <v>Unique</v>
      </c>
    </row>
    <row r="1191" customFormat="false" ht="14.15" hidden="false" customHeight="true" outlineLevel="0" collapsed="false">
      <c r="A1191" s="7" t="str">
        <f aca="false">TRIM(customer_churn_dataset!A1191)</f>
        <v>CUST100359</v>
      </c>
      <c r="B1191" s="7" t="str">
        <f aca="false">PROPER(TRIM(customer_churn_dataset!B1191))</f>
        <v>Standard</v>
      </c>
      <c r="C1191" s="7" t="str">
        <f aca="false">PROPER(TRIM(customer_churn_dataset!C1191))</f>
        <v>Two Year</v>
      </c>
      <c r="D1191" s="7" t="n">
        <f aca="false">IF(ISBLANK(customer_churn_dataset!D1191),ROUND(MEDIAN(customer_churn_dataset!D$2:D$1501),2),IF(customer_churn_dataset!D1191&lt;0,ABS(customer_churn_dataset!D1191),customer_churn_dataset!D1191))</f>
        <v>21.84</v>
      </c>
      <c r="E1191" s="7" t="n">
        <f aca="false">IF(ISBLANK(customer_churn_dataset!E1191),0,MAX(0,customer_churn_dataset!E1191))</f>
        <v>1</v>
      </c>
      <c r="F1191" s="8" t="n">
        <f aca="false">IF(ISBLANK(customer_churn_dataset!F1191),"",customer_churn_dataset!F1191)</f>
        <v>45388</v>
      </c>
      <c r="G1191" s="7" t="str">
        <f aca="false">PROPER(TRIM(customer_churn_dataset!G1191))</f>
        <v>Credit Card</v>
      </c>
      <c r="H1191" s="7" t="n">
        <f aca="false">IF(ISBLANK(customer_churn_dataset!H1191),0,customer_churn_dataset!H1191)</f>
        <v>1</v>
      </c>
      <c r="I1191" s="7" t="n">
        <f aca="false">IF(ISBLANK(customer_churn_dataset!I1191),ROUND(MEDIAN(customer_churn_dataset!I$2:I$1501),1),MIN(100,MAX(0,customer_churn_dataset!I1191)))</f>
        <v>83</v>
      </c>
      <c r="J1191" s="7" t="n">
        <f aca="false">IF(ISBLANK(customer_churn_dataset!J1191),0,MAX(0,customer_churn_dataset!J1191))</f>
        <v>21</v>
      </c>
      <c r="K1191" s="7" t="n">
        <f aca="false">IF(ISBLANK(customer_churn_dataset!K1191),0,MIN(10,MAX(0,customer_churn_dataset!K1191)))</f>
        <v>8</v>
      </c>
      <c r="L1191" s="7" t="n">
        <f aca="false">IF(ISBLANK(customer_churn_dataset!L1191),0,MAX(0,customer_churn_dataset!L1191))</f>
        <v>1</v>
      </c>
      <c r="M1191" s="7" t="n">
        <f aca="false">IF(ISBLANK(customer_churn_dataset!M1191),0,customer_churn_dataset!M1191)</f>
        <v>1</v>
      </c>
      <c r="N1191" s="7" t="n">
        <f aca="false">IF(ISBLANK(customer_churn_dataset!N1191),0,MAX(0,customer_churn_dataset!N1191))</f>
        <v>21.84</v>
      </c>
      <c r="O1191" s="7" t="n">
        <f aca="false">IF(ISBLANK(customer_churn_dataset!O1191),0,customer_churn_dataset!O1191)</f>
        <v>0</v>
      </c>
      <c r="P1191" s="7" t="str">
        <f aca="false">IF(COUNTIF(customer_churn_dataset!$A$2:$A$1501,customer_churn_dataset!A1191)&gt;1,"Duplicate","Unique")</f>
        <v>Unique</v>
      </c>
    </row>
    <row r="1192" customFormat="false" ht="14.15" hidden="false" customHeight="true" outlineLevel="0" collapsed="false">
      <c r="A1192" s="7" t="str">
        <f aca="false">TRIM(customer_churn_dataset!A1192)</f>
        <v>CUST101489</v>
      </c>
      <c r="B1192" s="7" t="str">
        <f aca="false">PROPER(TRIM(customer_churn_dataset!B1192))</f>
        <v>Basic</v>
      </c>
      <c r="C1192" s="7" t="str">
        <f aca="false">PROPER(TRIM(customer_churn_dataset!C1192))</f>
        <v>Month-To-Month</v>
      </c>
      <c r="D1192" s="7" t="n">
        <f aca="false">IF(ISBLANK(customer_churn_dataset!D1192),ROUND(MEDIAN(customer_churn_dataset!D$2:D$1501),2),IF(customer_churn_dataset!D1192&lt;0,ABS(customer_churn_dataset!D1192),customer_churn_dataset!D1192))</f>
        <v>10.89</v>
      </c>
      <c r="E1192" s="7" t="n">
        <f aca="false">IF(ISBLANK(customer_churn_dataset!E1192),0,MAX(0,customer_churn_dataset!E1192))</f>
        <v>72</v>
      </c>
      <c r="F1192" s="8" t="n">
        <f aca="false">IF(ISBLANK(customer_churn_dataset!F1192),"",customer_churn_dataset!F1192)</f>
        <v>45389</v>
      </c>
      <c r="G1192" s="7" t="str">
        <f aca="false">PROPER(TRIM(customer_churn_dataset!G1192))</f>
        <v>Credit Card</v>
      </c>
      <c r="H1192" s="7" t="n">
        <f aca="false">IF(ISBLANK(customer_churn_dataset!H1192),0,customer_churn_dataset!H1192)</f>
        <v>1</v>
      </c>
      <c r="I1192" s="7" t="n">
        <f aca="false">IF(ISBLANK(customer_churn_dataset!I1192),ROUND(MEDIAN(customer_churn_dataset!I$2:I$1501),1),MIN(100,MAX(0,customer_churn_dataset!I1192)))</f>
        <v>51.1</v>
      </c>
      <c r="J1192" s="7" t="n">
        <f aca="false">IF(ISBLANK(customer_churn_dataset!J1192),0,MAX(0,customer_churn_dataset!J1192))</f>
        <v>22</v>
      </c>
      <c r="K1192" s="7" t="n">
        <f aca="false">IF(ISBLANK(customer_churn_dataset!K1192),0,MIN(10,MAX(0,customer_churn_dataset!K1192)))</f>
        <v>4</v>
      </c>
      <c r="L1192" s="7" t="n">
        <f aca="false">IF(ISBLANK(customer_churn_dataset!L1192),0,MAX(0,customer_churn_dataset!L1192))</f>
        <v>0</v>
      </c>
      <c r="M1192" s="7" t="n">
        <f aca="false">IF(ISBLANK(customer_churn_dataset!M1192),0,customer_churn_dataset!M1192)</f>
        <v>0</v>
      </c>
      <c r="N1192" s="7" t="n">
        <f aca="false">IF(ISBLANK(customer_churn_dataset!N1192),0,MAX(0,customer_churn_dataset!N1192))</f>
        <v>784.08</v>
      </c>
      <c r="O1192" s="7" t="n">
        <f aca="false">IF(ISBLANK(customer_churn_dataset!O1192),0,customer_churn_dataset!O1192)</f>
        <v>0</v>
      </c>
      <c r="P1192" s="7" t="str">
        <f aca="false">IF(COUNTIF(customer_churn_dataset!$A$2:$A$1501,customer_churn_dataset!A1192)&gt;1,"Duplicate","Unique")</f>
        <v>Unique</v>
      </c>
    </row>
    <row r="1193" customFormat="false" ht="14.15" hidden="false" customHeight="true" outlineLevel="0" collapsed="false">
      <c r="A1193" s="7" t="str">
        <f aca="false">TRIM(customer_churn_dataset!A1193)</f>
        <v>CUST100582</v>
      </c>
      <c r="B1193" s="7" t="str">
        <f aca="false">PROPER(TRIM(customer_churn_dataset!B1193))</f>
        <v>Standard</v>
      </c>
      <c r="C1193" s="7" t="str">
        <f aca="false">PROPER(TRIM(customer_churn_dataset!C1193))</f>
        <v>Month-To-Month</v>
      </c>
      <c r="D1193" s="7" t="n">
        <f aca="false">IF(ISBLANK(customer_churn_dataset!D1193),ROUND(MEDIAN(customer_churn_dataset!D$2:D$1501),2),IF(customer_churn_dataset!D1193&lt;0,ABS(customer_churn_dataset!D1193),customer_churn_dataset!D1193))</f>
        <v>20.06</v>
      </c>
      <c r="E1193" s="7" t="n">
        <f aca="false">IF(ISBLANK(customer_churn_dataset!E1193),0,MAX(0,customer_churn_dataset!E1193))</f>
        <v>17</v>
      </c>
      <c r="F1193" s="8" t="n">
        <f aca="false">IF(ISBLANK(customer_churn_dataset!F1193),"",customer_churn_dataset!F1193)</f>
        <v>45389</v>
      </c>
      <c r="G1193" s="7" t="str">
        <f aca="false">PROPER(TRIM(customer_churn_dataset!G1193))</f>
        <v>Bank Transfer</v>
      </c>
      <c r="H1193" s="7" t="n">
        <f aca="false">IF(ISBLANK(customer_churn_dataset!H1193),0,customer_churn_dataset!H1193)</f>
        <v>1</v>
      </c>
      <c r="I1193" s="7" t="n">
        <f aca="false">IF(ISBLANK(customer_churn_dataset!I1193),ROUND(MEDIAN(customer_churn_dataset!I$2:I$1501),1),MIN(100,MAX(0,customer_churn_dataset!I1193)))</f>
        <v>56.2</v>
      </c>
      <c r="J1193" s="7" t="n">
        <f aca="false">IF(ISBLANK(customer_churn_dataset!J1193),0,MAX(0,customer_churn_dataset!J1193))</f>
        <v>20</v>
      </c>
      <c r="K1193" s="7" t="n">
        <f aca="false">IF(ISBLANK(customer_churn_dataset!K1193),0,MIN(10,MAX(0,customer_churn_dataset!K1193)))</f>
        <v>4</v>
      </c>
      <c r="L1193" s="7" t="n">
        <f aca="false">IF(ISBLANK(customer_churn_dataset!L1193),0,MAX(0,customer_churn_dataset!L1193))</f>
        <v>3</v>
      </c>
      <c r="M1193" s="7" t="n">
        <f aca="false">IF(ISBLANK(customer_churn_dataset!M1193),0,customer_churn_dataset!M1193)</f>
        <v>0</v>
      </c>
      <c r="N1193" s="7" t="n">
        <f aca="false">IF(ISBLANK(customer_churn_dataset!N1193),0,MAX(0,customer_churn_dataset!N1193))</f>
        <v>341.02</v>
      </c>
      <c r="O1193" s="7" t="n">
        <f aca="false">IF(ISBLANK(customer_churn_dataset!O1193),0,customer_churn_dataset!O1193)</f>
        <v>0</v>
      </c>
      <c r="P1193" s="7" t="str">
        <f aca="false">IF(COUNTIF(customer_churn_dataset!$A$2:$A$1501,customer_churn_dataset!A1193)&gt;1,"Duplicate","Unique")</f>
        <v>Unique</v>
      </c>
    </row>
    <row r="1194" customFormat="false" ht="14.15" hidden="false" customHeight="true" outlineLevel="0" collapsed="false">
      <c r="A1194" s="7" t="str">
        <f aca="false">TRIM(customer_churn_dataset!A1194)</f>
        <v>CUST101002</v>
      </c>
      <c r="B1194" s="7" t="str">
        <f aca="false">PROPER(TRIM(customer_churn_dataset!B1194))</f>
        <v>Premium</v>
      </c>
      <c r="C1194" s="7" t="str">
        <f aca="false">PROPER(TRIM(customer_churn_dataset!C1194))</f>
        <v>Month-To-Month</v>
      </c>
      <c r="D1194" s="7" t="n">
        <f aca="false">IF(ISBLANK(customer_churn_dataset!D1194),ROUND(MEDIAN(customer_churn_dataset!D$2:D$1501),2),IF(customer_churn_dataset!D1194&lt;0,ABS(customer_churn_dataset!D1194),customer_churn_dataset!D1194))</f>
        <v>40.49</v>
      </c>
      <c r="E1194" s="7" t="n">
        <f aca="false">IF(ISBLANK(customer_churn_dataset!E1194),0,MAX(0,customer_churn_dataset!E1194))</f>
        <v>36</v>
      </c>
      <c r="F1194" s="8" t="n">
        <f aca="false">IF(ISBLANK(customer_churn_dataset!F1194),"",customer_churn_dataset!F1194)</f>
        <v>45389</v>
      </c>
      <c r="G1194" s="7" t="str">
        <f aca="false">PROPER(TRIM(customer_churn_dataset!G1194))</f>
        <v>Credit Card</v>
      </c>
      <c r="H1194" s="7" t="n">
        <f aca="false">IF(ISBLANK(customer_churn_dataset!H1194),0,customer_churn_dataset!H1194)</f>
        <v>1</v>
      </c>
      <c r="I1194" s="7" t="n">
        <f aca="false">IF(ISBLANK(customer_churn_dataset!I1194),ROUND(MEDIAN(customer_churn_dataset!I$2:I$1501),1),MIN(100,MAX(0,customer_churn_dataset!I1194)))</f>
        <v>71.3</v>
      </c>
      <c r="J1194" s="7" t="n">
        <f aca="false">IF(ISBLANK(customer_churn_dataset!J1194),0,MAX(0,customer_churn_dataset!J1194))</f>
        <v>16</v>
      </c>
      <c r="K1194" s="7" t="n">
        <f aca="false">IF(ISBLANK(customer_churn_dataset!K1194),0,MIN(10,MAX(0,customer_churn_dataset!K1194)))</f>
        <v>8</v>
      </c>
      <c r="L1194" s="7" t="n">
        <f aca="false">IF(ISBLANK(customer_churn_dataset!L1194),0,MAX(0,customer_churn_dataset!L1194))</f>
        <v>0</v>
      </c>
      <c r="M1194" s="7" t="n">
        <f aca="false">IF(ISBLANK(customer_churn_dataset!M1194),0,customer_churn_dataset!M1194)</f>
        <v>0</v>
      </c>
      <c r="N1194" s="7" t="n">
        <f aca="false">IF(ISBLANK(customer_churn_dataset!N1194),0,MAX(0,customer_churn_dataset!N1194))</f>
        <v>1457.64</v>
      </c>
      <c r="O1194" s="7" t="n">
        <f aca="false">IF(ISBLANK(customer_churn_dataset!O1194),0,customer_churn_dataset!O1194)</f>
        <v>0</v>
      </c>
      <c r="P1194" s="7" t="str">
        <f aca="false">IF(COUNTIF(customer_churn_dataset!$A$2:$A$1501,customer_churn_dataset!A1194)&gt;1,"Duplicate","Unique")</f>
        <v>Unique</v>
      </c>
    </row>
    <row r="1195" customFormat="false" ht="14.15" hidden="false" customHeight="true" outlineLevel="0" collapsed="false">
      <c r="A1195" s="7" t="str">
        <f aca="false">TRIM(customer_churn_dataset!A1195)</f>
        <v>CUST100130</v>
      </c>
      <c r="B1195" s="7" t="str">
        <f aca="false">PROPER(TRIM(customer_churn_dataset!B1195))</f>
        <v>Basic</v>
      </c>
      <c r="C1195" s="7" t="str">
        <f aca="false">PROPER(TRIM(customer_churn_dataset!C1195))</f>
        <v>Two Year</v>
      </c>
      <c r="D1195" s="7" t="n">
        <f aca="false">IF(ISBLANK(customer_churn_dataset!D1195),ROUND(MEDIAN(customer_churn_dataset!D$2:D$1501),2),IF(customer_churn_dataset!D1195&lt;0,ABS(customer_churn_dataset!D1195),customer_churn_dataset!D1195))</f>
        <v>10.38</v>
      </c>
      <c r="E1195" s="7" t="n">
        <f aca="false">IF(ISBLANK(customer_churn_dataset!E1195),0,MAX(0,customer_churn_dataset!E1195))</f>
        <v>2</v>
      </c>
      <c r="F1195" s="8" t="n">
        <f aca="false">IF(ISBLANK(customer_churn_dataset!F1195),"",customer_churn_dataset!F1195)</f>
        <v>45393</v>
      </c>
      <c r="G1195" s="7" t="str">
        <f aca="false">PROPER(TRIM(customer_churn_dataset!G1195))</f>
        <v>Credit Card</v>
      </c>
      <c r="H1195" s="7" t="n">
        <f aca="false">IF(ISBLANK(customer_churn_dataset!H1195),0,customer_churn_dataset!H1195)</f>
        <v>0</v>
      </c>
      <c r="I1195" s="7" t="n">
        <f aca="false">IF(ISBLANK(customer_churn_dataset!I1195),ROUND(MEDIAN(customer_churn_dataset!I$2:I$1501),1),MIN(100,MAX(0,customer_churn_dataset!I1195)))</f>
        <v>81.4</v>
      </c>
      <c r="J1195" s="7" t="n">
        <f aca="false">IF(ISBLANK(customer_churn_dataset!J1195),0,MAX(0,customer_churn_dataset!J1195))</f>
        <v>24</v>
      </c>
      <c r="K1195" s="7" t="n">
        <f aca="false">IF(ISBLANK(customer_churn_dataset!K1195),0,MIN(10,MAX(0,customer_churn_dataset!K1195)))</f>
        <v>10</v>
      </c>
      <c r="L1195" s="7" t="n">
        <f aca="false">IF(ISBLANK(customer_churn_dataset!L1195),0,MAX(0,customer_churn_dataset!L1195))</f>
        <v>0</v>
      </c>
      <c r="M1195" s="7" t="n">
        <f aca="false">IF(ISBLANK(customer_churn_dataset!M1195),0,customer_churn_dataset!M1195)</f>
        <v>0</v>
      </c>
      <c r="N1195" s="7" t="n">
        <f aca="false">IF(ISBLANK(customer_churn_dataset!N1195),0,MAX(0,customer_churn_dataset!N1195))</f>
        <v>20.76</v>
      </c>
      <c r="O1195" s="7" t="n">
        <f aca="false">IF(ISBLANK(customer_churn_dataset!O1195),0,customer_churn_dataset!O1195)</f>
        <v>0</v>
      </c>
      <c r="P1195" s="7" t="str">
        <f aca="false">IF(COUNTIF(customer_churn_dataset!$A$2:$A$1501,customer_churn_dataset!A1195)&gt;1,"Duplicate","Unique")</f>
        <v>Unique</v>
      </c>
    </row>
    <row r="1196" customFormat="false" ht="14.15" hidden="false" customHeight="true" outlineLevel="0" collapsed="false">
      <c r="A1196" s="7" t="str">
        <f aca="false">TRIM(customer_churn_dataset!A1196)</f>
        <v>CUST100897</v>
      </c>
      <c r="B1196" s="7" t="str">
        <f aca="false">PROPER(TRIM(customer_churn_dataset!B1196))</f>
        <v>Premium</v>
      </c>
      <c r="C1196" s="7" t="str">
        <f aca="false">PROPER(TRIM(customer_churn_dataset!C1196))</f>
        <v>Month-To-Month</v>
      </c>
      <c r="D1196" s="7" t="n">
        <f aca="false">IF(ISBLANK(customer_churn_dataset!D1196),ROUND(MEDIAN(customer_churn_dataset!D$2:D$1501),2),IF(customer_churn_dataset!D1196&lt;0,ABS(customer_churn_dataset!D1196),customer_churn_dataset!D1196))</f>
        <v>40.86</v>
      </c>
      <c r="E1196" s="7" t="n">
        <f aca="false">IF(ISBLANK(customer_churn_dataset!E1196),0,MAX(0,customer_churn_dataset!E1196))</f>
        <v>4</v>
      </c>
      <c r="F1196" s="8" t="n">
        <f aca="false">IF(ISBLANK(customer_churn_dataset!F1196),"",customer_churn_dataset!F1196)</f>
        <v>45397</v>
      </c>
      <c r="G1196" s="7" t="str">
        <f aca="false">PROPER(TRIM(customer_churn_dataset!G1196))</f>
        <v>Credit Card</v>
      </c>
      <c r="H1196" s="7" t="n">
        <f aca="false">IF(ISBLANK(customer_churn_dataset!H1196),0,customer_churn_dataset!H1196)</f>
        <v>1</v>
      </c>
      <c r="I1196" s="7" t="n">
        <f aca="false">IF(ISBLANK(customer_churn_dataset!I1196),ROUND(MEDIAN(customer_churn_dataset!I$2:I$1501),1),MIN(100,MAX(0,customer_churn_dataset!I1196)))</f>
        <v>53.7</v>
      </c>
      <c r="J1196" s="7" t="n">
        <f aca="false">IF(ISBLANK(customer_churn_dataset!J1196),0,MAX(0,customer_churn_dataset!J1196))</f>
        <v>20</v>
      </c>
      <c r="K1196" s="7" t="n">
        <f aca="false">IF(ISBLANK(customer_churn_dataset!K1196),0,MIN(10,MAX(0,customer_churn_dataset!K1196)))</f>
        <v>6</v>
      </c>
      <c r="L1196" s="7" t="n">
        <f aca="false">IF(ISBLANK(customer_churn_dataset!L1196),0,MAX(0,customer_churn_dataset!L1196))</f>
        <v>0</v>
      </c>
      <c r="M1196" s="7" t="n">
        <f aca="false">IF(ISBLANK(customer_churn_dataset!M1196),0,customer_churn_dataset!M1196)</f>
        <v>0</v>
      </c>
      <c r="N1196" s="7" t="n">
        <f aca="false">IF(ISBLANK(customer_churn_dataset!N1196),0,MAX(0,customer_churn_dataset!N1196))</f>
        <v>163.44</v>
      </c>
      <c r="O1196" s="7" t="n">
        <f aca="false">IF(ISBLANK(customer_churn_dataset!O1196),0,customer_churn_dataset!O1196)</f>
        <v>0</v>
      </c>
      <c r="P1196" s="7" t="str">
        <f aca="false">IF(COUNTIF(customer_churn_dataset!$A$2:$A$1501,customer_churn_dataset!A1196)&gt;1,"Duplicate","Unique")</f>
        <v>Unique</v>
      </c>
    </row>
    <row r="1197" customFormat="false" ht="14.15" hidden="false" customHeight="true" outlineLevel="0" collapsed="false">
      <c r="A1197" s="7" t="str">
        <f aca="false">TRIM(customer_churn_dataset!A1197)</f>
        <v>CUST100144</v>
      </c>
      <c r="B1197" s="7" t="str">
        <f aca="false">PROPER(TRIM(customer_churn_dataset!B1197))</f>
        <v>Basic</v>
      </c>
      <c r="C1197" s="7" t="str">
        <f aca="false">PROPER(TRIM(customer_churn_dataset!C1197))</f>
        <v>Month-To-Month</v>
      </c>
      <c r="D1197" s="7" t="n">
        <f aca="false">IF(ISBLANK(customer_churn_dataset!D1197),ROUND(MEDIAN(customer_churn_dataset!D$2:D$1501),2),IF(customer_churn_dataset!D1197&lt;0,ABS(customer_churn_dataset!D1197),customer_churn_dataset!D1197))</f>
        <v>10.53</v>
      </c>
      <c r="E1197" s="7" t="n">
        <f aca="false">IF(ISBLANK(customer_churn_dataset!E1197),0,MAX(0,customer_churn_dataset!E1197))</f>
        <v>3</v>
      </c>
      <c r="F1197" s="8" t="n">
        <f aca="false">IF(ISBLANK(customer_churn_dataset!F1197),"",customer_churn_dataset!F1197)</f>
        <v>45398</v>
      </c>
      <c r="G1197" s="7" t="str">
        <f aca="false">PROPER(TRIM(customer_churn_dataset!G1197))</f>
        <v>Credit Card</v>
      </c>
      <c r="H1197" s="7" t="n">
        <f aca="false">IF(ISBLANK(customer_churn_dataset!H1197),0,customer_churn_dataset!H1197)</f>
        <v>1</v>
      </c>
      <c r="I1197" s="7" t="n">
        <f aca="false">IF(ISBLANK(customer_churn_dataset!I1197),ROUND(MEDIAN(customer_churn_dataset!I$2:I$1501),1),MIN(100,MAX(0,customer_churn_dataset!I1197)))</f>
        <v>55.6</v>
      </c>
      <c r="J1197" s="7" t="n">
        <f aca="false">IF(ISBLANK(customer_churn_dataset!J1197),0,MAX(0,customer_churn_dataset!J1197))</f>
        <v>23</v>
      </c>
      <c r="K1197" s="7" t="n">
        <f aca="false">IF(ISBLANK(customer_churn_dataset!K1197),0,MIN(10,MAX(0,customer_churn_dataset!K1197)))</f>
        <v>6</v>
      </c>
      <c r="L1197" s="7" t="n">
        <f aca="false">IF(ISBLANK(customer_churn_dataset!L1197),0,MAX(0,customer_churn_dataset!L1197))</f>
        <v>1</v>
      </c>
      <c r="M1197" s="7" t="n">
        <f aca="false">IF(ISBLANK(customer_churn_dataset!M1197),0,customer_churn_dataset!M1197)</f>
        <v>0</v>
      </c>
      <c r="N1197" s="7" t="n">
        <f aca="false">IF(ISBLANK(customer_churn_dataset!N1197),0,MAX(0,customer_churn_dataset!N1197))</f>
        <v>31.59</v>
      </c>
      <c r="O1197" s="7" t="n">
        <f aca="false">IF(ISBLANK(customer_churn_dataset!O1197),0,customer_churn_dataset!O1197)</f>
        <v>1</v>
      </c>
      <c r="P1197" s="7" t="str">
        <f aca="false">IF(COUNTIF(customer_churn_dataset!$A$2:$A$1501,customer_churn_dataset!A1197)&gt;1,"Duplicate","Unique")</f>
        <v>Unique</v>
      </c>
    </row>
    <row r="1198" customFormat="false" ht="14.15" hidden="false" customHeight="true" outlineLevel="0" collapsed="false">
      <c r="A1198" s="7" t="str">
        <f aca="false">TRIM(customer_churn_dataset!A1198)</f>
        <v>CUST101379</v>
      </c>
      <c r="B1198" s="7" t="str">
        <f aca="false">PROPER(TRIM(customer_churn_dataset!B1198))</f>
        <v>Standard</v>
      </c>
      <c r="C1198" s="7" t="str">
        <f aca="false">PROPER(TRIM(customer_churn_dataset!C1198))</f>
        <v>Month-To-Month</v>
      </c>
      <c r="D1198" s="7" t="n">
        <f aca="false">IF(ISBLANK(customer_churn_dataset!D1198),ROUND(MEDIAN(customer_churn_dataset!D$2:D$1501),2),IF(customer_churn_dataset!D1198&lt;0,ABS(customer_churn_dataset!D1198),customer_churn_dataset!D1198))</f>
        <v>20.04</v>
      </c>
      <c r="E1198" s="7" t="n">
        <f aca="false">IF(ISBLANK(customer_churn_dataset!E1198),0,MAX(0,customer_churn_dataset!E1198))</f>
        <v>20</v>
      </c>
      <c r="F1198" s="8" t="n">
        <f aca="false">IF(ISBLANK(customer_churn_dataset!F1198),"",customer_churn_dataset!F1198)</f>
        <v>45401</v>
      </c>
      <c r="G1198" s="7" t="str">
        <f aca="false">PROPER(TRIM(customer_churn_dataset!G1198))</f>
        <v>Paypal</v>
      </c>
      <c r="H1198" s="7" t="n">
        <f aca="false">IF(ISBLANK(customer_churn_dataset!H1198),0,customer_churn_dataset!H1198)</f>
        <v>1</v>
      </c>
      <c r="I1198" s="7" t="n">
        <f aca="false">IF(ISBLANK(customer_churn_dataset!I1198),ROUND(MEDIAN(customer_churn_dataset!I$2:I$1501),1),MIN(100,MAX(0,customer_churn_dataset!I1198)))</f>
        <v>26.4</v>
      </c>
      <c r="J1198" s="7" t="n">
        <f aca="false">IF(ISBLANK(customer_churn_dataset!J1198),0,MAX(0,customer_churn_dataset!J1198))</f>
        <v>1</v>
      </c>
      <c r="K1198" s="7" t="n">
        <f aca="false">IF(ISBLANK(customer_churn_dataset!K1198),0,MIN(10,MAX(0,customer_churn_dataset!K1198)))</f>
        <v>2</v>
      </c>
      <c r="L1198" s="7" t="n">
        <f aca="false">IF(ISBLANK(customer_churn_dataset!L1198),0,MAX(0,customer_churn_dataset!L1198))</f>
        <v>1</v>
      </c>
      <c r="M1198" s="7" t="n">
        <f aca="false">IF(ISBLANK(customer_churn_dataset!M1198),0,customer_churn_dataset!M1198)</f>
        <v>0</v>
      </c>
      <c r="N1198" s="7" t="n">
        <f aca="false">IF(ISBLANK(customer_churn_dataset!N1198),0,MAX(0,customer_churn_dataset!N1198))</f>
        <v>400.8</v>
      </c>
      <c r="O1198" s="7" t="n">
        <f aca="false">IF(ISBLANK(customer_churn_dataset!O1198),0,customer_churn_dataset!O1198)</f>
        <v>0</v>
      </c>
      <c r="P1198" s="7" t="str">
        <f aca="false">IF(COUNTIF(customer_churn_dataset!$A$2:$A$1501,customer_churn_dataset!A1198)&gt;1,"Duplicate","Unique")</f>
        <v>Unique</v>
      </c>
    </row>
    <row r="1199" customFormat="false" ht="14.15" hidden="false" customHeight="true" outlineLevel="0" collapsed="false">
      <c r="A1199" s="7" t="str">
        <f aca="false">TRIM(customer_churn_dataset!A1199)</f>
        <v>CUST100620</v>
      </c>
      <c r="B1199" s="7" t="str">
        <f aca="false">PROPER(TRIM(customer_churn_dataset!B1199))</f>
        <v>Basic</v>
      </c>
      <c r="C1199" s="7" t="str">
        <f aca="false">PROPER(TRIM(customer_churn_dataset!C1199))</f>
        <v>Month-To-Month</v>
      </c>
      <c r="D1199" s="7" t="n">
        <f aca="false">IF(ISBLANK(customer_churn_dataset!D1199),ROUND(MEDIAN(customer_churn_dataset!D$2:D$1501),2),IF(customer_churn_dataset!D1199&lt;0,ABS(customer_churn_dataset!D1199),customer_churn_dataset!D1199))</f>
        <v>8.58</v>
      </c>
      <c r="E1199" s="7" t="n">
        <f aca="false">IF(ISBLANK(customer_churn_dataset!E1199),0,MAX(0,customer_churn_dataset!E1199))</f>
        <v>5</v>
      </c>
      <c r="F1199" s="8" t="n">
        <f aca="false">IF(ISBLANK(customer_churn_dataset!F1199),"",customer_churn_dataset!F1199)</f>
        <v>45404</v>
      </c>
      <c r="G1199" s="7" t="str">
        <f aca="false">PROPER(TRIM(customer_churn_dataset!G1199))</f>
        <v>Credit Card</v>
      </c>
      <c r="H1199" s="7" t="n">
        <f aca="false">IF(ISBLANK(customer_churn_dataset!H1199),0,customer_churn_dataset!H1199)</f>
        <v>0</v>
      </c>
      <c r="I1199" s="7" t="n">
        <f aca="false">IF(ISBLANK(customer_churn_dataset!I1199),ROUND(MEDIAN(customer_churn_dataset!I$2:I$1501),1),MIN(100,MAX(0,customer_churn_dataset!I1199)))</f>
        <v>94.8</v>
      </c>
      <c r="J1199" s="7" t="n">
        <f aca="false">IF(ISBLANK(customer_churn_dataset!J1199),0,MAX(0,customer_churn_dataset!J1199))</f>
        <v>20</v>
      </c>
      <c r="K1199" s="7" t="n">
        <f aca="false">IF(ISBLANK(customer_churn_dataset!K1199),0,MIN(10,MAX(0,customer_churn_dataset!K1199)))</f>
        <v>10</v>
      </c>
      <c r="L1199" s="7" t="n">
        <f aca="false">IF(ISBLANK(customer_churn_dataset!L1199),0,MAX(0,customer_churn_dataset!L1199))</f>
        <v>1</v>
      </c>
      <c r="M1199" s="7" t="n">
        <f aca="false">IF(ISBLANK(customer_churn_dataset!M1199),0,customer_churn_dataset!M1199)</f>
        <v>0</v>
      </c>
      <c r="N1199" s="7" t="n">
        <f aca="false">IF(ISBLANK(customer_churn_dataset!N1199),0,MAX(0,customer_churn_dataset!N1199))</f>
        <v>42.9</v>
      </c>
      <c r="O1199" s="7" t="n">
        <f aca="false">IF(ISBLANK(customer_churn_dataset!O1199),0,customer_churn_dataset!O1199)</f>
        <v>0</v>
      </c>
      <c r="P1199" s="7" t="str">
        <f aca="false">IF(COUNTIF(customer_churn_dataset!$A$2:$A$1501,customer_churn_dataset!A1199)&gt;1,"Duplicate","Unique")</f>
        <v>Unique</v>
      </c>
    </row>
    <row r="1200" customFormat="false" ht="14.15" hidden="false" customHeight="true" outlineLevel="0" collapsed="false">
      <c r="A1200" s="7" t="str">
        <f aca="false">TRIM(customer_churn_dataset!A1200)</f>
        <v>CUST100148</v>
      </c>
      <c r="B1200" s="7" t="str">
        <f aca="false">PROPER(TRIM(customer_churn_dataset!B1200))</f>
        <v>Basic</v>
      </c>
      <c r="C1200" s="7" t="str">
        <f aca="false">PROPER(TRIM(customer_churn_dataset!C1200))</f>
        <v>Two Year</v>
      </c>
      <c r="D1200" s="7" t="n">
        <f aca="false">IF(ISBLANK(customer_churn_dataset!D1200),ROUND(MEDIAN(customer_churn_dataset!D$2:D$1501),2),IF(customer_churn_dataset!D1200&lt;0,ABS(customer_churn_dataset!D1200),customer_churn_dataset!D1200))</f>
        <v>11.08</v>
      </c>
      <c r="E1200" s="7" t="n">
        <f aca="false">IF(ISBLANK(customer_churn_dataset!E1200),0,MAX(0,customer_churn_dataset!E1200))</f>
        <v>4</v>
      </c>
      <c r="F1200" s="8" t="n">
        <f aca="false">IF(ISBLANK(customer_churn_dataset!F1200),"",customer_churn_dataset!F1200)</f>
        <v>45407</v>
      </c>
      <c r="G1200" s="7" t="str">
        <f aca="false">PROPER(TRIM(customer_churn_dataset!G1200))</f>
        <v>Paypal</v>
      </c>
      <c r="H1200" s="7" t="n">
        <f aca="false">IF(ISBLANK(customer_churn_dataset!H1200),0,customer_churn_dataset!H1200)</f>
        <v>1</v>
      </c>
      <c r="I1200" s="7" t="n">
        <f aca="false">IF(ISBLANK(customer_churn_dataset!I1200),ROUND(MEDIAN(customer_churn_dataset!I$2:I$1501),1),MIN(100,MAX(0,customer_churn_dataset!I1200)))</f>
        <v>31.6</v>
      </c>
      <c r="J1200" s="7" t="n">
        <f aca="false">IF(ISBLANK(customer_churn_dataset!J1200),0,MAX(0,customer_churn_dataset!J1200))</f>
        <v>7</v>
      </c>
      <c r="K1200" s="7" t="n">
        <f aca="false">IF(ISBLANK(customer_churn_dataset!K1200),0,MIN(10,MAX(0,customer_churn_dataset!K1200)))</f>
        <v>4</v>
      </c>
      <c r="L1200" s="7" t="n">
        <f aca="false">IF(ISBLANK(customer_churn_dataset!L1200),0,MAX(0,customer_churn_dataset!L1200))</f>
        <v>3</v>
      </c>
      <c r="M1200" s="7" t="n">
        <f aca="false">IF(ISBLANK(customer_churn_dataset!M1200),0,customer_churn_dataset!M1200)</f>
        <v>1</v>
      </c>
      <c r="N1200" s="7" t="n">
        <f aca="false">IF(ISBLANK(customer_churn_dataset!N1200),0,MAX(0,customer_churn_dataset!N1200))</f>
        <v>44.32</v>
      </c>
      <c r="O1200" s="7" t="n">
        <f aca="false">IF(ISBLANK(customer_churn_dataset!O1200),0,customer_churn_dataset!O1200)</f>
        <v>0</v>
      </c>
      <c r="P1200" s="7" t="str">
        <f aca="false">IF(COUNTIF(customer_churn_dataset!$A$2:$A$1501,customer_churn_dataset!A1200)&gt;1,"Duplicate","Unique")</f>
        <v>Unique</v>
      </c>
    </row>
    <row r="1201" customFormat="false" ht="14.15" hidden="false" customHeight="true" outlineLevel="0" collapsed="false">
      <c r="A1201" s="7" t="str">
        <f aca="false">TRIM(customer_churn_dataset!A1201)</f>
        <v>CUST100364</v>
      </c>
      <c r="B1201" s="7" t="str">
        <f aca="false">PROPER(TRIM(customer_churn_dataset!B1201))</f>
        <v>Premium</v>
      </c>
      <c r="C1201" s="7" t="str">
        <f aca="false">PROPER(TRIM(customer_churn_dataset!C1201))</f>
        <v>Month-To-Month</v>
      </c>
      <c r="D1201" s="7" t="n">
        <f aca="false">IF(ISBLANK(customer_churn_dataset!D1201),ROUND(MEDIAN(customer_churn_dataset!D$2:D$1501),2),IF(customer_churn_dataset!D1201&lt;0,ABS(customer_churn_dataset!D1201),customer_churn_dataset!D1201))</f>
        <v>39.62</v>
      </c>
      <c r="E1201" s="7" t="n">
        <f aca="false">IF(ISBLANK(customer_churn_dataset!E1201),0,MAX(0,customer_churn_dataset!E1201))</f>
        <v>24</v>
      </c>
      <c r="F1201" s="8" t="n">
        <f aca="false">IF(ISBLANK(customer_churn_dataset!F1201),"",customer_churn_dataset!F1201)</f>
        <v>45410</v>
      </c>
      <c r="G1201" s="7" t="str">
        <f aca="false">PROPER(TRIM(customer_churn_dataset!G1201))</f>
        <v>Paypal</v>
      </c>
      <c r="H1201" s="7" t="n">
        <f aca="false">IF(ISBLANK(customer_churn_dataset!H1201),0,customer_churn_dataset!H1201)</f>
        <v>1</v>
      </c>
      <c r="I1201" s="7" t="n">
        <f aca="false">IF(ISBLANK(customer_churn_dataset!I1201),ROUND(MEDIAN(customer_churn_dataset!I$2:I$1501),1),MIN(100,MAX(0,customer_churn_dataset!I1201)))</f>
        <v>54.6</v>
      </c>
      <c r="J1201" s="7" t="n">
        <f aca="false">IF(ISBLANK(customer_churn_dataset!J1201),0,MAX(0,customer_churn_dataset!J1201))</f>
        <v>13</v>
      </c>
      <c r="K1201" s="7" t="n">
        <f aca="false">IF(ISBLANK(customer_churn_dataset!K1201),0,MIN(10,MAX(0,customer_churn_dataset!K1201)))</f>
        <v>6</v>
      </c>
      <c r="L1201" s="7" t="n">
        <f aca="false">IF(ISBLANK(customer_churn_dataset!L1201),0,MAX(0,customer_churn_dataset!L1201))</f>
        <v>0</v>
      </c>
      <c r="M1201" s="7" t="n">
        <f aca="false">IF(ISBLANK(customer_churn_dataset!M1201),0,customer_churn_dataset!M1201)</f>
        <v>0</v>
      </c>
      <c r="N1201" s="7" t="n">
        <f aca="false">IF(ISBLANK(customer_churn_dataset!N1201),0,MAX(0,customer_churn_dataset!N1201))</f>
        <v>950.88</v>
      </c>
      <c r="O1201" s="7" t="n">
        <f aca="false">IF(ISBLANK(customer_churn_dataset!O1201),0,customer_churn_dataset!O1201)</f>
        <v>1</v>
      </c>
      <c r="P1201" s="7" t="str">
        <f aca="false">IF(COUNTIF(customer_churn_dataset!$A$2:$A$1501,customer_churn_dataset!A1201)&gt;1,"Duplicate","Unique")</f>
        <v>Unique</v>
      </c>
    </row>
    <row r="1202" customFormat="false" ht="14.15" hidden="false" customHeight="true" outlineLevel="0" collapsed="false">
      <c r="A1202" s="7" t="str">
        <f aca="false">TRIM(customer_churn_dataset!A1202)</f>
        <v>CUST100790</v>
      </c>
      <c r="B1202" s="7" t="str">
        <f aca="false">PROPER(TRIM(customer_churn_dataset!B1202))</f>
        <v>Basic</v>
      </c>
      <c r="C1202" s="7" t="str">
        <f aca="false">PROPER(TRIM(customer_churn_dataset!C1202))</f>
        <v>Month-To-Month</v>
      </c>
      <c r="D1202" s="7" t="n">
        <f aca="false">IF(ISBLANK(customer_churn_dataset!D1202),ROUND(MEDIAN(customer_churn_dataset!D$2:D$1501),2),IF(customer_churn_dataset!D1202&lt;0,ABS(customer_churn_dataset!D1202),customer_churn_dataset!D1202))</f>
        <v>8.22</v>
      </c>
      <c r="E1202" s="7" t="n">
        <f aca="false">IF(ISBLANK(customer_churn_dataset!E1202),0,MAX(0,customer_churn_dataset!E1202))</f>
        <v>24</v>
      </c>
      <c r="F1202" s="8" t="n">
        <f aca="false">IF(ISBLANK(customer_churn_dataset!F1202),"",customer_churn_dataset!F1202)</f>
        <v>45410</v>
      </c>
      <c r="G1202" s="7" t="str">
        <f aca="false">PROPER(TRIM(customer_churn_dataset!G1202))</f>
        <v>Paypal</v>
      </c>
      <c r="H1202" s="7" t="n">
        <f aca="false">IF(ISBLANK(customer_churn_dataset!H1202),0,customer_churn_dataset!H1202)</f>
        <v>1</v>
      </c>
      <c r="I1202" s="7" t="n">
        <f aca="false">IF(ISBLANK(customer_churn_dataset!I1202),ROUND(MEDIAN(customer_churn_dataset!I$2:I$1501),1),MIN(100,MAX(0,customer_churn_dataset!I1202)))</f>
        <v>66.8</v>
      </c>
      <c r="J1202" s="7" t="n">
        <f aca="false">IF(ISBLANK(customer_churn_dataset!J1202),0,MAX(0,customer_churn_dataset!J1202))</f>
        <v>25</v>
      </c>
      <c r="K1202" s="7" t="n">
        <f aca="false">IF(ISBLANK(customer_churn_dataset!K1202),0,MIN(10,MAX(0,customer_churn_dataset!K1202)))</f>
        <v>9</v>
      </c>
      <c r="L1202" s="7" t="n">
        <f aca="false">IF(ISBLANK(customer_churn_dataset!L1202),0,MAX(0,customer_churn_dataset!L1202))</f>
        <v>1</v>
      </c>
      <c r="M1202" s="7" t="n">
        <f aca="false">IF(ISBLANK(customer_churn_dataset!M1202),0,customer_churn_dataset!M1202)</f>
        <v>0</v>
      </c>
      <c r="N1202" s="7" t="n">
        <f aca="false">IF(ISBLANK(customer_churn_dataset!N1202),0,MAX(0,customer_churn_dataset!N1202))</f>
        <v>197.28</v>
      </c>
      <c r="O1202" s="7" t="n">
        <f aca="false">IF(ISBLANK(customer_churn_dataset!O1202),0,customer_churn_dataset!O1202)</f>
        <v>0</v>
      </c>
      <c r="P1202" s="7" t="str">
        <f aca="false">IF(COUNTIF(customer_churn_dataset!$A$2:$A$1501,customer_churn_dataset!A1202)&gt;1,"Duplicate","Unique")</f>
        <v>Unique</v>
      </c>
    </row>
    <row r="1203" customFormat="false" ht="14.15" hidden="false" customHeight="true" outlineLevel="0" collapsed="false">
      <c r="A1203" s="7" t="str">
        <f aca="false">TRIM(customer_churn_dataset!A1203)</f>
        <v>CUST100521</v>
      </c>
      <c r="B1203" s="7" t="str">
        <f aca="false">PROPER(TRIM(customer_churn_dataset!B1203))</f>
        <v>Basic</v>
      </c>
      <c r="C1203" s="7" t="str">
        <f aca="false">PROPER(TRIM(customer_churn_dataset!C1203))</f>
        <v>One Year</v>
      </c>
      <c r="D1203" s="7" t="n">
        <f aca="false">IF(ISBLANK(customer_churn_dataset!D1203),ROUND(MEDIAN(customer_churn_dataset!D$2:D$1501),2),IF(customer_churn_dataset!D1203&lt;0,ABS(customer_churn_dataset!D1203),customer_churn_dataset!D1203))</f>
        <v>9.97</v>
      </c>
      <c r="E1203" s="7" t="n">
        <f aca="false">IF(ISBLANK(customer_churn_dataset!E1203),0,MAX(0,customer_churn_dataset!E1203))</f>
        <v>72</v>
      </c>
      <c r="F1203" s="8" t="n">
        <f aca="false">IF(ISBLANK(customer_churn_dataset!F1203),"",customer_churn_dataset!F1203)</f>
        <v>45410</v>
      </c>
      <c r="G1203" s="7" t="str">
        <f aca="false">PROPER(TRIM(customer_churn_dataset!G1203))</f>
        <v>Credit Card</v>
      </c>
      <c r="H1203" s="7" t="n">
        <f aca="false">IF(ISBLANK(customer_churn_dataset!H1203),0,customer_churn_dataset!H1203)</f>
        <v>0</v>
      </c>
      <c r="I1203" s="7" t="n">
        <f aca="false">IF(ISBLANK(customer_churn_dataset!I1203),ROUND(MEDIAN(customer_churn_dataset!I$2:I$1501),1),MIN(100,MAX(0,customer_churn_dataset!I1203)))</f>
        <v>76.7</v>
      </c>
      <c r="J1203" s="7" t="n">
        <f aca="false">IF(ISBLANK(customer_churn_dataset!J1203),0,MAX(0,customer_churn_dataset!J1203))</f>
        <v>27</v>
      </c>
      <c r="K1203" s="7" t="n">
        <f aca="false">IF(ISBLANK(customer_churn_dataset!K1203),0,MIN(10,MAX(0,customer_churn_dataset!K1203)))</f>
        <v>8</v>
      </c>
      <c r="L1203" s="7" t="n">
        <f aca="false">IF(ISBLANK(customer_churn_dataset!L1203),0,MAX(0,customer_churn_dataset!L1203))</f>
        <v>2</v>
      </c>
      <c r="M1203" s="7" t="n">
        <f aca="false">IF(ISBLANK(customer_churn_dataset!M1203),0,customer_churn_dataset!M1203)</f>
        <v>1</v>
      </c>
      <c r="N1203" s="7" t="n">
        <f aca="false">IF(ISBLANK(customer_churn_dataset!N1203),0,MAX(0,customer_churn_dataset!N1203))</f>
        <v>717.84</v>
      </c>
      <c r="O1203" s="7" t="n">
        <f aca="false">IF(ISBLANK(customer_churn_dataset!O1203),0,customer_churn_dataset!O1203)</f>
        <v>0</v>
      </c>
      <c r="P1203" s="7" t="str">
        <f aca="false">IF(COUNTIF(customer_churn_dataset!$A$2:$A$1501,customer_churn_dataset!A1203)&gt;1,"Duplicate","Unique")</f>
        <v>Unique</v>
      </c>
    </row>
    <row r="1204" customFormat="false" ht="14.15" hidden="false" customHeight="true" outlineLevel="0" collapsed="false">
      <c r="A1204" s="7" t="str">
        <f aca="false">TRIM(customer_churn_dataset!A1204)</f>
        <v>CUST100061</v>
      </c>
      <c r="B1204" s="7" t="str">
        <f aca="false">PROPER(TRIM(customer_churn_dataset!B1204))</f>
        <v>Basic</v>
      </c>
      <c r="C1204" s="7" t="str">
        <f aca="false">PROPER(TRIM(customer_churn_dataset!C1204))</f>
        <v>One Year</v>
      </c>
      <c r="D1204" s="7" t="n">
        <f aca="false">IF(ISBLANK(customer_churn_dataset!D1204),ROUND(MEDIAN(customer_churn_dataset!D$2:D$1501),2),IF(customer_churn_dataset!D1204&lt;0,ABS(customer_churn_dataset!D1204),customer_churn_dataset!D1204))</f>
        <v>10.3</v>
      </c>
      <c r="E1204" s="7" t="n">
        <f aca="false">IF(ISBLANK(customer_churn_dataset!E1204),0,MAX(0,customer_churn_dataset!E1204))</f>
        <v>5</v>
      </c>
      <c r="F1204" s="8" t="n">
        <f aca="false">IF(ISBLANK(customer_churn_dataset!F1204),"",customer_churn_dataset!F1204)</f>
        <v>45413</v>
      </c>
      <c r="G1204" s="7" t="str">
        <f aca="false">PROPER(TRIM(customer_churn_dataset!G1204))</f>
        <v>Bank Transfer</v>
      </c>
      <c r="H1204" s="7" t="n">
        <f aca="false">IF(ISBLANK(customer_churn_dataset!H1204),0,customer_churn_dataset!H1204)</f>
        <v>1</v>
      </c>
      <c r="I1204" s="7" t="n">
        <f aca="false">IF(ISBLANK(customer_churn_dataset!I1204),ROUND(MEDIAN(customer_churn_dataset!I$2:I$1501),1),MIN(100,MAX(0,customer_churn_dataset!I1204)))</f>
        <v>70.5</v>
      </c>
      <c r="J1204" s="7" t="n">
        <f aca="false">IF(ISBLANK(customer_churn_dataset!J1204),0,MAX(0,customer_churn_dataset!J1204))</f>
        <v>24</v>
      </c>
      <c r="K1204" s="7" t="n">
        <f aca="false">IF(ISBLANK(customer_churn_dataset!K1204),0,MIN(10,MAX(0,customer_churn_dataset!K1204)))</f>
        <v>9</v>
      </c>
      <c r="L1204" s="7" t="n">
        <f aca="false">IF(ISBLANK(customer_churn_dataset!L1204),0,MAX(0,customer_churn_dataset!L1204))</f>
        <v>0</v>
      </c>
      <c r="M1204" s="7" t="n">
        <f aca="false">IF(ISBLANK(customer_churn_dataset!M1204),0,customer_churn_dataset!M1204)</f>
        <v>0</v>
      </c>
      <c r="N1204" s="7" t="n">
        <f aca="false">IF(ISBLANK(customer_churn_dataset!N1204),0,MAX(0,customer_churn_dataset!N1204))</f>
        <v>51.5</v>
      </c>
      <c r="O1204" s="7" t="n">
        <f aca="false">IF(ISBLANK(customer_churn_dataset!O1204),0,customer_churn_dataset!O1204)</f>
        <v>0</v>
      </c>
      <c r="P1204" s="7" t="str">
        <f aca="false">IF(COUNTIF(customer_churn_dataset!$A$2:$A$1501,customer_churn_dataset!A1204)&gt;1,"Duplicate","Unique")</f>
        <v>Unique</v>
      </c>
    </row>
    <row r="1205" customFormat="false" ht="14.15" hidden="false" customHeight="true" outlineLevel="0" collapsed="false">
      <c r="A1205" s="7" t="str">
        <f aca="false">TRIM(customer_churn_dataset!A1205)</f>
        <v>CUST100537</v>
      </c>
      <c r="B1205" s="7" t="str">
        <f aca="false">PROPER(TRIM(customer_churn_dataset!B1205))</f>
        <v>Basic</v>
      </c>
      <c r="C1205" s="7" t="str">
        <f aca="false">PROPER(TRIM(customer_churn_dataset!C1205))</f>
        <v>Month-To-Month</v>
      </c>
      <c r="D1205" s="7" t="n">
        <f aca="false">IF(ISBLANK(customer_churn_dataset!D1205),ROUND(MEDIAN(customer_churn_dataset!D$2:D$1501),2),IF(customer_churn_dataset!D1205&lt;0,ABS(customer_churn_dataset!D1205),customer_churn_dataset!D1205))</f>
        <v>9.31</v>
      </c>
      <c r="E1205" s="7" t="n">
        <f aca="false">IF(ISBLANK(customer_churn_dataset!E1205),0,MAX(0,customer_churn_dataset!E1205))</f>
        <v>6</v>
      </c>
      <c r="F1205" s="8" t="n">
        <f aca="false">IF(ISBLANK(customer_churn_dataset!F1205),"",customer_churn_dataset!F1205)</f>
        <v>45414</v>
      </c>
      <c r="G1205" s="7" t="str">
        <f aca="false">PROPER(TRIM(customer_churn_dataset!G1205))</f>
        <v>Paypal</v>
      </c>
      <c r="H1205" s="7" t="n">
        <f aca="false">IF(ISBLANK(customer_churn_dataset!H1205),0,customer_churn_dataset!H1205)</f>
        <v>1</v>
      </c>
      <c r="I1205" s="7" t="n">
        <f aca="false">IF(ISBLANK(customer_churn_dataset!I1205),ROUND(MEDIAN(customer_churn_dataset!I$2:I$1501),1),MIN(100,MAX(0,customer_churn_dataset!I1205)))</f>
        <v>61.6</v>
      </c>
      <c r="J1205" s="7" t="n">
        <f aca="false">IF(ISBLANK(customer_churn_dataset!J1205),0,MAX(0,customer_churn_dataset!J1205))</f>
        <v>15</v>
      </c>
      <c r="K1205" s="7" t="n">
        <f aca="false">IF(ISBLANK(customer_churn_dataset!K1205),0,MIN(10,MAX(0,customer_churn_dataset!K1205)))</f>
        <v>5</v>
      </c>
      <c r="L1205" s="7" t="n">
        <f aca="false">IF(ISBLANK(customer_churn_dataset!L1205),0,MAX(0,customer_churn_dataset!L1205))</f>
        <v>2</v>
      </c>
      <c r="M1205" s="7" t="n">
        <f aca="false">IF(ISBLANK(customer_churn_dataset!M1205),0,customer_churn_dataset!M1205)</f>
        <v>0</v>
      </c>
      <c r="N1205" s="7" t="n">
        <f aca="false">IF(ISBLANK(customer_churn_dataset!N1205),0,MAX(0,customer_churn_dataset!N1205))</f>
        <v>55.86</v>
      </c>
      <c r="O1205" s="7" t="n">
        <f aca="false">IF(ISBLANK(customer_churn_dataset!O1205),0,customer_churn_dataset!O1205)</f>
        <v>1</v>
      </c>
      <c r="P1205" s="7" t="str">
        <f aca="false">IF(COUNTIF(customer_churn_dataset!$A$2:$A$1501,customer_churn_dataset!A1205)&gt;1,"Duplicate","Unique")</f>
        <v>Unique</v>
      </c>
    </row>
    <row r="1206" customFormat="false" ht="14.15" hidden="false" customHeight="true" outlineLevel="0" collapsed="false">
      <c r="A1206" s="7" t="str">
        <f aca="false">TRIM(customer_churn_dataset!A1206)</f>
        <v>CUST100397</v>
      </c>
      <c r="B1206" s="7" t="str">
        <f aca="false">PROPER(TRIM(customer_churn_dataset!B1206))</f>
        <v>Basic</v>
      </c>
      <c r="C1206" s="7" t="str">
        <f aca="false">PROPER(TRIM(customer_churn_dataset!C1206))</f>
        <v>Month-To-Month</v>
      </c>
      <c r="D1206" s="7" t="n">
        <f aca="false">IF(ISBLANK(customer_churn_dataset!D1206),ROUND(MEDIAN(customer_churn_dataset!D$2:D$1501),2),IF(customer_churn_dataset!D1206&lt;0,ABS(customer_churn_dataset!D1206),customer_churn_dataset!D1206))</f>
        <v>9.19</v>
      </c>
      <c r="E1206" s="7" t="n">
        <f aca="false">IF(ISBLANK(customer_churn_dataset!E1206),0,MAX(0,customer_churn_dataset!E1206))</f>
        <v>1</v>
      </c>
      <c r="F1206" s="8" t="n">
        <f aca="false">IF(ISBLANK(customer_churn_dataset!F1206),"",customer_churn_dataset!F1206)</f>
        <v>45416</v>
      </c>
      <c r="G1206" s="7" t="str">
        <f aca="false">PROPER(TRIM(customer_churn_dataset!G1206))</f>
        <v>Credit Card</v>
      </c>
      <c r="H1206" s="7" t="n">
        <f aca="false">IF(ISBLANK(customer_churn_dataset!H1206),0,customer_churn_dataset!H1206)</f>
        <v>0</v>
      </c>
      <c r="I1206" s="7" t="n">
        <f aca="false">IF(ISBLANK(customer_churn_dataset!I1206),ROUND(MEDIAN(customer_churn_dataset!I$2:I$1501),1),MIN(100,MAX(0,customer_churn_dataset!I1206)))</f>
        <v>42.8</v>
      </c>
      <c r="J1206" s="7" t="n">
        <f aca="false">IF(ISBLANK(customer_churn_dataset!J1206),0,MAX(0,customer_churn_dataset!J1206))</f>
        <v>17</v>
      </c>
      <c r="K1206" s="7" t="n">
        <f aca="false">IF(ISBLANK(customer_churn_dataset!K1206),0,MIN(10,MAX(0,customer_churn_dataset!K1206)))</f>
        <v>4</v>
      </c>
      <c r="L1206" s="7" t="n">
        <f aca="false">IF(ISBLANK(customer_churn_dataset!L1206),0,MAX(0,customer_churn_dataset!L1206))</f>
        <v>0</v>
      </c>
      <c r="M1206" s="7" t="n">
        <f aca="false">IF(ISBLANK(customer_churn_dataset!M1206),0,customer_churn_dataset!M1206)</f>
        <v>0</v>
      </c>
      <c r="N1206" s="7" t="n">
        <f aca="false">IF(ISBLANK(customer_churn_dataset!N1206),0,MAX(0,customer_churn_dataset!N1206))</f>
        <v>9.19</v>
      </c>
      <c r="O1206" s="7" t="n">
        <f aca="false">IF(ISBLANK(customer_churn_dataset!O1206),0,customer_churn_dataset!O1206)</f>
        <v>0</v>
      </c>
      <c r="P1206" s="7" t="str">
        <f aca="false">IF(COUNTIF(customer_churn_dataset!$A$2:$A$1501,customer_churn_dataset!A1206)&gt;1,"Duplicate","Unique")</f>
        <v>Unique</v>
      </c>
    </row>
    <row r="1207" customFormat="false" ht="14.15" hidden="false" customHeight="true" outlineLevel="0" collapsed="false">
      <c r="A1207" s="7" t="str">
        <f aca="false">TRIM(customer_churn_dataset!A1207)</f>
        <v>CUST100069</v>
      </c>
      <c r="B1207" s="7" t="str">
        <f aca="false">PROPER(TRIM(customer_churn_dataset!B1207))</f>
        <v>Premium</v>
      </c>
      <c r="C1207" s="7" t="str">
        <f aca="false">PROPER(TRIM(customer_churn_dataset!C1207))</f>
        <v>Month-To-Month</v>
      </c>
      <c r="D1207" s="7" t="n">
        <f aca="false">IF(ISBLANK(customer_churn_dataset!D1207),ROUND(MEDIAN(customer_churn_dataset!D$2:D$1501),2),IF(customer_churn_dataset!D1207&lt;0,ABS(customer_churn_dataset!D1207),customer_churn_dataset!D1207))</f>
        <v>42.2</v>
      </c>
      <c r="E1207" s="7" t="n">
        <f aca="false">IF(ISBLANK(customer_churn_dataset!E1207),0,MAX(0,customer_churn_dataset!E1207))</f>
        <v>9</v>
      </c>
      <c r="F1207" s="8" t="n">
        <f aca="false">IF(ISBLANK(customer_churn_dataset!F1207),"",customer_churn_dataset!F1207)</f>
        <v>45416</v>
      </c>
      <c r="G1207" s="7" t="str">
        <f aca="false">PROPER(TRIM(customer_churn_dataset!G1207))</f>
        <v>Paypal</v>
      </c>
      <c r="H1207" s="7" t="n">
        <f aca="false">IF(ISBLANK(customer_churn_dataset!H1207),0,customer_churn_dataset!H1207)</f>
        <v>1</v>
      </c>
      <c r="I1207" s="7" t="n">
        <f aca="false">IF(ISBLANK(customer_churn_dataset!I1207),ROUND(MEDIAN(customer_churn_dataset!I$2:I$1501),1),MIN(100,MAX(0,customer_churn_dataset!I1207)))</f>
        <v>64.9</v>
      </c>
      <c r="J1207" s="7" t="n">
        <f aca="false">IF(ISBLANK(customer_churn_dataset!J1207),0,MAX(0,customer_churn_dataset!J1207))</f>
        <v>24</v>
      </c>
      <c r="K1207" s="7" t="n">
        <f aca="false">IF(ISBLANK(customer_churn_dataset!K1207),0,MIN(10,MAX(0,customer_churn_dataset!K1207)))</f>
        <v>6</v>
      </c>
      <c r="L1207" s="7" t="n">
        <f aca="false">IF(ISBLANK(customer_churn_dataset!L1207),0,MAX(0,customer_churn_dataset!L1207))</f>
        <v>1</v>
      </c>
      <c r="M1207" s="7" t="n">
        <f aca="false">IF(ISBLANK(customer_churn_dataset!M1207),0,customer_churn_dataset!M1207)</f>
        <v>0</v>
      </c>
      <c r="N1207" s="7" t="n">
        <f aca="false">IF(ISBLANK(customer_churn_dataset!N1207),0,MAX(0,customer_churn_dataset!N1207))</f>
        <v>379.8</v>
      </c>
      <c r="O1207" s="7" t="n">
        <f aca="false">IF(ISBLANK(customer_churn_dataset!O1207),0,customer_churn_dataset!O1207)</f>
        <v>0</v>
      </c>
      <c r="P1207" s="7" t="str">
        <f aca="false">IF(COUNTIF(customer_churn_dataset!$A$2:$A$1501,customer_churn_dataset!A1207)&gt;1,"Duplicate","Unique")</f>
        <v>Unique</v>
      </c>
    </row>
    <row r="1208" customFormat="false" ht="14.15" hidden="false" customHeight="true" outlineLevel="0" collapsed="false">
      <c r="A1208" s="7" t="str">
        <f aca="false">TRIM(customer_churn_dataset!A1208)</f>
        <v>CUST100611</v>
      </c>
      <c r="B1208" s="7" t="str">
        <f aca="false">PROPER(TRIM(customer_churn_dataset!B1208))</f>
        <v>Standard</v>
      </c>
      <c r="C1208" s="7" t="str">
        <f aca="false">PROPER(TRIM(customer_churn_dataset!C1208))</f>
        <v>Month-To-Month</v>
      </c>
      <c r="D1208" s="7" t="n">
        <f aca="false">IF(ISBLANK(customer_churn_dataset!D1208),ROUND(MEDIAN(customer_churn_dataset!D$2:D$1501),2),IF(customer_churn_dataset!D1208&lt;0,ABS(customer_churn_dataset!D1208),customer_churn_dataset!D1208))</f>
        <v>21.69</v>
      </c>
      <c r="E1208" s="7" t="n">
        <f aca="false">IF(ISBLANK(customer_churn_dataset!E1208),0,MAX(0,customer_churn_dataset!E1208))</f>
        <v>26</v>
      </c>
      <c r="F1208" s="8" t="n">
        <f aca="false">IF(ISBLANK(customer_churn_dataset!F1208),"",customer_churn_dataset!F1208)</f>
        <v>45418</v>
      </c>
      <c r="G1208" s="7" t="str">
        <f aca="false">PROPER(TRIM(customer_churn_dataset!G1208))</f>
        <v>Bank Transfer</v>
      </c>
      <c r="H1208" s="7" t="n">
        <f aca="false">IF(ISBLANK(customer_churn_dataset!H1208),0,customer_churn_dataset!H1208)</f>
        <v>1</v>
      </c>
      <c r="I1208" s="7" t="n">
        <f aca="false">IF(ISBLANK(customer_churn_dataset!I1208),ROUND(MEDIAN(customer_churn_dataset!I$2:I$1501),1),MIN(100,MAX(0,customer_churn_dataset!I1208)))</f>
        <v>26.3</v>
      </c>
      <c r="J1208" s="7" t="n">
        <f aca="false">IF(ISBLANK(customer_churn_dataset!J1208),0,MAX(0,customer_churn_dataset!J1208))</f>
        <v>19</v>
      </c>
      <c r="K1208" s="7" t="n">
        <f aca="false">IF(ISBLANK(customer_churn_dataset!K1208),0,MIN(10,MAX(0,customer_churn_dataset!K1208)))</f>
        <v>2</v>
      </c>
      <c r="L1208" s="7" t="n">
        <f aca="false">IF(ISBLANK(customer_churn_dataset!L1208),0,MAX(0,customer_churn_dataset!L1208))</f>
        <v>2</v>
      </c>
      <c r="M1208" s="7" t="n">
        <f aca="false">IF(ISBLANK(customer_churn_dataset!M1208),0,customer_churn_dataset!M1208)</f>
        <v>0</v>
      </c>
      <c r="N1208" s="7" t="n">
        <f aca="false">IF(ISBLANK(customer_churn_dataset!N1208),0,MAX(0,customer_churn_dataset!N1208))</f>
        <v>563.94</v>
      </c>
      <c r="O1208" s="7" t="n">
        <f aca="false">IF(ISBLANK(customer_churn_dataset!O1208),0,customer_churn_dataset!O1208)</f>
        <v>0</v>
      </c>
      <c r="P1208" s="7" t="str">
        <f aca="false">IF(COUNTIF(customer_churn_dataset!$A$2:$A$1501,customer_churn_dataset!A1208)&gt;1,"Duplicate","Unique")</f>
        <v>Unique</v>
      </c>
    </row>
    <row r="1209" customFormat="false" ht="14.15" hidden="false" customHeight="true" outlineLevel="0" collapsed="false">
      <c r="A1209" s="7" t="str">
        <f aca="false">TRIM(customer_churn_dataset!A1209)</f>
        <v>CUST100742</v>
      </c>
      <c r="B1209" s="7" t="str">
        <f aca="false">PROPER(TRIM(customer_churn_dataset!B1209))</f>
        <v>Standard</v>
      </c>
      <c r="C1209" s="7" t="str">
        <f aca="false">PROPER(TRIM(customer_churn_dataset!C1209))</f>
        <v>Two Year</v>
      </c>
      <c r="D1209" s="7" t="n">
        <f aca="false">IF(ISBLANK(customer_churn_dataset!D1209),ROUND(MEDIAN(customer_churn_dataset!D$2:D$1501),2),IF(customer_churn_dataset!D1209&lt;0,ABS(customer_churn_dataset!D1209),customer_churn_dataset!D1209))</f>
        <v>21.16</v>
      </c>
      <c r="E1209" s="7" t="n">
        <f aca="false">IF(ISBLANK(customer_churn_dataset!E1209),0,MAX(0,customer_churn_dataset!E1209))</f>
        <v>13</v>
      </c>
      <c r="F1209" s="8" t="n">
        <f aca="false">IF(ISBLANK(customer_churn_dataset!F1209),"",customer_churn_dataset!F1209)</f>
        <v>45421</v>
      </c>
      <c r="G1209" s="7" t="str">
        <f aca="false">PROPER(TRIM(customer_churn_dataset!G1209))</f>
        <v>Bank Transfer</v>
      </c>
      <c r="H1209" s="7" t="n">
        <f aca="false">IF(ISBLANK(customer_churn_dataset!H1209),0,customer_churn_dataset!H1209)</f>
        <v>0</v>
      </c>
      <c r="I1209" s="7" t="n">
        <f aca="false">IF(ISBLANK(customer_churn_dataset!I1209),ROUND(MEDIAN(customer_churn_dataset!I$2:I$1501),1),MIN(100,MAX(0,customer_churn_dataset!I1209)))</f>
        <v>81</v>
      </c>
      <c r="J1209" s="7" t="n">
        <f aca="false">IF(ISBLANK(customer_churn_dataset!J1209),0,MAX(0,customer_churn_dataset!J1209))</f>
        <v>23</v>
      </c>
      <c r="K1209" s="7" t="n">
        <f aca="false">IF(ISBLANK(customer_churn_dataset!K1209),0,MIN(10,MAX(0,customer_churn_dataset!K1209)))</f>
        <v>10</v>
      </c>
      <c r="L1209" s="7" t="n">
        <f aca="false">IF(ISBLANK(customer_churn_dataset!L1209),0,MAX(0,customer_churn_dataset!L1209))</f>
        <v>2</v>
      </c>
      <c r="M1209" s="7" t="n">
        <f aca="false">IF(ISBLANK(customer_churn_dataset!M1209),0,customer_churn_dataset!M1209)</f>
        <v>1</v>
      </c>
      <c r="N1209" s="7" t="n">
        <f aca="false">IF(ISBLANK(customer_churn_dataset!N1209),0,MAX(0,customer_churn_dataset!N1209))</f>
        <v>275.08</v>
      </c>
      <c r="O1209" s="7" t="n">
        <f aca="false">IF(ISBLANK(customer_churn_dataset!O1209),0,customer_churn_dataset!O1209)</f>
        <v>0</v>
      </c>
      <c r="P1209" s="7" t="str">
        <f aca="false">IF(COUNTIF(customer_churn_dataset!$A$2:$A$1501,customer_churn_dataset!A1209)&gt;1,"Duplicate","Unique")</f>
        <v>Unique</v>
      </c>
    </row>
    <row r="1210" customFormat="false" ht="14.15" hidden="false" customHeight="true" outlineLevel="0" collapsed="false">
      <c r="A1210" s="7" t="str">
        <f aca="false">TRIM(customer_churn_dataset!A1210)</f>
        <v>CUST101427</v>
      </c>
      <c r="B1210" s="7" t="str">
        <f aca="false">PROPER(TRIM(customer_churn_dataset!B1210))</f>
        <v>Premium</v>
      </c>
      <c r="C1210" s="7" t="str">
        <f aca="false">PROPER(TRIM(customer_churn_dataset!C1210))</f>
        <v>Month-To-Month</v>
      </c>
      <c r="D1210" s="7" t="n">
        <f aca="false">IF(ISBLANK(customer_churn_dataset!D1210),ROUND(MEDIAN(customer_churn_dataset!D$2:D$1501),2),IF(customer_churn_dataset!D1210&lt;0,ABS(customer_churn_dataset!D1210),customer_churn_dataset!D1210))</f>
        <v>39.79</v>
      </c>
      <c r="E1210" s="7" t="n">
        <f aca="false">IF(ISBLANK(customer_churn_dataset!E1210),0,MAX(0,customer_churn_dataset!E1210))</f>
        <v>8</v>
      </c>
      <c r="F1210" s="8" t="n">
        <f aca="false">IF(ISBLANK(customer_churn_dataset!F1210),"",customer_churn_dataset!F1210)</f>
        <v>45422</v>
      </c>
      <c r="G1210" s="7" t="str">
        <f aca="false">PROPER(TRIM(customer_churn_dataset!G1210))</f>
        <v>Paypal</v>
      </c>
      <c r="H1210" s="7" t="n">
        <f aca="false">IF(ISBLANK(customer_churn_dataset!H1210),0,customer_churn_dataset!H1210)</f>
        <v>1</v>
      </c>
      <c r="I1210" s="7" t="n">
        <f aca="false">IF(ISBLANK(customer_churn_dataset!I1210),ROUND(MEDIAN(customer_churn_dataset!I$2:I$1501),1),MIN(100,MAX(0,customer_churn_dataset!I1210)))</f>
        <v>64.8</v>
      </c>
      <c r="J1210" s="7" t="n">
        <f aca="false">IF(ISBLANK(customer_churn_dataset!J1210),0,MAX(0,customer_churn_dataset!J1210))</f>
        <v>16</v>
      </c>
      <c r="K1210" s="7" t="n">
        <f aca="false">IF(ISBLANK(customer_churn_dataset!K1210),0,MIN(10,MAX(0,customer_churn_dataset!K1210)))</f>
        <v>5</v>
      </c>
      <c r="L1210" s="7" t="n">
        <f aca="false">IF(ISBLANK(customer_churn_dataset!L1210),0,MAX(0,customer_churn_dataset!L1210))</f>
        <v>0</v>
      </c>
      <c r="M1210" s="7" t="n">
        <f aca="false">IF(ISBLANK(customer_churn_dataset!M1210),0,customer_churn_dataset!M1210)</f>
        <v>0</v>
      </c>
      <c r="N1210" s="7" t="n">
        <f aca="false">IF(ISBLANK(customer_churn_dataset!N1210),0,MAX(0,customer_churn_dataset!N1210))</f>
        <v>318.32</v>
      </c>
      <c r="O1210" s="7" t="n">
        <f aca="false">IF(ISBLANK(customer_churn_dataset!O1210),0,customer_churn_dataset!O1210)</f>
        <v>0</v>
      </c>
      <c r="P1210" s="7" t="str">
        <f aca="false">IF(COUNTIF(customer_churn_dataset!$A$2:$A$1501,customer_churn_dataset!A1210)&gt;1,"Duplicate","Unique")</f>
        <v>Unique</v>
      </c>
    </row>
    <row r="1211" customFormat="false" ht="14.15" hidden="false" customHeight="true" outlineLevel="0" collapsed="false">
      <c r="A1211" s="7" t="str">
        <f aca="false">TRIM(customer_churn_dataset!A1211)</f>
        <v>CUST101231</v>
      </c>
      <c r="B1211" s="7" t="str">
        <f aca="false">PROPER(TRIM(customer_churn_dataset!B1211))</f>
        <v>Basic</v>
      </c>
      <c r="C1211" s="7" t="str">
        <f aca="false">PROPER(TRIM(customer_churn_dataset!C1211))</f>
        <v>Month-To-Month</v>
      </c>
      <c r="D1211" s="7" t="n">
        <f aca="false">IF(ISBLANK(customer_churn_dataset!D1211),ROUND(MEDIAN(customer_churn_dataset!D$2:D$1501),2),IF(customer_churn_dataset!D1211&lt;0,ABS(customer_churn_dataset!D1211),customer_churn_dataset!D1211))</f>
        <v>9.06</v>
      </c>
      <c r="E1211" s="7" t="n">
        <f aca="false">IF(ISBLANK(customer_churn_dataset!E1211),0,MAX(0,customer_churn_dataset!E1211))</f>
        <v>42</v>
      </c>
      <c r="F1211" s="8" t="n">
        <f aca="false">IF(ISBLANK(customer_churn_dataset!F1211),"",customer_churn_dataset!F1211)</f>
        <v>45422</v>
      </c>
      <c r="G1211" s="7" t="str">
        <f aca="false">PROPER(TRIM(customer_churn_dataset!G1211))</f>
        <v>Credit Card</v>
      </c>
      <c r="H1211" s="7" t="n">
        <f aca="false">IF(ISBLANK(customer_churn_dataset!H1211),0,customer_churn_dataset!H1211)</f>
        <v>0</v>
      </c>
      <c r="I1211" s="7" t="n">
        <f aca="false">IF(ISBLANK(customer_churn_dataset!I1211),ROUND(MEDIAN(customer_churn_dataset!I$2:I$1501),1),MIN(100,MAX(0,customer_churn_dataset!I1211)))</f>
        <v>26.5</v>
      </c>
      <c r="J1211" s="7" t="n">
        <f aca="false">IF(ISBLANK(customer_churn_dataset!J1211),0,MAX(0,customer_churn_dataset!J1211))</f>
        <v>9</v>
      </c>
      <c r="K1211" s="7" t="n">
        <f aca="false">IF(ISBLANK(customer_churn_dataset!K1211),0,MIN(10,MAX(0,customer_churn_dataset!K1211)))</f>
        <v>4</v>
      </c>
      <c r="L1211" s="7" t="n">
        <f aca="false">IF(ISBLANK(customer_churn_dataset!L1211),0,MAX(0,customer_churn_dataset!L1211))</f>
        <v>2</v>
      </c>
      <c r="M1211" s="7" t="n">
        <f aca="false">IF(ISBLANK(customer_churn_dataset!M1211),0,customer_churn_dataset!M1211)</f>
        <v>1</v>
      </c>
      <c r="N1211" s="7" t="n">
        <f aca="false">IF(ISBLANK(customer_churn_dataset!N1211),0,MAX(0,customer_churn_dataset!N1211))</f>
        <v>380.52</v>
      </c>
      <c r="O1211" s="7" t="n">
        <f aca="false">IF(ISBLANK(customer_churn_dataset!O1211),0,customer_churn_dataset!O1211)</f>
        <v>1</v>
      </c>
      <c r="P1211" s="7" t="str">
        <f aca="false">IF(COUNTIF(customer_churn_dataset!$A$2:$A$1501,customer_churn_dataset!A1211)&gt;1,"Duplicate","Unique")</f>
        <v>Unique</v>
      </c>
    </row>
    <row r="1212" customFormat="false" ht="14.15" hidden="false" customHeight="true" outlineLevel="0" collapsed="false">
      <c r="A1212" s="7" t="str">
        <f aca="false">TRIM(customer_churn_dataset!A1212)</f>
        <v>CUST100906</v>
      </c>
      <c r="B1212" s="7" t="str">
        <f aca="false">PROPER(TRIM(customer_churn_dataset!B1212))</f>
        <v>Premium</v>
      </c>
      <c r="C1212" s="7" t="str">
        <f aca="false">PROPER(TRIM(customer_churn_dataset!C1212))</f>
        <v>Month-To-Month</v>
      </c>
      <c r="D1212" s="7" t="n">
        <f aca="false">IF(ISBLANK(customer_churn_dataset!D1212),ROUND(MEDIAN(customer_churn_dataset!D$2:D$1501),2),IF(customer_churn_dataset!D1212&lt;0,ABS(customer_churn_dataset!D1212),customer_churn_dataset!D1212))</f>
        <v>37.55</v>
      </c>
      <c r="E1212" s="7" t="n">
        <f aca="false">IF(ISBLANK(customer_churn_dataset!E1212),0,MAX(0,customer_churn_dataset!E1212))</f>
        <v>6</v>
      </c>
      <c r="F1212" s="8" t="n">
        <f aca="false">IF(ISBLANK(customer_churn_dataset!F1212),"",customer_churn_dataset!F1212)</f>
        <v>45423</v>
      </c>
      <c r="G1212" s="7" t="str">
        <f aca="false">PROPER(TRIM(customer_churn_dataset!G1212))</f>
        <v>Paypal</v>
      </c>
      <c r="H1212" s="7" t="n">
        <f aca="false">IF(ISBLANK(customer_churn_dataset!H1212),0,customer_churn_dataset!H1212)</f>
        <v>1</v>
      </c>
      <c r="I1212" s="7" t="n">
        <f aca="false">IF(ISBLANK(customer_churn_dataset!I1212),ROUND(MEDIAN(customer_churn_dataset!I$2:I$1501),1),MIN(100,MAX(0,customer_churn_dataset!I1212)))</f>
        <v>16.3</v>
      </c>
      <c r="J1212" s="7" t="n">
        <f aca="false">IF(ISBLANK(customer_churn_dataset!J1212),0,MAX(0,customer_churn_dataset!J1212))</f>
        <v>0</v>
      </c>
      <c r="K1212" s="7" t="n">
        <f aca="false">IF(ISBLANK(customer_churn_dataset!K1212),0,MIN(10,MAX(0,customer_churn_dataset!K1212)))</f>
        <v>2</v>
      </c>
      <c r="L1212" s="7" t="n">
        <f aca="false">IF(ISBLANK(customer_churn_dataset!L1212),0,MAX(0,customer_churn_dataset!L1212))</f>
        <v>3</v>
      </c>
      <c r="M1212" s="7" t="n">
        <f aca="false">IF(ISBLANK(customer_churn_dataset!M1212),0,customer_churn_dataset!M1212)</f>
        <v>1</v>
      </c>
      <c r="N1212" s="7" t="n">
        <f aca="false">IF(ISBLANK(customer_churn_dataset!N1212),0,MAX(0,customer_churn_dataset!N1212))</f>
        <v>225.3</v>
      </c>
      <c r="O1212" s="7" t="n">
        <f aca="false">IF(ISBLANK(customer_churn_dataset!O1212),0,customer_churn_dataset!O1212)</f>
        <v>1</v>
      </c>
      <c r="P1212" s="7" t="str">
        <f aca="false">IF(COUNTIF(customer_churn_dataset!$A$2:$A$1501,customer_churn_dataset!A1212)&gt;1,"Duplicate","Unique")</f>
        <v>Unique</v>
      </c>
    </row>
    <row r="1213" customFormat="false" ht="14.15" hidden="false" customHeight="true" outlineLevel="0" collapsed="false">
      <c r="A1213" s="7" t="str">
        <f aca="false">TRIM(customer_churn_dataset!A1213)</f>
        <v>CUST101396</v>
      </c>
      <c r="B1213" s="7" t="str">
        <f aca="false">PROPER(TRIM(customer_churn_dataset!B1213))</f>
        <v>Basic</v>
      </c>
      <c r="C1213" s="7" t="str">
        <f aca="false">PROPER(TRIM(customer_churn_dataset!C1213))</f>
        <v>One Year</v>
      </c>
      <c r="D1213" s="7" t="n">
        <f aca="false">IF(ISBLANK(customer_churn_dataset!D1213),ROUND(MEDIAN(customer_churn_dataset!D$2:D$1501),2),IF(customer_churn_dataset!D1213&lt;0,ABS(customer_churn_dataset!D1213),customer_churn_dataset!D1213))</f>
        <v>7.35</v>
      </c>
      <c r="E1213" s="7" t="n">
        <f aca="false">IF(ISBLANK(customer_churn_dataset!E1213),0,MAX(0,customer_churn_dataset!E1213))</f>
        <v>3</v>
      </c>
      <c r="F1213" s="8" t="n">
        <f aca="false">IF(ISBLANK(customer_churn_dataset!F1213),"",customer_churn_dataset!F1213)</f>
        <v>45425</v>
      </c>
      <c r="G1213" s="7" t="str">
        <f aca="false">PROPER(TRIM(customer_churn_dataset!G1213))</f>
        <v>Credit Card</v>
      </c>
      <c r="H1213" s="7" t="n">
        <f aca="false">IF(ISBLANK(customer_churn_dataset!H1213),0,customer_churn_dataset!H1213)</f>
        <v>0</v>
      </c>
      <c r="I1213" s="7" t="n">
        <f aca="false">IF(ISBLANK(customer_churn_dataset!I1213),ROUND(MEDIAN(customer_churn_dataset!I$2:I$1501),1),MIN(100,MAX(0,customer_churn_dataset!I1213)))</f>
        <v>23.5</v>
      </c>
      <c r="J1213" s="7" t="n">
        <f aca="false">IF(ISBLANK(customer_churn_dataset!J1213),0,MAX(0,customer_churn_dataset!J1213))</f>
        <v>2</v>
      </c>
      <c r="K1213" s="7" t="n">
        <f aca="false">IF(ISBLANK(customer_churn_dataset!K1213),0,MIN(10,MAX(0,customer_churn_dataset!K1213)))</f>
        <v>3</v>
      </c>
      <c r="L1213" s="7" t="n">
        <f aca="false">IF(ISBLANK(customer_churn_dataset!L1213),0,MAX(0,customer_churn_dataset!L1213))</f>
        <v>7</v>
      </c>
      <c r="M1213" s="7" t="n">
        <f aca="false">IF(ISBLANK(customer_churn_dataset!M1213),0,customer_churn_dataset!M1213)</f>
        <v>0</v>
      </c>
      <c r="N1213" s="7" t="n">
        <f aca="false">IF(ISBLANK(customer_churn_dataset!N1213),0,MAX(0,customer_churn_dataset!N1213))</f>
        <v>22.05</v>
      </c>
      <c r="O1213" s="7" t="n">
        <f aca="false">IF(ISBLANK(customer_churn_dataset!O1213),0,customer_churn_dataset!O1213)</f>
        <v>0</v>
      </c>
      <c r="P1213" s="7" t="str">
        <f aca="false">IF(COUNTIF(customer_churn_dataset!$A$2:$A$1501,customer_churn_dataset!A1213)&gt;1,"Duplicate","Unique")</f>
        <v>Unique</v>
      </c>
    </row>
    <row r="1214" customFormat="false" ht="14.15" hidden="false" customHeight="true" outlineLevel="0" collapsed="false">
      <c r="A1214" s="7" t="str">
        <f aca="false">TRIM(customer_churn_dataset!A1214)</f>
        <v>CUST100137</v>
      </c>
      <c r="B1214" s="7" t="str">
        <f aca="false">PROPER(TRIM(customer_churn_dataset!B1214))</f>
        <v>Standard</v>
      </c>
      <c r="C1214" s="7" t="str">
        <f aca="false">PROPER(TRIM(customer_churn_dataset!C1214))</f>
        <v>Month-To-Month</v>
      </c>
      <c r="D1214" s="7" t="n">
        <f aca="false">IF(ISBLANK(customer_churn_dataset!D1214),ROUND(MEDIAN(customer_churn_dataset!D$2:D$1501),2),IF(customer_churn_dataset!D1214&lt;0,ABS(customer_churn_dataset!D1214),customer_churn_dataset!D1214))</f>
        <v>19.7</v>
      </c>
      <c r="E1214" s="7" t="n">
        <f aca="false">IF(ISBLANK(customer_churn_dataset!E1214),0,MAX(0,customer_churn_dataset!E1214))</f>
        <v>9</v>
      </c>
      <c r="F1214" s="8" t="n">
        <f aca="false">IF(ISBLANK(customer_churn_dataset!F1214),"",customer_churn_dataset!F1214)</f>
        <v>45426</v>
      </c>
      <c r="G1214" s="7" t="str">
        <f aca="false">PROPER(TRIM(customer_churn_dataset!G1214))</f>
        <v>Credit Card</v>
      </c>
      <c r="H1214" s="7" t="n">
        <f aca="false">IF(ISBLANK(customer_churn_dataset!H1214),0,customer_churn_dataset!H1214)</f>
        <v>1</v>
      </c>
      <c r="I1214" s="7" t="n">
        <f aca="false">IF(ISBLANK(customer_churn_dataset!I1214),ROUND(MEDIAN(customer_churn_dataset!I$2:I$1501),1),MIN(100,MAX(0,customer_churn_dataset!I1214)))</f>
        <v>46.1</v>
      </c>
      <c r="J1214" s="7" t="n">
        <f aca="false">IF(ISBLANK(customer_churn_dataset!J1214),0,MAX(0,customer_churn_dataset!J1214))</f>
        <v>14</v>
      </c>
      <c r="K1214" s="7" t="n">
        <f aca="false">IF(ISBLANK(customer_churn_dataset!K1214),0,MIN(10,MAX(0,customer_churn_dataset!K1214)))</f>
        <v>4</v>
      </c>
      <c r="L1214" s="7" t="n">
        <f aca="false">IF(ISBLANK(customer_churn_dataset!L1214),0,MAX(0,customer_churn_dataset!L1214))</f>
        <v>0</v>
      </c>
      <c r="M1214" s="7" t="n">
        <f aca="false">IF(ISBLANK(customer_churn_dataset!M1214),0,customer_churn_dataset!M1214)</f>
        <v>0</v>
      </c>
      <c r="N1214" s="7" t="n">
        <f aca="false">IF(ISBLANK(customer_churn_dataset!N1214),0,MAX(0,customer_churn_dataset!N1214))</f>
        <v>177.3</v>
      </c>
      <c r="O1214" s="7" t="n">
        <f aca="false">IF(ISBLANK(customer_churn_dataset!O1214),0,customer_churn_dataset!O1214)</f>
        <v>1</v>
      </c>
      <c r="P1214" s="7" t="str">
        <f aca="false">IF(COUNTIF(customer_churn_dataset!$A$2:$A$1501,customer_churn_dataset!A1214)&gt;1,"Duplicate","Unique")</f>
        <v>Unique</v>
      </c>
    </row>
    <row r="1215" customFormat="false" ht="14.15" hidden="false" customHeight="true" outlineLevel="0" collapsed="false">
      <c r="A1215" s="7" t="str">
        <f aca="false">TRIM(customer_churn_dataset!A1215)</f>
        <v>CUST100487</v>
      </c>
      <c r="B1215" s="7" t="str">
        <f aca="false">PROPER(TRIM(customer_churn_dataset!B1215))</f>
        <v>Basic</v>
      </c>
      <c r="C1215" s="7" t="str">
        <f aca="false">PROPER(TRIM(customer_churn_dataset!C1215))</f>
        <v>Two Year</v>
      </c>
      <c r="D1215" s="7" t="n">
        <f aca="false">IF(ISBLANK(customer_churn_dataset!D1215),ROUND(MEDIAN(customer_churn_dataset!D$2:D$1501),2),IF(customer_churn_dataset!D1215&lt;0,ABS(customer_churn_dataset!D1215),customer_churn_dataset!D1215))</f>
        <v>10.98</v>
      </c>
      <c r="E1215" s="7" t="n">
        <f aca="false">IF(ISBLANK(customer_churn_dataset!E1215),0,MAX(0,customer_churn_dataset!E1215))</f>
        <v>16</v>
      </c>
      <c r="F1215" s="8" t="n">
        <f aca="false">IF(ISBLANK(customer_churn_dataset!F1215),"",customer_churn_dataset!F1215)</f>
        <v>45426</v>
      </c>
      <c r="G1215" s="7" t="str">
        <f aca="false">PROPER(TRIM(customer_churn_dataset!G1215))</f>
        <v>Bank Transfer</v>
      </c>
      <c r="H1215" s="7" t="n">
        <f aca="false">IF(ISBLANK(customer_churn_dataset!H1215),0,customer_churn_dataset!H1215)</f>
        <v>1</v>
      </c>
      <c r="I1215" s="7" t="n">
        <f aca="false">IF(ISBLANK(customer_churn_dataset!I1215),ROUND(MEDIAN(customer_churn_dataset!I$2:I$1501),1),MIN(100,MAX(0,customer_churn_dataset!I1215)))</f>
        <v>36.5</v>
      </c>
      <c r="J1215" s="7" t="n">
        <f aca="false">IF(ISBLANK(customer_churn_dataset!J1215),0,MAX(0,customer_churn_dataset!J1215))</f>
        <v>13</v>
      </c>
      <c r="K1215" s="7" t="n">
        <f aca="false">IF(ISBLANK(customer_churn_dataset!K1215),0,MIN(10,MAX(0,customer_churn_dataset!K1215)))</f>
        <v>1</v>
      </c>
      <c r="L1215" s="7" t="n">
        <f aca="false">IF(ISBLANK(customer_churn_dataset!L1215),0,MAX(0,customer_churn_dataset!L1215))</f>
        <v>2</v>
      </c>
      <c r="M1215" s="7" t="n">
        <f aca="false">IF(ISBLANK(customer_churn_dataset!M1215),0,customer_churn_dataset!M1215)</f>
        <v>1</v>
      </c>
      <c r="N1215" s="7" t="n">
        <f aca="false">IF(ISBLANK(customer_churn_dataset!N1215),0,MAX(0,customer_churn_dataset!N1215))</f>
        <v>175.68</v>
      </c>
      <c r="O1215" s="7" t="n">
        <f aca="false">IF(ISBLANK(customer_churn_dataset!O1215),0,customer_churn_dataset!O1215)</f>
        <v>0</v>
      </c>
      <c r="P1215" s="7" t="str">
        <f aca="false">IF(COUNTIF(customer_churn_dataset!$A$2:$A$1501,customer_churn_dataset!A1215)&gt;1,"Duplicate","Unique")</f>
        <v>Unique</v>
      </c>
    </row>
    <row r="1216" customFormat="false" ht="14.15" hidden="false" customHeight="true" outlineLevel="0" collapsed="false">
      <c r="A1216" s="7" t="str">
        <f aca="false">TRIM(customer_churn_dataset!A1216)</f>
        <v>CUST100647</v>
      </c>
      <c r="B1216" s="7" t="str">
        <f aca="false">PROPER(TRIM(customer_churn_dataset!B1216))</f>
        <v>Standard</v>
      </c>
      <c r="C1216" s="7" t="str">
        <f aca="false">PROPER(TRIM(customer_churn_dataset!C1216))</f>
        <v>Month-To-Month</v>
      </c>
      <c r="D1216" s="7" t="n">
        <f aca="false">IF(ISBLANK(customer_churn_dataset!D1216),ROUND(MEDIAN(customer_churn_dataset!D$2:D$1501),2),IF(customer_churn_dataset!D1216&lt;0,ABS(customer_churn_dataset!D1216),customer_churn_dataset!D1216))</f>
        <v>20.5</v>
      </c>
      <c r="E1216" s="7" t="n">
        <f aca="false">IF(ISBLANK(customer_churn_dataset!E1216),0,MAX(0,customer_churn_dataset!E1216))</f>
        <v>27</v>
      </c>
      <c r="F1216" s="8" t="n">
        <f aca="false">IF(ISBLANK(customer_churn_dataset!F1216),"",customer_churn_dataset!F1216)</f>
        <v>45427</v>
      </c>
      <c r="G1216" s="7" t="str">
        <f aca="false">PROPER(TRIM(customer_churn_dataset!G1216))</f>
        <v>Credit Card</v>
      </c>
      <c r="H1216" s="7" t="n">
        <f aca="false">IF(ISBLANK(customer_churn_dataset!H1216),0,customer_churn_dataset!H1216)</f>
        <v>1</v>
      </c>
      <c r="I1216" s="7" t="n">
        <f aca="false">IF(ISBLANK(customer_churn_dataset!I1216),ROUND(MEDIAN(customer_churn_dataset!I$2:I$1501),1),MIN(100,MAX(0,customer_churn_dataset!I1216)))</f>
        <v>64.5</v>
      </c>
      <c r="J1216" s="7" t="n">
        <f aca="false">IF(ISBLANK(customer_churn_dataset!J1216),0,MAX(0,customer_churn_dataset!J1216))</f>
        <v>21</v>
      </c>
      <c r="K1216" s="7" t="n">
        <f aca="false">IF(ISBLANK(customer_churn_dataset!K1216),0,MIN(10,MAX(0,customer_churn_dataset!K1216)))</f>
        <v>7</v>
      </c>
      <c r="L1216" s="7" t="n">
        <f aca="false">IF(ISBLANK(customer_churn_dataset!L1216),0,MAX(0,customer_churn_dataset!L1216))</f>
        <v>2</v>
      </c>
      <c r="M1216" s="7" t="n">
        <f aca="false">IF(ISBLANK(customer_churn_dataset!M1216),0,customer_churn_dataset!M1216)</f>
        <v>1</v>
      </c>
      <c r="N1216" s="7" t="n">
        <f aca="false">IF(ISBLANK(customer_churn_dataset!N1216),0,MAX(0,customer_churn_dataset!N1216))</f>
        <v>553.5</v>
      </c>
      <c r="O1216" s="7" t="n">
        <f aca="false">IF(ISBLANK(customer_churn_dataset!O1216),0,customer_churn_dataset!O1216)</f>
        <v>0</v>
      </c>
      <c r="P1216" s="7" t="str">
        <f aca="false">IF(COUNTIF(customer_churn_dataset!$A$2:$A$1501,customer_churn_dataset!A1216)&gt;1,"Duplicate","Unique")</f>
        <v>Unique</v>
      </c>
    </row>
    <row r="1217" customFormat="false" ht="14.15" hidden="false" customHeight="true" outlineLevel="0" collapsed="false">
      <c r="A1217" s="7" t="str">
        <f aca="false">TRIM(customer_churn_dataset!A1217)</f>
        <v>CUST101097</v>
      </c>
      <c r="B1217" s="7" t="str">
        <f aca="false">PROPER(TRIM(customer_churn_dataset!B1217))</f>
        <v>Basic</v>
      </c>
      <c r="C1217" s="7" t="str">
        <f aca="false">PROPER(TRIM(customer_churn_dataset!C1217))</f>
        <v>Month-To-Month</v>
      </c>
      <c r="D1217" s="7" t="n">
        <f aca="false">IF(ISBLANK(customer_churn_dataset!D1217),ROUND(MEDIAN(customer_churn_dataset!D$2:D$1501),2),IF(customer_churn_dataset!D1217&lt;0,ABS(customer_churn_dataset!D1217),customer_churn_dataset!D1217))</f>
        <v>9.57</v>
      </c>
      <c r="E1217" s="7" t="n">
        <f aca="false">IF(ISBLANK(customer_churn_dataset!E1217),0,MAX(0,customer_churn_dataset!E1217))</f>
        <v>32</v>
      </c>
      <c r="F1217" s="8" t="n">
        <f aca="false">IF(ISBLANK(customer_churn_dataset!F1217),"",customer_churn_dataset!F1217)</f>
        <v>45427</v>
      </c>
      <c r="G1217" s="7" t="str">
        <f aca="false">PROPER(TRIM(customer_churn_dataset!G1217))</f>
        <v>Credit Card</v>
      </c>
      <c r="H1217" s="7" t="n">
        <f aca="false">IF(ISBLANK(customer_churn_dataset!H1217),0,customer_churn_dataset!H1217)</f>
        <v>1</v>
      </c>
      <c r="I1217" s="7" t="n">
        <f aca="false">IF(ISBLANK(customer_churn_dataset!I1217),ROUND(MEDIAN(customer_churn_dataset!I$2:I$1501),1),MIN(100,MAX(0,customer_churn_dataset!I1217)))</f>
        <v>33.8</v>
      </c>
      <c r="J1217" s="7" t="n">
        <f aca="false">IF(ISBLANK(customer_churn_dataset!J1217),0,MAX(0,customer_churn_dataset!J1217))</f>
        <v>14</v>
      </c>
      <c r="K1217" s="7" t="n">
        <f aca="false">IF(ISBLANK(customer_churn_dataset!K1217),0,MIN(10,MAX(0,customer_churn_dataset!K1217)))</f>
        <v>6</v>
      </c>
      <c r="L1217" s="7" t="n">
        <f aca="false">IF(ISBLANK(customer_churn_dataset!L1217),0,MAX(0,customer_churn_dataset!L1217))</f>
        <v>1</v>
      </c>
      <c r="M1217" s="7" t="n">
        <f aca="false">IF(ISBLANK(customer_churn_dataset!M1217),0,customer_churn_dataset!M1217)</f>
        <v>0</v>
      </c>
      <c r="N1217" s="7" t="n">
        <f aca="false">IF(ISBLANK(customer_churn_dataset!N1217),0,MAX(0,customer_churn_dataset!N1217))</f>
        <v>306.24</v>
      </c>
      <c r="O1217" s="7" t="n">
        <f aca="false">IF(ISBLANK(customer_churn_dataset!O1217),0,customer_churn_dataset!O1217)</f>
        <v>0</v>
      </c>
      <c r="P1217" s="7" t="str">
        <f aca="false">IF(COUNTIF(customer_churn_dataset!$A$2:$A$1501,customer_churn_dataset!A1217)&gt;1,"Duplicate","Unique")</f>
        <v>Unique</v>
      </c>
    </row>
    <row r="1218" customFormat="false" ht="14.15" hidden="false" customHeight="true" outlineLevel="0" collapsed="false">
      <c r="A1218" s="7" t="str">
        <f aca="false">TRIM(customer_churn_dataset!A1218)</f>
        <v>CUST100549</v>
      </c>
      <c r="B1218" s="7" t="str">
        <f aca="false">PROPER(TRIM(customer_churn_dataset!B1218))</f>
        <v>Standard</v>
      </c>
      <c r="C1218" s="7" t="str">
        <f aca="false">PROPER(TRIM(customer_churn_dataset!C1218))</f>
        <v>Month-To-Month</v>
      </c>
      <c r="D1218" s="7" t="n">
        <f aca="false">IF(ISBLANK(customer_churn_dataset!D1218),ROUND(MEDIAN(customer_churn_dataset!D$2:D$1501),2),IF(customer_churn_dataset!D1218&lt;0,ABS(customer_churn_dataset!D1218),customer_churn_dataset!D1218))</f>
        <v>19.02</v>
      </c>
      <c r="E1218" s="7" t="n">
        <f aca="false">IF(ISBLANK(customer_churn_dataset!E1218),0,MAX(0,customer_churn_dataset!E1218))</f>
        <v>10</v>
      </c>
      <c r="F1218" s="8" t="n">
        <f aca="false">IF(ISBLANK(customer_churn_dataset!F1218),"",customer_churn_dataset!F1218)</f>
        <v>45429</v>
      </c>
      <c r="G1218" s="7" t="str">
        <f aca="false">PROPER(TRIM(customer_churn_dataset!G1218))</f>
        <v>Credit Card</v>
      </c>
      <c r="H1218" s="7" t="n">
        <f aca="false">IF(ISBLANK(customer_churn_dataset!H1218),0,customer_churn_dataset!H1218)</f>
        <v>0</v>
      </c>
      <c r="I1218" s="7" t="n">
        <f aca="false">IF(ISBLANK(customer_churn_dataset!I1218),ROUND(MEDIAN(customer_churn_dataset!I$2:I$1501),1),MIN(100,MAX(0,customer_churn_dataset!I1218)))</f>
        <v>51.4</v>
      </c>
      <c r="J1218" s="7" t="n">
        <f aca="false">IF(ISBLANK(customer_churn_dataset!J1218),0,MAX(0,customer_churn_dataset!J1218))</f>
        <v>18</v>
      </c>
      <c r="K1218" s="7" t="n">
        <f aca="false">IF(ISBLANK(customer_churn_dataset!K1218),0,MIN(10,MAX(0,customer_churn_dataset!K1218)))</f>
        <v>7</v>
      </c>
      <c r="L1218" s="7" t="n">
        <f aca="false">IF(ISBLANK(customer_churn_dataset!L1218),0,MAX(0,customer_churn_dataset!L1218))</f>
        <v>2</v>
      </c>
      <c r="M1218" s="7" t="n">
        <f aca="false">IF(ISBLANK(customer_churn_dataset!M1218),0,customer_churn_dataset!M1218)</f>
        <v>1</v>
      </c>
      <c r="N1218" s="7" t="n">
        <f aca="false">IF(ISBLANK(customer_churn_dataset!N1218),0,MAX(0,customer_churn_dataset!N1218))</f>
        <v>190.2</v>
      </c>
      <c r="O1218" s="7" t="n">
        <f aca="false">IF(ISBLANK(customer_churn_dataset!O1218),0,customer_churn_dataset!O1218)</f>
        <v>0</v>
      </c>
      <c r="P1218" s="7" t="str">
        <f aca="false">IF(COUNTIF(customer_churn_dataset!$A$2:$A$1501,customer_churn_dataset!A1218)&gt;1,"Duplicate","Unique")</f>
        <v>Unique</v>
      </c>
    </row>
    <row r="1219" customFormat="false" ht="14.15" hidden="false" customHeight="true" outlineLevel="0" collapsed="false">
      <c r="A1219" s="7" t="str">
        <f aca="false">TRIM(customer_churn_dataset!A1219)</f>
        <v>CUST100496</v>
      </c>
      <c r="B1219" s="7" t="str">
        <f aca="false">PROPER(TRIM(customer_churn_dataset!B1219))</f>
        <v>Standard</v>
      </c>
      <c r="C1219" s="7" t="str">
        <f aca="false">PROPER(TRIM(customer_churn_dataset!C1219))</f>
        <v>Month-To-Month</v>
      </c>
      <c r="D1219" s="7" t="n">
        <f aca="false">IF(ISBLANK(customer_churn_dataset!D1219),ROUND(MEDIAN(customer_churn_dataset!D$2:D$1501),2),IF(customer_churn_dataset!D1219&lt;0,ABS(customer_churn_dataset!D1219),customer_churn_dataset!D1219))</f>
        <v>20.16</v>
      </c>
      <c r="E1219" s="7" t="n">
        <f aca="false">IF(ISBLANK(customer_churn_dataset!E1219),0,MAX(0,customer_churn_dataset!E1219))</f>
        <v>17</v>
      </c>
      <c r="F1219" s="8" t="n">
        <f aca="false">IF(ISBLANK(customer_churn_dataset!F1219),"",customer_churn_dataset!F1219)</f>
        <v>45435</v>
      </c>
      <c r="G1219" s="7" t="str">
        <f aca="false">PROPER(TRIM(customer_churn_dataset!G1219))</f>
        <v>Manual/Invoice</v>
      </c>
      <c r="H1219" s="7" t="n">
        <f aca="false">IF(ISBLANK(customer_churn_dataset!H1219),0,customer_churn_dataset!H1219)</f>
        <v>0</v>
      </c>
      <c r="I1219" s="7" t="n">
        <f aca="false">IF(ISBLANK(customer_churn_dataset!I1219),ROUND(MEDIAN(customer_churn_dataset!I$2:I$1501),1),MIN(100,MAX(0,customer_churn_dataset!I1219)))</f>
        <v>74.9</v>
      </c>
      <c r="J1219" s="7" t="n">
        <f aca="false">IF(ISBLANK(customer_churn_dataset!J1219),0,MAX(0,customer_churn_dataset!J1219))</f>
        <v>25</v>
      </c>
      <c r="K1219" s="7" t="n">
        <f aca="false">IF(ISBLANK(customer_churn_dataset!K1219),0,MIN(10,MAX(0,customer_churn_dataset!K1219)))</f>
        <v>8</v>
      </c>
      <c r="L1219" s="7" t="n">
        <f aca="false">IF(ISBLANK(customer_churn_dataset!L1219),0,MAX(0,customer_churn_dataset!L1219))</f>
        <v>3</v>
      </c>
      <c r="M1219" s="7" t="n">
        <f aca="false">IF(ISBLANK(customer_churn_dataset!M1219),0,customer_churn_dataset!M1219)</f>
        <v>0</v>
      </c>
      <c r="N1219" s="7" t="n">
        <f aca="false">IF(ISBLANK(customer_churn_dataset!N1219),0,MAX(0,customer_churn_dataset!N1219))</f>
        <v>342.72</v>
      </c>
      <c r="O1219" s="7" t="n">
        <f aca="false">IF(ISBLANK(customer_churn_dataset!O1219),0,customer_churn_dataset!O1219)</f>
        <v>0</v>
      </c>
      <c r="P1219" s="7" t="str">
        <f aca="false">IF(COUNTIF(customer_churn_dataset!$A$2:$A$1501,customer_churn_dataset!A1219)&gt;1,"Duplicate","Unique")</f>
        <v>Unique</v>
      </c>
    </row>
    <row r="1220" customFormat="false" ht="14.15" hidden="false" customHeight="true" outlineLevel="0" collapsed="false">
      <c r="A1220" s="7" t="str">
        <f aca="false">TRIM(customer_churn_dataset!A1220)</f>
        <v>CUST101454</v>
      </c>
      <c r="B1220" s="7" t="str">
        <f aca="false">PROPER(TRIM(customer_churn_dataset!B1220))</f>
        <v>Basic</v>
      </c>
      <c r="C1220" s="7" t="str">
        <f aca="false">PROPER(TRIM(customer_churn_dataset!C1220))</f>
        <v>Month-To-Month</v>
      </c>
      <c r="D1220" s="7" t="n">
        <f aca="false">IF(ISBLANK(customer_churn_dataset!D1220),ROUND(MEDIAN(customer_churn_dataset!D$2:D$1501),2),IF(customer_churn_dataset!D1220&lt;0,ABS(customer_churn_dataset!D1220),customer_churn_dataset!D1220))</f>
        <v>10.59</v>
      </c>
      <c r="E1220" s="7" t="n">
        <f aca="false">IF(ISBLANK(customer_churn_dataset!E1220),0,MAX(0,customer_churn_dataset!E1220))</f>
        <v>21</v>
      </c>
      <c r="F1220" s="8" t="n">
        <f aca="false">IF(ISBLANK(customer_churn_dataset!F1220),"",customer_churn_dataset!F1220)</f>
        <v>45436</v>
      </c>
      <c r="G1220" s="7" t="str">
        <f aca="false">PROPER(TRIM(customer_churn_dataset!G1220))</f>
        <v>Credit Card</v>
      </c>
      <c r="H1220" s="7" t="n">
        <f aca="false">IF(ISBLANK(customer_churn_dataset!H1220),0,customer_churn_dataset!H1220)</f>
        <v>0</v>
      </c>
      <c r="I1220" s="7" t="n">
        <f aca="false">IF(ISBLANK(customer_churn_dataset!I1220),ROUND(MEDIAN(customer_churn_dataset!I$2:I$1501),1),MIN(100,MAX(0,customer_churn_dataset!I1220)))</f>
        <v>76.7</v>
      </c>
      <c r="J1220" s="7" t="n">
        <f aca="false">IF(ISBLANK(customer_churn_dataset!J1220),0,MAX(0,customer_churn_dataset!J1220))</f>
        <v>22</v>
      </c>
      <c r="K1220" s="7" t="n">
        <f aca="false">IF(ISBLANK(customer_churn_dataset!K1220),0,MIN(10,MAX(0,customer_churn_dataset!K1220)))</f>
        <v>6</v>
      </c>
      <c r="L1220" s="7" t="n">
        <f aca="false">IF(ISBLANK(customer_churn_dataset!L1220),0,MAX(0,customer_churn_dataset!L1220))</f>
        <v>1</v>
      </c>
      <c r="M1220" s="7" t="n">
        <f aca="false">IF(ISBLANK(customer_churn_dataset!M1220),0,customer_churn_dataset!M1220)</f>
        <v>0</v>
      </c>
      <c r="N1220" s="7" t="n">
        <f aca="false">IF(ISBLANK(customer_churn_dataset!N1220),0,MAX(0,customer_churn_dataset!N1220))</f>
        <v>222.39</v>
      </c>
      <c r="O1220" s="7" t="n">
        <f aca="false">IF(ISBLANK(customer_churn_dataset!O1220),0,customer_churn_dataset!O1220)</f>
        <v>0</v>
      </c>
      <c r="P1220" s="7" t="str">
        <f aca="false">IF(COUNTIF(customer_churn_dataset!$A$2:$A$1501,customer_churn_dataset!A1220)&gt;1,"Duplicate","Unique")</f>
        <v>Unique</v>
      </c>
    </row>
    <row r="1221" customFormat="false" ht="14.15" hidden="false" customHeight="true" outlineLevel="0" collapsed="false">
      <c r="A1221" s="7" t="str">
        <f aca="false">TRIM(customer_churn_dataset!A1221)</f>
        <v>CUST100601</v>
      </c>
      <c r="B1221" s="7" t="str">
        <f aca="false">PROPER(TRIM(customer_churn_dataset!B1221))</f>
        <v>Basic</v>
      </c>
      <c r="C1221" s="7" t="str">
        <f aca="false">PROPER(TRIM(customer_churn_dataset!C1221))</f>
        <v>Month-To-Month</v>
      </c>
      <c r="D1221" s="7" t="n">
        <f aca="false">IF(ISBLANK(customer_churn_dataset!D1221),ROUND(MEDIAN(customer_churn_dataset!D$2:D$1501),2),IF(customer_churn_dataset!D1221&lt;0,ABS(customer_churn_dataset!D1221),customer_churn_dataset!D1221))</f>
        <v>10.73</v>
      </c>
      <c r="E1221" s="7" t="n">
        <f aca="false">IF(ISBLANK(customer_churn_dataset!E1221),0,MAX(0,customer_churn_dataset!E1221))</f>
        <v>42</v>
      </c>
      <c r="F1221" s="8" t="n">
        <f aca="false">IF(ISBLANK(customer_churn_dataset!F1221),"",customer_churn_dataset!F1221)</f>
        <v>45437</v>
      </c>
      <c r="G1221" s="7" t="str">
        <f aca="false">PROPER(TRIM(customer_churn_dataset!G1221))</f>
        <v>Credit Card</v>
      </c>
      <c r="H1221" s="7" t="n">
        <f aca="false">IF(ISBLANK(customer_churn_dataset!H1221),0,customer_churn_dataset!H1221)</f>
        <v>0</v>
      </c>
      <c r="I1221" s="7" t="n">
        <f aca="false">IF(ISBLANK(customer_churn_dataset!I1221),ROUND(MEDIAN(customer_churn_dataset!I$2:I$1501),1),MIN(100,MAX(0,customer_churn_dataset!I1221)))</f>
        <v>36.9</v>
      </c>
      <c r="J1221" s="7" t="n">
        <f aca="false">IF(ISBLANK(customer_churn_dataset!J1221),0,MAX(0,customer_churn_dataset!J1221))</f>
        <v>9</v>
      </c>
      <c r="K1221" s="7" t="n">
        <f aca="false">IF(ISBLANK(customer_churn_dataset!K1221),0,MIN(10,MAX(0,customer_churn_dataset!K1221)))</f>
        <v>4</v>
      </c>
      <c r="L1221" s="7" t="n">
        <f aca="false">IF(ISBLANK(customer_churn_dataset!L1221),0,MAX(0,customer_churn_dataset!L1221))</f>
        <v>1</v>
      </c>
      <c r="M1221" s="7" t="n">
        <f aca="false">IF(ISBLANK(customer_churn_dataset!M1221),0,customer_churn_dataset!M1221)</f>
        <v>0</v>
      </c>
      <c r="N1221" s="7" t="n">
        <f aca="false">IF(ISBLANK(customer_churn_dataset!N1221),0,MAX(0,customer_churn_dataset!N1221))</f>
        <v>450.66</v>
      </c>
      <c r="O1221" s="7" t="n">
        <f aca="false">IF(ISBLANK(customer_churn_dataset!O1221),0,customer_churn_dataset!O1221)</f>
        <v>0</v>
      </c>
      <c r="P1221" s="7" t="str">
        <f aca="false">IF(COUNTIF(customer_churn_dataset!$A$2:$A$1501,customer_churn_dataset!A1221)&gt;1,"Duplicate","Unique")</f>
        <v>Unique</v>
      </c>
    </row>
    <row r="1222" customFormat="false" ht="14.15" hidden="false" customHeight="true" outlineLevel="0" collapsed="false">
      <c r="A1222" s="7" t="str">
        <f aca="false">TRIM(customer_churn_dataset!A1222)</f>
        <v>CUST100704</v>
      </c>
      <c r="B1222" s="7" t="str">
        <f aca="false">PROPER(TRIM(customer_churn_dataset!B1222))</f>
        <v>Basic</v>
      </c>
      <c r="C1222" s="7" t="str">
        <f aca="false">PROPER(TRIM(customer_churn_dataset!C1222))</f>
        <v>Month-To-Month</v>
      </c>
      <c r="D1222" s="7" t="n">
        <f aca="false">IF(ISBLANK(customer_churn_dataset!D1222),ROUND(MEDIAN(customer_churn_dataset!D$2:D$1501),2),IF(customer_churn_dataset!D1222&lt;0,ABS(customer_churn_dataset!D1222),customer_churn_dataset!D1222))</f>
        <v>11.29</v>
      </c>
      <c r="E1222" s="7" t="n">
        <f aca="false">IF(ISBLANK(customer_churn_dataset!E1222),0,MAX(0,customer_churn_dataset!E1222))</f>
        <v>72</v>
      </c>
      <c r="F1222" s="8" t="n">
        <f aca="false">IF(ISBLANK(customer_churn_dataset!F1222),"",customer_churn_dataset!F1222)</f>
        <v>45437</v>
      </c>
      <c r="G1222" s="7" t="str">
        <f aca="false">PROPER(TRIM(customer_churn_dataset!G1222))</f>
        <v>Credit Card</v>
      </c>
      <c r="H1222" s="7" t="n">
        <f aca="false">IF(ISBLANK(customer_churn_dataset!H1222),0,customer_churn_dataset!H1222)</f>
        <v>1</v>
      </c>
      <c r="I1222" s="7" t="n">
        <f aca="false">IF(ISBLANK(customer_churn_dataset!I1222),ROUND(MEDIAN(customer_churn_dataset!I$2:I$1501),1),MIN(100,MAX(0,customer_churn_dataset!I1222)))</f>
        <v>47.7</v>
      </c>
      <c r="J1222" s="7" t="n">
        <f aca="false">IF(ISBLANK(customer_churn_dataset!J1222),0,MAX(0,customer_churn_dataset!J1222))</f>
        <v>20</v>
      </c>
      <c r="K1222" s="7" t="n">
        <f aca="false">IF(ISBLANK(customer_churn_dataset!K1222),0,MIN(10,MAX(0,customer_churn_dataset!K1222)))</f>
        <v>6</v>
      </c>
      <c r="L1222" s="7" t="n">
        <f aca="false">IF(ISBLANK(customer_churn_dataset!L1222),0,MAX(0,customer_churn_dataset!L1222))</f>
        <v>1</v>
      </c>
      <c r="M1222" s="7" t="n">
        <f aca="false">IF(ISBLANK(customer_churn_dataset!M1222),0,customer_churn_dataset!M1222)</f>
        <v>1</v>
      </c>
      <c r="N1222" s="7" t="n">
        <f aca="false">IF(ISBLANK(customer_churn_dataset!N1222),0,MAX(0,customer_churn_dataset!N1222))</f>
        <v>812.88</v>
      </c>
      <c r="O1222" s="7" t="n">
        <f aca="false">IF(ISBLANK(customer_churn_dataset!O1222),0,customer_churn_dataset!O1222)</f>
        <v>1</v>
      </c>
      <c r="P1222" s="7" t="str">
        <f aca="false">IF(COUNTIF(customer_churn_dataset!$A$2:$A$1501,customer_churn_dataset!A1222)&gt;1,"Duplicate","Unique")</f>
        <v>Unique</v>
      </c>
    </row>
    <row r="1223" customFormat="false" ht="14.15" hidden="false" customHeight="true" outlineLevel="0" collapsed="false">
      <c r="A1223" s="7" t="str">
        <f aca="false">TRIM(customer_churn_dataset!A1223)</f>
        <v>CUST100642</v>
      </c>
      <c r="B1223" s="7" t="str">
        <f aca="false">PROPER(TRIM(customer_churn_dataset!B1223))</f>
        <v>Basic</v>
      </c>
      <c r="C1223" s="7" t="str">
        <f aca="false">PROPER(TRIM(customer_churn_dataset!C1223))</f>
        <v>One Year</v>
      </c>
      <c r="D1223" s="7" t="n">
        <f aca="false">IF(ISBLANK(customer_churn_dataset!D1223),ROUND(MEDIAN(customer_churn_dataset!D$2:D$1501),2),IF(customer_churn_dataset!D1223&lt;0,ABS(customer_churn_dataset!D1223),customer_churn_dataset!D1223))</f>
        <v>9.28</v>
      </c>
      <c r="E1223" s="7" t="n">
        <f aca="false">IF(ISBLANK(customer_churn_dataset!E1223),0,MAX(0,customer_churn_dataset!E1223))</f>
        <v>6</v>
      </c>
      <c r="F1223" s="8" t="n">
        <f aca="false">IF(ISBLANK(customer_churn_dataset!F1223),"",customer_churn_dataset!F1223)</f>
        <v>45437</v>
      </c>
      <c r="G1223" s="7" t="str">
        <f aca="false">PROPER(TRIM(customer_churn_dataset!G1223))</f>
        <v>Credit Card</v>
      </c>
      <c r="H1223" s="7" t="n">
        <f aca="false">IF(ISBLANK(customer_churn_dataset!H1223),0,customer_churn_dataset!H1223)</f>
        <v>1</v>
      </c>
      <c r="I1223" s="7" t="n">
        <f aca="false">IF(ISBLANK(customer_churn_dataset!I1223),ROUND(MEDIAN(customer_churn_dataset!I$2:I$1501),1),MIN(100,MAX(0,customer_churn_dataset!I1223)))</f>
        <v>92.4</v>
      </c>
      <c r="J1223" s="7" t="n">
        <f aca="false">IF(ISBLANK(customer_churn_dataset!J1223),0,MAX(0,customer_churn_dataset!J1223))</f>
        <v>38</v>
      </c>
      <c r="K1223" s="7" t="n">
        <f aca="false">IF(ISBLANK(customer_churn_dataset!K1223),0,MIN(10,MAX(0,customer_churn_dataset!K1223)))</f>
        <v>8</v>
      </c>
      <c r="L1223" s="7" t="n">
        <f aca="false">IF(ISBLANK(customer_churn_dataset!L1223),0,MAX(0,customer_churn_dataset!L1223))</f>
        <v>2</v>
      </c>
      <c r="M1223" s="7" t="n">
        <f aca="false">IF(ISBLANK(customer_churn_dataset!M1223),0,customer_churn_dataset!M1223)</f>
        <v>0</v>
      </c>
      <c r="N1223" s="7" t="n">
        <f aca="false">IF(ISBLANK(customer_churn_dataset!N1223),0,MAX(0,customer_churn_dataset!N1223))</f>
        <v>55.68</v>
      </c>
      <c r="O1223" s="7" t="n">
        <f aca="false">IF(ISBLANK(customer_churn_dataset!O1223),0,customer_churn_dataset!O1223)</f>
        <v>0</v>
      </c>
      <c r="P1223" s="7" t="str">
        <f aca="false">IF(COUNTIF(customer_churn_dataset!$A$2:$A$1501,customer_churn_dataset!A1223)&gt;1,"Duplicate","Unique")</f>
        <v>Unique</v>
      </c>
    </row>
    <row r="1224" customFormat="false" ht="14.15" hidden="false" customHeight="true" outlineLevel="0" collapsed="false">
      <c r="A1224" s="7" t="str">
        <f aca="false">TRIM(customer_churn_dataset!A1224)</f>
        <v>CUST100618</v>
      </c>
      <c r="B1224" s="7" t="str">
        <f aca="false">PROPER(TRIM(customer_churn_dataset!B1224))</f>
        <v>Premium</v>
      </c>
      <c r="C1224" s="7" t="str">
        <f aca="false">PROPER(TRIM(customer_churn_dataset!C1224))</f>
        <v>One Year</v>
      </c>
      <c r="D1224" s="7" t="n">
        <f aca="false">IF(ISBLANK(customer_churn_dataset!D1224),ROUND(MEDIAN(customer_churn_dataset!D$2:D$1501),2),IF(customer_churn_dataset!D1224&lt;0,ABS(customer_churn_dataset!D1224),customer_churn_dataset!D1224))</f>
        <v>39.56</v>
      </c>
      <c r="E1224" s="7" t="n">
        <f aca="false">IF(ISBLANK(customer_churn_dataset!E1224),0,MAX(0,customer_churn_dataset!E1224))</f>
        <v>25</v>
      </c>
      <c r="F1224" s="8" t="n">
        <f aca="false">IF(ISBLANK(customer_churn_dataset!F1224),"",customer_churn_dataset!F1224)</f>
        <v>45440</v>
      </c>
      <c r="G1224" s="7" t="str">
        <f aca="false">PROPER(TRIM(customer_churn_dataset!G1224))</f>
        <v>Bank Transfer</v>
      </c>
      <c r="H1224" s="7" t="n">
        <f aca="false">IF(ISBLANK(customer_churn_dataset!H1224),0,customer_churn_dataset!H1224)</f>
        <v>1</v>
      </c>
      <c r="I1224" s="7" t="n">
        <f aca="false">IF(ISBLANK(customer_churn_dataset!I1224),ROUND(MEDIAN(customer_churn_dataset!I$2:I$1501),1),MIN(100,MAX(0,customer_churn_dataset!I1224)))</f>
        <v>55</v>
      </c>
      <c r="J1224" s="7" t="n">
        <f aca="false">IF(ISBLANK(customer_churn_dataset!J1224),0,MAX(0,customer_churn_dataset!J1224))</f>
        <v>13</v>
      </c>
      <c r="K1224" s="7" t="n">
        <f aca="false">IF(ISBLANK(customer_churn_dataset!K1224),0,MIN(10,MAX(0,customer_churn_dataset!K1224)))</f>
        <v>4</v>
      </c>
      <c r="L1224" s="7" t="n">
        <f aca="false">IF(ISBLANK(customer_churn_dataset!L1224),0,MAX(0,customer_churn_dataset!L1224))</f>
        <v>0</v>
      </c>
      <c r="M1224" s="7" t="n">
        <f aca="false">IF(ISBLANK(customer_churn_dataset!M1224),0,customer_churn_dataset!M1224)</f>
        <v>0</v>
      </c>
      <c r="N1224" s="7" t="n">
        <f aca="false">IF(ISBLANK(customer_churn_dataset!N1224),0,MAX(0,customer_churn_dataset!N1224))</f>
        <v>989</v>
      </c>
      <c r="O1224" s="7" t="n">
        <f aca="false">IF(ISBLANK(customer_churn_dataset!O1224),0,customer_churn_dataset!O1224)</f>
        <v>1</v>
      </c>
      <c r="P1224" s="7" t="str">
        <f aca="false">IF(COUNTIF(customer_churn_dataset!$A$2:$A$1501,customer_churn_dataset!A1224)&gt;1,"Duplicate","Unique")</f>
        <v>Unique</v>
      </c>
    </row>
    <row r="1225" customFormat="false" ht="14.15" hidden="false" customHeight="true" outlineLevel="0" collapsed="false">
      <c r="A1225" s="7" t="str">
        <f aca="false">TRIM(customer_churn_dataset!A1225)</f>
        <v>CUST100016</v>
      </c>
      <c r="B1225" s="7" t="str">
        <f aca="false">PROPER(TRIM(customer_churn_dataset!B1225))</f>
        <v>Basic</v>
      </c>
      <c r="C1225" s="7" t="str">
        <f aca="false">PROPER(TRIM(customer_churn_dataset!C1225))</f>
        <v>Month-To-Month</v>
      </c>
      <c r="D1225" s="7" t="n">
        <f aca="false">IF(ISBLANK(customer_churn_dataset!D1225),ROUND(MEDIAN(customer_churn_dataset!D$2:D$1501),2),IF(customer_churn_dataset!D1225&lt;0,ABS(customer_churn_dataset!D1225),customer_churn_dataset!D1225))</f>
        <v>8.3</v>
      </c>
      <c r="E1225" s="7" t="n">
        <f aca="false">IF(ISBLANK(customer_churn_dataset!E1225),0,MAX(0,customer_churn_dataset!E1225))</f>
        <v>35</v>
      </c>
      <c r="F1225" s="8" t="n">
        <f aca="false">IF(ISBLANK(customer_churn_dataset!F1225),"",customer_churn_dataset!F1225)</f>
        <v>45442</v>
      </c>
      <c r="G1225" s="7" t="str">
        <f aca="false">PROPER(TRIM(customer_churn_dataset!G1225))</f>
        <v>Credit Card</v>
      </c>
      <c r="H1225" s="7" t="n">
        <f aca="false">IF(ISBLANK(customer_churn_dataset!H1225),0,customer_churn_dataset!H1225)</f>
        <v>0</v>
      </c>
      <c r="I1225" s="7" t="n">
        <f aca="false">IF(ISBLANK(customer_churn_dataset!I1225),ROUND(MEDIAN(customer_churn_dataset!I$2:I$1501),1),MIN(100,MAX(0,customer_churn_dataset!I1225)))</f>
        <v>55.2</v>
      </c>
      <c r="J1225" s="7" t="n">
        <f aca="false">IF(ISBLANK(customer_churn_dataset!J1225),0,MAX(0,customer_churn_dataset!J1225))</f>
        <v>14</v>
      </c>
      <c r="K1225" s="7" t="n">
        <f aca="false">IF(ISBLANK(customer_churn_dataset!K1225),0,MIN(10,MAX(0,customer_churn_dataset!K1225)))</f>
        <v>7</v>
      </c>
      <c r="L1225" s="7" t="n">
        <f aca="false">IF(ISBLANK(customer_churn_dataset!L1225),0,MAX(0,customer_churn_dataset!L1225))</f>
        <v>1</v>
      </c>
      <c r="M1225" s="7" t="n">
        <f aca="false">IF(ISBLANK(customer_churn_dataset!M1225),0,customer_churn_dataset!M1225)</f>
        <v>0</v>
      </c>
      <c r="N1225" s="7" t="n">
        <f aca="false">IF(ISBLANK(customer_churn_dataset!N1225),0,MAX(0,customer_churn_dataset!N1225))</f>
        <v>290.5</v>
      </c>
      <c r="O1225" s="7" t="n">
        <f aca="false">IF(ISBLANK(customer_churn_dataset!O1225),0,customer_churn_dataset!O1225)</f>
        <v>0</v>
      </c>
      <c r="P1225" s="7" t="str">
        <f aca="false">IF(COUNTIF(customer_churn_dataset!$A$2:$A$1501,customer_churn_dataset!A1225)&gt;1,"Duplicate","Unique")</f>
        <v>Unique</v>
      </c>
    </row>
    <row r="1226" customFormat="false" ht="14.15" hidden="false" customHeight="true" outlineLevel="0" collapsed="false">
      <c r="A1226" s="7" t="str">
        <f aca="false">TRIM(customer_churn_dataset!A1226)</f>
        <v>CUST100597</v>
      </c>
      <c r="B1226" s="7" t="str">
        <f aca="false">PROPER(TRIM(customer_churn_dataset!B1226))</f>
        <v>Basic</v>
      </c>
      <c r="C1226" s="7" t="str">
        <f aca="false">PROPER(TRIM(customer_churn_dataset!C1226))</f>
        <v>One Year</v>
      </c>
      <c r="D1226" s="7" t="n">
        <f aca="false">IF(ISBLANK(customer_churn_dataset!D1226),ROUND(MEDIAN(customer_churn_dataset!D$2:D$1501),2),IF(customer_churn_dataset!D1226&lt;0,ABS(customer_churn_dataset!D1226),customer_churn_dataset!D1226))</f>
        <v>10.94</v>
      </c>
      <c r="E1226" s="7" t="n">
        <f aca="false">IF(ISBLANK(customer_churn_dataset!E1226),0,MAX(0,customer_churn_dataset!E1226))</f>
        <v>8</v>
      </c>
      <c r="F1226" s="8" t="n">
        <f aca="false">IF(ISBLANK(customer_churn_dataset!F1226),"",customer_churn_dataset!F1226)</f>
        <v>45442</v>
      </c>
      <c r="G1226" s="7" t="str">
        <f aca="false">PROPER(TRIM(customer_churn_dataset!G1226))</f>
        <v>Paypal</v>
      </c>
      <c r="H1226" s="7" t="n">
        <f aca="false">IF(ISBLANK(customer_churn_dataset!H1226),0,customer_churn_dataset!H1226)</f>
        <v>0</v>
      </c>
      <c r="I1226" s="7" t="n">
        <f aca="false">IF(ISBLANK(customer_churn_dataset!I1226),ROUND(MEDIAN(customer_churn_dataset!I$2:I$1501),1),MIN(100,MAX(0,customer_churn_dataset!I1226)))</f>
        <v>86.4</v>
      </c>
      <c r="J1226" s="7" t="n">
        <f aca="false">IF(ISBLANK(customer_churn_dataset!J1226),0,MAX(0,customer_churn_dataset!J1226))</f>
        <v>27</v>
      </c>
      <c r="K1226" s="7" t="n">
        <f aca="false">IF(ISBLANK(customer_churn_dataset!K1226),0,MIN(10,MAX(0,customer_churn_dataset!K1226)))</f>
        <v>9</v>
      </c>
      <c r="L1226" s="7" t="n">
        <f aca="false">IF(ISBLANK(customer_churn_dataset!L1226),0,MAX(0,customer_churn_dataset!L1226))</f>
        <v>2</v>
      </c>
      <c r="M1226" s="7" t="n">
        <f aca="false">IF(ISBLANK(customer_churn_dataset!M1226),0,customer_churn_dataset!M1226)</f>
        <v>0</v>
      </c>
      <c r="N1226" s="7" t="n">
        <f aca="false">IF(ISBLANK(customer_churn_dataset!N1226),0,MAX(0,customer_churn_dataset!N1226))</f>
        <v>87.52</v>
      </c>
      <c r="O1226" s="7" t="n">
        <f aca="false">IF(ISBLANK(customer_churn_dataset!O1226),0,customer_churn_dataset!O1226)</f>
        <v>0</v>
      </c>
      <c r="P1226" s="7" t="str">
        <f aca="false">IF(COUNTIF(customer_churn_dataset!$A$2:$A$1501,customer_churn_dataset!A1226)&gt;1,"Duplicate","Unique")</f>
        <v>Unique</v>
      </c>
    </row>
    <row r="1227" customFormat="false" ht="14.15" hidden="false" customHeight="true" outlineLevel="0" collapsed="false">
      <c r="A1227" s="7" t="str">
        <f aca="false">TRIM(customer_churn_dataset!A1227)</f>
        <v>CUST100717</v>
      </c>
      <c r="B1227" s="7" t="str">
        <f aca="false">PROPER(TRIM(customer_churn_dataset!B1227))</f>
        <v>Premium</v>
      </c>
      <c r="C1227" s="7" t="str">
        <f aca="false">PROPER(TRIM(customer_churn_dataset!C1227))</f>
        <v>One Year</v>
      </c>
      <c r="D1227" s="7" t="n">
        <f aca="false">IF(ISBLANK(customer_churn_dataset!D1227),ROUND(MEDIAN(customer_churn_dataset!D$2:D$1501),2),IF(customer_churn_dataset!D1227&lt;0,ABS(customer_churn_dataset!D1227),customer_churn_dataset!D1227))</f>
        <v>39.78</v>
      </c>
      <c r="E1227" s="7" t="n">
        <f aca="false">IF(ISBLANK(customer_churn_dataset!E1227),0,MAX(0,customer_churn_dataset!E1227))</f>
        <v>26</v>
      </c>
      <c r="F1227" s="8" t="n">
        <f aca="false">IF(ISBLANK(customer_churn_dataset!F1227),"",customer_churn_dataset!F1227)</f>
        <v>45443</v>
      </c>
      <c r="G1227" s="7" t="str">
        <f aca="false">PROPER(TRIM(customer_churn_dataset!G1227))</f>
        <v>Paypal</v>
      </c>
      <c r="H1227" s="7" t="n">
        <f aca="false">IF(ISBLANK(customer_churn_dataset!H1227),0,customer_churn_dataset!H1227)</f>
        <v>1</v>
      </c>
      <c r="I1227" s="7" t="n">
        <f aca="false">IF(ISBLANK(customer_churn_dataset!I1227),ROUND(MEDIAN(customer_churn_dataset!I$2:I$1501),1),MIN(100,MAX(0,customer_churn_dataset!I1227)))</f>
        <v>100</v>
      </c>
      <c r="J1227" s="7" t="n">
        <f aca="false">IF(ISBLANK(customer_churn_dataset!J1227),0,MAX(0,customer_churn_dataset!J1227))</f>
        <v>30</v>
      </c>
      <c r="K1227" s="7" t="n">
        <f aca="false">IF(ISBLANK(customer_churn_dataset!K1227),0,MIN(10,MAX(0,customer_churn_dataset!K1227)))</f>
        <v>9</v>
      </c>
      <c r="L1227" s="7" t="n">
        <f aca="false">IF(ISBLANK(customer_churn_dataset!L1227),0,MAX(0,customer_churn_dataset!L1227))</f>
        <v>0</v>
      </c>
      <c r="M1227" s="7" t="n">
        <f aca="false">IF(ISBLANK(customer_churn_dataset!M1227),0,customer_churn_dataset!M1227)</f>
        <v>0</v>
      </c>
      <c r="N1227" s="7" t="n">
        <f aca="false">IF(ISBLANK(customer_churn_dataset!N1227),0,MAX(0,customer_churn_dataset!N1227))</f>
        <v>1034.28</v>
      </c>
      <c r="O1227" s="7" t="n">
        <f aca="false">IF(ISBLANK(customer_churn_dataset!O1227),0,customer_churn_dataset!O1227)</f>
        <v>0</v>
      </c>
      <c r="P1227" s="7" t="str">
        <f aca="false">IF(COUNTIF(customer_churn_dataset!$A$2:$A$1501,customer_churn_dataset!A1227)&gt;1,"Duplicate","Unique")</f>
        <v>Unique</v>
      </c>
    </row>
    <row r="1228" customFormat="false" ht="14.15" hidden="false" customHeight="true" outlineLevel="0" collapsed="false">
      <c r="A1228" s="7" t="str">
        <f aca="false">TRIM(customer_churn_dataset!A1228)</f>
        <v>CUST100609</v>
      </c>
      <c r="B1228" s="7" t="str">
        <f aca="false">PROPER(TRIM(customer_churn_dataset!B1228))</f>
        <v>Standard</v>
      </c>
      <c r="C1228" s="7" t="str">
        <f aca="false">PROPER(TRIM(customer_churn_dataset!C1228))</f>
        <v>Two Year</v>
      </c>
      <c r="D1228" s="7" t="n">
        <f aca="false">IF(ISBLANK(customer_churn_dataset!D1228),ROUND(MEDIAN(customer_churn_dataset!D$2:D$1501),2),IF(customer_churn_dataset!D1228&lt;0,ABS(customer_churn_dataset!D1228),customer_churn_dataset!D1228))</f>
        <v>20.54</v>
      </c>
      <c r="E1228" s="7" t="n">
        <f aca="false">IF(ISBLANK(customer_churn_dataset!E1228),0,MAX(0,customer_churn_dataset!E1228))</f>
        <v>11</v>
      </c>
      <c r="F1228" s="8" t="n">
        <f aca="false">IF(ISBLANK(customer_churn_dataset!F1228),"",customer_churn_dataset!F1228)</f>
        <v>45443</v>
      </c>
      <c r="G1228" s="7" t="str">
        <f aca="false">PROPER(TRIM(customer_churn_dataset!G1228))</f>
        <v>Credit Card</v>
      </c>
      <c r="H1228" s="7" t="n">
        <f aca="false">IF(ISBLANK(customer_churn_dataset!H1228),0,customer_churn_dataset!H1228)</f>
        <v>1</v>
      </c>
      <c r="I1228" s="7" t="n">
        <f aca="false">IF(ISBLANK(customer_churn_dataset!I1228),ROUND(MEDIAN(customer_churn_dataset!I$2:I$1501),1),MIN(100,MAX(0,customer_churn_dataset!I1228)))</f>
        <v>28.9</v>
      </c>
      <c r="J1228" s="7" t="n">
        <f aca="false">IF(ISBLANK(customer_churn_dataset!J1228),0,MAX(0,customer_churn_dataset!J1228))</f>
        <v>8</v>
      </c>
      <c r="K1228" s="7" t="n">
        <f aca="false">IF(ISBLANK(customer_churn_dataset!K1228),0,MIN(10,MAX(0,customer_churn_dataset!K1228)))</f>
        <v>3</v>
      </c>
      <c r="L1228" s="7" t="n">
        <f aca="false">IF(ISBLANK(customer_churn_dataset!L1228),0,MAX(0,customer_churn_dataset!L1228))</f>
        <v>4</v>
      </c>
      <c r="M1228" s="7" t="n">
        <f aca="false">IF(ISBLANK(customer_churn_dataset!M1228),0,customer_churn_dataset!M1228)</f>
        <v>1</v>
      </c>
      <c r="N1228" s="7" t="n">
        <f aca="false">IF(ISBLANK(customer_churn_dataset!N1228),0,MAX(0,customer_churn_dataset!N1228))</f>
        <v>225.94</v>
      </c>
      <c r="O1228" s="7" t="n">
        <f aca="false">IF(ISBLANK(customer_churn_dataset!O1228),0,customer_churn_dataset!O1228)</f>
        <v>1</v>
      </c>
      <c r="P1228" s="7" t="str">
        <f aca="false">IF(COUNTIF(customer_churn_dataset!$A$2:$A$1501,customer_churn_dataset!A1228)&gt;1,"Duplicate","Unique")</f>
        <v>Unique</v>
      </c>
    </row>
    <row r="1229" customFormat="false" ht="14.15" hidden="false" customHeight="true" outlineLevel="0" collapsed="false">
      <c r="A1229" s="7" t="str">
        <f aca="false">TRIM(customer_churn_dataset!A1229)</f>
        <v>CUST101395</v>
      </c>
      <c r="B1229" s="7" t="str">
        <f aca="false">PROPER(TRIM(customer_churn_dataset!B1229))</f>
        <v>Premium</v>
      </c>
      <c r="C1229" s="7" t="str">
        <f aca="false">PROPER(TRIM(customer_churn_dataset!C1229))</f>
        <v>Two Year</v>
      </c>
      <c r="D1229" s="7" t="n">
        <f aca="false">IF(ISBLANK(customer_churn_dataset!D1229),ROUND(MEDIAN(customer_churn_dataset!D$2:D$1501),2),IF(customer_churn_dataset!D1229&lt;0,ABS(customer_churn_dataset!D1229),customer_churn_dataset!D1229))</f>
        <v>40.52</v>
      </c>
      <c r="E1229" s="7" t="n">
        <f aca="false">IF(ISBLANK(customer_churn_dataset!E1229),0,MAX(0,customer_churn_dataset!E1229))</f>
        <v>41</v>
      </c>
      <c r="F1229" s="8" t="n">
        <f aca="false">IF(ISBLANK(customer_churn_dataset!F1229),"",customer_churn_dataset!F1229)</f>
        <v>45444</v>
      </c>
      <c r="G1229" s="7" t="str">
        <f aca="false">PROPER(TRIM(customer_churn_dataset!G1229))</f>
        <v>Credit Card</v>
      </c>
      <c r="H1229" s="7" t="n">
        <f aca="false">IF(ISBLANK(customer_churn_dataset!H1229),0,customer_churn_dataset!H1229)</f>
        <v>1</v>
      </c>
      <c r="I1229" s="7" t="n">
        <f aca="false">IF(ISBLANK(customer_churn_dataset!I1229),ROUND(MEDIAN(customer_churn_dataset!I$2:I$1501),1),MIN(100,MAX(0,customer_churn_dataset!I1229)))</f>
        <v>41.8</v>
      </c>
      <c r="J1229" s="7" t="n">
        <f aca="false">IF(ISBLANK(customer_churn_dataset!J1229),0,MAX(0,customer_churn_dataset!J1229))</f>
        <v>13</v>
      </c>
      <c r="K1229" s="7" t="n">
        <f aca="false">IF(ISBLANK(customer_churn_dataset!K1229),0,MIN(10,MAX(0,customer_churn_dataset!K1229)))</f>
        <v>5</v>
      </c>
      <c r="L1229" s="7" t="n">
        <f aca="false">IF(ISBLANK(customer_churn_dataset!L1229),0,MAX(0,customer_churn_dataset!L1229))</f>
        <v>2</v>
      </c>
      <c r="M1229" s="7" t="n">
        <f aca="false">IF(ISBLANK(customer_churn_dataset!M1229),0,customer_churn_dataset!M1229)</f>
        <v>0</v>
      </c>
      <c r="N1229" s="7" t="n">
        <f aca="false">IF(ISBLANK(customer_churn_dataset!N1229),0,MAX(0,customer_churn_dataset!N1229))</f>
        <v>1661.32</v>
      </c>
      <c r="O1229" s="7" t="n">
        <f aca="false">IF(ISBLANK(customer_churn_dataset!O1229),0,customer_churn_dataset!O1229)</f>
        <v>0</v>
      </c>
      <c r="P1229" s="7" t="str">
        <f aca="false">IF(COUNTIF(customer_churn_dataset!$A$2:$A$1501,customer_churn_dataset!A1229)&gt;1,"Duplicate","Unique")</f>
        <v>Unique</v>
      </c>
    </row>
    <row r="1230" customFormat="false" ht="14.15" hidden="false" customHeight="true" outlineLevel="0" collapsed="false">
      <c r="A1230" s="7" t="str">
        <f aca="false">TRIM(customer_churn_dataset!A1230)</f>
        <v>CUST101271</v>
      </c>
      <c r="B1230" s="7" t="str">
        <f aca="false">PROPER(TRIM(customer_churn_dataset!B1230))</f>
        <v>Premium</v>
      </c>
      <c r="C1230" s="7" t="str">
        <f aca="false">PROPER(TRIM(customer_churn_dataset!C1230))</f>
        <v>One Year</v>
      </c>
      <c r="D1230" s="7" t="n">
        <f aca="false">IF(ISBLANK(customer_churn_dataset!D1230),ROUND(MEDIAN(customer_churn_dataset!D$2:D$1501),2),IF(customer_churn_dataset!D1230&lt;0,ABS(customer_churn_dataset!D1230),customer_churn_dataset!D1230))</f>
        <v>38.97</v>
      </c>
      <c r="E1230" s="7" t="n">
        <f aca="false">IF(ISBLANK(customer_churn_dataset!E1230),0,MAX(0,customer_churn_dataset!E1230))</f>
        <v>59</v>
      </c>
      <c r="F1230" s="8" t="n">
        <f aca="false">IF(ISBLANK(customer_churn_dataset!F1230),"",customer_churn_dataset!F1230)</f>
        <v>45447</v>
      </c>
      <c r="G1230" s="7" t="str">
        <f aca="false">PROPER(TRIM(customer_churn_dataset!G1230))</f>
        <v>Paypal</v>
      </c>
      <c r="H1230" s="7" t="n">
        <f aca="false">IF(ISBLANK(customer_churn_dataset!H1230),0,customer_churn_dataset!H1230)</f>
        <v>1</v>
      </c>
      <c r="I1230" s="7" t="n">
        <f aca="false">IF(ISBLANK(customer_churn_dataset!I1230),ROUND(MEDIAN(customer_churn_dataset!I$2:I$1501),1),MIN(100,MAX(0,customer_churn_dataset!I1230)))</f>
        <v>48.9</v>
      </c>
      <c r="J1230" s="7" t="n">
        <f aca="false">IF(ISBLANK(customer_churn_dataset!J1230),0,MAX(0,customer_churn_dataset!J1230))</f>
        <v>21</v>
      </c>
      <c r="K1230" s="7" t="n">
        <f aca="false">IF(ISBLANK(customer_churn_dataset!K1230),0,MIN(10,MAX(0,customer_churn_dataset!K1230)))</f>
        <v>5</v>
      </c>
      <c r="L1230" s="7" t="n">
        <f aca="false">IF(ISBLANK(customer_churn_dataset!L1230),0,MAX(0,customer_churn_dataset!L1230))</f>
        <v>2</v>
      </c>
      <c r="M1230" s="7" t="n">
        <f aca="false">IF(ISBLANK(customer_churn_dataset!M1230),0,customer_churn_dataset!M1230)</f>
        <v>1</v>
      </c>
      <c r="N1230" s="7" t="n">
        <f aca="false">IF(ISBLANK(customer_churn_dataset!N1230),0,MAX(0,customer_churn_dataset!N1230))</f>
        <v>2299.23</v>
      </c>
      <c r="O1230" s="7" t="n">
        <f aca="false">IF(ISBLANK(customer_churn_dataset!O1230),0,customer_churn_dataset!O1230)</f>
        <v>0</v>
      </c>
      <c r="P1230" s="7" t="str">
        <f aca="false">IF(COUNTIF(customer_churn_dataset!$A$2:$A$1501,customer_churn_dataset!A1230)&gt;1,"Duplicate","Unique")</f>
        <v>Unique</v>
      </c>
    </row>
    <row r="1231" customFormat="false" ht="14.15" hidden="false" customHeight="true" outlineLevel="0" collapsed="false">
      <c r="A1231" s="7" t="str">
        <f aca="false">TRIM(customer_churn_dataset!A1231)</f>
        <v>CUST101374</v>
      </c>
      <c r="B1231" s="7" t="str">
        <f aca="false">PROPER(TRIM(customer_churn_dataset!B1231))</f>
        <v>Basic</v>
      </c>
      <c r="C1231" s="7" t="str">
        <f aca="false">PROPER(TRIM(customer_churn_dataset!C1231))</f>
        <v>One Year</v>
      </c>
      <c r="D1231" s="7" t="n">
        <f aca="false">IF(ISBLANK(customer_churn_dataset!D1231),ROUND(MEDIAN(customer_churn_dataset!D$2:D$1501),2),IF(customer_churn_dataset!D1231&lt;0,ABS(customer_churn_dataset!D1231),customer_churn_dataset!D1231))</f>
        <v>9.57</v>
      </c>
      <c r="E1231" s="7" t="n">
        <f aca="false">IF(ISBLANK(customer_churn_dataset!E1231),0,MAX(0,customer_churn_dataset!E1231))</f>
        <v>55</v>
      </c>
      <c r="F1231" s="8" t="n">
        <f aca="false">IF(ISBLANK(customer_churn_dataset!F1231),"",customer_churn_dataset!F1231)</f>
        <v>45447</v>
      </c>
      <c r="G1231" s="7" t="str">
        <f aca="false">PROPER(TRIM(customer_churn_dataset!G1231))</f>
        <v>Paypal</v>
      </c>
      <c r="H1231" s="7" t="n">
        <f aca="false">IF(ISBLANK(customer_churn_dataset!H1231),0,customer_churn_dataset!H1231)</f>
        <v>1</v>
      </c>
      <c r="I1231" s="7" t="n">
        <f aca="false">IF(ISBLANK(customer_churn_dataset!I1231),ROUND(MEDIAN(customer_churn_dataset!I$2:I$1501),1),MIN(100,MAX(0,customer_churn_dataset!I1231)))</f>
        <v>40.3</v>
      </c>
      <c r="J1231" s="7" t="n">
        <f aca="false">IF(ISBLANK(customer_churn_dataset!J1231),0,MAX(0,customer_churn_dataset!J1231))</f>
        <v>20</v>
      </c>
      <c r="K1231" s="7" t="n">
        <f aca="false">IF(ISBLANK(customer_churn_dataset!K1231),0,MIN(10,MAX(0,customer_churn_dataset!K1231)))</f>
        <v>2</v>
      </c>
      <c r="L1231" s="7" t="n">
        <f aca="false">IF(ISBLANK(customer_churn_dataset!L1231),0,MAX(0,customer_churn_dataset!L1231))</f>
        <v>0</v>
      </c>
      <c r="M1231" s="7" t="n">
        <f aca="false">IF(ISBLANK(customer_churn_dataset!M1231),0,customer_churn_dataset!M1231)</f>
        <v>0</v>
      </c>
      <c r="N1231" s="7" t="n">
        <f aca="false">IF(ISBLANK(customer_churn_dataset!N1231),0,MAX(0,customer_churn_dataset!N1231))</f>
        <v>526.35</v>
      </c>
      <c r="O1231" s="7" t="n">
        <f aca="false">IF(ISBLANK(customer_churn_dataset!O1231),0,customer_churn_dataset!O1231)</f>
        <v>0</v>
      </c>
      <c r="P1231" s="7" t="str">
        <f aca="false">IF(COUNTIF(customer_churn_dataset!$A$2:$A$1501,customer_churn_dataset!A1231)&gt;1,"Duplicate","Unique")</f>
        <v>Unique</v>
      </c>
    </row>
    <row r="1232" customFormat="false" ht="14.15" hidden="false" customHeight="true" outlineLevel="0" collapsed="false">
      <c r="A1232" s="7" t="str">
        <f aca="false">TRIM(customer_churn_dataset!A1232)</f>
        <v>CUST100303</v>
      </c>
      <c r="B1232" s="7" t="str">
        <f aca="false">PROPER(TRIM(customer_churn_dataset!B1232))</f>
        <v>Standard</v>
      </c>
      <c r="C1232" s="7" t="str">
        <f aca="false">PROPER(TRIM(customer_churn_dataset!C1232))</f>
        <v>Month-To-Month</v>
      </c>
      <c r="D1232" s="7" t="n">
        <f aca="false">IF(ISBLANK(customer_churn_dataset!D1232),ROUND(MEDIAN(customer_churn_dataset!D$2:D$1501),2),IF(customer_churn_dataset!D1232&lt;0,ABS(customer_churn_dataset!D1232),customer_churn_dataset!D1232))</f>
        <v>19.14</v>
      </c>
      <c r="E1232" s="7" t="n">
        <f aca="false">IF(ISBLANK(customer_churn_dataset!E1232),0,MAX(0,customer_churn_dataset!E1232))</f>
        <v>32</v>
      </c>
      <c r="F1232" s="8" t="n">
        <f aca="false">IF(ISBLANK(customer_churn_dataset!F1232),"",customer_churn_dataset!F1232)</f>
        <v>45447</v>
      </c>
      <c r="G1232" s="7" t="str">
        <f aca="false">PROPER(TRIM(customer_churn_dataset!G1232))</f>
        <v>Credit Card</v>
      </c>
      <c r="H1232" s="7" t="n">
        <f aca="false">IF(ISBLANK(customer_churn_dataset!H1232),0,customer_churn_dataset!H1232)</f>
        <v>1</v>
      </c>
      <c r="I1232" s="7" t="n">
        <f aca="false">IF(ISBLANK(customer_churn_dataset!I1232),ROUND(MEDIAN(customer_churn_dataset!I$2:I$1501),1),MIN(100,MAX(0,customer_churn_dataset!I1232)))</f>
        <v>27.6</v>
      </c>
      <c r="J1232" s="7" t="n">
        <f aca="false">IF(ISBLANK(customer_churn_dataset!J1232),0,MAX(0,customer_churn_dataset!J1232))</f>
        <v>11</v>
      </c>
      <c r="K1232" s="7" t="n">
        <f aca="false">IF(ISBLANK(customer_churn_dataset!K1232),0,MIN(10,MAX(0,customer_churn_dataset!K1232)))</f>
        <v>1</v>
      </c>
      <c r="L1232" s="7" t="n">
        <f aca="false">IF(ISBLANK(customer_churn_dataset!L1232),0,MAX(0,customer_churn_dataset!L1232))</f>
        <v>5</v>
      </c>
      <c r="M1232" s="7" t="n">
        <f aca="false">IF(ISBLANK(customer_churn_dataset!M1232),0,customer_churn_dataset!M1232)</f>
        <v>1</v>
      </c>
      <c r="N1232" s="7" t="n">
        <f aca="false">IF(ISBLANK(customer_churn_dataset!N1232),0,MAX(0,customer_churn_dataset!N1232))</f>
        <v>612.48</v>
      </c>
      <c r="O1232" s="7" t="n">
        <f aca="false">IF(ISBLANK(customer_churn_dataset!O1232),0,customer_churn_dataset!O1232)</f>
        <v>1</v>
      </c>
      <c r="P1232" s="7" t="str">
        <f aca="false">IF(COUNTIF(customer_churn_dataset!$A$2:$A$1501,customer_churn_dataset!A1232)&gt;1,"Duplicate","Unique")</f>
        <v>Unique</v>
      </c>
    </row>
    <row r="1233" customFormat="false" ht="14.15" hidden="false" customHeight="true" outlineLevel="0" collapsed="false">
      <c r="A1233" s="7" t="str">
        <f aca="false">TRIM(customer_churn_dataset!A1233)</f>
        <v>CUST100914</v>
      </c>
      <c r="B1233" s="7" t="str">
        <f aca="false">PROPER(TRIM(customer_churn_dataset!B1233))</f>
        <v>Standard</v>
      </c>
      <c r="C1233" s="7" t="str">
        <f aca="false">PROPER(TRIM(customer_churn_dataset!C1233))</f>
        <v>Month-To-Month</v>
      </c>
      <c r="D1233" s="7" t="n">
        <f aca="false">IF(ISBLANK(customer_churn_dataset!D1233),ROUND(MEDIAN(customer_churn_dataset!D$2:D$1501),2),IF(customer_churn_dataset!D1233&lt;0,ABS(customer_churn_dataset!D1233),customer_churn_dataset!D1233))</f>
        <v>19.37</v>
      </c>
      <c r="E1233" s="7" t="n">
        <f aca="false">IF(ISBLANK(customer_churn_dataset!E1233),0,MAX(0,customer_churn_dataset!E1233))</f>
        <v>23</v>
      </c>
      <c r="F1233" s="8" t="n">
        <f aca="false">IF(ISBLANK(customer_churn_dataset!F1233),"",customer_churn_dataset!F1233)</f>
        <v>45448</v>
      </c>
      <c r="G1233" s="7" t="str">
        <f aca="false">PROPER(TRIM(customer_churn_dataset!G1233))</f>
        <v>Paypal</v>
      </c>
      <c r="H1233" s="7" t="n">
        <f aca="false">IF(ISBLANK(customer_churn_dataset!H1233),0,customer_churn_dataset!H1233)</f>
        <v>1</v>
      </c>
      <c r="I1233" s="7" t="n">
        <f aca="false">IF(ISBLANK(customer_churn_dataset!I1233),ROUND(MEDIAN(customer_churn_dataset!I$2:I$1501),1),MIN(100,MAX(0,customer_churn_dataset!I1233)))</f>
        <v>76.2</v>
      </c>
      <c r="J1233" s="7" t="n">
        <f aca="false">IF(ISBLANK(customer_churn_dataset!J1233),0,MAX(0,customer_churn_dataset!J1233))</f>
        <v>23</v>
      </c>
      <c r="K1233" s="7" t="n">
        <f aca="false">IF(ISBLANK(customer_churn_dataset!K1233),0,MIN(10,MAX(0,customer_churn_dataset!K1233)))</f>
        <v>7</v>
      </c>
      <c r="L1233" s="7" t="n">
        <f aca="false">IF(ISBLANK(customer_churn_dataset!L1233),0,MAX(0,customer_churn_dataset!L1233))</f>
        <v>0</v>
      </c>
      <c r="M1233" s="7" t="n">
        <f aca="false">IF(ISBLANK(customer_churn_dataset!M1233),0,customer_churn_dataset!M1233)</f>
        <v>0</v>
      </c>
      <c r="N1233" s="7" t="n">
        <f aca="false">IF(ISBLANK(customer_churn_dataset!N1233),0,MAX(0,customer_churn_dataset!N1233))</f>
        <v>445.51</v>
      </c>
      <c r="O1233" s="7" t="n">
        <f aca="false">IF(ISBLANK(customer_churn_dataset!O1233),0,customer_churn_dataset!O1233)</f>
        <v>0</v>
      </c>
      <c r="P1233" s="7" t="str">
        <f aca="false">IF(COUNTIF(customer_churn_dataset!$A$2:$A$1501,customer_churn_dataset!A1233)&gt;1,"Duplicate","Unique")</f>
        <v>Unique</v>
      </c>
    </row>
    <row r="1234" customFormat="false" ht="14.15" hidden="false" customHeight="true" outlineLevel="0" collapsed="false">
      <c r="A1234" s="7" t="str">
        <f aca="false">TRIM(customer_churn_dataset!A1234)</f>
        <v>CUST101420</v>
      </c>
      <c r="B1234" s="7" t="str">
        <f aca="false">PROPER(TRIM(customer_churn_dataset!B1234))</f>
        <v>Basic</v>
      </c>
      <c r="C1234" s="7" t="str">
        <f aca="false">PROPER(TRIM(customer_churn_dataset!C1234))</f>
        <v>Two Year</v>
      </c>
      <c r="D1234" s="7" t="n">
        <f aca="false">IF(ISBLANK(customer_churn_dataset!D1234),ROUND(MEDIAN(customer_churn_dataset!D$2:D$1501),2),IF(customer_churn_dataset!D1234&lt;0,ABS(customer_churn_dataset!D1234),customer_churn_dataset!D1234))</f>
        <v>10.36</v>
      </c>
      <c r="E1234" s="7" t="n">
        <f aca="false">IF(ISBLANK(customer_churn_dataset!E1234),0,MAX(0,customer_churn_dataset!E1234))</f>
        <v>44</v>
      </c>
      <c r="F1234" s="8" t="n">
        <f aca="false">IF(ISBLANK(customer_churn_dataset!F1234),"",customer_churn_dataset!F1234)</f>
        <v>45450</v>
      </c>
      <c r="G1234" s="7" t="str">
        <f aca="false">PROPER(TRIM(customer_churn_dataset!G1234))</f>
        <v>Credit Card</v>
      </c>
      <c r="H1234" s="7" t="n">
        <f aca="false">IF(ISBLANK(customer_churn_dataset!H1234),0,customer_churn_dataset!H1234)</f>
        <v>1</v>
      </c>
      <c r="I1234" s="7" t="n">
        <f aca="false">IF(ISBLANK(customer_churn_dataset!I1234),ROUND(MEDIAN(customer_churn_dataset!I$2:I$1501),1),MIN(100,MAX(0,customer_churn_dataset!I1234)))</f>
        <v>39</v>
      </c>
      <c r="J1234" s="7" t="n">
        <f aca="false">IF(ISBLANK(customer_churn_dataset!J1234),0,MAX(0,customer_churn_dataset!J1234))</f>
        <v>3</v>
      </c>
      <c r="K1234" s="7" t="n">
        <f aca="false">IF(ISBLANK(customer_churn_dataset!K1234),0,MIN(10,MAX(0,customer_churn_dataset!K1234)))</f>
        <v>3</v>
      </c>
      <c r="L1234" s="7" t="n">
        <f aca="false">IF(ISBLANK(customer_churn_dataset!L1234),0,MAX(0,customer_churn_dataset!L1234))</f>
        <v>1</v>
      </c>
      <c r="M1234" s="7" t="n">
        <f aca="false">IF(ISBLANK(customer_churn_dataset!M1234),0,customer_churn_dataset!M1234)</f>
        <v>0</v>
      </c>
      <c r="N1234" s="7" t="n">
        <f aca="false">IF(ISBLANK(customer_churn_dataset!N1234),0,MAX(0,customer_churn_dataset!N1234))</f>
        <v>455.84</v>
      </c>
      <c r="O1234" s="7" t="n">
        <f aca="false">IF(ISBLANK(customer_churn_dataset!O1234),0,customer_churn_dataset!O1234)</f>
        <v>0</v>
      </c>
      <c r="P1234" s="7" t="str">
        <f aca="false">IF(COUNTIF(customer_churn_dataset!$A$2:$A$1501,customer_churn_dataset!A1234)&gt;1,"Duplicate","Unique")</f>
        <v>Unique</v>
      </c>
    </row>
    <row r="1235" customFormat="false" ht="14.15" hidden="false" customHeight="true" outlineLevel="0" collapsed="false">
      <c r="A1235" s="7" t="str">
        <f aca="false">TRIM(customer_churn_dataset!A1235)</f>
        <v>CUST100895</v>
      </c>
      <c r="B1235" s="7" t="str">
        <f aca="false">PROPER(TRIM(customer_churn_dataset!B1235))</f>
        <v>Basic</v>
      </c>
      <c r="C1235" s="7" t="str">
        <f aca="false">PROPER(TRIM(customer_churn_dataset!C1235))</f>
        <v>Two Year</v>
      </c>
      <c r="D1235" s="7" t="n">
        <f aca="false">IF(ISBLANK(customer_churn_dataset!D1235),ROUND(MEDIAN(customer_churn_dataset!D$2:D$1501),2),IF(customer_churn_dataset!D1235&lt;0,ABS(customer_churn_dataset!D1235),customer_churn_dataset!D1235))</f>
        <v>9.17</v>
      </c>
      <c r="E1235" s="7" t="n">
        <f aca="false">IF(ISBLANK(customer_churn_dataset!E1235),0,MAX(0,customer_churn_dataset!E1235))</f>
        <v>60</v>
      </c>
      <c r="F1235" s="8" t="n">
        <f aca="false">IF(ISBLANK(customer_churn_dataset!F1235),"",customer_churn_dataset!F1235)</f>
        <v>45451</v>
      </c>
      <c r="G1235" s="7" t="str">
        <f aca="false">PROPER(TRIM(customer_churn_dataset!G1235))</f>
        <v>Credit Card</v>
      </c>
      <c r="H1235" s="7" t="n">
        <f aca="false">IF(ISBLANK(customer_churn_dataset!H1235),0,customer_churn_dataset!H1235)</f>
        <v>1</v>
      </c>
      <c r="I1235" s="7" t="n">
        <f aca="false">IF(ISBLANK(customer_churn_dataset!I1235),ROUND(MEDIAN(customer_churn_dataset!I$2:I$1501),1),MIN(100,MAX(0,customer_churn_dataset!I1235)))</f>
        <v>20.7</v>
      </c>
      <c r="J1235" s="7" t="n">
        <f aca="false">IF(ISBLANK(customer_churn_dataset!J1235),0,MAX(0,customer_churn_dataset!J1235))</f>
        <v>5</v>
      </c>
      <c r="K1235" s="7" t="n">
        <f aca="false">IF(ISBLANK(customer_churn_dataset!K1235),0,MIN(10,MAX(0,customer_churn_dataset!K1235)))</f>
        <v>4</v>
      </c>
      <c r="L1235" s="7" t="n">
        <f aca="false">IF(ISBLANK(customer_churn_dataset!L1235),0,MAX(0,customer_churn_dataset!L1235))</f>
        <v>3</v>
      </c>
      <c r="M1235" s="7" t="n">
        <f aca="false">IF(ISBLANK(customer_churn_dataset!M1235),0,customer_churn_dataset!M1235)</f>
        <v>0</v>
      </c>
      <c r="N1235" s="7" t="n">
        <f aca="false">IF(ISBLANK(customer_churn_dataset!N1235),0,MAX(0,customer_churn_dataset!N1235))</f>
        <v>550.2</v>
      </c>
      <c r="O1235" s="7" t="n">
        <f aca="false">IF(ISBLANK(customer_churn_dataset!O1235),0,customer_churn_dataset!O1235)</f>
        <v>0</v>
      </c>
      <c r="P1235" s="7" t="str">
        <f aca="false">IF(COUNTIF(customer_churn_dataset!$A$2:$A$1501,customer_churn_dataset!A1235)&gt;1,"Duplicate","Unique")</f>
        <v>Unique</v>
      </c>
    </row>
    <row r="1236" customFormat="false" ht="14.15" hidden="false" customHeight="true" outlineLevel="0" collapsed="false">
      <c r="A1236" s="7" t="str">
        <f aca="false">TRIM(customer_churn_dataset!A1236)</f>
        <v>CUST101216</v>
      </c>
      <c r="B1236" s="7" t="str">
        <f aca="false">PROPER(TRIM(customer_churn_dataset!B1236))</f>
        <v>Basic</v>
      </c>
      <c r="C1236" s="7" t="str">
        <f aca="false">PROPER(TRIM(customer_churn_dataset!C1236))</f>
        <v>One Year</v>
      </c>
      <c r="D1236" s="7" t="n">
        <f aca="false">IF(ISBLANK(customer_churn_dataset!D1236),ROUND(MEDIAN(customer_churn_dataset!D$2:D$1501),2),IF(customer_churn_dataset!D1236&lt;0,ABS(customer_churn_dataset!D1236),customer_churn_dataset!D1236))</f>
        <v>9.63</v>
      </c>
      <c r="E1236" s="7" t="n">
        <f aca="false">IF(ISBLANK(customer_churn_dataset!E1236),0,MAX(0,customer_churn_dataset!E1236))</f>
        <v>10</v>
      </c>
      <c r="F1236" s="8" t="n">
        <f aca="false">IF(ISBLANK(customer_churn_dataset!F1236),"",customer_churn_dataset!F1236)</f>
        <v>45452</v>
      </c>
      <c r="G1236" s="7" t="str">
        <f aca="false">PROPER(TRIM(customer_churn_dataset!G1236))</f>
        <v>Credit Card</v>
      </c>
      <c r="H1236" s="7" t="n">
        <f aca="false">IF(ISBLANK(customer_churn_dataset!H1236),0,customer_churn_dataset!H1236)</f>
        <v>1</v>
      </c>
      <c r="I1236" s="7" t="n">
        <f aca="false">IF(ISBLANK(customer_churn_dataset!I1236),ROUND(MEDIAN(customer_churn_dataset!I$2:I$1501),1),MIN(100,MAX(0,customer_churn_dataset!I1236)))</f>
        <v>70.6</v>
      </c>
      <c r="J1236" s="7" t="n">
        <f aca="false">IF(ISBLANK(customer_churn_dataset!J1236),0,MAX(0,customer_churn_dataset!J1236))</f>
        <v>28</v>
      </c>
      <c r="K1236" s="7" t="n">
        <f aca="false">IF(ISBLANK(customer_churn_dataset!K1236),0,MIN(10,MAX(0,customer_churn_dataset!K1236)))</f>
        <v>9</v>
      </c>
      <c r="L1236" s="7" t="n">
        <f aca="false">IF(ISBLANK(customer_churn_dataset!L1236),0,MAX(0,customer_churn_dataset!L1236))</f>
        <v>1</v>
      </c>
      <c r="M1236" s="7" t="n">
        <f aca="false">IF(ISBLANK(customer_churn_dataset!M1236),0,customer_churn_dataset!M1236)</f>
        <v>0</v>
      </c>
      <c r="N1236" s="7" t="n">
        <f aca="false">IF(ISBLANK(customer_churn_dataset!N1236),0,MAX(0,customer_churn_dataset!N1236))</f>
        <v>96.3</v>
      </c>
      <c r="O1236" s="7" t="n">
        <f aca="false">IF(ISBLANK(customer_churn_dataset!O1236),0,customer_churn_dataset!O1236)</f>
        <v>0</v>
      </c>
      <c r="P1236" s="7" t="str">
        <f aca="false">IF(COUNTIF(customer_churn_dataset!$A$2:$A$1501,customer_churn_dataset!A1236)&gt;1,"Duplicate","Unique")</f>
        <v>Unique</v>
      </c>
    </row>
    <row r="1237" customFormat="false" ht="14.15" hidden="false" customHeight="true" outlineLevel="0" collapsed="false">
      <c r="A1237" s="7" t="str">
        <f aca="false">TRIM(customer_churn_dataset!A1237)</f>
        <v>CUST100044</v>
      </c>
      <c r="B1237" s="7" t="str">
        <f aca="false">PROPER(TRIM(customer_churn_dataset!B1237))</f>
        <v>Basic</v>
      </c>
      <c r="C1237" s="7" t="str">
        <f aca="false">PROPER(TRIM(customer_churn_dataset!C1237))</f>
        <v>Month-To-Month</v>
      </c>
      <c r="D1237" s="7" t="n">
        <f aca="false">IF(ISBLANK(customer_churn_dataset!D1237),ROUND(MEDIAN(customer_churn_dataset!D$2:D$1501),2),IF(customer_churn_dataset!D1237&lt;0,ABS(customer_churn_dataset!D1237),customer_churn_dataset!D1237))</f>
        <v>10.04</v>
      </c>
      <c r="E1237" s="7" t="n">
        <f aca="false">IF(ISBLANK(customer_churn_dataset!E1237),0,MAX(0,customer_churn_dataset!E1237))</f>
        <v>47</v>
      </c>
      <c r="F1237" s="8" t="n">
        <f aca="false">IF(ISBLANK(customer_churn_dataset!F1237),"",customer_churn_dataset!F1237)</f>
        <v>45453</v>
      </c>
      <c r="G1237" s="7" t="str">
        <f aca="false">PROPER(TRIM(customer_churn_dataset!G1237))</f>
        <v>Credit Card</v>
      </c>
      <c r="H1237" s="7" t="n">
        <f aca="false">IF(ISBLANK(customer_churn_dataset!H1237),0,customer_churn_dataset!H1237)</f>
        <v>1</v>
      </c>
      <c r="I1237" s="7" t="n">
        <f aca="false">IF(ISBLANK(customer_churn_dataset!I1237),ROUND(MEDIAN(customer_churn_dataset!I$2:I$1501),1),MIN(100,MAX(0,customer_churn_dataset!I1237)))</f>
        <v>42.9</v>
      </c>
      <c r="J1237" s="7" t="n">
        <f aca="false">IF(ISBLANK(customer_churn_dataset!J1237),0,MAX(0,customer_churn_dataset!J1237))</f>
        <v>14</v>
      </c>
      <c r="K1237" s="7" t="n">
        <f aca="false">IF(ISBLANK(customer_churn_dataset!K1237),0,MIN(10,MAX(0,customer_churn_dataset!K1237)))</f>
        <v>4</v>
      </c>
      <c r="L1237" s="7" t="n">
        <f aca="false">IF(ISBLANK(customer_churn_dataset!L1237),0,MAX(0,customer_churn_dataset!L1237))</f>
        <v>3</v>
      </c>
      <c r="M1237" s="7" t="n">
        <f aca="false">IF(ISBLANK(customer_churn_dataset!M1237),0,customer_churn_dataset!M1237)</f>
        <v>0</v>
      </c>
      <c r="N1237" s="7" t="n">
        <f aca="false">IF(ISBLANK(customer_churn_dataset!N1237),0,MAX(0,customer_churn_dataset!N1237))</f>
        <v>471.88</v>
      </c>
      <c r="O1237" s="7" t="n">
        <f aca="false">IF(ISBLANK(customer_churn_dataset!O1237),0,customer_churn_dataset!O1237)</f>
        <v>0</v>
      </c>
      <c r="P1237" s="7" t="str">
        <f aca="false">IF(COUNTIF(customer_churn_dataset!$A$2:$A$1501,customer_churn_dataset!A1237)&gt;1,"Duplicate","Unique")</f>
        <v>Unique</v>
      </c>
    </row>
    <row r="1238" customFormat="false" ht="14.15" hidden="false" customHeight="true" outlineLevel="0" collapsed="false">
      <c r="A1238" s="7" t="str">
        <f aca="false">TRIM(customer_churn_dataset!A1238)</f>
        <v>CUST100719</v>
      </c>
      <c r="B1238" s="7" t="str">
        <f aca="false">PROPER(TRIM(customer_churn_dataset!B1238))</f>
        <v>Standard</v>
      </c>
      <c r="C1238" s="7" t="str">
        <f aca="false">PROPER(TRIM(customer_churn_dataset!C1238))</f>
        <v>Month-To-Month</v>
      </c>
      <c r="D1238" s="7" t="n">
        <f aca="false">IF(ISBLANK(customer_churn_dataset!D1238),ROUND(MEDIAN(customer_churn_dataset!D$2:D$1501),2),IF(customer_churn_dataset!D1238&lt;0,ABS(customer_churn_dataset!D1238),customer_churn_dataset!D1238))</f>
        <v>19.18</v>
      </c>
      <c r="E1238" s="7" t="n">
        <f aca="false">IF(ISBLANK(customer_churn_dataset!E1238),0,MAX(0,customer_churn_dataset!E1238))</f>
        <v>1</v>
      </c>
      <c r="F1238" s="8" t="n">
        <f aca="false">IF(ISBLANK(customer_churn_dataset!F1238),"",customer_churn_dataset!F1238)</f>
        <v>45455</v>
      </c>
      <c r="G1238" s="7" t="str">
        <f aca="false">PROPER(TRIM(customer_churn_dataset!G1238))</f>
        <v>Credit Card</v>
      </c>
      <c r="H1238" s="7" t="n">
        <f aca="false">IF(ISBLANK(customer_churn_dataset!H1238),0,customer_churn_dataset!H1238)</f>
        <v>0</v>
      </c>
      <c r="I1238" s="7" t="n">
        <f aca="false">IF(ISBLANK(customer_churn_dataset!I1238),ROUND(MEDIAN(customer_churn_dataset!I$2:I$1501),1),MIN(100,MAX(0,customer_churn_dataset!I1238)))</f>
        <v>54.4</v>
      </c>
      <c r="J1238" s="7" t="n">
        <f aca="false">IF(ISBLANK(customer_churn_dataset!J1238),0,MAX(0,customer_churn_dataset!J1238))</f>
        <v>14</v>
      </c>
      <c r="K1238" s="7" t="n">
        <f aca="false">IF(ISBLANK(customer_churn_dataset!K1238),0,MIN(10,MAX(0,customer_churn_dataset!K1238)))</f>
        <v>6</v>
      </c>
      <c r="L1238" s="7" t="n">
        <f aca="false">IF(ISBLANK(customer_churn_dataset!L1238),0,MAX(0,customer_churn_dataset!L1238))</f>
        <v>0</v>
      </c>
      <c r="M1238" s="7" t="n">
        <f aca="false">IF(ISBLANK(customer_churn_dataset!M1238),0,customer_churn_dataset!M1238)</f>
        <v>0</v>
      </c>
      <c r="N1238" s="7" t="n">
        <f aca="false">IF(ISBLANK(customer_churn_dataset!N1238),0,MAX(0,customer_churn_dataset!N1238))</f>
        <v>19.18</v>
      </c>
      <c r="O1238" s="7" t="n">
        <f aca="false">IF(ISBLANK(customer_churn_dataset!O1238),0,customer_churn_dataset!O1238)</f>
        <v>0</v>
      </c>
      <c r="P1238" s="7" t="str">
        <f aca="false">IF(COUNTIF(customer_churn_dataset!$A$2:$A$1501,customer_churn_dataset!A1238)&gt;1,"Duplicate","Unique")</f>
        <v>Unique</v>
      </c>
    </row>
    <row r="1239" customFormat="false" ht="14.15" hidden="false" customHeight="true" outlineLevel="0" collapsed="false">
      <c r="A1239" s="7" t="str">
        <f aca="false">TRIM(customer_churn_dataset!A1239)</f>
        <v>CUST100674</v>
      </c>
      <c r="B1239" s="7" t="str">
        <f aca="false">PROPER(TRIM(customer_churn_dataset!B1239))</f>
        <v>Basic</v>
      </c>
      <c r="C1239" s="7" t="str">
        <f aca="false">PROPER(TRIM(customer_churn_dataset!C1239))</f>
        <v>Two Year</v>
      </c>
      <c r="D1239" s="7" t="n">
        <f aca="false">IF(ISBLANK(customer_churn_dataset!D1239),ROUND(MEDIAN(customer_churn_dataset!D$2:D$1501),2),IF(customer_churn_dataset!D1239&lt;0,ABS(customer_churn_dataset!D1239),customer_churn_dataset!D1239))</f>
        <v>9.38</v>
      </c>
      <c r="E1239" s="7" t="n">
        <f aca="false">IF(ISBLANK(customer_churn_dataset!E1239),0,MAX(0,customer_churn_dataset!E1239))</f>
        <v>2</v>
      </c>
      <c r="F1239" s="8" t="n">
        <f aca="false">IF(ISBLANK(customer_churn_dataset!F1239),"",customer_churn_dataset!F1239)</f>
        <v>45459</v>
      </c>
      <c r="G1239" s="7" t="str">
        <f aca="false">PROPER(TRIM(customer_churn_dataset!G1239))</f>
        <v>Bank Transfer</v>
      </c>
      <c r="H1239" s="7" t="n">
        <f aca="false">IF(ISBLANK(customer_churn_dataset!H1239),0,customer_churn_dataset!H1239)</f>
        <v>0</v>
      </c>
      <c r="I1239" s="7" t="n">
        <f aca="false">IF(ISBLANK(customer_churn_dataset!I1239),ROUND(MEDIAN(customer_churn_dataset!I$2:I$1501),1),MIN(100,MAX(0,customer_churn_dataset!I1239)))</f>
        <v>28.1</v>
      </c>
      <c r="J1239" s="7" t="n">
        <f aca="false">IF(ISBLANK(customer_churn_dataset!J1239),0,MAX(0,customer_churn_dataset!J1239))</f>
        <v>8</v>
      </c>
      <c r="K1239" s="7" t="n">
        <f aca="false">IF(ISBLANK(customer_churn_dataset!K1239),0,MIN(10,MAX(0,customer_churn_dataset!K1239)))</f>
        <v>3</v>
      </c>
      <c r="L1239" s="7" t="n">
        <f aca="false">IF(ISBLANK(customer_churn_dataset!L1239),0,MAX(0,customer_churn_dataset!L1239))</f>
        <v>6</v>
      </c>
      <c r="M1239" s="7" t="n">
        <f aca="false">IF(ISBLANK(customer_churn_dataset!M1239),0,customer_churn_dataset!M1239)</f>
        <v>0</v>
      </c>
      <c r="N1239" s="7" t="n">
        <f aca="false">IF(ISBLANK(customer_churn_dataset!N1239),0,MAX(0,customer_churn_dataset!N1239))</f>
        <v>18.76</v>
      </c>
      <c r="O1239" s="7" t="n">
        <f aca="false">IF(ISBLANK(customer_churn_dataset!O1239),0,customer_churn_dataset!O1239)</f>
        <v>1</v>
      </c>
      <c r="P1239" s="7" t="str">
        <f aca="false">IF(COUNTIF(customer_churn_dataset!$A$2:$A$1501,customer_churn_dataset!A1239)&gt;1,"Duplicate","Unique")</f>
        <v>Unique</v>
      </c>
    </row>
    <row r="1240" customFormat="false" ht="14.15" hidden="false" customHeight="true" outlineLevel="0" collapsed="false">
      <c r="A1240" s="7" t="str">
        <f aca="false">TRIM(customer_churn_dataset!A1240)</f>
        <v>CUST100818</v>
      </c>
      <c r="B1240" s="7" t="str">
        <f aca="false">PROPER(TRIM(customer_churn_dataset!B1240))</f>
        <v>Basic</v>
      </c>
      <c r="C1240" s="7" t="str">
        <f aca="false">PROPER(TRIM(customer_churn_dataset!C1240))</f>
        <v>Month-To-Month</v>
      </c>
      <c r="D1240" s="7" t="n">
        <f aca="false">IF(ISBLANK(customer_churn_dataset!D1240),ROUND(MEDIAN(customer_churn_dataset!D$2:D$1501),2),IF(customer_churn_dataset!D1240&lt;0,ABS(customer_churn_dataset!D1240),customer_churn_dataset!D1240))</f>
        <v>9.22</v>
      </c>
      <c r="E1240" s="7" t="n">
        <f aca="false">IF(ISBLANK(customer_churn_dataset!E1240),0,MAX(0,customer_churn_dataset!E1240))</f>
        <v>3</v>
      </c>
      <c r="F1240" s="8" t="n">
        <f aca="false">IF(ISBLANK(customer_churn_dataset!F1240),"",customer_churn_dataset!F1240)</f>
        <v>45460</v>
      </c>
      <c r="G1240" s="7" t="str">
        <f aca="false">PROPER(TRIM(customer_churn_dataset!G1240))</f>
        <v>Credit Card</v>
      </c>
      <c r="H1240" s="7" t="n">
        <f aca="false">IF(ISBLANK(customer_churn_dataset!H1240),0,customer_churn_dataset!H1240)</f>
        <v>1</v>
      </c>
      <c r="I1240" s="7" t="n">
        <f aca="false">IF(ISBLANK(customer_churn_dataset!I1240),ROUND(MEDIAN(customer_churn_dataset!I$2:I$1501),1),MIN(100,MAX(0,customer_churn_dataset!I1240)))</f>
        <v>80.8</v>
      </c>
      <c r="J1240" s="7" t="n">
        <f aca="false">IF(ISBLANK(customer_churn_dataset!J1240),0,MAX(0,customer_churn_dataset!J1240))</f>
        <v>22</v>
      </c>
      <c r="K1240" s="7" t="n">
        <f aca="false">IF(ISBLANK(customer_churn_dataset!K1240),0,MIN(10,MAX(0,customer_churn_dataset!K1240)))</f>
        <v>7</v>
      </c>
      <c r="L1240" s="7" t="n">
        <f aca="false">IF(ISBLANK(customer_churn_dataset!L1240),0,MAX(0,customer_churn_dataset!L1240))</f>
        <v>1</v>
      </c>
      <c r="M1240" s="7" t="n">
        <f aca="false">IF(ISBLANK(customer_churn_dataset!M1240),0,customer_churn_dataset!M1240)</f>
        <v>0</v>
      </c>
      <c r="N1240" s="7" t="n">
        <f aca="false">IF(ISBLANK(customer_churn_dataset!N1240),0,MAX(0,customer_churn_dataset!N1240))</f>
        <v>27.66</v>
      </c>
      <c r="O1240" s="7" t="n">
        <f aca="false">IF(ISBLANK(customer_churn_dataset!O1240),0,customer_churn_dataset!O1240)</f>
        <v>0</v>
      </c>
      <c r="P1240" s="7" t="str">
        <f aca="false">IF(COUNTIF(customer_churn_dataset!$A$2:$A$1501,customer_churn_dataset!A1240)&gt;1,"Duplicate","Unique")</f>
        <v>Unique</v>
      </c>
    </row>
    <row r="1241" customFormat="false" ht="14.15" hidden="false" customHeight="true" outlineLevel="0" collapsed="false">
      <c r="A1241" s="7" t="str">
        <f aca="false">TRIM(customer_churn_dataset!A1241)</f>
        <v>CUST101053</v>
      </c>
      <c r="B1241" s="7" t="str">
        <f aca="false">PROPER(TRIM(customer_churn_dataset!B1241))</f>
        <v>Standard</v>
      </c>
      <c r="C1241" s="7" t="str">
        <f aca="false">PROPER(TRIM(customer_churn_dataset!C1241))</f>
        <v>Month-To-Month</v>
      </c>
      <c r="D1241" s="7" t="n">
        <f aca="false">IF(ISBLANK(customer_churn_dataset!D1241),ROUND(MEDIAN(customer_churn_dataset!D$2:D$1501),2),IF(customer_churn_dataset!D1241&lt;0,ABS(customer_churn_dataset!D1241),customer_churn_dataset!D1241))</f>
        <v>19.54</v>
      </c>
      <c r="E1241" s="7" t="n">
        <f aca="false">IF(ISBLANK(customer_churn_dataset!E1241),0,MAX(0,customer_churn_dataset!E1241))</f>
        <v>19</v>
      </c>
      <c r="F1241" s="8" t="n">
        <f aca="false">IF(ISBLANK(customer_churn_dataset!F1241),"",customer_churn_dataset!F1241)</f>
        <v>45461</v>
      </c>
      <c r="G1241" s="7" t="str">
        <f aca="false">PROPER(TRIM(customer_churn_dataset!G1241))</f>
        <v>Bank Transfer</v>
      </c>
      <c r="H1241" s="7" t="n">
        <f aca="false">IF(ISBLANK(customer_churn_dataset!H1241),0,customer_churn_dataset!H1241)</f>
        <v>0</v>
      </c>
      <c r="I1241" s="7" t="n">
        <f aca="false">IF(ISBLANK(customer_churn_dataset!I1241),ROUND(MEDIAN(customer_churn_dataset!I$2:I$1501),1),MIN(100,MAX(0,customer_churn_dataset!I1241)))</f>
        <v>74.3</v>
      </c>
      <c r="J1241" s="7" t="n">
        <f aca="false">IF(ISBLANK(customer_churn_dataset!J1241),0,MAX(0,customer_churn_dataset!J1241))</f>
        <v>21</v>
      </c>
      <c r="K1241" s="7" t="n">
        <f aca="false">IF(ISBLANK(customer_churn_dataset!K1241),0,MIN(10,MAX(0,customer_churn_dataset!K1241)))</f>
        <v>6</v>
      </c>
      <c r="L1241" s="7" t="n">
        <f aca="false">IF(ISBLANK(customer_churn_dataset!L1241),0,MAX(0,customer_churn_dataset!L1241))</f>
        <v>0</v>
      </c>
      <c r="M1241" s="7" t="n">
        <f aca="false">IF(ISBLANK(customer_churn_dataset!M1241),0,customer_churn_dataset!M1241)</f>
        <v>0</v>
      </c>
      <c r="N1241" s="7" t="n">
        <f aca="false">IF(ISBLANK(customer_churn_dataset!N1241),0,MAX(0,customer_churn_dataset!N1241))</f>
        <v>371.26</v>
      </c>
      <c r="O1241" s="7" t="n">
        <f aca="false">IF(ISBLANK(customer_churn_dataset!O1241),0,customer_churn_dataset!O1241)</f>
        <v>0</v>
      </c>
      <c r="P1241" s="7" t="str">
        <f aca="false">IF(COUNTIF(customer_churn_dataset!$A$2:$A$1501,customer_churn_dataset!A1241)&gt;1,"Duplicate","Unique")</f>
        <v>Unique</v>
      </c>
    </row>
    <row r="1242" customFormat="false" ht="14.15" hidden="false" customHeight="true" outlineLevel="0" collapsed="false">
      <c r="A1242" s="7" t="str">
        <f aca="false">TRIM(customer_churn_dataset!A1242)</f>
        <v>CUST100087</v>
      </c>
      <c r="B1242" s="7" t="str">
        <f aca="false">PROPER(TRIM(customer_churn_dataset!B1242))</f>
        <v>Standard</v>
      </c>
      <c r="C1242" s="7" t="str">
        <f aca="false">PROPER(TRIM(customer_churn_dataset!C1242))</f>
        <v>Month-To-Month</v>
      </c>
      <c r="D1242" s="7" t="n">
        <f aca="false">IF(ISBLANK(customer_churn_dataset!D1242),ROUND(MEDIAN(customer_churn_dataset!D$2:D$1501),2),IF(customer_churn_dataset!D1242&lt;0,ABS(customer_churn_dataset!D1242),customer_churn_dataset!D1242))</f>
        <v>19.22</v>
      </c>
      <c r="E1242" s="7" t="n">
        <f aca="false">IF(ISBLANK(customer_churn_dataset!E1242),0,MAX(0,customer_churn_dataset!E1242))</f>
        <v>24</v>
      </c>
      <c r="F1242" s="8" t="n">
        <f aca="false">IF(ISBLANK(customer_churn_dataset!F1242),"",customer_churn_dataset!F1242)</f>
        <v>45461</v>
      </c>
      <c r="G1242" s="7" t="str">
        <f aca="false">PROPER(TRIM(customer_churn_dataset!G1242))</f>
        <v>Credit Card</v>
      </c>
      <c r="H1242" s="7" t="n">
        <f aca="false">IF(ISBLANK(customer_churn_dataset!H1242),0,customer_churn_dataset!H1242)</f>
        <v>0</v>
      </c>
      <c r="I1242" s="7" t="n">
        <f aca="false">IF(ISBLANK(customer_churn_dataset!I1242),ROUND(MEDIAN(customer_churn_dataset!I$2:I$1501),1),MIN(100,MAX(0,customer_churn_dataset!I1242)))</f>
        <v>69</v>
      </c>
      <c r="J1242" s="7" t="n">
        <f aca="false">IF(ISBLANK(customer_churn_dataset!J1242),0,MAX(0,customer_churn_dataset!J1242))</f>
        <v>18</v>
      </c>
      <c r="K1242" s="7" t="n">
        <f aca="false">IF(ISBLANK(customer_churn_dataset!K1242),0,MIN(10,MAX(0,customer_churn_dataset!K1242)))</f>
        <v>7</v>
      </c>
      <c r="L1242" s="7" t="n">
        <f aca="false">IF(ISBLANK(customer_churn_dataset!L1242),0,MAX(0,customer_churn_dataset!L1242))</f>
        <v>3</v>
      </c>
      <c r="M1242" s="7" t="n">
        <f aca="false">IF(ISBLANK(customer_churn_dataset!M1242),0,customer_churn_dataset!M1242)</f>
        <v>1</v>
      </c>
      <c r="N1242" s="7" t="n">
        <f aca="false">IF(ISBLANK(customer_churn_dataset!N1242),0,MAX(0,customer_churn_dataset!N1242))</f>
        <v>461.28</v>
      </c>
      <c r="O1242" s="7" t="n">
        <f aca="false">IF(ISBLANK(customer_churn_dataset!O1242),0,customer_churn_dataset!O1242)</f>
        <v>0</v>
      </c>
      <c r="P1242" s="7" t="str">
        <f aca="false">IF(COUNTIF(customer_churn_dataset!$A$2:$A$1501,customer_churn_dataset!A1242)&gt;1,"Duplicate","Unique")</f>
        <v>Unique</v>
      </c>
    </row>
    <row r="1243" customFormat="false" ht="14.15" hidden="false" customHeight="true" outlineLevel="0" collapsed="false">
      <c r="A1243" s="7" t="str">
        <f aca="false">TRIM(customer_churn_dataset!A1243)</f>
        <v>CUST101493</v>
      </c>
      <c r="B1243" s="7" t="str">
        <f aca="false">PROPER(TRIM(customer_churn_dataset!B1243))</f>
        <v>Basic</v>
      </c>
      <c r="C1243" s="7" t="str">
        <f aca="false">PROPER(TRIM(customer_churn_dataset!C1243))</f>
        <v>Two Year</v>
      </c>
      <c r="D1243" s="7" t="n">
        <f aca="false">IF(ISBLANK(customer_churn_dataset!D1243),ROUND(MEDIAN(customer_churn_dataset!D$2:D$1501),2),IF(customer_churn_dataset!D1243&lt;0,ABS(customer_churn_dataset!D1243),customer_churn_dataset!D1243))</f>
        <v>11.02</v>
      </c>
      <c r="E1243" s="7" t="n">
        <f aca="false">IF(ISBLANK(customer_churn_dataset!E1243),0,MAX(0,customer_churn_dataset!E1243))</f>
        <v>24</v>
      </c>
      <c r="F1243" s="8" t="n">
        <f aca="false">IF(ISBLANK(customer_churn_dataset!F1243),"",customer_churn_dataset!F1243)</f>
        <v>45464</v>
      </c>
      <c r="G1243" s="7" t="str">
        <f aca="false">PROPER(TRIM(customer_churn_dataset!G1243))</f>
        <v>Credit Card</v>
      </c>
      <c r="H1243" s="7" t="n">
        <f aca="false">IF(ISBLANK(customer_churn_dataset!H1243),0,customer_churn_dataset!H1243)</f>
        <v>0</v>
      </c>
      <c r="I1243" s="7" t="n">
        <f aca="false">IF(ISBLANK(customer_churn_dataset!I1243),ROUND(MEDIAN(customer_churn_dataset!I$2:I$1501),1),MIN(100,MAX(0,customer_churn_dataset!I1243)))</f>
        <v>51.8</v>
      </c>
      <c r="J1243" s="7" t="n">
        <f aca="false">IF(ISBLANK(customer_churn_dataset!J1243),0,MAX(0,customer_churn_dataset!J1243))</f>
        <v>17</v>
      </c>
      <c r="K1243" s="7" t="n">
        <f aca="false">IF(ISBLANK(customer_churn_dataset!K1243),0,MIN(10,MAX(0,customer_churn_dataset!K1243)))</f>
        <v>5</v>
      </c>
      <c r="L1243" s="7" t="n">
        <f aca="false">IF(ISBLANK(customer_churn_dataset!L1243),0,MAX(0,customer_churn_dataset!L1243))</f>
        <v>1</v>
      </c>
      <c r="M1243" s="7" t="n">
        <f aca="false">IF(ISBLANK(customer_churn_dataset!M1243),0,customer_churn_dataset!M1243)</f>
        <v>1</v>
      </c>
      <c r="N1243" s="7" t="n">
        <f aca="false">IF(ISBLANK(customer_churn_dataset!N1243),0,MAX(0,customer_churn_dataset!N1243))</f>
        <v>264.48</v>
      </c>
      <c r="O1243" s="7" t="n">
        <f aca="false">IF(ISBLANK(customer_churn_dataset!O1243),0,customer_churn_dataset!O1243)</f>
        <v>0</v>
      </c>
      <c r="P1243" s="7" t="str">
        <f aca="false">IF(COUNTIF(customer_churn_dataset!$A$2:$A$1501,customer_churn_dataset!A1243)&gt;1,"Duplicate","Unique")</f>
        <v>Unique</v>
      </c>
    </row>
    <row r="1244" customFormat="false" ht="14.15" hidden="false" customHeight="true" outlineLevel="0" collapsed="false">
      <c r="A1244" s="7" t="str">
        <f aca="false">TRIM(customer_churn_dataset!A1244)</f>
        <v>CUST100738</v>
      </c>
      <c r="B1244" s="7" t="str">
        <f aca="false">PROPER(TRIM(customer_churn_dataset!B1244))</f>
        <v>Basic</v>
      </c>
      <c r="C1244" s="7" t="str">
        <f aca="false">PROPER(TRIM(customer_churn_dataset!C1244))</f>
        <v>Month-To-Month</v>
      </c>
      <c r="D1244" s="7" t="n">
        <f aca="false">IF(ISBLANK(customer_churn_dataset!D1244),ROUND(MEDIAN(customer_churn_dataset!D$2:D$1501),2),IF(customer_churn_dataset!D1244&lt;0,ABS(customer_churn_dataset!D1244),customer_churn_dataset!D1244))</f>
        <v>10.55</v>
      </c>
      <c r="E1244" s="7" t="n">
        <f aca="false">IF(ISBLANK(customer_churn_dataset!E1244),0,MAX(0,customer_churn_dataset!E1244))</f>
        <v>0</v>
      </c>
      <c r="F1244" s="8" t="n">
        <f aca="false">IF(ISBLANK(customer_churn_dataset!F1244),"",customer_churn_dataset!F1244)</f>
        <v>45465</v>
      </c>
      <c r="G1244" s="7" t="str">
        <f aca="false">PROPER(TRIM(customer_churn_dataset!G1244))</f>
        <v>Credit Card</v>
      </c>
      <c r="H1244" s="7" t="n">
        <f aca="false">IF(ISBLANK(customer_churn_dataset!H1244),0,customer_churn_dataset!H1244)</f>
        <v>0</v>
      </c>
      <c r="I1244" s="7" t="n">
        <f aca="false">IF(ISBLANK(customer_churn_dataset!I1244),ROUND(MEDIAN(customer_churn_dataset!I$2:I$1501),1),MIN(100,MAX(0,customer_churn_dataset!I1244)))</f>
        <v>46.4</v>
      </c>
      <c r="J1244" s="7" t="n">
        <f aca="false">IF(ISBLANK(customer_churn_dataset!J1244),0,MAX(0,customer_churn_dataset!J1244))</f>
        <v>14</v>
      </c>
      <c r="K1244" s="7" t="n">
        <f aca="false">IF(ISBLANK(customer_churn_dataset!K1244),0,MIN(10,MAX(0,customer_churn_dataset!K1244)))</f>
        <v>3</v>
      </c>
      <c r="L1244" s="7" t="n">
        <f aca="false">IF(ISBLANK(customer_churn_dataset!L1244),0,MAX(0,customer_churn_dataset!L1244))</f>
        <v>0</v>
      </c>
      <c r="M1244" s="7" t="n">
        <f aca="false">IF(ISBLANK(customer_churn_dataset!M1244),0,customer_churn_dataset!M1244)</f>
        <v>0</v>
      </c>
      <c r="N1244" s="7" t="n">
        <f aca="false">IF(ISBLANK(customer_churn_dataset!N1244),0,MAX(0,customer_churn_dataset!N1244))</f>
        <v>0</v>
      </c>
      <c r="O1244" s="7" t="n">
        <f aca="false">IF(ISBLANK(customer_churn_dataset!O1244),0,customer_churn_dataset!O1244)</f>
        <v>0</v>
      </c>
      <c r="P1244" s="7" t="str">
        <f aca="false">IF(COUNTIF(customer_churn_dataset!$A$2:$A$1501,customer_churn_dataset!A1244)&gt;1,"Duplicate","Unique")</f>
        <v>Unique</v>
      </c>
    </row>
    <row r="1245" customFormat="false" ht="14.15" hidden="false" customHeight="true" outlineLevel="0" collapsed="false">
      <c r="A1245" s="7" t="str">
        <f aca="false">TRIM(customer_churn_dataset!A1245)</f>
        <v>CUST100126</v>
      </c>
      <c r="B1245" s="7" t="str">
        <f aca="false">PROPER(TRIM(customer_churn_dataset!B1245))</f>
        <v>Premium</v>
      </c>
      <c r="C1245" s="7" t="str">
        <f aca="false">PROPER(TRIM(customer_churn_dataset!C1245))</f>
        <v>Two Year</v>
      </c>
      <c r="D1245" s="7" t="n">
        <f aca="false">IF(ISBLANK(customer_churn_dataset!D1245),ROUND(MEDIAN(customer_churn_dataset!D$2:D$1501),2),IF(customer_churn_dataset!D1245&lt;0,ABS(customer_churn_dataset!D1245),customer_churn_dataset!D1245))</f>
        <v>38.15</v>
      </c>
      <c r="E1245" s="7" t="n">
        <f aca="false">IF(ISBLANK(customer_churn_dataset!E1245),0,MAX(0,customer_churn_dataset!E1245))</f>
        <v>9</v>
      </c>
      <c r="F1245" s="8" t="n">
        <f aca="false">IF(ISBLANK(customer_churn_dataset!F1245),"",customer_churn_dataset!F1245)</f>
        <v>45465</v>
      </c>
      <c r="G1245" s="7" t="str">
        <f aca="false">PROPER(TRIM(customer_churn_dataset!G1245))</f>
        <v>Credit Card</v>
      </c>
      <c r="H1245" s="7" t="n">
        <f aca="false">IF(ISBLANK(customer_churn_dataset!H1245),0,customer_churn_dataset!H1245)</f>
        <v>0</v>
      </c>
      <c r="I1245" s="7" t="n">
        <f aca="false">IF(ISBLANK(customer_churn_dataset!I1245),ROUND(MEDIAN(customer_churn_dataset!I$2:I$1501),1),MIN(100,MAX(0,customer_churn_dataset!I1245)))</f>
        <v>44.7</v>
      </c>
      <c r="J1245" s="7" t="n">
        <f aca="false">IF(ISBLANK(customer_churn_dataset!J1245),0,MAX(0,customer_churn_dataset!J1245))</f>
        <v>13</v>
      </c>
      <c r="K1245" s="7" t="n">
        <f aca="false">IF(ISBLANK(customer_churn_dataset!K1245),0,MIN(10,MAX(0,customer_churn_dataset!K1245)))</f>
        <v>3</v>
      </c>
      <c r="L1245" s="7" t="n">
        <f aca="false">IF(ISBLANK(customer_churn_dataset!L1245),0,MAX(0,customer_churn_dataset!L1245))</f>
        <v>0</v>
      </c>
      <c r="M1245" s="7" t="n">
        <f aca="false">IF(ISBLANK(customer_churn_dataset!M1245),0,customer_churn_dataset!M1245)</f>
        <v>0</v>
      </c>
      <c r="N1245" s="7" t="n">
        <f aca="false">IF(ISBLANK(customer_churn_dataset!N1245),0,MAX(0,customer_churn_dataset!N1245))</f>
        <v>343.35</v>
      </c>
      <c r="O1245" s="7" t="n">
        <f aca="false">IF(ISBLANK(customer_churn_dataset!O1245),0,customer_churn_dataset!O1245)</f>
        <v>0</v>
      </c>
      <c r="P1245" s="7" t="str">
        <f aca="false">IF(COUNTIF(customer_churn_dataset!$A$2:$A$1501,customer_churn_dataset!A1245)&gt;1,"Duplicate","Unique")</f>
        <v>Unique</v>
      </c>
    </row>
    <row r="1246" customFormat="false" ht="14.15" hidden="false" customHeight="true" outlineLevel="0" collapsed="false">
      <c r="A1246" s="7" t="str">
        <f aca="false">TRIM(customer_churn_dataset!A1246)</f>
        <v>CUST100208</v>
      </c>
      <c r="B1246" s="7" t="str">
        <f aca="false">PROPER(TRIM(customer_churn_dataset!B1246))</f>
        <v>Basic</v>
      </c>
      <c r="C1246" s="7" t="str">
        <f aca="false">PROPER(TRIM(customer_churn_dataset!C1246))</f>
        <v>Two Year</v>
      </c>
      <c r="D1246" s="7" t="n">
        <f aca="false">IF(ISBLANK(customer_churn_dataset!D1246),ROUND(MEDIAN(customer_churn_dataset!D$2:D$1501),2),IF(customer_churn_dataset!D1246&lt;0,ABS(customer_churn_dataset!D1246),customer_churn_dataset!D1246))</f>
        <v>9.55</v>
      </c>
      <c r="E1246" s="7" t="n">
        <f aca="false">IF(ISBLANK(customer_churn_dataset!E1246),0,MAX(0,customer_churn_dataset!E1246))</f>
        <v>72</v>
      </c>
      <c r="F1246" s="8" t="n">
        <f aca="false">IF(ISBLANK(customer_churn_dataset!F1246),"",customer_churn_dataset!F1246)</f>
        <v>45467</v>
      </c>
      <c r="G1246" s="7" t="str">
        <f aca="false">PROPER(TRIM(customer_churn_dataset!G1246))</f>
        <v>Credit Card</v>
      </c>
      <c r="H1246" s="7" t="n">
        <f aca="false">IF(ISBLANK(customer_churn_dataset!H1246),0,customer_churn_dataset!H1246)</f>
        <v>1</v>
      </c>
      <c r="I1246" s="7" t="n">
        <f aca="false">IF(ISBLANK(customer_churn_dataset!I1246),ROUND(MEDIAN(customer_churn_dataset!I$2:I$1501),1),MIN(100,MAX(0,customer_churn_dataset!I1246)))</f>
        <v>46.2</v>
      </c>
      <c r="J1246" s="7" t="n">
        <f aca="false">IF(ISBLANK(customer_churn_dataset!J1246),0,MAX(0,customer_churn_dataset!J1246))</f>
        <v>17</v>
      </c>
      <c r="K1246" s="7" t="n">
        <f aca="false">IF(ISBLANK(customer_churn_dataset!K1246),0,MIN(10,MAX(0,customer_churn_dataset!K1246)))</f>
        <v>4</v>
      </c>
      <c r="L1246" s="7" t="n">
        <f aca="false">IF(ISBLANK(customer_churn_dataset!L1246),0,MAX(0,customer_churn_dataset!L1246))</f>
        <v>2</v>
      </c>
      <c r="M1246" s="7" t="n">
        <f aca="false">IF(ISBLANK(customer_churn_dataset!M1246),0,customer_churn_dataset!M1246)</f>
        <v>0</v>
      </c>
      <c r="N1246" s="7" t="n">
        <f aca="false">IF(ISBLANK(customer_churn_dataset!N1246),0,MAX(0,customer_churn_dataset!N1246))</f>
        <v>687.6</v>
      </c>
      <c r="O1246" s="7" t="n">
        <f aca="false">IF(ISBLANK(customer_churn_dataset!O1246),0,customer_churn_dataset!O1246)</f>
        <v>0</v>
      </c>
      <c r="P1246" s="7" t="str">
        <f aca="false">IF(COUNTIF(customer_churn_dataset!$A$2:$A$1501,customer_churn_dataset!A1246)&gt;1,"Duplicate","Unique")</f>
        <v>Unique</v>
      </c>
    </row>
    <row r="1247" customFormat="false" ht="14.15" hidden="false" customHeight="true" outlineLevel="0" collapsed="false">
      <c r="A1247" s="7" t="str">
        <f aca="false">TRIM(customer_churn_dataset!A1247)</f>
        <v>CUST100600</v>
      </c>
      <c r="B1247" s="7" t="str">
        <f aca="false">PROPER(TRIM(customer_churn_dataset!B1247))</f>
        <v>Basic</v>
      </c>
      <c r="C1247" s="7" t="str">
        <f aca="false">PROPER(TRIM(customer_churn_dataset!C1247))</f>
        <v>Month-To-Month</v>
      </c>
      <c r="D1247" s="7" t="n">
        <f aca="false">IF(ISBLANK(customer_churn_dataset!D1247),ROUND(MEDIAN(customer_churn_dataset!D$2:D$1501),2),IF(customer_churn_dataset!D1247&lt;0,ABS(customer_churn_dataset!D1247),customer_churn_dataset!D1247))</f>
        <v>11.63</v>
      </c>
      <c r="E1247" s="7" t="n">
        <f aca="false">IF(ISBLANK(customer_churn_dataset!E1247),0,MAX(0,customer_churn_dataset!E1247))</f>
        <v>33</v>
      </c>
      <c r="F1247" s="8" t="n">
        <f aca="false">IF(ISBLANK(customer_churn_dataset!F1247),"",customer_churn_dataset!F1247)</f>
        <v>45469</v>
      </c>
      <c r="G1247" s="7" t="str">
        <f aca="false">PROPER(TRIM(customer_churn_dataset!G1247))</f>
        <v>Bank Transfer</v>
      </c>
      <c r="H1247" s="7" t="n">
        <f aca="false">IF(ISBLANK(customer_churn_dataset!H1247),0,customer_churn_dataset!H1247)</f>
        <v>1</v>
      </c>
      <c r="I1247" s="7" t="n">
        <f aca="false">IF(ISBLANK(customer_churn_dataset!I1247),ROUND(MEDIAN(customer_churn_dataset!I$2:I$1501),1),MIN(100,MAX(0,customer_churn_dataset!I1247)))</f>
        <v>36</v>
      </c>
      <c r="J1247" s="7" t="n">
        <f aca="false">IF(ISBLANK(customer_churn_dataset!J1247),0,MAX(0,customer_churn_dataset!J1247))</f>
        <v>17</v>
      </c>
      <c r="K1247" s="7" t="n">
        <f aca="false">IF(ISBLANK(customer_churn_dataset!K1247),0,MIN(10,MAX(0,customer_churn_dataset!K1247)))</f>
        <v>5</v>
      </c>
      <c r="L1247" s="7" t="n">
        <f aca="false">IF(ISBLANK(customer_churn_dataset!L1247),0,MAX(0,customer_churn_dataset!L1247))</f>
        <v>0</v>
      </c>
      <c r="M1247" s="7" t="n">
        <f aca="false">IF(ISBLANK(customer_churn_dataset!M1247),0,customer_churn_dataset!M1247)</f>
        <v>0</v>
      </c>
      <c r="N1247" s="7" t="n">
        <f aca="false">IF(ISBLANK(customer_churn_dataset!N1247),0,MAX(0,customer_churn_dataset!N1247))</f>
        <v>383.79</v>
      </c>
      <c r="O1247" s="7" t="n">
        <f aca="false">IF(ISBLANK(customer_churn_dataset!O1247),0,customer_churn_dataset!O1247)</f>
        <v>0</v>
      </c>
      <c r="P1247" s="7" t="str">
        <f aca="false">IF(COUNTIF(customer_churn_dataset!$A$2:$A$1501,customer_churn_dataset!A1247)&gt;1,"Duplicate","Unique")</f>
        <v>Unique</v>
      </c>
    </row>
    <row r="1248" customFormat="false" ht="14.15" hidden="false" customHeight="true" outlineLevel="0" collapsed="false">
      <c r="A1248" s="7" t="str">
        <f aca="false">TRIM(customer_churn_dataset!A1248)</f>
        <v>CUST100172</v>
      </c>
      <c r="B1248" s="7" t="str">
        <f aca="false">PROPER(TRIM(customer_churn_dataset!B1248))</f>
        <v>Standard</v>
      </c>
      <c r="C1248" s="7" t="str">
        <f aca="false">PROPER(TRIM(customer_churn_dataset!C1248))</f>
        <v>One Year</v>
      </c>
      <c r="D1248" s="7" t="n">
        <f aca="false">IF(ISBLANK(customer_churn_dataset!D1248),ROUND(MEDIAN(customer_churn_dataset!D$2:D$1501),2),IF(customer_churn_dataset!D1248&lt;0,ABS(customer_churn_dataset!D1248),customer_churn_dataset!D1248))</f>
        <v>19.78</v>
      </c>
      <c r="E1248" s="7" t="n">
        <f aca="false">IF(ISBLANK(customer_churn_dataset!E1248),0,MAX(0,customer_churn_dataset!E1248))</f>
        <v>28</v>
      </c>
      <c r="F1248" s="8" t="n">
        <f aca="false">IF(ISBLANK(customer_churn_dataset!F1248),"",customer_churn_dataset!F1248)</f>
        <v>45471</v>
      </c>
      <c r="G1248" s="7" t="str">
        <f aca="false">PROPER(TRIM(customer_churn_dataset!G1248))</f>
        <v>Paypal</v>
      </c>
      <c r="H1248" s="7" t="n">
        <f aca="false">IF(ISBLANK(customer_churn_dataset!H1248),0,customer_churn_dataset!H1248)</f>
        <v>0</v>
      </c>
      <c r="I1248" s="7" t="n">
        <f aca="false">IF(ISBLANK(customer_churn_dataset!I1248),ROUND(MEDIAN(customer_churn_dataset!I$2:I$1501),1),MIN(100,MAX(0,customer_churn_dataset!I1248)))</f>
        <v>77.4</v>
      </c>
      <c r="J1248" s="7" t="n">
        <f aca="false">IF(ISBLANK(customer_churn_dataset!J1248),0,MAX(0,customer_churn_dataset!J1248))</f>
        <v>35</v>
      </c>
      <c r="K1248" s="7" t="n">
        <f aca="false">IF(ISBLANK(customer_churn_dataset!K1248),0,MIN(10,MAX(0,customer_churn_dataset!K1248)))</f>
        <v>7</v>
      </c>
      <c r="L1248" s="7" t="n">
        <f aca="false">IF(ISBLANK(customer_churn_dataset!L1248),0,MAX(0,customer_churn_dataset!L1248))</f>
        <v>0</v>
      </c>
      <c r="M1248" s="7" t="n">
        <f aca="false">IF(ISBLANK(customer_churn_dataset!M1248),0,customer_churn_dataset!M1248)</f>
        <v>0</v>
      </c>
      <c r="N1248" s="7" t="n">
        <f aca="false">IF(ISBLANK(customer_churn_dataset!N1248),0,MAX(0,customer_churn_dataset!N1248))</f>
        <v>553.84</v>
      </c>
      <c r="O1248" s="7" t="n">
        <f aca="false">IF(ISBLANK(customer_churn_dataset!O1248),0,customer_churn_dataset!O1248)</f>
        <v>0</v>
      </c>
      <c r="P1248" s="7" t="str">
        <f aca="false">IF(COUNTIF(customer_churn_dataset!$A$2:$A$1501,customer_churn_dataset!A1248)&gt;1,"Duplicate","Unique")</f>
        <v>Unique</v>
      </c>
    </row>
    <row r="1249" customFormat="false" ht="14.15" hidden="false" customHeight="true" outlineLevel="0" collapsed="false">
      <c r="A1249" s="7" t="str">
        <f aca="false">TRIM(customer_churn_dataset!A1249)</f>
        <v>CUST101132</v>
      </c>
      <c r="B1249" s="7" t="str">
        <f aca="false">PROPER(TRIM(customer_churn_dataset!B1249))</f>
        <v>Basic</v>
      </c>
      <c r="C1249" s="7" t="str">
        <f aca="false">PROPER(TRIM(customer_churn_dataset!C1249))</f>
        <v>Month-To-Month</v>
      </c>
      <c r="D1249" s="7" t="n">
        <f aca="false">IF(ISBLANK(customer_churn_dataset!D1249),ROUND(MEDIAN(customer_churn_dataset!D$2:D$1501),2),IF(customer_churn_dataset!D1249&lt;0,ABS(customer_churn_dataset!D1249),customer_churn_dataset!D1249))</f>
        <v>10.08</v>
      </c>
      <c r="E1249" s="7" t="n">
        <f aca="false">IF(ISBLANK(customer_churn_dataset!E1249),0,MAX(0,customer_churn_dataset!E1249))</f>
        <v>14</v>
      </c>
      <c r="F1249" s="8" t="n">
        <f aca="false">IF(ISBLANK(customer_churn_dataset!F1249),"",customer_churn_dataset!F1249)</f>
        <v>45472</v>
      </c>
      <c r="G1249" s="7" t="str">
        <f aca="false">PROPER(TRIM(customer_churn_dataset!G1249))</f>
        <v>Credit Card</v>
      </c>
      <c r="H1249" s="7" t="n">
        <f aca="false">IF(ISBLANK(customer_churn_dataset!H1249),0,customer_churn_dataset!H1249)</f>
        <v>1</v>
      </c>
      <c r="I1249" s="7" t="n">
        <f aca="false">IF(ISBLANK(customer_churn_dataset!I1249),ROUND(MEDIAN(customer_churn_dataset!I$2:I$1501),1),MIN(100,MAX(0,customer_churn_dataset!I1249)))</f>
        <v>100</v>
      </c>
      <c r="J1249" s="7" t="n">
        <f aca="false">IF(ISBLANK(customer_churn_dataset!J1249),0,MAX(0,customer_churn_dataset!J1249))</f>
        <v>28</v>
      </c>
      <c r="K1249" s="7" t="n">
        <f aca="false">IF(ISBLANK(customer_churn_dataset!K1249),0,MIN(10,MAX(0,customer_churn_dataset!K1249)))</f>
        <v>10</v>
      </c>
      <c r="L1249" s="7" t="n">
        <f aca="false">IF(ISBLANK(customer_churn_dataset!L1249),0,MAX(0,customer_churn_dataset!L1249))</f>
        <v>2</v>
      </c>
      <c r="M1249" s="7" t="n">
        <f aca="false">IF(ISBLANK(customer_churn_dataset!M1249),0,customer_churn_dataset!M1249)</f>
        <v>0</v>
      </c>
      <c r="N1249" s="7" t="n">
        <f aca="false">IF(ISBLANK(customer_churn_dataset!N1249),0,MAX(0,customer_churn_dataset!N1249))</f>
        <v>141.12</v>
      </c>
      <c r="O1249" s="7" t="n">
        <f aca="false">IF(ISBLANK(customer_churn_dataset!O1249),0,customer_churn_dataset!O1249)</f>
        <v>1</v>
      </c>
      <c r="P1249" s="7" t="str">
        <f aca="false">IF(COUNTIF(customer_churn_dataset!$A$2:$A$1501,customer_churn_dataset!A1249)&gt;1,"Duplicate","Unique")</f>
        <v>Unique</v>
      </c>
    </row>
    <row r="1250" customFormat="false" ht="14.15" hidden="false" customHeight="true" outlineLevel="0" collapsed="false">
      <c r="A1250" s="7" t="str">
        <f aca="false">TRIM(customer_churn_dataset!A1250)</f>
        <v>CUST100451</v>
      </c>
      <c r="B1250" s="7" t="str">
        <f aca="false">PROPER(TRIM(customer_churn_dataset!B1250))</f>
        <v>Standard</v>
      </c>
      <c r="C1250" s="7" t="str">
        <f aca="false">PROPER(TRIM(customer_churn_dataset!C1250))</f>
        <v>One Year</v>
      </c>
      <c r="D1250" s="7" t="n">
        <f aca="false">IF(ISBLANK(customer_churn_dataset!D1250),ROUND(MEDIAN(customer_churn_dataset!D$2:D$1501),2),IF(customer_churn_dataset!D1250&lt;0,ABS(customer_churn_dataset!D1250),customer_churn_dataset!D1250))</f>
        <v>18.43</v>
      </c>
      <c r="E1250" s="7" t="n">
        <f aca="false">IF(ISBLANK(customer_churn_dataset!E1250),0,MAX(0,customer_churn_dataset!E1250))</f>
        <v>70</v>
      </c>
      <c r="F1250" s="8" t="n">
        <f aca="false">IF(ISBLANK(customer_churn_dataset!F1250),"",customer_churn_dataset!F1250)</f>
        <v>45472</v>
      </c>
      <c r="G1250" s="7" t="str">
        <f aca="false">PROPER(TRIM(customer_churn_dataset!G1250))</f>
        <v>Manual/Invoice</v>
      </c>
      <c r="H1250" s="7" t="n">
        <f aca="false">IF(ISBLANK(customer_churn_dataset!H1250),0,customer_churn_dataset!H1250)</f>
        <v>1</v>
      </c>
      <c r="I1250" s="7" t="n">
        <f aca="false">IF(ISBLANK(customer_churn_dataset!I1250),ROUND(MEDIAN(customer_churn_dataset!I$2:I$1501),1),MIN(100,MAX(0,customer_churn_dataset!I1250)))</f>
        <v>48.1</v>
      </c>
      <c r="J1250" s="7" t="n">
        <f aca="false">IF(ISBLANK(customer_churn_dataset!J1250),0,MAX(0,customer_churn_dataset!J1250))</f>
        <v>12</v>
      </c>
      <c r="K1250" s="7" t="n">
        <f aca="false">IF(ISBLANK(customer_churn_dataset!K1250),0,MIN(10,MAX(0,customer_churn_dataset!K1250)))</f>
        <v>6</v>
      </c>
      <c r="L1250" s="7" t="n">
        <f aca="false">IF(ISBLANK(customer_churn_dataset!L1250),0,MAX(0,customer_churn_dataset!L1250))</f>
        <v>1</v>
      </c>
      <c r="M1250" s="7" t="n">
        <f aca="false">IF(ISBLANK(customer_churn_dataset!M1250),0,customer_churn_dataset!M1250)</f>
        <v>0</v>
      </c>
      <c r="N1250" s="7" t="n">
        <f aca="false">IF(ISBLANK(customer_churn_dataset!N1250),0,MAX(0,customer_churn_dataset!N1250))</f>
        <v>1290.1</v>
      </c>
      <c r="O1250" s="7" t="n">
        <f aca="false">IF(ISBLANK(customer_churn_dataset!O1250),0,customer_churn_dataset!O1250)</f>
        <v>0</v>
      </c>
      <c r="P1250" s="7" t="str">
        <f aca="false">IF(COUNTIF(customer_churn_dataset!$A$2:$A$1501,customer_churn_dataset!A1250)&gt;1,"Duplicate","Unique")</f>
        <v>Unique</v>
      </c>
    </row>
    <row r="1251" customFormat="false" ht="14.15" hidden="false" customHeight="true" outlineLevel="0" collapsed="false">
      <c r="A1251" s="7" t="str">
        <f aca="false">TRIM(customer_churn_dataset!A1251)</f>
        <v>CUST100035</v>
      </c>
      <c r="B1251" s="7" t="str">
        <f aca="false">PROPER(TRIM(customer_churn_dataset!B1251))</f>
        <v>Premium</v>
      </c>
      <c r="C1251" s="7" t="str">
        <f aca="false">PROPER(TRIM(customer_churn_dataset!C1251))</f>
        <v>Month-To-Month</v>
      </c>
      <c r="D1251" s="7" t="n">
        <f aca="false">IF(ISBLANK(customer_churn_dataset!D1251),ROUND(MEDIAN(customer_churn_dataset!D$2:D$1501),2),IF(customer_churn_dataset!D1251&lt;0,ABS(customer_churn_dataset!D1251),customer_churn_dataset!D1251))</f>
        <v>40.43</v>
      </c>
      <c r="E1251" s="7" t="n">
        <f aca="false">IF(ISBLANK(customer_churn_dataset!E1251),0,MAX(0,customer_churn_dataset!E1251))</f>
        <v>14</v>
      </c>
      <c r="F1251" s="8" t="n">
        <f aca="false">IF(ISBLANK(customer_churn_dataset!F1251),"",customer_churn_dataset!F1251)</f>
        <v>45474</v>
      </c>
      <c r="G1251" s="7" t="str">
        <f aca="false">PROPER(TRIM(customer_churn_dataset!G1251))</f>
        <v>Bank Transfer</v>
      </c>
      <c r="H1251" s="7" t="n">
        <f aca="false">IF(ISBLANK(customer_churn_dataset!H1251),0,customer_churn_dataset!H1251)</f>
        <v>1</v>
      </c>
      <c r="I1251" s="7" t="n">
        <f aca="false">IF(ISBLANK(customer_churn_dataset!I1251),ROUND(MEDIAN(customer_churn_dataset!I$2:I$1501),1),MIN(100,MAX(0,customer_churn_dataset!I1251)))</f>
        <v>74.4</v>
      </c>
      <c r="J1251" s="7" t="n">
        <f aca="false">IF(ISBLANK(customer_churn_dataset!J1251),0,MAX(0,customer_churn_dataset!J1251))</f>
        <v>16</v>
      </c>
      <c r="K1251" s="7" t="n">
        <f aca="false">IF(ISBLANK(customer_churn_dataset!K1251),0,MIN(10,MAX(0,customer_churn_dataset!K1251)))</f>
        <v>5</v>
      </c>
      <c r="L1251" s="7" t="n">
        <f aca="false">IF(ISBLANK(customer_churn_dataset!L1251),0,MAX(0,customer_churn_dataset!L1251))</f>
        <v>1</v>
      </c>
      <c r="M1251" s="7" t="n">
        <f aca="false">IF(ISBLANK(customer_churn_dataset!M1251),0,customer_churn_dataset!M1251)</f>
        <v>1</v>
      </c>
      <c r="N1251" s="7" t="n">
        <f aca="false">IF(ISBLANK(customer_churn_dataset!N1251),0,MAX(0,customer_churn_dataset!N1251))</f>
        <v>566.02</v>
      </c>
      <c r="O1251" s="7" t="n">
        <f aca="false">IF(ISBLANK(customer_churn_dataset!O1251),0,customer_churn_dataset!O1251)</f>
        <v>1</v>
      </c>
      <c r="P1251" s="7" t="str">
        <f aca="false">IF(COUNTIF(customer_churn_dataset!$A$2:$A$1501,customer_churn_dataset!A1251)&gt;1,"Duplicate","Unique")</f>
        <v>Unique</v>
      </c>
    </row>
    <row r="1252" customFormat="false" ht="14.15" hidden="false" customHeight="true" outlineLevel="0" collapsed="false">
      <c r="A1252" s="7" t="str">
        <f aca="false">TRIM(customer_churn_dataset!A1252)</f>
        <v>CUST100053</v>
      </c>
      <c r="B1252" s="7" t="str">
        <f aca="false">PROPER(TRIM(customer_churn_dataset!B1252))</f>
        <v>Premium</v>
      </c>
      <c r="C1252" s="7" t="str">
        <f aca="false">PROPER(TRIM(customer_churn_dataset!C1252))</f>
        <v>Month-To-Month</v>
      </c>
      <c r="D1252" s="7" t="n">
        <f aca="false">IF(ISBLANK(customer_churn_dataset!D1252),ROUND(MEDIAN(customer_churn_dataset!D$2:D$1501),2),IF(customer_churn_dataset!D1252&lt;0,ABS(customer_churn_dataset!D1252),customer_churn_dataset!D1252))</f>
        <v>40.88</v>
      </c>
      <c r="E1252" s="7" t="n">
        <f aca="false">IF(ISBLANK(customer_churn_dataset!E1252),0,MAX(0,customer_churn_dataset!E1252))</f>
        <v>9</v>
      </c>
      <c r="F1252" s="8" t="n">
        <f aca="false">IF(ISBLANK(customer_churn_dataset!F1252),"",customer_churn_dataset!F1252)</f>
        <v>45479</v>
      </c>
      <c r="G1252" s="7" t="str">
        <f aca="false">PROPER(TRIM(customer_churn_dataset!G1252))</f>
        <v>Paypal</v>
      </c>
      <c r="H1252" s="7" t="n">
        <f aca="false">IF(ISBLANK(customer_churn_dataset!H1252),0,customer_churn_dataset!H1252)</f>
        <v>1</v>
      </c>
      <c r="I1252" s="7" t="n">
        <f aca="false">IF(ISBLANK(customer_churn_dataset!I1252),ROUND(MEDIAN(customer_churn_dataset!I$2:I$1501),1),MIN(100,MAX(0,customer_churn_dataset!I1252)))</f>
        <v>61</v>
      </c>
      <c r="J1252" s="7" t="n">
        <f aca="false">IF(ISBLANK(customer_churn_dataset!J1252),0,MAX(0,customer_churn_dataset!J1252))</f>
        <v>15</v>
      </c>
      <c r="K1252" s="7" t="n">
        <f aca="false">IF(ISBLANK(customer_churn_dataset!K1252),0,MIN(10,MAX(0,customer_churn_dataset!K1252)))</f>
        <v>4</v>
      </c>
      <c r="L1252" s="7" t="n">
        <f aca="false">IF(ISBLANK(customer_churn_dataset!L1252),0,MAX(0,customer_churn_dataset!L1252))</f>
        <v>1</v>
      </c>
      <c r="M1252" s="7" t="n">
        <f aca="false">IF(ISBLANK(customer_churn_dataset!M1252),0,customer_churn_dataset!M1252)</f>
        <v>0</v>
      </c>
      <c r="N1252" s="7" t="n">
        <f aca="false">IF(ISBLANK(customer_churn_dataset!N1252),0,MAX(0,customer_churn_dataset!N1252))</f>
        <v>367.92</v>
      </c>
      <c r="O1252" s="7" t="n">
        <f aca="false">IF(ISBLANK(customer_churn_dataset!O1252),0,customer_churn_dataset!O1252)</f>
        <v>0</v>
      </c>
      <c r="P1252" s="7" t="str">
        <f aca="false">IF(COUNTIF(customer_churn_dataset!$A$2:$A$1501,customer_churn_dataset!A1252)&gt;1,"Duplicate","Unique")</f>
        <v>Unique</v>
      </c>
    </row>
    <row r="1253" customFormat="false" ht="14.15" hidden="false" customHeight="true" outlineLevel="0" collapsed="false">
      <c r="A1253" s="7" t="str">
        <f aca="false">TRIM(customer_churn_dataset!A1253)</f>
        <v>CUST101362</v>
      </c>
      <c r="B1253" s="7" t="str">
        <f aca="false">PROPER(TRIM(customer_churn_dataset!B1253))</f>
        <v>Standard</v>
      </c>
      <c r="C1253" s="7" t="str">
        <f aca="false">PROPER(TRIM(customer_churn_dataset!C1253))</f>
        <v>One Year</v>
      </c>
      <c r="D1253" s="7" t="n">
        <f aca="false">IF(ISBLANK(customer_churn_dataset!D1253),ROUND(MEDIAN(customer_churn_dataset!D$2:D$1501),2),IF(customer_churn_dataset!D1253&lt;0,ABS(customer_churn_dataset!D1253),customer_churn_dataset!D1253))</f>
        <v>20.36</v>
      </c>
      <c r="E1253" s="7" t="n">
        <f aca="false">IF(ISBLANK(customer_churn_dataset!E1253),0,MAX(0,customer_churn_dataset!E1253))</f>
        <v>33</v>
      </c>
      <c r="F1253" s="8" t="n">
        <f aca="false">IF(ISBLANK(customer_churn_dataset!F1253),"",customer_churn_dataset!F1253)</f>
        <v>45479</v>
      </c>
      <c r="G1253" s="7" t="str">
        <f aca="false">PROPER(TRIM(customer_churn_dataset!G1253))</f>
        <v>Manual/Invoice</v>
      </c>
      <c r="H1253" s="7" t="n">
        <f aca="false">IF(ISBLANK(customer_churn_dataset!H1253),0,customer_churn_dataset!H1253)</f>
        <v>1</v>
      </c>
      <c r="I1253" s="7" t="n">
        <f aca="false">IF(ISBLANK(customer_churn_dataset!I1253),ROUND(MEDIAN(customer_churn_dataset!I$2:I$1501),1),MIN(100,MAX(0,customer_churn_dataset!I1253)))</f>
        <v>74.4</v>
      </c>
      <c r="J1253" s="7" t="n">
        <f aca="false">IF(ISBLANK(customer_churn_dataset!J1253),0,MAX(0,customer_churn_dataset!J1253))</f>
        <v>24</v>
      </c>
      <c r="K1253" s="7" t="n">
        <f aca="false">IF(ISBLANK(customer_churn_dataset!K1253),0,MIN(10,MAX(0,customer_churn_dataset!K1253)))</f>
        <v>7</v>
      </c>
      <c r="L1253" s="7" t="n">
        <f aca="false">IF(ISBLANK(customer_churn_dataset!L1253),0,MAX(0,customer_churn_dataset!L1253))</f>
        <v>1</v>
      </c>
      <c r="M1253" s="7" t="n">
        <f aca="false">IF(ISBLANK(customer_churn_dataset!M1253),0,customer_churn_dataset!M1253)</f>
        <v>1</v>
      </c>
      <c r="N1253" s="7" t="n">
        <f aca="false">IF(ISBLANK(customer_churn_dataset!N1253),0,MAX(0,customer_churn_dataset!N1253))</f>
        <v>671.88</v>
      </c>
      <c r="O1253" s="7" t="n">
        <f aca="false">IF(ISBLANK(customer_churn_dataset!O1253),0,customer_churn_dataset!O1253)</f>
        <v>0</v>
      </c>
      <c r="P1253" s="7" t="str">
        <f aca="false">IF(COUNTIF(customer_churn_dataset!$A$2:$A$1501,customer_churn_dataset!A1253)&gt;1,"Duplicate","Unique")</f>
        <v>Unique</v>
      </c>
    </row>
    <row r="1254" customFormat="false" ht="14.15" hidden="false" customHeight="true" outlineLevel="0" collapsed="false">
      <c r="A1254" s="7" t="str">
        <f aca="false">TRIM(customer_churn_dataset!A1254)</f>
        <v>CUST100587</v>
      </c>
      <c r="B1254" s="7" t="str">
        <f aca="false">PROPER(TRIM(customer_churn_dataset!B1254))</f>
        <v>Basic</v>
      </c>
      <c r="C1254" s="7" t="str">
        <f aca="false">PROPER(TRIM(customer_churn_dataset!C1254))</f>
        <v>Month-To-Month</v>
      </c>
      <c r="D1254" s="7" t="n">
        <f aca="false">IF(ISBLANK(customer_churn_dataset!D1254),ROUND(MEDIAN(customer_churn_dataset!D$2:D$1501),2),IF(customer_churn_dataset!D1254&lt;0,ABS(customer_churn_dataset!D1254),customer_churn_dataset!D1254))</f>
        <v>10.49</v>
      </c>
      <c r="E1254" s="7" t="n">
        <f aca="false">IF(ISBLANK(customer_churn_dataset!E1254),0,MAX(0,customer_churn_dataset!E1254))</f>
        <v>11</v>
      </c>
      <c r="F1254" s="8" t="n">
        <f aca="false">IF(ISBLANK(customer_churn_dataset!F1254),"",customer_churn_dataset!F1254)</f>
        <v>45479</v>
      </c>
      <c r="G1254" s="7" t="str">
        <f aca="false">PROPER(TRIM(customer_churn_dataset!G1254))</f>
        <v>Credit Card</v>
      </c>
      <c r="H1254" s="7" t="n">
        <f aca="false">IF(ISBLANK(customer_churn_dataset!H1254),0,customer_churn_dataset!H1254)</f>
        <v>1</v>
      </c>
      <c r="I1254" s="7" t="n">
        <f aca="false">IF(ISBLANK(customer_churn_dataset!I1254),ROUND(MEDIAN(customer_churn_dataset!I$2:I$1501),1),MIN(100,MAX(0,customer_churn_dataset!I1254)))</f>
        <v>32.4</v>
      </c>
      <c r="J1254" s="7" t="n">
        <f aca="false">IF(ISBLANK(customer_churn_dataset!J1254),0,MAX(0,customer_churn_dataset!J1254))</f>
        <v>6</v>
      </c>
      <c r="K1254" s="7" t="n">
        <f aca="false">IF(ISBLANK(customer_churn_dataset!K1254),0,MIN(10,MAX(0,customer_churn_dataset!K1254)))</f>
        <v>6</v>
      </c>
      <c r="L1254" s="7" t="n">
        <f aca="false">IF(ISBLANK(customer_churn_dataset!L1254),0,MAX(0,customer_churn_dataset!L1254))</f>
        <v>1</v>
      </c>
      <c r="M1254" s="7" t="n">
        <f aca="false">IF(ISBLANK(customer_churn_dataset!M1254),0,customer_churn_dataset!M1254)</f>
        <v>1</v>
      </c>
      <c r="N1254" s="7" t="n">
        <f aca="false">IF(ISBLANK(customer_churn_dataset!N1254),0,MAX(0,customer_churn_dataset!N1254))</f>
        <v>115.39</v>
      </c>
      <c r="O1254" s="7" t="n">
        <f aca="false">IF(ISBLANK(customer_churn_dataset!O1254),0,customer_churn_dataset!O1254)</f>
        <v>0</v>
      </c>
      <c r="P1254" s="7" t="str">
        <f aca="false">IF(COUNTIF(customer_churn_dataset!$A$2:$A$1501,customer_churn_dataset!A1254)&gt;1,"Duplicate","Unique")</f>
        <v>Unique</v>
      </c>
    </row>
    <row r="1255" customFormat="false" ht="14.15" hidden="false" customHeight="true" outlineLevel="0" collapsed="false">
      <c r="A1255" s="7" t="str">
        <f aca="false">TRIM(customer_churn_dataset!A1255)</f>
        <v>CUST101068</v>
      </c>
      <c r="B1255" s="7" t="str">
        <f aca="false">PROPER(TRIM(customer_churn_dataset!B1255))</f>
        <v>Basic</v>
      </c>
      <c r="C1255" s="7" t="str">
        <f aca="false">PROPER(TRIM(customer_churn_dataset!C1255))</f>
        <v>Month-To-Month</v>
      </c>
      <c r="D1255" s="7" t="n">
        <f aca="false">IF(ISBLANK(customer_churn_dataset!D1255),ROUND(MEDIAN(customer_churn_dataset!D$2:D$1501),2),IF(customer_churn_dataset!D1255&lt;0,ABS(customer_churn_dataset!D1255),customer_churn_dataset!D1255))</f>
        <v>8.12</v>
      </c>
      <c r="E1255" s="7" t="n">
        <f aca="false">IF(ISBLANK(customer_churn_dataset!E1255),0,MAX(0,customer_churn_dataset!E1255))</f>
        <v>10</v>
      </c>
      <c r="F1255" s="8" t="n">
        <f aca="false">IF(ISBLANK(customer_churn_dataset!F1255),"",customer_churn_dataset!F1255)</f>
        <v>45483</v>
      </c>
      <c r="G1255" s="7" t="str">
        <f aca="false">PROPER(TRIM(customer_churn_dataset!G1255))</f>
        <v>Credit Card</v>
      </c>
      <c r="H1255" s="7" t="n">
        <f aca="false">IF(ISBLANK(customer_churn_dataset!H1255),0,customer_churn_dataset!H1255)</f>
        <v>1</v>
      </c>
      <c r="I1255" s="7" t="n">
        <f aca="false">IF(ISBLANK(customer_churn_dataset!I1255),ROUND(MEDIAN(customer_churn_dataset!I$2:I$1501),1),MIN(100,MAX(0,customer_churn_dataset!I1255)))</f>
        <v>58.7</v>
      </c>
      <c r="J1255" s="7" t="n">
        <f aca="false">IF(ISBLANK(customer_churn_dataset!J1255),0,MAX(0,customer_churn_dataset!J1255))</f>
        <v>18</v>
      </c>
      <c r="K1255" s="7" t="n">
        <f aca="false">IF(ISBLANK(customer_churn_dataset!K1255),0,MIN(10,MAX(0,customer_churn_dataset!K1255)))</f>
        <v>6</v>
      </c>
      <c r="L1255" s="7" t="n">
        <f aca="false">IF(ISBLANK(customer_churn_dataset!L1255),0,MAX(0,customer_churn_dataset!L1255))</f>
        <v>0</v>
      </c>
      <c r="M1255" s="7" t="n">
        <f aca="false">IF(ISBLANK(customer_churn_dataset!M1255),0,customer_churn_dataset!M1255)</f>
        <v>0</v>
      </c>
      <c r="N1255" s="7" t="n">
        <f aca="false">IF(ISBLANK(customer_churn_dataset!N1255),0,MAX(0,customer_churn_dataset!N1255))</f>
        <v>81.2</v>
      </c>
      <c r="O1255" s="7" t="n">
        <f aca="false">IF(ISBLANK(customer_churn_dataset!O1255),0,customer_churn_dataset!O1255)</f>
        <v>1</v>
      </c>
      <c r="P1255" s="7" t="str">
        <f aca="false">IF(COUNTIF(customer_churn_dataset!$A$2:$A$1501,customer_churn_dataset!A1255)&gt;1,"Duplicate","Unique")</f>
        <v>Unique</v>
      </c>
    </row>
    <row r="1256" customFormat="false" ht="14.15" hidden="false" customHeight="true" outlineLevel="0" collapsed="false">
      <c r="A1256" s="7" t="str">
        <f aca="false">TRIM(customer_churn_dataset!A1256)</f>
        <v>CUST101182</v>
      </c>
      <c r="B1256" s="7" t="str">
        <f aca="false">PROPER(TRIM(customer_churn_dataset!B1256))</f>
        <v>Standard</v>
      </c>
      <c r="C1256" s="7" t="str">
        <f aca="false">PROPER(TRIM(customer_churn_dataset!C1256))</f>
        <v>One Year</v>
      </c>
      <c r="D1256" s="7" t="n">
        <f aca="false">IF(ISBLANK(customer_churn_dataset!D1256),ROUND(MEDIAN(customer_churn_dataset!D$2:D$1501),2),IF(customer_churn_dataset!D1256&lt;0,ABS(customer_churn_dataset!D1256),customer_churn_dataset!D1256))</f>
        <v>20.48</v>
      </c>
      <c r="E1256" s="7" t="n">
        <f aca="false">IF(ISBLANK(customer_churn_dataset!E1256),0,MAX(0,customer_churn_dataset!E1256))</f>
        <v>37</v>
      </c>
      <c r="F1256" s="8" t="n">
        <f aca="false">IF(ISBLANK(customer_churn_dataset!F1256),"",customer_churn_dataset!F1256)</f>
        <v>45484</v>
      </c>
      <c r="G1256" s="7" t="str">
        <f aca="false">PROPER(TRIM(customer_churn_dataset!G1256))</f>
        <v>Bank Transfer</v>
      </c>
      <c r="H1256" s="7" t="n">
        <f aca="false">IF(ISBLANK(customer_churn_dataset!H1256),0,customer_churn_dataset!H1256)</f>
        <v>0</v>
      </c>
      <c r="I1256" s="7" t="n">
        <f aca="false">IF(ISBLANK(customer_churn_dataset!I1256),ROUND(MEDIAN(customer_churn_dataset!I$2:I$1501),1),MIN(100,MAX(0,customer_churn_dataset!I1256)))</f>
        <v>48.7</v>
      </c>
      <c r="J1256" s="7" t="n">
        <f aca="false">IF(ISBLANK(customer_churn_dataset!J1256),0,MAX(0,customer_churn_dataset!J1256))</f>
        <v>19</v>
      </c>
      <c r="K1256" s="7" t="n">
        <f aca="false">IF(ISBLANK(customer_churn_dataset!K1256),0,MIN(10,MAX(0,customer_churn_dataset!K1256)))</f>
        <v>3</v>
      </c>
      <c r="L1256" s="7" t="n">
        <f aca="false">IF(ISBLANK(customer_churn_dataset!L1256),0,MAX(0,customer_churn_dataset!L1256))</f>
        <v>3</v>
      </c>
      <c r="M1256" s="7" t="n">
        <f aca="false">IF(ISBLANK(customer_churn_dataset!M1256),0,customer_churn_dataset!M1256)</f>
        <v>1</v>
      </c>
      <c r="N1256" s="7" t="n">
        <f aca="false">IF(ISBLANK(customer_churn_dataset!N1256),0,MAX(0,customer_churn_dataset!N1256))</f>
        <v>757.76</v>
      </c>
      <c r="O1256" s="7" t="n">
        <f aca="false">IF(ISBLANK(customer_churn_dataset!O1256),0,customer_churn_dataset!O1256)</f>
        <v>0</v>
      </c>
      <c r="P1256" s="7" t="str">
        <f aca="false">IF(COUNTIF(customer_churn_dataset!$A$2:$A$1501,customer_churn_dataset!A1256)&gt;1,"Duplicate","Unique")</f>
        <v>Unique</v>
      </c>
    </row>
    <row r="1257" customFormat="false" ht="14.15" hidden="false" customHeight="true" outlineLevel="0" collapsed="false">
      <c r="A1257" s="7" t="str">
        <f aca="false">TRIM(customer_churn_dataset!A1257)</f>
        <v>CUST100022</v>
      </c>
      <c r="B1257" s="7" t="str">
        <f aca="false">PROPER(TRIM(customer_churn_dataset!B1257))</f>
        <v>Basic</v>
      </c>
      <c r="C1257" s="7" t="str">
        <f aca="false">PROPER(TRIM(customer_churn_dataset!C1257))</f>
        <v>Month-To-Month</v>
      </c>
      <c r="D1257" s="7" t="n">
        <f aca="false">IF(ISBLANK(customer_churn_dataset!D1257),ROUND(MEDIAN(customer_churn_dataset!D$2:D$1501),2),IF(customer_churn_dataset!D1257&lt;0,ABS(customer_churn_dataset!D1257),customer_churn_dataset!D1257))</f>
        <v>10.91</v>
      </c>
      <c r="E1257" s="7" t="n">
        <f aca="false">IF(ISBLANK(customer_churn_dataset!E1257),0,MAX(0,customer_churn_dataset!E1257))</f>
        <v>0</v>
      </c>
      <c r="F1257" s="8" t="n">
        <f aca="false">IF(ISBLANK(customer_churn_dataset!F1257),"",customer_churn_dataset!F1257)</f>
        <v>45485</v>
      </c>
      <c r="G1257" s="7" t="str">
        <f aca="false">PROPER(TRIM(customer_churn_dataset!G1257))</f>
        <v>Credit Card</v>
      </c>
      <c r="H1257" s="7" t="n">
        <f aca="false">IF(ISBLANK(customer_churn_dataset!H1257),0,customer_churn_dataset!H1257)</f>
        <v>1</v>
      </c>
      <c r="I1257" s="7" t="n">
        <f aca="false">IF(ISBLANK(customer_churn_dataset!I1257),ROUND(MEDIAN(customer_churn_dataset!I$2:I$1501),1),MIN(100,MAX(0,customer_churn_dataset!I1257)))</f>
        <v>53.3</v>
      </c>
      <c r="J1257" s="7" t="n">
        <f aca="false">IF(ISBLANK(customer_churn_dataset!J1257),0,MAX(0,customer_churn_dataset!J1257))</f>
        <v>17</v>
      </c>
      <c r="K1257" s="7" t="n">
        <f aca="false">IF(ISBLANK(customer_churn_dataset!K1257),0,MIN(10,MAX(0,customer_churn_dataset!K1257)))</f>
        <v>7</v>
      </c>
      <c r="L1257" s="7" t="n">
        <f aca="false">IF(ISBLANK(customer_churn_dataset!L1257),0,MAX(0,customer_churn_dataset!L1257))</f>
        <v>0</v>
      </c>
      <c r="M1257" s="7" t="n">
        <f aca="false">IF(ISBLANK(customer_churn_dataset!M1257),0,customer_churn_dataset!M1257)</f>
        <v>0</v>
      </c>
      <c r="N1257" s="7" t="n">
        <f aca="false">IF(ISBLANK(customer_churn_dataset!N1257),0,MAX(0,customer_churn_dataset!N1257))</f>
        <v>0</v>
      </c>
      <c r="O1257" s="7" t="n">
        <f aca="false">IF(ISBLANK(customer_churn_dataset!O1257),0,customer_churn_dataset!O1257)</f>
        <v>0</v>
      </c>
      <c r="P1257" s="7" t="str">
        <f aca="false">IF(COUNTIF(customer_churn_dataset!$A$2:$A$1501,customer_churn_dataset!A1257)&gt;1,"Duplicate","Unique")</f>
        <v>Unique</v>
      </c>
    </row>
    <row r="1258" customFormat="false" ht="14.15" hidden="false" customHeight="true" outlineLevel="0" collapsed="false">
      <c r="A1258" s="7" t="str">
        <f aca="false">TRIM(customer_churn_dataset!A1258)</f>
        <v>CUST100040</v>
      </c>
      <c r="B1258" s="7" t="str">
        <f aca="false">PROPER(TRIM(customer_churn_dataset!B1258))</f>
        <v>Basic</v>
      </c>
      <c r="C1258" s="7" t="str">
        <f aca="false">PROPER(TRIM(customer_churn_dataset!C1258))</f>
        <v>Two Year</v>
      </c>
      <c r="D1258" s="7" t="n">
        <f aca="false">IF(ISBLANK(customer_churn_dataset!D1258),ROUND(MEDIAN(customer_churn_dataset!D$2:D$1501),2),IF(customer_churn_dataset!D1258&lt;0,ABS(customer_churn_dataset!D1258),customer_churn_dataset!D1258))</f>
        <v>10.12</v>
      </c>
      <c r="E1258" s="7" t="n">
        <f aca="false">IF(ISBLANK(customer_churn_dataset!E1258),0,MAX(0,customer_churn_dataset!E1258))</f>
        <v>72</v>
      </c>
      <c r="F1258" s="8" t="n">
        <f aca="false">IF(ISBLANK(customer_churn_dataset!F1258),"",customer_churn_dataset!F1258)</f>
        <v>45488</v>
      </c>
      <c r="G1258" s="7" t="str">
        <f aca="false">PROPER(TRIM(customer_churn_dataset!G1258))</f>
        <v>Credit Card</v>
      </c>
      <c r="H1258" s="7" t="n">
        <f aca="false">IF(ISBLANK(customer_churn_dataset!H1258),0,customer_churn_dataset!H1258)</f>
        <v>1</v>
      </c>
      <c r="I1258" s="7" t="n">
        <f aca="false">IF(ISBLANK(customer_churn_dataset!I1258),ROUND(MEDIAN(customer_churn_dataset!I$2:I$1501),1),MIN(100,MAX(0,customer_churn_dataset!I1258)))</f>
        <v>50.7</v>
      </c>
      <c r="J1258" s="7" t="n">
        <f aca="false">IF(ISBLANK(customer_churn_dataset!J1258),0,MAX(0,customer_churn_dataset!J1258))</f>
        <v>18</v>
      </c>
      <c r="K1258" s="7" t="n">
        <f aca="false">IF(ISBLANK(customer_churn_dataset!K1258),0,MIN(10,MAX(0,customer_churn_dataset!K1258)))</f>
        <v>6</v>
      </c>
      <c r="L1258" s="7" t="n">
        <f aca="false">IF(ISBLANK(customer_churn_dataset!L1258),0,MAX(0,customer_churn_dataset!L1258))</f>
        <v>0</v>
      </c>
      <c r="M1258" s="7" t="n">
        <f aca="false">IF(ISBLANK(customer_churn_dataset!M1258),0,customer_churn_dataset!M1258)</f>
        <v>0</v>
      </c>
      <c r="N1258" s="7" t="n">
        <f aca="false">IF(ISBLANK(customer_churn_dataset!N1258),0,MAX(0,customer_churn_dataset!N1258))</f>
        <v>728.64</v>
      </c>
      <c r="O1258" s="7" t="n">
        <f aca="false">IF(ISBLANK(customer_churn_dataset!O1258),0,customer_churn_dataset!O1258)</f>
        <v>0</v>
      </c>
      <c r="P1258" s="7" t="str">
        <f aca="false">IF(COUNTIF(customer_churn_dataset!$A$2:$A$1501,customer_churn_dataset!A1258)&gt;1,"Duplicate","Unique")</f>
        <v>Unique</v>
      </c>
    </row>
    <row r="1259" customFormat="false" ht="14.15" hidden="false" customHeight="true" outlineLevel="0" collapsed="false">
      <c r="A1259" s="7" t="str">
        <f aca="false">TRIM(customer_churn_dataset!A1259)</f>
        <v>CUST101318</v>
      </c>
      <c r="B1259" s="7" t="str">
        <f aca="false">PROPER(TRIM(customer_churn_dataset!B1259))</f>
        <v>Basic</v>
      </c>
      <c r="C1259" s="7" t="str">
        <f aca="false">PROPER(TRIM(customer_churn_dataset!C1259))</f>
        <v>One Year</v>
      </c>
      <c r="D1259" s="7" t="n">
        <f aca="false">IF(ISBLANK(customer_churn_dataset!D1259),ROUND(MEDIAN(customer_churn_dataset!D$2:D$1501),2),IF(customer_churn_dataset!D1259&lt;0,ABS(customer_churn_dataset!D1259),customer_churn_dataset!D1259))</f>
        <v>8.65</v>
      </c>
      <c r="E1259" s="7" t="n">
        <f aca="false">IF(ISBLANK(customer_churn_dataset!E1259),0,MAX(0,customer_churn_dataset!E1259))</f>
        <v>0</v>
      </c>
      <c r="F1259" s="8" t="n">
        <f aca="false">IF(ISBLANK(customer_churn_dataset!F1259),"",customer_churn_dataset!F1259)</f>
        <v>45492</v>
      </c>
      <c r="G1259" s="7" t="str">
        <f aca="false">PROPER(TRIM(customer_churn_dataset!G1259))</f>
        <v>Credit Card</v>
      </c>
      <c r="H1259" s="7" t="n">
        <f aca="false">IF(ISBLANK(customer_churn_dataset!H1259),0,customer_churn_dataset!H1259)</f>
        <v>1</v>
      </c>
      <c r="I1259" s="7" t="n">
        <f aca="false">IF(ISBLANK(customer_churn_dataset!I1259),ROUND(MEDIAN(customer_churn_dataset!I$2:I$1501),1),MIN(100,MAX(0,customer_churn_dataset!I1259)))</f>
        <v>7.4</v>
      </c>
      <c r="J1259" s="7" t="n">
        <f aca="false">IF(ISBLANK(customer_churn_dataset!J1259),0,MAX(0,customer_churn_dataset!J1259))</f>
        <v>1</v>
      </c>
      <c r="K1259" s="7" t="n">
        <f aca="false">IF(ISBLANK(customer_churn_dataset!K1259),0,MIN(10,MAX(0,customer_churn_dataset!K1259)))</f>
        <v>0</v>
      </c>
      <c r="L1259" s="7" t="n">
        <f aca="false">IF(ISBLANK(customer_churn_dataset!L1259),0,MAX(0,customer_churn_dataset!L1259))</f>
        <v>4</v>
      </c>
      <c r="M1259" s="7" t="n">
        <f aca="false">IF(ISBLANK(customer_churn_dataset!M1259),0,customer_churn_dataset!M1259)</f>
        <v>0</v>
      </c>
      <c r="N1259" s="7" t="n">
        <f aca="false">IF(ISBLANK(customer_churn_dataset!N1259),0,MAX(0,customer_churn_dataset!N1259))</f>
        <v>0</v>
      </c>
      <c r="O1259" s="7" t="n">
        <f aca="false">IF(ISBLANK(customer_churn_dataset!O1259),0,customer_churn_dataset!O1259)</f>
        <v>0</v>
      </c>
      <c r="P1259" s="7" t="str">
        <f aca="false">IF(COUNTIF(customer_churn_dataset!$A$2:$A$1501,customer_churn_dataset!A1259)&gt;1,"Duplicate","Unique")</f>
        <v>Unique</v>
      </c>
    </row>
    <row r="1260" customFormat="false" ht="14.15" hidden="false" customHeight="true" outlineLevel="0" collapsed="false">
      <c r="A1260" s="7" t="str">
        <f aca="false">TRIM(customer_churn_dataset!A1260)</f>
        <v>CUST100999</v>
      </c>
      <c r="B1260" s="7" t="str">
        <f aca="false">PROPER(TRIM(customer_churn_dataset!B1260))</f>
        <v>Basic</v>
      </c>
      <c r="C1260" s="7" t="str">
        <f aca="false">PROPER(TRIM(customer_churn_dataset!C1260))</f>
        <v>One Year</v>
      </c>
      <c r="D1260" s="7" t="n">
        <f aca="false">IF(ISBLANK(customer_churn_dataset!D1260),ROUND(MEDIAN(customer_churn_dataset!D$2:D$1501),2),IF(customer_churn_dataset!D1260&lt;0,ABS(customer_churn_dataset!D1260),customer_churn_dataset!D1260))</f>
        <v>10.55</v>
      </c>
      <c r="E1260" s="7" t="n">
        <f aca="false">IF(ISBLANK(customer_churn_dataset!E1260),0,MAX(0,customer_churn_dataset!E1260))</f>
        <v>12</v>
      </c>
      <c r="F1260" s="8" t="n">
        <f aca="false">IF(ISBLANK(customer_churn_dataset!F1260),"",customer_churn_dataset!F1260)</f>
        <v>45494</v>
      </c>
      <c r="G1260" s="7" t="str">
        <f aca="false">PROPER(TRIM(customer_churn_dataset!G1260))</f>
        <v>Credit Card</v>
      </c>
      <c r="H1260" s="7" t="n">
        <f aca="false">IF(ISBLANK(customer_churn_dataset!H1260),0,customer_churn_dataset!H1260)</f>
        <v>0</v>
      </c>
      <c r="I1260" s="7" t="n">
        <f aca="false">IF(ISBLANK(customer_churn_dataset!I1260),ROUND(MEDIAN(customer_churn_dataset!I$2:I$1501),1),MIN(100,MAX(0,customer_churn_dataset!I1260)))</f>
        <v>25.4</v>
      </c>
      <c r="J1260" s="7" t="n">
        <f aca="false">IF(ISBLANK(customer_churn_dataset!J1260),0,MAX(0,customer_churn_dataset!J1260))</f>
        <v>3</v>
      </c>
      <c r="K1260" s="7" t="n">
        <f aca="false">IF(ISBLANK(customer_churn_dataset!K1260),0,MIN(10,MAX(0,customer_churn_dataset!K1260)))</f>
        <v>3</v>
      </c>
      <c r="L1260" s="7" t="n">
        <f aca="false">IF(ISBLANK(customer_churn_dataset!L1260),0,MAX(0,customer_churn_dataset!L1260))</f>
        <v>2</v>
      </c>
      <c r="M1260" s="7" t="n">
        <f aca="false">IF(ISBLANK(customer_churn_dataset!M1260),0,customer_churn_dataset!M1260)</f>
        <v>0</v>
      </c>
      <c r="N1260" s="7" t="n">
        <f aca="false">IF(ISBLANK(customer_churn_dataset!N1260),0,MAX(0,customer_churn_dataset!N1260))</f>
        <v>126.6</v>
      </c>
      <c r="O1260" s="7" t="n">
        <f aca="false">IF(ISBLANK(customer_churn_dataset!O1260),0,customer_churn_dataset!O1260)</f>
        <v>0</v>
      </c>
      <c r="P1260" s="7" t="str">
        <f aca="false">IF(COUNTIF(customer_churn_dataset!$A$2:$A$1501,customer_churn_dataset!A1260)&gt;1,"Duplicate","Unique")</f>
        <v>Unique</v>
      </c>
    </row>
    <row r="1261" customFormat="false" ht="14.15" hidden="false" customHeight="true" outlineLevel="0" collapsed="false">
      <c r="A1261" s="7" t="str">
        <f aca="false">TRIM(customer_churn_dataset!A1261)</f>
        <v>CUST100559</v>
      </c>
      <c r="B1261" s="7" t="str">
        <f aca="false">PROPER(TRIM(customer_churn_dataset!B1261))</f>
        <v>Standard</v>
      </c>
      <c r="C1261" s="7" t="str">
        <f aca="false">PROPER(TRIM(customer_churn_dataset!C1261))</f>
        <v>Month-To-Month</v>
      </c>
      <c r="D1261" s="7" t="n">
        <f aca="false">IF(ISBLANK(customer_churn_dataset!D1261),ROUND(MEDIAN(customer_churn_dataset!D$2:D$1501),2),IF(customer_churn_dataset!D1261&lt;0,ABS(customer_churn_dataset!D1261),customer_churn_dataset!D1261))</f>
        <v>19.55</v>
      </c>
      <c r="E1261" s="7" t="n">
        <f aca="false">IF(ISBLANK(customer_churn_dataset!E1261),0,MAX(0,customer_churn_dataset!E1261))</f>
        <v>18</v>
      </c>
      <c r="F1261" s="8" t="n">
        <f aca="false">IF(ISBLANK(customer_churn_dataset!F1261),"",customer_churn_dataset!F1261)</f>
        <v>45494</v>
      </c>
      <c r="G1261" s="7" t="str">
        <f aca="false">PROPER(TRIM(customer_churn_dataset!G1261))</f>
        <v>Credit Card</v>
      </c>
      <c r="H1261" s="7" t="n">
        <f aca="false">IF(ISBLANK(customer_churn_dataset!H1261),0,customer_churn_dataset!H1261)</f>
        <v>0</v>
      </c>
      <c r="I1261" s="7" t="n">
        <f aca="false">IF(ISBLANK(customer_churn_dataset!I1261),ROUND(MEDIAN(customer_churn_dataset!I$2:I$1501),1),MIN(100,MAX(0,customer_churn_dataset!I1261)))</f>
        <v>58.2</v>
      </c>
      <c r="J1261" s="7" t="n">
        <f aca="false">IF(ISBLANK(customer_churn_dataset!J1261),0,MAX(0,customer_churn_dataset!J1261))</f>
        <v>19</v>
      </c>
      <c r="K1261" s="7" t="n">
        <f aca="false">IF(ISBLANK(customer_churn_dataset!K1261),0,MIN(10,MAX(0,customer_churn_dataset!K1261)))</f>
        <v>5</v>
      </c>
      <c r="L1261" s="7" t="n">
        <f aca="false">IF(ISBLANK(customer_churn_dataset!L1261),0,MAX(0,customer_churn_dataset!L1261))</f>
        <v>1</v>
      </c>
      <c r="M1261" s="7" t="n">
        <f aca="false">IF(ISBLANK(customer_churn_dataset!M1261),0,customer_churn_dataset!M1261)</f>
        <v>0</v>
      </c>
      <c r="N1261" s="7" t="n">
        <f aca="false">IF(ISBLANK(customer_churn_dataset!N1261),0,MAX(0,customer_churn_dataset!N1261))</f>
        <v>351.9</v>
      </c>
      <c r="O1261" s="7" t="n">
        <f aca="false">IF(ISBLANK(customer_churn_dataset!O1261),0,customer_churn_dataset!O1261)</f>
        <v>0</v>
      </c>
      <c r="P1261" s="7" t="str">
        <f aca="false">IF(COUNTIF(customer_churn_dataset!$A$2:$A$1501,customer_churn_dataset!A1261)&gt;1,"Duplicate","Unique")</f>
        <v>Unique</v>
      </c>
    </row>
    <row r="1262" customFormat="false" ht="14.15" hidden="false" customHeight="true" outlineLevel="0" collapsed="false">
      <c r="A1262" s="7" t="str">
        <f aca="false">TRIM(customer_churn_dataset!A1262)</f>
        <v>CUST100045</v>
      </c>
      <c r="B1262" s="7" t="str">
        <f aca="false">PROPER(TRIM(customer_churn_dataset!B1262))</f>
        <v>Standard</v>
      </c>
      <c r="C1262" s="7" t="str">
        <f aca="false">PROPER(TRIM(customer_churn_dataset!C1262))</f>
        <v>Month-To-Month</v>
      </c>
      <c r="D1262" s="7" t="n">
        <f aca="false">IF(ISBLANK(customer_churn_dataset!D1262),ROUND(MEDIAN(customer_churn_dataset!D$2:D$1501),2),IF(customer_churn_dataset!D1262&lt;0,ABS(customer_churn_dataset!D1262),customer_churn_dataset!D1262))</f>
        <v>20.03</v>
      </c>
      <c r="E1262" s="7" t="n">
        <f aca="false">IF(ISBLANK(customer_churn_dataset!E1262),0,MAX(0,customer_churn_dataset!E1262))</f>
        <v>17</v>
      </c>
      <c r="F1262" s="8" t="n">
        <f aca="false">IF(ISBLANK(customer_churn_dataset!F1262),"",customer_churn_dataset!F1262)</f>
        <v>45494</v>
      </c>
      <c r="G1262" s="7" t="str">
        <f aca="false">PROPER(TRIM(customer_churn_dataset!G1262))</f>
        <v>Credit Card</v>
      </c>
      <c r="H1262" s="7" t="n">
        <f aca="false">IF(ISBLANK(customer_churn_dataset!H1262),0,customer_churn_dataset!H1262)</f>
        <v>0</v>
      </c>
      <c r="I1262" s="7" t="n">
        <f aca="false">IF(ISBLANK(customer_churn_dataset!I1262),ROUND(MEDIAN(customer_churn_dataset!I$2:I$1501),1),MIN(100,MAX(0,customer_churn_dataset!I1262)))</f>
        <v>65</v>
      </c>
      <c r="J1262" s="7" t="n">
        <f aca="false">IF(ISBLANK(customer_churn_dataset!J1262),0,MAX(0,customer_churn_dataset!J1262))</f>
        <v>16</v>
      </c>
      <c r="K1262" s="7" t="n">
        <f aca="false">IF(ISBLANK(customer_churn_dataset!K1262),0,MIN(10,MAX(0,customer_churn_dataset!K1262)))</f>
        <v>5</v>
      </c>
      <c r="L1262" s="7" t="n">
        <f aca="false">IF(ISBLANK(customer_churn_dataset!L1262),0,MAX(0,customer_churn_dataset!L1262))</f>
        <v>1</v>
      </c>
      <c r="M1262" s="7" t="n">
        <f aca="false">IF(ISBLANK(customer_churn_dataset!M1262),0,customer_churn_dataset!M1262)</f>
        <v>0</v>
      </c>
      <c r="N1262" s="7" t="n">
        <f aca="false">IF(ISBLANK(customer_churn_dataset!N1262),0,MAX(0,customer_churn_dataset!N1262))</f>
        <v>340.51</v>
      </c>
      <c r="O1262" s="7" t="n">
        <f aca="false">IF(ISBLANK(customer_churn_dataset!O1262),0,customer_churn_dataset!O1262)</f>
        <v>0</v>
      </c>
      <c r="P1262" s="7" t="str">
        <f aca="false">IF(COUNTIF(customer_churn_dataset!$A$2:$A$1501,customer_churn_dataset!A1262)&gt;1,"Duplicate","Unique")</f>
        <v>Unique</v>
      </c>
    </row>
    <row r="1263" customFormat="false" ht="14.15" hidden="false" customHeight="true" outlineLevel="0" collapsed="false">
      <c r="A1263" s="7" t="str">
        <f aca="false">TRIM(customer_churn_dataset!A1263)</f>
        <v>CUST100755</v>
      </c>
      <c r="B1263" s="7" t="str">
        <f aca="false">PROPER(TRIM(customer_churn_dataset!B1263))</f>
        <v>Standard</v>
      </c>
      <c r="C1263" s="7" t="str">
        <f aca="false">PROPER(TRIM(customer_churn_dataset!C1263))</f>
        <v>Month-To-Month</v>
      </c>
      <c r="D1263" s="7" t="n">
        <f aca="false">IF(ISBLANK(customer_churn_dataset!D1263),ROUND(MEDIAN(customer_churn_dataset!D$2:D$1501),2),IF(customer_churn_dataset!D1263&lt;0,ABS(customer_churn_dataset!D1263),customer_churn_dataset!D1263))</f>
        <v>19.45</v>
      </c>
      <c r="E1263" s="7" t="n">
        <f aca="false">IF(ISBLANK(customer_churn_dataset!E1263),0,MAX(0,customer_churn_dataset!E1263))</f>
        <v>53</v>
      </c>
      <c r="F1263" s="8" t="n">
        <f aca="false">IF(ISBLANK(customer_churn_dataset!F1263),"",customer_churn_dataset!F1263)</f>
        <v>45499</v>
      </c>
      <c r="G1263" s="7" t="str">
        <f aca="false">PROPER(TRIM(customer_churn_dataset!G1263))</f>
        <v>Credit Card</v>
      </c>
      <c r="H1263" s="7" t="n">
        <f aca="false">IF(ISBLANK(customer_churn_dataset!H1263),0,customer_churn_dataset!H1263)</f>
        <v>0</v>
      </c>
      <c r="I1263" s="7" t="n">
        <f aca="false">IF(ISBLANK(customer_churn_dataset!I1263),ROUND(MEDIAN(customer_churn_dataset!I$2:I$1501),1),MIN(100,MAX(0,customer_churn_dataset!I1263)))</f>
        <v>19.9</v>
      </c>
      <c r="J1263" s="7" t="n">
        <f aca="false">IF(ISBLANK(customer_churn_dataset!J1263),0,MAX(0,customer_churn_dataset!J1263))</f>
        <v>9</v>
      </c>
      <c r="K1263" s="7" t="n">
        <f aca="false">IF(ISBLANK(customer_churn_dataset!K1263),0,MIN(10,MAX(0,customer_churn_dataset!K1263)))</f>
        <v>3</v>
      </c>
      <c r="L1263" s="7" t="n">
        <f aca="false">IF(ISBLANK(customer_churn_dataset!L1263),0,MAX(0,customer_churn_dataset!L1263))</f>
        <v>4</v>
      </c>
      <c r="M1263" s="7" t="n">
        <f aca="false">IF(ISBLANK(customer_churn_dataset!M1263),0,customer_churn_dataset!M1263)</f>
        <v>1</v>
      </c>
      <c r="N1263" s="7" t="n">
        <f aca="false">IF(ISBLANK(customer_churn_dataset!N1263),0,MAX(0,customer_churn_dataset!N1263))</f>
        <v>1030.85</v>
      </c>
      <c r="O1263" s="7" t="n">
        <f aca="false">IF(ISBLANK(customer_churn_dataset!O1263),0,customer_churn_dataset!O1263)</f>
        <v>0</v>
      </c>
      <c r="P1263" s="7" t="str">
        <f aca="false">IF(COUNTIF(customer_churn_dataset!$A$2:$A$1501,customer_churn_dataset!A1263)&gt;1,"Duplicate","Unique")</f>
        <v>Unique</v>
      </c>
    </row>
    <row r="1264" customFormat="false" ht="14.15" hidden="false" customHeight="true" outlineLevel="0" collapsed="false">
      <c r="A1264" s="7" t="str">
        <f aca="false">TRIM(customer_churn_dataset!A1264)</f>
        <v>CUST100786</v>
      </c>
      <c r="B1264" s="7" t="str">
        <f aca="false">PROPER(TRIM(customer_churn_dataset!B1264))</f>
        <v>Standard</v>
      </c>
      <c r="C1264" s="7" t="str">
        <f aca="false">PROPER(TRIM(customer_churn_dataset!C1264))</f>
        <v>One Year</v>
      </c>
      <c r="D1264" s="7" t="n">
        <f aca="false">IF(ISBLANK(customer_churn_dataset!D1264),ROUND(MEDIAN(customer_churn_dataset!D$2:D$1501),2),IF(customer_churn_dataset!D1264&lt;0,ABS(customer_churn_dataset!D1264),customer_churn_dataset!D1264))</f>
        <v>20.37</v>
      </c>
      <c r="E1264" s="7" t="n">
        <f aca="false">IF(ISBLANK(customer_churn_dataset!E1264),0,MAX(0,customer_churn_dataset!E1264))</f>
        <v>5</v>
      </c>
      <c r="F1264" s="8" t="n">
        <f aca="false">IF(ISBLANK(customer_churn_dataset!F1264),"",customer_churn_dataset!F1264)</f>
        <v>45500</v>
      </c>
      <c r="G1264" s="7" t="str">
        <f aca="false">PROPER(TRIM(customer_churn_dataset!G1264))</f>
        <v>Manual/Invoice</v>
      </c>
      <c r="H1264" s="7" t="n">
        <f aca="false">IF(ISBLANK(customer_churn_dataset!H1264),0,customer_churn_dataset!H1264)</f>
        <v>1</v>
      </c>
      <c r="I1264" s="7" t="n">
        <f aca="false">IF(ISBLANK(customer_churn_dataset!I1264),ROUND(MEDIAN(customer_churn_dataset!I$2:I$1501),1),MIN(100,MAX(0,customer_churn_dataset!I1264)))</f>
        <v>27</v>
      </c>
      <c r="J1264" s="7" t="n">
        <f aca="false">IF(ISBLANK(customer_churn_dataset!J1264),0,MAX(0,customer_churn_dataset!J1264))</f>
        <v>10</v>
      </c>
      <c r="K1264" s="7" t="n">
        <f aca="false">IF(ISBLANK(customer_churn_dataset!K1264),0,MIN(10,MAX(0,customer_churn_dataset!K1264)))</f>
        <v>2</v>
      </c>
      <c r="L1264" s="7" t="n">
        <f aca="false">IF(ISBLANK(customer_churn_dataset!L1264),0,MAX(0,customer_churn_dataset!L1264))</f>
        <v>5</v>
      </c>
      <c r="M1264" s="7" t="n">
        <f aca="false">IF(ISBLANK(customer_churn_dataset!M1264),0,customer_churn_dataset!M1264)</f>
        <v>0</v>
      </c>
      <c r="N1264" s="7" t="n">
        <f aca="false">IF(ISBLANK(customer_churn_dataset!N1264),0,MAX(0,customer_churn_dataset!N1264))</f>
        <v>101.85</v>
      </c>
      <c r="O1264" s="7" t="n">
        <f aca="false">IF(ISBLANK(customer_churn_dataset!O1264),0,customer_churn_dataset!O1264)</f>
        <v>0</v>
      </c>
      <c r="P1264" s="7" t="str">
        <f aca="false">IF(COUNTIF(customer_churn_dataset!$A$2:$A$1501,customer_churn_dataset!A1264)&gt;1,"Duplicate","Unique")</f>
        <v>Unique</v>
      </c>
    </row>
    <row r="1265" customFormat="false" ht="14.15" hidden="false" customHeight="true" outlineLevel="0" collapsed="false">
      <c r="A1265" s="7" t="str">
        <f aca="false">TRIM(customer_churn_dataset!A1265)</f>
        <v>CUST100835</v>
      </c>
      <c r="B1265" s="7" t="str">
        <f aca="false">PROPER(TRIM(customer_churn_dataset!B1265))</f>
        <v>Basic</v>
      </c>
      <c r="C1265" s="7" t="str">
        <f aca="false">PROPER(TRIM(customer_churn_dataset!C1265))</f>
        <v>Month-To-Month</v>
      </c>
      <c r="D1265" s="7" t="n">
        <f aca="false">IF(ISBLANK(customer_churn_dataset!D1265),ROUND(MEDIAN(customer_churn_dataset!D$2:D$1501),2),IF(customer_churn_dataset!D1265&lt;0,ABS(customer_churn_dataset!D1265),customer_churn_dataset!D1265))</f>
        <v>11.06</v>
      </c>
      <c r="E1265" s="7" t="n">
        <f aca="false">IF(ISBLANK(customer_churn_dataset!E1265),0,MAX(0,customer_churn_dataset!E1265))</f>
        <v>9</v>
      </c>
      <c r="F1265" s="8" t="n">
        <f aca="false">IF(ISBLANK(customer_churn_dataset!F1265),"",customer_churn_dataset!F1265)</f>
        <v>45503</v>
      </c>
      <c r="G1265" s="7" t="str">
        <f aca="false">PROPER(TRIM(customer_churn_dataset!G1265))</f>
        <v>Credit Card</v>
      </c>
      <c r="H1265" s="7" t="n">
        <f aca="false">IF(ISBLANK(customer_churn_dataset!H1265),0,customer_churn_dataset!H1265)</f>
        <v>1</v>
      </c>
      <c r="I1265" s="7" t="n">
        <f aca="false">IF(ISBLANK(customer_churn_dataset!I1265),ROUND(MEDIAN(customer_churn_dataset!I$2:I$1501),1),MIN(100,MAX(0,customer_churn_dataset!I1265)))</f>
        <v>79.5</v>
      </c>
      <c r="J1265" s="7" t="n">
        <f aca="false">IF(ISBLANK(customer_churn_dataset!J1265),0,MAX(0,customer_churn_dataset!J1265))</f>
        <v>27</v>
      </c>
      <c r="K1265" s="7" t="n">
        <f aca="false">IF(ISBLANK(customer_churn_dataset!K1265),0,MIN(10,MAX(0,customer_churn_dataset!K1265)))</f>
        <v>7</v>
      </c>
      <c r="L1265" s="7" t="n">
        <f aca="false">IF(ISBLANK(customer_churn_dataset!L1265),0,MAX(0,customer_churn_dataset!L1265))</f>
        <v>2</v>
      </c>
      <c r="M1265" s="7" t="n">
        <f aca="false">IF(ISBLANK(customer_churn_dataset!M1265),0,customer_churn_dataset!M1265)</f>
        <v>1</v>
      </c>
      <c r="N1265" s="7" t="n">
        <f aca="false">IF(ISBLANK(customer_churn_dataset!N1265),0,MAX(0,customer_churn_dataset!N1265))</f>
        <v>99.54</v>
      </c>
      <c r="O1265" s="7" t="n">
        <f aca="false">IF(ISBLANK(customer_churn_dataset!O1265),0,customer_churn_dataset!O1265)</f>
        <v>0</v>
      </c>
      <c r="P1265" s="7" t="str">
        <f aca="false">IF(COUNTIF(customer_churn_dataset!$A$2:$A$1501,customer_churn_dataset!A1265)&gt;1,"Duplicate","Unique")</f>
        <v>Unique</v>
      </c>
    </row>
    <row r="1266" customFormat="false" ht="14.15" hidden="false" customHeight="true" outlineLevel="0" collapsed="false">
      <c r="A1266" s="7" t="str">
        <f aca="false">TRIM(customer_churn_dataset!A1266)</f>
        <v>CUST101169</v>
      </c>
      <c r="B1266" s="7" t="str">
        <f aca="false">PROPER(TRIM(customer_churn_dataset!B1266))</f>
        <v>Basic</v>
      </c>
      <c r="C1266" s="7" t="str">
        <f aca="false">PROPER(TRIM(customer_churn_dataset!C1266))</f>
        <v>One Year</v>
      </c>
      <c r="D1266" s="7" t="n">
        <f aca="false">IF(ISBLANK(customer_churn_dataset!D1266),ROUND(MEDIAN(customer_churn_dataset!D$2:D$1501),2),IF(customer_churn_dataset!D1266&lt;0,ABS(customer_churn_dataset!D1266),customer_churn_dataset!D1266))</f>
        <v>10.84</v>
      </c>
      <c r="E1266" s="7" t="n">
        <f aca="false">IF(ISBLANK(customer_churn_dataset!E1266),0,MAX(0,customer_churn_dataset!E1266))</f>
        <v>5</v>
      </c>
      <c r="F1266" s="8" t="n">
        <f aca="false">IF(ISBLANK(customer_churn_dataset!F1266),"",customer_churn_dataset!F1266)</f>
        <v>45504</v>
      </c>
      <c r="G1266" s="7" t="str">
        <f aca="false">PROPER(TRIM(customer_churn_dataset!G1266))</f>
        <v>Bank Transfer</v>
      </c>
      <c r="H1266" s="7" t="n">
        <f aca="false">IF(ISBLANK(customer_churn_dataset!H1266),0,customer_churn_dataset!H1266)</f>
        <v>1</v>
      </c>
      <c r="I1266" s="7" t="n">
        <f aca="false">IF(ISBLANK(customer_churn_dataset!I1266),ROUND(MEDIAN(customer_churn_dataset!I$2:I$1501),1),MIN(100,MAX(0,customer_churn_dataset!I1266)))</f>
        <v>44.9</v>
      </c>
      <c r="J1266" s="7" t="n">
        <f aca="false">IF(ISBLANK(customer_churn_dataset!J1266),0,MAX(0,customer_churn_dataset!J1266))</f>
        <v>8</v>
      </c>
      <c r="K1266" s="7" t="n">
        <f aca="false">IF(ISBLANK(customer_churn_dataset!K1266),0,MIN(10,MAX(0,customer_churn_dataset!K1266)))</f>
        <v>7</v>
      </c>
      <c r="L1266" s="7" t="n">
        <f aca="false">IF(ISBLANK(customer_churn_dataset!L1266),0,MAX(0,customer_churn_dataset!L1266))</f>
        <v>1</v>
      </c>
      <c r="M1266" s="7" t="n">
        <f aca="false">IF(ISBLANK(customer_churn_dataset!M1266),0,customer_churn_dataset!M1266)</f>
        <v>1</v>
      </c>
      <c r="N1266" s="7" t="n">
        <f aca="false">IF(ISBLANK(customer_churn_dataset!N1266),0,MAX(0,customer_churn_dataset!N1266))</f>
        <v>54.2</v>
      </c>
      <c r="O1266" s="7" t="n">
        <f aca="false">IF(ISBLANK(customer_churn_dataset!O1266),0,customer_churn_dataset!O1266)</f>
        <v>0</v>
      </c>
      <c r="P1266" s="7" t="str">
        <f aca="false">IF(COUNTIF(customer_churn_dataset!$A$2:$A$1501,customer_churn_dataset!A1266)&gt;1,"Duplicate","Unique")</f>
        <v>Unique</v>
      </c>
    </row>
    <row r="1267" customFormat="false" ht="14.15" hidden="false" customHeight="true" outlineLevel="0" collapsed="false">
      <c r="A1267" s="7" t="str">
        <f aca="false">TRIM(customer_churn_dataset!A1267)</f>
        <v>CUST101236</v>
      </c>
      <c r="B1267" s="7" t="str">
        <f aca="false">PROPER(TRIM(customer_churn_dataset!B1267))</f>
        <v>Premium</v>
      </c>
      <c r="C1267" s="7" t="str">
        <f aca="false">PROPER(TRIM(customer_churn_dataset!C1267))</f>
        <v>Two Year</v>
      </c>
      <c r="D1267" s="7" t="n">
        <f aca="false">IF(ISBLANK(customer_churn_dataset!D1267),ROUND(MEDIAN(customer_churn_dataset!D$2:D$1501),2),IF(customer_churn_dataset!D1267&lt;0,ABS(customer_churn_dataset!D1267),customer_churn_dataset!D1267))</f>
        <v>39.07</v>
      </c>
      <c r="E1267" s="7" t="n">
        <f aca="false">IF(ISBLANK(customer_churn_dataset!E1267),0,MAX(0,customer_churn_dataset!E1267))</f>
        <v>8</v>
      </c>
      <c r="F1267" s="8" t="n">
        <f aca="false">IF(ISBLANK(customer_churn_dataset!F1267),"",customer_churn_dataset!F1267)</f>
        <v>45506</v>
      </c>
      <c r="G1267" s="7" t="str">
        <f aca="false">PROPER(TRIM(customer_churn_dataset!G1267))</f>
        <v>Paypal</v>
      </c>
      <c r="H1267" s="7" t="n">
        <f aca="false">IF(ISBLANK(customer_churn_dataset!H1267),0,customer_churn_dataset!H1267)</f>
        <v>1</v>
      </c>
      <c r="I1267" s="7" t="n">
        <f aca="false">IF(ISBLANK(customer_churn_dataset!I1267),ROUND(MEDIAN(customer_churn_dataset!I$2:I$1501),1),MIN(100,MAX(0,customer_churn_dataset!I1267)))</f>
        <v>39.5</v>
      </c>
      <c r="J1267" s="7" t="n">
        <f aca="false">IF(ISBLANK(customer_churn_dataset!J1267),0,MAX(0,customer_churn_dataset!J1267))</f>
        <v>8</v>
      </c>
      <c r="K1267" s="7" t="n">
        <f aca="false">IF(ISBLANK(customer_churn_dataset!K1267),0,MIN(10,MAX(0,customer_churn_dataset!K1267)))</f>
        <v>2</v>
      </c>
      <c r="L1267" s="7" t="n">
        <f aca="false">IF(ISBLANK(customer_churn_dataset!L1267),0,MAX(0,customer_churn_dataset!L1267))</f>
        <v>1</v>
      </c>
      <c r="M1267" s="7" t="n">
        <f aca="false">IF(ISBLANK(customer_churn_dataset!M1267),0,customer_churn_dataset!M1267)</f>
        <v>0</v>
      </c>
      <c r="N1267" s="7" t="n">
        <f aca="false">IF(ISBLANK(customer_churn_dataset!N1267),0,MAX(0,customer_churn_dataset!N1267))</f>
        <v>312.56</v>
      </c>
      <c r="O1267" s="7" t="n">
        <f aca="false">IF(ISBLANK(customer_churn_dataset!O1267),0,customer_churn_dataset!O1267)</f>
        <v>0</v>
      </c>
      <c r="P1267" s="7" t="str">
        <f aca="false">IF(COUNTIF(customer_churn_dataset!$A$2:$A$1501,customer_churn_dataset!A1267)&gt;1,"Duplicate","Unique")</f>
        <v>Unique</v>
      </c>
    </row>
    <row r="1268" customFormat="false" ht="14.15" hidden="false" customHeight="true" outlineLevel="0" collapsed="false">
      <c r="A1268" s="7" t="str">
        <f aca="false">TRIM(customer_churn_dataset!A1268)</f>
        <v>CUST100931</v>
      </c>
      <c r="B1268" s="7" t="str">
        <f aca="false">PROPER(TRIM(customer_churn_dataset!B1268))</f>
        <v>Premium</v>
      </c>
      <c r="C1268" s="7" t="str">
        <f aca="false">PROPER(TRIM(customer_churn_dataset!C1268))</f>
        <v>Month-To-Month</v>
      </c>
      <c r="D1268" s="7" t="n">
        <f aca="false">IF(ISBLANK(customer_churn_dataset!D1268),ROUND(MEDIAN(customer_churn_dataset!D$2:D$1501),2),IF(customer_churn_dataset!D1268&lt;0,ABS(customer_churn_dataset!D1268),customer_churn_dataset!D1268))</f>
        <v>40.29</v>
      </c>
      <c r="E1268" s="7" t="n">
        <f aca="false">IF(ISBLANK(customer_churn_dataset!E1268),0,MAX(0,customer_churn_dataset!E1268))</f>
        <v>72</v>
      </c>
      <c r="F1268" s="8" t="n">
        <f aca="false">IF(ISBLANK(customer_churn_dataset!F1268),"",customer_churn_dataset!F1268)</f>
        <v>45506</v>
      </c>
      <c r="G1268" s="7" t="str">
        <f aca="false">PROPER(TRIM(customer_churn_dataset!G1268))</f>
        <v>Paypal</v>
      </c>
      <c r="H1268" s="7" t="n">
        <f aca="false">IF(ISBLANK(customer_churn_dataset!H1268),0,customer_churn_dataset!H1268)</f>
        <v>1</v>
      </c>
      <c r="I1268" s="7" t="n">
        <f aca="false">IF(ISBLANK(customer_churn_dataset!I1268),ROUND(MEDIAN(customer_churn_dataset!I$2:I$1501),1),MIN(100,MAX(0,customer_churn_dataset!I1268)))</f>
        <v>51.3</v>
      </c>
      <c r="J1268" s="7" t="n">
        <f aca="false">IF(ISBLANK(customer_churn_dataset!J1268),0,MAX(0,customer_churn_dataset!J1268))</f>
        <v>14</v>
      </c>
      <c r="K1268" s="7" t="n">
        <f aca="false">IF(ISBLANK(customer_churn_dataset!K1268),0,MIN(10,MAX(0,customer_churn_dataset!K1268)))</f>
        <v>4</v>
      </c>
      <c r="L1268" s="7" t="n">
        <f aca="false">IF(ISBLANK(customer_churn_dataset!L1268),0,MAX(0,customer_churn_dataset!L1268))</f>
        <v>3</v>
      </c>
      <c r="M1268" s="7" t="n">
        <f aca="false">IF(ISBLANK(customer_churn_dataset!M1268),0,customer_churn_dataset!M1268)</f>
        <v>0</v>
      </c>
      <c r="N1268" s="7" t="n">
        <f aca="false">IF(ISBLANK(customer_churn_dataset!N1268),0,MAX(0,customer_churn_dataset!N1268))</f>
        <v>2900.88</v>
      </c>
      <c r="O1268" s="7" t="n">
        <f aca="false">IF(ISBLANK(customer_churn_dataset!O1268),0,customer_churn_dataset!O1268)</f>
        <v>0</v>
      </c>
      <c r="P1268" s="7" t="str">
        <f aca="false">IF(COUNTIF(customer_churn_dataset!$A$2:$A$1501,customer_churn_dataset!A1268)&gt;1,"Duplicate","Unique")</f>
        <v>Unique</v>
      </c>
    </row>
    <row r="1269" customFormat="false" ht="14.15" hidden="false" customHeight="true" outlineLevel="0" collapsed="false">
      <c r="A1269" s="7" t="str">
        <f aca="false">TRIM(customer_churn_dataset!A1269)</f>
        <v>CUST100715</v>
      </c>
      <c r="B1269" s="7" t="str">
        <f aca="false">PROPER(TRIM(customer_churn_dataset!B1269))</f>
        <v>Premium</v>
      </c>
      <c r="C1269" s="7" t="str">
        <f aca="false">PROPER(TRIM(customer_churn_dataset!C1269))</f>
        <v>Month-To-Month</v>
      </c>
      <c r="D1269" s="7" t="n">
        <f aca="false">IF(ISBLANK(customer_churn_dataset!D1269),ROUND(MEDIAN(customer_churn_dataset!D$2:D$1501),2),IF(customer_churn_dataset!D1269&lt;0,ABS(customer_churn_dataset!D1269),customer_churn_dataset!D1269))</f>
        <v>41.39</v>
      </c>
      <c r="E1269" s="7" t="n">
        <f aca="false">IF(ISBLANK(customer_churn_dataset!E1269),0,MAX(0,customer_churn_dataset!E1269))</f>
        <v>9</v>
      </c>
      <c r="F1269" s="8" t="n">
        <f aca="false">IF(ISBLANK(customer_churn_dataset!F1269),"",customer_churn_dataset!F1269)</f>
        <v>45510</v>
      </c>
      <c r="G1269" s="7" t="str">
        <f aca="false">PROPER(TRIM(customer_churn_dataset!G1269))</f>
        <v>Bank Transfer</v>
      </c>
      <c r="H1269" s="7" t="n">
        <f aca="false">IF(ISBLANK(customer_churn_dataset!H1269),0,customer_churn_dataset!H1269)</f>
        <v>0</v>
      </c>
      <c r="I1269" s="7" t="n">
        <f aca="false">IF(ISBLANK(customer_churn_dataset!I1269),ROUND(MEDIAN(customer_churn_dataset!I$2:I$1501),1),MIN(100,MAX(0,customer_churn_dataset!I1269)))</f>
        <v>29.3</v>
      </c>
      <c r="J1269" s="7" t="n">
        <f aca="false">IF(ISBLANK(customer_churn_dataset!J1269),0,MAX(0,customer_churn_dataset!J1269))</f>
        <v>10</v>
      </c>
      <c r="K1269" s="7" t="n">
        <f aca="false">IF(ISBLANK(customer_churn_dataset!K1269),0,MIN(10,MAX(0,customer_churn_dataset!K1269)))</f>
        <v>3</v>
      </c>
      <c r="L1269" s="7" t="n">
        <f aca="false">IF(ISBLANK(customer_churn_dataset!L1269),0,MAX(0,customer_churn_dataset!L1269))</f>
        <v>2</v>
      </c>
      <c r="M1269" s="7" t="n">
        <f aca="false">IF(ISBLANK(customer_churn_dataset!M1269),0,customer_churn_dataset!M1269)</f>
        <v>0</v>
      </c>
      <c r="N1269" s="7" t="n">
        <f aca="false">IF(ISBLANK(customer_churn_dataset!N1269),0,MAX(0,customer_churn_dataset!N1269))</f>
        <v>372.51</v>
      </c>
      <c r="O1269" s="7" t="n">
        <f aca="false">IF(ISBLANK(customer_churn_dataset!O1269),0,customer_churn_dataset!O1269)</f>
        <v>1</v>
      </c>
      <c r="P1269" s="7" t="str">
        <f aca="false">IF(COUNTIF(customer_churn_dataset!$A$2:$A$1501,customer_churn_dataset!A1269)&gt;1,"Duplicate","Unique")</f>
        <v>Unique</v>
      </c>
    </row>
    <row r="1270" customFormat="false" ht="14.15" hidden="false" customHeight="true" outlineLevel="0" collapsed="false">
      <c r="A1270" s="7" t="str">
        <f aca="false">TRIM(customer_churn_dataset!A1270)</f>
        <v>CUST100567</v>
      </c>
      <c r="B1270" s="7" t="str">
        <f aca="false">PROPER(TRIM(customer_churn_dataset!B1270))</f>
        <v>Basic</v>
      </c>
      <c r="C1270" s="7" t="str">
        <f aca="false">PROPER(TRIM(customer_churn_dataset!C1270))</f>
        <v>Month-To-Month</v>
      </c>
      <c r="D1270" s="7" t="n">
        <f aca="false">IF(ISBLANK(customer_churn_dataset!D1270),ROUND(MEDIAN(customer_churn_dataset!D$2:D$1501),2),IF(customer_churn_dataset!D1270&lt;0,ABS(customer_churn_dataset!D1270),customer_churn_dataset!D1270))</f>
        <v>10.8</v>
      </c>
      <c r="E1270" s="7" t="n">
        <f aca="false">IF(ISBLANK(customer_churn_dataset!E1270),0,MAX(0,customer_churn_dataset!E1270))</f>
        <v>1</v>
      </c>
      <c r="F1270" s="8" t="n">
        <f aca="false">IF(ISBLANK(customer_churn_dataset!F1270),"",customer_churn_dataset!F1270)</f>
        <v>45511</v>
      </c>
      <c r="G1270" s="7" t="str">
        <f aca="false">PROPER(TRIM(customer_churn_dataset!G1270))</f>
        <v>Credit Card</v>
      </c>
      <c r="H1270" s="7" t="n">
        <f aca="false">IF(ISBLANK(customer_churn_dataset!H1270),0,customer_churn_dataset!H1270)</f>
        <v>1</v>
      </c>
      <c r="I1270" s="7" t="n">
        <f aca="false">IF(ISBLANK(customer_churn_dataset!I1270),ROUND(MEDIAN(customer_churn_dataset!I$2:I$1501),1),MIN(100,MAX(0,customer_churn_dataset!I1270)))</f>
        <v>60.6</v>
      </c>
      <c r="J1270" s="7" t="n">
        <f aca="false">IF(ISBLANK(customer_churn_dataset!J1270),0,MAX(0,customer_churn_dataset!J1270))</f>
        <v>14</v>
      </c>
      <c r="K1270" s="7" t="n">
        <f aca="false">IF(ISBLANK(customer_churn_dataset!K1270),0,MIN(10,MAX(0,customer_churn_dataset!K1270)))</f>
        <v>6</v>
      </c>
      <c r="L1270" s="7" t="n">
        <f aca="false">IF(ISBLANK(customer_churn_dataset!L1270),0,MAX(0,customer_churn_dataset!L1270))</f>
        <v>0</v>
      </c>
      <c r="M1270" s="7" t="n">
        <f aca="false">IF(ISBLANK(customer_churn_dataset!M1270),0,customer_churn_dataset!M1270)</f>
        <v>0</v>
      </c>
      <c r="N1270" s="7" t="n">
        <f aca="false">IF(ISBLANK(customer_churn_dataset!N1270),0,MAX(0,customer_churn_dataset!N1270))</f>
        <v>10.8</v>
      </c>
      <c r="O1270" s="7" t="n">
        <f aca="false">IF(ISBLANK(customer_churn_dataset!O1270),0,customer_churn_dataset!O1270)</f>
        <v>0</v>
      </c>
      <c r="P1270" s="7" t="str">
        <f aca="false">IF(COUNTIF(customer_churn_dataset!$A$2:$A$1501,customer_churn_dataset!A1270)&gt;1,"Duplicate","Unique")</f>
        <v>Unique</v>
      </c>
    </row>
    <row r="1271" customFormat="false" ht="14.15" hidden="false" customHeight="true" outlineLevel="0" collapsed="false">
      <c r="A1271" s="7" t="str">
        <f aca="false">TRIM(customer_churn_dataset!A1271)</f>
        <v>CUST100039</v>
      </c>
      <c r="B1271" s="7" t="str">
        <f aca="false">PROPER(TRIM(customer_churn_dataset!B1271))</f>
        <v>Basic</v>
      </c>
      <c r="C1271" s="7" t="str">
        <f aca="false">PROPER(TRIM(customer_churn_dataset!C1271))</f>
        <v>One Year</v>
      </c>
      <c r="D1271" s="7" t="n">
        <f aca="false">IF(ISBLANK(customer_churn_dataset!D1271),ROUND(MEDIAN(customer_churn_dataset!D$2:D$1501),2),IF(customer_churn_dataset!D1271&lt;0,ABS(customer_churn_dataset!D1271),customer_churn_dataset!D1271))</f>
        <v>11.35</v>
      </c>
      <c r="E1271" s="7" t="n">
        <f aca="false">IF(ISBLANK(customer_churn_dataset!E1271),0,MAX(0,customer_churn_dataset!E1271))</f>
        <v>3</v>
      </c>
      <c r="F1271" s="8" t="n">
        <f aca="false">IF(ISBLANK(customer_churn_dataset!F1271),"",customer_churn_dataset!F1271)</f>
        <v>45511</v>
      </c>
      <c r="G1271" s="7" t="str">
        <f aca="false">PROPER(TRIM(customer_churn_dataset!G1271))</f>
        <v>Bank Transfer</v>
      </c>
      <c r="H1271" s="7" t="n">
        <f aca="false">IF(ISBLANK(customer_churn_dataset!H1271),0,customer_churn_dataset!H1271)</f>
        <v>1</v>
      </c>
      <c r="I1271" s="7" t="n">
        <f aca="false">IF(ISBLANK(customer_churn_dataset!I1271),ROUND(MEDIAN(customer_churn_dataset!I$2:I$1501),1),MIN(100,MAX(0,customer_churn_dataset!I1271)))</f>
        <v>62.2</v>
      </c>
      <c r="J1271" s="7" t="n">
        <f aca="false">IF(ISBLANK(customer_churn_dataset!J1271),0,MAX(0,customer_churn_dataset!J1271))</f>
        <v>21</v>
      </c>
      <c r="K1271" s="7" t="n">
        <f aca="false">IF(ISBLANK(customer_churn_dataset!K1271),0,MIN(10,MAX(0,customer_churn_dataset!K1271)))</f>
        <v>4</v>
      </c>
      <c r="L1271" s="7" t="n">
        <f aca="false">IF(ISBLANK(customer_churn_dataset!L1271),0,MAX(0,customer_churn_dataset!L1271))</f>
        <v>1</v>
      </c>
      <c r="M1271" s="7" t="n">
        <f aca="false">IF(ISBLANK(customer_churn_dataset!M1271),0,customer_churn_dataset!M1271)</f>
        <v>0</v>
      </c>
      <c r="N1271" s="7" t="n">
        <f aca="false">IF(ISBLANK(customer_churn_dataset!N1271),0,MAX(0,customer_churn_dataset!N1271))</f>
        <v>34.05</v>
      </c>
      <c r="O1271" s="7" t="n">
        <f aca="false">IF(ISBLANK(customer_churn_dataset!O1271),0,customer_churn_dataset!O1271)</f>
        <v>1</v>
      </c>
      <c r="P1271" s="7" t="str">
        <f aca="false">IF(COUNTIF(customer_churn_dataset!$A$2:$A$1501,customer_churn_dataset!A1271)&gt;1,"Duplicate","Unique")</f>
        <v>Unique</v>
      </c>
    </row>
    <row r="1272" customFormat="false" ht="14.15" hidden="false" customHeight="true" outlineLevel="0" collapsed="false">
      <c r="A1272" s="7" t="str">
        <f aca="false">TRIM(customer_churn_dataset!A1272)</f>
        <v>CUST100385</v>
      </c>
      <c r="B1272" s="7" t="str">
        <f aca="false">PROPER(TRIM(customer_churn_dataset!B1272))</f>
        <v>Premium</v>
      </c>
      <c r="C1272" s="7" t="str">
        <f aca="false">PROPER(TRIM(customer_churn_dataset!C1272))</f>
        <v>Two Year</v>
      </c>
      <c r="D1272" s="7" t="n">
        <f aca="false">IF(ISBLANK(customer_churn_dataset!D1272),ROUND(MEDIAN(customer_churn_dataset!D$2:D$1501),2),IF(customer_churn_dataset!D1272&lt;0,ABS(customer_churn_dataset!D1272),customer_churn_dataset!D1272))</f>
        <v>40.46</v>
      </c>
      <c r="E1272" s="7" t="n">
        <f aca="false">IF(ISBLANK(customer_churn_dataset!E1272),0,MAX(0,customer_churn_dataset!E1272))</f>
        <v>72</v>
      </c>
      <c r="F1272" s="8" t="n">
        <f aca="false">IF(ISBLANK(customer_churn_dataset!F1272),"",customer_churn_dataset!F1272)</f>
        <v>45513</v>
      </c>
      <c r="G1272" s="7" t="str">
        <f aca="false">PROPER(TRIM(customer_churn_dataset!G1272))</f>
        <v>Paypal</v>
      </c>
      <c r="H1272" s="7" t="n">
        <f aca="false">IF(ISBLANK(customer_churn_dataset!H1272),0,customer_churn_dataset!H1272)</f>
        <v>0</v>
      </c>
      <c r="I1272" s="7" t="n">
        <f aca="false">IF(ISBLANK(customer_churn_dataset!I1272),ROUND(MEDIAN(customer_churn_dataset!I$2:I$1501),1),MIN(100,MAX(0,customer_churn_dataset!I1272)))</f>
        <v>57.1</v>
      </c>
      <c r="J1272" s="7" t="n">
        <f aca="false">IF(ISBLANK(customer_churn_dataset!J1272),0,MAX(0,customer_churn_dataset!J1272))</f>
        <v>18</v>
      </c>
      <c r="K1272" s="7" t="n">
        <f aca="false">IF(ISBLANK(customer_churn_dataset!K1272),0,MIN(10,MAX(0,customer_churn_dataset!K1272)))</f>
        <v>3</v>
      </c>
      <c r="L1272" s="7" t="n">
        <f aca="false">IF(ISBLANK(customer_churn_dataset!L1272),0,MAX(0,customer_churn_dataset!L1272))</f>
        <v>0</v>
      </c>
      <c r="M1272" s="7" t="n">
        <f aca="false">IF(ISBLANK(customer_churn_dataset!M1272),0,customer_churn_dataset!M1272)</f>
        <v>0</v>
      </c>
      <c r="N1272" s="7" t="n">
        <f aca="false">IF(ISBLANK(customer_churn_dataset!N1272),0,MAX(0,customer_churn_dataset!N1272))</f>
        <v>2913.12</v>
      </c>
      <c r="O1272" s="7" t="n">
        <f aca="false">IF(ISBLANK(customer_churn_dataset!O1272),0,customer_churn_dataset!O1272)</f>
        <v>0</v>
      </c>
      <c r="P1272" s="7" t="str">
        <f aca="false">IF(COUNTIF(customer_churn_dataset!$A$2:$A$1501,customer_churn_dataset!A1272)&gt;1,"Duplicate","Unique")</f>
        <v>Unique</v>
      </c>
    </row>
    <row r="1273" customFormat="false" ht="14.15" hidden="false" customHeight="true" outlineLevel="0" collapsed="false">
      <c r="A1273" s="7" t="str">
        <f aca="false">TRIM(customer_churn_dataset!A1273)</f>
        <v>CUST100669</v>
      </c>
      <c r="B1273" s="7" t="str">
        <f aca="false">PROPER(TRIM(customer_churn_dataset!B1273))</f>
        <v>Basic</v>
      </c>
      <c r="C1273" s="7" t="str">
        <f aca="false">PROPER(TRIM(customer_churn_dataset!C1273))</f>
        <v>Two Year</v>
      </c>
      <c r="D1273" s="7" t="n">
        <f aca="false">IF(ISBLANK(customer_churn_dataset!D1273),ROUND(MEDIAN(customer_churn_dataset!D$2:D$1501),2),IF(customer_churn_dataset!D1273&lt;0,ABS(customer_churn_dataset!D1273),customer_churn_dataset!D1273))</f>
        <v>10.01</v>
      </c>
      <c r="E1273" s="7" t="n">
        <f aca="false">IF(ISBLANK(customer_churn_dataset!E1273),0,MAX(0,customer_churn_dataset!E1273))</f>
        <v>2</v>
      </c>
      <c r="F1273" s="8" t="n">
        <f aca="false">IF(ISBLANK(customer_churn_dataset!F1273),"",customer_churn_dataset!F1273)</f>
        <v>45517</v>
      </c>
      <c r="G1273" s="7" t="str">
        <f aca="false">PROPER(TRIM(customer_churn_dataset!G1273))</f>
        <v>Bank Transfer</v>
      </c>
      <c r="H1273" s="7" t="n">
        <f aca="false">IF(ISBLANK(customer_churn_dataset!H1273),0,customer_churn_dataset!H1273)</f>
        <v>0</v>
      </c>
      <c r="I1273" s="7" t="n">
        <f aca="false">IF(ISBLANK(customer_churn_dataset!I1273),ROUND(MEDIAN(customer_churn_dataset!I$2:I$1501),1),MIN(100,MAX(0,customer_churn_dataset!I1273)))</f>
        <v>28.6</v>
      </c>
      <c r="J1273" s="7" t="n">
        <f aca="false">IF(ISBLANK(customer_churn_dataset!J1273),0,MAX(0,customer_churn_dataset!J1273))</f>
        <v>10</v>
      </c>
      <c r="K1273" s="7" t="n">
        <f aca="false">IF(ISBLANK(customer_churn_dataset!K1273),0,MIN(10,MAX(0,customer_churn_dataset!K1273)))</f>
        <v>2</v>
      </c>
      <c r="L1273" s="7" t="n">
        <f aca="false">IF(ISBLANK(customer_churn_dataset!L1273),0,MAX(0,customer_churn_dataset!L1273))</f>
        <v>4</v>
      </c>
      <c r="M1273" s="7" t="n">
        <f aca="false">IF(ISBLANK(customer_churn_dataset!M1273),0,customer_churn_dataset!M1273)</f>
        <v>0</v>
      </c>
      <c r="N1273" s="7" t="n">
        <f aca="false">IF(ISBLANK(customer_churn_dataset!N1273),0,MAX(0,customer_churn_dataset!N1273))</f>
        <v>20.02</v>
      </c>
      <c r="O1273" s="7" t="n">
        <f aca="false">IF(ISBLANK(customer_churn_dataset!O1273),0,customer_churn_dataset!O1273)</f>
        <v>0</v>
      </c>
      <c r="P1273" s="7" t="str">
        <f aca="false">IF(COUNTIF(customer_churn_dataset!$A$2:$A$1501,customer_churn_dataset!A1273)&gt;1,"Duplicate","Unique")</f>
        <v>Unique</v>
      </c>
    </row>
    <row r="1274" customFormat="false" ht="14.15" hidden="false" customHeight="true" outlineLevel="0" collapsed="false">
      <c r="A1274" s="7" t="str">
        <f aca="false">TRIM(customer_churn_dataset!A1274)</f>
        <v>CUST101377</v>
      </c>
      <c r="B1274" s="7" t="str">
        <f aca="false">PROPER(TRIM(customer_churn_dataset!B1274))</f>
        <v>Standard</v>
      </c>
      <c r="C1274" s="7" t="str">
        <f aca="false">PROPER(TRIM(customer_churn_dataset!C1274))</f>
        <v>Two Year</v>
      </c>
      <c r="D1274" s="7" t="n">
        <f aca="false">IF(ISBLANK(customer_churn_dataset!D1274),ROUND(MEDIAN(customer_churn_dataset!D$2:D$1501),2),IF(customer_churn_dataset!D1274&lt;0,ABS(customer_churn_dataset!D1274),customer_churn_dataset!D1274))</f>
        <v>20.91</v>
      </c>
      <c r="E1274" s="7" t="n">
        <f aca="false">IF(ISBLANK(customer_churn_dataset!E1274),0,MAX(0,customer_churn_dataset!E1274))</f>
        <v>29</v>
      </c>
      <c r="F1274" s="8" t="n">
        <f aca="false">IF(ISBLANK(customer_churn_dataset!F1274),"",customer_churn_dataset!F1274)</f>
        <v>45518</v>
      </c>
      <c r="G1274" s="7" t="str">
        <f aca="false">PROPER(TRIM(customer_churn_dataset!G1274))</f>
        <v>Credit Card</v>
      </c>
      <c r="H1274" s="7" t="n">
        <f aca="false">IF(ISBLANK(customer_churn_dataset!H1274),0,customer_churn_dataset!H1274)</f>
        <v>1</v>
      </c>
      <c r="I1274" s="7" t="n">
        <f aca="false">IF(ISBLANK(customer_churn_dataset!I1274),ROUND(MEDIAN(customer_churn_dataset!I$2:I$1501),1),MIN(100,MAX(0,customer_churn_dataset!I1274)))</f>
        <v>54.4</v>
      </c>
      <c r="J1274" s="7" t="n">
        <f aca="false">IF(ISBLANK(customer_churn_dataset!J1274),0,MAX(0,customer_churn_dataset!J1274))</f>
        <v>12</v>
      </c>
      <c r="K1274" s="7" t="n">
        <f aca="false">IF(ISBLANK(customer_churn_dataset!K1274),0,MIN(10,MAX(0,customer_churn_dataset!K1274)))</f>
        <v>5</v>
      </c>
      <c r="L1274" s="7" t="n">
        <f aca="false">IF(ISBLANK(customer_churn_dataset!L1274),0,MAX(0,customer_churn_dataset!L1274))</f>
        <v>3</v>
      </c>
      <c r="M1274" s="7" t="n">
        <f aca="false">IF(ISBLANK(customer_churn_dataset!M1274),0,customer_churn_dataset!M1274)</f>
        <v>1</v>
      </c>
      <c r="N1274" s="7" t="n">
        <f aca="false">IF(ISBLANK(customer_churn_dataset!N1274),0,MAX(0,customer_churn_dataset!N1274))</f>
        <v>606.39</v>
      </c>
      <c r="O1274" s="7" t="n">
        <f aca="false">IF(ISBLANK(customer_churn_dataset!O1274),0,customer_churn_dataset!O1274)</f>
        <v>0</v>
      </c>
      <c r="P1274" s="7" t="str">
        <f aca="false">IF(COUNTIF(customer_churn_dataset!$A$2:$A$1501,customer_churn_dataset!A1274)&gt;1,"Duplicate","Unique")</f>
        <v>Unique</v>
      </c>
    </row>
    <row r="1275" customFormat="false" ht="14.15" hidden="false" customHeight="true" outlineLevel="0" collapsed="false">
      <c r="A1275" s="7" t="str">
        <f aca="false">TRIM(customer_churn_dataset!A1275)</f>
        <v>CUST101349</v>
      </c>
      <c r="B1275" s="7" t="str">
        <f aca="false">PROPER(TRIM(customer_churn_dataset!B1275))</f>
        <v>Basic</v>
      </c>
      <c r="C1275" s="7" t="str">
        <f aca="false">PROPER(TRIM(customer_churn_dataset!C1275))</f>
        <v>Month-To-Month</v>
      </c>
      <c r="D1275" s="7" t="n">
        <f aca="false">IF(ISBLANK(customer_churn_dataset!D1275),ROUND(MEDIAN(customer_churn_dataset!D$2:D$1501),2),IF(customer_churn_dataset!D1275&lt;0,ABS(customer_churn_dataset!D1275),customer_churn_dataset!D1275))</f>
        <v>8.67</v>
      </c>
      <c r="E1275" s="7" t="n">
        <f aca="false">IF(ISBLANK(customer_churn_dataset!E1275),0,MAX(0,customer_churn_dataset!E1275))</f>
        <v>35</v>
      </c>
      <c r="F1275" s="8" t="n">
        <f aca="false">IF(ISBLANK(customer_churn_dataset!F1275),"",customer_churn_dataset!F1275)</f>
        <v>45519</v>
      </c>
      <c r="G1275" s="7" t="str">
        <f aca="false">PROPER(TRIM(customer_churn_dataset!G1275))</f>
        <v>Manual/Invoice</v>
      </c>
      <c r="H1275" s="7" t="n">
        <f aca="false">IF(ISBLANK(customer_churn_dataset!H1275),0,customer_churn_dataset!H1275)</f>
        <v>1</v>
      </c>
      <c r="I1275" s="7" t="n">
        <f aca="false">IF(ISBLANK(customer_churn_dataset!I1275),ROUND(MEDIAN(customer_churn_dataset!I$2:I$1501),1),MIN(100,MAX(0,customer_churn_dataset!I1275)))</f>
        <v>88.6</v>
      </c>
      <c r="J1275" s="7" t="n">
        <f aca="false">IF(ISBLANK(customer_churn_dataset!J1275),0,MAX(0,customer_churn_dataset!J1275))</f>
        <v>30</v>
      </c>
      <c r="K1275" s="7" t="n">
        <f aca="false">IF(ISBLANK(customer_churn_dataset!K1275),0,MIN(10,MAX(0,customer_churn_dataset!K1275)))</f>
        <v>10</v>
      </c>
      <c r="L1275" s="7" t="n">
        <f aca="false">IF(ISBLANK(customer_churn_dataset!L1275),0,MAX(0,customer_churn_dataset!L1275))</f>
        <v>1</v>
      </c>
      <c r="M1275" s="7" t="n">
        <f aca="false">IF(ISBLANK(customer_churn_dataset!M1275),0,customer_churn_dataset!M1275)</f>
        <v>1</v>
      </c>
      <c r="N1275" s="7" t="n">
        <f aca="false">IF(ISBLANK(customer_churn_dataset!N1275),0,MAX(0,customer_churn_dataset!N1275))</f>
        <v>303.45</v>
      </c>
      <c r="O1275" s="7" t="n">
        <f aca="false">IF(ISBLANK(customer_churn_dataset!O1275),0,customer_churn_dataset!O1275)</f>
        <v>0</v>
      </c>
      <c r="P1275" s="7" t="str">
        <f aca="false">IF(COUNTIF(customer_churn_dataset!$A$2:$A$1501,customer_churn_dataset!A1275)&gt;1,"Duplicate","Unique")</f>
        <v>Unique</v>
      </c>
    </row>
    <row r="1276" customFormat="false" ht="14.15" hidden="false" customHeight="true" outlineLevel="0" collapsed="false">
      <c r="A1276" s="7" t="str">
        <f aca="false">TRIM(customer_churn_dataset!A1276)</f>
        <v>CUST100842</v>
      </c>
      <c r="B1276" s="7" t="str">
        <f aca="false">PROPER(TRIM(customer_churn_dataset!B1276))</f>
        <v>Basic</v>
      </c>
      <c r="C1276" s="7" t="str">
        <f aca="false">PROPER(TRIM(customer_churn_dataset!C1276))</f>
        <v>Month-To-Month</v>
      </c>
      <c r="D1276" s="7" t="n">
        <f aca="false">IF(ISBLANK(customer_churn_dataset!D1276),ROUND(MEDIAN(customer_churn_dataset!D$2:D$1501),2),IF(customer_churn_dataset!D1276&lt;0,ABS(customer_churn_dataset!D1276),customer_churn_dataset!D1276))</f>
        <v>9.2</v>
      </c>
      <c r="E1276" s="7" t="n">
        <f aca="false">IF(ISBLANK(customer_churn_dataset!E1276),0,MAX(0,customer_churn_dataset!E1276))</f>
        <v>23</v>
      </c>
      <c r="F1276" s="8" t="n">
        <f aca="false">IF(ISBLANK(customer_churn_dataset!F1276),"",customer_churn_dataset!F1276)</f>
        <v>45519</v>
      </c>
      <c r="G1276" s="7" t="str">
        <f aca="false">PROPER(TRIM(customer_churn_dataset!G1276))</f>
        <v>Credit Card</v>
      </c>
      <c r="H1276" s="7" t="n">
        <f aca="false">IF(ISBLANK(customer_churn_dataset!H1276),0,customer_churn_dataset!H1276)</f>
        <v>1</v>
      </c>
      <c r="I1276" s="7" t="n">
        <f aca="false">IF(ISBLANK(customer_churn_dataset!I1276),ROUND(MEDIAN(customer_churn_dataset!I$2:I$1501),1),MIN(100,MAX(0,customer_churn_dataset!I1276)))</f>
        <v>64.2</v>
      </c>
      <c r="J1276" s="7" t="n">
        <f aca="false">IF(ISBLANK(customer_churn_dataset!J1276),0,MAX(0,customer_churn_dataset!J1276))</f>
        <v>17</v>
      </c>
      <c r="K1276" s="7" t="n">
        <f aca="false">IF(ISBLANK(customer_churn_dataset!K1276),0,MIN(10,MAX(0,customer_churn_dataset!K1276)))</f>
        <v>6</v>
      </c>
      <c r="L1276" s="7" t="n">
        <f aca="false">IF(ISBLANK(customer_churn_dataset!L1276),0,MAX(0,customer_churn_dataset!L1276))</f>
        <v>2</v>
      </c>
      <c r="M1276" s="7" t="n">
        <f aca="false">IF(ISBLANK(customer_churn_dataset!M1276),0,customer_churn_dataset!M1276)</f>
        <v>1</v>
      </c>
      <c r="N1276" s="7" t="n">
        <f aca="false">IF(ISBLANK(customer_churn_dataset!N1276),0,MAX(0,customer_churn_dataset!N1276))</f>
        <v>211.6</v>
      </c>
      <c r="O1276" s="7" t="n">
        <f aca="false">IF(ISBLANK(customer_churn_dataset!O1276),0,customer_churn_dataset!O1276)</f>
        <v>1</v>
      </c>
      <c r="P1276" s="7" t="str">
        <f aca="false">IF(COUNTIF(customer_churn_dataset!$A$2:$A$1501,customer_churn_dataset!A1276)&gt;1,"Duplicate","Unique")</f>
        <v>Unique</v>
      </c>
    </row>
    <row r="1277" customFormat="false" ht="14.15" hidden="false" customHeight="true" outlineLevel="0" collapsed="false">
      <c r="A1277" s="7" t="str">
        <f aca="false">TRIM(customer_churn_dataset!A1277)</f>
        <v>CUST100176</v>
      </c>
      <c r="B1277" s="7" t="str">
        <f aca="false">PROPER(TRIM(customer_churn_dataset!B1277))</f>
        <v>Standard</v>
      </c>
      <c r="C1277" s="7" t="str">
        <f aca="false">PROPER(TRIM(customer_churn_dataset!C1277))</f>
        <v>Month-To-Month</v>
      </c>
      <c r="D1277" s="7" t="n">
        <f aca="false">IF(ISBLANK(customer_churn_dataset!D1277),ROUND(MEDIAN(customer_churn_dataset!D$2:D$1501),2),IF(customer_churn_dataset!D1277&lt;0,ABS(customer_churn_dataset!D1277),customer_churn_dataset!D1277))</f>
        <v>19.38</v>
      </c>
      <c r="E1277" s="7" t="n">
        <f aca="false">IF(ISBLANK(customer_churn_dataset!E1277),0,MAX(0,customer_churn_dataset!E1277))</f>
        <v>4</v>
      </c>
      <c r="F1277" s="8" t="n">
        <f aca="false">IF(ISBLANK(customer_churn_dataset!F1277),"",customer_churn_dataset!F1277)</f>
        <v>45519</v>
      </c>
      <c r="G1277" s="7" t="str">
        <f aca="false">PROPER(TRIM(customer_churn_dataset!G1277))</f>
        <v>Manual/Invoice</v>
      </c>
      <c r="H1277" s="7" t="n">
        <f aca="false">IF(ISBLANK(customer_churn_dataset!H1277),0,customer_churn_dataset!H1277)</f>
        <v>0</v>
      </c>
      <c r="I1277" s="7" t="n">
        <f aca="false">IF(ISBLANK(customer_churn_dataset!I1277),ROUND(MEDIAN(customer_churn_dataset!I$2:I$1501),1),MIN(100,MAX(0,customer_churn_dataset!I1277)))</f>
        <v>62.2</v>
      </c>
      <c r="J1277" s="7" t="n">
        <f aca="false">IF(ISBLANK(customer_churn_dataset!J1277),0,MAX(0,customer_churn_dataset!J1277))</f>
        <v>16</v>
      </c>
      <c r="K1277" s="7" t="n">
        <f aca="false">IF(ISBLANK(customer_churn_dataset!K1277),0,MIN(10,MAX(0,customer_churn_dataset!K1277)))</f>
        <v>3</v>
      </c>
      <c r="L1277" s="7" t="n">
        <f aca="false">IF(ISBLANK(customer_churn_dataset!L1277),0,MAX(0,customer_churn_dataset!L1277))</f>
        <v>0</v>
      </c>
      <c r="M1277" s="7" t="n">
        <f aca="false">IF(ISBLANK(customer_churn_dataset!M1277),0,customer_churn_dataset!M1277)</f>
        <v>0</v>
      </c>
      <c r="N1277" s="7" t="n">
        <f aca="false">IF(ISBLANK(customer_churn_dataset!N1277),0,MAX(0,customer_churn_dataset!N1277))</f>
        <v>77.52</v>
      </c>
      <c r="O1277" s="7" t="n">
        <f aca="false">IF(ISBLANK(customer_churn_dataset!O1277),0,customer_churn_dataset!O1277)</f>
        <v>0</v>
      </c>
      <c r="P1277" s="7" t="str">
        <f aca="false">IF(COUNTIF(customer_churn_dataset!$A$2:$A$1501,customer_churn_dataset!A1277)&gt;1,"Duplicate","Unique")</f>
        <v>Unique</v>
      </c>
    </row>
    <row r="1278" customFormat="false" ht="14.15" hidden="false" customHeight="true" outlineLevel="0" collapsed="false">
      <c r="A1278" s="7" t="str">
        <f aca="false">TRIM(customer_churn_dataset!A1278)</f>
        <v>CUST100557</v>
      </c>
      <c r="B1278" s="7" t="str">
        <f aca="false">PROPER(TRIM(customer_churn_dataset!B1278))</f>
        <v>Basic</v>
      </c>
      <c r="C1278" s="7" t="str">
        <f aca="false">PROPER(TRIM(customer_churn_dataset!C1278))</f>
        <v>Month-To-Month</v>
      </c>
      <c r="D1278" s="7" t="n">
        <f aca="false">IF(ISBLANK(customer_churn_dataset!D1278),ROUND(MEDIAN(customer_churn_dataset!D$2:D$1501),2),IF(customer_churn_dataset!D1278&lt;0,ABS(customer_churn_dataset!D1278),customer_churn_dataset!D1278))</f>
        <v>10.18</v>
      </c>
      <c r="E1278" s="7" t="n">
        <f aca="false">IF(ISBLANK(customer_churn_dataset!E1278),0,MAX(0,customer_churn_dataset!E1278))</f>
        <v>11</v>
      </c>
      <c r="F1278" s="8" t="n">
        <f aca="false">IF(ISBLANK(customer_churn_dataset!F1278),"",customer_churn_dataset!F1278)</f>
        <v>45519</v>
      </c>
      <c r="G1278" s="7" t="str">
        <f aca="false">PROPER(TRIM(customer_churn_dataset!G1278))</f>
        <v>Paypal</v>
      </c>
      <c r="H1278" s="7" t="n">
        <f aca="false">IF(ISBLANK(customer_churn_dataset!H1278),0,customer_churn_dataset!H1278)</f>
        <v>1</v>
      </c>
      <c r="I1278" s="7" t="n">
        <f aca="false">IF(ISBLANK(customer_churn_dataset!I1278),ROUND(MEDIAN(customer_churn_dataset!I$2:I$1501),1),MIN(100,MAX(0,customer_churn_dataset!I1278)))</f>
        <v>64.8</v>
      </c>
      <c r="J1278" s="7" t="n">
        <f aca="false">IF(ISBLANK(customer_churn_dataset!J1278),0,MAX(0,customer_churn_dataset!J1278))</f>
        <v>20</v>
      </c>
      <c r="K1278" s="7" t="n">
        <f aca="false">IF(ISBLANK(customer_churn_dataset!K1278),0,MIN(10,MAX(0,customer_churn_dataset!K1278)))</f>
        <v>6</v>
      </c>
      <c r="L1278" s="7" t="n">
        <f aca="false">IF(ISBLANK(customer_churn_dataset!L1278),0,MAX(0,customer_churn_dataset!L1278))</f>
        <v>2</v>
      </c>
      <c r="M1278" s="7" t="n">
        <f aca="false">IF(ISBLANK(customer_churn_dataset!M1278),0,customer_churn_dataset!M1278)</f>
        <v>0</v>
      </c>
      <c r="N1278" s="7" t="n">
        <f aca="false">IF(ISBLANK(customer_churn_dataset!N1278),0,MAX(0,customer_churn_dataset!N1278))</f>
        <v>111.98</v>
      </c>
      <c r="O1278" s="7" t="n">
        <f aca="false">IF(ISBLANK(customer_churn_dataset!O1278),0,customer_churn_dataset!O1278)</f>
        <v>0</v>
      </c>
      <c r="P1278" s="7" t="str">
        <f aca="false">IF(COUNTIF(customer_churn_dataset!$A$2:$A$1501,customer_churn_dataset!A1278)&gt;1,"Duplicate","Unique")</f>
        <v>Unique</v>
      </c>
    </row>
    <row r="1279" customFormat="false" ht="14.15" hidden="false" customHeight="true" outlineLevel="0" collapsed="false">
      <c r="A1279" s="7" t="str">
        <f aca="false">TRIM(customer_churn_dataset!A1279)</f>
        <v>CUST100277</v>
      </c>
      <c r="B1279" s="7" t="str">
        <f aca="false">PROPER(TRIM(customer_churn_dataset!B1279))</f>
        <v>Standard</v>
      </c>
      <c r="C1279" s="7" t="str">
        <f aca="false">PROPER(TRIM(customer_churn_dataset!C1279))</f>
        <v>Month-To-Month</v>
      </c>
      <c r="D1279" s="7" t="n">
        <f aca="false">IF(ISBLANK(customer_churn_dataset!D1279),ROUND(MEDIAN(customer_churn_dataset!D$2:D$1501),2),IF(customer_churn_dataset!D1279&lt;0,ABS(customer_churn_dataset!D1279),customer_churn_dataset!D1279))</f>
        <v>21.6</v>
      </c>
      <c r="E1279" s="7" t="n">
        <f aca="false">IF(ISBLANK(customer_churn_dataset!E1279),0,MAX(0,customer_churn_dataset!E1279))</f>
        <v>31</v>
      </c>
      <c r="F1279" s="8" t="n">
        <f aca="false">IF(ISBLANK(customer_churn_dataset!F1279),"",customer_churn_dataset!F1279)</f>
        <v>45524</v>
      </c>
      <c r="G1279" s="7" t="str">
        <f aca="false">PROPER(TRIM(customer_churn_dataset!G1279))</f>
        <v>Bank Transfer</v>
      </c>
      <c r="H1279" s="7" t="n">
        <f aca="false">IF(ISBLANK(customer_churn_dataset!H1279),0,customer_churn_dataset!H1279)</f>
        <v>1</v>
      </c>
      <c r="I1279" s="7" t="n">
        <f aca="false">IF(ISBLANK(customer_churn_dataset!I1279),ROUND(MEDIAN(customer_churn_dataset!I$2:I$1501),1),MIN(100,MAX(0,customer_churn_dataset!I1279)))</f>
        <v>36.8</v>
      </c>
      <c r="J1279" s="7" t="n">
        <f aca="false">IF(ISBLANK(customer_churn_dataset!J1279),0,MAX(0,customer_churn_dataset!J1279))</f>
        <v>14</v>
      </c>
      <c r="K1279" s="7" t="n">
        <f aca="false">IF(ISBLANK(customer_churn_dataset!K1279),0,MIN(10,MAX(0,customer_churn_dataset!K1279)))</f>
        <v>6</v>
      </c>
      <c r="L1279" s="7" t="n">
        <f aca="false">IF(ISBLANK(customer_churn_dataset!L1279),0,MAX(0,customer_churn_dataset!L1279))</f>
        <v>0</v>
      </c>
      <c r="M1279" s="7" t="n">
        <f aca="false">IF(ISBLANK(customer_churn_dataset!M1279),0,customer_churn_dataset!M1279)</f>
        <v>0</v>
      </c>
      <c r="N1279" s="7" t="n">
        <f aca="false">IF(ISBLANK(customer_churn_dataset!N1279),0,MAX(0,customer_churn_dataset!N1279))</f>
        <v>669.6</v>
      </c>
      <c r="O1279" s="7" t="n">
        <f aca="false">IF(ISBLANK(customer_churn_dataset!O1279),0,customer_churn_dataset!O1279)</f>
        <v>0</v>
      </c>
      <c r="P1279" s="7" t="str">
        <f aca="false">IF(COUNTIF(customer_churn_dataset!$A$2:$A$1501,customer_churn_dataset!A1279)&gt;1,"Duplicate","Unique")</f>
        <v>Unique</v>
      </c>
    </row>
    <row r="1280" customFormat="false" ht="14.15" hidden="false" customHeight="true" outlineLevel="0" collapsed="false">
      <c r="A1280" s="7" t="str">
        <f aca="false">TRIM(customer_churn_dataset!A1280)</f>
        <v>CUST101185</v>
      </c>
      <c r="B1280" s="7" t="str">
        <f aca="false">PROPER(TRIM(customer_churn_dataset!B1280))</f>
        <v>Premium</v>
      </c>
      <c r="C1280" s="7" t="str">
        <f aca="false">PROPER(TRIM(customer_churn_dataset!C1280))</f>
        <v>Month-To-Month</v>
      </c>
      <c r="D1280" s="7" t="n">
        <f aca="false">IF(ISBLANK(customer_churn_dataset!D1280),ROUND(MEDIAN(customer_churn_dataset!D$2:D$1501),2),IF(customer_churn_dataset!D1280&lt;0,ABS(customer_churn_dataset!D1280),customer_churn_dataset!D1280))</f>
        <v>41.09</v>
      </c>
      <c r="E1280" s="7" t="n">
        <f aca="false">IF(ISBLANK(customer_churn_dataset!E1280),0,MAX(0,customer_churn_dataset!E1280))</f>
        <v>66</v>
      </c>
      <c r="F1280" s="8" t="n">
        <f aca="false">IF(ISBLANK(customer_churn_dataset!F1280),"",customer_churn_dataset!F1280)</f>
        <v>45526</v>
      </c>
      <c r="G1280" s="7" t="str">
        <f aca="false">PROPER(TRIM(customer_churn_dataset!G1280))</f>
        <v>Credit Card</v>
      </c>
      <c r="H1280" s="7" t="n">
        <f aca="false">IF(ISBLANK(customer_churn_dataset!H1280),0,customer_churn_dataset!H1280)</f>
        <v>1</v>
      </c>
      <c r="I1280" s="7" t="n">
        <f aca="false">IF(ISBLANK(customer_churn_dataset!I1280),ROUND(MEDIAN(customer_churn_dataset!I$2:I$1501),1),MIN(100,MAX(0,customer_churn_dataset!I1280)))</f>
        <v>61.3</v>
      </c>
      <c r="J1280" s="7" t="n">
        <f aca="false">IF(ISBLANK(customer_churn_dataset!J1280),0,MAX(0,customer_churn_dataset!J1280))</f>
        <v>20</v>
      </c>
      <c r="K1280" s="7" t="n">
        <f aca="false">IF(ISBLANK(customer_churn_dataset!K1280),0,MIN(10,MAX(0,customer_churn_dataset!K1280)))</f>
        <v>6</v>
      </c>
      <c r="L1280" s="7" t="n">
        <f aca="false">IF(ISBLANK(customer_churn_dataset!L1280),0,MAX(0,customer_churn_dataset!L1280))</f>
        <v>1</v>
      </c>
      <c r="M1280" s="7" t="n">
        <f aca="false">IF(ISBLANK(customer_churn_dataset!M1280),0,customer_churn_dataset!M1280)</f>
        <v>0</v>
      </c>
      <c r="N1280" s="7" t="n">
        <f aca="false">IF(ISBLANK(customer_churn_dataset!N1280),0,MAX(0,customer_churn_dataset!N1280))</f>
        <v>2711.94</v>
      </c>
      <c r="O1280" s="7" t="n">
        <f aca="false">IF(ISBLANK(customer_churn_dataset!O1280),0,customer_churn_dataset!O1280)</f>
        <v>0</v>
      </c>
      <c r="P1280" s="7" t="str">
        <f aca="false">IF(COUNTIF(customer_churn_dataset!$A$2:$A$1501,customer_churn_dataset!A1280)&gt;1,"Duplicate","Unique")</f>
        <v>Unique</v>
      </c>
    </row>
    <row r="1281" customFormat="false" ht="14.15" hidden="false" customHeight="true" outlineLevel="0" collapsed="false">
      <c r="A1281" s="7" t="str">
        <f aca="false">TRIM(customer_churn_dataset!A1281)</f>
        <v>CUST100879</v>
      </c>
      <c r="B1281" s="7" t="str">
        <f aca="false">PROPER(TRIM(customer_churn_dataset!B1281))</f>
        <v>Basic</v>
      </c>
      <c r="C1281" s="7" t="str">
        <f aca="false">PROPER(TRIM(customer_churn_dataset!C1281))</f>
        <v>Two Year</v>
      </c>
      <c r="D1281" s="7" t="n">
        <f aca="false">IF(ISBLANK(customer_churn_dataset!D1281),ROUND(MEDIAN(customer_churn_dataset!D$2:D$1501),2),IF(customer_churn_dataset!D1281&lt;0,ABS(customer_churn_dataset!D1281),customer_churn_dataset!D1281))</f>
        <v>8.22</v>
      </c>
      <c r="E1281" s="7" t="n">
        <f aca="false">IF(ISBLANK(customer_churn_dataset!E1281),0,MAX(0,customer_churn_dataset!E1281))</f>
        <v>25</v>
      </c>
      <c r="F1281" s="8" t="n">
        <f aca="false">IF(ISBLANK(customer_churn_dataset!F1281),"",customer_churn_dataset!F1281)</f>
        <v>45528</v>
      </c>
      <c r="G1281" s="7" t="str">
        <f aca="false">PROPER(TRIM(customer_churn_dataset!G1281))</f>
        <v>Credit Card</v>
      </c>
      <c r="H1281" s="7" t="n">
        <f aca="false">IF(ISBLANK(customer_churn_dataset!H1281),0,customer_churn_dataset!H1281)</f>
        <v>0</v>
      </c>
      <c r="I1281" s="7" t="n">
        <f aca="false">IF(ISBLANK(customer_churn_dataset!I1281),ROUND(MEDIAN(customer_churn_dataset!I$2:I$1501),1),MIN(100,MAX(0,customer_churn_dataset!I1281)))</f>
        <v>51.9</v>
      </c>
      <c r="J1281" s="7" t="n">
        <f aca="false">IF(ISBLANK(customer_churn_dataset!J1281),0,MAX(0,customer_churn_dataset!J1281))</f>
        <v>17</v>
      </c>
      <c r="K1281" s="7" t="n">
        <f aca="false">IF(ISBLANK(customer_churn_dataset!K1281),0,MIN(10,MAX(0,customer_churn_dataset!K1281)))</f>
        <v>4</v>
      </c>
      <c r="L1281" s="7" t="n">
        <f aca="false">IF(ISBLANK(customer_churn_dataset!L1281),0,MAX(0,customer_churn_dataset!L1281))</f>
        <v>1</v>
      </c>
      <c r="M1281" s="7" t="n">
        <f aca="false">IF(ISBLANK(customer_churn_dataset!M1281),0,customer_churn_dataset!M1281)</f>
        <v>1</v>
      </c>
      <c r="N1281" s="7" t="n">
        <f aca="false">IF(ISBLANK(customer_churn_dataset!N1281),0,MAX(0,customer_churn_dataset!N1281))</f>
        <v>205.5</v>
      </c>
      <c r="O1281" s="7" t="n">
        <f aca="false">IF(ISBLANK(customer_churn_dataset!O1281),0,customer_churn_dataset!O1281)</f>
        <v>0</v>
      </c>
      <c r="P1281" s="7" t="str">
        <f aca="false">IF(COUNTIF(customer_churn_dataset!$A$2:$A$1501,customer_churn_dataset!A1281)&gt;1,"Duplicate","Unique")</f>
        <v>Unique</v>
      </c>
    </row>
    <row r="1282" customFormat="false" ht="14.15" hidden="false" customHeight="true" outlineLevel="0" collapsed="false">
      <c r="A1282" s="7" t="str">
        <f aca="false">TRIM(customer_churn_dataset!A1282)</f>
        <v>CUST100774</v>
      </c>
      <c r="B1282" s="7" t="str">
        <f aca="false">PROPER(TRIM(customer_churn_dataset!B1282))</f>
        <v>Standard</v>
      </c>
      <c r="C1282" s="7" t="str">
        <f aca="false">PROPER(TRIM(customer_churn_dataset!C1282))</f>
        <v>Month-To-Month</v>
      </c>
      <c r="D1282" s="7" t="n">
        <f aca="false">IF(ISBLANK(customer_churn_dataset!D1282),ROUND(MEDIAN(customer_churn_dataset!D$2:D$1501),2),IF(customer_churn_dataset!D1282&lt;0,ABS(customer_churn_dataset!D1282),customer_churn_dataset!D1282))</f>
        <v>22.63</v>
      </c>
      <c r="E1282" s="7" t="n">
        <f aca="false">IF(ISBLANK(customer_churn_dataset!E1282),0,MAX(0,customer_churn_dataset!E1282))</f>
        <v>18</v>
      </c>
      <c r="F1282" s="8" t="n">
        <f aca="false">IF(ISBLANK(customer_churn_dataset!F1282),"",customer_churn_dataset!F1282)</f>
        <v>45530</v>
      </c>
      <c r="G1282" s="7" t="str">
        <f aca="false">PROPER(TRIM(customer_churn_dataset!G1282))</f>
        <v>Manual/Invoice</v>
      </c>
      <c r="H1282" s="7" t="n">
        <f aca="false">IF(ISBLANK(customer_churn_dataset!H1282),0,customer_churn_dataset!H1282)</f>
        <v>1</v>
      </c>
      <c r="I1282" s="7" t="n">
        <f aca="false">IF(ISBLANK(customer_churn_dataset!I1282),ROUND(MEDIAN(customer_churn_dataset!I$2:I$1501),1),MIN(100,MAX(0,customer_churn_dataset!I1282)))</f>
        <v>82</v>
      </c>
      <c r="J1282" s="7" t="n">
        <f aca="false">IF(ISBLANK(customer_churn_dataset!J1282),0,MAX(0,customer_churn_dataset!J1282))</f>
        <v>27</v>
      </c>
      <c r="K1282" s="7" t="n">
        <f aca="false">IF(ISBLANK(customer_churn_dataset!K1282),0,MIN(10,MAX(0,customer_churn_dataset!K1282)))</f>
        <v>10</v>
      </c>
      <c r="L1282" s="7" t="n">
        <f aca="false">IF(ISBLANK(customer_churn_dataset!L1282),0,MAX(0,customer_churn_dataset!L1282))</f>
        <v>4</v>
      </c>
      <c r="M1282" s="7" t="n">
        <f aca="false">IF(ISBLANK(customer_churn_dataset!M1282),0,customer_churn_dataset!M1282)</f>
        <v>0</v>
      </c>
      <c r="N1282" s="7" t="n">
        <f aca="false">IF(ISBLANK(customer_churn_dataset!N1282),0,MAX(0,customer_churn_dataset!N1282))</f>
        <v>407.34</v>
      </c>
      <c r="O1282" s="7" t="n">
        <f aca="false">IF(ISBLANK(customer_churn_dataset!O1282),0,customer_churn_dataset!O1282)</f>
        <v>1</v>
      </c>
      <c r="P1282" s="7" t="str">
        <f aca="false">IF(COUNTIF(customer_churn_dataset!$A$2:$A$1501,customer_churn_dataset!A1282)&gt;1,"Duplicate","Unique")</f>
        <v>Unique</v>
      </c>
    </row>
    <row r="1283" customFormat="false" ht="14.15" hidden="false" customHeight="true" outlineLevel="0" collapsed="false">
      <c r="A1283" s="7" t="str">
        <f aca="false">TRIM(customer_churn_dataset!A1283)</f>
        <v>CUST100884</v>
      </c>
      <c r="B1283" s="7" t="str">
        <f aca="false">PROPER(TRIM(customer_churn_dataset!B1283))</f>
        <v>Standard</v>
      </c>
      <c r="C1283" s="7" t="str">
        <f aca="false">PROPER(TRIM(customer_churn_dataset!C1283))</f>
        <v>Month-To-Month</v>
      </c>
      <c r="D1283" s="7" t="n">
        <f aca="false">IF(ISBLANK(customer_churn_dataset!D1283),ROUND(MEDIAN(customer_churn_dataset!D$2:D$1501),2),IF(customer_churn_dataset!D1283&lt;0,ABS(customer_churn_dataset!D1283),customer_churn_dataset!D1283))</f>
        <v>19.17</v>
      </c>
      <c r="E1283" s="7" t="n">
        <f aca="false">IF(ISBLANK(customer_churn_dataset!E1283),0,MAX(0,customer_churn_dataset!E1283))</f>
        <v>6</v>
      </c>
      <c r="F1283" s="8" t="n">
        <f aca="false">IF(ISBLANK(customer_churn_dataset!F1283),"",customer_churn_dataset!F1283)</f>
        <v>45532</v>
      </c>
      <c r="G1283" s="7" t="str">
        <f aca="false">PROPER(TRIM(customer_churn_dataset!G1283))</f>
        <v>Bank Transfer</v>
      </c>
      <c r="H1283" s="7" t="n">
        <f aca="false">IF(ISBLANK(customer_churn_dataset!H1283),0,customer_churn_dataset!H1283)</f>
        <v>0</v>
      </c>
      <c r="I1283" s="7" t="n">
        <f aca="false">IF(ISBLANK(customer_churn_dataset!I1283),ROUND(MEDIAN(customer_churn_dataset!I$2:I$1501),1),MIN(100,MAX(0,customer_churn_dataset!I1283)))</f>
        <v>48.8</v>
      </c>
      <c r="J1283" s="7" t="n">
        <f aca="false">IF(ISBLANK(customer_churn_dataset!J1283),0,MAX(0,customer_churn_dataset!J1283))</f>
        <v>14</v>
      </c>
      <c r="K1283" s="7" t="n">
        <f aca="false">IF(ISBLANK(customer_churn_dataset!K1283),0,MIN(10,MAX(0,customer_churn_dataset!K1283)))</f>
        <v>6</v>
      </c>
      <c r="L1283" s="7" t="n">
        <f aca="false">IF(ISBLANK(customer_churn_dataset!L1283),0,MAX(0,customer_churn_dataset!L1283))</f>
        <v>1</v>
      </c>
      <c r="M1283" s="7" t="n">
        <f aca="false">IF(ISBLANK(customer_churn_dataset!M1283),0,customer_churn_dataset!M1283)</f>
        <v>1</v>
      </c>
      <c r="N1283" s="7" t="n">
        <f aca="false">IF(ISBLANK(customer_churn_dataset!N1283),0,MAX(0,customer_churn_dataset!N1283))</f>
        <v>115.02</v>
      </c>
      <c r="O1283" s="7" t="n">
        <f aca="false">IF(ISBLANK(customer_churn_dataset!O1283),0,customer_churn_dataset!O1283)</f>
        <v>1</v>
      </c>
      <c r="P1283" s="7" t="str">
        <f aca="false">IF(COUNTIF(customer_churn_dataset!$A$2:$A$1501,customer_churn_dataset!A1283)&gt;1,"Duplicate","Unique")</f>
        <v>Unique</v>
      </c>
    </row>
    <row r="1284" customFormat="false" ht="14.15" hidden="false" customHeight="true" outlineLevel="0" collapsed="false">
      <c r="A1284" s="7" t="str">
        <f aca="false">TRIM(customer_churn_dataset!A1284)</f>
        <v>CUST100899</v>
      </c>
      <c r="B1284" s="7" t="str">
        <f aca="false">PROPER(TRIM(customer_churn_dataset!B1284))</f>
        <v>Basic</v>
      </c>
      <c r="C1284" s="7" t="str">
        <f aca="false">PROPER(TRIM(customer_churn_dataset!C1284))</f>
        <v>Month-To-Month</v>
      </c>
      <c r="D1284" s="7" t="n">
        <f aca="false">IF(ISBLANK(customer_churn_dataset!D1284),ROUND(MEDIAN(customer_churn_dataset!D$2:D$1501),2),IF(customer_churn_dataset!D1284&lt;0,ABS(customer_churn_dataset!D1284),customer_churn_dataset!D1284))</f>
        <v>10.18</v>
      </c>
      <c r="E1284" s="7" t="n">
        <f aca="false">IF(ISBLANK(customer_churn_dataset!E1284),0,MAX(0,customer_churn_dataset!E1284))</f>
        <v>29</v>
      </c>
      <c r="F1284" s="8" t="n">
        <f aca="false">IF(ISBLANK(customer_churn_dataset!F1284),"",customer_churn_dataset!F1284)</f>
        <v>45533</v>
      </c>
      <c r="G1284" s="7" t="str">
        <f aca="false">PROPER(TRIM(customer_churn_dataset!G1284))</f>
        <v>Credit Card</v>
      </c>
      <c r="H1284" s="7" t="n">
        <f aca="false">IF(ISBLANK(customer_churn_dataset!H1284),0,customer_churn_dataset!H1284)</f>
        <v>1</v>
      </c>
      <c r="I1284" s="7" t="n">
        <f aca="false">IF(ISBLANK(customer_churn_dataset!I1284),ROUND(MEDIAN(customer_churn_dataset!I$2:I$1501),1),MIN(100,MAX(0,customer_churn_dataset!I1284)))</f>
        <v>26.9</v>
      </c>
      <c r="J1284" s="7" t="n">
        <f aca="false">IF(ISBLANK(customer_churn_dataset!J1284),0,MAX(0,customer_churn_dataset!J1284))</f>
        <v>9</v>
      </c>
      <c r="K1284" s="7" t="n">
        <f aca="false">IF(ISBLANK(customer_churn_dataset!K1284),0,MIN(10,MAX(0,customer_churn_dataset!K1284)))</f>
        <v>2</v>
      </c>
      <c r="L1284" s="7" t="n">
        <f aca="false">IF(ISBLANK(customer_churn_dataset!L1284),0,MAX(0,customer_churn_dataset!L1284))</f>
        <v>2</v>
      </c>
      <c r="M1284" s="7" t="n">
        <f aca="false">IF(ISBLANK(customer_churn_dataset!M1284),0,customer_churn_dataset!M1284)</f>
        <v>1</v>
      </c>
      <c r="N1284" s="7" t="n">
        <f aca="false">IF(ISBLANK(customer_churn_dataset!N1284),0,MAX(0,customer_churn_dataset!N1284))</f>
        <v>295.22</v>
      </c>
      <c r="O1284" s="7" t="n">
        <f aca="false">IF(ISBLANK(customer_churn_dataset!O1284),0,customer_churn_dataset!O1284)</f>
        <v>1</v>
      </c>
      <c r="P1284" s="7" t="str">
        <f aca="false">IF(COUNTIF(customer_churn_dataset!$A$2:$A$1501,customer_churn_dataset!A1284)&gt;1,"Duplicate","Unique")</f>
        <v>Unique</v>
      </c>
    </row>
    <row r="1285" customFormat="false" ht="14.15" hidden="false" customHeight="true" outlineLevel="0" collapsed="false">
      <c r="A1285" s="7" t="str">
        <f aca="false">TRIM(customer_churn_dataset!A1285)</f>
        <v>CUST100924</v>
      </c>
      <c r="B1285" s="7" t="str">
        <f aca="false">PROPER(TRIM(customer_churn_dataset!B1285))</f>
        <v>Basic</v>
      </c>
      <c r="C1285" s="7" t="str">
        <f aca="false">PROPER(TRIM(customer_churn_dataset!C1285))</f>
        <v>Month-To-Month</v>
      </c>
      <c r="D1285" s="7" t="n">
        <f aca="false">IF(ISBLANK(customer_churn_dataset!D1285),ROUND(MEDIAN(customer_churn_dataset!D$2:D$1501),2),IF(customer_churn_dataset!D1285&lt;0,ABS(customer_churn_dataset!D1285),customer_churn_dataset!D1285))</f>
        <v>9.44</v>
      </c>
      <c r="E1285" s="7" t="n">
        <f aca="false">IF(ISBLANK(customer_churn_dataset!E1285),0,MAX(0,customer_churn_dataset!E1285))</f>
        <v>6</v>
      </c>
      <c r="F1285" s="8" t="n">
        <f aca="false">IF(ISBLANK(customer_churn_dataset!F1285),"",customer_churn_dataset!F1285)</f>
        <v>45533</v>
      </c>
      <c r="G1285" s="7" t="str">
        <f aca="false">PROPER(TRIM(customer_churn_dataset!G1285))</f>
        <v>Bank Transfer</v>
      </c>
      <c r="H1285" s="7" t="n">
        <f aca="false">IF(ISBLANK(customer_churn_dataset!H1285),0,customer_churn_dataset!H1285)</f>
        <v>0</v>
      </c>
      <c r="I1285" s="7" t="n">
        <f aca="false">IF(ISBLANK(customer_churn_dataset!I1285),ROUND(MEDIAN(customer_churn_dataset!I$2:I$1501),1),MIN(100,MAX(0,customer_churn_dataset!I1285)))</f>
        <v>81.8</v>
      </c>
      <c r="J1285" s="7" t="n">
        <f aca="false">IF(ISBLANK(customer_churn_dataset!J1285),0,MAX(0,customer_churn_dataset!J1285))</f>
        <v>29</v>
      </c>
      <c r="K1285" s="7" t="n">
        <f aca="false">IF(ISBLANK(customer_churn_dataset!K1285),0,MIN(10,MAX(0,customer_churn_dataset!K1285)))</f>
        <v>8</v>
      </c>
      <c r="L1285" s="7" t="n">
        <f aca="false">IF(ISBLANK(customer_churn_dataset!L1285),0,MAX(0,customer_churn_dataset!L1285))</f>
        <v>2</v>
      </c>
      <c r="M1285" s="7" t="n">
        <f aca="false">IF(ISBLANK(customer_churn_dataset!M1285),0,customer_churn_dataset!M1285)</f>
        <v>1</v>
      </c>
      <c r="N1285" s="7" t="n">
        <f aca="false">IF(ISBLANK(customer_churn_dataset!N1285),0,MAX(0,customer_churn_dataset!N1285))</f>
        <v>56.64</v>
      </c>
      <c r="O1285" s="7" t="n">
        <f aca="false">IF(ISBLANK(customer_churn_dataset!O1285),0,customer_churn_dataset!O1285)</f>
        <v>0</v>
      </c>
      <c r="P1285" s="7" t="str">
        <f aca="false">IF(COUNTIF(customer_churn_dataset!$A$2:$A$1501,customer_churn_dataset!A1285)&gt;1,"Duplicate","Unique")</f>
        <v>Unique</v>
      </c>
    </row>
    <row r="1286" customFormat="false" ht="14.15" hidden="false" customHeight="true" outlineLevel="0" collapsed="false">
      <c r="A1286" s="7" t="str">
        <f aca="false">TRIM(customer_churn_dataset!A1286)</f>
        <v>CUST100886</v>
      </c>
      <c r="B1286" s="7" t="str">
        <f aca="false">PROPER(TRIM(customer_churn_dataset!B1286))</f>
        <v>Standard</v>
      </c>
      <c r="C1286" s="7" t="str">
        <f aca="false">PROPER(TRIM(customer_churn_dataset!C1286))</f>
        <v>Month-To-Month</v>
      </c>
      <c r="D1286" s="7" t="n">
        <f aca="false">IF(ISBLANK(customer_churn_dataset!D1286),ROUND(MEDIAN(customer_churn_dataset!D$2:D$1501),2),IF(customer_churn_dataset!D1286&lt;0,ABS(customer_churn_dataset!D1286),customer_churn_dataset!D1286))</f>
        <v>19.99</v>
      </c>
      <c r="E1286" s="7" t="n">
        <f aca="false">IF(ISBLANK(customer_churn_dataset!E1286),0,MAX(0,customer_churn_dataset!E1286))</f>
        <v>2</v>
      </c>
      <c r="F1286" s="8" t="n">
        <f aca="false">IF(ISBLANK(customer_churn_dataset!F1286),"",customer_churn_dataset!F1286)</f>
        <v>45533</v>
      </c>
      <c r="G1286" s="7" t="str">
        <f aca="false">PROPER(TRIM(customer_churn_dataset!G1286))</f>
        <v>Credit Card</v>
      </c>
      <c r="H1286" s="7" t="n">
        <f aca="false">IF(ISBLANK(customer_churn_dataset!H1286),0,customer_churn_dataset!H1286)</f>
        <v>1</v>
      </c>
      <c r="I1286" s="7" t="n">
        <f aca="false">IF(ISBLANK(customer_churn_dataset!I1286),ROUND(MEDIAN(customer_churn_dataset!I$2:I$1501),1),MIN(100,MAX(0,customer_churn_dataset!I1286)))</f>
        <v>57.8</v>
      </c>
      <c r="J1286" s="7" t="n">
        <f aca="false">IF(ISBLANK(customer_churn_dataset!J1286),0,MAX(0,customer_churn_dataset!J1286))</f>
        <v>25</v>
      </c>
      <c r="K1286" s="7" t="n">
        <f aca="false">IF(ISBLANK(customer_churn_dataset!K1286),0,MIN(10,MAX(0,customer_churn_dataset!K1286)))</f>
        <v>4</v>
      </c>
      <c r="L1286" s="7" t="n">
        <f aca="false">IF(ISBLANK(customer_churn_dataset!L1286),0,MAX(0,customer_churn_dataset!L1286))</f>
        <v>3</v>
      </c>
      <c r="M1286" s="7" t="n">
        <f aca="false">IF(ISBLANK(customer_churn_dataset!M1286),0,customer_churn_dataset!M1286)</f>
        <v>0</v>
      </c>
      <c r="N1286" s="7" t="n">
        <f aca="false">IF(ISBLANK(customer_churn_dataset!N1286),0,MAX(0,customer_churn_dataset!N1286))</f>
        <v>39.98</v>
      </c>
      <c r="O1286" s="7" t="n">
        <f aca="false">IF(ISBLANK(customer_churn_dataset!O1286),0,customer_churn_dataset!O1286)</f>
        <v>1</v>
      </c>
      <c r="P1286" s="7" t="str">
        <f aca="false">IF(COUNTIF(customer_churn_dataset!$A$2:$A$1501,customer_churn_dataset!A1286)&gt;1,"Duplicate","Unique")</f>
        <v>Unique</v>
      </c>
    </row>
    <row r="1287" customFormat="false" ht="14.15" hidden="false" customHeight="true" outlineLevel="0" collapsed="false">
      <c r="A1287" s="7" t="str">
        <f aca="false">TRIM(customer_churn_dataset!A1287)</f>
        <v>CUST100068</v>
      </c>
      <c r="B1287" s="7" t="str">
        <f aca="false">PROPER(TRIM(customer_churn_dataset!B1287))</f>
        <v>Basic</v>
      </c>
      <c r="C1287" s="7" t="str">
        <f aca="false">PROPER(TRIM(customer_churn_dataset!C1287))</f>
        <v>One Year</v>
      </c>
      <c r="D1287" s="7" t="n">
        <f aca="false">IF(ISBLANK(customer_churn_dataset!D1287),ROUND(MEDIAN(customer_churn_dataset!D$2:D$1501),2),IF(customer_churn_dataset!D1287&lt;0,ABS(customer_churn_dataset!D1287),customer_churn_dataset!D1287))</f>
        <v>10.95</v>
      </c>
      <c r="E1287" s="7" t="n">
        <f aca="false">IF(ISBLANK(customer_churn_dataset!E1287),0,MAX(0,customer_churn_dataset!E1287))</f>
        <v>14</v>
      </c>
      <c r="F1287" s="8" t="n">
        <f aca="false">IF(ISBLANK(customer_churn_dataset!F1287),"",customer_churn_dataset!F1287)</f>
        <v>45534</v>
      </c>
      <c r="G1287" s="7" t="str">
        <f aca="false">PROPER(TRIM(customer_churn_dataset!G1287))</f>
        <v>Bank Transfer</v>
      </c>
      <c r="H1287" s="7" t="n">
        <f aca="false">IF(ISBLANK(customer_churn_dataset!H1287),0,customer_churn_dataset!H1287)</f>
        <v>1</v>
      </c>
      <c r="I1287" s="7" t="n">
        <f aca="false">IF(ISBLANK(customer_churn_dataset!I1287),ROUND(MEDIAN(customer_churn_dataset!I$2:I$1501),1),MIN(100,MAX(0,customer_churn_dataset!I1287)))</f>
        <v>74.3</v>
      </c>
      <c r="J1287" s="7" t="n">
        <f aca="false">IF(ISBLANK(customer_churn_dataset!J1287),0,MAX(0,customer_churn_dataset!J1287))</f>
        <v>25</v>
      </c>
      <c r="K1287" s="7" t="n">
        <f aca="false">IF(ISBLANK(customer_churn_dataset!K1287),0,MIN(10,MAX(0,customer_churn_dataset!K1287)))</f>
        <v>10</v>
      </c>
      <c r="L1287" s="7" t="n">
        <f aca="false">IF(ISBLANK(customer_churn_dataset!L1287),0,MAX(0,customer_churn_dataset!L1287))</f>
        <v>1</v>
      </c>
      <c r="M1287" s="7" t="n">
        <f aca="false">IF(ISBLANK(customer_churn_dataset!M1287),0,customer_churn_dataset!M1287)</f>
        <v>0</v>
      </c>
      <c r="N1287" s="7" t="n">
        <f aca="false">IF(ISBLANK(customer_churn_dataset!N1287),0,MAX(0,customer_churn_dataset!N1287))</f>
        <v>153.3</v>
      </c>
      <c r="O1287" s="7" t="n">
        <f aca="false">IF(ISBLANK(customer_churn_dataset!O1287),0,customer_churn_dataset!O1287)</f>
        <v>0</v>
      </c>
      <c r="P1287" s="7" t="str">
        <f aca="false">IF(COUNTIF(customer_churn_dataset!$A$2:$A$1501,customer_churn_dataset!A1287)&gt;1,"Duplicate","Unique")</f>
        <v>Unique</v>
      </c>
    </row>
    <row r="1288" customFormat="false" ht="14.15" hidden="false" customHeight="true" outlineLevel="0" collapsed="false">
      <c r="A1288" s="7" t="str">
        <f aca="false">TRIM(customer_churn_dataset!A1288)</f>
        <v>CUST101012</v>
      </c>
      <c r="B1288" s="7" t="str">
        <f aca="false">PROPER(TRIM(customer_churn_dataset!B1288))</f>
        <v>Premium</v>
      </c>
      <c r="C1288" s="7" t="str">
        <f aca="false">PROPER(TRIM(customer_churn_dataset!C1288))</f>
        <v>Month-To-Month</v>
      </c>
      <c r="D1288" s="7" t="n">
        <f aca="false">IF(ISBLANK(customer_churn_dataset!D1288),ROUND(MEDIAN(customer_churn_dataset!D$2:D$1501),2),IF(customer_churn_dataset!D1288&lt;0,ABS(customer_churn_dataset!D1288),customer_churn_dataset!D1288))</f>
        <v>39.67</v>
      </c>
      <c r="E1288" s="7" t="n">
        <f aca="false">IF(ISBLANK(customer_churn_dataset!E1288),0,MAX(0,customer_churn_dataset!E1288))</f>
        <v>13</v>
      </c>
      <c r="F1288" s="8" t="n">
        <f aca="false">IF(ISBLANK(customer_churn_dataset!F1288),"",customer_churn_dataset!F1288)</f>
        <v>45538</v>
      </c>
      <c r="G1288" s="7" t="str">
        <f aca="false">PROPER(TRIM(customer_churn_dataset!G1288))</f>
        <v>Paypal</v>
      </c>
      <c r="H1288" s="7" t="n">
        <f aca="false">IF(ISBLANK(customer_churn_dataset!H1288),0,customer_churn_dataset!H1288)</f>
        <v>1</v>
      </c>
      <c r="I1288" s="7" t="n">
        <f aca="false">IF(ISBLANK(customer_churn_dataset!I1288),ROUND(MEDIAN(customer_churn_dataset!I$2:I$1501),1),MIN(100,MAX(0,customer_churn_dataset!I1288)))</f>
        <v>29.2</v>
      </c>
      <c r="J1288" s="7" t="n">
        <f aca="false">IF(ISBLANK(customer_churn_dataset!J1288),0,MAX(0,customer_churn_dataset!J1288))</f>
        <v>4</v>
      </c>
      <c r="K1288" s="7" t="n">
        <f aca="false">IF(ISBLANK(customer_churn_dataset!K1288),0,MIN(10,MAX(0,customer_churn_dataset!K1288)))</f>
        <v>4</v>
      </c>
      <c r="L1288" s="7" t="n">
        <f aca="false">IF(ISBLANK(customer_churn_dataset!L1288),0,MAX(0,customer_churn_dataset!L1288))</f>
        <v>3</v>
      </c>
      <c r="M1288" s="7" t="n">
        <f aca="false">IF(ISBLANK(customer_churn_dataset!M1288),0,customer_churn_dataset!M1288)</f>
        <v>0</v>
      </c>
      <c r="N1288" s="7" t="n">
        <f aca="false">IF(ISBLANK(customer_churn_dataset!N1288),0,MAX(0,customer_churn_dataset!N1288))</f>
        <v>515.71</v>
      </c>
      <c r="O1288" s="7" t="n">
        <f aca="false">IF(ISBLANK(customer_churn_dataset!O1288),0,customer_churn_dataset!O1288)</f>
        <v>0</v>
      </c>
      <c r="P1288" s="7" t="str">
        <f aca="false">IF(COUNTIF(customer_churn_dataset!$A$2:$A$1501,customer_churn_dataset!A1288)&gt;1,"Duplicate","Unique")</f>
        <v>Unique</v>
      </c>
    </row>
    <row r="1289" customFormat="false" ht="14.15" hidden="false" customHeight="true" outlineLevel="0" collapsed="false">
      <c r="A1289" s="7" t="str">
        <f aca="false">TRIM(customer_churn_dataset!A1289)</f>
        <v>CUST100728</v>
      </c>
      <c r="B1289" s="7" t="str">
        <f aca="false">PROPER(TRIM(customer_churn_dataset!B1289))</f>
        <v>Basic</v>
      </c>
      <c r="C1289" s="7" t="str">
        <f aca="false">PROPER(TRIM(customer_churn_dataset!C1289))</f>
        <v>Month-To-Month</v>
      </c>
      <c r="D1289" s="7" t="n">
        <f aca="false">IF(ISBLANK(customer_churn_dataset!D1289),ROUND(MEDIAN(customer_churn_dataset!D$2:D$1501),2),IF(customer_churn_dataset!D1289&lt;0,ABS(customer_churn_dataset!D1289),customer_churn_dataset!D1289))</f>
        <v>9.52</v>
      </c>
      <c r="E1289" s="7" t="n">
        <f aca="false">IF(ISBLANK(customer_churn_dataset!E1289),0,MAX(0,customer_churn_dataset!E1289))</f>
        <v>9</v>
      </c>
      <c r="F1289" s="8" t="n">
        <f aca="false">IF(ISBLANK(customer_churn_dataset!F1289),"",customer_churn_dataset!F1289)</f>
        <v>45540</v>
      </c>
      <c r="G1289" s="7" t="str">
        <f aca="false">PROPER(TRIM(customer_churn_dataset!G1289))</f>
        <v>Credit Card</v>
      </c>
      <c r="H1289" s="7" t="n">
        <f aca="false">IF(ISBLANK(customer_churn_dataset!H1289),0,customer_churn_dataset!H1289)</f>
        <v>0</v>
      </c>
      <c r="I1289" s="7" t="n">
        <f aca="false">IF(ISBLANK(customer_churn_dataset!I1289),ROUND(MEDIAN(customer_churn_dataset!I$2:I$1501),1),MIN(100,MAX(0,customer_churn_dataset!I1289)))</f>
        <v>53.7</v>
      </c>
      <c r="J1289" s="7" t="n">
        <f aca="false">IF(ISBLANK(customer_churn_dataset!J1289),0,MAX(0,customer_churn_dataset!J1289))</f>
        <v>9</v>
      </c>
      <c r="K1289" s="7" t="n">
        <f aca="false">IF(ISBLANK(customer_churn_dataset!K1289),0,MIN(10,MAX(0,customer_churn_dataset!K1289)))</f>
        <v>6</v>
      </c>
      <c r="L1289" s="7" t="n">
        <f aca="false">IF(ISBLANK(customer_churn_dataset!L1289),0,MAX(0,customer_churn_dataset!L1289))</f>
        <v>0</v>
      </c>
      <c r="M1289" s="7" t="n">
        <f aca="false">IF(ISBLANK(customer_churn_dataset!M1289),0,customer_churn_dataset!M1289)</f>
        <v>0</v>
      </c>
      <c r="N1289" s="7" t="n">
        <f aca="false">IF(ISBLANK(customer_churn_dataset!N1289),0,MAX(0,customer_churn_dataset!N1289))</f>
        <v>85.68</v>
      </c>
      <c r="O1289" s="7" t="n">
        <f aca="false">IF(ISBLANK(customer_churn_dataset!O1289),0,customer_churn_dataset!O1289)</f>
        <v>1</v>
      </c>
      <c r="P1289" s="7" t="str">
        <f aca="false">IF(COUNTIF(customer_churn_dataset!$A$2:$A$1501,customer_churn_dataset!A1289)&gt;1,"Duplicate","Unique")</f>
        <v>Unique</v>
      </c>
    </row>
    <row r="1290" customFormat="false" ht="14.15" hidden="false" customHeight="true" outlineLevel="0" collapsed="false">
      <c r="A1290" s="7" t="str">
        <f aca="false">TRIM(customer_churn_dataset!A1290)</f>
        <v>CUST101296</v>
      </c>
      <c r="B1290" s="7" t="str">
        <f aca="false">PROPER(TRIM(customer_churn_dataset!B1290))</f>
        <v>Basic</v>
      </c>
      <c r="C1290" s="7" t="str">
        <f aca="false">PROPER(TRIM(customer_churn_dataset!C1290))</f>
        <v>Month-To-Month</v>
      </c>
      <c r="D1290" s="7" t="n">
        <f aca="false">IF(ISBLANK(customer_churn_dataset!D1290),ROUND(MEDIAN(customer_churn_dataset!D$2:D$1501),2),IF(customer_churn_dataset!D1290&lt;0,ABS(customer_churn_dataset!D1290),customer_churn_dataset!D1290))</f>
        <v>9.41</v>
      </c>
      <c r="E1290" s="7" t="n">
        <f aca="false">IF(ISBLANK(customer_churn_dataset!E1290),0,MAX(0,customer_churn_dataset!E1290))</f>
        <v>6</v>
      </c>
      <c r="F1290" s="8" t="n">
        <f aca="false">IF(ISBLANK(customer_churn_dataset!F1290),"",customer_churn_dataset!F1290)</f>
        <v>45541</v>
      </c>
      <c r="G1290" s="7" t="str">
        <f aca="false">PROPER(TRIM(customer_churn_dataset!G1290))</f>
        <v>Bank Transfer</v>
      </c>
      <c r="H1290" s="7" t="n">
        <f aca="false">IF(ISBLANK(customer_churn_dataset!H1290),0,customer_churn_dataset!H1290)</f>
        <v>0</v>
      </c>
      <c r="I1290" s="7" t="n">
        <f aca="false">IF(ISBLANK(customer_churn_dataset!I1290),ROUND(MEDIAN(customer_churn_dataset!I$2:I$1501),1),MIN(100,MAX(0,customer_churn_dataset!I1290)))</f>
        <v>44.7</v>
      </c>
      <c r="J1290" s="7" t="n">
        <f aca="false">IF(ISBLANK(customer_churn_dataset!J1290),0,MAX(0,customer_churn_dataset!J1290))</f>
        <v>18</v>
      </c>
      <c r="K1290" s="7" t="n">
        <f aca="false">IF(ISBLANK(customer_churn_dataset!K1290),0,MIN(10,MAX(0,customer_churn_dataset!K1290)))</f>
        <v>2</v>
      </c>
      <c r="L1290" s="7" t="n">
        <f aca="false">IF(ISBLANK(customer_churn_dataset!L1290),0,MAX(0,customer_churn_dataset!L1290))</f>
        <v>2</v>
      </c>
      <c r="M1290" s="7" t="n">
        <f aca="false">IF(ISBLANK(customer_churn_dataset!M1290),0,customer_churn_dataset!M1290)</f>
        <v>0</v>
      </c>
      <c r="N1290" s="7" t="n">
        <f aca="false">IF(ISBLANK(customer_churn_dataset!N1290),0,MAX(0,customer_churn_dataset!N1290))</f>
        <v>56.46</v>
      </c>
      <c r="O1290" s="7" t="n">
        <f aca="false">IF(ISBLANK(customer_churn_dataset!O1290),0,customer_churn_dataset!O1290)</f>
        <v>0</v>
      </c>
      <c r="P1290" s="7" t="str">
        <f aca="false">IF(COUNTIF(customer_churn_dataset!$A$2:$A$1501,customer_churn_dataset!A1290)&gt;1,"Duplicate","Unique")</f>
        <v>Unique</v>
      </c>
    </row>
    <row r="1291" customFormat="false" ht="14.15" hidden="false" customHeight="true" outlineLevel="0" collapsed="false">
      <c r="A1291" s="7" t="str">
        <f aca="false">TRIM(customer_churn_dataset!A1291)</f>
        <v>CUST101265</v>
      </c>
      <c r="B1291" s="7" t="str">
        <f aca="false">PROPER(TRIM(customer_churn_dataset!B1291))</f>
        <v>Basic</v>
      </c>
      <c r="C1291" s="7" t="str">
        <f aca="false">PROPER(TRIM(customer_churn_dataset!C1291))</f>
        <v>Month-To-Month</v>
      </c>
      <c r="D1291" s="7" t="n">
        <f aca="false">IF(ISBLANK(customer_churn_dataset!D1291),ROUND(MEDIAN(customer_churn_dataset!D$2:D$1501),2),IF(customer_churn_dataset!D1291&lt;0,ABS(customer_churn_dataset!D1291),customer_churn_dataset!D1291))</f>
        <v>10.5</v>
      </c>
      <c r="E1291" s="7" t="n">
        <f aca="false">IF(ISBLANK(customer_churn_dataset!E1291),0,MAX(0,customer_churn_dataset!E1291))</f>
        <v>31</v>
      </c>
      <c r="F1291" s="8" t="n">
        <f aca="false">IF(ISBLANK(customer_churn_dataset!F1291),"",customer_churn_dataset!F1291)</f>
        <v>45542</v>
      </c>
      <c r="G1291" s="7" t="str">
        <f aca="false">PROPER(TRIM(customer_churn_dataset!G1291))</f>
        <v>Paypal</v>
      </c>
      <c r="H1291" s="7" t="n">
        <f aca="false">IF(ISBLANK(customer_churn_dataset!H1291),0,customer_churn_dataset!H1291)</f>
        <v>1</v>
      </c>
      <c r="I1291" s="7" t="n">
        <f aca="false">IF(ISBLANK(customer_churn_dataset!I1291),ROUND(MEDIAN(customer_churn_dataset!I$2:I$1501),1),MIN(100,MAX(0,customer_churn_dataset!I1291)))</f>
        <v>37.8</v>
      </c>
      <c r="J1291" s="7" t="n">
        <f aca="false">IF(ISBLANK(customer_churn_dataset!J1291),0,MAX(0,customer_churn_dataset!J1291))</f>
        <v>5</v>
      </c>
      <c r="K1291" s="7" t="n">
        <f aca="false">IF(ISBLANK(customer_churn_dataset!K1291),0,MIN(10,MAX(0,customer_churn_dataset!K1291)))</f>
        <v>3</v>
      </c>
      <c r="L1291" s="7" t="n">
        <f aca="false">IF(ISBLANK(customer_churn_dataset!L1291),0,MAX(0,customer_churn_dataset!L1291))</f>
        <v>1</v>
      </c>
      <c r="M1291" s="7" t="n">
        <f aca="false">IF(ISBLANK(customer_churn_dataset!M1291),0,customer_churn_dataset!M1291)</f>
        <v>1</v>
      </c>
      <c r="N1291" s="7" t="n">
        <f aca="false">IF(ISBLANK(customer_churn_dataset!N1291),0,MAX(0,customer_churn_dataset!N1291))</f>
        <v>325.5</v>
      </c>
      <c r="O1291" s="7" t="n">
        <f aca="false">IF(ISBLANK(customer_churn_dataset!O1291),0,customer_churn_dataset!O1291)</f>
        <v>1</v>
      </c>
      <c r="P1291" s="7" t="str">
        <f aca="false">IF(COUNTIF(customer_churn_dataset!$A$2:$A$1501,customer_churn_dataset!A1291)&gt;1,"Duplicate","Unique")</f>
        <v>Unique</v>
      </c>
    </row>
    <row r="1292" customFormat="false" ht="14.15" hidden="false" customHeight="true" outlineLevel="0" collapsed="false">
      <c r="A1292" s="7" t="str">
        <f aca="false">TRIM(customer_churn_dataset!A1292)</f>
        <v>CUST100374</v>
      </c>
      <c r="B1292" s="7" t="str">
        <f aca="false">PROPER(TRIM(customer_churn_dataset!B1292))</f>
        <v>Basic</v>
      </c>
      <c r="C1292" s="7" t="str">
        <f aca="false">PROPER(TRIM(customer_churn_dataset!C1292))</f>
        <v>Two Year</v>
      </c>
      <c r="D1292" s="7" t="n">
        <f aca="false">IF(ISBLANK(customer_churn_dataset!D1292),ROUND(MEDIAN(customer_churn_dataset!D$2:D$1501),2),IF(customer_churn_dataset!D1292&lt;0,ABS(customer_churn_dataset!D1292),customer_churn_dataset!D1292))</f>
        <v>9.52</v>
      </c>
      <c r="E1292" s="7" t="n">
        <f aca="false">IF(ISBLANK(customer_churn_dataset!E1292),0,MAX(0,customer_churn_dataset!E1292))</f>
        <v>72</v>
      </c>
      <c r="F1292" s="8" t="n">
        <f aca="false">IF(ISBLANK(customer_churn_dataset!F1292),"",customer_churn_dataset!F1292)</f>
        <v>45545</v>
      </c>
      <c r="G1292" s="7" t="str">
        <f aca="false">PROPER(TRIM(customer_churn_dataset!G1292))</f>
        <v>Credit Card</v>
      </c>
      <c r="H1292" s="7" t="n">
        <f aca="false">IF(ISBLANK(customer_churn_dataset!H1292),0,customer_churn_dataset!H1292)</f>
        <v>0</v>
      </c>
      <c r="I1292" s="7" t="n">
        <f aca="false">IF(ISBLANK(customer_churn_dataset!I1292),ROUND(MEDIAN(customer_churn_dataset!I$2:I$1501),1),MIN(100,MAX(0,customer_churn_dataset!I1292)))</f>
        <v>58.2</v>
      </c>
      <c r="J1292" s="7" t="n">
        <f aca="false">IF(ISBLANK(customer_churn_dataset!J1292),0,MAX(0,customer_churn_dataset!J1292))</f>
        <v>9</v>
      </c>
      <c r="K1292" s="7" t="n">
        <f aca="false">IF(ISBLANK(customer_churn_dataset!K1292),0,MIN(10,MAX(0,customer_churn_dataset!K1292)))</f>
        <v>6</v>
      </c>
      <c r="L1292" s="7" t="n">
        <f aca="false">IF(ISBLANK(customer_churn_dataset!L1292),0,MAX(0,customer_churn_dataset!L1292))</f>
        <v>2</v>
      </c>
      <c r="M1292" s="7" t="n">
        <f aca="false">IF(ISBLANK(customer_churn_dataset!M1292),0,customer_churn_dataset!M1292)</f>
        <v>1</v>
      </c>
      <c r="N1292" s="7" t="n">
        <f aca="false">IF(ISBLANK(customer_churn_dataset!N1292),0,MAX(0,customer_churn_dataset!N1292))</f>
        <v>685.44</v>
      </c>
      <c r="O1292" s="7" t="n">
        <f aca="false">IF(ISBLANK(customer_churn_dataset!O1292),0,customer_churn_dataset!O1292)</f>
        <v>0</v>
      </c>
      <c r="P1292" s="7" t="str">
        <f aca="false">IF(COUNTIF(customer_churn_dataset!$A$2:$A$1501,customer_churn_dataset!A1292)&gt;1,"Duplicate","Unique")</f>
        <v>Unique</v>
      </c>
    </row>
    <row r="1293" customFormat="false" ht="14.15" hidden="false" customHeight="true" outlineLevel="0" collapsed="false">
      <c r="A1293" s="7" t="str">
        <f aca="false">TRIM(customer_churn_dataset!A1293)</f>
        <v>CUST100415</v>
      </c>
      <c r="B1293" s="7" t="str">
        <f aca="false">PROPER(TRIM(customer_churn_dataset!B1293))</f>
        <v>Basic</v>
      </c>
      <c r="C1293" s="7" t="str">
        <f aca="false">PROPER(TRIM(customer_churn_dataset!C1293))</f>
        <v>Month-To-Month</v>
      </c>
      <c r="D1293" s="7" t="n">
        <f aca="false">IF(ISBLANK(customer_churn_dataset!D1293),ROUND(MEDIAN(customer_churn_dataset!D$2:D$1501),2),IF(customer_churn_dataset!D1293&lt;0,ABS(customer_churn_dataset!D1293),customer_churn_dataset!D1293))</f>
        <v>9.95</v>
      </c>
      <c r="E1293" s="7" t="n">
        <f aca="false">IF(ISBLANK(customer_churn_dataset!E1293),0,MAX(0,customer_churn_dataset!E1293))</f>
        <v>14</v>
      </c>
      <c r="F1293" s="8" t="n">
        <f aca="false">IF(ISBLANK(customer_churn_dataset!F1293),"",customer_churn_dataset!F1293)</f>
        <v>45546</v>
      </c>
      <c r="G1293" s="7" t="str">
        <f aca="false">PROPER(TRIM(customer_churn_dataset!G1293))</f>
        <v>Paypal</v>
      </c>
      <c r="H1293" s="7" t="n">
        <f aca="false">IF(ISBLANK(customer_churn_dataset!H1293),0,customer_churn_dataset!H1293)</f>
        <v>0</v>
      </c>
      <c r="I1293" s="7" t="n">
        <f aca="false">IF(ISBLANK(customer_churn_dataset!I1293),ROUND(MEDIAN(customer_churn_dataset!I$2:I$1501),1),MIN(100,MAX(0,customer_churn_dataset!I1293)))</f>
        <v>55</v>
      </c>
      <c r="J1293" s="7" t="n">
        <f aca="false">IF(ISBLANK(customer_churn_dataset!J1293),0,MAX(0,customer_churn_dataset!J1293))</f>
        <v>16</v>
      </c>
      <c r="K1293" s="7" t="n">
        <f aca="false">IF(ISBLANK(customer_churn_dataset!K1293),0,MIN(10,MAX(0,customer_churn_dataset!K1293)))</f>
        <v>6</v>
      </c>
      <c r="L1293" s="7" t="n">
        <f aca="false">IF(ISBLANK(customer_churn_dataset!L1293),0,MAX(0,customer_churn_dataset!L1293))</f>
        <v>2</v>
      </c>
      <c r="M1293" s="7" t="n">
        <f aca="false">IF(ISBLANK(customer_churn_dataset!M1293),0,customer_churn_dataset!M1293)</f>
        <v>1</v>
      </c>
      <c r="N1293" s="7" t="n">
        <f aca="false">IF(ISBLANK(customer_churn_dataset!N1293),0,MAX(0,customer_churn_dataset!N1293))</f>
        <v>139.3</v>
      </c>
      <c r="O1293" s="7" t="n">
        <f aca="false">IF(ISBLANK(customer_churn_dataset!O1293),0,customer_churn_dataset!O1293)</f>
        <v>0</v>
      </c>
      <c r="P1293" s="7" t="str">
        <f aca="false">IF(COUNTIF(customer_churn_dataset!$A$2:$A$1501,customer_churn_dataset!A1293)&gt;1,"Duplicate","Unique")</f>
        <v>Unique</v>
      </c>
    </row>
    <row r="1294" customFormat="false" ht="14.15" hidden="false" customHeight="true" outlineLevel="0" collapsed="false">
      <c r="A1294" s="7" t="str">
        <f aca="false">TRIM(customer_churn_dataset!A1294)</f>
        <v>CUST101043</v>
      </c>
      <c r="B1294" s="7" t="str">
        <f aca="false">PROPER(TRIM(customer_churn_dataset!B1294))</f>
        <v>Standard</v>
      </c>
      <c r="C1294" s="7" t="str">
        <f aca="false">PROPER(TRIM(customer_churn_dataset!C1294))</f>
        <v>One Year</v>
      </c>
      <c r="D1294" s="7" t="n">
        <f aca="false">IF(ISBLANK(customer_churn_dataset!D1294),ROUND(MEDIAN(customer_churn_dataset!D$2:D$1501),2),IF(customer_churn_dataset!D1294&lt;0,ABS(customer_churn_dataset!D1294),customer_churn_dataset!D1294))</f>
        <v>18.7</v>
      </c>
      <c r="E1294" s="7" t="n">
        <f aca="false">IF(ISBLANK(customer_churn_dataset!E1294),0,MAX(0,customer_churn_dataset!E1294))</f>
        <v>3</v>
      </c>
      <c r="F1294" s="8" t="n">
        <f aca="false">IF(ISBLANK(customer_churn_dataset!F1294),"",customer_churn_dataset!F1294)</f>
        <v>45546</v>
      </c>
      <c r="G1294" s="7" t="str">
        <f aca="false">PROPER(TRIM(customer_churn_dataset!G1294))</f>
        <v>Paypal</v>
      </c>
      <c r="H1294" s="7" t="n">
        <f aca="false">IF(ISBLANK(customer_churn_dataset!H1294),0,customer_churn_dataset!H1294)</f>
        <v>1</v>
      </c>
      <c r="I1294" s="7" t="n">
        <f aca="false">IF(ISBLANK(customer_churn_dataset!I1294),ROUND(MEDIAN(customer_churn_dataset!I$2:I$1501),1),MIN(100,MAX(0,customer_churn_dataset!I1294)))</f>
        <v>42.1</v>
      </c>
      <c r="J1294" s="7" t="n">
        <f aca="false">IF(ISBLANK(customer_churn_dataset!J1294),0,MAX(0,customer_churn_dataset!J1294))</f>
        <v>16</v>
      </c>
      <c r="K1294" s="7" t="n">
        <f aca="false">IF(ISBLANK(customer_churn_dataset!K1294),0,MIN(10,MAX(0,customer_churn_dataset!K1294)))</f>
        <v>5</v>
      </c>
      <c r="L1294" s="7" t="n">
        <f aca="false">IF(ISBLANK(customer_churn_dataset!L1294),0,MAX(0,customer_churn_dataset!L1294))</f>
        <v>1</v>
      </c>
      <c r="M1294" s="7" t="n">
        <f aca="false">IF(ISBLANK(customer_churn_dataset!M1294),0,customer_churn_dataset!M1294)</f>
        <v>0</v>
      </c>
      <c r="N1294" s="7" t="n">
        <f aca="false">IF(ISBLANK(customer_churn_dataset!N1294),0,MAX(0,customer_churn_dataset!N1294))</f>
        <v>56.1</v>
      </c>
      <c r="O1294" s="7" t="n">
        <f aca="false">IF(ISBLANK(customer_churn_dataset!O1294),0,customer_churn_dataset!O1294)</f>
        <v>0</v>
      </c>
      <c r="P1294" s="7" t="str">
        <f aca="false">IF(COUNTIF(customer_churn_dataset!$A$2:$A$1501,customer_churn_dataset!A1294)&gt;1,"Duplicate","Unique")</f>
        <v>Unique</v>
      </c>
    </row>
    <row r="1295" customFormat="false" ht="14.15" hidden="false" customHeight="true" outlineLevel="0" collapsed="false">
      <c r="A1295" s="7" t="str">
        <f aca="false">TRIM(customer_churn_dataset!A1295)</f>
        <v>CUST100578</v>
      </c>
      <c r="B1295" s="7" t="str">
        <f aca="false">PROPER(TRIM(customer_churn_dataset!B1295))</f>
        <v>Standard</v>
      </c>
      <c r="C1295" s="7" t="str">
        <f aca="false">PROPER(TRIM(customer_churn_dataset!C1295))</f>
        <v>Month-To-Month</v>
      </c>
      <c r="D1295" s="7" t="n">
        <f aca="false">IF(ISBLANK(customer_churn_dataset!D1295),ROUND(MEDIAN(customer_churn_dataset!D$2:D$1501),2),IF(customer_churn_dataset!D1295&lt;0,ABS(customer_churn_dataset!D1295),customer_churn_dataset!D1295))</f>
        <v>20.94</v>
      </c>
      <c r="E1295" s="7" t="n">
        <f aca="false">IF(ISBLANK(customer_churn_dataset!E1295),0,MAX(0,customer_churn_dataset!E1295))</f>
        <v>1</v>
      </c>
      <c r="F1295" s="8" t="n">
        <f aca="false">IF(ISBLANK(customer_churn_dataset!F1295),"",customer_churn_dataset!F1295)</f>
        <v>45547</v>
      </c>
      <c r="G1295" s="7" t="str">
        <f aca="false">PROPER(TRIM(customer_churn_dataset!G1295))</f>
        <v>Paypal</v>
      </c>
      <c r="H1295" s="7" t="n">
        <f aca="false">IF(ISBLANK(customer_churn_dataset!H1295),0,customer_churn_dataset!H1295)</f>
        <v>1</v>
      </c>
      <c r="I1295" s="7" t="n">
        <f aca="false">IF(ISBLANK(customer_churn_dataset!I1295),ROUND(MEDIAN(customer_churn_dataset!I$2:I$1501),1),MIN(100,MAX(0,customer_churn_dataset!I1295)))</f>
        <v>71.5</v>
      </c>
      <c r="J1295" s="7" t="n">
        <f aca="false">IF(ISBLANK(customer_churn_dataset!J1295),0,MAX(0,customer_churn_dataset!J1295))</f>
        <v>18</v>
      </c>
      <c r="K1295" s="7" t="n">
        <f aca="false">IF(ISBLANK(customer_churn_dataset!K1295),0,MIN(10,MAX(0,customer_churn_dataset!K1295)))</f>
        <v>8</v>
      </c>
      <c r="L1295" s="7" t="n">
        <f aca="false">IF(ISBLANK(customer_churn_dataset!L1295),0,MAX(0,customer_churn_dataset!L1295))</f>
        <v>1</v>
      </c>
      <c r="M1295" s="7" t="n">
        <f aca="false">IF(ISBLANK(customer_churn_dataset!M1295),0,customer_churn_dataset!M1295)</f>
        <v>1</v>
      </c>
      <c r="N1295" s="7" t="n">
        <f aca="false">IF(ISBLANK(customer_churn_dataset!N1295),0,MAX(0,customer_churn_dataset!N1295))</f>
        <v>20.94</v>
      </c>
      <c r="O1295" s="7" t="n">
        <f aca="false">IF(ISBLANK(customer_churn_dataset!O1295),0,customer_churn_dataset!O1295)</f>
        <v>1</v>
      </c>
      <c r="P1295" s="7" t="str">
        <f aca="false">IF(COUNTIF(customer_churn_dataset!$A$2:$A$1501,customer_churn_dataset!A1295)&gt;1,"Duplicate","Unique")</f>
        <v>Unique</v>
      </c>
    </row>
    <row r="1296" customFormat="false" ht="14.15" hidden="false" customHeight="true" outlineLevel="0" collapsed="false">
      <c r="A1296" s="7" t="str">
        <f aca="false">TRIM(customer_churn_dataset!A1296)</f>
        <v>CUST100681</v>
      </c>
      <c r="B1296" s="7" t="str">
        <f aca="false">PROPER(TRIM(customer_churn_dataset!B1296))</f>
        <v>Basic</v>
      </c>
      <c r="C1296" s="7" t="str">
        <f aca="false">PROPER(TRIM(customer_churn_dataset!C1296))</f>
        <v>One Year</v>
      </c>
      <c r="D1296" s="7" t="n">
        <f aca="false">IF(ISBLANK(customer_churn_dataset!D1296),ROUND(MEDIAN(customer_churn_dataset!D$2:D$1501),2),IF(customer_churn_dataset!D1296&lt;0,ABS(customer_churn_dataset!D1296),customer_churn_dataset!D1296))</f>
        <v>8.11</v>
      </c>
      <c r="E1296" s="7" t="n">
        <f aca="false">IF(ISBLANK(customer_churn_dataset!E1296),0,MAX(0,customer_churn_dataset!E1296))</f>
        <v>1</v>
      </c>
      <c r="F1296" s="8" t="n">
        <f aca="false">IF(ISBLANK(customer_churn_dataset!F1296),"",customer_churn_dataset!F1296)</f>
        <v>45549</v>
      </c>
      <c r="G1296" s="7" t="str">
        <f aca="false">PROPER(TRIM(customer_churn_dataset!G1296))</f>
        <v>Credit Card</v>
      </c>
      <c r="H1296" s="7" t="n">
        <f aca="false">IF(ISBLANK(customer_churn_dataset!H1296),0,customer_churn_dataset!H1296)</f>
        <v>0</v>
      </c>
      <c r="I1296" s="7" t="n">
        <f aca="false">IF(ISBLANK(customer_churn_dataset!I1296),ROUND(MEDIAN(customer_churn_dataset!I$2:I$1501),1),MIN(100,MAX(0,customer_churn_dataset!I1296)))</f>
        <v>54.1</v>
      </c>
      <c r="J1296" s="7" t="n">
        <f aca="false">IF(ISBLANK(customer_churn_dataset!J1296),0,MAX(0,customer_churn_dataset!J1296))</f>
        <v>17</v>
      </c>
      <c r="K1296" s="7" t="n">
        <f aca="false">IF(ISBLANK(customer_churn_dataset!K1296),0,MIN(10,MAX(0,customer_churn_dataset!K1296)))</f>
        <v>5</v>
      </c>
      <c r="L1296" s="7" t="n">
        <f aca="false">IF(ISBLANK(customer_churn_dataset!L1296),0,MAX(0,customer_churn_dataset!L1296))</f>
        <v>0</v>
      </c>
      <c r="M1296" s="7" t="n">
        <f aca="false">IF(ISBLANK(customer_churn_dataset!M1296),0,customer_churn_dataset!M1296)</f>
        <v>0</v>
      </c>
      <c r="N1296" s="7" t="n">
        <f aca="false">IF(ISBLANK(customer_churn_dataset!N1296),0,MAX(0,customer_churn_dataset!N1296))</f>
        <v>8.11</v>
      </c>
      <c r="O1296" s="7" t="n">
        <f aca="false">IF(ISBLANK(customer_churn_dataset!O1296),0,customer_churn_dataset!O1296)</f>
        <v>0</v>
      </c>
      <c r="P1296" s="7" t="str">
        <f aca="false">IF(COUNTIF(customer_churn_dataset!$A$2:$A$1501,customer_churn_dataset!A1296)&gt;1,"Duplicate","Unique")</f>
        <v>Unique</v>
      </c>
    </row>
    <row r="1297" customFormat="false" ht="14.15" hidden="false" customHeight="true" outlineLevel="0" collapsed="false">
      <c r="A1297" s="7" t="str">
        <f aca="false">TRIM(customer_churn_dataset!A1297)</f>
        <v>CUST101340</v>
      </c>
      <c r="B1297" s="7" t="str">
        <f aca="false">PROPER(TRIM(customer_churn_dataset!B1297))</f>
        <v>Basic</v>
      </c>
      <c r="C1297" s="7" t="str">
        <f aca="false">PROPER(TRIM(customer_churn_dataset!C1297))</f>
        <v>One Year</v>
      </c>
      <c r="D1297" s="7" t="n">
        <f aca="false">IF(ISBLANK(customer_churn_dataset!D1297),ROUND(MEDIAN(customer_churn_dataset!D$2:D$1501),2),IF(customer_churn_dataset!D1297&lt;0,ABS(customer_churn_dataset!D1297),customer_churn_dataset!D1297))</f>
        <v>10.56</v>
      </c>
      <c r="E1297" s="7" t="n">
        <f aca="false">IF(ISBLANK(customer_churn_dataset!E1297),0,MAX(0,customer_churn_dataset!E1297))</f>
        <v>6</v>
      </c>
      <c r="F1297" s="8" t="n">
        <f aca="false">IF(ISBLANK(customer_churn_dataset!F1297),"",customer_churn_dataset!F1297)</f>
        <v>45550</v>
      </c>
      <c r="G1297" s="7" t="str">
        <f aca="false">PROPER(TRIM(customer_churn_dataset!G1297))</f>
        <v>Paypal</v>
      </c>
      <c r="H1297" s="7" t="n">
        <f aca="false">IF(ISBLANK(customer_churn_dataset!H1297),0,customer_churn_dataset!H1297)</f>
        <v>1</v>
      </c>
      <c r="I1297" s="7" t="n">
        <f aca="false">IF(ISBLANK(customer_churn_dataset!I1297),ROUND(MEDIAN(customer_churn_dataset!I$2:I$1501),1),MIN(100,MAX(0,customer_churn_dataset!I1297)))</f>
        <v>67.2</v>
      </c>
      <c r="J1297" s="7" t="n">
        <f aca="false">IF(ISBLANK(customer_churn_dataset!J1297),0,MAX(0,customer_churn_dataset!J1297))</f>
        <v>21</v>
      </c>
      <c r="K1297" s="7" t="n">
        <f aca="false">IF(ISBLANK(customer_churn_dataset!K1297),0,MIN(10,MAX(0,customer_churn_dataset!K1297)))</f>
        <v>5</v>
      </c>
      <c r="L1297" s="7" t="n">
        <f aca="false">IF(ISBLANK(customer_churn_dataset!L1297),0,MAX(0,customer_churn_dataset!L1297))</f>
        <v>2</v>
      </c>
      <c r="M1297" s="7" t="n">
        <f aca="false">IF(ISBLANK(customer_churn_dataset!M1297),0,customer_churn_dataset!M1297)</f>
        <v>1</v>
      </c>
      <c r="N1297" s="7" t="n">
        <f aca="false">IF(ISBLANK(customer_churn_dataset!N1297),0,MAX(0,customer_churn_dataset!N1297))</f>
        <v>63.36</v>
      </c>
      <c r="O1297" s="7" t="n">
        <f aca="false">IF(ISBLANK(customer_churn_dataset!O1297),0,customer_churn_dataset!O1297)</f>
        <v>0</v>
      </c>
      <c r="P1297" s="7" t="str">
        <f aca="false">IF(COUNTIF(customer_churn_dataset!$A$2:$A$1501,customer_churn_dataset!A1297)&gt;1,"Duplicate","Unique")</f>
        <v>Unique</v>
      </c>
    </row>
    <row r="1298" customFormat="false" ht="14.15" hidden="false" customHeight="true" outlineLevel="0" collapsed="false">
      <c r="A1298" s="7" t="str">
        <f aca="false">TRIM(customer_churn_dataset!A1298)</f>
        <v>CUST101283</v>
      </c>
      <c r="B1298" s="7" t="str">
        <f aca="false">PROPER(TRIM(customer_churn_dataset!B1298))</f>
        <v>Basic</v>
      </c>
      <c r="C1298" s="7" t="str">
        <f aca="false">PROPER(TRIM(customer_churn_dataset!C1298))</f>
        <v>Month-To-Month</v>
      </c>
      <c r="D1298" s="7" t="n">
        <f aca="false">IF(ISBLANK(customer_churn_dataset!D1298),ROUND(MEDIAN(customer_churn_dataset!D$2:D$1501),2),IF(customer_churn_dataset!D1298&lt;0,ABS(customer_churn_dataset!D1298),customer_churn_dataset!D1298))</f>
        <v>10.68</v>
      </c>
      <c r="E1298" s="7" t="n">
        <f aca="false">IF(ISBLANK(customer_churn_dataset!E1298),0,MAX(0,customer_churn_dataset!E1298))</f>
        <v>64</v>
      </c>
      <c r="F1298" s="8" t="n">
        <f aca="false">IF(ISBLANK(customer_churn_dataset!F1298),"",customer_churn_dataset!F1298)</f>
        <v>45550</v>
      </c>
      <c r="G1298" s="7" t="str">
        <f aca="false">PROPER(TRIM(customer_churn_dataset!G1298))</f>
        <v>Paypal</v>
      </c>
      <c r="H1298" s="7" t="n">
        <f aca="false">IF(ISBLANK(customer_churn_dataset!H1298),0,customer_churn_dataset!H1298)</f>
        <v>1</v>
      </c>
      <c r="I1298" s="7" t="n">
        <f aca="false">IF(ISBLANK(customer_churn_dataset!I1298),ROUND(MEDIAN(customer_churn_dataset!I$2:I$1501),1),MIN(100,MAX(0,customer_churn_dataset!I1298)))</f>
        <v>48.8</v>
      </c>
      <c r="J1298" s="7" t="n">
        <f aca="false">IF(ISBLANK(customer_churn_dataset!J1298),0,MAX(0,customer_churn_dataset!J1298))</f>
        <v>18</v>
      </c>
      <c r="K1298" s="7" t="n">
        <f aca="false">IF(ISBLANK(customer_churn_dataset!K1298),0,MIN(10,MAX(0,customer_churn_dataset!K1298)))</f>
        <v>6</v>
      </c>
      <c r="L1298" s="7" t="n">
        <f aca="false">IF(ISBLANK(customer_churn_dataset!L1298),0,MAX(0,customer_churn_dataset!L1298))</f>
        <v>1</v>
      </c>
      <c r="M1298" s="7" t="n">
        <f aca="false">IF(ISBLANK(customer_churn_dataset!M1298),0,customer_churn_dataset!M1298)</f>
        <v>0</v>
      </c>
      <c r="N1298" s="7" t="n">
        <f aca="false">IF(ISBLANK(customer_churn_dataset!N1298),0,MAX(0,customer_churn_dataset!N1298))</f>
        <v>683.52</v>
      </c>
      <c r="O1298" s="7" t="n">
        <f aca="false">IF(ISBLANK(customer_churn_dataset!O1298),0,customer_churn_dataset!O1298)</f>
        <v>0</v>
      </c>
      <c r="P1298" s="7" t="str">
        <f aca="false">IF(COUNTIF(customer_churn_dataset!$A$2:$A$1501,customer_churn_dataset!A1298)&gt;1,"Duplicate","Unique")</f>
        <v>Unique</v>
      </c>
    </row>
    <row r="1299" customFormat="false" ht="14.15" hidden="false" customHeight="true" outlineLevel="0" collapsed="false">
      <c r="A1299" s="7" t="str">
        <f aca="false">TRIM(customer_churn_dataset!A1299)</f>
        <v>CUST100420</v>
      </c>
      <c r="B1299" s="7" t="str">
        <f aca="false">PROPER(TRIM(customer_churn_dataset!B1299))</f>
        <v>Standard</v>
      </c>
      <c r="C1299" s="7" t="str">
        <f aca="false">PROPER(TRIM(customer_churn_dataset!C1299))</f>
        <v>One Year</v>
      </c>
      <c r="D1299" s="7" t="n">
        <f aca="false">IF(ISBLANK(customer_churn_dataset!D1299),ROUND(MEDIAN(customer_churn_dataset!D$2:D$1501),2),IF(customer_churn_dataset!D1299&lt;0,ABS(customer_churn_dataset!D1299),customer_churn_dataset!D1299))</f>
        <v>20.19</v>
      </c>
      <c r="E1299" s="7" t="n">
        <f aca="false">IF(ISBLANK(customer_churn_dataset!E1299),0,MAX(0,customer_churn_dataset!E1299))</f>
        <v>72</v>
      </c>
      <c r="F1299" s="8" t="n">
        <f aca="false">IF(ISBLANK(customer_churn_dataset!F1299),"",customer_churn_dataset!F1299)</f>
        <v>45553</v>
      </c>
      <c r="G1299" s="7" t="str">
        <f aca="false">PROPER(TRIM(customer_churn_dataset!G1299))</f>
        <v>Manual/Invoice</v>
      </c>
      <c r="H1299" s="7" t="n">
        <f aca="false">IF(ISBLANK(customer_churn_dataset!H1299),0,customer_churn_dataset!H1299)</f>
        <v>0</v>
      </c>
      <c r="I1299" s="7" t="n">
        <f aca="false">IF(ISBLANK(customer_churn_dataset!I1299),ROUND(MEDIAN(customer_churn_dataset!I$2:I$1501),1),MIN(100,MAX(0,customer_churn_dataset!I1299)))</f>
        <v>7.4</v>
      </c>
      <c r="J1299" s="7" t="n">
        <f aca="false">IF(ISBLANK(customer_churn_dataset!J1299),0,MAX(0,customer_churn_dataset!J1299))</f>
        <v>7</v>
      </c>
      <c r="K1299" s="7" t="n">
        <f aca="false">IF(ISBLANK(customer_churn_dataset!K1299),0,MIN(10,MAX(0,customer_churn_dataset!K1299)))</f>
        <v>1</v>
      </c>
      <c r="L1299" s="7" t="n">
        <f aca="false">IF(ISBLANK(customer_churn_dataset!L1299),0,MAX(0,customer_churn_dataset!L1299))</f>
        <v>6</v>
      </c>
      <c r="M1299" s="7" t="n">
        <f aca="false">IF(ISBLANK(customer_churn_dataset!M1299),0,customer_churn_dataset!M1299)</f>
        <v>1</v>
      </c>
      <c r="N1299" s="7" t="n">
        <f aca="false">IF(ISBLANK(customer_churn_dataset!N1299),0,MAX(0,customer_churn_dataset!N1299))</f>
        <v>1453.68</v>
      </c>
      <c r="O1299" s="7" t="n">
        <f aca="false">IF(ISBLANK(customer_churn_dataset!O1299),0,customer_churn_dataset!O1299)</f>
        <v>0</v>
      </c>
      <c r="P1299" s="7" t="str">
        <f aca="false">IF(COUNTIF(customer_churn_dataset!$A$2:$A$1501,customer_churn_dataset!A1299)&gt;1,"Duplicate","Unique")</f>
        <v>Unique</v>
      </c>
    </row>
    <row r="1300" customFormat="false" ht="14.15" hidden="false" customHeight="true" outlineLevel="0" collapsed="false">
      <c r="A1300" s="7" t="str">
        <f aca="false">TRIM(customer_churn_dataset!A1300)</f>
        <v>CUST100761</v>
      </c>
      <c r="B1300" s="7" t="str">
        <f aca="false">PROPER(TRIM(customer_churn_dataset!B1300))</f>
        <v>Basic</v>
      </c>
      <c r="C1300" s="7" t="str">
        <f aca="false">PROPER(TRIM(customer_churn_dataset!C1300))</f>
        <v>Two Year</v>
      </c>
      <c r="D1300" s="7" t="n">
        <f aca="false">IF(ISBLANK(customer_churn_dataset!D1300),ROUND(MEDIAN(customer_churn_dataset!D$2:D$1501),2),IF(customer_churn_dataset!D1300&lt;0,ABS(customer_churn_dataset!D1300),customer_churn_dataset!D1300))</f>
        <v>10.74</v>
      </c>
      <c r="E1300" s="7" t="n">
        <f aca="false">IF(ISBLANK(customer_churn_dataset!E1300),0,MAX(0,customer_churn_dataset!E1300))</f>
        <v>9</v>
      </c>
      <c r="F1300" s="8" t="n">
        <f aca="false">IF(ISBLANK(customer_churn_dataset!F1300),"",customer_churn_dataset!F1300)</f>
        <v>45554</v>
      </c>
      <c r="G1300" s="7" t="str">
        <f aca="false">PROPER(TRIM(customer_churn_dataset!G1300))</f>
        <v>Credit Card</v>
      </c>
      <c r="H1300" s="7" t="n">
        <f aca="false">IF(ISBLANK(customer_churn_dataset!H1300),0,customer_churn_dataset!H1300)</f>
        <v>0</v>
      </c>
      <c r="I1300" s="7" t="n">
        <f aca="false">IF(ISBLANK(customer_churn_dataset!I1300),ROUND(MEDIAN(customer_churn_dataset!I$2:I$1501),1),MIN(100,MAX(0,customer_churn_dataset!I1300)))</f>
        <v>59.6</v>
      </c>
      <c r="J1300" s="7" t="n">
        <f aca="false">IF(ISBLANK(customer_churn_dataset!J1300),0,MAX(0,customer_churn_dataset!J1300))</f>
        <v>9</v>
      </c>
      <c r="K1300" s="7" t="n">
        <f aca="false">IF(ISBLANK(customer_churn_dataset!K1300),0,MIN(10,MAX(0,customer_churn_dataset!K1300)))</f>
        <v>5</v>
      </c>
      <c r="L1300" s="7" t="n">
        <f aca="false">IF(ISBLANK(customer_churn_dataset!L1300),0,MAX(0,customer_churn_dataset!L1300))</f>
        <v>1</v>
      </c>
      <c r="M1300" s="7" t="n">
        <f aca="false">IF(ISBLANK(customer_churn_dataset!M1300),0,customer_churn_dataset!M1300)</f>
        <v>0</v>
      </c>
      <c r="N1300" s="7" t="n">
        <f aca="false">IF(ISBLANK(customer_churn_dataset!N1300),0,MAX(0,customer_churn_dataset!N1300))</f>
        <v>96.66</v>
      </c>
      <c r="O1300" s="7" t="n">
        <f aca="false">IF(ISBLANK(customer_churn_dataset!O1300),0,customer_churn_dataset!O1300)</f>
        <v>0</v>
      </c>
      <c r="P1300" s="7" t="str">
        <f aca="false">IF(COUNTIF(customer_churn_dataset!$A$2:$A$1501,customer_churn_dataset!A1300)&gt;1,"Duplicate","Unique")</f>
        <v>Unique</v>
      </c>
    </row>
    <row r="1301" customFormat="false" ht="14.15" hidden="false" customHeight="true" outlineLevel="0" collapsed="false">
      <c r="A1301" s="7" t="str">
        <f aca="false">TRIM(customer_churn_dataset!A1301)</f>
        <v>CUST100375</v>
      </c>
      <c r="B1301" s="7" t="str">
        <f aca="false">PROPER(TRIM(customer_churn_dataset!B1301))</f>
        <v>Basic</v>
      </c>
      <c r="C1301" s="7" t="str">
        <f aca="false">PROPER(TRIM(customer_churn_dataset!C1301))</f>
        <v>One Year</v>
      </c>
      <c r="D1301" s="7" t="n">
        <f aca="false">IF(ISBLANK(customer_churn_dataset!D1301),ROUND(MEDIAN(customer_churn_dataset!D$2:D$1501),2),IF(customer_churn_dataset!D1301&lt;0,ABS(customer_churn_dataset!D1301),customer_churn_dataset!D1301))</f>
        <v>8.4</v>
      </c>
      <c r="E1301" s="7" t="n">
        <f aca="false">IF(ISBLANK(customer_churn_dataset!E1301),0,MAX(0,customer_churn_dataset!E1301))</f>
        <v>12</v>
      </c>
      <c r="F1301" s="8" t="n">
        <f aca="false">IF(ISBLANK(customer_churn_dataset!F1301),"",customer_churn_dataset!F1301)</f>
        <v>45556</v>
      </c>
      <c r="G1301" s="7" t="str">
        <f aca="false">PROPER(TRIM(customer_churn_dataset!G1301))</f>
        <v>Credit Card</v>
      </c>
      <c r="H1301" s="7" t="n">
        <f aca="false">IF(ISBLANK(customer_churn_dataset!H1301),0,customer_churn_dataset!H1301)</f>
        <v>1</v>
      </c>
      <c r="I1301" s="7" t="n">
        <f aca="false">IF(ISBLANK(customer_churn_dataset!I1301),ROUND(MEDIAN(customer_churn_dataset!I$2:I$1501),1),MIN(100,MAX(0,customer_churn_dataset!I1301)))</f>
        <v>78.1</v>
      </c>
      <c r="J1301" s="7" t="n">
        <f aca="false">IF(ISBLANK(customer_churn_dataset!J1301),0,MAX(0,customer_churn_dataset!J1301))</f>
        <v>24</v>
      </c>
      <c r="K1301" s="7" t="n">
        <f aca="false">IF(ISBLANK(customer_churn_dataset!K1301),0,MIN(10,MAX(0,customer_churn_dataset!K1301)))</f>
        <v>7</v>
      </c>
      <c r="L1301" s="7" t="n">
        <f aca="false">IF(ISBLANK(customer_churn_dataset!L1301),0,MAX(0,customer_churn_dataset!L1301))</f>
        <v>0</v>
      </c>
      <c r="M1301" s="7" t="n">
        <f aca="false">IF(ISBLANK(customer_churn_dataset!M1301),0,customer_churn_dataset!M1301)</f>
        <v>0</v>
      </c>
      <c r="N1301" s="7" t="n">
        <f aca="false">IF(ISBLANK(customer_churn_dataset!N1301),0,MAX(0,customer_churn_dataset!N1301))</f>
        <v>100.8</v>
      </c>
      <c r="O1301" s="7" t="n">
        <f aca="false">IF(ISBLANK(customer_churn_dataset!O1301),0,customer_churn_dataset!O1301)</f>
        <v>0</v>
      </c>
      <c r="P1301" s="7" t="str">
        <f aca="false">IF(COUNTIF(customer_churn_dataset!$A$2:$A$1501,customer_churn_dataset!A1301)&gt;1,"Duplicate","Unique")</f>
        <v>Unique</v>
      </c>
    </row>
    <row r="1302" customFormat="false" ht="14.15" hidden="false" customHeight="true" outlineLevel="0" collapsed="false">
      <c r="A1302" s="7" t="str">
        <f aca="false">TRIM(customer_churn_dataset!A1302)</f>
        <v>CUST100866</v>
      </c>
      <c r="B1302" s="7" t="str">
        <f aca="false">PROPER(TRIM(customer_churn_dataset!B1302))</f>
        <v>Basic</v>
      </c>
      <c r="C1302" s="7" t="str">
        <f aca="false">PROPER(TRIM(customer_churn_dataset!C1302))</f>
        <v>Month-To-Month</v>
      </c>
      <c r="D1302" s="7" t="n">
        <f aca="false">IF(ISBLANK(customer_churn_dataset!D1302),ROUND(MEDIAN(customer_churn_dataset!D$2:D$1501),2),IF(customer_churn_dataset!D1302&lt;0,ABS(customer_churn_dataset!D1302),customer_churn_dataset!D1302))</f>
        <v>11.79</v>
      </c>
      <c r="E1302" s="7" t="n">
        <f aca="false">IF(ISBLANK(customer_churn_dataset!E1302),0,MAX(0,customer_churn_dataset!E1302))</f>
        <v>23</v>
      </c>
      <c r="F1302" s="8" t="n">
        <f aca="false">IF(ISBLANK(customer_churn_dataset!F1302),"",customer_churn_dataset!F1302)</f>
        <v>45558</v>
      </c>
      <c r="G1302" s="7" t="str">
        <f aca="false">PROPER(TRIM(customer_churn_dataset!G1302))</f>
        <v>Credit Card</v>
      </c>
      <c r="H1302" s="7" t="n">
        <f aca="false">IF(ISBLANK(customer_churn_dataset!H1302),0,customer_churn_dataset!H1302)</f>
        <v>1</v>
      </c>
      <c r="I1302" s="7" t="n">
        <f aca="false">IF(ISBLANK(customer_churn_dataset!I1302),ROUND(MEDIAN(customer_churn_dataset!I$2:I$1501),1),MIN(100,MAX(0,customer_churn_dataset!I1302)))</f>
        <v>47.3</v>
      </c>
      <c r="J1302" s="7" t="n">
        <f aca="false">IF(ISBLANK(customer_churn_dataset!J1302),0,MAX(0,customer_churn_dataset!J1302))</f>
        <v>19</v>
      </c>
      <c r="K1302" s="7" t="n">
        <f aca="false">IF(ISBLANK(customer_churn_dataset!K1302),0,MIN(10,MAX(0,customer_churn_dataset!K1302)))</f>
        <v>4</v>
      </c>
      <c r="L1302" s="7" t="n">
        <f aca="false">IF(ISBLANK(customer_churn_dataset!L1302),0,MAX(0,customer_churn_dataset!L1302))</f>
        <v>1</v>
      </c>
      <c r="M1302" s="7" t="n">
        <f aca="false">IF(ISBLANK(customer_churn_dataset!M1302),0,customer_churn_dataset!M1302)</f>
        <v>0</v>
      </c>
      <c r="N1302" s="7" t="n">
        <f aca="false">IF(ISBLANK(customer_churn_dataset!N1302),0,MAX(0,customer_churn_dataset!N1302))</f>
        <v>271.17</v>
      </c>
      <c r="O1302" s="7" t="n">
        <f aca="false">IF(ISBLANK(customer_churn_dataset!O1302),0,customer_churn_dataset!O1302)</f>
        <v>0</v>
      </c>
      <c r="P1302" s="7" t="str">
        <f aca="false">IF(COUNTIF(customer_churn_dataset!$A$2:$A$1501,customer_churn_dataset!A1302)&gt;1,"Duplicate","Unique")</f>
        <v>Unique</v>
      </c>
    </row>
    <row r="1303" customFormat="false" ht="14.15" hidden="false" customHeight="true" outlineLevel="0" collapsed="false">
      <c r="A1303" s="7" t="str">
        <f aca="false">TRIM(customer_churn_dataset!A1303)</f>
        <v>CUST100996</v>
      </c>
      <c r="B1303" s="7" t="str">
        <f aca="false">PROPER(TRIM(customer_churn_dataset!B1303))</f>
        <v>Premium</v>
      </c>
      <c r="C1303" s="7" t="str">
        <f aca="false">PROPER(TRIM(customer_churn_dataset!C1303))</f>
        <v>One Year</v>
      </c>
      <c r="D1303" s="7" t="n">
        <f aca="false">IF(ISBLANK(customer_churn_dataset!D1303),ROUND(MEDIAN(customer_churn_dataset!D$2:D$1501),2),IF(customer_churn_dataset!D1303&lt;0,ABS(customer_churn_dataset!D1303),customer_churn_dataset!D1303))</f>
        <v>39.61</v>
      </c>
      <c r="E1303" s="7" t="n">
        <f aca="false">IF(ISBLANK(customer_churn_dataset!E1303),0,MAX(0,customer_churn_dataset!E1303))</f>
        <v>0</v>
      </c>
      <c r="F1303" s="8" t="n">
        <f aca="false">IF(ISBLANK(customer_churn_dataset!F1303),"",customer_churn_dataset!F1303)</f>
        <v>45558</v>
      </c>
      <c r="G1303" s="7" t="str">
        <f aca="false">PROPER(TRIM(customer_churn_dataset!G1303))</f>
        <v>Paypal</v>
      </c>
      <c r="H1303" s="7" t="n">
        <f aca="false">IF(ISBLANK(customer_churn_dataset!H1303),0,customer_churn_dataset!H1303)</f>
        <v>0</v>
      </c>
      <c r="I1303" s="7" t="n">
        <f aca="false">IF(ISBLANK(customer_churn_dataset!I1303),ROUND(MEDIAN(customer_churn_dataset!I$2:I$1501),1),MIN(100,MAX(0,customer_churn_dataset!I1303)))</f>
        <v>64</v>
      </c>
      <c r="J1303" s="7" t="n">
        <f aca="false">IF(ISBLANK(customer_churn_dataset!J1303),0,MAX(0,customer_churn_dataset!J1303))</f>
        <v>29</v>
      </c>
      <c r="K1303" s="7" t="n">
        <f aca="false">IF(ISBLANK(customer_churn_dataset!K1303),0,MIN(10,MAX(0,customer_churn_dataset!K1303)))</f>
        <v>7</v>
      </c>
      <c r="L1303" s="7" t="n">
        <f aca="false">IF(ISBLANK(customer_churn_dataset!L1303),0,MAX(0,customer_churn_dataset!L1303))</f>
        <v>0</v>
      </c>
      <c r="M1303" s="7" t="n">
        <f aca="false">IF(ISBLANK(customer_churn_dataset!M1303),0,customer_churn_dataset!M1303)</f>
        <v>0</v>
      </c>
      <c r="N1303" s="7" t="n">
        <f aca="false">IF(ISBLANK(customer_churn_dataset!N1303),0,MAX(0,customer_churn_dataset!N1303))</f>
        <v>0</v>
      </c>
      <c r="O1303" s="7" t="n">
        <f aca="false">IF(ISBLANK(customer_churn_dataset!O1303),0,customer_churn_dataset!O1303)</f>
        <v>0</v>
      </c>
      <c r="P1303" s="7" t="str">
        <f aca="false">IF(COUNTIF(customer_churn_dataset!$A$2:$A$1501,customer_churn_dataset!A1303)&gt;1,"Duplicate","Unique")</f>
        <v>Unique</v>
      </c>
    </row>
    <row r="1304" customFormat="false" ht="14.15" hidden="false" customHeight="true" outlineLevel="0" collapsed="false">
      <c r="A1304" s="7" t="str">
        <f aca="false">TRIM(customer_churn_dataset!A1304)</f>
        <v>CUST100684</v>
      </c>
      <c r="B1304" s="7" t="str">
        <f aca="false">PROPER(TRIM(customer_churn_dataset!B1304))</f>
        <v>Premium</v>
      </c>
      <c r="C1304" s="7" t="str">
        <f aca="false">PROPER(TRIM(customer_churn_dataset!C1304))</f>
        <v>Two Year</v>
      </c>
      <c r="D1304" s="7" t="n">
        <f aca="false">IF(ISBLANK(customer_churn_dataset!D1304),ROUND(MEDIAN(customer_churn_dataset!D$2:D$1501),2),IF(customer_churn_dataset!D1304&lt;0,ABS(customer_churn_dataset!D1304),customer_churn_dataset!D1304))</f>
        <v>40.15</v>
      </c>
      <c r="E1304" s="7" t="n">
        <f aca="false">IF(ISBLANK(customer_churn_dataset!E1304),0,MAX(0,customer_churn_dataset!E1304))</f>
        <v>6</v>
      </c>
      <c r="F1304" s="8" t="n">
        <f aca="false">IF(ISBLANK(customer_churn_dataset!F1304),"",customer_churn_dataset!F1304)</f>
        <v>45558</v>
      </c>
      <c r="G1304" s="7" t="str">
        <f aca="false">PROPER(TRIM(customer_churn_dataset!G1304))</f>
        <v>Bank Transfer</v>
      </c>
      <c r="H1304" s="7" t="n">
        <f aca="false">IF(ISBLANK(customer_churn_dataset!H1304),0,customer_churn_dataset!H1304)</f>
        <v>0</v>
      </c>
      <c r="I1304" s="7" t="n">
        <f aca="false">IF(ISBLANK(customer_churn_dataset!I1304),ROUND(MEDIAN(customer_churn_dataset!I$2:I$1501),1),MIN(100,MAX(0,customer_churn_dataset!I1304)))</f>
        <v>58.6</v>
      </c>
      <c r="J1304" s="7" t="n">
        <f aca="false">IF(ISBLANK(customer_churn_dataset!J1304),0,MAX(0,customer_churn_dataset!J1304))</f>
        <v>18</v>
      </c>
      <c r="K1304" s="7" t="n">
        <f aca="false">IF(ISBLANK(customer_churn_dataset!K1304),0,MIN(10,MAX(0,customer_churn_dataset!K1304)))</f>
        <v>7</v>
      </c>
      <c r="L1304" s="7" t="n">
        <f aca="false">IF(ISBLANK(customer_churn_dataset!L1304),0,MAX(0,customer_churn_dataset!L1304))</f>
        <v>1</v>
      </c>
      <c r="M1304" s="7" t="n">
        <f aca="false">IF(ISBLANK(customer_churn_dataset!M1304),0,customer_churn_dataset!M1304)</f>
        <v>0</v>
      </c>
      <c r="N1304" s="7" t="n">
        <f aca="false">IF(ISBLANK(customer_churn_dataset!N1304),0,MAX(0,customer_churn_dataset!N1304))</f>
        <v>240.9</v>
      </c>
      <c r="O1304" s="7" t="n">
        <f aca="false">IF(ISBLANK(customer_churn_dataset!O1304),0,customer_churn_dataset!O1304)</f>
        <v>0</v>
      </c>
      <c r="P1304" s="7" t="str">
        <f aca="false">IF(COUNTIF(customer_churn_dataset!$A$2:$A$1501,customer_churn_dataset!A1304)&gt;1,"Duplicate","Unique")</f>
        <v>Unique</v>
      </c>
    </row>
    <row r="1305" customFormat="false" ht="14.15" hidden="false" customHeight="true" outlineLevel="0" collapsed="false">
      <c r="A1305" s="7" t="str">
        <f aca="false">TRIM(customer_churn_dataset!A1305)</f>
        <v>CUST100700</v>
      </c>
      <c r="B1305" s="7" t="str">
        <f aca="false">PROPER(TRIM(customer_churn_dataset!B1305))</f>
        <v>Standard</v>
      </c>
      <c r="C1305" s="7" t="str">
        <f aca="false">PROPER(TRIM(customer_churn_dataset!C1305))</f>
        <v>Month-To-Month</v>
      </c>
      <c r="D1305" s="7" t="n">
        <f aca="false">IF(ISBLANK(customer_churn_dataset!D1305),ROUND(MEDIAN(customer_churn_dataset!D$2:D$1501),2),IF(customer_churn_dataset!D1305&lt;0,ABS(customer_churn_dataset!D1305),customer_churn_dataset!D1305))</f>
        <v>19.86</v>
      </c>
      <c r="E1305" s="7" t="n">
        <f aca="false">IF(ISBLANK(customer_churn_dataset!E1305),0,MAX(0,customer_churn_dataset!E1305))</f>
        <v>26</v>
      </c>
      <c r="F1305" s="8" t="n">
        <f aca="false">IF(ISBLANK(customer_churn_dataset!F1305),"",customer_churn_dataset!F1305)</f>
        <v>45559</v>
      </c>
      <c r="G1305" s="7" t="str">
        <f aca="false">PROPER(TRIM(customer_churn_dataset!G1305))</f>
        <v>Credit Card</v>
      </c>
      <c r="H1305" s="7" t="n">
        <f aca="false">IF(ISBLANK(customer_churn_dataset!H1305),0,customer_churn_dataset!H1305)</f>
        <v>1</v>
      </c>
      <c r="I1305" s="7" t="n">
        <f aca="false">IF(ISBLANK(customer_churn_dataset!I1305),ROUND(MEDIAN(customer_churn_dataset!I$2:I$1501),1),MIN(100,MAX(0,customer_churn_dataset!I1305)))</f>
        <v>73.9</v>
      </c>
      <c r="J1305" s="7" t="n">
        <f aca="false">IF(ISBLANK(customer_churn_dataset!J1305),0,MAX(0,customer_churn_dataset!J1305))</f>
        <v>23</v>
      </c>
      <c r="K1305" s="7" t="n">
        <f aca="false">IF(ISBLANK(customer_churn_dataset!K1305),0,MIN(10,MAX(0,customer_churn_dataset!K1305)))</f>
        <v>9</v>
      </c>
      <c r="L1305" s="7" t="n">
        <f aca="false">IF(ISBLANK(customer_churn_dataset!L1305),0,MAX(0,customer_churn_dataset!L1305))</f>
        <v>2</v>
      </c>
      <c r="M1305" s="7" t="n">
        <f aca="false">IF(ISBLANK(customer_churn_dataset!M1305),0,customer_churn_dataset!M1305)</f>
        <v>0</v>
      </c>
      <c r="N1305" s="7" t="n">
        <f aca="false">IF(ISBLANK(customer_churn_dataset!N1305),0,MAX(0,customer_churn_dataset!N1305))</f>
        <v>516.36</v>
      </c>
      <c r="O1305" s="7" t="n">
        <f aca="false">IF(ISBLANK(customer_churn_dataset!O1305),0,customer_churn_dataset!O1305)</f>
        <v>0</v>
      </c>
      <c r="P1305" s="7" t="str">
        <f aca="false">IF(COUNTIF(customer_churn_dataset!$A$2:$A$1501,customer_churn_dataset!A1305)&gt;1,"Duplicate","Unique")</f>
        <v>Unique</v>
      </c>
    </row>
    <row r="1306" customFormat="false" ht="14.15" hidden="false" customHeight="true" outlineLevel="0" collapsed="false">
      <c r="A1306" s="7" t="str">
        <f aca="false">TRIM(customer_churn_dataset!A1306)</f>
        <v>CUST100624</v>
      </c>
      <c r="B1306" s="7" t="str">
        <f aca="false">PROPER(TRIM(customer_churn_dataset!B1306))</f>
        <v>Standard</v>
      </c>
      <c r="C1306" s="7" t="str">
        <f aca="false">PROPER(TRIM(customer_churn_dataset!C1306))</f>
        <v>Month-To-Month</v>
      </c>
      <c r="D1306" s="7" t="n">
        <f aca="false">IF(ISBLANK(customer_churn_dataset!D1306),ROUND(MEDIAN(customer_churn_dataset!D$2:D$1501),2),IF(customer_churn_dataset!D1306&lt;0,ABS(customer_churn_dataset!D1306),customer_churn_dataset!D1306))</f>
        <v>20.07</v>
      </c>
      <c r="E1306" s="7" t="n">
        <f aca="false">IF(ISBLANK(customer_churn_dataset!E1306),0,MAX(0,customer_churn_dataset!E1306))</f>
        <v>3</v>
      </c>
      <c r="F1306" s="8" t="n">
        <f aca="false">IF(ISBLANK(customer_churn_dataset!F1306),"",customer_churn_dataset!F1306)</f>
        <v>45563</v>
      </c>
      <c r="G1306" s="7" t="str">
        <f aca="false">PROPER(TRIM(customer_churn_dataset!G1306))</f>
        <v>Manual/Invoice</v>
      </c>
      <c r="H1306" s="7" t="n">
        <f aca="false">IF(ISBLANK(customer_churn_dataset!H1306),0,customer_churn_dataset!H1306)</f>
        <v>1</v>
      </c>
      <c r="I1306" s="7" t="n">
        <f aca="false">IF(ISBLANK(customer_churn_dataset!I1306),ROUND(MEDIAN(customer_churn_dataset!I$2:I$1501),1),MIN(100,MAX(0,customer_churn_dataset!I1306)))</f>
        <v>70</v>
      </c>
      <c r="J1306" s="7" t="n">
        <f aca="false">IF(ISBLANK(customer_churn_dataset!J1306),0,MAX(0,customer_churn_dataset!J1306))</f>
        <v>21</v>
      </c>
      <c r="K1306" s="7" t="n">
        <f aca="false">IF(ISBLANK(customer_churn_dataset!K1306),0,MIN(10,MAX(0,customer_churn_dataset!K1306)))</f>
        <v>7</v>
      </c>
      <c r="L1306" s="7" t="n">
        <f aca="false">IF(ISBLANK(customer_churn_dataset!L1306),0,MAX(0,customer_churn_dataset!L1306))</f>
        <v>2</v>
      </c>
      <c r="M1306" s="7" t="n">
        <f aca="false">IF(ISBLANK(customer_churn_dataset!M1306),0,customer_churn_dataset!M1306)</f>
        <v>0</v>
      </c>
      <c r="N1306" s="7" t="n">
        <f aca="false">IF(ISBLANK(customer_churn_dataset!N1306),0,MAX(0,customer_churn_dataset!N1306))</f>
        <v>60.21</v>
      </c>
      <c r="O1306" s="7" t="n">
        <f aca="false">IF(ISBLANK(customer_churn_dataset!O1306),0,customer_churn_dataset!O1306)</f>
        <v>0</v>
      </c>
      <c r="P1306" s="7" t="str">
        <f aca="false">IF(COUNTIF(customer_churn_dataset!$A$2:$A$1501,customer_churn_dataset!A1306)&gt;1,"Duplicate","Unique")</f>
        <v>Unique</v>
      </c>
    </row>
    <row r="1307" customFormat="false" ht="14.15" hidden="false" customHeight="true" outlineLevel="0" collapsed="false">
      <c r="A1307" s="7" t="str">
        <f aca="false">TRIM(customer_churn_dataset!A1307)</f>
        <v>CUST100705</v>
      </c>
      <c r="B1307" s="7" t="str">
        <f aca="false">PROPER(TRIM(customer_churn_dataset!B1307))</f>
        <v>Premium</v>
      </c>
      <c r="C1307" s="7" t="str">
        <f aca="false">PROPER(TRIM(customer_churn_dataset!C1307))</f>
        <v>One Year</v>
      </c>
      <c r="D1307" s="7" t="n">
        <f aca="false">IF(ISBLANK(customer_churn_dataset!D1307),ROUND(MEDIAN(customer_churn_dataset!D$2:D$1501),2),IF(customer_churn_dataset!D1307&lt;0,ABS(customer_churn_dataset!D1307),customer_churn_dataset!D1307))</f>
        <v>38.33</v>
      </c>
      <c r="E1307" s="7" t="n">
        <f aca="false">IF(ISBLANK(customer_churn_dataset!E1307),0,MAX(0,customer_churn_dataset!E1307))</f>
        <v>1</v>
      </c>
      <c r="F1307" s="8" t="n">
        <f aca="false">IF(ISBLANK(customer_churn_dataset!F1307),"",customer_churn_dataset!F1307)</f>
        <v>45563</v>
      </c>
      <c r="G1307" s="7" t="str">
        <f aca="false">PROPER(TRIM(customer_churn_dataset!G1307))</f>
        <v>Credit Card</v>
      </c>
      <c r="H1307" s="7" t="n">
        <f aca="false">IF(ISBLANK(customer_churn_dataset!H1307),0,customer_churn_dataset!H1307)</f>
        <v>1</v>
      </c>
      <c r="I1307" s="7" t="n">
        <f aca="false">IF(ISBLANK(customer_churn_dataset!I1307),ROUND(MEDIAN(customer_churn_dataset!I$2:I$1501),1),MIN(100,MAX(0,customer_churn_dataset!I1307)))</f>
        <v>60.8</v>
      </c>
      <c r="J1307" s="7" t="n">
        <f aca="false">IF(ISBLANK(customer_churn_dataset!J1307),0,MAX(0,customer_churn_dataset!J1307))</f>
        <v>9</v>
      </c>
      <c r="K1307" s="7" t="n">
        <f aca="false">IF(ISBLANK(customer_churn_dataset!K1307),0,MIN(10,MAX(0,customer_churn_dataset!K1307)))</f>
        <v>4</v>
      </c>
      <c r="L1307" s="7" t="n">
        <f aca="false">IF(ISBLANK(customer_churn_dataset!L1307),0,MAX(0,customer_churn_dataset!L1307))</f>
        <v>0</v>
      </c>
      <c r="M1307" s="7" t="n">
        <f aca="false">IF(ISBLANK(customer_churn_dataset!M1307),0,customer_churn_dataset!M1307)</f>
        <v>0</v>
      </c>
      <c r="N1307" s="7" t="n">
        <f aca="false">IF(ISBLANK(customer_churn_dataset!N1307),0,MAX(0,customer_churn_dataset!N1307))</f>
        <v>38.33</v>
      </c>
      <c r="O1307" s="7" t="n">
        <f aca="false">IF(ISBLANK(customer_churn_dataset!O1307),0,customer_churn_dataset!O1307)</f>
        <v>0</v>
      </c>
      <c r="P1307" s="7" t="str">
        <f aca="false">IF(COUNTIF(customer_churn_dataset!$A$2:$A$1501,customer_churn_dataset!A1307)&gt;1,"Duplicate","Unique")</f>
        <v>Unique</v>
      </c>
    </row>
    <row r="1308" customFormat="false" ht="14.15" hidden="false" customHeight="true" outlineLevel="0" collapsed="false">
      <c r="A1308" s="7" t="str">
        <f aca="false">TRIM(customer_churn_dataset!A1308)</f>
        <v>CUST100080</v>
      </c>
      <c r="B1308" s="7" t="str">
        <f aca="false">PROPER(TRIM(customer_churn_dataset!B1308))</f>
        <v>Premium</v>
      </c>
      <c r="C1308" s="7" t="str">
        <f aca="false">PROPER(TRIM(customer_churn_dataset!C1308))</f>
        <v>One Year</v>
      </c>
      <c r="D1308" s="7" t="n">
        <f aca="false">IF(ISBLANK(customer_churn_dataset!D1308),ROUND(MEDIAN(customer_churn_dataset!D$2:D$1501),2),IF(customer_churn_dataset!D1308&lt;0,ABS(customer_churn_dataset!D1308),customer_churn_dataset!D1308))</f>
        <v>39.61</v>
      </c>
      <c r="E1308" s="7" t="n">
        <f aca="false">IF(ISBLANK(customer_churn_dataset!E1308),0,MAX(0,customer_churn_dataset!E1308))</f>
        <v>21</v>
      </c>
      <c r="F1308" s="8" t="n">
        <f aca="false">IF(ISBLANK(customer_churn_dataset!F1308),"",customer_churn_dataset!F1308)</f>
        <v>45569</v>
      </c>
      <c r="G1308" s="7" t="str">
        <f aca="false">PROPER(TRIM(customer_churn_dataset!G1308))</f>
        <v>Manual/Invoice</v>
      </c>
      <c r="H1308" s="7" t="n">
        <f aca="false">IF(ISBLANK(customer_churn_dataset!H1308),0,customer_churn_dataset!H1308)</f>
        <v>1</v>
      </c>
      <c r="I1308" s="7" t="n">
        <f aca="false">IF(ISBLANK(customer_churn_dataset!I1308),ROUND(MEDIAN(customer_churn_dataset!I$2:I$1501),1),MIN(100,MAX(0,customer_churn_dataset!I1308)))</f>
        <v>57.3</v>
      </c>
      <c r="J1308" s="7" t="n">
        <f aca="false">IF(ISBLANK(customer_churn_dataset!J1308),0,MAX(0,customer_churn_dataset!J1308))</f>
        <v>16</v>
      </c>
      <c r="K1308" s="7" t="n">
        <f aca="false">IF(ISBLANK(customer_churn_dataset!K1308),0,MIN(10,MAX(0,customer_churn_dataset!K1308)))</f>
        <v>7</v>
      </c>
      <c r="L1308" s="7" t="n">
        <f aca="false">IF(ISBLANK(customer_churn_dataset!L1308),0,MAX(0,customer_churn_dataset!L1308))</f>
        <v>2</v>
      </c>
      <c r="M1308" s="7" t="n">
        <f aca="false">IF(ISBLANK(customer_churn_dataset!M1308),0,customer_churn_dataset!M1308)</f>
        <v>0</v>
      </c>
      <c r="N1308" s="7" t="n">
        <f aca="false">IF(ISBLANK(customer_churn_dataset!N1308),0,MAX(0,customer_churn_dataset!N1308))</f>
        <v>831.81</v>
      </c>
      <c r="O1308" s="7" t="n">
        <f aca="false">IF(ISBLANK(customer_churn_dataset!O1308),0,customer_churn_dataset!O1308)</f>
        <v>0</v>
      </c>
      <c r="P1308" s="7" t="str">
        <f aca="false">IF(COUNTIF(customer_churn_dataset!$A$2:$A$1501,customer_churn_dataset!A1308)&gt;1,"Duplicate","Unique")</f>
        <v>Unique</v>
      </c>
    </row>
    <row r="1309" customFormat="false" ht="14.15" hidden="false" customHeight="true" outlineLevel="0" collapsed="false">
      <c r="A1309" s="7" t="str">
        <f aca="false">TRIM(customer_churn_dataset!A1309)</f>
        <v>CUST101039</v>
      </c>
      <c r="B1309" s="7" t="str">
        <f aca="false">PROPER(TRIM(customer_churn_dataset!B1309))</f>
        <v>Basic</v>
      </c>
      <c r="C1309" s="7" t="str">
        <f aca="false">PROPER(TRIM(customer_churn_dataset!C1309))</f>
        <v>One Year</v>
      </c>
      <c r="D1309" s="7" t="n">
        <f aca="false">IF(ISBLANK(customer_churn_dataset!D1309),ROUND(MEDIAN(customer_churn_dataset!D$2:D$1501),2),IF(customer_churn_dataset!D1309&lt;0,ABS(customer_churn_dataset!D1309),customer_churn_dataset!D1309))</f>
        <v>10.48</v>
      </c>
      <c r="E1309" s="7" t="n">
        <f aca="false">IF(ISBLANK(customer_churn_dataset!E1309),0,MAX(0,customer_churn_dataset!E1309))</f>
        <v>21</v>
      </c>
      <c r="F1309" s="8" t="n">
        <f aca="false">IF(ISBLANK(customer_churn_dataset!F1309),"",customer_churn_dataset!F1309)</f>
        <v>45570</v>
      </c>
      <c r="G1309" s="7" t="str">
        <f aca="false">PROPER(TRIM(customer_churn_dataset!G1309))</f>
        <v>Credit Card</v>
      </c>
      <c r="H1309" s="7" t="n">
        <f aca="false">IF(ISBLANK(customer_churn_dataset!H1309),0,customer_churn_dataset!H1309)</f>
        <v>1</v>
      </c>
      <c r="I1309" s="7" t="n">
        <f aca="false">IF(ISBLANK(customer_churn_dataset!I1309),ROUND(MEDIAN(customer_churn_dataset!I$2:I$1501),1),MIN(100,MAX(0,customer_churn_dataset!I1309)))</f>
        <v>35.1</v>
      </c>
      <c r="J1309" s="7" t="n">
        <f aca="false">IF(ISBLANK(customer_churn_dataset!J1309),0,MAX(0,customer_churn_dataset!J1309))</f>
        <v>5</v>
      </c>
      <c r="K1309" s="7" t="n">
        <f aca="false">IF(ISBLANK(customer_churn_dataset!K1309),0,MIN(10,MAX(0,customer_churn_dataset!K1309)))</f>
        <v>5</v>
      </c>
      <c r="L1309" s="7" t="n">
        <f aca="false">IF(ISBLANK(customer_churn_dataset!L1309),0,MAX(0,customer_churn_dataset!L1309))</f>
        <v>1</v>
      </c>
      <c r="M1309" s="7" t="n">
        <f aca="false">IF(ISBLANK(customer_churn_dataset!M1309),0,customer_churn_dataset!M1309)</f>
        <v>0</v>
      </c>
      <c r="N1309" s="7" t="n">
        <f aca="false">IF(ISBLANK(customer_churn_dataset!N1309),0,MAX(0,customer_churn_dataset!N1309))</f>
        <v>220.08</v>
      </c>
      <c r="O1309" s="7" t="n">
        <f aca="false">IF(ISBLANK(customer_churn_dataset!O1309),0,customer_churn_dataset!O1309)</f>
        <v>0</v>
      </c>
      <c r="P1309" s="7" t="str">
        <f aca="false">IF(COUNTIF(customer_churn_dataset!$A$2:$A$1501,customer_churn_dataset!A1309)&gt;1,"Duplicate","Unique")</f>
        <v>Unique</v>
      </c>
    </row>
    <row r="1310" customFormat="false" ht="14.15" hidden="false" customHeight="true" outlineLevel="0" collapsed="false">
      <c r="A1310" s="7" t="str">
        <f aca="false">TRIM(customer_churn_dataset!A1310)</f>
        <v>CUST101029</v>
      </c>
      <c r="B1310" s="7" t="str">
        <f aca="false">PROPER(TRIM(customer_churn_dataset!B1310))</f>
        <v>Premium</v>
      </c>
      <c r="C1310" s="7" t="str">
        <f aca="false">PROPER(TRIM(customer_churn_dataset!C1310))</f>
        <v>One Year</v>
      </c>
      <c r="D1310" s="7" t="n">
        <f aca="false">IF(ISBLANK(customer_churn_dataset!D1310),ROUND(MEDIAN(customer_churn_dataset!D$2:D$1501),2),IF(customer_churn_dataset!D1310&lt;0,ABS(customer_churn_dataset!D1310),customer_churn_dataset!D1310))</f>
        <v>40.58</v>
      </c>
      <c r="E1310" s="7" t="n">
        <f aca="false">IF(ISBLANK(customer_churn_dataset!E1310),0,MAX(0,customer_churn_dataset!E1310))</f>
        <v>6</v>
      </c>
      <c r="F1310" s="8" t="n">
        <f aca="false">IF(ISBLANK(customer_churn_dataset!F1310),"",customer_churn_dataset!F1310)</f>
        <v>45571</v>
      </c>
      <c r="G1310" s="7" t="str">
        <f aca="false">PROPER(TRIM(customer_churn_dataset!G1310))</f>
        <v>Credit Card</v>
      </c>
      <c r="H1310" s="7" t="n">
        <f aca="false">IF(ISBLANK(customer_churn_dataset!H1310),0,customer_churn_dataset!H1310)</f>
        <v>1</v>
      </c>
      <c r="I1310" s="7" t="n">
        <f aca="false">IF(ISBLANK(customer_churn_dataset!I1310),ROUND(MEDIAN(customer_churn_dataset!I$2:I$1501),1),MIN(100,MAX(0,customer_churn_dataset!I1310)))</f>
        <v>68.2</v>
      </c>
      <c r="J1310" s="7" t="n">
        <f aca="false">IF(ISBLANK(customer_churn_dataset!J1310),0,MAX(0,customer_churn_dataset!J1310))</f>
        <v>20</v>
      </c>
      <c r="K1310" s="7" t="n">
        <f aca="false">IF(ISBLANK(customer_churn_dataset!K1310),0,MIN(10,MAX(0,customer_churn_dataset!K1310)))</f>
        <v>6</v>
      </c>
      <c r="L1310" s="7" t="n">
        <f aca="false">IF(ISBLANK(customer_churn_dataset!L1310),0,MAX(0,customer_churn_dataset!L1310))</f>
        <v>0</v>
      </c>
      <c r="M1310" s="7" t="n">
        <f aca="false">IF(ISBLANK(customer_churn_dataset!M1310),0,customer_churn_dataset!M1310)</f>
        <v>0</v>
      </c>
      <c r="N1310" s="7" t="n">
        <f aca="false">IF(ISBLANK(customer_churn_dataset!N1310),0,MAX(0,customer_churn_dataset!N1310))</f>
        <v>243.48</v>
      </c>
      <c r="O1310" s="7" t="n">
        <f aca="false">IF(ISBLANK(customer_churn_dataset!O1310),0,customer_churn_dataset!O1310)</f>
        <v>0</v>
      </c>
      <c r="P1310" s="7" t="str">
        <f aca="false">IF(COUNTIF(customer_churn_dataset!$A$2:$A$1501,customer_churn_dataset!A1310)&gt;1,"Duplicate","Unique")</f>
        <v>Unique</v>
      </c>
    </row>
    <row r="1311" customFormat="false" ht="14.15" hidden="false" customHeight="true" outlineLevel="0" collapsed="false">
      <c r="A1311" s="7" t="str">
        <f aca="false">TRIM(customer_churn_dataset!A1311)</f>
        <v>CUST100962</v>
      </c>
      <c r="B1311" s="7" t="str">
        <f aca="false">PROPER(TRIM(customer_churn_dataset!B1311))</f>
        <v>Basic</v>
      </c>
      <c r="C1311" s="7" t="str">
        <f aca="false">PROPER(TRIM(customer_churn_dataset!C1311))</f>
        <v>Month-To-Month</v>
      </c>
      <c r="D1311" s="7" t="n">
        <f aca="false">IF(ISBLANK(customer_churn_dataset!D1311),ROUND(MEDIAN(customer_churn_dataset!D$2:D$1501),2),IF(customer_churn_dataset!D1311&lt;0,ABS(customer_churn_dataset!D1311),customer_churn_dataset!D1311))</f>
        <v>9.97</v>
      </c>
      <c r="E1311" s="7" t="n">
        <f aca="false">IF(ISBLANK(customer_churn_dataset!E1311),0,MAX(0,customer_churn_dataset!E1311))</f>
        <v>9</v>
      </c>
      <c r="F1311" s="8" t="n">
        <f aca="false">IF(ISBLANK(customer_churn_dataset!F1311),"",customer_churn_dataset!F1311)</f>
        <v>45572</v>
      </c>
      <c r="G1311" s="7" t="str">
        <f aca="false">PROPER(TRIM(customer_churn_dataset!G1311))</f>
        <v>Credit Card</v>
      </c>
      <c r="H1311" s="7" t="n">
        <f aca="false">IF(ISBLANK(customer_churn_dataset!H1311),0,customer_churn_dataset!H1311)</f>
        <v>0</v>
      </c>
      <c r="I1311" s="7" t="n">
        <f aca="false">IF(ISBLANK(customer_churn_dataset!I1311),ROUND(MEDIAN(customer_churn_dataset!I$2:I$1501),1),MIN(100,MAX(0,customer_churn_dataset!I1311)))</f>
        <v>66</v>
      </c>
      <c r="J1311" s="7" t="n">
        <f aca="false">IF(ISBLANK(customer_churn_dataset!J1311),0,MAX(0,customer_churn_dataset!J1311))</f>
        <v>23</v>
      </c>
      <c r="K1311" s="7" t="n">
        <f aca="false">IF(ISBLANK(customer_churn_dataset!K1311),0,MIN(10,MAX(0,customer_churn_dataset!K1311)))</f>
        <v>7</v>
      </c>
      <c r="L1311" s="7" t="n">
        <f aca="false">IF(ISBLANK(customer_churn_dataset!L1311),0,MAX(0,customer_churn_dataset!L1311))</f>
        <v>2</v>
      </c>
      <c r="M1311" s="7" t="n">
        <f aca="false">IF(ISBLANK(customer_churn_dataset!M1311),0,customer_churn_dataset!M1311)</f>
        <v>1</v>
      </c>
      <c r="N1311" s="7" t="n">
        <f aca="false">IF(ISBLANK(customer_churn_dataset!N1311),0,MAX(0,customer_churn_dataset!N1311))</f>
        <v>89.73</v>
      </c>
      <c r="O1311" s="7" t="n">
        <f aca="false">IF(ISBLANK(customer_churn_dataset!O1311),0,customer_churn_dataset!O1311)</f>
        <v>0</v>
      </c>
      <c r="P1311" s="7" t="str">
        <f aca="false">IF(COUNTIF(customer_churn_dataset!$A$2:$A$1501,customer_churn_dataset!A1311)&gt;1,"Duplicate","Unique")</f>
        <v>Unique</v>
      </c>
    </row>
    <row r="1312" customFormat="false" ht="14.15" hidden="false" customHeight="true" outlineLevel="0" collapsed="false">
      <c r="A1312" s="7" t="str">
        <f aca="false">TRIM(customer_churn_dataset!A1312)</f>
        <v>CUST101134</v>
      </c>
      <c r="B1312" s="7" t="str">
        <f aca="false">PROPER(TRIM(customer_churn_dataset!B1312))</f>
        <v>Standard</v>
      </c>
      <c r="C1312" s="7" t="str">
        <f aca="false">PROPER(TRIM(customer_churn_dataset!C1312))</f>
        <v>One Year</v>
      </c>
      <c r="D1312" s="7" t="n">
        <f aca="false">IF(ISBLANK(customer_churn_dataset!D1312),ROUND(MEDIAN(customer_churn_dataset!D$2:D$1501),2),IF(customer_churn_dataset!D1312&lt;0,ABS(customer_churn_dataset!D1312),customer_churn_dataset!D1312))</f>
        <v>19.16</v>
      </c>
      <c r="E1312" s="7" t="n">
        <f aca="false">IF(ISBLANK(customer_churn_dataset!E1312),0,MAX(0,customer_churn_dataset!E1312))</f>
        <v>22</v>
      </c>
      <c r="F1312" s="8" t="n">
        <f aca="false">IF(ISBLANK(customer_churn_dataset!F1312),"",customer_churn_dataset!F1312)</f>
        <v>45573</v>
      </c>
      <c r="G1312" s="7" t="str">
        <f aca="false">PROPER(TRIM(customer_churn_dataset!G1312))</f>
        <v>Paypal</v>
      </c>
      <c r="H1312" s="7" t="n">
        <f aca="false">IF(ISBLANK(customer_churn_dataset!H1312),0,customer_churn_dataset!H1312)</f>
        <v>0</v>
      </c>
      <c r="I1312" s="7" t="n">
        <f aca="false">IF(ISBLANK(customer_churn_dataset!I1312),ROUND(MEDIAN(customer_churn_dataset!I$2:I$1501),1),MIN(100,MAX(0,customer_churn_dataset!I1312)))</f>
        <v>59.8</v>
      </c>
      <c r="J1312" s="7" t="n">
        <f aca="false">IF(ISBLANK(customer_churn_dataset!J1312),0,MAX(0,customer_churn_dataset!J1312))</f>
        <v>21</v>
      </c>
      <c r="K1312" s="7" t="n">
        <f aca="false">IF(ISBLANK(customer_churn_dataset!K1312),0,MIN(10,MAX(0,customer_churn_dataset!K1312)))</f>
        <v>6</v>
      </c>
      <c r="L1312" s="7" t="n">
        <f aca="false">IF(ISBLANK(customer_churn_dataset!L1312),0,MAX(0,customer_churn_dataset!L1312))</f>
        <v>0</v>
      </c>
      <c r="M1312" s="7" t="n">
        <f aca="false">IF(ISBLANK(customer_churn_dataset!M1312),0,customer_churn_dataset!M1312)</f>
        <v>0</v>
      </c>
      <c r="N1312" s="7" t="n">
        <f aca="false">IF(ISBLANK(customer_churn_dataset!N1312),0,MAX(0,customer_churn_dataset!N1312))</f>
        <v>421.52</v>
      </c>
      <c r="O1312" s="7" t="n">
        <f aca="false">IF(ISBLANK(customer_churn_dataset!O1312),0,customer_churn_dataset!O1312)</f>
        <v>0</v>
      </c>
      <c r="P1312" s="7" t="str">
        <f aca="false">IF(COUNTIF(customer_churn_dataset!$A$2:$A$1501,customer_churn_dataset!A1312)&gt;1,"Duplicate","Unique")</f>
        <v>Unique</v>
      </c>
    </row>
    <row r="1313" customFormat="false" ht="14.15" hidden="false" customHeight="true" outlineLevel="0" collapsed="false">
      <c r="A1313" s="7" t="str">
        <f aca="false">TRIM(customer_churn_dataset!A1313)</f>
        <v>CUST100836</v>
      </c>
      <c r="B1313" s="7" t="str">
        <f aca="false">PROPER(TRIM(customer_churn_dataset!B1313))</f>
        <v>Premium</v>
      </c>
      <c r="C1313" s="7" t="str">
        <f aca="false">PROPER(TRIM(customer_churn_dataset!C1313))</f>
        <v>Month-To-Month</v>
      </c>
      <c r="D1313" s="7" t="n">
        <f aca="false">IF(ISBLANK(customer_churn_dataset!D1313),ROUND(MEDIAN(customer_churn_dataset!D$2:D$1501),2),IF(customer_churn_dataset!D1313&lt;0,ABS(customer_churn_dataset!D1313),customer_churn_dataset!D1313))</f>
        <v>39.96</v>
      </c>
      <c r="E1313" s="7" t="n">
        <f aca="false">IF(ISBLANK(customer_churn_dataset!E1313),0,MAX(0,customer_churn_dataset!E1313))</f>
        <v>18</v>
      </c>
      <c r="F1313" s="8" t="n">
        <f aca="false">IF(ISBLANK(customer_churn_dataset!F1313),"",customer_churn_dataset!F1313)</f>
        <v>45576</v>
      </c>
      <c r="G1313" s="7" t="str">
        <f aca="false">PROPER(TRIM(customer_churn_dataset!G1313))</f>
        <v>Paypal</v>
      </c>
      <c r="H1313" s="7" t="n">
        <f aca="false">IF(ISBLANK(customer_churn_dataset!H1313),0,customer_churn_dataset!H1313)</f>
        <v>1</v>
      </c>
      <c r="I1313" s="7" t="n">
        <f aca="false">IF(ISBLANK(customer_churn_dataset!I1313),ROUND(MEDIAN(customer_churn_dataset!I$2:I$1501),1),MIN(100,MAX(0,customer_churn_dataset!I1313)))</f>
        <v>23.6</v>
      </c>
      <c r="J1313" s="7" t="n">
        <f aca="false">IF(ISBLANK(customer_churn_dataset!J1313),0,MAX(0,customer_churn_dataset!J1313))</f>
        <v>10</v>
      </c>
      <c r="K1313" s="7" t="n">
        <f aca="false">IF(ISBLANK(customer_churn_dataset!K1313),0,MIN(10,MAX(0,customer_churn_dataset!K1313)))</f>
        <v>2</v>
      </c>
      <c r="L1313" s="7" t="n">
        <f aca="false">IF(ISBLANK(customer_churn_dataset!L1313),0,MAX(0,customer_churn_dataset!L1313))</f>
        <v>4</v>
      </c>
      <c r="M1313" s="7" t="n">
        <f aca="false">IF(ISBLANK(customer_churn_dataset!M1313),0,customer_churn_dataset!M1313)</f>
        <v>0</v>
      </c>
      <c r="N1313" s="7" t="n">
        <f aca="false">IF(ISBLANK(customer_churn_dataset!N1313),0,MAX(0,customer_churn_dataset!N1313))</f>
        <v>719.28</v>
      </c>
      <c r="O1313" s="7" t="n">
        <f aca="false">IF(ISBLANK(customer_churn_dataset!O1313),0,customer_churn_dataset!O1313)</f>
        <v>1</v>
      </c>
      <c r="P1313" s="7" t="str">
        <f aca="false">IF(COUNTIF(customer_churn_dataset!$A$2:$A$1501,customer_churn_dataset!A1313)&gt;1,"Duplicate","Unique")</f>
        <v>Unique</v>
      </c>
    </row>
    <row r="1314" customFormat="false" ht="14.15" hidden="false" customHeight="true" outlineLevel="0" collapsed="false">
      <c r="A1314" s="7" t="str">
        <f aca="false">TRIM(customer_churn_dataset!A1314)</f>
        <v>CUST100758</v>
      </c>
      <c r="B1314" s="7" t="str">
        <f aca="false">PROPER(TRIM(customer_churn_dataset!B1314))</f>
        <v>Premium</v>
      </c>
      <c r="C1314" s="7" t="str">
        <f aca="false">PROPER(TRIM(customer_churn_dataset!C1314))</f>
        <v>One Year</v>
      </c>
      <c r="D1314" s="7" t="n">
        <f aca="false">IF(ISBLANK(customer_churn_dataset!D1314),ROUND(MEDIAN(customer_churn_dataset!D$2:D$1501),2),IF(customer_churn_dataset!D1314&lt;0,ABS(customer_churn_dataset!D1314),customer_churn_dataset!D1314))</f>
        <v>39.82</v>
      </c>
      <c r="E1314" s="7" t="n">
        <f aca="false">IF(ISBLANK(customer_churn_dataset!E1314),0,MAX(0,customer_churn_dataset!E1314))</f>
        <v>1</v>
      </c>
      <c r="F1314" s="8" t="n">
        <f aca="false">IF(ISBLANK(customer_churn_dataset!F1314),"",customer_churn_dataset!F1314)</f>
        <v>45578</v>
      </c>
      <c r="G1314" s="7" t="str">
        <f aca="false">PROPER(TRIM(customer_churn_dataset!G1314))</f>
        <v>Credit Card</v>
      </c>
      <c r="H1314" s="7" t="n">
        <f aca="false">IF(ISBLANK(customer_churn_dataset!H1314),0,customer_churn_dataset!H1314)</f>
        <v>1</v>
      </c>
      <c r="I1314" s="7" t="n">
        <f aca="false">IF(ISBLANK(customer_churn_dataset!I1314),ROUND(MEDIAN(customer_churn_dataset!I$2:I$1501),1),MIN(100,MAX(0,customer_churn_dataset!I1314)))</f>
        <v>100</v>
      </c>
      <c r="J1314" s="7" t="n">
        <f aca="false">IF(ISBLANK(customer_churn_dataset!J1314),0,MAX(0,customer_churn_dataset!J1314))</f>
        <v>27</v>
      </c>
      <c r="K1314" s="7" t="n">
        <f aca="false">IF(ISBLANK(customer_churn_dataset!K1314),0,MIN(10,MAX(0,customer_churn_dataset!K1314)))</f>
        <v>10</v>
      </c>
      <c r="L1314" s="7" t="n">
        <f aca="false">IF(ISBLANK(customer_churn_dataset!L1314),0,MAX(0,customer_churn_dataset!L1314))</f>
        <v>0</v>
      </c>
      <c r="M1314" s="7" t="n">
        <f aca="false">IF(ISBLANK(customer_churn_dataset!M1314),0,customer_churn_dataset!M1314)</f>
        <v>0</v>
      </c>
      <c r="N1314" s="7" t="n">
        <f aca="false">IF(ISBLANK(customer_churn_dataset!N1314),0,MAX(0,customer_churn_dataset!N1314))</f>
        <v>39.82</v>
      </c>
      <c r="O1314" s="7" t="n">
        <f aca="false">IF(ISBLANK(customer_churn_dataset!O1314),0,customer_churn_dataset!O1314)</f>
        <v>0</v>
      </c>
      <c r="P1314" s="7" t="str">
        <f aca="false">IF(COUNTIF(customer_churn_dataset!$A$2:$A$1501,customer_churn_dataset!A1314)&gt;1,"Duplicate","Unique")</f>
        <v>Unique</v>
      </c>
    </row>
    <row r="1315" customFormat="false" ht="14.15" hidden="false" customHeight="true" outlineLevel="0" collapsed="false">
      <c r="A1315" s="7" t="str">
        <f aca="false">TRIM(customer_churn_dataset!A1315)</f>
        <v>CUST101320</v>
      </c>
      <c r="B1315" s="7" t="str">
        <f aca="false">PROPER(TRIM(customer_churn_dataset!B1315))</f>
        <v>Basic</v>
      </c>
      <c r="C1315" s="7" t="str">
        <f aca="false">PROPER(TRIM(customer_churn_dataset!C1315))</f>
        <v>Month-To-Month</v>
      </c>
      <c r="D1315" s="7" t="n">
        <f aca="false">IF(ISBLANK(customer_churn_dataset!D1315),ROUND(MEDIAN(customer_churn_dataset!D$2:D$1501),2),IF(customer_churn_dataset!D1315&lt;0,ABS(customer_churn_dataset!D1315),customer_churn_dataset!D1315))</f>
        <v>9.38</v>
      </c>
      <c r="E1315" s="7" t="n">
        <f aca="false">IF(ISBLANK(customer_churn_dataset!E1315),0,MAX(0,customer_churn_dataset!E1315))</f>
        <v>34</v>
      </c>
      <c r="F1315" s="8" t="n">
        <f aca="false">IF(ISBLANK(customer_churn_dataset!F1315),"",customer_churn_dataset!F1315)</f>
        <v>45578</v>
      </c>
      <c r="G1315" s="7" t="str">
        <f aca="false">PROPER(TRIM(customer_churn_dataset!G1315))</f>
        <v>Bank Transfer</v>
      </c>
      <c r="H1315" s="7" t="n">
        <f aca="false">IF(ISBLANK(customer_churn_dataset!H1315),0,customer_churn_dataset!H1315)</f>
        <v>0</v>
      </c>
      <c r="I1315" s="7" t="n">
        <f aca="false">IF(ISBLANK(customer_churn_dataset!I1315),ROUND(MEDIAN(customer_churn_dataset!I$2:I$1501),1),MIN(100,MAX(0,customer_churn_dataset!I1315)))</f>
        <v>74.7</v>
      </c>
      <c r="J1315" s="7" t="n">
        <f aca="false">IF(ISBLANK(customer_churn_dataset!J1315),0,MAX(0,customer_churn_dataset!J1315))</f>
        <v>23</v>
      </c>
      <c r="K1315" s="7" t="n">
        <f aca="false">IF(ISBLANK(customer_churn_dataset!K1315),0,MIN(10,MAX(0,customer_churn_dataset!K1315)))</f>
        <v>7</v>
      </c>
      <c r="L1315" s="7" t="n">
        <f aca="false">IF(ISBLANK(customer_churn_dataset!L1315),0,MAX(0,customer_churn_dataset!L1315))</f>
        <v>2</v>
      </c>
      <c r="M1315" s="7" t="n">
        <f aca="false">IF(ISBLANK(customer_churn_dataset!M1315),0,customer_churn_dataset!M1315)</f>
        <v>1</v>
      </c>
      <c r="N1315" s="7" t="n">
        <f aca="false">IF(ISBLANK(customer_churn_dataset!N1315),0,MAX(0,customer_churn_dataset!N1315))</f>
        <v>318.92</v>
      </c>
      <c r="O1315" s="7" t="n">
        <f aca="false">IF(ISBLANK(customer_churn_dataset!O1315),0,customer_churn_dataset!O1315)</f>
        <v>1</v>
      </c>
      <c r="P1315" s="7" t="str">
        <f aca="false">IF(COUNTIF(customer_churn_dataset!$A$2:$A$1501,customer_churn_dataset!A1315)&gt;1,"Duplicate","Unique")</f>
        <v>Unique</v>
      </c>
    </row>
    <row r="1316" customFormat="false" ht="14.15" hidden="false" customHeight="true" outlineLevel="0" collapsed="false">
      <c r="A1316" s="7" t="str">
        <f aca="false">TRIM(customer_churn_dataset!A1316)</f>
        <v>CUST100499</v>
      </c>
      <c r="B1316" s="7" t="str">
        <f aca="false">PROPER(TRIM(customer_churn_dataset!B1316))</f>
        <v>Premium</v>
      </c>
      <c r="C1316" s="7" t="str">
        <f aca="false">PROPER(TRIM(customer_churn_dataset!C1316))</f>
        <v>Month-To-Month</v>
      </c>
      <c r="D1316" s="7" t="n">
        <f aca="false">IF(ISBLANK(customer_churn_dataset!D1316),ROUND(MEDIAN(customer_churn_dataset!D$2:D$1501),2),IF(customer_churn_dataset!D1316&lt;0,ABS(customer_churn_dataset!D1316),customer_churn_dataset!D1316))</f>
        <v>41.13</v>
      </c>
      <c r="E1316" s="7" t="n">
        <f aca="false">IF(ISBLANK(customer_churn_dataset!E1316),0,MAX(0,customer_churn_dataset!E1316))</f>
        <v>72</v>
      </c>
      <c r="F1316" s="8" t="n">
        <f aca="false">IF(ISBLANK(customer_churn_dataset!F1316),"",customer_churn_dataset!F1316)</f>
        <v>45579</v>
      </c>
      <c r="G1316" s="7" t="str">
        <f aca="false">PROPER(TRIM(customer_churn_dataset!G1316))</f>
        <v>Credit Card</v>
      </c>
      <c r="H1316" s="7" t="n">
        <f aca="false">IF(ISBLANK(customer_churn_dataset!H1316),0,customer_churn_dataset!H1316)</f>
        <v>1</v>
      </c>
      <c r="I1316" s="7" t="n">
        <f aca="false">IF(ISBLANK(customer_churn_dataset!I1316),ROUND(MEDIAN(customer_churn_dataset!I$2:I$1501),1),MIN(100,MAX(0,customer_churn_dataset!I1316)))</f>
        <v>38.5</v>
      </c>
      <c r="J1316" s="7" t="n">
        <f aca="false">IF(ISBLANK(customer_churn_dataset!J1316),0,MAX(0,customer_churn_dataset!J1316))</f>
        <v>12</v>
      </c>
      <c r="K1316" s="7" t="n">
        <f aca="false">IF(ISBLANK(customer_churn_dataset!K1316),0,MIN(10,MAX(0,customer_churn_dataset!K1316)))</f>
        <v>2</v>
      </c>
      <c r="L1316" s="7" t="n">
        <f aca="false">IF(ISBLANK(customer_churn_dataset!L1316),0,MAX(0,customer_churn_dataset!L1316))</f>
        <v>1</v>
      </c>
      <c r="M1316" s="7" t="n">
        <f aca="false">IF(ISBLANK(customer_churn_dataset!M1316),0,customer_churn_dataset!M1316)</f>
        <v>1</v>
      </c>
      <c r="N1316" s="7" t="n">
        <f aca="false">IF(ISBLANK(customer_churn_dataset!N1316),0,MAX(0,customer_churn_dataset!N1316))</f>
        <v>2961.36</v>
      </c>
      <c r="O1316" s="7" t="n">
        <f aca="false">IF(ISBLANK(customer_churn_dataset!O1316),0,customer_churn_dataset!O1316)</f>
        <v>0</v>
      </c>
      <c r="P1316" s="7" t="str">
        <f aca="false">IF(COUNTIF(customer_churn_dataset!$A$2:$A$1501,customer_churn_dataset!A1316)&gt;1,"Duplicate","Unique")</f>
        <v>Unique</v>
      </c>
    </row>
    <row r="1317" customFormat="false" ht="14.15" hidden="false" customHeight="true" outlineLevel="0" collapsed="false">
      <c r="A1317" s="7" t="str">
        <f aca="false">TRIM(customer_churn_dataset!A1317)</f>
        <v>CUST100408</v>
      </c>
      <c r="B1317" s="7" t="str">
        <f aca="false">PROPER(TRIM(customer_churn_dataset!B1317))</f>
        <v>Premium</v>
      </c>
      <c r="C1317" s="7" t="str">
        <f aca="false">PROPER(TRIM(customer_churn_dataset!C1317))</f>
        <v>One Year</v>
      </c>
      <c r="D1317" s="7" t="n">
        <f aca="false">IF(ISBLANK(customer_churn_dataset!D1317),ROUND(MEDIAN(customer_churn_dataset!D$2:D$1501),2),IF(customer_churn_dataset!D1317&lt;0,ABS(customer_churn_dataset!D1317),customer_churn_dataset!D1317))</f>
        <v>38.43</v>
      </c>
      <c r="E1317" s="7" t="n">
        <f aca="false">IF(ISBLANK(customer_churn_dataset!E1317),0,MAX(0,customer_churn_dataset!E1317))</f>
        <v>14</v>
      </c>
      <c r="F1317" s="8" t="n">
        <f aca="false">IF(ISBLANK(customer_churn_dataset!F1317),"",customer_churn_dataset!F1317)</f>
        <v>45579</v>
      </c>
      <c r="G1317" s="7" t="str">
        <f aca="false">PROPER(TRIM(customer_churn_dataset!G1317))</f>
        <v>Credit Card</v>
      </c>
      <c r="H1317" s="7" t="n">
        <f aca="false">IF(ISBLANK(customer_churn_dataset!H1317),0,customer_churn_dataset!H1317)</f>
        <v>1</v>
      </c>
      <c r="I1317" s="7" t="n">
        <f aca="false">IF(ISBLANK(customer_churn_dataset!I1317),ROUND(MEDIAN(customer_churn_dataset!I$2:I$1501),1),MIN(100,MAX(0,customer_churn_dataset!I1317)))</f>
        <v>39.3</v>
      </c>
      <c r="J1317" s="7" t="n">
        <f aca="false">IF(ISBLANK(customer_churn_dataset!J1317),0,MAX(0,customer_churn_dataset!J1317))</f>
        <v>16</v>
      </c>
      <c r="K1317" s="7" t="n">
        <f aca="false">IF(ISBLANK(customer_churn_dataset!K1317),0,MIN(10,MAX(0,customer_churn_dataset!K1317)))</f>
        <v>2</v>
      </c>
      <c r="L1317" s="7" t="n">
        <f aca="false">IF(ISBLANK(customer_churn_dataset!L1317),0,MAX(0,customer_churn_dataset!L1317))</f>
        <v>2</v>
      </c>
      <c r="M1317" s="7" t="n">
        <f aca="false">IF(ISBLANK(customer_churn_dataset!M1317),0,customer_churn_dataset!M1317)</f>
        <v>0</v>
      </c>
      <c r="N1317" s="7" t="n">
        <f aca="false">IF(ISBLANK(customer_churn_dataset!N1317),0,MAX(0,customer_churn_dataset!N1317))</f>
        <v>538.02</v>
      </c>
      <c r="O1317" s="7" t="n">
        <f aca="false">IF(ISBLANK(customer_churn_dataset!O1317),0,customer_churn_dataset!O1317)</f>
        <v>0</v>
      </c>
      <c r="P1317" s="7" t="str">
        <f aca="false">IF(COUNTIF(customer_churn_dataset!$A$2:$A$1501,customer_churn_dataset!A1317)&gt;1,"Duplicate","Unique")</f>
        <v>Unique</v>
      </c>
    </row>
    <row r="1318" customFormat="false" ht="14.15" hidden="false" customHeight="true" outlineLevel="0" collapsed="false">
      <c r="A1318" s="7" t="str">
        <f aca="false">TRIM(customer_churn_dataset!A1318)</f>
        <v>CUST100219</v>
      </c>
      <c r="B1318" s="7" t="str">
        <f aca="false">PROPER(TRIM(customer_churn_dataset!B1318))</f>
        <v>Premium</v>
      </c>
      <c r="C1318" s="7" t="str">
        <f aca="false">PROPER(TRIM(customer_churn_dataset!C1318))</f>
        <v>Month-To-Month</v>
      </c>
      <c r="D1318" s="7" t="n">
        <f aca="false">IF(ISBLANK(customer_churn_dataset!D1318),ROUND(MEDIAN(customer_churn_dataset!D$2:D$1501),2),IF(customer_churn_dataset!D1318&lt;0,ABS(customer_churn_dataset!D1318),customer_churn_dataset!D1318))</f>
        <v>41.82</v>
      </c>
      <c r="E1318" s="7" t="n">
        <f aca="false">IF(ISBLANK(customer_churn_dataset!E1318),0,MAX(0,customer_churn_dataset!E1318))</f>
        <v>15</v>
      </c>
      <c r="F1318" s="8" t="n">
        <f aca="false">IF(ISBLANK(customer_churn_dataset!F1318),"",customer_churn_dataset!F1318)</f>
        <v>45579</v>
      </c>
      <c r="G1318" s="7" t="str">
        <f aca="false">PROPER(TRIM(customer_churn_dataset!G1318))</f>
        <v>Credit Card</v>
      </c>
      <c r="H1318" s="7" t="n">
        <f aca="false">IF(ISBLANK(customer_churn_dataset!H1318),0,customer_churn_dataset!H1318)</f>
        <v>0</v>
      </c>
      <c r="I1318" s="7" t="n">
        <f aca="false">IF(ISBLANK(customer_churn_dataset!I1318),ROUND(MEDIAN(customer_churn_dataset!I$2:I$1501),1),MIN(100,MAX(0,customer_churn_dataset!I1318)))</f>
        <v>50.4</v>
      </c>
      <c r="J1318" s="7" t="n">
        <f aca="false">IF(ISBLANK(customer_churn_dataset!J1318),0,MAX(0,customer_churn_dataset!J1318))</f>
        <v>17</v>
      </c>
      <c r="K1318" s="7" t="n">
        <f aca="false">IF(ISBLANK(customer_churn_dataset!K1318),0,MIN(10,MAX(0,customer_churn_dataset!K1318)))</f>
        <v>5</v>
      </c>
      <c r="L1318" s="7" t="n">
        <f aca="false">IF(ISBLANK(customer_churn_dataset!L1318),0,MAX(0,customer_churn_dataset!L1318))</f>
        <v>1</v>
      </c>
      <c r="M1318" s="7" t="n">
        <f aca="false">IF(ISBLANK(customer_churn_dataset!M1318),0,customer_churn_dataset!M1318)</f>
        <v>0</v>
      </c>
      <c r="N1318" s="7" t="n">
        <f aca="false">IF(ISBLANK(customer_churn_dataset!N1318),0,MAX(0,customer_churn_dataset!N1318))</f>
        <v>627.3</v>
      </c>
      <c r="O1318" s="7" t="n">
        <f aca="false">IF(ISBLANK(customer_churn_dataset!O1318),0,customer_churn_dataset!O1318)</f>
        <v>0</v>
      </c>
      <c r="P1318" s="7" t="str">
        <f aca="false">IF(COUNTIF(customer_churn_dataset!$A$2:$A$1501,customer_churn_dataset!A1318)&gt;1,"Duplicate","Unique")</f>
        <v>Unique</v>
      </c>
    </row>
    <row r="1319" customFormat="false" ht="14.15" hidden="false" customHeight="true" outlineLevel="0" collapsed="false">
      <c r="A1319" s="7" t="str">
        <f aca="false">TRIM(customer_churn_dataset!A1319)</f>
        <v>CUST100161</v>
      </c>
      <c r="B1319" s="7" t="str">
        <f aca="false">PROPER(TRIM(customer_churn_dataset!B1319))</f>
        <v>Standard</v>
      </c>
      <c r="C1319" s="7" t="str">
        <f aca="false">PROPER(TRIM(customer_churn_dataset!C1319))</f>
        <v>One Year</v>
      </c>
      <c r="D1319" s="7" t="n">
        <f aca="false">IF(ISBLANK(customer_churn_dataset!D1319),ROUND(MEDIAN(customer_churn_dataset!D$2:D$1501),2),IF(customer_churn_dataset!D1319&lt;0,ABS(customer_churn_dataset!D1319),customer_churn_dataset!D1319))</f>
        <v>20.52</v>
      </c>
      <c r="E1319" s="7" t="n">
        <f aca="false">IF(ISBLANK(customer_churn_dataset!E1319),0,MAX(0,customer_churn_dataset!E1319))</f>
        <v>1</v>
      </c>
      <c r="F1319" s="8" t="n">
        <f aca="false">IF(ISBLANK(customer_churn_dataset!F1319),"",customer_churn_dataset!F1319)</f>
        <v>45581</v>
      </c>
      <c r="G1319" s="7" t="str">
        <f aca="false">PROPER(TRIM(customer_churn_dataset!G1319))</f>
        <v>Bank Transfer</v>
      </c>
      <c r="H1319" s="7" t="n">
        <f aca="false">IF(ISBLANK(customer_churn_dataset!H1319),0,customer_churn_dataset!H1319)</f>
        <v>1</v>
      </c>
      <c r="I1319" s="7" t="n">
        <f aca="false">IF(ISBLANK(customer_churn_dataset!I1319),ROUND(MEDIAN(customer_churn_dataset!I$2:I$1501),1),MIN(100,MAX(0,customer_churn_dataset!I1319)))</f>
        <v>77.5</v>
      </c>
      <c r="J1319" s="7" t="n">
        <f aca="false">IF(ISBLANK(customer_churn_dataset!J1319),0,MAX(0,customer_churn_dataset!J1319))</f>
        <v>24</v>
      </c>
      <c r="K1319" s="7" t="n">
        <f aca="false">IF(ISBLANK(customer_churn_dataset!K1319),0,MIN(10,MAX(0,customer_churn_dataset!K1319)))</f>
        <v>10</v>
      </c>
      <c r="L1319" s="7" t="n">
        <f aca="false">IF(ISBLANK(customer_churn_dataset!L1319),0,MAX(0,customer_churn_dataset!L1319))</f>
        <v>0</v>
      </c>
      <c r="M1319" s="7" t="n">
        <f aca="false">IF(ISBLANK(customer_churn_dataset!M1319),0,customer_churn_dataset!M1319)</f>
        <v>0</v>
      </c>
      <c r="N1319" s="7" t="n">
        <f aca="false">IF(ISBLANK(customer_churn_dataset!N1319),0,MAX(0,customer_churn_dataset!N1319))</f>
        <v>20.52</v>
      </c>
      <c r="O1319" s="7" t="n">
        <f aca="false">IF(ISBLANK(customer_churn_dataset!O1319),0,customer_churn_dataset!O1319)</f>
        <v>0</v>
      </c>
      <c r="P1319" s="7" t="str">
        <f aca="false">IF(COUNTIF(customer_churn_dataset!$A$2:$A$1501,customer_churn_dataset!A1319)&gt;1,"Duplicate","Unique")</f>
        <v>Unique</v>
      </c>
    </row>
    <row r="1320" customFormat="false" ht="14.15" hidden="false" customHeight="true" outlineLevel="0" collapsed="false">
      <c r="A1320" s="7" t="str">
        <f aca="false">TRIM(customer_churn_dataset!A1320)</f>
        <v>CUST100668</v>
      </c>
      <c r="B1320" s="7" t="str">
        <f aca="false">PROPER(TRIM(customer_churn_dataset!B1320))</f>
        <v>Basic</v>
      </c>
      <c r="C1320" s="7" t="str">
        <f aca="false">PROPER(TRIM(customer_churn_dataset!C1320))</f>
        <v>Month-To-Month</v>
      </c>
      <c r="D1320" s="7" t="n">
        <f aca="false">IF(ISBLANK(customer_churn_dataset!D1320),ROUND(MEDIAN(customer_churn_dataset!D$2:D$1501),2),IF(customer_churn_dataset!D1320&lt;0,ABS(customer_churn_dataset!D1320),customer_churn_dataset!D1320))</f>
        <v>9.89</v>
      </c>
      <c r="E1320" s="7" t="n">
        <f aca="false">IF(ISBLANK(customer_churn_dataset!E1320),0,MAX(0,customer_churn_dataset!E1320))</f>
        <v>3</v>
      </c>
      <c r="F1320" s="8" t="n">
        <f aca="false">IF(ISBLANK(customer_churn_dataset!F1320),"",customer_churn_dataset!F1320)</f>
        <v>45582</v>
      </c>
      <c r="G1320" s="7" t="str">
        <f aca="false">PROPER(TRIM(customer_churn_dataset!G1320))</f>
        <v>Credit Card</v>
      </c>
      <c r="H1320" s="7" t="n">
        <f aca="false">IF(ISBLANK(customer_churn_dataset!H1320),0,customer_churn_dataset!H1320)</f>
        <v>1</v>
      </c>
      <c r="I1320" s="7" t="n">
        <f aca="false">IF(ISBLANK(customer_churn_dataset!I1320),ROUND(MEDIAN(customer_churn_dataset!I$2:I$1501),1),MIN(100,MAX(0,customer_churn_dataset!I1320)))</f>
        <v>44.5</v>
      </c>
      <c r="J1320" s="7" t="n">
        <f aca="false">IF(ISBLANK(customer_churn_dataset!J1320),0,MAX(0,customer_churn_dataset!J1320))</f>
        <v>20</v>
      </c>
      <c r="K1320" s="7" t="n">
        <f aca="false">IF(ISBLANK(customer_churn_dataset!K1320),0,MIN(10,MAX(0,customer_churn_dataset!K1320)))</f>
        <v>5</v>
      </c>
      <c r="L1320" s="7" t="n">
        <f aca="false">IF(ISBLANK(customer_churn_dataset!L1320),0,MAX(0,customer_churn_dataset!L1320))</f>
        <v>3</v>
      </c>
      <c r="M1320" s="7" t="n">
        <f aca="false">IF(ISBLANK(customer_churn_dataset!M1320),0,customer_churn_dataset!M1320)</f>
        <v>0</v>
      </c>
      <c r="N1320" s="7" t="n">
        <f aca="false">IF(ISBLANK(customer_churn_dataset!N1320),0,MAX(0,customer_churn_dataset!N1320))</f>
        <v>29.67</v>
      </c>
      <c r="O1320" s="7" t="n">
        <f aca="false">IF(ISBLANK(customer_churn_dataset!O1320),0,customer_churn_dataset!O1320)</f>
        <v>1</v>
      </c>
      <c r="P1320" s="7" t="str">
        <f aca="false">IF(COUNTIF(customer_churn_dataset!$A$2:$A$1501,customer_churn_dataset!A1320)&gt;1,"Duplicate","Unique")</f>
        <v>Unique</v>
      </c>
    </row>
    <row r="1321" customFormat="false" ht="14.15" hidden="false" customHeight="true" outlineLevel="0" collapsed="false">
      <c r="A1321" s="7" t="str">
        <f aca="false">TRIM(customer_churn_dataset!A1321)</f>
        <v>CUST101336</v>
      </c>
      <c r="B1321" s="7" t="str">
        <f aca="false">PROPER(TRIM(customer_churn_dataset!B1321))</f>
        <v>Basic</v>
      </c>
      <c r="C1321" s="7" t="str">
        <f aca="false">PROPER(TRIM(customer_churn_dataset!C1321))</f>
        <v>One Year</v>
      </c>
      <c r="D1321" s="7" t="n">
        <f aca="false">IF(ISBLANK(customer_churn_dataset!D1321),ROUND(MEDIAN(customer_churn_dataset!D$2:D$1501),2),IF(customer_churn_dataset!D1321&lt;0,ABS(customer_churn_dataset!D1321),customer_churn_dataset!D1321))</f>
        <v>9.71</v>
      </c>
      <c r="E1321" s="7" t="n">
        <f aca="false">IF(ISBLANK(customer_churn_dataset!E1321),0,MAX(0,customer_churn_dataset!E1321))</f>
        <v>55</v>
      </c>
      <c r="F1321" s="8" t="n">
        <f aca="false">IF(ISBLANK(customer_churn_dataset!F1321),"",customer_churn_dataset!F1321)</f>
        <v>45585</v>
      </c>
      <c r="G1321" s="7" t="str">
        <f aca="false">PROPER(TRIM(customer_churn_dataset!G1321))</f>
        <v>Paypal</v>
      </c>
      <c r="H1321" s="7" t="n">
        <f aca="false">IF(ISBLANK(customer_churn_dataset!H1321),0,customer_churn_dataset!H1321)</f>
        <v>0</v>
      </c>
      <c r="I1321" s="7" t="n">
        <f aca="false">IF(ISBLANK(customer_churn_dataset!I1321),ROUND(MEDIAN(customer_churn_dataset!I$2:I$1501),1),MIN(100,MAX(0,customer_churn_dataset!I1321)))</f>
        <v>46.4</v>
      </c>
      <c r="J1321" s="7" t="n">
        <f aca="false">IF(ISBLANK(customer_churn_dataset!J1321),0,MAX(0,customer_churn_dataset!J1321))</f>
        <v>14</v>
      </c>
      <c r="K1321" s="7" t="n">
        <f aca="false">IF(ISBLANK(customer_churn_dataset!K1321),0,MIN(10,MAX(0,customer_churn_dataset!K1321)))</f>
        <v>6</v>
      </c>
      <c r="L1321" s="7" t="n">
        <f aca="false">IF(ISBLANK(customer_churn_dataset!L1321),0,MAX(0,customer_churn_dataset!L1321))</f>
        <v>0</v>
      </c>
      <c r="M1321" s="7" t="n">
        <f aca="false">IF(ISBLANK(customer_churn_dataset!M1321),0,customer_churn_dataset!M1321)</f>
        <v>0</v>
      </c>
      <c r="N1321" s="7" t="n">
        <f aca="false">IF(ISBLANK(customer_churn_dataset!N1321),0,MAX(0,customer_churn_dataset!N1321))</f>
        <v>534.05</v>
      </c>
      <c r="O1321" s="7" t="n">
        <f aca="false">IF(ISBLANK(customer_churn_dataset!O1321),0,customer_churn_dataset!O1321)</f>
        <v>0</v>
      </c>
      <c r="P1321" s="7" t="str">
        <f aca="false">IF(COUNTIF(customer_churn_dataset!$A$2:$A$1501,customer_churn_dataset!A1321)&gt;1,"Duplicate","Unique")</f>
        <v>Unique</v>
      </c>
    </row>
    <row r="1322" customFormat="false" ht="14.15" hidden="false" customHeight="true" outlineLevel="0" collapsed="false">
      <c r="A1322" s="7" t="str">
        <f aca="false">TRIM(customer_churn_dataset!A1322)</f>
        <v>CUST101215</v>
      </c>
      <c r="B1322" s="7" t="str">
        <f aca="false">PROPER(TRIM(customer_churn_dataset!B1322))</f>
        <v>Basic</v>
      </c>
      <c r="C1322" s="7" t="str">
        <f aca="false">PROPER(TRIM(customer_churn_dataset!C1322))</f>
        <v>Month-To-Month</v>
      </c>
      <c r="D1322" s="7" t="n">
        <f aca="false">IF(ISBLANK(customer_churn_dataset!D1322),ROUND(MEDIAN(customer_churn_dataset!D$2:D$1501),2),IF(customer_churn_dataset!D1322&lt;0,ABS(customer_churn_dataset!D1322),customer_churn_dataset!D1322))</f>
        <v>11.44</v>
      </c>
      <c r="E1322" s="7" t="n">
        <f aca="false">IF(ISBLANK(customer_churn_dataset!E1322),0,MAX(0,customer_churn_dataset!E1322))</f>
        <v>72</v>
      </c>
      <c r="F1322" s="8" t="n">
        <f aca="false">IF(ISBLANK(customer_churn_dataset!F1322),"",customer_churn_dataset!F1322)</f>
        <v>45586</v>
      </c>
      <c r="G1322" s="7" t="str">
        <f aca="false">PROPER(TRIM(customer_churn_dataset!G1322))</f>
        <v>Credit Card</v>
      </c>
      <c r="H1322" s="7" t="n">
        <f aca="false">IF(ISBLANK(customer_churn_dataset!H1322),0,customer_churn_dataset!H1322)</f>
        <v>1</v>
      </c>
      <c r="I1322" s="7" t="n">
        <f aca="false">IF(ISBLANK(customer_churn_dataset!I1322),ROUND(MEDIAN(customer_churn_dataset!I$2:I$1501),1),MIN(100,MAX(0,customer_churn_dataset!I1322)))</f>
        <v>19.7</v>
      </c>
      <c r="J1322" s="7" t="n">
        <f aca="false">IF(ISBLANK(customer_churn_dataset!J1322),0,MAX(0,customer_churn_dataset!J1322))</f>
        <v>8</v>
      </c>
      <c r="K1322" s="7" t="n">
        <f aca="false">IF(ISBLANK(customer_churn_dataset!K1322),0,MIN(10,MAX(0,customer_churn_dataset!K1322)))</f>
        <v>2</v>
      </c>
      <c r="L1322" s="7" t="n">
        <f aca="false">IF(ISBLANK(customer_churn_dataset!L1322),0,MAX(0,customer_churn_dataset!L1322))</f>
        <v>4</v>
      </c>
      <c r="M1322" s="7" t="n">
        <f aca="false">IF(ISBLANK(customer_churn_dataset!M1322),0,customer_churn_dataset!M1322)</f>
        <v>1</v>
      </c>
      <c r="N1322" s="7" t="n">
        <f aca="false">IF(ISBLANK(customer_churn_dataset!N1322),0,MAX(0,customer_churn_dataset!N1322))</f>
        <v>823.68</v>
      </c>
      <c r="O1322" s="7" t="n">
        <f aca="false">IF(ISBLANK(customer_churn_dataset!O1322),0,customer_churn_dataset!O1322)</f>
        <v>0</v>
      </c>
      <c r="P1322" s="7" t="str">
        <f aca="false">IF(COUNTIF(customer_churn_dataset!$A$2:$A$1501,customer_churn_dataset!A1322)&gt;1,"Duplicate","Unique")</f>
        <v>Unique</v>
      </c>
    </row>
    <row r="1323" customFormat="false" ht="14.15" hidden="false" customHeight="true" outlineLevel="0" collapsed="false">
      <c r="A1323" s="7" t="str">
        <f aca="false">TRIM(customer_churn_dataset!A1323)</f>
        <v>CUST100108</v>
      </c>
      <c r="B1323" s="7" t="str">
        <f aca="false">PROPER(TRIM(customer_churn_dataset!B1323))</f>
        <v>Basic</v>
      </c>
      <c r="C1323" s="7" t="str">
        <f aca="false">PROPER(TRIM(customer_churn_dataset!C1323))</f>
        <v>One Year</v>
      </c>
      <c r="D1323" s="7" t="n">
        <f aca="false">IF(ISBLANK(customer_churn_dataset!D1323),ROUND(MEDIAN(customer_churn_dataset!D$2:D$1501),2),IF(customer_churn_dataset!D1323&lt;0,ABS(customer_churn_dataset!D1323),customer_churn_dataset!D1323))</f>
        <v>9.25</v>
      </c>
      <c r="E1323" s="7" t="n">
        <f aca="false">IF(ISBLANK(customer_churn_dataset!E1323),0,MAX(0,customer_churn_dataset!E1323))</f>
        <v>6</v>
      </c>
      <c r="F1323" s="8" t="n">
        <f aca="false">IF(ISBLANK(customer_churn_dataset!F1323),"",customer_churn_dataset!F1323)</f>
        <v>45587</v>
      </c>
      <c r="G1323" s="7" t="str">
        <f aca="false">PROPER(TRIM(customer_churn_dataset!G1323))</f>
        <v>Bank Transfer</v>
      </c>
      <c r="H1323" s="7" t="n">
        <f aca="false">IF(ISBLANK(customer_churn_dataset!H1323),0,customer_churn_dataset!H1323)</f>
        <v>0</v>
      </c>
      <c r="I1323" s="7" t="n">
        <f aca="false">IF(ISBLANK(customer_churn_dataset!I1323),ROUND(MEDIAN(customer_churn_dataset!I$2:I$1501),1),MIN(100,MAX(0,customer_churn_dataset!I1323)))</f>
        <v>53.6</v>
      </c>
      <c r="J1323" s="7" t="n">
        <f aca="false">IF(ISBLANK(customer_churn_dataset!J1323),0,MAX(0,customer_churn_dataset!J1323))</f>
        <v>23</v>
      </c>
      <c r="K1323" s="7" t="n">
        <f aca="false">IF(ISBLANK(customer_churn_dataset!K1323),0,MIN(10,MAX(0,customer_churn_dataset!K1323)))</f>
        <v>6</v>
      </c>
      <c r="L1323" s="7" t="n">
        <f aca="false">IF(ISBLANK(customer_churn_dataset!L1323),0,MAX(0,customer_churn_dataset!L1323))</f>
        <v>1</v>
      </c>
      <c r="M1323" s="7" t="n">
        <f aca="false">IF(ISBLANK(customer_churn_dataset!M1323),0,customer_churn_dataset!M1323)</f>
        <v>1</v>
      </c>
      <c r="N1323" s="7" t="n">
        <f aca="false">IF(ISBLANK(customer_churn_dataset!N1323),0,MAX(0,customer_churn_dataset!N1323))</f>
        <v>55.5</v>
      </c>
      <c r="O1323" s="7" t="n">
        <f aca="false">IF(ISBLANK(customer_churn_dataset!O1323),0,customer_churn_dataset!O1323)</f>
        <v>0</v>
      </c>
      <c r="P1323" s="7" t="str">
        <f aca="false">IF(COUNTIF(customer_churn_dataset!$A$2:$A$1501,customer_churn_dataset!A1323)&gt;1,"Duplicate","Unique")</f>
        <v>Unique</v>
      </c>
    </row>
    <row r="1324" customFormat="false" ht="14.15" hidden="false" customHeight="true" outlineLevel="0" collapsed="false">
      <c r="A1324" s="7" t="str">
        <f aca="false">TRIM(customer_churn_dataset!A1324)</f>
        <v>CUST100800</v>
      </c>
      <c r="B1324" s="7" t="str">
        <f aca="false">PROPER(TRIM(customer_churn_dataset!B1324))</f>
        <v>Standard</v>
      </c>
      <c r="C1324" s="7" t="str">
        <f aca="false">PROPER(TRIM(customer_churn_dataset!C1324))</f>
        <v>Month-To-Month</v>
      </c>
      <c r="D1324" s="7" t="n">
        <f aca="false">IF(ISBLANK(customer_churn_dataset!D1324),ROUND(MEDIAN(customer_churn_dataset!D$2:D$1501),2),IF(customer_churn_dataset!D1324&lt;0,ABS(customer_churn_dataset!D1324),customer_churn_dataset!D1324))</f>
        <v>19.94</v>
      </c>
      <c r="E1324" s="7" t="n">
        <f aca="false">IF(ISBLANK(customer_churn_dataset!E1324),0,MAX(0,customer_churn_dataset!E1324))</f>
        <v>26</v>
      </c>
      <c r="F1324" s="8" t="n">
        <f aca="false">IF(ISBLANK(customer_churn_dataset!F1324),"",customer_churn_dataset!F1324)</f>
        <v>45588</v>
      </c>
      <c r="G1324" s="7" t="str">
        <f aca="false">PROPER(TRIM(customer_churn_dataset!G1324))</f>
        <v>Bank Transfer</v>
      </c>
      <c r="H1324" s="7" t="n">
        <f aca="false">IF(ISBLANK(customer_churn_dataset!H1324),0,customer_churn_dataset!H1324)</f>
        <v>0</v>
      </c>
      <c r="I1324" s="7" t="n">
        <f aca="false">IF(ISBLANK(customer_churn_dataset!I1324),ROUND(MEDIAN(customer_churn_dataset!I$2:I$1501),1),MIN(100,MAX(0,customer_churn_dataset!I1324)))</f>
        <v>70.7</v>
      </c>
      <c r="J1324" s="7" t="n">
        <f aca="false">IF(ISBLANK(customer_churn_dataset!J1324),0,MAX(0,customer_churn_dataset!J1324))</f>
        <v>31</v>
      </c>
      <c r="K1324" s="7" t="n">
        <f aca="false">IF(ISBLANK(customer_churn_dataset!K1324),0,MIN(10,MAX(0,customer_churn_dataset!K1324)))</f>
        <v>6</v>
      </c>
      <c r="L1324" s="7" t="n">
        <f aca="false">IF(ISBLANK(customer_churn_dataset!L1324),0,MAX(0,customer_churn_dataset!L1324))</f>
        <v>3</v>
      </c>
      <c r="M1324" s="7" t="n">
        <f aca="false">IF(ISBLANK(customer_churn_dataset!M1324),0,customer_churn_dataset!M1324)</f>
        <v>0</v>
      </c>
      <c r="N1324" s="7" t="n">
        <f aca="false">IF(ISBLANK(customer_churn_dataset!N1324),0,MAX(0,customer_churn_dataset!N1324))</f>
        <v>518.44</v>
      </c>
      <c r="O1324" s="7" t="n">
        <f aca="false">IF(ISBLANK(customer_churn_dataset!O1324),0,customer_churn_dataset!O1324)</f>
        <v>0</v>
      </c>
      <c r="P1324" s="7" t="str">
        <f aca="false">IF(COUNTIF(customer_churn_dataset!$A$2:$A$1501,customer_churn_dataset!A1324)&gt;1,"Duplicate","Unique")</f>
        <v>Unique</v>
      </c>
    </row>
    <row r="1325" customFormat="false" ht="14.15" hidden="false" customHeight="true" outlineLevel="0" collapsed="false">
      <c r="A1325" s="7" t="str">
        <f aca="false">TRIM(customer_churn_dataset!A1325)</f>
        <v>CUST101114</v>
      </c>
      <c r="B1325" s="7" t="str">
        <f aca="false">PROPER(TRIM(customer_churn_dataset!B1325))</f>
        <v>Standard</v>
      </c>
      <c r="C1325" s="7" t="str">
        <f aca="false">PROPER(TRIM(customer_churn_dataset!C1325))</f>
        <v>Month-To-Month</v>
      </c>
      <c r="D1325" s="7" t="n">
        <f aca="false">IF(ISBLANK(customer_churn_dataset!D1325),ROUND(MEDIAN(customer_churn_dataset!D$2:D$1501),2),IF(customer_churn_dataset!D1325&lt;0,ABS(customer_churn_dataset!D1325),customer_churn_dataset!D1325))</f>
        <v>18.9</v>
      </c>
      <c r="E1325" s="7" t="n">
        <f aca="false">IF(ISBLANK(customer_churn_dataset!E1325),0,MAX(0,customer_churn_dataset!E1325))</f>
        <v>22</v>
      </c>
      <c r="F1325" s="8" t="n">
        <f aca="false">IF(ISBLANK(customer_churn_dataset!F1325),"",customer_churn_dataset!F1325)</f>
        <v>45589</v>
      </c>
      <c r="G1325" s="7" t="str">
        <f aca="false">PROPER(TRIM(customer_churn_dataset!G1325))</f>
        <v>Credit Card</v>
      </c>
      <c r="H1325" s="7" t="n">
        <f aca="false">IF(ISBLANK(customer_churn_dataset!H1325),0,customer_churn_dataset!H1325)</f>
        <v>1</v>
      </c>
      <c r="I1325" s="7" t="n">
        <f aca="false">IF(ISBLANK(customer_churn_dataset!I1325),ROUND(MEDIAN(customer_churn_dataset!I$2:I$1501),1),MIN(100,MAX(0,customer_churn_dataset!I1325)))</f>
        <v>32.6</v>
      </c>
      <c r="J1325" s="7" t="n">
        <f aca="false">IF(ISBLANK(customer_churn_dataset!J1325),0,MAX(0,customer_churn_dataset!J1325))</f>
        <v>11</v>
      </c>
      <c r="K1325" s="7" t="n">
        <f aca="false">IF(ISBLANK(customer_churn_dataset!K1325),0,MIN(10,MAX(0,customer_churn_dataset!K1325)))</f>
        <v>2</v>
      </c>
      <c r="L1325" s="7" t="n">
        <f aca="false">IF(ISBLANK(customer_churn_dataset!L1325),0,MAX(0,customer_churn_dataset!L1325))</f>
        <v>1</v>
      </c>
      <c r="M1325" s="7" t="n">
        <f aca="false">IF(ISBLANK(customer_churn_dataset!M1325),0,customer_churn_dataset!M1325)</f>
        <v>1</v>
      </c>
      <c r="N1325" s="7" t="n">
        <f aca="false">IF(ISBLANK(customer_churn_dataset!N1325),0,MAX(0,customer_churn_dataset!N1325))</f>
        <v>415.8</v>
      </c>
      <c r="O1325" s="7" t="n">
        <f aca="false">IF(ISBLANK(customer_churn_dataset!O1325),0,customer_churn_dataset!O1325)</f>
        <v>0</v>
      </c>
      <c r="P1325" s="7" t="str">
        <f aca="false">IF(COUNTIF(customer_churn_dataset!$A$2:$A$1501,customer_churn_dataset!A1325)&gt;1,"Duplicate","Unique")</f>
        <v>Unique</v>
      </c>
    </row>
    <row r="1326" customFormat="false" ht="14.15" hidden="false" customHeight="true" outlineLevel="0" collapsed="false">
      <c r="A1326" s="7" t="str">
        <f aca="false">TRIM(customer_churn_dataset!A1326)</f>
        <v>CUST100211</v>
      </c>
      <c r="B1326" s="7" t="str">
        <f aca="false">PROPER(TRIM(customer_churn_dataset!B1326))</f>
        <v>Standard</v>
      </c>
      <c r="C1326" s="7" t="str">
        <f aca="false">PROPER(TRIM(customer_churn_dataset!C1326))</f>
        <v>Month-To-Month</v>
      </c>
      <c r="D1326" s="7" t="n">
        <f aca="false">IF(ISBLANK(customer_churn_dataset!D1326),ROUND(MEDIAN(customer_churn_dataset!D$2:D$1501),2),IF(customer_churn_dataset!D1326&lt;0,ABS(customer_churn_dataset!D1326),customer_churn_dataset!D1326))</f>
        <v>21.7</v>
      </c>
      <c r="E1326" s="7" t="n">
        <f aca="false">IF(ISBLANK(customer_churn_dataset!E1326),0,MAX(0,customer_churn_dataset!E1326))</f>
        <v>5</v>
      </c>
      <c r="F1326" s="8" t="n">
        <f aca="false">IF(ISBLANK(customer_churn_dataset!F1326),"",customer_churn_dataset!F1326)</f>
        <v>45592</v>
      </c>
      <c r="G1326" s="7" t="str">
        <f aca="false">PROPER(TRIM(customer_churn_dataset!G1326))</f>
        <v>Credit Card</v>
      </c>
      <c r="H1326" s="7" t="n">
        <f aca="false">IF(ISBLANK(customer_churn_dataset!H1326),0,customer_churn_dataset!H1326)</f>
        <v>1</v>
      </c>
      <c r="I1326" s="7" t="n">
        <f aca="false">IF(ISBLANK(customer_churn_dataset!I1326),ROUND(MEDIAN(customer_churn_dataset!I$2:I$1501),1),MIN(100,MAX(0,customer_churn_dataset!I1326)))</f>
        <v>53</v>
      </c>
      <c r="J1326" s="7" t="n">
        <f aca="false">IF(ISBLANK(customer_churn_dataset!J1326),0,MAX(0,customer_churn_dataset!J1326))</f>
        <v>18</v>
      </c>
      <c r="K1326" s="7" t="n">
        <f aca="false">IF(ISBLANK(customer_churn_dataset!K1326),0,MIN(10,MAX(0,customer_churn_dataset!K1326)))</f>
        <v>4</v>
      </c>
      <c r="L1326" s="7" t="n">
        <f aca="false">IF(ISBLANK(customer_churn_dataset!L1326),0,MAX(0,customer_churn_dataset!L1326))</f>
        <v>0</v>
      </c>
      <c r="M1326" s="7" t="n">
        <f aca="false">IF(ISBLANK(customer_churn_dataset!M1326),0,customer_churn_dataset!M1326)</f>
        <v>0</v>
      </c>
      <c r="N1326" s="7" t="n">
        <f aca="false">IF(ISBLANK(customer_churn_dataset!N1326),0,MAX(0,customer_churn_dataset!N1326))</f>
        <v>108.5</v>
      </c>
      <c r="O1326" s="7" t="n">
        <f aca="false">IF(ISBLANK(customer_churn_dataset!O1326),0,customer_churn_dataset!O1326)</f>
        <v>0</v>
      </c>
      <c r="P1326" s="7" t="str">
        <f aca="false">IF(COUNTIF(customer_churn_dataset!$A$2:$A$1501,customer_churn_dataset!A1326)&gt;1,"Duplicate","Unique")</f>
        <v>Unique</v>
      </c>
    </row>
    <row r="1327" customFormat="false" ht="14.15" hidden="false" customHeight="true" outlineLevel="0" collapsed="false">
      <c r="A1327" s="7" t="str">
        <f aca="false">TRIM(customer_churn_dataset!A1327)</f>
        <v>CUST101372</v>
      </c>
      <c r="B1327" s="7" t="str">
        <f aca="false">PROPER(TRIM(customer_churn_dataset!B1327))</f>
        <v>Premium</v>
      </c>
      <c r="C1327" s="7" t="str">
        <f aca="false">PROPER(TRIM(customer_churn_dataset!C1327))</f>
        <v>Month-To-Month</v>
      </c>
      <c r="D1327" s="7" t="n">
        <f aca="false">IF(ISBLANK(customer_churn_dataset!D1327),ROUND(MEDIAN(customer_churn_dataset!D$2:D$1501),2),IF(customer_churn_dataset!D1327&lt;0,ABS(customer_churn_dataset!D1327),customer_churn_dataset!D1327))</f>
        <v>40.55</v>
      </c>
      <c r="E1327" s="7" t="n">
        <f aca="false">IF(ISBLANK(customer_churn_dataset!E1327),0,MAX(0,customer_churn_dataset!E1327))</f>
        <v>44</v>
      </c>
      <c r="F1327" s="8" t="n">
        <f aca="false">IF(ISBLANK(customer_churn_dataset!F1327),"",customer_churn_dataset!F1327)</f>
        <v>45596</v>
      </c>
      <c r="G1327" s="7" t="str">
        <f aca="false">PROPER(TRIM(customer_churn_dataset!G1327))</f>
        <v>Paypal</v>
      </c>
      <c r="H1327" s="7" t="n">
        <f aca="false">IF(ISBLANK(customer_churn_dataset!H1327),0,customer_churn_dataset!H1327)</f>
        <v>1</v>
      </c>
      <c r="I1327" s="7" t="n">
        <f aca="false">IF(ISBLANK(customer_churn_dataset!I1327),ROUND(MEDIAN(customer_churn_dataset!I$2:I$1501),1),MIN(100,MAX(0,customer_churn_dataset!I1327)))</f>
        <v>42.2</v>
      </c>
      <c r="J1327" s="7" t="n">
        <f aca="false">IF(ISBLANK(customer_churn_dataset!J1327),0,MAX(0,customer_churn_dataset!J1327))</f>
        <v>6</v>
      </c>
      <c r="K1327" s="7" t="n">
        <f aca="false">IF(ISBLANK(customer_churn_dataset!K1327),0,MIN(10,MAX(0,customer_churn_dataset!K1327)))</f>
        <v>2</v>
      </c>
      <c r="L1327" s="7" t="n">
        <f aca="false">IF(ISBLANK(customer_churn_dataset!L1327),0,MAX(0,customer_churn_dataset!L1327))</f>
        <v>2</v>
      </c>
      <c r="M1327" s="7" t="n">
        <f aca="false">IF(ISBLANK(customer_churn_dataset!M1327),0,customer_churn_dataset!M1327)</f>
        <v>0</v>
      </c>
      <c r="N1327" s="7" t="n">
        <f aca="false">IF(ISBLANK(customer_churn_dataset!N1327),0,MAX(0,customer_churn_dataset!N1327))</f>
        <v>1784.2</v>
      </c>
      <c r="O1327" s="7" t="n">
        <f aca="false">IF(ISBLANK(customer_churn_dataset!O1327),0,customer_churn_dataset!O1327)</f>
        <v>0</v>
      </c>
      <c r="P1327" s="7" t="str">
        <f aca="false">IF(COUNTIF(customer_churn_dataset!$A$2:$A$1501,customer_churn_dataset!A1327)&gt;1,"Duplicate","Unique")</f>
        <v>Unique</v>
      </c>
    </row>
    <row r="1328" customFormat="false" ht="14.15" hidden="false" customHeight="true" outlineLevel="0" collapsed="false">
      <c r="A1328" s="7" t="str">
        <f aca="false">TRIM(customer_churn_dataset!A1328)</f>
        <v>CUST100082</v>
      </c>
      <c r="B1328" s="7" t="str">
        <f aca="false">PROPER(TRIM(customer_churn_dataset!B1328))</f>
        <v>Basic</v>
      </c>
      <c r="C1328" s="7" t="str">
        <f aca="false">PROPER(TRIM(customer_churn_dataset!C1328))</f>
        <v>One Year</v>
      </c>
      <c r="D1328" s="7" t="n">
        <f aca="false">IF(ISBLANK(customer_churn_dataset!D1328),ROUND(MEDIAN(customer_churn_dataset!D$2:D$1501),2),IF(customer_churn_dataset!D1328&lt;0,ABS(customer_churn_dataset!D1328),customer_churn_dataset!D1328))</f>
        <v>9.41</v>
      </c>
      <c r="E1328" s="7" t="n">
        <f aca="false">IF(ISBLANK(customer_churn_dataset!E1328),0,MAX(0,customer_churn_dataset!E1328))</f>
        <v>35</v>
      </c>
      <c r="F1328" s="8" t="n">
        <f aca="false">IF(ISBLANK(customer_churn_dataset!F1328),"",customer_churn_dataset!F1328)</f>
        <v>45598</v>
      </c>
      <c r="G1328" s="7" t="str">
        <f aca="false">PROPER(TRIM(customer_churn_dataset!G1328))</f>
        <v>Credit Card</v>
      </c>
      <c r="H1328" s="7" t="n">
        <f aca="false">IF(ISBLANK(customer_churn_dataset!H1328),0,customer_churn_dataset!H1328)</f>
        <v>0</v>
      </c>
      <c r="I1328" s="7" t="n">
        <f aca="false">IF(ISBLANK(customer_churn_dataset!I1328),ROUND(MEDIAN(customer_churn_dataset!I$2:I$1501),1),MIN(100,MAX(0,customer_churn_dataset!I1328)))</f>
        <v>73.4</v>
      </c>
      <c r="J1328" s="7" t="n">
        <f aca="false">IF(ISBLANK(customer_churn_dataset!J1328),0,MAX(0,customer_churn_dataset!J1328))</f>
        <v>22</v>
      </c>
      <c r="K1328" s="7" t="n">
        <f aca="false">IF(ISBLANK(customer_churn_dataset!K1328),0,MIN(10,MAX(0,customer_churn_dataset!K1328)))</f>
        <v>6</v>
      </c>
      <c r="L1328" s="7" t="n">
        <f aca="false">IF(ISBLANK(customer_churn_dataset!L1328),0,MAX(0,customer_churn_dataset!L1328))</f>
        <v>2</v>
      </c>
      <c r="M1328" s="7" t="n">
        <f aca="false">IF(ISBLANK(customer_churn_dataset!M1328),0,customer_churn_dataset!M1328)</f>
        <v>0</v>
      </c>
      <c r="N1328" s="7" t="n">
        <f aca="false">IF(ISBLANK(customer_churn_dataset!N1328),0,MAX(0,customer_churn_dataset!N1328))</f>
        <v>329.35</v>
      </c>
      <c r="O1328" s="7" t="n">
        <f aca="false">IF(ISBLANK(customer_churn_dataset!O1328),0,customer_churn_dataset!O1328)</f>
        <v>1</v>
      </c>
      <c r="P1328" s="7" t="str">
        <f aca="false">IF(COUNTIF(customer_churn_dataset!$A$2:$A$1501,customer_churn_dataset!A1328)&gt;1,"Duplicate","Unique")</f>
        <v>Unique</v>
      </c>
    </row>
    <row r="1329" customFormat="false" ht="14.15" hidden="false" customHeight="true" outlineLevel="0" collapsed="false">
      <c r="A1329" s="7" t="str">
        <f aca="false">TRIM(customer_churn_dataset!A1329)</f>
        <v>CUST100019</v>
      </c>
      <c r="B1329" s="7" t="str">
        <f aca="false">PROPER(TRIM(customer_churn_dataset!B1329))</f>
        <v>Basic</v>
      </c>
      <c r="C1329" s="7" t="str">
        <f aca="false">PROPER(TRIM(customer_churn_dataset!C1329))</f>
        <v>Two Year</v>
      </c>
      <c r="D1329" s="7" t="n">
        <f aca="false">IF(ISBLANK(customer_churn_dataset!D1329),ROUND(MEDIAN(customer_churn_dataset!D$2:D$1501),2),IF(customer_churn_dataset!D1329&lt;0,ABS(customer_churn_dataset!D1329),customer_churn_dataset!D1329))</f>
        <v>8.89</v>
      </c>
      <c r="E1329" s="7" t="n">
        <f aca="false">IF(ISBLANK(customer_churn_dataset!E1329),0,MAX(0,customer_churn_dataset!E1329))</f>
        <v>47</v>
      </c>
      <c r="F1329" s="8" t="n">
        <f aca="false">IF(ISBLANK(customer_churn_dataset!F1329),"",customer_churn_dataset!F1329)</f>
        <v>45598</v>
      </c>
      <c r="G1329" s="7" t="str">
        <f aca="false">PROPER(TRIM(customer_churn_dataset!G1329))</f>
        <v>Paypal</v>
      </c>
      <c r="H1329" s="7" t="n">
        <f aca="false">IF(ISBLANK(customer_churn_dataset!H1329),0,customer_churn_dataset!H1329)</f>
        <v>0</v>
      </c>
      <c r="I1329" s="7" t="n">
        <f aca="false">IF(ISBLANK(customer_churn_dataset!I1329),ROUND(MEDIAN(customer_churn_dataset!I$2:I$1501),1),MIN(100,MAX(0,customer_churn_dataset!I1329)))</f>
        <v>82.4</v>
      </c>
      <c r="J1329" s="7" t="n">
        <f aca="false">IF(ISBLANK(customer_churn_dataset!J1329),0,MAX(0,customer_churn_dataset!J1329))</f>
        <v>20</v>
      </c>
      <c r="K1329" s="7" t="n">
        <f aca="false">IF(ISBLANK(customer_churn_dataset!K1329),0,MIN(10,MAX(0,customer_churn_dataset!K1329)))</f>
        <v>8</v>
      </c>
      <c r="L1329" s="7" t="n">
        <f aca="false">IF(ISBLANK(customer_churn_dataset!L1329),0,MAX(0,customer_churn_dataset!L1329))</f>
        <v>0</v>
      </c>
      <c r="M1329" s="7" t="n">
        <f aca="false">IF(ISBLANK(customer_churn_dataset!M1329),0,customer_churn_dataset!M1329)</f>
        <v>0</v>
      </c>
      <c r="N1329" s="7" t="n">
        <f aca="false">IF(ISBLANK(customer_churn_dataset!N1329),0,MAX(0,customer_churn_dataset!N1329))</f>
        <v>417.83</v>
      </c>
      <c r="O1329" s="7" t="n">
        <f aca="false">IF(ISBLANK(customer_churn_dataset!O1329),0,customer_churn_dataset!O1329)</f>
        <v>0</v>
      </c>
      <c r="P1329" s="7" t="str">
        <f aca="false">IF(COUNTIF(customer_churn_dataset!$A$2:$A$1501,customer_churn_dataset!A1329)&gt;1,"Duplicate","Unique")</f>
        <v>Unique</v>
      </c>
    </row>
    <row r="1330" customFormat="false" ht="14.15" hidden="false" customHeight="true" outlineLevel="0" collapsed="false">
      <c r="A1330" s="7" t="str">
        <f aca="false">TRIM(customer_churn_dataset!A1330)</f>
        <v>CUST101322</v>
      </c>
      <c r="B1330" s="7" t="str">
        <f aca="false">PROPER(TRIM(customer_churn_dataset!B1330))</f>
        <v>Premium</v>
      </c>
      <c r="C1330" s="7" t="str">
        <f aca="false">PROPER(TRIM(customer_churn_dataset!C1330))</f>
        <v>Month-To-Month</v>
      </c>
      <c r="D1330" s="7" t="n">
        <f aca="false">IF(ISBLANK(customer_churn_dataset!D1330),ROUND(MEDIAN(customer_churn_dataset!D$2:D$1501),2),IF(customer_churn_dataset!D1330&lt;0,ABS(customer_churn_dataset!D1330),customer_churn_dataset!D1330))</f>
        <v>41.98</v>
      </c>
      <c r="E1330" s="7" t="n">
        <f aca="false">IF(ISBLANK(customer_churn_dataset!E1330),0,MAX(0,customer_churn_dataset!E1330))</f>
        <v>3</v>
      </c>
      <c r="F1330" s="8" t="n">
        <f aca="false">IF(ISBLANK(customer_churn_dataset!F1330),"",customer_churn_dataset!F1330)</f>
        <v>45599</v>
      </c>
      <c r="G1330" s="7" t="str">
        <f aca="false">PROPER(TRIM(customer_churn_dataset!G1330))</f>
        <v>Credit Card</v>
      </c>
      <c r="H1330" s="7" t="n">
        <f aca="false">IF(ISBLANK(customer_churn_dataset!H1330),0,customer_churn_dataset!H1330)</f>
        <v>1</v>
      </c>
      <c r="I1330" s="7" t="n">
        <f aca="false">IF(ISBLANK(customer_churn_dataset!I1330),ROUND(MEDIAN(customer_churn_dataset!I$2:I$1501),1),MIN(100,MAX(0,customer_churn_dataset!I1330)))</f>
        <v>58.5</v>
      </c>
      <c r="J1330" s="7" t="n">
        <f aca="false">IF(ISBLANK(customer_churn_dataset!J1330),0,MAX(0,customer_churn_dataset!J1330))</f>
        <v>13</v>
      </c>
      <c r="K1330" s="7" t="n">
        <f aca="false">IF(ISBLANK(customer_churn_dataset!K1330),0,MIN(10,MAX(0,customer_churn_dataset!K1330)))</f>
        <v>3</v>
      </c>
      <c r="L1330" s="7" t="n">
        <f aca="false">IF(ISBLANK(customer_churn_dataset!L1330),0,MAX(0,customer_churn_dataset!L1330))</f>
        <v>1</v>
      </c>
      <c r="M1330" s="7" t="n">
        <f aca="false">IF(ISBLANK(customer_churn_dataset!M1330),0,customer_churn_dataset!M1330)</f>
        <v>0</v>
      </c>
      <c r="N1330" s="7" t="n">
        <f aca="false">IF(ISBLANK(customer_churn_dataset!N1330),0,MAX(0,customer_churn_dataset!N1330))</f>
        <v>125.94</v>
      </c>
      <c r="O1330" s="7" t="n">
        <f aca="false">IF(ISBLANK(customer_churn_dataset!O1330),0,customer_churn_dataset!O1330)</f>
        <v>0</v>
      </c>
      <c r="P1330" s="7" t="str">
        <f aca="false">IF(COUNTIF(customer_churn_dataset!$A$2:$A$1501,customer_churn_dataset!A1330)&gt;1,"Duplicate","Unique")</f>
        <v>Unique</v>
      </c>
    </row>
    <row r="1331" customFormat="false" ht="14.15" hidden="false" customHeight="true" outlineLevel="0" collapsed="false">
      <c r="A1331" s="7" t="str">
        <f aca="false">TRIM(customer_churn_dataset!A1331)</f>
        <v>CUST101011</v>
      </c>
      <c r="B1331" s="7" t="str">
        <f aca="false">PROPER(TRIM(customer_churn_dataset!B1331))</f>
        <v>Premium</v>
      </c>
      <c r="C1331" s="7" t="str">
        <f aca="false">PROPER(TRIM(customer_churn_dataset!C1331))</f>
        <v>One Year</v>
      </c>
      <c r="D1331" s="7" t="n">
        <f aca="false">IF(ISBLANK(customer_churn_dataset!D1331),ROUND(MEDIAN(customer_churn_dataset!D$2:D$1501),2),IF(customer_churn_dataset!D1331&lt;0,ABS(customer_churn_dataset!D1331),customer_churn_dataset!D1331))</f>
        <v>39.91</v>
      </c>
      <c r="E1331" s="7" t="n">
        <f aca="false">IF(ISBLANK(customer_churn_dataset!E1331),0,MAX(0,customer_churn_dataset!E1331))</f>
        <v>24</v>
      </c>
      <c r="F1331" s="8" t="n">
        <f aca="false">IF(ISBLANK(customer_churn_dataset!F1331),"",customer_churn_dataset!F1331)</f>
        <v>45600</v>
      </c>
      <c r="G1331" s="7" t="str">
        <f aca="false">PROPER(TRIM(customer_churn_dataset!G1331))</f>
        <v>Credit Card</v>
      </c>
      <c r="H1331" s="7" t="n">
        <f aca="false">IF(ISBLANK(customer_churn_dataset!H1331),0,customer_churn_dataset!H1331)</f>
        <v>0</v>
      </c>
      <c r="I1331" s="7" t="n">
        <f aca="false">IF(ISBLANK(customer_churn_dataset!I1331),ROUND(MEDIAN(customer_churn_dataset!I$2:I$1501),1),MIN(100,MAX(0,customer_churn_dataset!I1331)))</f>
        <v>47.4</v>
      </c>
      <c r="J1331" s="7" t="n">
        <f aca="false">IF(ISBLANK(customer_churn_dataset!J1331),0,MAX(0,customer_churn_dataset!J1331))</f>
        <v>12</v>
      </c>
      <c r="K1331" s="7" t="n">
        <f aca="false">IF(ISBLANK(customer_churn_dataset!K1331),0,MIN(10,MAX(0,customer_churn_dataset!K1331)))</f>
        <v>5</v>
      </c>
      <c r="L1331" s="7" t="n">
        <f aca="false">IF(ISBLANK(customer_churn_dataset!L1331),0,MAX(0,customer_churn_dataset!L1331))</f>
        <v>3</v>
      </c>
      <c r="M1331" s="7" t="n">
        <f aca="false">IF(ISBLANK(customer_churn_dataset!M1331),0,customer_churn_dataset!M1331)</f>
        <v>0</v>
      </c>
      <c r="N1331" s="7" t="n">
        <f aca="false">IF(ISBLANK(customer_churn_dataset!N1331),0,MAX(0,customer_churn_dataset!N1331))</f>
        <v>957.84</v>
      </c>
      <c r="O1331" s="7" t="n">
        <f aca="false">IF(ISBLANK(customer_churn_dataset!O1331),0,customer_churn_dataset!O1331)</f>
        <v>1</v>
      </c>
      <c r="P1331" s="7" t="str">
        <f aca="false">IF(COUNTIF(customer_churn_dataset!$A$2:$A$1501,customer_churn_dataset!A1331)&gt;1,"Duplicate","Unique")</f>
        <v>Unique</v>
      </c>
    </row>
    <row r="1332" customFormat="false" ht="14.15" hidden="false" customHeight="true" outlineLevel="0" collapsed="false">
      <c r="A1332" s="7" t="str">
        <f aca="false">TRIM(customer_churn_dataset!A1332)</f>
        <v>CUST100147</v>
      </c>
      <c r="B1332" s="7" t="str">
        <f aca="false">PROPER(TRIM(customer_churn_dataset!B1332))</f>
        <v>Standard</v>
      </c>
      <c r="C1332" s="7" t="str">
        <f aca="false">PROPER(TRIM(customer_churn_dataset!C1332))</f>
        <v>One Year</v>
      </c>
      <c r="D1332" s="7" t="n">
        <f aca="false">IF(ISBLANK(customer_churn_dataset!D1332),ROUND(MEDIAN(customer_churn_dataset!D$2:D$1501),2),IF(customer_churn_dataset!D1332&lt;0,ABS(customer_churn_dataset!D1332),customer_churn_dataset!D1332))</f>
        <v>19.98</v>
      </c>
      <c r="E1332" s="7" t="n">
        <f aca="false">IF(ISBLANK(customer_churn_dataset!E1332),0,MAX(0,customer_churn_dataset!E1332))</f>
        <v>22</v>
      </c>
      <c r="F1332" s="8" t="n">
        <f aca="false">IF(ISBLANK(customer_churn_dataset!F1332),"",customer_churn_dataset!F1332)</f>
        <v>45602</v>
      </c>
      <c r="G1332" s="7" t="str">
        <f aca="false">PROPER(TRIM(customer_churn_dataset!G1332))</f>
        <v>Bank Transfer</v>
      </c>
      <c r="H1332" s="7" t="n">
        <f aca="false">IF(ISBLANK(customer_churn_dataset!H1332),0,customer_churn_dataset!H1332)</f>
        <v>0</v>
      </c>
      <c r="I1332" s="7" t="n">
        <f aca="false">IF(ISBLANK(customer_churn_dataset!I1332),ROUND(MEDIAN(customer_churn_dataset!I$2:I$1501),1),MIN(100,MAX(0,customer_churn_dataset!I1332)))</f>
        <v>80.5</v>
      </c>
      <c r="J1332" s="7" t="n">
        <f aca="false">IF(ISBLANK(customer_churn_dataset!J1332),0,MAX(0,customer_churn_dataset!J1332))</f>
        <v>24</v>
      </c>
      <c r="K1332" s="7" t="n">
        <f aca="false">IF(ISBLANK(customer_churn_dataset!K1332),0,MIN(10,MAX(0,customer_churn_dataset!K1332)))</f>
        <v>9</v>
      </c>
      <c r="L1332" s="7" t="n">
        <f aca="false">IF(ISBLANK(customer_churn_dataset!L1332),0,MAX(0,customer_churn_dataset!L1332))</f>
        <v>1</v>
      </c>
      <c r="M1332" s="7" t="n">
        <f aca="false">IF(ISBLANK(customer_churn_dataset!M1332),0,customer_churn_dataset!M1332)</f>
        <v>1</v>
      </c>
      <c r="N1332" s="7" t="n">
        <f aca="false">IF(ISBLANK(customer_churn_dataset!N1332),0,MAX(0,customer_churn_dataset!N1332))</f>
        <v>439.56</v>
      </c>
      <c r="O1332" s="7" t="n">
        <f aca="false">IF(ISBLANK(customer_churn_dataset!O1332),0,customer_churn_dataset!O1332)</f>
        <v>0</v>
      </c>
      <c r="P1332" s="7" t="str">
        <f aca="false">IF(COUNTIF(customer_churn_dataset!$A$2:$A$1501,customer_churn_dataset!A1332)&gt;1,"Duplicate","Unique")</f>
        <v>Unique</v>
      </c>
    </row>
    <row r="1333" customFormat="false" ht="14.15" hidden="false" customHeight="true" outlineLevel="0" collapsed="false">
      <c r="A1333" s="7" t="str">
        <f aca="false">TRIM(customer_churn_dataset!A1333)</f>
        <v>CUST101160</v>
      </c>
      <c r="B1333" s="7" t="str">
        <f aca="false">PROPER(TRIM(customer_churn_dataset!B1333))</f>
        <v>Premium</v>
      </c>
      <c r="C1333" s="7" t="str">
        <f aca="false">PROPER(TRIM(customer_churn_dataset!C1333))</f>
        <v>One Year</v>
      </c>
      <c r="D1333" s="7" t="n">
        <f aca="false">IF(ISBLANK(customer_churn_dataset!D1333),ROUND(MEDIAN(customer_churn_dataset!D$2:D$1501),2),IF(customer_churn_dataset!D1333&lt;0,ABS(customer_churn_dataset!D1333),customer_churn_dataset!D1333))</f>
        <v>40.43</v>
      </c>
      <c r="E1333" s="7" t="n">
        <f aca="false">IF(ISBLANK(customer_churn_dataset!E1333),0,MAX(0,customer_churn_dataset!E1333))</f>
        <v>45</v>
      </c>
      <c r="F1333" s="8" t="n">
        <f aca="false">IF(ISBLANK(customer_churn_dataset!F1333),"",customer_churn_dataset!F1333)</f>
        <v>45602</v>
      </c>
      <c r="G1333" s="7" t="str">
        <f aca="false">PROPER(TRIM(customer_churn_dataset!G1333))</f>
        <v>Paypal</v>
      </c>
      <c r="H1333" s="7" t="n">
        <f aca="false">IF(ISBLANK(customer_churn_dataset!H1333),0,customer_churn_dataset!H1333)</f>
        <v>0</v>
      </c>
      <c r="I1333" s="7" t="n">
        <f aca="false">IF(ISBLANK(customer_churn_dataset!I1333),ROUND(MEDIAN(customer_churn_dataset!I$2:I$1501),1),MIN(100,MAX(0,customer_churn_dataset!I1333)))</f>
        <v>39.8</v>
      </c>
      <c r="J1333" s="7" t="n">
        <f aca="false">IF(ISBLANK(customer_churn_dataset!J1333),0,MAX(0,customer_churn_dataset!J1333))</f>
        <v>13</v>
      </c>
      <c r="K1333" s="7" t="n">
        <f aca="false">IF(ISBLANK(customer_churn_dataset!K1333),0,MIN(10,MAX(0,customer_churn_dataset!K1333)))</f>
        <v>4</v>
      </c>
      <c r="L1333" s="7" t="n">
        <f aca="false">IF(ISBLANK(customer_churn_dataset!L1333),0,MAX(0,customer_churn_dataset!L1333))</f>
        <v>2</v>
      </c>
      <c r="M1333" s="7" t="n">
        <f aca="false">IF(ISBLANK(customer_churn_dataset!M1333),0,customer_churn_dataset!M1333)</f>
        <v>0</v>
      </c>
      <c r="N1333" s="7" t="n">
        <f aca="false">IF(ISBLANK(customer_churn_dataset!N1333),0,MAX(0,customer_churn_dataset!N1333))</f>
        <v>1819.35</v>
      </c>
      <c r="O1333" s="7" t="n">
        <f aca="false">IF(ISBLANK(customer_churn_dataset!O1333),0,customer_churn_dataset!O1333)</f>
        <v>0</v>
      </c>
      <c r="P1333" s="7" t="str">
        <f aca="false">IF(COUNTIF(customer_churn_dataset!$A$2:$A$1501,customer_churn_dataset!A1333)&gt;1,"Duplicate","Unique")</f>
        <v>Unique</v>
      </c>
    </row>
    <row r="1334" customFormat="false" ht="14.15" hidden="false" customHeight="true" outlineLevel="0" collapsed="false">
      <c r="A1334" s="7" t="str">
        <f aca="false">TRIM(customer_churn_dataset!A1334)</f>
        <v>CUST101213</v>
      </c>
      <c r="B1334" s="7" t="str">
        <f aca="false">PROPER(TRIM(customer_churn_dataset!B1334))</f>
        <v>Standard</v>
      </c>
      <c r="C1334" s="7" t="str">
        <f aca="false">PROPER(TRIM(customer_churn_dataset!C1334))</f>
        <v>One Year</v>
      </c>
      <c r="D1334" s="7" t="n">
        <f aca="false">IF(ISBLANK(customer_churn_dataset!D1334),ROUND(MEDIAN(customer_churn_dataset!D$2:D$1501),2),IF(customer_churn_dataset!D1334&lt;0,ABS(customer_churn_dataset!D1334),customer_churn_dataset!D1334))</f>
        <v>20.49</v>
      </c>
      <c r="E1334" s="7" t="n">
        <f aca="false">IF(ISBLANK(customer_churn_dataset!E1334),0,MAX(0,customer_churn_dataset!E1334))</f>
        <v>9</v>
      </c>
      <c r="F1334" s="8" t="n">
        <f aca="false">IF(ISBLANK(customer_churn_dataset!F1334),"",customer_churn_dataset!F1334)</f>
        <v>45605</v>
      </c>
      <c r="G1334" s="7" t="str">
        <f aca="false">PROPER(TRIM(customer_churn_dataset!G1334))</f>
        <v>Bank Transfer</v>
      </c>
      <c r="H1334" s="7" t="n">
        <f aca="false">IF(ISBLANK(customer_churn_dataset!H1334),0,customer_churn_dataset!H1334)</f>
        <v>1</v>
      </c>
      <c r="I1334" s="7" t="n">
        <f aca="false">IF(ISBLANK(customer_churn_dataset!I1334),ROUND(MEDIAN(customer_churn_dataset!I$2:I$1501),1),MIN(100,MAX(0,customer_churn_dataset!I1334)))</f>
        <v>63</v>
      </c>
      <c r="J1334" s="7" t="n">
        <f aca="false">IF(ISBLANK(customer_churn_dataset!J1334),0,MAX(0,customer_churn_dataset!J1334))</f>
        <v>20</v>
      </c>
      <c r="K1334" s="7" t="n">
        <f aca="false">IF(ISBLANK(customer_churn_dataset!K1334),0,MIN(10,MAX(0,customer_churn_dataset!K1334)))</f>
        <v>6</v>
      </c>
      <c r="L1334" s="7" t="n">
        <f aca="false">IF(ISBLANK(customer_churn_dataset!L1334),0,MAX(0,customer_churn_dataset!L1334))</f>
        <v>1</v>
      </c>
      <c r="M1334" s="7" t="n">
        <f aca="false">IF(ISBLANK(customer_churn_dataset!M1334),0,customer_churn_dataset!M1334)</f>
        <v>1</v>
      </c>
      <c r="N1334" s="7" t="n">
        <f aca="false">IF(ISBLANK(customer_churn_dataset!N1334),0,MAX(0,customer_churn_dataset!N1334))</f>
        <v>184.41</v>
      </c>
      <c r="O1334" s="7" t="n">
        <f aca="false">IF(ISBLANK(customer_churn_dataset!O1334),0,customer_churn_dataset!O1334)</f>
        <v>0</v>
      </c>
      <c r="P1334" s="7" t="str">
        <f aca="false">IF(COUNTIF(customer_churn_dataset!$A$2:$A$1501,customer_churn_dataset!A1334)&gt;1,"Duplicate","Unique")</f>
        <v>Unique</v>
      </c>
    </row>
    <row r="1335" customFormat="false" ht="14.15" hidden="false" customHeight="true" outlineLevel="0" collapsed="false">
      <c r="A1335" s="7" t="str">
        <f aca="false">TRIM(customer_churn_dataset!A1335)</f>
        <v>CUST101171</v>
      </c>
      <c r="B1335" s="7" t="str">
        <f aca="false">PROPER(TRIM(customer_churn_dataset!B1335))</f>
        <v>Premium</v>
      </c>
      <c r="C1335" s="7" t="str">
        <f aca="false">PROPER(TRIM(customer_churn_dataset!C1335))</f>
        <v>One Year</v>
      </c>
      <c r="D1335" s="7" t="n">
        <f aca="false">IF(ISBLANK(customer_churn_dataset!D1335),ROUND(MEDIAN(customer_churn_dataset!D$2:D$1501),2),IF(customer_churn_dataset!D1335&lt;0,ABS(customer_churn_dataset!D1335),customer_churn_dataset!D1335))</f>
        <v>39.92</v>
      </c>
      <c r="E1335" s="7" t="n">
        <f aca="false">IF(ISBLANK(customer_churn_dataset!E1335),0,MAX(0,customer_churn_dataset!E1335))</f>
        <v>45</v>
      </c>
      <c r="F1335" s="8" t="n">
        <f aca="false">IF(ISBLANK(customer_churn_dataset!F1335),"",customer_churn_dataset!F1335)</f>
        <v>45605</v>
      </c>
      <c r="G1335" s="7" t="str">
        <f aca="false">PROPER(TRIM(customer_churn_dataset!G1335))</f>
        <v>Credit Card</v>
      </c>
      <c r="H1335" s="7" t="n">
        <f aca="false">IF(ISBLANK(customer_churn_dataset!H1335),0,customer_churn_dataset!H1335)</f>
        <v>1</v>
      </c>
      <c r="I1335" s="7" t="n">
        <f aca="false">IF(ISBLANK(customer_churn_dataset!I1335),ROUND(MEDIAN(customer_churn_dataset!I$2:I$1501),1),MIN(100,MAX(0,customer_churn_dataset!I1335)))</f>
        <v>56.2</v>
      </c>
      <c r="J1335" s="7" t="n">
        <f aca="false">IF(ISBLANK(customer_churn_dataset!J1335),0,MAX(0,customer_churn_dataset!J1335))</f>
        <v>17</v>
      </c>
      <c r="K1335" s="7" t="n">
        <f aca="false">IF(ISBLANK(customer_churn_dataset!K1335),0,MIN(10,MAX(0,customer_churn_dataset!K1335)))</f>
        <v>5</v>
      </c>
      <c r="L1335" s="7" t="n">
        <f aca="false">IF(ISBLANK(customer_churn_dataset!L1335),0,MAX(0,customer_churn_dataset!L1335))</f>
        <v>1</v>
      </c>
      <c r="M1335" s="7" t="n">
        <f aca="false">IF(ISBLANK(customer_churn_dataset!M1335),0,customer_churn_dataset!M1335)</f>
        <v>0</v>
      </c>
      <c r="N1335" s="7" t="n">
        <f aca="false">IF(ISBLANK(customer_churn_dataset!N1335),0,MAX(0,customer_churn_dataset!N1335))</f>
        <v>1796.4</v>
      </c>
      <c r="O1335" s="7" t="n">
        <f aca="false">IF(ISBLANK(customer_churn_dataset!O1335),0,customer_churn_dataset!O1335)</f>
        <v>0</v>
      </c>
      <c r="P1335" s="7" t="str">
        <f aca="false">IF(COUNTIF(customer_churn_dataset!$A$2:$A$1501,customer_churn_dataset!A1335)&gt;1,"Duplicate","Unique")</f>
        <v>Unique</v>
      </c>
    </row>
    <row r="1336" customFormat="false" ht="14.15" hidden="false" customHeight="true" outlineLevel="0" collapsed="false">
      <c r="A1336" s="7" t="str">
        <f aca="false">TRIM(customer_churn_dataset!A1336)</f>
        <v>CUST100411</v>
      </c>
      <c r="B1336" s="7" t="str">
        <f aca="false">PROPER(TRIM(customer_churn_dataset!B1336))</f>
        <v>Premium</v>
      </c>
      <c r="C1336" s="7" t="str">
        <f aca="false">PROPER(TRIM(customer_churn_dataset!C1336))</f>
        <v>One Year</v>
      </c>
      <c r="D1336" s="7" t="n">
        <f aca="false">IF(ISBLANK(customer_churn_dataset!D1336),ROUND(MEDIAN(customer_churn_dataset!D$2:D$1501),2),IF(customer_churn_dataset!D1336&lt;0,ABS(customer_churn_dataset!D1336),customer_churn_dataset!D1336))</f>
        <v>38.74</v>
      </c>
      <c r="E1336" s="7" t="n">
        <f aca="false">IF(ISBLANK(customer_churn_dataset!E1336),0,MAX(0,customer_churn_dataset!E1336))</f>
        <v>8</v>
      </c>
      <c r="F1336" s="8" t="n">
        <f aca="false">IF(ISBLANK(customer_churn_dataset!F1336),"",customer_churn_dataset!F1336)</f>
        <v>45607</v>
      </c>
      <c r="G1336" s="7" t="str">
        <f aca="false">PROPER(TRIM(customer_churn_dataset!G1336))</f>
        <v>Paypal</v>
      </c>
      <c r="H1336" s="7" t="n">
        <f aca="false">IF(ISBLANK(customer_churn_dataset!H1336),0,customer_churn_dataset!H1336)</f>
        <v>0</v>
      </c>
      <c r="I1336" s="7" t="n">
        <f aca="false">IF(ISBLANK(customer_churn_dataset!I1336),ROUND(MEDIAN(customer_churn_dataset!I$2:I$1501),1),MIN(100,MAX(0,customer_churn_dataset!I1336)))</f>
        <v>74.3</v>
      </c>
      <c r="J1336" s="7" t="n">
        <f aca="false">IF(ISBLANK(customer_churn_dataset!J1336),0,MAX(0,customer_churn_dataset!J1336))</f>
        <v>15</v>
      </c>
      <c r="K1336" s="7" t="n">
        <f aca="false">IF(ISBLANK(customer_churn_dataset!K1336),0,MIN(10,MAX(0,customer_churn_dataset!K1336)))</f>
        <v>8</v>
      </c>
      <c r="L1336" s="7" t="n">
        <f aca="false">IF(ISBLANK(customer_churn_dataset!L1336),0,MAX(0,customer_churn_dataset!L1336))</f>
        <v>1</v>
      </c>
      <c r="M1336" s="7" t="n">
        <f aca="false">IF(ISBLANK(customer_churn_dataset!M1336),0,customer_churn_dataset!M1336)</f>
        <v>0</v>
      </c>
      <c r="N1336" s="7" t="n">
        <f aca="false">IF(ISBLANK(customer_churn_dataset!N1336),0,MAX(0,customer_churn_dataset!N1336))</f>
        <v>309.92</v>
      </c>
      <c r="O1336" s="7" t="n">
        <f aca="false">IF(ISBLANK(customer_churn_dataset!O1336),0,customer_churn_dataset!O1336)</f>
        <v>0</v>
      </c>
      <c r="P1336" s="7" t="str">
        <f aca="false">IF(COUNTIF(customer_churn_dataset!$A$2:$A$1501,customer_churn_dataset!A1336)&gt;1,"Duplicate","Unique")</f>
        <v>Unique</v>
      </c>
    </row>
    <row r="1337" customFormat="false" ht="14.15" hidden="false" customHeight="true" outlineLevel="0" collapsed="false">
      <c r="A1337" s="7" t="str">
        <f aca="false">TRIM(customer_churn_dataset!A1337)</f>
        <v>CUST100993</v>
      </c>
      <c r="B1337" s="7" t="str">
        <f aca="false">PROPER(TRIM(customer_churn_dataset!B1337))</f>
        <v>Standard</v>
      </c>
      <c r="C1337" s="7" t="str">
        <f aca="false">PROPER(TRIM(customer_churn_dataset!C1337))</f>
        <v>Month-To-Month</v>
      </c>
      <c r="D1337" s="7" t="n">
        <f aca="false">IF(ISBLANK(customer_churn_dataset!D1337),ROUND(MEDIAN(customer_churn_dataset!D$2:D$1501),2),IF(customer_churn_dataset!D1337&lt;0,ABS(customer_churn_dataset!D1337),customer_churn_dataset!D1337))</f>
        <v>20.22</v>
      </c>
      <c r="E1337" s="7" t="n">
        <f aca="false">IF(ISBLANK(customer_churn_dataset!E1337),0,MAX(0,customer_churn_dataset!E1337))</f>
        <v>19</v>
      </c>
      <c r="F1337" s="8" t="n">
        <f aca="false">IF(ISBLANK(customer_churn_dataset!F1337),"",customer_churn_dataset!F1337)</f>
        <v>45610</v>
      </c>
      <c r="G1337" s="7" t="str">
        <f aca="false">PROPER(TRIM(customer_churn_dataset!G1337))</f>
        <v>Bank Transfer</v>
      </c>
      <c r="H1337" s="7" t="n">
        <f aca="false">IF(ISBLANK(customer_churn_dataset!H1337),0,customer_churn_dataset!H1337)</f>
        <v>1</v>
      </c>
      <c r="I1337" s="7" t="n">
        <f aca="false">IF(ISBLANK(customer_churn_dataset!I1337),ROUND(MEDIAN(customer_churn_dataset!I$2:I$1501),1),MIN(100,MAX(0,customer_churn_dataset!I1337)))</f>
        <v>74.8</v>
      </c>
      <c r="J1337" s="7" t="n">
        <f aca="false">IF(ISBLANK(customer_churn_dataset!J1337),0,MAX(0,customer_churn_dataset!J1337))</f>
        <v>22</v>
      </c>
      <c r="K1337" s="7" t="n">
        <f aca="false">IF(ISBLANK(customer_churn_dataset!K1337),0,MIN(10,MAX(0,customer_churn_dataset!K1337)))</f>
        <v>7</v>
      </c>
      <c r="L1337" s="7" t="n">
        <f aca="false">IF(ISBLANK(customer_churn_dataset!L1337),0,MAX(0,customer_churn_dataset!L1337))</f>
        <v>1</v>
      </c>
      <c r="M1337" s="7" t="n">
        <f aca="false">IF(ISBLANK(customer_churn_dataset!M1337),0,customer_churn_dataset!M1337)</f>
        <v>0</v>
      </c>
      <c r="N1337" s="7" t="n">
        <f aca="false">IF(ISBLANK(customer_churn_dataset!N1337),0,MAX(0,customer_churn_dataset!N1337))</f>
        <v>384.18</v>
      </c>
      <c r="O1337" s="7" t="n">
        <f aca="false">IF(ISBLANK(customer_churn_dataset!O1337),0,customer_churn_dataset!O1337)</f>
        <v>0</v>
      </c>
      <c r="P1337" s="7" t="str">
        <f aca="false">IF(COUNTIF(customer_churn_dataset!$A$2:$A$1501,customer_churn_dataset!A1337)&gt;1,"Duplicate","Unique")</f>
        <v>Unique</v>
      </c>
    </row>
    <row r="1338" customFormat="false" ht="14.15" hidden="false" customHeight="true" outlineLevel="0" collapsed="false">
      <c r="A1338" s="7" t="str">
        <f aca="false">TRIM(customer_churn_dataset!A1338)</f>
        <v>CUST100522</v>
      </c>
      <c r="B1338" s="7" t="str">
        <f aca="false">PROPER(TRIM(customer_churn_dataset!B1338))</f>
        <v>Premium</v>
      </c>
      <c r="C1338" s="7" t="str">
        <f aca="false">PROPER(TRIM(customer_churn_dataset!C1338))</f>
        <v>One Year</v>
      </c>
      <c r="D1338" s="7" t="n">
        <f aca="false">IF(ISBLANK(customer_churn_dataset!D1338),ROUND(MEDIAN(customer_churn_dataset!D$2:D$1501),2),IF(customer_churn_dataset!D1338&lt;0,ABS(customer_churn_dataset!D1338),customer_churn_dataset!D1338))</f>
        <v>39.09</v>
      </c>
      <c r="E1338" s="7" t="n">
        <f aca="false">IF(ISBLANK(customer_churn_dataset!E1338),0,MAX(0,customer_churn_dataset!E1338))</f>
        <v>18</v>
      </c>
      <c r="F1338" s="8" t="n">
        <f aca="false">IF(ISBLANK(customer_churn_dataset!F1338),"",customer_churn_dataset!F1338)</f>
        <v>45610</v>
      </c>
      <c r="G1338" s="7" t="str">
        <f aca="false">PROPER(TRIM(customer_churn_dataset!G1338))</f>
        <v>Credit Card</v>
      </c>
      <c r="H1338" s="7" t="n">
        <f aca="false">IF(ISBLANK(customer_churn_dataset!H1338),0,customer_churn_dataset!H1338)</f>
        <v>1</v>
      </c>
      <c r="I1338" s="7" t="n">
        <f aca="false">IF(ISBLANK(customer_churn_dataset!I1338),ROUND(MEDIAN(customer_churn_dataset!I$2:I$1501),1),MIN(100,MAX(0,customer_churn_dataset!I1338)))</f>
        <v>61.7</v>
      </c>
      <c r="J1338" s="7" t="n">
        <f aca="false">IF(ISBLANK(customer_churn_dataset!J1338),0,MAX(0,customer_churn_dataset!J1338))</f>
        <v>21</v>
      </c>
      <c r="K1338" s="7" t="n">
        <f aca="false">IF(ISBLANK(customer_churn_dataset!K1338),0,MIN(10,MAX(0,customer_churn_dataset!K1338)))</f>
        <v>6</v>
      </c>
      <c r="L1338" s="7" t="n">
        <f aca="false">IF(ISBLANK(customer_churn_dataset!L1338),0,MAX(0,customer_churn_dataset!L1338))</f>
        <v>1</v>
      </c>
      <c r="M1338" s="7" t="n">
        <f aca="false">IF(ISBLANK(customer_churn_dataset!M1338),0,customer_churn_dataset!M1338)</f>
        <v>0</v>
      </c>
      <c r="N1338" s="7" t="n">
        <f aca="false">IF(ISBLANK(customer_churn_dataset!N1338),0,MAX(0,customer_churn_dataset!N1338))</f>
        <v>703.62</v>
      </c>
      <c r="O1338" s="7" t="n">
        <f aca="false">IF(ISBLANK(customer_churn_dataset!O1338),0,customer_churn_dataset!O1338)</f>
        <v>0</v>
      </c>
      <c r="P1338" s="7" t="str">
        <f aca="false">IF(COUNTIF(customer_churn_dataset!$A$2:$A$1501,customer_churn_dataset!A1338)&gt;1,"Duplicate","Unique")</f>
        <v>Unique</v>
      </c>
    </row>
    <row r="1339" customFormat="false" ht="14.15" hidden="false" customHeight="true" outlineLevel="0" collapsed="false">
      <c r="A1339" s="7" t="str">
        <f aca="false">TRIM(customer_churn_dataset!A1339)</f>
        <v>CUST100120</v>
      </c>
      <c r="B1339" s="7" t="str">
        <f aca="false">PROPER(TRIM(customer_churn_dataset!B1339))</f>
        <v>Premium</v>
      </c>
      <c r="C1339" s="7" t="str">
        <f aca="false">PROPER(TRIM(customer_churn_dataset!C1339))</f>
        <v>Month-To-Month</v>
      </c>
      <c r="D1339" s="7" t="n">
        <f aca="false">IF(ISBLANK(customer_churn_dataset!D1339),ROUND(MEDIAN(customer_churn_dataset!D$2:D$1501),2),IF(customer_churn_dataset!D1339&lt;0,ABS(customer_churn_dataset!D1339),customer_churn_dataset!D1339))</f>
        <v>40.12</v>
      </c>
      <c r="E1339" s="7" t="n">
        <f aca="false">IF(ISBLANK(customer_churn_dataset!E1339),0,MAX(0,customer_churn_dataset!E1339))</f>
        <v>28</v>
      </c>
      <c r="F1339" s="8" t="n">
        <f aca="false">IF(ISBLANK(customer_churn_dataset!F1339),"",customer_churn_dataset!F1339)</f>
        <v>45611</v>
      </c>
      <c r="G1339" s="7" t="str">
        <f aca="false">PROPER(TRIM(customer_churn_dataset!G1339))</f>
        <v>Manual/Invoice</v>
      </c>
      <c r="H1339" s="7" t="n">
        <f aca="false">IF(ISBLANK(customer_churn_dataset!H1339),0,customer_churn_dataset!H1339)</f>
        <v>0</v>
      </c>
      <c r="I1339" s="7" t="n">
        <f aca="false">IF(ISBLANK(customer_churn_dataset!I1339),ROUND(MEDIAN(customer_churn_dataset!I$2:I$1501),1),MIN(100,MAX(0,customer_churn_dataset!I1339)))</f>
        <v>79.7</v>
      </c>
      <c r="J1339" s="7" t="n">
        <f aca="false">IF(ISBLANK(customer_churn_dataset!J1339),0,MAX(0,customer_churn_dataset!J1339))</f>
        <v>26</v>
      </c>
      <c r="K1339" s="7" t="n">
        <f aca="false">IF(ISBLANK(customer_churn_dataset!K1339),0,MIN(10,MAX(0,customer_churn_dataset!K1339)))</f>
        <v>7</v>
      </c>
      <c r="L1339" s="7" t="n">
        <f aca="false">IF(ISBLANK(customer_churn_dataset!L1339),0,MAX(0,customer_churn_dataset!L1339))</f>
        <v>1</v>
      </c>
      <c r="M1339" s="7" t="n">
        <f aca="false">IF(ISBLANK(customer_churn_dataset!M1339),0,customer_churn_dataset!M1339)</f>
        <v>0</v>
      </c>
      <c r="N1339" s="7" t="n">
        <f aca="false">IF(ISBLANK(customer_churn_dataset!N1339),0,MAX(0,customer_churn_dataset!N1339))</f>
        <v>1123.36</v>
      </c>
      <c r="O1339" s="7" t="n">
        <f aca="false">IF(ISBLANK(customer_churn_dataset!O1339),0,customer_churn_dataset!O1339)</f>
        <v>1</v>
      </c>
      <c r="P1339" s="7" t="str">
        <f aca="false">IF(COUNTIF(customer_churn_dataset!$A$2:$A$1501,customer_churn_dataset!A1339)&gt;1,"Duplicate","Unique")</f>
        <v>Unique</v>
      </c>
    </row>
    <row r="1340" customFormat="false" ht="14.15" hidden="false" customHeight="true" outlineLevel="0" collapsed="false">
      <c r="A1340" s="7" t="str">
        <f aca="false">TRIM(customer_churn_dataset!A1340)</f>
        <v>CUST101288</v>
      </c>
      <c r="B1340" s="7" t="str">
        <f aca="false">PROPER(TRIM(customer_churn_dataset!B1340))</f>
        <v>Basic</v>
      </c>
      <c r="C1340" s="7" t="str">
        <f aca="false">PROPER(TRIM(customer_churn_dataset!C1340))</f>
        <v>Month-To-Month</v>
      </c>
      <c r="D1340" s="7" t="n">
        <f aca="false">IF(ISBLANK(customer_churn_dataset!D1340),ROUND(MEDIAN(customer_churn_dataset!D$2:D$1501),2),IF(customer_churn_dataset!D1340&lt;0,ABS(customer_churn_dataset!D1340),customer_churn_dataset!D1340))</f>
        <v>9.21</v>
      </c>
      <c r="E1340" s="7" t="n">
        <f aca="false">IF(ISBLANK(customer_churn_dataset!E1340),0,MAX(0,customer_churn_dataset!E1340))</f>
        <v>4</v>
      </c>
      <c r="F1340" s="8" t="n">
        <f aca="false">IF(ISBLANK(customer_churn_dataset!F1340),"",customer_churn_dataset!F1340)</f>
        <v>45611</v>
      </c>
      <c r="G1340" s="7" t="str">
        <f aca="false">PROPER(TRIM(customer_churn_dataset!G1340))</f>
        <v>Bank Transfer</v>
      </c>
      <c r="H1340" s="7" t="n">
        <f aca="false">IF(ISBLANK(customer_churn_dataset!H1340),0,customer_churn_dataset!H1340)</f>
        <v>1</v>
      </c>
      <c r="I1340" s="7" t="n">
        <f aca="false">IF(ISBLANK(customer_churn_dataset!I1340),ROUND(MEDIAN(customer_churn_dataset!I$2:I$1501),1),MIN(100,MAX(0,customer_churn_dataset!I1340)))</f>
        <v>60</v>
      </c>
      <c r="J1340" s="7" t="n">
        <f aca="false">IF(ISBLANK(customer_churn_dataset!J1340),0,MAX(0,customer_churn_dataset!J1340))</f>
        <v>24</v>
      </c>
      <c r="K1340" s="7" t="n">
        <f aca="false">IF(ISBLANK(customer_churn_dataset!K1340),0,MIN(10,MAX(0,customer_churn_dataset!K1340)))</f>
        <v>5</v>
      </c>
      <c r="L1340" s="7" t="n">
        <f aca="false">IF(ISBLANK(customer_churn_dataset!L1340),0,MAX(0,customer_churn_dataset!L1340))</f>
        <v>3</v>
      </c>
      <c r="M1340" s="7" t="n">
        <f aca="false">IF(ISBLANK(customer_churn_dataset!M1340),0,customer_churn_dataset!M1340)</f>
        <v>1</v>
      </c>
      <c r="N1340" s="7" t="n">
        <f aca="false">IF(ISBLANK(customer_churn_dataset!N1340),0,MAX(0,customer_churn_dataset!N1340))</f>
        <v>36.84</v>
      </c>
      <c r="O1340" s="7" t="n">
        <f aca="false">IF(ISBLANK(customer_churn_dataset!O1340),0,customer_churn_dataset!O1340)</f>
        <v>1</v>
      </c>
      <c r="P1340" s="7" t="str">
        <f aca="false">IF(COUNTIF(customer_churn_dataset!$A$2:$A$1501,customer_churn_dataset!A1340)&gt;1,"Duplicate","Unique")</f>
        <v>Unique</v>
      </c>
    </row>
    <row r="1341" customFormat="false" ht="14.15" hidden="false" customHeight="true" outlineLevel="0" collapsed="false">
      <c r="A1341" s="7" t="str">
        <f aca="false">TRIM(customer_churn_dataset!A1341)</f>
        <v>CUST101101</v>
      </c>
      <c r="B1341" s="7" t="str">
        <f aca="false">PROPER(TRIM(customer_churn_dataset!B1341))</f>
        <v>Premium</v>
      </c>
      <c r="C1341" s="7" t="str">
        <f aca="false">PROPER(TRIM(customer_churn_dataset!C1341))</f>
        <v>Month-To-Month</v>
      </c>
      <c r="D1341" s="7" t="n">
        <f aca="false">IF(ISBLANK(customer_churn_dataset!D1341),ROUND(MEDIAN(customer_churn_dataset!D$2:D$1501),2),IF(customer_churn_dataset!D1341&lt;0,ABS(customer_churn_dataset!D1341),customer_churn_dataset!D1341))</f>
        <v>40.39</v>
      </c>
      <c r="E1341" s="7" t="n">
        <f aca="false">IF(ISBLANK(customer_churn_dataset!E1341),0,MAX(0,customer_churn_dataset!E1341))</f>
        <v>2</v>
      </c>
      <c r="F1341" s="8" t="n">
        <f aca="false">IF(ISBLANK(customer_churn_dataset!F1341),"",customer_churn_dataset!F1341)</f>
        <v>45616</v>
      </c>
      <c r="G1341" s="7" t="str">
        <f aca="false">PROPER(TRIM(customer_churn_dataset!G1341))</f>
        <v>Paypal</v>
      </c>
      <c r="H1341" s="7" t="n">
        <f aca="false">IF(ISBLANK(customer_churn_dataset!H1341),0,customer_churn_dataset!H1341)</f>
        <v>1</v>
      </c>
      <c r="I1341" s="7" t="n">
        <f aca="false">IF(ISBLANK(customer_churn_dataset!I1341),ROUND(MEDIAN(customer_churn_dataset!I$2:I$1501),1),MIN(100,MAX(0,customer_churn_dataset!I1341)))</f>
        <v>44.7</v>
      </c>
      <c r="J1341" s="7" t="n">
        <f aca="false">IF(ISBLANK(customer_churn_dataset!J1341),0,MAX(0,customer_churn_dataset!J1341))</f>
        <v>9</v>
      </c>
      <c r="K1341" s="7" t="n">
        <f aca="false">IF(ISBLANK(customer_churn_dataset!K1341),0,MIN(10,MAX(0,customer_churn_dataset!K1341)))</f>
        <v>3</v>
      </c>
      <c r="L1341" s="7" t="n">
        <f aca="false">IF(ISBLANK(customer_churn_dataset!L1341),0,MAX(0,customer_churn_dataset!L1341))</f>
        <v>2</v>
      </c>
      <c r="M1341" s="7" t="n">
        <f aca="false">IF(ISBLANK(customer_churn_dataset!M1341),0,customer_churn_dataset!M1341)</f>
        <v>1</v>
      </c>
      <c r="N1341" s="7" t="n">
        <f aca="false">IF(ISBLANK(customer_churn_dataset!N1341),0,MAX(0,customer_churn_dataset!N1341))</f>
        <v>80.78</v>
      </c>
      <c r="O1341" s="7" t="n">
        <f aca="false">IF(ISBLANK(customer_churn_dataset!O1341),0,customer_churn_dataset!O1341)</f>
        <v>0</v>
      </c>
      <c r="P1341" s="7" t="str">
        <f aca="false">IF(COUNTIF(customer_churn_dataset!$A$2:$A$1501,customer_churn_dataset!A1341)&gt;1,"Duplicate","Unique")</f>
        <v>Unique</v>
      </c>
    </row>
    <row r="1342" customFormat="false" ht="14.15" hidden="false" customHeight="true" outlineLevel="0" collapsed="false">
      <c r="A1342" s="7" t="str">
        <f aca="false">TRIM(customer_churn_dataset!A1342)</f>
        <v>CUST101036</v>
      </c>
      <c r="B1342" s="7" t="str">
        <f aca="false">PROPER(TRIM(customer_churn_dataset!B1342))</f>
        <v>Basic</v>
      </c>
      <c r="C1342" s="7" t="str">
        <f aca="false">PROPER(TRIM(customer_churn_dataset!C1342))</f>
        <v>Month-To-Month</v>
      </c>
      <c r="D1342" s="7" t="n">
        <f aca="false">IF(ISBLANK(customer_churn_dataset!D1342),ROUND(MEDIAN(customer_churn_dataset!D$2:D$1501),2),IF(customer_churn_dataset!D1342&lt;0,ABS(customer_churn_dataset!D1342),customer_churn_dataset!D1342))</f>
        <v>10.42</v>
      </c>
      <c r="E1342" s="7" t="n">
        <f aca="false">IF(ISBLANK(customer_churn_dataset!E1342),0,MAX(0,customer_churn_dataset!E1342))</f>
        <v>3</v>
      </c>
      <c r="F1342" s="8" t="n">
        <f aca="false">IF(ISBLANK(customer_churn_dataset!F1342),"",customer_churn_dataset!F1342)</f>
        <v>45616</v>
      </c>
      <c r="G1342" s="7" t="str">
        <f aca="false">PROPER(TRIM(customer_churn_dataset!G1342))</f>
        <v>Paypal</v>
      </c>
      <c r="H1342" s="7" t="n">
        <f aca="false">IF(ISBLANK(customer_churn_dataset!H1342),0,customer_churn_dataset!H1342)</f>
        <v>1</v>
      </c>
      <c r="I1342" s="7" t="n">
        <f aca="false">IF(ISBLANK(customer_churn_dataset!I1342),ROUND(MEDIAN(customer_churn_dataset!I$2:I$1501),1),MIN(100,MAX(0,customer_churn_dataset!I1342)))</f>
        <v>49.9</v>
      </c>
      <c r="J1342" s="7" t="n">
        <f aca="false">IF(ISBLANK(customer_churn_dataset!J1342),0,MAX(0,customer_churn_dataset!J1342))</f>
        <v>16</v>
      </c>
      <c r="K1342" s="7" t="n">
        <f aca="false">IF(ISBLANK(customer_churn_dataset!K1342),0,MIN(10,MAX(0,customer_churn_dataset!K1342)))</f>
        <v>7</v>
      </c>
      <c r="L1342" s="7" t="n">
        <f aca="false">IF(ISBLANK(customer_churn_dataset!L1342),0,MAX(0,customer_churn_dataset!L1342))</f>
        <v>1</v>
      </c>
      <c r="M1342" s="7" t="n">
        <f aca="false">IF(ISBLANK(customer_churn_dataset!M1342),0,customer_churn_dataset!M1342)</f>
        <v>0</v>
      </c>
      <c r="N1342" s="7" t="n">
        <f aca="false">IF(ISBLANK(customer_churn_dataset!N1342),0,MAX(0,customer_churn_dataset!N1342))</f>
        <v>31.26</v>
      </c>
      <c r="O1342" s="7" t="n">
        <f aca="false">IF(ISBLANK(customer_churn_dataset!O1342),0,customer_churn_dataset!O1342)</f>
        <v>0</v>
      </c>
      <c r="P1342" s="7" t="str">
        <f aca="false">IF(COUNTIF(customer_churn_dataset!$A$2:$A$1501,customer_churn_dataset!A1342)&gt;1,"Duplicate","Unique")</f>
        <v>Unique</v>
      </c>
    </row>
    <row r="1343" customFormat="false" ht="14.15" hidden="false" customHeight="true" outlineLevel="0" collapsed="false">
      <c r="A1343" s="7" t="str">
        <f aca="false">TRIM(customer_churn_dataset!A1343)</f>
        <v>CUST100698</v>
      </c>
      <c r="B1343" s="7" t="str">
        <f aca="false">PROPER(TRIM(customer_churn_dataset!B1343))</f>
        <v>Basic</v>
      </c>
      <c r="C1343" s="7" t="str">
        <f aca="false">PROPER(TRIM(customer_churn_dataset!C1343))</f>
        <v>Two Year</v>
      </c>
      <c r="D1343" s="7" t="n">
        <f aca="false">IF(ISBLANK(customer_churn_dataset!D1343),ROUND(MEDIAN(customer_churn_dataset!D$2:D$1501),2),IF(customer_churn_dataset!D1343&lt;0,ABS(customer_churn_dataset!D1343),customer_churn_dataset!D1343))</f>
        <v>10.28</v>
      </c>
      <c r="E1343" s="7" t="n">
        <f aca="false">IF(ISBLANK(customer_churn_dataset!E1343),0,MAX(0,customer_churn_dataset!E1343))</f>
        <v>58</v>
      </c>
      <c r="F1343" s="8" t="n">
        <f aca="false">IF(ISBLANK(customer_churn_dataset!F1343),"",customer_churn_dataset!F1343)</f>
        <v>45616</v>
      </c>
      <c r="G1343" s="7" t="str">
        <f aca="false">PROPER(TRIM(customer_churn_dataset!G1343))</f>
        <v>Credit Card</v>
      </c>
      <c r="H1343" s="7" t="n">
        <f aca="false">IF(ISBLANK(customer_churn_dataset!H1343),0,customer_churn_dataset!H1343)</f>
        <v>0</v>
      </c>
      <c r="I1343" s="7" t="n">
        <f aca="false">IF(ISBLANK(customer_churn_dataset!I1343),ROUND(MEDIAN(customer_churn_dataset!I$2:I$1501),1),MIN(100,MAX(0,customer_churn_dataset!I1343)))</f>
        <v>54.2</v>
      </c>
      <c r="J1343" s="7" t="n">
        <f aca="false">IF(ISBLANK(customer_churn_dataset!J1343),0,MAX(0,customer_churn_dataset!J1343))</f>
        <v>19</v>
      </c>
      <c r="K1343" s="7" t="n">
        <f aca="false">IF(ISBLANK(customer_churn_dataset!K1343),0,MIN(10,MAX(0,customer_churn_dataset!K1343)))</f>
        <v>8</v>
      </c>
      <c r="L1343" s="7" t="n">
        <f aca="false">IF(ISBLANK(customer_churn_dataset!L1343),0,MAX(0,customer_churn_dataset!L1343))</f>
        <v>1</v>
      </c>
      <c r="M1343" s="7" t="n">
        <f aca="false">IF(ISBLANK(customer_churn_dataset!M1343),0,customer_churn_dataset!M1343)</f>
        <v>0</v>
      </c>
      <c r="N1343" s="7" t="n">
        <f aca="false">IF(ISBLANK(customer_churn_dataset!N1343),0,MAX(0,customer_churn_dataset!N1343))</f>
        <v>596.24</v>
      </c>
      <c r="O1343" s="7" t="n">
        <f aca="false">IF(ISBLANK(customer_churn_dataset!O1343),0,customer_churn_dataset!O1343)</f>
        <v>0</v>
      </c>
      <c r="P1343" s="7" t="str">
        <f aca="false">IF(COUNTIF(customer_churn_dataset!$A$2:$A$1501,customer_churn_dataset!A1343)&gt;1,"Duplicate","Unique")</f>
        <v>Unique</v>
      </c>
    </row>
    <row r="1344" customFormat="false" ht="14.15" hidden="false" customHeight="true" outlineLevel="0" collapsed="false">
      <c r="A1344" s="7" t="str">
        <f aca="false">TRIM(customer_churn_dataset!A1344)</f>
        <v>CUST101006</v>
      </c>
      <c r="B1344" s="7" t="str">
        <f aca="false">PROPER(TRIM(customer_churn_dataset!B1344))</f>
        <v>Standard</v>
      </c>
      <c r="C1344" s="7" t="str">
        <f aca="false">PROPER(TRIM(customer_churn_dataset!C1344))</f>
        <v>Month-To-Month</v>
      </c>
      <c r="D1344" s="7" t="n">
        <f aca="false">IF(ISBLANK(customer_churn_dataset!D1344),ROUND(MEDIAN(customer_churn_dataset!D$2:D$1501),2),IF(customer_churn_dataset!D1344&lt;0,ABS(customer_churn_dataset!D1344),customer_churn_dataset!D1344))</f>
        <v>19.18</v>
      </c>
      <c r="E1344" s="7" t="n">
        <f aca="false">IF(ISBLANK(customer_churn_dataset!E1344),0,MAX(0,customer_churn_dataset!E1344))</f>
        <v>21</v>
      </c>
      <c r="F1344" s="8" t="n">
        <f aca="false">IF(ISBLANK(customer_churn_dataset!F1344),"",customer_churn_dataset!F1344)</f>
        <v>45619</v>
      </c>
      <c r="G1344" s="7" t="str">
        <f aca="false">PROPER(TRIM(customer_churn_dataset!G1344))</f>
        <v>Credit Card</v>
      </c>
      <c r="H1344" s="7" t="n">
        <f aca="false">IF(ISBLANK(customer_churn_dataset!H1344),0,customer_churn_dataset!H1344)</f>
        <v>1</v>
      </c>
      <c r="I1344" s="7" t="n">
        <f aca="false">IF(ISBLANK(customer_churn_dataset!I1344),ROUND(MEDIAN(customer_churn_dataset!I$2:I$1501),1),MIN(100,MAX(0,customer_churn_dataset!I1344)))</f>
        <v>60.6</v>
      </c>
      <c r="J1344" s="7" t="n">
        <f aca="false">IF(ISBLANK(customer_churn_dataset!J1344),0,MAX(0,customer_churn_dataset!J1344))</f>
        <v>19</v>
      </c>
      <c r="K1344" s="7" t="n">
        <f aca="false">IF(ISBLANK(customer_churn_dataset!K1344),0,MIN(10,MAX(0,customer_churn_dataset!K1344)))</f>
        <v>8</v>
      </c>
      <c r="L1344" s="7" t="n">
        <f aca="false">IF(ISBLANK(customer_churn_dataset!L1344),0,MAX(0,customer_churn_dataset!L1344))</f>
        <v>1</v>
      </c>
      <c r="M1344" s="7" t="n">
        <f aca="false">IF(ISBLANK(customer_churn_dataset!M1344),0,customer_churn_dataset!M1344)</f>
        <v>0</v>
      </c>
      <c r="N1344" s="7" t="n">
        <f aca="false">IF(ISBLANK(customer_churn_dataset!N1344),0,MAX(0,customer_churn_dataset!N1344))</f>
        <v>402.78</v>
      </c>
      <c r="O1344" s="7" t="n">
        <f aca="false">IF(ISBLANK(customer_churn_dataset!O1344),0,customer_churn_dataset!O1344)</f>
        <v>0</v>
      </c>
      <c r="P1344" s="7" t="str">
        <f aca="false">IF(COUNTIF(customer_churn_dataset!$A$2:$A$1501,customer_churn_dataset!A1344)&gt;1,"Duplicate","Unique")</f>
        <v>Unique</v>
      </c>
    </row>
    <row r="1345" customFormat="false" ht="14.15" hidden="false" customHeight="true" outlineLevel="0" collapsed="false">
      <c r="A1345" s="7" t="str">
        <f aca="false">TRIM(customer_churn_dataset!A1345)</f>
        <v>CUST100801</v>
      </c>
      <c r="B1345" s="7" t="str">
        <f aca="false">PROPER(TRIM(customer_churn_dataset!B1345))</f>
        <v>Basic</v>
      </c>
      <c r="C1345" s="7" t="str">
        <f aca="false">PROPER(TRIM(customer_churn_dataset!C1345))</f>
        <v>Month-To-Month</v>
      </c>
      <c r="D1345" s="7" t="n">
        <f aca="false">IF(ISBLANK(customer_churn_dataset!D1345),ROUND(MEDIAN(customer_churn_dataset!D$2:D$1501),2),IF(customer_churn_dataset!D1345&lt;0,ABS(customer_churn_dataset!D1345),customer_churn_dataset!D1345))</f>
        <v>10.28</v>
      </c>
      <c r="E1345" s="7" t="n">
        <f aca="false">IF(ISBLANK(customer_churn_dataset!E1345),0,MAX(0,customer_churn_dataset!E1345))</f>
        <v>39</v>
      </c>
      <c r="F1345" s="8" t="n">
        <f aca="false">IF(ISBLANK(customer_churn_dataset!F1345),"",customer_churn_dataset!F1345)</f>
        <v>45620</v>
      </c>
      <c r="G1345" s="7" t="str">
        <f aca="false">PROPER(TRIM(customer_churn_dataset!G1345))</f>
        <v>Paypal</v>
      </c>
      <c r="H1345" s="7" t="n">
        <f aca="false">IF(ISBLANK(customer_churn_dataset!H1345),0,customer_churn_dataset!H1345)</f>
        <v>1</v>
      </c>
      <c r="I1345" s="7" t="n">
        <f aca="false">IF(ISBLANK(customer_churn_dataset!I1345),ROUND(MEDIAN(customer_churn_dataset!I$2:I$1501),1),MIN(100,MAX(0,customer_churn_dataset!I1345)))</f>
        <v>19.4</v>
      </c>
      <c r="J1345" s="7" t="n">
        <f aca="false">IF(ISBLANK(customer_churn_dataset!J1345),0,MAX(0,customer_churn_dataset!J1345))</f>
        <v>4</v>
      </c>
      <c r="K1345" s="7" t="n">
        <f aca="false">IF(ISBLANK(customer_churn_dataset!K1345),0,MIN(10,MAX(0,customer_churn_dataset!K1345)))</f>
        <v>1</v>
      </c>
      <c r="L1345" s="7" t="n">
        <f aca="false">IF(ISBLANK(customer_churn_dataset!L1345),0,MAX(0,customer_churn_dataset!L1345))</f>
        <v>2</v>
      </c>
      <c r="M1345" s="7" t="n">
        <f aca="false">IF(ISBLANK(customer_churn_dataset!M1345),0,customer_churn_dataset!M1345)</f>
        <v>0</v>
      </c>
      <c r="N1345" s="7" t="n">
        <f aca="false">IF(ISBLANK(customer_churn_dataset!N1345),0,MAX(0,customer_churn_dataset!N1345))</f>
        <v>400.92</v>
      </c>
      <c r="O1345" s="7" t="n">
        <f aca="false">IF(ISBLANK(customer_churn_dataset!O1345),0,customer_churn_dataset!O1345)</f>
        <v>1</v>
      </c>
      <c r="P1345" s="7" t="str">
        <f aca="false">IF(COUNTIF(customer_churn_dataset!$A$2:$A$1501,customer_churn_dataset!A1345)&gt;1,"Duplicate","Unique")</f>
        <v>Unique</v>
      </c>
    </row>
    <row r="1346" customFormat="false" ht="14.15" hidden="false" customHeight="true" outlineLevel="0" collapsed="false">
      <c r="A1346" s="7" t="str">
        <f aca="false">TRIM(customer_churn_dataset!A1346)</f>
        <v>CUST100363</v>
      </c>
      <c r="B1346" s="7" t="str">
        <f aca="false">PROPER(TRIM(customer_churn_dataset!B1346))</f>
        <v>Standard</v>
      </c>
      <c r="C1346" s="7" t="str">
        <f aca="false">PROPER(TRIM(customer_churn_dataset!C1346))</f>
        <v>One Year</v>
      </c>
      <c r="D1346" s="7" t="n">
        <f aca="false">IF(ISBLANK(customer_churn_dataset!D1346),ROUND(MEDIAN(customer_churn_dataset!D$2:D$1501),2),IF(customer_churn_dataset!D1346&lt;0,ABS(customer_churn_dataset!D1346),customer_churn_dataset!D1346))</f>
        <v>19.03</v>
      </c>
      <c r="E1346" s="7" t="n">
        <f aca="false">IF(ISBLANK(customer_churn_dataset!E1346),0,MAX(0,customer_churn_dataset!E1346))</f>
        <v>20</v>
      </c>
      <c r="F1346" s="8" t="n">
        <f aca="false">IF(ISBLANK(customer_churn_dataset!F1346),"",customer_churn_dataset!F1346)</f>
        <v>45621</v>
      </c>
      <c r="G1346" s="7" t="str">
        <f aca="false">PROPER(TRIM(customer_churn_dataset!G1346))</f>
        <v>Bank Transfer</v>
      </c>
      <c r="H1346" s="7" t="n">
        <f aca="false">IF(ISBLANK(customer_churn_dataset!H1346),0,customer_churn_dataset!H1346)</f>
        <v>1</v>
      </c>
      <c r="I1346" s="7" t="n">
        <f aca="false">IF(ISBLANK(customer_churn_dataset!I1346),ROUND(MEDIAN(customer_churn_dataset!I$2:I$1501),1),MIN(100,MAX(0,customer_churn_dataset!I1346)))</f>
        <v>84.4</v>
      </c>
      <c r="J1346" s="7" t="n">
        <f aca="false">IF(ISBLANK(customer_churn_dataset!J1346),0,MAX(0,customer_churn_dataset!J1346))</f>
        <v>29</v>
      </c>
      <c r="K1346" s="7" t="n">
        <f aca="false">IF(ISBLANK(customer_churn_dataset!K1346),0,MIN(10,MAX(0,customer_churn_dataset!K1346)))</f>
        <v>10</v>
      </c>
      <c r="L1346" s="7" t="n">
        <f aca="false">IF(ISBLANK(customer_churn_dataset!L1346),0,MAX(0,customer_churn_dataset!L1346))</f>
        <v>1</v>
      </c>
      <c r="M1346" s="7" t="n">
        <f aca="false">IF(ISBLANK(customer_churn_dataset!M1346),0,customer_churn_dataset!M1346)</f>
        <v>0</v>
      </c>
      <c r="N1346" s="7" t="n">
        <f aca="false">IF(ISBLANK(customer_churn_dataset!N1346),0,MAX(0,customer_churn_dataset!N1346))</f>
        <v>380.6</v>
      </c>
      <c r="O1346" s="7" t="n">
        <f aca="false">IF(ISBLANK(customer_churn_dataset!O1346),0,customer_churn_dataset!O1346)</f>
        <v>0</v>
      </c>
      <c r="P1346" s="7" t="str">
        <f aca="false">IF(COUNTIF(customer_churn_dataset!$A$2:$A$1501,customer_churn_dataset!A1346)&gt;1,"Duplicate","Unique")</f>
        <v>Unique</v>
      </c>
    </row>
    <row r="1347" customFormat="false" ht="14.15" hidden="false" customHeight="true" outlineLevel="0" collapsed="false">
      <c r="A1347" s="7" t="str">
        <f aca="false">TRIM(customer_churn_dataset!A1347)</f>
        <v>CUST100780</v>
      </c>
      <c r="B1347" s="7" t="str">
        <f aca="false">PROPER(TRIM(customer_churn_dataset!B1347))</f>
        <v>Standard</v>
      </c>
      <c r="C1347" s="7" t="str">
        <f aca="false">PROPER(TRIM(customer_churn_dataset!C1347))</f>
        <v>Month-To-Month</v>
      </c>
      <c r="D1347" s="7" t="n">
        <f aca="false">IF(ISBLANK(customer_churn_dataset!D1347),ROUND(MEDIAN(customer_churn_dataset!D$2:D$1501),2),IF(customer_churn_dataset!D1347&lt;0,ABS(customer_churn_dataset!D1347),customer_churn_dataset!D1347))</f>
        <v>20.3</v>
      </c>
      <c r="E1347" s="7" t="n">
        <f aca="false">IF(ISBLANK(customer_churn_dataset!E1347),0,MAX(0,customer_churn_dataset!E1347))</f>
        <v>0</v>
      </c>
      <c r="F1347" s="8" t="n">
        <f aca="false">IF(ISBLANK(customer_churn_dataset!F1347),"",customer_churn_dataset!F1347)</f>
        <v>45624</v>
      </c>
      <c r="G1347" s="7" t="str">
        <f aca="false">PROPER(TRIM(customer_churn_dataset!G1347))</f>
        <v>Bank Transfer</v>
      </c>
      <c r="H1347" s="7" t="n">
        <f aca="false">IF(ISBLANK(customer_churn_dataset!H1347),0,customer_churn_dataset!H1347)</f>
        <v>1</v>
      </c>
      <c r="I1347" s="7" t="n">
        <f aca="false">IF(ISBLANK(customer_churn_dataset!I1347),ROUND(MEDIAN(customer_churn_dataset!I$2:I$1501),1),MIN(100,MAX(0,customer_churn_dataset!I1347)))</f>
        <v>28.7</v>
      </c>
      <c r="J1347" s="7" t="n">
        <f aca="false">IF(ISBLANK(customer_churn_dataset!J1347),0,MAX(0,customer_churn_dataset!J1347))</f>
        <v>7</v>
      </c>
      <c r="K1347" s="7" t="n">
        <f aca="false">IF(ISBLANK(customer_churn_dataset!K1347),0,MIN(10,MAX(0,customer_churn_dataset!K1347)))</f>
        <v>2</v>
      </c>
      <c r="L1347" s="7" t="n">
        <f aca="false">IF(ISBLANK(customer_churn_dataset!L1347),0,MAX(0,customer_churn_dataset!L1347))</f>
        <v>0</v>
      </c>
      <c r="M1347" s="7" t="n">
        <f aca="false">IF(ISBLANK(customer_churn_dataset!M1347),0,customer_churn_dataset!M1347)</f>
        <v>0</v>
      </c>
      <c r="N1347" s="7" t="n">
        <f aca="false">IF(ISBLANK(customer_churn_dataset!N1347),0,MAX(0,customer_churn_dataset!N1347))</f>
        <v>0</v>
      </c>
      <c r="O1347" s="7" t="n">
        <f aca="false">IF(ISBLANK(customer_churn_dataset!O1347),0,customer_churn_dataset!O1347)</f>
        <v>0</v>
      </c>
      <c r="P1347" s="7" t="str">
        <f aca="false">IF(COUNTIF(customer_churn_dataset!$A$2:$A$1501,customer_churn_dataset!A1347)&gt;1,"Duplicate","Unique")</f>
        <v>Unique</v>
      </c>
    </row>
    <row r="1348" customFormat="false" ht="14.15" hidden="false" customHeight="true" outlineLevel="0" collapsed="false">
      <c r="A1348" s="7" t="str">
        <f aca="false">TRIM(customer_churn_dataset!A1348)</f>
        <v>CUST101499</v>
      </c>
      <c r="B1348" s="7" t="str">
        <f aca="false">PROPER(TRIM(customer_churn_dataset!B1348))</f>
        <v>Premium</v>
      </c>
      <c r="C1348" s="7" t="str">
        <f aca="false">PROPER(TRIM(customer_churn_dataset!C1348))</f>
        <v>One Year</v>
      </c>
      <c r="D1348" s="7" t="n">
        <f aca="false">IF(ISBLANK(customer_churn_dataset!D1348),ROUND(MEDIAN(customer_churn_dataset!D$2:D$1501),2),IF(customer_churn_dataset!D1348&lt;0,ABS(customer_churn_dataset!D1348),customer_churn_dataset!D1348))</f>
        <v>40.54</v>
      </c>
      <c r="E1348" s="7" t="n">
        <f aca="false">IF(ISBLANK(customer_churn_dataset!E1348),0,MAX(0,customer_churn_dataset!E1348))</f>
        <v>19</v>
      </c>
      <c r="F1348" s="8" t="n">
        <f aca="false">IF(ISBLANK(customer_churn_dataset!F1348),"",customer_churn_dataset!F1348)</f>
        <v>45630</v>
      </c>
      <c r="G1348" s="7" t="str">
        <f aca="false">PROPER(TRIM(customer_churn_dataset!G1348))</f>
        <v>Manual/Invoice</v>
      </c>
      <c r="H1348" s="7" t="n">
        <f aca="false">IF(ISBLANK(customer_churn_dataset!H1348),0,customer_churn_dataset!H1348)</f>
        <v>0</v>
      </c>
      <c r="I1348" s="7" t="n">
        <f aca="false">IF(ISBLANK(customer_churn_dataset!I1348),ROUND(MEDIAN(customer_churn_dataset!I$2:I$1501),1),MIN(100,MAX(0,customer_churn_dataset!I1348)))</f>
        <v>72</v>
      </c>
      <c r="J1348" s="7" t="n">
        <f aca="false">IF(ISBLANK(customer_churn_dataset!J1348),0,MAX(0,customer_churn_dataset!J1348))</f>
        <v>20</v>
      </c>
      <c r="K1348" s="7" t="n">
        <f aca="false">IF(ISBLANK(customer_churn_dataset!K1348),0,MIN(10,MAX(0,customer_churn_dataset!K1348)))</f>
        <v>4</v>
      </c>
      <c r="L1348" s="7" t="n">
        <f aca="false">IF(ISBLANK(customer_churn_dataset!L1348),0,MAX(0,customer_churn_dataset!L1348))</f>
        <v>0</v>
      </c>
      <c r="M1348" s="7" t="n">
        <f aca="false">IF(ISBLANK(customer_churn_dataset!M1348),0,customer_churn_dataset!M1348)</f>
        <v>0</v>
      </c>
      <c r="N1348" s="7" t="n">
        <f aca="false">IF(ISBLANK(customer_churn_dataset!N1348),0,MAX(0,customer_churn_dataset!N1348))</f>
        <v>770.26</v>
      </c>
      <c r="O1348" s="7" t="n">
        <f aca="false">IF(ISBLANK(customer_churn_dataset!O1348),0,customer_churn_dataset!O1348)</f>
        <v>0</v>
      </c>
      <c r="P1348" s="7" t="str">
        <f aca="false">IF(COUNTIF(customer_churn_dataset!$A$2:$A$1501,customer_churn_dataset!A1348)&gt;1,"Duplicate","Unique")</f>
        <v>Unique</v>
      </c>
    </row>
    <row r="1349" customFormat="false" ht="14.15" hidden="false" customHeight="true" outlineLevel="0" collapsed="false">
      <c r="A1349" s="7" t="str">
        <f aca="false">TRIM(customer_churn_dataset!A1349)</f>
        <v>CUST100772</v>
      </c>
      <c r="B1349" s="7" t="str">
        <f aca="false">PROPER(TRIM(customer_churn_dataset!B1349))</f>
        <v>Basic</v>
      </c>
      <c r="C1349" s="7" t="str">
        <f aca="false">PROPER(TRIM(customer_churn_dataset!C1349))</f>
        <v>One Year</v>
      </c>
      <c r="D1349" s="7" t="n">
        <f aca="false">IF(ISBLANK(customer_churn_dataset!D1349),ROUND(MEDIAN(customer_churn_dataset!D$2:D$1501),2),IF(customer_churn_dataset!D1349&lt;0,ABS(customer_churn_dataset!D1349),customer_churn_dataset!D1349))</f>
        <v>9.52</v>
      </c>
      <c r="E1349" s="7" t="n">
        <f aca="false">IF(ISBLANK(customer_churn_dataset!E1349),0,MAX(0,customer_churn_dataset!E1349))</f>
        <v>0</v>
      </c>
      <c r="F1349" s="8" t="n">
        <f aca="false">IF(ISBLANK(customer_churn_dataset!F1349),"",customer_churn_dataset!F1349)</f>
        <v>45630</v>
      </c>
      <c r="G1349" s="7" t="str">
        <f aca="false">PROPER(TRIM(customer_churn_dataset!G1349))</f>
        <v>Paypal</v>
      </c>
      <c r="H1349" s="7" t="n">
        <f aca="false">IF(ISBLANK(customer_churn_dataset!H1349),0,customer_churn_dataset!H1349)</f>
        <v>1</v>
      </c>
      <c r="I1349" s="7" t="n">
        <f aca="false">IF(ISBLANK(customer_churn_dataset!I1349),ROUND(MEDIAN(customer_churn_dataset!I$2:I$1501),1),MIN(100,MAX(0,customer_churn_dataset!I1349)))</f>
        <v>93.2</v>
      </c>
      <c r="J1349" s="7" t="n">
        <f aca="false">IF(ISBLANK(customer_churn_dataset!J1349),0,MAX(0,customer_churn_dataset!J1349))</f>
        <v>25</v>
      </c>
      <c r="K1349" s="7" t="n">
        <f aca="false">IF(ISBLANK(customer_churn_dataset!K1349),0,MIN(10,MAX(0,customer_churn_dataset!K1349)))</f>
        <v>10</v>
      </c>
      <c r="L1349" s="7" t="n">
        <f aca="false">IF(ISBLANK(customer_churn_dataset!L1349),0,MAX(0,customer_churn_dataset!L1349))</f>
        <v>0</v>
      </c>
      <c r="M1349" s="7" t="n">
        <f aca="false">IF(ISBLANK(customer_churn_dataset!M1349),0,customer_churn_dataset!M1349)</f>
        <v>0</v>
      </c>
      <c r="N1349" s="7" t="n">
        <f aca="false">IF(ISBLANK(customer_churn_dataset!N1349),0,MAX(0,customer_churn_dataset!N1349))</f>
        <v>0</v>
      </c>
      <c r="O1349" s="7" t="n">
        <f aca="false">IF(ISBLANK(customer_churn_dataset!O1349),0,customer_churn_dataset!O1349)</f>
        <v>0</v>
      </c>
      <c r="P1349" s="7" t="str">
        <f aca="false">IF(COUNTIF(customer_churn_dataset!$A$2:$A$1501,customer_churn_dataset!A1349)&gt;1,"Duplicate","Unique")</f>
        <v>Unique</v>
      </c>
    </row>
    <row r="1350" customFormat="false" ht="14.15" hidden="false" customHeight="true" outlineLevel="0" collapsed="false">
      <c r="A1350" s="7" t="str">
        <f aca="false">TRIM(customer_churn_dataset!A1350)</f>
        <v>CUST100037</v>
      </c>
      <c r="B1350" s="7" t="str">
        <f aca="false">PROPER(TRIM(customer_churn_dataset!B1350))</f>
        <v>Basic</v>
      </c>
      <c r="C1350" s="7" t="str">
        <f aca="false">PROPER(TRIM(customer_churn_dataset!C1350))</f>
        <v>Month-To-Month</v>
      </c>
      <c r="D1350" s="7" t="n">
        <f aca="false">IF(ISBLANK(customer_churn_dataset!D1350),ROUND(MEDIAN(customer_churn_dataset!D$2:D$1501),2),IF(customer_churn_dataset!D1350&lt;0,ABS(customer_churn_dataset!D1350),customer_churn_dataset!D1350))</f>
        <v>10.54</v>
      </c>
      <c r="E1350" s="7" t="n">
        <f aca="false">IF(ISBLANK(customer_churn_dataset!E1350),0,MAX(0,customer_churn_dataset!E1350))</f>
        <v>8</v>
      </c>
      <c r="F1350" s="8" t="n">
        <f aca="false">IF(ISBLANK(customer_churn_dataset!F1350),"",customer_churn_dataset!F1350)</f>
        <v>45631</v>
      </c>
      <c r="G1350" s="7" t="str">
        <f aca="false">PROPER(TRIM(customer_churn_dataset!G1350))</f>
        <v>Bank Transfer</v>
      </c>
      <c r="H1350" s="7" t="n">
        <f aca="false">IF(ISBLANK(customer_churn_dataset!H1350),0,customer_churn_dataset!H1350)</f>
        <v>1</v>
      </c>
      <c r="I1350" s="7" t="n">
        <f aca="false">IF(ISBLANK(customer_churn_dataset!I1350),ROUND(MEDIAN(customer_churn_dataset!I$2:I$1501),1),MIN(100,MAX(0,customer_churn_dataset!I1350)))</f>
        <v>56.1</v>
      </c>
      <c r="J1350" s="7" t="n">
        <f aca="false">IF(ISBLANK(customer_churn_dataset!J1350),0,MAX(0,customer_churn_dataset!J1350))</f>
        <v>19</v>
      </c>
      <c r="K1350" s="7" t="n">
        <f aca="false">IF(ISBLANK(customer_churn_dataset!K1350),0,MIN(10,MAX(0,customer_churn_dataset!K1350)))</f>
        <v>3</v>
      </c>
      <c r="L1350" s="7" t="n">
        <f aca="false">IF(ISBLANK(customer_churn_dataset!L1350),0,MAX(0,customer_churn_dataset!L1350))</f>
        <v>1</v>
      </c>
      <c r="M1350" s="7" t="n">
        <f aca="false">IF(ISBLANK(customer_churn_dataset!M1350),0,customer_churn_dataset!M1350)</f>
        <v>0</v>
      </c>
      <c r="N1350" s="7" t="n">
        <f aca="false">IF(ISBLANK(customer_churn_dataset!N1350),0,MAX(0,customer_churn_dataset!N1350))</f>
        <v>84.32</v>
      </c>
      <c r="O1350" s="7" t="n">
        <f aca="false">IF(ISBLANK(customer_churn_dataset!O1350),0,customer_churn_dataset!O1350)</f>
        <v>0</v>
      </c>
      <c r="P1350" s="7" t="str">
        <f aca="false">IF(COUNTIF(customer_churn_dataset!$A$2:$A$1501,customer_churn_dataset!A1350)&gt;1,"Duplicate","Unique")</f>
        <v>Unique</v>
      </c>
    </row>
    <row r="1351" customFormat="false" ht="14.15" hidden="false" customHeight="true" outlineLevel="0" collapsed="false">
      <c r="A1351" s="7" t="str">
        <f aca="false">TRIM(customer_churn_dataset!A1351)</f>
        <v>CUST100789</v>
      </c>
      <c r="B1351" s="7" t="str">
        <f aca="false">PROPER(TRIM(customer_churn_dataset!B1351))</f>
        <v>Premium</v>
      </c>
      <c r="C1351" s="7" t="str">
        <f aca="false">PROPER(TRIM(customer_churn_dataset!C1351))</f>
        <v>Month-To-Month</v>
      </c>
      <c r="D1351" s="7" t="n">
        <f aca="false">IF(ISBLANK(customer_churn_dataset!D1351),ROUND(MEDIAN(customer_churn_dataset!D$2:D$1501),2),IF(customer_churn_dataset!D1351&lt;0,ABS(customer_churn_dataset!D1351),customer_churn_dataset!D1351))</f>
        <v>39.94</v>
      </c>
      <c r="E1351" s="7" t="n">
        <f aca="false">IF(ISBLANK(customer_churn_dataset!E1351),0,MAX(0,customer_churn_dataset!E1351))</f>
        <v>3</v>
      </c>
      <c r="F1351" s="8" t="n">
        <f aca="false">IF(ISBLANK(customer_churn_dataset!F1351),"",customer_churn_dataset!F1351)</f>
        <v>45631</v>
      </c>
      <c r="G1351" s="7" t="str">
        <f aca="false">PROPER(TRIM(customer_churn_dataset!G1351))</f>
        <v>Bank Transfer</v>
      </c>
      <c r="H1351" s="7" t="n">
        <f aca="false">IF(ISBLANK(customer_churn_dataset!H1351),0,customer_churn_dataset!H1351)</f>
        <v>1</v>
      </c>
      <c r="I1351" s="7" t="n">
        <f aca="false">IF(ISBLANK(customer_churn_dataset!I1351),ROUND(MEDIAN(customer_churn_dataset!I$2:I$1501),1),MIN(100,MAX(0,customer_churn_dataset!I1351)))</f>
        <v>53.8</v>
      </c>
      <c r="J1351" s="7" t="n">
        <f aca="false">IF(ISBLANK(customer_churn_dataset!J1351),0,MAX(0,customer_churn_dataset!J1351))</f>
        <v>13</v>
      </c>
      <c r="K1351" s="7" t="n">
        <f aca="false">IF(ISBLANK(customer_churn_dataset!K1351),0,MIN(10,MAX(0,customer_churn_dataset!K1351)))</f>
        <v>4</v>
      </c>
      <c r="L1351" s="7" t="n">
        <f aca="false">IF(ISBLANK(customer_churn_dataset!L1351),0,MAX(0,customer_churn_dataset!L1351))</f>
        <v>2</v>
      </c>
      <c r="M1351" s="7" t="n">
        <f aca="false">IF(ISBLANK(customer_churn_dataset!M1351),0,customer_churn_dataset!M1351)</f>
        <v>0</v>
      </c>
      <c r="N1351" s="7" t="n">
        <f aca="false">IF(ISBLANK(customer_churn_dataset!N1351),0,MAX(0,customer_churn_dataset!N1351))</f>
        <v>119.82</v>
      </c>
      <c r="O1351" s="7" t="n">
        <f aca="false">IF(ISBLANK(customer_churn_dataset!O1351),0,customer_churn_dataset!O1351)</f>
        <v>0</v>
      </c>
      <c r="P1351" s="7" t="str">
        <f aca="false">IF(COUNTIF(customer_churn_dataset!$A$2:$A$1501,customer_churn_dataset!A1351)&gt;1,"Duplicate","Unique")</f>
        <v>Unique</v>
      </c>
    </row>
    <row r="1352" customFormat="false" ht="14.15" hidden="false" customHeight="true" outlineLevel="0" collapsed="false">
      <c r="A1352" s="7" t="str">
        <f aca="false">TRIM(customer_churn_dataset!A1352)</f>
        <v>CUST101298</v>
      </c>
      <c r="B1352" s="7" t="str">
        <f aca="false">PROPER(TRIM(customer_churn_dataset!B1352))</f>
        <v>Standard</v>
      </c>
      <c r="C1352" s="7" t="str">
        <f aca="false">PROPER(TRIM(customer_churn_dataset!C1352))</f>
        <v>One Year</v>
      </c>
      <c r="D1352" s="7" t="n">
        <f aca="false">IF(ISBLANK(customer_churn_dataset!D1352),ROUND(MEDIAN(customer_churn_dataset!D$2:D$1501),2),IF(customer_churn_dataset!D1352&lt;0,ABS(customer_churn_dataset!D1352),customer_churn_dataset!D1352))</f>
        <v>20.49</v>
      </c>
      <c r="E1352" s="7" t="n">
        <f aca="false">IF(ISBLANK(customer_churn_dataset!E1352),0,MAX(0,customer_churn_dataset!E1352))</f>
        <v>6</v>
      </c>
      <c r="F1352" s="8" t="n">
        <f aca="false">IF(ISBLANK(customer_churn_dataset!F1352),"",customer_churn_dataset!F1352)</f>
        <v>45632</v>
      </c>
      <c r="G1352" s="7" t="str">
        <f aca="false">PROPER(TRIM(customer_churn_dataset!G1352))</f>
        <v>Credit Card</v>
      </c>
      <c r="H1352" s="7" t="n">
        <f aca="false">IF(ISBLANK(customer_churn_dataset!H1352),0,customer_churn_dataset!H1352)</f>
        <v>0</v>
      </c>
      <c r="I1352" s="7" t="n">
        <f aca="false">IF(ISBLANK(customer_churn_dataset!I1352),ROUND(MEDIAN(customer_churn_dataset!I$2:I$1501),1),MIN(100,MAX(0,customer_churn_dataset!I1352)))</f>
        <v>0</v>
      </c>
      <c r="J1352" s="7" t="n">
        <f aca="false">IF(ISBLANK(customer_churn_dataset!J1352),0,MAX(0,customer_churn_dataset!J1352))</f>
        <v>0</v>
      </c>
      <c r="K1352" s="7" t="n">
        <f aca="false">IF(ISBLANK(customer_churn_dataset!K1352),0,MIN(10,MAX(0,customer_churn_dataset!K1352)))</f>
        <v>2</v>
      </c>
      <c r="L1352" s="7" t="n">
        <f aca="false">IF(ISBLANK(customer_churn_dataset!L1352),0,MAX(0,customer_churn_dataset!L1352))</f>
        <v>3</v>
      </c>
      <c r="M1352" s="7" t="n">
        <f aca="false">IF(ISBLANK(customer_churn_dataset!M1352),0,customer_churn_dataset!M1352)</f>
        <v>1</v>
      </c>
      <c r="N1352" s="7" t="n">
        <f aca="false">IF(ISBLANK(customer_churn_dataset!N1352),0,MAX(0,customer_churn_dataset!N1352))</f>
        <v>122.94</v>
      </c>
      <c r="O1352" s="7" t="n">
        <f aca="false">IF(ISBLANK(customer_churn_dataset!O1352),0,customer_churn_dataset!O1352)</f>
        <v>0</v>
      </c>
      <c r="P1352" s="7" t="str">
        <f aca="false">IF(COUNTIF(customer_churn_dataset!$A$2:$A$1501,customer_churn_dataset!A1352)&gt;1,"Duplicate","Unique")</f>
        <v>Unique</v>
      </c>
    </row>
    <row r="1353" customFormat="false" ht="14.15" hidden="false" customHeight="true" outlineLevel="0" collapsed="false">
      <c r="A1353" s="7" t="str">
        <f aca="false">TRIM(customer_churn_dataset!A1353)</f>
        <v>CUST100450</v>
      </c>
      <c r="B1353" s="7" t="str">
        <f aca="false">PROPER(TRIM(customer_churn_dataset!B1353))</f>
        <v>Standard</v>
      </c>
      <c r="C1353" s="7" t="str">
        <f aca="false">PROPER(TRIM(customer_churn_dataset!C1353))</f>
        <v>Month-To-Month</v>
      </c>
      <c r="D1353" s="7" t="n">
        <f aca="false">IF(ISBLANK(customer_churn_dataset!D1353),ROUND(MEDIAN(customer_churn_dataset!D$2:D$1501),2),IF(customer_churn_dataset!D1353&lt;0,ABS(customer_churn_dataset!D1353),customer_churn_dataset!D1353))</f>
        <v>19.7</v>
      </c>
      <c r="E1353" s="7" t="n">
        <f aca="false">IF(ISBLANK(customer_churn_dataset!E1353),0,MAX(0,customer_churn_dataset!E1353))</f>
        <v>7</v>
      </c>
      <c r="F1353" s="8" t="n">
        <f aca="false">IF(ISBLANK(customer_churn_dataset!F1353),"",customer_churn_dataset!F1353)</f>
        <v>45633</v>
      </c>
      <c r="G1353" s="7" t="str">
        <f aca="false">PROPER(TRIM(customer_churn_dataset!G1353))</f>
        <v>Credit Card</v>
      </c>
      <c r="H1353" s="7" t="n">
        <f aca="false">IF(ISBLANK(customer_churn_dataset!H1353),0,customer_churn_dataset!H1353)</f>
        <v>1</v>
      </c>
      <c r="I1353" s="7" t="n">
        <f aca="false">IF(ISBLANK(customer_churn_dataset!I1353),ROUND(MEDIAN(customer_churn_dataset!I$2:I$1501),1),MIN(100,MAX(0,customer_churn_dataset!I1353)))</f>
        <v>60.1</v>
      </c>
      <c r="J1353" s="7" t="n">
        <f aca="false">IF(ISBLANK(customer_churn_dataset!J1353),0,MAX(0,customer_churn_dataset!J1353))</f>
        <v>20</v>
      </c>
      <c r="K1353" s="7" t="n">
        <f aca="false">IF(ISBLANK(customer_churn_dataset!K1353),0,MIN(10,MAX(0,customer_churn_dataset!K1353)))</f>
        <v>8</v>
      </c>
      <c r="L1353" s="7" t="n">
        <f aca="false">IF(ISBLANK(customer_churn_dataset!L1353),0,MAX(0,customer_churn_dataset!L1353))</f>
        <v>1</v>
      </c>
      <c r="M1353" s="7" t="n">
        <f aca="false">IF(ISBLANK(customer_churn_dataset!M1353),0,customer_churn_dataset!M1353)</f>
        <v>0</v>
      </c>
      <c r="N1353" s="7" t="n">
        <f aca="false">IF(ISBLANK(customer_churn_dataset!N1353),0,MAX(0,customer_churn_dataset!N1353))</f>
        <v>137.9</v>
      </c>
      <c r="O1353" s="7" t="n">
        <f aca="false">IF(ISBLANK(customer_churn_dataset!O1353),0,customer_churn_dataset!O1353)</f>
        <v>0</v>
      </c>
      <c r="P1353" s="7" t="str">
        <f aca="false">IF(COUNTIF(customer_churn_dataset!$A$2:$A$1501,customer_churn_dataset!A1353)&gt;1,"Duplicate","Unique")</f>
        <v>Unique</v>
      </c>
    </row>
    <row r="1354" customFormat="false" ht="14.15" hidden="false" customHeight="true" outlineLevel="0" collapsed="false">
      <c r="A1354" s="7" t="str">
        <f aca="false">TRIM(customer_churn_dataset!A1354)</f>
        <v>CUST101048</v>
      </c>
      <c r="B1354" s="7" t="str">
        <f aca="false">PROPER(TRIM(customer_churn_dataset!B1354))</f>
        <v>Premium</v>
      </c>
      <c r="C1354" s="7" t="str">
        <f aca="false">PROPER(TRIM(customer_churn_dataset!C1354))</f>
        <v>Month-To-Month</v>
      </c>
      <c r="D1354" s="7" t="n">
        <f aca="false">IF(ISBLANK(customer_churn_dataset!D1354),ROUND(MEDIAN(customer_churn_dataset!D$2:D$1501),2),IF(customer_churn_dataset!D1354&lt;0,ABS(customer_churn_dataset!D1354),customer_churn_dataset!D1354))</f>
        <v>39.68</v>
      </c>
      <c r="E1354" s="7" t="n">
        <f aca="false">IF(ISBLANK(customer_churn_dataset!E1354),0,MAX(0,customer_churn_dataset!E1354))</f>
        <v>16</v>
      </c>
      <c r="F1354" s="8" t="n">
        <f aca="false">IF(ISBLANK(customer_churn_dataset!F1354),"",customer_churn_dataset!F1354)</f>
        <v>45633</v>
      </c>
      <c r="G1354" s="7" t="str">
        <f aca="false">PROPER(TRIM(customer_churn_dataset!G1354))</f>
        <v>Paypal</v>
      </c>
      <c r="H1354" s="7" t="n">
        <f aca="false">IF(ISBLANK(customer_churn_dataset!H1354),0,customer_churn_dataset!H1354)</f>
        <v>1</v>
      </c>
      <c r="I1354" s="7" t="n">
        <f aca="false">IF(ISBLANK(customer_churn_dataset!I1354),ROUND(MEDIAN(customer_churn_dataset!I$2:I$1501),1),MIN(100,MAX(0,customer_churn_dataset!I1354)))</f>
        <v>16.7</v>
      </c>
      <c r="J1354" s="7" t="n">
        <f aca="false">IF(ISBLANK(customer_churn_dataset!J1354),0,MAX(0,customer_churn_dataset!J1354))</f>
        <v>0</v>
      </c>
      <c r="K1354" s="7" t="n">
        <f aca="false">IF(ISBLANK(customer_churn_dataset!K1354),0,MIN(10,MAX(0,customer_churn_dataset!K1354)))</f>
        <v>3</v>
      </c>
      <c r="L1354" s="7" t="n">
        <f aca="false">IF(ISBLANK(customer_churn_dataset!L1354),0,MAX(0,customer_churn_dataset!L1354))</f>
        <v>3</v>
      </c>
      <c r="M1354" s="7" t="n">
        <f aca="false">IF(ISBLANK(customer_churn_dataset!M1354),0,customer_churn_dataset!M1354)</f>
        <v>0</v>
      </c>
      <c r="N1354" s="7" t="n">
        <f aca="false">IF(ISBLANK(customer_churn_dataset!N1354),0,MAX(0,customer_churn_dataset!N1354))</f>
        <v>634.88</v>
      </c>
      <c r="O1354" s="7" t="n">
        <f aca="false">IF(ISBLANK(customer_churn_dataset!O1354),0,customer_churn_dataset!O1354)</f>
        <v>1</v>
      </c>
      <c r="P1354" s="7" t="str">
        <f aca="false">IF(COUNTIF(customer_churn_dataset!$A$2:$A$1501,customer_churn_dataset!A1354)&gt;1,"Duplicate","Unique")</f>
        <v>Unique</v>
      </c>
    </row>
    <row r="1355" customFormat="false" ht="14.15" hidden="false" customHeight="true" outlineLevel="0" collapsed="false">
      <c r="A1355" s="7" t="str">
        <f aca="false">TRIM(customer_churn_dataset!A1355)</f>
        <v>CUST100596</v>
      </c>
      <c r="B1355" s="7" t="str">
        <f aca="false">PROPER(TRIM(customer_churn_dataset!B1355))</f>
        <v>Standard</v>
      </c>
      <c r="C1355" s="7" t="str">
        <f aca="false">PROPER(TRIM(customer_churn_dataset!C1355))</f>
        <v>Month-To-Month</v>
      </c>
      <c r="D1355" s="7" t="n">
        <f aca="false">IF(ISBLANK(customer_churn_dataset!D1355),ROUND(MEDIAN(customer_churn_dataset!D$2:D$1501),2),IF(customer_churn_dataset!D1355&lt;0,ABS(customer_churn_dataset!D1355),customer_churn_dataset!D1355))</f>
        <v>19.85</v>
      </c>
      <c r="E1355" s="7" t="n">
        <f aca="false">IF(ISBLANK(customer_churn_dataset!E1355),0,MAX(0,customer_churn_dataset!E1355))</f>
        <v>1</v>
      </c>
      <c r="F1355" s="8" t="n">
        <f aca="false">IF(ISBLANK(customer_churn_dataset!F1355),"",customer_churn_dataset!F1355)</f>
        <v>45634</v>
      </c>
      <c r="G1355" s="7" t="str">
        <f aca="false">PROPER(TRIM(customer_churn_dataset!G1355))</f>
        <v>Manual/Invoice</v>
      </c>
      <c r="H1355" s="7" t="n">
        <f aca="false">IF(ISBLANK(customer_churn_dataset!H1355),0,customer_churn_dataset!H1355)</f>
        <v>1</v>
      </c>
      <c r="I1355" s="7" t="n">
        <f aca="false">IF(ISBLANK(customer_churn_dataset!I1355),ROUND(MEDIAN(customer_churn_dataset!I$2:I$1501),1),MIN(100,MAX(0,customer_churn_dataset!I1355)))</f>
        <v>85.8</v>
      </c>
      <c r="J1355" s="7" t="n">
        <f aca="false">IF(ISBLANK(customer_churn_dataset!J1355),0,MAX(0,customer_churn_dataset!J1355))</f>
        <v>34</v>
      </c>
      <c r="K1355" s="7" t="n">
        <f aca="false">IF(ISBLANK(customer_churn_dataset!K1355),0,MIN(10,MAX(0,customer_churn_dataset!K1355)))</f>
        <v>9</v>
      </c>
      <c r="L1355" s="7" t="n">
        <f aca="false">IF(ISBLANK(customer_churn_dataset!L1355),0,MAX(0,customer_churn_dataset!L1355))</f>
        <v>1</v>
      </c>
      <c r="M1355" s="7" t="n">
        <f aca="false">IF(ISBLANK(customer_churn_dataset!M1355),0,customer_churn_dataset!M1355)</f>
        <v>1</v>
      </c>
      <c r="N1355" s="7" t="n">
        <f aca="false">IF(ISBLANK(customer_churn_dataset!N1355),0,MAX(0,customer_churn_dataset!N1355))</f>
        <v>19.85</v>
      </c>
      <c r="O1355" s="7" t="n">
        <f aca="false">IF(ISBLANK(customer_churn_dataset!O1355),0,customer_churn_dataset!O1355)</f>
        <v>0</v>
      </c>
      <c r="P1355" s="7" t="str">
        <f aca="false">IF(COUNTIF(customer_churn_dataset!$A$2:$A$1501,customer_churn_dataset!A1355)&gt;1,"Duplicate","Unique")</f>
        <v>Unique</v>
      </c>
    </row>
    <row r="1356" customFormat="false" ht="14.15" hidden="false" customHeight="true" outlineLevel="0" collapsed="false">
      <c r="A1356" s="7" t="str">
        <f aca="false">TRIM(customer_churn_dataset!A1356)</f>
        <v>CUST101294</v>
      </c>
      <c r="B1356" s="7" t="str">
        <f aca="false">PROPER(TRIM(customer_churn_dataset!B1356))</f>
        <v>Premium</v>
      </c>
      <c r="C1356" s="7" t="str">
        <f aca="false">PROPER(TRIM(customer_churn_dataset!C1356))</f>
        <v>Month-To-Month</v>
      </c>
      <c r="D1356" s="7" t="n">
        <f aca="false">IF(ISBLANK(customer_churn_dataset!D1356),ROUND(MEDIAN(customer_churn_dataset!D$2:D$1501),2),IF(customer_churn_dataset!D1356&lt;0,ABS(customer_churn_dataset!D1356),customer_churn_dataset!D1356))</f>
        <v>40.67</v>
      </c>
      <c r="E1356" s="7" t="n">
        <f aca="false">IF(ISBLANK(customer_churn_dataset!E1356),0,MAX(0,customer_churn_dataset!E1356))</f>
        <v>3</v>
      </c>
      <c r="F1356" s="8" t="n">
        <f aca="false">IF(ISBLANK(customer_churn_dataset!F1356),"",customer_churn_dataset!F1356)</f>
        <v>45638</v>
      </c>
      <c r="G1356" s="7" t="str">
        <f aca="false">PROPER(TRIM(customer_churn_dataset!G1356))</f>
        <v>Credit Card</v>
      </c>
      <c r="H1356" s="7" t="n">
        <f aca="false">IF(ISBLANK(customer_churn_dataset!H1356),0,customer_churn_dataset!H1356)</f>
        <v>0</v>
      </c>
      <c r="I1356" s="7" t="n">
        <f aca="false">IF(ISBLANK(customer_churn_dataset!I1356),ROUND(MEDIAN(customer_churn_dataset!I$2:I$1501),1),MIN(100,MAX(0,customer_churn_dataset!I1356)))</f>
        <v>33.8</v>
      </c>
      <c r="J1356" s="7" t="n">
        <f aca="false">IF(ISBLANK(customer_churn_dataset!J1356),0,MAX(0,customer_churn_dataset!J1356))</f>
        <v>10</v>
      </c>
      <c r="K1356" s="7" t="n">
        <f aca="false">IF(ISBLANK(customer_churn_dataset!K1356),0,MIN(10,MAX(0,customer_churn_dataset!K1356)))</f>
        <v>2</v>
      </c>
      <c r="L1356" s="7" t="n">
        <f aca="false">IF(ISBLANK(customer_churn_dataset!L1356),0,MAX(0,customer_churn_dataset!L1356))</f>
        <v>1</v>
      </c>
      <c r="M1356" s="7" t="n">
        <f aca="false">IF(ISBLANK(customer_churn_dataset!M1356),0,customer_churn_dataset!M1356)</f>
        <v>0</v>
      </c>
      <c r="N1356" s="7" t="n">
        <f aca="false">IF(ISBLANK(customer_churn_dataset!N1356),0,MAX(0,customer_churn_dataset!N1356))</f>
        <v>122.01</v>
      </c>
      <c r="O1356" s="7" t="n">
        <f aca="false">IF(ISBLANK(customer_churn_dataset!O1356),0,customer_churn_dataset!O1356)</f>
        <v>1</v>
      </c>
      <c r="P1356" s="7" t="str">
        <f aca="false">IF(COUNTIF(customer_churn_dataset!$A$2:$A$1501,customer_churn_dataset!A1356)&gt;1,"Duplicate","Unique")</f>
        <v>Unique</v>
      </c>
    </row>
    <row r="1357" customFormat="false" ht="14.15" hidden="false" customHeight="true" outlineLevel="0" collapsed="false">
      <c r="A1357" s="7" t="str">
        <f aca="false">TRIM(customer_churn_dataset!A1357)</f>
        <v>CUST100671</v>
      </c>
      <c r="B1357" s="7" t="str">
        <f aca="false">PROPER(TRIM(customer_churn_dataset!B1357))</f>
        <v>Premium</v>
      </c>
      <c r="C1357" s="7" t="str">
        <f aca="false">PROPER(TRIM(customer_churn_dataset!C1357))</f>
        <v>One Year</v>
      </c>
      <c r="D1357" s="7" t="n">
        <f aca="false">IF(ISBLANK(customer_churn_dataset!D1357),ROUND(MEDIAN(customer_churn_dataset!D$2:D$1501),2),IF(customer_churn_dataset!D1357&lt;0,ABS(customer_churn_dataset!D1357),customer_churn_dataset!D1357))</f>
        <v>40.22</v>
      </c>
      <c r="E1357" s="7" t="n">
        <f aca="false">IF(ISBLANK(customer_churn_dataset!E1357),0,MAX(0,customer_churn_dataset!E1357))</f>
        <v>46</v>
      </c>
      <c r="F1357" s="8" t="n">
        <f aca="false">IF(ISBLANK(customer_churn_dataset!F1357),"",customer_churn_dataset!F1357)</f>
        <v>45639</v>
      </c>
      <c r="G1357" s="7" t="str">
        <f aca="false">PROPER(TRIM(customer_churn_dataset!G1357))</f>
        <v>Credit Card</v>
      </c>
      <c r="H1357" s="7" t="n">
        <f aca="false">IF(ISBLANK(customer_churn_dataset!H1357),0,customer_churn_dataset!H1357)</f>
        <v>1</v>
      </c>
      <c r="I1357" s="7" t="n">
        <f aca="false">IF(ISBLANK(customer_churn_dataset!I1357),ROUND(MEDIAN(customer_churn_dataset!I$2:I$1501),1),MIN(100,MAX(0,customer_churn_dataset!I1357)))</f>
        <v>68.3</v>
      </c>
      <c r="J1357" s="7" t="n">
        <f aca="false">IF(ISBLANK(customer_churn_dataset!J1357),0,MAX(0,customer_churn_dataset!J1357))</f>
        <v>17</v>
      </c>
      <c r="K1357" s="7" t="n">
        <f aca="false">IF(ISBLANK(customer_churn_dataset!K1357),0,MIN(10,MAX(0,customer_churn_dataset!K1357)))</f>
        <v>5</v>
      </c>
      <c r="L1357" s="7" t="n">
        <f aca="false">IF(ISBLANK(customer_churn_dataset!L1357),0,MAX(0,customer_churn_dataset!L1357))</f>
        <v>0</v>
      </c>
      <c r="M1357" s="7" t="n">
        <f aca="false">IF(ISBLANK(customer_churn_dataset!M1357),0,customer_churn_dataset!M1357)</f>
        <v>0</v>
      </c>
      <c r="N1357" s="7" t="n">
        <f aca="false">IF(ISBLANK(customer_churn_dataset!N1357),0,MAX(0,customer_churn_dataset!N1357))</f>
        <v>1850.12</v>
      </c>
      <c r="O1357" s="7" t="n">
        <f aca="false">IF(ISBLANK(customer_churn_dataset!O1357),0,customer_churn_dataset!O1357)</f>
        <v>0</v>
      </c>
      <c r="P1357" s="7" t="str">
        <f aca="false">IF(COUNTIF(customer_churn_dataset!$A$2:$A$1501,customer_churn_dataset!A1357)&gt;1,"Duplicate","Unique")</f>
        <v>Unique</v>
      </c>
    </row>
    <row r="1358" customFormat="false" ht="14.15" hidden="false" customHeight="true" outlineLevel="0" collapsed="false">
      <c r="A1358" s="7" t="str">
        <f aca="false">TRIM(customer_churn_dataset!A1358)</f>
        <v>CUST101207</v>
      </c>
      <c r="B1358" s="7" t="str">
        <f aca="false">PROPER(TRIM(customer_churn_dataset!B1358))</f>
        <v>Basic</v>
      </c>
      <c r="C1358" s="7" t="str">
        <f aca="false">PROPER(TRIM(customer_churn_dataset!C1358))</f>
        <v>One Year</v>
      </c>
      <c r="D1358" s="7" t="n">
        <f aca="false">IF(ISBLANK(customer_churn_dataset!D1358),ROUND(MEDIAN(customer_churn_dataset!D$2:D$1501),2),IF(customer_churn_dataset!D1358&lt;0,ABS(customer_churn_dataset!D1358),customer_churn_dataset!D1358))</f>
        <v>8.28</v>
      </c>
      <c r="E1358" s="7" t="n">
        <f aca="false">IF(ISBLANK(customer_churn_dataset!E1358),0,MAX(0,customer_churn_dataset!E1358))</f>
        <v>13</v>
      </c>
      <c r="F1358" s="8" t="n">
        <f aca="false">IF(ISBLANK(customer_churn_dataset!F1358),"",customer_churn_dataset!F1358)</f>
        <v>45640</v>
      </c>
      <c r="G1358" s="7" t="str">
        <f aca="false">PROPER(TRIM(customer_churn_dataset!G1358))</f>
        <v>Bank Transfer</v>
      </c>
      <c r="H1358" s="7" t="n">
        <f aca="false">IF(ISBLANK(customer_churn_dataset!H1358),0,customer_churn_dataset!H1358)</f>
        <v>0</v>
      </c>
      <c r="I1358" s="7" t="n">
        <f aca="false">IF(ISBLANK(customer_churn_dataset!I1358),ROUND(MEDIAN(customer_churn_dataset!I$2:I$1501),1),MIN(100,MAX(0,customer_churn_dataset!I1358)))</f>
        <v>69</v>
      </c>
      <c r="J1358" s="7" t="n">
        <f aca="false">IF(ISBLANK(customer_churn_dataset!J1358),0,MAX(0,customer_churn_dataset!J1358))</f>
        <v>15</v>
      </c>
      <c r="K1358" s="7" t="n">
        <f aca="false">IF(ISBLANK(customer_churn_dataset!K1358),0,MIN(10,MAX(0,customer_churn_dataset!K1358)))</f>
        <v>6</v>
      </c>
      <c r="L1358" s="7" t="n">
        <f aca="false">IF(ISBLANK(customer_churn_dataset!L1358),0,MAX(0,customer_churn_dataset!L1358))</f>
        <v>1</v>
      </c>
      <c r="M1358" s="7" t="n">
        <f aca="false">IF(ISBLANK(customer_churn_dataset!M1358),0,customer_churn_dataset!M1358)</f>
        <v>1</v>
      </c>
      <c r="N1358" s="7" t="n">
        <f aca="false">IF(ISBLANK(customer_churn_dataset!N1358),0,MAX(0,customer_churn_dataset!N1358))</f>
        <v>107.64</v>
      </c>
      <c r="O1358" s="7" t="n">
        <f aca="false">IF(ISBLANK(customer_churn_dataset!O1358),0,customer_churn_dataset!O1358)</f>
        <v>1</v>
      </c>
      <c r="P1358" s="7" t="str">
        <f aca="false">IF(COUNTIF(customer_churn_dataset!$A$2:$A$1501,customer_churn_dataset!A1358)&gt;1,"Duplicate","Unique")</f>
        <v>Unique</v>
      </c>
    </row>
    <row r="1359" customFormat="false" ht="14.15" hidden="false" customHeight="true" outlineLevel="0" collapsed="false">
      <c r="A1359" s="7" t="str">
        <f aca="false">TRIM(customer_churn_dataset!A1359)</f>
        <v>CUST101264</v>
      </c>
      <c r="B1359" s="7" t="str">
        <f aca="false">PROPER(TRIM(customer_churn_dataset!B1359))</f>
        <v>Basic</v>
      </c>
      <c r="C1359" s="7" t="str">
        <f aca="false">PROPER(TRIM(customer_churn_dataset!C1359))</f>
        <v>Month-To-Month</v>
      </c>
      <c r="D1359" s="7" t="n">
        <f aca="false">IF(ISBLANK(customer_churn_dataset!D1359),ROUND(MEDIAN(customer_churn_dataset!D$2:D$1501),2),IF(customer_churn_dataset!D1359&lt;0,ABS(customer_churn_dataset!D1359),customer_churn_dataset!D1359))</f>
        <v>8.46</v>
      </c>
      <c r="E1359" s="7" t="n">
        <f aca="false">IF(ISBLANK(customer_churn_dataset!E1359),0,MAX(0,customer_churn_dataset!E1359))</f>
        <v>10</v>
      </c>
      <c r="F1359" s="8" t="n">
        <f aca="false">IF(ISBLANK(customer_churn_dataset!F1359),"",customer_churn_dataset!F1359)</f>
        <v>45643</v>
      </c>
      <c r="G1359" s="7" t="str">
        <f aca="false">PROPER(TRIM(customer_churn_dataset!G1359))</f>
        <v>Paypal</v>
      </c>
      <c r="H1359" s="7" t="n">
        <f aca="false">IF(ISBLANK(customer_churn_dataset!H1359),0,customer_churn_dataset!H1359)</f>
        <v>1</v>
      </c>
      <c r="I1359" s="7" t="n">
        <f aca="false">IF(ISBLANK(customer_churn_dataset!I1359),ROUND(MEDIAN(customer_churn_dataset!I$2:I$1501),1),MIN(100,MAX(0,customer_churn_dataset!I1359)))</f>
        <v>97.2</v>
      </c>
      <c r="J1359" s="7" t="n">
        <f aca="false">IF(ISBLANK(customer_churn_dataset!J1359),0,MAX(0,customer_churn_dataset!J1359))</f>
        <v>32</v>
      </c>
      <c r="K1359" s="7" t="n">
        <f aca="false">IF(ISBLANK(customer_churn_dataset!K1359),0,MIN(10,MAX(0,customer_churn_dataset!K1359)))</f>
        <v>9</v>
      </c>
      <c r="L1359" s="7" t="n">
        <f aca="false">IF(ISBLANK(customer_churn_dataset!L1359),0,MAX(0,customer_churn_dataset!L1359))</f>
        <v>3</v>
      </c>
      <c r="M1359" s="7" t="n">
        <f aca="false">IF(ISBLANK(customer_churn_dataset!M1359),0,customer_churn_dataset!M1359)</f>
        <v>1</v>
      </c>
      <c r="N1359" s="7" t="n">
        <f aca="false">IF(ISBLANK(customer_churn_dataset!N1359),0,MAX(0,customer_churn_dataset!N1359))</f>
        <v>84.6</v>
      </c>
      <c r="O1359" s="7" t="n">
        <f aca="false">IF(ISBLANK(customer_churn_dataset!O1359),0,customer_churn_dataset!O1359)</f>
        <v>0</v>
      </c>
      <c r="P1359" s="7" t="str">
        <f aca="false">IF(COUNTIF(customer_churn_dataset!$A$2:$A$1501,customer_churn_dataset!A1359)&gt;1,"Duplicate","Unique")</f>
        <v>Unique</v>
      </c>
    </row>
    <row r="1360" customFormat="false" ht="14.15" hidden="false" customHeight="true" outlineLevel="0" collapsed="false">
      <c r="A1360" s="7" t="str">
        <f aca="false">TRIM(customer_churn_dataset!A1360)</f>
        <v>CUST100146</v>
      </c>
      <c r="B1360" s="7" t="str">
        <f aca="false">PROPER(TRIM(customer_churn_dataset!B1360))</f>
        <v>Standard</v>
      </c>
      <c r="C1360" s="7" t="str">
        <f aca="false">PROPER(TRIM(customer_churn_dataset!C1360))</f>
        <v>Two Year</v>
      </c>
      <c r="D1360" s="7" t="n">
        <f aca="false">IF(ISBLANK(customer_churn_dataset!D1360),ROUND(MEDIAN(customer_churn_dataset!D$2:D$1501),2),IF(customer_churn_dataset!D1360&lt;0,ABS(customer_churn_dataset!D1360),customer_churn_dataset!D1360))</f>
        <v>20.02</v>
      </c>
      <c r="E1360" s="7" t="n">
        <f aca="false">IF(ISBLANK(customer_churn_dataset!E1360),0,MAX(0,customer_churn_dataset!E1360))</f>
        <v>16</v>
      </c>
      <c r="F1360" s="8" t="n">
        <f aca="false">IF(ISBLANK(customer_churn_dataset!F1360),"",customer_churn_dataset!F1360)</f>
        <v>45646</v>
      </c>
      <c r="G1360" s="7" t="str">
        <f aca="false">PROPER(TRIM(customer_churn_dataset!G1360))</f>
        <v>Bank Transfer</v>
      </c>
      <c r="H1360" s="7" t="n">
        <f aca="false">IF(ISBLANK(customer_churn_dataset!H1360),0,customer_churn_dataset!H1360)</f>
        <v>1</v>
      </c>
      <c r="I1360" s="7" t="n">
        <f aca="false">IF(ISBLANK(customer_churn_dataset!I1360),ROUND(MEDIAN(customer_churn_dataset!I$2:I$1501),1),MIN(100,MAX(0,customer_churn_dataset!I1360)))</f>
        <v>46.4</v>
      </c>
      <c r="J1360" s="7" t="n">
        <f aca="false">IF(ISBLANK(customer_churn_dataset!J1360),0,MAX(0,customer_churn_dataset!J1360))</f>
        <v>10</v>
      </c>
      <c r="K1360" s="7" t="n">
        <f aca="false">IF(ISBLANK(customer_churn_dataset!K1360),0,MIN(10,MAX(0,customer_churn_dataset!K1360)))</f>
        <v>5</v>
      </c>
      <c r="L1360" s="7" t="n">
        <f aca="false">IF(ISBLANK(customer_churn_dataset!L1360),0,MAX(0,customer_churn_dataset!L1360))</f>
        <v>1</v>
      </c>
      <c r="M1360" s="7" t="n">
        <f aca="false">IF(ISBLANK(customer_churn_dataset!M1360),0,customer_churn_dataset!M1360)</f>
        <v>0</v>
      </c>
      <c r="N1360" s="7" t="n">
        <f aca="false">IF(ISBLANK(customer_churn_dataset!N1360),0,MAX(0,customer_churn_dataset!N1360))</f>
        <v>320.32</v>
      </c>
      <c r="O1360" s="7" t="n">
        <f aca="false">IF(ISBLANK(customer_churn_dataset!O1360),0,customer_churn_dataset!O1360)</f>
        <v>0</v>
      </c>
      <c r="P1360" s="7" t="str">
        <f aca="false">IF(COUNTIF(customer_churn_dataset!$A$2:$A$1501,customer_churn_dataset!A1360)&gt;1,"Duplicate","Unique")</f>
        <v>Unique</v>
      </c>
    </row>
    <row r="1361" customFormat="false" ht="14.15" hidden="false" customHeight="true" outlineLevel="0" collapsed="false">
      <c r="A1361" s="7" t="str">
        <f aca="false">TRIM(customer_churn_dataset!A1361)</f>
        <v>CUST100461</v>
      </c>
      <c r="B1361" s="7" t="str">
        <f aca="false">PROPER(TRIM(customer_churn_dataset!B1361))</f>
        <v>Standard</v>
      </c>
      <c r="C1361" s="7" t="str">
        <f aca="false">PROPER(TRIM(customer_churn_dataset!C1361))</f>
        <v>Month-To-Month</v>
      </c>
      <c r="D1361" s="7" t="n">
        <f aca="false">IF(ISBLANK(customer_churn_dataset!D1361),ROUND(MEDIAN(customer_churn_dataset!D$2:D$1501),2),IF(customer_churn_dataset!D1361&lt;0,ABS(customer_churn_dataset!D1361),customer_churn_dataset!D1361))</f>
        <v>18.55</v>
      </c>
      <c r="E1361" s="7" t="n">
        <f aca="false">IF(ISBLANK(customer_churn_dataset!E1361),0,MAX(0,customer_churn_dataset!E1361))</f>
        <v>3</v>
      </c>
      <c r="F1361" s="8" t="n">
        <f aca="false">IF(ISBLANK(customer_churn_dataset!F1361),"",customer_churn_dataset!F1361)</f>
        <v>45648</v>
      </c>
      <c r="G1361" s="7" t="str">
        <f aca="false">PROPER(TRIM(customer_churn_dataset!G1361))</f>
        <v>Credit Card</v>
      </c>
      <c r="H1361" s="7" t="n">
        <f aca="false">IF(ISBLANK(customer_churn_dataset!H1361),0,customer_churn_dataset!H1361)</f>
        <v>1</v>
      </c>
      <c r="I1361" s="7" t="n">
        <f aca="false">IF(ISBLANK(customer_churn_dataset!I1361),ROUND(MEDIAN(customer_churn_dataset!I$2:I$1501),1),MIN(100,MAX(0,customer_churn_dataset!I1361)))</f>
        <v>42.4</v>
      </c>
      <c r="J1361" s="7" t="n">
        <f aca="false">IF(ISBLANK(customer_churn_dataset!J1361),0,MAX(0,customer_churn_dataset!J1361))</f>
        <v>16</v>
      </c>
      <c r="K1361" s="7" t="n">
        <f aca="false">IF(ISBLANK(customer_churn_dataset!K1361),0,MIN(10,MAX(0,customer_churn_dataset!K1361)))</f>
        <v>5</v>
      </c>
      <c r="L1361" s="7" t="n">
        <f aca="false">IF(ISBLANK(customer_churn_dataset!L1361),0,MAX(0,customer_churn_dataset!L1361))</f>
        <v>2</v>
      </c>
      <c r="M1361" s="7" t="n">
        <f aca="false">IF(ISBLANK(customer_churn_dataset!M1361),0,customer_churn_dataset!M1361)</f>
        <v>0</v>
      </c>
      <c r="N1361" s="7" t="n">
        <f aca="false">IF(ISBLANK(customer_churn_dataset!N1361),0,MAX(0,customer_churn_dataset!N1361))</f>
        <v>55.65</v>
      </c>
      <c r="O1361" s="7" t="n">
        <f aca="false">IF(ISBLANK(customer_churn_dataset!O1361),0,customer_churn_dataset!O1361)</f>
        <v>0</v>
      </c>
      <c r="P1361" s="7" t="str">
        <f aca="false">IF(COUNTIF(customer_churn_dataset!$A$2:$A$1501,customer_churn_dataset!A1361)&gt;1,"Duplicate","Unique")</f>
        <v>Unique</v>
      </c>
    </row>
    <row r="1362" customFormat="false" ht="14.15" hidden="false" customHeight="true" outlineLevel="0" collapsed="false">
      <c r="A1362" s="7" t="str">
        <f aca="false">TRIM(customer_churn_dataset!A1362)</f>
        <v>CUST101387</v>
      </c>
      <c r="B1362" s="7" t="str">
        <f aca="false">PROPER(TRIM(customer_churn_dataset!B1362))</f>
        <v>Basic</v>
      </c>
      <c r="C1362" s="7" t="str">
        <f aca="false">PROPER(TRIM(customer_churn_dataset!C1362))</f>
        <v>Month-To-Month</v>
      </c>
      <c r="D1362" s="7" t="n">
        <f aca="false">IF(ISBLANK(customer_churn_dataset!D1362),ROUND(MEDIAN(customer_churn_dataset!D$2:D$1501),2),IF(customer_churn_dataset!D1362&lt;0,ABS(customer_churn_dataset!D1362),customer_churn_dataset!D1362))</f>
        <v>9.43</v>
      </c>
      <c r="E1362" s="7" t="n">
        <f aca="false">IF(ISBLANK(customer_churn_dataset!E1362),0,MAX(0,customer_churn_dataset!E1362))</f>
        <v>0</v>
      </c>
      <c r="F1362" s="8" t="n">
        <f aca="false">IF(ISBLANK(customer_churn_dataset!F1362),"",customer_churn_dataset!F1362)</f>
        <v>45650</v>
      </c>
      <c r="G1362" s="7" t="str">
        <f aca="false">PROPER(TRIM(customer_churn_dataset!G1362))</f>
        <v>Credit Card</v>
      </c>
      <c r="H1362" s="7" t="n">
        <f aca="false">IF(ISBLANK(customer_churn_dataset!H1362),0,customer_churn_dataset!H1362)</f>
        <v>1</v>
      </c>
      <c r="I1362" s="7" t="n">
        <f aca="false">IF(ISBLANK(customer_churn_dataset!I1362),ROUND(MEDIAN(customer_churn_dataset!I$2:I$1501),1),MIN(100,MAX(0,customer_churn_dataset!I1362)))</f>
        <v>71.4</v>
      </c>
      <c r="J1362" s="7" t="n">
        <f aca="false">IF(ISBLANK(customer_churn_dataset!J1362),0,MAX(0,customer_churn_dataset!J1362))</f>
        <v>29</v>
      </c>
      <c r="K1362" s="7" t="n">
        <f aca="false">IF(ISBLANK(customer_churn_dataset!K1362),0,MIN(10,MAX(0,customer_churn_dataset!K1362)))</f>
        <v>8</v>
      </c>
      <c r="L1362" s="7" t="n">
        <f aca="false">IF(ISBLANK(customer_churn_dataset!L1362),0,MAX(0,customer_churn_dataset!L1362))</f>
        <v>0</v>
      </c>
      <c r="M1362" s="7" t="n">
        <f aca="false">IF(ISBLANK(customer_churn_dataset!M1362),0,customer_churn_dataset!M1362)</f>
        <v>0</v>
      </c>
      <c r="N1362" s="7" t="n">
        <f aca="false">IF(ISBLANK(customer_churn_dataset!N1362),0,MAX(0,customer_churn_dataset!N1362))</f>
        <v>0</v>
      </c>
      <c r="O1362" s="7" t="n">
        <f aca="false">IF(ISBLANK(customer_churn_dataset!O1362),0,customer_churn_dataset!O1362)</f>
        <v>0</v>
      </c>
      <c r="P1362" s="7" t="str">
        <f aca="false">IF(COUNTIF(customer_churn_dataset!$A$2:$A$1501,customer_churn_dataset!A1362)&gt;1,"Duplicate","Unique")</f>
        <v>Unique</v>
      </c>
    </row>
    <row r="1363" customFormat="false" ht="14.15" hidden="false" customHeight="true" outlineLevel="0" collapsed="false">
      <c r="A1363" s="7" t="str">
        <f aca="false">TRIM(customer_churn_dataset!A1363)</f>
        <v>CUST101224</v>
      </c>
      <c r="B1363" s="7" t="str">
        <f aca="false">PROPER(TRIM(customer_churn_dataset!B1363))</f>
        <v>Basic</v>
      </c>
      <c r="C1363" s="7" t="str">
        <f aca="false">PROPER(TRIM(customer_churn_dataset!C1363))</f>
        <v>One Year</v>
      </c>
      <c r="D1363" s="7" t="n">
        <f aca="false">IF(ISBLANK(customer_churn_dataset!D1363),ROUND(MEDIAN(customer_churn_dataset!D$2:D$1501),2),IF(customer_churn_dataset!D1363&lt;0,ABS(customer_churn_dataset!D1363),customer_churn_dataset!D1363))</f>
        <v>10.02</v>
      </c>
      <c r="E1363" s="7" t="n">
        <f aca="false">IF(ISBLANK(customer_churn_dataset!E1363),0,MAX(0,customer_churn_dataset!E1363))</f>
        <v>11</v>
      </c>
      <c r="F1363" s="8" t="n">
        <f aca="false">IF(ISBLANK(customer_churn_dataset!F1363),"",customer_churn_dataset!F1363)</f>
        <v>45652</v>
      </c>
      <c r="G1363" s="7" t="str">
        <f aca="false">PROPER(TRIM(customer_churn_dataset!G1363))</f>
        <v>Credit Card</v>
      </c>
      <c r="H1363" s="7" t="n">
        <f aca="false">IF(ISBLANK(customer_churn_dataset!H1363),0,customer_churn_dataset!H1363)</f>
        <v>1</v>
      </c>
      <c r="I1363" s="7" t="n">
        <f aca="false">IF(ISBLANK(customer_churn_dataset!I1363),ROUND(MEDIAN(customer_churn_dataset!I$2:I$1501),1),MIN(100,MAX(0,customer_churn_dataset!I1363)))</f>
        <v>19.1</v>
      </c>
      <c r="J1363" s="7" t="n">
        <f aca="false">IF(ISBLANK(customer_churn_dataset!J1363),0,MAX(0,customer_churn_dataset!J1363))</f>
        <v>1</v>
      </c>
      <c r="K1363" s="7" t="n">
        <f aca="false">IF(ISBLANK(customer_churn_dataset!K1363),0,MIN(10,MAX(0,customer_churn_dataset!K1363)))</f>
        <v>0</v>
      </c>
      <c r="L1363" s="7" t="n">
        <f aca="false">IF(ISBLANK(customer_churn_dataset!L1363),0,MAX(0,customer_churn_dataset!L1363))</f>
        <v>3</v>
      </c>
      <c r="M1363" s="7" t="n">
        <f aca="false">IF(ISBLANK(customer_churn_dataset!M1363),0,customer_churn_dataset!M1363)</f>
        <v>0</v>
      </c>
      <c r="N1363" s="7" t="n">
        <f aca="false">IF(ISBLANK(customer_churn_dataset!N1363),0,MAX(0,customer_churn_dataset!N1363))</f>
        <v>110.22</v>
      </c>
      <c r="O1363" s="7" t="n">
        <f aca="false">IF(ISBLANK(customer_churn_dataset!O1363),0,customer_churn_dataset!O1363)</f>
        <v>0</v>
      </c>
      <c r="P1363" s="7" t="str">
        <f aca="false">IF(COUNTIF(customer_churn_dataset!$A$2:$A$1501,customer_churn_dataset!A1363)&gt;1,"Duplicate","Unique")</f>
        <v>Unique</v>
      </c>
    </row>
    <row r="1364" customFormat="false" ht="14.15" hidden="false" customHeight="true" outlineLevel="0" collapsed="false">
      <c r="A1364" s="7" t="str">
        <f aca="false">TRIM(customer_churn_dataset!A1364)</f>
        <v>CUST100956</v>
      </c>
      <c r="B1364" s="7" t="str">
        <f aca="false">PROPER(TRIM(customer_churn_dataset!B1364))</f>
        <v>Standard</v>
      </c>
      <c r="C1364" s="7" t="str">
        <f aca="false">PROPER(TRIM(customer_churn_dataset!C1364))</f>
        <v>One Year</v>
      </c>
      <c r="D1364" s="7" t="n">
        <f aca="false">IF(ISBLANK(customer_churn_dataset!D1364),ROUND(MEDIAN(customer_churn_dataset!D$2:D$1501),2),IF(customer_churn_dataset!D1364&lt;0,ABS(customer_churn_dataset!D1364),customer_churn_dataset!D1364))</f>
        <v>19.76</v>
      </c>
      <c r="E1364" s="7" t="n">
        <f aca="false">IF(ISBLANK(customer_churn_dataset!E1364),0,MAX(0,customer_churn_dataset!E1364))</f>
        <v>27</v>
      </c>
      <c r="F1364" s="8" t="n">
        <f aca="false">IF(ISBLANK(customer_churn_dataset!F1364),"",customer_churn_dataset!F1364)</f>
        <v>45654</v>
      </c>
      <c r="G1364" s="7" t="str">
        <f aca="false">PROPER(TRIM(customer_churn_dataset!G1364))</f>
        <v>Paypal</v>
      </c>
      <c r="H1364" s="7" t="n">
        <f aca="false">IF(ISBLANK(customer_churn_dataset!H1364),0,customer_churn_dataset!H1364)</f>
        <v>1</v>
      </c>
      <c r="I1364" s="7" t="n">
        <f aca="false">IF(ISBLANK(customer_churn_dataset!I1364),ROUND(MEDIAN(customer_churn_dataset!I$2:I$1501),1),MIN(100,MAX(0,customer_churn_dataset!I1364)))</f>
        <v>78.4</v>
      </c>
      <c r="J1364" s="7" t="n">
        <f aca="false">IF(ISBLANK(customer_churn_dataset!J1364),0,MAX(0,customer_churn_dataset!J1364))</f>
        <v>22</v>
      </c>
      <c r="K1364" s="7" t="n">
        <f aca="false">IF(ISBLANK(customer_churn_dataset!K1364),0,MIN(10,MAX(0,customer_churn_dataset!K1364)))</f>
        <v>6</v>
      </c>
      <c r="L1364" s="7" t="n">
        <f aca="false">IF(ISBLANK(customer_churn_dataset!L1364),0,MAX(0,customer_churn_dataset!L1364))</f>
        <v>2</v>
      </c>
      <c r="M1364" s="7" t="n">
        <f aca="false">IF(ISBLANK(customer_churn_dataset!M1364),0,customer_churn_dataset!M1364)</f>
        <v>0</v>
      </c>
      <c r="N1364" s="7" t="n">
        <f aca="false">IF(ISBLANK(customer_churn_dataset!N1364),0,MAX(0,customer_churn_dataset!N1364))</f>
        <v>533.52</v>
      </c>
      <c r="O1364" s="7" t="n">
        <f aca="false">IF(ISBLANK(customer_churn_dataset!O1364),0,customer_churn_dataset!O1364)</f>
        <v>0</v>
      </c>
      <c r="P1364" s="7" t="str">
        <f aca="false">IF(COUNTIF(customer_churn_dataset!$A$2:$A$1501,customer_churn_dataset!A1364)&gt;1,"Duplicate","Unique")</f>
        <v>Unique</v>
      </c>
    </row>
    <row r="1365" customFormat="false" ht="14.15" hidden="false" customHeight="true" outlineLevel="0" collapsed="false">
      <c r="A1365" s="7" t="str">
        <f aca="false">TRIM(customer_churn_dataset!A1365)</f>
        <v>CUST101146</v>
      </c>
      <c r="B1365" s="7" t="str">
        <f aca="false">PROPER(TRIM(customer_churn_dataset!B1365))</f>
        <v>Standard</v>
      </c>
      <c r="C1365" s="7" t="str">
        <f aca="false">PROPER(TRIM(customer_churn_dataset!C1365))</f>
        <v>Month-To-Month</v>
      </c>
      <c r="D1365" s="7" t="n">
        <f aca="false">IF(ISBLANK(customer_churn_dataset!D1365),ROUND(MEDIAN(customer_churn_dataset!D$2:D$1501),2),IF(customer_churn_dataset!D1365&lt;0,ABS(customer_churn_dataset!D1365),customer_churn_dataset!D1365))</f>
        <v>20.6</v>
      </c>
      <c r="E1365" s="7" t="n">
        <f aca="false">IF(ISBLANK(customer_churn_dataset!E1365),0,MAX(0,customer_churn_dataset!E1365))</f>
        <v>72</v>
      </c>
      <c r="F1365" s="8" t="n">
        <f aca="false">IF(ISBLANK(customer_churn_dataset!F1365),"",customer_churn_dataset!F1365)</f>
        <v>45655</v>
      </c>
      <c r="G1365" s="7" t="str">
        <f aca="false">PROPER(TRIM(customer_churn_dataset!G1365))</f>
        <v>Credit Card</v>
      </c>
      <c r="H1365" s="7" t="n">
        <f aca="false">IF(ISBLANK(customer_churn_dataset!H1365),0,customer_churn_dataset!H1365)</f>
        <v>0</v>
      </c>
      <c r="I1365" s="7" t="n">
        <f aca="false">IF(ISBLANK(customer_churn_dataset!I1365),ROUND(MEDIAN(customer_churn_dataset!I$2:I$1501),1),MIN(100,MAX(0,customer_churn_dataset!I1365)))</f>
        <v>38.6</v>
      </c>
      <c r="J1365" s="7" t="n">
        <f aca="false">IF(ISBLANK(customer_churn_dataset!J1365),0,MAX(0,customer_churn_dataset!J1365))</f>
        <v>10</v>
      </c>
      <c r="K1365" s="7" t="n">
        <f aca="false">IF(ISBLANK(customer_churn_dataset!K1365),0,MIN(10,MAX(0,customer_churn_dataset!K1365)))</f>
        <v>5</v>
      </c>
      <c r="L1365" s="7" t="n">
        <f aca="false">IF(ISBLANK(customer_churn_dataset!L1365),0,MAX(0,customer_churn_dataset!L1365))</f>
        <v>1</v>
      </c>
      <c r="M1365" s="7" t="n">
        <f aca="false">IF(ISBLANK(customer_churn_dataset!M1365),0,customer_churn_dataset!M1365)</f>
        <v>1</v>
      </c>
      <c r="N1365" s="7" t="n">
        <f aca="false">IF(ISBLANK(customer_churn_dataset!N1365),0,MAX(0,customer_churn_dataset!N1365))</f>
        <v>1483.2</v>
      </c>
      <c r="O1365" s="7" t="n">
        <f aca="false">IF(ISBLANK(customer_churn_dataset!O1365),0,customer_churn_dataset!O1365)</f>
        <v>0</v>
      </c>
      <c r="P1365" s="7" t="str">
        <f aca="false">IF(COUNTIF(customer_churn_dataset!$A$2:$A$1501,customer_churn_dataset!A1365)&gt;1,"Duplicate","Unique")</f>
        <v>Unique</v>
      </c>
    </row>
    <row r="1366" customFormat="false" ht="14.15" hidden="false" customHeight="true" outlineLevel="0" collapsed="false">
      <c r="A1366" s="7" t="str">
        <f aca="false">TRIM(customer_churn_dataset!A1366)</f>
        <v>CUST100338</v>
      </c>
      <c r="B1366" s="7" t="str">
        <f aca="false">PROPER(TRIM(customer_churn_dataset!B1366))</f>
        <v>Standard</v>
      </c>
      <c r="C1366" s="7" t="str">
        <f aca="false">PROPER(TRIM(customer_churn_dataset!C1366))</f>
        <v>Two Year</v>
      </c>
      <c r="D1366" s="7" t="n">
        <f aca="false">IF(ISBLANK(customer_churn_dataset!D1366),ROUND(MEDIAN(customer_churn_dataset!D$2:D$1501),2),IF(customer_churn_dataset!D1366&lt;0,ABS(customer_churn_dataset!D1366),customer_churn_dataset!D1366))</f>
        <v>21.01</v>
      </c>
      <c r="E1366" s="7" t="n">
        <f aca="false">IF(ISBLANK(customer_churn_dataset!E1366),0,MAX(0,customer_churn_dataset!E1366))</f>
        <v>72</v>
      </c>
      <c r="F1366" s="8" t="n">
        <f aca="false">IF(ISBLANK(customer_churn_dataset!F1366),"",customer_churn_dataset!F1366)</f>
        <v>45655</v>
      </c>
      <c r="G1366" s="7" t="str">
        <f aca="false">PROPER(TRIM(customer_churn_dataset!G1366))</f>
        <v>Paypal</v>
      </c>
      <c r="H1366" s="7" t="n">
        <f aca="false">IF(ISBLANK(customer_churn_dataset!H1366),0,customer_churn_dataset!H1366)</f>
        <v>1</v>
      </c>
      <c r="I1366" s="7" t="n">
        <f aca="false">IF(ISBLANK(customer_churn_dataset!I1366),ROUND(MEDIAN(customer_churn_dataset!I$2:I$1501),1),MIN(100,MAX(0,customer_churn_dataset!I1366)))</f>
        <v>44.7</v>
      </c>
      <c r="J1366" s="7" t="n">
        <f aca="false">IF(ISBLANK(customer_churn_dataset!J1366),0,MAX(0,customer_churn_dataset!J1366))</f>
        <v>13</v>
      </c>
      <c r="K1366" s="7" t="n">
        <f aca="false">IF(ISBLANK(customer_churn_dataset!K1366),0,MIN(10,MAX(0,customer_churn_dataset!K1366)))</f>
        <v>3</v>
      </c>
      <c r="L1366" s="7" t="n">
        <f aca="false">IF(ISBLANK(customer_churn_dataset!L1366),0,MAX(0,customer_churn_dataset!L1366))</f>
        <v>0</v>
      </c>
      <c r="M1366" s="7" t="n">
        <f aca="false">IF(ISBLANK(customer_churn_dataset!M1366),0,customer_churn_dataset!M1366)</f>
        <v>0</v>
      </c>
      <c r="N1366" s="7" t="n">
        <f aca="false">IF(ISBLANK(customer_churn_dataset!N1366),0,MAX(0,customer_churn_dataset!N1366))</f>
        <v>1512.72</v>
      </c>
      <c r="O1366" s="7" t="n">
        <f aca="false">IF(ISBLANK(customer_churn_dataset!O1366),0,customer_churn_dataset!O1366)</f>
        <v>0</v>
      </c>
      <c r="P1366" s="7" t="str">
        <f aca="false">IF(COUNTIF(customer_churn_dataset!$A$2:$A$1501,customer_churn_dataset!A1366)&gt;1,"Duplicate","Unique")</f>
        <v>Unique</v>
      </c>
    </row>
    <row r="1367" customFormat="false" ht="14.15" hidden="false" customHeight="true" outlineLevel="0" collapsed="false">
      <c r="A1367" s="7" t="str">
        <f aca="false">TRIM(customer_churn_dataset!A1367)</f>
        <v>CUST100192</v>
      </c>
      <c r="B1367" s="7" t="str">
        <f aca="false">PROPER(TRIM(customer_churn_dataset!B1367))</f>
        <v>Premium</v>
      </c>
      <c r="C1367" s="7" t="str">
        <f aca="false">PROPER(TRIM(customer_churn_dataset!C1367))</f>
        <v>Month-To-Month</v>
      </c>
      <c r="D1367" s="7" t="n">
        <f aca="false">IF(ISBLANK(customer_churn_dataset!D1367),ROUND(MEDIAN(customer_churn_dataset!D$2:D$1501),2),IF(customer_churn_dataset!D1367&lt;0,ABS(customer_churn_dataset!D1367),customer_churn_dataset!D1367))</f>
        <v>40.53</v>
      </c>
      <c r="E1367" s="7" t="n">
        <f aca="false">IF(ISBLANK(customer_churn_dataset!E1367),0,MAX(0,customer_churn_dataset!E1367))</f>
        <v>17</v>
      </c>
      <c r="F1367" s="8" t="n">
        <f aca="false">IF(ISBLANK(customer_churn_dataset!F1367),"",customer_churn_dataset!F1367)</f>
        <v>45657</v>
      </c>
      <c r="G1367" s="7" t="str">
        <f aca="false">PROPER(TRIM(customer_churn_dataset!G1367))</f>
        <v>Bank Transfer</v>
      </c>
      <c r="H1367" s="7" t="n">
        <f aca="false">IF(ISBLANK(customer_churn_dataset!H1367),0,customer_churn_dataset!H1367)</f>
        <v>1</v>
      </c>
      <c r="I1367" s="7" t="n">
        <f aca="false">IF(ISBLANK(customer_churn_dataset!I1367),ROUND(MEDIAN(customer_churn_dataset!I$2:I$1501),1),MIN(100,MAX(0,customer_churn_dataset!I1367)))</f>
        <v>23.2</v>
      </c>
      <c r="J1367" s="7" t="n">
        <f aca="false">IF(ISBLANK(customer_churn_dataset!J1367),0,MAX(0,customer_churn_dataset!J1367))</f>
        <v>2</v>
      </c>
      <c r="K1367" s="7" t="n">
        <f aca="false">IF(ISBLANK(customer_churn_dataset!K1367),0,MIN(10,MAX(0,customer_churn_dataset!K1367)))</f>
        <v>2</v>
      </c>
      <c r="L1367" s="7" t="n">
        <f aca="false">IF(ISBLANK(customer_churn_dataset!L1367),0,MAX(0,customer_churn_dataset!L1367))</f>
        <v>6</v>
      </c>
      <c r="M1367" s="7" t="n">
        <f aca="false">IF(ISBLANK(customer_churn_dataset!M1367),0,customer_churn_dataset!M1367)</f>
        <v>0</v>
      </c>
      <c r="N1367" s="7" t="n">
        <f aca="false">IF(ISBLANK(customer_churn_dataset!N1367),0,MAX(0,customer_churn_dataset!N1367))</f>
        <v>689.01</v>
      </c>
      <c r="O1367" s="7" t="n">
        <f aca="false">IF(ISBLANK(customer_churn_dataset!O1367),0,customer_churn_dataset!O1367)</f>
        <v>1</v>
      </c>
      <c r="P1367" s="7" t="str">
        <f aca="false">IF(COUNTIF(customer_churn_dataset!$A$2:$A$1501,customer_churn_dataset!A1367)&gt;1,"Duplicate","Unique")</f>
        <v>Unique</v>
      </c>
    </row>
    <row r="1368" customFormat="false" ht="14.15" hidden="false" customHeight="true" outlineLevel="0" collapsed="false">
      <c r="A1368" s="7" t="str">
        <f aca="false">TRIM(customer_churn_dataset!A1368)</f>
        <v>CUST100820</v>
      </c>
      <c r="B1368" s="7" t="str">
        <f aca="false">PROPER(TRIM(customer_churn_dataset!B1368))</f>
        <v>Premium</v>
      </c>
      <c r="C1368" s="7" t="str">
        <f aca="false">PROPER(TRIM(customer_churn_dataset!C1368))</f>
        <v>Month-To-Month</v>
      </c>
      <c r="D1368" s="7" t="n">
        <f aca="false">IF(ISBLANK(customer_churn_dataset!D1368),ROUND(MEDIAN(customer_churn_dataset!D$2:D$1501),2),IF(customer_churn_dataset!D1368&lt;0,ABS(customer_churn_dataset!D1368),customer_churn_dataset!D1368))</f>
        <v>39.02</v>
      </c>
      <c r="E1368" s="7" t="n">
        <f aca="false">IF(ISBLANK(customer_churn_dataset!E1368),0,MAX(0,customer_churn_dataset!E1368))</f>
        <v>15</v>
      </c>
      <c r="F1368" s="8" t="n">
        <f aca="false">IF(ISBLANK(customer_churn_dataset!F1368),"",customer_churn_dataset!F1368)</f>
        <v>45658</v>
      </c>
      <c r="G1368" s="7" t="str">
        <f aca="false">PROPER(TRIM(customer_churn_dataset!G1368))</f>
        <v>Paypal</v>
      </c>
      <c r="H1368" s="7" t="n">
        <f aca="false">IF(ISBLANK(customer_churn_dataset!H1368),0,customer_churn_dataset!H1368)</f>
        <v>0</v>
      </c>
      <c r="I1368" s="7" t="n">
        <f aca="false">IF(ISBLANK(customer_churn_dataset!I1368),ROUND(MEDIAN(customer_churn_dataset!I$2:I$1501),1),MIN(100,MAX(0,customer_churn_dataset!I1368)))</f>
        <v>96</v>
      </c>
      <c r="J1368" s="7" t="n">
        <f aca="false">IF(ISBLANK(customer_churn_dataset!J1368),0,MAX(0,customer_churn_dataset!J1368))</f>
        <v>28</v>
      </c>
      <c r="K1368" s="7" t="n">
        <f aca="false">IF(ISBLANK(customer_churn_dataset!K1368),0,MIN(10,MAX(0,customer_churn_dataset!K1368)))</f>
        <v>10</v>
      </c>
      <c r="L1368" s="7" t="n">
        <f aca="false">IF(ISBLANK(customer_churn_dataset!L1368),0,MAX(0,customer_churn_dataset!L1368))</f>
        <v>0</v>
      </c>
      <c r="M1368" s="7" t="n">
        <f aca="false">IF(ISBLANK(customer_churn_dataset!M1368),0,customer_churn_dataset!M1368)</f>
        <v>0</v>
      </c>
      <c r="N1368" s="7" t="n">
        <f aca="false">IF(ISBLANK(customer_churn_dataset!N1368),0,MAX(0,customer_churn_dataset!N1368))</f>
        <v>585.3</v>
      </c>
      <c r="O1368" s="7" t="n">
        <f aca="false">IF(ISBLANK(customer_churn_dataset!O1368),0,customer_churn_dataset!O1368)</f>
        <v>0</v>
      </c>
      <c r="P1368" s="7" t="str">
        <f aca="false">IF(COUNTIF(customer_churn_dataset!$A$2:$A$1501,customer_churn_dataset!A1368)&gt;1,"Duplicate","Unique")</f>
        <v>Unique</v>
      </c>
    </row>
    <row r="1369" customFormat="false" ht="14.15" hidden="false" customHeight="true" outlineLevel="0" collapsed="false">
      <c r="A1369" s="7" t="str">
        <f aca="false">TRIM(customer_churn_dataset!A1369)</f>
        <v>CUST101047</v>
      </c>
      <c r="B1369" s="7" t="str">
        <f aca="false">PROPER(TRIM(customer_churn_dataset!B1369))</f>
        <v>Basic</v>
      </c>
      <c r="C1369" s="7" t="str">
        <f aca="false">PROPER(TRIM(customer_churn_dataset!C1369))</f>
        <v>One Year</v>
      </c>
      <c r="D1369" s="7" t="n">
        <f aca="false">IF(ISBLANK(customer_churn_dataset!D1369),ROUND(MEDIAN(customer_churn_dataset!D$2:D$1501),2),IF(customer_churn_dataset!D1369&lt;0,ABS(customer_churn_dataset!D1369),customer_churn_dataset!D1369))</f>
        <v>10.35</v>
      </c>
      <c r="E1369" s="7" t="n">
        <f aca="false">IF(ISBLANK(customer_churn_dataset!E1369),0,MAX(0,customer_churn_dataset!E1369))</f>
        <v>11</v>
      </c>
      <c r="F1369" s="8" t="n">
        <f aca="false">IF(ISBLANK(customer_churn_dataset!F1369),"",customer_churn_dataset!F1369)</f>
        <v>45659</v>
      </c>
      <c r="G1369" s="7" t="str">
        <f aca="false">PROPER(TRIM(customer_churn_dataset!G1369))</f>
        <v>Bank Transfer</v>
      </c>
      <c r="H1369" s="7" t="n">
        <f aca="false">IF(ISBLANK(customer_churn_dataset!H1369),0,customer_churn_dataset!H1369)</f>
        <v>1</v>
      </c>
      <c r="I1369" s="7" t="n">
        <f aca="false">IF(ISBLANK(customer_churn_dataset!I1369),ROUND(MEDIAN(customer_churn_dataset!I$2:I$1501),1),MIN(100,MAX(0,customer_churn_dataset!I1369)))</f>
        <v>55.3</v>
      </c>
      <c r="J1369" s="7" t="n">
        <f aca="false">IF(ISBLANK(customer_churn_dataset!J1369),0,MAX(0,customer_churn_dataset!J1369))</f>
        <v>16</v>
      </c>
      <c r="K1369" s="7" t="n">
        <f aca="false">IF(ISBLANK(customer_churn_dataset!K1369),0,MIN(10,MAX(0,customer_churn_dataset!K1369)))</f>
        <v>6</v>
      </c>
      <c r="L1369" s="7" t="n">
        <f aca="false">IF(ISBLANK(customer_churn_dataset!L1369),0,MAX(0,customer_churn_dataset!L1369))</f>
        <v>1</v>
      </c>
      <c r="M1369" s="7" t="n">
        <f aca="false">IF(ISBLANK(customer_churn_dataset!M1369),0,customer_churn_dataset!M1369)</f>
        <v>0</v>
      </c>
      <c r="N1369" s="7" t="n">
        <f aca="false">IF(ISBLANK(customer_churn_dataset!N1369),0,MAX(0,customer_churn_dataset!N1369))</f>
        <v>113.85</v>
      </c>
      <c r="O1369" s="7" t="n">
        <f aca="false">IF(ISBLANK(customer_churn_dataset!O1369),0,customer_churn_dataset!O1369)</f>
        <v>0</v>
      </c>
      <c r="P1369" s="7" t="str">
        <f aca="false">IF(COUNTIF(customer_churn_dataset!$A$2:$A$1501,customer_churn_dataset!A1369)&gt;1,"Duplicate","Unique")</f>
        <v>Unique</v>
      </c>
    </row>
    <row r="1370" customFormat="false" ht="14.15" hidden="false" customHeight="true" outlineLevel="0" collapsed="false">
      <c r="A1370" s="7" t="str">
        <f aca="false">TRIM(customer_churn_dataset!A1370)</f>
        <v>CUST100677</v>
      </c>
      <c r="B1370" s="7" t="str">
        <f aca="false">PROPER(TRIM(customer_churn_dataset!B1370))</f>
        <v>Basic</v>
      </c>
      <c r="C1370" s="7" t="str">
        <f aca="false">PROPER(TRIM(customer_churn_dataset!C1370))</f>
        <v>One Year</v>
      </c>
      <c r="D1370" s="7" t="n">
        <f aca="false">IF(ISBLANK(customer_churn_dataset!D1370),ROUND(MEDIAN(customer_churn_dataset!D$2:D$1501),2),IF(customer_churn_dataset!D1370&lt;0,ABS(customer_churn_dataset!D1370),customer_churn_dataset!D1370))</f>
        <v>10.1</v>
      </c>
      <c r="E1370" s="7" t="n">
        <f aca="false">IF(ISBLANK(customer_churn_dataset!E1370),0,MAX(0,customer_churn_dataset!E1370))</f>
        <v>38</v>
      </c>
      <c r="F1370" s="8" t="n">
        <f aca="false">IF(ISBLANK(customer_churn_dataset!F1370),"",customer_churn_dataset!F1370)</f>
        <v>45661</v>
      </c>
      <c r="G1370" s="7" t="str">
        <f aca="false">PROPER(TRIM(customer_churn_dataset!G1370))</f>
        <v>Credit Card</v>
      </c>
      <c r="H1370" s="7" t="n">
        <f aca="false">IF(ISBLANK(customer_churn_dataset!H1370),0,customer_churn_dataset!H1370)</f>
        <v>1</v>
      </c>
      <c r="I1370" s="7" t="n">
        <f aca="false">IF(ISBLANK(customer_churn_dataset!I1370),ROUND(MEDIAN(customer_churn_dataset!I$2:I$1501),1),MIN(100,MAX(0,customer_churn_dataset!I1370)))</f>
        <v>40.3</v>
      </c>
      <c r="J1370" s="7" t="n">
        <f aca="false">IF(ISBLANK(customer_churn_dataset!J1370),0,MAX(0,customer_churn_dataset!J1370))</f>
        <v>8</v>
      </c>
      <c r="K1370" s="7" t="n">
        <f aca="false">IF(ISBLANK(customer_churn_dataset!K1370),0,MIN(10,MAX(0,customer_churn_dataset!K1370)))</f>
        <v>2</v>
      </c>
      <c r="L1370" s="7" t="n">
        <f aca="false">IF(ISBLANK(customer_churn_dataset!L1370),0,MAX(0,customer_churn_dataset!L1370))</f>
        <v>1</v>
      </c>
      <c r="M1370" s="7" t="n">
        <f aca="false">IF(ISBLANK(customer_churn_dataset!M1370),0,customer_churn_dataset!M1370)</f>
        <v>0</v>
      </c>
      <c r="N1370" s="7" t="n">
        <f aca="false">IF(ISBLANK(customer_churn_dataset!N1370),0,MAX(0,customer_churn_dataset!N1370))</f>
        <v>383.8</v>
      </c>
      <c r="O1370" s="7" t="n">
        <f aca="false">IF(ISBLANK(customer_churn_dataset!O1370),0,customer_churn_dataset!O1370)</f>
        <v>0</v>
      </c>
      <c r="P1370" s="7" t="str">
        <f aca="false">IF(COUNTIF(customer_churn_dataset!$A$2:$A$1501,customer_churn_dataset!A1370)&gt;1,"Duplicate","Unique")</f>
        <v>Unique</v>
      </c>
    </row>
    <row r="1371" customFormat="false" ht="14.15" hidden="false" customHeight="true" outlineLevel="0" collapsed="false">
      <c r="A1371" s="7" t="str">
        <f aca="false">TRIM(customer_churn_dataset!A1371)</f>
        <v>CUST101305</v>
      </c>
      <c r="B1371" s="7" t="str">
        <f aca="false">PROPER(TRIM(customer_churn_dataset!B1371))</f>
        <v>Premium</v>
      </c>
      <c r="C1371" s="7" t="str">
        <f aca="false">PROPER(TRIM(customer_churn_dataset!C1371))</f>
        <v>Two Year</v>
      </c>
      <c r="D1371" s="7" t="n">
        <f aca="false">IF(ISBLANK(customer_churn_dataset!D1371),ROUND(MEDIAN(customer_churn_dataset!D$2:D$1501),2),IF(customer_churn_dataset!D1371&lt;0,ABS(customer_churn_dataset!D1371),customer_churn_dataset!D1371))</f>
        <v>40.88</v>
      </c>
      <c r="E1371" s="7" t="n">
        <f aca="false">IF(ISBLANK(customer_churn_dataset!E1371),0,MAX(0,customer_churn_dataset!E1371))</f>
        <v>21</v>
      </c>
      <c r="F1371" s="8" t="n">
        <f aca="false">IF(ISBLANK(customer_churn_dataset!F1371),"",customer_churn_dataset!F1371)</f>
        <v>45661</v>
      </c>
      <c r="G1371" s="7" t="str">
        <f aca="false">PROPER(TRIM(customer_churn_dataset!G1371))</f>
        <v>Paypal</v>
      </c>
      <c r="H1371" s="7" t="n">
        <f aca="false">IF(ISBLANK(customer_churn_dataset!H1371),0,customer_churn_dataset!H1371)</f>
        <v>1</v>
      </c>
      <c r="I1371" s="7" t="n">
        <f aca="false">IF(ISBLANK(customer_churn_dataset!I1371),ROUND(MEDIAN(customer_churn_dataset!I$2:I$1501),1),MIN(100,MAX(0,customer_churn_dataset!I1371)))</f>
        <v>10.2</v>
      </c>
      <c r="J1371" s="7" t="n">
        <f aca="false">IF(ISBLANK(customer_churn_dataset!J1371),0,MAX(0,customer_churn_dataset!J1371))</f>
        <v>0</v>
      </c>
      <c r="K1371" s="7" t="n">
        <f aca="false">IF(ISBLANK(customer_churn_dataset!K1371),0,MIN(10,MAX(0,customer_churn_dataset!K1371)))</f>
        <v>2</v>
      </c>
      <c r="L1371" s="7" t="n">
        <f aca="false">IF(ISBLANK(customer_churn_dataset!L1371),0,MAX(0,customer_churn_dataset!L1371))</f>
        <v>2</v>
      </c>
      <c r="M1371" s="7" t="n">
        <f aca="false">IF(ISBLANK(customer_churn_dataset!M1371),0,customer_churn_dataset!M1371)</f>
        <v>1</v>
      </c>
      <c r="N1371" s="7" t="n">
        <f aca="false">IF(ISBLANK(customer_churn_dataset!N1371),0,MAX(0,customer_churn_dataset!N1371))</f>
        <v>858.48</v>
      </c>
      <c r="O1371" s="7" t="n">
        <f aca="false">IF(ISBLANK(customer_churn_dataset!O1371),0,customer_churn_dataset!O1371)</f>
        <v>0</v>
      </c>
      <c r="P1371" s="7" t="str">
        <f aca="false">IF(COUNTIF(customer_churn_dataset!$A$2:$A$1501,customer_churn_dataset!A1371)&gt;1,"Duplicate","Unique")</f>
        <v>Unique</v>
      </c>
    </row>
    <row r="1372" customFormat="false" ht="14.15" hidden="false" customHeight="true" outlineLevel="0" collapsed="false">
      <c r="A1372" s="7" t="str">
        <f aca="false">TRIM(customer_churn_dataset!A1372)</f>
        <v>CUST101189</v>
      </c>
      <c r="B1372" s="7" t="str">
        <f aca="false">PROPER(TRIM(customer_churn_dataset!B1372))</f>
        <v>Standard</v>
      </c>
      <c r="C1372" s="7" t="str">
        <f aca="false">PROPER(TRIM(customer_churn_dataset!C1372))</f>
        <v>One Year</v>
      </c>
      <c r="D1372" s="7" t="n">
        <f aca="false">IF(ISBLANK(customer_churn_dataset!D1372),ROUND(MEDIAN(customer_churn_dataset!D$2:D$1501),2),IF(customer_churn_dataset!D1372&lt;0,ABS(customer_churn_dataset!D1372),customer_churn_dataset!D1372))</f>
        <v>19.6</v>
      </c>
      <c r="E1372" s="7" t="n">
        <f aca="false">IF(ISBLANK(customer_churn_dataset!E1372),0,MAX(0,customer_churn_dataset!E1372))</f>
        <v>14</v>
      </c>
      <c r="F1372" s="8" t="n">
        <f aca="false">IF(ISBLANK(customer_churn_dataset!F1372),"",customer_churn_dataset!F1372)</f>
        <v>45662</v>
      </c>
      <c r="G1372" s="7" t="str">
        <f aca="false">PROPER(TRIM(customer_churn_dataset!G1372))</f>
        <v>Credit Card</v>
      </c>
      <c r="H1372" s="7" t="n">
        <f aca="false">IF(ISBLANK(customer_churn_dataset!H1372),0,customer_churn_dataset!H1372)</f>
        <v>1</v>
      </c>
      <c r="I1372" s="7" t="n">
        <f aca="false">IF(ISBLANK(customer_churn_dataset!I1372),ROUND(MEDIAN(customer_churn_dataset!I$2:I$1501),1),MIN(100,MAX(0,customer_churn_dataset!I1372)))</f>
        <v>71.7</v>
      </c>
      <c r="J1372" s="7" t="n">
        <f aca="false">IF(ISBLANK(customer_churn_dataset!J1372),0,MAX(0,customer_churn_dataset!J1372))</f>
        <v>20</v>
      </c>
      <c r="K1372" s="7" t="n">
        <f aca="false">IF(ISBLANK(customer_churn_dataset!K1372),0,MIN(10,MAX(0,customer_churn_dataset!K1372)))</f>
        <v>8</v>
      </c>
      <c r="L1372" s="7" t="n">
        <f aca="false">IF(ISBLANK(customer_churn_dataset!L1372),0,MAX(0,customer_churn_dataset!L1372))</f>
        <v>1</v>
      </c>
      <c r="M1372" s="7" t="n">
        <f aca="false">IF(ISBLANK(customer_churn_dataset!M1372),0,customer_churn_dataset!M1372)</f>
        <v>0</v>
      </c>
      <c r="N1372" s="7" t="n">
        <f aca="false">IF(ISBLANK(customer_churn_dataset!N1372),0,MAX(0,customer_churn_dataset!N1372))</f>
        <v>274.4</v>
      </c>
      <c r="O1372" s="7" t="n">
        <f aca="false">IF(ISBLANK(customer_churn_dataset!O1372),0,customer_churn_dataset!O1372)</f>
        <v>0</v>
      </c>
      <c r="P1372" s="7" t="str">
        <f aca="false">IF(COUNTIF(customer_churn_dataset!$A$2:$A$1501,customer_churn_dataset!A1372)&gt;1,"Duplicate","Unique")</f>
        <v>Unique</v>
      </c>
    </row>
    <row r="1373" customFormat="false" ht="14.15" hidden="false" customHeight="true" outlineLevel="0" collapsed="false">
      <c r="A1373" s="7" t="str">
        <f aca="false">TRIM(customer_churn_dataset!A1373)</f>
        <v>CUST100200</v>
      </c>
      <c r="B1373" s="7" t="str">
        <f aca="false">PROPER(TRIM(customer_churn_dataset!B1373))</f>
        <v>Standard</v>
      </c>
      <c r="C1373" s="7" t="str">
        <f aca="false">PROPER(TRIM(customer_churn_dataset!C1373))</f>
        <v>One Year</v>
      </c>
      <c r="D1373" s="7" t="n">
        <f aca="false">IF(ISBLANK(customer_churn_dataset!D1373),ROUND(MEDIAN(customer_churn_dataset!D$2:D$1501),2),IF(customer_churn_dataset!D1373&lt;0,ABS(customer_churn_dataset!D1373),customer_churn_dataset!D1373))</f>
        <v>19.97</v>
      </c>
      <c r="E1373" s="7" t="n">
        <f aca="false">IF(ISBLANK(customer_churn_dataset!E1373),0,MAX(0,customer_churn_dataset!E1373))</f>
        <v>14</v>
      </c>
      <c r="F1373" s="8" t="n">
        <f aca="false">IF(ISBLANK(customer_churn_dataset!F1373),"",customer_churn_dataset!F1373)</f>
        <v>45668</v>
      </c>
      <c r="G1373" s="7" t="str">
        <f aca="false">PROPER(TRIM(customer_churn_dataset!G1373))</f>
        <v>Paypal</v>
      </c>
      <c r="H1373" s="7" t="n">
        <f aca="false">IF(ISBLANK(customer_churn_dataset!H1373),0,customer_churn_dataset!H1373)</f>
        <v>1</v>
      </c>
      <c r="I1373" s="7" t="n">
        <f aca="false">IF(ISBLANK(customer_churn_dataset!I1373),ROUND(MEDIAN(customer_churn_dataset!I$2:I$1501),1),MIN(100,MAX(0,customer_churn_dataset!I1373)))</f>
        <v>61.6</v>
      </c>
      <c r="J1373" s="7" t="n">
        <f aca="false">IF(ISBLANK(customer_churn_dataset!J1373),0,MAX(0,customer_churn_dataset!J1373))</f>
        <v>13</v>
      </c>
      <c r="K1373" s="7" t="n">
        <f aca="false">IF(ISBLANK(customer_churn_dataset!K1373),0,MIN(10,MAX(0,customer_churn_dataset!K1373)))</f>
        <v>7</v>
      </c>
      <c r="L1373" s="7" t="n">
        <f aca="false">IF(ISBLANK(customer_churn_dataset!L1373),0,MAX(0,customer_churn_dataset!L1373))</f>
        <v>1</v>
      </c>
      <c r="M1373" s="7" t="n">
        <f aca="false">IF(ISBLANK(customer_churn_dataset!M1373),0,customer_churn_dataset!M1373)</f>
        <v>0</v>
      </c>
      <c r="N1373" s="7" t="n">
        <f aca="false">IF(ISBLANK(customer_churn_dataset!N1373),0,MAX(0,customer_churn_dataset!N1373))</f>
        <v>279.58</v>
      </c>
      <c r="O1373" s="7" t="n">
        <f aca="false">IF(ISBLANK(customer_churn_dataset!O1373),0,customer_churn_dataset!O1373)</f>
        <v>0</v>
      </c>
      <c r="P1373" s="7" t="str">
        <f aca="false">IF(COUNTIF(customer_churn_dataset!$A$2:$A$1501,customer_churn_dataset!A1373)&gt;1,"Duplicate","Unique")</f>
        <v>Unique</v>
      </c>
    </row>
    <row r="1374" customFormat="false" ht="14.15" hidden="false" customHeight="true" outlineLevel="0" collapsed="false">
      <c r="A1374" s="7" t="str">
        <f aca="false">TRIM(customer_churn_dataset!A1374)</f>
        <v>CUST101186</v>
      </c>
      <c r="B1374" s="7" t="str">
        <f aca="false">PROPER(TRIM(customer_churn_dataset!B1374))</f>
        <v>Standard</v>
      </c>
      <c r="C1374" s="7" t="str">
        <f aca="false">PROPER(TRIM(customer_churn_dataset!C1374))</f>
        <v>Month-To-Month</v>
      </c>
      <c r="D1374" s="7" t="n">
        <f aca="false">IF(ISBLANK(customer_churn_dataset!D1374),ROUND(MEDIAN(customer_churn_dataset!D$2:D$1501),2),IF(customer_churn_dataset!D1374&lt;0,ABS(customer_churn_dataset!D1374),customer_churn_dataset!D1374))</f>
        <v>19.51</v>
      </c>
      <c r="E1374" s="7" t="n">
        <f aca="false">IF(ISBLANK(customer_churn_dataset!E1374),0,MAX(0,customer_churn_dataset!E1374))</f>
        <v>16</v>
      </c>
      <c r="F1374" s="8" t="n">
        <f aca="false">IF(ISBLANK(customer_churn_dataset!F1374),"",customer_churn_dataset!F1374)</f>
        <v>45671</v>
      </c>
      <c r="G1374" s="7" t="str">
        <f aca="false">PROPER(TRIM(customer_churn_dataset!G1374))</f>
        <v>Paypal</v>
      </c>
      <c r="H1374" s="7" t="n">
        <f aca="false">IF(ISBLANK(customer_churn_dataset!H1374),0,customer_churn_dataset!H1374)</f>
        <v>1</v>
      </c>
      <c r="I1374" s="7" t="n">
        <f aca="false">IF(ISBLANK(customer_churn_dataset!I1374),ROUND(MEDIAN(customer_churn_dataset!I$2:I$1501),1),MIN(100,MAX(0,customer_churn_dataset!I1374)))</f>
        <v>48.7</v>
      </c>
      <c r="J1374" s="7" t="n">
        <f aca="false">IF(ISBLANK(customer_churn_dataset!J1374),0,MAX(0,customer_churn_dataset!J1374))</f>
        <v>16</v>
      </c>
      <c r="K1374" s="7" t="n">
        <f aca="false">IF(ISBLANK(customer_churn_dataset!K1374),0,MIN(10,MAX(0,customer_churn_dataset!K1374)))</f>
        <v>3</v>
      </c>
      <c r="L1374" s="7" t="n">
        <f aca="false">IF(ISBLANK(customer_churn_dataset!L1374),0,MAX(0,customer_churn_dataset!L1374))</f>
        <v>1</v>
      </c>
      <c r="M1374" s="7" t="n">
        <f aca="false">IF(ISBLANK(customer_churn_dataset!M1374),0,customer_churn_dataset!M1374)</f>
        <v>1</v>
      </c>
      <c r="N1374" s="7" t="n">
        <f aca="false">IF(ISBLANK(customer_churn_dataset!N1374),0,MAX(0,customer_churn_dataset!N1374))</f>
        <v>312.16</v>
      </c>
      <c r="O1374" s="7" t="n">
        <f aca="false">IF(ISBLANK(customer_churn_dataset!O1374),0,customer_churn_dataset!O1374)</f>
        <v>0</v>
      </c>
      <c r="P1374" s="7" t="str">
        <f aca="false">IF(COUNTIF(customer_churn_dataset!$A$2:$A$1501,customer_churn_dataset!A1374)&gt;1,"Duplicate","Unique")</f>
        <v>Unique</v>
      </c>
    </row>
    <row r="1375" customFormat="false" ht="14.15" hidden="false" customHeight="true" outlineLevel="0" collapsed="false">
      <c r="A1375" s="7" t="str">
        <f aca="false">TRIM(customer_churn_dataset!A1375)</f>
        <v>CUST101323</v>
      </c>
      <c r="B1375" s="7" t="str">
        <f aca="false">PROPER(TRIM(customer_churn_dataset!B1375))</f>
        <v>Basic</v>
      </c>
      <c r="C1375" s="7" t="str">
        <f aca="false">PROPER(TRIM(customer_churn_dataset!C1375))</f>
        <v>Two Year</v>
      </c>
      <c r="D1375" s="7" t="n">
        <f aca="false">IF(ISBLANK(customer_churn_dataset!D1375),ROUND(MEDIAN(customer_churn_dataset!D$2:D$1501),2),IF(customer_churn_dataset!D1375&lt;0,ABS(customer_churn_dataset!D1375),customer_churn_dataset!D1375))</f>
        <v>9.22</v>
      </c>
      <c r="E1375" s="7" t="n">
        <f aca="false">IF(ISBLANK(customer_churn_dataset!E1375),0,MAX(0,customer_churn_dataset!E1375))</f>
        <v>3</v>
      </c>
      <c r="F1375" s="8" t="n">
        <f aca="false">IF(ISBLANK(customer_churn_dataset!F1375),"",customer_churn_dataset!F1375)</f>
        <v>45672</v>
      </c>
      <c r="G1375" s="7" t="str">
        <f aca="false">PROPER(TRIM(customer_churn_dataset!G1375))</f>
        <v>Bank Transfer</v>
      </c>
      <c r="H1375" s="7" t="n">
        <f aca="false">IF(ISBLANK(customer_churn_dataset!H1375),0,customer_churn_dataset!H1375)</f>
        <v>1</v>
      </c>
      <c r="I1375" s="7" t="n">
        <f aca="false">IF(ISBLANK(customer_churn_dataset!I1375),ROUND(MEDIAN(customer_churn_dataset!I$2:I$1501),1),MIN(100,MAX(0,customer_churn_dataset!I1375)))</f>
        <v>64</v>
      </c>
      <c r="J1375" s="7" t="n">
        <f aca="false">IF(ISBLANK(customer_churn_dataset!J1375),0,MAX(0,customer_churn_dataset!J1375))</f>
        <v>23</v>
      </c>
      <c r="K1375" s="7" t="n">
        <f aca="false">IF(ISBLANK(customer_churn_dataset!K1375),0,MIN(10,MAX(0,customer_churn_dataset!K1375)))</f>
        <v>6</v>
      </c>
      <c r="L1375" s="7" t="n">
        <f aca="false">IF(ISBLANK(customer_churn_dataset!L1375),0,MAX(0,customer_churn_dataset!L1375))</f>
        <v>1</v>
      </c>
      <c r="M1375" s="7" t="n">
        <f aca="false">IF(ISBLANK(customer_churn_dataset!M1375),0,customer_churn_dataset!M1375)</f>
        <v>0</v>
      </c>
      <c r="N1375" s="7" t="n">
        <f aca="false">IF(ISBLANK(customer_churn_dataset!N1375),0,MAX(0,customer_churn_dataset!N1375))</f>
        <v>27.66</v>
      </c>
      <c r="O1375" s="7" t="n">
        <f aca="false">IF(ISBLANK(customer_churn_dataset!O1375),0,customer_churn_dataset!O1375)</f>
        <v>0</v>
      </c>
      <c r="P1375" s="7" t="str">
        <f aca="false">IF(COUNTIF(customer_churn_dataset!$A$2:$A$1501,customer_churn_dataset!A1375)&gt;1,"Duplicate","Unique")</f>
        <v>Unique</v>
      </c>
    </row>
    <row r="1376" customFormat="false" ht="14.15" hidden="false" customHeight="true" outlineLevel="0" collapsed="false">
      <c r="A1376" s="7" t="str">
        <f aca="false">TRIM(customer_churn_dataset!A1376)</f>
        <v>CUST100720</v>
      </c>
      <c r="B1376" s="7" t="str">
        <f aca="false">PROPER(TRIM(customer_churn_dataset!B1376))</f>
        <v>Premium</v>
      </c>
      <c r="C1376" s="7" t="str">
        <f aca="false">PROPER(TRIM(customer_churn_dataset!C1376))</f>
        <v>Month-To-Month</v>
      </c>
      <c r="D1376" s="7" t="n">
        <f aca="false">IF(ISBLANK(customer_churn_dataset!D1376),ROUND(MEDIAN(customer_churn_dataset!D$2:D$1501),2),IF(customer_churn_dataset!D1376&lt;0,ABS(customer_churn_dataset!D1376),customer_churn_dataset!D1376))</f>
        <v>40.95</v>
      </c>
      <c r="E1376" s="7" t="n">
        <f aca="false">IF(ISBLANK(customer_churn_dataset!E1376),0,MAX(0,customer_churn_dataset!E1376))</f>
        <v>12</v>
      </c>
      <c r="F1376" s="8" t="n">
        <f aca="false">IF(ISBLANK(customer_churn_dataset!F1376),"",customer_churn_dataset!F1376)</f>
        <v>45676</v>
      </c>
      <c r="G1376" s="7" t="str">
        <f aca="false">PROPER(TRIM(customer_churn_dataset!G1376))</f>
        <v>Paypal</v>
      </c>
      <c r="H1376" s="7" t="n">
        <f aca="false">IF(ISBLANK(customer_churn_dataset!H1376),0,customer_churn_dataset!H1376)</f>
        <v>0</v>
      </c>
      <c r="I1376" s="7" t="n">
        <f aca="false">IF(ISBLANK(customer_churn_dataset!I1376),ROUND(MEDIAN(customer_churn_dataset!I$2:I$1501),1),MIN(100,MAX(0,customer_churn_dataset!I1376)))</f>
        <v>60.1</v>
      </c>
      <c r="J1376" s="7" t="n">
        <f aca="false">IF(ISBLANK(customer_churn_dataset!J1376),0,MAX(0,customer_churn_dataset!J1376))</f>
        <v>19</v>
      </c>
      <c r="K1376" s="7" t="n">
        <f aca="false">IF(ISBLANK(customer_churn_dataset!K1376),0,MIN(10,MAX(0,customer_churn_dataset!K1376)))</f>
        <v>4</v>
      </c>
      <c r="L1376" s="7" t="n">
        <f aca="false">IF(ISBLANK(customer_churn_dataset!L1376),0,MAX(0,customer_churn_dataset!L1376))</f>
        <v>4</v>
      </c>
      <c r="M1376" s="7" t="n">
        <f aca="false">IF(ISBLANK(customer_churn_dataset!M1376),0,customer_churn_dataset!M1376)</f>
        <v>0</v>
      </c>
      <c r="N1376" s="7" t="n">
        <f aca="false">IF(ISBLANK(customer_churn_dataset!N1376),0,MAX(0,customer_churn_dataset!N1376))</f>
        <v>491.4</v>
      </c>
      <c r="O1376" s="7" t="n">
        <f aca="false">IF(ISBLANK(customer_churn_dataset!O1376),0,customer_churn_dataset!O1376)</f>
        <v>0</v>
      </c>
      <c r="P1376" s="7" t="str">
        <f aca="false">IF(COUNTIF(customer_churn_dataset!$A$2:$A$1501,customer_churn_dataset!A1376)&gt;1,"Duplicate","Unique")</f>
        <v>Unique</v>
      </c>
    </row>
    <row r="1377" customFormat="false" ht="14.15" hidden="false" customHeight="true" outlineLevel="0" collapsed="false">
      <c r="A1377" s="7" t="str">
        <f aca="false">TRIM(customer_churn_dataset!A1377)</f>
        <v>CUST101194</v>
      </c>
      <c r="B1377" s="7" t="str">
        <f aca="false">PROPER(TRIM(customer_churn_dataset!B1377))</f>
        <v>Basic</v>
      </c>
      <c r="C1377" s="7" t="str">
        <f aca="false">PROPER(TRIM(customer_churn_dataset!C1377))</f>
        <v>One Year</v>
      </c>
      <c r="D1377" s="7" t="n">
        <f aca="false">IF(ISBLANK(customer_churn_dataset!D1377),ROUND(MEDIAN(customer_churn_dataset!D$2:D$1501),2),IF(customer_churn_dataset!D1377&lt;0,ABS(customer_churn_dataset!D1377),customer_churn_dataset!D1377))</f>
        <v>11.2</v>
      </c>
      <c r="E1377" s="7" t="n">
        <f aca="false">IF(ISBLANK(customer_churn_dataset!E1377),0,MAX(0,customer_churn_dataset!E1377))</f>
        <v>11</v>
      </c>
      <c r="F1377" s="8" t="n">
        <f aca="false">IF(ISBLANK(customer_churn_dataset!F1377),"",customer_churn_dataset!F1377)</f>
        <v>45677</v>
      </c>
      <c r="G1377" s="7" t="str">
        <f aca="false">PROPER(TRIM(customer_churn_dataset!G1377))</f>
        <v>Bank Transfer</v>
      </c>
      <c r="H1377" s="7" t="n">
        <f aca="false">IF(ISBLANK(customer_churn_dataset!H1377),0,customer_churn_dataset!H1377)</f>
        <v>1</v>
      </c>
      <c r="I1377" s="7" t="n">
        <f aca="false">IF(ISBLANK(customer_churn_dataset!I1377),ROUND(MEDIAN(customer_churn_dataset!I$2:I$1501),1),MIN(100,MAX(0,customer_churn_dataset!I1377)))</f>
        <v>55.9</v>
      </c>
      <c r="J1377" s="7" t="n">
        <f aca="false">IF(ISBLANK(customer_churn_dataset!J1377),0,MAX(0,customer_churn_dataset!J1377))</f>
        <v>12</v>
      </c>
      <c r="K1377" s="7" t="n">
        <f aca="false">IF(ISBLANK(customer_churn_dataset!K1377),0,MIN(10,MAX(0,customer_churn_dataset!K1377)))</f>
        <v>7</v>
      </c>
      <c r="L1377" s="7" t="n">
        <f aca="false">IF(ISBLANK(customer_churn_dataset!L1377),0,MAX(0,customer_churn_dataset!L1377))</f>
        <v>3</v>
      </c>
      <c r="M1377" s="7" t="n">
        <f aca="false">IF(ISBLANK(customer_churn_dataset!M1377),0,customer_churn_dataset!M1377)</f>
        <v>1</v>
      </c>
      <c r="N1377" s="7" t="n">
        <f aca="false">IF(ISBLANK(customer_churn_dataset!N1377),0,MAX(0,customer_churn_dataset!N1377))</f>
        <v>123.2</v>
      </c>
      <c r="O1377" s="7" t="n">
        <f aca="false">IF(ISBLANK(customer_churn_dataset!O1377),0,customer_churn_dataset!O1377)</f>
        <v>1</v>
      </c>
      <c r="P1377" s="7" t="str">
        <f aca="false">IF(COUNTIF(customer_churn_dataset!$A$2:$A$1501,customer_churn_dataset!A1377)&gt;1,"Duplicate","Unique")</f>
        <v>Unique</v>
      </c>
    </row>
    <row r="1378" customFormat="false" ht="14.15" hidden="false" customHeight="true" outlineLevel="0" collapsed="false">
      <c r="A1378" s="7" t="str">
        <f aca="false">TRIM(customer_churn_dataset!A1378)</f>
        <v>CUST101144</v>
      </c>
      <c r="B1378" s="7" t="str">
        <f aca="false">PROPER(TRIM(customer_churn_dataset!B1378))</f>
        <v>Basic</v>
      </c>
      <c r="C1378" s="7" t="str">
        <f aca="false">PROPER(TRIM(customer_churn_dataset!C1378))</f>
        <v>Month-To-Month</v>
      </c>
      <c r="D1378" s="7" t="n">
        <f aca="false">IF(ISBLANK(customer_churn_dataset!D1378),ROUND(MEDIAN(customer_churn_dataset!D$2:D$1501),2),IF(customer_churn_dataset!D1378&lt;0,ABS(customer_churn_dataset!D1378),customer_churn_dataset!D1378))</f>
        <v>11.99</v>
      </c>
      <c r="E1378" s="7" t="n">
        <f aca="false">IF(ISBLANK(customer_churn_dataset!E1378),0,MAX(0,customer_churn_dataset!E1378))</f>
        <v>35</v>
      </c>
      <c r="F1378" s="8" t="n">
        <f aca="false">IF(ISBLANK(customer_churn_dataset!F1378),"",customer_churn_dataset!F1378)</f>
        <v>45684</v>
      </c>
      <c r="G1378" s="7" t="str">
        <f aca="false">PROPER(TRIM(customer_churn_dataset!G1378))</f>
        <v>Bank Transfer</v>
      </c>
      <c r="H1378" s="7" t="n">
        <f aca="false">IF(ISBLANK(customer_churn_dataset!H1378),0,customer_churn_dataset!H1378)</f>
        <v>1</v>
      </c>
      <c r="I1378" s="7" t="n">
        <f aca="false">IF(ISBLANK(customer_churn_dataset!I1378),ROUND(MEDIAN(customer_churn_dataset!I$2:I$1501),1),MIN(100,MAX(0,customer_churn_dataset!I1378)))</f>
        <v>46</v>
      </c>
      <c r="J1378" s="7" t="n">
        <f aca="false">IF(ISBLANK(customer_churn_dataset!J1378),0,MAX(0,customer_churn_dataset!J1378))</f>
        <v>16</v>
      </c>
      <c r="K1378" s="7" t="n">
        <f aca="false">IF(ISBLANK(customer_churn_dataset!K1378),0,MIN(10,MAX(0,customer_churn_dataset!K1378)))</f>
        <v>6</v>
      </c>
      <c r="L1378" s="7" t="n">
        <f aca="false">IF(ISBLANK(customer_churn_dataset!L1378),0,MAX(0,customer_churn_dataset!L1378))</f>
        <v>0</v>
      </c>
      <c r="M1378" s="7" t="n">
        <f aca="false">IF(ISBLANK(customer_churn_dataset!M1378),0,customer_churn_dataset!M1378)</f>
        <v>0</v>
      </c>
      <c r="N1378" s="7" t="n">
        <f aca="false">IF(ISBLANK(customer_churn_dataset!N1378),0,MAX(0,customer_churn_dataset!N1378))</f>
        <v>419.65</v>
      </c>
      <c r="O1378" s="7" t="n">
        <f aca="false">IF(ISBLANK(customer_churn_dataset!O1378),0,customer_churn_dataset!O1378)</f>
        <v>0</v>
      </c>
      <c r="P1378" s="7" t="str">
        <f aca="false">IF(COUNTIF(customer_churn_dataset!$A$2:$A$1501,customer_churn_dataset!A1378)&gt;1,"Duplicate","Unique")</f>
        <v>Unique</v>
      </c>
    </row>
    <row r="1379" customFormat="false" ht="14.15" hidden="false" customHeight="true" outlineLevel="0" collapsed="false">
      <c r="A1379" s="7" t="str">
        <f aca="false">TRIM(customer_churn_dataset!A1379)</f>
        <v>CUST100828</v>
      </c>
      <c r="B1379" s="7" t="str">
        <f aca="false">PROPER(TRIM(customer_churn_dataset!B1379))</f>
        <v>Standard</v>
      </c>
      <c r="C1379" s="7" t="str">
        <f aca="false">PROPER(TRIM(customer_churn_dataset!C1379))</f>
        <v>One Year</v>
      </c>
      <c r="D1379" s="7" t="n">
        <f aca="false">IF(ISBLANK(customer_churn_dataset!D1379),ROUND(MEDIAN(customer_churn_dataset!D$2:D$1501),2),IF(customer_churn_dataset!D1379&lt;0,ABS(customer_churn_dataset!D1379),customer_churn_dataset!D1379))</f>
        <v>19.35</v>
      </c>
      <c r="E1379" s="7" t="n">
        <f aca="false">IF(ISBLANK(customer_churn_dataset!E1379),0,MAX(0,customer_churn_dataset!E1379))</f>
        <v>30</v>
      </c>
      <c r="F1379" s="8" t="n">
        <f aca="false">IF(ISBLANK(customer_churn_dataset!F1379),"",customer_churn_dataset!F1379)</f>
        <v>45684</v>
      </c>
      <c r="G1379" s="7" t="str">
        <f aca="false">PROPER(TRIM(customer_churn_dataset!G1379))</f>
        <v>Bank Transfer</v>
      </c>
      <c r="H1379" s="7" t="n">
        <f aca="false">IF(ISBLANK(customer_churn_dataset!H1379),0,customer_churn_dataset!H1379)</f>
        <v>0</v>
      </c>
      <c r="I1379" s="7" t="n">
        <f aca="false">IF(ISBLANK(customer_churn_dataset!I1379),ROUND(MEDIAN(customer_churn_dataset!I$2:I$1501),1),MIN(100,MAX(0,customer_churn_dataset!I1379)))</f>
        <v>31.9</v>
      </c>
      <c r="J1379" s="7" t="n">
        <f aca="false">IF(ISBLANK(customer_churn_dataset!J1379),0,MAX(0,customer_churn_dataset!J1379))</f>
        <v>14</v>
      </c>
      <c r="K1379" s="7" t="n">
        <f aca="false">IF(ISBLANK(customer_churn_dataset!K1379),0,MIN(10,MAX(0,customer_churn_dataset!K1379)))</f>
        <v>1</v>
      </c>
      <c r="L1379" s="7" t="n">
        <f aca="false">IF(ISBLANK(customer_churn_dataset!L1379),0,MAX(0,customer_churn_dataset!L1379))</f>
        <v>1</v>
      </c>
      <c r="M1379" s="7" t="n">
        <f aca="false">IF(ISBLANK(customer_churn_dataset!M1379),0,customer_churn_dataset!M1379)</f>
        <v>1</v>
      </c>
      <c r="N1379" s="7" t="n">
        <f aca="false">IF(ISBLANK(customer_churn_dataset!N1379),0,MAX(0,customer_churn_dataset!N1379))</f>
        <v>580.5</v>
      </c>
      <c r="O1379" s="7" t="n">
        <f aca="false">IF(ISBLANK(customer_churn_dataset!O1379),0,customer_churn_dataset!O1379)</f>
        <v>0</v>
      </c>
      <c r="P1379" s="7" t="str">
        <f aca="false">IF(COUNTIF(customer_churn_dataset!$A$2:$A$1501,customer_churn_dataset!A1379)&gt;1,"Duplicate","Unique")</f>
        <v>Unique</v>
      </c>
    </row>
    <row r="1380" customFormat="false" ht="14.15" hidden="false" customHeight="true" outlineLevel="0" collapsed="false">
      <c r="A1380" s="7" t="str">
        <f aca="false">TRIM(customer_churn_dataset!A1380)</f>
        <v>CUST101452</v>
      </c>
      <c r="B1380" s="7" t="str">
        <f aca="false">PROPER(TRIM(customer_churn_dataset!B1380))</f>
        <v>Premium</v>
      </c>
      <c r="C1380" s="7" t="str">
        <f aca="false">PROPER(TRIM(customer_churn_dataset!C1380))</f>
        <v>Two Year</v>
      </c>
      <c r="D1380" s="7" t="n">
        <f aca="false">IF(ISBLANK(customer_churn_dataset!D1380),ROUND(MEDIAN(customer_churn_dataset!D$2:D$1501),2),IF(customer_churn_dataset!D1380&lt;0,ABS(customer_churn_dataset!D1380),customer_churn_dataset!D1380))</f>
        <v>39.79</v>
      </c>
      <c r="E1380" s="7" t="n">
        <f aca="false">IF(ISBLANK(customer_churn_dataset!E1380),0,MAX(0,customer_churn_dataset!E1380))</f>
        <v>22</v>
      </c>
      <c r="F1380" s="8" t="n">
        <f aca="false">IF(ISBLANK(customer_churn_dataset!F1380),"",customer_churn_dataset!F1380)</f>
        <v>45686</v>
      </c>
      <c r="G1380" s="7" t="str">
        <f aca="false">PROPER(TRIM(customer_churn_dataset!G1380))</f>
        <v>Manual/Invoice</v>
      </c>
      <c r="H1380" s="7" t="n">
        <f aca="false">IF(ISBLANK(customer_churn_dataset!H1380),0,customer_churn_dataset!H1380)</f>
        <v>0</v>
      </c>
      <c r="I1380" s="7" t="n">
        <f aca="false">IF(ISBLANK(customer_churn_dataset!I1380),ROUND(MEDIAN(customer_churn_dataset!I$2:I$1501),1),MIN(100,MAX(0,customer_churn_dataset!I1380)))</f>
        <v>53.7</v>
      </c>
      <c r="J1380" s="7" t="n">
        <f aca="false">IF(ISBLANK(customer_churn_dataset!J1380),0,MAX(0,customer_churn_dataset!J1380))</f>
        <v>20</v>
      </c>
      <c r="K1380" s="7" t="n">
        <f aca="false">IF(ISBLANK(customer_churn_dataset!K1380),0,MIN(10,MAX(0,customer_churn_dataset!K1380)))</f>
        <v>5</v>
      </c>
      <c r="L1380" s="7" t="n">
        <f aca="false">IF(ISBLANK(customer_churn_dataset!L1380),0,MAX(0,customer_churn_dataset!L1380))</f>
        <v>1</v>
      </c>
      <c r="M1380" s="7" t="n">
        <f aca="false">IF(ISBLANK(customer_churn_dataset!M1380),0,customer_churn_dataset!M1380)</f>
        <v>0</v>
      </c>
      <c r="N1380" s="7" t="n">
        <f aca="false">IF(ISBLANK(customer_churn_dataset!N1380),0,MAX(0,customer_churn_dataset!N1380))</f>
        <v>875.38</v>
      </c>
      <c r="O1380" s="7" t="n">
        <f aca="false">IF(ISBLANK(customer_churn_dataset!O1380),0,customer_churn_dataset!O1380)</f>
        <v>0</v>
      </c>
      <c r="P1380" s="7" t="str">
        <f aca="false">IF(COUNTIF(customer_churn_dataset!$A$2:$A$1501,customer_churn_dataset!A1380)&gt;1,"Duplicate","Unique")</f>
        <v>Unique</v>
      </c>
    </row>
    <row r="1381" customFormat="false" ht="14.15" hidden="false" customHeight="true" outlineLevel="0" collapsed="false">
      <c r="A1381" s="7" t="str">
        <f aca="false">TRIM(customer_churn_dataset!A1381)</f>
        <v>CUST101355</v>
      </c>
      <c r="B1381" s="7" t="str">
        <f aca="false">PROPER(TRIM(customer_churn_dataset!B1381))</f>
        <v>Premium</v>
      </c>
      <c r="C1381" s="7" t="str">
        <f aca="false">PROPER(TRIM(customer_churn_dataset!C1381))</f>
        <v>Month-To-Month</v>
      </c>
      <c r="D1381" s="7" t="n">
        <f aca="false">IF(ISBLANK(customer_churn_dataset!D1381),ROUND(MEDIAN(customer_churn_dataset!D$2:D$1501),2),IF(customer_churn_dataset!D1381&lt;0,ABS(customer_churn_dataset!D1381),customer_churn_dataset!D1381))</f>
        <v>40.32</v>
      </c>
      <c r="E1381" s="7" t="n">
        <f aca="false">IF(ISBLANK(customer_churn_dataset!E1381),0,MAX(0,customer_churn_dataset!E1381))</f>
        <v>27</v>
      </c>
      <c r="F1381" s="8" t="n">
        <f aca="false">IF(ISBLANK(customer_churn_dataset!F1381),"",customer_churn_dataset!F1381)</f>
        <v>45687</v>
      </c>
      <c r="G1381" s="7" t="str">
        <f aca="false">PROPER(TRIM(customer_churn_dataset!G1381))</f>
        <v>Manual/Invoice</v>
      </c>
      <c r="H1381" s="7" t="n">
        <f aca="false">IF(ISBLANK(customer_churn_dataset!H1381),0,customer_churn_dataset!H1381)</f>
        <v>1</v>
      </c>
      <c r="I1381" s="7" t="n">
        <f aca="false">IF(ISBLANK(customer_churn_dataset!I1381),ROUND(MEDIAN(customer_churn_dataset!I$2:I$1501),1),MIN(100,MAX(0,customer_churn_dataset!I1381)))</f>
        <v>60.3</v>
      </c>
      <c r="J1381" s="7" t="n">
        <f aca="false">IF(ISBLANK(customer_churn_dataset!J1381),0,MAX(0,customer_churn_dataset!J1381))</f>
        <v>15</v>
      </c>
      <c r="K1381" s="7" t="n">
        <f aca="false">IF(ISBLANK(customer_churn_dataset!K1381),0,MIN(10,MAX(0,customer_churn_dataset!K1381)))</f>
        <v>4</v>
      </c>
      <c r="L1381" s="7" t="n">
        <f aca="false">IF(ISBLANK(customer_churn_dataset!L1381),0,MAX(0,customer_churn_dataset!L1381))</f>
        <v>0</v>
      </c>
      <c r="M1381" s="7" t="n">
        <f aca="false">IF(ISBLANK(customer_churn_dataset!M1381),0,customer_churn_dataset!M1381)</f>
        <v>0</v>
      </c>
      <c r="N1381" s="7" t="n">
        <f aca="false">IF(ISBLANK(customer_churn_dataset!N1381),0,MAX(0,customer_churn_dataset!N1381))</f>
        <v>1088.64</v>
      </c>
      <c r="O1381" s="7" t="n">
        <f aca="false">IF(ISBLANK(customer_churn_dataset!O1381),0,customer_churn_dataset!O1381)</f>
        <v>0</v>
      </c>
      <c r="P1381" s="7" t="str">
        <f aca="false">IF(COUNTIF(customer_churn_dataset!$A$2:$A$1501,customer_churn_dataset!A1381)&gt;1,"Duplicate","Unique")</f>
        <v>Unique</v>
      </c>
    </row>
    <row r="1382" customFormat="false" ht="14.15" hidden="false" customHeight="true" outlineLevel="0" collapsed="false">
      <c r="A1382" s="7" t="str">
        <f aca="false">TRIM(customer_churn_dataset!A1382)</f>
        <v>CUST100294</v>
      </c>
      <c r="B1382" s="7" t="str">
        <f aca="false">PROPER(TRIM(customer_churn_dataset!B1382))</f>
        <v>Basic</v>
      </c>
      <c r="C1382" s="7" t="str">
        <f aca="false">PROPER(TRIM(customer_churn_dataset!C1382))</f>
        <v>Month-To-Month</v>
      </c>
      <c r="D1382" s="7" t="n">
        <f aca="false">IF(ISBLANK(customer_churn_dataset!D1382),ROUND(MEDIAN(customer_churn_dataset!D$2:D$1501),2),IF(customer_churn_dataset!D1382&lt;0,ABS(customer_churn_dataset!D1382),customer_churn_dataset!D1382))</f>
        <v>10.56</v>
      </c>
      <c r="E1382" s="7" t="n">
        <f aca="false">IF(ISBLANK(customer_churn_dataset!E1382),0,MAX(0,customer_churn_dataset!E1382))</f>
        <v>21</v>
      </c>
      <c r="F1382" s="8" t="n">
        <f aca="false">IF(ISBLANK(customer_churn_dataset!F1382),"",customer_churn_dataset!F1382)</f>
        <v>45687</v>
      </c>
      <c r="G1382" s="7" t="str">
        <f aca="false">PROPER(TRIM(customer_churn_dataset!G1382))</f>
        <v>Paypal</v>
      </c>
      <c r="H1382" s="7" t="n">
        <f aca="false">IF(ISBLANK(customer_churn_dataset!H1382),0,customer_churn_dataset!H1382)</f>
        <v>1</v>
      </c>
      <c r="I1382" s="7" t="n">
        <f aca="false">IF(ISBLANK(customer_churn_dataset!I1382),ROUND(MEDIAN(customer_churn_dataset!I$2:I$1501),1),MIN(100,MAX(0,customer_churn_dataset!I1382)))</f>
        <v>34.5</v>
      </c>
      <c r="J1382" s="7" t="n">
        <f aca="false">IF(ISBLANK(customer_churn_dataset!J1382),0,MAX(0,customer_churn_dataset!J1382))</f>
        <v>8</v>
      </c>
      <c r="K1382" s="7" t="n">
        <f aca="false">IF(ISBLANK(customer_churn_dataset!K1382),0,MIN(10,MAX(0,customer_churn_dataset!K1382)))</f>
        <v>2</v>
      </c>
      <c r="L1382" s="7" t="n">
        <f aca="false">IF(ISBLANK(customer_churn_dataset!L1382),0,MAX(0,customer_churn_dataset!L1382))</f>
        <v>1</v>
      </c>
      <c r="M1382" s="7" t="n">
        <f aca="false">IF(ISBLANK(customer_churn_dataset!M1382),0,customer_churn_dataset!M1382)</f>
        <v>0</v>
      </c>
      <c r="N1382" s="7" t="n">
        <f aca="false">IF(ISBLANK(customer_churn_dataset!N1382),0,MAX(0,customer_churn_dataset!N1382))</f>
        <v>221.76</v>
      </c>
      <c r="O1382" s="7" t="n">
        <f aca="false">IF(ISBLANK(customer_churn_dataset!O1382),0,customer_churn_dataset!O1382)</f>
        <v>0</v>
      </c>
      <c r="P1382" s="7" t="str">
        <f aca="false">IF(COUNTIF(customer_churn_dataset!$A$2:$A$1501,customer_churn_dataset!A1382)&gt;1,"Duplicate","Unique")</f>
        <v>Unique</v>
      </c>
    </row>
    <row r="1383" customFormat="false" ht="14.15" hidden="false" customHeight="true" outlineLevel="0" collapsed="false">
      <c r="A1383" s="7" t="str">
        <f aca="false">TRIM(customer_churn_dataset!A1383)</f>
        <v>CUST100571</v>
      </c>
      <c r="B1383" s="7" t="str">
        <f aca="false">PROPER(TRIM(customer_churn_dataset!B1383))</f>
        <v>Standard</v>
      </c>
      <c r="C1383" s="7" t="str">
        <f aca="false">PROPER(TRIM(customer_churn_dataset!C1383))</f>
        <v>Month-To-Month</v>
      </c>
      <c r="D1383" s="7" t="n">
        <f aca="false">IF(ISBLANK(customer_churn_dataset!D1383),ROUND(MEDIAN(customer_churn_dataset!D$2:D$1501),2),IF(customer_churn_dataset!D1383&lt;0,ABS(customer_churn_dataset!D1383),customer_churn_dataset!D1383))</f>
        <v>19.64</v>
      </c>
      <c r="E1383" s="7" t="n">
        <f aca="false">IF(ISBLANK(customer_churn_dataset!E1383),0,MAX(0,customer_churn_dataset!E1383))</f>
        <v>40</v>
      </c>
      <c r="F1383" s="8" t="n">
        <f aca="false">IF(ISBLANK(customer_churn_dataset!F1383),"",customer_churn_dataset!F1383)</f>
        <v>45690</v>
      </c>
      <c r="G1383" s="7" t="str">
        <f aca="false">PROPER(TRIM(customer_churn_dataset!G1383))</f>
        <v>Bank Transfer</v>
      </c>
      <c r="H1383" s="7" t="n">
        <f aca="false">IF(ISBLANK(customer_churn_dataset!H1383),0,customer_churn_dataset!H1383)</f>
        <v>1</v>
      </c>
      <c r="I1383" s="7" t="n">
        <f aca="false">IF(ISBLANK(customer_churn_dataset!I1383),ROUND(MEDIAN(customer_churn_dataset!I$2:I$1501),1),MIN(100,MAX(0,customer_churn_dataset!I1383)))</f>
        <v>55.7</v>
      </c>
      <c r="J1383" s="7" t="n">
        <f aca="false">IF(ISBLANK(customer_churn_dataset!J1383),0,MAX(0,customer_churn_dataset!J1383))</f>
        <v>21</v>
      </c>
      <c r="K1383" s="7" t="n">
        <f aca="false">IF(ISBLANK(customer_churn_dataset!K1383),0,MIN(10,MAX(0,customer_churn_dataset!K1383)))</f>
        <v>6</v>
      </c>
      <c r="L1383" s="7" t="n">
        <f aca="false">IF(ISBLANK(customer_churn_dataset!L1383),0,MAX(0,customer_churn_dataset!L1383))</f>
        <v>1</v>
      </c>
      <c r="M1383" s="7" t="n">
        <f aca="false">IF(ISBLANK(customer_churn_dataset!M1383),0,customer_churn_dataset!M1383)</f>
        <v>0</v>
      </c>
      <c r="N1383" s="7" t="n">
        <f aca="false">IF(ISBLANK(customer_churn_dataset!N1383),0,MAX(0,customer_churn_dataset!N1383))</f>
        <v>785.6</v>
      </c>
      <c r="O1383" s="7" t="n">
        <f aca="false">IF(ISBLANK(customer_churn_dataset!O1383),0,customer_churn_dataset!O1383)</f>
        <v>0</v>
      </c>
      <c r="P1383" s="7" t="str">
        <f aca="false">IF(COUNTIF(customer_churn_dataset!$A$2:$A$1501,customer_churn_dataset!A1383)&gt;1,"Duplicate","Unique")</f>
        <v>Unique</v>
      </c>
    </row>
    <row r="1384" customFormat="false" ht="14.15" hidden="false" customHeight="true" outlineLevel="0" collapsed="false">
      <c r="A1384" s="7" t="str">
        <f aca="false">TRIM(customer_churn_dataset!A1384)</f>
        <v>CUST101352</v>
      </c>
      <c r="B1384" s="7" t="str">
        <f aca="false">PROPER(TRIM(customer_churn_dataset!B1384))</f>
        <v>Basic</v>
      </c>
      <c r="C1384" s="7" t="str">
        <f aca="false">PROPER(TRIM(customer_churn_dataset!C1384))</f>
        <v>Month-To-Month</v>
      </c>
      <c r="D1384" s="7" t="n">
        <f aca="false">IF(ISBLANK(customer_churn_dataset!D1384),ROUND(MEDIAN(customer_churn_dataset!D$2:D$1501),2),IF(customer_churn_dataset!D1384&lt;0,ABS(customer_churn_dataset!D1384),customer_churn_dataset!D1384))</f>
        <v>10.54</v>
      </c>
      <c r="E1384" s="7" t="n">
        <f aca="false">IF(ISBLANK(customer_churn_dataset!E1384),0,MAX(0,customer_churn_dataset!E1384))</f>
        <v>10</v>
      </c>
      <c r="F1384" s="8" t="n">
        <f aca="false">IF(ISBLANK(customer_churn_dataset!F1384),"",customer_churn_dataset!F1384)</f>
        <v>45690</v>
      </c>
      <c r="G1384" s="7" t="str">
        <f aca="false">PROPER(TRIM(customer_churn_dataset!G1384))</f>
        <v>Credit Card</v>
      </c>
      <c r="H1384" s="7" t="n">
        <f aca="false">IF(ISBLANK(customer_churn_dataset!H1384),0,customer_churn_dataset!H1384)</f>
        <v>1</v>
      </c>
      <c r="I1384" s="7" t="n">
        <f aca="false">IF(ISBLANK(customer_churn_dataset!I1384),ROUND(MEDIAN(customer_churn_dataset!I$2:I$1501),1),MIN(100,MAX(0,customer_churn_dataset!I1384)))</f>
        <v>24.5</v>
      </c>
      <c r="J1384" s="7" t="n">
        <f aca="false">IF(ISBLANK(customer_churn_dataset!J1384),0,MAX(0,customer_churn_dataset!J1384))</f>
        <v>7</v>
      </c>
      <c r="K1384" s="7" t="n">
        <f aca="false">IF(ISBLANK(customer_churn_dataset!K1384),0,MIN(10,MAX(0,customer_churn_dataset!K1384)))</f>
        <v>1</v>
      </c>
      <c r="L1384" s="7" t="n">
        <f aca="false">IF(ISBLANK(customer_churn_dataset!L1384),0,MAX(0,customer_churn_dataset!L1384))</f>
        <v>4</v>
      </c>
      <c r="M1384" s="7" t="n">
        <f aca="false">IF(ISBLANK(customer_churn_dataset!M1384),0,customer_churn_dataset!M1384)</f>
        <v>0</v>
      </c>
      <c r="N1384" s="7" t="n">
        <f aca="false">IF(ISBLANK(customer_churn_dataset!N1384),0,MAX(0,customer_churn_dataset!N1384))</f>
        <v>105.4</v>
      </c>
      <c r="O1384" s="7" t="n">
        <f aca="false">IF(ISBLANK(customer_churn_dataset!O1384),0,customer_churn_dataset!O1384)</f>
        <v>1</v>
      </c>
      <c r="P1384" s="7" t="str">
        <f aca="false">IF(COUNTIF(customer_churn_dataset!$A$2:$A$1501,customer_churn_dataset!A1384)&gt;1,"Duplicate","Unique")</f>
        <v>Unique</v>
      </c>
    </row>
    <row r="1385" customFormat="false" ht="14.15" hidden="false" customHeight="true" outlineLevel="0" collapsed="false">
      <c r="A1385" s="7" t="str">
        <f aca="false">TRIM(customer_churn_dataset!A1385)</f>
        <v>CUST100416</v>
      </c>
      <c r="B1385" s="7" t="str">
        <f aca="false">PROPER(TRIM(customer_churn_dataset!B1385))</f>
        <v>Basic</v>
      </c>
      <c r="C1385" s="7" t="str">
        <f aca="false">PROPER(TRIM(customer_churn_dataset!C1385))</f>
        <v>Month-To-Month</v>
      </c>
      <c r="D1385" s="7" t="n">
        <f aca="false">IF(ISBLANK(customer_churn_dataset!D1385),ROUND(MEDIAN(customer_churn_dataset!D$2:D$1501),2),IF(customer_churn_dataset!D1385&lt;0,ABS(customer_churn_dataset!D1385),customer_churn_dataset!D1385))</f>
        <v>8.37</v>
      </c>
      <c r="E1385" s="7" t="n">
        <f aca="false">IF(ISBLANK(customer_churn_dataset!E1385),0,MAX(0,customer_churn_dataset!E1385))</f>
        <v>4</v>
      </c>
      <c r="F1385" s="8" t="n">
        <f aca="false">IF(ISBLANK(customer_churn_dataset!F1385),"",customer_churn_dataset!F1385)</f>
        <v>45692</v>
      </c>
      <c r="G1385" s="7" t="str">
        <f aca="false">PROPER(TRIM(customer_churn_dataset!G1385))</f>
        <v>Paypal</v>
      </c>
      <c r="H1385" s="7" t="n">
        <f aca="false">IF(ISBLANK(customer_churn_dataset!H1385),0,customer_churn_dataset!H1385)</f>
        <v>1</v>
      </c>
      <c r="I1385" s="7" t="n">
        <f aca="false">IF(ISBLANK(customer_churn_dataset!I1385),ROUND(MEDIAN(customer_churn_dataset!I$2:I$1501),1),MIN(100,MAX(0,customer_churn_dataset!I1385)))</f>
        <v>76.8</v>
      </c>
      <c r="J1385" s="7" t="n">
        <f aca="false">IF(ISBLANK(customer_churn_dataset!J1385),0,MAX(0,customer_churn_dataset!J1385))</f>
        <v>19</v>
      </c>
      <c r="K1385" s="7" t="n">
        <f aca="false">IF(ISBLANK(customer_churn_dataset!K1385),0,MIN(10,MAX(0,customer_churn_dataset!K1385)))</f>
        <v>9</v>
      </c>
      <c r="L1385" s="7" t="n">
        <f aca="false">IF(ISBLANK(customer_churn_dataset!L1385),0,MAX(0,customer_churn_dataset!L1385))</f>
        <v>1</v>
      </c>
      <c r="M1385" s="7" t="n">
        <f aca="false">IF(ISBLANK(customer_churn_dataset!M1385),0,customer_churn_dataset!M1385)</f>
        <v>1</v>
      </c>
      <c r="N1385" s="7" t="n">
        <f aca="false">IF(ISBLANK(customer_churn_dataset!N1385),0,MAX(0,customer_churn_dataset!N1385))</f>
        <v>33.48</v>
      </c>
      <c r="O1385" s="7" t="n">
        <f aca="false">IF(ISBLANK(customer_churn_dataset!O1385),0,customer_churn_dataset!O1385)</f>
        <v>0</v>
      </c>
      <c r="P1385" s="7" t="str">
        <f aca="false">IF(COUNTIF(customer_churn_dataset!$A$2:$A$1501,customer_churn_dataset!A1385)&gt;1,"Duplicate","Unique")</f>
        <v>Unique</v>
      </c>
    </row>
    <row r="1386" customFormat="false" ht="14.15" hidden="false" customHeight="true" outlineLevel="0" collapsed="false">
      <c r="A1386" s="7" t="str">
        <f aca="false">TRIM(customer_churn_dataset!A1386)</f>
        <v>CUST100921</v>
      </c>
      <c r="B1386" s="7" t="str">
        <f aca="false">PROPER(TRIM(customer_churn_dataset!B1386))</f>
        <v>Standard</v>
      </c>
      <c r="C1386" s="7" t="str">
        <f aca="false">PROPER(TRIM(customer_churn_dataset!C1386))</f>
        <v>One Year</v>
      </c>
      <c r="D1386" s="7" t="n">
        <f aca="false">IF(ISBLANK(customer_churn_dataset!D1386),ROUND(MEDIAN(customer_churn_dataset!D$2:D$1501),2),IF(customer_churn_dataset!D1386&lt;0,ABS(customer_churn_dataset!D1386),customer_churn_dataset!D1386))</f>
        <v>20.59</v>
      </c>
      <c r="E1386" s="7" t="n">
        <f aca="false">IF(ISBLANK(customer_churn_dataset!E1386),0,MAX(0,customer_churn_dataset!E1386))</f>
        <v>37</v>
      </c>
      <c r="F1386" s="8" t="n">
        <f aca="false">IF(ISBLANK(customer_churn_dataset!F1386),"",customer_churn_dataset!F1386)</f>
        <v>45694</v>
      </c>
      <c r="G1386" s="7" t="str">
        <f aca="false">PROPER(TRIM(customer_churn_dataset!G1386))</f>
        <v>Credit Card</v>
      </c>
      <c r="H1386" s="7" t="n">
        <f aca="false">IF(ISBLANK(customer_churn_dataset!H1386),0,customer_churn_dataset!H1386)</f>
        <v>0</v>
      </c>
      <c r="I1386" s="7" t="n">
        <f aca="false">IF(ISBLANK(customer_churn_dataset!I1386),ROUND(MEDIAN(customer_churn_dataset!I$2:I$1501),1),MIN(100,MAX(0,customer_churn_dataset!I1386)))</f>
        <v>38.2</v>
      </c>
      <c r="J1386" s="7" t="n">
        <f aca="false">IF(ISBLANK(customer_churn_dataset!J1386),0,MAX(0,customer_churn_dataset!J1386))</f>
        <v>14</v>
      </c>
      <c r="K1386" s="7" t="n">
        <f aca="false">IF(ISBLANK(customer_churn_dataset!K1386),0,MIN(10,MAX(0,customer_churn_dataset!K1386)))</f>
        <v>3</v>
      </c>
      <c r="L1386" s="7" t="n">
        <f aca="false">IF(ISBLANK(customer_churn_dataset!L1386),0,MAX(0,customer_churn_dataset!L1386))</f>
        <v>1</v>
      </c>
      <c r="M1386" s="7" t="n">
        <f aca="false">IF(ISBLANK(customer_churn_dataset!M1386),0,customer_churn_dataset!M1386)</f>
        <v>0</v>
      </c>
      <c r="N1386" s="7" t="n">
        <f aca="false">IF(ISBLANK(customer_churn_dataset!N1386),0,MAX(0,customer_churn_dataset!N1386))</f>
        <v>761.83</v>
      </c>
      <c r="O1386" s="7" t="n">
        <f aca="false">IF(ISBLANK(customer_churn_dataset!O1386),0,customer_churn_dataset!O1386)</f>
        <v>0</v>
      </c>
      <c r="P1386" s="7" t="str">
        <f aca="false">IF(COUNTIF(customer_churn_dataset!$A$2:$A$1501,customer_churn_dataset!A1386)&gt;1,"Duplicate","Unique")</f>
        <v>Unique</v>
      </c>
    </row>
    <row r="1387" customFormat="false" ht="14.15" hidden="false" customHeight="true" outlineLevel="0" collapsed="false">
      <c r="A1387" s="7" t="str">
        <f aca="false">TRIM(customer_churn_dataset!A1387)</f>
        <v>CUST100098</v>
      </c>
      <c r="B1387" s="7" t="str">
        <f aca="false">PROPER(TRIM(customer_churn_dataset!B1387))</f>
        <v>Basic</v>
      </c>
      <c r="C1387" s="7" t="str">
        <f aca="false">PROPER(TRIM(customer_churn_dataset!C1387))</f>
        <v>Month-To-Month</v>
      </c>
      <c r="D1387" s="7" t="n">
        <f aca="false">IF(ISBLANK(customer_churn_dataset!D1387),ROUND(MEDIAN(customer_churn_dataset!D$2:D$1501),2),IF(customer_churn_dataset!D1387&lt;0,ABS(customer_churn_dataset!D1387),customer_churn_dataset!D1387))</f>
        <v>9.28</v>
      </c>
      <c r="E1387" s="7" t="n">
        <f aca="false">IF(ISBLANK(customer_churn_dataset!E1387),0,MAX(0,customer_churn_dataset!E1387))</f>
        <v>14</v>
      </c>
      <c r="F1387" s="8" t="n">
        <f aca="false">IF(ISBLANK(customer_churn_dataset!F1387),"",customer_churn_dataset!F1387)</f>
        <v>45694</v>
      </c>
      <c r="G1387" s="7" t="str">
        <f aca="false">PROPER(TRIM(customer_churn_dataset!G1387))</f>
        <v>Bank Transfer</v>
      </c>
      <c r="H1387" s="7" t="n">
        <f aca="false">IF(ISBLANK(customer_churn_dataset!H1387),0,customer_churn_dataset!H1387)</f>
        <v>0</v>
      </c>
      <c r="I1387" s="7" t="n">
        <f aca="false">IF(ISBLANK(customer_churn_dataset!I1387),ROUND(MEDIAN(customer_churn_dataset!I$2:I$1501),1),MIN(100,MAX(0,customer_churn_dataset!I1387)))</f>
        <v>48.1</v>
      </c>
      <c r="J1387" s="7" t="n">
        <f aca="false">IF(ISBLANK(customer_churn_dataset!J1387),0,MAX(0,customer_churn_dataset!J1387))</f>
        <v>15</v>
      </c>
      <c r="K1387" s="7" t="n">
        <f aca="false">IF(ISBLANK(customer_churn_dataset!K1387),0,MIN(10,MAX(0,customer_churn_dataset!K1387)))</f>
        <v>5</v>
      </c>
      <c r="L1387" s="7" t="n">
        <f aca="false">IF(ISBLANK(customer_churn_dataset!L1387),0,MAX(0,customer_churn_dataset!L1387))</f>
        <v>0</v>
      </c>
      <c r="M1387" s="7" t="n">
        <f aca="false">IF(ISBLANK(customer_churn_dataset!M1387),0,customer_churn_dataset!M1387)</f>
        <v>0</v>
      </c>
      <c r="N1387" s="7" t="n">
        <f aca="false">IF(ISBLANK(customer_churn_dataset!N1387),0,MAX(0,customer_churn_dataset!N1387))</f>
        <v>129.92</v>
      </c>
      <c r="O1387" s="7" t="n">
        <f aca="false">IF(ISBLANK(customer_churn_dataset!O1387),0,customer_churn_dataset!O1387)</f>
        <v>1</v>
      </c>
      <c r="P1387" s="7" t="str">
        <f aca="false">IF(COUNTIF(customer_churn_dataset!$A$2:$A$1501,customer_churn_dataset!A1387)&gt;1,"Duplicate","Unique")</f>
        <v>Unique</v>
      </c>
    </row>
    <row r="1388" customFormat="false" ht="14.15" hidden="false" customHeight="true" outlineLevel="0" collapsed="false">
      <c r="A1388" s="7" t="str">
        <f aca="false">TRIM(customer_churn_dataset!A1388)</f>
        <v>CUST100372</v>
      </c>
      <c r="B1388" s="7" t="str">
        <f aca="false">PROPER(TRIM(customer_churn_dataset!B1388))</f>
        <v>Basic</v>
      </c>
      <c r="C1388" s="7" t="str">
        <f aca="false">PROPER(TRIM(customer_churn_dataset!C1388))</f>
        <v>One Year</v>
      </c>
      <c r="D1388" s="7" t="n">
        <f aca="false">IF(ISBLANK(customer_churn_dataset!D1388),ROUND(MEDIAN(customer_churn_dataset!D$2:D$1501),2),IF(customer_churn_dataset!D1388&lt;0,ABS(customer_churn_dataset!D1388),customer_churn_dataset!D1388))</f>
        <v>10.31</v>
      </c>
      <c r="E1388" s="7" t="n">
        <f aca="false">IF(ISBLANK(customer_churn_dataset!E1388),0,MAX(0,customer_churn_dataset!E1388))</f>
        <v>0</v>
      </c>
      <c r="F1388" s="8" t="n">
        <f aca="false">IF(ISBLANK(customer_churn_dataset!F1388),"",customer_churn_dataset!F1388)</f>
        <v>45696</v>
      </c>
      <c r="G1388" s="7" t="str">
        <f aca="false">PROPER(TRIM(customer_churn_dataset!G1388))</f>
        <v>Credit Card</v>
      </c>
      <c r="H1388" s="7" t="n">
        <f aca="false">IF(ISBLANK(customer_churn_dataset!H1388),0,customer_churn_dataset!H1388)</f>
        <v>1</v>
      </c>
      <c r="I1388" s="7" t="n">
        <f aca="false">IF(ISBLANK(customer_churn_dataset!I1388),ROUND(MEDIAN(customer_churn_dataset!I$2:I$1501),1),MIN(100,MAX(0,customer_churn_dataset!I1388)))</f>
        <v>97.9</v>
      </c>
      <c r="J1388" s="7" t="n">
        <f aca="false">IF(ISBLANK(customer_churn_dataset!J1388),0,MAX(0,customer_churn_dataset!J1388))</f>
        <v>27</v>
      </c>
      <c r="K1388" s="7" t="n">
        <f aca="false">IF(ISBLANK(customer_churn_dataset!K1388),0,MIN(10,MAX(0,customer_churn_dataset!K1388)))</f>
        <v>9</v>
      </c>
      <c r="L1388" s="7" t="n">
        <f aca="false">IF(ISBLANK(customer_churn_dataset!L1388),0,MAX(0,customer_churn_dataset!L1388))</f>
        <v>0</v>
      </c>
      <c r="M1388" s="7" t="n">
        <f aca="false">IF(ISBLANK(customer_churn_dataset!M1388),0,customer_churn_dataset!M1388)</f>
        <v>0</v>
      </c>
      <c r="N1388" s="7" t="n">
        <f aca="false">IF(ISBLANK(customer_churn_dataset!N1388),0,MAX(0,customer_churn_dataset!N1388))</f>
        <v>0</v>
      </c>
      <c r="O1388" s="7" t="n">
        <f aca="false">IF(ISBLANK(customer_churn_dataset!O1388),0,customer_churn_dataset!O1388)</f>
        <v>0</v>
      </c>
      <c r="P1388" s="7" t="str">
        <f aca="false">IF(COUNTIF(customer_churn_dataset!$A$2:$A$1501,customer_churn_dataset!A1388)&gt;1,"Duplicate","Unique")</f>
        <v>Unique</v>
      </c>
    </row>
    <row r="1389" customFormat="false" ht="14.15" hidden="false" customHeight="true" outlineLevel="0" collapsed="false">
      <c r="A1389" s="7" t="str">
        <f aca="false">TRIM(customer_churn_dataset!A1389)</f>
        <v>CUST100745</v>
      </c>
      <c r="B1389" s="7" t="str">
        <f aca="false">PROPER(TRIM(customer_churn_dataset!B1389))</f>
        <v>Premium</v>
      </c>
      <c r="C1389" s="7" t="str">
        <f aca="false">PROPER(TRIM(customer_churn_dataset!C1389))</f>
        <v>Month-To-Month</v>
      </c>
      <c r="D1389" s="7" t="n">
        <f aca="false">IF(ISBLANK(customer_churn_dataset!D1389),ROUND(MEDIAN(customer_churn_dataset!D$2:D$1501),2),IF(customer_churn_dataset!D1389&lt;0,ABS(customer_churn_dataset!D1389),customer_churn_dataset!D1389))</f>
        <v>40.44</v>
      </c>
      <c r="E1389" s="7" t="n">
        <f aca="false">IF(ISBLANK(customer_churn_dataset!E1389),0,MAX(0,customer_churn_dataset!E1389))</f>
        <v>24</v>
      </c>
      <c r="F1389" s="8" t="n">
        <f aca="false">IF(ISBLANK(customer_churn_dataset!F1389),"",customer_churn_dataset!F1389)</f>
        <v>45699</v>
      </c>
      <c r="G1389" s="7" t="str">
        <f aca="false">PROPER(TRIM(customer_churn_dataset!G1389))</f>
        <v>Manual/Invoice</v>
      </c>
      <c r="H1389" s="7" t="n">
        <f aca="false">IF(ISBLANK(customer_churn_dataset!H1389),0,customer_churn_dataset!H1389)</f>
        <v>1</v>
      </c>
      <c r="I1389" s="7" t="n">
        <f aca="false">IF(ISBLANK(customer_churn_dataset!I1389),ROUND(MEDIAN(customer_churn_dataset!I$2:I$1501),1),MIN(100,MAX(0,customer_churn_dataset!I1389)))</f>
        <v>76.7</v>
      </c>
      <c r="J1389" s="7" t="n">
        <f aca="false">IF(ISBLANK(customer_churn_dataset!J1389),0,MAX(0,customer_churn_dataset!J1389))</f>
        <v>20</v>
      </c>
      <c r="K1389" s="7" t="n">
        <f aca="false">IF(ISBLANK(customer_churn_dataset!K1389),0,MIN(10,MAX(0,customer_churn_dataset!K1389)))</f>
        <v>5</v>
      </c>
      <c r="L1389" s="7" t="n">
        <f aca="false">IF(ISBLANK(customer_churn_dataset!L1389),0,MAX(0,customer_churn_dataset!L1389))</f>
        <v>0</v>
      </c>
      <c r="M1389" s="7" t="n">
        <f aca="false">IF(ISBLANK(customer_churn_dataset!M1389),0,customer_churn_dataset!M1389)</f>
        <v>0</v>
      </c>
      <c r="N1389" s="7" t="n">
        <f aca="false">IF(ISBLANK(customer_churn_dataset!N1389),0,MAX(0,customer_churn_dataset!N1389))</f>
        <v>970.56</v>
      </c>
      <c r="O1389" s="7" t="n">
        <f aca="false">IF(ISBLANK(customer_churn_dataset!O1389),0,customer_churn_dataset!O1389)</f>
        <v>0</v>
      </c>
      <c r="P1389" s="7" t="str">
        <f aca="false">IF(COUNTIF(customer_churn_dataset!$A$2:$A$1501,customer_churn_dataset!A1389)&gt;1,"Duplicate","Unique")</f>
        <v>Unique</v>
      </c>
    </row>
    <row r="1390" customFormat="false" ht="14.15" hidden="false" customHeight="true" outlineLevel="0" collapsed="false">
      <c r="A1390" s="7" t="str">
        <f aca="false">TRIM(customer_churn_dataset!A1390)</f>
        <v>CUST100998</v>
      </c>
      <c r="B1390" s="7" t="str">
        <f aca="false">PROPER(TRIM(customer_churn_dataset!B1390))</f>
        <v>Premium</v>
      </c>
      <c r="C1390" s="7" t="str">
        <f aca="false">PROPER(TRIM(customer_churn_dataset!C1390))</f>
        <v>Month-To-Month</v>
      </c>
      <c r="D1390" s="7" t="n">
        <f aca="false">IF(ISBLANK(customer_churn_dataset!D1390),ROUND(MEDIAN(customer_churn_dataset!D$2:D$1501),2),IF(customer_churn_dataset!D1390&lt;0,ABS(customer_churn_dataset!D1390),customer_churn_dataset!D1390))</f>
        <v>41.27</v>
      </c>
      <c r="E1390" s="7" t="n">
        <f aca="false">IF(ISBLANK(customer_churn_dataset!E1390),0,MAX(0,customer_churn_dataset!E1390))</f>
        <v>27</v>
      </c>
      <c r="F1390" s="8" t="n">
        <f aca="false">IF(ISBLANK(customer_churn_dataset!F1390),"",customer_churn_dataset!F1390)</f>
        <v>45700</v>
      </c>
      <c r="G1390" s="7" t="str">
        <f aca="false">PROPER(TRIM(customer_churn_dataset!G1390))</f>
        <v>Paypal</v>
      </c>
      <c r="H1390" s="7" t="n">
        <f aca="false">IF(ISBLANK(customer_churn_dataset!H1390),0,customer_churn_dataset!H1390)</f>
        <v>0</v>
      </c>
      <c r="I1390" s="7" t="n">
        <f aca="false">IF(ISBLANK(customer_churn_dataset!I1390),ROUND(MEDIAN(customer_churn_dataset!I$2:I$1501),1),MIN(100,MAX(0,customer_churn_dataset!I1390)))</f>
        <v>90.5</v>
      </c>
      <c r="J1390" s="7" t="n">
        <f aca="false">IF(ISBLANK(customer_churn_dataset!J1390),0,MAX(0,customer_churn_dataset!J1390))</f>
        <v>27</v>
      </c>
      <c r="K1390" s="7" t="n">
        <f aca="false">IF(ISBLANK(customer_churn_dataset!K1390),0,MIN(10,MAX(0,customer_churn_dataset!K1390)))</f>
        <v>10</v>
      </c>
      <c r="L1390" s="7" t="n">
        <f aca="false">IF(ISBLANK(customer_churn_dataset!L1390),0,MAX(0,customer_churn_dataset!L1390))</f>
        <v>1</v>
      </c>
      <c r="M1390" s="7" t="n">
        <f aca="false">IF(ISBLANK(customer_churn_dataset!M1390),0,customer_churn_dataset!M1390)</f>
        <v>0</v>
      </c>
      <c r="N1390" s="7" t="n">
        <f aca="false">IF(ISBLANK(customer_churn_dataset!N1390),0,MAX(0,customer_churn_dataset!N1390))</f>
        <v>1114.29</v>
      </c>
      <c r="O1390" s="7" t="n">
        <f aca="false">IF(ISBLANK(customer_churn_dataset!O1390),0,customer_churn_dataset!O1390)</f>
        <v>0</v>
      </c>
      <c r="P1390" s="7" t="str">
        <f aca="false">IF(COUNTIF(customer_churn_dataset!$A$2:$A$1501,customer_churn_dataset!A1390)&gt;1,"Duplicate","Unique")</f>
        <v>Unique</v>
      </c>
    </row>
    <row r="1391" customFormat="false" ht="14.15" hidden="false" customHeight="true" outlineLevel="0" collapsed="false">
      <c r="A1391" s="7" t="str">
        <f aca="false">TRIM(customer_churn_dataset!A1391)</f>
        <v>CUST101319</v>
      </c>
      <c r="B1391" s="7" t="str">
        <f aca="false">PROPER(TRIM(customer_churn_dataset!B1391))</f>
        <v>Basic</v>
      </c>
      <c r="C1391" s="7" t="str">
        <f aca="false">PROPER(TRIM(customer_churn_dataset!C1391))</f>
        <v>Month-To-Month</v>
      </c>
      <c r="D1391" s="7" t="n">
        <f aca="false">IF(ISBLANK(customer_churn_dataset!D1391),ROUND(MEDIAN(customer_churn_dataset!D$2:D$1501),2),IF(customer_churn_dataset!D1391&lt;0,ABS(customer_churn_dataset!D1391),customer_churn_dataset!D1391))</f>
        <v>10.68</v>
      </c>
      <c r="E1391" s="7" t="n">
        <f aca="false">IF(ISBLANK(customer_churn_dataset!E1391),0,MAX(0,customer_churn_dataset!E1391))</f>
        <v>35</v>
      </c>
      <c r="F1391" s="8" t="n">
        <f aca="false">IF(ISBLANK(customer_churn_dataset!F1391),"",customer_churn_dataset!F1391)</f>
        <v>45700</v>
      </c>
      <c r="G1391" s="7" t="str">
        <f aca="false">PROPER(TRIM(customer_churn_dataset!G1391))</f>
        <v>Bank Transfer</v>
      </c>
      <c r="H1391" s="7" t="n">
        <f aca="false">IF(ISBLANK(customer_churn_dataset!H1391),0,customer_churn_dataset!H1391)</f>
        <v>1</v>
      </c>
      <c r="I1391" s="7" t="n">
        <f aca="false">IF(ISBLANK(customer_churn_dataset!I1391),ROUND(MEDIAN(customer_churn_dataset!I$2:I$1501),1),MIN(100,MAX(0,customer_churn_dataset!I1391)))</f>
        <v>68.4</v>
      </c>
      <c r="J1391" s="7" t="n">
        <f aca="false">IF(ISBLANK(customer_churn_dataset!J1391),0,MAX(0,customer_churn_dataset!J1391))</f>
        <v>23</v>
      </c>
      <c r="K1391" s="7" t="n">
        <f aca="false">IF(ISBLANK(customer_churn_dataset!K1391),0,MIN(10,MAX(0,customer_churn_dataset!K1391)))</f>
        <v>10</v>
      </c>
      <c r="L1391" s="7" t="n">
        <f aca="false">IF(ISBLANK(customer_churn_dataset!L1391),0,MAX(0,customer_churn_dataset!L1391))</f>
        <v>0</v>
      </c>
      <c r="M1391" s="7" t="n">
        <f aca="false">IF(ISBLANK(customer_churn_dataset!M1391),0,customer_churn_dataset!M1391)</f>
        <v>0</v>
      </c>
      <c r="N1391" s="7" t="n">
        <f aca="false">IF(ISBLANK(customer_churn_dataset!N1391),0,MAX(0,customer_churn_dataset!N1391))</f>
        <v>373.8</v>
      </c>
      <c r="O1391" s="7" t="n">
        <f aca="false">IF(ISBLANK(customer_churn_dataset!O1391),0,customer_churn_dataset!O1391)</f>
        <v>0</v>
      </c>
      <c r="P1391" s="7" t="str">
        <f aca="false">IF(COUNTIF(customer_churn_dataset!$A$2:$A$1501,customer_churn_dataset!A1391)&gt;1,"Duplicate","Unique")</f>
        <v>Unique</v>
      </c>
    </row>
    <row r="1392" customFormat="false" ht="14.15" hidden="false" customHeight="true" outlineLevel="0" collapsed="false">
      <c r="A1392" s="7" t="str">
        <f aca="false">TRIM(customer_churn_dataset!A1392)</f>
        <v>CUST100355</v>
      </c>
      <c r="B1392" s="7" t="str">
        <f aca="false">PROPER(TRIM(customer_churn_dataset!B1392))</f>
        <v>Standard</v>
      </c>
      <c r="C1392" s="7" t="str">
        <f aca="false">PROPER(TRIM(customer_churn_dataset!C1392))</f>
        <v>One Year</v>
      </c>
      <c r="D1392" s="7" t="n">
        <f aca="false">IF(ISBLANK(customer_churn_dataset!D1392),ROUND(MEDIAN(customer_churn_dataset!D$2:D$1501),2),IF(customer_churn_dataset!D1392&lt;0,ABS(customer_churn_dataset!D1392),customer_churn_dataset!D1392))</f>
        <v>19.87</v>
      </c>
      <c r="E1392" s="7" t="n">
        <f aca="false">IF(ISBLANK(customer_churn_dataset!E1392),0,MAX(0,customer_churn_dataset!E1392))</f>
        <v>14</v>
      </c>
      <c r="F1392" s="8" t="n">
        <f aca="false">IF(ISBLANK(customer_churn_dataset!F1392),"",customer_churn_dataset!F1392)</f>
        <v>45701</v>
      </c>
      <c r="G1392" s="7" t="str">
        <f aca="false">PROPER(TRIM(customer_churn_dataset!G1392))</f>
        <v>Credit Card</v>
      </c>
      <c r="H1392" s="7" t="n">
        <f aca="false">IF(ISBLANK(customer_churn_dataset!H1392),0,customer_churn_dataset!H1392)</f>
        <v>0</v>
      </c>
      <c r="I1392" s="7" t="n">
        <f aca="false">IF(ISBLANK(customer_churn_dataset!I1392),ROUND(MEDIAN(customer_churn_dataset!I$2:I$1501),1),MIN(100,MAX(0,customer_churn_dataset!I1392)))</f>
        <v>26.9</v>
      </c>
      <c r="J1392" s="7" t="n">
        <f aca="false">IF(ISBLANK(customer_churn_dataset!J1392),0,MAX(0,customer_churn_dataset!J1392))</f>
        <v>10</v>
      </c>
      <c r="K1392" s="7" t="n">
        <f aca="false">IF(ISBLANK(customer_churn_dataset!K1392),0,MIN(10,MAX(0,customer_churn_dataset!K1392)))</f>
        <v>6</v>
      </c>
      <c r="L1392" s="7" t="n">
        <f aca="false">IF(ISBLANK(customer_churn_dataset!L1392),0,MAX(0,customer_churn_dataset!L1392))</f>
        <v>1</v>
      </c>
      <c r="M1392" s="7" t="n">
        <f aca="false">IF(ISBLANK(customer_churn_dataset!M1392),0,customer_churn_dataset!M1392)</f>
        <v>1</v>
      </c>
      <c r="N1392" s="7" t="n">
        <f aca="false">IF(ISBLANK(customer_churn_dataset!N1392),0,MAX(0,customer_churn_dataset!N1392))</f>
        <v>278.18</v>
      </c>
      <c r="O1392" s="7" t="n">
        <f aca="false">IF(ISBLANK(customer_churn_dataset!O1392),0,customer_churn_dataset!O1392)</f>
        <v>0</v>
      </c>
      <c r="P1392" s="7" t="str">
        <f aca="false">IF(COUNTIF(customer_churn_dataset!$A$2:$A$1501,customer_churn_dataset!A1392)&gt;1,"Duplicate","Unique")</f>
        <v>Unique</v>
      </c>
    </row>
    <row r="1393" customFormat="false" ht="14.15" hidden="false" customHeight="true" outlineLevel="0" collapsed="false">
      <c r="A1393" s="7" t="str">
        <f aca="false">TRIM(customer_churn_dataset!A1393)</f>
        <v>CUST100617</v>
      </c>
      <c r="B1393" s="7" t="str">
        <f aca="false">PROPER(TRIM(customer_churn_dataset!B1393))</f>
        <v>Basic</v>
      </c>
      <c r="C1393" s="7" t="str">
        <f aca="false">PROPER(TRIM(customer_churn_dataset!C1393))</f>
        <v>Month-To-Month</v>
      </c>
      <c r="D1393" s="7" t="n">
        <f aca="false">IF(ISBLANK(customer_churn_dataset!D1393),ROUND(MEDIAN(customer_churn_dataset!D$2:D$1501),2),IF(customer_churn_dataset!D1393&lt;0,ABS(customer_churn_dataset!D1393),customer_churn_dataset!D1393))</f>
        <v>9.95</v>
      </c>
      <c r="E1393" s="7" t="n">
        <f aca="false">IF(ISBLANK(customer_churn_dataset!E1393),0,MAX(0,customer_churn_dataset!E1393))</f>
        <v>28</v>
      </c>
      <c r="F1393" s="8" t="n">
        <f aca="false">IF(ISBLANK(customer_churn_dataset!F1393),"",customer_churn_dataset!F1393)</f>
        <v>45704</v>
      </c>
      <c r="G1393" s="7" t="str">
        <f aca="false">PROPER(TRIM(customer_churn_dataset!G1393))</f>
        <v>Bank Transfer</v>
      </c>
      <c r="H1393" s="7" t="n">
        <f aca="false">IF(ISBLANK(customer_churn_dataset!H1393),0,customer_churn_dataset!H1393)</f>
        <v>1</v>
      </c>
      <c r="I1393" s="7" t="n">
        <f aca="false">IF(ISBLANK(customer_churn_dataset!I1393),ROUND(MEDIAN(customer_churn_dataset!I$2:I$1501),1),MIN(100,MAX(0,customer_churn_dataset!I1393)))</f>
        <v>25.4</v>
      </c>
      <c r="J1393" s="7" t="n">
        <f aca="false">IF(ISBLANK(customer_churn_dataset!J1393),0,MAX(0,customer_churn_dataset!J1393))</f>
        <v>11</v>
      </c>
      <c r="K1393" s="7" t="n">
        <f aca="false">IF(ISBLANK(customer_churn_dataset!K1393),0,MIN(10,MAX(0,customer_churn_dataset!K1393)))</f>
        <v>3</v>
      </c>
      <c r="L1393" s="7" t="n">
        <f aca="false">IF(ISBLANK(customer_churn_dataset!L1393),0,MAX(0,customer_churn_dataset!L1393))</f>
        <v>5</v>
      </c>
      <c r="M1393" s="7" t="n">
        <f aca="false">IF(ISBLANK(customer_churn_dataset!M1393),0,customer_churn_dataset!M1393)</f>
        <v>1</v>
      </c>
      <c r="N1393" s="7" t="n">
        <f aca="false">IF(ISBLANK(customer_churn_dataset!N1393),0,MAX(0,customer_churn_dataset!N1393))</f>
        <v>278.6</v>
      </c>
      <c r="O1393" s="7" t="n">
        <f aca="false">IF(ISBLANK(customer_churn_dataset!O1393),0,customer_churn_dataset!O1393)</f>
        <v>1</v>
      </c>
      <c r="P1393" s="7" t="str">
        <f aca="false">IF(COUNTIF(customer_churn_dataset!$A$2:$A$1501,customer_churn_dataset!A1393)&gt;1,"Duplicate","Unique")</f>
        <v>Unique</v>
      </c>
    </row>
    <row r="1394" customFormat="false" ht="14.15" hidden="false" customHeight="true" outlineLevel="0" collapsed="false">
      <c r="A1394" s="7" t="str">
        <f aca="false">TRIM(customer_churn_dataset!A1394)</f>
        <v>CUST100825</v>
      </c>
      <c r="B1394" s="7" t="str">
        <f aca="false">PROPER(TRIM(customer_churn_dataset!B1394))</f>
        <v>Premium</v>
      </c>
      <c r="C1394" s="7" t="str">
        <f aca="false">PROPER(TRIM(customer_churn_dataset!C1394))</f>
        <v>Two Year</v>
      </c>
      <c r="D1394" s="7" t="n">
        <f aca="false">IF(ISBLANK(customer_churn_dataset!D1394),ROUND(MEDIAN(customer_churn_dataset!D$2:D$1501),2),IF(customer_churn_dataset!D1394&lt;0,ABS(customer_churn_dataset!D1394),customer_churn_dataset!D1394))</f>
        <v>40.5</v>
      </c>
      <c r="E1394" s="7" t="n">
        <f aca="false">IF(ISBLANK(customer_churn_dataset!E1394),0,MAX(0,customer_churn_dataset!E1394))</f>
        <v>3</v>
      </c>
      <c r="F1394" s="8" t="n">
        <f aca="false">IF(ISBLANK(customer_churn_dataset!F1394),"",customer_churn_dataset!F1394)</f>
        <v>45705</v>
      </c>
      <c r="G1394" s="7" t="str">
        <f aca="false">PROPER(TRIM(customer_churn_dataset!G1394))</f>
        <v>Paypal</v>
      </c>
      <c r="H1394" s="7" t="n">
        <f aca="false">IF(ISBLANK(customer_churn_dataset!H1394),0,customer_churn_dataset!H1394)</f>
        <v>1</v>
      </c>
      <c r="I1394" s="7" t="n">
        <f aca="false">IF(ISBLANK(customer_churn_dataset!I1394),ROUND(MEDIAN(customer_churn_dataset!I$2:I$1501),1),MIN(100,MAX(0,customer_churn_dataset!I1394)))</f>
        <v>63</v>
      </c>
      <c r="J1394" s="7" t="n">
        <f aca="false">IF(ISBLANK(customer_churn_dataset!J1394),0,MAX(0,customer_churn_dataset!J1394))</f>
        <v>15</v>
      </c>
      <c r="K1394" s="7" t="n">
        <f aca="false">IF(ISBLANK(customer_churn_dataset!K1394),0,MIN(10,MAX(0,customer_churn_dataset!K1394)))</f>
        <v>9</v>
      </c>
      <c r="L1394" s="7" t="n">
        <f aca="false">IF(ISBLANK(customer_churn_dataset!L1394),0,MAX(0,customer_churn_dataset!L1394))</f>
        <v>2</v>
      </c>
      <c r="M1394" s="7" t="n">
        <f aca="false">IF(ISBLANK(customer_churn_dataset!M1394),0,customer_churn_dataset!M1394)</f>
        <v>0</v>
      </c>
      <c r="N1394" s="7" t="n">
        <f aca="false">IF(ISBLANK(customer_churn_dataset!N1394),0,MAX(0,customer_churn_dataset!N1394))</f>
        <v>121.5</v>
      </c>
      <c r="O1394" s="7" t="n">
        <f aca="false">IF(ISBLANK(customer_churn_dataset!O1394),0,customer_churn_dataset!O1394)</f>
        <v>0</v>
      </c>
      <c r="P1394" s="7" t="str">
        <f aca="false">IF(COUNTIF(customer_churn_dataset!$A$2:$A$1501,customer_churn_dataset!A1394)&gt;1,"Duplicate","Unique")</f>
        <v>Unique</v>
      </c>
    </row>
    <row r="1395" customFormat="false" ht="14.15" hidden="false" customHeight="true" outlineLevel="0" collapsed="false">
      <c r="A1395" s="7" t="str">
        <f aca="false">TRIM(customer_churn_dataset!A1395)</f>
        <v>CUST100584</v>
      </c>
      <c r="B1395" s="7" t="str">
        <f aca="false">PROPER(TRIM(customer_churn_dataset!B1395))</f>
        <v>Standard</v>
      </c>
      <c r="C1395" s="7" t="str">
        <f aca="false">PROPER(TRIM(customer_churn_dataset!C1395))</f>
        <v>Month-To-Month</v>
      </c>
      <c r="D1395" s="7" t="n">
        <f aca="false">IF(ISBLANK(customer_churn_dataset!D1395),ROUND(MEDIAN(customer_churn_dataset!D$2:D$1501),2),IF(customer_churn_dataset!D1395&lt;0,ABS(customer_churn_dataset!D1395),customer_churn_dataset!D1395))</f>
        <v>19.06</v>
      </c>
      <c r="E1395" s="7" t="n">
        <f aca="false">IF(ISBLANK(customer_churn_dataset!E1395),0,MAX(0,customer_churn_dataset!E1395))</f>
        <v>7</v>
      </c>
      <c r="F1395" s="8" t="n">
        <f aca="false">IF(ISBLANK(customer_churn_dataset!F1395),"",customer_churn_dataset!F1395)</f>
        <v>45707</v>
      </c>
      <c r="G1395" s="7" t="str">
        <f aca="false">PROPER(TRIM(customer_churn_dataset!G1395))</f>
        <v>Bank Transfer</v>
      </c>
      <c r="H1395" s="7" t="n">
        <f aca="false">IF(ISBLANK(customer_churn_dataset!H1395),0,customer_churn_dataset!H1395)</f>
        <v>0</v>
      </c>
      <c r="I1395" s="7" t="n">
        <f aca="false">IF(ISBLANK(customer_churn_dataset!I1395),ROUND(MEDIAN(customer_churn_dataset!I$2:I$1501),1),MIN(100,MAX(0,customer_churn_dataset!I1395)))</f>
        <v>68.7</v>
      </c>
      <c r="J1395" s="7" t="n">
        <f aca="false">IF(ISBLANK(customer_churn_dataset!J1395),0,MAX(0,customer_churn_dataset!J1395))</f>
        <v>17</v>
      </c>
      <c r="K1395" s="7" t="n">
        <f aca="false">IF(ISBLANK(customer_churn_dataset!K1395),0,MIN(10,MAX(0,customer_churn_dataset!K1395)))</f>
        <v>5</v>
      </c>
      <c r="L1395" s="7" t="n">
        <f aca="false">IF(ISBLANK(customer_churn_dataset!L1395),0,MAX(0,customer_churn_dataset!L1395))</f>
        <v>3</v>
      </c>
      <c r="M1395" s="7" t="n">
        <f aca="false">IF(ISBLANK(customer_churn_dataset!M1395),0,customer_churn_dataset!M1395)</f>
        <v>0</v>
      </c>
      <c r="N1395" s="7" t="n">
        <f aca="false">IF(ISBLANK(customer_churn_dataset!N1395),0,MAX(0,customer_churn_dataset!N1395))</f>
        <v>133.42</v>
      </c>
      <c r="O1395" s="7" t="n">
        <f aca="false">IF(ISBLANK(customer_churn_dataset!O1395),0,customer_churn_dataset!O1395)</f>
        <v>0</v>
      </c>
      <c r="P1395" s="7" t="str">
        <f aca="false">IF(COUNTIF(customer_churn_dataset!$A$2:$A$1501,customer_churn_dataset!A1395)&gt;1,"Duplicate","Unique")</f>
        <v>Unique</v>
      </c>
    </row>
    <row r="1396" customFormat="false" ht="14.15" hidden="false" customHeight="true" outlineLevel="0" collapsed="false">
      <c r="A1396" s="7" t="str">
        <f aca="false">TRIM(customer_churn_dataset!A1396)</f>
        <v>CUST100682</v>
      </c>
      <c r="B1396" s="7" t="str">
        <f aca="false">PROPER(TRIM(customer_churn_dataset!B1396))</f>
        <v>Basic</v>
      </c>
      <c r="C1396" s="7" t="str">
        <f aca="false">PROPER(TRIM(customer_churn_dataset!C1396))</f>
        <v>Two Year</v>
      </c>
      <c r="D1396" s="7" t="n">
        <f aca="false">IF(ISBLANK(customer_churn_dataset!D1396),ROUND(MEDIAN(customer_churn_dataset!D$2:D$1501),2),IF(customer_churn_dataset!D1396&lt;0,ABS(customer_churn_dataset!D1396),customer_churn_dataset!D1396))</f>
        <v>9.44</v>
      </c>
      <c r="E1396" s="7" t="n">
        <f aca="false">IF(ISBLANK(customer_churn_dataset!E1396),0,MAX(0,customer_churn_dataset!E1396))</f>
        <v>6</v>
      </c>
      <c r="F1396" s="8" t="n">
        <f aca="false">IF(ISBLANK(customer_churn_dataset!F1396),"",customer_churn_dataset!F1396)</f>
        <v>45708</v>
      </c>
      <c r="G1396" s="7" t="str">
        <f aca="false">PROPER(TRIM(customer_churn_dataset!G1396))</f>
        <v>Credit Card</v>
      </c>
      <c r="H1396" s="7" t="n">
        <f aca="false">IF(ISBLANK(customer_churn_dataset!H1396),0,customer_churn_dataset!H1396)</f>
        <v>1</v>
      </c>
      <c r="I1396" s="7" t="n">
        <f aca="false">IF(ISBLANK(customer_churn_dataset!I1396),ROUND(MEDIAN(customer_churn_dataset!I$2:I$1501),1),MIN(100,MAX(0,customer_churn_dataset!I1396)))</f>
        <v>40.4</v>
      </c>
      <c r="J1396" s="7" t="n">
        <f aca="false">IF(ISBLANK(customer_churn_dataset!J1396),0,MAX(0,customer_churn_dataset!J1396))</f>
        <v>12</v>
      </c>
      <c r="K1396" s="7" t="n">
        <f aca="false">IF(ISBLANK(customer_churn_dataset!K1396),0,MIN(10,MAX(0,customer_churn_dataset!K1396)))</f>
        <v>2</v>
      </c>
      <c r="L1396" s="7" t="n">
        <f aca="false">IF(ISBLANK(customer_churn_dataset!L1396),0,MAX(0,customer_churn_dataset!L1396))</f>
        <v>0</v>
      </c>
      <c r="M1396" s="7" t="n">
        <f aca="false">IF(ISBLANK(customer_churn_dataset!M1396),0,customer_churn_dataset!M1396)</f>
        <v>0</v>
      </c>
      <c r="N1396" s="7" t="n">
        <f aca="false">IF(ISBLANK(customer_churn_dataset!N1396),0,MAX(0,customer_churn_dataset!N1396))</f>
        <v>56.64</v>
      </c>
      <c r="O1396" s="7" t="n">
        <f aca="false">IF(ISBLANK(customer_churn_dataset!O1396),0,customer_churn_dataset!O1396)</f>
        <v>0</v>
      </c>
      <c r="P1396" s="7" t="str">
        <f aca="false">IF(COUNTIF(customer_churn_dataset!$A$2:$A$1501,customer_churn_dataset!A1396)&gt;1,"Duplicate","Unique")</f>
        <v>Unique</v>
      </c>
    </row>
    <row r="1397" customFormat="false" ht="14.15" hidden="false" customHeight="true" outlineLevel="0" collapsed="false">
      <c r="A1397" s="7" t="str">
        <f aca="false">TRIM(customer_churn_dataset!A1397)</f>
        <v>CUST101253</v>
      </c>
      <c r="B1397" s="7" t="str">
        <f aca="false">PROPER(TRIM(customer_churn_dataset!B1397))</f>
        <v>Basic</v>
      </c>
      <c r="C1397" s="7" t="str">
        <f aca="false">PROPER(TRIM(customer_churn_dataset!C1397))</f>
        <v>Two Year</v>
      </c>
      <c r="D1397" s="7" t="n">
        <f aca="false">IF(ISBLANK(customer_churn_dataset!D1397),ROUND(MEDIAN(customer_churn_dataset!D$2:D$1501),2),IF(customer_churn_dataset!D1397&lt;0,ABS(customer_churn_dataset!D1397),customer_churn_dataset!D1397))</f>
        <v>9.07</v>
      </c>
      <c r="E1397" s="7" t="n">
        <f aca="false">IF(ISBLANK(customer_churn_dataset!E1397),0,MAX(0,customer_churn_dataset!E1397))</f>
        <v>24</v>
      </c>
      <c r="F1397" s="8" t="n">
        <f aca="false">IF(ISBLANK(customer_churn_dataset!F1397),"",customer_churn_dataset!F1397)</f>
        <v>45708</v>
      </c>
      <c r="G1397" s="7" t="str">
        <f aca="false">PROPER(TRIM(customer_churn_dataset!G1397))</f>
        <v>Credit Card</v>
      </c>
      <c r="H1397" s="7" t="n">
        <f aca="false">IF(ISBLANK(customer_churn_dataset!H1397),0,customer_churn_dataset!H1397)</f>
        <v>1</v>
      </c>
      <c r="I1397" s="7" t="n">
        <f aca="false">IF(ISBLANK(customer_churn_dataset!I1397),ROUND(MEDIAN(customer_churn_dataset!I$2:I$1501),1),MIN(100,MAX(0,customer_churn_dataset!I1397)))</f>
        <v>75.4</v>
      </c>
      <c r="J1397" s="7" t="n">
        <f aca="false">IF(ISBLANK(customer_churn_dataset!J1397),0,MAX(0,customer_churn_dataset!J1397))</f>
        <v>20</v>
      </c>
      <c r="K1397" s="7" t="n">
        <f aca="false">IF(ISBLANK(customer_churn_dataset!K1397),0,MIN(10,MAX(0,customer_churn_dataset!K1397)))</f>
        <v>9</v>
      </c>
      <c r="L1397" s="7" t="n">
        <f aca="false">IF(ISBLANK(customer_churn_dataset!L1397),0,MAX(0,customer_churn_dataset!L1397))</f>
        <v>2</v>
      </c>
      <c r="M1397" s="7" t="n">
        <f aca="false">IF(ISBLANK(customer_churn_dataset!M1397),0,customer_churn_dataset!M1397)</f>
        <v>0</v>
      </c>
      <c r="N1397" s="7" t="n">
        <f aca="false">IF(ISBLANK(customer_churn_dataset!N1397),0,MAX(0,customer_churn_dataset!N1397))</f>
        <v>217.68</v>
      </c>
      <c r="O1397" s="7" t="n">
        <f aca="false">IF(ISBLANK(customer_churn_dataset!O1397),0,customer_churn_dataset!O1397)</f>
        <v>0</v>
      </c>
      <c r="P1397" s="7" t="str">
        <f aca="false">IF(COUNTIF(customer_churn_dataset!$A$2:$A$1501,customer_churn_dataset!A1397)&gt;1,"Duplicate","Unique")</f>
        <v>Unique</v>
      </c>
    </row>
    <row r="1398" customFormat="false" ht="14.15" hidden="false" customHeight="true" outlineLevel="0" collapsed="false">
      <c r="A1398" s="7" t="str">
        <f aca="false">TRIM(customer_churn_dataset!A1398)</f>
        <v>CUST100418</v>
      </c>
      <c r="B1398" s="7" t="str">
        <f aca="false">PROPER(TRIM(customer_churn_dataset!B1398))</f>
        <v>Standard</v>
      </c>
      <c r="C1398" s="7" t="str">
        <f aca="false">PROPER(TRIM(customer_churn_dataset!C1398))</f>
        <v>One Year</v>
      </c>
      <c r="D1398" s="7" t="n">
        <f aca="false">IF(ISBLANK(customer_churn_dataset!D1398),ROUND(MEDIAN(customer_churn_dataset!D$2:D$1501),2),IF(customer_churn_dataset!D1398&lt;0,ABS(customer_churn_dataset!D1398),customer_churn_dataset!D1398))</f>
        <v>19.26</v>
      </c>
      <c r="E1398" s="7" t="n">
        <f aca="false">IF(ISBLANK(customer_churn_dataset!E1398),0,MAX(0,customer_churn_dataset!E1398))</f>
        <v>13</v>
      </c>
      <c r="F1398" s="8" t="n">
        <f aca="false">IF(ISBLANK(customer_churn_dataset!F1398),"",customer_churn_dataset!F1398)</f>
        <v>45712</v>
      </c>
      <c r="G1398" s="7" t="str">
        <f aca="false">PROPER(TRIM(customer_churn_dataset!G1398))</f>
        <v>Bank Transfer</v>
      </c>
      <c r="H1398" s="7" t="n">
        <f aca="false">IF(ISBLANK(customer_churn_dataset!H1398),0,customer_churn_dataset!H1398)</f>
        <v>1</v>
      </c>
      <c r="I1398" s="7" t="n">
        <f aca="false">IF(ISBLANK(customer_churn_dataset!I1398),ROUND(MEDIAN(customer_churn_dataset!I$2:I$1501),1),MIN(100,MAX(0,customer_churn_dataset!I1398)))</f>
        <v>26.2</v>
      </c>
      <c r="J1398" s="7" t="n">
        <f aca="false">IF(ISBLANK(customer_churn_dataset!J1398),0,MAX(0,customer_churn_dataset!J1398))</f>
        <v>7</v>
      </c>
      <c r="K1398" s="7" t="n">
        <f aca="false">IF(ISBLANK(customer_churn_dataset!K1398),0,MIN(10,MAX(0,customer_churn_dataset!K1398)))</f>
        <v>4</v>
      </c>
      <c r="L1398" s="7" t="n">
        <f aca="false">IF(ISBLANK(customer_churn_dataset!L1398),0,MAX(0,customer_churn_dataset!L1398))</f>
        <v>6</v>
      </c>
      <c r="M1398" s="7" t="n">
        <f aca="false">IF(ISBLANK(customer_churn_dataset!M1398),0,customer_churn_dataset!M1398)</f>
        <v>1</v>
      </c>
      <c r="N1398" s="7" t="n">
        <f aca="false">IF(ISBLANK(customer_churn_dataset!N1398),0,MAX(0,customer_churn_dataset!N1398))</f>
        <v>250.38</v>
      </c>
      <c r="O1398" s="7" t="n">
        <f aca="false">IF(ISBLANK(customer_churn_dataset!O1398),0,customer_churn_dataset!O1398)</f>
        <v>0</v>
      </c>
      <c r="P1398" s="7" t="str">
        <f aca="false">IF(COUNTIF(customer_churn_dataset!$A$2:$A$1501,customer_churn_dataset!A1398)&gt;1,"Duplicate","Unique")</f>
        <v>Unique</v>
      </c>
    </row>
    <row r="1399" customFormat="false" ht="14.15" hidden="false" customHeight="true" outlineLevel="0" collapsed="false">
      <c r="A1399" s="7" t="str">
        <f aca="false">TRIM(customer_churn_dataset!A1399)</f>
        <v>CUST101230</v>
      </c>
      <c r="B1399" s="7" t="str">
        <f aca="false">PROPER(TRIM(customer_churn_dataset!B1399))</f>
        <v>Premium</v>
      </c>
      <c r="C1399" s="7" t="str">
        <f aca="false">PROPER(TRIM(customer_churn_dataset!C1399))</f>
        <v>One Year</v>
      </c>
      <c r="D1399" s="7" t="n">
        <f aca="false">IF(ISBLANK(customer_churn_dataset!D1399),ROUND(MEDIAN(customer_churn_dataset!D$2:D$1501),2),IF(customer_churn_dataset!D1399&lt;0,ABS(customer_churn_dataset!D1399),customer_churn_dataset!D1399))</f>
        <v>38.14</v>
      </c>
      <c r="E1399" s="7" t="n">
        <f aca="false">IF(ISBLANK(customer_churn_dataset!E1399),0,MAX(0,customer_churn_dataset!E1399))</f>
        <v>1</v>
      </c>
      <c r="F1399" s="8" t="n">
        <f aca="false">IF(ISBLANK(customer_churn_dataset!F1399),"",customer_churn_dataset!F1399)</f>
        <v>45714</v>
      </c>
      <c r="G1399" s="7" t="str">
        <f aca="false">PROPER(TRIM(customer_churn_dataset!G1399))</f>
        <v>Credit Card</v>
      </c>
      <c r="H1399" s="7" t="n">
        <f aca="false">IF(ISBLANK(customer_churn_dataset!H1399),0,customer_churn_dataset!H1399)</f>
        <v>1</v>
      </c>
      <c r="I1399" s="7" t="n">
        <f aca="false">IF(ISBLANK(customer_churn_dataset!I1399),ROUND(MEDIAN(customer_churn_dataset!I$2:I$1501),1),MIN(100,MAX(0,customer_churn_dataset!I1399)))</f>
        <v>55.8</v>
      </c>
      <c r="J1399" s="7" t="n">
        <f aca="false">IF(ISBLANK(customer_churn_dataset!J1399),0,MAX(0,customer_churn_dataset!J1399))</f>
        <v>15</v>
      </c>
      <c r="K1399" s="7" t="n">
        <f aca="false">IF(ISBLANK(customer_churn_dataset!K1399),0,MIN(10,MAX(0,customer_churn_dataset!K1399)))</f>
        <v>5</v>
      </c>
      <c r="L1399" s="7" t="n">
        <f aca="false">IF(ISBLANK(customer_churn_dataset!L1399),0,MAX(0,customer_churn_dataset!L1399))</f>
        <v>1</v>
      </c>
      <c r="M1399" s="7" t="n">
        <f aca="false">IF(ISBLANK(customer_churn_dataset!M1399),0,customer_churn_dataset!M1399)</f>
        <v>1</v>
      </c>
      <c r="N1399" s="7" t="n">
        <f aca="false">IF(ISBLANK(customer_churn_dataset!N1399),0,MAX(0,customer_churn_dataset!N1399))</f>
        <v>38.14</v>
      </c>
      <c r="O1399" s="7" t="n">
        <f aca="false">IF(ISBLANK(customer_churn_dataset!O1399),0,customer_churn_dataset!O1399)</f>
        <v>0</v>
      </c>
      <c r="P1399" s="7" t="str">
        <f aca="false">IF(COUNTIF(customer_churn_dataset!$A$2:$A$1501,customer_churn_dataset!A1399)&gt;1,"Duplicate","Unique")</f>
        <v>Unique</v>
      </c>
    </row>
    <row r="1400" customFormat="false" ht="14.15" hidden="false" customHeight="true" outlineLevel="0" collapsed="false">
      <c r="A1400" s="7" t="str">
        <f aca="false">TRIM(customer_churn_dataset!A1400)</f>
        <v>CUST100716</v>
      </c>
      <c r="B1400" s="7" t="str">
        <f aca="false">PROPER(TRIM(customer_churn_dataset!B1400))</f>
        <v>Premium</v>
      </c>
      <c r="C1400" s="7" t="str">
        <f aca="false">PROPER(TRIM(customer_churn_dataset!C1400))</f>
        <v>One Year</v>
      </c>
      <c r="D1400" s="7" t="n">
        <f aca="false">IF(ISBLANK(customer_churn_dataset!D1400),ROUND(MEDIAN(customer_churn_dataset!D$2:D$1501),2),IF(customer_churn_dataset!D1400&lt;0,ABS(customer_churn_dataset!D1400),customer_churn_dataset!D1400))</f>
        <v>39.43</v>
      </c>
      <c r="E1400" s="7" t="n">
        <f aca="false">IF(ISBLANK(customer_churn_dataset!E1400),0,MAX(0,customer_churn_dataset!E1400))</f>
        <v>38</v>
      </c>
      <c r="F1400" s="8" t="n">
        <f aca="false">IF(ISBLANK(customer_churn_dataset!F1400),"",customer_churn_dataset!F1400)</f>
        <v>45714</v>
      </c>
      <c r="G1400" s="7" t="str">
        <f aca="false">PROPER(TRIM(customer_churn_dataset!G1400))</f>
        <v>Credit Card</v>
      </c>
      <c r="H1400" s="7" t="n">
        <f aca="false">IF(ISBLANK(customer_churn_dataset!H1400),0,customer_churn_dataset!H1400)</f>
        <v>1</v>
      </c>
      <c r="I1400" s="7" t="n">
        <f aca="false">IF(ISBLANK(customer_churn_dataset!I1400),ROUND(MEDIAN(customer_churn_dataset!I$2:I$1501),1),MIN(100,MAX(0,customer_churn_dataset!I1400)))</f>
        <v>33.2</v>
      </c>
      <c r="J1400" s="7" t="n">
        <f aca="false">IF(ISBLANK(customer_churn_dataset!J1400),0,MAX(0,customer_churn_dataset!J1400))</f>
        <v>10</v>
      </c>
      <c r="K1400" s="7" t="n">
        <f aca="false">IF(ISBLANK(customer_churn_dataset!K1400),0,MIN(10,MAX(0,customer_churn_dataset!K1400)))</f>
        <v>5</v>
      </c>
      <c r="L1400" s="7" t="n">
        <f aca="false">IF(ISBLANK(customer_churn_dataset!L1400),0,MAX(0,customer_churn_dataset!L1400))</f>
        <v>1</v>
      </c>
      <c r="M1400" s="7" t="n">
        <f aca="false">IF(ISBLANK(customer_churn_dataset!M1400),0,customer_churn_dataset!M1400)</f>
        <v>1</v>
      </c>
      <c r="N1400" s="7" t="n">
        <f aca="false">IF(ISBLANK(customer_churn_dataset!N1400),0,MAX(0,customer_churn_dataset!N1400))</f>
        <v>1498.34</v>
      </c>
      <c r="O1400" s="7" t="n">
        <f aca="false">IF(ISBLANK(customer_churn_dataset!O1400),0,customer_churn_dataset!O1400)</f>
        <v>0</v>
      </c>
      <c r="P1400" s="7" t="str">
        <f aca="false">IF(COUNTIF(customer_churn_dataset!$A$2:$A$1501,customer_churn_dataset!A1400)&gt;1,"Duplicate","Unique")</f>
        <v>Unique</v>
      </c>
    </row>
    <row r="1401" customFormat="false" ht="14.15" hidden="false" customHeight="true" outlineLevel="0" collapsed="false">
      <c r="A1401" s="7" t="str">
        <f aca="false">TRIM(customer_churn_dataset!A1401)</f>
        <v>CUST100265</v>
      </c>
      <c r="B1401" s="7" t="str">
        <f aca="false">PROPER(TRIM(customer_churn_dataset!B1401))</f>
        <v>Standard</v>
      </c>
      <c r="C1401" s="7" t="str">
        <f aca="false">PROPER(TRIM(customer_churn_dataset!C1401))</f>
        <v>Month-To-Month</v>
      </c>
      <c r="D1401" s="7" t="n">
        <f aca="false">IF(ISBLANK(customer_churn_dataset!D1401),ROUND(MEDIAN(customer_churn_dataset!D$2:D$1501),2),IF(customer_churn_dataset!D1401&lt;0,ABS(customer_churn_dataset!D1401),customer_churn_dataset!D1401))</f>
        <v>18.02</v>
      </c>
      <c r="E1401" s="7" t="n">
        <f aca="false">IF(ISBLANK(customer_churn_dataset!E1401),0,MAX(0,customer_churn_dataset!E1401))</f>
        <v>15</v>
      </c>
      <c r="F1401" s="8" t="n">
        <f aca="false">IF(ISBLANK(customer_churn_dataset!F1401),"",customer_churn_dataset!F1401)</f>
        <v>45716</v>
      </c>
      <c r="G1401" s="7" t="str">
        <f aca="false">PROPER(TRIM(customer_churn_dataset!G1401))</f>
        <v>Credit Card</v>
      </c>
      <c r="H1401" s="7" t="n">
        <f aca="false">IF(ISBLANK(customer_churn_dataset!H1401),0,customer_churn_dataset!H1401)</f>
        <v>0</v>
      </c>
      <c r="I1401" s="7" t="n">
        <f aca="false">IF(ISBLANK(customer_churn_dataset!I1401),ROUND(MEDIAN(customer_churn_dataset!I$2:I$1501),1),MIN(100,MAX(0,customer_churn_dataset!I1401)))</f>
        <v>71.2</v>
      </c>
      <c r="J1401" s="7" t="n">
        <f aca="false">IF(ISBLANK(customer_churn_dataset!J1401),0,MAX(0,customer_churn_dataset!J1401))</f>
        <v>20</v>
      </c>
      <c r="K1401" s="7" t="n">
        <f aca="false">IF(ISBLANK(customer_churn_dataset!K1401),0,MIN(10,MAX(0,customer_churn_dataset!K1401)))</f>
        <v>5</v>
      </c>
      <c r="L1401" s="7" t="n">
        <f aca="false">IF(ISBLANK(customer_churn_dataset!L1401),0,MAX(0,customer_churn_dataset!L1401))</f>
        <v>1</v>
      </c>
      <c r="M1401" s="7" t="n">
        <f aca="false">IF(ISBLANK(customer_churn_dataset!M1401),0,customer_churn_dataset!M1401)</f>
        <v>0</v>
      </c>
      <c r="N1401" s="7" t="n">
        <f aca="false">IF(ISBLANK(customer_churn_dataset!N1401),0,MAX(0,customer_churn_dataset!N1401))</f>
        <v>270.3</v>
      </c>
      <c r="O1401" s="7" t="n">
        <f aca="false">IF(ISBLANK(customer_churn_dataset!O1401),0,customer_churn_dataset!O1401)</f>
        <v>0</v>
      </c>
      <c r="P1401" s="7" t="str">
        <f aca="false">IF(COUNTIF(customer_churn_dataset!$A$2:$A$1501,customer_churn_dataset!A1401)&gt;1,"Duplicate","Unique")</f>
        <v>Unique</v>
      </c>
    </row>
    <row r="1402" customFormat="false" ht="14.15" hidden="false" customHeight="true" outlineLevel="0" collapsed="false">
      <c r="A1402" s="7" t="str">
        <f aca="false">TRIM(customer_churn_dataset!A1402)</f>
        <v>CUST100615</v>
      </c>
      <c r="B1402" s="7" t="str">
        <f aca="false">PROPER(TRIM(customer_churn_dataset!B1402))</f>
        <v>Premium</v>
      </c>
      <c r="C1402" s="7" t="str">
        <f aca="false">PROPER(TRIM(customer_churn_dataset!C1402))</f>
        <v>One Year</v>
      </c>
      <c r="D1402" s="7" t="n">
        <f aca="false">IF(ISBLANK(customer_churn_dataset!D1402),ROUND(MEDIAN(customer_churn_dataset!D$2:D$1501),2),IF(customer_churn_dataset!D1402&lt;0,ABS(customer_churn_dataset!D1402),customer_churn_dataset!D1402))</f>
        <v>38.67</v>
      </c>
      <c r="E1402" s="7" t="n">
        <f aca="false">IF(ISBLANK(customer_churn_dataset!E1402),0,MAX(0,customer_churn_dataset!E1402))</f>
        <v>7</v>
      </c>
      <c r="F1402" s="8" t="n">
        <f aca="false">IF(ISBLANK(customer_churn_dataset!F1402),"",customer_churn_dataset!F1402)</f>
        <v>45717</v>
      </c>
      <c r="G1402" s="7" t="str">
        <f aca="false">PROPER(TRIM(customer_churn_dataset!G1402))</f>
        <v>Paypal</v>
      </c>
      <c r="H1402" s="7" t="n">
        <f aca="false">IF(ISBLANK(customer_churn_dataset!H1402),0,customer_churn_dataset!H1402)</f>
        <v>1</v>
      </c>
      <c r="I1402" s="7" t="n">
        <f aca="false">IF(ISBLANK(customer_churn_dataset!I1402),ROUND(MEDIAN(customer_churn_dataset!I$2:I$1501),1),MIN(100,MAX(0,customer_churn_dataset!I1402)))</f>
        <v>58.6</v>
      </c>
      <c r="J1402" s="7" t="n">
        <f aca="false">IF(ISBLANK(customer_churn_dataset!J1402),0,MAX(0,customer_churn_dataset!J1402))</f>
        <v>21</v>
      </c>
      <c r="K1402" s="7" t="n">
        <f aca="false">IF(ISBLANK(customer_churn_dataset!K1402),0,MIN(10,MAX(0,customer_churn_dataset!K1402)))</f>
        <v>6</v>
      </c>
      <c r="L1402" s="7" t="n">
        <f aca="false">IF(ISBLANK(customer_churn_dataset!L1402),0,MAX(0,customer_churn_dataset!L1402))</f>
        <v>1</v>
      </c>
      <c r="M1402" s="7" t="n">
        <f aca="false">IF(ISBLANK(customer_churn_dataset!M1402),0,customer_churn_dataset!M1402)</f>
        <v>0</v>
      </c>
      <c r="N1402" s="7" t="n">
        <f aca="false">IF(ISBLANK(customer_churn_dataset!N1402),0,MAX(0,customer_churn_dataset!N1402))</f>
        <v>270.69</v>
      </c>
      <c r="O1402" s="7" t="n">
        <f aca="false">IF(ISBLANK(customer_churn_dataset!O1402),0,customer_churn_dataset!O1402)</f>
        <v>0</v>
      </c>
      <c r="P1402" s="7" t="str">
        <f aca="false">IF(COUNTIF(customer_churn_dataset!$A$2:$A$1501,customer_churn_dataset!A1402)&gt;1,"Duplicate","Unique")</f>
        <v>Unique</v>
      </c>
    </row>
    <row r="1403" customFormat="false" ht="14.15" hidden="false" customHeight="true" outlineLevel="0" collapsed="false">
      <c r="A1403" s="7" t="str">
        <f aca="false">TRIM(customer_churn_dataset!A1403)</f>
        <v>CUST101431</v>
      </c>
      <c r="B1403" s="7" t="str">
        <f aca="false">PROPER(TRIM(customer_churn_dataset!B1403))</f>
        <v>Standard</v>
      </c>
      <c r="C1403" s="7" t="str">
        <f aca="false">PROPER(TRIM(customer_churn_dataset!C1403))</f>
        <v>One Year</v>
      </c>
      <c r="D1403" s="7" t="n">
        <f aca="false">IF(ISBLANK(customer_churn_dataset!D1403),ROUND(MEDIAN(customer_churn_dataset!D$2:D$1501),2),IF(customer_churn_dataset!D1403&lt;0,ABS(customer_churn_dataset!D1403),customer_churn_dataset!D1403))</f>
        <v>19.53</v>
      </c>
      <c r="E1403" s="7" t="n">
        <f aca="false">IF(ISBLANK(customer_churn_dataset!E1403),0,MAX(0,customer_churn_dataset!E1403))</f>
        <v>1</v>
      </c>
      <c r="F1403" s="8" t="n">
        <f aca="false">IF(ISBLANK(customer_churn_dataset!F1403),"",customer_churn_dataset!F1403)</f>
        <v>45718</v>
      </c>
      <c r="G1403" s="7" t="str">
        <f aca="false">PROPER(TRIM(customer_churn_dataset!G1403))</f>
        <v>Credit Card</v>
      </c>
      <c r="H1403" s="7" t="n">
        <f aca="false">IF(ISBLANK(customer_churn_dataset!H1403),0,customer_churn_dataset!H1403)</f>
        <v>1</v>
      </c>
      <c r="I1403" s="7" t="n">
        <f aca="false">IF(ISBLANK(customer_churn_dataset!I1403),ROUND(MEDIAN(customer_churn_dataset!I$2:I$1501),1),MIN(100,MAX(0,customer_churn_dataset!I1403)))</f>
        <v>37.9</v>
      </c>
      <c r="J1403" s="7" t="n">
        <f aca="false">IF(ISBLANK(customer_churn_dataset!J1403),0,MAX(0,customer_churn_dataset!J1403))</f>
        <v>19</v>
      </c>
      <c r="K1403" s="7" t="n">
        <f aca="false">IF(ISBLANK(customer_churn_dataset!K1403),0,MIN(10,MAX(0,customer_churn_dataset!K1403)))</f>
        <v>4</v>
      </c>
      <c r="L1403" s="7" t="n">
        <f aca="false">IF(ISBLANK(customer_churn_dataset!L1403),0,MAX(0,customer_churn_dataset!L1403))</f>
        <v>3</v>
      </c>
      <c r="M1403" s="7" t="n">
        <f aca="false">IF(ISBLANK(customer_churn_dataset!M1403),0,customer_churn_dataset!M1403)</f>
        <v>0</v>
      </c>
      <c r="N1403" s="7" t="n">
        <f aca="false">IF(ISBLANK(customer_churn_dataset!N1403),0,MAX(0,customer_churn_dataset!N1403))</f>
        <v>19.53</v>
      </c>
      <c r="O1403" s="7" t="n">
        <f aca="false">IF(ISBLANK(customer_churn_dataset!O1403),0,customer_churn_dataset!O1403)</f>
        <v>0</v>
      </c>
      <c r="P1403" s="7" t="str">
        <f aca="false">IF(COUNTIF(customer_churn_dataset!$A$2:$A$1501,customer_churn_dataset!A1403)&gt;1,"Duplicate","Unique")</f>
        <v>Unique</v>
      </c>
    </row>
    <row r="1404" customFormat="false" ht="14.15" hidden="false" customHeight="true" outlineLevel="0" collapsed="false">
      <c r="A1404" s="7" t="str">
        <f aca="false">TRIM(customer_churn_dataset!A1404)</f>
        <v>CUST100602</v>
      </c>
      <c r="B1404" s="7" t="str">
        <f aca="false">PROPER(TRIM(customer_churn_dataset!B1404))</f>
        <v>Basic</v>
      </c>
      <c r="C1404" s="7" t="str">
        <f aca="false">PROPER(TRIM(customer_churn_dataset!C1404))</f>
        <v>One Year</v>
      </c>
      <c r="D1404" s="7" t="n">
        <f aca="false">IF(ISBLANK(customer_churn_dataset!D1404),ROUND(MEDIAN(customer_churn_dataset!D$2:D$1501),2),IF(customer_churn_dataset!D1404&lt;0,ABS(customer_churn_dataset!D1404),customer_churn_dataset!D1404))</f>
        <v>10.07</v>
      </c>
      <c r="E1404" s="7" t="n">
        <f aca="false">IF(ISBLANK(customer_churn_dataset!E1404),0,MAX(0,customer_churn_dataset!E1404))</f>
        <v>40</v>
      </c>
      <c r="F1404" s="8" t="n">
        <f aca="false">IF(ISBLANK(customer_churn_dataset!F1404),"",customer_churn_dataset!F1404)</f>
        <v>45721</v>
      </c>
      <c r="G1404" s="7" t="str">
        <f aca="false">PROPER(TRIM(customer_churn_dataset!G1404))</f>
        <v>Paypal</v>
      </c>
      <c r="H1404" s="7" t="n">
        <f aca="false">IF(ISBLANK(customer_churn_dataset!H1404),0,customer_churn_dataset!H1404)</f>
        <v>1</v>
      </c>
      <c r="I1404" s="7" t="n">
        <f aca="false">IF(ISBLANK(customer_churn_dataset!I1404),ROUND(MEDIAN(customer_churn_dataset!I$2:I$1501),1),MIN(100,MAX(0,customer_churn_dataset!I1404)))</f>
        <v>8</v>
      </c>
      <c r="J1404" s="7" t="n">
        <f aca="false">IF(ISBLANK(customer_churn_dataset!J1404),0,MAX(0,customer_churn_dataset!J1404))</f>
        <v>0</v>
      </c>
      <c r="K1404" s="7" t="n">
        <f aca="false">IF(ISBLANK(customer_churn_dataset!K1404),0,MIN(10,MAX(0,customer_churn_dataset!K1404)))</f>
        <v>4</v>
      </c>
      <c r="L1404" s="7" t="n">
        <f aca="false">IF(ISBLANK(customer_churn_dataset!L1404),0,MAX(0,customer_churn_dataset!L1404))</f>
        <v>1</v>
      </c>
      <c r="M1404" s="7" t="n">
        <f aca="false">IF(ISBLANK(customer_churn_dataset!M1404),0,customer_churn_dataset!M1404)</f>
        <v>1</v>
      </c>
      <c r="N1404" s="7" t="n">
        <f aca="false">IF(ISBLANK(customer_churn_dataset!N1404),0,MAX(0,customer_churn_dataset!N1404))</f>
        <v>402.8</v>
      </c>
      <c r="O1404" s="7" t="n">
        <f aca="false">IF(ISBLANK(customer_churn_dataset!O1404),0,customer_churn_dataset!O1404)</f>
        <v>1</v>
      </c>
      <c r="P1404" s="7" t="str">
        <f aca="false">IF(COUNTIF(customer_churn_dataset!$A$2:$A$1501,customer_churn_dataset!A1404)&gt;1,"Duplicate","Unique")</f>
        <v>Unique</v>
      </c>
    </row>
    <row r="1405" customFormat="false" ht="14.15" hidden="false" customHeight="true" outlineLevel="0" collapsed="false">
      <c r="A1405" s="7" t="str">
        <f aca="false">TRIM(customer_churn_dataset!A1405)</f>
        <v>CUST101418</v>
      </c>
      <c r="B1405" s="7" t="str">
        <f aca="false">PROPER(TRIM(customer_churn_dataset!B1405))</f>
        <v>Standard</v>
      </c>
      <c r="C1405" s="7" t="str">
        <f aca="false">PROPER(TRIM(customer_churn_dataset!C1405))</f>
        <v>Month-To-Month</v>
      </c>
      <c r="D1405" s="7" t="n">
        <f aca="false">IF(ISBLANK(customer_churn_dataset!D1405),ROUND(MEDIAN(customer_churn_dataset!D$2:D$1501),2),IF(customer_churn_dataset!D1405&lt;0,ABS(customer_churn_dataset!D1405),customer_churn_dataset!D1405))</f>
        <v>20.27</v>
      </c>
      <c r="E1405" s="7" t="n">
        <f aca="false">IF(ISBLANK(customer_churn_dataset!E1405),0,MAX(0,customer_churn_dataset!E1405))</f>
        <v>5</v>
      </c>
      <c r="F1405" s="8" t="n">
        <f aca="false">IF(ISBLANK(customer_churn_dataset!F1405),"",customer_churn_dataset!F1405)</f>
        <v>45722</v>
      </c>
      <c r="G1405" s="7" t="str">
        <f aca="false">PROPER(TRIM(customer_churn_dataset!G1405))</f>
        <v>Manual/Invoice</v>
      </c>
      <c r="H1405" s="7" t="n">
        <f aca="false">IF(ISBLANK(customer_churn_dataset!H1405),0,customer_churn_dataset!H1405)</f>
        <v>0</v>
      </c>
      <c r="I1405" s="7" t="n">
        <f aca="false">IF(ISBLANK(customer_churn_dataset!I1405),ROUND(MEDIAN(customer_churn_dataset!I$2:I$1501),1),MIN(100,MAX(0,customer_churn_dataset!I1405)))</f>
        <v>28.7</v>
      </c>
      <c r="J1405" s="7" t="n">
        <f aca="false">IF(ISBLANK(customer_churn_dataset!J1405),0,MAX(0,customer_churn_dataset!J1405))</f>
        <v>8</v>
      </c>
      <c r="K1405" s="7" t="n">
        <f aca="false">IF(ISBLANK(customer_churn_dataset!K1405),0,MIN(10,MAX(0,customer_churn_dataset!K1405)))</f>
        <v>5</v>
      </c>
      <c r="L1405" s="7" t="n">
        <f aca="false">IF(ISBLANK(customer_churn_dataset!L1405),0,MAX(0,customer_churn_dataset!L1405))</f>
        <v>4</v>
      </c>
      <c r="M1405" s="7" t="n">
        <f aca="false">IF(ISBLANK(customer_churn_dataset!M1405),0,customer_churn_dataset!M1405)</f>
        <v>1</v>
      </c>
      <c r="N1405" s="7" t="n">
        <f aca="false">IF(ISBLANK(customer_churn_dataset!N1405),0,MAX(0,customer_churn_dataset!N1405))</f>
        <v>101.35</v>
      </c>
      <c r="O1405" s="7" t="n">
        <f aca="false">IF(ISBLANK(customer_churn_dataset!O1405),0,customer_churn_dataset!O1405)</f>
        <v>1</v>
      </c>
      <c r="P1405" s="7" t="str">
        <f aca="false">IF(COUNTIF(customer_churn_dataset!$A$2:$A$1501,customer_churn_dataset!A1405)&gt;1,"Duplicate","Unique")</f>
        <v>Unique</v>
      </c>
    </row>
    <row r="1406" customFormat="false" ht="14.15" hidden="false" customHeight="true" outlineLevel="0" collapsed="false">
      <c r="A1406" s="7" t="str">
        <f aca="false">TRIM(customer_churn_dataset!A1406)</f>
        <v>CUST101417</v>
      </c>
      <c r="B1406" s="7" t="str">
        <f aca="false">PROPER(TRIM(customer_churn_dataset!B1406))</f>
        <v>Basic</v>
      </c>
      <c r="C1406" s="7" t="str">
        <f aca="false">PROPER(TRIM(customer_churn_dataset!C1406))</f>
        <v>Month-To-Month</v>
      </c>
      <c r="D1406" s="7" t="n">
        <f aca="false">IF(ISBLANK(customer_churn_dataset!D1406),ROUND(MEDIAN(customer_churn_dataset!D$2:D$1501),2),IF(customer_churn_dataset!D1406&lt;0,ABS(customer_churn_dataset!D1406),customer_churn_dataset!D1406))</f>
        <v>10.99</v>
      </c>
      <c r="E1406" s="7" t="n">
        <f aca="false">IF(ISBLANK(customer_churn_dataset!E1406),0,MAX(0,customer_churn_dataset!E1406))</f>
        <v>27</v>
      </c>
      <c r="F1406" s="8" t="n">
        <f aca="false">IF(ISBLANK(customer_churn_dataset!F1406),"",customer_churn_dataset!F1406)</f>
        <v>45722</v>
      </c>
      <c r="G1406" s="7" t="str">
        <f aca="false">PROPER(TRIM(customer_churn_dataset!G1406))</f>
        <v>Credit Card</v>
      </c>
      <c r="H1406" s="7" t="n">
        <f aca="false">IF(ISBLANK(customer_churn_dataset!H1406),0,customer_churn_dataset!H1406)</f>
        <v>1</v>
      </c>
      <c r="I1406" s="7" t="n">
        <f aca="false">IF(ISBLANK(customer_churn_dataset!I1406),ROUND(MEDIAN(customer_churn_dataset!I$2:I$1501),1),MIN(100,MAX(0,customer_churn_dataset!I1406)))</f>
        <v>84.9</v>
      </c>
      <c r="J1406" s="7" t="n">
        <f aca="false">IF(ISBLANK(customer_churn_dataset!J1406),0,MAX(0,customer_churn_dataset!J1406))</f>
        <v>28</v>
      </c>
      <c r="K1406" s="7" t="n">
        <f aca="false">IF(ISBLANK(customer_churn_dataset!K1406),0,MIN(10,MAX(0,customer_churn_dataset!K1406)))</f>
        <v>8</v>
      </c>
      <c r="L1406" s="7" t="n">
        <f aca="false">IF(ISBLANK(customer_churn_dataset!L1406),0,MAX(0,customer_churn_dataset!L1406))</f>
        <v>1</v>
      </c>
      <c r="M1406" s="7" t="n">
        <f aca="false">IF(ISBLANK(customer_churn_dataset!M1406),0,customer_churn_dataset!M1406)</f>
        <v>0</v>
      </c>
      <c r="N1406" s="7" t="n">
        <f aca="false">IF(ISBLANK(customer_churn_dataset!N1406),0,MAX(0,customer_churn_dataset!N1406))</f>
        <v>296.73</v>
      </c>
      <c r="O1406" s="7" t="n">
        <f aca="false">IF(ISBLANK(customer_churn_dataset!O1406),0,customer_churn_dataset!O1406)</f>
        <v>0</v>
      </c>
      <c r="P1406" s="7" t="str">
        <f aca="false">IF(COUNTIF(customer_churn_dataset!$A$2:$A$1501,customer_churn_dataset!A1406)&gt;1,"Duplicate","Unique")</f>
        <v>Unique</v>
      </c>
    </row>
    <row r="1407" customFormat="false" ht="14.15" hidden="false" customHeight="true" outlineLevel="0" collapsed="false">
      <c r="A1407" s="7" t="str">
        <f aca="false">TRIM(customer_churn_dataset!A1407)</f>
        <v>CUST101328</v>
      </c>
      <c r="B1407" s="7" t="str">
        <f aca="false">PROPER(TRIM(customer_churn_dataset!B1407))</f>
        <v>Standard</v>
      </c>
      <c r="C1407" s="7" t="str">
        <f aca="false">PROPER(TRIM(customer_churn_dataset!C1407))</f>
        <v>Month-To-Month</v>
      </c>
      <c r="D1407" s="7" t="n">
        <f aca="false">IF(ISBLANK(customer_churn_dataset!D1407),ROUND(MEDIAN(customer_churn_dataset!D$2:D$1501),2),IF(customer_churn_dataset!D1407&lt;0,ABS(customer_churn_dataset!D1407),customer_churn_dataset!D1407))</f>
        <v>20.02</v>
      </c>
      <c r="E1407" s="7" t="n">
        <f aca="false">IF(ISBLANK(customer_churn_dataset!E1407),0,MAX(0,customer_churn_dataset!E1407))</f>
        <v>25</v>
      </c>
      <c r="F1407" s="8" t="n">
        <f aca="false">IF(ISBLANK(customer_churn_dataset!F1407),"",customer_churn_dataset!F1407)</f>
        <v>45723</v>
      </c>
      <c r="G1407" s="7" t="str">
        <f aca="false">PROPER(TRIM(customer_churn_dataset!G1407))</f>
        <v>Manual/Invoice</v>
      </c>
      <c r="H1407" s="7" t="n">
        <f aca="false">IF(ISBLANK(customer_churn_dataset!H1407),0,customer_churn_dataset!H1407)</f>
        <v>0</v>
      </c>
      <c r="I1407" s="7" t="n">
        <f aca="false">IF(ISBLANK(customer_churn_dataset!I1407),ROUND(MEDIAN(customer_churn_dataset!I$2:I$1501),1),MIN(100,MAX(0,customer_churn_dataset!I1407)))</f>
        <v>25.3</v>
      </c>
      <c r="J1407" s="7" t="n">
        <f aca="false">IF(ISBLANK(customer_churn_dataset!J1407),0,MAX(0,customer_churn_dataset!J1407))</f>
        <v>9</v>
      </c>
      <c r="K1407" s="7" t="n">
        <f aca="false">IF(ISBLANK(customer_churn_dataset!K1407),0,MIN(10,MAX(0,customer_churn_dataset!K1407)))</f>
        <v>4</v>
      </c>
      <c r="L1407" s="7" t="n">
        <f aca="false">IF(ISBLANK(customer_churn_dataset!L1407),0,MAX(0,customer_churn_dataset!L1407))</f>
        <v>0</v>
      </c>
      <c r="M1407" s="7" t="n">
        <f aca="false">IF(ISBLANK(customer_churn_dataset!M1407),0,customer_churn_dataset!M1407)</f>
        <v>0</v>
      </c>
      <c r="N1407" s="7" t="n">
        <f aca="false">IF(ISBLANK(customer_churn_dataset!N1407),0,MAX(0,customer_churn_dataset!N1407))</f>
        <v>500.5</v>
      </c>
      <c r="O1407" s="7" t="n">
        <f aca="false">IF(ISBLANK(customer_churn_dataset!O1407),0,customer_churn_dataset!O1407)</f>
        <v>0</v>
      </c>
      <c r="P1407" s="7" t="str">
        <f aca="false">IF(COUNTIF(customer_churn_dataset!$A$2:$A$1501,customer_churn_dataset!A1407)&gt;1,"Duplicate","Unique")</f>
        <v>Unique</v>
      </c>
    </row>
    <row r="1408" customFormat="false" ht="14.15" hidden="false" customHeight="true" outlineLevel="0" collapsed="false">
      <c r="A1408" s="7" t="str">
        <f aca="false">TRIM(customer_churn_dataset!A1408)</f>
        <v>CUST100012</v>
      </c>
      <c r="B1408" s="7" t="str">
        <f aca="false">PROPER(TRIM(customer_churn_dataset!B1408))</f>
        <v>Premium</v>
      </c>
      <c r="C1408" s="7" t="str">
        <f aca="false">PROPER(TRIM(customer_churn_dataset!C1408))</f>
        <v>Month-To-Month</v>
      </c>
      <c r="D1408" s="7" t="n">
        <f aca="false">IF(ISBLANK(customer_churn_dataset!D1408),ROUND(MEDIAN(customer_churn_dataset!D$2:D$1501),2),IF(customer_churn_dataset!D1408&lt;0,ABS(customer_churn_dataset!D1408),customer_churn_dataset!D1408))</f>
        <v>40.09</v>
      </c>
      <c r="E1408" s="7" t="n">
        <f aca="false">IF(ISBLANK(customer_churn_dataset!E1408),0,MAX(0,customer_churn_dataset!E1408))</f>
        <v>9</v>
      </c>
      <c r="F1408" s="8" t="n">
        <f aca="false">IF(ISBLANK(customer_churn_dataset!F1408),"",customer_churn_dataset!F1408)</f>
        <v>45723</v>
      </c>
      <c r="G1408" s="7" t="str">
        <f aca="false">PROPER(TRIM(customer_churn_dataset!G1408))</f>
        <v>Manual/Invoice</v>
      </c>
      <c r="H1408" s="7" t="n">
        <f aca="false">IF(ISBLANK(customer_churn_dataset!H1408),0,customer_churn_dataset!H1408)</f>
        <v>0</v>
      </c>
      <c r="I1408" s="7" t="n">
        <f aca="false">IF(ISBLANK(customer_churn_dataset!I1408),ROUND(MEDIAN(customer_churn_dataset!I$2:I$1501),1),MIN(100,MAX(0,customer_churn_dataset!I1408)))</f>
        <v>45.5</v>
      </c>
      <c r="J1408" s="7" t="n">
        <f aca="false">IF(ISBLANK(customer_churn_dataset!J1408),0,MAX(0,customer_churn_dataset!J1408))</f>
        <v>13</v>
      </c>
      <c r="K1408" s="7" t="n">
        <f aca="false">IF(ISBLANK(customer_churn_dataset!K1408),0,MIN(10,MAX(0,customer_churn_dataset!K1408)))</f>
        <v>6</v>
      </c>
      <c r="L1408" s="7" t="n">
        <f aca="false">IF(ISBLANK(customer_churn_dataset!L1408),0,MAX(0,customer_churn_dataset!L1408))</f>
        <v>0</v>
      </c>
      <c r="M1408" s="7" t="n">
        <f aca="false">IF(ISBLANK(customer_churn_dataset!M1408),0,customer_churn_dataset!M1408)</f>
        <v>0</v>
      </c>
      <c r="N1408" s="7" t="n">
        <f aca="false">IF(ISBLANK(customer_churn_dataset!N1408),0,MAX(0,customer_churn_dataset!N1408))</f>
        <v>360.81</v>
      </c>
      <c r="O1408" s="7" t="n">
        <f aca="false">IF(ISBLANK(customer_churn_dataset!O1408),0,customer_churn_dataset!O1408)</f>
        <v>0</v>
      </c>
      <c r="P1408" s="7" t="str">
        <f aca="false">IF(COUNTIF(customer_churn_dataset!$A$2:$A$1501,customer_churn_dataset!A1408)&gt;1,"Duplicate","Unique")</f>
        <v>Unique</v>
      </c>
    </row>
    <row r="1409" customFormat="false" ht="14.15" hidden="false" customHeight="true" outlineLevel="0" collapsed="false">
      <c r="A1409" s="7" t="str">
        <f aca="false">TRIM(customer_churn_dataset!A1409)</f>
        <v>CUST100586</v>
      </c>
      <c r="B1409" s="7" t="str">
        <f aca="false">PROPER(TRIM(customer_churn_dataset!B1409))</f>
        <v>Basic</v>
      </c>
      <c r="C1409" s="7" t="str">
        <f aca="false">PROPER(TRIM(customer_churn_dataset!C1409))</f>
        <v>Two Year</v>
      </c>
      <c r="D1409" s="7" t="n">
        <f aca="false">IF(ISBLANK(customer_churn_dataset!D1409),ROUND(MEDIAN(customer_churn_dataset!D$2:D$1501),2),IF(customer_churn_dataset!D1409&lt;0,ABS(customer_churn_dataset!D1409),customer_churn_dataset!D1409))</f>
        <v>10.97</v>
      </c>
      <c r="E1409" s="7" t="n">
        <f aca="false">IF(ISBLANK(customer_churn_dataset!E1409),0,MAX(0,customer_churn_dataset!E1409))</f>
        <v>5</v>
      </c>
      <c r="F1409" s="8" t="n">
        <f aca="false">IF(ISBLANK(customer_churn_dataset!F1409),"",customer_churn_dataset!F1409)</f>
        <v>45724</v>
      </c>
      <c r="G1409" s="7" t="str">
        <f aca="false">PROPER(TRIM(customer_churn_dataset!G1409))</f>
        <v>Credit Card</v>
      </c>
      <c r="H1409" s="7" t="n">
        <f aca="false">IF(ISBLANK(customer_churn_dataset!H1409),0,customer_churn_dataset!H1409)</f>
        <v>1</v>
      </c>
      <c r="I1409" s="7" t="n">
        <f aca="false">IF(ISBLANK(customer_churn_dataset!I1409),ROUND(MEDIAN(customer_churn_dataset!I$2:I$1501),1),MIN(100,MAX(0,customer_churn_dataset!I1409)))</f>
        <v>74.5</v>
      </c>
      <c r="J1409" s="7" t="n">
        <f aca="false">IF(ISBLANK(customer_churn_dataset!J1409),0,MAX(0,customer_churn_dataset!J1409))</f>
        <v>23</v>
      </c>
      <c r="K1409" s="7" t="n">
        <f aca="false">IF(ISBLANK(customer_churn_dataset!K1409),0,MIN(10,MAX(0,customer_churn_dataset!K1409)))</f>
        <v>8</v>
      </c>
      <c r="L1409" s="7" t="n">
        <f aca="false">IF(ISBLANK(customer_churn_dataset!L1409),0,MAX(0,customer_churn_dataset!L1409))</f>
        <v>3</v>
      </c>
      <c r="M1409" s="7" t="n">
        <f aca="false">IF(ISBLANK(customer_churn_dataset!M1409),0,customer_churn_dataset!M1409)</f>
        <v>0</v>
      </c>
      <c r="N1409" s="7" t="n">
        <f aca="false">IF(ISBLANK(customer_churn_dataset!N1409),0,MAX(0,customer_churn_dataset!N1409))</f>
        <v>54.85</v>
      </c>
      <c r="O1409" s="7" t="n">
        <f aca="false">IF(ISBLANK(customer_churn_dataset!O1409),0,customer_churn_dataset!O1409)</f>
        <v>0</v>
      </c>
      <c r="P1409" s="7" t="str">
        <f aca="false">IF(COUNTIF(customer_churn_dataset!$A$2:$A$1501,customer_churn_dataset!A1409)&gt;1,"Duplicate","Unique")</f>
        <v>Unique</v>
      </c>
    </row>
    <row r="1410" customFormat="false" ht="14.15" hidden="false" customHeight="true" outlineLevel="0" collapsed="false">
      <c r="A1410" s="7" t="str">
        <f aca="false">TRIM(customer_churn_dataset!A1410)</f>
        <v>CUST100721</v>
      </c>
      <c r="B1410" s="7" t="str">
        <f aca="false">PROPER(TRIM(customer_churn_dataset!B1410))</f>
        <v>Basic</v>
      </c>
      <c r="C1410" s="7" t="str">
        <f aca="false">PROPER(TRIM(customer_churn_dataset!C1410))</f>
        <v>One Year</v>
      </c>
      <c r="D1410" s="7" t="n">
        <f aca="false">IF(ISBLANK(customer_churn_dataset!D1410),ROUND(MEDIAN(customer_churn_dataset!D$2:D$1501),2),IF(customer_churn_dataset!D1410&lt;0,ABS(customer_churn_dataset!D1410),customer_churn_dataset!D1410))</f>
        <v>11.61</v>
      </c>
      <c r="E1410" s="7" t="n">
        <f aca="false">IF(ISBLANK(customer_churn_dataset!E1410),0,MAX(0,customer_churn_dataset!E1410))</f>
        <v>13</v>
      </c>
      <c r="F1410" s="8" t="n">
        <f aca="false">IF(ISBLANK(customer_churn_dataset!F1410),"",customer_churn_dataset!F1410)</f>
        <v>45725</v>
      </c>
      <c r="G1410" s="7" t="str">
        <f aca="false">PROPER(TRIM(customer_churn_dataset!G1410))</f>
        <v>Paypal</v>
      </c>
      <c r="H1410" s="7" t="n">
        <f aca="false">IF(ISBLANK(customer_churn_dataset!H1410),0,customer_churn_dataset!H1410)</f>
        <v>1</v>
      </c>
      <c r="I1410" s="7" t="n">
        <f aca="false">IF(ISBLANK(customer_churn_dataset!I1410),ROUND(MEDIAN(customer_churn_dataset!I$2:I$1501),1),MIN(100,MAX(0,customer_churn_dataset!I1410)))</f>
        <v>42.4</v>
      </c>
      <c r="J1410" s="7" t="n">
        <f aca="false">IF(ISBLANK(customer_churn_dataset!J1410),0,MAX(0,customer_churn_dataset!J1410))</f>
        <v>16</v>
      </c>
      <c r="K1410" s="7" t="n">
        <f aca="false">IF(ISBLANK(customer_churn_dataset!K1410),0,MIN(10,MAX(0,customer_churn_dataset!K1410)))</f>
        <v>5</v>
      </c>
      <c r="L1410" s="7" t="n">
        <f aca="false">IF(ISBLANK(customer_churn_dataset!L1410),0,MAX(0,customer_churn_dataset!L1410))</f>
        <v>5</v>
      </c>
      <c r="M1410" s="7" t="n">
        <f aca="false">IF(ISBLANK(customer_churn_dataset!M1410),0,customer_churn_dataset!M1410)</f>
        <v>0</v>
      </c>
      <c r="N1410" s="7" t="n">
        <f aca="false">IF(ISBLANK(customer_churn_dataset!N1410),0,MAX(0,customer_churn_dataset!N1410))</f>
        <v>150.93</v>
      </c>
      <c r="O1410" s="7" t="n">
        <f aca="false">IF(ISBLANK(customer_churn_dataset!O1410),0,customer_churn_dataset!O1410)</f>
        <v>0</v>
      </c>
      <c r="P1410" s="7" t="str">
        <f aca="false">IF(COUNTIF(customer_churn_dataset!$A$2:$A$1501,customer_churn_dataset!A1410)&gt;1,"Duplicate","Unique")</f>
        <v>Unique</v>
      </c>
    </row>
    <row r="1411" customFormat="false" ht="14.15" hidden="false" customHeight="true" outlineLevel="0" collapsed="false">
      <c r="A1411" s="7" t="str">
        <f aca="false">TRIM(customer_churn_dataset!A1411)</f>
        <v>CUST100252</v>
      </c>
      <c r="B1411" s="7" t="str">
        <f aca="false">PROPER(TRIM(customer_churn_dataset!B1411))</f>
        <v>Premium</v>
      </c>
      <c r="C1411" s="7" t="str">
        <f aca="false">PROPER(TRIM(customer_churn_dataset!C1411))</f>
        <v>One Year</v>
      </c>
      <c r="D1411" s="7" t="n">
        <f aca="false">IF(ISBLANK(customer_churn_dataset!D1411),ROUND(MEDIAN(customer_churn_dataset!D$2:D$1501),2),IF(customer_churn_dataset!D1411&lt;0,ABS(customer_churn_dataset!D1411),customer_churn_dataset!D1411))</f>
        <v>40.45</v>
      </c>
      <c r="E1411" s="7" t="n">
        <f aca="false">IF(ISBLANK(customer_churn_dataset!E1411),0,MAX(0,customer_churn_dataset!E1411))</f>
        <v>31</v>
      </c>
      <c r="F1411" s="8" t="n">
        <f aca="false">IF(ISBLANK(customer_churn_dataset!F1411),"",customer_churn_dataset!F1411)</f>
        <v>45726</v>
      </c>
      <c r="G1411" s="7" t="str">
        <f aca="false">PROPER(TRIM(customer_churn_dataset!G1411))</f>
        <v>Paypal</v>
      </c>
      <c r="H1411" s="7" t="n">
        <f aca="false">IF(ISBLANK(customer_churn_dataset!H1411),0,customer_churn_dataset!H1411)</f>
        <v>1</v>
      </c>
      <c r="I1411" s="7" t="n">
        <f aca="false">IF(ISBLANK(customer_churn_dataset!I1411),ROUND(MEDIAN(customer_churn_dataset!I$2:I$1501),1),MIN(100,MAX(0,customer_churn_dataset!I1411)))</f>
        <v>33</v>
      </c>
      <c r="J1411" s="7" t="n">
        <f aca="false">IF(ISBLANK(customer_churn_dataset!J1411),0,MAX(0,customer_churn_dataset!J1411))</f>
        <v>9</v>
      </c>
      <c r="K1411" s="7" t="n">
        <f aca="false">IF(ISBLANK(customer_churn_dataset!K1411),0,MIN(10,MAX(0,customer_churn_dataset!K1411)))</f>
        <v>2</v>
      </c>
      <c r="L1411" s="7" t="n">
        <f aca="false">IF(ISBLANK(customer_churn_dataset!L1411),0,MAX(0,customer_churn_dataset!L1411))</f>
        <v>2</v>
      </c>
      <c r="M1411" s="7" t="n">
        <f aca="false">IF(ISBLANK(customer_churn_dataset!M1411),0,customer_churn_dataset!M1411)</f>
        <v>0</v>
      </c>
      <c r="N1411" s="7" t="n">
        <f aca="false">IF(ISBLANK(customer_churn_dataset!N1411),0,MAX(0,customer_churn_dataset!N1411))</f>
        <v>1253.95</v>
      </c>
      <c r="O1411" s="7" t="n">
        <f aca="false">IF(ISBLANK(customer_churn_dataset!O1411),0,customer_churn_dataset!O1411)</f>
        <v>0</v>
      </c>
      <c r="P1411" s="7" t="str">
        <f aca="false">IF(COUNTIF(customer_churn_dataset!$A$2:$A$1501,customer_churn_dataset!A1411)&gt;1,"Duplicate","Unique")</f>
        <v>Unique</v>
      </c>
    </row>
    <row r="1412" customFormat="false" ht="14.15" hidden="false" customHeight="true" outlineLevel="0" collapsed="false">
      <c r="A1412" s="7" t="str">
        <f aca="false">TRIM(customer_churn_dataset!A1412)</f>
        <v>CUST100052</v>
      </c>
      <c r="B1412" s="7" t="str">
        <f aca="false">PROPER(TRIM(customer_churn_dataset!B1412))</f>
        <v>Premium</v>
      </c>
      <c r="C1412" s="7" t="str">
        <f aca="false">PROPER(TRIM(customer_churn_dataset!C1412))</f>
        <v>Month-To-Month</v>
      </c>
      <c r="D1412" s="7" t="n">
        <f aca="false">IF(ISBLANK(customer_churn_dataset!D1412),ROUND(MEDIAN(customer_churn_dataset!D$2:D$1501),2),IF(customer_churn_dataset!D1412&lt;0,ABS(customer_churn_dataset!D1412),customer_churn_dataset!D1412))</f>
        <v>39.27</v>
      </c>
      <c r="E1412" s="7" t="n">
        <f aca="false">IF(ISBLANK(customer_churn_dataset!E1412),0,MAX(0,customer_churn_dataset!E1412))</f>
        <v>31</v>
      </c>
      <c r="F1412" s="8" t="n">
        <f aca="false">IF(ISBLANK(customer_churn_dataset!F1412),"",customer_churn_dataset!F1412)</f>
        <v>45726</v>
      </c>
      <c r="G1412" s="7" t="str">
        <f aca="false">PROPER(TRIM(customer_churn_dataset!G1412))</f>
        <v>Bank Transfer</v>
      </c>
      <c r="H1412" s="7" t="n">
        <f aca="false">IF(ISBLANK(customer_churn_dataset!H1412),0,customer_churn_dataset!H1412)</f>
        <v>0</v>
      </c>
      <c r="I1412" s="7" t="n">
        <f aca="false">IF(ISBLANK(customer_churn_dataset!I1412),ROUND(MEDIAN(customer_churn_dataset!I$2:I$1501),1),MIN(100,MAX(0,customer_churn_dataset!I1412)))</f>
        <v>100</v>
      </c>
      <c r="J1412" s="7" t="n">
        <f aca="false">IF(ISBLANK(customer_churn_dataset!J1412),0,MAX(0,customer_churn_dataset!J1412))</f>
        <v>33</v>
      </c>
      <c r="K1412" s="7" t="n">
        <f aca="false">IF(ISBLANK(customer_churn_dataset!K1412),0,MIN(10,MAX(0,customer_churn_dataset!K1412)))</f>
        <v>9</v>
      </c>
      <c r="L1412" s="7" t="n">
        <f aca="false">IF(ISBLANK(customer_churn_dataset!L1412),0,MAX(0,customer_churn_dataset!L1412))</f>
        <v>3</v>
      </c>
      <c r="M1412" s="7" t="n">
        <f aca="false">IF(ISBLANK(customer_churn_dataset!M1412),0,customer_churn_dataset!M1412)</f>
        <v>0</v>
      </c>
      <c r="N1412" s="7" t="n">
        <f aca="false">IF(ISBLANK(customer_churn_dataset!N1412),0,MAX(0,customer_churn_dataset!N1412))</f>
        <v>1217.37</v>
      </c>
      <c r="O1412" s="7" t="n">
        <f aca="false">IF(ISBLANK(customer_churn_dataset!O1412),0,customer_churn_dataset!O1412)</f>
        <v>0</v>
      </c>
      <c r="P1412" s="7" t="str">
        <f aca="false">IF(COUNTIF(customer_churn_dataset!$A$2:$A$1501,customer_churn_dataset!A1412)&gt;1,"Duplicate","Unique")</f>
        <v>Unique</v>
      </c>
    </row>
    <row r="1413" customFormat="false" ht="14.15" hidden="false" customHeight="true" outlineLevel="0" collapsed="false">
      <c r="A1413" s="7" t="str">
        <f aca="false">TRIM(customer_churn_dataset!A1413)</f>
        <v>CUST101148</v>
      </c>
      <c r="B1413" s="7" t="str">
        <f aca="false">PROPER(TRIM(customer_churn_dataset!B1413))</f>
        <v>Premium</v>
      </c>
      <c r="C1413" s="7" t="str">
        <f aca="false">PROPER(TRIM(customer_churn_dataset!C1413))</f>
        <v>One Year</v>
      </c>
      <c r="D1413" s="7" t="n">
        <f aca="false">IF(ISBLANK(customer_churn_dataset!D1413),ROUND(MEDIAN(customer_churn_dataset!D$2:D$1501),2),IF(customer_churn_dataset!D1413&lt;0,ABS(customer_churn_dataset!D1413),customer_churn_dataset!D1413))</f>
        <v>40.52</v>
      </c>
      <c r="E1413" s="7" t="n">
        <f aca="false">IF(ISBLANK(customer_churn_dataset!E1413),0,MAX(0,customer_churn_dataset!E1413))</f>
        <v>13</v>
      </c>
      <c r="F1413" s="8" t="n">
        <f aca="false">IF(ISBLANK(customer_churn_dataset!F1413),"",customer_churn_dataset!F1413)</f>
        <v>45727</v>
      </c>
      <c r="G1413" s="7" t="str">
        <f aca="false">PROPER(TRIM(customer_churn_dataset!G1413))</f>
        <v>Paypal</v>
      </c>
      <c r="H1413" s="7" t="n">
        <f aca="false">IF(ISBLANK(customer_churn_dataset!H1413),0,customer_churn_dataset!H1413)</f>
        <v>1</v>
      </c>
      <c r="I1413" s="7" t="n">
        <f aca="false">IF(ISBLANK(customer_churn_dataset!I1413),ROUND(MEDIAN(customer_churn_dataset!I$2:I$1501),1),MIN(100,MAX(0,customer_churn_dataset!I1413)))</f>
        <v>37</v>
      </c>
      <c r="J1413" s="7" t="n">
        <f aca="false">IF(ISBLANK(customer_churn_dataset!J1413),0,MAX(0,customer_churn_dataset!J1413))</f>
        <v>9</v>
      </c>
      <c r="K1413" s="7" t="n">
        <f aca="false">IF(ISBLANK(customer_churn_dataset!K1413),0,MIN(10,MAX(0,customer_churn_dataset!K1413)))</f>
        <v>5</v>
      </c>
      <c r="L1413" s="7" t="n">
        <f aca="false">IF(ISBLANK(customer_churn_dataset!L1413),0,MAX(0,customer_churn_dataset!L1413))</f>
        <v>5</v>
      </c>
      <c r="M1413" s="7" t="n">
        <f aca="false">IF(ISBLANK(customer_churn_dataset!M1413),0,customer_churn_dataset!M1413)</f>
        <v>1</v>
      </c>
      <c r="N1413" s="7" t="n">
        <f aca="false">IF(ISBLANK(customer_churn_dataset!N1413),0,MAX(0,customer_churn_dataset!N1413))</f>
        <v>526.76</v>
      </c>
      <c r="O1413" s="7" t="n">
        <f aca="false">IF(ISBLANK(customer_churn_dataset!O1413),0,customer_churn_dataset!O1413)</f>
        <v>0</v>
      </c>
      <c r="P1413" s="7" t="str">
        <f aca="false">IF(COUNTIF(customer_churn_dataset!$A$2:$A$1501,customer_churn_dataset!A1413)&gt;1,"Duplicate","Unique")</f>
        <v>Unique</v>
      </c>
    </row>
    <row r="1414" customFormat="false" ht="14.15" hidden="false" customHeight="true" outlineLevel="0" collapsed="false">
      <c r="A1414" s="7" t="str">
        <f aca="false">TRIM(customer_churn_dataset!A1414)</f>
        <v>CUST100543</v>
      </c>
      <c r="B1414" s="7" t="str">
        <f aca="false">PROPER(TRIM(customer_churn_dataset!B1414))</f>
        <v>Standard</v>
      </c>
      <c r="C1414" s="7" t="str">
        <f aca="false">PROPER(TRIM(customer_churn_dataset!C1414))</f>
        <v>Month-To-Month</v>
      </c>
      <c r="D1414" s="7" t="n">
        <f aca="false">IF(ISBLANK(customer_churn_dataset!D1414),ROUND(MEDIAN(customer_churn_dataset!D$2:D$1501),2),IF(customer_churn_dataset!D1414&lt;0,ABS(customer_churn_dataset!D1414),customer_churn_dataset!D1414))</f>
        <v>21.1</v>
      </c>
      <c r="E1414" s="7" t="n">
        <f aca="false">IF(ISBLANK(customer_churn_dataset!E1414),0,MAX(0,customer_churn_dataset!E1414))</f>
        <v>16</v>
      </c>
      <c r="F1414" s="8" t="n">
        <f aca="false">IF(ISBLANK(customer_churn_dataset!F1414),"",customer_churn_dataset!F1414)</f>
        <v>45728</v>
      </c>
      <c r="G1414" s="7" t="str">
        <f aca="false">PROPER(TRIM(customer_churn_dataset!G1414))</f>
        <v>Paypal</v>
      </c>
      <c r="H1414" s="7" t="n">
        <f aca="false">IF(ISBLANK(customer_churn_dataset!H1414),0,customer_churn_dataset!H1414)</f>
        <v>1</v>
      </c>
      <c r="I1414" s="7" t="n">
        <f aca="false">IF(ISBLANK(customer_churn_dataset!I1414),ROUND(MEDIAN(customer_churn_dataset!I$2:I$1501),1),MIN(100,MAX(0,customer_churn_dataset!I1414)))</f>
        <v>25.2</v>
      </c>
      <c r="J1414" s="7" t="n">
        <f aca="false">IF(ISBLANK(customer_churn_dataset!J1414),0,MAX(0,customer_churn_dataset!J1414))</f>
        <v>13</v>
      </c>
      <c r="K1414" s="7" t="n">
        <f aca="false">IF(ISBLANK(customer_churn_dataset!K1414),0,MIN(10,MAX(0,customer_churn_dataset!K1414)))</f>
        <v>3</v>
      </c>
      <c r="L1414" s="7" t="n">
        <f aca="false">IF(ISBLANK(customer_churn_dataset!L1414),0,MAX(0,customer_churn_dataset!L1414))</f>
        <v>2</v>
      </c>
      <c r="M1414" s="7" t="n">
        <f aca="false">IF(ISBLANK(customer_churn_dataset!M1414),0,customer_churn_dataset!M1414)</f>
        <v>1</v>
      </c>
      <c r="N1414" s="7" t="n">
        <f aca="false">IF(ISBLANK(customer_churn_dataset!N1414),0,MAX(0,customer_churn_dataset!N1414))</f>
        <v>337.6</v>
      </c>
      <c r="O1414" s="7" t="n">
        <f aca="false">IF(ISBLANK(customer_churn_dataset!O1414),0,customer_churn_dataset!O1414)</f>
        <v>0</v>
      </c>
      <c r="P1414" s="7" t="str">
        <f aca="false">IF(COUNTIF(customer_churn_dataset!$A$2:$A$1501,customer_churn_dataset!A1414)&gt;1,"Duplicate","Unique")</f>
        <v>Unique</v>
      </c>
    </row>
    <row r="1415" customFormat="false" ht="14.15" hidden="false" customHeight="true" outlineLevel="0" collapsed="false">
      <c r="A1415" s="7" t="str">
        <f aca="false">TRIM(customer_churn_dataset!A1415)</f>
        <v>CUST101350</v>
      </c>
      <c r="B1415" s="7" t="str">
        <f aca="false">PROPER(TRIM(customer_churn_dataset!B1415))</f>
        <v>Premium</v>
      </c>
      <c r="C1415" s="7" t="str">
        <f aca="false">PROPER(TRIM(customer_churn_dataset!C1415))</f>
        <v>One Year</v>
      </c>
      <c r="D1415" s="7" t="n">
        <f aca="false">IF(ISBLANK(customer_churn_dataset!D1415),ROUND(MEDIAN(customer_churn_dataset!D$2:D$1501),2),IF(customer_churn_dataset!D1415&lt;0,ABS(customer_churn_dataset!D1415),customer_churn_dataset!D1415))</f>
        <v>40.47</v>
      </c>
      <c r="E1415" s="7" t="n">
        <f aca="false">IF(ISBLANK(customer_churn_dataset!E1415),0,MAX(0,customer_churn_dataset!E1415))</f>
        <v>3</v>
      </c>
      <c r="F1415" s="8" t="n">
        <f aca="false">IF(ISBLANK(customer_churn_dataset!F1415),"",customer_churn_dataset!F1415)</f>
        <v>45728</v>
      </c>
      <c r="G1415" s="7" t="str">
        <f aca="false">PROPER(TRIM(customer_churn_dataset!G1415))</f>
        <v>Credit Card</v>
      </c>
      <c r="H1415" s="7" t="n">
        <f aca="false">IF(ISBLANK(customer_churn_dataset!H1415),0,customer_churn_dataset!H1415)</f>
        <v>1</v>
      </c>
      <c r="I1415" s="7" t="n">
        <f aca="false">IF(ISBLANK(customer_churn_dataset!I1415),ROUND(MEDIAN(customer_churn_dataset!I$2:I$1501),1),MIN(100,MAX(0,customer_churn_dataset!I1415)))</f>
        <v>61.8</v>
      </c>
      <c r="J1415" s="7" t="n">
        <f aca="false">IF(ISBLANK(customer_churn_dataset!J1415),0,MAX(0,customer_churn_dataset!J1415))</f>
        <v>20</v>
      </c>
      <c r="K1415" s="7" t="n">
        <f aca="false">IF(ISBLANK(customer_churn_dataset!K1415),0,MIN(10,MAX(0,customer_churn_dataset!K1415)))</f>
        <v>5</v>
      </c>
      <c r="L1415" s="7" t="n">
        <f aca="false">IF(ISBLANK(customer_churn_dataset!L1415),0,MAX(0,customer_churn_dataset!L1415))</f>
        <v>1</v>
      </c>
      <c r="M1415" s="7" t="n">
        <f aca="false">IF(ISBLANK(customer_churn_dataset!M1415),0,customer_churn_dataset!M1415)</f>
        <v>0</v>
      </c>
      <c r="N1415" s="7" t="n">
        <f aca="false">IF(ISBLANK(customer_churn_dataset!N1415),0,MAX(0,customer_churn_dataset!N1415))</f>
        <v>121.41</v>
      </c>
      <c r="O1415" s="7" t="n">
        <f aca="false">IF(ISBLANK(customer_churn_dataset!O1415),0,customer_churn_dataset!O1415)</f>
        <v>0</v>
      </c>
      <c r="P1415" s="7" t="str">
        <f aca="false">IF(COUNTIF(customer_churn_dataset!$A$2:$A$1501,customer_churn_dataset!A1415)&gt;1,"Duplicate","Unique")</f>
        <v>Unique</v>
      </c>
    </row>
    <row r="1416" customFormat="false" ht="14.15" hidden="false" customHeight="true" outlineLevel="0" collapsed="false">
      <c r="A1416" s="7" t="str">
        <f aca="false">TRIM(customer_churn_dataset!A1416)</f>
        <v>CUST100860</v>
      </c>
      <c r="B1416" s="7" t="str">
        <f aca="false">PROPER(TRIM(customer_churn_dataset!B1416))</f>
        <v>Standard</v>
      </c>
      <c r="C1416" s="7" t="str">
        <f aca="false">PROPER(TRIM(customer_churn_dataset!C1416))</f>
        <v>Month-To-Month</v>
      </c>
      <c r="D1416" s="7" t="n">
        <f aca="false">IF(ISBLANK(customer_churn_dataset!D1416),ROUND(MEDIAN(customer_churn_dataset!D$2:D$1501),2),IF(customer_churn_dataset!D1416&lt;0,ABS(customer_churn_dataset!D1416),customer_churn_dataset!D1416))</f>
        <v>20.05</v>
      </c>
      <c r="E1416" s="7" t="n">
        <f aca="false">IF(ISBLANK(customer_churn_dataset!E1416),0,MAX(0,customer_churn_dataset!E1416))</f>
        <v>4</v>
      </c>
      <c r="F1416" s="8" t="n">
        <f aca="false">IF(ISBLANK(customer_churn_dataset!F1416),"",customer_churn_dataset!F1416)</f>
        <v>45729</v>
      </c>
      <c r="G1416" s="7" t="str">
        <f aca="false">PROPER(TRIM(customer_churn_dataset!G1416))</f>
        <v>Bank Transfer</v>
      </c>
      <c r="H1416" s="7" t="n">
        <f aca="false">IF(ISBLANK(customer_churn_dataset!H1416),0,customer_churn_dataset!H1416)</f>
        <v>1</v>
      </c>
      <c r="I1416" s="7" t="n">
        <f aca="false">IF(ISBLANK(customer_churn_dataset!I1416),ROUND(MEDIAN(customer_churn_dataset!I$2:I$1501),1),MIN(100,MAX(0,customer_churn_dataset!I1416)))</f>
        <v>85.7</v>
      </c>
      <c r="J1416" s="7" t="n">
        <f aca="false">IF(ISBLANK(customer_churn_dataset!J1416),0,MAX(0,customer_churn_dataset!J1416))</f>
        <v>24</v>
      </c>
      <c r="K1416" s="7" t="n">
        <f aca="false">IF(ISBLANK(customer_churn_dataset!K1416),0,MIN(10,MAX(0,customer_churn_dataset!K1416)))</f>
        <v>9</v>
      </c>
      <c r="L1416" s="7" t="n">
        <f aca="false">IF(ISBLANK(customer_churn_dataset!L1416),0,MAX(0,customer_churn_dataset!L1416))</f>
        <v>2</v>
      </c>
      <c r="M1416" s="7" t="n">
        <f aca="false">IF(ISBLANK(customer_churn_dataset!M1416),0,customer_churn_dataset!M1416)</f>
        <v>1</v>
      </c>
      <c r="N1416" s="7" t="n">
        <f aca="false">IF(ISBLANK(customer_churn_dataset!N1416),0,MAX(0,customer_churn_dataset!N1416))</f>
        <v>80.2</v>
      </c>
      <c r="O1416" s="7" t="n">
        <f aca="false">IF(ISBLANK(customer_churn_dataset!O1416),0,customer_churn_dataset!O1416)</f>
        <v>0</v>
      </c>
      <c r="P1416" s="7" t="str">
        <f aca="false">IF(COUNTIF(customer_churn_dataset!$A$2:$A$1501,customer_churn_dataset!A1416)&gt;1,"Duplicate","Unique")</f>
        <v>Unique</v>
      </c>
    </row>
    <row r="1417" customFormat="false" ht="14.15" hidden="false" customHeight="true" outlineLevel="0" collapsed="false">
      <c r="A1417" s="7" t="str">
        <f aca="false">TRIM(customer_churn_dataset!A1417)</f>
        <v>CUST100315</v>
      </c>
      <c r="B1417" s="7" t="str">
        <f aca="false">PROPER(TRIM(customer_churn_dataset!B1417))</f>
        <v>Standard</v>
      </c>
      <c r="C1417" s="7" t="str">
        <f aca="false">PROPER(TRIM(customer_churn_dataset!C1417))</f>
        <v>Month-To-Month</v>
      </c>
      <c r="D1417" s="7" t="n">
        <f aca="false">IF(ISBLANK(customer_churn_dataset!D1417),ROUND(MEDIAN(customer_churn_dataset!D$2:D$1501),2),IF(customer_churn_dataset!D1417&lt;0,ABS(customer_churn_dataset!D1417),customer_churn_dataset!D1417))</f>
        <v>20.64</v>
      </c>
      <c r="E1417" s="7" t="n">
        <f aca="false">IF(ISBLANK(customer_churn_dataset!E1417),0,MAX(0,customer_churn_dataset!E1417))</f>
        <v>38</v>
      </c>
      <c r="F1417" s="8" t="n">
        <f aca="false">IF(ISBLANK(customer_churn_dataset!F1417),"",customer_churn_dataset!F1417)</f>
        <v>45730</v>
      </c>
      <c r="G1417" s="7" t="str">
        <f aca="false">PROPER(TRIM(customer_churn_dataset!G1417))</f>
        <v>Credit Card</v>
      </c>
      <c r="H1417" s="7" t="n">
        <f aca="false">IF(ISBLANK(customer_churn_dataset!H1417),0,customer_churn_dataset!H1417)</f>
        <v>1</v>
      </c>
      <c r="I1417" s="7" t="n">
        <f aca="false">IF(ISBLANK(customer_churn_dataset!I1417),ROUND(MEDIAN(customer_churn_dataset!I$2:I$1501),1),MIN(100,MAX(0,customer_churn_dataset!I1417)))</f>
        <v>40.9</v>
      </c>
      <c r="J1417" s="7" t="n">
        <f aca="false">IF(ISBLANK(customer_churn_dataset!J1417),0,MAX(0,customer_churn_dataset!J1417))</f>
        <v>18</v>
      </c>
      <c r="K1417" s="7" t="n">
        <f aca="false">IF(ISBLANK(customer_churn_dataset!K1417),0,MIN(10,MAX(0,customer_churn_dataset!K1417)))</f>
        <v>2</v>
      </c>
      <c r="L1417" s="7" t="n">
        <f aca="false">IF(ISBLANK(customer_churn_dataset!L1417),0,MAX(0,customer_churn_dataset!L1417))</f>
        <v>0</v>
      </c>
      <c r="M1417" s="7" t="n">
        <f aca="false">IF(ISBLANK(customer_churn_dataset!M1417),0,customer_churn_dataset!M1417)</f>
        <v>0</v>
      </c>
      <c r="N1417" s="7" t="n">
        <f aca="false">IF(ISBLANK(customer_churn_dataset!N1417),0,MAX(0,customer_churn_dataset!N1417))</f>
        <v>784.32</v>
      </c>
      <c r="O1417" s="7" t="n">
        <f aca="false">IF(ISBLANK(customer_churn_dataset!O1417),0,customer_churn_dataset!O1417)</f>
        <v>0</v>
      </c>
      <c r="P1417" s="7" t="str">
        <f aca="false">IF(COUNTIF(customer_churn_dataset!$A$2:$A$1501,customer_churn_dataset!A1417)&gt;1,"Duplicate","Unique")</f>
        <v>Unique</v>
      </c>
    </row>
    <row r="1418" customFormat="false" ht="14.15" hidden="false" customHeight="true" outlineLevel="0" collapsed="false">
      <c r="A1418" s="7" t="str">
        <f aca="false">TRIM(customer_churn_dataset!A1418)</f>
        <v>CUST101344</v>
      </c>
      <c r="B1418" s="7" t="str">
        <f aca="false">PROPER(TRIM(customer_churn_dataset!B1418))</f>
        <v>Standard</v>
      </c>
      <c r="C1418" s="7" t="str">
        <f aca="false">PROPER(TRIM(customer_churn_dataset!C1418))</f>
        <v>Month-To-Month</v>
      </c>
      <c r="D1418" s="7" t="n">
        <f aca="false">IF(ISBLANK(customer_churn_dataset!D1418),ROUND(MEDIAN(customer_churn_dataset!D$2:D$1501),2),IF(customer_churn_dataset!D1418&lt;0,ABS(customer_churn_dataset!D1418),customer_churn_dataset!D1418))</f>
        <v>18.9</v>
      </c>
      <c r="E1418" s="7" t="n">
        <f aca="false">IF(ISBLANK(customer_churn_dataset!E1418),0,MAX(0,customer_churn_dataset!E1418))</f>
        <v>15</v>
      </c>
      <c r="F1418" s="8" t="n">
        <f aca="false">IF(ISBLANK(customer_churn_dataset!F1418),"",customer_churn_dataset!F1418)</f>
        <v>45730</v>
      </c>
      <c r="G1418" s="7" t="str">
        <f aca="false">PROPER(TRIM(customer_churn_dataset!G1418))</f>
        <v>Credit Card</v>
      </c>
      <c r="H1418" s="7" t="n">
        <f aca="false">IF(ISBLANK(customer_churn_dataset!H1418),0,customer_churn_dataset!H1418)</f>
        <v>0</v>
      </c>
      <c r="I1418" s="7" t="n">
        <f aca="false">IF(ISBLANK(customer_churn_dataset!I1418),ROUND(MEDIAN(customer_churn_dataset!I$2:I$1501),1),MIN(100,MAX(0,customer_churn_dataset!I1418)))</f>
        <v>76.2</v>
      </c>
      <c r="J1418" s="7" t="n">
        <f aca="false">IF(ISBLANK(customer_churn_dataset!J1418),0,MAX(0,customer_churn_dataset!J1418))</f>
        <v>22</v>
      </c>
      <c r="K1418" s="7" t="n">
        <f aca="false">IF(ISBLANK(customer_churn_dataset!K1418),0,MIN(10,MAX(0,customer_churn_dataset!K1418)))</f>
        <v>7</v>
      </c>
      <c r="L1418" s="7" t="n">
        <f aca="false">IF(ISBLANK(customer_churn_dataset!L1418),0,MAX(0,customer_churn_dataset!L1418))</f>
        <v>3</v>
      </c>
      <c r="M1418" s="7" t="n">
        <f aca="false">IF(ISBLANK(customer_churn_dataset!M1418),0,customer_churn_dataset!M1418)</f>
        <v>0</v>
      </c>
      <c r="N1418" s="7" t="n">
        <f aca="false">IF(ISBLANK(customer_churn_dataset!N1418),0,MAX(0,customer_churn_dataset!N1418))</f>
        <v>283.5</v>
      </c>
      <c r="O1418" s="7" t="n">
        <f aca="false">IF(ISBLANK(customer_churn_dataset!O1418),0,customer_churn_dataset!O1418)</f>
        <v>0</v>
      </c>
      <c r="P1418" s="7" t="str">
        <f aca="false">IF(COUNTIF(customer_churn_dataset!$A$2:$A$1501,customer_churn_dataset!A1418)&gt;1,"Duplicate","Unique")</f>
        <v>Unique</v>
      </c>
    </row>
    <row r="1419" customFormat="false" ht="14.15" hidden="false" customHeight="true" outlineLevel="0" collapsed="false">
      <c r="A1419" s="7" t="str">
        <f aca="false">TRIM(customer_churn_dataset!A1419)</f>
        <v>CUST100806</v>
      </c>
      <c r="B1419" s="7" t="str">
        <f aca="false">PROPER(TRIM(customer_churn_dataset!B1419))</f>
        <v>Premium</v>
      </c>
      <c r="C1419" s="7" t="str">
        <f aca="false">PROPER(TRIM(customer_churn_dataset!C1419))</f>
        <v>Month-To-Month</v>
      </c>
      <c r="D1419" s="7" t="n">
        <f aca="false">IF(ISBLANK(customer_churn_dataset!D1419),ROUND(MEDIAN(customer_churn_dataset!D$2:D$1501),2),IF(customer_churn_dataset!D1419&lt;0,ABS(customer_churn_dataset!D1419),customer_churn_dataset!D1419))</f>
        <v>39.79</v>
      </c>
      <c r="E1419" s="7" t="n">
        <f aca="false">IF(ISBLANK(customer_churn_dataset!E1419),0,MAX(0,customer_churn_dataset!E1419))</f>
        <v>22</v>
      </c>
      <c r="F1419" s="8" t="n">
        <f aca="false">IF(ISBLANK(customer_churn_dataset!F1419),"",customer_churn_dataset!F1419)</f>
        <v>45731</v>
      </c>
      <c r="G1419" s="7" t="str">
        <f aca="false">PROPER(TRIM(customer_churn_dataset!G1419))</f>
        <v>Credit Card</v>
      </c>
      <c r="H1419" s="7" t="n">
        <f aca="false">IF(ISBLANK(customer_churn_dataset!H1419),0,customer_churn_dataset!H1419)</f>
        <v>1</v>
      </c>
      <c r="I1419" s="7" t="n">
        <f aca="false">IF(ISBLANK(customer_churn_dataset!I1419),ROUND(MEDIAN(customer_churn_dataset!I$2:I$1501),1),MIN(100,MAX(0,customer_churn_dataset!I1419)))</f>
        <v>87.2</v>
      </c>
      <c r="J1419" s="7" t="n">
        <f aca="false">IF(ISBLANK(customer_churn_dataset!J1419),0,MAX(0,customer_churn_dataset!J1419))</f>
        <v>30</v>
      </c>
      <c r="K1419" s="7" t="n">
        <f aca="false">IF(ISBLANK(customer_churn_dataset!K1419),0,MIN(10,MAX(0,customer_churn_dataset!K1419)))</f>
        <v>10</v>
      </c>
      <c r="L1419" s="7" t="n">
        <f aca="false">IF(ISBLANK(customer_churn_dataset!L1419),0,MAX(0,customer_churn_dataset!L1419))</f>
        <v>1</v>
      </c>
      <c r="M1419" s="7" t="n">
        <f aca="false">IF(ISBLANK(customer_churn_dataset!M1419),0,customer_churn_dataset!M1419)</f>
        <v>0</v>
      </c>
      <c r="N1419" s="7" t="n">
        <f aca="false">IF(ISBLANK(customer_churn_dataset!N1419),0,MAX(0,customer_churn_dataset!N1419))</f>
        <v>875.38</v>
      </c>
      <c r="O1419" s="7" t="n">
        <f aca="false">IF(ISBLANK(customer_churn_dataset!O1419),0,customer_churn_dataset!O1419)</f>
        <v>0</v>
      </c>
      <c r="P1419" s="7" t="str">
        <f aca="false">IF(COUNTIF(customer_churn_dataset!$A$2:$A$1501,customer_churn_dataset!A1419)&gt;1,"Duplicate","Unique")</f>
        <v>Unique</v>
      </c>
    </row>
    <row r="1420" customFormat="false" ht="14.15" hidden="false" customHeight="true" outlineLevel="0" collapsed="false">
      <c r="A1420" s="7" t="str">
        <f aca="false">TRIM(customer_churn_dataset!A1420)</f>
        <v>CUST100455</v>
      </c>
      <c r="B1420" s="7" t="str">
        <f aca="false">PROPER(TRIM(customer_churn_dataset!B1420))</f>
        <v>Standard</v>
      </c>
      <c r="C1420" s="7" t="str">
        <f aca="false">PROPER(TRIM(customer_churn_dataset!C1420))</f>
        <v>Month-To-Month</v>
      </c>
      <c r="D1420" s="7" t="n">
        <f aca="false">IF(ISBLANK(customer_churn_dataset!D1420),ROUND(MEDIAN(customer_churn_dataset!D$2:D$1501),2),IF(customer_churn_dataset!D1420&lt;0,ABS(customer_churn_dataset!D1420),customer_churn_dataset!D1420))</f>
        <v>23.18</v>
      </c>
      <c r="E1420" s="7" t="n">
        <f aca="false">IF(ISBLANK(customer_churn_dataset!E1420),0,MAX(0,customer_churn_dataset!E1420))</f>
        <v>7</v>
      </c>
      <c r="F1420" s="8" t="n">
        <f aca="false">IF(ISBLANK(customer_churn_dataset!F1420),"",customer_churn_dataset!F1420)</f>
        <v>45731</v>
      </c>
      <c r="G1420" s="7" t="str">
        <f aca="false">PROPER(TRIM(customer_churn_dataset!G1420))</f>
        <v>Paypal</v>
      </c>
      <c r="H1420" s="7" t="n">
        <f aca="false">IF(ISBLANK(customer_churn_dataset!H1420),0,customer_churn_dataset!H1420)</f>
        <v>0</v>
      </c>
      <c r="I1420" s="7" t="n">
        <f aca="false">IF(ISBLANK(customer_churn_dataset!I1420),ROUND(MEDIAN(customer_churn_dataset!I$2:I$1501),1),MIN(100,MAX(0,customer_churn_dataset!I1420)))</f>
        <v>91.3</v>
      </c>
      <c r="J1420" s="7" t="n">
        <f aca="false">IF(ISBLANK(customer_churn_dataset!J1420),0,MAX(0,customer_churn_dataset!J1420))</f>
        <v>26</v>
      </c>
      <c r="K1420" s="7" t="n">
        <f aca="false">IF(ISBLANK(customer_churn_dataset!K1420),0,MIN(10,MAX(0,customer_churn_dataset!K1420)))</f>
        <v>10</v>
      </c>
      <c r="L1420" s="7" t="n">
        <f aca="false">IF(ISBLANK(customer_churn_dataset!L1420),0,MAX(0,customer_churn_dataset!L1420))</f>
        <v>1</v>
      </c>
      <c r="M1420" s="7" t="n">
        <f aca="false">IF(ISBLANK(customer_churn_dataset!M1420),0,customer_churn_dataset!M1420)</f>
        <v>0</v>
      </c>
      <c r="N1420" s="7" t="n">
        <f aca="false">IF(ISBLANK(customer_churn_dataset!N1420),0,MAX(0,customer_churn_dataset!N1420))</f>
        <v>162.26</v>
      </c>
      <c r="O1420" s="7" t="n">
        <f aca="false">IF(ISBLANK(customer_churn_dataset!O1420),0,customer_churn_dataset!O1420)</f>
        <v>0</v>
      </c>
      <c r="P1420" s="7" t="str">
        <f aca="false">IF(COUNTIF(customer_churn_dataset!$A$2:$A$1501,customer_churn_dataset!A1420)&gt;1,"Duplicate","Unique")</f>
        <v>Unique</v>
      </c>
    </row>
    <row r="1421" customFormat="false" ht="14.15" hidden="false" customHeight="true" outlineLevel="0" collapsed="false">
      <c r="A1421" s="7" t="str">
        <f aca="false">TRIM(customer_churn_dataset!A1421)</f>
        <v>CUST101334</v>
      </c>
      <c r="B1421" s="7" t="str">
        <f aca="false">PROPER(TRIM(customer_churn_dataset!B1421))</f>
        <v>Premium</v>
      </c>
      <c r="C1421" s="7" t="str">
        <f aca="false">PROPER(TRIM(customer_churn_dataset!C1421))</f>
        <v>Month-To-Month</v>
      </c>
      <c r="D1421" s="7" t="n">
        <f aca="false">IF(ISBLANK(customer_churn_dataset!D1421),ROUND(MEDIAN(customer_churn_dataset!D$2:D$1501),2),IF(customer_churn_dataset!D1421&lt;0,ABS(customer_churn_dataset!D1421),customer_churn_dataset!D1421))</f>
        <v>38.73</v>
      </c>
      <c r="E1421" s="7" t="n">
        <f aca="false">IF(ISBLANK(customer_churn_dataset!E1421),0,MAX(0,customer_churn_dataset!E1421))</f>
        <v>26</v>
      </c>
      <c r="F1421" s="8" t="n">
        <f aca="false">IF(ISBLANK(customer_churn_dataset!F1421),"",customer_churn_dataset!F1421)</f>
        <v>45733</v>
      </c>
      <c r="G1421" s="7" t="str">
        <f aca="false">PROPER(TRIM(customer_churn_dataset!G1421))</f>
        <v>Manual/Invoice</v>
      </c>
      <c r="H1421" s="7" t="n">
        <f aca="false">IF(ISBLANK(customer_churn_dataset!H1421),0,customer_churn_dataset!H1421)</f>
        <v>1</v>
      </c>
      <c r="I1421" s="7" t="n">
        <f aca="false">IF(ISBLANK(customer_churn_dataset!I1421),ROUND(MEDIAN(customer_churn_dataset!I$2:I$1501),1),MIN(100,MAX(0,customer_churn_dataset!I1421)))</f>
        <v>44.4</v>
      </c>
      <c r="J1421" s="7" t="n">
        <f aca="false">IF(ISBLANK(customer_churn_dataset!J1421),0,MAX(0,customer_churn_dataset!J1421))</f>
        <v>13</v>
      </c>
      <c r="K1421" s="7" t="n">
        <f aca="false">IF(ISBLANK(customer_churn_dataset!K1421),0,MIN(10,MAX(0,customer_churn_dataset!K1421)))</f>
        <v>2</v>
      </c>
      <c r="L1421" s="7" t="n">
        <f aca="false">IF(ISBLANK(customer_churn_dataset!L1421),0,MAX(0,customer_churn_dataset!L1421))</f>
        <v>1</v>
      </c>
      <c r="M1421" s="7" t="n">
        <f aca="false">IF(ISBLANK(customer_churn_dataset!M1421),0,customer_churn_dataset!M1421)</f>
        <v>0</v>
      </c>
      <c r="N1421" s="7" t="n">
        <f aca="false">IF(ISBLANK(customer_churn_dataset!N1421),0,MAX(0,customer_churn_dataset!N1421))</f>
        <v>1006.98</v>
      </c>
      <c r="O1421" s="7" t="n">
        <f aca="false">IF(ISBLANK(customer_churn_dataset!O1421),0,customer_churn_dataset!O1421)</f>
        <v>0</v>
      </c>
      <c r="P1421" s="7" t="str">
        <f aca="false">IF(COUNTIF(customer_churn_dataset!$A$2:$A$1501,customer_churn_dataset!A1421)&gt;1,"Duplicate","Unique")</f>
        <v>Unique</v>
      </c>
    </row>
    <row r="1422" customFormat="false" ht="14.15" hidden="false" customHeight="true" outlineLevel="0" collapsed="false">
      <c r="A1422" s="7" t="str">
        <f aca="false">TRIM(customer_churn_dataset!A1422)</f>
        <v>CUST101302</v>
      </c>
      <c r="B1422" s="7" t="str">
        <f aca="false">PROPER(TRIM(customer_churn_dataset!B1422))</f>
        <v>Basic</v>
      </c>
      <c r="C1422" s="7" t="str">
        <f aca="false">PROPER(TRIM(customer_churn_dataset!C1422))</f>
        <v>One Year</v>
      </c>
      <c r="D1422" s="7" t="n">
        <f aca="false">IF(ISBLANK(customer_churn_dataset!D1422),ROUND(MEDIAN(customer_churn_dataset!D$2:D$1501),2),IF(customer_churn_dataset!D1422&lt;0,ABS(customer_churn_dataset!D1422),customer_churn_dataset!D1422))</f>
        <v>10.47</v>
      </c>
      <c r="E1422" s="7" t="n">
        <f aca="false">IF(ISBLANK(customer_churn_dataset!E1422),0,MAX(0,customer_churn_dataset!E1422))</f>
        <v>1</v>
      </c>
      <c r="F1422" s="8" t="n">
        <f aca="false">IF(ISBLANK(customer_churn_dataset!F1422),"",customer_churn_dataset!F1422)</f>
        <v>45733</v>
      </c>
      <c r="G1422" s="7" t="str">
        <f aca="false">PROPER(TRIM(customer_churn_dataset!G1422))</f>
        <v>Bank Transfer</v>
      </c>
      <c r="H1422" s="7" t="n">
        <f aca="false">IF(ISBLANK(customer_churn_dataset!H1422),0,customer_churn_dataset!H1422)</f>
        <v>1</v>
      </c>
      <c r="I1422" s="7" t="n">
        <f aca="false">IF(ISBLANK(customer_churn_dataset!I1422),ROUND(MEDIAN(customer_churn_dataset!I$2:I$1501),1),MIN(100,MAX(0,customer_churn_dataset!I1422)))</f>
        <v>70.1</v>
      </c>
      <c r="J1422" s="7" t="n">
        <f aca="false">IF(ISBLANK(customer_churn_dataset!J1422),0,MAX(0,customer_churn_dataset!J1422))</f>
        <v>23</v>
      </c>
      <c r="K1422" s="7" t="n">
        <f aca="false">IF(ISBLANK(customer_churn_dataset!K1422),0,MIN(10,MAX(0,customer_churn_dataset!K1422)))</f>
        <v>8</v>
      </c>
      <c r="L1422" s="7" t="n">
        <f aca="false">IF(ISBLANK(customer_churn_dataset!L1422),0,MAX(0,customer_churn_dataset!L1422))</f>
        <v>3</v>
      </c>
      <c r="M1422" s="7" t="n">
        <f aca="false">IF(ISBLANK(customer_churn_dataset!M1422),0,customer_churn_dataset!M1422)</f>
        <v>0</v>
      </c>
      <c r="N1422" s="7" t="n">
        <f aca="false">IF(ISBLANK(customer_churn_dataset!N1422),0,MAX(0,customer_churn_dataset!N1422))</f>
        <v>10.47</v>
      </c>
      <c r="O1422" s="7" t="n">
        <f aca="false">IF(ISBLANK(customer_churn_dataset!O1422),0,customer_churn_dataset!O1422)</f>
        <v>0</v>
      </c>
      <c r="P1422" s="7" t="str">
        <f aca="false">IF(COUNTIF(customer_churn_dataset!$A$2:$A$1501,customer_churn_dataset!A1422)&gt;1,"Duplicate","Unique")</f>
        <v>Unique</v>
      </c>
    </row>
    <row r="1423" customFormat="false" ht="14.15" hidden="false" customHeight="true" outlineLevel="0" collapsed="false">
      <c r="A1423" s="7" t="str">
        <f aca="false">TRIM(customer_churn_dataset!A1423)</f>
        <v>CUST100435</v>
      </c>
      <c r="B1423" s="7" t="str">
        <f aca="false">PROPER(TRIM(customer_churn_dataset!B1423))</f>
        <v>Standard</v>
      </c>
      <c r="C1423" s="7" t="str">
        <f aca="false">PROPER(TRIM(customer_churn_dataset!C1423))</f>
        <v>Two Year</v>
      </c>
      <c r="D1423" s="7" t="n">
        <f aca="false">IF(ISBLANK(customer_churn_dataset!D1423),ROUND(MEDIAN(customer_churn_dataset!D$2:D$1501),2),IF(customer_churn_dataset!D1423&lt;0,ABS(customer_churn_dataset!D1423),customer_churn_dataset!D1423))</f>
        <v>18.98</v>
      </c>
      <c r="E1423" s="7" t="n">
        <f aca="false">IF(ISBLANK(customer_churn_dataset!E1423),0,MAX(0,customer_churn_dataset!E1423))</f>
        <v>0</v>
      </c>
      <c r="F1423" s="8" t="n">
        <f aca="false">IF(ISBLANK(customer_churn_dataset!F1423),"",customer_churn_dataset!F1423)</f>
        <v>45734</v>
      </c>
      <c r="G1423" s="7" t="str">
        <f aca="false">PROPER(TRIM(customer_churn_dataset!G1423))</f>
        <v>Credit Card</v>
      </c>
      <c r="H1423" s="7" t="n">
        <f aca="false">IF(ISBLANK(customer_churn_dataset!H1423),0,customer_churn_dataset!H1423)</f>
        <v>0</v>
      </c>
      <c r="I1423" s="7" t="n">
        <f aca="false">IF(ISBLANK(customer_churn_dataset!I1423),ROUND(MEDIAN(customer_churn_dataset!I$2:I$1501),1),MIN(100,MAX(0,customer_churn_dataset!I1423)))</f>
        <v>47.1</v>
      </c>
      <c r="J1423" s="7" t="n">
        <f aca="false">IF(ISBLANK(customer_churn_dataset!J1423),0,MAX(0,customer_churn_dataset!J1423))</f>
        <v>14</v>
      </c>
      <c r="K1423" s="7" t="n">
        <f aca="false">IF(ISBLANK(customer_churn_dataset!K1423),0,MIN(10,MAX(0,customer_churn_dataset!K1423)))</f>
        <v>3</v>
      </c>
      <c r="L1423" s="7" t="n">
        <f aca="false">IF(ISBLANK(customer_churn_dataset!L1423),0,MAX(0,customer_churn_dataset!L1423))</f>
        <v>2</v>
      </c>
      <c r="M1423" s="7" t="n">
        <f aca="false">IF(ISBLANK(customer_churn_dataset!M1423),0,customer_churn_dataset!M1423)</f>
        <v>0</v>
      </c>
      <c r="N1423" s="7" t="n">
        <f aca="false">IF(ISBLANK(customer_churn_dataset!N1423),0,MAX(0,customer_churn_dataset!N1423))</f>
        <v>0</v>
      </c>
      <c r="O1423" s="7" t="n">
        <f aca="false">IF(ISBLANK(customer_churn_dataset!O1423),0,customer_churn_dataset!O1423)</f>
        <v>0</v>
      </c>
      <c r="P1423" s="7" t="str">
        <f aca="false">IF(COUNTIF(customer_churn_dataset!$A$2:$A$1501,customer_churn_dataset!A1423)&gt;1,"Duplicate","Unique")</f>
        <v>Unique</v>
      </c>
    </row>
    <row r="1424" customFormat="false" ht="14.15" hidden="false" customHeight="true" outlineLevel="0" collapsed="false">
      <c r="A1424" s="7" t="str">
        <f aca="false">TRIM(customer_churn_dataset!A1424)</f>
        <v>CUST101196</v>
      </c>
      <c r="B1424" s="7" t="str">
        <f aca="false">PROPER(TRIM(customer_churn_dataset!B1424))</f>
        <v>Premium</v>
      </c>
      <c r="C1424" s="7" t="str">
        <f aca="false">PROPER(TRIM(customer_churn_dataset!C1424))</f>
        <v>Two Year</v>
      </c>
      <c r="D1424" s="7" t="n">
        <f aca="false">IF(ISBLANK(customer_churn_dataset!D1424),ROUND(MEDIAN(customer_churn_dataset!D$2:D$1501),2),IF(customer_churn_dataset!D1424&lt;0,ABS(customer_churn_dataset!D1424),customer_churn_dataset!D1424))</f>
        <v>39.62</v>
      </c>
      <c r="E1424" s="7" t="n">
        <f aca="false">IF(ISBLANK(customer_churn_dataset!E1424),0,MAX(0,customer_churn_dataset!E1424))</f>
        <v>14</v>
      </c>
      <c r="F1424" s="8" t="n">
        <f aca="false">IF(ISBLANK(customer_churn_dataset!F1424),"",customer_churn_dataset!F1424)</f>
        <v>45734</v>
      </c>
      <c r="G1424" s="7" t="str">
        <f aca="false">PROPER(TRIM(customer_churn_dataset!G1424))</f>
        <v>Credit Card</v>
      </c>
      <c r="H1424" s="7" t="n">
        <f aca="false">IF(ISBLANK(customer_churn_dataset!H1424),0,customer_churn_dataset!H1424)</f>
        <v>1</v>
      </c>
      <c r="I1424" s="7" t="n">
        <f aca="false">IF(ISBLANK(customer_churn_dataset!I1424),ROUND(MEDIAN(customer_churn_dataset!I$2:I$1501),1),MIN(100,MAX(0,customer_churn_dataset!I1424)))</f>
        <v>82.8</v>
      </c>
      <c r="J1424" s="7" t="n">
        <f aca="false">IF(ISBLANK(customer_churn_dataset!J1424),0,MAX(0,customer_churn_dataset!J1424))</f>
        <v>27</v>
      </c>
      <c r="K1424" s="7" t="n">
        <f aca="false">IF(ISBLANK(customer_churn_dataset!K1424),0,MIN(10,MAX(0,customer_churn_dataset!K1424)))</f>
        <v>8</v>
      </c>
      <c r="L1424" s="7" t="n">
        <f aca="false">IF(ISBLANK(customer_churn_dataset!L1424),0,MAX(0,customer_churn_dataset!L1424))</f>
        <v>2</v>
      </c>
      <c r="M1424" s="7" t="n">
        <f aca="false">IF(ISBLANK(customer_churn_dataset!M1424),0,customer_churn_dataset!M1424)</f>
        <v>0</v>
      </c>
      <c r="N1424" s="7" t="n">
        <f aca="false">IF(ISBLANK(customer_churn_dataset!N1424),0,MAX(0,customer_churn_dataset!N1424))</f>
        <v>554.68</v>
      </c>
      <c r="O1424" s="7" t="n">
        <f aca="false">IF(ISBLANK(customer_churn_dataset!O1424),0,customer_churn_dataset!O1424)</f>
        <v>0</v>
      </c>
      <c r="P1424" s="7" t="str">
        <f aca="false">IF(COUNTIF(customer_churn_dataset!$A$2:$A$1501,customer_churn_dataset!A1424)&gt;1,"Duplicate","Unique")</f>
        <v>Unique</v>
      </c>
    </row>
    <row r="1425" customFormat="false" ht="14.15" hidden="false" customHeight="true" outlineLevel="0" collapsed="false">
      <c r="A1425" s="7" t="str">
        <f aca="false">TRIM(customer_churn_dataset!A1425)</f>
        <v>CUST101251</v>
      </c>
      <c r="B1425" s="7" t="str">
        <f aca="false">PROPER(TRIM(customer_churn_dataset!B1425))</f>
        <v>Standard</v>
      </c>
      <c r="C1425" s="7" t="str">
        <f aca="false">PROPER(TRIM(customer_churn_dataset!C1425))</f>
        <v>Two Year</v>
      </c>
      <c r="D1425" s="7" t="n">
        <f aca="false">IF(ISBLANK(customer_churn_dataset!D1425),ROUND(MEDIAN(customer_churn_dataset!D$2:D$1501),2),IF(customer_churn_dataset!D1425&lt;0,ABS(customer_churn_dataset!D1425),customer_churn_dataset!D1425))</f>
        <v>21.53</v>
      </c>
      <c r="E1425" s="7" t="n">
        <f aca="false">IF(ISBLANK(customer_churn_dataset!E1425),0,MAX(0,customer_churn_dataset!E1425))</f>
        <v>72</v>
      </c>
      <c r="F1425" s="8" t="n">
        <f aca="false">IF(ISBLANK(customer_churn_dataset!F1425),"",customer_churn_dataset!F1425)</f>
        <v>45736</v>
      </c>
      <c r="G1425" s="7" t="str">
        <f aca="false">PROPER(TRIM(customer_churn_dataset!G1425))</f>
        <v>Bank Transfer</v>
      </c>
      <c r="H1425" s="7" t="n">
        <f aca="false">IF(ISBLANK(customer_churn_dataset!H1425),0,customer_churn_dataset!H1425)</f>
        <v>0</v>
      </c>
      <c r="I1425" s="7" t="n">
        <f aca="false">IF(ISBLANK(customer_churn_dataset!I1425),ROUND(MEDIAN(customer_churn_dataset!I$2:I$1501),1),MIN(100,MAX(0,customer_churn_dataset!I1425)))</f>
        <v>64.5</v>
      </c>
      <c r="J1425" s="7" t="n">
        <f aca="false">IF(ISBLANK(customer_churn_dataset!J1425),0,MAX(0,customer_churn_dataset!J1425))</f>
        <v>15</v>
      </c>
      <c r="K1425" s="7" t="n">
        <f aca="false">IF(ISBLANK(customer_churn_dataset!K1425),0,MIN(10,MAX(0,customer_churn_dataset!K1425)))</f>
        <v>5</v>
      </c>
      <c r="L1425" s="7" t="n">
        <f aca="false">IF(ISBLANK(customer_churn_dataset!L1425),0,MAX(0,customer_churn_dataset!L1425))</f>
        <v>0</v>
      </c>
      <c r="M1425" s="7" t="n">
        <f aca="false">IF(ISBLANK(customer_churn_dataset!M1425),0,customer_churn_dataset!M1425)</f>
        <v>0</v>
      </c>
      <c r="N1425" s="7" t="n">
        <f aca="false">IF(ISBLANK(customer_churn_dataset!N1425),0,MAX(0,customer_churn_dataset!N1425))</f>
        <v>1550.16</v>
      </c>
      <c r="O1425" s="7" t="n">
        <f aca="false">IF(ISBLANK(customer_churn_dataset!O1425),0,customer_churn_dataset!O1425)</f>
        <v>0</v>
      </c>
      <c r="P1425" s="7" t="str">
        <f aca="false">IF(COUNTIF(customer_churn_dataset!$A$2:$A$1501,customer_churn_dataset!A1425)&gt;1,"Duplicate","Unique")</f>
        <v>Unique</v>
      </c>
    </row>
    <row r="1426" customFormat="false" ht="14.15" hidden="false" customHeight="true" outlineLevel="0" collapsed="false">
      <c r="A1426" s="7" t="str">
        <f aca="false">TRIM(customer_churn_dataset!A1426)</f>
        <v>CUST100396</v>
      </c>
      <c r="B1426" s="7" t="str">
        <f aca="false">PROPER(TRIM(customer_churn_dataset!B1426))</f>
        <v>Premium</v>
      </c>
      <c r="C1426" s="7" t="str">
        <f aca="false">PROPER(TRIM(customer_churn_dataset!C1426))</f>
        <v>Month-To-Month</v>
      </c>
      <c r="D1426" s="7" t="n">
        <f aca="false">IF(ISBLANK(customer_churn_dataset!D1426),ROUND(MEDIAN(customer_churn_dataset!D$2:D$1501),2),IF(customer_churn_dataset!D1426&lt;0,ABS(customer_churn_dataset!D1426),customer_churn_dataset!D1426))</f>
        <v>40.9</v>
      </c>
      <c r="E1426" s="7" t="n">
        <f aca="false">IF(ISBLANK(customer_churn_dataset!E1426),0,MAX(0,customer_churn_dataset!E1426))</f>
        <v>17</v>
      </c>
      <c r="F1426" s="8" t="n">
        <f aca="false">IF(ISBLANK(customer_churn_dataset!F1426),"",customer_churn_dataset!F1426)</f>
        <v>45736</v>
      </c>
      <c r="G1426" s="7" t="str">
        <f aca="false">PROPER(TRIM(customer_churn_dataset!G1426))</f>
        <v>Credit Card</v>
      </c>
      <c r="H1426" s="7" t="n">
        <f aca="false">IF(ISBLANK(customer_churn_dataset!H1426),0,customer_churn_dataset!H1426)</f>
        <v>1</v>
      </c>
      <c r="I1426" s="7" t="n">
        <f aca="false">IF(ISBLANK(customer_churn_dataset!I1426),ROUND(MEDIAN(customer_churn_dataset!I$2:I$1501),1),MIN(100,MAX(0,customer_churn_dataset!I1426)))</f>
        <v>44.9</v>
      </c>
      <c r="J1426" s="7" t="n">
        <f aca="false">IF(ISBLANK(customer_churn_dataset!J1426),0,MAX(0,customer_churn_dataset!J1426))</f>
        <v>18</v>
      </c>
      <c r="K1426" s="7" t="n">
        <f aca="false">IF(ISBLANK(customer_churn_dataset!K1426),0,MIN(10,MAX(0,customer_churn_dataset!K1426)))</f>
        <v>3</v>
      </c>
      <c r="L1426" s="7" t="n">
        <f aca="false">IF(ISBLANK(customer_churn_dataset!L1426),0,MAX(0,customer_churn_dataset!L1426))</f>
        <v>2</v>
      </c>
      <c r="M1426" s="7" t="n">
        <f aca="false">IF(ISBLANK(customer_churn_dataset!M1426),0,customer_churn_dataset!M1426)</f>
        <v>0</v>
      </c>
      <c r="N1426" s="7" t="n">
        <f aca="false">IF(ISBLANK(customer_churn_dataset!N1426),0,MAX(0,customer_churn_dataset!N1426))</f>
        <v>695.3</v>
      </c>
      <c r="O1426" s="7" t="n">
        <f aca="false">IF(ISBLANK(customer_churn_dataset!O1426),0,customer_churn_dataset!O1426)</f>
        <v>0</v>
      </c>
      <c r="P1426" s="7" t="str">
        <f aca="false">IF(COUNTIF(customer_churn_dataset!$A$2:$A$1501,customer_churn_dataset!A1426)&gt;1,"Duplicate","Unique")</f>
        <v>Unique</v>
      </c>
    </row>
    <row r="1427" customFormat="false" ht="14.15" hidden="false" customHeight="true" outlineLevel="0" collapsed="false">
      <c r="A1427" s="7" t="str">
        <f aca="false">TRIM(customer_churn_dataset!A1427)</f>
        <v>CUST100223</v>
      </c>
      <c r="B1427" s="7" t="str">
        <f aca="false">PROPER(TRIM(customer_churn_dataset!B1427))</f>
        <v>Basic</v>
      </c>
      <c r="C1427" s="7" t="str">
        <f aca="false">PROPER(TRIM(customer_churn_dataset!C1427))</f>
        <v>Month-To-Month</v>
      </c>
      <c r="D1427" s="7" t="n">
        <f aca="false">IF(ISBLANK(customer_churn_dataset!D1427),ROUND(MEDIAN(customer_churn_dataset!D$2:D$1501),2),IF(customer_churn_dataset!D1427&lt;0,ABS(customer_churn_dataset!D1427),customer_churn_dataset!D1427))</f>
        <v>9.38</v>
      </c>
      <c r="E1427" s="7" t="n">
        <f aca="false">IF(ISBLANK(customer_churn_dataset!E1427),0,MAX(0,customer_churn_dataset!E1427))</f>
        <v>2</v>
      </c>
      <c r="F1427" s="8" t="n">
        <f aca="false">IF(ISBLANK(customer_churn_dataset!F1427),"",customer_churn_dataset!F1427)</f>
        <v>45738</v>
      </c>
      <c r="G1427" s="7" t="str">
        <f aca="false">PROPER(TRIM(customer_churn_dataset!G1427))</f>
        <v>Bank Transfer</v>
      </c>
      <c r="H1427" s="7" t="n">
        <f aca="false">IF(ISBLANK(customer_churn_dataset!H1427),0,customer_churn_dataset!H1427)</f>
        <v>1</v>
      </c>
      <c r="I1427" s="7" t="n">
        <f aca="false">IF(ISBLANK(customer_churn_dataset!I1427),ROUND(MEDIAN(customer_churn_dataset!I$2:I$1501),1),MIN(100,MAX(0,customer_churn_dataset!I1427)))</f>
        <v>57.8</v>
      </c>
      <c r="J1427" s="7" t="n">
        <f aca="false">IF(ISBLANK(customer_churn_dataset!J1427),0,MAX(0,customer_churn_dataset!J1427))</f>
        <v>22</v>
      </c>
      <c r="K1427" s="7" t="n">
        <f aca="false">IF(ISBLANK(customer_churn_dataset!K1427),0,MIN(10,MAX(0,customer_churn_dataset!K1427)))</f>
        <v>6</v>
      </c>
      <c r="L1427" s="7" t="n">
        <f aca="false">IF(ISBLANK(customer_churn_dataset!L1427),0,MAX(0,customer_churn_dataset!L1427))</f>
        <v>0</v>
      </c>
      <c r="M1427" s="7" t="n">
        <f aca="false">IF(ISBLANK(customer_churn_dataset!M1427),0,customer_churn_dataset!M1427)</f>
        <v>0</v>
      </c>
      <c r="N1427" s="7" t="n">
        <f aca="false">IF(ISBLANK(customer_churn_dataset!N1427),0,MAX(0,customer_churn_dataset!N1427))</f>
        <v>18.76</v>
      </c>
      <c r="O1427" s="7" t="n">
        <f aca="false">IF(ISBLANK(customer_churn_dataset!O1427),0,customer_churn_dataset!O1427)</f>
        <v>0</v>
      </c>
      <c r="P1427" s="7" t="str">
        <f aca="false">IF(COUNTIF(customer_churn_dataset!$A$2:$A$1501,customer_churn_dataset!A1427)&gt;1,"Duplicate","Unique")</f>
        <v>Unique</v>
      </c>
    </row>
    <row r="1428" customFormat="false" ht="14.15" hidden="false" customHeight="true" outlineLevel="0" collapsed="false">
      <c r="A1428" s="7" t="str">
        <f aca="false">TRIM(customer_churn_dataset!A1428)</f>
        <v>CUST101269</v>
      </c>
      <c r="B1428" s="7" t="str">
        <f aca="false">PROPER(TRIM(customer_churn_dataset!B1428))</f>
        <v>Basic</v>
      </c>
      <c r="C1428" s="7" t="str">
        <f aca="false">PROPER(TRIM(customer_churn_dataset!C1428))</f>
        <v>Two Year</v>
      </c>
      <c r="D1428" s="7" t="n">
        <f aca="false">IF(ISBLANK(customer_churn_dataset!D1428),ROUND(MEDIAN(customer_churn_dataset!D$2:D$1501),2),IF(customer_churn_dataset!D1428&lt;0,ABS(customer_churn_dataset!D1428),customer_churn_dataset!D1428))</f>
        <v>9.66</v>
      </c>
      <c r="E1428" s="7" t="n">
        <f aca="false">IF(ISBLANK(customer_churn_dataset!E1428),0,MAX(0,customer_churn_dataset!E1428))</f>
        <v>2</v>
      </c>
      <c r="F1428" s="8" t="n">
        <f aca="false">IF(ISBLANK(customer_churn_dataset!F1428),"",customer_churn_dataset!F1428)</f>
        <v>45739</v>
      </c>
      <c r="G1428" s="7" t="str">
        <f aca="false">PROPER(TRIM(customer_churn_dataset!G1428))</f>
        <v>Credit Card</v>
      </c>
      <c r="H1428" s="7" t="n">
        <f aca="false">IF(ISBLANK(customer_churn_dataset!H1428),0,customer_churn_dataset!H1428)</f>
        <v>1</v>
      </c>
      <c r="I1428" s="7" t="n">
        <f aca="false">IF(ISBLANK(customer_churn_dataset!I1428),ROUND(MEDIAN(customer_churn_dataset!I$2:I$1501),1),MIN(100,MAX(0,customer_churn_dataset!I1428)))</f>
        <v>67.4</v>
      </c>
      <c r="J1428" s="7" t="n">
        <f aca="false">IF(ISBLANK(customer_churn_dataset!J1428),0,MAX(0,customer_churn_dataset!J1428))</f>
        <v>26</v>
      </c>
      <c r="K1428" s="7" t="n">
        <f aca="false">IF(ISBLANK(customer_churn_dataset!K1428),0,MIN(10,MAX(0,customer_churn_dataset!K1428)))</f>
        <v>8</v>
      </c>
      <c r="L1428" s="7" t="n">
        <f aca="false">IF(ISBLANK(customer_churn_dataset!L1428),0,MAX(0,customer_churn_dataset!L1428))</f>
        <v>0</v>
      </c>
      <c r="M1428" s="7" t="n">
        <f aca="false">IF(ISBLANK(customer_churn_dataset!M1428),0,customer_churn_dataset!M1428)</f>
        <v>0</v>
      </c>
      <c r="N1428" s="7" t="n">
        <f aca="false">IF(ISBLANK(customer_churn_dataset!N1428),0,MAX(0,customer_churn_dataset!N1428))</f>
        <v>19.32</v>
      </c>
      <c r="O1428" s="7" t="n">
        <f aca="false">IF(ISBLANK(customer_churn_dataset!O1428),0,customer_churn_dataset!O1428)</f>
        <v>0</v>
      </c>
      <c r="P1428" s="7" t="str">
        <f aca="false">IF(COUNTIF(customer_churn_dataset!$A$2:$A$1501,customer_churn_dataset!A1428)&gt;1,"Duplicate","Unique")</f>
        <v>Unique</v>
      </c>
    </row>
    <row r="1429" customFormat="false" ht="14.15" hidden="false" customHeight="true" outlineLevel="0" collapsed="false">
      <c r="A1429" s="7" t="str">
        <f aca="false">TRIM(customer_churn_dataset!A1429)</f>
        <v>CUST100701</v>
      </c>
      <c r="B1429" s="7" t="str">
        <f aca="false">PROPER(TRIM(customer_churn_dataset!B1429))</f>
        <v>Basic</v>
      </c>
      <c r="C1429" s="7" t="str">
        <f aca="false">PROPER(TRIM(customer_churn_dataset!C1429))</f>
        <v>Two Year</v>
      </c>
      <c r="D1429" s="7" t="n">
        <f aca="false">IF(ISBLANK(customer_churn_dataset!D1429),ROUND(MEDIAN(customer_churn_dataset!D$2:D$1501),2),IF(customer_churn_dataset!D1429&lt;0,ABS(customer_churn_dataset!D1429),customer_churn_dataset!D1429))</f>
        <v>10.8</v>
      </c>
      <c r="E1429" s="7" t="n">
        <f aca="false">IF(ISBLANK(customer_churn_dataset!E1429),0,MAX(0,customer_churn_dataset!E1429))</f>
        <v>28</v>
      </c>
      <c r="F1429" s="8" t="n">
        <f aca="false">IF(ISBLANK(customer_churn_dataset!F1429),"",customer_churn_dataset!F1429)</f>
        <v>45743</v>
      </c>
      <c r="G1429" s="7" t="str">
        <f aca="false">PROPER(TRIM(customer_churn_dataset!G1429))</f>
        <v>Paypal</v>
      </c>
      <c r="H1429" s="7" t="n">
        <f aca="false">IF(ISBLANK(customer_churn_dataset!H1429),0,customer_churn_dataset!H1429)</f>
        <v>1</v>
      </c>
      <c r="I1429" s="7" t="n">
        <f aca="false">IF(ISBLANK(customer_churn_dataset!I1429),ROUND(MEDIAN(customer_churn_dataset!I$2:I$1501),1),MIN(100,MAX(0,customer_churn_dataset!I1429)))</f>
        <v>56.1</v>
      </c>
      <c r="J1429" s="7" t="n">
        <f aca="false">IF(ISBLANK(customer_churn_dataset!J1429),0,MAX(0,customer_churn_dataset!J1429))</f>
        <v>21</v>
      </c>
      <c r="K1429" s="7" t="n">
        <f aca="false">IF(ISBLANK(customer_churn_dataset!K1429),0,MIN(10,MAX(0,customer_churn_dataset!K1429)))</f>
        <v>6</v>
      </c>
      <c r="L1429" s="7" t="n">
        <f aca="false">IF(ISBLANK(customer_churn_dataset!L1429),0,MAX(0,customer_churn_dataset!L1429))</f>
        <v>1</v>
      </c>
      <c r="M1429" s="7" t="n">
        <f aca="false">IF(ISBLANK(customer_churn_dataset!M1429),0,customer_churn_dataset!M1429)</f>
        <v>1</v>
      </c>
      <c r="N1429" s="7" t="n">
        <f aca="false">IF(ISBLANK(customer_churn_dataset!N1429),0,MAX(0,customer_churn_dataset!N1429))</f>
        <v>302.4</v>
      </c>
      <c r="O1429" s="7" t="n">
        <f aca="false">IF(ISBLANK(customer_churn_dataset!O1429),0,customer_churn_dataset!O1429)</f>
        <v>1</v>
      </c>
      <c r="P1429" s="7" t="str">
        <f aca="false">IF(COUNTIF(customer_churn_dataset!$A$2:$A$1501,customer_churn_dataset!A1429)&gt;1,"Duplicate","Unique")</f>
        <v>Unique</v>
      </c>
    </row>
    <row r="1430" customFormat="false" ht="14.15" hidden="false" customHeight="true" outlineLevel="0" collapsed="false">
      <c r="A1430" s="7" t="str">
        <f aca="false">TRIM(customer_churn_dataset!A1430)</f>
        <v>CUST100714</v>
      </c>
      <c r="B1430" s="7" t="str">
        <f aca="false">PROPER(TRIM(customer_churn_dataset!B1430))</f>
        <v>Basic</v>
      </c>
      <c r="C1430" s="7" t="str">
        <f aca="false">PROPER(TRIM(customer_churn_dataset!C1430))</f>
        <v>One Year</v>
      </c>
      <c r="D1430" s="7" t="n">
        <f aca="false">IF(ISBLANK(customer_churn_dataset!D1430),ROUND(MEDIAN(customer_churn_dataset!D$2:D$1501),2),IF(customer_churn_dataset!D1430&lt;0,ABS(customer_churn_dataset!D1430),customer_churn_dataset!D1430))</f>
        <v>11.3</v>
      </c>
      <c r="E1430" s="7" t="n">
        <f aca="false">IF(ISBLANK(customer_churn_dataset!E1430),0,MAX(0,customer_churn_dataset!E1430))</f>
        <v>0</v>
      </c>
      <c r="F1430" s="8" t="n">
        <f aca="false">IF(ISBLANK(customer_churn_dataset!F1430),"",customer_churn_dataset!F1430)</f>
        <v>45744</v>
      </c>
      <c r="G1430" s="7" t="str">
        <f aca="false">PROPER(TRIM(customer_churn_dataset!G1430))</f>
        <v>Credit Card</v>
      </c>
      <c r="H1430" s="7" t="n">
        <f aca="false">IF(ISBLANK(customer_churn_dataset!H1430),0,customer_churn_dataset!H1430)</f>
        <v>1</v>
      </c>
      <c r="I1430" s="7" t="n">
        <f aca="false">IF(ISBLANK(customer_churn_dataset!I1430),ROUND(MEDIAN(customer_churn_dataset!I$2:I$1501),1),MIN(100,MAX(0,customer_churn_dataset!I1430)))</f>
        <v>76.4</v>
      </c>
      <c r="J1430" s="7" t="n">
        <f aca="false">IF(ISBLANK(customer_churn_dataset!J1430),0,MAX(0,customer_churn_dataset!J1430))</f>
        <v>21</v>
      </c>
      <c r="K1430" s="7" t="n">
        <f aca="false">IF(ISBLANK(customer_churn_dataset!K1430),0,MIN(10,MAX(0,customer_churn_dataset!K1430)))</f>
        <v>9</v>
      </c>
      <c r="L1430" s="7" t="n">
        <f aca="false">IF(ISBLANK(customer_churn_dataset!L1430),0,MAX(0,customer_churn_dataset!L1430))</f>
        <v>0</v>
      </c>
      <c r="M1430" s="7" t="n">
        <f aca="false">IF(ISBLANK(customer_churn_dataset!M1430),0,customer_churn_dataset!M1430)</f>
        <v>0</v>
      </c>
      <c r="N1430" s="7" t="n">
        <f aca="false">IF(ISBLANK(customer_churn_dataset!N1430),0,MAX(0,customer_churn_dataset!N1430))</f>
        <v>0</v>
      </c>
      <c r="O1430" s="7" t="n">
        <f aca="false">IF(ISBLANK(customer_churn_dataset!O1430),0,customer_churn_dataset!O1430)</f>
        <v>0</v>
      </c>
      <c r="P1430" s="7" t="str">
        <f aca="false">IF(COUNTIF(customer_churn_dataset!$A$2:$A$1501,customer_churn_dataset!A1430)&gt;1,"Duplicate","Unique")</f>
        <v>Unique</v>
      </c>
    </row>
    <row r="1431" customFormat="false" ht="14.15" hidden="false" customHeight="true" outlineLevel="0" collapsed="false">
      <c r="A1431" s="7" t="str">
        <f aca="false">TRIM(customer_churn_dataset!A1431)</f>
        <v>CUST101365</v>
      </c>
      <c r="B1431" s="7" t="str">
        <f aca="false">PROPER(TRIM(customer_churn_dataset!B1431))</f>
        <v>Basic</v>
      </c>
      <c r="C1431" s="7" t="str">
        <f aca="false">PROPER(TRIM(customer_churn_dataset!C1431))</f>
        <v>Month-To-Month</v>
      </c>
      <c r="D1431" s="7" t="n">
        <f aca="false">IF(ISBLANK(customer_churn_dataset!D1431),ROUND(MEDIAN(customer_churn_dataset!D$2:D$1501),2),IF(customer_churn_dataset!D1431&lt;0,ABS(customer_churn_dataset!D1431),customer_churn_dataset!D1431))</f>
        <v>10.47</v>
      </c>
      <c r="E1431" s="7" t="n">
        <f aca="false">IF(ISBLANK(customer_churn_dataset!E1431),0,MAX(0,customer_churn_dataset!E1431))</f>
        <v>53</v>
      </c>
      <c r="F1431" s="8" t="n">
        <f aca="false">IF(ISBLANK(customer_churn_dataset!F1431),"",customer_churn_dataset!F1431)</f>
        <v>45744</v>
      </c>
      <c r="G1431" s="7" t="str">
        <f aca="false">PROPER(TRIM(customer_churn_dataset!G1431))</f>
        <v>Credit Card</v>
      </c>
      <c r="H1431" s="7" t="n">
        <f aca="false">IF(ISBLANK(customer_churn_dataset!H1431),0,customer_churn_dataset!H1431)</f>
        <v>0</v>
      </c>
      <c r="I1431" s="7" t="n">
        <f aca="false">IF(ISBLANK(customer_churn_dataset!I1431),ROUND(MEDIAN(customer_churn_dataset!I$2:I$1501),1),MIN(100,MAX(0,customer_churn_dataset!I1431)))</f>
        <v>20.6</v>
      </c>
      <c r="J1431" s="7" t="n">
        <f aca="false">IF(ISBLANK(customer_churn_dataset!J1431),0,MAX(0,customer_churn_dataset!J1431))</f>
        <v>5</v>
      </c>
      <c r="K1431" s="7" t="n">
        <f aca="false">IF(ISBLANK(customer_churn_dataset!K1431),0,MIN(10,MAX(0,customer_churn_dataset!K1431)))</f>
        <v>0</v>
      </c>
      <c r="L1431" s="7" t="n">
        <f aca="false">IF(ISBLANK(customer_churn_dataset!L1431),0,MAX(0,customer_churn_dataset!L1431))</f>
        <v>4</v>
      </c>
      <c r="M1431" s="7" t="n">
        <f aca="false">IF(ISBLANK(customer_churn_dataset!M1431),0,customer_churn_dataset!M1431)</f>
        <v>0</v>
      </c>
      <c r="N1431" s="7" t="n">
        <f aca="false">IF(ISBLANK(customer_churn_dataset!N1431),0,MAX(0,customer_churn_dataset!N1431))</f>
        <v>554.91</v>
      </c>
      <c r="O1431" s="7" t="n">
        <f aca="false">IF(ISBLANK(customer_churn_dataset!O1431),0,customer_churn_dataset!O1431)</f>
        <v>0</v>
      </c>
      <c r="P1431" s="7" t="str">
        <f aca="false">IF(COUNTIF(customer_churn_dataset!$A$2:$A$1501,customer_churn_dataset!A1431)&gt;1,"Duplicate","Unique")</f>
        <v>Unique</v>
      </c>
    </row>
    <row r="1432" customFormat="false" ht="14.15" hidden="false" customHeight="true" outlineLevel="0" collapsed="false">
      <c r="A1432" s="7" t="str">
        <f aca="false">TRIM(customer_churn_dataset!A1432)</f>
        <v>CUST100227</v>
      </c>
      <c r="B1432" s="7" t="str">
        <f aca="false">PROPER(TRIM(customer_churn_dataset!B1432))</f>
        <v>Basic</v>
      </c>
      <c r="C1432" s="7" t="str">
        <f aca="false">PROPER(TRIM(customer_churn_dataset!C1432))</f>
        <v>One Year</v>
      </c>
      <c r="D1432" s="7" t="n">
        <f aca="false">IF(ISBLANK(customer_churn_dataset!D1432),ROUND(MEDIAN(customer_churn_dataset!D$2:D$1501),2),IF(customer_churn_dataset!D1432&lt;0,ABS(customer_churn_dataset!D1432),customer_churn_dataset!D1432))</f>
        <v>11.55</v>
      </c>
      <c r="E1432" s="7" t="n">
        <f aca="false">IF(ISBLANK(customer_churn_dataset!E1432),0,MAX(0,customer_churn_dataset!E1432))</f>
        <v>2</v>
      </c>
      <c r="F1432" s="8" t="n">
        <f aca="false">IF(ISBLANK(customer_churn_dataset!F1432),"",customer_churn_dataset!F1432)</f>
        <v>45745</v>
      </c>
      <c r="G1432" s="7" t="str">
        <f aca="false">PROPER(TRIM(customer_churn_dataset!G1432))</f>
        <v>Bank Transfer</v>
      </c>
      <c r="H1432" s="7" t="n">
        <f aca="false">IF(ISBLANK(customer_churn_dataset!H1432),0,customer_churn_dataset!H1432)</f>
        <v>0</v>
      </c>
      <c r="I1432" s="7" t="n">
        <f aca="false">IF(ISBLANK(customer_churn_dataset!I1432),ROUND(MEDIAN(customer_churn_dataset!I$2:I$1501),1),MIN(100,MAX(0,customer_churn_dataset!I1432)))</f>
        <v>85</v>
      </c>
      <c r="J1432" s="7" t="n">
        <f aca="false">IF(ISBLANK(customer_churn_dataset!J1432),0,MAX(0,customer_churn_dataset!J1432))</f>
        <v>26</v>
      </c>
      <c r="K1432" s="7" t="n">
        <f aca="false">IF(ISBLANK(customer_churn_dataset!K1432),0,MIN(10,MAX(0,customer_churn_dataset!K1432)))</f>
        <v>8</v>
      </c>
      <c r="L1432" s="7" t="n">
        <f aca="false">IF(ISBLANK(customer_churn_dataset!L1432),0,MAX(0,customer_churn_dataset!L1432))</f>
        <v>1</v>
      </c>
      <c r="M1432" s="7" t="n">
        <f aca="false">IF(ISBLANK(customer_churn_dataset!M1432),0,customer_churn_dataset!M1432)</f>
        <v>0</v>
      </c>
      <c r="N1432" s="7" t="n">
        <f aca="false">IF(ISBLANK(customer_churn_dataset!N1432),0,MAX(0,customer_churn_dataset!N1432))</f>
        <v>23.1</v>
      </c>
      <c r="O1432" s="7" t="n">
        <f aca="false">IF(ISBLANK(customer_churn_dataset!O1432),0,customer_churn_dataset!O1432)</f>
        <v>0</v>
      </c>
      <c r="P1432" s="7" t="str">
        <f aca="false">IF(COUNTIF(customer_churn_dataset!$A$2:$A$1501,customer_churn_dataset!A1432)&gt;1,"Duplicate","Unique")</f>
        <v>Unique</v>
      </c>
    </row>
    <row r="1433" customFormat="false" ht="14.15" hidden="false" customHeight="true" outlineLevel="0" collapsed="false">
      <c r="A1433" s="7" t="str">
        <f aca="false">TRIM(customer_churn_dataset!A1433)</f>
        <v>CUST100236</v>
      </c>
      <c r="B1433" s="7" t="str">
        <f aca="false">PROPER(TRIM(customer_churn_dataset!B1433))</f>
        <v>Basic</v>
      </c>
      <c r="C1433" s="7" t="str">
        <f aca="false">PROPER(TRIM(customer_churn_dataset!C1433))</f>
        <v>Month-To-Month</v>
      </c>
      <c r="D1433" s="7" t="n">
        <f aca="false">IF(ISBLANK(customer_churn_dataset!D1433),ROUND(MEDIAN(customer_churn_dataset!D$2:D$1501),2),IF(customer_churn_dataset!D1433&lt;0,ABS(customer_churn_dataset!D1433),customer_churn_dataset!D1433))</f>
        <v>8.64</v>
      </c>
      <c r="E1433" s="7" t="n">
        <f aca="false">IF(ISBLANK(customer_churn_dataset!E1433),0,MAX(0,customer_churn_dataset!E1433))</f>
        <v>18</v>
      </c>
      <c r="F1433" s="8" t="n">
        <f aca="false">IF(ISBLANK(customer_churn_dataset!F1433),"",customer_churn_dataset!F1433)</f>
        <v>45746</v>
      </c>
      <c r="G1433" s="7" t="str">
        <f aca="false">PROPER(TRIM(customer_churn_dataset!G1433))</f>
        <v>Credit Card</v>
      </c>
      <c r="H1433" s="7" t="n">
        <f aca="false">IF(ISBLANK(customer_churn_dataset!H1433),0,customer_churn_dataset!H1433)</f>
        <v>0</v>
      </c>
      <c r="I1433" s="7" t="n">
        <f aca="false">IF(ISBLANK(customer_churn_dataset!I1433),ROUND(MEDIAN(customer_churn_dataset!I$2:I$1501),1),MIN(100,MAX(0,customer_churn_dataset!I1433)))</f>
        <v>28.1</v>
      </c>
      <c r="J1433" s="7" t="n">
        <f aca="false">IF(ISBLANK(customer_churn_dataset!J1433),0,MAX(0,customer_churn_dataset!J1433))</f>
        <v>0</v>
      </c>
      <c r="K1433" s="7" t="n">
        <f aca="false">IF(ISBLANK(customer_churn_dataset!K1433),0,MIN(10,MAX(0,customer_churn_dataset!K1433)))</f>
        <v>3</v>
      </c>
      <c r="L1433" s="7" t="n">
        <f aca="false">IF(ISBLANK(customer_churn_dataset!L1433),0,MAX(0,customer_churn_dataset!L1433))</f>
        <v>3</v>
      </c>
      <c r="M1433" s="7" t="n">
        <f aca="false">IF(ISBLANK(customer_churn_dataset!M1433),0,customer_churn_dataset!M1433)</f>
        <v>0</v>
      </c>
      <c r="N1433" s="7" t="n">
        <f aca="false">IF(ISBLANK(customer_churn_dataset!N1433),0,MAX(0,customer_churn_dataset!N1433))</f>
        <v>155.52</v>
      </c>
      <c r="O1433" s="7" t="n">
        <f aca="false">IF(ISBLANK(customer_churn_dataset!O1433),0,customer_churn_dataset!O1433)</f>
        <v>0</v>
      </c>
      <c r="P1433" s="7" t="str">
        <f aca="false">IF(COUNTIF(customer_churn_dataset!$A$2:$A$1501,customer_churn_dataset!A1433)&gt;1,"Duplicate","Unique")</f>
        <v>Unique</v>
      </c>
    </row>
    <row r="1434" customFormat="false" ht="14.15" hidden="false" customHeight="true" outlineLevel="0" collapsed="false">
      <c r="A1434" s="7" t="str">
        <f aca="false">TRIM(customer_churn_dataset!A1434)</f>
        <v>CUST101142</v>
      </c>
      <c r="B1434" s="7" t="str">
        <f aca="false">PROPER(TRIM(customer_churn_dataset!B1434))</f>
        <v>Standard</v>
      </c>
      <c r="C1434" s="7" t="str">
        <f aca="false">PROPER(TRIM(customer_churn_dataset!C1434))</f>
        <v>One Year</v>
      </c>
      <c r="D1434" s="7" t="n">
        <f aca="false">IF(ISBLANK(customer_churn_dataset!D1434),ROUND(MEDIAN(customer_churn_dataset!D$2:D$1501),2),IF(customer_churn_dataset!D1434&lt;0,ABS(customer_churn_dataset!D1434),customer_churn_dataset!D1434))</f>
        <v>19.61</v>
      </c>
      <c r="E1434" s="7" t="n">
        <f aca="false">IF(ISBLANK(customer_churn_dataset!E1434),0,MAX(0,customer_churn_dataset!E1434))</f>
        <v>21</v>
      </c>
      <c r="F1434" s="8" t="n">
        <f aca="false">IF(ISBLANK(customer_churn_dataset!F1434),"",customer_churn_dataset!F1434)</f>
        <v>45748</v>
      </c>
      <c r="G1434" s="7" t="str">
        <f aca="false">PROPER(TRIM(customer_churn_dataset!G1434))</f>
        <v>Paypal</v>
      </c>
      <c r="H1434" s="7" t="n">
        <f aca="false">IF(ISBLANK(customer_churn_dataset!H1434),0,customer_churn_dataset!H1434)</f>
        <v>1</v>
      </c>
      <c r="I1434" s="7" t="n">
        <f aca="false">IF(ISBLANK(customer_churn_dataset!I1434),ROUND(MEDIAN(customer_churn_dataset!I$2:I$1501),1),MIN(100,MAX(0,customer_churn_dataset!I1434)))</f>
        <v>72</v>
      </c>
      <c r="J1434" s="7" t="n">
        <f aca="false">IF(ISBLANK(customer_churn_dataset!J1434),0,MAX(0,customer_churn_dataset!J1434))</f>
        <v>21</v>
      </c>
      <c r="K1434" s="7" t="n">
        <f aca="false">IF(ISBLANK(customer_churn_dataset!K1434),0,MIN(10,MAX(0,customer_churn_dataset!K1434)))</f>
        <v>6</v>
      </c>
      <c r="L1434" s="7" t="n">
        <f aca="false">IF(ISBLANK(customer_churn_dataset!L1434),0,MAX(0,customer_churn_dataset!L1434))</f>
        <v>4</v>
      </c>
      <c r="M1434" s="7" t="n">
        <f aca="false">IF(ISBLANK(customer_churn_dataset!M1434),0,customer_churn_dataset!M1434)</f>
        <v>0</v>
      </c>
      <c r="N1434" s="7" t="n">
        <f aca="false">IF(ISBLANK(customer_churn_dataset!N1434),0,MAX(0,customer_churn_dataset!N1434))</f>
        <v>411.81</v>
      </c>
      <c r="O1434" s="7" t="n">
        <f aca="false">IF(ISBLANK(customer_churn_dataset!O1434),0,customer_churn_dataset!O1434)</f>
        <v>0</v>
      </c>
      <c r="P1434" s="7" t="str">
        <f aca="false">IF(COUNTIF(customer_churn_dataset!$A$2:$A$1501,customer_churn_dataset!A1434)&gt;1,"Duplicate","Unique")</f>
        <v>Unique</v>
      </c>
    </row>
    <row r="1435" customFormat="false" ht="14.15" hidden="false" customHeight="true" outlineLevel="0" collapsed="false">
      <c r="A1435" s="7" t="str">
        <f aca="false">TRIM(customer_churn_dataset!A1435)</f>
        <v>CUST100925</v>
      </c>
      <c r="B1435" s="7" t="str">
        <f aca="false">PROPER(TRIM(customer_churn_dataset!B1435))</f>
        <v>Basic</v>
      </c>
      <c r="C1435" s="7" t="str">
        <f aca="false">PROPER(TRIM(customer_churn_dataset!C1435))</f>
        <v>Month-To-Month</v>
      </c>
      <c r="D1435" s="7" t="n">
        <f aca="false">IF(ISBLANK(customer_churn_dataset!D1435),ROUND(MEDIAN(customer_churn_dataset!D$2:D$1501),2),IF(customer_churn_dataset!D1435&lt;0,ABS(customer_churn_dataset!D1435),customer_churn_dataset!D1435))</f>
        <v>8.77</v>
      </c>
      <c r="E1435" s="7" t="n">
        <f aca="false">IF(ISBLANK(customer_churn_dataset!E1435),0,MAX(0,customer_churn_dataset!E1435))</f>
        <v>23</v>
      </c>
      <c r="F1435" s="8" t="n">
        <f aca="false">IF(ISBLANK(customer_churn_dataset!F1435),"",customer_churn_dataset!F1435)</f>
        <v>45749</v>
      </c>
      <c r="G1435" s="7" t="str">
        <f aca="false">PROPER(TRIM(customer_churn_dataset!G1435))</f>
        <v>Credit Card</v>
      </c>
      <c r="H1435" s="7" t="n">
        <f aca="false">IF(ISBLANK(customer_churn_dataset!H1435),0,customer_churn_dataset!H1435)</f>
        <v>0</v>
      </c>
      <c r="I1435" s="7" t="n">
        <f aca="false">IF(ISBLANK(customer_churn_dataset!I1435),ROUND(MEDIAN(customer_churn_dataset!I$2:I$1501),1),MIN(100,MAX(0,customer_churn_dataset!I1435)))</f>
        <v>16.3</v>
      </c>
      <c r="J1435" s="7" t="n">
        <f aca="false">IF(ISBLANK(customer_churn_dataset!J1435),0,MAX(0,customer_churn_dataset!J1435))</f>
        <v>6</v>
      </c>
      <c r="K1435" s="7" t="n">
        <f aca="false">IF(ISBLANK(customer_churn_dataset!K1435),0,MIN(10,MAX(0,customer_churn_dataset!K1435)))</f>
        <v>1</v>
      </c>
      <c r="L1435" s="7" t="n">
        <f aca="false">IF(ISBLANK(customer_churn_dataset!L1435),0,MAX(0,customer_churn_dataset!L1435))</f>
        <v>3</v>
      </c>
      <c r="M1435" s="7" t="n">
        <f aca="false">IF(ISBLANK(customer_churn_dataset!M1435),0,customer_churn_dataset!M1435)</f>
        <v>1</v>
      </c>
      <c r="N1435" s="7" t="n">
        <f aca="false">IF(ISBLANK(customer_churn_dataset!N1435),0,MAX(0,customer_churn_dataset!N1435))</f>
        <v>201.71</v>
      </c>
      <c r="O1435" s="7" t="n">
        <f aca="false">IF(ISBLANK(customer_churn_dataset!O1435),0,customer_churn_dataset!O1435)</f>
        <v>1</v>
      </c>
      <c r="P1435" s="7" t="str">
        <f aca="false">IF(COUNTIF(customer_churn_dataset!$A$2:$A$1501,customer_churn_dataset!A1435)&gt;1,"Duplicate","Unique")</f>
        <v>Unique</v>
      </c>
    </row>
    <row r="1436" customFormat="false" ht="14.15" hidden="false" customHeight="true" outlineLevel="0" collapsed="false">
      <c r="A1436" s="7" t="str">
        <f aca="false">TRIM(customer_churn_dataset!A1436)</f>
        <v>CUST101237</v>
      </c>
      <c r="B1436" s="7" t="str">
        <f aca="false">PROPER(TRIM(customer_churn_dataset!B1436))</f>
        <v>Standard</v>
      </c>
      <c r="C1436" s="7" t="str">
        <f aca="false">PROPER(TRIM(customer_churn_dataset!C1436))</f>
        <v>Month-To-Month</v>
      </c>
      <c r="D1436" s="7" t="n">
        <f aca="false">IF(ISBLANK(customer_churn_dataset!D1436),ROUND(MEDIAN(customer_churn_dataset!D$2:D$1501),2),IF(customer_churn_dataset!D1436&lt;0,ABS(customer_churn_dataset!D1436),customer_churn_dataset!D1436))</f>
        <v>18.99</v>
      </c>
      <c r="E1436" s="7" t="n">
        <f aca="false">IF(ISBLANK(customer_churn_dataset!E1436),0,MAX(0,customer_churn_dataset!E1436))</f>
        <v>51</v>
      </c>
      <c r="F1436" s="8" t="n">
        <f aca="false">IF(ISBLANK(customer_churn_dataset!F1436),"",customer_churn_dataset!F1436)</f>
        <v>45750</v>
      </c>
      <c r="G1436" s="7" t="str">
        <f aca="false">PROPER(TRIM(customer_churn_dataset!G1436))</f>
        <v>Manual/Invoice</v>
      </c>
      <c r="H1436" s="7" t="n">
        <f aca="false">IF(ISBLANK(customer_churn_dataset!H1436),0,customer_churn_dataset!H1436)</f>
        <v>1</v>
      </c>
      <c r="I1436" s="7" t="n">
        <f aca="false">IF(ISBLANK(customer_churn_dataset!I1436),ROUND(MEDIAN(customer_churn_dataset!I$2:I$1501),1),MIN(100,MAX(0,customer_churn_dataset!I1436)))</f>
        <v>53.8</v>
      </c>
      <c r="J1436" s="7" t="n">
        <f aca="false">IF(ISBLANK(customer_churn_dataset!J1436),0,MAX(0,customer_churn_dataset!J1436))</f>
        <v>25</v>
      </c>
      <c r="K1436" s="7" t="n">
        <f aca="false">IF(ISBLANK(customer_churn_dataset!K1436),0,MIN(10,MAX(0,customer_churn_dataset!K1436)))</f>
        <v>5</v>
      </c>
      <c r="L1436" s="7" t="n">
        <f aca="false">IF(ISBLANK(customer_churn_dataset!L1436),0,MAX(0,customer_churn_dataset!L1436))</f>
        <v>2</v>
      </c>
      <c r="M1436" s="7" t="n">
        <f aca="false">IF(ISBLANK(customer_churn_dataset!M1436),0,customer_churn_dataset!M1436)</f>
        <v>1</v>
      </c>
      <c r="N1436" s="7" t="n">
        <f aca="false">IF(ISBLANK(customer_churn_dataset!N1436),0,MAX(0,customer_churn_dataset!N1436))</f>
        <v>968.49</v>
      </c>
      <c r="O1436" s="7" t="n">
        <f aca="false">IF(ISBLANK(customer_churn_dataset!O1436),0,customer_churn_dataset!O1436)</f>
        <v>0</v>
      </c>
      <c r="P1436" s="7" t="str">
        <f aca="false">IF(COUNTIF(customer_churn_dataset!$A$2:$A$1501,customer_churn_dataset!A1436)&gt;1,"Duplicate","Unique")</f>
        <v>Unique</v>
      </c>
    </row>
    <row r="1437" customFormat="false" ht="14.15" hidden="false" customHeight="true" outlineLevel="0" collapsed="false">
      <c r="A1437" s="7" t="str">
        <f aca="false">TRIM(customer_churn_dataset!A1437)</f>
        <v>CUST101277</v>
      </c>
      <c r="B1437" s="7" t="str">
        <f aca="false">PROPER(TRIM(customer_churn_dataset!B1437))</f>
        <v>Premium</v>
      </c>
      <c r="C1437" s="7" t="str">
        <f aca="false">PROPER(TRIM(customer_churn_dataset!C1437))</f>
        <v>Month-To-Month</v>
      </c>
      <c r="D1437" s="7" t="n">
        <f aca="false">IF(ISBLANK(customer_churn_dataset!D1437),ROUND(MEDIAN(customer_churn_dataset!D$2:D$1501),2),IF(customer_churn_dataset!D1437&lt;0,ABS(customer_churn_dataset!D1437),customer_churn_dataset!D1437))</f>
        <v>40.82</v>
      </c>
      <c r="E1437" s="7" t="n">
        <f aca="false">IF(ISBLANK(customer_churn_dataset!E1437),0,MAX(0,customer_churn_dataset!E1437))</f>
        <v>45</v>
      </c>
      <c r="F1437" s="8" t="n">
        <f aca="false">IF(ISBLANK(customer_churn_dataset!F1437),"",customer_churn_dataset!F1437)</f>
        <v>45754</v>
      </c>
      <c r="G1437" s="7" t="str">
        <f aca="false">PROPER(TRIM(customer_churn_dataset!G1437))</f>
        <v>Credit Card</v>
      </c>
      <c r="H1437" s="7" t="n">
        <f aca="false">IF(ISBLANK(customer_churn_dataset!H1437),0,customer_churn_dataset!H1437)</f>
        <v>0</v>
      </c>
      <c r="I1437" s="7" t="n">
        <f aca="false">IF(ISBLANK(customer_churn_dataset!I1437),ROUND(MEDIAN(customer_churn_dataset!I$2:I$1501),1),MIN(100,MAX(0,customer_churn_dataset!I1437)))</f>
        <v>58.9</v>
      </c>
      <c r="J1437" s="7" t="n">
        <f aca="false">IF(ISBLANK(customer_churn_dataset!J1437),0,MAX(0,customer_churn_dataset!J1437))</f>
        <v>17</v>
      </c>
      <c r="K1437" s="7" t="n">
        <f aca="false">IF(ISBLANK(customer_churn_dataset!K1437),0,MIN(10,MAX(0,customer_churn_dataset!K1437)))</f>
        <v>8</v>
      </c>
      <c r="L1437" s="7" t="n">
        <f aca="false">IF(ISBLANK(customer_churn_dataset!L1437),0,MAX(0,customer_churn_dataset!L1437))</f>
        <v>2</v>
      </c>
      <c r="M1437" s="7" t="n">
        <f aca="false">IF(ISBLANK(customer_churn_dataset!M1437),0,customer_churn_dataset!M1437)</f>
        <v>1</v>
      </c>
      <c r="N1437" s="7" t="n">
        <f aca="false">IF(ISBLANK(customer_churn_dataset!N1437),0,MAX(0,customer_churn_dataset!N1437))</f>
        <v>1836.9</v>
      </c>
      <c r="O1437" s="7" t="n">
        <f aca="false">IF(ISBLANK(customer_churn_dataset!O1437),0,customer_churn_dataset!O1437)</f>
        <v>0</v>
      </c>
      <c r="P1437" s="7" t="str">
        <f aca="false">IF(COUNTIF(customer_churn_dataset!$A$2:$A$1501,customer_churn_dataset!A1437)&gt;1,"Duplicate","Unique")</f>
        <v>Unique</v>
      </c>
    </row>
    <row r="1438" customFormat="false" ht="14.15" hidden="false" customHeight="true" outlineLevel="0" collapsed="false">
      <c r="A1438" s="7" t="str">
        <f aca="false">TRIM(customer_churn_dataset!A1438)</f>
        <v>CUST100448</v>
      </c>
      <c r="B1438" s="7" t="str">
        <f aca="false">PROPER(TRIM(customer_churn_dataset!B1438))</f>
        <v>Basic</v>
      </c>
      <c r="C1438" s="7" t="str">
        <f aca="false">PROPER(TRIM(customer_churn_dataset!C1438))</f>
        <v>Month-To-Month</v>
      </c>
      <c r="D1438" s="7" t="n">
        <f aca="false">IF(ISBLANK(customer_churn_dataset!D1438),ROUND(MEDIAN(customer_churn_dataset!D$2:D$1501),2),IF(customer_churn_dataset!D1438&lt;0,ABS(customer_churn_dataset!D1438),customer_churn_dataset!D1438))</f>
        <v>10.31</v>
      </c>
      <c r="E1438" s="7" t="n">
        <f aca="false">IF(ISBLANK(customer_churn_dataset!E1438),0,MAX(0,customer_churn_dataset!E1438))</f>
        <v>15</v>
      </c>
      <c r="F1438" s="8" t="n">
        <f aca="false">IF(ISBLANK(customer_churn_dataset!F1438),"",customer_churn_dataset!F1438)</f>
        <v>45754</v>
      </c>
      <c r="G1438" s="7" t="str">
        <f aca="false">PROPER(TRIM(customer_churn_dataset!G1438))</f>
        <v>Paypal</v>
      </c>
      <c r="H1438" s="7" t="n">
        <f aca="false">IF(ISBLANK(customer_churn_dataset!H1438),0,customer_churn_dataset!H1438)</f>
        <v>1</v>
      </c>
      <c r="I1438" s="7" t="n">
        <f aca="false">IF(ISBLANK(customer_churn_dataset!I1438),ROUND(MEDIAN(customer_churn_dataset!I$2:I$1501),1),MIN(100,MAX(0,customer_churn_dataset!I1438)))</f>
        <v>77.1</v>
      </c>
      <c r="J1438" s="7" t="n">
        <f aca="false">IF(ISBLANK(customer_churn_dataset!J1438),0,MAX(0,customer_churn_dataset!J1438))</f>
        <v>24</v>
      </c>
      <c r="K1438" s="7" t="n">
        <f aca="false">IF(ISBLANK(customer_churn_dataset!K1438),0,MIN(10,MAX(0,customer_churn_dataset!K1438)))</f>
        <v>8</v>
      </c>
      <c r="L1438" s="7" t="n">
        <f aca="false">IF(ISBLANK(customer_churn_dataset!L1438),0,MAX(0,customer_churn_dataset!L1438))</f>
        <v>1</v>
      </c>
      <c r="M1438" s="7" t="n">
        <f aca="false">IF(ISBLANK(customer_churn_dataset!M1438),0,customer_churn_dataset!M1438)</f>
        <v>0</v>
      </c>
      <c r="N1438" s="7" t="n">
        <f aca="false">IF(ISBLANK(customer_churn_dataset!N1438),0,MAX(0,customer_churn_dataset!N1438))</f>
        <v>154.65</v>
      </c>
      <c r="O1438" s="7" t="n">
        <f aca="false">IF(ISBLANK(customer_churn_dataset!O1438),0,customer_churn_dataset!O1438)</f>
        <v>0</v>
      </c>
      <c r="P1438" s="7" t="str">
        <f aca="false">IF(COUNTIF(customer_churn_dataset!$A$2:$A$1501,customer_churn_dataset!A1438)&gt;1,"Duplicate","Unique")</f>
        <v>Unique</v>
      </c>
    </row>
    <row r="1439" customFormat="false" ht="14.15" hidden="false" customHeight="true" outlineLevel="0" collapsed="false">
      <c r="A1439" s="7" t="str">
        <f aca="false">TRIM(customer_churn_dataset!A1439)</f>
        <v>CUST100432</v>
      </c>
      <c r="B1439" s="7" t="str">
        <f aca="false">PROPER(TRIM(customer_churn_dataset!B1439))</f>
        <v>Standard</v>
      </c>
      <c r="C1439" s="7" t="str">
        <f aca="false">PROPER(TRIM(customer_churn_dataset!C1439))</f>
        <v>Month-To-Month</v>
      </c>
      <c r="D1439" s="7" t="n">
        <f aca="false">IF(ISBLANK(customer_churn_dataset!D1439),ROUND(MEDIAN(customer_churn_dataset!D$2:D$1501),2),IF(customer_churn_dataset!D1439&lt;0,ABS(customer_churn_dataset!D1439),customer_churn_dataset!D1439))</f>
        <v>20.43</v>
      </c>
      <c r="E1439" s="7" t="n">
        <f aca="false">IF(ISBLANK(customer_churn_dataset!E1439),0,MAX(0,customer_churn_dataset!E1439))</f>
        <v>12</v>
      </c>
      <c r="F1439" s="8" t="n">
        <f aca="false">IF(ISBLANK(customer_churn_dataset!F1439),"",customer_churn_dataset!F1439)</f>
        <v>45754</v>
      </c>
      <c r="G1439" s="7" t="str">
        <f aca="false">PROPER(TRIM(customer_churn_dataset!G1439))</f>
        <v>Credit Card</v>
      </c>
      <c r="H1439" s="7" t="n">
        <f aca="false">IF(ISBLANK(customer_churn_dataset!H1439),0,customer_churn_dataset!H1439)</f>
        <v>0</v>
      </c>
      <c r="I1439" s="7" t="n">
        <f aca="false">IF(ISBLANK(customer_churn_dataset!I1439),ROUND(MEDIAN(customer_churn_dataset!I$2:I$1501),1),MIN(100,MAX(0,customer_churn_dataset!I1439)))</f>
        <v>47.1</v>
      </c>
      <c r="J1439" s="7" t="n">
        <f aca="false">IF(ISBLANK(customer_churn_dataset!J1439),0,MAX(0,customer_churn_dataset!J1439))</f>
        <v>15</v>
      </c>
      <c r="K1439" s="7" t="n">
        <f aca="false">IF(ISBLANK(customer_churn_dataset!K1439),0,MIN(10,MAX(0,customer_churn_dataset!K1439)))</f>
        <v>4</v>
      </c>
      <c r="L1439" s="7" t="n">
        <f aca="false">IF(ISBLANK(customer_churn_dataset!L1439),0,MAX(0,customer_churn_dataset!L1439))</f>
        <v>1</v>
      </c>
      <c r="M1439" s="7" t="n">
        <f aca="false">IF(ISBLANK(customer_churn_dataset!M1439),0,customer_churn_dataset!M1439)</f>
        <v>0</v>
      </c>
      <c r="N1439" s="7" t="n">
        <f aca="false">IF(ISBLANK(customer_churn_dataset!N1439),0,MAX(0,customer_churn_dataset!N1439))</f>
        <v>245.16</v>
      </c>
      <c r="O1439" s="7" t="n">
        <f aca="false">IF(ISBLANK(customer_churn_dataset!O1439),0,customer_churn_dataset!O1439)</f>
        <v>0</v>
      </c>
      <c r="P1439" s="7" t="str">
        <f aca="false">IF(COUNTIF(customer_churn_dataset!$A$2:$A$1501,customer_churn_dataset!A1439)&gt;1,"Duplicate","Unique")</f>
        <v>Unique</v>
      </c>
    </row>
    <row r="1440" customFormat="false" ht="14.15" hidden="false" customHeight="true" outlineLevel="0" collapsed="false">
      <c r="A1440" s="7" t="str">
        <f aca="false">TRIM(customer_churn_dataset!A1440)</f>
        <v>CUST100391</v>
      </c>
      <c r="B1440" s="7" t="str">
        <f aca="false">PROPER(TRIM(customer_churn_dataset!B1440))</f>
        <v>Basic</v>
      </c>
      <c r="C1440" s="7" t="str">
        <f aca="false">PROPER(TRIM(customer_churn_dataset!C1440))</f>
        <v>Month-To-Month</v>
      </c>
      <c r="D1440" s="7" t="n">
        <f aca="false">IF(ISBLANK(customer_churn_dataset!D1440),ROUND(MEDIAN(customer_churn_dataset!D$2:D$1501),2),IF(customer_churn_dataset!D1440&lt;0,ABS(customer_churn_dataset!D1440),customer_churn_dataset!D1440))</f>
        <v>9.79</v>
      </c>
      <c r="E1440" s="7" t="n">
        <f aca="false">IF(ISBLANK(customer_churn_dataset!E1440),0,MAX(0,customer_churn_dataset!E1440))</f>
        <v>17</v>
      </c>
      <c r="F1440" s="8" t="n">
        <f aca="false">IF(ISBLANK(customer_churn_dataset!F1440),"",customer_churn_dataset!F1440)</f>
        <v>45755</v>
      </c>
      <c r="G1440" s="7" t="str">
        <f aca="false">PROPER(TRIM(customer_churn_dataset!G1440))</f>
        <v>Paypal</v>
      </c>
      <c r="H1440" s="7" t="n">
        <f aca="false">IF(ISBLANK(customer_churn_dataset!H1440),0,customer_churn_dataset!H1440)</f>
        <v>1</v>
      </c>
      <c r="I1440" s="7" t="n">
        <f aca="false">IF(ISBLANK(customer_churn_dataset!I1440),ROUND(MEDIAN(customer_churn_dataset!I$2:I$1501),1),MIN(100,MAX(0,customer_churn_dataset!I1440)))</f>
        <v>31.4</v>
      </c>
      <c r="J1440" s="7" t="n">
        <f aca="false">IF(ISBLANK(customer_churn_dataset!J1440),0,MAX(0,customer_churn_dataset!J1440))</f>
        <v>13</v>
      </c>
      <c r="K1440" s="7" t="n">
        <f aca="false">IF(ISBLANK(customer_churn_dataset!K1440),0,MIN(10,MAX(0,customer_churn_dataset!K1440)))</f>
        <v>3</v>
      </c>
      <c r="L1440" s="7" t="n">
        <f aca="false">IF(ISBLANK(customer_churn_dataset!L1440),0,MAX(0,customer_churn_dataset!L1440))</f>
        <v>2</v>
      </c>
      <c r="M1440" s="7" t="n">
        <f aca="false">IF(ISBLANK(customer_churn_dataset!M1440),0,customer_churn_dataset!M1440)</f>
        <v>1</v>
      </c>
      <c r="N1440" s="7" t="n">
        <f aca="false">IF(ISBLANK(customer_churn_dataset!N1440),0,MAX(0,customer_churn_dataset!N1440))</f>
        <v>166.43</v>
      </c>
      <c r="O1440" s="7" t="n">
        <f aca="false">IF(ISBLANK(customer_churn_dataset!O1440),0,customer_churn_dataset!O1440)</f>
        <v>1</v>
      </c>
      <c r="P1440" s="7" t="str">
        <f aca="false">IF(COUNTIF(customer_churn_dataset!$A$2:$A$1501,customer_churn_dataset!A1440)&gt;1,"Duplicate","Unique")</f>
        <v>Unique</v>
      </c>
    </row>
    <row r="1441" customFormat="false" ht="14.15" hidden="false" customHeight="true" outlineLevel="0" collapsed="false">
      <c r="A1441" s="7" t="str">
        <f aca="false">TRIM(customer_churn_dataset!A1441)</f>
        <v>CUST100226</v>
      </c>
      <c r="B1441" s="7" t="str">
        <f aca="false">PROPER(TRIM(customer_churn_dataset!B1441))</f>
        <v>Premium</v>
      </c>
      <c r="C1441" s="7" t="str">
        <f aca="false">PROPER(TRIM(customer_churn_dataset!C1441))</f>
        <v>One Year</v>
      </c>
      <c r="D1441" s="7" t="n">
        <f aca="false">IF(ISBLANK(customer_churn_dataset!D1441),ROUND(MEDIAN(customer_churn_dataset!D$2:D$1501),2),IF(customer_churn_dataset!D1441&lt;0,ABS(customer_churn_dataset!D1441),customer_churn_dataset!D1441))</f>
        <v>41.29</v>
      </c>
      <c r="E1441" s="7" t="n">
        <f aca="false">IF(ISBLANK(customer_churn_dataset!E1441),0,MAX(0,customer_churn_dataset!E1441))</f>
        <v>39</v>
      </c>
      <c r="F1441" s="8" t="n">
        <f aca="false">IF(ISBLANK(customer_churn_dataset!F1441),"",customer_churn_dataset!F1441)</f>
        <v>45756</v>
      </c>
      <c r="G1441" s="7" t="str">
        <f aca="false">PROPER(TRIM(customer_churn_dataset!G1441))</f>
        <v>Credit Card</v>
      </c>
      <c r="H1441" s="7" t="n">
        <f aca="false">IF(ISBLANK(customer_churn_dataset!H1441),0,customer_churn_dataset!H1441)</f>
        <v>1</v>
      </c>
      <c r="I1441" s="7" t="n">
        <f aca="false">IF(ISBLANK(customer_churn_dataset!I1441),ROUND(MEDIAN(customer_churn_dataset!I$2:I$1501),1),MIN(100,MAX(0,customer_churn_dataset!I1441)))</f>
        <v>38.7</v>
      </c>
      <c r="J1441" s="7" t="n">
        <f aca="false">IF(ISBLANK(customer_churn_dataset!J1441),0,MAX(0,customer_churn_dataset!J1441))</f>
        <v>8</v>
      </c>
      <c r="K1441" s="7" t="n">
        <f aca="false">IF(ISBLANK(customer_churn_dataset!K1441),0,MIN(10,MAX(0,customer_churn_dataset!K1441)))</f>
        <v>2</v>
      </c>
      <c r="L1441" s="7" t="n">
        <f aca="false">IF(ISBLANK(customer_churn_dataset!L1441),0,MAX(0,customer_churn_dataset!L1441))</f>
        <v>2</v>
      </c>
      <c r="M1441" s="7" t="n">
        <f aca="false">IF(ISBLANK(customer_churn_dataset!M1441),0,customer_churn_dataset!M1441)</f>
        <v>1</v>
      </c>
      <c r="N1441" s="7" t="n">
        <f aca="false">IF(ISBLANK(customer_churn_dataset!N1441),0,MAX(0,customer_churn_dataset!N1441))</f>
        <v>1610.31</v>
      </c>
      <c r="O1441" s="7" t="n">
        <f aca="false">IF(ISBLANK(customer_churn_dataset!O1441),0,customer_churn_dataset!O1441)</f>
        <v>0</v>
      </c>
      <c r="P1441" s="7" t="str">
        <f aca="false">IF(COUNTIF(customer_churn_dataset!$A$2:$A$1501,customer_churn_dataset!A1441)&gt;1,"Duplicate","Unique")</f>
        <v>Unique</v>
      </c>
    </row>
    <row r="1442" customFormat="false" ht="14.15" hidden="false" customHeight="true" outlineLevel="0" collapsed="false">
      <c r="A1442" s="7" t="str">
        <f aca="false">TRIM(customer_churn_dataset!A1442)</f>
        <v>CUST101448</v>
      </c>
      <c r="B1442" s="7" t="str">
        <f aca="false">PROPER(TRIM(customer_churn_dataset!B1442))</f>
        <v>Premium</v>
      </c>
      <c r="C1442" s="7" t="str">
        <f aca="false">PROPER(TRIM(customer_churn_dataset!C1442))</f>
        <v>One Year</v>
      </c>
      <c r="D1442" s="7" t="n">
        <f aca="false">IF(ISBLANK(customer_churn_dataset!D1442),ROUND(MEDIAN(customer_churn_dataset!D$2:D$1501),2),IF(customer_churn_dataset!D1442&lt;0,ABS(customer_churn_dataset!D1442),customer_churn_dataset!D1442))</f>
        <v>40.89</v>
      </c>
      <c r="E1442" s="7" t="n">
        <f aca="false">IF(ISBLANK(customer_churn_dataset!E1442),0,MAX(0,customer_churn_dataset!E1442))</f>
        <v>7</v>
      </c>
      <c r="F1442" s="8" t="n">
        <f aca="false">IF(ISBLANK(customer_churn_dataset!F1442),"",customer_churn_dataset!F1442)</f>
        <v>45756</v>
      </c>
      <c r="G1442" s="7" t="str">
        <f aca="false">PROPER(TRIM(customer_churn_dataset!G1442))</f>
        <v>Credit Card</v>
      </c>
      <c r="H1442" s="7" t="n">
        <f aca="false">IF(ISBLANK(customer_churn_dataset!H1442),0,customer_churn_dataset!H1442)</f>
        <v>0</v>
      </c>
      <c r="I1442" s="7" t="n">
        <f aca="false">IF(ISBLANK(customer_churn_dataset!I1442),ROUND(MEDIAN(customer_churn_dataset!I$2:I$1501),1),MIN(100,MAX(0,customer_churn_dataset!I1442)))</f>
        <v>35.1</v>
      </c>
      <c r="J1442" s="7" t="n">
        <f aca="false">IF(ISBLANK(customer_churn_dataset!J1442),0,MAX(0,customer_churn_dataset!J1442))</f>
        <v>8</v>
      </c>
      <c r="K1442" s="7" t="n">
        <f aca="false">IF(ISBLANK(customer_churn_dataset!K1442),0,MIN(10,MAX(0,customer_churn_dataset!K1442)))</f>
        <v>3</v>
      </c>
      <c r="L1442" s="7" t="n">
        <f aca="false">IF(ISBLANK(customer_churn_dataset!L1442),0,MAX(0,customer_churn_dataset!L1442))</f>
        <v>4</v>
      </c>
      <c r="M1442" s="7" t="n">
        <f aca="false">IF(ISBLANK(customer_churn_dataset!M1442),0,customer_churn_dataset!M1442)</f>
        <v>0</v>
      </c>
      <c r="N1442" s="7" t="n">
        <f aca="false">IF(ISBLANK(customer_churn_dataset!N1442),0,MAX(0,customer_churn_dataset!N1442))</f>
        <v>286.23</v>
      </c>
      <c r="O1442" s="7" t="n">
        <f aca="false">IF(ISBLANK(customer_churn_dataset!O1442),0,customer_churn_dataset!O1442)</f>
        <v>1</v>
      </c>
      <c r="P1442" s="7" t="str">
        <f aca="false">IF(COUNTIF(customer_churn_dataset!$A$2:$A$1501,customer_churn_dataset!A1442)&gt;1,"Duplicate","Unique")</f>
        <v>Unique</v>
      </c>
    </row>
    <row r="1443" customFormat="false" ht="14.15" hidden="false" customHeight="true" outlineLevel="0" collapsed="false">
      <c r="A1443" s="7" t="str">
        <f aca="false">TRIM(customer_churn_dataset!A1443)</f>
        <v>CUST100190</v>
      </c>
      <c r="B1443" s="7" t="str">
        <f aca="false">PROPER(TRIM(customer_churn_dataset!B1443))</f>
        <v>Basic</v>
      </c>
      <c r="C1443" s="7" t="str">
        <f aca="false">PROPER(TRIM(customer_churn_dataset!C1443))</f>
        <v>Month-To-Month</v>
      </c>
      <c r="D1443" s="7" t="n">
        <f aca="false">IF(ISBLANK(customer_churn_dataset!D1443),ROUND(MEDIAN(customer_churn_dataset!D$2:D$1501),2),IF(customer_churn_dataset!D1443&lt;0,ABS(customer_churn_dataset!D1443),customer_churn_dataset!D1443))</f>
        <v>8.82</v>
      </c>
      <c r="E1443" s="7" t="n">
        <f aca="false">IF(ISBLANK(customer_churn_dataset!E1443),0,MAX(0,customer_churn_dataset!E1443))</f>
        <v>12</v>
      </c>
      <c r="F1443" s="8" t="n">
        <f aca="false">IF(ISBLANK(customer_churn_dataset!F1443),"",customer_churn_dataset!F1443)</f>
        <v>45756</v>
      </c>
      <c r="G1443" s="7" t="str">
        <f aca="false">PROPER(TRIM(customer_churn_dataset!G1443))</f>
        <v>Credit Card</v>
      </c>
      <c r="H1443" s="7" t="n">
        <f aca="false">IF(ISBLANK(customer_churn_dataset!H1443),0,customer_churn_dataset!H1443)</f>
        <v>1</v>
      </c>
      <c r="I1443" s="7" t="n">
        <f aca="false">IF(ISBLANK(customer_churn_dataset!I1443),ROUND(MEDIAN(customer_churn_dataset!I$2:I$1501),1),MIN(100,MAX(0,customer_churn_dataset!I1443)))</f>
        <v>16.2</v>
      </c>
      <c r="J1443" s="7" t="n">
        <f aca="false">IF(ISBLANK(customer_churn_dataset!J1443),0,MAX(0,customer_churn_dataset!J1443))</f>
        <v>6</v>
      </c>
      <c r="K1443" s="7" t="n">
        <f aca="false">IF(ISBLANK(customer_churn_dataset!K1443),0,MIN(10,MAX(0,customer_churn_dataset!K1443)))</f>
        <v>1</v>
      </c>
      <c r="L1443" s="7" t="n">
        <f aca="false">IF(ISBLANK(customer_churn_dataset!L1443),0,MAX(0,customer_churn_dataset!L1443))</f>
        <v>2</v>
      </c>
      <c r="M1443" s="7" t="n">
        <f aca="false">IF(ISBLANK(customer_churn_dataset!M1443),0,customer_churn_dataset!M1443)</f>
        <v>0</v>
      </c>
      <c r="N1443" s="7" t="n">
        <f aca="false">IF(ISBLANK(customer_churn_dataset!N1443),0,MAX(0,customer_churn_dataset!N1443))</f>
        <v>105.84</v>
      </c>
      <c r="O1443" s="7" t="n">
        <f aca="false">IF(ISBLANK(customer_churn_dataset!O1443),0,customer_churn_dataset!O1443)</f>
        <v>0</v>
      </c>
      <c r="P1443" s="7" t="str">
        <f aca="false">IF(COUNTIF(customer_churn_dataset!$A$2:$A$1501,customer_churn_dataset!A1443)&gt;1,"Duplicate","Unique")</f>
        <v>Unique</v>
      </c>
    </row>
    <row r="1444" customFormat="false" ht="14.15" hidden="false" customHeight="true" outlineLevel="0" collapsed="false">
      <c r="A1444" s="7" t="str">
        <f aca="false">TRIM(customer_churn_dataset!A1444)</f>
        <v>CUST101472</v>
      </c>
      <c r="B1444" s="7" t="str">
        <f aca="false">PROPER(TRIM(customer_churn_dataset!B1444))</f>
        <v>Premium</v>
      </c>
      <c r="C1444" s="7" t="str">
        <f aca="false">PROPER(TRIM(customer_churn_dataset!C1444))</f>
        <v>Month-To-Month</v>
      </c>
      <c r="D1444" s="7" t="n">
        <f aca="false">IF(ISBLANK(customer_churn_dataset!D1444),ROUND(MEDIAN(customer_churn_dataset!D$2:D$1501),2),IF(customer_churn_dataset!D1444&lt;0,ABS(customer_churn_dataset!D1444),customer_churn_dataset!D1444))</f>
        <v>40.19</v>
      </c>
      <c r="E1444" s="7" t="n">
        <f aca="false">IF(ISBLANK(customer_churn_dataset!E1444),0,MAX(0,customer_churn_dataset!E1444))</f>
        <v>13</v>
      </c>
      <c r="F1444" s="8" t="n">
        <f aca="false">IF(ISBLANK(customer_churn_dataset!F1444),"",customer_churn_dataset!F1444)</f>
        <v>45757</v>
      </c>
      <c r="G1444" s="7" t="str">
        <f aca="false">PROPER(TRIM(customer_churn_dataset!G1444))</f>
        <v>Credit Card</v>
      </c>
      <c r="H1444" s="7" t="n">
        <f aca="false">IF(ISBLANK(customer_churn_dataset!H1444),0,customer_churn_dataset!H1444)</f>
        <v>0</v>
      </c>
      <c r="I1444" s="7" t="n">
        <f aca="false">IF(ISBLANK(customer_churn_dataset!I1444),ROUND(MEDIAN(customer_churn_dataset!I$2:I$1501),1),MIN(100,MAX(0,customer_churn_dataset!I1444)))</f>
        <v>61.7</v>
      </c>
      <c r="J1444" s="7" t="n">
        <f aca="false">IF(ISBLANK(customer_churn_dataset!J1444),0,MAX(0,customer_churn_dataset!J1444))</f>
        <v>21</v>
      </c>
      <c r="K1444" s="7" t="n">
        <f aca="false">IF(ISBLANK(customer_churn_dataset!K1444),0,MIN(10,MAX(0,customer_churn_dataset!K1444)))</f>
        <v>5</v>
      </c>
      <c r="L1444" s="7" t="n">
        <f aca="false">IF(ISBLANK(customer_churn_dataset!L1444),0,MAX(0,customer_churn_dataset!L1444))</f>
        <v>1</v>
      </c>
      <c r="M1444" s="7" t="n">
        <f aca="false">IF(ISBLANK(customer_churn_dataset!M1444),0,customer_churn_dataset!M1444)</f>
        <v>0</v>
      </c>
      <c r="N1444" s="7" t="n">
        <f aca="false">IF(ISBLANK(customer_churn_dataset!N1444),0,MAX(0,customer_churn_dataset!N1444))</f>
        <v>522.47</v>
      </c>
      <c r="O1444" s="7" t="n">
        <f aca="false">IF(ISBLANK(customer_churn_dataset!O1444),0,customer_churn_dataset!O1444)</f>
        <v>0</v>
      </c>
      <c r="P1444" s="7" t="str">
        <f aca="false">IF(COUNTIF(customer_churn_dataset!$A$2:$A$1501,customer_churn_dataset!A1444)&gt;1,"Duplicate","Unique")</f>
        <v>Unique</v>
      </c>
    </row>
    <row r="1445" customFormat="false" ht="14.15" hidden="false" customHeight="true" outlineLevel="0" collapsed="false">
      <c r="A1445" s="7" t="str">
        <f aca="false">TRIM(customer_churn_dataset!A1445)</f>
        <v>CUST100946</v>
      </c>
      <c r="B1445" s="7" t="str">
        <f aca="false">PROPER(TRIM(customer_churn_dataset!B1445))</f>
        <v>Basic</v>
      </c>
      <c r="C1445" s="7" t="str">
        <f aca="false">PROPER(TRIM(customer_churn_dataset!C1445))</f>
        <v>Month-To-Month</v>
      </c>
      <c r="D1445" s="7" t="n">
        <f aca="false">IF(ISBLANK(customer_churn_dataset!D1445),ROUND(MEDIAN(customer_churn_dataset!D$2:D$1501),2),IF(customer_churn_dataset!D1445&lt;0,ABS(customer_churn_dataset!D1445),customer_churn_dataset!D1445))</f>
        <v>9.09</v>
      </c>
      <c r="E1445" s="7" t="n">
        <f aca="false">IF(ISBLANK(customer_churn_dataset!E1445),0,MAX(0,customer_churn_dataset!E1445))</f>
        <v>37</v>
      </c>
      <c r="F1445" s="8" t="n">
        <f aca="false">IF(ISBLANK(customer_churn_dataset!F1445),"",customer_churn_dataset!F1445)</f>
        <v>45758</v>
      </c>
      <c r="G1445" s="7" t="str">
        <f aca="false">PROPER(TRIM(customer_churn_dataset!G1445))</f>
        <v>Credit Card</v>
      </c>
      <c r="H1445" s="7" t="n">
        <f aca="false">IF(ISBLANK(customer_churn_dataset!H1445),0,customer_churn_dataset!H1445)</f>
        <v>0</v>
      </c>
      <c r="I1445" s="7" t="n">
        <f aca="false">IF(ISBLANK(customer_churn_dataset!I1445),ROUND(MEDIAN(customer_churn_dataset!I$2:I$1501),1),MIN(100,MAX(0,customer_churn_dataset!I1445)))</f>
        <v>66.8</v>
      </c>
      <c r="J1445" s="7" t="n">
        <f aca="false">IF(ISBLANK(customer_churn_dataset!J1445),0,MAX(0,customer_churn_dataset!J1445))</f>
        <v>11</v>
      </c>
      <c r="K1445" s="7" t="n">
        <f aca="false">IF(ISBLANK(customer_churn_dataset!K1445),0,MIN(10,MAX(0,customer_churn_dataset!K1445)))</f>
        <v>5</v>
      </c>
      <c r="L1445" s="7" t="n">
        <f aca="false">IF(ISBLANK(customer_churn_dataset!L1445),0,MAX(0,customer_churn_dataset!L1445))</f>
        <v>1</v>
      </c>
      <c r="M1445" s="7" t="n">
        <f aca="false">IF(ISBLANK(customer_churn_dataset!M1445),0,customer_churn_dataset!M1445)</f>
        <v>0</v>
      </c>
      <c r="N1445" s="7" t="n">
        <f aca="false">IF(ISBLANK(customer_churn_dataset!N1445),0,MAX(0,customer_churn_dataset!N1445))</f>
        <v>336.33</v>
      </c>
      <c r="O1445" s="7" t="n">
        <f aca="false">IF(ISBLANK(customer_churn_dataset!O1445),0,customer_churn_dataset!O1445)</f>
        <v>0</v>
      </c>
      <c r="P1445" s="7" t="str">
        <f aca="false">IF(COUNTIF(customer_churn_dataset!$A$2:$A$1501,customer_churn_dataset!A1445)&gt;1,"Duplicate","Unique")</f>
        <v>Unique</v>
      </c>
    </row>
    <row r="1446" customFormat="false" ht="14.15" hidden="false" customHeight="true" outlineLevel="0" collapsed="false">
      <c r="A1446" s="7" t="str">
        <f aca="false">TRIM(customer_churn_dataset!A1446)</f>
        <v>CUST100726</v>
      </c>
      <c r="B1446" s="7" t="str">
        <f aca="false">PROPER(TRIM(customer_churn_dataset!B1446))</f>
        <v>Basic</v>
      </c>
      <c r="C1446" s="7" t="str">
        <f aca="false">PROPER(TRIM(customer_churn_dataset!C1446))</f>
        <v>Month-To-Month</v>
      </c>
      <c r="D1446" s="7" t="n">
        <f aca="false">IF(ISBLANK(customer_churn_dataset!D1446),ROUND(MEDIAN(customer_churn_dataset!D$2:D$1501),2),IF(customer_churn_dataset!D1446&lt;0,ABS(customer_churn_dataset!D1446),customer_churn_dataset!D1446))</f>
        <v>9.18</v>
      </c>
      <c r="E1446" s="7" t="n">
        <f aca="false">IF(ISBLANK(customer_churn_dataset!E1446),0,MAX(0,customer_churn_dataset!E1446))</f>
        <v>1</v>
      </c>
      <c r="F1446" s="8" t="n">
        <f aca="false">IF(ISBLANK(customer_churn_dataset!F1446),"",customer_churn_dataset!F1446)</f>
        <v>45762</v>
      </c>
      <c r="G1446" s="7" t="str">
        <f aca="false">PROPER(TRIM(customer_churn_dataset!G1446))</f>
        <v>Paypal</v>
      </c>
      <c r="H1446" s="7" t="n">
        <f aca="false">IF(ISBLANK(customer_churn_dataset!H1446),0,customer_churn_dataset!H1446)</f>
        <v>0</v>
      </c>
      <c r="I1446" s="7" t="n">
        <f aca="false">IF(ISBLANK(customer_churn_dataset!I1446),ROUND(MEDIAN(customer_churn_dataset!I$2:I$1501),1),MIN(100,MAX(0,customer_churn_dataset!I1446)))</f>
        <v>55.4</v>
      </c>
      <c r="J1446" s="7" t="n">
        <f aca="false">IF(ISBLANK(customer_churn_dataset!J1446),0,MAX(0,customer_churn_dataset!J1446))</f>
        <v>20</v>
      </c>
      <c r="K1446" s="7" t="n">
        <f aca="false">IF(ISBLANK(customer_churn_dataset!K1446),0,MIN(10,MAX(0,customer_churn_dataset!K1446)))</f>
        <v>4</v>
      </c>
      <c r="L1446" s="7" t="n">
        <f aca="false">IF(ISBLANK(customer_churn_dataset!L1446),0,MAX(0,customer_churn_dataset!L1446))</f>
        <v>1</v>
      </c>
      <c r="M1446" s="7" t="n">
        <f aca="false">IF(ISBLANK(customer_churn_dataset!M1446),0,customer_churn_dataset!M1446)</f>
        <v>1</v>
      </c>
      <c r="N1446" s="7" t="n">
        <f aca="false">IF(ISBLANK(customer_churn_dataset!N1446),0,MAX(0,customer_churn_dataset!N1446))</f>
        <v>9.18</v>
      </c>
      <c r="O1446" s="7" t="n">
        <f aca="false">IF(ISBLANK(customer_churn_dataset!O1446),0,customer_churn_dataset!O1446)</f>
        <v>0</v>
      </c>
      <c r="P1446" s="7" t="str">
        <f aca="false">IF(COUNTIF(customer_churn_dataset!$A$2:$A$1501,customer_churn_dataset!A1446)&gt;1,"Duplicate","Unique")</f>
        <v>Unique</v>
      </c>
    </row>
    <row r="1447" customFormat="false" ht="14.15" hidden="false" customHeight="true" outlineLevel="0" collapsed="false">
      <c r="A1447" s="7" t="str">
        <f aca="false">TRIM(customer_churn_dataset!A1447)</f>
        <v>CUST100310</v>
      </c>
      <c r="B1447" s="7" t="str">
        <f aca="false">PROPER(TRIM(customer_churn_dataset!B1447))</f>
        <v>Basic</v>
      </c>
      <c r="C1447" s="7" t="str">
        <f aca="false">PROPER(TRIM(customer_churn_dataset!C1447))</f>
        <v>Month-To-Month</v>
      </c>
      <c r="D1447" s="7" t="n">
        <f aca="false">IF(ISBLANK(customer_churn_dataset!D1447),ROUND(MEDIAN(customer_churn_dataset!D$2:D$1501),2),IF(customer_churn_dataset!D1447&lt;0,ABS(customer_churn_dataset!D1447),customer_churn_dataset!D1447))</f>
        <v>11.19</v>
      </c>
      <c r="E1447" s="7" t="n">
        <f aca="false">IF(ISBLANK(customer_churn_dataset!E1447),0,MAX(0,customer_churn_dataset!E1447))</f>
        <v>47</v>
      </c>
      <c r="F1447" s="8" t="n">
        <f aca="false">IF(ISBLANK(customer_churn_dataset!F1447),"",customer_churn_dataset!F1447)</f>
        <v>45762</v>
      </c>
      <c r="G1447" s="7" t="str">
        <f aca="false">PROPER(TRIM(customer_churn_dataset!G1447))</f>
        <v>Paypal</v>
      </c>
      <c r="H1447" s="7" t="n">
        <f aca="false">IF(ISBLANK(customer_churn_dataset!H1447),0,customer_churn_dataset!H1447)</f>
        <v>0</v>
      </c>
      <c r="I1447" s="7" t="n">
        <f aca="false">IF(ISBLANK(customer_churn_dataset!I1447),ROUND(MEDIAN(customer_churn_dataset!I$2:I$1501),1),MIN(100,MAX(0,customer_churn_dataset!I1447)))</f>
        <v>86</v>
      </c>
      <c r="J1447" s="7" t="n">
        <f aca="false">IF(ISBLANK(customer_churn_dataset!J1447),0,MAX(0,customer_churn_dataset!J1447))</f>
        <v>25</v>
      </c>
      <c r="K1447" s="7" t="n">
        <f aca="false">IF(ISBLANK(customer_churn_dataset!K1447),0,MIN(10,MAX(0,customer_churn_dataset!K1447)))</f>
        <v>5</v>
      </c>
      <c r="L1447" s="7" t="n">
        <f aca="false">IF(ISBLANK(customer_churn_dataset!L1447),0,MAX(0,customer_churn_dataset!L1447))</f>
        <v>0</v>
      </c>
      <c r="M1447" s="7" t="n">
        <f aca="false">IF(ISBLANK(customer_churn_dataset!M1447),0,customer_churn_dataset!M1447)</f>
        <v>0</v>
      </c>
      <c r="N1447" s="7" t="n">
        <f aca="false">IF(ISBLANK(customer_churn_dataset!N1447),0,MAX(0,customer_churn_dataset!N1447))</f>
        <v>525.93</v>
      </c>
      <c r="O1447" s="7" t="n">
        <f aca="false">IF(ISBLANK(customer_churn_dataset!O1447),0,customer_churn_dataset!O1447)</f>
        <v>0</v>
      </c>
      <c r="P1447" s="7" t="str">
        <f aca="false">IF(COUNTIF(customer_churn_dataset!$A$2:$A$1501,customer_churn_dataset!A1447)&gt;1,"Duplicate","Unique")</f>
        <v>Unique</v>
      </c>
    </row>
    <row r="1448" customFormat="false" ht="14.15" hidden="false" customHeight="true" outlineLevel="0" collapsed="false">
      <c r="A1448" s="7" t="str">
        <f aca="false">TRIM(customer_churn_dataset!A1448)</f>
        <v>CUST100328</v>
      </c>
      <c r="B1448" s="7" t="str">
        <f aca="false">PROPER(TRIM(customer_churn_dataset!B1448))</f>
        <v>Basic</v>
      </c>
      <c r="C1448" s="7" t="str">
        <f aca="false">PROPER(TRIM(customer_churn_dataset!C1448))</f>
        <v>Month-To-Month</v>
      </c>
      <c r="D1448" s="7" t="n">
        <f aca="false">IF(ISBLANK(customer_churn_dataset!D1448),ROUND(MEDIAN(customer_churn_dataset!D$2:D$1501),2),IF(customer_churn_dataset!D1448&lt;0,ABS(customer_churn_dataset!D1448),customer_churn_dataset!D1448))</f>
        <v>8.46</v>
      </c>
      <c r="E1448" s="7" t="n">
        <f aca="false">IF(ISBLANK(customer_churn_dataset!E1448),0,MAX(0,customer_churn_dataset!E1448))</f>
        <v>5</v>
      </c>
      <c r="F1448" s="8" t="n">
        <f aca="false">IF(ISBLANK(customer_churn_dataset!F1448),"",customer_churn_dataset!F1448)</f>
        <v>45762</v>
      </c>
      <c r="G1448" s="7" t="str">
        <f aca="false">PROPER(TRIM(customer_churn_dataset!G1448))</f>
        <v>Paypal</v>
      </c>
      <c r="H1448" s="7" t="n">
        <f aca="false">IF(ISBLANK(customer_churn_dataset!H1448),0,customer_churn_dataset!H1448)</f>
        <v>1</v>
      </c>
      <c r="I1448" s="7" t="n">
        <f aca="false">IF(ISBLANK(customer_churn_dataset!I1448),ROUND(MEDIAN(customer_churn_dataset!I$2:I$1501),1),MIN(100,MAX(0,customer_churn_dataset!I1448)))</f>
        <v>55.4</v>
      </c>
      <c r="J1448" s="7" t="n">
        <f aca="false">IF(ISBLANK(customer_churn_dataset!J1448),0,MAX(0,customer_churn_dataset!J1448))</f>
        <v>10</v>
      </c>
      <c r="K1448" s="7" t="n">
        <f aca="false">IF(ISBLANK(customer_churn_dataset!K1448),0,MIN(10,MAX(0,customer_churn_dataset!K1448)))</f>
        <v>6</v>
      </c>
      <c r="L1448" s="7" t="n">
        <f aca="false">IF(ISBLANK(customer_churn_dataset!L1448),0,MAX(0,customer_churn_dataset!L1448))</f>
        <v>1</v>
      </c>
      <c r="M1448" s="7" t="n">
        <f aca="false">IF(ISBLANK(customer_churn_dataset!M1448),0,customer_churn_dataset!M1448)</f>
        <v>0</v>
      </c>
      <c r="N1448" s="7" t="n">
        <f aca="false">IF(ISBLANK(customer_churn_dataset!N1448),0,MAX(0,customer_churn_dataset!N1448))</f>
        <v>42.3</v>
      </c>
      <c r="O1448" s="7" t="n">
        <f aca="false">IF(ISBLANK(customer_churn_dataset!O1448),0,customer_churn_dataset!O1448)</f>
        <v>0</v>
      </c>
      <c r="P1448" s="7" t="str">
        <f aca="false">IF(COUNTIF(customer_churn_dataset!$A$2:$A$1501,customer_churn_dataset!A1448)&gt;1,"Duplicate","Unique")</f>
        <v>Unique</v>
      </c>
    </row>
    <row r="1449" customFormat="false" ht="14.15" hidden="false" customHeight="true" outlineLevel="0" collapsed="false">
      <c r="A1449" s="7" t="str">
        <f aca="false">TRIM(customer_churn_dataset!A1449)</f>
        <v>CUST101200</v>
      </c>
      <c r="B1449" s="7" t="str">
        <f aca="false">PROPER(TRIM(customer_churn_dataset!B1449))</f>
        <v>Standard</v>
      </c>
      <c r="C1449" s="7" t="str">
        <f aca="false">PROPER(TRIM(customer_churn_dataset!C1449))</f>
        <v>Month-To-Month</v>
      </c>
      <c r="D1449" s="7" t="n">
        <f aca="false">IF(ISBLANK(customer_churn_dataset!D1449),ROUND(MEDIAN(customer_churn_dataset!D$2:D$1501),2),IF(customer_churn_dataset!D1449&lt;0,ABS(customer_churn_dataset!D1449),customer_churn_dataset!D1449))</f>
        <v>18.96</v>
      </c>
      <c r="E1449" s="7" t="n">
        <f aca="false">IF(ISBLANK(customer_churn_dataset!E1449),0,MAX(0,customer_churn_dataset!E1449))</f>
        <v>14</v>
      </c>
      <c r="F1449" s="8" t="n">
        <f aca="false">IF(ISBLANK(customer_churn_dataset!F1449),"",customer_churn_dataset!F1449)</f>
        <v>45763</v>
      </c>
      <c r="G1449" s="7" t="str">
        <f aca="false">PROPER(TRIM(customer_churn_dataset!G1449))</f>
        <v>Manual/Invoice</v>
      </c>
      <c r="H1449" s="7" t="n">
        <f aca="false">IF(ISBLANK(customer_churn_dataset!H1449),0,customer_churn_dataset!H1449)</f>
        <v>1</v>
      </c>
      <c r="I1449" s="7" t="n">
        <f aca="false">IF(ISBLANK(customer_churn_dataset!I1449),ROUND(MEDIAN(customer_churn_dataset!I$2:I$1501),1),MIN(100,MAX(0,customer_churn_dataset!I1449)))</f>
        <v>42.4</v>
      </c>
      <c r="J1449" s="7" t="n">
        <f aca="false">IF(ISBLANK(customer_churn_dataset!J1449),0,MAX(0,customer_churn_dataset!J1449))</f>
        <v>12</v>
      </c>
      <c r="K1449" s="7" t="n">
        <f aca="false">IF(ISBLANK(customer_churn_dataset!K1449),0,MIN(10,MAX(0,customer_churn_dataset!K1449)))</f>
        <v>4</v>
      </c>
      <c r="L1449" s="7" t="n">
        <f aca="false">IF(ISBLANK(customer_churn_dataset!L1449),0,MAX(0,customer_churn_dataset!L1449))</f>
        <v>1</v>
      </c>
      <c r="M1449" s="7" t="n">
        <f aca="false">IF(ISBLANK(customer_churn_dataset!M1449),0,customer_churn_dataset!M1449)</f>
        <v>1</v>
      </c>
      <c r="N1449" s="7" t="n">
        <f aca="false">IF(ISBLANK(customer_churn_dataset!N1449),0,MAX(0,customer_churn_dataset!N1449))</f>
        <v>265.44</v>
      </c>
      <c r="O1449" s="7" t="n">
        <f aca="false">IF(ISBLANK(customer_churn_dataset!O1449),0,customer_churn_dataset!O1449)</f>
        <v>1</v>
      </c>
      <c r="P1449" s="7" t="str">
        <f aca="false">IF(COUNTIF(customer_churn_dataset!$A$2:$A$1501,customer_churn_dataset!A1449)&gt;1,"Duplicate","Unique")</f>
        <v>Unique</v>
      </c>
    </row>
    <row r="1450" customFormat="false" ht="14.15" hidden="false" customHeight="true" outlineLevel="0" collapsed="false">
      <c r="A1450" s="7" t="str">
        <f aca="false">TRIM(customer_churn_dataset!A1450)</f>
        <v>CUST100267</v>
      </c>
      <c r="B1450" s="7" t="str">
        <f aca="false">PROPER(TRIM(customer_churn_dataset!B1450))</f>
        <v>Standard</v>
      </c>
      <c r="C1450" s="7" t="str">
        <f aca="false">PROPER(TRIM(customer_churn_dataset!C1450))</f>
        <v>Month-To-Month</v>
      </c>
      <c r="D1450" s="7" t="n">
        <f aca="false">IF(ISBLANK(customer_churn_dataset!D1450),ROUND(MEDIAN(customer_churn_dataset!D$2:D$1501),2),IF(customer_churn_dataset!D1450&lt;0,ABS(customer_churn_dataset!D1450),customer_churn_dataset!D1450))</f>
        <v>18.89</v>
      </c>
      <c r="E1450" s="7" t="n">
        <f aca="false">IF(ISBLANK(customer_churn_dataset!E1450),0,MAX(0,customer_churn_dataset!E1450))</f>
        <v>0</v>
      </c>
      <c r="F1450" s="8" t="n">
        <f aca="false">IF(ISBLANK(customer_churn_dataset!F1450),"",customer_churn_dataset!F1450)</f>
        <v>45765</v>
      </c>
      <c r="G1450" s="7" t="str">
        <f aca="false">PROPER(TRIM(customer_churn_dataset!G1450))</f>
        <v>Paypal</v>
      </c>
      <c r="H1450" s="7" t="n">
        <f aca="false">IF(ISBLANK(customer_churn_dataset!H1450),0,customer_churn_dataset!H1450)</f>
        <v>0</v>
      </c>
      <c r="I1450" s="7" t="n">
        <f aca="false">IF(ISBLANK(customer_churn_dataset!I1450),ROUND(MEDIAN(customer_churn_dataset!I$2:I$1501),1),MIN(100,MAX(0,customer_churn_dataset!I1450)))</f>
        <v>45.3</v>
      </c>
      <c r="J1450" s="7" t="n">
        <f aca="false">IF(ISBLANK(customer_churn_dataset!J1450),0,MAX(0,customer_churn_dataset!J1450))</f>
        <v>12</v>
      </c>
      <c r="K1450" s="7" t="n">
        <f aca="false">IF(ISBLANK(customer_churn_dataset!K1450),0,MIN(10,MAX(0,customer_churn_dataset!K1450)))</f>
        <v>2</v>
      </c>
      <c r="L1450" s="7" t="n">
        <f aca="false">IF(ISBLANK(customer_churn_dataset!L1450),0,MAX(0,customer_churn_dataset!L1450))</f>
        <v>1</v>
      </c>
      <c r="M1450" s="7" t="n">
        <f aca="false">IF(ISBLANK(customer_churn_dataset!M1450),0,customer_churn_dataset!M1450)</f>
        <v>0</v>
      </c>
      <c r="N1450" s="7" t="n">
        <f aca="false">IF(ISBLANK(customer_churn_dataset!N1450),0,MAX(0,customer_churn_dataset!N1450))</f>
        <v>0</v>
      </c>
      <c r="O1450" s="7" t="n">
        <f aca="false">IF(ISBLANK(customer_churn_dataset!O1450),0,customer_churn_dataset!O1450)</f>
        <v>1</v>
      </c>
      <c r="P1450" s="7" t="str">
        <f aca="false">IF(COUNTIF(customer_churn_dataset!$A$2:$A$1501,customer_churn_dataset!A1450)&gt;1,"Duplicate","Unique")</f>
        <v>Unique</v>
      </c>
    </row>
    <row r="1451" customFormat="false" ht="14.15" hidden="false" customHeight="true" outlineLevel="0" collapsed="false">
      <c r="A1451" s="7" t="str">
        <f aca="false">TRIM(customer_churn_dataset!A1451)</f>
        <v>CUST101085</v>
      </c>
      <c r="B1451" s="7" t="str">
        <f aca="false">PROPER(TRIM(customer_churn_dataset!B1451))</f>
        <v>Standard</v>
      </c>
      <c r="C1451" s="7" t="str">
        <f aca="false">PROPER(TRIM(customer_churn_dataset!C1451))</f>
        <v>One Year</v>
      </c>
      <c r="D1451" s="7" t="n">
        <f aca="false">IF(ISBLANK(customer_churn_dataset!D1451),ROUND(MEDIAN(customer_churn_dataset!D$2:D$1501),2),IF(customer_churn_dataset!D1451&lt;0,ABS(customer_churn_dataset!D1451),customer_churn_dataset!D1451))</f>
        <v>20.09</v>
      </c>
      <c r="E1451" s="7" t="n">
        <f aca="false">IF(ISBLANK(customer_churn_dataset!E1451),0,MAX(0,customer_churn_dataset!E1451))</f>
        <v>3</v>
      </c>
      <c r="F1451" s="8" t="n">
        <f aca="false">IF(ISBLANK(customer_churn_dataset!F1451),"",customer_churn_dataset!F1451)</f>
        <v>45767</v>
      </c>
      <c r="G1451" s="7" t="str">
        <f aca="false">PROPER(TRIM(customer_churn_dataset!G1451))</f>
        <v>Credit Card</v>
      </c>
      <c r="H1451" s="7" t="n">
        <f aca="false">IF(ISBLANK(customer_churn_dataset!H1451),0,customer_churn_dataset!H1451)</f>
        <v>1</v>
      </c>
      <c r="I1451" s="7" t="n">
        <f aca="false">IF(ISBLANK(customer_churn_dataset!I1451),ROUND(MEDIAN(customer_churn_dataset!I$2:I$1501),1),MIN(100,MAX(0,customer_churn_dataset!I1451)))</f>
        <v>33.9</v>
      </c>
      <c r="J1451" s="7" t="n">
        <f aca="false">IF(ISBLANK(customer_churn_dataset!J1451),0,MAX(0,customer_churn_dataset!J1451))</f>
        <v>11</v>
      </c>
      <c r="K1451" s="7" t="n">
        <f aca="false">IF(ISBLANK(customer_churn_dataset!K1451),0,MIN(10,MAX(0,customer_churn_dataset!K1451)))</f>
        <v>4</v>
      </c>
      <c r="L1451" s="7" t="n">
        <f aca="false">IF(ISBLANK(customer_churn_dataset!L1451),0,MAX(0,customer_churn_dataset!L1451))</f>
        <v>1</v>
      </c>
      <c r="M1451" s="7" t="n">
        <f aca="false">IF(ISBLANK(customer_churn_dataset!M1451),0,customer_churn_dataset!M1451)</f>
        <v>1</v>
      </c>
      <c r="N1451" s="7" t="n">
        <f aca="false">IF(ISBLANK(customer_churn_dataset!N1451),0,MAX(0,customer_churn_dataset!N1451))</f>
        <v>60.27</v>
      </c>
      <c r="O1451" s="7" t="n">
        <f aca="false">IF(ISBLANK(customer_churn_dataset!O1451),0,customer_churn_dataset!O1451)</f>
        <v>0</v>
      </c>
      <c r="P1451" s="7" t="str">
        <f aca="false">IF(COUNTIF(customer_churn_dataset!$A$2:$A$1501,customer_churn_dataset!A1451)&gt;1,"Duplicate","Unique")</f>
        <v>Unique</v>
      </c>
    </row>
    <row r="1452" customFormat="false" ht="14.15" hidden="false" customHeight="true" outlineLevel="0" collapsed="false">
      <c r="A1452" s="7" t="str">
        <f aca="false">TRIM(customer_churn_dataset!A1452)</f>
        <v>CUST100694</v>
      </c>
      <c r="B1452" s="7" t="str">
        <f aca="false">PROPER(TRIM(customer_churn_dataset!B1452))</f>
        <v>Basic</v>
      </c>
      <c r="C1452" s="7" t="str">
        <f aca="false">PROPER(TRIM(customer_churn_dataset!C1452))</f>
        <v>Month-To-Month</v>
      </c>
      <c r="D1452" s="7" t="n">
        <f aca="false">IF(ISBLANK(customer_churn_dataset!D1452),ROUND(MEDIAN(customer_churn_dataset!D$2:D$1501),2),IF(customer_churn_dataset!D1452&lt;0,ABS(customer_churn_dataset!D1452),customer_churn_dataset!D1452))</f>
        <v>10.99</v>
      </c>
      <c r="E1452" s="7" t="n">
        <f aca="false">IF(ISBLANK(customer_churn_dataset!E1452),0,MAX(0,customer_churn_dataset!E1452))</f>
        <v>9</v>
      </c>
      <c r="F1452" s="8" t="n">
        <f aca="false">IF(ISBLANK(customer_churn_dataset!F1452),"",customer_churn_dataset!F1452)</f>
        <v>45769</v>
      </c>
      <c r="G1452" s="7" t="str">
        <f aca="false">PROPER(TRIM(customer_churn_dataset!G1452))</f>
        <v>Manual/Invoice</v>
      </c>
      <c r="H1452" s="7" t="n">
        <f aca="false">IF(ISBLANK(customer_churn_dataset!H1452),0,customer_churn_dataset!H1452)</f>
        <v>1</v>
      </c>
      <c r="I1452" s="7" t="n">
        <f aca="false">IF(ISBLANK(customer_churn_dataset!I1452),ROUND(MEDIAN(customer_churn_dataset!I$2:I$1501),1),MIN(100,MAX(0,customer_churn_dataset!I1452)))</f>
        <v>40.8</v>
      </c>
      <c r="J1452" s="7" t="n">
        <f aca="false">IF(ISBLANK(customer_churn_dataset!J1452),0,MAX(0,customer_churn_dataset!J1452))</f>
        <v>9</v>
      </c>
      <c r="K1452" s="7" t="n">
        <f aca="false">IF(ISBLANK(customer_churn_dataset!K1452),0,MIN(10,MAX(0,customer_churn_dataset!K1452)))</f>
        <v>4</v>
      </c>
      <c r="L1452" s="7" t="n">
        <f aca="false">IF(ISBLANK(customer_churn_dataset!L1452),0,MAX(0,customer_churn_dataset!L1452))</f>
        <v>1</v>
      </c>
      <c r="M1452" s="7" t="n">
        <f aca="false">IF(ISBLANK(customer_churn_dataset!M1452),0,customer_churn_dataset!M1452)</f>
        <v>1</v>
      </c>
      <c r="N1452" s="7" t="n">
        <f aca="false">IF(ISBLANK(customer_churn_dataset!N1452),0,MAX(0,customer_churn_dataset!N1452))</f>
        <v>98.91</v>
      </c>
      <c r="O1452" s="7" t="n">
        <f aca="false">IF(ISBLANK(customer_churn_dataset!O1452),0,customer_churn_dataset!O1452)</f>
        <v>1</v>
      </c>
      <c r="P1452" s="7" t="str">
        <f aca="false">IF(COUNTIF(customer_churn_dataset!$A$2:$A$1501,customer_churn_dataset!A1452)&gt;1,"Duplicate","Unique")</f>
        <v>Unique</v>
      </c>
    </row>
    <row r="1453" customFormat="false" ht="14.15" hidden="false" customHeight="true" outlineLevel="0" collapsed="false">
      <c r="A1453" s="7" t="str">
        <f aca="false">TRIM(customer_churn_dataset!A1453)</f>
        <v>CUST101140</v>
      </c>
      <c r="B1453" s="7" t="str">
        <f aca="false">PROPER(TRIM(customer_churn_dataset!B1453))</f>
        <v>Premium</v>
      </c>
      <c r="C1453" s="7" t="str">
        <f aca="false">PROPER(TRIM(customer_churn_dataset!C1453))</f>
        <v>One Year</v>
      </c>
      <c r="D1453" s="7" t="n">
        <f aca="false">IF(ISBLANK(customer_churn_dataset!D1453),ROUND(MEDIAN(customer_churn_dataset!D$2:D$1501),2),IF(customer_churn_dataset!D1453&lt;0,ABS(customer_churn_dataset!D1453),customer_churn_dataset!D1453))</f>
        <v>41.04</v>
      </c>
      <c r="E1453" s="7" t="n">
        <f aca="false">IF(ISBLANK(customer_churn_dataset!E1453),0,MAX(0,customer_churn_dataset!E1453))</f>
        <v>16</v>
      </c>
      <c r="F1453" s="8" t="n">
        <f aca="false">IF(ISBLANK(customer_churn_dataset!F1453),"",customer_churn_dataset!F1453)</f>
        <v>45772</v>
      </c>
      <c r="G1453" s="7" t="str">
        <f aca="false">PROPER(TRIM(customer_churn_dataset!G1453))</f>
        <v>Credit Card</v>
      </c>
      <c r="H1453" s="7" t="n">
        <f aca="false">IF(ISBLANK(customer_churn_dataset!H1453),0,customer_churn_dataset!H1453)</f>
        <v>1</v>
      </c>
      <c r="I1453" s="7" t="n">
        <f aca="false">IF(ISBLANK(customer_churn_dataset!I1453),ROUND(MEDIAN(customer_churn_dataset!I$2:I$1501),1),MIN(100,MAX(0,customer_churn_dataset!I1453)))</f>
        <v>43</v>
      </c>
      <c r="J1453" s="7" t="n">
        <f aca="false">IF(ISBLANK(customer_churn_dataset!J1453),0,MAX(0,customer_churn_dataset!J1453))</f>
        <v>10</v>
      </c>
      <c r="K1453" s="7" t="n">
        <f aca="false">IF(ISBLANK(customer_churn_dataset!K1453),0,MIN(10,MAX(0,customer_churn_dataset!K1453)))</f>
        <v>4</v>
      </c>
      <c r="L1453" s="7" t="n">
        <f aca="false">IF(ISBLANK(customer_churn_dataset!L1453),0,MAX(0,customer_churn_dataset!L1453))</f>
        <v>0</v>
      </c>
      <c r="M1453" s="7" t="n">
        <f aca="false">IF(ISBLANK(customer_churn_dataset!M1453),0,customer_churn_dataset!M1453)</f>
        <v>0</v>
      </c>
      <c r="N1453" s="7" t="n">
        <f aca="false">IF(ISBLANK(customer_churn_dataset!N1453),0,MAX(0,customer_churn_dataset!N1453))</f>
        <v>656.64</v>
      </c>
      <c r="O1453" s="7" t="n">
        <f aca="false">IF(ISBLANK(customer_churn_dataset!O1453),0,customer_churn_dataset!O1453)</f>
        <v>0</v>
      </c>
      <c r="P1453" s="7" t="str">
        <f aca="false">IF(COUNTIF(customer_churn_dataset!$A$2:$A$1501,customer_churn_dataset!A1453)&gt;1,"Duplicate","Unique")</f>
        <v>Unique</v>
      </c>
    </row>
    <row r="1454" customFormat="false" ht="14.15" hidden="false" customHeight="true" outlineLevel="0" collapsed="false">
      <c r="A1454" s="7" t="str">
        <f aca="false">TRIM(customer_churn_dataset!A1454)</f>
        <v>CUST100686</v>
      </c>
      <c r="B1454" s="7" t="str">
        <f aca="false">PROPER(TRIM(customer_churn_dataset!B1454))</f>
        <v>Standard</v>
      </c>
      <c r="C1454" s="7" t="str">
        <f aca="false">PROPER(TRIM(customer_churn_dataset!C1454))</f>
        <v>One Year</v>
      </c>
      <c r="D1454" s="7" t="n">
        <f aca="false">IF(ISBLANK(customer_churn_dataset!D1454),ROUND(MEDIAN(customer_churn_dataset!D$2:D$1501),2),IF(customer_churn_dataset!D1454&lt;0,ABS(customer_churn_dataset!D1454),customer_churn_dataset!D1454))</f>
        <v>21.26</v>
      </c>
      <c r="E1454" s="7" t="n">
        <f aca="false">IF(ISBLANK(customer_churn_dataset!E1454),0,MAX(0,customer_churn_dataset!E1454))</f>
        <v>63</v>
      </c>
      <c r="F1454" s="8" t="n">
        <f aca="false">IF(ISBLANK(customer_churn_dataset!F1454),"",customer_churn_dataset!F1454)</f>
        <v>45772</v>
      </c>
      <c r="G1454" s="7" t="str">
        <f aca="false">PROPER(TRIM(customer_churn_dataset!G1454))</f>
        <v>Manual/Invoice</v>
      </c>
      <c r="H1454" s="7" t="n">
        <f aca="false">IF(ISBLANK(customer_churn_dataset!H1454),0,customer_churn_dataset!H1454)</f>
        <v>1</v>
      </c>
      <c r="I1454" s="7" t="n">
        <f aca="false">IF(ISBLANK(customer_churn_dataset!I1454),ROUND(MEDIAN(customer_churn_dataset!I$2:I$1501),1),MIN(100,MAX(0,customer_churn_dataset!I1454)))</f>
        <v>25.5</v>
      </c>
      <c r="J1454" s="7" t="n">
        <f aca="false">IF(ISBLANK(customer_churn_dataset!J1454),0,MAX(0,customer_churn_dataset!J1454))</f>
        <v>14</v>
      </c>
      <c r="K1454" s="7" t="n">
        <f aca="false">IF(ISBLANK(customer_churn_dataset!K1454),0,MIN(10,MAX(0,customer_churn_dataset!K1454)))</f>
        <v>2</v>
      </c>
      <c r="L1454" s="7" t="n">
        <f aca="false">IF(ISBLANK(customer_churn_dataset!L1454),0,MAX(0,customer_churn_dataset!L1454))</f>
        <v>2</v>
      </c>
      <c r="M1454" s="7" t="n">
        <f aca="false">IF(ISBLANK(customer_churn_dataset!M1454),0,customer_churn_dataset!M1454)</f>
        <v>0</v>
      </c>
      <c r="N1454" s="7" t="n">
        <f aca="false">IF(ISBLANK(customer_churn_dataset!N1454),0,MAX(0,customer_churn_dataset!N1454))</f>
        <v>1339.38</v>
      </c>
      <c r="O1454" s="7" t="n">
        <f aca="false">IF(ISBLANK(customer_churn_dataset!O1454),0,customer_churn_dataset!O1454)</f>
        <v>0</v>
      </c>
      <c r="P1454" s="7" t="str">
        <f aca="false">IF(COUNTIF(customer_churn_dataset!$A$2:$A$1501,customer_churn_dataset!A1454)&gt;1,"Duplicate","Unique")</f>
        <v>Unique</v>
      </c>
    </row>
    <row r="1455" customFormat="false" ht="14.15" hidden="false" customHeight="true" outlineLevel="0" collapsed="false">
      <c r="A1455" s="7" t="str">
        <f aca="false">TRIM(customer_churn_dataset!A1455)</f>
        <v>CUST100107</v>
      </c>
      <c r="B1455" s="7" t="str">
        <f aca="false">PROPER(TRIM(customer_churn_dataset!B1455))</f>
        <v>Standard</v>
      </c>
      <c r="C1455" s="7" t="str">
        <f aca="false">PROPER(TRIM(customer_churn_dataset!C1455))</f>
        <v>One Year</v>
      </c>
      <c r="D1455" s="7" t="n">
        <f aca="false">IF(ISBLANK(customer_churn_dataset!D1455),ROUND(MEDIAN(customer_churn_dataset!D$2:D$1501),2),IF(customer_churn_dataset!D1455&lt;0,ABS(customer_churn_dataset!D1455),customer_churn_dataset!D1455))</f>
        <v>19.09</v>
      </c>
      <c r="E1455" s="7" t="n">
        <f aca="false">IF(ISBLANK(customer_churn_dataset!E1455),0,MAX(0,customer_churn_dataset!E1455))</f>
        <v>27</v>
      </c>
      <c r="F1455" s="8" t="n">
        <f aca="false">IF(ISBLANK(customer_churn_dataset!F1455),"",customer_churn_dataset!F1455)</f>
        <v>45773</v>
      </c>
      <c r="G1455" s="7" t="str">
        <f aca="false">PROPER(TRIM(customer_churn_dataset!G1455))</f>
        <v>Manual/Invoice</v>
      </c>
      <c r="H1455" s="7" t="n">
        <f aca="false">IF(ISBLANK(customer_churn_dataset!H1455),0,customer_churn_dataset!H1455)</f>
        <v>1</v>
      </c>
      <c r="I1455" s="7" t="n">
        <f aca="false">IF(ISBLANK(customer_churn_dataset!I1455),ROUND(MEDIAN(customer_churn_dataset!I$2:I$1501),1),MIN(100,MAX(0,customer_churn_dataset!I1455)))</f>
        <v>72.1</v>
      </c>
      <c r="J1455" s="7" t="n">
        <f aca="false">IF(ISBLANK(customer_churn_dataset!J1455),0,MAX(0,customer_churn_dataset!J1455))</f>
        <v>29</v>
      </c>
      <c r="K1455" s="7" t="n">
        <f aca="false">IF(ISBLANK(customer_churn_dataset!K1455),0,MIN(10,MAX(0,customer_churn_dataset!K1455)))</f>
        <v>8</v>
      </c>
      <c r="L1455" s="7" t="n">
        <f aca="false">IF(ISBLANK(customer_churn_dataset!L1455),0,MAX(0,customer_churn_dataset!L1455))</f>
        <v>3</v>
      </c>
      <c r="M1455" s="7" t="n">
        <f aca="false">IF(ISBLANK(customer_churn_dataset!M1455),0,customer_churn_dataset!M1455)</f>
        <v>1</v>
      </c>
      <c r="N1455" s="7" t="n">
        <f aca="false">IF(ISBLANK(customer_churn_dataset!N1455),0,MAX(0,customer_churn_dataset!N1455))</f>
        <v>515.43</v>
      </c>
      <c r="O1455" s="7" t="n">
        <f aca="false">IF(ISBLANK(customer_churn_dataset!O1455),0,customer_churn_dataset!O1455)</f>
        <v>0</v>
      </c>
      <c r="P1455" s="7" t="str">
        <f aca="false">IF(COUNTIF(customer_churn_dataset!$A$2:$A$1501,customer_churn_dataset!A1455)&gt;1,"Duplicate","Unique")</f>
        <v>Unique</v>
      </c>
    </row>
    <row r="1456" customFormat="false" ht="14.15" hidden="false" customHeight="true" outlineLevel="0" collapsed="false">
      <c r="A1456" s="7" t="str">
        <f aca="false">TRIM(customer_churn_dataset!A1456)</f>
        <v>CUST100935</v>
      </c>
      <c r="B1456" s="7" t="str">
        <f aca="false">PROPER(TRIM(customer_churn_dataset!B1456))</f>
        <v>Basic</v>
      </c>
      <c r="C1456" s="7" t="str">
        <f aca="false">PROPER(TRIM(customer_churn_dataset!C1456))</f>
        <v>Two Year</v>
      </c>
      <c r="D1456" s="7" t="n">
        <f aca="false">IF(ISBLANK(customer_churn_dataset!D1456),ROUND(MEDIAN(customer_churn_dataset!D$2:D$1501),2),IF(customer_churn_dataset!D1456&lt;0,ABS(customer_churn_dataset!D1456),customer_churn_dataset!D1456))</f>
        <v>9.91</v>
      </c>
      <c r="E1456" s="7" t="n">
        <f aca="false">IF(ISBLANK(customer_churn_dataset!E1456),0,MAX(0,customer_churn_dataset!E1456))</f>
        <v>2</v>
      </c>
      <c r="F1456" s="8" t="n">
        <f aca="false">IF(ISBLANK(customer_churn_dataset!F1456),"",customer_churn_dataset!F1456)</f>
        <v>45774</v>
      </c>
      <c r="G1456" s="7" t="str">
        <f aca="false">PROPER(TRIM(customer_churn_dataset!G1456))</f>
        <v>Credit Card</v>
      </c>
      <c r="H1456" s="7" t="n">
        <f aca="false">IF(ISBLANK(customer_churn_dataset!H1456),0,customer_churn_dataset!H1456)</f>
        <v>1</v>
      </c>
      <c r="I1456" s="7" t="n">
        <f aca="false">IF(ISBLANK(customer_churn_dataset!I1456),ROUND(MEDIAN(customer_churn_dataset!I$2:I$1501),1),MIN(100,MAX(0,customer_churn_dataset!I1456)))</f>
        <v>65.3</v>
      </c>
      <c r="J1456" s="7" t="n">
        <f aca="false">IF(ISBLANK(customer_churn_dataset!J1456),0,MAX(0,customer_churn_dataset!J1456))</f>
        <v>15</v>
      </c>
      <c r="K1456" s="7" t="n">
        <f aca="false">IF(ISBLANK(customer_churn_dataset!K1456),0,MIN(10,MAX(0,customer_churn_dataset!K1456)))</f>
        <v>6</v>
      </c>
      <c r="L1456" s="7" t="n">
        <f aca="false">IF(ISBLANK(customer_churn_dataset!L1456),0,MAX(0,customer_churn_dataset!L1456))</f>
        <v>1</v>
      </c>
      <c r="M1456" s="7" t="n">
        <f aca="false">IF(ISBLANK(customer_churn_dataset!M1456),0,customer_churn_dataset!M1456)</f>
        <v>0</v>
      </c>
      <c r="N1456" s="7" t="n">
        <f aca="false">IF(ISBLANK(customer_churn_dataset!N1456),0,MAX(0,customer_churn_dataset!N1456))</f>
        <v>19.82</v>
      </c>
      <c r="O1456" s="7" t="n">
        <f aca="false">IF(ISBLANK(customer_churn_dataset!O1456),0,customer_churn_dataset!O1456)</f>
        <v>1</v>
      </c>
      <c r="P1456" s="7" t="str">
        <f aca="false">IF(COUNTIF(customer_churn_dataset!$A$2:$A$1501,customer_churn_dataset!A1456)&gt;1,"Duplicate","Unique")</f>
        <v>Unique</v>
      </c>
    </row>
    <row r="1457" customFormat="false" ht="14.15" hidden="false" customHeight="true" outlineLevel="0" collapsed="false">
      <c r="A1457" s="7" t="str">
        <f aca="false">TRIM(customer_churn_dataset!A1457)</f>
        <v>CUST101438</v>
      </c>
      <c r="B1457" s="7" t="str">
        <f aca="false">PROPER(TRIM(customer_churn_dataset!B1457))</f>
        <v>Basic</v>
      </c>
      <c r="C1457" s="7" t="str">
        <f aca="false">PROPER(TRIM(customer_churn_dataset!C1457))</f>
        <v>One Year</v>
      </c>
      <c r="D1457" s="7" t="n">
        <f aca="false">IF(ISBLANK(customer_churn_dataset!D1457),ROUND(MEDIAN(customer_churn_dataset!D$2:D$1501),2),IF(customer_churn_dataset!D1457&lt;0,ABS(customer_churn_dataset!D1457),customer_churn_dataset!D1457))</f>
        <v>11.19</v>
      </c>
      <c r="E1457" s="7" t="n">
        <f aca="false">IF(ISBLANK(customer_churn_dataset!E1457),0,MAX(0,customer_churn_dataset!E1457))</f>
        <v>10</v>
      </c>
      <c r="F1457" s="8" t="n">
        <f aca="false">IF(ISBLANK(customer_churn_dataset!F1457),"",customer_churn_dataset!F1457)</f>
        <v>45774</v>
      </c>
      <c r="G1457" s="7" t="str">
        <f aca="false">PROPER(TRIM(customer_churn_dataset!G1457))</f>
        <v>Credit Card</v>
      </c>
      <c r="H1457" s="7" t="n">
        <f aca="false">IF(ISBLANK(customer_churn_dataset!H1457),0,customer_churn_dataset!H1457)</f>
        <v>0</v>
      </c>
      <c r="I1457" s="7" t="n">
        <f aca="false">IF(ISBLANK(customer_churn_dataset!I1457),ROUND(MEDIAN(customer_churn_dataset!I$2:I$1501),1),MIN(100,MAX(0,customer_churn_dataset!I1457)))</f>
        <v>83.7</v>
      </c>
      <c r="J1457" s="7" t="n">
        <f aca="false">IF(ISBLANK(customer_churn_dataset!J1457),0,MAX(0,customer_churn_dataset!J1457))</f>
        <v>23</v>
      </c>
      <c r="K1457" s="7" t="n">
        <f aca="false">IF(ISBLANK(customer_churn_dataset!K1457),0,MIN(10,MAX(0,customer_churn_dataset!K1457)))</f>
        <v>8</v>
      </c>
      <c r="L1457" s="7" t="n">
        <f aca="false">IF(ISBLANK(customer_churn_dataset!L1457),0,MAX(0,customer_churn_dataset!L1457))</f>
        <v>4</v>
      </c>
      <c r="M1457" s="7" t="n">
        <f aca="false">IF(ISBLANK(customer_churn_dataset!M1457),0,customer_churn_dataset!M1457)</f>
        <v>0</v>
      </c>
      <c r="N1457" s="7" t="n">
        <f aca="false">IF(ISBLANK(customer_churn_dataset!N1457),0,MAX(0,customer_churn_dataset!N1457))</f>
        <v>111.9</v>
      </c>
      <c r="O1457" s="7" t="n">
        <f aca="false">IF(ISBLANK(customer_churn_dataset!O1457),0,customer_churn_dataset!O1457)</f>
        <v>0</v>
      </c>
      <c r="P1457" s="7" t="str">
        <f aca="false">IF(COUNTIF(customer_churn_dataset!$A$2:$A$1501,customer_churn_dataset!A1457)&gt;1,"Duplicate","Unique")</f>
        <v>Unique</v>
      </c>
    </row>
    <row r="1458" customFormat="false" ht="14.15" hidden="false" customHeight="true" outlineLevel="0" collapsed="false">
      <c r="A1458" s="7" t="str">
        <f aca="false">TRIM(customer_churn_dataset!A1458)</f>
        <v>CUST100054</v>
      </c>
      <c r="B1458" s="7" t="str">
        <f aca="false">PROPER(TRIM(customer_churn_dataset!B1458))</f>
        <v>Standard</v>
      </c>
      <c r="C1458" s="7" t="str">
        <f aca="false">PROPER(TRIM(customer_churn_dataset!C1458))</f>
        <v>One Year</v>
      </c>
      <c r="D1458" s="7" t="n">
        <f aca="false">IF(ISBLANK(customer_churn_dataset!D1458),ROUND(MEDIAN(customer_churn_dataset!D$2:D$1501),2),IF(customer_churn_dataset!D1458&lt;0,ABS(customer_churn_dataset!D1458),customer_churn_dataset!D1458))</f>
        <v>19.7</v>
      </c>
      <c r="E1458" s="7" t="n">
        <f aca="false">IF(ISBLANK(customer_churn_dataset!E1458),0,MAX(0,customer_churn_dataset!E1458))</f>
        <v>66</v>
      </c>
      <c r="F1458" s="8" t="n">
        <f aca="false">IF(ISBLANK(customer_churn_dataset!F1458),"",customer_churn_dataset!F1458)</f>
        <v>45775</v>
      </c>
      <c r="G1458" s="7" t="str">
        <f aca="false">PROPER(TRIM(customer_churn_dataset!G1458))</f>
        <v>Manual/Invoice</v>
      </c>
      <c r="H1458" s="7" t="n">
        <f aca="false">IF(ISBLANK(customer_churn_dataset!H1458),0,customer_churn_dataset!H1458)</f>
        <v>0</v>
      </c>
      <c r="I1458" s="7" t="n">
        <f aca="false">IF(ISBLANK(customer_churn_dataset!I1458),ROUND(MEDIAN(customer_churn_dataset!I$2:I$1501),1),MIN(100,MAX(0,customer_churn_dataset!I1458)))</f>
        <v>47.3</v>
      </c>
      <c r="J1458" s="7" t="n">
        <f aca="false">IF(ISBLANK(customer_churn_dataset!J1458),0,MAX(0,customer_churn_dataset!J1458))</f>
        <v>14</v>
      </c>
      <c r="K1458" s="7" t="n">
        <f aca="false">IF(ISBLANK(customer_churn_dataset!K1458),0,MIN(10,MAX(0,customer_churn_dataset!K1458)))</f>
        <v>5</v>
      </c>
      <c r="L1458" s="7" t="n">
        <f aca="false">IF(ISBLANK(customer_churn_dataset!L1458),0,MAX(0,customer_churn_dataset!L1458))</f>
        <v>0</v>
      </c>
      <c r="M1458" s="7" t="n">
        <f aca="false">IF(ISBLANK(customer_churn_dataset!M1458),0,customer_churn_dataset!M1458)</f>
        <v>0</v>
      </c>
      <c r="N1458" s="7" t="n">
        <f aca="false">IF(ISBLANK(customer_churn_dataset!N1458),0,MAX(0,customer_churn_dataset!N1458))</f>
        <v>1300.2</v>
      </c>
      <c r="O1458" s="7" t="n">
        <f aca="false">IF(ISBLANK(customer_churn_dataset!O1458),0,customer_churn_dataset!O1458)</f>
        <v>0</v>
      </c>
      <c r="P1458" s="7" t="str">
        <f aca="false">IF(COUNTIF(customer_churn_dataset!$A$2:$A$1501,customer_churn_dataset!A1458)&gt;1,"Duplicate","Unique")</f>
        <v>Unique</v>
      </c>
    </row>
    <row r="1459" customFormat="false" ht="14.15" hidden="false" customHeight="true" outlineLevel="0" collapsed="false">
      <c r="A1459" s="7" t="str">
        <f aca="false">TRIM(customer_churn_dataset!A1459)</f>
        <v>CUST100365</v>
      </c>
      <c r="B1459" s="7" t="str">
        <f aca="false">PROPER(TRIM(customer_churn_dataset!B1459))</f>
        <v>Basic</v>
      </c>
      <c r="C1459" s="7" t="str">
        <f aca="false">PROPER(TRIM(customer_churn_dataset!C1459))</f>
        <v>Two Year</v>
      </c>
      <c r="D1459" s="7" t="n">
        <f aca="false">IF(ISBLANK(customer_churn_dataset!D1459),ROUND(MEDIAN(customer_churn_dataset!D$2:D$1501),2),IF(customer_churn_dataset!D1459&lt;0,ABS(customer_churn_dataset!D1459),customer_churn_dataset!D1459))</f>
        <v>11.08</v>
      </c>
      <c r="E1459" s="7" t="n">
        <f aca="false">IF(ISBLANK(customer_churn_dataset!E1459),0,MAX(0,customer_churn_dataset!E1459))</f>
        <v>11</v>
      </c>
      <c r="F1459" s="8" t="n">
        <f aca="false">IF(ISBLANK(customer_churn_dataset!F1459),"",customer_churn_dataset!F1459)</f>
        <v>45775</v>
      </c>
      <c r="G1459" s="7" t="str">
        <f aca="false">PROPER(TRIM(customer_churn_dataset!G1459))</f>
        <v>Credit Card</v>
      </c>
      <c r="H1459" s="7" t="n">
        <f aca="false">IF(ISBLANK(customer_churn_dataset!H1459),0,customer_churn_dataset!H1459)</f>
        <v>0</v>
      </c>
      <c r="I1459" s="7" t="n">
        <f aca="false">IF(ISBLANK(customer_churn_dataset!I1459),ROUND(MEDIAN(customer_churn_dataset!I$2:I$1501),1),MIN(100,MAX(0,customer_churn_dataset!I1459)))</f>
        <v>69.1</v>
      </c>
      <c r="J1459" s="7" t="n">
        <f aca="false">IF(ISBLANK(customer_churn_dataset!J1459),0,MAX(0,customer_churn_dataset!J1459))</f>
        <v>21</v>
      </c>
      <c r="K1459" s="7" t="n">
        <f aca="false">IF(ISBLANK(customer_churn_dataset!K1459),0,MIN(10,MAX(0,customer_churn_dataset!K1459)))</f>
        <v>7</v>
      </c>
      <c r="L1459" s="7" t="n">
        <f aca="false">IF(ISBLANK(customer_churn_dataset!L1459),0,MAX(0,customer_churn_dataset!L1459))</f>
        <v>0</v>
      </c>
      <c r="M1459" s="7" t="n">
        <f aca="false">IF(ISBLANK(customer_churn_dataset!M1459),0,customer_churn_dataset!M1459)</f>
        <v>0</v>
      </c>
      <c r="N1459" s="7" t="n">
        <f aca="false">IF(ISBLANK(customer_churn_dataset!N1459),0,MAX(0,customer_churn_dataset!N1459))</f>
        <v>121.88</v>
      </c>
      <c r="O1459" s="7" t="n">
        <f aca="false">IF(ISBLANK(customer_churn_dataset!O1459),0,customer_churn_dataset!O1459)</f>
        <v>0</v>
      </c>
      <c r="P1459" s="7" t="str">
        <f aca="false">IF(COUNTIF(customer_churn_dataset!$A$2:$A$1501,customer_churn_dataset!A1459)&gt;1,"Duplicate","Unique")</f>
        <v>Unique</v>
      </c>
    </row>
    <row r="1460" customFormat="false" ht="14.15" hidden="false" customHeight="true" outlineLevel="0" collapsed="false">
      <c r="A1460" s="7" t="str">
        <f aca="false">TRIM(customer_churn_dataset!A1460)</f>
        <v>CUST100497</v>
      </c>
      <c r="B1460" s="7" t="str">
        <f aca="false">PROPER(TRIM(customer_churn_dataset!B1460))</f>
        <v>Basic</v>
      </c>
      <c r="C1460" s="7" t="str">
        <f aca="false">PROPER(TRIM(customer_churn_dataset!C1460))</f>
        <v>Month-To-Month</v>
      </c>
      <c r="D1460" s="7" t="n">
        <f aca="false">IF(ISBLANK(customer_churn_dataset!D1460),ROUND(MEDIAN(customer_churn_dataset!D$2:D$1501),2),IF(customer_churn_dataset!D1460&lt;0,ABS(customer_churn_dataset!D1460),customer_churn_dataset!D1460))</f>
        <v>11.31</v>
      </c>
      <c r="E1460" s="7" t="n">
        <f aca="false">IF(ISBLANK(customer_churn_dataset!E1460),0,MAX(0,customer_churn_dataset!E1460))</f>
        <v>26</v>
      </c>
      <c r="F1460" s="8" t="n">
        <f aca="false">IF(ISBLANK(customer_churn_dataset!F1460),"",customer_churn_dataset!F1460)</f>
        <v>45776</v>
      </c>
      <c r="G1460" s="7" t="str">
        <f aca="false">PROPER(TRIM(customer_churn_dataset!G1460))</f>
        <v>Credit Card</v>
      </c>
      <c r="H1460" s="7" t="n">
        <f aca="false">IF(ISBLANK(customer_churn_dataset!H1460),0,customer_churn_dataset!H1460)</f>
        <v>0</v>
      </c>
      <c r="I1460" s="7" t="n">
        <f aca="false">IF(ISBLANK(customer_churn_dataset!I1460),ROUND(MEDIAN(customer_churn_dataset!I$2:I$1501),1),MIN(100,MAX(0,customer_churn_dataset!I1460)))</f>
        <v>77.5</v>
      </c>
      <c r="J1460" s="7" t="n">
        <f aca="false">IF(ISBLANK(customer_churn_dataset!J1460),0,MAX(0,customer_churn_dataset!J1460))</f>
        <v>32</v>
      </c>
      <c r="K1460" s="7" t="n">
        <f aca="false">IF(ISBLANK(customer_churn_dataset!K1460),0,MIN(10,MAX(0,customer_churn_dataset!K1460)))</f>
        <v>9</v>
      </c>
      <c r="L1460" s="7" t="n">
        <f aca="false">IF(ISBLANK(customer_churn_dataset!L1460),0,MAX(0,customer_churn_dataset!L1460))</f>
        <v>3</v>
      </c>
      <c r="M1460" s="7" t="n">
        <f aca="false">IF(ISBLANK(customer_churn_dataset!M1460),0,customer_churn_dataset!M1460)</f>
        <v>0</v>
      </c>
      <c r="N1460" s="7" t="n">
        <f aca="false">IF(ISBLANK(customer_churn_dataset!N1460),0,MAX(0,customer_churn_dataset!N1460))</f>
        <v>294.06</v>
      </c>
      <c r="O1460" s="7" t="n">
        <f aca="false">IF(ISBLANK(customer_churn_dataset!O1460),0,customer_churn_dataset!O1460)</f>
        <v>0</v>
      </c>
      <c r="P1460" s="7" t="str">
        <f aca="false">IF(COUNTIF(customer_churn_dataset!$A$2:$A$1501,customer_churn_dataset!A1460)&gt;1,"Duplicate","Unique")</f>
        <v>Unique</v>
      </c>
    </row>
    <row r="1461" customFormat="false" ht="14.15" hidden="false" customHeight="true" outlineLevel="0" collapsed="false">
      <c r="A1461" s="7" t="str">
        <f aca="false">TRIM(customer_churn_dataset!A1461)</f>
        <v>CUST100138</v>
      </c>
      <c r="B1461" s="7" t="str">
        <f aca="false">PROPER(TRIM(customer_churn_dataset!B1461))</f>
        <v>Basic</v>
      </c>
      <c r="C1461" s="7" t="str">
        <f aca="false">PROPER(TRIM(customer_churn_dataset!C1461))</f>
        <v>Two Year</v>
      </c>
      <c r="D1461" s="7" t="n">
        <f aca="false">IF(ISBLANK(customer_churn_dataset!D1461),ROUND(MEDIAN(customer_churn_dataset!D$2:D$1501),2),IF(customer_churn_dataset!D1461&lt;0,ABS(customer_churn_dataset!D1461),customer_churn_dataset!D1461))</f>
        <v>10.26</v>
      </c>
      <c r="E1461" s="7" t="n">
        <f aca="false">IF(ISBLANK(customer_churn_dataset!E1461),0,MAX(0,customer_churn_dataset!E1461))</f>
        <v>44</v>
      </c>
      <c r="F1461" s="8" t="n">
        <f aca="false">IF(ISBLANK(customer_churn_dataset!F1461),"",customer_churn_dataset!F1461)</f>
        <v>45778</v>
      </c>
      <c r="G1461" s="7" t="str">
        <f aca="false">PROPER(TRIM(customer_churn_dataset!G1461))</f>
        <v>Credit Card</v>
      </c>
      <c r="H1461" s="7" t="n">
        <f aca="false">IF(ISBLANK(customer_churn_dataset!H1461),0,customer_churn_dataset!H1461)</f>
        <v>1</v>
      </c>
      <c r="I1461" s="7" t="n">
        <f aca="false">IF(ISBLANK(customer_churn_dataset!I1461),ROUND(MEDIAN(customer_churn_dataset!I$2:I$1501),1),MIN(100,MAX(0,customer_churn_dataset!I1461)))</f>
        <v>57.8</v>
      </c>
      <c r="J1461" s="7" t="n">
        <f aca="false">IF(ISBLANK(customer_churn_dataset!J1461),0,MAX(0,customer_churn_dataset!J1461))</f>
        <v>16</v>
      </c>
      <c r="K1461" s="7" t="n">
        <f aca="false">IF(ISBLANK(customer_churn_dataset!K1461),0,MIN(10,MAX(0,customer_churn_dataset!K1461)))</f>
        <v>6</v>
      </c>
      <c r="L1461" s="7" t="n">
        <f aca="false">IF(ISBLANK(customer_churn_dataset!L1461),0,MAX(0,customer_churn_dataset!L1461))</f>
        <v>1</v>
      </c>
      <c r="M1461" s="7" t="n">
        <f aca="false">IF(ISBLANK(customer_churn_dataset!M1461),0,customer_churn_dataset!M1461)</f>
        <v>1</v>
      </c>
      <c r="N1461" s="7" t="n">
        <f aca="false">IF(ISBLANK(customer_churn_dataset!N1461),0,MAX(0,customer_churn_dataset!N1461))</f>
        <v>451.44</v>
      </c>
      <c r="O1461" s="7" t="n">
        <f aca="false">IF(ISBLANK(customer_churn_dataset!O1461),0,customer_churn_dataset!O1461)</f>
        <v>0</v>
      </c>
      <c r="P1461" s="7" t="str">
        <f aca="false">IF(COUNTIF(customer_churn_dataset!$A$2:$A$1501,customer_churn_dataset!A1461)&gt;1,"Duplicate","Unique")</f>
        <v>Unique</v>
      </c>
    </row>
    <row r="1462" customFormat="false" ht="14.15" hidden="false" customHeight="true" outlineLevel="0" collapsed="false">
      <c r="A1462" s="7" t="str">
        <f aca="false">TRIM(customer_churn_dataset!A1462)</f>
        <v>CUST101154</v>
      </c>
      <c r="B1462" s="7" t="str">
        <f aca="false">PROPER(TRIM(customer_churn_dataset!B1462))</f>
        <v>Standard</v>
      </c>
      <c r="C1462" s="7" t="str">
        <f aca="false">PROPER(TRIM(customer_churn_dataset!C1462))</f>
        <v>Two Year</v>
      </c>
      <c r="D1462" s="7" t="n">
        <f aca="false">IF(ISBLANK(customer_churn_dataset!D1462),ROUND(MEDIAN(customer_churn_dataset!D$2:D$1501),2),IF(customer_churn_dataset!D1462&lt;0,ABS(customer_churn_dataset!D1462),customer_churn_dataset!D1462))</f>
        <v>20.66</v>
      </c>
      <c r="E1462" s="7" t="n">
        <f aca="false">IF(ISBLANK(customer_churn_dataset!E1462),0,MAX(0,customer_churn_dataset!E1462))</f>
        <v>11</v>
      </c>
      <c r="F1462" s="8" t="n">
        <f aca="false">IF(ISBLANK(customer_churn_dataset!F1462),"",customer_churn_dataset!F1462)</f>
        <v>45780</v>
      </c>
      <c r="G1462" s="7" t="str">
        <f aca="false">PROPER(TRIM(customer_churn_dataset!G1462))</f>
        <v>Credit Card</v>
      </c>
      <c r="H1462" s="7" t="n">
        <f aca="false">IF(ISBLANK(customer_churn_dataset!H1462),0,customer_churn_dataset!H1462)</f>
        <v>1</v>
      </c>
      <c r="I1462" s="7" t="n">
        <f aca="false">IF(ISBLANK(customer_churn_dataset!I1462),ROUND(MEDIAN(customer_churn_dataset!I$2:I$1501),1),MIN(100,MAX(0,customer_churn_dataset!I1462)))</f>
        <v>81.2</v>
      </c>
      <c r="J1462" s="7" t="n">
        <f aca="false">IF(ISBLANK(customer_churn_dataset!J1462),0,MAX(0,customer_churn_dataset!J1462))</f>
        <v>24</v>
      </c>
      <c r="K1462" s="7" t="n">
        <f aca="false">IF(ISBLANK(customer_churn_dataset!K1462),0,MIN(10,MAX(0,customer_churn_dataset!K1462)))</f>
        <v>9</v>
      </c>
      <c r="L1462" s="7" t="n">
        <f aca="false">IF(ISBLANK(customer_churn_dataset!L1462),0,MAX(0,customer_churn_dataset!L1462))</f>
        <v>1</v>
      </c>
      <c r="M1462" s="7" t="n">
        <f aca="false">IF(ISBLANK(customer_churn_dataset!M1462),0,customer_churn_dataset!M1462)</f>
        <v>1</v>
      </c>
      <c r="N1462" s="7" t="n">
        <f aca="false">IF(ISBLANK(customer_churn_dataset!N1462),0,MAX(0,customer_churn_dataset!N1462))</f>
        <v>227.26</v>
      </c>
      <c r="O1462" s="7" t="n">
        <f aca="false">IF(ISBLANK(customer_churn_dataset!O1462),0,customer_churn_dataset!O1462)</f>
        <v>0</v>
      </c>
      <c r="P1462" s="7" t="str">
        <f aca="false">IF(COUNTIF(customer_churn_dataset!$A$2:$A$1501,customer_churn_dataset!A1462)&gt;1,"Duplicate","Unique")</f>
        <v>Unique</v>
      </c>
    </row>
    <row r="1463" customFormat="false" ht="14.15" hidden="false" customHeight="true" outlineLevel="0" collapsed="false">
      <c r="A1463" s="7" t="str">
        <f aca="false">TRIM(customer_churn_dataset!A1463)</f>
        <v>CUST101422</v>
      </c>
      <c r="B1463" s="7" t="str">
        <f aca="false">PROPER(TRIM(customer_churn_dataset!B1463))</f>
        <v>Basic</v>
      </c>
      <c r="C1463" s="7" t="str">
        <f aca="false">PROPER(TRIM(customer_churn_dataset!C1463))</f>
        <v>Month-To-Month</v>
      </c>
      <c r="D1463" s="7" t="n">
        <f aca="false">IF(ISBLANK(customer_churn_dataset!D1463),ROUND(MEDIAN(customer_churn_dataset!D$2:D$1501),2),IF(customer_churn_dataset!D1463&lt;0,ABS(customer_churn_dataset!D1463),customer_churn_dataset!D1463))</f>
        <v>9.94</v>
      </c>
      <c r="E1463" s="7" t="n">
        <f aca="false">IF(ISBLANK(customer_churn_dataset!E1463),0,MAX(0,customer_churn_dataset!E1463))</f>
        <v>72</v>
      </c>
      <c r="F1463" s="8" t="n">
        <f aca="false">IF(ISBLANK(customer_churn_dataset!F1463),"",customer_churn_dataset!F1463)</f>
        <v>45781</v>
      </c>
      <c r="G1463" s="7" t="str">
        <f aca="false">PROPER(TRIM(customer_churn_dataset!G1463))</f>
        <v>Credit Card</v>
      </c>
      <c r="H1463" s="7" t="n">
        <f aca="false">IF(ISBLANK(customer_churn_dataset!H1463),0,customer_churn_dataset!H1463)</f>
        <v>1</v>
      </c>
      <c r="I1463" s="7" t="n">
        <f aca="false">IF(ISBLANK(customer_churn_dataset!I1463),ROUND(MEDIAN(customer_churn_dataset!I$2:I$1501),1),MIN(100,MAX(0,customer_churn_dataset!I1463)))</f>
        <v>38.9</v>
      </c>
      <c r="J1463" s="7" t="n">
        <f aca="false">IF(ISBLANK(customer_churn_dataset!J1463),0,MAX(0,customer_churn_dataset!J1463))</f>
        <v>14</v>
      </c>
      <c r="K1463" s="7" t="n">
        <f aca="false">IF(ISBLANK(customer_churn_dataset!K1463),0,MIN(10,MAX(0,customer_churn_dataset!K1463)))</f>
        <v>5</v>
      </c>
      <c r="L1463" s="7" t="n">
        <f aca="false">IF(ISBLANK(customer_churn_dataset!L1463),0,MAX(0,customer_churn_dataset!L1463))</f>
        <v>0</v>
      </c>
      <c r="M1463" s="7" t="n">
        <f aca="false">IF(ISBLANK(customer_churn_dataset!M1463),0,customer_churn_dataset!M1463)</f>
        <v>0</v>
      </c>
      <c r="N1463" s="7" t="n">
        <f aca="false">IF(ISBLANK(customer_churn_dataset!N1463),0,MAX(0,customer_churn_dataset!N1463))</f>
        <v>715.68</v>
      </c>
      <c r="O1463" s="7" t="n">
        <f aca="false">IF(ISBLANK(customer_churn_dataset!O1463),0,customer_churn_dataset!O1463)</f>
        <v>0</v>
      </c>
      <c r="P1463" s="7" t="str">
        <f aca="false">IF(COUNTIF(customer_churn_dataset!$A$2:$A$1501,customer_churn_dataset!A1463)&gt;1,"Duplicate","Unique")</f>
        <v>Unique</v>
      </c>
    </row>
    <row r="1464" customFormat="false" ht="14.15" hidden="false" customHeight="true" outlineLevel="0" collapsed="false">
      <c r="A1464" s="7" t="str">
        <f aca="false">TRIM(customer_churn_dataset!A1464)</f>
        <v>CUST100604</v>
      </c>
      <c r="B1464" s="7" t="str">
        <f aca="false">PROPER(TRIM(customer_churn_dataset!B1464))</f>
        <v>Basic</v>
      </c>
      <c r="C1464" s="7" t="str">
        <f aca="false">PROPER(TRIM(customer_churn_dataset!C1464))</f>
        <v>Two Year</v>
      </c>
      <c r="D1464" s="7" t="n">
        <f aca="false">IF(ISBLANK(customer_churn_dataset!D1464),ROUND(MEDIAN(customer_churn_dataset!D$2:D$1501),2),IF(customer_churn_dataset!D1464&lt;0,ABS(customer_churn_dataset!D1464),customer_churn_dataset!D1464))</f>
        <v>9.74</v>
      </c>
      <c r="E1464" s="7" t="n">
        <f aca="false">IF(ISBLANK(customer_churn_dataset!E1464),0,MAX(0,customer_churn_dataset!E1464))</f>
        <v>25</v>
      </c>
      <c r="F1464" s="8" t="n">
        <f aca="false">IF(ISBLANK(customer_churn_dataset!F1464),"",customer_churn_dataset!F1464)</f>
        <v>45783</v>
      </c>
      <c r="G1464" s="7" t="str">
        <f aca="false">PROPER(TRIM(customer_churn_dataset!G1464))</f>
        <v>Credit Card</v>
      </c>
      <c r="H1464" s="7" t="n">
        <f aca="false">IF(ISBLANK(customer_churn_dataset!H1464),0,customer_churn_dataset!H1464)</f>
        <v>1</v>
      </c>
      <c r="I1464" s="7" t="n">
        <f aca="false">IF(ISBLANK(customer_churn_dataset!I1464),ROUND(MEDIAN(customer_churn_dataset!I$2:I$1501),1),MIN(100,MAX(0,customer_churn_dataset!I1464)))</f>
        <v>37.7</v>
      </c>
      <c r="J1464" s="7" t="n">
        <f aca="false">IF(ISBLANK(customer_churn_dataset!J1464),0,MAX(0,customer_churn_dataset!J1464))</f>
        <v>15</v>
      </c>
      <c r="K1464" s="7" t="n">
        <f aca="false">IF(ISBLANK(customer_churn_dataset!K1464),0,MIN(10,MAX(0,customer_churn_dataset!K1464)))</f>
        <v>5</v>
      </c>
      <c r="L1464" s="7" t="n">
        <f aca="false">IF(ISBLANK(customer_churn_dataset!L1464),0,MAX(0,customer_churn_dataset!L1464))</f>
        <v>0</v>
      </c>
      <c r="M1464" s="7" t="n">
        <f aca="false">IF(ISBLANK(customer_churn_dataset!M1464),0,customer_churn_dataset!M1464)</f>
        <v>0</v>
      </c>
      <c r="N1464" s="7" t="n">
        <f aca="false">IF(ISBLANK(customer_churn_dataset!N1464),0,MAX(0,customer_churn_dataset!N1464))</f>
        <v>243.5</v>
      </c>
      <c r="O1464" s="7" t="n">
        <f aca="false">IF(ISBLANK(customer_churn_dataset!O1464),0,customer_churn_dataset!O1464)</f>
        <v>0</v>
      </c>
      <c r="P1464" s="7" t="str">
        <f aca="false">IF(COUNTIF(customer_churn_dataset!$A$2:$A$1501,customer_churn_dataset!A1464)&gt;1,"Duplicate","Unique")</f>
        <v>Unique</v>
      </c>
    </row>
    <row r="1465" customFormat="false" ht="14.15" hidden="false" customHeight="true" outlineLevel="0" collapsed="false">
      <c r="A1465" s="7" t="str">
        <f aca="false">TRIM(customer_churn_dataset!A1465)</f>
        <v>CUST101278</v>
      </c>
      <c r="B1465" s="7" t="str">
        <f aca="false">PROPER(TRIM(customer_churn_dataset!B1465))</f>
        <v>Basic</v>
      </c>
      <c r="C1465" s="7" t="str">
        <f aca="false">PROPER(TRIM(customer_churn_dataset!C1465))</f>
        <v>One Year</v>
      </c>
      <c r="D1465" s="7" t="n">
        <f aca="false">IF(ISBLANK(customer_churn_dataset!D1465),ROUND(MEDIAN(customer_churn_dataset!D$2:D$1501),2),IF(customer_churn_dataset!D1465&lt;0,ABS(customer_churn_dataset!D1465),customer_churn_dataset!D1465))</f>
        <v>9.55</v>
      </c>
      <c r="E1465" s="7" t="n">
        <f aca="false">IF(ISBLANK(customer_churn_dataset!E1465),0,MAX(0,customer_churn_dataset!E1465))</f>
        <v>33</v>
      </c>
      <c r="F1465" s="8" t="n">
        <f aca="false">IF(ISBLANK(customer_churn_dataset!F1465),"",customer_churn_dataset!F1465)</f>
        <v>45783</v>
      </c>
      <c r="G1465" s="7" t="str">
        <f aca="false">PROPER(TRIM(customer_churn_dataset!G1465))</f>
        <v>Credit Card</v>
      </c>
      <c r="H1465" s="7" t="n">
        <f aca="false">IF(ISBLANK(customer_churn_dataset!H1465),0,customer_churn_dataset!H1465)</f>
        <v>1</v>
      </c>
      <c r="I1465" s="7" t="n">
        <f aca="false">IF(ISBLANK(customer_churn_dataset!I1465),ROUND(MEDIAN(customer_churn_dataset!I$2:I$1501),1),MIN(100,MAX(0,customer_churn_dataset!I1465)))</f>
        <v>93.4</v>
      </c>
      <c r="J1465" s="7" t="n">
        <f aca="false">IF(ISBLANK(customer_churn_dataset!J1465),0,MAX(0,customer_churn_dataset!J1465))</f>
        <v>31</v>
      </c>
      <c r="K1465" s="7" t="n">
        <f aca="false">IF(ISBLANK(customer_churn_dataset!K1465),0,MIN(10,MAX(0,customer_churn_dataset!K1465)))</f>
        <v>10</v>
      </c>
      <c r="L1465" s="7" t="n">
        <f aca="false">IF(ISBLANK(customer_churn_dataset!L1465),0,MAX(0,customer_churn_dataset!L1465))</f>
        <v>1</v>
      </c>
      <c r="M1465" s="7" t="n">
        <f aca="false">IF(ISBLANK(customer_churn_dataset!M1465),0,customer_churn_dataset!M1465)</f>
        <v>0</v>
      </c>
      <c r="N1465" s="7" t="n">
        <f aca="false">IF(ISBLANK(customer_churn_dataset!N1465),0,MAX(0,customer_churn_dataset!N1465))</f>
        <v>315.15</v>
      </c>
      <c r="O1465" s="7" t="n">
        <f aca="false">IF(ISBLANK(customer_churn_dataset!O1465),0,customer_churn_dataset!O1465)</f>
        <v>0</v>
      </c>
      <c r="P1465" s="7" t="str">
        <f aca="false">IF(COUNTIF(customer_churn_dataset!$A$2:$A$1501,customer_churn_dataset!A1465)&gt;1,"Duplicate","Unique")</f>
        <v>Unique</v>
      </c>
    </row>
    <row r="1466" customFormat="false" ht="14.15" hidden="false" customHeight="true" outlineLevel="0" collapsed="false">
      <c r="A1466" s="7" t="str">
        <f aca="false">TRIM(customer_churn_dataset!A1466)</f>
        <v>CUST101388</v>
      </c>
      <c r="B1466" s="7" t="str">
        <f aca="false">PROPER(TRIM(customer_churn_dataset!B1466))</f>
        <v>Premium</v>
      </c>
      <c r="C1466" s="7" t="str">
        <f aca="false">PROPER(TRIM(customer_churn_dataset!C1466))</f>
        <v>Two Year</v>
      </c>
      <c r="D1466" s="7" t="n">
        <f aca="false">IF(ISBLANK(customer_churn_dataset!D1466),ROUND(MEDIAN(customer_churn_dataset!D$2:D$1501),2),IF(customer_churn_dataset!D1466&lt;0,ABS(customer_churn_dataset!D1466),customer_churn_dataset!D1466))</f>
        <v>41.01</v>
      </c>
      <c r="E1466" s="7" t="n">
        <f aca="false">IF(ISBLANK(customer_churn_dataset!E1466),0,MAX(0,customer_churn_dataset!E1466))</f>
        <v>11</v>
      </c>
      <c r="F1466" s="8" t="n">
        <f aca="false">IF(ISBLANK(customer_churn_dataset!F1466),"",customer_churn_dataset!F1466)</f>
        <v>45783</v>
      </c>
      <c r="G1466" s="7" t="str">
        <f aca="false">PROPER(TRIM(customer_churn_dataset!G1466))</f>
        <v>Credit Card</v>
      </c>
      <c r="H1466" s="7" t="n">
        <f aca="false">IF(ISBLANK(customer_churn_dataset!H1466),0,customer_churn_dataset!H1466)</f>
        <v>0</v>
      </c>
      <c r="I1466" s="7" t="n">
        <f aca="false">IF(ISBLANK(customer_churn_dataset!I1466),ROUND(MEDIAN(customer_churn_dataset!I$2:I$1501),1),MIN(100,MAX(0,customer_churn_dataset!I1466)))</f>
        <v>62.9</v>
      </c>
      <c r="J1466" s="7" t="n">
        <f aca="false">IF(ISBLANK(customer_churn_dataset!J1466),0,MAX(0,customer_churn_dataset!J1466))</f>
        <v>18</v>
      </c>
      <c r="K1466" s="7" t="n">
        <f aca="false">IF(ISBLANK(customer_churn_dataset!K1466),0,MIN(10,MAX(0,customer_churn_dataset!K1466)))</f>
        <v>7</v>
      </c>
      <c r="L1466" s="7" t="n">
        <f aca="false">IF(ISBLANK(customer_churn_dataset!L1466),0,MAX(0,customer_churn_dataset!L1466))</f>
        <v>0</v>
      </c>
      <c r="M1466" s="7" t="n">
        <f aca="false">IF(ISBLANK(customer_churn_dataset!M1466),0,customer_churn_dataset!M1466)</f>
        <v>0</v>
      </c>
      <c r="N1466" s="7" t="n">
        <f aca="false">IF(ISBLANK(customer_churn_dataset!N1466),0,MAX(0,customer_churn_dataset!N1466))</f>
        <v>451.11</v>
      </c>
      <c r="O1466" s="7" t="n">
        <f aca="false">IF(ISBLANK(customer_churn_dataset!O1466),0,customer_churn_dataset!O1466)</f>
        <v>0</v>
      </c>
      <c r="P1466" s="7" t="str">
        <f aca="false">IF(COUNTIF(customer_churn_dataset!$A$2:$A$1501,customer_churn_dataset!A1466)&gt;1,"Duplicate","Unique")</f>
        <v>Unique</v>
      </c>
    </row>
    <row r="1467" customFormat="false" ht="14.15" hidden="false" customHeight="true" outlineLevel="0" collapsed="false">
      <c r="A1467" s="7" t="str">
        <f aca="false">TRIM(customer_churn_dataset!A1467)</f>
        <v>CUST100552</v>
      </c>
      <c r="B1467" s="7" t="str">
        <f aca="false">PROPER(TRIM(customer_churn_dataset!B1467))</f>
        <v>Standard</v>
      </c>
      <c r="C1467" s="7" t="str">
        <f aca="false">PROPER(TRIM(customer_churn_dataset!C1467))</f>
        <v>One Year</v>
      </c>
      <c r="D1467" s="7" t="n">
        <f aca="false">IF(ISBLANK(customer_churn_dataset!D1467),ROUND(MEDIAN(customer_churn_dataset!D$2:D$1501),2),IF(customer_churn_dataset!D1467&lt;0,ABS(customer_churn_dataset!D1467),customer_churn_dataset!D1467))</f>
        <v>17.82</v>
      </c>
      <c r="E1467" s="7" t="n">
        <f aca="false">IF(ISBLANK(customer_churn_dataset!E1467),0,MAX(0,customer_churn_dataset!E1467))</f>
        <v>14</v>
      </c>
      <c r="F1467" s="8" t="n">
        <f aca="false">IF(ISBLANK(customer_churn_dataset!F1467),"",customer_churn_dataset!F1467)</f>
        <v>45787</v>
      </c>
      <c r="G1467" s="7" t="str">
        <f aca="false">PROPER(TRIM(customer_churn_dataset!G1467))</f>
        <v>Paypal</v>
      </c>
      <c r="H1467" s="7" t="n">
        <f aca="false">IF(ISBLANK(customer_churn_dataset!H1467),0,customer_churn_dataset!H1467)</f>
        <v>1</v>
      </c>
      <c r="I1467" s="7" t="n">
        <f aca="false">IF(ISBLANK(customer_churn_dataset!I1467),ROUND(MEDIAN(customer_churn_dataset!I$2:I$1501),1),MIN(100,MAX(0,customer_churn_dataset!I1467)))</f>
        <v>49.7</v>
      </c>
      <c r="J1467" s="7" t="n">
        <f aca="false">IF(ISBLANK(customer_churn_dataset!J1467),0,MAX(0,customer_churn_dataset!J1467))</f>
        <v>7</v>
      </c>
      <c r="K1467" s="7" t="n">
        <f aca="false">IF(ISBLANK(customer_churn_dataset!K1467),0,MIN(10,MAX(0,customer_churn_dataset!K1467)))</f>
        <v>3</v>
      </c>
      <c r="L1467" s="7" t="n">
        <f aca="false">IF(ISBLANK(customer_churn_dataset!L1467),0,MAX(0,customer_churn_dataset!L1467))</f>
        <v>2</v>
      </c>
      <c r="M1467" s="7" t="n">
        <f aca="false">IF(ISBLANK(customer_churn_dataset!M1467),0,customer_churn_dataset!M1467)</f>
        <v>0</v>
      </c>
      <c r="N1467" s="7" t="n">
        <f aca="false">IF(ISBLANK(customer_churn_dataset!N1467),0,MAX(0,customer_churn_dataset!N1467))</f>
        <v>249.48</v>
      </c>
      <c r="O1467" s="7" t="n">
        <f aca="false">IF(ISBLANK(customer_churn_dataset!O1467),0,customer_churn_dataset!O1467)</f>
        <v>0</v>
      </c>
      <c r="P1467" s="7" t="str">
        <f aca="false">IF(COUNTIF(customer_churn_dataset!$A$2:$A$1501,customer_churn_dataset!A1467)&gt;1,"Duplicate","Unique")</f>
        <v>Unique</v>
      </c>
    </row>
    <row r="1468" customFormat="false" ht="14.15" hidden="false" customHeight="true" outlineLevel="0" collapsed="false">
      <c r="A1468" s="7" t="str">
        <f aca="false">TRIM(customer_churn_dataset!A1468)</f>
        <v>CUST100358</v>
      </c>
      <c r="B1468" s="7" t="str">
        <f aca="false">PROPER(TRIM(customer_churn_dataset!B1468))</f>
        <v>Premium</v>
      </c>
      <c r="C1468" s="7" t="str">
        <f aca="false">PROPER(TRIM(customer_churn_dataset!C1468))</f>
        <v>Month-To-Month</v>
      </c>
      <c r="D1468" s="7" t="n">
        <f aca="false">IF(ISBLANK(customer_churn_dataset!D1468),ROUND(MEDIAN(customer_churn_dataset!D$2:D$1501),2),IF(customer_churn_dataset!D1468&lt;0,ABS(customer_churn_dataset!D1468),customer_churn_dataset!D1468))</f>
        <v>38.97</v>
      </c>
      <c r="E1468" s="7" t="n">
        <f aca="false">IF(ISBLANK(customer_churn_dataset!E1468),0,MAX(0,customer_churn_dataset!E1468))</f>
        <v>11</v>
      </c>
      <c r="F1468" s="8" t="n">
        <f aca="false">IF(ISBLANK(customer_churn_dataset!F1468),"",customer_churn_dataset!F1468)</f>
        <v>45788</v>
      </c>
      <c r="G1468" s="7" t="str">
        <f aca="false">PROPER(TRIM(customer_churn_dataset!G1468))</f>
        <v>Paypal</v>
      </c>
      <c r="H1468" s="7" t="n">
        <f aca="false">IF(ISBLANK(customer_churn_dataset!H1468),0,customer_churn_dataset!H1468)</f>
        <v>1</v>
      </c>
      <c r="I1468" s="7" t="n">
        <f aca="false">IF(ISBLANK(customer_churn_dataset!I1468),ROUND(MEDIAN(customer_churn_dataset!I$2:I$1501),1),MIN(100,MAX(0,customer_churn_dataset!I1468)))</f>
        <v>68.7</v>
      </c>
      <c r="J1468" s="7" t="n">
        <f aca="false">IF(ISBLANK(customer_churn_dataset!J1468),0,MAX(0,customer_churn_dataset!J1468))</f>
        <v>21</v>
      </c>
      <c r="K1468" s="7" t="n">
        <f aca="false">IF(ISBLANK(customer_churn_dataset!K1468),0,MIN(10,MAX(0,customer_churn_dataset!K1468)))</f>
        <v>6</v>
      </c>
      <c r="L1468" s="7" t="n">
        <f aca="false">IF(ISBLANK(customer_churn_dataset!L1468),0,MAX(0,customer_churn_dataset!L1468))</f>
        <v>0</v>
      </c>
      <c r="M1468" s="7" t="n">
        <f aca="false">IF(ISBLANK(customer_churn_dataset!M1468),0,customer_churn_dataset!M1468)</f>
        <v>0</v>
      </c>
      <c r="N1468" s="7" t="n">
        <f aca="false">IF(ISBLANK(customer_churn_dataset!N1468),0,MAX(0,customer_churn_dataset!N1468))</f>
        <v>428.67</v>
      </c>
      <c r="O1468" s="7" t="n">
        <f aca="false">IF(ISBLANK(customer_churn_dataset!O1468),0,customer_churn_dataset!O1468)</f>
        <v>0</v>
      </c>
      <c r="P1468" s="7" t="str">
        <f aca="false">IF(COUNTIF(customer_churn_dataset!$A$2:$A$1501,customer_churn_dataset!A1468)&gt;1,"Duplicate","Unique")</f>
        <v>Unique</v>
      </c>
    </row>
    <row r="1469" customFormat="false" ht="14.15" hidden="false" customHeight="true" outlineLevel="0" collapsed="false">
      <c r="A1469" s="7" t="str">
        <f aca="false">TRIM(customer_churn_dataset!A1469)</f>
        <v>CUST100281</v>
      </c>
      <c r="B1469" s="7" t="str">
        <f aca="false">PROPER(TRIM(customer_churn_dataset!B1469))</f>
        <v>Basic</v>
      </c>
      <c r="C1469" s="7" t="str">
        <f aca="false">PROPER(TRIM(customer_churn_dataset!C1469))</f>
        <v>Month-To-Month</v>
      </c>
      <c r="D1469" s="7" t="n">
        <f aca="false">IF(ISBLANK(customer_churn_dataset!D1469),ROUND(MEDIAN(customer_churn_dataset!D$2:D$1501),2),IF(customer_churn_dataset!D1469&lt;0,ABS(customer_churn_dataset!D1469),customer_churn_dataset!D1469))</f>
        <v>11.16</v>
      </c>
      <c r="E1469" s="7" t="n">
        <f aca="false">IF(ISBLANK(customer_churn_dataset!E1469),0,MAX(0,customer_churn_dataset!E1469))</f>
        <v>50</v>
      </c>
      <c r="F1469" s="8" t="n">
        <f aca="false">IF(ISBLANK(customer_churn_dataset!F1469),"",customer_churn_dataset!F1469)</f>
        <v>45789</v>
      </c>
      <c r="G1469" s="7" t="str">
        <f aca="false">PROPER(TRIM(customer_churn_dataset!G1469))</f>
        <v>Bank Transfer</v>
      </c>
      <c r="H1469" s="7" t="n">
        <f aca="false">IF(ISBLANK(customer_churn_dataset!H1469),0,customer_churn_dataset!H1469)</f>
        <v>1</v>
      </c>
      <c r="I1469" s="7" t="n">
        <f aca="false">IF(ISBLANK(customer_churn_dataset!I1469),ROUND(MEDIAN(customer_churn_dataset!I$2:I$1501),1),MIN(100,MAX(0,customer_churn_dataset!I1469)))</f>
        <v>14.4</v>
      </c>
      <c r="J1469" s="7" t="n">
        <f aca="false">IF(ISBLANK(customer_churn_dataset!J1469),0,MAX(0,customer_churn_dataset!J1469))</f>
        <v>2</v>
      </c>
      <c r="K1469" s="7" t="n">
        <f aca="false">IF(ISBLANK(customer_churn_dataset!K1469),0,MIN(10,MAX(0,customer_churn_dataset!K1469)))</f>
        <v>1</v>
      </c>
      <c r="L1469" s="7" t="n">
        <f aca="false">IF(ISBLANK(customer_churn_dataset!L1469),0,MAX(0,customer_churn_dataset!L1469))</f>
        <v>2</v>
      </c>
      <c r="M1469" s="7" t="n">
        <f aca="false">IF(ISBLANK(customer_churn_dataset!M1469),0,customer_churn_dataset!M1469)</f>
        <v>0</v>
      </c>
      <c r="N1469" s="7" t="n">
        <f aca="false">IF(ISBLANK(customer_churn_dataset!N1469),0,MAX(0,customer_churn_dataset!N1469))</f>
        <v>558</v>
      </c>
      <c r="O1469" s="7" t="n">
        <f aca="false">IF(ISBLANK(customer_churn_dataset!O1469),0,customer_churn_dataset!O1469)</f>
        <v>0</v>
      </c>
      <c r="P1469" s="7" t="str">
        <f aca="false">IF(COUNTIF(customer_churn_dataset!$A$2:$A$1501,customer_churn_dataset!A1469)&gt;1,"Duplicate","Unique")</f>
        <v>Unique</v>
      </c>
    </row>
    <row r="1470" customFormat="false" ht="14.15" hidden="false" customHeight="true" outlineLevel="0" collapsed="false">
      <c r="A1470" s="7" t="str">
        <f aca="false">TRIM(customer_churn_dataset!A1470)</f>
        <v>CUST100026</v>
      </c>
      <c r="B1470" s="7" t="str">
        <f aca="false">PROPER(TRIM(customer_churn_dataset!B1470))</f>
        <v>Basic</v>
      </c>
      <c r="C1470" s="7" t="str">
        <f aca="false">PROPER(TRIM(customer_churn_dataset!C1470))</f>
        <v>Two Year</v>
      </c>
      <c r="D1470" s="7" t="n">
        <f aca="false">IF(ISBLANK(customer_churn_dataset!D1470),ROUND(MEDIAN(customer_churn_dataset!D$2:D$1501),2),IF(customer_churn_dataset!D1470&lt;0,ABS(customer_churn_dataset!D1470),customer_churn_dataset!D1470))</f>
        <v>9.01</v>
      </c>
      <c r="E1470" s="7" t="n">
        <f aca="false">IF(ISBLANK(customer_churn_dataset!E1470),0,MAX(0,customer_churn_dataset!E1470))</f>
        <v>20</v>
      </c>
      <c r="F1470" s="8" t="n">
        <f aca="false">IF(ISBLANK(customer_churn_dataset!F1470),"",customer_churn_dataset!F1470)</f>
        <v>45789</v>
      </c>
      <c r="G1470" s="7" t="str">
        <f aca="false">PROPER(TRIM(customer_churn_dataset!G1470))</f>
        <v>Bank Transfer</v>
      </c>
      <c r="H1470" s="7" t="n">
        <f aca="false">IF(ISBLANK(customer_churn_dataset!H1470),0,customer_churn_dataset!H1470)</f>
        <v>1</v>
      </c>
      <c r="I1470" s="7" t="n">
        <f aca="false">IF(ISBLANK(customer_churn_dataset!I1470),ROUND(MEDIAN(customer_churn_dataset!I$2:I$1501),1),MIN(100,MAX(0,customer_churn_dataset!I1470)))</f>
        <v>26.5</v>
      </c>
      <c r="J1470" s="7" t="n">
        <f aca="false">IF(ISBLANK(customer_churn_dataset!J1470),0,MAX(0,customer_churn_dataset!J1470))</f>
        <v>3</v>
      </c>
      <c r="K1470" s="7" t="n">
        <f aca="false">IF(ISBLANK(customer_churn_dataset!K1470),0,MIN(10,MAX(0,customer_churn_dataset!K1470)))</f>
        <v>2</v>
      </c>
      <c r="L1470" s="7" t="n">
        <f aca="false">IF(ISBLANK(customer_churn_dataset!L1470),0,MAX(0,customer_churn_dataset!L1470))</f>
        <v>6</v>
      </c>
      <c r="M1470" s="7" t="n">
        <f aca="false">IF(ISBLANK(customer_churn_dataset!M1470),0,customer_churn_dataset!M1470)</f>
        <v>1</v>
      </c>
      <c r="N1470" s="7" t="n">
        <f aca="false">IF(ISBLANK(customer_churn_dataset!N1470),0,MAX(0,customer_churn_dataset!N1470))</f>
        <v>180.2</v>
      </c>
      <c r="O1470" s="7" t="n">
        <f aca="false">IF(ISBLANK(customer_churn_dataset!O1470),0,customer_churn_dataset!O1470)</f>
        <v>0</v>
      </c>
      <c r="P1470" s="7" t="str">
        <f aca="false">IF(COUNTIF(customer_churn_dataset!$A$2:$A$1501,customer_churn_dataset!A1470)&gt;1,"Duplicate","Unique")</f>
        <v>Unique</v>
      </c>
    </row>
    <row r="1471" customFormat="false" ht="14.15" hidden="false" customHeight="true" outlineLevel="0" collapsed="false">
      <c r="A1471" s="7" t="str">
        <f aca="false">TRIM(customer_churn_dataset!A1471)</f>
        <v>CUST100858</v>
      </c>
      <c r="B1471" s="7" t="str">
        <f aca="false">PROPER(TRIM(customer_churn_dataset!B1471))</f>
        <v>Standard</v>
      </c>
      <c r="C1471" s="7" t="str">
        <f aca="false">PROPER(TRIM(customer_churn_dataset!C1471))</f>
        <v>One Year</v>
      </c>
      <c r="D1471" s="7" t="n">
        <f aca="false">IF(ISBLANK(customer_churn_dataset!D1471),ROUND(MEDIAN(customer_churn_dataset!D$2:D$1501),2),IF(customer_churn_dataset!D1471&lt;0,ABS(customer_churn_dataset!D1471),customer_churn_dataset!D1471))</f>
        <v>20.63</v>
      </c>
      <c r="E1471" s="7" t="n">
        <f aca="false">IF(ISBLANK(customer_churn_dataset!E1471),0,MAX(0,customer_churn_dataset!E1471))</f>
        <v>3</v>
      </c>
      <c r="F1471" s="8" t="n">
        <f aca="false">IF(ISBLANK(customer_churn_dataset!F1471),"",customer_churn_dataset!F1471)</f>
        <v>45789</v>
      </c>
      <c r="G1471" s="7" t="str">
        <f aca="false">PROPER(TRIM(customer_churn_dataset!G1471))</f>
        <v>Bank Transfer</v>
      </c>
      <c r="H1471" s="7" t="n">
        <f aca="false">IF(ISBLANK(customer_churn_dataset!H1471),0,customer_churn_dataset!H1471)</f>
        <v>0</v>
      </c>
      <c r="I1471" s="7" t="n">
        <f aca="false">IF(ISBLANK(customer_churn_dataset!I1471),ROUND(MEDIAN(customer_churn_dataset!I$2:I$1501),1),MIN(100,MAX(0,customer_churn_dataset!I1471)))</f>
        <v>94.1</v>
      </c>
      <c r="J1471" s="7" t="n">
        <f aca="false">IF(ISBLANK(customer_churn_dataset!J1471),0,MAX(0,customer_churn_dataset!J1471))</f>
        <v>28</v>
      </c>
      <c r="K1471" s="7" t="n">
        <f aca="false">IF(ISBLANK(customer_churn_dataset!K1471),0,MIN(10,MAX(0,customer_churn_dataset!K1471)))</f>
        <v>10</v>
      </c>
      <c r="L1471" s="7" t="n">
        <f aca="false">IF(ISBLANK(customer_churn_dataset!L1471),0,MAX(0,customer_churn_dataset!L1471))</f>
        <v>0</v>
      </c>
      <c r="M1471" s="7" t="n">
        <f aca="false">IF(ISBLANK(customer_churn_dataset!M1471),0,customer_churn_dataset!M1471)</f>
        <v>0</v>
      </c>
      <c r="N1471" s="7" t="n">
        <f aca="false">IF(ISBLANK(customer_churn_dataset!N1471),0,MAX(0,customer_churn_dataset!N1471))</f>
        <v>61.89</v>
      </c>
      <c r="O1471" s="7" t="n">
        <f aca="false">IF(ISBLANK(customer_churn_dataset!O1471),0,customer_churn_dataset!O1471)</f>
        <v>0</v>
      </c>
      <c r="P1471" s="7" t="str">
        <f aca="false">IF(COUNTIF(customer_churn_dataset!$A$2:$A$1501,customer_churn_dataset!A1471)&gt;1,"Duplicate","Unique")</f>
        <v>Unique</v>
      </c>
    </row>
    <row r="1472" customFormat="false" ht="14.15" hidden="false" customHeight="true" outlineLevel="0" collapsed="false">
      <c r="A1472" s="7" t="str">
        <f aca="false">TRIM(customer_churn_dataset!A1472)</f>
        <v>CUST100764</v>
      </c>
      <c r="B1472" s="7" t="str">
        <f aca="false">PROPER(TRIM(customer_churn_dataset!B1472))</f>
        <v>Basic</v>
      </c>
      <c r="C1472" s="7" t="str">
        <f aca="false">PROPER(TRIM(customer_churn_dataset!C1472))</f>
        <v>Month-To-Month</v>
      </c>
      <c r="D1472" s="7" t="n">
        <f aca="false">IF(ISBLANK(customer_churn_dataset!D1472),ROUND(MEDIAN(customer_churn_dataset!D$2:D$1501),2),IF(customer_churn_dataset!D1472&lt;0,ABS(customer_churn_dataset!D1472),customer_churn_dataset!D1472))</f>
        <v>12.06</v>
      </c>
      <c r="E1472" s="7" t="n">
        <f aca="false">IF(ISBLANK(customer_churn_dataset!E1472),0,MAX(0,customer_churn_dataset!E1472))</f>
        <v>31</v>
      </c>
      <c r="F1472" s="8" t="n">
        <f aca="false">IF(ISBLANK(customer_churn_dataset!F1472),"",customer_churn_dataset!F1472)</f>
        <v>45790</v>
      </c>
      <c r="G1472" s="7" t="str">
        <f aca="false">PROPER(TRIM(customer_churn_dataset!G1472))</f>
        <v>Credit Card</v>
      </c>
      <c r="H1472" s="7" t="n">
        <f aca="false">IF(ISBLANK(customer_churn_dataset!H1472),0,customer_churn_dataset!H1472)</f>
        <v>0</v>
      </c>
      <c r="I1472" s="7" t="n">
        <f aca="false">IF(ISBLANK(customer_churn_dataset!I1472),ROUND(MEDIAN(customer_churn_dataset!I$2:I$1501),1),MIN(100,MAX(0,customer_churn_dataset!I1472)))</f>
        <v>58.9</v>
      </c>
      <c r="J1472" s="7" t="n">
        <f aca="false">IF(ISBLANK(customer_churn_dataset!J1472),0,MAX(0,customer_churn_dataset!J1472))</f>
        <v>22</v>
      </c>
      <c r="K1472" s="7" t="n">
        <f aca="false">IF(ISBLANK(customer_churn_dataset!K1472),0,MIN(10,MAX(0,customer_churn_dataset!K1472)))</f>
        <v>8</v>
      </c>
      <c r="L1472" s="7" t="n">
        <f aca="false">IF(ISBLANK(customer_churn_dataset!L1472),0,MAX(0,customer_churn_dataset!L1472))</f>
        <v>1</v>
      </c>
      <c r="M1472" s="7" t="n">
        <f aca="false">IF(ISBLANK(customer_churn_dataset!M1472),0,customer_churn_dataset!M1472)</f>
        <v>0</v>
      </c>
      <c r="N1472" s="7" t="n">
        <f aca="false">IF(ISBLANK(customer_churn_dataset!N1472),0,MAX(0,customer_churn_dataset!N1472))</f>
        <v>373.86</v>
      </c>
      <c r="O1472" s="7" t="n">
        <f aca="false">IF(ISBLANK(customer_churn_dataset!O1472),0,customer_churn_dataset!O1472)</f>
        <v>0</v>
      </c>
      <c r="P1472" s="7" t="str">
        <f aca="false">IF(COUNTIF(customer_churn_dataset!$A$2:$A$1501,customer_churn_dataset!A1472)&gt;1,"Duplicate","Unique")</f>
        <v>Unique</v>
      </c>
    </row>
    <row r="1473" customFormat="false" ht="14.15" hidden="false" customHeight="true" outlineLevel="0" collapsed="false">
      <c r="A1473" s="7" t="str">
        <f aca="false">TRIM(customer_churn_dataset!A1473)</f>
        <v>CUST100201</v>
      </c>
      <c r="B1473" s="7" t="str">
        <f aca="false">PROPER(TRIM(customer_churn_dataset!B1473))</f>
        <v>Basic</v>
      </c>
      <c r="C1473" s="7" t="str">
        <f aca="false">PROPER(TRIM(customer_churn_dataset!C1473))</f>
        <v>One Year</v>
      </c>
      <c r="D1473" s="7" t="n">
        <f aca="false">IF(ISBLANK(customer_churn_dataset!D1473),ROUND(MEDIAN(customer_churn_dataset!D$2:D$1501),2),IF(customer_churn_dataset!D1473&lt;0,ABS(customer_churn_dataset!D1473),customer_churn_dataset!D1473))</f>
        <v>10.57</v>
      </c>
      <c r="E1473" s="7" t="n">
        <f aca="false">IF(ISBLANK(customer_churn_dataset!E1473),0,MAX(0,customer_churn_dataset!E1473))</f>
        <v>9</v>
      </c>
      <c r="F1473" s="8" t="n">
        <f aca="false">IF(ISBLANK(customer_churn_dataset!F1473),"",customer_churn_dataset!F1473)</f>
        <v>45791</v>
      </c>
      <c r="G1473" s="7" t="str">
        <f aca="false">PROPER(TRIM(customer_churn_dataset!G1473))</f>
        <v>Paypal</v>
      </c>
      <c r="H1473" s="7" t="n">
        <f aca="false">IF(ISBLANK(customer_churn_dataset!H1473),0,customer_churn_dataset!H1473)</f>
        <v>1</v>
      </c>
      <c r="I1473" s="7" t="n">
        <f aca="false">IF(ISBLANK(customer_churn_dataset!I1473),ROUND(MEDIAN(customer_churn_dataset!I$2:I$1501),1),MIN(100,MAX(0,customer_churn_dataset!I1473)))</f>
        <v>38.7</v>
      </c>
      <c r="J1473" s="7" t="n">
        <f aca="false">IF(ISBLANK(customer_churn_dataset!J1473),0,MAX(0,customer_churn_dataset!J1473))</f>
        <v>7</v>
      </c>
      <c r="K1473" s="7" t="n">
        <f aca="false">IF(ISBLANK(customer_churn_dataset!K1473),0,MIN(10,MAX(0,customer_churn_dataset!K1473)))</f>
        <v>3</v>
      </c>
      <c r="L1473" s="7" t="n">
        <f aca="false">IF(ISBLANK(customer_churn_dataset!L1473),0,MAX(0,customer_churn_dataset!L1473))</f>
        <v>0</v>
      </c>
      <c r="M1473" s="7" t="n">
        <f aca="false">IF(ISBLANK(customer_churn_dataset!M1473),0,customer_churn_dataset!M1473)</f>
        <v>0</v>
      </c>
      <c r="N1473" s="7" t="n">
        <f aca="false">IF(ISBLANK(customer_churn_dataset!N1473),0,MAX(0,customer_churn_dataset!N1473))</f>
        <v>95.13</v>
      </c>
      <c r="O1473" s="7" t="n">
        <f aca="false">IF(ISBLANK(customer_churn_dataset!O1473),0,customer_churn_dataset!O1473)</f>
        <v>0</v>
      </c>
      <c r="P1473" s="7" t="str">
        <f aca="false">IF(COUNTIF(customer_churn_dataset!$A$2:$A$1501,customer_churn_dataset!A1473)&gt;1,"Duplicate","Unique")</f>
        <v>Unique</v>
      </c>
    </row>
    <row r="1474" customFormat="false" ht="14.15" hidden="false" customHeight="true" outlineLevel="0" collapsed="false">
      <c r="A1474" s="7" t="str">
        <f aca="false">TRIM(customer_churn_dataset!A1474)</f>
        <v>CUST100966</v>
      </c>
      <c r="B1474" s="7" t="str">
        <f aca="false">PROPER(TRIM(customer_churn_dataset!B1474))</f>
        <v>Standard</v>
      </c>
      <c r="C1474" s="7" t="str">
        <f aca="false">PROPER(TRIM(customer_churn_dataset!C1474))</f>
        <v>Month-To-Month</v>
      </c>
      <c r="D1474" s="7" t="n">
        <f aca="false">IF(ISBLANK(customer_churn_dataset!D1474),ROUND(MEDIAN(customer_churn_dataset!D$2:D$1501),2),IF(customer_churn_dataset!D1474&lt;0,ABS(customer_churn_dataset!D1474),customer_churn_dataset!D1474))</f>
        <v>18.81</v>
      </c>
      <c r="E1474" s="7" t="n">
        <f aca="false">IF(ISBLANK(customer_churn_dataset!E1474),0,MAX(0,customer_churn_dataset!E1474))</f>
        <v>37</v>
      </c>
      <c r="F1474" s="8" t="n">
        <f aca="false">IF(ISBLANK(customer_churn_dataset!F1474),"",customer_churn_dataset!F1474)</f>
        <v>45792</v>
      </c>
      <c r="G1474" s="7" t="str">
        <f aca="false">PROPER(TRIM(customer_churn_dataset!G1474))</f>
        <v>Manual/Invoice</v>
      </c>
      <c r="H1474" s="7" t="n">
        <f aca="false">IF(ISBLANK(customer_churn_dataset!H1474),0,customer_churn_dataset!H1474)</f>
        <v>1</v>
      </c>
      <c r="I1474" s="7" t="n">
        <f aca="false">IF(ISBLANK(customer_churn_dataset!I1474),ROUND(MEDIAN(customer_churn_dataset!I$2:I$1501),1),MIN(100,MAX(0,customer_churn_dataset!I1474)))</f>
        <v>93</v>
      </c>
      <c r="J1474" s="7" t="n">
        <f aca="false">IF(ISBLANK(customer_churn_dataset!J1474),0,MAX(0,customer_churn_dataset!J1474))</f>
        <v>24</v>
      </c>
      <c r="K1474" s="7" t="n">
        <f aca="false">IF(ISBLANK(customer_churn_dataset!K1474),0,MIN(10,MAX(0,customer_churn_dataset!K1474)))</f>
        <v>10</v>
      </c>
      <c r="L1474" s="7" t="n">
        <f aca="false">IF(ISBLANK(customer_churn_dataset!L1474),0,MAX(0,customer_churn_dataset!L1474))</f>
        <v>0</v>
      </c>
      <c r="M1474" s="7" t="n">
        <f aca="false">IF(ISBLANK(customer_churn_dataset!M1474),0,customer_churn_dataset!M1474)</f>
        <v>0</v>
      </c>
      <c r="N1474" s="7" t="n">
        <f aca="false">IF(ISBLANK(customer_churn_dataset!N1474),0,MAX(0,customer_churn_dataset!N1474))</f>
        <v>695.97</v>
      </c>
      <c r="O1474" s="7" t="n">
        <f aca="false">IF(ISBLANK(customer_churn_dataset!O1474),0,customer_churn_dataset!O1474)</f>
        <v>0</v>
      </c>
      <c r="P1474" s="7" t="str">
        <f aca="false">IF(COUNTIF(customer_churn_dataset!$A$2:$A$1501,customer_churn_dataset!A1474)&gt;1,"Duplicate","Unique")</f>
        <v>Unique</v>
      </c>
    </row>
    <row r="1475" customFormat="false" ht="14.15" hidden="false" customHeight="true" outlineLevel="0" collapsed="false">
      <c r="A1475" s="7" t="str">
        <f aca="false">TRIM(customer_churn_dataset!A1475)</f>
        <v>CUST101073</v>
      </c>
      <c r="B1475" s="7" t="str">
        <f aca="false">PROPER(TRIM(customer_churn_dataset!B1475))</f>
        <v>Basic</v>
      </c>
      <c r="C1475" s="7" t="str">
        <f aca="false">PROPER(TRIM(customer_churn_dataset!C1475))</f>
        <v>Month-To-Month</v>
      </c>
      <c r="D1475" s="7" t="n">
        <f aca="false">IF(ISBLANK(customer_churn_dataset!D1475),ROUND(MEDIAN(customer_churn_dataset!D$2:D$1501),2),IF(customer_churn_dataset!D1475&lt;0,ABS(customer_churn_dataset!D1475),customer_churn_dataset!D1475))</f>
        <v>10.88</v>
      </c>
      <c r="E1475" s="7" t="n">
        <f aca="false">IF(ISBLANK(customer_churn_dataset!E1475),0,MAX(0,customer_churn_dataset!E1475))</f>
        <v>7</v>
      </c>
      <c r="F1475" s="8" t="n">
        <f aca="false">IF(ISBLANK(customer_churn_dataset!F1475),"",customer_churn_dataset!F1475)</f>
        <v>45793</v>
      </c>
      <c r="G1475" s="7" t="str">
        <f aca="false">PROPER(TRIM(customer_churn_dataset!G1475))</f>
        <v>Credit Card</v>
      </c>
      <c r="H1475" s="7" t="n">
        <f aca="false">IF(ISBLANK(customer_churn_dataset!H1475),0,customer_churn_dataset!H1475)</f>
        <v>0</v>
      </c>
      <c r="I1475" s="7" t="n">
        <f aca="false">IF(ISBLANK(customer_churn_dataset!I1475),ROUND(MEDIAN(customer_churn_dataset!I$2:I$1501),1),MIN(100,MAX(0,customer_churn_dataset!I1475)))</f>
        <v>50.5</v>
      </c>
      <c r="J1475" s="7" t="n">
        <f aca="false">IF(ISBLANK(customer_churn_dataset!J1475),0,MAX(0,customer_churn_dataset!J1475))</f>
        <v>18</v>
      </c>
      <c r="K1475" s="7" t="n">
        <f aca="false">IF(ISBLANK(customer_churn_dataset!K1475),0,MIN(10,MAX(0,customer_churn_dataset!K1475)))</f>
        <v>6</v>
      </c>
      <c r="L1475" s="7" t="n">
        <f aca="false">IF(ISBLANK(customer_churn_dataset!L1475),0,MAX(0,customer_churn_dataset!L1475))</f>
        <v>2</v>
      </c>
      <c r="M1475" s="7" t="n">
        <f aca="false">IF(ISBLANK(customer_churn_dataset!M1475),0,customer_churn_dataset!M1475)</f>
        <v>1</v>
      </c>
      <c r="N1475" s="7" t="n">
        <f aca="false">IF(ISBLANK(customer_churn_dataset!N1475),0,MAX(0,customer_churn_dataset!N1475))</f>
        <v>76.16</v>
      </c>
      <c r="O1475" s="7" t="n">
        <f aca="false">IF(ISBLANK(customer_churn_dataset!O1475),0,customer_churn_dataset!O1475)</f>
        <v>0</v>
      </c>
      <c r="P1475" s="7" t="str">
        <f aca="false">IF(COUNTIF(customer_churn_dataset!$A$2:$A$1501,customer_churn_dataset!A1475)&gt;1,"Duplicate","Unique")</f>
        <v>Unique</v>
      </c>
    </row>
    <row r="1476" customFormat="false" ht="14.15" hidden="false" customHeight="true" outlineLevel="0" collapsed="false">
      <c r="A1476" s="7" t="str">
        <f aca="false">TRIM(customer_churn_dataset!A1476)</f>
        <v>CUST100399</v>
      </c>
      <c r="B1476" s="7" t="str">
        <f aca="false">PROPER(TRIM(customer_churn_dataset!B1476))</f>
        <v>Standard</v>
      </c>
      <c r="C1476" s="7" t="str">
        <f aca="false">PROPER(TRIM(customer_churn_dataset!C1476))</f>
        <v>Month-To-Month</v>
      </c>
      <c r="D1476" s="7" t="n">
        <f aca="false">IF(ISBLANK(customer_churn_dataset!D1476),ROUND(MEDIAN(customer_churn_dataset!D$2:D$1501),2),IF(customer_churn_dataset!D1476&lt;0,ABS(customer_churn_dataset!D1476),customer_churn_dataset!D1476))</f>
        <v>19.72</v>
      </c>
      <c r="E1476" s="7" t="n">
        <f aca="false">IF(ISBLANK(customer_churn_dataset!E1476),0,MAX(0,customer_churn_dataset!E1476))</f>
        <v>15</v>
      </c>
      <c r="F1476" s="8" t="n">
        <f aca="false">IF(ISBLANK(customer_churn_dataset!F1476),"",customer_churn_dataset!F1476)</f>
        <v>45794</v>
      </c>
      <c r="G1476" s="7" t="str">
        <f aca="false">PROPER(TRIM(customer_churn_dataset!G1476))</f>
        <v>Manual/Invoice</v>
      </c>
      <c r="H1476" s="7" t="n">
        <f aca="false">IF(ISBLANK(customer_churn_dataset!H1476),0,customer_churn_dataset!H1476)</f>
        <v>1</v>
      </c>
      <c r="I1476" s="7" t="n">
        <f aca="false">IF(ISBLANK(customer_churn_dataset!I1476),ROUND(MEDIAN(customer_churn_dataset!I$2:I$1501),1),MIN(100,MAX(0,customer_churn_dataset!I1476)))</f>
        <v>89.8</v>
      </c>
      <c r="J1476" s="7" t="n">
        <f aca="false">IF(ISBLANK(customer_churn_dataset!J1476),0,MAX(0,customer_churn_dataset!J1476))</f>
        <v>28</v>
      </c>
      <c r="K1476" s="7" t="n">
        <f aca="false">IF(ISBLANK(customer_churn_dataset!K1476),0,MIN(10,MAX(0,customer_churn_dataset!K1476)))</f>
        <v>8</v>
      </c>
      <c r="L1476" s="7" t="n">
        <f aca="false">IF(ISBLANK(customer_churn_dataset!L1476),0,MAX(0,customer_churn_dataset!L1476))</f>
        <v>2</v>
      </c>
      <c r="M1476" s="7" t="n">
        <f aca="false">IF(ISBLANK(customer_churn_dataset!M1476),0,customer_churn_dataset!M1476)</f>
        <v>1</v>
      </c>
      <c r="N1476" s="7" t="n">
        <f aca="false">IF(ISBLANK(customer_churn_dataset!N1476),0,MAX(0,customer_churn_dataset!N1476))</f>
        <v>295.8</v>
      </c>
      <c r="O1476" s="7" t="n">
        <f aca="false">IF(ISBLANK(customer_churn_dataset!O1476),0,customer_churn_dataset!O1476)</f>
        <v>0</v>
      </c>
      <c r="P1476" s="7" t="str">
        <f aca="false">IF(COUNTIF(customer_churn_dataset!$A$2:$A$1501,customer_churn_dataset!A1476)&gt;1,"Duplicate","Unique")</f>
        <v>Unique</v>
      </c>
    </row>
    <row r="1477" customFormat="false" ht="14.15" hidden="false" customHeight="true" outlineLevel="0" collapsed="false">
      <c r="A1477" s="7" t="str">
        <f aca="false">TRIM(customer_churn_dataset!A1477)</f>
        <v>CUST100585</v>
      </c>
      <c r="B1477" s="7" t="str">
        <f aca="false">PROPER(TRIM(customer_churn_dataset!B1477))</f>
        <v>Basic</v>
      </c>
      <c r="C1477" s="7" t="str">
        <f aca="false">PROPER(TRIM(customer_churn_dataset!C1477))</f>
        <v>One Year</v>
      </c>
      <c r="D1477" s="7" t="n">
        <f aca="false">IF(ISBLANK(customer_churn_dataset!D1477),ROUND(MEDIAN(customer_churn_dataset!D$2:D$1501),2),IF(customer_churn_dataset!D1477&lt;0,ABS(customer_churn_dataset!D1477),customer_churn_dataset!D1477))</f>
        <v>10.23</v>
      </c>
      <c r="E1477" s="7" t="n">
        <f aca="false">IF(ISBLANK(customer_churn_dataset!E1477),0,MAX(0,customer_churn_dataset!E1477))</f>
        <v>6</v>
      </c>
      <c r="F1477" s="8" t="n">
        <f aca="false">IF(ISBLANK(customer_churn_dataset!F1477),"",customer_churn_dataset!F1477)</f>
        <v>45795</v>
      </c>
      <c r="G1477" s="7" t="str">
        <f aca="false">PROPER(TRIM(customer_churn_dataset!G1477))</f>
        <v>Paypal</v>
      </c>
      <c r="H1477" s="7" t="n">
        <f aca="false">IF(ISBLANK(customer_churn_dataset!H1477),0,customer_churn_dataset!H1477)</f>
        <v>1</v>
      </c>
      <c r="I1477" s="7" t="n">
        <f aca="false">IF(ISBLANK(customer_churn_dataset!I1477),ROUND(MEDIAN(customer_churn_dataset!I$2:I$1501),1),MIN(100,MAX(0,customer_churn_dataset!I1477)))</f>
        <v>46.6</v>
      </c>
      <c r="J1477" s="7" t="n">
        <f aca="false">IF(ISBLANK(customer_churn_dataset!J1477),0,MAX(0,customer_churn_dataset!J1477))</f>
        <v>18</v>
      </c>
      <c r="K1477" s="7" t="n">
        <f aca="false">IF(ISBLANK(customer_churn_dataset!K1477),0,MIN(10,MAX(0,customer_churn_dataset!K1477)))</f>
        <v>5</v>
      </c>
      <c r="L1477" s="7" t="n">
        <f aca="false">IF(ISBLANK(customer_churn_dataset!L1477),0,MAX(0,customer_churn_dataset!L1477))</f>
        <v>2</v>
      </c>
      <c r="M1477" s="7" t="n">
        <f aca="false">IF(ISBLANK(customer_churn_dataset!M1477),0,customer_churn_dataset!M1477)</f>
        <v>0</v>
      </c>
      <c r="N1477" s="7" t="n">
        <f aca="false">IF(ISBLANK(customer_churn_dataset!N1477),0,MAX(0,customer_churn_dataset!N1477))</f>
        <v>61.38</v>
      </c>
      <c r="O1477" s="7" t="n">
        <f aca="false">IF(ISBLANK(customer_churn_dataset!O1477),0,customer_churn_dataset!O1477)</f>
        <v>0</v>
      </c>
      <c r="P1477" s="7" t="str">
        <f aca="false">IF(COUNTIF(customer_churn_dataset!$A$2:$A$1501,customer_churn_dataset!A1477)&gt;1,"Duplicate","Unique")</f>
        <v>Unique</v>
      </c>
    </row>
    <row r="1478" customFormat="false" ht="14.15" hidden="false" customHeight="true" outlineLevel="0" collapsed="false">
      <c r="A1478" s="7" t="str">
        <f aca="false">TRIM(customer_churn_dataset!A1478)</f>
        <v>CUST100765</v>
      </c>
      <c r="B1478" s="7" t="str">
        <f aca="false">PROPER(TRIM(customer_churn_dataset!B1478))</f>
        <v>Standard</v>
      </c>
      <c r="C1478" s="7" t="str">
        <f aca="false">PROPER(TRIM(customer_churn_dataset!C1478))</f>
        <v>Month-To-Month</v>
      </c>
      <c r="D1478" s="7" t="n">
        <f aca="false">IF(ISBLANK(customer_churn_dataset!D1478),ROUND(MEDIAN(customer_churn_dataset!D$2:D$1501),2),IF(customer_churn_dataset!D1478&lt;0,ABS(customer_churn_dataset!D1478),customer_churn_dataset!D1478))</f>
        <v>19.07</v>
      </c>
      <c r="E1478" s="7" t="n">
        <f aca="false">IF(ISBLANK(customer_churn_dataset!E1478),0,MAX(0,customer_churn_dataset!E1478))</f>
        <v>19</v>
      </c>
      <c r="F1478" s="8" t="n">
        <f aca="false">IF(ISBLANK(customer_churn_dataset!F1478),"",customer_churn_dataset!F1478)</f>
        <v>45797</v>
      </c>
      <c r="G1478" s="7" t="str">
        <f aca="false">PROPER(TRIM(customer_churn_dataset!G1478))</f>
        <v>Paypal</v>
      </c>
      <c r="H1478" s="7" t="n">
        <f aca="false">IF(ISBLANK(customer_churn_dataset!H1478),0,customer_churn_dataset!H1478)</f>
        <v>1</v>
      </c>
      <c r="I1478" s="7" t="n">
        <f aca="false">IF(ISBLANK(customer_churn_dataset!I1478),ROUND(MEDIAN(customer_churn_dataset!I$2:I$1501),1),MIN(100,MAX(0,customer_churn_dataset!I1478)))</f>
        <v>65.7</v>
      </c>
      <c r="J1478" s="7" t="n">
        <f aca="false">IF(ISBLANK(customer_churn_dataset!J1478),0,MAX(0,customer_churn_dataset!J1478))</f>
        <v>18</v>
      </c>
      <c r="K1478" s="7" t="n">
        <f aca="false">IF(ISBLANK(customer_churn_dataset!K1478),0,MIN(10,MAX(0,customer_churn_dataset!K1478)))</f>
        <v>7</v>
      </c>
      <c r="L1478" s="7" t="n">
        <f aca="false">IF(ISBLANK(customer_churn_dataset!L1478),0,MAX(0,customer_churn_dataset!L1478))</f>
        <v>1</v>
      </c>
      <c r="M1478" s="7" t="n">
        <f aca="false">IF(ISBLANK(customer_churn_dataset!M1478),0,customer_churn_dataset!M1478)</f>
        <v>0</v>
      </c>
      <c r="N1478" s="7" t="n">
        <f aca="false">IF(ISBLANK(customer_churn_dataset!N1478),0,MAX(0,customer_churn_dataset!N1478))</f>
        <v>362.33</v>
      </c>
      <c r="O1478" s="7" t="n">
        <f aca="false">IF(ISBLANK(customer_churn_dataset!O1478),0,customer_churn_dataset!O1478)</f>
        <v>0</v>
      </c>
      <c r="P1478" s="7" t="str">
        <f aca="false">IF(COUNTIF(customer_churn_dataset!$A$2:$A$1501,customer_churn_dataset!A1478)&gt;1,"Duplicate","Unique")</f>
        <v>Unique</v>
      </c>
    </row>
    <row r="1479" customFormat="false" ht="14.15" hidden="false" customHeight="true" outlineLevel="0" collapsed="false">
      <c r="A1479" s="7" t="str">
        <f aca="false">TRIM(customer_churn_dataset!A1479)</f>
        <v>CUST101064</v>
      </c>
      <c r="B1479" s="7" t="str">
        <f aca="false">PROPER(TRIM(customer_churn_dataset!B1479))</f>
        <v>Basic</v>
      </c>
      <c r="C1479" s="7" t="str">
        <f aca="false">PROPER(TRIM(customer_churn_dataset!C1479))</f>
        <v>One Year</v>
      </c>
      <c r="D1479" s="7" t="n">
        <f aca="false">IF(ISBLANK(customer_churn_dataset!D1479),ROUND(MEDIAN(customer_churn_dataset!D$2:D$1501),2),IF(customer_churn_dataset!D1479&lt;0,ABS(customer_churn_dataset!D1479),customer_churn_dataset!D1479))</f>
        <v>9.34</v>
      </c>
      <c r="E1479" s="7" t="n">
        <f aca="false">IF(ISBLANK(customer_churn_dataset!E1479),0,MAX(0,customer_churn_dataset!E1479))</f>
        <v>1</v>
      </c>
      <c r="F1479" s="8" t="n">
        <f aca="false">IF(ISBLANK(customer_churn_dataset!F1479),"",customer_churn_dataset!F1479)</f>
        <v>45797</v>
      </c>
      <c r="G1479" s="7" t="str">
        <f aca="false">PROPER(TRIM(customer_churn_dataset!G1479))</f>
        <v>Credit Card</v>
      </c>
      <c r="H1479" s="7" t="n">
        <f aca="false">IF(ISBLANK(customer_churn_dataset!H1479),0,customer_churn_dataset!H1479)</f>
        <v>0</v>
      </c>
      <c r="I1479" s="7" t="n">
        <f aca="false">IF(ISBLANK(customer_churn_dataset!I1479),ROUND(MEDIAN(customer_churn_dataset!I$2:I$1501),1),MIN(100,MAX(0,customer_churn_dataset!I1479)))</f>
        <v>52.1</v>
      </c>
      <c r="J1479" s="7" t="n">
        <f aca="false">IF(ISBLANK(customer_churn_dataset!J1479),0,MAX(0,customer_churn_dataset!J1479))</f>
        <v>15</v>
      </c>
      <c r="K1479" s="7" t="n">
        <f aca="false">IF(ISBLANK(customer_churn_dataset!K1479),0,MIN(10,MAX(0,customer_churn_dataset!K1479)))</f>
        <v>6</v>
      </c>
      <c r="L1479" s="7" t="n">
        <f aca="false">IF(ISBLANK(customer_churn_dataset!L1479),0,MAX(0,customer_churn_dataset!L1479))</f>
        <v>1</v>
      </c>
      <c r="M1479" s="7" t="n">
        <f aca="false">IF(ISBLANK(customer_churn_dataset!M1479),0,customer_churn_dataset!M1479)</f>
        <v>0</v>
      </c>
      <c r="N1479" s="7" t="n">
        <f aca="false">IF(ISBLANK(customer_churn_dataset!N1479),0,MAX(0,customer_churn_dataset!N1479))</f>
        <v>9.34</v>
      </c>
      <c r="O1479" s="7" t="n">
        <f aca="false">IF(ISBLANK(customer_churn_dataset!O1479),0,customer_churn_dataset!O1479)</f>
        <v>0</v>
      </c>
      <c r="P1479" s="7" t="str">
        <f aca="false">IF(COUNTIF(customer_churn_dataset!$A$2:$A$1501,customer_churn_dataset!A1479)&gt;1,"Duplicate","Unique")</f>
        <v>Unique</v>
      </c>
    </row>
    <row r="1480" customFormat="false" ht="14.15" hidden="false" customHeight="true" outlineLevel="0" collapsed="false">
      <c r="A1480" s="7" t="str">
        <f aca="false">TRIM(customer_churn_dataset!A1480)</f>
        <v>CUST100994</v>
      </c>
      <c r="B1480" s="7" t="str">
        <f aca="false">PROPER(TRIM(customer_churn_dataset!B1480))</f>
        <v>Basic</v>
      </c>
      <c r="C1480" s="7" t="str">
        <f aca="false">PROPER(TRIM(customer_churn_dataset!C1480))</f>
        <v>Month-To-Month</v>
      </c>
      <c r="D1480" s="7" t="n">
        <f aca="false">IF(ISBLANK(customer_churn_dataset!D1480),ROUND(MEDIAN(customer_churn_dataset!D$2:D$1501),2),IF(customer_churn_dataset!D1480&lt;0,ABS(customer_churn_dataset!D1480),customer_churn_dataset!D1480))</f>
        <v>8.73</v>
      </c>
      <c r="E1480" s="7" t="n">
        <f aca="false">IF(ISBLANK(customer_churn_dataset!E1480),0,MAX(0,customer_churn_dataset!E1480))</f>
        <v>13</v>
      </c>
      <c r="F1480" s="8" t="n">
        <f aca="false">IF(ISBLANK(customer_churn_dataset!F1480),"",customer_churn_dataset!F1480)</f>
        <v>45798</v>
      </c>
      <c r="G1480" s="7" t="str">
        <f aca="false">PROPER(TRIM(customer_churn_dataset!G1480))</f>
        <v>Bank Transfer</v>
      </c>
      <c r="H1480" s="7" t="n">
        <f aca="false">IF(ISBLANK(customer_churn_dataset!H1480),0,customer_churn_dataset!H1480)</f>
        <v>0</v>
      </c>
      <c r="I1480" s="7" t="n">
        <f aca="false">IF(ISBLANK(customer_churn_dataset!I1480),ROUND(MEDIAN(customer_churn_dataset!I$2:I$1501),1),MIN(100,MAX(0,customer_churn_dataset!I1480)))</f>
        <v>69.9</v>
      </c>
      <c r="J1480" s="7" t="n">
        <f aca="false">IF(ISBLANK(customer_churn_dataset!J1480),0,MAX(0,customer_churn_dataset!J1480))</f>
        <v>21</v>
      </c>
      <c r="K1480" s="7" t="n">
        <f aca="false">IF(ISBLANK(customer_churn_dataset!K1480),0,MIN(10,MAX(0,customer_churn_dataset!K1480)))</f>
        <v>6</v>
      </c>
      <c r="L1480" s="7" t="n">
        <f aca="false">IF(ISBLANK(customer_churn_dataset!L1480),0,MAX(0,customer_churn_dataset!L1480))</f>
        <v>0</v>
      </c>
      <c r="M1480" s="7" t="n">
        <f aca="false">IF(ISBLANK(customer_churn_dataset!M1480),0,customer_churn_dataset!M1480)</f>
        <v>0</v>
      </c>
      <c r="N1480" s="7" t="n">
        <f aca="false">IF(ISBLANK(customer_churn_dataset!N1480),0,MAX(0,customer_churn_dataset!N1480))</f>
        <v>113.49</v>
      </c>
      <c r="O1480" s="7" t="n">
        <f aca="false">IF(ISBLANK(customer_churn_dataset!O1480),0,customer_churn_dataset!O1480)</f>
        <v>0</v>
      </c>
      <c r="P1480" s="7" t="str">
        <f aca="false">IF(COUNTIF(customer_churn_dataset!$A$2:$A$1501,customer_churn_dataset!A1480)&gt;1,"Duplicate","Unique")</f>
        <v>Unique</v>
      </c>
    </row>
    <row r="1481" customFormat="false" ht="14.15" hidden="false" customHeight="true" outlineLevel="0" collapsed="false">
      <c r="A1481" s="7" t="str">
        <f aca="false">TRIM(customer_churn_dataset!A1481)</f>
        <v>CUST101117</v>
      </c>
      <c r="B1481" s="7" t="str">
        <f aca="false">PROPER(TRIM(customer_churn_dataset!B1481))</f>
        <v>Premium</v>
      </c>
      <c r="C1481" s="7" t="str">
        <f aca="false">PROPER(TRIM(customer_churn_dataset!C1481))</f>
        <v>One Year</v>
      </c>
      <c r="D1481" s="7" t="n">
        <f aca="false">IF(ISBLANK(customer_churn_dataset!D1481),ROUND(MEDIAN(customer_churn_dataset!D$2:D$1501),2),IF(customer_churn_dataset!D1481&lt;0,ABS(customer_churn_dataset!D1481),customer_churn_dataset!D1481))</f>
        <v>38.84</v>
      </c>
      <c r="E1481" s="7" t="n">
        <f aca="false">IF(ISBLANK(customer_churn_dataset!E1481),0,MAX(0,customer_churn_dataset!E1481))</f>
        <v>1</v>
      </c>
      <c r="F1481" s="8" t="n">
        <f aca="false">IF(ISBLANK(customer_churn_dataset!F1481),"",customer_churn_dataset!F1481)</f>
        <v>45799</v>
      </c>
      <c r="G1481" s="7" t="str">
        <f aca="false">PROPER(TRIM(customer_churn_dataset!G1481))</f>
        <v>Paypal</v>
      </c>
      <c r="H1481" s="7" t="n">
        <f aca="false">IF(ISBLANK(customer_churn_dataset!H1481),0,customer_churn_dataset!H1481)</f>
        <v>1</v>
      </c>
      <c r="I1481" s="7" t="n">
        <f aca="false">IF(ISBLANK(customer_churn_dataset!I1481),ROUND(MEDIAN(customer_churn_dataset!I$2:I$1501),1),MIN(100,MAX(0,customer_churn_dataset!I1481)))</f>
        <v>79.9</v>
      </c>
      <c r="J1481" s="7" t="n">
        <f aca="false">IF(ISBLANK(customer_churn_dataset!J1481),0,MAX(0,customer_churn_dataset!J1481))</f>
        <v>24</v>
      </c>
      <c r="K1481" s="7" t="n">
        <f aca="false">IF(ISBLANK(customer_churn_dataset!K1481),0,MIN(10,MAX(0,customer_churn_dataset!K1481)))</f>
        <v>5</v>
      </c>
      <c r="L1481" s="7" t="n">
        <f aca="false">IF(ISBLANK(customer_churn_dataset!L1481),0,MAX(0,customer_churn_dataset!L1481))</f>
        <v>1</v>
      </c>
      <c r="M1481" s="7" t="n">
        <f aca="false">IF(ISBLANK(customer_churn_dataset!M1481),0,customer_churn_dataset!M1481)</f>
        <v>0</v>
      </c>
      <c r="N1481" s="7" t="n">
        <f aca="false">IF(ISBLANK(customer_churn_dataset!N1481),0,MAX(0,customer_churn_dataset!N1481))</f>
        <v>38.84</v>
      </c>
      <c r="O1481" s="7" t="n">
        <f aca="false">IF(ISBLANK(customer_churn_dataset!O1481),0,customer_churn_dataset!O1481)</f>
        <v>0</v>
      </c>
      <c r="P1481" s="7" t="str">
        <f aca="false">IF(COUNTIF(customer_churn_dataset!$A$2:$A$1501,customer_churn_dataset!A1481)&gt;1,"Duplicate","Unique")</f>
        <v>Unique</v>
      </c>
    </row>
    <row r="1482" customFormat="false" ht="14.15" hidden="false" customHeight="true" outlineLevel="0" collapsed="false">
      <c r="A1482" s="7" t="str">
        <f aca="false">TRIM(customer_churn_dataset!A1482)</f>
        <v>CUST101273</v>
      </c>
      <c r="B1482" s="7" t="str">
        <f aca="false">PROPER(TRIM(customer_churn_dataset!B1482))</f>
        <v>Basic</v>
      </c>
      <c r="C1482" s="7" t="str">
        <f aca="false">PROPER(TRIM(customer_churn_dataset!C1482))</f>
        <v>One Year</v>
      </c>
      <c r="D1482" s="7" t="n">
        <f aca="false">IF(ISBLANK(customer_churn_dataset!D1482),ROUND(MEDIAN(customer_churn_dataset!D$2:D$1501),2),IF(customer_churn_dataset!D1482&lt;0,ABS(customer_churn_dataset!D1482),customer_churn_dataset!D1482))</f>
        <v>9.82</v>
      </c>
      <c r="E1482" s="7" t="n">
        <f aca="false">IF(ISBLANK(customer_churn_dataset!E1482),0,MAX(0,customer_churn_dataset!E1482))</f>
        <v>35</v>
      </c>
      <c r="F1482" s="8" t="n">
        <f aca="false">IF(ISBLANK(customer_churn_dataset!F1482),"",customer_churn_dataset!F1482)</f>
        <v>45802</v>
      </c>
      <c r="G1482" s="7" t="str">
        <f aca="false">PROPER(TRIM(customer_churn_dataset!G1482))</f>
        <v>Credit Card</v>
      </c>
      <c r="H1482" s="7" t="n">
        <f aca="false">IF(ISBLANK(customer_churn_dataset!H1482),0,customer_churn_dataset!H1482)</f>
        <v>0</v>
      </c>
      <c r="I1482" s="7" t="n">
        <f aca="false">IF(ISBLANK(customer_churn_dataset!I1482),ROUND(MEDIAN(customer_churn_dataset!I$2:I$1501),1),MIN(100,MAX(0,customer_churn_dataset!I1482)))</f>
        <v>80.5</v>
      </c>
      <c r="J1482" s="7" t="n">
        <f aca="false">IF(ISBLANK(customer_churn_dataset!J1482),0,MAX(0,customer_churn_dataset!J1482))</f>
        <v>29</v>
      </c>
      <c r="K1482" s="7" t="n">
        <f aca="false">IF(ISBLANK(customer_churn_dataset!K1482),0,MIN(10,MAX(0,customer_churn_dataset!K1482)))</f>
        <v>7</v>
      </c>
      <c r="L1482" s="7" t="n">
        <f aca="false">IF(ISBLANK(customer_churn_dataset!L1482),0,MAX(0,customer_churn_dataset!L1482))</f>
        <v>0</v>
      </c>
      <c r="M1482" s="7" t="n">
        <f aca="false">IF(ISBLANK(customer_churn_dataset!M1482),0,customer_churn_dataset!M1482)</f>
        <v>0</v>
      </c>
      <c r="N1482" s="7" t="n">
        <f aca="false">IF(ISBLANK(customer_churn_dataset!N1482),0,MAX(0,customer_churn_dataset!N1482))</f>
        <v>343.7</v>
      </c>
      <c r="O1482" s="7" t="n">
        <f aca="false">IF(ISBLANK(customer_churn_dataset!O1482),0,customer_churn_dataset!O1482)</f>
        <v>0</v>
      </c>
      <c r="P1482" s="7" t="str">
        <f aca="false">IF(COUNTIF(customer_churn_dataset!$A$2:$A$1501,customer_churn_dataset!A1482)&gt;1,"Duplicate","Unique")</f>
        <v>Unique</v>
      </c>
    </row>
    <row r="1483" customFormat="false" ht="14.15" hidden="false" customHeight="true" outlineLevel="0" collapsed="false">
      <c r="A1483" s="7" t="str">
        <f aca="false">TRIM(customer_churn_dataset!A1483)</f>
        <v>CUST101066</v>
      </c>
      <c r="B1483" s="7" t="str">
        <f aca="false">PROPER(TRIM(customer_churn_dataset!B1483))</f>
        <v>Basic</v>
      </c>
      <c r="C1483" s="7" t="str">
        <f aca="false">PROPER(TRIM(customer_churn_dataset!C1483))</f>
        <v>Month-To-Month</v>
      </c>
      <c r="D1483" s="7" t="n">
        <f aca="false">IF(ISBLANK(customer_churn_dataset!D1483),ROUND(MEDIAN(customer_churn_dataset!D$2:D$1501),2),IF(customer_churn_dataset!D1483&lt;0,ABS(customer_churn_dataset!D1483),customer_churn_dataset!D1483))</f>
        <v>11.41</v>
      </c>
      <c r="E1483" s="7" t="n">
        <f aca="false">IF(ISBLANK(customer_churn_dataset!E1483),0,MAX(0,customer_churn_dataset!E1483))</f>
        <v>6</v>
      </c>
      <c r="F1483" s="8" t="n">
        <f aca="false">IF(ISBLANK(customer_churn_dataset!F1483),"",customer_churn_dataset!F1483)</f>
        <v>45802</v>
      </c>
      <c r="G1483" s="7" t="str">
        <f aca="false">PROPER(TRIM(customer_churn_dataset!G1483))</f>
        <v>Credit Card</v>
      </c>
      <c r="H1483" s="7" t="n">
        <f aca="false">IF(ISBLANK(customer_churn_dataset!H1483),0,customer_churn_dataset!H1483)</f>
        <v>1</v>
      </c>
      <c r="I1483" s="7" t="n">
        <f aca="false">IF(ISBLANK(customer_churn_dataset!I1483),ROUND(MEDIAN(customer_churn_dataset!I$2:I$1501),1),MIN(100,MAX(0,customer_churn_dataset!I1483)))</f>
        <v>72.5</v>
      </c>
      <c r="J1483" s="7" t="n">
        <f aca="false">IF(ISBLANK(customer_churn_dataset!J1483),0,MAX(0,customer_churn_dataset!J1483))</f>
        <v>26</v>
      </c>
      <c r="K1483" s="7" t="n">
        <f aca="false">IF(ISBLANK(customer_churn_dataset!K1483),0,MIN(10,MAX(0,customer_churn_dataset!K1483)))</f>
        <v>7</v>
      </c>
      <c r="L1483" s="7" t="n">
        <f aca="false">IF(ISBLANK(customer_churn_dataset!L1483),0,MAX(0,customer_churn_dataset!L1483))</f>
        <v>0</v>
      </c>
      <c r="M1483" s="7" t="n">
        <f aca="false">IF(ISBLANK(customer_churn_dataset!M1483),0,customer_churn_dataset!M1483)</f>
        <v>0</v>
      </c>
      <c r="N1483" s="7" t="n">
        <f aca="false">IF(ISBLANK(customer_churn_dataset!N1483),0,MAX(0,customer_churn_dataset!N1483))</f>
        <v>68.46</v>
      </c>
      <c r="O1483" s="7" t="n">
        <f aca="false">IF(ISBLANK(customer_churn_dataset!O1483),0,customer_churn_dataset!O1483)</f>
        <v>0</v>
      </c>
      <c r="P1483" s="7" t="str">
        <f aca="false">IF(COUNTIF(customer_churn_dataset!$A$2:$A$1501,customer_churn_dataset!A1483)&gt;1,"Duplicate","Unique")</f>
        <v>Unique</v>
      </c>
    </row>
    <row r="1484" customFormat="false" ht="14.15" hidden="false" customHeight="true" outlineLevel="0" collapsed="false">
      <c r="A1484" s="7" t="str">
        <f aca="false">TRIM(customer_churn_dataset!A1484)</f>
        <v>CUST100463</v>
      </c>
      <c r="B1484" s="7" t="str">
        <f aca="false">PROPER(TRIM(customer_churn_dataset!B1484))</f>
        <v>Standard</v>
      </c>
      <c r="C1484" s="7" t="str">
        <f aca="false">PROPER(TRIM(customer_churn_dataset!C1484))</f>
        <v>Month-To-Month</v>
      </c>
      <c r="D1484" s="7" t="n">
        <f aca="false">IF(ISBLANK(customer_churn_dataset!D1484),ROUND(MEDIAN(customer_churn_dataset!D$2:D$1501),2),IF(customer_churn_dataset!D1484&lt;0,ABS(customer_churn_dataset!D1484),customer_churn_dataset!D1484))</f>
        <v>19.32</v>
      </c>
      <c r="E1484" s="7" t="n">
        <f aca="false">IF(ISBLANK(customer_churn_dataset!E1484),0,MAX(0,customer_churn_dataset!E1484))</f>
        <v>15</v>
      </c>
      <c r="F1484" s="8" t="n">
        <f aca="false">IF(ISBLANK(customer_churn_dataset!F1484),"",customer_churn_dataset!F1484)</f>
        <v>45806</v>
      </c>
      <c r="G1484" s="7" t="str">
        <f aca="false">PROPER(TRIM(customer_churn_dataset!G1484))</f>
        <v>Credit Card</v>
      </c>
      <c r="H1484" s="7" t="n">
        <f aca="false">IF(ISBLANK(customer_churn_dataset!H1484),0,customer_churn_dataset!H1484)</f>
        <v>0</v>
      </c>
      <c r="I1484" s="7" t="n">
        <f aca="false">IF(ISBLANK(customer_churn_dataset!I1484),ROUND(MEDIAN(customer_churn_dataset!I$2:I$1501),1),MIN(100,MAX(0,customer_churn_dataset!I1484)))</f>
        <v>0.8</v>
      </c>
      <c r="J1484" s="7" t="n">
        <f aca="false">IF(ISBLANK(customer_churn_dataset!J1484),0,MAX(0,customer_churn_dataset!J1484))</f>
        <v>0</v>
      </c>
      <c r="K1484" s="7" t="n">
        <f aca="false">IF(ISBLANK(customer_churn_dataset!K1484),0,MIN(10,MAX(0,customer_churn_dataset!K1484)))</f>
        <v>0</v>
      </c>
      <c r="L1484" s="7" t="n">
        <f aca="false">IF(ISBLANK(customer_churn_dataset!L1484),0,MAX(0,customer_churn_dataset!L1484))</f>
        <v>5</v>
      </c>
      <c r="M1484" s="7" t="n">
        <f aca="false">IF(ISBLANK(customer_churn_dataset!M1484),0,customer_churn_dataset!M1484)</f>
        <v>0</v>
      </c>
      <c r="N1484" s="7" t="n">
        <f aca="false">IF(ISBLANK(customer_churn_dataset!N1484),0,MAX(0,customer_churn_dataset!N1484))</f>
        <v>289.8</v>
      </c>
      <c r="O1484" s="7" t="n">
        <f aca="false">IF(ISBLANK(customer_churn_dataset!O1484),0,customer_churn_dataset!O1484)</f>
        <v>1</v>
      </c>
      <c r="P1484" s="7" t="str">
        <f aca="false">IF(COUNTIF(customer_churn_dataset!$A$2:$A$1501,customer_churn_dataset!A1484)&gt;1,"Duplicate","Unique")</f>
        <v>Unique</v>
      </c>
    </row>
    <row r="1485" customFormat="false" ht="14.15" hidden="false" customHeight="true" outlineLevel="0" collapsed="false">
      <c r="A1485" s="7" t="str">
        <f aca="false">TRIM(customer_churn_dataset!A1485)</f>
        <v>CUST100174</v>
      </c>
      <c r="B1485" s="7" t="str">
        <f aca="false">PROPER(TRIM(customer_churn_dataset!B1485))</f>
        <v>Standard</v>
      </c>
      <c r="C1485" s="7" t="str">
        <f aca="false">PROPER(TRIM(customer_churn_dataset!C1485))</f>
        <v>Month-To-Month</v>
      </c>
      <c r="D1485" s="7" t="n">
        <f aca="false">IF(ISBLANK(customer_churn_dataset!D1485),ROUND(MEDIAN(customer_churn_dataset!D$2:D$1501),2),IF(customer_churn_dataset!D1485&lt;0,ABS(customer_churn_dataset!D1485),customer_churn_dataset!D1485))</f>
        <v>20.14</v>
      </c>
      <c r="E1485" s="7" t="n">
        <f aca="false">IF(ISBLANK(customer_churn_dataset!E1485),0,MAX(0,customer_churn_dataset!E1485))</f>
        <v>31</v>
      </c>
      <c r="F1485" s="8" t="n">
        <f aca="false">IF(ISBLANK(customer_churn_dataset!F1485),"",customer_churn_dataset!F1485)</f>
        <v>45807</v>
      </c>
      <c r="G1485" s="7" t="str">
        <f aca="false">PROPER(TRIM(customer_churn_dataset!G1485))</f>
        <v>Credit Card</v>
      </c>
      <c r="H1485" s="7" t="n">
        <f aca="false">IF(ISBLANK(customer_churn_dataset!H1485),0,customer_churn_dataset!H1485)</f>
        <v>1</v>
      </c>
      <c r="I1485" s="7" t="n">
        <f aca="false">IF(ISBLANK(customer_churn_dataset!I1485),ROUND(MEDIAN(customer_churn_dataset!I$2:I$1501),1),MIN(100,MAX(0,customer_churn_dataset!I1485)))</f>
        <v>51.6</v>
      </c>
      <c r="J1485" s="7" t="n">
        <f aca="false">IF(ISBLANK(customer_churn_dataset!J1485),0,MAX(0,customer_churn_dataset!J1485))</f>
        <v>27</v>
      </c>
      <c r="K1485" s="7" t="n">
        <f aca="false">IF(ISBLANK(customer_churn_dataset!K1485),0,MIN(10,MAX(0,customer_churn_dataset!K1485)))</f>
        <v>4</v>
      </c>
      <c r="L1485" s="7" t="n">
        <f aca="false">IF(ISBLANK(customer_churn_dataset!L1485),0,MAX(0,customer_churn_dataset!L1485))</f>
        <v>1</v>
      </c>
      <c r="M1485" s="7" t="n">
        <f aca="false">IF(ISBLANK(customer_churn_dataset!M1485),0,customer_churn_dataset!M1485)</f>
        <v>1</v>
      </c>
      <c r="N1485" s="7" t="n">
        <f aca="false">IF(ISBLANK(customer_churn_dataset!N1485),0,MAX(0,customer_churn_dataset!N1485))</f>
        <v>624.34</v>
      </c>
      <c r="O1485" s="7" t="n">
        <f aca="false">IF(ISBLANK(customer_churn_dataset!O1485),0,customer_churn_dataset!O1485)</f>
        <v>0</v>
      </c>
      <c r="P1485" s="7" t="str">
        <f aca="false">IF(COUNTIF(customer_churn_dataset!$A$2:$A$1501,customer_churn_dataset!A1485)&gt;1,"Duplicate","Unique")</f>
        <v>Unique</v>
      </c>
    </row>
    <row r="1486" customFormat="false" ht="14.15" hidden="false" customHeight="true" outlineLevel="0" collapsed="false">
      <c r="A1486" s="7" t="str">
        <f aca="false">TRIM(customer_churn_dataset!A1486)</f>
        <v>CUST100096</v>
      </c>
      <c r="B1486" s="7" t="str">
        <f aca="false">PROPER(TRIM(customer_churn_dataset!B1486))</f>
        <v>Standard</v>
      </c>
      <c r="C1486" s="7" t="str">
        <f aca="false">PROPER(TRIM(customer_churn_dataset!C1486))</f>
        <v>One Year</v>
      </c>
      <c r="D1486" s="7" t="n">
        <f aca="false">IF(ISBLANK(customer_churn_dataset!D1486),ROUND(MEDIAN(customer_churn_dataset!D$2:D$1501),2),IF(customer_churn_dataset!D1486&lt;0,ABS(customer_churn_dataset!D1486),customer_churn_dataset!D1486))</f>
        <v>21.66</v>
      </c>
      <c r="E1486" s="7" t="n">
        <f aca="false">IF(ISBLANK(customer_churn_dataset!E1486),0,MAX(0,customer_churn_dataset!E1486))</f>
        <v>7</v>
      </c>
      <c r="F1486" s="8" t="n">
        <f aca="false">IF(ISBLANK(customer_churn_dataset!F1486),"",customer_churn_dataset!F1486)</f>
        <v>45807</v>
      </c>
      <c r="G1486" s="7" t="str">
        <f aca="false">PROPER(TRIM(customer_churn_dataset!G1486))</f>
        <v>Manual/Invoice</v>
      </c>
      <c r="H1486" s="7" t="n">
        <f aca="false">IF(ISBLANK(customer_churn_dataset!H1486),0,customer_churn_dataset!H1486)</f>
        <v>1</v>
      </c>
      <c r="I1486" s="7" t="n">
        <f aca="false">IF(ISBLANK(customer_churn_dataset!I1486),ROUND(MEDIAN(customer_churn_dataset!I$2:I$1501),1),MIN(100,MAX(0,customer_churn_dataset!I1486)))</f>
        <v>36.4</v>
      </c>
      <c r="J1486" s="7" t="n">
        <f aca="false">IF(ISBLANK(customer_churn_dataset!J1486),0,MAX(0,customer_churn_dataset!J1486))</f>
        <v>6</v>
      </c>
      <c r="K1486" s="7" t="n">
        <f aca="false">IF(ISBLANK(customer_churn_dataset!K1486),0,MIN(10,MAX(0,customer_churn_dataset!K1486)))</f>
        <v>3</v>
      </c>
      <c r="L1486" s="7" t="n">
        <f aca="false">IF(ISBLANK(customer_churn_dataset!L1486),0,MAX(0,customer_churn_dataset!L1486))</f>
        <v>0</v>
      </c>
      <c r="M1486" s="7" t="n">
        <f aca="false">IF(ISBLANK(customer_churn_dataset!M1486),0,customer_churn_dataset!M1486)</f>
        <v>0</v>
      </c>
      <c r="N1486" s="7" t="n">
        <f aca="false">IF(ISBLANK(customer_churn_dataset!N1486),0,MAX(0,customer_churn_dataset!N1486))</f>
        <v>151.62</v>
      </c>
      <c r="O1486" s="7" t="n">
        <f aca="false">IF(ISBLANK(customer_churn_dataset!O1486),0,customer_churn_dataset!O1486)</f>
        <v>0</v>
      </c>
      <c r="P1486" s="7" t="str">
        <f aca="false">IF(COUNTIF(customer_churn_dataset!$A$2:$A$1501,customer_churn_dataset!A1486)&gt;1,"Duplicate","Unique")</f>
        <v>Unique</v>
      </c>
    </row>
    <row r="1487" customFormat="false" ht="14.15" hidden="false" customHeight="true" outlineLevel="0" collapsed="false">
      <c r="A1487" s="7" t="str">
        <f aca="false">TRIM(customer_churn_dataset!A1487)</f>
        <v>CUST100326</v>
      </c>
      <c r="B1487" s="7" t="str">
        <f aca="false">PROPER(TRIM(customer_churn_dataset!B1487))</f>
        <v>Standard</v>
      </c>
      <c r="C1487" s="7" t="str">
        <f aca="false">PROPER(TRIM(customer_churn_dataset!C1487))</f>
        <v>One Year</v>
      </c>
      <c r="D1487" s="7" t="n">
        <f aca="false">IF(ISBLANK(customer_churn_dataset!D1487),ROUND(MEDIAN(customer_churn_dataset!D$2:D$1501),2),IF(customer_churn_dataset!D1487&lt;0,ABS(customer_churn_dataset!D1487),customer_churn_dataset!D1487))</f>
        <v>18.57</v>
      </c>
      <c r="E1487" s="7" t="n">
        <f aca="false">IF(ISBLANK(customer_churn_dataset!E1487),0,MAX(0,customer_churn_dataset!E1487))</f>
        <v>31</v>
      </c>
      <c r="F1487" s="8" t="n">
        <f aca="false">IF(ISBLANK(customer_churn_dataset!F1487),"",customer_churn_dataset!F1487)</f>
        <v>45809</v>
      </c>
      <c r="G1487" s="7" t="str">
        <f aca="false">PROPER(TRIM(customer_churn_dataset!G1487))</f>
        <v>Paypal</v>
      </c>
      <c r="H1487" s="7" t="n">
        <f aca="false">IF(ISBLANK(customer_churn_dataset!H1487),0,customer_churn_dataset!H1487)</f>
        <v>0</v>
      </c>
      <c r="I1487" s="7" t="n">
        <f aca="false">IF(ISBLANK(customer_churn_dataset!I1487),ROUND(MEDIAN(customer_churn_dataset!I$2:I$1501),1),MIN(100,MAX(0,customer_churn_dataset!I1487)))</f>
        <v>48.2</v>
      </c>
      <c r="J1487" s="7" t="n">
        <f aca="false">IF(ISBLANK(customer_churn_dataset!J1487),0,MAX(0,customer_churn_dataset!J1487))</f>
        <v>10</v>
      </c>
      <c r="K1487" s="7" t="n">
        <f aca="false">IF(ISBLANK(customer_churn_dataset!K1487),0,MIN(10,MAX(0,customer_churn_dataset!K1487)))</f>
        <v>3</v>
      </c>
      <c r="L1487" s="7" t="n">
        <f aca="false">IF(ISBLANK(customer_churn_dataset!L1487),0,MAX(0,customer_churn_dataset!L1487))</f>
        <v>3</v>
      </c>
      <c r="M1487" s="7" t="n">
        <f aca="false">IF(ISBLANK(customer_churn_dataset!M1487),0,customer_churn_dataset!M1487)</f>
        <v>1</v>
      </c>
      <c r="N1487" s="7" t="n">
        <f aca="false">IF(ISBLANK(customer_churn_dataset!N1487),0,MAX(0,customer_churn_dataset!N1487))</f>
        <v>575.67</v>
      </c>
      <c r="O1487" s="7" t="n">
        <f aca="false">IF(ISBLANK(customer_churn_dataset!O1487),0,customer_churn_dataset!O1487)</f>
        <v>0</v>
      </c>
      <c r="P1487" s="7" t="str">
        <f aca="false">IF(COUNTIF(customer_churn_dataset!$A$2:$A$1501,customer_churn_dataset!A1487)&gt;1,"Duplicate","Unique")</f>
        <v>Unique</v>
      </c>
    </row>
    <row r="1488" customFormat="false" ht="14.15" hidden="false" customHeight="true" outlineLevel="0" collapsed="false">
      <c r="A1488" s="7" t="str">
        <f aca="false">TRIM(customer_churn_dataset!A1488)</f>
        <v>CUST100167</v>
      </c>
      <c r="B1488" s="7" t="str">
        <f aca="false">PROPER(TRIM(customer_churn_dataset!B1488))</f>
        <v>Basic</v>
      </c>
      <c r="C1488" s="7" t="str">
        <f aca="false">PROPER(TRIM(customer_churn_dataset!C1488))</f>
        <v>Month-To-Month</v>
      </c>
      <c r="D1488" s="7" t="n">
        <f aca="false">IF(ISBLANK(customer_churn_dataset!D1488),ROUND(MEDIAN(customer_churn_dataset!D$2:D$1501),2),IF(customer_churn_dataset!D1488&lt;0,ABS(customer_churn_dataset!D1488),customer_churn_dataset!D1488))</f>
        <v>9.85</v>
      </c>
      <c r="E1488" s="7" t="n">
        <f aca="false">IF(ISBLANK(customer_churn_dataset!E1488),0,MAX(0,customer_churn_dataset!E1488))</f>
        <v>20</v>
      </c>
      <c r="F1488" s="8" t="n">
        <f aca="false">IF(ISBLANK(customer_churn_dataset!F1488),"",customer_churn_dataset!F1488)</f>
        <v>45810</v>
      </c>
      <c r="G1488" s="7" t="str">
        <f aca="false">PROPER(TRIM(customer_churn_dataset!G1488))</f>
        <v>Credit Card</v>
      </c>
      <c r="H1488" s="7" t="n">
        <f aca="false">IF(ISBLANK(customer_churn_dataset!H1488),0,customer_churn_dataset!H1488)</f>
        <v>1</v>
      </c>
      <c r="I1488" s="7" t="n">
        <f aca="false">IF(ISBLANK(customer_churn_dataset!I1488),ROUND(MEDIAN(customer_churn_dataset!I$2:I$1501),1),MIN(100,MAX(0,customer_churn_dataset!I1488)))</f>
        <v>9</v>
      </c>
      <c r="J1488" s="7" t="n">
        <f aca="false">IF(ISBLANK(customer_churn_dataset!J1488),0,MAX(0,customer_churn_dataset!J1488))</f>
        <v>6</v>
      </c>
      <c r="K1488" s="7" t="n">
        <f aca="false">IF(ISBLANK(customer_churn_dataset!K1488),0,MIN(10,MAX(0,customer_churn_dataset!K1488)))</f>
        <v>3</v>
      </c>
      <c r="L1488" s="7" t="n">
        <f aca="false">IF(ISBLANK(customer_churn_dataset!L1488),0,MAX(0,customer_churn_dataset!L1488))</f>
        <v>4</v>
      </c>
      <c r="M1488" s="7" t="n">
        <f aca="false">IF(ISBLANK(customer_churn_dataset!M1488),0,customer_churn_dataset!M1488)</f>
        <v>1</v>
      </c>
      <c r="N1488" s="7" t="n">
        <f aca="false">IF(ISBLANK(customer_churn_dataset!N1488),0,MAX(0,customer_churn_dataset!N1488))</f>
        <v>197</v>
      </c>
      <c r="O1488" s="7" t="n">
        <f aca="false">IF(ISBLANK(customer_churn_dataset!O1488),0,customer_churn_dataset!O1488)</f>
        <v>1</v>
      </c>
      <c r="P1488" s="7" t="str">
        <f aca="false">IF(COUNTIF(customer_churn_dataset!$A$2:$A$1501,customer_churn_dataset!A1488)&gt;1,"Duplicate","Unique")</f>
        <v>Unique</v>
      </c>
    </row>
    <row r="1489" customFormat="false" ht="14.15" hidden="false" customHeight="true" outlineLevel="0" collapsed="false">
      <c r="A1489" s="7" t="str">
        <f aca="false">TRIM(customer_churn_dataset!A1489)</f>
        <v>CUST101373</v>
      </c>
      <c r="B1489" s="7" t="str">
        <f aca="false">PROPER(TRIM(customer_churn_dataset!B1489))</f>
        <v>Standard</v>
      </c>
      <c r="C1489" s="7" t="str">
        <f aca="false">PROPER(TRIM(customer_churn_dataset!C1489))</f>
        <v>One Year</v>
      </c>
      <c r="D1489" s="7" t="n">
        <f aca="false">IF(ISBLANK(customer_churn_dataset!D1489),ROUND(MEDIAN(customer_churn_dataset!D$2:D$1501),2),IF(customer_churn_dataset!D1489&lt;0,ABS(customer_churn_dataset!D1489),customer_churn_dataset!D1489))</f>
        <v>19.07</v>
      </c>
      <c r="E1489" s="7" t="n">
        <f aca="false">IF(ISBLANK(customer_churn_dataset!E1489),0,MAX(0,customer_churn_dataset!E1489))</f>
        <v>49</v>
      </c>
      <c r="F1489" s="8" t="n">
        <f aca="false">IF(ISBLANK(customer_churn_dataset!F1489),"",customer_churn_dataset!F1489)</f>
        <v>45810</v>
      </c>
      <c r="G1489" s="7" t="str">
        <f aca="false">PROPER(TRIM(customer_churn_dataset!G1489))</f>
        <v>Credit Card</v>
      </c>
      <c r="H1489" s="7" t="n">
        <f aca="false">IF(ISBLANK(customer_churn_dataset!H1489),0,customer_churn_dataset!H1489)</f>
        <v>0</v>
      </c>
      <c r="I1489" s="7" t="n">
        <f aca="false">IF(ISBLANK(customer_churn_dataset!I1489),ROUND(MEDIAN(customer_churn_dataset!I$2:I$1501),1),MIN(100,MAX(0,customer_churn_dataset!I1489)))</f>
        <v>84.7</v>
      </c>
      <c r="J1489" s="7" t="n">
        <f aca="false">IF(ISBLANK(customer_churn_dataset!J1489),0,MAX(0,customer_churn_dataset!J1489))</f>
        <v>31</v>
      </c>
      <c r="K1489" s="7" t="n">
        <f aca="false">IF(ISBLANK(customer_churn_dataset!K1489),0,MIN(10,MAX(0,customer_churn_dataset!K1489)))</f>
        <v>9</v>
      </c>
      <c r="L1489" s="7" t="n">
        <f aca="false">IF(ISBLANK(customer_churn_dataset!L1489),0,MAX(0,customer_churn_dataset!L1489))</f>
        <v>1</v>
      </c>
      <c r="M1489" s="7" t="n">
        <f aca="false">IF(ISBLANK(customer_churn_dataset!M1489),0,customer_churn_dataset!M1489)</f>
        <v>0</v>
      </c>
      <c r="N1489" s="7" t="n">
        <f aca="false">IF(ISBLANK(customer_churn_dataset!N1489),0,MAX(0,customer_churn_dataset!N1489))</f>
        <v>934.43</v>
      </c>
      <c r="O1489" s="7" t="n">
        <f aca="false">IF(ISBLANK(customer_churn_dataset!O1489),0,customer_churn_dataset!O1489)</f>
        <v>0</v>
      </c>
      <c r="P1489" s="7" t="str">
        <f aca="false">IF(COUNTIF(customer_churn_dataset!$A$2:$A$1501,customer_churn_dataset!A1489)&gt;1,"Duplicate","Unique")</f>
        <v>Unique</v>
      </c>
    </row>
    <row r="1490" customFormat="false" ht="14.15" hidden="false" customHeight="true" outlineLevel="0" collapsed="false">
      <c r="A1490" s="7" t="str">
        <f aca="false">TRIM(customer_churn_dataset!A1490)</f>
        <v>CUST100853</v>
      </c>
      <c r="B1490" s="7" t="str">
        <f aca="false">PROPER(TRIM(customer_churn_dataset!B1490))</f>
        <v>Premium</v>
      </c>
      <c r="C1490" s="7" t="str">
        <f aca="false">PROPER(TRIM(customer_churn_dataset!C1490))</f>
        <v>Month-To-Month</v>
      </c>
      <c r="D1490" s="7" t="n">
        <f aca="false">IF(ISBLANK(customer_churn_dataset!D1490),ROUND(MEDIAN(customer_churn_dataset!D$2:D$1501),2),IF(customer_churn_dataset!D1490&lt;0,ABS(customer_churn_dataset!D1490),customer_churn_dataset!D1490))</f>
        <v>39.05</v>
      </c>
      <c r="E1490" s="7" t="n">
        <f aca="false">IF(ISBLANK(customer_churn_dataset!E1490),0,MAX(0,customer_churn_dataset!E1490))</f>
        <v>3</v>
      </c>
      <c r="F1490" s="8" t="n">
        <f aca="false">IF(ISBLANK(customer_churn_dataset!F1490),"",customer_churn_dataset!F1490)</f>
        <v>45811</v>
      </c>
      <c r="G1490" s="7" t="str">
        <f aca="false">PROPER(TRIM(customer_churn_dataset!G1490))</f>
        <v>Manual/Invoice</v>
      </c>
      <c r="H1490" s="7" t="n">
        <f aca="false">IF(ISBLANK(customer_churn_dataset!H1490),0,customer_churn_dataset!H1490)</f>
        <v>1</v>
      </c>
      <c r="I1490" s="7" t="n">
        <f aca="false">IF(ISBLANK(customer_churn_dataset!I1490),ROUND(MEDIAN(customer_churn_dataset!I$2:I$1501),1),MIN(100,MAX(0,customer_churn_dataset!I1490)))</f>
        <v>61.5</v>
      </c>
      <c r="J1490" s="7" t="n">
        <f aca="false">IF(ISBLANK(customer_churn_dataset!J1490),0,MAX(0,customer_churn_dataset!J1490))</f>
        <v>18</v>
      </c>
      <c r="K1490" s="7" t="n">
        <f aca="false">IF(ISBLANK(customer_churn_dataset!K1490),0,MIN(10,MAX(0,customer_churn_dataset!K1490)))</f>
        <v>5</v>
      </c>
      <c r="L1490" s="7" t="n">
        <f aca="false">IF(ISBLANK(customer_churn_dataset!L1490),0,MAX(0,customer_churn_dataset!L1490))</f>
        <v>1</v>
      </c>
      <c r="M1490" s="7" t="n">
        <f aca="false">IF(ISBLANK(customer_churn_dataset!M1490),0,customer_churn_dataset!M1490)</f>
        <v>0</v>
      </c>
      <c r="N1490" s="7" t="n">
        <f aca="false">IF(ISBLANK(customer_churn_dataset!N1490),0,MAX(0,customer_churn_dataset!N1490))</f>
        <v>117.15</v>
      </c>
      <c r="O1490" s="7" t="n">
        <f aca="false">IF(ISBLANK(customer_churn_dataset!O1490),0,customer_churn_dataset!O1490)</f>
        <v>0</v>
      </c>
      <c r="P1490" s="7" t="str">
        <f aca="false">IF(COUNTIF(customer_churn_dataset!$A$2:$A$1501,customer_churn_dataset!A1490)&gt;1,"Duplicate","Unique")</f>
        <v>Unique</v>
      </c>
    </row>
    <row r="1491" customFormat="false" ht="14.15" hidden="false" customHeight="true" outlineLevel="0" collapsed="false">
      <c r="A1491" s="7" t="str">
        <f aca="false">TRIM(customer_churn_dataset!A1491)</f>
        <v>CUST101000</v>
      </c>
      <c r="B1491" s="7" t="str">
        <f aca="false">PROPER(TRIM(customer_churn_dataset!B1491))</f>
        <v>Basic</v>
      </c>
      <c r="C1491" s="7" t="str">
        <f aca="false">PROPER(TRIM(customer_churn_dataset!C1491))</f>
        <v>Month-To-Month</v>
      </c>
      <c r="D1491" s="7" t="n">
        <f aca="false">IF(ISBLANK(customer_churn_dataset!D1491),ROUND(MEDIAN(customer_churn_dataset!D$2:D$1501),2),IF(customer_churn_dataset!D1491&lt;0,ABS(customer_churn_dataset!D1491),customer_churn_dataset!D1491))</f>
        <v>8.88</v>
      </c>
      <c r="E1491" s="7" t="n">
        <f aca="false">IF(ISBLANK(customer_churn_dataset!E1491),0,MAX(0,customer_churn_dataset!E1491))</f>
        <v>28</v>
      </c>
      <c r="F1491" s="8" t="n">
        <f aca="false">IF(ISBLANK(customer_churn_dataset!F1491),"",customer_churn_dataset!F1491)</f>
        <v>45814</v>
      </c>
      <c r="G1491" s="7" t="str">
        <f aca="false">PROPER(TRIM(customer_churn_dataset!G1491))</f>
        <v>Paypal</v>
      </c>
      <c r="H1491" s="7" t="n">
        <f aca="false">IF(ISBLANK(customer_churn_dataset!H1491),0,customer_churn_dataset!H1491)</f>
        <v>1</v>
      </c>
      <c r="I1491" s="7" t="n">
        <f aca="false">IF(ISBLANK(customer_churn_dataset!I1491),ROUND(MEDIAN(customer_churn_dataset!I$2:I$1501),1),MIN(100,MAX(0,customer_churn_dataset!I1491)))</f>
        <v>57.8</v>
      </c>
      <c r="J1491" s="7" t="n">
        <f aca="false">IF(ISBLANK(customer_churn_dataset!J1491),0,MAX(0,customer_churn_dataset!J1491))</f>
        <v>24</v>
      </c>
      <c r="K1491" s="7" t="n">
        <f aca="false">IF(ISBLANK(customer_churn_dataset!K1491),0,MIN(10,MAX(0,customer_churn_dataset!K1491)))</f>
        <v>6</v>
      </c>
      <c r="L1491" s="7" t="n">
        <f aca="false">IF(ISBLANK(customer_churn_dataset!L1491),0,MAX(0,customer_churn_dataset!L1491))</f>
        <v>0</v>
      </c>
      <c r="M1491" s="7" t="n">
        <f aca="false">IF(ISBLANK(customer_churn_dataset!M1491),0,customer_churn_dataset!M1491)</f>
        <v>0</v>
      </c>
      <c r="N1491" s="7" t="n">
        <f aca="false">IF(ISBLANK(customer_churn_dataset!N1491),0,MAX(0,customer_churn_dataset!N1491))</f>
        <v>248.64</v>
      </c>
      <c r="O1491" s="7" t="n">
        <f aca="false">IF(ISBLANK(customer_churn_dataset!O1491),0,customer_churn_dataset!O1491)</f>
        <v>0</v>
      </c>
      <c r="P1491" s="7" t="str">
        <f aca="false">IF(COUNTIF(customer_churn_dataset!$A$2:$A$1501,customer_churn_dataset!A1491)&gt;1,"Duplicate","Unique")</f>
        <v>Unique</v>
      </c>
    </row>
    <row r="1492" customFormat="false" ht="14.15" hidden="false" customHeight="true" outlineLevel="0" collapsed="false">
      <c r="A1492" s="7" t="str">
        <f aca="false">TRIM(customer_churn_dataset!A1492)</f>
        <v>CUST101025</v>
      </c>
      <c r="B1492" s="7" t="str">
        <f aca="false">PROPER(TRIM(customer_churn_dataset!B1492))</f>
        <v>Standard</v>
      </c>
      <c r="C1492" s="7" t="str">
        <f aca="false">PROPER(TRIM(customer_churn_dataset!C1492))</f>
        <v>Month-To-Month</v>
      </c>
      <c r="D1492" s="7" t="n">
        <f aca="false">IF(ISBLANK(customer_churn_dataset!D1492),ROUND(MEDIAN(customer_churn_dataset!D$2:D$1501),2),IF(customer_churn_dataset!D1492&lt;0,ABS(customer_churn_dataset!D1492),customer_churn_dataset!D1492))</f>
        <v>21.52</v>
      </c>
      <c r="E1492" s="7" t="n">
        <f aca="false">IF(ISBLANK(customer_churn_dataset!E1492),0,MAX(0,customer_churn_dataset!E1492))</f>
        <v>19</v>
      </c>
      <c r="F1492" s="8" t="n">
        <f aca="false">IF(ISBLANK(customer_churn_dataset!F1492),"",customer_churn_dataset!F1492)</f>
        <v>45816</v>
      </c>
      <c r="G1492" s="7" t="str">
        <f aca="false">PROPER(TRIM(customer_churn_dataset!G1492))</f>
        <v>Credit Card</v>
      </c>
      <c r="H1492" s="7" t="n">
        <f aca="false">IF(ISBLANK(customer_churn_dataset!H1492),0,customer_churn_dataset!H1492)</f>
        <v>1</v>
      </c>
      <c r="I1492" s="7" t="n">
        <f aca="false">IF(ISBLANK(customer_churn_dataset!I1492),ROUND(MEDIAN(customer_churn_dataset!I$2:I$1501),1),MIN(100,MAX(0,customer_churn_dataset!I1492)))</f>
        <v>32.6</v>
      </c>
      <c r="J1492" s="7" t="n">
        <f aca="false">IF(ISBLANK(customer_churn_dataset!J1492),0,MAX(0,customer_churn_dataset!J1492))</f>
        <v>8</v>
      </c>
      <c r="K1492" s="7" t="n">
        <f aca="false">IF(ISBLANK(customer_churn_dataset!K1492),0,MIN(10,MAX(0,customer_churn_dataset!K1492)))</f>
        <v>5</v>
      </c>
      <c r="L1492" s="7" t="n">
        <f aca="false">IF(ISBLANK(customer_churn_dataset!L1492),0,MAX(0,customer_churn_dataset!L1492))</f>
        <v>0</v>
      </c>
      <c r="M1492" s="7" t="n">
        <f aca="false">IF(ISBLANK(customer_churn_dataset!M1492),0,customer_churn_dataset!M1492)</f>
        <v>0</v>
      </c>
      <c r="N1492" s="7" t="n">
        <f aca="false">IF(ISBLANK(customer_churn_dataset!N1492),0,MAX(0,customer_churn_dataset!N1492))</f>
        <v>408.88</v>
      </c>
      <c r="O1492" s="7" t="n">
        <f aca="false">IF(ISBLANK(customer_churn_dataset!O1492),0,customer_churn_dataset!O1492)</f>
        <v>0</v>
      </c>
      <c r="P1492" s="7" t="str">
        <f aca="false">IF(COUNTIF(customer_churn_dataset!$A$2:$A$1501,customer_churn_dataset!A1492)&gt;1,"Duplicate","Unique")</f>
        <v>Unique</v>
      </c>
    </row>
    <row r="1493" customFormat="false" ht="14.15" hidden="false" customHeight="true" outlineLevel="0" collapsed="false">
      <c r="A1493" s="7" t="str">
        <f aca="false">TRIM(customer_churn_dataset!A1493)</f>
        <v>CUST101120</v>
      </c>
      <c r="B1493" s="7" t="str">
        <f aca="false">PROPER(TRIM(customer_churn_dataset!B1493))</f>
        <v>Premium</v>
      </c>
      <c r="C1493" s="7" t="str">
        <f aca="false">PROPER(TRIM(customer_churn_dataset!C1493))</f>
        <v>Month-To-Month</v>
      </c>
      <c r="D1493" s="7" t="n">
        <f aca="false">IF(ISBLANK(customer_churn_dataset!D1493),ROUND(MEDIAN(customer_churn_dataset!D$2:D$1501),2),IF(customer_churn_dataset!D1493&lt;0,ABS(customer_churn_dataset!D1493),customer_churn_dataset!D1493))</f>
        <v>38.26</v>
      </c>
      <c r="E1493" s="7" t="n">
        <f aca="false">IF(ISBLANK(customer_churn_dataset!E1493),0,MAX(0,customer_churn_dataset!E1493))</f>
        <v>18</v>
      </c>
      <c r="F1493" s="8" t="n">
        <f aca="false">IF(ISBLANK(customer_churn_dataset!F1493),"",customer_churn_dataset!F1493)</f>
        <v>45816</v>
      </c>
      <c r="G1493" s="7" t="str">
        <f aca="false">PROPER(TRIM(customer_churn_dataset!G1493))</f>
        <v>Credit Card</v>
      </c>
      <c r="H1493" s="7" t="n">
        <f aca="false">IF(ISBLANK(customer_churn_dataset!H1493),0,customer_churn_dataset!H1493)</f>
        <v>1</v>
      </c>
      <c r="I1493" s="7" t="n">
        <f aca="false">IF(ISBLANK(customer_churn_dataset!I1493),ROUND(MEDIAN(customer_churn_dataset!I$2:I$1501),1),MIN(100,MAX(0,customer_churn_dataset!I1493)))</f>
        <v>67.7</v>
      </c>
      <c r="J1493" s="7" t="n">
        <f aca="false">IF(ISBLANK(customer_churn_dataset!J1493),0,MAX(0,customer_churn_dataset!J1493))</f>
        <v>22</v>
      </c>
      <c r="K1493" s="7" t="n">
        <f aca="false">IF(ISBLANK(customer_churn_dataset!K1493),0,MIN(10,MAX(0,customer_churn_dataset!K1493)))</f>
        <v>7</v>
      </c>
      <c r="L1493" s="7" t="n">
        <f aca="false">IF(ISBLANK(customer_churn_dataset!L1493),0,MAX(0,customer_churn_dataset!L1493))</f>
        <v>2</v>
      </c>
      <c r="M1493" s="7" t="n">
        <f aca="false">IF(ISBLANK(customer_churn_dataset!M1493),0,customer_churn_dataset!M1493)</f>
        <v>0</v>
      </c>
      <c r="N1493" s="7" t="n">
        <f aca="false">IF(ISBLANK(customer_churn_dataset!N1493),0,MAX(0,customer_churn_dataset!N1493))</f>
        <v>688.68</v>
      </c>
      <c r="O1493" s="7" t="n">
        <f aca="false">IF(ISBLANK(customer_churn_dataset!O1493),0,customer_churn_dataset!O1493)</f>
        <v>0</v>
      </c>
      <c r="P1493" s="7" t="str">
        <f aca="false">IF(COUNTIF(customer_churn_dataset!$A$2:$A$1501,customer_churn_dataset!A1493)&gt;1,"Duplicate","Unique")</f>
        <v>Unique</v>
      </c>
    </row>
    <row r="1494" customFormat="false" ht="14.15" hidden="false" customHeight="true" outlineLevel="0" collapsed="false">
      <c r="A1494" s="7" t="str">
        <f aca="false">TRIM(customer_churn_dataset!A1494)</f>
        <v>CUST100382</v>
      </c>
      <c r="B1494" s="7" t="str">
        <f aca="false">PROPER(TRIM(customer_churn_dataset!B1494))</f>
        <v>Standard</v>
      </c>
      <c r="C1494" s="7" t="str">
        <f aca="false">PROPER(TRIM(customer_churn_dataset!C1494))</f>
        <v>Month-To-Month</v>
      </c>
      <c r="D1494" s="7" t="n">
        <f aca="false">IF(ISBLANK(customer_churn_dataset!D1494),ROUND(MEDIAN(customer_churn_dataset!D$2:D$1501),2),IF(customer_churn_dataset!D1494&lt;0,ABS(customer_churn_dataset!D1494),customer_churn_dataset!D1494))</f>
        <v>21.65</v>
      </c>
      <c r="E1494" s="7" t="n">
        <f aca="false">IF(ISBLANK(customer_churn_dataset!E1494),0,MAX(0,customer_churn_dataset!E1494))</f>
        <v>13</v>
      </c>
      <c r="F1494" s="8" t="n">
        <f aca="false">IF(ISBLANK(customer_churn_dataset!F1494),"",customer_churn_dataset!F1494)</f>
        <v>45819</v>
      </c>
      <c r="G1494" s="7" t="str">
        <f aca="false">PROPER(TRIM(customer_churn_dataset!G1494))</f>
        <v>Manual/Invoice</v>
      </c>
      <c r="H1494" s="7" t="n">
        <f aca="false">IF(ISBLANK(customer_churn_dataset!H1494),0,customer_churn_dataset!H1494)</f>
        <v>1</v>
      </c>
      <c r="I1494" s="7" t="n">
        <f aca="false">IF(ISBLANK(customer_churn_dataset!I1494),ROUND(MEDIAN(customer_churn_dataset!I$2:I$1501),1),MIN(100,MAX(0,customer_churn_dataset!I1494)))</f>
        <v>49.6</v>
      </c>
      <c r="J1494" s="7" t="n">
        <f aca="false">IF(ISBLANK(customer_churn_dataset!J1494),0,MAX(0,customer_churn_dataset!J1494))</f>
        <v>13</v>
      </c>
      <c r="K1494" s="7" t="n">
        <f aca="false">IF(ISBLANK(customer_churn_dataset!K1494),0,MIN(10,MAX(0,customer_churn_dataset!K1494)))</f>
        <v>3</v>
      </c>
      <c r="L1494" s="7" t="n">
        <f aca="false">IF(ISBLANK(customer_churn_dataset!L1494),0,MAX(0,customer_churn_dataset!L1494))</f>
        <v>4</v>
      </c>
      <c r="M1494" s="7" t="n">
        <f aca="false">IF(ISBLANK(customer_churn_dataset!M1494),0,customer_churn_dataset!M1494)</f>
        <v>0</v>
      </c>
      <c r="N1494" s="7" t="n">
        <f aca="false">IF(ISBLANK(customer_churn_dataset!N1494),0,MAX(0,customer_churn_dataset!N1494))</f>
        <v>281.45</v>
      </c>
      <c r="O1494" s="7" t="n">
        <f aca="false">IF(ISBLANK(customer_churn_dataset!O1494),0,customer_churn_dataset!O1494)</f>
        <v>1</v>
      </c>
      <c r="P1494" s="7" t="str">
        <f aca="false">IF(COUNTIF(customer_churn_dataset!$A$2:$A$1501,customer_churn_dataset!A1494)&gt;1,"Duplicate","Unique")</f>
        <v>Unique</v>
      </c>
    </row>
    <row r="1495" customFormat="false" ht="14.15" hidden="false" customHeight="true" outlineLevel="0" collapsed="false">
      <c r="A1495" s="7" t="str">
        <f aca="false">TRIM(customer_churn_dataset!A1495)</f>
        <v>CUST101103</v>
      </c>
      <c r="B1495" s="7" t="str">
        <f aca="false">PROPER(TRIM(customer_churn_dataset!B1495))</f>
        <v>Premium</v>
      </c>
      <c r="C1495" s="7" t="str">
        <f aca="false">PROPER(TRIM(customer_churn_dataset!C1495))</f>
        <v>Two Year</v>
      </c>
      <c r="D1495" s="7" t="n">
        <f aca="false">IF(ISBLANK(customer_churn_dataset!D1495),ROUND(MEDIAN(customer_churn_dataset!D$2:D$1501),2),IF(customer_churn_dataset!D1495&lt;0,ABS(customer_churn_dataset!D1495),customer_churn_dataset!D1495))</f>
        <v>38.92</v>
      </c>
      <c r="E1495" s="7" t="n">
        <f aca="false">IF(ISBLANK(customer_churn_dataset!E1495),0,MAX(0,customer_churn_dataset!E1495))</f>
        <v>38</v>
      </c>
      <c r="F1495" s="8" t="n">
        <f aca="false">IF(ISBLANK(customer_churn_dataset!F1495),"",customer_churn_dataset!F1495)</f>
        <v>45823</v>
      </c>
      <c r="G1495" s="7" t="str">
        <f aca="false">PROPER(TRIM(customer_churn_dataset!G1495))</f>
        <v>Credit Card</v>
      </c>
      <c r="H1495" s="7" t="n">
        <f aca="false">IF(ISBLANK(customer_churn_dataset!H1495),0,customer_churn_dataset!H1495)</f>
        <v>1</v>
      </c>
      <c r="I1495" s="7" t="n">
        <f aca="false">IF(ISBLANK(customer_churn_dataset!I1495),ROUND(MEDIAN(customer_churn_dataset!I$2:I$1501),1),MIN(100,MAX(0,customer_churn_dataset!I1495)))</f>
        <v>61.8</v>
      </c>
      <c r="J1495" s="7" t="n">
        <f aca="false">IF(ISBLANK(customer_churn_dataset!J1495),0,MAX(0,customer_churn_dataset!J1495))</f>
        <v>21</v>
      </c>
      <c r="K1495" s="7" t="n">
        <f aca="false">IF(ISBLANK(customer_churn_dataset!K1495),0,MIN(10,MAX(0,customer_churn_dataset!K1495)))</f>
        <v>5</v>
      </c>
      <c r="L1495" s="7" t="n">
        <f aca="false">IF(ISBLANK(customer_churn_dataset!L1495),0,MAX(0,customer_churn_dataset!L1495))</f>
        <v>4</v>
      </c>
      <c r="M1495" s="7" t="n">
        <f aca="false">IF(ISBLANK(customer_churn_dataset!M1495),0,customer_churn_dataset!M1495)</f>
        <v>0</v>
      </c>
      <c r="N1495" s="7" t="n">
        <f aca="false">IF(ISBLANK(customer_churn_dataset!N1495),0,MAX(0,customer_churn_dataset!N1495))</f>
        <v>1478.96</v>
      </c>
      <c r="O1495" s="7" t="n">
        <f aca="false">IF(ISBLANK(customer_churn_dataset!O1495),0,customer_churn_dataset!O1495)</f>
        <v>0</v>
      </c>
      <c r="P1495" s="7" t="str">
        <f aca="false">IF(COUNTIF(customer_churn_dataset!$A$2:$A$1501,customer_churn_dataset!A1495)&gt;1,"Duplicate","Unique")</f>
        <v>Unique</v>
      </c>
    </row>
    <row r="1496" customFormat="false" ht="14.15" hidden="false" customHeight="true" outlineLevel="0" collapsed="false">
      <c r="A1496" s="7" t="str">
        <f aca="false">TRIM(customer_churn_dataset!A1496)</f>
        <v>CUST100357</v>
      </c>
      <c r="B1496" s="7" t="str">
        <f aca="false">PROPER(TRIM(customer_churn_dataset!B1496))</f>
        <v>Standard</v>
      </c>
      <c r="C1496" s="7" t="str">
        <f aca="false">PROPER(TRIM(customer_churn_dataset!C1496))</f>
        <v>Month-To-Month</v>
      </c>
      <c r="D1496" s="7" t="n">
        <f aca="false">IF(ISBLANK(customer_churn_dataset!D1496),ROUND(MEDIAN(customer_churn_dataset!D$2:D$1501),2),IF(customer_churn_dataset!D1496&lt;0,ABS(customer_churn_dataset!D1496),customer_churn_dataset!D1496))</f>
        <v>20.62</v>
      </c>
      <c r="E1496" s="7" t="n">
        <f aca="false">IF(ISBLANK(customer_churn_dataset!E1496),0,MAX(0,customer_churn_dataset!E1496))</f>
        <v>9</v>
      </c>
      <c r="F1496" s="8" t="n">
        <f aca="false">IF(ISBLANK(customer_churn_dataset!F1496),"",customer_churn_dataset!F1496)</f>
        <v>45826</v>
      </c>
      <c r="G1496" s="7" t="str">
        <f aca="false">PROPER(TRIM(customer_churn_dataset!G1496))</f>
        <v>Credit Card</v>
      </c>
      <c r="H1496" s="7" t="n">
        <f aca="false">IF(ISBLANK(customer_churn_dataset!H1496),0,customer_churn_dataset!H1496)</f>
        <v>1</v>
      </c>
      <c r="I1496" s="7" t="n">
        <f aca="false">IF(ISBLANK(customer_churn_dataset!I1496),ROUND(MEDIAN(customer_churn_dataset!I$2:I$1501),1),MIN(100,MAX(0,customer_churn_dataset!I1496)))</f>
        <v>77.2</v>
      </c>
      <c r="J1496" s="7" t="n">
        <f aca="false">IF(ISBLANK(customer_churn_dataset!J1496),0,MAX(0,customer_churn_dataset!J1496))</f>
        <v>22</v>
      </c>
      <c r="K1496" s="7" t="n">
        <f aca="false">IF(ISBLANK(customer_churn_dataset!K1496),0,MIN(10,MAX(0,customer_churn_dataset!K1496)))</f>
        <v>9</v>
      </c>
      <c r="L1496" s="7" t="n">
        <f aca="false">IF(ISBLANK(customer_churn_dataset!L1496),0,MAX(0,customer_churn_dataset!L1496))</f>
        <v>0</v>
      </c>
      <c r="M1496" s="7" t="n">
        <f aca="false">IF(ISBLANK(customer_churn_dataset!M1496),0,customer_churn_dataset!M1496)</f>
        <v>0</v>
      </c>
      <c r="N1496" s="7" t="n">
        <f aca="false">IF(ISBLANK(customer_churn_dataset!N1496),0,MAX(0,customer_churn_dataset!N1496))</f>
        <v>185.58</v>
      </c>
      <c r="O1496" s="7" t="n">
        <f aca="false">IF(ISBLANK(customer_churn_dataset!O1496),0,customer_churn_dataset!O1496)</f>
        <v>0</v>
      </c>
      <c r="P1496" s="7" t="str">
        <f aca="false">IF(COUNTIF(customer_churn_dataset!$A$2:$A$1501,customer_churn_dataset!A1496)&gt;1,"Duplicate","Unique")</f>
        <v>Unique</v>
      </c>
    </row>
    <row r="1497" customFormat="false" ht="14.15" hidden="false" customHeight="true" outlineLevel="0" collapsed="false">
      <c r="A1497" s="7" t="str">
        <f aca="false">TRIM(customer_churn_dataset!A1497)</f>
        <v>CUST100603</v>
      </c>
      <c r="B1497" s="7" t="str">
        <f aca="false">PROPER(TRIM(customer_churn_dataset!B1497))</f>
        <v>Basic</v>
      </c>
      <c r="C1497" s="7" t="str">
        <f aca="false">PROPER(TRIM(customer_churn_dataset!C1497))</f>
        <v>Month-To-Month</v>
      </c>
      <c r="D1497" s="7" t="n">
        <f aca="false">IF(ISBLANK(customer_churn_dataset!D1497),ROUND(MEDIAN(customer_churn_dataset!D$2:D$1501),2),IF(customer_churn_dataset!D1497&lt;0,ABS(customer_churn_dataset!D1497),customer_churn_dataset!D1497))</f>
        <v>8.39</v>
      </c>
      <c r="E1497" s="7" t="n">
        <f aca="false">IF(ISBLANK(customer_churn_dataset!E1497),0,MAX(0,customer_churn_dataset!E1497))</f>
        <v>9</v>
      </c>
      <c r="F1497" s="8" t="n">
        <f aca="false">IF(ISBLANK(customer_churn_dataset!F1497),"",customer_churn_dataset!F1497)</f>
        <v>45826</v>
      </c>
      <c r="G1497" s="7" t="str">
        <f aca="false">PROPER(TRIM(customer_churn_dataset!G1497))</f>
        <v>Paypal</v>
      </c>
      <c r="H1497" s="7" t="n">
        <f aca="false">IF(ISBLANK(customer_churn_dataset!H1497),0,customer_churn_dataset!H1497)</f>
        <v>1</v>
      </c>
      <c r="I1497" s="7" t="n">
        <f aca="false">IF(ISBLANK(customer_churn_dataset!I1497),ROUND(MEDIAN(customer_churn_dataset!I$2:I$1501),1),MIN(100,MAX(0,customer_churn_dataset!I1497)))</f>
        <v>88.5</v>
      </c>
      <c r="J1497" s="7" t="n">
        <f aca="false">IF(ISBLANK(customer_churn_dataset!J1497),0,MAX(0,customer_churn_dataset!J1497))</f>
        <v>27</v>
      </c>
      <c r="K1497" s="7" t="n">
        <f aca="false">IF(ISBLANK(customer_churn_dataset!K1497),0,MIN(10,MAX(0,customer_churn_dataset!K1497)))</f>
        <v>7</v>
      </c>
      <c r="L1497" s="7" t="n">
        <f aca="false">IF(ISBLANK(customer_churn_dataset!L1497),0,MAX(0,customer_churn_dataset!L1497))</f>
        <v>1</v>
      </c>
      <c r="M1497" s="7" t="n">
        <f aca="false">IF(ISBLANK(customer_churn_dataset!M1497),0,customer_churn_dataset!M1497)</f>
        <v>1</v>
      </c>
      <c r="N1497" s="7" t="n">
        <f aca="false">IF(ISBLANK(customer_churn_dataset!N1497),0,MAX(0,customer_churn_dataset!N1497))</f>
        <v>75.51</v>
      </c>
      <c r="O1497" s="7" t="n">
        <f aca="false">IF(ISBLANK(customer_churn_dataset!O1497),0,customer_churn_dataset!O1497)</f>
        <v>0</v>
      </c>
      <c r="P1497" s="7" t="str">
        <f aca="false">IF(COUNTIF(customer_churn_dataset!$A$2:$A$1501,customer_churn_dataset!A1497)&gt;1,"Duplicate","Unique")</f>
        <v>Unique</v>
      </c>
    </row>
    <row r="1498" customFormat="false" ht="14.15" hidden="false" customHeight="true" outlineLevel="0" collapsed="false">
      <c r="A1498" s="7" t="str">
        <f aca="false">TRIM(customer_churn_dataset!A1498)</f>
        <v>CUST100239</v>
      </c>
      <c r="B1498" s="7" t="str">
        <f aca="false">PROPER(TRIM(customer_churn_dataset!B1498))</f>
        <v>Basic</v>
      </c>
      <c r="C1498" s="7" t="str">
        <f aca="false">PROPER(TRIM(customer_churn_dataset!C1498))</f>
        <v>Month-To-Month</v>
      </c>
      <c r="D1498" s="7" t="n">
        <f aca="false">IF(ISBLANK(customer_churn_dataset!D1498),ROUND(MEDIAN(customer_churn_dataset!D$2:D$1501),2),IF(customer_churn_dataset!D1498&lt;0,ABS(customer_churn_dataset!D1498),customer_churn_dataset!D1498))</f>
        <v>9.33</v>
      </c>
      <c r="E1498" s="7" t="n">
        <f aca="false">IF(ISBLANK(customer_churn_dataset!E1498),0,MAX(0,customer_churn_dataset!E1498))</f>
        <v>2</v>
      </c>
      <c r="F1498" s="8" t="n">
        <f aca="false">IF(ISBLANK(customer_churn_dataset!F1498),"",customer_churn_dataset!F1498)</f>
        <v>45826</v>
      </c>
      <c r="G1498" s="7" t="str">
        <f aca="false">PROPER(TRIM(customer_churn_dataset!G1498))</f>
        <v>Credit Card</v>
      </c>
      <c r="H1498" s="7" t="n">
        <f aca="false">IF(ISBLANK(customer_churn_dataset!H1498),0,customer_churn_dataset!H1498)</f>
        <v>1</v>
      </c>
      <c r="I1498" s="7" t="n">
        <f aca="false">IF(ISBLANK(customer_churn_dataset!I1498),ROUND(MEDIAN(customer_churn_dataset!I$2:I$1501),1),MIN(100,MAX(0,customer_churn_dataset!I1498)))</f>
        <v>65.6</v>
      </c>
      <c r="J1498" s="7" t="n">
        <f aca="false">IF(ISBLANK(customer_churn_dataset!J1498),0,MAX(0,customer_churn_dataset!J1498))</f>
        <v>19</v>
      </c>
      <c r="K1498" s="7" t="n">
        <f aca="false">IF(ISBLANK(customer_churn_dataset!K1498),0,MIN(10,MAX(0,customer_churn_dataset!K1498)))</f>
        <v>6</v>
      </c>
      <c r="L1498" s="7" t="n">
        <f aca="false">IF(ISBLANK(customer_churn_dataset!L1498),0,MAX(0,customer_churn_dataset!L1498))</f>
        <v>4</v>
      </c>
      <c r="M1498" s="7" t="n">
        <f aca="false">IF(ISBLANK(customer_churn_dataset!M1498),0,customer_churn_dataset!M1498)</f>
        <v>1</v>
      </c>
      <c r="N1498" s="7" t="n">
        <f aca="false">IF(ISBLANK(customer_churn_dataset!N1498),0,MAX(0,customer_churn_dataset!N1498))</f>
        <v>18.66</v>
      </c>
      <c r="O1498" s="7" t="n">
        <f aca="false">IF(ISBLANK(customer_churn_dataset!O1498),0,customer_churn_dataset!O1498)</f>
        <v>1</v>
      </c>
      <c r="P1498" s="7" t="str">
        <f aca="false">IF(COUNTIF(customer_churn_dataset!$A$2:$A$1501,customer_churn_dataset!A1498)&gt;1,"Duplicate","Unique")</f>
        <v>Unique</v>
      </c>
    </row>
    <row r="1499" customFormat="false" ht="14.15" hidden="false" customHeight="true" outlineLevel="0" collapsed="false">
      <c r="A1499" s="7" t="str">
        <f aca="false">TRIM(customer_churn_dataset!A1499)</f>
        <v>CUST100050</v>
      </c>
      <c r="B1499" s="7" t="str">
        <f aca="false">PROPER(TRIM(customer_churn_dataset!B1499))</f>
        <v>Premium</v>
      </c>
      <c r="C1499" s="7" t="str">
        <f aca="false">PROPER(TRIM(customer_churn_dataset!C1499))</f>
        <v>Month-To-Month</v>
      </c>
      <c r="D1499" s="7" t="n">
        <f aca="false">IF(ISBLANK(customer_churn_dataset!D1499),ROUND(MEDIAN(customer_churn_dataset!D$2:D$1501),2),IF(customer_churn_dataset!D1499&lt;0,ABS(customer_churn_dataset!D1499),customer_churn_dataset!D1499))</f>
        <v>38.75</v>
      </c>
      <c r="E1499" s="7" t="n">
        <f aca="false">IF(ISBLANK(customer_churn_dataset!E1499),0,MAX(0,customer_churn_dataset!E1499))</f>
        <v>8</v>
      </c>
      <c r="F1499" s="8" t="n">
        <f aca="false">IF(ISBLANK(customer_churn_dataset!F1499),"",customer_churn_dataset!F1499)</f>
        <v>45828</v>
      </c>
      <c r="G1499" s="7" t="str">
        <f aca="false">PROPER(TRIM(customer_churn_dataset!G1499))</f>
        <v>Credit Card</v>
      </c>
      <c r="H1499" s="7" t="n">
        <f aca="false">IF(ISBLANK(customer_churn_dataset!H1499),0,customer_churn_dataset!H1499)</f>
        <v>1</v>
      </c>
      <c r="I1499" s="7" t="n">
        <f aca="false">IF(ISBLANK(customer_churn_dataset!I1499),ROUND(MEDIAN(customer_churn_dataset!I$2:I$1501),1),MIN(100,MAX(0,customer_churn_dataset!I1499)))</f>
        <v>43.6</v>
      </c>
      <c r="J1499" s="7" t="n">
        <f aca="false">IF(ISBLANK(customer_churn_dataset!J1499),0,MAX(0,customer_churn_dataset!J1499))</f>
        <v>13</v>
      </c>
      <c r="K1499" s="7" t="n">
        <f aca="false">IF(ISBLANK(customer_churn_dataset!K1499),0,MIN(10,MAX(0,customer_churn_dataset!K1499)))</f>
        <v>3</v>
      </c>
      <c r="L1499" s="7" t="n">
        <f aca="false">IF(ISBLANK(customer_churn_dataset!L1499),0,MAX(0,customer_churn_dataset!L1499))</f>
        <v>0</v>
      </c>
      <c r="M1499" s="7" t="n">
        <f aca="false">IF(ISBLANK(customer_churn_dataset!M1499),0,customer_churn_dataset!M1499)</f>
        <v>0</v>
      </c>
      <c r="N1499" s="7" t="n">
        <f aca="false">IF(ISBLANK(customer_churn_dataset!N1499),0,MAX(0,customer_churn_dataset!N1499))</f>
        <v>310</v>
      </c>
      <c r="O1499" s="7" t="n">
        <f aca="false">IF(ISBLANK(customer_churn_dataset!O1499),0,customer_churn_dataset!O1499)</f>
        <v>0</v>
      </c>
      <c r="P1499" s="7" t="str">
        <f aca="false">IF(COUNTIF(customer_churn_dataset!$A$2:$A$1501,customer_churn_dataset!A1499)&gt;1,"Duplicate","Unique")</f>
        <v>Unique</v>
      </c>
    </row>
    <row r="1500" customFormat="false" ht="14.15" hidden="false" customHeight="true" outlineLevel="0" collapsed="false">
      <c r="A1500" s="7" t="str">
        <f aca="false">TRIM(customer_churn_dataset!A1500)</f>
        <v>CUST100878</v>
      </c>
      <c r="B1500" s="7" t="str">
        <f aca="false">PROPER(TRIM(customer_churn_dataset!B1500))</f>
        <v>Basic</v>
      </c>
      <c r="C1500" s="7" t="str">
        <f aca="false">PROPER(TRIM(customer_churn_dataset!C1500))</f>
        <v>Month-To-Month</v>
      </c>
      <c r="D1500" s="7" t="n">
        <f aca="false">IF(ISBLANK(customer_churn_dataset!D1500),ROUND(MEDIAN(customer_churn_dataset!D$2:D$1501),2),IF(customer_churn_dataset!D1500&lt;0,ABS(customer_churn_dataset!D1500),customer_churn_dataset!D1500))</f>
        <v>9.96</v>
      </c>
      <c r="E1500" s="7" t="n">
        <f aca="false">IF(ISBLANK(customer_churn_dataset!E1500),0,MAX(0,customer_churn_dataset!E1500))</f>
        <v>3</v>
      </c>
      <c r="F1500" s="8" t="n">
        <f aca="false">IF(ISBLANK(customer_churn_dataset!F1500),"",customer_churn_dataset!F1500)</f>
        <v>45829</v>
      </c>
      <c r="G1500" s="7" t="str">
        <f aca="false">PROPER(TRIM(customer_churn_dataset!G1500))</f>
        <v>Credit Card</v>
      </c>
      <c r="H1500" s="7" t="n">
        <f aca="false">IF(ISBLANK(customer_churn_dataset!H1500),0,customer_churn_dataset!H1500)</f>
        <v>1</v>
      </c>
      <c r="I1500" s="7" t="n">
        <f aca="false">IF(ISBLANK(customer_churn_dataset!I1500),ROUND(MEDIAN(customer_churn_dataset!I$2:I$1501),1),MIN(100,MAX(0,customer_churn_dataset!I1500)))</f>
        <v>66.2</v>
      </c>
      <c r="J1500" s="7" t="n">
        <f aca="false">IF(ISBLANK(customer_churn_dataset!J1500),0,MAX(0,customer_churn_dataset!J1500))</f>
        <v>11</v>
      </c>
      <c r="K1500" s="7" t="n">
        <f aca="false">IF(ISBLANK(customer_churn_dataset!K1500),0,MIN(10,MAX(0,customer_churn_dataset!K1500)))</f>
        <v>7</v>
      </c>
      <c r="L1500" s="7" t="n">
        <f aca="false">IF(ISBLANK(customer_churn_dataset!L1500),0,MAX(0,customer_churn_dataset!L1500))</f>
        <v>4</v>
      </c>
      <c r="M1500" s="7" t="n">
        <f aca="false">IF(ISBLANK(customer_churn_dataset!M1500),0,customer_churn_dataset!M1500)</f>
        <v>1</v>
      </c>
      <c r="N1500" s="7" t="n">
        <f aca="false">IF(ISBLANK(customer_churn_dataset!N1500),0,MAX(0,customer_churn_dataset!N1500))</f>
        <v>29.88</v>
      </c>
      <c r="O1500" s="7" t="n">
        <f aca="false">IF(ISBLANK(customer_churn_dataset!O1500),0,customer_churn_dataset!O1500)</f>
        <v>1</v>
      </c>
      <c r="P1500" s="7" t="str">
        <f aca="false">IF(COUNTIF(customer_churn_dataset!$A$2:$A$1501,customer_churn_dataset!A1500)&gt;1,"Duplicate","Unique")</f>
        <v>Unique</v>
      </c>
    </row>
    <row r="1501" customFormat="false" ht="14.15" hidden="false" customHeight="true" outlineLevel="0" collapsed="false">
      <c r="A1501" s="7" t="str">
        <f aca="false">TRIM(customer_churn_dataset!A1501)</f>
        <v>CUST100898</v>
      </c>
      <c r="B1501" s="7" t="str">
        <f aca="false">PROPER(TRIM(customer_churn_dataset!B1501))</f>
        <v>Basic</v>
      </c>
      <c r="C1501" s="7" t="str">
        <f aca="false">PROPER(TRIM(customer_churn_dataset!C1501))</f>
        <v>One Year</v>
      </c>
      <c r="D1501" s="7" t="n">
        <f aca="false">IF(ISBLANK(customer_churn_dataset!D1501),ROUND(MEDIAN(customer_churn_dataset!D$2:D$1501),2),IF(customer_churn_dataset!D1501&lt;0,ABS(customer_churn_dataset!D1501),customer_churn_dataset!D1501))</f>
        <v>10.25</v>
      </c>
      <c r="E1501" s="7" t="n">
        <f aca="false">IF(ISBLANK(customer_churn_dataset!E1501),0,MAX(0,customer_churn_dataset!E1501))</f>
        <v>45</v>
      </c>
      <c r="F1501" s="8" t="n">
        <f aca="false">IF(ISBLANK(customer_churn_dataset!F1501),"",customer_churn_dataset!F1501)</f>
        <v>45829</v>
      </c>
      <c r="G1501" s="7" t="str">
        <f aca="false">PROPER(TRIM(customer_churn_dataset!G1501))</f>
        <v>Bank Transfer</v>
      </c>
      <c r="H1501" s="7" t="n">
        <f aca="false">IF(ISBLANK(customer_churn_dataset!H1501),0,customer_churn_dataset!H1501)</f>
        <v>1</v>
      </c>
      <c r="I1501" s="7" t="n">
        <f aca="false">IF(ISBLANK(customer_churn_dataset!I1501),ROUND(MEDIAN(customer_churn_dataset!I$2:I$1501),1),MIN(100,MAX(0,customer_churn_dataset!I1501)))</f>
        <v>37.5</v>
      </c>
      <c r="J1501" s="7" t="n">
        <f aca="false">IF(ISBLANK(customer_churn_dataset!J1501),0,MAX(0,customer_churn_dataset!J1501))</f>
        <v>7</v>
      </c>
      <c r="K1501" s="7" t="n">
        <f aca="false">IF(ISBLANK(customer_churn_dataset!K1501),0,MIN(10,MAX(0,customer_churn_dataset!K1501)))</f>
        <v>3</v>
      </c>
      <c r="L1501" s="7" t="n">
        <f aca="false">IF(ISBLANK(customer_churn_dataset!L1501),0,MAX(0,customer_churn_dataset!L1501))</f>
        <v>0</v>
      </c>
      <c r="M1501" s="7" t="n">
        <f aca="false">IF(ISBLANK(customer_churn_dataset!M1501),0,customer_churn_dataset!M1501)</f>
        <v>0</v>
      </c>
      <c r="N1501" s="7" t="n">
        <f aca="false">IF(ISBLANK(customer_churn_dataset!N1501),0,MAX(0,customer_churn_dataset!N1501))</f>
        <v>461.25</v>
      </c>
      <c r="O1501" s="7" t="n">
        <f aca="false">IF(ISBLANK(customer_churn_dataset!O1501),0,customer_churn_dataset!O1501)</f>
        <v>0</v>
      </c>
      <c r="P1501" s="7" t="str">
        <f aca="false">IF(COUNTIF(customer_churn_dataset!$A$2:$A$1501,customer_churn_dataset!A1501)&gt;1,"Duplicate","Unique")</f>
        <v>Unique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N22" activeCellId="0" sqref="N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49"/>
    <col collapsed="false" customWidth="true" hidden="false" outlineLevel="0" max="2" min="2" style="1" width="18.36"/>
    <col collapsed="false" customWidth="true" hidden="false" outlineLevel="0" max="3" min="3" style="1" width="21.84"/>
    <col collapsed="false" customWidth="true" hidden="false" outlineLevel="0" max="4" min="4" style="1" width="23.93"/>
    <col collapsed="false" customWidth="true" hidden="false" outlineLevel="0" max="7" min="5" style="1" width="14"/>
  </cols>
  <sheetData>
    <row r="1" customFormat="false" ht="16.15" hidden="false" customHeight="false" outlineLevel="0" collapsed="false">
      <c r="A1" s="9" t="s">
        <v>1547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1548</v>
      </c>
    </row>
    <row r="4" customFormat="false" ht="13.8" hidden="false" customHeight="false" outlineLevel="0" collapsed="false">
      <c r="A4" s="11" t="s">
        <v>1549</v>
      </c>
      <c r="B4" s="11" t="s">
        <v>1550</v>
      </c>
    </row>
    <row r="5" customFormat="false" ht="13.8" hidden="false" customHeight="false" outlineLevel="0" collapsed="false">
      <c r="A5" s="12" t="s">
        <v>1551</v>
      </c>
      <c r="B5" s="2" t="n">
        <f aca="false">COUNTA(customer_churn_dataset!$A$2:$A$1501)</f>
        <v>1500</v>
      </c>
    </row>
    <row r="6" customFormat="false" ht="13.8" hidden="false" customHeight="false" outlineLevel="0" collapsed="false">
      <c r="A6" s="12" t="s">
        <v>1552</v>
      </c>
      <c r="B6" s="7" t="n">
        <f aca="false">COUNTIF(customer_churn_dataset!$O$2:$O$1501,1)</f>
        <v>284</v>
      </c>
    </row>
    <row r="7" customFormat="false" ht="13.8" hidden="false" customHeight="false" outlineLevel="0" collapsed="false">
      <c r="A7" s="12" t="s">
        <v>1553</v>
      </c>
      <c r="B7" s="13" t="n">
        <f aca="false">B6/B5</f>
        <v>0.189333333333333</v>
      </c>
    </row>
    <row r="9" customFormat="false" ht="15" hidden="false" customHeight="false" outlineLevel="0" collapsed="false">
      <c r="A9" s="10" t="s">
        <v>1554</v>
      </c>
    </row>
    <row r="10" customFormat="false" ht="13.8" hidden="false" customHeight="false" outlineLevel="0" collapsed="false">
      <c r="A10" s="11" t="s">
        <v>1555</v>
      </c>
      <c r="B10" s="11" t="s">
        <v>1556</v>
      </c>
    </row>
    <row r="11" customFormat="false" ht="14.15" hidden="false" customHeight="true" outlineLevel="0" collapsed="false">
      <c r="A11" s="12" t="s">
        <v>1557</v>
      </c>
      <c r="B11" s="7" t="n">
        <f aca="false">COUNTA(customer_churn_dataset!$A$2:$A$1501)</f>
        <v>1500</v>
      </c>
    </row>
    <row r="12" customFormat="false" ht="17.15" hidden="false" customHeight="true" outlineLevel="0" collapsed="false">
      <c r="A12" s="12" t="s">
        <v>1558</v>
      </c>
      <c r="B12" s="14" t="n">
        <f aca="false"> COUNTIF(customer_churn_dataset!$U$2:$U$1501,"Missing Data")</f>
        <v>0</v>
      </c>
    </row>
    <row r="13" customFormat="false" ht="13.8" hidden="false" customHeight="false" outlineLevel="0" collapsed="false">
      <c r="A13" s="12" t="s">
        <v>1559</v>
      </c>
      <c r="B13" s="13" t="n">
        <f aca="false">B12/B11</f>
        <v>0</v>
      </c>
    </row>
    <row r="14" customFormat="false" ht="12.8" hidden="false" customHeight="false" outlineLevel="0" collapsed="false">
      <c r="A14" s="15"/>
      <c r="B14" s="15"/>
      <c r="C14" s="15"/>
      <c r="D14" s="15"/>
      <c r="E14" s="15"/>
      <c r="F14" s="15"/>
    </row>
    <row r="16" customFormat="false" ht="15" hidden="false" customHeight="false" outlineLevel="0" collapsed="false">
      <c r="A16" s="10" t="s">
        <v>1560</v>
      </c>
    </row>
    <row r="17" customFormat="false" ht="13.8" hidden="false" customHeight="false" outlineLevel="0" collapsed="false">
      <c r="A17" s="11" t="s">
        <v>1561</v>
      </c>
      <c r="B17" s="11" t="s">
        <v>1562</v>
      </c>
      <c r="C17" s="11" t="s">
        <v>1563</v>
      </c>
      <c r="D17" s="11" t="s">
        <v>1564</v>
      </c>
    </row>
    <row r="18" customFormat="false" ht="19.4" hidden="false" customHeight="true" outlineLevel="0" collapsed="false">
      <c r="A18" s="12" t="s">
        <v>36</v>
      </c>
      <c r="B18" s="14" t="n">
        <f aca="false"> COUNTIF(customer_churn_dataset!$B$2:$B$1501,A18)</f>
        <v>671</v>
      </c>
      <c r="C18" s="14" t="n">
        <f aca="false"> COUNTIFS(customer_churn_dataset!$B$2:$B$1501,A18,customer_churn_dataset!$O$2:$O$1501,1)</f>
        <v>137</v>
      </c>
      <c r="D18" s="13" t="n">
        <f aca="false">C18/B18</f>
        <v>0.204172876304024</v>
      </c>
    </row>
    <row r="19" customFormat="false" ht="13.8" hidden="false" customHeight="false" outlineLevel="0" collapsed="false">
      <c r="A19" s="12" t="s">
        <v>23</v>
      </c>
      <c r="B19" s="14" t="n">
        <f aca="false"> COUNTIF(customer_churn_dataset!$B$2:$B$1501,A19)</f>
        <v>518</v>
      </c>
      <c r="C19" s="14" t="n">
        <f aca="false"> COUNTIFS(customer_churn_dataset!$B$2:$B$1501,A19,customer_churn_dataset!$O$2:$O$1501,1)</f>
        <v>86</v>
      </c>
      <c r="D19" s="13" t="n">
        <f aca="false">C19/B19</f>
        <v>0.166023166023166</v>
      </c>
    </row>
    <row r="20" customFormat="false" ht="13.8" hidden="false" customHeight="false" outlineLevel="0" collapsed="false">
      <c r="A20" s="12" t="s">
        <v>29</v>
      </c>
      <c r="B20" s="14" t="n">
        <f aca="false"> COUNTIF(customer_churn_dataset!$B$2:$B$1501,A20)</f>
        <v>311</v>
      </c>
      <c r="C20" s="14" t="n">
        <f aca="false"> COUNTIFS(customer_churn_dataset!$B$2:$B$1501,A20,customer_churn_dataset!$O$2:$O$1501,1)</f>
        <v>61</v>
      </c>
      <c r="D20" s="13" t="n">
        <f aca="false">C20/B20</f>
        <v>0.196141479099678</v>
      </c>
    </row>
    <row r="22" customFormat="false" ht="15" hidden="false" customHeight="false" outlineLevel="0" collapsed="false">
      <c r="A22" s="10" t="s">
        <v>1565</v>
      </c>
    </row>
    <row r="23" customFormat="false" ht="13.8" hidden="false" customHeight="false" outlineLevel="0" collapsed="false">
      <c r="A23" s="11" t="s">
        <v>1566</v>
      </c>
      <c r="B23" s="11" t="s">
        <v>1562</v>
      </c>
      <c r="C23" s="11" t="s">
        <v>1563</v>
      </c>
      <c r="D23" s="11" t="s">
        <v>1564</v>
      </c>
    </row>
    <row r="24" customFormat="false" ht="13.8" hidden="false" customHeight="false" outlineLevel="0" collapsed="false">
      <c r="A24" s="12" t="s">
        <v>24</v>
      </c>
      <c r="B24" s="14" t="n">
        <f aca="false"> COUNTIF(customer_churn_dataset!$C$2:$C$1501,A24)</f>
        <v>828</v>
      </c>
      <c r="C24" s="14" t="n">
        <f aca="false"> COUNTIFS(customer_churn_dataset!$C$2:$C$1501,A24,customer_churn_dataset!$O$2:$O$1501,1)</f>
        <v>233</v>
      </c>
      <c r="D24" s="13" t="n">
        <f aca="false">C24/B24</f>
        <v>0.281400966183575</v>
      </c>
    </row>
    <row r="25" customFormat="false" ht="13.8" hidden="false" customHeight="false" outlineLevel="0" collapsed="false">
      <c r="A25" s="12" t="s">
        <v>34</v>
      </c>
      <c r="B25" s="14" t="n">
        <f aca="false"> COUNTIF(customer_churn_dataset!$C$2:$C$1501,A25)</f>
        <v>462</v>
      </c>
      <c r="C25" s="14" t="n">
        <f aca="false"> COUNTIFS(customer_churn_dataset!$C$2:$C$1501,A25,customer_churn_dataset!$O$2:$O$1501,1)</f>
        <v>37</v>
      </c>
      <c r="D25" s="13" t="n">
        <f aca="false">C25/B25</f>
        <v>0.0800865800865801</v>
      </c>
    </row>
    <row r="26" customFormat="false" ht="13.8" hidden="false" customHeight="false" outlineLevel="0" collapsed="false">
      <c r="A26" s="12" t="s">
        <v>51</v>
      </c>
      <c r="B26" s="14" t="n">
        <f aca="false"> COUNTIF(customer_churn_dataset!$C$2:$C$1501,A26)</f>
        <v>210</v>
      </c>
      <c r="C26" s="14" t="n">
        <f aca="false"> COUNTIFS(customer_churn_dataset!$C$2:$C$1501,A26,customer_churn_dataset!$O$2:$O$1501,1)</f>
        <v>14</v>
      </c>
      <c r="D26" s="13" t="n">
        <f aca="false">C26/B26</f>
        <v>0.0666666666666667</v>
      </c>
    </row>
    <row r="28" customFormat="false" ht="15" hidden="false" customHeight="false" outlineLevel="0" collapsed="false">
      <c r="A28" s="10" t="s">
        <v>1567</v>
      </c>
    </row>
    <row r="29" customFormat="false" ht="13.8" hidden="false" customHeight="false" outlineLevel="0" collapsed="false">
      <c r="A29" s="11" t="s">
        <v>1568</v>
      </c>
      <c r="B29" s="11" t="s">
        <v>1562</v>
      </c>
      <c r="C29" s="11" t="s">
        <v>1563</v>
      </c>
      <c r="D29" s="11" t="s">
        <v>1564</v>
      </c>
    </row>
    <row r="30" customFormat="false" ht="13.8" hidden="false" customHeight="false" outlineLevel="0" collapsed="false">
      <c r="A30" s="12" t="s">
        <v>1569</v>
      </c>
      <c r="B30" s="14" t="n">
        <f aca="false"> COUNTIF(customer_churn_dataset!$S$2:$S$1501,A30)</f>
        <v>359</v>
      </c>
      <c r="C30" s="14" t="n">
        <f aca="false"> COUNTIFS(customer_churn_dataset!$S$2:$S$1501,A30,customer_churn_dataset!$O$2:$O$1501,1)</f>
        <v>83</v>
      </c>
      <c r="D30" s="13" t="n">
        <f aca="false">C30/B30</f>
        <v>0.231197771587744</v>
      </c>
    </row>
    <row r="31" customFormat="false" ht="13.8" hidden="false" customHeight="false" outlineLevel="0" collapsed="false">
      <c r="A31" s="12" t="s">
        <v>1570</v>
      </c>
      <c r="B31" s="14" t="n">
        <f aca="false"> COUNTIF(customer_churn_dataset!$S$2:$S$1501,A31)</f>
        <v>278</v>
      </c>
      <c r="C31" s="14" t="n">
        <f aca="false"> COUNTIFS(customer_churn_dataset!$S$2:$S$1501,A31,customer_churn_dataset!$O$2:$O$1501,1)</f>
        <v>69</v>
      </c>
      <c r="D31" s="13" t="n">
        <f aca="false">C31/B31</f>
        <v>0.248201438848921</v>
      </c>
    </row>
    <row r="32" customFormat="false" ht="13.8" hidden="false" customHeight="false" outlineLevel="0" collapsed="false">
      <c r="A32" s="12" t="s">
        <v>1571</v>
      </c>
      <c r="B32" s="14" t="n">
        <f aca="false"> COUNTIF(customer_churn_dataset!$S$2:$S$1501,A32)</f>
        <v>378</v>
      </c>
      <c r="C32" s="14" t="n">
        <f aca="false"> COUNTIFS(customer_churn_dataset!$S$2:$S$1501,A32,customer_churn_dataset!$O$2:$O$1501,1)</f>
        <v>64</v>
      </c>
      <c r="D32" s="13" t="n">
        <f aca="false">C32/B32</f>
        <v>0.169312169312169</v>
      </c>
    </row>
    <row r="33" customFormat="false" ht="13.8" hidden="false" customHeight="false" outlineLevel="0" collapsed="false">
      <c r="A33" s="12" t="s">
        <v>1572</v>
      </c>
      <c r="B33" s="14" t="n">
        <f aca="false"> COUNTIF(customer_churn_dataset!$S$2:$S$1501,A33)</f>
        <v>485</v>
      </c>
      <c r="C33" s="14" t="n">
        <f aca="false"> COUNTIFS(customer_churn_dataset!$S$2:$S$1501,A33,customer_churn_dataset!$O$2:$O$1501,1)</f>
        <v>68</v>
      </c>
      <c r="D33" s="13" t="n">
        <f aca="false">C33/B33</f>
        <v>0.14020618556701</v>
      </c>
    </row>
    <row r="35" customFormat="false" ht="15" hidden="false" customHeight="false" outlineLevel="0" collapsed="false">
      <c r="A35" s="10" t="s">
        <v>1573</v>
      </c>
    </row>
    <row r="36" customFormat="false" ht="13.8" hidden="false" customHeight="false" outlineLevel="0" collapsed="false">
      <c r="A36" s="11" t="s">
        <v>1574</v>
      </c>
      <c r="B36" s="11" t="s">
        <v>1562</v>
      </c>
      <c r="C36" s="11" t="s">
        <v>1575</v>
      </c>
      <c r="D36" s="11" t="s">
        <v>1576</v>
      </c>
    </row>
    <row r="37" customFormat="false" ht="20.1" hidden="false" customHeight="true" outlineLevel="0" collapsed="false">
      <c r="A37" s="12" t="s">
        <v>1577</v>
      </c>
      <c r="B37" s="14" t="n">
        <f aca="false"> COUNTIF(customer_churn_dataset!$O$2:$O$1501,0)</f>
        <v>1216</v>
      </c>
      <c r="C37" s="14" t="n">
        <f aca="false"> SUMIFS(customer_churn_dataset!$N$2:$N$1501,customer_churn_dataset!$O$2:$O$1501,0)</f>
        <v>511265.37</v>
      </c>
      <c r="D37" s="16" t="n">
        <f aca="false">C37/B37</f>
        <v>420.44849506579</v>
      </c>
    </row>
    <row r="38" customFormat="false" ht="13.8" hidden="false" customHeight="false" outlineLevel="0" collapsed="false">
      <c r="A38" s="12" t="s">
        <v>1563</v>
      </c>
      <c r="B38" s="14" t="n">
        <f aca="false"> COUNTIF(customer_churn_dataset!$O$2:$O$1501,1)</f>
        <v>284</v>
      </c>
      <c r="C38" s="16" t="n">
        <f aca="false"> SUMIFS(customer_churn_dataset!$N$2:$N$1501,customer_churn_dataset!$O$2:$O$1501,1)</f>
        <v>91109.6</v>
      </c>
      <c r="D38" s="16" t="n">
        <f aca="false">C38/B38</f>
        <v>320.808450704225</v>
      </c>
    </row>
    <row r="39" customFormat="false" ht="13.8" hidden="false" customHeight="false" outlineLevel="0" collapsed="false">
      <c r="A39" s="12" t="s">
        <v>1578</v>
      </c>
      <c r="B39" s="12"/>
      <c r="C39" s="13"/>
      <c r="D39" s="12"/>
    </row>
    <row r="41" customFormat="false" ht="15" hidden="false" customHeight="false" outlineLevel="0" collapsed="false">
      <c r="A41" s="10" t="s">
        <v>1579</v>
      </c>
    </row>
    <row r="42" customFormat="false" ht="13.8" hidden="false" customHeight="false" outlineLevel="0" collapsed="false">
      <c r="A42" s="11" t="s">
        <v>1580</v>
      </c>
      <c r="B42" s="11" t="s">
        <v>1581</v>
      </c>
      <c r="C42" s="11" t="s">
        <v>1582</v>
      </c>
      <c r="D42" s="11" t="s">
        <v>1583</v>
      </c>
    </row>
    <row r="43" customFormat="false" ht="13.8" hidden="false" customHeight="false" outlineLevel="0" collapsed="false">
      <c r="A43" s="12" t="s">
        <v>1577</v>
      </c>
      <c r="B43" s="14" t="n">
        <f aca="false"> IFERROR(AVERAGEIFS(customer_churn_dataset!$I$2:$I$1501,customer_churn_dataset!$O$2:$O$1501,0),"N/A")</f>
        <v>55.9615131578947</v>
      </c>
      <c r="C43" s="14" t="n">
        <f aca="false"> IFERROR(AVERAGEIFS(customer_churn_dataset!$J$2:$J$1501,customer_churn_dataset!$O$2:$O$1501,0),"N/A")</f>
        <v>17.0370065789474</v>
      </c>
      <c r="D43" s="14" t="n">
        <f aca="false"> IFERROR(AVERAGEIFS(customer_churn_dataset!$K$2:$K$1501,customer_churn_dataset!$O$2:$O$1501,0),"N/A")</f>
        <v>5.53207236842105</v>
      </c>
    </row>
    <row r="44" customFormat="false" ht="13.8" hidden="false" customHeight="false" outlineLevel="0" collapsed="false">
      <c r="A44" s="12" t="s">
        <v>1563</v>
      </c>
      <c r="B44" s="14" t="n">
        <f aca="false"> IFERROR(AVERAGEIFS(customer_churn_dataset!$I$2:$I$1501,customer_churn_dataset!$O$2:$O$1501,1),"N/A")</f>
        <v>47.2957746478873</v>
      </c>
      <c r="C44" s="14" t="n">
        <f aca="false"> IFERROR(AVERAGEIFS(customer_churn_dataset!$J$2:$J$1501,customer_churn_dataset!$O$2:$O$1501,1),"N/A")</f>
        <v>14.1584507042254</v>
      </c>
      <c r="D44" s="14" t="n">
        <f aca="false"> IFERROR(AVERAGEIFS(customer_churn_dataset!$K$2:$K$1501,customer_churn_dataset!$O$2:$O$1501,1),"N/A")</f>
        <v>4.76760563380282</v>
      </c>
    </row>
    <row r="46" customFormat="false" ht="15" hidden="false" customHeight="false" outlineLevel="0" collapsed="false">
      <c r="A46" s="10" t="s">
        <v>1584</v>
      </c>
    </row>
    <row r="47" customFormat="false" ht="13.8" hidden="false" customHeight="false" outlineLevel="0" collapsed="false">
      <c r="A47" s="11" t="s">
        <v>1574</v>
      </c>
      <c r="B47" s="11" t="s">
        <v>1562</v>
      </c>
      <c r="C47" s="11" t="s">
        <v>1563</v>
      </c>
      <c r="D47" s="11" t="s">
        <v>1564</v>
      </c>
    </row>
    <row r="48" customFormat="false" ht="13.8" hidden="false" customHeight="false" outlineLevel="0" collapsed="false">
      <c r="A48" s="12" t="s">
        <v>1585</v>
      </c>
      <c r="B48" s="14" t="n">
        <f aca="false"> IFERROR(AVERAGEIFS(customer_churn_dataset!$L$2:$L$1501,customer_churn_dataset!$O$2:$O$1501,0),"N/A")</f>
        <v>1.32154605263158</v>
      </c>
      <c r="C48" s="14"/>
      <c r="D48" s="12"/>
    </row>
    <row r="49" customFormat="false" ht="13.8" hidden="false" customHeight="false" outlineLevel="0" collapsed="false">
      <c r="A49" s="12" t="s">
        <v>1586</v>
      </c>
      <c r="B49" s="14" t="n">
        <f aca="false"> IFERROR(AVERAGEIFS(customer_churn_dataset!$L$2:$L$1501,customer_churn_dataset!$O$2:$O$1501,1),"N/A")</f>
        <v>1.83450704225352</v>
      </c>
      <c r="C49" s="12"/>
      <c r="D49" s="12"/>
    </row>
    <row r="50" customFormat="false" ht="13.8" hidden="false" customHeight="false" outlineLevel="0" collapsed="false">
      <c r="A50" s="12" t="s">
        <v>1587</v>
      </c>
      <c r="B50" s="14" t="n">
        <f aca="false"> COUNTIF(customer_churn_dataset!$M$2:$M$1501,0)</f>
        <v>1092</v>
      </c>
      <c r="C50" s="14" t="n">
        <f aca="false"> COUNTIFS(customer_churn_dataset!$M$2:$M$1501,0,customer_churn_dataset!$O$2:$O$1501,1)</f>
        <v>170</v>
      </c>
      <c r="D50" s="13" t="n">
        <f aca="false">C50/B50</f>
        <v>0.155677655677656</v>
      </c>
    </row>
    <row r="51" customFormat="false" ht="13.8" hidden="false" customHeight="false" outlineLevel="0" collapsed="false">
      <c r="A51" s="12" t="s">
        <v>1588</v>
      </c>
      <c r="B51" s="14" t="n">
        <f aca="false"> COUNTIF(customer_churn_dataset!$M$2:$M$1501,1)</f>
        <v>408</v>
      </c>
      <c r="C51" s="14" t="n">
        <f aca="false"> COUNTIFS(customer_churn_dataset!$M$2:$M$1501,1,customer_churn_dataset!$O$2:$O$1501,1)</f>
        <v>114</v>
      </c>
      <c r="D51" s="13" t="n">
        <f aca="false">C51/B51</f>
        <v>0.279411764705882</v>
      </c>
    </row>
    <row r="53" customFormat="false" ht="15" hidden="false" customHeight="false" outlineLevel="0" collapsed="false">
      <c r="A53" s="10" t="s">
        <v>1589</v>
      </c>
    </row>
    <row r="54" customFormat="false" ht="13.8" hidden="false" customHeight="false" outlineLevel="0" collapsed="false">
      <c r="A54" s="11" t="s">
        <v>1574</v>
      </c>
      <c r="B54" s="11" t="s">
        <v>1562</v>
      </c>
      <c r="C54" s="11" t="s">
        <v>1563</v>
      </c>
      <c r="D54" s="11" t="s">
        <v>1564</v>
      </c>
    </row>
    <row r="55" customFormat="false" ht="13.8" hidden="false" customHeight="false" outlineLevel="0" collapsed="false">
      <c r="A55" s="12" t="s">
        <v>1590</v>
      </c>
      <c r="B55" s="14" t="n">
        <f aca="false"> COUNTIF(customer_churn_dataset!$H$2:$H$1501,0)</f>
        <v>494</v>
      </c>
      <c r="C55" s="14" t="n">
        <f aca="false"> COUNTIFS(customer_churn_dataset!$H$2:$H$1501,0,customer_churn_dataset!$O$2:$O$1501,1)</f>
        <v>108</v>
      </c>
      <c r="D55" s="13" t="n">
        <f aca="false">C55/B55</f>
        <v>0.218623481781377</v>
      </c>
    </row>
    <row r="56" customFormat="false" ht="13.8" hidden="false" customHeight="false" outlineLevel="0" collapsed="false">
      <c r="A56" s="12" t="s">
        <v>1591</v>
      </c>
      <c r="B56" s="14" t="n">
        <f aca="false"> COUNTIF(customer_churn_dataset!$H$2:$H$1501,1)</f>
        <v>1006</v>
      </c>
      <c r="C56" s="14" t="n">
        <f aca="false"> COUNTIFS(customer_churn_dataset!$H$2:$H$1501,1,customer_churn_dataset!$O$2:$O$1501,1)</f>
        <v>176</v>
      </c>
      <c r="D56" s="13" t="n">
        <f aca="false">C56/B56</f>
        <v>0.174950298210736</v>
      </c>
    </row>
    <row r="57" customFormat="false" ht="13.8" hidden="false" customHeight="false" outlineLevel="0" collapsed="false">
      <c r="A57" s="12" t="s">
        <v>25</v>
      </c>
      <c r="B57" s="14" t="n">
        <f aca="false"> COUNTIF(customer_churn_dataset!$G$2:$G$1501,A57)</f>
        <v>701</v>
      </c>
      <c r="C57" s="14" t="n">
        <f aca="false"> COUNTIFS(customer_churn_dataset!$G$2:$G$1501,A57,customer_churn_dataset!$O$2:$O$1501,1)</f>
        <v>114</v>
      </c>
      <c r="D57" s="13" t="n">
        <f aca="false">C57/B57</f>
        <v>0.16262482168331</v>
      </c>
    </row>
    <row r="58" customFormat="false" ht="13.8" hidden="false" customHeight="false" outlineLevel="0" collapsed="false">
      <c r="A58" s="12" t="s">
        <v>39</v>
      </c>
      <c r="B58" s="14" t="n">
        <f aca="false"> COUNTIF(customer_churn_dataset!$G$2:$G$1501,A58)</f>
        <v>380</v>
      </c>
      <c r="C58" s="14" t="n">
        <f aca="false"> COUNTIFS(customer_churn_dataset!$G$2:$G$1501,A58,customer_churn_dataset!$O$2:$O$1501,1)</f>
        <v>76</v>
      </c>
      <c r="D58" s="13" t="n">
        <f aca="false">C58/B58</f>
        <v>0.2</v>
      </c>
    </row>
    <row r="59" customFormat="false" ht="13.8" hidden="false" customHeight="false" outlineLevel="0" collapsed="false">
      <c r="A59" s="12" t="s">
        <v>30</v>
      </c>
      <c r="B59" s="14" t="n">
        <f aca="false"> COUNTIF(customer_churn_dataset!$G$2:$G$1501,A59)</f>
        <v>266</v>
      </c>
      <c r="C59" s="14" t="n">
        <f aca="false"> COUNTIFS(customer_churn_dataset!$G$2:$G$1501,A59,customer_churn_dataset!$O$2:$O$1501,1)</f>
        <v>60</v>
      </c>
      <c r="D59" s="13" t="n">
        <f aca="false">C59/B59</f>
        <v>0.225563909774436</v>
      </c>
    </row>
    <row r="60" customFormat="false" ht="13.8" hidden="false" customHeight="false" outlineLevel="0" collapsed="false">
      <c r="A60" s="12" t="s">
        <v>27</v>
      </c>
      <c r="B60" s="14" t="n">
        <f aca="false"> COUNTIF(customer_churn_dataset!$G$2:$G$1501,A60)</f>
        <v>153</v>
      </c>
      <c r="C60" s="14" t="n">
        <f aca="false"> COUNTIFS(customer_churn_dataset!$G$2:$G$1501,A60,customer_churn_dataset!$O$2:$O$1501,1)</f>
        <v>34</v>
      </c>
      <c r="D60" s="13" t="n">
        <f aca="false">C60/B60</f>
        <v>0.222222222222222</v>
      </c>
    </row>
    <row r="62" customFormat="false" ht="15" hidden="false" customHeight="false" outlineLevel="0" collapsed="false">
      <c r="A62" s="10" t="s">
        <v>1592</v>
      </c>
    </row>
    <row r="63" customFormat="false" ht="13.8" hidden="false" customHeight="false" outlineLevel="0" collapsed="false">
      <c r="A63" s="11" t="s">
        <v>1574</v>
      </c>
      <c r="B63" s="11" t="s">
        <v>1562</v>
      </c>
      <c r="C63" s="11" t="s">
        <v>1563</v>
      </c>
      <c r="D63" s="11" t="s">
        <v>1564</v>
      </c>
    </row>
    <row r="64" customFormat="false" ht="13.8" hidden="false" customHeight="false" outlineLevel="0" collapsed="false">
      <c r="A64" s="12" t="s">
        <v>1593</v>
      </c>
      <c r="B64" s="14" t="n">
        <f aca="false"> COUNTIFS(customer_churn_dataset!$C$2:$C$1501,"Month-to-month",customer_churn_dataset!$I$2:$I$1501,"&lt;40",customer_churn_dataset!$M$2:$M$1501,1)</f>
        <v>66</v>
      </c>
      <c r="C64" s="14" t="n">
        <f aca="false"> COUNTIFS(customer_churn_dataset!$C$2:$C$1501,"Month-to-month",customer_churn_dataset!$I$2:$I$1501,"&lt;40",customer_churn_dataset!$M$2:$M$1501,1,customer_churn_dataset!$O$2:$O$1501,1)</f>
        <v>34</v>
      </c>
      <c r="D64" s="13" t="n">
        <f aca="false">C64/B64</f>
        <v>0.515151515151515</v>
      </c>
    </row>
    <row r="66" customFormat="false" ht="15" hidden="false" customHeight="false" outlineLevel="0" collapsed="false">
      <c r="A66" s="10" t="s">
        <v>1594</v>
      </c>
    </row>
    <row r="67" customFormat="false" ht="13.8" hidden="false" customHeight="false" outlineLevel="0" collapsed="false">
      <c r="A67" s="11" t="s">
        <v>1595</v>
      </c>
      <c r="B67" s="11" t="s">
        <v>1562</v>
      </c>
      <c r="C67" s="11" t="s">
        <v>1563</v>
      </c>
      <c r="D67" s="11" t="s">
        <v>1564</v>
      </c>
    </row>
    <row r="68" customFormat="false" ht="13.8" hidden="false" customHeight="false" outlineLevel="0" collapsed="false">
      <c r="A68" s="12" t="n">
        <v>2020</v>
      </c>
      <c r="B68" s="14" t="n">
        <f aca="false"> COUNTIF(customer_churn_dataset!$R$2:$R$1501,A68)</f>
        <v>266</v>
      </c>
      <c r="C68" s="14" t="n">
        <f aca="false"> COUNTIFS(customer_churn_dataset!$R$2:$R$1501,A68,customer_churn_dataset!$O$2:$O$1501,1)</f>
        <v>48</v>
      </c>
      <c r="D68" s="13" t="n">
        <f aca="false">C68/B68</f>
        <v>0.180451127819549</v>
      </c>
    </row>
    <row r="69" customFormat="false" ht="13.8" hidden="false" customHeight="false" outlineLevel="0" collapsed="false">
      <c r="A69" s="12" t="n">
        <v>2021</v>
      </c>
      <c r="B69" s="14" t="n">
        <f aca="false"> COUNTIF(customer_churn_dataset!$R$2:$R$1501,A69)</f>
        <v>274</v>
      </c>
      <c r="C69" s="14" t="n">
        <f aca="false"> COUNTIFS(customer_churn_dataset!$R$2:$R$1501,A69,customer_churn_dataset!$O$2:$O$1501,1)</f>
        <v>70</v>
      </c>
      <c r="D69" s="13" t="n">
        <f aca="false">C69/B69</f>
        <v>0.255474452554745</v>
      </c>
    </row>
    <row r="70" customFormat="false" ht="13.8" hidden="false" customHeight="false" outlineLevel="0" collapsed="false">
      <c r="A70" s="12" t="n">
        <v>2022</v>
      </c>
      <c r="B70" s="14" t="n">
        <f aca="false"> COUNTIF(customer_churn_dataset!$R$2:$R$1501,A70)</f>
        <v>284</v>
      </c>
      <c r="C70" s="14" t="n">
        <f aca="false"> COUNTIFS(customer_churn_dataset!$R$2:$R$1501,A70,customer_churn_dataset!$O$2:$O$1501,1)</f>
        <v>51</v>
      </c>
      <c r="D70" s="13" t="n">
        <f aca="false">C70/B70</f>
        <v>0.179577464788732</v>
      </c>
    </row>
    <row r="71" customFormat="false" ht="13.8" hidden="false" customHeight="false" outlineLevel="0" collapsed="false">
      <c r="A71" s="12" t="n">
        <v>2023</v>
      </c>
      <c r="B71" s="14" t="n">
        <f aca="false"> COUNTIF(customer_churn_dataset!$R$2:$R$1501,A71)</f>
        <v>300</v>
      </c>
      <c r="C71" s="14" t="n">
        <f aca="false"> COUNTIFS(customer_churn_dataset!$R$2:$R$1501,A71,customer_churn_dataset!$O$2:$O$1501,1)</f>
        <v>50</v>
      </c>
      <c r="D71" s="13" t="n">
        <f aca="false">C71/B71</f>
        <v>0.166666666666667</v>
      </c>
    </row>
    <row r="72" customFormat="false" ht="13.8" hidden="false" customHeight="false" outlineLevel="0" collapsed="false">
      <c r="A72" s="12" t="n">
        <v>2024</v>
      </c>
      <c r="B72" s="14" t="n">
        <f aca="false"> COUNTIF(customer_churn_dataset!$R$2:$R$1501,A72)</f>
        <v>242</v>
      </c>
      <c r="C72" s="14" t="n">
        <f aca="false"> COUNTIFS(customer_churn_dataset!$R$2:$R$1501,A72,customer_churn_dataset!$O$2:$O$1501,1)</f>
        <v>46</v>
      </c>
      <c r="D72" s="13" t="n">
        <f aca="false">C72/B72</f>
        <v>0.190082644628099</v>
      </c>
    </row>
    <row r="73" customFormat="false" ht="13.8" hidden="false" customHeight="false" outlineLevel="0" collapsed="false">
      <c r="A73" s="12" t="n">
        <v>2025</v>
      </c>
      <c r="B73" s="14" t="n">
        <f aca="false"> COUNTIF(customer_churn_dataset!$R$2:$R$1501,A73)</f>
        <v>134</v>
      </c>
      <c r="C73" s="14" t="n">
        <f aca="false"> COUNTIFS(customer_churn_dataset!$R$2:$R$1501,A73,customer_churn_dataset!$O$2:$O$1501,1)</f>
        <v>19</v>
      </c>
      <c r="D73" s="13" t="n">
        <f aca="false">C73/B73</f>
        <v>0.141791044776119</v>
      </c>
    </row>
  </sheetData>
  <mergeCells count="2">
    <mergeCell ref="A1:F1"/>
    <mergeCell ref="A14:F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15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06" activeCellId="0" sqref="L20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"/>
    <col collapsed="false" customWidth="true" hidden="false" outlineLevel="0" max="3" min="3" style="0" width="14.33"/>
    <col collapsed="false" customWidth="true" hidden="false" outlineLevel="0" max="5" min="5" style="0" width="18.49"/>
    <col collapsed="false" customWidth="true" hidden="false" outlineLevel="0" max="6" min="6" style="0" width="19.06"/>
    <col collapsed="false" customWidth="true" hidden="false" outlineLevel="0" max="7" min="7" style="0" width="19.89"/>
  </cols>
  <sheetData>
    <row r="1" customFormat="false" ht="25.6" hidden="false" customHeight="false" outlineLevel="0" collapsed="false">
      <c r="A1" s="17" t="s">
        <v>1596</v>
      </c>
      <c r="B1" s="18"/>
      <c r="C1" s="18"/>
      <c r="D1" s="19"/>
      <c r="E1" s="18"/>
      <c r="F1" s="18"/>
    </row>
    <row r="3" customFormat="false" ht="12.8" hidden="false" customHeight="false" outlineLevel="0" collapsed="false">
      <c r="A3" s="20" t="s">
        <v>1597</v>
      </c>
      <c r="B3" s="21" t="s">
        <v>1561</v>
      </c>
      <c r="C3" s="21" t="s">
        <v>1598</v>
      </c>
      <c r="D3" s="21" t="s">
        <v>1599</v>
      </c>
      <c r="E3" s="21" t="s">
        <v>1600</v>
      </c>
      <c r="F3" s="21" t="s">
        <v>1601</v>
      </c>
      <c r="G3" s="21" t="s">
        <v>1602</v>
      </c>
      <c r="H3" s="21" t="s">
        <v>1603</v>
      </c>
      <c r="I3" s="21" t="s">
        <v>1563</v>
      </c>
      <c r="J3" s="21" t="s">
        <v>1604</v>
      </c>
      <c r="K3" s="21" t="s">
        <v>1605</v>
      </c>
    </row>
    <row r="4" customFormat="false" ht="12.8" hidden="true" customHeight="false" outlineLevel="0" collapsed="false">
      <c r="A4" s="22" t="str">
        <f aca="false">customer_churn_dataset!A1501</f>
        <v>CUST100898</v>
      </c>
      <c r="B4" s="22" t="str">
        <f aca="false">customer_churn_dataset!B1501</f>
        <v>Basic</v>
      </c>
      <c r="C4" s="22" t="str">
        <f aca="false">customer_churn_dataset!C1501</f>
        <v>One year</v>
      </c>
      <c r="D4" s="0" t="n">
        <f aca="false">INDEX(customer_churn_dataset!$E$2:$E$1501,MATCH($A5,customer_churn_dataset!$A$2:$A$1501,0))</f>
        <v>72</v>
      </c>
      <c r="E4" s="0" t="n">
        <f aca="false">INDEX(customer_churn_dataset!$I$2:$I$1501,MATCH($A5,customer_churn_dataset!$A$2:$A$1501,0))</f>
        <v>38.9</v>
      </c>
      <c r="F4" s="0" t="n">
        <f aca="false">INDEX(customer_churn_dataset!$L$2:$L$1501,MATCH($A5,customer_churn_dataset!$A$2:$A$1501,0))</f>
        <v>1</v>
      </c>
      <c r="G4" s="0" t="str">
        <f aca="false">IF(INDEX(customer_churn_dataset!$M$2:$M$1501,MATCH($A5,customer_churn_dataset!$A$2:$A$1501,0))=1,"Yes","No")</f>
        <v>Yes</v>
      </c>
      <c r="H4" s="0" t="n">
        <f aca="false">INDEX(customer_churn_dataset!$N$2:$N$1501,MATCH($A5,customer_churn_dataset!$A$2:$A$1501,0))</f>
        <v>703.44</v>
      </c>
      <c r="I4" s="0" t="n">
        <f aca="false">INDEX(customer_churn_dataset!$O$2:$O$1501,MATCH($A5,customer_churn_dataset!$A$2:$A$1501,0))</f>
        <v>0</v>
      </c>
      <c r="J4" s="0" t="n">
        <f aca="false">INDEX(customer_churn_dataset!$T$2:$T$1501,MATCH($A5,customer_churn_dataset!$A$2:$A$1501,0))</f>
        <v>7</v>
      </c>
      <c r="K4" s="0" t="str">
        <f aca="false">INDEX(customer_churn_dataset!$V$2:$V$1501,MATCH($A5,customer_churn_dataset!$A$2:$A$1501,0))</f>
        <v>High Risk</v>
      </c>
    </row>
    <row r="5" customFormat="false" ht="12.8" hidden="true" customHeight="false" outlineLevel="0" collapsed="false">
      <c r="A5" s="22" t="str">
        <f aca="false">customer_churn_dataset!A10</f>
        <v>CUST101481</v>
      </c>
      <c r="B5" s="22" t="str">
        <f aca="false">customer_churn_dataset!B10</f>
        <v>Basic</v>
      </c>
      <c r="C5" s="22" t="str">
        <f aca="false">customer_churn_dataset!C10</f>
        <v>Month-to-month</v>
      </c>
      <c r="D5" s="0" t="n">
        <f aca="false">INDEX(customer_churn_dataset!$E$2:$E$1501,MATCH($A6,customer_churn_dataset!$A$2:$A$1501,0))</f>
        <v>8</v>
      </c>
      <c r="E5" s="0" t="n">
        <f aca="false">INDEX(customer_churn_dataset!$I$2:$I$1501,MATCH($A6,customer_churn_dataset!$A$2:$A$1501,0))</f>
        <v>45.7</v>
      </c>
      <c r="F5" s="0" t="n">
        <f aca="false">INDEX(customer_churn_dataset!$L$2:$L$1501,MATCH($A6,customer_churn_dataset!$A$2:$A$1501,0))</f>
        <v>1</v>
      </c>
      <c r="G5" s="0" t="str">
        <f aca="false">IF(INDEX(customer_churn_dataset!$M$2:$M$1501,MATCH($A6,customer_churn_dataset!$A$2:$A$1501,0))=1,"Yes","No")</f>
        <v>Yes</v>
      </c>
      <c r="H5" s="0" t="n">
        <f aca="false">INDEX(customer_churn_dataset!$N$2:$N$1501,MATCH($A6,customer_churn_dataset!$A$2:$A$1501,0))</f>
        <v>308.88</v>
      </c>
      <c r="I5" s="0" t="n">
        <f aca="false">INDEX(customer_churn_dataset!$O$2:$O$1501,MATCH($A6,customer_churn_dataset!$A$2:$A$1501,0))</f>
        <v>1</v>
      </c>
      <c r="J5" s="0" t="n">
        <f aca="false">INDEX(customer_churn_dataset!$T$2:$T$1501,MATCH($A6,customer_churn_dataset!$A$2:$A$1501,0))</f>
        <v>6</v>
      </c>
      <c r="K5" s="0" t="str">
        <f aca="false">INDEX(customer_churn_dataset!$V$2:$V$1501,MATCH($A6,customer_churn_dataset!$A$2:$A$1501,0))</f>
        <v>High Risk</v>
      </c>
    </row>
    <row r="6" customFormat="false" ht="12.8" hidden="true" customHeight="false" outlineLevel="0" collapsed="false">
      <c r="A6" s="22" t="str">
        <f aca="false">customer_churn_dataset!A7</f>
        <v>CUST101313</v>
      </c>
      <c r="B6" s="22" t="str">
        <f aca="false">customer_churn_dataset!B7</f>
        <v>Premium</v>
      </c>
      <c r="C6" s="22" t="str">
        <f aca="false">customer_churn_dataset!C7</f>
        <v>One year</v>
      </c>
      <c r="D6" s="0" t="n">
        <f aca="false">INDEX(customer_churn_dataset!$E$2:$E$1501,MATCH($A7,customer_churn_dataset!$A$2:$A$1501,0))</f>
        <v>19</v>
      </c>
      <c r="E6" s="0" t="n">
        <f aca="false">INDEX(customer_churn_dataset!$I$2:$I$1501,MATCH($A7,customer_churn_dataset!$A$2:$A$1501,0))</f>
        <v>48.9</v>
      </c>
      <c r="F6" s="0" t="n">
        <f aca="false">INDEX(customer_churn_dataset!$L$2:$L$1501,MATCH($A7,customer_churn_dataset!$A$2:$A$1501,0))</f>
        <v>0</v>
      </c>
      <c r="G6" s="0" t="str">
        <f aca="false">IF(INDEX(customer_churn_dataset!$M$2:$M$1501,MATCH($A7,customer_churn_dataset!$A$2:$A$1501,0))=1,"Yes","No")</f>
        <v>No</v>
      </c>
      <c r="H6" s="0" t="n">
        <f aca="false">INDEX(customer_churn_dataset!$N$2:$N$1501,MATCH($A7,customer_churn_dataset!$A$2:$A$1501,0))</f>
        <v>212.99</v>
      </c>
      <c r="I6" s="0" t="n">
        <f aca="false">INDEX(customer_churn_dataset!$O$2:$O$1501,MATCH($A7,customer_churn_dataset!$A$2:$A$1501,0))</f>
        <v>0</v>
      </c>
      <c r="J6" s="0" t="n">
        <f aca="false">INDEX(customer_churn_dataset!$T$2:$T$1501,MATCH($A7,customer_churn_dataset!$A$2:$A$1501,0))</f>
        <v>3</v>
      </c>
      <c r="K6" s="0" t="str">
        <f aca="false">INDEX(customer_churn_dataset!$V$2:$V$1501,MATCH($A7,customer_churn_dataset!$A$2:$A$1501,0))</f>
        <v>Medium Risk</v>
      </c>
    </row>
    <row r="7" customFormat="false" ht="12.8" hidden="true" customHeight="false" outlineLevel="0" collapsed="false">
      <c r="A7" s="22" t="str">
        <f aca="false">customer_churn_dataset!A27</f>
        <v>CUST100360</v>
      </c>
      <c r="B7" s="22" t="str">
        <f aca="false">customer_churn_dataset!B27</f>
        <v>Basic</v>
      </c>
      <c r="C7" s="22" t="str">
        <f aca="false">customer_churn_dataset!C27</f>
        <v>Month-to-month</v>
      </c>
      <c r="D7" s="0" t="n">
        <f aca="false">INDEX(customer_churn_dataset!$E$2:$E$1501,MATCH($A8,customer_churn_dataset!$A$2:$A$1501,0))</f>
        <v>57</v>
      </c>
      <c r="E7" s="0" t="n">
        <f aca="false">INDEX(customer_churn_dataset!$I$2:$I$1501,MATCH($A8,customer_churn_dataset!$A$2:$A$1501,0))</f>
        <v>42.4</v>
      </c>
      <c r="F7" s="0" t="n">
        <f aca="false">INDEX(customer_churn_dataset!$L$2:$L$1501,MATCH($A8,customer_churn_dataset!$A$2:$A$1501,0))</f>
        <v>1</v>
      </c>
      <c r="G7" s="0" t="str">
        <f aca="false">IF(INDEX(customer_churn_dataset!$M$2:$M$1501,MATCH($A8,customer_churn_dataset!$A$2:$A$1501,0))=1,"Yes","No")</f>
        <v>No</v>
      </c>
      <c r="H7" s="0" t="n">
        <f aca="false">INDEX(customer_churn_dataset!$N$2:$N$1501,MATCH($A8,customer_churn_dataset!$A$2:$A$1501,0))</f>
        <v>1166.22</v>
      </c>
      <c r="I7" s="0" t="n">
        <f aca="false">INDEX(customer_churn_dataset!$O$2:$O$1501,MATCH($A8,customer_churn_dataset!$A$2:$A$1501,0))</f>
        <v>0</v>
      </c>
      <c r="J7" s="0" t="n">
        <f aca="false">INDEX(customer_churn_dataset!$T$2:$T$1501,MATCH($A8,customer_churn_dataset!$A$2:$A$1501,0))</f>
        <v>3</v>
      </c>
      <c r="K7" s="0" t="str">
        <f aca="false">INDEX(customer_churn_dataset!$V$2:$V$1501,MATCH($A8,customer_churn_dataset!$A$2:$A$1501,0))</f>
        <v>Medium Risk</v>
      </c>
    </row>
    <row r="8" customFormat="false" ht="12.8" hidden="true" customHeight="false" outlineLevel="0" collapsed="false">
      <c r="A8" s="22" t="str">
        <f aca="false">customer_churn_dataset!A5</f>
        <v>CUST101045</v>
      </c>
      <c r="B8" s="22" t="str">
        <f aca="false">customer_churn_dataset!B5</f>
        <v>Standard</v>
      </c>
      <c r="C8" s="22" t="str">
        <f aca="false">customer_churn_dataset!C5</f>
        <v>Month-to-month</v>
      </c>
      <c r="D8" s="0" t="n">
        <f aca="false">INDEX(customer_churn_dataset!$E$2:$E$1501,MATCH($A9,customer_churn_dataset!$A$2:$A$1501,0))</f>
        <v>8</v>
      </c>
      <c r="E8" s="0" t="n">
        <f aca="false">INDEX(customer_churn_dataset!$I$2:$I$1501,MATCH($A9,customer_churn_dataset!$A$2:$A$1501,0))</f>
        <v>27.8</v>
      </c>
      <c r="F8" s="0" t="n">
        <f aca="false">INDEX(customer_churn_dataset!$L$2:$L$1501,MATCH($A9,customer_churn_dataset!$A$2:$A$1501,0))</f>
        <v>3</v>
      </c>
      <c r="G8" s="0" t="str">
        <f aca="false">IF(INDEX(customer_churn_dataset!$M$2:$M$1501,MATCH($A9,customer_churn_dataset!$A$2:$A$1501,0))=1,"Yes","No")</f>
        <v>No</v>
      </c>
      <c r="H8" s="0" t="n">
        <f aca="false">INDEX(customer_churn_dataset!$N$2:$N$1501,MATCH($A9,customer_churn_dataset!$A$2:$A$1501,0))</f>
        <v>99.84</v>
      </c>
      <c r="I8" s="0" t="n">
        <f aca="false">INDEX(customer_churn_dataset!$O$2:$O$1501,MATCH($A9,customer_churn_dataset!$A$2:$A$1501,0))</f>
        <v>0</v>
      </c>
      <c r="J8" s="0" t="n">
        <f aca="false">INDEX(customer_churn_dataset!$T$2:$T$1501,MATCH($A9,customer_churn_dataset!$A$2:$A$1501,0))</f>
        <v>4</v>
      </c>
      <c r="K8" s="0" t="str">
        <f aca="false">INDEX(customer_churn_dataset!$V$2:$V$1501,MATCH($A9,customer_churn_dataset!$A$2:$A$1501,0))</f>
        <v>Medium Risk</v>
      </c>
    </row>
    <row r="9" customFormat="false" ht="12.8" hidden="true" customHeight="false" outlineLevel="0" collapsed="false">
      <c r="A9" s="22" t="str">
        <f aca="false">customer_churn_dataset!A53</f>
        <v>CUST100131</v>
      </c>
      <c r="B9" s="22" t="str">
        <f aca="false">customer_churn_dataset!B53</f>
        <v>Basic</v>
      </c>
      <c r="C9" s="22" t="str">
        <f aca="false">customer_churn_dataset!C53</f>
        <v>Two year</v>
      </c>
      <c r="D9" s="0" t="n">
        <f aca="false">INDEX(customer_churn_dataset!$E$2:$E$1501,MATCH($A10,customer_churn_dataset!$A$2:$A$1501,0))</f>
        <v>41</v>
      </c>
      <c r="E9" s="0" t="n">
        <f aca="false">INDEX(customer_churn_dataset!$I$2:$I$1501,MATCH($A10,customer_churn_dataset!$A$2:$A$1501,0))</f>
        <v>52.7</v>
      </c>
      <c r="F9" s="0" t="n">
        <f aca="false">INDEX(customer_churn_dataset!$L$2:$L$1501,MATCH($A10,customer_churn_dataset!$A$2:$A$1501,0))</f>
        <v>0</v>
      </c>
      <c r="G9" s="0" t="str">
        <f aca="false">IF(INDEX(customer_churn_dataset!$M$2:$M$1501,MATCH($A10,customer_churn_dataset!$A$2:$A$1501,0))=1,"Yes","No")</f>
        <v>No</v>
      </c>
      <c r="H9" s="0" t="n">
        <f aca="false">INDEX(customer_churn_dataset!$N$2:$N$1501,MATCH($A10,customer_churn_dataset!$A$2:$A$1501,0))</f>
        <v>450.18</v>
      </c>
      <c r="I9" s="0" t="n">
        <f aca="false">INDEX(customer_churn_dataset!$O$2:$O$1501,MATCH($A10,customer_churn_dataset!$A$2:$A$1501,0))</f>
        <v>0</v>
      </c>
      <c r="J9" s="0" t="n">
        <f aca="false">INDEX(customer_churn_dataset!$T$2:$T$1501,MATCH($A10,customer_churn_dataset!$A$2:$A$1501,0))</f>
        <v>3</v>
      </c>
      <c r="K9" s="0" t="str">
        <f aca="false">INDEX(customer_churn_dataset!$V$2:$V$1501,MATCH($A10,customer_churn_dataset!$A$2:$A$1501,0))</f>
        <v>Medium Risk</v>
      </c>
    </row>
    <row r="10" customFormat="false" ht="12.8" hidden="true" customHeight="false" outlineLevel="0" collapsed="false">
      <c r="A10" s="22" t="str">
        <f aca="false">customer_churn_dataset!A48</f>
        <v>CUST100141</v>
      </c>
      <c r="B10" s="22" t="str">
        <f aca="false">customer_churn_dataset!B48</f>
        <v>Basic</v>
      </c>
      <c r="C10" s="22" t="str">
        <f aca="false">customer_churn_dataset!C48</f>
        <v>Month-to-month</v>
      </c>
      <c r="D10" s="0" t="n">
        <f aca="false">INDEX(customer_churn_dataset!$E$2:$E$1501,MATCH($A11,customer_churn_dataset!$A$2:$A$1501,0))</f>
        <v>4</v>
      </c>
      <c r="E10" s="0" t="n">
        <f aca="false">INDEX(customer_churn_dataset!$I$2:$I$1501,MATCH($A11,customer_churn_dataset!$A$2:$A$1501,0))</f>
        <v>54</v>
      </c>
      <c r="F10" s="0" t="n">
        <f aca="false">INDEX(customer_churn_dataset!$L$2:$L$1501,MATCH($A11,customer_churn_dataset!$A$2:$A$1501,0))</f>
        <v>3</v>
      </c>
      <c r="G10" s="0" t="str">
        <f aca="false">IF(INDEX(customer_churn_dataset!$M$2:$M$1501,MATCH($A11,customer_churn_dataset!$A$2:$A$1501,0))=1,"Yes","No")</f>
        <v>No</v>
      </c>
      <c r="H10" s="0" t="n">
        <f aca="false">INDEX(customer_churn_dataset!$N$2:$N$1501,MATCH($A11,customer_churn_dataset!$A$2:$A$1501,0))</f>
        <v>158.88</v>
      </c>
      <c r="I10" s="0" t="n">
        <f aca="false">INDEX(customer_churn_dataset!$O$2:$O$1501,MATCH($A11,customer_churn_dataset!$A$2:$A$1501,0))</f>
        <v>1</v>
      </c>
      <c r="J10" s="0" t="n">
        <f aca="false">INDEX(customer_churn_dataset!$T$2:$T$1501,MATCH($A11,customer_churn_dataset!$A$2:$A$1501,0))</f>
        <v>5</v>
      </c>
      <c r="K10" s="0" t="str">
        <f aca="false">INDEX(customer_churn_dataset!$V$2:$V$1501,MATCH($A11,customer_churn_dataset!$A$2:$A$1501,0))</f>
        <v>Medium Risk</v>
      </c>
    </row>
    <row r="11" customFormat="false" ht="12.8" hidden="true" customHeight="false" outlineLevel="0" collapsed="false">
      <c r="A11" s="22" t="str">
        <f aca="false">customer_churn_dataset!A31</f>
        <v>CUST101027</v>
      </c>
      <c r="B11" s="22" t="str">
        <f aca="false">customer_churn_dataset!B31</f>
        <v>Premium</v>
      </c>
      <c r="C11" s="22" t="str">
        <f aca="false">customer_churn_dataset!C31</f>
        <v>Month-to-month</v>
      </c>
      <c r="D11" s="0" t="n">
        <f aca="false">INDEX(customer_churn_dataset!$E$2:$E$1501,MATCH($A12,customer_churn_dataset!$A$2:$A$1501,0))</f>
        <v>4</v>
      </c>
      <c r="E11" s="0" t="n">
        <f aca="false">INDEX(customer_churn_dataset!$I$2:$I$1501,MATCH($A12,customer_churn_dataset!$A$2:$A$1501,0))</f>
        <v>47.5</v>
      </c>
      <c r="F11" s="0" t="n">
        <f aca="false">INDEX(customer_churn_dataset!$L$2:$L$1501,MATCH($A12,customer_churn_dataset!$A$2:$A$1501,0))</f>
        <v>1</v>
      </c>
      <c r="G11" s="0" t="str">
        <f aca="false">IF(INDEX(customer_churn_dataset!$M$2:$M$1501,MATCH($A12,customer_churn_dataset!$A$2:$A$1501,0))=1,"Yes","No")</f>
        <v>Yes</v>
      </c>
      <c r="H11" s="0" t="n">
        <f aca="false">INDEX(customer_churn_dataset!$N$2:$N$1501,MATCH($A12,customer_churn_dataset!$A$2:$A$1501,0))</f>
        <v>77.8</v>
      </c>
      <c r="I11" s="0" t="n">
        <f aca="false">INDEX(customer_churn_dataset!$O$2:$O$1501,MATCH($A12,customer_churn_dataset!$A$2:$A$1501,0))</f>
        <v>0</v>
      </c>
      <c r="J11" s="0" t="n">
        <f aca="false">INDEX(customer_churn_dataset!$T$2:$T$1501,MATCH($A12,customer_churn_dataset!$A$2:$A$1501,0))</f>
        <v>7</v>
      </c>
      <c r="K11" s="0" t="str">
        <f aca="false">INDEX(customer_churn_dataset!$V$2:$V$1501,MATCH($A12,customer_churn_dataset!$A$2:$A$1501,0))</f>
        <v>High Risk</v>
      </c>
    </row>
    <row r="12" customFormat="false" ht="12.8" hidden="true" customHeight="false" outlineLevel="0" collapsed="false">
      <c r="A12" s="22" t="str">
        <f aca="false">customer_churn_dataset!A62</f>
        <v>CUST101206</v>
      </c>
      <c r="B12" s="22" t="str">
        <f aca="false">customer_churn_dataset!B62</f>
        <v>Standard</v>
      </c>
      <c r="C12" s="22" t="str">
        <f aca="false">customer_churn_dataset!C62</f>
        <v>Month-to-month</v>
      </c>
      <c r="D12" s="0" t="n">
        <f aca="false">INDEX(customer_churn_dataset!$E$2:$E$1501,MATCH($A13,customer_churn_dataset!$A$2:$A$1501,0))</f>
        <v>14</v>
      </c>
      <c r="E12" s="0" t="n">
        <f aca="false">INDEX(customer_churn_dataset!$I$2:$I$1501,MATCH($A13,customer_churn_dataset!$A$2:$A$1501,0))</f>
        <v>24.1</v>
      </c>
      <c r="F12" s="0" t="n">
        <f aca="false">INDEX(customer_churn_dataset!$L$2:$L$1501,MATCH($A13,customer_churn_dataset!$A$2:$A$1501,0))</f>
        <v>5</v>
      </c>
      <c r="G12" s="0" t="str">
        <f aca="false">IF(INDEX(customer_churn_dataset!$M$2:$M$1501,MATCH($A13,customer_churn_dataset!$A$2:$A$1501,0))=1,"Yes","No")</f>
        <v>No</v>
      </c>
      <c r="H12" s="0" t="n">
        <f aca="false">INDEX(customer_churn_dataset!$N$2:$N$1501,MATCH($A13,customer_churn_dataset!$A$2:$A$1501,0))</f>
        <v>553.42</v>
      </c>
      <c r="I12" s="0" t="n">
        <f aca="false">INDEX(customer_churn_dataset!$O$2:$O$1501,MATCH($A13,customer_churn_dataset!$A$2:$A$1501,0))</f>
        <v>0</v>
      </c>
      <c r="J12" s="0" t="n">
        <f aca="false">INDEX(customer_churn_dataset!$T$2:$T$1501,MATCH($A13,customer_churn_dataset!$A$2:$A$1501,0))</f>
        <v>3</v>
      </c>
      <c r="K12" s="0" t="str">
        <f aca="false">INDEX(customer_churn_dataset!$V$2:$V$1501,MATCH($A13,customer_churn_dataset!$A$2:$A$1501,0))</f>
        <v>Medium Risk</v>
      </c>
    </row>
    <row r="13" customFormat="false" ht="12.8" hidden="true" customHeight="false" outlineLevel="0" collapsed="false">
      <c r="A13" s="22" t="str">
        <f aca="false">customer_churn_dataset!A73</f>
        <v>CUST100383</v>
      </c>
      <c r="B13" s="22" t="str">
        <f aca="false">customer_churn_dataset!B73</f>
        <v>Premium</v>
      </c>
      <c r="C13" s="22" t="str">
        <f aca="false">customer_churn_dataset!C73</f>
        <v>Two year</v>
      </c>
      <c r="D13" s="0" t="n">
        <f aca="false">INDEX(customer_churn_dataset!$E$2:$E$1501,MATCH($A14,customer_churn_dataset!$A$2:$A$1501,0))</f>
        <v>2</v>
      </c>
      <c r="E13" s="0" t="n">
        <f aca="false">INDEX(customer_churn_dataset!$I$2:$I$1501,MATCH($A14,customer_churn_dataset!$A$2:$A$1501,0))</f>
        <v>52.8</v>
      </c>
      <c r="F13" s="0" t="n">
        <f aca="false">INDEX(customer_churn_dataset!$L$2:$L$1501,MATCH($A14,customer_churn_dataset!$A$2:$A$1501,0))</f>
        <v>0</v>
      </c>
      <c r="G13" s="0" t="str">
        <f aca="false">IF(INDEX(customer_churn_dataset!$M$2:$M$1501,MATCH($A14,customer_churn_dataset!$A$2:$A$1501,0))=1,"Yes","No")</f>
        <v>No</v>
      </c>
      <c r="H13" s="0" t="n">
        <f aca="false">INDEX(customer_churn_dataset!$N$2:$N$1501,MATCH($A14,customer_churn_dataset!$A$2:$A$1501,0))</f>
        <v>16.94</v>
      </c>
      <c r="I13" s="0" t="n">
        <f aca="false">INDEX(customer_churn_dataset!$O$2:$O$1501,MATCH($A14,customer_churn_dataset!$A$2:$A$1501,0))</f>
        <v>0</v>
      </c>
      <c r="J13" s="0" t="n">
        <f aca="false">INDEX(customer_churn_dataset!$T$2:$T$1501,MATCH($A14,customer_churn_dataset!$A$2:$A$1501,0))</f>
        <v>4</v>
      </c>
      <c r="K13" s="0" t="str">
        <f aca="false">INDEX(customer_churn_dataset!$V$2:$V$1501,MATCH($A14,customer_churn_dataset!$A$2:$A$1501,0))</f>
        <v>Medium Risk</v>
      </c>
    </row>
    <row r="14" customFormat="false" ht="12.8" hidden="true" customHeight="false" outlineLevel="0" collapsed="false">
      <c r="A14" s="22" t="str">
        <f aca="false">customer_churn_dataset!A79</f>
        <v>CUST101202</v>
      </c>
      <c r="B14" s="22" t="str">
        <f aca="false">customer_churn_dataset!B79</f>
        <v>Basic</v>
      </c>
      <c r="C14" s="22" t="str">
        <f aca="false">customer_churn_dataset!C79</f>
        <v>Month-to-month</v>
      </c>
      <c r="D14" s="0" t="n">
        <f aca="false">INDEX(customer_churn_dataset!$E$2:$E$1501,MATCH($A15,customer_churn_dataset!$A$2:$A$1501,0))</f>
        <v>38</v>
      </c>
      <c r="E14" s="0" t="n">
        <f aca="false">INDEX(customer_churn_dataset!$I$2:$I$1501,MATCH($A15,customer_churn_dataset!$A$2:$A$1501,0))</f>
        <v>81.6</v>
      </c>
      <c r="F14" s="0" t="n">
        <f aca="false">INDEX(customer_churn_dataset!$L$2:$L$1501,MATCH($A15,customer_churn_dataset!$A$2:$A$1501,0))</f>
        <v>1</v>
      </c>
      <c r="G14" s="0" t="str">
        <f aca="false">IF(INDEX(customer_churn_dataset!$M$2:$M$1501,MATCH($A15,customer_churn_dataset!$A$2:$A$1501,0))=1,"Yes","No")</f>
        <v>Yes</v>
      </c>
      <c r="H14" s="0" t="n">
        <f aca="false">INDEX(customer_churn_dataset!$N$2:$N$1501,MATCH($A15,customer_churn_dataset!$A$2:$A$1501,0))</f>
        <v>1533.68</v>
      </c>
      <c r="I14" s="0" t="n">
        <f aca="false">INDEX(customer_churn_dataset!$O$2:$O$1501,MATCH($A15,customer_churn_dataset!$A$2:$A$1501,0))</f>
        <v>0</v>
      </c>
      <c r="J14" s="0" t="n">
        <f aca="false">INDEX(customer_churn_dataset!$T$2:$T$1501,MATCH($A15,customer_churn_dataset!$A$2:$A$1501,0))</f>
        <v>4</v>
      </c>
      <c r="K14" s="0" t="str">
        <f aca="false">INDEX(customer_churn_dataset!$V$2:$V$1501,MATCH($A15,customer_churn_dataset!$A$2:$A$1501,0))</f>
        <v>Medium Risk</v>
      </c>
    </row>
    <row r="15" customFormat="false" ht="12.8" hidden="true" customHeight="false" outlineLevel="0" collapsed="false">
      <c r="A15" s="22" t="str">
        <f aca="false">customer_churn_dataset!A84</f>
        <v>CUST100395</v>
      </c>
      <c r="B15" s="22" t="str">
        <f aca="false">customer_churn_dataset!B84</f>
        <v>Premium</v>
      </c>
      <c r="C15" s="22" t="str">
        <f aca="false">customer_churn_dataset!C84</f>
        <v>One year</v>
      </c>
      <c r="D15" s="0" t="n">
        <f aca="false">INDEX(customer_churn_dataset!$E$2:$E$1501,MATCH($A16,customer_churn_dataset!$A$2:$A$1501,0))</f>
        <v>72</v>
      </c>
      <c r="E15" s="0" t="n">
        <f aca="false">INDEX(customer_churn_dataset!$I$2:$I$1501,MATCH($A16,customer_churn_dataset!$A$2:$A$1501,0))</f>
        <v>50.6</v>
      </c>
      <c r="F15" s="0" t="n">
        <f aca="false">INDEX(customer_churn_dataset!$L$2:$L$1501,MATCH($A16,customer_churn_dataset!$A$2:$A$1501,0))</f>
        <v>1</v>
      </c>
      <c r="G15" s="0" t="str">
        <f aca="false">IF(INDEX(customer_churn_dataset!$M$2:$M$1501,MATCH($A16,customer_churn_dataset!$A$2:$A$1501,0))=1,"Yes","No")</f>
        <v>Yes</v>
      </c>
      <c r="H15" s="0" t="n">
        <f aca="false">INDEX(customer_churn_dataset!$N$2:$N$1501,MATCH($A16,customer_churn_dataset!$A$2:$A$1501,0))</f>
        <v>759.6</v>
      </c>
      <c r="I15" s="0" t="n">
        <f aca="false">INDEX(customer_churn_dataset!$O$2:$O$1501,MATCH($A16,customer_churn_dataset!$A$2:$A$1501,0))</f>
        <v>0</v>
      </c>
      <c r="J15" s="0" t="n">
        <f aca="false">INDEX(customer_churn_dataset!$T$2:$T$1501,MATCH($A16,customer_churn_dataset!$A$2:$A$1501,0))</f>
        <v>6</v>
      </c>
      <c r="K15" s="0" t="str">
        <f aca="false">INDEX(customer_churn_dataset!$V$2:$V$1501,MATCH($A16,customer_churn_dataset!$A$2:$A$1501,0))</f>
        <v>High Risk</v>
      </c>
    </row>
    <row r="16" customFormat="false" ht="12.8" hidden="true" customHeight="false" outlineLevel="0" collapsed="false">
      <c r="A16" s="22" t="str">
        <f aca="false">customer_churn_dataset!A95</f>
        <v>CUST100100</v>
      </c>
      <c r="B16" s="22" t="str">
        <f aca="false">customer_churn_dataset!B95</f>
        <v>Basic</v>
      </c>
      <c r="C16" s="22" t="str">
        <f aca="false">customer_churn_dataset!C95</f>
        <v>Month-to-month</v>
      </c>
      <c r="D16" s="0" t="n">
        <f aca="false">INDEX(customer_churn_dataset!$E$2:$E$1501,MATCH($A17,customer_churn_dataset!$A$2:$A$1501,0))</f>
        <v>8</v>
      </c>
      <c r="E16" s="0" t="n">
        <f aca="false">INDEX(customer_churn_dataset!$I$2:$I$1501,MATCH($A17,customer_churn_dataset!$A$2:$A$1501,0))</f>
        <v>24.9</v>
      </c>
      <c r="F16" s="0" t="n">
        <f aca="false">INDEX(customer_churn_dataset!$L$2:$L$1501,MATCH($A17,customer_churn_dataset!$A$2:$A$1501,0))</f>
        <v>3</v>
      </c>
      <c r="G16" s="0" t="str">
        <f aca="false">IF(INDEX(customer_churn_dataset!$M$2:$M$1501,MATCH($A17,customer_churn_dataset!$A$2:$A$1501,0))=1,"Yes","No")</f>
        <v>No</v>
      </c>
      <c r="H16" s="0" t="n">
        <f aca="false">INDEX(customer_churn_dataset!$N$2:$N$1501,MATCH($A17,customer_churn_dataset!$A$2:$A$1501,0))</f>
        <v>74.8</v>
      </c>
      <c r="I16" s="0" t="n">
        <f aca="false">INDEX(customer_churn_dataset!$O$2:$O$1501,MATCH($A17,customer_churn_dataset!$A$2:$A$1501,0))</f>
        <v>0</v>
      </c>
      <c r="J16" s="0" t="n">
        <f aca="false">INDEX(customer_churn_dataset!$T$2:$T$1501,MATCH($A17,customer_churn_dataset!$A$2:$A$1501,0))</f>
        <v>5</v>
      </c>
      <c r="K16" s="0" t="str">
        <f aca="false">INDEX(customer_churn_dataset!$V$2:$V$1501,MATCH($A17,customer_churn_dataset!$A$2:$A$1501,0))</f>
        <v>Medium Risk</v>
      </c>
    </row>
    <row r="17" customFormat="false" ht="12.8" hidden="true" customHeight="false" outlineLevel="0" collapsed="false">
      <c r="A17" s="22" t="str">
        <f aca="false">customer_churn_dataset!A100</f>
        <v>CUST100254</v>
      </c>
      <c r="B17" s="22" t="str">
        <f aca="false">customer_churn_dataset!B100</f>
        <v>Basic</v>
      </c>
      <c r="C17" s="22" t="str">
        <f aca="false">customer_churn_dataset!C100</f>
        <v>One year</v>
      </c>
      <c r="D17" s="0" t="n">
        <f aca="false">INDEX(customer_churn_dataset!$E$2:$E$1501,MATCH($A18,customer_churn_dataset!$A$2:$A$1501,0))</f>
        <v>27</v>
      </c>
      <c r="E17" s="0" t="n">
        <f aca="false">INDEX(customer_churn_dataset!$I$2:$I$1501,MATCH($A18,customer_churn_dataset!$A$2:$A$1501,0))</f>
        <v>88.3</v>
      </c>
      <c r="F17" s="0" t="n">
        <f aca="false">INDEX(customer_churn_dataset!$L$2:$L$1501,MATCH($A18,customer_churn_dataset!$A$2:$A$1501,0))</f>
        <v>0</v>
      </c>
      <c r="G17" s="0" t="str">
        <f aca="false">IF(INDEX(customer_churn_dataset!$M$2:$M$1501,MATCH($A18,customer_churn_dataset!$A$2:$A$1501,0))=1,"Yes","No")</f>
        <v>No</v>
      </c>
      <c r="H17" s="0" t="n">
        <f aca="false">INDEX(customer_churn_dataset!$N$2:$N$1501,MATCH($A18,customer_churn_dataset!$A$2:$A$1501,0))</f>
        <v>286.47</v>
      </c>
      <c r="I17" s="0" t="n">
        <f aca="false">INDEX(customer_churn_dataset!$O$2:$O$1501,MATCH($A18,customer_churn_dataset!$A$2:$A$1501,0))</f>
        <v>0</v>
      </c>
      <c r="J17" s="0" t="n">
        <f aca="false">INDEX(customer_churn_dataset!$T$2:$T$1501,MATCH($A18,customer_churn_dataset!$A$2:$A$1501,0))</f>
        <v>2</v>
      </c>
      <c r="K17" s="0" t="str">
        <f aca="false">INDEX(customer_churn_dataset!$V$2:$V$1501,MATCH($A18,customer_churn_dataset!$A$2:$A$1501,0))</f>
        <v>Low Risk</v>
      </c>
    </row>
    <row r="18" customFormat="false" ht="12.8" hidden="true" customHeight="false" outlineLevel="0" collapsed="false">
      <c r="A18" s="22" t="str">
        <f aca="false">customer_churn_dataset!A107</f>
        <v>CUST100563</v>
      </c>
      <c r="B18" s="22" t="str">
        <f aca="false">customer_churn_dataset!B107</f>
        <v>Basic</v>
      </c>
      <c r="C18" s="22" t="str">
        <f aca="false">customer_churn_dataset!C107</f>
        <v>Month-to-month</v>
      </c>
      <c r="D18" s="0" t="n">
        <f aca="false">INDEX(customer_churn_dataset!$E$2:$E$1501,MATCH($A19,customer_churn_dataset!$A$2:$A$1501,0))</f>
        <v>1</v>
      </c>
      <c r="E18" s="0" t="n">
        <f aca="false">INDEX(customer_churn_dataset!$I$2:$I$1501,MATCH($A19,customer_churn_dataset!$A$2:$A$1501,0))</f>
        <v>100</v>
      </c>
      <c r="F18" s="0" t="n">
        <f aca="false">INDEX(customer_churn_dataset!$L$2:$L$1501,MATCH($A19,customer_churn_dataset!$A$2:$A$1501,0))</f>
        <v>1</v>
      </c>
      <c r="G18" s="0" t="str">
        <f aca="false">IF(INDEX(customer_churn_dataset!$M$2:$M$1501,MATCH($A19,customer_churn_dataset!$A$2:$A$1501,0))=1,"Yes","No")</f>
        <v>Yes</v>
      </c>
      <c r="H18" s="0" t="n">
        <f aca="false">INDEX(customer_churn_dataset!$N$2:$N$1501,MATCH($A19,customer_churn_dataset!$A$2:$A$1501,0))</f>
        <v>20.17</v>
      </c>
      <c r="I18" s="0" t="n">
        <f aca="false">INDEX(customer_churn_dataset!$O$2:$O$1501,MATCH($A19,customer_churn_dataset!$A$2:$A$1501,0))</f>
        <v>0</v>
      </c>
      <c r="J18" s="0" t="n">
        <f aca="false">INDEX(customer_churn_dataset!$T$2:$T$1501,MATCH($A19,customer_churn_dataset!$A$2:$A$1501,0))</f>
        <v>6</v>
      </c>
      <c r="K18" s="0" t="str">
        <f aca="false">INDEX(customer_churn_dataset!$V$2:$V$1501,MATCH($A19,customer_churn_dataset!$A$2:$A$1501,0))</f>
        <v>High Risk</v>
      </c>
    </row>
    <row r="19" customFormat="false" ht="12.8" hidden="true" customHeight="false" outlineLevel="0" collapsed="false">
      <c r="A19" s="22" t="str">
        <f aca="false">customer_churn_dataset!A113</f>
        <v>CUST101241</v>
      </c>
      <c r="B19" s="22" t="str">
        <f aca="false">customer_churn_dataset!B113</f>
        <v>Standard</v>
      </c>
      <c r="C19" s="22" t="str">
        <f aca="false">customer_churn_dataset!C113</f>
        <v>Month-to-month</v>
      </c>
      <c r="D19" s="0" t="n">
        <f aca="false">INDEX(customer_churn_dataset!$E$2:$E$1501,MATCH($A20,customer_churn_dataset!$A$2:$A$1501,0))</f>
        <v>3</v>
      </c>
      <c r="E19" s="0" t="n">
        <f aca="false">INDEX(customer_churn_dataset!$I$2:$I$1501,MATCH($A20,customer_churn_dataset!$A$2:$A$1501,0))</f>
        <v>57</v>
      </c>
      <c r="F19" s="0" t="n">
        <f aca="false">INDEX(customer_churn_dataset!$L$2:$L$1501,MATCH($A20,customer_churn_dataset!$A$2:$A$1501,0))</f>
        <v>1</v>
      </c>
      <c r="G19" s="0" t="str">
        <f aca="false">IF(INDEX(customer_churn_dataset!$M$2:$M$1501,MATCH($A20,customer_churn_dataset!$A$2:$A$1501,0))=1,"Yes","No")</f>
        <v>No</v>
      </c>
      <c r="H19" s="0" t="n">
        <f aca="false">INDEX(customer_churn_dataset!$N$2:$N$1501,MATCH($A20,customer_churn_dataset!$A$2:$A$1501,0))</f>
        <v>56.25</v>
      </c>
      <c r="I19" s="0" t="n">
        <f aca="false">INDEX(customer_churn_dataset!$O$2:$O$1501,MATCH($A20,customer_churn_dataset!$A$2:$A$1501,0))</f>
        <v>0</v>
      </c>
      <c r="J19" s="0" t="n">
        <f aca="false">INDEX(customer_churn_dataset!$T$2:$T$1501,MATCH($A20,customer_churn_dataset!$A$2:$A$1501,0))</f>
        <v>2</v>
      </c>
      <c r="K19" s="0" t="str">
        <f aca="false">INDEX(customer_churn_dataset!$V$2:$V$1501,MATCH($A20,customer_churn_dataset!$A$2:$A$1501,0))</f>
        <v>Low Risk</v>
      </c>
    </row>
    <row r="20" customFormat="false" ht="12.8" hidden="true" customHeight="false" outlineLevel="0" collapsed="false">
      <c r="A20" s="22" t="str">
        <f aca="false">customer_churn_dataset!A122</f>
        <v>CUST101303</v>
      </c>
      <c r="B20" s="22" t="str">
        <f aca="false">customer_churn_dataset!B122</f>
        <v>Standard</v>
      </c>
      <c r="C20" s="22" t="str">
        <f aca="false">customer_churn_dataset!C122</f>
        <v>One year</v>
      </c>
      <c r="D20" s="0" t="n">
        <f aca="false">INDEX(customer_churn_dataset!$E$2:$E$1501,MATCH($A21,customer_churn_dataset!$A$2:$A$1501,0))</f>
        <v>13</v>
      </c>
      <c r="E20" s="0" t="n">
        <f aca="false">INDEX(customer_churn_dataset!$I$2:$I$1501,MATCH($A21,customer_churn_dataset!$A$2:$A$1501,0))</f>
        <v>27.7</v>
      </c>
      <c r="F20" s="0" t="n">
        <f aca="false">INDEX(customer_churn_dataset!$L$2:$L$1501,MATCH($A21,customer_churn_dataset!$A$2:$A$1501,0))</f>
        <v>4</v>
      </c>
      <c r="G20" s="0" t="str">
        <f aca="false">IF(INDEX(customer_churn_dataset!$M$2:$M$1501,MATCH($A21,customer_churn_dataset!$A$2:$A$1501,0))=1,"Yes","No")</f>
        <v>No</v>
      </c>
      <c r="H20" s="0" t="n">
        <f aca="false">INDEX(customer_churn_dataset!$N$2:$N$1501,MATCH($A21,customer_churn_dataset!$A$2:$A$1501,0))</f>
        <v>140.27</v>
      </c>
      <c r="I20" s="0" t="n">
        <f aca="false">INDEX(customer_churn_dataset!$O$2:$O$1501,MATCH($A21,customer_churn_dataset!$A$2:$A$1501,0))</f>
        <v>0</v>
      </c>
      <c r="J20" s="0" t="n">
        <f aca="false">INDEX(customer_churn_dataset!$T$2:$T$1501,MATCH($A21,customer_churn_dataset!$A$2:$A$1501,0))</f>
        <v>5</v>
      </c>
      <c r="K20" s="0" t="str">
        <f aca="false">INDEX(customer_churn_dataset!$V$2:$V$1501,MATCH($A21,customer_churn_dataset!$A$2:$A$1501,0))</f>
        <v>Medium Risk</v>
      </c>
    </row>
    <row r="21" customFormat="false" ht="12.8" hidden="true" customHeight="false" outlineLevel="0" collapsed="false">
      <c r="A21" s="22" t="str">
        <f aca="false">customer_churn_dataset!A140</f>
        <v>CUST100830</v>
      </c>
      <c r="B21" s="22" t="str">
        <f aca="false">customer_churn_dataset!B140</f>
        <v>Basic</v>
      </c>
      <c r="C21" s="22" t="str">
        <f aca="false">customer_churn_dataset!C140</f>
        <v>Month-to-month</v>
      </c>
      <c r="D21" s="0" t="n">
        <f aca="false">INDEX(customer_churn_dataset!$E$2:$E$1501,MATCH($A22,customer_churn_dataset!$A$2:$A$1501,0))</f>
        <v>12</v>
      </c>
      <c r="E21" s="0" t="n">
        <f aca="false">INDEX(customer_churn_dataset!$I$2:$I$1501,MATCH($A22,customer_churn_dataset!$A$2:$A$1501,0))</f>
        <v>20.5</v>
      </c>
      <c r="F21" s="0" t="n">
        <f aca="false">INDEX(customer_churn_dataset!$L$2:$L$1501,MATCH($A22,customer_churn_dataset!$A$2:$A$1501,0))</f>
        <v>2</v>
      </c>
      <c r="G21" s="0" t="str">
        <f aca="false">IF(INDEX(customer_churn_dataset!$M$2:$M$1501,MATCH($A22,customer_churn_dataset!$A$2:$A$1501,0))=1,"Yes","No")</f>
        <v>Yes</v>
      </c>
      <c r="H21" s="0" t="n">
        <f aca="false">INDEX(customer_churn_dataset!$N$2:$N$1501,MATCH($A22,customer_churn_dataset!$A$2:$A$1501,0))</f>
        <v>117.6</v>
      </c>
      <c r="I21" s="0" t="n">
        <f aca="false">INDEX(customer_churn_dataset!$O$2:$O$1501,MATCH($A22,customer_churn_dataset!$A$2:$A$1501,0))</f>
        <v>0</v>
      </c>
      <c r="J21" s="0" t="n">
        <f aca="false">INDEX(customer_churn_dataset!$T$2:$T$1501,MATCH($A22,customer_churn_dataset!$A$2:$A$1501,0))</f>
        <v>7</v>
      </c>
      <c r="K21" s="0" t="str">
        <f aca="false">INDEX(customer_churn_dataset!$V$2:$V$1501,MATCH($A22,customer_churn_dataset!$A$2:$A$1501,0))</f>
        <v>High Risk</v>
      </c>
    </row>
    <row r="22" customFormat="false" ht="12.8" hidden="true" customHeight="false" outlineLevel="0" collapsed="false">
      <c r="A22" s="22" t="str">
        <f aca="false">customer_churn_dataset!A146</f>
        <v>CUST100855</v>
      </c>
      <c r="B22" s="22" t="str">
        <f aca="false">customer_churn_dataset!B146</f>
        <v>Basic</v>
      </c>
      <c r="C22" s="22" t="str">
        <f aca="false">customer_churn_dataset!C146</f>
        <v>One year</v>
      </c>
      <c r="D22" s="0" t="n">
        <f aca="false">INDEX(customer_churn_dataset!$E$2:$E$1501,MATCH($A23,customer_churn_dataset!$A$2:$A$1501,0))</f>
        <v>18</v>
      </c>
      <c r="E22" s="0" t="n">
        <f aca="false">INDEX(customer_churn_dataset!$I$2:$I$1501,MATCH($A23,customer_churn_dataset!$A$2:$A$1501,0))</f>
        <v>26.7</v>
      </c>
      <c r="F22" s="0" t="n">
        <f aca="false">INDEX(customer_churn_dataset!$L$2:$L$1501,MATCH($A23,customer_churn_dataset!$A$2:$A$1501,0))</f>
        <v>3</v>
      </c>
      <c r="G22" s="0" t="str">
        <f aca="false">IF(INDEX(customer_churn_dataset!$M$2:$M$1501,MATCH($A23,customer_churn_dataset!$A$2:$A$1501,0))=1,"Yes","No")</f>
        <v>No</v>
      </c>
      <c r="H22" s="0" t="n">
        <f aca="false">INDEX(customer_churn_dataset!$N$2:$N$1501,MATCH($A23,customer_churn_dataset!$A$2:$A$1501,0))</f>
        <v>155.88</v>
      </c>
      <c r="I22" s="0" t="n">
        <f aca="false">INDEX(customer_churn_dataset!$O$2:$O$1501,MATCH($A23,customer_churn_dataset!$A$2:$A$1501,0))</f>
        <v>0</v>
      </c>
      <c r="J22" s="0" t="n">
        <f aca="false">INDEX(customer_churn_dataset!$T$2:$T$1501,MATCH($A23,customer_churn_dataset!$A$2:$A$1501,0))</f>
        <v>4</v>
      </c>
      <c r="K22" s="0" t="str">
        <f aca="false">INDEX(customer_churn_dataset!$V$2:$V$1501,MATCH($A23,customer_churn_dataset!$A$2:$A$1501,0))</f>
        <v>Medium Risk</v>
      </c>
    </row>
    <row r="23" customFormat="false" ht="12.8" hidden="true" customHeight="false" outlineLevel="0" collapsed="false">
      <c r="A23" s="22" t="str">
        <f aca="false">customer_churn_dataset!A150</f>
        <v>CUST100125</v>
      </c>
      <c r="B23" s="22" t="str">
        <f aca="false">customer_churn_dataset!B150</f>
        <v>Basic</v>
      </c>
      <c r="C23" s="22" t="str">
        <f aca="false">customer_churn_dataset!C150</f>
        <v>One year</v>
      </c>
      <c r="D23" s="0" t="n">
        <f aca="false">INDEX(customer_churn_dataset!$E$2:$E$1501,MATCH($A24,customer_churn_dataset!$A$2:$A$1501,0))</f>
        <v>14</v>
      </c>
      <c r="E23" s="0" t="n">
        <f aca="false">INDEX(customer_churn_dataset!$I$2:$I$1501,MATCH($A24,customer_churn_dataset!$A$2:$A$1501,0))</f>
        <v>32.7</v>
      </c>
      <c r="F23" s="0" t="n">
        <f aca="false">INDEX(customer_churn_dataset!$L$2:$L$1501,MATCH($A24,customer_churn_dataset!$A$2:$A$1501,0))</f>
        <v>1</v>
      </c>
      <c r="G23" s="0" t="str">
        <f aca="false">IF(INDEX(customer_churn_dataset!$M$2:$M$1501,MATCH($A24,customer_churn_dataset!$A$2:$A$1501,0))=1,"Yes","No")</f>
        <v>Yes</v>
      </c>
      <c r="H23" s="0" t="n">
        <f aca="false">INDEX(customer_churn_dataset!$N$2:$N$1501,MATCH($A24,customer_churn_dataset!$A$2:$A$1501,0))</f>
        <v>588.14</v>
      </c>
      <c r="I23" s="0" t="n">
        <f aca="false">INDEX(customer_churn_dataset!$O$2:$O$1501,MATCH($A24,customer_churn_dataset!$A$2:$A$1501,0))</f>
        <v>0</v>
      </c>
      <c r="J23" s="0" t="n">
        <f aca="false">INDEX(customer_churn_dataset!$T$2:$T$1501,MATCH($A24,customer_churn_dataset!$A$2:$A$1501,0))</f>
        <v>5</v>
      </c>
      <c r="K23" s="0" t="str">
        <f aca="false">INDEX(customer_churn_dataset!$V$2:$V$1501,MATCH($A24,customer_churn_dataset!$A$2:$A$1501,0))</f>
        <v>Medium Risk</v>
      </c>
    </row>
    <row r="24" customFormat="false" ht="12.8" hidden="true" customHeight="false" outlineLevel="0" collapsed="false">
      <c r="A24" s="22" t="str">
        <f aca="false">customer_churn_dataset!A154</f>
        <v>CUST101018</v>
      </c>
      <c r="B24" s="22" t="str">
        <f aca="false">customer_churn_dataset!B154</f>
        <v>Premium</v>
      </c>
      <c r="C24" s="22" t="str">
        <f aca="false">customer_churn_dataset!C154</f>
        <v>Two year</v>
      </c>
      <c r="D24" s="0" t="n">
        <f aca="false">INDEX(customer_churn_dataset!$E$2:$E$1501,MATCH($A25,customer_churn_dataset!$A$2:$A$1501,0))</f>
        <v>40</v>
      </c>
      <c r="E24" s="0" t="n">
        <f aca="false">INDEX(customer_churn_dataset!$I$2:$I$1501,MATCH($A25,customer_churn_dataset!$A$2:$A$1501,0))</f>
        <v>67.3</v>
      </c>
      <c r="F24" s="0" t="n">
        <f aca="false">INDEX(customer_churn_dataset!$L$2:$L$1501,MATCH($A25,customer_churn_dataset!$A$2:$A$1501,0))</f>
        <v>1</v>
      </c>
      <c r="G24" s="0" t="str">
        <f aca="false">IF(INDEX(customer_churn_dataset!$M$2:$M$1501,MATCH($A25,customer_churn_dataset!$A$2:$A$1501,0))=1,"Yes","No")</f>
        <v>No</v>
      </c>
      <c r="H24" s="0" t="n">
        <f aca="false">INDEX(customer_churn_dataset!$N$2:$N$1501,MATCH($A25,customer_churn_dataset!$A$2:$A$1501,0))</f>
        <v>772</v>
      </c>
      <c r="I24" s="0" t="n">
        <f aca="false">INDEX(customer_churn_dataset!$O$2:$O$1501,MATCH($A25,customer_churn_dataset!$A$2:$A$1501,0))</f>
        <v>0</v>
      </c>
      <c r="J24" s="0" t="n">
        <f aca="false">INDEX(customer_churn_dataset!$T$2:$T$1501,MATCH($A25,customer_churn_dataset!$A$2:$A$1501,0))</f>
        <v>2</v>
      </c>
      <c r="K24" s="0" t="str">
        <f aca="false">INDEX(customer_churn_dataset!$V$2:$V$1501,MATCH($A25,customer_churn_dataset!$A$2:$A$1501,0))</f>
        <v>Low Risk</v>
      </c>
    </row>
    <row r="25" customFormat="false" ht="12.8" hidden="true" customHeight="false" outlineLevel="0" collapsed="false">
      <c r="A25" s="22" t="str">
        <f aca="false">customer_churn_dataset!A169</f>
        <v>CUST101331</v>
      </c>
      <c r="B25" s="22" t="str">
        <f aca="false">customer_churn_dataset!B169</f>
        <v>Standard</v>
      </c>
      <c r="C25" s="22" t="str">
        <f aca="false">customer_churn_dataset!C169</f>
        <v>Month-to-month</v>
      </c>
      <c r="D25" s="0" t="n">
        <f aca="false">INDEX(customer_churn_dataset!$E$2:$E$1501,MATCH($A26,customer_churn_dataset!$A$2:$A$1501,0))</f>
        <v>46</v>
      </c>
      <c r="E25" s="0" t="n">
        <f aca="false">INDEX(customer_churn_dataset!$I$2:$I$1501,MATCH($A26,customer_churn_dataset!$A$2:$A$1501,0))</f>
        <v>62.9</v>
      </c>
      <c r="F25" s="0" t="n">
        <f aca="false">INDEX(customer_churn_dataset!$L$2:$L$1501,MATCH($A26,customer_churn_dataset!$A$2:$A$1501,0))</f>
        <v>1</v>
      </c>
      <c r="G25" s="0" t="str">
        <f aca="false">IF(INDEX(customer_churn_dataset!$M$2:$M$1501,MATCH($A26,customer_churn_dataset!$A$2:$A$1501,0))=1,"Yes","No")</f>
        <v>No</v>
      </c>
      <c r="H25" s="0" t="n">
        <f aca="false">INDEX(customer_churn_dataset!$N$2:$N$1501,MATCH($A26,customer_churn_dataset!$A$2:$A$1501,0))</f>
        <v>1836.78</v>
      </c>
      <c r="I25" s="0" t="n">
        <f aca="false">INDEX(customer_churn_dataset!$O$2:$O$1501,MATCH($A26,customer_churn_dataset!$A$2:$A$1501,0))</f>
        <v>0</v>
      </c>
      <c r="J25" s="0" t="n">
        <f aca="false">INDEX(customer_churn_dataset!$T$2:$T$1501,MATCH($A26,customer_churn_dataset!$A$2:$A$1501,0))</f>
        <v>2</v>
      </c>
      <c r="K25" s="0" t="str">
        <f aca="false">INDEX(customer_churn_dataset!$V$2:$V$1501,MATCH($A26,customer_churn_dataset!$A$2:$A$1501,0))</f>
        <v>Low Risk</v>
      </c>
    </row>
    <row r="26" customFormat="false" ht="12.8" hidden="true" customHeight="false" outlineLevel="0" collapsed="false">
      <c r="A26" s="22" t="str">
        <f aca="false">customer_churn_dataset!A184</f>
        <v>CUST101429</v>
      </c>
      <c r="B26" s="22" t="str">
        <f aca="false">customer_churn_dataset!B184</f>
        <v>Premium</v>
      </c>
      <c r="C26" s="22" t="str">
        <f aca="false">customer_churn_dataset!C184</f>
        <v>Month-to-month</v>
      </c>
      <c r="D26" s="0" t="n">
        <f aca="false">INDEX(customer_churn_dataset!$E$2:$E$1501,MATCH($A27,customer_churn_dataset!$A$2:$A$1501,0))</f>
        <v>11</v>
      </c>
      <c r="E26" s="0" t="n">
        <f aca="false">INDEX(customer_churn_dataset!$I$2:$I$1501,MATCH($A27,customer_churn_dataset!$A$2:$A$1501,0))</f>
        <v>43.1</v>
      </c>
      <c r="F26" s="0" t="n">
        <f aca="false">INDEX(customer_churn_dataset!$L$2:$L$1501,MATCH($A27,customer_churn_dataset!$A$2:$A$1501,0))</f>
        <v>4</v>
      </c>
      <c r="G26" s="0" t="str">
        <f aca="false">IF(INDEX(customer_churn_dataset!$M$2:$M$1501,MATCH($A27,customer_churn_dataset!$A$2:$A$1501,0))=1,"Yes","No")</f>
        <v>No</v>
      </c>
      <c r="H26" s="0" t="n">
        <f aca="false">INDEX(customer_churn_dataset!$N$2:$N$1501,MATCH($A27,customer_churn_dataset!$A$2:$A$1501,0))</f>
        <v>102.74</v>
      </c>
      <c r="I26" s="0" t="n">
        <f aca="false">INDEX(customer_churn_dataset!$O$2:$O$1501,MATCH($A27,customer_churn_dataset!$A$2:$A$1501,0))</f>
        <v>1</v>
      </c>
      <c r="J26" s="0" t="n">
        <f aca="false">INDEX(customer_churn_dataset!$T$2:$T$1501,MATCH($A27,customer_churn_dataset!$A$2:$A$1501,0))</f>
        <v>5</v>
      </c>
      <c r="K26" s="0" t="str">
        <f aca="false">INDEX(customer_churn_dataset!$V$2:$V$1501,MATCH($A27,customer_churn_dataset!$A$2:$A$1501,0))</f>
        <v>Medium Risk</v>
      </c>
    </row>
    <row r="27" customFormat="false" ht="12.8" hidden="true" customHeight="false" outlineLevel="0" collapsed="false">
      <c r="A27" s="22" t="str">
        <f aca="false">customer_churn_dataset!A186</f>
        <v>CUST100084</v>
      </c>
      <c r="B27" s="22" t="str">
        <f aca="false">customer_churn_dataset!B186</f>
        <v>Basic</v>
      </c>
      <c r="C27" s="22" t="str">
        <f aca="false">customer_churn_dataset!C186</f>
        <v>Month-to-month</v>
      </c>
      <c r="D27" s="0" t="n">
        <f aca="false">INDEX(customer_churn_dataset!$E$2:$E$1501,MATCH($A28,customer_churn_dataset!$A$2:$A$1501,0))</f>
        <v>10</v>
      </c>
      <c r="E27" s="0" t="n">
        <f aca="false">INDEX(customer_churn_dataset!$I$2:$I$1501,MATCH($A28,customer_churn_dataset!$A$2:$A$1501,0))</f>
        <v>42.2</v>
      </c>
      <c r="F27" s="0" t="n">
        <f aca="false">INDEX(customer_churn_dataset!$L$2:$L$1501,MATCH($A28,customer_churn_dataset!$A$2:$A$1501,0))</f>
        <v>0</v>
      </c>
      <c r="G27" s="0" t="str">
        <f aca="false">IF(INDEX(customer_churn_dataset!$M$2:$M$1501,MATCH($A28,customer_churn_dataset!$A$2:$A$1501,0))=1,"Yes","No")</f>
        <v>No</v>
      </c>
      <c r="H27" s="0" t="n">
        <f aca="false">INDEX(customer_churn_dataset!$N$2:$N$1501,MATCH($A28,customer_churn_dataset!$A$2:$A$1501,0))</f>
        <v>215</v>
      </c>
      <c r="I27" s="0" t="n">
        <f aca="false">INDEX(customer_churn_dataset!$O$2:$O$1501,MATCH($A28,customer_churn_dataset!$A$2:$A$1501,0))</f>
        <v>0</v>
      </c>
      <c r="J27" s="0" t="n">
        <f aca="false">INDEX(customer_churn_dataset!$T$2:$T$1501,MATCH($A28,customer_churn_dataset!$A$2:$A$1501,0))</f>
        <v>4</v>
      </c>
      <c r="K27" s="0" t="str">
        <f aca="false">INDEX(customer_churn_dataset!$V$2:$V$1501,MATCH($A28,customer_churn_dataset!$A$2:$A$1501,0))</f>
        <v>Medium Risk</v>
      </c>
    </row>
    <row r="28" customFormat="false" ht="12.8" hidden="true" customHeight="false" outlineLevel="0" collapsed="false">
      <c r="A28" s="22" t="str">
        <f aca="false">customer_churn_dataset!A196</f>
        <v>CUST101091</v>
      </c>
      <c r="B28" s="22" t="str">
        <f aca="false">customer_churn_dataset!B196</f>
        <v>Standard</v>
      </c>
      <c r="C28" s="22" t="str">
        <f aca="false">customer_churn_dataset!C196</f>
        <v>Month-to-month</v>
      </c>
      <c r="D28" s="0" t="n">
        <f aca="false">INDEX(customer_churn_dataset!$E$2:$E$1501,MATCH($A29,customer_churn_dataset!$A$2:$A$1501,0))</f>
        <v>27</v>
      </c>
      <c r="E28" s="0" t="n">
        <f aca="false">INDEX(customer_churn_dataset!$I$2:$I$1501,MATCH($A29,customer_churn_dataset!$A$2:$A$1501,0))</f>
        <v>67.8</v>
      </c>
      <c r="F28" s="0" t="n">
        <f aca="false">INDEX(customer_churn_dataset!$L$2:$L$1501,MATCH($A29,customer_churn_dataset!$A$2:$A$1501,0))</f>
        <v>3</v>
      </c>
      <c r="G28" s="0" t="str">
        <f aca="false">IF(INDEX(customer_churn_dataset!$M$2:$M$1501,MATCH($A29,customer_churn_dataset!$A$2:$A$1501,0))=1,"Yes","No")</f>
        <v>No</v>
      </c>
      <c r="H28" s="0" t="n">
        <f aca="false">INDEX(customer_churn_dataset!$N$2:$N$1501,MATCH($A29,customer_churn_dataset!$A$2:$A$1501,0))</f>
        <v>246.51</v>
      </c>
      <c r="I28" s="0" t="n">
        <f aca="false">INDEX(customer_churn_dataset!$O$2:$O$1501,MATCH($A29,customer_churn_dataset!$A$2:$A$1501,0))</f>
        <v>0</v>
      </c>
      <c r="J28" s="0" t="n">
        <f aca="false">INDEX(customer_churn_dataset!$T$2:$T$1501,MATCH($A29,customer_churn_dataset!$A$2:$A$1501,0))</f>
        <v>2</v>
      </c>
      <c r="K28" s="0" t="str">
        <f aca="false">INDEX(customer_churn_dataset!$V$2:$V$1501,MATCH($A29,customer_churn_dataset!$A$2:$A$1501,0))</f>
        <v>Low Risk</v>
      </c>
    </row>
    <row r="29" customFormat="false" ht="12.8" hidden="true" customHeight="false" outlineLevel="0" collapsed="false">
      <c r="A29" s="22" t="str">
        <f aca="false">customer_churn_dataset!A207</f>
        <v>CUST101465</v>
      </c>
      <c r="B29" s="22" t="str">
        <f aca="false">customer_churn_dataset!B207</f>
        <v>Basic</v>
      </c>
      <c r="C29" s="22" t="str">
        <f aca="false">customer_churn_dataset!C207</f>
        <v>One year</v>
      </c>
      <c r="D29" s="0" t="n">
        <f aca="false">INDEX(customer_churn_dataset!$E$2:$E$1501,MATCH($A30,customer_churn_dataset!$A$2:$A$1501,0))</f>
        <v>5</v>
      </c>
      <c r="E29" s="0" t="n">
        <f aca="false">INDEX(customer_churn_dataset!$I$2:$I$1501,MATCH($A30,customer_churn_dataset!$A$2:$A$1501,0))</f>
        <v>56.8</v>
      </c>
      <c r="F29" s="0" t="n">
        <f aca="false">INDEX(customer_churn_dataset!$L$2:$L$1501,MATCH($A30,customer_churn_dataset!$A$2:$A$1501,0))</f>
        <v>0</v>
      </c>
      <c r="G29" s="0" t="str">
        <f aca="false">IF(INDEX(customer_churn_dataset!$M$2:$M$1501,MATCH($A30,customer_churn_dataset!$A$2:$A$1501,0))=1,"Yes","No")</f>
        <v>No</v>
      </c>
      <c r="H29" s="0" t="n">
        <f aca="false">INDEX(customer_churn_dataset!$N$2:$N$1501,MATCH($A30,customer_churn_dataset!$A$2:$A$1501,0))</f>
        <v>47.5</v>
      </c>
      <c r="I29" s="0" t="n">
        <f aca="false">INDEX(customer_churn_dataset!$O$2:$O$1501,MATCH($A30,customer_churn_dataset!$A$2:$A$1501,0))</f>
        <v>0</v>
      </c>
      <c r="J29" s="0" t="n">
        <f aca="false">INDEX(customer_churn_dataset!$T$2:$T$1501,MATCH($A30,customer_churn_dataset!$A$2:$A$1501,0))</f>
        <v>3</v>
      </c>
      <c r="K29" s="0" t="str">
        <f aca="false">INDEX(customer_churn_dataset!$V$2:$V$1501,MATCH($A30,customer_churn_dataset!$A$2:$A$1501,0))</f>
        <v>Medium Risk</v>
      </c>
    </row>
    <row r="30" customFormat="false" ht="12.8" hidden="true" customHeight="false" outlineLevel="0" collapsed="false">
      <c r="A30" s="22" t="str">
        <f aca="false">customer_churn_dataset!A209</f>
        <v>CUST101332</v>
      </c>
      <c r="B30" s="22" t="str">
        <f aca="false">customer_churn_dataset!B209</f>
        <v>Basic</v>
      </c>
      <c r="C30" s="22" t="str">
        <f aca="false">customer_churn_dataset!C209</f>
        <v>Month-to-month</v>
      </c>
      <c r="D30" s="0" t="n">
        <f aca="false">INDEX(customer_churn_dataset!$E$2:$E$1501,MATCH($A31,customer_churn_dataset!$A$2:$A$1501,0))</f>
        <v>9</v>
      </c>
      <c r="E30" s="0" t="n">
        <f aca="false">INDEX(customer_churn_dataset!$I$2:$I$1501,MATCH($A31,customer_churn_dataset!$A$2:$A$1501,0))</f>
        <v>72.9</v>
      </c>
      <c r="F30" s="0" t="n">
        <f aca="false">INDEX(customer_churn_dataset!$L$2:$L$1501,MATCH($A31,customer_churn_dataset!$A$2:$A$1501,0))</f>
        <v>0</v>
      </c>
      <c r="G30" s="0" t="str">
        <f aca="false">IF(INDEX(customer_churn_dataset!$M$2:$M$1501,MATCH($A31,customer_churn_dataset!$A$2:$A$1501,0))=1,"Yes","No")</f>
        <v>No</v>
      </c>
      <c r="H30" s="0" t="n">
        <f aca="false">INDEX(customer_churn_dataset!$N$2:$N$1501,MATCH($A31,customer_churn_dataset!$A$2:$A$1501,0))</f>
        <v>189.9</v>
      </c>
      <c r="I30" s="0" t="n">
        <f aca="false">INDEX(customer_churn_dataset!$O$2:$O$1501,MATCH($A31,customer_churn_dataset!$A$2:$A$1501,0))</f>
        <v>0</v>
      </c>
      <c r="J30" s="0" t="n">
        <f aca="false">INDEX(customer_churn_dataset!$T$2:$T$1501,MATCH($A31,customer_churn_dataset!$A$2:$A$1501,0))</f>
        <v>2</v>
      </c>
      <c r="K30" s="0" t="str">
        <f aca="false">INDEX(customer_churn_dataset!$V$2:$V$1501,MATCH($A31,customer_churn_dataset!$A$2:$A$1501,0))</f>
        <v>Low Risk</v>
      </c>
    </row>
    <row r="31" customFormat="false" ht="12.8" hidden="true" customHeight="false" outlineLevel="0" collapsed="false">
      <c r="A31" s="22" t="str">
        <f aca="false">customer_churn_dataset!A226</f>
        <v>CUST100550</v>
      </c>
      <c r="B31" s="22" t="str">
        <f aca="false">customer_churn_dataset!B226</f>
        <v>Standard</v>
      </c>
      <c r="C31" s="22" t="str">
        <f aca="false">customer_churn_dataset!C226</f>
        <v>One year</v>
      </c>
      <c r="D31" s="0" t="n">
        <f aca="false">INDEX(customer_churn_dataset!$E$2:$E$1501,MATCH($A32,customer_churn_dataset!$A$2:$A$1501,0))</f>
        <v>8</v>
      </c>
      <c r="E31" s="0" t="n">
        <f aca="false">INDEX(customer_churn_dataset!$I$2:$I$1501,MATCH($A32,customer_churn_dataset!$A$2:$A$1501,0))</f>
        <v>46.3</v>
      </c>
      <c r="F31" s="0" t="n">
        <f aca="false">INDEX(customer_churn_dataset!$L$2:$L$1501,MATCH($A32,customer_churn_dataset!$A$2:$A$1501,0))</f>
        <v>0</v>
      </c>
      <c r="G31" s="0" t="str">
        <f aca="false">IF(INDEX(customer_churn_dataset!$M$2:$M$1501,MATCH($A32,customer_churn_dataset!$A$2:$A$1501,0))=1,"Yes","No")</f>
        <v>No</v>
      </c>
      <c r="H31" s="0" t="n">
        <f aca="false">INDEX(customer_churn_dataset!$N$2:$N$1501,MATCH($A32,customer_churn_dataset!$A$2:$A$1501,0))</f>
        <v>90.64</v>
      </c>
      <c r="I31" s="0" t="n">
        <f aca="false">INDEX(customer_churn_dataset!$O$2:$O$1501,MATCH($A32,customer_churn_dataset!$A$2:$A$1501,0))</f>
        <v>0</v>
      </c>
      <c r="J31" s="0" t="n">
        <f aca="false">INDEX(customer_churn_dataset!$T$2:$T$1501,MATCH($A32,customer_churn_dataset!$A$2:$A$1501,0))</f>
        <v>4</v>
      </c>
      <c r="K31" s="0" t="str">
        <f aca="false">INDEX(customer_churn_dataset!$V$2:$V$1501,MATCH($A32,customer_churn_dataset!$A$2:$A$1501,0))</f>
        <v>Medium Risk</v>
      </c>
    </row>
    <row r="32" customFormat="false" ht="12.8" hidden="true" customHeight="false" outlineLevel="0" collapsed="false">
      <c r="A32" s="22" t="str">
        <f aca="false">customer_churn_dataset!A229</f>
        <v>CUST100629</v>
      </c>
      <c r="B32" s="22" t="str">
        <f aca="false">customer_churn_dataset!B229</f>
        <v>Basic</v>
      </c>
      <c r="C32" s="22" t="str">
        <f aca="false">customer_churn_dataset!C229</f>
        <v>Month-to-month</v>
      </c>
      <c r="D32" s="0" t="n">
        <f aca="false">INDEX(customer_churn_dataset!$E$2:$E$1501,MATCH($A33,customer_churn_dataset!$A$2:$A$1501,0))</f>
        <v>19</v>
      </c>
      <c r="E32" s="0" t="n">
        <f aca="false">INDEX(customer_churn_dataset!$I$2:$I$1501,MATCH($A33,customer_churn_dataset!$A$2:$A$1501,0))</f>
        <v>75.7</v>
      </c>
      <c r="F32" s="0" t="n">
        <f aca="false">INDEX(customer_churn_dataset!$L$2:$L$1501,MATCH($A33,customer_churn_dataset!$A$2:$A$1501,0))</f>
        <v>0</v>
      </c>
      <c r="G32" s="0" t="str">
        <f aca="false">IF(INDEX(customer_churn_dataset!$M$2:$M$1501,MATCH($A33,customer_churn_dataset!$A$2:$A$1501,0))=1,"Yes","No")</f>
        <v>No</v>
      </c>
      <c r="H32" s="0" t="n">
        <f aca="false">INDEX(customer_churn_dataset!$N$2:$N$1501,MATCH($A33,customer_churn_dataset!$A$2:$A$1501,0))</f>
        <v>375.06</v>
      </c>
      <c r="I32" s="0" t="n">
        <f aca="false">INDEX(customer_churn_dataset!$O$2:$O$1501,MATCH($A33,customer_churn_dataset!$A$2:$A$1501,0))</f>
        <v>0</v>
      </c>
      <c r="J32" s="0" t="n">
        <f aca="false">INDEX(customer_churn_dataset!$T$2:$T$1501,MATCH($A33,customer_churn_dataset!$A$2:$A$1501,0))</f>
        <v>2</v>
      </c>
      <c r="K32" s="0" t="str">
        <f aca="false">INDEX(customer_churn_dataset!$V$2:$V$1501,MATCH($A33,customer_churn_dataset!$A$2:$A$1501,0))</f>
        <v>Low Risk</v>
      </c>
    </row>
    <row r="33" customFormat="false" ht="12.8" hidden="true" customHeight="false" outlineLevel="0" collapsed="false">
      <c r="A33" s="22" t="str">
        <f aca="false">customer_churn_dataset!A241</f>
        <v>CUST100276</v>
      </c>
      <c r="B33" s="22" t="str">
        <f aca="false">customer_churn_dataset!B241</f>
        <v>Standard</v>
      </c>
      <c r="C33" s="22" t="str">
        <f aca="false">customer_churn_dataset!C241</f>
        <v>Month-to-month</v>
      </c>
      <c r="D33" s="0" t="n">
        <f aca="false">INDEX(customer_churn_dataset!$E$2:$E$1501,MATCH($A34,customer_churn_dataset!$A$2:$A$1501,0))</f>
        <v>25</v>
      </c>
      <c r="E33" s="0" t="n">
        <f aca="false">INDEX(customer_churn_dataset!$I$2:$I$1501,MATCH($A34,customer_churn_dataset!$A$2:$A$1501,0))</f>
        <v>35</v>
      </c>
      <c r="F33" s="0" t="n">
        <f aca="false">INDEX(customer_churn_dataset!$L$2:$L$1501,MATCH($A34,customer_churn_dataset!$A$2:$A$1501,0))</f>
        <v>1</v>
      </c>
      <c r="G33" s="0" t="str">
        <f aca="false">IF(INDEX(customer_churn_dataset!$M$2:$M$1501,MATCH($A34,customer_churn_dataset!$A$2:$A$1501,0))=1,"Yes","No")</f>
        <v>Yes</v>
      </c>
      <c r="H33" s="0" t="n">
        <f aca="false">INDEX(customer_churn_dataset!$N$2:$N$1501,MATCH($A34,customer_churn_dataset!$A$2:$A$1501,0))</f>
        <v>510</v>
      </c>
      <c r="I33" s="0" t="n">
        <f aca="false">INDEX(customer_churn_dataset!$O$2:$O$1501,MATCH($A34,customer_churn_dataset!$A$2:$A$1501,0))</f>
        <v>0</v>
      </c>
      <c r="J33" s="0" t="n">
        <f aca="false">INDEX(customer_churn_dataset!$T$2:$T$1501,MATCH($A34,customer_churn_dataset!$A$2:$A$1501,0))</f>
        <v>7</v>
      </c>
      <c r="K33" s="0" t="str">
        <f aca="false">INDEX(customer_churn_dataset!$V$2:$V$1501,MATCH($A34,customer_churn_dataset!$A$2:$A$1501,0))</f>
        <v>High Risk</v>
      </c>
    </row>
    <row r="34" customFormat="false" ht="12.8" hidden="true" customHeight="false" outlineLevel="0" collapsed="false">
      <c r="A34" s="22" t="str">
        <f aca="false">customer_churn_dataset!A263</f>
        <v>CUST100544</v>
      </c>
      <c r="B34" s="22" t="str">
        <f aca="false">customer_churn_dataset!B263</f>
        <v>Standard</v>
      </c>
      <c r="C34" s="22" t="str">
        <f aca="false">customer_churn_dataset!C263</f>
        <v>Month-to-month</v>
      </c>
      <c r="D34" s="0" t="n">
        <f aca="false">INDEX(customer_churn_dataset!$E$2:$E$1501,MATCH($A35,customer_churn_dataset!$A$2:$A$1501,0))</f>
        <v>37</v>
      </c>
      <c r="E34" s="0" t="n">
        <f aca="false">INDEX(customer_churn_dataset!$I$2:$I$1501,MATCH($A35,customer_churn_dataset!$A$2:$A$1501,0))</f>
        <v>34.6</v>
      </c>
      <c r="F34" s="0" t="n">
        <f aca="false">INDEX(customer_churn_dataset!$L$2:$L$1501,MATCH($A35,customer_churn_dataset!$A$2:$A$1501,0))</f>
        <v>1</v>
      </c>
      <c r="G34" s="0" t="str">
        <f aca="false">IF(INDEX(customer_churn_dataset!$M$2:$M$1501,MATCH($A35,customer_churn_dataset!$A$2:$A$1501,0))=1,"Yes","No")</f>
        <v>No</v>
      </c>
      <c r="H34" s="0" t="n">
        <f aca="false">INDEX(customer_churn_dataset!$N$2:$N$1501,MATCH($A35,customer_churn_dataset!$A$2:$A$1501,0))</f>
        <v>1594.7</v>
      </c>
      <c r="I34" s="0" t="n">
        <f aca="false">INDEX(customer_churn_dataset!$O$2:$O$1501,MATCH($A35,customer_churn_dataset!$A$2:$A$1501,0))</f>
        <v>0</v>
      </c>
      <c r="J34" s="0" t="n">
        <f aca="false">INDEX(customer_churn_dataset!$T$2:$T$1501,MATCH($A35,customer_churn_dataset!$A$2:$A$1501,0))</f>
        <v>4</v>
      </c>
      <c r="K34" s="0" t="str">
        <f aca="false">INDEX(customer_churn_dataset!$V$2:$V$1501,MATCH($A35,customer_churn_dataset!$A$2:$A$1501,0))</f>
        <v>Medium Risk</v>
      </c>
    </row>
    <row r="35" customFormat="false" ht="12.8" hidden="false" customHeight="false" outlineLevel="0" collapsed="false">
      <c r="A35" s="23" t="str">
        <f aca="false">customer_churn_dataset!A265</f>
        <v>CUST101145</v>
      </c>
      <c r="B35" s="24" t="str">
        <f aca="false">customer_churn_dataset!B265</f>
        <v>Premium</v>
      </c>
      <c r="C35" s="24" t="str">
        <f aca="false">customer_churn_dataset!C265</f>
        <v>Month-to-month</v>
      </c>
      <c r="D35" s="25" t="n">
        <f aca="false">INDEX(customer_churn_dataset!$E$2:$E$1501,MATCH($A36,customer_churn_dataset!$A$2:$A$1501,0))</f>
        <v>24</v>
      </c>
      <c r="E35" s="25" t="n">
        <f aca="false">INDEX(customer_churn_dataset!$I$2:$I$1501,MATCH($A36,customer_churn_dataset!$A$2:$A$1501,0))</f>
        <v>13.5</v>
      </c>
      <c r="F35" s="25" t="n">
        <f aca="false">INDEX(customer_churn_dataset!$L$2:$L$1501,MATCH($A36,customer_churn_dataset!$A$2:$A$1501,0))</f>
        <v>6</v>
      </c>
      <c r="G35" s="25" t="str">
        <f aca="false">IF(INDEX(customer_churn_dataset!$M$2:$M$1501,MATCH($A36,customer_churn_dataset!$A$2:$A$1501,0))=1,"Yes","No")</f>
        <v>Yes</v>
      </c>
      <c r="H35" s="25" t="n">
        <f aca="false">INDEX(customer_churn_dataset!$N$2:$N$1501,MATCH($A36,customer_churn_dataset!$A$2:$A$1501,0))</f>
        <v>960</v>
      </c>
      <c r="I35" s="25" t="n">
        <f aca="false">INDEX(customer_churn_dataset!$O$2:$O$1501,MATCH($A36,customer_churn_dataset!$A$2:$A$1501,0))</f>
        <v>0</v>
      </c>
      <c r="J35" s="25" t="n">
        <f aca="false">INDEX(customer_churn_dataset!$T$2:$T$1501,MATCH($A36,customer_churn_dataset!$A$2:$A$1501,0))</f>
        <v>8</v>
      </c>
      <c r="K35" s="25" t="str">
        <f aca="false">INDEX(customer_churn_dataset!$V$2:$V$1501,MATCH($A36,customer_churn_dataset!$A$2:$A$1501,0))</f>
        <v>High Risk</v>
      </c>
    </row>
    <row r="36" customFormat="false" ht="12.8" hidden="true" customHeight="false" outlineLevel="0" collapsed="false">
      <c r="A36" s="22" t="str">
        <f aca="false">customer_churn_dataset!A270</f>
        <v>CUST100154</v>
      </c>
      <c r="B36" s="22" t="str">
        <f aca="false">customer_churn_dataset!B270</f>
        <v>Premium</v>
      </c>
      <c r="C36" s="22" t="str">
        <f aca="false">customer_churn_dataset!C270</f>
        <v>Month-to-month</v>
      </c>
      <c r="D36" s="0" t="n">
        <f aca="false">INDEX(customer_churn_dataset!$E$2:$E$1501,MATCH($A37,customer_churn_dataset!$A$2:$A$1501,0))</f>
        <v>21</v>
      </c>
      <c r="E36" s="0" t="n">
        <f aca="false">INDEX(customer_churn_dataset!$I$2:$I$1501,MATCH($A37,customer_churn_dataset!$A$2:$A$1501,0))</f>
        <v>38.1</v>
      </c>
      <c r="F36" s="0" t="n">
        <f aca="false">INDEX(customer_churn_dataset!$L$2:$L$1501,MATCH($A37,customer_churn_dataset!$A$2:$A$1501,0))</f>
        <v>0</v>
      </c>
      <c r="G36" s="0" t="str">
        <f aca="false">IF(INDEX(customer_churn_dataset!$M$2:$M$1501,MATCH($A37,customer_churn_dataset!$A$2:$A$1501,0))=1,"Yes","No")</f>
        <v>No</v>
      </c>
      <c r="H36" s="0" t="n">
        <f aca="false">INDEX(customer_churn_dataset!$N$2:$N$1501,MATCH($A37,customer_churn_dataset!$A$2:$A$1501,0))</f>
        <v>176.4</v>
      </c>
      <c r="I36" s="0" t="n">
        <f aca="false">INDEX(customer_churn_dataset!$O$2:$O$1501,MATCH($A37,customer_churn_dataset!$A$2:$A$1501,0))</f>
        <v>1</v>
      </c>
      <c r="J36" s="0" t="n">
        <f aca="false">INDEX(customer_churn_dataset!$T$2:$T$1501,MATCH($A37,customer_churn_dataset!$A$2:$A$1501,0))</f>
        <v>4</v>
      </c>
      <c r="K36" s="0" t="str">
        <f aca="false">INDEX(customer_churn_dataset!$V$2:$V$1501,MATCH($A37,customer_churn_dataset!$A$2:$A$1501,0))</f>
        <v>Medium Risk</v>
      </c>
    </row>
    <row r="37" customFormat="false" ht="12.8" hidden="true" customHeight="false" outlineLevel="0" collapsed="false">
      <c r="A37" s="22" t="str">
        <f aca="false">customer_churn_dataset!A281</f>
        <v>CUST101390</v>
      </c>
      <c r="B37" s="22" t="str">
        <f aca="false">customer_churn_dataset!B281</f>
        <v>Basic</v>
      </c>
      <c r="C37" s="22" t="str">
        <f aca="false">customer_churn_dataset!C281</f>
        <v>Month-to-month</v>
      </c>
      <c r="D37" s="0" t="n">
        <f aca="false">INDEX(customer_churn_dataset!$E$2:$E$1501,MATCH($A38,customer_churn_dataset!$A$2:$A$1501,0))</f>
        <v>13</v>
      </c>
      <c r="E37" s="0" t="n">
        <f aca="false">INDEX(customer_churn_dataset!$I$2:$I$1501,MATCH($A38,customer_churn_dataset!$A$2:$A$1501,0))</f>
        <v>43.1</v>
      </c>
      <c r="F37" s="0" t="n">
        <f aca="false">INDEX(customer_churn_dataset!$L$2:$L$1501,MATCH($A38,customer_churn_dataset!$A$2:$A$1501,0))</f>
        <v>0</v>
      </c>
      <c r="G37" s="0" t="str">
        <f aca="false">IF(INDEX(customer_churn_dataset!$M$2:$M$1501,MATCH($A38,customer_churn_dataset!$A$2:$A$1501,0))=1,"Yes","No")</f>
        <v>No</v>
      </c>
      <c r="H37" s="0" t="n">
        <f aca="false">INDEX(customer_churn_dataset!$N$2:$N$1501,MATCH($A38,customer_churn_dataset!$A$2:$A$1501,0))</f>
        <v>149.63</v>
      </c>
      <c r="I37" s="0" t="n">
        <f aca="false">INDEX(customer_churn_dataset!$O$2:$O$1501,MATCH($A38,customer_churn_dataset!$A$2:$A$1501,0))</f>
        <v>0</v>
      </c>
      <c r="J37" s="0" t="n">
        <f aca="false">INDEX(customer_churn_dataset!$T$2:$T$1501,MATCH($A38,customer_churn_dataset!$A$2:$A$1501,0))</f>
        <v>1</v>
      </c>
      <c r="K37" s="0" t="str">
        <f aca="false">INDEX(customer_churn_dataset!$V$2:$V$1501,MATCH($A38,customer_churn_dataset!$A$2:$A$1501,0))</f>
        <v>Low Risk</v>
      </c>
    </row>
    <row r="38" customFormat="false" ht="12.8" hidden="true" customHeight="false" outlineLevel="0" collapsed="false">
      <c r="A38" s="22" t="str">
        <f aca="false">customer_churn_dataset!A299</f>
        <v>CUST101491</v>
      </c>
      <c r="B38" s="22" t="str">
        <f aca="false">customer_churn_dataset!B299</f>
        <v>Basic</v>
      </c>
      <c r="C38" s="22" t="str">
        <f aca="false">customer_churn_dataset!C299</f>
        <v>Two year</v>
      </c>
      <c r="D38" s="0" t="n">
        <f aca="false">INDEX(customer_churn_dataset!$E$2:$E$1501,MATCH($A39,customer_churn_dataset!$A$2:$A$1501,0))</f>
        <v>29</v>
      </c>
      <c r="E38" s="0" t="n">
        <f aca="false">INDEX(customer_churn_dataset!$I$2:$I$1501,MATCH($A39,customer_churn_dataset!$A$2:$A$1501,0))</f>
        <v>49.7</v>
      </c>
      <c r="F38" s="0" t="n">
        <f aca="false">INDEX(customer_churn_dataset!$L$2:$L$1501,MATCH($A39,customer_churn_dataset!$A$2:$A$1501,0))</f>
        <v>2</v>
      </c>
      <c r="G38" s="0" t="str">
        <f aca="false">IF(INDEX(customer_churn_dataset!$M$2:$M$1501,MATCH($A39,customer_churn_dataset!$A$2:$A$1501,0))=1,"Yes","No")</f>
        <v>No</v>
      </c>
      <c r="H38" s="0" t="n">
        <f aca="false">INDEX(customer_churn_dataset!$N$2:$N$1501,MATCH($A39,customer_churn_dataset!$A$2:$A$1501,0))</f>
        <v>263.03</v>
      </c>
      <c r="I38" s="0" t="n">
        <f aca="false">INDEX(customer_churn_dataset!$O$2:$O$1501,MATCH($A39,customer_churn_dataset!$A$2:$A$1501,0))</f>
        <v>0</v>
      </c>
      <c r="J38" s="0" t="n">
        <f aca="false">INDEX(customer_churn_dataset!$T$2:$T$1501,MATCH($A39,customer_churn_dataset!$A$2:$A$1501,0))</f>
        <v>3</v>
      </c>
      <c r="K38" s="0" t="str">
        <f aca="false">INDEX(customer_churn_dataset!$V$2:$V$1501,MATCH($A39,customer_churn_dataset!$A$2:$A$1501,0))</f>
        <v>Medium Risk</v>
      </c>
    </row>
    <row r="39" customFormat="false" ht="12.8" hidden="true" customHeight="false" outlineLevel="0" collapsed="false">
      <c r="A39" s="22" t="str">
        <f aca="false">customer_churn_dataset!A303</f>
        <v>CUST101290</v>
      </c>
      <c r="B39" s="22" t="str">
        <f aca="false">customer_churn_dataset!B303</f>
        <v>Basic</v>
      </c>
      <c r="C39" s="22" t="str">
        <f aca="false">customer_churn_dataset!C303</f>
        <v>One year</v>
      </c>
      <c r="D39" s="0" t="n">
        <f aca="false">INDEX(customer_churn_dataset!$E$2:$E$1501,MATCH($A40,customer_churn_dataset!$A$2:$A$1501,0))</f>
        <v>18</v>
      </c>
      <c r="E39" s="0" t="n">
        <f aca="false">INDEX(customer_churn_dataset!$I$2:$I$1501,MATCH($A40,customer_churn_dataset!$A$2:$A$1501,0))</f>
        <v>50.1</v>
      </c>
      <c r="F39" s="0" t="n">
        <f aca="false">INDEX(customer_churn_dataset!$L$2:$L$1501,MATCH($A40,customer_churn_dataset!$A$2:$A$1501,0))</f>
        <v>1</v>
      </c>
      <c r="G39" s="0" t="str">
        <f aca="false">IF(INDEX(customer_churn_dataset!$M$2:$M$1501,MATCH($A40,customer_churn_dataset!$A$2:$A$1501,0))=1,"Yes","No")</f>
        <v>No</v>
      </c>
      <c r="H39" s="0" t="n">
        <f aca="false">INDEX(customer_churn_dataset!$N$2:$N$1501,MATCH($A40,customer_churn_dataset!$A$2:$A$1501,0))</f>
        <v>162.9</v>
      </c>
      <c r="I39" s="0" t="n">
        <f aca="false">INDEX(customer_churn_dataset!$O$2:$O$1501,MATCH($A40,customer_churn_dataset!$A$2:$A$1501,0))</f>
        <v>1</v>
      </c>
      <c r="J39" s="0" t="n">
        <f aca="false">INDEX(customer_churn_dataset!$T$2:$T$1501,MATCH($A40,customer_churn_dataset!$A$2:$A$1501,0))</f>
        <v>3</v>
      </c>
      <c r="K39" s="0" t="str">
        <f aca="false">INDEX(customer_churn_dataset!$V$2:$V$1501,MATCH($A40,customer_churn_dataset!$A$2:$A$1501,0))</f>
        <v>Medium Risk</v>
      </c>
    </row>
    <row r="40" customFormat="false" ht="12.8" hidden="true" customHeight="false" outlineLevel="0" collapsed="false">
      <c r="A40" s="22" t="str">
        <f aca="false">customer_churn_dataset!A312</f>
        <v>CUST100166</v>
      </c>
      <c r="B40" s="22" t="str">
        <f aca="false">customer_churn_dataset!B312</f>
        <v>Basic</v>
      </c>
      <c r="C40" s="22" t="str">
        <f aca="false">customer_churn_dataset!C312</f>
        <v>Month-to-month</v>
      </c>
      <c r="D40" s="0" t="n">
        <f aca="false">INDEX(customer_churn_dataset!$E$2:$E$1501,MATCH($A41,customer_churn_dataset!$A$2:$A$1501,0))</f>
        <v>38</v>
      </c>
      <c r="E40" s="0" t="n">
        <f aca="false">INDEX(customer_churn_dataset!$I$2:$I$1501,MATCH($A41,customer_churn_dataset!$A$2:$A$1501,0))</f>
        <v>54.2</v>
      </c>
      <c r="F40" s="0" t="n">
        <f aca="false">INDEX(customer_churn_dataset!$L$2:$L$1501,MATCH($A41,customer_churn_dataset!$A$2:$A$1501,0))</f>
        <v>0</v>
      </c>
      <c r="G40" s="0" t="str">
        <f aca="false">IF(INDEX(customer_churn_dataset!$M$2:$M$1501,MATCH($A41,customer_churn_dataset!$A$2:$A$1501,0))=1,"Yes","No")</f>
        <v>No</v>
      </c>
      <c r="H40" s="0" t="n">
        <f aca="false">INDEX(customer_churn_dataset!$N$2:$N$1501,MATCH($A41,customer_churn_dataset!$A$2:$A$1501,0))</f>
        <v>1460.34</v>
      </c>
      <c r="I40" s="0" t="n">
        <f aca="false">INDEX(customer_churn_dataset!$O$2:$O$1501,MATCH($A41,customer_churn_dataset!$A$2:$A$1501,0))</f>
        <v>0</v>
      </c>
      <c r="J40" s="0" t="n">
        <f aca="false">INDEX(customer_churn_dataset!$T$2:$T$1501,MATCH($A41,customer_churn_dataset!$A$2:$A$1501,0))</f>
        <v>2</v>
      </c>
      <c r="K40" s="0" t="str">
        <f aca="false">INDEX(customer_churn_dataset!$V$2:$V$1501,MATCH($A41,customer_churn_dataset!$A$2:$A$1501,0))</f>
        <v>Low Risk</v>
      </c>
    </row>
    <row r="41" customFormat="false" ht="12.8" hidden="true" customHeight="false" outlineLevel="0" collapsed="false">
      <c r="A41" s="22" t="str">
        <f aca="false">customer_churn_dataset!A337</f>
        <v>CUST101083</v>
      </c>
      <c r="B41" s="22" t="str">
        <f aca="false">customer_churn_dataset!B337</f>
        <v>Premium</v>
      </c>
      <c r="C41" s="22" t="str">
        <f aca="false">customer_churn_dataset!C337</f>
        <v>One year</v>
      </c>
      <c r="D41" s="0" t="n">
        <f aca="false">INDEX(customer_churn_dataset!$E$2:$E$1501,MATCH($A42,customer_churn_dataset!$A$2:$A$1501,0))</f>
        <v>29</v>
      </c>
      <c r="E41" s="0" t="n">
        <f aca="false">INDEX(customer_churn_dataset!$I$2:$I$1501,MATCH($A42,customer_churn_dataset!$A$2:$A$1501,0))</f>
        <v>81.2</v>
      </c>
      <c r="F41" s="0" t="n">
        <f aca="false">INDEX(customer_churn_dataset!$L$2:$L$1501,MATCH($A42,customer_churn_dataset!$A$2:$A$1501,0))</f>
        <v>0</v>
      </c>
      <c r="G41" s="0" t="str">
        <f aca="false">IF(INDEX(customer_churn_dataset!$M$2:$M$1501,MATCH($A42,customer_churn_dataset!$A$2:$A$1501,0))=1,"Yes","No")</f>
        <v>No</v>
      </c>
      <c r="H41" s="0" t="n">
        <f aca="false">INDEX(customer_churn_dataset!$N$2:$N$1501,MATCH($A42,customer_churn_dataset!$A$2:$A$1501,0))</f>
        <v>568.4</v>
      </c>
      <c r="I41" s="0" t="n">
        <f aca="false">INDEX(customer_churn_dataset!$O$2:$O$1501,MATCH($A42,customer_churn_dataset!$A$2:$A$1501,0))</f>
        <v>0</v>
      </c>
      <c r="J41" s="0" t="n">
        <f aca="false">INDEX(customer_churn_dataset!$T$2:$T$1501,MATCH($A42,customer_churn_dataset!$A$2:$A$1501,0))</f>
        <v>2</v>
      </c>
      <c r="K41" s="0" t="str">
        <f aca="false">INDEX(customer_churn_dataset!$V$2:$V$1501,MATCH($A42,customer_churn_dataset!$A$2:$A$1501,0))</f>
        <v>Low Risk</v>
      </c>
    </row>
    <row r="42" customFormat="false" ht="12.8" hidden="true" customHeight="false" outlineLevel="0" collapsed="false">
      <c r="A42" s="22" t="str">
        <f aca="false">customer_churn_dataset!A356</f>
        <v>CUST100781</v>
      </c>
      <c r="B42" s="22" t="str">
        <f aca="false">customer_churn_dataset!B356</f>
        <v>Standard</v>
      </c>
      <c r="C42" s="22" t="str">
        <f aca="false">customer_churn_dataset!C356</f>
        <v>Month-to-month</v>
      </c>
      <c r="D42" s="0" t="n">
        <f aca="false">INDEX(customer_churn_dataset!$E$2:$E$1501,MATCH($A43,customer_churn_dataset!$A$2:$A$1501,0))</f>
        <v>20</v>
      </c>
      <c r="E42" s="0" t="n">
        <f aca="false">INDEX(customer_churn_dataset!$I$2:$I$1501,MATCH($A43,customer_churn_dataset!$A$2:$A$1501,0))</f>
        <v>37.6</v>
      </c>
      <c r="F42" s="0" t="n">
        <f aca="false">INDEX(customer_churn_dataset!$L$2:$L$1501,MATCH($A43,customer_churn_dataset!$A$2:$A$1501,0))</f>
        <v>1</v>
      </c>
      <c r="G42" s="0" t="str">
        <f aca="false">IF(INDEX(customer_churn_dataset!$M$2:$M$1501,MATCH($A43,customer_churn_dataset!$A$2:$A$1501,0))=1,"Yes","No")</f>
        <v>Yes</v>
      </c>
      <c r="H42" s="0" t="n">
        <f aca="false">INDEX(customer_churn_dataset!$N$2:$N$1501,MATCH($A43,customer_churn_dataset!$A$2:$A$1501,0))</f>
        <v>169.8</v>
      </c>
      <c r="I42" s="0" t="n">
        <f aca="false">INDEX(customer_churn_dataset!$O$2:$O$1501,MATCH($A43,customer_churn_dataset!$A$2:$A$1501,0))</f>
        <v>0</v>
      </c>
      <c r="J42" s="0" t="n">
        <f aca="false">INDEX(customer_churn_dataset!$T$2:$T$1501,MATCH($A43,customer_churn_dataset!$A$2:$A$1501,0))</f>
        <v>7</v>
      </c>
      <c r="K42" s="0" t="str">
        <f aca="false">INDEX(customer_churn_dataset!$V$2:$V$1501,MATCH($A43,customer_churn_dataset!$A$2:$A$1501,0))</f>
        <v>High Risk</v>
      </c>
    </row>
    <row r="43" customFormat="false" ht="12.8" hidden="true" customHeight="false" outlineLevel="0" collapsed="false">
      <c r="A43" s="22" t="str">
        <f aca="false">customer_churn_dataset!A362</f>
        <v>CUST100622</v>
      </c>
      <c r="B43" s="22" t="str">
        <f aca="false">customer_churn_dataset!B362</f>
        <v>Basic</v>
      </c>
      <c r="C43" s="22" t="str">
        <f aca="false">customer_churn_dataset!C362</f>
        <v>Month-to-month</v>
      </c>
      <c r="D43" s="0" t="n">
        <f aca="false">INDEX(customer_churn_dataset!$E$2:$E$1501,MATCH($A44,customer_churn_dataset!$A$2:$A$1501,0))</f>
        <v>25</v>
      </c>
      <c r="E43" s="0" t="n">
        <f aca="false">INDEX(customer_churn_dataset!$I$2:$I$1501,MATCH($A44,customer_churn_dataset!$A$2:$A$1501,0))</f>
        <v>45.5</v>
      </c>
      <c r="F43" s="0" t="n">
        <f aca="false">INDEX(customer_churn_dataset!$L$2:$L$1501,MATCH($A44,customer_churn_dataset!$A$2:$A$1501,0))</f>
        <v>1</v>
      </c>
      <c r="G43" s="0" t="str">
        <f aca="false">IF(INDEX(customer_churn_dataset!$M$2:$M$1501,MATCH($A44,customer_churn_dataset!$A$2:$A$1501,0))=1,"Yes","No")</f>
        <v>No</v>
      </c>
      <c r="H43" s="0" t="n">
        <f aca="false">INDEX(customer_churn_dataset!$N$2:$N$1501,MATCH($A44,customer_churn_dataset!$A$2:$A$1501,0))</f>
        <v>285.25</v>
      </c>
      <c r="I43" s="0" t="n">
        <f aca="false">INDEX(customer_churn_dataset!$O$2:$O$1501,MATCH($A44,customer_churn_dataset!$A$2:$A$1501,0))</f>
        <v>0</v>
      </c>
      <c r="J43" s="0" t="n">
        <f aca="false">INDEX(customer_churn_dataset!$T$2:$T$1501,MATCH($A44,customer_churn_dataset!$A$2:$A$1501,0))</f>
        <v>2</v>
      </c>
      <c r="K43" s="0" t="str">
        <f aca="false">INDEX(customer_churn_dataset!$V$2:$V$1501,MATCH($A44,customer_churn_dataset!$A$2:$A$1501,0))</f>
        <v>Low Risk</v>
      </c>
    </row>
    <row r="44" customFormat="false" ht="12.8" hidden="true" customHeight="false" outlineLevel="0" collapsed="false">
      <c r="A44" s="22" t="str">
        <f aca="false">customer_churn_dataset!A399</f>
        <v>CUST101129</v>
      </c>
      <c r="B44" s="22" t="str">
        <f aca="false">customer_churn_dataset!B399</f>
        <v>Basic</v>
      </c>
      <c r="C44" s="22" t="str">
        <f aca="false">customer_churn_dataset!C399</f>
        <v>One year</v>
      </c>
      <c r="D44" s="0" t="n">
        <f aca="false">INDEX(customer_churn_dataset!$E$2:$E$1501,MATCH($A45,customer_churn_dataset!$A$2:$A$1501,0))</f>
        <v>20</v>
      </c>
      <c r="E44" s="0" t="n">
        <f aca="false">INDEX(customer_churn_dataset!$I$2:$I$1501,MATCH($A45,customer_churn_dataset!$A$2:$A$1501,0))</f>
        <v>39.7</v>
      </c>
      <c r="F44" s="0" t="n">
        <f aca="false">INDEX(customer_churn_dataset!$L$2:$L$1501,MATCH($A45,customer_churn_dataset!$A$2:$A$1501,0))</f>
        <v>0</v>
      </c>
      <c r="G44" s="0" t="str">
        <f aca="false">IF(INDEX(customer_churn_dataset!$M$2:$M$1501,MATCH($A45,customer_churn_dataset!$A$2:$A$1501,0))=1,"Yes","No")</f>
        <v>No</v>
      </c>
      <c r="H44" s="0" t="n">
        <f aca="false">INDEX(customer_churn_dataset!$N$2:$N$1501,MATCH($A45,customer_churn_dataset!$A$2:$A$1501,0))</f>
        <v>171.4</v>
      </c>
      <c r="I44" s="0" t="n">
        <f aca="false">INDEX(customer_churn_dataset!$O$2:$O$1501,MATCH($A45,customer_churn_dataset!$A$2:$A$1501,0))</f>
        <v>0</v>
      </c>
      <c r="J44" s="0" t="n">
        <f aca="false">INDEX(customer_churn_dataset!$T$2:$T$1501,MATCH($A45,customer_churn_dataset!$A$2:$A$1501,0))</f>
        <v>4</v>
      </c>
      <c r="K44" s="0" t="str">
        <f aca="false">INDEX(customer_churn_dataset!$V$2:$V$1501,MATCH($A45,customer_churn_dataset!$A$2:$A$1501,0))</f>
        <v>Medium Risk</v>
      </c>
    </row>
    <row r="45" customFormat="false" ht="12.8" hidden="false" customHeight="false" outlineLevel="0" collapsed="false">
      <c r="A45" s="23" t="str">
        <f aca="false">customer_churn_dataset!A404</f>
        <v>CUST100246</v>
      </c>
      <c r="B45" s="24" t="str">
        <f aca="false">customer_churn_dataset!B404</f>
        <v>Basic</v>
      </c>
      <c r="C45" s="24" t="str">
        <f aca="false">customer_churn_dataset!C404</f>
        <v>Month-to-month</v>
      </c>
      <c r="D45" s="25" t="n">
        <f aca="false">INDEX(customer_churn_dataset!$E$2:$E$1501,MATCH($A46,customer_churn_dataset!$A$2:$A$1501,0))</f>
        <v>9</v>
      </c>
      <c r="E45" s="25" t="n">
        <f aca="false">INDEX(customer_churn_dataset!$I$2:$I$1501,MATCH($A46,customer_churn_dataset!$A$2:$A$1501,0))</f>
        <v>48.5</v>
      </c>
      <c r="F45" s="25" t="n">
        <f aca="false">INDEX(customer_churn_dataset!$L$2:$L$1501,MATCH($A46,customer_churn_dataset!$A$2:$A$1501,0))</f>
        <v>3</v>
      </c>
      <c r="G45" s="25" t="str">
        <f aca="false">IF(INDEX(customer_churn_dataset!$M$2:$M$1501,MATCH($A46,customer_churn_dataset!$A$2:$A$1501,0))=1,"Yes","No")</f>
        <v>Yes</v>
      </c>
      <c r="H45" s="25" t="n">
        <f aca="false">INDEX(customer_churn_dataset!$N$2:$N$1501,MATCH($A46,customer_churn_dataset!$A$2:$A$1501,0))</f>
        <v>87.84</v>
      </c>
      <c r="I45" s="25" t="n">
        <f aca="false">INDEX(customer_churn_dataset!$O$2:$O$1501,MATCH($A46,customer_churn_dataset!$A$2:$A$1501,0))</f>
        <v>1</v>
      </c>
      <c r="J45" s="25" t="n">
        <f aca="false">INDEX(customer_churn_dataset!$T$2:$T$1501,MATCH($A46,customer_churn_dataset!$A$2:$A$1501,0))</f>
        <v>8</v>
      </c>
      <c r="K45" s="25" t="str">
        <f aca="false">INDEX(customer_churn_dataset!$V$2:$V$1501,MATCH($A46,customer_churn_dataset!$A$2:$A$1501,0))</f>
        <v>High Risk</v>
      </c>
    </row>
    <row r="46" customFormat="false" ht="12.8" hidden="true" customHeight="false" outlineLevel="0" collapsed="false">
      <c r="A46" s="22" t="str">
        <f aca="false">customer_churn_dataset!A419</f>
        <v>CUST101226</v>
      </c>
      <c r="B46" s="22" t="str">
        <f aca="false">customer_churn_dataset!B419</f>
        <v>Basic</v>
      </c>
      <c r="C46" s="22" t="str">
        <f aca="false">customer_churn_dataset!C419</f>
        <v>Month-to-month</v>
      </c>
      <c r="D46" s="0" t="n">
        <f aca="false">INDEX(customer_churn_dataset!$E$2:$E$1501,MATCH($A47,customer_churn_dataset!$A$2:$A$1501,0))</f>
        <v>22</v>
      </c>
      <c r="E46" s="0" t="n">
        <f aca="false">INDEX(customer_churn_dataset!$I$2:$I$1501,MATCH($A47,customer_churn_dataset!$A$2:$A$1501,0))</f>
        <v>39.2</v>
      </c>
      <c r="F46" s="0" t="n">
        <f aca="false">INDEX(customer_churn_dataset!$L$2:$L$1501,MATCH($A47,customer_churn_dataset!$A$2:$A$1501,0))</f>
        <v>1</v>
      </c>
      <c r="G46" s="0" t="str">
        <f aca="false">IF(INDEX(customer_churn_dataset!$M$2:$M$1501,MATCH($A47,customer_churn_dataset!$A$2:$A$1501,0))=1,"Yes","No")</f>
        <v>No</v>
      </c>
      <c r="H46" s="0" t="n">
        <f aca="false">INDEX(customer_churn_dataset!$N$2:$N$1501,MATCH($A47,customer_churn_dataset!$A$2:$A$1501,0))</f>
        <v>238.7</v>
      </c>
      <c r="I46" s="0" t="n">
        <f aca="false">INDEX(customer_churn_dataset!$O$2:$O$1501,MATCH($A47,customer_churn_dataset!$A$2:$A$1501,0))</f>
        <v>1</v>
      </c>
      <c r="J46" s="0" t="n">
        <f aca="false">INDEX(customer_churn_dataset!$T$2:$T$1501,MATCH($A47,customer_churn_dataset!$A$2:$A$1501,0))</f>
        <v>4</v>
      </c>
      <c r="K46" s="0" t="str">
        <f aca="false">INDEX(customer_churn_dataset!$V$2:$V$1501,MATCH($A47,customer_churn_dataset!$A$2:$A$1501,0))</f>
        <v>Medium Risk</v>
      </c>
    </row>
    <row r="47" customFormat="false" ht="12.8" hidden="true" customHeight="false" outlineLevel="0" collapsed="false">
      <c r="A47" s="22" t="str">
        <f aca="false">customer_churn_dataset!A426</f>
        <v>CUST101325</v>
      </c>
      <c r="B47" s="22" t="str">
        <f aca="false">customer_churn_dataset!B426</f>
        <v>Basic</v>
      </c>
      <c r="C47" s="22" t="str">
        <f aca="false">customer_churn_dataset!C426</f>
        <v>Month-to-month</v>
      </c>
      <c r="D47" s="0" t="n">
        <f aca="false">INDEX(customer_churn_dataset!$E$2:$E$1501,MATCH($A48,customer_churn_dataset!$A$2:$A$1501,0))</f>
        <v>17</v>
      </c>
      <c r="E47" s="0" t="n">
        <f aca="false">INDEX(customer_churn_dataset!$I$2:$I$1501,MATCH($A48,customer_churn_dataset!$A$2:$A$1501,0))</f>
        <v>73.6</v>
      </c>
      <c r="F47" s="0" t="n">
        <f aca="false">INDEX(customer_churn_dataset!$L$2:$L$1501,MATCH($A48,customer_churn_dataset!$A$2:$A$1501,0))</f>
        <v>0</v>
      </c>
      <c r="G47" s="0" t="str">
        <f aca="false">IF(INDEX(customer_churn_dataset!$M$2:$M$1501,MATCH($A48,customer_churn_dataset!$A$2:$A$1501,0))=1,"Yes","No")</f>
        <v>No</v>
      </c>
      <c r="H47" s="0" t="n">
        <f aca="false">INDEX(customer_churn_dataset!$N$2:$N$1501,MATCH($A48,customer_churn_dataset!$A$2:$A$1501,0))</f>
        <v>689.01</v>
      </c>
      <c r="I47" s="0" t="n">
        <f aca="false">INDEX(customer_churn_dataset!$O$2:$O$1501,MATCH($A48,customer_churn_dataset!$A$2:$A$1501,0))</f>
        <v>0</v>
      </c>
      <c r="J47" s="0" t="n">
        <f aca="false">INDEX(customer_churn_dataset!$T$2:$T$1501,MATCH($A48,customer_churn_dataset!$A$2:$A$1501,0))</f>
        <v>2</v>
      </c>
      <c r="K47" s="0" t="str">
        <f aca="false">INDEX(customer_churn_dataset!$V$2:$V$1501,MATCH($A48,customer_churn_dataset!$A$2:$A$1501,0))</f>
        <v>Low Risk</v>
      </c>
    </row>
    <row r="48" customFormat="false" ht="12.8" hidden="true" customHeight="false" outlineLevel="0" collapsed="false">
      <c r="A48" s="22" t="str">
        <f aca="false">customer_churn_dataset!A457</f>
        <v>CUST100043</v>
      </c>
      <c r="B48" s="22" t="str">
        <f aca="false">customer_churn_dataset!B457</f>
        <v>Premium</v>
      </c>
      <c r="C48" s="22" t="str">
        <f aca="false">customer_churn_dataset!C457</f>
        <v>Month-to-month</v>
      </c>
      <c r="D48" s="0" t="n">
        <f aca="false">INDEX(customer_churn_dataset!$E$2:$E$1501,MATCH($A49,customer_churn_dataset!$A$2:$A$1501,0))</f>
        <v>7</v>
      </c>
      <c r="E48" s="0" t="n">
        <f aca="false">INDEX(customer_churn_dataset!$I$2:$I$1501,MATCH($A49,customer_churn_dataset!$A$2:$A$1501,0))</f>
        <v>9.9</v>
      </c>
      <c r="F48" s="0" t="n">
        <f aca="false">INDEX(customer_churn_dataset!$L$2:$L$1501,MATCH($A49,customer_churn_dataset!$A$2:$A$1501,0))</f>
        <v>4</v>
      </c>
      <c r="G48" s="0" t="str">
        <f aca="false">IF(INDEX(customer_churn_dataset!$M$2:$M$1501,MATCH($A49,customer_churn_dataset!$A$2:$A$1501,0))=1,"Yes","No")</f>
        <v>No</v>
      </c>
      <c r="H48" s="0" t="n">
        <f aca="false">INDEX(customer_churn_dataset!$N$2:$N$1501,MATCH($A49,customer_churn_dataset!$A$2:$A$1501,0))</f>
        <v>277.69</v>
      </c>
      <c r="I48" s="0" t="n">
        <f aca="false">INDEX(customer_churn_dataset!$O$2:$O$1501,MATCH($A49,customer_churn_dataset!$A$2:$A$1501,0))</f>
        <v>0</v>
      </c>
      <c r="J48" s="0" t="n">
        <f aca="false">INDEX(customer_churn_dataset!$T$2:$T$1501,MATCH($A49,customer_churn_dataset!$A$2:$A$1501,0))</f>
        <v>6</v>
      </c>
      <c r="K48" s="0" t="str">
        <f aca="false">INDEX(customer_churn_dataset!$V$2:$V$1501,MATCH($A49,customer_churn_dataset!$A$2:$A$1501,0))</f>
        <v>High Risk</v>
      </c>
    </row>
    <row r="49" customFormat="false" ht="12.8" hidden="true" customHeight="false" outlineLevel="0" collapsed="false">
      <c r="A49" s="22" t="str">
        <f aca="false">customer_churn_dataset!A474</f>
        <v>CUST100248</v>
      </c>
      <c r="B49" s="22" t="str">
        <f aca="false">customer_churn_dataset!B474</f>
        <v>Premium</v>
      </c>
      <c r="C49" s="22" t="str">
        <f aca="false">customer_churn_dataset!C474</f>
        <v>Month-to-month</v>
      </c>
      <c r="D49" s="0" t="n">
        <f aca="false">INDEX(customer_churn_dataset!$E$2:$E$1501,MATCH($A50,customer_churn_dataset!$A$2:$A$1501,0))</f>
        <v>33</v>
      </c>
      <c r="E49" s="0" t="n">
        <f aca="false">INDEX(customer_churn_dataset!$I$2:$I$1501,MATCH($A50,customer_churn_dataset!$A$2:$A$1501,0))</f>
        <v>39.8</v>
      </c>
      <c r="F49" s="0" t="n">
        <f aca="false">INDEX(customer_churn_dataset!$L$2:$L$1501,MATCH($A50,customer_churn_dataset!$A$2:$A$1501,0))</f>
        <v>1</v>
      </c>
      <c r="G49" s="0" t="str">
        <f aca="false">IF(INDEX(customer_churn_dataset!$M$2:$M$1501,MATCH($A50,customer_churn_dataset!$A$2:$A$1501,0))=1,"Yes","No")</f>
        <v>No</v>
      </c>
      <c r="H49" s="0" t="n">
        <f aca="false">INDEX(customer_churn_dataset!$N$2:$N$1501,MATCH($A50,customer_churn_dataset!$A$2:$A$1501,0))</f>
        <v>251.79</v>
      </c>
      <c r="I49" s="0" t="n">
        <f aca="false">INDEX(customer_churn_dataset!$O$2:$O$1501,MATCH($A50,customer_churn_dataset!$A$2:$A$1501,0))</f>
        <v>0</v>
      </c>
      <c r="J49" s="0" t="n">
        <f aca="false">INDEX(customer_churn_dataset!$T$2:$T$1501,MATCH($A50,customer_churn_dataset!$A$2:$A$1501,0))</f>
        <v>4</v>
      </c>
      <c r="K49" s="0" t="str">
        <f aca="false">INDEX(customer_churn_dataset!$V$2:$V$1501,MATCH($A50,customer_churn_dataset!$A$2:$A$1501,0))</f>
        <v>Medium Risk</v>
      </c>
    </row>
    <row r="50" customFormat="false" ht="12.8" hidden="true" customHeight="false" outlineLevel="0" collapsed="false">
      <c r="A50" s="22" t="str">
        <f aca="false">customer_churn_dataset!A480</f>
        <v>CUST100434</v>
      </c>
      <c r="B50" s="22" t="str">
        <f aca="false">customer_churn_dataset!B480</f>
        <v>Basic</v>
      </c>
      <c r="C50" s="22" t="str">
        <f aca="false">customer_churn_dataset!C480</f>
        <v>Month-to-month</v>
      </c>
      <c r="D50" s="0" t="n">
        <f aca="false">INDEX(customer_churn_dataset!$E$2:$E$1501,MATCH($A51,customer_churn_dataset!$A$2:$A$1501,0))</f>
        <v>3</v>
      </c>
      <c r="E50" s="0" t="n">
        <f aca="false">INDEX(customer_churn_dataset!$I$2:$I$1501,MATCH($A51,customer_churn_dataset!$A$2:$A$1501,0))</f>
        <v>33.1</v>
      </c>
      <c r="F50" s="0" t="n">
        <f aca="false">INDEX(customer_churn_dataset!$L$2:$L$1501,MATCH($A51,customer_churn_dataset!$A$2:$A$1501,0))</f>
        <v>2</v>
      </c>
      <c r="G50" s="0" t="str">
        <f aca="false">IF(INDEX(customer_churn_dataset!$M$2:$M$1501,MATCH($A51,customer_churn_dataset!$A$2:$A$1501,0))=1,"Yes","No")</f>
        <v>No</v>
      </c>
      <c r="H50" s="0" t="n">
        <f aca="false">INDEX(customer_churn_dataset!$N$2:$N$1501,MATCH($A51,customer_churn_dataset!$A$2:$A$1501,0))</f>
        <v>126.84</v>
      </c>
      <c r="I50" s="0" t="n">
        <f aca="false">INDEX(customer_churn_dataset!$O$2:$O$1501,MATCH($A51,customer_churn_dataset!$A$2:$A$1501,0))</f>
        <v>0</v>
      </c>
      <c r="J50" s="0" t="n">
        <f aca="false">INDEX(customer_churn_dataset!$T$2:$T$1501,MATCH($A51,customer_churn_dataset!$A$2:$A$1501,0))</f>
        <v>6</v>
      </c>
      <c r="K50" s="0" t="str">
        <f aca="false">INDEX(customer_churn_dataset!$V$2:$V$1501,MATCH($A51,customer_churn_dataset!$A$2:$A$1501,0))</f>
        <v>High Risk</v>
      </c>
    </row>
    <row r="51" customFormat="false" ht="12.8" hidden="true" customHeight="false" outlineLevel="0" collapsed="false">
      <c r="A51" s="22" t="str">
        <f aca="false">customer_churn_dataset!A493</f>
        <v>CUST100001</v>
      </c>
      <c r="B51" s="22" t="str">
        <f aca="false">customer_churn_dataset!B493</f>
        <v>Premium</v>
      </c>
      <c r="C51" s="22" t="str">
        <f aca="false">customer_churn_dataset!C493</f>
        <v>Month-to-month</v>
      </c>
      <c r="D51" s="0" t="n">
        <f aca="false">INDEX(customer_churn_dataset!$E$2:$E$1501,MATCH($A52,customer_churn_dataset!$A$2:$A$1501,0))</f>
        <v>4</v>
      </c>
      <c r="E51" s="0" t="n">
        <f aca="false">INDEX(customer_churn_dataset!$I$2:$I$1501,MATCH($A52,customer_churn_dataset!$A$2:$A$1501,0))</f>
        <v>52.8</v>
      </c>
      <c r="F51" s="0" t="n">
        <f aca="false">INDEX(customer_churn_dataset!$L$2:$L$1501,MATCH($A52,customer_churn_dataset!$A$2:$A$1501,0))</f>
        <v>2</v>
      </c>
      <c r="G51" s="0" t="str">
        <f aca="false">IF(INDEX(customer_churn_dataset!$M$2:$M$1501,MATCH($A52,customer_churn_dataset!$A$2:$A$1501,0))=1,"Yes","No")</f>
        <v>No</v>
      </c>
      <c r="H51" s="0" t="n">
        <f aca="false">INDEX(customer_churn_dataset!$N$2:$N$1501,MATCH($A52,customer_churn_dataset!$A$2:$A$1501,0))</f>
        <v>46</v>
      </c>
      <c r="I51" s="0" t="n">
        <f aca="false">INDEX(customer_churn_dataset!$O$2:$O$1501,MATCH($A52,customer_churn_dataset!$A$2:$A$1501,0))</f>
        <v>0</v>
      </c>
      <c r="J51" s="0" t="n">
        <f aca="false">INDEX(customer_churn_dataset!$T$2:$T$1501,MATCH($A52,customer_churn_dataset!$A$2:$A$1501,0))</f>
        <v>3</v>
      </c>
      <c r="K51" s="0" t="str">
        <f aca="false">INDEX(customer_churn_dataset!$V$2:$V$1501,MATCH($A52,customer_churn_dataset!$A$2:$A$1501,0))</f>
        <v>Medium Risk</v>
      </c>
    </row>
    <row r="52" customFormat="false" ht="12.8" hidden="true" customHeight="false" outlineLevel="0" collapsed="false">
      <c r="A52" s="22" t="str">
        <f aca="false">customer_churn_dataset!A498</f>
        <v>CUST100356</v>
      </c>
      <c r="B52" s="22" t="str">
        <f aca="false">customer_churn_dataset!B498</f>
        <v>Basic</v>
      </c>
      <c r="C52" s="22" t="str">
        <f aca="false">customer_churn_dataset!C498</f>
        <v>Two year</v>
      </c>
      <c r="D52" s="0" t="n">
        <f aca="false">INDEX(customer_churn_dataset!$E$2:$E$1501,MATCH($A53,customer_churn_dataset!$A$2:$A$1501,0))</f>
        <v>0</v>
      </c>
      <c r="E52" s="0" t="n">
        <f aca="false">INDEX(customer_churn_dataset!$I$2:$I$1501,MATCH($A53,customer_churn_dataset!$A$2:$A$1501,0))</f>
        <v>73</v>
      </c>
      <c r="F52" s="0" t="n">
        <f aca="false">INDEX(customer_churn_dataset!$L$2:$L$1501,MATCH($A53,customer_churn_dataset!$A$2:$A$1501,0))</f>
        <v>0</v>
      </c>
      <c r="G52" s="0" t="str">
        <f aca="false">IF(INDEX(customer_churn_dataset!$M$2:$M$1501,MATCH($A53,customer_churn_dataset!$A$2:$A$1501,0))=1,"Yes","No")</f>
        <v>No</v>
      </c>
      <c r="H52" s="0" t="n">
        <f aca="false">INDEX(customer_churn_dataset!$N$2:$N$1501,MATCH($A53,customer_churn_dataset!$A$2:$A$1501,0))</f>
        <v>0</v>
      </c>
      <c r="I52" s="0" t="n">
        <f aca="false">INDEX(customer_churn_dataset!$O$2:$O$1501,MATCH($A53,customer_churn_dataset!$A$2:$A$1501,0))</f>
        <v>0</v>
      </c>
      <c r="J52" s="0" t="n">
        <f aca="false">INDEX(customer_churn_dataset!$T$2:$T$1501,MATCH($A53,customer_churn_dataset!$A$2:$A$1501,0))</f>
        <v>2</v>
      </c>
      <c r="K52" s="0" t="str">
        <f aca="false">INDEX(customer_churn_dataset!$V$2:$V$1501,MATCH($A53,customer_churn_dataset!$A$2:$A$1501,0))</f>
        <v>Low Risk</v>
      </c>
    </row>
    <row r="53" customFormat="false" ht="12.8" hidden="true" customHeight="false" outlineLevel="0" collapsed="false">
      <c r="A53" s="22" t="str">
        <f aca="false">customer_churn_dataset!A506</f>
        <v>CUST100659</v>
      </c>
      <c r="B53" s="22" t="str">
        <f aca="false">customer_churn_dataset!B506</f>
        <v>Standard</v>
      </c>
      <c r="C53" s="22" t="str">
        <f aca="false">customer_churn_dataset!C506</f>
        <v>One year</v>
      </c>
      <c r="D53" s="0" t="n">
        <f aca="false">INDEX(customer_churn_dataset!$E$2:$E$1501,MATCH($A54,customer_churn_dataset!$A$2:$A$1501,0))</f>
        <v>52</v>
      </c>
      <c r="E53" s="0" t="n">
        <f aca="false">INDEX(customer_churn_dataset!$I$2:$I$1501,MATCH($A54,customer_churn_dataset!$A$2:$A$1501,0))</f>
        <v>34.8</v>
      </c>
      <c r="F53" s="0" t="n">
        <f aca="false">INDEX(customer_churn_dataset!$L$2:$L$1501,MATCH($A54,customer_churn_dataset!$A$2:$A$1501,0))</f>
        <v>1</v>
      </c>
      <c r="G53" s="0" t="str">
        <f aca="false">IF(INDEX(customer_churn_dataset!$M$2:$M$1501,MATCH($A54,customer_churn_dataset!$A$2:$A$1501,0))=1,"Yes","No")</f>
        <v>No</v>
      </c>
      <c r="H53" s="0" t="n">
        <f aca="false">INDEX(customer_churn_dataset!$N$2:$N$1501,MATCH($A54,customer_churn_dataset!$A$2:$A$1501,0))</f>
        <v>491.92</v>
      </c>
      <c r="I53" s="0" t="n">
        <f aca="false">INDEX(customer_churn_dataset!$O$2:$O$1501,MATCH($A54,customer_churn_dataset!$A$2:$A$1501,0))</f>
        <v>0</v>
      </c>
      <c r="J53" s="0" t="n">
        <f aca="false">INDEX(customer_churn_dataset!$T$2:$T$1501,MATCH($A54,customer_churn_dataset!$A$2:$A$1501,0))</f>
        <v>4</v>
      </c>
      <c r="K53" s="0" t="str">
        <f aca="false">INDEX(customer_churn_dataset!$V$2:$V$1501,MATCH($A54,customer_churn_dataset!$A$2:$A$1501,0))</f>
        <v>Medium Risk</v>
      </c>
    </row>
    <row r="54" customFormat="false" ht="12.8" hidden="true" customHeight="false" outlineLevel="0" collapsed="false">
      <c r="A54" s="22" t="str">
        <f aca="false">customer_churn_dataset!A516</f>
        <v>CUST100377</v>
      </c>
      <c r="B54" s="22" t="str">
        <f aca="false">customer_churn_dataset!B516</f>
        <v>Basic</v>
      </c>
      <c r="C54" s="22" t="str">
        <f aca="false">customer_churn_dataset!C516</f>
        <v>Month-to-month</v>
      </c>
      <c r="D54" s="0" t="n">
        <f aca="false">INDEX(customer_churn_dataset!$E$2:$E$1501,MATCH($A55,customer_churn_dataset!$A$2:$A$1501,0))</f>
        <v>2</v>
      </c>
      <c r="E54" s="0" t="n">
        <f aca="false">INDEX(customer_churn_dataset!$I$2:$I$1501,MATCH($A55,customer_churn_dataset!$A$2:$A$1501,0))</f>
        <v>54.1</v>
      </c>
      <c r="F54" s="0" t="n">
        <f aca="false">INDEX(customer_churn_dataset!$L$2:$L$1501,MATCH($A55,customer_churn_dataset!$A$2:$A$1501,0))</f>
        <v>2</v>
      </c>
      <c r="G54" s="0" t="str">
        <f aca="false">IF(INDEX(customer_churn_dataset!$M$2:$M$1501,MATCH($A55,customer_churn_dataset!$A$2:$A$1501,0))=1,"Yes","No")</f>
        <v>Yes</v>
      </c>
      <c r="H54" s="0" t="n">
        <f aca="false">INDEX(customer_churn_dataset!$N$2:$N$1501,MATCH($A55,customer_churn_dataset!$A$2:$A$1501,0))</f>
        <v>80.62</v>
      </c>
      <c r="I54" s="0" t="n">
        <f aca="false">INDEX(customer_churn_dataset!$O$2:$O$1501,MATCH($A55,customer_churn_dataset!$A$2:$A$1501,0))</f>
        <v>1</v>
      </c>
      <c r="J54" s="0" t="n">
        <f aca="false">INDEX(customer_churn_dataset!$T$2:$T$1501,MATCH($A55,customer_churn_dataset!$A$2:$A$1501,0))</f>
        <v>7</v>
      </c>
      <c r="K54" s="0" t="str">
        <f aca="false">INDEX(customer_churn_dataset!$V$2:$V$1501,MATCH($A55,customer_churn_dataset!$A$2:$A$1501,0))</f>
        <v>High Risk</v>
      </c>
    </row>
    <row r="55" customFormat="false" ht="12.8" hidden="true" customHeight="false" outlineLevel="0" collapsed="false">
      <c r="A55" s="22" t="str">
        <f aca="false">customer_churn_dataset!A519</f>
        <v>CUST100139</v>
      </c>
      <c r="B55" s="22" t="str">
        <f aca="false">customer_churn_dataset!B519</f>
        <v>Premium</v>
      </c>
      <c r="C55" s="22" t="str">
        <f aca="false">customer_churn_dataset!C519</f>
        <v>One year</v>
      </c>
      <c r="D55" s="0" t="n">
        <f aca="false">INDEX(customer_churn_dataset!$E$2:$E$1501,MATCH($A56,customer_churn_dataset!$A$2:$A$1501,0))</f>
        <v>36</v>
      </c>
      <c r="E55" s="0" t="n">
        <f aca="false">INDEX(customer_churn_dataset!$I$2:$I$1501,MATCH($A56,customer_churn_dataset!$A$2:$A$1501,0))</f>
        <v>83.7</v>
      </c>
      <c r="F55" s="0" t="n">
        <f aca="false">INDEX(customer_churn_dataset!$L$2:$L$1501,MATCH($A56,customer_churn_dataset!$A$2:$A$1501,0))</f>
        <v>1</v>
      </c>
      <c r="G55" s="0" t="str">
        <f aca="false">IF(INDEX(customer_churn_dataset!$M$2:$M$1501,MATCH($A56,customer_churn_dataset!$A$2:$A$1501,0))=1,"Yes","No")</f>
        <v>Yes</v>
      </c>
      <c r="H55" s="0" t="n">
        <f aca="false">INDEX(customer_churn_dataset!$N$2:$N$1501,MATCH($A56,customer_churn_dataset!$A$2:$A$1501,0))</f>
        <v>1425.6</v>
      </c>
      <c r="I55" s="0" t="n">
        <f aca="false">INDEX(customer_churn_dataset!$O$2:$O$1501,MATCH($A56,customer_churn_dataset!$A$2:$A$1501,0))</f>
        <v>0</v>
      </c>
      <c r="J55" s="0" t="n">
        <f aca="false">INDEX(customer_churn_dataset!$T$2:$T$1501,MATCH($A56,customer_churn_dataset!$A$2:$A$1501,0))</f>
        <v>4</v>
      </c>
      <c r="K55" s="0" t="str">
        <f aca="false">INDEX(customer_churn_dataset!$V$2:$V$1501,MATCH($A56,customer_churn_dataset!$A$2:$A$1501,0))</f>
        <v>Medium Risk</v>
      </c>
    </row>
    <row r="56" customFormat="false" ht="12.8" hidden="true" customHeight="false" outlineLevel="0" collapsed="false">
      <c r="A56" s="22" t="str">
        <f aca="false">customer_churn_dataset!A521</f>
        <v>CUST100512</v>
      </c>
      <c r="B56" s="22" t="str">
        <f aca="false">customer_churn_dataset!B521</f>
        <v>Premium</v>
      </c>
      <c r="C56" s="22" t="str">
        <f aca="false">customer_churn_dataset!C521</f>
        <v>One year</v>
      </c>
      <c r="D56" s="0" t="n">
        <f aca="false">INDEX(customer_churn_dataset!$E$2:$E$1501,MATCH($A57,customer_churn_dataset!$A$2:$A$1501,0))</f>
        <v>14</v>
      </c>
      <c r="E56" s="0" t="n">
        <f aca="false">INDEX(customer_churn_dataset!$I$2:$I$1501,MATCH($A57,customer_churn_dataset!$A$2:$A$1501,0))</f>
        <v>52.7</v>
      </c>
      <c r="F56" s="0" t="n">
        <f aca="false">INDEX(customer_churn_dataset!$L$2:$L$1501,MATCH($A57,customer_churn_dataset!$A$2:$A$1501,0))</f>
        <v>1</v>
      </c>
      <c r="G56" s="0" t="str">
        <f aca="false">IF(INDEX(customer_churn_dataset!$M$2:$M$1501,MATCH($A57,customer_churn_dataset!$A$2:$A$1501,0))=1,"Yes","No")</f>
        <v>No</v>
      </c>
      <c r="H56" s="0" t="n">
        <f aca="false">INDEX(customer_churn_dataset!$N$2:$N$1501,MATCH($A57,customer_churn_dataset!$A$2:$A$1501,0))</f>
        <v>147.56</v>
      </c>
      <c r="I56" s="0" t="n">
        <f aca="false">INDEX(customer_churn_dataset!$O$2:$O$1501,MATCH($A57,customer_churn_dataset!$A$2:$A$1501,0))</f>
        <v>1</v>
      </c>
      <c r="J56" s="0" t="n">
        <f aca="false">INDEX(customer_churn_dataset!$T$2:$T$1501,MATCH($A57,customer_churn_dataset!$A$2:$A$1501,0))</f>
        <v>3</v>
      </c>
      <c r="K56" s="0" t="str">
        <f aca="false">INDEX(customer_churn_dataset!$V$2:$V$1501,MATCH($A57,customer_churn_dataset!$A$2:$A$1501,0))</f>
        <v>Medium Risk</v>
      </c>
    </row>
    <row r="57" customFormat="false" ht="12.8" hidden="true" customHeight="false" outlineLevel="0" collapsed="false">
      <c r="A57" s="22" t="str">
        <f aca="false">customer_churn_dataset!A524</f>
        <v>CUST100965</v>
      </c>
      <c r="B57" s="22" t="str">
        <f aca="false">customer_churn_dataset!B524</f>
        <v>Basic</v>
      </c>
      <c r="C57" s="22" t="str">
        <f aca="false">customer_churn_dataset!C524</f>
        <v>Month-to-month</v>
      </c>
      <c r="D57" s="0" t="n">
        <f aca="false">INDEX(customer_churn_dataset!$E$2:$E$1501,MATCH($A58,customer_churn_dataset!$A$2:$A$1501,0))</f>
        <v>8</v>
      </c>
      <c r="E57" s="0" t="n">
        <f aca="false">INDEX(customer_churn_dataset!$I$2:$I$1501,MATCH($A58,customer_churn_dataset!$A$2:$A$1501,0))</f>
        <v>65.1</v>
      </c>
      <c r="F57" s="0" t="n">
        <f aca="false">INDEX(customer_churn_dataset!$L$2:$L$1501,MATCH($A58,customer_churn_dataset!$A$2:$A$1501,0))</f>
        <v>3</v>
      </c>
      <c r="G57" s="0" t="str">
        <f aca="false">IF(INDEX(customer_churn_dataset!$M$2:$M$1501,MATCH($A58,customer_churn_dataset!$A$2:$A$1501,0))=1,"Yes","No")</f>
        <v>No</v>
      </c>
      <c r="H57" s="0" t="n">
        <f aca="false">INDEX(customer_churn_dataset!$N$2:$N$1501,MATCH($A58,customer_churn_dataset!$A$2:$A$1501,0))</f>
        <v>169.52</v>
      </c>
      <c r="I57" s="0" t="n">
        <f aca="false">INDEX(customer_churn_dataset!$O$2:$O$1501,MATCH($A58,customer_churn_dataset!$A$2:$A$1501,0))</f>
        <v>1</v>
      </c>
      <c r="J57" s="0" t="n">
        <f aca="false">INDEX(customer_churn_dataset!$T$2:$T$1501,MATCH($A58,customer_churn_dataset!$A$2:$A$1501,0))</f>
        <v>4</v>
      </c>
      <c r="K57" s="0" t="str">
        <f aca="false">INDEX(customer_churn_dataset!$V$2:$V$1501,MATCH($A58,customer_churn_dataset!$A$2:$A$1501,0))</f>
        <v>Medium Risk</v>
      </c>
    </row>
    <row r="58" customFormat="false" ht="12.8" hidden="true" customHeight="false" outlineLevel="0" collapsed="false">
      <c r="A58" s="22" t="str">
        <f aca="false">customer_churn_dataset!A532</f>
        <v>CUST100238</v>
      </c>
      <c r="B58" s="22" t="str">
        <f aca="false">customer_churn_dataset!B532</f>
        <v>Standard</v>
      </c>
      <c r="C58" s="22" t="str">
        <f aca="false">customer_churn_dataset!C532</f>
        <v>Month-to-month</v>
      </c>
      <c r="D58" s="0" t="n">
        <f aca="false">INDEX(customer_churn_dataset!$E$2:$E$1501,MATCH($A59,customer_churn_dataset!$A$2:$A$1501,0))</f>
        <v>2</v>
      </c>
      <c r="E58" s="0" t="n">
        <f aca="false">INDEX(customer_churn_dataset!$I$2:$I$1501,MATCH($A59,customer_churn_dataset!$A$2:$A$1501,0))</f>
        <v>46.7</v>
      </c>
      <c r="F58" s="0" t="n">
        <f aca="false">INDEX(customer_churn_dataset!$L$2:$L$1501,MATCH($A59,customer_churn_dataset!$A$2:$A$1501,0))</f>
        <v>3</v>
      </c>
      <c r="G58" s="0" t="str">
        <f aca="false">IF(INDEX(customer_churn_dataset!$M$2:$M$1501,MATCH($A59,customer_churn_dataset!$A$2:$A$1501,0))=1,"Yes","No")</f>
        <v>No</v>
      </c>
      <c r="H58" s="0" t="n">
        <f aca="false">INDEX(customer_churn_dataset!$N$2:$N$1501,MATCH($A59,customer_churn_dataset!$A$2:$A$1501,0))</f>
        <v>39.7</v>
      </c>
      <c r="I58" s="0" t="n">
        <f aca="false">INDEX(customer_churn_dataset!$O$2:$O$1501,MATCH($A59,customer_churn_dataset!$A$2:$A$1501,0))</f>
        <v>0</v>
      </c>
      <c r="J58" s="0" t="n">
        <f aca="false">INDEX(customer_churn_dataset!$T$2:$T$1501,MATCH($A59,customer_churn_dataset!$A$2:$A$1501,0))</f>
        <v>5</v>
      </c>
      <c r="K58" s="0" t="str">
        <f aca="false">INDEX(customer_churn_dataset!$V$2:$V$1501,MATCH($A59,customer_churn_dataset!$A$2:$A$1501,0))</f>
        <v>Medium Risk</v>
      </c>
    </row>
    <row r="59" customFormat="false" ht="12.8" hidden="true" customHeight="false" outlineLevel="0" collapsed="false">
      <c r="A59" s="22" t="str">
        <f aca="false">customer_churn_dataset!A537</f>
        <v>CUST100841</v>
      </c>
      <c r="B59" s="22" t="str">
        <f aca="false">customer_churn_dataset!B537</f>
        <v>Standard</v>
      </c>
      <c r="C59" s="22" t="str">
        <f aca="false">customer_churn_dataset!C537</f>
        <v>Month-to-month</v>
      </c>
      <c r="D59" s="0" t="n">
        <f aca="false">INDEX(customer_churn_dataset!$E$2:$E$1501,MATCH($A60,customer_churn_dataset!$A$2:$A$1501,0))</f>
        <v>34</v>
      </c>
      <c r="E59" s="0" t="n">
        <f aca="false">INDEX(customer_churn_dataset!$I$2:$I$1501,MATCH($A60,customer_churn_dataset!$A$2:$A$1501,0))</f>
        <v>38.9</v>
      </c>
      <c r="F59" s="0" t="n">
        <f aca="false">INDEX(customer_churn_dataset!$L$2:$L$1501,MATCH($A60,customer_churn_dataset!$A$2:$A$1501,0))</f>
        <v>2</v>
      </c>
      <c r="G59" s="0" t="str">
        <f aca="false">IF(INDEX(customer_churn_dataset!$M$2:$M$1501,MATCH($A60,customer_churn_dataset!$A$2:$A$1501,0))=1,"Yes","No")</f>
        <v>No</v>
      </c>
      <c r="H59" s="0" t="n">
        <f aca="false">INDEX(customer_churn_dataset!$N$2:$N$1501,MATCH($A60,customer_churn_dataset!$A$2:$A$1501,0))</f>
        <v>387.6</v>
      </c>
      <c r="I59" s="0" t="n">
        <f aca="false">INDEX(customer_churn_dataset!$O$2:$O$1501,MATCH($A60,customer_churn_dataset!$A$2:$A$1501,0))</f>
        <v>0</v>
      </c>
      <c r="J59" s="0" t="n">
        <f aca="false">INDEX(customer_churn_dataset!$T$2:$T$1501,MATCH($A60,customer_churn_dataset!$A$2:$A$1501,0))</f>
        <v>3</v>
      </c>
      <c r="K59" s="0" t="str">
        <f aca="false">INDEX(customer_churn_dataset!$V$2:$V$1501,MATCH($A60,customer_churn_dataset!$A$2:$A$1501,0))</f>
        <v>Medium Risk</v>
      </c>
    </row>
    <row r="60" customFormat="false" ht="12.8" hidden="true" customHeight="false" outlineLevel="0" collapsed="false">
      <c r="A60" s="22" t="str">
        <f aca="false">customer_churn_dataset!A548</f>
        <v>CUST100667</v>
      </c>
      <c r="B60" s="22" t="str">
        <f aca="false">customer_churn_dataset!B548</f>
        <v>Basic</v>
      </c>
      <c r="C60" s="22" t="str">
        <f aca="false">customer_churn_dataset!C548</f>
        <v>Two year</v>
      </c>
      <c r="D60" s="0" t="n">
        <f aca="false">INDEX(customer_churn_dataset!$E$2:$E$1501,MATCH($A61,customer_churn_dataset!$A$2:$A$1501,0))</f>
        <v>3</v>
      </c>
      <c r="E60" s="0" t="n">
        <f aca="false">INDEX(customer_churn_dataset!$I$2:$I$1501,MATCH($A61,customer_churn_dataset!$A$2:$A$1501,0))</f>
        <v>30.8</v>
      </c>
      <c r="F60" s="0" t="n">
        <f aca="false">INDEX(customer_churn_dataset!$L$2:$L$1501,MATCH($A61,customer_churn_dataset!$A$2:$A$1501,0))</f>
        <v>0</v>
      </c>
      <c r="G60" s="0" t="str">
        <f aca="false">IF(INDEX(customer_churn_dataset!$M$2:$M$1501,MATCH($A61,customer_churn_dataset!$A$2:$A$1501,0))=1,"Yes","No")</f>
        <v>No</v>
      </c>
      <c r="H60" s="0" t="n">
        <f aca="false">INDEX(customer_churn_dataset!$N$2:$N$1501,MATCH($A61,customer_churn_dataset!$A$2:$A$1501,0))</f>
        <v>56.31</v>
      </c>
      <c r="I60" s="0" t="n">
        <f aca="false">INDEX(customer_churn_dataset!$O$2:$O$1501,MATCH($A61,customer_churn_dataset!$A$2:$A$1501,0))</f>
        <v>1</v>
      </c>
      <c r="J60" s="0" t="n">
        <f aca="false">INDEX(customer_churn_dataset!$T$2:$T$1501,MATCH($A61,customer_churn_dataset!$A$2:$A$1501,0))</f>
        <v>5</v>
      </c>
      <c r="K60" s="0" t="str">
        <f aca="false">INDEX(customer_churn_dataset!$V$2:$V$1501,MATCH($A61,customer_churn_dataset!$A$2:$A$1501,0))</f>
        <v>Medium Risk</v>
      </c>
    </row>
    <row r="61" customFormat="false" ht="12.8" hidden="true" customHeight="false" outlineLevel="0" collapsed="false">
      <c r="A61" s="22" t="str">
        <f aca="false">customer_churn_dataset!A552</f>
        <v>CUST100301</v>
      </c>
      <c r="B61" s="22" t="str">
        <f aca="false">customer_churn_dataset!B552</f>
        <v>Standard</v>
      </c>
      <c r="C61" s="22" t="str">
        <f aca="false">customer_churn_dataset!C552</f>
        <v>Month-to-month</v>
      </c>
      <c r="D61" s="0" t="n">
        <f aca="false">INDEX(customer_churn_dataset!$E$2:$E$1501,MATCH($A62,customer_churn_dataset!$A$2:$A$1501,0))</f>
        <v>13</v>
      </c>
      <c r="E61" s="0" t="n">
        <f aca="false">INDEX(customer_churn_dataset!$I$2:$I$1501,MATCH($A62,customer_churn_dataset!$A$2:$A$1501,0))</f>
        <v>59</v>
      </c>
      <c r="F61" s="0" t="n">
        <f aca="false">INDEX(customer_churn_dataset!$L$2:$L$1501,MATCH($A62,customer_churn_dataset!$A$2:$A$1501,0))</f>
        <v>2</v>
      </c>
      <c r="G61" s="0" t="str">
        <f aca="false">IF(INDEX(customer_churn_dataset!$M$2:$M$1501,MATCH($A62,customer_churn_dataset!$A$2:$A$1501,0))=1,"Yes","No")</f>
        <v>No</v>
      </c>
      <c r="H61" s="0" t="n">
        <f aca="false">INDEX(customer_churn_dataset!$N$2:$N$1501,MATCH($A62,customer_churn_dataset!$A$2:$A$1501,0))</f>
        <v>126.62</v>
      </c>
      <c r="I61" s="0" t="n">
        <f aca="false">INDEX(customer_churn_dataset!$O$2:$O$1501,MATCH($A62,customer_churn_dataset!$A$2:$A$1501,0))</f>
        <v>0</v>
      </c>
      <c r="J61" s="0" t="n">
        <f aca="false">INDEX(customer_churn_dataset!$T$2:$T$1501,MATCH($A62,customer_churn_dataset!$A$2:$A$1501,0))</f>
        <v>2</v>
      </c>
      <c r="K61" s="0" t="str">
        <f aca="false">INDEX(customer_churn_dataset!$V$2:$V$1501,MATCH($A62,customer_churn_dataset!$A$2:$A$1501,0))</f>
        <v>Low Risk</v>
      </c>
    </row>
    <row r="62" customFormat="false" ht="12.8" hidden="true" customHeight="false" outlineLevel="0" collapsed="false">
      <c r="A62" s="22" t="str">
        <f aca="false">customer_churn_dataset!A572</f>
        <v>CUST100449</v>
      </c>
      <c r="B62" s="22" t="str">
        <f aca="false">customer_churn_dataset!B572</f>
        <v>Basic</v>
      </c>
      <c r="C62" s="22" t="str">
        <f aca="false">customer_churn_dataset!C572</f>
        <v>One year</v>
      </c>
      <c r="D62" s="0" t="n">
        <f aca="false">INDEX(customer_churn_dataset!$E$2:$E$1501,MATCH($A63,customer_churn_dataset!$A$2:$A$1501,0))</f>
        <v>4</v>
      </c>
      <c r="E62" s="0" t="n">
        <f aca="false">INDEX(customer_churn_dataset!$I$2:$I$1501,MATCH($A63,customer_churn_dataset!$A$2:$A$1501,0))</f>
        <v>65.1</v>
      </c>
      <c r="F62" s="0" t="n">
        <f aca="false">INDEX(customer_churn_dataset!$L$2:$L$1501,MATCH($A63,customer_churn_dataset!$A$2:$A$1501,0))</f>
        <v>2</v>
      </c>
      <c r="G62" s="0" t="str">
        <f aca="false">IF(INDEX(customer_churn_dataset!$M$2:$M$1501,MATCH($A63,customer_churn_dataset!$A$2:$A$1501,0))=1,"Yes","No")</f>
        <v>No</v>
      </c>
      <c r="H62" s="0" t="n">
        <f aca="false">INDEX(customer_churn_dataset!$N$2:$N$1501,MATCH($A63,customer_churn_dataset!$A$2:$A$1501,0))</f>
        <v>72</v>
      </c>
      <c r="I62" s="0" t="n">
        <f aca="false">INDEX(customer_churn_dataset!$O$2:$O$1501,MATCH($A63,customer_churn_dataset!$A$2:$A$1501,0))</f>
        <v>0</v>
      </c>
      <c r="J62" s="0" t="n">
        <f aca="false">INDEX(customer_churn_dataset!$T$2:$T$1501,MATCH($A63,customer_churn_dataset!$A$2:$A$1501,0))</f>
        <v>3</v>
      </c>
      <c r="K62" s="0" t="str">
        <f aca="false">INDEX(customer_churn_dataset!$V$2:$V$1501,MATCH($A63,customer_churn_dataset!$A$2:$A$1501,0))</f>
        <v>Medium Risk</v>
      </c>
    </row>
    <row r="63" customFormat="false" ht="12.8" hidden="true" customHeight="false" outlineLevel="0" collapsed="false">
      <c r="A63" s="22" t="str">
        <f aca="false">customer_churn_dataset!A580</f>
        <v>CUST100092</v>
      </c>
      <c r="B63" s="22" t="str">
        <f aca="false">customer_churn_dataset!B580</f>
        <v>Standard</v>
      </c>
      <c r="C63" s="22" t="str">
        <f aca="false">customer_churn_dataset!C580</f>
        <v>One year</v>
      </c>
      <c r="D63" s="0" t="n">
        <f aca="false">INDEX(customer_churn_dataset!$E$2:$E$1501,MATCH($A64,customer_churn_dataset!$A$2:$A$1501,0))</f>
        <v>39</v>
      </c>
      <c r="E63" s="0" t="n">
        <f aca="false">INDEX(customer_churn_dataset!$I$2:$I$1501,MATCH($A64,customer_churn_dataset!$A$2:$A$1501,0))</f>
        <v>55.4</v>
      </c>
      <c r="F63" s="0" t="n">
        <f aca="false">INDEX(customer_churn_dataset!$L$2:$L$1501,MATCH($A64,customer_churn_dataset!$A$2:$A$1501,0))</f>
        <v>0</v>
      </c>
      <c r="G63" s="0" t="str">
        <f aca="false">IF(INDEX(customer_churn_dataset!$M$2:$M$1501,MATCH($A64,customer_churn_dataset!$A$2:$A$1501,0))=1,"Yes","No")</f>
        <v>No</v>
      </c>
      <c r="H63" s="0" t="n">
        <f aca="false">INDEX(customer_churn_dataset!$N$2:$N$1501,MATCH($A64,customer_churn_dataset!$A$2:$A$1501,0))</f>
        <v>379.08</v>
      </c>
      <c r="I63" s="0" t="n">
        <f aca="false">INDEX(customer_churn_dataset!$O$2:$O$1501,MATCH($A64,customer_churn_dataset!$A$2:$A$1501,0))</f>
        <v>0</v>
      </c>
      <c r="J63" s="0" t="n">
        <f aca="false">INDEX(customer_churn_dataset!$T$2:$T$1501,MATCH($A64,customer_churn_dataset!$A$2:$A$1501,0))</f>
        <v>2</v>
      </c>
      <c r="K63" s="0" t="str">
        <f aca="false">INDEX(customer_churn_dataset!$V$2:$V$1501,MATCH($A64,customer_churn_dataset!$A$2:$A$1501,0))</f>
        <v>Low Risk</v>
      </c>
    </row>
    <row r="64" customFormat="false" ht="12.8" hidden="true" customHeight="false" outlineLevel="0" collapsed="false">
      <c r="A64" s="22" t="str">
        <f aca="false">customer_churn_dataset!A588</f>
        <v>CUST100654</v>
      </c>
      <c r="B64" s="22" t="str">
        <f aca="false">customer_churn_dataset!B588</f>
        <v>Basic</v>
      </c>
      <c r="C64" s="22" t="str">
        <f aca="false">customer_churn_dataset!C588</f>
        <v>Month-to-month</v>
      </c>
      <c r="D64" s="0" t="n">
        <f aca="false">INDEX(customer_churn_dataset!$E$2:$E$1501,MATCH($A65,customer_churn_dataset!$A$2:$A$1501,0))</f>
        <v>44</v>
      </c>
      <c r="E64" s="0" t="n">
        <f aca="false">INDEX(customer_churn_dataset!$I$2:$I$1501,MATCH($A65,customer_churn_dataset!$A$2:$A$1501,0))</f>
        <v>66</v>
      </c>
      <c r="F64" s="0" t="n">
        <f aca="false">INDEX(customer_churn_dataset!$L$2:$L$1501,MATCH($A65,customer_churn_dataset!$A$2:$A$1501,0))</f>
        <v>3</v>
      </c>
      <c r="G64" s="0" t="str">
        <f aca="false">IF(INDEX(customer_churn_dataset!$M$2:$M$1501,MATCH($A65,customer_churn_dataset!$A$2:$A$1501,0))=1,"Yes","No")</f>
        <v>No</v>
      </c>
      <c r="H64" s="0" t="n">
        <f aca="false">INDEX(customer_churn_dataset!$N$2:$N$1501,MATCH($A65,customer_churn_dataset!$A$2:$A$1501,0))</f>
        <v>389.4</v>
      </c>
      <c r="I64" s="0" t="n">
        <f aca="false">INDEX(customer_churn_dataset!$O$2:$O$1501,MATCH($A65,customer_churn_dataset!$A$2:$A$1501,0))</f>
        <v>0</v>
      </c>
      <c r="J64" s="0" t="n">
        <f aca="false">INDEX(customer_churn_dataset!$T$2:$T$1501,MATCH($A65,customer_churn_dataset!$A$2:$A$1501,0))</f>
        <v>3</v>
      </c>
      <c r="K64" s="0" t="str">
        <f aca="false">INDEX(customer_churn_dataset!$V$2:$V$1501,MATCH($A65,customer_churn_dataset!$A$2:$A$1501,0))</f>
        <v>Medium Risk</v>
      </c>
    </row>
    <row r="65" customFormat="false" ht="12.8" hidden="true" customHeight="false" outlineLevel="0" collapsed="false">
      <c r="A65" s="22" t="str">
        <f aca="false">customer_churn_dataset!A592</f>
        <v>CUST100676</v>
      </c>
      <c r="B65" s="22" t="str">
        <f aca="false">customer_churn_dataset!B592</f>
        <v>Basic</v>
      </c>
      <c r="C65" s="22" t="str">
        <f aca="false">customer_churn_dataset!C592</f>
        <v>Month-to-month</v>
      </c>
      <c r="D65" s="0" t="n">
        <f aca="false">INDEX(customer_churn_dataset!$E$2:$E$1501,MATCH($A66,customer_churn_dataset!$A$2:$A$1501,0))</f>
        <v>72</v>
      </c>
      <c r="E65" s="0" t="n">
        <f aca="false">INDEX(customer_churn_dataset!$I$2:$I$1501,MATCH($A66,customer_churn_dataset!$A$2:$A$1501,0))</f>
        <v>19.4</v>
      </c>
      <c r="F65" s="0" t="n">
        <f aca="false">INDEX(customer_churn_dataset!$L$2:$L$1501,MATCH($A66,customer_churn_dataset!$A$2:$A$1501,0))</f>
        <v>2</v>
      </c>
      <c r="G65" s="0" t="str">
        <f aca="false">IF(INDEX(customer_churn_dataset!$M$2:$M$1501,MATCH($A66,customer_churn_dataset!$A$2:$A$1501,0))=1,"Yes","No")</f>
        <v>No</v>
      </c>
      <c r="H65" s="0" t="n">
        <f aca="false">INDEX(customer_churn_dataset!$N$2:$N$1501,MATCH($A66,customer_churn_dataset!$A$2:$A$1501,0))</f>
        <v>1559.52</v>
      </c>
      <c r="I65" s="0" t="n">
        <f aca="false">INDEX(customer_churn_dataset!$O$2:$O$1501,MATCH($A66,customer_churn_dataset!$A$2:$A$1501,0))</f>
        <v>0</v>
      </c>
      <c r="J65" s="0" t="n">
        <f aca="false">INDEX(customer_churn_dataset!$T$2:$T$1501,MATCH($A66,customer_churn_dataset!$A$2:$A$1501,0))</f>
        <v>5</v>
      </c>
      <c r="K65" s="0" t="str">
        <f aca="false">INDEX(customer_churn_dataset!$V$2:$V$1501,MATCH($A66,customer_churn_dataset!$A$2:$A$1501,0))</f>
        <v>Medium Risk</v>
      </c>
    </row>
    <row r="66" customFormat="false" ht="12.8" hidden="true" customHeight="false" outlineLevel="0" collapsed="false">
      <c r="A66" s="22" t="str">
        <f aca="false">customer_churn_dataset!A595</f>
        <v>CUST101244</v>
      </c>
      <c r="B66" s="22" t="str">
        <f aca="false">customer_churn_dataset!B595</f>
        <v>Standard</v>
      </c>
      <c r="C66" s="22" t="str">
        <f aca="false">customer_churn_dataset!C595</f>
        <v>Month-to-month</v>
      </c>
      <c r="D66" s="0" t="n">
        <f aca="false">INDEX(customer_churn_dataset!$E$2:$E$1501,MATCH($A67,customer_churn_dataset!$A$2:$A$1501,0))</f>
        <v>6</v>
      </c>
      <c r="E66" s="0" t="n">
        <f aca="false">INDEX(customer_churn_dataset!$I$2:$I$1501,MATCH($A67,customer_churn_dataset!$A$2:$A$1501,0))</f>
        <v>46.3</v>
      </c>
      <c r="F66" s="0" t="n">
        <f aca="false">INDEX(customer_churn_dataset!$L$2:$L$1501,MATCH($A67,customer_churn_dataset!$A$2:$A$1501,0))</f>
        <v>2</v>
      </c>
      <c r="G66" s="0" t="str">
        <f aca="false">IF(INDEX(customer_churn_dataset!$M$2:$M$1501,MATCH($A67,customer_churn_dataset!$A$2:$A$1501,0))=1,"Yes","No")</f>
        <v>Yes</v>
      </c>
      <c r="H66" s="0" t="n">
        <f aca="false">INDEX(customer_churn_dataset!$N$2:$N$1501,MATCH($A67,customer_churn_dataset!$A$2:$A$1501,0))</f>
        <v>239.94</v>
      </c>
      <c r="I66" s="0" t="n">
        <f aca="false">INDEX(customer_churn_dataset!$O$2:$O$1501,MATCH($A67,customer_churn_dataset!$A$2:$A$1501,0))</f>
        <v>0</v>
      </c>
      <c r="J66" s="0" t="n">
        <f aca="false">INDEX(customer_churn_dataset!$T$2:$T$1501,MATCH($A67,customer_churn_dataset!$A$2:$A$1501,0))</f>
        <v>6</v>
      </c>
      <c r="K66" s="0" t="str">
        <f aca="false">INDEX(customer_churn_dataset!$V$2:$V$1501,MATCH($A67,customer_churn_dataset!$A$2:$A$1501,0))</f>
        <v>High Risk</v>
      </c>
    </row>
    <row r="67" customFormat="false" ht="12.8" hidden="true" customHeight="false" outlineLevel="0" collapsed="false">
      <c r="A67" s="22" t="str">
        <f aca="false">customer_churn_dataset!A602</f>
        <v>CUST100920</v>
      </c>
      <c r="B67" s="22" t="str">
        <f aca="false">customer_churn_dataset!B602</f>
        <v>Premium</v>
      </c>
      <c r="C67" s="22" t="str">
        <f aca="false">customer_churn_dataset!C602</f>
        <v>Two year</v>
      </c>
      <c r="D67" s="0" t="n">
        <f aca="false">INDEX(customer_churn_dataset!$E$2:$E$1501,MATCH($A68,customer_churn_dataset!$A$2:$A$1501,0))</f>
        <v>22</v>
      </c>
      <c r="E67" s="0" t="n">
        <f aca="false">INDEX(customer_churn_dataset!$I$2:$I$1501,MATCH($A68,customer_churn_dataset!$A$2:$A$1501,0))</f>
        <v>33.3</v>
      </c>
      <c r="F67" s="0" t="n">
        <f aca="false">INDEX(customer_churn_dataset!$L$2:$L$1501,MATCH($A68,customer_churn_dataset!$A$2:$A$1501,0))</f>
        <v>0</v>
      </c>
      <c r="G67" s="0" t="str">
        <f aca="false">IF(INDEX(customer_churn_dataset!$M$2:$M$1501,MATCH($A68,customer_churn_dataset!$A$2:$A$1501,0))=1,"Yes","No")</f>
        <v>No</v>
      </c>
      <c r="H67" s="0" t="n">
        <f aca="false">INDEX(customer_churn_dataset!$N$2:$N$1501,MATCH($A68,customer_churn_dataset!$A$2:$A$1501,0))</f>
        <v>890.12</v>
      </c>
      <c r="I67" s="0" t="n">
        <f aca="false">INDEX(customer_churn_dataset!$O$2:$O$1501,MATCH($A68,customer_churn_dataset!$A$2:$A$1501,0))</f>
        <v>0</v>
      </c>
      <c r="J67" s="0" t="n">
        <f aca="false">INDEX(customer_churn_dataset!$T$2:$T$1501,MATCH($A68,customer_churn_dataset!$A$2:$A$1501,0))</f>
        <v>4</v>
      </c>
      <c r="K67" s="0" t="str">
        <f aca="false">INDEX(customer_churn_dataset!$V$2:$V$1501,MATCH($A68,customer_churn_dataset!$A$2:$A$1501,0))</f>
        <v>Medium Risk</v>
      </c>
    </row>
    <row r="68" customFormat="false" ht="12.8" hidden="true" customHeight="false" outlineLevel="0" collapsed="false">
      <c r="A68" s="22" t="str">
        <f aca="false">customer_churn_dataset!A604</f>
        <v>CUST101370</v>
      </c>
      <c r="B68" s="22" t="str">
        <f aca="false">customer_churn_dataset!B604</f>
        <v>Premium</v>
      </c>
      <c r="C68" s="22" t="str">
        <f aca="false">customer_churn_dataset!C604</f>
        <v>Month-to-month</v>
      </c>
      <c r="D68" s="0" t="n">
        <f aca="false">INDEX(customer_churn_dataset!$E$2:$E$1501,MATCH($A69,customer_churn_dataset!$A$2:$A$1501,0))</f>
        <v>12</v>
      </c>
      <c r="E68" s="0" t="n">
        <f aca="false">INDEX(customer_churn_dataset!$I$2:$I$1501,MATCH($A69,customer_churn_dataset!$A$2:$A$1501,0))</f>
        <v>71.9</v>
      </c>
      <c r="F68" s="0" t="n">
        <f aca="false">INDEX(customer_churn_dataset!$L$2:$L$1501,MATCH($A69,customer_churn_dataset!$A$2:$A$1501,0))</f>
        <v>7</v>
      </c>
      <c r="G68" s="0" t="str">
        <f aca="false">IF(INDEX(customer_churn_dataset!$M$2:$M$1501,MATCH($A69,customer_churn_dataset!$A$2:$A$1501,0))=1,"Yes","No")</f>
        <v>No</v>
      </c>
      <c r="H68" s="0" t="n">
        <f aca="false">INDEX(customer_churn_dataset!$N$2:$N$1501,MATCH($A69,customer_churn_dataset!$A$2:$A$1501,0))</f>
        <v>223.44</v>
      </c>
      <c r="I68" s="0" t="n">
        <f aca="false">INDEX(customer_churn_dataset!$O$2:$O$1501,MATCH($A69,customer_churn_dataset!$A$2:$A$1501,0))</f>
        <v>1</v>
      </c>
      <c r="J68" s="0" t="n">
        <f aca="false">INDEX(customer_churn_dataset!$T$2:$T$1501,MATCH($A69,customer_churn_dataset!$A$2:$A$1501,0))</f>
        <v>3</v>
      </c>
      <c r="K68" s="0" t="str">
        <f aca="false">INDEX(customer_churn_dataset!$V$2:$V$1501,MATCH($A69,customer_churn_dataset!$A$2:$A$1501,0))</f>
        <v>Medium Risk</v>
      </c>
    </row>
    <row r="69" customFormat="false" ht="12.8" hidden="true" customHeight="false" outlineLevel="0" collapsed="false">
      <c r="A69" s="22" t="str">
        <f aca="false">customer_churn_dataset!A608</f>
        <v>CUST100188</v>
      </c>
      <c r="B69" s="22" t="str">
        <f aca="false">customer_churn_dataset!B608</f>
        <v>Standard</v>
      </c>
      <c r="C69" s="22" t="str">
        <f aca="false">customer_churn_dataset!C608</f>
        <v>Month-to-month</v>
      </c>
      <c r="D69" s="0" t="n">
        <f aca="false">INDEX(customer_churn_dataset!$E$2:$E$1501,MATCH($A70,customer_churn_dataset!$A$2:$A$1501,0))</f>
        <v>8</v>
      </c>
      <c r="E69" s="0" t="n">
        <f aca="false">INDEX(customer_churn_dataset!$I$2:$I$1501,MATCH($A70,customer_churn_dataset!$A$2:$A$1501,0))</f>
        <v>52.5</v>
      </c>
      <c r="F69" s="0" t="n">
        <f aca="false">INDEX(customer_churn_dataset!$L$2:$L$1501,MATCH($A70,customer_churn_dataset!$A$2:$A$1501,0))</f>
        <v>1</v>
      </c>
      <c r="G69" s="0" t="str">
        <f aca="false">IF(INDEX(customer_churn_dataset!$M$2:$M$1501,MATCH($A70,customer_churn_dataset!$A$2:$A$1501,0))=1,"Yes","No")</f>
        <v>Yes</v>
      </c>
      <c r="H69" s="0" t="n">
        <f aca="false">INDEX(customer_churn_dataset!$N$2:$N$1501,MATCH($A70,customer_churn_dataset!$A$2:$A$1501,0))</f>
        <v>153.2</v>
      </c>
      <c r="I69" s="0" t="n">
        <f aca="false">INDEX(customer_churn_dataset!$O$2:$O$1501,MATCH($A70,customer_churn_dataset!$A$2:$A$1501,0))</f>
        <v>0</v>
      </c>
      <c r="J69" s="0" t="n">
        <f aca="false">INDEX(customer_churn_dataset!$T$2:$T$1501,MATCH($A70,customer_churn_dataset!$A$2:$A$1501,0))</f>
        <v>7</v>
      </c>
      <c r="K69" s="0" t="str">
        <f aca="false">INDEX(customer_churn_dataset!$V$2:$V$1501,MATCH($A70,customer_churn_dataset!$A$2:$A$1501,0))</f>
        <v>High Risk</v>
      </c>
    </row>
    <row r="70" customFormat="false" ht="12.8" hidden="true" customHeight="false" outlineLevel="0" collapsed="false">
      <c r="A70" s="22" t="str">
        <f aca="false">customer_churn_dataset!A611</f>
        <v>CUST100605</v>
      </c>
      <c r="B70" s="22" t="str">
        <f aca="false">customer_churn_dataset!B611</f>
        <v>Standard</v>
      </c>
      <c r="C70" s="22" t="str">
        <f aca="false">customer_churn_dataset!C611</f>
        <v>Month-to-month</v>
      </c>
      <c r="D70" s="0" t="n">
        <f aca="false">INDEX(customer_churn_dataset!$E$2:$E$1501,MATCH($A71,customer_churn_dataset!$A$2:$A$1501,0))</f>
        <v>12</v>
      </c>
      <c r="E70" s="0" t="n">
        <f aca="false">INDEX(customer_churn_dataset!$I$2:$I$1501,MATCH($A71,customer_churn_dataset!$A$2:$A$1501,0))</f>
        <v>46.7</v>
      </c>
      <c r="F70" s="0" t="n">
        <f aca="false">INDEX(customer_churn_dataset!$L$2:$L$1501,MATCH($A71,customer_churn_dataset!$A$2:$A$1501,0))</f>
        <v>2</v>
      </c>
      <c r="G70" s="0" t="str">
        <f aca="false">IF(INDEX(customer_churn_dataset!$M$2:$M$1501,MATCH($A71,customer_churn_dataset!$A$2:$A$1501,0))=1,"Yes","No")</f>
        <v>Yes</v>
      </c>
      <c r="H70" s="0" t="n">
        <f aca="false">INDEX(customer_churn_dataset!$N$2:$N$1501,MATCH($A71,customer_churn_dataset!$A$2:$A$1501,0))</f>
        <v>467.88</v>
      </c>
      <c r="I70" s="0" t="n">
        <f aca="false">INDEX(customer_churn_dataset!$O$2:$O$1501,MATCH($A71,customer_churn_dataset!$A$2:$A$1501,0))</f>
        <v>1</v>
      </c>
      <c r="J70" s="0" t="n">
        <f aca="false">INDEX(customer_churn_dataset!$T$2:$T$1501,MATCH($A71,customer_churn_dataset!$A$2:$A$1501,0))</f>
        <v>7</v>
      </c>
      <c r="K70" s="0" t="str">
        <f aca="false">INDEX(customer_churn_dataset!$V$2:$V$1501,MATCH($A71,customer_churn_dataset!$A$2:$A$1501,0))</f>
        <v>High Risk</v>
      </c>
    </row>
    <row r="71" customFormat="false" ht="12.8" hidden="true" customHeight="false" outlineLevel="0" collapsed="false">
      <c r="A71" s="22" t="str">
        <f aca="false">customer_churn_dataset!A615</f>
        <v>CUST100506</v>
      </c>
      <c r="B71" s="22" t="str">
        <f aca="false">customer_churn_dataset!B615</f>
        <v>Premium</v>
      </c>
      <c r="C71" s="22" t="str">
        <f aca="false">customer_churn_dataset!C615</f>
        <v>Month-to-month</v>
      </c>
      <c r="D71" s="0" t="n">
        <f aca="false">INDEX(customer_churn_dataset!$E$2:$E$1501,MATCH($A72,customer_churn_dataset!$A$2:$A$1501,0))</f>
        <v>13</v>
      </c>
      <c r="E71" s="0" t="n">
        <f aca="false">INDEX(customer_churn_dataset!$I$2:$I$1501,MATCH($A72,customer_churn_dataset!$A$2:$A$1501,0))</f>
        <v>69.3</v>
      </c>
      <c r="F71" s="0" t="n">
        <f aca="false">INDEX(customer_churn_dataset!$L$2:$L$1501,MATCH($A72,customer_churn_dataset!$A$2:$A$1501,0))</f>
        <v>1</v>
      </c>
      <c r="G71" s="0" t="str">
        <f aca="false">IF(INDEX(customer_churn_dataset!$M$2:$M$1501,MATCH($A72,customer_churn_dataset!$A$2:$A$1501,0))=1,"Yes","No")</f>
        <v>Yes</v>
      </c>
      <c r="H71" s="0" t="n">
        <f aca="false">INDEX(customer_churn_dataset!$N$2:$N$1501,MATCH($A72,customer_churn_dataset!$A$2:$A$1501,0))</f>
        <v>258.83</v>
      </c>
      <c r="I71" s="0" t="n">
        <f aca="false">INDEX(customer_churn_dataset!$O$2:$O$1501,MATCH($A72,customer_churn_dataset!$A$2:$A$1501,0))</f>
        <v>0</v>
      </c>
      <c r="J71" s="0" t="n">
        <f aca="false">INDEX(customer_churn_dataset!$T$2:$T$1501,MATCH($A72,customer_churn_dataset!$A$2:$A$1501,0))</f>
        <v>4</v>
      </c>
      <c r="K71" s="0" t="str">
        <f aca="false">INDEX(customer_churn_dataset!$V$2:$V$1501,MATCH($A72,customer_churn_dataset!$A$2:$A$1501,0))</f>
        <v>Medium Risk</v>
      </c>
    </row>
    <row r="72" customFormat="false" ht="12.8" hidden="true" customHeight="false" outlineLevel="0" collapsed="false">
      <c r="A72" s="22" t="str">
        <f aca="false">customer_churn_dataset!A619</f>
        <v>CUST100482</v>
      </c>
      <c r="B72" s="22" t="str">
        <f aca="false">customer_churn_dataset!B619</f>
        <v>Standard</v>
      </c>
      <c r="C72" s="22" t="str">
        <f aca="false">customer_churn_dataset!C619</f>
        <v>One year</v>
      </c>
      <c r="D72" s="0" t="n">
        <f aca="false">INDEX(customer_churn_dataset!$E$2:$E$1501,MATCH($A73,customer_churn_dataset!$A$2:$A$1501,0))</f>
        <v>6</v>
      </c>
      <c r="E72" s="0" t="n">
        <f aca="false">INDEX(customer_churn_dataset!$I$2:$I$1501,MATCH($A73,customer_churn_dataset!$A$2:$A$1501,0))</f>
        <v>57.1</v>
      </c>
      <c r="F72" s="0" t="n">
        <f aca="false">INDEX(customer_churn_dataset!$L$2:$L$1501,MATCH($A73,customer_churn_dataset!$A$2:$A$1501,0))</f>
        <v>1</v>
      </c>
      <c r="G72" s="0" t="str">
        <f aca="false">IF(INDEX(customer_churn_dataset!$M$2:$M$1501,MATCH($A73,customer_churn_dataset!$A$2:$A$1501,0))=1,"Yes","No")</f>
        <v>Yes</v>
      </c>
      <c r="H72" s="0" t="n">
        <f aca="false">INDEX(customer_churn_dataset!$N$2:$N$1501,MATCH($A73,customer_churn_dataset!$A$2:$A$1501,0))</f>
        <v>62.28</v>
      </c>
      <c r="I72" s="0" t="n">
        <f aca="false">INDEX(customer_churn_dataset!$O$2:$O$1501,MATCH($A73,customer_churn_dataset!$A$2:$A$1501,0))</f>
        <v>0</v>
      </c>
      <c r="J72" s="0" t="n">
        <f aca="false">INDEX(customer_churn_dataset!$T$2:$T$1501,MATCH($A73,customer_churn_dataset!$A$2:$A$1501,0))</f>
        <v>5</v>
      </c>
      <c r="K72" s="0" t="str">
        <f aca="false">INDEX(customer_churn_dataset!$V$2:$V$1501,MATCH($A73,customer_churn_dataset!$A$2:$A$1501,0))</f>
        <v>Medium Risk</v>
      </c>
    </row>
    <row r="73" customFormat="false" ht="12.8" hidden="true" customHeight="false" outlineLevel="0" collapsed="false">
      <c r="A73" s="22" t="str">
        <f aca="false">customer_churn_dataset!A627</f>
        <v>CUST100902</v>
      </c>
      <c r="B73" s="22" t="str">
        <f aca="false">customer_churn_dataset!B627</f>
        <v>Basic</v>
      </c>
      <c r="C73" s="22" t="str">
        <f aca="false">customer_churn_dataset!C627</f>
        <v>One year</v>
      </c>
      <c r="D73" s="0" t="n">
        <f aca="false">INDEX(customer_churn_dataset!$E$2:$E$1501,MATCH($A74,customer_churn_dataset!$A$2:$A$1501,0))</f>
        <v>35</v>
      </c>
      <c r="E73" s="0" t="n">
        <f aca="false">INDEX(customer_churn_dataset!$I$2:$I$1501,MATCH($A74,customer_churn_dataset!$A$2:$A$1501,0))</f>
        <v>42.7</v>
      </c>
      <c r="F73" s="0" t="n">
        <f aca="false">INDEX(customer_churn_dataset!$L$2:$L$1501,MATCH($A74,customer_churn_dataset!$A$2:$A$1501,0))</f>
        <v>3</v>
      </c>
      <c r="G73" s="0" t="str">
        <f aca="false">IF(INDEX(customer_churn_dataset!$M$2:$M$1501,MATCH($A74,customer_churn_dataset!$A$2:$A$1501,0))=1,"Yes","No")</f>
        <v>No</v>
      </c>
      <c r="H73" s="0" t="n">
        <f aca="false">INDEX(customer_churn_dataset!$N$2:$N$1501,MATCH($A74,customer_churn_dataset!$A$2:$A$1501,0))</f>
        <v>363.3</v>
      </c>
      <c r="I73" s="0" t="n">
        <f aca="false">INDEX(customer_churn_dataset!$O$2:$O$1501,MATCH($A74,customer_churn_dataset!$A$2:$A$1501,0))</f>
        <v>0</v>
      </c>
      <c r="J73" s="0" t="n">
        <f aca="false">INDEX(customer_churn_dataset!$T$2:$T$1501,MATCH($A74,customer_churn_dataset!$A$2:$A$1501,0))</f>
        <v>2</v>
      </c>
      <c r="K73" s="0" t="str">
        <f aca="false">INDEX(customer_churn_dataset!$V$2:$V$1501,MATCH($A74,customer_churn_dataset!$A$2:$A$1501,0))</f>
        <v>Low Risk</v>
      </c>
    </row>
    <row r="74" customFormat="false" ht="12.8" hidden="false" customHeight="false" outlineLevel="0" collapsed="false">
      <c r="A74" s="23" t="str">
        <f aca="false">customer_churn_dataset!A636</f>
        <v>CUST101258</v>
      </c>
      <c r="B74" s="24" t="str">
        <f aca="false">customer_churn_dataset!B636</f>
        <v>Basic</v>
      </c>
      <c r="C74" s="24" t="str">
        <f aca="false">customer_churn_dataset!C636</f>
        <v>Two year</v>
      </c>
      <c r="D74" s="25" t="n">
        <f aca="false">INDEX(customer_churn_dataset!$E$2:$E$1501,MATCH($A75,customer_churn_dataset!$A$2:$A$1501,0))</f>
        <v>16</v>
      </c>
      <c r="E74" s="25" t="n">
        <f aca="false">INDEX(customer_churn_dataset!$I$2:$I$1501,MATCH($A75,customer_churn_dataset!$A$2:$A$1501,0))</f>
        <v>25</v>
      </c>
      <c r="F74" s="25" t="n">
        <f aca="false">INDEX(customer_churn_dataset!$L$2:$L$1501,MATCH($A75,customer_churn_dataset!$A$2:$A$1501,0))</f>
        <v>5</v>
      </c>
      <c r="G74" s="25" t="str">
        <f aca="false">IF(INDEX(customer_churn_dataset!$M$2:$M$1501,MATCH($A75,customer_churn_dataset!$A$2:$A$1501,0))=1,"Yes","No")</f>
        <v>Yes</v>
      </c>
      <c r="H74" s="25" t="n">
        <f aca="false">INDEX(customer_churn_dataset!$N$2:$N$1501,MATCH($A75,customer_churn_dataset!$A$2:$A$1501,0))</f>
        <v>316.8</v>
      </c>
      <c r="I74" s="25" t="n">
        <f aca="false">INDEX(customer_churn_dataset!$O$2:$O$1501,MATCH($A75,customer_churn_dataset!$A$2:$A$1501,0))</f>
        <v>1</v>
      </c>
      <c r="J74" s="25" t="n">
        <f aca="false">INDEX(customer_churn_dataset!$T$2:$T$1501,MATCH($A75,customer_churn_dataset!$A$2:$A$1501,0))</f>
        <v>8</v>
      </c>
      <c r="K74" s="25" t="str">
        <f aca="false">INDEX(customer_churn_dataset!$V$2:$V$1501,MATCH($A75,customer_churn_dataset!$A$2:$A$1501,0))</f>
        <v>High Risk</v>
      </c>
    </row>
    <row r="75" customFormat="false" ht="12.8" hidden="true" customHeight="false" outlineLevel="0" collapsed="false">
      <c r="A75" s="22" t="str">
        <f aca="false">customer_churn_dataset!A646</f>
        <v>CUST100159</v>
      </c>
      <c r="B75" s="22" t="str">
        <f aca="false">customer_churn_dataset!B646</f>
        <v>Standard</v>
      </c>
      <c r="C75" s="22" t="str">
        <f aca="false">customer_churn_dataset!C646</f>
        <v>Month-to-month</v>
      </c>
      <c r="D75" s="0" t="n">
        <f aca="false">INDEX(customer_churn_dataset!$E$2:$E$1501,MATCH($A76,customer_churn_dataset!$A$2:$A$1501,0))</f>
        <v>44</v>
      </c>
      <c r="E75" s="0" t="n">
        <f aca="false">INDEX(customer_churn_dataset!$I$2:$I$1501,MATCH($A76,customer_churn_dataset!$A$2:$A$1501,0))</f>
        <v>37</v>
      </c>
      <c r="F75" s="0" t="n">
        <f aca="false">INDEX(customer_churn_dataset!$L$2:$L$1501,MATCH($A76,customer_churn_dataset!$A$2:$A$1501,0))</f>
        <v>1</v>
      </c>
      <c r="G75" s="0" t="str">
        <f aca="false">IF(INDEX(customer_churn_dataset!$M$2:$M$1501,MATCH($A76,customer_churn_dataset!$A$2:$A$1501,0))=1,"Yes","No")</f>
        <v>Yes</v>
      </c>
      <c r="H75" s="0" t="n">
        <f aca="false">INDEX(customer_churn_dataset!$N$2:$N$1501,MATCH($A76,customer_churn_dataset!$A$2:$A$1501,0))</f>
        <v>1726.12</v>
      </c>
      <c r="I75" s="0" t="n">
        <f aca="false">INDEX(customer_churn_dataset!$O$2:$O$1501,MATCH($A76,customer_churn_dataset!$A$2:$A$1501,0))</f>
        <v>0</v>
      </c>
      <c r="J75" s="0" t="n">
        <f aca="false">INDEX(customer_churn_dataset!$T$2:$T$1501,MATCH($A76,customer_churn_dataset!$A$2:$A$1501,0))</f>
        <v>7</v>
      </c>
      <c r="K75" s="0" t="str">
        <f aca="false">INDEX(customer_churn_dataset!$V$2:$V$1501,MATCH($A76,customer_churn_dataset!$A$2:$A$1501,0))</f>
        <v>High Risk</v>
      </c>
    </row>
    <row r="76" customFormat="false" ht="12.8" hidden="true" customHeight="false" outlineLevel="0" collapsed="false">
      <c r="A76" s="22" t="str">
        <f aca="false">customer_churn_dataset!A650</f>
        <v>CUST100245</v>
      </c>
      <c r="B76" s="22" t="str">
        <f aca="false">customer_churn_dataset!B650</f>
        <v>Premium</v>
      </c>
      <c r="C76" s="22" t="str">
        <f aca="false">customer_churn_dataset!C650</f>
        <v>Month-to-month</v>
      </c>
      <c r="D76" s="0" t="n">
        <f aca="false">INDEX(customer_churn_dataset!$E$2:$E$1501,MATCH($A77,customer_churn_dataset!$A$2:$A$1501,0))</f>
        <v>14</v>
      </c>
      <c r="E76" s="0" t="n">
        <f aca="false">INDEX(customer_churn_dataset!$I$2:$I$1501,MATCH($A77,customer_churn_dataset!$A$2:$A$1501,0))</f>
        <v>51.5</v>
      </c>
      <c r="F76" s="0" t="n">
        <f aca="false">INDEX(customer_churn_dataset!$L$2:$L$1501,MATCH($A77,customer_churn_dataset!$A$2:$A$1501,0))</f>
        <v>1</v>
      </c>
      <c r="G76" s="0" t="str">
        <f aca="false">IF(INDEX(customer_churn_dataset!$M$2:$M$1501,MATCH($A77,customer_churn_dataset!$A$2:$A$1501,0))=1,"Yes","No")</f>
        <v>Yes</v>
      </c>
      <c r="H76" s="0" t="n">
        <f aca="false">INDEX(customer_churn_dataset!$N$2:$N$1501,MATCH($A77,customer_churn_dataset!$A$2:$A$1501,0))</f>
        <v>144.34</v>
      </c>
      <c r="I76" s="0" t="n">
        <f aca="false">INDEX(customer_churn_dataset!$O$2:$O$1501,MATCH($A77,customer_churn_dataset!$A$2:$A$1501,0))</f>
        <v>0</v>
      </c>
      <c r="J76" s="0" t="n">
        <f aca="false">INDEX(customer_churn_dataset!$T$2:$T$1501,MATCH($A77,customer_churn_dataset!$A$2:$A$1501,0))</f>
        <v>6</v>
      </c>
      <c r="K76" s="0" t="str">
        <f aca="false">INDEX(customer_churn_dataset!$V$2:$V$1501,MATCH($A77,customer_churn_dataset!$A$2:$A$1501,0))</f>
        <v>High Risk</v>
      </c>
    </row>
    <row r="77" customFormat="false" ht="12.8" hidden="true" customHeight="false" outlineLevel="0" collapsed="false">
      <c r="A77" s="22" t="str">
        <f aca="false">customer_churn_dataset!A666</f>
        <v>CUST100628</v>
      </c>
      <c r="B77" s="22" t="str">
        <f aca="false">customer_churn_dataset!B666</f>
        <v>Basic</v>
      </c>
      <c r="C77" s="22" t="str">
        <f aca="false">customer_churn_dataset!C666</f>
        <v>Month-to-month</v>
      </c>
      <c r="D77" s="0" t="n">
        <f aca="false">INDEX(customer_churn_dataset!$E$2:$E$1501,MATCH($A78,customer_churn_dataset!$A$2:$A$1501,0))</f>
        <v>54</v>
      </c>
      <c r="E77" s="0" t="n">
        <f aca="false">INDEX(customer_churn_dataset!$I$2:$I$1501,MATCH($A78,customer_churn_dataset!$A$2:$A$1501,0))</f>
        <v>75.1</v>
      </c>
      <c r="F77" s="0" t="n">
        <f aca="false">INDEX(customer_churn_dataset!$L$2:$L$1501,MATCH($A78,customer_churn_dataset!$A$2:$A$1501,0))</f>
        <v>2</v>
      </c>
      <c r="G77" s="0" t="str">
        <f aca="false">IF(INDEX(customer_churn_dataset!$M$2:$M$1501,MATCH($A78,customer_churn_dataset!$A$2:$A$1501,0))=1,"Yes","No")</f>
        <v>No</v>
      </c>
      <c r="H77" s="0" t="n">
        <f aca="false">INDEX(customer_churn_dataset!$N$2:$N$1501,MATCH($A78,customer_churn_dataset!$A$2:$A$1501,0))</f>
        <v>633.96</v>
      </c>
      <c r="I77" s="0" t="n">
        <f aca="false">INDEX(customer_churn_dataset!$O$2:$O$1501,MATCH($A78,customer_churn_dataset!$A$2:$A$1501,0))</f>
        <v>1</v>
      </c>
      <c r="J77" s="0" t="n">
        <f aca="false">INDEX(customer_churn_dataset!$T$2:$T$1501,MATCH($A78,customer_churn_dataset!$A$2:$A$1501,0))</f>
        <v>2</v>
      </c>
      <c r="K77" s="0" t="str">
        <f aca="false">INDEX(customer_churn_dataset!$V$2:$V$1501,MATCH($A78,customer_churn_dataset!$A$2:$A$1501,0))</f>
        <v>Low Risk</v>
      </c>
    </row>
    <row r="78" customFormat="false" ht="12.8" hidden="true" customHeight="false" outlineLevel="0" collapsed="false">
      <c r="A78" s="22" t="str">
        <f aca="false">customer_churn_dataset!A700</f>
        <v>CUST100049</v>
      </c>
      <c r="B78" s="22" t="str">
        <f aca="false">customer_churn_dataset!B700</f>
        <v>Basic</v>
      </c>
      <c r="C78" s="22" t="str">
        <f aca="false">customer_churn_dataset!C700</f>
        <v>One year</v>
      </c>
      <c r="D78" s="0" t="n">
        <f aca="false">INDEX(customer_churn_dataset!$E$2:$E$1501,MATCH($A79,customer_churn_dataset!$A$2:$A$1501,0))</f>
        <v>20</v>
      </c>
      <c r="E78" s="0" t="n">
        <f aca="false">INDEX(customer_churn_dataset!$I$2:$I$1501,MATCH($A79,customer_churn_dataset!$A$2:$A$1501,0))</f>
        <v>65.4</v>
      </c>
      <c r="F78" s="0" t="n">
        <f aca="false">INDEX(customer_churn_dataset!$L$2:$L$1501,MATCH($A79,customer_churn_dataset!$A$2:$A$1501,0))</f>
        <v>1</v>
      </c>
      <c r="G78" s="0" t="str">
        <f aca="false">IF(INDEX(customer_churn_dataset!$M$2:$M$1501,MATCH($A79,customer_churn_dataset!$A$2:$A$1501,0))=1,"Yes","No")</f>
        <v>No</v>
      </c>
      <c r="H78" s="0" t="n">
        <f aca="false">INDEX(customer_churn_dataset!$N$2:$N$1501,MATCH($A79,customer_churn_dataset!$A$2:$A$1501,0))</f>
        <v>406.6</v>
      </c>
      <c r="I78" s="0" t="n">
        <f aca="false">INDEX(customer_churn_dataset!$O$2:$O$1501,MATCH($A79,customer_churn_dataset!$A$2:$A$1501,0))</f>
        <v>0</v>
      </c>
      <c r="J78" s="0" t="n">
        <f aca="false">INDEX(customer_churn_dataset!$T$2:$T$1501,MATCH($A79,customer_churn_dataset!$A$2:$A$1501,0))</f>
        <v>1</v>
      </c>
      <c r="K78" s="0" t="str">
        <f aca="false">INDEX(customer_churn_dataset!$V$2:$V$1501,MATCH($A79,customer_churn_dataset!$A$2:$A$1501,0))</f>
        <v>Low Risk</v>
      </c>
    </row>
    <row r="79" customFormat="false" ht="12.8" hidden="true" customHeight="false" outlineLevel="0" collapsed="false">
      <c r="A79" s="22" t="str">
        <f aca="false">customer_churn_dataset!A713</f>
        <v>CUST100494</v>
      </c>
      <c r="B79" s="22" t="str">
        <f aca="false">customer_churn_dataset!B713</f>
        <v>Standard</v>
      </c>
      <c r="C79" s="22" t="str">
        <f aca="false">customer_churn_dataset!C713</f>
        <v>One year</v>
      </c>
      <c r="D79" s="0" t="n">
        <f aca="false">INDEX(customer_churn_dataset!$E$2:$E$1501,MATCH($A80,customer_churn_dataset!$A$2:$A$1501,0))</f>
        <v>72</v>
      </c>
      <c r="E79" s="0" t="n">
        <f aca="false">INDEX(customer_churn_dataset!$I$2:$I$1501,MATCH($A80,customer_churn_dataset!$A$2:$A$1501,0))</f>
        <v>33.9</v>
      </c>
      <c r="F79" s="0" t="n">
        <f aca="false">INDEX(customer_churn_dataset!$L$2:$L$1501,MATCH($A80,customer_churn_dataset!$A$2:$A$1501,0))</f>
        <v>1</v>
      </c>
      <c r="G79" s="0" t="str">
        <f aca="false">IF(INDEX(customer_churn_dataset!$M$2:$M$1501,MATCH($A80,customer_churn_dataset!$A$2:$A$1501,0))=1,"Yes","No")</f>
        <v>No</v>
      </c>
      <c r="H79" s="0" t="n">
        <f aca="false">INDEX(customer_churn_dataset!$N$2:$N$1501,MATCH($A80,customer_churn_dataset!$A$2:$A$1501,0))</f>
        <v>719.28</v>
      </c>
      <c r="I79" s="0" t="n">
        <f aca="false">INDEX(customer_churn_dataset!$O$2:$O$1501,MATCH($A80,customer_churn_dataset!$A$2:$A$1501,0))</f>
        <v>0</v>
      </c>
      <c r="J79" s="0" t="n">
        <f aca="false">INDEX(customer_churn_dataset!$T$2:$T$1501,MATCH($A80,customer_churn_dataset!$A$2:$A$1501,0))</f>
        <v>4</v>
      </c>
      <c r="K79" s="0" t="str">
        <f aca="false">INDEX(customer_churn_dataset!$V$2:$V$1501,MATCH($A80,customer_churn_dataset!$A$2:$A$1501,0))</f>
        <v>Medium Risk</v>
      </c>
    </row>
    <row r="80" customFormat="false" ht="12.8" hidden="true" customHeight="false" outlineLevel="0" collapsed="false">
      <c r="A80" s="22" t="str">
        <f aca="false">customer_churn_dataset!A738</f>
        <v>CUST101397</v>
      </c>
      <c r="B80" s="22" t="str">
        <f aca="false">customer_churn_dataset!B738</f>
        <v>Basic</v>
      </c>
      <c r="C80" s="22" t="str">
        <f aca="false">customer_churn_dataset!C738</f>
        <v>Month-to-month</v>
      </c>
      <c r="D80" s="0" t="n">
        <f aca="false">INDEX(customer_churn_dataset!$E$2:$E$1501,MATCH($A81,customer_churn_dataset!$A$2:$A$1501,0))</f>
        <v>34</v>
      </c>
      <c r="E80" s="0" t="n">
        <f aca="false">INDEX(customer_churn_dataset!$I$2:$I$1501,MATCH($A81,customer_churn_dataset!$A$2:$A$1501,0))</f>
        <v>81.2</v>
      </c>
      <c r="F80" s="0" t="n">
        <f aca="false">INDEX(customer_churn_dataset!$L$2:$L$1501,MATCH($A81,customer_churn_dataset!$A$2:$A$1501,0))</f>
        <v>2</v>
      </c>
      <c r="G80" s="0" t="str">
        <f aca="false">IF(INDEX(customer_churn_dataset!$M$2:$M$1501,MATCH($A81,customer_churn_dataset!$A$2:$A$1501,0))=1,"Yes","No")</f>
        <v>No</v>
      </c>
      <c r="H80" s="0" t="n">
        <f aca="false">INDEX(customer_churn_dataset!$N$2:$N$1501,MATCH($A81,customer_churn_dataset!$A$2:$A$1501,0))</f>
        <v>388.96</v>
      </c>
      <c r="I80" s="0" t="n">
        <f aca="false">INDEX(customer_churn_dataset!$O$2:$O$1501,MATCH($A81,customer_churn_dataset!$A$2:$A$1501,0))</f>
        <v>0</v>
      </c>
      <c r="J80" s="0" t="n">
        <f aca="false">INDEX(customer_churn_dataset!$T$2:$T$1501,MATCH($A81,customer_churn_dataset!$A$2:$A$1501,0))</f>
        <v>3</v>
      </c>
      <c r="K80" s="0" t="str">
        <f aca="false">INDEX(customer_churn_dataset!$V$2:$V$1501,MATCH($A81,customer_churn_dataset!$A$2:$A$1501,0))</f>
        <v>Medium Risk</v>
      </c>
    </row>
    <row r="81" customFormat="false" ht="12.8" hidden="true" customHeight="false" outlineLevel="0" collapsed="false">
      <c r="A81" s="22" t="str">
        <f aca="false">customer_churn_dataset!A743</f>
        <v>CUST100929</v>
      </c>
      <c r="B81" s="22" t="str">
        <f aca="false">customer_churn_dataset!B743</f>
        <v>Basic</v>
      </c>
      <c r="C81" s="22" t="str">
        <f aca="false">customer_churn_dataset!C743</f>
        <v>Month-to-month</v>
      </c>
      <c r="D81" s="0" t="n">
        <f aca="false">INDEX(customer_churn_dataset!$E$2:$E$1501,MATCH($A82,customer_churn_dataset!$A$2:$A$1501,0))</f>
        <v>2</v>
      </c>
      <c r="E81" s="0" t="n">
        <f aca="false">INDEX(customer_churn_dataset!$I$2:$I$1501,MATCH($A82,customer_churn_dataset!$A$2:$A$1501,0))</f>
        <v>73.6</v>
      </c>
      <c r="F81" s="0" t="n">
        <f aca="false">INDEX(customer_churn_dataset!$L$2:$L$1501,MATCH($A82,customer_churn_dataset!$A$2:$A$1501,0))</f>
        <v>2</v>
      </c>
      <c r="G81" s="0" t="str">
        <f aca="false">IF(INDEX(customer_churn_dataset!$M$2:$M$1501,MATCH($A82,customer_churn_dataset!$A$2:$A$1501,0))=1,"Yes","No")</f>
        <v>No</v>
      </c>
      <c r="H81" s="0" t="n">
        <f aca="false">INDEX(customer_churn_dataset!$N$2:$N$1501,MATCH($A82,customer_churn_dataset!$A$2:$A$1501,0))</f>
        <v>81.38</v>
      </c>
      <c r="I81" s="0" t="n">
        <f aca="false">INDEX(customer_churn_dataset!$O$2:$O$1501,MATCH($A82,customer_churn_dataset!$A$2:$A$1501,0))</f>
        <v>0</v>
      </c>
      <c r="J81" s="0" t="n">
        <f aca="false">INDEX(customer_churn_dataset!$T$2:$T$1501,MATCH($A82,customer_churn_dataset!$A$2:$A$1501,0))</f>
        <v>4</v>
      </c>
      <c r="K81" s="0" t="str">
        <f aca="false">INDEX(customer_churn_dataset!$V$2:$V$1501,MATCH($A82,customer_churn_dataset!$A$2:$A$1501,0))</f>
        <v>Medium Risk</v>
      </c>
    </row>
    <row r="82" customFormat="false" ht="12.8" hidden="true" customHeight="false" outlineLevel="0" collapsed="false">
      <c r="A82" s="22" t="str">
        <f aca="false">customer_churn_dataset!A747</f>
        <v>CUST101180</v>
      </c>
      <c r="B82" s="22" t="str">
        <f aca="false">customer_churn_dataset!B747</f>
        <v>Premium</v>
      </c>
      <c r="C82" s="22" t="str">
        <f aca="false">customer_churn_dataset!C747</f>
        <v>Month-to-month</v>
      </c>
      <c r="D82" s="0" t="n">
        <f aca="false">INDEX(customer_churn_dataset!$E$2:$E$1501,MATCH($A83,customer_churn_dataset!$A$2:$A$1501,0))</f>
        <v>8</v>
      </c>
      <c r="E82" s="0" t="n">
        <f aca="false">INDEX(customer_churn_dataset!$I$2:$I$1501,MATCH($A83,customer_churn_dataset!$A$2:$A$1501,0))</f>
        <v>66.5</v>
      </c>
      <c r="F82" s="0" t="n">
        <f aca="false">INDEX(customer_churn_dataset!$L$2:$L$1501,MATCH($A83,customer_churn_dataset!$A$2:$A$1501,0))</f>
        <v>1</v>
      </c>
      <c r="G82" s="0" t="str">
        <f aca="false">IF(INDEX(customer_churn_dataset!$M$2:$M$1501,MATCH($A83,customer_churn_dataset!$A$2:$A$1501,0))=1,"Yes","No")</f>
        <v>No</v>
      </c>
      <c r="H82" s="0" t="n">
        <f aca="false">INDEX(customer_churn_dataset!$N$2:$N$1501,MATCH($A83,customer_churn_dataset!$A$2:$A$1501,0))</f>
        <v>69.12</v>
      </c>
      <c r="I82" s="0" t="n">
        <f aca="false">INDEX(customer_churn_dataset!$O$2:$O$1501,MATCH($A83,customer_churn_dataset!$A$2:$A$1501,0))</f>
        <v>0</v>
      </c>
      <c r="J82" s="0" t="n">
        <f aca="false">INDEX(customer_churn_dataset!$T$2:$T$1501,MATCH($A83,customer_churn_dataset!$A$2:$A$1501,0))</f>
        <v>3</v>
      </c>
      <c r="K82" s="0" t="str">
        <f aca="false">INDEX(customer_churn_dataset!$V$2:$V$1501,MATCH($A83,customer_churn_dataset!$A$2:$A$1501,0))</f>
        <v>Medium Risk</v>
      </c>
    </row>
    <row r="83" customFormat="false" ht="12.8" hidden="true" customHeight="false" outlineLevel="0" collapsed="false">
      <c r="A83" s="22" t="str">
        <f aca="false">customer_churn_dataset!A750</f>
        <v>CUST101201</v>
      </c>
      <c r="B83" s="22" t="str">
        <f aca="false">customer_churn_dataset!B750</f>
        <v>Basic</v>
      </c>
      <c r="C83" s="22" t="str">
        <f aca="false">customer_churn_dataset!C750</f>
        <v>Month-to-month</v>
      </c>
      <c r="D83" s="0" t="n">
        <f aca="false">INDEX(customer_churn_dataset!$E$2:$E$1501,MATCH($A84,customer_churn_dataset!$A$2:$A$1501,0))</f>
        <v>5</v>
      </c>
      <c r="E83" s="0" t="n">
        <f aca="false">INDEX(customer_churn_dataset!$I$2:$I$1501,MATCH($A84,customer_churn_dataset!$A$2:$A$1501,0))</f>
        <v>64.4</v>
      </c>
      <c r="F83" s="0" t="n">
        <f aca="false">INDEX(customer_churn_dataset!$L$2:$L$1501,MATCH($A84,customer_churn_dataset!$A$2:$A$1501,0))</f>
        <v>0</v>
      </c>
      <c r="G83" s="0" t="str">
        <f aca="false">IF(INDEX(customer_churn_dataset!$M$2:$M$1501,MATCH($A84,customer_churn_dataset!$A$2:$A$1501,0))=1,"Yes","No")</f>
        <v>No</v>
      </c>
      <c r="H83" s="0" t="n">
        <f aca="false">INDEX(customer_churn_dataset!$N$2:$N$1501,MATCH($A84,customer_churn_dataset!$A$2:$A$1501,0))</f>
        <v>103.55</v>
      </c>
      <c r="I83" s="0" t="n">
        <f aca="false">INDEX(customer_churn_dataset!$O$2:$O$1501,MATCH($A84,customer_churn_dataset!$A$2:$A$1501,0))</f>
        <v>0</v>
      </c>
      <c r="J83" s="0" t="n">
        <f aca="false">INDEX(customer_churn_dataset!$T$2:$T$1501,MATCH($A84,customer_churn_dataset!$A$2:$A$1501,0))</f>
        <v>3</v>
      </c>
      <c r="K83" s="0" t="str">
        <f aca="false">INDEX(customer_churn_dataset!$V$2:$V$1501,MATCH($A84,customer_churn_dataset!$A$2:$A$1501,0))</f>
        <v>Medium Risk</v>
      </c>
    </row>
    <row r="84" customFormat="false" ht="12.8" hidden="true" customHeight="false" outlineLevel="0" collapsed="false">
      <c r="A84" s="22" t="str">
        <f aca="false">customer_churn_dataset!A752</f>
        <v>CUST101315</v>
      </c>
      <c r="B84" s="22" t="str">
        <f aca="false">customer_churn_dataset!B752</f>
        <v>Standard</v>
      </c>
      <c r="C84" s="22" t="str">
        <f aca="false">customer_churn_dataset!C752</f>
        <v>Month-to-month</v>
      </c>
      <c r="D84" s="0" t="n">
        <f aca="false">INDEX(customer_churn_dataset!$E$2:$E$1501,MATCH($A85,customer_churn_dataset!$A$2:$A$1501,0))</f>
        <v>22</v>
      </c>
      <c r="E84" s="0" t="n">
        <f aca="false">INDEX(customer_churn_dataset!$I$2:$I$1501,MATCH($A85,customer_churn_dataset!$A$2:$A$1501,0))</f>
        <v>41.8</v>
      </c>
      <c r="F84" s="0" t="n">
        <f aca="false">INDEX(customer_churn_dataset!$L$2:$L$1501,MATCH($A85,customer_churn_dataset!$A$2:$A$1501,0))</f>
        <v>2</v>
      </c>
      <c r="G84" s="0" t="str">
        <f aca="false">IF(INDEX(customer_churn_dataset!$M$2:$M$1501,MATCH($A85,customer_churn_dataset!$A$2:$A$1501,0))=1,"Yes","No")</f>
        <v>No</v>
      </c>
      <c r="H84" s="0" t="n">
        <f aca="false">INDEX(customer_churn_dataset!$N$2:$N$1501,MATCH($A85,customer_churn_dataset!$A$2:$A$1501,0))</f>
        <v>458.48</v>
      </c>
      <c r="I84" s="0" t="n">
        <f aca="false">INDEX(customer_churn_dataset!$O$2:$O$1501,MATCH($A85,customer_churn_dataset!$A$2:$A$1501,0))</f>
        <v>0</v>
      </c>
      <c r="J84" s="0" t="n">
        <f aca="false">INDEX(customer_churn_dataset!$T$2:$T$1501,MATCH($A85,customer_churn_dataset!$A$2:$A$1501,0))</f>
        <v>3</v>
      </c>
      <c r="K84" s="0" t="str">
        <f aca="false">INDEX(customer_churn_dataset!$V$2:$V$1501,MATCH($A85,customer_churn_dataset!$A$2:$A$1501,0))</f>
        <v>Medium Risk</v>
      </c>
    </row>
    <row r="85" customFormat="false" ht="12.8" hidden="true" customHeight="false" outlineLevel="0" collapsed="false">
      <c r="A85" s="22" t="str">
        <f aca="false">customer_churn_dataset!A757</f>
        <v>CUST100009</v>
      </c>
      <c r="B85" s="22" t="str">
        <f aca="false">customer_churn_dataset!B757</f>
        <v>Standard</v>
      </c>
      <c r="C85" s="22" t="str">
        <f aca="false">customer_churn_dataset!C757</f>
        <v>One year</v>
      </c>
      <c r="D85" s="0" t="n">
        <f aca="false">INDEX(customer_churn_dataset!$E$2:$E$1501,MATCH($A86,customer_churn_dataset!$A$2:$A$1501,0))</f>
        <v>12</v>
      </c>
      <c r="E85" s="0" t="n">
        <f aca="false">INDEX(customer_churn_dataset!$I$2:$I$1501,MATCH($A86,customer_churn_dataset!$A$2:$A$1501,0))</f>
        <v>52.9</v>
      </c>
      <c r="F85" s="0" t="n">
        <f aca="false">INDEX(customer_churn_dataset!$L$2:$L$1501,MATCH($A86,customer_churn_dataset!$A$2:$A$1501,0))</f>
        <v>0</v>
      </c>
      <c r="G85" s="0" t="str">
        <f aca="false">IF(INDEX(customer_churn_dataset!$M$2:$M$1501,MATCH($A86,customer_churn_dataset!$A$2:$A$1501,0))=1,"Yes","No")</f>
        <v>No</v>
      </c>
      <c r="H85" s="0" t="n">
        <f aca="false">INDEX(customer_churn_dataset!$N$2:$N$1501,MATCH($A86,customer_churn_dataset!$A$2:$A$1501,0))</f>
        <v>116.04</v>
      </c>
      <c r="I85" s="0" t="n">
        <f aca="false">INDEX(customer_churn_dataset!$O$2:$O$1501,MATCH($A86,customer_churn_dataset!$A$2:$A$1501,0))</f>
        <v>0</v>
      </c>
      <c r="J85" s="0" t="n">
        <f aca="false">INDEX(customer_churn_dataset!$T$2:$T$1501,MATCH($A86,customer_churn_dataset!$A$2:$A$1501,0))</f>
        <v>3</v>
      </c>
      <c r="K85" s="0" t="str">
        <f aca="false">INDEX(customer_churn_dataset!$V$2:$V$1501,MATCH($A86,customer_churn_dataset!$A$2:$A$1501,0))</f>
        <v>Medium Risk</v>
      </c>
    </row>
    <row r="86" customFormat="false" ht="12.8" hidden="true" customHeight="false" outlineLevel="0" collapsed="false">
      <c r="A86" s="22" t="str">
        <f aca="false">customer_churn_dataset!A760</f>
        <v>CUST100997</v>
      </c>
      <c r="B86" s="22" t="str">
        <f aca="false">customer_churn_dataset!B760</f>
        <v>Basic</v>
      </c>
      <c r="C86" s="22" t="str">
        <f aca="false">customer_churn_dataset!C760</f>
        <v>Month-to-month</v>
      </c>
      <c r="D86" s="0" t="n">
        <f aca="false">INDEX(customer_churn_dataset!$E$2:$E$1501,MATCH($A87,customer_churn_dataset!$A$2:$A$1501,0))</f>
        <v>21</v>
      </c>
      <c r="E86" s="0" t="n">
        <f aca="false">INDEX(customer_churn_dataset!$I$2:$I$1501,MATCH($A87,customer_churn_dataset!$A$2:$A$1501,0))</f>
        <v>61.7</v>
      </c>
      <c r="F86" s="0" t="n">
        <f aca="false">INDEX(customer_churn_dataset!$L$2:$L$1501,MATCH($A87,customer_churn_dataset!$A$2:$A$1501,0))</f>
        <v>2</v>
      </c>
      <c r="G86" s="0" t="str">
        <f aca="false">IF(INDEX(customer_churn_dataset!$M$2:$M$1501,MATCH($A87,customer_churn_dataset!$A$2:$A$1501,0))=1,"Yes","No")</f>
        <v>No</v>
      </c>
      <c r="H86" s="0" t="n">
        <f aca="false">INDEX(customer_churn_dataset!$N$2:$N$1501,MATCH($A87,customer_churn_dataset!$A$2:$A$1501,0))</f>
        <v>834.54</v>
      </c>
      <c r="I86" s="0" t="n">
        <f aca="false">INDEX(customer_churn_dataset!$O$2:$O$1501,MATCH($A87,customer_churn_dataset!$A$2:$A$1501,0))</f>
        <v>0</v>
      </c>
      <c r="J86" s="0" t="n">
        <f aca="false">INDEX(customer_churn_dataset!$T$2:$T$1501,MATCH($A87,customer_churn_dataset!$A$2:$A$1501,0))</f>
        <v>3</v>
      </c>
      <c r="K86" s="0" t="str">
        <f aca="false">INDEX(customer_churn_dataset!$V$2:$V$1501,MATCH($A87,customer_churn_dataset!$A$2:$A$1501,0))</f>
        <v>Medium Risk</v>
      </c>
    </row>
    <row r="87" customFormat="false" ht="12.8" hidden="true" customHeight="false" outlineLevel="0" collapsed="false">
      <c r="A87" s="22" t="str">
        <f aca="false">customer_churn_dataset!A763</f>
        <v>CUST100249</v>
      </c>
      <c r="B87" s="22" t="str">
        <f aca="false">customer_churn_dataset!B763</f>
        <v>Premium</v>
      </c>
      <c r="C87" s="22" t="str">
        <f aca="false">customer_churn_dataset!C763</f>
        <v>Month-to-month</v>
      </c>
      <c r="D87" s="0" t="n">
        <f aca="false">INDEX(customer_churn_dataset!$E$2:$E$1501,MATCH($A88,customer_churn_dataset!$A$2:$A$1501,0))</f>
        <v>15</v>
      </c>
      <c r="E87" s="0" t="n">
        <f aca="false">INDEX(customer_churn_dataset!$I$2:$I$1501,MATCH($A88,customer_churn_dataset!$A$2:$A$1501,0))</f>
        <v>59.4</v>
      </c>
      <c r="F87" s="0" t="n">
        <f aca="false">INDEX(customer_churn_dataset!$L$2:$L$1501,MATCH($A88,customer_churn_dataset!$A$2:$A$1501,0))</f>
        <v>0</v>
      </c>
      <c r="G87" s="0" t="str">
        <f aca="false">IF(INDEX(customer_churn_dataset!$M$2:$M$1501,MATCH($A88,customer_churn_dataset!$A$2:$A$1501,0))=1,"Yes","No")</f>
        <v>No</v>
      </c>
      <c r="H87" s="0" t="n">
        <f aca="false">INDEX(customer_churn_dataset!$N$2:$N$1501,MATCH($A88,customer_churn_dataset!$A$2:$A$1501,0))</f>
        <v>142.5</v>
      </c>
      <c r="I87" s="0" t="n">
        <f aca="false">INDEX(customer_churn_dataset!$O$2:$O$1501,MATCH($A88,customer_churn_dataset!$A$2:$A$1501,0))</f>
        <v>0</v>
      </c>
      <c r="J87" s="0" t="n">
        <f aca="false">INDEX(customer_churn_dataset!$T$2:$T$1501,MATCH($A88,customer_churn_dataset!$A$2:$A$1501,0))</f>
        <v>2</v>
      </c>
      <c r="K87" s="0" t="str">
        <f aca="false">INDEX(customer_churn_dataset!$V$2:$V$1501,MATCH($A88,customer_churn_dataset!$A$2:$A$1501,0))</f>
        <v>Low Risk</v>
      </c>
    </row>
    <row r="88" customFormat="false" ht="12.8" hidden="true" customHeight="false" outlineLevel="0" collapsed="false">
      <c r="A88" s="22" t="str">
        <f aca="false">customer_churn_dataset!A777</f>
        <v>CUST100368</v>
      </c>
      <c r="B88" s="22" t="str">
        <f aca="false">customer_churn_dataset!B777</f>
        <v>Basic</v>
      </c>
      <c r="C88" s="22" t="str">
        <f aca="false">customer_churn_dataset!C777</f>
        <v>Month-to-month</v>
      </c>
      <c r="D88" s="0" t="n">
        <f aca="false">INDEX(customer_churn_dataset!$E$2:$E$1501,MATCH($A89,customer_churn_dataset!$A$2:$A$1501,0))</f>
        <v>20</v>
      </c>
      <c r="E88" s="0" t="n">
        <f aca="false">INDEX(customer_churn_dataset!$I$2:$I$1501,MATCH($A89,customer_churn_dataset!$A$2:$A$1501,0))</f>
        <v>54.8</v>
      </c>
      <c r="F88" s="0" t="n">
        <f aca="false">INDEX(customer_churn_dataset!$L$2:$L$1501,MATCH($A89,customer_churn_dataset!$A$2:$A$1501,0))</f>
        <v>1</v>
      </c>
      <c r="G88" s="0" t="str">
        <f aca="false">IF(INDEX(customer_churn_dataset!$M$2:$M$1501,MATCH($A89,customer_churn_dataset!$A$2:$A$1501,0))=1,"Yes","No")</f>
        <v>Yes</v>
      </c>
      <c r="H88" s="0" t="n">
        <f aca="false">INDEX(customer_churn_dataset!$N$2:$N$1501,MATCH($A89,customer_churn_dataset!$A$2:$A$1501,0))</f>
        <v>796.8</v>
      </c>
      <c r="I88" s="0" t="n">
        <f aca="false">INDEX(customer_churn_dataset!$O$2:$O$1501,MATCH($A89,customer_churn_dataset!$A$2:$A$1501,0))</f>
        <v>1</v>
      </c>
      <c r="J88" s="0" t="n">
        <f aca="false">INDEX(customer_churn_dataset!$T$2:$T$1501,MATCH($A89,customer_churn_dataset!$A$2:$A$1501,0))</f>
        <v>6</v>
      </c>
      <c r="K88" s="0" t="str">
        <f aca="false">INDEX(customer_churn_dataset!$V$2:$V$1501,MATCH($A89,customer_churn_dataset!$A$2:$A$1501,0))</f>
        <v>High Risk</v>
      </c>
    </row>
    <row r="89" customFormat="false" ht="12.8" hidden="false" customHeight="false" outlineLevel="0" collapsed="false">
      <c r="A89" s="23" t="str">
        <f aca="false">customer_churn_dataset!A781</f>
        <v>CUST100121</v>
      </c>
      <c r="B89" s="24" t="str">
        <f aca="false">customer_churn_dataset!B781</f>
        <v>Premium</v>
      </c>
      <c r="C89" s="24" t="str">
        <f aca="false">customer_churn_dataset!C781</f>
        <v>Month-to-month</v>
      </c>
      <c r="D89" s="25" t="n">
        <f aca="false">INDEX(customer_churn_dataset!$E$2:$E$1501,MATCH($A90,customer_churn_dataset!$A$2:$A$1501,0))</f>
        <v>7</v>
      </c>
      <c r="E89" s="25" t="n">
        <f aca="false">INDEX(customer_churn_dataset!$I$2:$I$1501,MATCH($A90,customer_churn_dataset!$A$2:$A$1501,0))</f>
        <v>23.3</v>
      </c>
      <c r="F89" s="25" t="n">
        <f aca="false">INDEX(customer_churn_dataset!$L$2:$L$1501,MATCH($A90,customer_churn_dataset!$A$2:$A$1501,0))</f>
        <v>3</v>
      </c>
      <c r="G89" s="25" t="str">
        <f aca="false">IF(INDEX(customer_churn_dataset!$M$2:$M$1501,MATCH($A90,customer_churn_dataset!$A$2:$A$1501,0))=1,"Yes","No")</f>
        <v>Yes</v>
      </c>
      <c r="H89" s="25" t="n">
        <f aca="false">INDEX(customer_churn_dataset!$N$2:$N$1501,MATCH($A90,customer_churn_dataset!$A$2:$A$1501,0))</f>
        <v>81.97</v>
      </c>
      <c r="I89" s="25" t="n">
        <f aca="false">INDEX(customer_churn_dataset!$O$2:$O$1501,MATCH($A90,customer_churn_dataset!$A$2:$A$1501,0))</f>
        <v>0</v>
      </c>
      <c r="J89" s="25" t="n">
        <f aca="false">INDEX(customer_churn_dataset!$T$2:$T$1501,MATCH($A90,customer_churn_dataset!$A$2:$A$1501,0))</f>
        <v>9</v>
      </c>
      <c r="K89" s="25" t="str">
        <f aca="false">INDEX(customer_churn_dataset!$V$2:$V$1501,MATCH($A90,customer_churn_dataset!$A$2:$A$1501,0))</f>
        <v>High Risk</v>
      </c>
    </row>
    <row r="90" customFormat="false" ht="12.8" hidden="true" customHeight="false" outlineLevel="0" collapsed="false">
      <c r="A90" s="22" t="str">
        <f aca="false">customer_churn_dataset!A784</f>
        <v>CUST101321</v>
      </c>
      <c r="B90" s="22" t="str">
        <f aca="false">customer_churn_dataset!B784</f>
        <v>Basic</v>
      </c>
      <c r="C90" s="22" t="str">
        <f aca="false">customer_churn_dataset!C784</f>
        <v>Month-to-month</v>
      </c>
      <c r="D90" s="0" t="n">
        <f aca="false">INDEX(customer_churn_dataset!$E$2:$E$1501,MATCH($A91,customer_churn_dataset!$A$2:$A$1501,0))</f>
        <v>13</v>
      </c>
      <c r="E90" s="0" t="n">
        <f aca="false">INDEX(customer_churn_dataset!$I$2:$I$1501,MATCH($A91,customer_churn_dataset!$A$2:$A$1501,0))</f>
        <v>100</v>
      </c>
      <c r="F90" s="0" t="n">
        <f aca="false">INDEX(customer_churn_dataset!$L$2:$L$1501,MATCH($A91,customer_churn_dataset!$A$2:$A$1501,0))</f>
        <v>0</v>
      </c>
      <c r="G90" s="0" t="str">
        <f aca="false">IF(INDEX(customer_churn_dataset!$M$2:$M$1501,MATCH($A91,customer_churn_dataset!$A$2:$A$1501,0))=1,"Yes","No")</f>
        <v>No</v>
      </c>
      <c r="H90" s="0" t="n">
        <f aca="false">INDEX(customer_churn_dataset!$N$2:$N$1501,MATCH($A91,customer_churn_dataset!$A$2:$A$1501,0))</f>
        <v>274.43</v>
      </c>
      <c r="I90" s="0" t="n">
        <f aca="false">INDEX(customer_churn_dataset!$O$2:$O$1501,MATCH($A91,customer_churn_dataset!$A$2:$A$1501,0))</f>
        <v>0</v>
      </c>
      <c r="J90" s="0" t="n">
        <f aca="false">INDEX(customer_churn_dataset!$T$2:$T$1501,MATCH($A91,customer_churn_dataset!$A$2:$A$1501,0))</f>
        <v>0</v>
      </c>
      <c r="K90" s="0" t="str">
        <f aca="false">INDEX(customer_churn_dataset!$V$2:$V$1501,MATCH($A91,customer_churn_dataset!$A$2:$A$1501,0))</f>
        <v>Low Risk</v>
      </c>
    </row>
    <row r="91" customFormat="false" ht="12.8" hidden="true" customHeight="false" outlineLevel="0" collapsed="false">
      <c r="A91" s="22" t="str">
        <f aca="false">customer_churn_dataset!A791</f>
        <v>CUST101214</v>
      </c>
      <c r="B91" s="22" t="str">
        <f aca="false">customer_churn_dataset!B791</f>
        <v>Standard</v>
      </c>
      <c r="C91" s="22" t="str">
        <f aca="false">customer_churn_dataset!C791</f>
        <v>Two year</v>
      </c>
      <c r="D91" s="0" t="n">
        <f aca="false">INDEX(customer_churn_dataset!$E$2:$E$1501,MATCH($A92,customer_churn_dataset!$A$2:$A$1501,0))</f>
        <v>8</v>
      </c>
      <c r="E91" s="0" t="n">
        <f aca="false">INDEX(customer_churn_dataset!$I$2:$I$1501,MATCH($A92,customer_churn_dataset!$A$2:$A$1501,0))</f>
        <v>63.8</v>
      </c>
      <c r="F91" s="0" t="n">
        <f aca="false">INDEX(customer_churn_dataset!$L$2:$L$1501,MATCH($A92,customer_churn_dataset!$A$2:$A$1501,0))</f>
        <v>1</v>
      </c>
      <c r="G91" s="0" t="str">
        <f aca="false">IF(INDEX(customer_churn_dataset!$M$2:$M$1501,MATCH($A92,customer_churn_dataset!$A$2:$A$1501,0))=1,"Yes","No")</f>
        <v>Yes</v>
      </c>
      <c r="H91" s="0" t="n">
        <f aca="false">INDEX(customer_churn_dataset!$N$2:$N$1501,MATCH($A92,customer_churn_dataset!$A$2:$A$1501,0))</f>
        <v>80.24</v>
      </c>
      <c r="I91" s="0" t="n">
        <f aca="false">INDEX(customer_churn_dataset!$O$2:$O$1501,MATCH($A92,customer_churn_dataset!$A$2:$A$1501,0))</f>
        <v>0</v>
      </c>
      <c r="J91" s="0" t="n">
        <f aca="false">INDEX(customer_churn_dataset!$T$2:$T$1501,MATCH($A92,customer_churn_dataset!$A$2:$A$1501,0))</f>
        <v>6</v>
      </c>
      <c r="K91" s="0" t="str">
        <f aca="false">INDEX(customer_churn_dataset!$V$2:$V$1501,MATCH($A92,customer_churn_dataset!$A$2:$A$1501,0))</f>
        <v>High Risk</v>
      </c>
    </row>
    <row r="92" customFormat="false" ht="12.8" hidden="true" customHeight="false" outlineLevel="0" collapsed="false">
      <c r="A92" s="22" t="str">
        <f aca="false">customer_churn_dataset!A804</f>
        <v>CUST100610</v>
      </c>
      <c r="B92" s="22" t="str">
        <f aca="false">customer_churn_dataset!B804</f>
        <v>Basic</v>
      </c>
      <c r="C92" s="22" t="str">
        <f aca="false">customer_churn_dataset!C804</f>
        <v>Month-to-month</v>
      </c>
      <c r="D92" s="0" t="n">
        <f aca="false">INDEX(customer_churn_dataset!$E$2:$E$1501,MATCH($A93,customer_churn_dataset!$A$2:$A$1501,0))</f>
        <v>72</v>
      </c>
      <c r="E92" s="0" t="n">
        <f aca="false">INDEX(customer_churn_dataset!$I$2:$I$1501,MATCH($A93,customer_churn_dataset!$A$2:$A$1501,0))</f>
        <v>77</v>
      </c>
      <c r="F92" s="0" t="n">
        <f aca="false">INDEX(customer_churn_dataset!$L$2:$L$1501,MATCH($A93,customer_churn_dataset!$A$2:$A$1501,0))</f>
        <v>5</v>
      </c>
      <c r="G92" s="0" t="str">
        <f aca="false">IF(INDEX(customer_churn_dataset!$M$2:$M$1501,MATCH($A93,customer_churn_dataset!$A$2:$A$1501,0))=1,"Yes","No")</f>
        <v>Yes</v>
      </c>
      <c r="H92" s="0" t="n">
        <f aca="false">INDEX(customer_churn_dataset!$N$2:$N$1501,MATCH($A93,customer_churn_dataset!$A$2:$A$1501,0))</f>
        <v>1526.4</v>
      </c>
      <c r="I92" s="0" t="n">
        <f aca="false">INDEX(customer_churn_dataset!$O$2:$O$1501,MATCH($A93,customer_churn_dataset!$A$2:$A$1501,0))</f>
        <v>0</v>
      </c>
      <c r="J92" s="0" t="n">
        <f aca="false">INDEX(customer_churn_dataset!$T$2:$T$1501,MATCH($A93,customer_churn_dataset!$A$2:$A$1501,0))</f>
        <v>6</v>
      </c>
      <c r="K92" s="0" t="str">
        <f aca="false">INDEX(customer_churn_dataset!$V$2:$V$1501,MATCH($A93,customer_churn_dataset!$A$2:$A$1501,0))</f>
        <v>High Risk</v>
      </c>
    </row>
    <row r="93" customFormat="false" ht="12.8" hidden="true" customHeight="false" outlineLevel="0" collapsed="false">
      <c r="A93" s="22" t="str">
        <f aca="false">customer_churn_dataset!A833</f>
        <v>CUST100114</v>
      </c>
      <c r="B93" s="22" t="str">
        <f aca="false">customer_churn_dataset!B833</f>
        <v>Standard</v>
      </c>
      <c r="C93" s="22" t="str">
        <f aca="false">customer_churn_dataset!C833</f>
        <v>Month-to-month</v>
      </c>
      <c r="D93" s="0" t="n">
        <f aca="false">INDEX(customer_churn_dataset!$E$2:$E$1501,MATCH($A94,customer_churn_dataset!$A$2:$A$1501,0))</f>
        <v>24</v>
      </c>
      <c r="E93" s="0" t="n">
        <f aca="false">INDEX(customer_churn_dataset!$I$2:$I$1501,MATCH($A94,customer_churn_dataset!$A$2:$A$1501,0))</f>
        <v>43.9</v>
      </c>
      <c r="F93" s="0" t="n">
        <f aca="false">INDEX(customer_churn_dataset!$L$2:$L$1501,MATCH($A94,customer_churn_dataset!$A$2:$A$1501,0))</f>
        <v>1</v>
      </c>
      <c r="G93" s="0" t="str">
        <f aca="false">IF(INDEX(customer_churn_dataset!$M$2:$M$1501,MATCH($A94,customer_churn_dataset!$A$2:$A$1501,0))=1,"Yes","No")</f>
        <v>No</v>
      </c>
      <c r="H93" s="0" t="n">
        <f aca="false">INDEX(customer_churn_dataset!$N$2:$N$1501,MATCH($A94,customer_churn_dataset!$A$2:$A$1501,0))</f>
        <v>950.88</v>
      </c>
      <c r="I93" s="0" t="n">
        <f aca="false">INDEX(customer_churn_dataset!$O$2:$O$1501,MATCH($A94,customer_churn_dataset!$A$2:$A$1501,0))</f>
        <v>0</v>
      </c>
      <c r="J93" s="0" t="n">
        <f aca="false">INDEX(customer_churn_dataset!$T$2:$T$1501,MATCH($A94,customer_churn_dataset!$A$2:$A$1501,0))</f>
        <v>3</v>
      </c>
      <c r="K93" s="0" t="str">
        <f aca="false">INDEX(customer_churn_dataset!$V$2:$V$1501,MATCH($A94,customer_churn_dataset!$A$2:$A$1501,0))</f>
        <v>Medium Risk</v>
      </c>
    </row>
    <row r="94" customFormat="false" ht="12.8" hidden="true" customHeight="false" outlineLevel="0" collapsed="false">
      <c r="A94" s="22" t="str">
        <f aca="false">customer_churn_dataset!A836</f>
        <v>CUST100785</v>
      </c>
      <c r="B94" s="22" t="str">
        <f aca="false">customer_churn_dataset!B836</f>
        <v>Premium</v>
      </c>
      <c r="C94" s="22" t="str">
        <f aca="false">customer_churn_dataset!C836</f>
        <v>Month-to-month</v>
      </c>
      <c r="D94" s="0" t="n">
        <f aca="false">INDEX(customer_churn_dataset!$E$2:$E$1501,MATCH($A95,customer_churn_dataset!$A$2:$A$1501,0))</f>
        <v>10</v>
      </c>
      <c r="E94" s="0" t="n">
        <f aca="false">INDEX(customer_churn_dataset!$I$2:$I$1501,MATCH($A95,customer_churn_dataset!$A$2:$A$1501,0))</f>
        <v>62.1</v>
      </c>
      <c r="F94" s="0" t="n">
        <f aca="false">INDEX(customer_churn_dataset!$L$2:$L$1501,MATCH($A95,customer_churn_dataset!$A$2:$A$1501,0))</f>
        <v>2</v>
      </c>
      <c r="G94" s="0" t="str">
        <f aca="false">IF(INDEX(customer_churn_dataset!$M$2:$M$1501,MATCH($A95,customer_churn_dataset!$A$2:$A$1501,0))=1,"Yes","No")</f>
        <v>Yes</v>
      </c>
      <c r="H94" s="0" t="n">
        <f aca="false">INDEX(customer_churn_dataset!$N$2:$N$1501,MATCH($A95,customer_churn_dataset!$A$2:$A$1501,0))</f>
        <v>109.2</v>
      </c>
      <c r="I94" s="0" t="n">
        <f aca="false">INDEX(customer_churn_dataset!$O$2:$O$1501,MATCH($A95,customer_churn_dataset!$A$2:$A$1501,0))</f>
        <v>1</v>
      </c>
      <c r="J94" s="0" t="n">
        <f aca="false">INDEX(customer_churn_dataset!$T$2:$T$1501,MATCH($A95,customer_churn_dataset!$A$2:$A$1501,0))</f>
        <v>6</v>
      </c>
      <c r="K94" s="0" t="str">
        <f aca="false">INDEX(customer_churn_dataset!$V$2:$V$1501,MATCH($A95,customer_churn_dataset!$A$2:$A$1501,0))</f>
        <v>High Risk</v>
      </c>
    </row>
    <row r="95" customFormat="false" ht="12.8" hidden="true" customHeight="false" outlineLevel="0" collapsed="false">
      <c r="A95" s="22" t="str">
        <f aca="false">customer_churn_dataset!A842</f>
        <v>CUST100909</v>
      </c>
      <c r="B95" s="22" t="str">
        <f aca="false">customer_churn_dataset!B842</f>
        <v>Basic</v>
      </c>
      <c r="C95" s="22" t="str">
        <f aca="false">customer_churn_dataset!C842</f>
        <v>One year</v>
      </c>
      <c r="D95" s="0" t="n">
        <f aca="false">INDEX(customer_churn_dataset!$E$2:$E$1501,MATCH($A96,customer_churn_dataset!$A$2:$A$1501,0))</f>
        <v>36</v>
      </c>
      <c r="E95" s="0" t="n">
        <f aca="false">INDEX(customer_churn_dataset!$I$2:$I$1501,MATCH($A96,customer_churn_dataset!$A$2:$A$1501,0))</f>
        <v>26.5</v>
      </c>
      <c r="F95" s="0" t="n">
        <f aca="false">INDEX(customer_churn_dataset!$L$2:$L$1501,MATCH($A96,customer_churn_dataset!$A$2:$A$1501,0))</f>
        <v>1</v>
      </c>
      <c r="G95" s="0" t="str">
        <f aca="false">IF(INDEX(customer_churn_dataset!$M$2:$M$1501,MATCH($A96,customer_churn_dataset!$A$2:$A$1501,0))=1,"Yes","No")</f>
        <v>Yes</v>
      </c>
      <c r="H95" s="0" t="n">
        <f aca="false">INDEX(customer_churn_dataset!$N$2:$N$1501,MATCH($A96,customer_churn_dataset!$A$2:$A$1501,0))</f>
        <v>1413</v>
      </c>
      <c r="I95" s="0" t="n">
        <f aca="false">INDEX(customer_churn_dataset!$O$2:$O$1501,MATCH($A96,customer_churn_dataset!$A$2:$A$1501,0))</f>
        <v>0</v>
      </c>
      <c r="J95" s="0" t="n">
        <f aca="false">INDEX(customer_churn_dataset!$T$2:$T$1501,MATCH($A96,customer_churn_dataset!$A$2:$A$1501,0))</f>
        <v>6</v>
      </c>
      <c r="K95" s="0" t="str">
        <f aca="false">INDEX(customer_churn_dataset!$V$2:$V$1501,MATCH($A96,customer_churn_dataset!$A$2:$A$1501,0))</f>
        <v>High Risk</v>
      </c>
    </row>
    <row r="96" customFormat="false" ht="12.8" hidden="true" customHeight="false" outlineLevel="0" collapsed="false">
      <c r="A96" s="22" t="str">
        <f aca="false">customer_churn_dataset!A853</f>
        <v>CUST100614</v>
      </c>
      <c r="B96" s="22" t="str">
        <f aca="false">customer_churn_dataset!B853</f>
        <v>Premium</v>
      </c>
      <c r="C96" s="22" t="str">
        <f aca="false">customer_churn_dataset!C853</f>
        <v>One year</v>
      </c>
      <c r="D96" s="0" t="n">
        <f aca="false">INDEX(customer_churn_dataset!$E$2:$E$1501,MATCH($A97,customer_churn_dataset!$A$2:$A$1501,0))</f>
        <v>7</v>
      </c>
      <c r="E96" s="0" t="n">
        <f aca="false">INDEX(customer_churn_dataset!$I$2:$I$1501,MATCH($A97,customer_churn_dataset!$A$2:$A$1501,0))</f>
        <v>80.1</v>
      </c>
      <c r="F96" s="0" t="n">
        <f aca="false">INDEX(customer_churn_dataset!$L$2:$L$1501,MATCH($A97,customer_churn_dataset!$A$2:$A$1501,0))</f>
        <v>1</v>
      </c>
      <c r="G96" s="0" t="str">
        <f aca="false">IF(INDEX(customer_churn_dataset!$M$2:$M$1501,MATCH($A97,customer_churn_dataset!$A$2:$A$1501,0))=1,"Yes","No")</f>
        <v>Yes</v>
      </c>
      <c r="H96" s="0" t="n">
        <f aca="false">INDEX(customer_churn_dataset!$N$2:$N$1501,MATCH($A97,customer_churn_dataset!$A$2:$A$1501,0))</f>
        <v>71.19</v>
      </c>
      <c r="I96" s="0" t="n">
        <f aca="false">INDEX(customer_churn_dataset!$O$2:$O$1501,MATCH($A97,customer_churn_dataset!$A$2:$A$1501,0))</f>
        <v>1</v>
      </c>
      <c r="J96" s="0" t="n">
        <f aca="false">INDEX(customer_churn_dataset!$T$2:$T$1501,MATCH($A97,customer_churn_dataset!$A$2:$A$1501,0))</f>
        <v>6</v>
      </c>
      <c r="K96" s="0" t="str">
        <f aca="false">INDEX(customer_churn_dataset!$V$2:$V$1501,MATCH($A97,customer_churn_dataset!$A$2:$A$1501,0))</f>
        <v>High Risk</v>
      </c>
    </row>
    <row r="97" customFormat="false" ht="12.8" hidden="true" customHeight="false" outlineLevel="0" collapsed="false">
      <c r="A97" s="22" t="str">
        <f aca="false">customer_churn_dataset!A860</f>
        <v>CUST100333</v>
      </c>
      <c r="B97" s="22" t="str">
        <f aca="false">customer_churn_dataset!B860</f>
        <v>Basic</v>
      </c>
      <c r="C97" s="22" t="str">
        <f aca="false">customer_churn_dataset!C860</f>
        <v>Month-to-month</v>
      </c>
      <c r="D97" s="0" t="n">
        <f aca="false">INDEX(customer_churn_dataset!$E$2:$E$1501,MATCH($A98,customer_churn_dataset!$A$2:$A$1501,0))</f>
        <v>1</v>
      </c>
      <c r="E97" s="0" t="n">
        <f aca="false">INDEX(customer_churn_dataset!$I$2:$I$1501,MATCH($A98,customer_churn_dataset!$A$2:$A$1501,0))</f>
        <v>40.1</v>
      </c>
      <c r="F97" s="0" t="n">
        <f aca="false">INDEX(customer_churn_dataset!$L$2:$L$1501,MATCH($A98,customer_churn_dataset!$A$2:$A$1501,0))</f>
        <v>0</v>
      </c>
      <c r="G97" s="0" t="str">
        <f aca="false">IF(INDEX(customer_churn_dataset!$M$2:$M$1501,MATCH($A98,customer_churn_dataset!$A$2:$A$1501,0))=1,"Yes","No")</f>
        <v>No</v>
      </c>
      <c r="H97" s="0" t="n">
        <f aca="false">INDEX(customer_churn_dataset!$N$2:$N$1501,MATCH($A98,customer_churn_dataset!$A$2:$A$1501,0))</f>
        <v>8.12</v>
      </c>
      <c r="I97" s="0" t="n">
        <f aca="false">INDEX(customer_churn_dataset!$O$2:$O$1501,MATCH($A98,customer_churn_dataset!$A$2:$A$1501,0))</f>
        <v>1</v>
      </c>
      <c r="J97" s="0" t="n">
        <f aca="false">INDEX(customer_churn_dataset!$T$2:$T$1501,MATCH($A98,customer_churn_dataset!$A$2:$A$1501,0))</f>
        <v>4</v>
      </c>
      <c r="K97" s="0" t="str">
        <f aca="false">INDEX(customer_churn_dataset!$V$2:$V$1501,MATCH($A98,customer_churn_dataset!$A$2:$A$1501,0))</f>
        <v>Medium Risk</v>
      </c>
    </row>
    <row r="98" customFormat="false" ht="12.8" hidden="true" customHeight="false" outlineLevel="0" collapsed="false">
      <c r="A98" s="22" t="str">
        <f aca="false">customer_churn_dataset!A871</f>
        <v>CUST100353</v>
      </c>
      <c r="B98" s="22" t="str">
        <f aca="false">customer_churn_dataset!B871</f>
        <v>Basic</v>
      </c>
      <c r="C98" s="22" t="str">
        <f aca="false">customer_churn_dataset!C871</f>
        <v>Month-to-month</v>
      </c>
      <c r="D98" s="0" t="n">
        <f aca="false">INDEX(customer_churn_dataset!$E$2:$E$1501,MATCH($A99,customer_churn_dataset!$A$2:$A$1501,0))</f>
        <v>71</v>
      </c>
      <c r="E98" s="0" t="n">
        <f aca="false">INDEX(customer_churn_dataset!$I$2:$I$1501,MATCH($A99,customer_churn_dataset!$A$2:$A$1501,0))</f>
        <v>41.9</v>
      </c>
      <c r="F98" s="0" t="n">
        <f aca="false">INDEX(customer_churn_dataset!$L$2:$L$1501,MATCH($A99,customer_churn_dataset!$A$2:$A$1501,0))</f>
        <v>0</v>
      </c>
      <c r="G98" s="0" t="str">
        <f aca="false">IF(INDEX(customer_churn_dataset!$M$2:$M$1501,MATCH($A99,customer_churn_dataset!$A$2:$A$1501,0))=1,"Yes","No")</f>
        <v>No</v>
      </c>
      <c r="H98" s="0" t="n">
        <f aca="false">INDEX(customer_churn_dataset!$N$2:$N$1501,MATCH($A99,customer_churn_dataset!$A$2:$A$1501,0))</f>
        <v>2985.55</v>
      </c>
      <c r="I98" s="0" t="n">
        <f aca="false">INDEX(customer_churn_dataset!$O$2:$O$1501,MATCH($A99,customer_churn_dataset!$A$2:$A$1501,0))</f>
        <v>0</v>
      </c>
      <c r="J98" s="0" t="n">
        <f aca="false">INDEX(customer_churn_dataset!$T$2:$T$1501,MATCH($A99,customer_churn_dataset!$A$2:$A$1501,0))</f>
        <v>3</v>
      </c>
      <c r="K98" s="0" t="str">
        <f aca="false">INDEX(customer_churn_dataset!$V$2:$V$1501,MATCH($A99,customer_churn_dataset!$A$2:$A$1501,0))</f>
        <v>Medium Risk</v>
      </c>
    </row>
    <row r="99" customFormat="false" ht="12.8" hidden="true" customHeight="false" outlineLevel="0" collapsed="false">
      <c r="A99" s="22" t="str">
        <f aca="false">customer_churn_dataset!A883</f>
        <v>CUST100478</v>
      </c>
      <c r="B99" s="22" t="str">
        <f aca="false">customer_churn_dataset!B883</f>
        <v>Premium</v>
      </c>
      <c r="C99" s="22" t="str">
        <f aca="false">customer_churn_dataset!C883</f>
        <v>Month-to-month</v>
      </c>
      <c r="D99" s="0" t="n">
        <f aca="false">INDEX(customer_churn_dataset!$E$2:$E$1501,MATCH($A100,customer_churn_dataset!$A$2:$A$1501,0))</f>
        <v>8</v>
      </c>
      <c r="E99" s="0" t="n">
        <f aca="false">INDEX(customer_churn_dataset!$I$2:$I$1501,MATCH($A100,customer_churn_dataset!$A$2:$A$1501,0))</f>
        <v>7.3</v>
      </c>
      <c r="F99" s="0" t="n">
        <f aca="false">INDEX(customer_churn_dataset!$L$2:$L$1501,MATCH($A100,customer_churn_dataset!$A$2:$A$1501,0))</f>
        <v>3</v>
      </c>
      <c r="G99" s="0" t="str">
        <f aca="false">IF(INDEX(customer_churn_dataset!$M$2:$M$1501,MATCH($A100,customer_churn_dataset!$A$2:$A$1501,0))=1,"Yes","No")</f>
        <v>No</v>
      </c>
      <c r="H99" s="0" t="n">
        <f aca="false">INDEX(customer_churn_dataset!$N$2:$N$1501,MATCH($A100,customer_churn_dataset!$A$2:$A$1501,0))</f>
        <v>79.2</v>
      </c>
      <c r="I99" s="0" t="n">
        <f aca="false">INDEX(customer_churn_dataset!$O$2:$O$1501,MATCH($A100,customer_churn_dataset!$A$2:$A$1501,0))</f>
        <v>1</v>
      </c>
      <c r="J99" s="0" t="n">
        <f aca="false">INDEX(customer_churn_dataset!$T$2:$T$1501,MATCH($A100,customer_churn_dataset!$A$2:$A$1501,0))</f>
        <v>6</v>
      </c>
      <c r="K99" s="0" t="str">
        <f aca="false">INDEX(customer_churn_dataset!$V$2:$V$1501,MATCH($A100,customer_churn_dataset!$A$2:$A$1501,0))</f>
        <v>High Risk</v>
      </c>
    </row>
    <row r="100" customFormat="false" ht="12.8" hidden="true" customHeight="false" outlineLevel="0" collapsed="false">
      <c r="A100" s="22" t="str">
        <f aca="false">customer_churn_dataset!A891</f>
        <v>CUST100555</v>
      </c>
      <c r="B100" s="22" t="str">
        <f aca="false">customer_churn_dataset!B891</f>
        <v>Basic</v>
      </c>
      <c r="C100" s="22" t="str">
        <f aca="false">customer_churn_dataset!C891</f>
        <v>Month-to-month</v>
      </c>
      <c r="D100" s="0" t="n">
        <f aca="false">INDEX(customer_churn_dataset!$E$2:$E$1501,MATCH($A101,customer_churn_dataset!$A$2:$A$1501,0))</f>
        <v>7</v>
      </c>
      <c r="E100" s="0" t="n">
        <f aca="false">INDEX(customer_churn_dataset!$I$2:$I$1501,MATCH($A101,customer_churn_dataset!$A$2:$A$1501,0))</f>
        <v>41.3</v>
      </c>
      <c r="F100" s="0" t="n">
        <f aca="false">INDEX(customer_churn_dataset!$L$2:$L$1501,MATCH($A101,customer_churn_dataset!$A$2:$A$1501,0))</f>
        <v>1</v>
      </c>
      <c r="G100" s="0" t="str">
        <f aca="false">IF(INDEX(customer_churn_dataset!$M$2:$M$1501,MATCH($A101,customer_churn_dataset!$A$2:$A$1501,0))=1,"Yes","No")</f>
        <v>No</v>
      </c>
      <c r="H100" s="0" t="n">
        <f aca="false">INDEX(customer_churn_dataset!$N$2:$N$1501,MATCH($A101,customer_churn_dataset!$A$2:$A$1501,0))</f>
        <v>80.71</v>
      </c>
      <c r="I100" s="0" t="n">
        <f aca="false">INDEX(customer_churn_dataset!$O$2:$O$1501,MATCH($A101,customer_churn_dataset!$A$2:$A$1501,0))</f>
        <v>0</v>
      </c>
      <c r="J100" s="0" t="n">
        <f aca="false">INDEX(customer_churn_dataset!$T$2:$T$1501,MATCH($A101,customer_churn_dataset!$A$2:$A$1501,0))</f>
        <v>3</v>
      </c>
      <c r="K100" s="0" t="str">
        <f aca="false">INDEX(customer_churn_dataset!$V$2:$V$1501,MATCH($A101,customer_churn_dataset!$A$2:$A$1501,0))</f>
        <v>Medium Risk</v>
      </c>
    </row>
    <row r="101" customFormat="false" ht="12.8" hidden="true" customHeight="false" outlineLevel="0" collapsed="false">
      <c r="A101" s="22" t="str">
        <f aca="false">customer_churn_dataset!A894</f>
        <v>CUST100334</v>
      </c>
      <c r="B101" s="22" t="str">
        <f aca="false">customer_churn_dataset!B894</f>
        <v>Basic</v>
      </c>
      <c r="C101" s="22" t="str">
        <f aca="false">customer_churn_dataset!C894</f>
        <v>One year</v>
      </c>
      <c r="D101" s="0" t="n">
        <f aca="false">INDEX(customer_churn_dataset!$E$2:$E$1501,MATCH($A102,customer_churn_dataset!$A$2:$A$1501,0))</f>
        <v>27</v>
      </c>
      <c r="E101" s="0" t="n">
        <f aca="false">INDEX(customer_churn_dataset!$I$2:$I$1501,MATCH($A102,customer_churn_dataset!$A$2:$A$1501,0))</f>
        <v>68.9</v>
      </c>
      <c r="F101" s="0" t="n">
        <f aca="false">INDEX(customer_churn_dataset!$L$2:$L$1501,MATCH($A102,customer_churn_dataset!$A$2:$A$1501,0))</f>
        <v>0</v>
      </c>
      <c r="G101" s="0" t="str">
        <f aca="false">IF(INDEX(customer_churn_dataset!$M$2:$M$1501,MATCH($A102,customer_churn_dataset!$A$2:$A$1501,0))=1,"Yes","No")</f>
        <v>No</v>
      </c>
      <c r="H101" s="0" t="n">
        <f aca="false">INDEX(customer_churn_dataset!$N$2:$N$1501,MATCH($A102,customer_churn_dataset!$A$2:$A$1501,0))</f>
        <v>572.4</v>
      </c>
      <c r="I101" s="0" t="n">
        <f aca="false">INDEX(customer_churn_dataset!$O$2:$O$1501,MATCH($A102,customer_churn_dataset!$A$2:$A$1501,0))</f>
        <v>0</v>
      </c>
      <c r="J101" s="0" t="n">
        <f aca="false">INDEX(customer_churn_dataset!$T$2:$T$1501,MATCH($A102,customer_churn_dataset!$A$2:$A$1501,0))</f>
        <v>1</v>
      </c>
      <c r="K101" s="0" t="str">
        <f aca="false">INDEX(customer_churn_dataset!$V$2:$V$1501,MATCH($A102,customer_churn_dataset!$A$2:$A$1501,0))</f>
        <v>Low Risk</v>
      </c>
    </row>
    <row r="102" customFormat="false" ht="12.8" hidden="true" customHeight="false" outlineLevel="0" collapsed="false">
      <c r="A102" s="22" t="str">
        <f aca="false">customer_churn_dataset!A900</f>
        <v>CUST100337</v>
      </c>
      <c r="B102" s="22" t="str">
        <f aca="false">customer_churn_dataset!B900</f>
        <v>Standard</v>
      </c>
      <c r="C102" s="22" t="str">
        <f aca="false">customer_churn_dataset!C900</f>
        <v>One year</v>
      </c>
      <c r="D102" s="0" t="n">
        <f aca="false">INDEX(customer_churn_dataset!$E$2:$E$1501,MATCH($A103,customer_churn_dataset!$A$2:$A$1501,0))</f>
        <v>9</v>
      </c>
      <c r="E102" s="0" t="n">
        <f aca="false">INDEX(customer_churn_dataset!$I$2:$I$1501,MATCH($A103,customer_churn_dataset!$A$2:$A$1501,0))</f>
        <v>51.3</v>
      </c>
      <c r="F102" s="0" t="n">
        <f aca="false">INDEX(customer_churn_dataset!$L$2:$L$1501,MATCH($A103,customer_churn_dataset!$A$2:$A$1501,0))</f>
        <v>1</v>
      </c>
      <c r="G102" s="0" t="str">
        <f aca="false">IF(INDEX(customer_churn_dataset!$M$2:$M$1501,MATCH($A103,customer_churn_dataset!$A$2:$A$1501,0))=1,"Yes","No")</f>
        <v>No</v>
      </c>
      <c r="H102" s="0" t="n">
        <f aca="false">INDEX(customer_churn_dataset!$N$2:$N$1501,MATCH($A103,customer_churn_dataset!$A$2:$A$1501,0))</f>
        <v>84.96</v>
      </c>
      <c r="I102" s="0" t="n">
        <f aca="false">INDEX(customer_churn_dataset!$O$2:$O$1501,MATCH($A103,customer_churn_dataset!$A$2:$A$1501,0))</f>
        <v>0</v>
      </c>
      <c r="J102" s="0" t="n">
        <f aca="false">INDEX(customer_churn_dataset!$T$2:$T$1501,MATCH($A103,customer_churn_dataset!$A$2:$A$1501,0))</f>
        <v>2</v>
      </c>
      <c r="K102" s="0" t="str">
        <f aca="false">INDEX(customer_churn_dataset!$V$2:$V$1501,MATCH($A103,customer_churn_dataset!$A$2:$A$1501,0))</f>
        <v>Low Risk</v>
      </c>
    </row>
    <row r="103" customFormat="false" ht="12.8" hidden="true" customHeight="false" outlineLevel="0" collapsed="false">
      <c r="A103" s="22" t="str">
        <f aca="false">customer_churn_dataset!A941</f>
        <v>CUST100077</v>
      </c>
      <c r="B103" s="22" t="str">
        <f aca="false">customer_churn_dataset!B941</f>
        <v>Basic</v>
      </c>
      <c r="C103" s="22" t="str">
        <f aca="false">customer_churn_dataset!C941</f>
        <v>Two year</v>
      </c>
      <c r="D103" s="0" t="n">
        <f aca="false">INDEX(customer_churn_dataset!$E$2:$E$1501,MATCH($A104,customer_churn_dataset!$A$2:$A$1501,0))</f>
        <v>17</v>
      </c>
      <c r="E103" s="0" t="n">
        <f aca="false">INDEX(customer_churn_dataset!$I$2:$I$1501,MATCH($A104,customer_churn_dataset!$A$2:$A$1501,0))</f>
        <v>42.5</v>
      </c>
      <c r="F103" s="0" t="n">
        <f aca="false">INDEX(customer_churn_dataset!$L$2:$L$1501,MATCH($A104,customer_churn_dataset!$A$2:$A$1501,0))</f>
        <v>1</v>
      </c>
      <c r="G103" s="0" t="str">
        <f aca="false">IF(INDEX(customer_churn_dataset!$M$2:$M$1501,MATCH($A104,customer_churn_dataset!$A$2:$A$1501,0))=1,"Yes","No")</f>
        <v>No</v>
      </c>
      <c r="H103" s="0" t="n">
        <f aca="false">INDEX(customer_churn_dataset!$N$2:$N$1501,MATCH($A104,customer_churn_dataset!$A$2:$A$1501,0))</f>
        <v>344.25</v>
      </c>
      <c r="I103" s="0" t="n">
        <f aca="false">INDEX(customer_churn_dataset!$O$2:$O$1501,MATCH($A104,customer_churn_dataset!$A$2:$A$1501,0))</f>
        <v>0</v>
      </c>
      <c r="J103" s="0" t="n">
        <f aca="false">INDEX(customer_churn_dataset!$T$2:$T$1501,MATCH($A104,customer_churn_dataset!$A$2:$A$1501,0))</f>
        <v>2</v>
      </c>
      <c r="K103" s="0" t="str">
        <f aca="false">INDEX(customer_churn_dataset!$V$2:$V$1501,MATCH($A104,customer_churn_dataset!$A$2:$A$1501,0))</f>
        <v>Low Risk</v>
      </c>
    </row>
    <row r="104" customFormat="false" ht="12.8" hidden="true" customHeight="false" outlineLevel="0" collapsed="false">
      <c r="A104" s="22" t="str">
        <f aca="false">customer_churn_dataset!A947</f>
        <v>CUST101285</v>
      </c>
      <c r="B104" s="22" t="str">
        <f aca="false">customer_churn_dataset!B947</f>
        <v>Standard</v>
      </c>
      <c r="C104" s="22" t="str">
        <f aca="false">customer_churn_dataset!C947</f>
        <v>One year</v>
      </c>
      <c r="D104" s="0" t="n">
        <f aca="false">INDEX(customer_churn_dataset!$E$2:$E$1501,MATCH($A105,customer_churn_dataset!$A$2:$A$1501,0))</f>
        <v>6</v>
      </c>
      <c r="E104" s="0" t="n">
        <f aca="false">INDEX(customer_churn_dataset!$I$2:$I$1501,MATCH($A105,customer_churn_dataset!$A$2:$A$1501,0))</f>
        <v>72.6</v>
      </c>
      <c r="F104" s="0" t="n">
        <f aca="false">INDEX(customer_churn_dataset!$L$2:$L$1501,MATCH($A105,customer_churn_dataset!$A$2:$A$1501,0))</f>
        <v>2</v>
      </c>
      <c r="G104" s="0" t="str">
        <f aca="false">IF(INDEX(customer_churn_dataset!$M$2:$M$1501,MATCH($A105,customer_churn_dataset!$A$2:$A$1501,0))=1,"Yes","No")</f>
        <v>No</v>
      </c>
      <c r="H104" s="0" t="n">
        <f aca="false">INDEX(customer_churn_dataset!$N$2:$N$1501,MATCH($A105,customer_churn_dataset!$A$2:$A$1501,0))</f>
        <v>59.4</v>
      </c>
      <c r="I104" s="0" t="n">
        <f aca="false">INDEX(customer_churn_dataset!$O$2:$O$1501,MATCH($A105,customer_churn_dataset!$A$2:$A$1501,0))</f>
        <v>0</v>
      </c>
      <c r="J104" s="0" t="n">
        <f aca="false">INDEX(customer_churn_dataset!$T$2:$T$1501,MATCH($A105,customer_churn_dataset!$A$2:$A$1501,0))</f>
        <v>3</v>
      </c>
      <c r="K104" s="0" t="str">
        <f aca="false">INDEX(customer_churn_dataset!$V$2:$V$1501,MATCH($A105,customer_churn_dataset!$A$2:$A$1501,0))</f>
        <v>Medium Risk</v>
      </c>
    </row>
    <row r="105" customFormat="false" ht="12.8" hidden="true" customHeight="false" outlineLevel="0" collapsed="false">
      <c r="A105" s="22" t="str">
        <f aca="false">customer_churn_dataset!A966</f>
        <v>CUST100734</v>
      </c>
      <c r="B105" s="22" t="str">
        <f aca="false">customer_churn_dataset!B966</f>
        <v>Basic</v>
      </c>
      <c r="C105" s="22" t="str">
        <f aca="false">customer_churn_dataset!C966</f>
        <v>One year</v>
      </c>
      <c r="D105" s="0" t="n">
        <f aca="false">INDEX(customer_churn_dataset!$E$2:$E$1501,MATCH($A106,customer_churn_dataset!$A$2:$A$1501,0))</f>
        <v>56</v>
      </c>
      <c r="E105" s="0" t="n">
        <f aca="false">INDEX(customer_churn_dataset!$I$2:$I$1501,MATCH($A106,customer_churn_dataset!$A$2:$A$1501,0))</f>
        <v>70.5</v>
      </c>
      <c r="F105" s="0" t="n">
        <f aca="false">INDEX(customer_churn_dataset!$L$2:$L$1501,MATCH($A106,customer_churn_dataset!$A$2:$A$1501,0))</f>
        <v>0</v>
      </c>
      <c r="G105" s="0" t="str">
        <f aca="false">IF(INDEX(customer_churn_dataset!$M$2:$M$1501,MATCH($A106,customer_churn_dataset!$A$2:$A$1501,0))=1,"Yes","No")</f>
        <v>No</v>
      </c>
      <c r="H105" s="0" t="n">
        <f aca="false">INDEX(customer_churn_dataset!$N$2:$N$1501,MATCH($A106,customer_churn_dataset!$A$2:$A$1501,0))</f>
        <v>486.64</v>
      </c>
      <c r="I105" s="0" t="n">
        <f aca="false">INDEX(customer_churn_dataset!$O$2:$O$1501,MATCH($A106,customer_churn_dataset!$A$2:$A$1501,0))</f>
        <v>0</v>
      </c>
      <c r="J105" s="0" t="n">
        <f aca="false">INDEX(customer_churn_dataset!$T$2:$T$1501,MATCH($A106,customer_churn_dataset!$A$2:$A$1501,0))</f>
        <v>2</v>
      </c>
      <c r="K105" s="0" t="str">
        <f aca="false">INDEX(customer_churn_dataset!$V$2:$V$1501,MATCH($A106,customer_churn_dataset!$A$2:$A$1501,0))</f>
        <v>Low Risk</v>
      </c>
    </row>
    <row r="106" customFormat="false" ht="12.8" hidden="false" customHeight="false" outlineLevel="0" collapsed="false">
      <c r="A106" s="23" t="str">
        <f aca="false">customer_churn_dataset!A981</f>
        <v>CUST101246</v>
      </c>
      <c r="B106" s="24" t="str">
        <f aca="false">customer_churn_dataset!B981</f>
        <v>Basic</v>
      </c>
      <c r="C106" s="24" t="str">
        <f aca="false">customer_churn_dataset!C981</f>
        <v>Month-to-month</v>
      </c>
      <c r="D106" s="25" t="n">
        <f aca="false">INDEX(customer_churn_dataset!$E$2:$E$1501,MATCH($A107,customer_churn_dataset!$A$2:$A$1501,0))</f>
        <v>2</v>
      </c>
      <c r="E106" s="25" t="n">
        <f aca="false">INDEX(customer_churn_dataset!$I$2:$I$1501,MATCH($A107,customer_churn_dataset!$A$2:$A$1501,0))</f>
        <v>49.7</v>
      </c>
      <c r="F106" s="25" t="n">
        <f aca="false">INDEX(customer_churn_dataset!$L$2:$L$1501,MATCH($A107,customer_churn_dataset!$A$2:$A$1501,0))</f>
        <v>2</v>
      </c>
      <c r="G106" s="25" t="str">
        <f aca="false">IF(INDEX(customer_churn_dataset!$M$2:$M$1501,MATCH($A107,customer_churn_dataset!$A$2:$A$1501,0))=1,"Yes","No")</f>
        <v>Yes</v>
      </c>
      <c r="H106" s="25" t="n">
        <f aca="false">INDEX(customer_churn_dataset!$N$2:$N$1501,MATCH($A107,customer_churn_dataset!$A$2:$A$1501,0))</f>
        <v>22.3</v>
      </c>
      <c r="I106" s="25" t="n">
        <f aca="false">INDEX(customer_churn_dataset!$O$2:$O$1501,MATCH($A107,customer_churn_dataset!$A$2:$A$1501,0))</f>
        <v>1</v>
      </c>
      <c r="J106" s="25" t="n">
        <f aca="false">INDEX(customer_churn_dataset!$T$2:$T$1501,MATCH($A107,customer_churn_dataset!$A$2:$A$1501,0))</f>
        <v>8</v>
      </c>
      <c r="K106" s="25" t="str">
        <f aca="false">INDEX(customer_churn_dataset!$V$2:$V$1501,MATCH($A107,customer_churn_dataset!$A$2:$A$1501,0))</f>
        <v>High Risk</v>
      </c>
    </row>
    <row r="107" customFormat="false" ht="12.8" hidden="true" customHeight="false" outlineLevel="0" collapsed="false">
      <c r="A107" s="22" t="str">
        <f aca="false">customer_churn_dataset!A991</f>
        <v>CUST100583</v>
      </c>
      <c r="B107" s="22" t="str">
        <f aca="false">customer_churn_dataset!B991</f>
        <v>Basic</v>
      </c>
      <c r="C107" s="22" t="str">
        <f aca="false">customer_churn_dataset!C991</f>
        <v>Month-to-month</v>
      </c>
      <c r="D107" s="0" t="n">
        <f aca="false">INDEX(customer_churn_dataset!$E$2:$E$1501,MATCH($A108,customer_churn_dataset!$A$2:$A$1501,0))</f>
        <v>1</v>
      </c>
      <c r="E107" s="0" t="n">
        <f aca="false">INDEX(customer_churn_dataset!$I$2:$I$1501,MATCH($A108,customer_churn_dataset!$A$2:$A$1501,0))</f>
        <v>72.3</v>
      </c>
      <c r="F107" s="0" t="n">
        <f aca="false">INDEX(customer_churn_dataset!$L$2:$L$1501,MATCH($A108,customer_churn_dataset!$A$2:$A$1501,0))</f>
        <v>2</v>
      </c>
      <c r="G107" s="0" t="str">
        <f aca="false">IF(INDEX(customer_churn_dataset!$M$2:$M$1501,MATCH($A108,customer_churn_dataset!$A$2:$A$1501,0))=1,"Yes","No")</f>
        <v>No</v>
      </c>
      <c r="H107" s="0" t="n">
        <f aca="false">INDEX(customer_churn_dataset!$N$2:$N$1501,MATCH($A108,customer_churn_dataset!$A$2:$A$1501,0))</f>
        <v>39.8</v>
      </c>
      <c r="I107" s="0" t="n">
        <f aca="false">INDEX(customer_churn_dataset!$O$2:$O$1501,MATCH($A108,customer_churn_dataset!$A$2:$A$1501,0))</f>
        <v>0</v>
      </c>
      <c r="J107" s="0" t="n">
        <f aca="false">INDEX(customer_churn_dataset!$T$2:$T$1501,MATCH($A108,customer_churn_dataset!$A$2:$A$1501,0))</f>
        <v>2</v>
      </c>
      <c r="K107" s="0" t="str">
        <f aca="false">INDEX(customer_churn_dataset!$V$2:$V$1501,MATCH($A108,customer_churn_dataset!$A$2:$A$1501,0))</f>
        <v>Low Risk</v>
      </c>
    </row>
    <row r="108" customFormat="false" ht="12.8" hidden="true" customHeight="false" outlineLevel="0" collapsed="false">
      <c r="A108" s="22" t="str">
        <f aca="false">customer_churn_dataset!A1004</f>
        <v>CUST101088</v>
      </c>
      <c r="B108" s="22" t="str">
        <f aca="false">customer_churn_dataset!B1004</f>
        <v>Premium</v>
      </c>
      <c r="C108" s="22" t="str">
        <f aca="false">customer_churn_dataset!C1004</f>
        <v>Two year</v>
      </c>
      <c r="D108" s="0" t="n">
        <f aca="false">INDEX(customer_churn_dataset!$E$2:$E$1501,MATCH($A109,customer_churn_dataset!$A$2:$A$1501,0))</f>
        <v>6</v>
      </c>
      <c r="E108" s="0" t="n">
        <f aca="false">INDEX(customer_churn_dataset!$I$2:$I$1501,MATCH($A109,customer_churn_dataset!$A$2:$A$1501,0))</f>
        <v>41.9</v>
      </c>
      <c r="F108" s="0" t="n">
        <f aca="false">INDEX(customer_churn_dataset!$L$2:$L$1501,MATCH($A109,customer_churn_dataset!$A$2:$A$1501,0))</f>
        <v>2</v>
      </c>
      <c r="G108" s="0" t="str">
        <f aca="false">IF(INDEX(customer_churn_dataset!$M$2:$M$1501,MATCH($A109,customer_churn_dataset!$A$2:$A$1501,0))=1,"Yes","No")</f>
        <v>No</v>
      </c>
      <c r="H108" s="0" t="n">
        <f aca="false">INDEX(customer_churn_dataset!$N$2:$N$1501,MATCH($A109,customer_churn_dataset!$A$2:$A$1501,0))</f>
        <v>63.96</v>
      </c>
      <c r="I108" s="0" t="n">
        <f aca="false">INDEX(customer_churn_dataset!$O$2:$O$1501,MATCH($A109,customer_churn_dataset!$A$2:$A$1501,0))</f>
        <v>0</v>
      </c>
      <c r="J108" s="0" t="n">
        <f aca="false">INDEX(customer_churn_dataset!$T$2:$T$1501,MATCH($A109,customer_churn_dataset!$A$2:$A$1501,0))</f>
        <v>4</v>
      </c>
      <c r="K108" s="0" t="str">
        <f aca="false">INDEX(customer_churn_dataset!$V$2:$V$1501,MATCH($A109,customer_churn_dataset!$A$2:$A$1501,0))</f>
        <v>Medium Risk</v>
      </c>
    </row>
    <row r="109" customFormat="false" ht="12.8" hidden="true" customHeight="false" outlineLevel="0" collapsed="false">
      <c r="A109" s="22" t="str">
        <f aca="false">customer_churn_dataset!A1008</f>
        <v>CUST100936</v>
      </c>
      <c r="B109" s="22" t="str">
        <f aca="false">customer_churn_dataset!B1008</f>
        <v>Basic</v>
      </c>
      <c r="C109" s="22" t="str">
        <f aca="false">customer_churn_dataset!C1008</f>
        <v>One year</v>
      </c>
      <c r="D109" s="0" t="n">
        <f aca="false">INDEX(customer_churn_dataset!$E$2:$E$1501,MATCH($A110,customer_churn_dataset!$A$2:$A$1501,0))</f>
        <v>5</v>
      </c>
      <c r="E109" s="0" t="n">
        <f aca="false">INDEX(customer_churn_dataset!$I$2:$I$1501,MATCH($A110,customer_churn_dataset!$A$2:$A$1501,0))</f>
        <v>68.7</v>
      </c>
      <c r="F109" s="0" t="n">
        <f aca="false">INDEX(customer_churn_dataset!$L$2:$L$1501,MATCH($A110,customer_churn_dataset!$A$2:$A$1501,0))</f>
        <v>1</v>
      </c>
      <c r="G109" s="0" t="str">
        <f aca="false">IF(INDEX(customer_churn_dataset!$M$2:$M$1501,MATCH($A110,customer_churn_dataset!$A$2:$A$1501,0))=1,"Yes","No")</f>
        <v>Yes</v>
      </c>
      <c r="H109" s="0" t="n">
        <f aca="false">INDEX(customer_churn_dataset!$N$2:$N$1501,MATCH($A110,customer_churn_dataset!$A$2:$A$1501,0))</f>
        <v>54.95</v>
      </c>
      <c r="I109" s="0" t="n">
        <f aca="false">INDEX(customer_churn_dataset!$O$2:$O$1501,MATCH($A110,customer_churn_dataset!$A$2:$A$1501,0))</f>
        <v>0</v>
      </c>
      <c r="J109" s="0" t="n">
        <f aca="false">INDEX(customer_churn_dataset!$T$2:$T$1501,MATCH($A110,customer_churn_dataset!$A$2:$A$1501,0))</f>
        <v>4</v>
      </c>
      <c r="K109" s="0" t="str">
        <f aca="false">INDEX(customer_churn_dataset!$V$2:$V$1501,MATCH($A110,customer_churn_dataset!$A$2:$A$1501,0))</f>
        <v>Medium Risk</v>
      </c>
    </row>
    <row r="110" customFormat="false" ht="12.8" hidden="true" customHeight="false" outlineLevel="0" collapsed="false">
      <c r="A110" s="22" t="str">
        <f aca="false">customer_churn_dataset!A1020</f>
        <v>CUST100589</v>
      </c>
      <c r="B110" s="22" t="str">
        <f aca="false">customer_churn_dataset!B1020</f>
        <v>Basic</v>
      </c>
      <c r="C110" s="22" t="str">
        <f aca="false">customer_churn_dataset!C1020</f>
        <v>Two year</v>
      </c>
      <c r="D110" s="0" t="n">
        <f aca="false">INDEX(customer_churn_dataset!$E$2:$E$1501,MATCH($A111,customer_churn_dataset!$A$2:$A$1501,0))</f>
        <v>5</v>
      </c>
      <c r="E110" s="0" t="n">
        <f aca="false">INDEX(customer_churn_dataset!$I$2:$I$1501,MATCH($A111,customer_churn_dataset!$A$2:$A$1501,0))</f>
        <v>40.5</v>
      </c>
      <c r="F110" s="0" t="n">
        <f aca="false">INDEX(customer_churn_dataset!$L$2:$L$1501,MATCH($A111,customer_churn_dataset!$A$2:$A$1501,0))</f>
        <v>1</v>
      </c>
      <c r="G110" s="0" t="str">
        <f aca="false">IF(INDEX(customer_churn_dataset!$M$2:$M$1501,MATCH($A111,customer_churn_dataset!$A$2:$A$1501,0))=1,"Yes","No")</f>
        <v>Yes</v>
      </c>
      <c r="H110" s="0" t="n">
        <f aca="false">INDEX(customer_churn_dataset!$N$2:$N$1501,MATCH($A111,customer_churn_dataset!$A$2:$A$1501,0))</f>
        <v>92.6</v>
      </c>
      <c r="I110" s="0" t="n">
        <f aca="false">INDEX(customer_churn_dataset!$O$2:$O$1501,MATCH($A111,customer_churn_dataset!$A$2:$A$1501,0))</f>
        <v>1</v>
      </c>
      <c r="J110" s="0" t="n">
        <f aca="false">INDEX(customer_churn_dataset!$T$2:$T$1501,MATCH($A111,customer_churn_dataset!$A$2:$A$1501,0))</f>
        <v>7</v>
      </c>
      <c r="K110" s="0" t="str">
        <f aca="false">INDEX(customer_churn_dataset!$V$2:$V$1501,MATCH($A111,customer_churn_dataset!$A$2:$A$1501,0))</f>
        <v>High Risk</v>
      </c>
    </row>
    <row r="111" customFormat="false" ht="12.8" hidden="false" customHeight="false" outlineLevel="0" collapsed="false">
      <c r="A111" s="23" t="str">
        <f aca="false">customer_churn_dataset!A1024</f>
        <v>CUST100979</v>
      </c>
      <c r="B111" s="24" t="str">
        <f aca="false">customer_churn_dataset!B1024</f>
        <v>Standard</v>
      </c>
      <c r="C111" s="24" t="str">
        <f aca="false">customer_churn_dataset!C1024</f>
        <v>Month-to-month</v>
      </c>
      <c r="D111" s="25" t="n">
        <f aca="false">INDEX(customer_churn_dataset!$E$2:$E$1501,MATCH($A112,customer_churn_dataset!$A$2:$A$1501,0))</f>
        <v>0</v>
      </c>
      <c r="E111" s="25" t="n">
        <f aca="false">INDEX(customer_churn_dataset!$I$2:$I$1501,MATCH($A112,customer_churn_dataset!$A$2:$A$1501,0))</f>
        <v>25.5</v>
      </c>
      <c r="F111" s="25" t="n">
        <f aca="false">INDEX(customer_churn_dataset!$L$2:$L$1501,MATCH($A112,customer_churn_dataset!$A$2:$A$1501,0))</f>
        <v>2</v>
      </c>
      <c r="G111" s="25" t="str">
        <f aca="false">IF(INDEX(customer_churn_dataset!$M$2:$M$1501,MATCH($A112,customer_churn_dataset!$A$2:$A$1501,0))=1,"Yes","No")</f>
        <v>Yes</v>
      </c>
      <c r="H111" s="25" t="n">
        <f aca="false">INDEX(customer_churn_dataset!$N$2:$N$1501,MATCH($A112,customer_churn_dataset!$A$2:$A$1501,0))</f>
        <v>0</v>
      </c>
      <c r="I111" s="25" t="n">
        <f aca="false">INDEX(customer_churn_dataset!$O$2:$O$1501,MATCH($A112,customer_churn_dataset!$A$2:$A$1501,0))</f>
        <v>0</v>
      </c>
      <c r="J111" s="25" t="n">
        <f aca="false">INDEX(customer_churn_dataset!$T$2:$T$1501,MATCH($A112,customer_churn_dataset!$A$2:$A$1501,0))</f>
        <v>9</v>
      </c>
      <c r="K111" s="25" t="str">
        <f aca="false">INDEX(customer_churn_dataset!$V$2:$V$1501,MATCH($A112,customer_churn_dataset!$A$2:$A$1501,0))</f>
        <v>High Risk</v>
      </c>
    </row>
    <row r="112" customFormat="false" ht="12.8" hidden="true" customHeight="false" outlineLevel="0" collapsed="false">
      <c r="A112" s="22" t="str">
        <f aca="false">customer_churn_dataset!A1028</f>
        <v>CUST100699</v>
      </c>
      <c r="B112" s="22" t="str">
        <f aca="false">customer_churn_dataset!B1028</f>
        <v>Standard</v>
      </c>
      <c r="C112" s="22" t="str">
        <f aca="false">customer_churn_dataset!C1028</f>
        <v>Month-to-month</v>
      </c>
      <c r="D112" s="0" t="n">
        <f aca="false">INDEX(customer_churn_dataset!$E$2:$E$1501,MATCH($A113,customer_churn_dataset!$A$2:$A$1501,0))</f>
        <v>0</v>
      </c>
      <c r="E112" s="0" t="n">
        <f aca="false">INDEX(customer_churn_dataset!$I$2:$I$1501,MATCH($A113,customer_churn_dataset!$A$2:$A$1501,0))</f>
        <v>78.6</v>
      </c>
      <c r="F112" s="0" t="n">
        <f aca="false">INDEX(customer_churn_dataset!$L$2:$L$1501,MATCH($A113,customer_churn_dataset!$A$2:$A$1501,0))</f>
        <v>0</v>
      </c>
      <c r="G112" s="0" t="str">
        <f aca="false">IF(INDEX(customer_churn_dataset!$M$2:$M$1501,MATCH($A113,customer_churn_dataset!$A$2:$A$1501,0))=1,"Yes","No")</f>
        <v>No</v>
      </c>
      <c r="H112" s="0" t="n">
        <f aca="false">INDEX(customer_churn_dataset!$N$2:$N$1501,MATCH($A113,customer_churn_dataset!$A$2:$A$1501,0))</f>
        <v>0</v>
      </c>
      <c r="I112" s="0" t="n">
        <f aca="false">INDEX(customer_churn_dataset!$O$2:$O$1501,MATCH($A113,customer_churn_dataset!$A$2:$A$1501,0))</f>
        <v>0</v>
      </c>
      <c r="J112" s="0" t="n">
        <f aca="false">INDEX(customer_churn_dataset!$T$2:$T$1501,MATCH($A113,customer_churn_dataset!$A$2:$A$1501,0))</f>
        <v>3</v>
      </c>
      <c r="K112" s="0" t="str">
        <f aca="false">INDEX(customer_churn_dataset!$V$2:$V$1501,MATCH($A113,customer_churn_dataset!$A$2:$A$1501,0))</f>
        <v>Medium Risk</v>
      </c>
    </row>
    <row r="113" customFormat="false" ht="12.8" hidden="true" customHeight="false" outlineLevel="0" collapsed="false">
      <c r="A113" s="22" t="str">
        <f aca="false">customer_churn_dataset!A1039</f>
        <v>CUST101209</v>
      </c>
      <c r="B113" s="22" t="str">
        <f aca="false">customer_churn_dataset!B1039</f>
        <v>Premium</v>
      </c>
      <c r="C113" s="22" t="str">
        <f aca="false">customer_churn_dataset!C1039</f>
        <v>Month-to-month</v>
      </c>
      <c r="D113" s="0" t="n">
        <f aca="false">INDEX(customer_churn_dataset!$E$2:$E$1501,MATCH($A114,customer_churn_dataset!$A$2:$A$1501,0))</f>
        <v>44</v>
      </c>
      <c r="E113" s="0" t="n">
        <f aca="false">INDEX(customer_churn_dataset!$I$2:$I$1501,MATCH($A114,customer_churn_dataset!$A$2:$A$1501,0))</f>
        <v>46.4</v>
      </c>
      <c r="F113" s="0" t="n">
        <f aca="false">INDEX(customer_churn_dataset!$L$2:$L$1501,MATCH($A114,customer_churn_dataset!$A$2:$A$1501,0))</f>
        <v>1</v>
      </c>
      <c r="G113" s="0" t="str">
        <f aca="false">IF(INDEX(customer_churn_dataset!$M$2:$M$1501,MATCH($A114,customer_churn_dataset!$A$2:$A$1501,0))=1,"Yes","No")</f>
        <v>No</v>
      </c>
      <c r="H113" s="0" t="n">
        <f aca="false">INDEX(customer_churn_dataset!$N$2:$N$1501,MATCH($A114,customer_churn_dataset!$A$2:$A$1501,0))</f>
        <v>910.36</v>
      </c>
      <c r="I113" s="0" t="n">
        <f aca="false">INDEX(customer_churn_dataset!$O$2:$O$1501,MATCH($A114,customer_churn_dataset!$A$2:$A$1501,0))</f>
        <v>0</v>
      </c>
      <c r="J113" s="0" t="n">
        <f aca="false">INDEX(customer_churn_dataset!$T$2:$T$1501,MATCH($A114,customer_churn_dataset!$A$2:$A$1501,0))</f>
        <v>1</v>
      </c>
      <c r="K113" s="0" t="str">
        <f aca="false">INDEX(customer_churn_dataset!$V$2:$V$1501,MATCH($A114,customer_churn_dataset!$A$2:$A$1501,0))</f>
        <v>Low Risk</v>
      </c>
    </row>
    <row r="114" customFormat="false" ht="12.8" hidden="true" customHeight="false" outlineLevel="0" collapsed="false">
      <c r="A114" s="22" t="str">
        <f aca="false">customer_churn_dataset!A1049</f>
        <v>CUST100740</v>
      </c>
      <c r="B114" s="22" t="str">
        <f aca="false">customer_churn_dataset!B1049</f>
        <v>Standard</v>
      </c>
      <c r="C114" s="22" t="str">
        <f aca="false">customer_churn_dataset!C1049</f>
        <v>Two year</v>
      </c>
      <c r="D114" s="0" t="n">
        <f aca="false">INDEX(customer_churn_dataset!$E$2:$E$1501,MATCH($A115,customer_churn_dataset!$A$2:$A$1501,0))</f>
        <v>8</v>
      </c>
      <c r="E114" s="0" t="n">
        <f aca="false">INDEX(customer_churn_dataset!$I$2:$I$1501,MATCH($A115,customer_churn_dataset!$A$2:$A$1501,0))</f>
        <v>29.3</v>
      </c>
      <c r="F114" s="0" t="n">
        <f aca="false">INDEX(customer_churn_dataset!$L$2:$L$1501,MATCH($A115,customer_churn_dataset!$A$2:$A$1501,0))</f>
        <v>0</v>
      </c>
      <c r="G114" s="0" t="str">
        <f aca="false">IF(INDEX(customer_churn_dataset!$M$2:$M$1501,MATCH($A115,customer_churn_dataset!$A$2:$A$1501,0))=1,"Yes","No")</f>
        <v>No</v>
      </c>
      <c r="H114" s="0" t="n">
        <f aca="false">INDEX(customer_churn_dataset!$N$2:$N$1501,MATCH($A115,customer_churn_dataset!$A$2:$A$1501,0))</f>
        <v>323.04</v>
      </c>
      <c r="I114" s="0" t="n">
        <f aca="false">INDEX(customer_churn_dataset!$O$2:$O$1501,MATCH($A115,customer_churn_dataset!$A$2:$A$1501,0))</f>
        <v>0</v>
      </c>
      <c r="J114" s="0" t="n">
        <f aca="false">INDEX(customer_churn_dataset!$T$2:$T$1501,MATCH($A115,customer_churn_dataset!$A$2:$A$1501,0))</f>
        <v>5</v>
      </c>
      <c r="K114" s="0" t="str">
        <f aca="false">INDEX(customer_churn_dataset!$V$2:$V$1501,MATCH($A115,customer_churn_dataset!$A$2:$A$1501,0))</f>
        <v>Medium Risk</v>
      </c>
    </row>
    <row r="115" customFormat="false" ht="12.8" hidden="false" customHeight="false" outlineLevel="0" collapsed="false">
      <c r="A115" s="23" t="str">
        <f aca="false">customer_churn_dataset!A1059</f>
        <v>CUST100197</v>
      </c>
      <c r="B115" s="24" t="str">
        <f aca="false">customer_churn_dataset!B1059</f>
        <v>Premium</v>
      </c>
      <c r="C115" s="24" t="str">
        <f aca="false">customer_churn_dataset!C1059</f>
        <v>Month-to-month</v>
      </c>
      <c r="D115" s="25" t="n">
        <f aca="false">INDEX(customer_churn_dataset!$E$2:$E$1501,MATCH($A116,customer_churn_dataset!$A$2:$A$1501,0))</f>
        <v>3</v>
      </c>
      <c r="E115" s="25" t="n">
        <f aca="false">INDEX(customer_churn_dataset!$I$2:$I$1501,MATCH($A116,customer_churn_dataset!$A$2:$A$1501,0))</f>
        <v>39.9</v>
      </c>
      <c r="F115" s="25" t="n">
        <f aca="false">INDEX(customer_churn_dataset!$L$2:$L$1501,MATCH($A116,customer_churn_dataset!$A$2:$A$1501,0))</f>
        <v>1</v>
      </c>
      <c r="G115" s="25" t="str">
        <f aca="false">IF(INDEX(customer_churn_dataset!$M$2:$M$1501,MATCH($A116,customer_churn_dataset!$A$2:$A$1501,0))=1,"Yes","No")</f>
        <v>Yes</v>
      </c>
      <c r="H115" s="25" t="n">
        <f aca="false">INDEX(customer_churn_dataset!$N$2:$N$1501,MATCH($A116,customer_churn_dataset!$A$2:$A$1501,0))</f>
        <v>28.5</v>
      </c>
      <c r="I115" s="25" t="n">
        <f aca="false">INDEX(customer_churn_dataset!$O$2:$O$1501,MATCH($A116,customer_churn_dataset!$A$2:$A$1501,0))</f>
        <v>1</v>
      </c>
      <c r="J115" s="25" t="n">
        <f aca="false">INDEX(customer_churn_dataset!$T$2:$T$1501,MATCH($A116,customer_churn_dataset!$A$2:$A$1501,0))</f>
        <v>8</v>
      </c>
      <c r="K115" s="25" t="str">
        <f aca="false">INDEX(customer_churn_dataset!$V$2:$V$1501,MATCH($A116,customer_churn_dataset!$A$2:$A$1501,0))</f>
        <v>High Risk</v>
      </c>
    </row>
    <row r="116" customFormat="false" ht="12.8" hidden="true" customHeight="false" outlineLevel="0" collapsed="false">
      <c r="A116" s="22" t="str">
        <f aca="false">customer_churn_dataset!A1069</f>
        <v>CUST101111</v>
      </c>
      <c r="B116" s="22" t="str">
        <f aca="false">customer_churn_dataset!B1069</f>
        <v>Basic</v>
      </c>
      <c r="C116" s="22" t="str">
        <f aca="false">customer_churn_dataset!C1069</f>
        <v>Month-to-month</v>
      </c>
      <c r="D116" s="0" t="n">
        <f aca="false">INDEX(customer_churn_dataset!$E$2:$E$1501,MATCH($A117,customer_churn_dataset!$A$2:$A$1501,0))</f>
        <v>8</v>
      </c>
      <c r="E116" s="0" t="n">
        <f aca="false">INDEX(customer_churn_dataset!$I$2:$I$1501,MATCH($A117,customer_churn_dataset!$A$2:$A$1501,0))</f>
        <v>88.8</v>
      </c>
      <c r="F116" s="0" t="n">
        <f aca="false">INDEX(customer_churn_dataset!$L$2:$L$1501,MATCH($A117,customer_churn_dataset!$A$2:$A$1501,0))</f>
        <v>0</v>
      </c>
      <c r="G116" s="0" t="str">
        <f aca="false">IF(INDEX(customer_churn_dataset!$M$2:$M$1501,MATCH($A117,customer_churn_dataset!$A$2:$A$1501,0))=1,"Yes","No")</f>
        <v>No</v>
      </c>
      <c r="H116" s="0" t="n">
        <f aca="false">INDEX(customer_churn_dataset!$N$2:$N$1501,MATCH($A117,customer_churn_dataset!$A$2:$A$1501,0))</f>
        <v>163.6</v>
      </c>
      <c r="I116" s="0" t="n">
        <f aca="false">INDEX(customer_churn_dataset!$O$2:$O$1501,MATCH($A117,customer_churn_dataset!$A$2:$A$1501,0))</f>
        <v>0</v>
      </c>
      <c r="J116" s="0" t="n">
        <f aca="false">INDEX(customer_churn_dataset!$T$2:$T$1501,MATCH($A117,customer_churn_dataset!$A$2:$A$1501,0))</f>
        <v>3</v>
      </c>
      <c r="K116" s="0" t="str">
        <f aca="false">INDEX(customer_churn_dataset!$V$2:$V$1501,MATCH($A117,customer_churn_dataset!$A$2:$A$1501,0))</f>
        <v>Medium Risk</v>
      </c>
    </row>
    <row r="117" customFormat="false" ht="12.8" hidden="true" customHeight="false" outlineLevel="0" collapsed="false">
      <c r="A117" s="22" t="str">
        <f aca="false">customer_churn_dataset!A1079</f>
        <v>CUST101031</v>
      </c>
      <c r="B117" s="22" t="str">
        <f aca="false">customer_churn_dataset!B1079</f>
        <v>Standard</v>
      </c>
      <c r="C117" s="22" t="str">
        <f aca="false">customer_churn_dataset!C1079</f>
        <v>Month-to-month</v>
      </c>
      <c r="D117" s="0" t="n">
        <f aca="false">INDEX(customer_churn_dataset!$E$2:$E$1501,MATCH($A118,customer_churn_dataset!$A$2:$A$1501,0))</f>
        <v>11</v>
      </c>
      <c r="E117" s="0" t="n">
        <f aca="false">INDEX(customer_churn_dataset!$I$2:$I$1501,MATCH($A118,customer_churn_dataset!$A$2:$A$1501,0))</f>
        <v>57.8</v>
      </c>
      <c r="F117" s="0" t="n">
        <f aca="false">INDEX(customer_churn_dataset!$L$2:$L$1501,MATCH($A118,customer_churn_dataset!$A$2:$A$1501,0))</f>
        <v>0</v>
      </c>
      <c r="G117" s="0" t="str">
        <f aca="false">IF(INDEX(customer_churn_dataset!$M$2:$M$1501,MATCH($A118,customer_churn_dataset!$A$2:$A$1501,0))=1,"Yes","No")</f>
        <v>No</v>
      </c>
      <c r="H117" s="0" t="n">
        <f aca="false">INDEX(customer_churn_dataset!$N$2:$N$1501,MATCH($A118,customer_churn_dataset!$A$2:$A$1501,0))</f>
        <v>228.58</v>
      </c>
      <c r="I117" s="0" t="n">
        <f aca="false">INDEX(customer_churn_dataset!$O$2:$O$1501,MATCH($A118,customer_churn_dataset!$A$2:$A$1501,0))</f>
        <v>0</v>
      </c>
      <c r="J117" s="0" t="n">
        <f aca="false">INDEX(customer_churn_dataset!$T$2:$T$1501,MATCH($A118,customer_churn_dataset!$A$2:$A$1501,0))</f>
        <v>3</v>
      </c>
      <c r="K117" s="0" t="str">
        <f aca="false">INDEX(customer_churn_dataset!$V$2:$V$1501,MATCH($A118,customer_churn_dataset!$A$2:$A$1501,0))</f>
        <v>Medium Risk</v>
      </c>
    </row>
    <row r="118" customFormat="false" ht="12.8" hidden="true" customHeight="false" outlineLevel="0" collapsed="false">
      <c r="A118" s="22" t="str">
        <f aca="false">customer_churn_dataset!A1083</f>
        <v>CUST101461</v>
      </c>
      <c r="B118" s="22" t="str">
        <f aca="false">customer_churn_dataset!B1083</f>
        <v>Standard</v>
      </c>
      <c r="C118" s="22" t="str">
        <f aca="false">customer_churn_dataset!C1083</f>
        <v>Month-to-month</v>
      </c>
      <c r="D118" s="0" t="n">
        <f aca="false">INDEX(customer_churn_dataset!$E$2:$E$1501,MATCH($A119,customer_churn_dataset!$A$2:$A$1501,0))</f>
        <v>4</v>
      </c>
      <c r="E118" s="0" t="n">
        <f aca="false">INDEX(customer_churn_dataset!$I$2:$I$1501,MATCH($A119,customer_churn_dataset!$A$2:$A$1501,0))</f>
        <v>51.5</v>
      </c>
      <c r="F118" s="0" t="n">
        <f aca="false">INDEX(customer_churn_dataset!$L$2:$L$1501,MATCH($A119,customer_churn_dataset!$A$2:$A$1501,0))</f>
        <v>1</v>
      </c>
      <c r="G118" s="0" t="str">
        <f aca="false">IF(INDEX(customer_churn_dataset!$M$2:$M$1501,MATCH($A119,customer_churn_dataset!$A$2:$A$1501,0))=1,"Yes","No")</f>
        <v>No</v>
      </c>
      <c r="H118" s="0" t="n">
        <f aca="false">INDEX(customer_churn_dataset!$N$2:$N$1501,MATCH($A119,customer_churn_dataset!$A$2:$A$1501,0))</f>
        <v>39.96</v>
      </c>
      <c r="I118" s="0" t="n">
        <f aca="false">INDEX(customer_churn_dataset!$O$2:$O$1501,MATCH($A119,customer_churn_dataset!$A$2:$A$1501,0))</f>
        <v>0</v>
      </c>
      <c r="J118" s="0" t="n">
        <f aca="false">INDEX(customer_churn_dataset!$T$2:$T$1501,MATCH($A119,customer_churn_dataset!$A$2:$A$1501,0))</f>
        <v>2</v>
      </c>
      <c r="K118" s="0" t="str">
        <f aca="false">INDEX(customer_churn_dataset!$V$2:$V$1501,MATCH($A119,customer_churn_dataset!$A$2:$A$1501,0))</f>
        <v>Low Risk</v>
      </c>
    </row>
    <row r="119" customFormat="false" ht="12.8" hidden="true" customHeight="false" outlineLevel="0" collapsed="false">
      <c r="A119" s="22" t="str">
        <f aca="false">customer_churn_dataset!A1092</f>
        <v>CUST100343</v>
      </c>
      <c r="B119" s="22" t="str">
        <f aca="false">customer_churn_dataset!B1092</f>
        <v>Basic</v>
      </c>
      <c r="C119" s="22" t="str">
        <f aca="false">customer_churn_dataset!C1092</f>
        <v>Two year</v>
      </c>
      <c r="D119" s="0" t="n">
        <f aca="false">INDEX(customer_churn_dataset!$E$2:$E$1501,MATCH($A120,customer_churn_dataset!$A$2:$A$1501,0))</f>
        <v>8</v>
      </c>
      <c r="E119" s="0" t="n">
        <f aca="false">INDEX(customer_churn_dataset!$I$2:$I$1501,MATCH($A120,customer_churn_dataset!$A$2:$A$1501,0))</f>
        <v>62.3</v>
      </c>
      <c r="F119" s="0" t="n">
        <f aca="false">INDEX(customer_churn_dataset!$L$2:$L$1501,MATCH($A120,customer_churn_dataset!$A$2:$A$1501,0))</f>
        <v>0</v>
      </c>
      <c r="G119" s="0" t="str">
        <f aca="false">IF(INDEX(customer_churn_dataset!$M$2:$M$1501,MATCH($A120,customer_churn_dataset!$A$2:$A$1501,0))=1,"Yes","No")</f>
        <v>No</v>
      </c>
      <c r="H119" s="0" t="n">
        <f aca="false">INDEX(customer_churn_dataset!$N$2:$N$1501,MATCH($A120,customer_churn_dataset!$A$2:$A$1501,0))</f>
        <v>166.72</v>
      </c>
      <c r="I119" s="0" t="n">
        <f aca="false">INDEX(customer_churn_dataset!$O$2:$O$1501,MATCH($A120,customer_churn_dataset!$A$2:$A$1501,0))</f>
        <v>0</v>
      </c>
      <c r="J119" s="0" t="n">
        <f aca="false">INDEX(customer_churn_dataset!$T$2:$T$1501,MATCH($A120,customer_churn_dataset!$A$2:$A$1501,0))</f>
        <v>2</v>
      </c>
      <c r="K119" s="0" t="str">
        <f aca="false">INDEX(customer_churn_dataset!$V$2:$V$1501,MATCH($A120,customer_churn_dataset!$A$2:$A$1501,0))</f>
        <v>Low Risk</v>
      </c>
    </row>
    <row r="120" customFormat="false" ht="12.8" hidden="true" customHeight="false" outlineLevel="0" collapsed="false">
      <c r="A120" s="22" t="str">
        <f aca="false">customer_churn_dataset!A1101</f>
        <v>CUST100553</v>
      </c>
      <c r="B120" s="22" t="str">
        <f aca="false">customer_churn_dataset!B1101</f>
        <v>Standard</v>
      </c>
      <c r="C120" s="22" t="str">
        <f aca="false">customer_churn_dataset!C1101</f>
        <v>One year</v>
      </c>
      <c r="D120" s="0" t="n">
        <f aca="false">INDEX(customer_churn_dataset!$E$2:$E$1501,MATCH($A121,customer_churn_dataset!$A$2:$A$1501,0))</f>
        <v>5</v>
      </c>
      <c r="E120" s="0" t="n">
        <f aca="false">INDEX(customer_churn_dataset!$I$2:$I$1501,MATCH($A121,customer_churn_dataset!$A$2:$A$1501,0))</f>
        <v>59.1</v>
      </c>
      <c r="F120" s="0" t="n">
        <f aca="false">INDEX(customer_churn_dataset!$L$2:$L$1501,MATCH($A121,customer_churn_dataset!$A$2:$A$1501,0))</f>
        <v>2</v>
      </c>
      <c r="G120" s="0" t="str">
        <f aca="false">IF(INDEX(customer_churn_dataset!$M$2:$M$1501,MATCH($A121,customer_churn_dataset!$A$2:$A$1501,0))=1,"Yes","No")</f>
        <v>Yes</v>
      </c>
      <c r="H120" s="0" t="n">
        <f aca="false">INDEX(customer_churn_dataset!$N$2:$N$1501,MATCH($A121,customer_churn_dataset!$A$2:$A$1501,0))</f>
        <v>47.3</v>
      </c>
      <c r="I120" s="0" t="n">
        <f aca="false">INDEX(customer_churn_dataset!$O$2:$O$1501,MATCH($A121,customer_churn_dataset!$A$2:$A$1501,0))</f>
        <v>0</v>
      </c>
      <c r="J120" s="0" t="n">
        <f aca="false">INDEX(customer_churn_dataset!$T$2:$T$1501,MATCH($A121,customer_churn_dataset!$A$2:$A$1501,0))</f>
        <v>5</v>
      </c>
      <c r="K120" s="0" t="str">
        <f aca="false">INDEX(customer_churn_dataset!$V$2:$V$1501,MATCH($A121,customer_churn_dataset!$A$2:$A$1501,0))</f>
        <v>Medium Risk</v>
      </c>
    </row>
    <row r="121" customFormat="false" ht="12.8" hidden="true" customHeight="false" outlineLevel="0" collapsed="false">
      <c r="A121" s="22" t="str">
        <f aca="false">customer_churn_dataset!A1114</f>
        <v>CUST100409</v>
      </c>
      <c r="B121" s="22" t="str">
        <f aca="false">customer_churn_dataset!B1114</f>
        <v>Basic</v>
      </c>
      <c r="C121" s="22" t="str">
        <f aca="false">customer_churn_dataset!C1114</f>
        <v>Two year</v>
      </c>
      <c r="D121" s="0" t="n">
        <f aca="false">INDEX(customer_churn_dataset!$E$2:$E$1501,MATCH($A122,customer_churn_dataset!$A$2:$A$1501,0))</f>
        <v>42</v>
      </c>
      <c r="E121" s="0" t="n">
        <f aca="false">INDEX(customer_churn_dataset!$I$2:$I$1501,MATCH($A122,customer_churn_dataset!$A$2:$A$1501,0))</f>
        <v>50.2</v>
      </c>
      <c r="F121" s="0" t="n">
        <f aca="false">INDEX(customer_churn_dataset!$L$2:$L$1501,MATCH($A122,customer_churn_dataset!$A$2:$A$1501,0))</f>
        <v>2</v>
      </c>
      <c r="G121" s="0" t="str">
        <f aca="false">IF(INDEX(customer_churn_dataset!$M$2:$M$1501,MATCH($A122,customer_churn_dataset!$A$2:$A$1501,0))=1,"Yes","No")</f>
        <v>No</v>
      </c>
      <c r="H121" s="0" t="n">
        <f aca="false">INDEX(customer_churn_dataset!$N$2:$N$1501,MATCH($A122,customer_churn_dataset!$A$2:$A$1501,0))</f>
        <v>427.56</v>
      </c>
      <c r="I121" s="0" t="n">
        <f aca="false">INDEX(customer_churn_dataset!$O$2:$O$1501,MATCH($A122,customer_churn_dataset!$A$2:$A$1501,0))</f>
        <v>0</v>
      </c>
      <c r="J121" s="0" t="n">
        <f aca="false">INDEX(customer_churn_dataset!$T$2:$T$1501,MATCH($A122,customer_churn_dataset!$A$2:$A$1501,0))</f>
        <v>4</v>
      </c>
      <c r="K121" s="0" t="str">
        <f aca="false">INDEX(customer_churn_dataset!$V$2:$V$1501,MATCH($A122,customer_churn_dataset!$A$2:$A$1501,0))</f>
        <v>Medium Risk</v>
      </c>
    </row>
    <row r="122" customFormat="false" ht="12.8" hidden="true" customHeight="false" outlineLevel="0" collapsed="false">
      <c r="A122" s="22" t="str">
        <f aca="false">customer_churn_dataset!A1122</f>
        <v>CUST100492</v>
      </c>
      <c r="B122" s="22" t="str">
        <f aca="false">customer_churn_dataset!B1122</f>
        <v>Basic</v>
      </c>
      <c r="C122" s="22" t="str">
        <f aca="false">customer_churn_dataset!C1122</f>
        <v>Month-to-month</v>
      </c>
      <c r="D122" s="0" t="n">
        <f aca="false">INDEX(customer_churn_dataset!$E$2:$E$1501,MATCH($A123,customer_churn_dataset!$A$2:$A$1501,0))</f>
        <v>0</v>
      </c>
      <c r="E122" s="0" t="n">
        <f aca="false">INDEX(customer_churn_dataset!$I$2:$I$1501,MATCH($A123,customer_churn_dataset!$A$2:$A$1501,0))</f>
        <v>85.8</v>
      </c>
      <c r="F122" s="0" t="n">
        <f aca="false">INDEX(customer_churn_dataset!$L$2:$L$1501,MATCH($A123,customer_churn_dataset!$A$2:$A$1501,0))</f>
        <v>0</v>
      </c>
      <c r="G122" s="0" t="str">
        <f aca="false">IF(INDEX(customer_churn_dataset!$M$2:$M$1501,MATCH($A123,customer_churn_dataset!$A$2:$A$1501,0))=1,"Yes","No")</f>
        <v>No</v>
      </c>
      <c r="H122" s="0" t="n">
        <f aca="false">INDEX(customer_churn_dataset!$N$2:$N$1501,MATCH($A123,customer_churn_dataset!$A$2:$A$1501,0))</f>
        <v>0</v>
      </c>
      <c r="I122" s="0" t="n">
        <f aca="false">INDEX(customer_churn_dataset!$O$2:$O$1501,MATCH($A123,customer_churn_dataset!$A$2:$A$1501,0))</f>
        <v>0</v>
      </c>
      <c r="J122" s="0" t="n">
        <f aca="false">INDEX(customer_churn_dataset!$T$2:$T$1501,MATCH($A123,customer_churn_dataset!$A$2:$A$1501,0))</f>
        <v>3</v>
      </c>
      <c r="K122" s="0" t="str">
        <f aca="false">INDEX(customer_churn_dataset!$V$2:$V$1501,MATCH($A123,customer_churn_dataset!$A$2:$A$1501,0))</f>
        <v>Medium Risk</v>
      </c>
    </row>
    <row r="123" customFormat="false" ht="12.8" hidden="false" customHeight="false" outlineLevel="0" collapsed="false">
      <c r="A123" s="23" t="str">
        <f aca="false">customer_churn_dataset!A1138</f>
        <v>CUST101115</v>
      </c>
      <c r="B123" s="24" t="str">
        <f aca="false">customer_churn_dataset!B1138</f>
        <v>Standard</v>
      </c>
      <c r="C123" s="24" t="str">
        <f aca="false">customer_churn_dataset!C1138</f>
        <v>Month-to-month</v>
      </c>
      <c r="D123" s="25" t="n">
        <f aca="false">INDEX(customer_churn_dataset!$E$2:$E$1501,MATCH($A124,customer_churn_dataset!$A$2:$A$1501,0))</f>
        <v>1</v>
      </c>
      <c r="E123" s="25" t="n">
        <f aca="false">INDEX(customer_churn_dataset!$I$2:$I$1501,MATCH($A124,customer_churn_dataset!$A$2:$A$1501,0))</f>
        <v>27.5</v>
      </c>
      <c r="F123" s="25" t="n">
        <f aca="false">INDEX(customer_churn_dataset!$L$2:$L$1501,MATCH($A124,customer_churn_dataset!$A$2:$A$1501,0))</f>
        <v>2</v>
      </c>
      <c r="G123" s="25" t="str">
        <f aca="false">IF(INDEX(customer_churn_dataset!$M$2:$M$1501,MATCH($A124,customer_churn_dataset!$A$2:$A$1501,0))=1,"Yes","No")</f>
        <v>Yes</v>
      </c>
      <c r="H123" s="25" t="n">
        <f aca="false">INDEX(customer_churn_dataset!$N$2:$N$1501,MATCH($A124,customer_churn_dataset!$A$2:$A$1501,0))</f>
        <v>9.39</v>
      </c>
      <c r="I123" s="25" t="n">
        <f aca="false">INDEX(customer_churn_dataset!$O$2:$O$1501,MATCH($A124,customer_churn_dataset!$A$2:$A$1501,0))</f>
        <v>0</v>
      </c>
      <c r="J123" s="25" t="n">
        <f aca="false">INDEX(customer_churn_dataset!$T$2:$T$1501,MATCH($A124,customer_churn_dataset!$A$2:$A$1501,0))</f>
        <v>8</v>
      </c>
      <c r="K123" s="25" t="str">
        <f aca="false">INDEX(customer_churn_dataset!$V$2:$V$1501,MATCH($A124,customer_churn_dataset!$A$2:$A$1501,0))</f>
        <v>High Risk</v>
      </c>
    </row>
    <row r="124" customFormat="false" ht="12.8" hidden="true" customHeight="false" outlineLevel="0" collapsed="false">
      <c r="A124" s="22" t="str">
        <f aca="false">customer_churn_dataset!A1159</f>
        <v>CUST101128</v>
      </c>
      <c r="B124" s="22" t="str">
        <f aca="false">customer_churn_dataset!B1159</f>
        <v>Basic</v>
      </c>
      <c r="C124" s="22" t="str">
        <f aca="false">customer_churn_dataset!C1159</f>
        <v>One year</v>
      </c>
      <c r="D124" s="0" t="n">
        <f aca="false">INDEX(customer_churn_dataset!$E$2:$E$1501,MATCH($A125,customer_churn_dataset!$A$2:$A$1501,0))</f>
        <v>6</v>
      </c>
      <c r="E124" s="0" t="n">
        <f aca="false">INDEX(customer_churn_dataset!$I$2:$I$1501,MATCH($A125,customer_churn_dataset!$A$2:$A$1501,0))</f>
        <v>95.9</v>
      </c>
      <c r="F124" s="0" t="n">
        <f aca="false">INDEX(customer_churn_dataset!$L$2:$L$1501,MATCH($A125,customer_churn_dataset!$A$2:$A$1501,0))</f>
        <v>1</v>
      </c>
      <c r="G124" s="0" t="str">
        <f aca="false">IF(INDEX(customer_churn_dataset!$M$2:$M$1501,MATCH($A125,customer_churn_dataset!$A$2:$A$1501,0))=1,"Yes","No")</f>
        <v>Yes</v>
      </c>
      <c r="H124" s="0" t="n">
        <f aca="false">INDEX(customer_churn_dataset!$N$2:$N$1501,MATCH($A125,customer_churn_dataset!$A$2:$A$1501,0))</f>
        <v>226.68</v>
      </c>
      <c r="I124" s="0" t="n">
        <f aca="false">INDEX(customer_churn_dataset!$O$2:$O$1501,MATCH($A125,customer_churn_dataset!$A$2:$A$1501,0))</f>
        <v>0</v>
      </c>
      <c r="J124" s="0" t="n">
        <f aca="false">INDEX(customer_churn_dataset!$T$2:$T$1501,MATCH($A125,customer_churn_dataset!$A$2:$A$1501,0))</f>
        <v>6</v>
      </c>
      <c r="K124" s="0" t="str">
        <f aca="false">INDEX(customer_churn_dataset!$V$2:$V$1501,MATCH($A125,customer_churn_dataset!$A$2:$A$1501,0))</f>
        <v>High Risk</v>
      </c>
    </row>
    <row r="125" customFormat="false" ht="12.8" hidden="true" customHeight="false" outlineLevel="0" collapsed="false">
      <c r="A125" s="22" t="str">
        <f aca="false">customer_churn_dataset!A1189</f>
        <v>CUST101447</v>
      </c>
      <c r="B125" s="22" t="str">
        <f aca="false">customer_churn_dataset!B1189</f>
        <v>Premium</v>
      </c>
      <c r="C125" s="22" t="str">
        <f aca="false">customer_churn_dataset!C1189</f>
        <v>Month-to-month</v>
      </c>
      <c r="D125" s="0" t="n">
        <f aca="false">INDEX(customer_churn_dataset!$E$2:$E$1501,MATCH($A126,customer_churn_dataset!$A$2:$A$1501,0))</f>
        <v>5</v>
      </c>
      <c r="E125" s="0" t="n">
        <f aca="false">INDEX(customer_churn_dataset!$I$2:$I$1501,MATCH($A126,customer_churn_dataset!$A$2:$A$1501,0))</f>
        <v>94.8</v>
      </c>
      <c r="F125" s="0" t="n">
        <f aca="false">INDEX(customer_churn_dataset!$L$2:$L$1501,MATCH($A126,customer_churn_dataset!$A$2:$A$1501,0))</f>
        <v>1</v>
      </c>
      <c r="G125" s="0" t="str">
        <f aca="false">IF(INDEX(customer_churn_dataset!$M$2:$M$1501,MATCH($A126,customer_churn_dataset!$A$2:$A$1501,0))=1,"Yes","No")</f>
        <v>No</v>
      </c>
      <c r="H125" s="0" t="n">
        <f aca="false">INDEX(customer_churn_dataset!$N$2:$N$1501,MATCH($A126,customer_churn_dataset!$A$2:$A$1501,0))</f>
        <v>42.9</v>
      </c>
      <c r="I125" s="0" t="n">
        <f aca="false">INDEX(customer_churn_dataset!$O$2:$O$1501,MATCH($A126,customer_churn_dataset!$A$2:$A$1501,0))</f>
        <v>0</v>
      </c>
      <c r="J125" s="0" t="n">
        <f aca="false">INDEX(customer_churn_dataset!$T$2:$T$1501,MATCH($A126,customer_churn_dataset!$A$2:$A$1501,0))</f>
        <v>3</v>
      </c>
      <c r="K125" s="0" t="str">
        <f aca="false">INDEX(customer_churn_dataset!$V$2:$V$1501,MATCH($A126,customer_churn_dataset!$A$2:$A$1501,0))</f>
        <v>Medium Risk</v>
      </c>
    </row>
    <row r="126" customFormat="false" ht="12.8" hidden="false" customHeight="false" outlineLevel="0" collapsed="false">
      <c r="A126" s="23" t="str">
        <f aca="false">customer_churn_dataset!A1199</f>
        <v>CUST100620</v>
      </c>
      <c r="B126" s="24" t="str">
        <f aca="false">customer_churn_dataset!B1199</f>
        <v>Basic</v>
      </c>
      <c r="C126" s="24" t="str">
        <f aca="false">customer_churn_dataset!C1199</f>
        <v>Month-to-month</v>
      </c>
      <c r="D126" s="25" t="n">
        <f aca="false">INDEX(customer_churn_dataset!$E$2:$E$1501,MATCH($A127,customer_churn_dataset!$A$2:$A$1501,0))</f>
        <v>42</v>
      </c>
      <c r="E126" s="25" t="n">
        <f aca="false">INDEX(customer_churn_dataset!$I$2:$I$1501,MATCH($A127,customer_churn_dataset!$A$2:$A$1501,0))</f>
        <v>26.5</v>
      </c>
      <c r="F126" s="25" t="n">
        <f aca="false">INDEX(customer_churn_dataset!$L$2:$L$1501,MATCH($A127,customer_churn_dataset!$A$2:$A$1501,0))</f>
        <v>2</v>
      </c>
      <c r="G126" s="25" t="str">
        <f aca="false">IF(INDEX(customer_churn_dataset!$M$2:$M$1501,MATCH($A127,customer_churn_dataset!$A$2:$A$1501,0))=1,"Yes","No")</f>
        <v>Yes</v>
      </c>
      <c r="H126" s="25" t="n">
        <f aca="false">INDEX(customer_churn_dataset!$N$2:$N$1501,MATCH($A127,customer_churn_dataset!$A$2:$A$1501,0))</f>
        <v>380.52</v>
      </c>
      <c r="I126" s="25" t="n">
        <f aca="false">INDEX(customer_churn_dataset!$O$2:$O$1501,MATCH($A127,customer_churn_dataset!$A$2:$A$1501,0))</f>
        <v>1</v>
      </c>
      <c r="J126" s="25" t="n">
        <f aca="false">INDEX(customer_churn_dataset!$T$2:$T$1501,MATCH($A127,customer_churn_dataset!$A$2:$A$1501,0))</f>
        <v>8</v>
      </c>
      <c r="K126" s="25" t="str">
        <f aca="false">INDEX(customer_churn_dataset!$V$2:$V$1501,MATCH($A127,customer_churn_dataset!$A$2:$A$1501,0))</f>
        <v>High Risk</v>
      </c>
    </row>
    <row r="127" customFormat="false" ht="12.8" hidden="true" customHeight="false" outlineLevel="0" collapsed="false">
      <c r="A127" s="22" t="str">
        <f aca="false">customer_churn_dataset!A1211</f>
        <v>CUST101231</v>
      </c>
      <c r="B127" s="22" t="str">
        <f aca="false">customer_churn_dataset!B1211</f>
        <v>Basic</v>
      </c>
      <c r="C127" s="22" t="str">
        <f aca="false">customer_churn_dataset!C1211</f>
        <v>Month-to-month</v>
      </c>
      <c r="D127" s="0" t="n">
        <f aca="false">INDEX(customer_churn_dataset!$E$2:$E$1501,MATCH($A128,customer_churn_dataset!$A$2:$A$1501,0))</f>
        <v>16</v>
      </c>
      <c r="E127" s="0" t="n">
        <f aca="false">INDEX(customer_churn_dataset!$I$2:$I$1501,MATCH($A128,customer_churn_dataset!$A$2:$A$1501,0))</f>
        <v>36.5</v>
      </c>
      <c r="F127" s="0" t="n">
        <f aca="false">INDEX(customer_churn_dataset!$L$2:$L$1501,MATCH($A128,customer_churn_dataset!$A$2:$A$1501,0))</f>
        <v>2</v>
      </c>
      <c r="G127" s="0" t="str">
        <f aca="false">IF(INDEX(customer_churn_dataset!$M$2:$M$1501,MATCH($A128,customer_churn_dataset!$A$2:$A$1501,0))=1,"Yes","No")</f>
        <v>Yes</v>
      </c>
      <c r="H127" s="0" t="n">
        <f aca="false">INDEX(customer_churn_dataset!$N$2:$N$1501,MATCH($A128,customer_churn_dataset!$A$2:$A$1501,0))</f>
        <v>175.68</v>
      </c>
      <c r="I127" s="0" t="n">
        <f aca="false">INDEX(customer_churn_dataset!$O$2:$O$1501,MATCH($A128,customer_churn_dataset!$A$2:$A$1501,0))</f>
        <v>0</v>
      </c>
      <c r="J127" s="0" t="n">
        <f aca="false">INDEX(customer_churn_dataset!$T$2:$T$1501,MATCH($A128,customer_churn_dataset!$A$2:$A$1501,0))</f>
        <v>6</v>
      </c>
      <c r="K127" s="0" t="str">
        <f aca="false">INDEX(customer_churn_dataset!$V$2:$V$1501,MATCH($A128,customer_churn_dataset!$A$2:$A$1501,0))</f>
        <v>High Risk</v>
      </c>
    </row>
    <row r="128" customFormat="false" ht="12.8" hidden="true" customHeight="false" outlineLevel="0" collapsed="false">
      <c r="A128" s="22" t="str">
        <f aca="false">customer_churn_dataset!A1215</f>
        <v>CUST100487</v>
      </c>
      <c r="B128" s="22" t="str">
        <f aca="false">customer_churn_dataset!B1215</f>
        <v>Basic</v>
      </c>
      <c r="C128" s="22" t="str">
        <f aca="false">customer_churn_dataset!C1215</f>
        <v>Two year</v>
      </c>
      <c r="D128" s="0" t="n">
        <f aca="false">INDEX(customer_churn_dataset!$E$2:$E$1501,MATCH($A129,customer_churn_dataset!$A$2:$A$1501,0))</f>
        <v>32</v>
      </c>
      <c r="E128" s="0" t="n">
        <f aca="false">INDEX(customer_churn_dataset!$I$2:$I$1501,MATCH($A129,customer_churn_dataset!$A$2:$A$1501,0))</f>
        <v>33.8</v>
      </c>
      <c r="F128" s="0" t="n">
        <f aca="false">INDEX(customer_churn_dataset!$L$2:$L$1501,MATCH($A129,customer_churn_dataset!$A$2:$A$1501,0))</f>
        <v>1</v>
      </c>
      <c r="G128" s="0" t="str">
        <f aca="false">IF(INDEX(customer_churn_dataset!$M$2:$M$1501,MATCH($A129,customer_churn_dataset!$A$2:$A$1501,0))=1,"Yes","No")</f>
        <v>No</v>
      </c>
      <c r="H128" s="0" t="n">
        <f aca="false">INDEX(customer_churn_dataset!$N$2:$N$1501,MATCH($A129,customer_churn_dataset!$A$2:$A$1501,0))</f>
        <v>306.24</v>
      </c>
      <c r="I128" s="0" t="n">
        <f aca="false">INDEX(customer_churn_dataset!$O$2:$O$1501,MATCH($A129,customer_churn_dataset!$A$2:$A$1501,0))</f>
        <v>0</v>
      </c>
      <c r="J128" s="0" t="n">
        <f aca="false">INDEX(customer_churn_dataset!$T$2:$T$1501,MATCH($A129,customer_churn_dataset!$A$2:$A$1501,0))</f>
        <v>4</v>
      </c>
      <c r="K128" s="0" t="str">
        <f aca="false">INDEX(customer_churn_dataset!$V$2:$V$1501,MATCH($A129,customer_churn_dataset!$A$2:$A$1501,0))</f>
        <v>Medium Risk</v>
      </c>
    </row>
    <row r="129" customFormat="false" ht="12.8" hidden="true" customHeight="false" outlineLevel="0" collapsed="false">
      <c r="A129" s="22" t="str">
        <f aca="false">customer_churn_dataset!A1217</f>
        <v>CUST101097</v>
      </c>
      <c r="B129" s="22" t="str">
        <f aca="false">customer_churn_dataset!B1217</f>
        <v>Basic</v>
      </c>
      <c r="C129" s="22" t="str">
        <f aca="false">customer_churn_dataset!C1217</f>
        <v>Month-to-month</v>
      </c>
      <c r="D129" s="0" t="n">
        <f aca="false">INDEX(customer_churn_dataset!$E$2:$E$1501,MATCH($A130,customer_churn_dataset!$A$2:$A$1501,0))</f>
        <v>19</v>
      </c>
      <c r="E129" s="0" t="n">
        <f aca="false">INDEX(customer_churn_dataset!$I$2:$I$1501,MATCH($A130,customer_churn_dataset!$A$2:$A$1501,0))</f>
        <v>74.3</v>
      </c>
      <c r="F129" s="0" t="n">
        <f aca="false">INDEX(customer_churn_dataset!$L$2:$L$1501,MATCH($A130,customer_churn_dataset!$A$2:$A$1501,0))</f>
        <v>0</v>
      </c>
      <c r="G129" s="0" t="str">
        <f aca="false">IF(INDEX(customer_churn_dataset!$M$2:$M$1501,MATCH($A130,customer_churn_dataset!$A$2:$A$1501,0))=1,"Yes","No")</f>
        <v>No</v>
      </c>
      <c r="H129" s="0" t="n">
        <f aca="false">INDEX(customer_churn_dataset!$N$2:$N$1501,MATCH($A130,customer_churn_dataset!$A$2:$A$1501,0))</f>
        <v>371.26</v>
      </c>
      <c r="I129" s="0" t="n">
        <f aca="false">INDEX(customer_churn_dataset!$O$2:$O$1501,MATCH($A130,customer_churn_dataset!$A$2:$A$1501,0))</f>
        <v>0</v>
      </c>
      <c r="J129" s="0" t="n">
        <f aca="false">INDEX(customer_churn_dataset!$T$2:$T$1501,MATCH($A130,customer_churn_dataset!$A$2:$A$1501,0))</f>
        <v>2</v>
      </c>
      <c r="K129" s="0" t="str">
        <f aca="false">INDEX(customer_churn_dataset!$V$2:$V$1501,MATCH($A130,customer_churn_dataset!$A$2:$A$1501,0))</f>
        <v>Low Risk</v>
      </c>
    </row>
    <row r="130" customFormat="false" ht="12.8" hidden="true" customHeight="false" outlineLevel="0" collapsed="false">
      <c r="A130" s="22" t="str">
        <f aca="false">customer_churn_dataset!A1241</f>
        <v>CUST101053</v>
      </c>
      <c r="B130" s="22" t="str">
        <f aca="false">customer_churn_dataset!B1241</f>
        <v>Standard</v>
      </c>
      <c r="C130" s="22" t="str">
        <f aca="false">customer_churn_dataset!C1241</f>
        <v>Month-to-month</v>
      </c>
      <c r="D130" s="0" t="n">
        <f aca="false">INDEX(customer_churn_dataset!$E$2:$E$1501,MATCH($A131,customer_churn_dataset!$A$2:$A$1501,0))</f>
        <v>33</v>
      </c>
      <c r="E130" s="0" t="n">
        <f aca="false">INDEX(customer_churn_dataset!$I$2:$I$1501,MATCH($A131,customer_churn_dataset!$A$2:$A$1501,0))</f>
        <v>74.4</v>
      </c>
      <c r="F130" s="0" t="n">
        <f aca="false">INDEX(customer_churn_dataset!$L$2:$L$1501,MATCH($A131,customer_churn_dataset!$A$2:$A$1501,0))</f>
        <v>1</v>
      </c>
      <c r="G130" s="0" t="str">
        <f aca="false">IF(INDEX(customer_churn_dataset!$M$2:$M$1501,MATCH($A131,customer_churn_dataset!$A$2:$A$1501,0))=1,"Yes","No")</f>
        <v>Yes</v>
      </c>
      <c r="H130" s="0" t="n">
        <f aca="false">INDEX(customer_churn_dataset!$N$2:$N$1501,MATCH($A131,customer_churn_dataset!$A$2:$A$1501,0))</f>
        <v>671.88</v>
      </c>
      <c r="I130" s="0" t="n">
        <f aca="false">INDEX(customer_churn_dataset!$O$2:$O$1501,MATCH($A131,customer_churn_dataset!$A$2:$A$1501,0))</f>
        <v>0</v>
      </c>
      <c r="J130" s="0" t="n">
        <f aca="false">INDEX(customer_churn_dataset!$T$2:$T$1501,MATCH($A131,customer_churn_dataset!$A$2:$A$1501,0))</f>
        <v>4</v>
      </c>
      <c r="K130" s="0" t="str">
        <f aca="false">INDEX(customer_churn_dataset!$V$2:$V$1501,MATCH($A131,customer_churn_dataset!$A$2:$A$1501,0))</f>
        <v>Medium Risk</v>
      </c>
    </row>
    <row r="131" customFormat="false" ht="12.8" hidden="true" customHeight="false" outlineLevel="0" collapsed="false">
      <c r="A131" s="22" t="str">
        <f aca="false">customer_churn_dataset!A1253</f>
        <v>CUST101362</v>
      </c>
      <c r="B131" s="22" t="str">
        <f aca="false">customer_churn_dataset!B1253</f>
        <v>Standard</v>
      </c>
      <c r="C131" s="22" t="str">
        <f aca="false">customer_churn_dataset!C1253</f>
        <v>One year</v>
      </c>
      <c r="D131" s="0" t="n">
        <f aca="false">INDEX(customer_churn_dataset!$E$2:$E$1501,MATCH($A132,customer_churn_dataset!$A$2:$A$1501,0))</f>
        <v>17</v>
      </c>
      <c r="E131" s="0" t="n">
        <f aca="false">INDEX(customer_churn_dataset!$I$2:$I$1501,MATCH($A132,customer_churn_dataset!$A$2:$A$1501,0))</f>
        <v>65</v>
      </c>
      <c r="F131" s="0" t="n">
        <f aca="false">INDEX(customer_churn_dataset!$L$2:$L$1501,MATCH($A132,customer_churn_dataset!$A$2:$A$1501,0))</f>
        <v>1</v>
      </c>
      <c r="G131" s="0" t="str">
        <f aca="false">IF(INDEX(customer_churn_dataset!$M$2:$M$1501,MATCH($A132,customer_churn_dataset!$A$2:$A$1501,0))=1,"Yes","No")</f>
        <v>No</v>
      </c>
      <c r="H131" s="0" t="n">
        <f aca="false">INDEX(customer_churn_dataset!$N$2:$N$1501,MATCH($A132,customer_churn_dataset!$A$2:$A$1501,0))</f>
        <v>340.51</v>
      </c>
      <c r="I131" s="0" t="n">
        <f aca="false">INDEX(customer_churn_dataset!$O$2:$O$1501,MATCH($A132,customer_churn_dataset!$A$2:$A$1501,0))</f>
        <v>0</v>
      </c>
      <c r="J131" s="0" t="n">
        <f aca="false">INDEX(customer_churn_dataset!$T$2:$T$1501,MATCH($A132,customer_churn_dataset!$A$2:$A$1501,0))</f>
        <v>2</v>
      </c>
      <c r="K131" s="0" t="str">
        <f aca="false">INDEX(customer_churn_dataset!$V$2:$V$1501,MATCH($A132,customer_churn_dataset!$A$2:$A$1501,0))</f>
        <v>Low Risk</v>
      </c>
    </row>
    <row r="132" customFormat="false" ht="12.8" hidden="true" customHeight="false" outlineLevel="0" collapsed="false">
      <c r="A132" s="22" t="str">
        <f aca="false">customer_churn_dataset!A1262</f>
        <v>CUST100045</v>
      </c>
      <c r="B132" s="22" t="str">
        <f aca="false">customer_churn_dataset!B1262</f>
        <v>Standard</v>
      </c>
      <c r="C132" s="22" t="str">
        <f aca="false">customer_churn_dataset!C1262</f>
        <v>Month-to-month</v>
      </c>
      <c r="D132" s="0" t="n">
        <f aca="false">INDEX(customer_churn_dataset!$E$2:$E$1501,MATCH($A133,customer_churn_dataset!$A$2:$A$1501,0))</f>
        <v>9</v>
      </c>
      <c r="E132" s="0" t="n">
        <f aca="false">INDEX(customer_churn_dataset!$I$2:$I$1501,MATCH($A133,customer_churn_dataset!$A$2:$A$1501,0))</f>
        <v>79.5</v>
      </c>
      <c r="F132" s="0" t="n">
        <f aca="false">INDEX(customer_churn_dataset!$L$2:$L$1501,MATCH($A133,customer_churn_dataset!$A$2:$A$1501,0))</f>
        <v>2</v>
      </c>
      <c r="G132" s="0" t="str">
        <f aca="false">IF(INDEX(customer_churn_dataset!$M$2:$M$1501,MATCH($A133,customer_churn_dataset!$A$2:$A$1501,0))=1,"Yes","No")</f>
        <v>Yes</v>
      </c>
      <c r="H132" s="0" t="n">
        <f aca="false">INDEX(customer_churn_dataset!$N$2:$N$1501,MATCH($A133,customer_churn_dataset!$A$2:$A$1501,0))</f>
        <v>99.54</v>
      </c>
      <c r="I132" s="0" t="n">
        <f aca="false">INDEX(customer_churn_dataset!$O$2:$O$1501,MATCH($A133,customer_churn_dataset!$A$2:$A$1501,0))</f>
        <v>0</v>
      </c>
      <c r="J132" s="0" t="n">
        <f aca="false">INDEX(customer_churn_dataset!$T$2:$T$1501,MATCH($A133,customer_churn_dataset!$A$2:$A$1501,0))</f>
        <v>7</v>
      </c>
      <c r="K132" s="0" t="str">
        <f aca="false">INDEX(customer_churn_dataset!$V$2:$V$1501,MATCH($A133,customer_churn_dataset!$A$2:$A$1501,0))</f>
        <v>High Risk</v>
      </c>
    </row>
    <row r="133" customFormat="false" ht="12.8" hidden="true" customHeight="false" outlineLevel="0" collapsed="false">
      <c r="A133" s="22" t="str">
        <f aca="false">customer_churn_dataset!A1265</f>
        <v>CUST100835</v>
      </c>
      <c r="B133" s="22" t="str">
        <f aca="false">customer_churn_dataset!B1265</f>
        <v>Basic</v>
      </c>
      <c r="C133" s="22" t="str">
        <f aca="false">customer_churn_dataset!C1265</f>
        <v>Month-to-month</v>
      </c>
      <c r="D133" s="0" t="n">
        <f aca="false">INDEX(customer_churn_dataset!$E$2:$E$1501,MATCH($A134,customer_churn_dataset!$A$2:$A$1501,0))</f>
        <v>72</v>
      </c>
      <c r="E133" s="0" t="n">
        <f aca="false">INDEX(customer_churn_dataset!$I$2:$I$1501,MATCH($A134,customer_churn_dataset!$A$2:$A$1501,0))</f>
        <v>51.3</v>
      </c>
      <c r="F133" s="0" t="n">
        <f aca="false">INDEX(customer_churn_dataset!$L$2:$L$1501,MATCH($A134,customer_churn_dataset!$A$2:$A$1501,0))</f>
        <v>3</v>
      </c>
      <c r="G133" s="0" t="str">
        <f aca="false">IF(INDEX(customer_churn_dataset!$M$2:$M$1501,MATCH($A134,customer_churn_dataset!$A$2:$A$1501,0))=1,"Yes","No")</f>
        <v>No</v>
      </c>
      <c r="H133" s="0" t="n">
        <f aca="false">INDEX(customer_churn_dataset!$N$2:$N$1501,MATCH($A134,customer_churn_dataset!$A$2:$A$1501,0))</f>
        <v>2900.88</v>
      </c>
      <c r="I133" s="0" t="n">
        <f aca="false">INDEX(customer_churn_dataset!$O$2:$O$1501,MATCH($A134,customer_churn_dataset!$A$2:$A$1501,0))</f>
        <v>0</v>
      </c>
      <c r="J133" s="0" t="n">
        <f aca="false">INDEX(customer_churn_dataset!$T$2:$T$1501,MATCH($A134,customer_churn_dataset!$A$2:$A$1501,0))</f>
        <v>4</v>
      </c>
      <c r="K133" s="0" t="str">
        <f aca="false">INDEX(customer_churn_dataset!$V$2:$V$1501,MATCH($A134,customer_churn_dataset!$A$2:$A$1501,0))</f>
        <v>Medium Risk</v>
      </c>
    </row>
    <row r="134" customFormat="false" ht="12.8" hidden="true" customHeight="false" outlineLevel="0" collapsed="false">
      <c r="A134" s="22" t="str">
        <f aca="false">customer_churn_dataset!A1268</f>
        <v>CUST100931</v>
      </c>
      <c r="B134" s="22" t="str">
        <f aca="false">customer_churn_dataset!B1268</f>
        <v>Premium</v>
      </c>
      <c r="C134" s="22" t="str">
        <f aca="false">customer_churn_dataset!C1268</f>
        <v>Month-to-month</v>
      </c>
      <c r="D134" s="0" t="n">
        <f aca="false">INDEX(customer_churn_dataset!$E$2:$E$1501,MATCH($A135,customer_churn_dataset!$A$2:$A$1501,0))</f>
        <v>35</v>
      </c>
      <c r="E134" s="0" t="n">
        <f aca="false">INDEX(customer_churn_dataset!$I$2:$I$1501,MATCH($A135,customer_churn_dataset!$A$2:$A$1501,0))</f>
        <v>88.6</v>
      </c>
      <c r="F134" s="0" t="n">
        <f aca="false">INDEX(customer_churn_dataset!$L$2:$L$1501,MATCH($A135,customer_churn_dataset!$A$2:$A$1501,0))</f>
        <v>1</v>
      </c>
      <c r="G134" s="0" t="str">
        <f aca="false">IF(INDEX(customer_churn_dataset!$M$2:$M$1501,MATCH($A135,customer_churn_dataset!$A$2:$A$1501,0))=1,"Yes","No")</f>
        <v>Yes</v>
      </c>
      <c r="H134" s="0" t="n">
        <f aca="false">INDEX(customer_churn_dataset!$N$2:$N$1501,MATCH($A135,customer_churn_dataset!$A$2:$A$1501,0))</f>
        <v>303.45</v>
      </c>
      <c r="I134" s="0" t="n">
        <f aca="false">INDEX(customer_churn_dataset!$O$2:$O$1501,MATCH($A135,customer_churn_dataset!$A$2:$A$1501,0))</f>
        <v>0</v>
      </c>
      <c r="J134" s="0" t="n">
        <f aca="false">INDEX(customer_churn_dataset!$T$2:$T$1501,MATCH($A135,customer_churn_dataset!$A$2:$A$1501,0))</f>
        <v>5</v>
      </c>
      <c r="K134" s="0" t="str">
        <f aca="false">INDEX(customer_churn_dataset!$V$2:$V$1501,MATCH($A135,customer_churn_dataset!$A$2:$A$1501,0))</f>
        <v>Medium Risk</v>
      </c>
    </row>
    <row r="135" customFormat="false" ht="12.8" hidden="false" customHeight="false" outlineLevel="0" collapsed="false">
      <c r="A135" s="23" t="str">
        <f aca="false">customer_churn_dataset!A1275</f>
        <v>CUST101349</v>
      </c>
      <c r="B135" s="24" t="str">
        <f aca="false">customer_churn_dataset!B1275</f>
        <v>Basic</v>
      </c>
      <c r="C135" s="24" t="str">
        <f aca="false">customer_churn_dataset!C1275</f>
        <v>Month-to-month</v>
      </c>
      <c r="D135" s="25" t="n">
        <f aca="false">INDEX(customer_churn_dataset!$E$2:$E$1501,MATCH($A136,customer_churn_dataset!$A$2:$A$1501,0))</f>
        <v>29</v>
      </c>
      <c r="E135" s="25" t="n">
        <f aca="false">INDEX(customer_churn_dataset!$I$2:$I$1501,MATCH($A136,customer_churn_dataset!$A$2:$A$1501,0))</f>
        <v>26.9</v>
      </c>
      <c r="F135" s="25" t="n">
        <f aca="false">INDEX(customer_churn_dataset!$L$2:$L$1501,MATCH($A136,customer_churn_dataset!$A$2:$A$1501,0))</f>
        <v>2</v>
      </c>
      <c r="G135" s="25" t="str">
        <f aca="false">IF(INDEX(customer_churn_dataset!$M$2:$M$1501,MATCH($A136,customer_churn_dataset!$A$2:$A$1501,0))=1,"Yes","No")</f>
        <v>Yes</v>
      </c>
      <c r="H135" s="25" t="n">
        <f aca="false">INDEX(customer_churn_dataset!$N$2:$N$1501,MATCH($A136,customer_churn_dataset!$A$2:$A$1501,0))</f>
        <v>295.22</v>
      </c>
      <c r="I135" s="25" t="n">
        <f aca="false">INDEX(customer_churn_dataset!$O$2:$O$1501,MATCH($A136,customer_churn_dataset!$A$2:$A$1501,0))</f>
        <v>1</v>
      </c>
      <c r="J135" s="25" t="n">
        <f aca="false">INDEX(customer_churn_dataset!$T$2:$T$1501,MATCH($A136,customer_churn_dataset!$A$2:$A$1501,0))</f>
        <v>8</v>
      </c>
      <c r="K135" s="25" t="str">
        <f aca="false">INDEX(customer_churn_dataset!$V$2:$V$1501,MATCH($A136,customer_churn_dataset!$A$2:$A$1501,0))</f>
        <v>High Risk</v>
      </c>
    </row>
    <row r="136" customFormat="false" ht="12.8" hidden="true" customHeight="false" outlineLevel="0" collapsed="false">
      <c r="A136" s="22" t="str">
        <f aca="false">customer_churn_dataset!A1284</f>
        <v>CUST100899</v>
      </c>
      <c r="B136" s="22" t="str">
        <f aca="false">customer_churn_dataset!B1284</f>
        <v>Basic</v>
      </c>
      <c r="C136" s="22" t="str">
        <f aca="false">customer_churn_dataset!C1284</f>
        <v>Month-to-month</v>
      </c>
      <c r="D136" s="0" t="n">
        <f aca="false">INDEX(customer_churn_dataset!$E$2:$E$1501,MATCH($A137,customer_churn_dataset!$A$2:$A$1501,0))</f>
        <v>6</v>
      </c>
      <c r="E136" s="0" t="n">
        <f aca="false">INDEX(customer_churn_dataset!$I$2:$I$1501,MATCH($A137,customer_churn_dataset!$A$2:$A$1501,0))</f>
        <v>44.7</v>
      </c>
      <c r="F136" s="0" t="n">
        <f aca="false">INDEX(customer_churn_dataset!$L$2:$L$1501,MATCH($A137,customer_churn_dataset!$A$2:$A$1501,0))</f>
        <v>2</v>
      </c>
      <c r="G136" s="0" t="str">
        <f aca="false">IF(INDEX(customer_churn_dataset!$M$2:$M$1501,MATCH($A137,customer_churn_dataset!$A$2:$A$1501,0))=1,"Yes","No")</f>
        <v>No</v>
      </c>
      <c r="H136" s="0" t="n">
        <f aca="false">INDEX(customer_churn_dataset!$N$2:$N$1501,MATCH($A137,customer_churn_dataset!$A$2:$A$1501,0))</f>
        <v>56.46</v>
      </c>
      <c r="I136" s="0" t="n">
        <f aca="false">INDEX(customer_churn_dataset!$O$2:$O$1501,MATCH($A137,customer_churn_dataset!$A$2:$A$1501,0))</f>
        <v>0</v>
      </c>
      <c r="J136" s="0" t="n">
        <f aca="false">INDEX(customer_churn_dataset!$T$2:$T$1501,MATCH($A137,customer_churn_dataset!$A$2:$A$1501,0))</f>
        <v>5</v>
      </c>
      <c r="K136" s="0" t="str">
        <f aca="false">INDEX(customer_churn_dataset!$V$2:$V$1501,MATCH($A137,customer_churn_dataset!$A$2:$A$1501,0))</f>
        <v>Medium Risk</v>
      </c>
    </row>
    <row r="137" customFormat="false" ht="12.8" hidden="true" customHeight="false" outlineLevel="0" collapsed="false">
      <c r="A137" s="22" t="str">
        <f aca="false">customer_churn_dataset!A1290</f>
        <v>CUST101296</v>
      </c>
      <c r="B137" s="22" t="str">
        <f aca="false">customer_churn_dataset!B1290</f>
        <v>Basic</v>
      </c>
      <c r="C137" s="22" t="str">
        <f aca="false">customer_churn_dataset!C1290</f>
        <v>Month-to-month</v>
      </c>
      <c r="D137" s="0" t="n">
        <f aca="false">INDEX(customer_churn_dataset!$E$2:$E$1501,MATCH($A138,customer_churn_dataset!$A$2:$A$1501,0))</f>
        <v>72</v>
      </c>
      <c r="E137" s="0" t="n">
        <f aca="false">INDEX(customer_churn_dataset!$I$2:$I$1501,MATCH($A138,customer_churn_dataset!$A$2:$A$1501,0))</f>
        <v>58.2</v>
      </c>
      <c r="F137" s="0" t="n">
        <f aca="false">INDEX(customer_churn_dataset!$L$2:$L$1501,MATCH($A138,customer_churn_dataset!$A$2:$A$1501,0))</f>
        <v>2</v>
      </c>
      <c r="G137" s="0" t="str">
        <f aca="false">IF(INDEX(customer_churn_dataset!$M$2:$M$1501,MATCH($A138,customer_churn_dataset!$A$2:$A$1501,0))=1,"Yes","No")</f>
        <v>Yes</v>
      </c>
      <c r="H137" s="0" t="n">
        <f aca="false">INDEX(customer_churn_dataset!$N$2:$N$1501,MATCH($A138,customer_churn_dataset!$A$2:$A$1501,0))</f>
        <v>685.44</v>
      </c>
      <c r="I137" s="0" t="n">
        <f aca="false">INDEX(customer_churn_dataset!$O$2:$O$1501,MATCH($A138,customer_churn_dataset!$A$2:$A$1501,0))</f>
        <v>0</v>
      </c>
      <c r="J137" s="0" t="n">
        <f aca="false">INDEX(customer_churn_dataset!$T$2:$T$1501,MATCH($A138,customer_churn_dataset!$A$2:$A$1501,0))</f>
        <v>4</v>
      </c>
      <c r="K137" s="0" t="str">
        <f aca="false">INDEX(customer_churn_dataset!$V$2:$V$1501,MATCH($A138,customer_churn_dataset!$A$2:$A$1501,0))</f>
        <v>Medium Risk</v>
      </c>
    </row>
    <row r="138" customFormat="false" ht="12.8" hidden="true" customHeight="false" outlineLevel="0" collapsed="false">
      <c r="A138" s="22" t="str">
        <f aca="false">customer_churn_dataset!A1292</f>
        <v>CUST100374</v>
      </c>
      <c r="B138" s="22" t="str">
        <f aca="false">customer_churn_dataset!B1292</f>
        <v>Basic</v>
      </c>
      <c r="C138" s="22" t="str">
        <f aca="false">customer_churn_dataset!C1292</f>
        <v>Two year</v>
      </c>
      <c r="D138" s="0" t="n">
        <f aca="false">INDEX(customer_churn_dataset!$E$2:$E$1501,MATCH($A139,customer_churn_dataset!$A$2:$A$1501,0))</f>
        <v>3</v>
      </c>
      <c r="E138" s="0" t="n">
        <f aca="false">INDEX(customer_churn_dataset!$I$2:$I$1501,MATCH($A139,customer_churn_dataset!$A$2:$A$1501,0))</f>
        <v>42.1</v>
      </c>
      <c r="F138" s="0" t="n">
        <f aca="false">INDEX(customer_churn_dataset!$L$2:$L$1501,MATCH($A139,customer_churn_dataset!$A$2:$A$1501,0))</f>
        <v>1</v>
      </c>
      <c r="G138" s="0" t="str">
        <f aca="false">IF(INDEX(customer_churn_dataset!$M$2:$M$1501,MATCH($A139,customer_churn_dataset!$A$2:$A$1501,0))=1,"Yes","No")</f>
        <v>No</v>
      </c>
      <c r="H138" s="0" t="n">
        <f aca="false">INDEX(customer_churn_dataset!$N$2:$N$1501,MATCH($A139,customer_churn_dataset!$A$2:$A$1501,0))</f>
        <v>56.1</v>
      </c>
      <c r="I138" s="0" t="n">
        <f aca="false">INDEX(customer_churn_dataset!$O$2:$O$1501,MATCH($A139,customer_churn_dataset!$A$2:$A$1501,0))</f>
        <v>0</v>
      </c>
      <c r="J138" s="0" t="n">
        <f aca="false">INDEX(customer_churn_dataset!$T$2:$T$1501,MATCH($A139,customer_churn_dataset!$A$2:$A$1501,0))</f>
        <v>3</v>
      </c>
      <c r="K138" s="0" t="str">
        <f aca="false">INDEX(customer_churn_dataset!$V$2:$V$1501,MATCH($A139,customer_churn_dataset!$A$2:$A$1501,0))</f>
        <v>Medium Risk</v>
      </c>
    </row>
    <row r="139" customFormat="false" ht="12.8" hidden="true" customHeight="false" outlineLevel="0" collapsed="false">
      <c r="A139" s="22" t="str">
        <f aca="false">customer_churn_dataset!A1294</f>
        <v>CUST101043</v>
      </c>
      <c r="B139" s="22" t="str">
        <f aca="false">customer_churn_dataset!B1294</f>
        <v>Standard</v>
      </c>
      <c r="C139" s="22" t="str">
        <f aca="false">customer_churn_dataset!C1294</f>
        <v>One year</v>
      </c>
      <c r="D139" s="0" t="n">
        <f aca="false">INDEX(customer_churn_dataset!$E$2:$E$1501,MATCH($A140,customer_churn_dataset!$A$2:$A$1501,0))</f>
        <v>1</v>
      </c>
      <c r="E139" s="0" t="n">
        <f aca="false">INDEX(customer_churn_dataset!$I$2:$I$1501,MATCH($A140,customer_churn_dataset!$A$2:$A$1501,0))</f>
        <v>54.1</v>
      </c>
      <c r="F139" s="0" t="n">
        <f aca="false">INDEX(customer_churn_dataset!$L$2:$L$1501,MATCH($A140,customer_churn_dataset!$A$2:$A$1501,0))</f>
        <v>0</v>
      </c>
      <c r="G139" s="0" t="str">
        <f aca="false">IF(INDEX(customer_churn_dataset!$M$2:$M$1501,MATCH($A140,customer_churn_dataset!$A$2:$A$1501,0))=1,"Yes","No")</f>
        <v>No</v>
      </c>
      <c r="H139" s="0" t="n">
        <f aca="false">INDEX(customer_churn_dataset!$N$2:$N$1501,MATCH($A140,customer_churn_dataset!$A$2:$A$1501,0))</f>
        <v>8.11</v>
      </c>
      <c r="I139" s="0" t="n">
        <f aca="false">INDEX(customer_churn_dataset!$O$2:$O$1501,MATCH($A140,customer_churn_dataset!$A$2:$A$1501,0))</f>
        <v>0</v>
      </c>
      <c r="J139" s="0" t="n">
        <f aca="false">INDEX(customer_churn_dataset!$T$2:$T$1501,MATCH($A140,customer_churn_dataset!$A$2:$A$1501,0))</f>
        <v>3</v>
      </c>
      <c r="K139" s="0" t="str">
        <f aca="false">INDEX(customer_churn_dataset!$V$2:$V$1501,MATCH($A140,customer_churn_dataset!$A$2:$A$1501,0))</f>
        <v>Medium Risk</v>
      </c>
    </row>
    <row r="140" customFormat="false" ht="12.8" hidden="false" customHeight="false" outlineLevel="0" collapsed="false">
      <c r="A140" s="23" t="str">
        <f aca="false">customer_churn_dataset!A1296</f>
        <v>CUST100681</v>
      </c>
      <c r="B140" s="24" t="str">
        <f aca="false">customer_churn_dataset!B1296</f>
        <v>Basic</v>
      </c>
      <c r="C140" s="24" t="str">
        <f aca="false">customer_churn_dataset!C1296</f>
        <v>One year</v>
      </c>
      <c r="D140" s="25" t="n">
        <f aca="false">INDEX(customer_churn_dataset!$E$2:$E$1501,MATCH($A141,customer_churn_dataset!$A$2:$A$1501,0))</f>
        <v>72</v>
      </c>
      <c r="E140" s="25" t="n">
        <f aca="false">INDEX(customer_churn_dataset!$I$2:$I$1501,MATCH($A141,customer_churn_dataset!$A$2:$A$1501,0))</f>
        <v>19.7</v>
      </c>
      <c r="F140" s="25" t="n">
        <f aca="false">INDEX(customer_churn_dataset!$L$2:$L$1501,MATCH($A141,customer_churn_dataset!$A$2:$A$1501,0))</f>
        <v>4</v>
      </c>
      <c r="G140" s="25" t="str">
        <f aca="false">IF(INDEX(customer_churn_dataset!$M$2:$M$1501,MATCH($A141,customer_churn_dataset!$A$2:$A$1501,0))=1,"Yes","No")</f>
        <v>Yes</v>
      </c>
      <c r="H140" s="25" t="n">
        <f aca="false">INDEX(customer_churn_dataset!$N$2:$N$1501,MATCH($A141,customer_churn_dataset!$A$2:$A$1501,0))</f>
        <v>823.68</v>
      </c>
      <c r="I140" s="25" t="n">
        <f aca="false">INDEX(customer_churn_dataset!$O$2:$O$1501,MATCH($A141,customer_churn_dataset!$A$2:$A$1501,0))</f>
        <v>0</v>
      </c>
      <c r="J140" s="25" t="n">
        <f aca="false">INDEX(customer_churn_dataset!$T$2:$T$1501,MATCH($A141,customer_churn_dataset!$A$2:$A$1501,0))</f>
        <v>8</v>
      </c>
      <c r="K140" s="25" t="str">
        <f aca="false">INDEX(customer_churn_dataset!$V$2:$V$1501,MATCH($A141,customer_churn_dataset!$A$2:$A$1501,0))</f>
        <v>High Risk</v>
      </c>
    </row>
    <row r="141" customFormat="false" ht="12.8" hidden="true" customHeight="false" outlineLevel="0" collapsed="false">
      <c r="A141" s="22" t="str">
        <f aca="false">customer_churn_dataset!A1322</f>
        <v>CUST101215</v>
      </c>
      <c r="B141" s="22" t="str">
        <f aca="false">customer_churn_dataset!B1322</f>
        <v>Basic</v>
      </c>
      <c r="C141" s="22" t="str">
        <f aca="false">customer_churn_dataset!C1322</f>
        <v>Month-to-month</v>
      </c>
      <c r="D141" s="0" t="n">
        <f aca="false">INDEX(customer_churn_dataset!$E$2:$E$1501,MATCH($A142,customer_churn_dataset!$A$2:$A$1501,0))</f>
        <v>4</v>
      </c>
      <c r="E141" s="0" t="n">
        <f aca="false">INDEX(customer_churn_dataset!$I$2:$I$1501,MATCH($A142,customer_churn_dataset!$A$2:$A$1501,0))</f>
        <v>60</v>
      </c>
      <c r="F141" s="0" t="n">
        <f aca="false">INDEX(customer_churn_dataset!$L$2:$L$1501,MATCH($A142,customer_churn_dataset!$A$2:$A$1501,0))</f>
        <v>3</v>
      </c>
      <c r="G141" s="0" t="str">
        <f aca="false">IF(INDEX(customer_churn_dataset!$M$2:$M$1501,MATCH($A142,customer_churn_dataset!$A$2:$A$1501,0))=1,"Yes","No")</f>
        <v>Yes</v>
      </c>
      <c r="H141" s="0" t="n">
        <f aca="false">INDEX(customer_churn_dataset!$N$2:$N$1501,MATCH($A142,customer_churn_dataset!$A$2:$A$1501,0))</f>
        <v>36.84</v>
      </c>
      <c r="I141" s="0" t="n">
        <f aca="false">INDEX(customer_churn_dataset!$O$2:$O$1501,MATCH($A142,customer_churn_dataset!$A$2:$A$1501,0))</f>
        <v>1</v>
      </c>
      <c r="J141" s="0" t="n">
        <f aca="false">INDEX(customer_churn_dataset!$T$2:$T$1501,MATCH($A142,customer_churn_dataset!$A$2:$A$1501,0))</f>
        <v>7</v>
      </c>
      <c r="K141" s="0" t="str">
        <f aca="false">INDEX(customer_churn_dataset!$V$2:$V$1501,MATCH($A142,customer_churn_dataset!$A$2:$A$1501,0))</f>
        <v>High Risk</v>
      </c>
    </row>
    <row r="142" customFormat="false" ht="12.8" hidden="true" customHeight="false" outlineLevel="0" collapsed="false">
      <c r="A142" s="22" t="str">
        <f aca="false">customer_churn_dataset!A1340</f>
        <v>CUST101288</v>
      </c>
      <c r="B142" s="22" t="str">
        <f aca="false">customer_churn_dataset!B1340</f>
        <v>Basic</v>
      </c>
      <c r="C142" s="22" t="str">
        <f aca="false">customer_churn_dataset!C1340</f>
        <v>Month-to-month</v>
      </c>
      <c r="D142" s="0" t="n">
        <f aca="false">INDEX(customer_churn_dataset!$E$2:$E$1501,MATCH($A143,customer_churn_dataset!$A$2:$A$1501,0))</f>
        <v>3</v>
      </c>
      <c r="E142" s="0" t="n">
        <f aca="false">INDEX(customer_churn_dataset!$I$2:$I$1501,MATCH($A143,customer_churn_dataset!$A$2:$A$1501,0))</f>
        <v>53.8</v>
      </c>
      <c r="F142" s="0" t="n">
        <f aca="false">INDEX(customer_churn_dataset!$L$2:$L$1501,MATCH($A143,customer_churn_dataset!$A$2:$A$1501,0))</f>
        <v>2</v>
      </c>
      <c r="G142" s="0" t="str">
        <f aca="false">IF(INDEX(customer_churn_dataset!$M$2:$M$1501,MATCH($A143,customer_churn_dataset!$A$2:$A$1501,0))=1,"Yes","No")</f>
        <v>No</v>
      </c>
      <c r="H142" s="0" t="n">
        <f aca="false">INDEX(customer_churn_dataset!$N$2:$N$1501,MATCH($A143,customer_churn_dataset!$A$2:$A$1501,0))</f>
        <v>119.82</v>
      </c>
      <c r="I142" s="0" t="n">
        <f aca="false">INDEX(customer_churn_dataset!$O$2:$O$1501,MATCH($A143,customer_churn_dataset!$A$2:$A$1501,0))</f>
        <v>0</v>
      </c>
      <c r="J142" s="0" t="n">
        <f aca="false">INDEX(customer_churn_dataset!$T$2:$T$1501,MATCH($A143,customer_churn_dataset!$A$2:$A$1501,0))</f>
        <v>5</v>
      </c>
      <c r="K142" s="0" t="str">
        <f aca="false">INDEX(customer_churn_dataset!$V$2:$V$1501,MATCH($A143,customer_churn_dataset!$A$2:$A$1501,0))</f>
        <v>Medium Risk</v>
      </c>
    </row>
    <row r="143" customFormat="false" ht="12.8" hidden="true" customHeight="false" outlineLevel="0" collapsed="false">
      <c r="A143" s="22" t="str">
        <f aca="false">customer_churn_dataset!A1351</f>
        <v>CUST100789</v>
      </c>
      <c r="B143" s="22" t="str">
        <f aca="false">customer_churn_dataset!B1351</f>
        <v>Premium</v>
      </c>
      <c r="C143" s="22" t="str">
        <f aca="false">customer_churn_dataset!C1351</f>
        <v>Month-to-month</v>
      </c>
      <c r="D143" s="0" t="n">
        <f aca="false">INDEX(customer_churn_dataset!$E$2:$E$1501,MATCH($A144,customer_churn_dataset!$A$2:$A$1501,0))</f>
        <v>16</v>
      </c>
      <c r="E143" s="0" t="n">
        <f aca="false">INDEX(customer_churn_dataset!$I$2:$I$1501,MATCH($A144,customer_churn_dataset!$A$2:$A$1501,0))</f>
        <v>16.7</v>
      </c>
      <c r="F143" s="0" t="n">
        <f aca="false">INDEX(customer_churn_dataset!$L$2:$L$1501,MATCH($A144,customer_churn_dataset!$A$2:$A$1501,0))</f>
        <v>3</v>
      </c>
      <c r="G143" s="0" t="str">
        <f aca="false">IF(INDEX(customer_churn_dataset!$M$2:$M$1501,MATCH($A144,customer_churn_dataset!$A$2:$A$1501,0))=1,"Yes","No")</f>
        <v>No</v>
      </c>
      <c r="H143" s="0" t="n">
        <f aca="false">INDEX(customer_churn_dataset!$N$2:$N$1501,MATCH($A144,customer_churn_dataset!$A$2:$A$1501,0))</f>
        <v>634.88</v>
      </c>
      <c r="I143" s="0" t="n">
        <f aca="false">INDEX(customer_churn_dataset!$O$2:$O$1501,MATCH($A144,customer_churn_dataset!$A$2:$A$1501,0))</f>
        <v>1</v>
      </c>
      <c r="J143" s="0" t="n">
        <f aca="false">INDEX(customer_churn_dataset!$T$2:$T$1501,MATCH($A144,customer_churn_dataset!$A$2:$A$1501,0))</f>
        <v>5</v>
      </c>
      <c r="K143" s="0" t="str">
        <f aca="false">INDEX(customer_churn_dataset!$V$2:$V$1501,MATCH($A144,customer_churn_dataset!$A$2:$A$1501,0))</f>
        <v>Medium Risk</v>
      </c>
    </row>
    <row r="144" customFormat="false" ht="12.8" hidden="true" customHeight="false" outlineLevel="0" collapsed="false">
      <c r="A144" s="22" t="str">
        <f aca="false">customer_churn_dataset!A1354</f>
        <v>CUST101048</v>
      </c>
      <c r="B144" s="22" t="str">
        <f aca="false">customer_churn_dataset!B1354</f>
        <v>Premium</v>
      </c>
      <c r="C144" s="22" t="str">
        <f aca="false">customer_churn_dataset!C1354</f>
        <v>Month-to-month</v>
      </c>
      <c r="D144" s="0" t="n">
        <f aca="false">INDEX(customer_churn_dataset!$E$2:$E$1501,MATCH($A145,customer_churn_dataset!$A$2:$A$1501,0))</f>
        <v>14</v>
      </c>
      <c r="E144" s="0" t="n">
        <f aca="false">INDEX(customer_churn_dataset!$I$2:$I$1501,MATCH($A145,customer_churn_dataset!$A$2:$A$1501,0))</f>
        <v>61.6</v>
      </c>
      <c r="F144" s="0" t="n">
        <f aca="false">INDEX(customer_churn_dataset!$L$2:$L$1501,MATCH($A145,customer_churn_dataset!$A$2:$A$1501,0))</f>
        <v>1</v>
      </c>
      <c r="G144" s="0" t="str">
        <f aca="false">IF(INDEX(customer_churn_dataset!$M$2:$M$1501,MATCH($A145,customer_churn_dataset!$A$2:$A$1501,0))=1,"Yes","No")</f>
        <v>No</v>
      </c>
      <c r="H144" s="0" t="n">
        <f aca="false">INDEX(customer_churn_dataset!$N$2:$N$1501,MATCH($A145,customer_churn_dataset!$A$2:$A$1501,0))</f>
        <v>279.58</v>
      </c>
      <c r="I144" s="0" t="n">
        <f aca="false">INDEX(customer_churn_dataset!$O$2:$O$1501,MATCH($A145,customer_churn_dataset!$A$2:$A$1501,0))</f>
        <v>0</v>
      </c>
      <c r="J144" s="0" t="n">
        <f aca="false">INDEX(customer_churn_dataset!$T$2:$T$1501,MATCH($A145,customer_churn_dataset!$A$2:$A$1501,0))</f>
        <v>1</v>
      </c>
      <c r="K144" s="0" t="str">
        <f aca="false">INDEX(customer_churn_dataset!$V$2:$V$1501,MATCH($A145,customer_churn_dataset!$A$2:$A$1501,0))</f>
        <v>Low Risk</v>
      </c>
    </row>
    <row r="145" customFormat="false" ht="12.8" hidden="true" customHeight="false" outlineLevel="0" collapsed="false">
      <c r="A145" s="22" t="str">
        <f aca="false">customer_churn_dataset!A1373</f>
        <v>CUST100200</v>
      </c>
      <c r="B145" s="22" t="str">
        <f aca="false">customer_churn_dataset!B1373</f>
        <v>Standard</v>
      </c>
      <c r="C145" s="22" t="str">
        <f aca="false">customer_churn_dataset!C1373</f>
        <v>One year</v>
      </c>
      <c r="D145" s="0" t="n">
        <f aca="false">INDEX(customer_churn_dataset!$E$2:$E$1501,MATCH($A146,customer_churn_dataset!$A$2:$A$1501,0))</f>
        <v>12</v>
      </c>
      <c r="E145" s="0" t="n">
        <f aca="false">INDEX(customer_churn_dataset!$I$2:$I$1501,MATCH($A146,customer_churn_dataset!$A$2:$A$1501,0))</f>
        <v>60.1</v>
      </c>
      <c r="F145" s="0" t="n">
        <f aca="false">INDEX(customer_churn_dataset!$L$2:$L$1501,MATCH($A146,customer_churn_dataset!$A$2:$A$1501,0))</f>
        <v>4</v>
      </c>
      <c r="G145" s="0" t="str">
        <f aca="false">IF(INDEX(customer_churn_dataset!$M$2:$M$1501,MATCH($A146,customer_churn_dataset!$A$2:$A$1501,0))=1,"Yes","No")</f>
        <v>No</v>
      </c>
      <c r="H145" s="0" t="n">
        <f aca="false">INDEX(customer_churn_dataset!$N$2:$N$1501,MATCH($A146,customer_churn_dataset!$A$2:$A$1501,0))</f>
        <v>491.4</v>
      </c>
      <c r="I145" s="0" t="n">
        <f aca="false">INDEX(customer_churn_dataset!$O$2:$O$1501,MATCH($A146,customer_churn_dataset!$A$2:$A$1501,0))</f>
        <v>0</v>
      </c>
      <c r="J145" s="0" t="n">
        <f aca="false">INDEX(customer_churn_dataset!$T$2:$T$1501,MATCH($A146,customer_churn_dataset!$A$2:$A$1501,0))</f>
        <v>3</v>
      </c>
      <c r="K145" s="0" t="str">
        <f aca="false">INDEX(customer_churn_dataset!$V$2:$V$1501,MATCH($A146,customer_churn_dataset!$A$2:$A$1501,0))</f>
        <v>Medium Risk</v>
      </c>
    </row>
    <row r="146" customFormat="false" ht="12.8" hidden="true" customHeight="false" outlineLevel="0" collapsed="false">
      <c r="A146" s="22" t="str">
        <f aca="false">customer_churn_dataset!A1376</f>
        <v>CUST100720</v>
      </c>
      <c r="B146" s="22" t="str">
        <f aca="false">customer_churn_dataset!B1376</f>
        <v>Premium</v>
      </c>
      <c r="C146" s="22" t="str">
        <f aca="false">customer_churn_dataset!C1376</f>
        <v>Month-to-month</v>
      </c>
      <c r="D146" s="0" t="n">
        <f aca="false">INDEX(customer_churn_dataset!$E$2:$E$1501,MATCH($A147,customer_churn_dataset!$A$2:$A$1501,0))</f>
        <v>24</v>
      </c>
      <c r="E146" s="0" t="n">
        <f aca="false">INDEX(customer_churn_dataset!$I$2:$I$1501,MATCH($A147,customer_churn_dataset!$A$2:$A$1501,0))</f>
        <v>75.4</v>
      </c>
      <c r="F146" s="0" t="n">
        <f aca="false">INDEX(customer_churn_dataset!$L$2:$L$1501,MATCH($A147,customer_churn_dataset!$A$2:$A$1501,0))</f>
        <v>2</v>
      </c>
      <c r="G146" s="0" t="str">
        <f aca="false">IF(INDEX(customer_churn_dataset!$M$2:$M$1501,MATCH($A147,customer_churn_dataset!$A$2:$A$1501,0))=1,"Yes","No")</f>
        <v>No</v>
      </c>
      <c r="H146" s="0" t="n">
        <f aca="false">INDEX(customer_churn_dataset!$N$2:$N$1501,MATCH($A147,customer_churn_dataset!$A$2:$A$1501,0))</f>
        <v>217.68</v>
      </c>
      <c r="I146" s="0" t="n">
        <f aca="false">INDEX(customer_churn_dataset!$O$2:$O$1501,MATCH($A147,customer_churn_dataset!$A$2:$A$1501,0))</f>
        <v>0</v>
      </c>
      <c r="J146" s="0" t="n">
        <f aca="false">INDEX(customer_churn_dataset!$T$2:$T$1501,MATCH($A147,customer_churn_dataset!$A$2:$A$1501,0))</f>
        <v>1</v>
      </c>
      <c r="K146" s="0" t="str">
        <f aca="false">INDEX(customer_churn_dataset!$V$2:$V$1501,MATCH($A147,customer_churn_dataset!$A$2:$A$1501,0))</f>
        <v>Low Risk</v>
      </c>
    </row>
    <row r="147" customFormat="false" ht="12.8" hidden="true" customHeight="false" outlineLevel="0" collapsed="false">
      <c r="A147" s="22" t="str">
        <f aca="false">customer_churn_dataset!A1397</f>
        <v>CUST101253</v>
      </c>
      <c r="B147" s="22" t="str">
        <f aca="false">customer_churn_dataset!B1397</f>
        <v>Basic</v>
      </c>
      <c r="C147" s="22" t="str">
        <f aca="false">customer_churn_dataset!C1397</f>
        <v>Two year</v>
      </c>
      <c r="D147" s="0" t="n">
        <f aca="false">INDEX(customer_churn_dataset!$E$2:$E$1501,MATCH($A148,customer_churn_dataset!$A$2:$A$1501,0))</f>
        <v>1</v>
      </c>
      <c r="E147" s="0" t="n">
        <f aca="false">INDEX(customer_churn_dataset!$I$2:$I$1501,MATCH($A148,customer_churn_dataset!$A$2:$A$1501,0))</f>
        <v>55.8</v>
      </c>
      <c r="F147" s="0" t="n">
        <f aca="false">INDEX(customer_churn_dataset!$L$2:$L$1501,MATCH($A148,customer_churn_dataset!$A$2:$A$1501,0))</f>
        <v>1</v>
      </c>
      <c r="G147" s="0" t="str">
        <f aca="false">IF(INDEX(customer_churn_dataset!$M$2:$M$1501,MATCH($A148,customer_churn_dataset!$A$2:$A$1501,0))=1,"Yes","No")</f>
        <v>Yes</v>
      </c>
      <c r="H147" s="0" t="n">
        <f aca="false">INDEX(customer_churn_dataset!$N$2:$N$1501,MATCH($A148,customer_churn_dataset!$A$2:$A$1501,0))</f>
        <v>38.14</v>
      </c>
      <c r="I147" s="0" t="n">
        <f aca="false">INDEX(customer_churn_dataset!$O$2:$O$1501,MATCH($A148,customer_churn_dataset!$A$2:$A$1501,0))</f>
        <v>0</v>
      </c>
      <c r="J147" s="0" t="n">
        <f aca="false">INDEX(customer_churn_dataset!$T$2:$T$1501,MATCH($A148,customer_churn_dataset!$A$2:$A$1501,0))</f>
        <v>5</v>
      </c>
      <c r="K147" s="0" t="str">
        <f aca="false">INDEX(customer_churn_dataset!$V$2:$V$1501,MATCH($A148,customer_churn_dataset!$A$2:$A$1501,0))</f>
        <v>Medium Risk</v>
      </c>
    </row>
    <row r="148" customFormat="false" ht="12.8" hidden="true" customHeight="false" outlineLevel="0" collapsed="false">
      <c r="A148" s="22" t="str">
        <f aca="false">customer_churn_dataset!A1399</f>
        <v>CUST101230</v>
      </c>
      <c r="B148" s="22" t="str">
        <f aca="false">customer_churn_dataset!B1399</f>
        <v>Premium</v>
      </c>
      <c r="C148" s="22" t="str">
        <f aca="false">customer_churn_dataset!C1399</f>
        <v>One year</v>
      </c>
      <c r="D148" s="0" t="n">
        <f aca="false">INDEX(customer_churn_dataset!$E$2:$E$1501,MATCH($A149,customer_churn_dataset!$A$2:$A$1501,0))</f>
        <v>40</v>
      </c>
      <c r="E148" s="0" t="n">
        <f aca="false">INDEX(customer_churn_dataset!$I$2:$I$1501,MATCH($A149,customer_churn_dataset!$A$2:$A$1501,0))</f>
        <v>8</v>
      </c>
      <c r="F148" s="0" t="n">
        <f aca="false">INDEX(customer_churn_dataset!$L$2:$L$1501,MATCH($A149,customer_churn_dataset!$A$2:$A$1501,0))</f>
        <v>1</v>
      </c>
      <c r="G148" s="0" t="str">
        <f aca="false">IF(INDEX(customer_churn_dataset!$M$2:$M$1501,MATCH($A149,customer_churn_dataset!$A$2:$A$1501,0))=1,"Yes","No")</f>
        <v>Yes</v>
      </c>
      <c r="H148" s="0" t="n">
        <f aca="false">INDEX(customer_churn_dataset!$N$2:$N$1501,MATCH($A149,customer_churn_dataset!$A$2:$A$1501,0))</f>
        <v>402.8</v>
      </c>
      <c r="I148" s="0" t="n">
        <f aca="false">INDEX(customer_churn_dataset!$O$2:$O$1501,MATCH($A149,customer_churn_dataset!$A$2:$A$1501,0))</f>
        <v>1</v>
      </c>
      <c r="J148" s="0" t="n">
        <f aca="false">INDEX(customer_churn_dataset!$T$2:$T$1501,MATCH($A149,customer_churn_dataset!$A$2:$A$1501,0))</f>
        <v>6</v>
      </c>
      <c r="K148" s="0" t="str">
        <f aca="false">INDEX(customer_churn_dataset!$V$2:$V$1501,MATCH($A149,customer_churn_dataset!$A$2:$A$1501,0))</f>
        <v>High Risk</v>
      </c>
    </row>
    <row r="149" customFormat="false" ht="12.8" hidden="true" customHeight="false" outlineLevel="0" collapsed="false">
      <c r="A149" s="22" t="str">
        <f aca="false">customer_churn_dataset!A1404</f>
        <v>CUST100602</v>
      </c>
      <c r="B149" s="22" t="str">
        <f aca="false">customer_churn_dataset!B1404</f>
        <v>Basic</v>
      </c>
      <c r="C149" s="22" t="str">
        <f aca="false">customer_churn_dataset!C1404</f>
        <v>One year</v>
      </c>
      <c r="D149" s="0" t="n">
        <f aca="false">INDEX(customer_churn_dataset!$E$2:$E$1501,MATCH($A150,customer_churn_dataset!$A$2:$A$1501,0))</f>
        <v>51</v>
      </c>
      <c r="E149" s="0" t="n">
        <f aca="false">INDEX(customer_churn_dataset!$I$2:$I$1501,MATCH($A150,customer_churn_dataset!$A$2:$A$1501,0))</f>
        <v>53.8</v>
      </c>
      <c r="F149" s="0" t="n">
        <f aca="false">INDEX(customer_churn_dataset!$L$2:$L$1501,MATCH($A150,customer_churn_dataset!$A$2:$A$1501,0))</f>
        <v>2</v>
      </c>
      <c r="G149" s="0" t="str">
        <f aca="false">IF(INDEX(customer_churn_dataset!$M$2:$M$1501,MATCH($A150,customer_churn_dataset!$A$2:$A$1501,0))=1,"Yes","No")</f>
        <v>Yes</v>
      </c>
      <c r="H149" s="0" t="n">
        <f aca="false">INDEX(customer_churn_dataset!$N$2:$N$1501,MATCH($A150,customer_churn_dataset!$A$2:$A$1501,0))</f>
        <v>968.49</v>
      </c>
      <c r="I149" s="0" t="n">
        <f aca="false">INDEX(customer_churn_dataset!$O$2:$O$1501,MATCH($A150,customer_churn_dataset!$A$2:$A$1501,0))</f>
        <v>0</v>
      </c>
      <c r="J149" s="0" t="n">
        <f aca="false">INDEX(customer_churn_dataset!$T$2:$T$1501,MATCH($A150,customer_churn_dataset!$A$2:$A$1501,0))</f>
        <v>7</v>
      </c>
      <c r="K149" s="0" t="str">
        <f aca="false">INDEX(customer_churn_dataset!$V$2:$V$1501,MATCH($A150,customer_churn_dataset!$A$2:$A$1501,0))</f>
        <v>High Risk</v>
      </c>
    </row>
    <row r="150" customFormat="false" ht="12.8" hidden="true" customHeight="false" outlineLevel="0" collapsed="false">
      <c r="A150" s="22" t="str">
        <f aca="false">customer_churn_dataset!A1436</f>
        <v>CUST101237</v>
      </c>
      <c r="B150" s="22" t="str">
        <f aca="false">customer_churn_dataset!B1436</f>
        <v>Standard</v>
      </c>
      <c r="C150" s="22" t="str">
        <f aca="false">customer_churn_dataset!C1436</f>
        <v>Month-to-month</v>
      </c>
      <c r="D150" s="0" t="n">
        <f aca="false">INDEX(customer_churn_dataset!$E$2:$E$1501,MATCH($A151,customer_churn_dataset!$A$2:$A$1501,0))</f>
        <v>37</v>
      </c>
      <c r="E150" s="0" t="n">
        <f aca="false">INDEX(customer_churn_dataset!$I$2:$I$1501,MATCH($A151,customer_churn_dataset!$A$2:$A$1501,0))</f>
        <v>66.8</v>
      </c>
      <c r="F150" s="0" t="n">
        <f aca="false">INDEX(customer_churn_dataset!$L$2:$L$1501,MATCH($A151,customer_churn_dataset!$A$2:$A$1501,0))</f>
        <v>1</v>
      </c>
      <c r="G150" s="0" t="str">
        <f aca="false">IF(INDEX(customer_churn_dataset!$M$2:$M$1501,MATCH($A151,customer_churn_dataset!$A$2:$A$1501,0))=1,"Yes","No")</f>
        <v>No</v>
      </c>
      <c r="H150" s="0" t="n">
        <f aca="false">INDEX(customer_churn_dataset!$N$2:$N$1501,MATCH($A151,customer_churn_dataset!$A$2:$A$1501,0))</f>
        <v>336.33</v>
      </c>
      <c r="I150" s="0" t="n">
        <f aca="false">INDEX(customer_churn_dataset!$O$2:$O$1501,MATCH($A151,customer_churn_dataset!$A$2:$A$1501,0))</f>
        <v>0</v>
      </c>
      <c r="J150" s="0" t="n">
        <f aca="false">INDEX(customer_churn_dataset!$T$2:$T$1501,MATCH($A151,customer_churn_dataset!$A$2:$A$1501,0))</f>
        <v>2</v>
      </c>
      <c r="K150" s="0" t="str">
        <f aca="false">INDEX(customer_churn_dataset!$V$2:$V$1501,MATCH($A151,customer_churn_dataset!$A$2:$A$1501,0))</f>
        <v>Low Risk</v>
      </c>
    </row>
    <row r="151" customFormat="false" ht="12.8" hidden="true" customHeight="false" outlineLevel="0" collapsed="false">
      <c r="A151" s="22" t="str">
        <f aca="false">customer_churn_dataset!A1445</f>
        <v>CUST100946</v>
      </c>
      <c r="B151" s="22" t="str">
        <f aca="false">customer_churn_dataset!B1445</f>
        <v>Basic</v>
      </c>
      <c r="C151" s="22" t="str">
        <f aca="false">customer_churn_dataset!C1445</f>
        <v>Month-to-month</v>
      </c>
      <c r="D151" s="0" t="n">
        <f aca="false">INDEX(customer_churn_dataset!$E$2:$E$1501,MATCH($A152,customer_churn_dataset!$A$2:$A$1501,0))</f>
        <v>5</v>
      </c>
      <c r="E151" s="0" t="n">
        <f aca="false">INDEX(customer_churn_dataset!$I$2:$I$1501,MATCH($A152,customer_churn_dataset!$A$2:$A$1501,0))</f>
        <v>55.4</v>
      </c>
      <c r="F151" s="0" t="n">
        <f aca="false">INDEX(customer_churn_dataset!$L$2:$L$1501,MATCH($A152,customer_churn_dataset!$A$2:$A$1501,0))</f>
        <v>1</v>
      </c>
      <c r="G151" s="0" t="str">
        <f aca="false">IF(INDEX(customer_churn_dataset!$M$2:$M$1501,MATCH($A152,customer_churn_dataset!$A$2:$A$1501,0))=1,"Yes","No")</f>
        <v>No</v>
      </c>
      <c r="H151" s="0" t="n">
        <f aca="false">INDEX(customer_churn_dataset!$N$2:$N$1501,MATCH($A152,customer_churn_dataset!$A$2:$A$1501,0))</f>
        <v>42.3</v>
      </c>
      <c r="I151" s="0" t="n">
        <f aca="false">INDEX(customer_churn_dataset!$O$2:$O$1501,MATCH($A152,customer_churn_dataset!$A$2:$A$1501,0))</f>
        <v>0</v>
      </c>
      <c r="J151" s="0" t="n">
        <f aca="false">INDEX(customer_churn_dataset!$T$2:$T$1501,MATCH($A152,customer_churn_dataset!$A$2:$A$1501,0))</f>
        <v>3</v>
      </c>
      <c r="K151" s="0" t="str">
        <f aca="false">INDEX(customer_churn_dataset!$V$2:$V$1501,MATCH($A152,customer_churn_dataset!$A$2:$A$1501,0))</f>
        <v>Medium Risk</v>
      </c>
    </row>
    <row r="152" customFormat="false" ht="12.8" hidden="true" customHeight="false" outlineLevel="0" collapsed="false">
      <c r="A152" s="22" t="str">
        <f aca="false">customer_churn_dataset!A1448</f>
        <v>CUST100328</v>
      </c>
      <c r="B152" s="22" t="str">
        <f aca="false">customer_churn_dataset!B1448</f>
        <v>Basic</v>
      </c>
      <c r="C152" s="22" t="str">
        <f aca="false">customer_churn_dataset!C1448</f>
        <v>Month-to-month</v>
      </c>
      <c r="D152" s="0" t="n">
        <f aca="false">INDEX(customer_churn_dataset!$E$2:$E$1501,MATCH($A153,customer_churn_dataset!$A$2:$A$1501,0))</f>
        <v>3</v>
      </c>
      <c r="E152" s="0" t="n">
        <f aca="false">INDEX(customer_churn_dataset!$I$2:$I$1501,MATCH($A153,customer_churn_dataset!$A$2:$A$1501,0))</f>
        <v>33.9</v>
      </c>
      <c r="F152" s="0" t="n">
        <f aca="false">INDEX(customer_churn_dataset!$L$2:$L$1501,MATCH($A153,customer_churn_dataset!$A$2:$A$1501,0))</f>
        <v>1</v>
      </c>
      <c r="G152" s="0" t="str">
        <f aca="false">IF(INDEX(customer_churn_dataset!$M$2:$M$1501,MATCH($A153,customer_churn_dataset!$A$2:$A$1501,0))=1,"Yes","No")</f>
        <v>Yes</v>
      </c>
      <c r="H152" s="0" t="n">
        <f aca="false">INDEX(customer_churn_dataset!$N$2:$N$1501,MATCH($A153,customer_churn_dataset!$A$2:$A$1501,0))</f>
        <v>60.27</v>
      </c>
      <c r="I152" s="0" t="n">
        <f aca="false">INDEX(customer_churn_dataset!$O$2:$O$1501,MATCH($A153,customer_churn_dataset!$A$2:$A$1501,0))</f>
        <v>0</v>
      </c>
      <c r="J152" s="0" t="n">
        <f aca="false">INDEX(customer_churn_dataset!$T$2:$T$1501,MATCH($A153,customer_churn_dataset!$A$2:$A$1501,0))</f>
        <v>7</v>
      </c>
      <c r="K152" s="0" t="str">
        <f aca="false">INDEX(customer_churn_dataset!$V$2:$V$1501,MATCH($A153,customer_churn_dataset!$A$2:$A$1501,0))</f>
        <v>High Risk</v>
      </c>
    </row>
    <row r="153" customFormat="false" ht="12.8" hidden="false" customHeight="false" outlineLevel="0" collapsed="false">
      <c r="A153" s="23" t="str">
        <f aca="false">customer_churn_dataset!A1451</f>
        <v>CUST101085</v>
      </c>
      <c r="B153" s="24" t="str">
        <f aca="false">customer_churn_dataset!B1451</f>
        <v>Standard</v>
      </c>
      <c r="C153" s="24" t="str">
        <f aca="false">customer_churn_dataset!C1451</f>
        <v>One year</v>
      </c>
      <c r="D153" s="25" t="n">
        <f aca="false">INDEX(customer_churn_dataset!$E$2:$E$1501,MATCH($A154,customer_churn_dataset!$A$2:$A$1501,0))</f>
        <v>7</v>
      </c>
      <c r="E153" s="25" t="n">
        <f aca="false">INDEX(customer_churn_dataset!$I$2:$I$1501,MATCH($A154,customer_churn_dataset!$A$2:$A$1501,0))</f>
        <v>50.5</v>
      </c>
      <c r="F153" s="25" t="n">
        <f aca="false">INDEX(customer_churn_dataset!$L$2:$L$1501,MATCH($A154,customer_churn_dataset!$A$2:$A$1501,0))</f>
        <v>2</v>
      </c>
      <c r="G153" s="25" t="str">
        <f aca="false">IF(INDEX(customer_churn_dataset!$M$2:$M$1501,MATCH($A154,customer_churn_dataset!$A$2:$A$1501,0))=1,"Yes","No")</f>
        <v>Yes</v>
      </c>
      <c r="H153" s="25" t="n">
        <f aca="false">INDEX(customer_churn_dataset!$N$2:$N$1501,MATCH($A154,customer_churn_dataset!$A$2:$A$1501,0))</f>
        <v>76.16</v>
      </c>
      <c r="I153" s="25" t="n">
        <f aca="false">INDEX(customer_churn_dataset!$O$2:$O$1501,MATCH($A154,customer_churn_dataset!$A$2:$A$1501,0))</f>
        <v>0</v>
      </c>
      <c r="J153" s="25" t="n">
        <f aca="false">INDEX(customer_churn_dataset!$T$2:$T$1501,MATCH($A154,customer_churn_dataset!$A$2:$A$1501,0))</f>
        <v>8</v>
      </c>
      <c r="K153" s="25" t="str">
        <f aca="false">INDEX(customer_churn_dataset!$V$2:$V$1501,MATCH($A154,customer_churn_dataset!$A$2:$A$1501,0))</f>
        <v>High Risk</v>
      </c>
    </row>
    <row r="154" customFormat="false" ht="12.8" hidden="true" customHeight="false" outlineLevel="0" collapsed="false">
      <c r="A154" s="22" t="str">
        <f aca="false">customer_churn_dataset!A1475</f>
        <v>CUST101073</v>
      </c>
      <c r="B154" s="22" t="str">
        <f aca="false">customer_churn_dataset!B1475</f>
        <v>Basic</v>
      </c>
      <c r="C154" s="22" t="str">
        <f aca="false">customer_churn_dataset!C1475</f>
        <v>Month-to-month</v>
      </c>
      <c r="D154" s="0" t="n">
        <f aca="false">INDEX(customer_churn_dataset!$E$2:$E$1501,MATCH($A155,customer_churn_dataset!$A$2:$A$1501,0))</f>
        <v>15</v>
      </c>
      <c r="E154" s="0" t="n">
        <f aca="false">INDEX(customer_churn_dataset!$I$2:$I$1501,MATCH($A155,customer_churn_dataset!$A$2:$A$1501,0))</f>
        <v>0.8</v>
      </c>
      <c r="F154" s="0" t="n">
        <f aca="false">INDEX(customer_churn_dataset!$L$2:$L$1501,MATCH($A155,customer_churn_dataset!$A$2:$A$1501,0))</f>
        <v>5</v>
      </c>
      <c r="G154" s="0" t="str">
        <f aca="false">IF(INDEX(customer_churn_dataset!$M$2:$M$1501,MATCH($A155,customer_churn_dataset!$A$2:$A$1501,0))=1,"Yes","No")</f>
        <v>No</v>
      </c>
      <c r="H154" s="0" t="n">
        <f aca="false">INDEX(customer_churn_dataset!$N$2:$N$1501,MATCH($A155,customer_churn_dataset!$A$2:$A$1501,0))</f>
        <v>289.8</v>
      </c>
      <c r="I154" s="0" t="n">
        <f aca="false">INDEX(customer_churn_dataset!$O$2:$O$1501,MATCH($A155,customer_churn_dataset!$A$2:$A$1501,0))</f>
        <v>1</v>
      </c>
      <c r="J154" s="0" t="n">
        <f aca="false">INDEX(customer_churn_dataset!$T$2:$T$1501,MATCH($A155,customer_churn_dataset!$A$2:$A$1501,0))</f>
        <v>5</v>
      </c>
      <c r="K154" s="0" t="str">
        <f aca="false">INDEX(customer_churn_dataset!$V$2:$V$1501,MATCH($A155,customer_churn_dataset!$A$2:$A$1501,0))</f>
        <v>Medium Risk</v>
      </c>
    </row>
    <row r="155" customFormat="false" ht="12.8" hidden="true" customHeight="false" outlineLevel="0" collapsed="false">
      <c r="A155" s="22" t="str">
        <f aca="false">customer_churn_dataset!A1484</f>
        <v>CUST100463</v>
      </c>
      <c r="B155" s="22" t="str">
        <f aca="false">customer_churn_dataset!B1484</f>
        <v>Standard</v>
      </c>
      <c r="C155" s="22" t="str">
        <f aca="false">customer_churn_dataset!C1484</f>
        <v>Month-to-month</v>
      </c>
      <c r="D155" s="0" t="n">
        <f aca="false">INDEX(customer_churn_dataset!$E$2:$E$1501,MATCH($A156,customer_churn_dataset!$A$2:$A$1501,0))</f>
        <v>31</v>
      </c>
      <c r="E155" s="0" t="n">
        <f aca="false">INDEX(customer_churn_dataset!$I$2:$I$1501,MATCH($A156,customer_churn_dataset!$A$2:$A$1501,0))</f>
        <v>48.2</v>
      </c>
      <c r="F155" s="0" t="n">
        <f aca="false">INDEX(customer_churn_dataset!$L$2:$L$1501,MATCH($A156,customer_churn_dataset!$A$2:$A$1501,0))</f>
        <v>3</v>
      </c>
      <c r="G155" s="0" t="str">
        <f aca="false">IF(INDEX(customer_churn_dataset!$M$2:$M$1501,MATCH($A156,customer_churn_dataset!$A$2:$A$1501,0))=1,"Yes","No")</f>
        <v>Yes</v>
      </c>
      <c r="H155" s="0" t="n">
        <f aca="false">INDEX(customer_churn_dataset!$N$2:$N$1501,MATCH($A156,customer_churn_dataset!$A$2:$A$1501,0))</f>
        <v>575.67</v>
      </c>
      <c r="I155" s="0" t="n">
        <f aca="false">INDEX(customer_churn_dataset!$O$2:$O$1501,MATCH($A156,customer_churn_dataset!$A$2:$A$1501,0))</f>
        <v>0</v>
      </c>
      <c r="J155" s="0" t="n">
        <f aca="false">INDEX(customer_churn_dataset!$T$2:$T$1501,MATCH($A156,customer_churn_dataset!$A$2:$A$1501,0))</f>
        <v>6</v>
      </c>
      <c r="K155" s="0" t="str">
        <f aca="false">INDEX(customer_churn_dataset!$V$2:$V$1501,MATCH($A156,customer_churn_dataset!$A$2:$A$1501,0))</f>
        <v>High Risk</v>
      </c>
    </row>
    <row r="156" customFormat="false" ht="12.8" hidden="true" customHeight="false" outlineLevel="0" collapsed="false">
      <c r="A156" s="22" t="str">
        <f aca="false">customer_churn_dataset!A1487</f>
        <v>CUST100326</v>
      </c>
      <c r="B156" s="22" t="str">
        <f aca="false">customer_churn_dataset!B1487</f>
        <v>Standard</v>
      </c>
      <c r="C156" s="22" t="str">
        <f aca="false">customer_churn_dataset!C1487</f>
        <v>One year</v>
      </c>
      <c r="D156" s="0" t="n">
        <f aca="false">INDEX(customer_churn_dataset!$E$2:$E$1501,MATCH($A157,customer_churn_dataset!$A$2:$A$1501,0))</f>
        <v>9</v>
      </c>
      <c r="E156" s="0" t="n">
        <f aca="false">INDEX(customer_churn_dataset!$I$2:$I$1501,MATCH($A157,customer_churn_dataset!$A$2:$A$1501,0))</f>
        <v>88.5</v>
      </c>
      <c r="F156" s="0" t="n">
        <f aca="false">INDEX(customer_churn_dataset!$L$2:$L$1501,MATCH($A157,customer_churn_dataset!$A$2:$A$1501,0))</f>
        <v>1</v>
      </c>
      <c r="G156" s="0" t="str">
        <f aca="false">IF(INDEX(customer_churn_dataset!$M$2:$M$1501,MATCH($A157,customer_churn_dataset!$A$2:$A$1501,0))=1,"Yes","No")</f>
        <v>Yes</v>
      </c>
      <c r="H156" s="0" t="n">
        <f aca="false">INDEX(customer_churn_dataset!$N$2:$N$1501,MATCH($A157,customer_churn_dataset!$A$2:$A$1501,0))</f>
        <v>75.51</v>
      </c>
      <c r="I156" s="0" t="n">
        <f aca="false">INDEX(customer_churn_dataset!$O$2:$O$1501,MATCH($A157,customer_churn_dataset!$A$2:$A$1501,0))</f>
        <v>0</v>
      </c>
      <c r="J156" s="0" t="n">
        <f aca="false">INDEX(customer_churn_dataset!$T$2:$T$1501,MATCH($A157,customer_churn_dataset!$A$2:$A$1501,0))</f>
        <v>6</v>
      </c>
      <c r="K156" s="0" t="str">
        <f aca="false">INDEX(customer_churn_dataset!$V$2:$V$1501,MATCH($A157,customer_churn_dataset!$A$2:$A$1501,0))</f>
        <v>High Risk</v>
      </c>
    </row>
    <row r="157" customFormat="false" ht="12.8" hidden="true" customHeight="false" outlineLevel="0" collapsed="false">
      <c r="A157" s="22" t="str">
        <f aca="false">customer_churn_dataset!A1497</f>
        <v>CUST100603</v>
      </c>
      <c r="B157" s="22" t="str">
        <f aca="false">customer_churn_dataset!B1497</f>
        <v>Basic</v>
      </c>
      <c r="C157" s="22" t="str">
        <f aca="false">customer_churn_dataset!C1497</f>
        <v>Month-to-month</v>
      </c>
      <c r="D157" s="0" t="n">
        <f aca="false">INDEX(customer_churn_dataset!$E$2:$E$1501,MATCH($A158,customer_churn_dataset!$A$2:$A$1501,0))</f>
        <v>35</v>
      </c>
      <c r="E157" s="0" t="n">
        <f aca="false">INDEX(customer_churn_dataset!$I$2:$I$1501,MATCH($A158,customer_churn_dataset!$A$2:$A$1501,0))</f>
        <v>76.7</v>
      </c>
      <c r="F157" s="0" t="n">
        <f aca="false">INDEX(customer_churn_dataset!$L$2:$L$1501,MATCH($A158,customer_churn_dataset!$A$2:$A$1501,0))</f>
        <v>0</v>
      </c>
      <c r="G157" s="0" t="str">
        <f aca="false">IF(INDEX(customer_churn_dataset!$M$2:$M$1501,MATCH($A158,customer_churn_dataset!$A$2:$A$1501,0))=1,"Yes","No")</f>
        <v>No</v>
      </c>
      <c r="H157" s="0" t="n">
        <f aca="false">INDEX(customer_churn_dataset!$N$2:$N$1501,MATCH($A158,customer_churn_dataset!$A$2:$A$1501,0))</f>
        <v>724.85</v>
      </c>
      <c r="I157" s="0" t="n">
        <f aca="false">INDEX(customer_churn_dataset!$O$2:$O$1501,MATCH($A158,customer_churn_dataset!$A$2:$A$1501,0))</f>
        <v>0</v>
      </c>
      <c r="J157" s="0" t="n">
        <f aca="false">INDEX(customer_churn_dataset!$T$2:$T$1501,MATCH($A158,customer_churn_dataset!$A$2:$A$1501,0))</f>
        <v>2</v>
      </c>
      <c r="K157" s="0" t="str">
        <f aca="false">INDEX(customer_churn_dataset!$V$2:$V$1501,MATCH($A158,customer_churn_dataset!$A$2:$A$1501,0))</f>
        <v>Low Risk</v>
      </c>
    </row>
    <row r="158" customFormat="false" ht="12.8" hidden="true" customHeight="false" outlineLevel="0" collapsed="false">
      <c r="A158" s="22" t="str">
        <f aca="false">customer_churn_dataset!A12</f>
        <v>CUST100968</v>
      </c>
      <c r="B158" s="22" t="str">
        <f aca="false">customer_churn_dataset!B12</f>
        <v>Standard</v>
      </c>
      <c r="C158" s="22" t="str">
        <f aca="false">customer_churn_dataset!C12</f>
        <v>Month-to-month</v>
      </c>
      <c r="D158" s="0" t="n">
        <f aca="false">INDEX(customer_churn_dataset!$E$2:$E$1501,MATCH($A159,customer_churn_dataset!$A$2:$A$1501,0))</f>
        <v>11</v>
      </c>
      <c r="E158" s="0" t="n">
        <f aca="false">INDEX(customer_churn_dataset!$I$2:$I$1501,MATCH($A159,customer_churn_dataset!$A$2:$A$1501,0))</f>
        <v>55.2</v>
      </c>
      <c r="F158" s="0" t="n">
        <f aca="false">INDEX(customer_churn_dataset!$L$2:$L$1501,MATCH($A159,customer_churn_dataset!$A$2:$A$1501,0))</f>
        <v>1</v>
      </c>
      <c r="G158" s="0" t="str">
        <f aca="false">IF(INDEX(customer_churn_dataset!$M$2:$M$1501,MATCH($A159,customer_churn_dataset!$A$2:$A$1501,0))=1,"Yes","No")</f>
        <v>No</v>
      </c>
      <c r="H158" s="0" t="n">
        <f aca="false">INDEX(customer_churn_dataset!$N$2:$N$1501,MATCH($A159,customer_churn_dataset!$A$2:$A$1501,0))</f>
        <v>142.34</v>
      </c>
      <c r="I158" s="0" t="n">
        <f aca="false">INDEX(customer_churn_dataset!$O$2:$O$1501,MATCH($A159,customer_churn_dataset!$A$2:$A$1501,0))</f>
        <v>0</v>
      </c>
      <c r="J158" s="0" t="n">
        <f aca="false">INDEX(customer_churn_dataset!$T$2:$T$1501,MATCH($A159,customer_churn_dataset!$A$2:$A$1501,0))</f>
        <v>3</v>
      </c>
      <c r="K158" s="0" t="str">
        <f aca="false">INDEX(customer_churn_dataset!$V$2:$V$1501,MATCH($A159,customer_churn_dataset!$A$2:$A$1501,0))</f>
        <v>Medium Risk</v>
      </c>
    </row>
    <row r="159" customFormat="false" ht="12.8" hidden="true" customHeight="false" outlineLevel="0" collapsed="false">
      <c r="A159" s="22" t="str">
        <f aca="false">customer_churn_dataset!A49</f>
        <v>CUST101346</v>
      </c>
      <c r="B159" s="22" t="str">
        <f aca="false">customer_churn_dataset!B49</f>
        <v>Basic</v>
      </c>
      <c r="C159" s="22" t="str">
        <f aca="false">customer_churn_dataset!C49</f>
        <v>Month-to-month</v>
      </c>
      <c r="D159" s="0" t="n">
        <f aca="false">INDEX(customer_churn_dataset!$E$2:$E$1501,MATCH($A160,customer_churn_dataset!$A$2:$A$1501,0))</f>
        <v>8</v>
      </c>
      <c r="E159" s="0" t="n">
        <f aca="false">INDEX(customer_churn_dataset!$I$2:$I$1501,MATCH($A160,customer_churn_dataset!$A$2:$A$1501,0))</f>
        <v>77.4</v>
      </c>
      <c r="F159" s="0" t="n">
        <f aca="false">INDEX(customer_churn_dataset!$L$2:$L$1501,MATCH($A160,customer_churn_dataset!$A$2:$A$1501,0))</f>
        <v>0</v>
      </c>
      <c r="G159" s="0" t="str">
        <f aca="false">IF(INDEX(customer_churn_dataset!$M$2:$M$1501,MATCH($A160,customer_churn_dataset!$A$2:$A$1501,0))=1,"Yes","No")</f>
        <v>No</v>
      </c>
      <c r="H159" s="0" t="n">
        <f aca="false">INDEX(customer_churn_dataset!$N$2:$N$1501,MATCH($A160,customer_churn_dataset!$A$2:$A$1501,0))</f>
        <v>321.68</v>
      </c>
      <c r="I159" s="0" t="n">
        <f aca="false">INDEX(customer_churn_dataset!$O$2:$O$1501,MATCH($A160,customer_churn_dataset!$A$2:$A$1501,0))</f>
        <v>0</v>
      </c>
      <c r="J159" s="0" t="n">
        <f aca="false">INDEX(customer_churn_dataset!$T$2:$T$1501,MATCH($A160,customer_churn_dataset!$A$2:$A$1501,0))</f>
        <v>2</v>
      </c>
      <c r="K159" s="0" t="str">
        <f aca="false">INDEX(customer_churn_dataset!$V$2:$V$1501,MATCH($A160,customer_churn_dataset!$A$2:$A$1501,0))</f>
        <v>Low Risk</v>
      </c>
    </row>
    <row r="160" customFormat="false" ht="12.8" hidden="true" customHeight="false" outlineLevel="0" collapsed="false">
      <c r="A160" s="22" t="str">
        <f aca="false">customer_churn_dataset!A26</f>
        <v>CUST100324</v>
      </c>
      <c r="B160" s="22" t="str">
        <f aca="false">customer_churn_dataset!B26</f>
        <v>Premium</v>
      </c>
      <c r="C160" s="22" t="str">
        <f aca="false">customer_churn_dataset!C26</f>
        <v>One year</v>
      </c>
      <c r="D160" s="0" t="n">
        <f aca="false">INDEX(customer_churn_dataset!$E$2:$E$1501,MATCH($A161,customer_churn_dataset!$A$2:$A$1501,0))</f>
        <v>11</v>
      </c>
      <c r="E160" s="0" t="n">
        <f aca="false">INDEX(customer_churn_dataset!$I$2:$I$1501,MATCH($A161,customer_churn_dataset!$A$2:$A$1501,0))</f>
        <v>69</v>
      </c>
      <c r="F160" s="0" t="n">
        <f aca="false">INDEX(customer_churn_dataset!$L$2:$L$1501,MATCH($A161,customer_churn_dataset!$A$2:$A$1501,0))</f>
        <v>2</v>
      </c>
      <c r="G160" s="0" t="str">
        <f aca="false">IF(INDEX(customer_churn_dataset!$M$2:$M$1501,MATCH($A161,customer_churn_dataset!$A$2:$A$1501,0))=1,"Yes","No")</f>
        <v>Yes</v>
      </c>
      <c r="H160" s="0" t="n">
        <f aca="false">INDEX(customer_churn_dataset!$N$2:$N$1501,MATCH($A161,customer_churn_dataset!$A$2:$A$1501,0))</f>
        <v>429.33</v>
      </c>
      <c r="I160" s="0" t="n">
        <f aca="false">INDEX(customer_churn_dataset!$O$2:$O$1501,MATCH($A161,customer_churn_dataset!$A$2:$A$1501,0))</f>
        <v>1</v>
      </c>
      <c r="J160" s="0" t="n">
        <f aca="false">INDEX(customer_churn_dataset!$T$2:$T$1501,MATCH($A161,customer_churn_dataset!$A$2:$A$1501,0))</f>
        <v>7</v>
      </c>
      <c r="K160" s="0" t="str">
        <f aca="false">INDEX(customer_churn_dataset!$V$2:$V$1501,MATCH($A161,customer_churn_dataset!$A$2:$A$1501,0))</f>
        <v>High Risk</v>
      </c>
    </row>
    <row r="161" customFormat="false" ht="12.8" hidden="true" customHeight="false" outlineLevel="0" collapsed="false">
      <c r="A161" s="22" t="str">
        <f aca="false">customer_churn_dataset!A37</f>
        <v>CUST101044</v>
      </c>
      <c r="B161" s="22" t="str">
        <f aca="false">customer_churn_dataset!B37</f>
        <v>Premium</v>
      </c>
      <c r="C161" s="22" t="str">
        <f aca="false">customer_churn_dataset!C37</f>
        <v>Month-to-month</v>
      </c>
      <c r="D161" s="0" t="n">
        <f aca="false">INDEX(customer_churn_dataset!$E$2:$E$1501,MATCH($A162,customer_churn_dataset!$A$2:$A$1501,0))</f>
        <v>25</v>
      </c>
      <c r="E161" s="0" t="n">
        <f aca="false">INDEX(customer_churn_dataset!$I$2:$I$1501,MATCH($A162,customer_churn_dataset!$A$2:$A$1501,0))</f>
        <v>54.4</v>
      </c>
      <c r="F161" s="0" t="n">
        <f aca="false">INDEX(customer_churn_dataset!$L$2:$L$1501,MATCH($A162,customer_churn_dataset!$A$2:$A$1501,0))</f>
        <v>1</v>
      </c>
      <c r="G161" s="0" t="str">
        <f aca="false">IF(INDEX(customer_churn_dataset!$M$2:$M$1501,MATCH($A162,customer_churn_dataset!$A$2:$A$1501,0))=1,"Yes","No")</f>
        <v>No</v>
      </c>
      <c r="H161" s="0" t="n">
        <f aca="false">INDEX(customer_churn_dataset!$N$2:$N$1501,MATCH($A162,customer_churn_dataset!$A$2:$A$1501,0))</f>
        <v>284.5</v>
      </c>
      <c r="I161" s="0" t="n">
        <f aca="false">INDEX(customer_churn_dataset!$O$2:$O$1501,MATCH($A162,customer_churn_dataset!$A$2:$A$1501,0))</f>
        <v>0</v>
      </c>
      <c r="J161" s="0" t="n">
        <f aca="false">INDEX(customer_churn_dataset!$T$2:$T$1501,MATCH($A162,customer_churn_dataset!$A$2:$A$1501,0))</f>
        <v>2</v>
      </c>
      <c r="K161" s="0" t="str">
        <f aca="false">INDEX(customer_churn_dataset!$V$2:$V$1501,MATCH($A162,customer_churn_dataset!$A$2:$A$1501,0))</f>
        <v>Low Risk</v>
      </c>
    </row>
    <row r="162" customFormat="false" ht="12.8" hidden="true" customHeight="false" outlineLevel="0" collapsed="false">
      <c r="A162" s="22" t="str">
        <f aca="false">customer_churn_dataset!A44</f>
        <v>CUST100021</v>
      </c>
      <c r="B162" s="22" t="str">
        <f aca="false">customer_churn_dataset!B44</f>
        <v>Basic</v>
      </c>
      <c r="C162" s="22" t="str">
        <f aca="false">customer_churn_dataset!C44</f>
        <v>One year</v>
      </c>
      <c r="D162" s="0" t="n">
        <f aca="false">INDEX(customer_churn_dataset!$E$2:$E$1501,MATCH($A163,customer_churn_dataset!$A$2:$A$1501,0))</f>
        <v>25</v>
      </c>
      <c r="E162" s="0" t="n">
        <f aca="false">INDEX(customer_churn_dataset!$I$2:$I$1501,MATCH($A163,customer_churn_dataset!$A$2:$A$1501,0))</f>
        <v>72.1</v>
      </c>
      <c r="F162" s="0" t="n">
        <f aca="false">INDEX(customer_churn_dataset!$L$2:$L$1501,MATCH($A163,customer_churn_dataset!$A$2:$A$1501,0))</f>
        <v>2</v>
      </c>
      <c r="G162" s="0" t="str">
        <f aca="false">IF(INDEX(customer_churn_dataset!$M$2:$M$1501,MATCH($A163,customer_churn_dataset!$A$2:$A$1501,0))=1,"Yes","No")</f>
        <v>No</v>
      </c>
      <c r="H162" s="0" t="n">
        <f aca="false">INDEX(customer_churn_dataset!$N$2:$N$1501,MATCH($A163,customer_churn_dataset!$A$2:$A$1501,0))</f>
        <v>1000</v>
      </c>
      <c r="I162" s="0" t="n">
        <f aca="false">INDEX(customer_churn_dataset!$O$2:$O$1501,MATCH($A163,customer_churn_dataset!$A$2:$A$1501,0))</f>
        <v>0</v>
      </c>
      <c r="J162" s="0" t="n">
        <f aca="false">INDEX(customer_churn_dataset!$T$2:$T$1501,MATCH($A163,customer_churn_dataset!$A$2:$A$1501,0))</f>
        <v>3</v>
      </c>
      <c r="K162" s="0" t="str">
        <f aca="false">INDEX(customer_churn_dataset!$V$2:$V$1501,MATCH($A163,customer_churn_dataset!$A$2:$A$1501,0))</f>
        <v>Medium Risk</v>
      </c>
    </row>
    <row r="163" customFormat="false" ht="12.8" hidden="true" customHeight="false" outlineLevel="0" collapsed="false">
      <c r="A163" s="22" t="str">
        <f aca="false">customer_churn_dataset!A33</f>
        <v>CUST100731</v>
      </c>
      <c r="B163" s="22" t="str">
        <f aca="false">customer_churn_dataset!B33</f>
        <v>Premium</v>
      </c>
      <c r="C163" s="22" t="str">
        <f aca="false">customer_churn_dataset!C33</f>
        <v>Month-to-month</v>
      </c>
      <c r="D163" s="0" t="n">
        <f aca="false">INDEX(customer_churn_dataset!$E$2:$E$1501,MATCH($A164,customer_churn_dataset!$A$2:$A$1501,0))</f>
        <v>8</v>
      </c>
      <c r="E163" s="0" t="n">
        <f aca="false">INDEX(customer_churn_dataset!$I$2:$I$1501,MATCH($A164,customer_churn_dataset!$A$2:$A$1501,0))</f>
        <v>14.4</v>
      </c>
      <c r="F163" s="0" t="n">
        <f aca="false">INDEX(customer_churn_dataset!$L$2:$L$1501,MATCH($A164,customer_churn_dataset!$A$2:$A$1501,0))</f>
        <v>1</v>
      </c>
      <c r="G163" s="0" t="str">
        <f aca="false">IF(INDEX(customer_churn_dataset!$M$2:$M$1501,MATCH($A164,customer_churn_dataset!$A$2:$A$1501,0))=1,"Yes","No")</f>
        <v>Yes</v>
      </c>
      <c r="H163" s="0" t="n">
        <f aca="false">INDEX(customer_churn_dataset!$N$2:$N$1501,MATCH($A164,customer_churn_dataset!$A$2:$A$1501,0))</f>
        <v>159.68</v>
      </c>
      <c r="I163" s="0" t="n">
        <f aca="false">INDEX(customer_churn_dataset!$O$2:$O$1501,MATCH($A164,customer_churn_dataset!$A$2:$A$1501,0))</f>
        <v>0</v>
      </c>
      <c r="J163" s="0" t="n">
        <f aca="false">INDEX(customer_churn_dataset!$T$2:$T$1501,MATCH($A164,customer_churn_dataset!$A$2:$A$1501,0))</f>
        <v>7</v>
      </c>
      <c r="K163" s="0" t="str">
        <f aca="false">INDEX(customer_churn_dataset!$V$2:$V$1501,MATCH($A164,customer_churn_dataset!$A$2:$A$1501,0))</f>
        <v>High Risk</v>
      </c>
    </row>
    <row r="164" customFormat="false" ht="12.8" hidden="true" customHeight="false" outlineLevel="0" collapsed="false">
      <c r="A164" s="22" t="str">
        <f aca="false">customer_churn_dataset!A54</f>
        <v>CUST100724</v>
      </c>
      <c r="B164" s="22" t="str">
        <f aca="false">customer_churn_dataset!B54</f>
        <v>Standard</v>
      </c>
      <c r="C164" s="22" t="str">
        <f aca="false">customer_churn_dataset!C54</f>
        <v>One year</v>
      </c>
      <c r="D164" s="0" t="n">
        <f aca="false">INDEX(customer_churn_dataset!$E$2:$E$1501,MATCH($A165,customer_churn_dataset!$A$2:$A$1501,0))</f>
        <v>8</v>
      </c>
      <c r="E164" s="0" t="n">
        <f aca="false">INDEX(customer_churn_dataset!$I$2:$I$1501,MATCH($A165,customer_churn_dataset!$A$2:$A$1501,0))</f>
        <v>61.4</v>
      </c>
      <c r="F164" s="0" t="n">
        <f aca="false">INDEX(customer_churn_dataset!$L$2:$L$1501,MATCH($A165,customer_churn_dataset!$A$2:$A$1501,0))</f>
        <v>1</v>
      </c>
      <c r="G164" s="0" t="str">
        <f aca="false">IF(INDEX(customer_churn_dataset!$M$2:$M$1501,MATCH($A165,customer_churn_dataset!$A$2:$A$1501,0))=1,"Yes","No")</f>
        <v>No</v>
      </c>
      <c r="H164" s="0" t="n">
        <f aca="false">INDEX(customer_churn_dataset!$N$2:$N$1501,MATCH($A165,customer_churn_dataset!$A$2:$A$1501,0))</f>
        <v>81.92</v>
      </c>
      <c r="I164" s="0" t="n">
        <f aca="false">INDEX(customer_churn_dataset!$O$2:$O$1501,MATCH($A165,customer_churn_dataset!$A$2:$A$1501,0))</f>
        <v>0</v>
      </c>
      <c r="J164" s="0" t="n">
        <f aca="false">INDEX(customer_churn_dataset!$T$2:$T$1501,MATCH($A165,customer_churn_dataset!$A$2:$A$1501,0))</f>
        <v>3</v>
      </c>
      <c r="K164" s="0" t="str">
        <f aca="false">INDEX(customer_churn_dataset!$V$2:$V$1501,MATCH($A165,customer_churn_dataset!$A$2:$A$1501,0))</f>
        <v>Medium Risk</v>
      </c>
    </row>
    <row r="165" customFormat="false" ht="12.8" hidden="true" customHeight="false" outlineLevel="0" collapsed="false">
      <c r="A165" s="22" t="str">
        <f aca="false">customer_churn_dataset!A60</f>
        <v>CUST100776</v>
      </c>
      <c r="B165" s="22" t="str">
        <f aca="false">customer_churn_dataset!B60</f>
        <v>Basic</v>
      </c>
      <c r="C165" s="22" t="str">
        <f aca="false">customer_churn_dataset!C60</f>
        <v>Month-to-month</v>
      </c>
      <c r="D165" s="0" t="n">
        <f aca="false">INDEX(customer_churn_dataset!$E$2:$E$1501,MATCH($A166,customer_churn_dataset!$A$2:$A$1501,0))</f>
        <v>50</v>
      </c>
      <c r="E165" s="0" t="n">
        <f aca="false">INDEX(customer_churn_dataset!$I$2:$I$1501,MATCH($A166,customer_churn_dataset!$A$2:$A$1501,0))</f>
        <v>57.2</v>
      </c>
      <c r="F165" s="0" t="n">
        <f aca="false">INDEX(customer_churn_dataset!$L$2:$L$1501,MATCH($A166,customer_churn_dataset!$A$2:$A$1501,0))</f>
        <v>1</v>
      </c>
      <c r="G165" s="0" t="str">
        <f aca="false">IF(INDEX(customer_churn_dataset!$M$2:$M$1501,MATCH($A166,customer_churn_dataset!$A$2:$A$1501,0))=1,"Yes","No")</f>
        <v>No</v>
      </c>
      <c r="H165" s="0" t="n">
        <f aca="false">INDEX(customer_churn_dataset!$N$2:$N$1501,MATCH($A166,customer_churn_dataset!$A$2:$A$1501,0))</f>
        <v>892</v>
      </c>
      <c r="I165" s="0" t="n">
        <f aca="false">INDEX(customer_churn_dataset!$O$2:$O$1501,MATCH($A166,customer_churn_dataset!$A$2:$A$1501,0))</f>
        <v>0</v>
      </c>
      <c r="J165" s="0" t="n">
        <f aca="false">INDEX(customer_churn_dataset!$T$2:$T$1501,MATCH($A166,customer_churn_dataset!$A$2:$A$1501,0))</f>
        <v>2</v>
      </c>
      <c r="K165" s="0" t="str">
        <f aca="false">INDEX(customer_churn_dataset!$V$2:$V$1501,MATCH($A166,customer_churn_dataset!$A$2:$A$1501,0))</f>
        <v>Low Risk</v>
      </c>
    </row>
    <row r="166" customFormat="false" ht="12.8" hidden="true" customHeight="false" outlineLevel="0" collapsed="false">
      <c r="A166" s="22" t="str">
        <f aca="false">customer_churn_dataset!A67</f>
        <v>CUST100129</v>
      </c>
      <c r="B166" s="22" t="str">
        <f aca="false">customer_churn_dataset!B67</f>
        <v>Standard</v>
      </c>
      <c r="C166" s="22" t="str">
        <f aca="false">customer_churn_dataset!C67</f>
        <v>Month-to-month</v>
      </c>
      <c r="D166" s="0" t="n">
        <f aca="false">INDEX(customer_churn_dataset!$E$2:$E$1501,MATCH($A167,customer_churn_dataset!$A$2:$A$1501,0))</f>
        <v>40</v>
      </c>
      <c r="E166" s="0" t="n">
        <f aca="false">INDEX(customer_churn_dataset!$I$2:$I$1501,MATCH($A167,customer_churn_dataset!$A$2:$A$1501,0))</f>
        <v>43.3</v>
      </c>
      <c r="F166" s="0" t="n">
        <f aca="false">INDEX(customer_churn_dataset!$L$2:$L$1501,MATCH($A167,customer_churn_dataset!$A$2:$A$1501,0))</f>
        <v>0</v>
      </c>
      <c r="G166" s="0" t="str">
        <f aca="false">IF(INDEX(customer_churn_dataset!$M$2:$M$1501,MATCH($A167,customer_churn_dataset!$A$2:$A$1501,0))=1,"Yes","No")</f>
        <v>No</v>
      </c>
      <c r="H166" s="0" t="n">
        <f aca="false">INDEX(customer_churn_dataset!$N$2:$N$1501,MATCH($A167,customer_churn_dataset!$A$2:$A$1501,0))</f>
        <v>354.4</v>
      </c>
      <c r="I166" s="0" t="n">
        <f aca="false">INDEX(customer_churn_dataset!$O$2:$O$1501,MATCH($A167,customer_churn_dataset!$A$2:$A$1501,0))</f>
        <v>1</v>
      </c>
      <c r="J166" s="0" t="n">
        <f aca="false">INDEX(customer_churn_dataset!$T$2:$T$1501,MATCH($A167,customer_churn_dataset!$A$2:$A$1501,0))</f>
        <v>3</v>
      </c>
      <c r="K166" s="0" t="str">
        <f aca="false">INDEX(customer_churn_dataset!$V$2:$V$1501,MATCH($A167,customer_churn_dataset!$A$2:$A$1501,0))</f>
        <v>Medium Risk</v>
      </c>
    </row>
    <row r="167" customFormat="false" ht="12.8" hidden="false" customHeight="false" outlineLevel="0" collapsed="false">
      <c r="A167" s="23" t="str">
        <f aca="false">customer_churn_dataset!A71</f>
        <v>CUST101369</v>
      </c>
      <c r="B167" s="24" t="str">
        <f aca="false">customer_churn_dataset!B71</f>
        <v>Basic</v>
      </c>
      <c r="C167" s="24" t="str">
        <f aca="false">customer_churn_dataset!C71</f>
        <v>Month-to-month</v>
      </c>
      <c r="D167" s="25" t="n">
        <f aca="false">INDEX(customer_churn_dataset!$E$2:$E$1501,MATCH($A168,customer_churn_dataset!$A$2:$A$1501,0))</f>
        <v>0</v>
      </c>
      <c r="E167" s="25" t="n">
        <f aca="false">INDEX(customer_churn_dataset!$I$2:$I$1501,MATCH($A168,customer_churn_dataset!$A$2:$A$1501,0))</f>
        <v>26.3</v>
      </c>
      <c r="F167" s="25" t="n">
        <f aca="false">INDEX(customer_churn_dataset!$L$2:$L$1501,MATCH($A168,customer_churn_dataset!$A$2:$A$1501,0))</f>
        <v>4</v>
      </c>
      <c r="G167" s="25" t="str">
        <f aca="false">IF(INDEX(customer_churn_dataset!$M$2:$M$1501,MATCH($A168,customer_churn_dataset!$A$2:$A$1501,0))=1,"Yes","No")</f>
        <v>Yes</v>
      </c>
      <c r="H167" s="25" t="n">
        <f aca="false">INDEX(customer_churn_dataset!$N$2:$N$1501,MATCH($A168,customer_churn_dataset!$A$2:$A$1501,0))</f>
        <v>0</v>
      </c>
      <c r="I167" s="25" t="n">
        <f aca="false">INDEX(customer_churn_dataset!$O$2:$O$1501,MATCH($A168,customer_churn_dataset!$A$2:$A$1501,0))</f>
        <v>0</v>
      </c>
      <c r="J167" s="25" t="n">
        <f aca="false">INDEX(customer_churn_dataset!$T$2:$T$1501,MATCH($A168,customer_churn_dataset!$A$2:$A$1501,0))</f>
        <v>8</v>
      </c>
      <c r="K167" s="25" t="str">
        <f aca="false">INDEX(customer_churn_dataset!$V$2:$V$1501,MATCH($A168,customer_churn_dataset!$A$2:$A$1501,0))</f>
        <v>High Risk</v>
      </c>
    </row>
    <row r="168" customFormat="false" ht="12.8" hidden="true" customHeight="false" outlineLevel="0" collapsed="false">
      <c r="A168" s="22" t="str">
        <f aca="false">customer_churn_dataset!A85</f>
        <v>CUST100199</v>
      </c>
      <c r="B168" s="22" t="str">
        <f aca="false">customer_churn_dataset!B85</f>
        <v>Standard</v>
      </c>
      <c r="C168" s="22" t="str">
        <f aca="false">customer_churn_dataset!C85</f>
        <v>One year</v>
      </c>
      <c r="D168" s="0" t="n">
        <f aca="false">INDEX(customer_churn_dataset!$E$2:$E$1501,MATCH($A169,customer_churn_dataset!$A$2:$A$1501,0))</f>
        <v>13</v>
      </c>
      <c r="E168" s="0" t="n">
        <f aca="false">INDEX(customer_churn_dataset!$I$2:$I$1501,MATCH($A169,customer_churn_dataset!$A$2:$A$1501,0))</f>
        <v>49.5</v>
      </c>
      <c r="F168" s="0" t="n">
        <f aca="false">INDEX(customer_churn_dataset!$L$2:$L$1501,MATCH($A169,customer_churn_dataset!$A$2:$A$1501,0))</f>
        <v>0</v>
      </c>
      <c r="G168" s="0" t="str">
        <f aca="false">IF(INDEX(customer_churn_dataset!$M$2:$M$1501,MATCH($A169,customer_churn_dataset!$A$2:$A$1501,0))=1,"Yes","No")</f>
        <v>No</v>
      </c>
      <c r="H168" s="0" t="n">
        <f aca="false">INDEX(customer_churn_dataset!$N$2:$N$1501,MATCH($A169,customer_churn_dataset!$A$2:$A$1501,0))</f>
        <v>147.16</v>
      </c>
      <c r="I168" s="0" t="n">
        <f aca="false">INDEX(customer_churn_dataset!$O$2:$O$1501,MATCH($A169,customer_churn_dataset!$A$2:$A$1501,0))</f>
        <v>0</v>
      </c>
      <c r="J168" s="0" t="n">
        <f aca="false">INDEX(customer_churn_dataset!$T$2:$T$1501,MATCH($A169,customer_churn_dataset!$A$2:$A$1501,0))</f>
        <v>2</v>
      </c>
      <c r="K168" s="0" t="str">
        <f aca="false">INDEX(customer_churn_dataset!$V$2:$V$1501,MATCH($A169,customer_churn_dataset!$A$2:$A$1501,0))</f>
        <v>Low Risk</v>
      </c>
    </row>
    <row r="169" customFormat="false" ht="12.8" hidden="true" customHeight="false" outlineLevel="0" collapsed="false">
      <c r="A169" s="22" t="str">
        <f aca="false">customer_churn_dataset!A90</f>
        <v>CUST100250</v>
      </c>
      <c r="B169" s="22" t="str">
        <f aca="false">customer_churn_dataset!B90</f>
        <v>Basic</v>
      </c>
      <c r="C169" s="22" t="str">
        <f aca="false">customer_churn_dataset!C90</f>
        <v>One year</v>
      </c>
      <c r="D169" s="0" t="n">
        <f aca="false">INDEX(customer_churn_dataset!$E$2:$E$1501,MATCH($A170,customer_churn_dataset!$A$2:$A$1501,0))</f>
        <v>3</v>
      </c>
      <c r="E169" s="0" t="n">
        <f aca="false">INDEX(customer_churn_dataset!$I$2:$I$1501,MATCH($A170,customer_churn_dataset!$A$2:$A$1501,0))</f>
        <v>45</v>
      </c>
      <c r="F169" s="0" t="n">
        <f aca="false">INDEX(customer_churn_dataset!$L$2:$L$1501,MATCH($A170,customer_churn_dataset!$A$2:$A$1501,0))</f>
        <v>0</v>
      </c>
      <c r="G169" s="0" t="str">
        <f aca="false">IF(INDEX(customer_churn_dataset!$M$2:$M$1501,MATCH($A170,customer_churn_dataset!$A$2:$A$1501,0))=1,"Yes","No")</f>
        <v>No</v>
      </c>
      <c r="H169" s="0" t="n">
        <f aca="false">INDEX(customer_churn_dataset!$N$2:$N$1501,MATCH($A170,customer_churn_dataset!$A$2:$A$1501,0))</f>
        <v>116.43</v>
      </c>
      <c r="I169" s="0" t="n">
        <f aca="false">INDEX(customer_churn_dataset!$O$2:$O$1501,MATCH($A170,customer_churn_dataset!$A$2:$A$1501,0))</f>
        <v>0</v>
      </c>
      <c r="J169" s="0" t="n">
        <f aca="false">INDEX(customer_churn_dataset!$T$2:$T$1501,MATCH($A170,customer_churn_dataset!$A$2:$A$1501,0))</f>
        <v>3</v>
      </c>
      <c r="K169" s="0" t="str">
        <f aca="false">INDEX(customer_churn_dataset!$V$2:$V$1501,MATCH($A170,customer_churn_dataset!$A$2:$A$1501,0))</f>
        <v>Medium Risk</v>
      </c>
    </row>
    <row r="170" customFormat="false" ht="12.8" hidden="true" customHeight="false" outlineLevel="0" collapsed="false">
      <c r="A170" s="22" t="str">
        <f aca="false">customer_churn_dataset!A92</f>
        <v>CUST100524</v>
      </c>
      <c r="B170" s="22" t="str">
        <f aca="false">customer_churn_dataset!B92</f>
        <v>Premium</v>
      </c>
      <c r="C170" s="22" t="str">
        <f aca="false">customer_churn_dataset!C92</f>
        <v>One year</v>
      </c>
      <c r="D170" s="0" t="n">
        <f aca="false">INDEX(customer_churn_dataset!$E$2:$E$1501,MATCH($A171,customer_churn_dataset!$A$2:$A$1501,0))</f>
        <v>20</v>
      </c>
      <c r="E170" s="0" t="n">
        <f aca="false">INDEX(customer_churn_dataset!$I$2:$I$1501,MATCH($A171,customer_churn_dataset!$A$2:$A$1501,0))</f>
        <v>55.8</v>
      </c>
      <c r="F170" s="0" t="n">
        <f aca="false">INDEX(customer_churn_dataset!$L$2:$L$1501,MATCH($A171,customer_churn_dataset!$A$2:$A$1501,0))</f>
        <v>2</v>
      </c>
      <c r="G170" s="0" t="str">
        <f aca="false">IF(INDEX(customer_churn_dataset!$M$2:$M$1501,MATCH($A171,customer_churn_dataset!$A$2:$A$1501,0))=1,"Yes","No")</f>
        <v>No</v>
      </c>
      <c r="H170" s="0" t="n">
        <f aca="false">INDEX(customer_churn_dataset!$N$2:$N$1501,MATCH($A171,customer_churn_dataset!$A$2:$A$1501,0))</f>
        <v>806</v>
      </c>
      <c r="I170" s="0" t="n">
        <f aca="false">INDEX(customer_churn_dataset!$O$2:$O$1501,MATCH($A171,customer_churn_dataset!$A$2:$A$1501,0))</f>
        <v>0</v>
      </c>
      <c r="J170" s="0" t="n">
        <f aca="false">INDEX(customer_churn_dataset!$T$2:$T$1501,MATCH($A171,customer_churn_dataset!$A$2:$A$1501,0))</f>
        <v>1</v>
      </c>
      <c r="K170" s="0" t="str">
        <f aca="false">INDEX(customer_churn_dataset!$V$2:$V$1501,MATCH($A171,customer_churn_dataset!$A$2:$A$1501,0))</f>
        <v>Low Risk</v>
      </c>
    </row>
    <row r="171" customFormat="false" ht="12.8" hidden="true" customHeight="false" outlineLevel="0" collapsed="false">
      <c r="A171" s="22" t="str">
        <f aca="false">customer_churn_dataset!A98</f>
        <v>CUST100270</v>
      </c>
      <c r="B171" s="22" t="str">
        <f aca="false">customer_churn_dataset!B98</f>
        <v>Premium</v>
      </c>
      <c r="C171" s="22" t="str">
        <f aca="false">customer_churn_dataset!C98</f>
        <v>Two year</v>
      </c>
      <c r="D171" s="0" t="n">
        <f aca="false">INDEX(customer_churn_dataset!$E$2:$E$1501,MATCH($A172,customer_churn_dataset!$A$2:$A$1501,0))</f>
        <v>6</v>
      </c>
      <c r="E171" s="0" t="n">
        <f aca="false">INDEX(customer_churn_dataset!$I$2:$I$1501,MATCH($A172,customer_churn_dataset!$A$2:$A$1501,0))</f>
        <v>36.8</v>
      </c>
      <c r="F171" s="0" t="n">
        <f aca="false">INDEX(customer_churn_dataset!$L$2:$L$1501,MATCH($A172,customer_churn_dataset!$A$2:$A$1501,0))</f>
        <v>1</v>
      </c>
      <c r="G171" s="0" t="str">
        <f aca="false">IF(INDEX(customer_churn_dataset!$M$2:$M$1501,MATCH($A172,customer_churn_dataset!$A$2:$A$1501,0))=1,"Yes","No")</f>
        <v>Yes</v>
      </c>
      <c r="H171" s="0" t="n">
        <f aca="false">INDEX(customer_churn_dataset!$N$2:$N$1501,MATCH($A172,customer_churn_dataset!$A$2:$A$1501,0))</f>
        <v>111.96</v>
      </c>
      <c r="I171" s="0" t="n">
        <f aca="false">INDEX(customer_churn_dataset!$O$2:$O$1501,MATCH($A172,customer_churn_dataset!$A$2:$A$1501,0))</f>
        <v>0</v>
      </c>
      <c r="J171" s="0" t="n">
        <f aca="false">INDEX(customer_churn_dataset!$T$2:$T$1501,MATCH($A172,customer_churn_dataset!$A$2:$A$1501,0))</f>
        <v>7</v>
      </c>
      <c r="K171" s="0" t="str">
        <f aca="false">INDEX(customer_churn_dataset!$V$2:$V$1501,MATCH($A172,customer_churn_dataset!$A$2:$A$1501,0))</f>
        <v>High Risk</v>
      </c>
    </row>
    <row r="172" customFormat="false" ht="12.8" hidden="true" customHeight="false" outlineLevel="0" collapsed="false">
      <c r="A172" s="22" t="str">
        <f aca="false">customer_churn_dataset!A117</f>
        <v>CUST101217</v>
      </c>
      <c r="B172" s="22" t="str">
        <f aca="false">customer_churn_dataset!B117</f>
        <v>Standard</v>
      </c>
      <c r="C172" s="22" t="str">
        <f aca="false">customer_churn_dataset!C117</f>
        <v>One year</v>
      </c>
      <c r="D172" s="0" t="n">
        <f aca="false">INDEX(customer_churn_dataset!$E$2:$E$1501,MATCH($A173,customer_churn_dataset!$A$2:$A$1501,0))</f>
        <v>25</v>
      </c>
      <c r="E172" s="0" t="n">
        <f aca="false">INDEX(customer_churn_dataset!$I$2:$I$1501,MATCH($A173,customer_churn_dataset!$A$2:$A$1501,0))</f>
        <v>57.6</v>
      </c>
      <c r="F172" s="0" t="n">
        <f aca="false">INDEX(customer_churn_dataset!$L$2:$L$1501,MATCH($A173,customer_churn_dataset!$A$2:$A$1501,0))</f>
        <v>2</v>
      </c>
      <c r="G172" s="0" t="str">
        <f aca="false">IF(INDEX(customer_churn_dataset!$M$2:$M$1501,MATCH($A173,customer_churn_dataset!$A$2:$A$1501,0))=1,"Yes","No")</f>
        <v>No</v>
      </c>
      <c r="H172" s="0" t="n">
        <f aca="false">INDEX(customer_churn_dataset!$N$2:$N$1501,MATCH($A173,customer_churn_dataset!$A$2:$A$1501,0))</f>
        <v>1021.25</v>
      </c>
      <c r="I172" s="0" t="n">
        <f aca="false">INDEX(customer_churn_dataset!$O$2:$O$1501,MATCH($A173,customer_churn_dataset!$A$2:$A$1501,0))</f>
        <v>0</v>
      </c>
      <c r="J172" s="0" t="n">
        <f aca="false">INDEX(customer_churn_dataset!$T$2:$T$1501,MATCH($A173,customer_churn_dataset!$A$2:$A$1501,0))</f>
        <v>3</v>
      </c>
      <c r="K172" s="0" t="str">
        <f aca="false">INDEX(customer_churn_dataset!$V$2:$V$1501,MATCH($A173,customer_churn_dataset!$A$2:$A$1501,0))</f>
        <v>Medium Risk</v>
      </c>
    </row>
    <row r="173" customFormat="false" ht="12.8" hidden="true" customHeight="false" outlineLevel="0" collapsed="false">
      <c r="A173" s="22" t="str">
        <f aca="false">customer_churn_dataset!A121</f>
        <v>CUST100272</v>
      </c>
      <c r="B173" s="22" t="str">
        <f aca="false">customer_churn_dataset!B121</f>
        <v>Premium</v>
      </c>
      <c r="C173" s="22" t="str">
        <f aca="false">customer_churn_dataset!C121</f>
        <v>Month-to-month</v>
      </c>
      <c r="D173" s="0" t="n">
        <f aca="false">INDEX(customer_churn_dataset!$E$2:$E$1501,MATCH($A174,customer_churn_dataset!$A$2:$A$1501,0))</f>
        <v>50</v>
      </c>
      <c r="E173" s="0" t="n">
        <f aca="false">INDEX(customer_churn_dataset!$I$2:$I$1501,MATCH($A174,customer_churn_dataset!$A$2:$A$1501,0))</f>
        <v>77.4</v>
      </c>
      <c r="F173" s="0" t="n">
        <f aca="false">INDEX(customer_churn_dataset!$L$2:$L$1501,MATCH($A174,customer_churn_dataset!$A$2:$A$1501,0))</f>
        <v>1</v>
      </c>
      <c r="G173" s="0" t="str">
        <f aca="false">IF(INDEX(customer_churn_dataset!$M$2:$M$1501,MATCH($A174,customer_churn_dataset!$A$2:$A$1501,0))=1,"Yes","No")</f>
        <v>Yes</v>
      </c>
      <c r="H173" s="0" t="n">
        <f aca="false">INDEX(customer_churn_dataset!$N$2:$N$1501,MATCH($A174,customer_churn_dataset!$A$2:$A$1501,0))</f>
        <v>509.5</v>
      </c>
      <c r="I173" s="0" t="n">
        <f aca="false">INDEX(customer_churn_dataset!$O$2:$O$1501,MATCH($A174,customer_churn_dataset!$A$2:$A$1501,0))</f>
        <v>0</v>
      </c>
      <c r="J173" s="0" t="n">
        <f aca="false">INDEX(customer_churn_dataset!$T$2:$T$1501,MATCH($A174,customer_churn_dataset!$A$2:$A$1501,0))</f>
        <v>5</v>
      </c>
      <c r="K173" s="0" t="str">
        <f aca="false">INDEX(customer_churn_dataset!$V$2:$V$1501,MATCH($A174,customer_churn_dataset!$A$2:$A$1501,0))</f>
        <v>Medium Risk</v>
      </c>
    </row>
    <row r="174" customFormat="false" ht="12.8" hidden="true" customHeight="false" outlineLevel="0" collapsed="false">
      <c r="A174" s="22" t="str">
        <f aca="false">customer_churn_dataset!A125</f>
        <v>CUST101099</v>
      </c>
      <c r="B174" s="22" t="str">
        <f aca="false">customer_churn_dataset!B125</f>
        <v>Basic</v>
      </c>
      <c r="C174" s="22" t="str">
        <f aca="false">customer_churn_dataset!C125</f>
        <v>Month-to-month</v>
      </c>
      <c r="D174" s="0" t="n">
        <f aca="false">INDEX(customer_churn_dataset!$E$2:$E$1501,MATCH($A175,customer_churn_dataset!$A$2:$A$1501,0))</f>
        <v>3</v>
      </c>
      <c r="E174" s="0" t="n">
        <f aca="false">INDEX(customer_churn_dataset!$I$2:$I$1501,MATCH($A175,customer_churn_dataset!$A$2:$A$1501,0))</f>
        <v>51.1</v>
      </c>
      <c r="F174" s="0" t="n">
        <f aca="false">INDEX(customer_churn_dataset!$L$2:$L$1501,MATCH($A175,customer_churn_dataset!$A$2:$A$1501,0))</f>
        <v>4</v>
      </c>
      <c r="G174" s="0" t="str">
        <f aca="false">IF(INDEX(customer_churn_dataset!$M$2:$M$1501,MATCH($A175,customer_churn_dataset!$A$2:$A$1501,0))=1,"Yes","No")</f>
        <v>No</v>
      </c>
      <c r="H174" s="0" t="n">
        <f aca="false">INDEX(customer_churn_dataset!$N$2:$N$1501,MATCH($A175,customer_churn_dataset!$A$2:$A$1501,0))</f>
        <v>59.28</v>
      </c>
      <c r="I174" s="0" t="n">
        <f aca="false">INDEX(customer_churn_dataset!$O$2:$O$1501,MATCH($A175,customer_churn_dataset!$A$2:$A$1501,0))</f>
        <v>1</v>
      </c>
      <c r="J174" s="0" t="n">
        <f aca="false">INDEX(customer_churn_dataset!$T$2:$T$1501,MATCH($A175,customer_churn_dataset!$A$2:$A$1501,0))</f>
        <v>5</v>
      </c>
      <c r="K174" s="0" t="str">
        <f aca="false">INDEX(customer_churn_dataset!$V$2:$V$1501,MATCH($A175,customer_churn_dataset!$A$2:$A$1501,0))</f>
        <v>Medium Risk</v>
      </c>
    </row>
    <row r="175" customFormat="false" ht="12.8" hidden="true" customHeight="false" outlineLevel="0" collapsed="false">
      <c r="A175" s="22" t="str">
        <f aca="false">customer_churn_dataset!A129</f>
        <v>CUST100362</v>
      </c>
      <c r="B175" s="22" t="str">
        <f aca="false">customer_churn_dataset!B129</f>
        <v>Standard</v>
      </c>
      <c r="C175" s="22" t="str">
        <f aca="false">customer_churn_dataset!C129</f>
        <v>Month-to-month</v>
      </c>
      <c r="D175" s="0" t="n">
        <f aca="false">INDEX(customer_churn_dataset!$E$2:$E$1501,MATCH($A176,customer_churn_dataset!$A$2:$A$1501,0))</f>
        <v>2</v>
      </c>
      <c r="E175" s="0" t="n">
        <f aca="false">INDEX(customer_churn_dataset!$I$2:$I$1501,MATCH($A176,customer_churn_dataset!$A$2:$A$1501,0))</f>
        <v>50.4</v>
      </c>
      <c r="F175" s="0" t="n">
        <f aca="false">INDEX(customer_churn_dataset!$L$2:$L$1501,MATCH($A176,customer_churn_dataset!$A$2:$A$1501,0))</f>
        <v>0</v>
      </c>
      <c r="G175" s="0" t="str">
        <f aca="false">IF(INDEX(customer_churn_dataset!$M$2:$M$1501,MATCH($A176,customer_churn_dataset!$A$2:$A$1501,0))=1,"Yes","No")</f>
        <v>No</v>
      </c>
      <c r="H175" s="0" t="n">
        <f aca="false">INDEX(customer_churn_dataset!$N$2:$N$1501,MATCH($A176,customer_churn_dataset!$A$2:$A$1501,0))</f>
        <v>78.74</v>
      </c>
      <c r="I175" s="0" t="n">
        <f aca="false">INDEX(customer_churn_dataset!$O$2:$O$1501,MATCH($A176,customer_churn_dataset!$A$2:$A$1501,0))</f>
        <v>1</v>
      </c>
      <c r="J175" s="0" t="n">
        <f aca="false">INDEX(customer_churn_dataset!$T$2:$T$1501,MATCH($A176,customer_churn_dataset!$A$2:$A$1501,0))</f>
        <v>3</v>
      </c>
      <c r="K175" s="0" t="str">
        <f aca="false">INDEX(customer_churn_dataset!$V$2:$V$1501,MATCH($A176,customer_churn_dataset!$A$2:$A$1501,0))</f>
        <v>Medium Risk</v>
      </c>
    </row>
    <row r="176" customFormat="false" ht="12.8" hidden="true" customHeight="false" outlineLevel="0" collapsed="false">
      <c r="A176" s="22" t="str">
        <f aca="false">customer_churn_dataset!A132</f>
        <v>CUST101157</v>
      </c>
      <c r="B176" s="22" t="str">
        <f aca="false">customer_churn_dataset!B132</f>
        <v>Premium</v>
      </c>
      <c r="C176" s="22" t="str">
        <f aca="false">customer_churn_dataset!C132</f>
        <v>One year</v>
      </c>
      <c r="D176" s="0" t="n">
        <f aca="false">INDEX(customer_churn_dataset!$E$2:$E$1501,MATCH($A177,customer_churn_dataset!$A$2:$A$1501,0))</f>
        <v>29</v>
      </c>
      <c r="E176" s="0" t="n">
        <f aca="false">INDEX(customer_churn_dataset!$I$2:$I$1501,MATCH($A177,customer_churn_dataset!$A$2:$A$1501,0))</f>
        <v>38.3</v>
      </c>
      <c r="F176" s="0" t="n">
        <f aca="false">INDEX(customer_churn_dataset!$L$2:$L$1501,MATCH($A177,customer_churn_dataset!$A$2:$A$1501,0))</f>
        <v>1</v>
      </c>
      <c r="G176" s="0" t="str">
        <f aca="false">IF(INDEX(customer_churn_dataset!$M$2:$M$1501,MATCH($A177,customer_churn_dataset!$A$2:$A$1501,0))=1,"Yes","No")</f>
        <v>No</v>
      </c>
      <c r="H176" s="0" t="n">
        <f aca="false">INDEX(customer_churn_dataset!$N$2:$N$1501,MATCH($A177,customer_churn_dataset!$A$2:$A$1501,0))</f>
        <v>319</v>
      </c>
      <c r="I176" s="0" t="n">
        <f aca="false">INDEX(customer_churn_dataset!$O$2:$O$1501,MATCH($A177,customer_churn_dataset!$A$2:$A$1501,0))</f>
        <v>0</v>
      </c>
      <c r="J176" s="0" t="n">
        <f aca="false">INDEX(customer_churn_dataset!$T$2:$T$1501,MATCH($A177,customer_churn_dataset!$A$2:$A$1501,0))</f>
        <v>4</v>
      </c>
      <c r="K176" s="0" t="str">
        <f aca="false">INDEX(customer_churn_dataset!$V$2:$V$1501,MATCH($A177,customer_churn_dataset!$A$2:$A$1501,0))</f>
        <v>Medium Risk</v>
      </c>
    </row>
    <row r="177" customFormat="false" ht="12.8" hidden="true" customHeight="false" outlineLevel="0" collapsed="false">
      <c r="A177" s="22" t="str">
        <f aca="false">customer_churn_dataset!A134</f>
        <v>CUST101069</v>
      </c>
      <c r="B177" s="22" t="str">
        <f aca="false">customer_churn_dataset!B134</f>
        <v>Basic</v>
      </c>
      <c r="C177" s="22" t="str">
        <f aca="false">customer_churn_dataset!C134</f>
        <v>Month-to-month</v>
      </c>
      <c r="D177" s="0" t="n">
        <f aca="false">INDEX(customer_churn_dataset!$E$2:$E$1501,MATCH($A178,customer_churn_dataset!$A$2:$A$1501,0))</f>
        <v>8</v>
      </c>
      <c r="E177" s="0" t="n">
        <f aca="false">INDEX(customer_churn_dataset!$I$2:$I$1501,MATCH($A178,customer_churn_dataset!$A$2:$A$1501,0))</f>
        <v>63.4</v>
      </c>
      <c r="F177" s="0" t="n">
        <f aca="false">INDEX(customer_churn_dataset!$L$2:$L$1501,MATCH($A178,customer_churn_dataset!$A$2:$A$1501,0))</f>
        <v>3</v>
      </c>
      <c r="G177" s="0" t="str">
        <f aca="false">IF(INDEX(customer_churn_dataset!$M$2:$M$1501,MATCH($A178,customer_churn_dataset!$A$2:$A$1501,0))=1,"Yes","No")</f>
        <v>Yes</v>
      </c>
      <c r="H177" s="0" t="n">
        <f aca="false">INDEX(customer_churn_dataset!$N$2:$N$1501,MATCH($A178,customer_churn_dataset!$A$2:$A$1501,0))</f>
        <v>326.96</v>
      </c>
      <c r="I177" s="0" t="n">
        <f aca="false">INDEX(customer_churn_dataset!$O$2:$O$1501,MATCH($A178,customer_churn_dataset!$A$2:$A$1501,0))</f>
        <v>0</v>
      </c>
      <c r="J177" s="0" t="n">
        <f aca="false">INDEX(customer_churn_dataset!$T$2:$T$1501,MATCH($A178,customer_churn_dataset!$A$2:$A$1501,0))</f>
        <v>7</v>
      </c>
      <c r="K177" s="0" t="str">
        <f aca="false">INDEX(customer_churn_dataset!$V$2:$V$1501,MATCH($A178,customer_churn_dataset!$A$2:$A$1501,0))</f>
        <v>High Risk</v>
      </c>
    </row>
    <row r="178" customFormat="false" ht="12.8" hidden="true" customHeight="false" outlineLevel="0" collapsed="false">
      <c r="A178" s="22" t="str">
        <f aca="false">customer_churn_dataset!A161</f>
        <v>CUST100403</v>
      </c>
      <c r="B178" s="22" t="str">
        <f aca="false">customer_churn_dataset!B161</f>
        <v>Premium</v>
      </c>
      <c r="C178" s="22" t="str">
        <f aca="false">customer_churn_dataset!C161</f>
        <v>Month-to-month</v>
      </c>
      <c r="D178" s="0" t="n">
        <f aca="false">INDEX(customer_churn_dataset!$E$2:$E$1501,MATCH($A179,customer_churn_dataset!$A$2:$A$1501,0))</f>
        <v>0</v>
      </c>
      <c r="E178" s="0" t="n">
        <f aca="false">INDEX(customer_churn_dataset!$I$2:$I$1501,MATCH($A179,customer_churn_dataset!$A$2:$A$1501,0))</f>
        <v>36.8</v>
      </c>
      <c r="F178" s="0" t="n">
        <f aca="false">INDEX(customer_churn_dataset!$L$2:$L$1501,MATCH($A179,customer_churn_dataset!$A$2:$A$1501,0))</f>
        <v>1</v>
      </c>
      <c r="G178" s="0" t="str">
        <f aca="false">IF(INDEX(customer_churn_dataset!$M$2:$M$1501,MATCH($A179,customer_churn_dataset!$A$2:$A$1501,0))=1,"Yes","No")</f>
        <v>No</v>
      </c>
      <c r="H178" s="0" t="n">
        <f aca="false">INDEX(customer_churn_dataset!$N$2:$N$1501,MATCH($A179,customer_churn_dataset!$A$2:$A$1501,0))</f>
        <v>0</v>
      </c>
      <c r="I178" s="0" t="n">
        <f aca="false">INDEX(customer_churn_dataset!$O$2:$O$1501,MATCH($A179,customer_churn_dataset!$A$2:$A$1501,0))</f>
        <v>0</v>
      </c>
      <c r="J178" s="0" t="n">
        <f aca="false">INDEX(customer_churn_dataset!$T$2:$T$1501,MATCH($A179,customer_churn_dataset!$A$2:$A$1501,0))</f>
        <v>5</v>
      </c>
      <c r="K178" s="0" t="str">
        <f aca="false">INDEX(customer_churn_dataset!$V$2:$V$1501,MATCH($A179,customer_churn_dataset!$A$2:$A$1501,0))</f>
        <v>Medium Risk</v>
      </c>
    </row>
    <row r="179" customFormat="false" ht="12.8" hidden="true" customHeight="false" outlineLevel="0" collapsed="false">
      <c r="A179" s="22" t="str">
        <f aca="false">customer_churn_dataset!A165</f>
        <v>CUST101256</v>
      </c>
      <c r="B179" s="22" t="str">
        <f aca="false">customer_churn_dataset!B165</f>
        <v>Basic</v>
      </c>
      <c r="C179" s="22" t="str">
        <f aca="false">customer_churn_dataset!C165</f>
        <v>Month-to-month</v>
      </c>
      <c r="D179" s="0" t="n">
        <f aca="false">INDEX(customer_churn_dataset!$E$2:$E$1501,MATCH($A180,customer_churn_dataset!$A$2:$A$1501,0))</f>
        <v>13</v>
      </c>
      <c r="E179" s="0" t="n">
        <f aca="false">INDEX(customer_churn_dataset!$I$2:$I$1501,MATCH($A180,customer_churn_dataset!$A$2:$A$1501,0))</f>
        <v>55.2</v>
      </c>
      <c r="F179" s="0" t="n">
        <f aca="false">INDEX(customer_churn_dataset!$L$2:$L$1501,MATCH($A180,customer_churn_dataset!$A$2:$A$1501,0))</f>
        <v>3</v>
      </c>
      <c r="G179" s="0" t="str">
        <f aca="false">IF(INDEX(customer_churn_dataset!$M$2:$M$1501,MATCH($A180,customer_churn_dataset!$A$2:$A$1501,0))=1,"Yes","No")</f>
        <v>Yes</v>
      </c>
      <c r="H179" s="0" t="n">
        <f aca="false">INDEX(customer_churn_dataset!$N$2:$N$1501,MATCH($A180,customer_churn_dataset!$A$2:$A$1501,0))</f>
        <v>129.87</v>
      </c>
      <c r="I179" s="0" t="n">
        <f aca="false">INDEX(customer_churn_dataset!$O$2:$O$1501,MATCH($A180,customer_churn_dataset!$A$2:$A$1501,0))</f>
        <v>0</v>
      </c>
      <c r="J179" s="0" t="n">
        <f aca="false">INDEX(customer_churn_dataset!$T$2:$T$1501,MATCH($A180,customer_churn_dataset!$A$2:$A$1501,0))</f>
        <v>6</v>
      </c>
      <c r="K179" s="0" t="str">
        <f aca="false">INDEX(customer_churn_dataset!$V$2:$V$1501,MATCH($A180,customer_churn_dataset!$A$2:$A$1501,0))</f>
        <v>High Risk</v>
      </c>
    </row>
    <row r="180" customFormat="false" ht="12.8" hidden="true" customHeight="false" outlineLevel="0" collapsed="false">
      <c r="A180" s="22" t="str">
        <f aca="false">customer_churn_dataset!A170</f>
        <v>CUST100846</v>
      </c>
      <c r="B180" s="22" t="str">
        <f aca="false">customer_churn_dataset!B170</f>
        <v>Basic</v>
      </c>
      <c r="C180" s="22" t="str">
        <f aca="false">customer_churn_dataset!C170</f>
        <v>Month-to-month</v>
      </c>
      <c r="D180" s="0" t="n">
        <f aca="false">INDEX(customer_churn_dataset!$E$2:$E$1501,MATCH($A181,customer_churn_dataset!$A$2:$A$1501,0))</f>
        <v>5</v>
      </c>
      <c r="E180" s="0" t="n">
        <f aca="false">INDEX(customer_churn_dataset!$I$2:$I$1501,MATCH($A181,customer_churn_dataset!$A$2:$A$1501,0))</f>
        <v>43.3</v>
      </c>
      <c r="F180" s="0" t="n">
        <f aca="false">INDEX(customer_churn_dataset!$L$2:$L$1501,MATCH($A181,customer_churn_dataset!$A$2:$A$1501,0))</f>
        <v>1</v>
      </c>
      <c r="G180" s="0" t="str">
        <f aca="false">IF(INDEX(customer_churn_dataset!$M$2:$M$1501,MATCH($A181,customer_churn_dataset!$A$2:$A$1501,0))=1,"Yes","No")</f>
        <v>No</v>
      </c>
      <c r="H180" s="0" t="n">
        <f aca="false">INDEX(customer_churn_dataset!$N$2:$N$1501,MATCH($A181,customer_churn_dataset!$A$2:$A$1501,0))</f>
        <v>49.65</v>
      </c>
      <c r="I180" s="0" t="n">
        <f aca="false">INDEX(customer_churn_dataset!$O$2:$O$1501,MATCH($A181,customer_churn_dataset!$A$2:$A$1501,0))</f>
        <v>0</v>
      </c>
      <c r="J180" s="0" t="n">
        <f aca="false">INDEX(customer_churn_dataset!$T$2:$T$1501,MATCH($A181,customer_churn_dataset!$A$2:$A$1501,0))</f>
        <v>3</v>
      </c>
      <c r="K180" s="0" t="str">
        <f aca="false">INDEX(customer_churn_dataset!$V$2:$V$1501,MATCH($A181,customer_churn_dataset!$A$2:$A$1501,0))</f>
        <v>Medium Risk</v>
      </c>
    </row>
    <row r="181" customFormat="false" ht="12.8" hidden="false" customHeight="false" outlineLevel="0" collapsed="false">
      <c r="A181" s="23" t="str">
        <f aca="false">customer_churn_dataset!A177</f>
        <v>CUST100099</v>
      </c>
      <c r="B181" s="24" t="str">
        <f aca="false">customer_churn_dataset!B177</f>
        <v>Basic</v>
      </c>
      <c r="C181" s="24" t="str">
        <f aca="false">customer_churn_dataset!C177</f>
        <v>One year</v>
      </c>
      <c r="D181" s="25" t="n">
        <f aca="false">INDEX(customer_churn_dataset!$E$2:$E$1501,MATCH($A182,customer_churn_dataset!$A$2:$A$1501,0))</f>
        <v>3</v>
      </c>
      <c r="E181" s="25" t="n">
        <f aca="false">INDEX(customer_churn_dataset!$I$2:$I$1501,MATCH($A182,customer_churn_dataset!$A$2:$A$1501,0))</f>
        <v>53.5</v>
      </c>
      <c r="F181" s="25" t="n">
        <f aca="false">INDEX(customer_churn_dataset!$L$2:$L$1501,MATCH($A182,customer_churn_dataset!$A$2:$A$1501,0))</f>
        <v>2</v>
      </c>
      <c r="G181" s="25" t="str">
        <f aca="false">IF(INDEX(customer_churn_dataset!$M$2:$M$1501,MATCH($A182,customer_churn_dataset!$A$2:$A$1501,0))=1,"Yes","No")</f>
        <v>Yes</v>
      </c>
      <c r="H181" s="25" t="n">
        <f aca="false">INDEX(customer_churn_dataset!$N$2:$N$1501,MATCH($A182,customer_churn_dataset!$A$2:$A$1501,0))</f>
        <v>30.96</v>
      </c>
      <c r="I181" s="25" t="n">
        <f aca="false">INDEX(customer_churn_dataset!$O$2:$O$1501,MATCH($A182,customer_churn_dataset!$A$2:$A$1501,0))</f>
        <v>0</v>
      </c>
      <c r="J181" s="25" t="n">
        <f aca="false">INDEX(customer_churn_dataset!$T$2:$T$1501,MATCH($A182,customer_churn_dataset!$A$2:$A$1501,0))</f>
        <v>8</v>
      </c>
      <c r="K181" s="25" t="str">
        <f aca="false">INDEX(customer_churn_dataset!$V$2:$V$1501,MATCH($A182,customer_churn_dataset!$A$2:$A$1501,0))</f>
        <v>High Risk</v>
      </c>
    </row>
    <row r="182" customFormat="false" ht="12.8" hidden="true" customHeight="false" outlineLevel="0" collapsed="false">
      <c r="A182" s="22" t="str">
        <f aca="false">customer_churn_dataset!A187</f>
        <v>CUST100930</v>
      </c>
      <c r="B182" s="22" t="str">
        <f aca="false">customer_churn_dataset!B187</f>
        <v>Basic</v>
      </c>
      <c r="C182" s="22" t="str">
        <f aca="false">customer_churn_dataset!C187</f>
        <v>Month-to-month</v>
      </c>
      <c r="D182" s="0" t="n">
        <f aca="false">INDEX(customer_churn_dataset!$E$2:$E$1501,MATCH($A183,customer_churn_dataset!$A$2:$A$1501,0))</f>
        <v>66</v>
      </c>
      <c r="E182" s="0" t="n">
        <f aca="false">INDEX(customer_churn_dataset!$I$2:$I$1501,MATCH($A183,customer_churn_dataset!$A$2:$A$1501,0))</f>
        <v>35.6</v>
      </c>
      <c r="F182" s="0" t="n">
        <f aca="false">INDEX(customer_churn_dataset!$L$2:$L$1501,MATCH($A183,customer_churn_dataset!$A$2:$A$1501,0))</f>
        <v>0</v>
      </c>
      <c r="G182" s="0" t="str">
        <f aca="false">IF(INDEX(customer_churn_dataset!$M$2:$M$1501,MATCH($A183,customer_churn_dataset!$A$2:$A$1501,0))=1,"Yes","No")</f>
        <v>No</v>
      </c>
      <c r="H182" s="0" t="n">
        <f aca="false">INDEX(customer_churn_dataset!$N$2:$N$1501,MATCH($A183,customer_churn_dataset!$A$2:$A$1501,0))</f>
        <v>654.06</v>
      </c>
      <c r="I182" s="0" t="n">
        <f aca="false">INDEX(customer_churn_dataset!$O$2:$O$1501,MATCH($A183,customer_churn_dataset!$A$2:$A$1501,0))</f>
        <v>0</v>
      </c>
      <c r="J182" s="0" t="n">
        <f aca="false">INDEX(customer_churn_dataset!$T$2:$T$1501,MATCH($A183,customer_churn_dataset!$A$2:$A$1501,0))</f>
        <v>4</v>
      </c>
      <c r="K182" s="0" t="str">
        <f aca="false">INDEX(customer_churn_dataset!$V$2:$V$1501,MATCH($A183,customer_churn_dataset!$A$2:$A$1501,0))</f>
        <v>Medium Risk</v>
      </c>
    </row>
    <row r="183" customFormat="false" ht="12.8" hidden="true" customHeight="false" outlineLevel="0" collapsed="false">
      <c r="A183" s="22" t="str">
        <f aca="false">customer_churn_dataset!A191</f>
        <v>CUST101109</v>
      </c>
      <c r="B183" s="22" t="str">
        <f aca="false">customer_churn_dataset!B191</f>
        <v>Basic</v>
      </c>
      <c r="C183" s="22" t="str">
        <f aca="false">customer_churn_dataset!C191</f>
        <v>Month-to-month</v>
      </c>
      <c r="D183" s="0" t="n">
        <f aca="false">INDEX(customer_churn_dataset!$E$2:$E$1501,MATCH($A184,customer_churn_dataset!$A$2:$A$1501,0))</f>
        <v>21</v>
      </c>
      <c r="E183" s="0" t="n">
        <f aca="false">INDEX(customer_churn_dataset!$I$2:$I$1501,MATCH($A184,customer_churn_dataset!$A$2:$A$1501,0))</f>
        <v>54.7</v>
      </c>
      <c r="F183" s="0" t="n">
        <f aca="false">INDEX(customer_churn_dataset!$L$2:$L$1501,MATCH($A184,customer_churn_dataset!$A$2:$A$1501,0))</f>
        <v>1</v>
      </c>
      <c r="G183" s="0" t="str">
        <f aca="false">IF(INDEX(customer_churn_dataset!$M$2:$M$1501,MATCH($A184,customer_churn_dataset!$A$2:$A$1501,0))=1,"Yes","No")</f>
        <v>Yes</v>
      </c>
      <c r="H183" s="0" t="n">
        <f aca="false">INDEX(customer_churn_dataset!$N$2:$N$1501,MATCH($A184,customer_churn_dataset!$A$2:$A$1501,0))</f>
        <v>229.11</v>
      </c>
      <c r="I183" s="0" t="n">
        <f aca="false">INDEX(customer_churn_dataset!$O$2:$O$1501,MATCH($A184,customer_churn_dataset!$A$2:$A$1501,0))</f>
        <v>1</v>
      </c>
      <c r="J183" s="0" t="n">
        <f aca="false">INDEX(customer_churn_dataset!$T$2:$T$1501,MATCH($A184,customer_churn_dataset!$A$2:$A$1501,0))</f>
        <v>6</v>
      </c>
      <c r="K183" s="0" t="str">
        <f aca="false">INDEX(customer_churn_dataset!$V$2:$V$1501,MATCH($A184,customer_churn_dataset!$A$2:$A$1501,0))</f>
        <v>High Risk</v>
      </c>
    </row>
    <row r="184" customFormat="false" ht="12.8" hidden="true" customHeight="false" outlineLevel="0" collapsed="false">
      <c r="A184" s="22" t="str">
        <f aca="false">customer_churn_dataset!A210</f>
        <v>CUST101089</v>
      </c>
      <c r="B184" s="22" t="str">
        <f aca="false">customer_churn_dataset!B210</f>
        <v>Basic</v>
      </c>
      <c r="C184" s="22" t="str">
        <f aca="false">customer_churn_dataset!C210</f>
        <v>Month-to-month</v>
      </c>
      <c r="D184" s="0" t="n">
        <f aca="false">INDEX(customer_churn_dataset!$E$2:$E$1501,MATCH($A185,customer_churn_dataset!$A$2:$A$1501,0))</f>
        <v>3</v>
      </c>
      <c r="E184" s="0" t="n">
        <f aca="false">INDEX(customer_churn_dataset!$I$2:$I$1501,MATCH($A185,customer_churn_dataset!$A$2:$A$1501,0))</f>
        <v>100</v>
      </c>
      <c r="F184" s="0" t="n">
        <f aca="false">INDEX(customer_churn_dataset!$L$2:$L$1501,MATCH($A185,customer_churn_dataset!$A$2:$A$1501,0))</f>
        <v>2</v>
      </c>
      <c r="G184" s="0" t="str">
        <f aca="false">IF(INDEX(customer_churn_dataset!$M$2:$M$1501,MATCH($A185,customer_churn_dataset!$A$2:$A$1501,0))=1,"Yes","No")</f>
        <v>No</v>
      </c>
      <c r="H184" s="0" t="n">
        <f aca="false">INDEX(customer_churn_dataset!$N$2:$N$1501,MATCH($A185,customer_churn_dataset!$A$2:$A$1501,0))</f>
        <v>24.57</v>
      </c>
      <c r="I184" s="0" t="n">
        <f aca="false">INDEX(customer_churn_dataset!$O$2:$O$1501,MATCH($A185,customer_churn_dataset!$A$2:$A$1501,0))</f>
        <v>0</v>
      </c>
      <c r="J184" s="0" t="n">
        <f aca="false">INDEX(customer_churn_dataset!$T$2:$T$1501,MATCH($A185,customer_churn_dataset!$A$2:$A$1501,0))</f>
        <v>4</v>
      </c>
      <c r="K184" s="0" t="str">
        <f aca="false">INDEX(customer_churn_dataset!$V$2:$V$1501,MATCH($A185,customer_churn_dataset!$A$2:$A$1501,0))</f>
        <v>Medium Risk</v>
      </c>
    </row>
    <row r="185" customFormat="false" ht="12.8" hidden="true" customHeight="false" outlineLevel="0" collapsed="false">
      <c r="A185" s="22" t="str">
        <f aca="false">customer_churn_dataset!A216</f>
        <v>CUST100644</v>
      </c>
      <c r="B185" s="22" t="str">
        <f aca="false">customer_churn_dataset!B216</f>
        <v>Basic</v>
      </c>
      <c r="C185" s="22" t="str">
        <f aca="false">customer_churn_dataset!C216</f>
        <v>Month-to-month</v>
      </c>
      <c r="D185" s="0" t="n">
        <f aca="false">INDEX(customer_churn_dataset!$E$2:$E$1501,MATCH($A186,customer_churn_dataset!$A$2:$A$1501,0))</f>
        <v>15</v>
      </c>
      <c r="E185" s="0" t="n">
        <f aca="false">INDEX(customer_churn_dataset!$I$2:$I$1501,MATCH($A186,customer_churn_dataset!$A$2:$A$1501,0))</f>
        <v>72.2</v>
      </c>
      <c r="F185" s="0" t="n">
        <f aca="false">INDEX(customer_churn_dataset!$L$2:$L$1501,MATCH($A186,customer_churn_dataset!$A$2:$A$1501,0))</f>
        <v>1</v>
      </c>
      <c r="G185" s="0" t="str">
        <f aca="false">IF(INDEX(customer_churn_dataset!$M$2:$M$1501,MATCH($A186,customer_churn_dataset!$A$2:$A$1501,0))=1,"Yes","No")</f>
        <v>No</v>
      </c>
      <c r="H185" s="0" t="n">
        <f aca="false">INDEX(customer_churn_dataset!$N$2:$N$1501,MATCH($A186,customer_churn_dataset!$A$2:$A$1501,0))</f>
        <v>143.4</v>
      </c>
      <c r="I185" s="0" t="n">
        <f aca="false">INDEX(customer_churn_dataset!$O$2:$O$1501,MATCH($A186,customer_churn_dataset!$A$2:$A$1501,0))</f>
        <v>0</v>
      </c>
      <c r="J185" s="0" t="n">
        <f aca="false">INDEX(customer_churn_dataset!$T$2:$T$1501,MATCH($A186,customer_churn_dataset!$A$2:$A$1501,0))</f>
        <v>0</v>
      </c>
      <c r="K185" s="0" t="str">
        <f aca="false">INDEX(customer_churn_dataset!$V$2:$V$1501,MATCH($A186,customer_churn_dataset!$A$2:$A$1501,0))</f>
        <v>Low Risk</v>
      </c>
    </row>
    <row r="186" customFormat="false" ht="12.8" hidden="true" customHeight="false" outlineLevel="0" collapsed="false">
      <c r="A186" s="22" t="str">
        <f aca="false">customer_churn_dataset!A220</f>
        <v>CUST100519</v>
      </c>
      <c r="B186" s="22" t="str">
        <f aca="false">customer_churn_dataset!B220</f>
        <v>Basic</v>
      </c>
      <c r="C186" s="22" t="str">
        <f aca="false">customer_churn_dataset!C220</f>
        <v>Two year</v>
      </c>
      <c r="D186" s="0" t="n">
        <f aca="false">INDEX(customer_churn_dataset!$E$2:$E$1501,MATCH($A187,customer_churn_dataset!$A$2:$A$1501,0))</f>
        <v>4</v>
      </c>
      <c r="E186" s="0" t="n">
        <f aca="false">INDEX(customer_churn_dataset!$I$2:$I$1501,MATCH($A187,customer_churn_dataset!$A$2:$A$1501,0))</f>
        <v>56.8</v>
      </c>
      <c r="F186" s="0" t="n">
        <f aca="false">INDEX(customer_churn_dataset!$L$2:$L$1501,MATCH($A187,customer_churn_dataset!$A$2:$A$1501,0))</f>
        <v>2</v>
      </c>
      <c r="G186" s="0" t="str">
        <f aca="false">IF(INDEX(customer_churn_dataset!$M$2:$M$1501,MATCH($A187,customer_churn_dataset!$A$2:$A$1501,0))=1,"Yes","No")</f>
        <v>No</v>
      </c>
      <c r="H186" s="0" t="n">
        <f aca="false">INDEX(customer_churn_dataset!$N$2:$N$1501,MATCH($A187,customer_churn_dataset!$A$2:$A$1501,0))</f>
        <v>77.76</v>
      </c>
      <c r="I186" s="0" t="n">
        <f aca="false">INDEX(customer_churn_dataset!$O$2:$O$1501,MATCH($A187,customer_churn_dataset!$A$2:$A$1501,0))</f>
        <v>0</v>
      </c>
      <c r="J186" s="0" t="n">
        <f aca="false">INDEX(customer_churn_dataset!$T$2:$T$1501,MATCH($A187,customer_churn_dataset!$A$2:$A$1501,0))</f>
        <v>2</v>
      </c>
      <c r="K186" s="0" t="str">
        <f aca="false">INDEX(customer_churn_dataset!$V$2:$V$1501,MATCH($A187,customer_churn_dataset!$A$2:$A$1501,0))</f>
        <v>Low Risk</v>
      </c>
    </row>
    <row r="187" customFormat="false" ht="12.8" hidden="true" customHeight="false" outlineLevel="0" collapsed="false">
      <c r="A187" s="22" t="str">
        <f aca="false">customer_churn_dataset!A225</f>
        <v>CUST101242</v>
      </c>
      <c r="B187" s="22" t="str">
        <f aca="false">customer_churn_dataset!B225</f>
        <v>Standard</v>
      </c>
      <c r="C187" s="22" t="str">
        <f aca="false">customer_churn_dataset!C225</f>
        <v>Two year</v>
      </c>
      <c r="D187" s="0" t="n">
        <f aca="false">INDEX(customer_churn_dataset!$E$2:$E$1501,MATCH($A188,customer_churn_dataset!$A$2:$A$1501,0))</f>
        <v>16</v>
      </c>
      <c r="E187" s="0" t="n">
        <f aca="false">INDEX(customer_churn_dataset!$I$2:$I$1501,MATCH($A188,customer_churn_dataset!$A$2:$A$1501,0))</f>
        <v>19.9</v>
      </c>
      <c r="F187" s="0" t="n">
        <f aca="false">INDEX(customer_churn_dataset!$L$2:$L$1501,MATCH($A188,customer_churn_dataset!$A$2:$A$1501,0))</f>
        <v>2</v>
      </c>
      <c r="G187" s="0" t="str">
        <f aca="false">IF(INDEX(customer_churn_dataset!$M$2:$M$1501,MATCH($A188,customer_churn_dataset!$A$2:$A$1501,0))=1,"Yes","No")</f>
        <v>No</v>
      </c>
      <c r="H187" s="0" t="n">
        <f aca="false">INDEX(customer_churn_dataset!$N$2:$N$1501,MATCH($A188,customer_churn_dataset!$A$2:$A$1501,0))</f>
        <v>658.88</v>
      </c>
      <c r="I187" s="0" t="n">
        <f aca="false">INDEX(customer_churn_dataset!$O$2:$O$1501,MATCH($A188,customer_churn_dataset!$A$2:$A$1501,0))</f>
        <v>0</v>
      </c>
      <c r="J187" s="0" t="n">
        <f aca="false">INDEX(customer_churn_dataset!$T$2:$T$1501,MATCH($A188,customer_churn_dataset!$A$2:$A$1501,0))</f>
        <v>4</v>
      </c>
      <c r="K187" s="0" t="str">
        <f aca="false">INDEX(customer_churn_dataset!$V$2:$V$1501,MATCH($A188,customer_churn_dataset!$A$2:$A$1501,0))</f>
        <v>Medium Risk</v>
      </c>
    </row>
    <row r="188" customFormat="false" ht="12.8" hidden="true" customHeight="false" outlineLevel="0" collapsed="false">
      <c r="A188" s="22" t="str">
        <f aca="false">customer_churn_dataset!A237</f>
        <v>CUST100488</v>
      </c>
      <c r="B188" s="22" t="str">
        <f aca="false">customer_churn_dataset!B237</f>
        <v>Premium</v>
      </c>
      <c r="C188" s="22" t="str">
        <f aca="false">customer_churn_dataset!C237</f>
        <v>One year</v>
      </c>
      <c r="D188" s="0" t="n">
        <f aca="false">INDEX(customer_churn_dataset!$E$2:$E$1501,MATCH($A189,customer_churn_dataset!$A$2:$A$1501,0))</f>
        <v>10</v>
      </c>
      <c r="E188" s="0" t="n">
        <f aca="false">INDEX(customer_churn_dataset!$I$2:$I$1501,MATCH($A189,customer_churn_dataset!$A$2:$A$1501,0))</f>
        <v>97.5</v>
      </c>
      <c r="F188" s="0" t="n">
        <f aca="false">INDEX(customer_churn_dataset!$L$2:$L$1501,MATCH($A189,customer_churn_dataset!$A$2:$A$1501,0))</f>
        <v>0</v>
      </c>
      <c r="G188" s="0" t="str">
        <f aca="false">IF(INDEX(customer_churn_dataset!$M$2:$M$1501,MATCH($A189,customer_churn_dataset!$A$2:$A$1501,0))=1,"Yes","No")</f>
        <v>No</v>
      </c>
      <c r="H188" s="0" t="n">
        <f aca="false">INDEX(customer_churn_dataset!$N$2:$N$1501,MATCH($A189,customer_churn_dataset!$A$2:$A$1501,0))</f>
        <v>102.3</v>
      </c>
      <c r="I188" s="0" t="n">
        <f aca="false">INDEX(customer_churn_dataset!$O$2:$O$1501,MATCH($A189,customer_churn_dataset!$A$2:$A$1501,0))</f>
        <v>0</v>
      </c>
      <c r="J188" s="0" t="n">
        <f aca="false">INDEX(customer_churn_dataset!$T$2:$T$1501,MATCH($A189,customer_churn_dataset!$A$2:$A$1501,0))</f>
        <v>2</v>
      </c>
      <c r="K188" s="0" t="str">
        <f aca="false">INDEX(customer_churn_dataset!$V$2:$V$1501,MATCH($A189,customer_churn_dataset!$A$2:$A$1501,0))</f>
        <v>Low Risk</v>
      </c>
    </row>
    <row r="189" customFormat="false" ht="12.8" hidden="true" customHeight="false" outlineLevel="0" collapsed="false">
      <c r="A189" s="22" t="str">
        <f aca="false">customer_churn_dataset!A243</f>
        <v>CUST101297</v>
      </c>
      <c r="B189" s="22" t="str">
        <f aca="false">customer_churn_dataset!B243</f>
        <v>Basic</v>
      </c>
      <c r="C189" s="22" t="str">
        <f aca="false">customer_churn_dataset!C243</f>
        <v>One year</v>
      </c>
      <c r="D189" s="0" t="n">
        <f aca="false">INDEX(customer_churn_dataset!$E$2:$E$1501,MATCH($A190,customer_churn_dataset!$A$2:$A$1501,0))</f>
        <v>8</v>
      </c>
      <c r="E189" s="0" t="n">
        <f aca="false">INDEX(customer_churn_dataset!$I$2:$I$1501,MATCH($A190,customer_churn_dataset!$A$2:$A$1501,0))</f>
        <v>64.6</v>
      </c>
      <c r="F189" s="0" t="n">
        <f aca="false">INDEX(customer_churn_dataset!$L$2:$L$1501,MATCH($A190,customer_churn_dataset!$A$2:$A$1501,0))</f>
        <v>0</v>
      </c>
      <c r="G189" s="0" t="str">
        <f aca="false">IF(INDEX(customer_churn_dataset!$M$2:$M$1501,MATCH($A190,customer_churn_dataset!$A$2:$A$1501,0))=1,"Yes","No")</f>
        <v>No</v>
      </c>
      <c r="H189" s="0" t="n">
        <f aca="false">INDEX(customer_churn_dataset!$N$2:$N$1501,MATCH($A190,customer_churn_dataset!$A$2:$A$1501,0))</f>
        <v>316.96</v>
      </c>
      <c r="I189" s="0" t="n">
        <f aca="false">INDEX(customer_churn_dataset!$O$2:$O$1501,MATCH($A190,customer_churn_dataset!$A$2:$A$1501,0))</f>
        <v>0</v>
      </c>
      <c r="J189" s="0" t="n">
        <f aca="false">INDEX(customer_churn_dataset!$T$2:$T$1501,MATCH($A190,customer_churn_dataset!$A$2:$A$1501,0))</f>
        <v>3</v>
      </c>
      <c r="K189" s="0" t="str">
        <f aca="false">INDEX(customer_churn_dataset!$V$2:$V$1501,MATCH($A190,customer_churn_dataset!$A$2:$A$1501,0))</f>
        <v>Medium Risk</v>
      </c>
    </row>
    <row r="190" customFormat="false" ht="12.8" hidden="true" customHeight="false" outlineLevel="0" collapsed="false">
      <c r="A190" s="22" t="str">
        <f aca="false">customer_churn_dataset!A250</f>
        <v>CUST100735</v>
      </c>
      <c r="B190" s="22" t="str">
        <f aca="false">customer_churn_dataset!B250</f>
        <v>Premium</v>
      </c>
      <c r="C190" s="22" t="str">
        <f aca="false">customer_churn_dataset!C250</f>
        <v>Month-to-month</v>
      </c>
      <c r="D190" s="0" t="n">
        <f aca="false">INDEX(customer_churn_dataset!$E$2:$E$1501,MATCH($A191,customer_churn_dataset!$A$2:$A$1501,0))</f>
        <v>2</v>
      </c>
      <c r="E190" s="0" t="n">
        <f aca="false">INDEX(customer_churn_dataset!$I$2:$I$1501,MATCH($A191,customer_churn_dataset!$A$2:$A$1501,0))</f>
        <v>68.7</v>
      </c>
      <c r="F190" s="0" t="n">
        <f aca="false">INDEX(customer_churn_dataset!$L$2:$L$1501,MATCH($A191,customer_churn_dataset!$A$2:$A$1501,0))</f>
        <v>0</v>
      </c>
      <c r="G190" s="0" t="str">
        <f aca="false">IF(INDEX(customer_churn_dataset!$M$2:$M$1501,MATCH($A191,customer_churn_dataset!$A$2:$A$1501,0))=1,"Yes","No")</f>
        <v>No</v>
      </c>
      <c r="H190" s="0" t="n">
        <f aca="false">INDEX(customer_churn_dataset!$N$2:$N$1501,MATCH($A191,customer_churn_dataset!$A$2:$A$1501,0))</f>
        <v>38.9</v>
      </c>
      <c r="I190" s="0" t="n">
        <f aca="false">INDEX(customer_churn_dataset!$O$2:$O$1501,MATCH($A191,customer_churn_dataset!$A$2:$A$1501,0))</f>
        <v>0</v>
      </c>
      <c r="J190" s="0" t="n">
        <f aca="false">INDEX(customer_churn_dataset!$T$2:$T$1501,MATCH($A191,customer_churn_dataset!$A$2:$A$1501,0))</f>
        <v>2</v>
      </c>
      <c r="K190" s="0" t="str">
        <f aca="false">INDEX(customer_churn_dataset!$V$2:$V$1501,MATCH($A191,customer_churn_dataset!$A$2:$A$1501,0))</f>
        <v>Low Risk</v>
      </c>
    </row>
    <row r="191" customFormat="false" ht="12.8" hidden="true" customHeight="false" outlineLevel="0" collapsed="false">
      <c r="A191" s="22" t="str">
        <f aca="false">customer_churn_dataset!A255</f>
        <v>CUST100950</v>
      </c>
      <c r="B191" s="22" t="str">
        <f aca="false">customer_churn_dataset!B255</f>
        <v>Standard</v>
      </c>
      <c r="C191" s="22" t="str">
        <f aca="false">customer_churn_dataset!C255</f>
        <v>One year</v>
      </c>
      <c r="D191" s="0" t="n">
        <f aca="false">INDEX(customer_churn_dataset!$E$2:$E$1501,MATCH($A192,customer_churn_dataset!$A$2:$A$1501,0))</f>
        <v>8</v>
      </c>
      <c r="E191" s="0" t="n">
        <f aca="false">INDEX(customer_churn_dataset!$I$2:$I$1501,MATCH($A192,customer_churn_dataset!$A$2:$A$1501,0))</f>
        <v>39.7</v>
      </c>
      <c r="F191" s="0" t="n">
        <f aca="false">INDEX(customer_churn_dataset!$L$2:$L$1501,MATCH($A192,customer_churn_dataset!$A$2:$A$1501,0))</f>
        <v>3</v>
      </c>
      <c r="G191" s="0" t="str">
        <f aca="false">IF(INDEX(customer_churn_dataset!$M$2:$M$1501,MATCH($A192,customer_churn_dataset!$A$2:$A$1501,0))=1,"Yes","No")</f>
        <v>No</v>
      </c>
      <c r="H191" s="0" t="n">
        <f aca="false">INDEX(customer_churn_dataset!$N$2:$N$1501,MATCH($A192,customer_churn_dataset!$A$2:$A$1501,0))</f>
        <v>318.96</v>
      </c>
      <c r="I191" s="0" t="n">
        <f aca="false">INDEX(customer_churn_dataset!$O$2:$O$1501,MATCH($A192,customer_churn_dataset!$A$2:$A$1501,0))</f>
        <v>0</v>
      </c>
      <c r="J191" s="0" t="n">
        <f aca="false">INDEX(customer_churn_dataset!$T$2:$T$1501,MATCH($A192,customer_churn_dataset!$A$2:$A$1501,0))</f>
        <v>6</v>
      </c>
      <c r="K191" s="0" t="str">
        <f aca="false">INDEX(customer_churn_dataset!$V$2:$V$1501,MATCH($A192,customer_churn_dataset!$A$2:$A$1501,0))</f>
        <v>High Risk</v>
      </c>
    </row>
    <row r="192" customFormat="false" ht="12.8" hidden="false" customHeight="false" outlineLevel="0" collapsed="false">
      <c r="A192" s="23" t="str">
        <f aca="false">customer_churn_dataset!A271</f>
        <v>CUST100551</v>
      </c>
      <c r="B192" s="24" t="str">
        <f aca="false">customer_churn_dataset!B271</f>
        <v>Premium</v>
      </c>
      <c r="C192" s="24" t="str">
        <f aca="false">customer_churn_dataset!C271</f>
        <v>Month-to-month</v>
      </c>
      <c r="D192" s="25" t="n">
        <f aca="false">INDEX(customer_churn_dataset!$E$2:$E$1501,MATCH($A193,customer_churn_dataset!$A$2:$A$1501,0))</f>
        <v>16</v>
      </c>
      <c r="E192" s="25" t="n">
        <f aca="false">INDEX(customer_churn_dataset!$I$2:$I$1501,MATCH($A193,customer_churn_dataset!$A$2:$A$1501,0))</f>
        <v>26.2</v>
      </c>
      <c r="F192" s="25" t="n">
        <f aca="false">INDEX(customer_churn_dataset!$L$2:$L$1501,MATCH($A193,customer_churn_dataset!$A$2:$A$1501,0))</f>
        <v>2</v>
      </c>
      <c r="G192" s="25" t="str">
        <f aca="false">IF(INDEX(customer_churn_dataset!$M$2:$M$1501,MATCH($A193,customer_churn_dataset!$A$2:$A$1501,0))=1,"Yes","No")</f>
        <v>Yes</v>
      </c>
      <c r="H192" s="25" t="n">
        <f aca="false">INDEX(customer_churn_dataset!$N$2:$N$1501,MATCH($A193,customer_churn_dataset!$A$2:$A$1501,0))</f>
        <v>159.84</v>
      </c>
      <c r="I192" s="25" t="n">
        <f aca="false">INDEX(customer_churn_dataset!$O$2:$O$1501,MATCH($A193,customer_churn_dataset!$A$2:$A$1501,0))</f>
        <v>1</v>
      </c>
      <c r="J192" s="25" t="n">
        <f aca="false">INDEX(customer_churn_dataset!$T$2:$T$1501,MATCH($A193,customer_churn_dataset!$A$2:$A$1501,0))</f>
        <v>8</v>
      </c>
      <c r="K192" s="25" t="str">
        <f aca="false">INDEX(customer_churn_dataset!$V$2:$V$1501,MATCH($A193,customer_churn_dataset!$A$2:$A$1501,0))</f>
        <v>High Risk</v>
      </c>
    </row>
    <row r="193" customFormat="false" ht="12.8" hidden="false" customHeight="false" outlineLevel="0" collapsed="false">
      <c r="A193" s="23" t="str">
        <f aca="false">customer_churn_dataset!A285</f>
        <v>CUST100181</v>
      </c>
      <c r="B193" s="24" t="str">
        <f aca="false">customer_churn_dataset!B285</f>
        <v>Basic</v>
      </c>
      <c r="C193" s="24" t="str">
        <f aca="false">customer_churn_dataset!C285</f>
        <v>Month-to-month</v>
      </c>
      <c r="D193" s="25" t="n">
        <f aca="false">INDEX(customer_churn_dataset!$E$2:$E$1501,MATCH($A194,customer_churn_dataset!$A$2:$A$1501,0))</f>
        <v>31</v>
      </c>
      <c r="E193" s="25" t="n">
        <f aca="false">INDEX(customer_churn_dataset!$I$2:$I$1501,MATCH($A194,customer_churn_dataset!$A$2:$A$1501,0))</f>
        <v>26.9</v>
      </c>
      <c r="F193" s="25" t="n">
        <f aca="false">INDEX(customer_churn_dataset!$L$2:$L$1501,MATCH($A194,customer_churn_dataset!$A$2:$A$1501,0))</f>
        <v>2</v>
      </c>
      <c r="G193" s="25" t="str">
        <f aca="false">IF(INDEX(customer_churn_dataset!$M$2:$M$1501,MATCH($A194,customer_churn_dataset!$A$2:$A$1501,0))=1,"Yes","No")</f>
        <v>Yes</v>
      </c>
      <c r="H193" s="25" t="n">
        <f aca="false">INDEX(customer_churn_dataset!$N$2:$N$1501,MATCH($A194,customer_churn_dataset!$A$2:$A$1501,0))</f>
        <v>637.98</v>
      </c>
      <c r="I193" s="25" t="n">
        <f aca="false">INDEX(customer_churn_dataset!$O$2:$O$1501,MATCH($A194,customer_churn_dataset!$A$2:$A$1501,0))</f>
        <v>0</v>
      </c>
      <c r="J193" s="25" t="n">
        <f aca="false">INDEX(customer_churn_dataset!$T$2:$T$1501,MATCH($A194,customer_churn_dataset!$A$2:$A$1501,0))</f>
        <v>8</v>
      </c>
      <c r="K193" s="25" t="str">
        <f aca="false">INDEX(customer_churn_dataset!$V$2:$V$1501,MATCH($A194,customer_churn_dataset!$A$2:$A$1501,0))</f>
        <v>High Risk</v>
      </c>
    </row>
    <row r="194" customFormat="false" ht="12.8" hidden="true" customHeight="false" outlineLevel="0" collapsed="false">
      <c r="A194" s="22" t="str">
        <f aca="false">customer_churn_dataset!A293</f>
        <v>CUST100287</v>
      </c>
      <c r="B194" s="22" t="str">
        <f aca="false">customer_churn_dataset!B293</f>
        <v>Standard</v>
      </c>
      <c r="C194" s="22" t="str">
        <f aca="false">customer_churn_dataset!C293</f>
        <v>Month-to-month</v>
      </c>
      <c r="D194" s="0" t="n">
        <f aca="false">INDEX(customer_churn_dataset!$E$2:$E$1501,MATCH($A195,customer_churn_dataset!$A$2:$A$1501,0))</f>
        <v>22</v>
      </c>
      <c r="E194" s="0" t="n">
        <f aca="false">INDEX(customer_churn_dataset!$I$2:$I$1501,MATCH($A195,customer_churn_dataset!$A$2:$A$1501,0))</f>
        <v>84.3</v>
      </c>
      <c r="F194" s="0" t="n">
        <f aca="false">INDEX(customer_churn_dataset!$L$2:$L$1501,MATCH($A195,customer_churn_dataset!$A$2:$A$1501,0))</f>
        <v>2</v>
      </c>
      <c r="G194" s="0" t="str">
        <f aca="false">IF(INDEX(customer_churn_dataset!$M$2:$M$1501,MATCH($A195,customer_churn_dataset!$A$2:$A$1501,0))=1,"Yes","No")</f>
        <v>No</v>
      </c>
      <c r="H194" s="0" t="n">
        <f aca="false">INDEX(customer_churn_dataset!$N$2:$N$1501,MATCH($A195,customer_churn_dataset!$A$2:$A$1501,0))</f>
        <v>458.04</v>
      </c>
      <c r="I194" s="0" t="n">
        <f aca="false">INDEX(customer_churn_dataset!$O$2:$O$1501,MATCH($A195,customer_churn_dataset!$A$2:$A$1501,0))</f>
        <v>0</v>
      </c>
      <c r="J194" s="0" t="n">
        <f aca="false">INDEX(customer_churn_dataset!$T$2:$T$1501,MATCH($A195,customer_churn_dataset!$A$2:$A$1501,0))</f>
        <v>2</v>
      </c>
      <c r="K194" s="0" t="str">
        <f aca="false">INDEX(customer_churn_dataset!$V$2:$V$1501,MATCH($A195,customer_churn_dataset!$A$2:$A$1501,0))</f>
        <v>Low Risk</v>
      </c>
    </row>
    <row r="195" customFormat="false" ht="12.8" hidden="true" customHeight="false" outlineLevel="0" collapsed="false">
      <c r="A195" s="22" t="str">
        <f aca="false">customer_churn_dataset!A305</f>
        <v>CUST100091</v>
      </c>
      <c r="B195" s="22" t="str">
        <f aca="false">customer_churn_dataset!B305</f>
        <v>Standard</v>
      </c>
      <c r="C195" s="22" t="str">
        <f aca="false">customer_churn_dataset!C305</f>
        <v>One year</v>
      </c>
      <c r="D195" s="0" t="n">
        <f aca="false">INDEX(customer_churn_dataset!$E$2:$E$1501,MATCH($A196,customer_churn_dataset!$A$2:$A$1501,0))</f>
        <v>22</v>
      </c>
      <c r="E195" s="0" t="n">
        <f aca="false">INDEX(customer_churn_dataset!$I$2:$I$1501,MATCH($A196,customer_churn_dataset!$A$2:$A$1501,0))</f>
        <v>40.7</v>
      </c>
      <c r="F195" s="0" t="n">
        <f aca="false">INDEX(customer_churn_dataset!$L$2:$L$1501,MATCH($A196,customer_churn_dataset!$A$2:$A$1501,0))</f>
        <v>2</v>
      </c>
      <c r="G195" s="0" t="str">
        <f aca="false">IF(INDEX(customer_churn_dataset!$M$2:$M$1501,MATCH($A196,customer_churn_dataset!$A$2:$A$1501,0))=1,"Yes","No")</f>
        <v>No</v>
      </c>
      <c r="H195" s="0" t="n">
        <f aca="false">INDEX(customer_churn_dataset!$N$2:$N$1501,MATCH($A196,customer_churn_dataset!$A$2:$A$1501,0))</f>
        <v>426.8</v>
      </c>
      <c r="I195" s="0" t="n">
        <f aca="false">INDEX(customer_churn_dataset!$O$2:$O$1501,MATCH($A196,customer_churn_dataset!$A$2:$A$1501,0))</f>
        <v>0</v>
      </c>
      <c r="J195" s="0" t="n">
        <f aca="false">INDEX(customer_churn_dataset!$T$2:$T$1501,MATCH($A196,customer_churn_dataset!$A$2:$A$1501,0))</f>
        <v>4</v>
      </c>
      <c r="K195" s="0" t="str">
        <f aca="false">INDEX(customer_churn_dataset!$V$2:$V$1501,MATCH($A196,customer_churn_dataset!$A$2:$A$1501,0))</f>
        <v>Medium Risk</v>
      </c>
    </row>
    <row r="196" customFormat="false" ht="12.8" hidden="true" customHeight="false" outlineLevel="0" collapsed="false">
      <c r="A196" s="22" t="str">
        <f aca="false">customer_churn_dataset!A308</f>
        <v>CUST100723</v>
      </c>
      <c r="B196" s="22" t="str">
        <f aca="false">customer_churn_dataset!B308</f>
        <v>Standard</v>
      </c>
      <c r="C196" s="22" t="str">
        <f aca="false">customer_churn_dataset!C308</f>
        <v>Month-to-month</v>
      </c>
      <c r="D196" s="0" t="n">
        <f aca="false">INDEX(customer_churn_dataset!$E$2:$E$1501,MATCH($A197,customer_churn_dataset!$A$2:$A$1501,0))</f>
        <v>11</v>
      </c>
      <c r="E196" s="0" t="n">
        <f aca="false">INDEX(customer_churn_dataset!$I$2:$I$1501,MATCH($A197,customer_churn_dataset!$A$2:$A$1501,0))</f>
        <v>49.3</v>
      </c>
      <c r="F196" s="0" t="n">
        <f aca="false">INDEX(customer_churn_dataset!$L$2:$L$1501,MATCH($A197,customer_churn_dataset!$A$2:$A$1501,0))</f>
        <v>2</v>
      </c>
      <c r="G196" s="0" t="str">
        <f aca="false">IF(INDEX(customer_churn_dataset!$M$2:$M$1501,MATCH($A197,customer_churn_dataset!$A$2:$A$1501,0))=1,"Yes","No")</f>
        <v>No</v>
      </c>
      <c r="H196" s="0" t="n">
        <f aca="false">INDEX(customer_churn_dataset!$N$2:$N$1501,MATCH($A197,customer_churn_dataset!$A$2:$A$1501,0))</f>
        <v>108.79</v>
      </c>
      <c r="I196" s="0" t="n">
        <f aca="false">INDEX(customer_churn_dataset!$O$2:$O$1501,MATCH($A197,customer_churn_dataset!$A$2:$A$1501,0))</f>
        <v>1</v>
      </c>
      <c r="J196" s="0" t="n">
        <f aca="false">INDEX(customer_churn_dataset!$T$2:$T$1501,MATCH($A197,customer_churn_dataset!$A$2:$A$1501,0))</f>
        <v>5</v>
      </c>
      <c r="K196" s="0" t="str">
        <f aca="false">INDEX(customer_churn_dataset!$V$2:$V$1501,MATCH($A197,customer_churn_dataset!$A$2:$A$1501,0))</f>
        <v>Medium Risk</v>
      </c>
    </row>
    <row r="197" customFormat="false" ht="12.8" hidden="true" customHeight="false" outlineLevel="0" collapsed="false">
      <c r="A197" s="22" t="str">
        <f aca="false">customer_churn_dataset!A315</f>
        <v>CUST100988</v>
      </c>
      <c r="B197" s="22" t="str">
        <f aca="false">customer_churn_dataset!B315</f>
        <v>Basic</v>
      </c>
      <c r="C197" s="22" t="str">
        <f aca="false">customer_churn_dataset!C315</f>
        <v>Month-to-month</v>
      </c>
      <c r="D197" s="0" t="n">
        <f aca="false">INDEX(customer_churn_dataset!$E$2:$E$1501,MATCH($A198,customer_churn_dataset!$A$2:$A$1501,0))</f>
        <v>19</v>
      </c>
      <c r="E197" s="0" t="n">
        <f aca="false">INDEX(customer_churn_dataset!$I$2:$I$1501,MATCH($A198,customer_churn_dataset!$A$2:$A$1501,0))</f>
        <v>50.7</v>
      </c>
      <c r="F197" s="0" t="n">
        <f aca="false">INDEX(customer_churn_dataset!$L$2:$L$1501,MATCH($A198,customer_churn_dataset!$A$2:$A$1501,0))</f>
        <v>1</v>
      </c>
      <c r="G197" s="0" t="str">
        <f aca="false">IF(INDEX(customer_churn_dataset!$M$2:$M$1501,MATCH($A198,customer_churn_dataset!$A$2:$A$1501,0))=1,"Yes","No")</f>
        <v>Yes</v>
      </c>
      <c r="H197" s="0" t="n">
        <f aca="false">INDEX(customer_churn_dataset!$N$2:$N$1501,MATCH($A198,customer_churn_dataset!$A$2:$A$1501,0))</f>
        <v>363.66</v>
      </c>
      <c r="I197" s="0" t="n">
        <f aca="false">INDEX(customer_churn_dataset!$O$2:$O$1501,MATCH($A198,customer_churn_dataset!$A$2:$A$1501,0))</f>
        <v>0</v>
      </c>
      <c r="J197" s="0" t="n">
        <f aca="false">INDEX(customer_churn_dataset!$T$2:$T$1501,MATCH($A198,customer_churn_dataset!$A$2:$A$1501,0))</f>
        <v>5</v>
      </c>
      <c r="K197" s="0" t="str">
        <f aca="false">INDEX(customer_churn_dataset!$V$2:$V$1501,MATCH($A198,customer_churn_dataset!$A$2:$A$1501,0))</f>
        <v>Medium Risk</v>
      </c>
    </row>
    <row r="198" customFormat="false" ht="12.8" hidden="true" customHeight="false" outlineLevel="0" collapsed="false">
      <c r="A198" s="22" t="str">
        <f aca="false">customer_churn_dataset!A317</f>
        <v>CUST101482</v>
      </c>
      <c r="B198" s="22" t="str">
        <f aca="false">customer_churn_dataset!B317</f>
        <v>Standard</v>
      </c>
      <c r="C198" s="22" t="str">
        <f aca="false">customer_churn_dataset!C317</f>
        <v>One year</v>
      </c>
      <c r="D198" s="0" t="n">
        <f aca="false">INDEX(customer_churn_dataset!$E$2:$E$1501,MATCH($A199,customer_churn_dataset!$A$2:$A$1501,0))</f>
        <v>4</v>
      </c>
      <c r="E198" s="0" t="n">
        <f aca="false">INDEX(customer_churn_dataset!$I$2:$I$1501,MATCH($A199,customer_churn_dataset!$A$2:$A$1501,0))</f>
        <v>47</v>
      </c>
      <c r="F198" s="0" t="n">
        <f aca="false">INDEX(customer_churn_dataset!$L$2:$L$1501,MATCH($A199,customer_churn_dataset!$A$2:$A$1501,0))</f>
        <v>1</v>
      </c>
      <c r="G198" s="0" t="str">
        <f aca="false">IF(INDEX(customer_churn_dataset!$M$2:$M$1501,MATCH($A199,customer_churn_dataset!$A$2:$A$1501,0))=1,"Yes","No")</f>
        <v>Yes</v>
      </c>
      <c r="H198" s="0" t="n">
        <f aca="false">INDEX(customer_churn_dataset!$N$2:$N$1501,MATCH($A199,customer_churn_dataset!$A$2:$A$1501,0))</f>
        <v>45.48</v>
      </c>
      <c r="I198" s="0" t="n">
        <f aca="false">INDEX(customer_churn_dataset!$O$2:$O$1501,MATCH($A199,customer_churn_dataset!$A$2:$A$1501,0))</f>
        <v>1</v>
      </c>
      <c r="J198" s="0" t="n">
        <f aca="false">INDEX(customer_churn_dataset!$T$2:$T$1501,MATCH($A199,customer_churn_dataset!$A$2:$A$1501,0))</f>
        <v>7</v>
      </c>
      <c r="K198" s="0" t="str">
        <f aca="false">INDEX(customer_churn_dataset!$V$2:$V$1501,MATCH($A199,customer_churn_dataset!$A$2:$A$1501,0))</f>
        <v>High Risk</v>
      </c>
    </row>
    <row r="199" customFormat="false" ht="12.8" hidden="true" customHeight="false" outlineLevel="0" collapsed="false">
      <c r="A199" s="22" t="str">
        <f aca="false">customer_churn_dataset!A326</f>
        <v>CUST100006</v>
      </c>
      <c r="B199" s="22" t="str">
        <f aca="false">customer_churn_dataset!B326</f>
        <v>Basic</v>
      </c>
      <c r="C199" s="22" t="str">
        <f aca="false">customer_churn_dataset!C326</f>
        <v>Month-to-month</v>
      </c>
      <c r="D199" s="0" t="n">
        <f aca="false">INDEX(customer_churn_dataset!$E$2:$E$1501,MATCH($A200,customer_churn_dataset!$A$2:$A$1501,0))</f>
        <v>35</v>
      </c>
      <c r="E199" s="0" t="n">
        <f aca="false">INDEX(customer_churn_dataset!$I$2:$I$1501,MATCH($A200,customer_churn_dataset!$A$2:$A$1501,0))</f>
        <v>60.6</v>
      </c>
      <c r="F199" s="0" t="n">
        <f aca="false">INDEX(customer_churn_dataset!$L$2:$L$1501,MATCH($A200,customer_churn_dataset!$A$2:$A$1501,0))</f>
        <v>3</v>
      </c>
      <c r="G199" s="0" t="str">
        <f aca="false">IF(INDEX(customer_churn_dataset!$M$2:$M$1501,MATCH($A200,customer_churn_dataset!$A$2:$A$1501,0))=1,"Yes","No")</f>
        <v>No</v>
      </c>
      <c r="H199" s="0" t="n">
        <f aca="false">INDEX(customer_churn_dataset!$N$2:$N$1501,MATCH($A200,customer_churn_dataset!$A$2:$A$1501,0))</f>
        <v>726.95</v>
      </c>
      <c r="I199" s="0" t="n">
        <f aca="false">INDEX(customer_churn_dataset!$O$2:$O$1501,MATCH($A200,customer_churn_dataset!$A$2:$A$1501,0))</f>
        <v>0</v>
      </c>
      <c r="J199" s="0" t="n">
        <f aca="false">INDEX(customer_churn_dataset!$T$2:$T$1501,MATCH($A200,customer_churn_dataset!$A$2:$A$1501,0))</f>
        <v>2</v>
      </c>
      <c r="K199" s="0" t="str">
        <f aca="false">INDEX(customer_churn_dataset!$V$2:$V$1501,MATCH($A200,customer_churn_dataset!$A$2:$A$1501,0))</f>
        <v>Low Risk</v>
      </c>
    </row>
    <row r="200" customFormat="false" ht="12.8" hidden="true" customHeight="false" outlineLevel="0" collapsed="false">
      <c r="A200" s="22" t="str">
        <f aca="false">customer_churn_dataset!A331</f>
        <v>CUST100340</v>
      </c>
      <c r="B200" s="22" t="str">
        <f aca="false">customer_churn_dataset!B331</f>
        <v>Standard</v>
      </c>
      <c r="C200" s="22" t="str">
        <f aca="false">customer_churn_dataset!C331</f>
        <v>One year</v>
      </c>
      <c r="D200" s="0" t="n">
        <f aca="false">INDEX(customer_churn_dataset!$E$2:$E$1501,MATCH($A201,customer_churn_dataset!$A$2:$A$1501,0))</f>
        <v>19</v>
      </c>
      <c r="E200" s="0" t="n">
        <f aca="false">INDEX(customer_churn_dataset!$I$2:$I$1501,MATCH($A201,customer_churn_dataset!$A$2:$A$1501,0))</f>
        <v>62.3</v>
      </c>
      <c r="F200" s="0" t="n">
        <f aca="false">INDEX(customer_churn_dataset!$L$2:$L$1501,MATCH($A201,customer_churn_dataset!$A$2:$A$1501,0))</f>
        <v>2</v>
      </c>
      <c r="G200" s="0" t="str">
        <f aca="false">IF(INDEX(customer_churn_dataset!$M$2:$M$1501,MATCH($A201,customer_churn_dataset!$A$2:$A$1501,0))=1,"Yes","No")</f>
        <v>No</v>
      </c>
      <c r="H200" s="0" t="n">
        <f aca="false">INDEX(customer_churn_dataset!$N$2:$N$1501,MATCH($A201,customer_churn_dataset!$A$2:$A$1501,0))</f>
        <v>397.29</v>
      </c>
      <c r="I200" s="0" t="n">
        <f aca="false">INDEX(customer_churn_dataset!$O$2:$O$1501,MATCH($A201,customer_churn_dataset!$A$2:$A$1501,0))</f>
        <v>0</v>
      </c>
      <c r="J200" s="0" t="n">
        <f aca="false">INDEX(customer_churn_dataset!$T$2:$T$1501,MATCH($A201,customer_churn_dataset!$A$2:$A$1501,0))</f>
        <v>3</v>
      </c>
      <c r="K200" s="0" t="str">
        <f aca="false">INDEX(customer_churn_dataset!$V$2:$V$1501,MATCH($A201,customer_churn_dataset!$A$2:$A$1501,0))</f>
        <v>Medium Risk</v>
      </c>
    </row>
    <row r="201" customFormat="false" ht="12.8" hidden="true" customHeight="false" outlineLevel="0" collapsed="false">
      <c r="A201" s="22" t="str">
        <f aca="false">customer_churn_dataset!A336</f>
        <v>CUST101364</v>
      </c>
      <c r="B201" s="22" t="str">
        <f aca="false">customer_churn_dataset!B336</f>
        <v>Standard</v>
      </c>
      <c r="C201" s="22" t="str">
        <f aca="false">customer_churn_dataset!C336</f>
        <v>Month-to-month</v>
      </c>
      <c r="D201" s="0" t="n">
        <f aca="false">INDEX(customer_churn_dataset!$E$2:$E$1501,MATCH($A202,customer_churn_dataset!$A$2:$A$1501,0))</f>
        <v>28</v>
      </c>
      <c r="E201" s="0" t="n">
        <f aca="false">INDEX(customer_churn_dataset!$I$2:$I$1501,MATCH($A202,customer_churn_dataset!$A$2:$A$1501,0))</f>
        <v>39.5</v>
      </c>
      <c r="F201" s="0" t="n">
        <f aca="false">INDEX(customer_churn_dataset!$L$2:$L$1501,MATCH($A202,customer_churn_dataset!$A$2:$A$1501,0))</f>
        <v>1</v>
      </c>
      <c r="G201" s="0" t="str">
        <f aca="false">IF(INDEX(customer_churn_dataset!$M$2:$M$1501,MATCH($A202,customer_churn_dataset!$A$2:$A$1501,0))=1,"Yes","No")</f>
        <v>Yes</v>
      </c>
      <c r="H201" s="0" t="n">
        <f aca="false">INDEX(customer_churn_dataset!$N$2:$N$1501,MATCH($A202,customer_churn_dataset!$A$2:$A$1501,0))</f>
        <v>252</v>
      </c>
      <c r="I201" s="0" t="n">
        <f aca="false">INDEX(customer_churn_dataset!$O$2:$O$1501,MATCH($A202,customer_churn_dataset!$A$2:$A$1501,0))</f>
        <v>1</v>
      </c>
      <c r="J201" s="0" t="n">
        <f aca="false">INDEX(customer_churn_dataset!$T$2:$T$1501,MATCH($A202,customer_churn_dataset!$A$2:$A$1501,0))</f>
        <v>7</v>
      </c>
      <c r="K201" s="0" t="str">
        <f aca="false">INDEX(customer_churn_dataset!$V$2:$V$1501,MATCH($A202,customer_churn_dataset!$A$2:$A$1501,0))</f>
        <v>High Risk</v>
      </c>
    </row>
    <row r="202" customFormat="false" ht="12.8" hidden="true" customHeight="false" outlineLevel="0" collapsed="false">
      <c r="A202" s="22" t="str">
        <f aca="false">customer_churn_dataset!A344</f>
        <v>CUST100957</v>
      </c>
      <c r="B202" s="22" t="str">
        <f aca="false">customer_churn_dataset!B344</f>
        <v>Basic</v>
      </c>
      <c r="C202" s="22" t="str">
        <f aca="false">customer_churn_dataset!C344</f>
        <v>Month-to-month</v>
      </c>
      <c r="D202" s="0" t="n">
        <f aca="false">INDEX(customer_churn_dataset!$E$2:$E$1501,MATCH($A203,customer_churn_dataset!$A$2:$A$1501,0))</f>
        <v>8</v>
      </c>
      <c r="E202" s="0" t="n">
        <f aca="false">INDEX(customer_churn_dataset!$I$2:$I$1501,MATCH($A203,customer_churn_dataset!$A$2:$A$1501,0))</f>
        <v>74.9</v>
      </c>
      <c r="F202" s="0" t="n">
        <f aca="false">INDEX(customer_churn_dataset!$L$2:$L$1501,MATCH($A203,customer_churn_dataset!$A$2:$A$1501,0))</f>
        <v>1</v>
      </c>
      <c r="G202" s="0" t="str">
        <f aca="false">IF(INDEX(customer_churn_dataset!$M$2:$M$1501,MATCH($A203,customer_churn_dataset!$A$2:$A$1501,0))=1,"Yes","No")</f>
        <v>No</v>
      </c>
      <c r="H202" s="0" t="n">
        <f aca="false">INDEX(customer_churn_dataset!$N$2:$N$1501,MATCH($A203,customer_churn_dataset!$A$2:$A$1501,0))</f>
        <v>165.92</v>
      </c>
      <c r="I202" s="0" t="n">
        <f aca="false">INDEX(customer_churn_dataset!$O$2:$O$1501,MATCH($A203,customer_churn_dataset!$A$2:$A$1501,0))</f>
        <v>0</v>
      </c>
      <c r="J202" s="0" t="n">
        <f aca="false">INDEX(customer_churn_dataset!$T$2:$T$1501,MATCH($A203,customer_churn_dataset!$A$2:$A$1501,0))</f>
        <v>3</v>
      </c>
      <c r="K202" s="0" t="str">
        <f aca="false">INDEX(customer_churn_dataset!$V$2:$V$1501,MATCH($A203,customer_churn_dataset!$A$2:$A$1501,0))</f>
        <v>Medium Risk</v>
      </c>
    </row>
    <row r="203" customFormat="false" ht="12.8" hidden="true" customHeight="false" outlineLevel="0" collapsed="false">
      <c r="A203" s="22" t="str">
        <f aca="false">customer_churn_dataset!A352</f>
        <v>CUST100296</v>
      </c>
      <c r="B203" s="22" t="str">
        <f aca="false">customer_churn_dataset!B352</f>
        <v>Standard</v>
      </c>
      <c r="C203" s="22" t="str">
        <f aca="false">customer_churn_dataset!C352</f>
        <v>Month-to-month</v>
      </c>
      <c r="D203" s="0" t="n">
        <f aca="false">INDEX(customer_churn_dataset!$E$2:$E$1501,MATCH($A204,customer_churn_dataset!$A$2:$A$1501,0))</f>
        <v>10</v>
      </c>
      <c r="E203" s="0" t="n">
        <f aca="false">INDEX(customer_churn_dataset!$I$2:$I$1501,MATCH($A204,customer_churn_dataset!$A$2:$A$1501,0))</f>
        <v>44.4</v>
      </c>
      <c r="F203" s="0" t="n">
        <f aca="false">INDEX(customer_churn_dataset!$L$2:$L$1501,MATCH($A204,customer_churn_dataset!$A$2:$A$1501,0))</f>
        <v>1</v>
      </c>
      <c r="G203" s="0" t="str">
        <f aca="false">IF(INDEX(customer_churn_dataset!$M$2:$M$1501,MATCH($A204,customer_churn_dataset!$A$2:$A$1501,0))=1,"Yes","No")</f>
        <v>No</v>
      </c>
      <c r="H203" s="0" t="n">
        <f aca="false">INDEX(customer_churn_dataset!$N$2:$N$1501,MATCH($A204,customer_churn_dataset!$A$2:$A$1501,0))</f>
        <v>84.4</v>
      </c>
      <c r="I203" s="0" t="n">
        <f aca="false">INDEX(customer_churn_dataset!$O$2:$O$1501,MATCH($A204,customer_churn_dataset!$A$2:$A$1501,0))</f>
        <v>0</v>
      </c>
      <c r="J203" s="0" t="n">
        <f aca="false">INDEX(customer_churn_dataset!$T$2:$T$1501,MATCH($A204,customer_churn_dataset!$A$2:$A$1501,0))</f>
        <v>3</v>
      </c>
      <c r="K203" s="0" t="str">
        <f aca="false">INDEX(customer_churn_dataset!$V$2:$V$1501,MATCH($A204,customer_churn_dataset!$A$2:$A$1501,0))</f>
        <v>Medium Risk</v>
      </c>
    </row>
    <row r="204" customFormat="false" ht="12.8" hidden="true" customHeight="false" outlineLevel="0" collapsed="false">
      <c r="A204" s="22" t="str">
        <f aca="false">customer_churn_dataset!A355</f>
        <v>CUST100938</v>
      </c>
      <c r="B204" s="22" t="str">
        <f aca="false">customer_churn_dataset!B355</f>
        <v>Basic</v>
      </c>
      <c r="C204" s="22" t="str">
        <f aca="false">customer_churn_dataset!C355</f>
        <v>One year</v>
      </c>
      <c r="D204" s="0" t="n">
        <f aca="false">INDEX(customer_churn_dataset!$E$2:$E$1501,MATCH($A205,customer_churn_dataset!$A$2:$A$1501,0))</f>
        <v>15</v>
      </c>
      <c r="E204" s="0" t="n">
        <f aca="false">INDEX(customer_churn_dataset!$I$2:$I$1501,MATCH($A205,customer_churn_dataset!$A$2:$A$1501,0))</f>
        <v>79.6</v>
      </c>
      <c r="F204" s="0" t="n">
        <f aca="false">INDEX(customer_churn_dataset!$L$2:$L$1501,MATCH($A205,customer_churn_dataset!$A$2:$A$1501,0))</f>
        <v>3</v>
      </c>
      <c r="G204" s="0" t="str">
        <f aca="false">IF(INDEX(customer_churn_dataset!$M$2:$M$1501,MATCH($A205,customer_churn_dataset!$A$2:$A$1501,0))=1,"Yes","No")</f>
        <v>No</v>
      </c>
      <c r="H204" s="0" t="n">
        <f aca="false">INDEX(customer_churn_dataset!$N$2:$N$1501,MATCH($A205,customer_churn_dataset!$A$2:$A$1501,0))</f>
        <v>169.5</v>
      </c>
      <c r="I204" s="0" t="n">
        <f aca="false">INDEX(customer_churn_dataset!$O$2:$O$1501,MATCH($A205,customer_churn_dataset!$A$2:$A$1501,0))</f>
        <v>0</v>
      </c>
      <c r="J204" s="0" t="n">
        <f aca="false">INDEX(customer_churn_dataset!$T$2:$T$1501,MATCH($A205,customer_churn_dataset!$A$2:$A$1501,0))</f>
        <v>2</v>
      </c>
      <c r="K204" s="0" t="str">
        <f aca="false">INDEX(customer_churn_dataset!$V$2:$V$1501,MATCH($A205,customer_churn_dataset!$A$2:$A$1501,0))</f>
        <v>Low Risk</v>
      </c>
    </row>
    <row r="205" customFormat="false" ht="12.8" hidden="true" customHeight="false" outlineLevel="0" collapsed="false">
      <c r="A205" s="22" t="str">
        <f aca="false">customer_churn_dataset!A365</f>
        <v>CUST100599</v>
      </c>
      <c r="B205" s="22" t="str">
        <f aca="false">customer_churn_dataset!B365</f>
        <v>Basic</v>
      </c>
      <c r="C205" s="22" t="str">
        <f aca="false">customer_churn_dataset!C365</f>
        <v>One year</v>
      </c>
      <c r="D205" s="0" t="n">
        <f aca="false">INDEX(customer_churn_dataset!$E$2:$E$1501,MATCH($A206,customer_churn_dataset!$A$2:$A$1501,0))</f>
        <v>32</v>
      </c>
      <c r="E205" s="0" t="n">
        <f aca="false">INDEX(customer_churn_dataset!$I$2:$I$1501,MATCH($A206,customer_churn_dataset!$A$2:$A$1501,0))</f>
        <v>81.1</v>
      </c>
      <c r="F205" s="0" t="n">
        <f aca="false">INDEX(customer_churn_dataset!$L$2:$L$1501,MATCH($A206,customer_churn_dataset!$A$2:$A$1501,0))</f>
        <v>0</v>
      </c>
      <c r="G205" s="0" t="str">
        <f aca="false">IF(INDEX(customer_churn_dataset!$M$2:$M$1501,MATCH($A206,customer_churn_dataset!$A$2:$A$1501,0))=1,"Yes","No")</f>
        <v>No</v>
      </c>
      <c r="H205" s="0" t="n">
        <f aca="false">INDEX(customer_churn_dataset!$N$2:$N$1501,MATCH($A206,customer_churn_dataset!$A$2:$A$1501,0))</f>
        <v>350.4</v>
      </c>
      <c r="I205" s="0" t="n">
        <f aca="false">INDEX(customer_churn_dataset!$O$2:$O$1501,MATCH($A206,customer_churn_dataset!$A$2:$A$1501,0))</f>
        <v>1</v>
      </c>
      <c r="J205" s="0" t="n">
        <f aca="false">INDEX(customer_churn_dataset!$T$2:$T$1501,MATCH($A206,customer_churn_dataset!$A$2:$A$1501,0))</f>
        <v>2</v>
      </c>
      <c r="K205" s="0" t="str">
        <f aca="false">INDEX(customer_churn_dataset!$V$2:$V$1501,MATCH($A206,customer_churn_dataset!$A$2:$A$1501,0))</f>
        <v>Low Risk</v>
      </c>
    </row>
    <row r="206" customFormat="false" ht="12.8" hidden="false" customHeight="false" outlineLevel="0" collapsed="false">
      <c r="A206" s="23" t="str">
        <f aca="false">customer_churn_dataset!A373</f>
        <v>CUST100123</v>
      </c>
      <c r="B206" s="24" t="str">
        <f aca="false">customer_churn_dataset!B373</f>
        <v>Basic</v>
      </c>
      <c r="C206" s="24" t="str">
        <f aca="false">customer_churn_dataset!C373</f>
        <v>Month-to-month</v>
      </c>
      <c r="D206" s="25" t="n">
        <f aca="false">INDEX(customer_churn_dataset!$E$2:$E$1501,MATCH($A207,customer_churn_dataset!$A$2:$A$1501,0))</f>
        <v>10</v>
      </c>
      <c r="E206" s="25" t="n">
        <f aca="false">INDEX(customer_churn_dataset!$I$2:$I$1501,MATCH($A207,customer_churn_dataset!$A$2:$A$1501,0))</f>
        <v>38.7</v>
      </c>
      <c r="F206" s="25" t="n">
        <f aca="false">INDEX(customer_churn_dataset!$L$2:$L$1501,MATCH($A207,customer_churn_dataset!$A$2:$A$1501,0))</f>
        <v>2</v>
      </c>
      <c r="G206" s="25" t="str">
        <f aca="false">IF(INDEX(customer_churn_dataset!$M$2:$M$1501,MATCH($A207,customer_churn_dataset!$A$2:$A$1501,0))=1,"Yes","No")</f>
        <v>Yes</v>
      </c>
      <c r="H206" s="25" t="n">
        <f aca="false">INDEX(customer_churn_dataset!$N$2:$N$1501,MATCH($A207,customer_churn_dataset!$A$2:$A$1501,0))</f>
        <v>189.6</v>
      </c>
      <c r="I206" s="25" t="n">
        <f aca="false">INDEX(customer_churn_dataset!$O$2:$O$1501,MATCH($A207,customer_churn_dataset!$A$2:$A$1501,0))</f>
        <v>0</v>
      </c>
      <c r="J206" s="25" t="n">
        <f aca="false">INDEX(customer_churn_dataset!$T$2:$T$1501,MATCH($A207,customer_churn_dataset!$A$2:$A$1501,0))</f>
        <v>8</v>
      </c>
      <c r="K206" s="25" t="str">
        <f aca="false">INDEX(customer_churn_dataset!$V$2:$V$1501,MATCH($A207,customer_churn_dataset!$A$2:$A$1501,0))</f>
        <v>High Risk</v>
      </c>
    </row>
    <row r="207" customFormat="false" ht="12.8" hidden="true" customHeight="false" outlineLevel="0" collapsed="false">
      <c r="A207" s="22" t="str">
        <f aca="false">customer_churn_dataset!A383</f>
        <v>CUST100685</v>
      </c>
      <c r="B207" s="22" t="str">
        <f aca="false">customer_churn_dataset!B383</f>
        <v>Standard</v>
      </c>
      <c r="C207" s="22" t="str">
        <f aca="false">customer_churn_dataset!C383</f>
        <v>One year</v>
      </c>
      <c r="D207" s="0" t="n">
        <f aca="false">INDEX(customer_churn_dataset!$E$2:$E$1501,MATCH($A208,customer_churn_dataset!$A$2:$A$1501,0))</f>
        <v>5</v>
      </c>
      <c r="E207" s="0" t="n">
        <f aca="false">INDEX(customer_churn_dataset!$I$2:$I$1501,MATCH($A208,customer_churn_dataset!$A$2:$A$1501,0))</f>
        <v>20.1</v>
      </c>
      <c r="F207" s="0" t="n">
        <f aca="false">INDEX(customer_churn_dataset!$L$2:$L$1501,MATCH($A208,customer_churn_dataset!$A$2:$A$1501,0))</f>
        <v>1</v>
      </c>
      <c r="G207" s="0" t="str">
        <f aca="false">IF(INDEX(customer_churn_dataset!$M$2:$M$1501,MATCH($A208,customer_churn_dataset!$A$2:$A$1501,0))=1,"Yes","No")</f>
        <v>No</v>
      </c>
      <c r="H207" s="0" t="n">
        <f aca="false">INDEX(customer_churn_dataset!$N$2:$N$1501,MATCH($A208,customer_churn_dataset!$A$2:$A$1501,0))</f>
        <v>207.85</v>
      </c>
      <c r="I207" s="0" t="n">
        <f aca="false">INDEX(customer_churn_dataset!$O$2:$O$1501,MATCH($A208,customer_churn_dataset!$A$2:$A$1501,0))</f>
        <v>1</v>
      </c>
      <c r="J207" s="0" t="n">
        <f aca="false">INDEX(customer_churn_dataset!$T$2:$T$1501,MATCH($A208,customer_churn_dataset!$A$2:$A$1501,0))</f>
        <v>5</v>
      </c>
      <c r="K207" s="0" t="str">
        <f aca="false">INDEX(customer_churn_dataset!$V$2:$V$1501,MATCH($A208,customer_churn_dataset!$A$2:$A$1501,0))</f>
        <v>Medium Risk</v>
      </c>
    </row>
    <row r="208" customFormat="false" ht="12.8" hidden="true" customHeight="false" outlineLevel="0" collapsed="false">
      <c r="A208" s="22" t="str">
        <f aca="false">customer_churn_dataset!A387</f>
        <v>CUST101004</v>
      </c>
      <c r="B208" s="22" t="str">
        <f aca="false">customer_churn_dataset!B387</f>
        <v>Premium</v>
      </c>
      <c r="C208" s="22" t="str">
        <f aca="false">customer_churn_dataset!C387</f>
        <v>Month-to-month</v>
      </c>
      <c r="D208" s="0" t="n">
        <f aca="false">INDEX(customer_churn_dataset!$E$2:$E$1501,MATCH($A209,customer_churn_dataset!$A$2:$A$1501,0))</f>
        <v>16</v>
      </c>
      <c r="E208" s="0" t="n">
        <f aca="false">INDEX(customer_churn_dataset!$I$2:$I$1501,MATCH($A209,customer_churn_dataset!$A$2:$A$1501,0))</f>
        <v>52.5</v>
      </c>
      <c r="F208" s="0" t="n">
        <f aca="false">INDEX(customer_churn_dataset!$L$2:$L$1501,MATCH($A209,customer_churn_dataset!$A$2:$A$1501,0))</f>
        <v>0</v>
      </c>
      <c r="G208" s="0" t="str">
        <f aca="false">IF(INDEX(customer_churn_dataset!$M$2:$M$1501,MATCH($A209,customer_churn_dataset!$A$2:$A$1501,0))=1,"Yes","No")</f>
        <v>No</v>
      </c>
      <c r="H208" s="0" t="n">
        <f aca="false">INDEX(customer_churn_dataset!$N$2:$N$1501,MATCH($A209,customer_churn_dataset!$A$2:$A$1501,0))</f>
        <v>658.88</v>
      </c>
      <c r="I208" s="0" t="n">
        <f aca="false">INDEX(customer_churn_dataset!$O$2:$O$1501,MATCH($A209,customer_churn_dataset!$A$2:$A$1501,0))</f>
        <v>1</v>
      </c>
      <c r="J208" s="0" t="n">
        <f aca="false">INDEX(customer_churn_dataset!$T$2:$T$1501,MATCH($A209,customer_churn_dataset!$A$2:$A$1501,0))</f>
        <v>2</v>
      </c>
      <c r="K208" s="0" t="str">
        <f aca="false">INDEX(customer_churn_dataset!$V$2:$V$1501,MATCH($A209,customer_churn_dataset!$A$2:$A$1501,0))</f>
        <v>Low Risk</v>
      </c>
    </row>
    <row r="209" customFormat="false" ht="12.8" hidden="true" customHeight="false" outlineLevel="0" collapsed="false">
      <c r="A209" s="22" t="str">
        <f aca="false">customer_churn_dataset!A392</f>
        <v>CUST100183</v>
      </c>
      <c r="B209" s="22" t="str">
        <f aca="false">customer_churn_dataset!B392</f>
        <v>Premium</v>
      </c>
      <c r="C209" s="22" t="str">
        <f aca="false">customer_churn_dataset!C392</f>
        <v>One year</v>
      </c>
      <c r="D209" s="0" t="n">
        <f aca="false">INDEX(customer_churn_dataset!$E$2:$E$1501,MATCH($A210,customer_churn_dataset!$A$2:$A$1501,0))</f>
        <v>0</v>
      </c>
      <c r="E209" s="0" t="n">
        <f aca="false">INDEX(customer_churn_dataset!$I$2:$I$1501,MATCH($A210,customer_churn_dataset!$A$2:$A$1501,0))</f>
        <v>62.6</v>
      </c>
      <c r="F209" s="0" t="n">
        <f aca="false">INDEX(customer_churn_dataset!$L$2:$L$1501,MATCH($A210,customer_churn_dataset!$A$2:$A$1501,0))</f>
        <v>1</v>
      </c>
      <c r="G209" s="0" t="str">
        <f aca="false">IF(INDEX(customer_churn_dataset!$M$2:$M$1501,MATCH($A210,customer_churn_dataset!$A$2:$A$1501,0))=1,"Yes","No")</f>
        <v>No</v>
      </c>
      <c r="H209" s="0" t="n">
        <f aca="false">INDEX(customer_churn_dataset!$N$2:$N$1501,MATCH($A210,customer_churn_dataset!$A$2:$A$1501,0))</f>
        <v>0</v>
      </c>
      <c r="I209" s="0" t="n">
        <f aca="false">INDEX(customer_churn_dataset!$O$2:$O$1501,MATCH($A210,customer_churn_dataset!$A$2:$A$1501,0))</f>
        <v>0</v>
      </c>
      <c r="J209" s="0" t="n">
        <f aca="false">INDEX(customer_churn_dataset!$T$2:$T$1501,MATCH($A210,customer_churn_dataset!$A$2:$A$1501,0))</f>
        <v>3</v>
      </c>
      <c r="K209" s="0" t="str">
        <f aca="false">INDEX(customer_churn_dataset!$V$2:$V$1501,MATCH($A210,customer_churn_dataset!$A$2:$A$1501,0))</f>
        <v>Medium Risk</v>
      </c>
    </row>
    <row r="210" customFormat="false" ht="12.8" hidden="true" customHeight="false" outlineLevel="0" collapsed="false">
      <c r="A210" s="22" t="str">
        <f aca="false">customer_churn_dataset!A394</f>
        <v>CUST100295</v>
      </c>
      <c r="B210" s="22" t="str">
        <f aca="false">customer_churn_dataset!B394</f>
        <v>Standard</v>
      </c>
      <c r="C210" s="22" t="str">
        <f aca="false">customer_churn_dataset!C394</f>
        <v>Month-to-month</v>
      </c>
      <c r="D210" s="0" t="n">
        <f aca="false">INDEX(customer_churn_dataset!$E$2:$E$1501,MATCH($A211,customer_churn_dataset!$A$2:$A$1501,0))</f>
        <v>31</v>
      </c>
      <c r="E210" s="0" t="n">
        <f aca="false">INDEX(customer_churn_dataset!$I$2:$I$1501,MATCH($A211,customer_churn_dataset!$A$2:$A$1501,0))</f>
        <v>69.5</v>
      </c>
      <c r="F210" s="0" t="n">
        <f aca="false">INDEX(customer_churn_dataset!$L$2:$L$1501,MATCH($A211,customer_churn_dataset!$A$2:$A$1501,0))</f>
        <v>4</v>
      </c>
      <c r="G210" s="0" t="str">
        <f aca="false">IF(INDEX(customer_churn_dataset!$M$2:$M$1501,MATCH($A211,customer_churn_dataset!$A$2:$A$1501,0))=1,"Yes","No")</f>
        <v>Yes</v>
      </c>
      <c r="H210" s="0" t="n">
        <f aca="false">INDEX(customer_churn_dataset!$N$2:$N$1501,MATCH($A211,customer_churn_dataset!$A$2:$A$1501,0))</f>
        <v>650.07</v>
      </c>
      <c r="I210" s="0" t="n">
        <f aca="false">INDEX(customer_churn_dataset!$O$2:$O$1501,MATCH($A211,customer_churn_dataset!$A$2:$A$1501,0))</f>
        <v>0</v>
      </c>
      <c r="J210" s="0" t="n">
        <f aca="false">INDEX(customer_churn_dataset!$T$2:$T$1501,MATCH($A211,customer_churn_dataset!$A$2:$A$1501,0))</f>
        <v>6</v>
      </c>
      <c r="K210" s="0" t="str">
        <f aca="false">INDEX(customer_churn_dataset!$V$2:$V$1501,MATCH($A211,customer_churn_dataset!$A$2:$A$1501,0))</f>
        <v>High Risk</v>
      </c>
    </row>
    <row r="211" customFormat="false" ht="12.8" hidden="true" customHeight="false" outlineLevel="0" collapsed="false">
      <c r="A211" s="22" t="str">
        <f aca="false">customer_churn_dataset!A400</f>
        <v>CUST101131</v>
      </c>
      <c r="B211" s="22" t="str">
        <f aca="false">customer_churn_dataset!B400</f>
        <v>Standard</v>
      </c>
      <c r="C211" s="22" t="str">
        <f aca="false">customer_churn_dataset!C400</f>
        <v>Month-to-month</v>
      </c>
      <c r="D211" s="0" t="n">
        <f aca="false">INDEX(customer_churn_dataset!$E$2:$E$1501,MATCH($A212,customer_churn_dataset!$A$2:$A$1501,0))</f>
        <v>5</v>
      </c>
      <c r="E211" s="0" t="n">
        <f aca="false">INDEX(customer_churn_dataset!$I$2:$I$1501,MATCH($A212,customer_churn_dataset!$A$2:$A$1501,0))</f>
        <v>55.3</v>
      </c>
      <c r="F211" s="0" t="n">
        <f aca="false">INDEX(customer_churn_dataset!$L$2:$L$1501,MATCH($A212,customer_churn_dataset!$A$2:$A$1501,0))</f>
        <v>2</v>
      </c>
      <c r="G211" s="0" t="str">
        <f aca="false">IF(INDEX(customer_churn_dataset!$M$2:$M$1501,MATCH($A212,customer_churn_dataset!$A$2:$A$1501,0))=1,"Yes","No")</f>
        <v>No</v>
      </c>
      <c r="H211" s="0" t="n">
        <f aca="false">INDEX(customer_churn_dataset!$N$2:$N$1501,MATCH($A212,customer_churn_dataset!$A$2:$A$1501,0))</f>
        <v>95.75</v>
      </c>
      <c r="I211" s="0" t="n">
        <f aca="false">INDEX(customer_churn_dataset!$O$2:$O$1501,MATCH($A212,customer_churn_dataset!$A$2:$A$1501,0))</f>
        <v>0</v>
      </c>
      <c r="J211" s="0" t="n">
        <f aca="false">INDEX(customer_churn_dataset!$T$2:$T$1501,MATCH($A212,customer_churn_dataset!$A$2:$A$1501,0))</f>
        <v>4</v>
      </c>
      <c r="K211" s="0" t="str">
        <f aca="false">INDEX(customer_churn_dataset!$V$2:$V$1501,MATCH($A212,customer_churn_dataset!$A$2:$A$1501,0))</f>
        <v>Medium Risk</v>
      </c>
    </row>
    <row r="212" customFormat="false" ht="12.8" hidden="true" customHeight="false" outlineLevel="0" collapsed="false">
      <c r="A212" s="22" t="str">
        <f aca="false">customer_churn_dataset!A407</f>
        <v>CUST101014</v>
      </c>
      <c r="B212" s="22" t="str">
        <f aca="false">customer_churn_dataset!B407</f>
        <v>Standard</v>
      </c>
      <c r="C212" s="22" t="str">
        <f aca="false">customer_churn_dataset!C407</f>
        <v>Month-to-month</v>
      </c>
      <c r="D212" s="0" t="n">
        <f aca="false">INDEX(customer_churn_dataset!$E$2:$E$1501,MATCH($A213,customer_churn_dataset!$A$2:$A$1501,0))</f>
        <v>6</v>
      </c>
      <c r="E212" s="0" t="n">
        <f aca="false">INDEX(customer_churn_dataset!$I$2:$I$1501,MATCH($A213,customer_churn_dataset!$A$2:$A$1501,0))</f>
        <v>39.3</v>
      </c>
      <c r="F212" s="0" t="n">
        <f aca="false">INDEX(customer_churn_dataset!$L$2:$L$1501,MATCH($A213,customer_churn_dataset!$A$2:$A$1501,0))</f>
        <v>1</v>
      </c>
      <c r="G212" s="0" t="str">
        <f aca="false">IF(INDEX(customer_churn_dataset!$M$2:$M$1501,MATCH($A213,customer_churn_dataset!$A$2:$A$1501,0))=1,"Yes","No")</f>
        <v>No</v>
      </c>
      <c r="H212" s="0" t="n">
        <f aca="false">INDEX(customer_churn_dataset!$N$2:$N$1501,MATCH($A213,customer_churn_dataset!$A$2:$A$1501,0))</f>
        <v>115.5</v>
      </c>
      <c r="I212" s="0" t="n">
        <f aca="false">INDEX(customer_churn_dataset!$O$2:$O$1501,MATCH($A213,customer_churn_dataset!$A$2:$A$1501,0))</f>
        <v>0</v>
      </c>
      <c r="J212" s="0" t="n">
        <f aca="false">INDEX(customer_churn_dataset!$T$2:$T$1501,MATCH($A213,customer_churn_dataset!$A$2:$A$1501,0))</f>
        <v>5</v>
      </c>
      <c r="K212" s="0" t="str">
        <f aca="false">INDEX(customer_churn_dataset!$V$2:$V$1501,MATCH($A213,customer_churn_dataset!$A$2:$A$1501,0))</f>
        <v>Medium Risk</v>
      </c>
    </row>
    <row r="213" customFormat="false" ht="12.8" hidden="true" customHeight="false" outlineLevel="0" collapsed="false">
      <c r="A213" s="22" t="str">
        <f aca="false">customer_churn_dataset!A410</f>
        <v>CUST100839</v>
      </c>
      <c r="B213" s="22" t="str">
        <f aca="false">customer_churn_dataset!B410</f>
        <v>Standard</v>
      </c>
      <c r="C213" s="22" t="str">
        <f aca="false">customer_churn_dataset!C410</f>
        <v>Month-to-month</v>
      </c>
      <c r="D213" s="0" t="n">
        <f aca="false">INDEX(customer_churn_dataset!$E$2:$E$1501,MATCH($A214,customer_churn_dataset!$A$2:$A$1501,0))</f>
        <v>3</v>
      </c>
      <c r="E213" s="0" t="n">
        <f aca="false">INDEX(customer_churn_dataset!$I$2:$I$1501,MATCH($A214,customer_churn_dataset!$A$2:$A$1501,0))</f>
        <v>31.4</v>
      </c>
      <c r="F213" s="0" t="n">
        <f aca="false">INDEX(customer_churn_dataset!$L$2:$L$1501,MATCH($A214,customer_churn_dataset!$A$2:$A$1501,0))</f>
        <v>0</v>
      </c>
      <c r="G213" s="0" t="str">
        <f aca="false">IF(INDEX(customer_churn_dataset!$M$2:$M$1501,MATCH($A214,customer_churn_dataset!$A$2:$A$1501,0))=1,"Yes","No")</f>
        <v>No</v>
      </c>
      <c r="H213" s="0" t="n">
        <f aca="false">INDEX(customer_churn_dataset!$N$2:$N$1501,MATCH($A214,customer_churn_dataset!$A$2:$A$1501,0))</f>
        <v>29.28</v>
      </c>
      <c r="I213" s="0" t="n">
        <f aca="false">INDEX(customer_churn_dataset!$O$2:$O$1501,MATCH($A214,customer_churn_dataset!$A$2:$A$1501,0))</f>
        <v>0</v>
      </c>
      <c r="J213" s="0" t="n">
        <f aca="false">INDEX(customer_churn_dataset!$T$2:$T$1501,MATCH($A214,customer_churn_dataset!$A$2:$A$1501,0))</f>
        <v>4</v>
      </c>
      <c r="K213" s="0" t="str">
        <f aca="false">INDEX(customer_churn_dataset!$V$2:$V$1501,MATCH($A214,customer_churn_dataset!$A$2:$A$1501,0))</f>
        <v>Medium Risk</v>
      </c>
    </row>
    <row r="214" customFormat="false" ht="12.8" hidden="true" customHeight="false" outlineLevel="0" collapsed="false">
      <c r="A214" s="22" t="str">
        <f aca="false">customer_churn_dataset!A417</f>
        <v>CUST101262</v>
      </c>
      <c r="B214" s="22" t="str">
        <f aca="false">customer_churn_dataset!B417</f>
        <v>Basic</v>
      </c>
      <c r="C214" s="22" t="str">
        <f aca="false">customer_churn_dataset!C417</f>
        <v>One year</v>
      </c>
      <c r="D214" s="0" t="n">
        <f aca="false">INDEX(customer_churn_dataset!$E$2:$E$1501,MATCH($A215,customer_churn_dataset!$A$2:$A$1501,0))</f>
        <v>14</v>
      </c>
      <c r="E214" s="0" t="n">
        <f aca="false">INDEX(customer_churn_dataset!$I$2:$I$1501,MATCH($A215,customer_churn_dataset!$A$2:$A$1501,0))</f>
        <v>56.7</v>
      </c>
      <c r="F214" s="0" t="n">
        <f aca="false">INDEX(customer_churn_dataset!$L$2:$L$1501,MATCH($A215,customer_churn_dataset!$A$2:$A$1501,0))</f>
        <v>1</v>
      </c>
      <c r="G214" s="0" t="str">
        <f aca="false">IF(INDEX(customer_churn_dataset!$M$2:$M$1501,MATCH($A215,customer_churn_dataset!$A$2:$A$1501,0))=1,"Yes","No")</f>
        <v>No</v>
      </c>
      <c r="H214" s="0" t="n">
        <f aca="false">INDEX(customer_churn_dataset!$N$2:$N$1501,MATCH($A215,customer_churn_dataset!$A$2:$A$1501,0))</f>
        <v>138.46</v>
      </c>
      <c r="I214" s="0" t="n">
        <f aca="false">INDEX(customer_churn_dataset!$O$2:$O$1501,MATCH($A215,customer_churn_dataset!$A$2:$A$1501,0))</f>
        <v>0</v>
      </c>
      <c r="J214" s="0" t="n">
        <f aca="false">INDEX(customer_churn_dataset!$T$2:$T$1501,MATCH($A215,customer_churn_dataset!$A$2:$A$1501,0))</f>
        <v>1</v>
      </c>
      <c r="K214" s="0" t="str">
        <f aca="false">INDEX(customer_churn_dataset!$V$2:$V$1501,MATCH($A215,customer_churn_dataset!$A$2:$A$1501,0))</f>
        <v>Low Risk</v>
      </c>
    </row>
    <row r="215" customFormat="false" ht="12.8" hidden="true" customHeight="false" outlineLevel="0" collapsed="false">
      <c r="A215" s="22" t="str">
        <f aca="false">customer_churn_dataset!A424</f>
        <v>CUST100135</v>
      </c>
      <c r="B215" s="22" t="str">
        <f aca="false">customer_churn_dataset!B424</f>
        <v>Basic</v>
      </c>
      <c r="C215" s="22" t="str">
        <f aca="false">customer_churn_dataset!C424</f>
        <v>One year</v>
      </c>
      <c r="D215" s="0" t="n">
        <f aca="false">INDEX(customer_churn_dataset!$E$2:$E$1501,MATCH($A216,customer_churn_dataset!$A$2:$A$1501,0))</f>
        <v>26</v>
      </c>
      <c r="E215" s="0" t="n">
        <f aca="false">INDEX(customer_churn_dataset!$I$2:$I$1501,MATCH($A216,customer_churn_dataset!$A$2:$A$1501,0))</f>
        <v>66.4</v>
      </c>
      <c r="F215" s="0" t="n">
        <f aca="false">INDEX(customer_churn_dataset!$L$2:$L$1501,MATCH($A216,customer_churn_dataset!$A$2:$A$1501,0))</f>
        <v>0</v>
      </c>
      <c r="G215" s="0" t="str">
        <f aca="false">IF(INDEX(customer_churn_dataset!$M$2:$M$1501,MATCH($A216,customer_churn_dataset!$A$2:$A$1501,0))=1,"Yes","No")</f>
        <v>No</v>
      </c>
      <c r="H215" s="0" t="n">
        <f aca="false">INDEX(customer_churn_dataset!$N$2:$N$1501,MATCH($A216,customer_churn_dataset!$A$2:$A$1501,0))</f>
        <v>520</v>
      </c>
      <c r="I215" s="0" t="n">
        <f aca="false">INDEX(customer_churn_dataset!$O$2:$O$1501,MATCH($A216,customer_churn_dataset!$A$2:$A$1501,0))</f>
        <v>0</v>
      </c>
      <c r="J215" s="0" t="n">
        <f aca="false">INDEX(customer_churn_dataset!$T$2:$T$1501,MATCH($A216,customer_churn_dataset!$A$2:$A$1501,0))</f>
        <v>2</v>
      </c>
      <c r="K215" s="0" t="str">
        <f aca="false">INDEX(customer_churn_dataset!$V$2:$V$1501,MATCH($A216,customer_churn_dataset!$A$2:$A$1501,0))</f>
        <v>Low Risk</v>
      </c>
    </row>
    <row r="216" customFormat="false" ht="12.8" hidden="true" customHeight="false" outlineLevel="0" collapsed="false">
      <c r="A216" s="22" t="str">
        <f aca="false">customer_churn_dataset!A429</f>
        <v>CUST101178</v>
      </c>
      <c r="B216" s="22" t="str">
        <f aca="false">customer_churn_dataset!B429</f>
        <v>Standard</v>
      </c>
      <c r="C216" s="22" t="str">
        <f aca="false">customer_churn_dataset!C429</f>
        <v>Month-to-month</v>
      </c>
      <c r="D216" s="0" t="n">
        <f aca="false">INDEX(customer_churn_dataset!$E$2:$E$1501,MATCH($A217,customer_churn_dataset!$A$2:$A$1501,0))</f>
        <v>0</v>
      </c>
      <c r="E216" s="0" t="n">
        <f aca="false">INDEX(customer_churn_dataset!$I$2:$I$1501,MATCH($A217,customer_churn_dataset!$A$2:$A$1501,0))</f>
        <v>38.2</v>
      </c>
      <c r="F216" s="0" t="n">
        <f aca="false">INDEX(customer_churn_dataset!$L$2:$L$1501,MATCH($A217,customer_churn_dataset!$A$2:$A$1501,0))</f>
        <v>1</v>
      </c>
      <c r="G216" s="0" t="str">
        <f aca="false">IF(INDEX(customer_churn_dataset!$M$2:$M$1501,MATCH($A217,customer_churn_dataset!$A$2:$A$1501,0))=1,"Yes","No")</f>
        <v>No</v>
      </c>
      <c r="H216" s="0" t="n">
        <f aca="false">INDEX(customer_churn_dataset!$N$2:$N$1501,MATCH($A217,customer_churn_dataset!$A$2:$A$1501,0))</f>
        <v>0</v>
      </c>
      <c r="I216" s="0" t="n">
        <f aca="false">INDEX(customer_churn_dataset!$O$2:$O$1501,MATCH($A217,customer_churn_dataset!$A$2:$A$1501,0))</f>
        <v>1</v>
      </c>
      <c r="J216" s="0" t="n">
        <f aca="false">INDEX(customer_churn_dataset!$T$2:$T$1501,MATCH($A217,customer_churn_dataset!$A$2:$A$1501,0))</f>
        <v>4</v>
      </c>
      <c r="K216" s="0" t="str">
        <f aca="false">INDEX(customer_churn_dataset!$V$2:$V$1501,MATCH($A217,customer_churn_dataset!$A$2:$A$1501,0))</f>
        <v>Medium Risk</v>
      </c>
    </row>
    <row r="217" customFormat="false" ht="12.8" hidden="true" customHeight="false" outlineLevel="0" collapsed="false">
      <c r="A217" s="22" t="str">
        <f aca="false">customer_churn_dataset!A434</f>
        <v>CUST100918</v>
      </c>
      <c r="B217" s="22" t="str">
        <f aca="false">customer_churn_dataset!B434</f>
        <v>Standard</v>
      </c>
      <c r="C217" s="22" t="str">
        <f aca="false">customer_churn_dataset!C434</f>
        <v>One year</v>
      </c>
      <c r="D217" s="0" t="n">
        <f aca="false">INDEX(customer_churn_dataset!$E$2:$E$1501,MATCH($A218,customer_churn_dataset!$A$2:$A$1501,0))</f>
        <v>7</v>
      </c>
      <c r="E217" s="0" t="n">
        <f aca="false">INDEX(customer_churn_dataset!$I$2:$I$1501,MATCH($A218,customer_churn_dataset!$A$2:$A$1501,0))</f>
        <v>47.7</v>
      </c>
      <c r="F217" s="0" t="n">
        <f aca="false">INDEX(customer_churn_dataset!$L$2:$L$1501,MATCH($A218,customer_churn_dataset!$A$2:$A$1501,0))</f>
        <v>1</v>
      </c>
      <c r="G217" s="0" t="str">
        <f aca="false">IF(INDEX(customer_churn_dataset!$M$2:$M$1501,MATCH($A218,customer_churn_dataset!$A$2:$A$1501,0))=1,"Yes","No")</f>
        <v>No</v>
      </c>
      <c r="H217" s="0" t="n">
        <f aca="false">INDEX(customer_churn_dataset!$N$2:$N$1501,MATCH($A218,customer_churn_dataset!$A$2:$A$1501,0))</f>
        <v>60.62</v>
      </c>
      <c r="I217" s="0" t="n">
        <f aca="false">INDEX(customer_churn_dataset!$O$2:$O$1501,MATCH($A218,customer_churn_dataset!$A$2:$A$1501,0))</f>
        <v>0</v>
      </c>
      <c r="J217" s="0" t="n">
        <f aca="false">INDEX(customer_churn_dataset!$T$2:$T$1501,MATCH($A218,customer_churn_dataset!$A$2:$A$1501,0))</f>
        <v>3</v>
      </c>
      <c r="K217" s="0" t="str">
        <f aca="false">INDEX(customer_churn_dataset!$V$2:$V$1501,MATCH($A218,customer_churn_dataset!$A$2:$A$1501,0))</f>
        <v>Medium Risk</v>
      </c>
    </row>
    <row r="218" customFormat="false" ht="12.8" hidden="true" customHeight="false" outlineLevel="0" collapsed="false">
      <c r="A218" s="22" t="str">
        <f aca="false">customer_churn_dataset!A440</f>
        <v>CUST100031</v>
      </c>
      <c r="B218" s="22" t="str">
        <f aca="false">customer_churn_dataset!B440</f>
        <v>Basic</v>
      </c>
      <c r="C218" s="22" t="str">
        <f aca="false">customer_churn_dataset!C440</f>
        <v>One year</v>
      </c>
      <c r="D218" s="0" t="n">
        <f aca="false">INDEX(customer_churn_dataset!$E$2:$E$1501,MATCH($A219,customer_churn_dataset!$A$2:$A$1501,0))</f>
        <v>12</v>
      </c>
      <c r="E218" s="0" t="n">
        <f aca="false">INDEX(customer_churn_dataset!$I$2:$I$1501,MATCH($A219,customer_churn_dataset!$A$2:$A$1501,0))</f>
        <v>52.7</v>
      </c>
      <c r="F218" s="0" t="n">
        <f aca="false">INDEX(customer_churn_dataset!$L$2:$L$1501,MATCH($A219,customer_churn_dataset!$A$2:$A$1501,0))</f>
        <v>1</v>
      </c>
      <c r="G218" s="0" t="str">
        <f aca="false">IF(INDEX(customer_churn_dataset!$M$2:$M$1501,MATCH($A219,customer_churn_dataset!$A$2:$A$1501,0))=1,"Yes","No")</f>
        <v>No</v>
      </c>
      <c r="H218" s="0" t="n">
        <f aca="false">INDEX(customer_churn_dataset!$N$2:$N$1501,MATCH($A219,customer_churn_dataset!$A$2:$A$1501,0))</f>
        <v>133.2</v>
      </c>
      <c r="I218" s="0" t="n">
        <f aca="false">INDEX(customer_churn_dataset!$O$2:$O$1501,MATCH($A219,customer_churn_dataset!$A$2:$A$1501,0))</f>
        <v>0</v>
      </c>
      <c r="J218" s="0" t="n">
        <f aca="false">INDEX(customer_churn_dataset!$T$2:$T$1501,MATCH($A219,customer_churn_dataset!$A$2:$A$1501,0))</f>
        <v>2</v>
      </c>
      <c r="K218" s="0" t="str">
        <f aca="false">INDEX(customer_churn_dataset!$V$2:$V$1501,MATCH($A219,customer_churn_dataset!$A$2:$A$1501,0))</f>
        <v>Low Risk</v>
      </c>
    </row>
    <row r="219" customFormat="false" ht="12.8" hidden="true" customHeight="false" outlineLevel="0" collapsed="false">
      <c r="A219" s="22" t="str">
        <f aca="false">customer_churn_dataset!A444</f>
        <v>CUST100967</v>
      </c>
      <c r="B219" s="22" t="str">
        <f aca="false">customer_churn_dataset!B444</f>
        <v>Basic</v>
      </c>
      <c r="C219" s="22" t="str">
        <f aca="false">customer_churn_dataset!C444</f>
        <v>One year</v>
      </c>
      <c r="D219" s="0" t="n">
        <f aca="false">INDEX(customer_churn_dataset!$E$2:$E$1501,MATCH($A220,customer_churn_dataset!$A$2:$A$1501,0))</f>
        <v>18</v>
      </c>
      <c r="E219" s="0" t="n">
        <f aca="false">INDEX(customer_churn_dataset!$I$2:$I$1501,MATCH($A220,customer_churn_dataset!$A$2:$A$1501,0))</f>
        <v>77.1</v>
      </c>
      <c r="F219" s="0" t="n">
        <f aca="false">INDEX(customer_churn_dataset!$L$2:$L$1501,MATCH($A220,customer_churn_dataset!$A$2:$A$1501,0))</f>
        <v>2</v>
      </c>
      <c r="G219" s="0" t="str">
        <f aca="false">IF(INDEX(customer_churn_dataset!$M$2:$M$1501,MATCH($A220,customer_churn_dataset!$A$2:$A$1501,0))=1,"Yes","No")</f>
        <v>No</v>
      </c>
      <c r="H219" s="0" t="n">
        <f aca="false">INDEX(customer_churn_dataset!$N$2:$N$1501,MATCH($A220,customer_churn_dataset!$A$2:$A$1501,0))</f>
        <v>356.4</v>
      </c>
      <c r="I219" s="0" t="n">
        <f aca="false">INDEX(customer_churn_dataset!$O$2:$O$1501,MATCH($A220,customer_churn_dataset!$A$2:$A$1501,0))</f>
        <v>0</v>
      </c>
      <c r="J219" s="0" t="n">
        <f aca="false">INDEX(customer_churn_dataset!$T$2:$T$1501,MATCH($A220,customer_churn_dataset!$A$2:$A$1501,0))</f>
        <v>1</v>
      </c>
      <c r="K219" s="0" t="str">
        <f aca="false">INDEX(customer_churn_dataset!$V$2:$V$1501,MATCH($A220,customer_churn_dataset!$A$2:$A$1501,0))</f>
        <v>Low Risk</v>
      </c>
    </row>
    <row r="220" customFormat="false" ht="12.8" hidden="true" customHeight="false" outlineLevel="0" collapsed="false">
      <c r="A220" s="22" t="str">
        <f aca="false">customer_churn_dataset!A449</f>
        <v>CUST101020</v>
      </c>
      <c r="B220" s="22" t="str">
        <f aca="false">customer_churn_dataset!B449</f>
        <v>Standard</v>
      </c>
      <c r="C220" s="22" t="str">
        <f aca="false">customer_churn_dataset!C449</f>
        <v>Two year</v>
      </c>
      <c r="D220" s="0" t="n">
        <f aca="false">INDEX(customer_churn_dataset!$E$2:$E$1501,MATCH($A221,customer_churn_dataset!$A$2:$A$1501,0))</f>
        <v>34</v>
      </c>
      <c r="E220" s="0" t="n">
        <f aca="false">INDEX(customer_churn_dataset!$I$2:$I$1501,MATCH($A221,customer_churn_dataset!$A$2:$A$1501,0))</f>
        <v>89.6</v>
      </c>
      <c r="F220" s="0" t="n">
        <f aca="false">INDEX(customer_churn_dataset!$L$2:$L$1501,MATCH($A221,customer_churn_dataset!$A$2:$A$1501,0))</f>
        <v>2</v>
      </c>
      <c r="G220" s="0" t="str">
        <f aca="false">IF(INDEX(customer_churn_dataset!$M$2:$M$1501,MATCH($A221,customer_churn_dataset!$A$2:$A$1501,0))=1,"Yes","No")</f>
        <v>Yes</v>
      </c>
      <c r="H220" s="0" t="n">
        <f aca="false">INDEX(customer_churn_dataset!$N$2:$N$1501,MATCH($A221,customer_churn_dataset!$A$2:$A$1501,0))</f>
        <v>1322.6</v>
      </c>
      <c r="I220" s="0" t="n">
        <f aca="false">INDEX(customer_churn_dataset!$O$2:$O$1501,MATCH($A221,customer_churn_dataset!$A$2:$A$1501,0))</f>
        <v>1</v>
      </c>
      <c r="J220" s="0" t="n">
        <f aca="false">INDEX(customer_churn_dataset!$T$2:$T$1501,MATCH($A221,customer_churn_dataset!$A$2:$A$1501,0))</f>
        <v>6</v>
      </c>
      <c r="K220" s="0" t="str">
        <f aca="false">INDEX(customer_churn_dataset!$V$2:$V$1501,MATCH($A221,customer_churn_dataset!$A$2:$A$1501,0))</f>
        <v>High Risk</v>
      </c>
    </row>
    <row r="221" customFormat="false" ht="12.8" hidden="true" customHeight="false" outlineLevel="0" collapsed="false">
      <c r="A221" s="22" t="str">
        <f aca="false">customer_churn_dataset!A456</f>
        <v>CUST101166</v>
      </c>
      <c r="B221" s="22" t="str">
        <f aca="false">customer_churn_dataset!B456</f>
        <v>Premium</v>
      </c>
      <c r="C221" s="22" t="str">
        <f aca="false">customer_churn_dataset!C456</f>
        <v>Month-to-month</v>
      </c>
      <c r="D221" s="0" t="n">
        <f aca="false">INDEX(customer_churn_dataset!$E$2:$E$1501,MATCH($A222,customer_churn_dataset!$A$2:$A$1501,0))</f>
        <v>0</v>
      </c>
      <c r="E221" s="0" t="n">
        <f aca="false">INDEX(customer_churn_dataset!$I$2:$I$1501,MATCH($A222,customer_churn_dataset!$A$2:$A$1501,0))</f>
        <v>100</v>
      </c>
      <c r="F221" s="0" t="n">
        <f aca="false">INDEX(customer_churn_dataset!$L$2:$L$1501,MATCH($A222,customer_churn_dataset!$A$2:$A$1501,0))</f>
        <v>1</v>
      </c>
      <c r="G221" s="0" t="str">
        <f aca="false">IF(INDEX(customer_churn_dataset!$M$2:$M$1501,MATCH($A222,customer_churn_dataset!$A$2:$A$1501,0))=1,"Yes","No")</f>
        <v>No</v>
      </c>
      <c r="H221" s="0" t="n">
        <f aca="false">INDEX(customer_churn_dataset!$N$2:$N$1501,MATCH($A222,customer_churn_dataset!$A$2:$A$1501,0))</f>
        <v>0</v>
      </c>
      <c r="I221" s="0" t="n">
        <f aca="false">INDEX(customer_churn_dataset!$O$2:$O$1501,MATCH($A222,customer_churn_dataset!$A$2:$A$1501,0))</f>
        <v>0</v>
      </c>
      <c r="J221" s="0" t="n">
        <f aca="false">INDEX(customer_churn_dataset!$T$2:$T$1501,MATCH($A222,customer_churn_dataset!$A$2:$A$1501,0))</f>
        <v>3</v>
      </c>
      <c r="K221" s="0" t="str">
        <f aca="false">INDEX(customer_churn_dataset!$V$2:$V$1501,MATCH($A222,customer_churn_dataset!$A$2:$A$1501,0))</f>
        <v>Medium Risk</v>
      </c>
    </row>
    <row r="222" customFormat="false" ht="12.8" hidden="true" customHeight="false" outlineLevel="0" collapsed="false">
      <c r="A222" s="22" t="str">
        <f aca="false">customer_churn_dataset!A464</f>
        <v>CUST100150</v>
      </c>
      <c r="B222" s="22" t="str">
        <f aca="false">customer_churn_dataset!B464</f>
        <v>Premium</v>
      </c>
      <c r="C222" s="22" t="str">
        <f aca="false">customer_churn_dataset!C464</f>
        <v>Month-to-month</v>
      </c>
      <c r="D222" s="0" t="n">
        <f aca="false">INDEX(customer_churn_dataset!$E$2:$E$1501,MATCH($A223,customer_churn_dataset!$A$2:$A$1501,0))</f>
        <v>9</v>
      </c>
      <c r="E222" s="0" t="n">
        <f aca="false">INDEX(customer_churn_dataset!$I$2:$I$1501,MATCH($A223,customer_churn_dataset!$A$2:$A$1501,0))</f>
        <v>50.2</v>
      </c>
      <c r="F222" s="0" t="n">
        <f aca="false">INDEX(customer_churn_dataset!$L$2:$L$1501,MATCH($A223,customer_churn_dataset!$A$2:$A$1501,0))</f>
        <v>0</v>
      </c>
      <c r="G222" s="0" t="str">
        <f aca="false">IF(INDEX(customer_churn_dataset!$M$2:$M$1501,MATCH($A223,customer_churn_dataset!$A$2:$A$1501,0))=1,"Yes","No")</f>
        <v>No</v>
      </c>
      <c r="H222" s="0" t="n">
        <f aca="false">INDEX(customer_churn_dataset!$N$2:$N$1501,MATCH($A223,customer_churn_dataset!$A$2:$A$1501,0))</f>
        <v>92.88</v>
      </c>
      <c r="I222" s="0" t="n">
        <f aca="false">INDEX(customer_churn_dataset!$O$2:$O$1501,MATCH($A223,customer_churn_dataset!$A$2:$A$1501,0))</f>
        <v>1</v>
      </c>
      <c r="J222" s="0" t="n">
        <f aca="false">INDEX(customer_churn_dataset!$T$2:$T$1501,MATCH($A223,customer_churn_dataset!$A$2:$A$1501,0))</f>
        <v>4</v>
      </c>
      <c r="K222" s="0" t="str">
        <f aca="false">INDEX(customer_churn_dataset!$V$2:$V$1501,MATCH($A223,customer_churn_dataset!$A$2:$A$1501,0))</f>
        <v>Medium Risk</v>
      </c>
    </row>
    <row r="223" customFormat="false" ht="12.8" hidden="true" customHeight="false" outlineLevel="0" collapsed="false">
      <c r="A223" s="22" t="str">
        <f aca="false">customer_churn_dataset!A466</f>
        <v>CUST100090</v>
      </c>
      <c r="B223" s="22" t="str">
        <f aca="false">customer_churn_dataset!B466</f>
        <v>Basic</v>
      </c>
      <c r="C223" s="22" t="str">
        <f aca="false">customer_churn_dataset!C466</f>
        <v>Month-to-month</v>
      </c>
      <c r="D223" s="0" t="n">
        <f aca="false">INDEX(customer_churn_dataset!$E$2:$E$1501,MATCH($A224,customer_churn_dataset!$A$2:$A$1501,0))</f>
        <v>4</v>
      </c>
      <c r="E223" s="0" t="n">
        <f aca="false">INDEX(customer_churn_dataset!$I$2:$I$1501,MATCH($A224,customer_churn_dataset!$A$2:$A$1501,0))</f>
        <v>54.5</v>
      </c>
      <c r="F223" s="0" t="n">
        <f aca="false">INDEX(customer_churn_dataset!$L$2:$L$1501,MATCH($A224,customer_churn_dataset!$A$2:$A$1501,0))</f>
        <v>1</v>
      </c>
      <c r="G223" s="0" t="str">
        <f aca="false">IF(INDEX(customer_churn_dataset!$M$2:$M$1501,MATCH($A224,customer_churn_dataset!$A$2:$A$1501,0))=1,"Yes","No")</f>
        <v>No</v>
      </c>
      <c r="H223" s="0" t="n">
        <f aca="false">INDEX(customer_churn_dataset!$N$2:$N$1501,MATCH($A224,customer_churn_dataset!$A$2:$A$1501,0))</f>
        <v>149.76</v>
      </c>
      <c r="I223" s="0" t="n">
        <f aca="false">INDEX(customer_churn_dataset!$O$2:$O$1501,MATCH($A224,customer_churn_dataset!$A$2:$A$1501,0))</f>
        <v>0</v>
      </c>
      <c r="J223" s="0" t="n">
        <f aca="false">INDEX(customer_churn_dataset!$T$2:$T$1501,MATCH($A224,customer_churn_dataset!$A$2:$A$1501,0))</f>
        <v>3</v>
      </c>
      <c r="K223" s="0" t="str">
        <f aca="false">INDEX(customer_churn_dataset!$V$2:$V$1501,MATCH($A224,customer_churn_dataset!$A$2:$A$1501,0))</f>
        <v>Medium Risk</v>
      </c>
    </row>
    <row r="224" customFormat="false" ht="12.8" hidden="true" customHeight="false" outlineLevel="0" collapsed="false">
      <c r="A224" s="22" t="str">
        <f aca="false">customer_churn_dataset!A468</f>
        <v>CUST100186</v>
      </c>
      <c r="B224" s="22" t="str">
        <f aca="false">customer_churn_dataset!B468</f>
        <v>Premium</v>
      </c>
      <c r="C224" s="22" t="str">
        <f aca="false">customer_churn_dataset!C468</f>
        <v>One year</v>
      </c>
      <c r="D224" s="0" t="n">
        <f aca="false">INDEX(customer_churn_dataset!$E$2:$E$1501,MATCH($A225,customer_churn_dataset!$A$2:$A$1501,0))</f>
        <v>53</v>
      </c>
      <c r="E224" s="0" t="n">
        <f aca="false">INDEX(customer_churn_dataset!$I$2:$I$1501,MATCH($A225,customer_churn_dataset!$A$2:$A$1501,0))</f>
        <v>5.2</v>
      </c>
      <c r="F224" s="0" t="n">
        <f aca="false">INDEX(customer_churn_dataset!$L$2:$L$1501,MATCH($A225,customer_churn_dataset!$A$2:$A$1501,0))</f>
        <v>3</v>
      </c>
      <c r="G224" s="0" t="str">
        <f aca="false">IF(INDEX(customer_churn_dataset!$M$2:$M$1501,MATCH($A225,customer_churn_dataset!$A$2:$A$1501,0))=1,"Yes","No")</f>
        <v>No</v>
      </c>
      <c r="H224" s="0" t="n">
        <f aca="false">INDEX(customer_churn_dataset!$N$2:$N$1501,MATCH($A225,customer_churn_dataset!$A$2:$A$1501,0))</f>
        <v>2136.43</v>
      </c>
      <c r="I224" s="0" t="n">
        <f aca="false">INDEX(customer_churn_dataset!$O$2:$O$1501,MATCH($A225,customer_churn_dataset!$A$2:$A$1501,0))</f>
        <v>1</v>
      </c>
      <c r="J224" s="0" t="n">
        <f aca="false">INDEX(customer_churn_dataset!$T$2:$T$1501,MATCH($A225,customer_churn_dataset!$A$2:$A$1501,0))</f>
        <v>4</v>
      </c>
      <c r="K224" s="0" t="str">
        <f aca="false">INDEX(customer_churn_dataset!$V$2:$V$1501,MATCH($A225,customer_churn_dataset!$A$2:$A$1501,0))</f>
        <v>Medium Risk</v>
      </c>
    </row>
    <row r="225" customFormat="false" ht="12.8" hidden="true" customHeight="false" outlineLevel="0" collapsed="false">
      <c r="A225" s="22" t="str">
        <f aca="false">customer_churn_dataset!A470</f>
        <v>CUST100033</v>
      </c>
      <c r="B225" s="22" t="str">
        <f aca="false">customer_churn_dataset!B470</f>
        <v>Premium</v>
      </c>
      <c r="C225" s="22" t="str">
        <f aca="false">customer_churn_dataset!C470</f>
        <v>One year</v>
      </c>
      <c r="D225" s="0" t="n">
        <f aca="false">INDEX(customer_churn_dataset!$E$2:$E$1501,MATCH($A226,customer_churn_dataset!$A$2:$A$1501,0))</f>
        <v>18</v>
      </c>
      <c r="E225" s="0" t="n">
        <f aca="false">INDEX(customer_churn_dataset!$I$2:$I$1501,MATCH($A226,customer_churn_dataset!$A$2:$A$1501,0))</f>
        <v>33.4</v>
      </c>
      <c r="F225" s="0" t="n">
        <f aca="false">INDEX(customer_churn_dataset!$L$2:$L$1501,MATCH($A226,customer_churn_dataset!$A$2:$A$1501,0))</f>
        <v>0</v>
      </c>
      <c r="G225" s="0" t="str">
        <f aca="false">IF(INDEX(customer_churn_dataset!$M$2:$M$1501,MATCH($A226,customer_churn_dataset!$A$2:$A$1501,0))=1,"Yes","No")</f>
        <v>No</v>
      </c>
      <c r="H225" s="0" t="n">
        <f aca="false">INDEX(customer_churn_dataset!$N$2:$N$1501,MATCH($A226,customer_churn_dataset!$A$2:$A$1501,0))</f>
        <v>699.84</v>
      </c>
      <c r="I225" s="0" t="n">
        <f aca="false">INDEX(customer_churn_dataset!$O$2:$O$1501,MATCH($A226,customer_churn_dataset!$A$2:$A$1501,0))</f>
        <v>1</v>
      </c>
      <c r="J225" s="0" t="n">
        <f aca="false">INDEX(customer_churn_dataset!$T$2:$T$1501,MATCH($A226,customer_churn_dataset!$A$2:$A$1501,0))</f>
        <v>4</v>
      </c>
      <c r="K225" s="0" t="str">
        <f aca="false">INDEX(customer_churn_dataset!$V$2:$V$1501,MATCH($A226,customer_churn_dataset!$A$2:$A$1501,0))</f>
        <v>Medium Risk</v>
      </c>
    </row>
    <row r="226" customFormat="false" ht="12.8" hidden="true" customHeight="false" outlineLevel="0" collapsed="false">
      <c r="A226" s="22" t="str">
        <f aca="false">customer_churn_dataset!A482</f>
        <v>CUST101415</v>
      </c>
      <c r="B226" s="22" t="str">
        <f aca="false">customer_churn_dataset!B482</f>
        <v>Premium</v>
      </c>
      <c r="C226" s="22" t="str">
        <f aca="false">customer_churn_dataset!C482</f>
        <v>Month-to-month</v>
      </c>
      <c r="D226" s="0" t="n">
        <f aca="false">INDEX(customer_churn_dataset!$E$2:$E$1501,MATCH($A227,customer_churn_dataset!$A$2:$A$1501,0))</f>
        <v>13</v>
      </c>
      <c r="E226" s="0" t="n">
        <f aca="false">INDEX(customer_churn_dataset!$I$2:$I$1501,MATCH($A227,customer_churn_dataset!$A$2:$A$1501,0))</f>
        <v>84.1</v>
      </c>
      <c r="F226" s="0" t="n">
        <f aca="false">INDEX(customer_churn_dataset!$L$2:$L$1501,MATCH($A227,customer_churn_dataset!$A$2:$A$1501,0))</f>
        <v>0</v>
      </c>
      <c r="G226" s="0" t="str">
        <f aca="false">IF(INDEX(customer_churn_dataset!$M$2:$M$1501,MATCH($A227,customer_churn_dataset!$A$2:$A$1501,0))=1,"Yes","No")</f>
        <v>No</v>
      </c>
      <c r="H226" s="0" t="n">
        <f aca="false">INDEX(customer_churn_dataset!$N$2:$N$1501,MATCH($A227,customer_churn_dataset!$A$2:$A$1501,0))</f>
        <v>270.92</v>
      </c>
      <c r="I226" s="0" t="n">
        <f aca="false">INDEX(customer_churn_dataset!$O$2:$O$1501,MATCH($A227,customer_churn_dataset!$A$2:$A$1501,0))</f>
        <v>0</v>
      </c>
      <c r="J226" s="0" t="n">
        <f aca="false">INDEX(customer_churn_dataset!$T$2:$T$1501,MATCH($A227,customer_churn_dataset!$A$2:$A$1501,0))</f>
        <v>1</v>
      </c>
      <c r="K226" s="0" t="str">
        <f aca="false">INDEX(customer_churn_dataset!$V$2:$V$1501,MATCH($A227,customer_churn_dataset!$A$2:$A$1501,0))</f>
        <v>Low Risk</v>
      </c>
    </row>
    <row r="227" customFormat="false" ht="12.8" hidden="true" customHeight="false" outlineLevel="0" collapsed="false">
      <c r="A227" s="22" t="str">
        <f aca="false">customer_churn_dataset!A495</f>
        <v>CUST101495</v>
      </c>
      <c r="B227" s="22" t="str">
        <f aca="false">customer_churn_dataset!B495</f>
        <v>Standard</v>
      </c>
      <c r="C227" s="22" t="str">
        <f aca="false">customer_churn_dataset!C495</f>
        <v>One year</v>
      </c>
      <c r="D227" s="0" t="n">
        <f aca="false">INDEX(customer_churn_dataset!$E$2:$E$1501,MATCH($A228,customer_churn_dataset!$A$2:$A$1501,0))</f>
        <v>72</v>
      </c>
      <c r="E227" s="0" t="n">
        <f aca="false">INDEX(customer_churn_dataset!$I$2:$I$1501,MATCH($A228,customer_churn_dataset!$A$2:$A$1501,0))</f>
        <v>96.2</v>
      </c>
      <c r="F227" s="0" t="n">
        <f aca="false">INDEX(customer_churn_dataset!$L$2:$L$1501,MATCH($A228,customer_churn_dataset!$A$2:$A$1501,0))</f>
        <v>3</v>
      </c>
      <c r="G227" s="0" t="str">
        <f aca="false">IF(INDEX(customer_churn_dataset!$M$2:$M$1501,MATCH($A228,customer_churn_dataset!$A$2:$A$1501,0))=1,"Yes","No")</f>
        <v>Yes</v>
      </c>
      <c r="H227" s="0" t="n">
        <f aca="false">INDEX(customer_churn_dataset!$N$2:$N$1501,MATCH($A228,customer_churn_dataset!$A$2:$A$1501,0))</f>
        <v>1402.56</v>
      </c>
      <c r="I227" s="0" t="n">
        <f aca="false">INDEX(customer_churn_dataset!$O$2:$O$1501,MATCH($A228,customer_churn_dataset!$A$2:$A$1501,0))</f>
        <v>0</v>
      </c>
      <c r="J227" s="0" t="n">
        <f aca="false">INDEX(customer_churn_dataset!$T$2:$T$1501,MATCH($A228,customer_churn_dataset!$A$2:$A$1501,0))</f>
        <v>6</v>
      </c>
      <c r="K227" s="0" t="str">
        <f aca="false">INDEX(customer_churn_dataset!$V$2:$V$1501,MATCH($A228,customer_churn_dataset!$A$2:$A$1501,0))</f>
        <v>High Risk</v>
      </c>
    </row>
    <row r="228" customFormat="false" ht="12.8" hidden="false" customHeight="false" outlineLevel="0" collapsed="false">
      <c r="A228" s="23" t="str">
        <f aca="false">customer_churn_dataset!A507</f>
        <v>CUST100877</v>
      </c>
      <c r="B228" s="24" t="str">
        <f aca="false">customer_churn_dataset!B507</f>
        <v>Standard</v>
      </c>
      <c r="C228" s="24" t="str">
        <f aca="false">customer_churn_dataset!C507</f>
        <v>Month-to-month</v>
      </c>
      <c r="D228" s="25" t="n">
        <f aca="false">INDEX(customer_churn_dataset!$E$2:$E$1501,MATCH($A229,customer_churn_dataset!$A$2:$A$1501,0))</f>
        <v>5</v>
      </c>
      <c r="E228" s="25" t="n">
        <f aca="false">INDEX(customer_churn_dataset!$I$2:$I$1501,MATCH($A229,customer_churn_dataset!$A$2:$A$1501,0))</f>
        <v>37.9</v>
      </c>
      <c r="F228" s="25" t="n">
        <f aca="false">INDEX(customer_churn_dataset!$L$2:$L$1501,MATCH($A229,customer_churn_dataset!$A$2:$A$1501,0))</f>
        <v>2</v>
      </c>
      <c r="G228" s="25" t="str">
        <f aca="false">IF(INDEX(customer_churn_dataset!$M$2:$M$1501,MATCH($A229,customer_churn_dataset!$A$2:$A$1501,0))=1,"Yes","No")</f>
        <v>Yes</v>
      </c>
      <c r="H228" s="25" t="n">
        <f aca="false">INDEX(customer_churn_dataset!$N$2:$N$1501,MATCH($A229,customer_churn_dataset!$A$2:$A$1501,0))</f>
        <v>53.55</v>
      </c>
      <c r="I228" s="25" t="n">
        <f aca="false">INDEX(customer_churn_dataset!$O$2:$O$1501,MATCH($A229,customer_churn_dataset!$A$2:$A$1501,0))</f>
        <v>1</v>
      </c>
      <c r="J228" s="25" t="n">
        <f aca="false">INDEX(customer_churn_dataset!$T$2:$T$1501,MATCH($A229,customer_churn_dataset!$A$2:$A$1501,0))</f>
        <v>9</v>
      </c>
      <c r="K228" s="25" t="str">
        <f aca="false">INDEX(customer_churn_dataset!$V$2:$V$1501,MATCH($A229,customer_churn_dataset!$A$2:$A$1501,0))</f>
        <v>High Risk</v>
      </c>
    </row>
    <row r="229" customFormat="false" ht="12.8" hidden="true" customHeight="false" outlineLevel="0" collapsed="false">
      <c r="A229" s="22" t="str">
        <f aca="false">customer_churn_dataset!A525</f>
        <v>CUST101042</v>
      </c>
      <c r="B229" s="22" t="str">
        <f aca="false">customer_churn_dataset!B525</f>
        <v>Basic</v>
      </c>
      <c r="C229" s="22" t="str">
        <f aca="false">customer_churn_dataset!C525</f>
        <v>Month-to-month</v>
      </c>
      <c r="D229" s="0" t="n">
        <f aca="false">INDEX(customer_churn_dataset!$E$2:$E$1501,MATCH($A230,customer_churn_dataset!$A$2:$A$1501,0))</f>
        <v>5</v>
      </c>
      <c r="E229" s="0" t="n">
        <f aca="false">INDEX(customer_churn_dataset!$I$2:$I$1501,MATCH($A230,customer_churn_dataset!$A$2:$A$1501,0))</f>
        <v>58.1</v>
      </c>
      <c r="F229" s="0" t="n">
        <f aca="false">INDEX(customer_churn_dataset!$L$2:$L$1501,MATCH($A230,customer_churn_dataset!$A$2:$A$1501,0))</f>
        <v>5</v>
      </c>
      <c r="G229" s="0" t="str">
        <f aca="false">IF(INDEX(customer_churn_dataset!$M$2:$M$1501,MATCH($A230,customer_churn_dataset!$A$2:$A$1501,0))=1,"Yes","No")</f>
        <v>No</v>
      </c>
      <c r="H229" s="0" t="n">
        <f aca="false">INDEX(customer_churn_dataset!$N$2:$N$1501,MATCH($A230,customer_churn_dataset!$A$2:$A$1501,0))</f>
        <v>94.85</v>
      </c>
      <c r="I229" s="0" t="n">
        <f aca="false">INDEX(customer_churn_dataset!$O$2:$O$1501,MATCH($A230,customer_churn_dataset!$A$2:$A$1501,0))</f>
        <v>0</v>
      </c>
      <c r="J229" s="0" t="n">
        <f aca="false">INDEX(customer_churn_dataset!$T$2:$T$1501,MATCH($A230,customer_churn_dataset!$A$2:$A$1501,0))</f>
        <v>4</v>
      </c>
      <c r="K229" s="0" t="str">
        <f aca="false">INDEX(customer_churn_dataset!$V$2:$V$1501,MATCH($A230,customer_churn_dataset!$A$2:$A$1501,0))</f>
        <v>Medium Risk</v>
      </c>
    </row>
    <row r="230" customFormat="false" ht="12.8" hidden="true" customHeight="false" outlineLevel="0" collapsed="false">
      <c r="A230" s="22" t="str">
        <f aca="false">customer_churn_dataset!A527</f>
        <v>CUST101005</v>
      </c>
      <c r="B230" s="22" t="str">
        <f aca="false">customer_churn_dataset!B527</f>
        <v>Standard</v>
      </c>
      <c r="C230" s="22" t="str">
        <f aca="false">customer_churn_dataset!C527</f>
        <v>Month-to-month</v>
      </c>
      <c r="D230" s="0" t="n">
        <f aca="false">INDEX(customer_churn_dataset!$E$2:$E$1501,MATCH($A231,customer_churn_dataset!$A$2:$A$1501,0))</f>
        <v>1</v>
      </c>
      <c r="E230" s="0" t="n">
        <f aca="false">INDEX(customer_churn_dataset!$I$2:$I$1501,MATCH($A231,customer_churn_dataset!$A$2:$A$1501,0))</f>
        <v>63.2</v>
      </c>
      <c r="F230" s="0" t="n">
        <f aca="false">INDEX(customer_churn_dataset!$L$2:$L$1501,MATCH($A231,customer_churn_dataset!$A$2:$A$1501,0))</f>
        <v>0</v>
      </c>
      <c r="G230" s="0" t="str">
        <f aca="false">IF(INDEX(customer_churn_dataset!$M$2:$M$1501,MATCH($A231,customer_churn_dataset!$A$2:$A$1501,0))=1,"Yes","No")</f>
        <v>No</v>
      </c>
      <c r="H230" s="0" t="n">
        <f aca="false">INDEX(customer_churn_dataset!$N$2:$N$1501,MATCH($A231,customer_churn_dataset!$A$2:$A$1501,0))</f>
        <v>8.99</v>
      </c>
      <c r="I230" s="0" t="n">
        <f aca="false">INDEX(customer_churn_dataset!$O$2:$O$1501,MATCH($A231,customer_churn_dataset!$A$2:$A$1501,0))</f>
        <v>0</v>
      </c>
      <c r="J230" s="0" t="n">
        <f aca="false">INDEX(customer_churn_dataset!$T$2:$T$1501,MATCH($A231,customer_churn_dataset!$A$2:$A$1501,0))</f>
        <v>3</v>
      </c>
      <c r="K230" s="0" t="str">
        <f aca="false">INDEX(customer_churn_dataset!$V$2:$V$1501,MATCH($A231,customer_churn_dataset!$A$2:$A$1501,0))</f>
        <v>Medium Risk</v>
      </c>
    </row>
    <row r="231" customFormat="false" ht="12.8" hidden="true" customHeight="false" outlineLevel="0" collapsed="false">
      <c r="A231" s="22" t="str">
        <f aca="false">customer_churn_dataset!A534</f>
        <v>CUST101141</v>
      </c>
      <c r="B231" s="22" t="str">
        <f aca="false">customer_churn_dataset!B534</f>
        <v>Basic</v>
      </c>
      <c r="C231" s="22" t="str">
        <f aca="false">customer_churn_dataset!C534</f>
        <v>Month-to-month</v>
      </c>
      <c r="D231" s="0" t="n">
        <f aca="false">INDEX(customer_churn_dataset!$E$2:$E$1501,MATCH($A232,customer_churn_dataset!$A$2:$A$1501,0))</f>
        <v>2</v>
      </c>
      <c r="E231" s="0" t="n">
        <f aca="false">INDEX(customer_churn_dataset!$I$2:$I$1501,MATCH($A232,customer_churn_dataset!$A$2:$A$1501,0))</f>
        <v>58.7</v>
      </c>
      <c r="F231" s="0" t="n">
        <f aca="false">INDEX(customer_churn_dataset!$L$2:$L$1501,MATCH($A232,customer_churn_dataset!$A$2:$A$1501,0))</f>
        <v>0</v>
      </c>
      <c r="G231" s="0" t="str">
        <f aca="false">IF(INDEX(customer_churn_dataset!$M$2:$M$1501,MATCH($A232,customer_churn_dataset!$A$2:$A$1501,0))=1,"Yes","No")</f>
        <v>No</v>
      </c>
      <c r="H231" s="0" t="n">
        <f aca="false">INDEX(customer_churn_dataset!$N$2:$N$1501,MATCH($A232,customer_churn_dataset!$A$2:$A$1501,0))</f>
        <v>79.72</v>
      </c>
      <c r="I231" s="0" t="n">
        <f aca="false">INDEX(customer_churn_dataset!$O$2:$O$1501,MATCH($A232,customer_churn_dataset!$A$2:$A$1501,0))</f>
        <v>0</v>
      </c>
      <c r="J231" s="0" t="n">
        <f aca="false">INDEX(customer_churn_dataset!$T$2:$T$1501,MATCH($A232,customer_churn_dataset!$A$2:$A$1501,0))</f>
        <v>3</v>
      </c>
      <c r="K231" s="0" t="str">
        <f aca="false">INDEX(customer_churn_dataset!$V$2:$V$1501,MATCH($A232,customer_churn_dataset!$A$2:$A$1501,0))</f>
        <v>Medium Risk</v>
      </c>
    </row>
    <row r="232" customFormat="false" ht="12.8" hidden="true" customHeight="false" outlineLevel="0" collapsed="false">
      <c r="A232" s="22" t="str">
        <f aca="false">customer_churn_dataset!A539</f>
        <v>CUST100680</v>
      </c>
      <c r="B232" s="22" t="str">
        <f aca="false">customer_churn_dataset!B539</f>
        <v>Premium</v>
      </c>
      <c r="C232" s="22" t="str">
        <f aca="false">customer_churn_dataset!C539</f>
        <v>Month-to-month</v>
      </c>
      <c r="D232" s="0" t="n">
        <f aca="false">INDEX(customer_churn_dataset!$E$2:$E$1501,MATCH($A233,customer_churn_dataset!$A$2:$A$1501,0))</f>
        <v>23</v>
      </c>
      <c r="E232" s="0" t="n">
        <f aca="false">INDEX(customer_churn_dataset!$I$2:$I$1501,MATCH($A233,customer_churn_dataset!$A$2:$A$1501,0))</f>
        <v>45.8</v>
      </c>
      <c r="F232" s="0" t="n">
        <f aca="false">INDEX(customer_churn_dataset!$L$2:$L$1501,MATCH($A233,customer_churn_dataset!$A$2:$A$1501,0))</f>
        <v>0</v>
      </c>
      <c r="G232" s="0" t="str">
        <f aca="false">IF(INDEX(customer_churn_dataset!$M$2:$M$1501,MATCH($A233,customer_churn_dataset!$A$2:$A$1501,0))=1,"Yes","No")</f>
        <v>No</v>
      </c>
      <c r="H232" s="0" t="n">
        <f aca="false">INDEX(customer_churn_dataset!$N$2:$N$1501,MATCH($A233,customer_churn_dataset!$A$2:$A$1501,0))</f>
        <v>956.57</v>
      </c>
      <c r="I232" s="0" t="n">
        <f aca="false">INDEX(customer_churn_dataset!$O$2:$O$1501,MATCH($A233,customer_churn_dataset!$A$2:$A$1501,0))</f>
        <v>0</v>
      </c>
      <c r="J232" s="0" t="n">
        <f aca="false">INDEX(customer_churn_dataset!$T$2:$T$1501,MATCH($A233,customer_churn_dataset!$A$2:$A$1501,0))</f>
        <v>3</v>
      </c>
      <c r="K232" s="0" t="str">
        <f aca="false">INDEX(customer_churn_dataset!$V$2:$V$1501,MATCH($A233,customer_churn_dataset!$A$2:$A$1501,0))</f>
        <v>Medium Risk</v>
      </c>
    </row>
    <row r="233" customFormat="false" ht="12.8" hidden="true" customHeight="false" outlineLevel="0" collapsed="false">
      <c r="A233" s="22" t="str">
        <f aca="false">customer_churn_dataset!A541</f>
        <v>CUST100737</v>
      </c>
      <c r="B233" s="22" t="str">
        <f aca="false">customer_churn_dataset!B541</f>
        <v>Premium</v>
      </c>
      <c r="C233" s="22" t="str">
        <f aca="false">customer_churn_dataset!C541</f>
        <v>Month-to-month</v>
      </c>
      <c r="D233" s="0" t="n">
        <f aca="false">INDEX(customer_churn_dataset!$E$2:$E$1501,MATCH($A234,customer_churn_dataset!$A$2:$A$1501,0))</f>
        <v>9</v>
      </c>
      <c r="E233" s="0" t="n">
        <f aca="false">INDEX(customer_churn_dataset!$I$2:$I$1501,MATCH($A234,customer_churn_dataset!$A$2:$A$1501,0))</f>
        <v>70.3</v>
      </c>
      <c r="F233" s="0" t="n">
        <f aca="false">INDEX(customer_churn_dataset!$L$2:$L$1501,MATCH($A234,customer_churn_dataset!$A$2:$A$1501,0))</f>
        <v>2</v>
      </c>
      <c r="G233" s="0" t="str">
        <f aca="false">IF(INDEX(customer_churn_dataset!$M$2:$M$1501,MATCH($A234,customer_churn_dataset!$A$2:$A$1501,0))=1,"Yes","No")</f>
        <v>Yes</v>
      </c>
      <c r="H233" s="0" t="n">
        <f aca="false">INDEX(customer_churn_dataset!$N$2:$N$1501,MATCH($A234,customer_churn_dataset!$A$2:$A$1501,0))</f>
        <v>365.94</v>
      </c>
      <c r="I233" s="0" t="n">
        <f aca="false">INDEX(customer_churn_dataset!$O$2:$O$1501,MATCH($A234,customer_churn_dataset!$A$2:$A$1501,0))</f>
        <v>1</v>
      </c>
      <c r="J233" s="0" t="n">
        <f aca="false">INDEX(customer_churn_dataset!$T$2:$T$1501,MATCH($A234,customer_churn_dataset!$A$2:$A$1501,0))</f>
        <v>7</v>
      </c>
      <c r="K233" s="0" t="str">
        <f aca="false">INDEX(customer_churn_dataset!$V$2:$V$1501,MATCH($A234,customer_churn_dataset!$A$2:$A$1501,0))</f>
        <v>High Risk</v>
      </c>
    </row>
    <row r="234" customFormat="false" ht="12.8" hidden="true" customHeight="false" outlineLevel="0" collapsed="false">
      <c r="A234" s="22" t="str">
        <f aca="false">customer_churn_dataset!A555</f>
        <v>CUST101165</v>
      </c>
      <c r="B234" s="22" t="str">
        <f aca="false">customer_churn_dataset!B555</f>
        <v>Premium</v>
      </c>
      <c r="C234" s="22" t="str">
        <f aca="false">customer_churn_dataset!C555</f>
        <v>Month-to-month</v>
      </c>
      <c r="D234" s="0" t="n">
        <f aca="false">INDEX(customer_churn_dataset!$E$2:$E$1501,MATCH($A235,customer_churn_dataset!$A$2:$A$1501,0))</f>
        <v>59</v>
      </c>
      <c r="E234" s="0" t="n">
        <f aca="false">INDEX(customer_churn_dataset!$I$2:$I$1501,MATCH($A235,customer_churn_dataset!$A$2:$A$1501,0))</f>
        <v>36.9</v>
      </c>
      <c r="F234" s="0" t="n">
        <f aca="false">INDEX(customer_churn_dataset!$L$2:$L$1501,MATCH($A235,customer_churn_dataset!$A$2:$A$1501,0))</f>
        <v>3</v>
      </c>
      <c r="G234" s="0" t="str">
        <f aca="false">IF(INDEX(customer_churn_dataset!$M$2:$M$1501,MATCH($A235,customer_churn_dataset!$A$2:$A$1501,0))=1,"Yes","No")</f>
        <v>No</v>
      </c>
      <c r="H234" s="0" t="n">
        <f aca="false">INDEX(customer_churn_dataset!$N$2:$N$1501,MATCH($A235,customer_churn_dataset!$A$2:$A$1501,0))</f>
        <v>555.19</v>
      </c>
      <c r="I234" s="0" t="n">
        <f aca="false">INDEX(customer_churn_dataset!$O$2:$O$1501,MATCH($A235,customer_churn_dataset!$A$2:$A$1501,0))</f>
        <v>1</v>
      </c>
      <c r="J234" s="0" t="n">
        <f aca="false">INDEX(customer_churn_dataset!$T$2:$T$1501,MATCH($A235,customer_churn_dataset!$A$2:$A$1501,0))</f>
        <v>5</v>
      </c>
      <c r="K234" s="0" t="str">
        <f aca="false">INDEX(customer_churn_dataset!$V$2:$V$1501,MATCH($A235,customer_churn_dataset!$A$2:$A$1501,0))</f>
        <v>Medium Risk</v>
      </c>
    </row>
    <row r="235" customFormat="false" ht="12.8" hidden="true" customHeight="false" outlineLevel="0" collapsed="false">
      <c r="A235" s="22" t="str">
        <f aca="false">customer_churn_dataset!A559</f>
        <v>CUST100194</v>
      </c>
      <c r="B235" s="22" t="str">
        <f aca="false">customer_churn_dataset!B559</f>
        <v>Basic</v>
      </c>
      <c r="C235" s="22" t="str">
        <f aca="false">customer_churn_dataset!C559</f>
        <v>Month-to-month</v>
      </c>
      <c r="D235" s="0" t="n">
        <f aca="false">INDEX(customer_churn_dataset!$E$2:$E$1501,MATCH($A236,customer_churn_dataset!$A$2:$A$1501,0))</f>
        <v>1</v>
      </c>
      <c r="E235" s="0" t="n">
        <f aca="false">INDEX(customer_churn_dataset!$I$2:$I$1501,MATCH($A236,customer_churn_dataset!$A$2:$A$1501,0))</f>
        <v>40.2</v>
      </c>
      <c r="F235" s="0" t="n">
        <f aca="false">INDEX(customer_churn_dataset!$L$2:$L$1501,MATCH($A236,customer_churn_dataset!$A$2:$A$1501,0))</f>
        <v>1</v>
      </c>
      <c r="G235" s="0" t="str">
        <f aca="false">IF(INDEX(customer_churn_dataset!$M$2:$M$1501,MATCH($A236,customer_churn_dataset!$A$2:$A$1501,0))=1,"Yes","No")</f>
        <v>Yes</v>
      </c>
      <c r="H235" s="0" t="n">
        <f aca="false">INDEX(customer_churn_dataset!$N$2:$N$1501,MATCH($A236,customer_churn_dataset!$A$2:$A$1501,0))</f>
        <v>20.59</v>
      </c>
      <c r="I235" s="0" t="n">
        <f aca="false">INDEX(customer_churn_dataset!$O$2:$O$1501,MATCH($A236,customer_churn_dataset!$A$2:$A$1501,0))</f>
        <v>1</v>
      </c>
      <c r="J235" s="0" t="n">
        <f aca="false">INDEX(customer_churn_dataset!$T$2:$T$1501,MATCH($A236,customer_churn_dataset!$A$2:$A$1501,0))</f>
        <v>7</v>
      </c>
      <c r="K235" s="0" t="str">
        <f aca="false">INDEX(customer_churn_dataset!$V$2:$V$1501,MATCH($A236,customer_churn_dataset!$A$2:$A$1501,0))</f>
        <v>High Risk</v>
      </c>
    </row>
    <row r="236" customFormat="false" ht="12.8" hidden="true" customHeight="false" outlineLevel="0" collapsed="false">
      <c r="A236" s="22" t="str">
        <f aca="false">customer_churn_dataset!A565</f>
        <v>CUST100949</v>
      </c>
      <c r="B236" s="22" t="str">
        <f aca="false">customer_churn_dataset!B565</f>
        <v>Standard</v>
      </c>
      <c r="C236" s="22" t="str">
        <f aca="false">customer_churn_dataset!C565</f>
        <v>Month-to-month</v>
      </c>
      <c r="D236" s="0" t="n">
        <f aca="false">INDEX(customer_churn_dataset!$E$2:$E$1501,MATCH($A237,customer_churn_dataset!$A$2:$A$1501,0))</f>
        <v>62</v>
      </c>
      <c r="E236" s="0" t="n">
        <f aca="false">INDEX(customer_churn_dataset!$I$2:$I$1501,MATCH($A237,customer_churn_dataset!$A$2:$A$1501,0))</f>
        <v>56.1</v>
      </c>
      <c r="F236" s="0" t="n">
        <f aca="false">INDEX(customer_churn_dataset!$L$2:$L$1501,MATCH($A237,customer_churn_dataset!$A$2:$A$1501,0))</f>
        <v>0</v>
      </c>
      <c r="G236" s="0" t="str">
        <f aca="false">IF(INDEX(customer_churn_dataset!$M$2:$M$1501,MATCH($A237,customer_churn_dataset!$A$2:$A$1501,0))=1,"Yes","No")</f>
        <v>No</v>
      </c>
      <c r="H236" s="0" t="n">
        <f aca="false">INDEX(customer_churn_dataset!$N$2:$N$1501,MATCH($A237,customer_churn_dataset!$A$2:$A$1501,0))</f>
        <v>720.44</v>
      </c>
      <c r="I236" s="0" t="n">
        <f aca="false">INDEX(customer_churn_dataset!$O$2:$O$1501,MATCH($A237,customer_churn_dataset!$A$2:$A$1501,0))</f>
        <v>0</v>
      </c>
      <c r="J236" s="0" t="n">
        <f aca="false">INDEX(customer_churn_dataset!$T$2:$T$1501,MATCH($A237,customer_churn_dataset!$A$2:$A$1501,0))</f>
        <v>1</v>
      </c>
      <c r="K236" s="0" t="str">
        <f aca="false">INDEX(customer_churn_dataset!$V$2:$V$1501,MATCH($A237,customer_churn_dataset!$A$2:$A$1501,0))</f>
        <v>Low Risk</v>
      </c>
    </row>
    <row r="237" customFormat="false" ht="12.8" hidden="true" customHeight="false" outlineLevel="0" collapsed="false">
      <c r="A237" s="22" t="str">
        <f aca="false">customer_churn_dataset!A571</f>
        <v>CUST100079</v>
      </c>
      <c r="B237" s="22" t="str">
        <f aca="false">customer_churn_dataset!B571</f>
        <v>Basic</v>
      </c>
      <c r="C237" s="22" t="str">
        <f aca="false">customer_churn_dataset!C571</f>
        <v>One year</v>
      </c>
      <c r="D237" s="0" t="n">
        <f aca="false">INDEX(customer_churn_dataset!$E$2:$E$1501,MATCH($A238,customer_churn_dataset!$A$2:$A$1501,0))</f>
        <v>0</v>
      </c>
      <c r="E237" s="0" t="n">
        <f aca="false">INDEX(customer_churn_dataset!$I$2:$I$1501,MATCH($A238,customer_churn_dataset!$A$2:$A$1501,0))</f>
        <v>80.8</v>
      </c>
      <c r="F237" s="0" t="n">
        <f aca="false">INDEX(customer_churn_dataset!$L$2:$L$1501,MATCH($A238,customer_churn_dataset!$A$2:$A$1501,0))</f>
        <v>1</v>
      </c>
      <c r="G237" s="0" t="str">
        <f aca="false">IF(INDEX(customer_churn_dataset!$M$2:$M$1501,MATCH($A238,customer_churn_dataset!$A$2:$A$1501,0))=1,"Yes","No")</f>
        <v>No</v>
      </c>
      <c r="H237" s="0" t="n">
        <f aca="false">INDEX(customer_churn_dataset!$N$2:$N$1501,MATCH($A238,customer_churn_dataset!$A$2:$A$1501,0))</f>
        <v>0</v>
      </c>
      <c r="I237" s="0" t="n">
        <f aca="false">INDEX(customer_churn_dataset!$O$2:$O$1501,MATCH($A238,customer_churn_dataset!$A$2:$A$1501,0))</f>
        <v>1</v>
      </c>
      <c r="J237" s="0" t="n">
        <f aca="false">INDEX(customer_churn_dataset!$T$2:$T$1501,MATCH($A238,customer_churn_dataset!$A$2:$A$1501,0))</f>
        <v>3</v>
      </c>
      <c r="K237" s="0" t="str">
        <f aca="false">INDEX(customer_churn_dataset!$V$2:$V$1501,MATCH($A238,customer_churn_dataset!$A$2:$A$1501,0))</f>
        <v>Medium Risk</v>
      </c>
    </row>
    <row r="238" customFormat="false" ht="12.8" hidden="true" customHeight="false" outlineLevel="0" collapsed="false">
      <c r="A238" s="22" t="str">
        <f aca="false">customer_churn_dataset!A575</f>
        <v>CUST100369</v>
      </c>
      <c r="B238" s="22" t="str">
        <f aca="false">customer_churn_dataset!B575</f>
        <v>Basic</v>
      </c>
      <c r="C238" s="22" t="str">
        <f aca="false">customer_churn_dataset!C575</f>
        <v>Month-to-month</v>
      </c>
      <c r="D238" s="0" t="n">
        <f aca="false">INDEX(customer_churn_dataset!$E$2:$E$1501,MATCH($A239,customer_churn_dataset!$A$2:$A$1501,0))</f>
        <v>15</v>
      </c>
      <c r="E238" s="0" t="n">
        <f aca="false">INDEX(customer_churn_dataset!$I$2:$I$1501,MATCH($A239,customer_churn_dataset!$A$2:$A$1501,0))</f>
        <v>50</v>
      </c>
      <c r="F238" s="0" t="n">
        <f aca="false">INDEX(customer_churn_dataset!$L$2:$L$1501,MATCH($A239,customer_churn_dataset!$A$2:$A$1501,0))</f>
        <v>4</v>
      </c>
      <c r="G238" s="0" t="str">
        <f aca="false">IF(INDEX(customer_churn_dataset!$M$2:$M$1501,MATCH($A239,customer_churn_dataset!$A$2:$A$1501,0))=1,"Yes","No")</f>
        <v>No</v>
      </c>
      <c r="H238" s="0" t="n">
        <f aca="false">INDEX(customer_churn_dataset!$N$2:$N$1501,MATCH($A239,customer_churn_dataset!$A$2:$A$1501,0))</f>
        <v>117.6</v>
      </c>
      <c r="I238" s="0" t="n">
        <f aca="false">INDEX(customer_churn_dataset!$O$2:$O$1501,MATCH($A239,customer_churn_dataset!$A$2:$A$1501,0))</f>
        <v>0</v>
      </c>
      <c r="J238" s="0" t="n">
        <f aca="false">INDEX(customer_churn_dataset!$T$2:$T$1501,MATCH($A239,customer_churn_dataset!$A$2:$A$1501,0))</f>
        <v>2</v>
      </c>
      <c r="K238" s="0" t="str">
        <f aca="false">INDEX(customer_churn_dataset!$V$2:$V$1501,MATCH($A239,customer_churn_dataset!$A$2:$A$1501,0))</f>
        <v>Low Risk</v>
      </c>
    </row>
    <row r="239" customFormat="false" ht="12.8" hidden="true" customHeight="false" outlineLevel="0" collapsed="false">
      <c r="A239" s="22" t="str">
        <f aca="false">customer_churn_dataset!A587</f>
        <v>CUST101184</v>
      </c>
      <c r="B239" s="22" t="str">
        <f aca="false">customer_churn_dataset!B587</f>
        <v>Basic</v>
      </c>
      <c r="C239" s="22" t="str">
        <f aca="false">customer_churn_dataset!C587</f>
        <v>Two year</v>
      </c>
      <c r="D239" s="0" t="n">
        <f aca="false">INDEX(customer_churn_dataset!$E$2:$E$1501,MATCH($A240,customer_churn_dataset!$A$2:$A$1501,0))</f>
        <v>21</v>
      </c>
      <c r="E239" s="0" t="n">
        <f aca="false">INDEX(customer_churn_dataset!$I$2:$I$1501,MATCH($A240,customer_churn_dataset!$A$2:$A$1501,0))</f>
        <v>50.7</v>
      </c>
      <c r="F239" s="0" t="n">
        <f aca="false">INDEX(customer_churn_dataset!$L$2:$L$1501,MATCH($A240,customer_churn_dataset!$A$2:$A$1501,0))</f>
        <v>0</v>
      </c>
      <c r="G239" s="0" t="str">
        <f aca="false">IF(INDEX(customer_churn_dataset!$M$2:$M$1501,MATCH($A240,customer_churn_dataset!$A$2:$A$1501,0))=1,"Yes","No")</f>
        <v>No</v>
      </c>
      <c r="H239" s="0" t="n">
        <f aca="false">INDEX(customer_churn_dataset!$N$2:$N$1501,MATCH($A240,customer_churn_dataset!$A$2:$A$1501,0))</f>
        <v>401.94</v>
      </c>
      <c r="I239" s="0" t="n">
        <f aca="false">INDEX(customer_churn_dataset!$O$2:$O$1501,MATCH($A240,customer_churn_dataset!$A$2:$A$1501,0))</f>
        <v>0</v>
      </c>
      <c r="J239" s="0" t="n">
        <f aca="false">INDEX(customer_churn_dataset!$T$2:$T$1501,MATCH($A240,customer_churn_dataset!$A$2:$A$1501,0))</f>
        <v>3</v>
      </c>
      <c r="K239" s="0" t="str">
        <f aca="false">INDEX(customer_churn_dataset!$V$2:$V$1501,MATCH($A240,customer_churn_dataset!$A$2:$A$1501,0))</f>
        <v>Medium Risk</v>
      </c>
    </row>
    <row r="240" customFormat="false" ht="12.8" hidden="true" customHeight="false" outlineLevel="0" collapsed="false">
      <c r="A240" s="22" t="str">
        <f aca="false">customer_churn_dataset!A597</f>
        <v>CUST101359</v>
      </c>
      <c r="B240" s="22" t="str">
        <f aca="false">customer_churn_dataset!B597</f>
        <v>Standard</v>
      </c>
      <c r="C240" s="22" t="str">
        <f aca="false">customer_churn_dataset!C597</f>
        <v>Month-to-month</v>
      </c>
      <c r="D240" s="0" t="n">
        <f aca="false">INDEX(customer_churn_dataset!$E$2:$E$1501,MATCH($A241,customer_churn_dataset!$A$2:$A$1501,0))</f>
        <v>19</v>
      </c>
      <c r="E240" s="0" t="n">
        <f aca="false">INDEX(customer_churn_dataset!$I$2:$I$1501,MATCH($A241,customer_churn_dataset!$A$2:$A$1501,0))</f>
        <v>32.5</v>
      </c>
      <c r="F240" s="0" t="n">
        <f aca="false">INDEX(customer_churn_dataset!$L$2:$L$1501,MATCH($A241,customer_churn_dataset!$A$2:$A$1501,0))</f>
        <v>4</v>
      </c>
      <c r="G240" s="0" t="str">
        <f aca="false">IF(INDEX(customer_churn_dataset!$M$2:$M$1501,MATCH($A241,customer_churn_dataset!$A$2:$A$1501,0))=1,"Yes","No")</f>
        <v>Yes</v>
      </c>
      <c r="H240" s="0" t="n">
        <f aca="false">INDEX(customer_churn_dataset!$N$2:$N$1501,MATCH($A241,customer_churn_dataset!$A$2:$A$1501,0))</f>
        <v>199.69</v>
      </c>
      <c r="I240" s="0" t="n">
        <f aca="false">INDEX(customer_churn_dataset!$O$2:$O$1501,MATCH($A241,customer_churn_dataset!$A$2:$A$1501,0))</f>
        <v>0</v>
      </c>
      <c r="J240" s="0" t="n">
        <f aca="false">INDEX(customer_churn_dataset!$T$2:$T$1501,MATCH($A241,customer_churn_dataset!$A$2:$A$1501,0))</f>
        <v>7</v>
      </c>
      <c r="K240" s="0" t="str">
        <f aca="false">INDEX(customer_churn_dataset!$V$2:$V$1501,MATCH($A241,customer_churn_dataset!$A$2:$A$1501,0))</f>
        <v>High Risk</v>
      </c>
    </row>
    <row r="241" customFormat="false" ht="12.8" hidden="true" customHeight="false" outlineLevel="0" collapsed="false">
      <c r="A241" s="22" t="str">
        <f aca="false">customer_churn_dataset!A616</f>
        <v>CUST100827</v>
      </c>
      <c r="B241" s="22" t="str">
        <f aca="false">customer_churn_dataset!B616</f>
        <v>Basic</v>
      </c>
      <c r="C241" s="22" t="str">
        <f aca="false">customer_churn_dataset!C616</f>
        <v>One year</v>
      </c>
      <c r="D241" s="0" t="n">
        <f aca="false">INDEX(customer_churn_dataset!$E$2:$E$1501,MATCH($A242,customer_churn_dataset!$A$2:$A$1501,0))</f>
        <v>0</v>
      </c>
      <c r="E241" s="0" t="n">
        <f aca="false">INDEX(customer_churn_dataset!$I$2:$I$1501,MATCH($A242,customer_churn_dataset!$A$2:$A$1501,0))</f>
        <v>27.6</v>
      </c>
      <c r="F241" s="0" t="n">
        <f aca="false">INDEX(customer_churn_dataset!$L$2:$L$1501,MATCH($A242,customer_churn_dataset!$A$2:$A$1501,0))</f>
        <v>1</v>
      </c>
      <c r="G241" s="0" t="str">
        <f aca="false">IF(INDEX(customer_churn_dataset!$M$2:$M$1501,MATCH($A242,customer_churn_dataset!$A$2:$A$1501,0))=1,"Yes","No")</f>
        <v>Yes</v>
      </c>
      <c r="H241" s="0" t="n">
        <f aca="false">INDEX(customer_churn_dataset!$N$2:$N$1501,MATCH($A242,customer_churn_dataset!$A$2:$A$1501,0))</f>
        <v>0</v>
      </c>
      <c r="I241" s="0" t="n">
        <f aca="false">INDEX(customer_churn_dataset!$O$2:$O$1501,MATCH($A242,customer_churn_dataset!$A$2:$A$1501,0))</f>
        <v>0</v>
      </c>
      <c r="J241" s="0" t="n">
        <f aca="false">INDEX(customer_churn_dataset!$T$2:$T$1501,MATCH($A242,customer_churn_dataset!$A$2:$A$1501,0))</f>
        <v>7</v>
      </c>
      <c r="K241" s="0" t="str">
        <f aca="false">INDEX(customer_churn_dataset!$V$2:$V$1501,MATCH($A242,customer_churn_dataset!$A$2:$A$1501,0))</f>
        <v>High Risk</v>
      </c>
    </row>
    <row r="242" customFormat="false" ht="12.8" hidden="true" customHeight="false" outlineLevel="0" collapsed="false">
      <c r="A242" s="22" t="str">
        <f aca="false">customer_churn_dataset!A632</f>
        <v>CUST100872</v>
      </c>
      <c r="B242" s="22" t="str">
        <f aca="false">customer_churn_dataset!B632</f>
        <v>Standard</v>
      </c>
      <c r="C242" s="22" t="str">
        <f aca="false">customer_churn_dataset!C632</f>
        <v>One year</v>
      </c>
      <c r="D242" s="0" t="n">
        <f aca="false">INDEX(customer_churn_dataset!$E$2:$E$1501,MATCH($A243,customer_churn_dataset!$A$2:$A$1501,0))</f>
        <v>19</v>
      </c>
      <c r="E242" s="0" t="n">
        <f aca="false">INDEX(customer_churn_dataset!$I$2:$I$1501,MATCH($A243,customer_churn_dataset!$A$2:$A$1501,0))</f>
        <v>61</v>
      </c>
      <c r="F242" s="0" t="n">
        <f aca="false">INDEX(customer_churn_dataset!$L$2:$L$1501,MATCH($A243,customer_churn_dataset!$A$2:$A$1501,0))</f>
        <v>2</v>
      </c>
      <c r="G242" s="0" t="str">
        <f aca="false">IF(INDEX(customer_churn_dataset!$M$2:$M$1501,MATCH($A243,customer_churn_dataset!$A$2:$A$1501,0))=1,"Yes","No")</f>
        <v>Yes</v>
      </c>
      <c r="H242" s="0" t="n">
        <f aca="false">INDEX(customer_churn_dataset!$N$2:$N$1501,MATCH($A243,customer_churn_dataset!$A$2:$A$1501,0))</f>
        <v>211.66</v>
      </c>
      <c r="I242" s="0" t="n">
        <f aca="false">INDEX(customer_churn_dataset!$O$2:$O$1501,MATCH($A243,customer_churn_dataset!$A$2:$A$1501,0))</f>
        <v>0</v>
      </c>
      <c r="J242" s="0" t="n">
        <f aca="false">INDEX(customer_churn_dataset!$T$2:$T$1501,MATCH($A243,customer_churn_dataset!$A$2:$A$1501,0))</f>
        <v>6</v>
      </c>
      <c r="K242" s="0" t="str">
        <f aca="false">INDEX(customer_churn_dataset!$V$2:$V$1501,MATCH($A243,customer_churn_dataset!$A$2:$A$1501,0))</f>
        <v>High Risk</v>
      </c>
    </row>
    <row r="243" customFormat="false" ht="12.8" hidden="true" customHeight="false" outlineLevel="0" collapsed="false">
      <c r="A243" s="22" t="str">
        <f aca="false">customer_churn_dataset!A637</f>
        <v>CUST100459</v>
      </c>
      <c r="B243" s="22" t="str">
        <f aca="false">customer_churn_dataset!B637</f>
        <v>Basic</v>
      </c>
      <c r="C243" s="22" t="str">
        <f aca="false">customer_churn_dataset!C637</f>
        <v>Month-to-month</v>
      </c>
      <c r="D243" s="0" t="n">
        <f aca="false">INDEX(customer_churn_dataset!$E$2:$E$1501,MATCH($A244,customer_churn_dataset!$A$2:$A$1501,0))</f>
        <v>8</v>
      </c>
      <c r="E243" s="0" t="n">
        <f aca="false">INDEX(customer_churn_dataset!$I$2:$I$1501,MATCH($A244,customer_churn_dataset!$A$2:$A$1501,0))</f>
        <v>69.6</v>
      </c>
      <c r="F243" s="0" t="n">
        <f aca="false">INDEX(customer_churn_dataset!$L$2:$L$1501,MATCH($A244,customer_churn_dataset!$A$2:$A$1501,0))</f>
        <v>3</v>
      </c>
      <c r="G243" s="0" t="str">
        <f aca="false">IF(INDEX(customer_churn_dataset!$M$2:$M$1501,MATCH($A244,customer_churn_dataset!$A$2:$A$1501,0))=1,"Yes","No")</f>
        <v>No</v>
      </c>
      <c r="H243" s="0" t="n">
        <f aca="false">INDEX(customer_churn_dataset!$N$2:$N$1501,MATCH($A244,customer_churn_dataset!$A$2:$A$1501,0))</f>
        <v>81.28</v>
      </c>
      <c r="I243" s="0" t="n">
        <f aca="false">INDEX(customer_churn_dataset!$O$2:$O$1501,MATCH($A244,customer_churn_dataset!$A$2:$A$1501,0))</f>
        <v>0</v>
      </c>
      <c r="J243" s="0" t="n">
        <f aca="false">INDEX(customer_churn_dataset!$T$2:$T$1501,MATCH($A244,customer_churn_dataset!$A$2:$A$1501,0))</f>
        <v>3</v>
      </c>
      <c r="K243" s="0" t="str">
        <f aca="false">INDEX(customer_churn_dataset!$V$2:$V$1501,MATCH($A244,customer_churn_dataset!$A$2:$A$1501,0))</f>
        <v>Medium Risk</v>
      </c>
    </row>
    <row r="244" customFormat="false" ht="12.8" hidden="true" customHeight="false" outlineLevel="0" collapsed="false">
      <c r="A244" s="22" t="str">
        <f aca="false">customer_churn_dataset!A653</f>
        <v>CUST100982</v>
      </c>
      <c r="B244" s="22" t="str">
        <f aca="false">customer_churn_dataset!B653</f>
        <v>Basic</v>
      </c>
      <c r="C244" s="22" t="str">
        <f aca="false">customer_churn_dataset!C653</f>
        <v>One year</v>
      </c>
      <c r="D244" s="0" t="n">
        <f aca="false">INDEX(customer_churn_dataset!$E$2:$E$1501,MATCH($A245,customer_churn_dataset!$A$2:$A$1501,0))</f>
        <v>27</v>
      </c>
      <c r="E244" s="0" t="n">
        <f aca="false">INDEX(customer_churn_dataset!$I$2:$I$1501,MATCH($A245,customer_churn_dataset!$A$2:$A$1501,0))</f>
        <v>52</v>
      </c>
      <c r="F244" s="0" t="n">
        <f aca="false">INDEX(customer_churn_dataset!$L$2:$L$1501,MATCH($A245,customer_churn_dataset!$A$2:$A$1501,0))</f>
        <v>1</v>
      </c>
      <c r="G244" s="0" t="str">
        <f aca="false">IF(INDEX(customer_churn_dataset!$M$2:$M$1501,MATCH($A245,customer_churn_dataset!$A$2:$A$1501,0))=1,"Yes","No")</f>
        <v>Yes</v>
      </c>
      <c r="H244" s="0" t="n">
        <f aca="false">INDEX(customer_churn_dataset!$N$2:$N$1501,MATCH($A245,customer_churn_dataset!$A$2:$A$1501,0))</f>
        <v>266.22</v>
      </c>
      <c r="I244" s="0" t="n">
        <f aca="false">INDEX(customer_churn_dataset!$O$2:$O$1501,MATCH($A245,customer_churn_dataset!$A$2:$A$1501,0))</f>
        <v>0</v>
      </c>
      <c r="J244" s="0" t="n">
        <f aca="false">INDEX(customer_churn_dataset!$T$2:$T$1501,MATCH($A245,customer_churn_dataset!$A$2:$A$1501,0))</f>
        <v>6</v>
      </c>
      <c r="K244" s="0" t="str">
        <f aca="false">INDEX(customer_churn_dataset!$V$2:$V$1501,MATCH($A245,customer_churn_dataset!$A$2:$A$1501,0))</f>
        <v>High Risk</v>
      </c>
    </row>
    <row r="245" customFormat="false" ht="12.8" hidden="true" customHeight="false" outlineLevel="0" collapsed="false">
      <c r="A245" s="22" t="str">
        <f aca="false">customer_churn_dataset!A667</f>
        <v>CUST100907</v>
      </c>
      <c r="B245" s="22" t="str">
        <f aca="false">customer_churn_dataset!B667</f>
        <v>Basic</v>
      </c>
      <c r="C245" s="22" t="str">
        <f aca="false">customer_churn_dataset!C667</f>
        <v>Month-to-month</v>
      </c>
      <c r="D245" s="0" t="n">
        <f aca="false">INDEX(customer_churn_dataset!$E$2:$E$1501,MATCH($A246,customer_churn_dataset!$A$2:$A$1501,0))</f>
        <v>4</v>
      </c>
      <c r="E245" s="0" t="n">
        <f aca="false">INDEX(customer_churn_dataset!$I$2:$I$1501,MATCH($A246,customer_churn_dataset!$A$2:$A$1501,0))</f>
        <v>57.2</v>
      </c>
      <c r="F245" s="0" t="n">
        <f aca="false">INDEX(customer_churn_dataset!$L$2:$L$1501,MATCH($A246,customer_churn_dataset!$A$2:$A$1501,0))</f>
        <v>4</v>
      </c>
      <c r="G245" s="0" t="str">
        <f aca="false">IF(INDEX(customer_churn_dataset!$M$2:$M$1501,MATCH($A246,customer_churn_dataset!$A$2:$A$1501,0))=1,"Yes","No")</f>
        <v>No</v>
      </c>
      <c r="H245" s="0" t="n">
        <f aca="false">INDEX(customer_churn_dataset!$N$2:$N$1501,MATCH($A246,customer_churn_dataset!$A$2:$A$1501,0))</f>
        <v>41.2</v>
      </c>
      <c r="I245" s="0" t="n">
        <f aca="false">INDEX(customer_churn_dataset!$O$2:$O$1501,MATCH($A246,customer_churn_dataset!$A$2:$A$1501,0))</f>
        <v>1</v>
      </c>
      <c r="J245" s="0" t="n">
        <f aca="false">INDEX(customer_churn_dataset!$T$2:$T$1501,MATCH($A246,customer_churn_dataset!$A$2:$A$1501,0))</f>
        <v>4</v>
      </c>
      <c r="K245" s="0" t="str">
        <f aca="false">INDEX(customer_churn_dataset!$V$2:$V$1501,MATCH($A246,customer_churn_dataset!$A$2:$A$1501,0))</f>
        <v>Medium Risk</v>
      </c>
    </row>
    <row r="246" customFormat="false" ht="12.8" hidden="true" customHeight="false" outlineLevel="0" collapsed="false">
      <c r="A246" s="22" t="str">
        <f aca="false">customer_churn_dataset!A670</f>
        <v>CUST100290</v>
      </c>
      <c r="B246" s="22" t="str">
        <f aca="false">customer_churn_dataset!B670</f>
        <v>Basic</v>
      </c>
      <c r="C246" s="22" t="str">
        <f aca="false">customer_churn_dataset!C670</f>
        <v>Month-to-month</v>
      </c>
      <c r="D246" s="0" t="n">
        <f aca="false">INDEX(customer_churn_dataset!$E$2:$E$1501,MATCH($A247,customer_churn_dataset!$A$2:$A$1501,0))</f>
        <v>3</v>
      </c>
      <c r="E246" s="0" t="n">
        <f aca="false">INDEX(customer_churn_dataset!$I$2:$I$1501,MATCH($A247,customer_churn_dataset!$A$2:$A$1501,0))</f>
        <v>62.1</v>
      </c>
      <c r="F246" s="0" t="n">
        <f aca="false">INDEX(customer_churn_dataset!$L$2:$L$1501,MATCH($A247,customer_churn_dataset!$A$2:$A$1501,0))</f>
        <v>5</v>
      </c>
      <c r="G246" s="0" t="str">
        <f aca="false">IF(INDEX(customer_churn_dataset!$M$2:$M$1501,MATCH($A247,customer_churn_dataset!$A$2:$A$1501,0))=1,"Yes","No")</f>
        <v>Yes</v>
      </c>
      <c r="H246" s="0" t="n">
        <f aca="false">INDEX(customer_churn_dataset!$N$2:$N$1501,MATCH($A247,customer_churn_dataset!$A$2:$A$1501,0))</f>
        <v>31.98</v>
      </c>
      <c r="I246" s="0" t="n">
        <f aca="false">INDEX(customer_churn_dataset!$O$2:$O$1501,MATCH($A247,customer_churn_dataset!$A$2:$A$1501,0))</f>
        <v>0</v>
      </c>
      <c r="J246" s="0" t="n">
        <f aca="false">INDEX(customer_churn_dataset!$T$2:$T$1501,MATCH($A247,customer_churn_dataset!$A$2:$A$1501,0))</f>
        <v>7</v>
      </c>
      <c r="K246" s="0" t="str">
        <f aca="false">INDEX(customer_churn_dataset!$V$2:$V$1501,MATCH($A247,customer_churn_dataset!$A$2:$A$1501,0))</f>
        <v>High Risk</v>
      </c>
    </row>
    <row r="247" customFormat="false" ht="12.8" hidden="true" customHeight="false" outlineLevel="0" collapsed="false">
      <c r="A247" s="22" t="str">
        <f aca="false">customer_churn_dataset!A680</f>
        <v>CUST101118</v>
      </c>
      <c r="B247" s="22" t="str">
        <f aca="false">customer_churn_dataset!B680</f>
        <v>Basic</v>
      </c>
      <c r="C247" s="22" t="str">
        <f aca="false">customer_churn_dataset!C680</f>
        <v>Month-to-month</v>
      </c>
      <c r="D247" s="0" t="n">
        <f aca="false">INDEX(customer_churn_dataset!$E$2:$E$1501,MATCH($A248,customer_churn_dataset!$A$2:$A$1501,0))</f>
        <v>0</v>
      </c>
      <c r="E247" s="0" t="n">
        <f aca="false">INDEX(customer_churn_dataset!$I$2:$I$1501,MATCH($A248,customer_churn_dataset!$A$2:$A$1501,0))</f>
        <v>57.5</v>
      </c>
      <c r="F247" s="0" t="n">
        <f aca="false">INDEX(customer_churn_dataset!$L$2:$L$1501,MATCH($A248,customer_churn_dataset!$A$2:$A$1501,0))</f>
        <v>1</v>
      </c>
      <c r="G247" s="0" t="str">
        <f aca="false">IF(INDEX(customer_churn_dataset!$M$2:$M$1501,MATCH($A248,customer_churn_dataset!$A$2:$A$1501,0))=1,"Yes","No")</f>
        <v>No</v>
      </c>
      <c r="H247" s="0" t="n">
        <f aca="false">INDEX(customer_churn_dataset!$N$2:$N$1501,MATCH($A248,customer_churn_dataset!$A$2:$A$1501,0))</f>
        <v>0</v>
      </c>
      <c r="I247" s="0" t="n">
        <f aca="false">INDEX(customer_churn_dataset!$O$2:$O$1501,MATCH($A248,customer_churn_dataset!$A$2:$A$1501,0))</f>
        <v>0</v>
      </c>
      <c r="J247" s="0" t="n">
        <f aca="false">INDEX(customer_churn_dataset!$T$2:$T$1501,MATCH($A248,customer_churn_dataset!$A$2:$A$1501,0))</f>
        <v>2</v>
      </c>
      <c r="K247" s="0" t="str">
        <f aca="false">INDEX(customer_churn_dataset!$V$2:$V$1501,MATCH($A248,customer_churn_dataset!$A$2:$A$1501,0))</f>
        <v>Low Risk</v>
      </c>
    </row>
    <row r="248" customFormat="false" ht="12.8" hidden="true" customHeight="false" outlineLevel="0" collapsed="false">
      <c r="A248" s="22" t="str">
        <f aca="false">customer_churn_dataset!A683</f>
        <v>CUST100473</v>
      </c>
      <c r="B248" s="22" t="str">
        <f aca="false">customer_churn_dataset!B683</f>
        <v>Premium</v>
      </c>
      <c r="C248" s="22" t="str">
        <f aca="false">customer_churn_dataset!C683</f>
        <v>One year</v>
      </c>
      <c r="D248" s="0" t="n">
        <f aca="false">INDEX(customer_churn_dataset!$E$2:$E$1501,MATCH($A249,customer_churn_dataset!$A$2:$A$1501,0))</f>
        <v>1</v>
      </c>
      <c r="E248" s="0" t="n">
        <f aca="false">INDEX(customer_churn_dataset!$I$2:$I$1501,MATCH($A249,customer_churn_dataset!$A$2:$A$1501,0))</f>
        <v>46.2</v>
      </c>
      <c r="F248" s="0" t="n">
        <f aca="false">INDEX(customer_churn_dataset!$L$2:$L$1501,MATCH($A249,customer_churn_dataset!$A$2:$A$1501,0))</f>
        <v>0</v>
      </c>
      <c r="G248" s="0" t="str">
        <f aca="false">IF(INDEX(customer_churn_dataset!$M$2:$M$1501,MATCH($A249,customer_churn_dataset!$A$2:$A$1501,0))=1,"Yes","No")</f>
        <v>No</v>
      </c>
      <c r="H248" s="0" t="n">
        <f aca="false">INDEX(customer_churn_dataset!$N$2:$N$1501,MATCH($A249,customer_churn_dataset!$A$2:$A$1501,0))</f>
        <v>41.43</v>
      </c>
      <c r="I248" s="0" t="n">
        <f aca="false">INDEX(customer_churn_dataset!$O$2:$O$1501,MATCH($A249,customer_churn_dataset!$A$2:$A$1501,0))</f>
        <v>0</v>
      </c>
      <c r="J248" s="0" t="n">
        <f aca="false">INDEX(customer_churn_dataset!$T$2:$T$1501,MATCH($A249,customer_churn_dataset!$A$2:$A$1501,0))</f>
        <v>2</v>
      </c>
      <c r="K248" s="0" t="str">
        <f aca="false">INDEX(customer_churn_dataset!$V$2:$V$1501,MATCH($A249,customer_churn_dataset!$A$2:$A$1501,0))</f>
        <v>Low Risk</v>
      </c>
    </row>
    <row r="249" customFormat="false" ht="12.8" hidden="true" customHeight="false" outlineLevel="0" collapsed="false">
      <c r="A249" s="22" t="str">
        <f aca="false">customer_churn_dataset!A690</f>
        <v>CUST101333</v>
      </c>
      <c r="B249" s="22" t="str">
        <f aca="false">customer_churn_dataset!B690</f>
        <v>Premium</v>
      </c>
      <c r="C249" s="22" t="str">
        <f aca="false">customer_churn_dataset!C690</f>
        <v>Two year</v>
      </c>
      <c r="D249" s="0" t="n">
        <f aca="false">INDEX(customer_churn_dataset!$E$2:$E$1501,MATCH($A250,customer_churn_dataset!$A$2:$A$1501,0))</f>
        <v>21</v>
      </c>
      <c r="E249" s="0" t="n">
        <f aca="false">INDEX(customer_churn_dataset!$I$2:$I$1501,MATCH($A250,customer_churn_dataset!$A$2:$A$1501,0))</f>
        <v>57.2</v>
      </c>
      <c r="F249" s="0" t="n">
        <f aca="false">INDEX(customer_churn_dataset!$L$2:$L$1501,MATCH($A250,customer_churn_dataset!$A$2:$A$1501,0))</f>
        <v>1</v>
      </c>
      <c r="G249" s="0" t="str">
        <f aca="false">IF(INDEX(customer_churn_dataset!$M$2:$M$1501,MATCH($A250,customer_churn_dataset!$A$2:$A$1501,0))=1,"Yes","No")</f>
        <v>No</v>
      </c>
      <c r="H249" s="0" t="n">
        <f aca="false">INDEX(customer_churn_dataset!$N$2:$N$1501,MATCH($A250,customer_churn_dataset!$A$2:$A$1501,0))</f>
        <v>433.86</v>
      </c>
      <c r="I249" s="0" t="n">
        <f aca="false">INDEX(customer_churn_dataset!$O$2:$O$1501,MATCH($A250,customer_churn_dataset!$A$2:$A$1501,0))</f>
        <v>0</v>
      </c>
      <c r="J249" s="0" t="n">
        <f aca="false">INDEX(customer_churn_dataset!$T$2:$T$1501,MATCH($A250,customer_churn_dataset!$A$2:$A$1501,0))</f>
        <v>2</v>
      </c>
      <c r="K249" s="0" t="str">
        <f aca="false">INDEX(customer_churn_dataset!$V$2:$V$1501,MATCH($A250,customer_churn_dataset!$A$2:$A$1501,0))</f>
        <v>Low Risk</v>
      </c>
    </row>
    <row r="250" customFormat="false" ht="12.8" hidden="true" customHeight="false" outlineLevel="0" collapsed="false">
      <c r="A250" s="22" t="str">
        <f aca="false">customer_churn_dataset!A696</f>
        <v>CUST100633</v>
      </c>
      <c r="B250" s="22" t="str">
        <f aca="false">customer_churn_dataset!B696</f>
        <v>Standard</v>
      </c>
      <c r="C250" s="22" t="str">
        <f aca="false">customer_churn_dataset!C696</f>
        <v>Month-to-month</v>
      </c>
      <c r="D250" s="0" t="n">
        <f aca="false">INDEX(customer_churn_dataset!$E$2:$E$1501,MATCH($A251,customer_churn_dataset!$A$2:$A$1501,0))</f>
        <v>25</v>
      </c>
      <c r="E250" s="0" t="n">
        <f aca="false">INDEX(customer_churn_dataset!$I$2:$I$1501,MATCH($A251,customer_churn_dataset!$A$2:$A$1501,0))</f>
        <v>52.3</v>
      </c>
      <c r="F250" s="0" t="n">
        <f aca="false">INDEX(customer_churn_dataset!$L$2:$L$1501,MATCH($A251,customer_churn_dataset!$A$2:$A$1501,0))</f>
        <v>2</v>
      </c>
      <c r="G250" s="0" t="str">
        <f aca="false">IF(INDEX(customer_churn_dataset!$M$2:$M$1501,MATCH($A251,customer_churn_dataset!$A$2:$A$1501,0))=1,"Yes","No")</f>
        <v>No</v>
      </c>
      <c r="H250" s="0" t="n">
        <f aca="false">INDEX(customer_churn_dataset!$N$2:$N$1501,MATCH($A251,customer_churn_dataset!$A$2:$A$1501,0))</f>
        <v>253.25</v>
      </c>
      <c r="I250" s="0" t="n">
        <f aca="false">INDEX(customer_churn_dataset!$O$2:$O$1501,MATCH($A251,customer_churn_dataset!$A$2:$A$1501,0))</f>
        <v>0</v>
      </c>
      <c r="J250" s="0" t="n">
        <f aca="false">INDEX(customer_churn_dataset!$T$2:$T$1501,MATCH($A251,customer_churn_dataset!$A$2:$A$1501,0))</f>
        <v>3</v>
      </c>
      <c r="K250" s="0" t="str">
        <f aca="false">INDEX(customer_churn_dataset!$V$2:$V$1501,MATCH($A251,customer_churn_dataset!$A$2:$A$1501,0))</f>
        <v>Medium Risk</v>
      </c>
    </row>
    <row r="251" customFormat="false" ht="12.8" hidden="true" customHeight="false" outlineLevel="0" collapsed="false">
      <c r="A251" s="22" t="str">
        <f aca="false">customer_churn_dataset!A699</f>
        <v>CUST100370</v>
      </c>
      <c r="B251" s="22" t="str">
        <f aca="false">customer_churn_dataset!B699</f>
        <v>Basic</v>
      </c>
      <c r="C251" s="22" t="str">
        <f aca="false">customer_churn_dataset!C699</f>
        <v>One year</v>
      </c>
      <c r="D251" s="0" t="n">
        <f aca="false">INDEX(customer_churn_dataset!$E$2:$E$1501,MATCH($A252,customer_churn_dataset!$A$2:$A$1501,0))</f>
        <v>13</v>
      </c>
      <c r="E251" s="0" t="n">
        <f aca="false">INDEX(customer_churn_dataset!$I$2:$I$1501,MATCH($A252,customer_churn_dataset!$A$2:$A$1501,0))</f>
        <v>56.2</v>
      </c>
      <c r="F251" s="0" t="n">
        <f aca="false">INDEX(customer_churn_dataset!$L$2:$L$1501,MATCH($A252,customer_churn_dataset!$A$2:$A$1501,0))</f>
        <v>2</v>
      </c>
      <c r="G251" s="0" t="str">
        <f aca="false">IF(INDEX(customer_churn_dataset!$M$2:$M$1501,MATCH($A252,customer_churn_dataset!$A$2:$A$1501,0))=1,"Yes","No")</f>
        <v>No</v>
      </c>
      <c r="H251" s="0" t="n">
        <f aca="false">INDEX(customer_churn_dataset!$N$2:$N$1501,MATCH($A252,customer_churn_dataset!$A$2:$A$1501,0))</f>
        <v>510.12</v>
      </c>
      <c r="I251" s="0" t="n">
        <f aca="false">INDEX(customer_churn_dataset!$O$2:$O$1501,MATCH($A252,customer_churn_dataset!$A$2:$A$1501,0))</f>
        <v>0</v>
      </c>
      <c r="J251" s="0" t="n">
        <f aca="false">INDEX(customer_churn_dataset!$T$2:$T$1501,MATCH($A252,customer_churn_dataset!$A$2:$A$1501,0))</f>
        <v>3</v>
      </c>
      <c r="K251" s="0" t="str">
        <f aca="false">INDEX(customer_churn_dataset!$V$2:$V$1501,MATCH($A252,customer_churn_dataset!$A$2:$A$1501,0))</f>
        <v>Medium Risk</v>
      </c>
    </row>
    <row r="252" customFormat="false" ht="12.8" hidden="true" customHeight="false" outlineLevel="0" collapsed="false">
      <c r="A252" s="22" t="str">
        <f aca="false">customer_churn_dataset!A707</f>
        <v>CUST100401</v>
      </c>
      <c r="B252" s="22" t="str">
        <f aca="false">customer_churn_dataset!B707</f>
        <v>Premium</v>
      </c>
      <c r="C252" s="22" t="str">
        <f aca="false">customer_churn_dataset!C707</f>
        <v>Month-to-month</v>
      </c>
      <c r="D252" s="0" t="n">
        <f aca="false">INDEX(customer_churn_dataset!$E$2:$E$1501,MATCH($A253,customer_churn_dataset!$A$2:$A$1501,0))</f>
        <v>5</v>
      </c>
      <c r="E252" s="0" t="n">
        <f aca="false">INDEX(customer_churn_dataset!$I$2:$I$1501,MATCH($A253,customer_churn_dataset!$A$2:$A$1501,0))</f>
        <v>40.6</v>
      </c>
      <c r="F252" s="0" t="n">
        <f aca="false">INDEX(customer_churn_dataset!$L$2:$L$1501,MATCH($A253,customer_churn_dataset!$A$2:$A$1501,0))</f>
        <v>1</v>
      </c>
      <c r="G252" s="0" t="str">
        <f aca="false">IF(INDEX(customer_churn_dataset!$M$2:$M$1501,MATCH($A253,customer_churn_dataset!$A$2:$A$1501,0))=1,"Yes","No")</f>
        <v>Yes</v>
      </c>
      <c r="H252" s="0" t="n">
        <f aca="false">INDEX(customer_churn_dataset!$N$2:$N$1501,MATCH($A253,customer_churn_dataset!$A$2:$A$1501,0))</f>
        <v>52.3</v>
      </c>
      <c r="I252" s="0" t="n">
        <f aca="false">INDEX(customer_churn_dataset!$O$2:$O$1501,MATCH($A253,customer_churn_dataset!$A$2:$A$1501,0))</f>
        <v>0</v>
      </c>
      <c r="J252" s="0" t="n">
        <f aca="false">INDEX(customer_churn_dataset!$T$2:$T$1501,MATCH($A253,customer_churn_dataset!$A$2:$A$1501,0))</f>
        <v>5</v>
      </c>
      <c r="K252" s="0" t="str">
        <f aca="false">INDEX(customer_churn_dataset!$V$2:$V$1501,MATCH($A253,customer_churn_dataset!$A$2:$A$1501,0))</f>
        <v>Medium Risk</v>
      </c>
    </row>
    <row r="253" customFormat="false" ht="12.8" hidden="true" customHeight="false" outlineLevel="0" collapsed="false">
      <c r="A253" s="22" t="str">
        <f aca="false">customer_churn_dataset!A710</f>
        <v>CUST100149</v>
      </c>
      <c r="B253" s="22" t="str">
        <f aca="false">customer_churn_dataset!B710</f>
        <v>Basic</v>
      </c>
      <c r="C253" s="22" t="str">
        <f aca="false">customer_churn_dataset!C710</f>
        <v>Two year</v>
      </c>
      <c r="D253" s="0" t="n">
        <f aca="false">INDEX(customer_churn_dataset!$E$2:$E$1501,MATCH($A254,customer_churn_dataset!$A$2:$A$1501,0))</f>
        <v>13</v>
      </c>
      <c r="E253" s="0" t="n">
        <f aca="false">INDEX(customer_churn_dataset!$I$2:$I$1501,MATCH($A254,customer_churn_dataset!$A$2:$A$1501,0))</f>
        <v>40.4</v>
      </c>
      <c r="F253" s="0" t="n">
        <f aca="false">INDEX(customer_churn_dataset!$L$2:$L$1501,MATCH($A254,customer_churn_dataset!$A$2:$A$1501,0))</f>
        <v>2</v>
      </c>
      <c r="G253" s="0" t="str">
        <f aca="false">IF(INDEX(customer_churn_dataset!$M$2:$M$1501,MATCH($A254,customer_churn_dataset!$A$2:$A$1501,0))=1,"Yes","No")</f>
        <v>Yes</v>
      </c>
      <c r="H253" s="0" t="n">
        <f aca="false">INDEX(customer_churn_dataset!$N$2:$N$1501,MATCH($A254,customer_churn_dataset!$A$2:$A$1501,0))</f>
        <v>145.73</v>
      </c>
      <c r="I253" s="0" t="n">
        <f aca="false">INDEX(customer_churn_dataset!$O$2:$O$1501,MATCH($A254,customer_churn_dataset!$A$2:$A$1501,0))</f>
        <v>1</v>
      </c>
      <c r="J253" s="0" t="n">
        <f aca="false">INDEX(customer_churn_dataset!$T$2:$T$1501,MATCH($A254,customer_churn_dataset!$A$2:$A$1501,0))</f>
        <v>7</v>
      </c>
      <c r="K253" s="0" t="str">
        <f aca="false">INDEX(customer_churn_dataset!$V$2:$V$1501,MATCH($A254,customer_churn_dataset!$A$2:$A$1501,0))</f>
        <v>High Risk</v>
      </c>
    </row>
    <row r="254" customFormat="false" ht="12.8" hidden="true" customHeight="false" outlineLevel="0" collapsed="false">
      <c r="A254" s="22" t="str">
        <f aca="false">customer_churn_dataset!A714</f>
        <v>CUST101423</v>
      </c>
      <c r="B254" s="22" t="str">
        <f aca="false">customer_churn_dataset!B714</f>
        <v>Basic</v>
      </c>
      <c r="C254" s="22" t="str">
        <f aca="false">customer_churn_dataset!C714</f>
        <v>Month-to-month</v>
      </c>
      <c r="D254" s="0" t="n">
        <f aca="false">INDEX(customer_churn_dataset!$E$2:$E$1501,MATCH($A255,customer_churn_dataset!$A$2:$A$1501,0))</f>
        <v>37</v>
      </c>
      <c r="E254" s="0" t="n">
        <f aca="false">INDEX(customer_churn_dataset!$I$2:$I$1501,MATCH($A255,customer_churn_dataset!$A$2:$A$1501,0))</f>
        <v>56.9</v>
      </c>
      <c r="F254" s="0" t="n">
        <f aca="false">INDEX(customer_churn_dataset!$L$2:$L$1501,MATCH($A255,customer_churn_dataset!$A$2:$A$1501,0))</f>
        <v>0</v>
      </c>
      <c r="G254" s="0" t="str">
        <f aca="false">IF(INDEX(customer_churn_dataset!$M$2:$M$1501,MATCH($A255,customer_churn_dataset!$A$2:$A$1501,0))=1,"Yes","No")</f>
        <v>No</v>
      </c>
      <c r="H254" s="0" t="n">
        <f aca="false">INDEX(customer_churn_dataset!$N$2:$N$1501,MATCH($A255,customer_churn_dataset!$A$2:$A$1501,0))</f>
        <v>710.4</v>
      </c>
      <c r="I254" s="0" t="n">
        <f aca="false">INDEX(customer_churn_dataset!$O$2:$O$1501,MATCH($A255,customer_churn_dataset!$A$2:$A$1501,0))</f>
        <v>0</v>
      </c>
      <c r="J254" s="0" t="n">
        <f aca="false">INDEX(customer_churn_dataset!$T$2:$T$1501,MATCH($A255,customer_churn_dataset!$A$2:$A$1501,0))</f>
        <v>1</v>
      </c>
      <c r="K254" s="0" t="str">
        <f aca="false">INDEX(customer_churn_dataset!$V$2:$V$1501,MATCH($A255,customer_churn_dataset!$A$2:$A$1501,0))</f>
        <v>Low Risk</v>
      </c>
    </row>
    <row r="255" customFormat="false" ht="12.8" hidden="true" customHeight="false" outlineLevel="0" collapsed="false">
      <c r="A255" s="22" t="str">
        <f aca="false">customer_churn_dataset!A718</f>
        <v>CUST100756</v>
      </c>
      <c r="B255" s="22" t="str">
        <f aca="false">customer_churn_dataset!B718</f>
        <v>Standard</v>
      </c>
      <c r="C255" s="22" t="str">
        <f aca="false">customer_churn_dataset!C718</f>
        <v>One year</v>
      </c>
      <c r="D255" s="0" t="n">
        <f aca="false">INDEX(customer_churn_dataset!$E$2:$E$1501,MATCH($A256,customer_churn_dataset!$A$2:$A$1501,0))</f>
        <v>12</v>
      </c>
      <c r="E255" s="0" t="n">
        <f aca="false">INDEX(customer_churn_dataset!$I$2:$I$1501,MATCH($A256,customer_churn_dataset!$A$2:$A$1501,0))</f>
        <v>78.3</v>
      </c>
      <c r="F255" s="0" t="n">
        <f aca="false">INDEX(customer_churn_dataset!$L$2:$L$1501,MATCH($A256,customer_churn_dataset!$A$2:$A$1501,0))</f>
        <v>1</v>
      </c>
      <c r="G255" s="0" t="str">
        <f aca="false">IF(INDEX(customer_churn_dataset!$M$2:$M$1501,MATCH($A256,customer_churn_dataset!$A$2:$A$1501,0))=1,"Yes","No")</f>
        <v>No</v>
      </c>
      <c r="H255" s="0" t="n">
        <f aca="false">INDEX(customer_churn_dataset!$N$2:$N$1501,MATCH($A256,customer_churn_dataset!$A$2:$A$1501,0))</f>
        <v>129.24</v>
      </c>
      <c r="I255" s="0" t="n">
        <f aca="false">INDEX(customer_churn_dataset!$O$2:$O$1501,MATCH($A256,customer_churn_dataset!$A$2:$A$1501,0))</f>
        <v>0</v>
      </c>
      <c r="J255" s="0" t="n">
        <f aca="false">INDEX(customer_churn_dataset!$T$2:$T$1501,MATCH($A256,customer_churn_dataset!$A$2:$A$1501,0))</f>
        <v>2</v>
      </c>
      <c r="K255" s="0" t="str">
        <f aca="false">INDEX(customer_churn_dataset!$V$2:$V$1501,MATCH($A256,customer_churn_dataset!$A$2:$A$1501,0))</f>
        <v>Low Risk</v>
      </c>
    </row>
    <row r="256" customFormat="false" ht="12.8" hidden="true" customHeight="false" outlineLevel="0" collapsed="false">
      <c r="A256" s="22" t="str">
        <f aca="false">customer_churn_dataset!A722</f>
        <v>CUST100713</v>
      </c>
      <c r="B256" s="22" t="str">
        <f aca="false">customer_churn_dataset!B722</f>
        <v>Basic</v>
      </c>
      <c r="C256" s="22" t="str">
        <f aca="false">customer_churn_dataset!C722</f>
        <v>Month-to-month</v>
      </c>
      <c r="D256" s="0" t="n">
        <f aca="false">INDEX(customer_churn_dataset!$E$2:$E$1501,MATCH($A257,customer_churn_dataset!$A$2:$A$1501,0))</f>
        <v>72</v>
      </c>
      <c r="E256" s="0" t="n">
        <f aca="false">INDEX(customer_churn_dataset!$I$2:$I$1501,MATCH($A257,customer_churn_dataset!$A$2:$A$1501,0))</f>
        <v>91.4</v>
      </c>
      <c r="F256" s="0" t="n">
        <f aca="false">INDEX(customer_churn_dataset!$L$2:$L$1501,MATCH($A257,customer_churn_dataset!$A$2:$A$1501,0))</f>
        <v>0</v>
      </c>
      <c r="G256" s="0" t="str">
        <f aca="false">IF(INDEX(customer_churn_dataset!$M$2:$M$1501,MATCH($A257,customer_churn_dataset!$A$2:$A$1501,0))=1,"Yes","No")</f>
        <v>No</v>
      </c>
      <c r="H256" s="0" t="n">
        <f aca="false">INDEX(customer_churn_dataset!$N$2:$N$1501,MATCH($A257,customer_churn_dataset!$A$2:$A$1501,0))</f>
        <v>738.72</v>
      </c>
      <c r="I256" s="0" t="n">
        <f aca="false">INDEX(customer_churn_dataset!$O$2:$O$1501,MATCH($A257,customer_churn_dataset!$A$2:$A$1501,0))</f>
        <v>0</v>
      </c>
      <c r="J256" s="0" t="n">
        <f aca="false">INDEX(customer_churn_dataset!$T$2:$T$1501,MATCH($A257,customer_churn_dataset!$A$2:$A$1501,0))</f>
        <v>0</v>
      </c>
      <c r="K256" s="0" t="str">
        <f aca="false">INDEX(customer_churn_dataset!$V$2:$V$1501,MATCH($A257,customer_churn_dataset!$A$2:$A$1501,0))</f>
        <v>Low Risk</v>
      </c>
    </row>
    <row r="257" customFormat="false" ht="12.8" hidden="true" customHeight="false" outlineLevel="0" collapsed="false">
      <c r="A257" s="22" t="str">
        <f aca="false">customer_churn_dataset!A726</f>
        <v>CUST101055</v>
      </c>
      <c r="B257" s="22" t="str">
        <f aca="false">customer_churn_dataset!B726</f>
        <v>Basic</v>
      </c>
      <c r="C257" s="22" t="str">
        <f aca="false">customer_churn_dataset!C726</f>
        <v>Two year</v>
      </c>
      <c r="D257" s="0" t="n">
        <f aca="false">INDEX(customer_churn_dataset!$E$2:$E$1501,MATCH($A258,customer_churn_dataset!$A$2:$A$1501,0))</f>
        <v>4</v>
      </c>
      <c r="E257" s="0" t="n">
        <f aca="false">INDEX(customer_churn_dataset!$I$2:$I$1501,MATCH($A258,customer_churn_dataset!$A$2:$A$1501,0))</f>
        <v>0</v>
      </c>
      <c r="F257" s="0" t="n">
        <f aca="false">INDEX(customer_churn_dataset!$L$2:$L$1501,MATCH($A258,customer_churn_dataset!$A$2:$A$1501,0))</f>
        <v>2</v>
      </c>
      <c r="G257" s="0" t="str">
        <f aca="false">IF(INDEX(customer_churn_dataset!$M$2:$M$1501,MATCH($A258,customer_churn_dataset!$A$2:$A$1501,0))=1,"Yes","No")</f>
        <v>No</v>
      </c>
      <c r="H257" s="0" t="n">
        <f aca="false">INDEX(customer_churn_dataset!$N$2:$N$1501,MATCH($A258,customer_churn_dataset!$A$2:$A$1501,0))</f>
        <v>44.72</v>
      </c>
      <c r="I257" s="0" t="n">
        <f aca="false">INDEX(customer_churn_dataset!$O$2:$O$1501,MATCH($A258,customer_churn_dataset!$A$2:$A$1501,0))</f>
        <v>0</v>
      </c>
      <c r="J257" s="0" t="n">
        <f aca="false">INDEX(customer_churn_dataset!$T$2:$T$1501,MATCH($A258,customer_churn_dataset!$A$2:$A$1501,0))</f>
        <v>4</v>
      </c>
      <c r="K257" s="0" t="str">
        <f aca="false">INDEX(customer_churn_dataset!$V$2:$V$1501,MATCH($A258,customer_churn_dataset!$A$2:$A$1501,0))</f>
        <v>Medium Risk</v>
      </c>
    </row>
    <row r="258" customFormat="false" ht="12.8" hidden="true" customHeight="false" outlineLevel="0" collapsed="false">
      <c r="A258" s="22" t="str">
        <f aca="false">customer_churn_dataset!A728</f>
        <v>CUST101105</v>
      </c>
      <c r="B258" s="22" t="str">
        <f aca="false">customer_churn_dataset!B728</f>
        <v>Basic</v>
      </c>
      <c r="C258" s="22" t="str">
        <f aca="false">customer_churn_dataset!C728</f>
        <v>Two year</v>
      </c>
      <c r="D258" s="0" t="n">
        <f aca="false">INDEX(customer_churn_dataset!$E$2:$E$1501,MATCH($A259,customer_churn_dataset!$A$2:$A$1501,0))</f>
        <v>1</v>
      </c>
      <c r="E258" s="0" t="n">
        <f aca="false">INDEX(customer_churn_dataset!$I$2:$I$1501,MATCH($A259,customer_churn_dataset!$A$2:$A$1501,0))</f>
        <v>58.9</v>
      </c>
      <c r="F258" s="0" t="n">
        <f aca="false">INDEX(customer_churn_dataset!$L$2:$L$1501,MATCH($A259,customer_churn_dataset!$A$2:$A$1501,0))</f>
        <v>2</v>
      </c>
      <c r="G258" s="0" t="str">
        <f aca="false">IF(INDEX(customer_churn_dataset!$M$2:$M$1501,MATCH($A259,customer_churn_dataset!$A$2:$A$1501,0))=1,"Yes","No")</f>
        <v>No</v>
      </c>
      <c r="H258" s="0" t="n">
        <f aca="false">INDEX(customer_churn_dataset!$N$2:$N$1501,MATCH($A259,customer_churn_dataset!$A$2:$A$1501,0))</f>
        <v>21.14</v>
      </c>
      <c r="I258" s="0" t="n">
        <f aca="false">INDEX(customer_churn_dataset!$O$2:$O$1501,MATCH($A259,customer_churn_dataset!$A$2:$A$1501,0))</f>
        <v>0</v>
      </c>
      <c r="J258" s="0" t="n">
        <f aca="false">INDEX(customer_churn_dataset!$T$2:$T$1501,MATCH($A259,customer_churn_dataset!$A$2:$A$1501,0))</f>
        <v>4</v>
      </c>
      <c r="K258" s="0" t="str">
        <f aca="false">INDEX(customer_churn_dataset!$V$2:$V$1501,MATCH($A259,customer_churn_dataset!$A$2:$A$1501,0))</f>
        <v>Medium Risk</v>
      </c>
    </row>
    <row r="259" customFormat="false" ht="12.8" hidden="true" customHeight="false" outlineLevel="0" collapsed="false">
      <c r="A259" s="22" t="str">
        <f aca="false">customer_churn_dataset!A730</f>
        <v>CUST100421</v>
      </c>
      <c r="B259" s="22" t="str">
        <f aca="false">customer_churn_dataset!B730</f>
        <v>Standard</v>
      </c>
      <c r="C259" s="22" t="str">
        <f aca="false">customer_churn_dataset!C730</f>
        <v>Month-to-month</v>
      </c>
      <c r="D259" s="0" t="n">
        <f aca="false">INDEX(customer_churn_dataset!$E$2:$E$1501,MATCH($A260,customer_churn_dataset!$A$2:$A$1501,0))</f>
        <v>17</v>
      </c>
      <c r="E259" s="0" t="n">
        <f aca="false">INDEX(customer_churn_dataset!$I$2:$I$1501,MATCH($A260,customer_churn_dataset!$A$2:$A$1501,0))</f>
        <v>57.5</v>
      </c>
      <c r="F259" s="0" t="n">
        <f aca="false">INDEX(customer_churn_dataset!$L$2:$L$1501,MATCH($A260,customer_churn_dataset!$A$2:$A$1501,0))</f>
        <v>3</v>
      </c>
      <c r="G259" s="0" t="str">
        <f aca="false">IF(INDEX(customer_churn_dataset!$M$2:$M$1501,MATCH($A260,customer_churn_dataset!$A$2:$A$1501,0))=1,"Yes","No")</f>
        <v>No</v>
      </c>
      <c r="H259" s="0" t="n">
        <f aca="false">INDEX(customer_churn_dataset!$N$2:$N$1501,MATCH($A260,customer_churn_dataset!$A$2:$A$1501,0))</f>
        <v>710.43</v>
      </c>
      <c r="I259" s="0" t="n">
        <f aca="false">INDEX(customer_churn_dataset!$O$2:$O$1501,MATCH($A260,customer_churn_dataset!$A$2:$A$1501,0))</f>
        <v>0</v>
      </c>
      <c r="J259" s="0" t="n">
        <f aca="false">INDEX(customer_churn_dataset!$T$2:$T$1501,MATCH($A260,customer_churn_dataset!$A$2:$A$1501,0))</f>
        <v>1</v>
      </c>
      <c r="K259" s="0" t="str">
        <f aca="false">INDEX(customer_churn_dataset!$V$2:$V$1501,MATCH($A260,customer_churn_dataset!$A$2:$A$1501,0))</f>
        <v>Low Risk</v>
      </c>
    </row>
    <row r="260" customFormat="false" ht="12.8" hidden="true" customHeight="false" outlineLevel="0" collapsed="false">
      <c r="A260" s="22" t="str">
        <f aca="false">customer_churn_dataset!A733</f>
        <v>CUST101151</v>
      </c>
      <c r="B260" s="22" t="str">
        <f aca="false">customer_churn_dataset!B733</f>
        <v>Premium</v>
      </c>
      <c r="C260" s="22" t="str">
        <f aca="false">customer_churn_dataset!C733</f>
        <v>Two year</v>
      </c>
      <c r="D260" s="0" t="n">
        <f aca="false">INDEX(customer_churn_dataset!$E$2:$E$1501,MATCH($A261,customer_churn_dataset!$A$2:$A$1501,0))</f>
        <v>6</v>
      </c>
      <c r="E260" s="0" t="n">
        <f aca="false">INDEX(customer_churn_dataset!$I$2:$I$1501,MATCH($A261,customer_churn_dataset!$A$2:$A$1501,0))</f>
        <v>78.4</v>
      </c>
      <c r="F260" s="0" t="n">
        <f aca="false">INDEX(customer_churn_dataset!$L$2:$L$1501,MATCH($A261,customer_churn_dataset!$A$2:$A$1501,0))</f>
        <v>2</v>
      </c>
      <c r="G260" s="0" t="str">
        <f aca="false">IF(INDEX(customer_churn_dataset!$M$2:$M$1501,MATCH($A261,customer_churn_dataset!$A$2:$A$1501,0))=1,"Yes","No")</f>
        <v>No</v>
      </c>
      <c r="H260" s="0" t="n">
        <f aca="false">INDEX(customer_churn_dataset!$N$2:$N$1501,MATCH($A261,customer_churn_dataset!$A$2:$A$1501,0))</f>
        <v>253.32</v>
      </c>
      <c r="I260" s="0" t="n">
        <f aca="false">INDEX(customer_churn_dataset!$O$2:$O$1501,MATCH($A261,customer_churn_dataset!$A$2:$A$1501,0))</f>
        <v>0</v>
      </c>
      <c r="J260" s="0" t="n">
        <f aca="false">INDEX(customer_churn_dataset!$T$2:$T$1501,MATCH($A261,customer_churn_dataset!$A$2:$A$1501,0))</f>
        <v>4</v>
      </c>
      <c r="K260" s="0" t="str">
        <f aca="false">INDEX(customer_churn_dataset!$V$2:$V$1501,MATCH($A261,customer_churn_dataset!$A$2:$A$1501,0))</f>
        <v>Medium Risk</v>
      </c>
    </row>
    <row r="261" customFormat="false" ht="12.8" hidden="false" customHeight="false" outlineLevel="0" collapsed="false">
      <c r="A261" s="23" t="str">
        <f aca="false">customer_churn_dataset!A736</f>
        <v>CUST100751</v>
      </c>
      <c r="B261" s="24" t="str">
        <f aca="false">customer_churn_dataset!B736</f>
        <v>Premium</v>
      </c>
      <c r="C261" s="24" t="str">
        <f aca="false">customer_churn_dataset!C736</f>
        <v>Month-to-month</v>
      </c>
      <c r="D261" s="25" t="n">
        <f aca="false">INDEX(customer_churn_dataset!$E$2:$E$1501,MATCH($A262,customer_churn_dataset!$A$2:$A$1501,0))</f>
        <v>8</v>
      </c>
      <c r="E261" s="25" t="n">
        <f aca="false">INDEX(customer_churn_dataset!$I$2:$I$1501,MATCH($A262,customer_churn_dataset!$A$2:$A$1501,0))</f>
        <v>17.5</v>
      </c>
      <c r="F261" s="25" t="n">
        <f aca="false">INDEX(customer_churn_dataset!$L$2:$L$1501,MATCH($A262,customer_churn_dataset!$A$2:$A$1501,0))</f>
        <v>3</v>
      </c>
      <c r="G261" s="25" t="str">
        <f aca="false">IF(INDEX(customer_churn_dataset!$M$2:$M$1501,MATCH($A262,customer_churn_dataset!$A$2:$A$1501,0))=1,"Yes","No")</f>
        <v>Yes</v>
      </c>
      <c r="H261" s="25" t="n">
        <f aca="false">INDEX(customer_churn_dataset!$N$2:$N$1501,MATCH($A262,customer_churn_dataset!$A$2:$A$1501,0))</f>
        <v>70.96</v>
      </c>
      <c r="I261" s="25" t="n">
        <f aca="false">INDEX(customer_churn_dataset!$O$2:$O$1501,MATCH($A262,customer_churn_dataset!$A$2:$A$1501,0))</f>
        <v>1</v>
      </c>
      <c r="J261" s="25" t="n">
        <f aca="false">INDEX(customer_churn_dataset!$T$2:$T$1501,MATCH($A262,customer_churn_dataset!$A$2:$A$1501,0))</f>
        <v>8</v>
      </c>
      <c r="K261" s="25" t="str">
        <f aca="false">INDEX(customer_churn_dataset!$V$2:$V$1501,MATCH($A262,customer_churn_dataset!$A$2:$A$1501,0))</f>
        <v>High Risk</v>
      </c>
    </row>
    <row r="262" customFormat="false" ht="12.8" hidden="true" customHeight="false" outlineLevel="0" collapsed="false">
      <c r="A262" s="22" t="str">
        <f aca="false">customer_churn_dataset!A769</f>
        <v>CUST101208</v>
      </c>
      <c r="B262" s="22" t="str">
        <f aca="false">customer_churn_dataset!B769</f>
        <v>Basic</v>
      </c>
      <c r="C262" s="22" t="str">
        <f aca="false">customer_churn_dataset!C769</f>
        <v>One year</v>
      </c>
      <c r="D262" s="0" t="n">
        <f aca="false">INDEX(customer_churn_dataset!$E$2:$E$1501,MATCH($A263,customer_churn_dataset!$A$2:$A$1501,0))</f>
        <v>49</v>
      </c>
      <c r="E262" s="0" t="n">
        <f aca="false">INDEX(customer_churn_dataset!$I$2:$I$1501,MATCH($A263,customer_churn_dataset!$A$2:$A$1501,0))</f>
        <v>41.6</v>
      </c>
      <c r="F262" s="0" t="n">
        <f aca="false">INDEX(customer_churn_dataset!$L$2:$L$1501,MATCH($A263,customer_churn_dataset!$A$2:$A$1501,0))</f>
        <v>4</v>
      </c>
      <c r="G262" s="0" t="str">
        <f aca="false">IF(INDEX(customer_churn_dataset!$M$2:$M$1501,MATCH($A263,customer_churn_dataset!$A$2:$A$1501,0))=1,"Yes","No")</f>
        <v>Yes</v>
      </c>
      <c r="H262" s="0" t="n">
        <f aca="false">INDEX(customer_churn_dataset!$N$2:$N$1501,MATCH($A263,customer_churn_dataset!$A$2:$A$1501,0))</f>
        <v>450.31</v>
      </c>
      <c r="I262" s="0" t="n">
        <f aca="false">INDEX(customer_churn_dataset!$O$2:$O$1501,MATCH($A263,customer_churn_dataset!$A$2:$A$1501,0))</f>
        <v>0</v>
      </c>
      <c r="J262" s="0" t="n">
        <f aca="false">INDEX(customer_churn_dataset!$T$2:$T$1501,MATCH($A263,customer_churn_dataset!$A$2:$A$1501,0))</f>
        <v>7</v>
      </c>
      <c r="K262" s="0" t="str">
        <f aca="false">INDEX(customer_churn_dataset!$V$2:$V$1501,MATCH($A263,customer_churn_dataset!$A$2:$A$1501,0))</f>
        <v>High Risk</v>
      </c>
    </row>
    <row r="263" customFormat="false" ht="12.8" hidden="true" customHeight="false" outlineLevel="0" collapsed="false">
      <c r="A263" s="22" t="str">
        <f aca="false">customer_churn_dataset!A792</f>
        <v>CUST100443</v>
      </c>
      <c r="B263" s="22" t="str">
        <f aca="false">customer_churn_dataset!B792</f>
        <v>Basic</v>
      </c>
      <c r="C263" s="22" t="str">
        <f aca="false">customer_churn_dataset!C792</f>
        <v>Month-to-month</v>
      </c>
      <c r="D263" s="0" t="n">
        <f aca="false">INDEX(customer_churn_dataset!$E$2:$E$1501,MATCH($A264,customer_churn_dataset!$A$2:$A$1501,0))</f>
        <v>9</v>
      </c>
      <c r="E263" s="0" t="n">
        <f aca="false">INDEX(customer_churn_dataset!$I$2:$I$1501,MATCH($A264,customer_churn_dataset!$A$2:$A$1501,0))</f>
        <v>79</v>
      </c>
      <c r="F263" s="0" t="n">
        <f aca="false">INDEX(customer_churn_dataset!$L$2:$L$1501,MATCH($A264,customer_churn_dataset!$A$2:$A$1501,0))</f>
        <v>1</v>
      </c>
      <c r="G263" s="0" t="str">
        <f aca="false">IF(INDEX(customer_churn_dataset!$M$2:$M$1501,MATCH($A264,customer_churn_dataset!$A$2:$A$1501,0))=1,"Yes","No")</f>
        <v>No</v>
      </c>
      <c r="H263" s="0" t="n">
        <f aca="false">INDEX(customer_churn_dataset!$N$2:$N$1501,MATCH($A264,customer_churn_dataset!$A$2:$A$1501,0))</f>
        <v>179.01</v>
      </c>
      <c r="I263" s="0" t="n">
        <f aca="false">INDEX(customer_churn_dataset!$O$2:$O$1501,MATCH($A264,customer_churn_dataset!$A$2:$A$1501,0))</f>
        <v>0</v>
      </c>
      <c r="J263" s="0" t="n">
        <f aca="false">INDEX(customer_churn_dataset!$T$2:$T$1501,MATCH($A264,customer_churn_dataset!$A$2:$A$1501,0))</f>
        <v>2</v>
      </c>
      <c r="K263" s="0" t="str">
        <f aca="false">INDEX(customer_churn_dataset!$V$2:$V$1501,MATCH($A264,customer_churn_dataset!$A$2:$A$1501,0))</f>
        <v>Low Risk</v>
      </c>
    </row>
    <row r="264" customFormat="false" ht="12.8" hidden="true" customHeight="false" outlineLevel="0" collapsed="false">
      <c r="A264" s="22" t="str">
        <f aca="false">customer_churn_dataset!A796</f>
        <v>CUST100580</v>
      </c>
      <c r="B264" s="22" t="str">
        <f aca="false">customer_churn_dataset!B796</f>
        <v>Standard</v>
      </c>
      <c r="C264" s="22" t="str">
        <f aca="false">customer_churn_dataset!C796</f>
        <v>One year</v>
      </c>
      <c r="D264" s="0" t="n">
        <f aca="false">INDEX(customer_churn_dataset!$E$2:$E$1501,MATCH($A265,customer_churn_dataset!$A$2:$A$1501,0))</f>
        <v>19</v>
      </c>
      <c r="E264" s="0" t="n">
        <f aca="false">INDEX(customer_churn_dataset!$I$2:$I$1501,MATCH($A265,customer_churn_dataset!$A$2:$A$1501,0))</f>
        <v>63.8</v>
      </c>
      <c r="F264" s="0" t="n">
        <f aca="false">INDEX(customer_churn_dataset!$L$2:$L$1501,MATCH($A265,customer_churn_dataset!$A$2:$A$1501,0))</f>
        <v>1</v>
      </c>
      <c r="G264" s="0" t="str">
        <f aca="false">IF(INDEX(customer_churn_dataset!$M$2:$M$1501,MATCH($A265,customer_churn_dataset!$A$2:$A$1501,0))=1,"Yes","No")</f>
        <v>No</v>
      </c>
      <c r="H264" s="0" t="n">
        <f aca="false">INDEX(customer_churn_dataset!$N$2:$N$1501,MATCH($A265,customer_churn_dataset!$A$2:$A$1501,0))</f>
        <v>344.09</v>
      </c>
      <c r="I264" s="0" t="n">
        <f aca="false">INDEX(customer_churn_dataset!$O$2:$O$1501,MATCH($A265,customer_churn_dataset!$A$2:$A$1501,0))</f>
        <v>0</v>
      </c>
      <c r="J264" s="0" t="n">
        <f aca="false">INDEX(customer_churn_dataset!$T$2:$T$1501,MATCH($A265,customer_churn_dataset!$A$2:$A$1501,0))</f>
        <v>2</v>
      </c>
      <c r="K264" s="0" t="str">
        <f aca="false">INDEX(customer_churn_dataset!$V$2:$V$1501,MATCH($A265,customer_churn_dataset!$A$2:$A$1501,0))</f>
        <v>Low Risk</v>
      </c>
    </row>
    <row r="265" customFormat="false" ht="12.8" hidden="true" customHeight="false" outlineLevel="0" collapsed="false">
      <c r="A265" s="22" t="str">
        <f aca="false">customer_churn_dataset!A802</f>
        <v>CUST100630</v>
      </c>
      <c r="B265" s="22" t="str">
        <f aca="false">customer_churn_dataset!B802</f>
        <v>Standard</v>
      </c>
      <c r="C265" s="22" t="str">
        <f aca="false">customer_churn_dataset!C802</f>
        <v>Month-to-month</v>
      </c>
      <c r="D265" s="0" t="n">
        <f aca="false">INDEX(customer_churn_dataset!$E$2:$E$1501,MATCH($A266,customer_churn_dataset!$A$2:$A$1501,0))</f>
        <v>9</v>
      </c>
      <c r="E265" s="0" t="n">
        <f aca="false">INDEX(customer_churn_dataset!$I$2:$I$1501,MATCH($A266,customer_churn_dataset!$A$2:$A$1501,0))</f>
        <v>73.9</v>
      </c>
      <c r="F265" s="0" t="n">
        <f aca="false">INDEX(customer_churn_dataset!$L$2:$L$1501,MATCH($A266,customer_churn_dataset!$A$2:$A$1501,0))</f>
        <v>1</v>
      </c>
      <c r="G265" s="0" t="str">
        <f aca="false">IF(INDEX(customer_churn_dataset!$M$2:$M$1501,MATCH($A266,customer_churn_dataset!$A$2:$A$1501,0))=1,"Yes","No")</f>
        <v>Yes</v>
      </c>
      <c r="H265" s="0" t="n">
        <f aca="false">INDEX(customer_churn_dataset!$N$2:$N$1501,MATCH($A266,customer_churn_dataset!$A$2:$A$1501,0))</f>
        <v>354.33</v>
      </c>
      <c r="I265" s="0" t="n">
        <f aca="false">INDEX(customer_churn_dataset!$O$2:$O$1501,MATCH($A266,customer_churn_dataset!$A$2:$A$1501,0))</f>
        <v>0</v>
      </c>
      <c r="J265" s="0" t="n">
        <f aca="false">INDEX(customer_churn_dataset!$T$2:$T$1501,MATCH($A266,customer_churn_dataset!$A$2:$A$1501,0))</f>
        <v>6</v>
      </c>
      <c r="K265" s="0" t="str">
        <f aca="false">INDEX(customer_churn_dataset!$V$2:$V$1501,MATCH($A266,customer_churn_dataset!$A$2:$A$1501,0))</f>
        <v>High Risk</v>
      </c>
    </row>
    <row r="266" customFormat="false" ht="12.8" hidden="true" customHeight="false" outlineLevel="0" collapsed="false">
      <c r="A266" s="22" t="str">
        <f aca="false">customer_churn_dataset!A816</f>
        <v>CUST101444</v>
      </c>
      <c r="B266" s="22" t="str">
        <f aca="false">customer_churn_dataset!B816</f>
        <v>Premium</v>
      </c>
      <c r="C266" s="22" t="str">
        <f aca="false">customer_churn_dataset!C816</f>
        <v>Month-to-month</v>
      </c>
      <c r="D266" s="0" t="n">
        <f aca="false">INDEX(customer_churn_dataset!$E$2:$E$1501,MATCH($A267,customer_churn_dataset!$A$2:$A$1501,0))</f>
        <v>11</v>
      </c>
      <c r="E266" s="0" t="n">
        <f aca="false">INDEX(customer_churn_dataset!$I$2:$I$1501,MATCH($A267,customer_churn_dataset!$A$2:$A$1501,0))</f>
        <v>46.3</v>
      </c>
      <c r="F266" s="0" t="n">
        <f aca="false">INDEX(customer_churn_dataset!$L$2:$L$1501,MATCH($A267,customer_churn_dataset!$A$2:$A$1501,0))</f>
        <v>1</v>
      </c>
      <c r="G266" s="0" t="str">
        <f aca="false">IF(INDEX(customer_churn_dataset!$M$2:$M$1501,MATCH($A267,customer_churn_dataset!$A$2:$A$1501,0))=1,"Yes","No")</f>
        <v>No</v>
      </c>
      <c r="H266" s="0" t="n">
        <f aca="false">INDEX(customer_churn_dataset!$N$2:$N$1501,MATCH($A267,customer_churn_dataset!$A$2:$A$1501,0))</f>
        <v>106.37</v>
      </c>
      <c r="I266" s="0" t="n">
        <f aca="false">INDEX(customer_churn_dataset!$O$2:$O$1501,MATCH($A267,customer_churn_dataset!$A$2:$A$1501,0))</f>
        <v>0</v>
      </c>
      <c r="J266" s="0" t="n">
        <f aca="false">INDEX(customer_churn_dataset!$T$2:$T$1501,MATCH($A267,customer_churn_dataset!$A$2:$A$1501,0))</f>
        <v>3</v>
      </c>
      <c r="K266" s="0" t="str">
        <f aca="false">INDEX(customer_churn_dataset!$V$2:$V$1501,MATCH($A267,customer_churn_dataset!$A$2:$A$1501,0))</f>
        <v>Medium Risk</v>
      </c>
    </row>
    <row r="267" customFormat="false" ht="12.8" hidden="true" customHeight="false" outlineLevel="0" collapsed="false">
      <c r="A267" s="22" t="str">
        <f aca="false">customer_churn_dataset!A820</f>
        <v>CUST100915</v>
      </c>
      <c r="B267" s="22" t="str">
        <f aca="false">customer_churn_dataset!B820</f>
        <v>Basic</v>
      </c>
      <c r="C267" s="22" t="str">
        <f aca="false">customer_churn_dataset!C820</f>
        <v>One year</v>
      </c>
      <c r="D267" s="0" t="n">
        <f aca="false">INDEX(customer_churn_dataset!$E$2:$E$1501,MATCH($A268,customer_churn_dataset!$A$2:$A$1501,0))</f>
        <v>24</v>
      </c>
      <c r="E267" s="0" t="n">
        <f aca="false">INDEX(customer_churn_dataset!$I$2:$I$1501,MATCH($A268,customer_churn_dataset!$A$2:$A$1501,0))</f>
        <v>45.9</v>
      </c>
      <c r="F267" s="0" t="n">
        <f aca="false">INDEX(customer_churn_dataset!$L$2:$L$1501,MATCH($A268,customer_churn_dataset!$A$2:$A$1501,0))</f>
        <v>2</v>
      </c>
      <c r="G267" s="0" t="str">
        <f aca="false">IF(INDEX(customer_churn_dataset!$M$2:$M$1501,MATCH($A268,customer_churn_dataset!$A$2:$A$1501,0))=1,"Yes","No")</f>
        <v>No</v>
      </c>
      <c r="H267" s="0" t="n">
        <f aca="false">INDEX(customer_churn_dataset!$N$2:$N$1501,MATCH($A268,customer_churn_dataset!$A$2:$A$1501,0))</f>
        <v>988.32</v>
      </c>
      <c r="I267" s="0" t="n">
        <f aca="false">INDEX(customer_churn_dataset!$O$2:$O$1501,MATCH($A268,customer_churn_dataset!$A$2:$A$1501,0))</f>
        <v>0</v>
      </c>
      <c r="J267" s="0" t="n">
        <f aca="false">INDEX(customer_churn_dataset!$T$2:$T$1501,MATCH($A268,customer_churn_dataset!$A$2:$A$1501,0))</f>
        <v>3</v>
      </c>
      <c r="K267" s="0" t="str">
        <f aca="false">INDEX(customer_churn_dataset!$V$2:$V$1501,MATCH($A268,customer_churn_dataset!$A$2:$A$1501,0))</f>
        <v>Medium Risk</v>
      </c>
    </row>
    <row r="268" customFormat="false" ht="12.8" hidden="true" customHeight="false" outlineLevel="0" collapsed="false">
      <c r="A268" s="22" t="str">
        <f aca="false">customer_churn_dataset!A826</f>
        <v>CUST101122</v>
      </c>
      <c r="B268" s="22" t="str">
        <f aca="false">customer_churn_dataset!B826</f>
        <v>Premium</v>
      </c>
      <c r="C268" s="22" t="str">
        <f aca="false">customer_churn_dataset!C826</f>
        <v>One year</v>
      </c>
      <c r="D268" s="0" t="n">
        <f aca="false">INDEX(customer_churn_dataset!$E$2:$E$1501,MATCH($A269,customer_churn_dataset!$A$2:$A$1501,0))</f>
        <v>29</v>
      </c>
      <c r="E268" s="0" t="n">
        <f aca="false">INDEX(customer_churn_dataset!$I$2:$I$1501,MATCH($A269,customer_churn_dataset!$A$2:$A$1501,0))</f>
        <v>55.3</v>
      </c>
      <c r="F268" s="0" t="n">
        <f aca="false">INDEX(customer_churn_dataset!$L$2:$L$1501,MATCH($A269,customer_churn_dataset!$A$2:$A$1501,0))</f>
        <v>1</v>
      </c>
      <c r="G268" s="0" t="str">
        <f aca="false">IF(INDEX(customer_churn_dataset!$M$2:$M$1501,MATCH($A269,customer_churn_dataset!$A$2:$A$1501,0))=1,"Yes","No")</f>
        <v>No</v>
      </c>
      <c r="H268" s="0" t="n">
        <f aca="false">INDEX(customer_churn_dataset!$N$2:$N$1501,MATCH($A269,customer_churn_dataset!$A$2:$A$1501,0))</f>
        <v>548.97</v>
      </c>
      <c r="I268" s="0" t="n">
        <f aca="false">INDEX(customer_churn_dataset!$O$2:$O$1501,MATCH($A269,customer_churn_dataset!$A$2:$A$1501,0))</f>
        <v>1</v>
      </c>
      <c r="J268" s="0" t="n">
        <f aca="false">INDEX(customer_churn_dataset!$T$2:$T$1501,MATCH($A269,customer_churn_dataset!$A$2:$A$1501,0))</f>
        <v>2</v>
      </c>
      <c r="K268" s="0" t="str">
        <f aca="false">INDEX(customer_churn_dataset!$V$2:$V$1501,MATCH($A269,customer_churn_dataset!$A$2:$A$1501,0))</f>
        <v>Low Risk</v>
      </c>
    </row>
    <row r="269" customFormat="false" ht="12.8" hidden="true" customHeight="false" outlineLevel="0" collapsed="false">
      <c r="A269" s="22" t="str">
        <f aca="false">customer_churn_dataset!A838</f>
        <v>CUST100484</v>
      </c>
      <c r="B269" s="22" t="str">
        <f aca="false">customer_churn_dataset!B838</f>
        <v>Standard</v>
      </c>
      <c r="C269" s="22" t="str">
        <f aca="false">customer_churn_dataset!C838</f>
        <v>Month-to-month</v>
      </c>
      <c r="D269" s="0" t="n">
        <f aca="false">INDEX(customer_churn_dataset!$E$2:$E$1501,MATCH($A270,customer_churn_dataset!$A$2:$A$1501,0))</f>
        <v>1</v>
      </c>
      <c r="E269" s="0" t="n">
        <f aca="false">INDEX(customer_churn_dataset!$I$2:$I$1501,MATCH($A270,customer_churn_dataset!$A$2:$A$1501,0))</f>
        <v>68.3</v>
      </c>
      <c r="F269" s="0" t="n">
        <f aca="false">INDEX(customer_churn_dataset!$L$2:$L$1501,MATCH($A270,customer_churn_dataset!$A$2:$A$1501,0))</f>
        <v>3</v>
      </c>
      <c r="G269" s="0" t="str">
        <f aca="false">IF(INDEX(customer_churn_dataset!$M$2:$M$1501,MATCH($A270,customer_churn_dataset!$A$2:$A$1501,0))=1,"Yes","No")</f>
        <v>Yes</v>
      </c>
      <c r="H269" s="0" t="n">
        <f aca="false">INDEX(customer_churn_dataset!$N$2:$N$1501,MATCH($A270,customer_churn_dataset!$A$2:$A$1501,0))</f>
        <v>21.4</v>
      </c>
      <c r="I269" s="0" t="n">
        <f aca="false">INDEX(customer_churn_dataset!$O$2:$O$1501,MATCH($A270,customer_churn_dataset!$A$2:$A$1501,0))</f>
        <v>0</v>
      </c>
      <c r="J269" s="0" t="n">
        <f aca="false">INDEX(customer_churn_dataset!$T$2:$T$1501,MATCH($A270,customer_churn_dataset!$A$2:$A$1501,0))</f>
        <v>7</v>
      </c>
      <c r="K269" s="0" t="str">
        <f aca="false">INDEX(customer_churn_dataset!$V$2:$V$1501,MATCH($A270,customer_churn_dataset!$A$2:$A$1501,0))</f>
        <v>High Risk</v>
      </c>
    </row>
    <row r="270" customFormat="false" ht="12.8" hidden="false" customHeight="false" outlineLevel="0" collapsed="false">
      <c r="A270" s="23" t="str">
        <f aca="false">customer_churn_dataset!A854</f>
        <v>CUST101463</v>
      </c>
      <c r="B270" s="24" t="str">
        <f aca="false">customer_churn_dataset!B854</f>
        <v>Standard</v>
      </c>
      <c r="C270" s="24" t="str">
        <f aca="false">customer_churn_dataset!C854</f>
        <v>Month-to-month</v>
      </c>
      <c r="D270" s="25" t="n">
        <f aca="false">INDEX(customer_churn_dataset!$E$2:$E$1501,MATCH($A271,customer_churn_dataset!$A$2:$A$1501,0))</f>
        <v>9</v>
      </c>
      <c r="E270" s="25" t="n">
        <f aca="false">INDEX(customer_churn_dataset!$I$2:$I$1501,MATCH($A271,customer_churn_dataset!$A$2:$A$1501,0))</f>
        <v>34.2</v>
      </c>
      <c r="F270" s="25" t="n">
        <f aca="false">INDEX(customer_churn_dataset!$L$2:$L$1501,MATCH($A271,customer_churn_dataset!$A$2:$A$1501,0))</f>
        <v>2</v>
      </c>
      <c r="G270" s="25" t="str">
        <f aca="false">IF(INDEX(customer_churn_dataset!$M$2:$M$1501,MATCH($A271,customer_churn_dataset!$A$2:$A$1501,0))=1,"Yes","No")</f>
        <v>Yes</v>
      </c>
      <c r="H270" s="25" t="n">
        <f aca="false">INDEX(customer_churn_dataset!$N$2:$N$1501,MATCH($A271,customer_churn_dataset!$A$2:$A$1501,0))</f>
        <v>167.49</v>
      </c>
      <c r="I270" s="25" t="n">
        <f aca="false">INDEX(customer_churn_dataset!$O$2:$O$1501,MATCH($A271,customer_churn_dataset!$A$2:$A$1501,0))</f>
        <v>0</v>
      </c>
      <c r="J270" s="25" t="n">
        <f aca="false">INDEX(customer_churn_dataset!$T$2:$T$1501,MATCH($A271,customer_churn_dataset!$A$2:$A$1501,0))</f>
        <v>8</v>
      </c>
      <c r="K270" s="25" t="str">
        <f aca="false">INDEX(customer_churn_dataset!$V$2:$V$1501,MATCH($A271,customer_churn_dataset!$A$2:$A$1501,0))</f>
        <v>High Risk</v>
      </c>
    </row>
    <row r="271" customFormat="false" ht="12.8" hidden="true" customHeight="false" outlineLevel="0" collapsed="false">
      <c r="A271" s="22" t="str">
        <f aca="false">customer_churn_dataset!A861</f>
        <v>CUST101386</v>
      </c>
      <c r="B271" s="22" t="str">
        <f aca="false">customer_churn_dataset!B861</f>
        <v>Standard</v>
      </c>
      <c r="C271" s="22" t="str">
        <f aca="false">customer_churn_dataset!C861</f>
        <v>One year</v>
      </c>
      <c r="D271" s="0" t="n">
        <f aca="false">INDEX(customer_churn_dataset!$E$2:$E$1501,MATCH($A272,customer_churn_dataset!$A$2:$A$1501,0))</f>
        <v>3</v>
      </c>
      <c r="E271" s="0" t="n">
        <f aca="false">INDEX(customer_churn_dataset!$I$2:$I$1501,MATCH($A272,customer_churn_dataset!$A$2:$A$1501,0))</f>
        <v>67.2</v>
      </c>
      <c r="F271" s="0" t="n">
        <f aca="false">INDEX(customer_churn_dataset!$L$2:$L$1501,MATCH($A272,customer_churn_dataset!$A$2:$A$1501,0))</f>
        <v>1</v>
      </c>
      <c r="G271" s="0" t="str">
        <f aca="false">IF(INDEX(customer_churn_dataset!$M$2:$M$1501,MATCH($A272,customer_churn_dataset!$A$2:$A$1501,0))=1,"Yes","No")</f>
        <v>No</v>
      </c>
      <c r="H271" s="0" t="n">
        <f aca="false">INDEX(customer_churn_dataset!$N$2:$N$1501,MATCH($A272,customer_churn_dataset!$A$2:$A$1501,0))</f>
        <v>30.12</v>
      </c>
      <c r="I271" s="0" t="n">
        <f aca="false">INDEX(customer_churn_dataset!$O$2:$O$1501,MATCH($A272,customer_churn_dataset!$A$2:$A$1501,0))</f>
        <v>1</v>
      </c>
      <c r="J271" s="0" t="n">
        <f aca="false">INDEX(customer_churn_dataset!$T$2:$T$1501,MATCH($A272,customer_churn_dataset!$A$2:$A$1501,0))</f>
        <v>3</v>
      </c>
      <c r="K271" s="0" t="str">
        <f aca="false">INDEX(customer_churn_dataset!$V$2:$V$1501,MATCH($A272,customer_churn_dataset!$A$2:$A$1501,0))</f>
        <v>Medium Risk</v>
      </c>
    </row>
    <row r="272" customFormat="false" ht="12.8" hidden="true" customHeight="false" outlineLevel="0" collapsed="false">
      <c r="A272" s="22" t="str">
        <f aca="false">customer_churn_dataset!A866</f>
        <v>CUST101177</v>
      </c>
      <c r="B272" s="22" t="str">
        <f aca="false">customer_churn_dataset!B866</f>
        <v>Basic</v>
      </c>
      <c r="C272" s="22" t="str">
        <f aca="false">customer_churn_dataset!C866</f>
        <v>Month-to-month</v>
      </c>
      <c r="D272" s="0" t="n">
        <f aca="false">INDEX(customer_churn_dataset!$E$2:$E$1501,MATCH($A273,customer_churn_dataset!$A$2:$A$1501,0))</f>
        <v>66</v>
      </c>
      <c r="E272" s="0" t="n">
        <f aca="false">INDEX(customer_churn_dataset!$I$2:$I$1501,MATCH($A273,customer_churn_dataset!$A$2:$A$1501,0))</f>
        <v>82.4</v>
      </c>
      <c r="F272" s="0" t="n">
        <f aca="false">INDEX(customer_churn_dataset!$L$2:$L$1501,MATCH($A273,customer_churn_dataset!$A$2:$A$1501,0))</f>
        <v>0</v>
      </c>
      <c r="G272" s="0" t="str">
        <f aca="false">IF(INDEX(customer_churn_dataset!$M$2:$M$1501,MATCH($A273,customer_churn_dataset!$A$2:$A$1501,0))=1,"Yes","No")</f>
        <v>No</v>
      </c>
      <c r="H272" s="0" t="n">
        <f aca="false">INDEX(customer_churn_dataset!$N$2:$N$1501,MATCH($A273,customer_churn_dataset!$A$2:$A$1501,0))</f>
        <v>705.54</v>
      </c>
      <c r="I272" s="0" t="n">
        <f aca="false">INDEX(customer_churn_dataset!$O$2:$O$1501,MATCH($A273,customer_churn_dataset!$A$2:$A$1501,0))</f>
        <v>0</v>
      </c>
      <c r="J272" s="0" t="n">
        <f aca="false">INDEX(customer_churn_dataset!$T$2:$T$1501,MATCH($A273,customer_churn_dataset!$A$2:$A$1501,0))</f>
        <v>1</v>
      </c>
      <c r="K272" s="0" t="str">
        <f aca="false">INDEX(customer_churn_dataset!$V$2:$V$1501,MATCH($A273,customer_churn_dataset!$A$2:$A$1501,0))</f>
        <v>Low Risk</v>
      </c>
    </row>
    <row r="273" customFormat="false" ht="12.8" hidden="false" customHeight="false" outlineLevel="0" collapsed="false">
      <c r="A273" s="23" t="str">
        <f aca="false">customer_churn_dataset!A877</f>
        <v>CUST101460</v>
      </c>
      <c r="B273" s="24" t="str">
        <f aca="false">customer_churn_dataset!B877</f>
        <v>Basic</v>
      </c>
      <c r="C273" s="24" t="str">
        <f aca="false">customer_churn_dataset!C877</f>
        <v>One year</v>
      </c>
      <c r="D273" s="25" t="n">
        <f aca="false">INDEX(customer_churn_dataset!$E$2:$E$1501,MATCH($A274,customer_churn_dataset!$A$2:$A$1501,0))</f>
        <v>8</v>
      </c>
      <c r="E273" s="25" t="n">
        <f aca="false">INDEX(customer_churn_dataset!$I$2:$I$1501,MATCH($A274,customer_churn_dataset!$A$2:$A$1501,0))</f>
        <v>0</v>
      </c>
      <c r="F273" s="25" t="n">
        <f aca="false">INDEX(customer_churn_dataset!$L$2:$L$1501,MATCH($A274,customer_churn_dataset!$A$2:$A$1501,0))</f>
        <v>4</v>
      </c>
      <c r="G273" s="25" t="str">
        <f aca="false">IF(INDEX(customer_churn_dataset!$M$2:$M$1501,MATCH($A274,customer_churn_dataset!$A$2:$A$1501,0))=1,"Yes","No")</f>
        <v>Yes</v>
      </c>
      <c r="H273" s="25" t="n">
        <f aca="false">INDEX(customer_churn_dataset!$N$2:$N$1501,MATCH($A274,customer_churn_dataset!$A$2:$A$1501,0))</f>
        <v>318.88</v>
      </c>
      <c r="I273" s="25" t="n">
        <f aca="false">INDEX(customer_churn_dataset!$O$2:$O$1501,MATCH($A274,customer_churn_dataset!$A$2:$A$1501,0))</f>
        <v>1</v>
      </c>
      <c r="J273" s="25" t="n">
        <f aca="false">INDEX(customer_churn_dataset!$T$2:$T$1501,MATCH($A274,customer_churn_dataset!$A$2:$A$1501,0))</f>
        <v>8</v>
      </c>
      <c r="K273" s="25" t="str">
        <f aca="false">INDEX(customer_churn_dataset!$V$2:$V$1501,MATCH($A274,customer_churn_dataset!$A$2:$A$1501,0))</f>
        <v>High Risk</v>
      </c>
    </row>
    <row r="274" customFormat="false" ht="12.8" hidden="true" customHeight="false" outlineLevel="0" collapsed="false">
      <c r="A274" s="22" t="str">
        <f aca="false">customer_churn_dataset!A901</f>
        <v>CUST101090</v>
      </c>
      <c r="B274" s="22" t="str">
        <f aca="false">customer_churn_dataset!B901</f>
        <v>Premium</v>
      </c>
      <c r="C274" s="22" t="str">
        <f aca="false">customer_churn_dataset!C901</f>
        <v>One year</v>
      </c>
      <c r="D274" s="0" t="n">
        <f aca="false">INDEX(customer_churn_dataset!$E$2:$E$1501,MATCH($A275,customer_churn_dataset!$A$2:$A$1501,0))</f>
        <v>20</v>
      </c>
      <c r="E274" s="0" t="n">
        <f aca="false">INDEX(customer_churn_dataset!$I$2:$I$1501,MATCH($A275,customer_churn_dataset!$A$2:$A$1501,0))</f>
        <v>91.1</v>
      </c>
      <c r="F274" s="0" t="n">
        <f aca="false">INDEX(customer_churn_dataset!$L$2:$L$1501,MATCH($A275,customer_churn_dataset!$A$2:$A$1501,0))</f>
        <v>2</v>
      </c>
      <c r="G274" s="0" t="str">
        <f aca="false">IF(INDEX(customer_churn_dataset!$M$2:$M$1501,MATCH($A275,customer_churn_dataset!$A$2:$A$1501,0))=1,"Yes","No")</f>
        <v>Yes</v>
      </c>
      <c r="H274" s="0" t="n">
        <f aca="false">INDEX(customer_churn_dataset!$N$2:$N$1501,MATCH($A275,customer_churn_dataset!$A$2:$A$1501,0))</f>
        <v>182.4</v>
      </c>
      <c r="I274" s="0" t="n">
        <f aca="false">INDEX(customer_churn_dataset!$O$2:$O$1501,MATCH($A275,customer_churn_dataset!$A$2:$A$1501,0))</f>
        <v>1</v>
      </c>
      <c r="J274" s="0" t="n">
        <f aca="false">INDEX(customer_churn_dataset!$T$2:$T$1501,MATCH($A275,customer_churn_dataset!$A$2:$A$1501,0))</f>
        <v>5</v>
      </c>
      <c r="K274" s="0" t="str">
        <f aca="false">INDEX(customer_churn_dataset!$V$2:$V$1501,MATCH($A275,customer_churn_dataset!$A$2:$A$1501,0))</f>
        <v>Medium Risk</v>
      </c>
    </row>
    <row r="275" customFormat="false" ht="12.8" hidden="true" customHeight="false" outlineLevel="0" collapsed="false">
      <c r="A275" s="22" t="str">
        <f aca="false">customer_churn_dataset!A908</f>
        <v>CUST100687</v>
      </c>
      <c r="B275" s="22" t="str">
        <f aca="false">customer_churn_dataset!B908</f>
        <v>Basic</v>
      </c>
      <c r="C275" s="22" t="str">
        <f aca="false">customer_churn_dataset!C908</f>
        <v>One year</v>
      </c>
      <c r="D275" s="0" t="n">
        <f aca="false">INDEX(customer_churn_dataset!$E$2:$E$1501,MATCH($A276,customer_churn_dataset!$A$2:$A$1501,0))</f>
        <v>34</v>
      </c>
      <c r="E275" s="0" t="n">
        <f aca="false">INDEX(customer_churn_dataset!$I$2:$I$1501,MATCH($A276,customer_churn_dataset!$A$2:$A$1501,0))</f>
        <v>82.3</v>
      </c>
      <c r="F275" s="0" t="n">
        <f aca="false">INDEX(customer_churn_dataset!$L$2:$L$1501,MATCH($A276,customer_churn_dataset!$A$2:$A$1501,0))</f>
        <v>1</v>
      </c>
      <c r="G275" s="0" t="str">
        <f aca="false">IF(INDEX(customer_churn_dataset!$M$2:$M$1501,MATCH($A276,customer_churn_dataset!$A$2:$A$1501,0))=1,"Yes","No")</f>
        <v>No</v>
      </c>
      <c r="H275" s="0" t="n">
        <f aca="false">INDEX(customer_churn_dataset!$N$2:$N$1501,MATCH($A276,customer_churn_dataset!$A$2:$A$1501,0))</f>
        <v>353.6</v>
      </c>
      <c r="I275" s="0" t="n">
        <f aca="false">INDEX(customer_churn_dataset!$O$2:$O$1501,MATCH($A276,customer_churn_dataset!$A$2:$A$1501,0))</f>
        <v>0</v>
      </c>
      <c r="J275" s="0" t="n">
        <f aca="false">INDEX(customer_churn_dataset!$T$2:$T$1501,MATCH($A276,customer_churn_dataset!$A$2:$A$1501,0))</f>
        <v>0</v>
      </c>
      <c r="K275" s="0" t="str">
        <f aca="false">INDEX(customer_churn_dataset!$V$2:$V$1501,MATCH($A276,customer_churn_dataset!$A$2:$A$1501,0))</f>
        <v>Low Risk</v>
      </c>
    </row>
    <row r="276" customFormat="false" ht="12.8" hidden="true" customHeight="false" outlineLevel="0" collapsed="false">
      <c r="A276" s="22" t="str">
        <f aca="false">customer_churn_dataset!A914</f>
        <v>CUST101199</v>
      </c>
      <c r="B276" s="22" t="str">
        <f aca="false">customer_churn_dataset!B914</f>
        <v>Basic</v>
      </c>
      <c r="C276" s="22" t="str">
        <f aca="false">customer_churn_dataset!C914</f>
        <v>Two year</v>
      </c>
      <c r="D276" s="0" t="n">
        <f aca="false">INDEX(customer_churn_dataset!$E$2:$E$1501,MATCH($A277,customer_churn_dataset!$A$2:$A$1501,0))</f>
        <v>19</v>
      </c>
      <c r="E276" s="0" t="n">
        <f aca="false">INDEX(customer_churn_dataset!$I$2:$I$1501,MATCH($A277,customer_churn_dataset!$A$2:$A$1501,0))</f>
        <v>77</v>
      </c>
      <c r="F276" s="0" t="n">
        <f aca="false">INDEX(customer_churn_dataset!$L$2:$L$1501,MATCH($A277,customer_churn_dataset!$A$2:$A$1501,0))</f>
        <v>0</v>
      </c>
      <c r="G276" s="0" t="str">
        <f aca="false">IF(INDEX(customer_churn_dataset!$M$2:$M$1501,MATCH($A277,customer_churn_dataset!$A$2:$A$1501,0))=1,"Yes","No")</f>
        <v>No</v>
      </c>
      <c r="H276" s="0" t="n">
        <f aca="false">INDEX(customer_churn_dataset!$N$2:$N$1501,MATCH($A277,customer_churn_dataset!$A$2:$A$1501,0))</f>
        <v>183.35</v>
      </c>
      <c r="I276" s="0" t="n">
        <f aca="false">INDEX(customer_churn_dataset!$O$2:$O$1501,MATCH($A277,customer_churn_dataset!$A$2:$A$1501,0))</f>
        <v>0</v>
      </c>
      <c r="J276" s="0" t="n">
        <f aca="false">INDEX(customer_churn_dataset!$T$2:$T$1501,MATCH($A277,customer_churn_dataset!$A$2:$A$1501,0))</f>
        <v>1</v>
      </c>
      <c r="K276" s="0" t="str">
        <f aca="false">INDEX(customer_churn_dataset!$V$2:$V$1501,MATCH($A277,customer_churn_dataset!$A$2:$A$1501,0))</f>
        <v>Low Risk</v>
      </c>
    </row>
    <row r="277" customFormat="false" ht="12.8" hidden="true" customHeight="false" outlineLevel="0" collapsed="false">
      <c r="A277" s="22" t="str">
        <f aca="false">customer_churn_dataset!A917</f>
        <v>CUST100175</v>
      </c>
      <c r="B277" s="22" t="str">
        <f aca="false">customer_churn_dataset!B917</f>
        <v>Basic</v>
      </c>
      <c r="C277" s="22" t="str">
        <f aca="false">customer_churn_dataset!C917</f>
        <v>One year</v>
      </c>
      <c r="D277" s="0" t="n">
        <f aca="false">INDEX(customer_churn_dataset!$E$2:$E$1501,MATCH($A278,customer_churn_dataset!$A$2:$A$1501,0))</f>
        <v>30</v>
      </c>
      <c r="E277" s="0" t="n">
        <f aca="false">INDEX(customer_churn_dataset!$I$2:$I$1501,MATCH($A278,customer_churn_dataset!$A$2:$A$1501,0))</f>
        <v>63.7</v>
      </c>
      <c r="F277" s="0" t="n">
        <f aca="false">INDEX(customer_churn_dataset!$L$2:$L$1501,MATCH($A278,customer_churn_dataset!$A$2:$A$1501,0))</f>
        <v>1</v>
      </c>
      <c r="G277" s="0" t="str">
        <f aca="false">IF(INDEX(customer_churn_dataset!$M$2:$M$1501,MATCH($A278,customer_churn_dataset!$A$2:$A$1501,0))=1,"Yes","No")</f>
        <v>Yes</v>
      </c>
      <c r="H277" s="0" t="n">
        <f aca="false">INDEX(customer_churn_dataset!$N$2:$N$1501,MATCH($A278,customer_churn_dataset!$A$2:$A$1501,0))</f>
        <v>610.8</v>
      </c>
      <c r="I277" s="0" t="n">
        <f aca="false">INDEX(customer_churn_dataset!$O$2:$O$1501,MATCH($A278,customer_churn_dataset!$A$2:$A$1501,0))</f>
        <v>1</v>
      </c>
      <c r="J277" s="0" t="n">
        <f aca="false">INDEX(customer_churn_dataset!$T$2:$T$1501,MATCH($A278,customer_churn_dataset!$A$2:$A$1501,0))</f>
        <v>4</v>
      </c>
      <c r="K277" s="0" t="str">
        <f aca="false">INDEX(customer_churn_dataset!$V$2:$V$1501,MATCH($A278,customer_churn_dataset!$A$2:$A$1501,0))</f>
        <v>Medium Risk</v>
      </c>
    </row>
    <row r="278" customFormat="false" ht="12.8" hidden="true" customHeight="false" outlineLevel="0" collapsed="false">
      <c r="A278" s="22" t="str">
        <f aca="false">customer_churn_dataset!A921</f>
        <v>CUST100093</v>
      </c>
      <c r="B278" s="22" t="str">
        <f aca="false">customer_churn_dataset!B921</f>
        <v>Standard</v>
      </c>
      <c r="C278" s="22" t="str">
        <f aca="false">customer_churn_dataset!C921</f>
        <v>One year</v>
      </c>
      <c r="D278" s="0" t="n">
        <f aca="false">INDEX(customer_churn_dataset!$E$2:$E$1501,MATCH($A279,customer_churn_dataset!$A$2:$A$1501,0))</f>
        <v>26</v>
      </c>
      <c r="E278" s="0" t="n">
        <f aca="false">INDEX(customer_churn_dataset!$I$2:$I$1501,MATCH($A279,customer_churn_dataset!$A$2:$A$1501,0))</f>
        <v>84.5</v>
      </c>
      <c r="F278" s="0" t="n">
        <f aca="false">INDEX(customer_churn_dataset!$L$2:$L$1501,MATCH($A279,customer_churn_dataset!$A$2:$A$1501,0))</f>
        <v>0</v>
      </c>
      <c r="G278" s="0" t="str">
        <f aca="false">IF(INDEX(customer_churn_dataset!$M$2:$M$1501,MATCH($A279,customer_churn_dataset!$A$2:$A$1501,0))=1,"Yes","No")</f>
        <v>No</v>
      </c>
      <c r="H278" s="0" t="n">
        <f aca="false">INDEX(customer_churn_dataset!$N$2:$N$1501,MATCH($A279,customer_churn_dataset!$A$2:$A$1501,0))</f>
        <v>1088.62</v>
      </c>
      <c r="I278" s="0" t="n">
        <f aca="false">INDEX(customer_churn_dataset!$O$2:$O$1501,MATCH($A279,customer_churn_dataset!$A$2:$A$1501,0))</f>
        <v>0</v>
      </c>
      <c r="J278" s="0" t="n">
        <f aca="false">INDEX(customer_churn_dataset!$T$2:$T$1501,MATCH($A279,customer_churn_dataset!$A$2:$A$1501,0))</f>
        <v>2</v>
      </c>
      <c r="K278" s="0" t="str">
        <f aca="false">INDEX(customer_churn_dataset!$V$2:$V$1501,MATCH($A279,customer_churn_dataset!$A$2:$A$1501,0))</f>
        <v>Low Risk</v>
      </c>
    </row>
    <row r="279" customFormat="false" ht="12.8" hidden="true" customHeight="false" outlineLevel="0" collapsed="false">
      <c r="A279" s="22" t="str">
        <f aca="false">customer_churn_dataset!A925</f>
        <v>CUST100366</v>
      </c>
      <c r="B279" s="22" t="str">
        <f aca="false">customer_churn_dataset!B925</f>
        <v>Premium</v>
      </c>
      <c r="C279" s="22" t="str">
        <f aca="false">customer_churn_dataset!C925</f>
        <v>Month-to-month</v>
      </c>
      <c r="D279" s="0" t="n">
        <f aca="false">INDEX(customer_churn_dataset!$E$2:$E$1501,MATCH($A280,customer_churn_dataset!$A$2:$A$1501,0))</f>
        <v>13</v>
      </c>
      <c r="E279" s="0" t="n">
        <f aca="false">INDEX(customer_churn_dataset!$I$2:$I$1501,MATCH($A280,customer_churn_dataset!$A$2:$A$1501,0))</f>
        <v>37.3</v>
      </c>
      <c r="F279" s="0" t="n">
        <f aca="false">INDEX(customer_churn_dataset!$L$2:$L$1501,MATCH($A280,customer_churn_dataset!$A$2:$A$1501,0))</f>
        <v>1</v>
      </c>
      <c r="G279" s="0" t="str">
        <f aca="false">IF(INDEX(customer_churn_dataset!$M$2:$M$1501,MATCH($A280,customer_churn_dataset!$A$2:$A$1501,0))=1,"Yes","No")</f>
        <v>No</v>
      </c>
      <c r="H279" s="0" t="n">
        <f aca="false">INDEX(customer_churn_dataset!$N$2:$N$1501,MATCH($A280,customer_churn_dataset!$A$2:$A$1501,0))</f>
        <v>513.76</v>
      </c>
      <c r="I279" s="0" t="n">
        <f aca="false">INDEX(customer_churn_dataset!$O$2:$O$1501,MATCH($A280,customer_churn_dataset!$A$2:$A$1501,0))</f>
        <v>0</v>
      </c>
      <c r="J279" s="0" t="n">
        <f aca="false">INDEX(customer_churn_dataset!$T$2:$T$1501,MATCH($A280,customer_churn_dataset!$A$2:$A$1501,0))</f>
        <v>3</v>
      </c>
      <c r="K279" s="0" t="str">
        <f aca="false">INDEX(customer_churn_dataset!$V$2:$V$1501,MATCH($A280,customer_churn_dataset!$A$2:$A$1501,0))</f>
        <v>Medium Risk</v>
      </c>
    </row>
    <row r="280" customFormat="false" ht="12.8" hidden="true" customHeight="false" outlineLevel="0" collapsed="false">
      <c r="A280" s="22" t="str">
        <f aca="false">customer_churn_dataset!A931</f>
        <v>CUST100531</v>
      </c>
      <c r="B280" s="22" t="str">
        <f aca="false">customer_churn_dataset!B931</f>
        <v>Premium</v>
      </c>
      <c r="C280" s="22" t="str">
        <f aca="false">customer_churn_dataset!C931</f>
        <v>One year</v>
      </c>
      <c r="D280" s="0" t="n">
        <f aca="false">INDEX(customer_churn_dataset!$E$2:$E$1501,MATCH($A281,customer_churn_dataset!$A$2:$A$1501,0))</f>
        <v>13</v>
      </c>
      <c r="E280" s="0" t="n">
        <f aca="false">INDEX(customer_churn_dataset!$I$2:$I$1501,MATCH($A281,customer_churn_dataset!$A$2:$A$1501,0))</f>
        <v>78.6</v>
      </c>
      <c r="F280" s="0" t="n">
        <f aca="false">INDEX(customer_churn_dataset!$L$2:$L$1501,MATCH($A281,customer_churn_dataset!$A$2:$A$1501,0))</f>
        <v>1</v>
      </c>
      <c r="G280" s="0" t="str">
        <f aca="false">IF(INDEX(customer_churn_dataset!$M$2:$M$1501,MATCH($A281,customer_churn_dataset!$A$2:$A$1501,0))=1,"Yes","No")</f>
        <v>Yes</v>
      </c>
      <c r="H280" s="0" t="n">
        <f aca="false">INDEX(customer_churn_dataset!$N$2:$N$1501,MATCH($A281,customer_churn_dataset!$A$2:$A$1501,0))</f>
        <v>134.81</v>
      </c>
      <c r="I280" s="0" t="n">
        <f aca="false">INDEX(customer_churn_dataset!$O$2:$O$1501,MATCH($A281,customer_churn_dataset!$A$2:$A$1501,0))</f>
        <v>0</v>
      </c>
      <c r="J280" s="0" t="n">
        <f aca="false">INDEX(customer_churn_dataset!$T$2:$T$1501,MATCH($A281,customer_churn_dataset!$A$2:$A$1501,0))</f>
        <v>5</v>
      </c>
      <c r="K280" s="0" t="str">
        <f aca="false">INDEX(customer_churn_dataset!$V$2:$V$1501,MATCH($A281,customer_churn_dataset!$A$2:$A$1501,0))</f>
        <v>Medium Risk</v>
      </c>
    </row>
    <row r="281" customFormat="false" ht="12.8" hidden="true" customHeight="false" outlineLevel="0" collapsed="false">
      <c r="A281" s="22" t="str">
        <f aca="false">customer_churn_dataset!A933</f>
        <v>CUST100297</v>
      </c>
      <c r="B281" s="22" t="str">
        <f aca="false">customer_churn_dataset!B933</f>
        <v>Basic</v>
      </c>
      <c r="C281" s="22" t="str">
        <f aca="false">customer_churn_dataset!C933</f>
        <v>Month-to-month</v>
      </c>
      <c r="D281" s="0" t="n">
        <f aca="false">INDEX(customer_churn_dataset!$E$2:$E$1501,MATCH($A282,customer_churn_dataset!$A$2:$A$1501,0))</f>
        <v>7</v>
      </c>
      <c r="E281" s="0" t="n">
        <f aca="false">INDEX(customer_churn_dataset!$I$2:$I$1501,MATCH($A282,customer_churn_dataset!$A$2:$A$1501,0))</f>
        <v>45</v>
      </c>
      <c r="F281" s="0" t="n">
        <f aca="false">INDEX(customer_churn_dataset!$L$2:$L$1501,MATCH($A282,customer_churn_dataset!$A$2:$A$1501,0))</f>
        <v>0</v>
      </c>
      <c r="G281" s="0" t="str">
        <f aca="false">IF(INDEX(customer_churn_dataset!$M$2:$M$1501,MATCH($A282,customer_churn_dataset!$A$2:$A$1501,0))=1,"Yes","No")</f>
        <v>No</v>
      </c>
      <c r="H281" s="0" t="n">
        <f aca="false">INDEX(customer_churn_dataset!$N$2:$N$1501,MATCH($A282,customer_churn_dataset!$A$2:$A$1501,0))</f>
        <v>80.36</v>
      </c>
      <c r="I281" s="0" t="n">
        <f aca="false">INDEX(customer_churn_dataset!$O$2:$O$1501,MATCH($A282,customer_churn_dataset!$A$2:$A$1501,0))</f>
        <v>0</v>
      </c>
      <c r="J281" s="0" t="n">
        <f aca="false">INDEX(customer_churn_dataset!$T$2:$T$1501,MATCH($A282,customer_churn_dataset!$A$2:$A$1501,0))</f>
        <v>3</v>
      </c>
      <c r="K281" s="0" t="str">
        <f aca="false">INDEX(customer_churn_dataset!$V$2:$V$1501,MATCH($A282,customer_churn_dataset!$A$2:$A$1501,0))</f>
        <v>Medium Risk</v>
      </c>
    </row>
    <row r="282" customFormat="false" ht="12.8" hidden="true" customHeight="false" outlineLevel="0" collapsed="false">
      <c r="A282" s="22" t="str">
        <f aca="false">customer_churn_dataset!A940</f>
        <v>CUST101295</v>
      </c>
      <c r="B282" s="22" t="str">
        <f aca="false">customer_churn_dataset!B940</f>
        <v>Basic</v>
      </c>
      <c r="C282" s="22" t="str">
        <f aca="false">customer_churn_dataset!C940</f>
        <v>One year</v>
      </c>
      <c r="D282" s="0" t="n">
        <f aca="false">INDEX(customer_churn_dataset!$E$2:$E$1501,MATCH($A283,customer_churn_dataset!$A$2:$A$1501,0))</f>
        <v>41</v>
      </c>
      <c r="E282" s="0" t="n">
        <f aca="false">INDEX(customer_churn_dataset!$I$2:$I$1501,MATCH($A283,customer_churn_dataset!$A$2:$A$1501,0))</f>
        <v>73.2</v>
      </c>
      <c r="F282" s="0" t="n">
        <f aca="false">INDEX(customer_churn_dataset!$L$2:$L$1501,MATCH($A283,customer_churn_dataset!$A$2:$A$1501,0))</f>
        <v>3</v>
      </c>
      <c r="G282" s="0" t="str">
        <f aca="false">IF(INDEX(customer_churn_dataset!$M$2:$M$1501,MATCH($A283,customer_churn_dataset!$A$2:$A$1501,0))=1,"Yes","No")</f>
        <v>No</v>
      </c>
      <c r="H282" s="0" t="n">
        <f aca="false">INDEX(customer_churn_dataset!$N$2:$N$1501,MATCH($A283,customer_churn_dataset!$A$2:$A$1501,0))</f>
        <v>888.47</v>
      </c>
      <c r="I282" s="0" t="n">
        <f aca="false">INDEX(customer_churn_dataset!$O$2:$O$1501,MATCH($A283,customer_churn_dataset!$A$2:$A$1501,0))</f>
        <v>0</v>
      </c>
      <c r="J282" s="0" t="n">
        <f aca="false">INDEX(customer_churn_dataset!$T$2:$T$1501,MATCH($A283,customer_churn_dataset!$A$2:$A$1501,0))</f>
        <v>3</v>
      </c>
      <c r="K282" s="0" t="str">
        <f aca="false">INDEX(customer_churn_dataset!$V$2:$V$1501,MATCH($A283,customer_churn_dataset!$A$2:$A$1501,0))</f>
        <v>Medium Risk</v>
      </c>
    </row>
    <row r="283" customFormat="false" ht="12.8" hidden="true" customHeight="false" outlineLevel="0" collapsed="false">
      <c r="A283" s="22" t="str">
        <f aca="false">customer_churn_dataset!A946</f>
        <v>CUST100076</v>
      </c>
      <c r="B283" s="22" t="str">
        <f aca="false">customer_churn_dataset!B946</f>
        <v>Standard</v>
      </c>
      <c r="C283" s="22" t="str">
        <f aca="false">customer_churn_dataset!C946</f>
        <v>Month-to-month</v>
      </c>
      <c r="D283" s="0" t="n">
        <f aca="false">INDEX(customer_churn_dataset!$E$2:$E$1501,MATCH($A284,customer_churn_dataset!$A$2:$A$1501,0))</f>
        <v>3</v>
      </c>
      <c r="E283" s="0" t="n">
        <f aca="false">INDEX(customer_churn_dataset!$I$2:$I$1501,MATCH($A284,customer_churn_dataset!$A$2:$A$1501,0))</f>
        <v>53.7</v>
      </c>
      <c r="F283" s="0" t="n">
        <f aca="false">INDEX(customer_churn_dataset!$L$2:$L$1501,MATCH($A284,customer_churn_dataset!$A$2:$A$1501,0))</f>
        <v>1</v>
      </c>
      <c r="G283" s="0" t="str">
        <f aca="false">IF(INDEX(customer_churn_dataset!$M$2:$M$1501,MATCH($A284,customer_churn_dataset!$A$2:$A$1501,0))=1,"Yes","No")</f>
        <v>No</v>
      </c>
      <c r="H283" s="0" t="n">
        <f aca="false">INDEX(customer_churn_dataset!$N$2:$N$1501,MATCH($A284,customer_churn_dataset!$A$2:$A$1501,0))</f>
        <v>63.84</v>
      </c>
      <c r="I283" s="0" t="n">
        <f aca="false">INDEX(customer_churn_dataset!$O$2:$O$1501,MATCH($A284,customer_churn_dataset!$A$2:$A$1501,0))</f>
        <v>0</v>
      </c>
      <c r="J283" s="0" t="n">
        <f aca="false">INDEX(customer_churn_dataset!$T$2:$T$1501,MATCH($A284,customer_churn_dataset!$A$2:$A$1501,0))</f>
        <v>3</v>
      </c>
      <c r="K283" s="0" t="str">
        <f aca="false">INDEX(customer_churn_dataset!$V$2:$V$1501,MATCH($A284,customer_churn_dataset!$A$2:$A$1501,0))</f>
        <v>Medium Risk</v>
      </c>
    </row>
    <row r="284" customFormat="false" ht="12.8" hidden="true" customHeight="false" outlineLevel="0" collapsed="false">
      <c r="A284" s="22" t="str">
        <f aca="false">customer_churn_dataset!A949</f>
        <v>CUST100298</v>
      </c>
      <c r="B284" s="22" t="str">
        <f aca="false">customer_churn_dataset!B949</f>
        <v>Standard</v>
      </c>
      <c r="C284" s="22" t="str">
        <f aca="false">customer_churn_dataset!C949</f>
        <v>One year</v>
      </c>
      <c r="D284" s="0" t="n">
        <f aca="false">INDEX(customer_churn_dataset!$E$2:$E$1501,MATCH($A285,customer_churn_dataset!$A$2:$A$1501,0))</f>
        <v>5</v>
      </c>
      <c r="E284" s="0" t="n">
        <f aca="false">INDEX(customer_churn_dataset!$I$2:$I$1501,MATCH($A285,customer_churn_dataset!$A$2:$A$1501,0))</f>
        <v>56.3</v>
      </c>
      <c r="F284" s="0" t="n">
        <f aca="false">INDEX(customer_churn_dataset!$L$2:$L$1501,MATCH($A285,customer_churn_dataset!$A$2:$A$1501,0))</f>
        <v>2</v>
      </c>
      <c r="G284" s="0" t="str">
        <f aca="false">IF(INDEX(customer_churn_dataset!$M$2:$M$1501,MATCH($A285,customer_churn_dataset!$A$2:$A$1501,0))=1,"Yes","No")</f>
        <v>No</v>
      </c>
      <c r="H284" s="0" t="n">
        <f aca="false">INDEX(customer_churn_dataset!$N$2:$N$1501,MATCH($A285,customer_churn_dataset!$A$2:$A$1501,0))</f>
        <v>101.2</v>
      </c>
      <c r="I284" s="0" t="n">
        <f aca="false">INDEX(customer_churn_dataset!$O$2:$O$1501,MATCH($A285,customer_churn_dataset!$A$2:$A$1501,0))</f>
        <v>0</v>
      </c>
      <c r="J284" s="0" t="n">
        <f aca="false">INDEX(customer_churn_dataset!$T$2:$T$1501,MATCH($A285,customer_churn_dataset!$A$2:$A$1501,0))</f>
        <v>4</v>
      </c>
      <c r="K284" s="0" t="str">
        <f aca="false">INDEX(customer_churn_dataset!$V$2:$V$1501,MATCH($A285,customer_churn_dataset!$A$2:$A$1501,0))</f>
        <v>Medium Risk</v>
      </c>
    </row>
    <row r="285" customFormat="false" ht="12.8" hidden="true" customHeight="false" outlineLevel="0" collapsed="false">
      <c r="A285" s="22" t="str">
        <f aca="false">customer_churn_dataset!A953</f>
        <v>CUST101001</v>
      </c>
      <c r="B285" s="22" t="str">
        <f aca="false">customer_churn_dataset!B953</f>
        <v>Standard</v>
      </c>
      <c r="C285" s="22" t="str">
        <f aca="false">customer_churn_dataset!C953</f>
        <v>Month-to-month</v>
      </c>
      <c r="D285" s="0" t="n">
        <f aca="false">INDEX(customer_churn_dataset!$E$2:$E$1501,MATCH($A286,customer_churn_dataset!$A$2:$A$1501,0))</f>
        <v>13</v>
      </c>
      <c r="E285" s="0" t="n">
        <f aca="false">INDEX(customer_churn_dataset!$I$2:$I$1501,MATCH($A286,customer_churn_dataset!$A$2:$A$1501,0))</f>
        <v>68.8</v>
      </c>
      <c r="F285" s="0" t="n">
        <f aca="false">INDEX(customer_churn_dataset!$L$2:$L$1501,MATCH($A286,customer_churn_dataset!$A$2:$A$1501,0))</f>
        <v>1</v>
      </c>
      <c r="G285" s="0" t="str">
        <f aca="false">IF(INDEX(customer_churn_dataset!$M$2:$M$1501,MATCH($A286,customer_churn_dataset!$A$2:$A$1501,0))=1,"Yes","No")</f>
        <v>No</v>
      </c>
      <c r="H285" s="0" t="n">
        <f aca="false">INDEX(customer_churn_dataset!$N$2:$N$1501,MATCH($A286,customer_churn_dataset!$A$2:$A$1501,0))</f>
        <v>283.27</v>
      </c>
      <c r="I285" s="0" t="n">
        <f aca="false">INDEX(customer_churn_dataset!$O$2:$O$1501,MATCH($A286,customer_churn_dataset!$A$2:$A$1501,0))</f>
        <v>0</v>
      </c>
      <c r="J285" s="0" t="n">
        <f aca="false">INDEX(customer_churn_dataset!$T$2:$T$1501,MATCH($A286,customer_churn_dataset!$A$2:$A$1501,0))</f>
        <v>0</v>
      </c>
      <c r="K285" s="0" t="str">
        <f aca="false">INDEX(customer_churn_dataset!$V$2:$V$1501,MATCH($A286,customer_churn_dataset!$A$2:$A$1501,0))</f>
        <v>Low Risk</v>
      </c>
    </row>
    <row r="286" customFormat="false" ht="12.8" hidden="true" customHeight="false" outlineLevel="0" collapsed="false">
      <c r="A286" s="22" t="str">
        <f aca="false">customer_churn_dataset!A957</f>
        <v>CUST101040</v>
      </c>
      <c r="B286" s="22" t="str">
        <f aca="false">customer_churn_dataset!B957</f>
        <v>Standard</v>
      </c>
      <c r="C286" s="22" t="str">
        <f aca="false">customer_churn_dataset!C957</f>
        <v>Two year</v>
      </c>
      <c r="D286" s="0" t="n">
        <f aca="false">INDEX(customer_churn_dataset!$E$2:$E$1501,MATCH($A287,customer_churn_dataset!$A$2:$A$1501,0))</f>
        <v>2</v>
      </c>
      <c r="E286" s="0" t="n">
        <f aca="false">INDEX(customer_churn_dataset!$I$2:$I$1501,MATCH($A287,customer_churn_dataset!$A$2:$A$1501,0))</f>
        <v>31.2</v>
      </c>
      <c r="F286" s="0" t="n">
        <f aca="false">INDEX(customer_churn_dataset!$L$2:$L$1501,MATCH($A287,customer_churn_dataset!$A$2:$A$1501,0))</f>
        <v>1</v>
      </c>
      <c r="G286" s="0" t="str">
        <f aca="false">IF(INDEX(customer_churn_dataset!$M$2:$M$1501,MATCH($A287,customer_churn_dataset!$A$2:$A$1501,0))=1,"Yes","No")</f>
        <v>No</v>
      </c>
      <c r="H286" s="0" t="n">
        <f aca="false">INDEX(customer_churn_dataset!$N$2:$N$1501,MATCH($A287,customer_churn_dataset!$A$2:$A$1501,0))</f>
        <v>78.86</v>
      </c>
      <c r="I286" s="0" t="n">
        <f aca="false">INDEX(customer_churn_dataset!$O$2:$O$1501,MATCH($A287,customer_churn_dataset!$A$2:$A$1501,0))</f>
        <v>0</v>
      </c>
      <c r="J286" s="0" t="n">
        <f aca="false">INDEX(customer_churn_dataset!$T$2:$T$1501,MATCH($A287,customer_churn_dataset!$A$2:$A$1501,0))</f>
        <v>4</v>
      </c>
      <c r="K286" s="0" t="str">
        <f aca="false">INDEX(customer_churn_dataset!$V$2:$V$1501,MATCH($A287,customer_churn_dataset!$A$2:$A$1501,0))</f>
        <v>Medium Risk</v>
      </c>
    </row>
    <row r="287" customFormat="false" ht="12.8" hidden="true" customHeight="false" outlineLevel="0" collapsed="false">
      <c r="A287" s="22" t="str">
        <f aca="false">customer_churn_dataset!A961</f>
        <v>CUST101158</v>
      </c>
      <c r="B287" s="22" t="str">
        <f aca="false">customer_churn_dataset!B961</f>
        <v>Premium</v>
      </c>
      <c r="C287" s="22" t="str">
        <f aca="false">customer_churn_dataset!C961</f>
        <v>One year</v>
      </c>
      <c r="D287" s="0" t="n">
        <f aca="false">INDEX(customer_churn_dataset!$E$2:$E$1501,MATCH($A288,customer_churn_dataset!$A$2:$A$1501,0))</f>
        <v>39</v>
      </c>
      <c r="E287" s="0" t="n">
        <f aca="false">INDEX(customer_churn_dataset!$I$2:$I$1501,MATCH($A288,customer_churn_dataset!$A$2:$A$1501,0))</f>
        <v>39.5</v>
      </c>
      <c r="F287" s="0" t="n">
        <f aca="false">INDEX(customer_churn_dataset!$L$2:$L$1501,MATCH($A288,customer_churn_dataset!$A$2:$A$1501,0))</f>
        <v>4</v>
      </c>
      <c r="G287" s="0" t="str">
        <f aca="false">IF(INDEX(customer_churn_dataset!$M$2:$M$1501,MATCH($A288,customer_churn_dataset!$A$2:$A$1501,0))=1,"Yes","No")</f>
        <v>No</v>
      </c>
      <c r="H287" s="0" t="n">
        <f aca="false">INDEX(customer_churn_dataset!$N$2:$N$1501,MATCH($A288,customer_churn_dataset!$A$2:$A$1501,0))</f>
        <v>1561.17</v>
      </c>
      <c r="I287" s="0" t="n">
        <f aca="false">INDEX(customer_churn_dataset!$O$2:$O$1501,MATCH($A288,customer_churn_dataset!$A$2:$A$1501,0))</f>
        <v>1</v>
      </c>
      <c r="J287" s="0" t="n">
        <f aca="false">INDEX(customer_churn_dataset!$T$2:$T$1501,MATCH($A288,customer_churn_dataset!$A$2:$A$1501,0))</f>
        <v>5</v>
      </c>
      <c r="K287" s="0" t="str">
        <f aca="false">INDEX(customer_churn_dataset!$V$2:$V$1501,MATCH($A288,customer_churn_dataset!$A$2:$A$1501,0))</f>
        <v>Medium Risk</v>
      </c>
    </row>
    <row r="288" customFormat="false" ht="12.8" hidden="true" customHeight="false" outlineLevel="0" collapsed="false">
      <c r="A288" s="22" t="str">
        <f aca="false">customer_churn_dataset!A968</f>
        <v>CUST101307</v>
      </c>
      <c r="B288" s="22" t="str">
        <f aca="false">customer_churn_dataset!B968</f>
        <v>Premium</v>
      </c>
      <c r="C288" s="22" t="str">
        <f aca="false">customer_churn_dataset!C968</f>
        <v>Month-to-month</v>
      </c>
      <c r="D288" s="0" t="n">
        <f aca="false">INDEX(customer_churn_dataset!$E$2:$E$1501,MATCH($A289,customer_churn_dataset!$A$2:$A$1501,0))</f>
        <v>23</v>
      </c>
      <c r="E288" s="0" t="n">
        <f aca="false">INDEX(customer_churn_dataset!$I$2:$I$1501,MATCH($A289,customer_churn_dataset!$A$2:$A$1501,0))</f>
        <v>28.6</v>
      </c>
      <c r="F288" s="0" t="n">
        <f aca="false">INDEX(customer_churn_dataset!$L$2:$L$1501,MATCH($A289,customer_churn_dataset!$A$2:$A$1501,0))</f>
        <v>2</v>
      </c>
      <c r="G288" s="0" t="str">
        <f aca="false">IF(INDEX(customer_churn_dataset!$M$2:$M$1501,MATCH($A289,customer_churn_dataset!$A$2:$A$1501,0))=1,"Yes","No")</f>
        <v>Yes</v>
      </c>
      <c r="H288" s="0" t="n">
        <f aca="false">INDEX(customer_churn_dataset!$N$2:$N$1501,MATCH($A289,customer_churn_dataset!$A$2:$A$1501,0))</f>
        <v>189.06</v>
      </c>
      <c r="I288" s="0" t="n">
        <f aca="false">INDEX(customer_churn_dataset!$O$2:$O$1501,MATCH($A289,customer_churn_dataset!$A$2:$A$1501,0))</f>
        <v>0</v>
      </c>
      <c r="J288" s="0" t="n">
        <f aca="false">INDEX(customer_churn_dataset!$T$2:$T$1501,MATCH($A289,customer_churn_dataset!$A$2:$A$1501,0))</f>
        <v>7</v>
      </c>
      <c r="K288" s="0" t="str">
        <f aca="false">INDEX(customer_churn_dataset!$V$2:$V$1501,MATCH($A289,customer_churn_dataset!$A$2:$A$1501,0))</f>
        <v>High Risk</v>
      </c>
    </row>
    <row r="289" customFormat="false" ht="12.8" hidden="true" customHeight="false" outlineLevel="0" collapsed="false">
      <c r="A289" s="22" t="str">
        <f aca="false">customer_churn_dataset!A976</f>
        <v>CUST100371</v>
      </c>
      <c r="B289" s="22" t="str">
        <f aca="false">customer_churn_dataset!B976</f>
        <v>Basic</v>
      </c>
      <c r="C289" s="22" t="str">
        <f aca="false">customer_churn_dataset!C976</f>
        <v>One year</v>
      </c>
      <c r="D289" s="0" t="n">
        <f aca="false">INDEX(customer_churn_dataset!$E$2:$E$1501,MATCH($A290,customer_churn_dataset!$A$2:$A$1501,0))</f>
        <v>69</v>
      </c>
      <c r="E289" s="0" t="n">
        <f aca="false">INDEX(customer_churn_dataset!$I$2:$I$1501,MATCH($A290,customer_churn_dataset!$A$2:$A$1501,0))</f>
        <v>71.2</v>
      </c>
      <c r="F289" s="0" t="n">
        <f aca="false">INDEX(customer_churn_dataset!$L$2:$L$1501,MATCH($A290,customer_churn_dataset!$A$2:$A$1501,0))</f>
        <v>0</v>
      </c>
      <c r="G289" s="0" t="str">
        <f aca="false">IF(INDEX(customer_churn_dataset!$M$2:$M$1501,MATCH($A290,customer_churn_dataset!$A$2:$A$1501,0))=1,"Yes","No")</f>
        <v>No</v>
      </c>
      <c r="H289" s="0" t="n">
        <f aca="false">INDEX(customer_churn_dataset!$N$2:$N$1501,MATCH($A290,customer_churn_dataset!$A$2:$A$1501,0))</f>
        <v>2690.31</v>
      </c>
      <c r="I289" s="0" t="n">
        <f aca="false">INDEX(customer_churn_dataset!$O$2:$O$1501,MATCH($A290,customer_churn_dataset!$A$2:$A$1501,0))</f>
        <v>0</v>
      </c>
      <c r="J289" s="0" t="n">
        <f aca="false">INDEX(customer_churn_dataset!$T$2:$T$1501,MATCH($A290,customer_churn_dataset!$A$2:$A$1501,0))</f>
        <v>0</v>
      </c>
      <c r="K289" s="0" t="str">
        <f aca="false">INDEX(customer_churn_dataset!$V$2:$V$1501,MATCH($A290,customer_churn_dataset!$A$2:$A$1501,0))</f>
        <v>Low Risk</v>
      </c>
    </row>
    <row r="290" customFormat="false" ht="12.8" hidden="true" customHeight="false" outlineLevel="0" collapsed="false">
      <c r="A290" s="22" t="str">
        <f aca="false">customer_churn_dataset!A980</f>
        <v>CUST100536</v>
      </c>
      <c r="B290" s="22" t="str">
        <f aca="false">customer_churn_dataset!B980</f>
        <v>Premium</v>
      </c>
      <c r="C290" s="22" t="str">
        <f aca="false">customer_churn_dataset!C980</f>
        <v>Two year</v>
      </c>
      <c r="D290" s="0" t="n">
        <f aca="false">INDEX(customer_churn_dataset!$E$2:$E$1501,MATCH($A291,customer_churn_dataset!$A$2:$A$1501,0))</f>
        <v>27</v>
      </c>
      <c r="E290" s="0" t="n">
        <f aca="false">INDEX(customer_churn_dataset!$I$2:$I$1501,MATCH($A291,customer_churn_dataset!$A$2:$A$1501,0))</f>
        <v>60.1</v>
      </c>
      <c r="F290" s="0" t="n">
        <f aca="false">INDEX(customer_churn_dataset!$L$2:$L$1501,MATCH($A291,customer_churn_dataset!$A$2:$A$1501,0))</f>
        <v>1</v>
      </c>
      <c r="G290" s="0" t="str">
        <f aca="false">IF(INDEX(customer_churn_dataset!$M$2:$M$1501,MATCH($A291,customer_churn_dataset!$A$2:$A$1501,0))=1,"Yes","No")</f>
        <v>Yes</v>
      </c>
      <c r="H290" s="0" t="n">
        <f aca="false">INDEX(customer_churn_dataset!$N$2:$N$1501,MATCH($A291,customer_churn_dataset!$A$2:$A$1501,0))</f>
        <v>1048.14</v>
      </c>
      <c r="I290" s="0" t="n">
        <f aca="false">INDEX(customer_churn_dataset!$O$2:$O$1501,MATCH($A291,customer_churn_dataset!$A$2:$A$1501,0))</f>
        <v>0</v>
      </c>
      <c r="J290" s="0" t="n">
        <f aca="false">INDEX(customer_churn_dataset!$T$2:$T$1501,MATCH($A291,customer_churn_dataset!$A$2:$A$1501,0))</f>
        <v>5</v>
      </c>
      <c r="K290" s="0" t="str">
        <f aca="false">INDEX(customer_churn_dataset!$V$2:$V$1501,MATCH($A291,customer_churn_dataset!$A$2:$A$1501,0))</f>
        <v>Medium Risk</v>
      </c>
    </row>
    <row r="291" customFormat="false" ht="12.8" hidden="true" customHeight="false" outlineLevel="0" collapsed="false">
      <c r="A291" s="22" t="str">
        <f aca="false">customer_churn_dataset!A987</f>
        <v>CUST100378</v>
      </c>
      <c r="B291" s="22" t="str">
        <f aca="false">customer_churn_dataset!B987</f>
        <v>Premium</v>
      </c>
      <c r="C291" s="22" t="str">
        <f aca="false">customer_churn_dataset!C987</f>
        <v>Month-to-month</v>
      </c>
      <c r="D291" s="0" t="n">
        <f aca="false">INDEX(customer_churn_dataset!$E$2:$E$1501,MATCH($A292,customer_churn_dataset!$A$2:$A$1501,0))</f>
        <v>6</v>
      </c>
      <c r="E291" s="0" t="n">
        <f aca="false">INDEX(customer_churn_dataset!$I$2:$I$1501,MATCH($A292,customer_churn_dataset!$A$2:$A$1501,0))</f>
        <v>51.1</v>
      </c>
      <c r="F291" s="0" t="n">
        <f aca="false">INDEX(customer_churn_dataset!$L$2:$L$1501,MATCH($A292,customer_churn_dataset!$A$2:$A$1501,0))</f>
        <v>1</v>
      </c>
      <c r="G291" s="0" t="str">
        <f aca="false">IF(INDEX(customer_churn_dataset!$M$2:$M$1501,MATCH($A292,customer_churn_dataset!$A$2:$A$1501,0))=1,"Yes","No")</f>
        <v>No</v>
      </c>
      <c r="H291" s="0" t="n">
        <f aca="false">INDEX(customer_churn_dataset!$N$2:$N$1501,MATCH($A292,customer_churn_dataset!$A$2:$A$1501,0))</f>
        <v>58.38</v>
      </c>
      <c r="I291" s="0" t="n">
        <f aca="false">INDEX(customer_churn_dataset!$O$2:$O$1501,MATCH($A292,customer_churn_dataset!$A$2:$A$1501,0))</f>
        <v>0</v>
      </c>
      <c r="J291" s="0" t="n">
        <f aca="false">INDEX(customer_churn_dataset!$T$2:$T$1501,MATCH($A292,customer_churn_dataset!$A$2:$A$1501,0))</f>
        <v>3</v>
      </c>
      <c r="K291" s="0" t="str">
        <f aca="false">INDEX(customer_churn_dataset!$V$2:$V$1501,MATCH($A292,customer_churn_dataset!$A$2:$A$1501,0))</f>
        <v>Medium Risk</v>
      </c>
    </row>
    <row r="292" customFormat="false" ht="12.8" hidden="true" customHeight="false" outlineLevel="0" collapsed="false">
      <c r="A292" s="22" t="str">
        <f aca="false">customer_churn_dataset!A989</f>
        <v>CUST100561</v>
      </c>
      <c r="B292" s="22" t="str">
        <f aca="false">customer_churn_dataset!B989</f>
        <v>Basic</v>
      </c>
      <c r="C292" s="22" t="str">
        <f aca="false">customer_churn_dataset!C989</f>
        <v>One year</v>
      </c>
      <c r="D292" s="0" t="n">
        <f aca="false">INDEX(customer_churn_dataset!$E$2:$E$1501,MATCH($A293,customer_churn_dataset!$A$2:$A$1501,0))</f>
        <v>31</v>
      </c>
      <c r="E292" s="0" t="n">
        <f aca="false">INDEX(customer_churn_dataset!$I$2:$I$1501,MATCH($A293,customer_churn_dataset!$A$2:$A$1501,0))</f>
        <v>62.6</v>
      </c>
      <c r="F292" s="0" t="n">
        <f aca="false">INDEX(customer_churn_dataset!$L$2:$L$1501,MATCH($A293,customer_churn_dataset!$A$2:$A$1501,0))</f>
        <v>3</v>
      </c>
      <c r="G292" s="0" t="str">
        <f aca="false">IF(INDEX(customer_churn_dataset!$M$2:$M$1501,MATCH($A293,customer_churn_dataset!$A$2:$A$1501,0))=1,"Yes","No")</f>
        <v>No</v>
      </c>
      <c r="H292" s="0" t="n">
        <f aca="false">INDEX(customer_churn_dataset!$N$2:$N$1501,MATCH($A293,customer_churn_dataset!$A$2:$A$1501,0))</f>
        <v>328.91</v>
      </c>
      <c r="I292" s="0" t="n">
        <f aca="false">INDEX(customer_churn_dataset!$O$2:$O$1501,MATCH($A293,customer_churn_dataset!$A$2:$A$1501,0))</f>
        <v>0</v>
      </c>
      <c r="J292" s="0" t="n">
        <f aca="false">INDEX(customer_churn_dataset!$T$2:$T$1501,MATCH($A293,customer_churn_dataset!$A$2:$A$1501,0))</f>
        <v>2</v>
      </c>
      <c r="K292" s="0" t="str">
        <f aca="false">INDEX(customer_churn_dataset!$V$2:$V$1501,MATCH($A293,customer_churn_dataset!$A$2:$A$1501,0))</f>
        <v>Low Risk</v>
      </c>
    </row>
    <row r="293" customFormat="false" ht="12.8" hidden="true" customHeight="false" outlineLevel="0" collapsed="false">
      <c r="A293" s="22" t="str">
        <f aca="false">customer_churn_dataset!A994</f>
        <v>CUST100436</v>
      </c>
      <c r="B293" s="22" t="str">
        <f aca="false">customer_churn_dataset!B994</f>
        <v>Basic</v>
      </c>
      <c r="C293" s="22" t="str">
        <f aca="false">customer_churn_dataset!C994</f>
        <v>One year</v>
      </c>
      <c r="D293" s="0" t="n">
        <f aca="false">INDEX(customer_churn_dataset!$E$2:$E$1501,MATCH($A294,customer_churn_dataset!$A$2:$A$1501,0))</f>
        <v>20</v>
      </c>
      <c r="E293" s="0" t="n">
        <f aca="false">INDEX(customer_churn_dataset!$I$2:$I$1501,MATCH($A294,customer_churn_dataset!$A$2:$A$1501,0))</f>
        <v>57.5</v>
      </c>
      <c r="F293" s="0" t="n">
        <f aca="false">INDEX(customer_churn_dataset!$L$2:$L$1501,MATCH($A294,customer_churn_dataset!$A$2:$A$1501,0))</f>
        <v>2</v>
      </c>
      <c r="G293" s="0" t="str">
        <f aca="false">IF(INDEX(customer_churn_dataset!$M$2:$M$1501,MATCH($A294,customer_churn_dataset!$A$2:$A$1501,0))=1,"Yes","No")</f>
        <v>No</v>
      </c>
      <c r="H293" s="0" t="n">
        <f aca="false">INDEX(customer_churn_dataset!$N$2:$N$1501,MATCH($A294,customer_churn_dataset!$A$2:$A$1501,0))</f>
        <v>210</v>
      </c>
      <c r="I293" s="0" t="n">
        <f aca="false">INDEX(customer_churn_dataset!$O$2:$O$1501,MATCH($A294,customer_churn_dataset!$A$2:$A$1501,0))</f>
        <v>1</v>
      </c>
      <c r="J293" s="0" t="n">
        <f aca="false">INDEX(customer_churn_dataset!$T$2:$T$1501,MATCH($A294,customer_churn_dataset!$A$2:$A$1501,0))</f>
        <v>3</v>
      </c>
      <c r="K293" s="0" t="str">
        <f aca="false">INDEX(customer_churn_dataset!$V$2:$V$1501,MATCH($A294,customer_churn_dataset!$A$2:$A$1501,0))</f>
        <v>Medium Risk</v>
      </c>
    </row>
    <row r="294" customFormat="false" ht="12.8" hidden="true" customHeight="false" outlineLevel="0" collapsed="false">
      <c r="A294" s="22" t="str">
        <f aca="false">customer_churn_dataset!A1003</f>
        <v>CUST100259</v>
      </c>
      <c r="B294" s="22" t="str">
        <f aca="false">customer_churn_dataset!B1003</f>
        <v>Basic</v>
      </c>
      <c r="C294" s="22" t="str">
        <f aca="false">customer_churn_dataset!C1003</f>
        <v>Month-to-month</v>
      </c>
      <c r="D294" s="0" t="n">
        <f aca="false">INDEX(customer_churn_dataset!$E$2:$E$1501,MATCH($A295,customer_churn_dataset!$A$2:$A$1501,0))</f>
        <v>12</v>
      </c>
      <c r="E294" s="0" t="n">
        <f aca="false">INDEX(customer_churn_dataset!$I$2:$I$1501,MATCH($A295,customer_churn_dataset!$A$2:$A$1501,0))</f>
        <v>25.4</v>
      </c>
      <c r="F294" s="0" t="n">
        <f aca="false">INDEX(customer_churn_dataset!$L$2:$L$1501,MATCH($A295,customer_churn_dataset!$A$2:$A$1501,0))</f>
        <v>1</v>
      </c>
      <c r="G294" s="0" t="str">
        <f aca="false">IF(INDEX(customer_churn_dataset!$M$2:$M$1501,MATCH($A295,customer_churn_dataset!$A$2:$A$1501,0))=1,"Yes","No")</f>
        <v>No</v>
      </c>
      <c r="H294" s="0" t="n">
        <f aca="false">INDEX(customer_churn_dataset!$N$2:$N$1501,MATCH($A295,customer_churn_dataset!$A$2:$A$1501,0))</f>
        <v>264</v>
      </c>
      <c r="I294" s="0" t="n">
        <f aca="false">INDEX(customer_churn_dataset!$O$2:$O$1501,MATCH($A295,customer_churn_dataset!$A$2:$A$1501,0))</f>
        <v>0</v>
      </c>
      <c r="J294" s="0" t="n">
        <f aca="false">INDEX(customer_churn_dataset!$T$2:$T$1501,MATCH($A295,customer_churn_dataset!$A$2:$A$1501,0))</f>
        <v>4</v>
      </c>
      <c r="K294" s="0" t="str">
        <f aca="false">INDEX(customer_churn_dataset!$V$2:$V$1501,MATCH($A295,customer_churn_dataset!$A$2:$A$1501,0))</f>
        <v>Medium Risk</v>
      </c>
    </row>
    <row r="295" customFormat="false" ht="12.8" hidden="true" customHeight="false" outlineLevel="0" collapsed="false">
      <c r="A295" s="22" t="str">
        <f aca="false">customer_churn_dataset!A1006</f>
        <v>CUST100232</v>
      </c>
      <c r="B295" s="22" t="str">
        <f aca="false">customer_churn_dataset!B1006</f>
        <v>Standard</v>
      </c>
      <c r="C295" s="22" t="str">
        <f aca="false">customer_churn_dataset!C1006</f>
        <v>Month-to-month</v>
      </c>
      <c r="D295" s="0" t="n">
        <f aca="false">INDEX(customer_churn_dataset!$E$2:$E$1501,MATCH($A296,customer_churn_dataset!$A$2:$A$1501,0))</f>
        <v>17</v>
      </c>
      <c r="E295" s="0" t="n">
        <f aca="false">INDEX(customer_churn_dataset!$I$2:$I$1501,MATCH($A296,customer_churn_dataset!$A$2:$A$1501,0))</f>
        <v>31.2</v>
      </c>
      <c r="F295" s="0" t="n">
        <f aca="false">INDEX(customer_churn_dataset!$L$2:$L$1501,MATCH($A296,customer_churn_dataset!$A$2:$A$1501,0))</f>
        <v>0</v>
      </c>
      <c r="G295" s="0" t="str">
        <f aca="false">IF(INDEX(customer_churn_dataset!$M$2:$M$1501,MATCH($A296,customer_churn_dataset!$A$2:$A$1501,0))=1,"Yes","No")</f>
        <v>No</v>
      </c>
      <c r="H295" s="0" t="n">
        <f aca="false">INDEX(customer_churn_dataset!$N$2:$N$1501,MATCH($A296,customer_churn_dataset!$A$2:$A$1501,0))</f>
        <v>360.74</v>
      </c>
      <c r="I295" s="0" t="n">
        <f aca="false">INDEX(customer_churn_dataset!$O$2:$O$1501,MATCH($A296,customer_churn_dataset!$A$2:$A$1501,0))</f>
        <v>0</v>
      </c>
      <c r="J295" s="0" t="n">
        <f aca="false">INDEX(customer_churn_dataset!$T$2:$T$1501,MATCH($A296,customer_churn_dataset!$A$2:$A$1501,0))</f>
        <v>4</v>
      </c>
      <c r="K295" s="0" t="str">
        <f aca="false">INDEX(customer_churn_dataset!$V$2:$V$1501,MATCH($A296,customer_churn_dataset!$A$2:$A$1501,0))</f>
        <v>Medium Risk</v>
      </c>
    </row>
    <row r="296" customFormat="false" ht="12.8" hidden="true" customHeight="false" outlineLevel="0" collapsed="false">
      <c r="A296" s="22" t="str">
        <f aca="false">customer_churn_dataset!A1011</f>
        <v>CUST100094</v>
      </c>
      <c r="B296" s="22" t="str">
        <f aca="false">customer_churn_dataset!B1011</f>
        <v>Standard</v>
      </c>
      <c r="C296" s="22" t="str">
        <f aca="false">customer_churn_dataset!C1011</f>
        <v>Month-to-month</v>
      </c>
      <c r="D296" s="0" t="n">
        <f aca="false">INDEX(customer_churn_dataset!$E$2:$E$1501,MATCH($A297,customer_churn_dataset!$A$2:$A$1501,0))</f>
        <v>16</v>
      </c>
      <c r="E296" s="0" t="n">
        <f aca="false">INDEX(customer_churn_dataset!$I$2:$I$1501,MATCH($A297,customer_churn_dataset!$A$2:$A$1501,0))</f>
        <v>69.5</v>
      </c>
      <c r="F296" s="0" t="n">
        <f aca="false">INDEX(customer_churn_dataset!$L$2:$L$1501,MATCH($A297,customer_churn_dataset!$A$2:$A$1501,0))</f>
        <v>1</v>
      </c>
      <c r="G296" s="0" t="str">
        <f aca="false">IF(INDEX(customer_churn_dataset!$M$2:$M$1501,MATCH($A297,customer_churn_dataset!$A$2:$A$1501,0))=1,"Yes","No")</f>
        <v>Yes</v>
      </c>
      <c r="H296" s="0" t="n">
        <f aca="false">INDEX(customer_churn_dataset!$N$2:$N$1501,MATCH($A297,customer_churn_dataset!$A$2:$A$1501,0))</f>
        <v>138.08</v>
      </c>
      <c r="I296" s="0" t="n">
        <f aca="false">INDEX(customer_churn_dataset!$O$2:$O$1501,MATCH($A297,customer_churn_dataset!$A$2:$A$1501,0))</f>
        <v>1</v>
      </c>
      <c r="J296" s="0" t="n">
        <f aca="false">INDEX(customer_churn_dataset!$T$2:$T$1501,MATCH($A297,customer_churn_dataset!$A$2:$A$1501,0))</f>
        <v>5</v>
      </c>
      <c r="K296" s="0" t="str">
        <f aca="false">INDEX(customer_churn_dataset!$V$2:$V$1501,MATCH($A297,customer_churn_dataset!$A$2:$A$1501,0))</f>
        <v>Medium Risk</v>
      </c>
    </row>
    <row r="297" customFormat="false" ht="12.8" hidden="true" customHeight="false" outlineLevel="0" collapsed="false">
      <c r="A297" s="22" t="str">
        <f aca="false">customer_churn_dataset!A1014</f>
        <v>CUST101033</v>
      </c>
      <c r="B297" s="22" t="str">
        <f aca="false">customer_churn_dataset!B1014</f>
        <v>Basic</v>
      </c>
      <c r="C297" s="22" t="str">
        <f aca="false">customer_churn_dataset!C1014</f>
        <v>Month-to-month</v>
      </c>
      <c r="D297" s="0" t="n">
        <f aca="false">INDEX(customer_churn_dataset!$E$2:$E$1501,MATCH($A298,customer_churn_dataset!$A$2:$A$1501,0))</f>
        <v>1</v>
      </c>
      <c r="E297" s="0" t="n">
        <f aca="false">INDEX(customer_churn_dataset!$I$2:$I$1501,MATCH($A298,customer_churn_dataset!$A$2:$A$1501,0))</f>
        <v>52.5</v>
      </c>
      <c r="F297" s="0" t="n">
        <f aca="false">INDEX(customer_churn_dataset!$L$2:$L$1501,MATCH($A298,customer_churn_dataset!$A$2:$A$1501,0))</f>
        <v>0</v>
      </c>
      <c r="G297" s="0" t="str">
        <f aca="false">IF(INDEX(customer_churn_dataset!$M$2:$M$1501,MATCH($A298,customer_churn_dataset!$A$2:$A$1501,0))=1,"Yes","No")</f>
        <v>No</v>
      </c>
      <c r="H297" s="0" t="n">
        <f aca="false">INDEX(customer_churn_dataset!$N$2:$N$1501,MATCH($A298,customer_churn_dataset!$A$2:$A$1501,0))</f>
        <v>9.85</v>
      </c>
      <c r="I297" s="0" t="n">
        <f aca="false">INDEX(customer_churn_dataset!$O$2:$O$1501,MATCH($A298,customer_churn_dataset!$A$2:$A$1501,0))</f>
        <v>0</v>
      </c>
      <c r="J297" s="0" t="n">
        <f aca="false">INDEX(customer_churn_dataset!$T$2:$T$1501,MATCH($A298,customer_churn_dataset!$A$2:$A$1501,0))</f>
        <v>4</v>
      </c>
      <c r="K297" s="0" t="str">
        <f aca="false">INDEX(customer_churn_dataset!$V$2:$V$1501,MATCH($A298,customer_churn_dataset!$A$2:$A$1501,0))</f>
        <v>Medium Risk</v>
      </c>
    </row>
    <row r="298" customFormat="false" ht="12.8" hidden="true" customHeight="false" outlineLevel="0" collapsed="false">
      <c r="A298" s="22" t="str">
        <f aca="false">customer_churn_dataset!A1018</f>
        <v>CUST100901</v>
      </c>
      <c r="B298" s="22" t="str">
        <f aca="false">customer_churn_dataset!B1018</f>
        <v>Basic</v>
      </c>
      <c r="C298" s="22" t="str">
        <f aca="false">customer_churn_dataset!C1018</f>
        <v>Month-to-month</v>
      </c>
      <c r="D298" s="0" t="n">
        <f aca="false">INDEX(customer_churn_dataset!$E$2:$E$1501,MATCH($A299,customer_churn_dataset!$A$2:$A$1501,0))</f>
        <v>6</v>
      </c>
      <c r="E298" s="0" t="n">
        <f aca="false">INDEX(customer_churn_dataset!$I$2:$I$1501,MATCH($A299,customer_churn_dataset!$A$2:$A$1501,0))</f>
        <v>80.2</v>
      </c>
      <c r="F298" s="0" t="n">
        <f aca="false">INDEX(customer_churn_dataset!$L$2:$L$1501,MATCH($A299,customer_churn_dataset!$A$2:$A$1501,0))</f>
        <v>0</v>
      </c>
      <c r="G298" s="0" t="str">
        <f aca="false">IF(INDEX(customer_churn_dataset!$M$2:$M$1501,MATCH($A299,customer_churn_dataset!$A$2:$A$1501,0))=1,"Yes","No")</f>
        <v>No</v>
      </c>
      <c r="H298" s="0" t="n">
        <f aca="false">INDEX(customer_churn_dataset!$N$2:$N$1501,MATCH($A299,customer_churn_dataset!$A$2:$A$1501,0))</f>
        <v>119.88</v>
      </c>
      <c r="I298" s="0" t="n">
        <f aca="false">INDEX(customer_churn_dataset!$O$2:$O$1501,MATCH($A299,customer_churn_dataset!$A$2:$A$1501,0))</f>
        <v>0</v>
      </c>
      <c r="J298" s="0" t="n">
        <f aca="false">INDEX(customer_churn_dataset!$T$2:$T$1501,MATCH($A299,customer_churn_dataset!$A$2:$A$1501,0))</f>
        <v>3</v>
      </c>
      <c r="K298" s="0" t="str">
        <f aca="false">INDEX(customer_churn_dataset!$V$2:$V$1501,MATCH($A299,customer_churn_dataset!$A$2:$A$1501,0))</f>
        <v>Medium Risk</v>
      </c>
    </row>
    <row r="299" customFormat="false" ht="12.8" hidden="true" customHeight="false" outlineLevel="0" collapsed="false">
      <c r="A299" s="22" t="str">
        <f aca="false">customer_churn_dataset!A1031</f>
        <v>CUST101330</v>
      </c>
      <c r="B299" s="22" t="str">
        <f aca="false">customer_churn_dataset!B1031</f>
        <v>Standard</v>
      </c>
      <c r="C299" s="22" t="str">
        <f aca="false">customer_churn_dataset!C1031</f>
        <v>Month-to-month</v>
      </c>
      <c r="D299" s="0" t="n">
        <f aca="false">INDEX(customer_churn_dataset!$E$2:$E$1501,MATCH($A300,customer_churn_dataset!$A$2:$A$1501,0))</f>
        <v>1</v>
      </c>
      <c r="E299" s="0" t="n">
        <f aca="false">INDEX(customer_churn_dataset!$I$2:$I$1501,MATCH($A300,customer_churn_dataset!$A$2:$A$1501,0))</f>
        <v>82.3</v>
      </c>
      <c r="F299" s="0" t="n">
        <f aca="false">INDEX(customer_churn_dataset!$L$2:$L$1501,MATCH($A300,customer_churn_dataset!$A$2:$A$1501,0))</f>
        <v>1</v>
      </c>
      <c r="G299" s="0" t="str">
        <f aca="false">IF(INDEX(customer_churn_dataset!$M$2:$M$1501,MATCH($A300,customer_churn_dataset!$A$2:$A$1501,0))=1,"Yes","No")</f>
        <v>No</v>
      </c>
      <c r="H299" s="0" t="n">
        <f aca="false">INDEX(customer_churn_dataset!$N$2:$N$1501,MATCH($A300,customer_churn_dataset!$A$2:$A$1501,0))</f>
        <v>9.68</v>
      </c>
      <c r="I299" s="0" t="n">
        <f aca="false">INDEX(customer_churn_dataset!$O$2:$O$1501,MATCH($A300,customer_churn_dataset!$A$2:$A$1501,0))</f>
        <v>0</v>
      </c>
      <c r="J299" s="0" t="n">
        <f aca="false">INDEX(customer_churn_dataset!$T$2:$T$1501,MATCH($A300,customer_churn_dataset!$A$2:$A$1501,0))</f>
        <v>2</v>
      </c>
      <c r="K299" s="0" t="str">
        <f aca="false">INDEX(customer_churn_dataset!$V$2:$V$1501,MATCH($A300,customer_churn_dataset!$A$2:$A$1501,0))</f>
        <v>Low Risk</v>
      </c>
    </row>
    <row r="300" customFormat="false" ht="12.8" hidden="true" customHeight="false" outlineLevel="0" collapsed="false">
      <c r="A300" s="22" t="str">
        <f aca="false">customer_churn_dataset!A1044</f>
        <v>CUST101383</v>
      </c>
      <c r="B300" s="22" t="str">
        <f aca="false">customer_churn_dataset!B1044</f>
        <v>Basic</v>
      </c>
      <c r="C300" s="22" t="str">
        <f aca="false">customer_churn_dataset!C1044</f>
        <v>One year</v>
      </c>
      <c r="D300" s="0" t="n">
        <f aca="false">INDEX(customer_churn_dataset!$E$2:$E$1501,MATCH($A301,customer_churn_dataset!$A$2:$A$1501,0))</f>
        <v>34</v>
      </c>
      <c r="E300" s="0" t="n">
        <f aca="false">INDEX(customer_churn_dataset!$I$2:$I$1501,MATCH($A301,customer_churn_dataset!$A$2:$A$1501,0))</f>
        <v>30.8</v>
      </c>
      <c r="F300" s="0" t="n">
        <f aca="false">INDEX(customer_churn_dataset!$L$2:$L$1501,MATCH($A301,customer_churn_dataset!$A$2:$A$1501,0))</f>
        <v>0</v>
      </c>
      <c r="G300" s="0" t="str">
        <f aca="false">IF(INDEX(customer_churn_dataset!$M$2:$M$1501,MATCH($A301,customer_churn_dataset!$A$2:$A$1501,0))=1,"Yes","No")</f>
        <v>No</v>
      </c>
      <c r="H300" s="0" t="n">
        <f aca="false">INDEX(customer_churn_dataset!$N$2:$N$1501,MATCH($A301,customer_churn_dataset!$A$2:$A$1501,0))</f>
        <v>359.04</v>
      </c>
      <c r="I300" s="0" t="n">
        <f aca="false">INDEX(customer_churn_dataset!$O$2:$O$1501,MATCH($A301,customer_churn_dataset!$A$2:$A$1501,0))</f>
        <v>0</v>
      </c>
      <c r="J300" s="0" t="n">
        <f aca="false">INDEX(customer_churn_dataset!$T$2:$T$1501,MATCH($A301,customer_churn_dataset!$A$2:$A$1501,0))</f>
        <v>2</v>
      </c>
      <c r="K300" s="0" t="str">
        <f aca="false">INDEX(customer_churn_dataset!$V$2:$V$1501,MATCH($A301,customer_churn_dataset!$A$2:$A$1501,0))</f>
        <v>Low Risk</v>
      </c>
    </row>
    <row r="301" customFormat="false" ht="12.8" hidden="true" customHeight="false" outlineLevel="0" collapsed="false">
      <c r="A301" s="22" t="str">
        <f aca="false">customer_churn_dataset!A1051</f>
        <v>CUST100078</v>
      </c>
      <c r="B301" s="22" t="str">
        <f aca="false">customer_churn_dataset!B1051</f>
        <v>Basic</v>
      </c>
      <c r="C301" s="22" t="str">
        <f aca="false">customer_churn_dataset!C1051</f>
        <v>Two year</v>
      </c>
      <c r="D301" s="0" t="n">
        <f aca="false">INDEX(customer_churn_dataset!$E$2:$E$1501,MATCH($A302,customer_churn_dataset!$A$2:$A$1501,0))</f>
        <v>72</v>
      </c>
      <c r="E301" s="0" t="n">
        <f aca="false">INDEX(customer_churn_dataset!$I$2:$I$1501,MATCH($A302,customer_churn_dataset!$A$2:$A$1501,0))</f>
        <v>40.2</v>
      </c>
      <c r="F301" s="0" t="n">
        <f aca="false">INDEX(customer_churn_dataset!$L$2:$L$1501,MATCH($A302,customer_churn_dataset!$A$2:$A$1501,0))</f>
        <v>3</v>
      </c>
      <c r="G301" s="0" t="str">
        <f aca="false">IF(INDEX(customer_churn_dataset!$M$2:$M$1501,MATCH($A302,customer_churn_dataset!$A$2:$A$1501,0))=1,"Yes","No")</f>
        <v>Yes</v>
      </c>
      <c r="H301" s="0" t="n">
        <f aca="false">INDEX(customer_churn_dataset!$N$2:$N$1501,MATCH($A302,customer_churn_dataset!$A$2:$A$1501,0))</f>
        <v>720.72</v>
      </c>
      <c r="I301" s="0" t="n">
        <f aca="false">INDEX(customer_churn_dataset!$O$2:$O$1501,MATCH($A302,customer_churn_dataset!$A$2:$A$1501,0))</f>
        <v>1</v>
      </c>
      <c r="J301" s="0" t="n">
        <f aca="false">INDEX(customer_churn_dataset!$T$2:$T$1501,MATCH($A302,customer_churn_dataset!$A$2:$A$1501,0))</f>
        <v>7</v>
      </c>
      <c r="K301" s="0" t="str">
        <f aca="false">INDEX(customer_churn_dataset!$V$2:$V$1501,MATCH($A302,customer_churn_dataset!$A$2:$A$1501,0))</f>
        <v>High Risk</v>
      </c>
    </row>
    <row r="302" customFormat="false" ht="12.8" hidden="true" customHeight="false" outlineLevel="0" collapsed="false">
      <c r="A302" s="22" t="str">
        <f aca="false">customer_churn_dataset!A1060</f>
        <v>CUST100964</v>
      </c>
      <c r="B302" s="22" t="str">
        <f aca="false">customer_churn_dataset!B1060</f>
        <v>Basic</v>
      </c>
      <c r="C302" s="22" t="str">
        <f aca="false">customer_churn_dataset!C1060</f>
        <v>Month-to-month</v>
      </c>
      <c r="D302" s="0" t="n">
        <f aca="false">INDEX(customer_churn_dataset!$E$2:$E$1501,MATCH($A303,customer_churn_dataset!$A$2:$A$1501,0))</f>
        <v>3</v>
      </c>
      <c r="E302" s="0" t="n">
        <f aca="false">INDEX(customer_churn_dataset!$I$2:$I$1501,MATCH($A303,customer_churn_dataset!$A$2:$A$1501,0))</f>
        <v>72.4</v>
      </c>
      <c r="F302" s="0" t="n">
        <f aca="false">INDEX(customer_churn_dataset!$L$2:$L$1501,MATCH($A303,customer_churn_dataset!$A$2:$A$1501,0))</f>
        <v>2</v>
      </c>
      <c r="G302" s="0" t="str">
        <f aca="false">IF(INDEX(customer_churn_dataset!$M$2:$M$1501,MATCH($A303,customer_churn_dataset!$A$2:$A$1501,0))=1,"Yes","No")</f>
        <v>Yes</v>
      </c>
      <c r="H302" s="0" t="n">
        <f aca="false">INDEX(customer_churn_dataset!$N$2:$N$1501,MATCH($A303,customer_churn_dataset!$A$2:$A$1501,0))</f>
        <v>26.82</v>
      </c>
      <c r="I302" s="0" t="n">
        <f aca="false">INDEX(customer_churn_dataset!$O$2:$O$1501,MATCH($A303,customer_churn_dataset!$A$2:$A$1501,0))</f>
        <v>1</v>
      </c>
      <c r="J302" s="0" t="n">
        <f aca="false">INDEX(customer_churn_dataset!$T$2:$T$1501,MATCH($A303,customer_churn_dataset!$A$2:$A$1501,0))</f>
        <v>7</v>
      </c>
      <c r="K302" s="0" t="str">
        <f aca="false">INDEX(customer_churn_dataset!$V$2:$V$1501,MATCH($A303,customer_churn_dataset!$A$2:$A$1501,0))</f>
        <v>High Risk</v>
      </c>
    </row>
    <row r="303" customFormat="false" ht="12.8" hidden="true" customHeight="false" outlineLevel="0" collapsed="false">
      <c r="A303" s="22" t="str">
        <f aca="false">customer_churn_dataset!A1070</f>
        <v>CUST100576</v>
      </c>
      <c r="B303" s="22" t="str">
        <f aca="false">customer_churn_dataset!B1070</f>
        <v>Basic</v>
      </c>
      <c r="C303" s="22" t="str">
        <f aca="false">customer_churn_dataset!C1070</f>
        <v>Month-to-month</v>
      </c>
      <c r="D303" s="0" t="n">
        <f aca="false">INDEX(customer_churn_dataset!$E$2:$E$1501,MATCH($A304,customer_churn_dataset!$A$2:$A$1501,0))</f>
        <v>27</v>
      </c>
      <c r="E303" s="0" t="n">
        <f aca="false">INDEX(customer_churn_dataset!$I$2:$I$1501,MATCH($A304,customer_churn_dataset!$A$2:$A$1501,0))</f>
        <v>85.8</v>
      </c>
      <c r="F303" s="0" t="n">
        <f aca="false">INDEX(customer_churn_dataset!$L$2:$L$1501,MATCH($A304,customer_churn_dataset!$A$2:$A$1501,0))</f>
        <v>0</v>
      </c>
      <c r="G303" s="0" t="str">
        <f aca="false">IF(INDEX(customer_churn_dataset!$M$2:$M$1501,MATCH($A304,customer_churn_dataset!$A$2:$A$1501,0))=1,"Yes","No")</f>
        <v>No</v>
      </c>
      <c r="H303" s="0" t="n">
        <f aca="false">INDEX(customer_churn_dataset!$N$2:$N$1501,MATCH($A304,customer_churn_dataset!$A$2:$A$1501,0))</f>
        <v>252.18</v>
      </c>
      <c r="I303" s="0" t="n">
        <f aca="false">INDEX(customer_churn_dataset!$O$2:$O$1501,MATCH($A304,customer_churn_dataset!$A$2:$A$1501,0))</f>
        <v>0</v>
      </c>
      <c r="J303" s="0" t="n">
        <f aca="false">INDEX(customer_churn_dataset!$T$2:$T$1501,MATCH($A304,customer_churn_dataset!$A$2:$A$1501,0))</f>
        <v>2</v>
      </c>
      <c r="K303" s="0" t="str">
        <f aca="false">INDEX(customer_churn_dataset!$V$2:$V$1501,MATCH($A304,customer_churn_dataset!$A$2:$A$1501,0))</f>
        <v>Low Risk</v>
      </c>
    </row>
    <row r="304" customFormat="false" ht="12.8" hidden="true" customHeight="false" outlineLevel="0" collapsed="false">
      <c r="A304" s="22" t="str">
        <f aca="false">customer_churn_dataset!A1076</f>
        <v>CUST101483</v>
      </c>
      <c r="B304" s="22" t="str">
        <f aca="false">customer_churn_dataset!B1076</f>
        <v>Basic</v>
      </c>
      <c r="C304" s="22" t="str">
        <f aca="false">customer_churn_dataset!C1076</f>
        <v>Month-to-month</v>
      </c>
      <c r="D304" s="0" t="n">
        <f aca="false">INDEX(customer_churn_dataset!$E$2:$E$1501,MATCH($A305,customer_churn_dataset!$A$2:$A$1501,0))</f>
        <v>26</v>
      </c>
      <c r="E304" s="0" t="n">
        <f aca="false">INDEX(customer_churn_dataset!$I$2:$I$1501,MATCH($A305,customer_churn_dataset!$A$2:$A$1501,0))</f>
        <v>33</v>
      </c>
      <c r="F304" s="0" t="n">
        <f aca="false">INDEX(customer_churn_dataset!$L$2:$L$1501,MATCH($A305,customer_churn_dataset!$A$2:$A$1501,0))</f>
        <v>2</v>
      </c>
      <c r="G304" s="0" t="str">
        <f aca="false">IF(INDEX(customer_churn_dataset!$M$2:$M$1501,MATCH($A305,customer_churn_dataset!$A$2:$A$1501,0))=1,"Yes","No")</f>
        <v>No</v>
      </c>
      <c r="H304" s="0" t="n">
        <f aca="false">INDEX(customer_churn_dataset!$N$2:$N$1501,MATCH($A305,customer_churn_dataset!$A$2:$A$1501,0))</f>
        <v>264.68</v>
      </c>
      <c r="I304" s="0" t="n">
        <f aca="false">INDEX(customer_churn_dataset!$O$2:$O$1501,MATCH($A305,customer_churn_dataset!$A$2:$A$1501,0))</f>
        <v>1</v>
      </c>
      <c r="J304" s="0" t="n">
        <f aca="false">INDEX(customer_churn_dataset!$T$2:$T$1501,MATCH($A305,customer_churn_dataset!$A$2:$A$1501,0))</f>
        <v>5</v>
      </c>
      <c r="K304" s="0" t="str">
        <f aca="false">INDEX(customer_churn_dataset!$V$2:$V$1501,MATCH($A305,customer_churn_dataset!$A$2:$A$1501,0))</f>
        <v>Medium Risk</v>
      </c>
    </row>
    <row r="305" customFormat="false" ht="12.8" hidden="true" customHeight="false" outlineLevel="0" collapsed="false">
      <c r="A305" s="22" t="str">
        <f aca="false">customer_churn_dataset!A1081</f>
        <v>CUST100588</v>
      </c>
      <c r="B305" s="22" t="str">
        <f aca="false">customer_churn_dataset!B1081</f>
        <v>Basic</v>
      </c>
      <c r="C305" s="22" t="str">
        <f aca="false">customer_churn_dataset!C1081</f>
        <v>Month-to-month</v>
      </c>
      <c r="D305" s="0" t="n">
        <f aca="false">INDEX(customer_churn_dataset!$E$2:$E$1501,MATCH($A306,customer_churn_dataset!$A$2:$A$1501,0))</f>
        <v>23</v>
      </c>
      <c r="E305" s="0" t="n">
        <f aca="false">INDEX(customer_churn_dataset!$I$2:$I$1501,MATCH($A306,customer_churn_dataset!$A$2:$A$1501,0))</f>
        <v>100</v>
      </c>
      <c r="F305" s="0" t="n">
        <f aca="false">INDEX(customer_churn_dataset!$L$2:$L$1501,MATCH($A306,customer_churn_dataset!$A$2:$A$1501,0))</f>
        <v>3</v>
      </c>
      <c r="G305" s="0" t="str">
        <f aca="false">IF(INDEX(customer_churn_dataset!$M$2:$M$1501,MATCH($A306,customer_churn_dataset!$A$2:$A$1501,0))=1,"Yes","No")</f>
        <v>No</v>
      </c>
      <c r="H305" s="0" t="n">
        <f aca="false">INDEX(customer_churn_dataset!$N$2:$N$1501,MATCH($A306,customer_churn_dataset!$A$2:$A$1501,0))</f>
        <v>973.13</v>
      </c>
      <c r="I305" s="0" t="n">
        <f aca="false">INDEX(customer_churn_dataset!$O$2:$O$1501,MATCH($A306,customer_churn_dataset!$A$2:$A$1501,0))</f>
        <v>0</v>
      </c>
      <c r="J305" s="0" t="n">
        <f aca="false">INDEX(customer_churn_dataset!$T$2:$T$1501,MATCH($A306,customer_churn_dataset!$A$2:$A$1501,0))</f>
        <v>3</v>
      </c>
      <c r="K305" s="0" t="str">
        <f aca="false">INDEX(customer_churn_dataset!$V$2:$V$1501,MATCH($A306,customer_churn_dataset!$A$2:$A$1501,0))</f>
        <v>Medium Risk</v>
      </c>
    </row>
    <row r="306" customFormat="false" ht="12.8" hidden="true" customHeight="false" outlineLevel="0" collapsed="false">
      <c r="A306" s="22" t="str">
        <f aca="false">customer_churn_dataset!A1089</f>
        <v>CUST100116</v>
      </c>
      <c r="B306" s="22" t="str">
        <f aca="false">customer_churn_dataset!B1089</f>
        <v>Premium</v>
      </c>
      <c r="C306" s="22" t="str">
        <f aca="false">customer_churn_dataset!C1089</f>
        <v>Month-to-month</v>
      </c>
      <c r="D306" s="0" t="n">
        <f aca="false">INDEX(customer_churn_dataset!$E$2:$E$1501,MATCH($A307,customer_churn_dataset!$A$2:$A$1501,0))</f>
        <v>46</v>
      </c>
      <c r="E306" s="0" t="n">
        <f aca="false">INDEX(customer_churn_dataset!$I$2:$I$1501,MATCH($A307,customer_churn_dataset!$A$2:$A$1501,0))</f>
        <v>53.7</v>
      </c>
      <c r="F306" s="0" t="n">
        <f aca="false">INDEX(customer_churn_dataset!$L$2:$L$1501,MATCH($A307,customer_churn_dataset!$A$2:$A$1501,0))</f>
        <v>1</v>
      </c>
      <c r="G306" s="0" t="str">
        <f aca="false">IF(INDEX(customer_churn_dataset!$M$2:$M$1501,MATCH($A307,customer_churn_dataset!$A$2:$A$1501,0))=1,"Yes","No")</f>
        <v>No</v>
      </c>
      <c r="H306" s="0" t="n">
        <f aca="false">INDEX(customer_churn_dataset!$N$2:$N$1501,MATCH($A307,customer_churn_dataset!$A$2:$A$1501,0))</f>
        <v>875.84</v>
      </c>
      <c r="I306" s="0" t="n">
        <f aca="false">INDEX(customer_churn_dataset!$O$2:$O$1501,MATCH($A307,customer_churn_dataset!$A$2:$A$1501,0))</f>
        <v>0</v>
      </c>
      <c r="J306" s="0" t="n">
        <f aca="false">INDEX(customer_churn_dataset!$T$2:$T$1501,MATCH($A307,customer_churn_dataset!$A$2:$A$1501,0))</f>
        <v>3</v>
      </c>
      <c r="K306" s="0" t="str">
        <f aca="false">INDEX(customer_churn_dataset!$V$2:$V$1501,MATCH($A307,customer_churn_dataset!$A$2:$A$1501,0))</f>
        <v>Medium Risk</v>
      </c>
    </row>
    <row r="307" customFormat="false" ht="12.8" hidden="false" customHeight="false" outlineLevel="0" collapsed="false">
      <c r="A307" s="23" t="str">
        <f aca="false">customer_churn_dataset!A1091</f>
        <v>CUST101077</v>
      </c>
      <c r="B307" s="24" t="str">
        <f aca="false">customer_churn_dataset!B1091</f>
        <v>Standard</v>
      </c>
      <c r="C307" s="24" t="str">
        <f aca="false">customer_churn_dataset!C1091</f>
        <v>Month-to-month</v>
      </c>
      <c r="D307" s="25" t="n">
        <f aca="false">INDEX(customer_churn_dataset!$E$2:$E$1501,MATCH($A308,customer_churn_dataset!$A$2:$A$1501,0))</f>
        <v>52</v>
      </c>
      <c r="E307" s="25" t="n">
        <f aca="false">INDEX(customer_churn_dataset!$I$2:$I$1501,MATCH($A308,customer_churn_dataset!$A$2:$A$1501,0))</f>
        <v>24.6</v>
      </c>
      <c r="F307" s="25" t="n">
        <f aca="false">INDEX(customer_churn_dataset!$L$2:$L$1501,MATCH($A308,customer_churn_dataset!$A$2:$A$1501,0))</f>
        <v>2</v>
      </c>
      <c r="G307" s="25" t="str">
        <f aca="false">IF(INDEX(customer_churn_dataset!$M$2:$M$1501,MATCH($A308,customer_churn_dataset!$A$2:$A$1501,0))=1,"Yes","No")</f>
        <v>Yes</v>
      </c>
      <c r="H307" s="25" t="n">
        <f aca="false">INDEX(customer_churn_dataset!$N$2:$N$1501,MATCH($A308,customer_churn_dataset!$A$2:$A$1501,0))</f>
        <v>2063.36</v>
      </c>
      <c r="I307" s="25" t="n">
        <f aca="false">INDEX(customer_churn_dataset!$O$2:$O$1501,MATCH($A308,customer_churn_dataset!$A$2:$A$1501,0))</f>
        <v>0</v>
      </c>
      <c r="J307" s="25" t="n">
        <f aca="false">INDEX(customer_churn_dataset!$T$2:$T$1501,MATCH($A308,customer_churn_dataset!$A$2:$A$1501,0))</f>
        <v>8</v>
      </c>
      <c r="K307" s="25" t="str">
        <f aca="false">INDEX(customer_churn_dataset!$V$2:$V$1501,MATCH($A308,customer_churn_dataset!$A$2:$A$1501,0))</f>
        <v>High Risk</v>
      </c>
    </row>
    <row r="308" customFormat="false" ht="12.8" hidden="true" customHeight="false" outlineLevel="0" collapsed="false">
      <c r="A308" s="22" t="str">
        <f aca="false">customer_churn_dataset!A1098</f>
        <v>CUST100843</v>
      </c>
      <c r="B308" s="22" t="str">
        <f aca="false">customer_churn_dataset!B1098</f>
        <v>Premium</v>
      </c>
      <c r="C308" s="22" t="str">
        <f aca="false">customer_churn_dataset!C1098</f>
        <v>Month-to-month</v>
      </c>
      <c r="D308" s="0" t="n">
        <f aca="false">INDEX(customer_churn_dataset!$E$2:$E$1501,MATCH($A309,customer_churn_dataset!$A$2:$A$1501,0))</f>
        <v>52</v>
      </c>
      <c r="E308" s="0" t="n">
        <f aca="false">INDEX(customer_churn_dataset!$I$2:$I$1501,MATCH($A309,customer_churn_dataset!$A$2:$A$1501,0))</f>
        <v>50.4</v>
      </c>
      <c r="F308" s="0" t="n">
        <f aca="false">INDEX(customer_churn_dataset!$L$2:$L$1501,MATCH($A309,customer_churn_dataset!$A$2:$A$1501,0))</f>
        <v>1</v>
      </c>
      <c r="G308" s="0" t="str">
        <f aca="false">IF(INDEX(customer_churn_dataset!$M$2:$M$1501,MATCH($A309,customer_churn_dataset!$A$2:$A$1501,0))=1,"Yes","No")</f>
        <v>Yes</v>
      </c>
      <c r="H308" s="0" t="n">
        <f aca="false">INDEX(customer_churn_dataset!$N$2:$N$1501,MATCH($A309,customer_churn_dataset!$A$2:$A$1501,0))</f>
        <v>1011.92</v>
      </c>
      <c r="I308" s="0" t="n">
        <f aca="false">INDEX(customer_churn_dataset!$O$2:$O$1501,MATCH($A309,customer_churn_dataset!$A$2:$A$1501,0))</f>
        <v>0</v>
      </c>
      <c r="J308" s="0" t="n">
        <f aca="false">INDEX(customer_churn_dataset!$T$2:$T$1501,MATCH($A309,customer_churn_dataset!$A$2:$A$1501,0))</f>
        <v>5</v>
      </c>
      <c r="K308" s="0" t="str">
        <f aca="false">INDEX(customer_churn_dataset!$V$2:$V$1501,MATCH($A309,customer_churn_dataset!$A$2:$A$1501,0))</f>
        <v>Medium Risk</v>
      </c>
    </row>
    <row r="309" customFormat="false" ht="12.8" hidden="true" customHeight="false" outlineLevel="0" collapsed="false">
      <c r="A309" s="22" t="str">
        <f aca="false">customer_churn_dataset!A1100</f>
        <v>CUST100286</v>
      </c>
      <c r="B309" s="22" t="str">
        <f aca="false">customer_churn_dataset!B1100</f>
        <v>Standard</v>
      </c>
      <c r="C309" s="22" t="str">
        <f aca="false">customer_churn_dataset!C1100</f>
        <v>One year</v>
      </c>
      <c r="D309" s="0" t="n">
        <f aca="false">INDEX(customer_churn_dataset!$E$2:$E$1501,MATCH($A310,customer_churn_dataset!$A$2:$A$1501,0))</f>
        <v>42</v>
      </c>
      <c r="E309" s="0" t="n">
        <f aca="false">INDEX(customer_churn_dataset!$I$2:$I$1501,MATCH($A310,customer_churn_dataset!$A$2:$A$1501,0))</f>
        <v>61.1</v>
      </c>
      <c r="F309" s="0" t="n">
        <f aca="false">INDEX(customer_churn_dataset!$L$2:$L$1501,MATCH($A310,customer_churn_dataset!$A$2:$A$1501,0))</f>
        <v>2</v>
      </c>
      <c r="G309" s="0" t="str">
        <f aca="false">IF(INDEX(customer_churn_dataset!$M$2:$M$1501,MATCH($A310,customer_churn_dataset!$A$2:$A$1501,0))=1,"Yes","No")</f>
        <v>Yes</v>
      </c>
      <c r="H309" s="0" t="n">
        <f aca="false">INDEX(customer_churn_dataset!$N$2:$N$1501,MATCH($A310,customer_churn_dataset!$A$2:$A$1501,0))</f>
        <v>454.86</v>
      </c>
      <c r="I309" s="0" t="n">
        <f aca="false">INDEX(customer_churn_dataset!$O$2:$O$1501,MATCH($A310,customer_churn_dataset!$A$2:$A$1501,0))</f>
        <v>0</v>
      </c>
      <c r="J309" s="0" t="n">
        <f aca="false">INDEX(customer_churn_dataset!$T$2:$T$1501,MATCH($A310,customer_churn_dataset!$A$2:$A$1501,0))</f>
        <v>4</v>
      </c>
      <c r="K309" s="0" t="str">
        <f aca="false">INDEX(customer_churn_dataset!$V$2:$V$1501,MATCH($A310,customer_churn_dataset!$A$2:$A$1501,0))</f>
        <v>Medium Risk</v>
      </c>
    </row>
    <row r="310" customFormat="false" ht="12.8" hidden="true" customHeight="false" outlineLevel="0" collapsed="false">
      <c r="A310" s="22" t="str">
        <f aca="false">customer_churn_dataset!A1105</f>
        <v>CUST101156</v>
      </c>
      <c r="B310" s="22" t="str">
        <f aca="false">customer_churn_dataset!B1105</f>
        <v>Basic</v>
      </c>
      <c r="C310" s="22" t="str">
        <f aca="false">customer_churn_dataset!C1105</f>
        <v>Two year</v>
      </c>
      <c r="D310" s="0" t="n">
        <f aca="false">INDEX(customer_churn_dataset!$E$2:$E$1501,MATCH($A311,customer_churn_dataset!$A$2:$A$1501,0))</f>
        <v>13</v>
      </c>
      <c r="E310" s="0" t="n">
        <f aca="false">INDEX(customer_churn_dataset!$I$2:$I$1501,MATCH($A311,customer_churn_dataset!$A$2:$A$1501,0))</f>
        <v>45.9</v>
      </c>
      <c r="F310" s="0" t="n">
        <f aca="false">INDEX(customer_churn_dataset!$L$2:$L$1501,MATCH($A311,customer_churn_dataset!$A$2:$A$1501,0))</f>
        <v>0</v>
      </c>
      <c r="G310" s="0" t="str">
        <f aca="false">IF(INDEX(customer_churn_dataset!$M$2:$M$1501,MATCH($A311,customer_churn_dataset!$A$2:$A$1501,0))=1,"Yes","No")</f>
        <v>No</v>
      </c>
      <c r="H310" s="0" t="n">
        <f aca="false">INDEX(customer_churn_dataset!$N$2:$N$1501,MATCH($A311,customer_churn_dataset!$A$2:$A$1501,0))</f>
        <v>263.64</v>
      </c>
      <c r="I310" s="0" t="n">
        <f aca="false">INDEX(customer_churn_dataset!$O$2:$O$1501,MATCH($A311,customer_churn_dataset!$A$2:$A$1501,0))</f>
        <v>0</v>
      </c>
      <c r="J310" s="0" t="n">
        <f aca="false">INDEX(customer_churn_dataset!$T$2:$T$1501,MATCH($A311,customer_churn_dataset!$A$2:$A$1501,0))</f>
        <v>2</v>
      </c>
      <c r="K310" s="0" t="str">
        <f aca="false">INDEX(customer_churn_dataset!$V$2:$V$1501,MATCH($A311,customer_churn_dataset!$A$2:$A$1501,0))</f>
        <v>Low Risk</v>
      </c>
    </row>
    <row r="311" customFormat="false" ht="12.8" hidden="true" customHeight="false" outlineLevel="0" collapsed="false">
      <c r="A311" s="22" t="str">
        <f aca="false">customer_churn_dataset!A1108</f>
        <v>CUST100673</v>
      </c>
      <c r="B311" s="22" t="str">
        <f aca="false">customer_churn_dataset!B1108</f>
        <v>Standard</v>
      </c>
      <c r="C311" s="22" t="str">
        <f aca="false">customer_churn_dataset!C1108</f>
        <v>One year</v>
      </c>
      <c r="D311" s="0" t="n">
        <f aca="false">INDEX(customer_churn_dataset!$E$2:$E$1501,MATCH($A312,customer_churn_dataset!$A$2:$A$1501,0))</f>
        <v>14</v>
      </c>
      <c r="E311" s="0" t="n">
        <f aca="false">INDEX(customer_churn_dataset!$I$2:$I$1501,MATCH($A312,customer_churn_dataset!$A$2:$A$1501,0))</f>
        <v>40.7</v>
      </c>
      <c r="F311" s="0" t="n">
        <f aca="false">INDEX(customer_churn_dataset!$L$2:$L$1501,MATCH($A312,customer_churn_dataset!$A$2:$A$1501,0))</f>
        <v>1</v>
      </c>
      <c r="G311" s="0" t="str">
        <f aca="false">IF(INDEX(customer_churn_dataset!$M$2:$M$1501,MATCH($A312,customer_churn_dataset!$A$2:$A$1501,0))=1,"Yes","No")</f>
        <v>No</v>
      </c>
      <c r="H311" s="0" t="n">
        <f aca="false">INDEX(customer_churn_dataset!$N$2:$N$1501,MATCH($A312,customer_churn_dataset!$A$2:$A$1501,0))</f>
        <v>243.46</v>
      </c>
      <c r="I311" s="0" t="n">
        <f aca="false">INDEX(customer_churn_dataset!$O$2:$O$1501,MATCH($A312,customer_churn_dataset!$A$2:$A$1501,0))</f>
        <v>0</v>
      </c>
      <c r="J311" s="0" t="n">
        <f aca="false">INDEX(customer_churn_dataset!$T$2:$T$1501,MATCH($A312,customer_churn_dataset!$A$2:$A$1501,0))</f>
        <v>2</v>
      </c>
      <c r="K311" s="0" t="str">
        <f aca="false">INDEX(customer_churn_dataset!$V$2:$V$1501,MATCH($A312,customer_churn_dataset!$A$2:$A$1501,0))</f>
        <v>Low Risk</v>
      </c>
    </row>
    <row r="312" customFormat="false" ht="12.8" hidden="true" customHeight="false" outlineLevel="0" collapsed="false">
      <c r="A312" s="22" t="str">
        <f aca="false">customer_churn_dataset!A1116</f>
        <v>CUST101098</v>
      </c>
      <c r="B312" s="22" t="str">
        <f aca="false">customer_churn_dataset!B1116</f>
        <v>Standard</v>
      </c>
      <c r="C312" s="22" t="str">
        <f aca="false">customer_churn_dataset!C1116</f>
        <v>One year</v>
      </c>
      <c r="D312" s="0" t="n">
        <f aca="false">INDEX(customer_churn_dataset!$E$2:$E$1501,MATCH($A313,customer_churn_dataset!$A$2:$A$1501,0))</f>
        <v>9</v>
      </c>
      <c r="E312" s="0" t="n">
        <f aca="false">INDEX(customer_churn_dataset!$I$2:$I$1501,MATCH($A313,customer_churn_dataset!$A$2:$A$1501,0))</f>
        <v>46.9</v>
      </c>
      <c r="F312" s="0" t="n">
        <f aca="false">INDEX(customer_churn_dataset!$L$2:$L$1501,MATCH($A313,customer_churn_dataset!$A$2:$A$1501,0))</f>
        <v>1</v>
      </c>
      <c r="G312" s="0" t="str">
        <f aca="false">IF(INDEX(customer_churn_dataset!$M$2:$M$1501,MATCH($A313,customer_churn_dataset!$A$2:$A$1501,0))=1,"Yes","No")</f>
        <v>No</v>
      </c>
      <c r="H312" s="0" t="n">
        <f aca="false">INDEX(customer_churn_dataset!$N$2:$N$1501,MATCH($A313,customer_churn_dataset!$A$2:$A$1501,0))</f>
        <v>172.71</v>
      </c>
      <c r="I312" s="0" t="n">
        <f aca="false">INDEX(customer_churn_dataset!$O$2:$O$1501,MATCH($A313,customer_churn_dataset!$A$2:$A$1501,0))</f>
        <v>1</v>
      </c>
      <c r="J312" s="0" t="n">
        <f aca="false">INDEX(customer_churn_dataset!$T$2:$T$1501,MATCH($A313,customer_churn_dataset!$A$2:$A$1501,0))</f>
        <v>4</v>
      </c>
      <c r="K312" s="0" t="str">
        <f aca="false">INDEX(customer_churn_dataset!$V$2:$V$1501,MATCH($A313,customer_churn_dataset!$A$2:$A$1501,0))</f>
        <v>Medium Risk</v>
      </c>
    </row>
    <row r="313" customFormat="false" ht="12.8" hidden="true" customHeight="false" outlineLevel="0" collapsed="false">
      <c r="A313" s="22" t="str">
        <f aca="false">customer_churn_dataset!A1118</f>
        <v>CUST100074</v>
      </c>
      <c r="B313" s="22" t="str">
        <f aca="false">customer_churn_dataset!B1118</f>
        <v>Standard</v>
      </c>
      <c r="C313" s="22" t="str">
        <f aca="false">customer_churn_dataset!C1118</f>
        <v>Month-to-month</v>
      </c>
      <c r="D313" s="0" t="n">
        <f aca="false">INDEX(customer_churn_dataset!$E$2:$E$1501,MATCH($A314,customer_churn_dataset!$A$2:$A$1501,0))</f>
        <v>12</v>
      </c>
      <c r="E313" s="0" t="n">
        <f aca="false">INDEX(customer_churn_dataset!$I$2:$I$1501,MATCH($A314,customer_churn_dataset!$A$2:$A$1501,0))</f>
        <v>96.3</v>
      </c>
      <c r="F313" s="0" t="n">
        <f aca="false">INDEX(customer_churn_dataset!$L$2:$L$1501,MATCH($A314,customer_churn_dataset!$A$2:$A$1501,0))</f>
        <v>2</v>
      </c>
      <c r="G313" s="0" t="str">
        <f aca="false">IF(INDEX(customer_churn_dataset!$M$2:$M$1501,MATCH($A314,customer_churn_dataset!$A$2:$A$1501,0))=1,"Yes","No")</f>
        <v>No</v>
      </c>
      <c r="H313" s="0" t="n">
        <f aca="false">INDEX(customer_churn_dataset!$N$2:$N$1501,MATCH($A314,customer_churn_dataset!$A$2:$A$1501,0))</f>
        <v>248.4</v>
      </c>
      <c r="I313" s="0" t="n">
        <f aca="false">INDEX(customer_churn_dataset!$O$2:$O$1501,MATCH($A314,customer_churn_dataset!$A$2:$A$1501,0))</f>
        <v>0</v>
      </c>
      <c r="J313" s="0" t="n">
        <f aca="false">INDEX(customer_churn_dataset!$T$2:$T$1501,MATCH($A314,customer_churn_dataset!$A$2:$A$1501,0))</f>
        <v>1</v>
      </c>
      <c r="K313" s="0" t="str">
        <f aca="false">INDEX(customer_churn_dataset!$V$2:$V$1501,MATCH($A314,customer_churn_dataset!$A$2:$A$1501,0))</f>
        <v>Low Risk</v>
      </c>
    </row>
    <row r="314" customFormat="false" ht="12.8" hidden="true" customHeight="false" outlineLevel="0" collapsed="false">
      <c r="A314" s="22" t="str">
        <f aca="false">customer_churn_dataset!A1125</f>
        <v>CUST100558</v>
      </c>
      <c r="B314" s="22" t="str">
        <f aca="false">customer_churn_dataset!B1125</f>
        <v>Standard</v>
      </c>
      <c r="C314" s="22" t="str">
        <f aca="false">customer_churn_dataset!C1125</f>
        <v>Two year</v>
      </c>
      <c r="D314" s="0" t="n">
        <f aca="false">INDEX(customer_churn_dataset!$E$2:$E$1501,MATCH($A315,customer_churn_dataset!$A$2:$A$1501,0))</f>
        <v>17</v>
      </c>
      <c r="E314" s="0" t="n">
        <f aca="false">INDEX(customer_churn_dataset!$I$2:$I$1501,MATCH($A315,customer_churn_dataset!$A$2:$A$1501,0))</f>
        <v>47.4</v>
      </c>
      <c r="F314" s="0" t="n">
        <f aca="false">INDEX(customer_churn_dataset!$L$2:$L$1501,MATCH($A315,customer_churn_dataset!$A$2:$A$1501,0))</f>
        <v>1</v>
      </c>
      <c r="G314" s="0" t="str">
        <f aca="false">IF(INDEX(customer_churn_dataset!$M$2:$M$1501,MATCH($A315,customer_churn_dataset!$A$2:$A$1501,0))=1,"Yes","No")</f>
        <v>No</v>
      </c>
      <c r="H314" s="0" t="n">
        <f aca="false">INDEX(customer_churn_dataset!$N$2:$N$1501,MATCH($A315,customer_churn_dataset!$A$2:$A$1501,0))</f>
        <v>349.01</v>
      </c>
      <c r="I314" s="0" t="n">
        <f aca="false">INDEX(customer_churn_dataset!$O$2:$O$1501,MATCH($A315,customer_churn_dataset!$A$2:$A$1501,0))</f>
        <v>0</v>
      </c>
      <c r="J314" s="0" t="n">
        <f aca="false">INDEX(customer_churn_dataset!$T$2:$T$1501,MATCH($A315,customer_churn_dataset!$A$2:$A$1501,0))</f>
        <v>3</v>
      </c>
      <c r="K314" s="0" t="str">
        <f aca="false">INDEX(customer_churn_dataset!$V$2:$V$1501,MATCH($A315,customer_churn_dataset!$A$2:$A$1501,0))</f>
        <v>Medium Risk</v>
      </c>
    </row>
    <row r="315" customFormat="false" ht="12.8" hidden="true" customHeight="false" outlineLevel="0" collapsed="false">
      <c r="A315" s="22" t="str">
        <f aca="false">customer_churn_dataset!A1130</f>
        <v>CUST100260</v>
      </c>
      <c r="B315" s="22" t="str">
        <f aca="false">customer_churn_dataset!B1130</f>
        <v>Standard</v>
      </c>
      <c r="C315" s="22" t="str">
        <f aca="false">customer_churn_dataset!C1130</f>
        <v>Month-to-month</v>
      </c>
      <c r="D315" s="0" t="n">
        <f aca="false">INDEX(customer_churn_dataset!$E$2:$E$1501,MATCH($A316,customer_churn_dataset!$A$2:$A$1501,0))</f>
        <v>39</v>
      </c>
      <c r="E315" s="0" t="n">
        <f aca="false">INDEX(customer_churn_dataset!$I$2:$I$1501,MATCH($A316,customer_churn_dataset!$A$2:$A$1501,0))</f>
        <v>71</v>
      </c>
      <c r="F315" s="0" t="n">
        <f aca="false">INDEX(customer_churn_dataset!$L$2:$L$1501,MATCH($A316,customer_churn_dataset!$A$2:$A$1501,0))</f>
        <v>0</v>
      </c>
      <c r="G315" s="0" t="str">
        <f aca="false">IF(INDEX(customer_churn_dataset!$M$2:$M$1501,MATCH($A316,customer_churn_dataset!$A$2:$A$1501,0))=1,"Yes","No")</f>
        <v>No</v>
      </c>
      <c r="H315" s="0" t="n">
        <f aca="false">INDEX(customer_churn_dataset!$N$2:$N$1501,MATCH($A316,customer_churn_dataset!$A$2:$A$1501,0))</f>
        <v>794.82</v>
      </c>
      <c r="I315" s="0" t="n">
        <f aca="false">INDEX(customer_churn_dataset!$O$2:$O$1501,MATCH($A316,customer_churn_dataset!$A$2:$A$1501,0))</f>
        <v>0</v>
      </c>
      <c r="J315" s="0" t="n">
        <f aca="false">INDEX(customer_churn_dataset!$T$2:$T$1501,MATCH($A316,customer_churn_dataset!$A$2:$A$1501,0))</f>
        <v>1</v>
      </c>
      <c r="K315" s="0" t="str">
        <f aca="false">INDEX(customer_churn_dataset!$V$2:$V$1501,MATCH($A316,customer_churn_dataset!$A$2:$A$1501,0))</f>
        <v>Low Risk</v>
      </c>
    </row>
    <row r="316" customFormat="false" ht="12.8" hidden="true" customHeight="false" outlineLevel="0" collapsed="false">
      <c r="A316" s="22" t="str">
        <f aca="false">customer_churn_dataset!A1136</f>
        <v>CUST100876</v>
      </c>
      <c r="B316" s="22" t="str">
        <f aca="false">customer_churn_dataset!B1136</f>
        <v>Standard</v>
      </c>
      <c r="C316" s="22" t="str">
        <f aca="false">customer_churn_dataset!C1136</f>
        <v>One year</v>
      </c>
      <c r="D316" s="0" t="n">
        <f aca="false">INDEX(customer_churn_dataset!$E$2:$E$1501,MATCH($A317,customer_churn_dataset!$A$2:$A$1501,0))</f>
        <v>33</v>
      </c>
      <c r="E316" s="0" t="n">
        <f aca="false">INDEX(customer_churn_dataset!$I$2:$I$1501,MATCH($A317,customer_churn_dataset!$A$2:$A$1501,0))</f>
        <v>28</v>
      </c>
      <c r="F316" s="0" t="n">
        <f aca="false">INDEX(customer_churn_dataset!$L$2:$L$1501,MATCH($A317,customer_churn_dataset!$A$2:$A$1501,0))</f>
        <v>1</v>
      </c>
      <c r="G316" s="0" t="str">
        <f aca="false">IF(INDEX(customer_churn_dataset!$M$2:$M$1501,MATCH($A317,customer_churn_dataset!$A$2:$A$1501,0))=1,"Yes","No")</f>
        <v>No</v>
      </c>
      <c r="H316" s="0" t="n">
        <f aca="false">INDEX(customer_churn_dataset!$N$2:$N$1501,MATCH($A317,customer_churn_dataset!$A$2:$A$1501,0))</f>
        <v>615.78</v>
      </c>
      <c r="I316" s="0" t="n">
        <f aca="false">INDEX(customer_churn_dataset!$O$2:$O$1501,MATCH($A317,customer_churn_dataset!$A$2:$A$1501,0))</f>
        <v>0</v>
      </c>
      <c r="J316" s="0" t="n">
        <f aca="false">INDEX(customer_churn_dataset!$T$2:$T$1501,MATCH($A317,customer_churn_dataset!$A$2:$A$1501,0))</f>
        <v>3</v>
      </c>
      <c r="K316" s="0" t="str">
        <f aca="false">INDEX(customer_churn_dataset!$V$2:$V$1501,MATCH($A317,customer_churn_dataset!$A$2:$A$1501,0))</f>
        <v>Medium Risk</v>
      </c>
    </row>
    <row r="317" customFormat="false" ht="12.8" hidden="true" customHeight="false" outlineLevel="0" collapsed="false">
      <c r="A317" s="22" t="str">
        <f aca="false">customer_churn_dataset!A1140</f>
        <v>CUST101259</v>
      </c>
      <c r="B317" s="22" t="str">
        <f aca="false">customer_churn_dataset!B1140</f>
        <v>Standard</v>
      </c>
      <c r="C317" s="22" t="str">
        <f aca="false">customer_churn_dataset!C1140</f>
        <v>One year</v>
      </c>
      <c r="D317" s="0" t="n">
        <f aca="false">INDEX(customer_churn_dataset!$E$2:$E$1501,MATCH($A318,customer_churn_dataset!$A$2:$A$1501,0))</f>
        <v>5</v>
      </c>
      <c r="E317" s="0" t="n">
        <f aca="false">INDEX(customer_churn_dataset!$I$2:$I$1501,MATCH($A318,customer_churn_dataset!$A$2:$A$1501,0))</f>
        <v>63.8</v>
      </c>
      <c r="F317" s="0" t="n">
        <f aca="false">INDEX(customer_churn_dataset!$L$2:$L$1501,MATCH($A318,customer_churn_dataset!$A$2:$A$1501,0))</f>
        <v>0</v>
      </c>
      <c r="G317" s="0" t="str">
        <f aca="false">IF(INDEX(customer_churn_dataset!$M$2:$M$1501,MATCH($A318,customer_churn_dataset!$A$2:$A$1501,0))=1,"Yes","No")</f>
        <v>No</v>
      </c>
      <c r="H317" s="0" t="n">
        <f aca="false">INDEX(customer_churn_dataset!$N$2:$N$1501,MATCH($A318,customer_churn_dataset!$A$2:$A$1501,0))</f>
        <v>98.9</v>
      </c>
      <c r="I317" s="0" t="n">
        <f aca="false">INDEX(customer_churn_dataset!$O$2:$O$1501,MATCH($A318,customer_churn_dataset!$A$2:$A$1501,0))</f>
        <v>0</v>
      </c>
      <c r="J317" s="0" t="n">
        <f aca="false">INDEX(customer_churn_dataset!$T$2:$T$1501,MATCH($A318,customer_churn_dataset!$A$2:$A$1501,0))</f>
        <v>3</v>
      </c>
      <c r="K317" s="0" t="str">
        <f aca="false">INDEX(customer_churn_dataset!$V$2:$V$1501,MATCH($A318,customer_churn_dataset!$A$2:$A$1501,0))</f>
        <v>Medium Risk</v>
      </c>
    </row>
    <row r="318" customFormat="false" ht="12.8" hidden="true" customHeight="false" outlineLevel="0" collapsed="false">
      <c r="A318" s="22" t="str">
        <f aca="false">customer_churn_dataset!A1146</f>
        <v>CUST100302</v>
      </c>
      <c r="B318" s="22" t="str">
        <f aca="false">customer_churn_dataset!B1146</f>
        <v>Standard</v>
      </c>
      <c r="C318" s="22" t="str">
        <f aca="false">customer_churn_dataset!C1146</f>
        <v>Month-to-month</v>
      </c>
      <c r="D318" s="0" t="n">
        <f aca="false">INDEX(customer_churn_dataset!$E$2:$E$1501,MATCH($A319,customer_churn_dataset!$A$2:$A$1501,0))</f>
        <v>53</v>
      </c>
      <c r="E318" s="0" t="n">
        <f aca="false">INDEX(customer_churn_dataset!$I$2:$I$1501,MATCH($A319,customer_churn_dataset!$A$2:$A$1501,0))</f>
        <v>41</v>
      </c>
      <c r="F318" s="0" t="n">
        <f aca="false">INDEX(customer_churn_dataset!$L$2:$L$1501,MATCH($A319,customer_churn_dataset!$A$2:$A$1501,0))</f>
        <v>1</v>
      </c>
      <c r="G318" s="0" t="str">
        <f aca="false">IF(INDEX(customer_churn_dataset!$M$2:$M$1501,MATCH($A319,customer_churn_dataset!$A$2:$A$1501,0))=1,"Yes","No")</f>
        <v>No</v>
      </c>
      <c r="H318" s="0" t="n">
        <f aca="false">INDEX(customer_churn_dataset!$N$2:$N$1501,MATCH($A319,customer_churn_dataset!$A$2:$A$1501,0))</f>
        <v>1140.56</v>
      </c>
      <c r="I318" s="0" t="n">
        <f aca="false">INDEX(customer_churn_dataset!$O$2:$O$1501,MATCH($A319,customer_churn_dataset!$A$2:$A$1501,0))</f>
        <v>0</v>
      </c>
      <c r="J318" s="0" t="n">
        <f aca="false">INDEX(customer_churn_dataset!$T$2:$T$1501,MATCH($A319,customer_churn_dataset!$A$2:$A$1501,0))</f>
        <v>3</v>
      </c>
      <c r="K318" s="0" t="str">
        <f aca="false">INDEX(customer_churn_dataset!$V$2:$V$1501,MATCH($A319,customer_churn_dataset!$A$2:$A$1501,0))</f>
        <v>Medium Risk</v>
      </c>
    </row>
    <row r="319" customFormat="false" ht="12.8" hidden="true" customHeight="false" outlineLevel="0" collapsed="false">
      <c r="A319" s="22" t="str">
        <f aca="false">customer_churn_dataset!A1149</f>
        <v>CUST100258</v>
      </c>
      <c r="B319" s="22" t="str">
        <f aca="false">customer_churn_dataset!B1149</f>
        <v>Standard</v>
      </c>
      <c r="C319" s="22" t="str">
        <f aca="false">customer_churn_dataset!C1149</f>
        <v>Month-to-month</v>
      </c>
      <c r="D319" s="0" t="n">
        <f aca="false">INDEX(customer_churn_dataset!$E$2:$E$1501,MATCH($A320,customer_churn_dataset!$A$2:$A$1501,0))</f>
        <v>9</v>
      </c>
      <c r="E319" s="0" t="n">
        <f aca="false">INDEX(customer_churn_dataset!$I$2:$I$1501,MATCH($A320,customer_churn_dataset!$A$2:$A$1501,0))</f>
        <v>0</v>
      </c>
      <c r="F319" s="0" t="n">
        <f aca="false">INDEX(customer_churn_dataset!$L$2:$L$1501,MATCH($A320,customer_churn_dataset!$A$2:$A$1501,0))</f>
        <v>4</v>
      </c>
      <c r="G319" s="0" t="str">
        <f aca="false">IF(INDEX(customer_churn_dataset!$M$2:$M$1501,MATCH($A320,customer_churn_dataset!$A$2:$A$1501,0))=1,"Yes","No")</f>
        <v>No</v>
      </c>
      <c r="H319" s="0" t="n">
        <f aca="false">INDEX(customer_churn_dataset!$N$2:$N$1501,MATCH($A320,customer_churn_dataset!$A$2:$A$1501,0))</f>
        <v>93.33</v>
      </c>
      <c r="I319" s="0" t="n">
        <f aca="false">INDEX(customer_churn_dataset!$O$2:$O$1501,MATCH($A320,customer_churn_dataset!$A$2:$A$1501,0))</f>
        <v>1</v>
      </c>
      <c r="J319" s="0" t="n">
        <f aca="false">INDEX(customer_churn_dataset!$T$2:$T$1501,MATCH($A320,customer_churn_dataset!$A$2:$A$1501,0))</f>
        <v>6</v>
      </c>
      <c r="K319" s="0" t="str">
        <f aca="false">INDEX(customer_churn_dataset!$V$2:$V$1501,MATCH($A320,customer_churn_dataset!$A$2:$A$1501,0))</f>
        <v>High Risk</v>
      </c>
    </row>
    <row r="320" customFormat="false" ht="12.8" hidden="true" customHeight="false" outlineLevel="0" collapsed="false">
      <c r="A320" s="22" t="str">
        <f aca="false">customer_churn_dataset!A1160</f>
        <v>CUST100940</v>
      </c>
      <c r="B320" s="22" t="str">
        <f aca="false">customer_churn_dataset!B1160</f>
        <v>Basic</v>
      </c>
      <c r="C320" s="22" t="str">
        <f aca="false">customer_churn_dataset!C1160</f>
        <v>Month-to-month</v>
      </c>
      <c r="D320" s="0" t="n">
        <f aca="false">INDEX(customer_churn_dataset!$E$2:$E$1501,MATCH($A321,customer_churn_dataset!$A$2:$A$1501,0))</f>
        <v>1</v>
      </c>
      <c r="E320" s="0" t="n">
        <f aca="false">INDEX(customer_churn_dataset!$I$2:$I$1501,MATCH($A321,customer_churn_dataset!$A$2:$A$1501,0))</f>
        <v>48.4</v>
      </c>
      <c r="F320" s="0" t="n">
        <f aca="false">INDEX(customer_churn_dataset!$L$2:$L$1501,MATCH($A321,customer_churn_dataset!$A$2:$A$1501,0))</f>
        <v>0</v>
      </c>
      <c r="G320" s="0" t="str">
        <f aca="false">IF(INDEX(customer_churn_dataset!$M$2:$M$1501,MATCH($A321,customer_churn_dataset!$A$2:$A$1501,0))=1,"Yes","No")</f>
        <v>No</v>
      </c>
      <c r="H320" s="0" t="n">
        <f aca="false">INDEX(customer_churn_dataset!$N$2:$N$1501,MATCH($A321,customer_churn_dataset!$A$2:$A$1501,0))</f>
        <v>20.93</v>
      </c>
      <c r="I320" s="0" t="n">
        <f aca="false">INDEX(customer_churn_dataset!$O$2:$O$1501,MATCH($A321,customer_churn_dataset!$A$2:$A$1501,0))</f>
        <v>0</v>
      </c>
      <c r="J320" s="0" t="n">
        <f aca="false">INDEX(customer_churn_dataset!$T$2:$T$1501,MATCH($A321,customer_churn_dataset!$A$2:$A$1501,0))</f>
        <v>2</v>
      </c>
      <c r="K320" s="0" t="str">
        <f aca="false">INDEX(customer_churn_dataset!$V$2:$V$1501,MATCH($A321,customer_churn_dataset!$A$2:$A$1501,0))</f>
        <v>Low Risk</v>
      </c>
    </row>
    <row r="321" customFormat="false" ht="12.8" hidden="true" customHeight="false" outlineLevel="0" collapsed="false">
      <c r="A321" s="22" t="str">
        <f aca="false">customer_churn_dataset!A1163</f>
        <v>CUST100025</v>
      </c>
      <c r="B321" s="22" t="str">
        <f aca="false">customer_churn_dataset!B1163</f>
        <v>Standard</v>
      </c>
      <c r="C321" s="22" t="str">
        <f aca="false">customer_churn_dataset!C1163</f>
        <v>Two year</v>
      </c>
      <c r="D321" s="0" t="n">
        <f aca="false">INDEX(customer_churn_dataset!$E$2:$E$1501,MATCH($A322,customer_churn_dataset!$A$2:$A$1501,0))</f>
        <v>9</v>
      </c>
      <c r="E321" s="0" t="n">
        <f aca="false">INDEX(customer_churn_dataset!$I$2:$I$1501,MATCH($A322,customer_churn_dataset!$A$2:$A$1501,0))</f>
        <v>35.4</v>
      </c>
      <c r="F321" s="0" t="n">
        <f aca="false">INDEX(customer_churn_dataset!$L$2:$L$1501,MATCH($A322,customer_churn_dataset!$A$2:$A$1501,0))</f>
        <v>0</v>
      </c>
      <c r="G321" s="0" t="str">
        <f aca="false">IF(INDEX(customer_churn_dataset!$M$2:$M$1501,MATCH($A322,customer_churn_dataset!$A$2:$A$1501,0))=1,"Yes","No")</f>
        <v>No</v>
      </c>
      <c r="H321" s="0" t="n">
        <f aca="false">INDEX(customer_churn_dataset!$N$2:$N$1501,MATCH($A322,customer_churn_dataset!$A$2:$A$1501,0))</f>
        <v>355.59</v>
      </c>
      <c r="I321" s="0" t="n">
        <f aca="false">INDEX(customer_churn_dataset!$O$2:$O$1501,MATCH($A322,customer_churn_dataset!$A$2:$A$1501,0))</f>
        <v>0</v>
      </c>
      <c r="J321" s="0" t="n">
        <f aca="false">INDEX(customer_churn_dataset!$T$2:$T$1501,MATCH($A322,customer_churn_dataset!$A$2:$A$1501,0))</f>
        <v>4</v>
      </c>
      <c r="K321" s="0" t="str">
        <f aca="false">INDEX(customer_churn_dataset!$V$2:$V$1501,MATCH($A322,customer_churn_dataset!$A$2:$A$1501,0))</f>
        <v>Medium Risk</v>
      </c>
    </row>
    <row r="322" customFormat="false" ht="12.8" hidden="true" customHeight="false" outlineLevel="0" collapsed="false">
      <c r="A322" s="22" t="str">
        <f aca="false">customer_churn_dataset!A1165</f>
        <v>CUST100444</v>
      </c>
      <c r="B322" s="22" t="str">
        <f aca="false">customer_churn_dataset!B1165</f>
        <v>Premium</v>
      </c>
      <c r="C322" s="22" t="str">
        <f aca="false">customer_churn_dataset!C1165</f>
        <v>One year</v>
      </c>
      <c r="D322" s="0" t="n">
        <f aca="false">INDEX(customer_churn_dataset!$E$2:$E$1501,MATCH($A323,customer_churn_dataset!$A$2:$A$1501,0))</f>
        <v>31</v>
      </c>
      <c r="E322" s="0" t="n">
        <f aca="false">INDEX(customer_churn_dataset!$I$2:$I$1501,MATCH($A323,customer_churn_dataset!$A$2:$A$1501,0))</f>
        <v>36.9</v>
      </c>
      <c r="F322" s="0" t="n">
        <f aca="false">INDEX(customer_churn_dataset!$L$2:$L$1501,MATCH($A323,customer_churn_dataset!$A$2:$A$1501,0))</f>
        <v>1</v>
      </c>
      <c r="G322" s="0" t="str">
        <f aca="false">IF(INDEX(customer_churn_dataset!$M$2:$M$1501,MATCH($A323,customer_churn_dataset!$A$2:$A$1501,0))=1,"Yes","No")</f>
        <v>Yes</v>
      </c>
      <c r="H322" s="0" t="n">
        <f aca="false">INDEX(customer_churn_dataset!$N$2:$N$1501,MATCH($A323,customer_churn_dataset!$A$2:$A$1501,0))</f>
        <v>362.39</v>
      </c>
      <c r="I322" s="0" t="n">
        <f aca="false">INDEX(customer_churn_dataset!$O$2:$O$1501,MATCH($A323,customer_churn_dataset!$A$2:$A$1501,0))</f>
        <v>0</v>
      </c>
      <c r="J322" s="0" t="n">
        <f aca="false">INDEX(customer_churn_dataset!$T$2:$T$1501,MATCH($A323,customer_churn_dataset!$A$2:$A$1501,0))</f>
        <v>7</v>
      </c>
      <c r="K322" s="0" t="str">
        <f aca="false">INDEX(customer_churn_dataset!$V$2:$V$1501,MATCH($A323,customer_churn_dataset!$A$2:$A$1501,0))</f>
        <v>High Risk</v>
      </c>
    </row>
    <row r="323" customFormat="false" ht="12.8" hidden="true" customHeight="false" outlineLevel="0" collapsed="false">
      <c r="A323" s="22" t="str">
        <f aca="false">customer_churn_dataset!A1174</f>
        <v>CUST100291</v>
      </c>
      <c r="B323" s="22" t="str">
        <f aca="false">customer_churn_dataset!B1174</f>
        <v>Basic</v>
      </c>
      <c r="C323" s="22" t="str">
        <f aca="false">customer_churn_dataset!C1174</f>
        <v>Month-to-month</v>
      </c>
      <c r="D323" s="0" t="n">
        <f aca="false">INDEX(customer_churn_dataset!$E$2:$E$1501,MATCH($A324,customer_churn_dataset!$A$2:$A$1501,0))</f>
        <v>25</v>
      </c>
      <c r="E323" s="0" t="n">
        <f aca="false">INDEX(customer_churn_dataset!$I$2:$I$1501,MATCH($A324,customer_churn_dataset!$A$2:$A$1501,0))</f>
        <v>92.6</v>
      </c>
      <c r="F323" s="0" t="n">
        <f aca="false">INDEX(customer_churn_dataset!$L$2:$L$1501,MATCH($A324,customer_churn_dataset!$A$2:$A$1501,0))</f>
        <v>0</v>
      </c>
      <c r="G323" s="0" t="str">
        <f aca="false">IF(INDEX(customer_churn_dataset!$M$2:$M$1501,MATCH($A324,customer_churn_dataset!$A$2:$A$1501,0))=1,"Yes","No")</f>
        <v>No</v>
      </c>
      <c r="H323" s="0" t="n">
        <f aca="false">INDEX(customer_churn_dataset!$N$2:$N$1501,MATCH($A324,customer_churn_dataset!$A$2:$A$1501,0))</f>
        <v>210.5</v>
      </c>
      <c r="I323" s="0" t="n">
        <f aca="false">INDEX(customer_churn_dataset!$O$2:$O$1501,MATCH($A324,customer_churn_dataset!$A$2:$A$1501,0))</f>
        <v>0</v>
      </c>
      <c r="J323" s="0" t="n">
        <f aca="false">INDEX(customer_churn_dataset!$T$2:$T$1501,MATCH($A324,customer_churn_dataset!$A$2:$A$1501,0))</f>
        <v>1</v>
      </c>
      <c r="K323" s="0" t="str">
        <f aca="false">INDEX(customer_churn_dataset!$V$2:$V$1501,MATCH($A324,customer_churn_dataset!$A$2:$A$1501,0))</f>
        <v>Low Risk</v>
      </c>
    </row>
    <row r="324" customFormat="false" ht="12.8" hidden="true" customHeight="false" outlineLevel="0" collapsed="false">
      <c r="A324" s="22" t="str">
        <f aca="false">customer_churn_dataset!A1183</f>
        <v>CUST100023</v>
      </c>
      <c r="B324" s="22" t="str">
        <f aca="false">customer_churn_dataset!B1183</f>
        <v>Basic</v>
      </c>
      <c r="C324" s="22" t="str">
        <f aca="false">customer_churn_dataset!C1183</f>
        <v>One year</v>
      </c>
      <c r="D324" s="0" t="n">
        <f aca="false">INDEX(customer_churn_dataset!$E$2:$E$1501,MATCH($A325,customer_churn_dataset!$A$2:$A$1501,0))</f>
        <v>72</v>
      </c>
      <c r="E324" s="0" t="n">
        <f aca="false">INDEX(customer_churn_dataset!$I$2:$I$1501,MATCH($A325,customer_churn_dataset!$A$2:$A$1501,0))</f>
        <v>71.4</v>
      </c>
      <c r="F324" s="0" t="n">
        <f aca="false">INDEX(customer_churn_dataset!$L$2:$L$1501,MATCH($A325,customer_churn_dataset!$A$2:$A$1501,0))</f>
        <v>0</v>
      </c>
      <c r="G324" s="0" t="str">
        <f aca="false">IF(INDEX(customer_churn_dataset!$M$2:$M$1501,MATCH($A325,customer_churn_dataset!$A$2:$A$1501,0))=1,"Yes","No")</f>
        <v>No</v>
      </c>
      <c r="H324" s="0" t="n">
        <f aca="false">INDEX(customer_churn_dataset!$N$2:$N$1501,MATCH($A325,customer_churn_dataset!$A$2:$A$1501,0))</f>
        <v>864</v>
      </c>
      <c r="I324" s="0" t="n">
        <f aca="false">INDEX(customer_churn_dataset!$O$2:$O$1501,MATCH($A325,customer_churn_dataset!$A$2:$A$1501,0))</f>
        <v>0</v>
      </c>
      <c r="J324" s="0" t="n">
        <f aca="false">INDEX(customer_churn_dataset!$T$2:$T$1501,MATCH($A325,customer_churn_dataset!$A$2:$A$1501,0))</f>
        <v>1</v>
      </c>
      <c r="K324" s="0" t="str">
        <f aca="false">INDEX(customer_churn_dataset!$V$2:$V$1501,MATCH($A325,customer_churn_dataset!$A$2:$A$1501,0))</f>
        <v>Low Risk</v>
      </c>
    </row>
    <row r="325" customFormat="false" ht="12.8" hidden="true" customHeight="false" outlineLevel="0" collapsed="false">
      <c r="A325" s="22" t="str">
        <f aca="false">customer_churn_dataset!A1187</f>
        <v>CUST100335</v>
      </c>
      <c r="B325" s="22" t="str">
        <f aca="false">customer_churn_dataset!B1187</f>
        <v>Basic</v>
      </c>
      <c r="C325" s="22" t="str">
        <f aca="false">customer_churn_dataset!C1187</f>
        <v>One year</v>
      </c>
      <c r="D325" s="0" t="n">
        <f aca="false">INDEX(customer_churn_dataset!$E$2:$E$1501,MATCH($A326,customer_churn_dataset!$A$2:$A$1501,0))</f>
        <v>36</v>
      </c>
      <c r="E325" s="0" t="n">
        <f aca="false">INDEX(customer_churn_dataset!$I$2:$I$1501,MATCH($A326,customer_churn_dataset!$A$2:$A$1501,0))</f>
        <v>71.3</v>
      </c>
      <c r="F325" s="0" t="n">
        <f aca="false">INDEX(customer_churn_dataset!$L$2:$L$1501,MATCH($A326,customer_churn_dataset!$A$2:$A$1501,0))</f>
        <v>0</v>
      </c>
      <c r="G325" s="0" t="str">
        <f aca="false">IF(INDEX(customer_churn_dataset!$M$2:$M$1501,MATCH($A326,customer_churn_dataset!$A$2:$A$1501,0))=1,"Yes","No")</f>
        <v>No</v>
      </c>
      <c r="H325" s="0" t="n">
        <f aca="false">INDEX(customer_churn_dataset!$N$2:$N$1501,MATCH($A326,customer_churn_dataset!$A$2:$A$1501,0))</f>
        <v>1457.64</v>
      </c>
      <c r="I325" s="0" t="n">
        <f aca="false">INDEX(customer_churn_dataset!$O$2:$O$1501,MATCH($A326,customer_churn_dataset!$A$2:$A$1501,0))</f>
        <v>0</v>
      </c>
      <c r="J325" s="0" t="n">
        <f aca="false">INDEX(customer_churn_dataset!$T$2:$T$1501,MATCH($A326,customer_churn_dataset!$A$2:$A$1501,0))</f>
        <v>2</v>
      </c>
      <c r="K325" s="0" t="str">
        <f aca="false">INDEX(customer_churn_dataset!$V$2:$V$1501,MATCH($A326,customer_churn_dataset!$A$2:$A$1501,0))</f>
        <v>Low Risk</v>
      </c>
    </row>
    <row r="326" customFormat="false" ht="12.8" hidden="true" customHeight="false" outlineLevel="0" collapsed="false">
      <c r="A326" s="22" t="str">
        <f aca="false">customer_churn_dataset!A1194</f>
        <v>CUST101002</v>
      </c>
      <c r="B326" s="22" t="str">
        <f aca="false">customer_churn_dataset!B1194</f>
        <v>Premium</v>
      </c>
      <c r="C326" s="22" t="str">
        <f aca="false">customer_churn_dataset!C1194</f>
        <v>Month-to-month</v>
      </c>
      <c r="D326" s="0" t="n">
        <f aca="false">INDEX(customer_churn_dataset!$E$2:$E$1501,MATCH($A327,customer_churn_dataset!$A$2:$A$1501,0))</f>
        <v>24</v>
      </c>
      <c r="E326" s="0" t="n">
        <f aca="false">INDEX(customer_churn_dataset!$I$2:$I$1501,MATCH($A327,customer_churn_dataset!$A$2:$A$1501,0))</f>
        <v>54.6</v>
      </c>
      <c r="F326" s="0" t="n">
        <f aca="false">INDEX(customer_churn_dataset!$L$2:$L$1501,MATCH($A327,customer_churn_dataset!$A$2:$A$1501,0))</f>
        <v>0</v>
      </c>
      <c r="G326" s="0" t="str">
        <f aca="false">IF(INDEX(customer_churn_dataset!$M$2:$M$1501,MATCH($A327,customer_churn_dataset!$A$2:$A$1501,0))=1,"Yes","No")</f>
        <v>No</v>
      </c>
      <c r="H326" s="0" t="n">
        <f aca="false">INDEX(customer_churn_dataset!$N$2:$N$1501,MATCH($A327,customer_churn_dataset!$A$2:$A$1501,0))</f>
        <v>950.88</v>
      </c>
      <c r="I326" s="0" t="n">
        <f aca="false">INDEX(customer_churn_dataset!$O$2:$O$1501,MATCH($A327,customer_churn_dataset!$A$2:$A$1501,0))</f>
        <v>1</v>
      </c>
      <c r="J326" s="0" t="n">
        <f aca="false">INDEX(customer_churn_dataset!$T$2:$T$1501,MATCH($A327,customer_churn_dataset!$A$2:$A$1501,0))</f>
        <v>3</v>
      </c>
      <c r="K326" s="0" t="str">
        <f aca="false">INDEX(customer_churn_dataset!$V$2:$V$1501,MATCH($A327,customer_churn_dataset!$A$2:$A$1501,0))</f>
        <v>Medium Risk</v>
      </c>
    </row>
    <row r="327" customFormat="false" ht="12.8" hidden="true" customHeight="false" outlineLevel="0" collapsed="false">
      <c r="A327" s="22" t="str">
        <f aca="false">customer_churn_dataset!A1201</f>
        <v>CUST100364</v>
      </c>
      <c r="B327" s="22" t="str">
        <f aca="false">customer_churn_dataset!B1201</f>
        <v>Premium</v>
      </c>
      <c r="C327" s="22" t="str">
        <f aca="false">customer_churn_dataset!C1201</f>
        <v>Month-to-month</v>
      </c>
      <c r="D327" s="0" t="n">
        <f aca="false">INDEX(customer_churn_dataset!$E$2:$E$1501,MATCH($A328,customer_churn_dataset!$A$2:$A$1501,0))</f>
        <v>72</v>
      </c>
      <c r="E327" s="0" t="n">
        <f aca="false">INDEX(customer_churn_dataset!$I$2:$I$1501,MATCH($A328,customer_churn_dataset!$A$2:$A$1501,0))</f>
        <v>76.7</v>
      </c>
      <c r="F327" s="0" t="n">
        <f aca="false">INDEX(customer_churn_dataset!$L$2:$L$1501,MATCH($A328,customer_churn_dataset!$A$2:$A$1501,0))</f>
        <v>2</v>
      </c>
      <c r="G327" s="0" t="str">
        <f aca="false">IF(INDEX(customer_churn_dataset!$M$2:$M$1501,MATCH($A328,customer_churn_dataset!$A$2:$A$1501,0))=1,"Yes","No")</f>
        <v>Yes</v>
      </c>
      <c r="H327" s="0" t="n">
        <f aca="false">INDEX(customer_churn_dataset!$N$2:$N$1501,MATCH($A328,customer_churn_dataset!$A$2:$A$1501,0))</f>
        <v>717.84</v>
      </c>
      <c r="I327" s="0" t="n">
        <f aca="false">INDEX(customer_churn_dataset!$O$2:$O$1501,MATCH($A328,customer_churn_dataset!$A$2:$A$1501,0))</f>
        <v>0</v>
      </c>
      <c r="J327" s="0" t="n">
        <f aca="false">INDEX(customer_churn_dataset!$T$2:$T$1501,MATCH($A328,customer_churn_dataset!$A$2:$A$1501,0))</f>
        <v>5</v>
      </c>
      <c r="K327" s="0" t="str">
        <f aca="false">INDEX(customer_churn_dataset!$V$2:$V$1501,MATCH($A328,customer_churn_dataset!$A$2:$A$1501,0))</f>
        <v>Medium Risk</v>
      </c>
    </row>
    <row r="328" customFormat="false" ht="12.8" hidden="true" customHeight="false" outlineLevel="0" collapsed="false">
      <c r="A328" s="22" t="str">
        <f aca="false">customer_churn_dataset!A1203</f>
        <v>CUST100521</v>
      </c>
      <c r="B328" s="22" t="str">
        <f aca="false">customer_churn_dataset!B1203</f>
        <v>Basic</v>
      </c>
      <c r="C328" s="22" t="str">
        <f aca="false">customer_churn_dataset!C1203</f>
        <v>One year</v>
      </c>
      <c r="D328" s="0" t="n">
        <f aca="false">INDEX(customer_churn_dataset!$E$2:$E$1501,MATCH($A329,customer_churn_dataset!$A$2:$A$1501,0))</f>
        <v>17</v>
      </c>
      <c r="E328" s="0" t="n">
        <f aca="false">INDEX(customer_churn_dataset!$I$2:$I$1501,MATCH($A329,customer_churn_dataset!$A$2:$A$1501,0))</f>
        <v>74.9</v>
      </c>
      <c r="F328" s="0" t="n">
        <f aca="false">INDEX(customer_churn_dataset!$L$2:$L$1501,MATCH($A329,customer_churn_dataset!$A$2:$A$1501,0))</f>
        <v>3</v>
      </c>
      <c r="G328" s="0" t="str">
        <f aca="false">IF(INDEX(customer_churn_dataset!$M$2:$M$1501,MATCH($A329,customer_churn_dataset!$A$2:$A$1501,0))=1,"Yes","No")</f>
        <v>No</v>
      </c>
      <c r="H328" s="0" t="n">
        <f aca="false">INDEX(customer_churn_dataset!$N$2:$N$1501,MATCH($A329,customer_churn_dataset!$A$2:$A$1501,0))</f>
        <v>342.72</v>
      </c>
      <c r="I328" s="0" t="n">
        <f aca="false">INDEX(customer_churn_dataset!$O$2:$O$1501,MATCH($A329,customer_churn_dataset!$A$2:$A$1501,0))</f>
        <v>0</v>
      </c>
      <c r="J328" s="0" t="n">
        <f aca="false">INDEX(customer_churn_dataset!$T$2:$T$1501,MATCH($A329,customer_churn_dataset!$A$2:$A$1501,0))</f>
        <v>3</v>
      </c>
      <c r="K328" s="0" t="str">
        <f aca="false">INDEX(customer_churn_dataset!$V$2:$V$1501,MATCH($A329,customer_churn_dataset!$A$2:$A$1501,0))</f>
        <v>Medium Risk</v>
      </c>
    </row>
    <row r="329" customFormat="false" ht="12.8" hidden="true" customHeight="false" outlineLevel="0" collapsed="false">
      <c r="A329" s="22" t="str">
        <f aca="false">customer_churn_dataset!A1219</f>
        <v>CUST100496</v>
      </c>
      <c r="B329" s="22" t="str">
        <f aca="false">customer_churn_dataset!B1219</f>
        <v>Standard</v>
      </c>
      <c r="C329" s="22" t="str">
        <f aca="false">customer_churn_dataset!C1219</f>
        <v>Month-to-month</v>
      </c>
      <c r="D329" s="0" t="n">
        <f aca="false">INDEX(customer_churn_dataset!$E$2:$E$1501,MATCH($A330,customer_churn_dataset!$A$2:$A$1501,0))</f>
        <v>25</v>
      </c>
      <c r="E329" s="0" t="n">
        <f aca="false">INDEX(customer_churn_dataset!$I$2:$I$1501,MATCH($A330,customer_churn_dataset!$A$2:$A$1501,0))</f>
        <v>55</v>
      </c>
      <c r="F329" s="0" t="n">
        <f aca="false">INDEX(customer_churn_dataset!$L$2:$L$1501,MATCH($A330,customer_churn_dataset!$A$2:$A$1501,0))</f>
        <v>0</v>
      </c>
      <c r="G329" s="0" t="str">
        <f aca="false">IF(INDEX(customer_churn_dataset!$M$2:$M$1501,MATCH($A330,customer_churn_dataset!$A$2:$A$1501,0))=1,"Yes","No")</f>
        <v>No</v>
      </c>
      <c r="H329" s="0" t="n">
        <f aca="false">INDEX(customer_churn_dataset!$N$2:$N$1501,MATCH($A330,customer_churn_dataset!$A$2:$A$1501,0))</f>
        <v>989</v>
      </c>
      <c r="I329" s="0" t="n">
        <f aca="false">INDEX(customer_churn_dataset!$O$2:$O$1501,MATCH($A330,customer_churn_dataset!$A$2:$A$1501,0))</f>
        <v>1</v>
      </c>
      <c r="J329" s="0" t="n">
        <f aca="false">INDEX(customer_churn_dataset!$T$2:$T$1501,MATCH($A330,customer_churn_dataset!$A$2:$A$1501,0))</f>
        <v>1</v>
      </c>
      <c r="K329" s="0" t="str">
        <f aca="false">INDEX(customer_churn_dataset!$V$2:$V$1501,MATCH($A330,customer_churn_dataset!$A$2:$A$1501,0))</f>
        <v>Low Risk</v>
      </c>
    </row>
    <row r="330" customFormat="false" ht="12.8" hidden="true" customHeight="false" outlineLevel="0" collapsed="false">
      <c r="A330" s="22" t="str">
        <f aca="false">customer_churn_dataset!A1224</f>
        <v>CUST100618</v>
      </c>
      <c r="B330" s="22" t="str">
        <f aca="false">customer_churn_dataset!B1224</f>
        <v>Premium</v>
      </c>
      <c r="C330" s="22" t="str">
        <f aca="false">customer_churn_dataset!C1224</f>
        <v>One year</v>
      </c>
      <c r="D330" s="0" t="n">
        <f aca="false">INDEX(customer_churn_dataset!$E$2:$E$1501,MATCH($A331,customer_churn_dataset!$A$2:$A$1501,0))</f>
        <v>23</v>
      </c>
      <c r="E330" s="0" t="n">
        <f aca="false">INDEX(customer_churn_dataset!$I$2:$I$1501,MATCH($A331,customer_churn_dataset!$A$2:$A$1501,0))</f>
        <v>76.2</v>
      </c>
      <c r="F330" s="0" t="n">
        <f aca="false">INDEX(customer_churn_dataset!$L$2:$L$1501,MATCH($A331,customer_churn_dataset!$A$2:$A$1501,0))</f>
        <v>0</v>
      </c>
      <c r="G330" s="0" t="str">
        <f aca="false">IF(INDEX(customer_churn_dataset!$M$2:$M$1501,MATCH($A331,customer_churn_dataset!$A$2:$A$1501,0))=1,"Yes","No")</f>
        <v>No</v>
      </c>
      <c r="H330" s="0" t="n">
        <f aca="false">INDEX(customer_churn_dataset!$N$2:$N$1501,MATCH($A331,customer_churn_dataset!$A$2:$A$1501,0))</f>
        <v>445.51</v>
      </c>
      <c r="I330" s="0" t="n">
        <f aca="false">INDEX(customer_churn_dataset!$O$2:$O$1501,MATCH($A331,customer_churn_dataset!$A$2:$A$1501,0))</f>
        <v>0</v>
      </c>
      <c r="J330" s="0" t="n">
        <f aca="false">INDEX(customer_churn_dataset!$T$2:$T$1501,MATCH($A331,customer_churn_dataset!$A$2:$A$1501,0))</f>
        <v>2</v>
      </c>
      <c r="K330" s="0" t="str">
        <f aca="false">INDEX(customer_churn_dataset!$V$2:$V$1501,MATCH($A331,customer_churn_dataset!$A$2:$A$1501,0))</f>
        <v>Low Risk</v>
      </c>
    </row>
    <row r="331" customFormat="false" ht="12.8" hidden="true" customHeight="false" outlineLevel="0" collapsed="false">
      <c r="A331" s="22" t="str">
        <f aca="false">customer_churn_dataset!A1233</f>
        <v>CUST100914</v>
      </c>
      <c r="B331" s="22" t="str">
        <f aca="false">customer_churn_dataset!B1233</f>
        <v>Standard</v>
      </c>
      <c r="C331" s="22" t="str">
        <f aca="false">customer_churn_dataset!C1233</f>
        <v>Month-to-month</v>
      </c>
      <c r="D331" s="0" t="n">
        <f aca="false">INDEX(customer_churn_dataset!$E$2:$E$1501,MATCH($A332,customer_churn_dataset!$A$2:$A$1501,0))</f>
        <v>60</v>
      </c>
      <c r="E331" s="0" t="n">
        <f aca="false">INDEX(customer_churn_dataset!$I$2:$I$1501,MATCH($A332,customer_churn_dataset!$A$2:$A$1501,0))</f>
        <v>20.7</v>
      </c>
      <c r="F331" s="0" t="n">
        <f aca="false">INDEX(customer_churn_dataset!$L$2:$L$1501,MATCH($A332,customer_churn_dataset!$A$2:$A$1501,0))</f>
        <v>3</v>
      </c>
      <c r="G331" s="0" t="str">
        <f aca="false">IF(INDEX(customer_churn_dataset!$M$2:$M$1501,MATCH($A332,customer_churn_dataset!$A$2:$A$1501,0))=1,"Yes","No")</f>
        <v>No</v>
      </c>
      <c r="H331" s="0" t="n">
        <f aca="false">INDEX(customer_churn_dataset!$N$2:$N$1501,MATCH($A332,customer_churn_dataset!$A$2:$A$1501,0))</f>
        <v>550.2</v>
      </c>
      <c r="I331" s="0" t="n">
        <f aca="false">INDEX(customer_churn_dataset!$O$2:$O$1501,MATCH($A332,customer_churn_dataset!$A$2:$A$1501,0))</f>
        <v>0</v>
      </c>
      <c r="J331" s="0" t="n">
        <f aca="false">INDEX(customer_churn_dataset!$T$2:$T$1501,MATCH($A332,customer_churn_dataset!$A$2:$A$1501,0))</f>
        <v>3</v>
      </c>
      <c r="K331" s="0" t="str">
        <f aca="false">INDEX(customer_churn_dataset!$V$2:$V$1501,MATCH($A332,customer_churn_dataset!$A$2:$A$1501,0))</f>
        <v>Medium Risk</v>
      </c>
    </row>
    <row r="332" customFormat="false" ht="12.8" hidden="true" customHeight="false" outlineLevel="0" collapsed="false">
      <c r="A332" s="22" t="str">
        <f aca="false">customer_churn_dataset!A1235</f>
        <v>CUST100895</v>
      </c>
      <c r="B332" s="22" t="str">
        <f aca="false">customer_churn_dataset!B1235</f>
        <v>Basic</v>
      </c>
      <c r="C332" s="22" t="str">
        <f aca="false">customer_churn_dataset!C1235</f>
        <v>Two year</v>
      </c>
      <c r="D332" s="0" t="n">
        <f aca="false">INDEX(customer_churn_dataset!$E$2:$E$1501,MATCH($A333,customer_churn_dataset!$A$2:$A$1501,0))</f>
        <v>3</v>
      </c>
      <c r="E332" s="0" t="n">
        <f aca="false">INDEX(customer_churn_dataset!$I$2:$I$1501,MATCH($A333,customer_churn_dataset!$A$2:$A$1501,0))</f>
        <v>80.8</v>
      </c>
      <c r="F332" s="0" t="n">
        <f aca="false">INDEX(customer_churn_dataset!$L$2:$L$1501,MATCH($A333,customer_churn_dataset!$A$2:$A$1501,0))</f>
        <v>1</v>
      </c>
      <c r="G332" s="0" t="str">
        <f aca="false">IF(INDEX(customer_churn_dataset!$M$2:$M$1501,MATCH($A333,customer_churn_dataset!$A$2:$A$1501,0))=1,"Yes","No")</f>
        <v>No</v>
      </c>
      <c r="H332" s="0" t="n">
        <f aca="false">INDEX(customer_churn_dataset!$N$2:$N$1501,MATCH($A333,customer_churn_dataset!$A$2:$A$1501,0))</f>
        <v>27.66</v>
      </c>
      <c r="I332" s="0" t="n">
        <f aca="false">INDEX(customer_churn_dataset!$O$2:$O$1501,MATCH($A333,customer_churn_dataset!$A$2:$A$1501,0))</f>
        <v>0</v>
      </c>
      <c r="J332" s="0" t="n">
        <f aca="false">INDEX(customer_churn_dataset!$T$2:$T$1501,MATCH($A333,customer_churn_dataset!$A$2:$A$1501,0))</f>
        <v>3</v>
      </c>
      <c r="K332" s="0" t="str">
        <f aca="false">INDEX(customer_churn_dataset!$V$2:$V$1501,MATCH($A333,customer_churn_dataset!$A$2:$A$1501,0))</f>
        <v>Medium Risk</v>
      </c>
    </row>
    <row r="333" customFormat="false" ht="12.8" hidden="true" customHeight="false" outlineLevel="0" collapsed="false">
      <c r="A333" s="22" t="str">
        <f aca="false">customer_churn_dataset!A1240</f>
        <v>CUST100818</v>
      </c>
      <c r="B333" s="22" t="str">
        <f aca="false">customer_churn_dataset!B1240</f>
        <v>Basic</v>
      </c>
      <c r="C333" s="22" t="str">
        <f aca="false">customer_churn_dataset!C1240</f>
        <v>Month-to-month</v>
      </c>
      <c r="D333" s="0" t="n">
        <f aca="false">INDEX(customer_churn_dataset!$E$2:$E$1501,MATCH($A334,customer_churn_dataset!$A$2:$A$1501,0))</f>
        <v>9</v>
      </c>
      <c r="E333" s="0" t="n">
        <f aca="false">INDEX(customer_churn_dataset!$I$2:$I$1501,MATCH($A334,customer_churn_dataset!$A$2:$A$1501,0))</f>
        <v>44.7</v>
      </c>
      <c r="F333" s="0" t="n">
        <f aca="false">INDEX(customer_churn_dataset!$L$2:$L$1501,MATCH($A334,customer_churn_dataset!$A$2:$A$1501,0))</f>
        <v>0</v>
      </c>
      <c r="G333" s="0" t="str">
        <f aca="false">IF(INDEX(customer_churn_dataset!$M$2:$M$1501,MATCH($A334,customer_churn_dataset!$A$2:$A$1501,0))=1,"Yes","No")</f>
        <v>No</v>
      </c>
      <c r="H333" s="0" t="n">
        <f aca="false">INDEX(customer_churn_dataset!$N$2:$N$1501,MATCH($A334,customer_churn_dataset!$A$2:$A$1501,0))</f>
        <v>343.35</v>
      </c>
      <c r="I333" s="0" t="n">
        <f aca="false">INDEX(customer_churn_dataset!$O$2:$O$1501,MATCH($A334,customer_churn_dataset!$A$2:$A$1501,0))</f>
        <v>0</v>
      </c>
      <c r="J333" s="0" t="n">
        <f aca="false">INDEX(customer_churn_dataset!$T$2:$T$1501,MATCH($A334,customer_churn_dataset!$A$2:$A$1501,0))</f>
        <v>2</v>
      </c>
      <c r="K333" s="0" t="str">
        <f aca="false">INDEX(customer_churn_dataset!$V$2:$V$1501,MATCH($A334,customer_churn_dataset!$A$2:$A$1501,0))</f>
        <v>Low Risk</v>
      </c>
    </row>
    <row r="334" customFormat="false" ht="12.8" hidden="true" customHeight="false" outlineLevel="0" collapsed="false">
      <c r="A334" s="22" t="str">
        <f aca="false">customer_churn_dataset!A1245</f>
        <v>CUST100126</v>
      </c>
      <c r="B334" s="22" t="str">
        <f aca="false">customer_churn_dataset!B1245</f>
        <v>Premium</v>
      </c>
      <c r="C334" s="22" t="str">
        <f aca="false">customer_churn_dataset!C1245</f>
        <v>Two year</v>
      </c>
      <c r="D334" s="0" t="n">
        <f aca="false">INDEX(customer_churn_dataset!$E$2:$E$1501,MATCH($A335,customer_churn_dataset!$A$2:$A$1501,0))</f>
        <v>33</v>
      </c>
      <c r="E334" s="0" t="n">
        <f aca="false">INDEX(customer_churn_dataset!$I$2:$I$1501,MATCH($A335,customer_churn_dataset!$A$2:$A$1501,0))</f>
        <v>36</v>
      </c>
      <c r="F334" s="0" t="n">
        <f aca="false">INDEX(customer_churn_dataset!$L$2:$L$1501,MATCH($A335,customer_churn_dataset!$A$2:$A$1501,0))</f>
        <v>0</v>
      </c>
      <c r="G334" s="0" t="str">
        <f aca="false">IF(INDEX(customer_churn_dataset!$M$2:$M$1501,MATCH($A335,customer_churn_dataset!$A$2:$A$1501,0))=1,"Yes","No")</f>
        <v>No</v>
      </c>
      <c r="H334" s="0" t="n">
        <f aca="false">INDEX(customer_churn_dataset!$N$2:$N$1501,MATCH($A335,customer_churn_dataset!$A$2:$A$1501,0))</f>
        <v>383.79</v>
      </c>
      <c r="I334" s="0" t="n">
        <f aca="false">INDEX(customer_churn_dataset!$O$2:$O$1501,MATCH($A335,customer_churn_dataset!$A$2:$A$1501,0))</f>
        <v>0</v>
      </c>
      <c r="J334" s="0" t="n">
        <f aca="false">INDEX(customer_churn_dataset!$T$2:$T$1501,MATCH($A335,customer_churn_dataset!$A$2:$A$1501,0))</f>
        <v>4</v>
      </c>
      <c r="K334" s="0" t="str">
        <f aca="false">INDEX(customer_churn_dataset!$V$2:$V$1501,MATCH($A335,customer_churn_dataset!$A$2:$A$1501,0))</f>
        <v>Medium Risk</v>
      </c>
    </row>
    <row r="335" customFormat="false" ht="12.8" hidden="true" customHeight="false" outlineLevel="0" collapsed="false">
      <c r="A335" s="22" t="str">
        <f aca="false">customer_churn_dataset!A1247</f>
        <v>CUST100600</v>
      </c>
      <c r="B335" s="22" t="str">
        <f aca="false">customer_churn_dataset!B1247</f>
        <v>Basic</v>
      </c>
      <c r="C335" s="22" t="str">
        <f aca="false">customer_churn_dataset!C1247</f>
        <v>Month-to-month</v>
      </c>
      <c r="D335" s="0" t="n">
        <f aca="false">INDEX(customer_churn_dataset!$E$2:$E$1501,MATCH($A336,customer_churn_dataset!$A$2:$A$1501,0))</f>
        <v>14</v>
      </c>
      <c r="E335" s="0" t="n">
        <f aca="false">INDEX(customer_churn_dataset!$I$2:$I$1501,MATCH($A336,customer_churn_dataset!$A$2:$A$1501,0))</f>
        <v>100</v>
      </c>
      <c r="F335" s="0" t="n">
        <f aca="false">INDEX(customer_churn_dataset!$L$2:$L$1501,MATCH($A336,customer_churn_dataset!$A$2:$A$1501,0))</f>
        <v>2</v>
      </c>
      <c r="G335" s="0" t="str">
        <f aca="false">IF(INDEX(customer_churn_dataset!$M$2:$M$1501,MATCH($A336,customer_churn_dataset!$A$2:$A$1501,0))=1,"Yes","No")</f>
        <v>No</v>
      </c>
      <c r="H335" s="0" t="n">
        <f aca="false">INDEX(customer_churn_dataset!$N$2:$N$1501,MATCH($A336,customer_churn_dataset!$A$2:$A$1501,0))</f>
        <v>141.12</v>
      </c>
      <c r="I335" s="0" t="n">
        <f aca="false">INDEX(customer_churn_dataset!$O$2:$O$1501,MATCH($A336,customer_churn_dataset!$A$2:$A$1501,0))</f>
        <v>1</v>
      </c>
      <c r="J335" s="0" t="n">
        <f aca="false">INDEX(customer_churn_dataset!$T$2:$T$1501,MATCH($A336,customer_churn_dataset!$A$2:$A$1501,0))</f>
        <v>3</v>
      </c>
      <c r="K335" s="0" t="str">
        <f aca="false">INDEX(customer_churn_dataset!$V$2:$V$1501,MATCH($A336,customer_churn_dataset!$A$2:$A$1501,0))</f>
        <v>Medium Risk</v>
      </c>
    </row>
    <row r="336" customFormat="false" ht="12.8" hidden="true" customHeight="false" outlineLevel="0" collapsed="false">
      <c r="A336" s="22" t="str">
        <f aca="false">customer_churn_dataset!A1249</f>
        <v>CUST101132</v>
      </c>
      <c r="B336" s="22" t="str">
        <f aca="false">customer_churn_dataset!B1249</f>
        <v>Basic</v>
      </c>
      <c r="C336" s="22" t="str">
        <f aca="false">customer_churn_dataset!C1249</f>
        <v>Month-to-month</v>
      </c>
      <c r="D336" s="0" t="n">
        <f aca="false">INDEX(customer_churn_dataset!$E$2:$E$1501,MATCH($A337,customer_churn_dataset!$A$2:$A$1501,0))</f>
        <v>0</v>
      </c>
      <c r="E336" s="0" t="n">
        <f aca="false">INDEX(customer_churn_dataset!$I$2:$I$1501,MATCH($A337,customer_churn_dataset!$A$2:$A$1501,0))</f>
        <v>53.3</v>
      </c>
      <c r="F336" s="0" t="n">
        <f aca="false">INDEX(customer_churn_dataset!$L$2:$L$1501,MATCH($A337,customer_churn_dataset!$A$2:$A$1501,0))</f>
        <v>0</v>
      </c>
      <c r="G336" s="0" t="str">
        <f aca="false">IF(INDEX(customer_churn_dataset!$M$2:$M$1501,MATCH($A337,customer_churn_dataset!$A$2:$A$1501,0))=1,"Yes","No")</f>
        <v>No</v>
      </c>
      <c r="H336" s="0" t="n">
        <f aca="false">INDEX(customer_churn_dataset!$N$2:$N$1501,MATCH($A337,customer_churn_dataset!$A$2:$A$1501,0))</f>
        <v>0</v>
      </c>
      <c r="I336" s="0" t="n">
        <f aca="false">INDEX(customer_churn_dataset!$O$2:$O$1501,MATCH($A337,customer_churn_dataset!$A$2:$A$1501,0))</f>
        <v>0</v>
      </c>
      <c r="J336" s="0" t="n">
        <f aca="false">INDEX(customer_churn_dataset!$T$2:$T$1501,MATCH($A337,customer_churn_dataset!$A$2:$A$1501,0))</f>
        <v>4</v>
      </c>
      <c r="K336" s="0" t="str">
        <f aca="false">INDEX(customer_churn_dataset!$V$2:$V$1501,MATCH($A337,customer_churn_dataset!$A$2:$A$1501,0))</f>
        <v>Medium Risk</v>
      </c>
    </row>
    <row r="337" customFormat="false" ht="12.8" hidden="true" customHeight="false" outlineLevel="0" collapsed="false">
      <c r="A337" s="22" t="str">
        <f aca="false">customer_churn_dataset!A1257</f>
        <v>CUST100022</v>
      </c>
      <c r="B337" s="22" t="str">
        <f aca="false">customer_churn_dataset!B1257</f>
        <v>Basic</v>
      </c>
      <c r="C337" s="22" t="str">
        <f aca="false">customer_churn_dataset!C1257</f>
        <v>Month-to-month</v>
      </c>
      <c r="D337" s="0" t="n">
        <f aca="false">INDEX(customer_churn_dataset!$E$2:$E$1501,MATCH($A338,customer_churn_dataset!$A$2:$A$1501,0))</f>
        <v>18</v>
      </c>
      <c r="E337" s="0" t="n">
        <f aca="false">INDEX(customer_churn_dataset!$I$2:$I$1501,MATCH($A338,customer_churn_dataset!$A$2:$A$1501,0))</f>
        <v>58.2</v>
      </c>
      <c r="F337" s="0" t="n">
        <f aca="false">INDEX(customer_churn_dataset!$L$2:$L$1501,MATCH($A338,customer_churn_dataset!$A$2:$A$1501,0))</f>
        <v>1</v>
      </c>
      <c r="G337" s="0" t="str">
        <f aca="false">IF(INDEX(customer_churn_dataset!$M$2:$M$1501,MATCH($A338,customer_churn_dataset!$A$2:$A$1501,0))=1,"Yes","No")</f>
        <v>No</v>
      </c>
      <c r="H337" s="0" t="n">
        <f aca="false">INDEX(customer_churn_dataset!$N$2:$N$1501,MATCH($A338,customer_churn_dataset!$A$2:$A$1501,0))</f>
        <v>351.9</v>
      </c>
      <c r="I337" s="0" t="n">
        <f aca="false">INDEX(customer_churn_dataset!$O$2:$O$1501,MATCH($A338,customer_churn_dataset!$A$2:$A$1501,0))</f>
        <v>0</v>
      </c>
      <c r="J337" s="0" t="n">
        <f aca="false">INDEX(customer_churn_dataset!$T$2:$T$1501,MATCH($A338,customer_churn_dataset!$A$2:$A$1501,0))</f>
        <v>2</v>
      </c>
      <c r="K337" s="0" t="str">
        <f aca="false">INDEX(customer_churn_dataset!$V$2:$V$1501,MATCH($A338,customer_churn_dataset!$A$2:$A$1501,0))</f>
        <v>Low Risk</v>
      </c>
    </row>
    <row r="338" customFormat="false" ht="12.8" hidden="true" customHeight="false" outlineLevel="0" collapsed="false">
      <c r="A338" s="22" t="str">
        <f aca="false">customer_churn_dataset!A1261</f>
        <v>CUST100559</v>
      </c>
      <c r="B338" s="22" t="str">
        <f aca="false">customer_churn_dataset!B1261</f>
        <v>Standard</v>
      </c>
      <c r="C338" s="22" t="str">
        <f aca="false">customer_churn_dataset!C1261</f>
        <v>Month-to-month</v>
      </c>
      <c r="D338" s="0" t="n">
        <f aca="false">INDEX(customer_churn_dataset!$E$2:$E$1501,MATCH($A339,customer_churn_dataset!$A$2:$A$1501,0))</f>
        <v>3</v>
      </c>
      <c r="E338" s="0" t="n">
        <f aca="false">INDEX(customer_churn_dataset!$I$2:$I$1501,MATCH($A339,customer_churn_dataset!$A$2:$A$1501,0))</f>
        <v>62.2</v>
      </c>
      <c r="F338" s="0" t="n">
        <f aca="false">INDEX(customer_churn_dataset!$L$2:$L$1501,MATCH($A339,customer_churn_dataset!$A$2:$A$1501,0))</f>
        <v>1</v>
      </c>
      <c r="G338" s="0" t="str">
        <f aca="false">IF(INDEX(customer_churn_dataset!$M$2:$M$1501,MATCH($A339,customer_churn_dataset!$A$2:$A$1501,0))=1,"Yes","No")</f>
        <v>No</v>
      </c>
      <c r="H338" s="0" t="n">
        <f aca="false">INDEX(customer_churn_dataset!$N$2:$N$1501,MATCH($A339,customer_churn_dataset!$A$2:$A$1501,0))</f>
        <v>34.05</v>
      </c>
      <c r="I338" s="0" t="n">
        <f aca="false">INDEX(customer_churn_dataset!$O$2:$O$1501,MATCH($A339,customer_churn_dataset!$A$2:$A$1501,0))</f>
        <v>1</v>
      </c>
      <c r="J338" s="0" t="n">
        <f aca="false">INDEX(customer_churn_dataset!$T$2:$T$1501,MATCH($A339,customer_churn_dataset!$A$2:$A$1501,0))</f>
        <v>2</v>
      </c>
      <c r="K338" s="0" t="str">
        <f aca="false">INDEX(customer_churn_dataset!$V$2:$V$1501,MATCH($A339,customer_churn_dataset!$A$2:$A$1501,0))</f>
        <v>Low Risk</v>
      </c>
    </row>
    <row r="339" customFormat="false" ht="12.8" hidden="true" customHeight="false" outlineLevel="0" collapsed="false">
      <c r="A339" s="22" t="str">
        <f aca="false">customer_churn_dataset!A1271</f>
        <v>CUST100039</v>
      </c>
      <c r="B339" s="22" t="str">
        <f aca="false">customer_churn_dataset!B1271</f>
        <v>Basic</v>
      </c>
      <c r="C339" s="22" t="str">
        <f aca="false">customer_churn_dataset!C1271</f>
        <v>One year</v>
      </c>
      <c r="D339" s="0" t="n">
        <f aca="false">INDEX(customer_churn_dataset!$E$2:$E$1501,MATCH($A340,customer_churn_dataset!$A$2:$A$1501,0))</f>
        <v>31</v>
      </c>
      <c r="E339" s="0" t="n">
        <f aca="false">INDEX(customer_churn_dataset!$I$2:$I$1501,MATCH($A340,customer_churn_dataset!$A$2:$A$1501,0))</f>
        <v>36.8</v>
      </c>
      <c r="F339" s="0" t="n">
        <f aca="false">INDEX(customer_churn_dataset!$L$2:$L$1501,MATCH($A340,customer_churn_dataset!$A$2:$A$1501,0))</f>
        <v>0</v>
      </c>
      <c r="G339" s="0" t="str">
        <f aca="false">IF(INDEX(customer_churn_dataset!$M$2:$M$1501,MATCH($A340,customer_churn_dataset!$A$2:$A$1501,0))=1,"Yes","No")</f>
        <v>No</v>
      </c>
      <c r="H339" s="0" t="n">
        <f aca="false">INDEX(customer_churn_dataset!$N$2:$N$1501,MATCH($A340,customer_churn_dataset!$A$2:$A$1501,0))</f>
        <v>669.6</v>
      </c>
      <c r="I339" s="0" t="n">
        <f aca="false">INDEX(customer_churn_dataset!$O$2:$O$1501,MATCH($A340,customer_churn_dataset!$A$2:$A$1501,0))</f>
        <v>0</v>
      </c>
      <c r="J339" s="0" t="n">
        <f aca="false">INDEX(customer_churn_dataset!$T$2:$T$1501,MATCH($A340,customer_churn_dataset!$A$2:$A$1501,0))</f>
        <v>4</v>
      </c>
      <c r="K339" s="0" t="str">
        <f aca="false">INDEX(customer_churn_dataset!$V$2:$V$1501,MATCH($A340,customer_churn_dataset!$A$2:$A$1501,0))</f>
        <v>Medium Risk</v>
      </c>
    </row>
    <row r="340" customFormat="false" ht="12.8" hidden="true" customHeight="false" outlineLevel="0" collapsed="false">
      <c r="A340" s="22" t="str">
        <f aca="false">customer_churn_dataset!A1279</f>
        <v>CUST100277</v>
      </c>
      <c r="B340" s="22" t="str">
        <f aca="false">customer_churn_dataset!B1279</f>
        <v>Standard</v>
      </c>
      <c r="C340" s="22" t="str">
        <f aca="false">customer_churn_dataset!C1279</f>
        <v>Month-to-month</v>
      </c>
      <c r="D340" s="0" t="n">
        <f aca="false">INDEX(customer_churn_dataset!$E$2:$E$1501,MATCH($A341,customer_churn_dataset!$A$2:$A$1501,0))</f>
        <v>9</v>
      </c>
      <c r="E340" s="0" t="n">
        <f aca="false">INDEX(customer_churn_dataset!$I$2:$I$1501,MATCH($A341,customer_churn_dataset!$A$2:$A$1501,0))</f>
        <v>59.6</v>
      </c>
      <c r="F340" s="0" t="n">
        <f aca="false">INDEX(customer_churn_dataset!$L$2:$L$1501,MATCH($A341,customer_churn_dataset!$A$2:$A$1501,0))</f>
        <v>1</v>
      </c>
      <c r="G340" s="0" t="str">
        <f aca="false">IF(INDEX(customer_churn_dataset!$M$2:$M$1501,MATCH($A341,customer_churn_dataset!$A$2:$A$1501,0))=1,"Yes","No")</f>
        <v>No</v>
      </c>
      <c r="H340" s="0" t="n">
        <f aca="false">INDEX(customer_churn_dataset!$N$2:$N$1501,MATCH($A341,customer_churn_dataset!$A$2:$A$1501,0))</f>
        <v>96.66</v>
      </c>
      <c r="I340" s="0" t="n">
        <f aca="false">INDEX(customer_churn_dataset!$O$2:$O$1501,MATCH($A341,customer_churn_dataset!$A$2:$A$1501,0))</f>
        <v>0</v>
      </c>
      <c r="J340" s="0" t="n">
        <f aca="false">INDEX(customer_churn_dataset!$T$2:$T$1501,MATCH($A341,customer_churn_dataset!$A$2:$A$1501,0))</f>
        <v>1</v>
      </c>
      <c r="K340" s="0" t="str">
        <f aca="false">INDEX(customer_churn_dataset!$V$2:$V$1501,MATCH($A341,customer_churn_dataset!$A$2:$A$1501,0))</f>
        <v>Low Risk</v>
      </c>
    </row>
    <row r="341" customFormat="false" ht="12.8" hidden="true" customHeight="false" outlineLevel="0" collapsed="false">
      <c r="A341" s="22" t="str">
        <f aca="false">customer_churn_dataset!A1300</f>
        <v>CUST100761</v>
      </c>
      <c r="B341" s="22" t="str">
        <f aca="false">customer_churn_dataset!B1300</f>
        <v>Basic</v>
      </c>
      <c r="C341" s="22" t="str">
        <f aca="false">customer_churn_dataset!C1300</f>
        <v>Two year</v>
      </c>
      <c r="D341" s="0" t="n">
        <f aca="false">INDEX(customer_churn_dataset!$E$2:$E$1501,MATCH($A342,customer_churn_dataset!$A$2:$A$1501,0))</f>
        <v>0</v>
      </c>
      <c r="E341" s="0" t="n">
        <f aca="false">INDEX(customer_churn_dataset!$I$2:$I$1501,MATCH($A342,customer_churn_dataset!$A$2:$A$1501,0))</f>
        <v>64</v>
      </c>
      <c r="F341" s="0" t="n">
        <f aca="false">INDEX(customer_churn_dataset!$L$2:$L$1501,MATCH($A342,customer_churn_dataset!$A$2:$A$1501,0))</f>
        <v>0</v>
      </c>
      <c r="G341" s="0" t="str">
        <f aca="false">IF(INDEX(customer_churn_dataset!$M$2:$M$1501,MATCH($A342,customer_churn_dataset!$A$2:$A$1501,0))=1,"Yes","No")</f>
        <v>No</v>
      </c>
      <c r="H341" s="0" t="n">
        <f aca="false">INDEX(customer_churn_dataset!$N$2:$N$1501,MATCH($A342,customer_churn_dataset!$A$2:$A$1501,0))</f>
        <v>0</v>
      </c>
      <c r="I341" s="0" t="n">
        <f aca="false">INDEX(customer_churn_dataset!$O$2:$O$1501,MATCH($A342,customer_churn_dataset!$A$2:$A$1501,0))</f>
        <v>0</v>
      </c>
      <c r="J341" s="0" t="n">
        <f aca="false">INDEX(customer_churn_dataset!$T$2:$T$1501,MATCH($A342,customer_churn_dataset!$A$2:$A$1501,0))</f>
        <v>2</v>
      </c>
      <c r="K341" s="0" t="str">
        <f aca="false">INDEX(customer_churn_dataset!$V$2:$V$1501,MATCH($A342,customer_churn_dataset!$A$2:$A$1501,0))</f>
        <v>Low Risk</v>
      </c>
    </row>
    <row r="342" customFormat="false" ht="12.8" hidden="true" customHeight="false" outlineLevel="0" collapsed="false">
      <c r="A342" s="22" t="str">
        <f aca="false">customer_churn_dataset!A1303</f>
        <v>CUST100996</v>
      </c>
      <c r="B342" s="22" t="str">
        <f aca="false">customer_churn_dataset!B1303</f>
        <v>Premium</v>
      </c>
      <c r="C342" s="22" t="str">
        <f aca="false">customer_churn_dataset!C1303</f>
        <v>One year</v>
      </c>
      <c r="D342" s="0" t="n">
        <f aca="false">INDEX(customer_churn_dataset!$E$2:$E$1501,MATCH($A343,customer_churn_dataset!$A$2:$A$1501,0))</f>
        <v>1</v>
      </c>
      <c r="E342" s="0" t="n">
        <f aca="false">INDEX(customer_churn_dataset!$I$2:$I$1501,MATCH($A343,customer_churn_dataset!$A$2:$A$1501,0))</f>
        <v>60.8</v>
      </c>
      <c r="F342" s="0" t="n">
        <f aca="false">INDEX(customer_churn_dataset!$L$2:$L$1501,MATCH($A343,customer_churn_dataset!$A$2:$A$1501,0))</f>
        <v>0</v>
      </c>
      <c r="G342" s="0" t="str">
        <f aca="false">IF(INDEX(customer_churn_dataset!$M$2:$M$1501,MATCH($A343,customer_churn_dataset!$A$2:$A$1501,0))=1,"Yes","No")</f>
        <v>No</v>
      </c>
      <c r="H342" s="0" t="n">
        <f aca="false">INDEX(customer_churn_dataset!$N$2:$N$1501,MATCH($A343,customer_churn_dataset!$A$2:$A$1501,0))</f>
        <v>38.33</v>
      </c>
      <c r="I342" s="0" t="n">
        <f aca="false">INDEX(customer_churn_dataset!$O$2:$O$1501,MATCH($A343,customer_churn_dataset!$A$2:$A$1501,0))</f>
        <v>0</v>
      </c>
      <c r="J342" s="0" t="n">
        <f aca="false">INDEX(customer_churn_dataset!$T$2:$T$1501,MATCH($A343,customer_churn_dataset!$A$2:$A$1501,0))</f>
        <v>2</v>
      </c>
      <c r="K342" s="0" t="str">
        <f aca="false">INDEX(customer_churn_dataset!$V$2:$V$1501,MATCH($A343,customer_churn_dataset!$A$2:$A$1501,0))</f>
        <v>Low Risk</v>
      </c>
    </row>
    <row r="343" customFormat="false" ht="12.8" hidden="true" customHeight="false" outlineLevel="0" collapsed="false">
      <c r="A343" s="22" t="str">
        <f aca="false">customer_churn_dataset!A1307</f>
        <v>CUST100705</v>
      </c>
      <c r="B343" s="22" t="str">
        <f aca="false">customer_churn_dataset!B1307</f>
        <v>Premium</v>
      </c>
      <c r="C343" s="22" t="str">
        <f aca="false">customer_churn_dataset!C1307</f>
        <v>One year</v>
      </c>
      <c r="D343" s="0" t="n">
        <f aca="false">INDEX(customer_churn_dataset!$E$2:$E$1501,MATCH($A344,customer_churn_dataset!$A$2:$A$1501,0))</f>
        <v>9</v>
      </c>
      <c r="E343" s="0" t="n">
        <f aca="false">INDEX(customer_churn_dataset!$I$2:$I$1501,MATCH($A344,customer_churn_dataset!$A$2:$A$1501,0))</f>
        <v>66</v>
      </c>
      <c r="F343" s="0" t="n">
        <f aca="false">INDEX(customer_churn_dataset!$L$2:$L$1501,MATCH($A344,customer_churn_dataset!$A$2:$A$1501,0))</f>
        <v>2</v>
      </c>
      <c r="G343" s="0" t="str">
        <f aca="false">IF(INDEX(customer_churn_dataset!$M$2:$M$1501,MATCH($A344,customer_churn_dataset!$A$2:$A$1501,0))=1,"Yes","No")</f>
        <v>Yes</v>
      </c>
      <c r="H343" s="0" t="n">
        <f aca="false">INDEX(customer_churn_dataset!$N$2:$N$1501,MATCH($A344,customer_churn_dataset!$A$2:$A$1501,0))</f>
        <v>89.73</v>
      </c>
      <c r="I343" s="0" t="n">
        <f aca="false">INDEX(customer_churn_dataset!$O$2:$O$1501,MATCH($A344,customer_churn_dataset!$A$2:$A$1501,0))</f>
        <v>0</v>
      </c>
      <c r="J343" s="0" t="n">
        <f aca="false">INDEX(customer_churn_dataset!$T$2:$T$1501,MATCH($A344,customer_churn_dataset!$A$2:$A$1501,0))</f>
        <v>7</v>
      </c>
      <c r="K343" s="0" t="str">
        <f aca="false">INDEX(customer_churn_dataset!$V$2:$V$1501,MATCH($A344,customer_churn_dataset!$A$2:$A$1501,0))</f>
        <v>High Risk</v>
      </c>
    </row>
    <row r="344" customFormat="false" ht="12.8" hidden="true" customHeight="false" outlineLevel="0" collapsed="false">
      <c r="A344" s="22" t="str">
        <f aca="false">customer_churn_dataset!A1311</f>
        <v>CUST100962</v>
      </c>
      <c r="B344" s="22" t="str">
        <f aca="false">customer_churn_dataset!B1311</f>
        <v>Basic</v>
      </c>
      <c r="C344" s="22" t="str">
        <f aca="false">customer_churn_dataset!C1311</f>
        <v>Month-to-month</v>
      </c>
      <c r="D344" s="0" t="n">
        <f aca="false">INDEX(customer_churn_dataset!$E$2:$E$1501,MATCH($A345,customer_churn_dataset!$A$2:$A$1501,0))</f>
        <v>18</v>
      </c>
      <c r="E344" s="0" t="n">
        <f aca="false">INDEX(customer_churn_dataset!$I$2:$I$1501,MATCH($A345,customer_churn_dataset!$A$2:$A$1501,0))</f>
        <v>23.6</v>
      </c>
      <c r="F344" s="0" t="n">
        <f aca="false">INDEX(customer_churn_dataset!$L$2:$L$1501,MATCH($A345,customer_churn_dataset!$A$2:$A$1501,0))</f>
        <v>4</v>
      </c>
      <c r="G344" s="0" t="str">
        <f aca="false">IF(INDEX(customer_churn_dataset!$M$2:$M$1501,MATCH($A345,customer_churn_dataset!$A$2:$A$1501,0))=1,"Yes","No")</f>
        <v>No</v>
      </c>
      <c r="H344" s="0" t="n">
        <f aca="false">INDEX(customer_churn_dataset!$N$2:$N$1501,MATCH($A345,customer_churn_dataset!$A$2:$A$1501,0))</f>
        <v>719.28</v>
      </c>
      <c r="I344" s="0" t="n">
        <f aca="false">INDEX(customer_churn_dataset!$O$2:$O$1501,MATCH($A345,customer_churn_dataset!$A$2:$A$1501,0))</f>
        <v>1</v>
      </c>
      <c r="J344" s="0" t="n">
        <f aca="false">INDEX(customer_churn_dataset!$T$2:$T$1501,MATCH($A345,customer_churn_dataset!$A$2:$A$1501,0))</f>
        <v>5</v>
      </c>
      <c r="K344" s="0" t="str">
        <f aca="false">INDEX(customer_churn_dataset!$V$2:$V$1501,MATCH($A345,customer_churn_dataset!$A$2:$A$1501,0))</f>
        <v>Medium Risk</v>
      </c>
    </row>
    <row r="345" customFormat="false" ht="12.8" hidden="true" customHeight="false" outlineLevel="0" collapsed="false">
      <c r="A345" s="22" t="str">
        <f aca="false">customer_churn_dataset!A1313</f>
        <v>CUST100836</v>
      </c>
      <c r="B345" s="22" t="str">
        <f aca="false">customer_churn_dataset!B1313</f>
        <v>Premium</v>
      </c>
      <c r="C345" s="22" t="str">
        <f aca="false">customer_churn_dataset!C1313</f>
        <v>Month-to-month</v>
      </c>
      <c r="D345" s="0" t="n">
        <f aca="false">INDEX(customer_churn_dataset!$E$2:$E$1501,MATCH($A346,customer_churn_dataset!$A$2:$A$1501,0))</f>
        <v>15</v>
      </c>
      <c r="E345" s="0" t="n">
        <f aca="false">INDEX(customer_churn_dataset!$I$2:$I$1501,MATCH($A346,customer_churn_dataset!$A$2:$A$1501,0))</f>
        <v>50.4</v>
      </c>
      <c r="F345" s="0" t="n">
        <f aca="false">INDEX(customer_churn_dataset!$L$2:$L$1501,MATCH($A346,customer_churn_dataset!$A$2:$A$1501,0))</f>
        <v>1</v>
      </c>
      <c r="G345" s="0" t="str">
        <f aca="false">IF(INDEX(customer_churn_dataset!$M$2:$M$1501,MATCH($A346,customer_churn_dataset!$A$2:$A$1501,0))=1,"Yes","No")</f>
        <v>No</v>
      </c>
      <c r="H345" s="0" t="n">
        <f aca="false">INDEX(customer_churn_dataset!$N$2:$N$1501,MATCH($A346,customer_churn_dataset!$A$2:$A$1501,0))</f>
        <v>627.3</v>
      </c>
      <c r="I345" s="0" t="n">
        <f aca="false">INDEX(customer_churn_dataset!$O$2:$O$1501,MATCH($A346,customer_churn_dataset!$A$2:$A$1501,0))</f>
        <v>0</v>
      </c>
      <c r="J345" s="0" t="n">
        <f aca="false">INDEX(customer_churn_dataset!$T$2:$T$1501,MATCH($A346,customer_churn_dataset!$A$2:$A$1501,0))</f>
        <v>3</v>
      </c>
      <c r="K345" s="0" t="str">
        <f aca="false">INDEX(customer_churn_dataset!$V$2:$V$1501,MATCH($A346,customer_churn_dataset!$A$2:$A$1501,0))</f>
        <v>Medium Risk</v>
      </c>
    </row>
    <row r="346" customFormat="false" ht="12.8" hidden="true" customHeight="false" outlineLevel="0" collapsed="false">
      <c r="A346" s="22" t="str">
        <f aca="false">customer_churn_dataset!A1318</f>
        <v>CUST100219</v>
      </c>
      <c r="B346" s="22" t="str">
        <f aca="false">customer_churn_dataset!B1318</f>
        <v>Premium</v>
      </c>
      <c r="C346" s="22" t="str">
        <f aca="false">customer_churn_dataset!C1318</f>
        <v>Month-to-month</v>
      </c>
      <c r="D346" s="0" t="n">
        <f aca="false">INDEX(customer_churn_dataset!$E$2:$E$1501,MATCH($A347,customer_churn_dataset!$A$2:$A$1501,0))</f>
        <v>3</v>
      </c>
      <c r="E346" s="0" t="n">
        <f aca="false">INDEX(customer_churn_dataset!$I$2:$I$1501,MATCH($A347,customer_churn_dataset!$A$2:$A$1501,0))</f>
        <v>44.5</v>
      </c>
      <c r="F346" s="0" t="n">
        <f aca="false">INDEX(customer_churn_dataset!$L$2:$L$1501,MATCH($A347,customer_churn_dataset!$A$2:$A$1501,0))</f>
        <v>3</v>
      </c>
      <c r="G346" s="0" t="str">
        <f aca="false">IF(INDEX(customer_churn_dataset!$M$2:$M$1501,MATCH($A347,customer_churn_dataset!$A$2:$A$1501,0))=1,"Yes","No")</f>
        <v>No</v>
      </c>
      <c r="H346" s="0" t="n">
        <f aca="false">INDEX(customer_churn_dataset!$N$2:$N$1501,MATCH($A347,customer_churn_dataset!$A$2:$A$1501,0))</f>
        <v>29.67</v>
      </c>
      <c r="I346" s="0" t="n">
        <f aca="false">INDEX(customer_churn_dataset!$O$2:$O$1501,MATCH($A347,customer_churn_dataset!$A$2:$A$1501,0))</f>
        <v>1</v>
      </c>
      <c r="J346" s="0" t="n">
        <f aca="false">INDEX(customer_churn_dataset!$T$2:$T$1501,MATCH($A347,customer_churn_dataset!$A$2:$A$1501,0))</f>
        <v>5</v>
      </c>
      <c r="K346" s="0" t="str">
        <f aca="false">INDEX(customer_churn_dataset!$V$2:$V$1501,MATCH($A347,customer_churn_dataset!$A$2:$A$1501,0))</f>
        <v>Medium Risk</v>
      </c>
    </row>
    <row r="347" customFormat="false" ht="12.8" hidden="true" customHeight="false" outlineLevel="0" collapsed="false">
      <c r="A347" s="22" t="str">
        <f aca="false">customer_churn_dataset!A1320</f>
        <v>CUST100668</v>
      </c>
      <c r="B347" s="22" t="str">
        <f aca="false">customer_churn_dataset!B1320</f>
        <v>Basic</v>
      </c>
      <c r="C347" s="22" t="str">
        <f aca="false">customer_churn_dataset!C1320</f>
        <v>Month-to-month</v>
      </c>
      <c r="D347" s="0" t="n">
        <f aca="false">INDEX(customer_churn_dataset!$E$2:$E$1501,MATCH($A348,customer_churn_dataset!$A$2:$A$1501,0))</f>
        <v>35</v>
      </c>
      <c r="E347" s="0" t="n">
        <f aca="false">INDEX(customer_churn_dataset!$I$2:$I$1501,MATCH($A348,customer_churn_dataset!$A$2:$A$1501,0))</f>
        <v>73.4</v>
      </c>
      <c r="F347" s="0" t="n">
        <f aca="false">INDEX(customer_churn_dataset!$L$2:$L$1501,MATCH($A348,customer_churn_dataset!$A$2:$A$1501,0))</f>
        <v>2</v>
      </c>
      <c r="G347" s="0" t="str">
        <f aca="false">IF(INDEX(customer_churn_dataset!$M$2:$M$1501,MATCH($A348,customer_churn_dataset!$A$2:$A$1501,0))=1,"Yes","No")</f>
        <v>No</v>
      </c>
      <c r="H347" s="0" t="n">
        <f aca="false">INDEX(customer_churn_dataset!$N$2:$N$1501,MATCH($A348,customer_churn_dataset!$A$2:$A$1501,0))</f>
        <v>329.35</v>
      </c>
      <c r="I347" s="0" t="n">
        <f aca="false">INDEX(customer_churn_dataset!$O$2:$O$1501,MATCH($A348,customer_churn_dataset!$A$2:$A$1501,0))</f>
        <v>1</v>
      </c>
      <c r="J347" s="0" t="n">
        <f aca="false">INDEX(customer_churn_dataset!$T$2:$T$1501,MATCH($A348,customer_churn_dataset!$A$2:$A$1501,0))</f>
        <v>2</v>
      </c>
      <c r="K347" s="0" t="str">
        <f aca="false">INDEX(customer_churn_dataset!$V$2:$V$1501,MATCH($A348,customer_churn_dataset!$A$2:$A$1501,0))</f>
        <v>Low Risk</v>
      </c>
    </row>
    <row r="348" customFormat="false" ht="12.8" hidden="true" customHeight="false" outlineLevel="0" collapsed="false">
      <c r="A348" s="22" t="str">
        <f aca="false">customer_churn_dataset!A1328</f>
        <v>CUST100082</v>
      </c>
      <c r="B348" s="22" t="str">
        <f aca="false">customer_churn_dataset!B1328</f>
        <v>Basic</v>
      </c>
      <c r="C348" s="22" t="str">
        <f aca="false">customer_churn_dataset!C1328</f>
        <v>One year</v>
      </c>
      <c r="D348" s="0" t="n">
        <f aca="false">INDEX(customer_churn_dataset!$E$2:$E$1501,MATCH($A349,customer_churn_dataset!$A$2:$A$1501,0))</f>
        <v>18</v>
      </c>
      <c r="E348" s="0" t="n">
        <f aca="false">INDEX(customer_churn_dataset!$I$2:$I$1501,MATCH($A349,customer_churn_dataset!$A$2:$A$1501,0))</f>
        <v>61.7</v>
      </c>
      <c r="F348" s="0" t="n">
        <f aca="false">INDEX(customer_churn_dataset!$L$2:$L$1501,MATCH($A349,customer_churn_dataset!$A$2:$A$1501,0))</f>
        <v>1</v>
      </c>
      <c r="G348" s="0" t="str">
        <f aca="false">IF(INDEX(customer_churn_dataset!$M$2:$M$1501,MATCH($A349,customer_churn_dataset!$A$2:$A$1501,0))=1,"Yes","No")</f>
        <v>No</v>
      </c>
      <c r="H348" s="0" t="n">
        <f aca="false">INDEX(customer_churn_dataset!$N$2:$N$1501,MATCH($A349,customer_churn_dataset!$A$2:$A$1501,0))</f>
        <v>703.62</v>
      </c>
      <c r="I348" s="0" t="n">
        <f aca="false">INDEX(customer_churn_dataset!$O$2:$O$1501,MATCH($A349,customer_churn_dataset!$A$2:$A$1501,0))</f>
        <v>0</v>
      </c>
      <c r="J348" s="0" t="n">
        <f aca="false">INDEX(customer_churn_dataset!$T$2:$T$1501,MATCH($A349,customer_churn_dataset!$A$2:$A$1501,0))</f>
        <v>1</v>
      </c>
      <c r="K348" s="0" t="str">
        <f aca="false">INDEX(customer_churn_dataset!$V$2:$V$1501,MATCH($A349,customer_churn_dataset!$A$2:$A$1501,0))</f>
        <v>Low Risk</v>
      </c>
    </row>
    <row r="349" customFormat="false" ht="12.8" hidden="true" customHeight="false" outlineLevel="0" collapsed="false">
      <c r="A349" s="22" t="str">
        <f aca="false">customer_churn_dataset!A1338</f>
        <v>CUST100522</v>
      </c>
      <c r="B349" s="22" t="str">
        <f aca="false">customer_churn_dataset!B1338</f>
        <v>Premium</v>
      </c>
      <c r="C349" s="22" t="str">
        <f aca="false">customer_churn_dataset!C1338</f>
        <v>One year</v>
      </c>
      <c r="D349" s="0" t="n">
        <f aca="false">INDEX(customer_churn_dataset!$E$2:$E$1501,MATCH($A350,customer_churn_dataset!$A$2:$A$1501,0))</f>
        <v>58</v>
      </c>
      <c r="E349" s="0" t="n">
        <f aca="false">INDEX(customer_churn_dataset!$I$2:$I$1501,MATCH($A350,customer_churn_dataset!$A$2:$A$1501,0))</f>
        <v>54.2</v>
      </c>
      <c r="F349" s="0" t="n">
        <f aca="false">INDEX(customer_churn_dataset!$L$2:$L$1501,MATCH($A350,customer_churn_dataset!$A$2:$A$1501,0))</f>
        <v>1</v>
      </c>
      <c r="G349" s="0" t="str">
        <f aca="false">IF(INDEX(customer_churn_dataset!$M$2:$M$1501,MATCH($A350,customer_churn_dataset!$A$2:$A$1501,0))=1,"Yes","No")</f>
        <v>No</v>
      </c>
      <c r="H349" s="0" t="n">
        <f aca="false">INDEX(customer_churn_dataset!$N$2:$N$1501,MATCH($A350,customer_churn_dataset!$A$2:$A$1501,0))</f>
        <v>596.24</v>
      </c>
      <c r="I349" s="0" t="n">
        <f aca="false">INDEX(customer_churn_dataset!$O$2:$O$1501,MATCH($A350,customer_churn_dataset!$A$2:$A$1501,0))</f>
        <v>0</v>
      </c>
      <c r="J349" s="0" t="n">
        <f aca="false">INDEX(customer_churn_dataset!$T$2:$T$1501,MATCH($A350,customer_churn_dataset!$A$2:$A$1501,0))</f>
        <v>1</v>
      </c>
      <c r="K349" s="0" t="str">
        <f aca="false">INDEX(customer_churn_dataset!$V$2:$V$1501,MATCH($A350,customer_churn_dataset!$A$2:$A$1501,0))</f>
        <v>Low Risk</v>
      </c>
    </row>
    <row r="350" customFormat="false" ht="12.8" hidden="true" customHeight="false" outlineLevel="0" collapsed="false">
      <c r="A350" s="22" t="str">
        <f aca="false">customer_churn_dataset!A1343</f>
        <v>CUST100698</v>
      </c>
      <c r="B350" s="22" t="str">
        <f aca="false">customer_churn_dataset!B1343</f>
        <v>Basic</v>
      </c>
      <c r="C350" s="22" t="str">
        <f aca="false">customer_churn_dataset!C1343</f>
        <v>Two year</v>
      </c>
      <c r="D350" s="0" t="n">
        <f aca="false">INDEX(customer_churn_dataset!$E$2:$E$1501,MATCH($A351,customer_churn_dataset!$A$2:$A$1501,0))</f>
        <v>39</v>
      </c>
      <c r="E350" s="0" t="n">
        <f aca="false">INDEX(customer_churn_dataset!$I$2:$I$1501,MATCH($A351,customer_churn_dataset!$A$2:$A$1501,0))</f>
        <v>19.4</v>
      </c>
      <c r="F350" s="0" t="n">
        <f aca="false">INDEX(customer_churn_dataset!$L$2:$L$1501,MATCH($A351,customer_churn_dataset!$A$2:$A$1501,0))</f>
        <v>2</v>
      </c>
      <c r="G350" s="0" t="str">
        <f aca="false">IF(INDEX(customer_churn_dataset!$M$2:$M$1501,MATCH($A351,customer_churn_dataset!$A$2:$A$1501,0))=1,"Yes","No")</f>
        <v>No</v>
      </c>
      <c r="H350" s="0" t="n">
        <f aca="false">INDEX(customer_churn_dataset!$N$2:$N$1501,MATCH($A351,customer_churn_dataset!$A$2:$A$1501,0))</f>
        <v>400.92</v>
      </c>
      <c r="I350" s="0" t="n">
        <f aca="false">INDEX(customer_churn_dataset!$O$2:$O$1501,MATCH($A351,customer_churn_dataset!$A$2:$A$1501,0))</f>
        <v>1</v>
      </c>
      <c r="J350" s="0" t="n">
        <f aca="false">INDEX(customer_churn_dataset!$T$2:$T$1501,MATCH($A351,customer_churn_dataset!$A$2:$A$1501,0))</f>
        <v>5</v>
      </c>
      <c r="K350" s="0" t="str">
        <f aca="false">INDEX(customer_churn_dataset!$V$2:$V$1501,MATCH($A351,customer_churn_dataset!$A$2:$A$1501,0))</f>
        <v>Medium Risk</v>
      </c>
    </row>
    <row r="351" customFormat="false" ht="12.8" hidden="true" customHeight="false" outlineLevel="0" collapsed="false">
      <c r="A351" s="22" t="str">
        <f aca="false">customer_churn_dataset!A1345</f>
        <v>CUST100801</v>
      </c>
      <c r="B351" s="22" t="str">
        <f aca="false">customer_churn_dataset!B1345</f>
        <v>Basic</v>
      </c>
      <c r="C351" s="22" t="str">
        <f aca="false">customer_churn_dataset!C1345</f>
        <v>Month-to-month</v>
      </c>
      <c r="D351" s="0" t="n">
        <f aca="false">INDEX(customer_churn_dataset!$E$2:$E$1501,MATCH($A352,customer_churn_dataset!$A$2:$A$1501,0))</f>
        <v>19</v>
      </c>
      <c r="E351" s="0" t="n">
        <f aca="false">INDEX(customer_churn_dataset!$I$2:$I$1501,MATCH($A352,customer_churn_dataset!$A$2:$A$1501,0))</f>
        <v>72</v>
      </c>
      <c r="F351" s="0" t="n">
        <f aca="false">INDEX(customer_churn_dataset!$L$2:$L$1501,MATCH($A352,customer_churn_dataset!$A$2:$A$1501,0))</f>
        <v>0</v>
      </c>
      <c r="G351" s="0" t="str">
        <f aca="false">IF(INDEX(customer_churn_dataset!$M$2:$M$1501,MATCH($A352,customer_churn_dataset!$A$2:$A$1501,0))=1,"Yes","No")</f>
        <v>No</v>
      </c>
      <c r="H351" s="0" t="n">
        <f aca="false">INDEX(customer_churn_dataset!$N$2:$N$1501,MATCH($A352,customer_churn_dataset!$A$2:$A$1501,0))</f>
        <v>770.26</v>
      </c>
      <c r="I351" s="0" t="n">
        <f aca="false">INDEX(customer_churn_dataset!$O$2:$O$1501,MATCH($A352,customer_churn_dataset!$A$2:$A$1501,0))</f>
        <v>0</v>
      </c>
      <c r="J351" s="0" t="n">
        <f aca="false">INDEX(customer_churn_dataset!$T$2:$T$1501,MATCH($A352,customer_churn_dataset!$A$2:$A$1501,0))</f>
        <v>1</v>
      </c>
      <c r="K351" s="0" t="str">
        <f aca="false">INDEX(customer_churn_dataset!$V$2:$V$1501,MATCH($A352,customer_churn_dataset!$A$2:$A$1501,0))</f>
        <v>Low Risk</v>
      </c>
    </row>
    <row r="352" customFormat="false" ht="12.8" hidden="true" customHeight="false" outlineLevel="0" collapsed="false">
      <c r="A352" s="22" t="str">
        <f aca="false">customer_churn_dataset!A1348</f>
        <v>CUST101499</v>
      </c>
      <c r="B352" s="22" t="str">
        <f aca="false">customer_churn_dataset!B1348</f>
        <v>Premium</v>
      </c>
      <c r="C352" s="22" t="str">
        <f aca="false">customer_churn_dataset!C1348</f>
        <v>One year</v>
      </c>
      <c r="D352" s="0" t="n">
        <f aca="false">INDEX(customer_churn_dataset!$E$2:$E$1501,MATCH($A353,customer_churn_dataset!$A$2:$A$1501,0))</f>
        <v>10</v>
      </c>
      <c r="E352" s="0" t="n">
        <f aca="false">INDEX(customer_churn_dataset!$I$2:$I$1501,MATCH($A353,customer_churn_dataset!$A$2:$A$1501,0))</f>
        <v>97.2</v>
      </c>
      <c r="F352" s="0" t="n">
        <f aca="false">INDEX(customer_churn_dataset!$L$2:$L$1501,MATCH($A353,customer_churn_dataset!$A$2:$A$1501,0))</f>
        <v>3</v>
      </c>
      <c r="G352" s="0" t="str">
        <f aca="false">IF(INDEX(customer_churn_dataset!$M$2:$M$1501,MATCH($A353,customer_churn_dataset!$A$2:$A$1501,0))=1,"Yes","No")</f>
        <v>Yes</v>
      </c>
      <c r="H352" s="0" t="n">
        <f aca="false">INDEX(customer_churn_dataset!$N$2:$N$1501,MATCH($A353,customer_churn_dataset!$A$2:$A$1501,0))</f>
        <v>84.6</v>
      </c>
      <c r="I352" s="0" t="n">
        <f aca="false">INDEX(customer_churn_dataset!$O$2:$O$1501,MATCH($A353,customer_churn_dataset!$A$2:$A$1501,0))</f>
        <v>0</v>
      </c>
      <c r="J352" s="0" t="n">
        <f aca="false">INDEX(customer_churn_dataset!$T$2:$T$1501,MATCH($A353,customer_churn_dataset!$A$2:$A$1501,0))</f>
        <v>7</v>
      </c>
      <c r="K352" s="0" t="str">
        <f aca="false">INDEX(customer_churn_dataset!$V$2:$V$1501,MATCH($A353,customer_churn_dataset!$A$2:$A$1501,0))</f>
        <v>High Risk</v>
      </c>
    </row>
    <row r="353" customFormat="false" ht="12.8" hidden="true" customHeight="false" outlineLevel="0" collapsed="false">
      <c r="A353" s="22" t="str">
        <f aca="false">customer_churn_dataset!A1359</f>
        <v>CUST101264</v>
      </c>
      <c r="B353" s="22" t="str">
        <f aca="false">customer_churn_dataset!B1359</f>
        <v>Basic</v>
      </c>
      <c r="C353" s="22" t="str">
        <f aca="false">customer_churn_dataset!C1359</f>
        <v>Month-to-month</v>
      </c>
      <c r="D353" s="0" t="n">
        <f aca="false">INDEX(customer_churn_dataset!$E$2:$E$1501,MATCH($A354,customer_churn_dataset!$A$2:$A$1501,0))</f>
        <v>72</v>
      </c>
      <c r="E353" s="0" t="n">
        <f aca="false">INDEX(customer_churn_dataset!$I$2:$I$1501,MATCH($A354,customer_churn_dataset!$A$2:$A$1501,0))</f>
        <v>38.6</v>
      </c>
      <c r="F353" s="0" t="n">
        <f aca="false">INDEX(customer_churn_dataset!$L$2:$L$1501,MATCH($A354,customer_churn_dataset!$A$2:$A$1501,0))</f>
        <v>1</v>
      </c>
      <c r="G353" s="0" t="str">
        <f aca="false">IF(INDEX(customer_churn_dataset!$M$2:$M$1501,MATCH($A354,customer_churn_dataset!$A$2:$A$1501,0))=1,"Yes","No")</f>
        <v>Yes</v>
      </c>
      <c r="H353" s="0" t="n">
        <f aca="false">INDEX(customer_churn_dataset!$N$2:$N$1501,MATCH($A354,customer_churn_dataset!$A$2:$A$1501,0))</f>
        <v>1483.2</v>
      </c>
      <c r="I353" s="0" t="n">
        <f aca="false">INDEX(customer_churn_dataset!$O$2:$O$1501,MATCH($A354,customer_churn_dataset!$A$2:$A$1501,0))</f>
        <v>0</v>
      </c>
      <c r="J353" s="0" t="n">
        <f aca="false">INDEX(customer_churn_dataset!$T$2:$T$1501,MATCH($A354,customer_churn_dataset!$A$2:$A$1501,0))</f>
        <v>7</v>
      </c>
      <c r="K353" s="0" t="str">
        <f aca="false">INDEX(customer_churn_dataset!$V$2:$V$1501,MATCH($A354,customer_churn_dataset!$A$2:$A$1501,0))</f>
        <v>High Risk</v>
      </c>
    </row>
    <row r="354" customFormat="false" ht="12.8" hidden="true" customHeight="false" outlineLevel="0" collapsed="false">
      <c r="A354" s="22" t="str">
        <f aca="false">customer_churn_dataset!A1365</f>
        <v>CUST101146</v>
      </c>
      <c r="B354" s="22" t="str">
        <f aca="false">customer_churn_dataset!B1365</f>
        <v>Standard</v>
      </c>
      <c r="C354" s="22" t="str">
        <f aca="false">customer_churn_dataset!C1365</f>
        <v>Month-to-month</v>
      </c>
      <c r="D354" s="0" t="n">
        <f aca="false">INDEX(customer_churn_dataset!$E$2:$E$1501,MATCH($A355,customer_churn_dataset!$A$2:$A$1501,0))</f>
        <v>22</v>
      </c>
      <c r="E354" s="0" t="n">
        <f aca="false">INDEX(customer_churn_dataset!$I$2:$I$1501,MATCH($A355,customer_churn_dataset!$A$2:$A$1501,0))</f>
        <v>53.7</v>
      </c>
      <c r="F354" s="0" t="n">
        <f aca="false">INDEX(customer_churn_dataset!$L$2:$L$1501,MATCH($A355,customer_churn_dataset!$A$2:$A$1501,0))</f>
        <v>1</v>
      </c>
      <c r="G354" s="0" t="str">
        <f aca="false">IF(INDEX(customer_churn_dataset!$M$2:$M$1501,MATCH($A355,customer_churn_dataset!$A$2:$A$1501,0))=1,"Yes","No")</f>
        <v>No</v>
      </c>
      <c r="H354" s="0" t="n">
        <f aca="false">INDEX(customer_churn_dataset!$N$2:$N$1501,MATCH($A355,customer_churn_dataset!$A$2:$A$1501,0))</f>
        <v>875.38</v>
      </c>
      <c r="I354" s="0" t="n">
        <f aca="false">INDEX(customer_churn_dataset!$O$2:$O$1501,MATCH($A355,customer_churn_dataset!$A$2:$A$1501,0))</f>
        <v>0</v>
      </c>
      <c r="J354" s="0" t="n">
        <f aca="false">INDEX(customer_churn_dataset!$T$2:$T$1501,MATCH($A355,customer_churn_dataset!$A$2:$A$1501,0))</f>
        <v>1</v>
      </c>
      <c r="K354" s="0" t="str">
        <f aca="false">INDEX(customer_churn_dataset!$V$2:$V$1501,MATCH($A355,customer_churn_dataset!$A$2:$A$1501,0))</f>
        <v>Low Risk</v>
      </c>
    </row>
    <row r="355" customFormat="false" ht="12.8" hidden="true" customHeight="false" outlineLevel="0" collapsed="false">
      <c r="A355" s="22" t="str">
        <f aca="false">customer_churn_dataset!A1380</f>
        <v>CUST101452</v>
      </c>
      <c r="B355" s="22" t="str">
        <f aca="false">customer_churn_dataset!B1380</f>
        <v>Premium</v>
      </c>
      <c r="C355" s="22" t="str">
        <f aca="false">customer_churn_dataset!C1380</f>
        <v>Two year</v>
      </c>
      <c r="D355" s="0" t="n">
        <f aca="false">INDEX(customer_churn_dataset!$E$2:$E$1501,MATCH($A356,customer_churn_dataset!$A$2:$A$1501,0))</f>
        <v>21</v>
      </c>
      <c r="E355" s="0" t="n">
        <f aca="false">INDEX(customer_churn_dataset!$I$2:$I$1501,MATCH($A356,customer_churn_dataset!$A$2:$A$1501,0))</f>
        <v>34.5</v>
      </c>
      <c r="F355" s="0" t="n">
        <f aca="false">INDEX(customer_churn_dataset!$L$2:$L$1501,MATCH($A356,customer_churn_dataset!$A$2:$A$1501,0))</f>
        <v>1</v>
      </c>
      <c r="G355" s="0" t="str">
        <f aca="false">IF(INDEX(customer_churn_dataset!$M$2:$M$1501,MATCH($A356,customer_churn_dataset!$A$2:$A$1501,0))=1,"Yes","No")</f>
        <v>No</v>
      </c>
      <c r="H355" s="0" t="n">
        <f aca="false">INDEX(customer_churn_dataset!$N$2:$N$1501,MATCH($A356,customer_churn_dataset!$A$2:$A$1501,0))</f>
        <v>221.76</v>
      </c>
      <c r="I355" s="0" t="n">
        <f aca="false">INDEX(customer_churn_dataset!$O$2:$O$1501,MATCH($A356,customer_churn_dataset!$A$2:$A$1501,0))</f>
        <v>0</v>
      </c>
      <c r="J355" s="0" t="n">
        <f aca="false">INDEX(customer_churn_dataset!$T$2:$T$1501,MATCH($A356,customer_churn_dataset!$A$2:$A$1501,0))</f>
        <v>4</v>
      </c>
      <c r="K355" s="0" t="str">
        <f aca="false">INDEX(customer_churn_dataset!$V$2:$V$1501,MATCH($A356,customer_churn_dataset!$A$2:$A$1501,0))</f>
        <v>Medium Risk</v>
      </c>
    </row>
    <row r="356" customFormat="false" ht="12.8" hidden="false" customHeight="false" outlineLevel="0" collapsed="false">
      <c r="A356" s="23" t="str">
        <f aca="false">customer_churn_dataset!A1382</f>
        <v>CUST100294</v>
      </c>
      <c r="B356" s="24" t="str">
        <f aca="false">customer_churn_dataset!B1382</f>
        <v>Basic</v>
      </c>
      <c r="C356" s="24" t="str">
        <f aca="false">customer_churn_dataset!C1382</f>
        <v>Month-to-month</v>
      </c>
      <c r="D356" s="25" t="n">
        <f aca="false">INDEX(customer_churn_dataset!$E$2:$E$1501,MATCH($A357,customer_churn_dataset!$A$2:$A$1501,0))</f>
        <v>28</v>
      </c>
      <c r="E356" s="25" t="n">
        <f aca="false">INDEX(customer_churn_dataset!$I$2:$I$1501,MATCH($A357,customer_churn_dataset!$A$2:$A$1501,0))</f>
        <v>25.4</v>
      </c>
      <c r="F356" s="25" t="n">
        <f aca="false">INDEX(customer_churn_dataset!$L$2:$L$1501,MATCH($A357,customer_churn_dataset!$A$2:$A$1501,0))</f>
        <v>5</v>
      </c>
      <c r="G356" s="25" t="str">
        <f aca="false">IF(INDEX(customer_churn_dataset!$M$2:$M$1501,MATCH($A357,customer_churn_dataset!$A$2:$A$1501,0))=1,"Yes","No")</f>
        <v>Yes</v>
      </c>
      <c r="H356" s="25" t="n">
        <f aca="false">INDEX(customer_churn_dataset!$N$2:$N$1501,MATCH($A357,customer_churn_dataset!$A$2:$A$1501,0))</f>
        <v>278.6</v>
      </c>
      <c r="I356" s="25" t="n">
        <f aca="false">INDEX(customer_churn_dataset!$O$2:$O$1501,MATCH($A357,customer_churn_dataset!$A$2:$A$1501,0))</f>
        <v>1</v>
      </c>
      <c r="J356" s="25" t="n">
        <f aca="false">INDEX(customer_churn_dataset!$T$2:$T$1501,MATCH($A357,customer_churn_dataset!$A$2:$A$1501,0))</f>
        <v>8</v>
      </c>
      <c r="K356" s="25" t="str">
        <f aca="false">INDEX(customer_churn_dataset!$V$2:$V$1501,MATCH($A357,customer_churn_dataset!$A$2:$A$1501,0))</f>
        <v>High Risk</v>
      </c>
    </row>
    <row r="357" customFormat="false" ht="12.8" hidden="false" customHeight="false" outlineLevel="0" collapsed="false">
      <c r="A357" s="23" t="str">
        <f aca="false">customer_churn_dataset!A1393</f>
        <v>CUST100617</v>
      </c>
      <c r="B357" s="24" t="str">
        <f aca="false">customer_churn_dataset!B1393</f>
        <v>Basic</v>
      </c>
      <c r="C357" s="24" t="str">
        <f aca="false">customer_churn_dataset!C1393</f>
        <v>Month-to-month</v>
      </c>
      <c r="D357" s="25" t="n">
        <f aca="false">INDEX(customer_churn_dataset!$E$2:$E$1501,MATCH($A358,customer_churn_dataset!$A$2:$A$1501,0))</f>
        <v>5</v>
      </c>
      <c r="E357" s="25" t="n">
        <f aca="false">INDEX(customer_churn_dataset!$I$2:$I$1501,MATCH($A358,customer_churn_dataset!$A$2:$A$1501,0))</f>
        <v>28.7</v>
      </c>
      <c r="F357" s="25" t="n">
        <f aca="false">INDEX(customer_churn_dataset!$L$2:$L$1501,MATCH($A358,customer_churn_dataset!$A$2:$A$1501,0))</f>
        <v>4</v>
      </c>
      <c r="G357" s="25" t="str">
        <f aca="false">IF(INDEX(customer_churn_dataset!$M$2:$M$1501,MATCH($A358,customer_churn_dataset!$A$2:$A$1501,0))=1,"Yes","No")</f>
        <v>Yes</v>
      </c>
      <c r="H357" s="25" t="n">
        <f aca="false">INDEX(customer_churn_dataset!$N$2:$N$1501,MATCH($A358,customer_churn_dataset!$A$2:$A$1501,0))</f>
        <v>101.35</v>
      </c>
      <c r="I357" s="25" t="n">
        <f aca="false">INDEX(customer_churn_dataset!$O$2:$O$1501,MATCH($A358,customer_churn_dataset!$A$2:$A$1501,0))</f>
        <v>1</v>
      </c>
      <c r="J357" s="25" t="n">
        <f aca="false">INDEX(customer_churn_dataset!$T$2:$T$1501,MATCH($A358,customer_churn_dataset!$A$2:$A$1501,0))</f>
        <v>9</v>
      </c>
      <c r="K357" s="25" t="str">
        <f aca="false">INDEX(customer_churn_dataset!$V$2:$V$1501,MATCH($A358,customer_churn_dataset!$A$2:$A$1501,0))</f>
        <v>High Risk</v>
      </c>
    </row>
    <row r="358" customFormat="false" ht="12.8" hidden="false" customHeight="false" outlineLevel="0" collapsed="false">
      <c r="A358" s="23" t="str">
        <f aca="false">customer_churn_dataset!A1405</f>
        <v>CUST101418</v>
      </c>
      <c r="B358" s="24" t="str">
        <f aca="false">customer_churn_dataset!B1405</f>
        <v>Standard</v>
      </c>
      <c r="C358" s="24" t="str">
        <f aca="false">customer_churn_dataset!C1405</f>
        <v>Month-to-month</v>
      </c>
      <c r="D358" s="25" t="n">
        <f aca="false">INDEX(customer_churn_dataset!$E$2:$E$1501,MATCH($A359,customer_churn_dataset!$A$2:$A$1501,0))</f>
        <v>16</v>
      </c>
      <c r="E358" s="25" t="n">
        <f aca="false">INDEX(customer_churn_dataset!$I$2:$I$1501,MATCH($A359,customer_churn_dataset!$A$2:$A$1501,0))</f>
        <v>25.2</v>
      </c>
      <c r="F358" s="25" t="n">
        <f aca="false">INDEX(customer_churn_dataset!$L$2:$L$1501,MATCH($A359,customer_churn_dataset!$A$2:$A$1501,0))</f>
        <v>2</v>
      </c>
      <c r="G358" s="25" t="str">
        <f aca="false">IF(INDEX(customer_churn_dataset!$M$2:$M$1501,MATCH($A359,customer_churn_dataset!$A$2:$A$1501,0))=1,"Yes","No")</f>
        <v>Yes</v>
      </c>
      <c r="H358" s="25" t="n">
        <f aca="false">INDEX(customer_churn_dataset!$N$2:$N$1501,MATCH($A359,customer_churn_dataset!$A$2:$A$1501,0))</f>
        <v>337.6</v>
      </c>
      <c r="I358" s="25" t="n">
        <f aca="false">INDEX(customer_churn_dataset!$O$2:$O$1501,MATCH($A359,customer_churn_dataset!$A$2:$A$1501,0))</f>
        <v>0</v>
      </c>
      <c r="J358" s="25" t="n">
        <f aca="false">INDEX(customer_churn_dataset!$T$2:$T$1501,MATCH($A359,customer_churn_dataset!$A$2:$A$1501,0))</f>
        <v>8</v>
      </c>
      <c r="K358" s="25" t="str">
        <f aca="false">INDEX(customer_churn_dataset!$V$2:$V$1501,MATCH($A359,customer_churn_dataset!$A$2:$A$1501,0))</f>
        <v>High Risk</v>
      </c>
    </row>
    <row r="359" customFormat="false" ht="12.8" hidden="true" customHeight="false" outlineLevel="0" collapsed="false">
      <c r="A359" s="22" t="str">
        <f aca="false">customer_churn_dataset!A1414</f>
        <v>CUST100543</v>
      </c>
      <c r="B359" s="22" t="str">
        <f aca="false">customer_churn_dataset!B1414</f>
        <v>Standard</v>
      </c>
      <c r="C359" s="22" t="str">
        <f aca="false">customer_churn_dataset!C1414</f>
        <v>Month-to-month</v>
      </c>
      <c r="D359" s="0" t="n">
        <f aca="false">INDEX(customer_churn_dataset!$E$2:$E$1501,MATCH($A360,customer_churn_dataset!$A$2:$A$1501,0))</f>
        <v>15</v>
      </c>
      <c r="E359" s="0" t="n">
        <f aca="false">INDEX(customer_churn_dataset!$I$2:$I$1501,MATCH($A360,customer_churn_dataset!$A$2:$A$1501,0))</f>
        <v>76.2</v>
      </c>
      <c r="F359" s="0" t="n">
        <f aca="false">INDEX(customer_churn_dataset!$L$2:$L$1501,MATCH($A360,customer_churn_dataset!$A$2:$A$1501,0))</f>
        <v>3</v>
      </c>
      <c r="G359" s="0" t="str">
        <f aca="false">IF(INDEX(customer_churn_dataset!$M$2:$M$1501,MATCH($A360,customer_churn_dataset!$A$2:$A$1501,0))=1,"Yes","No")</f>
        <v>No</v>
      </c>
      <c r="H359" s="0" t="n">
        <f aca="false">INDEX(customer_churn_dataset!$N$2:$N$1501,MATCH($A360,customer_churn_dataset!$A$2:$A$1501,0))</f>
        <v>283.5</v>
      </c>
      <c r="I359" s="0" t="n">
        <f aca="false">INDEX(customer_churn_dataset!$O$2:$O$1501,MATCH($A360,customer_churn_dataset!$A$2:$A$1501,0))</f>
        <v>0</v>
      </c>
      <c r="J359" s="0" t="n">
        <f aca="false">INDEX(customer_churn_dataset!$T$2:$T$1501,MATCH($A360,customer_churn_dataset!$A$2:$A$1501,0))</f>
        <v>3</v>
      </c>
      <c r="K359" s="0" t="str">
        <f aca="false">INDEX(customer_churn_dataset!$V$2:$V$1501,MATCH($A360,customer_churn_dataset!$A$2:$A$1501,0))</f>
        <v>Medium Risk</v>
      </c>
    </row>
    <row r="360" customFormat="false" ht="12.8" hidden="true" customHeight="false" outlineLevel="0" collapsed="false">
      <c r="A360" s="22" t="str">
        <f aca="false">customer_churn_dataset!A1418</f>
        <v>CUST101344</v>
      </c>
      <c r="B360" s="22" t="str">
        <f aca="false">customer_churn_dataset!B1418</f>
        <v>Standard</v>
      </c>
      <c r="C360" s="22" t="str">
        <f aca="false">customer_churn_dataset!C1418</f>
        <v>Month-to-month</v>
      </c>
      <c r="D360" s="0" t="n">
        <f aca="false">INDEX(customer_churn_dataset!$E$2:$E$1501,MATCH($A361,customer_churn_dataset!$A$2:$A$1501,0))</f>
        <v>14</v>
      </c>
      <c r="E360" s="0" t="n">
        <f aca="false">INDEX(customer_churn_dataset!$I$2:$I$1501,MATCH($A361,customer_churn_dataset!$A$2:$A$1501,0))</f>
        <v>82.8</v>
      </c>
      <c r="F360" s="0" t="n">
        <f aca="false">INDEX(customer_churn_dataset!$L$2:$L$1501,MATCH($A361,customer_churn_dataset!$A$2:$A$1501,0))</f>
        <v>2</v>
      </c>
      <c r="G360" s="0" t="str">
        <f aca="false">IF(INDEX(customer_churn_dataset!$M$2:$M$1501,MATCH($A361,customer_churn_dataset!$A$2:$A$1501,0))=1,"Yes","No")</f>
        <v>No</v>
      </c>
      <c r="H360" s="0" t="n">
        <f aca="false">INDEX(customer_churn_dataset!$N$2:$N$1501,MATCH($A361,customer_churn_dataset!$A$2:$A$1501,0))</f>
        <v>554.68</v>
      </c>
      <c r="I360" s="0" t="n">
        <f aca="false">INDEX(customer_churn_dataset!$O$2:$O$1501,MATCH($A361,customer_churn_dataset!$A$2:$A$1501,0))</f>
        <v>0</v>
      </c>
      <c r="J360" s="0" t="n">
        <f aca="false">INDEX(customer_churn_dataset!$T$2:$T$1501,MATCH($A361,customer_churn_dataset!$A$2:$A$1501,0))</f>
        <v>1</v>
      </c>
      <c r="K360" s="0" t="str">
        <f aca="false">INDEX(customer_churn_dataset!$V$2:$V$1501,MATCH($A361,customer_churn_dataset!$A$2:$A$1501,0))</f>
        <v>Low Risk</v>
      </c>
    </row>
    <row r="361" customFormat="false" ht="12.8" hidden="true" customHeight="false" outlineLevel="0" collapsed="false">
      <c r="A361" s="22" t="str">
        <f aca="false">customer_churn_dataset!A1424</f>
        <v>CUST101196</v>
      </c>
      <c r="B361" s="22" t="str">
        <f aca="false">customer_churn_dataset!B1424</f>
        <v>Premium</v>
      </c>
      <c r="C361" s="22" t="str">
        <f aca="false">customer_churn_dataset!C1424</f>
        <v>Two year</v>
      </c>
      <c r="D361" s="0" t="n">
        <f aca="false">INDEX(customer_churn_dataset!$E$2:$E$1501,MATCH($A362,customer_churn_dataset!$A$2:$A$1501,0))</f>
        <v>2</v>
      </c>
      <c r="E361" s="0" t="n">
        <f aca="false">INDEX(customer_churn_dataset!$I$2:$I$1501,MATCH($A362,customer_churn_dataset!$A$2:$A$1501,0))</f>
        <v>57.8</v>
      </c>
      <c r="F361" s="0" t="n">
        <f aca="false">INDEX(customer_churn_dataset!$L$2:$L$1501,MATCH($A362,customer_churn_dataset!$A$2:$A$1501,0))</f>
        <v>0</v>
      </c>
      <c r="G361" s="0" t="str">
        <f aca="false">IF(INDEX(customer_churn_dataset!$M$2:$M$1501,MATCH($A362,customer_churn_dataset!$A$2:$A$1501,0))=1,"Yes","No")</f>
        <v>No</v>
      </c>
      <c r="H361" s="0" t="n">
        <f aca="false">INDEX(customer_churn_dataset!$N$2:$N$1501,MATCH($A362,customer_churn_dataset!$A$2:$A$1501,0))</f>
        <v>18.76</v>
      </c>
      <c r="I361" s="0" t="n">
        <f aca="false">INDEX(customer_churn_dataset!$O$2:$O$1501,MATCH($A362,customer_churn_dataset!$A$2:$A$1501,0))</f>
        <v>0</v>
      </c>
      <c r="J361" s="0" t="n">
        <f aca="false">INDEX(customer_churn_dataset!$T$2:$T$1501,MATCH($A362,customer_churn_dataset!$A$2:$A$1501,0))</f>
        <v>3</v>
      </c>
      <c r="K361" s="0" t="str">
        <f aca="false">INDEX(customer_churn_dataset!$V$2:$V$1501,MATCH($A362,customer_churn_dataset!$A$2:$A$1501,0))</f>
        <v>Medium Risk</v>
      </c>
    </row>
    <row r="362" customFormat="false" ht="12.8" hidden="true" customHeight="false" outlineLevel="0" collapsed="false">
      <c r="A362" s="22" t="str">
        <f aca="false">customer_churn_dataset!A1427</f>
        <v>CUST100223</v>
      </c>
      <c r="B362" s="22" t="str">
        <f aca="false">customer_churn_dataset!B1427</f>
        <v>Basic</v>
      </c>
      <c r="C362" s="22" t="str">
        <f aca="false">customer_churn_dataset!C1427</f>
        <v>Month-to-month</v>
      </c>
      <c r="D362" s="0" t="n">
        <f aca="false">INDEX(customer_churn_dataset!$E$2:$E$1501,MATCH($A363,customer_churn_dataset!$A$2:$A$1501,0))</f>
        <v>28</v>
      </c>
      <c r="E362" s="0" t="n">
        <f aca="false">INDEX(customer_churn_dataset!$I$2:$I$1501,MATCH($A363,customer_churn_dataset!$A$2:$A$1501,0))</f>
        <v>56.1</v>
      </c>
      <c r="F362" s="0" t="n">
        <f aca="false">INDEX(customer_churn_dataset!$L$2:$L$1501,MATCH($A363,customer_churn_dataset!$A$2:$A$1501,0))</f>
        <v>1</v>
      </c>
      <c r="G362" s="0" t="str">
        <f aca="false">IF(INDEX(customer_churn_dataset!$M$2:$M$1501,MATCH($A363,customer_churn_dataset!$A$2:$A$1501,0))=1,"Yes","No")</f>
        <v>Yes</v>
      </c>
      <c r="H362" s="0" t="n">
        <f aca="false">INDEX(customer_churn_dataset!$N$2:$N$1501,MATCH($A363,customer_churn_dataset!$A$2:$A$1501,0))</f>
        <v>302.4</v>
      </c>
      <c r="I362" s="0" t="n">
        <f aca="false">INDEX(customer_churn_dataset!$O$2:$O$1501,MATCH($A363,customer_churn_dataset!$A$2:$A$1501,0))</f>
        <v>1</v>
      </c>
      <c r="J362" s="0" t="n">
        <f aca="false">INDEX(customer_churn_dataset!$T$2:$T$1501,MATCH($A363,customer_churn_dataset!$A$2:$A$1501,0))</f>
        <v>3</v>
      </c>
      <c r="K362" s="0" t="str">
        <f aca="false">INDEX(customer_churn_dataset!$V$2:$V$1501,MATCH($A363,customer_churn_dataset!$A$2:$A$1501,0))</f>
        <v>Medium Risk</v>
      </c>
    </row>
    <row r="363" customFormat="false" ht="12.8" hidden="true" customHeight="false" outlineLevel="0" collapsed="false">
      <c r="A363" s="22" t="str">
        <f aca="false">customer_churn_dataset!A1429</f>
        <v>CUST100701</v>
      </c>
      <c r="B363" s="22" t="str">
        <f aca="false">customer_churn_dataset!B1429</f>
        <v>Basic</v>
      </c>
      <c r="C363" s="22" t="str">
        <f aca="false">customer_churn_dataset!C1429</f>
        <v>Two year</v>
      </c>
      <c r="D363" s="0" t="n">
        <f aca="false">INDEX(customer_churn_dataset!$E$2:$E$1501,MATCH($A364,customer_churn_dataset!$A$2:$A$1501,0))</f>
        <v>53</v>
      </c>
      <c r="E363" s="0" t="n">
        <f aca="false">INDEX(customer_churn_dataset!$I$2:$I$1501,MATCH($A364,customer_churn_dataset!$A$2:$A$1501,0))</f>
        <v>20.6</v>
      </c>
      <c r="F363" s="0" t="n">
        <f aca="false">INDEX(customer_churn_dataset!$L$2:$L$1501,MATCH($A364,customer_churn_dataset!$A$2:$A$1501,0))</f>
        <v>4</v>
      </c>
      <c r="G363" s="0" t="str">
        <f aca="false">IF(INDEX(customer_churn_dataset!$M$2:$M$1501,MATCH($A364,customer_churn_dataset!$A$2:$A$1501,0))=1,"Yes","No")</f>
        <v>No</v>
      </c>
      <c r="H363" s="0" t="n">
        <f aca="false">INDEX(customer_churn_dataset!$N$2:$N$1501,MATCH($A364,customer_churn_dataset!$A$2:$A$1501,0))</f>
        <v>554.91</v>
      </c>
      <c r="I363" s="0" t="n">
        <f aca="false">INDEX(customer_churn_dataset!$O$2:$O$1501,MATCH($A364,customer_churn_dataset!$A$2:$A$1501,0))</f>
        <v>0</v>
      </c>
      <c r="J363" s="0" t="n">
        <f aca="false">INDEX(customer_churn_dataset!$T$2:$T$1501,MATCH($A364,customer_churn_dataset!$A$2:$A$1501,0))</f>
        <v>5</v>
      </c>
      <c r="K363" s="0" t="str">
        <f aca="false">INDEX(customer_churn_dataset!$V$2:$V$1501,MATCH($A364,customer_churn_dataset!$A$2:$A$1501,0))</f>
        <v>Medium Risk</v>
      </c>
    </row>
    <row r="364" customFormat="false" ht="12.8" hidden="true" customHeight="false" outlineLevel="0" collapsed="false">
      <c r="A364" s="22" t="str">
        <f aca="false">customer_churn_dataset!A1431</f>
        <v>CUST101365</v>
      </c>
      <c r="B364" s="22" t="str">
        <f aca="false">customer_churn_dataset!B1431</f>
        <v>Basic</v>
      </c>
      <c r="C364" s="22" t="str">
        <f aca="false">customer_churn_dataset!C1431</f>
        <v>Month-to-month</v>
      </c>
      <c r="D364" s="0" t="n">
        <f aca="false">INDEX(customer_churn_dataset!$E$2:$E$1501,MATCH($A365,customer_churn_dataset!$A$2:$A$1501,0))</f>
        <v>45</v>
      </c>
      <c r="E364" s="0" t="n">
        <f aca="false">INDEX(customer_churn_dataset!$I$2:$I$1501,MATCH($A365,customer_churn_dataset!$A$2:$A$1501,0))</f>
        <v>58.9</v>
      </c>
      <c r="F364" s="0" t="n">
        <f aca="false">INDEX(customer_churn_dataset!$L$2:$L$1501,MATCH($A365,customer_churn_dataset!$A$2:$A$1501,0))</f>
        <v>2</v>
      </c>
      <c r="G364" s="0" t="str">
        <f aca="false">IF(INDEX(customer_churn_dataset!$M$2:$M$1501,MATCH($A365,customer_churn_dataset!$A$2:$A$1501,0))=1,"Yes","No")</f>
        <v>Yes</v>
      </c>
      <c r="H364" s="0" t="n">
        <f aca="false">INDEX(customer_churn_dataset!$N$2:$N$1501,MATCH($A365,customer_churn_dataset!$A$2:$A$1501,0))</f>
        <v>1836.9</v>
      </c>
      <c r="I364" s="0" t="n">
        <f aca="false">INDEX(customer_churn_dataset!$O$2:$O$1501,MATCH($A365,customer_churn_dataset!$A$2:$A$1501,0))</f>
        <v>0</v>
      </c>
      <c r="J364" s="0" t="n">
        <f aca="false">INDEX(customer_churn_dataset!$T$2:$T$1501,MATCH($A365,customer_churn_dataset!$A$2:$A$1501,0))</f>
        <v>6</v>
      </c>
      <c r="K364" s="0" t="str">
        <f aca="false">INDEX(customer_churn_dataset!$V$2:$V$1501,MATCH($A365,customer_churn_dataset!$A$2:$A$1501,0))</f>
        <v>High Risk</v>
      </c>
    </row>
    <row r="365" customFormat="false" ht="12.8" hidden="true" customHeight="false" outlineLevel="0" collapsed="false">
      <c r="A365" s="22" t="str">
        <f aca="false">customer_churn_dataset!A1437</f>
        <v>CUST101277</v>
      </c>
      <c r="B365" s="22" t="str">
        <f aca="false">customer_churn_dataset!B1437</f>
        <v>Premium</v>
      </c>
      <c r="C365" s="22" t="str">
        <f aca="false">customer_churn_dataset!C1437</f>
        <v>Month-to-month</v>
      </c>
      <c r="D365" s="0" t="n">
        <f aca="false">INDEX(customer_churn_dataset!$E$2:$E$1501,MATCH($A366,customer_churn_dataset!$A$2:$A$1501,0))</f>
        <v>9</v>
      </c>
      <c r="E365" s="0" t="n">
        <f aca="false">INDEX(customer_churn_dataset!$I$2:$I$1501,MATCH($A366,customer_churn_dataset!$A$2:$A$1501,0))</f>
        <v>40.8</v>
      </c>
      <c r="F365" s="0" t="n">
        <f aca="false">INDEX(customer_churn_dataset!$L$2:$L$1501,MATCH($A366,customer_churn_dataset!$A$2:$A$1501,0))</f>
        <v>1</v>
      </c>
      <c r="G365" s="0" t="str">
        <f aca="false">IF(INDEX(customer_churn_dataset!$M$2:$M$1501,MATCH($A366,customer_churn_dataset!$A$2:$A$1501,0))=1,"Yes","No")</f>
        <v>Yes</v>
      </c>
      <c r="H365" s="0" t="n">
        <f aca="false">INDEX(customer_churn_dataset!$N$2:$N$1501,MATCH($A366,customer_churn_dataset!$A$2:$A$1501,0))</f>
        <v>98.91</v>
      </c>
      <c r="I365" s="0" t="n">
        <f aca="false">INDEX(customer_churn_dataset!$O$2:$O$1501,MATCH($A366,customer_churn_dataset!$A$2:$A$1501,0))</f>
        <v>1</v>
      </c>
      <c r="J365" s="0" t="n">
        <f aca="false">INDEX(customer_churn_dataset!$T$2:$T$1501,MATCH($A366,customer_churn_dataset!$A$2:$A$1501,0))</f>
        <v>7</v>
      </c>
      <c r="K365" s="0" t="str">
        <f aca="false">INDEX(customer_churn_dataset!$V$2:$V$1501,MATCH($A366,customer_churn_dataset!$A$2:$A$1501,0))</f>
        <v>High Risk</v>
      </c>
    </row>
    <row r="366" customFormat="false" ht="12.8" hidden="true" customHeight="false" outlineLevel="0" collapsed="false">
      <c r="A366" s="22" t="str">
        <f aca="false">customer_churn_dataset!A1452</f>
        <v>CUST100694</v>
      </c>
      <c r="B366" s="22" t="str">
        <f aca="false">customer_churn_dataset!B1452</f>
        <v>Basic</v>
      </c>
      <c r="C366" s="22" t="str">
        <f aca="false">customer_churn_dataset!C1452</f>
        <v>Month-to-month</v>
      </c>
      <c r="D366" s="0" t="n">
        <f aca="false">INDEX(customer_churn_dataset!$E$2:$E$1501,MATCH($A367,customer_churn_dataset!$A$2:$A$1501,0))</f>
        <v>27</v>
      </c>
      <c r="E366" s="0" t="n">
        <f aca="false">INDEX(customer_churn_dataset!$I$2:$I$1501,MATCH($A367,customer_churn_dataset!$A$2:$A$1501,0))</f>
        <v>72.1</v>
      </c>
      <c r="F366" s="0" t="n">
        <f aca="false">INDEX(customer_churn_dataset!$L$2:$L$1501,MATCH($A367,customer_churn_dataset!$A$2:$A$1501,0))</f>
        <v>3</v>
      </c>
      <c r="G366" s="0" t="str">
        <f aca="false">IF(INDEX(customer_churn_dataset!$M$2:$M$1501,MATCH($A367,customer_churn_dataset!$A$2:$A$1501,0))=1,"Yes","No")</f>
        <v>Yes</v>
      </c>
      <c r="H366" s="0" t="n">
        <f aca="false">INDEX(customer_churn_dataset!$N$2:$N$1501,MATCH($A367,customer_churn_dataset!$A$2:$A$1501,0))</f>
        <v>515.43</v>
      </c>
      <c r="I366" s="0" t="n">
        <f aca="false">INDEX(customer_churn_dataset!$O$2:$O$1501,MATCH($A367,customer_churn_dataset!$A$2:$A$1501,0))</f>
        <v>0</v>
      </c>
      <c r="J366" s="0" t="n">
        <f aca="false">INDEX(customer_churn_dataset!$T$2:$T$1501,MATCH($A367,customer_churn_dataset!$A$2:$A$1501,0))</f>
        <v>5</v>
      </c>
      <c r="K366" s="0" t="str">
        <f aca="false">INDEX(customer_churn_dataset!$V$2:$V$1501,MATCH($A367,customer_churn_dataset!$A$2:$A$1501,0))</f>
        <v>Medium Risk</v>
      </c>
    </row>
    <row r="367" customFormat="false" ht="12.8" hidden="true" customHeight="false" outlineLevel="0" collapsed="false">
      <c r="A367" s="22" t="str">
        <f aca="false">customer_churn_dataset!A1455</f>
        <v>CUST100107</v>
      </c>
      <c r="B367" s="22" t="str">
        <f aca="false">customer_churn_dataset!B1455</f>
        <v>Standard</v>
      </c>
      <c r="C367" s="22" t="str">
        <f aca="false">customer_churn_dataset!C1455</f>
        <v>One year</v>
      </c>
      <c r="D367" s="0" t="n">
        <f aca="false">INDEX(customer_churn_dataset!$E$2:$E$1501,MATCH($A368,customer_churn_dataset!$A$2:$A$1501,0))</f>
        <v>66</v>
      </c>
      <c r="E367" s="0" t="n">
        <f aca="false">INDEX(customer_churn_dataset!$I$2:$I$1501,MATCH($A368,customer_churn_dataset!$A$2:$A$1501,0))</f>
        <v>47.3</v>
      </c>
      <c r="F367" s="0" t="n">
        <f aca="false">INDEX(customer_churn_dataset!$L$2:$L$1501,MATCH($A368,customer_churn_dataset!$A$2:$A$1501,0))</f>
        <v>0</v>
      </c>
      <c r="G367" s="0" t="str">
        <f aca="false">IF(INDEX(customer_churn_dataset!$M$2:$M$1501,MATCH($A368,customer_churn_dataset!$A$2:$A$1501,0))=1,"Yes","No")</f>
        <v>No</v>
      </c>
      <c r="H367" s="0" t="n">
        <f aca="false">INDEX(customer_churn_dataset!$N$2:$N$1501,MATCH($A368,customer_churn_dataset!$A$2:$A$1501,0))</f>
        <v>1300.2</v>
      </c>
      <c r="I367" s="0" t="n">
        <f aca="false">INDEX(customer_churn_dataset!$O$2:$O$1501,MATCH($A368,customer_churn_dataset!$A$2:$A$1501,0))</f>
        <v>0</v>
      </c>
      <c r="J367" s="0" t="n">
        <f aca="false">INDEX(customer_churn_dataset!$T$2:$T$1501,MATCH($A368,customer_churn_dataset!$A$2:$A$1501,0))</f>
        <v>2</v>
      </c>
      <c r="K367" s="0" t="str">
        <f aca="false">INDEX(customer_churn_dataset!$V$2:$V$1501,MATCH($A368,customer_churn_dataset!$A$2:$A$1501,0))</f>
        <v>Low Risk</v>
      </c>
    </row>
    <row r="368" customFormat="false" ht="12.8" hidden="true" customHeight="false" outlineLevel="0" collapsed="false">
      <c r="A368" s="22" t="str">
        <f aca="false">customer_churn_dataset!A1458</f>
        <v>CUST100054</v>
      </c>
      <c r="B368" s="22" t="str">
        <f aca="false">customer_churn_dataset!B1458</f>
        <v>Standard</v>
      </c>
      <c r="C368" s="22" t="str">
        <f aca="false">customer_churn_dataset!C1458</f>
        <v>One year</v>
      </c>
      <c r="D368" s="0" t="n">
        <f aca="false">INDEX(customer_churn_dataset!$E$2:$E$1501,MATCH($A369,customer_churn_dataset!$A$2:$A$1501,0))</f>
        <v>3</v>
      </c>
      <c r="E368" s="0" t="n">
        <f aca="false">INDEX(customer_churn_dataset!$I$2:$I$1501,MATCH($A369,customer_churn_dataset!$A$2:$A$1501,0))</f>
        <v>94.1</v>
      </c>
      <c r="F368" s="0" t="n">
        <f aca="false">INDEX(customer_churn_dataset!$L$2:$L$1501,MATCH($A369,customer_churn_dataset!$A$2:$A$1501,0))</f>
        <v>0</v>
      </c>
      <c r="G368" s="0" t="str">
        <f aca="false">IF(INDEX(customer_churn_dataset!$M$2:$M$1501,MATCH($A369,customer_churn_dataset!$A$2:$A$1501,0))=1,"Yes","No")</f>
        <v>No</v>
      </c>
      <c r="H368" s="0" t="n">
        <f aca="false">INDEX(customer_churn_dataset!$N$2:$N$1501,MATCH($A369,customer_churn_dataset!$A$2:$A$1501,0))</f>
        <v>61.89</v>
      </c>
      <c r="I368" s="0" t="n">
        <f aca="false">INDEX(customer_churn_dataset!$O$2:$O$1501,MATCH($A369,customer_churn_dataset!$A$2:$A$1501,0))</f>
        <v>0</v>
      </c>
      <c r="J368" s="0" t="n">
        <f aca="false">INDEX(customer_churn_dataset!$T$2:$T$1501,MATCH($A369,customer_churn_dataset!$A$2:$A$1501,0))</f>
        <v>2</v>
      </c>
      <c r="K368" s="0" t="str">
        <f aca="false">INDEX(customer_churn_dataset!$V$2:$V$1501,MATCH($A369,customer_churn_dataset!$A$2:$A$1501,0))</f>
        <v>Low Risk</v>
      </c>
    </row>
    <row r="369" customFormat="false" ht="12.8" hidden="true" customHeight="false" outlineLevel="0" collapsed="false">
      <c r="A369" s="22" t="str">
        <f aca="false">customer_churn_dataset!A1471</f>
        <v>CUST100858</v>
      </c>
      <c r="B369" s="22" t="str">
        <f aca="false">customer_churn_dataset!B1471</f>
        <v>Standard</v>
      </c>
      <c r="C369" s="22" t="str">
        <f aca="false">customer_churn_dataset!C1471</f>
        <v>One year</v>
      </c>
      <c r="D369" s="0" t="n">
        <f aca="false">INDEX(customer_churn_dataset!$E$2:$E$1501,MATCH($A370,customer_churn_dataset!$A$2:$A$1501,0))</f>
        <v>9</v>
      </c>
      <c r="E369" s="0" t="n">
        <f aca="false">INDEX(customer_churn_dataset!$I$2:$I$1501,MATCH($A370,customer_churn_dataset!$A$2:$A$1501,0))</f>
        <v>38.7</v>
      </c>
      <c r="F369" s="0" t="n">
        <f aca="false">INDEX(customer_churn_dataset!$L$2:$L$1501,MATCH($A370,customer_churn_dataset!$A$2:$A$1501,0))</f>
        <v>0</v>
      </c>
      <c r="G369" s="0" t="str">
        <f aca="false">IF(INDEX(customer_churn_dataset!$M$2:$M$1501,MATCH($A370,customer_churn_dataset!$A$2:$A$1501,0))=1,"Yes","No")</f>
        <v>No</v>
      </c>
      <c r="H369" s="0" t="n">
        <f aca="false">INDEX(customer_churn_dataset!$N$2:$N$1501,MATCH($A370,customer_churn_dataset!$A$2:$A$1501,0))</f>
        <v>95.13</v>
      </c>
      <c r="I369" s="0" t="n">
        <f aca="false">INDEX(customer_churn_dataset!$O$2:$O$1501,MATCH($A370,customer_churn_dataset!$A$2:$A$1501,0))</f>
        <v>0</v>
      </c>
      <c r="J369" s="0" t="n">
        <f aca="false">INDEX(customer_churn_dataset!$T$2:$T$1501,MATCH($A370,customer_churn_dataset!$A$2:$A$1501,0))</f>
        <v>4</v>
      </c>
      <c r="K369" s="0" t="str">
        <f aca="false">INDEX(customer_churn_dataset!$V$2:$V$1501,MATCH($A370,customer_churn_dataset!$A$2:$A$1501,0))</f>
        <v>Medium Risk</v>
      </c>
    </row>
    <row r="370" customFormat="false" ht="12.8" hidden="true" customHeight="false" outlineLevel="0" collapsed="false">
      <c r="A370" s="22" t="str">
        <f aca="false">customer_churn_dataset!A1473</f>
        <v>CUST100201</v>
      </c>
      <c r="B370" s="22" t="str">
        <f aca="false">customer_churn_dataset!B1473</f>
        <v>Basic</v>
      </c>
      <c r="C370" s="22" t="str">
        <f aca="false">customer_churn_dataset!C1473</f>
        <v>One year</v>
      </c>
      <c r="D370" s="0" t="n">
        <f aca="false">INDEX(customer_churn_dataset!$E$2:$E$1501,MATCH($A371,customer_churn_dataset!$A$2:$A$1501,0))</f>
        <v>6</v>
      </c>
      <c r="E370" s="0" t="n">
        <f aca="false">INDEX(customer_churn_dataset!$I$2:$I$1501,MATCH($A371,customer_churn_dataset!$A$2:$A$1501,0))</f>
        <v>46.6</v>
      </c>
      <c r="F370" s="0" t="n">
        <f aca="false">INDEX(customer_churn_dataset!$L$2:$L$1501,MATCH($A371,customer_churn_dataset!$A$2:$A$1501,0))</f>
        <v>2</v>
      </c>
      <c r="G370" s="0" t="str">
        <f aca="false">IF(INDEX(customer_churn_dataset!$M$2:$M$1501,MATCH($A371,customer_churn_dataset!$A$2:$A$1501,0))=1,"Yes","No")</f>
        <v>No</v>
      </c>
      <c r="H370" s="0" t="n">
        <f aca="false">INDEX(customer_churn_dataset!$N$2:$N$1501,MATCH($A371,customer_churn_dataset!$A$2:$A$1501,0))</f>
        <v>61.38</v>
      </c>
      <c r="I370" s="0" t="n">
        <f aca="false">INDEX(customer_churn_dataset!$O$2:$O$1501,MATCH($A371,customer_churn_dataset!$A$2:$A$1501,0))</f>
        <v>0</v>
      </c>
      <c r="J370" s="0" t="n">
        <f aca="false">INDEX(customer_churn_dataset!$T$2:$T$1501,MATCH($A371,customer_churn_dataset!$A$2:$A$1501,0))</f>
        <v>4</v>
      </c>
      <c r="K370" s="0" t="str">
        <f aca="false">INDEX(customer_churn_dataset!$V$2:$V$1501,MATCH($A371,customer_churn_dataset!$A$2:$A$1501,0))</f>
        <v>Medium Risk</v>
      </c>
    </row>
    <row r="371" customFormat="false" ht="12.8" hidden="false" customHeight="false" outlineLevel="0" collapsed="false">
      <c r="A371" s="23" t="str">
        <f aca="false">customer_churn_dataset!A1477</f>
        <v>CUST100585</v>
      </c>
      <c r="B371" s="24" t="str">
        <f aca="false">customer_churn_dataset!B1477</f>
        <v>Basic</v>
      </c>
      <c r="C371" s="24" t="str">
        <f aca="false">customer_churn_dataset!C1477</f>
        <v>One year</v>
      </c>
      <c r="D371" s="25" t="n">
        <f aca="false">INDEX(customer_churn_dataset!$E$2:$E$1501,MATCH($A372,customer_churn_dataset!$A$2:$A$1501,0))</f>
        <v>20</v>
      </c>
      <c r="E371" s="25" t="n">
        <f aca="false">INDEX(customer_churn_dataset!$I$2:$I$1501,MATCH($A372,customer_churn_dataset!$A$2:$A$1501,0))</f>
        <v>9</v>
      </c>
      <c r="F371" s="25" t="n">
        <f aca="false">INDEX(customer_churn_dataset!$L$2:$L$1501,MATCH($A372,customer_churn_dataset!$A$2:$A$1501,0))</f>
        <v>4</v>
      </c>
      <c r="G371" s="25" t="str">
        <f aca="false">IF(INDEX(customer_churn_dataset!$M$2:$M$1501,MATCH($A372,customer_churn_dataset!$A$2:$A$1501,0))=1,"Yes","No")</f>
        <v>Yes</v>
      </c>
      <c r="H371" s="25" t="n">
        <f aca="false">INDEX(customer_churn_dataset!$N$2:$N$1501,MATCH($A372,customer_churn_dataset!$A$2:$A$1501,0))</f>
        <v>197</v>
      </c>
      <c r="I371" s="25" t="n">
        <f aca="false">INDEX(customer_churn_dataset!$O$2:$O$1501,MATCH($A372,customer_churn_dataset!$A$2:$A$1501,0))</f>
        <v>1</v>
      </c>
      <c r="J371" s="25" t="n">
        <f aca="false">INDEX(customer_churn_dataset!$T$2:$T$1501,MATCH($A372,customer_churn_dataset!$A$2:$A$1501,0))</f>
        <v>8</v>
      </c>
      <c r="K371" s="25" t="str">
        <f aca="false">INDEX(customer_churn_dataset!$V$2:$V$1501,MATCH($A372,customer_churn_dataset!$A$2:$A$1501,0))</f>
        <v>High Risk</v>
      </c>
    </row>
    <row r="372" customFormat="false" ht="12.8" hidden="true" customHeight="false" outlineLevel="0" collapsed="false">
      <c r="A372" s="22" t="str">
        <f aca="false">customer_churn_dataset!A1488</f>
        <v>CUST100167</v>
      </c>
      <c r="B372" s="22" t="str">
        <f aca="false">customer_churn_dataset!B1488</f>
        <v>Basic</v>
      </c>
      <c r="C372" s="22" t="str">
        <f aca="false">customer_churn_dataset!C1488</f>
        <v>Month-to-month</v>
      </c>
      <c r="D372" s="0" t="n">
        <f aca="false">INDEX(customer_churn_dataset!$E$2:$E$1501,MATCH($A373,customer_churn_dataset!$A$2:$A$1501,0))</f>
        <v>3</v>
      </c>
      <c r="E372" s="0" t="n">
        <f aca="false">INDEX(customer_churn_dataset!$I$2:$I$1501,MATCH($A373,customer_churn_dataset!$A$2:$A$1501,0))</f>
        <v>61.5</v>
      </c>
      <c r="F372" s="0" t="n">
        <f aca="false">INDEX(customer_churn_dataset!$L$2:$L$1501,MATCH($A373,customer_churn_dataset!$A$2:$A$1501,0))</f>
        <v>1</v>
      </c>
      <c r="G372" s="0" t="str">
        <f aca="false">IF(INDEX(customer_churn_dataset!$M$2:$M$1501,MATCH($A373,customer_churn_dataset!$A$2:$A$1501,0))=1,"Yes","No")</f>
        <v>No</v>
      </c>
      <c r="H372" s="0" t="n">
        <f aca="false">INDEX(customer_churn_dataset!$N$2:$N$1501,MATCH($A373,customer_churn_dataset!$A$2:$A$1501,0))</f>
        <v>117.15</v>
      </c>
      <c r="I372" s="0" t="n">
        <f aca="false">INDEX(customer_churn_dataset!$O$2:$O$1501,MATCH($A373,customer_churn_dataset!$A$2:$A$1501,0))</f>
        <v>0</v>
      </c>
      <c r="J372" s="0" t="n">
        <f aca="false">INDEX(customer_churn_dataset!$T$2:$T$1501,MATCH($A373,customer_churn_dataset!$A$2:$A$1501,0))</f>
        <v>3</v>
      </c>
      <c r="K372" s="0" t="str">
        <f aca="false">INDEX(customer_churn_dataset!$V$2:$V$1501,MATCH($A373,customer_churn_dataset!$A$2:$A$1501,0))</f>
        <v>Medium Risk</v>
      </c>
    </row>
    <row r="373" customFormat="false" ht="12.8" hidden="true" customHeight="false" outlineLevel="0" collapsed="false">
      <c r="A373" s="22" t="str">
        <f aca="false">customer_churn_dataset!A1490</f>
        <v>CUST100853</v>
      </c>
      <c r="B373" s="22" t="str">
        <f aca="false">customer_churn_dataset!B1490</f>
        <v>Premium</v>
      </c>
      <c r="C373" s="22" t="str">
        <f aca="false">customer_churn_dataset!C1490</f>
        <v>Month-to-month</v>
      </c>
      <c r="D373" s="0" t="n">
        <f aca="false">INDEX(customer_churn_dataset!$E$2:$E$1501,MATCH($A374,customer_churn_dataset!$A$2:$A$1501,0))</f>
        <v>17</v>
      </c>
      <c r="E373" s="0" t="n">
        <f aca="false">INDEX(customer_churn_dataset!$I$2:$I$1501,MATCH($A374,customer_churn_dataset!$A$2:$A$1501,0))</f>
        <v>74.1</v>
      </c>
      <c r="F373" s="0" t="n">
        <f aca="false">INDEX(customer_churn_dataset!$L$2:$L$1501,MATCH($A374,customer_churn_dataset!$A$2:$A$1501,0))</f>
        <v>0</v>
      </c>
      <c r="G373" s="0" t="str">
        <f aca="false">IF(INDEX(customer_churn_dataset!$M$2:$M$1501,MATCH($A374,customer_churn_dataset!$A$2:$A$1501,0))=1,"Yes","No")</f>
        <v>No</v>
      </c>
      <c r="H373" s="0" t="n">
        <f aca="false">INDEX(customer_churn_dataset!$N$2:$N$1501,MATCH($A374,customer_churn_dataset!$A$2:$A$1501,0))</f>
        <v>683.06</v>
      </c>
      <c r="I373" s="0" t="n">
        <f aca="false">INDEX(customer_churn_dataset!$O$2:$O$1501,MATCH($A374,customer_churn_dataset!$A$2:$A$1501,0))</f>
        <v>0</v>
      </c>
      <c r="J373" s="0" t="n">
        <f aca="false">INDEX(customer_churn_dataset!$T$2:$T$1501,MATCH($A374,customer_churn_dataset!$A$2:$A$1501,0))</f>
        <v>1</v>
      </c>
      <c r="K373" s="0" t="str">
        <f aca="false">INDEX(customer_churn_dataset!$V$2:$V$1501,MATCH($A374,customer_churn_dataset!$A$2:$A$1501,0))</f>
        <v>Low Risk</v>
      </c>
    </row>
    <row r="374" customFormat="false" ht="12.8" hidden="true" customHeight="false" outlineLevel="0" collapsed="false">
      <c r="A374" s="22" t="str">
        <f aca="false">customer_churn_dataset!A29</f>
        <v>CUST100118</v>
      </c>
      <c r="B374" s="22" t="str">
        <f aca="false">customer_churn_dataset!B29</f>
        <v>Premium</v>
      </c>
      <c r="C374" s="22" t="str">
        <f aca="false">customer_churn_dataset!C29</f>
        <v>One year</v>
      </c>
      <c r="D374" s="0" t="n">
        <f aca="false">INDEX(customer_churn_dataset!$E$2:$E$1501,MATCH($A375,customer_churn_dataset!$A$2:$A$1501,0))</f>
        <v>16</v>
      </c>
      <c r="E374" s="0" t="n">
        <f aca="false">INDEX(customer_churn_dataset!$I$2:$I$1501,MATCH($A375,customer_churn_dataset!$A$2:$A$1501,0))</f>
        <v>58.6</v>
      </c>
      <c r="F374" s="0" t="n">
        <f aca="false">INDEX(customer_churn_dataset!$L$2:$L$1501,MATCH($A375,customer_churn_dataset!$A$2:$A$1501,0))</f>
        <v>2</v>
      </c>
      <c r="G374" s="0" t="str">
        <f aca="false">IF(INDEX(customer_churn_dataset!$M$2:$M$1501,MATCH($A375,customer_churn_dataset!$A$2:$A$1501,0))=1,"Yes","No")</f>
        <v>Yes</v>
      </c>
      <c r="H374" s="0" t="n">
        <f aca="false">INDEX(customer_churn_dataset!$N$2:$N$1501,MATCH($A375,customer_churn_dataset!$A$2:$A$1501,0))</f>
        <v>145.76</v>
      </c>
      <c r="I374" s="0" t="n">
        <f aca="false">INDEX(customer_churn_dataset!$O$2:$O$1501,MATCH($A375,customer_churn_dataset!$A$2:$A$1501,0))</f>
        <v>0</v>
      </c>
      <c r="J374" s="0" t="n">
        <f aca="false">INDEX(customer_churn_dataset!$T$2:$T$1501,MATCH($A375,customer_churn_dataset!$A$2:$A$1501,0))</f>
        <v>6</v>
      </c>
      <c r="K374" s="0" t="str">
        <f aca="false">INDEX(customer_churn_dataset!$V$2:$V$1501,MATCH($A375,customer_churn_dataset!$A$2:$A$1501,0))</f>
        <v>High Risk</v>
      </c>
    </row>
    <row r="375" customFormat="false" ht="12.8" hidden="true" customHeight="false" outlineLevel="0" collapsed="false">
      <c r="A375" s="22" t="str">
        <f aca="false">customer_churn_dataset!A23</f>
        <v>CUST100209</v>
      </c>
      <c r="B375" s="22" t="str">
        <f aca="false">customer_churn_dataset!B23</f>
        <v>Basic</v>
      </c>
      <c r="C375" s="22" t="str">
        <f aca="false">customer_churn_dataset!C23</f>
        <v>Month-to-month</v>
      </c>
      <c r="D375" s="0" t="n">
        <f aca="false">INDEX(customer_churn_dataset!$E$2:$E$1501,MATCH($A376,customer_churn_dataset!$A$2:$A$1501,0))</f>
        <v>33</v>
      </c>
      <c r="E375" s="0" t="n">
        <f aca="false">INDEX(customer_churn_dataset!$I$2:$I$1501,MATCH($A376,customer_churn_dataset!$A$2:$A$1501,0))</f>
        <v>46.1</v>
      </c>
      <c r="F375" s="0" t="n">
        <f aca="false">INDEX(customer_churn_dataset!$L$2:$L$1501,MATCH($A376,customer_churn_dataset!$A$2:$A$1501,0))</f>
        <v>0</v>
      </c>
      <c r="G375" s="0" t="str">
        <f aca="false">IF(INDEX(customer_churn_dataset!$M$2:$M$1501,MATCH($A376,customer_churn_dataset!$A$2:$A$1501,0))=1,"Yes","No")</f>
        <v>No</v>
      </c>
      <c r="H375" s="0" t="n">
        <f aca="false">INDEX(customer_churn_dataset!$N$2:$N$1501,MATCH($A376,customer_churn_dataset!$A$2:$A$1501,0))</f>
        <v>653.4</v>
      </c>
      <c r="I375" s="0" t="n">
        <f aca="false">INDEX(customer_churn_dataset!$O$2:$O$1501,MATCH($A376,customer_churn_dataset!$A$2:$A$1501,0))</f>
        <v>0</v>
      </c>
      <c r="J375" s="0" t="n">
        <f aca="false">INDEX(customer_churn_dataset!$T$2:$T$1501,MATCH($A376,customer_churn_dataset!$A$2:$A$1501,0))</f>
        <v>3</v>
      </c>
      <c r="K375" s="0" t="str">
        <f aca="false">INDEX(customer_churn_dataset!$V$2:$V$1501,MATCH($A376,customer_churn_dataset!$A$2:$A$1501,0))</f>
        <v>Medium Risk</v>
      </c>
    </row>
    <row r="376" customFormat="false" ht="12.8" hidden="false" customHeight="false" outlineLevel="0" collapsed="false">
      <c r="A376" s="23" t="str">
        <f aca="false">customer_churn_dataset!A3</f>
        <v>CUST101041</v>
      </c>
      <c r="B376" s="24" t="str">
        <f aca="false">customer_churn_dataset!B3</f>
        <v>Standard</v>
      </c>
      <c r="C376" s="24" t="str">
        <f aca="false">customer_churn_dataset!C3</f>
        <v>Month-to-month</v>
      </c>
      <c r="D376" s="25" t="n">
        <f aca="false">INDEX(customer_churn_dataset!$E$2:$E$1501,MATCH($A377,customer_churn_dataset!$A$2:$A$1501,0))</f>
        <v>9</v>
      </c>
      <c r="E376" s="25" t="n">
        <f aca="false">INDEX(customer_churn_dataset!$I$2:$I$1501,MATCH($A377,customer_churn_dataset!$A$2:$A$1501,0))</f>
        <v>54.2</v>
      </c>
      <c r="F376" s="25" t="n">
        <f aca="false">INDEX(customer_churn_dataset!$L$2:$L$1501,MATCH($A377,customer_churn_dataset!$A$2:$A$1501,0))</f>
        <v>2</v>
      </c>
      <c r="G376" s="25" t="str">
        <f aca="false">IF(INDEX(customer_churn_dataset!$M$2:$M$1501,MATCH($A377,customer_churn_dataset!$A$2:$A$1501,0))=1,"Yes","No")</f>
        <v>Yes</v>
      </c>
      <c r="H376" s="25" t="n">
        <f aca="false">INDEX(customer_churn_dataset!$N$2:$N$1501,MATCH($A377,customer_churn_dataset!$A$2:$A$1501,0))</f>
        <v>188.64</v>
      </c>
      <c r="I376" s="25" t="n">
        <f aca="false">INDEX(customer_churn_dataset!$O$2:$O$1501,MATCH($A377,customer_churn_dataset!$A$2:$A$1501,0))</f>
        <v>0</v>
      </c>
      <c r="J376" s="25" t="n">
        <f aca="false">INDEX(customer_churn_dataset!$T$2:$T$1501,MATCH($A377,customer_churn_dataset!$A$2:$A$1501,0))</f>
        <v>8</v>
      </c>
      <c r="K376" s="25" t="str">
        <f aca="false">INDEX(customer_churn_dataset!$V$2:$V$1501,MATCH($A377,customer_churn_dataset!$A$2:$A$1501,0))</f>
        <v>High Risk</v>
      </c>
    </row>
    <row r="377" customFormat="false" ht="12.8" hidden="true" customHeight="false" outlineLevel="0" collapsed="false">
      <c r="A377" s="22" t="str">
        <f aca="false">customer_churn_dataset!A6</f>
        <v>CUST101341</v>
      </c>
      <c r="B377" s="22" t="str">
        <f aca="false">customer_churn_dataset!B6</f>
        <v>Standard</v>
      </c>
      <c r="C377" s="22" t="str">
        <f aca="false">customer_churn_dataset!C6</f>
        <v>Month-to-month</v>
      </c>
      <c r="D377" s="0" t="n">
        <f aca="false">INDEX(customer_churn_dataset!$E$2:$E$1501,MATCH($A378,customer_churn_dataset!$A$2:$A$1501,0))</f>
        <v>59</v>
      </c>
      <c r="E377" s="0" t="n">
        <f aca="false">INDEX(customer_churn_dataset!$I$2:$I$1501,MATCH($A378,customer_churn_dataset!$A$2:$A$1501,0))</f>
        <v>52.6</v>
      </c>
      <c r="F377" s="0" t="n">
        <f aca="false">INDEX(customer_churn_dataset!$L$2:$L$1501,MATCH($A378,customer_churn_dataset!$A$2:$A$1501,0))</f>
        <v>2</v>
      </c>
      <c r="G377" s="0" t="str">
        <f aca="false">IF(INDEX(customer_churn_dataset!$M$2:$M$1501,MATCH($A378,customer_churn_dataset!$A$2:$A$1501,0))=1,"Yes","No")</f>
        <v>Yes</v>
      </c>
      <c r="H377" s="0" t="n">
        <f aca="false">INDEX(customer_churn_dataset!$N$2:$N$1501,MATCH($A378,customer_churn_dataset!$A$2:$A$1501,0))</f>
        <v>2319.29</v>
      </c>
      <c r="I377" s="0" t="n">
        <f aca="false">INDEX(customer_churn_dataset!$O$2:$O$1501,MATCH($A378,customer_churn_dataset!$A$2:$A$1501,0))</f>
        <v>0</v>
      </c>
      <c r="J377" s="0" t="n">
        <f aca="false">INDEX(customer_churn_dataset!$T$2:$T$1501,MATCH($A378,customer_churn_dataset!$A$2:$A$1501,0))</f>
        <v>7</v>
      </c>
      <c r="K377" s="0" t="str">
        <f aca="false">INDEX(customer_churn_dataset!$V$2:$V$1501,MATCH($A378,customer_churn_dataset!$A$2:$A$1501,0))</f>
        <v>High Risk</v>
      </c>
    </row>
    <row r="378" customFormat="false" ht="12.8" hidden="true" customHeight="false" outlineLevel="0" collapsed="false">
      <c r="A378" s="22" t="str">
        <f aca="false">customer_churn_dataset!A30</f>
        <v>CUST101121</v>
      </c>
      <c r="B378" s="22" t="str">
        <f aca="false">customer_churn_dataset!B30</f>
        <v>Premium</v>
      </c>
      <c r="C378" s="22" t="str">
        <f aca="false">customer_churn_dataset!C30</f>
        <v>Month-to-month</v>
      </c>
      <c r="D378" s="0" t="n">
        <f aca="false">INDEX(customer_churn_dataset!$E$2:$E$1501,MATCH($A379,customer_churn_dataset!$A$2:$A$1501,0))</f>
        <v>11</v>
      </c>
      <c r="E378" s="0" t="n">
        <f aca="false">INDEX(customer_churn_dataset!$I$2:$I$1501,MATCH($A379,customer_churn_dataset!$A$2:$A$1501,0))</f>
        <v>89.5</v>
      </c>
      <c r="F378" s="0" t="n">
        <f aca="false">INDEX(customer_churn_dataset!$L$2:$L$1501,MATCH($A379,customer_churn_dataset!$A$2:$A$1501,0))</f>
        <v>2</v>
      </c>
      <c r="G378" s="0" t="str">
        <f aca="false">IF(INDEX(customer_churn_dataset!$M$2:$M$1501,MATCH($A379,customer_churn_dataset!$A$2:$A$1501,0))=1,"Yes","No")</f>
        <v>Yes</v>
      </c>
      <c r="H378" s="0" t="n">
        <f aca="false">INDEX(customer_churn_dataset!$N$2:$N$1501,MATCH($A379,customer_churn_dataset!$A$2:$A$1501,0))</f>
        <v>110.77</v>
      </c>
      <c r="I378" s="0" t="n">
        <f aca="false">INDEX(customer_churn_dataset!$O$2:$O$1501,MATCH($A379,customer_churn_dataset!$A$2:$A$1501,0))</f>
        <v>0</v>
      </c>
      <c r="J378" s="0" t="n">
        <f aca="false">INDEX(customer_churn_dataset!$T$2:$T$1501,MATCH($A379,customer_churn_dataset!$A$2:$A$1501,0))</f>
        <v>7</v>
      </c>
      <c r="K378" s="0" t="str">
        <f aca="false">INDEX(customer_churn_dataset!$V$2:$V$1501,MATCH($A379,customer_churn_dataset!$A$2:$A$1501,0))</f>
        <v>High Risk</v>
      </c>
    </row>
    <row r="379" customFormat="false" ht="12.8" hidden="true" customHeight="false" outlineLevel="0" collapsed="false">
      <c r="A379" s="22" t="str">
        <f aca="false">customer_churn_dataset!A41</f>
        <v>CUST101300</v>
      </c>
      <c r="B379" s="22" t="str">
        <f aca="false">customer_churn_dataset!B41</f>
        <v>Basic</v>
      </c>
      <c r="C379" s="22" t="str">
        <f aca="false">customer_churn_dataset!C41</f>
        <v>Month-to-month</v>
      </c>
      <c r="D379" s="0" t="n">
        <f aca="false">INDEX(customer_churn_dataset!$E$2:$E$1501,MATCH($A380,customer_churn_dataset!$A$2:$A$1501,0))</f>
        <v>25</v>
      </c>
      <c r="E379" s="0" t="n">
        <f aca="false">INDEX(customer_churn_dataset!$I$2:$I$1501,MATCH($A380,customer_churn_dataset!$A$2:$A$1501,0))</f>
        <v>61.2</v>
      </c>
      <c r="F379" s="0" t="n">
        <f aca="false">INDEX(customer_churn_dataset!$L$2:$L$1501,MATCH($A380,customer_churn_dataset!$A$2:$A$1501,0))</f>
        <v>0</v>
      </c>
      <c r="G379" s="0" t="str">
        <f aca="false">IF(INDEX(customer_churn_dataset!$M$2:$M$1501,MATCH($A380,customer_churn_dataset!$A$2:$A$1501,0))=1,"Yes","No")</f>
        <v>No</v>
      </c>
      <c r="H379" s="0" t="n">
        <f aca="false">INDEX(customer_churn_dataset!$N$2:$N$1501,MATCH($A380,customer_churn_dataset!$A$2:$A$1501,0))</f>
        <v>268</v>
      </c>
      <c r="I379" s="0" t="n">
        <f aca="false">INDEX(customer_churn_dataset!$O$2:$O$1501,MATCH($A380,customer_churn_dataset!$A$2:$A$1501,0))</f>
        <v>0</v>
      </c>
      <c r="J379" s="0" t="n">
        <f aca="false">INDEX(customer_churn_dataset!$T$2:$T$1501,MATCH($A380,customer_churn_dataset!$A$2:$A$1501,0))</f>
        <v>2</v>
      </c>
      <c r="K379" s="0" t="str">
        <f aca="false">INDEX(customer_churn_dataset!$V$2:$V$1501,MATCH($A380,customer_churn_dataset!$A$2:$A$1501,0))</f>
        <v>Low Risk</v>
      </c>
    </row>
    <row r="380" customFormat="false" ht="12.8" hidden="true" customHeight="false" outlineLevel="0" collapsed="false">
      <c r="A380" s="22" t="str">
        <f aca="false">customer_churn_dataset!A18</f>
        <v>CUST100826</v>
      </c>
      <c r="B380" s="22" t="str">
        <f aca="false">customer_churn_dataset!B18</f>
        <v>Basic</v>
      </c>
      <c r="C380" s="22" t="str">
        <f aca="false">customer_churn_dataset!C18</f>
        <v>Month-to-month</v>
      </c>
      <c r="D380" s="0" t="n">
        <f aca="false">INDEX(customer_churn_dataset!$E$2:$E$1501,MATCH($A381,customer_churn_dataset!$A$2:$A$1501,0))</f>
        <v>32</v>
      </c>
      <c r="E380" s="0" t="n">
        <f aca="false">INDEX(customer_churn_dataset!$I$2:$I$1501,MATCH($A381,customer_churn_dataset!$A$2:$A$1501,0))</f>
        <v>36.5</v>
      </c>
      <c r="F380" s="0" t="n">
        <f aca="false">INDEX(customer_churn_dataset!$L$2:$L$1501,MATCH($A381,customer_churn_dataset!$A$2:$A$1501,0))</f>
        <v>0</v>
      </c>
      <c r="G380" s="0" t="str">
        <f aca="false">IF(INDEX(customer_churn_dataset!$M$2:$M$1501,MATCH($A381,customer_churn_dataset!$A$2:$A$1501,0))=1,"Yes","No")</f>
        <v>No</v>
      </c>
      <c r="H380" s="0" t="n">
        <f aca="false">INDEX(customer_churn_dataset!$N$2:$N$1501,MATCH($A381,customer_churn_dataset!$A$2:$A$1501,0))</f>
        <v>1258.24</v>
      </c>
      <c r="I380" s="0" t="n">
        <f aca="false">INDEX(customer_churn_dataset!$O$2:$O$1501,MATCH($A381,customer_churn_dataset!$A$2:$A$1501,0))</f>
        <v>0</v>
      </c>
      <c r="J380" s="0" t="n">
        <f aca="false">INDEX(customer_churn_dataset!$T$2:$T$1501,MATCH($A381,customer_churn_dataset!$A$2:$A$1501,0))</f>
        <v>2</v>
      </c>
      <c r="K380" s="0" t="str">
        <f aca="false">INDEX(customer_churn_dataset!$V$2:$V$1501,MATCH($A381,customer_churn_dataset!$A$2:$A$1501,0))</f>
        <v>Low Risk</v>
      </c>
    </row>
    <row r="381" customFormat="false" ht="12.8" hidden="true" customHeight="false" outlineLevel="0" collapsed="false">
      <c r="A381" s="22" t="str">
        <f aca="false">customer_churn_dataset!A52</f>
        <v>CUST100140</v>
      </c>
      <c r="B381" s="22" t="str">
        <f aca="false">customer_churn_dataset!B52</f>
        <v>Premium</v>
      </c>
      <c r="C381" s="22" t="str">
        <f aca="false">customer_churn_dataset!C52</f>
        <v>Two year</v>
      </c>
      <c r="D381" s="0" t="n">
        <f aca="false">INDEX(customer_churn_dataset!$E$2:$E$1501,MATCH($A382,customer_churn_dataset!$A$2:$A$1501,0))</f>
        <v>25</v>
      </c>
      <c r="E381" s="0" t="n">
        <f aca="false">INDEX(customer_churn_dataset!$I$2:$I$1501,MATCH($A382,customer_churn_dataset!$A$2:$A$1501,0))</f>
        <v>60.9</v>
      </c>
      <c r="F381" s="0" t="n">
        <f aca="false">INDEX(customer_churn_dataset!$L$2:$L$1501,MATCH($A382,customer_churn_dataset!$A$2:$A$1501,0))</f>
        <v>3</v>
      </c>
      <c r="G381" s="0" t="str">
        <f aca="false">IF(INDEX(customer_churn_dataset!$M$2:$M$1501,MATCH($A382,customer_churn_dataset!$A$2:$A$1501,0))=1,"Yes","No")</f>
        <v>No</v>
      </c>
      <c r="H381" s="0" t="n">
        <f aca="false">INDEX(customer_churn_dataset!$N$2:$N$1501,MATCH($A382,customer_churn_dataset!$A$2:$A$1501,0))</f>
        <v>268.25</v>
      </c>
      <c r="I381" s="0" t="n">
        <f aca="false">INDEX(customer_churn_dataset!$O$2:$O$1501,MATCH($A382,customer_churn_dataset!$A$2:$A$1501,0))</f>
        <v>0</v>
      </c>
      <c r="J381" s="0" t="n">
        <f aca="false">INDEX(customer_churn_dataset!$T$2:$T$1501,MATCH($A382,customer_churn_dataset!$A$2:$A$1501,0))</f>
        <v>2</v>
      </c>
      <c r="K381" s="0" t="str">
        <f aca="false">INDEX(customer_churn_dataset!$V$2:$V$1501,MATCH($A382,customer_churn_dataset!$A$2:$A$1501,0))</f>
        <v>Low Risk</v>
      </c>
    </row>
    <row r="382" customFormat="false" ht="12.8" hidden="true" customHeight="false" outlineLevel="0" collapsed="false">
      <c r="A382" s="22" t="str">
        <f aca="false">customer_churn_dataset!A55</f>
        <v>CUST100562</v>
      </c>
      <c r="B382" s="22" t="str">
        <f aca="false">customer_churn_dataset!B55</f>
        <v>Basic</v>
      </c>
      <c r="C382" s="22" t="str">
        <f aca="false">customer_churn_dataset!C55</f>
        <v>One year</v>
      </c>
      <c r="D382" s="0" t="n">
        <f aca="false">INDEX(customer_churn_dataset!$E$2:$E$1501,MATCH($A383,customer_churn_dataset!$A$2:$A$1501,0))</f>
        <v>11</v>
      </c>
      <c r="E382" s="0" t="n">
        <f aca="false">INDEX(customer_churn_dataset!$I$2:$I$1501,MATCH($A383,customer_churn_dataset!$A$2:$A$1501,0))</f>
        <v>21.4</v>
      </c>
      <c r="F382" s="0" t="n">
        <f aca="false">INDEX(customer_churn_dataset!$L$2:$L$1501,MATCH($A383,customer_churn_dataset!$A$2:$A$1501,0))</f>
        <v>1</v>
      </c>
      <c r="G382" s="0" t="str">
        <f aca="false">IF(INDEX(customer_churn_dataset!$M$2:$M$1501,MATCH($A383,customer_churn_dataset!$A$2:$A$1501,0))=1,"Yes","No")</f>
        <v>No</v>
      </c>
      <c r="H382" s="0" t="n">
        <f aca="false">INDEX(customer_churn_dataset!$N$2:$N$1501,MATCH($A383,customer_churn_dataset!$A$2:$A$1501,0))</f>
        <v>452.32</v>
      </c>
      <c r="I382" s="0" t="n">
        <f aca="false">INDEX(customer_churn_dataset!$O$2:$O$1501,MATCH($A383,customer_churn_dataset!$A$2:$A$1501,0))</f>
        <v>0</v>
      </c>
      <c r="J382" s="0" t="n">
        <f aca="false">INDEX(customer_churn_dataset!$T$2:$T$1501,MATCH($A383,customer_churn_dataset!$A$2:$A$1501,0))</f>
        <v>4</v>
      </c>
      <c r="K382" s="0" t="str">
        <f aca="false">INDEX(customer_churn_dataset!$V$2:$V$1501,MATCH($A383,customer_churn_dataset!$A$2:$A$1501,0))</f>
        <v>Medium Risk</v>
      </c>
    </row>
    <row r="383" customFormat="false" ht="12.8" hidden="true" customHeight="false" outlineLevel="0" collapsed="false">
      <c r="A383" s="22" t="str">
        <f aca="false">customer_churn_dataset!A56</f>
        <v>CUST100943</v>
      </c>
      <c r="B383" s="22" t="str">
        <f aca="false">customer_churn_dataset!B56</f>
        <v>Premium</v>
      </c>
      <c r="C383" s="22" t="str">
        <f aca="false">customer_churn_dataset!C56</f>
        <v>One year</v>
      </c>
      <c r="D383" s="0" t="n">
        <f aca="false">INDEX(customer_churn_dataset!$E$2:$E$1501,MATCH($A384,customer_churn_dataset!$A$2:$A$1501,0))</f>
        <v>72</v>
      </c>
      <c r="E383" s="0" t="n">
        <f aca="false">INDEX(customer_churn_dataset!$I$2:$I$1501,MATCH($A384,customer_churn_dataset!$A$2:$A$1501,0))</f>
        <v>45.4</v>
      </c>
      <c r="F383" s="0" t="n">
        <f aca="false">INDEX(customer_churn_dataset!$L$2:$L$1501,MATCH($A384,customer_churn_dataset!$A$2:$A$1501,0))</f>
        <v>0</v>
      </c>
      <c r="G383" s="0" t="str">
        <f aca="false">IF(INDEX(customer_churn_dataset!$M$2:$M$1501,MATCH($A384,customer_churn_dataset!$A$2:$A$1501,0))=1,"Yes","No")</f>
        <v>No</v>
      </c>
      <c r="H383" s="0" t="n">
        <f aca="false">INDEX(customer_churn_dataset!$N$2:$N$1501,MATCH($A384,customer_churn_dataset!$A$2:$A$1501,0))</f>
        <v>2775.6</v>
      </c>
      <c r="I383" s="0" t="n">
        <f aca="false">INDEX(customer_churn_dataset!$O$2:$O$1501,MATCH($A384,customer_churn_dataset!$A$2:$A$1501,0))</f>
        <v>0</v>
      </c>
      <c r="J383" s="0" t="n">
        <f aca="false">INDEX(customer_churn_dataset!$T$2:$T$1501,MATCH($A384,customer_churn_dataset!$A$2:$A$1501,0))</f>
        <v>3</v>
      </c>
      <c r="K383" s="0" t="str">
        <f aca="false">INDEX(customer_churn_dataset!$V$2:$V$1501,MATCH($A384,customer_churn_dataset!$A$2:$A$1501,0))</f>
        <v>Medium Risk</v>
      </c>
    </row>
    <row r="384" customFormat="false" ht="12.8" hidden="true" customHeight="false" outlineLevel="0" collapsed="false">
      <c r="A384" s="22" t="str">
        <f aca="false">customer_churn_dataset!A57</f>
        <v>CUST100922</v>
      </c>
      <c r="B384" s="22" t="str">
        <f aca="false">customer_churn_dataset!B57</f>
        <v>Premium</v>
      </c>
      <c r="C384" s="22" t="str">
        <f aca="false">customer_churn_dataset!C57</f>
        <v>Month-to-month</v>
      </c>
      <c r="D384" s="0" t="n">
        <f aca="false">INDEX(customer_churn_dataset!$E$2:$E$1501,MATCH($A385,customer_churn_dataset!$A$2:$A$1501,0))</f>
        <v>7</v>
      </c>
      <c r="E384" s="0" t="n">
        <f aca="false">INDEX(customer_churn_dataset!$I$2:$I$1501,MATCH($A385,customer_churn_dataset!$A$2:$A$1501,0))</f>
        <v>82.8</v>
      </c>
      <c r="F384" s="0" t="n">
        <f aca="false">INDEX(customer_churn_dataset!$L$2:$L$1501,MATCH($A385,customer_churn_dataset!$A$2:$A$1501,0))</f>
        <v>3</v>
      </c>
      <c r="G384" s="0" t="str">
        <f aca="false">IF(INDEX(customer_churn_dataset!$M$2:$M$1501,MATCH($A385,customer_churn_dataset!$A$2:$A$1501,0))=1,"Yes","No")</f>
        <v>No</v>
      </c>
      <c r="H384" s="0" t="n">
        <f aca="false">INDEX(customer_churn_dataset!$N$2:$N$1501,MATCH($A385,customer_churn_dataset!$A$2:$A$1501,0))</f>
        <v>70.35</v>
      </c>
      <c r="I384" s="0" t="n">
        <f aca="false">INDEX(customer_churn_dataset!$O$2:$O$1501,MATCH($A385,customer_churn_dataset!$A$2:$A$1501,0))</f>
        <v>0</v>
      </c>
      <c r="J384" s="0" t="n">
        <f aca="false">INDEX(customer_churn_dataset!$T$2:$T$1501,MATCH($A385,customer_churn_dataset!$A$2:$A$1501,0))</f>
        <v>4</v>
      </c>
      <c r="K384" s="0" t="str">
        <f aca="false">INDEX(customer_churn_dataset!$V$2:$V$1501,MATCH($A385,customer_churn_dataset!$A$2:$A$1501,0))</f>
        <v>Medium Risk</v>
      </c>
    </row>
    <row r="385" customFormat="false" ht="12.8" hidden="true" customHeight="false" outlineLevel="0" collapsed="false">
      <c r="A385" s="22" t="str">
        <f aca="false">customer_churn_dataset!A58</f>
        <v>CUST100164</v>
      </c>
      <c r="B385" s="22" t="str">
        <f aca="false">customer_churn_dataset!B58</f>
        <v>Basic</v>
      </c>
      <c r="C385" s="22" t="str">
        <f aca="false">customer_churn_dataset!C58</f>
        <v>Month-to-month</v>
      </c>
      <c r="D385" s="0" t="n">
        <f aca="false">INDEX(customer_churn_dataset!$E$2:$E$1501,MATCH($A386,customer_churn_dataset!$A$2:$A$1501,0))</f>
        <v>15</v>
      </c>
      <c r="E385" s="0" t="n">
        <f aca="false">INDEX(customer_churn_dataset!$I$2:$I$1501,MATCH($A386,customer_churn_dataset!$A$2:$A$1501,0))</f>
        <v>58.9</v>
      </c>
      <c r="F385" s="0" t="n">
        <f aca="false">INDEX(customer_churn_dataset!$L$2:$L$1501,MATCH($A386,customer_churn_dataset!$A$2:$A$1501,0))</f>
        <v>3</v>
      </c>
      <c r="G385" s="0" t="str">
        <f aca="false">IF(INDEX(customer_churn_dataset!$M$2:$M$1501,MATCH($A386,customer_churn_dataset!$A$2:$A$1501,0))=1,"Yes","No")</f>
        <v>Yes</v>
      </c>
      <c r="H385" s="0" t="n">
        <f aca="false">INDEX(customer_churn_dataset!$N$2:$N$1501,MATCH($A386,customer_churn_dataset!$A$2:$A$1501,0))</f>
        <v>293.1</v>
      </c>
      <c r="I385" s="0" t="n">
        <f aca="false">INDEX(customer_churn_dataset!$O$2:$O$1501,MATCH($A386,customer_churn_dataset!$A$2:$A$1501,0))</f>
        <v>0</v>
      </c>
      <c r="J385" s="0" t="n">
        <f aca="false">INDEX(customer_churn_dataset!$T$2:$T$1501,MATCH($A386,customer_churn_dataset!$A$2:$A$1501,0))</f>
        <v>6</v>
      </c>
      <c r="K385" s="0" t="str">
        <f aca="false">INDEX(customer_churn_dataset!$V$2:$V$1501,MATCH($A386,customer_churn_dataset!$A$2:$A$1501,0))</f>
        <v>High Risk</v>
      </c>
    </row>
    <row r="386" customFormat="false" ht="12.8" hidden="true" customHeight="false" outlineLevel="0" collapsed="false">
      <c r="A386" s="22" t="str">
        <f aca="false">customer_churn_dataset!A63</f>
        <v>CUST100928</v>
      </c>
      <c r="B386" s="22" t="str">
        <f aca="false">customer_churn_dataset!B63</f>
        <v>Standard</v>
      </c>
      <c r="C386" s="22" t="str">
        <f aca="false">customer_churn_dataset!C63</f>
        <v>Month-to-month</v>
      </c>
      <c r="D386" s="0" t="n">
        <f aca="false">INDEX(customer_churn_dataset!$E$2:$E$1501,MATCH($A387,customer_churn_dataset!$A$2:$A$1501,0))</f>
        <v>11</v>
      </c>
      <c r="E386" s="0" t="n">
        <f aca="false">INDEX(customer_churn_dataset!$I$2:$I$1501,MATCH($A387,customer_churn_dataset!$A$2:$A$1501,0))</f>
        <v>50.1</v>
      </c>
      <c r="F386" s="0" t="n">
        <f aca="false">INDEX(customer_churn_dataset!$L$2:$L$1501,MATCH($A387,customer_churn_dataset!$A$2:$A$1501,0))</f>
        <v>2</v>
      </c>
      <c r="G386" s="0" t="str">
        <f aca="false">IF(INDEX(customer_churn_dataset!$M$2:$M$1501,MATCH($A387,customer_churn_dataset!$A$2:$A$1501,0))=1,"Yes","No")</f>
        <v>No</v>
      </c>
      <c r="H386" s="0" t="n">
        <f aca="false">INDEX(customer_churn_dataset!$N$2:$N$1501,MATCH($A387,customer_churn_dataset!$A$2:$A$1501,0))</f>
        <v>440.11</v>
      </c>
      <c r="I386" s="0" t="n">
        <f aca="false">INDEX(customer_churn_dataset!$O$2:$O$1501,MATCH($A387,customer_churn_dataset!$A$2:$A$1501,0))</f>
        <v>0</v>
      </c>
      <c r="J386" s="0" t="n">
        <f aca="false">INDEX(customer_churn_dataset!$T$2:$T$1501,MATCH($A387,customer_churn_dataset!$A$2:$A$1501,0))</f>
        <v>3</v>
      </c>
      <c r="K386" s="0" t="str">
        <f aca="false">INDEX(customer_churn_dataset!$V$2:$V$1501,MATCH($A387,customer_churn_dataset!$A$2:$A$1501,0))</f>
        <v>Medium Risk</v>
      </c>
    </row>
    <row r="387" customFormat="false" ht="12.8" hidden="true" customHeight="false" outlineLevel="0" collapsed="false">
      <c r="A387" s="22" t="str">
        <f aca="false">customer_churn_dataset!A64</f>
        <v>CUST100971</v>
      </c>
      <c r="B387" s="22" t="str">
        <f aca="false">customer_churn_dataset!B64</f>
        <v>Premium</v>
      </c>
      <c r="C387" s="22" t="str">
        <f aca="false">customer_churn_dataset!C64</f>
        <v>Two year</v>
      </c>
      <c r="D387" s="0" t="n">
        <f aca="false">INDEX(customer_churn_dataset!$E$2:$E$1501,MATCH($A388,customer_churn_dataset!$A$2:$A$1501,0))</f>
        <v>3</v>
      </c>
      <c r="E387" s="0" t="n">
        <f aca="false">INDEX(customer_churn_dataset!$I$2:$I$1501,MATCH($A388,customer_churn_dataset!$A$2:$A$1501,0))</f>
        <v>60.8</v>
      </c>
      <c r="F387" s="0" t="n">
        <f aca="false">INDEX(customer_churn_dataset!$L$2:$L$1501,MATCH($A388,customer_churn_dataset!$A$2:$A$1501,0))</f>
        <v>0</v>
      </c>
      <c r="G387" s="0" t="str">
        <f aca="false">IF(INDEX(customer_churn_dataset!$M$2:$M$1501,MATCH($A388,customer_churn_dataset!$A$2:$A$1501,0))=1,"Yes","No")</f>
        <v>No</v>
      </c>
      <c r="H387" s="0" t="n">
        <f aca="false">INDEX(customer_churn_dataset!$N$2:$N$1501,MATCH($A388,customer_churn_dataset!$A$2:$A$1501,0))</f>
        <v>60.3</v>
      </c>
      <c r="I387" s="0" t="n">
        <f aca="false">INDEX(customer_churn_dataset!$O$2:$O$1501,MATCH($A388,customer_churn_dataset!$A$2:$A$1501,0))</f>
        <v>0</v>
      </c>
      <c r="J387" s="0" t="n">
        <f aca="false">INDEX(customer_churn_dataset!$T$2:$T$1501,MATCH($A388,customer_churn_dataset!$A$2:$A$1501,0))</f>
        <v>2</v>
      </c>
      <c r="K387" s="0" t="str">
        <f aca="false">INDEX(customer_churn_dataset!$V$2:$V$1501,MATCH($A388,customer_churn_dataset!$A$2:$A$1501,0))</f>
        <v>Low Risk</v>
      </c>
    </row>
    <row r="388" customFormat="false" ht="12.8" hidden="true" customHeight="false" outlineLevel="0" collapsed="false">
      <c r="A388" s="22" t="str">
        <f aca="false">customer_churn_dataset!A68</f>
        <v>CUST100030</v>
      </c>
      <c r="B388" s="22" t="str">
        <f aca="false">customer_churn_dataset!B68</f>
        <v>Standard</v>
      </c>
      <c r="C388" s="22" t="str">
        <f aca="false">customer_churn_dataset!C68</f>
        <v>One year</v>
      </c>
      <c r="D388" s="0" t="n">
        <f aca="false">INDEX(customer_churn_dataset!$E$2:$E$1501,MATCH($A389,customer_churn_dataset!$A$2:$A$1501,0))</f>
        <v>72</v>
      </c>
      <c r="E388" s="0" t="n">
        <f aca="false">INDEX(customer_churn_dataset!$I$2:$I$1501,MATCH($A389,customer_churn_dataset!$A$2:$A$1501,0))</f>
        <v>47.8</v>
      </c>
      <c r="F388" s="0" t="n">
        <f aca="false">INDEX(customer_churn_dataset!$L$2:$L$1501,MATCH($A389,customer_churn_dataset!$A$2:$A$1501,0))</f>
        <v>0</v>
      </c>
      <c r="G388" s="0" t="str">
        <f aca="false">IF(INDEX(customer_churn_dataset!$M$2:$M$1501,MATCH($A389,customer_churn_dataset!$A$2:$A$1501,0))=1,"Yes","No")</f>
        <v>No</v>
      </c>
      <c r="H388" s="0" t="n">
        <f aca="false">INDEX(customer_churn_dataset!$N$2:$N$1501,MATCH($A389,customer_churn_dataset!$A$2:$A$1501,0))</f>
        <v>767.52</v>
      </c>
      <c r="I388" s="0" t="n">
        <f aca="false">INDEX(customer_churn_dataset!$O$2:$O$1501,MATCH($A389,customer_churn_dataset!$A$2:$A$1501,0))</f>
        <v>0</v>
      </c>
      <c r="J388" s="0" t="n">
        <f aca="false">INDEX(customer_churn_dataset!$T$2:$T$1501,MATCH($A389,customer_churn_dataset!$A$2:$A$1501,0))</f>
        <v>3</v>
      </c>
      <c r="K388" s="0" t="str">
        <f aca="false">INDEX(customer_churn_dataset!$V$2:$V$1501,MATCH($A389,customer_churn_dataset!$A$2:$A$1501,0))</f>
        <v>Medium Risk</v>
      </c>
    </row>
    <row r="389" customFormat="false" ht="12.8" hidden="true" customHeight="false" outlineLevel="0" collapsed="false">
      <c r="A389" s="22" t="str">
        <f aca="false">customer_churn_dataset!A69</f>
        <v>CUST100299</v>
      </c>
      <c r="B389" s="22" t="str">
        <f aca="false">customer_churn_dataset!B69</f>
        <v>Basic</v>
      </c>
      <c r="C389" s="22" t="str">
        <f aca="false">customer_churn_dataset!C69</f>
        <v>Month-to-month</v>
      </c>
      <c r="D389" s="0" t="n">
        <f aca="false">INDEX(customer_churn_dataset!$E$2:$E$1501,MATCH($A390,customer_churn_dataset!$A$2:$A$1501,0))</f>
        <v>6</v>
      </c>
      <c r="E389" s="0" t="n">
        <f aca="false">INDEX(customer_churn_dataset!$I$2:$I$1501,MATCH($A390,customer_churn_dataset!$A$2:$A$1501,0))</f>
        <v>36.4</v>
      </c>
      <c r="F389" s="0" t="n">
        <f aca="false">INDEX(customer_churn_dataset!$L$2:$L$1501,MATCH($A390,customer_churn_dataset!$A$2:$A$1501,0))</f>
        <v>1</v>
      </c>
      <c r="G389" s="0" t="str">
        <f aca="false">IF(INDEX(customer_churn_dataset!$M$2:$M$1501,MATCH($A390,customer_churn_dataset!$A$2:$A$1501,0))=1,"Yes","No")</f>
        <v>Yes</v>
      </c>
      <c r="H389" s="0" t="n">
        <f aca="false">INDEX(customer_churn_dataset!$N$2:$N$1501,MATCH($A390,customer_churn_dataset!$A$2:$A$1501,0))</f>
        <v>54.66</v>
      </c>
      <c r="I389" s="0" t="n">
        <f aca="false">INDEX(customer_churn_dataset!$O$2:$O$1501,MATCH($A390,customer_churn_dataset!$A$2:$A$1501,0))</f>
        <v>0</v>
      </c>
      <c r="J389" s="0" t="n">
        <f aca="false">INDEX(customer_churn_dataset!$T$2:$T$1501,MATCH($A390,customer_churn_dataset!$A$2:$A$1501,0))</f>
        <v>6</v>
      </c>
      <c r="K389" s="0" t="str">
        <f aca="false">INDEX(customer_churn_dataset!$V$2:$V$1501,MATCH($A390,customer_churn_dataset!$A$2:$A$1501,0))</f>
        <v>High Risk</v>
      </c>
    </row>
    <row r="390" customFormat="false" ht="12.8" hidden="true" customHeight="false" outlineLevel="0" collapsed="false">
      <c r="A390" s="22" t="str">
        <f aca="false">customer_churn_dataset!A74</f>
        <v>CUST100837</v>
      </c>
      <c r="B390" s="22" t="str">
        <f aca="false">customer_churn_dataset!B74</f>
        <v>Basic</v>
      </c>
      <c r="C390" s="22" t="str">
        <f aca="false">customer_churn_dataset!C74</f>
        <v>Two year</v>
      </c>
      <c r="D390" s="0" t="n">
        <f aca="false">INDEX(customer_churn_dataset!$E$2:$E$1501,MATCH($A391,customer_churn_dataset!$A$2:$A$1501,0))</f>
        <v>15</v>
      </c>
      <c r="E390" s="0" t="n">
        <f aca="false">INDEX(customer_churn_dataset!$I$2:$I$1501,MATCH($A391,customer_churn_dataset!$A$2:$A$1501,0))</f>
        <v>48.3</v>
      </c>
      <c r="F390" s="0" t="n">
        <f aca="false">INDEX(customer_churn_dataset!$L$2:$L$1501,MATCH($A391,customer_churn_dataset!$A$2:$A$1501,0))</f>
        <v>3</v>
      </c>
      <c r="G390" s="0" t="str">
        <f aca="false">IF(INDEX(customer_churn_dataset!$M$2:$M$1501,MATCH($A391,customer_churn_dataset!$A$2:$A$1501,0))=1,"Yes","No")</f>
        <v>No</v>
      </c>
      <c r="H390" s="0" t="n">
        <f aca="false">INDEX(customer_churn_dataset!$N$2:$N$1501,MATCH($A391,customer_churn_dataset!$A$2:$A$1501,0))</f>
        <v>609.9</v>
      </c>
      <c r="I390" s="0" t="n">
        <f aca="false">INDEX(customer_churn_dataset!$O$2:$O$1501,MATCH($A391,customer_churn_dataset!$A$2:$A$1501,0))</f>
        <v>0</v>
      </c>
      <c r="J390" s="0" t="n">
        <f aca="false">INDEX(customer_churn_dataset!$T$2:$T$1501,MATCH($A391,customer_churn_dataset!$A$2:$A$1501,0))</f>
        <v>4</v>
      </c>
      <c r="K390" s="0" t="str">
        <f aca="false">INDEX(customer_churn_dataset!$V$2:$V$1501,MATCH($A391,customer_churn_dataset!$A$2:$A$1501,0))</f>
        <v>Medium Risk</v>
      </c>
    </row>
    <row r="391" customFormat="false" ht="12.8" hidden="true" customHeight="false" outlineLevel="0" collapsed="false">
      <c r="A391" s="22" t="str">
        <f aca="false">customer_churn_dataset!A75</f>
        <v>CUST101455</v>
      </c>
      <c r="B391" s="22" t="str">
        <f aca="false">customer_churn_dataset!B75</f>
        <v>Premium</v>
      </c>
      <c r="C391" s="22" t="str">
        <f aca="false">customer_churn_dataset!C75</f>
        <v>Month-to-month</v>
      </c>
      <c r="D391" s="0" t="n">
        <f aca="false">INDEX(customer_churn_dataset!$E$2:$E$1501,MATCH($A392,customer_churn_dataset!$A$2:$A$1501,0))</f>
        <v>22</v>
      </c>
      <c r="E391" s="0" t="n">
        <f aca="false">INDEX(customer_churn_dataset!$I$2:$I$1501,MATCH($A392,customer_churn_dataset!$A$2:$A$1501,0))</f>
        <v>29.3</v>
      </c>
      <c r="F391" s="0" t="n">
        <f aca="false">INDEX(customer_churn_dataset!$L$2:$L$1501,MATCH($A392,customer_churn_dataset!$A$2:$A$1501,0))</f>
        <v>3</v>
      </c>
      <c r="G391" s="0" t="str">
        <f aca="false">IF(INDEX(customer_churn_dataset!$M$2:$M$1501,MATCH($A392,customer_churn_dataset!$A$2:$A$1501,0))=1,"Yes","No")</f>
        <v>No</v>
      </c>
      <c r="H391" s="0" t="n">
        <f aca="false">INDEX(customer_churn_dataset!$N$2:$N$1501,MATCH($A392,customer_churn_dataset!$A$2:$A$1501,0))</f>
        <v>235.18</v>
      </c>
      <c r="I391" s="0" t="n">
        <f aca="false">INDEX(customer_churn_dataset!$O$2:$O$1501,MATCH($A392,customer_churn_dataset!$A$2:$A$1501,0))</f>
        <v>0</v>
      </c>
      <c r="J391" s="0" t="n">
        <f aca="false">INDEX(customer_churn_dataset!$T$2:$T$1501,MATCH($A392,customer_churn_dataset!$A$2:$A$1501,0))</f>
        <v>4</v>
      </c>
      <c r="K391" s="0" t="str">
        <f aca="false">INDEX(customer_churn_dataset!$V$2:$V$1501,MATCH($A392,customer_churn_dataset!$A$2:$A$1501,0))</f>
        <v>Medium Risk</v>
      </c>
    </row>
    <row r="392" customFormat="false" ht="12.8" hidden="true" customHeight="false" outlineLevel="0" collapsed="false">
      <c r="A392" s="22" t="str">
        <f aca="false">customer_churn_dataset!A76</f>
        <v>CUST101168</v>
      </c>
      <c r="B392" s="22" t="str">
        <f aca="false">customer_churn_dataset!B76</f>
        <v>Basic</v>
      </c>
      <c r="C392" s="22" t="str">
        <f aca="false">customer_churn_dataset!C76</f>
        <v>One year</v>
      </c>
      <c r="D392" s="0" t="n">
        <f aca="false">INDEX(customer_churn_dataset!$E$2:$E$1501,MATCH($A393,customer_churn_dataset!$A$2:$A$1501,0))</f>
        <v>6</v>
      </c>
      <c r="E392" s="0" t="n">
        <f aca="false">INDEX(customer_churn_dataset!$I$2:$I$1501,MATCH($A393,customer_churn_dataset!$A$2:$A$1501,0))</f>
        <v>2.6</v>
      </c>
      <c r="F392" s="0" t="n">
        <f aca="false">INDEX(customer_churn_dataset!$L$2:$L$1501,MATCH($A393,customer_churn_dataset!$A$2:$A$1501,0))</f>
        <v>2</v>
      </c>
      <c r="G392" s="0" t="str">
        <f aca="false">IF(INDEX(customer_churn_dataset!$M$2:$M$1501,MATCH($A393,customer_churn_dataset!$A$2:$A$1501,0))=1,"Yes","No")</f>
        <v>No</v>
      </c>
      <c r="H392" s="0" t="n">
        <f aca="false">INDEX(customer_churn_dataset!$N$2:$N$1501,MATCH($A393,customer_churn_dataset!$A$2:$A$1501,0))</f>
        <v>115.86</v>
      </c>
      <c r="I392" s="0" t="n">
        <f aca="false">INDEX(customer_churn_dataset!$O$2:$O$1501,MATCH($A393,customer_churn_dataset!$A$2:$A$1501,0))</f>
        <v>0</v>
      </c>
      <c r="J392" s="0" t="n">
        <f aca="false">INDEX(customer_churn_dataset!$T$2:$T$1501,MATCH($A393,customer_churn_dataset!$A$2:$A$1501,0))</f>
        <v>5</v>
      </c>
      <c r="K392" s="0" t="str">
        <f aca="false">INDEX(customer_churn_dataset!$V$2:$V$1501,MATCH($A393,customer_churn_dataset!$A$2:$A$1501,0))</f>
        <v>Medium Risk</v>
      </c>
    </row>
    <row r="393" customFormat="false" ht="12.8" hidden="true" customHeight="false" outlineLevel="0" collapsed="false">
      <c r="A393" s="22" t="str">
        <f aca="false">customer_churn_dataset!A77</f>
        <v>CUST100231</v>
      </c>
      <c r="B393" s="22" t="str">
        <f aca="false">customer_churn_dataset!B77</f>
        <v>Standard</v>
      </c>
      <c r="C393" s="22" t="str">
        <f aca="false">customer_churn_dataset!C77</f>
        <v>One year</v>
      </c>
      <c r="D393" s="0" t="n">
        <f aca="false">INDEX(customer_churn_dataset!$E$2:$E$1501,MATCH($A394,customer_churn_dataset!$A$2:$A$1501,0))</f>
        <v>27</v>
      </c>
      <c r="E393" s="0" t="n">
        <f aca="false">INDEX(customer_churn_dataset!$I$2:$I$1501,MATCH($A394,customer_churn_dataset!$A$2:$A$1501,0))</f>
        <v>54.8</v>
      </c>
      <c r="F393" s="0" t="n">
        <f aca="false">INDEX(customer_churn_dataset!$L$2:$L$1501,MATCH($A394,customer_churn_dataset!$A$2:$A$1501,0))</f>
        <v>3</v>
      </c>
      <c r="G393" s="0" t="str">
        <f aca="false">IF(INDEX(customer_churn_dataset!$M$2:$M$1501,MATCH($A394,customer_churn_dataset!$A$2:$A$1501,0))=1,"Yes","No")</f>
        <v>Yes</v>
      </c>
      <c r="H393" s="0" t="n">
        <f aca="false">INDEX(customer_churn_dataset!$N$2:$N$1501,MATCH($A394,customer_churn_dataset!$A$2:$A$1501,0))</f>
        <v>1020.06</v>
      </c>
      <c r="I393" s="0" t="n">
        <f aca="false">INDEX(customer_churn_dataset!$O$2:$O$1501,MATCH($A394,customer_churn_dataset!$A$2:$A$1501,0))</f>
        <v>1</v>
      </c>
      <c r="J393" s="0" t="n">
        <f aca="false">INDEX(customer_churn_dataset!$T$2:$T$1501,MATCH($A394,customer_churn_dataset!$A$2:$A$1501,0))</f>
        <v>7</v>
      </c>
      <c r="K393" s="0" t="str">
        <f aca="false">INDEX(customer_churn_dataset!$V$2:$V$1501,MATCH($A394,customer_churn_dataset!$A$2:$A$1501,0))</f>
        <v>High Risk</v>
      </c>
    </row>
    <row r="394" customFormat="false" ht="12.8" hidden="true" customHeight="false" outlineLevel="0" collapsed="false">
      <c r="A394" s="22" t="str">
        <f aca="false">customer_churn_dataset!A80</f>
        <v>CUST101024</v>
      </c>
      <c r="B394" s="22" t="str">
        <f aca="false">customer_churn_dataset!B80</f>
        <v>Premium</v>
      </c>
      <c r="C394" s="22" t="str">
        <f aca="false">customer_churn_dataset!C80</f>
        <v>Month-to-month</v>
      </c>
      <c r="D394" s="0" t="n">
        <f aca="false">INDEX(customer_churn_dataset!$E$2:$E$1501,MATCH($A395,customer_churn_dataset!$A$2:$A$1501,0))</f>
        <v>38</v>
      </c>
      <c r="E394" s="0" t="n">
        <f aca="false">INDEX(customer_churn_dataset!$I$2:$I$1501,MATCH($A395,customer_churn_dataset!$A$2:$A$1501,0))</f>
        <v>84.8</v>
      </c>
      <c r="F394" s="0" t="n">
        <f aca="false">INDEX(customer_churn_dataset!$L$2:$L$1501,MATCH($A395,customer_churn_dataset!$A$2:$A$1501,0))</f>
        <v>1</v>
      </c>
      <c r="G394" s="0" t="str">
        <f aca="false">IF(INDEX(customer_churn_dataset!$M$2:$M$1501,MATCH($A395,customer_churn_dataset!$A$2:$A$1501,0))=1,"Yes","No")</f>
        <v>No</v>
      </c>
      <c r="H394" s="0" t="n">
        <f aca="false">INDEX(customer_churn_dataset!$N$2:$N$1501,MATCH($A395,customer_churn_dataset!$A$2:$A$1501,0))</f>
        <v>1471.74</v>
      </c>
      <c r="I394" s="0" t="n">
        <f aca="false">INDEX(customer_churn_dataset!$O$2:$O$1501,MATCH($A395,customer_churn_dataset!$A$2:$A$1501,0))</f>
        <v>0</v>
      </c>
      <c r="J394" s="0" t="n">
        <f aca="false">INDEX(customer_churn_dataset!$T$2:$T$1501,MATCH($A395,customer_churn_dataset!$A$2:$A$1501,0))</f>
        <v>2</v>
      </c>
      <c r="K394" s="0" t="str">
        <f aca="false">INDEX(customer_churn_dataset!$V$2:$V$1501,MATCH($A395,customer_churn_dataset!$A$2:$A$1501,0))</f>
        <v>Low Risk</v>
      </c>
    </row>
    <row r="395" customFormat="false" ht="12.8" hidden="true" customHeight="false" outlineLevel="0" collapsed="false">
      <c r="A395" s="22" t="str">
        <f aca="false">customer_churn_dataset!A86</f>
        <v>CUST101007</v>
      </c>
      <c r="B395" s="22" t="str">
        <f aca="false">customer_churn_dataset!B86</f>
        <v>Premium</v>
      </c>
      <c r="C395" s="22" t="str">
        <f aca="false">customer_churn_dataset!C86</f>
        <v>Month-to-month</v>
      </c>
      <c r="D395" s="0" t="n">
        <f aca="false">INDEX(customer_churn_dataset!$E$2:$E$1501,MATCH($A396,customer_churn_dataset!$A$2:$A$1501,0))</f>
        <v>27</v>
      </c>
      <c r="E395" s="0" t="n">
        <f aca="false">INDEX(customer_churn_dataset!$I$2:$I$1501,MATCH($A396,customer_churn_dataset!$A$2:$A$1501,0))</f>
        <v>59.2</v>
      </c>
      <c r="F395" s="0" t="n">
        <f aca="false">INDEX(customer_churn_dataset!$L$2:$L$1501,MATCH($A396,customer_churn_dataset!$A$2:$A$1501,0))</f>
        <v>2</v>
      </c>
      <c r="G395" s="0" t="str">
        <f aca="false">IF(INDEX(customer_churn_dataset!$M$2:$M$1501,MATCH($A396,customer_churn_dataset!$A$2:$A$1501,0))=1,"Yes","No")</f>
        <v>Yes</v>
      </c>
      <c r="H395" s="0" t="n">
        <f aca="false">INDEX(customer_churn_dataset!$N$2:$N$1501,MATCH($A396,customer_churn_dataset!$A$2:$A$1501,0))</f>
        <v>531.9</v>
      </c>
      <c r="I395" s="0" t="n">
        <f aca="false">INDEX(customer_churn_dataset!$O$2:$O$1501,MATCH($A396,customer_churn_dataset!$A$2:$A$1501,0))</f>
        <v>0</v>
      </c>
      <c r="J395" s="0" t="n">
        <f aca="false">INDEX(customer_churn_dataset!$T$2:$T$1501,MATCH($A396,customer_churn_dataset!$A$2:$A$1501,0))</f>
        <v>6</v>
      </c>
      <c r="K395" s="0" t="str">
        <f aca="false">INDEX(customer_churn_dataset!$V$2:$V$1501,MATCH($A396,customer_churn_dataset!$A$2:$A$1501,0))</f>
        <v>High Risk</v>
      </c>
    </row>
    <row r="396" customFormat="false" ht="12.8" hidden="true" customHeight="false" outlineLevel="0" collapsed="false">
      <c r="A396" s="22" t="str">
        <f aca="false">customer_churn_dataset!A101</f>
        <v>CUST101170</v>
      </c>
      <c r="B396" s="22" t="str">
        <f aca="false">customer_churn_dataset!B101</f>
        <v>Standard</v>
      </c>
      <c r="C396" s="22" t="str">
        <f aca="false">customer_churn_dataset!C101</f>
        <v>Month-to-month</v>
      </c>
      <c r="D396" s="0" t="n">
        <f aca="false">INDEX(customer_churn_dataset!$E$2:$E$1501,MATCH($A397,customer_churn_dataset!$A$2:$A$1501,0))</f>
        <v>72</v>
      </c>
      <c r="E396" s="0" t="n">
        <f aca="false">INDEX(customer_churn_dataset!$I$2:$I$1501,MATCH($A397,customer_churn_dataset!$A$2:$A$1501,0))</f>
        <v>70.2</v>
      </c>
      <c r="F396" s="0" t="n">
        <f aca="false">INDEX(customer_churn_dataset!$L$2:$L$1501,MATCH($A397,customer_churn_dataset!$A$2:$A$1501,0))</f>
        <v>0</v>
      </c>
      <c r="G396" s="0" t="str">
        <f aca="false">IF(INDEX(customer_churn_dataset!$M$2:$M$1501,MATCH($A397,customer_churn_dataset!$A$2:$A$1501,0))=1,"Yes","No")</f>
        <v>No</v>
      </c>
      <c r="H396" s="0" t="n">
        <f aca="false">INDEX(customer_churn_dataset!$N$2:$N$1501,MATCH($A397,customer_churn_dataset!$A$2:$A$1501,0))</f>
        <v>1463.76</v>
      </c>
      <c r="I396" s="0" t="n">
        <f aca="false">INDEX(customer_churn_dataset!$O$2:$O$1501,MATCH($A397,customer_churn_dataset!$A$2:$A$1501,0))</f>
        <v>0</v>
      </c>
      <c r="J396" s="0" t="n">
        <f aca="false">INDEX(customer_churn_dataset!$T$2:$T$1501,MATCH($A397,customer_churn_dataset!$A$2:$A$1501,0))</f>
        <v>1</v>
      </c>
      <c r="K396" s="0" t="str">
        <f aca="false">INDEX(customer_churn_dataset!$V$2:$V$1501,MATCH($A397,customer_churn_dataset!$A$2:$A$1501,0))</f>
        <v>Low Risk</v>
      </c>
    </row>
    <row r="397" customFormat="false" ht="12.8" hidden="true" customHeight="false" outlineLevel="0" collapsed="false">
      <c r="A397" s="22" t="str">
        <f aca="false">customer_churn_dataset!A109</f>
        <v>CUST101257</v>
      </c>
      <c r="B397" s="22" t="str">
        <f aca="false">customer_churn_dataset!B109</f>
        <v>Standard</v>
      </c>
      <c r="C397" s="22" t="str">
        <f aca="false">customer_churn_dataset!C109</f>
        <v>One year</v>
      </c>
      <c r="D397" s="0" t="n">
        <f aca="false">INDEX(customer_churn_dataset!$E$2:$E$1501,MATCH($A398,customer_churn_dataset!$A$2:$A$1501,0))</f>
        <v>24</v>
      </c>
      <c r="E397" s="0" t="n">
        <f aca="false">INDEX(customer_churn_dataset!$I$2:$I$1501,MATCH($A398,customer_churn_dataset!$A$2:$A$1501,0))</f>
        <v>56.3</v>
      </c>
      <c r="F397" s="0" t="n">
        <f aca="false">INDEX(customer_churn_dataset!$L$2:$L$1501,MATCH($A398,customer_churn_dataset!$A$2:$A$1501,0))</f>
        <v>2</v>
      </c>
      <c r="G397" s="0" t="str">
        <f aca="false">IF(INDEX(customer_churn_dataset!$M$2:$M$1501,MATCH($A398,customer_churn_dataset!$A$2:$A$1501,0))=1,"Yes","No")</f>
        <v>Yes</v>
      </c>
      <c r="H397" s="0" t="n">
        <f aca="false">INDEX(customer_churn_dataset!$N$2:$N$1501,MATCH($A398,customer_churn_dataset!$A$2:$A$1501,0))</f>
        <v>232.56</v>
      </c>
      <c r="I397" s="0" t="n">
        <f aca="false">INDEX(customer_churn_dataset!$O$2:$O$1501,MATCH($A398,customer_churn_dataset!$A$2:$A$1501,0))</f>
        <v>0</v>
      </c>
      <c r="J397" s="0" t="n">
        <f aca="false">INDEX(customer_churn_dataset!$T$2:$T$1501,MATCH($A398,customer_churn_dataset!$A$2:$A$1501,0))</f>
        <v>6</v>
      </c>
      <c r="K397" s="0" t="str">
        <f aca="false">INDEX(customer_churn_dataset!$V$2:$V$1501,MATCH($A398,customer_churn_dataset!$A$2:$A$1501,0))</f>
        <v>High Risk</v>
      </c>
    </row>
    <row r="398" customFormat="false" ht="12.8" hidden="true" customHeight="false" outlineLevel="0" collapsed="false">
      <c r="A398" s="22" t="str">
        <f aca="false">customer_churn_dataset!A114</f>
        <v>CUST100177</v>
      </c>
      <c r="B398" s="22" t="str">
        <f aca="false">customer_churn_dataset!B114</f>
        <v>Basic</v>
      </c>
      <c r="C398" s="22" t="str">
        <f aca="false">customer_churn_dataset!C114</f>
        <v>Month-to-month</v>
      </c>
      <c r="D398" s="0" t="n">
        <f aca="false">INDEX(customer_churn_dataset!$E$2:$E$1501,MATCH($A399,customer_churn_dataset!$A$2:$A$1501,0))</f>
        <v>14</v>
      </c>
      <c r="E398" s="0" t="n">
        <f aca="false">INDEX(customer_churn_dataset!$I$2:$I$1501,MATCH($A399,customer_churn_dataset!$A$2:$A$1501,0))</f>
        <v>53.4</v>
      </c>
      <c r="F398" s="0" t="n">
        <f aca="false">INDEX(customer_churn_dataset!$L$2:$L$1501,MATCH($A399,customer_churn_dataset!$A$2:$A$1501,0))</f>
        <v>0</v>
      </c>
      <c r="G398" s="0" t="str">
        <f aca="false">IF(INDEX(customer_churn_dataset!$M$2:$M$1501,MATCH($A399,customer_churn_dataset!$A$2:$A$1501,0))=1,"Yes","No")</f>
        <v>No</v>
      </c>
      <c r="H398" s="0" t="n">
        <f aca="false">INDEX(customer_churn_dataset!$N$2:$N$1501,MATCH($A399,customer_churn_dataset!$A$2:$A$1501,0))</f>
        <v>139.44</v>
      </c>
      <c r="I398" s="0" t="n">
        <f aca="false">INDEX(customer_churn_dataset!$O$2:$O$1501,MATCH($A399,customer_churn_dataset!$A$2:$A$1501,0))</f>
        <v>0</v>
      </c>
      <c r="J398" s="0" t="n">
        <f aca="false">INDEX(customer_churn_dataset!$T$2:$T$1501,MATCH($A399,customer_churn_dataset!$A$2:$A$1501,0))</f>
        <v>2</v>
      </c>
      <c r="K398" s="0" t="str">
        <f aca="false">INDEX(customer_churn_dataset!$V$2:$V$1501,MATCH($A399,customer_churn_dataset!$A$2:$A$1501,0))</f>
        <v>Low Risk</v>
      </c>
    </row>
    <row r="399" customFormat="false" ht="12.8" hidden="true" customHeight="false" outlineLevel="0" collapsed="false">
      <c r="A399" s="22" t="str">
        <f aca="false">customer_churn_dataset!A118</f>
        <v>CUST100206</v>
      </c>
      <c r="B399" s="22" t="str">
        <f aca="false">customer_churn_dataset!B118</f>
        <v>Basic</v>
      </c>
      <c r="C399" s="22" t="str">
        <f aca="false">customer_churn_dataset!C118</f>
        <v>One year</v>
      </c>
      <c r="D399" s="0" t="n">
        <f aca="false">INDEX(customer_churn_dataset!$E$2:$E$1501,MATCH($A400,customer_churn_dataset!$A$2:$A$1501,0))</f>
        <v>0</v>
      </c>
      <c r="E399" s="0" t="n">
        <f aca="false">INDEX(customer_churn_dataset!$I$2:$I$1501,MATCH($A400,customer_churn_dataset!$A$2:$A$1501,0))</f>
        <v>28.2</v>
      </c>
      <c r="F399" s="0" t="n">
        <f aca="false">INDEX(customer_churn_dataset!$L$2:$L$1501,MATCH($A400,customer_churn_dataset!$A$2:$A$1501,0))</f>
        <v>2</v>
      </c>
      <c r="G399" s="0" t="str">
        <f aca="false">IF(INDEX(customer_churn_dataset!$M$2:$M$1501,MATCH($A400,customer_churn_dataset!$A$2:$A$1501,0))=1,"Yes","No")</f>
        <v>No</v>
      </c>
      <c r="H399" s="0" t="n">
        <f aca="false">INDEX(customer_churn_dataset!$N$2:$N$1501,MATCH($A400,customer_churn_dataset!$A$2:$A$1501,0))</f>
        <v>0</v>
      </c>
      <c r="I399" s="0" t="n">
        <f aca="false">INDEX(customer_churn_dataset!$O$2:$O$1501,MATCH($A400,customer_churn_dataset!$A$2:$A$1501,0))</f>
        <v>0</v>
      </c>
      <c r="J399" s="0" t="n">
        <f aca="false">INDEX(customer_churn_dataset!$T$2:$T$1501,MATCH($A400,customer_churn_dataset!$A$2:$A$1501,0))</f>
        <v>5</v>
      </c>
      <c r="K399" s="0" t="str">
        <f aca="false">INDEX(customer_churn_dataset!$V$2:$V$1501,MATCH($A400,customer_churn_dataset!$A$2:$A$1501,0))</f>
        <v>Medium Risk</v>
      </c>
    </row>
    <row r="400" customFormat="false" ht="12.8" hidden="true" customHeight="false" outlineLevel="0" collapsed="false">
      <c r="A400" s="22" t="str">
        <f aca="false">customer_churn_dataset!A119</f>
        <v>CUST100233</v>
      </c>
      <c r="B400" s="22" t="str">
        <f aca="false">customer_churn_dataset!B119</f>
        <v>Standard</v>
      </c>
      <c r="C400" s="22" t="str">
        <f aca="false">customer_churn_dataset!C119</f>
        <v>One year</v>
      </c>
      <c r="D400" s="0" t="n">
        <f aca="false">INDEX(customer_churn_dataset!$E$2:$E$1501,MATCH($A401,customer_churn_dataset!$A$2:$A$1501,0))</f>
        <v>57</v>
      </c>
      <c r="E400" s="0" t="n">
        <f aca="false">INDEX(customer_churn_dataset!$I$2:$I$1501,MATCH($A401,customer_churn_dataset!$A$2:$A$1501,0))</f>
        <v>39.9</v>
      </c>
      <c r="F400" s="0" t="n">
        <f aca="false">INDEX(customer_churn_dataset!$L$2:$L$1501,MATCH($A401,customer_churn_dataset!$A$2:$A$1501,0))</f>
        <v>2</v>
      </c>
      <c r="G400" s="0" t="str">
        <f aca="false">IF(INDEX(customer_churn_dataset!$M$2:$M$1501,MATCH($A401,customer_churn_dataset!$A$2:$A$1501,0))=1,"Yes","No")</f>
        <v>Yes</v>
      </c>
      <c r="H400" s="0" t="n">
        <f aca="false">INDEX(customer_churn_dataset!$N$2:$N$1501,MATCH($A401,customer_churn_dataset!$A$2:$A$1501,0))</f>
        <v>1151.97</v>
      </c>
      <c r="I400" s="0" t="n">
        <f aca="false">INDEX(customer_churn_dataset!$O$2:$O$1501,MATCH($A401,customer_churn_dataset!$A$2:$A$1501,0))</f>
        <v>0</v>
      </c>
      <c r="J400" s="0" t="n">
        <f aca="false">INDEX(customer_churn_dataset!$T$2:$T$1501,MATCH($A401,customer_churn_dataset!$A$2:$A$1501,0))</f>
        <v>7</v>
      </c>
      <c r="K400" s="0" t="str">
        <f aca="false">INDEX(customer_churn_dataset!$V$2:$V$1501,MATCH($A401,customer_churn_dataset!$A$2:$A$1501,0))</f>
        <v>High Risk</v>
      </c>
    </row>
    <row r="401" customFormat="false" ht="12.8" hidden="true" customHeight="false" outlineLevel="0" collapsed="false">
      <c r="A401" s="22" t="str">
        <f aca="false">customer_churn_dataset!A123</f>
        <v>CUST100038</v>
      </c>
      <c r="B401" s="22" t="str">
        <f aca="false">customer_churn_dataset!B123</f>
        <v>Standard</v>
      </c>
      <c r="C401" s="22" t="str">
        <f aca="false">customer_churn_dataset!C123</f>
        <v>One year</v>
      </c>
      <c r="D401" s="0" t="n">
        <f aca="false">INDEX(customer_churn_dataset!$E$2:$E$1501,MATCH($A402,customer_churn_dataset!$A$2:$A$1501,0))</f>
        <v>17</v>
      </c>
      <c r="E401" s="0" t="n">
        <f aca="false">INDEX(customer_churn_dataset!$I$2:$I$1501,MATCH($A402,customer_churn_dataset!$A$2:$A$1501,0))</f>
        <v>54.8</v>
      </c>
      <c r="F401" s="0" t="n">
        <f aca="false">INDEX(customer_churn_dataset!$L$2:$L$1501,MATCH($A402,customer_churn_dataset!$A$2:$A$1501,0))</f>
        <v>1</v>
      </c>
      <c r="G401" s="0" t="str">
        <f aca="false">IF(INDEX(customer_churn_dataset!$M$2:$M$1501,MATCH($A402,customer_churn_dataset!$A$2:$A$1501,0))=1,"Yes","No")</f>
        <v>No</v>
      </c>
      <c r="H401" s="0" t="n">
        <f aca="false">INDEX(customer_churn_dataset!$N$2:$N$1501,MATCH($A402,customer_churn_dataset!$A$2:$A$1501,0))</f>
        <v>172.72</v>
      </c>
      <c r="I401" s="0" t="n">
        <f aca="false">INDEX(customer_churn_dataset!$O$2:$O$1501,MATCH($A402,customer_churn_dataset!$A$2:$A$1501,0))</f>
        <v>0</v>
      </c>
      <c r="J401" s="0" t="n">
        <f aca="false">INDEX(customer_churn_dataset!$T$2:$T$1501,MATCH($A402,customer_churn_dataset!$A$2:$A$1501,0))</f>
        <v>2</v>
      </c>
      <c r="K401" s="0" t="str">
        <f aca="false">INDEX(customer_churn_dataset!$V$2:$V$1501,MATCH($A402,customer_churn_dataset!$A$2:$A$1501,0))</f>
        <v>Low Risk</v>
      </c>
    </row>
    <row r="402" customFormat="false" ht="12.8" hidden="true" customHeight="false" outlineLevel="0" collapsed="false">
      <c r="A402" s="22" t="str">
        <f aca="false">customer_churn_dataset!A126</f>
        <v>CUST100664</v>
      </c>
      <c r="B402" s="22" t="str">
        <f aca="false">customer_churn_dataset!B126</f>
        <v>Basic</v>
      </c>
      <c r="C402" s="22" t="str">
        <f aca="false">customer_churn_dataset!C126</f>
        <v>One year</v>
      </c>
      <c r="D402" s="0" t="n">
        <f aca="false">INDEX(customer_churn_dataset!$E$2:$E$1501,MATCH($A403,customer_churn_dataset!$A$2:$A$1501,0))</f>
        <v>7</v>
      </c>
      <c r="E402" s="0" t="n">
        <f aca="false">INDEX(customer_churn_dataset!$I$2:$I$1501,MATCH($A403,customer_churn_dataset!$A$2:$A$1501,0))</f>
        <v>44.1</v>
      </c>
      <c r="F402" s="0" t="n">
        <f aca="false">INDEX(customer_churn_dataset!$L$2:$L$1501,MATCH($A403,customer_churn_dataset!$A$2:$A$1501,0))</f>
        <v>0</v>
      </c>
      <c r="G402" s="0" t="str">
        <f aca="false">IF(INDEX(customer_churn_dataset!$M$2:$M$1501,MATCH($A403,customer_churn_dataset!$A$2:$A$1501,0))=1,"Yes","No")</f>
        <v>No</v>
      </c>
      <c r="H402" s="0" t="n">
        <f aca="false">INDEX(customer_churn_dataset!$N$2:$N$1501,MATCH($A403,customer_churn_dataset!$A$2:$A$1501,0))</f>
        <v>68.67</v>
      </c>
      <c r="I402" s="0" t="n">
        <f aca="false">INDEX(customer_churn_dataset!$O$2:$O$1501,MATCH($A403,customer_churn_dataset!$A$2:$A$1501,0))</f>
        <v>1</v>
      </c>
      <c r="J402" s="0" t="n">
        <f aca="false">INDEX(customer_churn_dataset!$T$2:$T$1501,MATCH($A403,customer_churn_dataset!$A$2:$A$1501,0))</f>
        <v>4</v>
      </c>
      <c r="K402" s="0" t="str">
        <f aca="false">INDEX(customer_churn_dataset!$V$2:$V$1501,MATCH($A403,customer_churn_dataset!$A$2:$A$1501,0))</f>
        <v>Medium Risk</v>
      </c>
    </row>
    <row r="403" customFormat="false" ht="12.8" hidden="true" customHeight="false" outlineLevel="0" collapsed="false">
      <c r="A403" s="22" t="str">
        <f aca="false">customer_churn_dataset!A127</f>
        <v>CUST100454</v>
      </c>
      <c r="B403" s="22" t="str">
        <f aca="false">customer_churn_dataset!B127</f>
        <v>Basic</v>
      </c>
      <c r="C403" s="22" t="str">
        <f aca="false">customer_churn_dataset!C127</f>
        <v>Month-to-month</v>
      </c>
      <c r="D403" s="0" t="n">
        <f aca="false">INDEX(customer_churn_dataset!$E$2:$E$1501,MATCH($A404,customer_churn_dataset!$A$2:$A$1501,0))</f>
        <v>22</v>
      </c>
      <c r="E403" s="0" t="n">
        <f aca="false">INDEX(customer_churn_dataset!$I$2:$I$1501,MATCH($A404,customer_churn_dataset!$A$2:$A$1501,0))</f>
        <v>67.4</v>
      </c>
      <c r="F403" s="0" t="n">
        <f aca="false">INDEX(customer_churn_dataset!$L$2:$L$1501,MATCH($A404,customer_churn_dataset!$A$2:$A$1501,0))</f>
        <v>2</v>
      </c>
      <c r="G403" s="0" t="str">
        <f aca="false">IF(INDEX(customer_churn_dataset!$M$2:$M$1501,MATCH($A404,customer_churn_dataset!$A$2:$A$1501,0))=1,"Yes","No")</f>
        <v>No</v>
      </c>
      <c r="H403" s="0" t="n">
        <f aca="false">INDEX(customer_churn_dataset!$N$2:$N$1501,MATCH($A404,customer_churn_dataset!$A$2:$A$1501,0))</f>
        <v>891</v>
      </c>
      <c r="I403" s="0" t="n">
        <f aca="false">INDEX(customer_churn_dataset!$O$2:$O$1501,MATCH($A404,customer_churn_dataset!$A$2:$A$1501,0))</f>
        <v>0</v>
      </c>
      <c r="J403" s="0" t="n">
        <f aca="false">INDEX(customer_churn_dataset!$T$2:$T$1501,MATCH($A404,customer_churn_dataset!$A$2:$A$1501,0))</f>
        <v>1</v>
      </c>
      <c r="K403" s="0" t="str">
        <f aca="false">INDEX(customer_churn_dataset!$V$2:$V$1501,MATCH($A404,customer_churn_dataset!$A$2:$A$1501,0))</f>
        <v>Low Risk</v>
      </c>
    </row>
    <row r="404" customFormat="false" ht="12.8" hidden="true" customHeight="false" outlineLevel="0" collapsed="false">
      <c r="A404" s="22" t="str">
        <f aca="false">customer_churn_dataset!A130</f>
        <v>CUST100127</v>
      </c>
      <c r="B404" s="22" t="str">
        <f aca="false">customer_churn_dataset!B130</f>
        <v>Premium</v>
      </c>
      <c r="C404" s="22" t="str">
        <f aca="false">customer_churn_dataset!C130</f>
        <v>Two year</v>
      </c>
      <c r="D404" s="0" t="n">
        <f aca="false">INDEX(customer_churn_dataset!$E$2:$E$1501,MATCH($A405,customer_churn_dataset!$A$2:$A$1501,0))</f>
        <v>9</v>
      </c>
      <c r="E404" s="0" t="n">
        <f aca="false">INDEX(customer_churn_dataset!$I$2:$I$1501,MATCH($A405,customer_churn_dataset!$A$2:$A$1501,0))</f>
        <v>57.8</v>
      </c>
      <c r="F404" s="0" t="n">
        <f aca="false">INDEX(customer_churn_dataset!$L$2:$L$1501,MATCH($A405,customer_churn_dataset!$A$2:$A$1501,0))</f>
        <v>0</v>
      </c>
      <c r="G404" s="0" t="str">
        <f aca="false">IF(INDEX(customer_churn_dataset!$M$2:$M$1501,MATCH($A405,customer_churn_dataset!$A$2:$A$1501,0))=1,"Yes","No")</f>
        <v>No</v>
      </c>
      <c r="H404" s="0" t="n">
        <f aca="false">INDEX(customer_churn_dataset!$N$2:$N$1501,MATCH($A405,customer_churn_dataset!$A$2:$A$1501,0))</f>
        <v>178.74</v>
      </c>
      <c r="I404" s="0" t="n">
        <f aca="false">INDEX(customer_churn_dataset!$O$2:$O$1501,MATCH($A405,customer_churn_dataset!$A$2:$A$1501,0))</f>
        <v>0</v>
      </c>
      <c r="J404" s="0" t="n">
        <f aca="false">INDEX(customer_churn_dataset!$T$2:$T$1501,MATCH($A405,customer_churn_dataset!$A$2:$A$1501,0))</f>
        <v>1</v>
      </c>
      <c r="K404" s="0" t="str">
        <f aca="false">INDEX(customer_churn_dataset!$V$2:$V$1501,MATCH($A405,customer_churn_dataset!$A$2:$A$1501,0))</f>
        <v>Low Risk</v>
      </c>
    </row>
    <row r="405" customFormat="false" ht="12.8" hidden="true" customHeight="false" outlineLevel="0" collapsed="false">
      <c r="A405" s="22" t="str">
        <f aca="false">customer_churn_dataset!A135</f>
        <v>CUST100065</v>
      </c>
      <c r="B405" s="22" t="str">
        <f aca="false">customer_churn_dataset!B135</f>
        <v>Standard</v>
      </c>
      <c r="C405" s="22" t="str">
        <f aca="false">customer_churn_dataset!C135</f>
        <v>Two year</v>
      </c>
      <c r="D405" s="0" t="n">
        <f aca="false">INDEX(customer_churn_dataset!$E$2:$E$1501,MATCH($A406,customer_churn_dataset!$A$2:$A$1501,0))</f>
        <v>1</v>
      </c>
      <c r="E405" s="0" t="n">
        <f aca="false">INDEX(customer_churn_dataset!$I$2:$I$1501,MATCH($A406,customer_churn_dataset!$A$2:$A$1501,0))</f>
        <v>50.7</v>
      </c>
      <c r="F405" s="0" t="n">
        <f aca="false">INDEX(customer_churn_dataset!$L$2:$L$1501,MATCH($A406,customer_churn_dataset!$A$2:$A$1501,0))</f>
        <v>1</v>
      </c>
      <c r="G405" s="0" t="str">
        <f aca="false">IF(INDEX(customer_churn_dataset!$M$2:$M$1501,MATCH($A406,customer_churn_dataset!$A$2:$A$1501,0))=1,"Yes","No")</f>
        <v>No</v>
      </c>
      <c r="H405" s="0" t="n">
        <f aca="false">INDEX(customer_churn_dataset!$N$2:$N$1501,MATCH($A406,customer_churn_dataset!$A$2:$A$1501,0))</f>
        <v>39.89</v>
      </c>
      <c r="I405" s="0" t="n">
        <f aca="false">INDEX(customer_churn_dataset!$O$2:$O$1501,MATCH($A406,customer_churn_dataset!$A$2:$A$1501,0))</f>
        <v>0</v>
      </c>
      <c r="J405" s="0" t="n">
        <f aca="false">INDEX(customer_churn_dataset!$T$2:$T$1501,MATCH($A406,customer_churn_dataset!$A$2:$A$1501,0))</f>
        <v>4</v>
      </c>
      <c r="K405" s="0" t="str">
        <f aca="false">INDEX(customer_churn_dataset!$V$2:$V$1501,MATCH($A406,customer_churn_dataset!$A$2:$A$1501,0))</f>
        <v>Medium Risk</v>
      </c>
    </row>
    <row r="406" customFormat="false" ht="12.8" hidden="true" customHeight="false" outlineLevel="0" collapsed="false">
      <c r="A406" s="22" t="str">
        <f aca="false">customer_churn_dataset!A136</f>
        <v>CUST100390</v>
      </c>
      <c r="B406" s="22" t="str">
        <f aca="false">customer_churn_dataset!B136</f>
        <v>Premium</v>
      </c>
      <c r="C406" s="22" t="str">
        <f aca="false">customer_churn_dataset!C136</f>
        <v>Month-to-month</v>
      </c>
      <c r="D406" s="0" t="n">
        <f aca="false">INDEX(customer_churn_dataset!$E$2:$E$1501,MATCH($A407,customer_churn_dataset!$A$2:$A$1501,0))</f>
        <v>18</v>
      </c>
      <c r="E406" s="0" t="n">
        <f aca="false">INDEX(customer_churn_dataset!$I$2:$I$1501,MATCH($A407,customer_churn_dataset!$A$2:$A$1501,0))</f>
        <v>57.8</v>
      </c>
      <c r="F406" s="0" t="n">
        <f aca="false">INDEX(customer_churn_dataset!$L$2:$L$1501,MATCH($A407,customer_churn_dataset!$A$2:$A$1501,0))</f>
        <v>1</v>
      </c>
      <c r="G406" s="0" t="str">
        <f aca="false">IF(INDEX(customer_churn_dataset!$M$2:$M$1501,MATCH($A407,customer_churn_dataset!$A$2:$A$1501,0))=1,"Yes","No")</f>
        <v>Yes</v>
      </c>
      <c r="H406" s="0" t="n">
        <f aca="false">INDEX(customer_churn_dataset!$N$2:$N$1501,MATCH($A407,customer_churn_dataset!$A$2:$A$1501,0))</f>
        <v>722.34</v>
      </c>
      <c r="I406" s="0" t="n">
        <f aca="false">INDEX(customer_churn_dataset!$O$2:$O$1501,MATCH($A407,customer_churn_dataset!$A$2:$A$1501,0))</f>
        <v>0</v>
      </c>
      <c r="J406" s="0" t="n">
        <f aca="false">INDEX(customer_churn_dataset!$T$2:$T$1501,MATCH($A407,customer_churn_dataset!$A$2:$A$1501,0))</f>
        <v>5</v>
      </c>
      <c r="K406" s="0" t="str">
        <f aca="false">INDEX(customer_churn_dataset!$V$2:$V$1501,MATCH($A407,customer_churn_dataset!$A$2:$A$1501,0))</f>
        <v>Medium Risk</v>
      </c>
    </row>
    <row r="407" customFormat="false" ht="12.8" hidden="true" customHeight="false" outlineLevel="0" collapsed="false">
      <c r="A407" s="22" t="str">
        <f aca="false">customer_churn_dataset!A137</f>
        <v>CUST101197</v>
      </c>
      <c r="B407" s="22" t="str">
        <f aca="false">customer_churn_dataset!B137</f>
        <v>Premium</v>
      </c>
      <c r="C407" s="22" t="str">
        <f aca="false">customer_churn_dataset!C137</f>
        <v>Month-to-month</v>
      </c>
      <c r="D407" s="0" t="n">
        <f aca="false">INDEX(customer_churn_dataset!$E$2:$E$1501,MATCH($A408,customer_churn_dataset!$A$2:$A$1501,0))</f>
        <v>15</v>
      </c>
      <c r="E407" s="0" t="n">
        <f aca="false">INDEX(customer_churn_dataset!$I$2:$I$1501,MATCH($A408,customer_churn_dataset!$A$2:$A$1501,0))</f>
        <v>64.2</v>
      </c>
      <c r="F407" s="0" t="n">
        <f aca="false">INDEX(customer_churn_dataset!$L$2:$L$1501,MATCH($A408,customer_churn_dataset!$A$2:$A$1501,0))</f>
        <v>2</v>
      </c>
      <c r="G407" s="0" t="str">
        <f aca="false">IF(INDEX(customer_churn_dataset!$M$2:$M$1501,MATCH($A408,customer_churn_dataset!$A$2:$A$1501,0))=1,"Yes","No")</f>
        <v>Yes</v>
      </c>
      <c r="H407" s="0" t="n">
        <f aca="false">INDEX(customer_churn_dataset!$N$2:$N$1501,MATCH($A408,customer_churn_dataset!$A$2:$A$1501,0))</f>
        <v>145.05</v>
      </c>
      <c r="I407" s="0" t="n">
        <f aca="false">INDEX(customer_churn_dataset!$O$2:$O$1501,MATCH($A408,customer_churn_dataset!$A$2:$A$1501,0))</f>
        <v>0</v>
      </c>
      <c r="J407" s="0" t="n">
        <f aca="false">INDEX(customer_churn_dataset!$T$2:$T$1501,MATCH($A408,customer_churn_dataset!$A$2:$A$1501,0))</f>
        <v>5</v>
      </c>
      <c r="K407" s="0" t="str">
        <f aca="false">INDEX(customer_churn_dataset!$V$2:$V$1501,MATCH($A408,customer_churn_dataset!$A$2:$A$1501,0))</f>
        <v>Medium Risk</v>
      </c>
    </row>
    <row r="408" customFormat="false" ht="12.8" hidden="true" customHeight="false" outlineLevel="0" collapsed="false">
      <c r="A408" s="22" t="str">
        <f aca="false">customer_churn_dataset!A138</f>
        <v>CUST100515</v>
      </c>
      <c r="B408" s="22" t="str">
        <f aca="false">customer_churn_dataset!B138</f>
        <v>Basic</v>
      </c>
      <c r="C408" s="22" t="str">
        <f aca="false">customer_churn_dataset!C138</f>
        <v>One year</v>
      </c>
      <c r="D408" s="0" t="n">
        <f aca="false">INDEX(customer_churn_dataset!$E$2:$E$1501,MATCH($A409,customer_churn_dataset!$A$2:$A$1501,0))</f>
        <v>4</v>
      </c>
      <c r="E408" s="0" t="n">
        <f aca="false">INDEX(customer_churn_dataset!$I$2:$I$1501,MATCH($A409,customer_churn_dataset!$A$2:$A$1501,0))</f>
        <v>27</v>
      </c>
      <c r="F408" s="0" t="n">
        <f aca="false">INDEX(customer_churn_dataset!$L$2:$L$1501,MATCH($A409,customer_churn_dataset!$A$2:$A$1501,0))</f>
        <v>3</v>
      </c>
      <c r="G408" s="0" t="str">
        <f aca="false">IF(INDEX(customer_churn_dataset!$M$2:$M$1501,MATCH($A409,customer_churn_dataset!$A$2:$A$1501,0))=1,"Yes","No")</f>
        <v>No</v>
      </c>
      <c r="H408" s="0" t="n">
        <f aca="false">INDEX(customer_churn_dataset!$N$2:$N$1501,MATCH($A409,customer_churn_dataset!$A$2:$A$1501,0))</f>
        <v>157.52</v>
      </c>
      <c r="I408" s="0" t="n">
        <f aca="false">INDEX(customer_churn_dataset!$O$2:$O$1501,MATCH($A409,customer_churn_dataset!$A$2:$A$1501,0))</f>
        <v>0</v>
      </c>
      <c r="J408" s="0" t="n">
        <f aca="false">INDEX(customer_churn_dataset!$T$2:$T$1501,MATCH($A409,customer_churn_dataset!$A$2:$A$1501,0))</f>
        <v>6</v>
      </c>
      <c r="K408" s="0" t="str">
        <f aca="false">INDEX(customer_churn_dataset!$V$2:$V$1501,MATCH($A409,customer_churn_dataset!$A$2:$A$1501,0))</f>
        <v>High Risk</v>
      </c>
    </row>
    <row r="409" customFormat="false" ht="12.8" hidden="true" customHeight="false" outlineLevel="0" collapsed="false">
      <c r="A409" s="22" t="str">
        <f aca="false">customer_churn_dataset!A141</f>
        <v>CUST100503</v>
      </c>
      <c r="B409" s="22" t="str">
        <f aca="false">customer_churn_dataset!B141</f>
        <v>Premium</v>
      </c>
      <c r="C409" s="22" t="str">
        <f aca="false">customer_churn_dataset!C141</f>
        <v>Month-to-month</v>
      </c>
      <c r="D409" s="0" t="n">
        <f aca="false">INDEX(customer_churn_dataset!$E$2:$E$1501,MATCH($A410,customer_churn_dataset!$A$2:$A$1501,0))</f>
        <v>10</v>
      </c>
      <c r="E409" s="0" t="n">
        <f aca="false">INDEX(customer_churn_dataset!$I$2:$I$1501,MATCH($A410,customer_churn_dataset!$A$2:$A$1501,0))</f>
        <v>56.8</v>
      </c>
      <c r="F409" s="0" t="n">
        <f aca="false">INDEX(customer_churn_dataset!$L$2:$L$1501,MATCH($A410,customer_churn_dataset!$A$2:$A$1501,0))</f>
        <v>2</v>
      </c>
      <c r="G409" s="0" t="str">
        <f aca="false">IF(INDEX(customer_churn_dataset!$M$2:$M$1501,MATCH($A410,customer_churn_dataset!$A$2:$A$1501,0))=1,"Yes","No")</f>
        <v>Yes</v>
      </c>
      <c r="H409" s="0" t="n">
        <f aca="false">INDEX(customer_churn_dataset!$N$2:$N$1501,MATCH($A410,customer_churn_dataset!$A$2:$A$1501,0))</f>
        <v>106.1</v>
      </c>
      <c r="I409" s="0" t="n">
        <f aca="false">INDEX(customer_churn_dataset!$O$2:$O$1501,MATCH($A410,customer_churn_dataset!$A$2:$A$1501,0))</f>
        <v>0</v>
      </c>
      <c r="J409" s="0" t="n">
        <f aca="false">INDEX(customer_churn_dataset!$T$2:$T$1501,MATCH($A410,customer_churn_dataset!$A$2:$A$1501,0))</f>
        <v>5</v>
      </c>
      <c r="K409" s="0" t="str">
        <f aca="false">INDEX(customer_churn_dataset!$V$2:$V$1501,MATCH($A410,customer_churn_dataset!$A$2:$A$1501,0))</f>
        <v>Medium Risk</v>
      </c>
    </row>
    <row r="410" customFormat="false" ht="12.8" hidden="true" customHeight="false" outlineLevel="0" collapsed="false">
      <c r="A410" s="22" t="str">
        <f aca="false">customer_churn_dataset!A142</f>
        <v>CUST101441</v>
      </c>
      <c r="B410" s="22" t="str">
        <f aca="false">customer_churn_dataset!B142</f>
        <v>Basic</v>
      </c>
      <c r="C410" s="22" t="str">
        <f aca="false">customer_churn_dataset!C142</f>
        <v>Two year</v>
      </c>
      <c r="D410" s="0" t="n">
        <f aca="false">INDEX(customer_churn_dataset!$E$2:$E$1501,MATCH($A411,customer_churn_dataset!$A$2:$A$1501,0))</f>
        <v>20</v>
      </c>
      <c r="E410" s="0" t="n">
        <f aca="false">INDEX(customer_churn_dataset!$I$2:$I$1501,MATCH($A411,customer_churn_dataset!$A$2:$A$1501,0))</f>
        <v>29</v>
      </c>
      <c r="F410" s="0" t="n">
        <f aca="false">INDEX(customer_churn_dataset!$L$2:$L$1501,MATCH($A411,customer_churn_dataset!$A$2:$A$1501,0))</f>
        <v>3</v>
      </c>
      <c r="G410" s="0" t="str">
        <f aca="false">IF(INDEX(customer_churn_dataset!$M$2:$M$1501,MATCH($A411,customer_churn_dataset!$A$2:$A$1501,0))=1,"Yes","No")</f>
        <v>Yes</v>
      </c>
      <c r="H410" s="0" t="n">
        <f aca="false">INDEX(customer_churn_dataset!$N$2:$N$1501,MATCH($A411,customer_churn_dataset!$A$2:$A$1501,0))</f>
        <v>193.8</v>
      </c>
      <c r="I410" s="0" t="n">
        <f aca="false">INDEX(customer_churn_dataset!$O$2:$O$1501,MATCH($A411,customer_churn_dataset!$A$2:$A$1501,0))</f>
        <v>0</v>
      </c>
      <c r="J410" s="0" t="n">
        <f aca="false">INDEX(customer_churn_dataset!$T$2:$T$1501,MATCH($A411,customer_churn_dataset!$A$2:$A$1501,0))</f>
        <v>7</v>
      </c>
      <c r="K410" s="0" t="str">
        <f aca="false">INDEX(customer_churn_dataset!$V$2:$V$1501,MATCH($A411,customer_churn_dataset!$A$2:$A$1501,0))</f>
        <v>High Risk</v>
      </c>
    </row>
    <row r="411" customFormat="false" ht="12.8" hidden="true" customHeight="false" outlineLevel="0" collapsed="false">
      <c r="A411" s="22" t="str">
        <f aca="false">customer_churn_dataset!A147</f>
        <v>CUST100739</v>
      </c>
      <c r="B411" s="22" t="str">
        <f aca="false">customer_churn_dataset!B147</f>
        <v>Basic</v>
      </c>
      <c r="C411" s="22" t="str">
        <f aca="false">customer_churn_dataset!C147</f>
        <v>One year</v>
      </c>
      <c r="D411" s="0" t="n">
        <f aca="false">INDEX(customer_churn_dataset!$E$2:$E$1501,MATCH($A412,customer_churn_dataset!$A$2:$A$1501,0))</f>
        <v>33</v>
      </c>
      <c r="E411" s="0" t="n">
        <f aca="false">INDEX(customer_churn_dataset!$I$2:$I$1501,MATCH($A412,customer_churn_dataset!$A$2:$A$1501,0))</f>
        <v>75.3</v>
      </c>
      <c r="F411" s="0" t="n">
        <f aca="false">INDEX(customer_churn_dataset!$L$2:$L$1501,MATCH($A412,customer_churn_dataset!$A$2:$A$1501,0))</f>
        <v>4</v>
      </c>
      <c r="G411" s="0" t="str">
        <f aca="false">IF(INDEX(customer_churn_dataset!$M$2:$M$1501,MATCH($A412,customer_churn_dataset!$A$2:$A$1501,0))=1,"Yes","No")</f>
        <v>No</v>
      </c>
      <c r="H411" s="0" t="n">
        <f aca="false">INDEX(customer_churn_dataset!$N$2:$N$1501,MATCH($A412,customer_churn_dataset!$A$2:$A$1501,0))</f>
        <v>316.8</v>
      </c>
      <c r="I411" s="0" t="n">
        <f aca="false">INDEX(customer_churn_dataset!$O$2:$O$1501,MATCH($A412,customer_churn_dataset!$A$2:$A$1501,0))</f>
        <v>0</v>
      </c>
      <c r="J411" s="0" t="n">
        <f aca="false">INDEX(customer_churn_dataset!$T$2:$T$1501,MATCH($A412,customer_churn_dataset!$A$2:$A$1501,0))</f>
        <v>3</v>
      </c>
      <c r="K411" s="0" t="str">
        <f aca="false">INDEX(customer_churn_dataset!$V$2:$V$1501,MATCH($A412,customer_churn_dataset!$A$2:$A$1501,0))</f>
        <v>Medium Risk</v>
      </c>
    </row>
    <row r="412" customFormat="false" ht="12.8" hidden="true" customHeight="false" outlineLevel="0" collapsed="false">
      <c r="A412" s="22" t="str">
        <f aca="false">customer_churn_dataset!A148</f>
        <v>CUST101326</v>
      </c>
      <c r="B412" s="22" t="str">
        <f aca="false">customer_churn_dataset!B148</f>
        <v>Basic</v>
      </c>
      <c r="C412" s="22" t="str">
        <f aca="false">customer_churn_dataset!C148</f>
        <v>Month-to-month</v>
      </c>
      <c r="D412" s="0" t="n">
        <f aca="false">INDEX(customer_churn_dataset!$E$2:$E$1501,MATCH($A413,customer_churn_dataset!$A$2:$A$1501,0))</f>
        <v>10</v>
      </c>
      <c r="E412" s="0" t="n">
        <f aca="false">INDEX(customer_churn_dataset!$I$2:$I$1501,MATCH($A413,customer_churn_dataset!$A$2:$A$1501,0))</f>
        <v>53.2</v>
      </c>
      <c r="F412" s="0" t="n">
        <f aca="false">INDEX(customer_churn_dataset!$L$2:$L$1501,MATCH($A413,customer_churn_dataset!$A$2:$A$1501,0))</f>
        <v>0</v>
      </c>
      <c r="G412" s="0" t="str">
        <f aca="false">IF(INDEX(customer_churn_dataset!$M$2:$M$1501,MATCH($A413,customer_churn_dataset!$A$2:$A$1501,0))=1,"Yes","No")</f>
        <v>No</v>
      </c>
      <c r="H412" s="0" t="n">
        <f aca="false">INDEX(customer_churn_dataset!$N$2:$N$1501,MATCH($A413,customer_churn_dataset!$A$2:$A$1501,0))</f>
        <v>72.9</v>
      </c>
      <c r="I412" s="0" t="n">
        <f aca="false">INDEX(customer_churn_dataset!$O$2:$O$1501,MATCH($A413,customer_churn_dataset!$A$2:$A$1501,0))</f>
        <v>0</v>
      </c>
      <c r="J412" s="0" t="n">
        <f aca="false">INDEX(customer_churn_dataset!$T$2:$T$1501,MATCH($A413,customer_churn_dataset!$A$2:$A$1501,0))</f>
        <v>2</v>
      </c>
      <c r="K412" s="0" t="str">
        <f aca="false">INDEX(customer_churn_dataset!$V$2:$V$1501,MATCH($A413,customer_churn_dataset!$A$2:$A$1501,0))</f>
        <v>Low Risk</v>
      </c>
    </row>
    <row r="413" customFormat="false" ht="12.8" hidden="true" customHeight="false" outlineLevel="0" collapsed="false">
      <c r="A413" s="22" t="str">
        <f aca="false">customer_churn_dataset!A156</f>
        <v>CUST100590</v>
      </c>
      <c r="B413" s="22" t="str">
        <f aca="false">customer_churn_dataset!B156</f>
        <v>Basic</v>
      </c>
      <c r="C413" s="22" t="str">
        <f aca="false">customer_churn_dataset!C156</f>
        <v>Two year</v>
      </c>
      <c r="D413" s="0" t="n">
        <f aca="false">INDEX(customer_churn_dataset!$E$2:$E$1501,MATCH($A414,customer_churn_dataset!$A$2:$A$1501,0))</f>
        <v>22</v>
      </c>
      <c r="E413" s="0" t="n">
        <f aca="false">INDEX(customer_churn_dataset!$I$2:$I$1501,MATCH($A414,customer_churn_dataset!$A$2:$A$1501,0))</f>
        <v>68</v>
      </c>
      <c r="F413" s="0" t="n">
        <f aca="false">INDEX(customer_churn_dataset!$L$2:$L$1501,MATCH($A414,customer_churn_dataset!$A$2:$A$1501,0))</f>
        <v>1</v>
      </c>
      <c r="G413" s="0" t="str">
        <f aca="false">IF(INDEX(customer_churn_dataset!$M$2:$M$1501,MATCH($A414,customer_churn_dataset!$A$2:$A$1501,0))=1,"Yes","No")</f>
        <v>Yes</v>
      </c>
      <c r="H413" s="0" t="n">
        <f aca="false">INDEX(customer_churn_dataset!$N$2:$N$1501,MATCH($A414,customer_churn_dataset!$A$2:$A$1501,0))</f>
        <v>218.24</v>
      </c>
      <c r="I413" s="0" t="n">
        <f aca="false">INDEX(customer_churn_dataset!$O$2:$O$1501,MATCH($A414,customer_churn_dataset!$A$2:$A$1501,0))</f>
        <v>0</v>
      </c>
      <c r="J413" s="0" t="n">
        <f aca="false">INDEX(customer_churn_dataset!$T$2:$T$1501,MATCH($A414,customer_churn_dataset!$A$2:$A$1501,0))</f>
        <v>4</v>
      </c>
      <c r="K413" s="0" t="str">
        <f aca="false">INDEX(customer_churn_dataset!$V$2:$V$1501,MATCH($A414,customer_churn_dataset!$A$2:$A$1501,0))</f>
        <v>Medium Risk</v>
      </c>
    </row>
    <row r="414" customFormat="false" ht="12.8" hidden="false" customHeight="false" outlineLevel="0" collapsed="false">
      <c r="A414" s="23" t="str">
        <f aca="false">customer_churn_dataset!A157</f>
        <v>CUST101057</v>
      </c>
      <c r="B414" s="24" t="str">
        <f aca="false">customer_churn_dataset!B157</f>
        <v>Basic</v>
      </c>
      <c r="C414" s="24" t="str">
        <f aca="false">customer_churn_dataset!C157</f>
        <v>One year</v>
      </c>
      <c r="D414" s="25" t="n">
        <f aca="false">INDEX(customer_churn_dataset!$E$2:$E$1501,MATCH($A415,customer_churn_dataset!$A$2:$A$1501,0))</f>
        <v>11</v>
      </c>
      <c r="E414" s="25" t="n">
        <f aca="false">INDEX(customer_churn_dataset!$I$2:$I$1501,MATCH($A415,customer_churn_dataset!$A$2:$A$1501,0))</f>
        <v>29.6</v>
      </c>
      <c r="F414" s="25" t="n">
        <f aca="false">INDEX(customer_churn_dataset!$L$2:$L$1501,MATCH($A415,customer_churn_dataset!$A$2:$A$1501,0))</f>
        <v>3</v>
      </c>
      <c r="G414" s="25" t="str">
        <f aca="false">IF(INDEX(customer_churn_dataset!$M$2:$M$1501,MATCH($A415,customer_churn_dataset!$A$2:$A$1501,0))=1,"Yes","No")</f>
        <v>Yes</v>
      </c>
      <c r="H414" s="25" t="n">
        <f aca="false">INDEX(customer_churn_dataset!$N$2:$N$1501,MATCH($A415,customer_churn_dataset!$A$2:$A$1501,0))</f>
        <v>113.19</v>
      </c>
      <c r="I414" s="25" t="n">
        <f aca="false">INDEX(customer_churn_dataset!$O$2:$O$1501,MATCH($A415,customer_churn_dataset!$A$2:$A$1501,0))</f>
        <v>1</v>
      </c>
      <c r="J414" s="25" t="n">
        <f aca="false">INDEX(customer_churn_dataset!$T$2:$T$1501,MATCH($A415,customer_churn_dataset!$A$2:$A$1501,0))</f>
        <v>8</v>
      </c>
      <c r="K414" s="25" t="str">
        <f aca="false">INDEX(customer_churn_dataset!$V$2:$V$1501,MATCH($A415,customer_churn_dataset!$A$2:$A$1501,0))</f>
        <v>High Risk</v>
      </c>
    </row>
    <row r="415" customFormat="false" ht="12.8" hidden="true" customHeight="false" outlineLevel="0" collapsed="false">
      <c r="A415" s="22" t="str">
        <f aca="false">customer_churn_dataset!A163</f>
        <v>CUST100456</v>
      </c>
      <c r="B415" s="22" t="str">
        <f aca="false">customer_churn_dataset!B163</f>
        <v>Basic</v>
      </c>
      <c r="C415" s="22" t="str">
        <f aca="false">customer_churn_dataset!C163</f>
        <v>One year</v>
      </c>
      <c r="D415" s="0" t="n">
        <f aca="false">INDEX(customer_churn_dataset!$E$2:$E$1501,MATCH($A416,customer_churn_dataset!$A$2:$A$1501,0))</f>
        <v>21</v>
      </c>
      <c r="E415" s="0" t="n">
        <f aca="false">INDEX(customer_churn_dataset!$I$2:$I$1501,MATCH($A416,customer_churn_dataset!$A$2:$A$1501,0))</f>
        <v>45.5</v>
      </c>
      <c r="F415" s="0" t="n">
        <f aca="false">INDEX(customer_churn_dataset!$L$2:$L$1501,MATCH($A416,customer_churn_dataset!$A$2:$A$1501,0))</f>
        <v>2</v>
      </c>
      <c r="G415" s="0" t="str">
        <f aca="false">IF(INDEX(customer_churn_dataset!$M$2:$M$1501,MATCH($A416,customer_churn_dataset!$A$2:$A$1501,0))=1,"Yes","No")</f>
        <v>No</v>
      </c>
      <c r="H415" s="0" t="n">
        <f aca="false">INDEX(customer_churn_dataset!$N$2:$N$1501,MATCH($A416,customer_churn_dataset!$A$2:$A$1501,0))</f>
        <v>437.22</v>
      </c>
      <c r="I415" s="0" t="n">
        <f aca="false">INDEX(customer_churn_dataset!$O$2:$O$1501,MATCH($A416,customer_churn_dataset!$A$2:$A$1501,0))</f>
        <v>0</v>
      </c>
      <c r="J415" s="0" t="n">
        <f aca="false">INDEX(customer_churn_dataset!$T$2:$T$1501,MATCH($A416,customer_churn_dataset!$A$2:$A$1501,0))</f>
        <v>2</v>
      </c>
      <c r="K415" s="0" t="str">
        <f aca="false">INDEX(customer_churn_dataset!$V$2:$V$1501,MATCH($A416,customer_churn_dataset!$A$2:$A$1501,0))</f>
        <v>Low Risk</v>
      </c>
    </row>
    <row r="416" customFormat="false" ht="12.8" hidden="true" customHeight="false" outlineLevel="0" collapsed="false">
      <c r="A416" s="22" t="str">
        <f aca="false">customer_churn_dataset!A166</f>
        <v>CUST100890</v>
      </c>
      <c r="B416" s="22" t="str">
        <f aca="false">customer_churn_dataset!B166</f>
        <v>Standard</v>
      </c>
      <c r="C416" s="22" t="str">
        <f aca="false">customer_churn_dataset!C166</f>
        <v>Two year</v>
      </c>
      <c r="D416" s="0" t="n">
        <f aca="false">INDEX(customer_churn_dataset!$E$2:$E$1501,MATCH($A417,customer_churn_dataset!$A$2:$A$1501,0))</f>
        <v>0</v>
      </c>
      <c r="E416" s="0" t="n">
        <f aca="false">INDEX(customer_churn_dataset!$I$2:$I$1501,MATCH($A417,customer_churn_dataset!$A$2:$A$1501,0))</f>
        <v>44</v>
      </c>
      <c r="F416" s="0" t="n">
        <f aca="false">INDEX(customer_churn_dataset!$L$2:$L$1501,MATCH($A417,customer_churn_dataset!$A$2:$A$1501,0))</f>
        <v>0</v>
      </c>
      <c r="G416" s="0" t="str">
        <f aca="false">IF(INDEX(customer_churn_dataset!$M$2:$M$1501,MATCH($A417,customer_churn_dataset!$A$2:$A$1501,0))=1,"Yes","No")</f>
        <v>No</v>
      </c>
      <c r="H416" s="0" t="n">
        <f aca="false">INDEX(customer_churn_dataset!$N$2:$N$1501,MATCH($A417,customer_churn_dataset!$A$2:$A$1501,0))</f>
        <v>0</v>
      </c>
      <c r="I416" s="0" t="n">
        <f aca="false">INDEX(customer_churn_dataset!$O$2:$O$1501,MATCH($A417,customer_churn_dataset!$A$2:$A$1501,0))</f>
        <v>1</v>
      </c>
      <c r="J416" s="0" t="n">
        <f aca="false">INDEX(customer_churn_dataset!$T$2:$T$1501,MATCH($A417,customer_churn_dataset!$A$2:$A$1501,0))</f>
        <v>2</v>
      </c>
      <c r="K416" s="0" t="str">
        <f aca="false">INDEX(customer_churn_dataset!$V$2:$V$1501,MATCH($A417,customer_churn_dataset!$A$2:$A$1501,0))</f>
        <v>Low Risk</v>
      </c>
    </row>
    <row r="417" customFormat="false" ht="12.8" hidden="true" customHeight="false" outlineLevel="0" collapsed="false">
      <c r="A417" s="22" t="str">
        <f aca="false">customer_churn_dataset!A171</f>
        <v>CUST100224</v>
      </c>
      <c r="B417" s="22" t="str">
        <f aca="false">customer_churn_dataset!B171</f>
        <v>Basic</v>
      </c>
      <c r="C417" s="22" t="str">
        <f aca="false">customer_churn_dataset!C171</f>
        <v>Two year</v>
      </c>
      <c r="D417" s="0" t="n">
        <f aca="false">INDEX(customer_churn_dataset!$E$2:$E$1501,MATCH($A418,customer_churn_dataset!$A$2:$A$1501,0))</f>
        <v>1</v>
      </c>
      <c r="E417" s="0" t="n">
        <f aca="false">INDEX(customer_churn_dataset!$I$2:$I$1501,MATCH($A418,customer_churn_dataset!$A$2:$A$1501,0))</f>
        <v>64.2</v>
      </c>
      <c r="F417" s="0" t="n">
        <f aca="false">INDEX(customer_churn_dataset!$L$2:$L$1501,MATCH($A418,customer_churn_dataset!$A$2:$A$1501,0))</f>
        <v>2</v>
      </c>
      <c r="G417" s="0" t="str">
        <f aca="false">IF(INDEX(customer_churn_dataset!$M$2:$M$1501,MATCH($A418,customer_churn_dataset!$A$2:$A$1501,0))=1,"Yes","No")</f>
        <v>Yes</v>
      </c>
      <c r="H417" s="0" t="n">
        <f aca="false">INDEX(customer_churn_dataset!$N$2:$N$1501,MATCH($A418,customer_churn_dataset!$A$2:$A$1501,0))</f>
        <v>22.55</v>
      </c>
      <c r="I417" s="0" t="n">
        <f aca="false">INDEX(customer_churn_dataset!$O$2:$O$1501,MATCH($A418,customer_churn_dataset!$A$2:$A$1501,0))</f>
        <v>0</v>
      </c>
      <c r="J417" s="0" t="n">
        <f aca="false">INDEX(customer_churn_dataset!$T$2:$T$1501,MATCH($A418,customer_churn_dataset!$A$2:$A$1501,0))</f>
        <v>6</v>
      </c>
      <c r="K417" s="0" t="str">
        <f aca="false">INDEX(customer_churn_dataset!$V$2:$V$1501,MATCH($A418,customer_churn_dataset!$A$2:$A$1501,0))</f>
        <v>High Risk</v>
      </c>
    </row>
    <row r="418" customFormat="false" ht="12.8" hidden="true" customHeight="false" outlineLevel="0" collapsed="false">
      <c r="A418" s="22" t="str">
        <f aca="false">customer_churn_dataset!A174</f>
        <v>CUST100331</v>
      </c>
      <c r="B418" s="22" t="str">
        <f aca="false">customer_churn_dataset!B174</f>
        <v>Standard</v>
      </c>
      <c r="C418" s="22" t="str">
        <f aca="false">customer_churn_dataset!C174</f>
        <v>One year</v>
      </c>
      <c r="D418" s="0" t="n">
        <f aca="false">INDEX(customer_churn_dataset!$E$2:$E$1501,MATCH($A419,customer_churn_dataset!$A$2:$A$1501,0))</f>
        <v>7</v>
      </c>
      <c r="E418" s="0" t="n">
        <f aca="false">INDEX(customer_churn_dataset!$I$2:$I$1501,MATCH($A419,customer_churn_dataset!$A$2:$A$1501,0))</f>
        <v>34</v>
      </c>
      <c r="F418" s="0" t="n">
        <f aca="false">INDEX(customer_churn_dataset!$L$2:$L$1501,MATCH($A419,customer_churn_dataset!$A$2:$A$1501,0))</f>
        <v>3</v>
      </c>
      <c r="G418" s="0" t="str">
        <f aca="false">IF(INDEX(customer_churn_dataset!$M$2:$M$1501,MATCH($A419,customer_churn_dataset!$A$2:$A$1501,0))=1,"Yes","No")</f>
        <v>No</v>
      </c>
      <c r="H418" s="0" t="n">
        <f aca="false">INDEX(customer_churn_dataset!$N$2:$N$1501,MATCH($A419,customer_churn_dataset!$A$2:$A$1501,0))</f>
        <v>136.43</v>
      </c>
      <c r="I418" s="0" t="n">
        <f aca="false">INDEX(customer_churn_dataset!$O$2:$O$1501,MATCH($A419,customer_churn_dataset!$A$2:$A$1501,0))</f>
        <v>0</v>
      </c>
      <c r="J418" s="0" t="n">
        <f aca="false">INDEX(customer_churn_dataset!$T$2:$T$1501,MATCH($A419,customer_churn_dataset!$A$2:$A$1501,0))</f>
        <v>5</v>
      </c>
      <c r="K418" s="0" t="str">
        <f aca="false">INDEX(customer_churn_dataset!$V$2:$V$1501,MATCH($A419,customer_churn_dataset!$A$2:$A$1501,0))</f>
        <v>Medium Risk</v>
      </c>
    </row>
    <row r="419" customFormat="false" ht="12.8" hidden="true" customHeight="false" outlineLevel="0" collapsed="false">
      <c r="A419" s="22" t="str">
        <f aca="false">customer_churn_dataset!A175</f>
        <v>CUST101108</v>
      </c>
      <c r="B419" s="22" t="str">
        <f aca="false">customer_churn_dataset!B175</f>
        <v>Standard</v>
      </c>
      <c r="C419" s="22" t="str">
        <f aca="false">customer_churn_dataset!C175</f>
        <v>One year</v>
      </c>
      <c r="D419" s="0" t="n">
        <f aca="false">INDEX(customer_churn_dataset!$E$2:$E$1501,MATCH($A420,customer_churn_dataset!$A$2:$A$1501,0))</f>
        <v>13</v>
      </c>
      <c r="E419" s="0" t="n">
        <f aca="false">INDEX(customer_churn_dataset!$I$2:$I$1501,MATCH($A420,customer_churn_dataset!$A$2:$A$1501,0))</f>
        <v>55.6</v>
      </c>
      <c r="F419" s="0" t="n">
        <f aca="false">INDEX(customer_churn_dataset!$L$2:$L$1501,MATCH($A420,customer_churn_dataset!$A$2:$A$1501,0))</f>
        <v>0</v>
      </c>
      <c r="G419" s="0" t="str">
        <f aca="false">IF(INDEX(customer_churn_dataset!$M$2:$M$1501,MATCH($A420,customer_churn_dataset!$A$2:$A$1501,0))=1,"Yes","No")</f>
        <v>No</v>
      </c>
      <c r="H419" s="0" t="n">
        <f aca="false">INDEX(customer_churn_dataset!$N$2:$N$1501,MATCH($A420,customer_churn_dataset!$A$2:$A$1501,0))</f>
        <v>145.99</v>
      </c>
      <c r="I419" s="0" t="n">
        <f aca="false">INDEX(customer_churn_dataset!$O$2:$O$1501,MATCH($A420,customer_churn_dataset!$A$2:$A$1501,0))</f>
        <v>0</v>
      </c>
      <c r="J419" s="0" t="n">
        <f aca="false">INDEX(customer_churn_dataset!$T$2:$T$1501,MATCH($A420,customer_churn_dataset!$A$2:$A$1501,0))</f>
        <v>1</v>
      </c>
      <c r="K419" s="0" t="str">
        <f aca="false">INDEX(customer_churn_dataset!$V$2:$V$1501,MATCH($A420,customer_churn_dataset!$A$2:$A$1501,0))</f>
        <v>Low Risk</v>
      </c>
    </row>
    <row r="420" customFormat="false" ht="12.8" hidden="true" customHeight="false" outlineLevel="0" collapsed="false">
      <c r="A420" s="22" t="str">
        <f aca="false">customer_churn_dataset!A178</f>
        <v>CUST100109</v>
      </c>
      <c r="B420" s="22" t="str">
        <f aca="false">customer_churn_dataset!B178</f>
        <v>Basic</v>
      </c>
      <c r="C420" s="22" t="str">
        <f aca="false">customer_churn_dataset!C178</f>
        <v>One year</v>
      </c>
      <c r="D420" s="0" t="n">
        <f aca="false">INDEX(customer_churn_dataset!$E$2:$E$1501,MATCH($A421,customer_churn_dataset!$A$2:$A$1501,0))</f>
        <v>20</v>
      </c>
      <c r="E420" s="0" t="n">
        <f aca="false">INDEX(customer_churn_dataset!$I$2:$I$1501,MATCH($A421,customer_churn_dataset!$A$2:$A$1501,0))</f>
        <v>20.2</v>
      </c>
      <c r="F420" s="0" t="n">
        <f aca="false">INDEX(customer_churn_dataset!$L$2:$L$1501,MATCH($A421,customer_churn_dataset!$A$2:$A$1501,0))</f>
        <v>2</v>
      </c>
      <c r="G420" s="0" t="str">
        <f aca="false">IF(INDEX(customer_churn_dataset!$M$2:$M$1501,MATCH($A421,customer_churn_dataset!$A$2:$A$1501,0))=1,"Yes","No")</f>
        <v>No</v>
      </c>
      <c r="H420" s="0" t="n">
        <f aca="false">INDEX(customer_churn_dataset!$N$2:$N$1501,MATCH($A421,customer_churn_dataset!$A$2:$A$1501,0))</f>
        <v>427.8</v>
      </c>
      <c r="I420" s="0" t="n">
        <f aca="false">INDEX(customer_churn_dataset!$O$2:$O$1501,MATCH($A421,customer_churn_dataset!$A$2:$A$1501,0))</f>
        <v>1</v>
      </c>
      <c r="J420" s="0" t="n">
        <f aca="false">INDEX(customer_churn_dataset!$T$2:$T$1501,MATCH($A421,customer_churn_dataset!$A$2:$A$1501,0))</f>
        <v>5</v>
      </c>
      <c r="K420" s="0" t="str">
        <f aca="false">INDEX(customer_churn_dataset!$V$2:$V$1501,MATCH($A421,customer_churn_dataset!$A$2:$A$1501,0))</f>
        <v>Medium Risk</v>
      </c>
    </row>
    <row r="421" customFormat="false" ht="12.8" hidden="true" customHeight="false" outlineLevel="0" collapsed="false">
      <c r="A421" s="22" t="str">
        <f aca="false">customer_churn_dataset!A179</f>
        <v>CUST101137</v>
      </c>
      <c r="B421" s="22" t="str">
        <f aca="false">customer_churn_dataset!B179</f>
        <v>Standard</v>
      </c>
      <c r="C421" s="22" t="str">
        <f aca="false">customer_churn_dataset!C179</f>
        <v>Month-to-month</v>
      </c>
      <c r="D421" s="0" t="n">
        <f aca="false">INDEX(customer_churn_dataset!$E$2:$E$1501,MATCH($A422,customer_churn_dataset!$A$2:$A$1501,0))</f>
        <v>64</v>
      </c>
      <c r="E421" s="0" t="n">
        <f aca="false">INDEX(customer_churn_dataset!$I$2:$I$1501,MATCH($A422,customer_churn_dataset!$A$2:$A$1501,0))</f>
        <v>46.6</v>
      </c>
      <c r="F421" s="0" t="n">
        <f aca="false">INDEX(customer_churn_dataset!$L$2:$L$1501,MATCH($A422,customer_churn_dataset!$A$2:$A$1501,0))</f>
        <v>0</v>
      </c>
      <c r="G421" s="0" t="str">
        <f aca="false">IF(INDEX(customer_churn_dataset!$M$2:$M$1501,MATCH($A422,customer_churn_dataset!$A$2:$A$1501,0))=1,"Yes","No")</f>
        <v>No</v>
      </c>
      <c r="H421" s="0" t="n">
        <f aca="false">INDEX(customer_churn_dataset!$N$2:$N$1501,MATCH($A422,customer_churn_dataset!$A$2:$A$1501,0))</f>
        <v>662.4</v>
      </c>
      <c r="I421" s="0" t="n">
        <f aca="false">INDEX(customer_churn_dataset!$O$2:$O$1501,MATCH($A422,customer_churn_dataset!$A$2:$A$1501,0))</f>
        <v>0</v>
      </c>
      <c r="J421" s="0" t="n">
        <f aca="false">INDEX(customer_churn_dataset!$T$2:$T$1501,MATCH($A422,customer_churn_dataset!$A$2:$A$1501,0))</f>
        <v>3</v>
      </c>
      <c r="K421" s="0" t="str">
        <f aca="false">INDEX(customer_churn_dataset!$V$2:$V$1501,MATCH($A422,customer_churn_dataset!$A$2:$A$1501,0))</f>
        <v>Medium Risk</v>
      </c>
    </row>
    <row r="422" customFormat="false" ht="12.8" hidden="true" customHeight="false" outlineLevel="0" collapsed="false">
      <c r="A422" s="22" t="str">
        <f aca="false">customer_churn_dataset!A180</f>
        <v>CUST101095</v>
      </c>
      <c r="B422" s="22" t="str">
        <f aca="false">customer_churn_dataset!B180</f>
        <v>Basic</v>
      </c>
      <c r="C422" s="22" t="str">
        <f aca="false">customer_churn_dataset!C180</f>
        <v>Month-to-month</v>
      </c>
      <c r="D422" s="0" t="n">
        <f aca="false">INDEX(customer_churn_dataset!$E$2:$E$1501,MATCH($A423,customer_churn_dataset!$A$2:$A$1501,0))</f>
        <v>23</v>
      </c>
      <c r="E422" s="0" t="n">
        <f aca="false">INDEX(customer_churn_dataset!$I$2:$I$1501,MATCH($A423,customer_churn_dataset!$A$2:$A$1501,0))</f>
        <v>12.6</v>
      </c>
      <c r="F422" s="0" t="n">
        <f aca="false">INDEX(customer_churn_dataset!$L$2:$L$1501,MATCH($A423,customer_churn_dataset!$A$2:$A$1501,0))</f>
        <v>3</v>
      </c>
      <c r="G422" s="0" t="str">
        <f aca="false">IF(INDEX(customer_churn_dataset!$M$2:$M$1501,MATCH($A423,customer_churn_dataset!$A$2:$A$1501,0))=1,"Yes","No")</f>
        <v>No</v>
      </c>
      <c r="H422" s="0" t="n">
        <f aca="false">INDEX(customer_churn_dataset!$N$2:$N$1501,MATCH($A423,customer_churn_dataset!$A$2:$A$1501,0))</f>
        <v>453.33</v>
      </c>
      <c r="I422" s="0" t="n">
        <f aca="false">INDEX(customer_churn_dataset!$O$2:$O$1501,MATCH($A423,customer_churn_dataset!$A$2:$A$1501,0))</f>
        <v>0</v>
      </c>
      <c r="J422" s="0" t="n">
        <f aca="false">INDEX(customer_churn_dataset!$T$2:$T$1501,MATCH($A423,customer_churn_dataset!$A$2:$A$1501,0))</f>
        <v>4</v>
      </c>
      <c r="K422" s="0" t="str">
        <f aca="false">INDEX(customer_churn_dataset!$V$2:$V$1501,MATCH($A423,customer_churn_dataset!$A$2:$A$1501,0))</f>
        <v>Medium Risk</v>
      </c>
    </row>
    <row r="423" customFormat="false" ht="12.8" hidden="true" customHeight="false" outlineLevel="0" collapsed="false">
      <c r="A423" s="22" t="str">
        <f aca="false">customer_churn_dataset!A181</f>
        <v>CUST101337</v>
      </c>
      <c r="B423" s="22" t="str">
        <f aca="false">customer_churn_dataset!B181</f>
        <v>Standard</v>
      </c>
      <c r="C423" s="22" t="str">
        <f aca="false">customer_churn_dataset!C181</f>
        <v>One year</v>
      </c>
      <c r="D423" s="0" t="n">
        <f aca="false">INDEX(customer_churn_dataset!$E$2:$E$1501,MATCH($A424,customer_churn_dataset!$A$2:$A$1501,0))</f>
        <v>39</v>
      </c>
      <c r="E423" s="0" t="n">
        <f aca="false">INDEX(customer_churn_dataset!$I$2:$I$1501,MATCH($A424,customer_churn_dataset!$A$2:$A$1501,0))</f>
        <v>63.4</v>
      </c>
      <c r="F423" s="0" t="n">
        <f aca="false">INDEX(customer_churn_dataset!$L$2:$L$1501,MATCH($A424,customer_churn_dataset!$A$2:$A$1501,0))</f>
        <v>0</v>
      </c>
      <c r="G423" s="0" t="str">
        <f aca="false">IF(INDEX(customer_churn_dataset!$M$2:$M$1501,MATCH($A424,customer_churn_dataset!$A$2:$A$1501,0))=1,"Yes","No")</f>
        <v>No</v>
      </c>
      <c r="H423" s="0" t="n">
        <f aca="false">INDEX(customer_churn_dataset!$N$2:$N$1501,MATCH($A424,customer_churn_dataset!$A$2:$A$1501,0))</f>
        <v>420.42</v>
      </c>
      <c r="I423" s="0" t="n">
        <f aca="false">INDEX(customer_churn_dataset!$O$2:$O$1501,MATCH($A424,customer_churn_dataset!$A$2:$A$1501,0))</f>
        <v>0</v>
      </c>
      <c r="J423" s="0" t="n">
        <f aca="false">INDEX(customer_churn_dataset!$T$2:$T$1501,MATCH($A424,customer_churn_dataset!$A$2:$A$1501,0))</f>
        <v>1</v>
      </c>
      <c r="K423" s="0" t="str">
        <f aca="false">INDEX(customer_churn_dataset!$V$2:$V$1501,MATCH($A424,customer_churn_dataset!$A$2:$A$1501,0))</f>
        <v>Low Risk</v>
      </c>
    </row>
    <row r="424" customFormat="false" ht="12.8" hidden="true" customHeight="false" outlineLevel="0" collapsed="false">
      <c r="A424" s="22" t="str">
        <f aca="false">customer_churn_dataset!A188</f>
        <v>CUST100702</v>
      </c>
      <c r="B424" s="22" t="str">
        <f aca="false">customer_churn_dataset!B188</f>
        <v>Basic</v>
      </c>
      <c r="C424" s="22" t="str">
        <f aca="false">customer_churn_dataset!C188</f>
        <v>One year</v>
      </c>
      <c r="D424" s="0" t="n">
        <f aca="false">INDEX(customer_churn_dataset!$E$2:$E$1501,MATCH($A425,customer_churn_dataset!$A$2:$A$1501,0))</f>
        <v>4</v>
      </c>
      <c r="E424" s="0" t="n">
        <f aca="false">INDEX(customer_churn_dataset!$I$2:$I$1501,MATCH($A425,customer_churn_dataset!$A$2:$A$1501,0))</f>
        <v>49.8</v>
      </c>
      <c r="F424" s="0" t="n">
        <f aca="false">INDEX(customer_churn_dataset!$L$2:$L$1501,MATCH($A425,customer_churn_dataset!$A$2:$A$1501,0))</f>
        <v>0</v>
      </c>
      <c r="G424" s="0" t="str">
        <f aca="false">IF(INDEX(customer_churn_dataset!$M$2:$M$1501,MATCH($A425,customer_churn_dataset!$A$2:$A$1501,0))=1,"Yes","No")</f>
        <v>No</v>
      </c>
      <c r="H424" s="0" t="n">
        <f aca="false">INDEX(customer_churn_dataset!$N$2:$N$1501,MATCH($A425,customer_churn_dataset!$A$2:$A$1501,0))</f>
        <v>40.04</v>
      </c>
      <c r="I424" s="0" t="n">
        <f aca="false">INDEX(customer_churn_dataset!$O$2:$O$1501,MATCH($A425,customer_churn_dataset!$A$2:$A$1501,0))</f>
        <v>1</v>
      </c>
      <c r="J424" s="0" t="n">
        <f aca="false">INDEX(customer_churn_dataset!$T$2:$T$1501,MATCH($A425,customer_churn_dataset!$A$2:$A$1501,0))</f>
        <v>4</v>
      </c>
      <c r="K424" s="0" t="str">
        <f aca="false">INDEX(customer_churn_dataset!$V$2:$V$1501,MATCH($A425,customer_churn_dataset!$A$2:$A$1501,0))</f>
        <v>Medium Risk</v>
      </c>
    </row>
    <row r="425" customFormat="false" ht="12.8" hidden="true" customHeight="false" outlineLevel="0" collapsed="false">
      <c r="A425" s="22" t="str">
        <f aca="false">customer_churn_dataset!A189</f>
        <v>CUST100639</v>
      </c>
      <c r="B425" s="22" t="str">
        <f aca="false">customer_churn_dataset!B189</f>
        <v>Basic</v>
      </c>
      <c r="C425" s="22" t="str">
        <f aca="false">customer_churn_dataset!C189</f>
        <v>Month-to-month</v>
      </c>
      <c r="D425" s="0" t="n">
        <f aca="false">INDEX(customer_churn_dataset!$E$2:$E$1501,MATCH($A426,customer_churn_dataset!$A$2:$A$1501,0))</f>
        <v>36</v>
      </c>
      <c r="E425" s="0" t="n">
        <f aca="false">INDEX(customer_churn_dataset!$I$2:$I$1501,MATCH($A426,customer_churn_dataset!$A$2:$A$1501,0))</f>
        <v>70.4</v>
      </c>
      <c r="F425" s="0" t="n">
        <f aca="false">INDEX(customer_churn_dataset!$L$2:$L$1501,MATCH($A426,customer_churn_dataset!$A$2:$A$1501,0))</f>
        <v>0</v>
      </c>
      <c r="G425" s="0" t="str">
        <f aca="false">IF(INDEX(customer_churn_dataset!$M$2:$M$1501,MATCH($A426,customer_churn_dataset!$A$2:$A$1501,0))=1,"Yes","No")</f>
        <v>No</v>
      </c>
      <c r="H425" s="0" t="n">
        <f aca="false">INDEX(customer_churn_dataset!$N$2:$N$1501,MATCH($A426,customer_churn_dataset!$A$2:$A$1501,0))</f>
        <v>1362.6</v>
      </c>
      <c r="I425" s="0" t="n">
        <f aca="false">INDEX(customer_churn_dataset!$O$2:$O$1501,MATCH($A426,customer_churn_dataset!$A$2:$A$1501,0))</f>
        <v>0</v>
      </c>
      <c r="J425" s="0" t="n">
        <f aca="false">INDEX(customer_churn_dataset!$T$2:$T$1501,MATCH($A426,customer_churn_dataset!$A$2:$A$1501,0))</f>
        <v>2</v>
      </c>
      <c r="K425" s="0" t="str">
        <f aca="false">INDEX(customer_churn_dataset!$V$2:$V$1501,MATCH($A426,customer_churn_dataset!$A$2:$A$1501,0))</f>
        <v>Low Risk</v>
      </c>
    </row>
    <row r="426" customFormat="false" ht="12.8" hidden="true" customHeight="false" outlineLevel="0" collapsed="false">
      <c r="A426" s="22" t="str">
        <f aca="false">customer_churn_dataset!A192</f>
        <v>CUST100796</v>
      </c>
      <c r="B426" s="22" t="str">
        <f aca="false">customer_churn_dataset!B192</f>
        <v>Premium</v>
      </c>
      <c r="C426" s="22" t="str">
        <f aca="false">customer_churn_dataset!C192</f>
        <v>Month-to-month</v>
      </c>
      <c r="D426" s="0" t="n">
        <f aca="false">INDEX(customer_churn_dataset!$E$2:$E$1501,MATCH($A427,customer_churn_dataset!$A$2:$A$1501,0))</f>
        <v>2</v>
      </c>
      <c r="E426" s="0" t="n">
        <f aca="false">INDEX(customer_churn_dataset!$I$2:$I$1501,MATCH($A427,customer_churn_dataset!$A$2:$A$1501,0))</f>
        <v>82.1</v>
      </c>
      <c r="F426" s="0" t="n">
        <f aca="false">INDEX(customer_churn_dataset!$L$2:$L$1501,MATCH($A427,customer_churn_dataset!$A$2:$A$1501,0))</f>
        <v>2</v>
      </c>
      <c r="G426" s="0" t="str">
        <f aca="false">IF(INDEX(customer_churn_dataset!$M$2:$M$1501,MATCH($A427,customer_churn_dataset!$A$2:$A$1501,0))=1,"Yes","No")</f>
        <v>No</v>
      </c>
      <c r="H426" s="0" t="n">
        <f aca="false">INDEX(customer_churn_dataset!$N$2:$N$1501,MATCH($A427,customer_churn_dataset!$A$2:$A$1501,0))</f>
        <v>41.62</v>
      </c>
      <c r="I426" s="0" t="n">
        <f aca="false">INDEX(customer_churn_dataset!$O$2:$O$1501,MATCH($A427,customer_churn_dataset!$A$2:$A$1501,0))</f>
        <v>0</v>
      </c>
      <c r="J426" s="0" t="n">
        <f aca="false">INDEX(customer_churn_dataset!$T$2:$T$1501,MATCH($A427,customer_churn_dataset!$A$2:$A$1501,0))</f>
        <v>4</v>
      </c>
      <c r="K426" s="0" t="str">
        <f aca="false">INDEX(customer_churn_dataset!$V$2:$V$1501,MATCH($A427,customer_churn_dataset!$A$2:$A$1501,0))</f>
        <v>Medium Risk</v>
      </c>
    </row>
    <row r="427" customFormat="false" ht="12.8" hidden="true" customHeight="false" outlineLevel="0" collapsed="false">
      <c r="A427" s="22" t="str">
        <f aca="false">customer_churn_dataset!A193</f>
        <v>CUST100939</v>
      </c>
      <c r="B427" s="22" t="str">
        <f aca="false">customer_churn_dataset!B193</f>
        <v>Standard</v>
      </c>
      <c r="C427" s="22" t="str">
        <f aca="false">customer_churn_dataset!C193</f>
        <v>Month-to-month</v>
      </c>
      <c r="D427" s="0" t="n">
        <f aca="false">INDEX(customer_churn_dataset!$E$2:$E$1501,MATCH($A428,customer_churn_dataset!$A$2:$A$1501,0))</f>
        <v>5</v>
      </c>
      <c r="E427" s="0" t="n">
        <f aca="false">INDEX(customer_churn_dataset!$I$2:$I$1501,MATCH($A428,customer_churn_dataset!$A$2:$A$1501,0))</f>
        <v>47.6</v>
      </c>
      <c r="F427" s="0" t="n">
        <f aca="false">INDEX(customer_churn_dataset!$L$2:$L$1501,MATCH($A428,customer_churn_dataset!$A$2:$A$1501,0))</f>
        <v>0</v>
      </c>
      <c r="G427" s="0" t="str">
        <f aca="false">IF(INDEX(customer_churn_dataset!$M$2:$M$1501,MATCH($A428,customer_churn_dataset!$A$2:$A$1501,0))=1,"Yes","No")</f>
        <v>No</v>
      </c>
      <c r="H427" s="0" t="n">
        <f aca="false">INDEX(customer_churn_dataset!$N$2:$N$1501,MATCH($A428,customer_churn_dataset!$A$2:$A$1501,0))</f>
        <v>97.7</v>
      </c>
      <c r="I427" s="0" t="n">
        <f aca="false">INDEX(customer_churn_dataset!$O$2:$O$1501,MATCH($A428,customer_churn_dataset!$A$2:$A$1501,0))</f>
        <v>0</v>
      </c>
      <c r="J427" s="0" t="n">
        <f aca="false">INDEX(customer_churn_dataset!$T$2:$T$1501,MATCH($A428,customer_churn_dataset!$A$2:$A$1501,0))</f>
        <v>3</v>
      </c>
      <c r="K427" s="0" t="str">
        <f aca="false">INDEX(customer_churn_dataset!$V$2:$V$1501,MATCH($A428,customer_churn_dataset!$A$2:$A$1501,0))</f>
        <v>Medium Risk</v>
      </c>
    </row>
    <row r="428" customFormat="false" ht="12.8" hidden="true" customHeight="false" outlineLevel="0" collapsed="false">
      <c r="A428" s="22" t="str">
        <f aca="false">customer_churn_dataset!A194</f>
        <v>CUST100345</v>
      </c>
      <c r="B428" s="22" t="str">
        <f aca="false">customer_churn_dataset!B194</f>
        <v>Standard</v>
      </c>
      <c r="C428" s="22" t="str">
        <f aca="false">customer_churn_dataset!C194</f>
        <v>One year</v>
      </c>
      <c r="D428" s="0" t="n">
        <f aca="false">INDEX(customer_churn_dataset!$E$2:$E$1501,MATCH($A429,customer_churn_dataset!$A$2:$A$1501,0))</f>
        <v>11</v>
      </c>
      <c r="E428" s="0" t="n">
        <f aca="false">INDEX(customer_churn_dataset!$I$2:$I$1501,MATCH($A429,customer_churn_dataset!$A$2:$A$1501,0))</f>
        <v>50.1</v>
      </c>
      <c r="F428" s="0" t="n">
        <f aca="false">INDEX(customer_churn_dataset!$L$2:$L$1501,MATCH($A429,customer_churn_dataset!$A$2:$A$1501,0))</f>
        <v>2</v>
      </c>
      <c r="G428" s="0" t="str">
        <f aca="false">IF(INDEX(customer_churn_dataset!$M$2:$M$1501,MATCH($A429,customer_churn_dataset!$A$2:$A$1501,0))=1,"Yes","No")</f>
        <v>Yes</v>
      </c>
      <c r="H428" s="0" t="n">
        <f aca="false">INDEX(customer_churn_dataset!$N$2:$N$1501,MATCH($A429,customer_churn_dataset!$A$2:$A$1501,0))</f>
        <v>225.28</v>
      </c>
      <c r="I428" s="0" t="n">
        <f aca="false">INDEX(customer_churn_dataset!$O$2:$O$1501,MATCH($A429,customer_churn_dataset!$A$2:$A$1501,0))</f>
        <v>0</v>
      </c>
      <c r="J428" s="0" t="n">
        <f aca="false">INDEX(customer_churn_dataset!$T$2:$T$1501,MATCH($A429,customer_churn_dataset!$A$2:$A$1501,0))</f>
        <v>7</v>
      </c>
      <c r="K428" s="0" t="str">
        <f aca="false">INDEX(customer_churn_dataset!$V$2:$V$1501,MATCH($A429,customer_churn_dataset!$A$2:$A$1501,0))</f>
        <v>High Risk</v>
      </c>
    </row>
    <row r="429" customFormat="false" ht="12.8" hidden="true" customHeight="false" outlineLevel="0" collapsed="false">
      <c r="A429" s="22" t="str">
        <f aca="false">customer_churn_dataset!A197</f>
        <v>CUST100278</v>
      </c>
      <c r="B429" s="22" t="str">
        <f aca="false">customer_churn_dataset!B197</f>
        <v>Standard</v>
      </c>
      <c r="C429" s="22" t="str">
        <f aca="false">customer_churn_dataset!C197</f>
        <v>One year</v>
      </c>
      <c r="D429" s="0" t="n">
        <f aca="false">INDEX(customer_churn_dataset!$E$2:$E$1501,MATCH($A430,customer_churn_dataset!$A$2:$A$1501,0))</f>
        <v>42</v>
      </c>
      <c r="E429" s="0" t="n">
        <f aca="false">INDEX(customer_churn_dataset!$I$2:$I$1501,MATCH($A430,customer_churn_dataset!$A$2:$A$1501,0))</f>
        <v>67</v>
      </c>
      <c r="F429" s="0" t="n">
        <f aca="false">INDEX(customer_churn_dataset!$L$2:$L$1501,MATCH($A430,customer_churn_dataset!$A$2:$A$1501,0))</f>
        <v>1</v>
      </c>
      <c r="G429" s="0" t="str">
        <f aca="false">IF(INDEX(customer_churn_dataset!$M$2:$M$1501,MATCH($A430,customer_churn_dataset!$A$2:$A$1501,0))=1,"Yes","No")</f>
        <v>No</v>
      </c>
      <c r="H429" s="0" t="n">
        <f aca="false">INDEX(customer_churn_dataset!$N$2:$N$1501,MATCH($A430,customer_churn_dataset!$A$2:$A$1501,0))</f>
        <v>804.3</v>
      </c>
      <c r="I429" s="0" t="n">
        <f aca="false">INDEX(customer_churn_dataset!$O$2:$O$1501,MATCH($A430,customer_churn_dataset!$A$2:$A$1501,0))</f>
        <v>0</v>
      </c>
      <c r="J429" s="0" t="n">
        <f aca="false">INDEX(customer_churn_dataset!$T$2:$T$1501,MATCH($A430,customer_churn_dataset!$A$2:$A$1501,0))</f>
        <v>1</v>
      </c>
      <c r="K429" s="0" t="str">
        <f aca="false">INDEX(customer_churn_dataset!$V$2:$V$1501,MATCH($A430,customer_churn_dataset!$A$2:$A$1501,0))</f>
        <v>Low Risk</v>
      </c>
    </row>
    <row r="430" customFormat="false" ht="12.8" hidden="true" customHeight="false" outlineLevel="0" collapsed="false">
      <c r="A430" s="22" t="str">
        <f aca="false">customer_churn_dataset!A200</f>
        <v>CUST100263</v>
      </c>
      <c r="B430" s="22" t="str">
        <f aca="false">customer_churn_dataset!B200</f>
        <v>Standard</v>
      </c>
      <c r="C430" s="22" t="str">
        <f aca="false">customer_churn_dataset!C200</f>
        <v>One year</v>
      </c>
      <c r="D430" s="0" t="n">
        <f aca="false">INDEX(customer_churn_dataset!$E$2:$E$1501,MATCH($A431,customer_churn_dataset!$A$2:$A$1501,0))</f>
        <v>69</v>
      </c>
      <c r="E430" s="0" t="n">
        <f aca="false">INDEX(customer_churn_dataset!$I$2:$I$1501,MATCH($A431,customer_churn_dataset!$A$2:$A$1501,0))</f>
        <v>74.2</v>
      </c>
      <c r="F430" s="0" t="n">
        <f aca="false">INDEX(customer_churn_dataset!$L$2:$L$1501,MATCH($A431,customer_churn_dataset!$A$2:$A$1501,0))</f>
        <v>1</v>
      </c>
      <c r="G430" s="0" t="str">
        <f aca="false">IF(INDEX(customer_churn_dataset!$M$2:$M$1501,MATCH($A431,customer_churn_dataset!$A$2:$A$1501,0))=1,"Yes","No")</f>
        <v>Yes</v>
      </c>
      <c r="H430" s="0" t="n">
        <f aca="false">INDEX(customer_churn_dataset!$N$2:$N$1501,MATCH($A431,customer_churn_dataset!$A$2:$A$1501,0))</f>
        <v>726.57</v>
      </c>
      <c r="I430" s="0" t="n">
        <f aca="false">INDEX(customer_churn_dataset!$O$2:$O$1501,MATCH($A431,customer_churn_dataset!$A$2:$A$1501,0))</f>
        <v>0</v>
      </c>
      <c r="J430" s="0" t="n">
        <f aca="false">INDEX(customer_churn_dataset!$T$2:$T$1501,MATCH($A431,customer_churn_dataset!$A$2:$A$1501,0))</f>
        <v>4</v>
      </c>
      <c r="K430" s="0" t="str">
        <f aca="false">INDEX(customer_churn_dataset!$V$2:$V$1501,MATCH($A431,customer_churn_dataset!$A$2:$A$1501,0))</f>
        <v>Medium Risk</v>
      </c>
    </row>
    <row r="431" customFormat="false" ht="12.8" hidden="true" customHeight="false" outlineLevel="0" collapsed="false">
      <c r="A431" s="22" t="str">
        <f aca="false">customer_churn_dataset!A201</f>
        <v>CUST100102</v>
      </c>
      <c r="B431" s="22" t="str">
        <f aca="false">customer_churn_dataset!B201</f>
        <v>Basic</v>
      </c>
      <c r="C431" s="22" t="str">
        <f aca="false">customer_churn_dataset!C201</f>
        <v>One year</v>
      </c>
      <c r="D431" s="0" t="n">
        <f aca="false">INDEX(customer_churn_dataset!$E$2:$E$1501,MATCH($A432,customer_churn_dataset!$A$2:$A$1501,0))</f>
        <v>68</v>
      </c>
      <c r="E431" s="0" t="n">
        <f aca="false">INDEX(customer_churn_dataset!$I$2:$I$1501,MATCH($A432,customer_churn_dataset!$A$2:$A$1501,0))</f>
        <v>42.9</v>
      </c>
      <c r="F431" s="0" t="n">
        <f aca="false">INDEX(customer_churn_dataset!$L$2:$L$1501,MATCH($A432,customer_churn_dataset!$A$2:$A$1501,0))</f>
        <v>3</v>
      </c>
      <c r="G431" s="0" t="str">
        <f aca="false">IF(INDEX(customer_churn_dataset!$M$2:$M$1501,MATCH($A432,customer_churn_dataset!$A$2:$A$1501,0))=1,"Yes","No")</f>
        <v>No</v>
      </c>
      <c r="H431" s="0" t="n">
        <f aca="false">INDEX(customer_churn_dataset!$N$2:$N$1501,MATCH($A432,customer_churn_dataset!$A$2:$A$1501,0))</f>
        <v>554.88</v>
      </c>
      <c r="I431" s="0" t="n">
        <f aca="false">INDEX(customer_churn_dataset!$O$2:$O$1501,MATCH($A432,customer_churn_dataset!$A$2:$A$1501,0))</f>
        <v>0</v>
      </c>
      <c r="J431" s="0" t="n">
        <f aca="false">INDEX(customer_churn_dataset!$T$2:$T$1501,MATCH($A432,customer_churn_dataset!$A$2:$A$1501,0))</f>
        <v>4</v>
      </c>
      <c r="K431" s="0" t="str">
        <f aca="false">INDEX(customer_churn_dataset!$V$2:$V$1501,MATCH($A432,customer_churn_dataset!$A$2:$A$1501,0))</f>
        <v>Medium Risk</v>
      </c>
    </row>
    <row r="432" customFormat="false" ht="12.8" hidden="true" customHeight="false" outlineLevel="0" collapsed="false">
      <c r="A432" s="22" t="str">
        <f aca="false">customer_churn_dataset!A202</f>
        <v>CUST100593</v>
      </c>
      <c r="B432" s="22" t="str">
        <f aca="false">customer_churn_dataset!B202</f>
        <v>Basic</v>
      </c>
      <c r="C432" s="22" t="str">
        <f aca="false">customer_churn_dataset!C202</f>
        <v>Month-to-month</v>
      </c>
      <c r="D432" s="0" t="n">
        <f aca="false">INDEX(customer_churn_dataset!$E$2:$E$1501,MATCH($A433,customer_churn_dataset!$A$2:$A$1501,0))</f>
        <v>3</v>
      </c>
      <c r="E432" s="0" t="n">
        <f aca="false">INDEX(customer_churn_dataset!$I$2:$I$1501,MATCH($A433,customer_churn_dataset!$A$2:$A$1501,0))</f>
        <v>21.1</v>
      </c>
      <c r="F432" s="0" t="n">
        <f aca="false">INDEX(customer_churn_dataset!$L$2:$L$1501,MATCH($A433,customer_churn_dataset!$A$2:$A$1501,0))</f>
        <v>4</v>
      </c>
      <c r="G432" s="0" t="str">
        <f aca="false">IF(INDEX(customer_churn_dataset!$M$2:$M$1501,MATCH($A433,customer_churn_dataset!$A$2:$A$1501,0))=1,"Yes","No")</f>
        <v>No</v>
      </c>
      <c r="H432" s="0" t="n">
        <f aca="false">INDEX(customer_churn_dataset!$N$2:$N$1501,MATCH($A433,customer_churn_dataset!$A$2:$A$1501,0))</f>
        <v>55.77</v>
      </c>
      <c r="I432" s="0" t="n">
        <f aca="false">INDEX(customer_churn_dataset!$O$2:$O$1501,MATCH($A433,customer_churn_dataset!$A$2:$A$1501,0))</f>
        <v>0</v>
      </c>
      <c r="J432" s="0" t="n">
        <f aca="false">INDEX(customer_churn_dataset!$T$2:$T$1501,MATCH($A433,customer_churn_dataset!$A$2:$A$1501,0))</f>
        <v>5</v>
      </c>
      <c r="K432" s="0" t="str">
        <f aca="false">INDEX(customer_churn_dataset!$V$2:$V$1501,MATCH($A433,customer_churn_dataset!$A$2:$A$1501,0))</f>
        <v>Medium Risk</v>
      </c>
    </row>
    <row r="433" customFormat="false" ht="12.8" hidden="true" customHeight="false" outlineLevel="0" collapsed="false">
      <c r="A433" s="22" t="str">
        <f aca="false">customer_churn_dataset!A203</f>
        <v>CUST100048</v>
      </c>
      <c r="B433" s="22" t="str">
        <f aca="false">customer_churn_dataset!B203</f>
        <v>Standard</v>
      </c>
      <c r="C433" s="22" t="str">
        <f aca="false">customer_churn_dataset!C203</f>
        <v>One year</v>
      </c>
      <c r="D433" s="0" t="n">
        <f aca="false">INDEX(customer_churn_dataset!$E$2:$E$1501,MATCH($A434,customer_churn_dataset!$A$2:$A$1501,0))</f>
        <v>6</v>
      </c>
      <c r="E433" s="0" t="n">
        <f aca="false">INDEX(customer_churn_dataset!$I$2:$I$1501,MATCH($A434,customer_churn_dataset!$A$2:$A$1501,0))</f>
        <v>83</v>
      </c>
      <c r="F433" s="0" t="n">
        <f aca="false">INDEX(customer_churn_dataset!$L$2:$L$1501,MATCH($A434,customer_churn_dataset!$A$2:$A$1501,0))</f>
        <v>1</v>
      </c>
      <c r="G433" s="0" t="str">
        <f aca="false">IF(INDEX(customer_churn_dataset!$M$2:$M$1501,MATCH($A434,customer_churn_dataset!$A$2:$A$1501,0))=1,"Yes","No")</f>
        <v>Yes</v>
      </c>
      <c r="H433" s="0" t="n">
        <f aca="false">INDEX(customer_churn_dataset!$N$2:$N$1501,MATCH($A434,customer_churn_dataset!$A$2:$A$1501,0))</f>
        <v>128.16</v>
      </c>
      <c r="I433" s="0" t="n">
        <f aca="false">INDEX(customer_churn_dataset!$O$2:$O$1501,MATCH($A434,customer_churn_dataset!$A$2:$A$1501,0))</f>
        <v>1</v>
      </c>
      <c r="J433" s="0" t="n">
        <f aca="false">INDEX(customer_churn_dataset!$T$2:$T$1501,MATCH($A434,customer_churn_dataset!$A$2:$A$1501,0))</f>
        <v>6</v>
      </c>
      <c r="K433" s="0" t="str">
        <f aca="false">INDEX(customer_churn_dataset!$V$2:$V$1501,MATCH($A434,customer_churn_dataset!$A$2:$A$1501,0))</f>
        <v>High Risk</v>
      </c>
    </row>
    <row r="434" customFormat="false" ht="12.8" hidden="true" customHeight="false" outlineLevel="0" collapsed="false">
      <c r="A434" s="22" t="str">
        <f aca="false">customer_churn_dataset!A213</f>
        <v>CUST100595</v>
      </c>
      <c r="B434" s="22" t="str">
        <f aca="false">customer_churn_dataset!B213</f>
        <v>Standard</v>
      </c>
      <c r="C434" s="22" t="str">
        <f aca="false">customer_churn_dataset!C213</f>
        <v>Month-to-month</v>
      </c>
      <c r="D434" s="0" t="n">
        <f aca="false">INDEX(customer_churn_dataset!$E$2:$E$1501,MATCH($A435,customer_churn_dataset!$A$2:$A$1501,0))</f>
        <v>2</v>
      </c>
      <c r="E434" s="0" t="n">
        <f aca="false">INDEX(customer_churn_dataset!$I$2:$I$1501,MATCH($A435,customer_churn_dataset!$A$2:$A$1501,0))</f>
        <v>75.2</v>
      </c>
      <c r="F434" s="0" t="n">
        <f aca="false">INDEX(customer_churn_dataset!$L$2:$L$1501,MATCH($A435,customer_churn_dataset!$A$2:$A$1501,0))</f>
        <v>1</v>
      </c>
      <c r="G434" s="0" t="str">
        <f aca="false">IF(INDEX(customer_churn_dataset!$M$2:$M$1501,MATCH($A435,customer_churn_dataset!$A$2:$A$1501,0))=1,"Yes","No")</f>
        <v>Yes</v>
      </c>
      <c r="H434" s="0" t="n">
        <f aca="false">INDEX(customer_churn_dataset!$N$2:$N$1501,MATCH($A435,customer_churn_dataset!$A$2:$A$1501,0))</f>
        <v>18.68</v>
      </c>
      <c r="I434" s="0" t="n">
        <f aca="false">INDEX(customer_churn_dataset!$O$2:$O$1501,MATCH($A435,customer_churn_dataset!$A$2:$A$1501,0))</f>
        <v>0</v>
      </c>
      <c r="J434" s="0" t="n">
        <f aca="false">INDEX(customer_churn_dataset!$T$2:$T$1501,MATCH($A435,customer_churn_dataset!$A$2:$A$1501,0))</f>
        <v>5</v>
      </c>
      <c r="K434" s="0" t="str">
        <f aca="false">INDEX(customer_churn_dataset!$V$2:$V$1501,MATCH($A435,customer_churn_dataset!$A$2:$A$1501,0))</f>
        <v>Medium Risk</v>
      </c>
    </row>
    <row r="435" customFormat="false" ht="12.8" hidden="true" customHeight="false" outlineLevel="0" collapsed="false">
      <c r="A435" s="22" t="str">
        <f aca="false">customer_churn_dataset!A214</f>
        <v>CUST100690</v>
      </c>
      <c r="B435" s="22" t="str">
        <f aca="false">customer_churn_dataset!B214</f>
        <v>Basic</v>
      </c>
      <c r="C435" s="22" t="str">
        <f aca="false">customer_churn_dataset!C214</f>
        <v>One year</v>
      </c>
      <c r="D435" s="0" t="n">
        <f aca="false">INDEX(customer_churn_dataset!$E$2:$E$1501,MATCH($A436,customer_churn_dataset!$A$2:$A$1501,0))</f>
        <v>2</v>
      </c>
      <c r="E435" s="0" t="n">
        <f aca="false">INDEX(customer_churn_dataset!$I$2:$I$1501,MATCH($A436,customer_churn_dataset!$A$2:$A$1501,0))</f>
        <v>64.4</v>
      </c>
      <c r="F435" s="0" t="n">
        <f aca="false">INDEX(customer_churn_dataset!$L$2:$L$1501,MATCH($A436,customer_churn_dataset!$A$2:$A$1501,0))</f>
        <v>1</v>
      </c>
      <c r="G435" s="0" t="str">
        <f aca="false">IF(INDEX(customer_churn_dataset!$M$2:$M$1501,MATCH($A436,customer_churn_dataset!$A$2:$A$1501,0))=1,"Yes","No")</f>
        <v>Yes</v>
      </c>
      <c r="H435" s="0" t="n">
        <f aca="false">INDEX(customer_churn_dataset!$N$2:$N$1501,MATCH($A436,customer_churn_dataset!$A$2:$A$1501,0))</f>
        <v>18.32</v>
      </c>
      <c r="I435" s="0" t="n">
        <f aca="false">INDEX(customer_churn_dataset!$O$2:$O$1501,MATCH($A436,customer_churn_dataset!$A$2:$A$1501,0))</f>
        <v>0</v>
      </c>
      <c r="J435" s="0" t="n">
        <f aca="false">INDEX(customer_churn_dataset!$T$2:$T$1501,MATCH($A436,customer_churn_dataset!$A$2:$A$1501,0))</f>
        <v>6</v>
      </c>
      <c r="K435" s="0" t="str">
        <f aca="false">INDEX(customer_churn_dataset!$V$2:$V$1501,MATCH($A436,customer_churn_dataset!$A$2:$A$1501,0))</f>
        <v>High Risk</v>
      </c>
    </row>
    <row r="436" customFormat="false" ht="12.8" hidden="true" customHeight="false" outlineLevel="0" collapsed="false">
      <c r="A436" s="22" t="str">
        <f aca="false">customer_churn_dataset!A222</f>
        <v>CUST101345</v>
      </c>
      <c r="B436" s="22" t="str">
        <f aca="false">customer_churn_dataset!B222</f>
        <v>Basic</v>
      </c>
      <c r="C436" s="22" t="str">
        <f aca="false">customer_churn_dataset!C222</f>
        <v>Month-to-month</v>
      </c>
      <c r="D436" s="0" t="n">
        <f aca="false">INDEX(customer_churn_dataset!$E$2:$E$1501,MATCH($A437,customer_churn_dataset!$A$2:$A$1501,0))</f>
        <v>40</v>
      </c>
      <c r="E436" s="0" t="n">
        <f aca="false">INDEX(customer_churn_dataset!$I$2:$I$1501,MATCH($A437,customer_churn_dataset!$A$2:$A$1501,0))</f>
        <v>47.3</v>
      </c>
      <c r="F436" s="0" t="n">
        <f aca="false">INDEX(customer_churn_dataset!$L$2:$L$1501,MATCH($A437,customer_churn_dataset!$A$2:$A$1501,0))</f>
        <v>2</v>
      </c>
      <c r="G436" s="0" t="str">
        <f aca="false">IF(INDEX(customer_churn_dataset!$M$2:$M$1501,MATCH($A437,customer_churn_dataset!$A$2:$A$1501,0))=1,"Yes","No")</f>
        <v>Yes</v>
      </c>
      <c r="H436" s="0" t="n">
        <f aca="false">INDEX(customer_churn_dataset!$N$2:$N$1501,MATCH($A437,customer_churn_dataset!$A$2:$A$1501,0))</f>
        <v>429.2</v>
      </c>
      <c r="I436" s="0" t="n">
        <f aca="false">INDEX(customer_churn_dataset!$O$2:$O$1501,MATCH($A437,customer_churn_dataset!$A$2:$A$1501,0))</f>
        <v>0</v>
      </c>
      <c r="J436" s="0" t="n">
        <f aca="false">INDEX(customer_churn_dataset!$T$2:$T$1501,MATCH($A437,customer_churn_dataset!$A$2:$A$1501,0))</f>
        <v>6</v>
      </c>
      <c r="K436" s="0" t="str">
        <f aca="false">INDEX(customer_churn_dataset!$V$2:$V$1501,MATCH($A437,customer_churn_dataset!$A$2:$A$1501,0))</f>
        <v>High Risk</v>
      </c>
    </row>
    <row r="437" customFormat="false" ht="12.8" hidden="true" customHeight="false" outlineLevel="0" collapsed="false">
      <c r="A437" s="22" t="str">
        <f aca="false">customer_churn_dataset!A227</f>
        <v>CUST100954</v>
      </c>
      <c r="B437" s="22" t="str">
        <f aca="false">customer_churn_dataset!B227</f>
        <v>Basic</v>
      </c>
      <c r="C437" s="22" t="str">
        <f aca="false">customer_churn_dataset!C227</f>
        <v>One year</v>
      </c>
      <c r="D437" s="0" t="n">
        <f aca="false">INDEX(customer_churn_dataset!$E$2:$E$1501,MATCH($A438,customer_churn_dataset!$A$2:$A$1501,0))</f>
        <v>9</v>
      </c>
      <c r="E437" s="0" t="n">
        <f aca="false">INDEX(customer_churn_dataset!$I$2:$I$1501,MATCH($A438,customer_churn_dataset!$A$2:$A$1501,0))</f>
        <v>53.5</v>
      </c>
      <c r="F437" s="0" t="n">
        <f aca="false">INDEX(customer_churn_dataset!$L$2:$L$1501,MATCH($A438,customer_churn_dataset!$A$2:$A$1501,0))</f>
        <v>1</v>
      </c>
      <c r="G437" s="0" t="str">
        <f aca="false">IF(INDEX(customer_churn_dataset!$M$2:$M$1501,MATCH($A438,customer_churn_dataset!$A$2:$A$1501,0))=1,"Yes","No")</f>
        <v>Yes</v>
      </c>
      <c r="H437" s="0" t="n">
        <f aca="false">INDEX(customer_churn_dataset!$N$2:$N$1501,MATCH($A438,customer_churn_dataset!$A$2:$A$1501,0))</f>
        <v>176.58</v>
      </c>
      <c r="I437" s="0" t="n">
        <f aca="false">INDEX(customer_churn_dataset!$O$2:$O$1501,MATCH($A438,customer_churn_dataset!$A$2:$A$1501,0))</f>
        <v>1</v>
      </c>
      <c r="J437" s="0" t="n">
        <f aca="false">INDEX(customer_churn_dataset!$T$2:$T$1501,MATCH($A438,customer_churn_dataset!$A$2:$A$1501,0))</f>
        <v>7</v>
      </c>
      <c r="K437" s="0" t="str">
        <f aca="false">INDEX(customer_churn_dataset!$V$2:$V$1501,MATCH($A438,customer_churn_dataset!$A$2:$A$1501,0))</f>
        <v>High Risk</v>
      </c>
    </row>
    <row r="438" customFormat="false" ht="12.8" hidden="false" customHeight="false" outlineLevel="0" collapsed="false">
      <c r="A438" s="23" t="str">
        <f aca="false">customer_churn_dataset!A230</f>
        <v>CUST100321</v>
      </c>
      <c r="B438" s="24" t="str">
        <f aca="false">customer_churn_dataset!B230</f>
        <v>Standard</v>
      </c>
      <c r="C438" s="24" t="str">
        <f aca="false">customer_churn_dataset!C230</f>
        <v>Month-to-month</v>
      </c>
      <c r="D438" s="25" t="n">
        <f aca="false">INDEX(customer_churn_dataset!$E$2:$E$1501,MATCH($A439,customer_churn_dataset!$A$2:$A$1501,0))</f>
        <v>8</v>
      </c>
      <c r="E438" s="25" t="n">
        <f aca="false">INDEX(customer_churn_dataset!$I$2:$I$1501,MATCH($A439,customer_churn_dataset!$A$2:$A$1501,0))</f>
        <v>36.5</v>
      </c>
      <c r="F438" s="25" t="n">
        <f aca="false">INDEX(customer_churn_dataset!$L$2:$L$1501,MATCH($A439,customer_churn_dataset!$A$2:$A$1501,0))</f>
        <v>3</v>
      </c>
      <c r="G438" s="25" t="str">
        <f aca="false">IF(INDEX(customer_churn_dataset!$M$2:$M$1501,MATCH($A439,customer_churn_dataset!$A$2:$A$1501,0))=1,"Yes","No")</f>
        <v>Yes</v>
      </c>
      <c r="H438" s="25" t="n">
        <f aca="false">INDEX(customer_churn_dataset!$N$2:$N$1501,MATCH($A439,customer_churn_dataset!$A$2:$A$1501,0))</f>
        <v>88.56</v>
      </c>
      <c r="I438" s="25" t="n">
        <f aca="false">INDEX(customer_churn_dataset!$O$2:$O$1501,MATCH($A439,customer_churn_dataset!$A$2:$A$1501,0))</f>
        <v>0</v>
      </c>
      <c r="J438" s="25" t="n">
        <f aca="false">INDEX(customer_churn_dataset!$T$2:$T$1501,MATCH($A439,customer_churn_dataset!$A$2:$A$1501,0))</f>
        <v>8</v>
      </c>
      <c r="K438" s="25" t="str">
        <f aca="false">INDEX(customer_churn_dataset!$V$2:$V$1501,MATCH($A439,customer_churn_dataset!$A$2:$A$1501,0))</f>
        <v>High Risk</v>
      </c>
    </row>
    <row r="439" customFormat="false" ht="12.8" hidden="true" customHeight="false" outlineLevel="0" collapsed="false">
      <c r="A439" s="22" t="str">
        <f aca="false">customer_churn_dataset!A233</f>
        <v>CUST100465</v>
      </c>
      <c r="B439" s="22" t="str">
        <f aca="false">customer_churn_dataset!B233</f>
        <v>Basic</v>
      </c>
      <c r="C439" s="22" t="str">
        <f aca="false">customer_churn_dataset!C233</f>
        <v>One year</v>
      </c>
      <c r="D439" s="0" t="n">
        <f aca="false">INDEX(customer_churn_dataset!$E$2:$E$1501,MATCH($A440,customer_churn_dataset!$A$2:$A$1501,0))</f>
        <v>26</v>
      </c>
      <c r="E439" s="0" t="n">
        <f aca="false">INDEX(customer_churn_dataset!$I$2:$I$1501,MATCH($A440,customer_churn_dataset!$A$2:$A$1501,0))</f>
        <v>45.8</v>
      </c>
      <c r="F439" s="0" t="n">
        <f aca="false">INDEX(customer_churn_dataset!$L$2:$L$1501,MATCH($A440,customer_churn_dataset!$A$2:$A$1501,0))</f>
        <v>2</v>
      </c>
      <c r="G439" s="0" t="str">
        <f aca="false">IF(INDEX(customer_churn_dataset!$M$2:$M$1501,MATCH($A440,customer_churn_dataset!$A$2:$A$1501,0))=1,"Yes","No")</f>
        <v>No</v>
      </c>
      <c r="H439" s="0" t="n">
        <f aca="false">INDEX(customer_churn_dataset!$N$2:$N$1501,MATCH($A440,customer_churn_dataset!$A$2:$A$1501,0))</f>
        <v>1078.74</v>
      </c>
      <c r="I439" s="0" t="n">
        <f aca="false">INDEX(customer_churn_dataset!$O$2:$O$1501,MATCH($A440,customer_churn_dataset!$A$2:$A$1501,0))</f>
        <v>0</v>
      </c>
      <c r="J439" s="0" t="n">
        <f aca="false">INDEX(customer_churn_dataset!$T$2:$T$1501,MATCH($A440,customer_churn_dataset!$A$2:$A$1501,0))</f>
        <v>3</v>
      </c>
      <c r="K439" s="0" t="str">
        <f aca="false">INDEX(customer_churn_dataset!$V$2:$V$1501,MATCH($A440,customer_churn_dataset!$A$2:$A$1501,0))</f>
        <v>Medium Risk</v>
      </c>
    </row>
    <row r="440" customFormat="false" ht="12.8" hidden="true" customHeight="false" outlineLevel="0" collapsed="false">
      <c r="A440" s="22" t="str">
        <f aca="false">customer_churn_dataset!A234</f>
        <v>CUST100247</v>
      </c>
      <c r="B440" s="22" t="str">
        <f aca="false">customer_churn_dataset!B234</f>
        <v>Premium</v>
      </c>
      <c r="C440" s="22" t="str">
        <f aca="false">customer_churn_dataset!C234</f>
        <v>One year</v>
      </c>
      <c r="D440" s="0" t="n">
        <f aca="false">INDEX(customer_churn_dataset!$E$2:$E$1501,MATCH($A441,customer_churn_dataset!$A$2:$A$1501,0))</f>
        <v>3</v>
      </c>
      <c r="E440" s="0" t="n">
        <f aca="false">INDEX(customer_churn_dataset!$I$2:$I$1501,MATCH($A441,customer_churn_dataset!$A$2:$A$1501,0))</f>
        <v>55.4</v>
      </c>
      <c r="F440" s="0" t="n">
        <f aca="false">INDEX(customer_churn_dataset!$L$2:$L$1501,MATCH($A441,customer_churn_dataset!$A$2:$A$1501,0))</f>
        <v>0</v>
      </c>
      <c r="G440" s="0" t="str">
        <f aca="false">IF(INDEX(customer_churn_dataset!$M$2:$M$1501,MATCH($A441,customer_churn_dataset!$A$2:$A$1501,0))=1,"Yes","No")</f>
        <v>No</v>
      </c>
      <c r="H440" s="0" t="n">
        <f aca="false">INDEX(customer_churn_dataset!$N$2:$N$1501,MATCH($A441,customer_churn_dataset!$A$2:$A$1501,0))</f>
        <v>61.92</v>
      </c>
      <c r="I440" s="0" t="n">
        <f aca="false">INDEX(customer_churn_dataset!$O$2:$O$1501,MATCH($A441,customer_churn_dataset!$A$2:$A$1501,0))</f>
        <v>1</v>
      </c>
      <c r="J440" s="0" t="n">
        <f aca="false">INDEX(customer_churn_dataset!$T$2:$T$1501,MATCH($A441,customer_churn_dataset!$A$2:$A$1501,0))</f>
        <v>3</v>
      </c>
      <c r="K440" s="0" t="str">
        <f aca="false">INDEX(customer_churn_dataset!$V$2:$V$1501,MATCH($A441,customer_churn_dataset!$A$2:$A$1501,0))</f>
        <v>Medium Risk</v>
      </c>
    </row>
    <row r="441" customFormat="false" ht="12.8" hidden="true" customHeight="false" outlineLevel="0" collapsed="false">
      <c r="A441" s="22" t="str">
        <f aca="false">customer_churn_dataset!A235</f>
        <v>CUST101138</v>
      </c>
      <c r="B441" s="22" t="str">
        <f aca="false">customer_churn_dataset!B235</f>
        <v>Standard</v>
      </c>
      <c r="C441" s="22" t="str">
        <f aca="false">customer_churn_dataset!C235</f>
        <v>Month-to-month</v>
      </c>
      <c r="D441" s="0" t="n">
        <f aca="false">INDEX(customer_churn_dataset!$E$2:$E$1501,MATCH($A442,customer_churn_dataset!$A$2:$A$1501,0))</f>
        <v>0</v>
      </c>
      <c r="E441" s="0" t="n">
        <f aca="false">INDEX(customer_churn_dataset!$I$2:$I$1501,MATCH($A442,customer_churn_dataset!$A$2:$A$1501,0))</f>
        <v>72.9</v>
      </c>
      <c r="F441" s="0" t="n">
        <f aca="false">INDEX(customer_churn_dataset!$L$2:$L$1501,MATCH($A442,customer_churn_dataset!$A$2:$A$1501,0))</f>
        <v>2</v>
      </c>
      <c r="G441" s="0" t="str">
        <f aca="false">IF(INDEX(customer_churn_dataset!$M$2:$M$1501,MATCH($A442,customer_churn_dataset!$A$2:$A$1501,0))=1,"Yes","No")</f>
        <v>Yes</v>
      </c>
      <c r="H441" s="0" t="n">
        <f aca="false">INDEX(customer_churn_dataset!$N$2:$N$1501,MATCH($A442,customer_churn_dataset!$A$2:$A$1501,0))</f>
        <v>0</v>
      </c>
      <c r="I441" s="0" t="n">
        <f aca="false">INDEX(customer_churn_dataset!$O$2:$O$1501,MATCH($A442,customer_churn_dataset!$A$2:$A$1501,0))</f>
        <v>0</v>
      </c>
      <c r="J441" s="0" t="n">
        <f aca="false">INDEX(customer_churn_dataset!$T$2:$T$1501,MATCH($A442,customer_churn_dataset!$A$2:$A$1501,0))</f>
        <v>6</v>
      </c>
      <c r="K441" s="0" t="str">
        <f aca="false">INDEX(customer_churn_dataset!$V$2:$V$1501,MATCH($A442,customer_churn_dataset!$A$2:$A$1501,0))</f>
        <v>High Risk</v>
      </c>
    </row>
    <row r="442" customFormat="false" ht="12.8" hidden="true" customHeight="false" outlineLevel="0" collapsed="false">
      <c r="A442" s="22" t="str">
        <f aca="false">customer_churn_dataset!A248</f>
        <v>CUST101464</v>
      </c>
      <c r="B442" s="22" t="str">
        <f aca="false">customer_churn_dataset!B248</f>
        <v>Premium</v>
      </c>
      <c r="C442" s="22" t="str">
        <f aca="false">customer_churn_dataset!C248</f>
        <v>One year</v>
      </c>
      <c r="D442" s="0" t="n">
        <f aca="false">INDEX(customer_churn_dataset!$E$2:$E$1501,MATCH($A443,customer_churn_dataset!$A$2:$A$1501,0))</f>
        <v>1</v>
      </c>
      <c r="E442" s="0" t="n">
        <f aca="false">INDEX(customer_churn_dataset!$I$2:$I$1501,MATCH($A443,customer_churn_dataset!$A$2:$A$1501,0))</f>
        <v>65.4</v>
      </c>
      <c r="F442" s="0" t="n">
        <f aca="false">INDEX(customer_churn_dataset!$L$2:$L$1501,MATCH($A443,customer_churn_dataset!$A$2:$A$1501,0))</f>
        <v>2</v>
      </c>
      <c r="G442" s="0" t="str">
        <f aca="false">IF(INDEX(customer_churn_dataset!$M$2:$M$1501,MATCH($A443,customer_churn_dataset!$A$2:$A$1501,0))=1,"Yes","No")</f>
        <v>No</v>
      </c>
      <c r="H442" s="0" t="n">
        <f aca="false">INDEX(customer_churn_dataset!$N$2:$N$1501,MATCH($A443,customer_churn_dataset!$A$2:$A$1501,0))</f>
        <v>21.89</v>
      </c>
      <c r="I442" s="0" t="n">
        <f aca="false">INDEX(customer_churn_dataset!$O$2:$O$1501,MATCH($A443,customer_churn_dataset!$A$2:$A$1501,0))</f>
        <v>0</v>
      </c>
      <c r="J442" s="0" t="n">
        <f aca="false">INDEX(customer_churn_dataset!$T$2:$T$1501,MATCH($A443,customer_churn_dataset!$A$2:$A$1501,0))</f>
        <v>2</v>
      </c>
      <c r="K442" s="0" t="str">
        <f aca="false">INDEX(customer_churn_dataset!$V$2:$V$1501,MATCH($A443,customer_churn_dataset!$A$2:$A$1501,0))</f>
        <v>Low Risk</v>
      </c>
    </row>
    <row r="443" customFormat="false" ht="12.8" hidden="true" customHeight="false" outlineLevel="0" collapsed="false">
      <c r="A443" s="22" t="str">
        <f aca="false">customer_churn_dataset!A251</f>
        <v>CUST100547</v>
      </c>
      <c r="B443" s="22" t="str">
        <f aca="false">customer_churn_dataset!B251</f>
        <v>Standard</v>
      </c>
      <c r="C443" s="22" t="str">
        <f aca="false">customer_churn_dataset!C251</f>
        <v>Two year</v>
      </c>
      <c r="D443" s="0" t="n">
        <f aca="false">INDEX(customer_churn_dataset!$E$2:$E$1501,MATCH($A444,customer_churn_dataset!$A$2:$A$1501,0))</f>
        <v>7</v>
      </c>
      <c r="E443" s="0" t="n">
        <f aca="false">INDEX(customer_churn_dataset!$I$2:$I$1501,MATCH($A444,customer_churn_dataset!$A$2:$A$1501,0))</f>
        <v>31.9</v>
      </c>
      <c r="F443" s="0" t="n">
        <f aca="false">INDEX(customer_churn_dataset!$L$2:$L$1501,MATCH($A444,customer_churn_dataset!$A$2:$A$1501,0))</f>
        <v>3</v>
      </c>
      <c r="G443" s="0" t="str">
        <f aca="false">IF(INDEX(customer_churn_dataset!$M$2:$M$1501,MATCH($A444,customer_churn_dataset!$A$2:$A$1501,0))=1,"Yes","No")</f>
        <v>No</v>
      </c>
      <c r="H443" s="0" t="n">
        <f aca="false">INDEX(customer_churn_dataset!$N$2:$N$1501,MATCH($A444,customer_churn_dataset!$A$2:$A$1501,0))</f>
        <v>146.51</v>
      </c>
      <c r="I443" s="0" t="n">
        <f aca="false">INDEX(customer_churn_dataset!$O$2:$O$1501,MATCH($A444,customer_churn_dataset!$A$2:$A$1501,0))</f>
        <v>1</v>
      </c>
      <c r="J443" s="0" t="n">
        <f aca="false">INDEX(customer_churn_dataset!$T$2:$T$1501,MATCH($A444,customer_churn_dataset!$A$2:$A$1501,0))</f>
        <v>5</v>
      </c>
      <c r="K443" s="0" t="str">
        <f aca="false">INDEX(customer_churn_dataset!$V$2:$V$1501,MATCH($A444,customer_churn_dataset!$A$2:$A$1501,0))</f>
        <v>Medium Risk</v>
      </c>
    </row>
    <row r="444" customFormat="false" ht="12.8" hidden="true" customHeight="false" outlineLevel="0" collapsed="false">
      <c r="A444" s="22" t="str">
        <f aca="false">customer_churn_dataset!A252</f>
        <v>CUST100849</v>
      </c>
      <c r="B444" s="22" t="str">
        <f aca="false">customer_churn_dataset!B252</f>
        <v>Standard</v>
      </c>
      <c r="C444" s="22" t="str">
        <f aca="false">customer_churn_dataset!C252</f>
        <v>One year</v>
      </c>
      <c r="D444" s="0" t="n">
        <f aca="false">INDEX(customer_churn_dataset!$E$2:$E$1501,MATCH($A445,customer_churn_dataset!$A$2:$A$1501,0))</f>
        <v>0</v>
      </c>
      <c r="E444" s="0" t="n">
        <f aca="false">INDEX(customer_churn_dataset!$I$2:$I$1501,MATCH($A445,customer_churn_dataset!$A$2:$A$1501,0))</f>
        <v>30.2</v>
      </c>
      <c r="F444" s="0" t="n">
        <f aca="false">INDEX(customer_churn_dataset!$L$2:$L$1501,MATCH($A445,customer_churn_dataset!$A$2:$A$1501,0))</f>
        <v>2</v>
      </c>
      <c r="G444" s="0" t="str">
        <f aca="false">IF(INDEX(customer_churn_dataset!$M$2:$M$1501,MATCH($A445,customer_churn_dataset!$A$2:$A$1501,0))=1,"Yes","No")</f>
        <v>No</v>
      </c>
      <c r="H444" s="0" t="n">
        <f aca="false">INDEX(customer_churn_dataset!$N$2:$N$1501,MATCH($A445,customer_churn_dataset!$A$2:$A$1501,0))</f>
        <v>0</v>
      </c>
      <c r="I444" s="0" t="n">
        <f aca="false">INDEX(customer_churn_dataset!$O$2:$O$1501,MATCH($A445,customer_churn_dataset!$A$2:$A$1501,0))</f>
        <v>1</v>
      </c>
      <c r="J444" s="0" t="n">
        <f aca="false">INDEX(customer_churn_dataset!$T$2:$T$1501,MATCH($A445,customer_churn_dataset!$A$2:$A$1501,0))</f>
        <v>6</v>
      </c>
      <c r="K444" s="0" t="str">
        <f aca="false">INDEX(customer_churn_dataset!$V$2:$V$1501,MATCH($A445,customer_churn_dataset!$A$2:$A$1501,0))</f>
        <v>High Risk</v>
      </c>
    </row>
    <row r="445" customFormat="false" ht="12.8" hidden="true" customHeight="false" outlineLevel="0" collapsed="false">
      <c r="A445" s="22" t="str">
        <f aca="false">customer_churn_dataset!A257</f>
        <v>CUST100112</v>
      </c>
      <c r="B445" s="22" t="str">
        <f aca="false">customer_churn_dataset!B257</f>
        <v>Premium</v>
      </c>
      <c r="C445" s="22" t="str">
        <f aca="false">customer_churn_dataset!C257</f>
        <v>Month-to-month</v>
      </c>
      <c r="D445" s="0" t="n">
        <f aca="false">INDEX(customer_churn_dataset!$E$2:$E$1501,MATCH($A446,customer_churn_dataset!$A$2:$A$1501,0))</f>
        <v>16</v>
      </c>
      <c r="E445" s="0" t="n">
        <f aca="false">INDEX(customer_churn_dataset!$I$2:$I$1501,MATCH($A446,customer_churn_dataset!$A$2:$A$1501,0))</f>
        <v>28.2</v>
      </c>
      <c r="F445" s="0" t="n">
        <f aca="false">INDEX(customer_churn_dataset!$L$2:$L$1501,MATCH($A446,customer_churn_dataset!$A$2:$A$1501,0))</f>
        <v>2</v>
      </c>
      <c r="G445" s="0" t="str">
        <f aca="false">IF(INDEX(customer_churn_dataset!$M$2:$M$1501,MATCH($A446,customer_churn_dataset!$A$2:$A$1501,0))=1,"Yes","No")</f>
        <v>Yes</v>
      </c>
      <c r="H445" s="0" t="n">
        <f aca="false">INDEX(customer_churn_dataset!$N$2:$N$1501,MATCH($A446,customer_churn_dataset!$A$2:$A$1501,0))</f>
        <v>155.68</v>
      </c>
      <c r="I445" s="0" t="n">
        <f aca="false">INDEX(customer_churn_dataset!$O$2:$O$1501,MATCH($A446,customer_churn_dataset!$A$2:$A$1501,0))</f>
        <v>0</v>
      </c>
      <c r="J445" s="0" t="n">
        <f aca="false">INDEX(customer_churn_dataset!$T$2:$T$1501,MATCH($A446,customer_churn_dataset!$A$2:$A$1501,0))</f>
        <v>7</v>
      </c>
      <c r="K445" s="0" t="str">
        <f aca="false">INDEX(customer_churn_dataset!$V$2:$V$1501,MATCH($A446,customer_churn_dataset!$A$2:$A$1501,0))</f>
        <v>High Risk</v>
      </c>
    </row>
    <row r="446" customFormat="false" ht="12.8" hidden="true" customHeight="false" outlineLevel="0" collapsed="false">
      <c r="A446" s="22" t="str">
        <f aca="false">customer_churn_dataset!A266</f>
        <v>CUST100963</v>
      </c>
      <c r="B446" s="22" t="str">
        <f aca="false">customer_churn_dataset!B266</f>
        <v>Basic</v>
      </c>
      <c r="C446" s="22" t="str">
        <f aca="false">customer_churn_dataset!C266</f>
        <v>One year</v>
      </c>
      <c r="D446" s="0" t="n">
        <f aca="false">INDEX(customer_churn_dataset!$E$2:$E$1501,MATCH($A447,customer_churn_dataset!$A$2:$A$1501,0))</f>
        <v>8</v>
      </c>
      <c r="E446" s="0" t="n">
        <f aca="false">INDEX(customer_churn_dataset!$I$2:$I$1501,MATCH($A447,customer_churn_dataset!$A$2:$A$1501,0))</f>
        <v>43.7</v>
      </c>
      <c r="F446" s="0" t="n">
        <f aca="false">INDEX(customer_churn_dataset!$L$2:$L$1501,MATCH($A447,customer_churn_dataset!$A$2:$A$1501,0))</f>
        <v>2</v>
      </c>
      <c r="G446" s="0" t="str">
        <f aca="false">IF(INDEX(customer_churn_dataset!$M$2:$M$1501,MATCH($A447,customer_churn_dataset!$A$2:$A$1501,0))=1,"Yes","No")</f>
        <v>No</v>
      </c>
      <c r="H446" s="0" t="n">
        <f aca="false">INDEX(customer_churn_dataset!$N$2:$N$1501,MATCH($A447,customer_churn_dataset!$A$2:$A$1501,0))</f>
        <v>79.44</v>
      </c>
      <c r="I446" s="0" t="n">
        <f aca="false">INDEX(customer_churn_dataset!$O$2:$O$1501,MATCH($A447,customer_churn_dataset!$A$2:$A$1501,0))</f>
        <v>0</v>
      </c>
      <c r="J446" s="0" t="n">
        <f aca="false">INDEX(customer_churn_dataset!$T$2:$T$1501,MATCH($A447,customer_churn_dataset!$A$2:$A$1501,0))</f>
        <v>5</v>
      </c>
      <c r="K446" s="0" t="str">
        <f aca="false">INDEX(customer_churn_dataset!$V$2:$V$1501,MATCH($A447,customer_churn_dataset!$A$2:$A$1501,0))</f>
        <v>Medium Risk</v>
      </c>
    </row>
    <row r="447" customFormat="false" ht="12.8" hidden="true" customHeight="false" outlineLevel="0" collapsed="false">
      <c r="A447" s="22" t="str">
        <f aca="false">customer_churn_dataset!A267</f>
        <v>CUST100641</v>
      </c>
      <c r="B447" s="22" t="str">
        <f aca="false">customer_churn_dataset!B267</f>
        <v>Basic</v>
      </c>
      <c r="C447" s="22" t="str">
        <f aca="false">customer_churn_dataset!C267</f>
        <v>Month-to-month</v>
      </c>
      <c r="D447" s="0" t="n">
        <f aca="false">INDEX(customer_churn_dataset!$E$2:$E$1501,MATCH($A448,customer_churn_dataset!$A$2:$A$1501,0))</f>
        <v>54</v>
      </c>
      <c r="E447" s="0" t="n">
        <f aca="false">INDEX(customer_churn_dataset!$I$2:$I$1501,MATCH($A448,customer_churn_dataset!$A$2:$A$1501,0))</f>
        <v>66.1</v>
      </c>
      <c r="F447" s="0" t="n">
        <f aca="false">INDEX(customer_churn_dataset!$L$2:$L$1501,MATCH($A448,customer_churn_dataset!$A$2:$A$1501,0))</f>
        <v>3</v>
      </c>
      <c r="G447" s="0" t="str">
        <f aca="false">IF(INDEX(customer_churn_dataset!$M$2:$M$1501,MATCH($A448,customer_churn_dataset!$A$2:$A$1501,0))=1,"Yes","No")</f>
        <v>No</v>
      </c>
      <c r="H447" s="0" t="n">
        <f aca="false">INDEX(customer_churn_dataset!$N$2:$N$1501,MATCH($A448,customer_churn_dataset!$A$2:$A$1501,0))</f>
        <v>1120.5</v>
      </c>
      <c r="I447" s="0" t="n">
        <f aca="false">INDEX(customer_churn_dataset!$O$2:$O$1501,MATCH($A448,customer_churn_dataset!$A$2:$A$1501,0))</f>
        <v>0</v>
      </c>
      <c r="J447" s="0" t="n">
        <f aca="false">INDEX(customer_churn_dataset!$T$2:$T$1501,MATCH($A448,customer_churn_dataset!$A$2:$A$1501,0))</f>
        <v>1</v>
      </c>
      <c r="K447" s="0" t="str">
        <f aca="false">INDEX(customer_churn_dataset!$V$2:$V$1501,MATCH($A448,customer_churn_dataset!$A$2:$A$1501,0))</f>
        <v>Low Risk</v>
      </c>
    </row>
    <row r="448" customFormat="false" ht="12.8" hidden="true" customHeight="false" outlineLevel="0" collapsed="false">
      <c r="A448" s="22" t="str">
        <f aca="false">customer_churn_dataset!A275</f>
        <v>CUST100623</v>
      </c>
      <c r="B448" s="22" t="str">
        <f aca="false">customer_churn_dataset!B275</f>
        <v>Standard</v>
      </c>
      <c r="C448" s="22" t="str">
        <f aca="false">customer_churn_dataset!C275</f>
        <v>Two year</v>
      </c>
      <c r="D448" s="0" t="n">
        <f aca="false">INDEX(customer_churn_dataset!$E$2:$E$1501,MATCH($A449,customer_churn_dataset!$A$2:$A$1501,0))</f>
        <v>5</v>
      </c>
      <c r="E448" s="0" t="n">
        <f aca="false">INDEX(customer_churn_dataset!$I$2:$I$1501,MATCH($A449,customer_churn_dataset!$A$2:$A$1501,0))</f>
        <v>77.7</v>
      </c>
      <c r="F448" s="0" t="n">
        <f aca="false">INDEX(customer_churn_dataset!$L$2:$L$1501,MATCH($A449,customer_churn_dataset!$A$2:$A$1501,0))</f>
        <v>1</v>
      </c>
      <c r="G448" s="0" t="str">
        <f aca="false">IF(INDEX(customer_churn_dataset!$M$2:$M$1501,MATCH($A449,customer_churn_dataset!$A$2:$A$1501,0))=1,"Yes","No")</f>
        <v>Yes</v>
      </c>
      <c r="H448" s="0" t="n">
        <f aca="false">INDEX(customer_churn_dataset!$N$2:$N$1501,MATCH($A449,customer_churn_dataset!$A$2:$A$1501,0))</f>
        <v>104.7</v>
      </c>
      <c r="I448" s="0" t="n">
        <f aca="false">INDEX(customer_churn_dataset!$O$2:$O$1501,MATCH($A449,customer_churn_dataset!$A$2:$A$1501,0))</f>
        <v>0</v>
      </c>
      <c r="J448" s="0" t="n">
        <f aca="false">INDEX(customer_churn_dataset!$T$2:$T$1501,MATCH($A449,customer_churn_dataset!$A$2:$A$1501,0))</f>
        <v>5</v>
      </c>
      <c r="K448" s="0" t="str">
        <f aca="false">INDEX(customer_churn_dataset!$V$2:$V$1501,MATCH($A449,customer_churn_dataset!$A$2:$A$1501,0))</f>
        <v>Medium Risk</v>
      </c>
    </row>
    <row r="449" customFormat="false" ht="12.8" hidden="true" customHeight="false" outlineLevel="0" collapsed="false">
      <c r="A449" s="22" t="str">
        <f aca="false">customer_churn_dataset!A276</f>
        <v>CUST100824</v>
      </c>
      <c r="B449" s="22" t="str">
        <f aca="false">customer_churn_dataset!B276</f>
        <v>Standard</v>
      </c>
      <c r="C449" s="22" t="str">
        <f aca="false">customer_churn_dataset!C276</f>
        <v>One year</v>
      </c>
      <c r="D449" s="0" t="n">
        <f aca="false">INDEX(customer_churn_dataset!$E$2:$E$1501,MATCH($A450,customer_churn_dataset!$A$2:$A$1501,0))</f>
        <v>11</v>
      </c>
      <c r="E449" s="0" t="n">
        <f aca="false">INDEX(customer_churn_dataset!$I$2:$I$1501,MATCH($A450,customer_churn_dataset!$A$2:$A$1501,0))</f>
        <v>70.9</v>
      </c>
      <c r="F449" s="0" t="n">
        <f aca="false">INDEX(customer_churn_dataset!$L$2:$L$1501,MATCH($A450,customer_churn_dataset!$A$2:$A$1501,0))</f>
        <v>3</v>
      </c>
      <c r="G449" s="0" t="str">
        <f aca="false">IF(INDEX(customer_churn_dataset!$M$2:$M$1501,MATCH($A450,customer_churn_dataset!$A$2:$A$1501,0))=1,"Yes","No")</f>
        <v>No</v>
      </c>
      <c r="H449" s="0" t="n">
        <f aca="false">INDEX(customer_churn_dataset!$N$2:$N$1501,MATCH($A450,customer_churn_dataset!$A$2:$A$1501,0))</f>
        <v>436.26</v>
      </c>
      <c r="I449" s="0" t="n">
        <f aca="false">INDEX(customer_churn_dataset!$O$2:$O$1501,MATCH($A450,customer_churn_dataset!$A$2:$A$1501,0))</f>
        <v>0</v>
      </c>
      <c r="J449" s="0" t="n">
        <f aca="false">INDEX(customer_churn_dataset!$T$2:$T$1501,MATCH($A450,customer_churn_dataset!$A$2:$A$1501,0))</f>
        <v>3</v>
      </c>
      <c r="K449" s="0" t="str">
        <f aca="false">INDEX(customer_churn_dataset!$V$2:$V$1501,MATCH($A450,customer_churn_dataset!$A$2:$A$1501,0))</f>
        <v>Medium Risk</v>
      </c>
    </row>
    <row r="450" customFormat="false" ht="12.8" hidden="true" customHeight="false" outlineLevel="0" collapsed="false">
      <c r="A450" s="22" t="str">
        <f aca="false">customer_churn_dataset!A277</f>
        <v>CUST101342</v>
      </c>
      <c r="B450" s="22" t="str">
        <f aca="false">customer_churn_dataset!B277</f>
        <v>Premium</v>
      </c>
      <c r="C450" s="22" t="str">
        <f aca="false">customer_churn_dataset!C277</f>
        <v>One year</v>
      </c>
      <c r="D450" s="0" t="n">
        <f aca="false">INDEX(customer_churn_dataset!$E$2:$E$1501,MATCH($A451,customer_churn_dataset!$A$2:$A$1501,0))</f>
        <v>2</v>
      </c>
      <c r="E450" s="0" t="n">
        <f aca="false">INDEX(customer_churn_dataset!$I$2:$I$1501,MATCH($A451,customer_churn_dataset!$A$2:$A$1501,0))</f>
        <v>29.9</v>
      </c>
      <c r="F450" s="0" t="n">
        <f aca="false">INDEX(customer_churn_dataset!$L$2:$L$1501,MATCH($A451,customer_churn_dataset!$A$2:$A$1501,0))</f>
        <v>1</v>
      </c>
      <c r="G450" s="0" t="str">
        <f aca="false">IF(INDEX(customer_churn_dataset!$M$2:$M$1501,MATCH($A451,customer_churn_dataset!$A$2:$A$1501,0))=1,"Yes","No")</f>
        <v>No</v>
      </c>
      <c r="H450" s="0" t="n">
        <f aca="false">INDEX(customer_churn_dataset!$N$2:$N$1501,MATCH($A451,customer_churn_dataset!$A$2:$A$1501,0))</f>
        <v>19.08</v>
      </c>
      <c r="I450" s="0" t="n">
        <f aca="false">INDEX(customer_churn_dataset!$O$2:$O$1501,MATCH($A451,customer_churn_dataset!$A$2:$A$1501,0))</f>
        <v>0</v>
      </c>
      <c r="J450" s="0" t="n">
        <f aca="false">INDEX(customer_churn_dataset!$T$2:$T$1501,MATCH($A451,customer_churn_dataset!$A$2:$A$1501,0))</f>
        <v>4</v>
      </c>
      <c r="K450" s="0" t="str">
        <f aca="false">INDEX(customer_churn_dataset!$V$2:$V$1501,MATCH($A451,customer_churn_dataset!$A$2:$A$1501,0))</f>
        <v>Medium Risk</v>
      </c>
    </row>
    <row r="451" customFormat="false" ht="12.8" hidden="true" customHeight="false" outlineLevel="0" collapsed="false">
      <c r="A451" s="22" t="str">
        <f aca="false">customer_churn_dataset!A278</f>
        <v>CUST100466</v>
      </c>
      <c r="B451" s="22" t="str">
        <f aca="false">customer_churn_dataset!B278</f>
        <v>Basic</v>
      </c>
      <c r="C451" s="22" t="str">
        <f aca="false">customer_churn_dataset!C278</f>
        <v>One year</v>
      </c>
      <c r="D451" s="0" t="n">
        <f aca="false">INDEX(customer_churn_dataset!$E$2:$E$1501,MATCH($A452,customer_churn_dataset!$A$2:$A$1501,0))</f>
        <v>39</v>
      </c>
      <c r="E451" s="0" t="n">
        <f aca="false">INDEX(customer_churn_dataset!$I$2:$I$1501,MATCH($A452,customer_churn_dataset!$A$2:$A$1501,0))</f>
        <v>29.3</v>
      </c>
      <c r="F451" s="0" t="n">
        <f aca="false">INDEX(customer_churn_dataset!$L$2:$L$1501,MATCH($A452,customer_churn_dataset!$A$2:$A$1501,0))</f>
        <v>0</v>
      </c>
      <c r="G451" s="0" t="str">
        <f aca="false">IF(INDEX(customer_churn_dataset!$M$2:$M$1501,MATCH($A452,customer_churn_dataset!$A$2:$A$1501,0))=1,"Yes","No")</f>
        <v>No</v>
      </c>
      <c r="H451" s="0" t="n">
        <f aca="false">INDEX(customer_churn_dataset!$N$2:$N$1501,MATCH($A452,customer_churn_dataset!$A$2:$A$1501,0))</f>
        <v>363.48</v>
      </c>
      <c r="I451" s="0" t="n">
        <f aca="false">INDEX(customer_churn_dataset!$O$2:$O$1501,MATCH($A452,customer_churn_dataset!$A$2:$A$1501,0))</f>
        <v>0</v>
      </c>
      <c r="J451" s="0" t="n">
        <f aca="false">INDEX(customer_churn_dataset!$T$2:$T$1501,MATCH($A452,customer_churn_dataset!$A$2:$A$1501,0))</f>
        <v>4</v>
      </c>
      <c r="K451" s="0" t="str">
        <f aca="false">INDEX(customer_churn_dataset!$V$2:$V$1501,MATCH($A452,customer_churn_dataset!$A$2:$A$1501,0))</f>
        <v>Medium Risk</v>
      </c>
    </row>
    <row r="452" customFormat="false" ht="12.8" hidden="true" customHeight="false" outlineLevel="0" collapsed="false">
      <c r="A452" s="22" t="str">
        <f aca="false">customer_churn_dataset!A279</f>
        <v>CUST100216</v>
      </c>
      <c r="B452" s="22" t="str">
        <f aca="false">customer_churn_dataset!B279</f>
        <v>Basic</v>
      </c>
      <c r="C452" s="22" t="str">
        <f aca="false">customer_churn_dataset!C279</f>
        <v>Month-to-month</v>
      </c>
      <c r="D452" s="0" t="n">
        <f aca="false">INDEX(customer_churn_dataset!$E$2:$E$1501,MATCH($A453,customer_churn_dataset!$A$2:$A$1501,0))</f>
        <v>72</v>
      </c>
      <c r="E452" s="0" t="n">
        <f aca="false">INDEX(customer_churn_dataset!$I$2:$I$1501,MATCH($A453,customer_churn_dataset!$A$2:$A$1501,0))</f>
        <v>73</v>
      </c>
      <c r="F452" s="0" t="n">
        <f aca="false">INDEX(customer_churn_dataset!$L$2:$L$1501,MATCH($A453,customer_churn_dataset!$A$2:$A$1501,0))</f>
        <v>2</v>
      </c>
      <c r="G452" s="0" t="str">
        <f aca="false">IF(INDEX(customer_churn_dataset!$M$2:$M$1501,MATCH($A453,customer_churn_dataset!$A$2:$A$1501,0))=1,"Yes","No")</f>
        <v>No</v>
      </c>
      <c r="H452" s="0" t="n">
        <f aca="false">INDEX(customer_churn_dataset!$N$2:$N$1501,MATCH($A453,customer_churn_dataset!$A$2:$A$1501,0))</f>
        <v>771.12</v>
      </c>
      <c r="I452" s="0" t="n">
        <f aca="false">INDEX(customer_churn_dataset!$O$2:$O$1501,MATCH($A453,customer_churn_dataset!$A$2:$A$1501,0))</f>
        <v>0</v>
      </c>
      <c r="J452" s="0" t="n">
        <f aca="false">INDEX(customer_churn_dataset!$T$2:$T$1501,MATCH($A453,customer_churn_dataset!$A$2:$A$1501,0))</f>
        <v>1</v>
      </c>
      <c r="K452" s="0" t="str">
        <f aca="false">INDEX(customer_churn_dataset!$V$2:$V$1501,MATCH($A453,customer_churn_dataset!$A$2:$A$1501,0))</f>
        <v>Low Risk</v>
      </c>
    </row>
    <row r="453" customFormat="false" ht="12.8" hidden="true" customHeight="false" outlineLevel="0" collapsed="false">
      <c r="A453" s="22" t="str">
        <f aca="false">customer_churn_dataset!A286</f>
        <v>CUST100243</v>
      </c>
      <c r="B453" s="22" t="str">
        <f aca="false">customer_churn_dataset!B286</f>
        <v>Basic</v>
      </c>
      <c r="C453" s="22" t="str">
        <f aca="false">customer_churn_dataset!C286</f>
        <v>Two year</v>
      </c>
      <c r="D453" s="0" t="n">
        <f aca="false">INDEX(customer_churn_dataset!$E$2:$E$1501,MATCH($A454,customer_churn_dataset!$A$2:$A$1501,0))</f>
        <v>72</v>
      </c>
      <c r="E453" s="0" t="n">
        <f aca="false">INDEX(customer_churn_dataset!$I$2:$I$1501,MATCH($A454,customer_churn_dataset!$A$2:$A$1501,0))</f>
        <v>79.9</v>
      </c>
      <c r="F453" s="0" t="n">
        <f aca="false">INDEX(customer_churn_dataset!$L$2:$L$1501,MATCH($A454,customer_churn_dataset!$A$2:$A$1501,0))</f>
        <v>3</v>
      </c>
      <c r="G453" s="0" t="str">
        <f aca="false">IF(INDEX(customer_churn_dataset!$M$2:$M$1501,MATCH($A454,customer_churn_dataset!$A$2:$A$1501,0))=1,"Yes","No")</f>
        <v>No</v>
      </c>
      <c r="H453" s="0" t="n">
        <f aca="false">INDEX(customer_churn_dataset!$N$2:$N$1501,MATCH($A454,customer_churn_dataset!$A$2:$A$1501,0))</f>
        <v>1409.76</v>
      </c>
      <c r="I453" s="0" t="n">
        <f aca="false">INDEX(customer_churn_dataset!$O$2:$O$1501,MATCH($A454,customer_churn_dataset!$A$2:$A$1501,0))</f>
        <v>0</v>
      </c>
      <c r="J453" s="0" t="n">
        <f aca="false">INDEX(customer_churn_dataset!$T$2:$T$1501,MATCH($A454,customer_churn_dataset!$A$2:$A$1501,0))</f>
        <v>3</v>
      </c>
      <c r="K453" s="0" t="str">
        <f aca="false">INDEX(customer_churn_dataset!$V$2:$V$1501,MATCH($A454,customer_churn_dataset!$A$2:$A$1501,0))</f>
        <v>Medium Risk</v>
      </c>
    </row>
    <row r="454" customFormat="false" ht="12.8" hidden="true" customHeight="false" outlineLevel="0" collapsed="false">
      <c r="A454" s="22" t="str">
        <f aca="false">customer_churn_dataset!A287</f>
        <v>CUST100881</v>
      </c>
      <c r="B454" s="22" t="str">
        <f aca="false">customer_churn_dataset!B287</f>
        <v>Standard</v>
      </c>
      <c r="C454" s="22" t="str">
        <f aca="false">customer_churn_dataset!C287</f>
        <v>Month-to-month</v>
      </c>
      <c r="D454" s="0" t="n">
        <f aca="false">INDEX(customer_churn_dataset!$E$2:$E$1501,MATCH($A455,customer_churn_dataset!$A$2:$A$1501,0))</f>
        <v>23</v>
      </c>
      <c r="E454" s="0" t="n">
        <f aca="false">INDEX(customer_churn_dataset!$I$2:$I$1501,MATCH($A455,customer_churn_dataset!$A$2:$A$1501,0))</f>
        <v>70.1</v>
      </c>
      <c r="F454" s="0" t="n">
        <f aca="false">INDEX(customer_churn_dataset!$L$2:$L$1501,MATCH($A455,customer_churn_dataset!$A$2:$A$1501,0))</f>
        <v>1</v>
      </c>
      <c r="G454" s="0" t="str">
        <f aca="false">IF(INDEX(customer_churn_dataset!$M$2:$M$1501,MATCH($A455,customer_churn_dataset!$A$2:$A$1501,0))=1,"Yes","No")</f>
        <v>Yes</v>
      </c>
      <c r="H454" s="0" t="n">
        <f aca="false">INDEX(customer_churn_dataset!$N$2:$N$1501,MATCH($A455,customer_churn_dataset!$A$2:$A$1501,0))</f>
        <v>224.71</v>
      </c>
      <c r="I454" s="0" t="n">
        <f aca="false">INDEX(customer_churn_dataset!$O$2:$O$1501,MATCH($A455,customer_churn_dataset!$A$2:$A$1501,0))</f>
        <v>0</v>
      </c>
      <c r="J454" s="0" t="n">
        <f aca="false">INDEX(customer_churn_dataset!$T$2:$T$1501,MATCH($A455,customer_churn_dataset!$A$2:$A$1501,0))</f>
        <v>4</v>
      </c>
      <c r="K454" s="0" t="str">
        <f aca="false">INDEX(customer_churn_dataset!$V$2:$V$1501,MATCH($A455,customer_churn_dataset!$A$2:$A$1501,0))</f>
        <v>Medium Risk</v>
      </c>
    </row>
    <row r="455" customFormat="false" ht="12.8" hidden="true" customHeight="false" outlineLevel="0" collapsed="false">
      <c r="A455" s="22" t="str">
        <f aca="false">customer_churn_dataset!A288</f>
        <v>CUST100189</v>
      </c>
      <c r="B455" s="22" t="str">
        <f aca="false">customer_churn_dataset!B288</f>
        <v>Basic</v>
      </c>
      <c r="C455" s="22" t="str">
        <f aca="false">customer_churn_dataset!C288</f>
        <v>One year</v>
      </c>
      <c r="D455" s="0" t="n">
        <f aca="false">INDEX(customer_churn_dataset!$E$2:$E$1501,MATCH($A456,customer_churn_dataset!$A$2:$A$1501,0))</f>
        <v>30</v>
      </c>
      <c r="E455" s="0" t="n">
        <f aca="false">INDEX(customer_churn_dataset!$I$2:$I$1501,MATCH($A456,customer_churn_dataset!$A$2:$A$1501,0))</f>
        <v>83.4</v>
      </c>
      <c r="F455" s="0" t="n">
        <f aca="false">INDEX(customer_churn_dataset!$L$2:$L$1501,MATCH($A456,customer_churn_dataset!$A$2:$A$1501,0))</f>
        <v>1</v>
      </c>
      <c r="G455" s="0" t="str">
        <f aca="false">IF(INDEX(customer_churn_dataset!$M$2:$M$1501,MATCH($A456,customer_churn_dataset!$A$2:$A$1501,0))=1,"Yes","No")</f>
        <v>No</v>
      </c>
      <c r="H455" s="0" t="n">
        <f aca="false">INDEX(customer_churn_dataset!$N$2:$N$1501,MATCH($A456,customer_churn_dataset!$A$2:$A$1501,0))</f>
        <v>1226.4</v>
      </c>
      <c r="I455" s="0" t="n">
        <f aca="false">INDEX(customer_churn_dataset!$O$2:$O$1501,MATCH($A456,customer_churn_dataset!$A$2:$A$1501,0))</f>
        <v>1</v>
      </c>
      <c r="J455" s="0" t="n">
        <f aca="false">INDEX(customer_churn_dataset!$T$2:$T$1501,MATCH($A456,customer_churn_dataset!$A$2:$A$1501,0))</f>
        <v>2</v>
      </c>
      <c r="K455" s="0" t="str">
        <f aca="false">INDEX(customer_churn_dataset!$V$2:$V$1501,MATCH($A456,customer_churn_dataset!$A$2:$A$1501,0))</f>
        <v>Low Risk</v>
      </c>
    </row>
    <row r="456" customFormat="false" ht="12.8" hidden="true" customHeight="false" outlineLevel="0" collapsed="false">
      <c r="A456" s="22" t="str">
        <f aca="false">customer_churn_dataset!A294</f>
        <v>CUST101149</v>
      </c>
      <c r="B456" s="22" t="str">
        <f aca="false">customer_churn_dataset!B294</f>
        <v>Premium</v>
      </c>
      <c r="C456" s="22" t="str">
        <f aca="false">customer_churn_dataset!C294</f>
        <v>Month-to-month</v>
      </c>
      <c r="D456" s="0" t="n">
        <f aca="false">INDEX(customer_churn_dataset!$E$2:$E$1501,MATCH($A457,customer_churn_dataset!$A$2:$A$1501,0))</f>
        <v>15</v>
      </c>
      <c r="E456" s="0" t="n">
        <f aca="false">INDEX(customer_churn_dataset!$I$2:$I$1501,MATCH($A457,customer_churn_dataset!$A$2:$A$1501,0))</f>
        <v>68.2</v>
      </c>
      <c r="F456" s="0" t="n">
        <f aca="false">INDEX(customer_churn_dataset!$L$2:$L$1501,MATCH($A457,customer_churn_dataset!$A$2:$A$1501,0))</f>
        <v>1</v>
      </c>
      <c r="G456" s="0" t="str">
        <f aca="false">IF(INDEX(customer_churn_dataset!$M$2:$M$1501,MATCH($A457,customer_churn_dataset!$A$2:$A$1501,0))=1,"Yes","No")</f>
        <v>Yes</v>
      </c>
      <c r="H456" s="0" t="n">
        <f aca="false">INDEX(customer_churn_dataset!$N$2:$N$1501,MATCH($A457,customer_churn_dataset!$A$2:$A$1501,0))</f>
        <v>584.85</v>
      </c>
      <c r="I456" s="0" t="n">
        <f aca="false">INDEX(customer_churn_dataset!$O$2:$O$1501,MATCH($A457,customer_churn_dataset!$A$2:$A$1501,0))</f>
        <v>0</v>
      </c>
      <c r="J456" s="0" t="n">
        <f aca="false">INDEX(customer_churn_dataset!$T$2:$T$1501,MATCH($A457,customer_churn_dataset!$A$2:$A$1501,0))</f>
        <v>5</v>
      </c>
      <c r="K456" s="0" t="str">
        <f aca="false">INDEX(customer_churn_dataset!$V$2:$V$1501,MATCH($A457,customer_churn_dataset!$A$2:$A$1501,0))</f>
        <v>Medium Risk</v>
      </c>
    </row>
    <row r="457" customFormat="false" ht="12.8" hidden="true" customHeight="false" outlineLevel="0" collapsed="false">
      <c r="A457" s="22" t="str">
        <f aca="false">customer_churn_dataset!A295</f>
        <v>CUST100953</v>
      </c>
      <c r="B457" s="22" t="str">
        <f aca="false">customer_churn_dataset!B295</f>
        <v>Premium</v>
      </c>
      <c r="C457" s="22" t="str">
        <f aca="false">customer_churn_dataset!C295</f>
        <v>Month-to-month</v>
      </c>
      <c r="D457" s="0" t="n">
        <f aca="false">INDEX(customer_churn_dataset!$E$2:$E$1501,MATCH($A458,customer_churn_dataset!$A$2:$A$1501,0))</f>
        <v>6</v>
      </c>
      <c r="E457" s="0" t="n">
        <f aca="false">INDEX(customer_churn_dataset!$I$2:$I$1501,MATCH($A458,customer_churn_dataset!$A$2:$A$1501,0))</f>
        <v>54.6</v>
      </c>
      <c r="F457" s="0" t="n">
        <f aca="false">INDEX(customer_churn_dataset!$L$2:$L$1501,MATCH($A458,customer_churn_dataset!$A$2:$A$1501,0))</f>
        <v>1</v>
      </c>
      <c r="G457" s="0" t="str">
        <f aca="false">IF(INDEX(customer_churn_dataset!$M$2:$M$1501,MATCH($A458,customer_churn_dataset!$A$2:$A$1501,0))=1,"Yes","No")</f>
        <v>No</v>
      </c>
      <c r="H457" s="0" t="n">
        <f aca="false">INDEX(customer_churn_dataset!$N$2:$N$1501,MATCH($A458,customer_churn_dataset!$A$2:$A$1501,0))</f>
        <v>117.48</v>
      </c>
      <c r="I457" s="0" t="n">
        <f aca="false">INDEX(customer_churn_dataset!$O$2:$O$1501,MATCH($A458,customer_churn_dataset!$A$2:$A$1501,0))</f>
        <v>0</v>
      </c>
      <c r="J457" s="0" t="n">
        <f aca="false">INDEX(customer_churn_dataset!$T$2:$T$1501,MATCH($A458,customer_churn_dataset!$A$2:$A$1501,0))</f>
        <v>3</v>
      </c>
      <c r="K457" s="0" t="str">
        <f aca="false">INDEX(customer_churn_dataset!$V$2:$V$1501,MATCH($A458,customer_churn_dataset!$A$2:$A$1501,0))</f>
        <v>Medium Risk</v>
      </c>
    </row>
    <row r="458" customFormat="false" ht="12.8" hidden="false" customHeight="false" outlineLevel="0" collapsed="false">
      <c r="A458" s="23" t="str">
        <f aca="false">customer_churn_dataset!A296</f>
        <v>CUST101218</v>
      </c>
      <c r="B458" s="24" t="str">
        <f aca="false">customer_churn_dataset!B296</f>
        <v>Standard</v>
      </c>
      <c r="C458" s="24" t="str">
        <f aca="false">customer_churn_dataset!C296</f>
        <v>One year</v>
      </c>
      <c r="D458" s="25" t="n">
        <f aca="false">INDEX(customer_churn_dataset!$E$2:$E$1501,MATCH($A459,customer_churn_dataset!$A$2:$A$1501,0))</f>
        <v>1</v>
      </c>
      <c r="E458" s="25" t="n">
        <f aca="false">INDEX(customer_churn_dataset!$I$2:$I$1501,MATCH($A459,customer_churn_dataset!$A$2:$A$1501,0))</f>
        <v>26.6</v>
      </c>
      <c r="F458" s="25" t="n">
        <f aca="false">INDEX(customer_churn_dataset!$L$2:$L$1501,MATCH($A459,customer_churn_dataset!$A$2:$A$1501,0))</f>
        <v>4</v>
      </c>
      <c r="G458" s="25" t="str">
        <f aca="false">IF(INDEX(customer_churn_dataset!$M$2:$M$1501,MATCH($A459,customer_churn_dataset!$A$2:$A$1501,0))=1,"Yes","No")</f>
        <v>Yes</v>
      </c>
      <c r="H458" s="25" t="n">
        <f aca="false">INDEX(customer_churn_dataset!$N$2:$N$1501,MATCH($A459,customer_churn_dataset!$A$2:$A$1501,0))</f>
        <v>20.92</v>
      </c>
      <c r="I458" s="25" t="n">
        <f aca="false">INDEX(customer_churn_dataset!$O$2:$O$1501,MATCH($A459,customer_churn_dataset!$A$2:$A$1501,0))</f>
        <v>0</v>
      </c>
      <c r="J458" s="25" t="n">
        <f aca="false">INDEX(customer_churn_dataset!$T$2:$T$1501,MATCH($A459,customer_churn_dataset!$A$2:$A$1501,0))</f>
        <v>9</v>
      </c>
      <c r="K458" s="25" t="str">
        <f aca="false">INDEX(customer_churn_dataset!$V$2:$V$1501,MATCH($A459,customer_churn_dataset!$A$2:$A$1501,0))</f>
        <v>High Risk</v>
      </c>
    </row>
    <row r="459" customFormat="false" ht="12.8" hidden="true" customHeight="false" outlineLevel="0" collapsed="false">
      <c r="A459" s="22" t="str">
        <f aca="false">customer_churn_dataset!A300</f>
        <v>CUST100187</v>
      </c>
      <c r="B459" s="22" t="str">
        <f aca="false">customer_churn_dataset!B300</f>
        <v>Standard</v>
      </c>
      <c r="C459" s="22" t="str">
        <f aca="false">customer_churn_dataset!C300</f>
        <v>Month-to-month</v>
      </c>
      <c r="D459" s="0" t="n">
        <f aca="false">INDEX(customer_churn_dataset!$E$2:$E$1501,MATCH($A460,customer_churn_dataset!$A$2:$A$1501,0))</f>
        <v>1</v>
      </c>
      <c r="E459" s="0" t="n">
        <f aca="false">INDEX(customer_churn_dataset!$I$2:$I$1501,MATCH($A460,customer_churn_dataset!$A$2:$A$1501,0))</f>
        <v>65.2</v>
      </c>
      <c r="F459" s="0" t="n">
        <f aca="false">INDEX(customer_churn_dataset!$L$2:$L$1501,MATCH($A460,customer_churn_dataset!$A$2:$A$1501,0))</f>
        <v>3</v>
      </c>
      <c r="G459" s="0" t="str">
        <f aca="false">IF(INDEX(customer_churn_dataset!$M$2:$M$1501,MATCH($A460,customer_churn_dataset!$A$2:$A$1501,0))=1,"Yes","No")</f>
        <v>No</v>
      </c>
      <c r="H459" s="0" t="n">
        <f aca="false">INDEX(customer_churn_dataset!$N$2:$N$1501,MATCH($A460,customer_churn_dataset!$A$2:$A$1501,0))</f>
        <v>10.29</v>
      </c>
      <c r="I459" s="0" t="n">
        <f aca="false">INDEX(customer_churn_dataset!$O$2:$O$1501,MATCH($A460,customer_churn_dataset!$A$2:$A$1501,0))</f>
        <v>0</v>
      </c>
      <c r="J459" s="0" t="n">
        <f aca="false">INDEX(customer_churn_dataset!$T$2:$T$1501,MATCH($A460,customer_churn_dataset!$A$2:$A$1501,0))</f>
        <v>4</v>
      </c>
      <c r="K459" s="0" t="str">
        <f aca="false">INDEX(customer_churn_dataset!$V$2:$V$1501,MATCH($A460,customer_churn_dataset!$A$2:$A$1501,0))</f>
        <v>Medium Risk</v>
      </c>
    </row>
    <row r="460" customFormat="false" ht="12.8" hidden="true" customHeight="false" outlineLevel="0" collapsed="false">
      <c r="A460" s="22" t="str">
        <f aca="false">customer_churn_dataset!A301</f>
        <v>CUST100225</v>
      </c>
      <c r="B460" s="22" t="str">
        <f aca="false">customer_churn_dataset!B301</f>
        <v>Basic</v>
      </c>
      <c r="C460" s="22" t="str">
        <f aca="false">customer_churn_dataset!C301</f>
        <v>Month-to-month</v>
      </c>
      <c r="D460" s="0" t="n">
        <f aca="false">INDEX(customer_churn_dataset!$E$2:$E$1501,MATCH($A461,customer_churn_dataset!$A$2:$A$1501,0))</f>
        <v>6</v>
      </c>
      <c r="E460" s="0" t="n">
        <f aca="false">INDEX(customer_churn_dataset!$I$2:$I$1501,MATCH($A461,customer_churn_dataset!$A$2:$A$1501,0))</f>
        <v>73</v>
      </c>
      <c r="F460" s="0" t="n">
        <f aca="false">INDEX(customer_churn_dataset!$L$2:$L$1501,MATCH($A461,customer_churn_dataset!$A$2:$A$1501,0))</f>
        <v>3</v>
      </c>
      <c r="G460" s="0" t="str">
        <f aca="false">IF(INDEX(customer_churn_dataset!$M$2:$M$1501,MATCH($A461,customer_churn_dataset!$A$2:$A$1501,0))=1,"Yes","No")</f>
        <v>No</v>
      </c>
      <c r="H460" s="0" t="n">
        <f aca="false">INDEX(customer_churn_dataset!$N$2:$N$1501,MATCH($A461,customer_churn_dataset!$A$2:$A$1501,0))</f>
        <v>60.3</v>
      </c>
      <c r="I460" s="0" t="n">
        <f aca="false">INDEX(customer_churn_dataset!$O$2:$O$1501,MATCH($A461,customer_churn_dataset!$A$2:$A$1501,0))</f>
        <v>0</v>
      </c>
      <c r="J460" s="0" t="n">
        <f aca="false">INDEX(customer_churn_dataset!$T$2:$T$1501,MATCH($A461,customer_churn_dataset!$A$2:$A$1501,0))</f>
        <v>2</v>
      </c>
      <c r="K460" s="0" t="str">
        <f aca="false">INDEX(customer_churn_dataset!$V$2:$V$1501,MATCH($A461,customer_churn_dataset!$A$2:$A$1501,0))</f>
        <v>Low Risk</v>
      </c>
    </row>
    <row r="461" customFormat="false" ht="12.8" hidden="true" customHeight="false" outlineLevel="0" collapsed="false">
      <c r="A461" s="22" t="str">
        <f aca="false">customer_churn_dataset!A306</f>
        <v>CUST100160</v>
      </c>
      <c r="B461" s="22" t="str">
        <f aca="false">customer_churn_dataset!B306</f>
        <v>Basic</v>
      </c>
      <c r="C461" s="22" t="str">
        <f aca="false">customer_churn_dataset!C306</f>
        <v>Two year</v>
      </c>
      <c r="D461" s="0" t="n">
        <f aca="false">INDEX(customer_churn_dataset!$E$2:$E$1501,MATCH($A462,customer_churn_dataset!$A$2:$A$1501,0))</f>
        <v>72</v>
      </c>
      <c r="E461" s="0" t="n">
        <f aca="false">INDEX(customer_churn_dataset!$I$2:$I$1501,MATCH($A462,customer_churn_dataset!$A$2:$A$1501,0))</f>
        <v>71.4</v>
      </c>
      <c r="F461" s="0" t="n">
        <f aca="false">INDEX(customer_churn_dataset!$L$2:$L$1501,MATCH($A462,customer_churn_dataset!$A$2:$A$1501,0))</f>
        <v>0</v>
      </c>
      <c r="G461" s="0" t="str">
        <f aca="false">IF(INDEX(customer_churn_dataset!$M$2:$M$1501,MATCH($A462,customer_churn_dataset!$A$2:$A$1501,0))=1,"Yes","No")</f>
        <v>No</v>
      </c>
      <c r="H461" s="0" t="n">
        <f aca="false">INDEX(customer_churn_dataset!$N$2:$N$1501,MATCH($A462,customer_churn_dataset!$A$2:$A$1501,0))</f>
        <v>1476</v>
      </c>
      <c r="I461" s="0" t="n">
        <f aca="false">INDEX(customer_churn_dataset!$O$2:$O$1501,MATCH($A462,customer_churn_dataset!$A$2:$A$1501,0))</f>
        <v>0</v>
      </c>
      <c r="J461" s="0" t="n">
        <f aca="false">INDEX(customer_churn_dataset!$T$2:$T$1501,MATCH($A462,customer_churn_dataset!$A$2:$A$1501,0))</f>
        <v>1</v>
      </c>
      <c r="K461" s="0" t="str">
        <f aca="false">INDEX(customer_churn_dataset!$V$2:$V$1501,MATCH($A462,customer_churn_dataset!$A$2:$A$1501,0))</f>
        <v>Low Risk</v>
      </c>
    </row>
    <row r="462" customFormat="false" ht="12.8" hidden="true" customHeight="false" outlineLevel="0" collapsed="false">
      <c r="A462" s="22" t="str">
        <f aca="false">customer_churn_dataset!A309</f>
        <v>CUST100560</v>
      </c>
      <c r="B462" s="22" t="str">
        <f aca="false">customer_churn_dataset!B309</f>
        <v>Standard</v>
      </c>
      <c r="C462" s="22" t="str">
        <f aca="false">customer_churn_dataset!C309</f>
        <v>One year</v>
      </c>
      <c r="D462" s="0" t="n">
        <f aca="false">INDEX(customer_churn_dataset!$E$2:$E$1501,MATCH($A463,customer_churn_dataset!$A$2:$A$1501,0))</f>
        <v>18</v>
      </c>
      <c r="E462" s="0" t="n">
        <f aca="false">INDEX(customer_churn_dataset!$I$2:$I$1501,MATCH($A463,customer_churn_dataset!$A$2:$A$1501,0))</f>
        <v>25.1</v>
      </c>
      <c r="F462" s="0" t="n">
        <f aca="false">INDEX(customer_churn_dataset!$L$2:$L$1501,MATCH($A463,customer_churn_dataset!$A$2:$A$1501,0))</f>
        <v>1</v>
      </c>
      <c r="G462" s="0" t="str">
        <f aca="false">IF(INDEX(customer_churn_dataset!$M$2:$M$1501,MATCH($A463,customer_churn_dataset!$A$2:$A$1501,0))=1,"Yes","No")</f>
        <v>No</v>
      </c>
      <c r="H462" s="0" t="n">
        <f aca="false">INDEX(customer_churn_dataset!$N$2:$N$1501,MATCH($A463,customer_churn_dataset!$A$2:$A$1501,0))</f>
        <v>354.24</v>
      </c>
      <c r="I462" s="0" t="n">
        <f aca="false">INDEX(customer_churn_dataset!$O$2:$O$1501,MATCH($A463,customer_churn_dataset!$A$2:$A$1501,0))</f>
        <v>1</v>
      </c>
      <c r="J462" s="0" t="n">
        <f aca="false">INDEX(customer_churn_dataset!$T$2:$T$1501,MATCH($A463,customer_churn_dataset!$A$2:$A$1501,0))</f>
        <v>3</v>
      </c>
      <c r="K462" s="0" t="str">
        <f aca="false">INDEX(customer_churn_dataset!$V$2:$V$1501,MATCH($A463,customer_churn_dataset!$A$2:$A$1501,0))</f>
        <v>Medium Risk</v>
      </c>
    </row>
    <row r="463" customFormat="false" ht="12.8" hidden="true" customHeight="false" outlineLevel="0" collapsed="false">
      <c r="A463" s="22" t="str">
        <f aca="false">customer_churn_dataset!A310</f>
        <v>CUST100626</v>
      </c>
      <c r="B463" s="22" t="str">
        <f aca="false">customer_churn_dataset!B310</f>
        <v>Standard</v>
      </c>
      <c r="C463" s="22" t="str">
        <f aca="false">customer_churn_dataset!C310</f>
        <v>One year</v>
      </c>
      <c r="D463" s="0" t="n">
        <f aca="false">INDEX(customer_churn_dataset!$E$2:$E$1501,MATCH($A464,customer_churn_dataset!$A$2:$A$1501,0))</f>
        <v>32</v>
      </c>
      <c r="E463" s="0" t="n">
        <f aca="false">INDEX(customer_churn_dataset!$I$2:$I$1501,MATCH($A464,customer_churn_dataset!$A$2:$A$1501,0))</f>
        <v>10.6</v>
      </c>
      <c r="F463" s="0" t="n">
        <f aca="false">INDEX(customer_churn_dataset!$L$2:$L$1501,MATCH($A464,customer_churn_dataset!$A$2:$A$1501,0))</f>
        <v>3</v>
      </c>
      <c r="G463" s="0" t="str">
        <f aca="false">IF(INDEX(customer_churn_dataset!$M$2:$M$1501,MATCH($A464,customer_churn_dataset!$A$2:$A$1501,0))=1,"Yes","No")</f>
        <v>Yes</v>
      </c>
      <c r="H463" s="0" t="n">
        <f aca="false">INDEX(customer_churn_dataset!$N$2:$N$1501,MATCH($A464,customer_churn_dataset!$A$2:$A$1501,0))</f>
        <v>251.84</v>
      </c>
      <c r="I463" s="0" t="n">
        <f aca="false">INDEX(customer_churn_dataset!$O$2:$O$1501,MATCH($A464,customer_churn_dataset!$A$2:$A$1501,0))</f>
        <v>0</v>
      </c>
      <c r="J463" s="0" t="n">
        <f aca="false">INDEX(customer_churn_dataset!$T$2:$T$1501,MATCH($A464,customer_churn_dataset!$A$2:$A$1501,0))</f>
        <v>7</v>
      </c>
      <c r="K463" s="0" t="str">
        <f aca="false">INDEX(customer_churn_dataset!$V$2:$V$1501,MATCH($A464,customer_churn_dataset!$A$2:$A$1501,0))</f>
        <v>High Risk</v>
      </c>
    </row>
    <row r="464" customFormat="false" ht="12.8" hidden="true" customHeight="false" outlineLevel="0" collapsed="false">
      <c r="A464" s="22" t="str">
        <f aca="false">customer_churn_dataset!A313</f>
        <v>CUST100502</v>
      </c>
      <c r="B464" s="22" t="str">
        <f aca="false">customer_churn_dataset!B313</f>
        <v>Basic</v>
      </c>
      <c r="C464" s="22" t="str">
        <f aca="false">customer_churn_dataset!C313</f>
        <v>One year</v>
      </c>
      <c r="D464" s="0" t="n">
        <f aca="false">INDEX(customer_churn_dataset!$E$2:$E$1501,MATCH($A465,customer_churn_dataset!$A$2:$A$1501,0))</f>
        <v>53</v>
      </c>
      <c r="E464" s="0" t="n">
        <f aca="false">INDEX(customer_churn_dataset!$I$2:$I$1501,MATCH($A465,customer_churn_dataset!$A$2:$A$1501,0))</f>
        <v>41.3</v>
      </c>
      <c r="F464" s="0" t="n">
        <f aca="false">INDEX(customer_churn_dataset!$L$2:$L$1501,MATCH($A465,customer_churn_dataset!$A$2:$A$1501,0))</f>
        <v>1</v>
      </c>
      <c r="G464" s="0" t="str">
        <f aca="false">IF(INDEX(customer_churn_dataset!$M$2:$M$1501,MATCH($A465,customer_churn_dataset!$A$2:$A$1501,0))=1,"Yes","No")</f>
        <v>No</v>
      </c>
      <c r="H464" s="0" t="n">
        <f aca="false">INDEX(customer_churn_dataset!$N$2:$N$1501,MATCH($A465,customer_churn_dataset!$A$2:$A$1501,0))</f>
        <v>1043.04</v>
      </c>
      <c r="I464" s="0" t="n">
        <f aca="false">INDEX(customer_churn_dataset!$O$2:$O$1501,MATCH($A465,customer_churn_dataset!$A$2:$A$1501,0))</f>
        <v>0</v>
      </c>
      <c r="J464" s="0" t="n">
        <f aca="false">INDEX(customer_churn_dataset!$T$2:$T$1501,MATCH($A465,customer_churn_dataset!$A$2:$A$1501,0))</f>
        <v>2</v>
      </c>
      <c r="K464" s="0" t="str">
        <f aca="false">INDEX(customer_churn_dataset!$V$2:$V$1501,MATCH($A465,customer_churn_dataset!$A$2:$A$1501,0))</f>
        <v>Low Risk</v>
      </c>
    </row>
    <row r="465" customFormat="false" ht="12.8" hidden="true" customHeight="false" outlineLevel="0" collapsed="false">
      <c r="A465" s="22" t="str">
        <f aca="false">customer_churn_dataset!A318</f>
        <v>CUST100712</v>
      </c>
      <c r="B465" s="22" t="str">
        <f aca="false">customer_churn_dataset!B318</f>
        <v>Standard</v>
      </c>
      <c r="C465" s="22" t="str">
        <f aca="false">customer_churn_dataset!C318</f>
        <v>One year</v>
      </c>
      <c r="D465" s="0" t="n">
        <f aca="false">INDEX(customer_churn_dataset!$E$2:$E$1501,MATCH($A466,customer_churn_dataset!$A$2:$A$1501,0))</f>
        <v>8</v>
      </c>
      <c r="E465" s="0" t="n">
        <f aca="false">INDEX(customer_churn_dataset!$I$2:$I$1501,MATCH($A466,customer_churn_dataset!$A$2:$A$1501,0))</f>
        <v>41.9</v>
      </c>
      <c r="F465" s="0" t="n">
        <f aca="false">INDEX(customer_churn_dataset!$L$2:$L$1501,MATCH($A466,customer_churn_dataset!$A$2:$A$1501,0))</f>
        <v>0</v>
      </c>
      <c r="G465" s="0" t="str">
        <f aca="false">IF(INDEX(customer_churn_dataset!$M$2:$M$1501,MATCH($A466,customer_churn_dataset!$A$2:$A$1501,0))=1,"Yes","No")</f>
        <v>No</v>
      </c>
      <c r="H465" s="0" t="n">
        <f aca="false">INDEX(customer_churn_dataset!$N$2:$N$1501,MATCH($A466,customer_churn_dataset!$A$2:$A$1501,0))</f>
        <v>170.48</v>
      </c>
      <c r="I465" s="0" t="n">
        <f aca="false">INDEX(customer_churn_dataset!$O$2:$O$1501,MATCH($A466,customer_churn_dataset!$A$2:$A$1501,0))</f>
        <v>1</v>
      </c>
      <c r="J465" s="0" t="n">
        <f aca="false">INDEX(customer_churn_dataset!$T$2:$T$1501,MATCH($A466,customer_churn_dataset!$A$2:$A$1501,0))</f>
        <v>4</v>
      </c>
      <c r="K465" s="0" t="str">
        <f aca="false">INDEX(customer_churn_dataset!$V$2:$V$1501,MATCH($A466,customer_churn_dataset!$A$2:$A$1501,0))</f>
        <v>Medium Risk</v>
      </c>
    </row>
    <row r="466" customFormat="false" ht="12.8" hidden="true" customHeight="false" outlineLevel="0" collapsed="false">
      <c r="A466" s="22" t="str">
        <f aca="false">customer_churn_dataset!A319</f>
        <v>CUST101065</v>
      </c>
      <c r="B466" s="22" t="str">
        <f aca="false">customer_churn_dataset!B319</f>
        <v>Standard</v>
      </c>
      <c r="C466" s="22" t="str">
        <f aca="false">customer_churn_dataset!C319</f>
        <v>Month-to-month</v>
      </c>
      <c r="D466" s="0" t="n">
        <f aca="false">INDEX(customer_churn_dataset!$E$2:$E$1501,MATCH($A467,customer_churn_dataset!$A$2:$A$1501,0))</f>
        <v>7</v>
      </c>
      <c r="E466" s="0" t="n">
        <f aca="false">INDEX(customer_churn_dataset!$I$2:$I$1501,MATCH($A467,customer_churn_dataset!$A$2:$A$1501,0))</f>
        <v>32.5</v>
      </c>
      <c r="F466" s="0" t="n">
        <f aca="false">INDEX(customer_churn_dataset!$L$2:$L$1501,MATCH($A467,customer_churn_dataset!$A$2:$A$1501,0))</f>
        <v>1</v>
      </c>
      <c r="G466" s="0" t="str">
        <f aca="false">IF(INDEX(customer_churn_dataset!$M$2:$M$1501,MATCH($A467,customer_churn_dataset!$A$2:$A$1501,0))=1,"Yes","No")</f>
        <v>No</v>
      </c>
      <c r="H466" s="0" t="n">
        <f aca="false">INDEX(customer_churn_dataset!$N$2:$N$1501,MATCH($A467,customer_churn_dataset!$A$2:$A$1501,0))</f>
        <v>138.18</v>
      </c>
      <c r="I466" s="0" t="n">
        <f aca="false">INDEX(customer_churn_dataset!$O$2:$O$1501,MATCH($A467,customer_churn_dataset!$A$2:$A$1501,0))</f>
        <v>1</v>
      </c>
      <c r="J466" s="0" t="n">
        <f aca="false">INDEX(customer_churn_dataset!$T$2:$T$1501,MATCH($A467,customer_churn_dataset!$A$2:$A$1501,0))</f>
        <v>5</v>
      </c>
      <c r="K466" s="0" t="str">
        <f aca="false">INDEX(customer_churn_dataset!$V$2:$V$1501,MATCH($A467,customer_churn_dataset!$A$2:$A$1501,0))</f>
        <v>Medium Risk</v>
      </c>
    </row>
    <row r="467" customFormat="false" ht="12.8" hidden="true" customHeight="false" outlineLevel="0" collapsed="false">
      <c r="A467" s="22" t="str">
        <f aca="false">customer_churn_dataset!A320</f>
        <v>CUST100697</v>
      </c>
      <c r="B467" s="22" t="str">
        <f aca="false">customer_churn_dataset!B320</f>
        <v>Standard</v>
      </c>
      <c r="C467" s="22" t="str">
        <f aca="false">customer_churn_dataset!C320</f>
        <v>Month-to-month</v>
      </c>
      <c r="D467" s="0" t="n">
        <f aca="false">INDEX(customer_churn_dataset!$E$2:$E$1501,MATCH($A468,customer_churn_dataset!$A$2:$A$1501,0))</f>
        <v>1</v>
      </c>
      <c r="E467" s="0" t="n">
        <f aca="false">INDEX(customer_churn_dataset!$I$2:$I$1501,MATCH($A468,customer_churn_dataset!$A$2:$A$1501,0))</f>
        <v>82</v>
      </c>
      <c r="F467" s="0" t="n">
        <f aca="false">INDEX(customer_churn_dataset!$L$2:$L$1501,MATCH($A468,customer_churn_dataset!$A$2:$A$1501,0))</f>
        <v>0</v>
      </c>
      <c r="G467" s="0" t="str">
        <f aca="false">IF(INDEX(customer_churn_dataset!$M$2:$M$1501,MATCH($A468,customer_churn_dataset!$A$2:$A$1501,0))=1,"Yes","No")</f>
        <v>No</v>
      </c>
      <c r="H467" s="0" t="n">
        <f aca="false">INDEX(customer_churn_dataset!$N$2:$N$1501,MATCH($A468,customer_churn_dataset!$A$2:$A$1501,0))</f>
        <v>19.38</v>
      </c>
      <c r="I467" s="0" t="n">
        <f aca="false">INDEX(customer_churn_dataset!$O$2:$O$1501,MATCH($A468,customer_churn_dataset!$A$2:$A$1501,0))</f>
        <v>0</v>
      </c>
      <c r="J467" s="0" t="n">
        <f aca="false">INDEX(customer_churn_dataset!$T$2:$T$1501,MATCH($A468,customer_churn_dataset!$A$2:$A$1501,0))</f>
        <v>2</v>
      </c>
      <c r="K467" s="0" t="str">
        <f aca="false">INDEX(customer_churn_dataset!$V$2:$V$1501,MATCH($A468,customer_churn_dataset!$A$2:$A$1501,0))</f>
        <v>Low Risk</v>
      </c>
    </row>
    <row r="468" customFormat="false" ht="12.8" hidden="true" customHeight="false" outlineLevel="0" collapsed="false">
      <c r="A468" s="22" t="str">
        <f aca="false">customer_churn_dataset!A323</f>
        <v>CUST101343</v>
      </c>
      <c r="B468" s="22" t="str">
        <f aca="false">customer_churn_dataset!B323</f>
        <v>Standard</v>
      </c>
      <c r="C468" s="22" t="str">
        <f aca="false">customer_churn_dataset!C323</f>
        <v>One year</v>
      </c>
      <c r="D468" s="0" t="n">
        <f aca="false">INDEX(customer_churn_dataset!$E$2:$E$1501,MATCH($A469,customer_churn_dataset!$A$2:$A$1501,0))</f>
        <v>22</v>
      </c>
      <c r="E468" s="0" t="n">
        <f aca="false">INDEX(customer_churn_dataset!$I$2:$I$1501,MATCH($A469,customer_churn_dataset!$A$2:$A$1501,0))</f>
        <v>64</v>
      </c>
      <c r="F468" s="0" t="n">
        <f aca="false">INDEX(customer_churn_dataset!$L$2:$L$1501,MATCH($A469,customer_churn_dataset!$A$2:$A$1501,0))</f>
        <v>0</v>
      </c>
      <c r="G468" s="0" t="str">
        <f aca="false">IF(INDEX(customer_churn_dataset!$M$2:$M$1501,MATCH($A469,customer_churn_dataset!$A$2:$A$1501,0))=1,"Yes","No")</f>
        <v>No</v>
      </c>
      <c r="H468" s="0" t="n">
        <f aca="false">INDEX(customer_churn_dataset!$N$2:$N$1501,MATCH($A469,customer_churn_dataset!$A$2:$A$1501,0))</f>
        <v>240.02</v>
      </c>
      <c r="I468" s="0" t="n">
        <f aca="false">INDEX(customer_churn_dataset!$O$2:$O$1501,MATCH($A469,customer_churn_dataset!$A$2:$A$1501,0))</f>
        <v>0</v>
      </c>
      <c r="J468" s="0" t="n">
        <f aca="false">INDEX(customer_churn_dataset!$T$2:$T$1501,MATCH($A469,customer_churn_dataset!$A$2:$A$1501,0))</f>
        <v>0</v>
      </c>
      <c r="K468" s="0" t="str">
        <f aca="false">INDEX(customer_churn_dataset!$V$2:$V$1501,MATCH($A469,customer_churn_dataset!$A$2:$A$1501,0))</f>
        <v>Low Risk</v>
      </c>
    </row>
    <row r="469" customFormat="false" ht="12.8" hidden="true" customHeight="false" outlineLevel="0" collapsed="false">
      <c r="A469" s="22" t="str">
        <f aca="false">customer_churn_dataset!A327</f>
        <v>CUST100693</v>
      </c>
      <c r="B469" s="22" t="str">
        <f aca="false">customer_churn_dataset!B327</f>
        <v>Basic</v>
      </c>
      <c r="C469" s="22" t="str">
        <f aca="false">customer_churn_dataset!C327</f>
        <v>Two year</v>
      </c>
      <c r="D469" s="0" t="n">
        <f aca="false">INDEX(customer_churn_dataset!$E$2:$E$1501,MATCH($A470,customer_churn_dataset!$A$2:$A$1501,0))</f>
        <v>17</v>
      </c>
      <c r="E469" s="0" t="n">
        <f aca="false">INDEX(customer_churn_dataset!$I$2:$I$1501,MATCH($A470,customer_churn_dataset!$A$2:$A$1501,0))</f>
        <v>39.8</v>
      </c>
      <c r="F469" s="0" t="n">
        <f aca="false">INDEX(customer_churn_dataset!$L$2:$L$1501,MATCH($A470,customer_churn_dataset!$A$2:$A$1501,0))</f>
        <v>3</v>
      </c>
      <c r="G469" s="0" t="str">
        <f aca="false">IF(INDEX(customer_churn_dataset!$M$2:$M$1501,MATCH($A470,customer_churn_dataset!$A$2:$A$1501,0))=1,"Yes","No")</f>
        <v>No</v>
      </c>
      <c r="H469" s="0" t="n">
        <f aca="false">INDEX(customer_churn_dataset!$N$2:$N$1501,MATCH($A470,customer_churn_dataset!$A$2:$A$1501,0))</f>
        <v>167.62</v>
      </c>
      <c r="I469" s="0" t="n">
        <f aca="false">INDEX(customer_churn_dataset!$O$2:$O$1501,MATCH($A470,customer_churn_dataset!$A$2:$A$1501,0))</f>
        <v>0</v>
      </c>
      <c r="J469" s="0" t="n">
        <f aca="false">INDEX(customer_churn_dataset!$T$2:$T$1501,MATCH($A470,customer_churn_dataset!$A$2:$A$1501,0))</f>
        <v>4</v>
      </c>
      <c r="K469" s="0" t="str">
        <f aca="false">INDEX(customer_churn_dataset!$V$2:$V$1501,MATCH($A470,customer_churn_dataset!$A$2:$A$1501,0))</f>
        <v>Medium Risk</v>
      </c>
    </row>
    <row r="470" customFormat="false" ht="12.8" hidden="true" customHeight="false" outlineLevel="0" collapsed="false">
      <c r="A470" s="22" t="str">
        <f aca="false">customer_churn_dataset!A328</f>
        <v>CUST100312</v>
      </c>
      <c r="B470" s="22" t="str">
        <f aca="false">customer_churn_dataset!B328</f>
        <v>Basic</v>
      </c>
      <c r="C470" s="22" t="str">
        <f aca="false">customer_churn_dataset!C328</f>
        <v>One year</v>
      </c>
      <c r="D470" s="0" t="n">
        <f aca="false">INDEX(customer_churn_dataset!$E$2:$E$1501,MATCH($A471,customer_churn_dataset!$A$2:$A$1501,0))</f>
        <v>17</v>
      </c>
      <c r="E470" s="0" t="n">
        <f aca="false">INDEX(customer_churn_dataset!$I$2:$I$1501,MATCH($A471,customer_churn_dataset!$A$2:$A$1501,0))</f>
        <v>58.4</v>
      </c>
      <c r="F470" s="0" t="n">
        <f aca="false">INDEX(customer_churn_dataset!$L$2:$L$1501,MATCH($A471,customer_churn_dataset!$A$2:$A$1501,0))</f>
        <v>1</v>
      </c>
      <c r="G470" s="0" t="str">
        <f aca="false">IF(INDEX(customer_churn_dataset!$M$2:$M$1501,MATCH($A471,customer_churn_dataset!$A$2:$A$1501,0))=1,"Yes","No")</f>
        <v>No</v>
      </c>
      <c r="H470" s="0" t="n">
        <f aca="false">INDEX(customer_churn_dataset!$N$2:$N$1501,MATCH($A471,customer_churn_dataset!$A$2:$A$1501,0))</f>
        <v>375.36</v>
      </c>
      <c r="I470" s="0" t="n">
        <f aca="false">INDEX(customer_churn_dataset!$O$2:$O$1501,MATCH($A471,customer_churn_dataset!$A$2:$A$1501,0))</f>
        <v>0</v>
      </c>
      <c r="J470" s="0" t="n">
        <f aca="false">INDEX(customer_churn_dataset!$T$2:$T$1501,MATCH($A471,customer_churn_dataset!$A$2:$A$1501,0))</f>
        <v>0</v>
      </c>
      <c r="K470" s="0" t="str">
        <f aca="false">INDEX(customer_churn_dataset!$V$2:$V$1501,MATCH($A471,customer_churn_dataset!$A$2:$A$1501,0))</f>
        <v>Low Risk</v>
      </c>
    </row>
    <row r="471" customFormat="false" ht="12.8" hidden="true" customHeight="false" outlineLevel="0" collapsed="false">
      <c r="A471" s="22" t="str">
        <f aca="false">customer_churn_dataset!A332</f>
        <v>CUST101389</v>
      </c>
      <c r="B471" s="22" t="str">
        <f aca="false">customer_churn_dataset!B332</f>
        <v>Standard</v>
      </c>
      <c r="C471" s="22" t="str">
        <f aca="false">customer_churn_dataset!C332</f>
        <v>Two year</v>
      </c>
      <c r="D471" s="0" t="n">
        <f aca="false">INDEX(customer_churn_dataset!$E$2:$E$1501,MATCH($A472,customer_churn_dataset!$A$2:$A$1501,0))</f>
        <v>6</v>
      </c>
      <c r="E471" s="0" t="n">
        <f aca="false">INDEX(customer_churn_dataset!$I$2:$I$1501,MATCH($A472,customer_churn_dataset!$A$2:$A$1501,0))</f>
        <v>69.3</v>
      </c>
      <c r="F471" s="0" t="n">
        <f aca="false">INDEX(customer_churn_dataset!$L$2:$L$1501,MATCH($A472,customer_churn_dataset!$A$2:$A$1501,0))</f>
        <v>3</v>
      </c>
      <c r="G471" s="0" t="str">
        <f aca="false">IF(INDEX(customer_churn_dataset!$M$2:$M$1501,MATCH($A472,customer_churn_dataset!$A$2:$A$1501,0))=1,"Yes","No")</f>
        <v>No</v>
      </c>
      <c r="H471" s="0" t="n">
        <f aca="false">INDEX(customer_churn_dataset!$N$2:$N$1501,MATCH($A472,customer_churn_dataset!$A$2:$A$1501,0))</f>
        <v>240.78</v>
      </c>
      <c r="I471" s="0" t="n">
        <f aca="false">INDEX(customer_churn_dataset!$O$2:$O$1501,MATCH($A472,customer_churn_dataset!$A$2:$A$1501,0))</f>
        <v>0</v>
      </c>
      <c r="J471" s="0" t="n">
        <f aca="false">INDEX(customer_churn_dataset!$T$2:$T$1501,MATCH($A472,customer_churn_dataset!$A$2:$A$1501,0))</f>
        <v>3</v>
      </c>
      <c r="K471" s="0" t="str">
        <f aca="false">INDEX(customer_churn_dataset!$V$2:$V$1501,MATCH($A472,customer_churn_dataset!$A$2:$A$1501,0))</f>
        <v>Medium Risk</v>
      </c>
    </row>
    <row r="472" customFormat="false" ht="12.8" hidden="true" customHeight="false" outlineLevel="0" collapsed="false">
      <c r="A472" s="22" t="str">
        <f aca="false">customer_churn_dataset!A333</f>
        <v>CUST100115</v>
      </c>
      <c r="B472" s="22" t="str">
        <f aca="false">customer_churn_dataset!B333</f>
        <v>Premium</v>
      </c>
      <c r="C472" s="22" t="str">
        <f aca="false">customer_churn_dataset!C333</f>
        <v>One year</v>
      </c>
      <c r="D472" s="0" t="n">
        <f aca="false">INDEX(customer_churn_dataset!$E$2:$E$1501,MATCH($A473,customer_churn_dataset!$A$2:$A$1501,0))</f>
        <v>24</v>
      </c>
      <c r="E472" s="0" t="n">
        <f aca="false">INDEX(customer_churn_dataset!$I$2:$I$1501,MATCH($A473,customer_churn_dataset!$A$2:$A$1501,0))</f>
        <v>17.5</v>
      </c>
      <c r="F472" s="0" t="n">
        <f aca="false">INDEX(customer_churn_dataset!$L$2:$L$1501,MATCH($A473,customer_churn_dataset!$A$2:$A$1501,0))</f>
        <v>2</v>
      </c>
      <c r="G472" s="0" t="str">
        <f aca="false">IF(INDEX(customer_churn_dataset!$M$2:$M$1501,MATCH($A473,customer_churn_dataset!$A$2:$A$1501,0))=1,"Yes","No")</f>
        <v>No</v>
      </c>
      <c r="H472" s="0" t="n">
        <f aca="false">INDEX(customer_churn_dataset!$N$2:$N$1501,MATCH($A473,customer_churn_dataset!$A$2:$A$1501,0))</f>
        <v>465.36</v>
      </c>
      <c r="I472" s="0" t="n">
        <f aca="false">INDEX(customer_churn_dataset!$O$2:$O$1501,MATCH($A473,customer_churn_dataset!$A$2:$A$1501,0))</f>
        <v>0</v>
      </c>
      <c r="J472" s="0" t="n">
        <f aca="false">INDEX(customer_churn_dataset!$T$2:$T$1501,MATCH($A473,customer_churn_dataset!$A$2:$A$1501,0))</f>
        <v>5</v>
      </c>
      <c r="K472" s="0" t="str">
        <f aca="false">INDEX(customer_churn_dataset!$V$2:$V$1501,MATCH($A473,customer_churn_dataset!$A$2:$A$1501,0))</f>
        <v>Medium Risk</v>
      </c>
    </row>
    <row r="473" customFormat="false" ht="12.8" hidden="true" customHeight="false" outlineLevel="0" collapsed="false">
      <c r="A473" s="22" t="str">
        <f aca="false">customer_churn_dataset!A334</f>
        <v>CUST101446</v>
      </c>
      <c r="B473" s="22" t="str">
        <f aca="false">customer_churn_dataset!B334</f>
        <v>Standard</v>
      </c>
      <c r="C473" s="22" t="str">
        <f aca="false">customer_churn_dataset!C334</f>
        <v>Month-to-month</v>
      </c>
      <c r="D473" s="0" t="n">
        <f aca="false">INDEX(customer_churn_dataset!$E$2:$E$1501,MATCH($A474,customer_churn_dataset!$A$2:$A$1501,0))</f>
        <v>13</v>
      </c>
      <c r="E473" s="0" t="n">
        <f aca="false">INDEX(customer_churn_dataset!$I$2:$I$1501,MATCH($A474,customer_churn_dataset!$A$2:$A$1501,0))</f>
        <v>33.1</v>
      </c>
      <c r="F473" s="0" t="n">
        <f aca="false">INDEX(customer_churn_dataset!$L$2:$L$1501,MATCH($A474,customer_churn_dataset!$A$2:$A$1501,0))</f>
        <v>1</v>
      </c>
      <c r="G473" s="0" t="str">
        <f aca="false">IF(INDEX(customer_churn_dataset!$M$2:$M$1501,MATCH($A474,customer_churn_dataset!$A$2:$A$1501,0))=1,"Yes","No")</f>
        <v>Yes</v>
      </c>
      <c r="H473" s="0" t="n">
        <f aca="false">INDEX(customer_churn_dataset!$N$2:$N$1501,MATCH($A474,customer_churn_dataset!$A$2:$A$1501,0))</f>
        <v>530.27</v>
      </c>
      <c r="I473" s="0" t="n">
        <f aca="false">INDEX(customer_churn_dataset!$O$2:$O$1501,MATCH($A474,customer_churn_dataset!$A$2:$A$1501,0))</f>
        <v>0</v>
      </c>
      <c r="J473" s="0" t="n">
        <f aca="false">INDEX(customer_churn_dataset!$T$2:$T$1501,MATCH($A474,customer_churn_dataset!$A$2:$A$1501,0))</f>
        <v>6</v>
      </c>
      <c r="K473" s="0" t="str">
        <f aca="false">INDEX(customer_churn_dataset!$V$2:$V$1501,MATCH($A474,customer_churn_dataset!$A$2:$A$1501,0))</f>
        <v>High Risk</v>
      </c>
    </row>
    <row r="474" customFormat="false" ht="12.8" hidden="true" customHeight="false" outlineLevel="0" collapsed="false">
      <c r="A474" s="22" t="str">
        <f aca="false">customer_churn_dataset!A338</f>
        <v>CUST100574</v>
      </c>
      <c r="B474" s="22" t="str">
        <f aca="false">customer_churn_dataset!B338</f>
        <v>Premium</v>
      </c>
      <c r="C474" s="22" t="str">
        <f aca="false">customer_churn_dataset!C338</f>
        <v>One year</v>
      </c>
      <c r="D474" s="0" t="n">
        <f aca="false">INDEX(customer_churn_dataset!$E$2:$E$1501,MATCH($A475,customer_churn_dataset!$A$2:$A$1501,0))</f>
        <v>16</v>
      </c>
      <c r="E474" s="0" t="n">
        <f aca="false">INDEX(customer_churn_dataset!$I$2:$I$1501,MATCH($A475,customer_churn_dataset!$A$2:$A$1501,0))</f>
        <v>43.9</v>
      </c>
      <c r="F474" s="0" t="n">
        <f aca="false">INDEX(customer_churn_dataset!$L$2:$L$1501,MATCH($A475,customer_churn_dataset!$A$2:$A$1501,0))</f>
        <v>1</v>
      </c>
      <c r="G474" s="0" t="str">
        <f aca="false">IF(INDEX(customer_churn_dataset!$M$2:$M$1501,MATCH($A475,customer_churn_dataset!$A$2:$A$1501,0))=1,"Yes","No")</f>
        <v>Yes</v>
      </c>
      <c r="H474" s="0" t="n">
        <f aca="false">INDEX(customer_churn_dataset!$N$2:$N$1501,MATCH($A475,customer_churn_dataset!$A$2:$A$1501,0))</f>
        <v>156.96</v>
      </c>
      <c r="I474" s="0" t="n">
        <f aca="false">INDEX(customer_churn_dataset!$O$2:$O$1501,MATCH($A475,customer_churn_dataset!$A$2:$A$1501,0))</f>
        <v>0</v>
      </c>
      <c r="J474" s="0" t="n">
        <f aca="false">INDEX(customer_churn_dataset!$T$2:$T$1501,MATCH($A475,customer_churn_dataset!$A$2:$A$1501,0))</f>
        <v>4</v>
      </c>
      <c r="K474" s="0" t="str">
        <f aca="false">INDEX(customer_churn_dataset!$V$2:$V$1501,MATCH($A475,customer_churn_dataset!$A$2:$A$1501,0))</f>
        <v>Medium Risk</v>
      </c>
    </row>
    <row r="475" customFormat="false" ht="12.8" hidden="true" customHeight="false" outlineLevel="0" collapsed="false">
      <c r="A475" s="22" t="str">
        <f aca="false">customer_churn_dataset!A339</f>
        <v>CUST101445</v>
      </c>
      <c r="B475" s="22" t="str">
        <f aca="false">customer_churn_dataset!B339</f>
        <v>Basic</v>
      </c>
      <c r="C475" s="22" t="str">
        <f aca="false">customer_churn_dataset!C339</f>
        <v>Two year</v>
      </c>
      <c r="D475" s="0" t="n">
        <f aca="false">INDEX(customer_churn_dataset!$E$2:$E$1501,MATCH($A476,customer_churn_dataset!$A$2:$A$1501,0))</f>
        <v>55</v>
      </c>
      <c r="E475" s="0" t="n">
        <f aca="false">INDEX(customer_churn_dataset!$I$2:$I$1501,MATCH($A476,customer_churn_dataset!$A$2:$A$1501,0))</f>
        <v>50.3</v>
      </c>
      <c r="F475" s="0" t="n">
        <f aca="false">INDEX(customer_churn_dataset!$L$2:$L$1501,MATCH($A476,customer_churn_dataset!$A$2:$A$1501,0))</f>
        <v>2</v>
      </c>
      <c r="G475" s="0" t="str">
        <f aca="false">IF(INDEX(customer_churn_dataset!$M$2:$M$1501,MATCH($A476,customer_churn_dataset!$A$2:$A$1501,0))=1,"Yes","No")</f>
        <v>Yes</v>
      </c>
      <c r="H475" s="0" t="n">
        <f aca="false">INDEX(customer_churn_dataset!$N$2:$N$1501,MATCH($A476,customer_churn_dataset!$A$2:$A$1501,0))</f>
        <v>550.55</v>
      </c>
      <c r="I475" s="0" t="n">
        <f aca="false">INDEX(customer_churn_dataset!$O$2:$O$1501,MATCH($A476,customer_churn_dataset!$A$2:$A$1501,0))</f>
        <v>0</v>
      </c>
      <c r="J475" s="0" t="n">
        <f aca="false">INDEX(customer_churn_dataset!$T$2:$T$1501,MATCH($A476,customer_churn_dataset!$A$2:$A$1501,0))</f>
        <v>6</v>
      </c>
      <c r="K475" s="0" t="str">
        <f aca="false">INDEX(customer_churn_dataset!$V$2:$V$1501,MATCH($A476,customer_churn_dataset!$A$2:$A$1501,0))</f>
        <v>High Risk</v>
      </c>
    </row>
    <row r="476" customFormat="false" ht="12.8" hidden="true" customHeight="false" outlineLevel="0" collapsed="false">
      <c r="A476" s="22" t="str">
        <f aca="false">customer_churn_dataset!A348</f>
        <v>CUST101488</v>
      </c>
      <c r="B476" s="22" t="str">
        <f aca="false">customer_churn_dataset!B348</f>
        <v>Basic</v>
      </c>
      <c r="C476" s="22" t="str">
        <f aca="false">customer_churn_dataset!C348</f>
        <v>One year</v>
      </c>
      <c r="D476" s="0" t="n">
        <f aca="false">INDEX(customer_churn_dataset!$E$2:$E$1501,MATCH($A477,customer_churn_dataset!$A$2:$A$1501,0))</f>
        <v>1</v>
      </c>
      <c r="E476" s="0" t="n">
        <f aca="false">INDEX(customer_churn_dataset!$I$2:$I$1501,MATCH($A477,customer_churn_dataset!$A$2:$A$1501,0))</f>
        <v>47.7</v>
      </c>
      <c r="F476" s="0" t="n">
        <f aca="false">INDEX(customer_churn_dataset!$L$2:$L$1501,MATCH($A477,customer_churn_dataset!$A$2:$A$1501,0))</f>
        <v>2</v>
      </c>
      <c r="G476" s="0" t="str">
        <f aca="false">IF(INDEX(customer_churn_dataset!$M$2:$M$1501,MATCH($A477,customer_churn_dataset!$A$2:$A$1501,0))=1,"Yes","No")</f>
        <v>No</v>
      </c>
      <c r="H476" s="0" t="n">
        <f aca="false">INDEX(customer_churn_dataset!$N$2:$N$1501,MATCH($A477,customer_churn_dataset!$A$2:$A$1501,0))</f>
        <v>19.93</v>
      </c>
      <c r="I476" s="0" t="n">
        <f aca="false">INDEX(customer_churn_dataset!$O$2:$O$1501,MATCH($A477,customer_churn_dataset!$A$2:$A$1501,0))</f>
        <v>0</v>
      </c>
      <c r="J476" s="0" t="n">
        <f aca="false">INDEX(customer_churn_dataset!$T$2:$T$1501,MATCH($A477,customer_churn_dataset!$A$2:$A$1501,0))</f>
        <v>3</v>
      </c>
      <c r="K476" s="0" t="str">
        <f aca="false">INDEX(customer_churn_dataset!$V$2:$V$1501,MATCH($A477,customer_churn_dataset!$A$2:$A$1501,0))</f>
        <v>Medium Risk</v>
      </c>
    </row>
    <row r="477" customFormat="false" ht="12.8" hidden="true" customHeight="false" outlineLevel="0" collapsed="false">
      <c r="A477" s="22" t="str">
        <f aca="false">customer_churn_dataset!A349</f>
        <v>CUST101267</v>
      </c>
      <c r="B477" s="22" t="str">
        <f aca="false">customer_churn_dataset!B349</f>
        <v>Standard</v>
      </c>
      <c r="C477" s="22" t="str">
        <f aca="false">customer_churn_dataset!C349</f>
        <v>Two year</v>
      </c>
      <c r="D477" s="0" t="n">
        <f aca="false">INDEX(customer_churn_dataset!$E$2:$E$1501,MATCH($A478,customer_churn_dataset!$A$2:$A$1501,0))</f>
        <v>23</v>
      </c>
      <c r="E477" s="0" t="n">
        <f aca="false">INDEX(customer_churn_dataset!$I$2:$I$1501,MATCH($A478,customer_churn_dataset!$A$2:$A$1501,0))</f>
        <v>12.8</v>
      </c>
      <c r="F477" s="0" t="n">
        <f aca="false">INDEX(customer_churn_dataset!$L$2:$L$1501,MATCH($A478,customer_churn_dataset!$A$2:$A$1501,0))</f>
        <v>5</v>
      </c>
      <c r="G477" s="0" t="str">
        <f aca="false">IF(INDEX(customer_churn_dataset!$M$2:$M$1501,MATCH($A478,customer_churn_dataset!$A$2:$A$1501,0))=1,"Yes","No")</f>
        <v>No</v>
      </c>
      <c r="H477" s="0" t="n">
        <f aca="false">INDEX(customer_churn_dataset!$N$2:$N$1501,MATCH($A478,customer_churn_dataset!$A$2:$A$1501,0))</f>
        <v>434.24</v>
      </c>
      <c r="I477" s="0" t="n">
        <f aca="false">INDEX(customer_churn_dataset!$O$2:$O$1501,MATCH($A478,customer_churn_dataset!$A$2:$A$1501,0))</f>
        <v>0</v>
      </c>
      <c r="J477" s="0" t="n">
        <f aca="false">INDEX(customer_churn_dataset!$T$2:$T$1501,MATCH($A478,customer_churn_dataset!$A$2:$A$1501,0))</f>
        <v>5</v>
      </c>
      <c r="K477" s="0" t="str">
        <f aca="false">INDEX(customer_churn_dataset!$V$2:$V$1501,MATCH($A478,customer_churn_dataset!$A$2:$A$1501,0))</f>
        <v>Medium Risk</v>
      </c>
    </row>
    <row r="478" customFormat="false" ht="12.8" hidden="true" customHeight="false" outlineLevel="0" collapsed="false">
      <c r="A478" s="22" t="str">
        <f aca="false">customer_churn_dataset!A350</f>
        <v>CUST100710</v>
      </c>
      <c r="B478" s="22" t="str">
        <f aca="false">customer_churn_dataset!B350</f>
        <v>Standard</v>
      </c>
      <c r="C478" s="22" t="str">
        <f aca="false">customer_churn_dataset!C350</f>
        <v>Month-to-month</v>
      </c>
      <c r="D478" s="0" t="n">
        <f aca="false">INDEX(customer_churn_dataset!$E$2:$E$1501,MATCH($A479,customer_churn_dataset!$A$2:$A$1501,0))</f>
        <v>2</v>
      </c>
      <c r="E478" s="0" t="n">
        <f aca="false">INDEX(customer_churn_dataset!$I$2:$I$1501,MATCH($A479,customer_churn_dataset!$A$2:$A$1501,0))</f>
        <v>36.3</v>
      </c>
      <c r="F478" s="0" t="n">
        <f aca="false">INDEX(customer_churn_dataset!$L$2:$L$1501,MATCH($A479,customer_churn_dataset!$A$2:$A$1501,0))</f>
        <v>1</v>
      </c>
      <c r="G478" s="0" t="str">
        <f aca="false">IF(INDEX(customer_churn_dataset!$M$2:$M$1501,MATCH($A479,customer_churn_dataset!$A$2:$A$1501,0))=1,"Yes","No")</f>
        <v>Yes</v>
      </c>
      <c r="H478" s="0" t="n">
        <f aca="false">INDEX(customer_churn_dataset!$N$2:$N$1501,MATCH($A479,customer_churn_dataset!$A$2:$A$1501,0))</f>
        <v>18.7</v>
      </c>
      <c r="I478" s="0" t="n">
        <f aca="false">INDEX(customer_churn_dataset!$O$2:$O$1501,MATCH($A479,customer_churn_dataset!$A$2:$A$1501,0))</f>
        <v>0</v>
      </c>
      <c r="J478" s="0" t="n">
        <f aca="false">INDEX(customer_churn_dataset!$T$2:$T$1501,MATCH($A479,customer_churn_dataset!$A$2:$A$1501,0))</f>
        <v>6</v>
      </c>
      <c r="K478" s="0" t="str">
        <f aca="false">INDEX(customer_churn_dataset!$V$2:$V$1501,MATCH($A479,customer_churn_dataset!$A$2:$A$1501,0))</f>
        <v>High Risk</v>
      </c>
    </row>
    <row r="479" customFormat="false" ht="12.8" hidden="true" customHeight="false" outlineLevel="0" collapsed="false">
      <c r="A479" s="22" t="str">
        <f aca="false">customer_churn_dataset!A357</f>
        <v>CUST101038</v>
      </c>
      <c r="B479" s="22" t="str">
        <f aca="false">customer_churn_dataset!B357</f>
        <v>Basic</v>
      </c>
      <c r="C479" s="22" t="str">
        <f aca="false">customer_churn_dataset!C357</f>
        <v>Two year</v>
      </c>
      <c r="D479" s="0" t="n">
        <f aca="false">INDEX(customer_churn_dataset!$E$2:$E$1501,MATCH($A480,customer_churn_dataset!$A$2:$A$1501,0))</f>
        <v>16</v>
      </c>
      <c r="E479" s="0" t="n">
        <f aca="false">INDEX(customer_churn_dataset!$I$2:$I$1501,MATCH($A480,customer_churn_dataset!$A$2:$A$1501,0))</f>
        <v>46.1</v>
      </c>
      <c r="F479" s="0" t="n">
        <f aca="false">INDEX(customer_churn_dataset!$L$2:$L$1501,MATCH($A480,customer_churn_dataset!$A$2:$A$1501,0))</f>
        <v>2</v>
      </c>
      <c r="G479" s="0" t="str">
        <f aca="false">IF(INDEX(customer_churn_dataset!$M$2:$M$1501,MATCH($A480,customer_churn_dataset!$A$2:$A$1501,0))=1,"Yes","No")</f>
        <v>No</v>
      </c>
      <c r="H479" s="0" t="n">
        <f aca="false">INDEX(customer_churn_dataset!$N$2:$N$1501,MATCH($A480,customer_churn_dataset!$A$2:$A$1501,0))</f>
        <v>309.6</v>
      </c>
      <c r="I479" s="0" t="n">
        <f aca="false">INDEX(customer_churn_dataset!$O$2:$O$1501,MATCH($A480,customer_churn_dataset!$A$2:$A$1501,0))</f>
        <v>1</v>
      </c>
      <c r="J479" s="0" t="n">
        <f aca="false">INDEX(customer_churn_dataset!$T$2:$T$1501,MATCH($A480,customer_churn_dataset!$A$2:$A$1501,0))</f>
        <v>4</v>
      </c>
      <c r="K479" s="0" t="str">
        <f aca="false">INDEX(customer_churn_dataset!$V$2:$V$1501,MATCH($A480,customer_churn_dataset!$A$2:$A$1501,0))</f>
        <v>Medium Risk</v>
      </c>
    </row>
    <row r="480" customFormat="false" ht="12.8" hidden="true" customHeight="false" outlineLevel="0" collapsed="false">
      <c r="A480" s="22" t="str">
        <f aca="false">customer_churn_dataset!A358</f>
        <v>CUST101442</v>
      </c>
      <c r="B480" s="22" t="str">
        <f aca="false">customer_churn_dataset!B358</f>
        <v>Standard</v>
      </c>
      <c r="C480" s="22" t="str">
        <f aca="false">customer_churn_dataset!C358</f>
        <v>Month-to-month</v>
      </c>
      <c r="D480" s="0" t="n">
        <f aca="false">INDEX(customer_churn_dataset!$E$2:$E$1501,MATCH($A481,customer_churn_dataset!$A$2:$A$1501,0))</f>
        <v>11</v>
      </c>
      <c r="E480" s="0" t="n">
        <f aca="false">INDEX(customer_churn_dataset!$I$2:$I$1501,MATCH($A481,customer_churn_dataset!$A$2:$A$1501,0))</f>
        <v>62.8</v>
      </c>
      <c r="F480" s="0" t="n">
        <f aca="false">INDEX(customer_churn_dataset!$L$2:$L$1501,MATCH($A481,customer_churn_dataset!$A$2:$A$1501,0))</f>
        <v>1</v>
      </c>
      <c r="G480" s="0" t="str">
        <f aca="false">IF(INDEX(customer_churn_dataset!$M$2:$M$1501,MATCH($A481,customer_churn_dataset!$A$2:$A$1501,0))=1,"Yes","No")</f>
        <v>Yes</v>
      </c>
      <c r="H480" s="0" t="n">
        <f aca="false">INDEX(customer_churn_dataset!$N$2:$N$1501,MATCH($A481,customer_churn_dataset!$A$2:$A$1501,0))</f>
        <v>110.88</v>
      </c>
      <c r="I480" s="0" t="n">
        <f aca="false">INDEX(customer_churn_dataset!$O$2:$O$1501,MATCH($A481,customer_churn_dataset!$A$2:$A$1501,0))</f>
        <v>0</v>
      </c>
      <c r="J480" s="0" t="n">
        <f aca="false">INDEX(customer_churn_dataset!$T$2:$T$1501,MATCH($A481,customer_churn_dataset!$A$2:$A$1501,0))</f>
        <v>4</v>
      </c>
      <c r="K480" s="0" t="str">
        <f aca="false">INDEX(customer_churn_dataset!$V$2:$V$1501,MATCH($A481,customer_churn_dataset!$A$2:$A$1501,0))</f>
        <v>Medium Risk</v>
      </c>
    </row>
    <row r="481" customFormat="false" ht="12.8" hidden="true" customHeight="false" outlineLevel="0" collapsed="false">
      <c r="A481" s="22" t="str">
        <f aca="false">customer_churn_dataset!A359</f>
        <v>CUST100348</v>
      </c>
      <c r="B481" s="22" t="str">
        <f aca="false">customer_churn_dataset!B359</f>
        <v>Basic</v>
      </c>
      <c r="C481" s="22" t="str">
        <f aca="false">customer_churn_dataset!C359</f>
        <v>Two year</v>
      </c>
      <c r="D481" s="0" t="n">
        <f aca="false">INDEX(customer_churn_dataset!$E$2:$E$1501,MATCH($A482,customer_churn_dataset!$A$2:$A$1501,0))</f>
        <v>23</v>
      </c>
      <c r="E481" s="0" t="n">
        <f aca="false">INDEX(customer_churn_dataset!$I$2:$I$1501,MATCH($A482,customer_churn_dataset!$A$2:$A$1501,0))</f>
        <v>59.9</v>
      </c>
      <c r="F481" s="0" t="n">
        <f aca="false">INDEX(customer_churn_dataset!$L$2:$L$1501,MATCH($A482,customer_churn_dataset!$A$2:$A$1501,0))</f>
        <v>0</v>
      </c>
      <c r="G481" s="0" t="str">
        <f aca="false">IF(INDEX(customer_churn_dataset!$M$2:$M$1501,MATCH($A482,customer_churn_dataset!$A$2:$A$1501,0))=1,"Yes","No")</f>
        <v>No</v>
      </c>
      <c r="H481" s="0" t="n">
        <f aca="false">INDEX(customer_churn_dataset!$N$2:$N$1501,MATCH($A482,customer_churn_dataset!$A$2:$A$1501,0))</f>
        <v>449.65</v>
      </c>
      <c r="I481" s="0" t="n">
        <f aca="false">INDEX(customer_churn_dataset!$O$2:$O$1501,MATCH($A482,customer_churn_dataset!$A$2:$A$1501,0))</f>
        <v>0</v>
      </c>
      <c r="J481" s="0" t="n">
        <f aca="false">INDEX(customer_churn_dataset!$T$2:$T$1501,MATCH($A482,customer_churn_dataset!$A$2:$A$1501,0))</f>
        <v>2</v>
      </c>
      <c r="K481" s="0" t="str">
        <f aca="false">INDEX(customer_churn_dataset!$V$2:$V$1501,MATCH($A482,customer_churn_dataset!$A$2:$A$1501,0))</f>
        <v>Low Risk</v>
      </c>
    </row>
    <row r="482" customFormat="false" ht="12.8" hidden="true" customHeight="false" outlineLevel="0" collapsed="false">
      <c r="A482" s="22" t="str">
        <f aca="false">customer_churn_dataset!A366</f>
        <v>CUST100732</v>
      </c>
      <c r="B482" s="22" t="str">
        <f aca="false">customer_churn_dataset!B366</f>
        <v>Standard</v>
      </c>
      <c r="C482" s="22" t="str">
        <f aca="false">customer_churn_dataset!C366</f>
        <v>Month-to-month</v>
      </c>
      <c r="D482" s="0" t="n">
        <f aca="false">INDEX(customer_churn_dataset!$E$2:$E$1501,MATCH($A483,customer_churn_dataset!$A$2:$A$1501,0))</f>
        <v>3</v>
      </c>
      <c r="E482" s="0" t="n">
        <f aca="false">INDEX(customer_churn_dataset!$I$2:$I$1501,MATCH($A483,customer_churn_dataset!$A$2:$A$1501,0))</f>
        <v>68.6</v>
      </c>
      <c r="F482" s="0" t="n">
        <f aca="false">INDEX(customer_churn_dataset!$L$2:$L$1501,MATCH($A483,customer_churn_dataset!$A$2:$A$1501,0))</f>
        <v>1</v>
      </c>
      <c r="G482" s="0" t="str">
        <f aca="false">IF(INDEX(customer_churn_dataset!$M$2:$M$1501,MATCH($A483,customer_churn_dataset!$A$2:$A$1501,0))=1,"Yes","No")</f>
        <v>Yes</v>
      </c>
      <c r="H482" s="0" t="n">
        <f aca="false">INDEX(customer_churn_dataset!$N$2:$N$1501,MATCH($A483,customer_churn_dataset!$A$2:$A$1501,0))</f>
        <v>32.34</v>
      </c>
      <c r="I482" s="0" t="n">
        <f aca="false">INDEX(customer_churn_dataset!$O$2:$O$1501,MATCH($A483,customer_churn_dataset!$A$2:$A$1501,0))</f>
        <v>1</v>
      </c>
      <c r="J482" s="0" t="n">
        <f aca="false">INDEX(customer_churn_dataset!$T$2:$T$1501,MATCH($A483,customer_churn_dataset!$A$2:$A$1501,0))</f>
        <v>5</v>
      </c>
      <c r="K482" s="0" t="str">
        <f aca="false">INDEX(customer_churn_dataset!$V$2:$V$1501,MATCH($A483,customer_churn_dataset!$A$2:$A$1501,0))</f>
        <v>Medium Risk</v>
      </c>
    </row>
    <row r="483" customFormat="false" ht="12.8" hidden="true" customHeight="false" outlineLevel="0" collapsed="false">
      <c r="A483" s="22" t="str">
        <f aca="false">customer_churn_dataset!A367</f>
        <v>CUST100410</v>
      </c>
      <c r="B483" s="22" t="str">
        <f aca="false">customer_churn_dataset!B367</f>
        <v>Basic</v>
      </c>
      <c r="C483" s="22" t="str">
        <f aca="false">customer_churn_dataset!C367</f>
        <v>One year</v>
      </c>
      <c r="D483" s="0" t="n">
        <f aca="false">INDEX(customer_churn_dataset!$E$2:$E$1501,MATCH($A484,customer_churn_dataset!$A$2:$A$1501,0))</f>
        <v>1</v>
      </c>
      <c r="E483" s="0" t="n">
        <f aca="false">INDEX(customer_churn_dataset!$I$2:$I$1501,MATCH($A484,customer_churn_dataset!$A$2:$A$1501,0))</f>
        <v>36.8</v>
      </c>
      <c r="F483" s="0" t="n">
        <f aca="false">INDEX(customer_churn_dataset!$L$2:$L$1501,MATCH($A484,customer_churn_dataset!$A$2:$A$1501,0))</f>
        <v>0</v>
      </c>
      <c r="G483" s="0" t="str">
        <f aca="false">IF(INDEX(customer_churn_dataset!$M$2:$M$1501,MATCH($A484,customer_churn_dataset!$A$2:$A$1501,0))=1,"Yes","No")</f>
        <v>No</v>
      </c>
      <c r="H483" s="0" t="n">
        <f aca="false">INDEX(customer_churn_dataset!$N$2:$N$1501,MATCH($A484,customer_churn_dataset!$A$2:$A$1501,0))</f>
        <v>12.16</v>
      </c>
      <c r="I483" s="0" t="n">
        <f aca="false">INDEX(customer_churn_dataset!$O$2:$O$1501,MATCH($A484,customer_churn_dataset!$A$2:$A$1501,0))</f>
        <v>0</v>
      </c>
      <c r="J483" s="0" t="n">
        <f aca="false">INDEX(customer_churn_dataset!$T$2:$T$1501,MATCH($A484,customer_churn_dataset!$A$2:$A$1501,0))</f>
        <v>5</v>
      </c>
      <c r="K483" s="0" t="str">
        <f aca="false">INDEX(customer_churn_dataset!$V$2:$V$1501,MATCH($A484,customer_churn_dataset!$A$2:$A$1501,0))</f>
        <v>Medium Risk</v>
      </c>
    </row>
    <row r="484" customFormat="false" ht="12.8" hidden="true" customHeight="false" outlineLevel="0" collapsed="false">
      <c r="A484" s="22" t="str">
        <f aca="false">customer_churn_dataset!A368</f>
        <v>CUST100606</v>
      </c>
      <c r="B484" s="22" t="str">
        <f aca="false">customer_churn_dataset!B368</f>
        <v>Basic</v>
      </c>
      <c r="C484" s="22" t="str">
        <f aca="false">customer_churn_dataset!C368</f>
        <v>Month-to-month</v>
      </c>
      <c r="D484" s="0" t="n">
        <f aca="false">INDEX(customer_churn_dataset!$E$2:$E$1501,MATCH($A485,customer_churn_dataset!$A$2:$A$1501,0))</f>
        <v>34</v>
      </c>
      <c r="E484" s="0" t="n">
        <f aca="false">INDEX(customer_churn_dataset!$I$2:$I$1501,MATCH($A485,customer_churn_dataset!$A$2:$A$1501,0))</f>
        <v>64.1</v>
      </c>
      <c r="F484" s="0" t="n">
        <f aca="false">INDEX(customer_churn_dataset!$L$2:$L$1501,MATCH($A485,customer_churn_dataset!$A$2:$A$1501,0))</f>
        <v>2</v>
      </c>
      <c r="G484" s="0" t="str">
        <f aca="false">IF(INDEX(customer_churn_dataset!$M$2:$M$1501,MATCH($A485,customer_churn_dataset!$A$2:$A$1501,0))=1,"Yes","No")</f>
        <v>No</v>
      </c>
      <c r="H484" s="0" t="n">
        <f aca="false">INDEX(customer_churn_dataset!$N$2:$N$1501,MATCH($A485,customer_churn_dataset!$A$2:$A$1501,0))</f>
        <v>1382.78</v>
      </c>
      <c r="I484" s="0" t="n">
        <f aca="false">INDEX(customer_churn_dataset!$O$2:$O$1501,MATCH($A485,customer_churn_dataset!$A$2:$A$1501,0))</f>
        <v>0</v>
      </c>
      <c r="J484" s="0" t="n">
        <f aca="false">INDEX(customer_churn_dataset!$T$2:$T$1501,MATCH($A485,customer_churn_dataset!$A$2:$A$1501,0))</f>
        <v>1</v>
      </c>
      <c r="K484" s="0" t="str">
        <f aca="false">INDEX(customer_churn_dataset!$V$2:$V$1501,MATCH($A485,customer_churn_dataset!$A$2:$A$1501,0))</f>
        <v>Low Risk</v>
      </c>
    </row>
    <row r="485" customFormat="false" ht="12.8" hidden="true" customHeight="false" outlineLevel="0" collapsed="false">
      <c r="A485" s="22" t="str">
        <f aca="false">customer_churn_dataset!A374</f>
        <v>CUST101104</v>
      </c>
      <c r="B485" s="22" t="str">
        <f aca="false">customer_churn_dataset!B374</f>
        <v>Premium</v>
      </c>
      <c r="C485" s="22" t="str">
        <f aca="false">customer_churn_dataset!C374</f>
        <v>Two year</v>
      </c>
      <c r="D485" s="0" t="n">
        <f aca="false">INDEX(customer_churn_dataset!$E$2:$E$1501,MATCH($A486,customer_churn_dataset!$A$2:$A$1501,0))</f>
        <v>5</v>
      </c>
      <c r="E485" s="0" t="n">
        <f aca="false">INDEX(customer_churn_dataset!$I$2:$I$1501,MATCH($A486,customer_churn_dataset!$A$2:$A$1501,0))</f>
        <v>45.6</v>
      </c>
      <c r="F485" s="0" t="n">
        <f aca="false">INDEX(customer_churn_dataset!$L$2:$L$1501,MATCH($A486,customer_churn_dataset!$A$2:$A$1501,0))</f>
        <v>2</v>
      </c>
      <c r="G485" s="0" t="str">
        <f aca="false">IF(INDEX(customer_churn_dataset!$M$2:$M$1501,MATCH($A486,customer_churn_dataset!$A$2:$A$1501,0))=1,"Yes","No")</f>
        <v>No</v>
      </c>
      <c r="H485" s="0" t="n">
        <f aca="false">INDEX(customer_churn_dataset!$N$2:$N$1501,MATCH($A486,customer_churn_dataset!$A$2:$A$1501,0))</f>
        <v>98</v>
      </c>
      <c r="I485" s="0" t="n">
        <f aca="false">INDEX(customer_churn_dataset!$O$2:$O$1501,MATCH($A486,customer_churn_dataset!$A$2:$A$1501,0))</f>
        <v>1</v>
      </c>
      <c r="J485" s="0" t="n">
        <f aca="false">INDEX(customer_churn_dataset!$T$2:$T$1501,MATCH($A486,customer_churn_dataset!$A$2:$A$1501,0))</f>
        <v>5</v>
      </c>
      <c r="K485" s="0" t="str">
        <f aca="false">INDEX(customer_churn_dataset!$V$2:$V$1501,MATCH($A486,customer_churn_dataset!$A$2:$A$1501,0))</f>
        <v>Medium Risk</v>
      </c>
    </row>
    <row r="486" customFormat="false" ht="12.8" hidden="true" customHeight="false" outlineLevel="0" collapsed="false">
      <c r="A486" s="22" t="str">
        <f aca="false">customer_churn_dataset!A375</f>
        <v>CUST101167</v>
      </c>
      <c r="B486" s="22" t="str">
        <f aca="false">customer_churn_dataset!B375</f>
        <v>Standard</v>
      </c>
      <c r="C486" s="22" t="str">
        <f aca="false">customer_churn_dataset!C375</f>
        <v>Month-to-month</v>
      </c>
      <c r="D486" s="0" t="n">
        <f aca="false">INDEX(customer_churn_dataset!$E$2:$E$1501,MATCH($A487,customer_churn_dataset!$A$2:$A$1501,0))</f>
        <v>2</v>
      </c>
      <c r="E486" s="0" t="n">
        <f aca="false">INDEX(customer_churn_dataset!$I$2:$I$1501,MATCH($A487,customer_churn_dataset!$A$2:$A$1501,0))</f>
        <v>41.4</v>
      </c>
      <c r="F486" s="0" t="n">
        <f aca="false">INDEX(customer_churn_dataset!$L$2:$L$1501,MATCH($A487,customer_churn_dataset!$A$2:$A$1501,0))</f>
        <v>1</v>
      </c>
      <c r="G486" s="0" t="str">
        <f aca="false">IF(INDEX(customer_churn_dataset!$M$2:$M$1501,MATCH($A487,customer_churn_dataset!$A$2:$A$1501,0))=1,"Yes","No")</f>
        <v>No</v>
      </c>
      <c r="H486" s="0" t="n">
        <f aca="false">INDEX(customer_churn_dataset!$N$2:$N$1501,MATCH($A487,customer_churn_dataset!$A$2:$A$1501,0))</f>
        <v>19.56</v>
      </c>
      <c r="I486" s="0" t="n">
        <f aca="false">INDEX(customer_churn_dataset!$O$2:$O$1501,MATCH($A487,customer_churn_dataset!$A$2:$A$1501,0))</f>
        <v>0</v>
      </c>
      <c r="J486" s="0" t="n">
        <f aca="false">INDEX(customer_churn_dataset!$T$2:$T$1501,MATCH($A487,customer_churn_dataset!$A$2:$A$1501,0))</f>
        <v>3</v>
      </c>
      <c r="K486" s="0" t="str">
        <f aca="false">INDEX(customer_churn_dataset!$V$2:$V$1501,MATCH($A487,customer_churn_dataset!$A$2:$A$1501,0))</f>
        <v>Medium Risk</v>
      </c>
    </row>
    <row r="487" customFormat="false" ht="12.8" hidden="true" customHeight="false" outlineLevel="0" collapsed="false">
      <c r="A487" s="22" t="str">
        <f aca="false">customer_churn_dataset!A376</f>
        <v>CUST100215</v>
      </c>
      <c r="B487" s="22" t="str">
        <f aca="false">customer_churn_dataset!B376</f>
        <v>Basic</v>
      </c>
      <c r="C487" s="22" t="str">
        <f aca="false">customer_churn_dataset!C376</f>
        <v>One year</v>
      </c>
      <c r="D487" s="0" t="n">
        <f aca="false">INDEX(customer_churn_dataset!$E$2:$E$1501,MATCH($A488,customer_churn_dataset!$A$2:$A$1501,0))</f>
        <v>64</v>
      </c>
      <c r="E487" s="0" t="n">
        <f aca="false">INDEX(customer_churn_dataset!$I$2:$I$1501,MATCH($A488,customer_churn_dataset!$A$2:$A$1501,0))</f>
        <v>53.1</v>
      </c>
      <c r="F487" s="0" t="n">
        <f aca="false">INDEX(customer_churn_dataset!$L$2:$L$1501,MATCH($A488,customer_churn_dataset!$A$2:$A$1501,0))</f>
        <v>0</v>
      </c>
      <c r="G487" s="0" t="str">
        <f aca="false">IF(INDEX(customer_churn_dataset!$M$2:$M$1501,MATCH($A488,customer_churn_dataset!$A$2:$A$1501,0))=1,"Yes","No")</f>
        <v>No</v>
      </c>
      <c r="H487" s="0" t="n">
        <f aca="false">INDEX(customer_churn_dataset!$N$2:$N$1501,MATCH($A488,customer_churn_dataset!$A$2:$A$1501,0))</f>
        <v>2506.88</v>
      </c>
      <c r="I487" s="0" t="n">
        <f aca="false">INDEX(customer_churn_dataset!$O$2:$O$1501,MATCH($A488,customer_churn_dataset!$A$2:$A$1501,0))</f>
        <v>0</v>
      </c>
      <c r="J487" s="0" t="n">
        <f aca="false">INDEX(customer_churn_dataset!$T$2:$T$1501,MATCH($A488,customer_churn_dataset!$A$2:$A$1501,0))</f>
        <v>3</v>
      </c>
      <c r="K487" s="0" t="str">
        <f aca="false">INDEX(customer_churn_dataset!$V$2:$V$1501,MATCH($A488,customer_churn_dataset!$A$2:$A$1501,0))</f>
        <v>Medium Risk</v>
      </c>
    </row>
    <row r="488" customFormat="false" ht="12.8" hidden="true" customHeight="false" outlineLevel="0" collapsed="false">
      <c r="A488" s="22" t="str">
        <f aca="false">customer_churn_dataset!A377</f>
        <v>CUST100847</v>
      </c>
      <c r="B488" s="22" t="str">
        <f aca="false">customer_churn_dataset!B377</f>
        <v>Premium</v>
      </c>
      <c r="C488" s="22" t="str">
        <f aca="false">customer_churn_dataset!C377</f>
        <v>Month-to-month</v>
      </c>
      <c r="D488" s="0" t="n">
        <f aca="false">INDEX(customer_churn_dataset!$E$2:$E$1501,MATCH($A489,customer_churn_dataset!$A$2:$A$1501,0))</f>
        <v>5</v>
      </c>
      <c r="E488" s="0" t="n">
        <f aca="false">INDEX(customer_churn_dataset!$I$2:$I$1501,MATCH($A489,customer_churn_dataset!$A$2:$A$1501,0))</f>
        <v>79.2</v>
      </c>
      <c r="F488" s="0" t="n">
        <f aca="false">INDEX(customer_churn_dataset!$L$2:$L$1501,MATCH($A489,customer_churn_dataset!$A$2:$A$1501,0))</f>
        <v>1</v>
      </c>
      <c r="G488" s="0" t="str">
        <f aca="false">IF(INDEX(customer_churn_dataset!$M$2:$M$1501,MATCH($A489,customer_churn_dataset!$A$2:$A$1501,0))=1,"Yes","No")</f>
        <v>No</v>
      </c>
      <c r="H488" s="0" t="n">
        <f aca="false">INDEX(customer_churn_dataset!$N$2:$N$1501,MATCH($A489,customer_churn_dataset!$A$2:$A$1501,0))</f>
        <v>53</v>
      </c>
      <c r="I488" s="0" t="n">
        <f aca="false">INDEX(customer_churn_dataset!$O$2:$O$1501,MATCH($A489,customer_churn_dataset!$A$2:$A$1501,0))</f>
        <v>0</v>
      </c>
      <c r="J488" s="0" t="n">
        <f aca="false">INDEX(customer_churn_dataset!$T$2:$T$1501,MATCH($A489,customer_churn_dataset!$A$2:$A$1501,0))</f>
        <v>3</v>
      </c>
      <c r="K488" s="0" t="str">
        <f aca="false">INDEX(customer_churn_dataset!$V$2:$V$1501,MATCH($A489,customer_churn_dataset!$A$2:$A$1501,0))</f>
        <v>Medium Risk</v>
      </c>
    </row>
    <row r="489" customFormat="false" ht="12.8" hidden="false" customHeight="false" outlineLevel="0" collapsed="false">
      <c r="A489" s="23" t="str">
        <f aca="false">customer_churn_dataset!A378</f>
        <v>CUST100111</v>
      </c>
      <c r="B489" s="24" t="str">
        <f aca="false">customer_churn_dataset!B378</f>
        <v>Basic</v>
      </c>
      <c r="C489" s="24" t="str">
        <f aca="false">customer_churn_dataset!C378</f>
        <v>Month-to-month</v>
      </c>
      <c r="D489" s="25" t="n">
        <f aca="false">INDEX(customer_churn_dataset!$E$2:$E$1501,MATCH($A490,customer_churn_dataset!$A$2:$A$1501,0))</f>
        <v>18</v>
      </c>
      <c r="E489" s="25" t="n">
        <f aca="false">INDEX(customer_churn_dataset!$I$2:$I$1501,MATCH($A490,customer_churn_dataset!$A$2:$A$1501,0))</f>
        <v>18.4</v>
      </c>
      <c r="F489" s="25" t="n">
        <f aca="false">INDEX(customer_churn_dataset!$L$2:$L$1501,MATCH($A490,customer_churn_dataset!$A$2:$A$1501,0))</f>
        <v>4</v>
      </c>
      <c r="G489" s="25" t="str">
        <f aca="false">IF(INDEX(customer_churn_dataset!$M$2:$M$1501,MATCH($A490,customer_churn_dataset!$A$2:$A$1501,0))=1,"Yes","No")</f>
        <v>Yes</v>
      </c>
      <c r="H489" s="25" t="n">
        <f aca="false">INDEX(customer_churn_dataset!$N$2:$N$1501,MATCH($A490,customer_churn_dataset!$A$2:$A$1501,0))</f>
        <v>356.76</v>
      </c>
      <c r="I489" s="25" t="n">
        <f aca="false">INDEX(customer_churn_dataset!$O$2:$O$1501,MATCH($A490,customer_churn_dataset!$A$2:$A$1501,0))</f>
        <v>1</v>
      </c>
      <c r="J489" s="25" t="n">
        <f aca="false">INDEX(customer_churn_dataset!$T$2:$T$1501,MATCH($A490,customer_churn_dataset!$A$2:$A$1501,0))</f>
        <v>8</v>
      </c>
      <c r="K489" s="25" t="str">
        <f aca="false">INDEX(customer_churn_dataset!$V$2:$V$1501,MATCH($A490,customer_churn_dataset!$A$2:$A$1501,0))</f>
        <v>High Risk</v>
      </c>
    </row>
    <row r="490" customFormat="false" ht="12.8" hidden="true" customHeight="false" outlineLevel="0" collapsed="false">
      <c r="A490" s="22" t="str">
        <f aca="false">customer_churn_dataset!A385</f>
        <v>CUST100274</v>
      </c>
      <c r="B490" s="22" t="str">
        <f aca="false">customer_churn_dataset!B385</f>
        <v>Standard</v>
      </c>
      <c r="C490" s="22" t="str">
        <f aca="false">customer_churn_dataset!C385</f>
        <v>Month-to-month</v>
      </c>
      <c r="D490" s="0" t="n">
        <f aca="false">INDEX(customer_churn_dataset!$E$2:$E$1501,MATCH($A491,customer_churn_dataset!$A$2:$A$1501,0))</f>
        <v>24</v>
      </c>
      <c r="E490" s="0" t="n">
        <f aca="false">INDEX(customer_churn_dataset!$I$2:$I$1501,MATCH($A491,customer_churn_dataset!$A$2:$A$1501,0))</f>
        <v>61.9</v>
      </c>
      <c r="F490" s="0" t="n">
        <f aca="false">INDEX(customer_churn_dataset!$L$2:$L$1501,MATCH($A491,customer_churn_dataset!$A$2:$A$1501,0))</f>
        <v>0</v>
      </c>
      <c r="G490" s="0" t="str">
        <f aca="false">IF(INDEX(customer_churn_dataset!$M$2:$M$1501,MATCH($A491,customer_churn_dataset!$A$2:$A$1501,0))=1,"Yes","No")</f>
        <v>No</v>
      </c>
      <c r="H490" s="0" t="n">
        <f aca="false">INDEX(customer_churn_dataset!$N$2:$N$1501,MATCH($A491,customer_churn_dataset!$A$2:$A$1501,0))</f>
        <v>223.2</v>
      </c>
      <c r="I490" s="0" t="n">
        <f aca="false">INDEX(customer_churn_dataset!$O$2:$O$1501,MATCH($A491,customer_churn_dataset!$A$2:$A$1501,0))</f>
        <v>0</v>
      </c>
      <c r="J490" s="0" t="n">
        <f aca="false">INDEX(customer_churn_dataset!$T$2:$T$1501,MATCH($A491,customer_churn_dataset!$A$2:$A$1501,0))</f>
        <v>2</v>
      </c>
      <c r="K490" s="0" t="str">
        <f aca="false">INDEX(customer_churn_dataset!$V$2:$V$1501,MATCH($A491,customer_churn_dataset!$A$2:$A$1501,0))</f>
        <v>Low Risk</v>
      </c>
    </row>
    <row r="491" customFormat="false" ht="12.8" hidden="true" customHeight="false" outlineLevel="0" collapsed="false">
      <c r="A491" s="22" t="str">
        <f aca="false">customer_churn_dataset!A388</f>
        <v>CUST100880</v>
      </c>
      <c r="B491" s="22" t="str">
        <f aca="false">customer_churn_dataset!B388</f>
        <v>Basic</v>
      </c>
      <c r="C491" s="22" t="str">
        <f aca="false">customer_churn_dataset!C388</f>
        <v>Month-to-month</v>
      </c>
      <c r="D491" s="0" t="n">
        <f aca="false">INDEX(customer_churn_dataset!$E$2:$E$1501,MATCH($A492,customer_churn_dataset!$A$2:$A$1501,0))</f>
        <v>10</v>
      </c>
      <c r="E491" s="0" t="n">
        <f aca="false">INDEX(customer_churn_dataset!$I$2:$I$1501,MATCH($A492,customer_churn_dataset!$A$2:$A$1501,0))</f>
        <v>78.5</v>
      </c>
      <c r="F491" s="0" t="n">
        <f aca="false">INDEX(customer_churn_dataset!$L$2:$L$1501,MATCH($A492,customer_churn_dataset!$A$2:$A$1501,0))</f>
        <v>1</v>
      </c>
      <c r="G491" s="0" t="str">
        <f aca="false">IF(INDEX(customer_churn_dataset!$M$2:$M$1501,MATCH($A492,customer_churn_dataset!$A$2:$A$1501,0))=1,"Yes","No")</f>
        <v>No</v>
      </c>
      <c r="H491" s="0" t="n">
        <f aca="false">INDEX(customer_churn_dataset!$N$2:$N$1501,MATCH($A492,customer_churn_dataset!$A$2:$A$1501,0))</f>
        <v>120.5</v>
      </c>
      <c r="I491" s="0" t="n">
        <f aca="false">INDEX(customer_churn_dataset!$O$2:$O$1501,MATCH($A492,customer_churn_dataset!$A$2:$A$1501,0))</f>
        <v>1</v>
      </c>
      <c r="J491" s="0" t="n">
        <f aca="false">INDEX(customer_churn_dataset!$T$2:$T$1501,MATCH($A492,customer_churn_dataset!$A$2:$A$1501,0))</f>
        <v>3</v>
      </c>
      <c r="K491" s="0" t="str">
        <f aca="false">INDEX(customer_churn_dataset!$V$2:$V$1501,MATCH($A492,customer_churn_dataset!$A$2:$A$1501,0))</f>
        <v>Medium Risk</v>
      </c>
    </row>
    <row r="492" customFormat="false" ht="12.8" hidden="true" customHeight="false" outlineLevel="0" collapsed="false">
      <c r="A492" s="22" t="str">
        <f aca="false">customer_churn_dataset!A389</f>
        <v>CUST101368</v>
      </c>
      <c r="B492" s="22" t="str">
        <f aca="false">customer_churn_dataset!B389</f>
        <v>Basic</v>
      </c>
      <c r="C492" s="22" t="str">
        <f aca="false">customer_churn_dataset!C389</f>
        <v>Month-to-month</v>
      </c>
      <c r="D492" s="0" t="n">
        <f aca="false">INDEX(customer_churn_dataset!$E$2:$E$1501,MATCH($A493,customer_churn_dataset!$A$2:$A$1501,0))</f>
        <v>35</v>
      </c>
      <c r="E492" s="0" t="n">
        <f aca="false">INDEX(customer_churn_dataset!$I$2:$I$1501,MATCH($A493,customer_churn_dataset!$A$2:$A$1501,0))</f>
        <v>72.1</v>
      </c>
      <c r="F492" s="0" t="n">
        <f aca="false">INDEX(customer_churn_dataset!$L$2:$L$1501,MATCH($A493,customer_churn_dataset!$A$2:$A$1501,0))</f>
        <v>1</v>
      </c>
      <c r="G492" s="0" t="str">
        <f aca="false">IF(INDEX(customer_churn_dataset!$M$2:$M$1501,MATCH($A493,customer_churn_dataset!$A$2:$A$1501,0))=1,"Yes","No")</f>
        <v>No</v>
      </c>
      <c r="H492" s="0" t="n">
        <f aca="false">INDEX(customer_churn_dataset!$N$2:$N$1501,MATCH($A493,customer_churn_dataset!$A$2:$A$1501,0))</f>
        <v>695.1</v>
      </c>
      <c r="I492" s="0" t="n">
        <f aca="false">INDEX(customer_churn_dataset!$O$2:$O$1501,MATCH($A493,customer_churn_dataset!$A$2:$A$1501,0))</f>
        <v>1</v>
      </c>
      <c r="J492" s="0" t="n">
        <f aca="false">INDEX(customer_churn_dataset!$T$2:$T$1501,MATCH($A493,customer_churn_dataset!$A$2:$A$1501,0))</f>
        <v>2</v>
      </c>
      <c r="K492" s="0" t="str">
        <f aca="false">INDEX(customer_churn_dataset!$V$2:$V$1501,MATCH($A493,customer_churn_dataset!$A$2:$A$1501,0))</f>
        <v>Low Risk</v>
      </c>
    </row>
    <row r="493" customFormat="false" ht="12.8" hidden="true" customHeight="false" outlineLevel="0" collapsed="false">
      <c r="A493" s="22" t="str">
        <f aca="false">customer_churn_dataset!A395</f>
        <v>CUST101354</v>
      </c>
      <c r="B493" s="22" t="str">
        <f aca="false">customer_churn_dataset!B395</f>
        <v>Standard</v>
      </c>
      <c r="C493" s="22" t="str">
        <f aca="false">customer_churn_dataset!C395</f>
        <v>Month-to-month</v>
      </c>
      <c r="D493" s="0" t="n">
        <f aca="false">INDEX(customer_churn_dataset!$E$2:$E$1501,MATCH($A494,customer_churn_dataset!$A$2:$A$1501,0))</f>
        <v>21</v>
      </c>
      <c r="E493" s="0" t="n">
        <f aca="false">INDEX(customer_churn_dataset!$I$2:$I$1501,MATCH($A494,customer_churn_dataset!$A$2:$A$1501,0))</f>
        <v>35.4</v>
      </c>
      <c r="F493" s="0" t="n">
        <f aca="false">INDEX(customer_churn_dataset!$L$2:$L$1501,MATCH($A494,customer_churn_dataset!$A$2:$A$1501,0))</f>
        <v>1</v>
      </c>
      <c r="G493" s="0" t="str">
        <f aca="false">IF(INDEX(customer_churn_dataset!$M$2:$M$1501,MATCH($A494,customer_churn_dataset!$A$2:$A$1501,0))=1,"Yes","No")</f>
        <v>No</v>
      </c>
      <c r="H493" s="0" t="n">
        <f aca="false">INDEX(customer_churn_dataset!$N$2:$N$1501,MATCH($A494,customer_churn_dataset!$A$2:$A$1501,0))</f>
        <v>440.16</v>
      </c>
      <c r="I493" s="0" t="n">
        <f aca="false">INDEX(customer_churn_dataset!$O$2:$O$1501,MATCH($A494,customer_churn_dataset!$A$2:$A$1501,0))</f>
        <v>1</v>
      </c>
      <c r="J493" s="0" t="n">
        <f aca="false">INDEX(customer_churn_dataset!$T$2:$T$1501,MATCH($A494,customer_churn_dataset!$A$2:$A$1501,0))</f>
        <v>4</v>
      </c>
      <c r="K493" s="0" t="str">
        <f aca="false">INDEX(customer_churn_dataset!$V$2:$V$1501,MATCH($A494,customer_churn_dataset!$A$2:$A$1501,0))</f>
        <v>Medium Risk</v>
      </c>
    </row>
    <row r="494" customFormat="false" ht="12.8" hidden="true" customHeight="false" outlineLevel="0" collapsed="false">
      <c r="A494" s="22" t="str">
        <f aca="false">customer_churn_dataset!A396</f>
        <v>CUST100910</v>
      </c>
      <c r="B494" s="22" t="str">
        <f aca="false">customer_churn_dataset!B396</f>
        <v>Standard</v>
      </c>
      <c r="C494" s="22" t="str">
        <f aca="false">customer_churn_dataset!C396</f>
        <v>Month-to-month</v>
      </c>
      <c r="D494" s="0" t="n">
        <f aca="false">INDEX(customer_churn_dataset!$E$2:$E$1501,MATCH($A495,customer_churn_dataset!$A$2:$A$1501,0))</f>
        <v>29</v>
      </c>
      <c r="E494" s="0" t="n">
        <f aca="false">INDEX(customer_churn_dataset!$I$2:$I$1501,MATCH($A495,customer_churn_dataset!$A$2:$A$1501,0))</f>
        <v>47.8</v>
      </c>
      <c r="F494" s="0" t="n">
        <f aca="false">INDEX(customer_churn_dataset!$L$2:$L$1501,MATCH($A495,customer_churn_dataset!$A$2:$A$1501,0))</f>
        <v>0</v>
      </c>
      <c r="G494" s="0" t="str">
        <f aca="false">IF(INDEX(customer_churn_dataset!$M$2:$M$1501,MATCH($A495,customer_churn_dataset!$A$2:$A$1501,0))=1,"Yes","No")</f>
        <v>No</v>
      </c>
      <c r="H494" s="0" t="n">
        <f aca="false">INDEX(customer_churn_dataset!$N$2:$N$1501,MATCH($A495,customer_churn_dataset!$A$2:$A$1501,0))</f>
        <v>581.16</v>
      </c>
      <c r="I494" s="0" t="n">
        <f aca="false">INDEX(customer_churn_dataset!$O$2:$O$1501,MATCH($A495,customer_churn_dataset!$A$2:$A$1501,0))</f>
        <v>0</v>
      </c>
      <c r="J494" s="0" t="n">
        <f aca="false">INDEX(customer_churn_dataset!$T$2:$T$1501,MATCH($A495,customer_churn_dataset!$A$2:$A$1501,0))</f>
        <v>2</v>
      </c>
      <c r="K494" s="0" t="str">
        <f aca="false">INDEX(customer_churn_dataset!$V$2:$V$1501,MATCH($A495,customer_churn_dataset!$A$2:$A$1501,0))</f>
        <v>Low Risk</v>
      </c>
    </row>
    <row r="495" customFormat="false" ht="12.8" hidden="true" customHeight="false" outlineLevel="0" collapsed="false">
      <c r="A495" s="22" t="str">
        <f aca="false">customer_churn_dataset!A401</f>
        <v>CUST100981</v>
      </c>
      <c r="B495" s="22" t="str">
        <f aca="false">customer_churn_dataset!B401</f>
        <v>Standard</v>
      </c>
      <c r="C495" s="22" t="str">
        <f aca="false">customer_churn_dataset!C401</f>
        <v>One year</v>
      </c>
      <c r="D495" s="0" t="n">
        <f aca="false">INDEX(customer_churn_dataset!$E$2:$E$1501,MATCH($A496,customer_churn_dataset!$A$2:$A$1501,0))</f>
        <v>15</v>
      </c>
      <c r="E495" s="0" t="n">
        <f aca="false">INDEX(customer_churn_dataset!$I$2:$I$1501,MATCH($A496,customer_churn_dataset!$A$2:$A$1501,0))</f>
        <v>42.9</v>
      </c>
      <c r="F495" s="0" t="n">
        <f aca="false">INDEX(customer_churn_dataset!$L$2:$L$1501,MATCH($A496,customer_churn_dataset!$A$2:$A$1501,0))</f>
        <v>0</v>
      </c>
      <c r="G495" s="0" t="str">
        <f aca="false">IF(INDEX(customer_churn_dataset!$M$2:$M$1501,MATCH($A496,customer_churn_dataset!$A$2:$A$1501,0))=1,"Yes","No")</f>
        <v>No</v>
      </c>
      <c r="H495" s="0" t="n">
        <f aca="false">INDEX(customer_churn_dataset!$N$2:$N$1501,MATCH($A496,customer_churn_dataset!$A$2:$A$1501,0))</f>
        <v>165.6</v>
      </c>
      <c r="I495" s="0" t="n">
        <f aca="false">INDEX(customer_churn_dataset!$O$2:$O$1501,MATCH($A496,customer_churn_dataset!$A$2:$A$1501,0))</f>
        <v>0</v>
      </c>
      <c r="J495" s="0" t="n">
        <f aca="false">INDEX(customer_churn_dataset!$T$2:$T$1501,MATCH($A496,customer_churn_dataset!$A$2:$A$1501,0))</f>
        <v>3</v>
      </c>
      <c r="K495" s="0" t="str">
        <f aca="false">INDEX(customer_churn_dataset!$V$2:$V$1501,MATCH($A496,customer_churn_dataset!$A$2:$A$1501,0))</f>
        <v>Medium Risk</v>
      </c>
    </row>
    <row r="496" customFormat="false" ht="12.8" hidden="true" customHeight="false" outlineLevel="0" collapsed="false">
      <c r="A496" s="22" t="str">
        <f aca="false">customer_churn_dataset!A402</f>
        <v>CUST101260</v>
      </c>
      <c r="B496" s="22" t="str">
        <f aca="false">customer_churn_dataset!B402</f>
        <v>Basic</v>
      </c>
      <c r="C496" s="22" t="str">
        <f aca="false">customer_churn_dataset!C402</f>
        <v>Month-to-month</v>
      </c>
      <c r="D496" s="0" t="n">
        <f aca="false">INDEX(customer_churn_dataset!$E$2:$E$1501,MATCH($A497,customer_churn_dataset!$A$2:$A$1501,0))</f>
        <v>10</v>
      </c>
      <c r="E496" s="0" t="n">
        <f aca="false">INDEX(customer_churn_dataset!$I$2:$I$1501,MATCH($A497,customer_churn_dataset!$A$2:$A$1501,0))</f>
        <v>45.9</v>
      </c>
      <c r="F496" s="0" t="n">
        <f aca="false">INDEX(customer_churn_dataset!$L$2:$L$1501,MATCH($A497,customer_churn_dataset!$A$2:$A$1501,0))</f>
        <v>1</v>
      </c>
      <c r="G496" s="0" t="str">
        <f aca="false">IF(INDEX(customer_churn_dataset!$M$2:$M$1501,MATCH($A497,customer_churn_dataset!$A$2:$A$1501,0))=1,"Yes","No")</f>
        <v>Yes</v>
      </c>
      <c r="H496" s="0" t="n">
        <f aca="false">INDEX(customer_churn_dataset!$N$2:$N$1501,MATCH($A497,customer_churn_dataset!$A$2:$A$1501,0))</f>
        <v>206.7</v>
      </c>
      <c r="I496" s="0" t="n">
        <f aca="false">INDEX(customer_churn_dataset!$O$2:$O$1501,MATCH($A497,customer_churn_dataset!$A$2:$A$1501,0))</f>
        <v>0</v>
      </c>
      <c r="J496" s="0" t="n">
        <f aca="false">INDEX(customer_churn_dataset!$T$2:$T$1501,MATCH($A497,customer_churn_dataset!$A$2:$A$1501,0))</f>
        <v>7</v>
      </c>
      <c r="K496" s="0" t="str">
        <f aca="false">INDEX(customer_churn_dataset!$V$2:$V$1501,MATCH($A497,customer_churn_dataset!$A$2:$A$1501,0))</f>
        <v>High Risk</v>
      </c>
    </row>
    <row r="497" customFormat="false" ht="12.8" hidden="true" customHeight="false" outlineLevel="0" collapsed="false">
      <c r="A497" s="22" t="str">
        <f aca="false">customer_churn_dataset!A405</f>
        <v>CUST100591</v>
      </c>
      <c r="B497" s="22" t="str">
        <f aca="false">customer_churn_dataset!B405</f>
        <v>Standard</v>
      </c>
      <c r="C497" s="22" t="str">
        <f aca="false">customer_churn_dataset!C405</f>
        <v>Month-to-month</v>
      </c>
      <c r="D497" s="0" t="n">
        <f aca="false">INDEX(customer_churn_dataset!$E$2:$E$1501,MATCH($A498,customer_churn_dataset!$A$2:$A$1501,0))</f>
        <v>10</v>
      </c>
      <c r="E497" s="0" t="n">
        <f aca="false">INDEX(customer_churn_dataset!$I$2:$I$1501,MATCH($A498,customer_churn_dataset!$A$2:$A$1501,0))</f>
        <v>85.8</v>
      </c>
      <c r="F497" s="0" t="n">
        <f aca="false">INDEX(customer_churn_dataset!$L$2:$L$1501,MATCH($A498,customer_churn_dataset!$A$2:$A$1501,0))</f>
        <v>1</v>
      </c>
      <c r="G497" s="0" t="str">
        <f aca="false">IF(INDEX(customer_churn_dataset!$M$2:$M$1501,MATCH($A498,customer_churn_dataset!$A$2:$A$1501,0))=1,"Yes","No")</f>
        <v>No</v>
      </c>
      <c r="H497" s="0" t="n">
        <f aca="false">INDEX(customer_churn_dataset!$N$2:$N$1501,MATCH($A498,customer_churn_dataset!$A$2:$A$1501,0))</f>
        <v>94.3</v>
      </c>
      <c r="I497" s="0" t="n">
        <f aca="false">INDEX(customer_churn_dataset!$O$2:$O$1501,MATCH($A498,customer_churn_dataset!$A$2:$A$1501,0))</f>
        <v>0</v>
      </c>
      <c r="J497" s="0" t="n">
        <f aca="false">INDEX(customer_churn_dataset!$T$2:$T$1501,MATCH($A498,customer_churn_dataset!$A$2:$A$1501,0))</f>
        <v>1</v>
      </c>
      <c r="K497" s="0" t="str">
        <f aca="false">INDEX(customer_churn_dataset!$V$2:$V$1501,MATCH($A498,customer_churn_dataset!$A$2:$A$1501,0))</f>
        <v>Low Risk</v>
      </c>
    </row>
    <row r="498" customFormat="false" ht="12.8" hidden="true" customHeight="false" outlineLevel="0" collapsed="false">
      <c r="A498" s="22" t="str">
        <f aca="false">customer_churn_dataset!A408</f>
        <v>CUST100332</v>
      </c>
      <c r="B498" s="22" t="str">
        <f aca="false">customer_churn_dataset!B408</f>
        <v>Basic</v>
      </c>
      <c r="C498" s="22" t="str">
        <f aca="false">customer_churn_dataset!C408</f>
        <v>Two year</v>
      </c>
      <c r="D498" s="0" t="n">
        <f aca="false">INDEX(customer_churn_dataset!$E$2:$E$1501,MATCH($A499,customer_churn_dataset!$A$2:$A$1501,0))</f>
        <v>42</v>
      </c>
      <c r="E498" s="0" t="n">
        <f aca="false">INDEX(customer_churn_dataset!$I$2:$I$1501,MATCH($A499,customer_churn_dataset!$A$2:$A$1501,0))</f>
        <v>68.8</v>
      </c>
      <c r="F498" s="0" t="n">
        <f aca="false">INDEX(customer_churn_dataset!$L$2:$L$1501,MATCH($A499,customer_churn_dataset!$A$2:$A$1501,0))</f>
        <v>1</v>
      </c>
      <c r="G498" s="0" t="str">
        <f aca="false">IF(INDEX(customer_churn_dataset!$M$2:$M$1501,MATCH($A499,customer_churn_dataset!$A$2:$A$1501,0))=1,"Yes","No")</f>
        <v>No</v>
      </c>
      <c r="H498" s="0" t="n">
        <f aca="false">INDEX(customer_churn_dataset!$N$2:$N$1501,MATCH($A499,customer_churn_dataset!$A$2:$A$1501,0))</f>
        <v>878.22</v>
      </c>
      <c r="I498" s="0" t="n">
        <f aca="false">INDEX(customer_churn_dataset!$O$2:$O$1501,MATCH($A499,customer_churn_dataset!$A$2:$A$1501,0))</f>
        <v>0</v>
      </c>
      <c r="J498" s="0" t="n">
        <f aca="false">INDEX(customer_churn_dataset!$T$2:$T$1501,MATCH($A499,customer_churn_dataset!$A$2:$A$1501,0))</f>
        <v>0</v>
      </c>
      <c r="K498" s="0" t="str">
        <f aca="false">INDEX(customer_churn_dataset!$V$2:$V$1501,MATCH($A499,customer_churn_dataset!$A$2:$A$1501,0))</f>
        <v>Low Risk</v>
      </c>
    </row>
    <row r="499" customFormat="false" ht="12.8" hidden="true" customHeight="false" outlineLevel="0" collapsed="false">
      <c r="A499" s="22" t="str">
        <f aca="false">customer_churn_dataset!A411</f>
        <v>CUST100136</v>
      </c>
      <c r="B499" s="22" t="str">
        <f aca="false">customer_churn_dataset!B411</f>
        <v>Standard</v>
      </c>
      <c r="C499" s="22" t="str">
        <f aca="false">customer_churn_dataset!C411</f>
        <v>Two year</v>
      </c>
      <c r="D499" s="0" t="n">
        <f aca="false">INDEX(customer_churn_dataset!$E$2:$E$1501,MATCH($A500,customer_churn_dataset!$A$2:$A$1501,0))</f>
        <v>31</v>
      </c>
      <c r="E499" s="0" t="n">
        <f aca="false">INDEX(customer_churn_dataset!$I$2:$I$1501,MATCH($A500,customer_churn_dataset!$A$2:$A$1501,0))</f>
        <v>38.3</v>
      </c>
      <c r="F499" s="0" t="n">
        <f aca="false">INDEX(customer_churn_dataset!$L$2:$L$1501,MATCH($A500,customer_churn_dataset!$A$2:$A$1501,0))</f>
        <v>0</v>
      </c>
      <c r="G499" s="0" t="str">
        <f aca="false">IF(INDEX(customer_churn_dataset!$M$2:$M$1501,MATCH($A500,customer_churn_dataset!$A$2:$A$1501,0))=1,"Yes","No")</f>
        <v>No</v>
      </c>
      <c r="H499" s="0" t="n">
        <f aca="false">INDEX(customer_churn_dataset!$N$2:$N$1501,MATCH($A500,customer_churn_dataset!$A$2:$A$1501,0))</f>
        <v>600.47</v>
      </c>
      <c r="I499" s="0" t="n">
        <f aca="false">INDEX(customer_churn_dataset!$O$2:$O$1501,MATCH($A500,customer_churn_dataset!$A$2:$A$1501,0))</f>
        <v>0</v>
      </c>
      <c r="J499" s="0" t="n">
        <f aca="false">INDEX(customer_churn_dataset!$T$2:$T$1501,MATCH($A500,customer_churn_dataset!$A$2:$A$1501,0))</f>
        <v>4</v>
      </c>
      <c r="K499" s="0" t="str">
        <f aca="false">INDEX(customer_churn_dataset!$V$2:$V$1501,MATCH($A500,customer_churn_dataset!$A$2:$A$1501,0))</f>
        <v>Medium Risk</v>
      </c>
    </row>
    <row r="500" customFormat="false" ht="12.8" hidden="true" customHeight="false" outlineLevel="0" collapsed="false">
      <c r="A500" s="22" t="str">
        <f aca="false">customer_churn_dataset!A412</f>
        <v>CUST100612</v>
      </c>
      <c r="B500" s="22" t="str">
        <f aca="false">customer_churn_dataset!B412</f>
        <v>Standard</v>
      </c>
      <c r="C500" s="22" t="str">
        <f aca="false">customer_churn_dataset!C412</f>
        <v>Month-to-month</v>
      </c>
      <c r="D500" s="0" t="n">
        <f aca="false">INDEX(customer_churn_dataset!$E$2:$E$1501,MATCH($A501,customer_churn_dataset!$A$2:$A$1501,0))</f>
        <v>6</v>
      </c>
      <c r="E500" s="0" t="n">
        <f aca="false">INDEX(customer_churn_dataset!$I$2:$I$1501,MATCH($A501,customer_churn_dataset!$A$2:$A$1501,0))</f>
        <v>36.3</v>
      </c>
      <c r="F500" s="0" t="n">
        <f aca="false">INDEX(customer_churn_dataset!$L$2:$L$1501,MATCH($A501,customer_churn_dataset!$A$2:$A$1501,0))</f>
        <v>1</v>
      </c>
      <c r="G500" s="0" t="str">
        <f aca="false">IF(INDEX(customer_churn_dataset!$M$2:$M$1501,MATCH($A501,customer_churn_dataset!$A$2:$A$1501,0))=1,"Yes","No")</f>
        <v>No</v>
      </c>
      <c r="H500" s="0" t="n">
        <f aca="false">INDEX(customer_churn_dataset!$N$2:$N$1501,MATCH($A501,customer_churn_dataset!$A$2:$A$1501,0))</f>
        <v>54.12</v>
      </c>
      <c r="I500" s="0" t="n">
        <f aca="false">INDEX(customer_churn_dataset!$O$2:$O$1501,MATCH($A501,customer_churn_dataset!$A$2:$A$1501,0))</f>
        <v>0</v>
      </c>
      <c r="J500" s="0" t="n">
        <f aca="false">INDEX(customer_churn_dataset!$T$2:$T$1501,MATCH($A501,customer_churn_dataset!$A$2:$A$1501,0))</f>
        <v>4</v>
      </c>
      <c r="K500" s="0" t="str">
        <f aca="false">INDEX(customer_churn_dataset!$V$2:$V$1501,MATCH($A501,customer_churn_dataset!$A$2:$A$1501,0))</f>
        <v>Medium Risk</v>
      </c>
    </row>
    <row r="501" customFormat="false" ht="12.8" hidden="true" customHeight="false" outlineLevel="0" collapsed="false">
      <c r="A501" s="22" t="str">
        <f aca="false">customer_churn_dataset!A413</f>
        <v>CUST100871</v>
      </c>
      <c r="B501" s="22" t="str">
        <f aca="false">customer_churn_dataset!B413</f>
        <v>Basic</v>
      </c>
      <c r="C501" s="22" t="str">
        <f aca="false">customer_churn_dataset!C413</f>
        <v>One year</v>
      </c>
      <c r="D501" s="0" t="n">
        <f aca="false">INDEX(customer_churn_dataset!$E$2:$E$1501,MATCH($A502,customer_churn_dataset!$A$2:$A$1501,0))</f>
        <v>16</v>
      </c>
      <c r="E501" s="0" t="n">
        <f aca="false">INDEX(customer_churn_dataset!$I$2:$I$1501,MATCH($A502,customer_churn_dataset!$A$2:$A$1501,0))</f>
        <v>73</v>
      </c>
      <c r="F501" s="0" t="n">
        <f aca="false">INDEX(customer_churn_dataset!$L$2:$L$1501,MATCH($A502,customer_churn_dataset!$A$2:$A$1501,0))</f>
        <v>2</v>
      </c>
      <c r="G501" s="0" t="str">
        <f aca="false">IF(INDEX(customer_churn_dataset!$M$2:$M$1501,MATCH($A502,customer_churn_dataset!$A$2:$A$1501,0))=1,"Yes","No")</f>
        <v>Yes</v>
      </c>
      <c r="H501" s="0" t="n">
        <f aca="false">INDEX(customer_churn_dataset!$N$2:$N$1501,MATCH($A502,customer_churn_dataset!$A$2:$A$1501,0))</f>
        <v>147.36</v>
      </c>
      <c r="I501" s="0" t="n">
        <f aca="false">INDEX(customer_churn_dataset!$O$2:$O$1501,MATCH($A502,customer_churn_dataset!$A$2:$A$1501,0))</f>
        <v>0</v>
      </c>
      <c r="J501" s="0" t="n">
        <f aca="false">INDEX(customer_churn_dataset!$T$2:$T$1501,MATCH($A502,customer_churn_dataset!$A$2:$A$1501,0))</f>
        <v>6</v>
      </c>
      <c r="K501" s="0" t="str">
        <f aca="false">INDEX(customer_churn_dataset!$V$2:$V$1501,MATCH($A502,customer_churn_dataset!$A$2:$A$1501,0))</f>
        <v>High Risk</v>
      </c>
    </row>
    <row r="502" customFormat="false" ht="12.8" hidden="true" customHeight="false" outlineLevel="0" collapsed="false">
      <c r="A502" s="22" t="str">
        <f aca="false">customer_churn_dataset!A420</f>
        <v>CUST101485</v>
      </c>
      <c r="B502" s="22" t="str">
        <f aca="false">customer_churn_dataset!B420</f>
        <v>Basic</v>
      </c>
      <c r="C502" s="22" t="str">
        <f aca="false">customer_churn_dataset!C420</f>
        <v>Month-to-month</v>
      </c>
      <c r="D502" s="0" t="n">
        <f aca="false">INDEX(customer_churn_dataset!$E$2:$E$1501,MATCH($A503,customer_churn_dataset!$A$2:$A$1501,0))</f>
        <v>9</v>
      </c>
      <c r="E502" s="0" t="n">
        <f aca="false">INDEX(customer_churn_dataset!$I$2:$I$1501,MATCH($A503,customer_churn_dataset!$A$2:$A$1501,0))</f>
        <v>46.9</v>
      </c>
      <c r="F502" s="0" t="n">
        <f aca="false">INDEX(customer_churn_dataset!$L$2:$L$1501,MATCH($A503,customer_churn_dataset!$A$2:$A$1501,0))</f>
        <v>4</v>
      </c>
      <c r="G502" s="0" t="str">
        <f aca="false">IF(INDEX(customer_churn_dataset!$M$2:$M$1501,MATCH($A503,customer_churn_dataset!$A$2:$A$1501,0))=1,"Yes","No")</f>
        <v>No</v>
      </c>
      <c r="H502" s="0" t="n">
        <f aca="false">INDEX(customer_churn_dataset!$N$2:$N$1501,MATCH($A503,customer_churn_dataset!$A$2:$A$1501,0))</f>
        <v>178.2</v>
      </c>
      <c r="I502" s="0" t="n">
        <f aca="false">INDEX(customer_churn_dataset!$O$2:$O$1501,MATCH($A503,customer_churn_dataset!$A$2:$A$1501,0))</f>
        <v>0</v>
      </c>
      <c r="J502" s="0" t="n">
        <f aca="false">INDEX(customer_churn_dataset!$T$2:$T$1501,MATCH($A503,customer_churn_dataset!$A$2:$A$1501,0))</f>
        <v>3</v>
      </c>
      <c r="K502" s="0" t="str">
        <f aca="false">INDEX(customer_churn_dataset!$V$2:$V$1501,MATCH($A503,customer_churn_dataset!$A$2:$A$1501,0))</f>
        <v>Medium Risk</v>
      </c>
    </row>
    <row r="503" customFormat="false" ht="12.8" hidden="true" customHeight="false" outlineLevel="0" collapsed="false">
      <c r="A503" s="22" t="str">
        <f aca="false">customer_churn_dataset!A421</f>
        <v>CUST100959</v>
      </c>
      <c r="B503" s="22" t="str">
        <f aca="false">customer_churn_dataset!B421</f>
        <v>Standard</v>
      </c>
      <c r="C503" s="22" t="str">
        <f aca="false">customer_churn_dataset!C421</f>
        <v>Two year</v>
      </c>
      <c r="D503" s="0" t="n">
        <f aca="false">INDEX(customer_churn_dataset!$E$2:$E$1501,MATCH($A504,customer_churn_dataset!$A$2:$A$1501,0))</f>
        <v>37</v>
      </c>
      <c r="E503" s="0" t="n">
        <f aca="false">INDEX(customer_churn_dataset!$I$2:$I$1501,MATCH($A504,customer_churn_dataset!$A$2:$A$1501,0))</f>
        <v>42.8</v>
      </c>
      <c r="F503" s="0" t="n">
        <f aca="false">INDEX(customer_churn_dataset!$L$2:$L$1501,MATCH($A504,customer_churn_dataset!$A$2:$A$1501,0))</f>
        <v>0</v>
      </c>
      <c r="G503" s="0" t="str">
        <f aca="false">IF(INDEX(customer_churn_dataset!$M$2:$M$1501,MATCH($A504,customer_churn_dataset!$A$2:$A$1501,0))=1,"Yes","No")</f>
        <v>No</v>
      </c>
      <c r="H503" s="0" t="n">
        <f aca="false">INDEX(customer_churn_dataset!$N$2:$N$1501,MATCH($A504,customer_churn_dataset!$A$2:$A$1501,0))</f>
        <v>1440.04</v>
      </c>
      <c r="I503" s="0" t="n">
        <f aca="false">INDEX(customer_churn_dataset!$O$2:$O$1501,MATCH($A504,customer_churn_dataset!$A$2:$A$1501,0))</f>
        <v>0</v>
      </c>
      <c r="J503" s="0" t="n">
        <f aca="false">INDEX(customer_churn_dataset!$T$2:$T$1501,MATCH($A504,customer_churn_dataset!$A$2:$A$1501,0))</f>
        <v>2</v>
      </c>
      <c r="K503" s="0" t="str">
        <f aca="false">INDEX(customer_churn_dataset!$V$2:$V$1501,MATCH($A504,customer_churn_dataset!$A$2:$A$1501,0))</f>
        <v>Low Risk</v>
      </c>
    </row>
    <row r="504" customFormat="false" ht="12.8" hidden="true" customHeight="false" outlineLevel="0" collapsed="false">
      <c r="A504" s="22" t="str">
        <f aca="false">customer_churn_dataset!A430</f>
        <v>CUST100937</v>
      </c>
      <c r="B504" s="22" t="str">
        <f aca="false">customer_churn_dataset!B430</f>
        <v>Premium</v>
      </c>
      <c r="C504" s="22" t="str">
        <f aca="false">customer_churn_dataset!C430</f>
        <v>One year</v>
      </c>
      <c r="D504" s="0" t="n">
        <f aca="false">INDEX(customer_churn_dataset!$E$2:$E$1501,MATCH($A505,customer_churn_dataset!$A$2:$A$1501,0))</f>
        <v>10</v>
      </c>
      <c r="E504" s="0" t="n">
        <f aca="false">INDEX(customer_churn_dataset!$I$2:$I$1501,MATCH($A505,customer_churn_dataset!$A$2:$A$1501,0))</f>
        <v>46.5</v>
      </c>
      <c r="F504" s="0" t="n">
        <f aca="false">INDEX(customer_churn_dataset!$L$2:$L$1501,MATCH($A505,customer_churn_dataset!$A$2:$A$1501,0))</f>
        <v>4</v>
      </c>
      <c r="G504" s="0" t="str">
        <f aca="false">IF(INDEX(customer_churn_dataset!$M$2:$M$1501,MATCH($A505,customer_churn_dataset!$A$2:$A$1501,0))=1,"Yes","No")</f>
        <v>No</v>
      </c>
      <c r="H504" s="0" t="n">
        <f aca="false">INDEX(customer_churn_dataset!$N$2:$N$1501,MATCH($A505,customer_churn_dataset!$A$2:$A$1501,0))</f>
        <v>205.9</v>
      </c>
      <c r="I504" s="0" t="n">
        <f aca="false">INDEX(customer_churn_dataset!$O$2:$O$1501,MATCH($A505,customer_churn_dataset!$A$2:$A$1501,0))</f>
        <v>1</v>
      </c>
      <c r="J504" s="0" t="n">
        <f aca="false">INDEX(customer_churn_dataset!$T$2:$T$1501,MATCH($A505,customer_churn_dataset!$A$2:$A$1501,0))</f>
        <v>5</v>
      </c>
      <c r="K504" s="0" t="str">
        <f aca="false">INDEX(customer_churn_dataset!$V$2:$V$1501,MATCH($A505,customer_churn_dataset!$A$2:$A$1501,0))</f>
        <v>Medium Risk</v>
      </c>
    </row>
    <row r="505" customFormat="false" ht="12.8" hidden="true" customHeight="false" outlineLevel="0" collapsed="false">
      <c r="A505" s="22" t="str">
        <f aca="false">customer_churn_dataset!A431</f>
        <v>CUST100169</v>
      </c>
      <c r="B505" s="22" t="str">
        <f aca="false">customer_churn_dataset!B431</f>
        <v>Standard</v>
      </c>
      <c r="C505" s="22" t="str">
        <f aca="false">customer_churn_dataset!C431</f>
        <v>Month-to-month</v>
      </c>
      <c r="D505" s="0" t="n">
        <f aca="false">INDEX(customer_churn_dataset!$E$2:$E$1501,MATCH($A506,customer_churn_dataset!$A$2:$A$1501,0))</f>
        <v>18</v>
      </c>
      <c r="E505" s="0" t="n">
        <f aca="false">INDEX(customer_churn_dataset!$I$2:$I$1501,MATCH($A506,customer_churn_dataset!$A$2:$A$1501,0))</f>
        <v>76.5</v>
      </c>
      <c r="F505" s="0" t="n">
        <f aca="false">INDEX(customer_churn_dataset!$L$2:$L$1501,MATCH($A506,customer_churn_dataset!$A$2:$A$1501,0))</f>
        <v>2</v>
      </c>
      <c r="G505" s="0" t="str">
        <f aca="false">IF(INDEX(customer_churn_dataset!$M$2:$M$1501,MATCH($A506,customer_churn_dataset!$A$2:$A$1501,0))=1,"Yes","No")</f>
        <v>No</v>
      </c>
      <c r="H505" s="0" t="n">
        <f aca="false">INDEX(customer_churn_dataset!$N$2:$N$1501,MATCH($A506,customer_churn_dataset!$A$2:$A$1501,0))</f>
        <v>355.5</v>
      </c>
      <c r="I505" s="0" t="n">
        <f aca="false">INDEX(customer_churn_dataset!$O$2:$O$1501,MATCH($A506,customer_churn_dataset!$A$2:$A$1501,0))</f>
        <v>0</v>
      </c>
      <c r="J505" s="0" t="n">
        <f aca="false">INDEX(customer_churn_dataset!$T$2:$T$1501,MATCH($A506,customer_churn_dataset!$A$2:$A$1501,0))</f>
        <v>3</v>
      </c>
      <c r="K505" s="0" t="str">
        <f aca="false">INDEX(customer_churn_dataset!$V$2:$V$1501,MATCH($A506,customer_churn_dataset!$A$2:$A$1501,0))</f>
        <v>Medium Risk</v>
      </c>
    </row>
    <row r="506" customFormat="false" ht="12.8" hidden="true" customHeight="false" outlineLevel="0" collapsed="false">
      <c r="A506" s="22" t="str">
        <f aca="false">customer_churn_dataset!A432</f>
        <v>CUST100510</v>
      </c>
      <c r="B506" s="22" t="str">
        <f aca="false">customer_churn_dataset!B432</f>
        <v>Standard</v>
      </c>
      <c r="C506" s="22" t="str">
        <f aca="false">customer_churn_dataset!C432</f>
        <v>Month-to-month</v>
      </c>
      <c r="D506" s="0" t="n">
        <f aca="false">INDEX(customer_churn_dataset!$E$2:$E$1501,MATCH($A507,customer_churn_dataset!$A$2:$A$1501,0))</f>
        <v>1</v>
      </c>
      <c r="E506" s="0" t="n">
        <f aca="false">INDEX(customer_churn_dataset!$I$2:$I$1501,MATCH($A507,customer_churn_dataset!$A$2:$A$1501,0))</f>
        <v>82.8</v>
      </c>
      <c r="F506" s="0" t="n">
        <f aca="false">INDEX(customer_churn_dataset!$L$2:$L$1501,MATCH($A507,customer_churn_dataset!$A$2:$A$1501,0))</f>
        <v>0</v>
      </c>
      <c r="G506" s="0" t="str">
        <f aca="false">IF(INDEX(customer_churn_dataset!$M$2:$M$1501,MATCH($A507,customer_churn_dataset!$A$2:$A$1501,0))=1,"Yes","No")</f>
        <v>No</v>
      </c>
      <c r="H506" s="0" t="n">
        <f aca="false">INDEX(customer_churn_dataset!$N$2:$N$1501,MATCH($A507,customer_churn_dataset!$A$2:$A$1501,0))</f>
        <v>8.89</v>
      </c>
      <c r="I506" s="0" t="n">
        <f aca="false">INDEX(customer_churn_dataset!$O$2:$O$1501,MATCH($A507,customer_churn_dataset!$A$2:$A$1501,0))</f>
        <v>0</v>
      </c>
      <c r="J506" s="0" t="n">
        <f aca="false">INDEX(customer_churn_dataset!$T$2:$T$1501,MATCH($A507,customer_churn_dataset!$A$2:$A$1501,0))</f>
        <v>2</v>
      </c>
      <c r="K506" s="0" t="str">
        <f aca="false">INDEX(customer_churn_dataset!$V$2:$V$1501,MATCH($A507,customer_churn_dataset!$A$2:$A$1501,0))</f>
        <v>Low Risk</v>
      </c>
    </row>
    <row r="507" customFormat="false" ht="12.8" hidden="true" customHeight="false" outlineLevel="0" collapsed="false">
      <c r="A507" s="22" t="str">
        <f aca="false">customer_churn_dataset!A435</f>
        <v>CUST100128</v>
      </c>
      <c r="B507" s="22" t="str">
        <f aca="false">customer_churn_dataset!B435</f>
        <v>Basic</v>
      </c>
      <c r="C507" s="22" t="str">
        <f aca="false">customer_churn_dataset!C435</f>
        <v>One year</v>
      </c>
      <c r="D507" s="0" t="n">
        <f aca="false">INDEX(customer_churn_dataset!$E$2:$E$1501,MATCH($A508,customer_churn_dataset!$A$2:$A$1501,0))</f>
        <v>1</v>
      </c>
      <c r="E507" s="0" t="n">
        <f aca="false">INDEX(customer_churn_dataset!$I$2:$I$1501,MATCH($A508,customer_churn_dataset!$A$2:$A$1501,0))</f>
        <v>70.2</v>
      </c>
      <c r="F507" s="0" t="n">
        <f aca="false">INDEX(customer_churn_dataset!$L$2:$L$1501,MATCH($A508,customer_churn_dataset!$A$2:$A$1501,0))</f>
        <v>0</v>
      </c>
      <c r="G507" s="0" t="str">
        <f aca="false">IF(INDEX(customer_churn_dataset!$M$2:$M$1501,MATCH($A508,customer_churn_dataset!$A$2:$A$1501,0))=1,"Yes","No")</f>
        <v>No</v>
      </c>
      <c r="H507" s="0" t="n">
        <f aca="false">INDEX(customer_churn_dataset!$N$2:$N$1501,MATCH($A508,customer_churn_dataset!$A$2:$A$1501,0))</f>
        <v>10.45</v>
      </c>
      <c r="I507" s="0" t="n">
        <f aca="false">INDEX(customer_churn_dataset!$O$2:$O$1501,MATCH($A508,customer_churn_dataset!$A$2:$A$1501,0))</f>
        <v>1</v>
      </c>
      <c r="J507" s="0" t="n">
        <f aca="false">INDEX(customer_churn_dataset!$T$2:$T$1501,MATCH($A508,customer_churn_dataset!$A$2:$A$1501,0))</f>
        <v>3</v>
      </c>
      <c r="K507" s="0" t="str">
        <f aca="false">INDEX(customer_churn_dataset!$V$2:$V$1501,MATCH($A508,customer_churn_dataset!$A$2:$A$1501,0))</f>
        <v>Medium Risk</v>
      </c>
    </row>
    <row r="508" customFormat="false" ht="12.8" hidden="true" customHeight="false" outlineLevel="0" collapsed="false">
      <c r="A508" s="22" t="str">
        <f aca="false">customer_churn_dataset!A436</f>
        <v>CUST101458</v>
      </c>
      <c r="B508" s="22" t="str">
        <f aca="false">customer_churn_dataset!B436</f>
        <v>Basic</v>
      </c>
      <c r="C508" s="22" t="str">
        <f aca="false">customer_churn_dataset!C436</f>
        <v>Month-to-month</v>
      </c>
      <c r="D508" s="0" t="n">
        <f aca="false">INDEX(customer_churn_dataset!$E$2:$E$1501,MATCH($A509,customer_churn_dataset!$A$2:$A$1501,0))</f>
        <v>46</v>
      </c>
      <c r="E508" s="0" t="n">
        <f aca="false">INDEX(customer_churn_dataset!$I$2:$I$1501,MATCH($A509,customer_churn_dataset!$A$2:$A$1501,0))</f>
        <v>28.4</v>
      </c>
      <c r="F508" s="0" t="n">
        <f aca="false">INDEX(customer_churn_dataset!$L$2:$L$1501,MATCH($A509,customer_churn_dataset!$A$2:$A$1501,0))</f>
        <v>3</v>
      </c>
      <c r="G508" s="0" t="str">
        <f aca="false">IF(INDEX(customer_churn_dataset!$M$2:$M$1501,MATCH($A509,customer_churn_dataset!$A$2:$A$1501,0))=1,"Yes","No")</f>
        <v>No</v>
      </c>
      <c r="H508" s="0" t="n">
        <f aca="false">INDEX(customer_churn_dataset!$N$2:$N$1501,MATCH($A509,customer_churn_dataset!$A$2:$A$1501,0))</f>
        <v>539.12</v>
      </c>
      <c r="I508" s="0" t="n">
        <f aca="false">INDEX(customer_churn_dataset!$O$2:$O$1501,MATCH($A509,customer_churn_dataset!$A$2:$A$1501,0))</f>
        <v>0</v>
      </c>
      <c r="J508" s="0" t="n">
        <f aca="false">INDEX(customer_churn_dataset!$T$2:$T$1501,MATCH($A509,customer_churn_dataset!$A$2:$A$1501,0))</f>
        <v>3</v>
      </c>
      <c r="K508" s="0" t="str">
        <f aca="false">INDEX(customer_churn_dataset!$V$2:$V$1501,MATCH($A509,customer_churn_dataset!$A$2:$A$1501,0))</f>
        <v>Medium Risk</v>
      </c>
    </row>
    <row r="509" customFormat="false" ht="12.8" hidden="true" customHeight="false" outlineLevel="0" collapsed="false">
      <c r="A509" s="22" t="str">
        <f aca="false">customer_churn_dataset!A437</f>
        <v>CUST100750</v>
      </c>
      <c r="B509" s="22" t="str">
        <f aca="false">customer_churn_dataset!B437</f>
        <v>Basic</v>
      </c>
      <c r="C509" s="22" t="str">
        <f aca="false">customer_churn_dataset!C437</f>
        <v>Two year</v>
      </c>
      <c r="D509" s="0" t="n">
        <f aca="false">INDEX(customer_churn_dataset!$E$2:$E$1501,MATCH($A510,customer_churn_dataset!$A$2:$A$1501,0))</f>
        <v>20</v>
      </c>
      <c r="E509" s="0" t="n">
        <f aca="false">INDEX(customer_churn_dataset!$I$2:$I$1501,MATCH($A510,customer_churn_dataset!$A$2:$A$1501,0))</f>
        <v>62.7</v>
      </c>
      <c r="F509" s="0" t="n">
        <f aca="false">INDEX(customer_churn_dataset!$L$2:$L$1501,MATCH($A510,customer_churn_dataset!$A$2:$A$1501,0))</f>
        <v>1</v>
      </c>
      <c r="G509" s="0" t="str">
        <f aca="false">IF(INDEX(customer_churn_dataset!$M$2:$M$1501,MATCH($A510,customer_churn_dataset!$A$2:$A$1501,0))=1,"Yes","No")</f>
        <v>Yes</v>
      </c>
      <c r="H509" s="0" t="n">
        <f aca="false">INDEX(customer_churn_dataset!$N$2:$N$1501,MATCH($A510,customer_churn_dataset!$A$2:$A$1501,0))</f>
        <v>414.6</v>
      </c>
      <c r="I509" s="0" t="n">
        <f aca="false">INDEX(customer_churn_dataset!$O$2:$O$1501,MATCH($A510,customer_churn_dataset!$A$2:$A$1501,0))</f>
        <v>1</v>
      </c>
      <c r="J509" s="0" t="n">
        <f aca="false">INDEX(customer_churn_dataset!$T$2:$T$1501,MATCH($A510,customer_churn_dataset!$A$2:$A$1501,0))</f>
        <v>5</v>
      </c>
      <c r="K509" s="0" t="str">
        <f aca="false">INDEX(customer_churn_dataset!$V$2:$V$1501,MATCH($A510,customer_churn_dataset!$A$2:$A$1501,0))</f>
        <v>Medium Risk</v>
      </c>
    </row>
    <row r="510" customFormat="false" ht="12.8" hidden="true" customHeight="false" outlineLevel="0" collapsed="false">
      <c r="A510" s="22" t="str">
        <f aca="false">customer_churn_dataset!A438</f>
        <v>CUST101062</v>
      </c>
      <c r="B510" s="22" t="str">
        <f aca="false">customer_churn_dataset!B438</f>
        <v>Standard</v>
      </c>
      <c r="C510" s="22" t="str">
        <f aca="false">customer_churn_dataset!C438</f>
        <v>Month-to-month</v>
      </c>
      <c r="D510" s="0" t="n">
        <f aca="false">INDEX(customer_churn_dataset!$E$2:$E$1501,MATCH($A511,customer_churn_dataset!$A$2:$A$1501,0))</f>
        <v>29</v>
      </c>
      <c r="E510" s="0" t="n">
        <f aca="false">INDEX(customer_churn_dataset!$I$2:$I$1501,MATCH($A511,customer_churn_dataset!$A$2:$A$1501,0))</f>
        <v>51.8</v>
      </c>
      <c r="F510" s="0" t="n">
        <f aca="false">INDEX(customer_churn_dataset!$L$2:$L$1501,MATCH($A511,customer_churn_dataset!$A$2:$A$1501,0))</f>
        <v>2</v>
      </c>
      <c r="G510" s="0" t="str">
        <f aca="false">IF(INDEX(customer_churn_dataset!$M$2:$M$1501,MATCH($A511,customer_churn_dataset!$A$2:$A$1501,0))=1,"Yes","No")</f>
        <v>No</v>
      </c>
      <c r="H510" s="0" t="n">
        <f aca="false">INDEX(customer_churn_dataset!$N$2:$N$1501,MATCH($A511,customer_churn_dataset!$A$2:$A$1501,0))</f>
        <v>1177.98</v>
      </c>
      <c r="I510" s="0" t="n">
        <f aca="false">INDEX(customer_churn_dataset!$O$2:$O$1501,MATCH($A511,customer_churn_dataset!$A$2:$A$1501,0))</f>
        <v>0</v>
      </c>
      <c r="J510" s="0" t="n">
        <f aca="false">INDEX(customer_churn_dataset!$T$2:$T$1501,MATCH($A511,customer_churn_dataset!$A$2:$A$1501,0))</f>
        <v>2</v>
      </c>
      <c r="K510" s="0" t="str">
        <f aca="false">INDEX(customer_churn_dataset!$V$2:$V$1501,MATCH($A511,customer_churn_dataset!$A$2:$A$1501,0))</f>
        <v>Low Risk</v>
      </c>
    </row>
    <row r="511" customFormat="false" ht="12.8" hidden="true" customHeight="false" outlineLevel="0" collapsed="false">
      <c r="A511" s="22" t="str">
        <f aca="false">customer_churn_dataset!A445</f>
        <v>CUST100062</v>
      </c>
      <c r="B511" s="22" t="str">
        <f aca="false">customer_churn_dataset!B445</f>
        <v>Premium</v>
      </c>
      <c r="C511" s="22" t="str">
        <f aca="false">customer_churn_dataset!C445</f>
        <v>Two year</v>
      </c>
      <c r="D511" s="0" t="n">
        <f aca="false">INDEX(customer_churn_dataset!$E$2:$E$1501,MATCH($A512,customer_churn_dataset!$A$2:$A$1501,0))</f>
        <v>0</v>
      </c>
      <c r="E511" s="0" t="n">
        <f aca="false">INDEX(customer_churn_dataset!$I$2:$I$1501,MATCH($A512,customer_churn_dataset!$A$2:$A$1501,0))</f>
        <v>47.5</v>
      </c>
      <c r="F511" s="0" t="n">
        <f aca="false">INDEX(customer_churn_dataset!$L$2:$L$1501,MATCH($A512,customer_churn_dataset!$A$2:$A$1501,0))</f>
        <v>0</v>
      </c>
      <c r="G511" s="0" t="str">
        <f aca="false">IF(INDEX(customer_churn_dataset!$M$2:$M$1501,MATCH($A512,customer_churn_dataset!$A$2:$A$1501,0))=1,"Yes","No")</f>
        <v>No</v>
      </c>
      <c r="H511" s="0" t="n">
        <f aca="false">INDEX(customer_churn_dataset!$N$2:$N$1501,MATCH($A512,customer_churn_dataset!$A$2:$A$1501,0))</f>
        <v>0</v>
      </c>
      <c r="I511" s="0" t="n">
        <f aca="false">INDEX(customer_churn_dataset!$O$2:$O$1501,MATCH($A512,customer_churn_dataset!$A$2:$A$1501,0))</f>
        <v>0</v>
      </c>
      <c r="J511" s="0" t="n">
        <f aca="false">INDEX(customer_churn_dataset!$T$2:$T$1501,MATCH($A512,customer_churn_dataset!$A$2:$A$1501,0))</f>
        <v>4</v>
      </c>
      <c r="K511" s="0" t="str">
        <f aca="false">INDEX(customer_churn_dataset!$V$2:$V$1501,MATCH($A512,customer_churn_dataset!$A$2:$A$1501,0))</f>
        <v>Medium Risk</v>
      </c>
    </row>
    <row r="512" customFormat="false" ht="12.8" hidden="true" customHeight="false" outlineLevel="0" collapsed="false">
      <c r="A512" s="22" t="str">
        <f aca="false">customer_churn_dataset!A446</f>
        <v>CUST100608</v>
      </c>
      <c r="B512" s="22" t="str">
        <f aca="false">customer_churn_dataset!B446</f>
        <v>Standard</v>
      </c>
      <c r="C512" s="22" t="str">
        <f aca="false">customer_churn_dataset!C446</f>
        <v>Month-to-month</v>
      </c>
      <c r="D512" s="0" t="n">
        <f aca="false">INDEX(customer_churn_dataset!$E$2:$E$1501,MATCH($A513,customer_churn_dataset!$A$2:$A$1501,0))</f>
        <v>72</v>
      </c>
      <c r="E512" s="0" t="n">
        <f aca="false">INDEX(customer_churn_dataset!$I$2:$I$1501,MATCH($A513,customer_churn_dataset!$A$2:$A$1501,0))</f>
        <v>40.9</v>
      </c>
      <c r="F512" s="0" t="n">
        <f aca="false">INDEX(customer_churn_dataset!$L$2:$L$1501,MATCH($A513,customer_churn_dataset!$A$2:$A$1501,0))</f>
        <v>2</v>
      </c>
      <c r="G512" s="0" t="str">
        <f aca="false">IF(INDEX(customer_churn_dataset!$M$2:$M$1501,MATCH($A513,customer_churn_dataset!$A$2:$A$1501,0))=1,"Yes","No")</f>
        <v>Yes</v>
      </c>
      <c r="H512" s="0" t="n">
        <f aca="false">INDEX(customer_churn_dataset!$N$2:$N$1501,MATCH($A513,customer_churn_dataset!$A$2:$A$1501,0))</f>
        <v>1463.04</v>
      </c>
      <c r="I512" s="0" t="n">
        <f aca="false">INDEX(customer_churn_dataset!$O$2:$O$1501,MATCH($A513,customer_churn_dataset!$A$2:$A$1501,0))</f>
        <v>0</v>
      </c>
      <c r="J512" s="0" t="n">
        <f aca="false">INDEX(customer_churn_dataset!$T$2:$T$1501,MATCH($A513,customer_churn_dataset!$A$2:$A$1501,0))</f>
        <v>6</v>
      </c>
      <c r="K512" s="0" t="str">
        <f aca="false">INDEX(customer_churn_dataset!$V$2:$V$1501,MATCH($A513,customer_churn_dataset!$A$2:$A$1501,0))</f>
        <v>High Risk</v>
      </c>
    </row>
    <row r="513" customFormat="false" ht="12.8" hidden="true" customHeight="false" outlineLevel="0" collapsed="false">
      <c r="A513" s="22" t="str">
        <f aca="false">customer_churn_dataset!A458</f>
        <v>CUST100491</v>
      </c>
      <c r="B513" s="22" t="str">
        <f aca="false">customer_churn_dataset!B458</f>
        <v>Standard</v>
      </c>
      <c r="C513" s="22" t="str">
        <f aca="false">customer_churn_dataset!C458</f>
        <v>One year</v>
      </c>
      <c r="D513" s="0" t="n">
        <f aca="false">INDEX(customer_churn_dataset!$E$2:$E$1501,MATCH($A514,customer_churn_dataset!$A$2:$A$1501,0))</f>
        <v>72</v>
      </c>
      <c r="E513" s="0" t="n">
        <f aca="false">INDEX(customer_churn_dataset!$I$2:$I$1501,MATCH($A514,customer_churn_dataset!$A$2:$A$1501,0))</f>
        <v>50.1</v>
      </c>
      <c r="F513" s="0" t="n">
        <f aca="false">INDEX(customer_churn_dataset!$L$2:$L$1501,MATCH($A514,customer_churn_dataset!$A$2:$A$1501,0))</f>
        <v>1</v>
      </c>
      <c r="G513" s="0" t="str">
        <f aca="false">IF(INDEX(customer_churn_dataset!$M$2:$M$1501,MATCH($A514,customer_churn_dataset!$A$2:$A$1501,0))=1,"Yes","No")</f>
        <v>Yes</v>
      </c>
      <c r="H513" s="0" t="n">
        <f aca="false">INDEX(customer_churn_dataset!$N$2:$N$1501,MATCH($A514,customer_churn_dataset!$A$2:$A$1501,0))</f>
        <v>1543.68</v>
      </c>
      <c r="I513" s="0" t="n">
        <f aca="false">INDEX(customer_churn_dataset!$O$2:$O$1501,MATCH($A514,customer_churn_dataset!$A$2:$A$1501,0))</f>
        <v>0</v>
      </c>
      <c r="J513" s="0" t="n">
        <f aca="false">INDEX(customer_churn_dataset!$T$2:$T$1501,MATCH($A514,customer_churn_dataset!$A$2:$A$1501,0))</f>
        <v>6</v>
      </c>
      <c r="K513" s="0" t="str">
        <f aca="false">INDEX(customer_churn_dataset!$V$2:$V$1501,MATCH($A514,customer_churn_dataset!$A$2:$A$1501,0))</f>
        <v>High Risk</v>
      </c>
    </row>
    <row r="514" customFormat="false" ht="12.8" hidden="true" customHeight="false" outlineLevel="0" collapsed="false">
      <c r="A514" s="22" t="str">
        <f aca="false">customer_churn_dataset!A461</f>
        <v>CUST101317</v>
      </c>
      <c r="B514" s="22" t="str">
        <f aca="false">customer_churn_dataset!B461</f>
        <v>Standard</v>
      </c>
      <c r="C514" s="22" t="str">
        <f aca="false">customer_churn_dataset!C461</f>
        <v>Month-to-month</v>
      </c>
      <c r="D514" s="0" t="n">
        <f aca="false">INDEX(customer_churn_dataset!$E$2:$E$1501,MATCH($A515,customer_churn_dataset!$A$2:$A$1501,0))</f>
        <v>18</v>
      </c>
      <c r="E514" s="0" t="n">
        <f aca="false">INDEX(customer_churn_dataset!$I$2:$I$1501,MATCH($A515,customer_churn_dataset!$A$2:$A$1501,0))</f>
        <v>62.9</v>
      </c>
      <c r="F514" s="0" t="n">
        <f aca="false">INDEX(customer_churn_dataset!$L$2:$L$1501,MATCH($A515,customer_churn_dataset!$A$2:$A$1501,0))</f>
        <v>3</v>
      </c>
      <c r="G514" s="0" t="str">
        <f aca="false">IF(INDEX(customer_churn_dataset!$M$2:$M$1501,MATCH($A515,customer_churn_dataset!$A$2:$A$1501,0))=1,"Yes","No")</f>
        <v>No</v>
      </c>
      <c r="H514" s="0" t="n">
        <f aca="false">INDEX(customer_churn_dataset!$N$2:$N$1501,MATCH($A515,customer_churn_dataset!$A$2:$A$1501,0))</f>
        <v>751.5</v>
      </c>
      <c r="I514" s="0" t="n">
        <f aca="false">INDEX(customer_churn_dataset!$O$2:$O$1501,MATCH($A515,customer_churn_dataset!$A$2:$A$1501,0))</f>
        <v>0</v>
      </c>
      <c r="J514" s="0" t="n">
        <f aca="false">INDEX(customer_churn_dataset!$T$2:$T$1501,MATCH($A515,customer_churn_dataset!$A$2:$A$1501,0))</f>
        <v>3</v>
      </c>
      <c r="K514" s="0" t="str">
        <f aca="false">INDEX(customer_churn_dataset!$V$2:$V$1501,MATCH($A515,customer_churn_dataset!$A$2:$A$1501,0))</f>
        <v>Medium Risk</v>
      </c>
    </row>
    <row r="515" customFormat="false" ht="12.8" hidden="true" customHeight="false" outlineLevel="0" collapsed="false">
      <c r="A515" s="22" t="str">
        <f aca="false">customer_churn_dataset!A462</f>
        <v>CUST101419</v>
      </c>
      <c r="B515" s="22" t="str">
        <f aca="false">customer_churn_dataset!B462</f>
        <v>Premium</v>
      </c>
      <c r="C515" s="22" t="str">
        <f aca="false">customer_churn_dataset!C462</f>
        <v>Month-to-month</v>
      </c>
      <c r="D515" s="0" t="n">
        <f aca="false">INDEX(customer_churn_dataset!$E$2:$E$1501,MATCH($A516,customer_churn_dataset!$A$2:$A$1501,0))</f>
        <v>1</v>
      </c>
      <c r="E515" s="0" t="n">
        <f aca="false">INDEX(customer_churn_dataset!$I$2:$I$1501,MATCH($A516,customer_churn_dataset!$A$2:$A$1501,0))</f>
        <v>33.9</v>
      </c>
      <c r="F515" s="0" t="n">
        <f aca="false">INDEX(customer_churn_dataset!$L$2:$L$1501,MATCH($A516,customer_churn_dataset!$A$2:$A$1501,0))</f>
        <v>3</v>
      </c>
      <c r="G515" s="0" t="str">
        <f aca="false">IF(INDEX(customer_churn_dataset!$M$2:$M$1501,MATCH($A516,customer_churn_dataset!$A$2:$A$1501,0))=1,"Yes","No")</f>
        <v>Yes</v>
      </c>
      <c r="H515" s="0" t="n">
        <f aca="false">INDEX(customer_churn_dataset!$N$2:$N$1501,MATCH($A516,customer_churn_dataset!$A$2:$A$1501,0))</f>
        <v>21.01</v>
      </c>
      <c r="I515" s="0" t="n">
        <f aca="false">INDEX(customer_churn_dataset!$O$2:$O$1501,MATCH($A516,customer_churn_dataset!$A$2:$A$1501,0))</f>
        <v>0</v>
      </c>
      <c r="J515" s="0" t="n">
        <f aca="false">INDEX(customer_churn_dataset!$T$2:$T$1501,MATCH($A516,customer_churn_dataset!$A$2:$A$1501,0))</f>
        <v>7</v>
      </c>
      <c r="K515" s="0" t="str">
        <f aca="false">INDEX(customer_churn_dataset!$V$2:$V$1501,MATCH($A516,customer_churn_dataset!$A$2:$A$1501,0))</f>
        <v>High Risk</v>
      </c>
    </row>
    <row r="516" customFormat="false" ht="12.8" hidden="true" customHeight="false" outlineLevel="0" collapsed="false">
      <c r="A516" s="22" t="str">
        <f aca="false">customer_churn_dataset!A475</f>
        <v>CUST101254</v>
      </c>
      <c r="B516" s="22" t="str">
        <f aca="false">customer_churn_dataset!B475</f>
        <v>Standard</v>
      </c>
      <c r="C516" s="22" t="str">
        <f aca="false">customer_churn_dataset!C475</f>
        <v>Two year</v>
      </c>
      <c r="D516" s="0" t="n">
        <f aca="false">INDEX(customer_churn_dataset!$E$2:$E$1501,MATCH($A517,customer_churn_dataset!$A$2:$A$1501,0))</f>
        <v>4</v>
      </c>
      <c r="E516" s="0" t="n">
        <f aca="false">INDEX(customer_churn_dataset!$I$2:$I$1501,MATCH($A517,customer_churn_dataset!$A$2:$A$1501,0))</f>
        <v>100</v>
      </c>
      <c r="F516" s="0" t="n">
        <f aca="false">INDEX(customer_churn_dataset!$L$2:$L$1501,MATCH($A517,customer_churn_dataset!$A$2:$A$1501,0))</f>
        <v>1</v>
      </c>
      <c r="G516" s="0" t="str">
        <f aca="false">IF(INDEX(customer_churn_dataset!$M$2:$M$1501,MATCH($A517,customer_churn_dataset!$A$2:$A$1501,0))=1,"Yes","No")</f>
        <v>No</v>
      </c>
      <c r="H516" s="0" t="n">
        <f aca="false">INDEX(customer_churn_dataset!$N$2:$N$1501,MATCH($A517,customer_churn_dataset!$A$2:$A$1501,0))</f>
        <v>37.36</v>
      </c>
      <c r="I516" s="0" t="n">
        <f aca="false">INDEX(customer_churn_dataset!$O$2:$O$1501,MATCH($A517,customer_churn_dataset!$A$2:$A$1501,0))</f>
        <v>0</v>
      </c>
      <c r="J516" s="0" t="n">
        <f aca="false">INDEX(customer_churn_dataset!$T$2:$T$1501,MATCH($A517,customer_churn_dataset!$A$2:$A$1501,0))</f>
        <v>3</v>
      </c>
      <c r="K516" s="0" t="str">
        <f aca="false">INDEX(customer_churn_dataset!$V$2:$V$1501,MATCH($A517,customer_churn_dataset!$A$2:$A$1501,0))</f>
        <v>Medium Risk</v>
      </c>
    </row>
    <row r="517" customFormat="false" ht="12.8" hidden="true" customHeight="false" outlineLevel="0" collapsed="false">
      <c r="A517" s="22" t="str">
        <f aca="false">customer_churn_dataset!A476</f>
        <v>CUST100285</v>
      </c>
      <c r="B517" s="22" t="str">
        <f aca="false">customer_churn_dataset!B476</f>
        <v>Basic</v>
      </c>
      <c r="C517" s="22" t="str">
        <f aca="false">customer_churn_dataset!C476</f>
        <v>Month-to-month</v>
      </c>
      <c r="D517" s="0" t="n">
        <f aca="false">INDEX(customer_churn_dataset!$E$2:$E$1501,MATCH($A518,customer_churn_dataset!$A$2:$A$1501,0))</f>
        <v>72</v>
      </c>
      <c r="E517" s="0" t="n">
        <f aca="false">INDEX(customer_churn_dataset!$I$2:$I$1501,MATCH($A518,customer_churn_dataset!$A$2:$A$1501,0))</f>
        <v>39.4</v>
      </c>
      <c r="F517" s="0" t="n">
        <f aca="false">INDEX(customer_churn_dataset!$L$2:$L$1501,MATCH($A518,customer_churn_dataset!$A$2:$A$1501,0))</f>
        <v>0</v>
      </c>
      <c r="G517" s="0" t="str">
        <f aca="false">IF(INDEX(customer_churn_dataset!$M$2:$M$1501,MATCH($A518,customer_churn_dataset!$A$2:$A$1501,0))=1,"Yes","No")</f>
        <v>No</v>
      </c>
      <c r="H517" s="0" t="n">
        <f aca="false">INDEX(customer_churn_dataset!$N$2:$N$1501,MATCH($A518,customer_churn_dataset!$A$2:$A$1501,0))</f>
        <v>681.84</v>
      </c>
      <c r="I517" s="0" t="n">
        <f aca="false">INDEX(customer_churn_dataset!$O$2:$O$1501,MATCH($A518,customer_churn_dataset!$A$2:$A$1501,0))</f>
        <v>0</v>
      </c>
      <c r="J517" s="0" t="n">
        <f aca="false">INDEX(customer_churn_dataset!$T$2:$T$1501,MATCH($A518,customer_churn_dataset!$A$2:$A$1501,0))</f>
        <v>3</v>
      </c>
      <c r="K517" s="0" t="str">
        <f aca="false">INDEX(customer_churn_dataset!$V$2:$V$1501,MATCH($A518,customer_churn_dataset!$A$2:$A$1501,0))</f>
        <v>Medium Risk</v>
      </c>
    </row>
    <row r="518" customFormat="false" ht="12.8" hidden="true" customHeight="false" outlineLevel="0" collapsed="false">
      <c r="A518" s="22" t="str">
        <f aca="false">customer_churn_dataset!A477</f>
        <v>CUST100882</v>
      </c>
      <c r="B518" s="22" t="str">
        <f aca="false">customer_churn_dataset!B477</f>
        <v>Basic</v>
      </c>
      <c r="C518" s="22" t="str">
        <f aca="false">customer_churn_dataset!C477</f>
        <v>One year</v>
      </c>
      <c r="D518" s="0" t="n">
        <f aca="false">INDEX(customer_churn_dataset!$E$2:$E$1501,MATCH($A519,customer_churn_dataset!$A$2:$A$1501,0))</f>
        <v>19</v>
      </c>
      <c r="E518" s="0" t="n">
        <f aca="false">INDEX(customer_churn_dataset!$I$2:$I$1501,MATCH($A519,customer_churn_dataset!$A$2:$A$1501,0))</f>
        <v>50.5</v>
      </c>
      <c r="F518" s="0" t="n">
        <f aca="false">INDEX(customer_churn_dataset!$L$2:$L$1501,MATCH($A519,customer_churn_dataset!$A$2:$A$1501,0))</f>
        <v>1</v>
      </c>
      <c r="G518" s="0" t="str">
        <f aca="false">IF(INDEX(customer_churn_dataset!$M$2:$M$1501,MATCH($A519,customer_churn_dataset!$A$2:$A$1501,0))=1,"Yes","No")</f>
        <v>No</v>
      </c>
      <c r="H518" s="0" t="n">
        <f aca="false">INDEX(customer_churn_dataset!$N$2:$N$1501,MATCH($A519,customer_churn_dataset!$A$2:$A$1501,0))</f>
        <v>193.61</v>
      </c>
      <c r="I518" s="0" t="n">
        <f aca="false">INDEX(customer_churn_dataset!$O$2:$O$1501,MATCH($A519,customer_churn_dataset!$A$2:$A$1501,0))</f>
        <v>0</v>
      </c>
      <c r="J518" s="0" t="n">
        <f aca="false">INDEX(customer_churn_dataset!$T$2:$T$1501,MATCH($A519,customer_churn_dataset!$A$2:$A$1501,0))</f>
        <v>3</v>
      </c>
      <c r="K518" s="0" t="str">
        <f aca="false">INDEX(customer_churn_dataset!$V$2:$V$1501,MATCH($A519,customer_churn_dataset!$A$2:$A$1501,0))</f>
        <v>Medium Risk</v>
      </c>
    </row>
    <row r="519" customFormat="false" ht="12.8" hidden="true" customHeight="false" outlineLevel="0" collapsed="false">
      <c r="A519" s="22" t="str">
        <f aca="false">customer_churn_dataset!A478</f>
        <v>CUST100527</v>
      </c>
      <c r="B519" s="22" t="str">
        <f aca="false">customer_churn_dataset!B478</f>
        <v>Basic</v>
      </c>
      <c r="C519" s="22" t="str">
        <f aca="false">customer_churn_dataset!C478</f>
        <v>Month-to-month</v>
      </c>
      <c r="D519" s="0" t="n">
        <f aca="false">INDEX(customer_churn_dataset!$E$2:$E$1501,MATCH($A520,customer_churn_dataset!$A$2:$A$1501,0))</f>
        <v>29</v>
      </c>
      <c r="E519" s="0" t="n">
        <f aca="false">INDEX(customer_churn_dataset!$I$2:$I$1501,MATCH($A520,customer_churn_dataset!$A$2:$A$1501,0))</f>
        <v>81.7</v>
      </c>
      <c r="F519" s="0" t="n">
        <f aca="false">INDEX(customer_churn_dataset!$L$2:$L$1501,MATCH($A520,customer_churn_dataset!$A$2:$A$1501,0))</f>
        <v>0</v>
      </c>
      <c r="G519" s="0" t="str">
        <f aca="false">IF(INDEX(customer_churn_dataset!$M$2:$M$1501,MATCH($A520,customer_churn_dataset!$A$2:$A$1501,0))=1,"Yes","No")</f>
        <v>No</v>
      </c>
      <c r="H519" s="0" t="n">
        <f aca="false">INDEX(customer_churn_dataset!$N$2:$N$1501,MATCH($A520,customer_churn_dataset!$A$2:$A$1501,0))</f>
        <v>285.07</v>
      </c>
      <c r="I519" s="0" t="n">
        <f aca="false">INDEX(customer_churn_dataset!$O$2:$O$1501,MATCH($A520,customer_churn_dataset!$A$2:$A$1501,0))</f>
        <v>1</v>
      </c>
      <c r="J519" s="0" t="n">
        <f aca="false">INDEX(customer_churn_dataset!$T$2:$T$1501,MATCH($A520,customer_churn_dataset!$A$2:$A$1501,0))</f>
        <v>2</v>
      </c>
      <c r="K519" s="0" t="str">
        <f aca="false">INDEX(customer_churn_dataset!$V$2:$V$1501,MATCH($A520,customer_churn_dataset!$A$2:$A$1501,0))</f>
        <v>Low Risk</v>
      </c>
    </row>
    <row r="520" customFormat="false" ht="12.8" hidden="true" customHeight="false" outlineLevel="0" collapsed="false">
      <c r="A520" s="22" t="str">
        <f aca="false">customer_churn_dataset!A483</f>
        <v>CUST100205</v>
      </c>
      <c r="B520" s="22" t="str">
        <f aca="false">customer_churn_dataset!B483</f>
        <v>Basic</v>
      </c>
      <c r="C520" s="22" t="str">
        <f aca="false">customer_churn_dataset!C483</f>
        <v>Month-to-month</v>
      </c>
      <c r="D520" s="0" t="n">
        <f aca="false">INDEX(customer_churn_dataset!$E$2:$E$1501,MATCH($A521,customer_churn_dataset!$A$2:$A$1501,0))</f>
        <v>59</v>
      </c>
      <c r="E520" s="0" t="n">
        <f aca="false">INDEX(customer_churn_dataset!$I$2:$I$1501,MATCH($A521,customer_churn_dataset!$A$2:$A$1501,0))</f>
        <v>33.8</v>
      </c>
      <c r="F520" s="0" t="n">
        <f aca="false">INDEX(customer_churn_dataset!$L$2:$L$1501,MATCH($A521,customer_churn_dataset!$A$2:$A$1501,0))</f>
        <v>2</v>
      </c>
      <c r="G520" s="0" t="str">
        <f aca="false">IF(INDEX(customer_churn_dataset!$M$2:$M$1501,MATCH($A521,customer_churn_dataset!$A$2:$A$1501,0))=1,"Yes","No")</f>
        <v>No</v>
      </c>
      <c r="H520" s="0" t="n">
        <f aca="false">INDEX(customer_churn_dataset!$N$2:$N$1501,MATCH($A521,customer_churn_dataset!$A$2:$A$1501,0))</f>
        <v>1254.34</v>
      </c>
      <c r="I520" s="0" t="n">
        <f aca="false">INDEX(customer_churn_dataset!$O$2:$O$1501,MATCH($A521,customer_churn_dataset!$A$2:$A$1501,0))</f>
        <v>0</v>
      </c>
      <c r="J520" s="0" t="n">
        <f aca="false">INDEX(customer_churn_dataset!$T$2:$T$1501,MATCH($A521,customer_churn_dataset!$A$2:$A$1501,0))</f>
        <v>3</v>
      </c>
      <c r="K520" s="0" t="str">
        <f aca="false">INDEX(customer_churn_dataset!$V$2:$V$1501,MATCH($A521,customer_churn_dataset!$A$2:$A$1501,0))</f>
        <v>Medium Risk</v>
      </c>
    </row>
    <row r="521" customFormat="false" ht="12.8" hidden="true" customHeight="false" outlineLevel="0" collapsed="false">
      <c r="A521" s="22" t="str">
        <f aca="false">customer_churn_dataset!A484</f>
        <v>CUST101449</v>
      </c>
      <c r="B521" s="22" t="str">
        <f aca="false">customer_churn_dataset!B484</f>
        <v>Standard</v>
      </c>
      <c r="C521" s="22" t="str">
        <f aca="false">customer_churn_dataset!C484</f>
        <v>Two year</v>
      </c>
      <c r="D521" s="0" t="n">
        <f aca="false">INDEX(customer_churn_dataset!$E$2:$E$1501,MATCH($A522,customer_churn_dataset!$A$2:$A$1501,0))</f>
        <v>41</v>
      </c>
      <c r="E521" s="0" t="n">
        <f aca="false">INDEX(customer_churn_dataset!$I$2:$I$1501,MATCH($A522,customer_churn_dataset!$A$2:$A$1501,0))</f>
        <v>28.8</v>
      </c>
      <c r="F521" s="0" t="n">
        <f aca="false">INDEX(customer_churn_dataset!$L$2:$L$1501,MATCH($A522,customer_churn_dataset!$A$2:$A$1501,0))</f>
        <v>5</v>
      </c>
      <c r="G521" s="0" t="str">
        <f aca="false">IF(INDEX(customer_churn_dataset!$M$2:$M$1501,MATCH($A522,customer_churn_dataset!$A$2:$A$1501,0))=1,"Yes","No")</f>
        <v>No</v>
      </c>
      <c r="H521" s="0" t="n">
        <f aca="false">INDEX(customer_churn_dataset!$N$2:$N$1501,MATCH($A522,customer_churn_dataset!$A$2:$A$1501,0))</f>
        <v>437.47</v>
      </c>
      <c r="I521" s="0" t="n">
        <f aca="false">INDEX(customer_churn_dataset!$O$2:$O$1501,MATCH($A522,customer_churn_dataset!$A$2:$A$1501,0))</f>
        <v>0</v>
      </c>
      <c r="J521" s="0" t="n">
        <f aca="false">INDEX(customer_churn_dataset!$T$2:$T$1501,MATCH($A522,customer_churn_dataset!$A$2:$A$1501,0))</f>
        <v>3</v>
      </c>
      <c r="K521" s="0" t="str">
        <f aca="false">INDEX(customer_churn_dataset!$V$2:$V$1501,MATCH($A522,customer_churn_dataset!$A$2:$A$1501,0))</f>
        <v>Medium Risk</v>
      </c>
    </row>
    <row r="522" customFormat="false" ht="12.8" hidden="true" customHeight="false" outlineLevel="0" collapsed="false">
      <c r="A522" s="22" t="str">
        <f aca="false">customer_churn_dataset!A485</f>
        <v>CUST101192</v>
      </c>
      <c r="B522" s="22" t="str">
        <f aca="false">customer_churn_dataset!B485</f>
        <v>Basic</v>
      </c>
      <c r="C522" s="22" t="str">
        <f aca="false">customer_churn_dataset!C485</f>
        <v>Two year</v>
      </c>
      <c r="D522" s="0" t="n">
        <f aca="false">INDEX(customer_churn_dataset!$E$2:$E$1501,MATCH($A523,customer_churn_dataset!$A$2:$A$1501,0))</f>
        <v>11</v>
      </c>
      <c r="E522" s="0" t="n">
        <f aca="false">INDEX(customer_churn_dataset!$I$2:$I$1501,MATCH($A523,customer_churn_dataset!$A$2:$A$1501,0))</f>
        <v>41</v>
      </c>
      <c r="F522" s="0" t="n">
        <f aca="false">INDEX(customer_churn_dataset!$L$2:$L$1501,MATCH($A523,customer_churn_dataset!$A$2:$A$1501,0))</f>
        <v>3</v>
      </c>
      <c r="G522" s="0" t="str">
        <f aca="false">IF(INDEX(customer_churn_dataset!$M$2:$M$1501,MATCH($A523,customer_churn_dataset!$A$2:$A$1501,0))=1,"Yes","No")</f>
        <v>No</v>
      </c>
      <c r="H522" s="0" t="n">
        <f aca="false">INDEX(customer_churn_dataset!$N$2:$N$1501,MATCH($A523,customer_churn_dataset!$A$2:$A$1501,0))</f>
        <v>208.56</v>
      </c>
      <c r="I522" s="0" t="n">
        <f aca="false">INDEX(customer_churn_dataset!$O$2:$O$1501,MATCH($A523,customer_churn_dataset!$A$2:$A$1501,0))</f>
        <v>0</v>
      </c>
      <c r="J522" s="0" t="n">
        <f aca="false">INDEX(customer_churn_dataset!$T$2:$T$1501,MATCH($A523,customer_churn_dataset!$A$2:$A$1501,0))</f>
        <v>5</v>
      </c>
      <c r="K522" s="0" t="str">
        <f aca="false">INDEX(customer_churn_dataset!$V$2:$V$1501,MATCH($A523,customer_churn_dataset!$A$2:$A$1501,0))</f>
        <v>Medium Risk</v>
      </c>
    </row>
    <row r="523" customFormat="false" ht="12.8" hidden="true" customHeight="false" outlineLevel="0" collapsed="false">
      <c r="A523" s="22" t="str">
        <f aca="false">customer_churn_dataset!A486</f>
        <v>CUST101478</v>
      </c>
      <c r="B523" s="22" t="str">
        <f aca="false">customer_churn_dataset!B486</f>
        <v>Standard</v>
      </c>
      <c r="C523" s="22" t="str">
        <f aca="false">customer_churn_dataset!C486</f>
        <v>Month-to-month</v>
      </c>
      <c r="D523" s="0" t="n">
        <f aca="false">INDEX(customer_churn_dataset!$E$2:$E$1501,MATCH($A524,customer_churn_dataset!$A$2:$A$1501,0))</f>
        <v>1</v>
      </c>
      <c r="E523" s="0" t="n">
        <f aca="false">INDEX(customer_churn_dataset!$I$2:$I$1501,MATCH($A524,customer_churn_dataset!$A$2:$A$1501,0))</f>
        <v>78.3</v>
      </c>
      <c r="F523" s="0" t="n">
        <f aca="false">INDEX(customer_churn_dataset!$L$2:$L$1501,MATCH($A524,customer_churn_dataset!$A$2:$A$1501,0))</f>
        <v>1</v>
      </c>
      <c r="G523" s="0" t="str">
        <f aca="false">IF(INDEX(customer_churn_dataset!$M$2:$M$1501,MATCH($A524,customer_churn_dataset!$A$2:$A$1501,0))=1,"Yes","No")</f>
        <v>No</v>
      </c>
      <c r="H523" s="0" t="n">
        <f aca="false">INDEX(customer_churn_dataset!$N$2:$N$1501,MATCH($A524,customer_churn_dataset!$A$2:$A$1501,0))</f>
        <v>9.88</v>
      </c>
      <c r="I523" s="0" t="n">
        <f aca="false">INDEX(customer_churn_dataset!$O$2:$O$1501,MATCH($A524,customer_churn_dataset!$A$2:$A$1501,0))</f>
        <v>0</v>
      </c>
      <c r="J523" s="0" t="n">
        <f aca="false">INDEX(customer_churn_dataset!$T$2:$T$1501,MATCH($A524,customer_churn_dataset!$A$2:$A$1501,0))</f>
        <v>2</v>
      </c>
      <c r="K523" s="0" t="str">
        <f aca="false">INDEX(customer_churn_dataset!$V$2:$V$1501,MATCH($A524,customer_churn_dataset!$A$2:$A$1501,0))</f>
        <v>Low Risk</v>
      </c>
    </row>
    <row r="524" customFormat="false" ht="12.8" hidden="true" customHeight="false" outlineLevel="0" collapsed="false">
      <c r="A524" s="22" t="str">
        <f aca="false">customer_churn_dataset!A489</f>
        <v>CUST100773</v>
      </c>
      <c r="B524" s="22" t="str">
        <f aca="false">customer_churn_dataset!B489</f>
        <v>Basic</v>
      </c>
      <c r="C524" s="22" t="str">
        <f aca="false">customer_churn_dataset!C489</f>
        <v>One year</v>
      </c>
      <c r="D524" s="0" t="n">
        <f aca="false">INDEX(customer_churn_dataset!$E$2:$E$1501,MATCH($A525,customer_churn_dataset!$A$2:$A$1501,0))</f>
        <v>5</v>
      </c>
      <c r="E524" s="0" t="n">
        <f aca="false">INDEX(customer_churn_dataset!$I$2:$I$1501,MATCH($A525,customer_churn_dataset!$A$2:$A$1501,0))</f>
        <v>62.9</v>
      </c>
      <c r="F524" s="0" t="n">
        <f aca="false">INDEX(customer_churn_dataset!$L$2:$L$1501,MATCH($A525,customer_churn_dataset!$A$2:$A$1501,0))</f>
        <v>0</v>
      </c>
      <c r="G524" s="0" t="str">
        <f aca="false">IF(INDEX(customer_churn_dataset!$M$2:$M$1501,MATCH($A525,customer_churn_dataset!$A$2:$A$1501,0))=1,"Yes","No")</f>
        <v>No</v>
      </c>
      <c r="H524" s="0" t="n">
        <f aca="false">INDEX(customer_churn_dataset!$N$2:$N$1501,MATCH($A525,customer_churn_dataset!$A$2:$A$1501,0))</f>
        <v>96.35</v>
      </c>
      <c r="I524" s="0" t="n">
        <f aca="false">INDEX(customer_churn_dataset!$O$2:$O$1501,MATCH($A525,customer_churn_dataset!$A$2:$A$1501,0))</f>
        <v>0</v>
      </c>
      <c r="J524" s="0" t="n">
        <f aca="false">INDEX(customer_churn_dataset!$T$2:$T$1501,MATCH($A525,customer_churn_dataset!$A$2:$A$1501,0))</f>
        <v>3</v>
      </c>
      <c r="K524" s="0" t="str">
        <f aca="false">INDEX(customer_churn_dataset!$V$2:$V$1501,MATCH($A525,customer_churn_dataset!$A$2:$A$1501,0))</f>
        <v>Medium Risk</v>
      </c>
    </row>
    <row r="525" customFormat="false" ht="12.8" hidden="true" customHeight="false" outlineLevel="0" collapsed="false">
      <c r="A525" s="22" t="str">
        <f aca="false">customer_churn_dataset!A490</f>
        <v>CUST100352</v>
      </c>
      <c r="B525" s="22" t="str">
        <f aca="false">customer_churn_dataset!B490</f>
        <v>Standard</v>
      </c>
      <c r="C525" s="22" t="str">
        <f aca="false">customer_churn_dataset!C490</f>
        <v>Month-to-month</v>
      </c>
      <c r="D525" s="0" t="n">
        <f aca="false">INDEX(customer_churn_dataset!$E$2:$E$1501,MATCH($A526,customer_churn_dataset!$A$2:$A$1501,0))</f>
        <v>15</v>
      </c>
      <c r="E525" s="0" t="n">
        <f aca="false">INDEX(customer_churn_dataset!$I$2:$I$1501,MATCH($A526,customer_churn_dataset!$A$2:$A$1501,0))</f>
        <v>62.9</v>
      </c>
      <c r="F525" s="0" t="n">
        <f aca="false">INDEX(customer_churn_dataset!$L$2:$L$1501,MATCH($A526,customer_churn_dataset!$A$2:$A$1501,0))</f>
        <v>1</v>
      </c>
      <c r="G525" s="0" t="str">
        <f aca="false">IF(INDEX(customer_churn_dataset!$M$2:$M$1501,MATCH($A526,customer_churn_dataset!$A$2:$A$1501,0))=1,"Yes","No")</f>
        <v>No</v>
      </c>
      <c r="H525" s="0" t="n">
        <f aca="false">INDEX(customer_churn_dataset!$N$2:$N$1501,MATCH($A526,customer_churn_dataset!$A$2:$A$1501,0))</f>
        <v>156.15</v>
      </c>
      <c r="I525" s="0" t="n">
        <f aca="false">INDEX(customer_churn_dataset!$O$2:$O$1501,MATCH($A526,customer_churn_dataset!$A$2:$A$1501,0))</f>
        <v>0</v>
      </c>
      <c r="J525" s="0" t="n">
        <f aca="false">INDEX(customer_churn_dataset!$T$2:$T$1501,MATCH($A526,customer_churn_dataset!$A$2:$A$1501,0))</f>
        <v>1</v>
      </c>
      <c r="K525" s="0" t="str">
        <f aca="false">INDEX(customer_churn_dataset!$V$2:$V$1501,MATCH($A526,customer_churn_dataset!$A$2:$A$1501,0))</f>
        <v>Low Risk</v>
      </c>
    </row>
    <row r="526" customFormat="false" ht="12.8" hidden="true" customHeight="false" outlineLevel="0" collapsed="false">
      <c r="A526" s="22" t="str">
        <f aca="false">customer_churn_dataset!A496</f>
        <v>CUST101181</v>
      </c>
      <c r="B526" s="22" t="str">
        <f aca="false">customer_churn_dataset!B496</f>
        <v>Basic</v>
      </c>
      <c r="C526" s="22" t="str">
        <f aca="false">customer_churn_dataset!C496</f>
        <v>One year</v>
      </c>
      <c r="D526" s="0" t="n">
        <f aca="false">INDEX(customer_churn_dataset!$E$2:$E$1501,MATCH($A527,customer_churn_dataset!$A$2:$A$1501,0))</f>
        <v>41</v>
      </c>
      <c r="E526" s="0" t="n">
        <f aca="false">INDEX(customer_churn_dataset!$I$2:$I$1501,MATCH($A527,customer_churn_dataset!$A$2:$A$1501,0))</f>
        <v>75.4</v>
      </c>
      <c r="F526" s="0" t="n">
        <f aca="false">INDEX(customer_churn_dataset!$L$2:$L$1501,MATCH($A527,customer_churn_dataset!$A$2:$A$1501,0))</f>
        <v>0</v>
      </c>
      <c r="G526" s="0" t="str">
        <f aca="false">IF(INDEX(customer_churn_dataset!$M$2:$M$1501,MATCH($A527,customer_churn_dataset!$A$2:$A$1501,0))=1,"Yes","No")</f>
        <v>No</v>
      </c>
      <c r="H526" s="0" t="n">
        <f aca="false">INDEX(customer_churn_dataset!$N$2:$N$1501,MATCH($A527,customer_churn_dataset!$A$2:$A$1501,0))</f>
        <v>368.18</v>
      </c>
      <c r="I526" s="0" t="n">
        <f aca="false">INDEX(customer_churn_dataset!$O$2:$O$1501,MATCH($A527,customer_churn_dataset!$A$2:$A$1501,0))</f>
        <v>0</v>
      </c>
      <c r="J526" s="0" t="n">
        <f aca="false">INDEX(customer_churn_dataset!$T$2:$T$1501,MATCH($A527,customer_churn_dataset!$A$2:$A$1501,0))</f>
        <v>2</v>
      </c>
      <c r="K526" s="0" t="str">
        <f aca="false">INDEX(customer_churn_dataset!$V$2:$V$1501,MATCH($A527,customer_churn_dataset!$A$2:$A$1501,0))</f>
        <v>Low Risk</v>
      </c>
    </row>
    <row r="527" customFormat="false" ht="12.8" hidden="true" customHeight="false" outlineLevel="0" collapsed="false">
      <c r="A527" s="22" t="str">
        <f aca="false">customer_churn_dataset!A508</f>
        <v>CUST100083</v>
      </c>
      <c r="B527" s="22" t="str">
        <f aca="false">customer_churn_dataset!B508</f>
        <v>Basic</v>
      </c>
      <c r="C527" s="22" t="str">
        <f aca="false">customer_churn_dataset!C508</f>
        <v>Month-to-month</v>
      </c>
      <c r="D527" s="0" t="n">
        <f aca="false">INDEX(customer_churn_dataset!$E$2:$E$1501,MATCH($A528,customer_churn_dataset!$A$2:$A$1501,0))</f>
        <v>16</v>
      </c>
      <c r="E527" s="0" t="n">
        <f aca="false">INDEX(customer_churn_dataset!$I$2:$I$1501,MATCH($A528,customer_churn_dataset!$A$2:$A$1501,0))</f>
        <v>45</v>
      </c>
      <c r="F527" s="0" t="n">
        <f aca="false">INDEX(customer_churn_dataset!$L$2:$L$1501,MATCH($A528,customer_churn_dataset!$A$2:$A$1501,0))</f>
        <v>0</v>
      </c>
      <c r="G527" s="0" t="str">
        <f aca="false">IF(INDEX(customer_churn_dataset!$M$2:$M$1501,MATCH($A528,customer_churn_dataset!$A$2:$A$1501,0))=1,"Yes","No")</f>
        <v>No</v>
      </c>
      <c r="H527" s="0" t="n">
        <f aca="false">INDEX(customer_churn_dataset!$N$2:$N$1501,MATCH($A528,customer_churn_dataset!$A$2:$A$1501,0))</f>
        <v>636.48</v>
      </c>
      <c r="I527" s="0" t="n">
        <f aca="false">INDEX(customer_churn_dataset!$O$2:$O$1501,MATCH($A528,customer_churn_dataset!$A$2:$A$1501,0))</f>
        <v>0</v>
      </c>
      <c r="J527" s="0" t="n">
        <f aca="false">INDEX(customer_churn_dataset!$T$2:$T$1501,MATCH($A528,customer_churn_dataset!$A$2:$A$1501,0))</f>
        <v>1</v>
      </c>
      <c r="K527" s="0" t="str">
        <f aca="false">INDEX(customer_churn_dataset!$V$2:$V$1501,MATCH($A528,customer_churn_dataset!$A$2:$A$1501,0))</f>
        <v>Low Risk</v>
      </c>
    </row>
    <row r="528" customFormat="false" ht="12.8" hidden="true" customHeight="false" outlineLevel="0" collapsed="false">
      <c r="A528" s="22" t="str">
        <f aca="false">customer_churn_dataset!A514</f>
        <v>CUST101309</v>
      </c>
      <c r="B528" s="22" t="str">
        <f aca="false">customer_churn_dataset!B514</f>
        <v>Premium</v>
      </c>
      <c r="C528" s="22" t="str">
        <f aca="false">customer_churn_dataset!C514</f>
        <v>Two year</v>
      </c>
      <c r="D528" s="0" t="n">
        <f aca="false">INDEX(customer_churn_dataset!$E$2:$E$1501,MATCH($A529,customer_churn_dataset!$A$2:$A$1501,0))</f>
        <v>9</v>
      </c>
      <c r="E528" s="0" t="n">
        <f aca="false">INDEX(customer_churn_dataset!$I$2:$I$1501,MATCH($A529,customer_churn_dataset!$A$2:$A$1501,0))</f>
        <v>89.6</v>
      </c>
      <c r="F528" s="0" t="n">
        <f aca="false">INDEX(customer_churn_dataset!$L$2:$L$1501,MATCH($A529,customer_churn_dataset!$A$2:$A$1501,0))</f>
        <v>1</v>
      </c>
      <c r="G528" s="0" t="str">
        <f aca="false">IF(INDEX(customer_churn_dataset!$M$2:$M$1501,MATCH($A529,customer_churn_dataset!$A$2:$A$1501,0))=1,"Yes","No")</f>
        <v>Yes</v>
      </c>
      <c r="H528" s="0" t="n">
        <f aca="false">INDEX(customer_churn_dataset!$N$2:$N$1501,MATCH($A529,customer_churn_dataset!$A$2:$A$1501,0))</f>
        <v>86.58</v>
      </c>
      <c r="I528" s="0" t="n">
        <f aca="false">INDEX(customer_churn_dataset!$O$2:$O$1501,MATCH($A529,customer_churn_dataset!$A$2:$A$1501,0))</f>
        <v>1</v>
      </c>
      <c r="J528" s="0" t="n">
        <f aca="false">INDEX(customer_churn_dataset!$T$2:$T$1501,MATCH($A529,customer_churn_dataset!$A$2:$A$1501,0))</f>
        <v>6</v>
      </c>
      <c r="K528" s="0" t="str">
        <f aca="false">INDEX(customer_churn_dataset!$V$2:$V$1501,MATCH($A529,customer_churn_dataset!$A$2:$A$1501,0))</f>
        <v>High Risk</v>
      </c>
    </row>
    <row r="529" customFormat="false" ht="12.8" hidden="true" customHeight="false" outlineLevel="0" collapsed="false">
      <c r="A529" s="22" t="str">
        <f aca="false">customer_churn_dataset!A522</f>
        <v>CUST101275</v>
      </c>
      <c r="B529" s="22" t="str">
        <f aca="false">customer_churn_dataset!B522</f>
        <v>Basic</v>
      </c>
      <c r="C529" s="22" t="str">
        <f aca="false">customer_churn_dataset!C522</f>
        <v>Month-to-month</v>
      </c>
      <c r="D529" s="0" t="n">
        <f aca="false">INDEX(customer_churn_dataset!$E$2:$E$1501,MATCH($A530,customer_churn_dataset!$A$2:$A$1501,0))</f>
        <v>13</v>
      </c>
      <c r="E529" s="0" t="n">
        <f aca="false">INDEX(customer_churn_dataset!$I$2:$I$1501,MATCH($A530,customer_churn_dataset!$A$2:$A$1501,0))</f>
        <v>90</v>
      </c>
      <c r="F529" s="0" t="n">
        <f aca="false">INDEX(customer_churn_dataset!$L$2:$L$1501,MATCH($A530,customer_churn_dataset!$A$2:$A$1501,0))</f>
        <v>0</v>
      </c>
      <c r="G529" s="0" t="str">
        <f aca="false">IF(INDEX(customer_churn_dataset!$M$2:$M$1501,MATCH($A530,customer_churn_dataset!$A$2:$A$1501,0))=1,"Yes","No")</f>
        <v>No</v>
      </c>
      <c r="H529" s="0" t="n">
        <f aca="false">INDEX(customer_churn_dataset!$N$2:$N$1501,MATCH($A530,customer_churn_dataset!$A$2:$A$1501,0))</f>
        <v>108.03</v>
      </c>
      <c r="I529" s="0" t="n">
        <f aca="false">INDEX(customer_churn_dataset!$O$2:$O$1501,MATCH($A530,customer_churn_dataset!$A$2:$A$1501,0))</f>
        <v>0</v>
      </c>
      <c r="J529" s="0" t="n">
        <f aca="false">INDEX(customer_churn_dataset!$T$2:$T$1501,MATCH($A530,customer_churn_dataset!$A$2:$A$1501,0))</f>
        <v>2</v>
      </c>
      <c r="K529" s="0" t="str">
        <f aca="false">INDEX(customer_churn_dataset!$V$2:$V$1501,MATCH($A530,customer_churn_dataset!$A$2:$A$1501,0))</f>
        <v>Low Risk</v>
      </c>
    </row>
    <row r="530" customFormat="false" ht="12.8" hidden="true" customHeight="false" outlineLevel="0" collapsed="false">
      <c r="A530" s="22" t="str">
        <f aca="false">customer_churn_dataset!A528</f>
        <v>CUST100718</v>
      </c>
      <c r="B530" s="22" t="str">
        <f aca="false">customer_churn_dataset!B528</f>
        <v>Basic</v>
      </c>
      <c r="C530" s="22" t="str">
        <f aca="false">customer_churn_dataset!C528</f>
        <v>Month-to-month</v>
      </c>
      <c r="D530" s="0" t="n">
        <f aca="false">INDEX(customer_churn_dataset!$E$2:$E$1501,MATCH($A531,customer_churn_dataset!$A$2:$A$1501,0))</f>
        <v>0</v>
      </c>
      <c r="E530" s="0" t="n">
        <f aca="false">INDEX(customer_churn_dataset!$I$2:$I$1501,MATCH($A531,customer_churn_dataset!$A$2:$A$1501,0))</f>
        <v>71.2</v>
      </c>
      <c r="F530" s="0" t="n">
        <f aca="false">INDEX(customer_churn_dataset!$L$2:$L$1501,MATCH($A531,customer_churn_dataset!$A$2:$A$1501,0))</f>
        <v>0</v>
      </c>
      <c r="G530" s="0" t="str">
        <f aca="false">IF(INDEX(customer_churn_dataset!$M$2:$M$1501,MATCH($A531,customer_churn_dataset!$A$2:$A$1501,0))=1,"Yes","No")</f>
        <v>No</v>
      </c>
      <c r="H530" s="0" t="n">
        <f aca="false">INDEX(customer_churn_dataset!$N$2:$N$1501,MATCH($A531,customer_churn_dataset!$A$2:$A$1501,0))</f>
        <v>0</v>
      </c>
      <c r="I530" s="0" t="n">
        <f aca="false">INDEX(customer_churn_dataset!$O$2:$O$1501,MATCH($A531,customer_churn_dataset!$A$2:$A$1501,0))</f>
        <v>1</v>
      </c>
      <c r="J530" s="0" t="n">
        <f aca="false">INDEX(customer_churn_dataset!$T$2:$T$1501,MATCH($A531,customer_churn_dataset!$A$2:$A$1501,0))</f>
        <v>3</v>
      </c>
      <c r="K530" s="0" t="str">
        <f aca="false">INDEX(customer_churn_dataset!$V$2:$V$1501,MATCH($A531,customer_churn_dataset!$A$2:$A$1501,0))</f>
        <v>Medium Risk</v>
      </c>
    </row>
    <row r="531" customFormat="false" ht="12.8" hidden="true" customHeight="false" outlineLevel="0" collapsed="false">
      <c r="A531" s="22" t="str">
        <f aca="false">customer_churn_dataset!A529</f>
        <v>CUST101289</v>
      </c>
      <c r="B531" s="22" t="str">
        <f aca="false">customer_churn_dataset!B529</f>
        <v>Basic</v>
      </c>
      <c r="C531" s="22" t="str">
        <f aca="false">customer_churn_dataset!C529</f>
        <v>Month-to-month</v>
      </c>
      <c r="D531" s="0" t="n">
        <f aca="false">INDEX(customer_churn_dataset!$E$2:$E$1501,MATCH($A532,customer_churn_dataset!$A$2:$A$1501,0))</f>
        <v>2</v>
      </c>
      <c r="E531" s="0" t="n">
        <f aca="false">INDEX(customer_churn_dataset!$I$2:$I$1501,MATCH($A532,customer_churn_dataset!$A$2:$A$1501,0))</f>
        <v>48.2</v>
      </c>
      <c r="F531" s="0" t="n">
        <f aca="false">INDEX(customer_churn_dataset!$L$2:$L$1501,MATCH($A532,customer_churn_dataset!$A$2:$A$1501,0))</f>
        <v>0</v>
      </c>
      <c r="G531" s="0" t="str">
        <f aca="false">IF(INDEX(customer_churn_dataset!$M$2:$M$1501,MATCH($A532,customer_churn_dataset!$A$2:$A$1501,0))=1,"Yes","No")</f>
        <v>No</v>
      </c>
      <c r="H531" s="0" t="n">
        <f aca="false">INDEX(customer_churn_dataset!$N$2:$N$1501,MATCH($A532,customer_churn_dataset!$A$2:$A$1501,0))</f>
        <v>40.46</v>
      </c>
      <c r="I531" s="0" t="n">
        <f aca="false">INDEX(customer_churn_dataset!$O$2:$O$1501,MATCH($A532,customer_churn_dataset!$A$2:$A$1501,0))</f>
        <v>0</v>
      </c>
      <c r="J531" s="0" t="n">
        <f aca="false">INDEX(customer_churn_dataset!$T$2:$T$1501,MATCH($A532,customer_churn_dataset!$A$2:$A$1501,0))</f>
        <v>4</v>
      </c>
      <c r="K531" s="0" t="str">
        <f aca="false">INDEX(customer_churn_dataset!$V$2:$V$1501,MATCH($A532,customer_churn_dataset!$A$2:$A$1501,0))</f>
        <v>Medium Risk</v>
      </c>
    </row>
    <row r="532" customFormat="false" ht="12.8" hidden="true" customHeight="false" outlineLevel="0" collapsed="false">
      <c r="A532" s="22" t="str">
        <f aca="false">customer_churn_dataset!A530</f>
        <v>CUST100763</v>
      </c>
      <c r="B532" s="22" t="str">
        <f aca="false">customer_churn_dataset!B530</f>
        <v>Standard</v>
      </c>
      <c r="C532" s="22" t="str">
        <f aca="false">customer_churn_dataset!C530</f>
        <v>Month-to-month</v>
      </c>
      <c r="D532" s="0" t="n">
        <f aca="false">INDEX(customer_churn_dataset!$E$2:$E$1501,MATCH($A533,customer_churn_dataset!$A$2:$A$1501,0))</f>
        <v>21</v>
      </c>
      <c r="E532" s="0" t="n">
        <f aca="false">INDEX(customer_churn_dataset!$I$2:$I$1501,MATCH($A533,customer_churn_dataset!$A$2:$A$1501,0))</f>
        <v>91</v>
      </c>
      <c r="F532" s="0" t="n">
        <f aca="false">INDEX(customer_churn_dataset!$L$2:$L$1501,MATCH($A533,customer_churn_dataset!$A$2:$A$1501,0))</f>
        <v>1</v>
      </c>
      <c r="G532" s="0" t="str">
        <f aca="false">IF(INDEX(customer_churn_dataset!$M$2:$M$1501,MATCH($A533,customer_churn_dataset!$A$2:$A$1501,0))=1,"Yes","No")</f>
        <v>No</v>
      </c>
      <c r="H532" s="0" t="n">
        <f aca="false">INDEX(customer_churn_dataset!$N$2:$N$1501,MATCH($A533,customer_churn_dataset!$A$2:$A$1501,0))</f>
        <v>819.84</v>
      </c>
      <c r="I532" s="0" t="n">
        <f aca="false">INDEX(customer_churn_dataset!$O$2:$O$1501,MATCH($A533,customer_churn_dataset!$A$2:$A$1501,0))</f>
        <v>1</v>
      </c>
      <c r="J532" s="0" t="n">
        <f aca="false">INDEX(customer_churn_dataset!$T$2:$T$1501,MATCH($A533,customer_churn_dataset!$A$2:$A$1501,0))</f>
        <v>2</v>
      </c>
      <c r="K532" s="0" t="str">
        <f aca="false">INDEX(customer_churn_dataset!$V$2:$V$1501,MATCH($A533,customer_churn_dataset!$A$2:$A$1501,0))</f>
        <v>Low Risk</v>
      </c>
    </row>
    <row r="533" customFormat="false" ht="12.8" hidden="true" customHeight="false" outlineLevel="0" collapsed="false">
      <c r="A533" s="22" t="str">
        <f aca="false">customer_churn_dataset!A535</f>
        <v>CUST100445</v>
      </c>
      <c r="B533" s="22" t="str">
        <f aca="false">customer_churn_dataset!B535</f>
        <v>Premium</v>
      </c>
      <c r="C533" s="22" t="str">
        <f aca="false">customer_churn_dataset!C535</f>
        <v>Month-to-month</v>
      </c>
      <c r="D533" s="0" t="n">
        <f aca="false">INDEX(customer_churn_dataset!$E$2:$E$1501,MATCH($A534,customer_churn_dataset!$A$2:$A$1501,0))</f>
        <v>22</v>
      </c>
      <c r="E533" s="0" t="n">
        <f aca="false">INDEX(customer_churn_dataset!$I$2:$I$1501,MATCH($A534,customer_churn_dataset!$A$2:$A$1501,0))</f>
        <v>47.8</v>
      </c>
      <c r="F533" s="0" t="n">
        <f aca="false">INDEX(customer_churn_dataset!$L$2:$L$1501,MATCH($A534,customer_churn_dataset!$A$2:$A$1501,0))</f>
        <v>0</v>
      </c>
      <c r="G533" s="0" t="str">
        <f aca="false">IF(INDEX(customer_churn_dataset!$M$2:$M$1501,MATCH($A534,customer_churn_dataset!$A$2:$A$1501,0))=1,"Yes","No")</f>
        <v>No</v>
      </c>
      <c r="H533" s="0" t="n">
        <f aca="false">INDEX(customer_churn_dataset!$N$2:$N$1501,MATCH($A534,customer_churn_dataset!$A$2:$A$1501,0))</f>
        <v>904.64</v>
      </c>
      <c r="I533" s="0" t="n">
        <f aca="false">INDEX(customer_churn_dataset!$O$2:$O$1501,MATCH($A534,customer_churn_dataset!$A$2:$A$1501,0))</f>
        <v>0</v>
      </c>
      <c r="J533" s="0" t="n">
        <f aca="false">INDEX(customer_churn_dataset!$T$2:$T$1501,MATCH($A534,customer_churn_dataset!$A$2:$A$1501,0))</f>
        <v>2</v>
      </c>
      <c r="K533" s="0" t="str">
        <f aca="false">INDEX(customer_churn_dataset!$V$2:$V$1501,MATCH($A534,customer_churn_dataset!$A$2:$A$1501,0))</f>
        <v>Low Risk</v>
      </c>
    </row>
    <row r="534" customFormat="false" ht="12.8" hidden="true" customHeight="false" outlineLevel="0" collapsed="false">
      <c r="A534" s="22" t="str">
        <f aca="false">customer_churn_dataset!A542</f>
        <v>CUST100707</v>
      </c>
      <c r="B534" s="22" t="str">
        <f aca="false">customer_churn_dataset!B542</f>
        <v>Premium</v>
      </c>
      <c r="C534" s="22" t="str">
        <f aca="false">customer_churn_dataset!C542</f>
        <v>One year</v>
      </c>
      <c r="D534" s="0" t="n">
        <f aca="false">INDEX(customer_churn_dataset!$E$2:$E$1501,MATCH($A535,customer_churn_dataset!$A$2:$A$1501,0))</f>
        <v>70</v>
      </c>
      <c r="E534" s="0" t="n">
        <f aca="false">INDEX(customer_churn_dataset!$I$2:$I$1501,MATCH($A535,customer_churn_dataset!$A$2:$A$1501,0))</f>
        <v>68.7</v>
      </c>
      <c r="F534" s="0" t="n">
        <f aca="false">INDEX(customer_churn_dataset!$L$2:$L$1501,MATCH($A535,customer_churn_dataset!$A$2:$A$1501,0))</f>
        <v>1</v>
      </c>
      <c r="G534" s="0" t="str">
        <f aca="false">IF(INDEX(customer_churn_dataset!$M$2:$M$1501,MATCH($A535,customer_churn_dataset!$A$2:$A$1501,0))=1,"Yes","No")</f>
        <v>Yes</v>
      </c>
      <c r="H534" s="0" t="n">
        <f aca="false">INDEX(customer_churn_dataset!$N$2:$N$1501,MATCH($A535,customer_churn_dataset!$A$2:$A$1501,0))</f>
        <v>1503.6</v>
      </c>
      <c r="I534" s="0" t="n">
        <f aca="false">INDEX(customer_churn_dataset!$O$2:$O$1501,MATCH($A535,customer_churn_dataset!$A$2:$A$1501,0))</f>
        <v>0</v>
      </c>
      <c r="J534" s="0" t="n">
        <f aca="false">INDEX(customer_churn_dataset!$T$2:$T$1501,MATCH($A535,customer_churn_dataset!$A$2:$A$1501,0))</f>
        <v>4</v>
      </c>
      <c r="K534" s="0" t="str">
        <f aca="false">INDEX(customer_churn_dataset!$V$2:$V$1501,MATCH($A535,customer_churn_dataset!$A$2:$A$1501,0))</f>
        <v>Medium Risk</v>
      </c>
    </row>
    <row r="535" customFormat="false" ht="12.8" hidden="true" customHeight="false" outlineLevel="0" collapsed="false">
      <c r="A535" s="22" t="str">
        <f aca="false">customer_churn_dataset!A543</f>
        <v>CUST100985</v>
      </c>
      <c r="B535" s="22" t="str">
        <f aca="false">customer_churn_dataset!B543</f>
        <v>Standard</v>
      </c>
      <c r="C535" s="22" t="str">
        <f aca="false">customer_churn_dataset!C543</f>
        <v>One year</v>
      </c>
      <c r="D535" s="0" t="n">
        <f aca="false">INDEX(customer_churn_dataset!$E$2:$E$1501,MATCH($A536,customer_churn_dataset!$A$2:$A$1501,0))</f>
        <v>13</v>
      </c>
      <c r="E535" s="0" t="n">
        <f aca="false">INDEX(customer_churn_dataset!$I$2:$I$1501,MATCH($A536,customer_churn_dataset!$A$2:$A$1501,0))</f>
        <v>53.1</v>
      </c>
      <c r="F535" s="0" t="n">
        <f aca="false">INDEX(customer_churn_dataset!$L$2:$L$1501,MATCH($A536,customer_churn_dataset!$A$2:$A$1501,0))</f>
        <v>0</v>
      </c>
      <c r="G535" s="0" t="str">
        <f aca="false">IF(INDEX(customer_churn_dataset!$M$2:$M$1501,MATCH($A536,customer_churn_dataset!$A$2:$A$1501,0))=1,"Yes","No")</f>
        <v>No</v>
      </c>
      <c r="H535" s="0" t="n">
        <f aca="false">INDEX(customer_churn_dataset!$N$2:$N$1501,MATCH($A536,customer_churn_dataset!$A$2:$A$1501,0))</f>
        <v>262.86</v>
      </c>
      <c r="I535" s="0" t="n">
        <f aca="false">INDEX(customer_churn_dataset!$O$2:$O$1501,MATCH($A536,customer_churn_dataset!$A$2:$A$1501,0))</f>
        <v>0</v>
      </c>
      <c r="J535" s="0" t="n">
        <f aca="false">INDEX(customer_churn_dataset!$T$2:$T$1501,MATCH($A536,customer_churn_dataset!$A$2:$A$1501,0))</f>
        <v>1</v>
      </c>
      <c r="K535" s="0" t="str">
        <f aca="false">INDEX(customer_churn_dataset!$V$2:$V$1501,MATCH($A536,customer_churn_dataset!$A$2:$A$1501,0))</f>
        <v>Low Risk</v>
      </c>
    </row>
    <row r="536" customFormat="false" ht="12.8" hidden="true" customHeight="false" outlineLevel="0" collapsed="false">
      <c r="A536" s="22" t="str">
        <f aca="false">customer_churn_dataset!A546</f>
        <v>CUST101274</v>
      </c>
      <c r="B536" s="22" t="str">
        <f aca="false">customer_churn_dataset!B546</f>
        <v>Standard</v>
      </c>
      <c r="C536" s="22" t="str">
        <f aca="false">customer_churn_dataset!C546</f>
        <v>Two year</v>
      </c>
      <c r="D536" s="0" t="n">
        <f aca="false">INDEX(customer_churn_dataset!$E$2:$E$1501,MATCH($A537,customer_churn_dataset!$A$2:$A$1501,0))</f>
        <v>6</v>
      </c>
      <c r="E536" s="0" t="n">
        <f aca="false">INDEX(customer_churn_dataset!$I$2:$I$1501,MATCH($A537,customer_churn_dataset!$A$2:$A$1501,0))</f>
        <v>73.1</v>
      </c>
      <c r="F536" s="0" t="n">
        <f aca="false">INDEX(customer_churn_dataset!$L$2:$L$1501,MATCH($A537,customer_churn_dataset!$A$2:$A$1501,0))</f>
        <v>3</v>
      </c>
      <c r="G536" s="0" t="str">
        <f aca="false">IF(INDEX(customer_churn_dataset!$M$2:$M$1501,MATCH($A537,customer_churn_dataset!$A$2:$A$1501,0))=1,"Yes","No")</f>
        <v>No</v>
      </c>
      <c r="H536" s="0" t="n">
        <f aca="false">INDEX(customer_churn_dataset!$N$2:$N$1501,MATCH($A537,customer_churn_dataset!$A$2:$A$1501,0))</f>
        <v>48.12</v>
      </c>
      <c r="I536" s="0" t="n">
        <f aca="false">INDEX(customer_churn_dataset!$O$2:$O$1501,MATCH($A537,customer_churn_dataset!$A$2:$A$1501,0))</f>
        <v>0</v>
      </c>
      <c r="J536" s="0" t="n">
        <f aca="false">INDEX(customer_churn_dataset!$T$2:$T$1501,MATCH($A537,customer_churn_dataset!$A$2:$A$1501,0))</f>
        <v>2</v>
      </c>
      <c r="K536" s="0" t="str">
        <f aca="false">INDEX(customer_churn_dataset!$V$2:$V$1501,MATCH($A537,customer_churn_dataset!$A$2:$A$1501,0))</f>
        <v>Low Risk</v>
      </c>
    </row>
    <row r="537" customFormat="false" ht="12.8" hidden="true" customHeight="false" outlineLevel="0" collapsed="false">
      <c r="A537" s="22" t="str">
        <f aca="false">customer_churn_dataset!A550</f>
        <v>CUST101072</v>
      </c>
      <c r="B537" s="22" t="str">
        <f aca="false">customer_churn_dataset!B550</f>
        <v>Basic</v>
      </c>
      <c r="C537" s="22" t="str">
        <f aca="false">customer_churn_dataset!C550</f>
        <v>Two year</v>
      </c>
      <c r="D537" s="0" t="n">
        <f aca="false">INDEX(customer_churn_dataset!$E$2:$E$1501,MATCH($A538,customer_churn_dataset!$A$2:$A$1501,0))</f>
        <v>36</v>
      </c>
      <c r="E537" s="0" t="n">
        <f aca="false">INDEX(customer_churn_dataset!$I$2:$I$1501,MATCH($A538,customer_churn_dataset!$A$2:$A$1501,0))</f>
        <v>55.2</v>
      </c>
      <c r="F537" s="0" t="n">
        <f aca="false">INDEX(customer_churn_dataset!$L$2:$L$1501,MATCH($A538,customer_churn_dataset!$A$2:$A$1501,0))</f>
        <v>2</v>
      </c>
      <c r="G537" s="0" t="str">
        <f aca="false">IF(INDEX(customer_churn_dataset!$M$2:$M$1501,MATCH($A538,customer_churn_dataset!$A$2:$A$1501,0))=1,"Yes","No")</f>
        <v>No</v>
      </c>
      <c r="H537" s="0" t="n">
        <f aca="false">INDEX(customer_churn_dataset!$N$2:$N$1501,MATCH($A538,customer_churn_dataset!$A$2:$A$1501,0))</f>
        <v>316.8</v>
      </c>
      <c r="I537" s="0" t="n">
        <f aca="false">INDEX(customer_churn_dataset!$O$2:$O$1501,MATCH($A538,customer_churn_dataset!$A$2:$A$1501,0))</f>
        <v>0</v>
      </c>
      <c r="J537" s="0" t="n">
        <f aca="false">INDEX(customer_churn_dataset!$T$2:$T$1501,MATCH($A538,customer_churn_dataset!$A$2:$A$1501,0))</f>
        <v>1</v>
      </c>
      <c r="K537" s="0" t="str">
        <f aca="false">INDEX(customer_churn_dataset!$V$2:$V$1501,MATCH($A538,customer_churn_dataset!$A$2:$A$1501,0))</f>
        <v>Low Risk</v>
      </c>
    </row>
    <row r="538" customFormat="false" ht="12.8" hidden="true" customHeight="false" outlineLevel="0" collapsed="false">
      <c r="A538" s="22" t="str">
        <f aca="false">customer_churn_dataset!A556</f>
        <v>CUST101443</v>
      </c>
      <c r="B538" s="22" t="str">
        <f aca="false">customer_churn_dataset!B556</f>
        <v>Basic</v>
      </c>
      <c r="C538" s="22" t="str">
        <f aca="false">customer_churn_dataset!C556</f>
        <v>Two year</v>
      </c>
      <c r="D538" s="0" t="n">
        <f aca="false">INDEX(customer_churn_dataset!$E$2:$E$1501,MATCH($A539,customer_churn_dataset!$A$2:$A$1501,0))</f>
        <v>2</v>
      </c>
      <c r="E538" s="0" t="n">
        <f aca="false">INDEX(customer_churn_dataset!$I$2:$I$1501,MATCH($A539,customer_churn_dataset!$A$2:$A$1501,0))</f>
        <v>90.7</v>
      </c>
      <c r="F538" s="0" t="n">
        <f aca="false">INDEX(customer_churn_dataset!$L$2:$L$1501,MATCH($A539,customer_churn_dataset!$A$2:$A$1501,0))</f>
        <v>1</v>
      </c>
      <c r="G538" s="0" t="str">
        <f aca="false">IF(INDEX(customer_churn_dataset!$M$2:$M$1501,MATCH($A539,customer_churn_dataset!$A$2:$A$1501,0))=1,"Yes","No")</f>
        <v>Yes</v>
      </c>
      <c r="H538" s="0" t="n">
        <f aca="false">INDEX(customer_churn_dataset!$N$2:$N$1501,MATCH($A539,customer_churn_dataset!$A$2:$A$1501,0))</f>
        <v>39.52</v>
      </c>
      <c r="I538" s="0" t="n">
        <f aca="false">INDEX(customer_churn_dataset!$O$2:$O$1501,MATCH($A539,customer_churn_dataset!$A$2:$A$1501,0))</f>
        <v>0</v>
      </c>
      <c r="J538" s="0" t="n">
        <f aca="false">INDEX(customer_churn_dataset!$T$2:$T$1501,MATCH($A539,customer_churn_dataset!$A$2:$A$1501,0))</f>
        <v>4</v>
      </c>
      <c r="K538" s="0" t="str">
        <f aca="false">INDEX(customer_churn_dataset!$V$2:$V$1501,MATCH($A539,customer_churn_dataset!$A$2:$A$1501,0))</f>
        <v>Medium Risk</v>
      </c>
    </row>
    <row r="539" customFormat="false" ht="12.8" hidden="true" customHeight="false" outlineLevel="0" collapsed="false">
      <c r="A539" s="22" t="str">
        <f aca="false">customer_churn_dataset!A557</f>
        <v>CUST101316</v>
      </c>
      <c r="B539" s="22" t="str">
        <f aca="false">customer_churn_dataset!B557</f>
        <v>Standard</v>
      </c>
      <c r="C539" s="22" t="str">
        <f aca="false">customer_churn_dataset!C557</f>
        <v>Two year</v>
      </c>
      <c r="D539" s="0" t="n">
        <f aca="false">INDEX(customer_churn_dataset!$E$2:$E$1501,MATCH($A540,customer_churn_dataset!$A$2:$A$1501,0))</f>
        <v>6</v>
      </c>
      <c r="E539" s="0" t="n">
        <f aca="false">INDEX(customer_churn_dataset!$I$2:$I$1501,MATCH($A540,customer_churn_dataset!$A$2:$A$1501,0))</f>
        <v>84.5</v>
      </c>
      <c r="F539" s="0" t="n">
        <f aca="false">INDEX(customer_churn_dataset!$L$2:$L$1501,MATCH($A540,customer_churn_dataset!$A$2:$A$1501,0))</f>
        <v>1</v>
      </c>
      <c r="G539" s="0" t="str">
        <f aca="false">IF(INDEX(customer_churn_dataset!$M$2:$M$1501,MATCH($A540,customer_churn_dataset!$A$2:$A$1501,0))=1,"Yes","No")</f>
        <v>No</v>
      </c>
      <c r="H539" s="0" t="n">
        <f aca="false">INDEX(customer_churn_dataset!$N$2:$N$1501,MATCH($A540,customer_churn_dataset!$A$2:$A$1501,0))</f>
        <v>126.18</v>
      </c>
      <c r="I539" s="0" t="n">
        <f aca="false">INDEX(customer_churn_dataset!$O$2:$O$1501,MATCH($A540,customer_churn_dataset!$A$2:$A$1501,0))</f>
        <v>0</v>
      </c>
      <c r="J539" s="0" t="n">
        <f aca="false">INDEX(customer_churn_dataset!$T$2:$T$1501,MATCH($A540,customer_churn_dataset!$A$2:$A$1501,0))</f>
        <v>1</v>
      </c>
      <c r="K539" s="0" t="str">
        <f aca="false">INDEX(customer_churn_dataset!$V$2:$V$1501,MATCH($A540,customer_churn_dataset!$A$2:$A$1501,0))</f>
        <v>Low Risk</v>
      </c>
    </row>
    <row r="540" customFormat="false" ht="12.8" hidden="true" customHeight="false" outlineLevel="0" collapsed="false">
      <c r="A540" s="22" t="str">
        <f aca="false">customer_churn_dataset!A560</f>
        <v>CUST100217</v>
      </c>
      <c r="B540" s="22" t="str">
        <f aca="false">customer_churn_dataset!B560</f>
        <v>Standard</v>
      </c>
      <c r="C540" s="22" t="str">
        <f aca="false">customer_churn_dataset!C560</f>
        <v>Two year</v>
      </c>
      <c r="D540" s="0" t="n">
        <f aca="false">INDEX(customer_churn_dataset!$E$2:$E$1501,MATCH($A541,customer_churn_dataset!$A$2:$A$1501,0))</f>
        <v>4</v>
      </c>
      <c r="E540" s="0" t="n">
        <f aca="false">INDEX(customer_churn_dataset!$I$2:$I$1501,MATCH($A541,customer_churn_dataset!$A$2:$A$1501,0))</f>
        <v>31.1</v>
      </c>
      <c r="F540" s="0" t="n">
        <f aca="false">INDEX(customer_churn_dataset!$L$2:$L$1501,MATCH($A541,customer_churn_dataset!$A$2:$A$1501,0))</f>
        <v>0</v>
      </c>
      <c r="G540" s="0" t="str">
        <f aca="false">IF(INDEX(customer_churn_dataset!$M$2:$M$1501,MATCH($A541,customer_churn_dataset!$A$2:$A$1501,0))=1,"Yes","No")</f>
        <v>No</v>
      </c>
      <c r="H540" s="0" t="n">
        <f aca="false">INDEX(customer_churn_dataset!$N$2:$N$1501,MATCH($A541,customer_churn_dataset!$A$2:$A$1501,0))</f>
        <v>79.56</v>
      </c>
      <c r="I540" s="0" t="n">
        <f aca="false">INDEX(customer_churn_dataset!$O$2:$O$1501,MATCH($A541,customer_churn_dataset!$A$2:$A$1501,0))</f>
        <v>0</v>
      </c>
      <c r="J540" s="0" t="n">
        <f aca="false">INDEX(customer_churn_dataset!$T$2:$T$1501,MATCH($A541,customer_churn_dataset!$A$2:$A$1501,0))</f>
        <v>5</v>
      </c>
      <c r="K540" s="0" t="str">
        <f aca="false">INDEX(customer_churn_dataset!$V$2:$V$1501,MATCH($A541,customer_churn_dataset!$A$2:$A$1501,0))</f>
        <v>Medium Risk</v>
      </c>
    </row>
    <row r="541" customFormat="false" ht="12.8" hidden="true" customHeight="false" outlineLevel="0" collapsed="false">
      <c r="A541" s="22" t="str">
        <f aca="false">customer_churn_dataset!A561</f>
        <v>CUST100017</v>
      </c>
      <c r="B541" s="22" t="str">
        <f aca="false">customer_churn_dataset!B561</f>
        <v>Standard</v>
      </c>
      <c r="C541" s="22" t="str">
        <f aca="false">customer_churn_dataset!C561</f>
        <v>Month-to-month</v>
      </c>
      <c r="D541" s="0" t="n">
        <f aca="false">INDEX(customer_churn_dataset!$E$2:$E$1501,MATCH($A542,customer_churn_dataset!$A$2:$A$1501,0))</f>
        <v>15</v>
      </c>
      <c r="E541" s="0" t="n">
        <f aca="false">INDEX(customer_churn_dataset!$I$2:$I$1501,MATCH($A542,customer_churn_dataset!$A$2:$A$1501,0))</f>
        <v>100</v>
      </c>
      <c r="F541" s="0" t="n">
        <f aca="false">INDEX(customer_churn_dataset!$L$2:$L$1501,MATCH($A542,customer_churn_dataset!$A$2:$A$1501,0))</f>
        <v>3</v>
      </c>
      <c r="G541" s="0" t="str">
        <f aca="false">IF(INDEX(customer_churn_dataset!$M$2:$M$1501,MATCH($A542,customer_churn_dataset!$A$2:$A$1501,0))=1,"Yes","No")</f>
        <v>Yes</v>
      </c>
      <c r="H541" s="0" t="n">
        <f aca="false">INDEX(customer_churn_dataset!$N$2:$N$1501,MATCH($A542,customer_churn_dataset!$A$2:$A$1501,0))</f>
        <v>325.95</v>
      </c>
      <c r="I541" s="0" t="n">
        <f aca="false">INDEX(customer_churn_dataset!$O$2:$O$1501,MATCH($A542,customer_churn_dataset!$A$2:$A$1501,0))</f>
        <v>0</v>
      </c>
      <c r="J541" s="0" t="n">
        <f aca="false">INDEX(customer_churn_dataset!$T$2:$T$1501,MATCH($A542,customer_churn_dataset!$A$2:$A$1501,0))</f>
        <v>6</v>
      </c>
      <c r="K541" s="0" t="str">
        <f aca="false">INDEX(customer_churn_dataset!$V$2:$V$1501,MATCH($A542,customer_churn_dataset!$A$2:$A$1501,0))</f>
        <v>High Risk</v>
      </c>
    </row>
    <row r="542" customFormat="false" ht="12.8" hidden="true" customHeight="false" outlineLevel="0" collapsed="false">
      <c r="A542" s="22" t="str">
        <f aca="false">customer_churn_dataset!A568</f>
        <v>CUST101130</v>
      </c>
      <c r="B542" s="22" t="str">
        <f aca="false">customer_churn_dataset!B568</f>
        <v>Standard</v>
      </c>
      <c r="C542" s="22" t="str">
        <f aca="false">customer_churn_dataset!C568</f>
        <v>Month-to-month</v>
      </c>
      <c r="D542" s="0" t="n">
        <f aca="false">INDEX(customer_churn_dataset!$E$2:$E$1501,MATCH($A543,customer_churn_dataset!$A$2:$A$1501,0))</f>
        <v>32</v>
      </c>
      <c r="E542" s="0" t="n">
        <f aca="false">INDEX(customer_churn_dataset!$I$2:$I$1501,MATCH($A543,customer_churn_dataset!$A$2:$A$1501,0))</f>
        <v>27.3</v>
      </c>
      <c r="F542" s="0" t="n">
        <f aca="false">INDEX(customer_churn_dataset!$L$2:$L$1501,MATCH($A543,customer_churn_dataset!$A$2:$A$1501,0))</f>
        <v>5</v>
      </c>
      <c r="G542" s="0" t="str">
        <f aca="false">IF(INDEX(customer_churn_dataset!$M$2:$M$1501,MATCH($A543,customer_churn_dataset!$A$2:$A$1501,0))=1,"Yes","No")</f>
        <v>Yes</v>
      </c>
      <c r="H542" s="0" t="n">
        <f aca="false">INDEX(customer_churn_dataset!$N$2:$N$1501,MATCH($A543,customer_churn_dataset!$A$2:$A$1501,0))</f>
        <v>1317.76</v>
      </c>
      <c r="I542" s="0" t="n">
        <f aca="false">INDEX(customer_churn_dataset!$O$2:$O$1501,MATCH($A543,customer_churn_dataset!$A$2:$A$1501,0))</f>
        <v>0</v>
      </c>
      <c r="J542" s="0" t="n">
        <f aca="false">INDEX(customer_churn_dataset!$T$2:$T$1501,MATCH($A543,customer_churn_dataset!$A$2:$A$1501,0))</f>
        <v>6</v>
      </c>
      <c r="K542" s="0" t="str">
        <f aca="false">INDEX(customer_churn_dataset!$V$2:$V$1501,MATCH($A543,customer_churn_dataset!$A$2:$A$1501,0))</f>
        <v>High Risk</v>
      </c>
    </row>
    <row r="543" customFormat="false" ht="12.8" hidden="true" customHeight="false" outlineLevel="0" collapsed="false">
      <c r="A543" s="22" t="str">
        <f aca="false">customer_churn_dataset!A573</f>
        <v>CUST100242</v>
      </c>
      <c r="B543" s="22" t="str">
        <f aca="false">customer_churn_dataset!B573</f>
        <v>Premium</v>
      </c>
      <c r="C543" s="22" t="str">
        <f aca="false">customer_churn_dataset!C573</f>
        <v>Two year</v>
      </c>
      <c r="D543" s="0" t="n">
        <f aca="false">INDEX(customer_churn_dataset!$E$2:$E$1501,MATCH($A544,customer_churn_dataset!$A$2:$A$1501,0))</f>
        <v>44</v>
      </c>
      <c r="E543" s="0" t="n">
        <f aca="false">INDEX(customer_churn_dataset!$I$2:$I$1501,MATCH($A544,customer_churn_dataset!$A$2:$A$1501,0))</f>
        <v>100</v>
      </c>
      <c r="F543" s="0" t="n">
        <f aca="false">INDEX(customer_churn_dataset!$L$2:$L$1501,MATCH($A544,customer_churn_dataset!$A$2:$A$1501,0))</f>
        <v>1</v>
      </c>
      <c r="G543" s="0" t="str">
        <f aca="false">IF(INDEX(customer_churn_dataset!$M$2:$M$1501,MATCH($A544,customer_churn_dataset!$A$2:$A$1501,0))=1,"Yes","No")</f>
        <v>No</v>
      </c>
      <c r="H543" s="0" t="n">
        <f aca="false">INDEX(customer_churn_dataset!$N$2:$N$1501,MATCH($A544,customer_churn_dataset!$A$2:$A$1501,0))</f>
        <v>483.12</v>
      </c>
      <c r="I543" s="0" t="n">
        <f aca="false">INDEX(customer_churn_dataset!$O$2:$O$1501,MATCH($A544,customer_churn_dataset!$A$2:$A$1501,0))</f>
        <v>0</v>
      </c>
      <c r="J543" s="0" t="n">
        <f aca="false">INDEX(customer_churn_dataset!$T$2:$T$1501,MATCH($A544,customer_churn_dataset!$A$2:$A$1501,0))</f>
        <v>2</v>
      </c>
      <c r="K543" s="0" t="str">
        <f aca="false">INDEX(customer_churn_dataset!$V$2:$V$1501,MATCH($A544,customer_churn_dataset!$A$2:$A$1501,0))</f>
        <v>Low Risk</v>
      </c>
    </row>
    <row r="544" customFormat="false" ht="12.8" hidden="false" customHeight="false" outlineLevel="0" collapsed="false">
      <c r="A544" s="23" t="str">
        <f aca="false">customer_churn_dataset!A576</f>
        <v>CUST101010</v>
      </c>
      <c r="B544" s="24" t="str">
        <f aca="false">customer_churn_dataset!B576</f>
        <v>Basic</v>
      </c>
      <c r="C544" s="24" t="str">
        <f aca="false">customer_churn_dataset!C576</f>
        <v>Month-to-month</v>
      </c>
      <c r="D544" s="25" t="n">
        <f aca="false">INDEX(customer_churn_dataset!$E$2:$E$1501,MATCH($A545,customer_churn_dataset!$A$2:$A$1501,0))</f>
        <v>7</v>
      </c>
      <c r="E544" s="25" t="n">
        <f aca="false">INDEX(customer_churn_dataset!$I$2:$I$1501,MATCH($A545,customer_churn_dataset!$A$2:$A$1501,0))</f>
        <v>32</v>
      </c>
      <c r="F544" s="25" t="n">
        <f aca="false">INDEX(customer_churn_dataset!$L$2:$L$1501,MATCH($A545,customer_churn_dataset!$A$2:$A$1501,0))</f>
        <v>1</v>
      </c>
      <c r="G544" s="25" t="str">
        <f aca="false">IF(INDEX(customer_churn_dataset!$M$2:$M$1501,MATCH($A545,customer_churn_dataset!$A$2:$A$1501,0))=1,"Yes","No")</f>
        <v>Yes</v>
      </c>
      <c r="H544" s="25" t="n">
        <f aca="false">INDEX(customer_churn_dataset!$N$2:$N$1501,MATCH($A545,customer_churn_dataset!$A$2:$A$1501,0))</f>
        <v>139.65</v>
      </c>
      <c r="I544" s="25" t="n">
        <f aca="false">INDEX(customer_churn_dataset!$O$2:$O$1501,MATCH($A545,customer_churn_dataset!$A$2:$A$1501,0))</f>
        <v>0</v>
      </c>
      <c r="J544" s="25" t="n">
        <f aca="false">INDEX(customer_churn_dataset!$T$2:$T$1501,MATCH($A545,customer_churn_dataset!$A$2:$A$1501,0))</f>
        <v>8</v>
      </c>
      <c r="K544" s="25" t="str">
        <f aca="false">INDEX(customer_churn_dataset!$V$2:$V$1501,MATCH($A545,customer_churn_dataset!$A$2:$A$1501,0))</f>
        <v>High Risk</v>
      </c>
    </row>
    <row r="545" customFormat="false" ht="12.8" hidden="true" customHeight="false" outlineLevel="0" collapsed="false">
      <c r="A545" s="22" t="str">
        <f aca="false">customer_churn_dataset!A581</f>
        <v>CUST101263</v>
      </c>
      <c r="B545" s="22" t="str">
        <f aca="false">customer_churn_dataset!B581</f>
        <v>Standard</v>
      </c>
      <c r="C545" s="22" t="str">
        <f aca="false">customer_churn_dataset!C581</f>
        <v>Month-to-month</v>
      </c>
      <c r="D545" s="0" t="n">
        <f aca="false">INDEX(customer_churn_dataset!$E$2:$E$1501,MATCH($A546,customer_churn_dataset!$A$2:$A$1501,0))</f>
        <v>5</v>
      </c>
      <c r="E545" s="0" t="n">
        <f aca="false">INDEX(customer_churn_dataset!$I$2:$I$1501,MATCH($A546,customer_churn_dataset!$A$2:$A$1501,0))</f>
        <v>57.6</v>
      </c>
      <c r="F545" s="0" t="n">
        <f aca="false">INDEX(customer_churn_dataset!$L$2:$L$1501,MATCH($A546,customer_churn_dataset!$A$2:$A$1501,0))</f>
        <v>3</v>
      </c>
      <c r="G545" s="0" t="str">
        <f aca="false">IF(INDEX(customer_churn_dataset!$M$2:$M$1501,MATCH($A546,customer_churn_dataset!$A$2:$A$1501,0))=1,"Yes","No")</f>
        <v>No</v>
      </c>
      <c r="H545" s="0" t="n">
        <f aca="false">INDEX(customer_churn_dataset!$N$2:$N$1501,MATCH($A546,customer_churn_dataset!$A$2:$A$1501,0))</f>
        <v>202.75</v>
      </c>
      <c r="I545" s="0" t="n">
        <f aca="false">INDEX(customer_churn_dataset!$O$2:$O$1501,MATCH($A546,customer_churn_dataset!$A$2:$A$1501,0))</f>
        <v>0</v>
      </c>
      <c r="J545" s="0" t="n">
        <f aca="false">INDEX(customer_churn_dataset!$T$2:$T$1501,MATCH($A546,customer_churn_dataset!$A$2:$A$1501,0))</f>
        <v>3</v>
      </c>
      <c r="K545" s="0" t="str">
        <f aca="false">INDEX(customer_churn_dataset!$V$2:$V$1501,MATCH($A546,customer_churn_dataset!$A$2:$A$1501,0))</f>
        <v>Medium Risk</v>
      </c>
    </row>
    <row r="546" customFormat="false" ht="12.8" hidden="true" customHeight="false" outlineLevel="0" collapsed="false">
      <c r="A546" s="22" t="str">
        <f aca="false">customer_churn_dataset!A582</f>
        <v>CUST100007</v>
      </c>
      <c r="B546" s="22" t="str">
        <f aca="false">customer_churn_dataset!B582</f>
        <v>Premium</v>
      </c>
      <c r="C546" s="22" t="str">
        <f aca="false">customer_churn_dataset!C582</f>
        <v>One year</v>
      </c>
      <c r="D546" s="0" t="n">
        <f aca="false">INDEX(customer_churn_dataset!$E$2:$E$1501,MATCH($A547,customer_churn_dataset!$A$2:$A$1501,0))</f>
        <v>14</v>
      </c>
      <c r="E546" s="0" t="n">
        <f aca="false">INDEX(customer_churn_dataset!$I$2:$I$1501,MATCH($A547,customer_churn_dataset!$A$2:$A$1501,0))</f>
        <v>33</v>
      </c>
      <c r="F546" s="0" t="n">
        <f aca="false">INDEX(customer_churn_dataset!$L$2:$L$1501,MATCH($A547,customer_churn_dataset!$A$2:$A$1501,0))</f>
        <v>3</v>
      </c>
      <c r="G546" s="0" t="str">
        <f aca="false">IF(INDEX(customer_churn_dataset!$M$2:$M$1501,MATCH($A547,customer_churn_dataset!$A$2:$A$1501,0))=1,"Yes","No")</f>
        <v>No</v>
      </c>
      <c r="H546" s="0" t="n">
        <f aca="false">INDEX(customer_churn_dataset!$N$2:$N$1501,MATCH($A547,customer_churn_dataset!$A$2:$A$1501,0))</f>
        <v>131.32</v>
      </c>
      <c r="I546" s="0" t="n">
        <f aca="false">INDEX(customer_churn_dataset!$O$2:$O$1501,MATCH($A547,customer_churn_dataset!$A$2:$A$1501,0))</f>
        <v>0</v>
      </c>
      <c r="J546" s="0" t="n">
        <f aca="false">INDEX(customer_churn_dataset!$T$2:$T$1501,MATCH($A547,customer_churn_dataset!$A$2:$A$1501,0))</f>
        <v>3</v>
      </c>
      <c r="K546" s="0" t="str">
        <f aca="false">INDEX(customer_churn_dataset!$V$2:$V$1501,MATCH($A547,customer_churn_dataset!$A$2:$A$1501,0))</f>
        <v>Medium Risk</v>
      </c>
    </row>
    <row r="547" customFormat="false" ht="12.8" hidden="true" customHeight="false" outlineLevel="0" collapsed="false">
      <c r="A547" s="22" t="str">
        <f aca="false">customer_churn_dataset!A583</f>
        <v>CUST101436</v>
      </c>
      <c r="B547" s="22" t="str">
        <f aca="false">customer_churn_dataset!B583</f>
        <v>Basic</v>
      </c>
      <c r="C547" s="22" t="str">
        <f aca="false">customer_churn_dataset!C583</f>
        <v>Two year</v>
      </c>
      <c r="D547" s="0" t="n">
        <f aca="false">INDEX(customer_churn_dataset!$E$2:$E$1501,MATCH($A548,customer_churn_dataset!$A$2:$A$1501,0))</f>
        <v>23</v>
      </c>
      <c r="E547" s="0" t="n">
        <f aca="false">INDEX(customer_churn_dataset!$I$2:$I$1501,MATCH($A548,customer_churn_dataset!$A$2:$A$1501,0))</f>
        <v>68.9</v>
      </c>
      <c r="F547" s="0" t="n">
        <f aca="false">INDEX(customer_churn_dataset!$L$2:$L$1501,MATCH($A548,customer_churn_dataset!$A$2:$A$1501,0))</f>
        <v>4</v>
      </c>
      <c r="G547" s="0" t="str">
        <f aca="false">IF(INDEX(customer_churn_dataset!$M$2:$M$1501,MATCH($A548,customer_churn_dataset!$A$2:$A$1501,0))=1,"Yes","No")</f>
        <v>Yes</v>
      </c>
      <c r="H547" s="0" t="n">
        <f aca="false">INDEX(customer_churn_dataset!$N$2:$N$1501,MATCH($A548,customer_churn_dataset!$A$2:$A$1501,0))</f>
        <v>934.95</v>
      </c>
      <c r="I547" s="0" t="n">
        <f aca="false">INDEX(customer_churn_dataset!$O$2:$O$1501,MATCH($A548,customer_churn_dataset!$A$2:$A$1501,0))</f>
        <v>0</v>
      </c>
      <c r="J547" s="0" t="n">
        <f aca="false">INDEX(customer_churn_dataset!$T$2:$T$1501,MATCH($A548,customer_churn_dataset!$A$2:$A$1501,0))</f>
        <v>6</v>
      </c>
      <c r="K547" s="0" t="str">
        <f aca="false">INDEX(customer_churn_dataset!$V$2:$V$1501,MATCH($A548,customer_churn_dataset!$A$2:$A$1501,0))</f>
        <v>High Risk</v>
      </c>
    </row>
    <row r="548" customFormat="false" ht="12.8" hidden="true" customHeight="false" outlineLevel="0" collapsed="false">
      <c r="A548" s="22" t="str">
        <f aca="false">customer_churn_dataset!A589</f>
        <v>CUST100280</v>
      </c>
      <c r="B548" s="22" t="str">
        <f aca="false">customer_churn_dataset!B589</f>
        <v>Premium</v>
      </c>
      <c r="C548" s="22" t="str">
        <f aca="false">customer_churn_dataset!C589</f>
        <v>Month-to-month</v>
      </c>
      <c r="D548" s="0" t="n">
        <f aca="false">INDEX(customer_churn_dataset!$E$2:$E$1501,MATCH($A549,customer_churn_dataset!$A$2:$A$1501,0))</f>
        <v>3</v>
      </c>
      <c r="E548" s="0" t="n">
        <f aca="false">INDEX(customer_churn_dataset!$I$2:$I$1501,MATCH($A549,customer_churn_dataset!$A$2:$A$1501,0))</f>
        <v>52.9</v>
      </c>
      <c r="F548" s="0" t="n">
        <f aca="false">INDEX(customer_churn_dataset!$L$2:$L$1501,MATCH($A549,customer_churn_dataset!$A$2:$A$1501,0))</f>
        <v>0</v>
      </c>
      <c r="G548" s="0" t="str">
        <f aca="false">IF(INDEX(customer_churn_dataset!$M$2:$M$1501,MATCH($A549,customer_churn_dataset!$A$2:$A$1501,0))=1,"Yes","No")</f>
        <v>No</v>
      </c>
      <c r="H548" s="0" t="n">
        <f aca="false">INDEX(customer_churn_dataset!$N$2:$N$1501,MATCH($A549,customer_churn_dataset!$A$2:$A$1501,0))</f>
        <v>59.04</v>
      </c>
      <c r="I548" s="0" t="n">
        <f aca="false">INDEX(customer_churn_dataset!$O$2:$O$1501,MATCH($A549,customer_churn_dataset!$A$2:$A$1501,0))</f>
        <v>0</v>
      </c>
      <c r="J548" s="0" t="n">
        <f aca="false">INDEX(customer_churn_dataset!$T$2:$T$1501,MATCH($A549,customer_churn_dataset!$A$2:$A$1501,0))</f>
        <v>3</v>
      </c>
      <c r="K548" s="0" t="str">
        <f aca="false">INDEX(customer_churn_dataset!$V$2:$V$1501,MATCH($A549,customer_churn_dataset!$A$2:$A$1501,0))</f>
        <v>Medium Risk</v>
      </c>
    </row>
    <row r="549" customFormat="false" ht="12.8" hidden="false" customHeight="false" outlineLevel="0" collapsed="false">
      <c r="A549" s="23" t="str">
        <f aca="false">customer_churn_dataset!A590</f>
        <v>CUST100119</v>
      </c>
      <c r="B549" s="24" t="str">
        <f aca="false">customer_churn_dataset!B590</f>
        <v>Standard</v>
      </c>
      <c r="C549" s="24" t="str">
        <f aca="false">customer_churn_dataset!C590</f>
        <v>One year</v>
      </c>
      <c r="D549" s="25" t="n">
        <f aca="false">INDEX(customer_churn_dataset!$E$2:$E$1501,MATCH($A550,customer_churn_dataset!$A$2:$A$1501,0))</f>
        <v>44</v>
      </c>
      <c r="E549" s="25" t="n">
        <f aca="false">INDEX(customer_churn_dataset!$I$2:$I$1501,MATCH($A550,customer_churn_dataset!$A$2:$A$1501,0))</f>
        <v>20</v>
      </c>
      <c r="F549" s="25" t="n">
        <f aca="false">INDEX(customer_churn_dataset!$L$2:$L$1501,MATCH($A550,customer_churn_dataset!$A$2:$A$1501,0))</f>
        <v>3</v>
      </c>
      <c r="G549" s="25" t="str">
        <f aca="false">IF(INDEX(customer_churn_dataset!$M$2:$M$1501,MATCH($A550,customer_churn_dataset!$A$2:$A$1501,0))=1,"Yes","No")</f>
        <v>Yes</v>
      </c>
      <c r="H549" s="25" t="n">
        <f aca="false">INDEX(customer_churn_dataset!$N$2:$N$1501,MATCH($A550,customer_churn_dataset!$A$2:$A$1501,0))</f>
        <v>403.48</v>
      </c>
      <c r="I549" s="25" t="n">
        <f aca="false">INDEX(customer_churn_dataset!$O$2:$O$1501,MATCH($A550,customer_churn_dataset!$A$2:$A$1501,0))</f>
        <v>0</v>
      </c>
      <c r="J549" s="25" t="n">
        <f aca="false">INDEX(customer_churn_dataset!$T$2:$T$1501,MATCH($A550,customer_churn_dataset!$A$2:$A$1501,0))</f>
        <v>8</v>
      </c>
      <c r="K549" s="25" t="str">
        <f aca="false">INDEX(customer_churn_dataset!$V$2:$V$1501,MATCH($A550,customer_churn_dataset!$A$2:$A$1501,0))</f>
        <v>High Risk</v>
      </c>
    </row>
    <row r="550" customFormat="false" ht="12.8" hidden="true" customHeight="false" outlineLevel="0" collapsed="false">
      <c r="A550" s="22" t="str">
        <f aca="false">customer_churn_dataset!A593</f>
        <v>CUST100342</v>
      </c>
      <c r="B550" s="22" t="str">
        <f aca="false">customer_churn_dataset!B593</f>
        <v>Basic</v>
      </c>
      <c r="C550" s="22" t="str">
        <f aca="false">customer_churn_dataset!C593</f>
        <v>Month-to-month</v>
      </c>
      <c r="D550" s="0" t="n">
        <f aca="false">INDEX(customer_churn_dataset!$E$2:$E$1501,MATCH($A551,customer_churn_dataset!$A$2:$A$1501,0))</f>
        <v>9</v>
      </c>
      <c r="E550" s="0" t="n">
        <f aca="false">INDEX(customer_churn_dataset!$I$2:$I$1501,MATCH($A551,customer_churn_dataset!$A$2:$A$1501,0))</f>
        <v>43.2</v>
      </c>
      <c r="F550" s="0" t="n">
        <f aca="false">INDEX(customer_churn_dataset!$L$2:$L$1501,MATCH($A551,customer_churn_dataset!$A$2:$A$1501,0))</f>
        <v>1</v>
      </c>
      <c r="G550" s="0" t="str">
        <f aca="false">IF(INDEX(customer_churn_dataset!$M$2:$M$1501,MATCH($A551,customer_churn_dataset!$A$2:$A$1501,0))=1,"Yes","No")</f>
        <v>Yes</v>
      </c>
      <c r="H550" s="0" t="n">
        <f aca="false">INDEX(customer_churn_dataset!$N$2:$N$1501,MATCH($A551,customer_churn_dataset!$A$2:$A$1501,0))</f>
        <v>75.42</v>
      </c>
      <c r="I550" s="0" t="n">
        <f aca="false">INDEX(customer_churn_dataset!$O$2:$O$1501,MATCH($A551,customer_churn_dataset!$A$2:$A$1501,0))</f>
        <v>1</v>
      </c>
      <c r="J550" s="0" t="n">
        <f aca="false">INDEX(customer_churn_dataset!$T$2:$T$1501,MATCH($A551,customer_churn_dataset!$A$2:$A$1501,0))</f>
        <v>6</v>
      </c>
      <c r="K550" s="0" t="str">
        <f aca="false">INDEX(customer_churn_dataset!$V$2:$V$1501,MATCH($A551,customer_churn_dataset!$A$2:$A$1501,0))</f>
        <v>High Risk</v>
      </c>
    </row>
    <row r="551" customFormat="false" ht="12.8" hidden="true" customHeight="false" outlineLevel="0" collapsed="false">
      <c r="A551" s="22" t="str">
        <f aca="false">customer_churn_dataset!A605</f>
        <v>CUST101016</v>
      </c>
      <c r="B551" s="22" t="str">
        <f aca="false">customer_churn_dataset!B605</f>
        <v>Basic</v>
      </c>
      <c r="C551" s="22" t="str">
        <f aca="false">customer_churn_dataset!C605</f>
        <v>One year</v>
      </c>
      <c r="D551" s="0" t="n">
        <f aca="false">INDEX(customer_churn_dataset!$E$2:$E$1501,MATCH($A552,customer_churn_dataset!$A$2:$A$1501,0))</f>
        <v>0</v>
      </c>
      <c r="E551" s="0" t="n">
        <f aca="false">INDEX(customer_churn_dataset!$I$2:$I$1501,MATCH($A552,customer_churn_dataset!$A$2:$A$1501,0))</f>
        <v>45</v>
      </c>
      <c r="F551" s="0" t="n">
        <f aca="false">INDEX(customer_churn_dataset!$L$2:$L$1501,MATCH($A552,customer_churn_dataset!$A$2:$A$1501,0))</f>
        <v>0</v>
      </c>
      <c r="G551" s="0" t="str">
        <f aca="false">IF(INDEX(customer_churn_dataset!$M$2:$M$1501,MATCH($A552,customer_churn_dataset!$A$2:$A$1501,0))=1,"Yes","No")</f>
        <v>No</v>
      </c>
      <c r="H551" s="0" t="n">
        <f aca="false">INDEX(customer_churn_dataset!$N$2:$N$1501,MATCH($A552,customer_churn_dataset!$A$2:$A$1501,0))</f>
        <v>0</v>
      </c>
      <c r="I551" s="0" t="n">
        <f aca="false">INDEX(customer_churn_dataset!$O$2:$O$1501,MATCH($A552,customer_churn_dataset!$A$2:$A$1501,0))</f>
        <v>1</v>
      </c>
      <c r="J551" s="0" t="n">
        <f aca="false">INDEX(customer_churn_dataset!$T$2:$T$1501,MATCH($A552,customer_churn_dataset!$A$2:$A$1501,0))</f>
        <v>3</v>
      </c>
      <c r="K551" s="0" t="str">
        <f aca="false">INDEX(customer_churn_dataset!$V$2:$V$1501,MATCH($A552,customer_churn_dataset!$A$2:$A$1501,0))</f>
        <v>Medium Risk</v>
      </c>
    </row>
    <row r="552" customFormat="false" ht="12.8" hidden="true" customHeight="false" outlineLevel="0" collapsed="false">
      <c r="A552" s="22" t="str">
        <f aca="false">customer_churn_dataset!A606</f>
        <v>CUST101486</v>
      </c>
      <c r="B552" s="22" t="str">
        <f aca="false">customer_churn_dataset!B606</f>
        <v>Basic</v>
      </c>
      <c r="C552" s="22" t="str">
        <f aca="false">customer_churn_dataset!C606</f>
        <v>One year</v>
      </c>
      <c r="D552" s="0" t="n">
        <f aca="false">INDEX(customer_churn_dataset!$E$2:$E$1501,MATCH($A553,customer_churn_dataset!$A$2:$A$1501,0))</f>
        <v>22</v>
      </c>
      <c r="E552" s="0" t="n">
        <f aca="false">INDEX(customer_churn_dataset!$I$2:$I$1501,MATCH($A553,customer_churn_dataset!$A$2:$A$1501,0))</f>
        <v>60.4</v>
      </c>
      <c r="F552" s="0" t="n">
        <f aca="false">INDEX(customer_churn_dataset!$L$2:$L$1501,MATCH($A553,customer_churn_dataset!$A$2:$A$1501,0))</f>
        <v>0</v>
      </c>
      <c r="G552" s="0" t="str">
        <f aca="false">IF(INDEX(customer_churn_dataset!$M$2:$M$1501,MATCH($A553,customer_churn_dataset!$A$2:$A$1501,0))=1,"Yes","No")</f>
        <v>No</v>
      </c>
      <c r="H552" s="0" t="n">
        <f aca="false">INDEX(customer_churn_dataset!$N$2:$N$1501,MATCH($A553,customer_churn_dataset!$A$2:$A$1501,0))</f>
        <v>272.8</v>
      </c>
      <c r="I552" s="0" t="n">
        <f aca="false">INDEX(customer_churn_dataset!$O$2:$O$1501,MATCH($A553,customer_churn_dataset!$A$2:$A$1501,0))</f>
        <v>0</v>
      </c>
      <c r="J552" s="0" t="n">
        <f aca="false">INDEX(customer_churn_dataset!$T$2:$T$1501,MATCH($A553,customer_churn_dataset!$A$2:$A$1501,0))</f>
        <v>2</v>
      </c>
      <c r="K552" s="0" t="str">
        <f aca="false">INDEX(customer_churn_dataset!$V$2:$V$1501,MATCH($A553,customer_churn_dataset!$A$2:$A$1501,0))</f>
        <v>Low Risk</v>
      </c>
    </row>
    <row r="553" customFormat="false" ht="12.8" hidden="true" customHeight="false" outlineLevel="0" collapsed="false">
      <c r="A553" s="22" t="str">
        <f aca="false">customer_churn_dataset!A617</f>
        <v>CUST100960</v>
      </c>
      <c r="B553" s="22" t="str">
        <f aca="false">customer_churn_dataset!B617</f>
        <v>Basic</v>
      </c>
      <c r="C553" s="22" t="str">
        <f aca="false">customer_churn_dataset!C617</f>
        <v>Month-to-month</v>
      </c>
      <c r="D553" s="0" t="n">
        <f aca="false">INDEX(customer_churn_dataset!$E$2:$E$1501,MATCH($A554,customer_churn_dataset!$A$2:$A$1501,0))</f>
        <v>39</v>
      </c>
      <c r="E553" s="0" t="n">
        <f aca="false">INDEX(customer_churn_dataset!$I$2:$I$1501,MATCH($A554,customer_churn_dataset!$A$2:$A$1501,0))</f>
        <v>39.9</v>
      </c>
      <c r="F553" s="0" t="n">
        <f aca="false">INDEX(customer_churn_dataset!$L$2:$L$1501,MATCH($A554,customer_churn_dataset!$A$2:$A$1501,0))</f>
        <v>1</v>
      </c>
      <c r="G553" s="0" t="str">
        <f aca="false">IF(INDEX(customer_churn_dataset!$M$2:$M$1501,MATCH($A554,customer_churn_dataset!$A$2:$A$1501,0))=1,"Yes","No")</f>
        <v>Yes</v>
      </c>
      <c r="H553" s="0" t="n">
        <f aca="false">INDEX(customer_churn_dataset!$N$2:$N$1501,MATCH($A554,customer_churn_dataset!$A$2:$A$1501,0))</f>
        <v>462.54</v>
      </c>
      <c r="I553" s="0" t="n">
        <f aca="false">INDEX(customer_churn_dataset!$O$2:$O$1501,MATCH($A554,customer_churn_dataset!$A$2:$A$1501,0))</f>
        <v>0</v>
      </c>
      <c r="J553" s="0" t="n">
        <f aca="false">INDEX(customer_churn_dataset!$T$2:$T$1501,MATCH($A554,customer_churn_dataset!$A$2:$A$1501,0))</f>
        <v>7</v>
      </c>
      <c r="K553" s="0" t="str">
        <f aca="false">INDEX(customer_churn_dataset!$V$2:$V$1501,MATCH($A554,customer_churn_dataset!$A$2:$A$1501,0))</f>
        <v>High Risk</v>
      </c>
    </row>
    <row r="554" customFormat="false" ht="12.8" hidden="true" customHeight="false" outlineLevel="0" collapsed="false">
      <c r="A554" s="22" t="str">
        <f aca="false">customer_churn_dataset!A620</f>
        <v>CUST101392</v>
      </c>
      <c r="B554" s="22" t="str">
        <f aca="false">customer_churn_dataset!B620</f>
        <v>Basic</v>
      </c>
      <c r="C554" s="22" t="str">
        <f aca="false">customer_churn_dataset!C620</f>
        <v>Month-to-month</v>
      </c>
      <c r="D554" s="0" t="n">
        <f aca="false">INDEX(customer_churn_dataset!$E$2:$E$1501,MATCH($A555,customer_churn_dataset!$A$2:$A$1501,0))</f>
        <v>0</v>
      </c>
      <c r="E554" s="0" t="n">
        <f aca="false">INDEX(customer_churn_dataset!$I$2:$I$1501,MATCH($A555,customer_churn_dataset!$A$2:$A$1501,0))</f>
        <v>53.4</v>
      </c>
      <c r="F554" s="0" t="n">
        <f aca="false">INDEX(customer_churn_dataset!$L$2:$L$1501,MATCH($A555,customer_churn_dataset!$A$2:$A$1501,0))</f>
        <v>2</v>
      </c>
      <c r="G554" s="0" t="str">
        <f aca="false">IF(INDEX(customer_churn_dataset!$M$2:$M$1501,MATCH($A555,customer_churn_dataset!$A$2:$A$1501,0))=1,"Yes","No")</f>
        <v>No</v>
      </c>
      <c r="H554" s="0" t="n">
        <f aca="false">INDEX(customer_churn_dataset!$N$2:$N$1501,MATCH($A555,customer_churn_dataset!$A$2:$A$1501,0))</f>
        <v>0</v>
      </c>
      <c r="I554" s="0" t="n">
        <f aca="false">INDEX(customer_churn_dataset!$O$2:$O$1501,MATCH($A555,customer_churn_dataset!$A$2:$A$1501,0))</f>
        <v>0</v>
      </c>
      <c r="J554" s="0" t="n">
        <f aca="false">INDEX(customer_churn_dataset!$T$2:$T$1501,MATCH($A555,customer_churn_dataset!$A$2:$A$1501,0))</f>
        <v>4</v>
      </c>
      <c r="K554" s="0" t="str">
        <f aca="false">INDEX(customer_churn_dataset!$V$2:$V$1501,MATCH($A555,customer_churn_dataset!$A$2:$A$1501,0))</f>
        <v>Medium Risk</v>
      </c>
    </row>
    <row r="555" customFormat="false" ht="12.8" hidden="true" customHeight="false" outlineLevel="0" collapsed="false">
      <c r="A555" s="22" t="str">
        <f aca="false">customer_churn_dataset!A621</f>
        <v>CUST100992</v>
      </c>
      <c r="B555" s="22" t="str">
        <f aca="false">customer_churn_dataset!B621</f>
        <v>Basic</v>
      </c>
      <c r="C555" s="22" t="str">
        <f aca="false">customer_churn_dataset!C621</f>
        <v>One year</v>
      </c>
      <c r="D555" s="0" t="n">
        <f aca="false">INDEX(customer_churn_dataset!$E$2:$E$1501,MATCH($A556,customer_churn_dataset!$A$2:$A$1501,0))</f>
        <v>2</v>
      </c>
      <c r="E555" s="0" t="n">
        <f aca="false">INDEX(customer_churn_dataset!$I$2:$I$1501,MATCH($A556,customer_churn_dataset!$A$2:$A$1501,0))</f>
        <v>42.4</v>
      </c>
      <c r="F555" s="0" t="n">
        <f aca="false">INDEX(customer_churn_dataset!$L$2:$L$1501,MATCH($A556,customer_churn_dataset!$A$2:$A$1501,0))</f>
        <v>0</v>
      </c>
      <c r="G555" s="0" t="str">
        <f aca="false">IF(INDEX(customer_churn_dataset!$M$2:$M$1501,MATCH($A556,customer_churn_dataset!$A$2:$A$1501,0))=1,"Yes","No")</f>
        <v>No</v>
      </c>
      <c r="H555" s="0" t="n">
        <f aca="false">INDEX(customer_churn_dataset!$N$2:$N$1501,MATCH($A556,customer_churn_dataset!$A$2:$A$1501,0))</f>
        <v>19.94</v>
      </c>
      <c r="I555" s="0" t="n">
        <f aca="false">INDEX(customer_churn_dataset!$O$2:$O$1501,MATCH($A556,customer_churn_dataset!$A$2:$A$1501,0))</f>
        <v>0</v>
      </c>
      <c r="J555" s="0" t="n">
        <f aca="false">INDEX(customer_churn_dataset!$T$2:$T$1501,MATCH($A556,customer_churn_dataset!$A$2:$A$1501,0))</f>
        <v>2</v>
      </c>
      <c r="K555" s="0" t="str">
        <f aca="false">INDEX(customer_churn_dataset!$V$2:$V$1501,MATCH($A556,customer_churn_dataset!$A$2:$A$1501,0))</f>
        <v>Low Risk</v>
      </c>
    </row>
    <row r="556" customFormat="false" ht="12.8" hidden="true" customHeight="false" outlineLevel="0" collapsed="false">
      <c r="A556" s="22" t="str">
        <f aca="false">customer_churn_dataset!A624</f>
        <v>CUST100036</v>
      </c>
      <c r="B556" s="22" t="str">
        <f aca="false">customer_churn_dataset!B624</f>
        <v>Basic</v>
      </c>
      <c r="C556" s="22" t="str">
        <f aca="false">customer_churn_dataset!C624</f>
        <v>Two year</v>
      </c>
      <c r="D556" s="0" t="n">
        <f aca="false">INDEX(customer_churn_dataset!$E$2:$E$1501,MATCH($A557,customer_churn_dataset!$A$2:$A$1501,0))</f>
        <v>40</v>
      </c>
      <c r="E556" s="0" t="n">
        <f aca="false">INDEX(customer_churn_dataset!$I$2:$I$1501,MATCH($A557,customer_churn_dataset!$A$2:$A$1501,0))</f>
        <v>42.4</v>
      </c>
      <c r="F556" s="0" t="n">
        <f aca="false">INDEX(customer_churn_dataset!$L$2:$L$1501,MATCH($A557,customer_churn_dataset!$A$2:$A$1501,0))</f>
        <v>0</v>
      </c>
      <c r="G556" s="0" t="str">
        <f aca="false">IF(INDEX(customer_churn_dataset!$M$2:$M$1501,MATCH($A557,customer_churn_dataset!$A$2:$A$1501,0))=1,"Yes","No")</f>
        <v>No</v>
      </c>
      <c r="H556" s="0" t="n">
        <f aca="false">INDEX(customer_churn_dataset!$N$2:$N$1501,MATCH($A557,customer_churn_dataset!$A$2:$A$1501,0))</f>
        <v>818</v>
      </c>
      <c r="I556" s="0" t="n">
        <f aca="false">INDEX(customer_churn_dataset!$O$2:$O$1501,MATCH($A557,customer_churn_dataset!$A$2:$A$1501,0))</f>
        <v>0</v>
      </c>
      <c r="J556" s="0" t="n">
        <f aca="false">INDEX(customer_churn_dataset!$T$2:$T$1501,MATCH($A557,customer_churn_dataset!$A$2:$A$1501,0))</f>
        <v>3</v>
      </c>
      <c r="K556" s="0" t="str">
        <f aca="false">INDEX(customer_churn_dataset!$V$2:$V$1501,MATCH($A557,customer_churn_dataset!$A$2:$A$1501,0))</f>
        <v>Medium Risk</v>
      </c>
    </row>
    <row r="557" customFormat="false" ht="12.8" hidden="true" customHeight="false" outlineLevel="0" collapsed="false">
      <c r="A557" s="22" t="str">
        <f aca="false">customer_churn_dataset!A625</f>
        <v>CUST100230</v>
      </c>
      <c r="B557" s="22" t="str">
        <f aca="false">customer_churn_dataset!B625</f>
        <v>Standard</v>
      </c>
      <c r="C557" s="22" t="str">
        <f aca="false">customer_churn_dataset!C625</f>
        <v>Month-to-month</v>
      </c>
      <c r="D557" s="0" t="n">
        <f aca="false">INDEX(customer_churn_dataset!$E$2:$E$1501,MATCH($A558,customer_churn_dataset!$A$2:$A$1501,0))</f>
        <v>22</v>
      </c>
      <c r="E557" s="0" t="n">
        <f aca="false">INDEX(customer_churn_dataset!$I$2:$I$1501,MATCH($A558,customer_churn_dataset!$A$2:$A$1501,0))</f>
        <v>89.9</v>
      </c>
      <c r="F557" s="0" t="n">
        <f aca="false">INDEX(customer_churn_dataset!$L$2:$L$1501,MATCH($A558,customer_churn_dataset!$A$2:$A$1501,0))</f>
        <v>1</v>
      </c>
      <c r="G557" s="0" t="str">
        <f aca="false">IF(INDEX(customer_churn_dataset!$M$2:$M$1501,MATCH($A558,customer_churn_dataset!$A$2:$A$1501,0))=1,"Yes","No")</f>
        <v>No</v>
      </c>
      <c r="H557" s="0" t="n">
        <f aca="false">INDEX(customer_churn_dataset!$N$2:$N$1501,MATCH($A558,customer_churn_dataset!$A$2:$A$1501,0))</f>
        <v>901.78</v>
      </c>
      <c r="I557" s="0" t="n">
        <f aca="false">INDEX(customer_churn_dataset!$O$2:$O$1501,MATCH($A558,customer_churn_dataset!$A$2:$A$1501,0))</f>
        <v>0</v>
      </c>
      <c r="J557" s="0" t="n">
        <f aca="false">INDEX(customer_churn_dataset!$T$2:$T$1501,MATCH($A558,customer_churn_dataset!$A$2:$A$1501,0))</f>
        <v>0</v>
      </c>
      <c r="K557" s="0" t="str">
        <f aca="false">INDEX(customer_churn_dataset!$V$2:$V$1501,MATCH($A558,customer_churn_dataset!$A$2:$A$1501,0))</f>
        <v>Low Risk</v>
      </c>
    </row>
    <row r="558" customFormat="false" ht="12.8" hidden="true" customHeight="false" outlineLevel="0" collapsed="false">
      <c r="A558" s="22" t="str">
        <f aca="false">customer_churn_dataset!A638</f>
        <v>CUST100518</v>
      </c>
      <c r="B558" s="22" t="str">
        <f aca="false">customer_churn_dataset!B638</f>
        <v>Premium</v>
      </c>
      <c r="C558" s="22" t="str">
        <f aca="false">customer_churn_dataset!C638</f>
        <v>Two year</v>
      </c>
      <c r="D558" s="0" t="n">
        <f aca="false">INDEX(customer_churn_dataset!$E$2:$E$1501,MATCH($A559,customer_churn_dataset!$A$2:$A$1501,0))</f>
        <v>7</v>
      </c>
      <c r="E558" s="0" t="n">
        <f aca="false">INDEX(customer_churn_dataset!$I$2:$I$1501,MATCH($A559,customer_churn_dataset!$A$2:$A$1501,0))</f>
        <v>71.1</v>
      </c>
      <c r="F558" s="0" t="n">
        <f aca="false">INDEX(customer_churn_dataset!$L$2:$L$1501,MATCH($A559,customer_churn_dataset!$A$2:$A$1501,0))</f>
        <v>1</v>
      </c>
      <c r="G558" s="0" t="str">
        <f aca="false">IF(INDEX(customer_churn_dataset!$M$2:$M$1501,MATCH($A559,customer_churn_dataset!$A$2:$A$1501,0))=1,"Yes","No")</f>
        <v>No</v>
      </c>
      <c r="H558" s="0" t="n">
        <f aca="false">INDEX(customer_churn_dataset!$N$2:$N$1501,MATCH($A559,customer_churn_dataset!$A$2:$A$1501,0))</f>
        <v>67.13</v>
      </c>
      <c r="I558" s="0" t="n">
        <f aca="false">INDEX(customer_churn_dataset!$O$2:$O$1501,MATCH($A559,customer_churn_dataset!$A$2:$A$1501,0))</f>
        <v>1</v>
      </c>
      <c r="J558" s="0" t="n">
        <f aca="false">INDEX(customer_churn_dataset!$T$2:$T$1501,MATCH($A559,customer_churn_dataset!$A$2:$A$1501,0))</f>
        <v>3</v>
      </c>
      <c r="K558" s="0" t="str">
        <f aca="false">INDEX(customer_churn_dataset!$V$2:$V$1501,MATCH($A559,customer_churn_dataset!$A$2:$A$1501,0))</f>
        <v>Medium Risk</v>
      </c>
    </row>
    <row r="559" customFormat="false" ht="12.8" hidden="true" customHeight="false" outlineLevel="0" collapsed="false">
      <c r="A559" s="22" t="str">
        <f aca="false">customer_churn_dataset!A639</f>
        <v>CUST100323</v>
      </c>
      <c r="B559" s="22" t="str">
        <f aca="false">customer_churn_dataset!B639</f>
        <v>Basic</v>
      </c>
      <c r="C559" s="22" t="str">
        <f aca="false">customer_churn_dataset!C639</f>
        <v>Month-to-month</v>
      </c>
      <c r="D559" s="0" t="n">
        <f aca="false">INDEX(customer_churn_dataset!$E$2:$E$1501,MATCH($A560,customer_churn_dataset!$A$2:$A$1501,0))</f>
        <v>13</v>
      </c>
      <c r="E559" s="0" t="n">
        <f aca="false">INDEX(customer_churn_dataset!$I$2:$I$1501,MATCH($A560,customer_churn_dataset!$A$2:$A$1501,0))</f>
        <v>84</v>
      </c>
      <c r="F559" s="0" t="n">
        <f aca="false">INDEX(customer_churn_dataset!$L$2:$L$1501,MATCH($A560,customer_churn_dataset!$A$2:$A$1501,0))</f>
        <v>2</v>
      </c>
      <c r="G559" s="0" t="str">
        <f aca="false">IF(INDEX(customer_churn_dataset!$M$2:$M$1501,MATCH($A560,customer_churn_dataset!$A$2:$A$1501,0))=1,"Yes","No")</f>
        <v>Yes</v>
      </c>
      <c r="H559" s="0" t="n">
        <f aca="false">INDEX(customer_churn_dataset!$N$2:$N$1501,MATCH($A560,customer_churn_dataset!$A$2:$A$1501,0))</f>
        <v>522.86</v>
      </c>
      <c r="I559" s="0" t="n">
        <f aca="false">INDEX(customer_churn_dataset!$O$2:$O$1501,MATCH($A560,customer_churn_dataset!$A$2:$A$1501,0))</f>
        <v>0</v>
      </c>
      <c r="J559" s="0" t="n">
        <f aca="false">INDEX(customer_churn_dataset!$T$2:$T$1501,MATCH($A560,customer_churn_dataset!$A$2:$A$1501,0))</f>
        <v>4</v>
      </c>
      <c r="K559" s="0" t="str">
        <f aca="false">INDEX(customer_churn_dataset!$V$2:$V$1501,MATCH($A560,customer_churn_dataset!$A$2:$A$1501,0))</f>
        <v>Medium Risk</v>
      </c>
    </row>
    <row r="560" customFormat="false" ht="12.8" hidden="true" customHeight="false" outlineLevel="0" collapsed="false">
      <c r="A560" s="22" t="str">
        <f aca="false">customer_churn_dataset!A640</f>
        <v>CUST100088</v>
      </c>
      <c r="B560" s="22" t="str">
        <f aca="false">customer_churn_dataset!B640</f>
        <v>Premium</v>
      </c>
      <c r="C560" s="22" t="str">
        <f aca="false">customer_churn_dataset!C640</f>
        <v>Two year</v>
      </c>
      <c r="D560" s="0" t="n">
        <f aca="false">INDEX(customer_churn_dataset!$E$2:$E$1501,MATCH($A561,customer_churn_dataset!$A$2:$A$1501,0))</f>
        <v>13</v>
      </c>
      <c r="E560" s="0" t="n">
        <f aca="false">INDEX(customer_churn_dataset!$I$2:$I$1501,MATCH($A561,customer_churn_dataset!$A$2:$A$1501,0))</f>
        <v>100</v>
      </c>
      <c r="F560" s="0" t="n">
        <f aca="false">INDEX(customer_churn_dataset!$L$2:$L$1501,MATCH($A561,customer_churn_dataset!$A$2:$A$1501,0))</f>
        <v>2</v>
      </c>
      <c r="G560" s="0" t="str">
        <f aca="false">IF(INDEX(customer_churn_dataset!$M$2:$M$1501,MATCH($A561,customer_churn_dataset!$A$2:$A$1501,0))=1,"Yes","No")</f>
        <v>No</v>
      </c>
      <c r="H560" s="0" t="n">
        <f aca="false">INDEX(customer_churn_dataset!$N$2:$N$1501,MATCH($A561,customer_churn_dataset!$A$2:$A$1501,0))</f>
        <v>537.68</v>
      </c>
      <c r="I560" s="0" t="n">
        <f aca="false">INDEX(customer_churn_dataset!$O$2:$O$1501,MATCH($A561,customer_churn_dataset!$A$2:$A$1501,0))</f>
        <v>1</v>
      </c>
      <c r="J560" s="0" t="n">
        <f aca="false">INDEX(customer_churn_dataset!$T$2:$T$1501,MATCH($A561,customer_churn_dataset!$A$2:$A$1501,0))</f>
        <v>3</v>
      </c>
      <c r="K560" s="0" t="str">
        <f aca="false">INDEX(customer_churn_dataset!$V$2:$V$1501,MATCH($A561,customer_churn_dataset!$A$2:$A$1501,0))</f>
        <v>Medium Risk</v>
      </c>
    </row>
    <row r="561" customFormat="false" ht="12.8" hidden="true" customHeight="false" outlineLevel="0" collapsed="false">
      <c r="A561" s="22" t="str">
        <f aca="false">customer_churn_dataset!A641</f>
        <v>CUST101023</v>
      </c>
      <c r="B561" s="22" t="str">
        <f aca="false">customer_churn_dataset!B641</f>
        <v>Premium</v>
      </c>
      <c r="C561" s="22" t="str">
        <f aca="false">customer_churn_dataset!C641</f>
        <v>Month-to-month</v>
      </c>
      <c r="D561" s="0" t="n">
        <f aca="false">INDEX(customer_churn_dataset!$E$2:$E$1501,MATCH($A562,customer_churn_dataset!$A$2:$A$1501,0))</f>
        <v>6</v>
      </c>
      <c r="E561" s="0" t="n">
        <f aca="false">INDEX(customer_churn_dataset!$I$2:$I$1501,MATCH($A562,customer_churn_dataset!$A$2:$A$1501,0))</f>
        <v>62.9</v>
      </c>
      <c r="F561" s="0" t="n">
        <f aca="false">INDEX(customer_churn_dataset!$L$2:$L$1501,MATCH($A562,customer_churn_dataset!$A$2:$A$1501,0))</f>
        <v>0</v>
      </c>
      <c r="G561" s="0" t="str">
        <f aca="false">IF(INDEX(customer_churn_dataset!$M$2:$M$1501,MATCH($A562,customer_churn_dataset!$A$2:$A$1501,0))=1,"Yes","No")</f>
        <v>No</v>
      </c>
      <c r="H561" s="0" t="n">
        <f aca="false">INDEX(customer_churn_dataset!$N$2:$N$1501,MATCH($A562,customer_churn_dataset!$A$2:$A$1501,0))</f>
        <v>118.62</v>
      </c>
      <c r="I561" s="0" t="n">
        <f aca="false">INDEX(customer_churn_dataset!$O$2:$O$1501,MATCH($A562,customer_churn_dataset!$A$2:$A$1501,0))</f>
        <v>0</v>
      </c>
      <c r="J561" s="0" t="n">
        <f aca="false">INDEX(customer_churn_dataset!$T$2:$T$1501,MATCH($A562,customer_churn_dataset!$A$2:$A$1501,0))</f>
        <v>3</v>
      </c>
      <c r="K561" s="0" t="str">
        <f aca="false">INDEX(customer_churn_dataset!$V$2:$V$1501,MATCH($A562,customer_churn_dataset!$A$2:$A$1501,0))</f>
        <v>Medium Risk</v>
      </c>
    </row>
    <row r="562" customFormat="false" ht="12.8" hidden="false" customHeight="false" outlineLevel="0" collapsed="false">
      <c r="A562" s="23" t="str">
        <f aca="false">customer_churn_dataset!A642</f>
        <v>CUST100027</v>
      </c>
      <c r="B562" s="24" t="str">
        <f aca="false">customer_churn_dataset!B642</f>
        <v>Standard</v>
      </c>
      <c r="C562" s="24" t="str">
        <f aca="false">customer_churn_dataset!C642</f>
        <v>Month-to-month</v>
      </c>
      <c r="D562" s="25" t="n">
        <f aca="false">INDEX(customer_churn_dataset!$E$2:$E$1501,MATCH($A563,customer_churn_dataset!$A$2:$A$1501,0))</f>
        <v>4</v>
      </c>
      <c r="E562" s="25" t="n">
        <f aca="false">INDEX(customer_churn_dataset!$I$2:$I$1501,MATCH($A563,customer_churn_dataset!$A$2:$A$1501,0))</f>
        <v>40.8</v>
      </c>
      <c r="F562" s="25" t="n">
        <f aca="false">INDEX(customer_churn_dataset!$L$2:$L$1501,MATCH($A563,customer_churn_dataset!$A$2:$A$1501,0))</f>
        <v>2</v>
      </c>
      <c r="G562" s="25" t="str">
        <f aca="false">IF(INDEX(customer_churn_dataset!$M$2:$M$1501,MATCH($A563,customer_churn_dataset!$A$2:$A$1501,0))=1,"Yes","No")</f>
        <v>Yes</v>
      </c>
      <c r="H562" s="25" t="n">
        <f aca="false">INDEX(customer_churn_dataset!$N$2:$N$1501,MATCH($A563,customer_churn_dataset!$A$2:$A$1501,0))</f>
        <v>85.4</v>
      </c>
      <c r="I562" s="25" t="n">
        <f aca="false">INDEX(customer_churn_dataset!$O$2:$O$1501,MATCH($A563,customer_churn_dataset!$A$2:$A$1501,0))</f>
        <v>0</v>
      </c>
      <c r="J562" s="25" t="n">
        <f aca="false">INDEX(customer_churn_dataset!$T$2:$T$1501,MATCH($A563,customer_churn_dataset!$A$2:$A$1501,0))</f>
        <v>8</v>
      </c>
      <c r="K562" s="25" t="str">
        <f aca="false">INDEX(customer_churn_dataset!$V$2:$V$1501,MATCH($A563,customer_churn_dataset!$A$2:$A$1501,0))</f>
        <v>High Risk</v>
      </c>
    </row>
    <row r="563" customFormat="false" ht="12.8" hidden="false" customHeight="false" outlineLevel="0" collapsed="false">
      <c r="A563" s="23" t="str">
        <f aca="false">customer_churn_dataset!A647</f>
        <v>CUST100862</v>
      </c>
      <c r="B563" s="24" t="str">
        <f aca="false">customer_churn_dataset!B647</f>
        <v>Standard</v>
      </c>
      <c r="C563" s="24" t="str">
        <f aca="false">customer_churn_dataset!C647</f>
        <v>Month-to-month</v>
      </c>
      <c r="D563" s="25" t="n">
        <f aca="false">INDEX(customer_churn_dataset!$E$2:$E$1501,MATCH($A564,customer_churn_dataset!$A$2:$A$1501,0))</f>
        <v>13</v>
      </c>
      <c r="E563" s="25" t="n">
        <f aca="false">INDEX(customer_churn_dataset!$I$2:$I$1501,MATCH($A564,customer_churn_dataset!$A$2:$A$1501,0))</f>
        <v>38</v>
      </c>
      <c r="F563" s="25" t="n">
        <f aca="false">INDEX(customer_churn_dataset!$L$2:$L$1501,MATCH($A564,customer_churn_dataset!$A$2:$A$1501,0))</f>
        <v>2</v>
      </c>
      <c r="G563" s="25" t="str">
        <f aca="false">IF(INDEX(customer_churn_dataset!$M$2:$M$1501,MATCH($A564,customer_churn_dataset!$A$2:$A$1501,0))=1,"Yes","No")</f>
        <v>Yes</v>
      </c>
      <c r="H563" s="25" t="n">
        <f aca="false">INDEX(customer_churn_dataset!$N$2:$N$1501,MATCH($A564,customer_churn_dataset!$A$2:$A$1501,0))</f>
        <v>110.24</v>
      </c>
      <c r="I563" s="25" t="n">
        <f aca="false">INDEX(customer_churn_dataset!$O$2:$O$1501,MATCH($A564,customer_churn_dataset!$A$2:$A$1501,0))</f>
        <v>0</v>
      </c>
      <c r="J563" s="25" t="n">
        <f aca="false">INDEX(customer_churn_dataset!$T$2:$T$1501,MATCH($A564,customer_churn_dataset!$A$2:$A$1501,0))</f>
        <v>8</v>
      </c>
      <c r="K563" s="25" t="str">
        <f aca="false">INDEX(customer_churn_dataset!$V$2:$V$1501,MATCH($A564,customer_churn_dataset!$A$2:$A$1501,0))</f>
        <v>High Risk</v>
      </c>
    </row>
    <row r="564" customFormat="false" ht="12.8" hidden="true" customHeight="false" outlineLevel="0" collapsed="false">
      <c r="A564" s="22" t="str">
        <f aca="false">customer_churn_dataset!A651</f>
        <v>CUST100643</v>
      </c>
      <c r="B564" s="22" t="str">
        <f aca="false">customer_churn_dataset!B651</f>
        <v>Basic</v>
      </c>
      <c r="C564" s="22" t="str">
        <f aca="false">customer_churn_dataset!C651</f>
        <v>Month-to-month</v>
      </c>
      <c r="D564" s="0" t="n">
        <f aca="false">INDEX(customer_churn_dataset!$E$2:$E$1501,MATCH($A565,customer_churn_dataset!$A$2:$A$1501,0))</f>
        <v>24</v>
      </c>
      <c r="E564" s="0" t="n">
        <f aca="false">INDEX(customer_churn_dataset!$I$2:$I$1501,MATCH($A565,customer_churn_dataset!$A$2:$A$1501,0))</f>
        <v>87.1</v>
      </c>
      <c r="F564" s="0" t="n">
        <f aca="false">INDEX(customer_churn_dataset!$L$2:$L$1501,MATCH($A565,customer_churn_dataset!$A$2:$A$1501,0))</f>
        <v>1</v>
      </c>
      <c r="G564" s="0" t="str">
        <f aca="false">IF(INDEX(customer_churn_dataset!$M$2:$M$1501,MATCH($A565,customer_churn_dataset!$A$2:$A$1501,0))=1,"Yes","No")</f>
        <v>No</v>
      </c>
      <c r="H564" s="0" t="n">
        <f aca="false">INDEX(customer_churn_dataset!$N$2:$N$1501,MATCH($A565,customer_churn_dataset!$A$2:$A$1501,0))</f>
        <v>964.8</v>
      </c>
      <c r="I564" s="0" t="n">
        <f aca="false">INDEX(customer_churn_dataset!$O$2:$O$1501,MATCH($A565,customer_churn_dataset!$A$2:$A$1501,0))</f>
        <v>0</v>
      </c>
      <c r="J564" s="0" t="n">
        <f aca="false">INDEX(customer_churn_dataset!$T$2:$T$1501,MATCH($A565,customer_churn_dataset!$A$2:$A$1501,0))</f>
        <v>2</v>
      </c>
      <c r="K564" s="0" t="str">
        <f aca="false">INDEX(customer_churn_dataset!$V$2:$V$1501,MATCH($A565,customer_churn_dataset!$A$2:$A$1501,0))</f>
        <v>Low Risk</v>
      </c>
    </row>
    <row r="565" customFormat="false" ht="12.8" hidden="true" customHeight="false" outlineLevel="0" collapsed="false">
      <c r="A565" s="22" t="str">
        <f aca="false">customer_churn_dataset!A654</f>
        <v>CUST100868</v>
      </c>
      <c r="B565" s="22" t="str">
        <f aca="false">customer_churn_dataset!B654</f>
        <v>Premium</v>
      </c>
      <c r="C565" s="22" t="str">
        <f aca="false">customer_churn_dataset!C654</f>
        <v>Month-to-month</v>
      </c>
      <c r="D565" s="0" t="n">
        <f aca="false">INDEX(customer_churn_dataset!$E$2:$E$1501,MATCH($A566,customer_churn_dataset!$A$2:$A$1501,0))</f>
        <v>72</v>
      </c>
      <c r="E565" s="0" t="n">
        <f aca="false">INDEX(customer_churn_dataset!$I$2:$I$1501,MATCH($A566,customer_churn_dataset!$A$2:$A$1501,0))</f>
        <v>20.8</v>
      </c>
      <c r="F565" s="0" t="n">
        <f aca="false">INDEX(customer_churn_dataset!$L$2:$L$1501,MATCH($A566,customer_churn_dataset!$A$2:$A$1501,0))</f>
        <v>1</v>
      </c>
      <c r="G565" s="0" t="str">
        <f aca="false">IF(INDEX(customer_churn_dataset!$M$2:$M$1501,MATCH($A566,customer_churn_dataset!$A$2:$A$1501,0))=1,"Yes","No")</f>
        <v>No</v>
      </c>
      <c r="H565" s="0" t="n">
        <f aca="false">INDEX(customer_churn_dataset!$N$2:$N$1501,MATCH($A566,customer_churn_dataset!$A$2:$A$1501,0))</f>
        <v>2904.48</v>
      </c>
      <c r="I565" s="0" t="n">
        <f aca="false">INDEX(customer_churn_dataset!$O$2:$O$1501,MATCH($A566,customer_churn_dataset!$A$2:$A$1501,0))</f>
        <v>0</v>
      </c>
      <c r="J565" s="0" t="n">
        <f aca="false">INDEX(customer_churn_dataset!$T$2:$T$1501,MATCH($A566,customer_churn_dataset!$A$2:$A$1501,0))</f>
        <v>4</v>
      </c>
      <c r="K565" s="0" t="str">
        <f aca="false">INDEX(customer_churn_dataset!$V$2:$V$1501,MATCH($A566,customer_churn_dataset!$A$2:$A$1501,0))</f>
        <v>Medium Risk</v>
      </c>
    </row>
    <row r="566" customFormat="false" ht="12.8" hidden="true" customHeight="false" outlineLevel="0" collapsed="false">
      <c r="A566" s="22" t="str">
        <f aca="false">customer_churn_dataset!A655</f>
        <v>CUST100540</v>
      </c>
      <c r="B566" s="22" t="str">
        <f aca="false">customer_churn_dataset!B655</f>
        <v>Premium</v>
      </c>
      <c r="C566" s="22" t="str">
        <f aca="false">customer_churn_dataset!C655</f>
        <v>Month-to-month</v>
      </c>
      <c r="D566" s="0" t="n">
        <f aca="false">INDEX(customer_churn_dataset!$E$2:$E$1501,MATCH($A567,customer_churn_dataset!$A$2:$A$1501,0))</f>
        <v>16</v>
      </c>
      <c r="E566" s="0" t="n">
        <f aca="false">INDEX(customer_churn_dataset!$I$2:$I$1501,MATCH($A567,customer_churn_dataset!$A$2:$A$1501,0))</f>
        <v>28</v>
      </c>
      <c r="F566" s="0" t="n">
        <f aca="false">INDEX(customer_churn_dataset!$L$2:$L$1501,MATCH($A567,customer_churn_dataset!$A$2:$A$1501,0))</f>
        <v>4</v>
      </c>
      <c r="G566" s="0" t="str">
        <f aca="false">IF(INDEX(customer_churn_dataset!$M$2:$M$1501,MATCH($A567,customer_churn_dataset!$A$2:$A$1501,0))=1,"Yes","No")</f>
        <v>No</v>
      </c>
      <c r="H566" s="0" t="n">
        <f aca="false">INDEX(customer_churn_dataset!$N$2:$N$1501,MATCH($A567,customer_churn_dataset!$A$2:$A$1501,0))</f>
        <v>175.04</v>
      </c>
      <c r="I566" s="0" t="n">
        <f aca="false">INDEX(customer_churn_dataset!$O$2:$O$1501,MATCH($A567,customer_churn_dataset!$A$2:$A$1501,0))</f>
        <v>0</v>
      </c>
      <c r="J566" s="0" t="n">
        <f aca="false">INDEX(customer_churn_dataset!$T$2:$T$1501,MATCH($A567,customer_churn_dataset!$A$2:$A$1501,0))</f>
        <v>4</v>
      </c>
      <c r="K566" s="0" t="str">
        <f aca="false">INDEX(customer_churn_dataset!$V$2:$V$1501,MATCH($A567,customer_churn_dataset!$A$2:$A$1501,0))</f>
        <v>Medium Risk</v>
      </c>
    </row>
    <row r="567" customFormat="false" ht="12.8" hidden="true" customHeight="false" outlineLevel="0" collapsed="false">
      <c r="A567" s="22" t="str">
        <f aca="false">customer_churn_dataset!A656</f>
        <v>CUST100672</v>
      </c>
      <c r="B567" s="22" t="str">
        <f aca="false">customer_churn_dataset!B656</f>
        <v>Basic</v>
      </c>
      <c r="C567" s="22" t="str">
        <f aca="false">customer_churn_dataset!C656</f>
        <v>One year</v>
      </c>
      <c r="D567" s="0" t="n">
        <f aca="false">INDEX(customer_churn_dataset!$E$2:$E$1501,MATCH($A568,customer_churn_dataset!$A$2:$A$1501,0))</f>
        <v>6</v>
      </c>
      <c r="E567" s="0" t="n">
        <f aca="false">INDEX(customer_churn_dataset!$I$2:$I$1501,MATCH($A568,customer_churn_dataset!$A$2:$A$1501,0))</f>
        <v>54.9</v>
      </c>
      <c r="F567" s="0" t="n">
        <f aca="false">INDEX(customer_churn_dataset!$L$2:$L$1501,MATCH($A568,customer_churn_dataset!$A$2:$A$1501,0))</f>
        <v>2</v>
      </c>
      <c r="G567" s="0" t="str">
        <f aca="false">IF(INDEX(customer_churn_dataset!$M$2:$M$1501,MATCH($A568,customer_churn_dataset!$A$2:$A$1501,0))=1,"Yes","No")</f>
        <v>No</v>
      </c>
      <c r="H567" s="0" t="n">
        <f aca="false">INDEX(customer_churn_dataset!$N$2:$N$1501,MATCH($A568,customer_churn_dataset!$A$2:$A$1501,0))</f>
        <v>237.3</v>
      </c>
      <c r="I567" s="0" t="n">
        <f aca="false">INDEX(customer_churn_dataset!$O$2:$O$1501,MATCH($A568,customer_churn_dataset!$A$2:$A$1501,0))</f>
        <v>1</v>
      </c>
      <c r="J567" s="0" t="n">
        <f aca="false">INDEX(customer_churn_dataset!$T$2:$T$1501,MATCH($A568,customer_churn_dataset!$A$2:$A$1501,0))</f>
        <v>5</v>
      </c>
      <c r="K567" s="0" t="str">
        <f aca="false">INDEX(customer_churn_dataset!$V$2:$V$1501,MATCH($A568,customer_churn_dataset!$A$2:$A$1501,0))</f>
        <v>Medium Risk</v>
      </c>
    </row>
    <row r="568" customFormat="false" ht="12.8" hidden="true" customHeight="false" outlineLevel="0" collapsed="false">
      <c r="A568" s="22" t="str">
        <f aca="false">customer_churn_dataset!A657</f>
        <v>CUST101468</v>
      </c>
      <c r="B568" s="22" t="str">
        <f aca="false">customer_churn_dataset!B657</f>
        <v>Premium</v>
      </c>
      <c r="C568" s="22" t="str">
        <f aca="false">customer_churn_dataset!C657</f>
        <v>Month-to-month</v>
      </c>
      <c r="D568" s="0" t="n">
        <f aca="false">INDEX(customer_churn_dataset!$E$2:$E$1501,MATCH($A569,customer_churn_dataset!$A$2:$A$1501,0))</f>
        <v>19</v>
      </c>
      <c r="E568" s="0" t="n">
        <f aca="false">INDEX(customer_churn_dataset!$I$2:$I$1501,MATCH($A569,customer_churn_dataset!$A$2:$A$1501,0))</f>
        <v>33.7</v>
      </c>
      <c r="F568" s="0" t="n">
        <f aca="false">INDEX(customer_churn_dataset!$L$2:$L$1501,MATCH($A569,customer_churn_dataset!$A$2:$A$1501,0))</f>
        <v>1</v>
      </c>
      <c r="G568" s="0" t="str">
        <f aca="false">IF(INDEX(customer_churn_dataset!$M$2:$M$1501,MATCH($A569,customer_churn_dataset!$A$2:$A$1501,0))=1,"Yes","No")</f>
        <v>No</v>
      </c>
      <c r="H568" s="0" t="n">
        <f aca="false">INDEX(customer_churn_dataset!$N$2:$N$1501,MATCH($A569,customer_churn_dataset!$A$2:$A$1501,0))</f>
        <v>166.44</v>
      </c>
      <c r="I568" s="0" t="n">
        <f aca="false">INDEX(customer_churn_dataset!$O$2:$O$1501,MATCH($A569,customer_churn_dataset!$A$2:$A$1501,0))</f>
        <v>0</v>
      </c>
      <c r="J568" s="0" t="n">
        <f aca="false">INDEX(customer_churn_dataset!$T$2:$T$1501,MATCH($A569,customer_churn_dataset!$A$2:$A$1501,0))</f>
        <v>3</v>
      </c>
      <c r="K568" s="0" t="str">
        <f aca="false">INDEX(customer_churn_dataset!$V$2:$V$1501,MATCH($A569,customer_churn_dataset!$A$2:$A$1501,0))</f>
        <v>Medium Risk</v>
      </c>
    </row>
    <row r="569" customFormat="false" ht="12.8" hidden="true" customHeight="false" outlineLevel="0" collapsed="false">
      <c r="A569" s="22" t="str">
        <f aca="false">customer_churn_dataset!A658</f>
        <v>CUST100770</v>
      </c>
      <c r="B569" s="22" t="str">
        <f aca="false">customer_churn_dataset!B658</f>
        <v>Basic</v>
      </c>
      <c r="C569" s="22" t="str">
        <f aca="false">customer_churn_dataset!C658</f>
        <v>One year</v>
      </c>
      <c r="D569" s="0" t="n">
        <f aca="false">INDEX(customer_churn_dataset!$E$2:$E$1501,MATCH($A570,customer_churn_dataset!$A$2:$A$1501,0))</f>
        <v>52</v>
      </c>
      <c r="E569" s="0" t="n">
        <f aca="false">INDEX(customer_churn_dataset!$I$2:$I$1501,MATCH($A570,customer_churn_dataset!$A$2:$A$1501,0))</f>
        <v>47.8</v>
      </c>
      <c r="F569" s="0" t="n">
        <f aca="false">INDEX(customer_churn_dataset!$L$2:$L$1501,MATCH($A570,customer_churn_dataset!$A$2:$A$1501,0))</f>
        <v>1</v>
      </c>
      <c r="G569" s="0" t="str">
        <f aca="false">IF(INDEX(customer_churn_dataset!$M$2:$M$1501,MATCH($A570,customer_churn_dataset!$A$2:$A$1501,0))=1,"Yes","No")</f>
        <v>No</v>
      </c>
      <c r="H569" s="0" t="n">
        <f aca="false">INDEX(customer_churn_dataset!$N$2:$N$1501,MATCH($A570,customer_churn_dataset!$A$2:$A$1501,0))</f>
        <v>1010.36</v>
      </c>
      <c r="I569" s="0" t="n">
        <f aca="false">INDEX(customer_churn_dataset!$O$2:$O$1501,MATCH($A570,customer_churn_dataset!$A$2:$A$1501,0))</f>
        <v>0</v>
      </c>
      <c r="J569" s="0" t="n">
        <f aca="false">INDEX(customer_churn_dataset!$T$2:$T$1501,MATCH($A570,customer_churn_dataset!$A$2:$A$1501,0))</f>
        <v>3</v>
      </c>
      <c r="K569" s="0" t="str">
        <f aca="false">INDEX(customer_churn_dataset!$V$2:$V$1501,MATCH($A570,customer_churn_dataset!$A$2:$A$1501,0))</f>
        <v>Medium Risk</v>
      </c>
    </row>
    <row r="570" customFormat="false" ht="12.8" hidden="true" customHeight="false" outlineLevel="0" collapsed="false">
      <c r="A570" s="22" t="str">
        <f aca="false">customer_churn_dataset!A659</f>
        <v>CUST100070</v>
      </c>
      <c r="B570" s="22" t="str">
        <f aca="false">customer_churn_dataset!B659</f>
        <v>Standard</v>
      </c>
      <c r="C570" s="22" t="str">
        <f aca="false">customer_churn_dataset!C659</f>
        <v>Month-to-month</v>
      </c>
      <c r="D570" s="0" t="n">
        <f aca="false">INDEX(customer_churn_dataset!$E$2:$E$1501,MATCH($A571,customer_churn_dataset!$A$2:$A$1501,0))</f>
        <v>31</v>
      </c>
      <c r="E570" s="0" t="n">
        <f aca="false">INDEX(customer_churn_dataset!$I$2:$I$1501,MATCH($A571,customer_churn_dataset!$A$2:$A$1501,0))</f>
        <v>46.4</v>
      </c>
      <c r="F570" s="0" t="n">
        <f aca="false">INDEX(customer_churn_dataset!$L$2:$L$1501,MATCH($A571,customer_churn_dataset!$A$2:$A$1501,0))</f>
        <v>0</v>
      </c>
      <c r="G570" s="0" t="str">
        <f aca="false">IF(INDEX(customer_churn_dataset!$M$2:$M$1501,MATCH($A571,customer_churn_dataset!$A$2:$A$1501,0))=1,"Yes","No")</f>
        <v>No</v>
      </c>
      <c r="H570" s="0" t="n">
        <f aca="false">INDEX(customer_churn_dataset!$N$2:$N$1501,MATCH($A571,customer_churn_dataset!$A$2:$A$1501,0))</f>
        <v>1209.93</v>
      </c>
      <c r="I570" s="0" t="n">
        <f aca="false">INDEX(customer_churn_dataset!$O$2:$O$1501,MATCH($A571,customer_churn_dataset!$A$2:$A$1501,0))</f>
        <v>1</v>
      </c>
      <c r="J570" s="0" t="n">
        <f aca="false">INDEX(customer_churn_dataset!$T$2:$T$1501,MATCH($A571,customer_churn_dataset!$A$2:$A$1501,0))</f>
        <v>3</v>
      </c>
      <c r="K570" s="0" t="str">
        <f aca="false">INDEX(customer_churn_dataset!$V$2:$V$1501,MATCH($A571,customer_churn_dataset!$A$2:$A$1501,0))</f>
        <v>Medium Risk</v>
      </c>
    </row>
    <row r="571" customFormat="false" ht="12.8" hidden="true" customHeight="false" outlineLevel="0" collapsed="false">
      <c r="A571" s="22" t="str">
        <f aca="false">customer_churn_dataset!A660</f>
        <v>CUST101220</v>
      </c>
      <c r="B571" s="22" t="str">
        <f aca="false">customer_churn_dataset!B660</f>
        <v>Premium</v>
      </c>
      <c r="C571" s="22" t="str">
        <f aca="false">customer_churn_dataset!C660</f>
        <v>Month-to-month</v>
      </c>
      <c r="D571" s="0" t="n">
        <f aca="false">INDEX(customer_churn_dataset!$E$2:$E$1501,MATCH($A572,customer_churn_dataset!$A$2:$A$1501,0))</f>
        <v>0</v>
      </c>
      <c r="E571" s="0" t="n">
        <f aca="false">INDEX(customer_churn_dataset!$I$2:$I$1501,MATCH($A572,customer_churn_dataset!$A$2:$A$1501,0))</f>
        <v>75.6</v>
      </c>
      <c r="F571" s="0" t="n">
        <f aca="false">INDEX(customer_churn_dataset!$L$2:$L$1501,MATCH($A572,customer_churn_dataset!$A$2:$A$1501,0))</f>
        <v>0</v>
      </c>
      <c r="G571" s="0" t="str">
        <f aca="false">IF(INDEX(customer_churn_dataset!$M$2:$M$1501,MATCH($A572,customer_churn_dataset!$A$2:$A$1501,0))=1,"Yes","No")</f>
        <v>No</v>
      </c>
      <c r="H571" s="0" t="n">
        <f aca="false">INDEX(customer_churn_dataset!$N$2:$N$1501,MATCH($A572,customer_churn_dataset!$A$2:$A$1501,0))</f>
        <v>0</v>
      </c>
      <c r="I571" s="0" t="n">
        <f aca="false">INDEX(customer_churn_dataset!$O$2:$O$1501,MATCH($A572,customer_churn_dataset!$A$2:$A$1501,0))</f>
        <v>0</v>
      </c>
      <c r="J571" s="0" t="n">
        <f aca="false">INDEX(customer_churn_dataset!$T$2:$T$1501,MATCH($A572,customer_churn_dataset!$A$2:$A$1501,0))</f>
        <v>2</v>
      </c>
      <c r="K571" s="0" t="str">
        <f aca="false">INDEX(customer_churn_dataset!$V$2:$V$1501,MATCH($A572,customer_churn_dataset!$A$2:$A$1501,0))</f>
        <v>Low Risk</v>
      </c>
    </row>
    <row r="572" customFormat="false" ht="12.8" hidden="true" customHeight="false" outlineLevel="0" collapsed="false">
      <c r="A572" s="22" t="str">
        <f aca="false">customer_churn_dataset!A663</f>
        <v>CUST101223</v>
      </c>
      <c r="B572" s="22" t="str">
        <f aca="false">customer_churn_dataset!B663</f>
        <v>Premium</v>
      </c>
      <c r="C572" s="22" t="str">
        <f aca="false">customer_churn_dataset!C663</f>
        <v>One year</v>
      </c>
      <c r="D572" s="0" t="n">
        <f aca="false">INDEX(customer_churn_dataset!$E$2:$E$1501,MATCH($A573,customer_churn_dataset!$A$2:$A$1501,0))</f>
        <v>17</v>
      </c>
      <c r="E572" s="0" t="n">
        <f aca="false">INDEX(customer_churn_dataset!$I$2:$I$1501,MATCH($A573,customer_churn_dataset!$A$2:$A$1501,0))</f>
        <v>65.4</v>
      </c>
      <c r="F572" s="0" t="n">
        <f aca="false">INDEX(customer_churn_dataset!$L$2:$L$1501,MATCH($A573,customer_churn_dataset!$A$2:$A$1501,0))</f>
        <v>0</v>
      </c>
      <c r="G572" s="0" t="str">
        <f aca="false">IF(INDEX(customer_churn_dataset!$M$2:$M$1501,MATCH($A573,customer_churn_dataset!$A$2:$A$1501,0))=1,"Yes","No")</f>
        <v>No</v>
      </c>
      <c r="H572" s="0" t="n">
        <f aca="false">INDEX(customer_churn_dataset!$N$2:$N$1501,MATCH($A573,customer_churn_dataset!$A$2:$A$1501,0))</f>
        <v>360.23</v>
      </c>
      <c r="I572" s="0" t="n">
        <f aca="false">INDEX(customer_churn_dataset!$O$2:$O$1501,MATCH($A573,customer_churn_dataset!$A$2:$A$1501,0))</f>
        <v>0</v>
      </c>
      <c r="J572" s="0" t="n">
        <f aca="false">INDEX(customer_churn_dataset!$T$2:$T$1501,MATCH($A573,customer_churn_dataset!$A$2:$A$1501,0))</f>
        <v>2</v>
      </c>
      <c r="K572" s="0" t="str">
        <f aca="false">INDEX(customer_churn_dataset!$V$2:$V$1501,MATCH($A573,customer_churn_dataset!$A$2:$A$1501,0))</f>
        <v>Low Risk</v>
      </c>
    </row>
    <row r="573" customFormat="false" ht="12.8" hidden="true" customHeight="false" outlineLevel="0" collapsed="false">
      <c r="A573" s="22" t="str">
        <f aca="false">customer_churn_dataset!A668</f>
        <v>CUST100204</v>
      </c>
      <c r="B573" s="22" t="str">
        <f aca="false">customer_churn_dataset!B668</f>
        <v>Standard</v>
      </c>
      <c r="C573" s="22" t="str">
        <f aca="false">customer_churn_dataset!C668</f>
        <v>Month-to-month</v>
      </c>
      <c r="D573" s="0" t="n">
        <f aca="false">INDEX(customer_churn_dataset!$E$2:$E$1501,MATCH($A574,customer_churn_dataset!$A$2:$A$1501,0))</f>
        <v>25</v>
      </c>
      <c r="E573" s="0" t="n">
        <f aca="false">INDEX(customer_churn_dataset!$I$2:$I$1501,MATCH($A574,customer_churn_dataset!$A$2:$A$1501,0))</f>
        <v>42</v>
      </c>
      <c r="F573" s="0" t="n">
        <f aca="false">INDEX(customer_churn_dataset!$L$2:$L$1501,MATCH($A574,customer_churn_dataset!$A$2:$A$1501,0))</f>
        <v>0</v>
      </c>
      <c r="G573" s="0" t="str">
        <f aca="false">IF(INDEX(customer_churn_dataset!$M$2:$M$1501,MATCH($A574,customer_churn_dataset!$A$2:$A$1501,0))=1,"Yes","No")</f>
        <v>No</v>
      </c>
      <c r="H573" s="0" t="n">
        <f aca="false">INDEX(customer_churn_dataset!$N$2:$N$1501,MATCH($A574,customer_churn_dataset!$A$2:$A$1501,0))</f>
        <v>253.5</v>
      </c>
      <c r="I573" s="0" t="n">
        <f aca="false">INDEX(customer_churn_dataset!$O$2:$O$1501,MATCH($A574,customer_churn_dataset!$A$2:$A$1501,0))</f>
        <v>0</v>
      </c>
      <c r="J573" s="0" t="n">
        <f aca="false">INDEX(customer_churn_dataset!$T$2:$T$1501,MATCH($A574,customer_churn_dataset!$A$2:$A$1501,0))</f>
        <v>1</v>
      </c>
      <c r="K573" s="0" t="str">
        <f aca="false">INDEX(customer_churn_dataset!$V$2:$V$1501,MATCH($A574,customer_churn_dataset!$A$2:$A$1501,0))</f>
        <v>Low Risk</v>
      </c>
    </row>
    <row r="574" customFormat="false" ht="12.8" hidden="true" customHeight="false" outlineLevel="0" collapsed="false">
      <c r="A574" s="22" t="str">
        <f aca="false">customer_churn_dataset!A671</f>
        <v>CUST100883</v>
      </c>
      <c r="B574" s="22" t="str">
        <f aca="false">customer_churn_dataset!B671</f>
        <v>Basic</v>
      </c>
      <c r="C574" s="22" t="str">
        <f aca="false">customer_churn_dataset!C671</f>
        <v>Two year</v>
      </c>
      <c r="D574" s="0" t="n">
        <f aca="false">INDEX(customer_churn_dataset!$E$2:$E$1501,MATCH($A575,customer_churn_dataset!$A$2:$A$1501,0))</f>
        <v>49</v>
      </c>
      <c r="E574" s="0" t="n">
        <f aca="false">INDEX(customer_churn_dataset!$I$2:$I$1501,MATCH($A575,customer_churn_dataset!$A$2:$A$1501,0))</f>
        <v>28.8</v>
      </c>
      <c r="F574" s="0" t="n">
        <f aca="false">INDEX(customer_churn_dataset!$L$2:$L$1501,MATCH($A575,customer_churn_dataset!$A$2:$A$1501,0))</f>
        <v>4</v>
      </c>
      <c r="G574" s="0" t="str">
        <f aca="false">IF(INDEX(customer_churn_dataset!$M$2:$M$1501,MATCH($A575,customer_churn_dataset!$A$2:$A$1501,0))=1,"Yes","No")</f>
        <v>Yes</v>
      </c>
      <c r="H574" s="0" t="n">
        <f aca="false">INDEX(customer_churn_dataset!$N$2:$N$1501,MATCH($A575,customer_churn_dataset!$A$2:$A$1501,0))</f>
        <v>2060.45</v>
      </c>
      <c r="I574" s="0" t="n">
        <f aca="false">INDEX(customer_churn_dataset!$O$2:$O$1501,MATCH($A575,customer_churn_dataset!$A$2:$A$1501,0))</f>
        <v>1</v>
      </c>
      <c r="J574" s="0" t="n">
        <f aca="false">INDEX(customer_churn_dataset!$T$2:$T$1501,MATCH($A575,customer_churn_dataset!$A$2:$A$1501,0))</f>
        <v>6</v>
      </c>
      <c r="K574" s="0" t="str">
        <f aca="false">INDEX(customer_churn_dataset!$V$2:$V$1501,MATCH($A575,customer_churn_dataset!$A$2:$A$1501,0))</f>
        <v>High Risk</v>
      </c>
    </row>
    <row r="575" customFormat="false" ht="12.8" hidden="true" customHeight="false" outlineLevel="0" collapsed="false">
      <c r="A575" s="22" t="str">
        <f aca="false">customer_churn_dataset!A675</f>
        <v>CUST100437</v>
      </c>
      <c r="B575" s="22" t="str">
        <f aca="false">customer_churn_dataset!B675</f>
        <v>Premium</v>
      </c>
      <c r="C575" s="22" t="str">
        <f aca="false">customer_churn_dataset!C675</f>
        <v>Two year</v>
      </c>
      <c r="D575" s="0" t="n">
        <f aca="false">INDEX(customer_churn_dataset!$E$2:$E$1501,MATCH($A576,customer_churn_dataset!$A$2:$A$1501,0))</f>
        <v>13</v>
      </c>
      <c r="E575" s="0" t="n">
        <f aca="false">INDEX(customer_churn_dataset!$I$2:$I$1501,MATCH($A576,customer_churn_dataset!$A$2:$A$1501,0))</f>
        <v>63.9</v>
      </c>
      <c r="F575" s="0" t="n">
        <f aca="false">INDEX(customer_churn_dataset!$L$2:$L$1501,MATCH($A576,customer_churn_dataset!$A$2:$A$1501,0))</f>
        <v>2</v>
      </c>
      <c r="G575" s="0" t="str">
        <f aca="false">IF(INDEX(customer_churn_dataset!$M$2:$M$1501,MATCH($A576,customer_churn_dataset!$A$2:$A$1501,0))=1,"Yes","No")</f>
        <v>Yes</v>
      </c>
      <c r="H575" s="0" t="n">
        <f aca="false">INDEX(customer_churn_dataset!$N$2:$N$1501,MATCH($A576,customer_churn_dataset!$A$2:$A$1501,0))</f>
        <v>132.08</v>
      </c>
      <c r="I575" s="0" t="n">
        <f aca="false">INDEX(customer_churn_dataset!$O$2:$O$1501,MATCH($A576,customer_churn_dataset!$A$2:$A$1501,0))</f>
        <v>1</v>
      </c>
      <c r="J575" s="0" t="n">
        <f aca="false">INDEX(customer_churn_dataset!$T$2:$T$1501,MATCH($A576,customer_churn_dataset!$A$2:$A$1501,0))</f>
        <v>6</v>
      </c>
      <c r="K575" s="0" t="str">
        <f aca="false">INDEX(customer_churn_dataset!$V$2:$V$1501,MATCH($A576,customer_churn_dataset!$A$2:$A$1501,0))</f>
        <v>High Risk</v>
      </c>
    </row>
    <row r="576" customFormat="false" ht="12.8" hidden="true" customHeight="false" outlineLevel="0" collapsed="false">
      <c r="A576" s="22" t="str">
        <f aca="false">customer_churn_dataset!A685</f>
        <v>CUST101498</v>
      </c>
      <c r="B576" s="22" t="str">
        <f aca="false">customer_churn_dataset!B685</f>
        <v>Basic</v>
      </c>
      <c r="C576" s="22" t="str">
        <f aca="false">customer_churn_dataset!C685</f>
        <v>Month-to-month</v>
      </c>
      <c r="D576" s="0" t="n">
        <f aca="false">INDEX(customer_churn_dataset!$E$2:$E$1501,MATCH($A577,customer_churn_dataset!$A$2:$A$1501,0))</f>
        <v>1</v>
      </c>
      <c r="E576" s="0" t="n">
        <f aca="false">INDEX(customer_churn_dataset!$I$2:$I$1501,MATCH($A577,customer_churn_dataset!$A$2:$A$1501,0))</f>
        <v>42.4</v>
      </c>
      <c r="F576" s="0" t="n">
        <f aca="false">INDEX(customer_churn_dataset!$L$2:$L$1501,MATCH($A577,customer_churn_dataset!$A$2:$A$1501,0))</f>
        <v>1</v>
      </c>
      <c r="G576" s="0" t="str">
        <f aca="false">IF(INDEX(customer_churn_dataset!$M$2:$M$1501,MATCH($A577,customer_churn_dataset!$A$2:$A$1501,0))=1,"Yes","No")</f>
        <v>Yes</v>
      </c>
      <c r="H576" s="0" t="n">
        <f aca="false">INDEX(customer_churn_dataset!$N$2:$N$1501,MATCH($A577,customer_churn_dataset!$A$2:$A$1501,0))</f>
        <v>9.02</v>
      </c>
      <c r="I576" s="0" t="n">
        <f aca="false">INDEX(customer_churn_dataset!$O$2:$O$1501,MATCH($A577,customer_churn_dataset!$A$2:$A$1501,0))</f>
        <v>0</v>
      </c>
      <c r="J576" s="0" t="n">
        <f aca="false">INDEX(customer_churn_dataset!$T$2:$T$1501,MATCH($A577,customer_churn_dataset!$A$2:$A$1501,0))</f>
        <v>5</v>
      </c>
      <c r="K576" s="0" t="str">
        <f aca="false">INDEX(customer_churn_dataset!$V$2:$V$1501,MATCH($A577,customer_churn_dataset!$A$2:$A$1501,0))</f>
        <v>Medium Risk</v>
      </c>
    </row>
    <row r="577" customFormat="false" ht="12.8" hidden="true" customHeight="false" outlineLevel="0" collapsed="false">
      <c r="A577" s="22" t="str">
        <f aca="false">customer_churn_dataset!A686</f>
        <v>CUST100029</v>
      </c>
      <c r="B577" s="22" t="str">
        <f aca="false">customer_churn_dataset!B686</f>
        <v>Basic</v>
      </c>
      <c r="C577" s="22" t="str">
        <f aca="false">customer_churn_dataset!C686</f>
        <v>Two year</v>
      </c>
      <c r="D577" s="0" t="n">
        <f aca="false">INDEX(customer_churn_dataset!$E$2:$E$1501,MATCH($A578,customer_churn_dataset!$A$2:$A$1501,0))</f>
        <v>37</v>
      </c>
      <c r="E577" s="0" t="n">
        <f aca="false">INDEX(customer_churn_dataset!$I$2:$I$1501,MATCH($A578,customer_churn_dataset!$A$2:$A$1501,0))</f>
        <v>83.5</v>
      </c>
      <c r="F577" s="0" t="n">
        <f aca="false">INDEX(customer_churn_dataset!$L$2:$L$1501,MATCH($A578,customer_churn_dataset!$A$2:$A$1501,0))</f>
        <v>0</v>
      </c>
      <c r="G577" s="0" t="str">
        <f aca="false">IF(INDEX(customer_churn_dataset!$M$2:$M$1501,MATCH($A578,customer_churn_dataset!$A$2:$A$1501,0))=1,"Yes","No")</f>
        <v>No</v>
      </c>
      <c r="H577" s="0" t="n">
        <f aca="false">INDEX(customer_churn_dataset!$N$2:$N$1501,MATCH($A578,customer_churn_dataset!$A$2:$A$1501,0))</f>
        <v>385.91</v>
      </c>
      <c r="I577" s="0" t="n">
        <f aca="false">INDEX(customer_churn_dataset!$O$2:$O$1501,MATCH($A578,customer_churn_dataset!$A$2:$A$1501,0))</f>
        <v>0</v>
      </c>
      <c r="J577" s="0" t="n">
        <f aca="false">INDEX(customer_churn_dataset!$T$2:$T$1501,MATCH($A578,customer_churn_dataset!$A$2:$A$1501,0))</f>
        <v>2</v>
      </c>
      <c r="K577" s="0" t="str">
        <f aca="false">INDEX(customer_churn_dataset!$V$2:$V$1501,MATCH($A578,customer_churn_dataset!$A$2:$A$1501,0))</f>
        <v>Low Risk</v>
      </c>
    </row>
    <row r="578" customFormat="false" ht="12.8" hidden="true" customHeight="false" outlineLevel="0" collapsed="false">
      <c r="A578" s="22" t="str">
        <f aca="false">customer_churn_dataset!A691</f>
        <v>CUST100309</v>
      </c>
      <c r="B578" s="22" t="str">
        <f aca="false">customer_churn_dataset!B691</f>
        <v>Basic</v>
      </c>
      <c r="C578" s="22" t="str">
        <f aca="false">customer_churn_dataset!C691</f>
        <v>Month-to-month</v>
      </c>
      <c r="D578" s="0" t="n">
        <f aca="false">INDEX(customer_churn_dataset!$E$2:$E$1501,MATCH($A579,customer_churn_dataset!$A$2:$A$1501,0))</f>
        <v>14</v>
      </c>
      <c r="E578" s="0" t="n">
        <f aca="false">INDEX(customer_churn_dataset!$I$2:$I$1501,MATCH($A579,customer_churn_dataset!$A$2:$A$1501,0))</f>
        <v>33.5</v>
      </c>
      <c r="F578" s="0" t="n">
        <f aca="false">INDEX(customer_churn_dataset!$L$2:$L$1501,MATCH($A579,customer_churn_dataset!$A$2:$A$1501,0))</f>
        <v>0</v>
      </c>
      <c r="G578" s="0" t="str">
        <f aca="false">IF(INDEX(customer_churn_dataset!$M$2:$M$1501,MATCH($A579,customer_churn_dataset!$A$2:$A$1501,0))=1,"Yes","No")</f>
        <v>No</v>
      </c>
      <c r="H578" s="0" t="n">
        <f aca="false">INDEX(customer_churn_dataset!$N$2:$N$1501,MATCH($A579,customer_churn_dataset!$A$2:$A$1501,0))</f>
        <v>139.72</v>
      </c>
      <c r="I578" s="0" t="n">
        <f aca="false">INDEX(customer_churn_dataset!$O$2:$O$1501,MATCH($A579,customer_churn_dataset!$A$2:$A$1501,0))</f>
        <v>1</v>
      </c>
      <c r="J578" s="0" t="n">
        <f aca="false">INDEX(customer_churn_dataset!$T$2:$T$1501,MATCH($A579,customer_churn_dataset!$A$2:$A$1501,0))</f>
        <v>4</v>
      </c>
      <c r="K578" s="0" t="str">
        <f aca="false">INDEX(customer_churn_dataset!$V$2:$V$1501,MATCH($A579,customer_churn_dataset!$A$2:$A$1501,0))</f>
        <v>Medium Risk</v>
      </c>
    </row>
    <row r="579" customFormat="false" ht="12.8" hidden="true" customHeight="false" outlineLevel="0" collapsed="false">
      <c r="A579" s="22" t="str">
        <f aca="false">customer_churn_dataset!A692</f>
        <v>CUST100729</v>
      </c>
      <c r="B579" s="22" t="str">
        <f aca="false">customer_churn_dataset!B692</f>
        <v>Basic</v>
      </c>
      <c r="C579" s="22" t="str">
        <f aca="false">customer_churn_dataset!C692</f>
        <v>Month-to-month</v>
      </c>
      <c r="D579" s="0" t="n">
        <f aca="false">INDEX(customer_churn_dataset!$E$2:$E$1501,MATCH($A580,customer_churn_dataset!$A$2:$A$1501,0))</f>
        <v>31</v>
      </c>
      <c r="E579" s="0" t="n">
        <f aca="false">INDEX(customer_churn_dataset!$I$2:$I$1501,MATCH($A580,customer_churn_dataset!$A$2:$A$1501,0))</f>
        <v>43.8</v>
      </c>
      <c r="F579" s="0" t="n">
        <f aca="false">INDEX(customer_churn_dataset!$L$2:$L$1501,MATCH($A580,customer_churn_dataset!$A$2:$A$1501,0))</f>
        <v>1</v>
      </c>
      <c r="G579" s="0" t="str">
        <f aca="false">IF(INDEX(customer_churn_dataset!$M$2:$M$1501,MATCH($A580,customer_churn_dataset!$A$2:$A$1501,0))=1,"Yes","No")</f>
        <v>No</v>
      </c>
      <c r="H579" s="0" t="n">
        <f aca="false">INDEX(customer_churn_dataset!$N$2:$N$1501,MATCH($A580,customer_churn_dataset!$A$2:$A$1501,0))</f>
        <v>270.94</v>
      </c>
      <c r="I579" s="0" t="n">
        <f aca="false">INDEX(customer_churn_dataset!$O$2:$O$1501,MATCH($A580,customer_churn_dataset!$A$2:$A$1501,0))</f>
        <v>1</v>
      </c>
      <c r="J579" s="0" t="n">
        <f aca="false">INDEX(customer_churn_dataset!$T$2:$T$1501,MATCH($A580,customer_churn_dataset!$A$2:$A$1501,0))</f>
        <v>3</v>
      </c>
      <c r="K579" s="0" t="str">
        <f aca="false">INDEX(customer_churn_dataset!$V$2:$V$1501,MATCH($A580,customer_churn_dataset!$A$2:$A$1501,0))</f>
        <v>Medium Risk</v>
      </c>
    </row>
    <row r="580" customFormat="false" ht="12.8" hidden="true" customHeight="false" outlineLevel="0" collapsed="false">
      <c r="A580" s="22" t="str">
        <f aca="false">customer_churn_dataset!A693</f>
        <v>CUST101378</v>
      </c>
      <c r="B580" s="22" t="str">
        <f aca="false">customer_churn_dataset!B693</f>
        <v>Basic</v>
      </c>
      <c r="C580" s="22" t="str">
        <f aca="false">customer_churn_dataset!C693</f>
        <v>Month-to-month</v>
      </c>
      <c r="D580" s="0" t="n">
        <f aca="false">INDEX(customer_churn_dataset!$E$2:$E$1501,MATCH($A581,customer_churn_dataset!$A$2:$A$1501,0))</f>
        <v>29</v>
      </c>
      <c r="E580" s="0" t="n">
        <f aca="false">INDEX(customer_churn_dataset!$I$2:$I$1501,MATCH($A581,customer_churn_dataset!$A$2:$A$1501,0))</f>
        <v>72.6</v>
      </c>
      <c r="F580" s="0" t="n">
        <f aca="false">INDEX(customer_churn_dataset!$L$2:$L$1501,MATCH($A581,customer_churn_dataset!$A$2:$A$1501,0))</f>
        <v>0</v>
      </c>
      <c r="G580" s="0" t="str">
        <f aca="false">IF(INDEX(customer_churn_dataset!$M$2:$M$1501,MATCH($A581,customer_churn_dataset!$A$2:$A$1501,0))=1,"Yes","No")</f>
        <v>No</v>
      </c>
      <c r="H580" s="0" t="n">
        <f aca="false">INDEX(customer_churn_dataset!$N$2:$N$1501,MATCH($A581,customer_churn_dataset!$A$2:$A$1501,0))</f>
        <v>1116.79</v>
      </c>
      <c r="I580" s="0" t="n">
        <f aca="false">INDEX(customer_churn_dataset!$O$2:$O$1501,MATCH($A581,customer_churn_dataset!$A$2:$A$1501,0))</f>
        <v>0</v>
      </c>
      <c r="J580" s="0" t="n">
        <f aca="false">INDEX(customer_churn_dataset!$T$2:$T$1501,MATCH($A581,customer_churn_dataset!$A$2:$A$1501,0))</f>
        <v>2</v>
      </c>
      <c r="K580" s="0" t="str">
        <f aca="false">INDEX(customer_churn_dataset!$V$2:$V$1501,MATCH($A581,customer_churn_dataset!$A$2:$A$1501,0))</f>
        <v>Low Risk</v>
      </c>
    </row>
    <row r="581" customFormat="false" ht="12.8" hidden="false" customHeight="false" outlineLevel="0" collapsed="false">
      <c r="A581" s="23" t="str">
        <f aca="false">customer_churn_dataset!A697</f>
        <v>CUST100198</v>
      </c>
      <c r="B581" s="24" t="str">
        <f aca="false">customer_churn_dataset!B697</f>
        <v>Premium</v>
      </c>
      <c r="C581" s="24" t="str">
        <f aca="false">customer_churn_dataset!C697</f>
        <v>Month-to-month</v>
      </c>
      <c r="D581" s="25" t="n">
        <f aca="false">INDEX(customer_churn_dataset!$E$2:$E$1501,MATCH($A582,customer_churn_dataset!$A$2:$A$1501,0))</f>
        <v>2</v>
      </c>
      <c r="E581" s="25" t="n">
        <f aca="false">INDEX(customer_churn_dataset!$I$2:$I$1501,MATCH($A582,customer_churn_dataset!$A$2:$A$1501,0))</f>
        <v>27</v>
      </c>
      <c r="F581" s="25" t="n">
        <f aca="false">INDEX(customer_churn_dataset!$L$2:$L$1501,MATCH($A582,customer_churn_dataset!$A$2:$A$1501,0))</f>
        <v>5</v>
      </c>
      <c r="G581" s="25" t="str">
        <f aca="false">IF(INDEX(customer_churn_dataset!$M$2:$M$1501,MATCH($A582,customer_churn_dataset!$A$2:$A$1501,0))=1,"Yes","No")</f>
        <v>Yes</v>
      </c>
      <c r="H581" s="25" t="n">
        <f aca="false">INDEX(customer_churn_dataset!$N$2:$N$1501,MATCH($A582,customer_churn_dataset!$A$2:$A$1501,0))</f>
        <v>79.38</v>
      </c>
      <c r="I581" s="25" t="n">
        <f aca="false">INDEX(customer_churn_dataset!$O$2:$O$1501,MATCH($A582,customer_churn_dataset!$A$2:$A$1501,0))</f>
        <v>0</v>
      </c>
      <c r="J581" s="25" t="n">
        <f aca="false">INDEX(customer_churn_dataset!$T$2:$T$1501,MATCH($A582,customer_churn_dataset!$A$2:$A$1501,0))</f>
        <v>9</v>
      </c>
      <c r="K581" s="25" t="str">
        <f aca="false">INDEX(customer_churn_dataset!$V$2:$V$1501,MATCH($A582,customer_churn_dataset!$A$2:$A$1501,0))</f>
        <v>High Risk</v>
      </c>
    </row>
    <row r="582" customFormat="false" ht="12.8" hidden="false" customHeight="false" outlineLevel="0" collapsed="false">
      <c r="A582" s="23" t="str">
        <f aca="false">customer_churn_dataset!A701</f>
        <v>CUST101375</v>
      </c>
      <c r="B582" s="24" t="str">
        <f aca="false">customer_churn_dataset!B701</f>
        <v>Premium</v>
      </c>
      <c r="C582" s="24" t="str">
        <f aca="false">customer_churn_dataset!C701</f>
        <v>Month-to-month</v>
      </c>
      <c r="D582" s="25" t="n">
        <f aca="false">INDEX(customer_churn_dataset!$E$2:$E$1501,MATCH($A583,customer_churn_dataset!$A$2:$A$1501,0))</f>
        <v>1</v>
      </c>
      <c r="E582" s="25" t="n">
        <f aca="false">INDEX(customer_churn_dataset!$I$2:$I$1501,MATCH($A583,customer_churn_dataset!$A$2:$A$1501,0))</f>
        <v>37.5</v>
      </c>
      <c r="F582" s="25" t="n">
        <f aca="false">INDEX(customer_churn_dataset!$L$2:$L$1501,MATCH($A583,customer_churn_dataset!$A$2:$A$1501,0))</f>
        <v>2</v>
      </c>
      <c r="G582" s="25" t="str">
        <f aca="false">IF(INDEX(customer_churn_dataset!$M$2:$M$1501,MATCH($A583,customer_churn_dataset!$A$2:$A$1501,0))=1,"Yes","No")</f>
        <v>Yes</v>
      </c>
      <c r="H582" s="25" t="n">
        <f aca="false">INDEX(customer_churn_dataset!$N$2:$N$1501,MATCH($A583,customer_churn_dataset!$A$2:$A$1501,0))</f>
        <v>10.39</v>
      </c>
      <c r="I582" s="25" t="n">
        <f aca="false">INDEX(customer_churn_dataset!$O$2:$O$1501,MATCH($A583,customer_churn_dataset!$A$2:$A$1501,0))</f>
        <v>1</v>
      </c>
      <c r="J582" s="25" t="n">
        <f aca="false">INDEX(customer_churn_dataset!$T$2:$T$1501,MATCH($A583,customer_churn_dataset!$A$2:$A$1501,0))</f>
        <v>9</v>
      </c>
      <c r="K582" s="25" t="str">
        <f aca="false">INDEX(customer_churn_dataset!$V$2:$V$1501,MATCH($A583,customer_churn_dataset!$A$2:$A$1501,0))</f>
        <v>High Risk</v>
      </c>
    </row>
    <row r="583" customFormat="false" ht="12.8" hidden="true" customHeight="false" outlineLevel="0" collapsed="false">
      <c r="A583" s="22" t="str">
        <f aca="false">customer_churn_dataset!A705</f>
        <v>CUST101479</v>
      </c>
      <c r="B583" s="22" t="str">
        <f aca="false">customer_churn_dataset!B705</f>
        <v>Basic</v>
      </c>
      <c r="C583" s="22" t="str">
        <f aca="false">customer_churn_dataset!C705</f>
        <v>Month-to-month</v>
      </c>
      <c r="D583" s="0" t="n">
        <f aca="false">INDEX(customer_churn_dataset!$E$2:$E$1501,MATCH($A584,customer_churn_dataset!$A$2:$A$1501,0))</f>
        <v>52</v>
      </c>
      <c r="E583" s="0" t="n">
        <f aca="false">INDEX(customer_churn_dataset!$I$2:$I$1501,MATCH($A584,customer_churn_dataset!$A$2:$A$1501,0))</f>
        <v>68.7</v>
      </c>
      <c r="F583" s="0" t="n">
        <f aca="false">INDEX(customer_churn_dataset!$L$2:$L$1501,MATCH($A584,customer_churn_dataset!$A$2:$A$1501,0))</f>
        <v>0</v>
      </c>
      <c r="G583" s="0" t="str">
        <f aca="false">IF(INDEX(customer_churn_dataset!$M$2:$M$1501,MATCH($A584,customer_churn_dataset!$A$2:$A$1501,0))=1,"Yes","No")</f>
        <v>No</v>
      </c>
      <c r="H583" s="0" t="n">
        <f aca="false">INDEX(customer_churn_dataset!$N$2:$N$1501,MATCH($A584,customer_churn_dataset!$A$2:$A$1501,0))</f>
        <v>496.08</v>
      </c>
      <c r="I583" s="0" t="n">
        <f aca="false">INDEX(customer_churn_dataset!$O$2:$O$1501,MATCH($A584,customer_churn_dataset!$A$2:$A$1501,0))</f>
        <v>0</v>
      </c>
      <c r="J583" s="0" t="n">
        <f aca="false">INDEX(customer_churn_dataset!$T$2:$T$1501,MATCH($A584,customer_churn_dataset!$A$2:$A$1501,0))</f>
        <v>1</v>
      </c>
      <c r="K583" s="0" t="str">
        <f aca="false">INDEX(customer_churn_dataset!$V$2:$V$1501,MATCH($A584,customer_churn_dataset!$A$2:$A$1501,0))</f>
        <v>Low Risk</v>
      </c>
    </row>
    <row r="584" customFormat="false" ht="12.8" hidden="true" customHeight="false" outlineLevel="0" collapsed="false">
      <c r="A584" s="22" t="str">
        <f aca="false">customer_churn_dataset!A715</f>
        <v>CUST100919</v>
      </c>
      <c r="B584" s="22" t="str">
        <f aca="false">customer_churn_dataset!B715</f>
        <v>Basic</v>
      </c>
      <c r="C584" s="22" t="str">
        <f aca="false">customer_churn_dataset!C715</f>
        <v>One year</v>
      </c>
      <c r="D584" s="0" t="n">
        <f aca="false">INDEX(customer_churn_dataset!$E$2:$E$1501,MATCH($A585,customer_churn_dataset!$A$2:$A$1501,0))</f>
        <v>63</v>
      </c>
      <c r="E584" s="0" t="n">
        <f aca="false">INDEX(customer_churn_dataset!$I$2:$I$1501,MATCH($A585,customer_churn_dataset!$A$2:$A$1501,0))</f>
        <v>69.1</v>
      </c>
      <c r="F584" s="0" t="n">
        <f aca="false">INDEX(customer_churn_dataset!$L$2:$L$1501,MATCH($A585,customer_churn_dataset!$A$2:$A$1501,0))</f>
        <v>0</v>
      </c>
      <c r="G584" s="0" t="str">
        <f aca="false">IF(INDEX(customer_churn_dataset!$M$2:$M$1501,MATCH($A585,customer_churn_dataset!$A$2:$A$1501,0))=1,"Yes","No")</f>
        <v>No</v>
      </c>
      <c r="H584" s="0" t="n">
        <f aca="false">INDEX(customer_churn_dataset!$N$2:$N$1501,MATCH($A585,customer_churn_dataset!$A$2:$A$1501,0))</f>
        <v>2572.92</v>
      </c>
      <c r="I584" s="0" t="n">
        <f aca="false">INDEX(customer_churn_dataset!$O$2:$O$1501,MATCH($A585,customer_churn_dataset!$A$2:$A$1501,0))</f>
        <v>0</v>
      </c>
      <c r="J584" s="0" t="n">
        <f aca="false">INDEX(customer_churn_dataset!$T$2:$T$1501,MATCH($A585,customer_churn_dataset!$A$2:$A$1501,0))</f>
        <v>2</v>
      </c>
      <c r="K584" s="0" t="str">
        <f aca="false">INDEX(customer_churn_dataset!$V$2:$V$1501,MATCH($A585,customer_churn_dataset!$A$2:$A$1501,0))</f>
        <v>Low Risk</v>
      </c>
    </row>
    <row r="585" customFormat="false" ht="12.8" hidden="true" customHeight="false" outlineLevel="0" collapsed="false">
      <c r="A585" s="22" t="str">
        <f aca="false">customer_churn_dataset!A719</f>
        <v>CUST100469</v>
      </c>
      <c r="B585" s="22" t="str">
        <f aca="false">customer_churn_dataset!B719</f>
        <v>Premium</v>
      </c>
      <c r="C585" s="22" t="str">
        <f aca="false">customer_churn_dataset!C719</f>
        <v>Month-to-month</v>
      </c>
      <c r="D585" s="0" t="n">
        <f aca="false">INDEX(customer_churn_dataset!$E$2:$E$1501,MATCH($A586,customer_churn_dataset!$A$2:$A$1501,0))</f>
        <v>13</v>
      </c>
      <c r="E585" s="0" t="n">
        <f aca="false">INDEX(customer_churn_dataset!$I$2:$I$1501,MATCH($A586,customer_churn_dataset!$A$2:$A$1501,0))</f>
        <v>78.6</v>
      </c>
      <c r="F585" s="0" t="n">
        <f aca="false">INDEX(customer_churn_dataset!$L$2:$L$1501,MATCH($A586,customer_churn_dataset!$A$2:$A$1501,0))</f>
        <v>1</v>
      </c>
      <c r="G585" s="0" t="str">
        <f aca="false">IF(INDEX(customer_churn_dataset!$M$2:$M$1501,MATCH($A586,customer_churn_dataset!$A$2:$A$1501,0))=1,"Yes","No")</f>
        <v>No</v>
      </c>
      <c r="H585" s="0" t="n">
        <f aca="false">INDEX(customer_churn_dataset!$N$2:$N$1501,MATCH($A586,customer_churn_dataset!$A$2:$A$1501,0))</f>
        <v>136.5</v>
      </c>
      <c r="I585" s="0" t="n">
        <f aca="false">INDEX(customer_churn_dataset!$O$2:$O$1501,MATCH($A586,customer_churn_dataset!$A$2:$A$1501,0))</f>
        <v>0</v>
      </c>
      <c r="J585" s="0" t="n">
        <f aca="false">INDEX(customer_churn_dataset!$T$2:$T$1501,MATCH($A586,customer_churn_dataset!$A$2:$A$1501,0))</f>
        <v>2</v>
      </c>
      <c r="K585" s="0" t="str">
        <f aca="false">INDEX(customer_churn_dataset!$V$2:$V$1501,MATCH($A586,customer_churn_dataset!$A$2:$A$1501,0))</f>
        <v>Low Risk</v>
      </c>
    </row>
    <row r="586" customFormat="false" ht="12.8" hidden="true" customHeight="false" outlineLevel="0" collapsed="false">
      <c r="A586" s="22" t="str">
        <f aca="false">customer_churn_dataset!A723</f>
        <v>CUST100873</v>
      </c>
      <c r="B586" s="22" t="str">
        <f aca="false">customer_churn_dataset!B723</f>
        <v>Basic</v>
      </c>
      <c r="C586" s="22" t="str">
        <f aca="false">customer_churn_dataset!C723</f>
        <v>Month-to-month</v>
      </c>
      <c r="D586" s="0" t="n">
        <f aca="false">INDEX(customer_churn_dataset!$E$2:$E$1501,MATCH($A587,customer_churn_dataset!$A$2:$A$1501,0))</f>
        <v>12</v>
      </c>
      <c r="E586" s="0" t="n">
        <f aca="false">INDEX(customer_churn_dataset!$I$2:$I$1501,MATCH($A587,customer_churn_dataset!$A$2:$A$1501,0))</f>
        <v>64.3</v>
      </c>
      <c r="F586" s="0" t="n">
        <f aca="false">INDEX(customer_churn_dataset!$L$2:$L$1501,MATCH($A587,customer_churn_dataset!$A$2:$A$1501,0))</f>
        <v>1</v>
      </c>
      <c r="G586" s="0" t="str">
        <f aca="false">IF(INDEX(customer_churn_dataset!$M$2:$M$1501,MATCH($A587,customer_churn_dataset!$A$2:$A$1501,0))=1,"Yes","No")</f>
        <v>No</v>
      </c>
      <c r="H586" s="0" t="n">
        <f aca="false">INDEX(customer_churn_dataset!$N$2:$N$1501,MATCH($A587,customer_churn_dataset!$A$2:$A$1501,0))</f>
        <v>245.88</v>
      </c>
      <c r="I586" s="0" t="n">
        <f aca="false">INDEX(customer_churn_dataset!$O$2:$O$1501,MATCH($A587,customer_churn_dataset!$A$2:$A$1501,0))</f>
        <v>0</v>
      </c>
      <c r="J586" s="0" t="n">
        <f aca="false">INDEX(customer_churn_dataset!$T$2:$T$1501,MATCH($A587,customer_churn_dataset!$A$2:$A$1501,0))</f>
        <v>2</v>
      </c>
      <c r="K586" s="0" t="str">
        <f aca="false">INDEX(customer_churn_dataset!$V$2:$V$1501,MATCH($A587,customer_churn_dataset!$A$2:$A$1501,0))</f>
        <v>Low Risk</v>
      </c>
    </row>
    <row r="587" customFormat="false" ht="12.8" hidden="false" customHeight="false" outlineLevel="0" collapsed="false">
      <c r="A587" s="23" t="str">
        <f aca="false">customer_churn_dataset!A734</f>
        <v>CUST101176</v>
      </c>
      <c r="B587" s="24" t="str">
        <f aca="false">customer_churn_dataset!B734</f>
        <v>Standard</v>
      </c>
      <c r="C587" s="24" t="str">
        <f aca="false">customer_churn_dataset!C734</f>
        <v>Month-to-month</v>
      </c>
      <c r="D587" s="25" t="n">
        <f aca="false">INDEX(customer_churn_dataset!$E$2:$E$1501,MATCH($A588,customer_churn_dataset!$A$2:$A$1501,0))</f>
        <v>2</v>
      </c>
      <c r="E587" s="25" t="n">
        <f aca="false">INDEX(customer_churn_dataset!$I$2:$I$1501,MATCH($A588,customer_churn_dataset!$A$2:$A$1501,0))</f>
        <v>49</v>
      </c>
      <c r="F587" s="25" t="n">
        <f aca="false">INDEX(customer_churn_dataset!$L$2:$L$1501,MATCH($A588,customer_churn_dataset!$A$2:$A$1501,0))</f>
        <v>2</v>
      </c>
      <c r="G587" s="25" t="str">
        <f aca="false">IF(INDEX(customer_churn_dataset!$M$2:$M$1501,MATCH($A588,customer_churn_dataset!$A$2:$A$1501,0))=1,"Yes","No")</f>
        <v>Yes</v>
      </c>
      <c r="H587" s="25" t="n">
        <f aca="false">INDEX(customer_churn_dataset!$N$2:$N$1501,MATCH($A588,customer_churn_dataset!$A$2:$A$1501,0))</f>
        <v>82.72</v>
      </c>
      <c r="I587" s="25" t="n">
        <f aca="false">INDEX(customer_churn_dataset!$O$2:$O$1501,MATCH($A588,customer_churn_dataset!$A$2:$A$1501,0))</f>
        <v>1</v>
      </c>
      <c r="J587" s="25" t="n">
        <f aca="false">INDEX(customer_churn_dataset!$T$2:$T$1501,MATCH($A588,customer_churn_dataset!$A$2:$A$1501,0))</f>
        <v>8</v>
      </c>
      <c r="K587" s="25" t="str">
        <f aca="false">INDEX(customer_churn_dataset!$V$2:$V$1501,MATCH($A588,customer_churn_dataset!$A$2:$A$1501,0))</f>
        <v>High Risk</v>
      </c>
    </row>
    <row r="588" customFormat="false" ht="12.8" hidden="true" customHeight="false" outlineLevel="0" collapsed="false">
      <c r="A588" s="22" t="str">
        <f aca="false">customer_churn_dataset!A739</f>
        <v>CUST100795</v>
      </c>
      <c r="B588" s="22" t="str">
        <f aca="false">customer_churn_dataset!B739</f>
        <v>Premium</v>
      </c>
      <c r="C588" s="22" t="str">
        <f aca="false">customer_churn_dataset!C739</f>
        <v>Month-to-month</v>
      </c>
      <c r="D588" s="0" t="n">
        <f aca="false">INDEX(customer_churn_dataset!$E$2:$E$1501,MATCH($A589,customer_churn_dataset!$A$2:$A$1501,0))</f>
        <v>18</v>
      </c>
      <c r="E588" s="0" t="n">
        <f aca="false">INDEX(customer_churn_dataset!$I$2:$I$1501,MATCH($A589,customer_churn_dataset!$A$2:$A$1501,0))</f>
        <v>27.9</v>
      </c>
      <c r="F588" s="0" t="n">
        <f aca="false">INDEX(customer_churn_dataset!$L$2:$L$1501,MATCH($A589,customer_churn_dataset!$A$2:$A$1501,0))</f>
        <v>1</v>
      </c>
      <c r="G588" s="0" t="str">
        <f aca="false">IF(INDEX(customer_churn_dataset!$M$2:$M$1501,MATCH($A589,customer_churn_dataset!$A$2:$A$1501,0))=1,"Yes","No")</f>
        <v>Yes</v>
      </c>
      <c r="H588" s="0" t="n">
        <f aca="false">INDEX(customer_churn_dataset!$N$2:$N$1501,MATCH($A589,customer_churn_dataset!$A$2:$A$1501,0))</f>
        <v>204.84</v>
      </c>
      <c r="I588" s="0" t="n">
        <f aca="false">INDEX(customer_churn_dataset!$O$2:$O$1501,MATCH($A589,customer_churn_dataset!$A$2:$A$1501,0))</f>
        <v>0</v>
      </c>
      <c r="J588" s="0" t="n">
        <f aca="false">INDEX(customer_churn_dataset!$T$2:$T$1501,MATCH($A589,customer_churn_dataset!$A$2:$A$1501,0))</f>
        <v>7</v>
      </c>
      <c r="K588" s="0" t="str">
        <f aca="false">INDEX(customer_churn_dataset!$V$2:$V$1501,MATCH($A589,customer_churn_dataset!$A$2:$A$1501,0))</f>
        <v>High Risk</v>
      </c>
    </row>
    <row r="589" customFormat="false" ht="12.8" hidden="true" customHeight="false" outlineLevel="0" collapsed="false">
      <c r="A589" s="22" t="str">
        <f aca="false">customer_churn_dataset!A748</f>
        <v>CUST100152</v>
      </c>
      <c r="B589" s="22" t="str">
        <f aca="false">customer_churn_dataset!B748</f>
        <v>Basic</v>
      </c>
      <c r="C589" s="22" t="str">
        <f aca="false">customer_churn_dataset!C748</f>
        <v>Month-to-month</v>
      </c>
      <c r="D589" s="0" t="n">
        <f aca="false">INDEX(customer_churn_dataset!$E$2:$E$1501,MATCH($A590,customer_churn_dataset!$A$2:$A$1501,0))</f>
        <v>0</v>
      </c>
      <c r="E589" s="0" t="n">
        <f aca="false">INDEX(customer_churn_dataset!$I$2:$I$1501,MATCH($A590,customer_churn_dataset!$A$2:$A$1501,0))</f>
        <v>64.5</v>
      </c>
      <c r="F589" s="0" t="n">
        <f aca="false">INDEX(customer_churn_dataset!$L$2:$L$1501,MATCH($A590,customer_churn_dataset!$A$2:$A$1501,0))</f>
        <v>1</v>
      </c>
      <c r="G589" s="0" t="str">
        <f aca="false">IF(INDEX(customer_churn_dataset!$M$2:$M$1501,MATCH($A590,customer_churn_dataset!$A$2:$A$1501,0))=1,"Yes","No")</f>
        <v>Yes</v>
      </c>
      <c r="H589" s="0" t="n">
        <f aca="false">INDEX(customer_churn_dataset!$N$2:$N$1501,MATCH($A590,customer_churn_dataset!$A$2:$A$1501,0))</f>
        <v>0</v>
      </c>
      <c r="I589" s="0" t="n">
        <f aca="false">INDEX(customer_churn_dataset!$O$2:$O$1501,MATCH($A590,customer_churn_dataset!$A$2:$A$1501,0))</f>
        <v>0</v>
      </c>
      <c r="J589" s="0" t="n">
        <f aca="false">INDEX(customer_churn_dataset!$T$2:$T$1501,MATCH($A590,customer_churn_dataset!$A$2:$A$1501,0))</f>
        <v>6</v>
      </c>
      <c r="K589" s="0" t="str">
        <f aca="false">INDEX(customer_churn_dataset!$V$2:$V$1501,MATCH($A590,customer_churn_dataset!$A$2:$A$1501,0))</f>
        <v>High Risk</v>
      </c>
    </row>
    <row r="590" customFormat="false" ht="12.8" hidden="true" customHeight="false" outlineLevel="0" collapsed="false">
      <c r="A590" s="22" t="str">
        <f aca="false">customer_churn_dataset!A753</f>
        <v>CUST101124</v>
      </c>
      <c r="B590" s="22" t="str">
        <f aca="false">customer_churn_dataset!B753</f>
        <v>Standard</v>
      </c>
      <c r="C590" s="22" t="str">
        <f aca="false">customer_churn_dataset!C753</f>
        <v>Month-to-month</v>
      </c>
      <c r="D590" s="0" t="n">
        <f aca="false">INDEX(customer_churn_dataset!$E$2:$E$1501,MATCH($A591,customer_churn_dataset!$A$2:$A$1501,0))</f>
        <v>9</v>
      </c>
      <c r="E590" s="0" t="n">
        <f aca="false">INDEX(customer_churn_dataset!$I$2:$I$1501,MATCH($A591,customer_churn_dataset!$A$2:$A$1501,0))</f>
        <v>75</v>
      </c>
      <c r="F590" s="0" t="n">
        <f aca="false">INDEX(customer_churn_dataset!$L$2:$L$1501,MATCH($A591,customer_churn_dataset!$A$2:$A$1501,0))</f>
        <v>1</v>
      </c>
      <c r="G590" s="0" t="str">
        <f aca="false">IF(INDEX(customer_churn_dataset!$M$2:$M$1501,MATCH($A591,customer_churn_dataset!$A$2:$A$1501,0))=1,"Yes","No")</f>
        <v>Yes</v>
      </c>
      <c r="H590" s="0" t="n">
        <f aca="false">INDEX(customer_churn_dataset!$N$2:$N$1501,MATCH($A591,customer_churn_dataset!$A$2:$A$1501,0))</f>
        <v>184.14</v>
      </c>
      <c r="I590" s="0" t="n">
        <f aca="false">INDEX(customer_churn_dataset!$O$2:$O$1501,MATCH($A591,customer_churn_dataset!$A$2:$A$1501,0))</f>
        <v>0</v>
      </c>
      <c r="J590" s="0" t="n">
        <f aca="false">INDEX(customer_churn_dataset!$T$2:$T$1501,MATCH($A591,customer_churn_dataset!$A$2:$A$1501,0))</f>
        <v>5</v>
      </c>
      <c r="K590" s="0" t="str">
        <f aca="false">INDEX(customer_churn_dataset!$V$2:$V$1501,MATCH($A591,customer_churn_dataset!$A$2:$A$1501,0))</f>
        <v>Medium Risk</v>
      </c>
    </row>
    <row r="591" customFormat="false" ht="12.8" hidden="true" customHeight="false" outlineLevel="0" collapsed="false">
      <c r="A591" s="22" t="str">
        <f aca="false">customer_churn_dataset!A754</f>
        <v>CUST100777</v>
      </c>
      <c r="B591" s="22" t="str">
        <f aca="false">customer_churn_dataset!B754</f>
        <v>Standard</v>
      </c>
      <c r="C591" s="22" t="str">
        <f aca="false">customer_churn_dataset!C754</f>
        <v>One year</v>
      </c>
      <c r="D591" s="0" t="n">
        <f aca="false">INDEX(customer_churn_dataset!$E$2:$E$1501,MATCH($A592,customer_churn_dataset!$A$2:$A$1501,0))</f>
        <v>23</v>
      </c>
      <c r="E591" s="0" t="n">
        <f aca="false">INDEX(customer_churn_dataset!$I$2:$I$1501,MATCH($A592,customer_churn_dataset!$A$2:$A$1501,0))</f>
        <v>37</v>
      </c>
      <c r="F591" s="0" t="n">
        <f aca="false">INDEX(customer_churn_dataset!$L$2:$L$1501,MATCH($A592,customer_churn_dataset!$A$2:$A$1501,0))</f>
        <v>3</v>
      </c>
      <c r="G591" s="0" t="str">
        <f aca="false">IF(INDEX(customer_churn_dataset!$M$2:$M$1501,MATCH($A592,customer_churn_dataset!$A$2:$A$1501,0))=1,"Yes","No")</f>
        <v>No</v>
      </c>
      <c r="H591" s="0" t="n">
        <f aca="false">INDEX(customer_churn_dataset!$N$2:$N$1501,MATCH($A592,customer_churn_dataset!$A$2:$A$1501,0))</f>
        <v>928.05</v>
      </c>
      <c r="I591" s="0" t="n">
        <f aca="false">INDEX(customer_churn_dataset!$O$2:$O$1501,MATCH($A592,customer_churn_dataset!$A$2:$A$1501,0))</f>
        <v>0</v>
      </c>
      <c r="J591" s="0" t="n">
        <f aca="false">INDEX(customer_churn_dataset!$T$2:$T$1501,MATCH($A592,customer_churn_dataset!$A$2:$A$1501,0))</f>
        <v>5</v>
      </c>
      <c r="K591" s="0" t="str">
        <f aca="false">INDEX(customer_churn_dataset!$V$2:$V$1501,MATCH($A592,customer_churn_dataset!$A$2:$A$1501,0))</f>
        <v>Medium Risk</v>
      </c>
    </row>
    <row r="592" customFormat="false" ht="12.8" hidden="true" customHeight="false" outlineLevel="0" collapsed="false">
      <c r="A592" s="22" t="str">
        <f aca="false">customer_churn_dataset!A755</f>
        <v>CUST100675</v>
      </c>
      <c r="B592" s="22" t="str">
        <f aca="false">customer_churn_dataset!B755</f>
        <v>Premium</v>
      </c>
      <c r="C592" s="22" t="str">
        <f aca="false">customer_churn_dataset!C755</f>
        <v>Month-to-month</v>
      </c>
      <c r="D592" s="0" t="n">
        <f aca="false">INDEX(customer_churn_dataset!$E$2:$E$1501,MATCH($A593,customer_churn_dataset!$A$2:$A$1501,0))</f>
        <v>7</v>
      </c>
      <c r="E592" s="0" t="n">
        <f aca="false">INDEX(customer_churn_dataset!$I$2:$I$1501,MATCH($A593,customer_churn_dataset!$A$2:$A$1501,0))</f>
        <v>12.9</v>
      </c>
      <c r="F592" s="0" t="n">
        <f aca="false">INDEX(customer_churn_dataset!$L$2:$L$1501,MATCH($A593,customer_churn_dataset!$A$2:$A$1501,0))</f>
        <v>2</v>
      </c>
      <c r="G592" s="0" t="str">
        <f aca="false">IF(INDEX(customer_churn_dataset!$M$2:$M$1501,MATCH($A593,customer_churn_dataset!$A$2:$A$1501,0))=1,"Yes","No")</f>
        <v>No</v>
      </c>
      <c r="H592" s="0" t="n">
        <f aca="false">INDEX(customer_churn_dataset!$N$2:$N$1501,MATCH($A593,customer_churn_dataset!$A$2:$A$1501,0))</f>
        <v>71.26</v>
      </c>
      <c r="I592" s="0" t="n">
        <f aca="false">INDEX(customer_churn_dataset!$O$2:$O$1501,MATCH($A593,customer_churn_dataset!$A$2:$A$1501,0))</f>
        <v>1</v>
      </c>
      <c r="J592" s="0" t="n">
        <f aca="false">INDEX(customer_churn_dataset!$T$2:$T$1501,MATCH($A593,customer_churn_dataset!$A$2:$A$1501,0))</f>
        <v>6</v>
      </c>
      <c r="K592" s="0" t="str">
        <f aca="false">INDEX(customer_churn_dataset!$V$2:$V$1501,MATCH($A593,customer_churn_dataset!$A$2:$A$1501,0))</f>
        <v>High Risk</v>
      </c>
    </row>
    <row r="593" customFormat="false" ht="12.8" hidden="false" customHeight="false" outlineLevel="0" collapsed="false">
      <c r="A593" s="23" t="str">
        <f aca="false">customer_churn_dataset!A761</f>
        <v>CUST100613</v>
      </c>
      <c r="B593" s="24" t="str">
        <f aca="false">customer_churn_dataset!B761</f>
        <v>Basic</v>
      </c>
      <c r="C593" s="24" t="str">
        <f aca="false">customer_churn_dataset!C761</f>
        <v>Month-to-month</v>
      </c>
      <c r="D593" s="25" t="n">
        <f aca="false">INDEX(customer_churn_dataset!$E$2:$E$1501,MATCH($A594,customer_churn_dataset!$A$2:$A$1501,0))</f>
        <v>25</v>
      </c>
      <c r="E593" s="25" t="n">
        <f aca="false">INDEX(customer_churn_dataset!$I$2:$I$1501,MATCH($A594,customer_churn_dataset!$A$2:$A$1501,0))</f>
        <v>13.4</v>
      </c>
      <c r="F593" s="25" t="n">
        <f aca="false">INDEX(customer_churn_dataset!$L$2:$L$1501,MATCH($A594,customer_churn_dataset!$A$2:$A$1501,0))</f>
        <v>6</v>
      </c>
      <c r="G593" s="25" t="str">
        <f aca="false">IF(INDEX(customer_churn_dataset!$M$2:$M$1501,MATCH($A594,customer_churn_dataset!$A$2:$A$1501,0))=1,"Yes","No")</f>
        <v>Yes</v>
      </c>
      <c r="H593" s="25" t="n">
        <f aca="false">INDEX(customer_churn_dataset!$N$2:$N$1501,MATCH($A594,customer_churn_dataset!$A$2:$A$1501,0))</f>
        <v>987.5</v>
      </c>
      <c r="I593" s="25" t="n">
        <f aca="false">INDEX(customer_churn_dataset!$O$2:$O$1501,MATCH($A594,customer_churn_dataset!$A$2:$A$1501,0))</f>
        <v>1</v>
      </c>
      <c r="J593" s="25" t="n">
        <f aca="false">INDEX(customer_churn_dataset!$T$2:$T$1501,MATCH($A594,customer_churn_dataset!$A$2:$A$1501,0))</f>
        <v>8</v>
      </c>
      <c r="K593" s="25" t="str">
        <f aca="false">INDEX(customer_churn_dataset!$V$2:$V$1501,MATCH($A594,customer_churn_dataset!$A$2:$A$1501,0))</f>
        <v>High Risk</v>
      </c>
    </row>
    <row r="594" customFormat="false" ht="12.8" hidden="true" customHeight="false" outlineLevel="0" collapsed="false">
      <c r="A594" s="22" t="str">
        <f aca="false">customer_churn_dataset!A764</f>
        <v>CUST100869</v>
      </c>
      <c r="B594" s="22" t="str">
        <f aca="false">customer_churn_dataset!B764</f>
        <v>Premium</v>
      </c>
      <c r="C594" s="22" t="str">
        <f aca="false">customer_churn_dataset!C764</f>
        <v>Month-to-month</v>
      </c>
      <c r="D594" s="0" t="n">
        <f aca="false">INDEX(customer_churn_dataset!$E$2:$E$1501,MATCH($A595,customer_churn_dataset!$A$2:$A$1501,0))</f>
        <v>72</v>
      </c>
      <c r="E594" s="0" t="n">
        <f aca="false">INDEX(customer_churn_dataset!$I$2:$I$1501,MATCH($A595,customer_churn_dataset!$A$2:$A$1501,0))</f>
        <v>70.7</v>
      </c>
      <c r="F594" s="0" t="n">
        <f aca="false">INDEX(customer_churn_dataset!$L$2:$L$1501,MATCH($A595,customer_churn_dataset!$A$2:$A$1501,0))</f>
        <v>2</v>
      </c>
      <c r="G594" s="0" t="str">
        <f aca="false">IF(INDEX(customer_churn_dataset!$M$2:$M$1501,MATCH($A595,customer_churn_dataset!$A$2:$A$1501,0))=1,"Yes","No")</f>
        <v>Yes</v>
      </c>
      <c r="H594" s="0" t="n">
        <f aca="false">INDEX(customer_churn_dataset!$N$2:$N$1501,MATCH($A595,customer_churn_dataset!$A$2:$A$1501,0))</f>
        <v>791.28</v>
      </c>
      <c r="I594" s="0" t="n">
        <f aca="false">INDEX(customer_churn_dataset!$O$2:$O$1501,MATCH($A595,customer_churn_dataset!$A$2:$A$1501,0))</f>
        <v>0</v>
      </c>
      <c r="J594" s="0" t="n">
        <f aca="false">INDEX(customer_churn_dataset!$T$2:$T$1501,MATCH($A595,customer_churn_dataset!$A$2:$A$1501,0))</f>
        <v>5</v>
      </c>
      <c r="K594" s="0" t="str">
        <f aca="false">INDEX(customer_churn_dataset!$V$2:$V$1501,MATCH($A595,customer_churn_dataset!$A$2:$A$1501,0))</f>
        <v>Medium Risk</v>
      </c>
    </row>
    <row r="595" customFormat="false" ht="12.8" hidden="true" customHeight="false" outlineLevel="0" collapsed="false">
      <c r="A595" s="22" t="str">
        <f aca="false">customer_churn_dataset!A765</f>
        <v>CUST100244</v>
      </c>
      <c r="B595" s="22" t="str">
        <f aca="false">customer_churn_dataset!B765</f>
        <v>Basic</v>
      </c>
      <c r="C595" s="22" t="str">
        <f aca="false">customer_churn_dataset!C765</f>
        <v>One year</v>
      </c>
      <c r="D595" s="0" t="n">
        <f aca="false">INDEX(customer_churn_dataset!$E$2:$E$1501,MATCH($A596,customer_churn_dataset!$A$2:$A$1501,0))</f>
        <v>5</v>
      </c>
      <c r="E595" s="0" t="n">
        <f aca="false">INDEX(customer_churn_dataset!$I$2:$I$1501,MATCH($A596,customer_churn_dataset!$A$2:$A$1501,0))</f>
        <v>68.3</v>
      </c>
      <c r="F595" s="0" t="n">
        <f aca="false">INDEX(customer_churn_dataset!$L$2:$L$1501,MATCH($A596,customer_churn_dataset!$A$2:$A$1501,0))</f>
        <v>0</v>
      </c>
      <c r="G595" s="0" t="str">
        <f aca="false">IF(INDEX(customer_churn_dataset!$M$2:$M$1501,MATCH($A596,customer_churn_dataset!$A$2:$A$1501,0))=1,"Yes","No")</f>
        <v>No</v>
      </c>
      <c r="H595" s="0" t="n">
        <f aca="false">INDEX(customer_churn_dataset!$N$2:$N$1501,MATCH($A596,customer_churn_dataset!$A$2:$A$1501,0))</f>
        <v>62.95</v>
      </c>
      <c r="I595" s="0" t="n">
        <f aca="false">INDEX(customer_churn_dataset!$O$2:$O$1501,MATCH($A596,customer_churn_dataset!$A$2:$A$1501,0))</f>
        <v>0</v>
      </c>
      <c r="J595" s="0" t="n">
        <f aca="false">INDEX(customer_churn_dataset!$T$2:$T$1501,MATCH($A596,customer_churn_dataset!$A$2:$A$1501,0))</f>
        <v>1</v>
      </c>
      <c r="K595" s="0" t="str">
        <f aca="false">INDEX(customer_churn_dataset!$V$2:$V$1501,MATCH($A596,customer_churn_dataset!$A$2:$A$1501,0))</f>
        <v>Low Risk</v>
      </c>
    </row>
    <row r="596" customFormat="false" ht="12.8" hidden="true" customHeight="false" outlineLevel="0" collapsed="false">
      <c r="A596" s="22" t="str">
        <f aca="false">customer_churn_dataset!A770</f>
        <v>CUST100293</v>
      </c>
      <c r="B596" s="22" t="str">
        <f aca="false">customer_churn_dataset!B770</f>
        <v>Basic</v>
      </c>
      <c r="C596" s="22" t="str">
        <f aca="false">customer_churn_dataset!C770</f>
        <v>Two year</v>
      </c>
      <c r="D596" s="0" t="n">
        <f aca="false">INDEX(customer_churn_dataset!$E$2:$E$1501,MATCH($A597,customer_churn_dataset!$A$2:$A$1501,0))</f>
        <v>19</v>
      </c>
      <c r="E596" s="0" t="n">
        <f aca="false">INDEX(customer_churn_dataset!$I$2:$I$1501,MATCH($A597,customer_churn_dataset!$A$2:$A$1501,0))</f>
        <v>55.8</v>
      </c>
      <c r="F596" s="0" t="n">
        <f aca="false">INDEX(customer_churn_dataset!$L$2:$L$1501,MATCH($A597,customer_churn_dataset!$A$2:$A$1501,0))</f>
        <v>1</v>
      </c>
      <c r="G596" s="0" t="str">
        <f aca="false">IF(INDEX(customer_churn_dataset!$M$2:$M$1501,MATCH($A597,customer_churn_dataset!$A$2:$A$1501,0))=1,"Yes","No")</f>
        <v>Yes</v>
      </c>
      <c r="H596" s="0" t="n">
        <f aca="false">INDEX(customer_churn_dataset!$N$2:$N$1501,MATCH($A597,customer_churn_dataset!$A$2:$A$1501,0))</f>
        <v>393.49</v>
      </c>
      <c r="I596" s="0" t="n">
        <f aca="false">INDEX(customer_churn_dataset!$O$2:$O$1501,MATCH($A597,customer_churn_dataset!$A$2:$A$1501,0))</f>
        <v>0</v>
      </c>
      <c r="J596" s="0" t="n">
        <f aca="false">INDEX(customer_churn_dataset!$T$2:$T$1501,MATCH($A597,customer_churn_dataset!$A$2:$A$1501,0))</f>
        <v>5</v>
      </c>
      <c r="K596" s="0" t="str">
        <f aca="false">INDEX(customer_churn_dataset!$V$2:$V$1501,MATCH($A597,customer_churn_dataset!$A$2:$A$1501,0))</f>
        <v>Medium Risk</v>
      </c>
    </row>
    <row r="597" customFormat="false" ht="12.8" hidden="true" customHeight="false" outlineLevel="0" collapsed="false">
      <c r="A597" s="22" t="str">
        <f aca="false">customer_churn_dataset!A771</f>
        <v>CUST100969</v>
      </c>
      <c r="B597" s="22" t="str">
        <f aca="false">customer_churn_dataset!B771</f>
        <v>Standard</v>
      </c>
      <c r="C597" s="22" t="str">
        <f aca="false">customer_churn_dataset!C771</f>
        <v>Month-to-month</v>
      </c>
      <c r="D597" s="0" t="n">
        <f aca="false">INDEX(customer_churn_dataset!$E$2:$E$1501,MATCH($A598,customer_churn_dataset!$A$2:$A$1501,0))</f>
        <v>12</v>
      </c>
      <c r="E597" s="0" t="n">
        <f aca="false">INDEX(customer_churn_dataset!$I$2:$I$1501,MATCH($A598,customer_churn_dataset!$A$2:$A$1501,0))</f>
        <v>77.6</v>
      </c>
      <c r="F597" s="0" t="n">
        <f aca="false">INDEX(customer_churn_dataset!$L$2:$L$1501,MATCH($A598,customer_churn_dataset!$A$2:$A$1501,0))</f>
        <v>3</v>
      </c>
      <c r="G597" s="0" t="str">
        <f aca="false">IF(INDEX(customer_churn_dataset!$M$2:$M$1501,MATCH($A598,customer_churn_dataset!$A$2:$A$1501,0))=1,"Yes","No")</f>
        <v>Yes</v>
      </c>
      <c r="H597" s="0" t="n">
        <f aca="false">INDEX(customer_churn_dataset!$N$2:$N$1501,MATCH($A598,customer_churn_dataset!$A$2:$A$1501,0))</f>
        <v>228.84</v>
      </c>
      <c r="I597" s="0" t="n">
        <f aca="false">INDEX(customer_churn_dataset!$O$2:$O$1501,MATCH($A598,customer_churn_dataset!$A$2:$A$1501,0))</f>
        <v>0</v>
      </c>
      <c r="J597" s="0" t="n">
        <f aca="false">INDEX(customer_churn_dataset!$T$2:$T$1501,MATCH($A598,customer_churn_dataset!$A$2:$A$1501,0))</f>
        <v>6</v>
      </c>
      <c r="K597" s="0" t="str">
        <f aca="false">INDEX(customer_churn_dataset!$V$2:$V$1501,MATCH($A598,customer_churn_dataset!$A$2:$A$1501,0))</f>
        <v>High Risk</v>
      </c>
    </row>
    <row r="598" customFormat="false" ht="12.8" hidden="true" customHeight="false" outlineLevel="0" collapsed="false">
      <c r="A598" s="22" t="str">
        <f aca="false">customer_churn_dataset!A785</f>
        <v>CUST100103</v>
      </c>
      <c r="B598" s="22" t="str">
        <f aca="false">customer_churn_dataset!B785</f>
        <v>Standard</v>
      </c>
      <c r="C598" s="22" t="str">
        <f aca="false">customer_churn_dataset!C785</f>
        <v>Month-to-month</v>
      </c>
      <c r="D598" s="0" t="n">
        <f aca="false">INDEX(customer_churn_dataset!$E$2:$E$1501,MATCH($A599,customer_churn_dataset!$A$2:$A$1501,0))</f>
        <v>2</v>
      </c>
      <c r="E598" s="0" t="n">
        <f aca="false">INDEX(customer_churn_dataset!$I$2:$I$1501,MATCH($A599,customer_churn_dataset!$A$2:$A$1501,0))</f>
        <v>44.8</v>
      </c>
      <c r="F598" s="0" t="n">
        <f aca="false">INDEX(customer_churn_dataset!$L$2:$L$1501,MATCH($A599,customer_churn_dataset!$A$2:$A$1501,0))</f>
        <v>0</v>
      </c>
      <c r="G598" s="0" t="str">
        <f aca="false">IF(INDEX(customer_churn_dataset!$M$2:$M$1501,MATCH($A599,customer_churn_dataset!$A$2:$A$1501,0))=1,"Yes","No")</f>
        <v>No</v>
      </c>
      <c r="H598" s="0" t="n">
        <f aca="false">INDEX(customer_churn_dataset!$N$2:$N$1501,MATCH($A599,customer_churn_dataset!$A$2:$A$1501,0))</f>
        <v>20.16</v>
      </c>
      <c r="I598" s="0" t="n">
        <f aca="false">INDEX(customer_churn_dataset!$O$2:$O$1501,MATCH($A599,customer_churn_dataset!$A$2:$A$1501,0))</f>
        <v>0</v>
      </c>
      <c r="J598" s="0" t="n">
        <f aca="false">INDEX(customer_churn_dataset!$T$2:$T$1501,MATCH($A599,customer_churn_dataset!$A$2:$A$1501,0))</f>
        <v>4</v>
      </c>
      <c r="K598" s="0" t="str">
        <f aca="false">INDEX(customer_churn_dataset!$V$2:$V$1501,MATCH($A599,customer_churn_dataset!$A$2:$A$1501,0))</f>
        <v>Medium Risk</v>
      </c>
    </row>
    <row r="599" customFormat="false" ht="12.8" hidden="true" customHeight="false" outlineLevel="0" collapsed="false">
      <c r="A599" s="22" t="str">
        <f aca="false">customer_churn_dataset!A786</f>
        <v>CUST101401</v>
      </c>
      <c r="B599" s="22" t="str">
        <f aca="false">customer_churn_dataset!B786</f>
        <v>Basic</v>
      </c>
      <c r="C599" s="22" t="str">
        <f aca="false">customer_churn_dataset!C786</f>
        <v>Month-to-month</v>
      </c>
      <c r="D599" s="0" t="n">
        <f aca="false">INDEX(customer_churn_dataset!$E$2:$E$1501,MATCH($A600,customer_churn_dataset!$A$2:$A$1501,0))</f>
        <v>32</v>
      </c>
      <c r="E599" s="0" t="n">
        <f aca="false">INDEX(customer_churn_dataset!$I$2:$I$1501,MATCH($A600,customer_churn_dataset!$A$2:$A$1501,0))</f>
        <v>69.8</v>
      </c>
      <c r="F599" s="0" t="n">
        <f aca="false">INDEX(customer_churn_dataset!$L$2:$L$1501,MATCH($A600,customer_churn_dataset!$A$2:$A$1501,0))</f>
        <v>0</v>
      </c>
      <c r="G599" s="0" t="str">
        <f aca="false">IF(INDEX(customer_churn_dataset!$M$2:$M$1501,MATCH($A600,customer_churn_dataset!$A$2:$A$1501,0))=1,"Yes","No")</f>
        <v>No</v>
      </c>
      <c r="H599" s="0" t="n">
        <f aca="false">INDEX(customer_churn_dataset!$N$2:$N$1501,MATCH($A600,customer_churn_dataset!$A$2:$A$1501,0))</f>
        <v>1236.48</v>
      </c>
      <c r="I599" s="0" t="n">
        <f aca="false">INDEX(customer_churn_dataset!$O$2:$O$1501,MATCH($A600,customer_churn_dataset!$A$2:$A$1501,0))</f>
        <v>0</v>
      </c>
      <c r="J599" s="0" t="n">
        <f aca="false">INDEX(customer_churn_dataset!$T$2:$T$1501,MATCH($A600,customer_churn_dataset!$A$2:$A$1501,0))</f>
        <v>2</v>
      </c>
      <c r="K599" s="0" t="str">
        <f aca="false">INDEX(customer_churn_dataset!$V$2:$V$1501,MATCH($A600,customer_churn_dataset!$A$2:$A$1501,0))</f>
        <v>Low Risk</v>
      </c>
    </row>
    <row r="600" customFormat="false" ht="12.8" hidden="false" customHeight="false" outlineLevel="0" collapsed="false">
      <c r="A600" s="23" t="str">
        <f aca="false">customer_churn_dataset!A793</f>
        <v>CUST101348</v>
      </c>
      <c r="B600" s="24" t="str">
        <f aca="false">customer_churn_dataset!B793</f>
        <v>Premium</v>
      </c>
      <c r="C600" s="24" t="str">
        <f aca="false">customer_churn_dataset!C793</f>
        <v>Month-to-month</v>
      </c>
      <c r="D600" s="25" t="n">
        <f aca="false">INDEX(customer_churn_dataset!$E$2:$E$1501,MATCH($A601,customer_churn_dataset!$A$2:$A$1501,0))</f>
        <v>4</v>
      </c>
      <c r="E600" s="25" t="n">
        <f aca="false">INDEX(customer_churn_dataset!$I$2:$I$1501,MATCH($A601,customer_churn_dataset!$A$2:$A$1501,0))</f>
        <v>38.6</v>
      </c>
      <c r="F600" s="25" t="n">
        <f aca="false">INDEX(customer_churn_dataset!$L$2:$L$1501,MATCH($A601,customer_churn_dataset!$A$2:$A$1501,0))</f>
        <v>2</v>
      </c>
      <c r="G600" s="25" t="str">
        <f aca="false">IF(INDEX(customer_churn_dataset!$M$2:$M$1501,MATCH($A601,customer_churn_dataset!$A$2:$A$1501,0))=1,"Yes","No")</f>
        <v>Yes</v>
      </c>
      <c r="H600" s="25" t="n">
        <f aca="false">INDEX(customer_churn_dataset!$N$2:$N$1501,MATCH($A601,customer_churn_dataset!$A$2:$A$1501,0))</f>
        <v>35.12</v>
      </c>
      <c r="I600" s="25" t="n">
        <f aca="false">INDEX(customer_churn_dataset!$O$2:$O$1501,MATCH($A601,customer_churn_dataset!$A$2:$A$1501,0))</f>
        <v>0</v>
      </c>
      <c r="J600" s="25" t="n">
        <f aca="false">INDEX(customer_churn_dataset!$T$2:$T$1501,MATCH($A601,customer_churn_dataset!$A$2:$A$1501,0))</f>
        <v>9</v>
      </c>
      <c r="K600" s="25" t="str">
        <f aca="false">INDEX(customer_churn_dataset!$V$2:$V$1501,MATCH($A601,customer_churn_dataset!$A$2:$A$1501,0))</f>
        <v>High Risk</v>
      </c>
    </row>
    <row r="601" customFormat="false" ht="12.8" hidden="true" customHeight="false" outlineLevel="0" collapsed="false">
      <c r="A601" s="22" t="str">
        <f aca="false">customer_churn_dataset!A805</f>
        <v>CUST100168</v>
      </c>
      <c r="B601" s="22" t="str">
        <f aca="false">customer_churn_dataset!B805</f>
        <v>Basic</v>
      </c>
      <c r="C601" s="22" t="str">
        <f aca="false">customer_churn_dataset!C805</f>
        <v>Month-to-month</v>
      </c>
      <c r="D601" s="0" t="n">
        <f aca="false">INDEX(customer_churn_dataset!$E$2:$E$1501,MATCH($A602,customer_churn_dataset!$A$2:$A$1501,0))</f>
        <v>9</v>
      </c>
      <c r="E601" s="0" t="n">
        <f aca="false">INDEX(customer_churn_dataset!$I$2:$I$1501,MATCH($A602,customer_churn_dataset!$A$2:$A$1501,0))</f>
        <v>35.4</v>
      </c>
      <c r="F601" s="0" t="n">
        <f aca="false">INDEX(customer_churn_dataset!$L$2:$L$1501,MATCH($A602,customer_churn_dataset!$A$2:$A$1501,0))</f>
        <v>3</v>
      </c>
      <c r="G601" s="0" t="str">
        <f aca="false">IF(INDEX(customer_churn_dataset!$M$2:$M$1501,MATCH($A602,customer_churn_dataset!$A$2:$A$1501,0))=1,"Yes","No")</f>
        <v>No</v>
      </c>
      <c r="H601" s="0" t="n">
        <f aca="false">INDEX(customer_churn_dataset!$N$2:$N$1501,MATCH($A602,customer_churn_dataset!$A$2:$A$1501,0))</f>
        <v>101.07</v>
      </c>
      <c r="I601" s="0" t="n">
        <f aca="false">INDEX(customer_churn_dataset!$O$2:$O$1501,MATCH($A602,customer_churn_dataset!$A$2:$A$1501,0))</f>
        <v>0</v>
      </c>
      <c r="J601" s="0" t="n">
        <f aca="false">INDEX(customer_churn_dataset!$T$2:$T$1501,MATCH($A602,customer_churn_dataset!$A$2:$A$1501,0))</f>
        <v>5</v>
      </c>
      <c r="K601" s="0" t="str">
        <f aca="false">INDEX(customer_churn_dataset!$V$2:$V$1501,MATCH($A602,customer_churn_dataset!$A$2:$A$1501,0))</f>
        <v>Medium Risk</v>
      </c>
    </row>
    <row r="602" customFormat="false" ht="12.8" hidden="true" customHeight="false" outlineLevel="0" collapsed="false">
      <c r="A602" s="22" t="str">
        <f aca="false">customer_churn_dataset!A806</f>
        <v>CUST101347</v>
      </c>
      <c r="B602" s="22" t="str">
        <f aca="false">customer_churn_dataset!B806</f>
        <v>Basic</v>
      </c>
      <c r="C602" s="22" t="str">
        <f aca="false">customer_churn_dataset!C806</f>
        <v>One year</v>
      </c>
      <c r="D602" s="0" t="n">
        <f aca="false">INDEX(customer_churn_dataset!$E$2:$E$1501,MATCH($A603,customer_churn_dataset!$A$2:$A$1501,0))</f>
        <v>18</v>
      </c>
      <c r="E602" s="0" t="n">
        <f aca="false">INDEX(customer_churn_dataset!$I$2:$I$1501,MATCH($A603,customer_churn_dataset!$A$2:$A$1501,0))</f>
        <v>81.1</v>
      </c>
      <c r="F602" s="0" t="n">
        <f aca="false">INDEX(customer_churn_dataset!$L$2:$L$1501,MATCH($A603,customer_churn_dataset!$A$2:$A$1501,0))</f>
        <v>1</v>
      </c>
      <c r="G602" s="0" t="str">
        <f aca="false">IF(INDEX(customer_churn_dataset!$M$2:$M$1501,MATCH($A603,customer_churn_dataset!$A$2:$A$1501,0))=1,"Yes","No")</f>
        <v>Yes</v>
      </c>
      <c r="H602" s="0" t="n">
        <f aca="false">INDEX(customer_churn_dataset!$N$2:$N$1501,MATCH($A603,customer_churn_dataset!$A$2:$A$1501,0))</f>
        <v>218.7</v>
      </c>
      <c r="I602" s="0" t="n">
        <f aca="false">INDEX(customer_churn_dataset!$O$2:$O$1501,MATCH($A603,customer_churn_dataset!$A$2:$A$1501,0))</f>
        <v>0</v>
      </c>
      <c r="J602" s="0" t="n">
        <f aca="false">INDEX(customer_churn_dataset!$T$2:$T$1501,MATCH($A603,customer_churn_dataset!$A$2:$A$1501,0))</f>
        <v>5</v>
      </c>
      <c r="K602" s="0" t="str">
        <f aca="false">INDEX(customer_churn_dataset!$V$2:$V$1501,MATCH($A603,customer_churn_dataset!$A$2:$A$1501,0))</f>
        <v>Medium Risk</v>
      </c>
    </row>
    <row r="603" customFormat="false" ht="12.8" hidden="true" customHeight="false" outlineLevel="0" collapsed="false">
      <c r="A603" s="22" t="str">
        <f aca="false">customer_churn_dataset!A807</f>
        <v>CUST100222</v>
      </c>
      <c r="B603" s="22" t="str">
        <f aca="false">customer_churn_dataset!B807</f>
        <v>Basic</v>
      </c>
      <c r="C603" s="22" t="str">
        <f aca="false">customer_churn_dataset!C807</f>
        <v>Month-to-month</v>
      </c>
      <c r="D603" s="0" t="n">
        <f aca="false">INDEX(customer_churn_dataset!$E$2:$E$1501,MATCH($A604,customer_churn_dataset!$A$2:$A$1501,0))</f>
        <v>72</v>
      </c>
      <c r="E603" s="0" t="n">
        <f aca="false">INDEX(customer_churn_dataset!$I$2:$I$1501,MATCH($A604,customer_churn_dataset!$A$2:$A$1501,0))</f>
        <v>61.9</v>
      </c>
      <c r="F603" s="0" t="n">
        <f aca="false">INDEX(customer_churn_dataset!$L$2:$L$1501,MATCH($A604,customer_churn_dataset!$A$2:$A$1501,0))</f>
        <v>1</v>
      </c>
      <c r="G603" s="0" t="str">
        <f aca="false">IF(INDEX(customer_churn_dataset!$M$2:$M$1501,MATCH($A604,customer_churn_dataset!$A$2:$A$1501,0))=1,"Yes","No")</f>
        <v>Yes</v>
      </c>
      <c r="H603" s="0" t="n">
        <f aca="false">INDEX(customer_churn_dataset!$N$2:$N$1501,MATCH($A604,customer_churn_dataset!$A$2:$A$1501,0))</f>
        <v>743.04</v>
      </c>
      <c r="I603" s="0" t="n">
        <f aca="false">INDEX(customer_churn_dataset!$O$2:$O$1501,MATCH($A604,customer_churn_dataset!$A$2:$A$1501,0))</f>
        <v>0</v>
      </c>
      <c r="J603" s="0" t="n">
        <f aca="false">INDEX(customer_churn_dataset!$T$2:$T$1501,MATCH($A604,customer_churn_dataset!$A$2:$A$1501,0))</f>
        <v>4</v>
      </c>
      <c r="K603" s="0" t="str">
        <f aca="false">INDEX(customer_churn_dataset!$V$2:$V$1501,MATCH($A604,customer_churn_dataset!$A$2:$A$1501,0))</f>
        <v>Medium Risk</v>
      </c>
    </row>
    <row r="604" customFormat="false" ht="12.8" hidden="true" customHeight="false" outlineLevel="0" collapsed="false">
      <c r="A604" s="22" t="str">
        <f aca="false">customer_churn_dataset!A808</f>
        <v>CUST100556</v>
      </c>
      <c r="B604" s="22" t="str">
        <f aca="false">customer_churn_dataset!B808</f>
        <v>Basic</v>
      </c>
      <c r="C604" s="22" t="str">
        <f aca="false">customer_churn_dataset!C808</f>
        <v>One year</v>
      </c>
      <c r="D604" s="0" t="n">
        <f aca="false">INDEX(customer_churn_dataset!$E$2:$E$1501,MATCH($A605,customer_churn_dataset!$A$2:$A$1501,0))</f>
        <v>17</v>
      </c>
      <c r="E604" s="0" t="n">
        <f aca="false">INDEX(customer_churn_dataset!$I$2:$I$1501,MATCH($A605,customer_churn_dataset!$A$2:$A$1501,0))</f>
        <v>45.3</v>
      </c>
      <c r="F604" s="0" t="n">
        <f aca="false">INDEX(customer_churn_dataset!$L$2:$L$1501,MATCH($A605,customer_churn_dataset!$A$2:$A$1501,0))</f>
        <v>0</v>
      </c>
      <c r="G604" s="0" t="str">
        <f aca="false">IF(INDEX(customer_churn_dataset!$M$2:$M$1501,MATCH($A605,customer_churn_dataset!$A$2:$A$1501,0))=1,"Yes","No")</f>
        <v>No</v>
      </c>
      <c r="H604" s="0" t="n">
        <f aca="false">INDEX(customer_churn_dataset!$N$2:$N$1501,MATCH($A605,customer_churn_dataset!$A$2:$A$1501,0))</f>
        <v>183.94</v>
      </c>
      <c r="I604" s="0" t="n">
        <f aca="false">INDEX(customer_churn_dataset!$O$2:$O$1501,MATCH($A605,customer_churn_dataset!$A$2:$A$1501,0))</f>
        <v>0</v>
      </c>
      <c r="J604" s="0" t="n">
        <f aca="false">INDEX(customer_churn_dataset!$T$2:$T$1501,MATCH($A605,customer_churn_dataset!$A$2:$A$1501,0))</f>
        <v>3</v>
      </c>
      <c r="K604" s="0" t="str">
        <f aca="false">INDEX(customer_churn_dataset!$V$2:$V$1501,MATCH($A605,customer_churn_dataset!$A$2:$A$1501,0))</f>
        <v>Medium Risk</v>
      </c>
    </row>
    <row r="605" customFormat="false" ht="12.8" hidden="true" customHeight="false" outlineLevel="0" collapsed="false">
      <c r="A605" s="22" t="str">
        <f aca="false">customer_churn_dataset!A809</f>
        <v>CUST101247</v>
      </c>
      <c r="B605" s="22" t="str">
        <f aca="false">customer_churn_dataset!B809</f>
        <v>Basic</v>
      </c>
      <c r="C605" s="22" t="str">
        <f aca="false">customer_churn_dataset!C809</f>
        <v>Month-to-month</v>
      </c>
      <c r="D605" s="0" t="n">
        <f aca="false">INDEX(customer_churn_dataset!$E$2:$E$1501,MATCH($A606,customer_churn_dataset!$A$2:$A$1501,0))</f>
        <v>11</v>
      </c>
      <c r="E605" s="0" t="n">
        <f aca="false">INDEX(customer_churn_dataset!$I$2:$I$1501,MATCH($A606,customer_churn_dataset!$A$2:$A$1501,0))</f>
        <v>61.3</v>
      </c>
      <c r="F605" s="0" t="n">
        <f aca="false">INDEX(customer_churn_dataset!$L$2:$L$1501,MATCH($A606,customer_churn_dataset!$A$2:$A$1501,0))</f>
        <v>3</v>
      </c>
      <c r="G605" s="0" t="str">
        <f aca="false">IF(INDEX(customer_churn_dataset!$M$2:$M$1501,MATCH($A606,customer_churn_dataset!$A$2:$A$1501,0))=1,"Yes","No")</f>
        <v>Yes</v>
      </c>
      <c r="H605" s="0" t="n">
        <f aca="false">INDEX(customer_churn_dataset!$N$2:$N$1501,MATCH($A606,customer_churn_dataset!$A$2:$A$1501,0))</f>
        <v>100.43</v>
      </c>
      <c r="I605" s="0" t="n">
        <f aca="false">INDEX(customer_churn_dataset!$O$2:$O$1501,MATCH($A606,customer_churn_dataset!$A$2:$A$1501,0))</f>
        <v>0</v>
      </c>
      <c r="J605" s="0" t="n">
        <f aca="false">INDEX(customer_churn_dataset!$T$2:$T$1501,MATCH($A606,customer_churn_dataset!$A$2:$A$1501,0))</f>
        <v>5</v>
      </c>
      <c r="K605" s="0" t="str">
        <f aca="false">INDEX(customer_churn_dataset!$V$2:$V$1501,MATCH($A606,customer_churn_dataset!$A$2:$A$1501,0))</f>
        <v>Medium Risk</v>
      </c>
    </row>
    <row r="606" customFormat="false" ht="12.8" hidden="true" customHeight="false" outlineLevel="0" collapsed="false">
      <c r="A606" s="22" t="str">
        <f aca="false">customer_churn_dataset!A810</f>
        <v>CUST101187</v>
      </c>
      <c r="B606" s="22" t="str">
        <f aca="false">customer_churn_dataset!B810</f>
        <v>Basic</v>
      </c>
      <c r="C606" s="22" t="str">
        <f aca="false">customer_churn_dataset!C810</f>
        <v>Two year</v>
      </c>
      <c r="D606" s="0" t="n">
        <f aca="false">INDEX(customer_churn_dataset!$E$2:$E$1501,MATCH($A607,customer_churn_dataset!$A$2:$A$1501,0))</f>
        <v>2</v>
      </c>
      <c r="E606" s="0" t="n">
        <f aca="false">INDEX(customer_churn_dataset!$I$2:$I$1501,MATCH($A607,customer_churn_dataset!$A$2:$A$1501,0))</f>
        <v>78.7</v>
      </c>
      <c r="F606" s="0" t="n">
        <f aca="false">INDEX(customer_churn_dataset!$L$2:$L$1501,MATCH($A607,customer_churn_dataset!$A$2:$A$1501,0))</f>
        <v>1</v>
      </c>
      <c r="G606" s="0" t="str">
        <f aca="false">IF(INDEX(customer_churn_dataset!$M$2:$M$1501,MATCH($A607,customer_churn_dataset!$A$2:$A$1501,0))=1,"Yes","No")</f>
        <v>No</v>
      </c>
      <c r="H606" s="0" t="n">
        <f aca="false">INDEX(customer_churn_dataset!$N$2:$N$1501,MATCH($A607,customer_churn_dataset!$A$2:$A$1501,0))</f>
        <v>40.18</v>
      </c>
      <c r="I606" s="0" t="n">
        <f aca="false">INDEX(customer_churn_dataset!$O$2:$O$1501,MATCH($A607,customer_churn_dataset!$A$2:$A$1501,0))</f>
        <v>0</v>
      </c>
      <c r="J606" s="0" t="n">
        <f aca="false">INDEX(customer_churn_dataset!$T$2:$T$1501,MATCH($A607,customer_churn_dataset!$A$2:$A$1501,0))</f>
        <v>2</v>
      </c>
      <c r="K606" s="0" t="str">
        <f aca="false">INDEX(customer_churn_dataset!$V$2:$V$1501,MATCH($A607,customer_churn_dataset!$A$2:$A$1501,0))</f>
        <v>Low Risk</v>
      </c>
    </row>
    <row r="607" customFormat="false" ht="12.8" hidden="false" customHeight="false" outlineLevel="0" collapsed="false">
      <c r="A607" s="23" t="str">
        <f aca="false">customer_churn_dataset!A813</f>
        <v>CUST100976</v>
      </c>
      <c r="B607" s="24" t="str">
        <f aca="false">customer_churn_dataset!B813</f>
        <v>Standard</v>
      </c>
      <c r="C607" s="24" t="str">
        <f aca="false">customer_churn_dataset!C813</f>
        <v>One year</v>
      </c>
      <c r="D607" s="25" t="n">
        <f aca="false">INDEX(customer_churn_dataset!$E$2:$E$1501,MATCH($A608,customer_churn_dataset!$A$2:$A$1501,0))</f>
        <v>7</v>
      </c>
      <c r="E607" s="25" t="n">
        <f aca="false">INDEX(customer_churn_dataset!$I$2:$I$1501,MATCH($A608,customer_churn_dataset!$A$2:$A$1501,0))</f>
        <v>42.6</v>
      </c>
      <c r="F607" s="25" t="n">
        <f aca="false">INDEX(customer_churn_dataset!$L$2:$L$1501,MATCH($A608,customer_churn_dataset!$A$2:$A$1501,0))</f>
        <v>3</v>
      </c>
      <c r="G607" s="25" t="str">
        <f aca="false">IF(INDEX(customer_churn_dataset!$M$2:$M$1501,MATCH($A608,customer_churn_dataset!$A$2:$A$1501,0))=1,"Yes","No")</f>
        <v>Yes</v>
      </c>
      <c r="H607" s="25" t="n">
        <f aca="false">INDEX(customer_churn_dataset!$N$2:$N$1501,MATCH($A608,customer_churn_dataset!$A$2:$A$1501,0))</f>
        <v>85.12</v>
      </c>
      <c r="I607" s="25" t="n">
        <f aca="false">INDEX(customer_churn_dataset!$O$2:$O$1501,MATCH($A608,customer_churn_dataset!$A$2:$A$1501,0))</f>
        <v>1</v>
      </c>
      <c r="J607" s="25" t="n">
        <f aca="false">INDEX(customer_churn_dataset!$T$2:$T$1501,MATCH($A608,customer_churn_dataset!$A$2:$A$1501,0))</f>
        <v>8</v>
      </c>
      <c r="K607" s="25" t="str">
        <f aca="false">INDEX(customer_churn_dataset!$V$2:$V$1501,MATCH($A608,customer_churn_dataset!$A$2:$A$1501,0))</f>
        <v>High Risk</v>
      </c>
    </row>
    <row r="608" customFormat="false" ht="12.8" hidden="true" customHeight="false" outlineLevel="0" collapsed="false">
      <c r="A608" s="22" t="str">
        <f aca="false">customer_churn_dataset!A818</f>
        <v>CUST100253</v>
      </c>
      <c r="B608" s="22" t="str">
        <f aca="false">customer_churn_dataset!B818</f>
        <v>Basic</v>
      </c>
      <c r="C608" s="22" t="str">
        <f aca="false">customer_churn_dataset!C818</f>
        <v>Month-to-month</v>
      </c>
      <c r="D608" s="0" t="n">
        <f aca="false">INDEX(customer_churn_dataset!$E$2:$E$1501,MATCH($A609,customer_churn_dataset!$A$2:$A$1501,0))</f>
        <v>47</v>
      </c>
      <c r="E608" s="0" t="n">
        <f aca="false">INDEX(customer_churn_dataset!$I$2:$I$1501,MATCH($A609,customer_churn_dataset!$A$2:$A$1501,0))</f>
        <v>81.9</v>
      </c>
      <c r="F608" s="0" t="n">
        <f aca="false">INDEX(customer_churn_dataset!$L$2:$L$1501,MATCH($A609,customer_churn_dataset!$A$2:$A$1501,0))</f>
        <v>0</v>
      </c>
      <c r="G608" s="0" t="str">
        <f aca="false">IF(INDEX(customer_churn_dataset!$M$2:$M$1501,MATCH($A609,customer_churn_dataset!$A$2:$A$1501,0))=1,"Yes","No")</f>
        <v>No</v>
      </c>
      <c r="H608" s="0" t="n">
        <f aca="false">INDEX(customer_churn_dataset!$N$2:$N$1501,MATCH($A609,customer_churn_dataset!$A$2:$A$1501,0))</f>
        <v>966.79</v>
      </c>
      <c r="I608" s="0" t="n">
        <f aca="false">INDEX(customer_churn_dataset!$O$2:$O$1501,MATCH($A609,customer_churn_dataset!$A$2:$A$1501,0))</f>
        <v>0</v>
      </c>
      <c r="J608" s="0" t="n">
        <f aca="false">INDEX(customer_churn_dataset!$T$2:$T$1501,MATCH($A609,customer_churn_dataset!$A$2:$A$1501,0))</f>
        <v>2</v>
      </c>
      <c r="K608" s="0" t="str">
        <f aca="false">INDEX(customer_churn_dataset!$V$2:$V$1501,MATCH($A609,customer_churn_dataset!$A$2:$A$1501,0))</f>
        <v>Low Risk</v>
      </c>
    </row>
    <row r="609" customFormat="false" ht="12.8" hidden="true" customHeight="false" outlineLevel="0" collapsed="false">
      <c r="A609" s="22" t="str">
        <f aca="false">customer_churn_dataset!A821</f>
        <v>CUST100361</v>
      </c>
      <c r="B609" s="22" t="str">
        <f aca="false">customer_churn_dataset!B821</f>
        <v>Standard</v>
      </c>
      <c r="C609" s="22" t="str">
        <f aca="false">customer_churn_dataset!C821</f>
        <v>Month-to-month</v>
      </c>
      <c r="D609" s="0" t="n">
        <f aca="false">INDEX(customer_churn_dataset!$E$2:$E$1501,MATCH($A610,customer_churn_dataset!$A$2:$A$1501,0))</f>
        <v>14</v>
      </c>
      <c r="E609" s="0" t="n">
        <f aca="false">INDEX(customer_churn_dataset!$I$2:$I$1501,MATCH($A610,customer_churn_dataset!$A$2:$A$1501,0))</f>
        <v>20.2</v>
      </c>
      <c r="F609" s="0" t="n">
        <f aca="false">INDEX(customer_churn_dataset!$L$2:$L$1501,MATCH($A610,customer_churn_dataset!$A$2:$A$1501,0))</f>
        <v>1</v>
      </c>
      <c r="G609" s="0" t="str">
        <f aca="false">IF(INDEX(customer_churn_dataset!$M$2:$M$1501,MATCH($A610,customer_churn_dataset!$A$2:$A$1501,0))=1,"Yes","No")</f>
        <v>No</v>
      </c>
      <c r="H609" s="0" t="n">
        <f aca="false">INDEX(customer_churn_dataset!$N$2:$N$1501,MATCH($A610,customer_churn_dataset!$A$2:$A$1501,0))</f>
        <v>140</v>
      </c>
      <c r="I609" s="0" t="n">
        <f aca="false">INDEX(customer_churn_dataset!$O$2:$O$1501,MATCH($A610,customer_churn_dataset!$A$2:$A$1501,0))</f>
        <v>0</v>
      </c>
      <c r="J609" s="0" t="n">
        <f aca="false">INDEX(customer_churn_dataset!$T$2:$T$1501,MATCH($A610,customer_churn_dataset!$A$2:$A$1501,0))</f>
        <v>3</v>
      </c>
      <c r="K609" s="0" t="str">
        <f aca="false">INDEX(customer_churn_dataset!$V$2:$V$1501,MATCH($A610,customer_churn_dataset!$A$2:$A$1501,0))</f>
        <v>Medium Risk</v>
      </c>
    </row>
    <row r="610" customFormat="false" ht="12.8" hidden="true" customHeight="false" outlineLevel="0" collapsed="false">
      <c r="A610" s="22" t="str">
        <f aca="false">customer_churn_dataset!A822</f>
        <v>CUST101019</v>
      </c>
      <c r="B610" s="22" t="str">
        <f aca="false">customer_churn_dataset!B822</f>
        <v>Basic</v>
      </c>
      <c r="C610" s="22" t="str">
        <f aca="false">customer_churn_dataset!C822</f>
        <v>One year</v>
      </c>
      <c r="D610" s="0" t="n">
        <f aca="false">INDEX(customer_churn_dataset!$E$2:$E$1501,MATCH($A611,customer_churn_dataset!$A$2:$A$1501,0))</f>
        <v>0</v>
      </c>
      <c r="E610" s="0" t="n">
        <f aca="false">INDEX(customer_churn_dataset!$I$2:$I$1501,MATCH($A611,customer_churn_dataset!$A$2:$A$1501,0))</f>
        <v>67.2</v>
      </c>
      <c r="F610" s="0" t="n">
        <f aca="false">INDEX(customer_churn_dataset!$L$2:$L$1501,MATCH($A611,customer_churn_dataset!$A$2:$A$1501,0))</f>
        <v>0</v>
      </c>
      <c r="G610" s="0" t="str">
        <f aca="false">IF(INDEX(customer_churn_dataset!$M$2:$M$1501,MATCH($A611,customer_churn_dataset!$A$2:$A$1501,0))=1,"Yes","No")</f>
        <v>No</v>
      </c>
      <c r="H610" s="0" t="n">
        <f aca="false">INDEX(customer_churn_dataset!$N$2:$N$1501,MATCH($A611,customer_churn_dataset!$A$2:$A$1501,0))</f>
        <v>0</v>
      </c>
      <c r="I610" s="0" t="n">
        <f aca="false">INDEX(customer_churn_dataset!$O$2:$O$1501,MATCH($A611,customer_churn_dataset!$A$2:$A$1501,0))</f>
        <v>0</v>
      </c>
      <c r="J610" s="0" t="n">
        <f aca="false">INDEX(customer_churn_dataset!$T$2:$T$1501,MATCH($A611,customer_churn_dataset!$A$2:$A$1501,0))</f>
        <v>3</v>
      </c>
      <c r="K610" s="0" t="str">
        <f aca="false">INDEX(customer_churn_dataset!$V$2:$V$1501,MATCH($A611,customer_churn_dataset!$A$2:$A$1501,0))</f>
        <v>Medium Risk</v>
      </c>
    </row>
    <row r="611" customFormat="false" ht="12.8" hidden="true" customHeight="false" outlineLevel="0" collapsed="false">
      <c r="A611" s="22" t="str">
        <f aca="false">customer_churn_dataset!A823</f>
        <v>CUST100113</v>
      </c>
      <c r="B611" s="22" t="str">
        <f aca="false">customer_churn_dataset!B823</f>
        <v>Premium</v>
      </c>
      <c r="C611" s="22" t="str">
        <f aca="false">customer_churn_dataset!C823</f>
        <v>Month-to-month</v>
      </c>
      <c r="D611" s="0" t="n">
        <f aca="false">INDEX(customer_churn_dataset!$E$2:$E$1501,MATCH($A612,customer_churn_dataset!$A$2:$A$1501,0))</f>
        <v>7</v>
      </c>
      <c r="E611" s="0" t="n">
        <f aca="false">INDEX(customer_churn_dataset!$I$2:$I$1501,MATCH($A612,customer_churn_dataset!$A$2:$A$1501,0))</f>
        <v>38.8</v>
      </c>
      <c r="F611" s="0" t="n">
        <f aca="false">INDEX(customer_churn_dataset!$L$2:$L$1501,MATCH($A612,customer_churn_dataset!$A$2:$A$1501,0))</f>
        <v>1</v>
      </c>
      <c r="G611" s="0" t="str">
        <f aca="false">IF(INDEX(customer_churn_dataset!$M$2:$M$1501,MATCH($A612,customer_churn_dataset!$A$2:$A$1501,0))=1,"Yes","No")</f>
        <v>No</v>
      </c>
      <c r="H611" s="0" t="n">
        <f aca="false">INDEX(customer_churn_dataset!$N$2:$N$1501,MATCH($A612,customer_churn_dataset!$A$2:$A$1501,0))</f>
        <v>70.42</v>
      </c>
      <c r="I611" s="0" t="n">
        <f aca="false">INDEX(customer_churn_dataset!$O$2:$O$1501,MATCH($A612,customer_churn_dataset!$A$2:$A$1501,0))</f>
        <v>0</v>
      </c>
      <c r="J611" s="0" t="n">
        <f aca="false">INDEX(customer_churn_dataset!$T$2:$T$1501,MATCH($A612,customer_churn_dataset!$A$2:$A$1501,0))</f>
        <v>5</v>
      </c>
      <c r="K611" s="0" t="str">
        <f aca="false">INDEX(customer_churn_dataset!$V$2:$V$1501,MATCH($A612,customer_churn_dataset!$A$2:$A$1501,0))</f>
        <v>Medium Risk</v>
      </c>
    </row>
    <row r="612" customFormat="false" ht="12.8" hidden="true" customHeight="false" outlineLevel="0" collapsed="false">
      <c r="A612" s="22" t="str">
        <f aca="false">customer_churn_dataset!A824</f>
        <v>CUST100406</v>
      </c>
      <c r="B612" s="22" t="str">
        <f aca="false">customer_churn_dataset!B824</f>
        <v>Basic</v>
      </c>
      <c r="C612" s="22" t="str">
        <f aca="false">customer_churn_dataset!C824</f>
        <v>Month-to-month</v>
      </c>
      <c r="D612" s="0" t="n">
        <f aca="false">INDEX(customer_churn_dataset!$E$2:$E$1501,MATCH($A613,customer_churn_dataset!$A$2:$A$1501,0))</f>
        <v>15</v>
      </c>
      <c r="E612" s="0" t="n">
        <f aca="false">INDEX(customer_churn_dataset!$I$2:$I$1501,MATCH($A613,customer_churn_dataset!$A$2:$A$1501,0))</f>
        <v>64.3</v>
      </c>
      <c r="F612" s="0" t="n">
        <f aca="false">INDEX(customer_churn_dataset!$L$2:$L$1501,MATCH($A613,customer_churn_dataset!$A$2:$A$1501,0))</f>
        <v>0</v>
      </c>
      <c r="G612" s="0" t="str">
        <f aca="false">IF(INDEX(customer_churn_dataset!$M$2:$M$1501,MATCH($A613,customer_churn_dataset!$A$2:$A$1501,0))=1,"Yes","No")</f>
        <v>No</v>
      </c>
      <c r="H612" s="0" t="n">
        <f aca="false">INDEX(customer_churn_dataset!$N$2:$N$1501,MATCH($A613,customer_churn_dataset!$A$2:$A$1501,0))</f>
        <v>144.6</v>
      </c>
      <c r="I612" s="0" t="n">
        <f aca="false">INDEX(customer_churn_dataset!$O$2:$O$1501,MATCH($A613,customer_churn_dataset!$A$2:$A$1501,0))</f>
        <v>0</v>
      </c>
      <c r="J612" s="0" t="n">
        <f aca="false">INDEX(customer_churn_dataset!$T$2:$T$1501,MATCH($A613,customer_churn_dataset!$A$2:$A$1501,0))</f>
        <v>1</v>
      </c>
      <c r="K612" s="0" t="str">
        <f aca="false">INDEX(customer_churn_dataset!$V$2:$V$1501,MATCH($A613,customer_churn_dataset!$A$2:$A$1501,0))</f>
        <v>Low Risk</v>
      </c>
    </row>
    <row r="613" customFormat="false" ht="12.8" hidden="true" customHeight="false" outlineLevel="0" collapsed="false">
      <c r="A613" s="22" t="str">
        <f aca="false">customer_churn_dataset!A827</f>
        <v>CUST100493</v>
      </c>
      <c r="B613" s="22" t="str">
        <f aca="false">customer_churn_dataset!B827</f>
        <v>Basic</v>
      </c>
      <c r="C613" s="22" t="str">
        <f aca="false">customer_churn_dataset!C827</f>
        <v>One year</v>
      </c>
      <c r="D613" s="0" t="n">
        <f aca="false">INDEX(customer_churn_dataset!$E$2:$E$1501,MATCH($A614,customer_churn_dataset!$A$2:$A$1501,0))</f>
        <v>12</v>
      </c>
      <c r="E613" s="0" t="n">
        <f aca="false">INDEX(customer_churn_dataset!$I$2:$I$1501,MATCH($A614,customer_churn_dataset!$A$2:$A$1501,0))</f>
        <v>76.3</v>
      </c>
      <c r="F613" s="0" t="n">
        <f aca="false">INDEX(customer_churn_dataset!$L$2:$L$1501,MATCH($A614,customer_churn_dataset!$A$2:$A$1501,0))</f>
        <v>4</v>
      </c>
      <c r="G613" s="0" t="str">
        <f aca="false">IF(INDEX(customer_churn_dataset!$M$2:$M$1501,MATCH($A614,customer_churn_dataset!$A$2:$A$1501,0))=1,"Yes","No")</f>
        <v>No</v>
      </c>
      <c r="H613" s="0" t="n">
        <f aca="false">INDEX(customer_churn_dataset!$N$2:$N$1501,MATCH($A614,customer_churn_dataset!$A$2:$A$1501,0))</f>
        <v>232.92</v>
      </c>
      <c r="I613" s="0" t="n">
        <f aca="false">INDEX(customer_churn_dataset!$O$2:$O$1501,MATCH($A614,customer_churn_dataset!$A$2:$A$1501,0))</f>
        <v>0</v>
      </c>
      <c r="J613" s="0" t="n">
        <f aca="false">INDEX(customer_churn_dataset!$T$2:$T$1501,MATCH($A614,customer_churn_dataset!$A$2:$A$1501,0))</f>
        <v>3</v>
      </c>
      <c r="K613" s="0" t="str">
        <f aca="false">INDEX(customer_churn_dataset!$V$2:$V$1501,MATCH($A614,customer_churn_dataset!$A$2:$A$1501,0))</f>
        <v>Medium Risk</v>
      </c>
    </row>
    <row r="614" customFormat="false" ht="12.8" hidden="true" customHeight="false" outlineLevel="0" collapsed="false">
      <c r="A614" s="22" t="str">
        <f aca="false">customer_churn_dataset!A828</f>
        <v>CUST100304</v>
      </c>
      <c r="B614" s="22" t="str">
        <f aca="false">customer_churn_dataset!B828</f>
        <v>Standard</v>
      </c>
      <c r="C614" s="22" t="str">
        <f aca="false">customer_churn_dataset!C828</f>
        <v>Month-to-month</v>
      </c>
      <c r="D614" s="0" t="n">
        <f aca="false">INDEX(customer_churn_dataset!$E$2:$E$1501,MATCH($A615,customer_churn_dataset!$A$2:$A$1501,0))</f>
        <v>32</v>
      </c>
      <c r="E614" s="0" t="n">
        <f aca="false">INDEX(customer_churn_dataset!$I$2:$I$1501,MATCH($A615,customer_churn_dataset!$A$2:$A$1501,0))</f>
        <v>39.9</v>
      </c>
      <c r="F614" s="0" t="n">
        <f aca="false">INDEX(customer_churn_dataset!$L$2:$L$1501,MATCH($A615,customer_churn_dataset!$A$2:$A$1501,0))</f>
        <v>2</v>
      </c>
      <c r="G614" s="0" t="str">
        <f aca="false">IF(INDEX(customer_churn_dataset!$M$2:$M$1501,MATCH($A615,customer_churn_dataset!$A$2:$A$1501,0))=1,"Yes","No")</f>
        <v>Yes</v>
      </c>
      <c r="H614" s="0" t="n">
        <f aca="false">INDEX(customer_churn_dataset!$N$2:$N$1501,MATCH($A615,customer_churn_dataset!$A$2:$A$1501,0))</f>
        <v>644.48</v>
      </c>
      <c r="I614" s="0" t="n">
        <f aca="false">INDEX(customer_churn_dataset!$O$2:$O$1501,MATCH($A615,customer_churn_dataset!$A$2:$A$1501,0))</f>
        <v>0</v>
      </c>
      <c r="J614" s="0" t="n">
        <f aca="false">INDEX(customer_churn_dataset!$T$2:$T$1501,MATCH($A615,customer_churn_dataset!$A$2:$A$1501,0))</f>
        <v>6</v>
      </c>
      <c r="K614" s="0" t="str">
        <f aca="false">INDEX(customer_churn_dataset!$V$2:$V$1501,MATCH($A615,customer_churn_dataset!$A$2:$A$1501,0))</f>
        <v>High Risk</v>
      </c>
    </row>
    <row r="615" customFormat="false" ht="12.8" hidden="true" customHeight="false" outlineLevel="0" collapsed="false">
      <c r="A615" s="22" t="str">
        <f aca="false">customer_churn_dataset!A834</f>
        <v>CUST100651</v>
      </c>
      <c r="B615" s="22" t="str">
        <f aca="false">customer_churn_dataset!B834</f>
        <v>Standard</v>
      </c>
      <c r="C615" s="22" t="str">
        <f aca="false">customer_churn_dataset!C834</f>
        <v>Two year</v>
      </c>
      <c r="D615" s="0" t="n">
        <f aca="false">INDEX(customer_churn_dataset!$E$2:$E$1501,MATCH($A616,customer_churn_dataset!$A$2:$A$1501,0))</f>
        <v>17</v>
      </c>
      <c r="E615" s="0" t="n">
        <f aca="false">INDEX(customer_churn_dataset!$I$2:$I$1501,MATCH($A616,customer_churn_dataset!$A$2:$A$1501,0))</f>
        <v>69.2</v>
      </c>
      <c r="F615" s="0" t="n">
        <f aca="false">INDEX(customer_churn_dataset!$L$2:$L$1501,MATCH($A616,customer_churn_dataset!$A$2:$A$1501,0))</f>
        <v>2</v>
      </c>
      <c r="G615" s="0" t="str">
        <f aca="false">IF(INDEX(customer_churn_dataset!$M$2:$M$1501,MATCH($A616,customer_churn_dataset!$A$2:$A$1501,0))=1,"Yes","No")</f>
        <v>No</v>
      </c>
      <c r="H615" s="0" t="n">
        <f aca="false">INDEX(customer_churn_dataset!$N$2:$N$1501,MATCH($A616,customer_churn_dataset!$A$2:$A$1501,0))</f>
        <v>347.65</v>
      </c>
      <c r="I615" s="0" t="n">
        <f aca="false">INDEX(customer_churn_dataset!$O$2:$O$1501,MATCH($A616,customer_churn_dataset!$A$2:$A$1501,0))</f>
        <v>0</v>
      </c>
      <c r="J615" s="0" t="n">
        <f aca="false">INDEX(customer_churn_dataset!$T$2:$T$1501,MATCH($A616,customer_churn_dataset!$A$2:$A$1501,0))</f>
        <v>2</v>
      </c>
      <c r="K615" s="0" t="str">
        <f aca="false">INDEX(customer_churn_dataset!$V$2:$V$1501,MATCH($A616,customer_churn_dataset!$A$2:$A$1501,0))</f>
        <v>Low Risk</v>
      </c>
    </row>
    <row r="616" customFormat="false" ht="12.8" hidden="true" customHeight="false" outlineLevel="0" collapsed="false">
      <c r="A616" s="22" t="str">
        <f aca="false">customer_churn_dataset!A839</f>
        <v>CUST101125</v>
      </c>
      <c r="B616" s="22" t="str">
        <f aca="false">customer_churn_dataset!B839</f>
        <v>Standard</v>
      </c>
      <c r="C616" s="22" t="str">
        <f aca="false">customer_churn_dataset!C839</f>
        <v>One year</v>
      </c>
      <c r="D616" s="0" t="n">
        <f aca="false">INDEX(customer_churn_dataset!$E$2:$E$1501,MATCH($A617,customer_churn_dataset!$A$2:$A$1501,0))</f>
        <v>4</v>
      </c>
      <c r="E616" s="0" t="n">
        <f aca="false">INDEX(customer_churn_dataset!$I$2:$I$1501,MATCH($A617,customer_churn_dataset!$A$2:$A$1501,0))</f>
        <v>53.8</v>
      </c>
      <c r="F616" s="0" t="n">
        <f aca="false">INDEX(customer_churn_dataset!$L$2:$L$1501,MATCH($A617,customer_churn_dataset!$A$2:$A$1501,0))</f>
        <v>1</v>
      </c>
      <c r="G616" s="0" t="str">
        <f aca="false">IF(INDEX(customer_churn_dataset!$M$2:$M$1501,MATCH($A617,customer_churn_dataset!$A$2:$A$1501,0))=1,"Yes","No")</f>
        <v>Yes</v>
      </c>
      <c r="H616" s="0" t="n">
        <f aca="false">INDEX(customer_churn_dataset!$N$2:$N$1501,MATCH($A617,customer_churn_dataset!$A$2:$A$1501,0))</f>
        <v>42.92</v>
      </c>
      <c r="I616" s="0" t="n">
        <f aca="false">INDEX(customer_churn_dataset!$O$2:$O$1501,MATCH($A617,customer_churn_dataset!$A$2:$A$1501,0))</f>
        <v>0</v>
      </c>
      <c r="J616" s="0" t="n">
        <f aca="false">INDEX(customer_churn_dataset!$T$2:$T$1501,MATCH($A617,customer_churn_dataset!$A$2:$A$1501,0))</f>
        <v>7</v>
      </c>
      <c r="K616" s="0" t="str">
        <f aca="false">INDEX(customer_churn_dataset!$V$2:$V$1501,MATCH($A617,customer_churn_dataset!$A$2:$A$1501,0))</f>
        <v>High Risk</v>
      </c>
    </row>
    <row r="617" customFormat="false" ht="12.8" hidden="true" customHeight="false" outlineLevel="0" collapsed="false">
      <c r="A617" s="22" t="str">
        <f aca="false">customer_churn_dataset!A843</f>
        <v>CUST100404</v>
      </c>
      <c r="B617" s="22" t="str">
        <f aca="false">customer_churn_dataset!B843</f>
        <v>Basic</v>
      </c>
      <c r="C617" s="22" t="str">
        <f aca="false">customer_churn_dataset!C843</f>
        <v>Month-to-month</v>
      </c>
      <c r="D617" s="0" t="n">
        <f aca="false">INDEX(customer_churn_dataset!$E$2:$E$1501,MATCH($A618,customer_churn_dataset!$A$2:$A$1501,0))</f>
        <v>3</v>
      </c>
      <c r="E617" s="0" t="n">
        <f aca="false">INDEX(customer_churn_dataset!$I$2:$I$1501,MATCH($A618,customer_churn_dataset!$A$2:$A$1501,0))</f>
        <v>14</v>
      </c>
      <c r="F617" s="0" t="n">
        <f aca="false">INDEX(customer_churn_dataset!$L$2:$L$1501,MATCH($A618,customer_churn_dataset!$A$2:$A$1501,0))</f>
        <v>3</v>
      </c>
      <c r="G617" s="0" t="str">
        <f aca="false">IF(INDEX(customer_churn_dataset!$M$2:$M$1501,MATCH($A618,customer_churn_dataset!$A$2:$A$1501,0))=1,"Yes","No")</f>
        <v>No</v>
      </c>
      <c r="H617" s="0" t="n">
        <f aca="false">INDEX(customer_churn_dataset!$N$2:$N$1501,MATCH($A618,customer_churn_dataset!$A$2:$A$1501,0))</f>
        <v>54.21</v>
      </c>
      <c r="I617" s="0" t="n">
        <f aca="false">INDEX(customer_churn_dataset!$O$2:$O$1501,MATCH($A618,customer_churn_dataset!$A$2:$A$1501,0))</f>
        <v>0</v>
      </c>
      <c r="J617" s="0" t="n">
        <f aca="false">INDEX(customer_churn_dataset!$T$2:$T$1501,MATCH($A618,customer_churn_dataset!$A$2:$A$1501,0))</f>
        <v>4</v>
      </c>
      <c r="K617" s="0" t="str">
        <f aca="false">INDEX(customer_churn_dataset!$V$2:$V$1501,MATCH($A618,customer_churn_dataset!$A$2:$A$1501,0))</f>
        <v>Medium Risk</v>
      </c>
    </row>
    <row r="618" customFormat="false" ht="12.8" hidden="true" customHeight="false" outlineLevel="0" collapsed="false">
      <c r="A618" s="22" t="str">
        <f aca="false">customer_churn_dataset!A844</f>
        <v>CUST101329</v>
      </c>
      <c r="B618" s="22" t="str">
        <f aca="false">customer_churn_dataset!B844</f>
        <v>Standard</v>
      </c>
      <c r="C618" s="22" t="str">
        <f aca="false">customer_churn_dataset!C844</f>
        <v>Two year</v>
      </c>
      <c r="D618" s="0" t="n">
        <f aca="false">INDEX(customer_churn_dataset!$E$2:$E$1501,MATCH($A619,customer_churn_dataset!$A$2:$A$1501,0))</f>
        <v>31</v>
      </c>
      <c r="E618" s="0" t="n">
        <f aca="false">INDEX(customer_churn_dataset!$I$2:$I$1501,MATCH($A619,customer_churn_dataset!$A$2:$A$1501,0))</f>
        <v>53.2</v>
      </c>
      <c r="F618" s="0" t="n">
        <f aca="false">INDEX(customer_churn_dataset!$L$2:$L$1501,MATCH($A619,customer_churn_dataset!$A$2:$A$1501,0))</f>
        <v>0</v>
      </c>
      <c r="G618" s="0" t="str">
        <f aca="false">IF(INDEX(customer_churn_dataset!$M$2:$M$1501,MATCH($A619,customer_churn_dataset!$A$2:$A$1501,0))=1,"Yes","No")</f>
        <v>No</v>
      </c>
      <c r="H618" s="0" t="n">
        <f aca="false">INDEX(customer_churn_dataset!$N$2:$N$1501,MATCH($A619,customer_churn_dataset!$A$2:$A$1501,0))</f>
        <v>306.9</v>
      </c>
      <c r="I618" s="0" t="n">
        <f aca="false">INDEX(customer_churn_dataset!$O$2:$O$1501,MATCH($A619,customer_churn_dataset!$A$2:$A$1501,0))</f>
        <v>0</v>
      </c>
      <c r="J618" s="0" t="n">
        <f aca="false">INDEX(customer_churn_dataset!$T$2:$T$1501,MATCH($A619,customer_churn_dataset!$A$2:$A$1501,0))</f>
        <v>1</v>
      </c>
      <c r="K618" s="0" t="str">
        <f aca="false">INDEX(customer_churn_dataset!$V$2:$V$1501,MATCH($A619,customer_churn_dataset!$A$2:$A$1501,0))</f>
        <v>Low Risk</v>
      </c>
    </row>
    <row r="619" customFormat="false" ht="12.8" hidden="true" customHeight="false" outlineLevel="0" collapsed="false">
      <c r="A619" s="22" t="str">
        <f aca="false">customer_churn_dataset!A855</f>
        <v>CUST100072</v>
      </c>
      <c r="B619" s="22" t="str">
        <f aca="false">customer_churn_dataset!B855</f>
        <v>Basic</v>
      </c>
      <c r="C619" s="22" t="str">
        <f aca="false">customer_churn_dataset!C855</f>
        <v>Two year</v>
      </c>
      <c r="D619" s="0" t="n">
        <f aca="false">INDEX(customer_churn_dataset!$E$2:$E$1501,MATCH($A620,customer_churn_dataset!$A$2:$A$1501,0))</f>
        <v>22</v>
      </c>
      <c r="E619" s="0" t="n">
        <f aca="false">INDEX(customer_churn_dataset!$I$2:$I$1501,MATCH($A620,customer_churn_dataset!$A$2:$A$1501,0))</f>
        <v>68.7</v>
      </c>
      <c r="F619" s="0" t="n">
        <f aca="false">INDEX(customer_churn_dataset!$L$2:$L$1501,MATCH($A620,customer_churn_dataset!$A$2:$A$1501,0))</f>
        <v>2</v>
      </c>
      <c r="G619" s="0" t="str">
        <f aca="false">IF(INDEX(customer_churn_dataset!$M$2:$M$1501,MATCH($A620,customer_churn_dataset!$A$2:$A$1501,0))=1,"Yes","No")</f>
        <v>No</v>
      </c>
      <c r="H619" s="0" t="n">
        <f aca="false">INDEX(customer_churn_dataset!$N$2:$N$1501,MATCH($A620,customer_churn_dataset!$A$2:$A$1501,0))</f>
        <v>192.5</v>
      </c>
      <c r="I619" s="0" t="n">
        <f aca="false">INDEX(customer_churn_dataset!$O$2:$O$1501,MATCH($A620,customer_churn_dataset!$A$2:$A$1501,0))</f>
        <v>0</v>
      </c>
      <c r="J619" s="0" t="n">
        <f aca="false">INDEX(customer_churn_dataset!$T$2:$T$1501,MATCH($A620,customer_churn_dataset!$A$2:$A$1501,0))</f>
        <v>2</v>
      </c>
      <c r="K619" s="0" t="str">
        <f aca="false">INDEX(customer_churn_dataset!$V$2:$V$1501,MATCH($A620,customer_churn_dataset!$A$2:$A$1501,0))</f>
        <v>Low Risk</v>
      </c>
    </row>
    <row r="620" customFormat="false" ht="12.8" hidden="true" customHeight="false" outlineLevel="0" collapsed="false">
      <c r="A620" s="22" t="str">
        <f aca="false">customer_churn_dataset!A862</f>
        <v>CUST100859</v>
      </c>
      <c r="B620" s="22" t="str">
        <f aca="false">customer_churn_dataset!B862</f>
        <v>Basic</v>
      </c>
      <c r="C620" s="22" t="str">
        <f aca="false">customer_churn_dataset!C862</f>
        <v>One year</v>
      </c>
      <c r="D620" s="0" t="n">
        <f aca="false">INDEX(customer_churn_dataset!$E$2:$E$1501,MATCH($A621,customer_churn_dataset!$A$2:$A$1501,0))</f>
        <v>17</v>
      </c>
      <c r="E620" s="0" t="n">
        <f aca="false">INDEX(customer_churn_dataset!$I$2:$I$1501,MATCH($A621,customer_churn_dataset!$A$2:$A$1501,0))</f>
        <v>80.7</v>
      </c>
      <c r="F620" s="0" t="n">
        <f aca="false">INDEX(customer_churn_dataset!$L$2:$L$1501,MATCH($A621,customer_churn_dataset!$A$2:$A$1501,0))</f>
        <v>4</v>
      </c>
      <c r="G620" s="0" t="str">
        <f aca="false">IF(INDEX(customer_churn_dataset!$M$2:$M$1501,MATCH($A621,customer_churn_dataset!$A$2:$A$1501,0))=1,"Yes","No")</f>
        <v>No</v>
      </c>
      <c r="H620" s="0" t="n">
        <f aca="false">INDEX(customer_churn_dataset!$N$2:$N$1501,MATCH($A621,customer_churn_dataset!$A$2:$A$1501,0))</f>
        <v>328.61</v>
      </c>
      <c r="I620" s="0" t="n">
        <f aca="false">INDEX(customer_churn_dataset!$O$2:$O$1501,MATCH($A621,customer_churn_dataset!$A$2:$A$1501,0))</f>
        <v>0</v>
      </c>
      <c r="J620" s="0" t="n">
        <f aca="false">INDEX(customer_churn_dataset!$T$2:$T$1501,MATCH($A621,customer_churn_dataset!$A$2:$A$1501,0))</f>
        <v>3</v>
      </c>
      <c r="K620" s="0" t="str">
        <f aca="false">INDEX(customer_churn_dataset!$V$2:$V$1501,MATCH($A621,customer_churn_dataset!$A$2:$A$1501,0))</f>
        <v>Medium Risk</v>
      </c>
    </row>
    <row r="621" customFormat="false" ht="12.8" hidden="true" customHeight="false" outlineLevel="0" collapsed="false">
      <c r="A621" s="22" t="str">
        <f aca="false">customer_churn_dataset!A863</f>
        <v>CUST101035</v>
      </c>
      <c r="B621" s="22" t="str">
        <f aca="false">customer_churn_dataset!B863</f>
        <v>Standard</v>
      </c>
      <c r="C621" s="22" t="str">
        <f aca="false">customer_churn_dataset!C863</f>
        <v>Month-to-month</v>
      </c>
      <c r="D621" s="0" t="n">
        <f aca="false">INDEX(customer_churn_dataset!$E$2:$E$1501,MATCH($A622,customer_churn_dataset!$A$2:$A$1501,0))</f>
        <v>20</v>
      </c>
      <c r="E621" s="0" t="n">
        <f aca="false">INDEX(customer_churn_dataset!$I$2:$I$1501,MATCH($A622,customer_churn_dataset!$A$2:$A$1501,0))</f>
        <v>49.2</v>
      </c>
      <c r="F621" s="0" t="n">
        <f aca="false">INDEX(customer_churn_dataset!$L$2:$L$1501,MATCH($A622,customer_churn_dataset!$A$2:$A$1501,0))</f>
        <v>2</v>
      </c>
      <c r="G621" s="0" t="str">
        <f aca="false">IF(INDEX(customer_churn_dataset!$M$2:$M$1501,MATCH($A622,customer_churn_dataset!$A$2:$A$1501,0))=1,"Yes","No")</f>
        <v>No</v>
      </c>
      <c r="H621" s="0" t="n">
        <f aca="false">INDEX(customer_churn_dataset!$N$2:$N$1501,MATCH($A622,customer_churn_dataset!$A$2:$A$1501,0))</f>
        <v>216.6</v>
      </c>
      <c r="I621" s="0" t="n">
        <f aca="false">INDEX(customer_churn_dataset!$O$2:$O$1501,MATCH($A622,customer_churn_dataset!$A$2:$A$1501,0))</f>
        <v>0</v>
      </c>
      <c r="J621" s="0" t="n">
        <f aca="false">INDEX(customer_churn_dataset!$T$2:$T$1501,MATCH($A622,customer_churn_dataset!$A$2:$A$1501,0))</f>
        <v>3</v>
      </c>
      <c r="K621" s="0" t="str">
        <f aca="false">INDEX(customer_churn_dataset!$V$2:$V$1501,MATCH($A622,customer_churn_dataset!$A$2:$A$1501,0))</f>
        <v>Medium Risk</v>
      </c>
    </row>
    <row r="622" customFormat="false" ht="12.8" hidden="true" customHeight="false" outlineLevel="0" collapsed="false">
      <c r="A622" s="22" t="str">
        <f aca="false">customer_churn_dataset!A864</f>
        <v>CUST100133</v>
      </c>
      <c r="B622" s="22" t="str">
        <f aca="false">customer_churn_dataset!B864</f>
        <v>Basic</v>
      </c>
      <c r="C622" s="22" t="str">
        <f aca="false">customer_churn_dataset!C864</f>
        <v>One year</v>
      </c>
      <c r="D622" s="0" t="n">
        <f aca="false">INDEX(customer_churn_dataset!$E$2:$E$1501,MATCH($A623,customer_churn_dataset!$A$2:$A$1501,0))</f>
        <v>50</v>
      </c>
      <c r="E622" s="0" t="n">
        <f aca="false">INDEX(customer_churn_dataset!$I$2:$I$1501,MATCH($A623,customer_churn_dataset!$A$2:$A$1501,0))</f>
        <v>74.6</v>
      </c>
      <c r="F622" s="0" t="n">
        <f aca="false">INDEX(customer_churn_dataset!$L$2:$L$1501,MATCH($A623,customer_churn_dataset!$A$2:$A$1501,0))</f>
        <v>3</v>
      </c>
      <c r="G622" s="0" t="str">
        <f aca="false">IF(INDEX(customer_churn_dataset!$M$2:$M$1501,MATCH($A623,customer_churn_dataset!$A$2:$A$1501,0))=1,"Yes","No")</f>
        <v>No</v>
      </c>
      <c r="H622" s="0" t="n">
        <f aca="false">INDEX(customer_churn_dataset!$N$2:$N$1501,MATCH($A623,customer_churn_dataset!$A$2:$A$1501,0))</f>
        <v>429</v>
      </c>
      <c r="I622" s="0" t="n">
        <f aca="false">INDEX(customer_churn_dataset!$O$2:$O$1501,MATCH($A623,customer_churn_dataset!$A$2:$A$1501,0))</f>
        <v>0</v>
      </c>
      <c r="J622" s="0" t="n">
        <f aca="false">INDEX(customer_churn_dataset!$T$2:$T$1501,MATCH($A623,customer_churn_dataset!$A$2:$A$1501,0))</f>
        <v>2</v>
      </c>
      <c r="K622" s="0" t="str">
        <f aca="false">INDEX(customer_churn_dataset!$V$2:$V$1501,MATCH($A623,customer_churn_dataset!$A$2:$A$1501,0))</f>
        <v>Low Risk</v>
      </c>
    </row>
    <row r="623" customFormat="false" ht="12.8" hidden="true" customHeight="false" outlineLevel="0" collapsed="false">
      <c r="A623" s="22" t="str">
        <f aca="false">customer_churn_dataset!A867</f>
        <v>CUST100105</v>
      </c>
      <c r="B623" s="22" t="str">
        <f aca="false">customer_churn_dataset!B867</f>
        <v>Basic</v>
      </c>
      <c r="C623" s="22" t="str">
        <f aca="false">customer_churn_dataset!C867</f>
        <v>One year</v>
      </c>
      <c r="D623" s="0" t="n">
        <f aca="false">INDEX(customer_churn_dataset!$E$2:$E$1501,MATCH($A624,customer_churn_dataset!$A$2:$A$1501,0))</f>
        <v>29</v>
      </c>
      <c r="E623" s="0" t="n">
        <f aca="false">INDEX(customer_churn_dataset!$I$2:$I$1501,MATCH($A624,customer_churn_dataset!$A$2:$A$1501,0))</f>
        <v>35.9</v>
      </c>
      <c r="F623" s="0" t="n">
        <f aca="false">INDEX(customer_churn_dataset!$L$2:$L$1501,MATCH($A624,customer_churn_dataset!$A$2:$A$1501,0))</f>
        <v>2</v>
      </c>
      <c r="G623" s="0" t="str">
        <f aca="false">IF(INDEX(customer_churn_dataset!$M$2:$M$1501,MATCH($A624,customer_churn_dataset!$A$2:$A$1501,0))=1,"Yes","No")</f>
        <v>No</v>
      </c>
      <c r="H623" s="0" t="n">
        <f aca="false">INDEX(customer_churn_dataset!$N$2:$N$1501,MATCH($A624,customer_churn_dataset!$A$2:$A$1501,0))</f>
        <v>309.14</v>
      </c>
      <c r="I623" s="0" t="n">
        <f aca="false">INDEX(customer_churn_dataset!$O$2:$O$1501,MATCH($A624,customer_churn_dataset!$A$2:$A$1501,0))</f>
        <v>0</v>
      </c>
      <c r="J623" s="0" t="n">
        <f aca="false">INDEX(customer_churn_dataset!$T$2:$T$1501,MATCH($A624,customer_churn_dataset!$A$2:$A$1501,0))</f>
        <v>5</v>
      </c>
      <c r="K623" s="0" t="str">
        <f aca="false">INDEX(customer_churn_dataset!$V$2:$V$1501,MATCH($A624,customer_churn_dataset!$A$2:$A$1501,0))</f>
        <v>Medium Risk</v>
      </c>
    </row>
    <row r="624" customFormat="false" ht="12.8" hidden="true" customHeight="false" outlineLevel="0" collapsed="false">
      <c r="A624" s="22" t="str">
        <f aca="false">customer_churn_dataset!A868</f>
        <v>CUST100546</v>
      </c>
      <c r="B624" s="22" t="str">
        <f aca="false">customer_churn_dataset!B868</f>
        <v>Basic</v>
      </c>
      <c r="C624" s="22" t="str">
        <f aca="false">customer_churn_dataset!C868</f>
        <v>Month-to-month</v>
      </c>
      <c r="D624" s="0" t="n">
        <f aca="false">INDEX(customer_churn_dataset!$E$2:$E$1501,MATCH($A625,customer_churn_dataset!$A$2:$A$1501,0))</f>
        <v>27</v>
      </c>
      <c r="E624" s="0" t="n">
        <f aca="false">INDEX(customer_churn_dataset!$I$2:$I$1501,MATCH($A625,customer_churn_dataset!$A$2:$A$1501,0))</f>
        <v>100</v>
      </c>
      <c r="F624" s="0" t="n">
        <f aca="false">INDEX(customer_churn_dataset!$L$2:$L$1501,MATCH($A625,customer_churn_dataset!$A$2:$A$1501,0))</f>
        <v>2</v>
      </c>
      <c r="G624" s="0" t="str">
        <f aca="false">IF(INDEX(customer_churn_dataset!$M$2:$M$1501,MATCH($A625,customer_churn_dataset!$A$2:$A$1501,0))=1,"Yes","No")</f>
        <v>No</v>
      </c>
      <c r="H624" s="0" t="n">
        <f aca="false">INDEX(customer_churn_dataset!$N$2:$N$1501,MATCH($A625,customer_churn_dataset!$A$2:$A$1501,0))</f>
        <v>532.98</v>
      </c>
      <c r="I624" s="0" t="n">
        <f aca="false">INDEX(customer_churn_dataset!$O$2:$O$1501,MATCH($A625,customer_churn_dataset!$A$2:$A$1501,0))</f>
        <v>0</v>
      </c>
      <c r="J624" s="0" t="n">
        <f aca="false">INDEX(customer_churn_dataset!$T$2:$T$1501,MATCH($A625,customer_churn_dataset!$A$2:$A$1501,0))</f>
        <v>3</v>
      </c>
      <c r="K624" s="0" t="str">
        <f aca="false">INDEX(customer_churn_dataset!$V$2:$V$1501,MATCH($A625,customer_churn_dataset!$A$2:$A$1501,0))</f>
        <v>Medium Risk</v>
      </c>
    </row>
    <row r="625" customFormat="false" ht="12.8" hidden="true" customHeight="false" outlineLevel="0" collapsed="false">
      <c r="A625" s="22" t="str">
        <f aca="false">customer_churn_dataset!A869</f>
        <v>CUST101059</v>
      </c>
      <c r="B625" s="22" t="str">
        <f aca="false">customer_churn_dataset!B869</f>
        <v>Standard</v>
      </c>
      <c r="C625" s="22" t="str">
        <f aca="false">customer_churn_dataset!C869</f>
        <v>Month-to-month</v>
      </c>
      <c r="D625" s="0" t="n">
        <f aca="false">INDEX(customer_churn_dataset!$E$2:$E$1501,MATCH($A626,customer_churn_dataset!$A$2:$A$1501,0))</f>
        <v>71</v>
      </c>
      <c r="E625" s="0" t="n">
        <f aca="false">INDEX(customer_churn_dataset!$I$2:$I$1501,MATCH($A626,customer_churn_dataset!$A$2:$A$1501,0))</f>
        <v>36.3</v>
      </c>
      <c r="F625" s="0" t="n">
        <f aca="false">INDEX(customer_churn_dataset!$L$2:$L$1501,MATCH($A626,customer_churn_dataset!$A$2:$A$1501,0))</f>
        <v>2</v>
      </c>
      <c r="G625" s="0" t="str">
        <f aca="false">IF(INDEX(customer_churn_dataset!$M$2:$M$1501,MATCH($A626,customer_churn_dataset!$A$2:$A$1501,0))=1,"Yes","No")</f>
        <v>Yes</v>
      </c>
      <c r="H625" s="0" t="n">
        <f aca="false">INDEX(customer_churn_dataset!$N$2:$N$1501,MATCH($A626,customer_churn_dataset!$A$2:$A$1501,0))</f>
        <v>1534.31</v>
      </c>
      <c r="I625" s="0" t="n">
        <f aca="false">INDEX(customer_churn_dataset!$O$2:$O$1501,MATCH($A626,customer_churn_dataset!$A$2:$A$1501,0))</f>
        <v>0</v>
      </c>
      <c r="J625" s="0" t="n">
        <f aca="false">INDEX(customer_churn_dataset!$T$2:$T$1501,MATCH($A626,customer_churn_dataset!$A$2:$A$1501,0))</f>
        <v>7</v>
      </c>
      <c r="K625" s="0" t="str">
        <f aca="false">INDEX(customer_churn_dataset!$V$2:$V$1501,MATCH($A626,customer_churn_dataset!$A$2:$A$1501,0))</f>
        <v>High Risk</v>
      </c>
    </row>
    <row r="626" customFormat="false" ht="12.8" hidden="true" customHeight="false" outlineLevel="0" collapsed="false">
      <c r="A626" s="22" t="str">
        <f aca="false">customer_churn_dataset!A872</f>
        <v>CUST100447</v>
      </c>
      <c r="B626" s="22" t="str">
        <f aca="false">customer_churn_dataset!B872</f>
        <v>Standard</v>
      </c>
      <c r="C626" s="22" t="str">
        <f aca="false">customer_churn_dataset!C872</f>
        <v>One year</v>
      </c>
      <c r="D626" s="0" t="n">
        <f aca="false">INDEX(customer_churn_dataset!$E$2:$E$1501,MATCH($A627,customer_churn_dataset!$A$2:$A$1501,0))</f>
        <v>20</v>
      </c>
      <c r="E626" s="0" t="n">
        <f aca="false">INDEX(customer_churn_dataset!$I$2:$I$1501,MATCH($A627,customer_churn_dataset!$A$2:$A$1501,0))</f>
        <v>63.8</v>
      </c>
      <c r="F626" s="0" t="n">
        <f aca="false">INDEX(customer_churn_dataset!$L$2:$L$1501,MATCH($A627,customer_churn_dataset!$A$2:$A$1501,0))</f>
        <v>1</v>
      </c>
      <c r="G626" s="0" t="str">
        <f aca="false">IF(INDEX(customer_churn_dataset!$M$2:$M$1501,MATCH($A627,customer_churn_dataset!$A$2:$A$1501,0))=1,"Yes","No")</f>
        <v>No</v>
      </c>
      <c r="H626" s="0" t="n">
        <f aca="false">INDEX(customer_churn_dataset!$N$2:$N$1501,MATCH($A627,customer_churn_dataset!$A$2:$A$1501,0))</f>
        <v>396.4</v>
      </c>
      <c r="I626" s="0" t="n">
        <f aca="false">INDEX(customer_churn_dataset!$O$2:$O$1501,MATCH($A627,customer_churn_dataset!$A$2:$A$1501,0))</f>
        <v>0</v>
      </c>
      <c r="J626" s="0" t="n">
        <f aca="false">INDEX(customer_churn_dataset!$T$2:$T$1501,MATCH($A627,customer_churn_dataset!$A$2:$A$1501,0))</f>
        <v>2</v>
      </c>
      <c r="K626" s="0" t="str">
        <f aca="false">INDEX(customer_churn_dataset!$V$2:$V$1501,MATCH($A627,customer_churn_dataset!$A$2:$A$1501,0))</f>
        <v>Low Risk</v>
      </c>
    </row>
    <row r="627" customFormat="false" ht="12.8" hidden="true" customHeight="false" outlineLevel="0" collapsed="false">
      <c r="A627" s="22" t="str">
        <f aca="false">customer_churn_dataset!A878</f>
        <v>CUST100210</v>
      </c>
      <c r="B627" s="22" t="str">
        <f aca="false">customer_churn_dataset!B878</f>
        <v>Standard</v>
      </c>
      <c r="C627" s="22" t="str">
        <f aca="false">customer_churn_dataset!C878</f>
        <v>Month-to-month</v>
      </c>
      <c r="D627" s="0" t="n">
        <f aca="false">INDEX(customer_churn_dataset!$E$2:$E$1501,MATCH($A628,customer_churn_dataset!$A$2:$A$1501,0))</f>
        <v>1</v>
      </c>
      <c r="E627" s="0" t="n">
        <f aca="false">INDEX(customer_churn_dataset!$I$2:$I$1501,MATCH($A628,customer_churn_dataset!$A$2:$A$1501,0))</f>
        <v>41.7</v>
      </c>
      <c r="F627" s="0" t="n">
        <f aca="false">INDEX(customer_churn_dataset!$L$2:$L$1501,MATCH($A628,customer_churn_dataset!$A$2:$A$1501,0))</f>
        <v>0</v>
      </c>
      <c r="G627" s="0" t="str">
        <f aca="false">IF(INDEX(customer_churn_dataset!$M$2:$M$1501,MATCH($A628,customer_churn_dataset!$A$2:$A$1501,0))=1,"Yes","No")</f>
        <v>No</v>
      </c>
      <c r="H627" s="0" t="n">
        <f aca="false">INDEX(customer_churn_dataset!$N$2:$N$1501,MATCH($A628,customer_churn_dataset!$A$2:$A$1501,0))</f>
        <v>20.86</v>
      </c>
      <c r="I627" s="0" t="n">
        <f aca="false">INDEX(customer_churn_dataset!$O$2:$O$1501,MATCH($A628,customer_churn_dataset!$A$2:$A$1501,0))</f>
        <v>0</v>
      </c>
      <c r="J627" s="0" t="n">
        <f aca="false">INDEX(customer_churn_dataset!$T$2:$T$1501,MATCH($A628,customer_churn_dataset!$A$2:$A$1501,0))</f>
        <v>4</v>
      </c>
      <c r="K627" s="0" t="str">
        <f aca="false">INDEX(customer_churn_dataset!$V$2:$V$1501,MATCH($A628,customer_churn_dataset!$A$2:$A$1501,0))</f>
        <v>Medium Risk</v>
      </c>
    </row>
    <row r="628" customFormat="false" ht="12.8" hidden="true" customHeight="false" outlineLevel="0" collapsed="false">
      <c r="A628" s="22" t="str">
        <f aca="false">customer_churn_dataset!A879</f>
        <v>CUST101304</v>
      </c>
      <c r="B628" s="22" t="str">
        <f aca="false">customer_churn_dataset!B879</f>
        <v>Standard</v>
      </c>
      <c r="C628" s="22" t="str">
        <f aca="false">customer_churn_dataset!C879</f>
        <v>Month-to-month</v>
      </c>
      <c r="D628" s="0" t="n">
        <f aca="false">INDEX(customer_churn_dataset!$E$2:$E$1501,MATCH($A629,customer_churn_dataset!$A$2:$A$1501,0))</f>
        <v>3</v>
      </c>
      <c r="E628" s="0" t="n">
        <f aca="false">INDEX(customer_churn_dataset!$I$2:$I$1501,MATCH($A629,customer_churn_dataset!$A$2:$A$1501,0))</f>
        <v>54.5</v>
      </c>
      <c r="F628" s="0" t="n">
        <f aca="false">INDEX(customer_churn_dataset!$L$2:$L$1501,MATCH($A629,customer_churn_dataset!$A$2:$A$1501,0))</f>
        <v>1</v>
      </c>
      <c r="G628" s="0" t="str">
        <f aca="false">IF(INDEX(customer_churn_dataset!$M$2:$M$1501,MATCH($A629,customer_churn_dataset!$A$2:$A$1501,0))=1,"Yes","No")</f>
        <v>No</v>
      </c>
      <c r="H628" s="0" t="n">
        <f aca="false">INDEX(customer_churn_dataset!$N$2:$N$1501,MATCH($A629,customer_churn_dataset!$A$2:$A$1501,0))</f>
        <v>53.97</v>
      </c>
      <c r="I628" s="0" t="n">
        <f aca="false">INDEX(customer_churn_dataset!$O$2:$O$1501,MATCH($A629,customer_churn_dataset!$A$2:$A$1501,0))</f>
        <v>0</v>
      </c>
      <c r="J628" s="0" t="n">
        <f aca="false">INDEX(customer_churn_dataset!$T$2:$T$1501,MATCH($A629,customer_churn_dataset!$A$2:$A$1501,0))</f>
        <v>3</v>
      </c>
      <c r="K628" s="0" t="str">
        <f aca="false">INDEX(customer_churn_dataset!$V$2:$V$1501,MATCH($A629,customer_churn_dataset!$A$2:$A$1501,0))</f>
        <v>Medium Risk</v>
      </c>
    </row>
    <row r="629" customFormat="false" ht="12.8" hidden="true" customHeight="false" outlineLevel="0" collapsed="false">
      <c r="A629" s="22" t="str">
        <f aca="false">customer_churn_dataset!A880</f>
        <v>CUST100857</v>
      </c>
      <c r="B629" s="22" t="str">
        <f aca="false">customer_churn_dataset!B880</f>
        <v>Standard</v>
      </c>
      <c r="C629" s="22" t="str">
        <f aca="false">customer_churn_dataset!C880</f>
        <v>One year</v>
      </c>
      <c r="D629" s="0" t="n">
        <f aca="false">INDEX(customer_churn_dataset!$E$2:$E$1501,MATCH($A630,customer_churn_dataset!$A$2:$A$1501,0))</f>
        <v>7</v>
      </c>
      <c r="E629" s="0" t="n">
        <f aca="false">INDEX(customer_churn_dataset!$I$2:$I$1501,MATCH($A630,customer_churn_dataset!$A$2:$A$1501,0))</f>
        <v>60.1</v>
      </c>
      <c r="F629" s="0" t="n">
        <f aca="false">INDEX(customer_churn_dataset!$L$2:$L$1501,MATCH($A630,customer_churn_dataset!$A$2:$A$1501,0))</f>
        <v>1</v>
      </c>
      <c r="G629" s="0" t="str">
        <f aca="false">IF(INDEX(customer_churn_dataset!$M$2:$M$1501,MATCH($A630,customer_churn_dataset!$A$2:$A$1501,0))=1,"Yes","No")</f>
        <v>No</v>
      </c>
      <c r="H629" s="0" t="n">
        <f aca="false">INDEX(customer_churn_dataset!$N$2:$N$1501,MATCH($A630,customer_churn_dataset!$A$2:$A$1501,0))</f>
        <v>65.38</v>
      </c>
      <c r="I629" s="0" t="n">
        <f aca="false">INDEX(customer_churn_dataset!$O$2:$O$1501,MATCH($A630,customer_churn_dataset!$A$2:$A$1501,0))</f>
        <v>0</v>
      </c>
      <c r="J629" s="0" t="n">
        <f aca="false">INDEX(customer_churn_dataset!$T$2:$T$1501,MATCH($A630,customer_churn_dataset!$A$2:$A$1501,0))</f>
        <v>3</v>
      </c>
      <c r="K629" s="0" t="str">
        <f aca="false">INDEX(customer_churn_dataset!$V$2:$V$1501,MATCH($A630,customer_churn_dataset!$A$2:$A$1501,0))</f>
        <v>Medium Risk</v>
      </c>
    </row>
    <row r="630" customFormat="false" ht="12.8" hidden="true" customHeight="false" outlineLevel="0" collapsed="false">
      <c r="A630" s="22" t="str">
        <f aca="false">customer_churn_dataset!A881</f>
        <v>CUST100663</v>
      </c>
      <c r="B630" s="22" t="str">
        <f aca="false">customer_churn_dataset!B881</f>
        <v>Basic</v>
      </c>
      <c r="C630" s="22" t="str">
        <f aca="false">customer_churn_dataset!C881</f>
        <v>Month-to-month</v>
      </c>
      <c r="D630" s="0" t="n">
        <f aca="false">INDEX(customer_churn_dataset!$E$2:$E$1501,MATCH($A631,customer_churn_dataset!$A$2:$A$1501,0))</f>
        <v>31</v>
      </c>
      <c r="E630" s="0" t="n">
        <f aca="false">INDEX(customer_churn_dataset!$I$2:$I$1501,MATCH($A631,customer_churn_dataset!$A$2:$A$1501,0))</f>
        <v>38.6</v>
      </c>
      <c r="F630" s="0" t="n">
        <f aca="false">INDEX(customer_churn_dataset!$L$2:$L$1501,MATCH($A631,customer_churn_dataset!$A$2:$A$1501,0))</f>
        <v>2</v>
      </c>
      <c r="G630" s="0" t="str">
        <f aca="false">IF(INDEX(customer_churn_dataset!$M$2:$M$1501,MATCH($A631,customer_churn_dataset!$A$2:$A$1501,0))=1,"Yes","No")</f>
        <v>Yes</v>
      </c>
      <c r="H630" s="0" t="n">
        <f aca="false">INDEX(customer_churn_dataset!$N$2:$N$1501,MATCH($A631,customer_churn_dataset!$A$2:$A$1501,0))</f>
        <v>339.45</v>
      </c>
      <c r="I630" s="0" t="n">
        <f aca="false">INDEX(customer_churn_dataset!$O$2:$O$1501,MATCH($A631,customer_churn_dataset!$A$2:$A$1501,0))</f>
        <v>0</v>
      </c>
      <c r="J630" s="0" t="n">
        <f aca="false">INDEX(customer_churn_dataset!$T$2:$T$1501,MATCH($A631,customer_churn_dataset!$A$2:$A$1501,0))</f>
        <v>7</v>
      </c>
      <c r="K630" s="0" t="str">
        <f aca="false">INDEX(customer_churn_dataset!$V$2:$V$1501,MATCH($A631,customer_churn_dataset!$A$2:$A$1501,0))</f>
        <v>High Risk</v>
      </c>
    </row>
    <row r="631" customFormat="false" ht="12.8" hidden="true" customHeight="false" outlineLevel="0" collapsed="false">
      <c r="A631" s="22" t="str">
        <f aca="false">customer_churn_dataset!A884</f>
        <v>CUST100347</v>
      </c>
      <c r="B631" s="22" t="str">
        <f aca="false">customer_churn_dataset!B884</f>
        <v>Basic</v>
      </c>
      <c r="C631" s="22" t="str">
        <f aca="false">customer_churn_dataset!C884</f>
        <v>One year</v>
      </c>
      <c r="D631" s="0" t="n">
        <f aca="false">INDEX(customer_churn_dataset!$E$2:$E$1501,MATCH($A632,customer_churn_dataset!$A$2:$A$1501,0))</f>
        <v>17</v>
      </c>
      <c r="E631" s="0" t="n">
        <f aca="false">INDEX(customer_churn_dataset!$I$2:$I$1501,MATCH($A632,customer_churn_dataset!$A$2:$A$1501,0))</f>
        <v>50.5</v>
      </c>
      <c r="F631" s="0" t="n">
        <f aca="false">INDEX(customer_churn_dataset!$L$2:$L$1501,MATCH($A632,customer_churn_dataset!$A$2:$A$1501,0))</f>
        <v>3</v>
      </c>
      <c r="G631" s="0" t="str">
        <f aca="false">IF(INDEX(customer_churn_dataset!$M$2:$M$1501,MATCH($A632,customer_churn_dataset!$A$2:$A$1501,0))=1,"Yes","No")</f>
        <v>No</v>
      </c>
      <c r="H631" s="0" t="n">
        <f aca="false">INDEX(customer_churn_dataset!$N$2:$N$1501,MATCH($A632,customer_churn_dataset!$A$2:$A$1501,0))</f>
        <v>172.55</v>
      </c>
      <c r="I631" s="0" t="n">
        <f aca="false">INDEX(customer_churn_dataset!$O$2:$O$1501,MATCH($A632,customer_churn_dataset!$A$2:$A$1501,0))</f>
        <v>0</v>
      </c>
      <c r="J631" s="0" t="n">
        <f aca="false">INDEX(customer_churn_dataset!$T$2:$T$1501,MATCH($A632,customer_churn_dataset!$A$2:$A$1501,0))</f>
        <v>2</v>
      </c>
      <c r="K631" s="0" t="str">
        <f aca="false">INDEX(customer_churn_dataset!$V$2:$V$1501,MATCH($A632,customer_churn_dataset!$A$2:$A$1501,0))</f>
        <v>Low Risk</v>
      </c>
    </row>
    <row r="632" customFormat="false" ht="12.8" hidden="true" customHeight="false" outlineLevel="0" collapsed="false">
      <c r="A632" s="22" t="str">
        <f aca="false">customer_churn_dataset!A887</f>
        <v>CUST101212</v>
      </c>
      <c r="B632" s="22" t="str">
        <f aca="false">customer_churn_dataset!B887</f>
        <v>Basic</v>
      </c>
      <c r="C632" s="22" t="str">
        <f aca="false">customer_churn_dataset!C887</f>
        <v>Two year</v>
      </c>
      <c r="D632" s="0" t="n">
        <f aca="false">INDEX(customer_churn_dataset!$E$2:$E$1501,MATCH($A633,customer_churn_dataset!$A$2:$A$1501,0))</f>
        <v>2</v>
      </c>
      <c r="E632" s="0" t="n">
        <f aca="false">INDEX(customer_churn_dataset!$I$2:$I$1501,MATCH($A633,customer_churn_dataset!$A$2:$A$1501,0))</f>
        <v>51.3</v>
      </c>
      <c r="F632" s="0" t="n">
        <f aca="false">INDEX(customer_churn_dataset!$L$2:$L$1501,MATCH($A633,customer_churn_dataset!$A$2:$A$1501,0))</f>
        <v>1</v>
      </c>
      <c r="G632" s="0" t="str">
        <f aca="false">IF(INDEX(customer_churn_dataset!$M$2:$M$1501,MATCH($A633,customer_churn_dataset!$A$2:$A$1501,0))=1,"Yes","No")</f>
        <v>No</v>
      </c>
      <c r="H632" s="0" t="n">
        <f aca="false">INDEX(customer_churn_dataset!$N$2:$N$1501,MATCH($A633,customer_churn_dataset!$A$2:$A$1501,0))</f>
        <v>18.78</v>
      </c>
      <c r="I632" s="0" t="n">
        <f aca="false">INDEX(customer_churn_dataset!$O$2:$O$1501,MATCH($A633,customer_churn_dataset!$A$2:$A$1501,0))</f>
        <v>1</v>
      </c>
      <c r="J632" s="0" t="n">
        <f aca="false">INDEX(customer_churn_dataset!$T$2:$T$1501,MATCH($A633,customer_churn_dataset!$A$2:$A$1501,0))</f>
        <v>4</v>
      </c>
      <c r="K632" s="0" t="str">
        <f aca="false">INDEX(customer_churn_dataset!$V$2:$V$1501,MATCH($A633,customer_churn_dataset!$A$2:$A$1501,0))</f>
        <v>Medium Risk</v>
      </c>
    </row>
    <row r="633" customFormat="false" ht="12.8" hidden="true" customHeight="false" outlineLevel="0" collapsed="false">
      <c r="A633" s="22" t="str">
        <f aca="false">customer_churn_dataset!A888</f>
        <v>CUST100032</v>
      </c>
      <c r="B633" s="22" t="str">
        <f aca="false">customer_churn_dataset!B888</f>
        <v>Basic</v>
      </c>
      <c r="C633" s="22" t="str">
        <f aca="false">customer_churn_dataset!C888</f>
        <v>Month-to-month</v>
      </c>
      <c r="D633" s="0" t="n">
        <f aca="false">INDEX(customer_churn_dataset!$E$2:$E$1501,MATCH($A634,customer_churn_dataset!$A$2:$A$1501,0))</f>
        <v>12</v>
      </c>
      <c r="E633" s="0" t="n">
        <f aca="false">INDEX(customer_churn_dataset!$I$2:$I$1501,MATCH($A634,customer_churn_dataset!$A$2:$A$1501,0))</f>
        <v>54.7</v>
      </c>
      <c r="F633" s="0" t="n">
        <f aca="false">INDEX(customer_churn_dataset!$L$2:$L$1501,MATCH($A634,customer_churn_dataset!$A$2:$A$1501,0))</f>
        <v>2</v>
      </c>
      <c r="G633" s="0" t="str">
        <f aca="false">IF(INDEX(customer_churn_dataset!$M$2:$M$1501,MATCH($A634,customer_churn_dataset!$A$2:$A$1501,0))=1,"Yes","No")</f>
        <v>Yes</v>
      </c>
      <c r="H633" s="0" t="n">
        <f aca="false">INDEX(customer_churn_dataset!$N$2:$N$1501,MATCH($A634,customer_churn_dataset!$A$2:$A$1501,0))</f>
        <v>226.2</v>
      </c>
      <c r="I633" s="0" t="n">
        <f aca="false">INDEX(customer_churn_dataset!$O$2:$O$1501,MATCH($A634,customer_churn_dataset!$A$2:$A$1501,0))</f>
        <v>0</v>
      </c>
      <c r="J633" s="0" t="n">
        <f aca="false">INDEX(customer_churn_dataset!$T$2:$T$1501,MATCH($A634,customer_churn_dataset!$A$2:$A$1501,0))</f>
        <v>7</v>
      </c>
      <c r="K633" s="0" t="str">
        <f aca="false">INDEX(customer_churn_dataset!$V$2:$V$1501,MATCH($A634,customer_churn_dataset!$A$2:$A$1501,0))</f>
        <v>High Risk</v>
      </c>
    </row>
    <row r="634" customFormat="false" ht="12.8" hidden="true" customHeight="false" outlineLevel="0" collapsed="false">
      <c r="A634" s="22" t="str">
        <f aca="false">customer_churn_dataset!A895</f>
        <v>CUST100350</v>
      </c>
      <c r="B634" s="22" t="str">
        <f aca="false">customer_churn_dataset!B895</f>
        <v>Standard</v>
      </c>
      <c r="C634" s="22" t="str">
        <f aca="false">customer_churn_dataset!C895</f>
        <v>Month-to-month</v>
      </c>
      <c r="D634" s="0" t="n">
        <f aca="false">INDEX(customer_churn_dataset!$E$2:$E$1501,MATCH($A635,customer_churn_dataset!$A$2:$A$1501,0))</f>
        <v>49</v>
      </c>
      <c r="E634" s="0" t="n">
        <f aca="false">INDEX(customer_churn_dataset!$I$2:$I$1501,MATCH($A635,customer_churn_dataset!$A$2:$A$1501,0))</f>
        <v>70.3</v>
      </c>
      <c r="F634" s="0" t="n">
        <f aca="false">INDEX(customer_churn_dataset!$L$2:$L$1501,MATCH($A635,customer_churn_dataset!$A$2:$A$1501,0))</f>
        <v>1</v>
      </c>
      <c r="G634" s="0" t="str">
        <f aca="false">IF(INDEX(customer_churn_dataset!$M$2:$M$1501,MATCH($A635,customer_churn_dataset!$A$2:$A$1501,0))=1,"Yes","No")</f>
        <v>No</v>
      </c>
      <c r="H634" s="0" t="n">
        <f aca="false">INDEX(customer_churn_dataset!$N$2:$N$1501,MATCH($A635,customer_churn_dataset!$A$2:$A$1501,0))</f>
        <v>456.19</v>
      </c>
      <c r="I634" s="0" t="n">
        <f aca="false">INDEX(customer_churn_dataset!$O$2:$O$1501,MATCH($A635,customer_churn_dataset!$A$2:$A$1501,0))</f>
        <v>0</v>
      </c>
      <c r="J634" s="0" t="n">
        <f aca="false">INDEX(customer_churn_dataset!$T$2:$T$1501,MATCH($A635,customer_churn_dataset!$A$2:$A$1501,0))</f>
        <v>1</v>
      </c>
      <c r="K634" s="0" t="str">
        <f aca="false">INDEX(customer_churn_dataset!$V$2:$V$1501,MATCH($A635,customer_churn_dataset!$A$2:$A$1501,0))</f>
        <v>Low Risk</v>
      </c>
    </row>
    <row r="635" customFormat="false" ht="12.8" hidden="true" customHeight="false" outlineLevel="0" collapsed="false">
      <c r="A635" s="22" t="str">
        <f aca="false">customer_churn_dataset!A902</f>
        <v>CUST100840</v>
      </c>
      <c r="B635" s="22" t="str">
        <f aca="false">customer_churn_dataset!B902</f>
        <v>Basic</v>
      </c>
      <c r="C635" s="22" t="str">
        <f aca="false">customer_churn_dataset!C902</f>
        <v>One year</v>
      </c>
      <c r="D635" s="0" t="n">
        <f aca="false">INDEX(customer_churn_dataset!$E$2:$E$1501,MATCH($A636,customer_churn_dataset!$A$2:$A$1501,0))</f>
        <v>9</v>
      </c>
      <c r="E635" s="0" t="n">
        <f aca="false">INDEX(customer_churn_dataset!$I$2:$I$1501,MATCH($A636,customer_churn_dataset!$A$2:$A$1501,0))</f>
        <v>44</v>
      </c>
      <c r="F635" s="0" t="n">
        <f aca="false">INDEX(customer_churn_dataset!$L$2:$L$1501,MATCH($A636,customer_churn_dataset!$A$2:$A$1501,0))</f>
        <v>1</v>
      </c>
      <c r="G635" s="0" t="str">
        <f aca="false">IF(INDEX(customer_churn_dataset!$M$2:$M$1501,MATCH($A636,customer_churn_dataset!$A$2:$A$1501,0))=1,"Yes","No")</f>
        <v>No</v>
      </c>
      <c r="H635" s="0" t="n">
        <f aca="false">INDEX(customer_churn_dataset!$N$2:$N$1501,MATCH($A636,customer_churn_dataset!$A$2:$A$1501,0))</f>
        <v>67.41</v>
      </c>
      <c r="I635" s="0" t="n">
        <f aca="false">INDEX(customer_churn_dataset!$O$2:$O$1501,MATCH($A636,customer_churn_dataset!$A$2:$A$1501,0))</f>
        <v>0</v>
      </c>
      <c r="J635" s="0" t="n">
        <f aca="false">INDEX(customer_churn_dataset!$T$2:$T$1501,MATCH($A636,customer_churn_dataset!$A$2:$A$1501,0))</f>
        <v>4</v>
      </c>
      <c r="K635" s="0" t="str">
        <f aca="false">INDEX(customer_churn_dataset!$V$2:$V$1501,MATCH($A636,customer_churn_dataset!$A$2:$A$1501,0))</f>
        <v>Medium Risk</v>
      </c>
    </row>
    <row r="636" customFormat="false" ht="12.8" hidden="true" customHeight="false" outlineLevel="0" collapsed="false">
      <c r="A636" s="22" t="str">
        <f aca="false">customer_churn_dataset!A903</f>
        <v>CUST100000</v>
      </c>
      <c r="B636" s="22" t="str">
        <f aca="false">customer_churn_dataset!B903</f>
        <v>Basic</v>
      </c>
      <c r="C636" s="22" t="str">
        <f aca="false">customer_churn_dataset!C903</f>
        <v>Month-to-month</v>
      </c>
      <c r="D636" s="0" t="n">
        <f aca="false">INDEX(customer_churn_dataset!$E$2:$E$1501,MATCH($A637,customer_churn_dataset!$A$2:$A$1501,0))</f>
        <v>6</v>
      </c>
      <c r="E636" s="0" t="n">
        <f aca="false">INDEX(customer_churn_dataset!$I$2:$I$1501,MATCH($A637,customer_churn_dataset!$A$2:$A$1501,0))</f>
        <v>79.7</v>
      </c>
      <c r="F636" s="0" t="n">
        <f aca="false">INDEX(customer_churn_dataset!$L$2:$L$1501,MATCH($A637,customer_churn_dataset!$A$2:$A$1501,0))</f>
        <v>1</v>
      </c>
      <c r="G636" s="0" t="str">
        <f aca="false">IF(INDEX(customer_churn_dataset!$M$2:$M$1501,MATCH($A637,customer_churn_dataset!$A$2:$A$1501,0))=1,"Yes","No")</f>
        <v>No</v>
      </c>
      <c r="H636" s="0" t="n">
        <f aca="false">INDEX(customer_churn_dataset!$N$2:$N$1501,MATCH($A637,customer_churn_dataset!$A$2:$A$1501,0))</f>
        <v>244.8</v>
      </c>
      <c r="I636" s="0" t="n">
        <f aca="false">INDEX(customer_churn_dataset!$O$2:$O$1501,MATCH($A637,customer_churn_dataset!$A$2:$A$1501,0))</f>
        <v>0</v>
      </c>
      <c r="J636" s="0" t="n">
        <f aca="false">INDEX(customer_churn_dataset!$T$2:$T$1501,MATCH($A637,customer_churn_dataset!$A$2:$A$1501,0))</f>
        <v>3</v>
      </c>
      <c r="K636" s="0" t="str">
        <f aca="false">INDEX(customer_churn_dataset!$V$2:$V$1501,MATCH($A637,customer_churn_dataset!$A$2:$A$1501,0))</f>
        <v>Medium Risk</v>
      </c>
    </row>
    <row r="637" customFormat="false" ht="12.8" hidden="true" customHeight="false" outlineLevel="0" collapsed="false">
      <c r="A637" s="22" t="str">
        <f aca="false">customer_churn_dataset!A904</f>
        <v>CUST101248</v>
      </c>
      <c r="B637" s="22" t="str">
        <f aca="false">customer_churn_dataset!B904</f>
        <v>Premium</v>
      </c>
      <c r="C637" s="22" t="str">
        <f aca="false">customer_churn_dataset!C904</f>
        <v>Month-to-month</v>
      </c>
      <c r="D637" s="0" t="n">
        <f aca="false">INDEX(customer_churn_dataset!$E$2:$E$1501,MATCH($A638,customer_churn_dataset!$A$2:$A$1501,0))</f>
        <v>10</v>
      </c>
      <c r="E637" s="0" t="n">
        <f aca="false">INDEX(customer_churn_dataset!$I$2:$I$1501,MATCH($A638,customer_churn_dataset!$A$2:$A$1501,0))</f>
        <v>45.6</v>
      </c>
      <c r="F637" s="0" t="n">
        <f aca="false">INDEX(customer_churn_dataset!$L$2:$L$1501,MATCH($A638,customer_churn_dataset!$A$2:$A$1501,0))</f>
        <v>0</v>
      </c>
      <c r="G637" s="0" t="str">
        <f aca="false">IF(INDEX(customer_churn_dataset!$M$2:$M$1501,MATCH($A638,customer_churn_dataset!$A$2:$A$1501,0))=1,"Yes","No")</f>
        <v>No</v>
      </c>
      <c r="H637" s="0" t="n">
        <f aca="false">INDEX(customer_churn_dataset!$N$2:$N$1501,MATCH($A638,customer_churn_dataset!$A$2:$A$1501,0))</f>
        <v>198.4</v>
      </c>
      <c r="I637" s="0" t="n">
        <f aca="false">INDEX(customer_churn_dataset!$O$2:$O$1501,MATCH($A638,customer_churn_dataset!$A$2:$A$1501,0))</f>
        <v>0</v>
      </c>
      <c r="J637" s="0" t="n">
        <f aca="false">INDEX(customer_churn_dataset!$T$2:$T$1501,MATCH($A638,customer_churn_dataset!$A$2:$A$1501,0))</f>
        <v>3</v>
      </c>
      <c r="K637" s="0" t="str">
        <f aca="false">INDEX(customer_churn_dataset!$V$2:$V$1501,MATCH($A638,customer_churn_dataset!$A$2:$A$1501,0))</f>
        <v>Medium Risk</v>
      </c>
    </row>
    <row r="638" customFormat="false" ht="12.8" hidden="true" customHeight="false" outlineLevel="0" collapsed="false">
      <c r="A638" s="22" t="str">
        <f aca="false">customer_churn_dataset!A905</f>
        <v>CUST100373</v>
      </c>
      <c r="B638" s="22" t="str">
        <f aca="false">customer_churn_dataset!B905</f>
        <v>Standard</v>
      </c>
      <c r="C638" s="22" t="str">
        <f aca="false">customer_churn_dataset!C905</f>
        <v>One year</v>
      </c>
      <c r="D638" s="0" t="n">
        <f aca="false">INDEX(customer_churn_dataset!$E$2:$E$1501,MATCH($A639,customer_churn_dataset!$A$2:$A$1501,0))</f>
        <v>24</v>
      </c>
      <c r="E638" s="0" t="n">
        <f aca="false">INDEX(customer_churn_dataset!$I$2:$I$1501,MATCH($A639,customer_churn_dataset!$A$2:$A$1501,0))</f>
        <v>48</v>
      </c>
      <c r="F638" s="0" t="n">
        <f aca="false">INDEX(customer_churn_dataset!$L$2:$L$1501,MATCH($A639,customer_churn_dataset!$A$2:$A$1501,0))</f>
        <v>4</v>
      </c>
      <c r="G638" s="0" t="str">
        <f aca="false">IF(INDEX(customer_churn_dataset!$M$2:$M$1501,MATCH($A639,customer_churn_dataset!$A$2:$A$1501,0))=1,"Yes","No")</f>
        <v>Yes</v>
      </c>
      <c r="H638" s="0" t="n">
        <f aca="false">INDEX(customer_churn_dataset!$N$2:$N$1501,MATCH($A639,customer_churn_dataset!$A$2:$A$1501,0))</f>
        <v>497.04</v>
      </c>
      <c r="I638" s="0" t="n">
        <f aca="false">INDEX(customer_churn_dataset!$O$2:$O$1501,MATCH($A639,customer_churn_dataset!$A$2:$A$1501,0))</f>
        <v>0</v>
      </c>
      <c r="J638" s="0" t="n">
        <f aca="false">INDEX(customer_churn_dataset!$T$2:$T$1501,MATCH($A639,customer_churn_dataset!$A$2:$A$1501,0))</f>
        <v>5</v>
      </c>
      <c r="K638" s="0" t="str">
        <f aca="false">INDEX(customer_churn_dataset!$V$2:$V$1501,MATCH($A639,customer_churn_dataset!$A$2:$A$1501,0))</f>
        <v>Medium Risk</v>
      </c>
    </row>
    <row r="639" customFormat="false" ht="12.8" hidden="true" customHeight="false" outlineLevel="0" collapsed="false">
      <c r="A639" s="22" t="str">
        <f aca="false">customer_churn_dataset!A906</f>
        <v>CUST100320</v>
      </c>
      <c r="B639" s="22" t="str">
        <f aca="false">customer_churn_dataset!B906</f>
        <v>Standard</v>
      </c>
      <c r="C639" s="22" t="str">
        <f aca="false">customer_churn_dataset!C906</f>
        <v>Two year</v>
      </c>
      <c r="D639" s="0" t="n">
        <f aca="false">INDEX(customer_churn_dataset!$E$2:$E$1501,MATCH($A640,customer_churn_dataset!$A$2:$A$1501,0))</f>
        <v>17</v>
      </c>
      <c r="E639" s="0" t="n">
        <f aca="false">INDEX(customer_churn_dataset!$I$2:$I$1501,MATCH($A640,customer_churn_dataset!$A$2:$A$1501,0))</f>
        <v>85.4</v>
      </c>
      <c r="F639" s="0" t="n">
        <f aca="false">INDEX(customer_churn_dataset!$L$2:$L$1501,MATCH($A640,customer_churn_dataset!$A$2:$A$1501,0))</f>
        <v>0</v>
      </c>
      <c r="G639" s="0" t="str">
        <f aca="false">IF(INDEX(customer_churn_dataset!$M$2:$M$1501,MATCH($A640,customer_churn_dataset!$A$2:$A$1501,0))=1,"Yes","No")</f>
        <v>No</v>
      </c>
      <c r="H639" s="0" t="n">
        <f aca="false">INDEX(customer_churn_dataset!$N$2:$N$1501,MATCH($A640,customer_churn_dataset!$A$2:$A$1501,0))</f>
        <v>327.42</v>
      </c>
      <c r="I639" s="0" t="n">
        <f aca="false">INDEX(customer_churn_dataset!$O$2:$O$1501,MATCH($A640,customer_churn_dataset!$A$2:$A$1501,0))</f>
        <v>0</v>
      </c>
      <c r="J639" s="0" t="n">
        <f aca="false">INDEX(customer_churn_dataset!$T$2:$T$1501,MATCH($A640,customer_churn_dataset!$A$2:$A$1501,0))</f>
        <v>2</v>
      </c>
      <c r="K639" s="0" t="str">
        <f aca="false">INDEX(customer_churn_dataset!$V$2:$V$1501,MATCH($A640,customer_churn_dataset!$A$2:$A$1501,0))</f>
        <v>Low Risk</v>
      </c>
    </row>
    <row r="640" customFormat="false" ht="12.8" hidden="true" customHeight="false" outlineLevel="0" collapsed="false">
      <c r="A640" s="22" t="str">
        <f aca="false">customer_churn_dataset!A909</f>
        <v>CUST101456</v>
      </c>
      <c r="B640" s="22" t="str">
        <f aca="false">customer_churn_dataset!B909</f>
        <v>Standard</v>
      </c>
      <c r="C640" s="22" t="str">
        <f aca="false">customer_churn_dataset!C909</f>
        <v>Month-to-month</v>
      </c>
      <c r="D640" s="0" t="n">
        <f aca="false">INDEX(customer_churn_dataset!$E$2:$E$1501,MATCH($A641,customer_churn_dataset!$A$2:$A$1501,0))</f>
        <v>14</v>
      </c>
      <c r="E640" s="0" t="n">
        <f aca="false">INDEX(customer_churn_dataset!$I$2:$I$1501,MATCH($A641,customer_churn_dataset!$A$2:$A$1501,0))</f>
        <v>46.9</v>
      </c>
      <c r="F640" s="0" t="n">
        <f aca="false">INDEX(customer_churn_dataset!$L$2:$L$1501,MATCH($A641,customer_churn_dataset!$A$2:$A$1501,0))</f>
        <v>0</v>
      </c>
      <c r="G640" s="0" t="str">
        <f aca="false">IF(INDEX(customer_churn_dataset!$M$2:$M$1501,MATCH($A641,customer_churn_dataset!$A$2:$A$1501,0))=1,"Yes","No")</f>
        <v>No</v>
      </c>
      <c r="H640" s="0" t="n">
        <f aca="false">INDEX(customer_churn_dataset!$N$2:$N$1501,MATCH($A641,customer_churn_dataset!$A$2:$A$1501,0))</f>
        <v>141.96</v>
      </c>
      <c r="I640" s="0" t="n">
        <f aca="false">INDEX(customer_churn_dataset!$O$2:$O$1501,MATCH($A641,customer_churn_dataset!$A$2:$A$1501,0))</f>
        <v>0</v>
      </c>
      <c r="J640" s="0" t="n">
        <f aca="false">INDEX(customer_churn_dataset!$T$2:$T$1501,MATCH($A641,customer_churn_dataset!$A$2:$A$1501,0))</f>
        <v>3</v>
      </c>
      <c r="K640" s="0" t="str">
        <f aca="false">INDEX(customer_churn_dataset!$V$2:$V$1501,MATCH($A641,customer_churn_dataset!$A$2:$A$1501,0))</f>
        <v>Medium Risk</v>
      </c>
    </row>
    <row r="641" customFormat="false" ht="12.8" hidden="true" customHeight="false" outlineLevel="0" collapsed="false">
      <c r="A641" s="22" t="str">
        <f aca="false">customer_churn_dataset!A910</f>
        <v>CUST101013</v>
      </c>
      <c r="B641" s="22" t="str">
        <f aca="false">customer_churn_dataset!B910</f>
        <v>Basic</v>
      </c>
      <c r="C641" s="22" t="str">
        <f aca="false">customer_churn_dataset!C910</f>
        <v>Month-to-month</v>
      </c>
      <c r="D641" s="0" t="n">
        <f aca="false">INDEX(customer_churn_dataset!$E$2:$E$1501,MATCH($A642,customer_churn_dataset!$A$2:$A$1501,0))</f>
        <v>17</v>
      </c>
      <c r="E641" s="0" t="n">
        <f aca="false">INDEX(customer_churn_dataset!$I$2:$I$1501,MATCH($A642,customer_churn_dataset!$A$2:$A$1501,0))</f>
        <v>63.2</v>
      </c>
      <c r="F641" s="0" t="n">
        <f aca="false">INDEX(customer_churn_dataset!$L$2:$L$1501,MATCH($A642,customer_churn_dataset!$A$2:$A$1501,0))</f>
        <v>1</v>
      </c>
      <c r="G641" s="0" t="str">
        <f aca="false">IF(INDEX(customer_churn_dataset!$M$2:$M$1501,MATCH($A642,customer_churn_dataset!$A$2:$A$1501,0))=1,"Yes","No")</f>
        <v>No</v>
      </c>
      <c r="H641" s="0" t="n">
        <f aca="false">INDEX(customer_churn_dataset!$N$2:$N$1501,MATCH($A642,customer_churn_dataset!$A$2:$A$1501,0))</f>
        <v>154.36</v>
      </c>
      <c r="I641" s="0" t="n">
        <f aca="false">INDEX(customer_churn_dataset!$O$2:$O$1501,MATCH($A642,customer_churn_dataset!$A$2:$A$1501,0))</f>
        <v>0</v>
      </c>
      <c r="J641" s="0" t="n">
        <f aca="false">INDEX(customer_churn_dataset!$T$2:$T$1501,MATCH($A642,customer_churn_dataset!$A$2:$A$1501,0))</f>
        <v>2</v>
      </c>
      <c r="K641" s="0" t="str">
        <f aca="false">INDEX(customer_churn_dataset!$V$2:$V$1501,MATCH($A642,customer_churn_dataset!$A$2:$A$1501,0))</f>
        <v>Low Risk</v>
      </c>
    </row>
    <row r="642" customFormat="false" ht="12.8" hidden="true" customHeight="false" outlineLevel="0" collapsed="false">
      <c r="A642" s="22" t="str">
        <f aca="false">customer_churn_dataset!A918</f>
        <v>CUST101490</v>
      </c>
      <c r="B642" s="22" t="str">
        <f aca="false">customer_churn_dataset!B918</f>
        <v>Basic</v>
      </c>
      <c r="C642" s="22" t="str">
        <f aca="false">customer_churn_dataset!C918</f>
        <v>Month-to-month</v>
      </c>
      <c r="D642" s="0" t="n">
        <f aca="false">INDEX(customer_churn_dataset!$E$2:$E$1501,MATCH($A643,customer_churn_dataset!$A$2:$A$1501,0))</f>
        <v>9</v>
      </c>
      <c r="E642" s="0" t="n">
        <f aca="false">INDEX(customer_churn_dataset!$I$2:$I$1501,MATCH($A643,customer_churn_dataset!$A$2:$A$1501,0))</f>
        <v>98.9</v>
      </c>
      <c r="F642" s="0" t="n">
        <f aca="false">INDEX(customer_churn_dataset!$L$2:$L$1501,MATCH($A643,customer_churn_dataset!$A$2:$A$1501,0))</f>
        <v>2</v>
      </c>
      <c r="G642" s="0" t="str">
        <f aca="false">IF(INDEX(customer_churn_dataset!$M$2:$M$1501,MATCH($A643,customer_churn_dataset!$A$2:$A$1501,0))=1,"Yes","No")</f>
        <v>Yes</v>
      </c>
      <c r="H642" s="0" t="n">
        <f aca="false">INDEX(customer_churn_dataset!$N$2:$N$1501,MATCH($A643,customer_churn_dataset!$A$2:$A$1501,0))</f>
        <v>167.67</v>
      </c>
      <c r="I642" s="0" t="n">
        <f aca="false">INDEX(customer_churn_dataset!$O$2:$O$1501,MATCH($A643,customer_churn_dataset!$A$2:$A$1501,0))</f>
        <v>0</v>
      </c>
      <c r="J642" s="0" t="n">
        <f aca="false">INDEX(customer_churn_dataset!$T$2:$T$1501,MATCH($A643,customer_churn_dataset!$A$2:$A$1501,0))</f>
        <v>5</v>
      </c>
      <c r="K642" s="0" t="str">
        <f aca="false">INDEX(customer_churn_dataset!$V$2:$V$1501,MATCH($A643,customer_churn_dataset!$A$2:$A$1501,0))</f>
        <v>Medium Risk</v>
      </c>
    </row>
    <row r="643" customFormat="false" ht="12.8" hidden="true" customHeight="false" outlineLevel="0" collapsed="false">
      <c r="A643" s="22" t="str">
        <f aca="false">customer_churn_dataset!A919</f>
        <v>CUST100413</v>
      </c>
      <c r="B643" s="22" t="str">
        <f aca="false">customer_churn_dataset!B919</f>
        <v>Standard</v>
      </c>
      <c r="C643" s="22" t="str">
        <f aca="false">customer_churn_dataset!C919</f>
        <v>Two year</v>
      </c>
      <c r="D643" s="0" t="n">
        <f aca="false">INDEX(customer_churn_dataset!$E$2:$E$1501,MATCH($A644,customer_churn_dataset!$A$2:$A$1501,0))</f>
        <v>3</v>
      </c>
      <c r="E643" s="0" t="n">
        <f aca="false">INDEX(customer_churn_dataset!$I$2:$I$1501,MATCH($A644,customer_churn_dataset!$A$2:$A$1501,0))</f>
        <v>88.8</v>
      </c>
      <c r="F643" s="0" t="n">
        <f aca="false">INDEX(customer_churn_dataset!$L$2:$L$1501,MATCH($A644,customer_churn_dataset!$A$2:$A$1501,0))</f>
        <v>0</v>
      </c>
      <c r="G643" s="0" t="str">
        <f aca="false">IF(INDEX(customer_churn_dataset!$M$2:$M$1501,MATCH($A644,customer_churn_dataset!$A$2:$A$1501,0))=1,"Yes","No")</f>
        <v>No</v>
      </c>
      <c r="H643" s="0" t="n">
        <f aca="false">INDEX(customer_churn_dataset!$N$2:$N$1501,MATCH($A644,customer_churn_dataset!$A$2:$A$1501,0))</f>
        <v>29.61</v>
      </c>
      <c r="I643" s="0" t="n">
        <f aca="false">INDEX(customer_churn_dataset!$O$2:$O$1501,MATCH($A644,customer_churn_dataset!$A$2:$A$1501,0))</f>
        <v>1</v>
      </c>
      <c r="J643" s="0" t="n">
        <f aca="false">INDEX(customer_churn_dataset!$T$2:$T$1501,MATCH($A644,customer_churn_dataset!$A$2:$A$1501,0))</f>
        <v>2</v>
      </c>
      <c r="K643" s="0" t="str">
        <f aca="false">INDEX(customer_churn_dataset!$V$2:$V$1501,MATCH($A644,customer_churn_dataset!$A$2:$A$1501,0))</f>
        <v>Low Risk</v>
      </c>
    </row>
    <row r="644" customFormat="false" ht="12.8" hidden="true" customHeight="false" outlineLevel="0" collapsed="false">
      <c r="A644" s="22" t="str">
        <f aca="false">customer_churn_dataset!A926</f>
        <v>CUST100316</v>
      </c>
      <c r="B644" s="22" t="str">
        <f aca="false">customer_churn_dataset!B926</f>
        <v>Basic</v>
      </c>
      <c r="C644" s="22" t="str">
        <f aca="false">customer_churn_dataset!C926</f>
        <v>One year</v>
      </c>
      <c r="D644" s="0" t="n">
        <f aca="false">INDEX(customer_churn_dataset!$E$2:$E$1501,MATCH($A645,customer_churn_dataset!$A$2:$A$1501,0))</f>
        <v>1</v>
      </c>
      <c r="E644" s="0" t="n">
        <f aca="false">INDEX(customer_churn_dataset!$I$2:$I$1501,MATCH($A645,customer_churn_dataset!$A$2:$A$1501,0))</f>
        <v>71.7</v>
      </c>
      <c r="F644" s="0" t="n">
        <f aca="false">INDEX(customer_churn_dataset!$L$2:$L$1501,MATCH($A645,customer_churn_dataset!$A$2:$A$1501,0))</f>
        <v>1</v>
      </c>
      <c r="G644" s="0" t="str">
        <f aca="false">IF(INDEX(customer_churn_dataset!$M$2:$M$1501,MATCH($A645,customer_churn_dataset!$A$2:$A$1501,0))=1,"Yes","No")</f>
        <v>Yes</v>
      </c>
      <c r="H644" s="0" t="n">
        <f aca="false">INDEX(customer_churn_dataset!$N$2:$N$1501,MATCH($A645,customer_churn_dataset!$A$2:$A$1501,0))</f>
        <v>10.1</v>
      </c>
      <c r="I644" s="0" t="n">
        <f aca="false">INDEX(customer_churn_dataset!$O$2:$O$1501,MATCH($A645,customer_churn_dataset!$A$2:$A$1501,0))</f>
        <v>1</v>
      </c>
      <c r="J644" s="0" t="n">
        <f aca="false">INDEX(customer_churn_dataset!$T$2:$T$1501,MATCH($A645,customer_churn_dataset!$A$2:$A$1501,0))</f>
        <v>6</v>
      </c>
      <c r="K644" s="0" t="str">
        <f aca="false">INDEX(customer_churn_dataset!$V$2:$V$1501,MATCH($A645,customer_churn_dataset!$A$2:$A$1501,0))</f>
        <v>High Risk</v>
      </c>
    </row>
    <row r="645" customFormat="false" ht="12.8" hidden="true" customHeight="false" outlineLevel="0" collapsed="false">
      <c r="A645" s="22" t="str">
        <f aca="false">customer_churn_dataset!A929</f>
        <v>CUST100460</v>
      </c>
      <c r="B645" s="22" t="str">
        <f aca="false">customer_churn_dataset!B929</f>
        <v>Basic</v>
      </c>
      <c r="C645" s="22" t="str">
        <f aca="false">customer_churn_dataset!C929</f>
        <v>Month-to-month</v>
      </c>
      <c r="D645" s="0" t="n">
        <f aca="false">INDEX(customer_churn_dataset!$E$2:$E$1501,MATCH($A646,customer_churn_dataset!$A$2:$A$1501,0))</f>
        <v>7</v>
      </c>
      <c r="E645" s="0" t="n">
        <f aca="false">INDEX(customer_churn_dataset!$I$2:$I$1501,MATCH($A646,customer_churn_dataset!$A$2:$A$1501,0))</f>
        <v>54.8</v>
      </c>
      <c r="F645" s="0" t="n">
        <f aca="false">INDEX(customer_churn_dataset!$L$2:$L$1501,MATCH($A646,customer_churn_dataset!$A$2:$A$1501,0))</f>
        <v>1</v>
      </c>
      <c r="G645" s="0" t="str">
        <f aca="false">IF(INDEX(customer_churn_dataset!$M$2:$M$1501,MATCH($A646,customer_churn_dataset!$A$2:$A$1501,0))=1,"Yes","No")</f>
        <v>Yes</v>
      </c>
      <c r="H645" s="0" t="n">
        <f aca="false">INDEX(customer_churn_dataset!$N$2:$N$1501,MATCH($A646,customer_churn_dataset!$A$2:$A$1501,0))</f>
        <v>134.68</v>
      </c>
      <c r="I645" s="0" t="n">
        <f aca="false">INDEX(customer_churn_dataset!$O$2:$O$1501,MATCH($A646,customer_churn_dataset!$A$2:$A$1501,0))</f>
        <v>0</v>
      </c>
      <c r="J645" s="0" t="n">
        <f aca="false">INDEX(customer_churn_dataset!$T$2:$T$1501,MATCH($A646,customer_churn_dataset!$A$2:$A$1501,0))</f>
        <v>7</v>
      </c>
      <c r="K645" s="0" t="str">
        <f aca="false">INDEX(customer_churn_dataset!$V$2:$V$1501,MATCH($A646,customer_churn_dataset!$A$2:$A$1501,0))</f>
        <v>High Risk</v>
      </c>
    </row>
    <row r="646" customFormat="false" ht="12.8" hidden="true" customHeight="false" outlineLevel="0" collapsed="false">
      <c r="A646" s="22" t="str">
        <f aca="false">customer_churn_dataset!A935</f>
        <v>CUST100627</v>
      </c>
      <c r="B646" s="22" t="str">
        <f aca="false">customer_churn_dataset!B935</f>
        <v>Standard</v>
      </c>
      <c r="C646" s="22" t="str">
        <f aca="false">customer_churn_dataset!C935</f>
        <v>Month-to-month</v>
      </c>
      <c r="D646" s="0" t="n">
        <f aca="false">INDEX(customer_churn_dataset!$E$2:$E$1501,MATCH($A647,customer_churn_dataset!$A$2:$A$1501,0))</f>
        <v>22</v>
      </c>
      <c r="E646" s="0" t="n">
        <f aca="false">INDEX(customer_churn_dataset!$I$2:$I$1501,MATCH($A647,customer_churn_dataset!$A$2:$A$1501,0))</f>
        <v>36</v>
      </c>
      <c r="F646" s="0" t="n">
        <f aca="false">INDEX(customer_churn_dataset!$L$2:$L$1501,MATCH($A647,customer_churn_dataset!$A$2:$A$1501,0))</f>
        <v>1</v>
      </c>
      <c r="G646" s="0" t="str">
        <f aca="false">IF(INDEX(customer_churn_dataset!$M$2:$M$1501,MATCH($A647,customer_churn_dataset!$A$2:$A$1501,0))=1,"Yes","No")</f>
        <v>No</v>
      </c>
      <c r="H646" s="0" t="n">
        <f aca="false">INDEX(customer_churn_dataset!$N$2:$N$1501,MATCH($A647,customer_churn_dataset!$A$2:$A$1501,0))</f>
        <v>925.1</v>
      </c>
      <c r="I646" s="0" t="n">
        <f aca="false">INDEX(customer_churn_dataset!$O$2:$O$1501,MATCH($A647,customer_churn_dataset!$A$2:$A$1501,0))</f>
        <v>0</v>
      </c>
      <c r="J646" s="0" t="n">
        <f aca="false">INDEX(customer_churn_dataset!$T$2:$T$1501,MATCH($A647,customer_churn_dataset!$A$2:$A$1501,0))</f>
        <v>4</v>
      </c>
      <c r="K646" s="0" t="str">
        <f aca="false">INDEX(customer_churn_dataset!$V$2:$V$1501,MATCH($A647,customer_churn_dataset!$A$2:$A$1501,0))</f>
        <v>Medium Risk</v>
      </c>
    </row>
    <row r="647" customFormat="false" ht="12.8" hidden="true" customHeight="false" outlineLevel="0" collapsed="false">
      <c r="A647" s="22" t="str">
        <f aca="false">customer_churn_dataset!A936</f>
        <v>CUST100336</v>
      </c>
      <c r="B647" s="22" t="str">
        <f aca="false">customer_churn_dataset!B936</f>
        <v>Premium</v>
      </c>
      <c r="C647" s="22" t="str">
        <f aca="false">customer_churn_dataset!C936</f>
        <v>Month-to-month</v>
      </c>
      <c r="D647" s="0" t="n">
        <f aca="false">INDEX(customer_churn_dataset!$E$2:$E$1501,MATCH($A648,customer_churn_dataset!$A$2:$A$1501,0))</f>
        <v>4</v>
      </c>
      <c r="E647" s="0" t="n">
        <f aca="false">INDEX(customer_churn_dataset!$I$2:$I$1501,MATCH($A648,customer_churn_dataset!$A$2:$A$1501,0))</f>
        <v>74.4</v>
      </c>
      <c r="F647" s="0" t="n">
        <f aca="false">INDEX(customer_churn_dataset!$L$2:$L$1501,MATCH($A648,customer_churn_dataset!$A$2:$A$1501,0))</f>
        <v>1</v>
      </c>
      <c r="G647" s="0" t="str">
        <f aca="false">IF(INDEX(customer_churn_dataset!$M$2:$M$1501,MATCH($A648,customer_churn_dataset!$A$2:$A$1501,0))=1,"Yes","No")</f>
        <v>No</v>
      </c>
      <c r="H647" s="0" t="n">
        <f aca="false">INDEX(customer_churn_dataset!$N$2:$N$1501,MATCH($A648,customer_churn_dataset!$A$2:$A$1501,0))</f>
        <v>33.52</v>
      </c>
      <c r="I647" s="0" t="n">
        <f aca="false">INDEX(customer_churn_dataset!$O$2:$O$1501,MATCH($A648,customer_churn_dataset!$A$2:$A$1501,0))</f>
        <v>0</v>
      </c>
      <c r="J647" s="0" t="n">
        <f aca="false">INDEX(customer_churn_dataset!$T$2:$T$1501,MATCH($A648,customer_churn_dataset!$A$2:$A$1501,0))</f>
        <v>3</v>
      </c>
      <c r="K647" s="0" t="str">
        <f aca="false">INDEX(customer_churn_dataset!$V$2:$V$1501,MATCH($A648,customer_churn_dataset!$A$2:$A$1501,0))</f>
        <v>Medium Risk</v>
      </c>
    </row>
    <row r="648" customFormat="false" ht="12.8" hidden="true" customHeight="false" outlineLevel="0" collapsed="false">
      <c r="A648" s="22" t="str">
        <f aca="false">customer_churn_dataset!A937</f>
        <v>CUST100850</v>
      </c>
      <c r="B648" s="22" t="str">
        <f aca="false">customer_churn_dataset!B937</f>
        <v>Basic</v>
      </c>
      <c r="C648" s="22" t="str">
        <f aca="false">customer_churn_dataset!C937</f>
        <v>Month-to-month</v>
      </c>
      <c r="D648" s="0" t="n">
        <f aca="false">INDEX(customer_churn_dataset!$E$2:$E$1501,MATCH($A649,customer_churn_dataset!$A$2:$A$1501,0))</f>
        <v>2</v>
      </c>
      <c r="E648" s="0" t="n">
        <f aca="false">INDEX(customer_churn_dataset!$I$2:$I$1501,MATCH($A649,customer_churn_dataset!$A$2:$A$1501,0))</f>
        <v>40.3</v>
      </c>
      <c r="F648" s="0" t="n">
        <f aca="false">INDEX(customer_churn_dataset!$L$2:$L$1501,MATCH($A649,customer_churn_dataset!$A$2:$A$1501,0))</f>
        <v>1</v>
      </c>
      <c r="G648" s="0" t="str">
        <f aca="false">IF(INDEX(customer_churn_dataset!$M$2:$M$1501,MATCH($A649,customer_churn_dataset!$A$2:$A$1501,0))=1,"Yes","No")</f>
        <v>No</v>
      </c>
      <c r="H648" s="0" t="n">
        <f aca="false">INDEX(customer_churn_dataset!$N$2:$N$1501,MATCH($A649,customer_churn_dataset!$A$2:$A$1501,0))</f>
        <v>21.56</v>
      </c>
      <c r="I648" s="0" t="n">
        <f aca="false">INDEX(customer_churn_dataset!$O$2:$O$1501,MATCH($A649,customer_churn_dataset!$A$2:$A$1501,0))</f>
        <v>0</v>
      </c>
      <c r="J648" s="0" t="n">
        <f aca="false">INDEX(customer_churn_dataset!$T$2:$T$1501,MATCH($A649,customer_churn_dataset!$A$2:$A$1501,0))</f>
        <v>4</v>
      </c>
      <c r="K648" s="0" t="str">
        <f aca="false">INDEX(customer_churn_dataset!$V$2:$V$1501,MATCH($A649,customer_churn_dataset!$A$2:$A$1501,0))</f>
        <v>Medium Risk</v>
      </c>
    </row>
    <row r="649" customFormat="false" ht="12.8" hidden="true" customHeight="false" outlineLevel="0" collapsed="false">
      <c r="A649" s="22" t="str">
        <f aca="false">customer_churn_dataset!A938</f>
        <v>CUST101338</v>
      </c>
      <c r="B649" s="22" t="str">
        <f aca="false">customer_churn_dataset!B938</f>
        <v>Basic</v>
      </c>
      <c r="C649" s="22" t="str">
        <f aca="false">customer_churn_dataset!C938</f>
        <v>Month-to-month</v>
      </c>
      <c r="D649" s="0" t="n">
        <f aca="false">INDEX(customer_churn_dataset!$E$2:$E$1501,MATCH($A650,customer_churn_dataset!$A$2:$A$1501,0))</f>
        <v>40</v>
      </c>
      <c r="E649" s="0" t="n">
        <f aca="false">INDEX(customer_churn_dataset!$I$2:$I$1501,MATCH($A650,customer_churn_dataset!$A$2:$A$1501,0))</f>
        <v>54</v>
      </c>
      <c r="F649" s="0" t="n">
        <f aca="false">INDEX(customer_churn_dataset!$L$2:$L$1501,MATCH($A650,customer_churn_dataset!$A$2:$A$1501,0))</f>
        <v>1</v>
      </c>
      <c r="G649" s="0" t="str">
        <f aca="false">IF(INDEX(customer_churn_dataset!$M$2:$M$1501,MATCH($A650,customer_churn_dataset!$A$2:$A$1501,0))=1,"Yes","No")</f>
        <v>Yes</v>
      </c>
      <c r="H649" s="0" t="n">
        <f aca="false">INDEX(customer_churn_dataset!$N$2:$N$1501,MATCH($A650,customer_churn_dataset!$A$2:$A$1501,0))</f>
        <v>1619.6</v>
      </c>
      <c r="I649" s="0" t="n">
        <f aca="false">INDEX(customer_churn_dataset!$O$2:$O$1501,MATCH($A650,customer_churn_dataset!$A$2:$A$1501,0))</f>
        <v>1</v>
      </c>
      <c r="J649" s="0" t="n">
        <f aca="false">INDEX(customer_churn_dataset!$T$2:$T$1501,MATCH($A650,customer_churn_dataset!$A$2:$A$1501,0))</f>
        <v>6</v>
      </c>
      <c r="K649" s="0" t="str">
        <f aca="false">INDEX(customer_churn_dataset!$V$2:$V$1501,MATCH($A650,customer_churn_dataset!$A$2:$A$1501,0))</f>
        <v>High Risk</v>
      </c>
    </row>
    <row r="650" customFormat="false" ht="12.8" hidden="true" customHeight="false" outlineLevel="0" collapsed="false">
      <c r="A650" s="22" t="str">
        <f aca="false">customer_churn_dataset!A944</f>
        <v>CUST100771</v>
      </c>
      <c r="B650" s="22" t="str">
        <f aca="false">customer_churn_dataset!B944</f>
        <v>Premium</v>
      </c>
      <c r="C650" s="22" t="str">
        <f aca="false">customer_churn_dataset!C944</f>
        <v>Month-to-month</v>
      </c>
      <c r="D650" s="0" t="n">
        <f aca="false">INDEX(customer_churn_dataset!$E$2:$E$1501,MATCH($A651,customer_churn_dataset!$A$2:$A$1501,0))</f>
        <v>41</v>
      </c>
      <c r="E650" s="0" t="n">
        <f aca="false">INDEX(customer_churn_dataset!$I$2:$I$1501,MATCH($A651,customer_churn_dataset!$A$2:$A$1501,0))</f>
        <v>83.7</v>
      </c>
      <c r="F650" s="0" t="n">
        <f aca="false">INDEX(customer_churn_dataset!$L$2:$L$1501,MATCH($A651,customer_churn_dataset!$A$2:$A$1501,0))</f>
        <v>1</v>
      </c>
      <c r="G650" s="0" t="str">
        <f aca="false">IF(INDEX(customer_churn_dataset!$M$2:$M$1501,MATCH($A651,customer_churn_dataset!$A$2:$A$1501,0))=1,"Yes","No")</f>
        <v>No</v>
      </c>
      <c r="H650" s="0" t="n">
        <f aca="false">INDEX(customer_churn_dataset!$N$2:$N$1501,MATCH($A651,customer_churn_dataset!$A$2:$A$1501,0))</f>
        <v>832.71</v>
      </c>
      <c r="I650" s="0" t="n">
        <f aca="false">INDEX(customer_churn_dataset!$O$2:$O$1501,MATCH($A651,customer_churn_dataset!$A$2:$A$1501,0))</f>
        <v>0</v>
      </c>
      <c r="J650" s="0" t="n">
        <f aca="false">INDEX(customer_churn_dataset!$T$2:$T$1501,MATCH($A651,customer_churn_dataset!$A$2:$A$1501,0))</f>
        <v>2</v>
      </c>
      <c r="K650" s="0" t="str">
        <f aca="false">INDEX(customer_churn_dataset!$V$2:$V$1501,MATCH($A651,customer_churn_dataset!$A$2:$A$1501,0))</f>
        <v>Low Risk</v>
      </c>
    </row>
    <row r="651" customFormat="false" ht="12.8" hidden="true" customHeight="false" outlineLevel="0" collapsed="false">
      <c r="A651" s="22" t="str">
        <f aca="false">customer_churn_dataset!A950</f>
        <v>CUST101107</v>
      </c>
      <c r="B651" s="22" t="str">
        <f aca="false">customer_churn_dataset!B950</f>
        <v>Standard</v>
      </c>
      <c r="C651" s="22" t="str">
        <f aca="false">customer_churn_dataset!C950</f>
        <v>Month-to-month</v>
      </c>
      <c r="D651" s="0" t="n">
        <f aca="false">INDEX(customer_churn_dataset!$E$2:$E$1501,MATCH($A652,customer_churn_dataset!$A$2:$A$1501,0))</f>
        <v>16</v>
      </c>
      <c r="E651" s="0" t="n">
        <f aca="false">INDEX(customer_churn_dataset!$I$2:$I$1501,MATCH($A652,customer_churn_dataset!$A$2:$A$1501,0))</f>
        <v>34.4</v>
      </c>
      <c r="F651" s="0" t="n">
        <f aca="false">INDEX(customer_churn_dataset!$L$2:$L$1501,MATCH($A652,customer_churn_dataset!$A$2:$A$1501,0))</f>
        <v>1</v>
      </c>
      <c r="G651" s="0" t="str">
        <f aca="false">IF(INDEX(customer_churn_dataset!$M$2:$M$1501,MATCH($A652,customer_churn_dataset!$A$2:$A$1501,0))=1,"Yes","No")</f>
        <v>No</v>
      </c>
      <c r="H651" s="0" t="n">
        <f aca="false">INDEX(customer_churn_dataset!$N$2:$N$1501,MATCH($A652,customer_churn_dataset!$A$2:$A$1501,0))</f>
        <v>662.24</v>
      </c>
      <c r="I651" s="0" t="n">
        <f aca="false">INDEX(customer_churn_dataset!$O$2:$O$1501,MATCH($A652,customer_churn_dataset!$A$2:$A$1501,0))</f>
        <v>0</v>
      </c>
      <c r="J651" s="0" t="n">
        <f aca="false">INDEX(customer_churn_dataset!$T$2:$T$1501,MATCH($A652,customer_churn_dataset!$A$2:$A$1501,0))</f>
        <v>3</v>
      </c>
      <c r="K651" s="0" t="str">
        <f aca="false">INDEX(customer_churn_dataset!$V$2:$V$1501,MATCH($A652,customer_churn_dataset!$A$2:$A$1501,0))</f>
        <v>Medium Risk</v>
      </c>
    </row>
    <row r="652" customFormat="false" ht="12.8" hidden="true" customHeight="false" outlineLevel="0" collapsed="false">
      <c r="A652" s="22" t="str">
        <f aca="false">customer_churn_dataset!A951</f>
        <v>CUST101466</v>
      </c>
      <c r="B652" s="22" t="str">
        <f aca="false">customer_churn_dataset!B951</f>
        <v>Premium</v>
      </c>
      <c r="C652" s="22" t="str">
        <f aca="false">customer_churn_dataset!C951</f>
        <v>One year</v>
      </c>
      <c r="D652" s="0" t="n">
        <f aca="false">INDEX(customer_churn_dataset!$E$2:$E$1501,MATCH($A653,customer_churn_dataset!$A$2:$A$1501,0))</f>
        <v>19</v>
      </c>
      <c r="E652" s="0" t="n">
        <f aca="false">INDEX(customer_churn_dataset!$I$2:$I$1501,MATCH($A653,customer_churn_dataset!$A$2:$A$1501,0))</f>
        <v>60.8</v>
      </c>
      <c r="F652" s="0" t="n">
        <f aca="false">INDEX(customer_churn_dataset!$L$2:$L$1501,MATCH($A653,customer_churn_dataset!$A$2:$A$1501,0))</f>
        <v>0</v>
      </c>
      <c r="G652" s="0" t="str">
        <f aca="false">IF(INDEX(customer_churn_dataset!$M$2:$M$1501,MATCH($A653,customer_churn_dataset!$A$2:$A$1501,0))=1,"Yes","No")</f>
        <v>No</v>
      </c>
      <c r="H652" s="0" t="n">
        <f aca="false">INDEX(customer_churn_dataset!$N$2:$N$1501,MATCH($A653,customer_churn_dataset!$A$2:$A$1501,0))</f>
        <v>771.02</v>
      </c>
      <c r="I652" s="0" t="n">
        <f aca="false">INDEX(customer_churn_dataset!$O$2:$O$1501,MATCH($A653,customer_churn_dataset!$A$2:$A$1501,0))</f>
        <v>0</v>
      </c>
      <c r="J652" s="0" t="n">
        <f aca="false">INDEX(customer_churn_dataset!$T$2:$T$1501,MATCH($A653,customer_churn_dataset!$A$2:$A$1501,0))</f>
        <v>1</v>
      </c>
      <c r="K652" s="0" t="str">
        <f aca="false">INDEX(customer_churn_dataset!$V$2:$V$1501,MATCH($A653,customer_churn_dataset!$A$2:$A$1501,0))</f>
        <v>Low Risk</v>
      </c>
    </row>
    <row r="653" customFormat="false" ht="12.8" hidden="true" customHeight="false" outlineLevel="0" collapsed="false">
      <c r="A653" s="22" t="str">
        <f aca="false">customer_churn_dataset!A958</f>
        <v>CUST100810</v>
      </c>
      <c r="B653" s="22" t="str">
        <f aca="false">customer_churn_dataset!B958</f>
        <v>Premium</v>
      </c>
      <c r="C653" s="22" t="str">
        <f aca="false">customer_churn_dataset!C958</f>
        <v>One year</v>
      </c>
      <c r="D653" s="0" t="n">
        <f aca="false">INDEX(customer_churn_dataset!$E$2:$E$1501,MATCH($A654,customer_churn_dataset!$A$2:$A$1501,0))</f>
        <v>18</v>
      </c>
      <c r="E653" s="0" t="n">
        <f aca="false">INDEX(customer_churn_dataset!$I$2:$I$1501,MATCH($A654,customer_churn_dataset!$A$2:$A$1501,0))</f>
        <v>89.9</v>
      </c>
      <c r="F653" s="0" t="n">
        <f aca="false">INDEX(customer_churn_dataset!$L$2:$L$1501,MATCH($A654,customer_churn_dataset!$A$2:$A$1501,0))</f>
        <v>1</v>
      </c>
      <c r="G653" s="0" t="str">
        <f aca="false">IF(INDEX(customer_churn_dataset!$M$2:$M$1501,MATCH($A654,customer_churn_dataset!$A$2:$A$1501,0))=1,"Yes","No")</f>
        <v>Yes</v>
      </c>
      <c r="H653" s="0" t="n">
        <f aca="false">INDEX(customer_churn_dataset!$N$2:$N$1501,MATCH($A654,customer_churn_dataset!$A$2:$A$1501,0))</f>
        <v>199.08</v>
      </c>
      <c r="I653" s="0" t="n">
        <f aca="false">INDEX(customer_churn_dataset!$O$2:$O$1501,MATCH($A654,customer_churn_dataset!$A$2:$A$1501,0))</f>
        <v>0</v>
      </c>
      <c r="J653" s="0" t="n">
        <f aca="false">INDEX(customer_churn_dataset!$T$2:$T$1501,MATCH($A654,customer_churn_dataset!$A$2:$A$1501,0))</f>
        <v>5</v>
      </c>
      <c r="K653" s="0" t="str">
        <f aca="false">INDEX(customer_churn_dataset!$V$2:$V$1501,MATCH($A654,customer_churn_dataset!$A$2:$A$1501,0))</f>
        <v>Medium Risk</v>
      </c>
    </row>
    <row r="654" customFormat="false" ht="12.8" hidden="true" customHeight="false" outlineLevel="0" collapsed="false">
      <c r="A654" s="22" t="str">
        <f aca="false">customer_churn_dataset!A959</f>
        <v>CUST101310</v>
      </c>
      <c r="B654" s="22" t="str">
        <f aca="false">customer_churn_dataset!B959</f>
        <v>Basic</v>
      </c>
      <c r="C654" s="22" t="str">
        <f aca="false">customer_churn_dataset!C959</f>
        <v>Month-to-month</v>
      </c>
      <c r="D654" s="0" t="n">
        <f aca="false">INDEX(customer_churn_dataset!$E$2:$E$1501,MATCH($A655,customer_churn_dataset!$A$2:$A$1501,0))</f>
        <v>16</v>
      </c>
      <c r="E654" s="0" t="n">
        <f aca="false">INDEX(customer_churn_dataset!$I$2:$I$1501,MATCH($A655,customer_churn_dataset!$A$2:$A$1501,0))</f>
        <v>42.6</v>
      </c>
      <c r="F654" s="0" t="n">
        <f aca="false">INDEX(customer_churn_dataset!$L$2:$L$1501,MATCH($A655,customer_churn_dataset!$A$2:$A$1501,0))</f>
        <v>0</v>
      </c>
      <c r="G654" s="0" t="str">
        <f aca="false">IF(INDEX(customer_churn_dataset!$M$2:$M$1501,MATCH($A655,customer_churn_dataset!$A$2:$A$1501,0))=1,"Yes","No")</f>
        <v>No</v>
      </c>
      <c r="H654" s="0" t="n">
        <f aca="false">INDEX(customer_churn_dataset!$N$2:$N$1501,MATCH($A655,customer_churn_dataset!$A$2:$A$1501,0))</f>
        <v>316.48</v>
      </c>
      <c r="I654" s="0" t="n">
        <f aca="false">INDEX(customer_churn_dataset!$O$2:$O$1501,MATCH($A655,customer_churn_dataset!$A$2:$A$1501,0))</f>
        <v>0</v>
      </c>
      <c r="J654" s="0" t="n">
        <f aca="false">INDEX(customer_churn_dataset!$T$2:$T$1501,MATCH($A655,customer_churn_dataset!$A$2:$A$1501,0))</f>
        <v>2</v>
      </c>
      <c r="K654" s="0" t="str">
        <f aca="false">INDEX(customer_churn_dataset!$V$2:$V$1501,MATCH($A655,customer_churn_dataset!$A$2:$A$1501,0))</f>
        <v>Low Risk</v>
      </c>
    </row>
    <row r="655" customFormat="false" ht="12.8" hidden="true" customHeight="false" outlineLevel="0" collapsed="false">
      <c r="A655" s="22" t="str">
        <f aca="false">customer_churn_dataset!A962</f>
        <v>CUST100658</v>
      </c>
      <c r="B655" s="22" t="str">
        <f aca="false">customer_churn_dataset!B962</f>
        <v>Standard</v>
      </c>
      <c r="C655" s="22" t="str">
        <f aca="false">customer_churn_dataset!C962</f>
        <v>One year</v>
      </c>
      <c r="D655" s="0" t="n">
        <f aca="false">INDEX(customer_churn_dataset!$E$2:$E$1501,MATCH($A656,customer_churn_dataset!$A$2:$A$1501,0))</f>
        <v>15</v>
      </c>
      <c r="E655" s="0" t="n">
        <f aca="false">INDEX(customer_churn_dataset!$I$2:$I$1501,MATCH($A656,customer_churn_dataset!$A$2:$A$1501,0))</f>
        <v>32.4</v>
      </c>
      <c r="F655" s="0" t="n">
        <f aca="false">INDEX(customer_churn_dataset!$L$2:$L$1501,MATCH($A656,customer_churn_dataset!$A$2:$A$1501,0))</f>
        <v>0</v>
      </c>
      <c r="G655" s="0" t="str">
        <f aca="false">IF(INDEX(customer_churn_dataset!$M$2:$M$1501,MATCH($A656,customer_churn_dataset!$A$2:$A$1501,0))=1,"Yes","No")</f>
        <v>No</v>
      </c>
      <c r="H655" s="0" t="n">
        <f aca="false">INDEX(customer_churn_dataset!$N$2:$N$1501,MATCH($A656,customer_churn_dataset!$A$2:$A$1501,0))</f>
        <v>584.7</v>
      </c>
      <c r="I655" s="0" t="n">
        <f aca="false">INDEX(customer_churn_dataset!$O$2:$O$1501,MATCH($A656,customer_churn_dataset!$A$2:$A$1501,0))</f>
        <v>0</v>
      </c>
      <c r="J655" s="0" t="n">
        <f aca="false">INDEX(customer_churn_dataset!$T$2:$T$1501,MATCH($A656,customer_churn_dataset!$A$2:$A$1501,0))</f>
        <v>4</v>
      </c>
      <c r="K655" s="0" t="str">
        <f aca="false">INDEX(customer_churn_dataset!$V$2:$V$1501,MATCH($A656,customer_churn_dataset!$A$2:$A$1501,0))</f>
        <v>Medium Risk</v>
      </c>
    </row>
    <row r="656" customFormat="false" ht="12.8" hidden="true" customHeight="false" outlineLevel="0" collapsed="false">
      <c r="A656" s="22" t="str">
        <f aca="false">customer_churn_dataset!A963</f>
        <v>CUST100498</v>
      </c>
      <c r="B656" s="22" t="str">
        <f aca="false">customer_churn_dataset!B963</f>
        <v>Premium</v>
      </c>
      <c r="C656" s="22" t="str">
        <f aca="false">customer_churn_dataset!C963</f>
        <v>Month-to-month</v>
      </c>
      <c r="D656" s="0" t="n">
        <f aca="false">INDEX(customer_churn_dataset!$E$2:$E$1501,MATCH($A657,customer_churn_dataset!$A$2:$A$1501,0))</f>
        <v>0</v>
      </c>
      <c r="E656" s="0" t="n">
        <f aca="false">INDEX(customer_churn_dataset!$I$2:$I$1501,MATCH($A657,customer_churn_dataset!$A$2:$A$1501,0))</f>
        <v>35.7</v>
      </c>
      <c r="F656" s="0" t="n">
        <f aca="false">INDEX(customer_churn_dataset!$L$2:$L$1501,MATCH($A657,customer_churn_dataset!$A$2:$A$1501,0))</f>
        <v>0</v>
      </c>
      <c r="G656" s="0" t="str">
        <f aca="false">IF(INDEX(customer_churn_dataset!$M$2:$M$1501,MATCH($A657,customer_churn_dataset!$A$2:$A$1501,0))=1,"Yes","No")</f>
        <v>No</v>
      </c>
      <c r="H656" s="0" t="n">
        <f aca="false">INDEX(customer_churn_dataset!$N$2:$N$1501,MATCH($A657,customer_churn_dataset!$A$2:$A$1501,0))</f>
        <v>0</v>
      </c>
      <c r="I656" s="0" t="n">
        <f aca="false">INDEX(customer_churn_dataset!$O$2:$O$1501,MATCH($A657,customer_churn_dataset!$A$2:$A$1501,0))</f>
        <v>0</v>
      </c>
      <c r="J656" s="0" t="n">
        <f aca="false">INDEX(customer_churn_dataset!$T$2:$T$1501,MATCH($A657,customer_churn_dataset!$A$2:$A$1501,0))</f>
        <v>4</v>
      </c>
      <c r="K656" s="0" t="str">
        <f aca="false">INDEX(customer_churn_dataset!$V$2:$V$1501,MATCH($A657,customer_churn_dataset!$A$2:$A$1501,0))</f>
        <v>Medium Risk</v>
      </c>
    </row>
    <row r="657" customFormat="false" ht="12.8" hidden="true" customHeight="false" outlineLevel="0" collapsed="false">
      <c r="A657" s="22" t="str">
        <f aca="false">customer_churn_dataset!A964</f>
        <v>CUST100977</v>
      </c>
      <c r="B657" s="22" t="str">
        <f aca="false">customer_churn_dataset!B964</f>
        <v>Basic</v>
      </c>
      <c r="C657" s="22" t="str">
        <f aca="false">customer_churn_dataset!C964</f>
        <v>One year</v>
      </c>
      <c r="D657" s="0" t="n">
        <f aca="false">INDEX(customer_churn_dataset!$E$2:$E$1501,MATCH($A658,customer_churn_dataset!$A$2:$A$1501,0))</f>
        <v>72</v>
      </c>
      <c r="E657" s="0" t="n">
        <f aca="false">INDEX(customer_churn_dataset!$I$2:$I$1501,MATCH($A658,customer_churn_dataset!$A$2:$A$1501,0))</f>
        <v>57.4</v>
      </c>
      <c r="F657" s="0" t="n">
        <f aca="false">INDEX(customer_churn_dataset!$L$2:$L$1501,MATCH($A658,customer_churn_dataset!$A$2:$A$1501,0))</f>
        <v>0</v>
      </c>
      <c r="G657" s="0" t="str">
        <f aca="false">IF(INDEX(customer_churn_dataset!$M$2:$M$1501,MATCH($A658,customer_churn_dataset!$A$2:$A$1501,0))=1,"Yes","No")</f>
        <v>No</v>
      </c>
      <c r="H657" s="0" t="n">
        <f aca="false">INDEX(customer_churn_dataset!$N$2:$N$1501,MATCH($A658,customer_churn_dataset!$A$2:$A$1501,0))</f>
        <v>2932.56</v>
      </c>
      <c r="I657" s="0" t="n">
        <f aca="false">INDEX(customer_churn_dataset!$O$2:$O$1501,MATCH($A658,customer_churn_dataset!$A$2:$A$1501,0))</f>
        <v>0</v>
      </c>
      <c r="J657" s="0" t="n">
        <f aca="false">INDEX(customer_churn_dataset!$T$2:$T$1501,MATCH($A658,customer_churn_dataset!$A$2:$A$1501,0))</f>
        <v>1</v>
      </c>
      <c r="K657" s="0" t="str">
        <f aca="false">INDEX(customer_churn_dataset!$V$2:$V$1501,MATCH($A658,customer_churn_dataset!$A$2:$A$1501,0))</f>
        <v>Low Risk</v>
      </c>
    </row>
    <row r="658" customFormat="false" ht="12.8" hidden="false" customHeight="false" outlineLevel="0" collapsed="false">
      <c r="A658" s="23" t="str">
        <f aca="false">customer_churn_dataset!A971</f>
        <v>CUST101301</v>
      </c>
      <c r="B658" s="24" t="str">
        <f aca="false">customer_churn_dataset!B971</f>
        <v>Premium</v>
      </c>
      <c r="C658" s="24" t="str">
        <f aca="false">customer_churn_dataset!C971</f>
        <v>One year</v>
      </c>
      <c r="D658" s="25" t="n">
        <f aca="false">INDEX(customer_churn_dataset!$E$2:$E$1501,MATCH($A659,customer_churn_dataset!$A$2:$A$1501,0))</f>
        <v>8</v>
      </c>
      <c r="E658" s="25" t="n">
        <f aca="false">INDEX(customer_churn_dataset!$I$2:$I$1501,MATCH($A659,customer_churn_dataset!$A$2:$A$1501,0))</f>
        <v>18.3</v>
      </c>
      <c r="F658" s="25" t="n">
        <f aca="false">INDEX(customer_churn_dataset!$L$2:$L$1501,MATCH($A659,customer_churn_dataset!$A$2:$A$1501,0))</f>
        <v>4</v>
      </c>
      <c r="G658" s="25" t="str">
        <f aca="false">IF(INDEX(customer_churn_dataset!$M$2:$M$1501,MATCH($A659,customer_churn_dataset!$A$2:$A$1501,0))=1,"Yes","No")</f>
        <v>Yes</v>
      </c>
      <c r="H658" s="25" t="n">
        <f aca="false">INDEX(customer_churn_dataset!$N$2:$N$1501,MATCH($A659,customer_churn_dataset!$A$2:$A$1501,0))</f>
        <v>322</v>
      </c>
      <c r="I658" s="25" t="n">
        <f aca="false">INDEX(customer_churn_dataset!$O$2:$O$1501,MATCH($A659,customer_churn_dataset!$A$2:$A$1501,0))</f>
        <v>0</v>
      </c>
      <c r="J658" s="25" t="n">
        <f aca="false">INDEX(customer_churn_dataset!$T$2:$T$1501,MATCH($A659,customer_churn_dataset!$A$2:$A$1501,0))</f>
        <v>9</v>
      </c>
      <c r="K658" s="25" t="str">
        <f aca="false">INDEX(customer_churn_dataset!$V$2:$V$1501,MATCH($A659,customer_churn_dataset!$A$2:$A$1501,0))</f>
        <v>High Risk</v>
      </c>
    </row>
    <row r="659" customFormat="false" ht="12.8" hidden="true" customHeight="false" outlineLevel="0" collapsed="false">
      <c r="A659" s="22" t="str">
        <f aca="false">customer_churn_dataset!A982</f>
        <v>CUST101195</v>
      </c>
      <c r="B659" s="22" t="str">
        <f aca="false">customer_churn_dataset!B982</f>
        <v>Premium</v>
      </c>
      <c r="C659" s="22" t="str">
        <f aca="false">customer_churn_dataset!C982</f>
        <v>Month-to-month</v>
      </c>
      <c r="D659" s="0" t="n">
        <f aca="false">INDEX(customer_churn_dataset!$E$2:$E$1501,MATCH($A660,customer_churn_dataset!$A$2:$A$1501,0))</f>
        <v>1</v>
      </c>
      <c r="E659" s="0" t="n">
        <f aca="false">INDEX(customer_churn_dataset!$I$2:$I$1501,MATCH($A660,customer_churn_dataset!$A$2:$A$1501,0))</f>
        <v>37</v>
      </c>
      <c r="F659" s="0" t="n">
        <f aca="false">INDEX(customer_churn_dataset!$L$2:$L$1501,MATCH($A660,customer_churn_dataset!$A$2:$A$1501,0))</f>
        <v>3</v>
      </c>
      <c r="G659" s="0" t="str">
        <f aca="false">IF(INDEX(customer_churn_dataset!$M$2:$M$1501,MATCH($A660,customer_churn_dataset!$A$2:$A$1501,0))=1,"Yes","No")</f>
        <v>No</v>
      </c>
      <c r="H659" s="0" t="n">
        <f aca="false">INDEX(customer_churn_dataset!$N$2:$N$1501,MATCH($A660,customer_churn_dataset!$A$2:$A$1501,0))</f>
        <v>38.99</v>
      </c>
      <c r="I659" s="0" t="n">
        <f aca="false">INDEX(customer_churn_dataset!$O$2:$O$1501,MATCH($A660,customer_churn_dataset!$A$2:$A$1501,0))</f>
        <v>0</v>
      </c>
      <c r="J659" s="0" t="n">
        <f aca="false">INDEX(customer_churn_dataset!$T$2:$T$1501,MATCH($A660,customer_churn_dataset!$A$2:$A$1501,0))</f>
        <v>6</v>
      </c>
      <c r="K659" s="0" t="str">
        <f aca="false">INDEX(customer_churn_dataset!$V$2:$V$1501,MATCH($A660,customer_churn_dataset!$A$2:$A$1501,0))</f>
        <v>High Risk</v>
      </c>
    </row>
    <row r="660" customFormat="false" ht="12.8" hidden="true" customHeight="false" outlineLevel="0" collapsed="false">
      <c r="A660" s="22" t="str">
        <f aca="false">customer_churn_dataset!A985</f>
        <v>CUST101406</v>
      </c>
      <c r="B660" s="22" t="str">
        <f aca="false">customer_churn_dataset!B985</f>
        <v>Premium</v>
      </c>
      <c r="C660" s="22" t="str">
        <f aca="false">customer_churn_dataset!C985</f>
        <v>Month-to-month</v>
      </c>
      <c r="D660" s="0" t="n">
        <f aca="false">INDEX(customer_churn_dataset!$E$2:$E$1501,MATCH($A661,customer_churn_dataset!$A$2:$A$1501,0))</f>
        <v>40</v>
      </c>
      <c r="E660" s="0" t="n">
        <f aca="false">INDEX(customer_churn_dataset!$I$2:$I$1501,MATCH($A661,customer_churn_dataset!$A$2:$A$1501,0))</f>
        <v>69.1</v>
      </c>
      <c r="F660" s="0" t="n">
        <f aca="false">INDEX(customer_churn_dataset!$L$2:$L$1501,MATCH($A661,customer_churn_dataset!$A$2:$A$1501,0))</f>
        <v>1</v>
      </c>
      <c r="G660" s="0" t="str">
        <f aca="false">IF(INDEX(customer_churn_dataset!$M$2:$M$1501,MATCH($A661,customer_churn_dataset!$A$2:$A$1501,0))=1,"Yes","No")</f>
        <v>No</v>
      </c>
      <c r="H660" s="0" t="n">
        <f aca="false">INDEX(customer_churn_dataset!$N$2:$N$1501,MATCH($A661,customer_churn_dataset!$A$2:$A$1501,0))</f>
        <v>805.2</v>
      </c>
      <c r="I660" s="0" t="n">
        <f aca="false">INDEX(customer_churn_dataset!$O$2:$O$1501,MATCH($A661,customer_churn_dataset!$A$2:$A$1501,0))</f>
        <v>0</v>
      </c>
      <c r="J660" s="0" t="n">
        <f aca="false">INDEX(customer_churn_dataset!$T$2:$T$1501,MATCH($A661,customer_churn_dataset!$A$2:$A$1501,0))</f>
        <v>2</v>
      </c>
      <c r="K660" s="0" t="str">
        <f aca="false">INDEX(customer_churn_dataset!$V$2:$V$1501,MATCH($A661,customer_churn_dataset!$A$2:$A$1501,0))</f>
        <v>Low Risk</v>
      </c>
    </row>
    <row r="661" customFormat="false" ht="12.8" hidden="true" customHeight="false" outlineLevel="0" collapsed="false">
      <c r="A661" s="22" t="str">
        <f aca="false">customer_churn_dataset!A995</f>
        <v>CUST100749</v>
      </c>
      <c r="B661" s="22" t="str">
        <f aca="false">customer_churn_dataset!B995</f>
        <v>Standard</v>
      </c>
      <c r="C661" s="22" t="str">
        <f aca="false">customer_churn_dataset!C995</f>
        <v>Month-to-month</v>
      </c>
      <c r="D661" s="0" t="n">
        <f aca="false">INDEX(customer_churn_dataset!$E$2:$E$1501,MATCH($A662,customer_churn_dataset!$A$2:$A$1501,0))</f>
        <v>5</v>
      </c>
      <c r="E661" s="0" t="n">
        <f aca="false">INDEX(customer_churn_dataset!$I$2:$I$1501,MATCH($A662,customer_churn_dataset!$A$2:$A$1501,0))</f>
        <v>60.7</v>
      </c>
      <c r="F661" s="0" t="n">
        <f aca="false">INDEX(customer_churn_dataset!$L$2:$L$1501,MATCH($A662,customer_churn_dataset!$A$2:$A$1501,0))</f>
        <v>1</v>
      </c>
      <c r="G661" s="0" t="str">
        <f aca="false">IF(INDEX(customer_churn_dataset!$M$2:$M$1501,MATCH($A662,customer_churn_dataset!$A$2:$A$1501,0))=1,"Yes","No")</f>
        <v>No</v>
      </c>
      <c r="H661" s="0" t="n">
        <f aca="false">INDEX(customer_churn_dataset!$N$2:$N$1501,MATCH($A662,customer_churn_dataset!$A$2:$A$1501,0))</f>
        <v>195.35</v>
      </c>
      <c r="I661" s="0" t="n">
        <f aca="false">INDEX(customer_churn_dataset!$O$2:$O$1501,MATCH($A662,customer_churn_dataset!$A$2:$A$1501,0))</f>
        <v>0</v>
      </c>
      <c r="J661" s="0" t="n">
        <f aca="false">INDEX(customer_churn_dataset!$T$2:$T$1501,MATCH($A662,customer_churn_dataset!$A$2:$A$1501,0))</f>
        <v>3</v>
      </c>
      <c r="K661" s="0" t="str">
        <f aca="false">INDEX(customer_churn_dataset!$V$2:$V$1501,MATCH($A662,customer_churn_dataset!$A$2:$A$1501,0))</f>
        <v>Medium Risk</v>
      </c>
    </row>
    <row r="662" customFormat="false" ht="12.8" hidden="true" customHeight="false" outlineLevel="0" collapsed="false">
      <c r="A662" s="22" t="str">
        <f aca="false">customer_churn_dataset!A996</f>
        <v>CUST100513</v>
      </c>
      <c r="B662" s="22" t="str">
        <f aca="false">customer_churn_dataset!B996</f>
        <v>Premium</v>
      </c>
      <c r="C662" s="22" t="str">
        <f aca="false">customer_churn_dataset!C996</f>
        <v>Month-to-month</v>
      </c>
      <c r="D662" s="0" t="n">
        <f aca="false">INDEX(customer_churn_dataset!$E$2:$E$1501,MATCH($A663,customer_churn_dataset!$A$2:$A$1501,0))</f>
        <v>4</v>
      </c>
      <c r="E662" s="0" t="n">
        <f aca="false">INDEX(customer_churn_dataset!$I$2:$I$1501,MATCH($A663,customer_churn_dataset!$A$2:$A$1501,0))</f>
        <v>47.2</v>
      </c>
      <c r="F662" s="0" t="n">
        <f aca="false">INDEX(customer_churn_dataset!$L$2:$L$1501,MATCH($A663,customer_churn_dataset!$A$2:$A$1501,0))</f>
        <v>1</v>
      </c>
      <c r="G662" s="0" t="str">
        <f aca="false">IF(INDEX(customer_churn_dataset!$M$2:$M$1501,MATCH($A663,customer_churn_dataset!$A$2:$A$1501,0))=1,"Yes","No")</f>
        <v>No</v>
      </c>
      <c r="H662" s="0" t="n">
        <f aca="false">INDEX(customer_churn_dataset!$N$2:$N$1501,MATCH($A663,customer_churn_dataset!$A$2:$A$1501,0))</f>
        <v>39.76</v>
      </c>
      <c r="I662" s="0" t="n">
        <f aca="false">INDEX(customer_churn_dataset!$O$2:$O$1501,MATCH($A663,customer_churn_dataset!$A$2:$A$1501,0))</f>
        <v>0</v>
      </c>
      <c r="J662" s="0" t="n">
        <f aca="false">INDEX(customer_churn_dataset!$T$2:$T$1501,MATCH($A663,customer_churn_dataset!$A$2:$A$1501,0))</f>
        <v>4</v>
      </c>
      <c r="K662" s="0" t="str">
        <f aca="false">INDEX(customer_churn_dataset!$V$2:$V$1501,MATCH($A663,customer_churn_dataset!$A$2:$A$1501,0))</f>
        <v>Medium Risk</v>
      </c>
    </row>
    <row r="663" customFormat="false" ht="12.8" hidden="true" customHeight="false" outlineLevel="0" collapsed="false">
      <c r="A663" s="22" t="str">
        <f aca="false">customer_churn_dataset!A997</f>
        <v>CUST101413</v>
      </c>
      <c r="B663" s="22" t="str">
        <f aca="false">customer_churn_dataset!B997</f>
        <v>Basic</v>
      </c>
      <c r="C663" s="22" t="str">
        <f aca="false">customer_churn_dataset!C997</f>
        <v>Month-to-month</v>
      </c>
      <c r="D663" s="0" t="n">
        <f aca="false">INDEX(customer_churn_dataset!$E$2:$E$1501,MATCH($A664,customer_churn_dataset!$A$2:$A$1501,0))</f>
        <v>26</v>
      </c>
      <c r="E663" s="0" t="n">
        <f aca="false">INDEX(customer_churn_dataset!$I$2:$I$1501,MATCH($A664,customer_churn_dataset!$A$2:$A$1501,0))</f>
        <v>83.6</v>
      </c>
      <c r="F663" s="0" t="n">
        <f aca="false">INDEX(customer_churn_dataset!$L$2:$L$1501,MATCH($A664,customer_churn_dataset!$A$2:$A$1501,0))</f>
        <v>2</v>
      </c>
      <c r="G663" s="0" t="str">
        <f aca="false">IF(INDEX(customer_churn_dataset!$M$2:$M$1501,MATCH($A664,customer_churn_dataset!$A$2:$A$1501,0))=1,"Yes","No")</f>
        <v>Yes</v>
      </c>
      <c r="H663" s="0" t="n">
        <f aca="false">INDEX(customer_churn_dataset!$N$2:$N$1501,MATCH($A664,customer_churn_dataset!$A$2:$A$1501,0))</f>
        <v>233.74</v>
      </c>
      <c r="I663" s="0" t="n">
        <f aca="false">INDEX(customer_churn_dataset!$O$2:$O$1501,MATCH($A664,customer_churn_dataset!$A$2:$A$1501,0))</f>
        <v>0</v>
      </c>
      <c r="J663" s="0" t="n">
        <f aca="false">INDEX(customer_churn_dataset!$T$2:$T$1501,MATCH($A664,customer_churn_dataset!$A$2:$A$1501,0))</f>
        <v>6</v>
      </c>
      <c r="K663" s="0" t="str">
        <f aca="false">INDEX(customer_churn_dataset!$V$2:$V$1501,MATCH($A664,customer_churn_dataset!$A$2:$A$1501,0))</f>
        <v>High Risk</v>
      </c>
    </row>
    <row r="664" customFormat="false" ht="12.8" hidden="true" customHeight="false" outlineLevel="0" collapsed="false">
      <c r="A664" s="22" t="str">
        <f aca="false">customer_churn_dataset!A1000</f>
        <v>CUST100386</v>
      </c>
      <c r="B664" s="22" t="str">
        <f aca="false">customer_churn_dataset!B1000</f>
        <v>Basic</v>
      </c>
      <c r="C664" s="22" t="str">
        <f aca="false">customer_churn_dataset!C1000</f>
        <v>Month-to-month</v>
      </c>
      <c r="D664" s="0" t="n">
        <f aca="false">INDEX(customer_churn_dataset!$E$2:$E$1501,MATCH($A665,customer_churn_dataset!$A$2:$A$1501,0))</f>
        <v>2</v>
      </c>
      <c r="E664" s="0" t="n">
        <f aca="false">INDEX(customer_churn_dataset!$I$2:$I$1501,MATCH($A665,customer_churn_dataset!$A$2:$A$1501,0))</f>
        <v>88.6</v>
      </c>
      <c r="F664" s="0" t="n">
        <f aca="false">INDEX(customer_churn_dataset!$L$2:$L$1501,MATCH($A665,customer_churn_dataset!$A$2:$A$1501,0))</f>
        <v>0</v>
      </c>
      <c r="G664" s="0" t="str">
        <f aca="false">IF(INDEX(customer_churn_dataset!$M$2:$M$1501,MATCH($A665,customer_churn_dataset!$A$2:$A$1501,0))=1,"Yes","No")</f>
        <v>No</v>
      </c>
      <c r="H664" s="0" t="n">
        <f aca="false">INDEX(customer_churn_dataset!$N$2:$N$1501,MATCH($A665,customer_churn_dataset!$A$2:$A$1501,0))</f>
        <v>81.16</v>
      </c>
      <c r="I664" s="0" t="n">
        <f aca="false">INDEX(customer_churn_dataset!$O$2:$O$1501,MATCH($A665,customer_churn_dataset!$A$2:$A$1501,0))</f>
        <v>0</v>
      </c>
      <c r="J664" s="0" t="n">
        <f aca="false">INDEX(customer_churn_dataset!$T$2:$T$1501,MATCH($A665,customer_churn_dataset!$A$2:$A$1501,0))</f>
        <v>3</v>
      </c>
      <c r="K664" s="0" t="str">
        <f aca="false">INDEX(customer_churn_dataset!$V$2:$V$1501,MATCH($A665,customer_churn_dataset!$A$2:$A$1501,0))</f>
        <v>Medium Risk</v>
      </c>
    </row>
    <row r="665" customFormat="false" ht="12.8" hidden="true" customHeight="false" outlineLevel="0" collapsed="false">
      <c r="A665" s="22" t="str">
        <f aca="false">customer_churn_dataset!A1001</f>
        <v>CUST100530</v>
      </c>
      <c r="B665" s="22" t="str">
        <f aca="false">customer_churn_dataset!B1001</f>
        <v>Premium</v>
      </c>
      <c r="C665" s="22" t="str">
        <f aca="false">customer_churn_dataset!C1001</f>
        <v>Month-to-month</v>
      </c>
      <c r="D665" s="0" t="n">
        <f aca="false">INDEX(customer_churn_dataset!$E$2:$E$1501,MATCH($A666,customer_churn_dataset!$A$2:$A$1501,0))</f>
        <v>14</v>
      </c>
      <c r="E665" s="0" t="n">
        <f aca="false">INDEX(customer_churn_dataset!$I$2:$I$1501,MATCH($A666,customer_churn_dataset!$A$2:$A$1501,0))</f>
        <v>96.2</v>
      </c>
      <c r="F665" s="0" t="n">
        <f aca="false">INDEX(customer_churn_dataset!$L$2:$L$1501,MATCH($A666,customer_churn_dataset!$A$2:$A$1501,0))</f>
        <v>2</v>
      </c>
      <c r="G665" s="0" t="str">
        <f aca="false">IF(INDEX(customer_churn_dataset!$M$2:$M$1501,MATCH($A666,customer_churn_dataset!$A$2:$A$1501,0))=1,"Yes","No")</f>
        <v>Yes</v>
      </c>
      <c r="H665" s="0" t="n">
        <f aca="false">INDEX(customer_churn_dataset!$N$2:$N$1501,MATCH($A666,customer_churn_dataset!$A$2:$A$1501,0))</f>
        <v>142.1</v>
      </c>
      <c r="I665" s="0" t="n">
        <f aca="false">INDEX(customer_churn_dataset!$O$2:$O$1501,MATCH($A666,customer_churn_dataset!$A$2:$A$1501,0))</f>
        <v>0</v>
      </c>
      <c r="J665" s="0" t="n">
        <f aca="false">INDEX(customer_churn_dataset!$T$2:$T$1501,MATCH($A666,customer_churn_dataset!$A$2:$A$1501,0))</f>
        <v>6</v>
      </c>
      <c r="K665" s="0" t="str">
        <f aca="false">INDEX(customer_churn_dataset!$V$2:$V$1501,MATCH($A666,customer_churn_dataset!$A$2:$A$1501,0))</f>
        <v>High Risk</v>
      </c>
    </row>
    <row r="666" customFormat="false" ht="12.8" hidden="true" customHeight="false" outlineLevel="0" collapsed="false">
      <c r="A666" s="22" t="str">
        <f aca="false">customer_churn_dataset!A1009</f>
        <v>CUST100180</v>
      </c>
      <c r="B666" s="22" t="str">
        <f aca="false">customer_churn_dataset!B1009</f>
        <v>Basic</v>
      </c>
      <c r="C666" s="22" t="str">
        <f aca="false">customer_churn_dataset!C1009</f>
        <v>Month-to-month</v>
      </c>
      <c r="D666" s="0" t="n">
        <f aca="false">INDEX(customer_churn_dataset!$E$2:$E$1501,MATCH($A667,customer_churn_dataset!$A$2:$A$1501,0))</f>
        <v>13</v>
      </c>
      <c r="E666" s="0" t="n">
        <f aca="false">INDEX(customer_churn_dataset!$I$2:$I$1501,MATCH($A667,customer_churn_dataset!$A$2:$A$1501,0))</f>
        <v>50</v>
      </c>
      <c r="F666" s="0" t="n">
        <f aca="false">INDEX(customer_churn_dataset!$L$2:$L$1501,MATCH($A667,customer_churn_dataset!$A$2:$A$1501,0))</f>
        <v>0</v>
      </c>
      <c r="G666" s="0" t="str">
        <f aca="false">IF(INDEX(customer_churn_dataset!$M$2:$M$1501,MATCH($A667,customer_churn_dataset!$A$2:$A$1501,0))=1,"Yes","No")</f>
        <v>No</v>
      </c>
      <c r="H666" s="0" t="n">
        <f aca="false">INDEX(customer_churn_dataset!$N$2:$N$1501,MATCH($A667,customer_churn_dataset!$A$2:$A$1501,0))</f>
        <v>133.25</v>
      </c>
      <c r="I666" s="0" t="n">
        <f aca="false">INDEX(customer_churn_dataset!$O$2:$O$1501,MATCH($A667,customer_churn_dataset!$A$2:$A$1501,0))</f>
        <v>0</v>
      </c>
      <c r="J666" s="0" t="n">
        <f aca="false">INDEX(customer_churn_dataset!$T$2:$T$1501,MATCH($A667,customer_churn_dataset!$A$2:$A$1501,0))</f>
        <v>1</v>
      </c>
      <c r="K666" s="0" t="str">
        <f aca="false">INDEX(customer_churn_dataset!$V$2:$V$1501,MATCH($A667,customer_churn_dataset!$A$2:$A$1501,0))</f>
        <v>Low Risk</v>
      </c>
    </row>
    <row r="667" customFormat="false" ht="12.8" hidden="true" customHeight="false" outlineLevel="0" collapsed="false">
      <c r="A667" s="22" t="str">
        <f aca="false">customer_churn_dataset!A1012</f>
        <v>CUST101219</v>
      </c>
      <c r="B667" s="22" t="str">
        <f aca="false">customer_churn_dataset!B1012</f>
        <v>Basic</v>
      </c>
      <c r="C667" s="22" t="str">
        <f aca="false">customer_churn_dataset!C1012</f>
        <v>Two year</v>
      </c>
      <c r="D667" s="0" t="n">
        <f aca="false">INDEX(customer_churn_dataset!$E$2:$E$1501,MATCH($A668,customer_churn_dataset!$A$2:$A$1501,0))</f>
        <v>6</v>
      </c>
      <c r="E667" s="0" t="n">
        <f aca="false">INDEX(customer_churn_dataset!$I$2:$I$1501,MATCH($A668,customer_churn_dataset!$A$2:$A$1501,0))</f>
        <v>76</v>
      </c>
      <c r="F667" s="0" t="n">
        <f aca="false">INDEX(customer_churn_dataset!$L$2:$L$1501,MATCH($A668,customer_churn_dataset!$A$2:$A$1501,0))</f>
        <v>0</v>
      </c>
      <c r="G667" s="0" t="str">
        <f aca="false">IF(INDEX(customer_churn_dataset!$M$2:$M$1501,MATCH($A668,customer_churn_dataset!$A$2:$A$1501,0))=1,"Yes","No")</f>
        <v>No</v>
      </c>
      <c r="H667" s="0" t="n">
        <f aca="false">INDEX(customer_churn_dataset!$N$2:$N$1501,MATCH($A668,customer_churn_dataset!$A$2:$A$1501,0))</f>
        <v>67.26</v>
      </c>
      <c r="I667" s="0" t="n">
        <f aca="false">INDEX(customer_churn_dataset!$O$2:$O$1501,MATCH($A668,customer_churn_dataset!$A$2:$A$1501,0))</f>
        <v>0</v>
      </c>
      <c r="J667" s="0" t="n">
        <f aca="false">INDEX(customer_churn_dataset!$T$2:$T$1501,MATCH($A668,customer_churn_dataset!$A$2:$A$1501,0))</f>
        <v>1</v>
      </c>
      <c r="K667" s="0" t="str">
        <f aca="false">INDEX(customer_churn_dataset!$V$2:$V$1501,MATCH($A668,customer_churn_dataset!$A$2:$A$1501,0))</f>
        <v>Low Risk</v>
      </c>
    </row>
    <row r="668" customFormat="false" ht="12.8" hidden="true" customHeight="false" outlineLevel="0" collapsed="false">
      <c r="A668" s="22" t="str">
        <f aca="false">customer_churn_dataset!A1015</f>
        <v>CUST100516</v>
      </c>
      <c r="B668" s="22" t="str">
        <f aca="false">customer_churn_dataset!B1015</f>
        <v>Basic</v>
      </c>
      <c r="C668" s="22" t="str">
        <f aca="false">customer_churn_dataset!C1015</f>
        <v>Two year</v>
      </c>
      <c r="D668" s="0" t="n">
        <f aca="false">INDEX(customer_churn_dataset!$E$2:$E$1501,MATCH($A669,customer_churn_dataset!$A$2:$A$1501,0))</f>
        <v>9</v>
      </c>
      <c r="E668" s="0" t="n">
        <f aca="false">INDEX(customer_churn_dataset!$I$2:$I$1501,MATCH($A669,customer_churn_dataset!$A$2:$A$1501,0))</f>
        <v>39.4</v>
      </c>
      <c r="F668" s="0" t="n">
        <f aca="false">INDEX(customer_churn_dataset!$L$2:$L$1501,MATCH($A669,customer_churn_dataset!$A$2:$A$1501,0))</f>
        <v>0</v>
      </c>
      <c r="G668" s="0" t="str">
        <f aca="false">IF(INDEX(customer_churn_dataset!$M$2:$M$1501,MATCH($A669,customer_churn_dataset!$A$2:$A$1501,0))=1,"Yes","No")</f>
        <v>No</v>
      </c>
      <c r="H668" s="0" t="n">
        <f aca="false">INDEX(customer_churn_dataset!$N$2:$N$1501,MATCH($A669,customer_churn_dataset!$A$2:$A$1501,0))</f>
        <v>94.86</v>
      </c>
      <c r="I668" s="0" t="n">
        <f aca="false">INDEX(customer_churn_dataset!$O$2:$O$1501,MATCH($A669,customer_churn_dataset!$A$2:$A$1501,0))</f>
        <v>0</v>
      </c>
      <c r="J668" s="0" t="n">
        <f aca="false">INDEX(customer_churn_dataset!$T$2:$T$1501,MATCH($A669,customer_churn_dataset!$A$2:$A$1501,0))</f>
        <v>5</v>
      </c>
      <c r="K668" s="0" t="str">
        <f aca="false">INDEX(customer_churn_dataset!$V$2:$V$1501,MATCH($A669,customer_churn_dataset!$A$2:$A$1501,0))</f>
        <v>Medium Risk</v>
      </c>
    </row>
    <row r="669" customFormat="false" ht="12.8" hidden="true" customHeight="false" outlineLevel="0" collapsed="false">
      <c r="A669" s="22" t="str">
        <f aca="false">customer_churn_dataset!A1016</f>
        <v>CUST100730</v>
      </c>
      <c r="B669" s="22" t="str">
        <f aca="false">customer_churn_dataset!B1016</f>
        <v>Basic</v>
      </c>
      <c r="C669" s="22" t="str">
        <f aca="false">customer_churn_dataset!C1016</f>
        <v>Month-to-month</v>
      </c>
      <c r="D669" s="0" t="n">
        <f aca="false">INDEX(customer_churn_dataset!$E$2:$E$1501,MATCH($A670,customer_churn_dataset!$A$2:$A$1501,0))</f>
        <v>6</v>
      </c>
      <c r="E669" s="0" t="n">
        <f aca="false">INDEX(customer_churn_dataset!$I$2:$I$1501,MATCH($A670,customer_churn_dataset!$A$2:$A$1501,0))</f>
        <v>75.6</v>
      </c>
      <c r="F669" s="0" t="n">
        <f aca="false">INDEX(customer_churn_dataset!$L$2:$L$1501,MATCH($A670,customer_churn_dataset!$A$2:$A$1501,0))</f>
        <v>2</v>
      </c>
      <c r="G669" s="0" t="str">
        <f aca="false">IF(INDEX(customer_churn_dataset!$M$2:$M$1501,MATCH($A670,customer_churn_dataset!$A$2:$A$1501,0))=1,"Yes","No")</f>
        <v>Yes</v>
      </c>
      <c r="H669" s="0" t="n">
        <f aca="false">INDEX(customer_churn_dataset!$N$2:$N$1501,MATCH($A670,customer_churn_dataset!$A$2:$A$1501,0))</f>
        <v>113.4</v>
      </c>
      <c r="I669" s="0" t="n">
        <f aca="false">INDEX(customer_churn_dataset!$O$2:$O$1501,MATCH($A670,customer_churn_dataset!$A$2:$A$1501,0))</f>
        <v>0</v>
      </c>
      <c r="J669" s="0" t="n">
        <f aca="false">INDEX(customer_churn_dataset!$T$2:$T$1501,MATCH($A670,customer_churn_dataset!$A$2:$A$1501,0))</f>
        <v>7</v>
      </c>
      <c r="K669" s="0" t="str">
        <f aca="false">INDEX(customer_churn_dataset!$V$2:$V$1501,MATCH($A670,customer_churn_dataset!$A$2:$A$1501,0))</f>
        <v>High Risk</v>
      </c>
    </row>
    <row r="670" customFormat="false" ht="12.8" hidden="true" customHeight="false" outlineLevel="0" collapsed="false">
      <c r="A670" s="22" t="str">
        <f aca="false">customer_churn_dataset!A1021</f>
        <v>CUST101496</v>
      </c>
      <c r="B670" s="22" t="str">
        <f aca="false">customer_churn_dataset!B1021</f>
        <v>Standard</v>
      </c>
      <c r="C670" s="22" t="str">
        <f aca="false">customer_churn_dataset!C1021</f>
        <v>Month-to-month</v>
      </c>
      <c r="D670" s="0" t="n">
        <f aca="false">INDEX(customer_churn_dataset!$E$2:$E$1501,MATCH($A671,customer_churn_dataset!$A$2:$A$1501,0))</f>
        <v>4</v>
      </c>
      <c r="E670" s="0" t="n">
        <f aca="false">INDEX(customer_churn_dataset!$I$2:$I$1501,MATCH($A671,customer_churn_dataset!$A$2:$A$1501,0))</f>
        <v>81.3</v>
      </c>
      <c r="F670" s="0" t="n">
        <f aca="false">INDEX(customer_churn_dataset!$L$2:$L$1501,MATCH($A671,customer_churn_dataset!$A$2:$A$1501,0))</f>
        <v>1</v>
      </c>
      <c r="G670" s="0" t="str">
        <f aca="false">IF(INDEX(customer_churn_dataset!$M$2:$M$1501,MATCH($A671,customer_churn_dataset!$A$2:$A$1501,0))=1,"Yes","No")</f>
        <v>Yes</v>
      </c>
      <c r="H670" s="0" t="n">
        <f aca="false">INDEX(customer_churn_dataset!$N$2:$N$1501,MATCH($A671,customer_churn_dataset!$A$2:$A$1501,0))</f>
        <v>160.32</v>
      </c>
      <c r="I670" s="0" t="n">
        <f aca="false">INDEX(customer_churn_dataset!$O$2:$O$1501,MATCH($A671,customer_churn_dataset!$A$2:$A$1501,0))</f>
        <v>0</v>
      </c>
      <c r="J670" s="0" t="n">
        <f aca="false">INDEX(customer_churn_dataset!$T$2:$T$1501,MATCH($A671,customer_churn_dataset!$A$2:$A$1501,0))</f>
        <v>6</v>
      </c>
      <c r="K670" s="0" t="str">
        <f aca="false">INDEX(customer_churn_dataset!$V$2:$V$1501,MATCH($A671,customer_churn_dataset!$A$2:$A$1501,0))</f>
        <v>High Risk</v>
      </c>
    </row>
    <row r="671" customFormat="false" ht="12.8" hidden="true" customHeight="false" outlineLevel="0" collapsed="false">
      <c r="A671" s="22" t="str">
        <f aca="false">customer_churn_dataset!A1025</f>
        <v>CUST101356</v>
      </c>
      <c r="B671" s="22" t="str">
        <f aca="false">customer_churn_dataset!B1025</f>
        <v>Premium</v>
      </c>
      <c r="C671" s="22" t="str">
        <f aca="false">customer_churn_dataset!C1025</f>
        <v>Month-to-month</v>
      </c>
      <c r="D671" s="0" t="n">
        <f aca="false">INDEX(customer_churn_dataset!$E$2:$E$1501,MATCH($A672,customer_churn_dataset!$A$2:$A$1501,0))</f>
        <v>11</v>
      </c>
      <c r="E671" s="0" t="n">
        <f aca="false">INDEX(customer_churn_dataset!$I$2:$I$1501,MATCH($A672,customer_churn_dataset!$A$2:$A$1501,0))</f>
        <v>57.9</v>
      </c>
      <c r="F671" s="0" t="n">
        <f aca="false">INDEX(customer_churn_dataset!$L$2:$L$1501,MATCH($A672,customer_churn_dataset!$A$2:$A$1501,0))</f>
        <v>3</v>
      </c>
      <c r="G671" s="0" t="str">
        <f aca="false">IF(INDEX(customer_churn_dataset!$M$2:$M$1501,MATCH($A672,customer_churn_dataset!$A$2:$A$1501,0))=1,"Yes","No")</f>
        <v>Yes</v>
      </c>
      <c r="H671" s="0" t="n">
        <f aca="false">INDEX(customer_churn_dataset!$N$2:$N$1501,MATCH($A672,customer_churn_dataset!$A$2:$A$1501,0))</f>
        <v>449.46</v>
      </c>
      <c r="I671" s="0" t="n">
        <f aca="false">INDEX(customer_churn_dataset!$O$2:$O$1501,MATCH($A672,customer_churn_dataset!$A$2:$A$1501,0))</f>
        <v>1</v>
      </c>
      <c r="J671" s="0" t="n">
        <f aca="false">INDEX(customer_churn_dataset!$T$2:$T$1501,MATCH($A672,customer_churn_dataset!$A$2:$A$1501,0))</f>
        <v>7</v>
      </c>
      <c r="K671" s="0" t="str">
        <f aca="false">INDEX(customer_churn_dataset!$V$2:$V$1501,MATCH($A672,customer_churn_dataset!$A$2:$A$1501,0))</f>
        <v>High Risk</v>
      </c>
    </row>
    <row r="672" customFormat="false" ht="12.8" hidden="true" customHeight="false" outlineLevel="0" collapsed="false">
      <c r="A672" s="22" t="str">
        <f aca="false">customer_churn_dataset!A1029</f>
        <v>CUST100532</v>
      </c>
      <c r="B672" s="22" t="str">
        <f aca="false">customer_churn_dataset!B1029</f>
        <v>Premium</v>
      </c>
      <c r="C672" s="22" t="str">
        <f aca="false">customer_churn_dataset!C1029</f>
        <v>Month-to-month</v>
      </c>
      <c r="D672" s="0" t="n">
        <f aca="false">INDEX(customer_churn_dataset!$E$2:$E$1501,MATCH($A673,customer_churn_dataset!$A$2:$A$1501,0))</f>
        <v>28</v>
      </c>
      <c r="E672" s="0" t="n">
        <f aca="false">INDEX(customer_churn_dataset!$I$2:$I$1501,MATCH($A673,customer_churn_dataset!$A$2:$A$1501,0))</f>
        <v>54.2</v>
      </c>
      <c r="F672" s="0" t="n">
        <f aca="false">INDEX(customer_churn_dataset!$L$2:$L$1501,MATCH($A673,customer_churn_dataset!$A$2:$A$1501,0))</f>
        <v>2</v>
      </c>
      <c r="G672" s="0" t="str">
        <f aca="false">IF(INDEX(customer_churn_dataset!$M$2:$M$1501,MATCH($A673,customer_churn_dataset!$A$2:$A$1501,0))=1,"Yes","No")</f>
        <v>No</v>
      </c>
      <c r="H672" s="0" t="n">
        <f aca="false">INDEX(customer_churn_dataset!$N$2:$N$1501,MATCH($A673,customer_churn_dataset!$A$2:$A$1501,0))</f>
        <v>561.4</v>
      </c>
      <c r="I672" s="0" t="n">
        <f aca="false">INDEX(customer_churn_dataset!$O$2:$O$1501,MATCH($A673,customer_churn_dataset!$A$2:$A$1501,0))</f>
        <v>0</v>
      </c>
      <c r="J672" s="0" t="n">
        <f aca="false">INDEX(customer_churn_dataset!$T$2:$T$1501,MATCH($A673,customer_churn_dataset!$A$2:$A$1501,0))</f>
        <v>2</v>
      </c>
      <c r="K672" s="0" t="str">
        <f aca="false">INDEX(customer_churn_dataset!$V$2:$V$1501,MATCH($A673,customer_churn_dataset!$A$2:$A$1501,0))</f>
        <v>Low Risk</v>
      </c>
    </row>
    <row r="673" customFormat="false" ht="12.8" hidden="true" customHeight="false" outlineLevel="0" collapsed="false">
      <c r="A673" s="22" t="str">
        <f aca="false">customer_churn_dataset!A1032</f>
        <v>CUST100423</v>
      </c>
      <c r="B673" s="22" t="str">
        <f aca="false">customer_churn_dataset!B1032</f>
        <v>Standard</v>
      </c>
      <c r="C673" s="22" t="str">
        <f aca="false">customer_churn_dataset!C1032</f>
        <v>Two year</v>
      </c>
      <c r="D673" s="0" t="n">
        <f aca="false">INDEX(customer_churn_dataset!$E$2:$E$1501,MATCH($A674,customer_churn_dataset!$A$2:$A$1501,0))</f>
        <v>18</v>
      </c>
      <c r="E673" s="0" t="n">
        <f aca="false">INDEX(customer_churn_dataset!$I$2:$I$1501,MATCH($A674,customer_churn_dataset!$A$2:$A$1501,0))</f>
        <v>78.9</v>
      </c>
      <c r="F673" s="0" t="n">
        <f aca="false">INDEX(customer_churn_dataset!$L$2:$L$1501,MATCH($A674,customer_churn_dataset!$A$2:$A$1501,0))</f>
        <v>1</v>
      </c>
      <c r="G673" s="0" t="str">
        <f aca="false">IF(INDEX(customer_churn_dataset!$M$2:$M$1501,MATCH($A674,customer_churn_dataset!$A$2:$A$1501,0))=1,"Yes","No")</f>
        <v>No</v>
      </c>
      <c r="H673" s="0" t="n">
        <f aca="false">INDEX(customer_churn_dataset!$N$2:$N$1501,MATCH($A674,customer_churn_dataset!$A$2:$A$1501,0))</f>
        <v>381.24</v>
      </c>
      <c r="I673" s="0" t="n">
        <f aca="false">INDEX(customer_churn_dataset!$O$2:$O$1501,MATCH($A674,customer_churn_dataset!$A$2:$A$1501,0))</f>
        <v>0</v>
      </c>
      <c r="J673" s="0" t="n">
        <f aca="false">INDEX(customer_churn_dataset!$T$2:$T$1501,MATCH($A674,customer_churn_dataset!$A$2:$A$1501,0))</f>
        <v>2</v>
      </c>
      <c r="K673" s="0" t="str">
        <f aca="false">INDEX(customer_churn_dataset!$V$2:$V$1501,MATCH($A674,customer_churn_dataset!$A$2:$A$1501,0))</f>
        <v>Low Risk</v>
      </c>
    </row>
    <row r="674" customFormat="false" ht="12.8" hidden="true" customHeight="false" outlineLevel="0" collapsed="false">
      <c r="A674" s="22" t="str">
        <f aca="false">customer_churn_dataset!A1037</f>
        <v>CUST100525</v>
      </c>
      <c r="B674" s="22" t="str">
        <f aca="false">customer_churn_dataset!B1037</f>
        <v>Standard</v>
      </c>
      <c r="C674" s="22" t="str">
        <f aca="false">customer_churn_dataset!C1037</f>
        <v>Month-to-month</v>
      </c>
      <c r="D674" s="0" t="n">
        <f aca="false">INDEX(customer_churn_dataset!$E$2:$E$1501,MATCH($A675,customer_churn_dataset!$A$2:$A$1501,0))</f>
        <v>0</v>
      </c>
      <c r="E674" s="0" t="n">
        <f aca="false">INDEX(customer_churn_dataset!$I$2:$I$1501,MATCH($A675,customer_churn_dataset!$A$2:$A$1501,0))</f>
        <v>64.7</v>
      </c>
      <c r="F674" s="0" t="n">
        <f aca="false">INDEX(customer_churn_dataset!$L$2:$L$1501,MATCH($A675,customer_churn_dataset!$A$2:$A$1501,0))</f>
        <v>1</v>
      </c>
      <c r="G674" s="0" t="str">
        <f aca="false">IF(INDEX(customer_churn_dataset!$M$2:$M$1501,MATCH($A675,customer_churn_dataset!$A$2:$A$1501,0))=1,"Yes","No")</f>
        <v>Yes</v>
      </c>
      <c r="H674" s="0" t="n">
        <f aca="false">INDEX(customer_churn_dataset!$N$2:$N$1501,MATCH($A675,customer_churn_dataset!$A$2:$A$1501,0))</f>
        <v>0</v>
      </c>
      <c r="I674" s="0" t="n">
        <f aca="false">INDEX(customer_churn_dataset!$O$2:$O$1501,MATCH($A675,customer_churn_dataset!$A$2:$A$1501,0))</f>
        <v>0</v>
      </c>
      <c r="J674" s="0" t="n">
        <f aca="false">INDEX(customer_churn_dataset!$T$2:$T$1501,MATCH($A675,customer_churn_dataset!$A$2:$A$1501,0))</f>
        <v>6</v>
      </c>
      <c r="K674" s="0" t="str">
        <f aca="false">INDEX(customer_churn_dataset!$V$2:$V$1501,MATCH($A675,customer_churn_dataset!$A$2:$A$1501,0))</f>
        <v>High Risk</v>
      </c>
    </row>
    <row r="675" customFormat="false" ht="12.8" hidden="true" customHeight="false" outlineLevel="0" collapsed="false">
      <c r="A675" s="22" t="str">
        <f aca="false">customer_churn_dataset!A1040</f>
        <v>CUST101453</v>
      </c>
      <c r="B675" s="22" t="str">
        <f aca="false">customer_churn_dataset!B1040</f>
        <v>Standard</v>
      </c>
      <c r="C675" s="22" t="str">
        <f aca="false">customer_churn_dataset!C1040</f>
        <v>Month-to-month</v>
      </c>
      <c r="D675" s="0" t="n">
        <f aca="false">INDEX(customer_churn_dataset!$E$2:$E$1501,MATCH($A676,customer_churn_dataset!$A$2:$A$1501,0))</f>
        <v>58</v>
      </c>
      <c r="E675" s="0" t="n">
        <f aca="false">INDEX(customer_churn_dataset!$I$2:$I$1501,MATCH($A676,customer_churn_dataset!$A$2:$A$1501,0))</f>
        <v>63.6</v>
      </c>
      <c r="F675" s="0" t="n">
        <f aca="false">INDEX(customer_churn_dataset!$L$2:$L$1501,MATCH($A676,customer_churn_dataset!$A$2:$A$1501,0))</f>
        <v>3</v>
      </c>
      <c r="G675" s="0" t="str">
        <f aca="false">IF(INDEX(customer_churn_dataset!$M$2:$M$1501,MATCH($A676,customer_churn_dataset!$A$2:$A$1501,0))=1,"Yes","No")</f>
        <v>No</v>
      </c>
      <c r="H675" s="0" t="n">
        <f aca="false">INDEX(customer_churn_dataset!$N$2:$N$1501,MATCH($A676,customer_churn_dataset!$A$2:$A$1501,0))</f>
        <v>508.08</v>
      </c>
      <c r="I675" s="0" t="n">
        <f aca="false">INDEX(customer_churn_dataset!$O$2:$O$1501,MATCH($A676,customer_churn_dataset!$A$2:$A$1501,0))</f>
        <v>0</v>
      </c>
      <c r="J675" s="0" t="n">
        <f aca="false">INDEX(customer_churn_dataset!$T$2:$T$1501,MATCH($A676,customer_churn_dataset!$A$2:$A$1501,0))</f>
        <v>2</v>
      </c>
      <c r="K675" s="0" t="str">
        <f aca="false">INDEX(customer_churn_dataset!$V$2:$V$1501,MATCH($A676,customer_churn_dataset!$A$2:$A$1501,0))</f>
        <v>Low Risk</v>
      </c>
    </row>
    <row r="676" customFormat="false" ht="12.8" hidden="true" customHeight="false" outlineLevel="0" collapsed="false">
      <c r="A676" s="22" t="str">
        <f aca="false">customer_churn_dataset!A1052</f>
        <v>CUST100722</v>
      </c>
      <c r="B676" s="22" t="str">
        <f aca="false">customer_churn_dataset!B1052</f>
        <v>Basic</v>
      </c>
      <c r="C676" s="22" t="str">
        <f aca="false">customer_churn_dataset!C1052</f>
        <v>One year</v>
      </c>
      <c r="D676" s="0" t="n">
        <f aca="false">INDEX(customer_churn_dataset!$E$2:$E$1501,MATCH($A677,customer_churn_dataset!$A$2:$A$1501,0))</f>
        <v>12</v>
      </c>
      <c r="E676" s="0" t="n">
        <f aca="false">INDEX(customer_churn_dataset!$I$2:$I$1501,MATCH($A677,customer_churn_dataset!$A$2:$A$1501,0))</f>
        <v>88.5</v>
      </c>
      <c r="F676" s="0" t="n">
        <f aca="false">INDEX(customer_churn_dataset!$L$2:$L$1501,MATCH($A677,customer_churn_dataset!$A$2:$A$1501,0))</f>
        <v>0</v>
      </c>
      <c r="G676" s="0" t="str">
        <f aca="false">IF(INDEX(customer_churn_dataset!$M$2:$M$1501,MATCH($A677,customer_churn_dataset!$A$2:$A$1501,0))=1,"Yes","No")</f>
        <v>No</v>
      </c>
      <c r="H676" s="0" t="n">
        <f aca="false">INDEX(customer_churn_dataset!$N$2:$N$1501,MATCH($A677,customer_churn_dataset!$A$2:$A$1501,0))</f>
        <v>469.44</v>
      </c>
      <c r="I676" s="0" t="n">
        <f aca="false">INDEX(customer_churn_dataset!$O$2:$O$1501,MATCH($A677,customer_churn_dataset!$A$2:$A$1501,0))</f>
        <v>0</v>
      </c>
      <c r="J676" s="0" t="n">
        <f aca="false">INDEX(customer_churn_dataset!$T$2:$T$1501,MATCH($A677,customer_churn_dataset!$A$2:$A$1501,0))</f>
        <v>2</v>
      </c>
      <c r="K676" s="0" t="str">
        <f aca="false">INDEX(customer_churn_dataset!$V$2:$V$1501,MATCH($A677,customer_churn_dataset!$A$2:$A$1501,0))</f>
        <v>Low Risk</v>
      </c>
    </row>
    <row r="677" customFormat="false" ht="12.8" hidden="true" customHeight="false" outlineLevel="0" collapsed="false">
      <c r="A677" s="22" t="str">
        <f aca="false">customer_churn_dataset!A1055</f>
        <v>CUST100891</v>
      </c>
      <c r="B677" s="22" t="str">
        <f aca="false">customer_churn_dataset!B1055</f>
        <v>Premium</v>
      </c>
      <c r="C677" s="22" t="str">
        <f aca="false">customer_churn_dataset!C1055</f>
        <v>Month-to-month</v>
      </c>
      <c r="D677" s="0" t="n">
        <f aca="false">INDEX(customer_churn_dataset!$E$2:$E$1501,MATCH($A678,customer_churn_dataset!$A$2:$A$1501,0))</f>
        <v>7</v>
      </c>
      <c r="E677" s="0" t="n">
        <f aca="false">INDEX(customer_churn_dataset!$I$2:$I$1501,MATCH($A678,customer_churn_dataset!$A$2:$A$1501,0))</f>
        <v>41.9</v>
      </c>
      <c r="F677" s="0" t="n">
        <f aca="false">INDEX(customer_churn_dataset!$L$2:$L$1501,MATCH($A678,customer_churn_dataset!$A$2:$A$1501,0))</f>
        <v>2</v>
      </c>
      <c r="G677" s="0" t="str">
        <f aca="false">IF(INDEX(customer_churn_dataset!$M$2:$M$1501,MATCH($A678,customer_churn_dataset!$A$2:$A$1501,0))=1,"Yes","No")</f>
        <v>No</v>
      </c>
      <c r="H677" s="0" t="n">
        <f aca="false">INDEX(customer_churn_dataset!$N$2:$N$1501,MATCH($A678,customer_churn_dataset!$A$2:$A$1501,0))</f>
        <v>72.94</v>
      </c>
      <c r="I677" s="0" t="n">
        <f aca="false">INDEX(customer_churn_dataset!$O$2:$O$1501,MATCH($A678,customer_churn_dataset!$A$2:$A$1501,0))</f>
        <v>1</v>
      </c>
      <c r="J677" s="0" t="n">
        <f aca="false">INDEX(customer_churn_dataset!$T$2:$T$1501,MATCH($A678,customer_churn_dataset!$A$2:$A$1501,0))</f>
        <v>5</v>
      </c>
      <c r="K677" s="0" t="str">
        <f aca="false">INDEX(customer_churn_dataset!$V$2:$V$1501,MATCH($A678,customer_churn_dataset!$A$2:$A$1501,0))</f>
        <v>Medium Risk</v>
      </c>
    </row>
    <row r="678" customFormat="false" ht="12.8" hidden="true" customHeight="false" outlineLevel="0" collapsed="false">
      <c r="A678" s="22" t="str">
        <f aca="false">customer_churn_dataset!A1056</f>
        <v>CUST100424</v>
      </c>
      <c r="B678" s="22" t="str">
        <f aca="false">customer_churn_dataset!B1056</f>
        <v>Basic</v>
      </c>
      <c r="C678" s="22" t="str">
        <f aca="false">customer_churn_dataset!C1056</f>
        <v>Month-to-month</v>
      </c>
      <c r="D678" s="0" t="n">
        <f aca="false">INDEX(customer_churn_dataset!$E$2:$E$1501,MATCH($A679,customer_churn_dataset!$A$2:$A$1501,0))</f>
        <v>0</v>
      </c>
      <c r="E678" s="0" t="n">
        <f aca="false">INDEX(customer_churn_dataset!$I$2:$I$1501,MATCH($A679,customer_churn_dataset!$A$2:$A$1501,0))</f>
        <v>50.6</v>
      </c>
      <c r="F678" s="0" t="n">
        <f aca="false">INDEX(customer_churn_dataset!$L$2:$L$1501,MATCH($A679,customer_churn_dataset!$A$2:$A$1501,0))</f>
        <v>2</v>
      </c>
      <c r="G678" s="0" t="str">
        <f aca="false">IF(INDEX(customer_churn_dataset!$M$2:$M$1501,MATCH($A679,customer_churn_dataset!$A$2:$A$1501,0))=1,"Yes","No")</f>
        <v>No</v>
      </c>
      <c r="H678" s="0" t="n">
        <f aca="false">INDEX(customer_churn_dataset!$N$2:$N$1501,MATCH($A679,customer_churn_dataset!$A$2:$A$1501,0))</f>
        <v>0</v>
      </c>
      <c r="I678" s="0" t="n">
        <f aca="false">INDEX(customer_churn_dataset!$O$2:$O$1501,MATCH($A679,customer_churn_dataset!$A$2:$A$1501,0))</f>
        <v>1</v>
      </c>
      <c r="J678" s="0" t="n">
        <f aca="false">INDEX(customer_churn_dataset!$T$2:$T$1501,MATCH($A679,customer_churn_dataset!$A$2:$A$1501,0))</f>
        <v>5</v>
      </c>
      <c r="K678" s="0" t="str">
        <f aca="false">INDEX(customer_churn_dataset!$V$2:$V$1501,MATCH($A679,customer_churn_dataset!$A$2:$A$1501,0))</f>
        <v>Medium Risk</v>
      </c>
    </row>
    <row r="679" customFormat="false" ht="12.8" hidden="true" customHeight="false" outlineLevel="0" collapsed="false">
      <c r="A679" s="22" t="str">
        <f aca="false">customer_churn_dataset!A1057</f>
        <v>CUST100034</v>
      </c>
      <c r="B679" s="22" t="str">
        <f aca="false">customer_churn_dataset!B1057</f>
        <v>Premium</v>
      </c>
      <c r="C679" s="22" t="str">
        <f aca="false">customer_churn_dataset!C1057</f>
        <v>Month-to-month</v>
      </c>
      <c r="D679" s="0" t="n">
        <f aca="false">INDEX(customer_churn_dataset!$E$2:$E$1501,MATCH($A680,customer_churn_dataset!$A$2:$A$1501,0))</f>
        <v>48</v>
      </c>
      <c r="E679" s="0" t="n">
        <f aca="false">INDEX(customer_churn_dataset!$I$2:$I$1501,MATCH($A680,customer_churn_dataset!$A$2:$A$1501,0))</f>
        <v>69.6</v>
      </c>
      <c r="F679" s="0" t="n">
        <f aca="false">INDEX(customer_churn_dataset!$L$2:$L$1501,MATCH($A680,customer_churn_dataset!$A$2:$A$1501,0))</f>
        <v>2</v>
      </c>
      <c r="G679" s="0" t="str">
        <f aca="false">IF(INDEX(customer_churn_dataset!$M$2:$M$1501,MATCH($A680,customer_churn_dataset!$A$2:$A$1501,0))=1,"Yes","No")</f>
        <v>No</v>
      </c>
      <c r="H679" s="0" t="n">
        <f aca="false">INDEX(customer_churn_dataset!$N$2:$N$1501,MATCH($A680,customer_churn_dataset!$A$2:$A$1501,0))</f>
        <v>530.4</v>
      </c>
      <c r="I679" s="0" t="n">
        <f aca="false">INDEX(customer_churn_dataset!$O$2:$O$1501,MATCH($A680,customer_churn_dataset!$A$2:$A$1501,0))</f>
        <v>0</v>
      </c>
      <c r="J679" s="0" t="n">
        <f aca="false">INDEX(customer_churn_dataset!$T$2:$T$1501,MATCH($A680,customer_churn_dataset!$A$2:$A$1501,0))</f>
        <v>2</v>
      </c>
      <c r="K679" s="0" t="str">
        <f aca="false">INDEX(customer_churn_dataset!$V$2:$V$1501,MATCH($A680,customer_churn_dataset!$A$2:$A$1501,0))</f>
        <v>Low Risk</v>
      </c>
    </row>
    <row r="680" customFormat="false" ht="12.8" hidden="true" customHeight="false" outlineLevel="0" collapsed="false">
      <c r="A680" s="22" t="str">
        <f aca="false">customer_churn_dataset!A1061</f>
        <v>CUST100874</v>
      </c>
      <c r="B680" s="22" t="str">
        <f aca="false">customer_churn_dataset!B1061</f>
        <v>Basic</v>
      </c>
      <c r="C680" s="22" t="str">
        <f aca="false">customer_churn_dataset!C1061</f>
        <v>One year</v>
      </c>
      <c r="D680" s="0" t="n">
        <f aca="false">INDEX(customer_churn_dataset!$E$2:$E$1501,MATCH($A681,customer_churn_dataset!$A$2:$A$1501,0))</f>
        <v>72</v>
      </c>
      <c r="E680" s="0" t="n">
        <f aca="false">INDEX(customer_churn_dataset!$I$2:$I$1501,MATCH($A681,customer_churn_dataset!$A$2:$A$1501,0))</f>
        <v>62.9</v>
      </c>
      <c r="F680" s="0" t="n">
        <f aca="false">INDEX(customer_churn_dataset!$L$2:$L$1501,MATCH($A681,customer_churn_dataset!$A$2:$A$1501,0))</f>
        <v>0</v>
      </c>
      <c r="G680" s="0" t="str">
        <f aca="false">IF(INDEX(customer_churn_dataset!$M$2:$M$1501,MATCH($A681,customer_churn_dataset!$A$2:$A$1501,0))=1,"Yes","No")</f>
        <v>No</v>
      </c>
      <c r="H680" s="0" t="n">
        <f aca="false">INDEX(customer_churn_dataset!$N$2:$N$1501,MATCH($A681,customer_churn_dataset!$A$2:$A$1501,0))</f>
        <v>1374.48</v>
      </c>
      <c r="I680" s="0" t="n">
        <f aca="false">INDEX(customer_churn_dataset!$O$2:$O$1501,MATCH($A681,customer_churn_dataset!$A$2:$A$1501,0))</f>
        <v>0</v>
      </c>
      <c r="J680" s="0" t="n">
        <f aca="false">INDEX(customer_churn_dataset!$T$2:$T$1501,MATCH($A681,customer_churn_dataset!$A$2:$A$1501,0))</f>
        <v>1</v>
      </c>
      <c r="K680" s="0" t="str">
        <f aca="false">INDEX(customer_churn_dataset!$V$2:$V$1501,MATCH($A681,customer_churn_dataset!$A$2:$A$1501,0))</f>
        <v>Low Risk</v>
      </c>
    </row>
    <row r="681" customFormat="false" ht="12.8" hidden="true" customHeight="false" outlineLevel="0" collapsed="false">
      <c r="A681" s="22" t="str">
        <f aca="false">customer_churn_dataset!A1064</f>
        <v>CUST100941</v>
      </c>
      <c r="B681" s="22" t="str">
        <f aca="false">customer_churn_dataset!B1064</f>
        <v>Standard</v>
      </c>
      <c r="C681" s="22" t="str">
        <f aca="false">customer_churn_dataset!C1064</f>
        <v>One year</v>
      </c>
      <c r="D681" s="0" t="n">
        <f aca="false">INDEX(customer_churn_dataset!$E$2:$E$1501,MATCH($A682,customer_churn_dataset!$A$2:$A$1501,0))</f>
        <v>10</v>
      </c>
      <c r="E681" s="0" t="n">
        <f aca="false">INDEX(customer_churn_dataset!$I$2:$I$1501,MATCH($A682,customer_churn_dataset!$A$2:$A$1501,0))</f>
        <v>86.9</v>
      </c>
      <c r="F681" s="0" t="n">
        <f aca="false">INDEX(customer_churn_dataset!$L$2:$L$1501,MATCH($A682,customer_churn_dataset!$A$2:$A$1501,0))</f>
        <v>4</v>
      </c>
      <c r="G681" s="0" t="str">
        <f aca="false">IF(INDEX(customer_churn_dataset!$M$2:$M$1501,MATCH($A682,customer_churn_dataset!$A$2:$A$1501,0))=1,"Yes","No")</f>
        <v>No</v>
      </c>
      <c r="H681" s="0" t="n">
        <f aca="false">INDEX(customer_churn_dataset!$N$2:$N$1501,MATCH($A682,customer_churn_dataset!$A$2:$A$1501,0))</f>
        <v>193.9</v>
      </c>
      <c r="I681" s="0" t="n">
        <f aca="false">INDEX(customer_churn_dataset!$O$2:$O$1501,MATCH($A682,customer_churn_dataset!$A$2:$A$1501,0))</f>
        <v>0</v>
      </c>
      <c r="J681" s="0" t="n">
        <f aca="false">INDEX(customer_churn_dataset!$T$2:$T$1501,MATCH($A682,customer_churn_dataset!$A$2:$A$1501,0))</f>
        <v>2</v>
      </c>
      <c r="K681" s="0" t="str">
        <f aca="false">INDEX(customer_churn_dataset!$V$2:$V$1501,MATCH($A682,customer_churn_dataset!$A$2:$A$1501,0))</f>
        <v>Low Risk</v>
      </c>
    </row>
    <row r="682" customFormat="false" ht="12.8" hidden="true" customHeight="false" outlineLevel="0" collapsed="false">
      <c r="A682" s="22" t="str">
        <f aca="false">customer_churn_dataset!A1071</f>
        <v>CUST100384</v>
      </c>
      <c r="B682" s="22" t="str">
        <f aca="false">customer_churn_dataset!B1071</f>
        <v>Standard</v>
      </c>
      <c r="C682" s="22" t="str">
        <f aca="false">customer_churn_dataset!C1071</f>
        <v>Two year</v>
      </c>
      <c r="D682" s="0" t="n">
        <f aca="false">INDEX(customer_churn_dataset!$E$2:$E$1501,MATCH($A683,customer_churn_dataset!$A$2:$A$1501,0))</f>
        <v>26</v>
      </c>
      <c r="E682" s="0" t="n">
        <f aca="false">INDEX(customer_churn_dataset!$I$2:$I$1501,MATCH($A683,customer_churn_dataset!$A$2:$A$1501,0))</f>
        <v>56.5</v>
      </c>
      <c r="F682" s="0" t="n">
        <f aca="false">INDEX(customer_churn_dataset!$L$2:$L$1501,MATCH($A683,customer_churn_dataset!$A$2:$A$1501,0))</f>
        <v>2</v>
      </c>
      <c r="G682" s="0" t="str">
        <f aca="false">IF(INDEX(customer_churn_dataset!$M$2:$M$1501,MATCH($A683,customer_churn_dataset!$A$2:$A$1501,0))=1,"Yes","No")</f>
        <v>No</v>
      </c>
      <c r="H682" s="0" t="n">
        <f aca="false">INDEX(customer_churn_dataset!$N$2:$N$1501,MATCH($A683,customer_churn_dataset!$A$2:$A$1501,0))</f>
        <v>236.34</v>
      </c>
      <c r="I682" s="0" t="n">
        <f aca="false">INDEX(customer_churn_dataset!$O$2:$O$1501,MATCH($A683,customer_churn_dataset!$A$2:$A$1501,0))</f>
        <v>0</v>
      </c>
      <c r="J682" s="0" t="n">
        <f aca="false">INDEX(customer_churn_dataset!$T$2:$T$1501,MATCH($A683,customer_churn_dataset!$A$2:$A$1501,0))</f>
        <v>3</v>
      </c>
      <c r="K682" s="0" t="str">
        <f aca="false">INDEX(customer_churn_dataset!$V$2:$V$1501,MATCH($A683,customer_churn_dataset!$A$2:$A$1501,0))</f>
        <v>Medium Risk</v>
      </c>
    </row>
    <row r="683" customFormat="false" ht="12.8" hidden="true" customHeight="false" outlineLevel="0" collapsed="false">
      <c r="A683" s="22" t="str">
        <f aca="false">customer_churn_dataset!A1072</f>
        <v>CUST100145</v>
      </c>
      <c r="B683" s="22" t="str">
        <f aca="false">customer_churn_dataset!B1072</f>
        <v>Basic</v>
      </c>
      <c r="C683" s="22" t="str">
        <f aca="false">customer_churn_dataset!C1072</f>
        <v>Month-to-month</v>
      </c>
      <c r="D683" s="0" t="n">
        <f aca="false">INDEX(customer_churn_dataset!$E$2:$E$1501,MATCH($A684,customer_churn_dataset!$A$2:$A$1501,0))</f>
        <v>37</v>
      </c>
      <c r="E683" s="0" t="n">
        <f aca="false">INDEX(customer_churn_dataset!$I$2:$I$1501,MATCH($A684,customer_churn_dataset!$A$2:$A$1501,0))</f>
        <v>59.7</v>
      </c>
      <c r="F683" s="0" t="n">
        <f aca="false">INDEX(customer_churn_dataset!$L$2:$L$1501,MATCH($A684,customer_churn_dataset!$A$2:$A$1501,0))</f>
        <v>2</v>
      </c>
      <c r="G683" s="0" t="str">
        <f aca="false">IF(INDEX(customer_churn_dataset!$M$2:$M$1501,MATCH($A684,customer_churn_dataset!$A$2:$A$1501,0))=1,"Yes","No")</f>
        <v>Yes</v>
      </c>
      <c r="H683" s="0" t="n">
        <f aca="false">INDEX(customer_churn_dataset!$N$2:$N$1501,MATCH($A684,customer_churn_dataset!$A$2:$A$1501,0))</f>
        <v>257.89</v>
      </c>
      <c r="I683" s="0" t="n">
        <f aca="false">INDEX(customer_churn_dataset!$O$2:$O$1501,MATCH($A684,customer_churn_dataset!$A$2:$A$1501,0))</f>
        <v>0</v>
      </c>
      <c r="J683" s="0" t="n">
        <f aca="false">INDEX(customer_churn_dataset!$T$2:$T$1501,MATCH($A684,customer_churn_dataset!$A$2:$A$1501,0))</f>
        <v>5</v>
      </c>
      <c r="K683" s="0" t="str">
        <f aca="false">INDEX(customer_churn_dataset!$V$2:$V$1501,MATCH($A684,customer_churn_dataset!$A$2:$A$1501,0))</f>
        <v>Medium Risk</v>
      </c>
    </row>
    <row r="684" customFormat="false" ht="12.8" hidden="true" customHeight="false" outlineLevel="0" collapsed="false">
      <c r="A684" s="22" t="str">
        <f aca="false">customer_churn_dataset!A1073</f>
        <v>CUST100864</v>
      </c>
      <c r="B684" s="22" t="str">
        <f aca="false">customer_churn_dataset!B1073</f>
        <v>Basic</v>
      </c>
      <c r="C684" s="22" t="str">
        <f aca="false">customer_churn_dataset!C1073</f>
        <v>One year</v>
      </c>
      <c r="D684" s="0" t="n">
        <f aca="false">INDEX(customer_churn_dataset!$E$2:$E$1501,MATCH($A685,customer_churn_dataset!$A$2:$A$1501,0))</f>
        <v>12</v>
      </c>
      <c r="E684" s="0" t="n">
        <f aca="false">INDEX(customer_churn_dataset!$I$2:$I$1501,MATCH($A685,customer_churn_dataset!$A$2:$A$1501,0))</f>
        <v>77.3</v>
      </c>
      <c r="F684" s="0" t="n">
        <f aca="false">INDEX(customer_churn_dataset!$L$2:$L$1501,MATCH($A685,customer_churn_dataset!$A$2:$A$1501,0))</f>
        <v>1</v>
      </c>
      <c r="G684" s="0" t="str">
        <f aca="false">IF(INDEX(customer_churn_dataset!$M$2:$M$1501,MATCH($A685,customer_churn_dataset!$A$2:$A$1501,0))=1,"Yes","No")</f>
        <v>No</v>
      </c>
      <c r="H684" s="0" t="n">
        <f aca="false">INDEX(customer_churn_dataset!$N$2:$N$1501,MATCH($A685,customer_churn_dataset!$A$2:$A$1501,0))</f>
        <v>96.12</v>
      </c>
      <c r="I684" s="0" t="n">
        <f aca="false">INDEX(customer_churn_dataset!$O$2:$O$1501,MATCH($A685,customer_churn_dataset!$A$2:$A$1501,0))</f>
        <v>0</v>
      </c>
      <c r="J684" s="0" t="n">
        <f aca="false">INDEX(customer_churn_dataset!$T$2:$T$1501,MATCH($A685,customer_churn_dataset!$A$2:$A$1501,0))</f>
        <v>1</v>
      </c>
      <c r="K684" s="0" t="str">
        <f aca="false">INDEX(customer_churn_dataset!$V$2:$V$1501,MATCH($A685,customer_churn_dataset!$A$2:$A$1501,0))</f>
        <v>Low Risk</v>
      </c>
    </row>
    <row r="685" customFormat="false" ht="12.8" hidden="true" customHeight="false" outlineLevel="0" collapsed="false">
      <c r="A685" s="22" t="str">
        <f aca="false">customer_churn_dataset!A1077</f>
        <v>CUST100760</v>
      </c>
      <c r="B685" s="22" t="str">
        <f aca="false">customer_churn_dataset!B1077</f>
        <v>Basic</v>
      </c>
      <c r="C685" s="22" t="str">
        <f aca="false">customer_churn_dataset!C1077</f>
        <v>One year</v>
      </c>
      <c r="D685" s="0" t="n">
        <f aca="false">INDEX(customer_churn_dataset!$E$2:$E$1501,MATCH($A686,customer_churn_dataset!$A$2:$A$1501,0))</f>
        <v>33</v>
      </c>
      <c r="E685" s="0" t="n">
        <f aca="false">INDEX(customer_churn_dataset!$I$2:$I$1501,MATCH($A686,customer_churn_dataset!$A$2:$A$1501,0))</f>
        <v>47.8</v>
      </c>
      <c r="F685" s="0" t="n">
        <f aca="false">INDEX(customer_churn_dataset!$L$2:$L$1501,MATCH($A686,customer_churn_dataset!$A$2:$A$1501,0))</f>
        <v>2</v>
      </c>
      <c r="G685" s="0" t="str">
        <f aca="false">IF(INDEX(customer_churn_dataset!$M$2:$M$1501,MATCH($A686,customer_churn_dataset!$A$2:$A$1501,0))=1,"Yes","No")</f>
        <v>Yes</v>
      </c>
      <c r="H685" s="0" t="n">
        <f aca="false">INDEX(customer_churn_dataset!$N$2:$N$1501,MATCH($A686,customer_churn_dataset!$A$2:$A$1501,0))</f>
        <v>666.6</v>
      </c>
      <c r="I685" s="0" t="n">
        <f aca="false">INDEX(customer_churn_dataset!$O$2:$O$1501,MATCH($A686,customer_churn_dataset!$A$2:$A$1501,0))</f>
        <v>0</v>
      </c>
      <c r="J685" s="0" t="n">
        <f aca="false">INDEX(customer_churn_dataset!$T$2:$T$1501,MATCH($A686,customer_churn_dataset!$A$2:$A$1501,0))</f>
        <v>7</v>
      </c>
      <c r="K685" s="0" t="str">
        <f aca="false">INDEX(customer_churn_dataset!$V$2:$V$1501,MATCH($A686,customer_churn_dataset!$A$2:$A$1501,0))</f>
        <v>High Risk</v>
      </c>
    </row>
    <row r="686" customFormat="false" ht="12.8" hidden="true" customHeight="false" outlineLevel="0" collapsed="false">
      <c r="A686" s="22" t="str">
        <f aca="false">customer_churn_dataset!A1084</f>
        <v>CUST101437</v>
      </c>
      <c r="B686" s="22" t="str">
        <f aca="false">customer_churn_dataset!B1084</f>
        <v>Standard</v>
      </c>
      <c r="C686" s="22" t="str">
        <f aca="false">customer_churn_dataset!C1084</f>
        <v>Month-to-month</v>
      </c>
      <c r="D686" s="0" t="n">
        <f aca="false">INDEX(customer_churn_dataset!$E$2:$E$1501,MATCH($A687,customer_churn_dataset!$A$2:$A$1501,0))</f>
        <v>4</v>
      </c>
      <c r="E686" s="0" t="n">
        <f aca="false">INDEX(customer_churn_dataset!$I$2:$I$1501,MATCH($A687,customer_churn_dataset!$A$2:$A$1501,0))</f>
        <v>47.9</v>
      </c>
      <c r="F686" s="0" t="n">
        <f aca="false">INDEX(customer_churn_dataset!$L$2:$L$1501,MATCH($A687,customer_churn_dataset!$A$2:$A$1501,0))</f>
        <v>0</v>
      </c>
      <c r="G686" s="0" t="str">
        <f aca="false">IF(INDEX(customer_churn_dataset!$M$2:$M$1501,MATCH($A687,customer_churn_dataset!$A$2:$A$1501,0))=1,"Yes","No")</f>
        <v>No</v>
      </c>
      <c r="H686" s="0" t="n">
        <f aca="false">INDEX(customer_churn_dataset!$N$2:$N$1501,MATCH($A687,customer_churn_dataset!$A$2:$A$1501,0))</f>
        <v>73.52</v>
      </c>
      <c r="I686" s="0" t="n">
        <f aca="false">INDEX(customer_churn_dataset!$O$2:$O$1501,MATCH($A687,customer_churn_dataset!$A$2:$A$1501,0))</f>
        <v>0</v>
      </c>
      <c r="J686" s="0" t="n">
        <f aca="false">INDEX(customer_churn_dataset!$T$2:$T$1501,MATCH($A687,customer_churn_dataset!$A$2:$A$1501,0))</f>
        <v>3</v>
      </c>
      <c r="K686" s="0" t="str">
        <f aca="false">INDEX(customer_churn_dataset!$V$2:$V$1501,MATCH($A687,customer_churn_dataset!$A$2:$A$1501,0))</f>
        <v>Medium Risk</v>
      </c>
    </row>
    <row r="687" customFormat="false" ht="12.8" hidden="true" customHeight="false" outlineLevel="0" collapsed="false">
      <c r="A687" s="22" t="str">
        <f aca="false">customer_churn_dataset!A1085</f>
        <v>CUST101279</v>
      </c>
      <c r="B687" s="22" t="str">
        <f aca="false">customer_churn_dataset!B1085</f>
        <v>Standard</v>
      </c>
      <c r="C687" s="22" t="str">
        <f aca="false">customer_churn_dataset!C1085</f>
        <v>One year</v>
      </c>
      <c r="D687" s="0" t="n">
        <f aca="false">INDEX(customer_churn_dataset!$E$2:$E$1501,MATCH($A688,customer_churn_dataset!$A$2:$A$1501,0))</f>
        <v>0</v>
      </c>
      <c r="E687" s="0" t="n">
        <f aca="false">INDEX(customer_churn_dataset!$I$2:$I$1501,MATCH($A688,customer_churn_dataset!$A$2:$A$1501,0))</f>
        <v>10.6</v>
      </c>
      <c r="F687" s="0" t="n">
        <f aca="false">INDEX(customer_churn_dataset!$L$2:$L$1501,MATCH($A688,customer_churn_dataset!$A$2:$A$1501,0))</f>
        <v>2</v>
      </c>
      <c r="G687" s="0" t="str">
        <f aca="false">IF(INDEX(customer_churn_dataset!$M$2:$M$1501,MATCH($A688,customer_churn_dataset!$A$2:$A$1501,0))=1,"Yes","No")</f>
        <v>No</v>
      </c>
      <c r="H687" s="0" t="n">
        <f aca="false">INDEX(customer_churn_dataset!$N$2:$N$1501,MATCH($A688,customer_churn_dataset!$A$2:$A$1501,0))</f>
        <v>0</v>
      </c>
      <c r="I687" s="0" t="n">
        <f aca="false">INDEX(customer_churn_dataset!$O$2:$O$1501,MATCH($A688,customer_churn_dataset!$A$2:$A$1501,0))</f>
        <v>1</v>
      </c>
      <c r="J687" s="0" t="n">
        <f aca="false">INDEX(customer_churn_dataset!$T$2:$T$1501,MATCH($A688,customer_churn_dataset!$A$2:$A$1501,0))</f>
        <v>6</v>
      </c>
      <c r="K687" s="0" t="str">
        <f aca="false">INDEX(customer_churn_dataset!$V$2:$V$1501,MATCH($A688,customer_churn_dataset!$A$2:$A$1501,0))</f>
        <v>High Risk</v>
      </c>
    </row>
    <row r="688" customFormat="false" ht="12.8" hidden="true" customHeight="false" outlineLevel="0" collapsed="false">
      <c r="A688" s="22" t="str">
        <f aca="false">customer_churn_dataset!A1102</f>
        <v>CUST100572</v>
      </c>
      <c r="B688" s="22" t="str">
        <f aca="false">customer_churn_dataset!B1102</f>
        <v>Basic</v>
      </c>
      <c r="C688" s="22" t="str">
        <f aca="false">customer_churn_dataset!C1102</f>
        <v>Month-to-month</v>
      </c>
      <c r="D688" s="0" t="n">
        <f aca="false">INDEX(customer_churn_dataset!$E$2:$E$1501,MATCH($A689,customer_churn_dataset!$A$2:$A$1501,0))</f>
        <v>72</v>
      </c>
      <c r="E688" s="0" t="n">
        <f aca="false">INDEX(customer_churn_dataset!$I$2:$I$1501,MATCH($A689,customer_churn_dataset!$A$2:$A$1501,0))</f>
        <v>32.4</v>
      </c>
      <c r="F688" s="0" t="n">
        <f aca="false">INDEX(customer_churn_dataset!$L$2:$L$1501,MATCH($A689,customer_churn_dataset!$A$2:$A$1501,0))</f>
        <v>3</v>
      </c>
      <c r="G688" s="0" t="str">
        <f aca="false">IF(INDEX(customer_churn_dataset!$M$2:$M$1501,MATCH($A689,customer_churn_dataset!$A$2:$A$1501,0))=1,"Yes","No")</f>
        <v>No</v>
      </c>
      <c r="H688" s="0" t="n">
        <f aca="false">INDEX(customer_churn_dataset!$N$2:$N$1501,MATCH($A689,customer_churn_dataset!$A$2:$A$1501,0))</f>
        <v>934.56</v>
      </c>
      <c r="I688" s="0" t="n">
        <f aca="false">INDEX(customer_churn_dataset!$O$2:$O$1501,MATCH($A689,customer_churn_dataset!$A$2:$A$1501,0))</f>
        <v>0</v>
      </c>
      <c r="J688" s="0" t="n">
        <f aca="false">INDEX(customer_churn_dataset!$T$2:$T$1501,MATCH($A689,customer_churn_dataset!$A$2:$A$1501,0))</f>
        <v>4</v>
      </c>
      <c r="K688" s="0" t="str">
        <f aca="false">INDEX(customer_churn_dataset!$V$2:$V$1501,MATCH($A689,customer_churn_dataset!$A$2:$A$1501,0))</f>
        <v>Medium Risk</v>
      </c>
    </row>
    <row r="689" customFormat="false" ht="12.8" hidden="true" customHeight="false" outlineLevel="0" collapsed="false">
      <c r="A689" s="22" t="str">
        <f aca="false">customer_churn_dataset!A1103</f>
        <v>CUST101361</v>
      </c>
      <c r="B689" s="22" t="str">
        <f aca="false">customer_churn_dataset!B1103</f>
        <v>Basic</v>
      </c>
      <c r="C689" s="22" t="str">
        <f aca="false">customer_churn_dataset!C1103</f>
        <v>One year</v>
      </c>
      <c r="D689" s="0" t="n">
        <f aca="false">INDEX(customer_churn_dataset!$E$2:$E$1501,MATCH($A690,customer_churn_dataset!$A$2:$A$1501,0))</f>
        <v>22</v>
      </c>
      <c r="E689" s="0" t="n">
        <f aca="false">INDEX(customer_churn_dataset!$I$2:$I$1501,MATCH($A690,customer_churn_dataset!$A$2:$A$1501,0))</f>
        <v>67.7</v>
      </c>
      <c r="F689" s="0" t="n">
        <f aca="false">INDEX(customer_churn_dataset!$L$2:$L$1501,MATCH($A690,customer_churn_dataset!$A$2:$A$1501,0))</f>
        <v>1</v>
      </c>
      <c r="G689" s="0" t="str">
        <f aca="false">IF(INDEX(customer_churn_dataset!$M$2:$M$1501,MATCH($A690,customer_churn_dataset!$A$2:$A$1501,0))=1,"Yes","No")</f>
        <v>No</v>
      </c>
      <c r="H689" s="0" t="n">
        <f aca="false">INDEX(customer_churn_dataset!$N$2:$N$1501,MATCH($A690,customer_churn_dataset!$A$2:$A$1501,0))</f>
        <v>225.72</v>
      </c>
      <c r="I689" s="0" t="n">
        <f aca="false">INDEX(customer_churn_dataset!$O$2:$O$1501,MATCH($A690,customer_churn_dataset!$A$2:$A$1501,0))</f>
        <v>0</v>
      </c>
      <c r="J689" s="0" t="n">
        <f aca="false">INDEX(customer_churn_dataset!$T$2:$T$1501,MATCH($A690,customer_churn_dataset!$A$2:$A$1501,0))</f>
        <v>1</v>
      </c>
      <c r="K689" s="0" t="str">
        <f aca="false">INDEX(customer_churn_dataset!$V$2:$V$1501,MATCH($A690,customer_churn_dataset!$A$2:$A$1501,0))</f>
        <v>Low Risk</v>
      </c>
    </row>
    <row r="690" customFormat="false" ht="12.8" hidden="true" customHeight="false" outlineLevel="0" collapsed="false">
      <c r="A690" s="22" t="str">
        <f aca="false">customer_churn_dataset!A1109</f>
        <v>CUST100904</v>
      </c>
      <c r="B690" s="22" t="str">
        <f aca="false">customer_churn_dataset!B1109</f>
        <v>Basic</v>
      </c>
      <c r="C690" s="22" t="str">
        <f aca="false">customer_churn_dataset!C1109</f>
        <v>One year</v>
      </c>
      <c r="D690" s="0" t="n">
        <f aca="false">INDEX(customer_churn_dataset!$E$2:$E$1501,MATCH($A691,customer_churn_dataset!$A$2:$A$1501,0))</f>
        <v>18</v>
      </c>
      <c r="E690" s="0" t="n">
        <f aca="false">INDEX(customer_churn_dataset!$I$2:$I$1501,MATCH($A691,customer_churn_dataset!$A$2:$A$1501,0))</f>
        <v>69.8</v>
      </c>
      <c r="F690" s="0" t="n">
        <f aca="false">INDEX(customer_churn_dataset!$L$2:$L$1501,MATCH($A691,customer_churn_dataset!$A$2:$A$1501,0))</f>
        <v>0</v>
      </c>
      <c r="G690" s="0" t="str">
        <f aca="false">IF(INDEX(customer_churn_dataset!$M$2:$M$1501,MATCH($A691,customer_churn_dataset!$A$2:$A$1501,0))=1,"Yes","No")</f>
        <v>No</v>
      </c>
      <c r="H690" s="0" t="n">
        <f aca="false">INDEX(customer_churn_dataset!$N$2:$N$1501,MATCH($A691,customer_churn_dataset!$A$2:$A$1501,0))</f>
        <v>155.16</v>
      </c>
      <c r="I690" s="0" t="n">
        <f aca="false">INDEX(customer_churn_dataset!$O$2:$O$1501,MATCH($A691,customer_churn_dataset!$A$2:$A$1501,0))</f>
        <v>0</v>
      </c>
      <c r="J690" s="0" t="n">
        <f aca="false">INDEX(customer_churn_dataset!$T$2:$T$1501,MATCH($A691,customer_churn_dataset!$A$2:$A$1501,0))</f>
        <v>1</v>
      </c>
      <c r="K690" s="0" t="str">
        <f aca="false">INDEX(customer_churn_dataset!$V$2:$V$1501,MATCH($A691,customer_churn_dataset!$A$2:$A$1501,0))</f>
        <v>Low Risk</v>
      </c>
    </row>
    <row r="691" customFormat="false" ht="12.8" hidden="true" customHeight="false" outlineLevel="0" collapsed="false">
      <c r="A691" s="22" t="str">
        <f aca="false">customer_churn_dataset!A1112</f>
        <v>CUST100071</v>
      </c>
      <c r="B691" s="22" t="str">
        <f aca="false">customer_churn_dataset!B1112</f>
        <v>Basic</v>
      </c>
      <c r="C691" s="22" t="str">
        <f aca="false">customer_churn_dataset!C1112</f>
        <v>One year</v>
      </c>
      <c r="D691" s="0" t="n">
        <f aca="false">INDEX(customer_churn_dataset!$E$2:$E$1501,MATCH($A692,customer_churn_dataset!$A$2:$A$1501,0))</f>
        <v>39</v>
      </c>
      <c r="E691" s="0" t="n">
        <f aca="false">INDEX(customer_churn_dataset!$I$2:$I$1501,MATCH($A692,customer_churn_dataset!$A$2:$A$1501,0))</f>
        <v>48.1</v>
      </c>
      <c r="F691" s="0" t="n">
        <f aca="false">INDEX(customer_churn_dataset!$L$2:$L$1501,MATCH($A692,customer_churn_dataset!$A$2:$A$1501,0))</f>
        <v>0</v>
      </c>
      <c r="G691" s="0" t="str">
        <f aca="false">IF(INDEX(customer_churn_dataset!$M$2:$M$1501,MATCH($A692,customer_churn_dataset!$A$2:$A$1501,0))=1,"Yes","No")</f>
        <v>No</v>
      </c>
      <c r="H691" s="0" t="n">
        <f aca="false">INDEX(customer_churn_dataset!$N$2:$N$1501,MATCH($A692,customer_churn_dataset!$A$2:$A$1501,0))</f>
        <v>726.18</v>
      </c>
      <c r="I691" s="0" t="n">
        <f aca="false">INDEX(customer_churn_dataset!$O$2:$O$1501,MATCH($A692,customer_churn_dataset!$A$2:$A$1501,0))</f>
        <v>0</v>
      </c>
      <c r="J691" s="0" t="n">
        <f aca="false">INDEX(customer_churn_dataset!$T$2:$T$1501,MATCH($A692,customer_churn_dataset!$A$2:$A$1501,0))</f>
        <v>1</v>
      </c>
      <c r="K691" s="0" t="str">
        <f aca="false">INDEX(customer_churn_dataset!$V$2:$V$1501,MATCH($A692,customer_churn_dataset!$A$2:$A$1501,0))</f>
        <v>Low Risk</v>
      </c>
    </row>
    <row r="692" customFormat="false" ht="12.8" hidden="true" customHeight="false" outlineLevel="0" collapsed="false">
      <c r="A692" s="22" t="str">
        <f aca="false">customer_churn_dataset!A1119</f>
        <v>CUST101193</v>
      </c>
      <c r="B692" s="22" t="str">
        <f aca="false">customer_churn_dataset!B1119</f>
        <v>Standard</v>
      </c>
      <c r="C692" s="22" t="str">
        <f aca="false">customer_churn_dataset!C1119</f>
        <v>Two year</v>
      </c>
      <c r="D692" s="0" t="n">
        <f aca="false">INDEX(customer_churn_dataset!$E$2:$E$1501,MATCH($A693,customer_churn_dataset!$A$2:$A$1501,0))</f>
        <v>9</v>
      </c>
      <c r="E692" s="0" t="n">
        <f aca="false">INDEX(customer_churn_dataset!$I$2:$I$1501,MATCH($A693,customer_churn_dataset!$A$2:$A$1501,0))</f>
        <v>51.6</v>
      </c>
      <c r="F692" s="0" t="n">
        <f aca="false">INDEX(customer_churn_dataset!$L$2:$L$1501,MATCH($A693,customer_churn_dataset!$A$2:$A$1501,0))</f>
        <v>0</v>
      </c>
      <c r="G692" s="0" t="str">
        <f aca="false">IF(INDEX(customer_churn_dataset!$M$2:$M$1501,MATCH($A693,customer_churn_dataset!$A$2:$A$1501,0))=1,"Yes","No")</f>
        <v>No</v>
      </c>
      <c r="H692" s="0" t="n">
        <f aca="false">INDEX(customer_churn_dataset!$N$2:$N$1501,MATCH($A693,customer_churn_dataset!$A$2:$A$1501,0))</f>
        <v>86.67</v>
      </c>
      <c r="I692" s="0" t="n">
        <f aca="false">INDEX(customer_churn_dataset!$O$2:$O$1501,MATCH($A693,customer_churn_dataset!$A$2:$A$1501,0))</f>
        <v>0</v>
      </c>
      <c r="J692" s="0" t="n">
        <f aca="false">INDEX(customer_churn_dataset!$T$2:$T$1501,MATCH($A693,customer_churn_dataset!$A$2:$A$1501,0))</f>
        <v>3</v>
      </c>
      <c r="K692" s="0" t="str">
        <f aca="false">INDEX(customer_churn_dataset!$V$2:$V$1501,MATCH($A693,customer_churn_dataset!$A$2:$A$1501,0))</f>
        <v>Medium Risk</v>
      </c>
    </row>
    <row r="693" customFormat="false" ht="12.8" hidden="true" customHeight="false" outlineLevel="0" collapsed="false">
      <c r="A693" s="22" t="str">
        <f aca="false">customer_churn_dataset!A1120</f>
        <v>CUST100262</v>
      </c>
      <c r="B693" s="22" t="str">
        <f aca="false">customer_churn_dataset!B1120</f>
        <v>Basic</v>
      </c>
      <c r="C693" s="22" t="str">
        <f aca="false">customer_churn_dataset!C1120</f>
        <v>One year</v>
      </c>
      <c r="D693" s="0" t="n">
        <f aca="false">INDEX(customer_churn_dataset!$E$2:$E$1501,MATCH($A694,customer_churn_dataset!$A$2:$A$1501,0))</f>
        <v>72</v>
      </c>
      <c r="E693" s="0" t="n">
        <f aca="false">INDEX(customer_churn_dataset!$I$2:$I$1501,MATCH($A694,customer_churn_dataset!$A$2:$A$1501,0))</f>
        <v>44.1</v>
      </c>
      <c r="F693" s="0" t="n">
        <f aca="false">INDEX(customer_churn_dataset!$L$2:$L$1501,MATCH($A694,customer_churn_dataset!$A$2:$A$1501,0))</f>
        <v>2</v>
      </c>
      <c r="G693" s="0" t="str">
        <f aca="false">IF(INDEX(customer_churn_dataset!$M$2:$M$1501,MATCH($A694,customer_churn_dataset!$A$2:$A$1501,0))=1,"Yes","No")</f>
        <v>No</v>
      </c>
      <c r="H693" s="0" t="n">
        <f aca="false">INDEX(customer_churn_dataset!$N$2:$N$1501,MATCH($A694,customer_churn_dataset!$A$2:$A$1501,0))</f>
        <v>1389.6</v>
      </c>
      <c r="I693" s="0" t="n">
        <f aca="false">INDEX(customer_churn_dataset!$O$2:$O$1501,MATCH($A694,customer_churn_dataset!$A$2:$A$1501,0))</f>
        <v>0</v>
      </c>
      <c r="J693" s="0" t="n">
        <f aca="false">INDEX(customer_churn_dataset!$T$2:$T$1501,MATCH($A694,customer_churn_dataset!$A$2:$A$1501,0))</f>
        <v>2</v>
      </c>
      <c r="K693" s="0" t="str">
        <f aca="false">INDEX(customer_churn_dataset!$V$2:$V$1501,MATCH($A694,customer_churn_dataset!$A$2:$A$1501,0))</f>
        <v>Low Risk</v>
      </c>
    </row>
    <row r="694" customFormat="false" ht="12.8" hidden="true" customHeight="false" outlineLevel="0" collapsed="false">
      <c r="A694" s="22" t="str">
        <f aca="false">customer_churn_dataset!A1126</f>
        <v>CUST100619</v>
      </c>
      <c r="B694" s="22" t="str">
        <f aca="false">customer_churn_dataset!B1126</f>
        <v>Standard</v>
      </c>
      <c r="C694" s="22" t="str">
        <f aca="false">customer_churn_dataset!C1126</f>
        <v>Two year</v>
      </c>
      <c r="D694" s="0" t="n">
        <f aca="false">INDEX(customer_churn_dataset!$E$2:$E$1501,MATCH($A695,customer_churn_dataset!$A$2:$A$1501,0))</f>
        <v>53</v>
      </c>
      <c r="E694" s="0" t="n">
        <f aca="false">INDEX(customer_churn_dataset!$I$2:$I$1501,MATCH($A695,customer_churn_dataset!$A$2:$A$1501,0))</f>
        <v>49</v>
      </c>
      <c r="F694" s="0" t="n">
        <f aca="false">INDEX(customer_churn_dataset!$L$2:$L$1501,MATCH($A695,customer_churn_dataset!$A$2:$A$1501,0))</f>
        <v>5</v>
      </c>
      <c r="G694" s="0" t="str">
        <f aca="false">IF(INDEX(customer_churn_dataset!$M$2:$M$1501,MATCH($A695,customer_churn_dataset!$A$2:$A$1501,0))=1,"Yes","No")</f>
        <v>Yes</v>
      </c>
      <c r="H694" s="0" t="n">
        <f aca="false">INDEX(customer_churn_dataset!$N$2:$N$1501,MATCH($A695,customer_churn_dataset!$A$2:$A$1501,0))</f>
        <v>1054.17</v>
      </c>
      <c r="I694" s="0" t="n">
        <f aca="false">INDEX(customer_churn_dataset!$O$2:$O$1501,MATCH($A695,customer_churn_dataset!$A$2:$A$1501,0))</f>
        <v>0</v>
      </c>
      <c r="J694" s="0" t="n">
        <f aca="false">INDEX(customer_churn_dataset!$T$2:$T$1501,MATCH($A695,customer_churn_dataset!$A$2:$A$1501,0))</f>
        <v>5</v>
      </c>
      <c r="K694" s="0" t="str">
        <f aca="false">INDEX(customer_churn_dataset!$V$2:$V$1501,MATCH($A695,customer_churn_dataset!$A$2:$A$1501,0))</f>
        <v>Medium Risk</v>
      </c>
    </row>
    <row r="695" customFormat="false" ht="12.8" hidden="true" customHeight="false" outlineLevel="0" collapsed="false">
      <c r="A695" s="22" t="str">
        <f aca="false">customer_churn_dataset!A1127</f>
        <v>CUST100903</v>
      </c>
      <c r="B695" s="22" t="str">
        <f aca="false">customer_churn_dataset!B1127</f>
        <v>Standard</v>
      </c>
      <c r="C695" s="22" t="str">
        <f aca="false">customer_churn_dataset!C1127</f>
        <v>Two year</v>
      </c>
      <c r="D695" s="0" t="n">
        <f aca="false">INDEX(customer_churn_dataset!$E$2:$E$1501,MATCH($A696,customer_churn_dataset!$A$2:$A$1501,0))</f>
        <v>31</v>
      </c>
      <c r="E695" s="0" t="n">
        <f aca="false">INDEX(customer_churn_dataset!$I$2:$I$1501,MATCH($A696,customer_churn_dataset!$A$2:$A$1501,0))</f>
        <v>14.5</v>
      </c>
      <c r="F695" s="0" t="n">
        <f aca="false">INDEX(customer_churn_dataset!$L$2:$L$1501,MATCH($A696,customer_churn_dataset!$A$2:$A$1501,0))</f>
        <v>1</v>
      </c>
      <c r="G695" s="0" t="str">
        <f aca="false">IF(INDEX(customer_churn_dataset!$M$2:$M$1501,MATCH($A696,customer_churn_dataset!$A$2:$A$1501,0))=1,"Yes","No")</f>
        <v>No</v>
      </c>
      <c r="H695" s="0" t="n">
        <f aca="false">INDEX(customer_churn_dataset!$N$2:$N$1501,MATCH($A696,customer_churn_dataset!$A$2:$A$1501,0))</f>
        <v>1188.85</v>
      </c>
      <c r="I695" s="0" t="n">
        <f aca="false">INDEX(customer_churn_dataset!$O$2:$O$1501,MATCH($A696,customer_churn_dataset!$A$2:$A$1501,0))</f>
        <v>0</v>
      </c>
      <c r="J695" s="0" t="n">
        <f aca="false">INDEX(customer_churn_dataset!$T$2:$T$1501,MATCH($A696,customer_churn_dataset!$A$2:$A$1501,0))</f>
        <v>3</v>
      </c>
      <c r="K695" s="0" t="str">
        <f aca="false">INDEX(customer_churn_dataset!$V$2:$V$1501,MATCH($A696,customer_churn_dataset!$A$2:$A$1501,0))</f>
        <v>Medium Risk</v>
      </c>
    </row>
    <row r="696" customFormat="false" ht="12.8" hidden="true" customHeight="false" outlineLevel="0" collapsed="false">
      <c r="A696" s="22" t="str">
        <f aca="false">customer_churn_dataset!A1128</f>
        <v>CUST100989</v>
      </c>
      <c r="B696" s="22" t="str">
        <f aca="false">customer_churn_dataset!B1128</f>
        <v>Premium</v>
      </c>
      <c r="C696" s="22" t="str">
        <f aca="false">customer_churn_dataset!C1128</f>
        <v>One year</v>
      </c>
      <c r="D696" s="0" t="n">
        <f aca="false">INDEX(customer_churn_dataset!$E$2:$E$1501,MATCH($A697,customer_churn_dataset!$A$2:$A$1501,0))</f>
        <v>29</v>
      </c>
      <c r="E696" s="0" t="n">
        <f aca="false">INDEX(customer_churn_dataset!$I$2:$I$1501,MATCH($A697,customer_churn_dataset!$A$2:$A$1501,0))</f>
        <v>66.6</v>
      </c>
      <c r="F696" s="0" t="n">
        <f aca="false">INDEX(customer_churn_dataset!$L$2:$L$1501,MATCH($A697,customer_churn_dataset!$A$2:$A$1501,0))</f>
        <v>2</v>
      </c>
      <c r="G696" s="0" t="str">
        <f aca="false">IF(INDEX(customer_churn_dataset!$M$2:$M$1501,MATCH($A697,customer_churn_dataset!$A$2:$A$1501,0))=1,"Yes","No")</f>
        <v>No</v>
      </c>
      <c r="H696" s="0" t="n">
        <f aca="false">INDEX(customer_churn_dataset!$N$2:$N$1501,MATCH($A697,customer_churn_dataset!$A$2:$A$1501,0))</f>
        <v>273.76</v>
      </c>
      <c r="I696" s="0" t="n">
        <f aca="false">INDEX(customer_churn_dataset!$O$2:$O$1501,MATCH($A697,customer_churn_dataset!$A$2:$A$1501,0))</f>
        <v>0</v>
      </c>
      <c r="J696" s="0" t="n">
        <f aca="false">INDEX(customer_churn_dataset!$T$2:$T$1501,MATCH($A697,customer_churn_dataset!$A$2:$A$1501,0))</f>
        <v>1</v>
      </c>
      <c r="K696" s="0" t="str">
        <f aca="false">INDEX(customer_churn_dataset!$V$2:$V$1501,MATCH($A697,customer_churn_dataset!$A$2:$A$1501,0))</f>
        <v>Low Risk</v>
      </c>
    </row>
    <row r="697" customFormat="false" ht="12.8" hidden="true" customHeight="false" outlineLevel="0" collapsed="false">
      <c r="A697" s="22" t="str">
        <f aca="false">customer_churn_dataset!A1131</f>
        <v>CUST100330</v>
      </c>
      <c r="B697" s="22" t="str">
        <f aca="false">customer_churn_dataset!B1131</f>
        <v>Basic</v>
      </c>
      <c r="C697" s="22" t="str">
        <f aca="false">customer_churn_dataset!C1131</f>
        <v>Two year</v>
      </c>
      <c r="D697" s="0" t="n">
        <f aca="false">INDEX(customer_churn_dataset!$E$2:$E$1501,MATCH($A698,customer_churn_dataset!$A$2:$A$1501,0))</f>
        <v>40</v>
      </c>
      <c r="E697" s="0" t="n">
        <f aca="false">INDEX(customer_churn_dataset!$I$2:$I$1501,MATCH($A698,customer_churn_dataset!$A$2:$A$1501,0))</f>
        <v>44.4</v>
      </c>
      <c r="F697" s="0" t="n">
        <f aca="false">INDEX(customer_churn_dataset!$L$2:$L$1501,MATCH($A698,customer_churn_dataset!$A$2:$A$1501,0))</f>
        <v>1</v>
      </c>
      <c r="G697" s="0" t="str">
        <f aca="false">IF(INDEX(customer_churn_dataset!$M$2:$M$1501,MATCH($A698,customer_churn_dataset!$A$2:$A$1501,0))=1,"Yes","No")</f>
        <v>Yes</v>
      </c>
      <c r="H697" s="0" t="n">
        <f aca="false">INDEX(customer_churn_dataset!$N$2:$N$1501,MATCH($A698,customer_churn_dataset!$A$2:$A$1501,0))</f>
        <v>415.2</v>
      </c>
      <c r="I697" s="0" t="n">
        <f aca="false">INDEX(customer_churn_dataset!$O$2:$O$1501,MATCH($A698,customer_churn_dataset!$A$2:$A$1501,0))</f>
        <v>0</v>
      </c>
      <c r="J697" s="0" t="n">
        <f aca="false">INDEX(customer_churn_dataset!$T$2:$T$1501,MATCH($A698,customer_churn_dataset!$A$2:$A$1501,0))</f>
        <v>4</v>
      </c>
      <c r="K697" s="0" t="str">
        <f aca="false">INDEX(customer_churn_dataset!$V$2:$V$1501,MATCH($A698,customer_churn_dataset!$A$2:$A$1501,0))</f>
        <v>Medium Risk</v>
      </c>
    </row>
    <row r="698" customFormat="false" ht="12.8" hidden="true" customHeight="false" outlineLevel="0" collapsed="false">
      <c r="A698" s="22" t="str">
        <f aca="false">customer_churn_dataset!A1132</f>
        <v>CUST100117</v>
      </c>
      <c r="B698" s="22" t="str">
        <f aca="false">customer_churn_dataset!B1132</f>
        <v>Basic</v>
      </c>
      <c r="C698" s="22" t="str">
        <f aca="false">customer_churn_dataset!C1132</f>
        <v>Two year</v>
      </c>
      <c r="D698" s="0" t="n">
        <f aca="false">INDEX(customer_churn_dataset!$E$2:$E$1501,MATCH($A699,customer_churn_dataset!$A$2:$A$1501,0))</f>
        <v>72</v>
      </c>
      <c r="E698" s="0" t="n">
        <f aca="false">INDEX(customer_churn_dataset!$I$2:$I$1501,MATCH($A699,customer_churn_dataset!$A$2:$A$1501,0))</f>
        <v>73.9</v>
      </c>
      <c r="F698" s="0" t="n">
        <f aca="false">INDEX(customer_churn_dataset!$L$2:$L$1501,MATCH($A699,customer_churn_dataset!$A$2:$A$1501,0))</f>
        <v>1</v>
      </c>
      <c r="G698" s="0" t="str">
        <f aca="false">IF(INDEX(customer_churn_dataset!$M$2:$M$1501,MATCH($A699,customer_churn_dataset!$A$2:$A$1501,0))=1,"Yes","No")</f>
        <v>Yes</v>
      </c>
      <c r="H698" s="0" t="n">
        <f aca="false">INDEX(customer_churn_dataset!$N$2:$N$1501,MATCH($A699,customer_churn_dataset!$A$2:$A$1501,0))</f>
        <v>1373.76</v>
      </c>
      <c r="I698" s="0" t="n">
        <f aca="false">INDEX(customer_churn_dataset!$O$2:$O$1501,MATCH($A699,customer_churn_dataset!$A$2:$A$1501,0))</f>
        <v>0</v>
      </c>
      <c r="J698" s="0" t="n">
        <f aca="false">INDEX(customer_churn_dataset!$T$2:$T$1501,MATCH($A699,customer_churn_dataset!$A$2:$A$1501,0))</f>
        <v>3</v>
      </c>
      <c r="K698" s="0" t="str">
        <f aca="false">INDEX(customer_churn_dataset!$V$2:$V$1501,MATCH($A699,customer_churn_dataset!$A$2:$A$1501,0))</f>
        <v>Medium Risk</v>
      </c>
    </row>
    <row r="699" customFormat="false" ht="12.8" hidden="false" customHeight="false" outlineLevel="0" collapsed="false">
      <c r="A699" s="23" t="str">
        <f aca="false">customer_churn_dataset!A1133</f>
        <v>CUST100792</v>
      </c>
      <c r="B699" s="24" t="str">
        <f aca="false">customer_churn_dataset!B1133</f>
        <v>Standard</v>
      </c>
      <c r="C699" s="24" t="str">
        <f aca="false">customer_churn_dataset!C1133</f>
        <v>Two year</v>
      </c>
      <c r="D699" s="25" t="n">
        <f aca="false">INDEX(customer_churn_dataset!$E$2:$E$1501,MATCH($A700,customer_churn_dataset!$A$2:$A$1501,0))</f>
        <v>9</v>
      </c>
      <c r="E699" s="25" t="n">
        <f aca="false">INDEX(customer_churn_dataset!$I$2:$I$1501,MATCH($A700,customer_churn_dataset!$A$2:$A$1501,0))</f>
        <v>31.7</v>
      </c>
      <c r="F699" s="25" t="n">
        <f aca="false">INDEX(customer_churn_dataset!$L$2:$L$1501,MATCH($A700,customer_churn_dataset!$A$2:$A$1501,0))</f>
        <v>2</v>
      </c>
      <c r="G699" s="25" t="str">
        <f aca="false">IF(INDEX(customer_churn_dataset!$M$2:$M$1501,MATCH($A700,customer_churn_dataset!$A$2:$A$1501,0))=1,"Yes","No")</f>
        <v>Yes</v>
      </c>
      <c r="H699" s="25" t="n">
        <f aca="false">INDEX(customer_churn_dataset!$N$2:$N$1501,MATCH($A700,customer_churn_dataset!$A$2:$A$1501,0))</f>
        <v>89.73</v>
      </c>
      <c r="I699" s="25" t="n">
        <f aca="false">INDEX(customer_churn_dataset!$O$2:$O$1501,MATCH($A700,customer_churn_dataset!$A$2:$A$1501,0))</f>
        <v>0</v>
      </c>
      <c r="J699" s="25" t="n">
        <f aca="false">INDEX(customer_churn_dataset!$T$2:$T$1501,MATCH($A700,customer_churn_dataset!$A$2:$A$1501,0))</f>
        <v>9</v>
      </c>
      <c r="K699" s="25" t="str">
        <f aca="false">INDEX(customer_churn_dataset!$V$2:$V$1501,MATCH($A700,customer_churn_dataset!$A$2:$A$1501,0))</f>
        <v>High Risk</v>
      </c>
    </row>
    <row r="700" customFormat="false" ht="12.8" hidden="true" customHeight="false" outlineLevel="0" collapsed="false">
      <c r="A700" s="22" t="str">
        <f aca="false">customer_churn_dataset!A1144</f>
        <v>CUST100505</v>
      </c>
      <c r="B700" s="22" t="str">
        <f aca="false">customer_churn_dataset!B1144</f>
        <v>Basic</v>
      </c>
      <c r="C700" s="22" t="str">
        <f aca="false">customer_churn_dataset!C1144</f>
        <v>Month-to-month</v>
      </c>
      <c r="D700" s="0" t="n">
        <f aca="false">INDEX(customer_churn_dataset!$E$2:$E$1501,MATCH($A701,customer_churn_dataset!$A$2:$A$1501,0))</f>
        <v>52</v>
      </c>
      <c r="E700" s="0" t="n">
        <f aca="false">INDEX(customer_churn_dataset!$I$2:$I$1501,MATCH($A701,customer_churn_dataset!$A$2:$A$1501,0))</f>
        <v>62.4</v>
      </c>
      <c r="F700" s="0" t="n">
        <f aca="false">INDEX(customer_churn_dataset!$L$2:$L$1501,MATCH($A701,customer_churn_dataset!$A$2:$A$1501,0))</f>
        <v>1</v>
      </c>
      <c r="G700" s="0" t="str">
        <f aca="false">IF(INDEX(customer_churn_dataset!$M$2:$M$1501,MATCH($A701,customer_churn_dataset!$A$2:$A$1501,0))=1,"Yes","No")</f>
        <v>No</v>
      </c>
      <c r="H700" s="0" t="n">
        <f aca="false">INDEX(customer_churn_dataset!$N$2:$N$1501,MATCH($A701,customer_churn_dataset!$A$2:$A$1501,0))</f>
        <v>486.2</v>
      </c>
      <c r="I700" s="0" t="n">
        <f aca="false">INDEX(customer_churn_dataset!$O$2:$O$1501,MATCH($A701,customer_churn_dataset!$A$2:$A$1501,0))</f>
        <v>0</v>
      </c>
      <c r="J700" s="0" t="n">
        <f aca="false">INDEX(customer_churn_dataset!$T$2:$T$1501,MATCH($A701,customer_churn_dataset!$A$2:$A$1501,0))</f>
        <v>0</v>
      </c>
      <c r="K700" s="0" t="str">
        <f aca="false">INDEX(customer_churn_dataset!$V$2:$V$1501,MATCH($A701,customer_churn_dataset!$A$2:$A$1501,0))</f>
        <v>Low Risk</v>
      </c>
    </row>
    <row r="701" customFormat="false" ht="12.8" hidden="true" customHeight="false" outlineLevel="0" collapsed="false">
      <c r="A701" s="22" t="str">
        <f aca="false">customer_churn_dataset!A1150</f>
        <v>CUST100472</v>
      </c>
      <c r="B701" s="22" t="str">
        <f aca="false">customer_churn_dataset!B1150</f>
        <v>Basic</v>
      </c>
      <c r="C701" s="22" t="str">
        <f aca="false">customer_churn_dataset!C1150</f>
        <v>Two year</v>
      </c>
      <c r="D701" s="0" t="n">
        <f aca="false">INDEX(customer_churn_dataset!$E$2:$E$1501,MATCH($A702,customer_churn_dataset!$A$2:$A$1501,0))</f>
        <v>8</v>
      </c>
      <c r="E701" s="0" t="n">
        <f aca="false">INDEX(customer_churn_dataset!$I$2:$I$1501,MATCH($A702,customer_churn_dataset!$A$2:$A$1501,0))</f>
        <v>69.1</v>
      </c>
      <c r="F701" s="0" t="n">
        <f aca="false">INDEX(customer_churn_dataset!$L$2:$L$1501,MATCH($A702,customer_churn_dataset!$A$2:$A$1501,0))</f>
        <v>1</v>
      </c>
      <c r="G701" s="0" t="str">
        <f aca="false">IF(INDEX(customer_churn_dataset!$M$2:$M$1501,MATCH($A702,customer_churn_dataset!$A$2:$A$1501,0))=1,"Yes","No")</f>
        <v>Yes</v>
      </c>
      <c r="H701" s="0" t="n">
        <f aca="false">INDEX(customer_churn_dataset!$N$2:$N$1501,MATCH($A702,customer_churn_dataset!$A$2:$A$1501,0))</f>
        <v>163.12</v>
      </c>
      <c r="I701" s="0" t="n">
        <f aca="false">INDEX(customer_churn_dataset!$O$2:$O$1501,MATCH($A702,customer_churn_dataset!$A$2:$A$1501,0))</f>
        <v>0</v>
      </c>
      <c r="J701" s="0" t="n">
        <f aca="false">INDEX(customer_churn_dataset!$T$2:$T$1501,MATCH($A702,customer_churn_dataset!$A$2:$A$1501,0))</f>
        <v>5</v>
      </c>
      <c r="K701" s="0" t="str">
        <f aca="false">INDEX(customer_churn_dataset!$V$2:$V$1501,MATCH($A702,customer_churn_dataset!$A$2:$A$1501,0))</f>
        <v>Medium Risk</v>
      </c>
    </row>
    <row r="702" customFormat="false" ht="12.8" hidden="true" customHeight="false" outlineLevel="0" collapsed="false">
      <c r="A702" s="22" t="str">
        <f aca="false">customer_churn_dataset!A1151</f>
        <v>CUST100284</v>
      </c>
      <c r="B702" s="22" t="str">
        <f aca="false">customer_churn_dataset!B1151</f>
        <v>Standard</v>
      </c>
      <c r="C702" s="22" t="str">
        <f aca="false">customer_churn_dataset!C1151</f>
        <v>One year</v>
      </c>
      <c r="D702" s="0" t="n">
        <f aca="false">INDEX(customer_churn_dataset!$E$2:$E$1501,MATCH($A703,customer_churn_dataset!$A$2:$A$1501,0))</f>
        <v>14</v>
      </c>
      <c r="E702" s="0" t="n">
        <f aca="false">INDEX(customer_churn_dataset!$I$2:$I$1501,MATCH($A703,customer_churn_dataset!$A$2:$A$1501,0))</f>
        <v>74.2</v>
      </c>
      <c r="F702" s="0" t="n">
        <f aca="false">INDEX(customer_churn_dataset!$L$2:$L$1501,MATCH($A703,customer_churn_dataset!$A$2:$A$1501,0))</f>
        <v>0</v>
      </c>
      <c r="G702" s="0" t="str">
        <f aca="false">IF(INDEX(customer_churn_dataset!$M$2:$M$1501,MATCH($A703,customer_churn_dataset!$A$2:$A$1501,0))=1,"Yes","No")</f>
        <v>No</v>
      </c>
      <c r="H702" s="0" t="n">
        <f aca="false">INDEX(customer_churn_dataset!$N$2:$N$1501,MATCH($A703,customer_churn_dataset!$A$2:$A$1501,0))</f>
        <v>563.22</v>
      </c>
      <c r="I702" s="0" t="n">
        <f aca="false">INDEX(customer_churn_dataset!$O$2:$O$1501,MATCH($A703,customer_churn_dataset!$A$2:$A$1501,0))</f>
        <v>0</v>
      </c>
      <c r="J702" s="0" t="n">
        <f aca="false">INDEX(customer_churn_dataset!$T$2:$T$1501,MATCH($A703,customer_churn_dataset!$A$2:$A$1501,0))</f>
        <v>1</v>
      </c>
      <c r="K702" s="0" t="str">
        <f aca="false">INDEX(customer_churn_dataset!$V$2:$V$1501,MATCH($A703,customer_churn_dataset!$A$2:$A$1501,0))</f>
        <v>Low Risk</v>
      </c>
    </row>
    <row r="703" customFormat="false" ht="12.8" hidden="true" customHeight="false" outlineLevel="0" collapsed="false">
      <c r="A703" s="22" t="str">
        <f aca="false">customer_churn_dataset!A1166</f>
        <v>CUST100292</v>
      </c>
      <c r="B703" s="22" t="str">
        <f aca="false">customer_churn_dataset!B1166</f>
        <v>Premium</v>
      </c>
      <c r="C703" s="22" t="str">
        <f aca="false">customer_churn_dataset!C1166</f>
        <v>One year</v>
      </c>
      <c r="D703" s="0" t="n">
        <f aca="false">INDEX(customer_churn_dataset!$E$2:$E$1501,MATCH($A704,customer_churn_dataset!$A$2:$A$1501,0))</f>
        <v>2</v>
      </c>
      <c r="E703" s="0" t="n">
        <f aca="false">INDEX(customer_churn_dataset!$I$2:$I$1501,MATCH($A704,customer_churn_dataset!$A$2:$A$1501,0))</f>
        <v>83.9</v>
      </c>
      <c r="F703" s="0" t="n">
        <f aca="false">INDEX(customer_churn_dataset!$L$2:$L$1501,MATCH($A704,customer_churn_dataset!$A$2:$A$1501,0))</f>
        <v>1</v>
      </c>
      <c r="G703" s="0" t="str">
        <f aca="false">IF(INDEX(customer_churn_dataset!$M$2:$M$1501,MATCH($A704,customer_churn_dataset!$A$2:$A$1501,0))=1,"Yes","No")</f>
        <v>Yes</v>
      </c>
      <c r="H703" s="0" t="n">
        <f aca="false">INDEX(customer_churn_dataset!$N$2:$N$1501,MATCH($A704,customer_churn_dataset!$A$2:$A$1501,0))</f>
        <v>19.46</v>
      </c>
      <c r="I703" s="0" t="n">
        <f aca="false">INDEX(customer_churn_dataset!$O$2:$O$1501,MATCH($A704,customer_churn_dataset!$A$2:$A$1501,0))</f>
        <v>1</v>
      </c>
      <c r="J703" s="0" t="n">
        <f aca="false">INDEX(customer_churn_dataset!$T$2:$T$1501,MATCH($A704,customer_churn_dataset!$A$2:$A$1501,0))</f>
        <v>6</v>
      </c>
      <c r="K703" s="0" t="str">
        <f aca="false">INDEX(customer_churn_dataset!$V$2:$V$1501,MATCH($A704,customer_churn_dataset!$A$2:$A$1501,0))</f>
        <v>High Risk</v>
      </c>
    </row>
    <row r="704" customFormat="false" ht="12.8" hidden="true" customHeight="false" outlineLevel="0" collapsed="false">
      <c r="A704" s="22" t="str">
        <f aca="false">customer_churn_dataset!A1169</f>
        <v>CUST100736</v>
      </c>
      <c r="B704" s="22" t="str">
        <f aca="false">customer_churn_dataset!B1169</f>
        <v>Basic</v>
      </c>
      <c r="C704" s="22" t="str">
        <f aca="false">customer_churn_dataset!C1169</f>
        <v>Month-to-month</v>
      </c>
      <c r="D704" s="0" t="n">
        <f aca="false">INDEX(customer_churn_dataset!$E$2:$E$1501,MATCH($A705,customer_churn_dataset!$A$2:$A$1501,0))</f>
        <v>21</v>
      </c>
      <c r="E704" s="0" t="n">
        <f aca="false">INDEX(customer_churn_dataset!$I$2:$I$1501,MATCH($A705,customer_churn_dataset!$A$2:$A$1501,0))</f>
        <v>42.4</v>
      </c>
      <c r="F704" s="0" t="n">
        <f aca="false">INDEX(customer_churn_dataset!$L$2:$L$1501,MATCH($A705,customer_churn_dataset!$A$2:$A$1501,0))</f>
        <v>3</v>
      </c>
      <c r="G704" s="0" t="str">
        <f aca="false">IF(INDEX(customer_churn_dataset!$M$2:$M$1501,MATCH($A705,customer_churn_dataset!$A$2:$A$1501,0))=1,"Yes","No")</f>
        <v>No</v>
      </c>
      <c r="H704" s="0" t="n">
        <f aca="false">INDEX(customer_churn_dataset!$N$2:$N$1501,MATCH($A705,customer_churn_dataset!$A$2:$A$1501,0))</f>
        <v>213.78</v>
      </c>
      <c r="I704" s="0" t="n">
        <f aca="false">INDEX(customer_churn_dataset!$O$2:$O$1501,MATCH($A705,customer_churn_dataset!$A$2:$A$1501,0))</f>
        <v>0</v>
      </c>
      <c r="J704" s="0" t="n">
        <f aca="false">INDEX(customer_churn_dataset!$T$2:$T$1501,MATCH($A705,customer_churn_dataset!$A$2:$A$1501,0))</f>
        <v>4</v>
      </c>
      <c r="K704" s="0" t="str">
        <f aca="false">INDEX(customer_churn_dataset!$V$2:$V$1501,MATCH($A705,customer_churn_dataset!$A$2:$A$1501,0))</f>
        <v>Medium Risk</v>
      </c>
    </row>
    <row r="705" customFormat="false" ht="12.8" hidden="true" customHeight="false" outlineLevel="0" collapsed="false">
      <c r="A705" s="22" t="str">
        <f aca="false">customer_churn_dataset!A1170</f>
        <v>CUST101034</v>
      </c>
      <c r="B705" s="22" t="str">
        <f aca="false">customer_churn_dataset!B1170</f>
        <v>Basic</v>
      </c>
      <c r="C705" s="22" t="str">
        <f aca="false">customer_churn_dataset!C1170</f>
        <v>Month-to-month</v>
      </c>
      <c r="D705" s="0" t="n">
        <f aca="false">INDEX(customer_churn_dataset!$E$2:$E$1501,MATCH($A706,customer_churn_dataset!$A$2:$A$1501,0))</f>
        <v>60</v>
      </c>
      <c r="E705" s="0" t="n">
        <f aca="false">INDEX(customer_churn_dataset!$I$2:$I$1501,MATCH($A706,customer_churn_dataset!$A$2:$A$1501,0))</f>
        <v>45.9</v>
      </c>
      <c r="F705" s="0" t="n">
        <f aca="false">INDEX(customer_churn_dataset!$L$2:$L$1501,MATCH($A706,customer_churn_dataset!$A$2:$A$1501,0))</f>
        <v>0</v>
      </c>
      <c r="G705" s="0" t="str">
        <f aca="false">IF(INDEX(customer_churn_dataset!$M$2:$M$1501,MATCH($A706,customer_churn_dataset!$A$2:$A$1501,0))=1,"Yes","No")</f>
        <v>No</v>
      </c>
      <c r="H705" s="0" t="n">
        <f aca="false">INDEX(customer_churn_dataset!$N$2:$N$1501,MATCH($A706,customer_churn_dataset!$A$2:$A$1501,0))</f>
        <v>2473.8</v>
      </c>
      <c r="I705" s="0" t="n">
        <f aca="false">INDEX(customer_churn_dataset!$O$2:$O$1501,MATCH($A706,customer_churn_dataset!$A$2:$A$1501,0))</f>
        <v>0</v>
      </c>
      <c r="J705" s="0" t="n">
        <f aca="false">INDEX(customer_churn_dataset!$T$2:$T$1501,MATCH($A706,customer_churn_dataset!$A$2:$A$1501,0))</f>
        <v>1</v>
      </c>
      <c r="K705" s="0" t="str">
        <f aca="false">INDEX(customer_churn_dataset!$V$2:$V$1501,MATCH($A706,customer_churn_dataset!$A$2:$A$1501,0))</f>
        <v>Low Risk</v>
      </c>
    </row>
    <row r="706" customFormat="false" ht="12.8" hidden="true" customHeight="false" outlineLevel="0" collapsed="false">
      <c r="A706" s="22" t="str">
        <f aca="false">customer_churn_dataset!A1175</f>
        <v>CUST101102</v>
      </c>
      <c r="B706" s="22" t="str">
        <f aca="false">customer_churn_dataset!B1175</f>
        <v>Premium</v>
      </c>
      <c r="C706" s="22" t="str">
        <f aca="false">customer_churn_dataset!C1175</f>
        <v>Two year</v>
      </c>
      <c r="D706" s="0" t="n">
        <f aca="false">INDEX(customer_churn_dataset!$E$2:$E$1501,MATCH($A707,customer_churn_dataset!$A$2:$A$1501,0))</f>
        <v>12</v>
      </c>
      <c r="E706" s="0" t="n">
        <f aca="false">INDEX(customer_churn_dataset!$I$2:$I$1501,MATCH($A707,customer_churn_dataset!$A$2:$A$1501,0))</f>
        <v>47.6</v>
      </c>
      <c r="F706" s="0" t="n">
        <f aca="false">INDEX(customer_churn_dataset!$L$2:$L$1501,MATCH($A707,customer_churn_dataset!$A$2:$A$1501,0))</f>
        <v>2</v>
      </c>
      <c r="G706" s="0" t="str">
        <f aca="false">IF(INDEX(customer_churn_dataset!$M$2:$M$1501,MATCH($A707,customer_churn_dataset!$A$2:$A$1501,0))=1,"Yes","No")</f>
        <v>No</v>
      </c>
      <c r="H706" s="0" t="n">
        <f aca="false">INDEX(customer_churn_dataset!$N$2:$N$1501,MATCH($A707,customer_churn_dataset!$A$2:$A$1501,0))</f>
        <v>465.6</v>
      </c>
      <c r="I706" s="0" t="n">
        <f aca="false">INDEX(customer_churn_dataset!$O$2:$O$1501,MATCH($A707,customer_churn_dataset!$A$2:$A$1501,0))</f>
        <v>0</v>
      </c>
      <c r="J706" s="0" t="n">
        <f aca="false">INDEX(customer_churn_dataset!$T$2:$T$1501,MATCH($A707,customer_churn_dataset!$A$2:$A$1501,0))</f>
        <v>3</v>
      </c>
      <c r="K706" s="0" t="str">
        <f aca="false">INDEX(customer_churn_dataset!$V$2:$V$1501,MATCH($A707,customer_churn_dataset!$A$2:$A$1501,0))</f>
        <v>Medium Risk</v>
      </c>
    </row>
    <row r="707" customFormat="false" ht="12.8" hidden="false" customHeight="false" outlineLevel="0" collapsed="false">
      <c r="A707" s="23" t="str">
        <f aca="false">customer_churn_dataset!A1176</f>
        <v>CUST100748</v>
      </c>
      <c r="B707" s="24" t="str">
        <f aca="false">customer_churn_dataset!B1176</f>
        <v>Premium</v>
      </c>
      <c r="C707" s="24" t="str">
        <f aca="false">customer_churn_dataset!C1176</f>
        <v>One year</v>
      </c>
      <c r="D707" s="25" t="n">
        <f aca="false">INDEX(customer_churn_dataset!$E$2:$E$1501,MATCH($A708,customer_churn_dataset!$A$2:$A$1501,0))</f>
        <v>35</v>
      </c>
      <c r="E707" s="25" t="n">
        <f aca="false">INDEX(customer_churn_dataset!$I$2:$I$1501,MATCH($A708,customer_churn_dataset!$A$2:$A$1501,0))</f>
        <v>12.9</v>
      </c>
      <c r="F707" s="25" t="n">
        <f aca="false">INDEX(customer_churn_dataset!$L$2:$L$1501,MATCH($A708,customer_churn_dataset!$A$2:$A$1501,0))</f>
        <v>3</v>
      </c>
      <c r="G707" s="25" t="str">
        <f aca="false">IF(INDEX(customer_churn_dataset!$M$2:$M$1501,MATCH($A708,customer_churn_dataset!$A$2:$A$1501,0))=1,"Yes","No")</f>
        <v>Yes</v>
      </c>
      <c r="H707" s="25" t="n">
        <f aca="false">INDEX(customer_churn_dataset!$N$2:$N$1501,MATCH($A708,customer_churn_dataset!$A$2:$A$1501,0))</f>
        <v>388.85</v>
      </c>
      <c r="I707" s="25" t="n">
        <f aca="false">INDEX(customer_churn_dataset!$O$2:$O$1501,MATCH($A708,customer_churn_dataset!$A$2:$A$1501,0))</f>
        <v>1</v>
      </c>
      <c r="J707" s="25" t="n">
        <f aca="false">INDEX(customer_churn_dataset!$T$2:$T$1501,MATCH($A708,customer_churn_dataset!$A$2:$A$1501,0))</f>
        <v>8</v>
      </c>
      <c r="K707" s="25" t="str">
        <f aca="false">INDEX(customer_churn_dataset!$V$2:$V$1501,MATCH($A708,customer_churn_dataset!$A$2:$A$1501,0))</f>
        <v>High Risk</v>
      </c>
    </row>
    <row r="708" customFormat="false" ht="12.8" hidden="true" customHeight="false" outlineLevel="0" collapsed="false">
      <c r="A708" s="22" t="str">
        <f aca="false">customer_churn_dataset!A1190</f>
        <v>CUST100885</v>
      </c>
      <c r="B708" s="22" t="str">
        <f aca="false">customer_churn_dataset!B1190</f>
        <v>Basic</v>
      </c>
      <c r="C708" s="22" t="str">
        <f aca="false">customer_churn_dataset!C1190</f>
        <v>Month-to-month</v>
      </c>
      <c r="D708" s="0" t="n">
        <f aca="false">INDEX(customer_churn_dataset!$E$2:$E$1501,MATCH($A709,customer_churn_dataset!$A$2:$A$1501,0))</f>
        <v>1</v>
      </c>
      <c r="E708" s="0" t="n">
        <f aca="false">INDEX(customer_churn_dataset!$I$2:$I$1501,MATCH($A709,customer_churn_dataset!$A$2:$A$1501,0))</f>
        <v>83</v>
      </c>
      <c r="F708" s="0" t="n">
        <f aca="false">INDEX(customer_churn_dataset!$L$2:$L$1501,MATCH($A709,customer_churn_dataset!$A$2:$A$1501,0))</f>
        <v>1</v>
      </c>
      <c r="G708" s="0" t="str">
        <f aca="false">IF(INDEX(customer_churn_dataset!$M$2:$M$1501,MATCH($A709,customer_churn_dataset!$A$2:$A$1501,0))=1,"Yes","No")</f>
        <v>Yes</v>
      </c>
      <c r="H708" s="0" t="n">
        <f aca="false">INDEX(customer_churn_dataset!$N$2:$N$1501,MATCH($A709,customer_churn_dataset!$A$2:$A$1501,0))</f>
        <v>21.84</v>
      </c>
      <c r="I708" s="0" t="n">
        <f aca="false">INDEX(customer_churn_dataset!$O$2:$O$1501,MATCH($A709,customer_churn_dataset!$A$2:$A$1501,0))</f>
        <v>0</v>
      </c>
      <c r="J708" s="0" t="n">
        <f aca="false">INDEX(customer_churn_dataset!$T$2:$T$1501,MATCH($A709,customer_churn_dataset!$A$2:$A$1501,0))</f>
        <v>4</v>
      </c>
      <c r="K708" s="0" t="str">
        <f aca="false">INDEX(customer_churn_dataset!$V$2:$V$1501,MATCH($A709,customer_churn_dataset!$A$2:$A$1501,0))</f>
        <v>Medium Risk</v>
      </c>
    </row>
    <row r="709" customFormat="false" ht="12.8" hidden="true" customHeight="false" outlineLevel="0" collapsed="false">
      <c r="A709" s="22" t="str">
        <f aca="false">customer_churn_dataset!A1191</f>
        <v>CUST100359</v>
      </c>
      <c r="B709" s="22" t="str">
        <f aca="false">customer_churn_dataset!B1191</f>
        <v>Standard</v>
      </c>
      <c r="C709" s="22" t="str">
        <f aca="false">customer_churn_dataset!C1191</f>
        <v>Two year</v>
      </c>
      <c r="D709" s="0" t="n">
        <f aca="false">INDEX(customer_churn_dataset!$E$2:$E$1501,MATCH($A710,customer_churn_dataset!$A$2:$A$1501,0))</f>
        <v>2</v>
      </c>
      <c r="E709" s="0" t="n">
        <f aca="false">INDEX(customer_churn_dataset!$I$2:$I$1501,MATCH($A710,customer_churn_dataset!$A$2:$A$1501,0))</f>
        <v>81.4</v>
      </c>
      <c r="F709" s="0" t="n">
        <f aca="false">INDEX(customer_churn_dataset!$L$2:$L$1501,MATCH($A710,customer_churn_dataset!$A$2:$A$1501,0))</f>
        <v>0</v>
      </c>
      <c r="G709" s="0" t="str">
        <f aca="false">IF(INDEX(customer_churn_dataset!$M$2:$M$1501,MATCH($A710,customer_churn_dataset!$A$2:$A$1501,0))=1,"Yes","No")</f>
        <v>No</v>
      </c>
      <c r="H709" s="0" t="n">
        <f aca="false">INDEX(customer_churn_dataset!$N$2:$N$1501,MATCH($A710,customer_churn_dataset!$A$2:$A$1501,0))</f>
        <v>20.76</v>
      </c>
      <c r="I709" s="0" t="n">
        <f aca="false">INDEX(customer_churn_dataset!$O$2:$O$1501,MATCH($A710,customer_churn_dataset!$A$2:$A$1501,0))</f>
        <v>0</v>
      </c>
      <c r="J709" s="0" t="n">
        <f aca="false">INDEX(customer_churn_dataset!$T$2:$T$1501,MATCH($A710,customer_churn_dataset!$A$2:$A$1501,0))</f>
        <v>1</v>
      </c>
      <c r="K709" s="0" t="str">
        <f aca="false">INDEX(customer_churn_dataset!$V$2:$V$1501,MATCH($A710,customer_churn_dataset!$A$2:$A$1501,0))</f>
        <v>Low Risk</v>
      </c>
    </row>
    <row r="710" customFormat="false" ht="12.8" hidden="true" customHeight="false" outlineLevel="0" collapsed="false">
      <c r="A710" s="22" t="str">
        <f aca="false">customer_churn_dataset!A1195</f>
        <v>CUST100130</v>
      </c>
      <c r="B710" s="22" t="str">
        <f aca="false">customer_churn_dataset!B1195</f>
        <v>Basic</v>
      </c>
      <c r="C710" s="22" t="str">
        <f aca="false">customer_churn_dataset!C1195</f>
        <v>Two year</v>
      </c>
      <c r="D710" s="0" t="n">
        <f aca="false">INDEX(customer_churn_dataset!$E$2:$E$1501,MATCH($A711,customer_churn_dataset!$A$2:$A$1501,0))</f>
        <v>4</v>
      </c>
      <c r="E710" s="0" t="n">
        <f aca="false">INDEX(customer_churn_dataset!$I$2:$I$1501,MATCH($A711,customer_churn_dataset!$A$2:$A$1501,0))</f>
        <v>53.7</v>
      </c>
      <c r="F710" s="0" t="n">
        <f aca="false">INDEX(customer_churn_dataset!$L$2:$L$1501,MATCH($A711,customer_churn_dataset!$A$2:$A$1501,0))</f>
        <v>0</v>
      </c>
      <c r="G710" s="0" t="str">
        <f aca="false">IF(INDEX(customer_churn_dataset!$M$2:$M$1501,MATCH($A711,customer_churn_dataset!$A$2:$A$1501,0))=1,"Yes","No")</f>
        <v>No</v>
      </c>
      <c r="H710" s="0" t="n">
        <f aca="false">INDEX(customer_churn_dataset!$N$2:$N$1501,MATCH($A711,customer_churn_dataset!$A$2:$A$1501,0))</f>
        <v>163.44</v>
      </c>
      <c r="I710" s="0" t="n">
        <f aca="false">INDEX(customer_churn_dataset!$O$2:$O$1501,MATCH($A711,customer_churn_dataset!$A$2:$A$1501,0))</f>
        <v>0</v>
      </c>
      <c r="J710" s="0" t="n">
        <f aca="false">INDEX(customer_churn_dataset!$T$2:$T$1501,MATCH($A711,customer_churn_dataset!$A$2:$A$1501,0))</f>
        <v>4</v>
      </c>
      <c r="K710" s="0" t="str">
        <f aca="false">INDEX(customer_churn_dataset!$V$2:$V$1501,MATCH($A711,customer_churn_dataset!$A$2:$A$1501,0))</f>
        <v>Medium Risk</v>
      </c>
    </row>
    <row r="711" customFormat="false" ht="12.8" hidden="true" customHeight="false" outlineLevel="0" collapsed="false">
      <c r="A711" s="22" t="str">
        <f aca="false">customer_churn_dataset!A1196</f>
        <v>CUST100897</v>
      </c>
      <c r="B711" s="22" t="str">
        <f aca="false">customer_churn_dataset!B1196</f>
        <v>Premium</v>
      </c>
      <c r="C711" s="22" t="str">
        <f aca="false">customer_churn_dataset!C1196</f>
        <v>Month-to-month</v>
      </c>
      <c r="D711" s="0" t="n">
        <f aca="false">INDEX(customer_churn_dataset!$E$2:$E$1501,MATCH($A712,customer_churn_dataset!$A$2:$A$1501,0))</f>
        <v>3</v>
      </c>
      <c r="E711" s="0" t="n">
        <f aca="false">INDEX(customer_churn_dataset!$I$2:$I$1501,MATCH($A712,customer_churn_dataset!$A$2:$A$1501,0))</f>
        <v>55.6</v>
      </c>
      <c r="F711" s="0" t="n">
        <f aca="false">INDEX(customer_churn_dataset!$L$2:$L$1501,MATCH($A712,customer_churn_dataset!$A$2:$A$1501,0))</f>
        <v>1</v>
      </c>
      <c r="G711" s="0" t="str">
        <f aca="false">IF(INDEX(customer_churn_dataset!$M$2:$M$1501,MATCH($A712,customer_churn_dataset!$A$2:$A$1501,0))=1,"Yes","No")</f>
        <v>No</v>
      </c>
      <c r="H711" s="0" t="n">
        <f aca="false">INDEX(customer_churn_dataset!$N$2:$N$1501,MATCH($A712,customer_churn_dataset!$A$2:$A$1501,0))</f>
        <v>31.59</v>
      </c>
      <c r="I711" s="0" t="n">
        <f aca="false">INDEX(customer_churn_dataset!$O$2:$O$1501,MATCH($A712,customer_churn_dataset!$A$2:$A$1501,0))</f>
        <v>1</v>
      </c>
      <c r="J711" s="0" t="n">
        <f aca="false">INDEX(customer_churn_dataset!$T$2:$T$1501,MATCH($A712,customer_churn_dataset!$A$2:$A$1501,0))</f>
        <v>3</v>
      </c>
      <c r="K711" s="0" t="str">
        <f aca="false">INDEX(customer_churn_dataset!$V$2:$V$1501,MATCH($A712,customer_churn_dataset!$A$2:$A$1501,0))</f>
        <v>Medium Risk</v>
      </c>
    </row>
    <row r="712" customFormat="false" ht="12.8" hidden="true" customHeight="false" outlineLevel="0" collapsed="false">
      <c r="A712" s="22" t="str">
        <f aca="false">customer_churn_dataset!A1197</f>
        <v>CUST100144</v>
      </c>
      <c r="B712" s="22" t="str">
        <f aca="false">customer_churn_dataset!B1197</f>
        <v>Basic</v>
      </c>
      <c r="C712" s="22" t="str">
        <f aca="false">customer_churn_dataset!C1197</f>
        <v>Month-to-month</v>
      </c>
      <c r="D712" s="0" t="n">
        <f aca="false">INDEX(customer_churn_dataset!$E$2:$E$1501,MATCH($A713,customer_churn_dataset!$A$2:$A$1501,0))</f>
        <v>5</v>
      </c>
      <c r="E712" s="0" t="n">
        <f aca="false">INDEX(customer_churn_dataset!$I$2:$I$1501,MATCH($A713,customer_churn_dataset!$A$2:$A$1501,0))</f>
        <v>70.5</v>
      </c>
      <c r="F712" s="0" t="n">
        <f aca="false">INDEX(customer_churn_dataset!$L$2:$L$1501,MATCH($A713,customer_churn_dataset!$A$2:$A$1501,0))</f>
        <v>0</v>
      </c>
      <c r="G712" s="0" t="str">
        <f aca="false">IF(INDEX(customer_churn_dataset!$M$2:$M$1501,MATCH($A713,customer_churn_dataset!$A$2:$A$1501,0))=1,"Yes","No")</f>
        <v>No</v>
      </c>
      <c r="H712" s="0" t="n">
        <f aca="false">INDEX(customer_churn_dataset!$N$2:$N$1501,MATCH($A713,customer_churn_dataset!$A$2:$A$1501,0))</f>
        <v>51.5</v>
      </c>
      <c r="I712" s="0" t="n">
        <f aca="false">INDEX(customer_churn_dataset!$O$2:$O$1501,MATCH($A713,customer_churn_dataset!$A$2:$A$1501,0))</f>
        <v>0</v>
      </c>
      <c r="J712" s="0" t="n">
        <f aca="false">INDEX(customer_churn_dataset!$T$2:$T$1501,MATCH($A713,customer_churn_dataset!$A$2:$A$1501,0))</f>
        <v>2</v>
      </c>
      <c r="K712" s="0" t="str">
        <f aca="false">INDEX(customer_churn_dataset!$V$2:$V$1501,MATCH($A713,customer_churn_dataset!$A$2:$A$1501,0))</f>
        <v>Low Risk</v>
      </c>
    </row>
    <row r="713" customFormat="false" ht="12.8" hidden="true" customHeight="false" outlineLevel="0" collapsed="false">
      <c r="A713" s="22" t="str">
        <f aca="false">customer_churn_dataset!A1204</f>
        <v>CUST100061</v>
      </c>
      <c r="B713" s="22" t="str">
        <f aca="false">customer_churn_dataset!B1204</f>
        <v>Basic</v>
      </c>
      <c r="C713" s="22" t="str">
        <f aca="false">customer_churn_dataset!C1204</f>
        <v>One year</v>
      </c>
      <c r="D713" s="0" t="n">
        <f aca="false">INDEX(customer_churn_dataset!$E$2:$E$1501,MATCH($A714,customer_churn_dataset!$A$2:$A$1501,0))</f>
        <v>6</v>
      </c>
      <c r="E713" s="0" t="n">
        <f aca="false">INDEX(customer_churn_dataset!$I$2:$I$1501,MATCH($A714,customer_churn_dataset!$A$2:$A$1501,0))</f>
        <v>61.6</v>
      </c>
      <c r="F713" s="0" t="n">
        <f aca="false">INDEX(customer_churn_dataset!$L$2:$L$1501,MATCH($A714,customer_churn_dataset!$A$2:$A$1501,0))</f>
        <v>2</v>
      </c>
      <c r="G713" s="0" t="str">
        <f aca="false">IF(INDEX(customer_churn_dataset!$M$2:$M$1501,MATCH($A714,customer_churn_dataset!$A$2:$A$1501,0))=1,"Yes","No")</f>
        <v>No</v>
      </c>
      <c r="H713" s="0" t="n">
        <f aca="false">INDEX(customer_churn_dataset!$N$2:$N$1501,MATCH($A714,customer_churn_dataset!$A$2:$A$1501,0))</f>
        <v>55.86</v>
      </c>
      <c r="I713" s="0" t="n">
        <f aca="false">INDEX(customer_churn_dataset!$O$2:$O$1501,MATCH($A714,customer_churn_dataset!$A$2:$A$1501,0))</f>
        <v>1</v>
      </c>
      <c r="J713" s="0" t="n">
        <f aca="false">INDEX(customer_churn_dataset!$T$2:$T$1501,MATCH($A714,customer_churn_dataset!$A$2:$A$1501,0))</f>
        <v>4</v>
      </c>
      <c r="K713" s="0" t="str">
        <f aca="false">INDEX(customer_churn_dataset!$V$2:$V$1501,MATCH($A714,customer_churn_dataset!$A$2:$A$1501,0))</f>
        <v>Medium Risk</v>
      </c>
    </row>
    <row r="714" customFormat="false" ht="12.8" hidden="true" customHeight="false" outlineLevel="0" collapsed="false">
      <c r="A714" s="22" t="str">
        <f aca="false">customer_churn_dataset!A1205</f>
        <v>CUST100537</v>
      </c>
      <c r="B714" s="22" t="str">
        <f aca="false">customer_churn_dataset!B1205</f>
        <v>Basic</v>
      </c>
      <c r="C714" s="22" t="str">
        <f aca="false">customer_churn_dataset!C1205</f>
        <v>Month-to-month</v>
      </c>
      <c r="D714" s="0" t="n">
        <f aca="false">INDEX(customer_churn_dataset!$E$2:$E$1501,MATCH($A715,customer_churn_dataset!$A$2:$A$1501,0))</f>
        <v>1</v>
      </c>
      <c r="E714" s="0" t="n">
        <f aca="false">INDEX(customer_churn_dataset!$I$2:$I$1501,MATCH($A715,customer_churn_dataset!$A$2:$A$1501,0))</f>
        <v>42.8</v>
      </c>
      <c r="F714" s="0" t="n">
        <f aca="false">INDEX(customer_churn_dataset!$L$2:$L$1501,MATCH($A715,customer_churn_dataset!$A$2:$A$1501,0))</f>
        <v>0</v>
      </c>
      <c r="G714" s="0" t="str">
        <f aca="false">IF(INDEX(customer_churn_dataset!$M$2:$M$1501,MATCH($A715,customer_churn_dataset!$A$2:$A$1501,0))=1,"Yes","No")</f>
        <v>No</v>
      </c>
      <c r="H714" s="0" t="n">
        <f aca="false">INDEX(customer_churn_dataset!$N$2:$N$1501,MATCH($A715,customer_churn_dataset!$A$2:$A$1501,0))</f>
        <v>9.19</v>
      </c>
      <c r="I714" s="0" t="n">
        <f aca="false">INDEX(customer_churn_dataset!$O$2:$O$1501,MATCH($A715,customer_churn_dataset!$A$2:$A$1501,0))</f>
        <v>0</v>
      </c>
      <c r="J714" s="0" t="n">
        <f aca="false">INDEX(customer_churn_dataset!$T$2:$T$1501,MATCH($A715,customer_churn_dataset!$A$2:$A$1501,0))</f>
        <v>4</v>
      </c>
      <c r="K714" s="0" t="str">
        <f aca="false">INDEX(customer_churn_dataset!$V$2:$V$1501,MATCH($A715,customer_churn_dataset!$A$2:$A$1501,0))</f>
        <v>Medium Risk</v>
      </c>
    </row>
    <row r="715" customFormat="false" ht="12.8" hidden="true" customHeight="false" outlineLevel="0" collapsed="false">
      <c r="A715" s="22" t="str">
        <f aca="false">customer_churn_dataset!A1206</f>
        <v>CUST100397</v>
      </c>
      <c r="B715" s="22" t="str">
        <f aca="false">customer_churn_dataset!B1206</f>
        <v>Basic</v>
      </c>
      <c r="C715" s="22" t="str">
        <f aca="false">customer_churn_dataset!C1206</f>
        <v>Month-to-month</v>
      </c>
      <c r="D715" s="0" t="n">
        <f aca="false">INDEX(customer_churn_dataset!$E$2:$E$1501,MATCH($A716,customer_churn_dataset!$A$2:$A$1501,0))</f>
        <v>9</v>
      </c>
      <c r="E715" s="0" t="n">
        <f aca="false">INDEX(customer_churn_dataset!$I$2:$I$1501,MATCH($A716,customer_churn_dataset!$A$2:$A$1501,0))</f>
        <v>64.9</v>
      </c>
      <c r="F715" s="0" t="n">
        <f aca="false">INDEX(customer_churn_dataset!$L$2:$L$1501,MATCH($A716,customer_churn_dataset!$A$2:$A$1501,0))</f>
        <v>1</v>
      </c>
      <c r="G715" s="0" t="str">
        <f aca="false">IF(INDEX(customer_churn_dataset!$M$2:$M$1501,MATCH($A716,customer_churn_dataset!$A$2:$A$1501,0))=1,"Yes","No")</f>
        <v>No</v>
      </c>
      <c r="H715" s="0" t="n">
        <f aca="false">INDEX(customer_churn_dataset!$N$2:$N$1501,MATCH($A716,customer_churn_dataset!$A$2:$A$1501,0))</f>
        <v>379.8</v>
      </c>
      <c r="I715" s="0" t="n">
        <f aca="false">INDEX(customer_churn_dataset!$O$2:$O$1501,MATCH($A716,customer_churn_dataset!$A$2:$A$1501,0))</f>
        <v>0</v>
      </c>
      <c r="J715" s="0" t="n">
        <f aca="false">INDEX(customer_churn_dataset!$T$2:$T$1501,MATCH($A716,customer_churn_dataset!$A$2:$A$1501,0))</f>
        <v>3</v>
      </c>
      <c r="K715" s="0" t="str">
        <f aca="false">INDEX(customer_churn_dataset!$V$2:$V$1501,MATCH($A716,customer_churn_dataset!$A$2:$A$1501,0))</f>
        <v>Medium Risk</v>
      </c>
    </row>
    <row r="716" customFormat="false" ht="12.8" hidden="true" customHeight="false" outlineLevel="0" collapsed="false">
      <c r="A716" s="22" t="str">
        <f aca="false">customer_churn_dataset!A1207</f>
        <v>CUST100069</v>
      </c>
      <c r="B716" s="22" t="str">
        <f aca="false">customer_churn_dataset!B1207</f>
        <v>Premium</v>
      </c>
      <c r="C716" s="22" t="str">
        <f aca="false">customer_churn_dataset!C1207</f>
        <v>Month-to-month</v>
      </c>
      <c r="D716" s="0" t="n">
        <f aca="false">INDEX(customer_churn_dataset!$E$2:$E$1501,MATCH($A717,customer_churn_dataset!$A$2:$A$1501,0))</f>
        <v>26</v>
      </c>
      <c r="E716" s="0" t="n">
        <f aca="false">INDEX(customer_churn_dataset!$I$2:$I$1501,MATCH($A717,customer_churn_dataset!$A$2:$A$1501,0))</f>
        <v>26.3</v>
      </c>
      <c r="F716" s="0" t="n">
        <f aca="false">INDEX(customer_churn_dataset!$L$2:$L$1501,MATCH($A717,customer_churn_dataset!$A$2:$A$1501,0))</f>
        <v>2</v>
      </c>
      <c r="G716" s="0" t="str">
        <f aca="false">IF(INDEX(customer_churn_dataset!$M$2:$M$1501,MATCH($A717,customer_churn_dataset!$A$2:$A$1501,0))=1,"Yes","No")</f>
        <v>No</v>
      </c>
      <c r="H716" s="0" t="n">
        <f aca="false">INDEX(customer_churn_dataset!$N$2:$N$1501,MATCH($A717,customer_churn_dataset!$A$2:$A$1501,0))</f>
        <v>563.94</v>
      </c>
      <c r="I716" s="0" t="n">
        <f aca="false">INDEX(customer_churn_dataset!$O$2:$O$1501,MATCH($A717,customer_churn_dataset!$A$2:$A$1501,0))</f>
        <v>0</v>
      </c>
      <c r="J716" s="0" t="n">
        <f aca="false">INDEX(customer_churn_dataset!$T$2:$T$1501,MATCH($A717,customer_churn_dataset!$A$2:$A$1501,0))</f>
        <v>5</v>
      </c>
      <c r="K716" s="0" t="str">
        <f aca="false">INDEX(customer_churn_dataset!$V$2:$V$1501,MATCH($A717,customer_churn_dataset!$A$2:$A$1501,0))</f>
        <v>Medium Risk</v>
      </c>
    </row>
    <row r="717" customFormat="false" ht="12.8" hidden="false" customHeight="false" outlineLevel="0" collapsed="false">
      <c r="A717" s="23" t="str">
        <f aca="false">customer_churn_dataset!A1208</f>
        <v>CUST100611</v>
      </c>
      <c r="B717" s="24" t="str">
        <f aca="false">customer_churn_dataset!B1208</f>
        <v>Standard</v>
      </c>
      <c r="C717" s="24" t="str">
        <f aca="false">customer_churn_dataset!C1208</f>
        <v>Month-to-month</v>
      </c>
      <c r="D717" s="25" t="n">
        <f aca="false">INDEX(customer_churn_dataset!$E$2:$E$1501,MATCH($A718,customer_churn_dataset!$A$2:$A$1501,0))</f>
        <v>6</v>
      </c>
      <c r="E717" s="25" t="n">
        <f aca="false">INDEX(customer_churn_dataset!$I$2:$I$1501,MATCH($A718,customer_churn_dataset!$A$2:$A$1501,0))</f>
        <v>16.3</v>
      </c>
      <c r="F717" s="25" t="n">
        <f aca="false">INDEX(customer_churn_dataset!$L$2:$L$1501,MATCH($A718,customer_churn_dataset!$A$2:$A$1501,0))</f>
        <v>3</v>
      </c>
      <c r="G717" s="25" t="str">
        <f aca="false">IF(INDEX(customer_churn_dataset!$M$2:$M$1501,MATCH($A718,customer_churn_dataset!$A$2:$A$1501,0))=1,"Yes","No")</f>
        <v>Yes</v>
      </c>
      <c r="H717" s="25" t="n">
        <f aca="false">INDEX(customer_churn_dataset!$N$2:$N$1501,MATCH($A718,customer_churn_dataset!$A$2:$A$1501,0))</f>
        <v>225.3</v>
      </c>
      <c r="I717" s="25" t="n">
        <f aca="false">INDEX(customer_churn_dataset!$O$2:$O$1501,MATCH($A718,customer_churn_dataset!$A$2:$A$1501,0))</f>
        <v>1</v>
      </c>
      <c r="J717" s="25" t="n">
        <f aca="false">INDEX(customer_churn_dataset!$T$2:$T$1501,MATCH($A718,customer_churn_dataset!$A$2:$A$1501,0))</f>
        <v>9</v>
      </c>
      <c r="K717" s="25" t="str">
        <f aca="false">INDEX(customer_churn_dataset!$V$2:$V$1501,MATCH($A718,customer_churn_dataset!$A$2:$A$1501,0))</f>
        <v>High Risk</v>
      </c>
    </row>
    <row r="718" customFormat="false" ht="12.8" hidden="true" customHeight="false" outlineLevel="0" collapsed="false">
      <c r="A718" s="22" t="str">
        <f aca="false">customer_churn_dataset!A1212</f>
        <v>CUST100906</v>
      </c>
      <c r="B718" s="22" t="str">
        <f aca="false">customer_churn_dataset!B1212</f>
        <v>Premium</v>
      </c>
      <c r="C718" s="22" t="str">
        <f aca="false">customer_churn_dataset!C1212</f>
        <v>Month-to-month</v>
      </c>
      <c r="D718" s="0" t="n">
        <f aca="false">INDEX(customer_churn_dataset!$E$2:$E$1501,MATCH($A719,customer_churn_dataset!$A$2:$A$1501,0))</f>
        <v>10</v>
      </c>
      <c r="E718" s="0" t="n">
        <f aca="false">INDEX(customer_churn_dataset!$I$2:$I$1501,MATCH($A719,customer_churn_dataset!$A$2:$A$1501,0))</f>
        <v>70.6</v>
      </c>
      <c r="F718" s="0" t="n">
        <f aca="false">INDEX(customer_churn_dataset!$L$2:$L$1501,MATCH($A719,customer_churn_dataset!$A$2:$A$1501,0))</f>
        <v>1</v>
      </c>
      <c r="G718" s="0" t="str">
        <f aca="false">IF(INDEX(customer_churn_dataset!$M$2:$M$1501,MATCH($A719,customer_churn_dataset!$A$2:$A$1501,0))=1,"Yes","No")</f>
        <v>No</v>
      </c>
      <c r="H718" s="0" t="n">
        <f aca="false">INDEX(customer_churn_dataset!$N$2:$N$1501,MATCH($A719,customer_churn_dataset!$A$2:$A$1501,0))</f>
        <v>96.3</v>
      </c>
      <c r="I718" s="0" t="n">
        <f aca="false">INDEX(customer_churn_dataset!$O$2:$O$1501,MATCH($A719,customer_churn_dataset!$A$2:$A$1501,0))</f>
        <v>0</v>
      </c>
      <c r="J718" s="0" t="n">
        <f aca="false">INDEX(customer_churn_dataset!$T$2:$T$1501,MATCH($A719,customer_churn_dataset!$A$2:$A$1501,0))</f>
        <v>2</v>
      </c>
      <c r="K718" s="0" t="str">
        <f aca="false">INDEX(customer_churn_dataset!$V$2:$V$1501,MATCH($A719,customer_churn_dataset!$A$2:$A$1501,0))</f>
        <v>Low Risk</v>
      </c>
    </row>
    <row r="719" customFormat="false" ht="12.8" hidden="true" customHeight="false" outlineLevel="0" collapsed="false">
      <c r="A719" s="22" t="str">
        <f aca="false">customer_churn_dataset!A1236</f>
        <v>CUST101216</v>
      </c>
      <c r="B719" s="22" t="str">
        <f aca="false">customer_churn_dataset!B1236</f>
        <v>Basic</v>
      </c>
      <c r="C719" s="22" t="str">
        <f aca="false">customer_churn_dataset!C1236</f>
        <v>One year</v>
      </c>
      <c r="D719" s="0" t="n">
        <f aca="false">INDEX(customer_churn_dataset!$E$2:$E$1501,MATCH($A720,customer_churn_dataset!$A$2:$A$1501,0))</f>
        <v>47</v>
      </c>
      <c r="E719" s="0" t="n">
        <f aca="false">INDEX(customer_churn_dataset!$I$2:$I$1501,MATCH($A720,customer_churn_dataset!$A$2:$A$1501,0))</f>
        <v>42.9</v>
      </c>
      <c r="F719" s="0" t="n">
        <f aca="false">INDEX(customer_churn_dataset!$L$2:$L$1501,MATCH($A720,customer_churn_dataset!$A$2:$A$1501,0))</f>
        <v>3</v>
      </c>
      <c r="G719" s="0" t="str">
        <f aca="false">IF(INDEX(customer_churn_dataset!$M$2:$M$1501,MATCH($A720,customer_churn_dataset!$A$2:$A$1501,0))=1,"Yes","No")</f>
        <v>No</v>
      </c>
      <c r="H719" s="0" t="n">
        <f aca="false">INDEX(customer_churn_dataset!$N$2:$N$1501,MATCH($A720,customer_churn_dataset!$A$2:$A$1501,0))</f>
        <v>471.88</v>
      </c>
      <c r="I719" s="0" t="n">
        <f aca="false">INDEX(customer_churn_dataset!$O$2:$O$1501,MATCH($A720,customer_churn_dataset!$A$2:$A$1501,0))</f>
        <v>0</v>
      </c>
      <c r="J719" s="0" t="n">
        <f aca="false">INDEX(customer_churn_dataset!$T$2:$T$1501,MATCH($A720,customer_churn_dataset!$A$2:$A$1501,0))</f>
        <v>4</v>
      </c>
      <c r="K719" s="0" t="str">
        <f aca="false">INDEX(customer_churn_dataset!$V$2:$V$1501,MATCH($A720,customer_churn_dataset!$A$2:$A$1501,0))</f>
        <v>Medium Risk</v>
      </c>
    </row>
    <row r="720" customFormat="false" ht="12.8" hidden="true" customHeight="false" outlineLevel="0" collapsed="false">
      <c r="A720" s="22" t="str">
        <f aca="false">customer_churn_dataset!A1237</f>
        <v>CUST100044</v>
      </c>
      <c r="B720" s="22" t="str">
        <f aca="false">customer_churn_dataset!B1237</f>
        <v>Basic</v>
      </c>
      <c r="C720" s="22" t="str">
        <f aca="false">customer_churn_dataset!C1237</f>
        <v>Month-to-month</v>
      </c>
      <c r="D720" s="0" t="n">
        <f aca="false">INDEX(customer_churn_dataset!$E$2:$E$1501,MATCH($A721,customer_churn_dataset!$A$2:$A$1501,0))</f>
        <v>1</v>
      </c>
      <c r="E720" s="0" t="n">
        <f aca="false">INDEX(customer_churn_dataset!$I$2:$I$1501,MATCH($A721,customer_churn_dataset!$A$2:$A$1501,0))</f>
        <v>54.4</v>
      </c>
      <c r="F720" s="0" t="n">
        <f aca="false">INDEX(customer_churn_dataset!$L$2:$L$1501,MATCH($A721,customer_churn_dataset!$A$2:$A$1501,0))</f>
        <v>0</v>
      </c>
      <c r="G720" s="0" t="str">
        <f aca="false">IF(INDEX(customer_churn_dataset!$M$2:$M$1501,MATCH($A721,customer_churn_dataset!$A$2:$A$1501,0))=1,"Yes","No")</f>
        <v>No</v>
      </c>
      <c r="H720" s="0" t="n">
        <f aca="false">INDEX(customer_churn_dataset!$N$2:$N$1501,MATCH($A721,customer_churn_dataset!$A$2:$A$1501,0))</f>
        <v>19.18</v>
      </c>
      <c r="I720" s="0" t="n">
        <f aca="false">INDEX(customer_churn_dataset!$O$2:$O$1501,MATCH($A721,customer_churn_dataset!$A$2:$A$1501,0))</f>
        <v>0</v>
      </c>
      <c r="J720" s="0" t="n">
        <f aca="false">INDEX(customer_churn_dataset!$T$2:$T$1501,MATCH($A721,customer_churn_dataset!$A$2:$A$1501,0))</f>
        <v>4</v>
      </c>
      <c r="K720" s="0" t="str">
        <f aca="false">INDEX(customer_churn_dataset!$V$2:$V$1501,MATCH($A721,customer_churn_dataset!$A$2:$A$1501,0))</f>
        <v>Medium Risk</v>
      </c>
    </row>
    <row r="721" customFormat="false" ht="12.8" hidden="true" customHeight="false" outlineLevel="0" collapsed="false">
      <c r="A721" s="22" t="str">
        <f aca="false">customer_churn_dataset!A1238</f>
        <v>CUST100719</v>
      </c>
      <c r="B721" s="22" t="str">
        <f aca="false">customer_churn_dataset!B1238</f>
        <v>Standard</v>
      </c>
      <c r="C721" s="22" t="str">
        <f aca="false">customer_churn_dataset!C1238</f>
        <v>Month-to-month</v>
      </c>
      <c r="D721" s="0" t="n">
        <f aca="false">INDEX(customer_churn_dataset!$E$2:$E$1501,MATCH($A722,customer_churn_dataset!$A$2:$A$1501,0))</f>
        <v>24</v>
      </c>
      <c r="E721" s="0" t="n">
        <f aca="false">INDEX(customer_churn_dataset!$I$2:$I$1501,MATCH($A722,customer_churn_dataset!$A$2:$A$1501,0))</f>
        <v>69</v>
      </c>
      <c r="F721" s="0" t="n">
        <f aca="false">INDEX(customer_churn_dataset!$L$2:$L$1501,MATCH($A722,customer_churn_dataset!$A$2:$A$1501,0))</f>
        <v>3</v>
      </c>
      <c r="G721" s="0" t="str">
        <f aca="false">IF(INDEX(customer_churn_dataset!$M$2:$M$1501,MATCH($A722,customer_churn_dataset!$A$2:$A$1501,0))=1,"Yes","No")</f>
        <v>Yes</v>
      </c>
      <c r="H721" s="0" t="n">
        <f aca="false">INDEX(customer_churn_dataset!$N$2:$N$1501,MATCH($A722,customer_churn_dataset!$A$2:$A$1501,0))</f>
        <v>461.28</v>
      </c>
      <c r="I721" s="0" t="n">
        <f aca="false">INDEX(customer_churn_dataset!$O$2:$O$1501,MATCH($A722,customer_churn_dataset!$A$2:$A$1501,0))</f>
        <v>0</v>
      </c>
      <c r="J721" s="0" t="n">
        <f aca="false">INDEX(customer_churn_dataset!$T$2:$T$1501,MATCH($A722,customer_churn_dataset!$A$2:$A$1501,0))</f>
        <v>6</v>
      </c>
      <c r="K721" s="0" t="str">
        <f aca="false">INDEX(customer_churn_dataset!$V$2:$V$1501,MATCH($A722,customer_churn_dataset!$A$2:$A$1501,0))</f>
        <v>High Risk</v>
      </c>
    </row>
    <row r="722" customFormat="false" ht="12.8" hidden="true" customHeight="false" outlineLevel="0" collapsed="false">
      <c r="A722" s="22" t="str">
        <f aca="false">customer_churn_dataset!A1242</f>
        <v>CUST100087</v>
      </c>
      <c r="B722" s="22" t="str">
        <f aca="false">customer_churn_dataset!B1242</f>
        <v>Standard</v>
      </c>
      <c r="C722" s="22" t="str">
        <f aca="false">customer_churn_dataset!C1242</f>
        <v>Month-to-month</v>
      </c>
      <c r="D722" s="0" t="n">
        <f aca="false">INDEX(customer_churn_dataset!$E$2:$E$1501,MATCH($A723,customer_churn_dataset!$A$2:$A$1501,0))</f>
        <v>70</v>
      </c>
      <c r="E722" s="0" t="n">
        <f aca="false">INDEX(customer_churn_dataset!$I$2:$I$1501,MATCH($A723,customer_churn_dataset!$A$2:$A$1501,0))</f>
        <v>48.1</v>
      </c>
      <c r="F722" s="0" t="n">
        <f aca="false">INDEX(customer_churn_dataset!$L$2:$L$1501,MATCH($A723,customer_churn_dataset!$A$2:$A$1501,0))</f>
        <v>1</v>
      </c>
      <c r="G722" s="0" t="str">
        <f aca="false">IF(INDEX(customer_churn_dataset!$M$2:$M$1501,MATCH($A723,customer_churn_dataset!$A$2:$A$1501,0))=1,"Yes","No")</f>
        <v>No</v>
      </c>
      <c r="H722" s="0" t="n">
        <f aca="false">INDEX(customer_churn_dataset!$N$2:$N$1501,MATCH($A723,customer_churn_dataset!$A$2:$A$1501,0))</f>
        <v>1290.1</v>
      </c>
      <c r="I722" s="0" t="n">
        <f aca="false">INDEX(customer_churn_dataset!$O$2:$O$1501,MATCH($A723,customer_churn_dataset!$A$2:$A$1501,0))</f>
        <v>0</v>
      </c>
      <c r="J722" s="0" t="n">
        <f aca="false">INDEX(customer_churn_dataset!$T$2:$T$1501,MATCH($A723,customer_churn_dataset!$A$2:$A$1501,0))</f>
        <v>2</v>
      </c>
      <c r="K722" s="0" t="str">
        <f aca="false">INDEX(customer_churn_dataset!$V$2:$V$1501,MATCH($A723,customer_churn_dataset!$A$2:$A$1501,0))</f>
        <v>Low Risk</v>
      </c>
    </row>
    <row r="723" customFormat="false" ht="12.8" hidden="true" customHeight="false" outlineLevel="0" collapsed="false">
      <c r="A723" s="22" t="str">
        <f aca="false">customer_churn_dataset!A1250</f>
        <v>CUST100451</v>
      </c>
      <c r="B723" s="22" t="str">
        <f aca="false">customer_churn_dataset!B1250</f>
        <v>Standard</v>
      </c>
      <c r="C723" s="22" t="str">
        <f aca="false">customer_churn_dataset!C1250</f>
        <v>One year</v>
      </c>
      <c r="D723" s="0" t="n">
        <f aca="false">INDEX(customer_churn_dataset!$E$2:$E$1501,MATCH($A724,customer_churn_dataset!$A$2:$A$1501,0))</f>
        <v>14</v>
      </c>
      <c r="E723" s="0" t="n">
        <f aca="false">INDEX(customer_churn_dataset!$I$2:$I$1501,MATCH($A724,customer_churn_dataset!$A$2:$A$1501,0))</f>
        <v>74.4</v>
      </c>
      <c r="F723" s="0" t="n">
        <f aca="false">INDEX(customer_churn_dataset!$L$2:$L$1501,MATCH($A724,customer_churn_dataset!$A$2:$A$1501,0))</f>
        <v>1</v>
      </c>
      <c r="G723" s="0" t="str">
        <f aca="false">IF(INDEX(customer_churn_dataset!$M$2:$M$1501,MATCH($A724,customer_churn_dataset!$A$2:$A$1501,0))=1,"Yes","No")</f>
        <v>Yes</v>
      </c>
      <c r="H723" s="0" t="n">
        <f aca="false">INDEX(customer_churn_dataset!$N$2:$N$1501,MATCH($A724,customer_churn_dataset!$A$2:$A$1501,0))</f>
        <v>566.02</v>
      </c>
      <c r="I723" s="0" t="n">
        <f aca="false">INDEX(customer_churn_dataset!$O$2:$O$1501,MATCH($A724,customer_churn_dataset!$A$2:$A$1501,0))</f>
        <v>1</v>
      </c>
      <c r="J723" s="0" t="n">
        <f aca="false">INDEX(customer_churn_dataset!$T$2:$T$1501,MATCH($A724,customer_churn_dataset!$A$2:$A$1501,0))</f>
        <v>5</v>
      </c>
      <c r="K723" s="0" t="str">
        <f aca="false">INDEX(customer_churn_dataset!$V$2:$V$1501,MATCH($A724,customer_churn_dataset!$A$2:$A$1501,0))</f>
        <v>Medium Risk</v>
      </c>
    </row>
    <row r="724" customFormat="false" ht="12.8" hidden="true" customHeight="false" outlineLevel="0" collapsed="false">
      <c r="A724" s="22" t="str">
        <f aca="false">customer_churn_dataset!A1251</f>
        <v>CUST100035</v>
      </c>
      <c r="B724" s="22" t="str">
        <f aca="false">customer_churn_dataset!B1251</f>
        <v>Premium</v>
      </c>
      <c r="C724" s="22" t="str">
        <f aca="false">customer_churn_dataset!C1251</f>
        <v>Month-to-month</v>
      </c>
      <c r="D724" s="0" t="n">
        <f aca="false">INDEX(customer_churn_dataset!$E$2:$E$1501,MATCH($A725,customer_churn_dataset!$A$2:$A$1501,0))</f>
        <v>72</v>
      </c>
      <c r="E724" s="0" t="n">
        <f aca="false">INDEX(customer_churn_dataset!$I$2:$I$1501,MATCH($A725,customer_churn_dataset!$A$2:$A$1501,0))</f>
        <v>50.7</v>
      </c>
      <c r="F724" s="0" t="n">
        <f aca="false">INDEX(customer_churn_dataset!$L$2:$L$1501,MATCH($A725,customer_churn_dataset!$A$2:$A$1501,0))</f>
        <v>0</v>
      </c>
      <c r="G724" s="0" t="str">
        <f aca="false">IF(INDEX(customer_churn_dataset!$M$2:$M$1501,MATCH($A725,customer_churn_dataset!$A$2:$A$1501,0))=1,"Yes","No")</f>
        <v>No</v>
      </c>
      <c r="H724" s="0" t="n">
        <f aca="false">INDEX(customer_churn_dataset!$N$2:$N$1501,MATCH($A725,customer_churn_dataset!$A$2:$A$1501,0))</f>
        <v>728.64</v>
      </c>
      <c r="I724" s="0" t="n">
        <f aca="false">INDEX(customer_churn_dataset!$O$2:$O$1501,MATCH($A725,customer_churn_dataset!$A$2:$A$1501,0))</f>
        <v>0</v>
      </c>
      <c r="J724" s="0" t="n">
        <f aca="false">INDEX(customer_churn_dataset!$T$2:$T$1501,MATCH($A725,customer_churn_dataset!$A$2:$A$1501,0))</f>
        <v>1</v>
      </c>
      <c r="K724" s="0" t="str">
        <f aca="false">INDEX(customer_churn_dataset!$V$2:$V$1501,MATCH($A725,customer_churn_dataset!$A$2:$A$1501,0))</f>
        <v>Low Risk</v>
      </c>
    </row>
    <row r="725" customFormat="false" ht="12.8" hidden="true" customHeight="false" outlineLevel="0" collapsed="false">
      <c r="A725" s="22" t="str">
        <f aca="false">customer_churn_dataset!A1258</f>
        <v>CUST100040</v>
      </c>
      <c r="B725" s="22" t="str">
        <f aca="false">customer_churn_dataset!B1258</f>
        <v>Basic</v>
      </c>
      <c r="C725" s="22" t="str">
        <f aca="false">customer_churn_dataset!C1258</f>
        <v>Two year</v>
      </c>
      <c r="D725" s="0" t="n">
        <f aca="false">INDEX(customer_churn_dataset!$E$2:$E$1501,MATCH($A726,customer_churn_dataset!$A$2:$A$1501,0))</f>
        <v>5</v>
      </c>
      <c r="E725" s="0" t="n">
        <f aca="false">INDEX(customer_churn_dataset!$I$2:$I$1501,MATCH($A726,customer_churn_dataset!$A$2:$A$1501,0))</f>
        <v>44.9</v>
      </c>
      <c r="F725" s="0" t="n">
        <f aca="false">INDEX(customer_churn_dataset!$L$2:$L$1501,MATCH($A726,customer_churn_dataset!$A$2:$A$1501,0))</f>
        <v>1</v>
      </c>
      <c r="G725" s="0" t="str">
        <f aca="false">IF(INDEX(customer_churn_dataset!$M$2:$M$1501,MATCH($A726,customer_churn_dataset!$A$2:$A$1501,0))=1,"Yes","No")</f>
        <v>Yes</v>
      </c>
      <c r="H725" s="0" t="n">
        <f aca="false">INDEX(customer_churn_dataset!$N$2:$N$1501,MATCH($A726,customer_churn_dataset!$A$2:$A$1501,0))</f>
        <v>54.2</v>
      </c>
      <c r="I725" s="0" t="n">
        <f aca="false">INDEX(customer_churn_dataset!$O$2:$O$1501,MATCH($A726,customer_churn_dataset!$A$2:$A$1501,0))</f>
        <v>0</v>
      </c>
      <c r="J725" s="0" t="n">
        <f aca="false">INDEX(customer_churn_dataset!$T$2:$T$1501,MATCH($A726,customer_churn_dataset!$A$2:$A$1501,0))</f>
        <v>6</v>
      </c>
      <c r="K725" s="0" t="str">
        <f aca="false">INDEX(customer_churn_dataset!$V$2:$V$1501,MATCH($A726,customer_churn_dataset!$A$2:$A$1501,0))</f>
        <v>High Risk</v>
      </c>
    </row>
    <row r="726" customFormat="false" ht="12.8" hidden="true" customHeight="false" outlineLevel="0" collapsed="false">
      <c r="A726" s="22" t="str">
        <f aca="false">customer_churn_dataset!A1266</f>
        <v>CUST101169</v>
      </c>
      <c r="B726" s="22" t="str">
        <f aca="false">customer_churn_dataset!B1266</f>
        <v>Basic</v>
      </c>
      <c r="C726" s="22" t="str">
        <f aca="false">customer_churn_dataset!C1266</f>
        <v>One year</v>
      </c>
      <c r="D726" s="0" t="n">
        <f aca="false">INDEX(customer_churn_dataset!$E$2:$E$1501,MATCH($A727,customer_churn_dataset!$A$2:$A$1501,0))</f>
        <v>72</v>
      </c>
      <c r="E726" s="0" t="n">
        <f aca="false">INDEX(customer_churn_dataset!$I$2:$I$1501,MATCH($A727,customer_churn_dataset!$A$2:$A$1501,0))</f>
        <v>57.1</v>
      </c>
      <c r="F726" s="0" t="n">
        <f aca="false">INDEX(customer_churn_dataset!$L$2:$L$1501,MATCH($A727,customer_churn_dataset!$A$2:$A$1501,0))</f>
        <v>0</v>
      </c>
      <c r="G726" s="0" t="str">
        <f aca="false">IF(INDEX(customer_churn_dataset!$M$2:$M$1501,MATCH($A727,customer_churn_dataset!$A$2:$A$1501,0))=1,"Yes","No")</f>
        <v>No</v>
      </c>
      <c r="H726" s="0" t="n">
        <f aca="false">INDEX(customer_churn_dataset!$N$2:$N$1501,MATCH($A727,customer_churn_dataset!$A$2:$A$1501,0))</f>
        <v>2913.12</v>
      </c>
      <c r="I726" s="0" t="n">
        <f aca="false">INDEX(customer_churn_dataset!$O$2:$O$1501,MATCH($A727,customer_churn_dataset!$A$2:$A$1501,0))</f>
        <v>0</v>
      </c>
      <c r="J726" s="0" t="n">
        <f aca="false">INDEX(customer_churn_dataset!$T$2:$T$1501,MATCH($A727,customer_churn_dataset!$A$2:$A$1501,0))</f>
        <v>0</v>
      </c>
      <c r="K726" s="0" t="str">
        <f aca="false">INDEX(customer_churn_dataset!$V$2:$V$1501,MATCH($A727,customer_churn_dataset!$A$2:$A$1501,0))</f>
        <v>Low Risk</v>
      </c>
    </row>
    <row r="727" customFormat="false" ht="12.8" hidden="true" customHeight="false" outlineLevel="0" collapsed="false">
      <c r="A727" s="22" t="str">
        <f aca="false">customer_churn_dataset!A1272</f>
        <v>CUST100385</v>
      </c>
      <c r="B727" s="22" t="str">
        <f aca="false">customer_churn_dataset!B1272</f>
        <v>Premium</v>
      </c>
      <c r="C727" s="22" t="str">
        <f aca="false">customer_churn_dataset!C1272</f>
        <v>Two year</v>
      </c>
      <c r="D727" s="0" t="n">
        <f aca="false">INDEX(customer_churn_dataset!$E$2:$E$1501,MATCH($A728,customer_churn_dataset!$A$2:$A$1501,0))</f>
        <v>2</v>
      </c>
      <c r="E727" s="0" t="n">
        <f aca="false">INDEX(customer_churn_dataset!$I$2:$I$1501,MATCH($A728,customer_churn_dataset!$A$2:$A$1501,0))</f>
        <v>28.6</v>
      </c>
      <c r="F727" s="0" t="n">
        <f aca="false">INDEX(customer_churn_dataset!$L$2:$L$1501,MATCH($A728,customer_churn_dataset!$A$2:$A$1501,0))</f>
        <v>4</v>
      </c>
      <c r="G727" s="0" t="str">
        <f aca="false">IF(INDEX(customer_churn_dataset!$M$2:$M$1501,MATCH($A728,customer_churn_dataset!$A$2:$A$1501,0))=1,"Yes","No")</f>
        <v>No</v>
      </c>
      <c r="H727" s="0" t="n">
        <f aca="false">INDEX(customer_churn_dataset!$N$2:$N$1501,MATCH($A728,customer_churn_dataset!$A$2:$A$1501,0))</f>
        <v>20.02</v>
      </c>
      <c r="I727" s="0" t="n">
        <f aca="false">INDEX(customer_churn_dataset!$O$2:$O$1501,MATCH($A728,customer_churn_dataset!$A$2:$A$1501,0))</f>
        <v>0</v>
      </c>
      <c r="J727" s="0" t="n">
        <f aca="false">INDEX(customer_churn_dataset!$T$2:$T$1501,MATCH($A728,customer_churn_dataset!$A$2:$A$1501,0))</f>
        <v>4</v>
      </c>
      <c r="K727" s="0" t="str">
        <f aca="false">INDEX(customer_churn_dataset!$V$2:$V$1501,MATCH($A728,customer_churn_dataset!$A$2:$A$1501,0))</f>
        <v>Medium Risk</v>
      </c>
    </row>
    <row r="728" customFormat="false" ht="12.8" hidden="true" customHeight="false" outlineLevel="0" collapsed="false">
      <c r="A728" s="22" t="str">
        <f aca="false">customer_churn_dataset!A1273</f>
        <v>CUST100669</v>
      </c>
      <c r="B728" s="22" t="str">
        <f aca="false">customer_churn_dataset!B1273</f>
        <v>Basic</v>
      </c>
      <c r="C728" s="22" t="str">
        <f aca="false">customer_churn_dataset!C1273</f>
        <v>Two year</v>
      </c>
      <c r="D728" s="0" t="n">
        <f aca="false">INDEX(customer_churn_dataset!$E$2:$E$1501,MATCH($A729,customer_churn_dataset!$A$2:$A$1501,0))</f>
        <v>23</v>
      </c>
      <c r="E728" s="0" t="n">
        <f aca="false">INDEX(customer_churn_dataset!$I$2:$I$1501,MATCH($A729,customer_churn_dataset!$A$2:$A$1501,0))</f>
        <v>64.2</v>
      </c>
      <c r="F728" s="0" t="n">
        <f aca="false">INDEX(customer_churn_dataset!$L$2:$L$1501,MATCH($A729,customer_churn_dataset!$A$2:$A$1501,0))</f>
        <v>2</v>
      </c>
      <c r="G728" s="0" t="str">
        <f aca="false">IF(INDEX(customer_churn_dataset!$M$2:$M$1501,MATCH($A729,customer_churn_dataset!$A$2:$A$1501,0))=1,"Yes","No")</f>
        <v>Yes</v>
      </c>
      <c r="H728" s="0" t="n">
        <f aca="false">INDEX(customer_churn_dataset!$N$2:$N$1501,MATCH($A729,customer_churn_dataset!$A$2:$A$1501,0))</f>
        <v>211.6</v>
      </c>
      <c r="I728" s="0" t="n">
        <f aca="false">INDEX(customer_churn_dataset!$O$2:$O$1501,MATCH($A729,customer_churn_dataset!$A$2:$A$1501,0))</f>
        <v>1</v>
      </c>
      <c r="J728" s="0" t="n">
        <f aca="false">INDEX(customer_churn_dataset!$T$2:$T$1501,MATCH($A729,customer_churn_dataset!$A$2:$A$1501,0))</f>
        <v>6</v>
      </c>
      <c r="K728" s="0" t="str">
        <f aca="false">INDEX(customer_churn_dataset!$V$2:$V$1501,MATCH($A729,customer_churn_dataset!$A$2:$A$1501,0))</f>
        <v>High Risk</v>
      </c>
    </row>
    <row r="729" customFormat="false" ht="12.8" hidden="true" customHeight="false" outlineLevel="0" collapsed="false">
      <c r="A729" s="22" t="str">
        <f aca="false">customer_churn_dataset!A1276</f>
        <v>CUST100842</v>
      </c>
      <c r="B729" s="22" t="str">
        <f aca="false">customer_churn_dataset!B1276</f>
        <v>Basic</v>
      </c>
      <c r="C729" s="22" t="str">
        <f aca="false">customer_churn_dataset!C1276</f>
        <v>Month-to-month</v>
      </c>
      <c r="D729" s="0" t="n">
        <f aca="false">INDEX(customer_churn_dataset!$E$2:$E$1501,MATCH($A730,customer_churn_dataset!$A$2:$A$1501,0))</f>
        <v>4</v>
      </c>
      <c r="E729" s="0" t="n">
        <f aca="false">INDEX(customer_churn_dataset!$I$2:$I$1501,MATCH($A730,customer_churn_dataset!$A$2:$A$1501,0))</f>
        <v>62.2</v>
      </c>
      <c r="F729" s="0" t="n">
        <f aca="false">INDEX(customer_churn_dataset!$L$2:$L$1501,MATCH($A730,customer_churn_dataset!$A$2:$A$1501,0))</f>
        <v>0</v>
      </c>
      <c r="G729" s="0" t="str">
        <f aca="false">IF(INDEX(customer_churn_dataset!$M$2:$M$1501,MATCH($A730,customer_churn_dataset!$A$2:$A$1501,0))=1,"Yes","No")</f>
        <v>No</v>
      </c>
      <c r="H729" s="0" t="n">
        <f aca="false">INDEX(customer_churn_dataset!$N$2:$N$1501,MATCH($A730,customer_churn_dataset!$A$2:$A$1501,0))</f>
        <v>77.52</v>
      </c>
      <c r="I729" s="0" t="n">
        <f aca="false">INDEX(customer_churn_dataset!$O$2:$O$1501,MATCH($A730,customer_churn_dataset!$A$2:$A$1501,0))</f>
        <v>0</v>
      </c>
      <c r="J729" s="0" t="n">
        <f aca="false">INDEX(customer_churn_dataset!$T$2:$T$1501,MATCH($A730,customer_churn_dataset!$A$2:$A$1501,0))</f>
        <v>3</v>
      </c>
      <c r="K729" s="0" t="str">
        <f aca="false">INDEX(customer_churn_dataset!$V$2:$V$1501,MATCH($A730,customer_churn_dataset!$A$2:$A$1501,0))</f>
        <v>Medium Risk</v>
      </c>
    </row>
    <row r="730" customFormat="false" ht="12.8" hidden="true" customHeight="false" outlineLevel="0" collapsed="false">
      <c r="A730" s="22" t="str">
        <f aca="false">customer_churn_dataset!A1277</f>
        <v>CUST100176</v>
      </c>
      <c r="B730" s="22" t="str">
        <f aca="false">customer_churn_dataset!B1277</f>
        <v>Standard</v>
      </c>
      <c r="C730" s="22" t="str">
        <f aca="false">customer_churn_dataset!C1277</f>
        <v>Month-to-month</v>
      </c>
      <c r="D730" s="0" t="n">
        <f aca="false">INDEX(customer_churn_dataset!$E$2:$E$1501,MATCH($A731,customer_churn_dataset!$A$2:$A$1501,0))</f>
        <v>66</v>
      </c>
      <c r="E730" s="0" t="n">
        <f aca="false">INDEX(customer_churn_dataset!$I$2:$I$1501,MATCH($A731,customer_churn_dataset!$A$2:$A$1501,0))</f>
        <v>61.3</v>
      </c>
      <c r="F730" s="0" t="n">
        <f aca="false">INDEX(customer_churn_dataset!$L$2:$L$1501,MATCH($A731,customer_churn_dataset!$A$2:$A$1501,0))</f>
        <v>1</v>
      </c>
      <c r="G730" s="0" t="str">
        <f aca="false">IF(INDEX(customer_churn_dataset!$M$2:$M$1501,MATCH($A731,customer_churn_dataset!$A$2:$A$1501,0))=1,"Yes","No")</f>
        <v>No</v>
      </c>
      <c r="H730" s="0" t="n">
        <f aca="false">INDEX(customer_churn_dataset!$N$2:$N$1501,MATCH($A731,customer_churn_dataset!$A$2:$A$1501,0))</f>
        <v>2711.94</v>
      </c>
      <c r="I730" s="0" t="n">
        <f aca="false">INDEX(customer_churn_dataset!$O$2:$O$1501,MATCH($A731,customer_churn_dataset!$A$2:$A$1501,0))</f>
        <v>0</v>
      </c>
      <c r="J730" s="0" t="n">
        <f aca="false">INDEX(customer_churn_dataset!$T$2:$T$1501,MATCH($A731,customer_churn_dataset!$A$2:$A$1501,0))</f>
        <v>2</v>
      </c>
      <c r="K730" s="0" t="str">
        <f aca="false">INDEX(customer_churn_dataset!$V$2:$V$1501,MATCH($A731,customer_churn_dataset!$A$2:$A$1501,0))</f>
        <v>Low Risk</v>
      </c>
    </row>
    <row r="731" customFormat="false" ht="12.8" hidden="true" customHeight="false" outlineLevel="0" collapsed="false">
      <c r="A731" s="22" t="str">
        <f aca="false">customer_churn_dataset!A1280</f>
        <v>CUST101185</v>
      </c>
      <c r="B731" s="22" t="str">
        <f aca="false">customer_churn_dataset!B1280</f>
        <v>Premium</v>
      </c>
      <c r="C731" s="22" t="str">
        <f aca="false">customer_churn_dataset!C1280</f>
        <v>Month-to-month</v>
      </c>
      <c r="D731" s="0" t="n">
        <f aca="false">INDEX(customer_churn_dataset!$E$2:$E$1501,MATCH($A732,customer_churn_dataset!$A$2:$A$1501,0))</f>
        <v>14</v>
      </c>
      <c r="E731" s="0" t="n">
        <f aca="false">INDEX(customer_churn_dataset!$I$2:$I$1501,MATCH($A732,customer_churn_dataset!$A$2:$A$1501,0))</f>
        <v>74.3</v>
      </c>
      <c r="F731" s="0" t="n">
        <f aca="false">INDEX(customer_churn_dataset!$L$2:$L$1501,MATCH($A732,customer_churn_dataset!$A$2:$A$1501,0))</f>
        <v>1</v>
      </c>
      <c r="G731" s="0" t="str">
        <f aca="false">IF(INDEX(customer_churn_dataset!$M$2:$M$1501,MATCH($A732,customer_churn_dataset!$A$2:$A$1501,0))=1,"Yes","No")</f>
        <v>No</v>
      </c>
      <c r="H731" s="0" t="n">
        <f aca="false">INDEX(customer_churn_dataset!$N$2:$N$1501,MATCH($A732,customer_churn_dataset!$A$2:$A$1501,0))</f>
        <v>153.3</v>
      </c>
      <c r="I731" s="0" t="n">
        <f aca="false">INDEX(customer_churn_dataset!$O$2:$O$1501,MATCH($A732,customer_churn_dataset!$A$2:$A$1501,0))</f>
        <v>0</v>
      </c>
      <c r="J731" s="0" t="n">
        <f aca="false">INDEX(customer_churn_dataset!$T$2:$T$1501,MATCH($A732,customer_churn_dataset!$A$2:$A$1501,0))</f>
        <v>1</v>
      </c>
      <c r="K731" s="0" t="str">
        <f aca="false">INDEX(customer_churn_dataset!$V$2:$V$1501,MATCH($A732,customer_churn_dataset!$A$2:$A$1501,0))</f>
        <v>Low Risk</v>
      </c>
    </row>
    <row r="732" customFormat="false" ht="12.8" hidden="true" customHeight="false" outlineLevel="0" collapsed="false">
      <c r="A732" s="22" t="str">
        <f aca="false">customer_churn_dataset!A1287</f>
        <v>CUST100068</v>
      </c>
      <c r="B732" s="22" t="str">
        <f aca="false">customer_churn_dataset!B1287</f>
        <v>Basic</v>
      </c>
      <c r="C732" s="22" t="str">
        <f aca="false">customer_churn_dataset!C1287</f>
        <v>One year</v>
      </c>
      <c r="D732" s="0" t="n">
        <f aca="false">INDEX(customer_churn_dataset!$E$2:$E$1501,MATCH($A733,customer_churn_dataset!$A$2:$A$1501,0))</f>
        <v>13</v>
      </c>
      <c r="E732" s="0" t="n">
        <f aca="false">INDEX(customer_churn_dataset!$I$2:$I$1501,MATCH($A733,customer_churn_dataset!$A$2:$A$1501,0))</f>
        <v>29.2</v>
      </c>
      <c r="F732" s="0" t="n">
        <f aca="false">INDEX(customer_churn_dataset!$L$2:$L$1501,MATCH($A733,customer_churn_dataset!$A$2:$A$1501,0))</f>
        <v>3</v>
      </c>
      <c r="G732" s="0" t="str">
        <f aca="false">IF(INDEX(customer_churn_dataset!$M$2:$M$1501,MATCH($A733,customer_churn_dataset!$A$2:$A$1501,0))=1,"Yes","No")</f>
        <v>No</v>
      </c>
      <c r="H732" s="0" t="n">
        <f aca="false">INDEX(customer_churn_dataset!$N$2:$N$1501,MATCH($A733,customer_churn_dataset!$A$2:$A$1501,0))</f>
        <v>515.71</v>
      </c>
      <c r="I732" s="0" t="n">
        <f aca="false">INDEX(customer_churn_dataset!$O$2:$O$1501,MATCH($A733,customer_churn_dataset!$A$2:$A$1501,0))</f>
        <v>0</v>
      </c>
      <c r="J732" s="0" t="n">
        <f aca="false">INDEX(customer_churn_dataset!$T$2:$T$1501,MATCH($A733,customer_churn_dataset!$A$2:$A$1501,0))</f>
        <v>5</v>
      </c>
      <c r="K732" s="0" t="str">
        <f aca="false">INDEX(customer_churn_dataset!$V$2:$V$1501,MATCH($A733,customer_churn_dataset!$A$2:$A$1501,0))</f>
        <v>Medium Risk</v>
      </c>
    </row>
    <row r="733" customFormat="false" ht="12.8" hidden="true" customHeight="false" outlineLevel="0" collapsed="false">
      <c r="A733" s="22" t="str">
        <f aca="false">customer_churn_dataset!A1288</f>
        <v>CUST101012</v>
      </c>
      <c r="B733" s="22" t="str">
        <f aca="false">customer_churn_dataset!B1288</f>
        <v>Premium</v>
      </c>
      <c r="C733" s="22" t="str">
        <f aca="false">customer_churn_dataset!C1288</f>
        <v>Month-to-month</v>
      </c>
      <c r="D733" s="0" t="n">
        <f aca="false">INDEX(customer_churn_dataset!$E$2:$E$1501,MATCH($A734,customer_churn_dataset!$A$2:$A$1501,0))</f>
        <v>6</v>
      </c>
      <c r="E733" s="0" t="n">
        <f aca="false">INDEX(customer_churn_dataset!$I$2:$I$1501,MATCH($A734,customer_churn_dataset!$A$2:$A$1501,0))</f>
        <v>58.6</v>
      </c>
      <c r="F733" s="0" t="n">
        <f aca="false">INDEX(customer_churn_dataset!$L$2:$L$1501,MATCH($A734,customer_churn_dataset!$A$2:$A$1501,0))</f>
        <v>1</v>
      </c>
      <c r="G733" s="0" t="str">
        <f aca="false">IF(INDEX(customer_churn_dataset!$M$2:$M$1501,MATCH($A734,customer_churn_dataset!$A$2:$A$1501,0))=1,"Yes","No")</f>
        <v>No</v>
      </c>
      <c r="H733" s="0" t="n">
        <f aca="false">INDEX(customer_churn_dataset!$N$2:$N$1501,MATCH($A734,customer_churn_dataset!$A$2:$A$1501,0))</f>
        <v>240.9</v>
      </c>
      <c r="I733" s="0" t="n">
        <f aca="false">INDEX(customer_churn_dataset!$O$2:$O$1501,MATCH($A734,customer_churn_dataset!$A$2:$A$1501,0))</f>
        <v>0</v>
      </c>
      <c r="J733" s="0" t="n">
        <f aca="false">INDEX(customer_churn_dataset!$T$2:$T$1501,MATCH($A734,customer_churn_dataset!$A$2:$A$1501,0))</f>
        <v>1</v>
      </c>
      <c r="K733" s="0" t="str">
        <f aca="false">INDEX(customer_churn_dataset!$V$2:$V$1501,MATCH($A734,customer_churn_dataset!$A$2:$A$1501,0))</f>
        <v>Low Risk</v>
      </c>
    </row>
    <row r="734" customFormat="false" ht="12.8" hidden="true" customHeight="false" outlineLevel="0" collapsed="false">
      <c r="A734" s="22" t="str">
        <f aca="false">customer_churn_dataset!A1304</f>
        <v>CUST100684</v>
      </c>
      <c r="B734" s="22" t="str">
        <f aca="false">customer_churn_dataset!B1304</f>
        <v>Premium</v>
      </c>
      <c r="C734" s="22" t="str">
        <f aca="false">customer_churn_dataset!C1304</f>
        <v>Two year</v>
      </c>
      <c r="D734" s="0" t="n">
        <f aca="false">INDEX(customer_churn_dataset!$E$2:$E$1501,MATCH($A735,customer_churn_dataset!$A$2:$A$1501,0))</f>
        <v>72</v>
      </c>
      <c r="E734" s="0" t="n">
        <f aca="false">INDEX(customer_churn_dataset!$I$2:$I$1501,MATCH($A735,customer_churn_dataset!$A$2:$A$1501,0))</f>
        <v>38.5</v>
      </c>
      <c r="F734" s="0" t="n">
        <f aca="false">INDEX(customer_churn_dataset!$L$2:$L$1501,MATCH($A735,customer_churn_dataset!$A$2:$A$1501,0))</f>
        <v>1</v>
      </c>
      <c r="G734" s="0" t="str">
        <f aca="false">IF(INDEX(customer_churn_dataset!$M$2:$M$1501,MATCH($A735,customer_churn_dataset!$A$2:$A$1501,0))=1,"Yes","No")</f>
        <v>Yes</v>
      </c>
      <c r="H734" s="0" t="n">
        <f aca="false">INDEX(customer_churn_dataset!$N$2:$N$1501,MATCH($A735,customer_churn_dataset!$A$2:$A$1501,0))</f>
        <v>2961.36</v>
      </c>
      <c r="I734" s="0" t="n">
        <f aca="false">INDEX(customer_churn_dataset!$O$2:$O$1501,MATCH($A735,customer_churn_dataset!$A$2:$A$1501,0))</f>
        <v>0</v>
      </c>
      <c r="J734" s="0" t="n">
        <f aca="false">INDEX(customer_churn_dataset!$T$2:$T$1501,MATCH($A735,customer_churn_dataset!$A$2:$A$1501,0))</f>
        <v>7</v>
      </c>
      <c r="K734" s="0" t="str">
        <f aca="false">INDEX(customer_churn_dataset!$V$2:$V$1501,MATCH($A735,customer_churn_dataset!$A$2:$A$1501,0))</f>
        <v>High Risk</v>
      </c>
    </row>
    <row r="735" customFormat="false" ht="12.8" hidden="true" customHeight="false" outlineLevel="0" collapsed="false">
      <c r="A735" s="22" t="str">
        <f aca="false">customer_churn_dataset!A1316</f>
        <v>CUST100499</v>
      </c>
      <c r="B735" s="22" t="str">
        <f aca="false">customer_churn_dataset!B1316</f>
        <v>Premium</v>
      </c>
      <c r="C735" s="22" t="str">
        <f aca="false">customer_churn_dataset!C1316</f>
        <v>Month-to-month</v>
      </c>
      <c r="D735" s="0" t="n">
        <f aca="false">INDEX(customer_churn_dataset!$E$2:$E$1501,MATCH($A736,customer_churn_dataset!$A$2:$A$1501,0))</f>
        <v>22</v>
      </c>
      <c r="E735" s="0" t="n">
        <f aca="false">INDEX(customer_churn_dataset!$I$2:$I$1501,MATCH($A736,customer_churn_dataset!$A$2:$A$1501,0))</f>
        <v>32.6</v>
      </c>
      <c r="F735" s="0" t="n">
        <f aca="false">INDEX(customer_churn_dataset!$L$2:$L$1501,MATCH($A736,customer_churn_dataset!$A$2:$A$1501,0))</f>
        <v>1</v>
      </c>
      <c r="G735" s="0" t="str">
        <f aca="false">IF(INDEX(customer_churn_dataset!$M$2:$M$1501,MATCH($A736,customer_churn_dataset!$A$2:$A$1501,0))=1,"Yes","No")</f>
        <v>Yes</v>
      </c>
      <c r="H735" s="0" t="n">
        <f aca="false">INDEX(customer_churn_dataset!$N$2:$N$1501,MATCH($A736,customer_churn_dataset!$A$2:$A$1501,0))</f>
        <v>415.8</v>
      </c>
      <c r="I735" s="0" t="n">
        <f aca="false">INDEX(customer_churn_dataset!$O$2:$O$1501,MATCH($A736,customer_churn_dataset!$A$2:$A$1501,0))</f>
        <v>0</v>
      </c>
      <c r="J735" s="0" t="n">
        <f aca="false">INDEX(customer_churn_dataset!$T$2:$T$1501,MATCH($A736,customer_churn_dataset!$A$2:$A$1501,0))</f>
        <v>7</v>
      </c>
      <c r="K735" s="0" t="str">
        <f aca="false">INDEX(customer_churn_dataset!$V$2:$V$1501,MATCH($A736,customer_churn_dataset!$A$2:$A$1501,0))</f>
        <v>High Risk</v>
      </c>
    </row>
    <row r="736" customFormat="false" ht="12.8" hidden="true" customHeight="false" outlineLevel="0" collapsed="false">
      <c r="A736" s="22" t="str">
        <f aca="false">customer_churn_dataset!A1325</f>
        <v>CUST101114</v>
      </c>
      <c r="B736" s="22" t="str">
        <f aca="false">customer_churn_dataset!B1325</f>
        <v>Standard</v>
      </c>
      <c r="C736" s="22" t="str">
        <f aca="false">customer_churn_dataset!C1325</f>
        <v>Month-to-month</v>
      </c>
      <c r="D736" s="0" t="n">
        <f aca="false">INDEX(customer_churn_dataset!$E$2:$E$1501,MATCH($A737,customer_churn_dataset!$A$2:$A$1501,0))</f>
        <v>47</v>
      </c>
      <c r="E736" s="0" t="n">
        <f aca="false">INDEX(customer_churn_dataset!$I$2:$I$1501,MATCH($A737,customer_churn_dataset!$A$2:$A$1501,0))</f>
        <v>82.4</v>
      </c>
      <c r="F736" s="0" t="n">
        <f aca="false">INDEX(customer_churn_dataset!$L$2:$L$1501,MATCH($A737,customer_churn_dataset!$A$2:$A$1501,0))</f>
        <v>0</v>
      </c>
      <c r="G736" s="0" t="str">
        <f aca="false">IF(INDEX(customer_churn_dataset!$M$2:$M$1501,MATCH($A737,customer_churn_dataset!$A$2:$A$1501,0))=1,"Yes","No")</f>
        <v>No</v>
      </c>
      <c r="H736" s="0" t="n">
        <f aca="false">INDEX(customer_churn_dataset!$N$2:$N$1501,MATCH($A737,customer_churn_dataset!$A$2:$A$1501,0))</f>
        <v>417.83</v>
      </c>
      <c r="I736" s="0" t="n">
        <f aca="false">INDEX(customer_churn_dataset!$O$2:$O$1501,MATCH($A737,customer_churn_dataset!$A$2:$A$1501,0))</f>
        <v>0</v>
      </c>
      <c r="J736" s="0" t="n">
        <f aca="false">INDEX(customer_churn_dataset!$T$2:$T$1501,MATCH($A737,customer_churn_dataset!$A$2:$A$1501,0))</f>
        <v>0</v>
      </c>
      <c r="K736" s="0" t="str">
        <f aca="false">INDEX(customer_churn_dataset!$V$2:$V$1501,MATCH($A737,customer_churn_dataset!$A$2:$A$1501,0))</f>
        <v>Low Risk</v>
      </c>
    </row>
    <row r="737" customFormat="false" ht="12.8" hidden="true" customHeight="false" outlineLevel="0" collapsed="false">
      <c r="A737" s="22" t="str">
        <f aca="false">customer_churn_dataset!A1329</f>
        <v>CUST100019</v>
      </c>
      <c r="B737" s="22" t="str">
        <f aca="false">customer_churn_dataset!B1329</f>
        <v>Basic</v>
      </c>
      <c r="C737" s="22" t="str">
        <f aca="false">customer_churn_dataset!C1329</f>
        <v>Two year</v>
      </c>
      <c r="D737" s="0" t="n">
        <f aca="false">INDEX(customer_churn_dataset!$E$2:$E$1501,MATCH($A738,customer_churn_dataset!$A$2:$A$1501,0))</f>
        <v>3</v>
      </c>
      <c r="E737" s="0" t="n">
        <f aca="false">INDEX(customer_churn_dataset!$I$2:$I$1501,MATCH($A738,customer_churn_dataset!$A$2:$A$1501,0))</f>
        <v>58.5</v>
      </c>
      <c r="F737" s="0" t="n">
        <f aca="false">INDEX(customer_churn_dataset!$L$2:$L$1501,MATCH($A738,customer_churn_dataset!$A$2:$A$1501,0))</f>
        <v>1</v>
      </c>
      <c r="G737" s="0" t="str">
        <f aca="false">IF(INDEX(customer_churn_dataset!$M$2:$M$1501,MATCH($A738,customer_churn_dataset!$A$2:$A$1501,0))=1,"Yes","No")</f>
        <v>No</v>
      </c>
      <c r="H737" s="0" t="n">
        <f aca="false">INDEX(customer_churn_dataset!$N$2:$N$1501,MATCH($A738,customer_churn_dataset!$A$2:$A$1501,0))</f>
        <v>125.94</v>
      </c>
      <c r="I737" s="0" t="n">
        <f aca="false">INDEX(customer_churn_dataset!$O$2:$O$1501,MATCH($A738,customer_churn_dataset!$A$2:$A$1501,0))</f>
        <v>0</v>
      </c>
      <c r="J737" s="0" t="n">
        <f aca="false">INDEX(customer_churn_dataset!$T$2:$T$1501,MATCH($A738,customer_churn_dataset!$A$2:$A$1501,0))</f>
        <v>3</v>
      </c>
      <c r="K737" s="0" t="str">
        <f aca="false">INDEX(customer_churn_dataset!$V$2:$V$1501,MATCH($A738,customer_churn_dataset!$A$2:$A$1501,0))</f>
        <v>Medium Risk</v>
      </c>
    </row>
    <row r="738" customFormat="false" ht="12.8" hidden="true" customHeight="false" outlineLevel="0" collapsed="false">
      <c r="A738" s="22" t="str">
        <f aca="false">customer_churn_dataset!A1330</f>
        <v>CUST101322</v>
      </c>
      <c r="B738" s="22" t="str">
        <f aca="false">customer_churn_dataset!B1330</f>
        <v>Premium</v>
      </c>
      <c r="C738" s="22" t="str">
        <f aca="false">customer_churn_dataset!C1330</f>
        <v>Month-to-month</v>
      </c>
      <c r="D738" s="0" t="n">
        <f aca="false">INDEX(customer_churn_dataset!$E$2:$E$1501,MATCH($A739,customer_churn_dataset!$A$2:$A$1501,0))</f>
        <v>24</v>
      </c>
      <c r="E738" s="0" t="n">
        <f aca="false">INDEX(customer_churn_dataset!$I$2:$I$1501,MATCH($A739,customer_churn_dataset!$A$2:$A$1501,0))</f>
        <v>47.4</v>
      </c>
      <c r="F738" s="0" t="n">
        <f aca="false">INDEX(customer_churn_dataset!$L$2:$L$1501,MATCH($A739,customer_churn_dataset!$A$2:$A$1501,0))</f>
        <v>3</v>
      </c>
      <c r="G738" s="0" t="str">
        <f aca="false">IF(INDEX(customer_churn_dataset!$M$2:$M$1501,MATCH($A739,customer_churn_dataset!$A$2:$A$1501,0))=1,"Yes","No")</f>
        <v>No</v>
      </c>
      <c r="H738" s="0" t="n">
        <f aca="false">INDEX(customer_churn_dataset!$N$2:$N$1501,MATCH($A739,customer_churn_dataset!$A$2:$A$1501,0))</f>
        <v>957.84</v>
      </c>
      <c r="I738" s="0" t="n">
        <f aca="false">INDEX(customer_churn_dataset!$O$2:$O$1501,MATCH($A739,customer_churn_dataset!$A$2:$A$1501,0))</f>
        <v>1</v>
      </c>
      <c r="J738" s="0" t="n">
        <f aca="false">INDEX(customer_churn_dataset!$T$2:$T$1501,MATCH($A739,customer_churn_dataset!$A$2:$A$1501,0))</f>
        <v>3</v>
      </c>
      <c r="K738" s="0" t="str">
        <f aca="false">INDEX(customer_churn_dataset!$V$2:$V$1501,MATCH($A739,customer_churn_dataset!$A$2:$A$1501,0))</f>
        <v>Medium Risk</v>
      </c>
    </row>
    <row r="739" customFormat="false" ht="12.8" hidden="true" customHeight="false" outlineLevel="0" collapsed="false">
      <c r="A739" s="22" t="str">
        <f aca="false">customer_churn_dataset!A1331</f>
        <v>CUST101011</v>
      </c>
      <c r="B739" s="22" t="str">
        <f aca="false">customer_churn_dataset!B1331</f>
        <v>Premium</v>
      </c>
      <c r="C739" s="22" t="str">
        <f aca="false">customer_churn_dataset!C1331</f>
        <v>One year</v>
      </c>
      <c r="D739" s="0" t="n">
        <f aca="false">INDEX(customer_churn_dataset!$E$2:$E$1501,MATCH($A740,customer_churn_dataset!$A$2:$A$1501,0))</f>
        <v>22</v>
      </c>
      <c r="E739" s="0" t="n">
        <f aca="false">INDEX(customer_churn_dataset!$I$2:$I$1501,MATCH($A740,customer_churn_dataset!$A$2:$A$1501,0))</f>
        <v>80.5</v>
      </c>
      <c r="F739" s="0" t="n">
        <f aca="false">INDEX(customer_churn_dataset!$L$2:$L$1501,MATCH($A740,customer_churn_dataset!$A$2:$A$1501,0))</f>
        <v>1</v>
      </c>
      <c r="G739" s="0" t="str">
        <f aca="false">IF(INDEX(customer_churn_dataset!$M$2:$M$1501,MATCH($A740,customer_churn_dataset!$A$2:$A$1501,0))=1,"Yes","No")</f>
        <v>Yes</v>
      </c>
      <c r="H739" s="0" t="n">
        <f aca="false">INDEX(customer_churn_dataset!$N$2:$N$1501,MATCH($A740,customer_churn_dataset!$A$2:$A$1501,0))</f>
        <v>439.56</v>
      </c>
      <c r="I739" s="0" t="n">
        <f aca="false">INDEX(customer_churn_dataset!$O$2:$O$1501,MATCH($A740,customer_churn_dataset!$A$2:$A$1501,0))</f>
        <v>0</v>
      </c>
      <c r="J739" s="0" t="n">
        <f aca="false">INDEX(customer_churn_dataset!$T$2:$T$1501,MATCH($A740,customer_churn_dataset!$A$2:$A$1501,0))</f>
        <v>4</v>
      </c>
      <c r="K739" s="0" t="str">
        <f aca="false">INDEX(customer_churn_dataset!$V$2:$V$1501,MATCH($A740,customer_churn_dataset!$A$2:$A$1501,0))</f>
        <v>Medium Risk</v>
      </c>
    </row>
    <row r="740" customFormat="false" ht="12.8" hidden="true" customHeight="false" outlineLevel="0" collapsed="false">
      <c r="A740" s="22" t="str">
        <f aca="false">customer_churn_dataset!A1332</f>
        <v>CUST100147</v>
      </c>
      <c r="B740" s="22" t="str">
        <f aca="false">customer_churn_dataset!B1332</f>
        <v>Standard</v>
      </c>
      <c r="C740" s="22" t="str">
        <f aca="false">customer_churn_dataset!C1332</f>
        <v>One year</v>
      </c>
      <c r="D740" s="0" t="n">
        <f aca="false">INDEX(customer_churn_dataset!$E$2:$E$1501,MATCH($A741,customer_churn_dataset!$A$2:$A$1501,0))</f>
        <v>0</v>
      </c>
      <c r="E740" s="0" t="n">
        <f aca="false">INDEX(customer_churn_dataset!$I$2:$I$1501,MATCH($A741,customer_churn_dataset!$A$2:$A$1501,0))</f>
        <v>93.2</v>
      </c>
      <c r="F740" s="0" t="n">
        <f aca="false">INDEX(customer_churn_dataset!$L$2:$L$1501,MATCH($A741,customer_churn_dataset!$A$2:$A$1501,0))</f>
        <v>0</v>
      </c>
      <c r="G740" s="0" t="str">
        <f aca="false">IF(INDEX(customer_churn_dataset!$M$2:$M$1501,MATCH($A741,customer_churn_dataset!$A$2:$A$1501,0))=1,"Yes","No")</f>
        <v>No</v>
      </c>
      <c r="H740" s="0" t="n">
        <f aca="false">INDEX(customer_churn_dataset!$N$2:$N$1501,MATCH($A741,customer_churn_dataset!$A$2:$A$1501,0))</f>
        <v>0</v>
      </c>
      <c r="I740" s="0" t="n">
        <f aca="false">INDEX(customer_churn_dataset!$O$2:$O$1501,MATCH($A741,customer_churn_dataset!$A$2:$A$1501,0))</f>
        <v>0</v>
      </c>
      <c r="J740" s="0" t="n">
        <f aca="false">INDEX(customer_churn_dataset!$T$2:$T$1501,MATCH($A741,customer_churn_dataset!$A$2:$A$1501,0))</f>
        <v>2</v>
      </c>
      <c r="K740" s="0" t="str">
        <f aca="false">INDEX(customer_churn_dataset!$V$2:$V$1501,MATCH($A741,customer_churn_dataset!$A$2:$A$1501,0))</f>
        <v>Low Risk</v>
      </c>
    </row>
    <row r="741" customFormat="false" ht="12.8" hidden="false" customHeight="false" outlineLevel="0" collapsed="false">
      <c r="A741" s="23" t="str">
        <f aca="false">customer_churn_dataset!A1349</f>
        <v>CUST100772</v>
      </c>
      <c r="B741" s="24" t="str">
        <f aca="false">customer_churn_dataset!B1349</f>
        <v>Basic</v>
      </c>
      <c r="C741" s="24" t="str">
        <f aca="false">customer_churn_dataset!C1349</f>
        <v>One year</v>
      </c>
      <c r="D741" s="25" t="n">
        <f aca="false">INDEX(customer_churn_dataset!$E$2:$E$1501,MATCH($A742,customer_churn_dataset!$A$2:$A$1501,0))</f>
        <v>6</v>
      </c>
      <c r="E741" s="25" t="n">
        <f aca="false">INDEX(customer_churn_dataset!$I$2:$I$1501,MATCH($A742,customer_churn_dataset!$A$2:$A$1501,0))</f>
        <v>0</v>
      </c>
      <c r="F741" s="25" t="n">
        <f aca="false">INDEX(customer_churn_dataset!$L$2:$L$1501,MATCH($A742,customer_churn_dataset!$A$2:$A$1501,0))</f>
        <v>3</v>
      </c>
      <c r="G741" s="25" t="str">
        <f aca="false">IF(INDEX(customer_churn_dataset!$M$2:$M$1501,MATCH($A742,customer_churn_dataset!$A$2:$A$1501,0))=1,"Yes","No")</f>
        <v>Yes</v>
      </c>
      <c r="H741" s="25" t="n">
        <f aca="false">INDEX(customer_churn_dataset!$N$2:$N$1501,MATCH($A742,customer_churn_dataset!$A$2:$A$1501,0))</f>
        <v>122.94</v>
      </c>
      <c r="I741" s="25" t="n">
        <f aca="false">INDEX(customer_churn_dataset!$O$2:$O$1501,MATCH($A742,customer_churn_dataset!$A$2:$A$1501,0))</f>
        <v>0</v>
      </c>
      <c r="J741" s="25" t="n">
        <f aca="false">INDEX(customer_churn_dataset!$T$2:$T$1501,MATCH($A742,customer_churn_dataset!$A$2:$A$1501,0))</f>
        <v>8</v>
      </c>
      <c r="K741" s="25" t="str">
        <f aca="false">INDEX(customer_churn_dataset!$V$2:$V$1501,MATCH($A742,customer_churn_dataset!$A$2:$A$1501,0))</f>
        <v>High Risk</v>
      </c>
    </row>
    <row r="742" customFormat="false" ht="12.8" hidden="true" customHeight="false" outlineLevel="0" collapsed="false">
      <c r="A742" s="22" t="str">
        <f aca="false">customer_churn_dataset!A1352</f>
        <v>CUST101298</v>
      </c>
      <c r="B742" s="22" t="str">
        <f aca="false">customer_churn_dataset!B1352</f>
        <v>Standard</v>
      </c>
      <c r="C742" s="22" t="str">
        <f aca="false">customer_churn_dataset!C1352</f>
        <v>One year</v>
      </c>
      <c r="D742" s="0" t="n">
        <f aca="false">INDEX(customer_churn_dataset!$E$2:$E$1501,MATCH($A743,customer_churn_dataset!$A$2:$A$1501,0))</f>
        <v>16</v>
      </c>
      <c r="E742" s="0" t="n">
        <f aca="false">INDEX(customer_churn_dataset!$I$2:$I$1501,MATCH($A743,customer_churn_dataset!$A$2:$A$1501,0))</f>
        <v>46.4</v>
      </c>
      <c r="F742" s="0" t="n">
        <f aca="false">INDEX(customer_churn_dataset!$L$2:$L$1501,MATCH($A743,customer_churn_dataset!$A$2:$A$1501,0))</f>
        <v>1</v>
      </c>
      <c r="G742" s="0" t="str">
        <f aca="false">IF(INDEX(customer_churn_dataset!$M$2:$M$1501,MATCH($A743,customer_churn_dataset!$A$2:$A$1501,0))=1,"Yes","No")</f>
        <v>No</v>
      </c>
      <c r="H742" s="0" t="n">
        <f aca="false">INDEX(customer_churn_dataset!$N$2:$N$1501,MATCH($A743,customer_churn_dataset!$A$2:$A$1501,0))</f>
        <v>320.32</v>
      </c>
      <c r="I742" s="0" t="n">
        <f aca="false">INDEX(customer_churn_dataset!$O$2:$O$1501,MATCH($A743,customer_churn_dataset!$A$2:$A$1501,0))</f>
        <v>0</v>
      </c>
      <c r="J742" s="0" t="n">
        <f aca="false">INDEX(customer_churn_dataset!$T$2:$T$1501,MATCH($A743,customer_churn_dataset!$A$2:$A$1501,0))</f>
        <v>1</v>
      </c>
      <c r="K742" s="0" t="str">
        <f aca="false">INDEX(customer_churn_dataset!$V$2:$V$1501,MATCH($A743,customer_churn_dataset!$A$2:$A$1501,0))</f>
        <v>Low Risk</v>
      </c>
    </row>
    <row r="743" customFormat="false" ht="12.8" hidden="true" customHeight="false" outlineLevel="0" collapsed="false">
      <c r="A743" s="22" t="str">
        <f aca="false">customer_churn_dataset!A1360</f>
        <v>CUST100146</v>
      </c>
      <c r="B743" s="22" t="str">
        <f aca="false">customer_churn_dataset!B1360</f>
        <v>Standard</v>
      </c>
      <c r="C743" s="22" t="str">
        <f aca="false">customer_churn_dataset!C1360</f>
        <v>Two year</v>
      </c>
      <c r="D743" s="0" t="n">
        <f aca="false">INDEX(customer_churn_dataset!$E$2:$E$1501,MATCH($A744,customer_churn_dataset!$A$2:$A$1501,0))</f>
        <v>3</v>
      </c>
      <c r="E743" s="0" t="n">
        <f aca="false">INDEX(customer_churn_dataset!$I$2:$I$1501,MATCH($A744,customer_churn_dataset!$A$2:$A$1501,0))</f>
        <v>42.4</v>
      </c>
      <c r="F743" s="0" t="n">
        <f aca="false">INDEX(customer_churn_dataset!$L$2:$L$1501,MATCH($A744,customer_churn_dataset!$A$2:$A$1501,0))</f>
        <v>2</v>
      </c>
      <c r="G743" s="0" t="str">
        <f aca="false">IF(INDEX(customer_churn_dataset!$M$2:$M$1501,MATCH($A744,customer_churn_dataset!$A$2:$A$1501,0))=1,"Yes","No")</f>
        <v>No</v>
      </c>
      <c r="H743" s="0" t="n">
        <f aca="false">INDEX(customer_churn_dataset!$N$2:$N$1501,MATCH($A744,customer_churn_dataset!$A$2:$A$1501,0))</f>
        <v>55.65</v>
      </c>
      <c r="I743" s="0" t="n">
        <f aca="false">INDEX(customer_churn_dataset!$O$2:$O$1501,MATCH($A744,customer_churn_dataset!$A$2:$A$1501,0))</f>
        <v>0</v>
      </c>
      <c r="J743" s="0" t="n">
        <f aca="false">INDEX(customer_churn_dataset!$T$2:$T$1501,MATCH($A744,customer_churn_dataset!$A$2:$A$1501,0))</f>
        <v>5</v>
      </c>
      <c r="K743" s="0" t="str">
        <f aca="false">INDEX(customer_churn_dataset!$V$2:$V$1501,MATCH($A744,customer_churn_dataset!$A$2:$A$1501,0))</f>
        <v>Medium Risk</v>
      </c>
    </row>
    <row r="744" customFormat="false" ht="12.8" hidden="true" customHeight="false" outlineLevel="0" collapsed="false">
      <c r="A744" s="22" t="str">
        <f aca="false">customer_churn_dataset!A1361</f>
        <v>CUST100461</v>
      </c>
      <c r="B744" s="22" t="str">
        <f aca="false">customer_churn_dataset!B1361</f>
        <v>Standard</v>
      </c>
      <c r="C744" s="22" t="str">
        <f aca="false">customer_churn_dataset!C1361</f>
        <v>Month-to-month</v>
      </c>
      <c r="D744" s="0" t="n">
        <f aca="false">INDEX(customer_churn_dataset!$E$2:$E$1501,MATCH($A745,customer_churn_dataset!$A$2:$A$1501,0))</f>
        <v>4</v>
      </c>
      <c r="E744" s="0" t="n">
        <f aca="false">INDEX(customer_churn_dataset!$I$2:$I$1501,MATCH($A745,customer_churn_dataset!$A$2:$A$1501,0))</f>
        <v>76.8</v>
      </c>
      <c r="F744" s="0" t="n">
        <f aca="false">INDEX(customer_churn_dataset!$L$2:$L$1501,MATCH($A745,customer_churn_dataset!$A$2:$A$1501,0))</f>
        <v>1</v>
      </c>
      <c r="G744" s="0" t="str">
        <f aca="false">IF(INDEX(customer_churn_dataset!$M$2:$M$1501,MATCH($A745,customer_churn_dataset!$A$2:$A$1501,0))=1,"Yes","No")</f>
        <v>Yes</v>
      </c>
      <c r="H744" s="0" t="n">
        <f aca="false">INDEX(customer_churn_dataset!$N$2:$N$1501,MATCH($A745,customer_churn_dataset!$A$2:$A$1501,0))</f>
        <v>33.48</v>
      </c>
      <c r="I744" s="0" t="n">
        <f aca="false">INDEX(customer_churn_dataset!$O$2:$O$1501,MATCH($A745,customer_churn_dataset!$A$2:$A$1501,0))</f>
        <v>0</v>
      </c>
      <c r="J744" s="0" t="n">
        <f aca="false">INDEX(customer_churn_dataset!$T$2:$T$1501,MATCH($A745,customer_churn_dataset!$A$2:$A$1501,0))</f>
        <v>6</v>
      </c>
      <c r="K744" s="0" t="str">
        <f aca="false">INDEX(customer_churn_dataset!$V$2:$V$1501,MATCH($A745,customer_churn_dataset!$A$2:$A$1501,0))</f>
        <v>High Risk</v>
      </c>
    </row>
    <row r="745" customFormat="false" ht="12.8" hidden="true" customHeight="false" outlineLevel="0" collapsed="false">
      <c r="A745" s="22" t="str">
        <f aca="false">customer_churn_dataset!A1385</f>
        <v>CUST100416</v>
      </c>
      <c r="B745" s="22" t="str">
        <f aca="false">customer_churn_dataset!B1385</f>
        <v>Basic</v>
      </c>
      <c r="C745" s="22" t="str">
        <f aca="false">customer_churn_dataset!C1385</f>
        <v>Month-to-month</v>
      </c>
      <c r="D745" s="0" t="n">
        <f aca="false">INDEX(customer_churn_dataset!$E$2:$E$1501,MATCH($A746,customer_churn_dataset!$A$2:$A$1501,0))</f>
        <v>27</v>
      </c>
      <c r="E745" s="0" t="n">
        <f aca="false">INDEX(customer_churn_dataset!$I$2:$I$1501,MATCH($A746,customer_churn_dataset!$A$2:$A$1501,0))</f>
        <v>84.9</v>
      </c>
      <c r="F745" s="0" t="n">
        <f aca="false">INDEX(customer_churn_dataset!$L$2:$L$1501,MATCH($A746,customer_churn_dataset!$A$2:$A$1501,0))</f>
        <v>1</v>
      </c>
      <c r="G745" s="0" t="str">
        <f aca="false">IF(INDEX(customer_churn_dataset!$M$2:$M$1501,MATCH($A746,customer_churn_dataset!$A$2:$A$1501,0))=1,"Yes","No")</f>
        <v>No</v>
      </c>
      <c r="H745" s="0" t="n">
        <f aca="false">INDEX(customer_churn_dataset!$N$2:$N$1501,MATCH($A746,customer_churn_dataset!$A$2:$A$1501,0))</f>
        <v>296.73</v>
      </c>
      <c r="I745" s="0" t="n">
        <f aca="false">INDEX(customer_churn_dataset!$O$2:$O$1501,MATCH($A746,customer_churn_dataset!$A$2:$A$1501,0))</f>
        <v>0</v>
      </c>
      <c r="J745" s="0" t="n">
        <f aca="false">INDEX(customer_churn_dataset!$T$2:$T$1501,MATCH($A746,customer_churn_dataset!$A$2:$A$1501,0))</f>
        <v>2</v>
      </c>
      <c r="K745" s="0" t="str">
        <f aca="false">INDEX(customer_churn_dataset!$V$2:$V$1501,MATCH($A746,customer_churn_dataset!$A$2:$A$1501,0))</f>
        <v>Low Risk</v>
      </c>
    </row>
    <row r="746" customFormat="false" ht="12.8" hidden="true" customHeight="false" outlineLevel="0" collapsed="false">
      <c r="A746" s="22" t="str">
        <f aca="false">customer_churn_dataset!A1406</f>
        <v>CUST101417</v>
      </c>
      <c r="B746" s="22" t="str">
        <f aca="false">customer_churn_dataset!B1406</f>
        <v>Basic</v>
      </c>
      <c r="C746" s="22" t="str">
        <f aca="false">customer_churn_dataset!C1406</f>
        <v>Month-to-month</v>
      </c>
      <c r="D746" s="0" t="n">
        <f aca="false">INDEX(customer_churn_dataset!$E$2:$E$1501,MATCH($A747,customer_churn_dataset!$A$2:$A$1501,0))</f>
        <v>5</v>
      </c>
      <c r="E746" s="0" t="n">
        <f aca="false">INDEX(customer_churn_dataset!$I$2:$I$1501,MATCH($A747,customer_churn_dataset!$A$2:$A$1501,0))</f>
        <v>74.5</v>
      </c>
      <c r="F746" s="0" t="n">
        <f aca="false">INDEX(customer_churn_dataset!$L$2:$L$1501,MATCH($A747,customer_churn_dataset!$A$2:$A$1501,0))</f>
        <v>3</v>
      </c>
      <c r="G746" s="0" t="str">
        <f aca="false">IF(INDEX(customer_churn_dataset!$M$2:$M$1501,MATCH($A747,customer_churn_dataset!$A$2:$A$1501,0))=1,"Yes","No")</f>
        <v>No</v>
      </c>
      <c r="H746" s="0" t="n">
        <f aca="false">INDEX(customer_churn_dataset!$N$2:$N$1501,MATCH($A747,customer_churn_dataset!$A$2:$A$1501,0))</f>
        <v>54.85</v>
      </c>
      <c r="I746" s="0" t="n">
        <f aca="false">INDEX(customer_churn_dataset!$O$2:$O$1501,MATCH($A747,customer_churn_dataset!$A$2:$A$1501,0))</f>
        <v>0</v>
      </c>
      <c r="J746" s="0" t="n">
        <f aca="false">INDEX(customer_churn_dataset!$T$2:$T$1501,MATCH($A747,customer_churn_dataset!$A$2:$A$1501,0))</f>
        <v>2</v>
      </c>
      <c r="K746" s="0" t="str">
        <f aca="false">INDEX(customer_churn_dataset!$V$2:$V$1501,MATCH($A747,customer_churn_dataset!$A$2:$A$1501,0))</f>
        <v>Low Risk</v>
      </c>
    </row>
    <row r="747" customFormat="false" ht="12.8" hidden="true" customHeight="false" outlineLevel="0" collapsed="false">
      <c r="A747" s="22" t="str">
        <f aca="false">customer_churn_dataset!A1409</f>
        <v>CUST100586</v>
      </c>
      <c r="B747" s="22" t="str">
        <f aca="false">customer_churn_dataset!B1409</f>
        <v>Basic</v>
      </c>
      <c r="C747" s="22" t="str">
        <f aca="false">customer_churn_dataset!C1409</f>
        <v>Two year</v>
      </c>
      <c r="D747" s="0" t="n">
        <f aca="false">INDEX(customer_churn_dataset!$E$2:$E$1501,MATCH($A748,customer_churn_dataset!$A$2:$A$1501,0))</f>
        <v>13</v>
      </c>
      <c r="E747" s="0" t="n">
        <f aca="false">INDEX(customer_churn_dataset!$I$2:$I$1501,MATCH($A748,customer_churn_dataset!$A$2:$A$1501,0))</f>
        <v>42.4</v>
      </c>
      <c r="F747" s="0" t="n">
        <f aca="false">INDEX(customer_churn_dataset!$L$2:$L$1501,MATCH($A748,customer_churn_dataset!$A$2:$A$1501,0))</f>
        <v>5</v>
      </c>
      <c r="G747" s="0" t="str">
        <f aca="false">IF(INDEX(customer_churn_dataset!$M$2:$M$1501,MATCH($A748,customer_churn_dataset!$A$2:$A$1501,0))=1,"Yes","No")</f>
        <v>No</v>
      </c>
      <c r="H747" s="0" t="n">
        <f aca="false">INDEX(customer_churn_dataset!$N$2:$N$1501,MATCH($A748,customer_churn_dataset!$A$2:$A$1501,0))</f>
        <v>150.93</v>
      </c>
      <c r="I747" s="0" t="n">
        <f aca="false">INDEX(customer_churn_dataset!$O$2:$O$1501,MATCH($A748,customer_churn_dataset!$A$2:$A$1501,0))</f>
        <v>0</v>
      </c>
      <c r="J747" s="0" t="n">
        <f aca="false">INDEX(customer_churn_dataset!$T$2:$T$1501,MATCH($A748,customer_churn_dataset!$A$2:$A$1501,0))</f>
        <v>3</v>
      </c>
      <c r="K747" s="0" t="str">
        <f aca="false">INDEX(customer_churn_dataset!$V$2:$V$1501,MATCH($A748,customer_churn_dataset!$A$2:$A$1501,0))</f>
        <v>Medium Risk</v>
      </c>
    </row>
    <row r="748" customFormat="false" ht="12.8" hidden="true" customHeight="false" outlineLevel="0" collapsed="false">
      <c r="A748" s="22" t="str">
        <f aca="false">customer_churn_dataset!A1410</f>
        <v>CUST100721</v>
      </c>
      <c r="B748" s="22" t="str">
        <f aca="false">customer_churn_dataset!B1410</f>
        <v>Basic</v>
      </c>
      <c r="C748" s="22" t="str">
        <f aca="false">customer_churn_dataset!C1410</f>
        <v>One year</v>
      </c>
      <c r="D748" s="0" t="n">
        <f aca="false">INDEX(customer_churn_dataset!$E$2:$E$1501,MATCH($A749,customer_churn_dataset!$A$2:$A$1501,0))</f>
        <v>4</v>
      </c>
      <c r="E748" s="0" t="n">
        <f aca="false">INDEX(customer_churn_dataset!$I$2:$I$1501,MATCH($A749,customer_churn_dataset!$A$2:$A$1501,0))</f>
        <v>85.7</v>
      </c>
      <c r="F748" s="0" t="n">
        <f aca="false">INDEX(customer_churn_dataset!$L$2:$L$1501,MATCH($A749,customer_churn_dataset!$A$2:$A$1501,0))</f>
        <v>2</v>
      </c>
      <c r="G748" s="0" t="str">
        <f aca="false">IF(INDEX(customer_churn_dataset!$M$2:$M$1501,MATCH($A749,customer_churn_dataset!$A$2:$A$1501,0))=1,"Yes","No")</f>
        <v>Yes</v>
      </c>
      <c r="H748" s="0" t="n">
        <f aca="false">INDEX(customer_churn_dataset!$N$2:$N$1501,MATCH($A749,customer_churn_dataset!$A$2:$A$1501,0))</f>
        <v>80.2</v>
      </c>
      <c r="I748" s="0" t="n">
        <f aca="false">INDEX(customer_churn_dataset!$O$2:$O$1501,MATCH($A749,customer_churn_dataset!$A$2:$A$1501,0))</f>
        <v>0</v>
      </c>
      <c r="J748" s="0" t="n">
        <f aca="false">INDEX(customer_churn_dataset!$T$2:$T$1501,MATCH($A749,customer_churn_dataset!$A$2:$A$1501,0))</f>
        <v>7</v>
      </c>
      <c r="K748" s="0" t="str">
        <f aca="false">INDEX(customer_churn_dataset!$V$2:$V$1501,MATCH($A749,customer_churn_dataset!$A$2:$A$1501,0))</f>
        <v>High Risk</v>
      </c>
    </row>
    <row r="749" customFormat="false" ht="12.8" hidden="true" customHeight="false" outlineLevel="0" collapsed="false">
      <c r="A749" s="22" t="str">
        <f aca="false">customer_churn_dataset!A1416</f>
        <v>CUST100860</v>
      </c>
      <c r="B749" s="22" t="str">
        <f aca="false">customer_churn_dataset!B1416</f>
        <v>Standard</v>
      </c>
      <c r="C749" s="22" t="str">
        <f aca="false">customer_churn_dataset!C1416</f>
        <v>Month-to-month</v>
      </c>
      <c r="D749" s="0" t="n">
        <f aca="false">INDEX(customer_churn_dataset!$E$2:$E$1501,MATCH($A750,customer_churn_dataset!$A$2:$A$1501,0))</f>
        <v>22</v>
      </c>
      <c r="E749" s="0" t="n">
        <f aca="false">INDEX(customer_churn_dataset!$I$2:$I$1501,MATCH($A750,customer_churn_dataset!$A$2:$A$1501,0))</f>
        <v>87.2</v>
      </c>
      <c r="F749" s="0" t="n">
        <f aca="false">INDEX(customer_churn_dataset!$L$2:$L$1501,MATCH($A750,customer_churn_dataset!$A$2:$A$1501,0))</f>
        <v>1</v>
      </c>
      <c r="G749" s="0" t="str">
        <f aca="false">IF(INDEX(customer_churn_dataset!$M$2:$M$1501,MATCH($A750,customer_churn_dataset!$A$2:$A$1501,0))=1,"Yes","No")</f>
        <v>No</v>
      </c>
      <c r="H749" s="0" t="n">
        <f aca="false">INDEX(customer_churn_dataset!$N$2:$N$1501,MATCH($A750,customer_churn_dataset!$A$2:$A$1501,0))</f>
        <v>875.38</v>
      </c>
      <c r="I749" s="0" t="n">
        <f aca="false">INDEX(customer_churn_dataset!$O$2:$O$1501,MATCH($A750,customer_churn_dataset!$A$2:$A$1501,0))</f>
        <v>0</v>
      </c>
      <c r="J749" s="0" t="n">
        <f aca="false">INDEX(customer_churn_dataset!$T$2:$T$1501,MATCH($A750,customer_churn_dataset!$A$2:$A$1501,0))</f>
        <v>2</v>
      </c>
      <c r="K749" s="0" t="str">
        <f aca="false">INDEX(customer_churn_dataset!$V$2:$V$1501,MATCH($A750,customer_churn_dataset!$A$2:$A$1501,0))</f>
        <v>Low Risk</v>
      </c>
    </row>
    <row r="750" customFormat="false" ht="12.8" hidden="true" customHeight="false" outlineLevel="0" collapsed="false">
      <c r="A750" s="22" t="str">
        <f aca="false">customer_churn_dataset!A1419</f>
        <v>CUST100806</v>
      </c>
      <c r="B750" s="22" t="str">
        <f aca="false">customer_churn_dataset!B1419</f>
        <v>Premium</v>
      </c>
      <c r="C750" s="22" t="str">
        <f aca="false">customer_churn_dataset!C1419</f>
        <v>Month-to-month</v>
      </c>
      <c r="D750" s="0" t="n">
        <f aca="false">INDEX(customer_churn_dataset!$E$2:$E$1501,MATCH($A751,customer_churn_dataset!$A$2:$A$1501,0))</f>
        <v>7</v>
      </c>
      <c r="E750" s="0" t="n">
        <f aca="false">INDEX(customer_churn_dataset!$I$2:$I$1501,MATCH($A751,customer_churn_dataset!$A$2:$A$1501,0))</f>
        <v>91.3</v>
      </c>
      <c r="F750" s="0" t="n">
        <f aca="false">INDEX(customer_churn_dataset!$L$2:$L$1501,MATCH($A751,customer_churn_dataset!$A$2:$A$1501,0))</f>
        <v>1</v>
      </c>
      <c r="G750" s="0" t="str">
        <f aca="false">IF(INDEX(customer_churn_dataset!$M$2:$M$1501,MATCH($A751,customer_churn_dataset!$A$2:$A$1501,0))=1,"Yes","No")</f>
        <v>No</v>
      </c>
      <c r="H750" s="0" t="n">
        <f aca="false">INDEX(customer_churn_dataset!$N$2:$N$1501,MATCH($A751,customer_churn_dataset!$A$2:$A$1501,0))</f>
        <v>162.26</v>
      </c>
      <c r="I750" s="0" t="n">
        <f aca="false">INDEX(customer_churn_dataset!$O$2:$O$1501,MATCH($A751,customer_churn_dataset!$A$2:$A$1501,0))</f>
        <v>0</v>
      </c>
      <c r="J750" s="0" t="n">
        <f aca="false">INDEX(customer_churn_dataset!$T$2:$T$1501,MATCH($A751,customer_churn_dataset!$A$2:$A$1501,0))</f>
        <v>3</v>
      </c>
      <c r="K750" s="0" t="str">
        <f aca="false">INDEX(customer_churn_dataset!$V$2:$V$1501,MATCH($A751,customer_churn_dataset!$A$2:$A$1501,0))</f>
        <v>Medium Risk</v>
      </c>
    </row>
    <row r="751" customFormat="false" ht="12.8" hidden="true" customHeight="false" outlineLevel="0" collapsed="false">
      <c r="A751" s="22" t="str">
        <f aca="false">customer_churn_dataset!A1420</f>
        <v>CUST100455</v>
      </c>
      <c r="B751" s="22" t="str">
        <f aca="false">customer_churn_dataset!B1420</f>
        <v>Standard</v>
      </c>
      <c r="C751" s="22" t="str">
        <f aca="false">customer_churn_dataset!C1420</f>
        <v>Month-to-month</v>
      </c>
      <c r="D751" s="0" t="n">
        <f aca="false">INDEX(customer_churn_dataset!$E$2:$E$1501,MATCH($A752,customer_churn_dataset!$A$2:$A$1501,0))</f>
        <v>26</v>
      </c>
      <c r="E751" s="0" t="n">
        <f aca="false">INDEX(customer_churn_dataset!$I$2:$I$1501,MATCH($A752,customer_churn_dataset!$A$2:$A$1501,0))</f>
        <v>44.4</v>
      </c>
      <c r="F751" s="0" t="n">
        <f aca="false">INDEX(customer_churn_dataset!$L$2:$L$1501,MATCH($A752,customer_churn_dataset!$A$2:$A$1501,0))</f>
        <v>1</v>
      </c>
      <c r="G751" s="0" t="str">
        <f aca="false">IF(INDEX(customer_churn_dataset!$M$2:$M$1501,MATCH($A752,customer_churn_dataset!$A$2:$A$1501,0))=1,"Yes","No")</f>
        <v>No</v>
      </c>
      <c r="H751" s="0" t="n">
        <f aca="false">INDEX(customer_churn_dataset!$N$2:$N$1501,MATCH($A752,customer_churn_dataset!$A$2:$A$1501,0))</f>
        <v>1006.98</v>
      </c>
      <c r="I751" s="0" t="n">
        <f aca="false">INDEX(customer_churn_dataset!$O$2:$O$1501,MATCH($A752,customer_churn_dataset!$A$2:$A$1501,0))</f>
        <v>0</v>
      </c>
      <c r="J751" s="0" t="n">
        <f aca="false">INDEX(customer_churn_dataset!$T$2:$T$1501,MATCH($A752,customer_churn_dataset!$A$2:$A$1501,0))</f>
        <v>3</v>
      </c>
      <c r="K751" s="0" t="str">
        <f aca="false">INDEX(customer_churn_dataset!$V$2:$V$1501,MATCH($A752,customer_churn_dataset!$A$2:$A$1501,0))</f>
        <v>Medium Risk</v>
      </c>
    </row>
    <row r="752" customFormat="false" ht="12.8" hidden="true" customHeight="false" outlineLevel="0" collapsed="false">
      <c r="A752" s="22" t="str">
        <f aca="false">customer_churn_dataset!A1421</f>
        <v>CUST101334</v>
      </c>
      <c r="B752" s="22" t="str">
        <f aca="false">customer_churn_dataset!B1421</f>
        <v>Premium</v>
      </c>
      <c r="C752" s="22" t="str">
        <f aca="false">customer_churn_dataset!C1421</f>
        <v>Month-to-month</v>
      </c>
      <c r="D752" s="0" t="n">
        <f aca="false">INDEX(customer_churn_dataset!$E$2:$E$1501,MATCH($A753,customer_churn_dataset!$A$2:$A$1501,0))</f>
        <v>72</v>
      </c>
      <c r="E752" s="0" t="n">
        <f aca="false">INDEX(customer_churn_dataset!$I$2:$I$1501,MATCH($A753,customer_churn_dataset!$A$2:$A$1501,0))</f>
        <v>64.5</v>
      </c>
      <c r="F752" s="0" t="n">
        <f aca="false">INDEX(customer_churn_dataset!$L$2:$L$1501,MATCH($A753,customer_churn_dataset!$A$2:$A$1501,0))</f>
        <v>0</v>
      </c>
      <c r="G752" s="0" t="str">
        <f aca="false">IF(INDEX(customer_churn_dataset!$M$2:$M$1501,MATCH($A753,customer_churn_dataset!$A$2:$A$1501,0))=1,"Yes","No")</f>
        <v>No</v>
      </c>
      <c r="H752" s="0" t="n">
        <f aca="false">INDEX(customer_churn_dataset!$N$2:$N$1501,MATCH($A753,customer_churn_dataset!$A$2:$A$1501,0))</f>
        <v>1550.16</v>
      </c>
      <c r="I752" s="0" t="n">
        <f aca="false">INDEX(customer_churn_dataset!$O$2:$O$1501,MATCH($A753,customer_churn_dataset!$A$2:$A$1501,0))</f>
        <v>0</v>
      </c>
      <c r="J752" s="0" t="n">
        <f aca="false">INDEX(customer_churn_dataset!$T$2:$T$1501,MATCH($A753,customer_churn_dataset!$A$2:$A$1501,0))</f>
        <v>0</v>
      </c>
      <c r="K752" s="0" t="str">
        <f aca="false">INDEX(customer_churn_dataset!$V$2:$V$1501,MATCH($A753,customer_churn_dataset!$A$2:$A$1501,0))</f>
        <v>Low Risk</v>
      </c>
    </row>
    <row r="753" customFormat="false" ht="12.8" hidden="true" customHeight="false" outlineLevel="0" collapsed="false">
      <c r="A753" s="22" t="str">
        <f aca="false">customer_churn_dataset!A1425</f>
        <v>CUST101251</v>
      </c>
      <c r="B753" s="22" t="str">
        <f aca="false">customer_churn_dataset!B1425</f>
        <v>Standard</v>
      </c>
      <c r="C753" s="22" t="str">
        <f aca="false">customer_churn_dataset!C1425</f>
        <v>Two year</v>
      </c>
      <c r="D753" s="0" t="n">
        <f aca="false">INDEX(customer_churn_dataset!$E$2:$E$1501,MATCH($A754,customer_churn_dataset!$A$2:$A$1501,0))</f>
        <v>39</v>
      </c>
      <c r="E753" s="0" t="n">
        <f aca="false">INDEX(customer_churn_dataset!$I$2:$I$1501,MATCH($A754,customer_churn_dataset!$A$2:$A$1501,0))</f>
        <v>38.7</v>
      </c>
      <c r="F753" s="0" t="n">
        <f aca="false">INDEX(customer_churn_dataset!$L$2:$L$1501,MATCH($A754,customer_churn_dataset!$A$2:$A$1501,0))</f>
        <v>2</v>
      </c>
      <c r="G753" s="0" t="str">
        <f aca="false">IF(INDEX(customer_churn_dataset!$M$2:$M$1501,MATCH($A754,customer_churn_dataset!$A$2:$A$1501,0))=1,"Yes","No")</f>
        <v>Yes</v>
      </c>
      <c r="H753" s="0" t="n">
        <f aca="false">INDEX(customer_churn_dataset!$N$2:$N$1501,MATCH($A754,customer_churn_dataset!$A$2:$A$1501,0))</f>
        <v>1610.31</v>
      </c>
      <c r="I753" s="0" t="n">
        <f aca="false">INDEX(customer_churn_dataset!$O$2:$O$1501,MATCH($A754,customer_churn_dataset!$A$2:$A$1501,0))</f>
        <v>0</v>
      </c>
      <c r="J753" s="0" t="n">
        <f aca="false">INDEX(customer_churn_dataset!$T$2:$T$1501,MATCH($A754,customer_churn_dataset!$A$2:$A$1501,0))</f>
        <v>7</v>
      </c>
      <c r="K753" s="0" t="str">
        <f aca="false">INDEX(customer_churn_dataset!$V$2:$V$1501,MATCH($A754,customer_churn_dataset!$A$2:$A$1501,0))</f>
        <v>High Risk</v>
      </c>
    </row>
    <row r="754" customFormat="false" ht="12.8" hidden="true" customHeight="false" outlineLevel="0" collapsed="false">
      <c r="A754" s="22" t="str">
        <f aca="false">customer_churn_dataset!A1441</f>
        <v>CUST100226</v>
      </c>
      <c r="B754" s="22" t="str">
        <f aca="false">customer_churn_dataset!B1441</f>
        <v>Premium</v>
      </c>
      <c r="C754" s="22" t="str">
        <f aca="false">customer_churn_dataset!C1441</f>
        <v>One year</v>
      </c>
      <c r="D754" s="0" t="n">
        <f aca="false">INDEX(customer_churn_dataset!$E$2:$E$1501,MATCH($A755,customer_churn_dataset!$A$2:$A$1501,0))</f>
        <v>16</v>
      </c>
      <c r="E754" s="0" t="n">
        <f aca="false">INDEX(customer_churn_dataset!$I$2:$I$1501,MATCH($A755,customer_churn_dataset!$A$2:$A$1501,0))</f>
        <v>43</v>
      </c>
      <c r="F754" s="0" t="n">
        <f aca="false">INDEX(customer_churn_dataset!$L$2:$L$1501,MATCH($A755,customer_churn_dataset!$A$2:$A$1501,0))</f>
        <v>0</v>
      </c>
      <c r="G754" s="0" t="str">
        <f aca="false">IF(INDEX(customer_churn_dataset!$M$2:$M$1501,MATCH($A755,customer_churn_dataset!$A$2:$A$1501,0))=1,"Yes","No")</f>
        <v>No</v>
      </c>
      <c r="H754" s="0" t="n">
        <f aca="false">INDEX(customer_churn_dataset!$N$2:$N$1501,MATCH($A755,customer_churn_dataset!$A$2:$A$1501,0))</f>
        <v>656.64</v>
      </c>
      <c r="I754" s="0" t="n">
        <f aca="false">INDEX(customer_churn_dataset!$O$2:$O$1501,MATCH($A755,customer_churn_dataset!$A$2:$A$1501,0))</f>
        <v>0</v>
      </c>
      <c r="J754" s="0" t="n">
        <f aca="false">INDEX(customer_churn_dataset!$T$2:$T$1501,MATCH($A755,customer_churn_dataset!$A$2:$A$1501,0))</f>
        <v>2</v>
      </c>
      <c r="K754" s="0" t="str">
        <f aca="false">INDEX(customer_churn_dataset!$V$2:$V$1501,MATCH($A755,customer_churn_dataset!$A$2:$A$1501,0))</f>
        <v>Low Risk</v>
      </c>
    </row>
    <row r="755" customFormat="false" ht="12.8" hidden="true" customHeight="false" outlineLevel="0" collapsed="false">
      <c r="A755" s="22" t="str">
        <f aca="false">customer_churn_dataset!A1453</f>
        <v>CUST101140</v>
      </c>
      <c r="B755" s="22" t="str">
        <f aca="false">customer_churn_dataset!B1453</f>
        <v>Premium</v>
      </c>
      <c r="C755" s="22" t="str">
        <f aca="false">customer_churn_dataset!C1453</f>
        <v>One year</v>
      </c>
      <c r="D755" s="0" t="n">
        <f aca="false">INDEX(customer_churn_dataset!$E$2:$E$1501,MATCH($A756,customer_churn_dataset!$A$2:$A$1501,0))</f>
        <v>11</v>
      </c>
      <c r="E755" s="0" t="n">
        <f aca="false">INDEX(customer_churn_dataset!$I$2:$I$1501,MATCH($A756,customer_churn_dataset!$A$2:$A$1501,0))</f>
        <v>69.1</v>
      </c>
      <c r="F755" s="0" t="n">
        <f aca="false">INDEX(customer_churn_dataset!$L$2:$L$1501,MATCH($A756,customer_churn_dataset!$A$2:$A$1501,0))</f>
        <v>0</v>
      </c>
      <c r="G755" s="0" t="str">
        <f aca="false">IF(INDEX(customer_churn_dataset!$M$2:$M$1501,MATCH($A756,customer_churn_dataset!$A$2:$A$1501,0))=1,"Yes","No")</f>
        <v>No</v>
      </c>
      <c r="H755" s="0" t="n">
        <f aca="false">INDEX(customer_churn_dataset!$N$2:$N$1501,MATCH($A756,customer_churn_dataset!$A$2:$A$1501,0))</f>
        <v>121.88</v>
      </c>
      <c r="I755" s="0" t="n">
        <f aca="false">INDEX(customer_churn_dataset!$O$2:$O$1501,MATCH($A756,customer_churn_dataset!$A$2:$A$1501,0))</f>
        <v>0</v>
      </c>
      <c r="J755" s="0" t="n">
        <f aca="false">INDEX(customer_churn_dataset!$T$2:$T$1501,MATCH($A756,customer_churn_dataset!$A$2:$A$1501,0))</f>
        <v>1</v>
      </c>
      <c r="K755" s="0" t="str">
        <f aca="false">INDEX(customer_churn_dataset!$V$2:$V$1501,MATCH($A756,customer_churn_dataset!$A$2:$A$1501,0))</f>
        <v>Low Risk</v>
      </c>
    </row>
    <row r="756" customFormat="false" ht="12.8" hidden="true" customHeight="false" outlineLevel="0" collapsed="false">
      <c r="A756" s="22" t="str">
        <f aca="false">customer_churn_dataset!A1459</f>
        <v>CUST100365</v>
      </c>
      <c r="B756" s="22" t="str">
        <f aca="false">customer_churn_dataset!B1459</f>
        <v>Basic</v>
      </c>
      <c r="C756" s="22" t="str">
        <f aca="false">customer_churn_dataset!C1459</f>
        <v>Two year</v>
      </c>
      <c r="D756" s="0" t="n">
        <f aca="false">INDEX(customer_churn_dataset!$E$2:$E$1501,MATCH($A757,customer_churn_dataset!$A$2:$A$1501,0))</f>
        <v>26</v>
      </c>
      <c r="E756" s="0" t="n">
        <f aca="false">INDEX(customer_churn_dataset!$I$2:$I$1501,MATCH($A757,customer_churn_dataset!$A$2:$A$1501,0))</f>
        <v>77.5</v>
      </c>
      <c r="F756" s="0" t="n">
        <f aca="false">INDEX(customer_churn_dataset!$L$2:$L$1501,MATCH($A757,customer_churn_dataset!$A$2:$A$1501,0))</f>
        <v>3</v>
      </c>
      <c r="G756" s="0" t="str">
        <f aca="false">IF(INDEX(customer_churn_dataset!$M$2:$M$1501,MATCH($A757,customer_churn_dataset!$A$2:$A$1501,0))=1,"Yes","No")</f>
        <v>No</v>
      </c>
      <c r="H756" s="0" t="n">
        <f aca="false">INDEX(customer_churn_dataset!$N$2:$N$1501,MATCH($A757,customer_churn_dataset!$A$2:$A$1501,0))</f>
        <v>294.06</v>
      </c>
      <c r="I756" s="0" t="n">
        <f aca="false">INDEX(customer_churn_dataset!$O$2:$O$1501,MATCH($A757,customer_churn_dataset!$A$2:$A$1501,0))</f>
        <v>0</v>
      </c>
      <c r="J756" s="0" t="n">
        <f aca="false">INDEX(customer_churn_dataset!$T$2:$T$1501,MATCH($A757,customer_churn_dataset!$A$2:$A$1501,0))</f>
        <v>3</v>
      </c>
      <c r="K756" s="0" t="str">
        <f aca="false">INDEX(customer_churn_dataset!$V$2:$V$1501,MATCH($A757,customer_churn_dataset!$A$2:$A$1501,0))</f>
        <v>Medium Risk</v>
      </c>
    </row>
    <row r="757" customFormat="false" ht="12.8" hidden="true" customHeight="false" outlineLevel="0" collapsed="false">
      <c r="A757" s="22" t="str">
        <f aca="false">customer_churn_dataset!A1460</f>
        <v>CUST100497</v>
      </c>
      <c r="B757" s="22" t="str">
        <f aca="false">customer_churn_dataset!B1460</f>
        <v>Basic</v>
      </c>
      <c r="C757" s="22" t="str">
        <f aca="false">customer_churn_dataset!C1460</f>
        <v>Month-to-month</v>
      </c>
      <c r="D757" s="0" t="n">
        <f aca="false">INDEX(customer_churn_dataset!$E$2:$E$1501,MATCH($A758,customer_churn_dataset!$A$2:$A$1501,0))</f>
        <v>44</v>
      </c>
      <c r="E757" s="0" t="n">
        <f aca="false">INDEX(customer_churn_dataset!$I$2:$I$1501,MATCH($A758,customer_churn_dataset!$A$2:$A$1501,0))</f>
        <v>57.8</v>
      </c>
      <c r="F757" s="0" t="n">
        <f aca="false">INDEX(customer_churn_dataset!$L$2:$L$1501,MATCH($A758,customer_churn_dataset!$A$2:$A$1501,0))</f>
        <v>1</v>
      </c>
      <c r="G757" s="0" t="str">
        <f aca="false">IF(INDEX(customer_churn_dataset!$M$2:$M$1501,MATCH($A758,customer_churn_dataset!$A$2:$A$1501,0))=1,"Yes","No")</f>
        <v>Yes</v>
      </c>
      <c r="H757" s="0" t="n">
        <f aca="false">INDEX(customer_churn_dataset!$N$2:$N$1501,MATCH($A758,customer_churn_dataset!$A$2:$A$1501,0))</f>
        <v>451.44</v>
      </c>
      <c r="I757" s="0" t="n">
        <f aca="false">INDEX(customer_churn_dataset!$O$2:$O$1501,MATCH($A758,customer_churn_dataset!$A$2:$A$1501,0))</f>
        <v>0</v>
      </c>
      <c r="J757" s="0" t="n">
        <f aca="false">INDEX(customer_churn_dataset!$T$2:$T$1501,MATCH($A758,customer_churn_dataset!$A$2:$A$1501,0))</f>
        <v>3</v>
      </c>
      <c r="K757" s="0" t="str">
        <f aca="false">INDEX(customer_churn_dataset!$V$2:$V$1501,MATCH($A758,customer_churn_dataset!$A$2:$A$1501,0))</f>
        <v>Medium Risk</v>
      </c>
    </row>
    <row r="758" customFormat="false" ht="12.8" hidden="true" customHeight="false" outlineLevel="0" collapsed="false">
      <c r="A758" s="22" t="str">
        <f aca="false">customer_churn_dataset!A1461</f>
        <v>CUST100138</v>
      </c>
      <c r="B758" s="22" t="str">
        <f aca="false">customer_churn_dataset!B1461</f>
        <v>Basic</v>
      </c>
      <c r="C758" s="22" t="str">
        <f aca="false">customer_churn_dataset!C1461</f>
        <v>Two year</v>
      </c>
      <c r="D758" s="0" t="n">
        <f aca="false">INDEX(customer_churn_dataset!$E$2:$E$1501,MATCH($A759,customer_churn_dataset!$A$2:$A$1501,0))</f>
        <v>11</v>
      </c>
      <c r="E758" s="0" t="n">
        <f aca="false">INDEX(customer_churn_dataset!$I$2:$I$1501,MATCH($A759,customer_churn_dataset!$A$2:$A$1501,0))</f>
        <v>62.9</v>
      </c>
      <c r="F758" s="0" t="n">
        <f aca="false">INDEX(customer_churn_dataset!$L$2:$L$1501,MATCH($A759,customer_churn_dataset!$A$2:$A$1501,0))</f>
        <v>0</v>
      </c>
      <c r="G758" s="0" t="str">
        <f aca="false">IF(INDEX(customer_churn_dataset!$M$2:$M$1501,MATCH($A759,customer_churn_dataset!$A$2:$A$1501,0))=1,"Yes","No")</f>
        <v>No</v>
      </c>
      <c r="H758" s="0" t="n">
        <f aca="false">INDEX(customer_churn_dataset!$N$2:$N$1501,MATCH($A759,customer_churn_dataset!$A$2:$A$1501,0))</f>
        <v>451.11</v>
      </c>
      <c r="I758" s="0" t="n">
        <f aca="false">INDEX(customer_churn_dataset!$O$2:$O$1501,MATCH($A759,customer_churn_dataset!$A$2:$A$1501,0))</f>
        <v>0</v>
      </c>
      <c r="J758" s="0" t="n">
        <f aca="false">INDEX(customer_churn_dataset!$T$2:$T$1501,MATCH($A759,customer_churn_dataset!$A$2:$A$1501,0))</f>
        <v>1</v>
      </c>
      <c r="K758" s="0" t="str">
        <f aca="false">INDEX(customer_churn_dataset!$V$2:$V$1501,MATCH($A759,customer_churn_dataset!$A$2:$A$1501,0))</f>
        <v>Low Risk</v>
      </c>
    </row>
    <row r="759" customFormat="false" ht="12.8" hidden="true" customHeight="false" outlineLevel="0" collapsed="false">
      <c r="A759" s="22" t="str">
        <f aca="false">customer_churn_dataset!A1466</f>
        <v>CUST101388</v>
      </c>
      <c r="B759" s="22" t="str">
        <f aca="false">customer_churn_dataset!B1466</f>
        <v>Premium</v>
      </c>
      <c r="C759" s="22" t="str">
        <f aca="false">customer_churn_dataset!C1466</f>
        <v>Two year</v>
      </c>
      <c r="D759" s="0" t="n">
        <f aca="false">INDEX(customer_churn_dataset!$E$2:$E$1501,MATCH($A760,customer_churn_dataset!$A$2:$A$1501,0))</f>
        <v>14</v>
      </c>
      <c r="E759" s="0" t="n">
        <f aca="false">INDEX(customer_churn_dataset!$I$2:$I$1501,MATCH($A760,customer_churn_dataset!$A$2:$A$1501,0))</f>
        <v>49.7</v>
      </c>
      <c r="F759" s="0" t="n">
        <f aca="false">INDEX(customer_churn_dataset!$L$2:$L$1501,MATCH($A760,customer_churn_dataset!$A$2:$A$1501,0))</f>
        <v>2</v>
      </c>
      <c r="G759" s="0" t="str">
        <f aca="false">IF(INDEX(customer_churn_dataset!$M$2:$M$1501,MATCH($A760,customer_churn_dataset!$A$2:$A$1501,0))=1,"Yes","No")</f>
        <v>No</v>
      </c>
      <c r="H759" s="0" t="n">
        <f aca="false">INDEX(customer_churn_dataset!$N$2:$N$1501,MATCH($A760,customer_churn_dataset!$A$2:$A$1501,0))</f>
        <v>249.48</v>
      </c>
      <c r="I759" s="0" t="n">
        <f aca="false">INDEX(customer_churn_dataset!$O$2:$O$1501,MATCH($A760,customer_churn_dataset!$A$2:$A$1501,0))</f>
        <v>0</v>
      </c>
      <c r="J759" s="0" t="n">
        <f aca="false">INDEX(customer_churn_dataset!$T$2:$T$1501,MATCH($A760,customer_churn_dataset!$A$2:$A$1501,0))</f>
        <v>3</v>
      </c>
      <c r="K759" s="0" t="str">
        <f aca="false">INDEX(customer_churn_dataset!$V$2:$V$1501,MATCH($A760,customer_churn_dataset!$A$2:$A$1501,0))</f>
        <v>Medium Risk</v>
      </c>
    </row>
    <row r="760" customFormat="false" ht="12.8" hidden="true" customHeight="false" outlineLevel="0" collapsed="false">
      <c r="A760" s="22" t="str">
        <f aca="false">customer_churn_dataset!A1467</f>
        <v>CUST100552</v>
      </c>
      <c r="B760" s="22" t="str">
        <f aca="false">customer_churn_dataset!B1467</f>
        <v>Standard</v>
      </c>
      <c r="C760" s="22" t="str">
        <f aca="false">customer_churn_dataset!C1467</f>
        <v>One year</v>
      </c>
      <c r="D760" s="0" t="n">
        <f aca="false">INDEX(customer_churn_dataset!$E$2:$E$1501,MATCH($A761,customer_churn_dataset!$A$2:$A$1501,0))</f>
        <v>35</v>
      </c>
      <c r="E760" s="0" t="n">
        <f aca="false">INDEX(customer_churn_dataset!$I$2:$I$1501,MATCH($A761,customer_churn_dataset!$A$2:$A$1501,0))</f>
        <v>80.5</v>
      </c>
      <c r="F760" s="0" t="n">
        <f aca="false">INDEX(customer_churn_dataset!$L$2:$L$1501,MATCH($A761,customer_churn_dataset!$A$2:$A$1501,0))</f>
        <v>0</v>
      </c>
      <c r="G760" s="0" t="str">
        <f aca="false">IF(INDEX(customer_churn_dataset!$M$2:$M$1501,MATCH($A761,customer_churn_dataset!$A$2:$A$1501,0))=1,"Yes","No")</f>
        <v>No</v>
      </c>
      <c r="H760" s="0" t="n">
        <f aca="false">INDEX(customer_churn_dataset!$N$2:$N$1501,MATCH($A761,customer_churn_dataset!$A$2:$A$1501,0))</f>
        <v>343.7</v>
      </c>
      <c r="I760" s="0" t="n">
        <f aca="false">INDEX(customer_churn_dataset!$O$2:$O$1501,MATCH($A761,customer_churn_dataset!$A$2:$A$1501,0))</f>
        <v>0</v>
      </c>
      <c r="J760" s="0" t="n">
        <f aca="false">INDEX(customer_churn_dataset!$T$2:$T$1501,MATCH($A761,customer_churn_dataset!$A$2:$A$1501,0))</f>
        <v>1</v>
      </c>
      <c r="K760" s="0" t="str">
        <f aca="false">INDEX(customer_churn_dataset!$V$2:$V$1501,MATCH($A761,customer_churn_dataset!$A$2:$A$1501,0))</f>
        <v>Low Risk</v>
      </c>
    </row>
    <row r="761" customFormat="false" ht="12.8" hidden="true" customHeight="false" outlineLevel="0" collapsed="false">
      <c r="A761" s="22" t="str">
        <f aca="false">customer_churn_dataset!A1482</f>
        <v>CUST101273</v>
      </c>
      <c r="B761" s="22" t="str">
        <f aca="false">customer_churn_dataset!B1482</f>
        <v>Basic</v>
      </c>
      <c r="C761" s="22" t="str">
        <f aca="false">customer_churn_dataset!C1482</f>
        <v>One year</v>
      </c>
      <c r="D761" s="0" t="n">
        <f aca="false">INDEX(customer_churn_dataset!$E$2:$E$1501,MATCH($A762,customer_churn_dataset!$A$2:$A$1501,0))</f>
        <v>28</v>
      </c>
      <c r="E761" s="0" t="n">
        <f aca="false">INDEX(customer_churn_dataset!$I$2:$I$1501,MATCH($A762,customer_churn_dataset!$A$2:$A$1501,0))</f>
        <v>57.8</v>
      </c>
      <c r="F761" s="0" t="n">
        <f aca="false">INDEX(customer_churn_dataset!$L$2:$L$1501,MATCH($A762,customer_churn_dataset!$A$2:$A$1501,0))</f>
        <v>0</v>
      </c>
      <c r="G761" s="0" t="str">
        <f aca="false">IF(INDEX(customer_churn_dataset!$M$2:$M$1501,MATCH($A762,customer_churn_dataset!$A$2:$A$1501,0))=1,"Yes","No")</f>
        <v>No</v>
      </c>
      <c r="H761" s="0" t="n">
        <f aca="false">INDEX(customer_churn_dataset!$N$2:$N$1501,MATCH($A762,customer_churn_dataset!$A$2:$A$1501,0))</f>
        <v>248.64</v>
      </c>
      <c r="I761" s="0" t="n">
        <f aca="false">INDEX(customer_churn_dataset!$O$2:$O$1501,MATCH($A762,customer_churn_dataset!$A$2:$A$1501,0))</f>
        <v>0</v>
      </c>
      <c r="J761" s="0" t="n">
        <f aca="false">INDEX(customer_churn_dataset!$T$2:$T$1501,MATCH($A762,customer_churn_dataset!$A$2:$A$1501,0))</f>
        <v>2</v>
      </c>
      <c r="K761" s="0" t="str">
        <f aca="false">INDEX(customer_churn_dataset!$V$2:$V$1501,MATCH($A762,customer_churn_dataset!$A$2:$A$1501,0))</f>
        <v>Low Risk</v>
      </c>
    </row>
    <row r="762" customFormat="false" ht="12.8" hidden="true" customHeight="false" outlineLevel="0" collapsed="false">
      <c r="A762" s="22" t="str">
        <f aca="false">customer_churn_dataset!A1491</f>
        <v>CUST101000</v>
      </c>
      <c r="B762" s="22" t="str">
        <f aca="false">customer_churn_dataset!B1491</f>
        <v>Basic</v>
      </c>
      <c r="C762" s="22" t="str">
        <f aca="false">customer_churn_dataset!C1491</f>
        <v>Month-to-month</v>
      </c>
      <c r="D762" s="0" t="n">
        <f aca="false">INDEX(customer_churn_dataset!$E$2:$E$1501,MATCH($A763,customer_churn_dataset!$A$2:$A$1501,0))</f>
        <v>19</v>
      </c>
      <c r="E762" s="0" t="n">
        <f aca="false">INDEX(customer_churn_dataset!$I$2:$I$1501,MATCH($A763,customer_churn_dataset!$A$2:$A$1501,0))</f>
        <v>32.6</v>
      </c>
      <c r="F762" s="0" t="n">
        <f aca="false">INDEX(customer_churn_dataset!$L$2:$L$1501,MATCH($A763,customer_churn_dataset!$A$2:$A$1501,0))</f>
        <v>0</v>
      </c>
      <c r="G762" s="0" t="str">
        <f aca="false">IF(INDEX(customer_churn_dataset!$M$2:$M$1501,MATCH($A763,customer_churn_dataset!$A$2:$A$1501,0))=1,"Yes","No")</f>
        <v>No</v>
      </c>
      <c r="H762" s="0" t="n">
        <f aca="false">INDEX(customer_churn_dataset!$N$2:$N$1501,MATCH($A763,customer_churn_dataset!$A$2:$A$1501,0))</f>
        <v>408.88</v>
      </c>
      <c r="I762" s="0" t="n">
        <f aca="false">INDEX(customer_churn_dataset!$O$2:$O$1501,MATCH($A763,customer_churn_dataset!$A$2:$A$1501,0))</f>
        <v>0</v>
      </c>
      <c r="J762" s="0" t="n">
        <f aca="false">INDEX(customer_churn_dataset!$T$2:$T$1501,MATCH($A763,customer_churn_dataset!$A$2:$A$1501,0))</f>
        <v>4</v>
      </c>
      <c r="K762" s="0" t="str">
        <f aca="false">INDEX(customer_churn_dataset!$V$2:$V$1501,MATCH($A763,customer_churn_dataset!$A$2:$A$1501,0))</f>
        <v>Medium Risk</v>
      </c>
    </row>
    <row r="763" customFormat="false" ht="12.8" hidden="true" customHeight="false" outlineLevel="0" collapsed="false">
      <c r="A763" s="22" t="str">
        <f aca="false">customer_churn_dataset!A1492</f>
        <v>CUST101025</v>
      </c>
      <c r="B763" s="22" t="str">
        <f aca="false">customer_churn_dataset!B1492</f>
        <v>Standard</v>
      </c>
      <c r="C763" s="22" t="str">
        <f aca="false">customer_churn_dataset!C1492</f>
        <v>Month-to-month</v>
      </c>
      <c r="D763" s="0" t="n">
        <f aca="false">INDEX(customer_churn_dataset!$E$2:$E$1501,MATCH($A764,customer_churn_dataset!$A$2:$A$1501,0))</f>
        <v>3</v>
      </c>
      <c r="E763" s="0" t="n">
        <f aca="false">INDEX(customer_churn_dataset!$I$2:$I$1501,MATCH($A764,customer_churn_dataset!$A$2:$A$1501,0))</f>
        <v>66.2</v>
      </c>
      <c r="F763" s="0" t="n">
        <f aca="false">INDEX(customer_churn_dataset!$L$2:$L$1501,MATCH($A764,customer_churn_dataset!$A$2:$A$1501,0))</f>
        <v>4</v>
      </c>
      <c r="G763" s="0" t="str">
        <f aca="false">IF(INDEX(customer_churn_dataset!$M$2:$M$1501,MATCH($A764,customer_churn_dataset!$A$2:$A$1501,0))=1,"Yes","No")</f>
        <v>Yes</v>
      </c>
      <c r="H763" s="0" t="n">
        <f aca="false">INDEX(customer_churn_dataset!$N$2:$N$1501,MATCH($A764,customer_churn_dataset!$A$2:$A$1501,0))</f>
        <v>29.88</v>
      </c>
      <c r="I763" s="0" t="n">
        <f aca="false">INDEX(customer_churn_dataset!$O$2:$O$1501,MATCH($A764,customer_churn_dataset!$A$2:$A$1501,0))</f>
        <v>1</v>
      </c>
      <c r="J763" s="0" t="n">
        <f aca="false">INDEX(customer_churn_dataset!$T$2:$T$1501,MATCH($A764,customer_churn_dataset!$A$2:$A$1501,0))</f>
        <v>7</v>
      </c>
      <c r="K763" s="0" t="str">
        <f aca="false">INDEX(customer_churn_dataset!$V$2:$V$1501,MATCH($A764,customer_churn_dataset!$A$2:$A$1501,0))</f>
        <v>High Risk</v>
      </c>
    </row>
    <row r="764" customFormat="false" ht="12.8" hidden="true" customHeight="false" outlineLevel="0" collapsed="false">
      <c r="A764" s="22" t="str">
        <f aca="false">customer_churn_dataset!A1500</f>
        <v>CUST100878</v>
      </c>
      <c r="B764" s="22" t="str">
        <f aca="false">customer_churn_dataset!B1500</f>
        <v>Basic</v>
      </c>
      <c r="C764" s="22" t="str">
        <f aca="false">customer_churn_dataset!C1500</f>
        <v>Month-to-month</v>
      </c>
      <c r="D764" s="0" t="n">
        <f aca="false">INDEX(customer_churn_dataset!$E$2:$E$1501,MATCH($A765,customer_churn_dataset!$A$2:$A$1501,0))</f>
        <v>17</v>
      </c>
      <c r="E764" s="0" t="n">
        <f aca="false">INDEX(customer_churn_dataset!$I$2:$I$1501,MATCH($A765,customer_churn_dataset!$A$2:$A$1501,0))</f>
        <v>47.8</v>
      </c>
      <c r="F764" s="0" t="n">
        <f aca="false">INDEX(customer_churn_dataset!$L$2:$L$1501,MATCH($A765,customer_churn_dataset!$A$2:$A$1501,0))</f>
        <v>2</v>
      </c>
      <c r="G764" s="0" t="str">
        <f aca="false">IF(INDEX(customer_churn_dataset!$M$2:$M$1501,MATCH($A765,customer_churn_dataset!$A$2:$A$1501,0))=1,"Yes","No")</f>
        <v>No</v>
      </c>
      <c r="H764" s="0" t="n">
        <f aca="false">INDEX(customer_churn_dataset!$N$2:$N$1501,MATCH($A765,customer_churn_dataset!$A$2:$A$1501,0))</f>
        <v>346.97</v>
      </c>
      <c r="I764" s="0" t="n">
        <f aca="false">INDEX(customer_churn_dataset!$O$2:$O$1501,MATCH($A765,customer_churn_dataset!$A$2:$A$1501,0))</f>
        <v>0</v>
      </c>
      <c r="J764" s="0" t="n">
        <f aca="false">INDEX(customer_churn_dataset!$T$2:$T$1501,MATCH($A765,customer_churn_dataset!$A$2:$A$1501,0))</f>
        <v>3</v>
      </c>
      <c r="K764" s="0" t="str">
        <f aca="false">INDEX(customer_churn_dataset!$V$2:$V$1501,MATCH($A765,customer_churn_dataset!$A$2:$A$1501,0))</f>
        <v>Medium Risk</v>
      </c>
    </row>
    <row r="765" customFormat="false" ht="12.8" hidden="true" customHeight="false" outlineLevel="0" collapsed="false">
      <c r="A765" s="22" t="str">
        <f aca="false">customer_churn_dataset!A35</f>
        <v>CUST101366</v>
      </c>
      <c r="B765" s="22" t="str">
        <f aca="false">customer_churn_dataset!B35</f>
        <v>Standard</v>
      </c>
      <c r="C765" s="22" t="str">
        <f aca="false">customer_churn_dataset!C35</f>
        <v>One year</v>
      </c>
      <c r="D765" s="0" t="n">
        <f aca="false">INDEX(customer_churn_dataset!$E$2:$E$1501,MATCH($A766,customer_churn_dataset!$A$2:$A$1501,0))</f>
        <v>4</v>
      </c>
      <c r="E765" s="0" t="n">
        <f aca="false">INDEX(customer_churn_dataset!$I$2:$I$1501,MATCH($A766,customer_churn_dataset!$A$2:$A$1501,0))</f>
        <v>53.5</v>
      </c>
      <c r="F765" s="0" t="n">
        <f aca="false">INDEX(customer_churn_dataset!$L$2:$L$1501,MATCH($A766,customer_churn_dataset!$A$2:$A$1501,0))</f>
        <v>2</v>
      </c>
      <c r="G765" s="0" t="str">
        <f aca="false">IF(INDEX(customer_churn_dataset!$M$2:$M$1501,MATCH($A766,customer_churn_dataset!$A$2:$A$1501,0))=1,"Yes","No")</f>
        <v>No</v>
      </c>
      <c r="H765" s="0" t="n">
        <f aca="false">INDEX(customer_churn_dataset!$N$2:$N$1501,MATCH($A766,customer_churn_dataset!$A$2:$A$1501,0))</f>
        <v>158.8</v>
      </c>
      <c r="I765" s="0" t="n">
        <f aca="false">INDEX(customer_churn_dataset!$O$2:$O$1501,MATCH($A766,customer_churn_dataset!$A$2:$A$1501,0))</f>
        <v>0</v>
      </c>
      <c r="J765" s="0" t="n">
        <f aca="false">INDEX(customer_churn_dataset!$T$2:$T$1501,MATCH($A766,customer_churn_dataset!$A$2:$A$1501,0))</f>
        <v>4</v>
      </c>
      <c r="K765" s="0" t="str">
        <f aca="false">INDEX(customer_churn_dataset!$V$2:$V$1501,MATCH($A766,customer_churn_dataset!$A$2:$A$1501,0))</f>
        <v>Medium Risk</v>
      </c>
    </row>
    <row r="766" customFormat="false" ht="12.8" hidden="true" customHeight="false" outlineLevel="0" collapsed="false">
      <c r="A766" s="22" t="str">
        <f aca="false">customer_churn_dataset!A103</f>
        <v>CUST100767</v>
      </c>
      <c r="B766" s="22" t="str">
        <f aca="false">customer_churn_dataset!B103</f>
        <v>Premium</v>
      </c>
      <c r="C766" s="22" t="str">
        <f aca="false">customer_churn_dataset!C103</f>
        <v>One year</v>
      </c>
      <c r="D766" s="0" t="n">
        <f aca="false">INDEX(customer_churn_dataset!$E$2:$E$1501,MATCH($A767,customer_churn_dataset!$A$2:$A$1501,0))</f>
        <v>3</v>
      </c>
      <c r="E766" s="0" t="n">
        <f aca="false">INDEX(customer_churn_dataset!$I$2:$I$1501,MATCH($A767,customer_churn_dataset!$A$2:$A$1501,0))</f>
        <v>21</v>
      </c>
      <c r="F766" s="0" t="n">
        <f aca="false">INDEX(customer_churn_dataset!$L$2:$L$1501,MATCH($A767,customer_churn_dataset!$A$2:$A$1501,0))</f>
        <v>3</v>
      </c>
      <c r="G766" s="0" t="str">
        <f aca="false">IF(INDEX(customer_churn_dataset!$M$2:$M$1501,MATCH($A767,customer_churn_dataset!$A$2:$A$1501,0))=1,"Yes","No")</f>
        <v>No</v>
      </c>
      <c r="H766" s="0" t="n">
        <f aca="false">INDEX(customer_churn_dataset!$N$2:$N$1501,MATCH($A767,customer_churn_dataset!$A$2:$A$1501,0))</f>
        <v>119.13</v>
      </c>
      <c r="I766" s="0" t="n">
        <f aca="false">INDEX(customer_churn_dataset!$O$2:$O$1501,MATCH($A767,customer_churn_dataset!$A$2:$A$1501,0))</f>
        <v>1</v>
      </c>
      <c r="J766" s="0" t="n">
        <f aca="false">INDEX(customer_churn_dataset!$T$2:$T$1501,MATCH($A767,customer_churn_dataset!$A$2:$A$1501,0))</f>
        <v>4</v>
      </c>
      <c r="K766" s="0" t="str">
        <f aca="false">INDEX(customer_churn_dataset!$V$2:$V$1501,MATCH($A767,customer_churn_dataset!$A$2:$A$1501,0))</f>
        <v>Medium Risk</v>
      </c>
    </row>
    <row r="767" customFormat="false" ht="12.8" hidden="true" customHeight="false" outlineLevel="0" collapsed="false">
      <c r="A767" s="22" t="str">
        <f aca="false">customer_churn_dataset!A116</f>
        <v>CUST100405</v>
      </c>
      <c r="B767" s="22" t="str">
        <f aca="false">customer_churn_dataset!B116</f>
        <v>Premium</v>
      </c>
      <c r="C767" s="22" t="str">
        <f aca="false">customer_churn_dataset!C116</f>
        <v>Two year</v>
      </c>
      <c r="D767" s="0" t="n">
        <f aca="false">INDEX(customer_churn_dataset!$E$2:$E$1501,MATCH($A768,customer_churn_dataset!$A$2:$A$1501,0))</f>
        <v>2</v>
      </c>
      <c r="E767" s="0" t="n">
        <f aca="false">INDEX(customer_churn_dataset!$I$2:$I$1501,MATCH($A768,customer_churn_dataset!$A$2:$A$1501,0))</f>
        <v>69.4</v>
      </c>
      <c r="F767" s="0" t="n">
        <f aca="false">INDEX(customer_churn_dataset!$L$2:$L$1501,MATCH($A768,customer_churn_dataset!$A$2:$A$1501,0))</f>
        <v>1</v>
      </c>
      <c r="G767" s="0" t="str">
        <f aca="false">IF(INDEX(customer_churn_dataset!$M$2:$M$1501,MATCH($A768,customer_churn_dataset!$A$2:$A$1501,0))=1,"Yes","No")</f>
        <v>Yes</v>
      </c>
      <c r="H767" s="0" t="n">
        <f aca="false">INDEX(customer_churn_dataset!$N$2:$N$1501,MATCH($A768,customer_churn_dataset!$A$2:$A$1501,0))</f>
        <v>79.04</v>
      </c>
      <c r="I767" s="0" t="n">
        <f aca="false">INDEX(customer_churn_dataset!$O$2:$O$1501,MATCH($A768,customer_churn_dataset!$A$2:$A$1501,0))</f>
        <v>0</v>
      </c>
      <c r="J767" s="0" t="n">
        <f aca="false">INDEX(customer_churn_dataset!$T$2:$T$1501,MATCH($A768,customer_churn_dataset!$A$2:$A$1501,0))</f>
        <v>6</v>
      </c>
      <c r="K767" s="0" t="str">
        <f aca="false">INDEX(customer_churn_dataset!$V$2:$V$1501,MATCH($A768,customer_churn_dataset!$A$2:$A$1501,0))</f>
        <v>High Risk</v>
      </c>
    </row>
    <row r="768" customFormat="false" ht="12.8" hidden="true" customHeight="false" outlineLevel="0" collapsed="false">
      <c r="A768" s="22" t="str">
        <f aca="false">customer_churn_dataset!A160</f>
        <v>CUST101054</v>
      </c>
      <c r="B768" s="22" t="str">
        <f aca="false">customer_churn_dataset!B160</f>
        <v>Premium</v>
      </c>
      <c r="C768" s="22" t="str">
        <f aca="false">customer_churn_dataset!C160</f>
        <v>Month-to-month</v>
      </c>
      <c r="D768" s="0" t="n">
        <f aca="false">INDEX(customer_churn_dataset!$E$2:$E$1501,MATCH($A769,customer_churn_dataset!$A$2:$A$1501,0))</f>
        <v>25</v>
      </c>
      <c r="E768" s="0" t="n">
        <f aca="false">INDEX(customer_churn_dataset!$I$2:$I$1501,MATCH($A769,customer_churn_dataset!$A$2:$A$1501,0))</f>
        <v>94.3</v>
      </c>
      <c r="F768" s="0" t="n">
        <f aca="false">INDEX(customer_churn_dataset!$L$2:$L$1501,MATCH($A769,customer_churn_dataset!$A$2:$A$1501,0))</f>
        <v>1</v>
      </c>
      <c r="G768" s="0" t="str">
        <f aca="false">IF(INDEX(customer_churn_dataset!$M$2:$M$1501,MATCH($A769,customer_churn_dataset!$A$2:$A$1501,0))=1,"Yes","No")</f>
        <v>No</v>
      </c>
      <c r="H768" s="0" t="n">
        <f aca="false">INDEX(customer_churn_dataset!$N$2:$N$1501,MATCH($A769,customer_churn_dataset!$A$2:$A$1501,0))</f>
        <v>299.25</v>
      </c>
      <c r="I768" s="0" t="n">
        <f aca="false">INDEX(customer_churn_dataset!$O$2:$O$1501,MATCH($A769,customer_churn_dataset!$A$2:$A$1501,0))</f>
        <v>0</v>
      </c>
      <c r="J768" s="0" t="n">
        <f aca="false">INDEX(customer_churn_dataset!$T$2:$T$1501,MATCH($A769,customer_churn_dataset!$A$2:$A$1501,0))</f>
        <v>2</v>
      </c>
      <c r="K768" s="0" t="str">
        <f aca="false">INDEX(customer_churn_dataset!$V$2:$V$1501,MATCH($A769,customer_churn_dataset!$A$2:$A$1501,0))</f>
        <v>Low Risk</v>
      </c>
    </row>
    <row r="769" customFormat="false" ht="12.8" hidden="true" customHeight="false" outlineLevel="0" collapsed="false">
      <c r="A769" s="22" t="str">
        <f aca="false">customer_churn_dataset!A162</f>
        <v>CUST101082</v>
      </c>
      <c r="B769" s="22" t="str">
        <f aca="false">customer_churn_dataset!B162</f>
        <v>Basic</v>
      </c>
      <c r="C769" s="22" t="str">
        <f aca="false">customer_churn_dataset!C162</f>
        <v>Month-to-month</v>
      </c>
      <c r="D769" s="0" t="n">
        <f aca="false">INDEX(customer_churn_dataset!$E$2:$E$1501,MATCH($A770,customer_churn_dataset!$A$2:$A$1501,0))</f>
        <v>2</v>
      </c>
      <c r="E769" s="0" t="n">
        <f aca="false">INDEX(customer_churn_dataset!$I$2:$I$1501,MATCH($A770,customer_churn_dataset!$A$2:$A$1501,0))</f>
        <v>24.3</v>
      </c>
      <c r="F769" s="0" t="n">
        <f aca="false">INDEX(customer_churn_dataset!$L$2:$L$1501,MATCH($A770,customer_churn_dataset!$A$2:$A$1501,0))</f>
        <v>4</v>
      </c>
      <c r="G769" s="0" t="str">
        <f aca="false">IF(INDEX(customer_churn_dataset!$M$2:$M$1501,MATCH($A770,customer_churn_dataset!$A$2:$A$1501,0))=1,"Yes","No")</f>
        <v>No</v>
      </c>
      <c r="H769" s="0" t="n">
        <f aca="false">INDEX(customer_churn_dataset!$N$2:$N$1501,MATCH($A770,customer_churn_dataset!$A$2:$A$1501,0))</f>
        <v>80.34</v>
      </c>
      <c r="I769" s="0" t="n">
        <f aca="false">INDEX(customer_churn_dataset!$O$2:$O$1501,MATCH($A770,customer_churn_dataset!$A$2:$A$1501,0))</f>
        <v>0</v>
      </c>
      <c r="J769" s="0" t="n">
        <f aca="false">INDEX(customer_churn_dataset!$T$2:$T$1501,MATCH($A770,customer_churn_dataset!$A$2:$A$1501,0))</f>
        <v>4</v>
      </c>
      <c r="K769" s="0" t="str">
        <f aca="false">INDEX(customer_churn_dataset!$V$2:$V$1501,MATCH($A770,customer_churn_dataset!$A$2:$A$1501,0))</f>
        <v>Medium Risk</v>
      </c>
    </row>
    <row r="770" customFormat="false" ht="12.8" hidden="true" customHeight="false" outlineLevel="0" collapsed="false">
      <c r="A770" s="22" t="str">
        <f aca="false">customer_churn_dataset!A173</f>
        <v>CUST101360</v>
      </c>
      <c r="B770" s="22" t="str">
        <f aca="false">customer_churn_dataset!B173</f>
        <v>Premium</v>
      </c>
      <c r="C770" s="22" t="str">
        <f aca="false">customer_churn_dataset!C173</f>
        <v>Two year</v>
      </c>
      <c r="D770" s="0" t="n">
        <f aca="false">INDEX(customer_churn_dataset!$E$2:$E$1501,MATCH($A771,customer_churn_dataset!$A$2:$A$1501,0))</f>
        <v>15</v>
      </c>
      <c r="E770" s="0" t="n">
        <f aca="false">INDEX(customer_churn_dataset!$I$2:$I$1501,MATCH($A771,customer_churn_dataset!$A$2:$A$1501,0))</f>
        <v>42.3</v>
      </c>
      <c r="F770" s="0" t="n">
        <f aca="false">INDEX(customer_churn_dataset!$L$2:$L$1501,MATCH($A771,customer_churn_dataset!$A$2:$A$1501,0))</f>
        <v>0</v>
      </c>
      <c r="G770" s="0" t="str">
        <f aca="false">IF(INDEX(customer_churn_dataset!$M$2:$M$1501,MATCH($A771,customer_churn_dataset!$A$2:$A$1501,0))=1,"Yes","No")</f>
        <v>No</v>
      </c>
      <c r="H770" s="0" t="n">
        <f aca="false">INDEX(customer_churn_dataset!$N$2:$N$1501,MATCH($A771,customer_churn_dataset!$A$2:$A$1501,0))</f>
        <v>178.35</v>
      </c>
      <c r="I770" s="0" t="n">
        <f aca="false">INDEX(customer_churn_dataset!$O$2:$O$1501,MATCH($A771,customer_churn_dataset!$A$2:$A$1501,0))</f>
        <v>1</v>
      </c>
      <c r="J770" s="0" t="n">
        <f aca="false">INDEX(customer_churn_dataset!$T$2:$T$1501,MATCH($A771,customer_churn_dataset!$A$2:$A$1501,0))</f>
        <v>3</v>
      </c>
      <c r="K770" s="0" t="str">
        <f aca="false">INDEX(customer_churn_dataset!$V$2:$V$1501,MATCH($A771,customer_churn_dataset!$A$2:$A$1501,0))</f>
        <v>Medium Risk</v>
      </c>
    </row>
    <row r="771" customFormat="false" ht="12.8" hidden="true" customHeight="false" outlineLevel="0" collapsed="false">
      <c r="A771" s="22" t="str">
        <f aca="false">customer_churn_dataset!A205</f>
        <v>CUST100640</v>
      </c>
      <c r="B771" s="22" t="str">
        <f aca="false">customer_churn_dataset!B205</f>
        <v>Basic</v>
      </c>
      <c r="C771" s="22" t="str">
        <f aca="false">customer_churn_dataset!C205</f>
        <v>Month-to-month</v>
      </c>
      <c r="D771" s="0" t="n">
        <f aca="false">INDEX(customer_churn_dataset!$E$2:$E$1501,MATCH($A772,customer_churn_dataset!$A$2:$A$1501,0))</f>
        <v>10</v>
      </c>
      <c r="E771" s="0" t="n">
        <f aca="false">INDEX(customer_churn_dataset!$I$2:$I$1501,MATCH($A772,customer_churn_dataset!$A$2:$A$1501,0))</f>
        <v>31.8</v>
      </c>
      <c r="F771" s="0" t="n">
        <f aca="false">INDEX(customer_churn_dataset!$L$2:$L$1501,MATCH($A772,customer_churn_dataset!$A$2:$A$1501,0))</f>
        <v>1</v>
      </c>
      <c r="G771" s="0" t="str">
        <f aca="false">IF(INDEX(customer_churn_dataset!$M$2:$M$1501,MATCH($A772,customer_churn_dataset!$A$2:$A$1501,0))=1,"Yes","No")</f>
        <v>No</v>
      </c>
      <c r="H771" s="0" t="n">
        <f aca="false">INDEX(customer_churn_dataset!$N$2:$N$1501,MATCH($A772,customer_churn_dataset!$A$2:$A$1501,0))</f>
        <v>110.1</v>
      </c>
      <c r="I771" s="0" t="n">
        <f aca="false">INDEX(customer_churn_dataset!$O$2:$O$1501,MATCH($A772,customer_churn_dataset!$A$2:$A$1501,0))</f>
        <v>0</v>
      </c>
      <c r="J771" s="0" t="n">
        <f aca="false">INDEX(customer_churn_dataset!$T$2:$T$1501,MATCH($A772,customer_churn_dataset!$A$2:$A$1501,0))</f>
        <v>5</v>
      </c>
      <c r="K771" s="0" t="str">
        <f aca="false">INDEX(customer_churn_dataset!$V$2:$V$1501,MATCH($A772,customer_churn_dataset!$A$2:$A$1501,0))</f>
        <v>Medium Risk</v>
      </c>
    </row>
    <row r="772" customFormat="false" ht="12.8" hidden="true" customHeight="false" outlineLevel="0" collapsed="false">
      <c r="A772" s="22" t="str">
        <f aca="false">customer_churn_dataset!A212</f>
        <v>CUST100004</v>
      </c>
      <c r="B772" s="22" t="str">
        <f aca="false">customer_churn_dataset!B212</f>
        <v>Basic</v>
      </c>
      <c r="C772" s="22" t="str">
        <f aca="false">customer_churn_dataset!C212</f>
        <v>Month-to-month</v>
      </c>
      <c r="D772" s="0" t="n">
        <f aca="false">INDEX(customer_churn_dataset!$E$2:$E$1501,MATCH($A773,customer_churn_dataset!$A$2:$A$1501,0))</f>
        <v>14</v>
      </c>
      <c r="E772" s="0" t="n">
        <f aca="false">INDEX(customer_churn_dataset!$I$2:$I$1501,MATCH($A773,customer_churn_dataset!$A$2:$A$1501,0))</f>
        <v>74.4</v>
      </c>
      <c r="F772" s="0" t="n">
        <f aca="false">INDEX(customer_churn_dataset!$L$2:$L$1501,MATCH($A773,customer_churn_dataset!$A$2:$A$1501,0))</f>
        <v>2</v>
      </c>
      <c r="G772" s="0" t="str">
        <f aca="false">IF(INDEX(customer_churn_dataset!$M$2:$M$1501,MATCH($A773,customer_churn_dataset!$A$2:$A$1501,0))=1,"Yes","No")</f>
        <v>No</v>
      </c>
      <c r="H772" s="0" t="n">
        <f aca="false">INDEX(customer_churn_dataset!$N$2:$N$1501,MATCH($A773,customer_churn_dataset!$A$2:$A$1501,0))</f>
        <v>147.7</v>
      </c>
      <c r="I772" s="0" t="n">
        <f aca="false">INDEX(customer_churn_dataset!$O$2:$O$1501,MATCH($A773,customer_churn_dataset!$A$2:$A$1501,0))</f>
        <v>0</v>
      </c>
      <c r="J772" s="0" t="n">
        <f aca="false">INDEX(customer_churn_dataset!$T$2:$T$1501,MATCH($A773,customer_churn_dataset!$A$2:$A$1501,0))</f>
        <v>2</v>
      </c>
      <c r="K772" s="0" t="str">
        <f aca="false">INDEX(customer_churn_dataset!$V$2:$V$1501,MATCH($A773,customer_churn_dataset!$A$2:$A$1501,0))</f>
        <v>Low Risk</v>
      </c>
    </row>
    <row r="773" customFormat="false" ht="12.8" hidden="true" customHeight="false" outlineLevel="0" collapsed="false">
      <c r="A773" s="22" t="str">
        <f aca="false">customer_churn_dataset!A221</f>
        <v>CUST100251</v>
      </c>
      <c r="B773" s="22" t="str">
        <f aca="false">customer_churn_dataset!B221</f>
        <v>Basic</v>
      </c>
      <c r="C773" s="22" t="str">
        <f aca="false">customer_churn_dataset!C221</f>
        <v>One year</v>
      </c>
      <c r="D773" s="0" t="n">
        <f aca="false">INDEX(customer_churn_dataset!$E$2:$E$1501,MATCH($A774,customer_churn_dataset!$A$2:$A$1501,0))</f>
        <v>54</v>
      </c>
      <c r="E773" s="0" t="n">
        <f aca="false">INDEX(customer_churn_dataset!$I$2:$I$1501,MATCH($A774,customer_churn_dataset!$A$2:$A$1501,0))</f>
        <v>9.3</v>
      </c>
      <c r="F773" s="0" t="n">
        <f aca="false">INDEX(customer_churn_dataset!$L$2:$L$1501,MATCH($A774,customer_churn_dataset!$A$2:$A$1501,0))</f>
        <v>1</v>
      </c>
      <c r="G773" s="0" t="str">
        <f aca="false">IF(INDEX(customer_churn_dataset!$M$2:$M$1501,MATCH($A774,customer_churn_dataset!$A$2:$A$1501,0))=1,"Yes","No")</f>
        <v>No</v>
      </c>
      <c r="H773" s="0" t="n">
        <f aca="false">INDEX(customer_churn_dataset!$N$2:$N$1501,MATCH($A774,customer_churn_dataset!$A$2:$A$1501,0))</f>
        <v>1070.82</v>
      </c>
      <c r="I773" s="0" t="n">
        <f aca="false">INDEX(customer_churn_dataset!$O$2:$O$1501,MATCH($A774,customer_churn_dataset!$A$2:$A$1501,0))</f>
        <v>0</v>
      </c>
      <c r="J773" s="0" t="n">
        <f aca="false">INDEX(customer_churn_dataset!$T$2:$T$1501,MATCH($A774,customer_churn_dataset!$A$2:$A$1501,0))</f>
        <v>4</v>
      </c>
      <c r="K773" s="0" t="str">
        <f aca="false">INDEX(customer_churn_dataset!$V$2:$V$1501,MATCH($A774,customer_churn_dataset!$A$2:$A$1501,0))</f>
        <v>Medium Risk</v>
      </c>
    </row>
    <row r="774" customFormat="false" ht="12.8" hidden="true" customHeight="false" outlineLevel="0" collapsed="false">
      <c r="A774" s="22" t="str">
        <f aca="false">customer_churn_dataset!A232</f>
        <v>CUST100838</v>
      </c>
      <c r="B774" s="22" t="str">
        <f aca="false">customer_churn_dataset!B232</f>
        <v>Standard</v>
      </c>
      <c r="C774" s="22" t="str">
        <f aca="false">customer_churn_dataset!C232</f>
        <v>Month-to-month</v>
      </c>
      <c r="D774" s="0" t="n">
        <f aca="false">INDEX(customer_churn_dataset!$E$2:$E$1501,MATCH($A775,customer_churn_dataset!$A$2:$A$1501,0))</f>
        <v>72</v>
      </c>
      <c r="E774" s="0" t="n">
        <f aca="false">INDEX(customer_churn_dataset!$I$2:$I$1501,MATCH($A775,customer_churn_dataset!$A$2:$A$1501,0))</f>
        <v>70.3</v>
      </c>
      <c r="F774" s="0" t="n">
        <f aca="false">INDEX(customer_churn_dataset!$L$2:$L$1501,MATCH($A775,customer_churn_dataset!$A$2:$A$1501,0))</f>
        <v>3</v>
      </c>
      <c r="G774" s="0" t="str">
        <f aca="false">IF(INDEX(customer_churn_dataset!$M$2:$M$1501,MATCH($A775,customer_churn_dataset!$A$2:$A$1501,0))=1,"Yes","No")</f>
        <v>Yes</v>
      </c>
      <c r="H774" s="0" t="n">
        <f aca="false">INDEX(customer_churn_dataset!$N$2:$N$1501,MATCH($A775,customer_churn_dataset!$A$2:$A$1501,0))</f>
        <v>1473.12</v>
      </c>
      <c r="I774" s="0" t="n">
        <f aca="false">INDEX(customer_churn_dataset!$O$2:$O$1501,MATCH($A775,customer_churn_dataset!$A$2:$A$1501,0))</f>
        <v>1</v>
      </c>
      <c r="J774" s="0" t="n">
        <f aca="false">INDEX(customer_churn_dataset!$T$2:$T$1501,MATCH($A775,customer_churn_dataset!$A$2:$A$1501,0))</f>
        <v>6</v>
      </c>
      <c r="K774" s="0" t="str">
        <f aca="false">INDEX(customer_churn_dataset!$V$2:$V$1501,MATCH($A775,customer_churn_dataset!$A$2:$A$1501,0))</f>
        <v>High Risk</v>
      </c>
    </row>
    <row r="775" customFormat="false" ht="12.8" hidden="true" customHeight="false" outlineLevel="0" collapsed="false">
      <c r="A775" s="22" t="str">
        <f aca="false">customer_churn_dataset!A247</f>
        <v>CUST100414</v>
      </c>
      <c r="B775" s="22" t="str">
        <f aca="false">customer_churn_dataset!B247</f>
        <v>Standard</v>
      </c>
      <c r="C775" s="22" t="str">
        <f aca="false">customer_churn_dataset!C247</f>
        <v>Month-to-month</v>
      </c>
      <c r="D775" s="0" t="n">
        <f aca="false">INDEX(customer_churn_dataset!$E$2:$E$1501,MATCH($A776,customer_churn_dataset!$A$2:$A$1501,0))</f>
        <v>2</v>
      </c>
      <c r="E775" s="0" t="n">
        <f aca="false">INDEX(customer_churn_dataset!$I$2:$I$1501,MATCH($A776,customer_churn_dataset!$A$2:$A$1501,0))</f>
        <v>76</v>
      </c>
      <c r="F775" s="0" t="n">
        <f aca="false">INDEX(customer_churn_dataset!$L$2:$L$1501,MATCH($A776,customer_churn_dataset!$A$2:$A$1501,0))</f>
        <v>1</v>
      </c>
      <c r="G775" s="0" t="str">
        <f aca="false">IF(INDEX(customer_churn_dataset!$M$2:$M$1501,MATCH($A776,customer_churn_dataset!$A$2:$A$1501,0))=1,"Yes","No")</f>
        <v>No</v>
      </c>
      <c r="H775" s="0" t="n">
        <f aca="false">INDEX(customer_churn_dataset!$N$2:$N$1501,MATCH($A776,customer_churn_dataset!$A$2:$A$1501,0))</f>
        <v>18.44</v>
      </c>
      <c r="I775" s="0" t="n">
        <f aca="false">INDEX(customer_churn_dataset!$O$2:$O$1501,MATCH($A776,customer_churn_dataset!$A$2:$A$1501,0))</f>
        <v>0</v>
      </c>
      <c r="J775" s="0" t="n">
        <f aca="false">INDEX(customer_churn_dataset!$T$2:$T$1501,MATCH($A776,customer_churn_dataset!$A$2:$A$1501,0))</f>
        <v>2</v>
      </c>
      <c r="K775" s="0" t="str">
        <f aca="false">INDEX(customer_churn_dataset!$V$2:$V$1501,MATCH($A776,customer_churn_dataset!$A$2:$A$1501,0))</f>
        <v>Low Risk</v>
      </c>
    </row>
    <row r="776" customFormat="false" ht="12.8" hidden="true" customHeight="false" outlineLevel="0" collapsed="false">
      <c r="A776" s="22" t="str">
        <f aca="false">customer_churn_dataset!A256</f>
        <v>CUST100852</v>
      </c>
      <c r="B776" s="22" t="str">
        <f aca="false">customer_churn_dataset!B256</f>
        <v>Basic</v>
      </c>
      <c r="C776" s="22" t="str">
        <f aca="false">customer_churn_dataset!C256</f>
        <v>One year</v>
      </c>
      <c r="D776" s="0" t="n">
        <f aca="false">INDEX(customer_churn_dataset!$E$2:$E$1501,MATCH($A777,customer_churn_dataset!$A$2:$A$1501,0))</f>
        <v>72</v>
      </c>
      <c r="E776" s="0" t="n">
        <f aca="false">INDEX(customer_churn_dataset!$I$2:$I$1501,MATCH($A777,customer_churn_dataset!$A$2:$A$1501,0))</f>
        <v>55.5</v>
      </c>
      <c r="F776" s="0" t="n">
        <f aca="false">INDEX(customer_churn_dataset!$L$2:$L$1501,MATCH($A777,customer_churn_dataset!$A$2:$A$1501,0))</f>
        <v>1</v>
      </c>
      <c r="G776" s="0" t="str">
        <f aca="false">IF(INDEX(customer_churn_dataset!$M$2:$M$1501,MATCH($A777,customer_churn_dataset!$A$2:$A$1501,0))=1,"Yes","No")</f>
        <v>No</v>
      </c>
      <c r="H776" s="0" t="n">
        <f aca="false">INDEX(customer_churn_dataset!$N$2:$N$1501,MATCH($A777,customer_churn_dataset!$A$2:$A$1501,0))</f>
        <v>682.56</v>
      </c>
      <c r="I776" s="0" t="n">
        <f aca="false">INDEX(customer_churn_dataset!$O$2:$O$1501,MATCH($A777,customer_churn_dataset!$A$2:$A$1501,0))</f>
        <v>0</v>
      </c>
      <c r="J776" s="0" t="n">
        <f aca="false">INDEX(customer_churn_dataset!$T$2:$T$1501,MATCH($A777,customer_churn_dataset!$A$2:$A$1501,0))</f>
        <v>1</v>
      </c>
      <c r="K776" s="0" t="str">
        <f aca="false">INDEX(customer_churn_dataset!$V$2:$V$1501,MATCH($A777,customer_churn_dataset!$A$2:$A$1501,0))</f>
        <v>Low Risk</v>
      </c>
    </row>
    <row r="777" customFormat="false" ht="12.8" hidden="false" customHeight="false" outlineLevel="0" collapsed="false">
      <c r="A777" s="23" t="str">
        <f aca="false">customer_churn_dataset!A260</f>
        <v>CUST100926</v>
      </c>
      <c r="B777" s="24" t="str">
        <f aca="false">customer_churn_dataset!B260</f>
        <v>Basic</v>
      </c>
      <c r="C777" s="24" t="str">
        <f aca="false">customer_churn_dataset!C260</f>
        <v>One year</v>
      </c>
      <c r="D777" s="25" t="n">
        <f aca="false">INDEX(customer_churn_dataset!$E$2:$E$1501,MATCH($A778,customer_churn_dataset!$A$2:$A$1501,0))</f>
        <v>13</v>
      </c>
      <c r="E777" s="25" t="n">
        <f aca="false">INDEX(customer_churn_dataset!$I$2:$I$1501,MATCH($A778,customer_churn_dataset!$A$2:$A$1501,0))</f>
        <v>23.6</v>
      </c>
      <c r="F777" s="25" t="n">
        <f aca="false">INDEX(customer_churn_dataset!$L$2:$L$1501,MATCH($A778,customer_churn_dataset!$A$2:$A$1501,0))</f>
        <v>2</v>
      </c>
      <c r="G777" s="25" t="str">
        <f aca="false">IF(INDEX(customer_churn_dataset!$M$2:$M$1501,MATCH($A778,customer_churn_dataset!$A$2:$A$1501,0))=1,"Yes","No")</f>
        <v>Yes</v>
      </c>
      <c r="H777" s="25" t="n">
        <f aca="false">INDEX(customer_churn_dataset!$N$2:$N$1501,MATCH($A778,customer_churn_dataset!$A$2:$A$1501,0))</f>
        <v>115.96</v>
      </c>
      <c r="I777" s="25" t="n">
        <f aca="false">INDEX(customer_churn_dataset!$O$2:$O$1501,MATCH($A778,customer_churn_dataset!$A$2:$A$1501,0))</f>
        <v>1</v>
      </c>
      <c r="J777" s="25" t="n">
        <f aca="false">INDEX(customer_churn_dataset!$T$2:$T$1501,MATCH($A778,customer_churn_dataset!$A$2:$A$1501,0))</f>
        <v>8</v>
      </c>
      <c r="K777" s="25" t="str">
        <f aca="false">INDEX(customer_churn_dataset!$V$2:$V$1501,MATCH($A778,customer_churn_dataset!$A$2:$A$1501,0))</f>
        <v>High Risk</v>
      </c>
    </row>
    <row r="778" customFormat="false" ht="12.8" hidden="true" customHeight="false" outlineLevel="0" collapsed="false">
      <c r="A778" s="22" t="str">
        <f aca="false">customer_churn_dataset!A284</f>
        <v>CUST100430</v>
      </c>
      <c r="B778" s="22" t="str">
        <f aca="false">customer_churn_dataset!B284</f>
        <v>Basic</v>
      </c>
      <c r="C778" s="22" t="str">
        <f aca="false">customer_churn_dataset!C284</f>
        <v>Month-to-month</v>
      </c>
      <c r="D778" s="0" t="n">
        <f aca="false">INDEX(customer_churn_dataset!$E$2:$E$1501,MATCH($A779,customer_churn_dataset!$A$2:$A$1501,0))</f>
        <v>5</v>
      </c>
      <c r="E778" s="0" t="n">
        <f aca="false">INDEX(customer_churn_dataset!$I$2:$I$1501,MATCH($A779,customer_churn_dataset!$A$2:$A$1501,0))</f>
        <v>61.3</v>
      </c>
      <c r="F778" s="0" t="n">
        <f aca="false">INDEX(customer_churn_dataset!$L$2:$L$1501,MATCH($A779,customer_churn_dataset!$A$2:$A$1501,0))</f>
        <v>2</v>
      </c>
      <c r="G778" s="0" t="str">
        <f aca="false">IF(INDEX(customer_churn_dataset!$M$2:$M$1501,MATCH($A779,customer_churn_dataset!$A$2:$A$1501,0))=1,"Yes","No")</f>
        <v>Yes</v>
      </c>
      <c r="H778" s="0" t="n">
        <f aca="false">INDEX(customer_churn_dataset!$N$2:$N$1501,MATCH($A779,customer_churn_dataset!$A$2:$A$1501,0))</f>
        <v>50.75</v>
      </c>
      <c r="I778" s="0" t="n">
        <f aca="false">INDEX(customer_churn_dataset!$O$2:$O$1501,MATCH($A779,customer_churn_dataset!$A$2:$A$1501,0))</f>
        <v>1</v>
      </c>
      <c r="J778" s="0" t="n">
        <f aca="false">INDEX(customer_churn_dataset!$T$2:$T$1501,MATCH($A779,customer_churn_dataset!$A$2:$A$1501,0))</f>
        <v>6</v>
      </c>
      <c r="K778" s="0" t="str">
        <f aca="false">INDEX(customer_churn_dataset!$V$2:$V$1501,MATCH($A779,customer_churn_dataset!$A$2:$A$1501,0))</f>
        <v>High Risk</v>
      </c>
    </row>
    <row r="779" customFormat="false" ht="12.8" hidden="true" customHeight="false" outlineLevel="0" collapsed="false">
      <c r="A779" s="22" t="str">
        <f aca="false">customer_churn_dataset!A292</f>
        <v>CUST100980</v>
      </c>
      <c r="B779" s="22" t="str">
        <f aca="false">customer_churn_dataset!B292</f>
        <v>Basic</v>
      </c>
      <c r="C779" s="22" t="str">
        <f aca="false">customer_churn_dataset!C292</f>
        <v>One year</v>
      </c>
      <c r="D779" s="0" t="n">
        <f aca="false">INDEX(customer_churn_dataset!$E$2:$E$1501,MATCH($A780,customer_churn_dataset!$A$2:$A$1501,0))</f>
        <v>6</v>
      </c>
      <c r="E779" s="0" t="n">
        <f aca="false">INDEX(customer_churn_dataset!$I$2:$I$1501,MATCH($A780,customer_churn_dataset!$A$2:$A$1501,0))</f>
        <v>51.3</v>
      </c>
      <c r="F779" s="0" t="n">
        <f aca="false">INDEX(customer_churn_dataset!$L$2:$L$1501,MATCH($A780,customer_churn_dataset!$A$2:$A$1501,0))</f>
        <v>4</v>
      </c>
      <c r="G779" s="0" t="str">
        <f aca="false">IF(INDEX(customer_churn_dataset!$M$2:$M$1501,MATCH($A780,customer_churn_dataset!$A$2:$A$1501,0))=1,"Yes","No")</f>
        <v>No</v>
      </c>
      <c r="H779" s="0" t="n">
        <f aca="false">INDEX(customer_churn_dataset!$N$2:$N$1501,MATCH($A780,customer_churn_dataset!$A$2:$A$1501,0))</f>
        <v>66.6</v>
      </c>
      <c r="I779" s="0" t="n">
        <f aca="false">INDEX(customer_churn_dataset!$O$2:$O$1501,MATCH($A780,customer_churn_dataset!$A$2:$A$1501,0))</f>
        <v>0</v>
      </c>
      <c r="J779" s="0" t="n">
        <f aca="false">INDEX(customer_churn_dataset!$T$2:$T$1501,MATCH($A780,customer_churn_dataset!$A$2:$A$1501,0))</f>
        <v>3</v>
      </c>
      <c r="K779" s="0" t="str">
        <f aca="false">INDEX(customer_churn_dataset!$V$2:$V$1501,MATCH($A780,customer_churn_dataset!$A$2:$A$1501,0))</f>
        <v>Medium Risk</v>
      </c>
    </row>
    <row r="780" customFormat="false" ht="12.8" hidden="true" customHeight="false" outlineLevel="0" collapsed="false">
      <c r="A780" s="22" t="str">
        <f aca="false">customer_churn_dataset!A325</f>
        <v>CUST101203</v>
      </c>
      <c r="B780" s="22" t="str">
        <f aca="false">customer_churn_dataset!B325</f>
        <v>Basic</v>
      </c>
      <c r="C780" s="22" t="str">
        <f aca="false">customer_churn_dataset!C325</f>
        <v>Two year</v>
      </c>
      <c r="D780" s="0" t="n">
        <f aca="false">INDEX(customer_churn_dataset!$E$2:$E$1501,MATCH($A781,customer_churn_dataset!$A$2:$A$1501,0))</f>
        <v>14</v>
      </c>
      <c r="E780" s="0" t="n">
        <f aca="false">INDEX(customer_churn_dataset!$I$2:$I$1501,MATCH($A781,customer_churn_dataset!$A$2:$A$1501,0))</f>
        <v>33</v>
      </c>
      <c r="F780" s="0" t="n">
        <f aca="false">INDEX(customer_churn_dataset!$L$2:$L$1501,MATCH($A781,customer_churn_dataset!$A$2:$A$1501,0))</f>
        <v>0</v>
      </c>
      <c r="G780" s="0" t="str">
        <f aca="false">IF(INDEX(customer_churn_dataset!$M$2:$M$1501,MATCH($A781,customer_churn_dataset!$A$2:$A$1501,0))=1,"Yes","No")</f>
        <v>No</v>
      </c>
      <c r="H780" s="0" t="n">
        <f aca="false">INDEX(customer_churn_dataset!$N$2:$N$1501,MATCH($A781,customer_churn_dataset!$A$2:$A$1501,0))</f>
        <v>137.34</v>
      </c>
      <c r="I780" s="0" t="n">
        <f aca="false">INDEX(customer_churn_dataset!$O$2:$O$1501,MATCH($A781,customer_churn_dataset!$A$2:$A$1501,0))</f>
        <v>1</v>
      </c>
      <c r="J780" s="0" t="n">
        <f aca="false">INDEX(customer_churn_dataset!$T$2:$T$1501,MATCH($A781,customer_churn_dataset!$A$2:$A$1501,0))</f>
        <v>4</v>
      </c>
      <c r="K780" s="0" t="str">
        <f aca="false">INDEX(customer_churn_dataset!$V$2:$V$1501,MATCH($A781,customer_churn_dataset!$A$2:$A$1501,0))</f>
        <v>Medium Risk</v>
      </c>
    </row>
    <row r="781" customFormat="false" ht="12.8" hidden="true" customHeight="false" outlineLevel="0" collapsed="false">
      <c r="A781" s="22" t="str">
        <f aca="false">customer_churn_dataset!A343</f>
        <v>CUST100440</v>
      </c>
      <c r="B781" s="22" t="str">
        <f aca="false">customer_churn_dataset!B343</f>
        <v>Basic</v>
      </c>
      <c r="C781" s="22" t="str">
        <f aca="false">customer_churn_dataset!C343</f>
        <v>Month-to-month</v>
      </c>
      <c r="D781" s="0" t="n">
        <f aca="false">INDEX(customer_churn_dataset!$E$2:$E$1501,MATCH($A782,customer_churn_dataset!$A$2:$A$1501,0))</f>
        <v>44</v>
      </c>
      <c r="E781" s="0" t="n">
        <f aca="false">INDEX(customer_churn_dataset!$I$2:$I$1501,MATCH($A782,customer_churn_dataset!$A$2:$A$1501,0))</f>
        <v>41.4</v>
      </c>
      <c r="F781" s="0" t="n">
        <f aca="false">INDEX(customer_churn_dataset!$L$2:$L$1501,MATCH($A782,customer_churn_dataset!$A$2:$A$1501,0))</f>
        <v>3</v>
      </c>
      <c r="G781" s="0" t="str">
        <f aca="false">IF(INDEX(customer_churn_dataset!$M$2:$M$1501,MATCH($A782,customer_churn_dataset!$A$2:$A$1501,0))=1,"Yes","No")</f>
        <v>Yes</v>
      </c>
      <c r="H781" s="0" t="n">
        <f aca="false">INDEX(customer_churn_dataset!$N$2:$N$1501,MATCH($A782,customer_churn_dataset!$A$2:$A$1501,0))</f>
        <v>820.16</v>
      </c>
      <c r="I781" s="0" t="n">
        <f aca="false">INDEX(customer_churn_dataset!$O$2:$O$1501,MATCH($A782,customer_churn_dataset!$A$2:$A$1501,0))</f>
        <v>0</v>
      </c>
      <c r="J781" s="0" t="n">
        <f aca="false">INDEX(customer_churn_dataset!$T$2:$T$1501,MATCH($A782,customer_churn_dataset!$A$2:$A$1501,0))</f>
        <v>6</v>
      </c>
      <c r="K781" s="0" t="str">
        <f aca="false">INDEX(customer_churn_dataset!$V$2:$V$1501,MATCH($A782,customer_churn_dataset!$A$2:$A$1501,0))</f>
        <v>High Risk</v>
      </c>
    </row>
    <row r="782" customFormat="false" ht="12.8" hidden="true" customHeight="false" outlineLevel="0" collapsed="false">
      <c r="A782" s="22" t="str">
        <f aca="false">customer_churn_dataset!A347</f>
        <v>CUST100533</v>
      </c>
      <c r="B782" s="22" t="str">
        <f aca="false">customer_churn_dataset!B347</f>
        <v>Standard</v>
      </c>
      <c r="C782" s="22" t="str">
        <f aca="false">customer_churn_dataset!C347</f>
        <v>One year</v>
      </c>
      <c r="D782" s="0" t="n">
        <f aca="false">INDEX(customer_churn_dataset!$E$2:$E$1501,MATCH($A783,customer_churn_dataset!$A$2:$A$1501,0))</f>
        <v>13</v>
      </c>
      <c r="E782" s="0" t="n">
        <f aca="false">INDEX(customer_churn_dataset!$I$2:$I$1501,MATCH($A783,customer_churn_dataset!$A$2:$A$1501,0))</f>
        <v>78.6</v>
      </c>
      <c r="F782" s="0" t="n">
        <f aca="false">INDEX(customer_churn_dataset!$L$2:$L$1501,MATCH($A783,customer_churn_dataset!$A$2:$A$1501,0))</f>
        <v>0</v>
      </c>
      <c r="G782" s="0" t="str">
        <f aca="false">IF(INDEX(customer_churn_dataset!$M$2:$M$1501,MATCH($A783,customer_churn_dataset!$A$2:$A$1501,0))=1,"Yes","No")</f>
        <v>No</v>
      </c>
      <c r="H782" s="0" t="n">
        <f aca="false">INDEX(customer_churn_dataset!$N$2:$N$1501,MATCH($A783,customer_churn_dataset!$A$2:$A$1501,0))</f>
        <v>140.01</v>
      </c>
      <c r="I782" s="0" t="n">
        <f aca="false">INDEX(customer_churn_dataset!$O$2:$O$1501,MATCH($A783,customer_churn_dataset!$A$2:$A$1501,0))</f>
        <v>0</v>
      </c>
      <c r="J782" s="0" t="n">
        <f aca="false">INDEX(customer_churn_dataset!$T$2:$T$1501,MATCH($A783,customer_churn_dataset!$A$2:$A$1501,0))</f>
        <v>1</v>
      </c>
      <c r="K782" s="0" t="str">
        <f aca="false">INDEX(customer_churn_dataset!$V$2:$V$1501,MATCH($A783,customer_churn_dataset!$A$2:$A$1501,0))</f>
        <v>Low Risk</v>
      </c>
    </row>
    <row r="783" customFormat="false" ht="12.8" hidden="true" customHeight="false" outlineLevel="0" collapsed="false">
      <c r="A783" s="22" t="str">
        <f aca="false">customer_churn_dataset!A353</f>
        <v>CUST101126</v>
      </c>
      <c r="B783" s="22" t="str">
        <f aca="false">customer_churn_dataset!B353</f>
        <v>Basic</v>
      </c>
      <c r="C783" s="22" t="str">
        <f aca="false">customer_churn_dataset!C353</f>
        <v>One year</v>
      </c>
      <c r="D783" s="0" t="n">
        <f aca="false">INDEX(customer_churn_dataset!$E$2:$E$1501,MATCH($A784,customer_churn_dataset!$A$2:$A$1501,0))</f>
        <v>14</v>
      </c>
      <c r="E783" s="0" t="n">
        <f aca="false">INDEX(customer_churn_dataset!$I$2:$I$1501,MATCH($A784,customer_churn_dataset!$A$2:$A$1501,0))</f>
        <v>19.6</v>
      </c>
      <c r="F783" s="0" t="n">
        <f aca="false">INDEX(customer_churn_dataset!$L$2:$L$1501,MATCH($A784,customer_churn_dataset!$A$2:$A$1501,0))</f>
        <v>2</v>
      </c>
      <c r="G783" s="0" t="str">
        <f aca="false">IF(INDEX(customer_churn_dataset!$M$2:$M$1501,MATCH($A784,customer_churn_dataset!$A$2:$A$1501,0))=1,"Yes","No")</f>
        <v>No</v>
      </c>
      <c r="H783" s="0" t="n">
        <f aca="false">INDEX(customer_churn_dataset!$N$2:$N$1501,MATCH($A784,customer_churn_dataset!$A$2:$A$1501,0))</f>
        <v>128.66</v>
      </c>
      <c r="I783" s="0" t="n">
        <f aca="false">INDEX(customer_churn_dataset!$O$2:$O$1501,MATCH($A784,customer_churn_dataset!$A$2:$A$1501,0))</f>
        <v>1</v>
      </c>
      <c r="J783" s="0" t="n">
        <f aca="false">INDEX(customer_churn_dataset!$T$2:$T$1501,MATCH($A784,customer_churn_dataset!$A$2:$A$1501,0))</f>
        <v>5</v>
      </c>
      <c r="K783" s="0" t="str">
        <f aca="false">INDEX(customer_churn_dataset!$V$2:$V$1501,MATCH($A784,customer_churn_dataset!$A$2:$A$1501,0))</f>
        <v>Medium Risk</v>
      </c>
    </row>
    <row r="784" customFormat="false" ht="12.8" hidden="true" customHeight="false" outlineLevel="0" collapsed="false">
      <c r="A784" s="22" t="str">
        <f aca="false">customer_churn_dataset!A382</f>
        <v>CUST100637</v>
      </c>
      <c r="B784" s="22" t="str">
        <f aca="false">customer_churn_dataset!B382</f>
        <v>Basic</v>
      </c>
      <c r="C784" s="22" t="str">
        <f aca="false">customer_churn_dataset!C382</f>
        <v>Month-to-month</v>
      </c>
      <c r="D784" s="0" t="n">
        <f aca="false">INDEX(customer_churn_dataset!$E$2:$E$1501,MATCH($A785,customer_churn_dataset!$A$2:$A$1501,0))</f>
        <v>18</v>
      </c>
      <c r="E784" s="0" t="n">
        <f aca="false">INDEX(customer_churn_dataset!$I$2:$I$1501,MATCH($A785,customer_churn_dataset!$A$2:$A$1501,0))</f>
        <v>47.3</v>
      </c>
      <c r="F784" s="0" t="n">
        <f aca="false">INDEX(customer_churn_dataset!$L$2:$L$1501,MATCH($A785,customer_churn_dataset!$A$2:$A$1501,0))</f>
        <v>1</v>
      </c>
      <c r="G784" s="0" t="str">
        <f aca="false">IF(INDEX(customer_churn_dataset!$M$2:$M$1501,MATCH($A785,customer_churn_dataset!$A$2:$A$1501,0))=1,"Yes","No")</f>
        <v>No</v>
      </c>
      <c r="H784" s="0" t="n">
        <f aca="false">INDEX(customer_churn_dataset!$N$2:$N$1501,MATCH($A785,customer_churn_dataset!$A$2:$A$1501,0))</f>
        <v>339.3</v>
      </c>
      <c r="I784" s="0" t="n">
        <f aca="false">INDEX(customer_churn_dataset!$O$2:$O$1501,MATCH($A785,customer_churn_dataset!$A$2:$A$1501,0))</f>
        <v>0</v>
      </c>
      <c r="J784" s="0" t="n">
        <f aca="false">INDEX(customer_churn_dataset!$T$2:$T$1501,MATCH($A785,customer_churn_dataset!$A$2:$A$1501,0))</f>
        <v>2</v>
      </c>
      <c r="K784" s="0" t="str">
        <f aca="false">INDEX(customer_churn_dataset!$V$2:$V$1501,MATCH($A785,customer_churn_dataset!$A$2:$A$1501,0))</f>
        <v>Low Risk</v>
      </c>
    </row>
    <row r="785" customFormat="false" ht="12.8" hidden="true" customHeight="false" outlineLevel="0" collapsed="false">
      <c r="A785" s="22" t="str">
        <f aca="false">customer_churn_dataset!A384</f>
        <v>CUST101451</v>
      </c>
      <c r="B785" s="22" t="str">
        <f aca="false">customer_churn_dataset!B384</f>
        <v>Standard</v>
      </c>
      <c r="C785" s="22" t="str">
        <f aca="false">customer_churn_dataset!C384</f>
        <v>One year</v>
      </c>
      <c r="D785" s="0" t="n">
        <f aca="false">INDEX(customer_churn_dataset!$E$2:$E$1501,MATCH($A786,customer_churn_dataset!$A$2:$A$1501,0))</f>
        <v>69</v>
      </c>
      <c r="E785" s="0" t="n">
        <f aca="false">INDEX(customer_churn_dataset!$I$2:$I$1501,MATCH($A786,customer_churn_dataset!$A$2:$A$1501,0))</f>
        <v>81.9</v>
      </c>
      <c r="F785" s="0" t="n">
        <f aca="false">INDEX(customer_churn_dataset!$L$2:$L$1501,MATCH($A786,customer_churn_dataset!$A$2:$A$1501,0))</f>
        <v>1</v>
      </c>
      <c r="G785" s="0" t="str">
        <f aca="false">IF(INDEX(customer_churn_dataset!$M$2:$M$1501,MATCH($A786,customer_churn_dataset!$A$2:$A$1501,0))=1,"Yes","No")</f>
        <v>Yes</v>
      </c>
      <c r="H785" s="0" t="n">
        <f aca="false">INDEX(customer_churn_dataset!$N$2:$N$1501,MATCH($A786,customer_churn_dataset!$A$2:$A$1501,0))</f>
        <v>1366.2</v>
      </c>
      <c r="I785" s="0" t="n">
        <f aca="false">INDEX(customer_churn_dataset!$O$2:$O$1501,MATCH($A786,customer_churn_dataset!$A$2:$A$1501,0))</f>
        <v>0</v>
      </c>
      <c r="J785" s="0" t="n">
        <f aca="false">INDEX(customer_churn_dataset!$T$2:$T$1501,MATCH($A786,customer_churn_dataset!$A$2:$A$1501,0))</f>
        <v>3</v>
      </c>
      <c r="K785" s="0" t="str">
        <f aca="false">INDEX(customer_churn_dataset!$V$2:$V$1501,MATCH($A786,customer_churn_dataset!$A$2:$A$1501,0))</f>
        <v>Medium Risk</v>
      </c>
    </row>
    <row r="786" customFormat="false" ht="12.8" hidden="true" customHeight="false" outlineLevel="0" collapsed="false">
      <c r="A786" s="22" t="str">
        <f aca="false">customer_churn_dataset!A415</f>
        <v>CUST100808</v>
      </c>
      <c r="B786" s="22" t="str">
        <f aca="false">customer_churn_dataset!B415</f>
        <v>Standard</v>
      </c>
      <c r="C786" s="22" t="str">
        <f aca="false">customer_churn_dataset!C415</f>
        <v>Two year</v>
      </c>
      <c r="D786" s="0" t="n">
        <f aca="false">INDEX(customer_churn_dataset!$E$2:$E$1501,MATCH($A787,customer_churn_dataset!$A$2:$A$1501,0))</f>
        <v>27</v>
      </c>
      <c r="E786" s="0" t="n">
        <f aca="false">INDEX(customer_churn_dataset!$I$2:$I$1501,MATCH($A787,customer_churn_dataset!$A$2:$A$1501,0))</f>
        <v>50.5</v>
      </c>
      <c r="F786" s="0" t="n">
        <f aca="false">INDEX(customer_churn_dataset!$L$2:$L$1501,MATCH($A787,customer_churn_dataset!$A$2:$A$1501,0))</f>
        <v>0</v>
      </c>
      <c r="G786" s="0" t="str">
        <f aca="false">IF(INDEX(customer_churn_dataset!$M$2:$M$1501,MATCH($A787,customer_churn_dataset!$A$2:$A$1501,0))=1,"Yes","No")</f>
        <v>No</v>
      </c>
      <c r="H786" s="0" t="n">
        <f aca="false">INDEX(customer_churn_dataset!$N$2:$N$1501,MATCH($A787,customer_churn_dataset!$A$2:$A$1501,0))</f>
        <v>517.86</v>
      </c>
      <c r="I786" s="0" t="n">
        <f aca="false">INDEX(customer_churn_dataset!$O$2:$O$1501,MATCH($A787,customer_churn_dataset!$A$2:$A$1501,0))</f>
        <v>0</v>
      </c>
      <c r="J786" s="0" t="n">
        <f aca="false">INDEX(customer_churn_dataset!$T$2:$T$1501,MATCH($A787,customer_churn_dataset!$A$2:$A$1501,0))</f>
        <v>3</v>
      </c>
      <c r="K786" s="0" t="str">
        <f aca="false">INDEX(customer_churn_dataset!$V$2:$V$1501,MATCH($A787,customer_churn_dataset!$A$2:$A$1501,0))</f>
        <v>Medium Risk</v>
      </c>
    </row>
    <row r="787" customFormat="false" ht="12.8" hidden="true" customHeight="false" outlineLevel="0" collapsed="false">
      <c r="A787" s="22" t="str">
        <f aca="false">customer_churn_dataset!A451</f>
        <v>CUST100419</v>
      </c>
      <c r="B787" s="22" t="str">
        <f aca="false">customer_churn_dataset!B451</f>
        <v>Standard</v>
      </c>
      <c r="C787" s="22" t="str">
        <f aca="false">customer_churn_dataset!C451</f>
        <v>Month-to-month</v>
      </c>
      <c r="D787" s="0" t="n">
        <f aca="false">INDEX(customer_churn_dataset!$E$2:$E$1501,MATCH($A788,customer_churn_dataset!$A$2:$A$1501,0))</f>
        <v>1</v>
      </c>
      <c r="E787" s="0" t="n">
        <f aca="false">INDEX(customer_churn_dataset!$I$2:$I$1501,MATCH($A788,customer_churn_dataset!$A$2:$A$1501,0))</f>
        <v>82.3</v>
      </c>
      <c r="F787" s="0" t="n">
        <f aca="false">INDEX(customer_churn_dataset!$L$2:$L$1501,MATCH($A788,customer_churn_dataset!$A$2:$A$1501,0))</f>
        <v>2</v>
      </c>
      <c r="G787" s="0" t="str">
        <f aca="false">IF(INDEX(customer_churn_dataset!$M$2:$M$1501,MATCH($A788,customer_churn_dataset!$A$2:$A$1501,0))=1,"Yes","No")</f>
        <v>No</v>
      </c>
      <c r="H787" s="0" t="n">
        <f aca="false">INDEX(customer_churn_dataset!$N$2:$N$1501,MATCH($A788,customer_churn_dataset!$A$2:$A$1501,0))</f>
        <v>39.66</v>
      </c>
      <c r="I787" s="0" t="n">
        <f aca="false">INDEX(customer_churn_dataset!$O$2:$O$1501,MATCH($A788,customer_churn_dataset!$A$2:$A$1501,0))</f>
        <v>0</v>
      </c>
      <c r="J787" s="0" t="n">
        <f aca="false">INDEX(customer_churn_dataset!$T$2:$T$1501,MATCH($A788,customer_churn_dataset!$A$2:$A$1501,0))</f>
        <v>2</v>
      </c>
      <c r="K787" s="0" t="str">
        <f aca="false">INDEX(customer_churn_dataset!$V$2:$V$1501,MATCH($A788,customer_churn_dataset!$A$2:$A$1501,0))</f>
        <v>Low Risk</v>
      </c>
    </row>
    <row r="788" customFormat="false" ht="12.8" hidden="true" customHeight="false" outlineLevel="0" collapsed="false">
      <c r="A788" s="22" t="str">
        <f aca="false">customer_churn_dataset!A455</f>
        <v>CUST100948</v>
      </c>
      <c r="B788" s="22" t="str">
        <f aca="false">customer_churn_dataset!B455</f>
        <v>Premium</v>
      </c>
      <c r="C788" s="22" t="str">
        <f aca="false">customer_churn_dataset!C455</f>
        <v>Two year</v>
      </c>
      <c r="D788" s="0" t="n">
        <f aca="false">INDEX(customer_churn_dataset!$E$2:$E$1501,MATCH($A789,customer_churn_dataset!$A$2:$A$1501,0))</f>
        <v>19</v>
      </c>
      <c r="E788" s="0" t="n">
        <f aca="false">INDEX(customer_churn_dataset!$I$2:$I$1501,MATCH($A789,customer_churn_dataset!$A$2:$A$1501,0))</f>
        <v>31.5</v>
      </c>
      <c r="F788" s="0" t="n">
        <f aca="false">INDEX(customer_churn_dataset!$L$2:$L$1501,MATCH($A789,customer_churn_dataset!$A$2:$A$1501,0))</f>
        <v>1</v>
      </c>
      <c r="G788" s="0" t="str">
        <f aca="false">IF(INDEX(customer_churn_dataset!$M$2:$M$1501,MATCH($A789,customer_churn_dataset!$A$2:$A$1501,0))=1,"Yes","No")</f>
        <v>No</v>
      </c>
      <c r="H788" s="0" t="n">
        <f aca="false">INDEX(customer_churn_dataset!$N$2:$N$1501,MATCH($A789,customer_churn_dataset!$A$2:$A$1501,0))</f>
        <v>385.51</v>
      </c>
      <c r="I788" s="0" t="n">
        <f aca="false">INDEX(customer_churn_dataset!$O$2:$O$1501,MATCH($A789,customer_churn_dataset!$A$2:$A$1501,0))</f>
        <v>1</v>
      </c>
      <c r="J788" s="0" t="n">
        <f aca="false">INDEX(customer_churn_dataset!$T$2:$T$1501,MATCH($A789,customer_churn_dataset!$A$2:$A$1501,0))</f>
        <v>4</v>
      </c>
      <c r="K788" s="0" t="str">
        <f aca="false">INDEX(customer_churn_dataset!$V$2:$V$1501,MATCH($A789,customer_churn_dataset!$A$2:$A$1501,0))</f>
        <v>Medium Risk</v>
      </c>
    </row>
    <row r="789" customFormat="false" ht="12.8" hidden="true" customHeight="false" outlineLevel="0" collapsed="false">
      <c r="A789" s="22" t="str">
        <f aca="false">customer_churn_dataset!A460</f>
        <v>CUST101314</v>
      </c>
      <c r="B789" s="22" t="str">
        <f aca="false">customer_churn_dataset!B460</f>
        <v>Standard</v>
      </c>
      <c r="C789" s="22" t="str">
        <f aca="false">customer_churn_dataset!C460</f>
        <v>Month-to-month</v>
      </c>
      <c r="D789" s="0" t="n">
        <f aca="false">INDEX(customer_churn_dataset!$E$2:$E$1501,MATCH($A790,customer_churn_dataset!$A$2:$A$1501,0))</f>
        <v>18</v>
      </c>
      <c r="E789" s="0" t="n">
        <f aca="false">INDEX(customer_churn_dataset!$I$2:$I$1501,MATCH($A790,customer_churn_dataset!$A$2:$A$1501,0))</f>
        <v>30.8</v>
      </c>
      <c r="F789" s="0" t="n">
        <f aca="false">INDEX(customer_churn_dataset!$L$2:$L$1501,MATCH($A790,customer_churn_dataset!$A$2:$A$1501,0))</f>
        <v>1</v>
      </c>
      <c r="G789" s="0" t="str">
        <f aca="false">IF(INDEX(customer_churn_dataset!$M$2:$M$1501,MATCH($A790,customer_churn_dataset!$A$2:$A$1501,0))=1,"Yes","No")</f>
        <v>No</v>
      </c>
      <c r="H789" s="0" t="n">
        <f aca="false">INDEX(customer_churn_dataset!$N$2:$N$1501,MATCH($A790,customer_churn_dataset!$A$2:$A$1501,0))</f>
        <v>701.1</v>
      </c>
      <c r="I789" s="0" t="n">
        <f aca="false">INDEX(customer_churn_dataset!$O$2:$O$1501,MATCH($A790,customer_churn_dataset!$A$2:$A$1501,0))</f>
        <v>0</v>
      </c>
      <c r="J789" s="0" t="n">
        <f aca="false">INDEX(customer_churn_dataset!$T$2:$T$1501,MATCH($A790,customer_churn_dataset!$A$2:$A$1501,0))</f>
        <v>3</v>
      </c>
      <c r="K789" s="0" t="str">
        <f aca="false">INDEX(customer_churn_dataset!$V$2:$V$1501,MATCH($A790,customer_churn_dataset!$A$2:$A$1501,0))</f>
        <v>Medium Risk</v>
      </c>
    </row>
    <row r="790" customFormat="false" ht="12.8" hidden="true" customHeight="false" outlineLevel="0" collapsed="false">
      <c r="A790" s="22" t="str">
        <f aca="false">customer_churn_dataset!A504</f>
        <v>CUST100264</v>
      </c>
      <c r="B790" s="22" t="str">
        <f aca="false">customer_churn_dataset!B504</f>
        <v>Premium</v>
      </c>
      <c r="C790" s="22" t="str">
        <f aca="false">customer_churn_dataset!C504</f>
        <v>One year</v>
      </c>
      <c r="D790" s="0" t="n">
        <f aca="false">INDEX(customer_churn_dataset!$E$2:$E$1501,MATCH($A791,customer_churn_dataset!$A$2:$A$1501,0))</f>
        <v>11</v>
      </c>
      <c r="E790" s="0" t="n">
        <f aca="false">INDEX(customer_churn_dataset!$I$2:$I$1501,MATCH($A791,customer_churn_dataset!$A$2:$A$1501,0))</f>
        <v>34.2</v>
      </c>
      <c r="F790" s="0" t="n">
        <f aca="false">INDEX(customer_churn_dataset!$L$2:$L$1501,MATCH($A791,customer_churn_dataset!$A$2:$A$1501,0))</f>
        <v>1</v>
      </c>
      <c r="G790" s="0" t="str">
        <f aca="false">IF(INDEX(customer_churn_dataset!$M$2:$M$1501,MATCH($A791,customer_churn_dataset!$A$2:$A$1501,0))=1,"Yes","No")</f>
        <v>No</v>
      </c>
      <c r="H790" s="0" t="n">
        <f aca="false">INDEX(customer_churn_dataset!$N$2:$N$1501,MATCH($A791,customer_churn_dataset!$A$2:$A$1501,0))</f>
        <v>220.22</v>
      </c>
      <c r="I790" s="0" t="n">
        <f aca="false">INDEX(customer_churn_dataset!$O$2:$O$1501,MATCH($A791,customer_churn_dataset!$A$2:$A$1501,0))</f>
        <v>0</v>
      </c>
      <c r="J790" s="0" t="n">
        <f aca="false">INDEX(customer_churn_dataset!$T$2:$T$1501,MATCH($A791,customer_churn_dataset!$A$2:$A$1501,0))</f>
        <v>4</v>
      </c>
      <c r="K790" s="0" t="str">
        <f aca="false">INDEX(customer_churn_dataset!$V$2:$V$1501,MATCH($A791,customer_churn_dataset!$A$2:$A$1501,0))</f>
        <v>Medium Risk</v>
      </c>
    </row>
    <row r="791" customFormat="false" ht="12.8" hidden="true" customHeight="false" outlineLevel="0" collapsed="false">
      <c r="A791" s="22" t="str">
        <f aca="false">customer_churn_dataset!A554</f>
        <v>CUST100086</v>
      </c>
      <c r="B791" s="22" t="str">
        <f aca="false">customer_churn_dataset!B554</f>
        <v>Standard</v>
      </c>
      <c r="C791" s="22" t="str">
        <f aca="false">customer_churn_dataset!C554</f>
        <v>One year</v>
      </c>
      <c r="D791" s="0" t="n">
        <f aca="false">INDEX(customer_churn_dataset!$E$2:$E$1501,MATCH($A792,customer_churn_dataset!$A$2:$A$1501,0))</f>
        <v>17</v>
      </c>
      <c r="E791" s="0" t="n">
        <f aca="false">INDEX(customer_churn_dataset!$I$2:$I$1501,MATCH($A792,customer_churn_dataset!$A$2:$A$1501,0))</f>
        <v>42.3</v>
      </c>
      <c r="F791" s="0" t="n">
        <f aca="false">INDEX(customer_churn_dataset!$L$2:$L$1501,MATCH($A792,customer_churn_dataset!$A$2:$A$1501,0))</f>
        <v>1</v>
      </c>
      <c r="G791" s="0" t="str">
        <f aca="false">IF(INDEX(customer_churn_dataset!$M$2:$M$1501,MATCH($A792,customer_churn_dataset!$A$2:$A$1501,0))=1,"Yes","No")</f>
        <v>No</v>
      </c>
      <c r="H791" s="0" t="n">
        <f aca="false">INDEX(customer_churn_dataset!$N$2:$N$1501,MATCH($A792,customer_churn_dataset!$A$2:$A$1501,0))</f>
        <v>690.88</v>
      </c>
      <c r="I791" s="0" t="n">
        <f aca="false">INDEX(customer_churn_dataset!$O$2:$O$1501,MATCH($A792,customer_churn_dataset!$A$2:$A$1501,0))</f>
        <v>0</v>
      </c>
      <c r="J791" s="0" t="n">
        <f aca="false">INDEX(customer_churn_dataset!$T$2:$T$1501,MATCH($A792,customer_churn_dataset!$A$2:$A$1501,0))</f>
        <v>2</v>
      </c>
      <c r="K791" s="0" t="str">
        <f aca="false">INDEX(customer_churn_dataset!$V$2:$V$1501,MATCH($A792,customer_churn_dataset!$A$2:$A$1501,0))</f>
        <v>Low Risk</v>
      </c>
    </row>
    <row r="792" customFormat="false" ht="12.8" hidden="true" customHeight="false" outlineLevel="0" collapsed="false">
      <c r="A792" s="22" t="str">
        <f aca="false">customer_churn_dataset!A564</f>
        <v>CUST101407</v>
      </c>
      <c r="B792" s="22" t="str">
        <f aca="false">customer_churn_dataset!B564</f>
        <v>Premium</v>
      </c>
      <c r="C792" s="22" t="str">
        <f aca="false">customer_churn_dataset!C564</f>
        <v>One year</v>
      </c>
      <c r="D792" s="0" t="n">
        <f aca="false">INDEX(customer_churn_dataset!$E$2:$E$1501,MATCH($A793,customer_churn_dataset!$A$2:$A$1501,0))</f>
        <v>5</v>
      </c>
      <c r="E792" s="0" t="n">
        <f aca="false">INDEX(customer_churn_dataset!$I$2:$I$1501,MATCH($A793,customer_churn_dataset!$A$2:$A$1501,0))</f>
        <v>36</v>
      </c>
      <c r="F792" s="0" t="n">
        <f aca="false">INDEX(customer_churn_dataset!$L$2:$L$1501,MATCH($A793,customer_churn_dataset!$A$2:$A$1501,0))</f>
        <v>4</v>
      </c>
      <c r="G792" s="0" t="str">
        <f aca="false">IF(INDEX(customer_churn_dataset!$M$2:$M$1501,MATCH($A793,customer_churn_dataset!$A$2:$A$1501,0))=1,"Yes","No")</f>
        <v>No</v>
      </c>
      <c r="H792" s="0" t="n">
        <f aca="false">INDEX(customer_churn_dataset!$N$2:$N$1501,MATCH($A793,customer_churn_dataset!$A$2:$A$1501,0))</f>
        <v>50.95</v>
      </c>
      <c r="I792" s="0" t="n">
        <f aca="false">INDEX(customer_churn_dataset!$O$2:$O$1501,MATCH($A793,customer_churn_dataset!$A$2:$A$1501,0))</f>
        <v>1</v>
      </c>
      <c r="J792" s="0" t="n">
        <f aca="false">INDEX(customer_churn_dataset!$T$2:$T$1501,MATCH($A793,customer_churn_dataset!$A$2:$A$1501,0))</f>
        <v>6</v>
      </c>
      <c r="K792" s="0" t="str">
        <f aca="false">INDEX(customer_churn_dataset!$V$2:$V$1501,MATCH($A793,customer_churn_dataset!$A$2:$A$1501,0))</f>
        <v>High Risk</v>
      </c>
    </row>
    <row r="793" customFormat="false" ht="12.8" hidden="true" customHeight="false" outlineLevel="0" collapsed="false">
      <c r="A793" s="22" t="str">
        <f aca="false">customer_churn_dataset!A567</f>
        <v>CUST100913</v>
      </c>
      <c r="B793" s="22" t="str">
        <f aca="false">customer_churn_dataset!B567</f>
        <v>Basic</v>
      </c>
      <c r="C793" s="22" t="str">
        <f aca="false">customer_churn_dataset!C567</f>
        <v>Month-to-month</v>
      </c>
      <c r="D793" s="0" t="n">
        <f aca="false">INDEX(customer_churn_dataset!$E$2:$E$1501,MATCH($A794,customer_churn_dataset!$A$2:$A$1501,0))</f>
        <v>7</v>
      </c>
      <c r="E793" s="0" t="n">
        <f aca="false">INDEX(customer_churn_dataset!$I$2:$I$1501,MATCH($A794,customer_churn_dataset!$A$2:$A$1501,0))</f>
        <v>16</v>
      </c>
      <c r="F793" s="0" t="n">
        <f aca="false">INDEX(customer_churn_dataset!$L$2:$L$1501,MATCH($A794,customer_churn_dataset!$A$2:$A$1501,0))</f>
        <v>2</v>
      </c>
      <c r="G793" s="0" t="str">
        <f aca="false">IF(INDEX(customer_churn_dataset!$M$2:$M$1501,MATCH($A794,customer_churn_dataset!$A$2:$A$1501,0))=1,"Yes","No")</f>
        <v>No</v>
      </c>
      <c r="H793" s="0" t="n">
        <f aca="false">INDEX(customer_churn_dataset!$N$2:$N$1501,MATCH($A794,customer_churn_dataset!$A$2:$A$1501,0))</f>
        <v>140.63</v>
      </c>
      <c r="I793" s="0" t="n">
        <f aca="false">INDEX(customer_churn_dataset!$O$2:$O$1501,MATCH($A794,customer_churn_dataset!$A$2:$A$1501,0))</f>
        <v>0</v>
      </c>
      <c r="J793" s="0" t="n">
        <f aca="false">INDEX(customer_churn_dataset!$T$2:$T$1501,MATCH($A794,customer_churn_dataset!$A$2:$A$1501,0))</f>
        <v>5</v>
      </c>
      <c r="K793" s="0" t="str">
        <f aca="false">INDEX(customer_churn_dataset!$V$2:$V$1501,MATCH($A794,customer_churn_dataset!$A$2:$A$1501,0))</f>
        <v>Medium Risk</v>
      </c>
    </row>
    <row r="794" customFormat="false" ht="12.8" hidden="false" customHeight="false" outlineLevel="0" collapsed="false">
      <c r="A794" s="23" t="str">
        <f aca="false">customer_churn_dataset!A585</f>
        <v>CUST100779</v>
      </c>
      <c r="B794" s="24" t="str">
        <f aca="false">customer_churn_dataset!B585</f>
        <v>Standard</v>
      </c>
      <c r="C794" s="24" t="str">
        <f aca="false">customer_churn_dataset!C585</f>
        <v>One year</v>
      </c>
      <c r="D794" s="25" t="n">
        <f aca="false">INDEX(customer_churn_dataset!$E$2:$E$1501,MATCH($A795,customer_churn_dataset!$A$2:$A$1501,0))</f>
        <v>8</v>
      </c>
      <c r="E794" s="25" t="n">
        <f aca="false">INDEX(customer_churn_dataset!$I$2:$I$1501,MATCH($A795,customer_churn_dataset!$A$2:$A$1501,0))</f>
        <v>49.4</v>
      </c>
      <c r="F794" s="25" t="n">
        <f aca="false">INDEX(customer_churn_dataset!$L$2:$L$1501,MATCH($A795,customer_churn_dataset!$A$2:$A$1501,0))</f>
        <v>2</v>
      </c>
      <c r="G794" s="25" t="str">
        <f aca="false">IF(INDEX(customer_churn_dataset!$M$2:$M$1501,MATCH($A795,customer_churn_dataset!$A$2:$A$1501,0))=1,"Yes","No")</f>
        <v>Yes</v>
      </c>
      <c r="H794" s="25" t="n">
        <f aca="false">INDEX(customer_churn_dataset!$N$2:$N$1501,MATCH($A795,customer_churn_dataset!$A$2:$A$1501,0))</f>
        <v>72.16</v>
      </c>
      <c r="I794" s="25" t="n">
        <f aca="false">INDEX(customer_churn_dataset!$O$2:$O$1501,MATCH($A795,customer_churn_dataset!$A$2:$A$1501,0))</f>
        <v>0</v>
      </c>
      <c r="J794" s="25" t="n">
        <f aca="false">INDEX(customer_churn_dataset!$T$2:$T$1501,MATCH($A795,customer_churn_dataset!$A$2:$A$1501,0))</f>
        <v>8</v>
      </c>
      <c r="K794" s="25" t="str">
        <f aca="false">INDEX(customer_churn_dataset!$V$2:$V$1501,MATCH($A795,customer_churn_dataset!$A$2:$A$1501,0))</f>
        <v>High Risk</v>
      </c>
    </row>
    <row r="795" customFormat="false" ht="12.8" hidden="true" customHeight="false" outlineLevel="0" collapsed="false">
      <c r="A795" s="22" t="str">
        <f aca="false">customer_churn_dataset!A631</f>
        <v>CUST100237</v>
      </c>
      <c r="B795" s="22" t="str">
        <f aca="false">customer_churn_dataset!B631</f>
        <v>Basic</v>
      </c>
      <c r="C795" s="22" t="str">
        <f aca="false">customer_churn_dataset!C631</f>
        <v>Month-to-month</v>
      </c>
      <c r="D795" s="0" t="n">
        <f aca="false">INDEX(customer_churn_dataset!$E$2:$E$1501,MATCH($A796,customer_churn_dataset!$A$2:$A$1501,0))</f>
        <v>1</v>
      </c>
      <c r="E795" s="0" t="n">
        <f aca="false">INDEX(customer_churn_dataset!$I$2:$I$1501,MATCH($A796,customer_churn_dataset!$A$2:$A$1501,0))</f>
        <v>69.3</v>
      </c>
      <c r="F795" s="0" t="n">
        <f aca="false">INDEX(customer_churn_dataset!$L$2:$L$1501,MATCH($A796,customer_churn_dataset!$A$2:$A$1501,0))</f>
        <v>1</v>
      </c>
      <c r="G795" s="0" t="str">
        <f aca="false">IF(INDEX(customer_churn_dataset!$M$2:$M$1501,MATCH($A796,customer_churn_dataset!$A$2:$A$1501,0))=1,"Yes","No")</f>
        <v>Yes</v>
      </c>
      <c r="H795" s="0" t="n">
        <f aca="false">INDEX(customer_churn_dataset!$N$2:$N$1501,MATCH($A796,customer_churn_dataset!$A$2:$A$1501,0))</f>
        <v>20.51</v>
      </c>
      <c r="I795" s="0" t="n">
        <f aca="false">INDEX(customer_churn_dataset!$O$2:$O$1501,MATCH($A796,customer_churn_dataset!$A$2:$A$1501,0))</f>
        <v>1</v>
      </c>
      <c r="J795" s="0" t="n">
        <f aca="false">INDEX(customer_churn_dataset!$T$2:$T$1501,MATCH($A796,customer_churn_dataset!$A$2:$A$1501,0))</f>
        <v>6</v>
      </c>
      <c r="K795" s="0" t="str">
        <f aca="false">INDEX(customer_churn_dataset!$V$2:$V$1501,MATCH($A796,customer_churn_dataset!$A$2:$A$1501,0))</f>
        <v>High Risk</v>
      </c>
    </row>
    <row r="796" customFormat="false" ht="12.8" hidden="false" customHeight="false" outlineLevel="0" collapsed="false">
      <c r="A796" s="23" t="str">
        <f aca="false">customer_churn_dataset!A674</f>
        <v>CUST100802</v>
      </c>
      <c r="B796" s="24" t="str">
        <f aca="false">customer_churn_dataset!B674</f>
        <v>Standard</v>
      </c>
      <c r="C796" s="24" t="str">
        <f aca="false">customer_churn_dataset!C674</f>
        <v>Month-to-month</v>
      </c>
      <c r="D796" s="25" t="n">
        <f aca="false">INDEX(customer_churn_dataset!$E$2:$E$1501,MATCH($A797,customer_churn_dataset!$A$2:$A$1501,0))</f>
        <v>28</v>
      </c>
      <c r="E796" s="25" t="n">
        <f aca="false">INDEX(customer_churn_dataset!$I$2:$I$1501,MATCH($A797,customer_churn_dataset!$A$2:$A$1501,0))</f>
        <v>39.5</v>
      </c>
      <c r="F796" s="25" t="n">
        <f aca="false">INDEX(customer_churn_dataset!$L$2:$L$1501,MATCH($A797,customer_churn_dataset!$A$2:$A$1501,0))</f>
        <v>3</v>
      </c>
      <c r="G796" s="25" t="str">
        <f aca="false">IF(INDEX(customer_churn_dataset!$M$2:$M$1501,MATCH($A797,customer_churn_dataset!$A$2:$A$1501,0))=1,"Yes","No")</f>
        <v>Yes</v>
      </c>
      <c r="H796" s="25" t="n">
        <f aca="false">INDEX(customer_churn_dataset!$N$2:$N$1501,MATCH($A797,customer_churn_dataset!$A$2:$A$1501,0))</f>
        <v>256.48</v>
      </c>
      <c r="I796" s="25" t="n">
        <f aca="false">INDEX(customer_churn_dataset!$O$2:$O$1501,MATCH($A797,customer_churn_dataset!$A$2:$A$1501,0))</f>
        <v>1</v>
      </c>
      <c r="J796" s="25" t="n">
        <f aca="false">INDEX(customer_churn_dataset!$T$2:$T$1501,MATCH($A797,customer_churn_dataset!$A$2:$A$1501,0))</f>
        <v>8</v>
      </c>
      <c r="K796" s="25" t="str">
        <f aca="false">INDEX(customer_churn_dataset!$V$2:$V$1501,MATCH($A797,customer_churn_dataset!$A$2:$A$1501,0))</f>
        <v>High Risk</v>
      </c>
    </row>
    <row r="797" customFormat="false" ht="12.8" hidden="true" customHeight="false" outlineLevel="0" collapsed="false">
      <c r="A797" s="22" t="str">
        <f aca="false">customer_churn_dataset!A679</f>
        <v>CUST101291</v>
      </c>
      <c r="B797" s="22" t="str">
        <f aca="false">customer_churn_dataset!B679</f>
        <v>Basic</v>
      </c>
      <c r="C797" s="22" t="str">
        <f aca="false">customer_churn_dataset!C679</f>
        <v>Month-to-month</v>
      </c>
      <c r="D797" s="0" t="n">
        <f aca="false">INDEX(customer_churn_dataset!$E$2:$E$1501,MATCH($A798,customer_churn_dataset!$A$2:$A$1501,0))</f>
        <v>24</v>
      </c>
      <c r="E797" s="0" t="n">
        <f aca="false">INDEX(customer_churn_dataset!$I$2:$I$1501,MATCH($A798,customer_churn_dataset!$A$2:$A$1501,0))</f>
        <v>63</v>
      </c>
      <c r="F797" s="0" t="n">
        <f aca="false">INDEX(customer_churn_dataset!$L$2:$L$1501,MATCH($A798,customer_churn_dataset!$A$2:$A$1501,0))</f>
        <v>1</v>
      </c>
      <c r="G797" s="0" t="str">
        <f aca="false">IF(INDEX(customer_churn_dataset!$M$2:$M$1501,MATCH($A798,customer_churn_dataset!$A$2:$A$1501,0))=1,"Yes","No")</f>
        <v>No</v>
      </c>
      <c r="H797" s="0" t="n">
        <f aca="false">INDEX(customer_churn_dataset!$N$2:$N$1501,MATCH($A798,customer_churn_dataset!$A$2:$A$1501,0))</f>
        <v>269.52</v>
      </c>
      <c r="I797" s="0" t="n">
        <f aca="false">INDEX(customer_churn_dataset!$O$2:$O$1501,MATCH($A798,customer_churn_dataset!$A$2:$A$1501,0))</f>
        <v>0</v>
      </c>
      <c r="J797" s="0" t="n">
        <f aca="false">INDEX(customer_churn_dataset!$T$2:$T$1501,MATCH($A798,customer_churn_dataset!$A$2:$A$1501,0))</f>
        <v>2</v>
      </c>
      <c r="K797" s="0" t="str">
        <f aca="false">INDEX(customer_churn_dataset!$V$2:$V$1501,MATCH($A798,customer_churn_dataset!$A$2:$A$1501,0))</f>
        <v>Low Risk</v>
      </c>
    </row>
    <row r="798" customFormat="false" ht="12.8" hidden="false" customHeight="false" outlineLevel="0" collapsed="false">
      <c r="A798" s="23" t="str">
        <f aca="false">customer_churn_dataset!A684</f>
        <v>CUST100288</v>
      </c>
      <c r="B798" s="24" t="str">
        <f aca="false">customer_churn_dataset!B684</f>
        <v>Basic</v>
      </c>
      <c r="C798" s="24" t="str">
        <f aca="false">customer_churn_dataset!C684</f>
        <v>Month-to-month</v>
      </c>
      <c r="D798" s="25" t="n">
        <f aca="false">INDEX(customer_churn_dataset!$E$2:$E$1501,MATCH($A799,customer_churn_dataset!$A$2:$A$1501,0))</f>
        <v>4</v>
      </c>
      <c r="E798" s="25" t="n">
        <f aca="false">INDEX(customer_churn_dataset!$I$2:$I$1501,MATCH($A799,customer_churn_dataset!$A$2:$A$1501,0))</f>
        <v>14.7</v>
      </c>
      <c r="F798" s="25" t="n">
        <f aca="false">INDEX(customer_churn_dataset!$L$2:$L$1501,MATCH($A799,customer_churn_dataset!$A$2:$A$1501,0))</f>
        <v>1</v>
      </c>
      <c r="G798" s="25" t="str">
        <f aca="false">IF(INDEX(customer_churn_dataset!$M$2:$M$1501,MATCH($A799,customer_churn_dataset!$A$2:$A$1501,0))=1,"Yes","No")</f>
        <v>Yes</v>
      </c>
      <c r="H798" s="25" t="n">
        <f aca="false">INDEX(customer_churn_dataset!$N$2:$N$1501,MATCH($A799,customer_churn_dataset!$A$2:$A$1501,0))</f>
        <v>81.8</v>
      </c>
      <c r="I798" s="25" t="n">
        <f aca="false">INDEX(customer_churn_dataset!$O$2:$O$1501,MATCH($A799,customer_churn_dataset!$A$2:$A$1501,0))</f>
        <v>0</v>
      </c>
      <c r="J798" s="25" t="n">
        <f aca="false">INDEX(customer_churn_dataset!$T$2:$T$1501,MATCH($A799,customer_churn_dataset!$A$2:$A$1501,0))</f>
        <v>8</v>
      </c>
      <c r="K798" s="25" t="str">
        <f aca="false">INDEX(customer_churn_dataset!$V$2:$V$1501,MATCH($A799,customer_churn_dataset!$A$2:$A$1501,0))</f>
        <v>High Risk</v>
      </c>
    </row>
    <row r="799" customFormat="false" ht="12.8" hidden="true" customHeight="false" outlineLevel="0" collapsed="false">
      <c r="A799" s="22" t="str">
        <f aca="false">customer_churn_dataset!A704</f>
        <v>CUST101471</v>
      </c>
      <c r="B799" s="22" t="str">
        <f aca="false">customer_churn_dataset!B704</f>
        <v>Standard</v>
      </c>
      <c r="C799" s="22" t="str">
        <f aca="false">customer_churn_dataset!C704</f>
        <v>Month-to-month</v>
      </c>
      <c r="D799" s="0" t="n">
        <f aca="false">INDEX(customer_churn_dataset!$E$2:$E$1501,MATCH($A800,customer_churn_dataset!$A$2:$A$1501,0))</f>
        <v>40</v>
      </c>
      <c r="E799" s="0" t="n">
        <f aca="false">INDEX(customer_churn_dataset!$I$2:$I$1501,MATCH($A800,customer_churn_dataset!$A$2:$A$1501,0))</f>
        <v>74.9</v>
      </c>
      <c r="F799" s="0" t="n">
        <f aca="false">INDEX(customer_churn_dataset!$L$2:$L$1501,MATCH($A800,customer_churn_dataset!$A$2:$A$1501,0))</f>
        <v>0</v>
      </c>
      <c r="G799" s="0" t="str">
        <f aca="false">IF(INDEX(customer_churn_dataset!$M$2:$M$1501,MATCH($A800,customer_churn_dataset!$A$2:$A$1501,0))=1,"Yes","No")</f>
        <v>No</v>
      </c>
      <c r="H799" s="0" t="n">
        <f aca="false">INDEX(customer_churn_dataset!$N$2:$N$1501,MATCH($A800,customer_churn_dataset!$A$2:$A$1501,0))</f>
        <v>812.8</v>
      </c>
      <c r="I799" s="0" t="n">
        <f aca="false">INDEX(customer_churn_dataset!$O$2:$O$1501,MATCH($A800,customer_churn_dataset!$A$2:$A$1501,0))</f>
        <v>0</v>
      </c>
      <c r="J799" s="0" t="n">
        <f aca="false">INDEX(customer_churn_dataset!$T$2:$T$1501,MATCH($A800,customer_churn_dataset!$A$2:$A$1501,0))</f>
        <v>2</v>
      </c>
      <c r="K799" s="0" t="str">
        <f aca="false">INDEX(customer_churn_dataset!$V$2:$V$1501,MATCH($A800,customer_churn_dataset!$A$2:$A$1501,0))</f>
        <v>Low Risk</v>
      </c>
    </row>
    <row r="800" customFormat="false" ht="12.8" hidden="true" customHeight="false" outlineLevel="0" collapsed="false">
      <c r="A800" s="22" t="str">
        <f aca="false">customer_churn_dataset!A708</f>
        <v>CUST101398</v>
      </c>
      <c r="B800" s="22" t="str">
        <f aca="false">customer_churn_dataset!B708</f>
        <v>Standard</v>
      </c>
      <c r="C800" s="22" t="str">
        <f aca="false">customer_churn_dataset!C708</f>
        <v>Month-to-month</v>
      </c>
      <c r="D800" s="0" t="n">
        <f aca="false">INDEX(customer_churn_dataset!$E$2:$E$1501,MATCH($A801,customer_churn_dataset!$A$2:$A$1501,0))</f>
        <v>41</v>
      </c>
      <c r="E800" s="0" t="n">
        <f aca="false">INDEX(customer_churn_dataset!$I$2:$I$1501,MATCH($A801,customer_churn_dataset!$A$2:$A$1501,0))</f>
        <v>69.1</v>
      </c>
      <c r="F800" s="0" t="n">
        <f aca="false">INDEX(customer_churn_dataset!$L$2:$L$1501,MATCH($A801,customer_churn_dataset!$A$2:$A$1501,0))</f>
        <v>2</v>
      </c>
      <c r="G800" s="0" t="str">
        <f aca="false">IF(INDEX(customer_churn_dataset!$M$2:$M$1501,MATCH($A801,customer_churn_dataset!$A$2:$A$1501,0))=1,"Yes","No")</f>
        <v>Yes</v>
      </c>
      <c r="H800" s="0" t="n">
        <f aca="false">INDEX(customer_churn_dataset!$N$2:$N$1501,MATCH($A801,customer_churn_dataset!$A$2:$A$1501,0))</f>
        <v>432.55</v>
      </c>
      <c r="I800" s="0" t="n">
        <f aca="false">INDEX(customer_churn_dataset!$O$2:$O$1501,MATCH($A801,customer_churn_dataset!$A$2:$A$1501,0))</f>
        <v>0</v>
      </c>
      <c r="J800" s="0" t="n">
        <f aca="false">INDEX(customer_churn_dataset!$T$2:$T$1501,MATCH($A801,customer_churn_dataset!$A$2:$A$1501,0))</f>
        <v>6</v>
      </c>
      <c r="K800" s="0" t="str">
        <f aca="false">INDEX(customer_churn_dataset!$V$2:$V$1501,MATCH($A801,customer_churn_dataset!$A$2:$A$1501,0))</f>
        <v>High Risk</v>
      </c>
    </row>
    <row r="801" customFormat="false" ht="12.8" hidden="true" customHeight="false" outlineLevel="0" collapsed="false">
      <c r="A801" s="22" t="str">
        <f aca="false">customer_churn_dataset!A768</f>
        <v>CUST100804</v>
      </c>
      <c r="B801" s="22" t="str">
        <f aca="false">customer_churn_dataset!B768</f>
        <v>Basic</v>
      </c>
      <c r="C801" s="22" t="str">
        <f aca="false">customer_churn_dataset!C768</f>
        <v>Month-to-month</v>
      </c>
      <c r="D801" s="0" t="n">
        <f aca="false">INDEX(customer_churn_dataset!$E$2:$E$1501,MATCH($A802,customer_churn_dataset!$A$2:$A$1501,0))</f>
        <v>15</v>
      </c>
      <c r="E801" s="0" t="n">
        <f aca="false">INDEX(customer_churn_dataset!$I$2:$I$1501,MATCH($A802,customer_churn_dataset!$A$2:$A$1501,0))</f>
        <v>42.8</v>
      </c>
      <c r="F801" s="0" t="n">
        <f aca="false">INDEX(customer_churn_dataset!$L$2:$L$1501,MATCH($A802,customer_churn_dataset!$A$2:$A$1501,0))</f>
        <v>1</v>
      </c>
      <c r="G801" s="0" t="str">
        <f aca="false">IF(INDEX(customer_churn_dataset!$M$2:$M$1501,MATCH($A802,customer_churn_dataset!$A$2:$A$1501,0))=1,"Yes","No")</f>
        <v>No</v>
      </c>
      <c r="H801" s="0" t="n">
        <f aca="false">INDEX(customer_churn_dataset!$N$2:$N$1501,MATCH($A802,customer_churn_dataset!$A$2:$A$1501,0))</f>
        <v>607.5</v>
      </c>
      <c r="I801" s="0" t="n">
        <f aca="false">INDEX(customer_churn_dataset!$O$2:$O$1501,MATCH($A802,customer_churn_dataset!$A$2:$A$1501,0))</f>
        <v>0</v>
      </c>
      <c r="J801" s="0" t="n">
        <f aca="false">INDEX(customer_churn_dataset!$T$2:$T$1501,MATCH($A802,customer_churn_dataset!$A$2:$A$1501,0))</f>
        <v>2</v>
      </c>
      <c r="K801" s="0" t="str">
        <f aca="false">INDEX(customer_churn_dataset!$V$2:$V$1501,MATCH($A802,customer_churn_dataset!$A$2:$A$1501,0))</f>
        <v>Low Risk</v>
      </c>
    </row>
    <row r="802" customFormat="false" ht="12.8" hidden="false" customHeight="false" outlineLevel="0" collapsed="false">
      <c r="A802" s="23" t="str">
        <f aca="false">customer_churn_dataset!A775</f>
        <v>CUST100376</v>
      </c>
      <c r="B802" s="24" t="str">
        <f aca="false">customer_churn_dataset!B775</f>
        <v>Premium</v>
      </c>
      <c r="C802" s="24" t="str">
        <f aca="false">customer_churn_dataset!C775</f>
        <v>One year</v>
      </c>
      <c r="D802" s="25" t="n">
        <f aca="false">INDEX(customer_churn_dataset!$E$2:$E$1501,MATCH($A803,customer_churn_dataset!$A$2:$A$1501,0))</f>
        <v>9</v>
      </c>
      <c r="E802" s="25" t="n">
        <f aca="false">INDEX(customer_churn_dataset!$I$2:$I$1501,MATCH($A803,customer_churn_dataset!$A$2:$A$1501,0))</f>
        <v>12.3</v>
      </c>
      <c r="F802" s="25" t="n">
        <f aca="false">INDEX(customer_churn_dataset!$L$2:$L$1501,MATCH($A803,customer_churn_dataset!$A$2:$A$1501,0))</f>
        <v>3</v>
      </c>
      <c r="G802" s="25" t="str">
        <f aca="false">IF(INDEX(customer_churn_dataset!$M$2:$M$1501,MATCH($A803,customer_churn_dataset!$A$2:$A$1501,0))=1,"Yes","No")</f>
        <v>Yes</v>
      </c>
      <c r="H802" s="25" t="n">
        <f aca="false">INDEX(customer_churn_dataset!$N$2:$N$1501,MATCH($A803,customer_churn_dataset!$A$2:$A$1501,0))</f>
        <v>180.63</v>
      </c>
      <c r="I802" s="25" t="n">
        <f aca="false">INDEX(customer_churn_dataset!$O$2:$O$1501,MATCH($A803,customer_churn_dataset!$A$2:$A$1501,0))</f>
        <v>1</v>
      </c>
      <c r="J802" s="25" t="n">
        <f aca="false">INDEX(customer_churn_dataset!$T$2:$T$1501,MATCH($A803,customer_churn_dataset!$A$2:$A$1501,0))</f>
        <v>9</v>
      </c>
      <c r="K802" s="25" t="str">
        <f aca="false">INDEX(customer_churn_dataset!$V$2:$V$1501,MATCH($A803,customer_churn_dataset!$A$2:$A$1501,0))</f>
        <v>High Risk</v>
      </c>
    </row>
    <row r="803" customFormat="false" ht="12.8" hidden="true" customHeight="false" outlineLevel="0" collapsed="false">
      <c r="A803" s="22" t="str">
        <f aca="false">customer_churn_dataset!A789</f>
        <v>CUST101457</v>
      </c>
      <c r="B803" s="22" t="str">
        <f aca="false">customer_churn_dataset!B789</f>
        <v>Standard</v>
      </c>
      <c r="C803" s="22" t="str">
        <f aca="false">customer_churn_dataset!C789</f>
        <v>Month-to-month</v>
      </c>
      <c r="D803" s="0" t="n">
        <f aca="false">INDEX(customer_churn_dataset!$E$2:$E$1501,MATCH($A804,customer_churn_dataset!$A$2:$A$1501,0))</f>
        <v>10</v>
      </c>
      <c r="E803" s="0" t="n">
        <f aca="false">INDEX(customer_churn_dataset!$I$2:$I$1501,MATCH($A804,customer_churn_dataset!$A$2:$A$1501,0))</f>
        <v>50</v>
      </c>
      <c r="F803" s="0" t="n">
        <f aca="false">INDEX(customer_churn_dataset!$L$2:$L$1501,MATCH($A804,customer_churn_dataset!$A$2:$A$1501,0))</f>
        <v>1</v>
      </c>
      <c r="G803" s="0" t="str">
        <f aca="false">IF(INDEX(customer_churn_dataset!$M$2:$M$1501,MATCH($A804,customer_churn_dataset!$A$2:$A$1501,0))=1,"Yes","No")</f>
        <v>No</v>
      </c>
      <c r="H803" s="0" t="n">
        <f aca="false">INDEX(customer_churn_dataset!$N$2:$N$1501,MATCH($A804,customer_churn_dataset!$A$2:$A$1501,0))</f>
        <v>212.9</v>
      </c>
      <c r="I803" s="0" t="n">
        <f aca="false">INDEX(customer_churn_dataset!$O$2:$O$1501,MATCH($A804,customer_churn_dataset!$A$2:$A$1501,0))</f>
        <v>1</v>
      </c>
      <c r="J803" s="0" t="n">
        <f aca="false">INDEX(customer_churn_dataset!$T$2:$T$1501,MATCH($A804,customer_churn_dataset!$A$2:$A$1501,0))</f>
        <v>4</v>
      </c>
      <c r="K803" s="0" t="str">
        <f aca="false">INDEX(customer_churn_dataset!$V$2:$V$1501,MATCH($A804,customer_churn_dataset!$A$2:$A$1501,0))</f>
        <v>Medium Risk</v>
      </c>
    </row>
    <row r="804" customFormat="false" ht="12.8" hidden="true" customHeight="false" outlineLevel="0" collapsed="false">
      <c r="A804" s="22" t="str">
        <f aca="false">customer_churn_dataset!A800</f>
        <v>CUST100504</v>
      </c>
      <c r="B804" s="22" t="str">
        <f aca="false">customer_churn_dataset!B800</f>
        <v>Standard</v>
      </c>
      <c r="C804" s="22" t="str">
        <f aca="false">customer_churn_dataset!C800</f>
        <v>Month-to-month</v>
      </c>
      <c r="D804" s="0" t="n">
        <f aca="false">INDEX(customer_churn_dataset!$E$2:$E$1501,MATCH($A805,customer_churn_dataset!$A$2:$A$1501,0))</f>
        <v>26</v>
      </c>
      <c r="E804" s="0" t="n">
        <f aca="false">INDEX(customer_churn_dataset!$I$2:$I$1501,MATCH($A805,customer_churn_dataset!$A$2:$A$1501,0))</f>
        <v>60.7</v>
      </c>
      <c r="F804" s="0" t="n">
        <f aca="false">INDEX(customer_churn_dataset!$L$2:$L$1501,MATCH($A805,customer_churn_dataset!$A$2:$A$1501,0))</f>
        <v>3</v>
      </c>
      <c r="G804" s="0" t="str">
        <f aca="false">IF(INDEX(customer_churn_dataset!$M$2:$M$1501,MATCH($A805,customer_churn_dataset!$A$2:$A$1501,0))=1,"Yes","No")</f>
        <v>No</v>
      </c>
      <c r="H804" s="0" t="n">
        <f aca="false">INDEX(customer_churn_dataset!$N$2:$N$1501,MATCH($A805,customer_churn_dataset!$A$2:$A$1501,0))</f>
        <v>543.92</v>
      </c>
      <c r="I804" s="0" t="n">
        <f aca="false">INDEX(customer_churn_dataset!$O$2:$O$1501,MATCH($A805,customer_churn_dataset!$A$2:$A$1501,0))</f>
        <v>0</v>
      </c>
      <c r="J804" s="0" t="n">
        <f aca="false">INDEX(customer_churn_dataset!$T$2:$T$1501,MATCH($A805,customer_churn_dataset!$A$2:$A$1501,0))</f>
        <v>3</v>
      </c>
      <c r="K804" s="0" t="str">
        <f aca="false">INDEX(customer_churn_dataset!$V$2:$V$1501,MATCH($A805,customer_churn_dataset!$A$2:$A$1501,0))</f>
        <v>Medium Risk</v>
      </c>
    </row>
    <row r="805" customFormat="false" ht="12.8" hidden="true" customHeight="false" outlineLevel="0" collapsed="false">
      <c r="A805" s="22" t="str">
        <f aca="false">customer_churn_dataset!A815</f>
        <v>CUST100325</v>
      </c>
      <c r="B805" s="22" t="str">
        <f aca="false">customer_churn_dataset!B815</f>
        <v>Standard</v>
      </c>
      <c r="C805" s="22" t="str">
        <f aca="false">customer_churn_dataset!C815</f>
        <v>Month-to-month</v>
      </c>
      <c r="D805" s="0" t="n">
        <f aca="false">INDEX(customer_churn_dataset!$E$2:$E$1501,MATCH($A806,customer_churn_dataset!$A$2:$A$1501,0))</f>
        <v>13</v>
      </c>
      <c r="E805" s="0" t="n">
        <f aca="false">INDEX(customer_churn_dataset!$I$2:$I$1501,MATCH($A806,customer_churn_dataset!$A$2:$A$1501,0))</f>
        <v>58.2</v>
      </c>
      <c r="F805" s="0" t="n">
        <f aca="false">INDEX(customer_churn_dataset!$L$2:$L$1501,MATCH($A806,customer_churn_dataset!$A$2:$A$1501,0))</f>
        <v>0</v>
      </c>
      <c r="G805" s="0" t="str">
        <f aca="false">IF(INDEX(customer_churn_dataset!$M$2:$M$1501,MATCH($A806,customer_churn_dataset!$A$2:$A$1501,0))=1,"Yes","No")</f>
        <v>No</v>
      </c>
      <c r="H805" s="0" t="n">
        <f aca="false">INDEX(customer_churn_dataset!$N$2:$N$1501,MATCH($A806,customer_churn_dataset!$A$2:$A$1501,0))</f>
        <v>124.28</v>
      </c>
      <c r="I805" s="0" t="n">
        <f aca="false">INDEX(customer_churn_dataset!$O$2:$O$1501,MATCH($A806,customer_churn_dataset!$A$2:$A$1501,0))</f>
        <v>0</v>
      </c>
      <c r="J805" s="0" t="n">
        <f aca="false">INDEX(customer_churn_dataset!$T$2:$T$1501,MATCH($A806,customer_churn_dataset!$A$2:$A$1501,0))</f>
        <v>0</v>
      </c>
      <c r="K805" s="0" t="str">
        <f aca="false">INDEX(customer_churn_dataset!$V$2:$V$1501,MATCH($A806,customer_churn_dataset!$A$2:$A$1501,0))</f>
        <v>Low Risk</v>
      </c>
    </row>
    <row r="806" customFormat="false" ht="12.8" hidden="true" customHeight="false" outlineLevel="0" collapsed="false">
      <c r="A806" s="22" t="str">
        <f aca="false">customer_churn_dataset!A817</f>
        <v>CUST101028</v>
      </c>
      <c r="B806" s="22" t="str">
        <f aca="false">customer_churn_dataset!B817</f>
        <v>Basic</v>
      </c>
      <c r="C806" s="22" t="str">
        <f aca="false">customer_churn_dataset!C817</f>
        <v>Two year</v>
      </c>
      <c r="D806" s="0" t="n">
        <f aca="false">INDEX(customer_churn_dataset!$E$2:$E$1501,MATCH($A807,customer_churn_dataset!$A$2:$A$1501,0))</f>
        <v>5</v>
      </c>
      <c r="E806" s="0" t="n">
        <f aca="false">INDEX(customer_churn_dataset!$I$2:$I$1501,MATCH($A807,customer_churn_dataset!$A$2:$A$1501,0))</f>
        <v>40.9</v>
      </c>
      <c r="F806" s="0" t="n">
        <f aca="false">INDEX(customer_churn_dataset!$L$2:$L$1501,MATCH($A807,customer_churn_dataset!$A$2:$A$1501,0))</f>
        <v>1</v>
      </c>
      <c r="G806" s="0" t="str">
        <f aca="false">IF(INDEX(customer_churn_dataset!$M$2:$M$1501,MATCH($A807,customer_churn_dataset!$A$2:$A$1501,0))=1,"Yes","No")</f>
        <v>Yes</v>
      </c>
      <c r="H806" s="0" t="n">
        <f aca="false">INDEX(customer_churn_dataset!$N$2:$N$1501,MATCH($A807,customer_churn_dataset!$A$2:$A$1501,0))</f>
        <v>53.6</v>
      </c>
      <c r="I806" s="0" t="n">
        <f aca="false">INDEX(customer_churn_dataset!$O$2:$O$1501,MATCH($A807,customer_churn_dataset!$A$2:$A$1501,0))</f>
        <v>0</v>
      </c>
      <c r="J806" s="0" t="n">
        <f aca="false">INDEX(customer_churn_dataset!$T$2:$T$1501,MATCH($A807,customer_churn_dataset!$A$2:$A$1501,0))</f>
        <v>6</v>
      </c>
      <c r="K806" s="0" t="str">
        <f aca="false">INDEX(customer_churn_dataset!$V$2:$V$1501,MATCH($A807,customer_churn_dataset!$A$2:$A$1501,0))</f>
        <v>High Risk</v>
      </c>
    </row>
    <row r="807" customFormat="false" ht="12.8" hidden="true" customHeight="false" outlineLevel="0" collapsed="false">
      <c r="A807" s="22" t="str">
        <f aca="false">customer_churn_dataset!A847</f>
        <v>CUST101075</v>
      </c>
      <c r="B807" s="22" t="str">
        <f aca="false">customer_churn_dataset!B847</f>
        <v>Basic</v>
      </c>
      <c r="C807" s="22" t="str">
        <f aca="false">customer_churn_dataset!C847</f>
        <v>One year</v>
      </c>
      <c r="D807" s="0" t="n">
        <f aca="false">INDEX(customer_churn_dataset!$E$2:$E$1501,MATCH($A808,customer_churn_dataset!$A$2:$A$1501,0))</f>
        <v>4</v>
      </c>
      <c r="E807" s="0" t="n">
        <f aca="false">INDEX(customer_churn_dataset!$I$2:$I$1501,MATCH($A808,customer_churn_dataset!$A$2:$A$1501,0))</f>
        <v>67.8</v>
      </c>
      <c r="F807" s="0" t="n">
        <f aca="false">INDEX(customer_churn_dataset!$L$2:$L$1501,MATCH($A808,customer_churn_dataset!$A$2:$A$1501,0))</f>
        <v>2</v>
      </c>
      <c r="G807" s="0" t="str">
        <f aca="false">IF(INDEX(customer_churn_dataset!$M$2:$M$1501,MATCH($A808,customer_churn_dataset!$A$2:$A$1501,0))=1,"Yes","No")</f>
        <v>No</v>
      </c>
      <c r="H807" s="0" t="n">
        <f aca="false">INDEX(customer_churn_dataset!$N$2:$N$1501,MATCH($A808,customer_churn_dataset!$A$2:$A$1501,0))</f>
        <v>77.32</v>
      </c>
      <c r="I807" s="0" t="n">
        <f aca="false">INDEX(customer_churn_dataset!$O$2:$O$1501,MATCH($A808,customer_churn_dataset!$A$2:$A$1501,0))</f>
        <v>0</v>
      </c>
      <c r="J807" s="0" t="n">
        <f aca="false">INDEX(customer_churn_dataset!$T$2:$T$1501,MATCH($A808,customer_churn_dataset!$A$2:$A$1501,0))</f>
        <v>4</v>
      </c>
      <c r="K807" s="0" t="str">
        <f aca="false">INDEX(customer_churn_dataset!$V$2:$V$1501,MATCH($A808,customer_churn_dataset!$A$2:$A$1501,0))</f>
        <v>Medium Risk</v>
      </c>
    </row>
    <row r="808" customFormat="false" ht="12.8" hidden="true" customHeight="false" outlineLevel="0" collapsed="false">
      <c r="A808" s="22" t="str">
        <f aca="false">customer_churn_dataset!A897</f>
        <v>CUST100047</v>
      </c>
      <c r="B808" s="22" t="str">
        <f aca="false">customer_churn_dataset!B897</f>
        <v>Standard</v>
      </c>
      <c r="C808" s="22" t="str">
        <f aca="false">customer_churn_dataset!C897</f>
        <v>Month-to-month</v>
      </c>
      <c r="D808" s="0" t="n">
        <f aca="false">INDEX(customer_churn_dataset!$E$2:$E$1501,MATCH($A809,customer_churn_dataset!$A$2:$A$1501,0))</f>
        <v>42</v>
      </c>
      <c r="E808" s="0" t="n">
        <f aca="false">INDEX(customer_churn_dataset!$I$2:$I$1501,MATCH($A809,customer_churn_dataset!$A$2:$A$1501,0))</f>
        <v>69.7</v>
      </c>
      <c r="F808" s="0" t="n">
        <f aca="false">INDEX(customer_churn_dataset!$L$2:$L$1501,MATCH($A809,customer_churn_dataset!$A$2:$A$1501,0))</f>
        <v>1</v>
      </c>
      <c r="G808" s="0" t="str">
        <f aca="false">IF(INDEX(customer_churn_dataset!$M$2:$M$1501,MATCH($A809,customer_churn_dataset!$A$2:$A$1501,0))=1,"Yes","No")</f>
        <v>Yes</v>
      </c>
      <c r="H808" s="0" t="n">
        <f aca="false">INDEX(customer_churn_dataset!$N$2:$N$1501,MATCH($A809,customer_churn_dataset!$A$2:$A$1501,0))</f>
        <v>863.1</v>
      </c>
      <c r="I808" s="0" t="n">
        <f aca="false">INDEX(customer_churn_dataset!$O$2:$O$1501,MATCH($A809,customer_churn_dataset!$A$2:$A$1501,0))</f>
        <v>0</v>
      </c>
      <c r="J808" s="0" t="n">
        <f aca="false">INDEX(customer_churn_dataset!$T$2:$T$1501,MATCH($A809,customer_churn_dataset!$A$2:$A$1501,0))</f>
        <v>5</v>
      </c>
      <c r="K808" s="0" t="str">
        <f aca="false">INDEX(customer_churn_dataset!$V$2:$V$1501,MATCH($A809,customer_churn_dataset!$A$2:$A$1501,0))</f>
        <v>Medium Risk</v>
      </c>
    </row>
    <row r="809" customFormat="false" ht="12.8" hidden="true" customHeight="false" outlineLevel="0" collapsed="false">
      <c r="A809" s="22" t="str">
        <f aca="false">customer_churn_dataset!A928</f>
        <v>CUST100153</v>
      </c>
      <c r="B809" s="22" t="str">
        <f aca="false">customer_churn_dataset!B928</f>
        <v>Standard</v>
      </c>
      <c r="C809" s="22" t="str">
        <f aca="false">customer_churn_dataset!C928</f>
        <v>Month-to-month</v>
      </c>
      <c r="D809" s="0" t="n">
        <f aca="false">INDEX(customer_churn_dataset!$E$2:$E$1501,MATCH($A810,customer_churn_dataset!$A$2:$A$1501,0))</f>
        <v>0</v>
      </c>
      <c r="E809" s="0" t="n">
        <f aca="false">INDEX(customer_churn_dataset!$I$2:$I$1501,MATCH($A810,customer_churn_dataset!$A$2:$A$1501,0))</f>
        <v>65.1</v>
      </c>
      <c r="F809" s="0" t="n">
        <f aca="false">INDEX(customer_churn_dataset!$L$2:$L$1501,MATCH($A810,customer_churn_dataset!$A$2:$A$1501,0))</f>
        <v>0</v>
      </c>
      <c r="G809" s="0" t="str">
        <f aca="false">IF(INDEX(customer_churn_dataset!$M$2:$M$1501,MATCH($A810,customer_churn_dataset!$A$2:$A$1501,0))=1,"Yes","No")</f>
        <v>No</v>
      </c>
      <c r="H809" s="0" t="n">
        <f aca="false">INDEX(customer_churn_dataset!$N$2:$N$1501,MATCH($A810,customer_churn_dataset!$A$2:$A$1501,0))</f>
        <v>0</v>
      </c>
      <c r="I809" s="0" t="n">
        <f aca="false">INDEX(customer_churn_dataset!$O$2:$O$1501,MATCH($A810,customer_churn_dataset!$A$2:$A$1501,0))</f>
        <v>0</v>
      </c>
      <c r="J809" s="0" t="n">
        <f aca="false">INDEX(customer_churn_dataset!$T$2:$T$1501,MATCH($A810,customer_churn_dataset!$A$2:$A$1501,0))</f>
        <v>1</v>
      </c>
      <c r="K809" s="0" t="str">
        <f aca="false">INDEX(customer_churn_dataset!$V$2:$V$1501,MATCH($A810,customer_churn_dataset!$A$2:$A$1501,0))</f>
        <v>Low Risk</v>
      </c>
    </row>
    <row r="810" customFormat="false" ht="12.8" hidden="true" customHeight="false" outlineLevel="0" collapsed="false">
      <c r="A810" s="22" t="str">
        <f aca="false">customer_churn_dataset!A934</f>
        <v>CUST100203</v>
      </c>
      <c r="B810" s="22" t="str">
        <f aca="false">customer_churn_dataset!B934</f>
        <v>Premium</v>
      </c>
      <c r="C810" s="22" t="str">
        <f aca="false">customer_churn_dataset!C934</f>
        <v>Two year</v>
      </c>
      <c r="D810" s="0" t="n">
        <f aca="false">INDEX(customer_churn_dataset!$E$2:$E$1501,MATCH($A811,customer_churn_dataset!$A$2:$A$1501,0))</f>
        <v>32</v>
      </c>
      <c r="E810" s="0" t="n">
        <f aca="false">INDEX(customer_churn_dataset!$I$2:$I$1501,MATCH($A811,customer_churn_dataset!$A$2:$A$1501,0))</f>
        <v>32.3</v>
      </c>
      <c r="F810" s="0" t="n">
        <f aca="false">INDEX(customer_churn_dataset!$L$2:$L$1501,MATCH($A811,customer_churn_dataset!$A$2:$A$1501,0))</f>
        <v>1</v>
      </c>
      <c r="G810" s="0" t="str">
        <f aca="false">IF(INDEX(customer_churn_dataset!$M$2:$M$1501,MATCH($A811,customer_churn_dataset!$A$2:$A$1501,0))=1,"Yes","No")</f>
        <v>No</v>
      </c>
      <c r="H810" s="0" t="n">
        <f aca="false">INDEX(customer_churn_dataset!$N$2:$N$1501,MATCH($A811,customer_churn_dataset!$A$2:$A$1501,0))</f>
        <v>661.44</v>
      </c>
      <c r="I810" s="0" t="n">
        <f aca="false">INDEX(customer_churn_dataset!$O$2:$O$1501,MATCH($A811,customer_churn_dataset!$A$2:$A$1501,0))</f>
        <v>1</v>
      </c>
      <c r="J810" s="0" t="n">
        <f aca="false">INDEX(customer_churn_dataset!$T$2:$T$1501,MATCH($A811,customer_churn_dataset!$A$2:$A$1501,0))</f>
        <v>4</v>
      </c>
      <c r="K810" s="0" t="str">
        <f aca="false">INDEX(customer_churn_dataset!$V$2:$V$1501,MATCH($A811,customer_churn_dataset!$A$2:$A$1501,0))</f>
        <v>Medium Risk</v>
      </c>
    </row>
    <row r="811" customFormat="false" ht="12.8" hidden="true" customHeight="false" outlineLevel="0" collapsed="false">
      <c r="A811" s="22" t="str">
        <f aca="false">customer_churn_dataset!A943</f>
        <v>CUST100220</v>
      </c>
      <c r="B811" s="22" t="str">
        <f aca="false">customer_churn_dataset!B943</f>
        <v>Standard</v>
      </c>
      <c r="C811" s="22" t="str">
        <f aca="false">customer_churn_dataset!C943</f>
        <v>Month-to-month</v>
      </c>
      <c r="D811" s="0" t="n">
        <f aca="false">INDEX(customer_churn_dataset!$E$2:$E$1501,MATCH($A812,customer_churn_dataset!$A$2:$A$1501,0))</f>
        <v>8</v>
      </c>
      <c r="E811" s="0" t="n">
        <f aca="false">INDEX(customer_churn_dataset!$I$2:$I$1501,MATCH($A812,customer_churn_dataset!$A$2:$A$1501,0))</f>
        <v>69.1</v>
      </c>
      <c r="F811" s="0" t="n">
        <f aca="false">INDEX(customer_churn_dataset!$L$2:$L$1501,MATCH($A812,customer_churn_dataset!$A$2:$A$1501,0))</f>
        <v>2</v>
      </c>
      <c r="G811" s="0" t="str">
        <f aca="false">IF(INDEX(customer_churn_dataset!$M$2:$M$1501,MATCH($A812,customer_churn_dataset!$A$2:$A$1501,0))=1,"Yes","No")</f>
        <v>Yes</v>
      </c>
      <c r="H811" s="0" t="n">
        <f aca="false">INDEX(customer_churn_dataset!$N$2:$N$1501,MATCH($A812,customer_churn_dataset!$A$2:$A$1501,0))</f>
        <v>160.4</v>
      </c>
      <c r="I811" s="0" t="n">
        <f aca="false">INDEX(customer_churn_dataset!$O$2:$O$1501,MATCH($A812,customer_churn_dataset!$A$2:$A$1501,0))</f>
        <v>0</v>
      </c>
      <c r="J811" s="0" t="n">
        <f aca="false">INDEX(customer_churn_dataset!$T$2:$T$1501,MATCH($A812,customer_churn_dataset!$A$2:$A$1501,0))</f>
        <v>6</v>
      </c>
      <c r="K811" s="0" t="str">
        <f aca="false">INDEX(customer_churn_dataset!$V$2:$V$1501,MATCH($A812,customer_churn_dataset!$A$2:$A$1501,0))</f>
        <v>High Risk</v>
      </c>
    </row>
    <row r="812" customFormat="false" ht="12.8" hidden="true" customHeight="false" outlineLevel="0" collapsed="false">
      <c r="A812" s="22" t="str">
        <f aca="false">customer_churn_dataset!A975</f>
        <v>CUST101433</v>
      </c>
      <c r="B812" s="22" t="str">
        <f aca="false">customer_churn_dataset!B975</f>
        <v>Standard</v>
      </c>
      <c r="C812" s="22" t="str">
        <f aca="false">customer_churn_dataset!C975</f>
        <v>One year</v>
      </c>
      <c r="D812" s="0" t="n">
        <f aca="false">INDEX(customer_churn_dataset!$E$2:$E$1501,MATCH($A813,customer_churn_dataset!$A$2:$A$1501,0))</f>
        <v>3</v>
      </c>
      <c r="E812" s="0" t="n">
        <f aca="false">INDEX(customer_churn_dataset!$I$2:$I$1501,MATCH($A813,customer_churn_dataset!$A$2:$A$1501,0))</f>
        <v>40</v>
      </c>
      <c r="F812" s="0" t="n">
        <f aca="false">INDEX(customer_churn_dataset!$L$2:$L$1501,MATCH($A813,customer_churn_dataset!$A$2:$A$1501,0))</f>
        <v>1</v>
      </c>
      <c r="G812" s="0" t="str">
        <f aca="false">IF(INDEX(customer_churn_dataset!$M$2:$M$1501,MATCH($A813,customer_churn_dataset!$A$2:$A$1501,0))=1,"Yes","No")</f>
        <v>No</v>
      </c>
      <c r="H812" s="0" t="n">
        <f aca="false">INDEX(customer_churn_dataset!$N$2:$N$1501,MATCH($A813,customer_churn_dataset!$A$2:$A$1501,0))</f>
        <v>32.61</v>
      </c>
      <c r="I812" s="0" t="n">
        <f aca="false">INDEX(customer_churn_dataset!$O$2:$O$1501,MATCH($A813,customer_churn_dataset!$A$2:$A$1501,0))</f>
        <v>0</v>
      </c>
      <c r="J812" s="0" t="n">
        <f aca="false">INDEX(customer_churn_dataset!$T$2:$T$1501,MATCH($A813,customer_churn_dataset!$A$2:$A$1501,0))</f>
        <v>3</v>
      </c>
      <c r="K812" s="0" t="str">
        <f aca="false">INDEX(customer_churn_dataset!$V$2:$V$1501,MATCH($A813,customer_churn_dataset!$A$2:$A$1501,0))</f>
        <v>Medium Risk</v>
      </c>
    </row>
    <row r="813" customFormat="false" ht="12.8" hidden="true" customHeight="false" outlineLevel="0" collapsed="false">
      <c r="A813" s="22" t="str">
        <f aca="false">customer_churn_dataset!A984</f>
        <v>CUST100452</v>
      </c>
      <c r="B813" s="22" t="str">
        <f aca="false">customer_churn_dataset!B984</f>
        <v>Basic</v>
      </c>
      <c r="C813" s="22" t="str">
        <f aca="false">customer_churn_dataset!C984</f>
        <v>One year</v>
      </c>
      <c r="D813" s="0" t="n">
        <f aca="false">INDEX(customer_churn_dataset!$E$2:$E$1501,MATCH($A814,customer_churn_dataset!$A$2:$A$1501,0))</f>
        <v>4</v>
      </c>
      <c r="E813" s="0" t="n">
        <f aca="false">INDEX(customer_churn_dataset!$I$2:$I$1501,MATCH($A814,customer_churn_dataset!$A$2:$A$1501,0))</f>
        <v>70</v>
      </c>
      <c r="F813" s="0" t="n">
        <f aca="false">INDEX(customer_churn_dataset!$L$2:$L$1501,MATCH($A814,customer_churn_dataset!$A$2:$A$1501,0))</f>
        <v>0</v>
      </c>
      <c r="G813" s="0" t="str">
        <f aca="false">IF(INDEX(customer_churn_dataset!$M$2:$M$1501,MATCH($A814,customer_churn_dataset!$A$2:$A$1501,0))=1,"Yes","No")</f>
        <v>No</v>
      </c>
      <c r="H813" s="0" t="n">
        <f aca="false">INDEX(customer_churn_dataset!$N$2:$N$1501,MATCH($A814,customer_churn_dataset!$A$2:$A$1501,0))</f>
        <v>81.16</v>
      </c>
      <c r="I813" s="0" t="n">
        <f aca="false">INDEX(customer_churn_dataset!$O$2:$O$1501,MATCH($A814,customer_churn_dataset!$A$2:$A$1501,0))</f>
        <v>0</v>
      </c>
      <c r="J813" s="0" t="n">
        <f aca="false">INDEX(customer_churn_dataset!$T$2:$T$1501,MATCH($A814,customer_churn_dataset!$A$2:$A$1501,0))</f>
        <v>3</v>
      </c>
      <c r="K813" s="0" t="str">
        <f aca="false">INDEX(customer_churn_dataset!$V$2:$V$1501,MATCH($A814,customer_churn_dataset!$A$2:$A$1501,0))</f>
        <v>Medium Risk</v>
      </c>
    </row>
    <row r="814" customFormat="false" ht="12.8" hidden="true" customHeight="false" outlineLevel="0" collapsed="false">
      <c r="A814" s="22" t="str">
        <f aca="false">customer_churn_dataset!A999</f>
        <v>CUST101470</v>
      </c>
      <c r="B814" s="22" t="str">
        <f aca="false">customer_churn_dataset!B999</f>
        <v>Standard</v>
      </c>
      <c r="C814" s="22" t="str">
        <f aca="false">customer_churn_dataset!C999</f>
        <v>Month-to-month</v>
      </c>
      <c r="D814" s="0" t="n">
        <f aca="false">INDEX(customer_churn_dataset!$E$2:$E$1501,MATCH($A815,customer_churn_dataset!$A$2:$A$1501,0))</f>
        <v>57</v>
      </c>
      <c r="E814" s="0" t="n">
        <f aca="false">INDEX(customer_churn_dataset!$I$2:$I$1501,MATCH($A815,customer_churn_dataset!$A$2:$A$1501,0))</f>
        <v>40.4</v>
      </c>
      <c r="F814" s="0" t="n">
        <f aca="false">INDEX(customer_churn_dataset!$L$2:$L$1501,MATCH($A815,customer_churn_dataset!$A$2:$A$1501,0))</f>
        <v>0</v>
      </c>
      <c r="G814" s="0" t="str">
        <f aca="false">IF(INDEX(customer_churn_dataset!$M$2:$M$1501,MATCH($A815,customer_churn_dataset!$A$2:$A$1501,0))=1,"Yes","No")</f>
        <v>No</v>
      </c>
      <c r="H814" s="0" t="n">
        <f aca="false">INDEX(customer_churn_dataset!$N$2:$N$1501,MATCH($A815,customer_churn_dataset!$A$2:$A$1501,0))</f>
        <v>1116.06</v>
      </c>
      <c r="I814" s="0" t="n">
        <f aca="false">INDEX(customer_churn_dataset!$O$2:$O$1501,MATCH($A815,customer_churn_dataset!$A$2:$A$1501,0))</f>
        <v>1</v>
      </c>
      <c r="J814" s="0" t="n">
        <f aca="false">INDEX(customer_churn_dataset!$T$2:$T$1501,MATCH($A815,customer_churn_dataset!$A$2:$A$1501,0))</f>
        <v>3</v>
      </c>
      <c r="K814" s="0" t="str">
        <f aca="false">INDEX(customer_churn_dataset!$V$2:$V$1501,MATCH($A815,customer_churn_dataset!$A$2:$A$1501,0))</f>
        <v>Medium Risk</v>
      </c>
    </row>
    <row r="815" customFormat="false" ht="12.8" hidden="true" customHeight="false" outlineLevel="0" collapsed="false">
      <c r="A815" s="22" t="str">
        <f aca="false">customer_churn_dataset!A1042</f>
        <v>CUST101405</v>
      </c>
      <c r="B815" s="22" t="str">
        <f aca="false">customer_churn_dataset!B1042</f>
        <v>Standard</v>
      </c>
      <c r="C815" s="22" t="str">
        <f aca="false">customer_churn_dataset!C1042</f>
        <v>Month-to-month</v>
      </c>
      <c r="D815" s="0" t="n">
        <f aca="false">INDEX(customer_churn_dataset!$E$2:$E$1501,MATCH($A816,customer_churn_dataset!$A$2:$A$1501,0))</f>
        <v>6</v>
      </c>
      <c r="E815" s="0" t="n">
        <f aca="false">INDEX(customer_churn_dataset!$I$2:$I$1501,MATCH($A816,customer_churn_dataset!$A$2:$A$1501,0))</f>
        <v>40.6</v>
      </c>
      <c r="F815" s="0" t="n">
        <f aca="false">INDEX(customer_churn_dataset!$L$2:$L$1501,MATCH($A816,customer_churn_dataset!$A$2:$A$1501,0))</f>
        <v>0</v>
      </c>
      <c r="G815" s="0" t="str">
        <f aca="false">IF(INDEX(customer_churn_dataset!$M$2:$M$1501,MATCH($A816,customer_churn_dataset!$A$2:$A$1501,0))=1,"Yes","No")</f>
        <v>No</v>
      </c>
      <c r="H815" s="0" t="n">
        <f aca="false">INDEX(customer_churn_dataset!$N$2:$N$1501,MATCH($A816,customer_churn_dataset!$A$2:$A$1501,0))</f>
        <v>68.28</v>
      </c>
      <c r="I815" s="0" t="n">
        <f aca="false">INDEX(customer_churn_dataset!$O$2:$O$1501,MATCH($A816,customer_churn_dataset!$A$2:$A$1501,0))</f>
        <v>0</v>
      </c>
      <c r="J815" s="0" t="n">
        <f aca="false">INDEX(customer_churn_dataset!$T$2:$T$1501,MATCH($A816,customer_churn_dataset!$A$2:$A$1501,0))</f>
        <v>3</v>
      </c>
      <c r="K815" s="0" t="str">
        <f aca="false">INDEX(customer_churn_dataset!$V$2:$V$1501,MATCH($A816,customer_churn_dataset!$A$2:$A$1501,0))</f>
        <v>Medium Risk</v>
      </c>
    </row>
    <row r="816" customFormat="false" ht="12.8" hidden="true" customHeight="false" outlineLevel="0" collapsed="false">
      <c r="A816" s="22" t="str">
        <f aca="false">customer_churn_dataset!A1066</f>
        <v>CUST100696</v>
      </c>
      <c r="B816" s="22" t="str">
        <f aca="false">customer_churn_dataset!B1066</f>
        <v>Basic</v>
      </c>
      <c r="C816" s="22" t="str">
        <f aca="false">customer_churn_dataset!C1066</f>
        <v>One year</v>
      </c>
      <c r="D816" s="0" t="n">
        <f aca="false">INDEX(customer_churn_dataset!$E$2:$E$1501,MATCH($A817,customer_churn_dataset!$A$2:$A$1501,0))</f>
        <v>43</v>
      </c>
      <c r="E816" s="0" t="n">
        <f aca="false">INDEX(customer_churn_dataset!$I$2:$I$1501,MATCH($A817,customer_churn_dataset!$A$2:$A$1501,0))</f>
        <v>37.4</v>
      </c>
      <c r="F816" s="0" t="n">
        <f aca="false">INDEX(customer_churn_dataset!$L$2:$L$1501,MATCH($A817,customer_churn_dataset!$A$2:$A$1501,0))</f>
        <v>4</v>
      </c>
      <c r="G816" s="0" t="str">
        <f aca="false">IF(INDEX(customer_churn_dataset!$M$2:$M$1501,MATCH($A817,customer_churn_dataset!$A$2:$A$1501,0))=1,"Yes","No")</f>
        <v>No</v>
      </c>
      <c r="H816" s="0" t="n">
        <f aca="false">INDEX(customer_churn_dataset!$N$2:$N$1501,MATCH($A817,customer_churn_dataset!$A$2:$A$1501,0))</f>
        <v>892.68</v>
      </c>
      <c r="I816" s="0" t="n">
        <f aca="false">INDEX(customer_churn_dataset!$O$2:$O$1501,MATCH($A817,customer_churn_dataset!$A$2:$A$1501,0))</f>
        <v>1</v>
      </c>
      <c r="J816" s="0" t="n">
        <f aca="false">INDEX(customer_churn_dataset!$T$2:$T$1501,MATCH($A817,customer_churn_dataset!$A$2:$A$1501,0))</f>
        <v>5</v>
      </c>
      <c r="K816" s="0" t="str">
        <f aca="false">INDEX(customer_churn_dataset!$V$2:$V$1501,MATCH($A817,customer_churn_dataset!$A$2:$A$1501,0))</f>
        <v>Medium Risk</v>
      </c>
    </row>
    <row r="817" customFormat="false" ht="12.8" hidden="true" customHeight="false" outlineLevel="0" collapsed="false">
      <c r="A817" s="22" t="str">
        <f aca="false">customer_churn_dataset!A1087</f>
        <v>CUST100388</v>
      </c>
      <c r="B817" s="22" t="str">
        <f aca="false">customer_churn_dataset!B1087</f>
        <v>Standard</v>
      </c>
      <c r="C817" s="22" t="str">
        <f aca="false">customer_churn_dataset!C1087</f>
        <v>Month-to-month</v>
      </c>
      <c r="D817" s="0" t="n">
        <f aca="false">INDEX(customer_churn_dataset!$E$2:$E$1501,MATCH($A818,customer_churn_dataset!$A$2:$A$1501,0))</f>
        <v>7</v>
      </c>
      <c r="E817" s="0" t="n">
        <f aca="false">INDEX(customer_churn_dataset!$I$2:$I$1501,MATCH($A818,customer_churn_dataset!$A$2:$A$1501,0))</f>
        <v>50.7</v>
      </c>
      <c r="F817" s="0" t="n">
        <f aca="false">INDEX(customer_churn_dataset!$L$2:$L$1501,MATCH($A818,customer_churn_dataset!$A$2:$A$1501,0))</f>
        <v>3</v>
      </c>
      <c r="G817" s="0" t="str">
        <f aca="false">IF(INDEX(customer_churn_dataset!$M$2:$M$1501,MATCH($A818,customer_churn_dataset!$A$2:$A$1501,0))=1,"Yes","No")</f>
        <v>No</v>
      </c>
      <c r="H817" s="0" t="n">
        <f aca="false">INDEX(customer_churn_dataset!$N$2:$N$1501,MATCH($A818,customer_churn_dataset!$A$2:$A$1501,0))</f>
        <v>288.89</v>
      </c>
      <c r="I817" s="0" t="n">
        <f aca="false">INDEX(customer_churn_dataset!$O$2:$O$1501,MATCH($A818,customer_churn_dataset!$A$2:$A$1501,0))</f>
        <v>0</v>
      </c>
      <c r="J817" s="0" t="n">
        <f aca="false">INDEX(customer_churn_dataset!$T$2:$T$1501,MATCH($A818,customer_churn_dataset!$A$2:$A$1501,0))</f>
        <v>5</v>
      </c>
      <c r="K817" s="0" t="str">
        <f aca="false">INDEX(customer_churn_dataset!$V$2:$V$1501,MATCH($A818,customer_churn_dataset!$A$2:$A$1501,0))</f>
        <v>Medium Risk</v>
      </c>
    </row>
    <row r="818" customFormat="false" ht="12.8" hidden="false" customHeight="false" outlineLevel="0" collapsed="false">
      <c r="A818" s="23" t="str">
        <f aca="false">customer_churn_dataset!A1097</f>
        <v>CUST100467</v>
      </c>
      <c r="B818" s="24" t="str">
        <f aca="false">customer_churn_dataset!B1097</f>
        <v>Premium</v>
      </c>
      <c r="C818" s="24" t="str">
        <f aca="false">customer_churn_dataset!C1097</f>
        <v>Month-to-month</v>
      </c>
      <c r="D818" s="25" t="n">
        <f aca="false">INDEX(customer_churn_dataset!$E$2:$E$1501,MATCH($A819,customer_churn_dataset!$A$2:$A$1501,0))</f>
        <v>4</v>
      </c>
      <c r="E818" s="25" t="n">
        <f aca="false">INDEX(customer_churn_dataset!$I$2:$I$1501,MATCH($A819,customer_churn_dataset!$A$2:$A$1501,0))</f>
        <v>42.4</v>
      </c>
      <c r="F818" s="25" t="n">
        <f aca="false">INDEX(customer_churn_dataset!$L$2:$L$1501,MATCH($A819,customer_churn_dataset!$A$2:$A$1501,0))</f>
        <v>3</v>
      </c>
      <c r="G818" s="25" t="str">
        <f aca="false">IF(INDEX(customer_churn_dataset!$M$2:$M$1501,MATCH($A819,customer_churn_dataset!$A$2:$A$1501,0))=1,"Yes","No")</f>
        <v>Yes</v>
      </c>
      <c r="H818" s="25" t="n">
        <f aca="false">INDEX(customer_churn_dataset!$N$2:$N$1501,MATCH($A819,customer_churn_dataset!$A$2:$A$1501,0))</f>
        <v>37.56</v>
      </c>
      <c r="I818" s="25" t="n">
        <f aca="false">INDEX(customer_churn_dataset!$O$2:$O$1501,MATCH($A819,customer_churn_dataset!$A$2:$A$1501,0))</f>
        <v>1</v>
      </c>
      <c r="J818" s="25" t="n">
        <f aca="false">INDEX(customer_churn_dataset!$T$2:$T$1501,MATCH($A819,customer_churn_dataset!$A$2:$A$1501,0))</f>
        <v>8</v>
      </c>
      <c r="K818" s="25" t="str">
        <f aca="false">INDEX(customer_churn_dataset!$V$2:$V$1501,MATCH($A819,customer_churn_dataset!$A$2:$A$1501,0))</f>
        <v>High Risk</v>
      </c>
    </row>
    <row r="819" customFormat="false" ht="12.8" hidden="true" customHeight="false" outlineLevel="0" collapsed="false">
      <c r="A819" s="22" t="str">
        <f aca="false">customer_churn_dataset!A1143</f>
        <v>CUST100794</v>
      </c>
      <c r="B819" s="22" t="str">
        <f aca="false">customer_churn_dataset!B1143</f>
        <v>Basic</v>
      </c>
      <c r="C819" s="22" t="str">
        <f aca="false">customer_churn_dataset!C1143</f>
        <v>Month-to-month</v>
      </c>
      <c r="D819" s="0" t="n">
        <f aca="false">INDEX(customer_churn_dataset!$E$2:$E$1501,MATCH($A820,customer_churn_dataset!$A$2:$A$1501,0))</f>
        <v>2</v>
      </c>
      <c r="E819" s="0" t="n">
        <f aca="false">INDEX(customer_churn_dataset!$I$2:$I$1501,MATCH($A820,customer_churn_dataset!$A$2:$A$1501,0))</f>
        <v>67.3</v>
      </c>
      <c r="F819" s="0" t="n">
        <f aca="false">INDEX(customer_churn_dataset!$L$2:$L$1501,MATCH($A820,customer_churn_dataset!$A$2:$A$1501,0))</f>
        <v>0</v>
      </c>
      <c r="G819" s="0" t="str">
        <f aca="false">IF(INDEX(customer_churn_dataset!$M$2:$M$1501,MATCH($A820,customer_churn_dataset!$A$2:$A$1501,0))=1,"Yes","No")</f>
        <v>No</v>
      </c>
      <c r="H819" s="0" t="n">
        <f aca="false">INDEX(customer_churn_dataset!$N$2:$N$1501,MATCH($A820,customer_churn_dataset!$A$2:$A$1501,0))</f>
        <v>40.54</v>
      </c>
      <c r="I819" s="0" t="n">
        <f aca="false">INDEX(customer_churn_dataset!$O$2:$O$1501,MATCH($A820,customer_churn_dataset!$A$2:$A$1501,0))</f>
        <v>0</v>
      </c>
      <c r="J819" s="0" t="n">
        <f aca="false">INDEX(customer_churn_dataset!$T$2:$T$1501,MATCH($A820,customer_churn_dataset!$A$2:$A$1501,0))</f>
        <v>1</v>
      </c>
      <c r="K819" s="0" t="str">
        <f aca="false">INDEX(customer_churn_dataset!$V$2:$V$1501,MATCH($A820,customer_churn_dataset!$A$2:$A$1501,0))</f>
        <v>Low Risk</v>
      </c>
    </row>
    <row r="820" customFormat="false" ht="12.8" hidden="true" customHeight="false" outlineLevel="0" collapsed="false">
      <c r="A820" s="22" t="str">
        <f aca="false">customer_churn_dataset!A1147</f>
        <v>CUST100275</v>
      </c>
      <c r="B820" s="22" t="str">
        <f aca="false">customer_churn_dataset!B1147</f>
        <v>Standard</v>
      </c>
      <c r="C820" s="22" t="str">
        <f aca="false">customer_churn_dataset!C1147</f>
        <v>Two year</v>
      </c>
      <c r="D820" s="0" t="n">
        <f aca="false">INDEX(customer_churn_dataset!$E$2:$E$1501,MATCH($A821,customer_churn_dataset!$A$2:$A$1501,0))</f>
        <v>0</v>
      </c>
      <c r="E820" s="0" t="n">
        <f aca="false">INDEX(customer_churn_dataset!$I$2:$I$1501,MATCH($A821,customer_churn_dataset!$A$2:$A$1501,0))</f>
        <v>39.8</v>
      </c>
      <c r="F820" s="0" t="n">
        <f aca="false">INDEX(customer_churn_dataset!$L$2:$L$1501,MATCH($A821,customer_churn_dataset!$A$2:$A$1501,0))</f>
        <v>0</v>
      </c>
      <c r="G820" s="0" t="str">
        <f aca="false">IF(INDEX(customer_churn_dataset!$M$2:$M$1501,MATCH($A821,customer_churn_dataset!$A$2:$A$1501,0))=1,"Yes","No")</f>
        <v>No</v>
      </c>
      <c r="H820" s="0" t="n">
        <f aca="false">INDEX(customer_churn_dataset!$N$2:$N$1501,MATCH($A821,customer_churn_dataset!$A$2:$A$1501,0))</f>
        <v>0</v>
      </c>
      <c r="I820" s="0" t="n">
        <f aca="false">INDEX(customer_churn_dataset!$O$2:$O$1501,MATCH($A821,customer_churn_dataset!$A$2:$A$1501,0))</f>
        <v>0</v>
      </c>
      <c r="J820" s="0" t="n">
        <f aca="false">INDEX(customer_churn_dataset!$T$2:$T$1501,MATCH($A821,customer_churn_dataset!$A$2:$A$1501,0))</f>
        <v>4</v>
      </c>
      <c r="K820" s="0" t="str">
        <f aca="false">INDEX(customer_churn_dataset!$V$2:$V$1501,MATCH($A821,customer_churn_dataset!$A$2:$A$1501,0))</f>
        <v>Medium Risk</v>
      </c>
    </row>
    <row r="821" customFormat="false" ht="12.8" hidden="true" customHeight="false" outlineLevel="0" collapsed="false">
      <c r="A821" s="22" t="str">
        <f aca="false">customer_churn_dataset!A1168</f>
        <v>CUST100433</v>
      </c>
      <c r="B821" s="22" t="str">
        <f aca="false">customer_churn_dataset!B1168</f>
        <v>Basic</v>
      </c>
      <c r="C821" s="22" t="str">
        <f aca="false">customer_churn_dataset!C1168</f>
        <v>One year</v>
      </c>
      <c r="D821" s="0" t="n">
        <f aca="false">INDEX(customer_churn_dataset!$E$2:$E$1501,MATCH($A822,customer_churn_dataset!$A$2:$A$1501,0))</f>
        <v>10</v>
      </c>
      <c r="E821" s="0" t="n">
        <f aca="false">INDEX(customer_churn_dataset!$I$2:$I$1501,MATCH($A822,customer_churn_dataset!$A$2:$A$1501,0))</f>
        <v>71.9</v>
      </c>
      <c r="F821" s="0" t="n">
        <f aca="false">INDEX(customer_churn_dataset!$L$2:$L$1501,MATCH($A822,customer_churn_dataset!$A$2:$A$1501,0))</f>
        <v>1</v>
      </c>
      <c r="G821" s="0" t="str">
        <f aca="false">IF(INDEX(customer_churn_dataset!$M$2:$M$1501,MATCH($A822,customer_churn_dataset!$A$2:$A$1501,0))=1,"Yes","No")</f>
        <v>No</v>
      </c>
      <c r="H821" s="0" t="n">
        <f aca="false">INDEX(customer_churn_dataset!$N$2:$N$1501,MATCH($A822,customer_churn_dataset!$A$2:$A$1501,0))</f>
        <v>393.6</v>
      </c>
      <c r="I821" s="0" t="n">
        <f aca="false">INDEX(customer_churn_dataset!$O$2:$O$1501,MATCH($A822,customer_churn_dataset!$A$2:$A$1501,0))</f>
        <v>0</v>
      </c>
      <c r="J821" s="0" t="n">
        <f aca="false">INDEX(customer_churn_dataset!$T$2:$T$1501,MATCH($A822,customer_churn_dataset!$A$2:$A$1501,0))</f>
        <v>1</v>
      </c>
      <c r="K821" s="0" t="str">
        <f aca="false">INDEX(customer_churn_dataset!$V$2:$V$1501,MATCH($A822,customer_churn_dataset!$A$2:$A$1501,0))</f>
        <v>Low Risk</v>
      </c>
    </row>
    <row r="822" customFormat="false" ht="12.8" hidden="true" customHeight="false" outlineLevel="0" collapsed="false">
      <c r="A822" s="22" t="str">
        <f aca="false">customer_churn_dataset!A1173</f>
        <v>CUST101425</v>
      </c>
      <c r="B822" s="22" t="str">
        <f aca="false">customer_churn_dataset!B1173</f>
        <v>Premium</v>
      </c>
      <c r="C822" s="22" t="str">
        <f aca="false">customer_churn_dataset!C1173</f>
        <v>Two year</v>
      </c>
      <c r="D822" s="0" t="n">
        <f aca="false">INDEX(customer_churn_dataset!$E$2:$E$1501,MATCH($A823,customer_churn_dataset!$A$2:$A$1501,0))</f>
        <v>1</v>
      </c>
      <c r="E822" s="0" t="n">
        <f aca="false">INDEX(customer_churn_dataset!$I$2:$I$1501,MATCH($A823,customer_churn_dataset!$A$2:$A$1501,0))</f>
        <v>62.3</v>
      </c>
      <c r="F822" s="0" t="n">
        <f aca="false">INDEX(customer_churn_dataset!$L$2:$L$1501,MATCH($A823,customer_churn_dataset!$A$2:$A$1501,0))</f>
        <v>4</v>
      </c>
      <c r="G822" s="0" t="str">
        <f aca="false">IF(INDEX(customer_churn_dataset!$M$2:$M$1501,MATCH($A823,customer_churn_dataset!$A$2:$A$1501,0))=1,"Yes","No")</f>
        <v>Yes</v>
      </c>
      <c r="H822" s="0" t="n">
        <f aca="false">INDEX(customer_churn_dataset!$N$2:$N$1501,MATCH($A823,customer_churn_dataset!$A$2:$A$1501,0))</f>
        <v>21.46</v>
      </c>
      <c r="I822" s="0" t="n">
        <f aca="false">INDEX(customer_churn_dataset!$O$2:$O$1501,MATCH($A823,customer_churn_dataset!$A$2:$A$1501,0))</f>
        <v>0</v>
      </c>
      <c r="J822" s="0" t="n">
        <f aca="false">INDEX(customer_churn_dataset!$T$2:$T$1501,MATCH($A823,customer_churn_dataset!$A$2:$A$1501,0))</f>
        <v>7</v>
      </c>
      <c r="K822" s="0" t="str">
        <f aca="false">INDEX(customer_churn_dataset!$V$2:$V$1501,MATCH($A823,customer_churn_dataset!$A$2:$A$1501,0))</f>
        <v>High Risk</v>
      </c>
    </row>
    <row r="823" customFormat="false" ht="12.8" hidden="true" customHeight="false" outlineLevel="0" collapsed="false">
      <c r="A823" s="22" t="str">
        <f aca="false">customer_churn_dataset!A1180</f>
        <v>CUST100214</v>
      </c>
      <c r="B823" s="22" t="str">
        <f aca="false">customer_churn_dataset!B1180</f>
        <v>Standard</v>
      </c>
      <c r="C823" s="22" t="str">
        <f aca="false">customer_churn_dataset!C1180</f>
        <v>Month-to-month</v>
      </c>
      <c r="D823" s="0" t="n">
        <f aca="false">INDEX(customer_churn_dataset!$E$2:$E$1501,MATCH($A824,customer_churn_dataset!$A$2:$A$1501,0))</f>
        <v>42</v>
      </c>
      <c r="E823" s="0" t="n">
        <f aca="false">INDEX(customer_churn_dataset!$I$2:$I$1501,MATCH($A824,customer_churn_dataset!$A$2:$A$1501,0))</f>
        <v>36.9</v>
      </c>
      <c r="F823" s="0" t="n">
        <f aca="false">INDEX(customer_churn_dataset!$L$2:$L$1501,MATCH($A824,customer_churn_dataset!$A$2:$A$1501,0))</f>
        <v>1</v>
      </c>
      <c r="G823" s="0" t="str">
        <f aca="false">IF(INDEX(customer_churn_dataset!$M$2:$M$1501,MATCH($A824,customer_churn_dataset!$A$2:$A$1501,0))=1,"Yes","No")</f>
        <v>No</v>
      </c>
      <c r="H823" s="0" t="n">
        <f aca="false">INDEX(customer_churn_dataset!$N$2:$N$1501,MATCH($A824,customer_churn_dataset!$A$2:$A$1501,0))</f>
        <v>450.66</v>
      </c>
      <c r="I823" s="0" t="n">
        <f aca="false">INDEX(customer_churn_dataset!$O$2:$O$1501,MATCH($A824,customer_churn_dataset!$A$2:$A$1501,0))</f>
        <v>0</v>
      </c>
      <c r="J823" s="0" t="n">
        <f aca="false">INDEX(customer_churn_dataset!$T$2:$T$1501,MATCH($A824,customer_churn_dataset!$A$2:$A$1501,0))</f>
        <v>4</v>
      </c>
      <c r="K823" s="0" t="str">
        <f aca="false">INDEX(customer_churn_dataset!$V$2:$V$1501,MATCH($A824,customer_churn_dataset!$A$2:$A$1501,0))</f>
        <v>Medium Risk</v>
      </c>
    </row>
    <row r="824" customFormat="false" ht="12.8" hidden="true" customHeight="false" outlineLevel="0" collapsed="false">
      <c r="A824" s="22" t="str">
        <f aca="false">customer_churn_dataset!A1221</f>
        <v>CUST100601</v>
      </c>
      <c r="B824" s="22" t="str">
        <f aca="false">customer_churn_dataset!B1221</f>
        <v>Basic</v>
      </c>
      <c r="C824" s="22" t="str">
        <f aca="false">customer_churn_dataset!C1221</f>
        <v>Month-to-month</v>
      </c>
      <c r="D824" s="0" t="n">
        <f aca="false">INDEX(customer_churn_dataset!$E$2:$E$1501,MATCH($A825,customer_churn_dataset!$A$2:$A$1501,0))</f>
        <v>26</v>
      </c>
      <c r="E824" s="0" t="n">
        <f aca="false">INDEX(customer_churn_dataset!$I$2:$I$1501,MATCH($A825,customer_churn_dataset!$A$2:$A$1501,0))</f>
        <v>100</v>
      </c>
      <c r="F824" s="0" t="n">
        <f aca="false">INDEX(customer_churn_dataset!$L$2:$L$1501,MATCH($A825,customer_churn_dataset!$A$2:$A$1501,0))</f>
        <v>0</v>
      </c>
      <c r="G824" s="0" t="str">
        <f aca="false">IF(INDEX(customer_churn_dataset!$M$2:$M$1501,MATCH($A825,customer_churn_dataset!$A$2:$A$1501,0))=1,"Yes","No")</f>
        <v>No</v>
      </c>
      <c r="H824" s="0" t="n">
        <f aca="false">INDEX(customer_churn_dataset!$N$2:$N$1501,MATCH($A825,customer_churn_dataset!$A$2:$A$1501,0))</f>
        <v>1034.28</v>
      </c>
      <c r="I824" s="0" t="n">
        <f aca="false">INDEX(customer_churn_dataset!$O$2:$O$1501,MATCH($A825,customer_churn_dataset!$A$2:$A$1501,0))</f>
        <v>0</v>
      </c>
      <c r="J824" s="0" t="n">
        <f aca="false">INDEX(customer_churn_dataset!$T$2:$T$1501,MATCH($A825,customer_churn_dataset!$A$2:$A$1501,0))</f>
        <v>1</v>
      </c>
      <c r="K824" s="0" t="str">
        <f aca="false">INDEX(customer_churn_dataset!$V$2:$V$1501,MATCH($A825,customer_churn_dataset!$A$2:$A$1501,0))</f>
        <v>Low Risk</v>
      </c>
    </row>
    <row r="825" customFormat="false" ht="12.8" hidden="true" customHeight="false" outlineLevel="0" collapsed="false">
      <c r="A825" s="22" t="str">
        <f aca="false">customer_churn_dataset!A1227</f>
        <v>CUST100717</v>
      </c>
      <c r="B825" s="22" t="str">
        <f aca="false">customer_churn_dataset!B1227</f>
        <v>Premium</v>
      </c>
      <c r="C825" s="22" t="str">
        <f aca="false">customer_churn_dataset!C1227</f>
        <v>One year</v>
      </c>
      <c r="D825" s="0" t="n">
        <f aca="false">INDEX(customer_churn_dataset!$E$2:$E$1501,MATCH($A826,customer_churn_dataset!$A$2:$A$1501,0))</f>
        <v>41</v>
      </c>
      <c r="E825" s="0" t="n">
        <f aca="false">INDEX(customer_churn_dataset!$I$2:$I$1501,MATCH($A826,customer_churn_dataset!$A$2:$A$1501,0))</f>
        <v>41.8</v>
      </c>
      <c r="F825" s="0" t="n">
        <f aca="false">INDEX(customer_churn_dataset!$L$2:$L$1501,MATCH($A826,customer_churn_dataset!$A$2:$A$1501,0))</f>
        <v>2</v>
      </c>
      <c r="G825" s="0" t="str">
        <f aca="false">IF(INDEX(customer_churn_dataset!$M$2:$M$1501,MATCH($A826,customer_churn_dataset!$A$2:$A$1501,0))=1,"Yes","No")</f>
        <v>No</v>
      </c>
      <c r="H825" s="0" t="n">
        <f aca="false">INDEX(customer_churn_dataset!$N$2:$N$1501,MATCH($A826,customer_churn_dataset!$A$2:$A$1501,0))</f>
        <v>1661.32</v>
      </c>
      <c r="I825" s="0" t="n">
        <f aca="false">INDEX(customer_churn_dataset!$O$2:$O$1501,MATCH($A826,customer_churn_dataset!$A$2:$A$1501,0))</f>
        <v>0</v>
      </c>
      <c r="J825" s="0" t="n">
        <f aca="false">INDEX(customer_churn_dataset!$T$2:$T$1501,MATCH($A826,customer_churn_dataset!$A$2:$A$1501,0))</f>
        <v>2</v>
      </c>
      <c r="K825" s="0" t="str">
        <f aca="false">INDEX(customer_churn_dataset!$V$2:$V$1501,MATCH($A826,customer_churn_dataset!$A$2:$A$1501,0))</f>
        <v>Low Risk</v>
      </c>
    </row>
    <row r="826" customFormat="false" ht="12.8" hidden="true" customHeight="false" outlineLevel="0" collapsed="false">
      <c r="A826" s="22" t="str">
        <f aca="false">customer_churn_dataset!A1229</f>
        <v>CUST101395</v>
      </c>
      <c r="B826" s="22" t="str">
        <f aca="false">customer_churn_dataset!B1229</f>
        <v>Premium</v>
      </c>
      <c r="C826" s="22" t="str">
        <f aca="false">customer_churn_dataset!C1229</f>
        <v>Two year</v>
      </c>
      <c r="D826" s="0" t="n">
        <f aca="false">INDEX(customer_churn_dataset!$E$2:$E$1501,MATCH($A827,customer_churn_dataset!$A$2:$A$1501,0))</f>
        <v>55</v>
      </c>
      <c r="E826" s="0" t="n">
        <f aca="false">INDEX(customer_churn_dataset!$I$2:$I$1501,MATCH($A827,customer_churn_dataset!$A$2:$A$1501,0))</f>
        <v>40.3</v>
      </c>
      <c r="F826" s="0" t="n">
        <f aca="false">INDEX(customer_churn_dataset!$L$2:$L$1501,MATCH($A827,customer_churn_dataset!$A$2:$A$1501,0))</f>
        <v>0</v>
      </c>
      <c r="G826" s="0" t="str">
        <f aca="false">IF(INDEX(customer_churn_dataset!$M$2:$M$1501,MATCH($A827,customer_churn_dataset!$A$2:$A$1501,0))=1,"Yes","No")</f>
        <v>No</v>
      </c>
      <c r="H826" s="0" t="n">
        <f aca="false">INDEX(customer_churn_dataset!$N$2:$N$1501,MATCH($A827,customer_churn_dataset!$A$2:$A$1501,0))</f>
        <v>526.35</v>
      </c>
      <c r="I826" s="0" t="n">
        <f aca="false">INDEX(customer_churn_dataset!$O$2:$O$1501,MATCH($A827,customer_churn_dataset!$A$2:$A$1501,0))</f>
        <v>0</v>
      </c>
      <c r="J826" s="0" t="n">
        <f aca="false">INDEX(customer_churn_dataset!$T$2:$T$1501,MATCH($A827,customer_churn_dataset!$A$2:$A$1501,0))</f>
        <v>2</v>
      </c>
      <c r="K826" s="0" t="str">
        <f aca="false">INDEX(customer_churn_dataset!$V$2:$V$1501,MATCH($A827,customer_churn_dataset!$A$2:$A$1501,0))</f>
        <v>Low Risk</v>
      </c>
    </row>
    <row r="827" customFormat="false" ht="12.8" hidden="true" customHeight="false" outlineLevel="0" collapsed="false">
      <c r="A827" s="22" t="str">
        <f aca="false">customer_churn_dataset!A1231</f>
        <v>CUST101374</v>
      </c>
      <c r="B827" s="22" t="str">
        <f aca="false">customer_churn_dataset!B1231</f>
        <v>Basic</v>
      </c>
      <c r="C827" s="22" t="str">
        <f aca="false">customer_churn_dataset!C1231</f>
        <v>One year</v>
      </c>
      <c r="D827" s="0" t="n">
        <f aca="false">INDEX(customer_churn_dataset!$E$2:$E$1501,MATCH($A828,customer_churn_dataset!$A$2:$A$1501,0))</f>
        <v>10</v>
      </c>
      <c r="E827" s="0" t="n">
        <f aca="false">INDEX(customer_churn_dataset!$I$2:$I$1501,MATCH($A828,customer_churn_dataset!$A$2:$A$1501,0))</f>
        <v>58.7</v>
      </c>
      <c r="F827" s="0" t="n">
        <f aca="false">INDEX(customer_churn_dataset!$L$2:$L$1501,MATCH($A828,customer_churn_dataset!$A$2:$A$1501,0))</f>
        <v>0</v>
      </c>
      <c r="G827" s="0" t="str">
        <f aca="false">IF(INDEX(customer_churn_dataset!$M$2:$M$1501,MATCH($A828,customer_churn_dataset!$A$2:$A$1501,0))=1,"Yes","No")</f>
        <v>No</v>
      </c>
      <c r="H827" s="0" t="n">
        <f aca="false">INDEX(customer_churn_dataset!$N$2:$N$1501,MATCH($A828,customer_churn_dataset!$A$2:$A$1501,0))</f>
        <v>81.2</v>
      </c>
      <c r="I827" s="0" t="n">
        <f aca="false">INDEX(customer_churn_dataset!$O$2:$O$1501,MATCH($A828,customer_churn_dataset!$A$2:$A$1501,0))</f>
        <v>1</v>
      </c>
      <c r="J827" s="0" t="n">
        <f aca="false">INDEX(customer_churn_dataset!$T$2:$T$1501,MATCH($A828,customer_churn_dataset!$A$2:$A$1501,0))</f>
        <v>3</v>
      </c>
      <c r="K827" s="0" t="str">
        <f aca="false">INDEX(customer_churn_dataset!$V$2:$V$1501,MATCH($A828,customer_churn_dataset!$A$2:$A$1501,0))</f>
        <v>Medium Risk</v>
      </c>
    </row>
    <row r="828" customFormat="false" ht="12.8" hidden="true" customHeight="false" outlineLevel="0" collapsed="false">
      <c r="A828" s="22" t="str">
        <f aca="false">customer_churn_dataset!A1255</f>
        <v>CUST101068</v>
      </c>
      <c r="B828" s="22" t="str">
        <f aca="false">customer_churn_dataset!B1255</f>
        <v>Basic</v>
      </c>
      <c r="C828" s="22" t="str">
        <f aca="false">customer_churn_dataset!C1255</f>
        <v>Month-to-month</v>
      </c>
      <c r="D828" s="0" t="n">
        <f aca="false">INDEX(customer_churn_dataset!$E$2:$E$1501,MATCH($A829,customer_churn_dataset!$A$2:$A$1501,0))</f>
        <v>64</v>
      </c>
      <c r="E828" s="0" t="n">
        <f aca="false">INDEX(customer_churn_dataset!$I$2:$I$1501,MATCH($A829,customer_churn_dataset!$A$2:$A$1501,0))</f>
        <v>48.8</v>
      </c>
      <c r="F828" s="0" t="n">
        <f aca="false">INDEX(customer_churn_dataset!$L$2:$L$1501,MATCH($A829,customer_churn_dataset!$A$2:$A$1501,0))</f>
        <v>1</v>
      </c>
      <c r="G828" s="0" t="str">
        <f aca="false">IF(INDEX(customer_churn_dataset!$M$2:$M$1501,MATCH($A829,customer_churn_dataset!$A$2:$A$1501,0))=1,"Yes","No")</f>
        <v>No</v>
      </c>
      <c r="H828" s="0" t="n">
        <f aca="false">INDEX(customer_churn_dataset!$N$2:$N$1501,MATCH($A829,customer_churn_dataset!$A$2:$A$1501,0))</f>
        <v>683.52</v>
      </c>
      <c r="I828" s="0" t="n">
        <f aca="false">INDEX(customer_churn_dataset!$O$2:$O$1501,MATCH($A829,customer_churn_dataset!$A$2:$A$1501,0))</f>
        <v>0</v>
      </c>
      <c r="J828" s="0" t="n">
        <f aca="false">INDEX(customer_churn_dataset!$T$2:$T$1501,MATCH($A829,customer_churn_dataset!$A$2:$A$1501,0))</f>
        <v>3</v>
      </c>
      <c r="K828" s="0" t="str">
        <f aca="false">INDEX(customer_churn_dataset!$V$2:$V$1501,MATCH($A829,customer_churn_dataset!$A$2:$A$1501,0))</f>
        <v>Medium Risk</v>
      </c>
    </row>
    <row r="829" customFormat="false" ht="12.8" hidden="true" customHeight="false" outlineLevel="0" collapsed="false">
      <c r="A829" s="22" t="str">
        <f aca="false">customer_churn_dataset!A1298</f>
        <v>CUST101283</v>
      </c>
      <c r="B829" s="22" t="str">
        <f aca="false">customer_churn_dataset!B1298</f>
        <v>Basic</v>
      </c>
      <c r="C829" s="22" t="str">
        <f aca="false">customer_churn_dataset!C1298</f>
        <v>Month-to-month</v>
      </c>
      <c r="D829" s="0" t="n">
        <f aca="false">INDEX(customer_churn_dataset!$E$2:$E$1501,MATCH($A830,customer_churn_dataset!$A$2:$A$1501,0))</f>
        <v>6</v>
      </c>
      <c r="E829" s="0" t="n">
        <f aca="false">INDEX(customer_churn_dataset!$I$2:$I$1501,MATCH($A830,customer_churn_dataset!$A$2:$A$1501,0))</f>
        <v>68.2</v>
      </c>
      <c r="F829" s="0" t="n">
        <f aca="false">INDEX(customer_churn_dataset!$L$2:$L$1501,MATCH($A830,customer_churn_dataset!$A$2:$A$1501,0))</f>
        <v>0</v>
      </c>
      <c r="G829" s="0" t="str">
        <f aca="false">IF(INDEX(customer_churn_dataset!$M$2:$M$1501,MATCH($A830,customer_churn_dataset!$A$2:$A$1501,0))=1,"Yes","No")</f>
        <v>No</v>
      </c>
      <c r="H829" s="0" t="n">
        <f aca="false">INDEX(customer_churn_dataset!$N$2:$N$1501,MATCH($A830,customer_churn_dataset!$A$2:$A$1501,0))</f>
        <v>243.48</v>
      </c>
      <c r="I829" s="0" t="n">
        <f aca="false">INDEX(customer_churn_dataset!$O$2:$O$1501,MATCH($A830,customer_churn_dataset!$A$2:$A$1501,0))</f>
        <v>0</v>
      </c>
      <c r="J829" s="0" t="n">
        <f aca="false">INDEX(customer_churn_dataset!$T$2:$T$1501,MATCH($A830,customer_churn_dataset!$A$2:$A$1501,0))</f>
        <v>2</v>
      </c>
      <c r="K829" s="0" t="str">
        <f aca="false">INDEX(customer_churn_dataset!$V$2:$V$1501,MATCH($A830,customer_churn_dataset!$A$2:$A$1501,0))</f>
        <v>Low Risk</v>
      </c>
    </row>
    <row r="830" customFormat="false" ht="12.8" hidden="true" customHeight="false" outlineLevel="0" collapsed="false">
      <c r="A830" s="22" t="str">
        <f aca="false">customer_churn_dataset!A1310</f>
        <v>CUST101029</v>
      </c>
      <c r="B830" s="22" t="str">
        <f aca="false">customer_churn_dataset!B1310</f>
        <v>Premium</v>
      </c>
      <c r="C830" s="22" t="str">
        <f aca="false">customer_churn_dataset!C1310</f>
        <v>One year</v>
      </c>
      <c r="D830" s="0" t="n">
        <f aca="false">INDEX(customer_churn_dataset!$E$2:$E$1501,MATCH($A831,customer_churn_dataset!$A$2:$A$1501,0))</f>
        <v>34</v>
      </c>
      <c r="E830" s="0" t="n">
        <f aca="false">INDEX(customer_churn_dataset!$I$2:$I$1501,MATCH($A831,customer_churn_dataset!$A$2:$A$1501,0))</f>
        <v>74.7</v>
      </c>
      <c r="F830" s="0" t="n">
        <f aca="false">INDEX(customer_churn_dataset!$L$2:$L$1501,MATCH($A831,customer_churn_dataset!$A$2:$A$1501,0))</f>
        <v>2</v>
      </c>
      <c r="G830" s="0" t="str">
        <f aca="false">IF(INDEX(customer_churn_dataset!$M$2:$M$1501,MATCH($A831,customer_churn_dataset!$A$2:$A$1501,0))=1,"Yes","No")</f>
        <v>Yes</v>
      </c>
      <c r="H830" s="0" t="n">
        <f aca="false">INDEX(customer_churn_dataset!$N$2:$N$1501,MATCH($A831,customer_churn_dataset!$A$2:$A$1501,0))</f>
        <v>318.92</v>
      </c>
      <c r="I830" s="0" t="n">
        <f aca="false">INDEX(customer_churn_dataset!$O$2:$O$1501,MATCH($A831,customer_churn_dataset!$A$2:$A$1501,0))</f>
        <v>1</v>
      </c>
      <c r="J830" s="0" t="n">
        <f aca="false">INDEX(customer_churn_dataset!$T$2:$T$1501,MATCH($A831,customer_churn_dataset!$A$2:$A$1501,0))</f>
        <v>6</v>
      </c>
      <c r="K830" s="0" t="str">
        <f aca="false">INDEX(customer_churn_dataset!$V$2:$V$1501,MATCH($A831,customer_churn_dataset!$A$2:$A$1501,0))</f>
        <v>High Risk</v>
      </c>
    </row>
    <row r="831" customFormat="false" ht="12.8" hidden="true" customHeight="false" outlineLevel="0" collapsed="false">
      <c r="A831" s="22" t="str">
        <f aca="false">customer_churn_dataset!A1315</f>
        <v>CUST101320</v>
      </c>
      <c r="B831" s="22" t="str">
        <f aca="false">customer_churn_dataset!B1315</f>
        <v>Basic</v>
      </c>
      <c r="C831" s="22" t="str">
        <f aca="false">customer_churn_dataset!C1315</f>
        <v>Month-to-month</v>
      </c>
      <c r="D831" s="0" t="n">
        <f aca="false">INDEX(customer_churn_dataset!$E$2:$E$1501,MATCH($A832,customer_churn_dataset!$A$2:$A$1501,0))</f>
        <v>26</v>
      </c>
      <c r="E831" s="0" t="n">
        <f aca="false">INDEX(customer_churn_dataset!$I$2:$I$1501,MATCH($A832,customer_churn_dataset!$A$2:$A$1501,0))</f>
        <v>70.7</v>
      </c>
      <c r="F831" s="0" t="n">
        <f aca="false">INDEX(customer_churn_dataset!$L$2:$L$1501,MATCH($A832,customer_churn_dataset!$A$2:$A$1501,0))</f>
        <v>3</v>
      </c>
      <c r="G831" s="0" t="str">
        <f aca="false">IF(INDEX(customer_churn_dataset!$M$2:$M$1501,MATCH($A832,customer_churn_dataset!$A$2:$A$1501,0))=1,"Yes","No")</f>
        <v>No</v>
      </c>
      <c r="H831" s="0" t="n">
        <f aca="false">INDEX(customer_churn_dataset!$N$2:$N$1501,MATCH($A832,customer_churn_dataset!$A$2:$A$1501,0))</f>
        <v>518.44</v>
      </c>
      <c r="I831" s="0" t="n">
        <f aca="false">INDEX(customer_churn_dataset!$O$2:$O$1501,MATCH($A832,customer_churn_dataset!$A$2:$A$1501,0))</f>
        <v>0</v>
      </c>
      <c r="J831" s="0" t="n">
        <f aca="false">INDEX(customer_churn_dataset!$T$2:$T$1501,MATCH($A832,customer_churn_dataset!$A$2:$A$1501,0))</f>
        <v>3</v>
      </c>
      <c r="K831" s="0" t="str">
        <f aca="false">INDEX(customer_churn_dataset!$V$2:$V$1501,MATCH($A832,customer_churn_dataset!$A$2:$A$1501,0))</f>
        <v>Medium Risk</v>
      </c>
    </row>
    <row r="832" customFormat="false" ht="12.8" hidden="true" customHeight="false" outlineLevel="0" collapsed="false">
      <c r="A832" s="22" t="str">
        <f aca="false">customer_churn_dataset!A1324</f>
        <v>CUST100800</v>
      </c>
      <c r="B832" s="22" t="str">
        <f aca="false">customer_churn_dataset!B1324</f>
        <v>Standard</v>
      </c>
      <c r="C832" s="22" t="str">
        <f aca="false">customer_churn_dataset!C1324</f>
        <v>Month-to-month</v>
      </c>
      <c r="D832" s="0" t="n">
        <f aca="false">INDEX(customer_churn_dataset!$E$2:$E$1501,MATCH($A833,customer_churn_dataset!$A$2:$A$1501,0))</f>
        <v>13</v>
      </c>
      <c r="E832" s="0" t="n">
        <f aca="false">INDEX(customer_churn_dataset!$I$2:$I$1501,MATCH($A833,customer_churn_dataset!$A$2:$A$1501,0))</f>
        <v>69</v>
      </c>
      <c r="F832" s="0" t="n">
        <f aca="false">INDEX(customer_churn_dataset!$L$2:$L$1501,MATCH($A833,customer_churn_dataset!$A$2:$A$1501,0))</f>
        <v>1</v>
      </c>
      <c r="G832" s="0" t="str">
        <f aca="false">IF(INDEX(customer_churn_dataset!$M$2:$M$1501,MATCH($A833,customer_churn_dataset!$A$2:$A$1501,0))=1,"Yes","No")</f>
        <v>Yes</v>
      </c>
      <c r="H832" s="0" t="n">
        <f aca="false">INDEX(customer_churn_dataset!$N$2:$N$1501,MATCH($A833,customer_churn_dataset!$A$2:$A$1501,0))</f>
        <v>107.64</v>
      </c>
      <c r="I832" s="0" t="n">
        <f aca="false">INDEX(customer_churn_dataset!$O$2:$O$1501,MATCH($A833,customer_churn_dataset!$A$2:$A$1501,0))</f>
        <v>1</v>
      </c>
      <c r="J832" s="0" t="n">
        <f aca="false">INDEX(customer_churn_dataset!$T$2:$T$1501,MATCH($A833,customer_churn_dataset!$A$2:$A$1501,0))</f>
        <v>4</v>
      </c>
      <c r="K832" s="0" t="str">
        <f aca="false">INDEX(customer_churn_dataset!$V$2:$V$1501,MATCH($A833,customer_churn_dataset!$A$2:$A$1501,0))</f>
        <v>Medium Risk</v>
      </c>
    </row>
    <row r="833" customFormat="false" ht="12.8" hidden="true" customHeight="false" outlineLevel="0" collapsed="false">
      <c r="A833" s="22" t="str">
        <f aca="false">customer_churn_dataset!A1358</f>
        <v>CUST101207</v>
      </c>
      <c r="B833" s="22" t="str">
        <f aca="false">customer_churn_dataset!B1358</f>
        <v>Basic</v>
      </c>
      <c r="C833" s="22" t="str">
        <f aca="false">customer_churn_dataset!C1358</f>
        <v>One year</v>
      </c>
      <c r="D833" s="0" t="n">
        <f aca="false">INDEX(customer_churn_dataset!$E$2:$E$1501,MATCH($A834,customer_churn_dataset!$A$2:$A$1501,0))</f>
        <v>27</v>
      </c>
      <c r="E833" s="0" t="n">
        <f aca="false">INDEX(customer_churn_dataset!$I$2:$I$1501,MATCH($A834,customer_churn_dataset!$A$2:$A$1501,0))</f>
        <v>78.4</v>
      </c>
      <c r="F833" s="0" t="n">
        <f aca="false">INDEX(customer_churn_dataset!$L$2:$L$1501,MATCH($A834,customer_churn_dataset!$A$2:$A$1501,0))</f>
        <v>2</v>
      </c>
      <c r="G833" s="0" t="str">
        <f aca="false">IF(INDEX(customer_churn_dataset!$M$2:$M$1501,MATCH($A834,customer_churn_dataset!$A$2:$A$1501,0))=1,"Yes","No")</f>
        <v>No</v>
      </c>
      <c r="H833" s="0" t="n">
        <f aca="false">INDEX(customer_churn_dataset!$N$2:$N$1501,MATCH($A834,customer_churn_dataset!$A$2:$A$1501,0))</f>
        <v>533.52</v>
      </c>
      <c r="I833" s="0" t="n">
        <f aca="false">INDEX(customer_churn_dataset!$O$2:$O$1501,MATCH($A834,customer_churn_dataset!$A$2:$A$1501,0))</f>
        <v>0</v>
      </c>
      <c r="J833" s="0" t="n">
        <f aca="false">INDEX(customer_churn_dataset!$T$2:$T$1501,MATCH($A834,customer_churn_dataset!$A$2:$A$1501,0))</f>
        <v>2</v>
      </c>
      <c r="K833" s="0" t="str">
        <f aca="false">INDEX(customer_churn_dataset!$V$2:$V$1501,MATCH($A834,customer_churn_dataset!$A$2:$A$1501,0))</f>
        <v>Low Risk</v>
      </c>
    </row>
    <row r="834" customFormat="false" ht="12.8" hidden="true" customHeight="false" outlineLevel="0" collapsed="false">
      <c r="A834" s="22" t="str">
        <f aca="false">customer_churn_dataset!A1364</f>
        <v>CUST100956</v>
      </c>
      <c r="B834" s="22" t="str">
        <f aca="false">customer_churn_dataset!B1364</f>
        <v>Standard</v>
      </c>
      <c r="C834" s="22" t="str">
        <f aca="false">customer_churn_dataset!C1364</f>
        <v>One year</v>
      </c>
      <c r="D834" s="0" t="n">
        <f aca="false">INDEX(customer_churn_dataset!$E$2:$E$1501,MATCH($A835,customer_churn_dataset!$A$2:$A$1501,0))</f>
        <v>38</v>
      </c>
      <c r="E834" s="0" t="n">
        <f aca="false">INDEX(customer_churn_dataset!$I$2:$I$1501,MATCH($A835,customer_churn_dataset!$A$2:$A$1501,0))</f>
        <v>40.3</v>
      </c>
      <c r="F834" s="0" t="n">
        <f aca="false">INDEX(customer_churn_dataset!$L$2:$L$1501,MATCH($A835,customer_churn_dataset!$A$2:$A$1501,0))</f>
        <v>1</v>
      </c>
      <c r="G834" s="0" t="str">
        <f aca="false">IF(INDEX(customer_churn_dataset!$M$2:$M$1501,MATCH($A835,customer_churn_dataset!$A$2:$A$1501,0))=1,"Yes","No")</f>
        <v>No</v>
      </c>
      <c r="H834" s="0" t="n">
        <f aca="false">INDEX(customer_churn_dataset!$N$2:$N$1501,MATCH($A835,customer_churn_dataset!$A$2:$A$1501,0))</f>
        <v>383.8</v>
      </c>
      <c r="I834" s="0" t="n">
        <f aca="false">INDEX(customer_churn_dataset!$O$2:$O$1501,MATCH($A835,customer_churn_dataset!$A$2:$A$1501,0))</f>
        <v>0</v>
      </c>
      <c r="J834" s="0" t="n">
        <f aca="false">INDEX(customer_churn_dataset!$T$2:$T$1501,MATCH($A835,customer_churn_dataset!$A$2:$A$1501,0))</f>
        <v>2</v>
      </c>
      <c r="K834" s="0" t="str">
        <f aca="false">INDEX(customer_churn_dataset!$V$2:$V$1501,MATCH($A835,customer_churn_dataset!$A$2:$A$1501,0))</f>
        <v>Low Risk</v>
      </c>
    </row>
    <row r="835" customFormat="false" ht="12.8" hidden="true" customHeight="false" outlineLevel="0" collapsed="false">
      <c r="A835" s="22" t="str">
        <f aca="false">customer_churn_dataset!A1370</f>
        <v>CUST100677</v>
      </c>
      <c r="B835" s="22" t="str">
        <f aca="false">customer_churn_dataset!B1370</f>
        <v>Basic</v>
      </c>
      <c r="C835" s="22" t="str">
        <f aca="false">customer_churn_dataset!C1370</f>
        <v>One year</v>
      </c>
      <c r="D835" s="0" t="n">
        <f aca="false">INDEX(customer_churn_dataset!$E$2:$E$1501,MATCH($A836,customer_churn_dataset!$A$2:$A$1501,0))</f>
        <v>35</v>
      </c>
      <c r="E835" s="0" t="n">
        <f aca="false">INDEX(customer_churn_dataset!$I$2:$I$1501,MATCH($A836,customer_churn_dataset!$A$2:$A$1501,0))</f>
        <v>46</v>
      </c>
      <c r="F835" s="0" t="n">
        <f aca="false">INDEX(customer_churn_dataset!$L$2:$L$1501,MATCH($A836,customer_churn_dataset!$A$2:$A$1501,0))</f>
        <v>0</v>
      </c>
      <c r="G835" s="0" t="str">
        <f aca="false">IF(INDEX(customer_churn_dataset!$M$2:$M$1501,MATCH($A836,customer_churn_dataset!$A$2:$A$1501,0))=1,"Yes","No")</f>
        <v>No</v>
      </c>
      <c r="H835" s="0" t="n">
        <f aca="false">INDEX(customer_churn_dataset!$N$2:$N$1501,MATCH($A836,customer_churn_dataset!$A$2:$A$1501,0))</f>
        <v>419.65</v>
      </c>
      <c r="I835" s="0" t="n">
        <f aca="false">INDEX(customer_churn_dataset!$O$2:$O$1501,MATCH($A836,customer_churn_dataset!$A$2:$A$1501,0))</f>
        <v>0</v>
      </c>
      <c r="J835" s="0" t="n">
        <f aca="false">INDEX(customer_churn_dataset!$T$2:$T$1501,MATCH($A836,customer_churn_dataset!$A$2:$A$1501,0))</f>
        <v>3</v>
      </c>
      <c r="K835" s="0" t="str">
        <f aca="false">INDEX(customer_churn_dataset!$V$2:$V$1501,MATCH($A836,customer_churn_dataset!$A$2:$A$1501,0))</f>
        <v>Medium Risk</v>
      </c>
    </row>
    <row r="836" customFormat="false" ht="12.8" hidden="true" customHeight="false" outlineLevel="0" collapsed="false">
      <c r="A836" s="22" t="str">
        <f aca="false">customer_churn_dataset!A1378</f>
        <v>CUST101144</v>
      </c>
      <c r="B836" s="22" t="str">
        <f aca="false">customer_churn_dataset!B1378</f>
        <v>Basic</v>
      </c>
      <c r="C836" s="22" t="str">
        <f aca="false">customer_churn_dataset!C1378</f>
        <v>Month-to-month</v>
      </c>
      <c r="D836" s="0" t="n">
        <f aca="false">INDEX(customer_churn_dataset!$E$2:$E$1501,MATCH($A837,customer_churn_dataset!$A$2:$A$1501,0))</f>
        <v>10</v>
      </c>
      <c r="E836" s="0" t="n">
        <f aca="false">INDEX(customer_churn_dataset!$I$2:$I$1501,MATCH($A837,customer_churn_dataset!$A$2:$A$1501,0))</f>
        <v>24.5</v>
      </c>
      <c r="F836" s="0" t="n">
        <f aca="false">INDEX(customer_churn_dataset!$L$2:$L$1501,MATCH($A837,customer_churn_dataset!$A$2:$A$1501,0))</f>
        <v>4</v>
      </c>
      <c r="G836" s="0" t="str">
        <f aca="false">IF(INDEX(customer_churn_dataset!$M$2:$M$1501,MATCH($A837,customer_churn_dataset!$A$2:$A$1501,0))=1,"Yes","No")</f>
        <v>No</v>
      </c>
      <c r="H836" s="0" t="n">
        <f aca="false">INDEX(customer_churn_dataset!$N$2:$N$1501,MATCH($A837,customer_churn_dataset!$A$2:$A$1501,0))</f>
        <v>105.4</v>
      </c>
      <c r="I836" s="0" t="n">
        <f aca="false">INDEX(customer_churn_dataset!$O$2:$O$1501,MATCH($A837,customer_churn_dataset!$A$2:$A$1501,0))</f>
        <v>1</v>
      </c>
      <c r="J836" s="0" t="n">
        <f aca="false">INDEX(customer_churn_dataset!$T$2:$T$1501,MATCH($A837,customer_churn_dataset!$A$2:$A$1501,0))</f>
        <v>6</v>
      </c>
      <c r="K836" s="0" t="str">
        <f aca="false">INDEX(customer_churn_dataset!$V$2:$V$1501,MATCH($A837,customer_churn_dataset!$A$2:$A$1501,0))</f>
        <v>High Risk</v>
      </c>
    </row>
    <row r="837" customFormat="false" ht="12.8" hidden="true" customHeight="false" outlineLevel="0" collapsed="false">
      <c r="A837" s="22" t="str">
        <f aca="false">customer_churn_dataset!A1384</f>
        <v>CUST101352</v>
      </c>
      <c r="B837" s="22" t="str">
        <f aca="false">customer_churn_dataset!B1384</f>
        <v>Basic</v>
      </c>
      <c r="C837" s="22" t="str">
        <f aca="false">customer_churn_dataset!C1384</f>
        <v>Month-to-month</v>
      </c>
      <c r="D837" s="0" t="n">
        <f aca="false">INDEX(customer_churn_dataset!$E$2:$E$1501,MATCH($A838,customer_churn_dataset!$A$2:$A$1501,0))</f>
        <v>14</v>
      </c>
      <c r="E837" s="0" t="n">
        <f aca="false">INDEX(customer_churn_dataset!$I$2:$I$1501,MATCH($A838,customer_churn_dataset!$A$2:$A$1501,0))</f>
        <v>26.9</v>
      </c>
      <c r="F837" s="0" t="n">
        <f aca="false">INDEX(customer_churn_dataset!$L$2:$L$1501,MATCH($A838,customer_churn_dataset!$A$2:$A$1501,0))</f>
        <v>1</v>
      </c>
      <c r="G837" s="0" t="str">
        <f aca="false">IF(INDEX(customer_churn_dataset!$M$2:$M$1501,MATCH($A838,customer_churn_dataset!$A$2:$A$1501,0))=1,"Yes","No")</f>
        <v>Yes</v>
      </c>
      <c r="H837" s="0" t="n">
        <f aca="false">INDEX(customer_churn_dataset!$N$2:$N$1501,MATCH($A838,customer_churn_dataset!$A$2:$A$1501,0))</f>
        <v>278.18</v>
      </c>
      <c r="I837" s="0" t="n">
        <f aca="false">INDEX(customer_churn_dataset!$O$2:$O$1501,MATCH($A838,customer_churn_dataset!$A$2:$A$1501,0))</f>
        <v>0</v>
      </c>
      <c r="J837" s="0" t="n">
        <f aca="false">INDEX(customer_churn_dataset!$T$2:$T$1501,MATCH($A838,customer_churn_dataset!$A$2:$A$1501,0))</f>
        <v>6</v>
      </c>
      <c r="K837" s="0" t="str">
        <f aca="false">INDEX(customer_churn_dataset!$V$2:$V$1501,MATCH($A838,customer_churn_dataset!$A$2:$A$1501,0))</f>
        <v>High Risk</v>
      </c>
    </row>
    <row r="838" customFormat="false" ht="12.8" hidden="true" customHeight="false" outlineLevel="0" collapsed="false">
      <c r="A838" s="22" t="str">
        <f aca="false">customer_churn_dataset!A1392</f>
        <v>CUST100355</v>
      </c>
      <c r="B838" s="22" t="str">
        <f aca="false">customer_churn_dataset!B1392</f>
        <v>Standard</v>
      </c>
      <c r="C838" s="22" t="str">
        <f aca="false">customer_churn_dataset!C1392</f>
        <v>One year</v>
      </c>
      <c r="D838" s="0" t="n">
        <f aca="false">INDEX(customer_churn_dataset!$E$2:$E$1501,MATCH($A839,customer_churn_dataset!$A$2:$A$1501,0))</f>
        <v>13</v>
      </c>
      <c r="E838" s="0" t="n">
        <f aca="false">INDEX(customer_churn_dataset!$I$2:$I$1501,MATCH($A839,customer_churn_dataset!$A$2:$A$1501,0))</f>
        <v>37</v>
      </c>
      <c r="F838" s="0" t="n">
        <f aca="false">INDEX(customer_churn_dataset!$L$2:$L$1501,MATCH($A839,customer_churn_dataset!$A$2:$A$1501,0))</f>
        <v>5</v>
      </c>
      <c r="G838" s="0" t="str">
        <f aca="false">IF(INDEX(customer_churn_dataset!$M$2:$M$1501,MATCH($A839,customer_churn_dataset!$A$2:$A$1501,0))=1,"Yes","No")</f>
        <v>Yes</v>
      </c>
      <c r="H838" s="0" t="n">
        <f aca="false">INDEX(customer_churn_dataset!$N$2:$N$1501,MATCH($A839,customer_churn_dataset!$A$2:$A$1501,0))</f>
        <v>526.76</v>
      </c>
      <c r="I838" s="0" t="n">
        <f aca="false">INDEX(customer_churn_dataset!$O$2:$O$1501,MATCH($A839,customer_churn_dataset!$A$2:$A$1501,0))</f>
        <v>0</v>
      </c>
      <c r="J838" s="0" t="n">
        <f aca="false">INDEX(customer_churn_dataset!$T$2:$T$1501,MATCH($A839,customer_churn_dataset!$A$2:$A$1501,0))</f>
        <v>7</v>
      </c>
      <c r="K838" s="0" t="str">
        <f aca="false">INDEX(customer_churn_dataset!$V$2:$V$1501,MATCH($A839,customer_churn_dataset!$A$2:$A$1501,0))</f>
        <v>High Risk</v>
      </c>
    </row>
    <row r="839" customFormat="false" ht="12.8" hidden="true" customHeight="false" outlineLevel="0" collapsed="false">
      <c r="A839" s="22" t="str">
        <f aca="false">customer_churn_dataset!A1413</f>
        <v>CUST101148</v>
      </c>
      <c r="B839" s="22" t="str">
        <f aca="false">customer_churn_dataset!B1413</f>
        <v>Premium</v>
      </c>
      <c r="C839" s="22" t="str">
        <f aca="false">customer_churn_dataset!C1413</f>
        <v>One year</v>
      </c>
      <c r="D839" s="0" t="n">
        <f aca="false">INDEX(customer_churn_dataset!$E$2:$E$1501,MATCH($A840,customer_churn_dataset!$A$2:$A$1501,0))</f>
        <v>3</v>
      </c>
      <c r="E839" s="0" t="n">
        <f aca="false">INDEX(customer_churn_dataset!$I$2:$I$1501,MATCH($A840,customer_churn_dataset!$A$2:$A$1501,0))</f>
        <v>61.8</v>
      </c>
      <c r="F839" s="0" t="n">
        <f aca="false">INDEX(customer_churn_dataset!$L$2:$L$1501,MATCH($A840,customer_churn_dataset!$A$2:$A$1501,0))</f>
        <v>1</v>
      </c>
      <c r="G839" s="0" t="str">
        <f aca="false">IF(INDEX(customer_churn_dataset!$M$2:$M$1501,MATCH($A840,customer_churn_dataset!$A$2:$A$1501,0))=1,"Yes","No")</f>
        <v>No</v>
      </c>
      <c r="H839" s="0" t="n">
        <f aca="false">INDEX(customer_churn_dataset!$N$2:$N$1501,MATCH($A840,customer_churn_dataset!$A$2:$A$1501,0))</f>
        <v>121.41</v>
      </c>
      <c r="I839" s="0" t="n">
        <f aca="false">INDEX(customer_churn_dataset!$O$2:$O$1501,MATCH($A840,customer_churn_dataset!$A$2:$A$1501,0))</f>
        <v>0</v>
      </c>
      <c r="J839" s="0" t="n">
        <f aca="false">INDEX(customer_churn_dataset!$T$2:$T$1501,MATCH($A840,customer_churn_dataset!$A$2:$A$1501,0))</f>
        <v>2</v>
      </c>
      <c r="K839" s="0" t="str">
        <f aca="false">INDEX(customer_churn_dataset!$V$2:$V$1501,MATCH($A840,customer_churn_dataset!$A$2:$A$1501,0))</f>
        <v>Low Risk</v>
      </c>
    </row>
    <row r="840" customFormat="false" ht="12.8" hidden="false" customHeight="false" outlineLevel="0" collapsed="false">
      <c r="A840" s="23" t="str">
        <f aca="false">customer_churn_dataset!A1415</f>
        <v>CUST101350</v>
      </c>
      <c r="B840" s="24" t="str">
        <f aca="false">customer_churn_dataset!B1415</f>
        <v>Premium</v>
      </c>
      <c r="C840" s="24" t="str">
        <f aca="false">customer_churn_dataset!C1415</f>
        <v>One year</v>
      </c>
      <c r="D840" s="25" t="n">
        <f aca="false">INDEX(customer_churn_dataset!$E$2:$E$1501,MATCH($A841,customer_churn_dataset!$A$2:$A$1501,0))</f>
        <v>17</v>
      </c>
      <c r="E840" s="25" t="n">
        <f aca="false">INDEX(customer_churn_dataset!$I$2:$I$1501,MATCH($A841,customer_churn_dataset!$A$2:$A$1501,0))</f>
        <v>31.4</v>
      </c>
      <c r="F840" s="25" t="n">
        <f aca="false">INDEX(customer_churn_dataset!$L$2:$L$1501,MATCH($A841,customer_churn_dataset!$A$2:$A$1501,0))</f>
        <v>2</v>
      </c>
      <c r="G840" s="25" t="str">
        <f aca="false">IF(INDEX(customer_churn_dataset!$M$2:$M$1501,MATCH($A841,customer_churn_dataset!$A$2:$A$1501,0))=1,"Yes","No")</f>
        <v>Yes</v>
      </c>
      <c r="H840" s="25" t="n">
        <f aca="false">INDEX(customer_churn_dataset!$N$2:$N$1501,MATCH($A841,customer_churn_dataset!$A$2:$A$1501,0))</f>
        <v>166.43</v>
      </c>
      <c r="I840" s="25" t="n">
        <f aca="false">INDEX(customer_churn_dataset!$O$2:$O$1501,MATCH($A841,customer_churn_dataset!$A$2:$A$1501,0))</f>
        <v>1</v>
      </c>
      <c r="J840" s="25" t="n">
        <f aca="false">INDEX(customer_churn_dataset!$T$2:$T$1501,MATCH($A841,customer_churn_dataset!$A$2:$A$1501,0))</f>
        <v>8</v>
      </c>
      <c r="K840" s="25" t="str">
        <f aca="false">INDEX(customer_churn_dataset!$V$2:$V$1501,MATCH($A841,customer_churn_dataset!$A$2:$A$1501,0))</f>
        <v>High Risk</v>
      </c>
    </row>
    <row r="841" customFormat="false" ht="12.8" hidden="true" customHeight="false" outlineLevel="0" collapsed="false">
      <c r="A841" s="22" t="str">
        <f aca="false">customer_churn_dataset!A1440</f>
        <v>CUST100391</v>
      </c>
      <c r="B841" s="22" t="str">
        <f aca="false">customer_churn_dataset!B1440</f>
        <v>Basic</v>
      </c>
      <c r="C841" s="22" t="str">
        <f aca="false">customer_churn_dataset!C1440</f>
        <v>Month-to-month</v>
      </c>
      <c r="D841" s="0" t="n">
        <f aca="false">INDEX(customer_churn_dataset!$E$2:$E$1501,MATCH($A842,customer_churn_dataset!$A$2:$A$1501,0))</f>
        <v>50</v>
      </c>
      <c r="E841" s="0" t="n">
        <f aca="false">INDEX(customer_churn_dataset!$I$2:$I$1501,MATCH($A842,customer_churn_dataset!$A$2:$A$1501,0))</f>
        <v>14.4</v>
      </c>
      <c r="F841" s="0" t="n">
        <f aca="false">INDEX(customer_churn_dataset!$L$2:$L$1501,MATCH($A842,customer_churn_dataset!$A$2:$A$1501,0))</f>
        <v>2</v>
      </c>
      <c r="G841" s="0" t="str">
        <f aca="false">IF(INDEX(customer_churn_dataset!$M$2:$M$1501,MATCH($A842,customer_churn_dataset!$A$2:$A$1501,0))=1,"Yes","No")</f>
        <v>No</v>
      </c>
      <c r="H841" s="0" t="n">
        <f aca="false">INDEX(customer_churn_dataset!$N$2:$N$1501,MATCH($A842,customer_churn_dataset!$A$2:$A$1501,0))</f>
        <v>558</v>
      </c>
      <c r="I841" s="0" t="n">
        <f aca="false">INDEX(customer_churn_dataset!$O$2:$O$1501,MATCH($A842,customer_churn_dataset!$A$2:$A$1501,0))</f>
        <v>0</v>
      </c>
      <c r="J841" s="0" t="n">
        <f aca="false">INDEX(customer_churn_dataset!$T$2:$T$1501,MATCH($A842,customer_churn_dataset!$A$2:$A$1501,0))</f>
        <v>5</v>
      </c>
      <c r="K841" s="0" t="str">
        <f aca="false">INDEX(customer_churn_dataset!$V$2:$V$1501,MATCH($A842,customer_churn_dataset!$A$2:$A$1501,0))</f>
        <v>Medium Risk</v>
      </c>
    </row>
    <row r="842" customFormat="false" ht="12.8" hidden="true" customHeight="false" outlineLevel="0" collapsed="false">
      <c r="A842" s="22" t="str">
        <f aca="false">customer_churn_dataset!A1469</f>
        <v>CUST100281</v>
      </c>
      <c r="B842" s="22" t="str">
        <f aca="false">customer_churn_dataset!B1469</f>
        <v>Basic</v>
      </c>
      <c r="C842" s="22" t="str">
        <f aca="false">customer_churn_dataset!C1469</f>
        <v>Month-to-month</v>
      </c>
      <c r="D842" s="0" t="n">
        <f aca="false">INDEX(customer_churn_dataset!$E$2:$E$1501,MATCH($A843,customer_churn_dataset!$A$2:$A$1501,0))</f>
        <v>20</v>
      </c>
      <c r="E842" s="0" t="n">
        <f aca="false">INDEX(customer_churn_dataset!$I$2:$I$1501,MATCH($A843,customer_churn_dataset!$A$2:$A$1501,0))</f>
        <v>78.8</v>
      </c>
      <c r="F842" s="0" t="n">
        <f aca="false">INDEX(customer_churn_dataset!$L$2:$L$1501,MATCH($A843,customer_churn_dataset!$A$2:$A$1501,0))</f>
        <v>2</v>
      </c>
      <c r="G842" s="0" t="str">
        <f aca="false">IF(INDEX(customer_churn_dataset!$M$2:$M$1501,MATCH($A843,customer_churn_dataset!$A$2:$A$1501,0))=1,"Yes","No")</f>
        <v>Yes</v>
      </c>
      <c r="H842" s="0" t="n">
        <f aca="false">INDEX(customer_churn_dataset!$N$2:$N$1501,MATCH($A843,customer_churn_dataset!$A$2:$A$1501,0))</f>
        <v>426.2</v>
      </c>
      <c r="I842" s="0" t="n">
        <f aca="false">INDEX(customer_churn_dataset!$O$2:$O$1501,MATCH($A843,customer_churn_dataset!$A$2:$A$1501,0))</f>
        <v>0</v>
      </c>
      <c r="J842" s="0" t="n">
        <f aca="false">INDEX(customer_churn_dataset!$T$2:$T$1501,MATCH($A843,customer_churn_dataset!$A$2:$A$1501,0))</f>
        <v>6</v>
      </c>
      <c r="K842" s="0" t="str">
        <f aca="false">INDEX(customer_churn_dataset!$V$2:$V$1501,MATCH($A843,customer_churn_dataset!$A$2:$A$1501,0))</f>
        <v>High Risk</v>
      </c>
    </row>
    <row r="843" customFormat="false" ht="12.8" hidden="true" customHeight="false" outlineLevel="0" collapsed="false">
      <c r="A843" s="22" t="str">
        <f aca="false">customer_churn_dataset!A2</f>
        <v>CUST100500</v>
      </c>
      <c r="B843" s="22" t="str">
        <f aca="false">customer_churn_dataset!B2</f>
        <v>Standard</v>
      </c>
      <c r="C843" s="22" t="str">
        <f aca="false">customer_churn_dataset!C2</f>
        <v>Month-to-month</v>
      </c>
      <c r="D843" s="0" t="n">
        <f aca="false">INDEX(customer_churn_dataset!$E$2:$E$1501,MATCH($A844,customer_churn_dataset!$A$2:$A$1501,0))</f>
        <v>38</v>
      </c>
      <c r="E843" s="0" t="n">
        <f aca="false">INDEX(customer_churn_dataset!$I$2:$I$1501,MATCH($A844,customer_churn_dataset!$A$2:$A$1501,0))</f>
        <v>81.3</v>
      </c>
      <c r="F843" s="0" t="n">
        <f aca="false">INDEX(customer_churn_dataset!$L$2:$L$1501,MATCH($A844,customer_churn_dataset!$A$2:$A$1501,0))</f>
        <v>1</v>
      </c>
      <c r="G843" s="0" t="str">
        <f aca="false">IF(INDEX(customer_churn_dataset!$M$2:$M$1501,MATCH($A844,customer_churn_dataset!$A$2:$A$1501,0))=1,"Yes","No")</f>
        <v>No</v>
      </c>
      <c r="H843" s="0" t="n">
        <f aca="false">INDEX(customer_churn_dataset!$N$2:$N$1501,MATCH($A844,customer_churn_dataset!$A$2:$A$1501,0))</f>
        <v>763.04</v>
      </c>
      <c r="I843" s="0" t="n">
        <f aca="false">INDEX(customer_churn_dataset!$O$2:$O$1501,MATCH($A844,customer_churn_dataset!$A$2:$A$1501,0))</f>
        <v>0</v>
      </c>
      <c r="J843" s="0" t="n">
        <f aca="false">INDEX(customer_churn_dataset!$T$2:$T$1501,MATCH($A844,customer_churn_dataset!$A$2:$A$1501,0))</f>
        <v>2</v>
      </c>
      <c r="K843" s="0" t="str">
        <f aca="false">INDEX(customer_churn_dataset!$V$2:$V$1501,MATCH($A844,customer_churn_dataset!$A$2:$A$1501,0))</f>
        <v>Low Risk</v>
      </c>
    </row>
    <row r="844" customFormat="false" ht="12.8" hidden="true" customHeight="false" outlineLevel="0" collapsed="false">
      <c r="A844" s="22" t="str">
        <f aca="false">customer_churn_dataset!A24</f>
        <v>CUST100912</v>
      </c>
      <c r="B844" s="22" t="str">
        <f aca="false">customer_churn_dataset!B24</f>
        <v>Standard</v>
      </c>
      <c r="C844" s="22" t="str">
        <f aca="false">customer_churn_dataset!C24</f>
        <v>Month-to-month</v>
      </c>
      <c r="D844" s="0" t="n">
        <f aca="false">INDEX(customer_churn_dataset!$E$2:$E$1501,MATCH($A845,customer_churn_dataset!$A$2:$A$1501,0))</f>
        <v>5</v>
      </c>
      <c r="E844" s="0" t="n">
        <f aca="false">INDEX(customer_churn_dataset!$I$2:$I$1501,MATCH($A845,customer_churn_dataset!$A$2:$A$1501,0))</f>
        <v>71.4</v>
      </c>
      <c r="F844" s="0" t="n">
        <f aca="false">INDEX(customer_churn_dataset!$L$2:$L$1501,MATCH($A845,customer_churn_dataset!$A$2:$A$1501,0))</f>
        <v>2</v>
      </c>
      <c r="G844" s="0" t="str">
        <f aca="false">IF(INDEX(customer_churn_dataset!$M$2:$M$1501,MATCH($A845,customer_churn_dataset!$A$2:$A$1501,0))=1,"Yes","No")</f>
        <v>No</v>
      </c>
      <c r="H844" s="0" t="n">
        <f aca="false">INDEX(customer_churn_dataset!$N$2:$N$1501,MATCH($A845,customer_churn_dataset!$A$2:$A$1501,0))</f>
        <v>191.85</v>
      </c>
      <c r="I844" s="0" t="n">
        <f aca="false">INDEX(customer_churn_dataset!$O$2:$O$1501,MATCH($A845,customer_churn_dataset!$A$2:$A$1501,0))</f>
        <v>0</v>
      </c>
      <c r="J844" s="0" t="n">
        <f aca="false">INDEX(customer_churn_dataset!$T$2:$T$1501,MATCH($A845,customer_churn_dataset!$A$2:$A$1501,0))</f>
        <v>2</v>
      </c>
      <c r="K844" s="0" t="str">
        <f aca="false">INDEX(customer_churn_dataset!$V$2:$V$1501,MATCH($A845,customer_churn_dataset!$A$2:$A$1501,0))</f>
        <v>Low Risk</v>
      </c>
    </row>
    <row r="845" customFormat="false" ht="12.8" hidden="true" customHeight="false" outlineLevel="0" collapsed="false">
      <c r="A845" s="22" t="str">
        <f aca="false">customer_churn_dataset!A21</f>
        <v>CUST100575</v>
      </c>
      <c r="B845" s="22" t="str">
        <f aca="false">customer_churn_dataset!B21</f>
        <v>Premium</v>
      </c>
      <c r="C845" s="22" t="str">
        <f aca="false">customer_churn_dataset!C21</f>
        <v>Two year</v>
      </c>
      <c r="D845" s="0" t="n">
        <f aca="false">INDEX(customer_churn_dataset!$E$2:$E$1501,MATCH($A846,customer_churn_dataset!$A$2:$A$1501,0))</f>
        <v>46</v>
      </c>
      <c r="E845" s="0" t="n">
        <f aca="false">INDEX(customer_churn_dataset!$I$2:$I$1501,MATCH($A846,customer_churn_dataset!$A$2:$A$1501,0))</f>
        <v>60.9</v>
      </c>
      <c r="F845" s="0" t="n">
        <f aca="false">INDEX(customer_churn_dataset!$L$2:$L$1501,MATCH($A846,customer_churn_dataset!$A$2:$A$1501,0))</f>
        <v>0</v>
      </c>
      <c r="G845" s="0" t="str">
        <f aca="false">IF(INDEX(customer_churn_dataset!$M$2:$M$1501,MATCH($A846,customer_churn_dataset!$A$2:$A$1501,0))=1,"Yes","No")</f>
        <v>No</v>
      </c>
      <c r="H845" s="0" t="n">
        <f aca="false">INDEX(customer_churn_dataset!$N$2:$N$1501,MATCH($A846,customer_churn_dataset!$A$2:$A$1501,0))</f>
        <v>953.12</v>
      </c>
      <c r="I845" s="0" t="n">
        <f aca="false">INDEX(customer_churn_dataset!$O$2:$O$1501,MATCH($A846,customer_churn_dataset!$A$2:$A$1501,0))</f>
        <v>0</v>
      </c>
      <c r="J845" s="0" t="n">
        <f aca="false">INDEX(customer_churn_dataset!$T$2:$T$1501,MATCH($A846,customer_churn_dataset!$A$2:$A$1501,0))</f>
        <v>2</v>
      </c>
      <c r="K845" s="0" t="str">
        <f aca="false">INDEX(customer_churn_dataset!$V$2:$V$1501,MATCH($A846,customer_churn_dataset!$A$2:$A$1501,0))</f>
        <v>Low Risk</v>
      </c>
    </row>
    <row r="846" customFormat="false" ht="12.8" hidden="true" customHeight="false" outlineLevel="0" collapsed="false">
      <c r="A846" s="22" t="str">
        <f aca="false">customer_churn_dataset!A47</f>
        <v>CUST100279</v>
      </c>
      <c r="B846" s="22" t="str">
        <f aca="false">customer_churn_dataset!B47</f>
        <v>Standard</v>
      </c>
      <c r="C846" s="22" t="str">
        <f aca="false">customer_churn_dataset!C47</f>
        <v>Month-to-month</v>
      </c>
      <c r="D846" s="0" t="n">
        <f aca="false">INDEX(customer_churn_dataset!$E$2:$E$1501,MATCH($A847,customer_churn_dataset!$A$2:$A$1501,0))</f>
        <v>0</v>
      </c>
      <c r="E846" s="0" t="n">
        <f aca="false">INDEX(customer_churn_dataset!$I$2:$I$1501,MATCH($A847,customer_churn_dataset!$A$2:$A$1501,0))</f>
        <v>62.5</v>
      </c>
      <c r="F846" s="0" t="n">
        <f aca="false">INDEX(customer_churn_dataset!$L$2:$L$1501,MATCH($A847,customer_churn_dataset!$A$2:$A$1501,0))</f>
        <v>0</v>
      </c>
      <c r="G846" s="0" t="str">
        <f aca="false">IF(INDEX(customer_churn_dataset!$M$2:$M$1501,MATCH($A847,customer_churn_dataset!$A$2:$A$1501,0))=1,"Yes","No")</f>
        <v>No</v>
      </c>
      <c r="H846" s="0" t="n">
        <f aca="false">INDEX(customer_churn_dataset!$N$2:$N$1501,MATCH($A847,customer_churn_dataset!$A$2:$A$1501,0))</f>
        <v>0</v>
      </c>
      <c r="I846" s="0" t="n">
        <f aca="false">INDEX(customer_churn_dataset!$O$2:$O$1501,MATCH($A847,customer_churn_dataset!$A$2:$A$1501,0))</f>
        <v>0</v>
      </c>
      <c r="J846" s="0" t="n">
        <f aca="false">INDEX(customer_churn_dataset!$T$2:$T$1501,MATCH($A847,customer_churn_dataset!$A$2:$A$1501,0))</f>
        <v>2</v>
      </c>
      <c r="K846" s="0" t="str">
        <f aca="false">INDEX(customer_churn_dataset!$V$2:$V$1501,MATCH($A847,customer_churn_dataset!$A$2:$A$1501,0))</f>
        <v>Low Risk</v>
      </c>
    </row>
    <row r="847" customFormat="false" ht="12.8" hidden="true" customHeight="false" outlineLevel="0" collapsed="false">
      <c r="A847" s="22" t="str">
        <f aca="false">customer_churn_dataset!A36</f>
        <v>CUST100426</v>
      </c>
      <c r="B847" s="22" t="str">
        <f aca="false">customer_churn_dataset!B36</f>
        <v>Basic</v>
      </c>
      <c r="C847" s="22" t="str">
        <f aca="false">customer_churn_dataset!C36</f>
        <v>One year</v>
      </c>
      <c r="D847" s="0" t="n">
        <f aca="false">INDEX(customer_churn_dataset!$E$2:$E$1501,MATCH($A848,customer_churn_dataset!$A$2:$A$1501,0))</f>
        <v>11</v>
      </c>
      <c r="E847" s="0" t="n">
        <f aca="false">INDEX(customer_churn_dataset!$I$2:$I$1501,MATCH($A848,customer_churn_dataset!$A$2:$A$1501,0))</f>
        <v>38.5</v>
      </c>
      <c r="F847" s="0" t="n">
        <f aca="false">INDEX(customer_churn_dataset!$L$2:$L$1501,MATCH($A848,customer_churn_dataset!$A$2:$A$1501,0))</f>
        <v>1</v>
      </c>
      <c r="G847" s="0" t="str">
        <f aca="false">IF(INDEX(customer_churn_dataset!$M$2:$M$1501,MATCH($A848,customer_churn_dataset!$A$2:$A$1501,0))=1,"Yes","No")</f>
        <v>No</v>
      </c>
      <c r="H847" s="0" t="n">
        <f aca="false">INDEX(customer_churn_dataset!$N$2:$N$1501,MATCH($A848,customer_churn_dataset!$A$2:$A$1501,0))</f>
        <v>119.68</v>
      </c>
      <c r="I847" s="0" t="n">
        <f aca="false">INDEX(customer_churn_dataset!$O$2:$O$1501,MATCH($A848,customer_churn_dataset!$A$2:$A$1501,0))</f>
        <v>0</v>
      </c>
      <c r="J847" s="0" t="n">
        <f aca="false">INDEX(customer_churn_dataset!$T$2:$T$1501,MATCH($A848,customer_churn_dataset!$A$2:$A$1501,0))</f>
        <v>3</v>
      </c>
      <c r="K847" s="0" t="str">
        <f aca="false">INDEX(customer_churn_dataset!$V$2:$V$1501,MATCH($A848,customer_churn_dataset!$A$2:$A$1501,0))</f>
        <v>Medium Risk</v>
      </c>
    </row>
    <row r="848" customFormat="false" ht="12.8" hidden="true" customHeight="false" outlineLevel="0" collapsed="false">
      <c r="A848" s="22" t="str">
        <f aca="false">customer_churn_dataset!A45</f>
        <v>CUST101096</v>
      </c>
      <c r="B848" s="22" t="str">
        <f aca="false">customer_churn_dataset!B45</f>
        <v>Basic</v>
      </c>
      <c r="C848" s="22" t="str">
        <f aca="false">customer_churn_dataset!C45</f>
        <v>Two year</v>
      </c>
      <c r="D848" s="0" t="n">
        <f aca="false">INDEX(customer_churn_dataset!$E$2:$E$1501,MATCH($A849,customer_churn_dataset!$A$2:$A$1501,0))</f>
        <v>18</v>
      </c>
      <c r="E848" s="0" t="n">
        <f aca="false">INDEX(customer_churn_dataset!$I$2:$I$1501,MATCH($A849,customer_churn_dataset!$A$2:$A$1501,0))</f>
        <v>88.9</v>
      </c>
      <c r="F848" s="0" t="n">
        <f aca="false">INDEX(customer_churn_dataset!$L$2:$L$1501,MATCH($A849,customer_churn_dataset!$A$2:$A$1501,0))</f>
        <v>0</v>
      </c>
      <c r="G848" s="0" t="str">
        <f aca="false">IF(INDEX(customer_churn_dataset!$M$2:$M$1501,MATCH($A849,customer_churn_dataset!$A$2:$A$1501,0))=1,"Yes","No")</f>
        <v>No</v>
      </c>
      <c r="H848" s="0" t="n">
        <f aca="false">INDEX(customer_churn_dataset!$N$2:$N$1501,MATCH($A849,customer_churn_dataset!$A$2:$A$1501,0))</f>
        <v>163.8</v>
      </c>
      <c r="I848" s="0" t="n">
        <f aca="false">INDEX(customer_churn_dataset!$O$2:$O$1501,MATCH($A849,customer_churn_dataset!$A$2:$A$1501,0))</f>
        <v>1</v>
      </c>
      <c r="J848" s="0" t="n">
        <f aca="false">INDEX(customer_churn_dataset!$T$2:$T$1501,MATCH($A849,customer_churn_dataset!$A$2:$A$1501,0))</f>
        <v>2</v>
      </c>
      <c r="K848" s="0" t="str">
        <f aca="false">INDEX(customer_churn_dataset!$V$2:$V$1501,MATCH($A849,customer_churn_dataset!$A$2:$A$1501,0))</f>
        <v>Low Risk</v>
      </c>
    </row>
    <row r="849" customFormat="false" ht="12.8" hidden="true" customHeight="false" outlineLevel="0" collapsed="false">
      <c r="A849" s="22" t="str">
        <f aca="false">customer_churn_dataset!A17</f>
        <v>CUST100655</v>
      </c>
      <c r="B849" s="22" t="str">
        <f aca="false">customer_churn_dataset!B17</f>
        <v>Basic</v>
      </c>
      <c r="C849" s="22" t="str">
        <f aca="false">customer_churn_dataset!C17</f>
        <v>Month-to-month</v>
      </c>
      <c r="D849" s="0" t="n">
        <f aca="false">INDEX(customer_churn_dataset!$E$2:$E$1501,MATCH($A850,customer_churn_dataset!$A$2:$A$1501,0))</f>
        <v>18</v>
      </c>
      <c r="E849" s="0" t="n">
        <f aca="false">INDEX(customer_churn_dataset!$I$2:$I$1501,MATCH($A850,customer_churn_dataset!$A$2:$A$1501,0))</f>
        <v>65.9</v>
      </c>
      <c r="F849" s="0" t="n">
        <f aca="false">INDEX(customer_churn_dataset!$L$2:$L$1501,MATCH($A850,customer_churn_dataset!$A$2:$A$1501,0))</f>
        <v>3</v>
      </c>
      <c r="G849" s="0" t="str">
        <f aca="false">IF(INDEX(customer_churn_dataset!$M$2:$M$1501,MATCH($A850,customer_churn_dataset!$A$2:$A$1501,0))=1,"Yes","No")</f>
        <v>No</v>
      </c>
      <c r="H849" s="0" t="n">
        <f aca="false">INDEX(customer_churn_dataset!$N$2:$N$1501,MATCH($A850,customer_churn_dataset!$A$2:$A$1501,0))</f>
        <v>334.44</v>
      </c>
      <c r="I849" s="0" t="n">
        <f aca="false">INDEX(customer_churn_dataset!$O$2:$O$1501,MATCH($A850,customer_churn_dataset!$A$2:$A$1501,0))</f>
        <v>0</v>
      </c>
      <c r="J849" s="0" t="n">
        <f aca="false">INDEX(customer_churn_dataset!$T$2:$T$1501,MATCH($A850,customer_churn_dataset!$A$2:$A$1501,0))</f>
        <v>3</v>
      </c>
      <c r="K849" s="0" t="str">
        <f aca="false">INDEX(customer_churn_dataset!$V$2:$V$1501,MATCH($A850,customer_churn_dataset!$A$2:$A$1501,0))</f>
        <v>Medium Risk</v>
      </c>
    </row>
    <row r="850" customFormat="false" ht="12.8" hidden="true" customHeight="false" outlineLevel="0" collapsed="false">
      <c r="A850" s="22" t="str">
        <f aca="false">customer_churn_dataset!A50</f>
        <v>CUST101487</v>
      </c>
      <c r="B850" s="22" t="str">
        <f aca="false">customer_churn_dataset!B50</f>
        <v>Standard</v>
      </c>
      <c r="C850" s="22" t="str">
        <f aca="false">customer_churn_dataset!C50</f>
        <v>Month-to-month</v>
      </c>
      <c r="D850" s="0" t="n">
        <f aca="false">INDEX(customer_churn_dataset!$E$2:$E$1501,MATCH($A851,customer_churn_dataset!$A$2:$A$1501,0))</f>
        <v>29</v>
      </c>
      <c r="E850" s="0" t="n">
        <f aca="false">INDEX(customer_churn_dataset!$I$2:$I$1501,MATCH($A851,customer_churn_dataset!$A$2:$A$1501,0))</f>
        <v>42.4</v>
      </c>
      <c r="F850" s="0" t="n">
        <f aca="false">INDEX(customer_churn_dataset!$L$2:$L$1501,MATCH($A851,customer_churn_dataset!$A$2:$A$1501,0))</f>
        <v>1</v>
      </c>
      <c r="G850" s="0" t="str">
        <f aca="false">IF(INDEX(customer_churn_dataset!$M$2:$M$1501,MATCH($A851,customer_churn_dataset!$A$2:$A$1501,0))=1,"Yes","No")</f>
        <v>No</v>
      </c>
      <c r="H850" s="0" t="n">
        <f aca="false">INDEX(customer_churn_dataset!$N$2:$N$1501,MATCH($A851,customer_churn_dataset!$A$2:$A$1501,0))</f>
        <v>343.07</v>
      </c>
      <c r="I850" s="0" t="n">
        <f aca="false">INDEX(customer_churn_dataset!$O$2:$O$1501,MATCH($A851,customer_churn_dataset!$A$2:$A$1501,0))</f>
        <v>0</v>
      </c>
      <c r="J850" s="0" t="n">
        <f aca="false">INDEX(customer_churn_dataset!$T$2:$T$1501,MATCH($A851,customer_churn_dataset!$A$2:$A$1501,0))</f>
        <v>3</v>
      </c>
      <c r="K850" s="0" t="str">
        <f aca="false">INDEX(customer_churn_dataset!$V$2:$V$1501,MATCH($A851,customer_churn_dataset!$A$2:$A$1501,0))</f>
        <v>Medium Risk</v>
      </c>
    </row>
    <row r="851" customFormat="false" ht="12.8" hidden="true" customHeight="false" outlineLevel="0" collapsed="false">
      <c r="A851" s="22" t="str">
        <f aca="false">customer_churn_dataset!A66</f>
        <v>CUST100569</v>
      </c>
      <c r="B851" s="22" t="str">
        <f aca="false">customer_churn_dataset!B66</f>
        <v>Basic</v>
      </c>
      <c r="C851" s="22" t="str">
        <f aca="false">customer_churn_dataset!C66</f>
        <v>Month-to-month</v>
      </c>
      <c r="D851" s="0" t="n">
        <f aca="false">INDEX(customer_churn_dataset!$E$2:$E$1501,MATCH($A852,customer_churn_dataset!$A$2:$A$1501,0))</f>
        <v>3</v>
      </c>
      <c r="E851" s="0" t="n">
        <f aca="false">INDEX(customer_churn_dataset!$I$2:$I$1501,MATCH($A852,customer_churn_dataset!$A$2:$A$1501,0))</f>
        <v>43.9</v>
      </c>
      <c r="F851" s="0" t="n">
        <f aca="false">INDEX(customer_churn_dataset!$L$2:$L$1501,MATCH($A852,customer_churn_dataset!$A$2:$A$1501,0))</f>
        <v>1</v>
      </c>
      <c r="G851" s="0" t="str">
        <f aca="false">IF(INDEX(customer_churn_dataset!$M$2:$M$1501,MATCH($A852,customer_churn_dataset!$A$2:$A$1501,0))=1,"Yes","No")</f>
        <v>No</v>
      </c>
      <c r="H851" s="0" t="n">
        <f aca="false">INDEX(customer_churn_dataset!$N$2:$N$1501,MATCH($A852,customer_churn_dataset!$A$2:$A$1501,0))</f>
        <v>28.08</v>
      </c>
      <c r="I851" s="0" t="n">
        <f aca="false">INDEX(customer_churn_dataset!$O$2:$O$1501,MATCH($A852,customer_churn_dataset!$A$2:$A$1501,0))</f>
        <v>0</v>
      </c>
      <c r="J851" s="0" t="n">
        <f aca="false">INDEX(customer_churn_dataset!$T$2:$T$1501,MATCH($A852,customer_churn_dataset!$A$2:$A$1501,0))</f>
        <v>3</v>
      </c>
      <c r="K851" s="0" t="str">
        <f aca="false">INDEX(customer_churn_dataset!$V$2:$V$1501,MATCH($A852,customer_churn_dataset!$A$2:$A$1501,0))</f>
        <v>Medium Risk</v>
      </c>
    </row>
    <row r="852" customFormat="false" ht="12.8" hidden="true" customHeight="false" outlineLevel="0" collapsed="false">
      <c r="A852" s="22" t="str">
        <f aca="false">customer_churn_dataset!A88</f>
        <v>CUST100822</v>
      </c>
      <c r="B852" s="22" t="str">
        <f aca="false">customer_churn_dataset!B88</f>
        <v>Basic</v>
      </c>
      <c r="C852" s="22" t="str">
        <f aca="false">customer_churn_dataset!C88</f>
        <v>One year</v>
      </c>
      <c r="D852" s="0" t="n">
        <f aca="false">INDEX(customer_churn_dataset!$E$2:$E$1501,MATCH($A853,customer_churn_dataset!$A$2:$A$1501,0))</f>
        <v>5</v>
      </c>
      <c r="E852" s="0" t="n">
        <f aca="false">INDEX(customer_churn_dataset!$I$2:$I$1501,MATCH($A853,customer_churn_dataset!$A$2:$A$1501,0))</f>
        <v>59.7</v>
      </c>
      <c r="F852" s="0" t="n">
        <f aca="false">INDEX(customer_churn_dataset!$L$2:$L$1501,MATCH($A853,customer_churn_dataset!$A$2:$A$1501,0))</f>
        <v>0</v>
      </c>
      <c r="G852" s="0" t="str">
        <f aca="false">IF(INDEX(customer_churn_dataset!$M$2:$M$1501,MATCH($A853,customer_churn_dataset!$A$2:$A$1501,0))=1,"Yes","No")</f>
        <v>No</v>
      </c>
      <c r="H852" s="0" t="n">
        <f aca="false">INDEX(customer_churn_dataset!$N$2:$N$1501,MATCH($A853,customer_churn_dataset!$A$2:$A$1501,0))</f>
        <v>53.9</v>
      </c>
      <c r="I852" s="0" t="n">
        <f aca="false">INDEX(customer_churn_dataset!$O$2:$O$1501,MATCH($A853,customer_churn_dataset!$A$2:$A$1501,0))</f>
        <v>0</v>
      </c>
      <c r="J852" s="0" t="n">
        <f aca="false">INDEX(customer_churn_dataset!$T$2:$T$1501,MATCH($A853,customer_churn_dataset!$A$2:$A$1501,0))</f>
        <v>2</v>
      </c>
      <c r="K852" s="0" t="str">
        <f aca="false">INDEX(customer_churn_dataset!$V$2:$V$1501,MATCH($A853,customer_churn_dataset!$A$2:$A$1501,0))</f>
        <v>Low Risk</v>
      </c>
    </row>
    <row r="853" customFormat="false" ht="12.8" hidden="true" customHeight="false" outlineLevel="0" collapsed="false">
      <c r="A853" s="22" t="str">
        <f aca="false">customer_churn_dataset!A89</f>
        <v>CUST101071</v>
      </c>
      <c r="B853" s="22" t="str">
        <f aca="false">customer_churn_dataset!B89</f>
        <v>Basic</v>
      </c>
      <c r="C853" s="22" t="str">
        <f aca="false">customer_churn_dataset!C89</f>
        <v>One year</v>
      </c>
      <c r="D853" s="0" t="n">
        <f aca="false">INDEX(customer_churn_dataset!$E$2:$E$1501,MATCH($A854,customer_churn_dataset!$A$2:$A$1501,0))</f>
        <v>1</v>
      </c>
      <c r="E853" s="0" t="n">
        <f aca="false">INDEX(customer_churn_dataset!$I$2:$I$1501,MATCH($A854,customer_churn_dataset!$A$2:$A$1501,0))</f>
        <v>31.4</v>
      </c>
      <c r="F853" s="0" t="n">
        <f aca="false">INDEX(customer_churn_dataset!$L$2:$L$1501,MATCH($A854,customer_churn_dataset!$A$2:$A$1501,0))</f>
        <v>0</v>
      </c>
      <c r="G853" s="0" t="str">
        <f aca="false">IF(INDEX(customer_churn_dataset!$M$2:$M$1501,MATCH($A854,customer_churn_dataset!$A$2:$A$1501,0))=1,"Yes","No")</f>
        <v>No</v>
      </c>
      <c r="H853" s="0" t="n">
        <f aca="false">INDEX(customer_churn_dataset!$N$2:$N$1501,MATCH($A854,customer_churn_dataset!$A$2:$A$1501,0))</f>
        <v>40.05</v>
      </c>
      <c r="I853" s="0" t="n">
        <f aca="false">INDEX(customer_churn_dataset!$O$2:$O$1501,MATCH($A854,customer_churn_dataset!$A$2:$A$1501,0))</f>
        <v>1</v>
      </c>
      <c r="J853" s="0" t="n">
        <f aca="false">INDEX(customer_churn_dataset!$T$2:$T$1501,MATCH($A854,customer_churn_dataset!$A$2:$A$1501,0))</f>
        <v>5</v>
      </c>
      <c r="K853" s="0" t="str">
        <f aca="false">INDEX(customer_churn_dataset!$V$2:$V$1501,MATCH($A854,customer_churn_dataset!$A$2:$A$1501,0))</f>
        <v>Medium Risk</v>
      </c>
    </row>
    <row r="854" customFormat="false" ht="12.8" hidden="true" customHeight="false" outlineLevel="0" collapsed="false">
      <c r="A854" s="22" t="str">
        <f aca="false">customer_churn_dataset!A97</f>
        <v>CUST100256</v>
      </c>
      <c r="B854" s="22" t="str">
        <f aca="false">customer_churn_dataset!B97</f>
        <v>Premium</v>
      </c>
      <c r="C854" s="22" t="str">
        <f aca="false">customer_churn_dataset!C97</f>
        <v>Month-to-month</v>
      </c>
      <c r="D854" s="0" t="n">
        <f aca="false">INDEX(customer_churn_dataset!$E$2:$E$1501,MATCH($A855,customer_churn_dataset!$A$2:$A$1501,0))</f>
        <v>8</v>
      </c>
      <c r="E854" s="0" t="n">
        <f aca="false">INDEX(customer_churn_dataset!$I$2:$I$1501,MATCH($A855,customer_churn_dataset!$A$2:$A$1501,0))</f>
        <v>76</v>
      </c>
      <c r="F854" s="0" t="n">
        <f aca="false">INDEX(customer_churn_dataset!$L$2:$L$1501,MATCH($A855,customer_churn_dataset!$A$2:$A$1501,0))</f>
        <v>1</v>
      </c>
      <c r="G854" s="0" t="str">
        <f aca="false">IF(INDEX(customer_churn_dataset!$M$2:$M$1501,MATCH($A855,customer_churn_dataset!$A$2:$A$1501,0))=1,"Yes","No")</f>
        <v>No</v>
      </c>
      <c r="H854" s="0" t="n">
        <f aca="false">INDEX(customer_churn_dataset!$N$2:$N$1501,MATCH($A855,customer_churn_dataset!$A$2:$A$1501,0))</f>
        <v>78.64</v>
      </c>
      <c r="I854" s="0" t="n">
        <f aca="false">INDEX(customer_churn_dataset!$O$2:$O$1501,MATCH($A855,customer_churn_dataset!$A$2:$A$1501,0))</f>
        <v>0</v>
      </c>
      <c r="J854" s="0" t="n">
        <f aca="false">INDEX(customer_churn_dataset!$T$2:$T$1501,MATCH($A855,customer_churn_dataset!$A$2:$A$1501,0))</f>
        <v>3</v>
      </c>
      <c r="K854" s="0" t="str">
        <f aca="false">INDEX(customer_churn_dataset!$V$2:$V$1501,MATCH($A855,customer_churn_dataset!$A$2:$A$1501,0))</f>
        <v>Medium Risk</v>
      </c>
    </row>
    <row r="855" customFormat="false" ht="12.8" hidden="true" customHeight="false" outlineLevel="0" collapsed="false">
      <c r="A855" s="22" t="str">
        <f aca="false">customer_churn_dataset!A105</f>
        <v>CUST101210</v>
      </c>
      <c r="B855" s="22" t="str">
        <f aca="false">customer_churn_dataset!B105</f>
        <v>Basic</v>
      </c>
      <c r="C855" s="22" t="str">
        <f aca="false">customer_churn_dataset!C105</f>
        <v>Month-to-month</v>
      </c>
      <c r="D855" s="0" t="n">
        <f aca="false">INDEX(customer_churn_dataset!$E$2:$E$1501,MATCH($A856,customer_churn_dataset!$A$2:$A$1501,0))</f>
        <v>72</v>
      </c>
      <c r="E855" s="0" t="n">
        <f aca="false">INDEX(customer_churn_dataset!$I$2:$I$1501,MATCH($A856,customer_churn_dataset!$A$2:$A$1501,0))</f>
        <v>19.7</v>
      </c>
      <c r="F855" s="0" t="n">
        <f aca="false">INDEX(customer_churn_dataset!$L$2:$L$1501,MATCH($A856,customer_churn_dataset!$A$2:$A$1501,0))</f>
        <v>5</v>
      </c>
      <c r="G855" s="0" t="str">
        <f aca="false">IF(INDEX(customer_churn_dataset!$M$2:$M$1501,MATCH($A856,customer_churn_dataset!$A$2:$A$1501,0))=1,"Yes","No")</f>
        <v>No</v>
      </c>
      <c r="H855" s="0" t="n">
        <f aca="false">INDEX(customer_churn_dataset!$N$2:$N$1501,MATCH($A856,customer_churn_dataset!$A$2:$A$1501,0))</f>
        <v>1546.56</v>
      </c>
      <c r="I855" s="0" t="n">
        <f aca="false">INDEX(customer_churn_dataset!$O$2:$O$1501,MATCH($A856,customer_churn_dataset!$A$2:$A$1501,0))</f>
        <v>0</v>
      </c>
      <c r="J855" s="0" t="n">
        <f aca="false">INDEX(customer_churn_dataset!$T$2:$T$1501,MATCH($A856,customer_churn_dataset!$A$2:$A$1501,0))</f>
        <v>5</v>
      </c>
      <c r="K855" s="0" t="str">
        <f aca="false">INDEX(customer_churn_dataset!$V$2:$V$1501,MATCH($A856,customer_churn_dataset!$A$2:$A$1501,0))</f>
        <v>Medium Risk</v>
      </c>
    </row>
    <row r="856" customFormat="false" ht="12.8" hidden="true" customHeight="false" outlineLevel="0" collapsed="false">
      <c r="A856" s="22" t="str">
        <f aca="false">customer_churn_dataset!A218</f>
        <v>CUST100398</v>
      </c>
      <c r="B856" s="22" t="str">
        <f aca="false">customer_churn_dataset!B218</f>
        <v>Standard</v>
      </c>
      <c r="C856" s="22" t="str">
        <f aca="false">customer_churn_dataset!C218</f>
        <v>Month-to-month</v>
      </c>
      <c r="D856" s="0" t="n">
        <f aca="false">INDEX(customer_churn_dataset!$E$2:$E$1501,MATCH($A857,customer_churn_dataset!$A$2:$A$1501,0))</f>
        <v>47</v>
      </c>
      <c r="E856" s="0" t="n">
        <f aca="false">INDEX(customer_churn_dataset!$I$2:$I$1501,MATCH($A857,customer_churn_dataset!$A$2:$A$1501,0))</f>
        <v>45.3</v>
      </c>
      <c r="F856" s="0" t="n">
        <f aca="false">INDEX(customer_churn_dataset!$L$2:$L$1501,MATCH($A857,customer_churn_dataset!$A$2:$A$1501,0))</f>
        <v>0</v>
      </c>
      <c r="G856" s="0" t="str">
        <f aca="false">IF(INDEX(customer_churn_dataset!$M$2:$M$1501,MATCH($A857,customer_churn_dataset!$A$2:$A$1501,0))=1,"Yes","No")</f>
        <v>No</v>
      </c>
      <c r="H856" s="0" t="n">
        <f aca="false">INDEX(customer_churn_dataset!$N$2:$N$1501,MATCH($A857,customer_churn_dataset!$A$2:$A$1501,0))</f>
        <v>960.21</v>
      </c>
      <c r="I856" s="0" t="n">
        <f aca="false">INDEX(customer_churn_dataset!$O$2:$O$1501,MATCH($A857,customer_churn_dataset!$A$2:$A$1501,0))</f>
        <v>0</v>
      </c>
      <c r="J856" s="0" t="n">
        <f aca="false">INDEX(customer_churn_dataset!$T$2:$T$1501,MATCH($A857,customer_churn_dataset!$A$2:$A$1501,0))</f>
        <v>2</v>
      </c>
      <c r="K856" s="0" t="str">
        <f aca="false">INDEX(customer_churn_dataset!$V$2:$V$1501,MATCH($A857,customer_churn_dataset!$A$2:$A$1501,0))</f>
        <v>Low Risk</v>
      </c>
    </row>
    <row r="857" customFormat="false" ht="12.8" hidden="true" customHeight="false" outlineLevel="0" collapsed="false">
      <c r="A857" s="22" t="str">
        <f aca="false">customer_churn_dataset!A219</f>
        <v>CUST100970</v>
      </c>
      <c r="B857" s="22" t="str">
        <f aca="false">customer_churn_dataset!B219</f>
        <v>Standard</v>
      </c>
      <c r="C857" s="22" t="str">
        <f aca="false">customer_churn_dataset!C219</f>
        <v>One year</v>
      </c>
      <c r="D857" s="0" t="n">
        <f aca="false">INDEX(customer_churn_dataset!$E$2:$E$1501,MATCH($A858,customer_churn_dataset!$A$2:$A$1501,0))</f>
        <v>7</v>
      </c>
      <c r="E857" s="0" t="n">
        <f aca="false">INDEX(customer_churn_dataset!$I$2:$I$1501,MATCH($A858,customer_churn_dataset!$A$2:$A$1501,0))</f>
        <v>54.9</v>
      </c>
      <c r="F857" s="0" t="n">
        <f aca="false">INDEX(customer_churn_dataset!$L$2:$L$1501,MATCH($A858,customer_churn_dataset!$A$2:$A$1501,0))</f>
        <v>2</v>
      </c>
      <c r="G857" s="0" t="str">
        <f aca="false">IF(INDEX(customer_churn_dataset!$M$2:$M$1501,MATCH($A858,customer_churn_dataset!$A$2:$A$1501,0))=1,"Yes","No")</f>
        <v>No</v>
      </c>
      <c r="H857" s="0" t="n">
        <f aca="false">INDEX(customer_churn_dataset!$N$2:$N$1501,MATCH($A858,customer_churn_dataset!$A$2:$A$1501,0))</f>
        <v>267.33</v>
      </c>
      <c r="I857" s="0" t="n">
        <f aca="false">INDEX(customer_churn_dataset!$O$2:$O$1501,MATCH($A858,customer_churn_dataset!$A$2:$A$1501,0))</f>
        <v>1</v>
      </c>
      <c r="J857" s="0" t="n">
        <f aca="false">INDEX(customer_churn_dataset!$T$2:$T$1501,MATCH($A858,customer_churn_dataset!$A$2:$A$1501,0))</f>
        <v>5</v>
      </c>
      <c r="K857" s="0" t="str">
        <f aca="false">INDEX(customer_churn_dataset!$V$2:$V$1501,MATCH($A858,customer_churn_dataset!$A$2:$A$1501,0))</f>
        <v>Medium Risk</v>
      </c>
    </row>
    <row r="858" customFormat="false" ht="12.8" hidden="true" customHeight="false" outlineLevel="0" collapsed="false">
      <c r="A858" s="22" t="str">
        <f aca="false">customer_churn_dataset!A224</f>
        <v>CUST100191</v>
      </c>
      <c r="B858" s="22" t="str">
        <f aca="false">customer_churn_dataset!B224</f>
        <v>Premium</v>
      </c>
      <c r="C858" s="22" t="str">
        <f aca="false">customer_churn_dataset!C224</f>
        <v>Month-to-month</v>
      </c>
      <c r="D858" s="0" t="n">
        <f aca="false">INDEX(customer_churn_dataset!$E$2:$E$1501,MATCH($A859,customer_churn_dataset!$A$2:$A$1501,0))</f>
        <v>41</v>
      </c>
      <c r="E858" s="0" t="n">
        <f aca="false">INDEX(customer_churn_dataset!$I$2:$I$1501,MATCH($A859,customer_churn_dataset!$A$2:$A$1501,0))</f>
        <v>13.7</v>
      </c>
      <c r="F858" s="0" t="n">
        <f aca="false">INDEX(customer_churn_dataset!$L$2:$L$1501,MATCH($A859,customer_churn_dataset!$A$2:$A$1501,0))</f>
        <v>1</v>
      </c>
      <c r="G858" s="0" t="str">
        <f aca="false">IF(INDEX(customer_churn_dataset!$M$2:$M$1501,MATCH($A859,customer_churn_dataset!$A$2:$A$1501,0))=1,"Yes","No")</f>
        <v>No</v>
      </c>
      <c r="H858" s="0" t="n">
        <f aca="false">INDEX(customer_churn_dataset!$N$2:$N$1501,MATCH($A859,customer_churn_dataset!$A$2:$A$1501,0))</f>
        <v>753.99</v>
      </c>
      <c r="I858" s="0" t="n">
        <f aca="false">INDEX(customer_churn_dataset!$O$2:$O$1501,MATCH($A859,customer_churn_dataset!$A$2:$A$1501,0))</f>
        <v>0</v>
      </c>
      <c r="J858" s="0" t="n">
        <f aca="false">INDEX(customer_churn_dataset!$T$2:$T$1501,MATCH($A859,customer_churn_dataset!$A$2:$A$1501,0))</f>
        <v>4</v>
      </c>
      <c r="K858" s="0" t="str">
        <f aca="false">INDEX(customer_churn_dataset!$V$2:$V$1501,MATCH($A859,customer_churn_dataset!$A$2:$A$1501,0))</f>
        <v>Medium Risk</v>
      </c>
    </row>
    <row r="859" customFormat="false" ht="12.8" hidden="true" customHeight="false" outlineLevel="0" collapsed="false">
      <c r="A859" s="22" t="str">
        <f aca="false">customer_churn_dataset!A239</f>
        <v>CUST100986</v>
      </c>
      <c r="B859" s="22" t="str">
        <f aca="false">customer_churn_dataset!B239</f>
        <v>Standard</v>
      </c>
      <c r="C859" s="22" t="str">
        <f aca="false">customer_churn_dataset!C239</f>
        <v>Month-to-month</v>
      </c>
      <c r="D859" s="0" t="n">
        <f aca="false">INDEX(customer_churn_dataset!$E$2:$E$1501,MATCH($A860,customer_churn_dataset!$A$2:$A$1501,0))</f>
        <v>2</v>
      </c>
      <c r="E859" s="0" t="n">
        <f aca="false">INDEX(customer_churn_dataset!$I$2:$I$1501,MATCH($A860,customer_churn_dataset!$A$2:$A$1501,0))</f>
        <v>62.3</v>
      </c>
      <c r="F859" s="0" t="n">
        <f aca="false">INDEX(customer_churn_dataset!$L$2:$L$1501,MATCH($A860,customer_churn_dataset!$A$2:$A$1501,0))</f>
        <v>2</v>
      </c>
      <c r="G859" s="0" t="str">
        <f aca="false">IF(INDEX(customer_churn_dataset!$M$2:$M$1501,MATCH($A860,customer_churn_dataset!$A$2:$A$1501,0))=1,"Yes","No")</f>
        <v>Yes</v>
      </c>
      <c r="H859" s="0" t="n">
        <f aca="false">INDEX(customer_churn_dataset!$N$2:$N$1501,MATCH($A860,customer_churn_dataset!$A$2:$A$1501,0))</f>
        <v>17.94</v>
      </c>
      <c r="I859" s="0" t="n">
        <f aca="false">INDEX(customer_churn_dataset!$O$2:$O$1501,MATCH($A860,customer_churn_dataset!$A$2:$A$1501,0))</f>
        <v>0</v>
      </c>
      <c r="J859" s="0" t="n">
        <f aca="false">INDEX(customer_churn_dataset!$T$2:$T$1501,MATCH($A860,customer_churn_dataset!$A$2:$A$1501,0))</f>
        <v>7</v>
      </c>
      <c r="K859" s="0" t="str">
        <f aca="false">INDEX(customer_churn_dataset!$V$2:$V$1501,MATCH($A860,customer_churn_dataset!$A$2:$A$1501,0))</f>
        <v>High Risk</v>
      </c>
    </row>
    <row r="860" customFormat="false" ht="12.8" hidden="true" customHeight="false" outlineLevel="0" collapsed="false">
      <c r="A860" s="22" t="str">
        <f aca="false">customer_churn_dataset!A242</f>
        <v>CUST100422</v>
      </c>
      <c r="B860" s="22" t="str">
        <f aca="false">customer_churn_dataset!B242</f>
        <v>Basic</v>
      </c>
      <c r="C860" s="22" t="str">
        <f aca="false">customer_churn_dataset!C242</f>
        <v>Month-to-month</v>
      </c>
      <c r="D860" s="0" t="n">
        <f aca="false">INDEX(customer_churn_dataset!$E$2:$E$1501,MATCH($A861,customer_churn_dataset!$A$2:$A$1501,0))</f>
        <v>59</v>
      </c>
      <c r="E860" s="0" t="n">
        <f aca="false">INDEX(customer_churn_dataset!$I$2:$I$1501,MATCH($A861,customer_churn_dataset!$A$2:$A$1501,0))</f>
        <v>7.4</v>
      </c>
      <c r="F860" s="0" t="n">
        <f aca="false">INDEX(customer_churn_dataset!$L$2:$L$1501,MATCH($A861,customer_churn_dataset!$A$2:$A$1501,0))</f>
        <v>5</v>
      </c>
      <c r="G860" s="0" t="str">
        <f aca="false">IF(INDEX(customer_churn_dataset!$M$2:$M$1501,MATCH($A861,customer_churn_dataset!$A$2:$A$1501,0))=1,"Yes","No")</f>
        <v>No</v>
      </c>
      <c r="H860" s="0" t="n">
        <f aca="false">INDEX(customer_churn_dataset!$N$2:$N$1501,MATCH($A861,customer_churn_dataset!$A$2:$A$1501,0))</f>
        <v>2325.19</v>
      </c>
      <c r="I860" s="0" t="n">
        <f aca="false">INDEX(customer_churn_dataset!$O$2:$O$1501,MATCH($A861,customer_churn_dataset!$A$2:$A$1501,0))</f>
        <v>0</v>
      </c>
      <c r="J860" s="0" t="n">
        <f aca="false">INDEX(customer_churn_dataset!$T$2:$T$1501,MATCH($A861,customer_churn_dataset!$A$2:$A$1501,0))</f>
        <v>5</v>
      </c>
      <c r="K860" s="0" t="str">
        <f aca="false">INDEX(customer_churn_dataset!$V$2:$V$1501,MATCH($A861,customer_churn_dataset!$A$2:$A$1501,0))</f>
        <v>Medium Risk</v>
      </c>
    </row>
    <row r="861" customFormat="false" ht="12.8" hidden="true" customHeight="false" outlineLevel="0" collapsed="false">
      <c r="A861" s="22" t="str">
        <f aca="false">customer_churn_dataset!A254</f>
        <v>CUST100273</v>
      </c>
      <c r="B861" s="22" t="str">
        <f aca="false">customer_churn_dataset!B254</f>
        <v>Premium</v>
      </c>
      <c r="C861" s="22" t="str">
        <f aca="false">customer_churn_dataset!C254</f>
        <v>Month-to-month</v>
      </c>
      <c r="D861" s="0" t="n">
        <f aca="false">INDEX(customer_churn_dataset!$E$2:$E$1501,MATCH($A862,customer_churn_dataset!$A$2:$A$1501,0))</f>
        <v>26</v>
      </c>
      <c r="E861" s="0" t="n">
        <f aca="false">INDEX(customer_churn_dataset!$I$2:$I$1501,MATCH($A862,customer_churn_dataset!$A$2:$A$1501,0))</f>
        <v>57.5</v>
      </c>
      <c r="F861" s="0" t="n">
        <f aca="false">INDEX(customer_churn_dataset!$L$2:$L$1501,MATCH($A862,customer_churn_dataset!$A$2:$A$1501,0))</f>
        <v>3</v>
      </c>
      <c r="G861" s="0" t="str">
        <f aca="false">IF(INDEX(customer_churn_dataset!$M$2:$M$1501,MATCH($A862,customer_churn_dataset!$A$2:$A$1501,0))=1,"Yes","No")</f>
        <v>No</v>
      </c>
      <c r="H861" s="0" t="n">
        <f aca="false">INDEX(customer_churn_dataset!$N$2:$N$1501,MATCH($A862,customer_churn_dataset!$A$2:$A$1501,0))</f>
        <v>1047.02</v>
      </c>
      <c r="I861" s="0" t="n">
        <f aca="false">INDEX(customer_churn_dataset!$O$2:$O$1501,MATCH($A862,customer_churn_dataset!$A$2:$A$1501,0))</f>
        <v>0</v>
      </c>
      <c r="J861" s="0" t="n">
        <f aca="false">INDEX(customer_churn_dataset!$T$2:$T$1501,MATCH($A862,customer_churn_dataset!$A$2:$A$1501,0))</f>
        <v>3</v>
      </c>
      <c r="K861" s="0" t="str">
        <f aca="false">INDEX(customer_churn_dataset!$V$2:$V$1501,MATCH($A862,customer_churn_dataset!$A$2:$A$1501,0))</f>
        <v>Medium Risk</v>
      </c>
    </row>
    <row r="862" customFormat="false" ht="12.8" hidden="true" customHeight="false" outlineLevel="0" collapsed="false">
      <c r="A862" s="22" t="str">
        <f aca="false">customer_churn_dataset!A273</f>
        <v>CUST100011</v>
      </c>
      <c r="B862" s="22" t="str">
        <f aca="false">customer_churn_dataset!B273</f>
        <v>Premium</v>
      </c>
      <c r="C862" s="22" t="str">
        <f aca="false">customer_churn_dataset!C273</f>
        <v>Month-to-month</v>
      </c>
      <c r="D862" s="0" t="n">
        <f aca="false">INDEX(customer_churn_dataset!$E$2:$E$1501,MATCH($A863,customer_churn_dataset!$A$2:$A$1501,0))</f>
        <v>1</v>
      </c>
      <c r="E862" s="0" t="n">
        <f aca="false">INDEX(customer_churn_dataset!$I$2:$I$1501,MATCH($A863,customer_churn_dataset!$A$2:$A$1501,0))</f>
        <v>67.4</v>
      </c>
      <c r="F862" s="0" t="n">
        <f aca="false">INDEX(customer_churn_dataset!$L$2:$L$1501,MATCH($A863,customer_churn_dataset!$A$2:$A$1501,0))</f>
        <v>2</v>
      </c>
      <c r="G862" s="0" t="str">
        <f aca="false">IF(INDEX(customer_churn_dataset!$M$2:$M$1501,MATCH($A863,customer_churn_dataset!$A$2:$A$1501,0))=1,"Yes","No")</f>
        <v>Yes</v>
      </c>
      <c r="H862" s="0" t="n">
        <f aca="false">INDEX(customer_churn_dataset!$N$2:$N$1501,MATCH($A863,customer_churn_dataset!$A$2:$A$1501,0))</f>
        <v>19.33</v>
      </c>
      <c r="I862" s="0" t="n">
        <f aca="false">INDEX(customer_churn_dataset!$O$2:$O$1501,MATCH($A863,customer_churn_dataset!$A$2:$A$1501,0))</f>
        <v>0</v>
      </c>
      <c r="J862" s="0" t="n">
        <f aca="false">INDEX(customer_churn_dataset!$T$2:$T$1501,MATCH($A863,customer_churn_dataset!$A$2:$A$1501,0))</f>
        <v>6</v>
      </c>
      <c r="K862" s="0" t="str">
        <f aca="false">INDEX(customer_churn_dataset!$V$2:$V$1501,MATCH($A863,customer_churn_dataset!$A$2:$A$1501,0))</f>
        <v>High Risk</v>
      </c>
    </row>
    <row r="863" customFormat="false" ht="12.8" hidden="true" customHeight="false" outlineLevel="0" collapsed="false">
      <c r="A863" s="22" t="str">
        <f aca="false">customer_churn_dataset!A304</f>
        <v>CUST101494</v>
      </c>
      <c r="B863" s="22" t="str">
        <f aca="false">customer_churn_dataset!B304</f>
        <v>Standard</v>
      </c>
      <c r="C863" s="22" t="str">
        <f aca="false">customer_churn_dataset!C304</f>
        <v>One year</v>
      </c>
      <c r="D863" s="0" t="n">
        <f aca="false">INDEX(customer_churn_dataset!$E$2:$E$1501,MATCH($A864,customer_churn_dataset!$A$2:$A$1501,0))</f>
        <v>2</v>
      </c>
      <c r="E863" s="0" t="n">
        <f aca="false">INDEX(customer_churn_dataset!$I$2:$I$1501,MATCH($A864,customer_churn_dataset!$A$2:$A$1501,0))</f>
        <v>68.7</v>
      </c>
      <c r="F863" s="0" t="n">
        <f aca="false">INDEX(customer_churn_dataset!$L$2:$L$1501,MATCH($A864,customer_churn_dataset!$A$2:$A$1501,0))</f>
        <v>0</v>
      </c>
      <c r="G863" s="0" t="str">
        <f aca="false">IF(INDEX(customer_churn_dataset!$M$2:$M$1501,MATCH($A864,customer_churn_dataset!$A$2:$A$1501,0))=1,"Yes","No")</f>
        <v>No</v>
      </c>
      <c r="H863" s="0" t="n">
        <f aca="false">INDEX(customer_churn_dataset!$N$2:$N$1501,MATCH($A864,customer_churn_dataset!$A$2:$A$1501,0))</f>
        <v>40.96</v>
      </c>
      <c r="I863" s="0" t="n">
        <f aca="false">INDEX(customer_churn_dataset!$O$2:$O$1501,MATCH($A864,customer_churn_dataset!$A$2:$A$1501,0))</f>
        <v>1</v>
      </c>
      <c r="J863" s="0" t="n">
        <f aca="false">INDEX(customer_churn_dataset!$T$2:$T$1501,MATCH($A864,customer_churn_dataset!$A$2:$A$1501,0))</f>
        <v>3</v>
      </c>
      <c r="K863" s="0" t="str">
        <f aca="false">INDEX(customer_churn_dataset!$V$2:$V$1501,MATCH($A864,customer_churn_dataset!$A$2:$A$1501,0))</f>
        <v>Medium Risk</v>
      </c>
    </row>
    <row r="864" customFormat="false" ht="12.8" hidden="true" customHeight="false" outlineLevel="0" collapsed="false">
      <c r="A864" s="22" t="str">
        <f aca="false">customer_churn_dataset!A330</f>
        <v>CUST100163</v>
      </c>
      <c r="B864" s="22" t="str">
        <f aca="false">customer_churn_dataset!B330</f>
        <v>Standard</v>
      </c>
      <c r="C864" s="22" t="str">
        <f aca="false">customer_churn_dataset!C330</f>
        <v>Month-to-month</v>
      </c>
      <c r="D864" s="0" t="n">
        <f aca="false">INDEX(customer_churn_dataset!$E$2:$E$1501,MATCH($A865,customer_churn_dataset!$A$2:$A$1501,0))</f>
        <v>12</v>
      </c>
      <c r="E864" s="0" t="n">
        <f aca="false">INDEX(customer_churn_dataset!$I$2:$I$1501,MATCH($A865,customer_churn_dataset!$A$2:$A$1501,0))</f>
        <v>30.5</v>
      </c>
      <c r="F864" s="0" t="n">
        <f aca="false">INDEX(customer_churn_dataset!$L$2:$L$1501,MATCH($A865,customer_churn_dataset!$A$2:$A$1501,0))</f>
        <v>2</v>
      </c>
      <c r="G864" s="0" t="str">
        <f aca="false">IF(INDEX(customer_churn_dataset!$M$2:$M$1501,MATCH($A865,customer_churn_dataset!$A$2:$A$1501,0))=1,"Yes","No")</f>
        <v>No</v>
      </c>
      <c r="H864" s="0" t="n">
        <f aca="false">INDEX(customer_churn_dataset!$N$2:$N$1501,MATCH($A865,customer_churn_dataset!$A$2:$A$1501,0))</f>
        <v>225.48</v>
      </c>
      <c r="I864" s="0" t="n">
        <f aca="false">INDEX(customer_churn_dataset!$O$2:$O$1501,MATCH($A865,customer_churn_dataset!$A$2:$A$1501,0))</f>
        <v>0</v>
      </c>
      <c r="J864" s="0" t="n">
        <f aca="false">INDEX(customer_churn_dataset!$T$2:$T$1501,MATCH($A865,customer_churn_dataset!$A$2:$A$1501,0))</f>
        <v>4</v>
      </c>
      <c r="K864" s="0" t="str">
        <f aca="false">INDEX(customer_churn_dataset!$V$2:$V$1501,MATCH($A865,customer_churn_dataset!$A$2:$A$1501,0))</f>
        <v>Medium Risk</v>
      </c>
    </row>
    <row r="865" customFormat="false" ht="12.8" hidden="true" customHeight="false" outlineLevel="0" collapsed="false">
      <c r="A865" s="22" t="str">
        <f aca="false">customer_churn_dataset!A364</f>
        <v>CUST100308</v>
      </c>
      <c r="B865" s="22" t="str">
        <f aca="false">customer_churn_dataset!B364</f>
        <v>Standard</v>
      </c>
      <c r="C865" s="22" t="str">
        <f aca="false">customer_churn_dataset!C364</f>
        <v>One year</v>
      </c>
      <c r="D865" s="0" t="n">
        <f aca="false">INDEX(customer_churn_dataset!$E$2:$E$1501,MATCH($A866,customer_churn_dataset!$A$2:$A$1501,0))</f>
        <v>43</v>
      </c>
      <c r="E865" s="0" t="n">
        <f aca="false">INDEX(customer_churn_dataset!$I$2:$I$1501,MATCH($A866,customer_churn_dataset!$A$2:$A$1501,0))</f>
        <v>97.4</v>
      </c>
      <c r="F865" s="0" t="n">
        <f aca="false">INDEX(customer_churn_dataset!$L$2:$L$1501,MATCH($A866,customer_churn_dataset!$A$2:$A$1501,0))</f>
        <v>3</v>
      </c>
      <c r="G865" s="0" t="str">
        <f aca="false">IF(INDEX(customer_churn_dataset!$M$2:$M$1501,MATCH($A866,customer_churn_dataset!$A$2:$A$1501,0))=1,"Yes","No")</f>
        <v>Yes</v>
      </c>
      <c r="H865" s="0" t="n">
        <f aca="false">INDEX(customer_churn_dataset!$N$2:$N$1501,MATCH($A866,customer_churn_dataset!$A$2:$A$1501,0))</f>
        <v>393.88</v>
      </c>
      <c r="I865" s="0" t="n">
        <f aca="false">INDEX(customer_churn_dataset!$O$2:$O$1501,MATCH($A866,customer_churn_dataset!$A$2:$A$1501,0))</f>
        <v>0</v>
      </c>
      <c r="J865" s="0" t="n">
        <f aca="false">INDEX(customer_churn_dataset!$T$2:$T$1501,MATCH($A866,customer_churn_dataset!$A$2:$A$1501,0))</f>
        <v>4</v>
      </c>
      <c r="K865" s="0" t="str">
        <f aca="false">INDEX(customer_churn_dataset!$V$2:$V$1501,MATCH($A866,customer_churn_dataset!$A$2:$A$1501,0))</f>
        <v>Medium Risk</v>
      </c>
    </row>
    <row r="866" customFormat="false" ht="12.8" hidden="true" customHeight="false" outlineLevel="0" collapsed="false">
      <c r="A866" s="22" t="str">
        <f aca="false">customer_churn_dataset!A370</f>
        <v>CUST100987</v>
      </c>
      <c r="B866" s="22" t="str">
        <f aca="false">customer_churn_dataset!B370</f>
        <v>Basic</v>
      </c>
      <c r="C866" s="22" t="str">
        <f aca="false">customer_churn_dataset!C370</f>
        <v>Two year</v>
      </c>
      <c r="D866" s="0" t="n">
        <f aca="false">INDEX(customer_churn_dataset!$E$2:$E$1501,MATCH($A867,customer_churn_dataset!$A$2:$A$1501,0))</f>
        <v>65</v>
      </c>
      <c r="E866" s="0" t="n">
        <f aca="false">INDEX(customer_churn_dataset!$I$2:$I$1501,MATCH($A867,customer_churn_dataset!$A$2:$A$1501,0))</f>
        <v>70.5</v>
      </c>
      <c r="F866" s="0" t="n">
        <f aca="false">INDEX(customer_churn_dataset!$L$2:$L$1501,MATCH($A867,customer_churn_dataset!$A$2:$A$1501,0))</f>
        <v>1</v>
      </c>
      <c r="G866" s="0" t="str">
        <f aca="false">IF(INDEX(customer_churn_dataset!$M$2:$M$1501,MATCH($A867,customer_churn_dataset!$A$2:$A$1501,0))=1,"Yes","No")</f>
        <v>No</v>
      </c>
      <c r="H866" s="0" t="n">
        <f aca="false">INDEX(customer_churn_dataset!$N$2:$N$1501,MATCH($A867,customer_churn_dataset!$A$2:$A$1501,0))</f>
        <v>2573.35</v>
      </c>
      <c r="I866" s="0" t="n">
        <f aca="false">INDEX(customer_churn_dataset!$O$2:$O$1501,MATCH($A867,customer_churn_dataset!$A$2:$A$1501,0))</f>
        <v>0</v>
      </c>
      <c r="J866" s="0" t="n">
        <f aca="false">INDEX(customer_churn_dataset!$T$2:$T$1501,MATCH($A867,customer_churn_dataset!$A$2:$A$1501,0))</f>
        <v>2</v>
      </c>
      <c r="K866" s="0" t="str">
        <f aca="false">INDEX(customer_churn_dataset!$V$2:$V$1501,MATCH($A867,customer_churn_dataset!$A$2:$A$1501,0))</f>
        <v>Low Risk</v>
      </c>
    </row>
    <row r="867" customFormat="false" ht="12.8" hidden="true" customHeight="false" outlineLevel="0" collapsed="false">
      <c r="A867" s="22" t="str">
        <f aca="false">customer_churn_dataset!A371</f>
        <v>CUST100475</v>
      </c>
      <c r="B867" s="22" t="str">
        <f aca="false">customer_churn_dataset!B371</f>
        <v>Premium</v>
      </c>
      <c r="C867" s="22" t="str">
        <f aca="false">customer_churn_dataset!C371</f>
        <v>Month-to-month</v>
      </c>
      <c r="D867" s="0" t="n">
        <f aca="false">INDEX(customer_churn_dataset!$E$2:$E$1501,MATCH($A868,customer_churn_dataset!$A$2:$A$1501,0))</f>
        <v>23</v>
      </c>
      <c r="E867" s="0" t="n">
        <f aca="false">INDEX(customer_churn_dataset!$I$2:$I$1501,MATCH($A868,customer_churn_dataset!$A$2:$A$1501,0))</f>
        <v>54</v>
      </c>
      <c r="F867" s="0" t="n">
        <f aca="false">INDEX(customer_churn_dataset!$L$2:$L$1501,MATCH($A868,customer_churn_dataset!$A$2:$A$1501,0))</f>
        <v>1</v>
      </c>
      <c r="G867" s="0" t="str">
        <f aca="false">IF(INDEX(customer_churn_dataset!$M$2:$M$1501,MATCH($A868,customer_churn_dataset!$A$2:$A$1501,0))=1,"Yes","No")</f>
        <v>No</v>
      </c>
      <c r="H867" s="0" t="n">
        <f aca="false">INDEX(customer_churn_dataset!$N$2:$N$1501,MATCH($A868,customer_churn_dataset!$A$2:$A$1501,0))</f>
        <v>914.48</v>
      </c>
      <c r="I867" s="0" t="n">
        <f aca="false">INDEX(customer_churn_dataset!$O$2:$O$1501,MATCH($A868,customer_churn_dataset!$A$2:$A$1501,0))</f>
        <v>0</v>
      </c>
      <c r="J867" s="0" t="n">
        <f aca="false">INDEX(customer_churn_dataset!$T$2:$T$1501,MATCH($A868,customer_churn_dataset!$A$2:$A$1501,0))</f>
        <v>2</v>
      </c>
      <c r="K867" s="0" t="str">
        <f aca="false">INDEX(customer_churn_dataset!$V$2:$V$1501,MATCH($A868,customer_churn_dataset!$A$2:$A$1501,0))</f>
        <v>Low Risk</v>
      </c>
    </row>
    <row r="868" customFormat="false" ht="12.8" hidden="true" customHeight="false" outlineLevel="0" collapsed="false">
      <c r="A868" s="22" t="str">
        <f aca="false">customer_churn_dataset!A372</f>
        <v>CUST101409</v>
      </c>
      <c r="B868" s="22" t="str">
        <f aca="false">customer_churn_dataset!B372</f>
        <v>Premium</v>
      </c>
      <c r="C868" s="22" t="str">
        <f aca="false">customer_churn_dataset!C372</f>
        <v>One year</v>
      </c>
      <c r="D868" s="0" t="n">
        <f aca="false">INDEX(customer_churn_dataset!$E$2:$E$1501,MATCH($A869,customer_churn_dataset!$A$2:$A$1501,0))</f>
        <v>4</v>
      </c>
      <c r="E868" s="0" t="n">
        <f aca="false">INDEX(customer_churn_dataset!$I$2:$I$1501,MATCH($A869,customer_churn_dataset!$A$2:$A$1501,0))</f>
        <v>38.2</v>
      </c>
      <c r="F868" s="0" t="n">
        <f aca="false">INDEX(customer_churn_dataset!$L$2:$L$1501,MATCH($A869,customer_churn_dataset!$A$2:$A$1501,0))</f>
        <v>0</v>
      </c>
      <c r="G868" s="0" t="str">
        <f aca="false">IF(INDEX(customer_churn_dataset!$M$2:$M$1501,MATCH($A869,customer_churn_dataset!$A$2:$A$1501,0))=1,"Yes","No")</f>
        <v>No</v>
      </c>
      <c r="H868" s="0" t="n">
        <f aca="false">INDEX(customer_churn_dataset!$N$2:$N$1501,MATCH($A869,customer_churn_dataset!$A$2:$A$1501,0))</f>
        <v>85.8</v>
      </c>
      <c r="I868" s="0" t="n">
        <f aca="false">INDEX(customer_churn_dataset!$O$2:$O$1501,MATCH($A869,customer_churn_dataset!$A$2:$A$1501,0))</f>
        <v>0</v>
      </c>
      <c r="J868" s="0" t="n">
        <f aca="false">INDEX(customer_churn_dataset!$T$2:$T$1501,MATCH($A869,customer_churn_dataset!$A$2:$A$1501,0))</f>
        <v>5</v>
      </c>
      <c r="K868" s="0" t="str">
        <f aca="false">INDEX(customer_churn_dataset!$V$2:$V$1501,MATCH($A869,customer_churn_dataset!$A$2:$A$1501,0))</f>
        <v>Medium Risk</v>
      </c>
    </row>
    <row r="869" customFormat="false" ht="12.8" hidden="true" customHeight="false" outlineLevel="0" collapsed="false">
      <c r="A869" s="22" t="str">
        <f aca="false">customer_churn_dataset!A391</f>
        <v>CUST101459</v>
      </c>
      <c r="B869" s="22" t="str">
        <f aca="false">customer_churn_dataset!B391</f>
        <v>Standard</v>
      </c>
      <c r="C869" s="22" t="str">
        <f aca="false">customer_churn_dataset!C391</f>
        <v>Month-to-month</v>
      </c>
      <c r="D869" s="0" t="n">
        <f aca="false">INDEX(customer_churn_dataset!$E$2:$E$1501,MATCH($A870,customer_churn_dataset!$A$2:$A$1501,0))</f>
        <v>48</v>
      </c>
      <c r="E869" s="0" t="n">
        <f aca="false">INDEX(customer_churn_dataset!$I$2:$I$1501,MATCH($A870,customer_churn_dataset!$A$2:$A$1501,0))</f>
        <v>40</v>
      </c>
      <c r="F869" s="0" t="n">
        <f aca="false">INDEX(customer_churn_dataset!$L$2:$L$1501,MATCH($A870,customer_churn_dataset!$A$2:$A$1501,0))</f>
        <v>1</v>
      </c>
      <c r="G869" s="0" t="str">
        <f aca="false">IF(INDEX(customer_churn_dataset!$M$2:$M$1501,MATCH($A870,customer_churn_dataset!$A$2:$A$1501,0))=1,"Yes","No")</f>
        <v>No</v>
      </c>
      <c r="H869" s="0" t="n">
        <f aca="false">INDEX(customer_churn_dataset!$N$2:$N$1501,MATCH($A870,customer_churn_dataset!$A$2:$A$1501,0))</f>
        <v>1925.28</v>
      </c>
      <c r="I869" s="0" t="n">
        <f aca="false">INDEX(customer_churn_dataset!$O$2:$O$1501,MATCH($A870,customer_churn_dataset!$A$2:$A$1501,0))</f>
        <v>1</v>
      </c>
      <c r="J869" s="0" t="n">
        <f aca="false">INDEX(customer_churn_dataset!$T$2:$T$1501,MATCH($A870,customer_churn_dataset!$A$2:$A$1501,0))</f>
        <v>3</v>
      </c>
      <c r="K869" s="0" t="str">
        <f aca="false">INDEX(customer_churn_dataset!$V$2:$V$1501,MATCH($A870,customer_churn_dataset!$A$2:$A$1501,0))</f>
        <v>Medium Risk</v>
      </c>
    </row>
    <row r="870" customFormat="false" ht="12.8" hidden="true" customHeight="false" outlineLevel="0" collapsed="false">
      <c r="A870" s="22" t="str">
        <f aca="false">customer_churn_dataset!A423</f>
        <v>CUST100631</v>
      </c>
      <c r="B870" s="22" t="str">
        <f aca="false">customer_churn_dataset!B423</f>
        <v>Premium</v>
      </c>
      <c r="C870" s="22" t="str">
        <f aca="false">customer_churn_dataset!C423</f>
        <v>Month-to-month</v>
      </c>
      <c r="D870" s="0" t="n">
        <f aca="false">INDEX(customer_churn_dataset!$E$2:$E$1501,MATCH($A871,customer_churn_dataset!$A$2:$A$1501,0))</f>
        <v>9</v>
      </c>
      <c r="E870" s="0" t="n">
        <f aca="false">INDEX(customer_churn_dataset!$I$2:$I$1501,MATCH($A871,customer_churn_dataset!$A$2:$A$1501,0))</f>
        <v>100</v>
      </c>
      <c r="F870" s="0" t="n">
        <f aca="false">INDEX(customer_churn_dataset!$L$2:$L$1501,MATCH($A871,customer_churn_dataset!$A$2:$A$1501,0))</f>
        <v>3</v>
      </c>
      <c r="G870" s="0" t="str">
        <f aca="false">IF(INDEX(customer_churn_dataset!$M$2:$M$1501,MATCH($A871,customer_churn_dataset!$A$2:$A$1501,0))=1,"Yes","No")</f>
        <v>No</v>
      </c>
      <c r="H870" s="0" t="n">
        <f aca="false">INDEX(customer_churn_dataset!$N$2:$N$1501,MATCH($A871,customer_churn_dataset!$A$2:$A$1501,0))</f>
        <v>184.5</v>
      </c>
      <c r="I870" s="0" t="n">
        <f aca="false">INDEX(customer_churn_dataset!$O$2:$O$1501,MATCH($A871,customer_churn_dataset!$A$2:$A$1501,0))</f>
        <v>0</v>
      </c>
      <c r="J870" s="0" t="n">
        <f aca="false">INDEX(customer_churn_dataset!$T$2:$T$1501,MATCH($A871,customer_churn_dataset!$A$2:$A$1501,0))</f>
        <v>3</v>
      </c>
      <c r="K870" s="0" t="str">
        <f aca="false">INDEX(customer_churn_dataset!$V$2:$V$1501,MATCH($A871,customer_churn_dataset!$A$2:$A$1501,0))</f>
        <v>Medium Risk</v>
      </c>
    </row>
    <row r="871" customFormat="false" ht="12.8" hidden="true" customHeight="false" outlineLevel="0" collapsed="false">
      <c r="A871" s="22" t="str">
        <f aca="false">customer_churn_dataset!A428</f>
        <v>CUST100538</v>
      </c>
      <c r="B871" s="22" t="str">
        <f aca="false">customer_churn_dataset!B428</f>
        <v>Standard</v>
      </c>
      <c r="C871" s="22" t="str">
        <f aca="false">customer_churn_dataset!C428</f>
        <v>One year</v>
      </c>
      <c r="D871" s="0" t="n">
        <f aca="false">INDEX(customer_churn_dataset!$E$2:$E$1501,MATCH($A872,customer_churn_dataset!$A$2:$A$1501,0))</f>
        <v>1</v>
      </c>
      <c r="E871" s="0" t="n">
        <f aca="false">INDEX(customer_churn_dataset!$I$2:$I$1501,MATCH($A872,customer_churn_dataset!$A$2:$A$1501,0))</f>
        <v>72.6</v>
      </c>
      <c r="F871" s="0" t="n">
        <f aca="false">INDEX(customer_churn_dataset!$L$2:$L$1501,MATCH($A872,customer_churn_dataset!$A$2:$A$1501,0))</f>
        <v>0</v>
      </c>
      <c r="G871" s="0" t="str">
        <f aca="false">IF(INDEX(customer_churn_dataset!$M$2:$M$1501,MATCH($A872,customer_churn_dataset!$A$2:$A$1501,0))=1,"Yes","No")</f>
        <v>No</v>
      </c>
      <c r="H871" s="0" t="n">
        <f aca="false">INDEX(customer_churn_dataset!$N$2:$N$1501,MATCH($A872,customer_churn_dataset!$A$2:$A$1501,0))</f>
        <v>9.38</v>
      </c>
      <c r="I871" s="0" t="n">
        <f aca="false">INDEX(customer_churn_dataset!$O$2:$O$1501,MATCH($A872,customer_churn_dataset!$A$2:$A$1501,0))</f>
        <v>0</v>
      </c>
      <c r="J871" s="0" t="n">
        <f aca="false">INDEX(customer_churn_dataset!$T$2:$T$1501,MATCH($A872,customer_churn_dataset!$A$2:$A$1501,0))</f>
        <v>3</v>
      </c>
      <c r="K871" s="0" t="str">
        <f aca="false">INDEX(customer_churn_dataset!$V$2:$V$1501,MATCH($A872,customer_churn_dataset!$A$2:$A$1501,0))</f>
        <v>Medium Risk</v>
      </c>
    </row>
    <row r="872" customFormat="false" ht="12.8" hidden="true" customHeight="false" outlineLevel="0" collapsed="false">
      <c r="A872" s="22" t="str">
        <f aca="false">customer_churn_dataset!A442</f>
        <v>CUST100311</v>
      </c>
      <c r="B872" s="22" t="str">
        <f aca="false">customer_churn_dataset!B442</f>
        <v>Basic</v>
      </c>
      <c r="C872" s="22" t="str">
        <f aca="false">customer_churn_dataset!C442</f>
        <v>Month-to-month</v>
      </c>
      <c r="D872" s="0" t="n">
        <f aca="false">INDEX(customer_churn_dataset!$E$2:$E$1501,MATCH($A873,customer_churn_dataset!$A$2:$A$1501,0))</f>
        <v>29</v>
      </c>
      <c r="E872" s="0" t="n">
        <f aca="false">INDEX(customer_churn_dataset!$I$2:$I$1501,MATCH($A873,customer_churn_dataset!$A$2:$A$1501,0))</f>
        <v>81.7</v>
      </c>
      <c r="F872" s="0" t="n">
        <f aca="false">INDEX(customer_churn_dataset!$L$2:$L$1501,MATCH($A873,customer_churn_dataset!$A$2:$A$1501,0))</f>
        <v>0</v>
      </c>
      <c r="G872" s="0" t="str">
        <f aca="false">IF(INDEX(customer_churn_dataset!$M$2:$M$1501,MATCH($A873,customer_churn_dataset!$A$2:$A$1501,0))=1,"Yes","No")</f>
        <v>No</v>
      </c>
      <c r="H872" s="0" t="n">
        <f aca="false">INDEX(customer_churn_dataset!$N$2:$N$1501,MATCH($A873,customer_churn_dataset!$A$2:$A$1501,0))</f>
        <v>293.19</v>
      </c>
      <c r="I872" s="0" t="n">
        <f aca="false">INDEX(customer_churn_dataset!$O$2:$O$1501,MATCH($A873,customer_churn_dataset!$A$2:$A$1501,0))</f>
        <v>0</v>
      </c>
      <c r="J872" s="0" t="n">
        <f aca="false">INDEX(customer_churn_dataset!$T$2:$T$1501,MATCH($A873,customer_churn_dataset!$A$2:$A$1501,0))</f>
        <v>2</v>
      </c>
      <c r="K872" s="0" t="str">
        <f aca="false">INDEX(customer_churn_dataset!$V$2:$V$1501,MATCH($A873,customer_churn_dataset!$A$2:$A$1501,0))</f>
        <v>Low Risk</v>
      </c>
    </row>
    <row r="873" customFormat="false" ht="12.8" hidden="true" customHeight="false" outlineLevel="0" collapsed="false">
      <c r="A873" s="22" t="str">
        <f aca="false">customer_churn_dataset!A443</f>
        <v>CUST100042</v>
      </c>
      <c r="B873" s="22" t="str">
        <f aca="false">customer_churn_dataset!B443</f>
        <v>Basic</v>
      </c>
      <c r="C873" s="22" t="str">
        <f aca="false">customer_churn_dataset!C443</f>
        <v>Month-to-month</v>
      </c>
      <c r="D873" s="0" t="n">
        <f aca="false">INDEX(customer_churn_dataset!$E$2:$E$1501,MATCH($A874,customer_churn_dataset!$A$2:$A$1501,0))</f>
        <v>25</v>
      </c>
      <c r="E873" s="0" t="n">
        <f aca="false">INDEX(customer_churn_dataset!$I$2:$I$1501,MATCH($A874,customer_churn_dataset!$A$2:$A$1501,0))</f>
        <v>20.6</v>
      </c>
      <c r="F873" s="0" t="n">
        <f aca="false">INDEX(customer_churn_dataset!$L$2:$L$1501,MATCH($A874,customer_churn_dataset!$A$2:$A$1501,0))</f>
        <v>2</v>
      </c>
      <c r="G873" s="0" t="str">
        <f aca="false">IF(INDEX(customer_churn_dataset!$M$2:$M$1501,MATCH($A874,customer_churn_dataset!$A$2:$A$1501,0))=1,"Yes","No")</f>
        <v>No</v>
      </c>
      <c r="H873" s="0" t="n">
        <f aca="false">INDEX(customer_churn_dataset!$N$2:$N$1501,MATCH($A874,customer_churn_dataset!$A$2:$A$1501,0))</f>
        <v>232.75</v>
      </c>
      <c r="I873" s="0" t="n">
        <f aca="false">INDEX(customer_churn_dataset!$O$2:$O$1501,MATCH($A874,customer_churn_dataset!$A$2:$A$1501,0))</f>
        <v>1</v>
      </c>
      <c r="J873" s="0" t="n">
        <f aca="false">INDEX(customer_churn_dataset!$T$2:$T$1501,MATCH($A874,customer_churn_dataset!$A$2:$A$1501,0))</f>
        <v>5</v>
      </c>
      <c r="K873" s="0" t="str">
        <f aca="false">INDEX(customer_churn_dataset!$V$2:$V$1501,MATCH($A874,customer_churn_dataset!$A$2:$A$1501,0))</f>
        <v>Medium Risk</v>
      </c>
    </row>
    <row r="874" customFormat="false" ht="12.8" hidden="true" customHeight="false" outlineLevel="0" collapsed="false">
      <c r="A874" s="22" t="str">
        <f aca="false">customer_churn_dataset!A448</f>
        <v>CUST101070</v>
      </c>
      <c r="B874" s="22" t="str">
        <f aca="false">customer_churn_dataset!B448</f>
        <v>Basic</v>
      </c>
      <c r="C874" s="22" t="str">
        <f aca="false">customer_churn_dataset!C448</f>
        <v>Month-to-month</v>
      </c>
      <c r="D874" s="0" t="n">
        <f aca="false">INDEX(customer_churn_dataset!$E$2:$E$1501,MATCH($A875,customer_churn_dataset!$A$2:$A$1501,0))</f>
        <v>11</v>
      </c>
      <c r="E874" s="0" t="n">
        <f aca="false">INDEX(customer_churn_dataset!$I$2:$I$1501,MATCH($A875,customer_churn_dataset!$A$2:$A$1501,0))</f>
        <v>44.4</v>
      </c>
      <c r="F874" s="0" t="n">
        <f aca="false">INDEX(customer_churn_dataset!$L$2:$L$1501,MATCH($A875,customer_churn_dataset!$A$2:$A$1501,0))</f>
        <v>0</v>
      </c>
      <c r="G874" s="0" t="str">
        <f aca="false">IF(INDEX(customer_churn_dataset!$M$2:$M$1501,MATCH($A875,customer_churn_dataset!$A$2:$A$1501,0))=1,"Yes","No")</f>
        <v>No</v>
      </c>
      <c r="H874" s="0" t="n">
        <f aca="false">INDEX(customer_churn_dataset!$N$2:$N$1501,MATCH($A875,customer_churn_dataset!$A$2:$A$1501,0))</f>
        <v>228.14</v>
      </c>
      <c r="I874" s="0" t="n">
        <f aca="false">INDEX(customer_churn_dataset!$O$2:$O$1501,MATCH($A875,customer_churn_dataset!$A$2:$A$1501,0))</f>
        <v>0</v>
      </c>
      <c r="J874" s="0" t="n">
        <f aca="false">INDEX(customer_churn_dataset!$T$2:$T$1501,MATCH($A875,customer_churn_dataset!$A$2:$A$1501,0))</f>
        <v>4</v>
      </c>
      <c r="K874" s="0" t="str">
        <f aca="false">INDEX(customer_churn_dataset!$V$2:$V$1501,MATCH($A875,customer_churn_dataset!$A$2:$A$1501,0))</f>
        <v>Medium Risk</v>
      </c>
    </row>
    <row r="875" customFormat="false" ht="12.8" hidden="true" customHeight="false" outlineLevel="0" collapsed="false">
      <c r="A875" s="22" t="str">
        <f aca="false">customer_churn_dataset!A453</f>
        <v>CUST100831</v>
      </c>
      <c r="B875" s="22" t="str">
        <f aca="false">customer_churn_dataset!B453</f>
        <v>Standard</v>
      </c>
      <c r="C875" s="22" t="str">
        <f aca="false">customer_churn_dataset!C453</f>
        <v>Month-to-month</v>
      </c>
      <c r="D875" s="0" t="n">
        <f aca="false">INDEX(customer_churn_dataset!$E$2:$E$1501,MATCH($A876,customer_churn_dataset!$A$2:$A$1501,0))</f>
        <v>25</v>
      </c>
      <c r="E875" s="0" t="n">
        <f aca="false">INDEX(customer_churn_dataset!$I$2:$I$1501,MATCH($A876,customer_churn_dataset!$A$2:$A$1501,0))</f>
        <v>54</v>
      </c>
      <c r="F875" s="0" t="n">
        <f aca="false">INDEX(customer_churn_dataset!$L$2:$L$1501,MATCH($A876,customer_churn_dataset!$A$2:$A$1501,0))</f>
        <v>3</v>
      </c>
      <c r="G875" s="0" t="str">
        <f aca="false">IF(INDEX(customer_churn_dataset!$M$2:$M$1501,MATCH($A876,customer_churn_dataset!$A$2:$A$1501,0))=1,"Yes","No")</f>
        <v>Yes</v>
      </c>
      <c r="H875" s="0" t="n">
        <f aca="false">INDEX(customer_churn_dataset!$N$2:$N$1501,MATCH($A876,customer_churn_dataset!$A$2:$A$1501,0))</f>
        <v>511</v>
      </c>
      <c r="I875" s="0" t="n">
        <f aca="false">INDEX(customer_churn_dataset!$O$2:$O$1501,MATCH($A876,customer_churn_dataset!$A$2:$A$1501,0))</f>
        <v>0</v>
      </c>
      <c r="J875" s="0" t="n">
        <f aca="false">INDEX(customer_churn_dataset!$T$2:$T$1501,MATCH($A876,customer_churn_dataset!$A$2:$A$1501,0))</f>
        <v>7</v>
      </c>
      <c r="K875" s="0" t="str">
        <f aca="false">INDEX(customer_churn_dataset!$V$2:$V$1501,MATCH($A876,customer_churn_dataset!$A$2:$A$1501,0))</f>
        <v>High Risk</v>
      </c>
    </row>
    <row r="876" customFormat="false" ht="12.8" hidden="true" customHeight="false" outlineLevel="0" collapsed="false">
      <c r="A876" s="22" t="str">
        <f aca="false">customer_churn_dataset!A494</f>
        <v>CUST100483</v>
      </c>
      <c r="B876" s="22" t="str">
        <f aca="false">customer_churn_dataset!B494</f>
        <v>Standard</v>
      </c>
      <c r="C876" s="22" t="str">
        <f aca="false">customer_churn_dataset!C494</f>
        <v>Month-to-month</v>
      </c>
      <c r="D876" s="0" t="n">
        <f aca="false">INDEX(customer_churn_dataset!$E$2:$E$1501,MATCH($A877,customer_churn_dataset!$A$2:$A$1501,0))</f>
        <v>9</v>
      </c>
      <c r="E876" s="0" t="n">
        <f aca="false">INDEX(customer_churn_dataset!$I$2:$I$1501,MATCH($A877,customer_churn_dataset!$A$2:$A$1501,0))</f>
        <v>39.5</v>
      </c>
      <c r="F876" s="0" t="n">
        <f aca="false">INDEX(customer_churn_dataset!$L$2:$L$1501,MATCH($A877,customer_churn_dataset!$A$2:$A$1501,0))</f>
        <v>0</v>
      </c>
      <c r="G876" s="0" t="str">
        <f aca="false">IF(INDEX(customer_churn_dataset!$M$2:$M$1501,MATCH($A877,customer_churn_dataset!$A$2:$A$1501,0))=1,"Yes","No")</f>
        <v>No</v>
      </c>
      <c r="H876" s="0" t="n">
        <f aca="false">INDEX(customer_churn_dataset!$N$2:$N$1501,MATCH($A877,customer_churn_dataset!$A$2:$A$1501,0))</f>
        <v>180.9</v>
      </c>
      <c r="I876" s="0" t="n">
        <f aca="false">INDEX(customer_churn_dataset!$O$2:$O$1501,MATCH($A877,customer_churn_dataset!$A$2:$A$1501,0))</f>
        <v>1</v>
      </c>
      <c r="J876" s="0" t="n">
        <f aca="false">INDEX(customer_churn_dataset!$T$2:$T$1501,MATCH($A877,customer_churn_dataset!$A$2:$A$1501,0))</f>
        <v>5</v>
      </c>
      <c r="K876" s="0" t="str">
        <f aca="false">INDEX(customer_churn_dataset!$V$2:$V$1501,MATCH($A877,customer_churn_dataset!$A$2:$A$1501,0))</f>
        <v>Medium Risk</v>
      </c>
    </row>
    <row r="877" customFormat="false" ht="12.8" hidden="true" customHeight="false" outlineLevel="0" collapsed="false">
      <c r="A877" s="22" t="str">
        <f aca="false">customer_churn_dataset!A500</f>
        <v>CUST101080</v>
      </c>
      <c r="B877" s="22" t="str">
        <f aca="false">customer_churn_dataset!B500</f>
        <v>Standard</v>
      </c>
      <c r="C877" s="22" t="str">
        <f aca="false">customer_churn_dataset!C500</f>
        <v>Month-to-month</v>
      </c>
      <c r="D877" s="0" t="n">
        <f aca="false">INDEX(customer_churn_dataset!$E$2:$E$1501,MATCH($A878,customer_churn_dataset!$A$2:$A$1501,0))</f>
        <v>15</v>
      </c>
      <c r="E877" s="0" t="n">
        <f aca="false">INDEX(customer_churn_dataset!$I$2:$I$1501,MATCH($A878,customer_churn_dataset!$A$2:$A$1501,0))</f>
        <v>63.1</v>
      </c>
      <c r="F877" s="0" t="n">
        <f aca="false">INDEX(customer_churn_dataset!$L$2:$L$1501,MATCH($A878,customer_churn_dataset!$A$2:$A$1501,0))</f>
        <v>2</v>
      </c>
      <c r="G877" s="0" t="str">
        <f aca="false">IF(INDEX(customer_churn_dataset!$M$2:$M$1501,MATCH($A878,customer_churn_dataset!$A$2:$A$1501,0))=1,"Yes","No")</f>
        <v>No</v>
      </c>
      <c r="H877" s="0" t="n">
        <f aca="false">INDEX(customer_churn_dataset!$N$2:$N$1501,MATCH($A878,customer_churn_dataset!$A$2:$A$1501,0))</f>
        <v>294</v>
      </c>
      <c r="I877" s="0" t="n">
        <f aca="false">INDEX(customer_churn_dataset!$O$2:$O$1501,MATCH($A878,customer_churn_dataset!$A$2:$A$1501,0))</f>
        <v>0</v>
      </c>
      <c r="J877" s="0" t="n">
        <f aca="false">INDEX(customer_churn_dataset!$T$2:$T$1501,MATCH($A878,customer_churn_dataset!$A$2:$A$1501,0))</f>
        <v>2</v>
      </c>
      <c r="K877" s="0" t="str">
        <f aca="false">INDEX(customer_churn_dataset!$V$2:$V$1501,MATCH($A878,customer_churn_dataset!$A$2:$A$1501,0))</f>
        <v>Low Risk</v>
      </c>
    </row>
    <row r="878" customFormat="false" ht="12.8" hidden="true" customHeight="false" outlineLevel="0" collapsed="false">
      <c r="A878" s="22" t="str">
        <f aca="false">customer_churn_dataset!A501</f>
        <v>CUST100815</v>
      </c>
      <c r="B878" s="22" t="str">
        <f aca="false">customer_churn_dataset!B501</f>
        <v>Standard</v>
      </c>
      <c r="C878" s="22" t="str">
        <f aca="false">customer_churn_dataset!C501</f>
        <v>One year</v>
      </c>
      <c r="D878" s="0" t="n">
        <f aca="false">INDEX(customer_churn_dataset!$E$2:$E$1501,MATCH($A879,customer_churn_dataset!$A$2:$A$1501,0))</f>
        <v>4</v>
      </c>
      <c r="E878" s="0" t="n">
        <f aca="false">INDEX(customer_churn_dataset!$I$2:$I$1501,MATCH($A879,customer_churn_dataset!$A$2:$A$1501,0))</f>
        <v>37.9</v>
      </c>
      <c r="F878" s="0" t="n">
        <f aca="false">INDEX(customer_churn_dataset!$L$2:$L$1501,MATCH($A879,customer_churn_dataset!$A$2:$A$1501,0))</f>
        <v>0</v>
      </c>
      <c r="G878" s="0" t="str">
        <f aca="false">IF(INDEX(customer_churn_dataset!$M$2:$M$1501,MATCH($A879,customer_churn_dataset!$A$2:$A$1501,0))=1,"Yes","No")</f>
        <v>No</v>
      </c>
      <c r="H878" s="0" t="n">
        <f aca="false">INDEX(customer_churn_dataset!$N$2:$N$1501,MATCH($A879,customer_churn_dataset!$A$2:$A$1501,0))</f>
        <v>29.72</v>
      </c>
      <c r="I878" s="0" t="n">
        <f aca="false">INDEX(customer_churn_dataset!$O$2:$O$1501,MATCH($A879,customer_churn_dataset!$A$2:$A$1501,0))</f>
        <v>0</v>
      </c>
      <c r="J878" s="0" t="n">
        <f aca="false">INDEX(customer_churn_dataset!$T$2:$T$1501,MATCH($A879,customer_churn_dataset!$A$2:$A$1501,0))</f>
        <v>4</v>
      </c>
      <c r="K878" s="0" t="str">
        <f aca="false">INDEX(customer_churn_dataset!$V$2:$V$1501,MATCH($A879,customer_churn_dataset!$A$2:$A$1501,0))</f>
        <v>Medium Risk</v>
      </c>
    </row>
    <row r="879" customFormat="false" ht="12.8" hidden="true" customHeight="false" outlineLevel="0" collapsed="false">
      <c r="A879" s="22" t="str">
        <f aca="false">customer_churn_dataset!A510</f>
        <v>CUST100958</v>
      </c>
      <c r="B879" s="22" t="str">
        <f aca="false">customer_churn_dataset!B510</f>
        <v>Basic</v>
      </c>
      <c r="C879" s="22" t="str">
        <f aca="false">customer_churn_dataset!C510</f>
        <v>One year</v>
      </c>
      <c r="D879" s="0" t="n">
        <f aca="false">INDEX(customer_churn_dataset!$E$2:$E$1501,MATCH($A880,customer_churn_dataset!$A$2:$A$1501,0))</f>
        <v>31</v>
      </c>
      <c r="E879" s="0" t="n">
        <f aca="false">INDEX(customer_churn_dataset!$I$2:$I$1501,MATCH($A880,customer_churn_dataset!$A$2:$A$1501,0))</f>
        <v>56.1</v>
      </c>
      <c r="F879" s="0" t="n">
        <f aca="false">INDEX(customer_churn_dataset!$L$2:$L$1501,MATCH($A880,customer_churn_dataset!$A$2:$A$1501,0))</f>
        <v>0</v>
      </c>
      <c r="G879" s="0" t="str">
        <f aca="false">IF(INDEX(customer_churn_dataset!$M$2:$M$1501,MATCH($A880,customer_churn_dataset!$A$2:$A$1501,0))=1,"Yes","No")</f>
        <v>No</v>
      </c>
      <c r="H879" s="0" t="n">
        <f aca="false">INDEX(customer_churn_dataset!$N$2:$N$1501,MATCH($A880,customer_churn_dataset!$A$2:$A$1501,0))</f>
        <v>322.4</v>
      </c>
      <c r="I879" s="0" t="n">
        <f aca="false">INDEX(customer_churn_dataset!$O$2:$O$1501,MATCH($A880,customer_churn_dataset!$A$2:$A$1501,0))</f>
        <v>0</v>
      </c>
      <c r="J879" s="0" t="n">
        <f aca="false">INDEX(customer_churn_dataset!$T$2:$T$1501,MATCH($A880,customer_churn_dataset!$A$2:$A$1501,0))</f>
        <v>1</v>
      </c>
      <c r="K879" s="0" t="str">
        <f aca="false">INDEX(customer_churn_dataset!$V$2:$V$1501,MATCH($A880,customer_churn_dataset!$A$2:$A$1501,0))</f>
        <v>Low Risk</v>
      </c>
    </row>
    <row r="880" customFormat="false" ht="12.8" hidden="true" customHeight="false" outlineLevel="0" collapsed="false">
      <c r="A880" s="22" t="str">
        <f aca="false">customer_churn_dataset!A511</f>
        <v>CUST100819</v>
      </c>
      <c r="B880" s="22" t="str">
        <f aca="false">customer_churn_dataset!B511</f>
        <v>Basic</v>
      </c>
      <c r="C880" s="22" t="str">
        <f aca="false">customer_churn_dataset!C511</f>
        <v>One year</v>
      </c>
      <c r="D880" s="0" t="n">
        <f aca="false">INDEX(customer_churn_dataset!$E$2:$E$1501,MATCH($A881,customer_churn_dataset!$A$2:$A$1501,0))</f>
        <v>35</v>
      </c>
      <c r="E880" s="0" t="n">
        <f aca="false">INDEX(customer_churn_dataset!$I$2:$I$1501,MATCH($A881,customer_churn_dataset!$A$2:$A$1501,0))</f>
        <v>80.4</v>
      </c>
      <c r="F880" s="0" t="n">
        <f aca="false">INDEX(customer_churn_dataset!$L$2:$L$1501,MATCH($A881,customer_churn_dataset!$A$2:$A$1501,0))</f>
        <v>0</v>
      </c>
      <c r="G880" s="0" t="str">
        <f aca="false">IF(INDEX(customer_churn_dataset!$M$2:$M$1501,MATCH($A881,customer_churn_dataset!$A$2:$A$1501,0))=1,"Yes","No")</f>
        <v>No</v>
      </c>
      <c r="H880" s="0" t="n">
        <f aca="false">INDEX(customer_churn_dataset!$N$2:$N$1501,MATCH($A881,customer_churn_dataset!$A$2:$A$1501,0))</f>
        <v>647.85</v>
      </c>
      <c r="I880" s="0" t="n">
        <f aca="false">INDEX(customer_churn_dataset!$O$2:$O$1501,MATCH($A881,customer_churn_dataset!$A$2:$A$1501,0))</f>
        <v>1</v>
      </c>
      <c r="J880" s="0" t="n">
        <f aca="false">INDEX(customer_churn_dataset!$T$2:$T$1501,MATCH($A881,customer_churn_dataset!$A$2:$A$1501,0))</f>
        <v>2</v>
      </c>
      <c r="K880" s="0" t="str">
        <f aca="false">INDEX(customer_churn_dataset!$V$2:$V$1501,MATCH($A881,customer_churn_dataset!$A$2:$A$1501,0))</f>
        <v>Low Risk</v>
      </c>
    </row>
    <row r="881" customFormat="false" ht="12.8" hidden="true" customHeight="false" outlineLevel="0" collapsed="false">
      <c r="A881" s="22" t="str">
        <f aca="false">customer_churn_dataset!A512</f>
        <v>CUST100185</v>
      </c>
      <c r="B881" s="22" t="str">
        <f aca="false">customer_churn_dataset!B512</f>
        <v>Standard</v>
      </c>
      <c r="C881" s="22" t="str">
        <f aca="false">customer_churn_dataset!C512</f>
        <v>Month-to-month</v>
      </c>
      <c r="D881" s="0" t="n">
        <f aca="false">INDEX(customer_churn_dataset!$E$2:$E$1501,MATCH($A882,customer_churn_dataset!$A$2:$A$1501,0))</f>
        <v>8</v>
      </c>
      <c r="E881" s="0" t="n">
        <f aca="false">INDEX(customer_churn_dataset!$I$2:$I$1501,MATCH($A882,customer_churn_dataset!$A$2:$A$1501,0))</f>
        <v>61.5</v>
      </c>
      <c r="F881" s="0" t="n">
        <f aca="false">INDEX(customer_churn_dataset!$L$2:$L$1501,MATCH($A882,customer_churn_dataset!$A$2:$A$1501,0))</f>
        <v>0</v>
      </c>
      <c r="G881" s="0" t="str">
        <f aca="false">IF(INDEX(customer_churn_dataset!$M$2:$M$1501,MATCH($A882,customer_churn_dataset!$A$2:$A$1501,0))=1,"Yes","No")</f>
        <v>No</v>
      </c>
      <c r="H881" s="0" t="n">
        <f aca="false">INDEX(customer_churn_dataset!$N$2:$N$1501,MATCH($A882,customer_churn_dataset!$A$2:$A$1501,0))</f>
        <v>163.36</v>
      </c>
      <c r="I881" s="0" t="n">
        <f aca="false">INDEX(customer_churn_dataset!$O$2:$O$1501,MATCH($A882,customer_churn_dataset!$A$2:$A$1501,0))</f>
        <v>0</v>
      </c>
      <c r="J881" s="0" t="n">
        <f aca="false">INDEX(customer_churn_dataset!$T$2:$T$1501,MATCH($A882,customer_churn_dataset!$A$2:$A$1501,0))</f>
        <v>3</v>
      </c>
      <c r="K881" s="0" t="str">
        <f aca="false">INDEX(customer_churn_dataset!$V$2:$V$1501,MATCH($A882,customer_churn_dataset!$A$2:$A$1501,0))</f>
        <v>Medium Risk</v>
      </c>
    </row>
    <row r="882" customFormat="false" ht="12.8" hidden="true" customHeight="false" outlineLevel="0" collapsed="false">
      <c r="A882" s="22" t="str">
        <f aca="false">customer_churn_dataset!A570</f>
        <v>CUST100829</v>
      </c>
      <c r="B882" s="22" t="str">
        <f aca="false">customer_churn_dataset!B570</f>
        <v>Standard</v>
      </c>
      <c r="C882" s="22" t="str">
        <f aca="false">customer_churn_dataset!C570</f>
        <v>Month-to-month</v>
      </c>
      <c r="D882" s="0" t="n">
        <f aca="false">INDEX(customer_churn_dataset!$E$2:$E$1501,MATCH($A883,customer_churn_dataset!$A$2:$A$1501,0))</f>
        <v>4</v>
      </c>
      <c r="E882" s="0" t="n">
        <f aca="false">INDEX(customer_churn_dataset!$I$2:$I$1501,MATCH($A883,customer_churn_dataset!$A$2:$A$1501,0))</f>
        <v>64.8</v>
      </c>
      <c r="F882" s="0" t="n">
        <f aca="false">INDEX(customer_churn_dataset!$L$2:$L$1501,MATCH($A883,customer_churn_dataset!$A$2:$A$1501,0))</f>
        <v>1</v>
      </c>
      <c r="G882" s="0" t="str">
        <f aca="false">IF(INDEX(customer_churn_dataset!$M$2:$M$1501,MATCH($A883,customer_churn_dataset!$A$2:$A$1501,0))=1,"Yes","No")</f>
        <v>Yes</v>
      </c>
      <c r="H882" s="0" t="n">
        <f aca="false">INDEX(customer_churn_dataset!$N$2:$N$1501,MATCH($A883,customer_churn_dataset!$A$2:$A$1501,0))</f>
        <v>77.52</v>
      </c>
      <c r="I882" s="0" t="n">
        <f aca="false">INDEX(customer_churn_dataset!$O$2:$O$1501,MATCH($A883,customer_churn_dataset!$A$2:$A$1501,0))</f>
        <v>1</v>
      </c>
      <c r="J882" s="0" t="n">
        <f aca="false">INDEX(customer_churn_dataset!$T$2:$T$1501,MATCH($A883,customer_churn_dataset!$A$2:$A$1501,0))</f>
        <v>6</v>
      </c>
      <c r="K882" s="0" t="str">
        <f aca="false">INDEX(customer_churn_dataset!$V$2:$V$1501,MATCH($A883,customer_churn_dataset!$A$2:$A$1501,0))</f>
        <v>High Risk</v>
      </c>
    </row>
    <row r="883" customFormat="false" ht="12.8" hidden="true" customHeight="false" outlineLevel="0" collapsed="false">
      <c r="A883" s="22" t="str">
        <f aca="false">customer_churn_dataset!A586</f>
        <v>CUST100218</v>
      </c>
      <c r="B883" s="22" t="str">
        <f aca="false">customer_churn_dataset!B586</f>
        <v>Standard</v>
      </c>
      <c r="C883" s="22" t="str">
        <f aca="false">customer_churn_dataset!C586</f>
        <v>Month-to-month</v>
      </c>
      <c r="D883" s="0" t="n">
        <f aca="false">INDEX(customer_churn_dataset!$E$2:$E$1501,MATCH($A884,customer_churn_dataset!$A$2:$A$1501,0))</f>
        <v>9</v>
      </c>
      <c r="E883" s="0" t="n">
        <f aca="false">INDEX(customer_churn_dataset!$I$2:$I$1501,MATCH($A884,customer_churn_dataset!$A$2:$A$1501,0))</f>
        <v>41.7</v>
      </c>
      <c r="F883" s="0" t="n">
        <f aca="false">INDEX(customer_churn_dataset!$L$2:$L$1501,MATCH($A884,customer_churn_dataset!$A$2:$A$1501,0))</f>
        <v>0</v>
      </c>
      <c r="G883" s="0" t="str">
        <f aca="false">IF(INDEX(customer_churn_dataset!$M$2:$M$1501,MATCH($A884,customer_churn_dataset!$A$2:$A$1501,0))=1,"Yes","No")</f>
        <v>No</v>
      </c>
      <c r="H883" s="0" t="n">
        <f aca="false">INDEX(customer_churn_dataset!$N$2:$N$1501,MATCH($A884,customer_churn_dataset!$A$2:$A$1501,0))</f>
        <v>186.75</v>
      </c>
      <c r="I883" s="0" t="n">
        <f aca="false">INDEX(customer_churn_dataset!$O$2:$O$1501,MATCH($A884,customer_churn_dataset!$A$2:$A$1501,0))</f>
        <v>0</v>
      </c>
      <c r="J883" s="0" t="n">
        <f aca="false">INDEX(customer_churn_dataset!$T$2:$T$1501,MATCH($A884,customer_churn_dataset!$A$2:$A$1501,0))</f>
        <v>4</v>
      </c>
      <c r="K883" s="0" t="str">
        <f aca="false">INDEX(customer_churn_dataset!$V$2:$V$1501,MATCH($A884,customer_churn_dataset!$A$2:$A$1501,0))</f>
        <v>Medium Risk</v>
      </c>
    </row>
    <row r="884" customFormat="false" ht="12.8" hidden="true" customHeight="false" outlineLevel="0" collapsed="false">
      <c r="A884" s="22" t="str">
        <f aca="false">customer_churn_dataset!A634</f>
        <v>CUST100193</v>
      </c>
      <c r="B884" s="22" t="str">
        <f aca="false">customer_churn_dataset!B634</f>
        <v>Standard</v>
      </c>
      <c r="C884" s="22" t="str">
        <f aca="false">customer_churn_dataset!C634</f>
        <v>Month-to-month</v>
      </c>
      <c r="D884" s="0" t="n">
        <f aca="false">INDEX(customer_churn_dataset!$E$2:$E$1501,MATCH($A885,customer_churn_dataset!$A$2:$A$1501,0))</f>
        <v>12</v>
      </c>
      <c r="E884" s="0" t="n">
        <f aca="false">INDEX(customer_churn_dataset!$I$2:$I$1501,MATCH($A885,customer_churn_dataset!$A$2:$A$1501,0))</f>
        <v>72.3</v>
      </c>
      <c r="F884" s="0" t="n">
        <f aca="false">INDEX(customer_churn_dataset!$L$2:$L$1501,MATCH($A885,customer_churn_dataset!$A$2:$A$1501,0))</f>
        <v>1</v>
      </c>
      <c r="G884" s="0" t="str">
        <f aca="false">IF(INDEX(customer_churn_dataset!$M$2:$M$1501,MATCH($A885,customer_churn_dataset!$A$2:$A$1501,0))=1,"Yes","No")</f>
        <v>Yes</v>
      </c>
      <c r="H884" s="0" t="n">
        <f aca="false">INDEX(customer_churn_dataset!$N$2:$N$1501,MATCH($A885,customer_churn_dataset!$A$2:$A$1501,0))</f>
        <v>250.92</v>
      </c>
      <c r="I884" s="0" t="n">
        <f aca="false">INDEX(customer_churn_dataset!$O$2:$O$1501,MATCH($A885,customer_churn_dataset!$A$2:$A$1501,0))</f>
        <v>0</v>
      </c>
      <c r="J884" s="0" t="n">
        <f aca="false">INDEX(customer_churn_dataset!$T$2:$T$1501,MATCH($A885,customer_churn_dataset!$A$2:$A$1501,0))</f>
        <v>4</v>
      </c>
      <c r="K884" s="0" t="str">
        <f aca="false">INDEX(customer_churn_dataset!$V$2:$V$1501,MATCH($A885,customer_churn_dataset!$A$2:$A$1501,0))</f>
        <v>Medium Risk</v>
      </c>
    </row>
    <row r="885" customFormat="false" ht="12.8" hidden="true" customHeight="false" outlineLevel="0" collapsed="false">
      <c r="A885" s="22" t="str">
        <f aca="false">customer_churn_dataset!A682</f>
        <v>CUST100462</v>
      </c>
      <c r="B885" s="22" t="str">
        <f aca="false">customer_churn_dataset!B682</f>
        <v>Standard</v>
      </c>
      <c r="C885" s="22" t="str">
        <f aca="false">customer_churn_dataset!C682</f>
        <v>One year</v>
      </c>
      <c r="D885" s="0" t="n">
        <f aca="false">INDEX(customer_churn_dataset!$E$2:$E$1501,MATCH($A886,customer_churn_dataset!$A$2:$A$1501,0))</f>
        <v>71</v>
      </c>
      <c r="E885" s="0" t="n">
        <f aca="false">INDEX(customer_churn_dataset!$I$2:$I$1501,MATCH($A886,customer_churn_dataset!$A$2:$A$1501,0))</f>
        <v>36.4</v>
      </c>
      <c r="F885" s="0" t="n">
        <f aca="false">INDEX(customer_churn_dataset!$L$2:$L$1501,MATCH($A886,customer_churn_dataset!$A$2:$A$1501,0))</f>
        <v>1</v>
      </c>
      <c r="G885" s="0" t="str">
        <f aca="false">IF(INDEX(customer_churn_dataset!$M$2:$M$1501,MATCH($A886,customer_churn_dataset!$A$2:$A$1501,0))=1,"Yes","No")</f>
        <v>No</v>
      </c>
      <c r="H885" s="0" t="n">
        <f aca="false">INDEX(customer_churn_dataset!$N$2:$N$1501,MATCH($A886,customer_churn_dataset!$A$2:$A$1501,0))</f>
        <v>757.57</v>
      </c>
      <c r="I885" s="0" t="n">
        <f aca="false">INDEX(customer_churn_dataset!$O$2:$O$1501,MATCH($A886,customer_churn_dataset!$A$2:$A$1501,0))</f>
        <v>0</v>
      </c>
      <c r="J885" s="0" t="n">
        <f aca="false">INDEX(customer_churn_dataset!$T$2:$T$1501,MATCH($A886,customer_churn_dataset!$A$2:$A$1501,0))</f>
        <v>3</v>
      </c>
      <c r="K885" s="0" t="str">
        <f aca="false">INDEX(customer_churn_dataset!$V$2:$V$1501,MATCH($A886,customer_churn_dataset!$A$2:$A$1501,0))</f>
        <v>Medium Risk</v>
      </c>
    </row>
    <row r="886" customFormat="false" ht="12.8" hidden="true" customHeight="false" outlineLevel="0" collapsed="false">
      <c r="A886" s="22" t="str">
        <f aca="false">customer_churn_dataset!A688</f>
        <v>CUST101116</v>
      </c>
      <c r="B886" s="22" t="str">
        <f aca="false">customer_churn_dataset!B688</f>
        <v>Basic</v>
      </c>
      <c r="C886" s="22" t="str">
        <f aca="false">customer_churn_dataset!C688</f>
        <v>One year</v>
      </c>
      <c r="D886" s="0" t="n">
        <f aca="false">INDEX(customer_churn_dataset!$E$2:$E$1501,MATCH($A887,customer_churn_dataset!$A$2:$A$1501,0))</f>
        <v>72</v>
      </c>
      <c r="E886" s="0" t="n">
        <f aca="false">INDEX(customer_churn_dataset!$I$2:$I$1501,MATCH($A887,customer_churn_dataset!$A$2:$A$1501,0))</f>
        <v>32.4</v>
      </c>
      <c r="F886" s="0" t="n">
        <f aca="false">INDEX(customer_churn_dataset!$L$2:$L$1501,MATCH($A887,customer_churn_dataset!$A$2:$A$1501,0))</f>
        <v>1</v>
      </c>
      <c r="G886" s="0" t="str">
        <f aca="false">IF(INDEX(customer_churn_dataset!$M$2:$M$1501,MATCH($A887,customer_churn_dataset!$A$2:$A$1501,0))=1,"Yes","No")</f>
        <v>No</v>
      </c>
      <c r="H886" s="0" t="n">
        <f aca="false">INDEX(customer_churn_dataset!$N$2:$N$1501,MATCH($A887,customer_churn_dataset!$A$2:$A$1501,0))</f>
        <v>1469.52</v>
      </c>
      <c r="I886" s="0" t="n">
        <f aca="false">INDEX(customer_churn_dataset!$O$2:$O$1501,MATCH($A887,customer_churn_dataset!$A$2:$A$1501,0))</f>
        <v>0</v>
      </c>
      <c r="J886" s="0" t="n">
        <f aca="false">INDEX(customer_churn_dataset!$T$2:$T$1501,MATCH($A887,customer_churn_dataset!$A$2:$A$1501,0))</f>
        <v>2</v>
      </c>
      <c r="K886" s="0" t="str">
        <f aca="false">INDEX(customer_churn_dataset!$V$2:$V$1501,MATCH($A887,customer_churn_dataset!$A$2:$A$1501,0))</f>
        <v>Low Risk</v>
      </c>
    </row>
    <row r="887" customFormat="false" ht="12.8" hidden="true" customHeight="false" outlineLevel="0" collapsed="false">
      <c r="A887" s="22" t="str">
        <f aca="false">customer_churn_dataset!A689</f>
        <v>CUST100727</v>
      </c>
      <c r="B887" s="22" t="str">
        <f aca="false">customer_churn_dataset!B689</f>
        <v>Standard</v>
      </c>
      <c r="C887" s="22" t="str">
        <f aca="false">customer_churn_dataset!C689</f>
        <v>Two year</v>
      </c>
      <c r="D887" s="0" t="n">
        <f aca="false">INDEX(customer_churn_dataset!$E$2:$E$1501,MATCH($A888,customer_churn_dataset!$A$2:$A$1501,0))</f>
        <v>7</v>
      </c>
      <c r="E887" s="0" t="n">
        <f aca="false">INDEX(customer_churn_dataset!$I$2:$I$1501,MATCH($A888,customer_churn_dataset!$A$2:$A$1501,0))</f>
        <v>87.1</v>
      </c>
      <c r="F887" s="0" t="n">
        <f aca="false">INDEX(customer_churn_dataset!$L$2:$L$1501,MATCH($A888,customer_churn_dataset!$A$2:$A$1501,0))</f>
        <v>3</v>
      </c>
      <c r="G887" s="0" t="str">
        <f aca="false">IF(INDEX(customer_churn_dataset!$M$2:$M$1501,MATCH($A888,customer_churn_dataset!$A$2:$A$1501,0))=1,"Yes","No")</f>
        <v>No</v>
      </c>
      <c r="H887" s="0" t="n">
        <f aca="false">INDEX(customer_churn_dataset!$N$2:$N$1501,MATCH($A888,customer_churn_dataset!$A$2:$A$1501,0))</f>
        <v>142.38</v>
      </c>
      <c r="I887" s="0" t="n">
        <f aca="false">INDEX(customer_churn_dataset!$O$2:$O$1501,MATCH($A888,customer_churn_dataset!$A$2:$A$1501,0))</f>
        <v>0</v>
      </c>
      <c r="J887" s="0" t="n">
        <f aca="false">INDEX(customer_churn_dataset!$T$2:$T$1501,MATCH($A888,customer_churn_dataset!$A$2:$A$1501,0))</f>
        <v>3</v>
      </c>
      <c r="K887" s="0" t="str">
        <f aca="false">INDEX(customer_churn_dataset!$V$2:$V$1501,MATCH($A888,customer_churn_dataset!$A$2:$A$1501,0))</f>
        <v>Medium Risk</v>
      </c>
    </row>
    <row r="888" customFormat="false" ht="12.8" hidden="true" customHeight="false" outlineLevel="0" collapsed="false">
      <c r="A888" s="22" t="str">
        <f aca="false">customer_churn_dataset!A695</f>
        <v>CUST100834</v>
      </c>
      <c r="B888" s="22" t="str">
        <f aca="false">customer_churn_dataset!B695</f>
        <v>Standard</v>
      </c>
      <c r="C888" s="22" t="str">
        <f aca="false">customer_churn_dataset!C695</f>
        <v>One year</v>
      </c>
      <c r="D888" s="0" t="n">
        <f aca="false">INDEX(customer_churn_dataset!$E$2:$E$1501,MATCH($A889,customer_churn_dataset!$A$2:$A$1501,0))</f>
        <v>60</v>
      </c>
      <c r="E888" s="0" t="n">
        <f aca="false">INDEX(customer_churn_dataset!$I$2:$I$1501,MATCH($A889,customer_churn_dataset!$A$2:$A$1501,0))</f>
        <v>46.9</v>
      </c>
      <c r="F888" s="0" t="n">
        <f aca="false">INDEX(customer_churn_dataset!$L$2:$L$1501,MATCH($A889,customer_churn_dataset!$A$2:$A$1501,0))</f>
        <v>0</v>
      </c>
      <c r="G888" s="0" t="str">
        <f aca="false">IF(INDEX(customer_churn_dataset!$M$2:$M$1501,MATCH($A889,customer_churn_dataset!$A$2:$A$1501,0))=1,"Yes","No")</f>
        <v>No</v>
      </c>
      <c r="H888" s="0" t="n">
        <f aca="false">INDEX(customer_churn_dataset!$N$2:$N$1501,MATCH($A889,customer_churn_dataset!$A$2:$A$1501,0))</f>
        <v>1196.4</v>
      </c>
      <c r="I888" s="0" t="n">
        <f aca="false">INDEX(customer_churn_dataset!$O$2:$O$1501,MATCH($A889,customer_churn_dataset!$A$2:$A$1501,0))</f>
        <v>0</v>
      </c>
      <c r="J888" s="0" t="n">
        <f aca="false">INDEX(customer_churn_dataset!$T$2:$T$1501,MATCH($A889,customer_churn_dataset!$A$2:$A$1501,0))</f>
        <v>3</v>
      </c>
      <c r="K888" s="0" t="str">
        <f aca="false">INDEX(customer_churn_dataset!$V$2:$V$1501,MATCH($A889,customer_churn_dataset!$A$2:$A$1501,0))</f>
        <v>Medium Risk</v>
      </c>
    </row>
    <row r="889" customFormat="false" ht="12.8" hidden="true" customHeight="false" outlineLevel="0" collapsed="false">
      <c r="A889" s="22" t="str">
        <f aca="false">customer_churn_dataset!A717</f>
        <v>CUST101327</v>
      </c>
      <c r="B889" s="22" t="str">
        <f aca="false">customer_churn_dataset!B717</f>
        <v>Standard</v>
      </c>
      <c r="C889" s="22" t="str">
        <f aca="false">customer_churn_dataset!C717</f>
        <v>Month-to-month</v>
      </c>
      <c r="D889" s="0" t="n">
        <f aca="false">INDEX(customer_churn_dataset!$E$2:$E$1501,MATCH($A890,customer_churn_dataset!$A$2:$A$1501,0))</f>
        <v>4</v>
      </c>
      <c r="E889" s="0" t="n">
        <f aca="false">INDEX(customer_churn_dataset!$I$2:$I$1501,MATCH($A890,customer_churn_dataset!$A$2:$A$1501,0))</f>
        <v>78.8</v>
      </c>
      <c r="F889" s="0" t="n">
        <f aca="false">INDEX(customer_churn_dataset!$L$2:$L$1501,MATCH($A890,customer_churn_dataset!$A$2:$A$1501,0))</f>
        <v>0</v>
      </c>
      <c r="G889" s="0" t="str">
        <f aca="false">IF(INDEX(customer_churn_dataset!$M$2:$M$1501,MATCH($A890,customer_churn_dataset!$A$2:$A$1501,0))=1,"Yes","No")</f>
        <v>No</v>
      </c>
      <c r="H889" s="0" t="n">
        <f aca="false">INDEX(customer_churn_dataset!$N$2:$N$1501,MATCH($A890,customer_churn_dataset!$A$2:$A$1501,0))</f>
        <v>37.12</v>
      </c>
      <c r="I889" s="0" t="n">
        <f aca="false">INDEX(customer_churn_dataset!$O$2:$O$1501,MATCH($A890,customer_churn_dataset!$A$2:$A$1501,0))</f>
        <v>0</v>
      </c>
      <c r="J889" s="0" t="n">
        <f aca="false">INDEX(customer_churn_dataset!$T$2:$T$1501,MATCH($A890,customer_churn_dataset!$A$2:$A$1501,0))</f>
        <v>3</v>
      </c>
      <c r="K889" s="0" t="str">
        <f aca="false">INDEX(customer_churn_dataset!$V$2:$V$1501,MATCH($A890,customer_churn_dataset!$A$2:$A$1501,0))</f>
        <v>Medium Risk</v>
      </c>
    </row>
    <row r="890" customFormat="false" ht="12.8" hidden="true" customHeight="false" outlineLevel="0" collapsed="false">
      <c r="A890" s="22" t="str">
        <f aca="false">customer_churn_dataset!A721</f>
        <v>CUST101380</v>
      </c>
      <c r="B890" s="22" t="str">
        <f aca="false">customer_churn_dataset!B721</f>
        <v>Basic</v>
      </c>
      <c r="C890" s="22" t="str">
        <f aca="false">customer_churn_dataset!C721</f>
        <v>Month-to-month</v>
      </c>
      <c r="D890" s="0" t="n">
        <f aca="false">INDEX(customer_churn_dataset!$E$2:$E$1501,MATCH($A891,customer_churn_dataset!$A$2:$A$1501,0))</f>
        <v>19</v>
      </c>
      <c r="E890" s="0" t="n">
        <f aca="false">INDEX(customer_churn_dataset!$I$2:$I$1501,MATCH($A891,customer_churn_dataset!$A$2:$A$1501,0))</f>
        <v>48.2</v>
      </c>
      <c r="F890" s="0" t="n">
        <f aca="false">INDEX(customer_churn_dataset!$L$2:$L$1501,MATCH($A891,customer_churn_dataset!$A$2:$A$1501,0))</f>
        <v>0</v>
      </c>
      <c r="G890" s="0" t="str">
        <f aca="false">IF(INDEX(customer_churn_dataset!$M$2:$M$1501,MATCH($A891,customer_churn_dataset!$A$2:$A$1501,0))=1,"Yes","No")</f>
        <v>No</v>
      </c>
      <c r="H890" s="0" t="n">
        <f aca="false">INDEX(customer_churn_dataset!$N$2:$N$1501,MATCH($A891,customer_churn_dataset!$A$2:$A$1501,0))</f>
        <v>180.31</v>
      </c>
      <c r="I890" s="0" t="n">
        <f aca="false">INDEX(customer_churn_dataset!$O$2:$O$1501,MATCH($A891,customer_churn_dataset!$A$2:$A$1501,0))</f>
        <v>0</v>
      </c>
      <c r="J890" s="0" t="n">
        <f aca="false">INDEX(customer_churn_dataset!$T$2:$T$1501,MATCH($A891,customer_churn_dataset!$A$2:$A$1501,0))</f>
        <v>3</v>
      </c>
      <c r="K890" s="0" t="str">
        <f aca="false">INDEX(customer_churn_dataset!$V$2:$V$1501,MATCH($A891,customer_churn_dataset!$A$2:$A$1501,0))</f>
        <v>Medium Risk</v>
      </c>
    </row>
    <row r="891" customFormat="false" ht="12.8" hidden="true" customHeight="false" outlineLevel="0" collapsed="false">
      <c r="A891" s="22" t="str">
        <f aca="false">customer_churn_dataset!A725</f>
        <v>CUST101284</v>
      </c>
      <c r="B891" s="22" t="str">
        <f aca="false">customer_churn_dataset!B725</f>
        <v>Basic</v>
      </c>
      <c r="C891" s="22" t="str">
        <f aca="false">customer_churn_dataset!C725</f>
        <v>Month-to-month</v>
      </c>
      <c r="D891" s="0" t="n">
        <f aca="false">INDEX(customer_churn_dataset!$E$2:$E$1501,MATCH($A892,customer_churn_dataset!$A$2:$A$1501,0))</f>
        <v>31</v>
      </c>
      <c r="E891" s="0" t="n">
        <f aca="false">INDEX(customer_churn_dataset!$I$2:$I$1501,MATCH($A892,customer_churn_dataset!$A$2:$A$1501,0))</f>
        <v>58.3</v>
      </c>
      <c r="F891" s="0" t="n">
        <f aca="false">INDEX(customer_churn_dataset!$L$2:$L$1501,MATCH($A892,customer_churn_dataset!$A$2:$A$1501,0))</f>
        <v>2</v>
      </c>
      <c r="G891" s="0" t="str">
        <f aca="false">IF(INDEX(customer_churn_dataset!$M$2:$M$1501,MATCH($A892,customer_churn_dataset!$A$2:$A$1501,0))=1,"Yes","No")</f>
        <v>Yes</v>
      </c>
      <c r="H891" s="0" t="n">
        <f aca="false">INDEX(customer_churn_dataset!$N$2:$N$1501,MATCH($A892,customer_churn_dataset!$A$2:$A$1501,0))</f>
        <v>354.95</v>
      </c>
      <c r="I891" s="0" t="n">
        <f aca="false">INDEX(customer_churn_dataset!$O$2:$O$1501,MATCH($A892,customer_churn_dataset!$A$2:$A$1501,0))</f>
        <v>0</v>
      </c>
      <c r="J891" s="0" t="n">
        <f aca="false">INDEX(customer_churn_dataset!$T$2:$T$1501,MATCH($A892,customer_churn_dataset!$A$2:$A$1501,0))</f>
        <v>5</v>
      </c>
      <c r="K891" s="0" t="str">
        <f aca="false">INDEX(customer_churn_dataset!$V$2:$V$1501,MATCH($A892,customer_churn_dataset!$A$2:$A$1501,0))</f>
        <v>Medium Risk</v>
      </c>
    </row>
    <row r="892" customFormat="false" ht="12.8" hidden="true" customHeight="false" outlineLevel="0" collapsed="false">
      <c r="A892" s="22" t="str">
        <f aca="false">customer_churn_dataset!A732</f>
        <v>CUST101416</v>
      </c>
      <c r="B892" s="22" t="str">
        <f aca="false">customer_churn_dataset!B732</f>
        <v>Basic</v>
      </c>
      <c r="C892" s="22" t="str">
        <f aca="false">customer_churn_dataset!C732</f>
        <v>One year</v>
      </c>
      <c r="D892" s="0" t="n">
        <f aca="false">INDEX(customer_churn_dataset!$E$2:$E$1501,MATCH($A893,customer_churn_dataset!$A$2:$A$1501,0))</f>
        <v>56</v>
      </c>
      <c r="E892" s="0" t="n">
        <f aca="false">INDEX(customer_churn_dataset!$I$2:$I$1501,MATCH($A893,customer_churn_dataset!$A$2:$A$1501,0))</f>
        <v>57.3</v>
      </c>
      <c r="F892" s="0" t="n">
        <f aca="false">INDEX(customer_churn_dataset!$L$2:$L$1501,MATCH($A893,customer_churn_dataset!$A$2:$A$1501,0))</f>
        <v>3</v>
      </c>
      <c r="G892" s="0" t="str">
        <f aca="false">IF(INDEX(customer_churn_dataset!$M$2:$M$1501,MATCH($A893,customer_churn_dataset!$A$2:$A$1501,0))=1,"Yes","No")</f>
        <v>Yes</v>
      </c>
      <c r="H892" s="0" t="n">
        <f aca="false">INDEX(customer_churn_dataset!$N$2:$N$1501,MATCH($A893,customer_churn_dataset!$A$2:$A$1501,0))</f>
        <v>486.08</v>
      </c>
      <c r="I892" s="0" t="n">
        <f aca="false">INDEX(customer_churn_dataset!$O$2:$O$1501,MATCH($A893,customer_churn_dataset!$A$2:$A$1501,0))</f>
        <v>0</v>
      </c>
      <c r="J892" s="0" t="n">
        <f aca="false">INDEX(customer_churn_dataset!$T$2:$T$1501,MATCH($A893,customer_churn_dataset!$A$2:$A$1501,0))</f>
        <v>6</v>
      </c>
      <c r="K892" s="0" t="str">
        <f aca="false">INDEX(customer_churn_dataset!$V$2:$V$1501,MATCH($A893,customer_churn_dataset!$A$2:$A$1501,0))</f>
        <v>High Risk</v>
      </c>
    </row>
    <row r="893" customFormat="false" ht="12.8" hidden="true" customHeight="false" outlineLevel="0" collapsed="false">
      <c r="A893" s="22" t="str">
        <f aca="false">customer_churn_dataset!A744</f>
        <v>CUST100863</v>
      </c>
      <c r="B893" s="22" t="str">
        <f aca="false">customer_churn_dataset!B744</f>
        <v>Basic</v>
      </c>
      <c r="C893" s="22" t="str">
        <f aca="false">customer_churn_dataset!C744</f>
        <v>Month-to-month</v>
      </c>
      <c r="D893" s="0" t="n">
        <f aca="false">INDEX(customer_churn_dataset!$E$2:$E$1501,MATCH($A894,customer_churn_dataset!$A$2:$A$1501,0))</f>
        <v>17</v>
      </c>
      <c r="E893" s="0" t="n">
        <f aca="false">INDEX(customer_churn_dataset!$I$2:$I$1501,MATCH($A894,customer_churn_dataset!$A$2:$A$1501,0))</f>
        <v>48.5</v>
      </c>
      <c r="F893" s="0" t="n">
        <f aca="false">INDEX(customer_churn_dataset!$L$2:$L$1501,MATCH($A894,customer_churn_dataset!$A$2:$A$1501,0))</f>
        <v>2</v>
      </c>
      <c r="G893" s="0" t="str">
        <f aca="false">IF(INDEX(customer_churn_dataset!$M$2:$M$1501,MATCH($A894,customer_churn_dataset!$A$2:$A$1501,0))=1,"Yes","No")</f>
        <v>No</v>
      </c>
      <c r="H893" s="0" t="n">
        <f aca="false">INDEX(customer_churn_dataset!$N$2:$N$1501,MATCH($A894,customer_churn_dataset!$A$2:$A$1501,0))</f>
        <v>179.52</v>
      </c>
      <c r="I893" s="0" t="n">
        <f aca="false">INDEX(customer_churn_dataset!$O$2:$O$1501,MATCH($A894,customer_churn_dataset!$A$2:$A$1501,0))</f>
        <v>0</v>
      </c>
      <c r="J893" s="0" t="n">
        <f aca="false">INDEX(customer_churn_dataset!$T$2:$T$1501,MATCH($A894,customer_churn_dataset!$A$2:$A$1501,0))</f>
        <v>3</v>
      </c>
      <c r="K893" s="0" t="str">
        <f aca="false">INDEX(customer_churn_dataset!$V$2:$V$1501,MATCH($A894,customer_churn_dataset!$A$2:$A$1501,0))</f>
        <v>Medium Risk</v>
      </c>
    </row>
    <row r="894" customFormat="false" ht="12.8" hidden="true" customHeight="false" outlineLevel="0" collapsed="false">
      <c r="A894" s="22" t="str">
        <f aca="false">customer_churn_dataset!A773</f>
        <v>CUST101266</v>
      </c>
      <c r="B894" s="22" t="str">
        <f aca="false">customer_churn_dataset!B773</f>
        <v>Basic</v>
      </c>
      <c r="C894" s="22" t="str">
        <f aca="false">customer_churn_dataset!C773</f>
        <v>One year</v>
      </c>
      <c r="D894" s="0" t="n">
        <f aca="false">INDEX(customer_churn_dataset!$E$2:$E$1501,MATCH($A895,customer_churn_dataset!$A$2:$A$1501,0))</f>
        <v>10</v>
      </c>
      <c r="E894" s="0" t="n">
        <f aca="false">INDEX(customer_churn_dataset!$I$2:$I$1501,MATCH($A895,customer_churn_dataset!$A$2:$A$1501,0))</f>
        <v>52.1</v>
      </c>
      <c r="F894" s="0" t="n">
        <f aca="false">INDEX(customer_churn_dataset!$L$2:$L$1501,MATCH($A895,customer_churn_dataset!$A$2:$A$1501,0))</f>
        <v>2</v>
      </c>
      <c r="G894" s="0" t="str">
        <f aca="false">IF(INDEX(customer_churn_dataset!$M$2:$M$1501,MATCH($A895,customer_churn_dataset!$A$2:$A$1501,0))=1,"Yes","No")</f>
        <v>No</v>
      </c>
      <c r="H894" s="0" t="n">
        <f aca="false">INDEX(customer_churn_dataset!$N$2:$N$1501,MATCH($A895,customer_churn_dataset!$A$2:$A$1501,0))</f>
        <v>198.7</v>
      </c>
      <c r="I894" s="0" t="n">
        <f aca="false">INDEX(customer_churn_dataset!$O$2:$O$1501,MATCH($A895,customer_churn_dataset!$A$2:$A$1501,0))</f>
        <v>0</v>
      </c>
      <c r="J894" s="0" t="n">
        <f aca="false">INDEX(customer_churn_dataset!$T$2:$T$1501,MATCH($A895,customer_churn_dataset!$A$2:$A$1501,0))</f>
        <v>4</v>
      </c>
      <c r="K894" s="0" t="str">
        <f aca="false">INDEX(customer_churn_dataset!$V$2:$V$1501,MATCH($A895,customer_churn_dataset!$A$2:$A$1501,0))</f>
        <v>Medium Risk</v>
      </c>
    </row>
    <row r="895" customFormat="false" ht="12.8" hidden="false" customHeight="false" outlineLevel="0" collapsed="false">
      <c r="A895" s="23" t="str">
        <f aca="false">customer_churn_dataset!A795</f>
        <v>CUST100501</v>
      </c>
      <c r="B895" s="24" t="str">
        <f aca="false">customer_churn_dataset!B795</f>
        <v>Standard</v>
      </c>
      <c r="C895" s="24" t="str">
        <f aca="false">customer_churn_dataset!C795</f>
        <v>One year</v>
      </c>
      <c r="D895" s="25" t="n">
        <f aca="false">INDEX(customer_churn_dataset!$E$2:$E$1501,MATCH($A896,customer_churn_dataset!$A$2:$A$1501,0))</f>
        <v>10</v>
      </c>
      <c r="E895" s="25" t="n">
        <f aca="false">INDEX(customer_churn_dataset!$I$2:$I$1501,MATCH($A896,customer_churn_dataset!$A$2:$A$1501,0))</f>
        <v>17</v>
      </c>
      <c r="F895" s="25" t="n">
        <f aca="false">INDEX(customer_churn_dataset!$L$2:$L$1501,MATCH($A896,customer_churn_dataset!$A$2:$A$1501,0))</f>
        <v>6</v>
      </c>
      <c r="G895" s="25" t="str">
        <f aca="false">IF(INDEX(customer_churn_dataset!$M$2:$M$1501,MATCH($A896,customer_churn_dataset!$A$2:$A$1501,0))=1,"Yes","No")</f>
        <v>Yes</v>
      </c>
      <c r="H895" s="25" t="n">
        <f aca="false">INDEX(customer_churn_dataset!$N$2:$N$1501,MATCH($A896,customer_churn_dataset!$A$2:$A$1501,0))</f>
        <v>389.4</v>
      </c>
      <c r="I895" s="25" t="n">
        <f aca="false">INDEX(customer_churn_dataset!$O$2:$O$1501,MATCH($A896,customer_churn_dataset!$A$2:$A$1501,0))</f>
        <v>0</v>
      </c>
      <c r="J895" s="25" t="n">
        <f aca="false">INDEX(customer_churn_dataset!$T$2:$T$1501,MATCH($A896,customer_churn_dataset!$A$2:$A$1501,0))</f>
        <v>8</v>
      </c>
      <c r="K895" s="25" t="str">
        <f aca="false">INDEX(customer_churn_dataset!$V$2:$V$1501,MATCH($A896,customer_churn_dataset!$A$2:$A$1501,0))</f>
        <v>High Risk</v>
      </c>
    </row>
    <row r="896" customFormat="false" ht="12.8" hidden="true" customHeight="false" outlineLevel="0" collapsed="false">
      <c r="A896" s="22" t="str">
        <f aca="false">customer_churn_dataset!A801</f>
        <v>CUST100240</v>
      </c>
      <c r="B896" s="22" t="str">
        <f aca="false">customer_churn_dataset!B801</f>
        <v>Premium</v>
      </c>
      <c r="C896" s="22" t="str">
        <f aca="false">customer_churn_dataset!C801</f>
        <v>One year</v>
      </c>
      <c r="D896" s="0" t="n">
        <f aca="false">INDEX(customer_churn_dataset!$E$2:$E$1501,MATCH($A897,customer_churn_dataset!$A$2:$A$1501,0))</f>
        <v>38</v>
      </c>
      <c r="E896" s="0" t="n">
        <f aca="false">INDEX(customer_churn_dataset!$I$2:$I$1501,MATCH($A897,customer_churn_dataset!$A$2:$A$1501,0))</f>
        <v>0</v>
      </c>
      <c r="F896" s="0" t="n">
        <f aca="false">INDEX(customer_churn_dataset!$L$2:$L$1501,MATCH($A897,customer_churn_dataset!$A$2:$A$1501,0))</f>
        <v>11</v>
      </c>
      <c r="G896" s="0" t="str">
        <f aca="false">IF(INDEX(customer_churn_dataset!$M$2:$M$1501,MATCH($A897,customer_churn_dataset!$A$2:$A$1501,0))=1,"Yes","No")</f>
        <v>No</v>
      </c>
      <c r="H896" s="0" t="n">
        <f aca="false">INDEX(customer_churn_dataset!$N$2:$N$1501,MATCH($A897,customer_churn_dataset!$A$2:$A$1501,0))</f>
        <v>795.34</v>
      </c>
      <c r="I896" s="0" t="n">
        <f aca="false">INDEX(customer_churn_dataset!$O$2:$O$1501,MATCH($A897,customer_churn_dataset!$A$2:$A$1501,0))</f>
        <v>1</v>
      </c>
      <c r="J896" s="0" t="n">
        <f aca="false">INDEX(customer_churn_dataset!$T$2:$T$1501,MATCH($A897,customer_churn_dataset!$A$2:$A$1501,0))</f>
        <v>5</v>
      </c>
      <c r="K896" s="0" t="str">
        <f aca="false">INDEX(customer_churn_dataset!$V$2:$V$1501,MATCH($A897,customer_churn_dataset!$A$2:$A$1501,0))</f>
        <v>Medium Risk</v>
      </c>
    </row>
    <row r="897" customFormat="false" ht="12.8" hidden="true" customHeight="false" outlineLevel="0" collapsed="false">
      <c r="A897" s="22" t="str">
        <f aca="false">customer_churn_dataset!A830</f>
        <v>CUST101477</v>
      </c>
      <c r="B897" s="22" t="str">
        <f aca="false">customer_churn_dataset!B830</f>
        <v>Standard</v>
      </c>
      <c r="C897" s="22" t="str">
        <f aca="false">customer_churn_dataset!C830</f>
        <v>Month-to-month</v>
      </c>
      <c r="D897" s="0" t="n">
        <f aca="false">INDEX(customer_churn_dataset!$E$2:$E$1501,MATCH($A898,customer_churn_dataset!$A$2:$A$1501,0))</f>
        <v>4</v>
      </c>
      <c r="E897" s="0" t="n">
        <f aca="false">INDEX(customer_churn_dataset!$I$2:$I$1501,MATCH($A898,customer_churn_dataset!$A$2:$A$1501,0))</f>
        <v>64.2</v>
      </c>
      <c r="F897" s="0" t="n">
        <f aca="false">INDEX(customer_churn_dataset!$L$2:$L$1501,MATCH($A898,customer_churn_dataset!$A$2:$A$1501,0))</f>
        <v>2</v>
      </c>
      <c r="G897" s="0" t="str">
        <f aca="false">IF(INDEX(customer_churn_dataset!$M$2:$M$1501,MATCH($A898,customer_churn_dataset!$A$2:$A$1501,0))=1,"Yes","No")</f>
        <v>Yes</v>
      </c>
      <c r="H897" s="0" t="n">
        <f aca="false">INDEX(customer_churn_dataset!$N$2:$N$1501,MATCH($A898,customer_churn_dataset!$A$2:$A$1501,0))</f>
        <v>33.96</v>
      </c>
      <c r="I897" s="0" t="n">
        <f aca="false">INDEX(customer_churn_dataset!$O$2:$O$1501,MATCH($A898,customer_churn_dataset!$A$2:$A$1501,0))</f>
        <v>0</v>
      </c>
      <c r="J897" s="0" t="n">
        <f aca="false">INDEX(customer_churn_dataset!$T$2:$T$1501,MATCH($A898,customer_churn_dataset!$A$2:$A$1501,0))</f>
        <v>7</v>
      </c>
      <c r="K897" s="0" t="str">
        <f aca="false">INDEX(customer_churn_dataset!$V$2:$V$1501,MATCH($A898,customer_churn_dataset!$A$2:$A$1501,0))</f>
        <v>High Risk</v>
      </c>
    </row>
    <row r="898" customFormat="false" ht="12.8" hidden="true" customHeight="false" outlineLevel="0" collapsed="false">
      <c r="A898" s="22" t="str">
        <f aca="false">customer_churn_dataset!A837</f>
        <v>CUST101232</v>
      </c>
      <c r="B898" s="22" t="str">
        <f aca="false">customer_churn_dataset!B837</f>
        <v>Basic</v>
      </c>
      <c r="C898" s="22" t="str">
        <f aca="false">customer_churn_dataset!C837</f>
        <v>Month-to-month</v>
      </c>
      <c r="D898" s="0" t="n">
        <f aca="false">INDEX(customer_churn_dataset!$E$2:$E$1501,MATCH($A899,customer_churn_dataset!$A$2:$A$1501,0))</f>
        <v>19</v>
      </c>
      <c r="E898" s="0" t="n">
        <f aca="false">INDEX(customer_churn_dataset!$I$2:$I$1501,MATCH($A899,customer_churn_dataset!$A$2:$A$1501,0))</f>
        <v>64.4</v>
      </c>
      <c r="F898" s="0" t="n">
        <f aca="false">INDEX(customer_churn_dataset!$L$2:$L$1501,MATCH($A899,customer_churn_dataset!$A$2:$A$1501,0))</f>
        <v>3</v>
      </c>
      <c r="G898" s="0" t="str">
        <f aca="false">IF(INDEX(customer_churn_dataset!$M$2:$M$1501,MATCH($A899,customer_churn_dataset!$A$2:$A$1501,0))=1,"Yes","No")</f>
        <v>No</v>
      </c>
      <c r="H898" s="0" t="n">
        <f aca="false">INDEX(customer_churn_dataset!$N$2:$N$1501,MATCH($A899,customer_churn_dataset!$A$2:$A$1501,0))</f>
        <v>396.72</v>
      </c>
      <c r="I898" s="0" t="n">
        <f aca="false">INDEX(customer_churn_dataset!$O$2:$O$1501,MATCH($A899,customer_churn_dataset!$A$2:$A$1501,0))</f>
        <v>0</v>
      </c>
      <c r="J898" s="0" t="n">
        <f aca="false">INDEX(customer_churn_dataset!$T$2:$T$1501,MATCH($A899,customer_churn_dataset!$A$2:$A$1501,0))</f>
        <v>3</v>
      </c>
      <c r="K898" s="0" t="str">
        <f aca="false">INDEX(customer_churn_dataset!$V$2:$V$1501,MATCH($A899,customer_churn_dataset!$A$2:$A$1501,0))</f>
        <v>Medium Risk</v>
      </c>
    </row>
    <row r="899" customFormat="false" ht="12.8" hidden="true" customHeight="false" outlineLevel="0" collapsed="false">
      <c r="A899" s="22" t="str">
        <f aca="false">customer_churn_dataset!A849</f>
        <v>CUST101174</v>
      </c>
      <c r="B899" s="22" t="str">
        <f aca="false">customer_churn_dataset!B849</f>
        <v>Standard</v>
      </c>
      <c r="C899" s="22" t="str">
        <f aca="false">customer_churn_dataset!C849</f>
        <v>Month-to-month</v>
      </c>
      <c r="D899" s="0" t="n">
        <f aca="false">INDEX(customer_churn_dataset!$E$2:$E$1501,MATCH($A900,customer_churn_dataset!$A$2:$A$1501,0))</f>
        <v>37</v>
      </c>
      <c r="E899" s="0" t="n">
        <f aca="false">INDEX(customer_churn_dataset!$I$2:$I$1501,MATCH($A900,customer_churn_dataset!$A$2:$A$1501,0))</f>
        <v>92.3</v>
      </c>
      <c r="F899" s="0" t="n">
        <f aca="false">INDEX(customer_churn_dataset!$L$2:$L$1501,MATCH($A900,customer_churn_dataset!$A$2:$A$1501,0))</f>
        <v>1</v>
      </c>
      <c r="G899" s="0" t="str">
        <f aca="false">IF(INDEX(customer_churn_dataset!$M$2:$M$1501,MATCH($A900,customer_churn_dataset!$A$2:$A$1501,0))=1,"Yes","No")</f>
        <v>Yes</v>
      </c>
      <c r="H899" s="0" t="n">
        <f aca="false">INDEX(customer_churn_dataset!$N$2:$N$1501,MATCH($A900,customer_churn_dataset!$A$2:$A$1501,0))</f>
        <v>678.58</v>
      </c>
      <c r="I899" s="0" t="n">
        <f aca="false">INDEX(customer_churn_dataset!$O$2:$O$1501,MATCH($A900,customer_churn_dataset!$A$2:$A$1501,0))</f>
        <v>0</v>
      </c>
      <c r="J899" s="0" t="n">
        <f aca="false">INDEX(customer_churn_dataset!$T$2:$T$1501,MATCH($A900,customer_churn_dataset!$A$2:$A$1501,0))</f>
        <v>4</v>
      </c>
      <c r="K899" s="0" t="str">
        <f aca="false">INDEX(customer_churn_dataset!$V$2:$V$1501,MATCH($A900,customer_churn_dataset!$A$2:$A$1501,0))</f>
        <v>Medium Risk</v>
      </c>
    </row>
    <row r="900" customFormat="false" ht="12.8" hidden="true" customHeight="false" outlineLevel="0" collapsed="false">
      <c r="A900" s="22" t="str">
        <f aca="false">customer_churn_dataset!A874</f>
        <v>CUST100003</v>
      </c>
      <c r="B900" s="22" t="str">
        <f aca="false">customer_churn_dataset!B874</f>
        <v>Standard</v>
      </c>
      <c r="C900" s="22" t="str">
        <f aca="false">customer_churn_dataset!C874</f>
        <v>One year</v>
      </c>
      <c r="D900" s="0" t="n">
        <f aca="false">INDEX(customer_churn_dataset!$E$2:$E$1501,MATCH($A901,customer_churn_dataset!$A$2:$A$1501,0))</f>
        <v>15</v>
      </c>
      <c r="E900" s="0" t="n">
        <f aca="false">INDEX(customer_churn_dataset!$I$2:$I$1501,MATCH($A901,customer_churn_dataset!$A$2:$A$1501,0))</f>
        <v>60.1</v>
      </c>
      <c r="F900" s="0" t="n">
        <f aca="false">INDEX(customer_churn_dataset!$L$2:$L$1501,MATCH($A901,customer_churn_dataset!$A$2:$A$1501,0))</f>
        <v>3</v>
      </c>
      <c r="G900" s="0" t="str">
        <f aca="false">IF(INDEX(customer_churn_dataset!$M$2:$M$1501,MATCH($A901,customer_churn_dataset!$A$2:$A$1501,0))=1,"Yes","No")</f>
        <v>No</v>
      </c>
      <c r="H900" s="0" t="n">
        <f aca="false">INDEX(customer_churn_dataset!$N$2:$N$1501,MATCH($A901,customer_churn_dataset!$A$2:$A$1501,0))</f>
        <v>313.65</v>
      </c>
      <c r="I900" s="0" t="n">
        <f aca="false">INDEX(customer_churn_dataset!$O$2:$O$1501,MATCH($A901,customer_churn_dataset!$A$2:$A$1501,0))</f>
        <v>0</v>
      </c>
      <c r="J900" s="0" t="n">
        <f aca="false">INDEX(customer_churn_dataset!$T$2:$T$1501,MATCH($A901,customer_churn_dataset!$A$2:$A$1501,0))</f>
        <v>1</v>
      </c>
      <c r="K900" s="0" t="str">
        <f aca="false">INDEX(customer_churn_dataset!$V$2:$V$1501,MATCH($A901,customer_churn_dataset!$A$2:$A$1501,0))</f>
        <v>Low Risk</v>
      </c>
    </row>
    <row r="901" customFormat="false" ht="12.8" hidden="true" customHeight="false" outlineLevel="0" collapsed="false">
      <c r="A901" s="22" t="str">
        <f aca="false">customer_churn_dataset!A875</f>
        <v>CUST101399</v>
      </c>
      <c r="B901" s="22" t="str">
        <f aca="false">customer_churn_dataset!B875</f>
        <v>Standard</v>
      </c>
      <c r="C901" s="22" t="str">
        <f aca="false">customer_churn_dataset!C875</f>
        <v>Two year</v>
      </c>
      <c r="D901" s="0" t="n">
        <f aca="false">INDEX(customer_churn_dataset!$E$2:$E$1501,MATCH($A902,customer_churn_dataset!$A$2:$A$1501,0))</f>
        <v>24</v>
      </c>
      <c r="E901" s="0" t="n">
        <f aca="false">INDEX(customer_churn_dataset!$I$2:$I$1501,MATCH($A902,customer_churn_dataset!$A$2:$A$1501,0))</f>
        <v>97.7</v>
      </c>
      <c r="F901" s="0" t="n">
        <f aca="false">INDEX(customer_churn_dataset!$L$2:$L$1501,MATCH($A902,customer_churn_dataset!$A$2:$A$1501,0))</f>
        <v>1</v>
      </c>
      <c r="G901" s="0" t="str">
        <f aca="false">IF(INDEX(customer_churn_dataset!$M$2:$M$1501,MATCH($A902,customer_churn_dataset!$A$2:$A$1501,0))=1,"Yes","No")</f>
        <v>No</v>
      </c>
      <c r="H901" s="0" t="n">
        <f aca="false">INDEX(customer_churn_dataset!$N$2:$N$1501,MATCH($A902,customer_churn_dataset!$A$2:$A$1501,0))</f>
        <v>226.8</v>
      </c>
      <c r="I901" s="0" t="n">
        <f aca="false">INDEX(customer_churn_dataset!$O$2:$O$1501,MATCH($A902,customer_churn_dataset!$A$2:$A$1501,0))</f>
        <v>1</v>
      </c>
      <c r="J901" s="0" t="n">
        <f aca="false">INDEX(customer_churn_dataset!$T$2:$T$1501,MATCH($A902,customer_churn_dataset!$A$2:$A$1501,0))</f>
        <v>1</v>
      </c>
      <c r="K901" s="0" t="str">
        <f aca="false">INDEX(customer_churn_dataset!$V$2:$V$1501,MATCH($A902,customer_churn_dataset!$A$2:$A$1501,0))</f>
        <v>Low Risk</v>
      </c>
    </row>
    <row r="902" customFormat="false" ht="12.8" hidden="true" customHeight="false" outlineLevel="0" collapsed="false">
      <c r="A902" s="22" t="str">
        <f aca="false">customer_churn_dataset!A876</f>
        <v>CUST100566</v>
      </c>
      <c r="B902" s="22" t="str">
        <f aca="false">customer_churn_dataset!B876</f>
        <v>Basic</v>
      </c>
      <c r="C902" s="22" t="str">
        <f aca="false">customer_churn_dataset!C876</f>
        <v>One year</v>
      </c>
      <c r="D902" s="0" t="n">
        <f aca="false">INDEX(customer_churn_dataset!$E$2:$E$1501,MATCH($A903,customer_churn_dataset!$A$2:$A$1501,0))</f>
        <v>53</v>
      </c>
      <c r="E902" s="0" t="n">
        <f aca="false">INDEX(customer_churn_dataset!$I$2:$I$1501,MATCH($A903,customer_churn_dataset!$A$2:$A$1501,0))</f>
        <v>56.1</v>
      </c>
      <c r="F902" s="0" t="n">
        <f aca="false">INDEX(customer_churn_dataset!$L$2:$L$1501,MATCH($A903,customer_churn_dataset!$A$2:$A$1501,0))</f>
        <v>2</v>
      </c>
      <c r="G902" s="0" t="str">
        <f aca="false">IF(INDEX(customer_churn_dataset!$M$2:$M$1501,MATCH($A903,customer_churn_dataset!$A$2:$A$1501,0))=1,"Yes","No")</f>
        <v>Yes</v>
      </c>
      <c r="H902" s="0" t="n">
        <f aca="false">INDEX(customer_churn_dataset!$N$2:$N$1501,MATCH($A903,customer_churn_dataset!$A$2:$A$1501,0))</f>
        <v>511.98</v>
      </c>
      <c r="I902" s="0" t="n">
        <f aca="false">INDEX(customer_churn_dataset!$O$2:$O$1501,MATCH($A903,customer_churn_dataset!$A$2:$A$1501,0))</f>
        <v>0</v>
      </c>
      <c r="J902" s="0" t="n">
        <f aca="false">INDEX(customer_churn_dataset!$T$2:$T$1501,MATCH($A903,customer_churn_dataset!$A$2:$A$1501,0))</f>
        <v>6</v>
      </c>
      <c r="K902" s="0" t="str">
        <f aca="false">INDEX(customer_churn_dataset!$V$2:$V$1501,MATCH($A903,customer_churn_dataset!$A$2:$A$1501,0))</f>
        <v>High Risk</v>
      </c>
    </row>
    <row r="903" customFormat="false" ht="12.8" hidden="true" customHeight="false" outlineLevel="0" collapsed="false">
      <c r="A903" s="22" t="str">
        <f aca="false">customer_churn_dataset!A898</f>
        <v>CUST100888</v>
      </c>
      <c r="B903" s="22" t="str">
        <f aca="false">customer_churn_dataset!B898</f>
        <v>Basic</v>
      </c>
      <c r="C903" s="22" t="str">
        <f aca="false">customer_churn_dataset!C898</f>
        <v>Month-to-month</v>
      </c>
      <c r="D903" s="0" t="n">
        <f aca="false">INDEX(customer_churn_dataset!$E$2:$E$1501,MATCH($A904,customer_churn_dataset!$A$2:$A$1501,0))</f>
        <v>64</v>
      </c>
      <c r="E903" s="0" t="n">
        <f aca="false">INDEX(customer_churn_dataset!$I$2:$I$1501,MATCH($A904,customer_churn_dataset!$A$2:$A$1501,0))</f>
        <v>48.8</v>
      </c>
      <c r="F903" s="0" t="n">
        <f aca="false">INDEX(customer_churn_dataset!$L$2:$L$1501,MATCH($A904,customer_churn_dataset!$A$2:$A$1501,0))</f>
        <v>0</v>
      </c>
      <c r="G903" s="0" t="str">
        <f aca="false">IF(INDEX(customer_churn_dataset!$M$2:$M$1501,MATCH($A904,customer_churn_dataset!$A$2:$A$1501,0))=1,"Yes","No")</f>
        <v>No</v>
      </c>
      <c r="H903" s="0" t="n">
        <f aca="false">INDEX(customer_churn_dataset!$N$2:$N$1501,MATCH($A904,customer_churn_dataset!$A$2:$A$1501,0))</f>
        <v>661.12</v>
      </c>
      <c r="I903" s="0" t="n">
        <f aca="false">INDEX(customer_churn_dataset!$O$2:$O$1501,MATCH($A904,customer_churn_dataset!$A$2:$A$1501,0))</f>
        <v>0</v>
      </c>
      <c r="J903" s="0" t="n">
        <f aca="false">INDEX(customer_churn_dataset!$T$2:$T$1501,MATCH($A904,customer_churn_dataset!$A$2:$A$1501,0))</f>
        <v>3</v>
      </c>
      <c r="K903" s="0" t="str">
        <f aca="false">INDEX(customer_churn_dataset!$V$2:$V$1501,MATCH($A904,customer_churn_dataset!$A$2:$A$1501,0))</f>
        <v>Medium Risk</v>
      </c>
    </row>
    <row r="904" customFormat="false" ht="12.8" hidden="true" customHeight="false" outlineLevel="0" collapsed="false">
      <c r="A904" s="22" t="str">
        <f aca="false">customer_churn_dataset!A912</f>
        <v>CUST101339</v>
      </c>
      <c r="B904" s="22" t="str">
        <f aca="false">customer_churn_dataset!B912</f>
        <v>Basic</v>
      </c>
      <c r="C904" s="22" t="str">
        <f aca="false">customer_churn_dataset!C912</f>
        <v>Month-to-month</v>
      </c>
      <c r="D904" s="0" t="n">
        <f aca="false">INDEX(customer_churn_dataset!$E$2:$E$1501,MATCH($A905,customer_churn_dataset!$A$2:$A$1501,0))</f>
        <v>14</v>
      </c>
      <c r="E904" s="0" t="n">
        <f aca="false">INDEX(customer_churn_dataset!$I$2:$I$1501,MATCH($A905,customer_churn_dataset!$A$2:$A$1501,0))</f>
        <v>51.4</v>
      </c>
      <c r="F904" s="0" t="n">
        <f aca="false">INDEX(customer_churn_dataset!$L$2:$L$1501,MATCH($A905,customer_churn_dataset!$A$2:$A$1501,0))</f>
        <v>1</v>
      </c>
      <c r="G904" s="0" t="str">
        <f aca="false">IF(INDEX(customer_churn_dataset!$M$2:$M$1501,MATCH($A905,customer_churn_dataset!$A$2:$A$1501,0))=1,"Yes","No")</f>
        <v>No</v>
      </c>
      <c r="H904" s="0" t="n">
        <f aca="false">INDEX(customer_churn_dataset!$N$2:$N$1501,MATCH($A905,customer_churn_dataset!$A$2:$A$1501,0))</f>
        <v>286.44</v>
      </c>
      <c r="I904" s="0" t="n">
        <f aca="false">INDEX(customer_churn_dataset!$O$2:$O$1501,MATCH($A905,customer_churn_dataset!$A$2:$A$1501,0))</f>
        <v>0</v>
      </c>
      <c r="J904" s="0" t="n">
        <f aca="false">INDEX(customer_churn_dataset!$T$2:$T$1501,MATCH($A905,customer_churn_dataset!$A$2:$A$1501,0))</f>
        <v>2</v>
      </c>
      <c r="K904" s="0" t="str">
        <f aca="false">INDEX(customer_churn_dataset!$V$2:$V$1501,MATCH($A905,customer_churn_dataset!$A$2:$A$1501,0))</f>
        <v>Low Risk</v>
      </c>
    </row>
    <row r="905" customFormat="false" ht="12.8" hidden="true" customHeight="false" outlineLevel="0" collapsed="false">
      <c r="A905" s="22" t="str">
        <f aca="false">customer_churn_dataset!A913</f>
        <v>CUST101299</v>
      </c>
      <c r="B905" s="22" t="str">
        <f aca="false">customer_churn_dataset!B913</f>
        <v>Standard</v>
      </c>
      <c r="C905" s="22" t="str">
        <f aca="false">customer_churn_dataset!C913</f>
        <v>One year</v>
      </c>
      <c r="D905" s="0" t="n">
        <f aca="false">INDEX(customer_churn_dataset!$E$2:$E$1501,MATCH($A906,customer_churn_dataset!$A$2:$A$1501,0))</f>
        <v>2</v>
      </c>
      <c r="E905" s="0" t="n">
        <f aca="false">INDEX(customer_churn_dataset!$I$2:$I$1501,MATCH($A906,customer_churn_dataset!$A$2:$A$1501,0))</f>
        <v>24.7</v>
      </c>
      <c r="F905" s="0" t="n">
        <f aca="false">INDEX(customer_churn_dataset!$L$2:$L$1501,MATCH($A906,customer_churn_dataset!$A$2:$A$1501,0))</f>
        <v>2</v>
      </c>
      <c r="G905" s="0" t="str">
        <f aca="false">IF(INDEX(customer_churn_dataset!$M$2:$M$1501,MATCH($A906,customer_churn_dataset!$A$2:$A$1501,0))=1,"Yes","No")</f>
        <v>No</v>
      </c>
      <c r="H905" s="0" t="n">
        <f aca="false">INDEX(customer_churn_dataset!$N$2:$N$1501,MATCH($A906,customer_churn_dataset!$A$2:$A$1501,0))</f>
        <v>80.4</v>
      </c>
      <c r="I905" s="0" t="n">
        <f aca="false">INDEX(customer_churn_dataset!$O$2:$O$1501,MATCH($A906,customer_churn_dataset!$A$2:$A$1501,0))</f>
        <v>0</v>
      </c>
      <c r="J905" s="0" t="n">
        <f aca="false">INDEX(customer_churn_dataset!$T$2:$T$1501,MATCH($A906,customer_churn_dataset!$A$2:$A$1501,0))</f>
        <v>5</v>
      </c>
      <c r="K905" s="0" t="str">
        <f aca="false">INDEX(customer_churn_dataset!$V$2:$V$1501,MATCH($A906,customer_churn_dataset!$A$2:$A$1501,0))</f>
        <v>Medium Risk</v>
      </c>
    </row>
    <row r="906" customFormat="false" ht="12.8" hidden="true" customHeight="false" outlineLevel="0" collapsed="false">
      <c r="A906" s="22" t="str">
        <f aca="false">customer_churn_dataset!A916</f>
        <v>CUST101238</v>
      </c>
      <c r="B906" s="22" t="str">
        <f aca="false">customer_churn_dataset!B916</f>
        <v>Premium</v>
      </c>
      <c r="C906" s="22" t="str">
        <f aca="false">customer_churn_dataset!C916</f>
        <v>One year</v>
      </c>
      <c r="D906" s="0" t="n">
        <f aca="false">INDEX(customer_churn_dataset!$E$2:$E$1501,MATCH($A907,customer_churn_dataset!$A$2:$A$1501,0))</f>
        <v>5</v>
      </c>
      <c r="E906" s="0" t="n">
        <f aca="false">INDEX(customer_churn_dataset!$I$2:$I$1501,MATCH($A907,customer_churn_dataset!$A$2:$A$1501,0))</f>
        <v>79.5</v>
      </c>
      <c r="F906" s="0" t="n">
        <f aca="false">INDEX(customer_churn_dataset!$L$2:$L$1501,MATCH($A907,customer_churn_dataset!$A$2:$A$1501,0))</f>
        <v>2</v>
      </c>
      <c r="G906" s="0" t="str">
        <f aca="false">IF(INDEX(customer_churn_dataset!$M$2:$M$1501,MATCH($A907,customer_churn_dataset!$A$2:$A$1501,0))=1,"Yes","No")</f>
        <v>No</v>
      </c>
      <c r="H906" s="0" t="n">
        <f aca="false">INDEX(customer_churn_dataset!$N$2:$N$1501,MATCH($A907,customer_churn_dataset!$A$2:$A$1501,0))</f>
        <v>49.25</v>
      </c>
      <c r="I906" s="0" t="n">
        <f aca="false">INDEX(customer_churn_dataset!$O$2:$O$1501,MATCH($A907,customer_churn_dataset!$A$2:$A$1501,0))</f>
        <v>0</v>
      </c>
      <c r="J906" s="0" t="n">
        <f aca="false">INDEX(customer_churn_dataset!$T$2:$T$1501,MATCH($A907,customer_churn_dataset!$A$2:$A$1501,0))</f>
        <v>3</v>
      </c>
      <c r="K906" s="0" t="str">
        <f aca="false">INDEX(customer_churn_dataset!$V$2:$V$1501,MATCH($A907,customer_churn_dataset!$A$2:$A$1501,0))</f>
        <v>Medium Risk</v>
      </c>
    </row>
    <row r="907" customFormat="false" ht="12.8" hidden="true" customHeight="false" outlineLevel="0" collapsed="false">
      <c r="A907" s="22" t="str">
        <f aca="false">customer_churn_dataset!A923</f>
        <v>CUST100300</v>
      </c>
      <c r="B907" s="22" t="str">
        <f aca="false">customer_churn_dataset!B923</f>
        <v>Basic</v>
      </c>
      <c r="C907" s="22" t="str">
        <f aca="false">customer_churn_dataset!C923</f>
        <v>One year</v>
      </c>
      <c r="D907" s="0" t="n">
        <f aca="false">INDEX(customer_churn_dataset!$E$2:$E$1501,MATCH($A908,customer_churn_dataset!$A$2:$A$1501,0))</f>
        <v>16</v>
      </c>
      <c r="E907" s="0" t="n">
        <f aca="false">INDEX(customer_churn_dataset!$I$2:$I$1501,MATCH($A908,customer_churn_dataset!$A$2:$A$1501,0))</f>
        <v>44</v>
      </c>
      <c r="F907" s="0" t="n">
        <f aca="false">INDEX(customer_churn_dataset!$L$2:$L$1501,MATCH($A908,customer_churn_dataset!$A$2:$A$1501,0))</f>
        <v>0</v>
      </c>
      <c r="G907" s="0" t="str">
        <f aca="false">IF(INDEX(customer_churn_dataset!$M$2:$M$1501,MATCH($A908,customer_churn_dataset!$A$2:$A$1501,0))=1,"Yes","No")</f>
        <v>No</v>
      </c>
      <c r="H907" s="0" t="n">
        <f aca="false">INDEX(customer_churn_dataset!$N$2:$N$1501,MATCH($A908,customer_churn_dataset!$A$2:$A$1501,0))</f>
        <v>302.72</v>
      </c>
      <c r="I907" s="0" t="n">
        <f aca="false">INDEX(customer_churn_dataset!$O$2:$O$1501,MATCH($A908,customer_churn_dataset!$A$2:$A$1501,0))</f>
        <v>0</v>
      </c>
      <c r="J907" s="0" t="n">
        <f aca="false">INDEX(customer_churn_dataset!$T$2:$T$1501,MATCH($A908,customer_churn_dataset!$A$2:$A$1501,0))</f>
        <v>2</v>
      </c>
      <c r="K907" s="0" t="str">
        <f aca="false">INDEX(customer_churn_dataset!$V$2:$V$1501,MATCH($A908,customer_churn_dataset!$A$2:$A$1501,0))</f>
        <v>Low Risk</v>
      </c>
    </row>
    <row r="908" customFormat="false" ht="12.8" hidden="true" customHeight="false" outlineLevel="0" collapsed="false">
      <c r="A908" s="22" t="str">
        <f aca="false">customer_churn_dataset!A924</f>
        <v>CUST100479</v>
      </c>
      <c r="B908" s="22" t="str">
        <f aca="false">customer_churn_dataset!B924</f>
        <v>Standard</v>
      </c>
      <c r="C908" s="22" t="str">
        <f aca="false">customer_churn_dataset!C924</f>
        <v>One year</v>
      </c>
      <c r="D908" s="0" t="n">
        <f aca="false">INDEX(customer_churn_dataset!$E$2:$E$1501,MATCH($A909,customer_churn_dataset!$A$2:$A$1501,0))</f>
        <v>72</v>
      </c>
      <c r="E908" s="0" t="n">
        <f aca="false">INDEX(customer_churn_dataset!$I$2:$I$1501,MATCH($A909,customer_churn_dataset!$A$2:$A$1501,0))</f>
        <v>43.9</v>
      </c>
      <c r="F908" s="0" t="n">
        <f aca="false">INDEX(customer_churn_dataset!$L$2:$L$1501,MATCH($A909,customer_churn_dataset!$A$2:$A$1501,0))</f>
        <v>1</v>
      </c>
      <c r="G908" s="0" t="str">
        <f aca="false">IF(INDEX(customer_churn_dataset!$M$2:$M$1501,MATCH($A909,customer_churn_dataset!$A$2:$A$1501,0))=1,"Yes","No")</f>
        <v>Yes</v>
      </c>
      <c r="H908" s="0" t="n">
        <f aca="false">INDEX(customer_churn_dataset!$N$2:$N$1501,MATCH($A909,customer_churn_dataset!$A$2:$A$1501,0))</f>
        <v>734.4</v>
      </c>
      <c r="I908" s="0" t="n">
        <f aca="false">INDEX(customer_churn_dataset!$O$2:$O$1501,MATCH($A909,customer_churn_dataset!$A$2:$A$1501,0))</f>
        <v>0</v>
      </c>
      <c r="J908" s="0" t="n">
        <f aca="false">INDEX(customer_churn_dataset!$T$2:$T$1501,MATCH($A909,customer_churn_dataset!$A$2:$A$1501,0))</f>
        <v>5</v>
      </c>
      <c r="K908" s="0" t="str">
        <f aca="false">INDEX(customer_churn_dataset!$V$2:$V$1501,MATCH($A909,customer_churn_dataset!$A$2:$A$1501,0))</f>
        <v>Medium Risk</v>
      </c>
    </row>
    <row r="909" customFormat="false" ht="12.8" hidden="true" customHeight="false" outlineLevel="0" collapsed="false">
      <c r="A909" s="22" t="str">
        <f aca="false">customer_churn_dataset!A955</f>
        <v>CUST100845</v>
      </c>
      <c r="B909" s="22" t="str">
        <f aca="false">customer_churn_dataset!B955</f>
        <v>Basic</v>
      </c>
      <c r="C909" s="22" t="str">
        <f aca="false">customer_churn_dataset!C955</f>
        <v>One year</v>
      </c>
      <c r="D909" s="0" t="n">
        <f aca="false">INDEX(customer_churn_dataset!$E$2:$E$1501,MATCH($A910,customer_churn_dataset!$A$2:$A$1501,0))</f>
        <v>62</v>
      </c>
      <c r="E909" s="0" t="n">
        <f aca="false">INDEX(customer_churn_dataset!$I$2:$I$1501,MATCH($A910,customer_churn_dataset!$A$2:$A$1501,0))</f>
        <v>61.8</v>
      </c>
      <c r="F909" s="0" t="n">
        <f aca="false">INDEX(customer_churn_dataset!$L$2:$L$1501,MATCH($A910,customer_churn_dataset!$A$2:$A$1501,0))</f>
        <v>1</v>
      </c>
      <c r="G909" s="0" t="str">
        <f aca="false">IF(INDEX(customer_churn_dataset!$M$2:$M$1501,MATCH($A910,customer_churn_dataset!$A$2:$A$1501,0))=1,"Yes","No")</f>
        <v>No</v>
      </c>
      <c r="H909" s="0" t="n">
        <f aca="false">INDEX(customer_churn_dataset!$N$2:$N$1501,MATCH($A910,customer_churn_dataset!$A$2:$A$1501,0))</f>
        <v>592.1</v>
      </c>
      <c r="I909" s="0" t="n">
        <f aca="false">INDEX(customer_churn_dataset!$O$2:$O$1501,MATCH($A910,customer_churn_dataset!$A$2:$A$1501,0))</f>
        <v>0</v>
      </c>
      <c r="J909" s="0" t="n">
        <f aca="false">INDEX(customer_churn_dataset!$T$2:$T$1501,MATCH($A910,customer_churn_dataset!$A$2:$A$1501,0))</f>
        <v>1</v>
      </c>
      <c r="K909" s="0" t="str">
        <f aca="false">INDEX(customer_churn_dataset!$V$2:$V$1501,MATCH($A910,customer_churn_dataset!$A$2:$A$1501,0))</f>
        <v>Low Risk</v>
      </c>
    </row>
    <row r="910" customFormat="false" ht="12.8" hidden="true" customHeight="false" outlineLevel="0" collapsed="false">
      <c r="A910" s="22" t="str">
        <f aca="false">customer_churn_dataset!A956</f>
        <v>CUST100319</v>
      </c>
      <c r="B910" s="22" t="str">
        <f aca="false">customer_churn_dataset!B956</f>
        <v>Basic</v>
      </c>
      <c r="C910" s="22" t="str">
        <f aca="false">customer_churn_dataset!C956</f>
        <v>One year</v>
      </c>
      <c r="D910" s="0" t="n">
        <f aca="false">INDEX(customer_churn_dataset!$E$2:$E$1501,MATCH($A911,customer_churn_dataset!$A$2:$A$1501,0))</f>
        <v>72</v>
      </c>
      <c r="E910" s="0" t="n">
        <f aca="false">INDEX(customer_churn_dataset!$I$2:$I$1501,MATCH($A911,customer_churn_dataset!$A$2:$A$1501,0))</f>
        <v>44.2</v>
      </c>
      <c r="F910" s="0" t="n">
        <f aca="false">INDEX(customer_churn_dataset!$L$2:$L$1501,MATCH($A911,customer_churn_dataset!$A$2:$A$1501,0))</f>
        <v>1</v>
      </c>
      <c r="G910" s="0" t="str">
        <f aca="false">IF(INDEX(customer_churn_dataset!$M$2:$M$1501,MATCH($A911,customer_churn_dataset!$A$2:$A$1501,0))=1,"Yes","No")</f>
        <v>No</v>
      </c>
      <c r="H910" s="0" t="n">
        <f aca="false">INDEX(customer_churn_dataset!$N$2:$N$1501,MATCH($A911,customer_churn_dataset!$A$2:$A$1501,0))</f>
        <v>1391.04</v>
      </c>
      <c r="I910" s="0" t="n">
        <f aca="false">INDEX(customer_churn_dataset!$O$2:$O$1501,MATCH($A911,customer_churn_dataset!$A$2:$A$1501,0))</f>
        <v>0</v>
      </c>
      <c r="J910" s="0" t="n">
        <f aca="false">INDEX(customer_churn_dataset!$T$2:$T$1501,MATCH($A911,customer_churn_dataset!$A$2:$A$1501,0))</f>
        <v>3</v>
      </c>
      <c r="K910" s="0" t="str">
        <f aca="false">INDEX(customer_churn_dataset!$V$2:$V$1501,MATCH($A911,customer_churn_dataset!$A$2:$A$1501,0))</f>
        <v>Medium Risk</v>
      </c>
    </row>
    <row r="911" customFormat="false" ht="12.8" hidden="true" customHeight="false" outlineLevel="0" collapsed="false">
      <c r="A911" s="22" t="str">
        <f aca="false">customer_churn_dataset!A978</f>
        <v>CUST100695</v>
      </c>
      <c r="B911" s="22" t="str">
        <f aca="false">customer_churn_dataset!B978</f>
        <v>Standard</v>
      </c>
      <c r="C911" s="22" t="str">
        <f aca="false">customer_churn_dataset!C978</f>
        <v>Month-to-month</v>
      </c>
      <c r="D911" s="0" t="n">
        <f aca="false">INDEX(customer_churn_dataset!$E$2:$E$1501,MATCH($A912,customer_churn_dataset!$A$2:$A$1501,0))</f>
        <v>0</v>
      </c>
      <c r="E911" s="0" t="n">
        <f aca="false">INDEX(customer_churn_dataset!$I$2:$I$1501,MATCH($A912,customer_churn_dataset!$A$2:$A$1501,0))</f>
        <v>80.4</v>
      </c>
      <c r="F911" s="0" t="n">
        <f aca="false">INDEX(customer_churn_dataset!$L$2:$L$1501,MATCH($A912,customer_churn_dataset!$A$2:$A$1501,0))</f>
        <v>0</v>
      </c>
      <c r="G911" s="0" t="str">
        <f aca="false">IF(INDEX(customer_churn_dataset!$M$2:$M$1501,MATCH($A912,customer_churn_dataset!$A$2:$A$1501,0))=1,"Yes","No")</f>
        <v>No</v>
      </c>
      <c r="H911" s="0" t="n">
        <f aca="false">INDEX(customer_churn_dataset!$N$2:$N$1501,MATCH($A912,customer_churn_dataset!$A$2:$A$1501,0))</f>
        <v>0</v>
      </c>
      <c r="I911" s="0" t="n">
        <f aca="false">INDEX(customer_churn_dataset!$O$2:$O$1501,MATCH($A912,customer_churn_dataset!$A$2:$A$1501,0))</f>
        <v>0</v>
      </c>
      <c r="J911" s="0" t="n">
        <f aca="false">INDEX(customer_churn_dataset!$T$2:$T$1501,MATCH($A912,customer_churn_dataset!$A$2:$A$1501,0))</f>
        <v>2</v>
      </c>
      <c r="K911" s="0" t="str">
        <f aca="false">INDEX(customer_churn_dataset!$V$2:$V$1501,MATCH($A912,customer_churn_dataset!$A$2:$A$1501,0))</f>
        <v>Low Risk</v>
      </c>
    </row>
    <row r="912" customFormat="false" ht="12.8" hidden="true" customHeight="false" outlineLevel="0" collapsed="false">
      <c r="A912" s="22" t="str">
        <f aca="false">customer_churn_dataset!A979</f>
        <v>CUST100306</v>
      </c>
      <c r="B912" s="22" t="str">
        <f aca="false">customer_churn_dataset!B979</f>
        <v>Standard</v>
      </c>
      <c r="C912" s="22" t="str">
        <f aca="false">customer_churn_dataset!C979</f>
        <v>One year</v>
      </c>
      <c r="D912" s="0" t="n">
        <f aca="false">INDEX(customer_churn_dataset!$E$2:$E$1501,MATCH($A913,customer_churn_dataset!$A$2:$A$1501,0))</f>
        <v>6</v>
      </c>
      <c r="E912" s="0" t="n">
        <f aca="false">INDEX(customer_churn_dataset!$I$2:$I$1501,MATCH($A913,customer_churn_dataset!$A$2:$A$1501,0))</f>
        <v>48.4</v>
      </c>
      <c r="F912" s="0" t="n">
        <f aca="false">INDEX(customer_churn_dataset!$L$2:$L$1501,MATCH($A913,customer_churn_dataset!$A$2:$A$1501,0))</f>
        <v>0</v>
      </c>
      <c r="G912" s="0" t="str">
        <f aca="false">IF(INDEX(customer_churn_dataset!$M$2:$M$1501,MATCH($A913,customer_churn_dataset!$A$2:$A$1501,0))=1,"Yes","No")</f>
        <v>No</v>
      </c>
      <c r="H912" s="0" t="n">
        <f aca="false">INDEX(customer_churn_dataset!$N$2:$N$1501,MATCH($A913,customer_churn_dataset!$A$2:$A$1501,0))</f>
        <v>72.84</v>
      </c>
      <c r="I912" s="0" t="n">
        <f aca="false">INDEX(customer_churn_dataset!$O$2:$O$1501,MATCH($A913,customer_churn_dataset!$A$2:$A$1501,0))</f>
        <v>0</v>
      </c>
      <c r="J912" s="0" t="n">
        <f aca="false">INDEX(customer_churn_dataset!$T$2:$T$1501,MATCH($A913,customer_churn_dataset!$A$2:$A$1501,0))</f>
        <v>3</v>
      </c>
      <c r="K912" s="0" t="str">
        <f aca="false">INDEX(customer_churn_dataset!$V$2:$V$1501,MATCH($A913,customer_churn_dataset!$A$2:$A$1501,0))</f>
        <v>Medium Risk</v>
      </c>
    </row>
    <row r="913" customFormat="false" ht="12.8" hidden="true" customHeight="false" outlineLevel="0" collapsed="false">
      <c r="A913" s="22" t="str">
        <f aca="false">customer_churn_dataset!A993</f>
        <v>CUST100059</v>
      </c>
      <c r="B913" s="22" t="str">
        <f aca="false">customer_churn_dataset!B993</f>
        <v>Basic</v>
      </c>
      <c r="C913" s="22" t="str">
        <f aca="false">customer_churn_dataset!C993</f>
        <v>One year</v>
      </c>
      <c r="D913" s="0" t="n">
        <f aca="false">INDEX(customer_churn_dataset!$E$2:$E$1501,MATCH($A914,customer_churn_dataset!$A$2:$A$1501,0))</f>
        <v>8</v>
      </c>
      <c r="E913" s="0" t="n">
        <f aca="false">INDEX(customer_churn_dataset!$I$2:$I$1501,MATCH($A914,customer_churn_dataset!$A$2:$A$1501,0))</f>
        <v>65.4</v>
      </c>
      <c r="F913" s="0" t="n">
        <f aca="false">INDEX(customer_churn_dataset!$L$2:$L$1501,MATCH($A914,customer_churn_dataset!$A$2:$A$1501,0))</f>
        <v>1</v>
      </c>
      <c r="G913" s="0" t="str">
        <f aca="false">IF(INDEX(customer_churn_dataset!$M$2:$M$1501,MATCH($A914,customer_churn_dataset!$A$2:$A$1501,0))=1,"Yes","No")</f>
        <v>No</v>
      </c>
      <c r="H913" s="0" t="n">
        <f aca="false">INDEX(customer_churn_dataset!$N$2:$N$1501,MATCH($A914,customer_churn_dataset!$A$2:$A$1501,0))</f>
        <v>152</v>
      </c>
      <c r="I913" s="0" t="n">
        <f aca="false">INDEX(customer_churn_dataset!$O$2:$O$1501,MATCH($A914,customer_churn_dataset!$A$2:$A$1501,0))</f>
        <v>0</v>
      </c>
      <c r="J913" s="0" t="n">
        <f aca="false">INDEX(customer_churn_dataset!$T$2:$T$1501,MATCH($A914,customer_churn_dataset!$A$2:$A$1501,0))</f>
        <v>3</v>
      </c>
      <c r="K913" s="0" t="str">
        <f aca="false">INDEX(customer_churn_dataset!$V$2:$V$1501,MATCH($A914,customer_churn_dataset!$A$2:$A$1501,0))</f>
        <v>Medium Risk</v>
      </c>
    </row>
    <row r="914" customFormat="false" ht="12.8" hidden="true" customHeight="false" outlineLevel="0" collapsed="false">
      <c r="A914" s="22" t="str">
        <f aca="false">customer_churn_dataset!A1034</f>
        <v>CUST100024</v>
      </c>
      <c r="B914" s="22" t="str">
        <f aca="false">customer_churn_dataset!B1034</f>
        <v>Standard</v>
      </c>
      <c r="C914" s="22" t="str">
        <f aca="false">customer_churn_dataset!C1034</f>
        <v>Month-to-month</v>
      </c>
      <c r="D914" s="0" t="n">
        <f aca="false">INDEX(customer_churn_dataset!$E$2:$E$1501,MATCH($A915,customer_churn_dataset!$A$2:$A$1501,0))</f>
        <v>16</v>
      </c>
      <c r="E914" s="0" t="n">
        <f aca="false">INDEX(customer_churn_dataset!$I$2:$I$1501,MATCH($A915,customer_churn_dataset!$A$2:$A$1501,0))</f>
        <v>61</v>
      </c>
      <c r="F914" s="0" t="n">
        <f aca="false">INDEX(customer_churn_dataset!$L$2:$L$1501,MATCH($A915,customer_churn_dataset!$A$2:$A$1501,0))</f>
        <v>0</v>
      </c>
      <c r="G914" s="0" t="str">
        <f aca="false">IF(INDEX(customer_churn_dataset!$M$2:$M$1501,MATCH($A915,customer_churn_dataset!$A$2:$A$1501,0))=1,"Yes","No")</f>
        <v>No</v>
      </c>
      <c r="H914" s="0" t="n">
        <f aca="false">INDEX(customer_churn_dataset!$N$2:$N$1501,MATCH($A915,customer_churn_dataset!$A$2:$A$1501,0))</f>
        <v>149.92</v>
      </c>
      <c r="I914" s="0" t="n">
        <f aca="false">INDEX(customer_churn_dataset!$O$2:$O$1501,MATCH($A915,customer_churn_dataset!$A$2:$A$1501,0))</f>
        <v>0</v>
      </c>
      <c r="J914" s="0" t="n">
        <f aca="false">INDEX(customer_churn_dataset!$T$2:$T$1501,MATCH($A915,customer_churn_dataset!$A$2:$A$1501,0))</f>
        <v>1</v>
      </c>
      <c r="K914" s="0" t="str">
        <f aca="false">INDEX(customer_churn_dataset!$V$2:$V$1501,MATCH($A915,customer_churn_dataset!$A$2:$A$1501,0))</f>
        <v>Low Risk</v>
      </c>
    </row>
    <row r="915" customFormat="false" ht="12.8" hidden="false" customHeight="false" outlineLevel="0" collapsed="false">
      <c r="A915" s="23" t="str">
        <f aca="false">customer_churn_dataset!A1035</f>
        <v>CUST100995</v>
      </c>
      <c r="B915" s="24" t="str">
        <f aca="false">customer_churn_dataset!B1035</f>
        <v>Basic</v>
      </c>
      <c r="C915" s="24" t="str">
        <f aca="false">customer_churn_dataset!C1035</f>
        <v>One year</v>
      </c>
      <c r="D915" s="25" t="n">
        <f aca="false">INDEX(customer_churn_dataset!$E$2:$E$1501,MATCH($A916,customer_churn_dataset!$A$2:$A$1501,0))</f>
        <v>7</v>
      </c>
      <c r="E915" s="25" t="n">
        <f aca="false">INDEX(customer_churn_dataset!$I$2:$I$1501,MATCH($A916,customer_churn_dataset!$A$2:$A$1501,0))</f>
        <v>36.6</v>
      </c>
      <c r="F915" s="25" t="n">
        <f aca="false">INDEX(customer_churn_dataset!$L$2:$L$1501,MATCH($A916,customer_churn_dataset!$A$2:$A$1501,0))</f>
        <v>2</v>
      </c>
      <c r="G915" s="25" t="str">
        <f aca="false">IF(INDEX(customer_churn_dataset!$M$2:$M$1501,MATCH($A916,customer_churn_dataset!$A$2:$A$1501,0))=1,"Yes","No")</f>
        <v>Yes</v>
      </c>
      <c r="H915" s="25" t="n">
        <f aca="false">INDEX(customer_churn_dataset!$N$2:$N$1501,MATCH($A916,customer_churn_dataset!$A$2:$A$1501,0))</f>
        <v>68.25</v>
      </c>
      <c r="I915" s="25" t="n">
        <f aca="false">INDEX(customer_churn_dataset!$O$2:$O$1501,MATCH($A916,customer_churn_dataset!$A$2:$A$1501,0))</f>
        <v>1</v>
      </c>
      <c r="J915" s="25" t="n">
        <f aca="false">INDEX(customer_churn_dataset!$T$2:$T$1501,MATCH($A916,customer_churn_dataset!$A$2:$A$1501,0))</f>
        <v>9</v>
      </c>
      <c r="K915" s="25" t="str">
        <f aca="false">INDEX(customer_churn_dataset!$V$2:$V$1501,MATCH($A916,customer_churn_dataset!$A$2:$A$1501,0))</f>
        <v>High Risk</v>
      </c>
    </row>
    <row r="916" customFormat="false" ht="12.8" hidden="true" customHeight="false" outlineLevel="0" collapsed="false">
      <c r="A916" s="22" t="str">
        <f aca="false">customer_churn_dataset!A1043</f>
        <v>CUST100545</v>
      </c>
      <c r="B916" s="22" t="str">
        <f aca="false">customer_churn_dataset!B1043</f>
        <v>Basic</v>
      </c>
      <c r="C916" s="22" t="str">
        <f aca="false">customer_churn_dataset!C1043</f>
        <v>Month-to-month</v>
      </c>
      <c r="D916" s="0" t="n">
        <f aca="false">INDEX(customer_churn_dataset!$E$2:$E$1501,MATCH($A917,customer_churn_dataset!$A$2:$A$1501,0))</f>
        <v>3</v>
      </c>
      <c r="E916" s="0" t="n">
        <f aca="false">INDEX(customer_churn_dataset!$I$2:$I$1501,MATCH($A917,customer_churn_dataset!$A$2:$A$1501,0))</f>
        <v>62.2</v>
      </c>
      <c r="F916" s="0" t="n">
        <f aca="false">INDEX(customer_churn_dataset!$L$2:$L$1501,MATCH($A917,customer_churn_dataset!$A$2:$A$1501,0))</f>
        <v>1</v>
      </c>
      <c r="G916" s="0" t="str">
        <f aca="false">IF(INDEX(customer_churn_dataset!$M$2:$M$1501,MATCH($A917,customer_churn_dataset!$A$2:$A$1501,0))=1,"Yes","No")</f>
        <v>No</v>
      </c>
      <c r="H916" s="0" t="n">
        <f aca="false">INDEX(customer_churn_dataset!$N$2:$N$1501,MATCH($A917,customer_churn_dataset!$A$2:$A$1501,0))</f>
        <v>28.26</v>
      </c>
      <c r="I916" s="0" t="n">
        <f aca="false">INDEX(customer_churn_dataset!$O$2:$O$1501,MATCH($A917,customer_churn_dataset!$A$2:$A$1501,0))</f>
        <v>0</v>
      </c>
      <c r="J916" s="0" t="n">
        <f aca="false">INDEX(customer_churn_dataset!$T$2:$T$1501,MATCH($A917,customer_churn_dataset!$A$2:$A$1501,0))</f>
        <v>3</v>
      </c>
      <c r="K916" s="0" t="str">
        <f aca="false">INDEX(customer_churn_dataset!$V$2:$V$1501,MATCH($A917,customer_churn_dataset!$A$2:$A$1501,0))</f>
        <v>Medium Risk</v>
      </c>
    </row>
    <row r="917" customFormat="false" ht="12.8" hidden="true" customHeight="false" outlineLevel="0" collapsed="false">
      <c r="A917" s="22" t="str">
        <f aca="false">customer_churn_dataset!A1046</f>
        <v>CUST100975</v>
      </c>
      <c r="B917" s="22" t="str">
        <f aca="false">customer_churn_dataset!B1046</f>
        <v>Basic</v>
      </c>
      <c r="C917" s="22" t="str">
        <f aca="false">customer_churn_dataset!C1046</f>
        <v>Month-to-month</v>
      </c>
      <c r="D917" s="0" t="n">
        <f aca="false">INDEX(customer_churn_dataset!$E$2:$E$1501,MATCH($A918,customer_churn_dataset!$A$2:$A$1501,0))</f>
        <v>23</v>
      </c>
      <c r="E917" s="0" t="n">
        <f aca="false">INDEX(customer_churn_dataset!$I$2:$I$1501,MATCH($A918,customer_churn_dataset!$A$2:$A$1501,0))</f>
        <v>67.2</v>
      </c>
      <c r="F917" s="0" t="n">
        <f aca="false">INDEX(customer_churn_dataset!$L$2:$L$1501,MATCH($A918,customer_churn_dataset!$A$2:$A$1501,0))</f>
        <v>1</v>
      </c>
      <c r="G917" s="0" t="str">
        <f aca="false">IF(INDEX(customer_churn_dataset!$M$2:$M$1501,MATCH($A918,customer_churn_dataset!$A$2:$A$1501,0))=1,"Yes","No")</f>
        <v>No</v>
      </c>
      <c r="H917" s="0" t="n">
        <f aca="false">INDEX(customer_churn_dataset!$N$2:$N$1501,MATCH($A918,customer_churn_dataset!$A$2:$A$1501,0))</f>
        <v>186.53</v>
      </c>
      <c r="I917" s="0" t="n">
        <f aca="false">INDEX(customer_churn_dataset!$O$2:$O$1501,MATCH($A918,customer_churn_dataset!$A$2:$A$1501,0))</f>
        <v>0</v>
      </c>
      <c r="J917" s="0" t="n">
        <f aca="false">INDEX(customer_churn_dataset!$T$2:$T$1501,MATCH($A918,customer_churn_dataset!$A$2:$A$1501,0))</f>
        <v>1</v>
      </c>
      <c r="K917" s="0" t="str">
        <f aca="false">INDEX(customer_churn_dataset!$V$2:$V$1501,MATCH($A918,customer_churn_dataset!$A$2:$A$1501,0))</f>
        <v>Low Risk</v>
      </c>
    </row>
    <row r="918" customFormat="false" ht="12.8" hidden="true" customHeight="false" outlineLevel="0" collapsed="false">
      <c r="A918" s="22" t="str">
        <f aca="false">customer_churn_dataset!A1047</f>
        <v>CUST101391</v>
      </c>
      <c r="B918" s="22" t="str">
        <f aca="false">customer_churn_dataset!B1047</f>
        <v>Basic</v>
      </c>
      <c r="C918" s="22" t="str">
        <f aca="false">customer_churn_dataset!C1047</f>
        <v>One year</v>
      </c>
      <c r="D918" s="0" t="n">
        <f aca="false">INDEX(customer_churn_dataset!$E$2:$E$1501,MATCH($A919,customer_churn_dataset!$A$2:$A$1501,0))</f>
        <v>2</v>
      </c>
      <c r="E918" s="0" t="n">
        <f aca="false">INDEX(customer_churn_dataset!$I$2:$I$1501,MATCH($A919,customer_churn_dataset!$A$2:$A$1501,0))</f>
        <v>37.6</v>
      </c>
      <c r="F918" s="0" t="n">
        <f aca="false">INDEX(customer_churn_dataset!$L$2:$L$1501,MATCH($A919,customer_churn_dataset!$A$2:$A$1501,0))</f>
        <v>2</v>
      </c>
      <c r="G918" s="0" t="str">
        <f aca="false">IF(INDEX(customer_churn_dataset!$M$2:$M$1501,MATCH($A919,customer_churn_dataset!$A$2:$A$1501,0))=1,"Yes","No")</f>
        <v>No</v>
      </c>
      <c r="H918" s="0" t="n">
        <f aca="false">INDEX(customer_churn_dataset!$N$2:$N$1501,MATCH($A919,customer_churn_dataset!$A$2:$A$1501,0))</f>
        <v>19.52</v>
      </c>
      <c r="I918" s="0" t="n">
        <f aca="false">INDEX(customer_churn_dataset!$O$2:$O$1501,MATCH($A919,customer_churn_dataset!$A$2:$A$1501,0))</f>
        <v>0</v>
      </c>
      <c r="J918" s="0" t="n">
        <f aca="false">INDEX(customer_churn_dataset!$T$2:$T$1501,MATCH($A919,customer_churn_dataset!$A$2:$A$1501,0))</f>
        <v>6</v>
      </c>
      <c r="K918" s="0" t="str">
        <f aca="false">INDEX(customer_churn_dataset!$V$2:$V$1501,MATCH($A919,customer_churn_dataset!$A$2:$A$1501,0))</f>
        <v>High Risk</v>
      </c>
    </row>
    <row r="919" customFormat="false" ht="12.8" hidden="true" customHeight="false" outlineLevel="0" collapsed="false">
      <c r="A919" s="22" t="str">
        <f aca="false">customer_churn_dataset!A1050</f>
        <v>CUST101358</v>
      </c>
      <c r="B919" s="22" t="str">
        <f aca="false">customer_churn_dataset!B1050</f>
        <v>Basic</v>
      </c>
      <c r="C919" s="22" t="str">
        <f aca="false">customer_churn_dataset!C1050</f>
        <v>Month-to-month</v>
      </c>
      <c r="D919" s="0" t="n">
        <f aca="false">INDEX(customer_churn_dataset!$E$2:$E$1501,MATCH($A920,customer_churn_dataset!$A$2:$A$1501,0))</f>
        <v>5</v>
      </c>
      <c r="E919" s="0" t="n">
        <f aca="false">INDEX(customer_churn_dataset!$I$2:$I$1501,MATCH($A920,customer_churn_dataset!$A$2:$A$1501,0))</f>
        <v>59</v>
      </c>
      <c r="F919" s="0" t="n">
        <f aca="false">INDEX(customer_churn_dataset!$L$2:$L$1501,MATCH($A920,customer_churn_dataset!$A$2:$A$1501,0))</f>
        <v>4</v>
      </c>
      <c r="G919" s="0" t="str">
        <f aca="false">IF(INDEX(customer_churn_dataset!$M$2:$M$1501,MATCH($A920,customer_churn_dataset!$A$2:$A$1501,0))=1,"Yes","No")</f>
        <v>No</v>
      </c>
      <c r="H919" s="0" t="n">
        <f aca="false">INDEX(customer_churn_dataset!$N$2:$N$1501,MATCH($A920,customer_churn_dataset!$A$2:$A$1501,0))</f>
        <v>204.4</v>
      </c>
      <c r="I919" s="0" t="n">
        <f aca="false">INDEX(customer_churn_dataset!$O$2:$O$1501,MATCH($A920,customer_churn_dataset!$A$2:$A$1501,0))</f>
        <v>0</v>
      </c>
      <c r="J919" s="0" t="n">
        <f aca="false">INDEX(customer_churn_dataset!$T$2:$T$1501,MATCH($A920,customer_churn_dataset!$A$2:$A$1501,0))</f>
        <v>4</v>
      </c>
      <c r="K919" s="0" t="str">
        <f aca="false">INDEX(customer_churn_dataset!$V$2:$V$1501,MATCH($A920,customer_churn_dataset!$A$2:$A$1501,0))</f>
        <v>Medium Risk</v>
      </c>
    </row>
    <row r="920" customFormat="false" ht="12.8" hidden="true" customHeight="false" outlineLevel="0" collapsed="false">
      <c r="A920" s="22" t="str">
        <f aca="false">customer_churn_dataset!A1075</f>
        <v>CUST101228</v>
      </c>
      <c r="B920" s="22" t="str">
        <f aca="false">customer_churn_dataset!B1075</f>
        <v>Premium</v>
      </c>
      <c r="C920" s="22" t="str">
        <f aca="false">customer_churn_dataset!C1075</f>
        <v>Month-to-month</v>
      </c>
      <c r="D920" s="0" t="n">
        <f aca="false">INDEX(customer_churn_dataset!$E$2:$E$1501,MATCH($A921,customer_churn_dataset!$A$2:$A$1501,0))</f>
        <v>5</v>
      </c>
      <c r="E920" s="0" t="n">
        <f aca="false">INDEX(customer_churn_dataset!$I$2:$I$1501,MATCH($A921,customer_churn_dataset!$A$2:$A$1501,0))</f>
        <v>54.4</v>
      </c>
      <c r="F920" s="0" t="n">
        <f aca="false">INDEX(customer_churn_dataset!$L$2:$L$1501,MATCH($A921,customer_churn_dataset!$A$2:$A$1501,0))</f>
        <v>0</v>
      </c>
      <c r="G920" s="0" t="str">
        <f aca="false">IF(INDEX(customer_churn_dataset!$M$2:$M$1501,MATCH($A921,customer_churn_dataset!$A$2:$A$1501,0))=1,"Yes","No")</f>
        <v>No</v>
      </c>
      <c r="H920" s="0" t="n">
        <f aca="false">INDEX(customer_churn_dataset!$N$2:$N$1501,MATCH($A921,customer_churn_dataset!$A$2:$A$1501,0))</f>
        <v>98.85</v>
      </c>
      <c r="I920" s="0" t="n">
        <f aca="false">INDEX(customer_churn_dataset!$O$2:$O$1501,MATCH($A921,customer_churn_dataset!$A$2:$A$1501,0))</f>
        <v>0</v>
      </c>
      <c r="J920" s="0" t="n">
        <f aca="false">INDEX(customer_churn_dataset!$T$2:$T$1501,MATCH($A921,customer_churn_dataset!$A$2:$A$1501,0))</f>
        <v>4</v>
      </c>
      <c r="K920" s="0" t="str">
        <f aca="false">INDEX(customer_churn_dataset!$V$2:$V$1501,MATCH($A921,customer_churn_dataset!$A$2:$A$1501,0))</f>
        <v>Medium Risk</v>
      </c>
    </row>
    <row r="921" customFormat="false" ht="12.8" hidden="true" customHeight="false" outlineLevel="0" collapsed="false">
      <c r="A921" s="22" t="str">
        <f aca="false">customer_churn_dataset!A1094</f>
        <v>CUST100570</v>
      </c>
      <c r="B921" s="22" t="str">
        <f aca="false">customer_churn_dataset!B1094</f>
        <v>Standard</v>
      </c>
      <c r="C921" s="22" t="str">
        <f aca="false">customer_churn_dataset!C1094</f>
        <v>Month-to-month</v>
      </c>
      <c r="D921" s="0" t="n">
        <f aca="false">INDEX(customer_churn_dataset!$E$2:$E$1501,MATCH($A922,customer_churn_dataset!$A$2:$A$1501,0))</f>
        <v>17</v>
      </c>
      <c r="E921" s="0" t="n">
        <f aca="false">INDEX(customer_churn_dataset!$I$2:$I$1501,MATCH($A922,customer_churn_dataset!$A$2:$A$1501,0))</f>
        <v>11.9</v>
      </c>
      <c r="F921" s="0" t="n">
        <f aca="false">INDEX(customer_churn_dataset!$L$2:$L$1501,MATCH($A922,customer_churn_dataset!$A$2:$A$1501,0))</f>
        <v>3</v>
      </c>
      <c r="G921" s="0" t="str">
        <f aca="false">IF(INDEX(customer_churn_dataset!$M$2:$M$1501,MATCH($A922,customer_churn_dataset!$A$2:$A$1501,0))=1,"Yes","No")</f>
        <v>No</v>
      </c>
      <c r="H921" s="0" t="n">
        <f aca="false">INDEX(customer_churn_dataset!$N$2:$N$1501,MATCH($A922,customer_churn_dataset!$A$2:$A$1501,0))</f>
        <v>186.49</v>
      </c>
      <c r="I921" s="0" t="n">
        <f aca="false">INDEX(customer_churn_dataset!$O$2:$O$1501,MATCH($A922,customer_churn_dataset!$A$2:$A$1501,0))</f>
        <v>1</v>
      </c>
      <c r="J921" s="0" t="n">
        <f aca="false">INDEX(customer_churn_dataset!$T$2:$T$1501,MATCH($A922,customer_churn_dataset!$A$2:$A$1501,0))</f>
        <v>5</v>
      </c>
      <c r="K921" s="0" t="str">
        <f aca="false">INDEX(customer_churn_dataset!$V$2:$V$1501,MATCH($A922,customer_churn_dataset!$A$2:$A$1501,0))</f>
        <v>Medium Risk</v>
      </c>
    </row>
    <row r="922" customFormat="false" ht="12.8" hidden="true" customHeight="false" outlineLevel="0" collapsed="false">
      <c r="A922" s="22" t="str">
        <f aca="false">customer_churn_dataset!A1107</f>
        <v>CUST101376</v>
      </c>
      <c r="B922" s="22" t="str">
        <f aca="false">customer_churn_dataset!B1107</f>
        <v>Basic</v>
      </c>
      <c r="C922" s="22" t="str">
        <f aca="false">customer_churn_dataset!C1107</f>
        <v>Month-to-month</v>
      </c>
      <c r="D922" s="0" t="n">
        <f aca="false">INDEX(customer_churn_dataset!$E$2:$E$1501,MATCH($A923,customer_churn_dataset!$A$2:$A$1501,0))</f>
        <v>3</v>
      </c>
      <c r="E922" s="0" t="n">
        <f aca="false">INDEX(customer_churn_dataset!$I$2:$I$1501,MATCH($A923,customer_churn_dataset!$A$2:$A$1501,0))</f>
        <v>31.9</v>
      </c>
      <c r="F922" s="0" t="n">
        <f aca="false">INDEX(customer_churn_dataset!$L$2:$L$1501,MATCH($A923,customer_churn_dataset!$A$2:$A$1501,0))</f>
        <v>3</v>
      </c>
      <c r="G922" s="0" t="str">
        <f aca="false">IF(INDEX(customer_churn_dataset!$M$2:$M$1501,MATCH($A923,customer_churn_dataset!$A$2:$A$1501,0))=1,"Yes","No")</f>
        <v>Yes</v>
      </c>
      <c r="H922" s="0" t="n">
        <f aca="false">INDEX(customer_churn_dataset!$N$2:$N$1501,MATCH($A923,customer_churn_dataset!$A$2:$A$1501,0))</f>
        <v>59.22</v>
      </c>
      <c r="I922" s="0" t="n">
        <f aca="false">INDEX(customer_churn_dataset!$O$2:$O$1501,MATCH($A923,customer_churn_dataset!$A$2:$A$1501,0))</f>
        <v>1</v>
      </c>
      <c r="J922" s="0" t="n">
        <f aca="false">INDEX(customer_churn_dataset!$T$2:$T$1501,MATCH($A923,customer_churn_dataset!$A$2:$A$1501,0))</f>
        <v>7</v>
      </c>
      <c r="K922" s="0" t="str">
        <f aca="false">INDEX(customer_churn_dataset!$V$2:$V$1501,MATCH($A923,customer_churn_dataset!$A$2:$A$1501,0))</f>
        <v>High Risk</v>
      </c>
    </row>
    <row r="923" customFormat="false" ht="12.8" hidden="true" customHeight="false" outlineLevel="0" collapsed="false">
      <c r="A923" s="22" t="str">
        <f aca="false">customer_churn_dataset!A1115</f>
        <v>CUST101353</v>
      </c>
      <c r="B923" s="22" t="str">
        <f aca="false">customer_churn_dataset!B1115</f>
        <v>Standard</v>
      </c>
      <c r="C923" s="22" t="str">
        <f aca="false">customer_churn_dataset!C1115</f>
        <v>Two year</v>
      </c>
      <c r="D923" s="0" t="n">
        <f aca="false">INDEX(customer_churn_dataset!$E$2:$E$1501,MATCH($A924,customer_churn_dataset!$A$2:$A$1501,0))</f>
        <v>10</v>
      </c>
      <c r="E923" s="0" t="n">
        <f aca="false">INDEX(customer_churn_dataset!$I$2:$I$1501,MATCH($A924,customer_churn_dataset!$A$2:$A$1501,0))</f>
        <v>72.5</v>
      </c>
      <c r="F923" s="0" t="n">
        <f aca="false">INDEX(customer_churn_dataset!$L$2:$L$1501,MATCH($A924,customer_churn_dataset!$A$2:$A$1501,0))</f>
        <v>1</v>
      </c>
      <c r="G923" s="0" t="str">
        <f aca="false">IF(INDEX(customer_churn_dataset!$M$2:$M$1501,MATCH($A924,customer_churn_dataset!$A$2:$A$1501,0))=1,"Yes","No")</f>
        <v>No</v>
      </c>
      <c r="H923" s="0" t="n">
        <f aca="false">INDEX(customer_churn_dataset!$N$2:$N$1501,MATCH($A924,customer_churn_dataset!$A$2:$A$1501,0))</f>
        <v>196.8</v>
      </c>
      <c r="I923" s="0" t="n">
        <f aca="false">INDEX(customer_churn_dataset!$O$2:$O$1501,MATCH($A924,customer_churn_dataset!$A$2:$A$1501,0))</f>
        <v>0</v>
      </c>
      <c r="J923" s="0" t="n">
        <f aca="false">INDEX(customer_churn_dataset!$T$2:$T$1501,MATCH($A924,customer_churn_dataset!$A$2:$A$1501,0))</f>
        <v>3</v>
      </c>
      <c r="K923" s="0" t="str">
        <f aca="false">INDEX(customer_churn_dataset!$V$2:$V$1501,MATCH($A924,customer_churn_dataset!$A$2:$A$1501,0))</f>
        <v>Medium Risk</v>
      </c>
    </row>
    <row r="924" customFormat="false" ht="12.8" hidden="true" customHeight="false" outlineLevel="0" collapsed="false">
      <c r="A924" s="22" t="str">
        <f aca="false">customer_churn_dataset!A1124</f>
        <v>CUST101363</v>
      </c>
      <c r="B924" s="22" t="str">
        <f aca="false">customer_churn_dataset!B1124</f>
        <v>Standard</v>
      </c>
      <c r="C924" s="22" t="str">
        <f aca="false">customer_churn_dataset!C1124</f>
        <v>Month-to-month</v>
      </c>
      <c r="D924" s="0" t="n">
        <f aca="false">INDEX(customer_churn_dataset!$E$2:$E$1501,MATCH($A925,customer_churn_dataset!$A$2:$A$1501,0))</f>
        <v>20</v>
      </c>
      <c r="E924" s="0" t="n">
        <f aca="false">INDEX(customer_churn_dataset!$I$2:$I$1501,MATCH($A925,customer_churn_dataset!$A$2:$A$1501,0))</f>
        <v>56.4</v>
      </c>
      <c r="F924" s="0" t="n">
        <f aca="false">INDEX(customer_churn_dataset!$L$2:$L$1501,MATCH($A925,customer_churn_dataset!$A$2:$A$1501,0))</f>
        <v>2</v>
      </c>
      <c r="G924" s="0" t="str">
        <f aca="false">IF(INDEX(customer_churn_dataset!$M$2:$M$1501,MATCH($A925,customer_churn_dataset!$A$2:$A$1501,0))=1,"Yes","No")</f>
        <v>No</v>
      </c>
      <c r="H924" s="0" t="n">
        <f aca="false">INDEX(customer_churn_dataset!$N$2:$N$1501,MATCH($A925,customer_churn_dataset!$A$2:$A$1501,0))</f>
        <v>203.2</v>
      </c>
      <c r="I924" s="0" t="n">
        <f aca="false">INDEX(customer_churn_dataset!$O$2:$O$1501,MATCH($A925,customer_churn_dataset!$A$2:$A$1501,0))</f>
        <v>0</v>
      </c>
      <c r="J924" s="0" t="n">
        <f aca="false">INDEX(customer_churn_dataset!$T$2:$T$1501,MATCH($A925,customer_churn_dataset!$A$2:$A$1501,0))</f>
        <v>3</v>
      </c>
      <c r="K924" s="0" t="str">
        <f aca="false">INDEX(customer_churn_dataset!$V$2:$V$1501,MATCH($A925,customer_churn_dataset!$A$2:$A$1501,0))</f>
        <v>Medium Risk</v>
      </c>
    </row>
    <row r="925" customFormat="false" ht="12.8" hidden="true" customHeight="false" outlineLevel="0" collapsed="false">
      <c r="A925" s="22" t="str">
        <f aca="false">customer_churn_dataset!A1135</f>
        <v>CUST100179</v>
      </c>
      <c r="B925" s="22" t="str">
        <f aca="false">customer_churn_dataset!B1135</f>
        <v>Basic</v>
      </c>
      <c r="C925" s="22" t="str">
        <f aca="false">customer_churn_dataset!C1135</f>
        <v>Month-to-month</v>
      </c>
      <c r="D925" s="0" t="n">
        <f aca="false">INDEX(customer_churn_dataset!$E$2:$E$1501,MATCH($A926,customer_churn_dataset!$A$2:$A$1501,0))</f>
        <v>4</v>
      </c>
      <c r="E925" s="0" t="n">
        <f aca="false">INDEX(customer_churn_dataset!$I$2:$I$1501,MATCH($A926,customer_churn_dataset!$A$2:$A$1501,0))</f>
        <v>59.3</v>
      </c>
      <c r="F925" s="0" t="n">
        <f aca="false">INDEX(customer_churn_dataset!$L$2:$L$1501,MATCH($A926,customer_churn_dataset!$A$2:$A$1501,0))</f>
        <v>1</v>
      </c>
      <c r="G925" s="0" t="str">
        <f aca="false">IF(INDEX(customer_churn_dataset!$M$2:$M$1501,MATCH($A926,customer_churn_dataset!$A$2:$A$1501,0))=1,"Yes","No")</f>
        <v>Yes</v>
      </c>
      <c r="H925" s="0" t="n">
        <f aca="false">INDEX(customer_churn_dataset!$N$2:$N$1501,MATCH($A926,customer_churn_dataset!$A$2:$A$1501,0))</f>
        <v>76.8</v>
      </c>
      <c r="I925" s="0" t="n">
        <f aca="false">INDEX(customer_churn_dataset!$O$2:$O$1501,MATCH($A926,customer_churn_dataset!$A$2:$A$1501,0))</f>
        <v>0</v>
      </c>
      <c r="J925" s="0" t="n">
        <f aca="false">INDEX(customer_churn_dataset!$T$2:$T$1501,MATCH($A926,customer_churn_dataset!$A$2:$A$1501,0))</f>
        <v>5</v>
      </c>
      <c r="K925" s="0" t="str">
        <f aca="false">INDEX(customer_churn_dataset!$V$2:$V$1501,MATCH($A926,customer_churn_dataset!$A$2:$A$1501,0))</f>
        <v>Medium Risk</v>
      </c>
    </row>
    <row r="926" customFormat="false" ht="12.8" hidden="true" customHeight="false" outlineLevel="0" collapsed="false">
      <c r="A926" s="22" t="str">
        <f aca="false">customer_churn_dataset!A1153</f>
        <v>CUST101312</v>
      </c>
      <c r="B926" s="22" t="str">
        <f aca="false">customer_churn_dataset!B1153</f>
        <v>Standard</v>
      </c>
      <c r="C926" s="22" t="str">
        <f aca="false">customer_churn_dataset!C1153</f>
        <v>One year</v>
      </c>
      <c r="D926" s="0" t="n">
        <f aca="false">INDEX(customer_churn_dataset!$E$2:$E$1501,MATCH($A927,customer_churn_dataset!$A$2:$A$1501,0))</f>
        <v>21</v>
      </c>
      <c r="E926" s="0" t="n">
        <f aca="false">INDEX(customer_churn_dataset!$I$2:$I$1501,MATCH($A927,customer_churn_dataset!$A$2:$A$1501,0))</f>
        <v>55.2</v>
      </c>
      <c r="F926" s="0" t="n">
        <f aca="false">INDEX(customer_churn_dataset!$L$2:$L$1501,MATCH($A927,customer_churn_dataset!$A$2:$A$1501,0))</f>
        <v>1</v>
      </c>
      <c r="G926" s="0" t="str">
        <f aca="false">IF(INDEX(customer_churn_dataset!$M$2:$M$1501,MATCH($A927,customer_churn_dataset!$A$2:$A$1501,0))=1,"Yes","No")</f>
        <v>No</v>
      </c>
      <c r="H926" s="0" t="n">
        <f aca="false">INDEX(customer_churn_dataset!$N$2:$N$1501,MATCH($A927,customer_churn_dataset!$A$2:$A$1501,0))</f>
        <v>836.22</v>
      </c>
      <c r="I926" s="0" t="n">
        <f aca="false">INDEX(customer_churn_dataset!$O$2:$O$1501,MATCH($A927,customer_churn_dataset!$A$2:$A$1501,0))</f>
        <v>0</v>
      </c>
      <c r="J926" s="0" t="n">
        <f aca="false">INDEX(customer_churn_dataset!$T$2:$T$1501,MATCH($A927,customer_churn_dataset!$A$2:$A$1501,0))</f>
        <v>1</v>
      </c>
      <c r="K926" s="0" t="str">
        <f aca="false">INDEX(customer_churn_dataset!$V$2:$V$1501,MATCH($A927,customer_churn_dataset!$A$2:$A$1501,0))</f>
        <v>Low Risk</v>
      </c>
    </row>
    <row r="927" customFormat="false" ht="12.8" hidden="true" customHeight="false" outlineLevel="0" collapsed="false">
      <c r="A927" s="22" t="str">
        <f aca="false">customer_churn_dataset!A1154</f>
        <v>CUST100581</v>
      </c>
      <c r="B927" s="22" t="str">
        <f aca="false">customer_churn_dataset!B1154</f>
        <v>Premium</v>
      </c>
      <c r="C927" s="22" t="str">
        <f aca="false">customer_churn_dataset!C1154</f>
        <v>One year</v>
      </c>
      <c r="D927" s="0" t="n">
        <f aca="false">INDEX(customer_churn_dataset!$E$2:$E$1501,MATCH($A928,customer_churn_dataset!$A$2:$A$1501,0))</f>
        <v>15</v>
      </c>
      <c r="E927" s="0" t="n">
        <f aca="false">INDEX(customer_churn_dataset!$I$2:$I$1501,MATCH($A928,customer_churn_dataset!$A$2:$A$1501,0))</f>
        <v>50.5</v>
      </c>
      <c r="F927" s="0" t="n">
        <f aca="false">INDEX(customer_churn_dataset!$L$2:$L$1501,MATCH($A928,customer_churn_dataset!$A$2:$A$1501,0))</f>
        <v>1</v>
      </c>
      <c r="G927" s="0" t="str">
        <f aca="false">IF(INDEX(customer_churn_dataset!$M$2:$M$1501,MATCH($A928,customer_churn_dataset!$A$2:$A$1501,0))=1,"Yes","No")</f>
        <v>No</v>
      </c>
      <c r="H927" s="0" t="n">
        <f aca="false">INDEX(customer_churn_dataset!$N$2:$N$1501,MATCH($A928,customer_churn_dataset!$A$2:$A$1501,0))</f>
        <v>326.1</v>
      </c>
      <c r="I927" s="0" t="n">
        <f aca="false">INDEX(customer_churn_dataset!$O$2:$O$1501,MATCH($A928,customer_churn_dataset!$A$2:$A$1501,0))</f>
        <v>0</v>
      </c>
      <c r="J927" s="0" t="n">
        <f aca="false">INDEX(customer_churn_dataset!$T$2:$T$1501,MATCH($A928,customer_churn_dataset!$A$2:$A$1501,0))</f>
        <v>2</v>
      </c>
      <c r="K927" s="0" t="str">
        <f aca="false">INDEX(customer_churn_dataset!$V$2:$V$1501,MATCH($A928,customer_churn_dataset!$A$2:$A$1501,0))</f>
        <v>Low Risk</v>
      </c>
    </row>
    <row r="928" customFormat="false" ht="12.8" hidden="true" customHeight="false" outlineLevel="0" collapsed="false">
      <c r="A928" s="22" t="str">
        <f aca="false">customer_churn_dataset!A1155</f>
        <v>CUST101280</v>
      </c>
      <c r="B928" s="22" t="str">
        <f aca="false">customer_churn_dataset!B1155</f>
        <v>Standard</v>
      </c>
      <c r="C928" s="22" t="str">
        <f aca="false">customer_churn_dataset!C1155</f>
        <v>One year</v>
      </c>
      <c r="D928" s="0" t="n">
        <f aca="false">INDEX(customer_churn_dataset!$E$2:$E$1501,MATCH($A929,customer_churn_dataset!$A$2:$A$1501,0))</f>
        <v>20</v>
      </c>
      <c r="E928" s="0" t="n">
        <f aca="false">INDEX(customer_churn_dataset!$I$2:$I$1501,MATCH($A929,customer_churn_dataset!$A$2:$A$1501,0))</f>
        <v>74.7</v>
      </c>
      <c r="F928" s="0" t="n">
        <f aca="false">INDEX(customer_churn_dataset!$L$2:$L$1501,MATCH($A929,customer_churn_dataset!$A$2:$A$1501,0))</f>
        <v>1</v>
      </c>
      <c r="G928" s="0" t="str">
        <f aca="false">IF(INDEX(customer_churn_dataset!$M$2:$M$1501,MATCH($A929,customer_churn_dataset!$A$2:$A$1501,0))=1,"Yes","No")</f>
        <v>No</v>
      </c>
      <c r="H928" s="0" t="n">
        <f aca="false">INDEX(customer_churn_dataset!$N$2:$N$1501,MATCH($A929,customer_churn_dataset!$A$2:$A$1501,0))</f>
        <v>215</v>
      </c>
      <c r="I928" s="0" t="n">
        <f aca="false">INDEX(customer_churn_dataset!$O$2:$O$1501,MATCH($A929,customer_churn_dataset!$A$2:$A$1501,0))</f>
        <v>0</v>
      </c>
      <c r="J928" s="0" t="n">
        <f aca="false">INDEX(customer_churn_dataset!$T$2:$T$1501,MATCH($A929,customer_churn_dataset!$A$2:$A$1501,0))</f>
        <v>1</v>
      </c>
      <c r="K928" s="0" t="str">
        <f aca="false">INDEX(customer_churn_dataset!$V$2:$V$1501,MATCH($A929,customer_churn_dataset!$A$2:$A$1501,0))</f>
        <v>Low Risk</v>
      </c>
    </row>
    <row r="929" customFormat="false" ht="12.8" hidden="true" customHeight="false" outlineLevel="0" collapsed="false">
      <c r="A929" s="22" t="str">
        <f aca="false">customer_churn_dataset!A1156</f>
        <v>CUST100010</v>
      </c>
      <c r="B929" s="22" t="str">
        <f aca="false">customer_churn_dataset!B1156</f>
        <v>Basic</v>
      </c>
      <c r="C929" s="22" t="str">
        <f aca="false">customer_churn_dataset!C1156</f>
        <v>One year</v>
      </c>
      <c r="D929" s="0" t="n">
        <f aca="false">INDEX(customer_churn_dataset!$E$2:$E$1501,MATCH($A930,customer_churn_dataset!$A$2:$A$1501,0))</f>
        <v>4</v>
      </c>
      <c r="E929" s="0" t="n">
        <f aca="false">INDEX(customer_churn_dataset!$I$2:$I$1501,MATCH($A930,customer_churn_dataset!$A$2:$A$1501,0))</f>
        <v>52.1</v>
      </c>
      <c r="F929" s="0" t="n">
        <f aca="false">INDEX(customer_churn_dataset!$L$2:$L$1501,MATCH($A930,customer_churn_dataset!$A$2:$A$1501,0))</f>
        <v>2</v>
      </c>
      <c r="G929" s="0" t="str">
        <f aca="false">IF(INDEX(customer_churn_dataset!$M$2:$M$1501,MATCH($A930,customer_churn_dataset!$A$2:$A$1501,0))=1,"Yes","No")</f>
        <v>No</v>
      </c>
      <c r="H929" s="0" t="n">
        <f aca="false">INDEX(customer_churn_dataset!$N$2:$N$1501,MATCH($A930,customer_churn_dataset!$A$2:$A$1501,0))</f>
        <v>79.28</v>
      </c>
      <c r="I929" s="0" t="n">
        <f aca="false">INDEX(customer_churn_dataset!$O$2:$O$1501,MATCH($A930,customer_churn_dataset!$A$2:$A$1501,0))</f>
        <v>0</v>
      </c>
      <c r="J929" s="0" t="n">
        <f aca="false">INDEX(customer_churn_dataset!$T$2:$T$1501,MATCH($A930,customer_churn_dataset!$A$2:$A$1501,0))</f>
        <v>4</v>
      </c>
      <c r="K929" s="0" t="str">
        <f aca="false">INDEX(customer_churn_dataset!$V$2:$V$1501,MATCH($A930,customer_churn_dataset!$A$2:$A$1501,0))</f>
        <v>Medium Risk</v>
      </c>
    </row>
    <row r="930" customFormat="false" ht="12.8" hidden="true" customHeight="false" outlineLevel="0" collapsed="false">
      <c r="A930" s="22" t="str">
        <f aca="false">customer_churn_dataset!A1162</f>
        <v>CUST100142</v>
      </c>
      <c r="B930" s="22" t="str">
        <f aca="false">customer_churn_dataset!B1162</f>
        <v>Standard</v>
      </c>
      <c r="C930" s="22" t="str">
        <f aca="false">customer_churn_dataset!C1162</f>
        <v>One year</v>
      </c>
      <c r="D930" s="0" t="n">
        <f aca="false">INDEX(customer_churn_dataset!$E$2:$E$1501,MATCH($A931,customer_churn_dataset!$A$2:$A$1501,0))</f>
        <v>54</v>
      </c>
      <c r="E930" s="0" t="n">
        <f aca="false">INDEX(customer_churn_dataset!$I$2:$I$1501,MATCH($A931,customer_churn_dataset!$A$2:$A$1501,0))</f>
        <v>34.2</v>
      </c>
      <c r="F930" s="0" t="n">
        <f aca="false">INDEX(customer_churn_dataset!$L$2:$L$1501,MATCH($A931,customer_churn_dataset!$A$2:$A$1501,0))</f>
        <v>1</v>
      </c>
      <c r="G930" s="0" t="str">
        <f aca="false">IF(INDEX(customer_churn_dataset!$M$2:$M$1501,MATCH($A931,customer_churn_dataset!$A$2:$A$1501,0))=1,"Yes","No")</f>
        <v>Yes</v>
      </c>
      <c r="H930" s="0" t="n">
        <f aca="false">INDEX(customer_churn_dataset!$N$2:$N$1501,MATCH($A931,customer_churn_dataset!$A$2:$A$1501,0))</f>
        <v>453.06</v>
      </c>
      <c r="I930" s="0" t="n">
        <f aca="false">INDEX(customer_churn_dataset!$O$2:$O$1501,MATCH($A931,customer_churn_dataset!$A$2:$A$1501,0))</f>
        <v>1</v>
      </c>
      <c r="J930" s="0" t="n">
        <f aca="false">INDEX(customer_churn_dataset!$T$2:$T$1501,MATCH($A931,customer_churn_dataset!$A$2:$A$1501,0))</f>
        <v>7</v>
      </c>
      <c r="K930" s="0" t="str">
        <f aca="false">INDEX(customer_churn_dataset!$V$2:$V$1501,MATCH($A931,customer_churn_dataset!$A$2:$A$1501,0))</f>
        <v>High Risk</v>
      </c>
    </row>
    <row r="931" customFormat="false" ht="12.8" hidden="true" customHeight="false" outlineLevel="0" collapsed="false">
      <c r="A931" s="22" t="str">
        <f aca="false">customer_churn_dataset!A1181</f>
        <v>CUST101030</v>
      </c>
      <c r="B931" s="22" t="str">
        <f aca="false">customer_churn_dataset!B1181</f>
        <v>Basic</v>
      </c>
      <c r="C931" s="22" t="str">
        <f aca="false">customer_churn_dataset!C1181</f>
        <v>Month-to-month</v>
      </c>
      <c r="D931" s="0" t="n">
        <f aca="false">INDEX(customer_churn_dataset!$E$2:$E$1501,MATCH($A932,customer_churn_dataset!$A$2:$A$1501,0))</f>
        <v>18</v>
      </c>
      <c r="E931" s="0" t="n">
        <f aca="false">INDEX(customer_churn_dataset!$I$2:$I$1501,MATCH($A932,customer_churn_dataset!$A$2:$A$1501,0))</f>
        <v>80.1</v>
      </c>
      <c r="F931" s="0" t="n">
        <f aca="false">INDEX(customer_churn_dataset!$L$2:$L$1501,MATCH($A932,customer_churn_dataset!$A$2:$A$1501,0))</f>
        <v>0</v>
      </c>
      <c r="G931" s="0" t="str">
        <f aca="false">IF(INDEX(customer_churn_dataset!$M$2:$M$1501,MATCH($A932,customer_churn_dataset!$A$2:$A$1501,0))=1,"Yes","No")</f>
        <v>No</v>
      </c>
      <c r="H931" s="0" t="n">
        <f aca="false">INDEX(customer_churn_dataset!$N$2:$N$1501,MATCH($A932,customer_churn_dataset!$A$2:$A$1501,0))</f>
        <v>229.5</v>
      </c>
      <c r="I931" s="0" t="n">
        <f aca="false">INDEX(customer_churn_dataset!$O$2:$O$1501,MATCH($A932,customer_churn_dataset!$A$2:$A$1501,0))</f>
        <v>1</v>
      </c>
      <c r="J931" s="0" t="n">
        <f aca="false">INDEX(customer_churn_dataset!$T$2:$T$1501,MATCH($A932,customer_churn_dataset!$A$2:$A$1501,0))</f>
        <v>2</v>
      </c>
      <c r="K931" s="0" t="str">
        <f aca="false">INDEX(customer_churn_dataset!$V$2:$V$1501,MATCH($A932,customer_churn_dataset!$A$2:$A$1501,0))</f>
        <v>Low Risk</v>
      </c>
    </row>
    <row r="932" customFormat="false" ht="12.8" hidden="true" customHeight="false" outlineLevel="0" collapsed="false">
      <c r="A932" s="22" t="str">
        <f aca="false">customer_churn_dataset!A1182</f>
        <v>CUST100875</v>
      </c>
      <c r="B932" s="22" t="str">
        <f aca="false">customer_churn_dataset!B1182</f>
        <v>Basic</v>
      </c>
      <c r="C932" s="22" t="str">
        <f aca="false">customer_churn_dataset!C1182</f>
        <v>Month-to-month</v>
      </c>
      <c r="D932" s="0" t="n">
        <f aca="false">INDEX(customer_churn_dataset!$E$2:$E$1501,MATCH($A933,customer_churn_dataset!$A$2:$A$1501,0))</f>
        <v>3</v>
      </c>
      <c r="E932" s="0" t="n">
        <f aca="false">INDEX(customer_churn_dataset!$I$2:$I$1501,MATCH($A933,customer_churn_dataset!$A$2:$A$1501,0))</f>
        <v>100</v>
      </c>
      <c r="F932" s="0" t="n">
        <f aca="false">INDEX(customer_churn_dataset!$L$2:$L$1501,MATCH($A933,customer_churn_dataset!$A$2:$A$1501,0))</f>
        <v>3</v>
      </c>
      <c r="G932" s="0" t="str">
        <f aca="false">IF(INDEX(customer_churn_dataset!$M$2:$M$1501,MATCH($A933,customer_churn_dataset!$A$2:$A$1501,0))=1,"Yes","No")</f>
        <v>No</v>
      </c>
      <c r="H932" s="0" t="n">
        <f aca="false">INDEX(customer_churn_dataset!$N$2:$N$1501,MATCH($A933,customer_churn_dataset!$A$2:$A$1501,0))</f>
        <v>123.27</v>
      </c>
      <c r="I932" s="0" t="n">
        <f aca="false">INDEX(customer_churn_dataset!$O$2:$O$1501,MATCH($A933,customer_churn_dataset!$A$2:$A$1501,0))</f>
        <v>1</v>
      </c>
      <c r="J932" s="0" t="n">
        <f aca="false">INDEX(customer_churn_dataset!$T$2:$T$1501,MATCH($A933,customer_churn_dataset!$A$2:$A$1501,0))</f>
        <v>4</v>
      </c>
      <c r="K932" s="0" t="str">
        <f aca="false">INDEX(customer_churn_dataset!$V$2:$V$1501,MATCH($A933,customer_churn_dataset!$A$2:$A$1501,0))</f>
        <v>Medium Risk</v>
      </c>
    </row>
    <row r="933" customFormat="false" ht="12.8" hidden="true" customHeight="false" outlineLevel="0" collapsed="false">
      <c r="A933" s="22" t="str">
        <f aca="false">customer_churn_dataset!A1185</f>
        <v>CUST101424</v>
      </c>
      <c r="B933" s="22" t="str">
        <f aca="false">customer_churn_dataset!B1185</f>
        <v>Premium</v>
      </c>
      <c r="C933" s="22" t="str">
        <f aca="false">customer_churn_dataset!C1185</f>
        <v>Month-to-month</v>
      </c>
      <c r="D933" s="0" t="n">
        <f aca="false">INDEX(customer_churn_dataset!$E$2:$E$1501,MATCH($A934,customer_churn_dataset!$A$2:$A$1501,0))</f>
        <v>48</v>
      </c>
      <c r="E933" s="0" t="n">
        <f aca="false">INDEX(customer_churn_dataset!$I$2:$I$1501,MATCH($A934,customer_churn_dataset!$A$2:$A$1501,0))</f>
        <v>100</v>
      </c>
      <c r="F933" s="0" t="n">
        <f aca="false">INDEX(customer_churn_dataset!$L$2:$L$1501,MATCH($A934,customer_churn_dataset!$A$2:$A$1501,0))</f>
        <v>0</v>
      </c>
      <c r="G933" s="0" t="str">
        <f aca="false">IF(INDEX(customer_churn_dataset!$M$2:$M$1501,MATCH($A934,customer_churn_dataset!$A$2:$A$1501,0))=1,"Yes","No")</f>
        <v>No</v>
      </c>
      <c r="H933" s="0" t="n">
        <f aca="false">INDEX(customer_churn_dataset!$N$2:$N$1501,MATCH($A934,customer_churn_dataset!$A$2:$A$1501,0))</f>
        <v>535.2</v>
      </c>
      <c r="I933" s="0" t="n">
        <f aca="false">INDEX(customer_churn_dataset!$O$2:$O$1501,MATCH($A934,customer_churn_dataset!$A$2:$A$1501,0))</f>
        <v>0</v>
      </c>
      <c r="J933" s="0" t="n">
        <f aca="false">INDEX(customer_churn_dataset!$T$2:$T$1501,MATCH($A934,customer_churn_dataset!$A$2:$A$1501,0))</f>
        <v>1</v>
      </c>
      <c r="K933" s="0" t="str">
        <f aca="false">INDEX(customer_churn_dataset!$V$2:$V$1501,MATCH($A934,customer_churn_dataset!$A$2:$A$1501,0))</f>
        <v>Low Risk</v>
      </c>
    </row>
    <row r="934" customFormat="false" ht="12.8" hidden="true" customHeight="false" outlineLevel="0" collapsed="false">
      <c r="A934" s="22" t="str">
        <f aca="false">customer_churn_dataset!A1186</f>
        <v>CUST100417</v>
      </c>
      <c r="B934" s="22" t="str">
        <f aca="false">customer_churn_dataset!B1186</f>
        <v>Basic</v>
      </c>
      <c r="C934" s="22" t="str">
        <f aca="false">customer_churn_dataset!C1186</f>
        <v>One year</v>
      </c>
      <c r="D934" s="0" t="n">
        <f aca="false">INDEX(customer_churn_dataset!$E$2:$E$1501,MATCH($A935,customer_churn_dataset!$A$2:$A$1501,0))</f>
        <v>17</v>
      </c>
      <c r="E934" s="0" t="n">
        <f aca="false">INDEX(customer_churn_dataset!$I$2:$I$1501,MATCH($A935,customer_churn_dataset!$A$2:$A$1501,0))</f>
        <v>56.2</v>
      </c>
      <c r="F934" s="0" t="n">
        <f aca="false">INDEX(customer_churn_dataset!$L$2:$L$1501,MATCH($A935,customer_churn_dataset!$A$2:$A$1501,0))</f>
        <v>3</v>
      </c>
      <c r="G934" s="0" t="str">
        <f aca="false">IF(INDEX(customer_churn_dataset!$M$2:$M$1501,MATCH($A935,customer_churn_dataset!$A$2:$A$1501,0))=1,"Yes","No")</f>
        <v>No</v>
      </c>
      <c r="H934" s="0" t="n">
        <f aca="false">INDEX(customer_churn_dataset!$N$2:$N$1501,MATCH($A935,customer_churn_dataset!$A$2:$A$1501,0))</f>
        <v>341.02</v>
      </c>
      <c r="I934" s="0" t="n">
        <f aca="false">INDEX(customer_churn_dataset!$O$2:$O$1501,MATCH($A935,customer_churn_dataset!$A$2:$A$1501,0))</f>
        <v>0</v>
      </c>
      <c r="J934" s="0" t="n">
        <f aca="false">INDEX(customer_churn_dataset!$T$2:$T$1501,MATCH($A935,customer_churn_dataset!$A$2:$A$1501,0))</f>
        <v>3</v>
      </c>
      <c r="K934" s="0" t="str">
        <f aca="false">INDEX(customer_churn_dataset!$V$2:$V$1501,MATCH($A935,customer_churn_dataset!$A$2:$A$1501,0))</f>
        <v>Medium Risk</v>
      </c>
    </row>
    <row r="935" customFormat="false" ht="12.8" hidden="true" customHeight="false" outlineLevel="0" collapsed="false">
      <c r="A935" s="22" t="str">
        <f aca="false">customer_churn_dataset!A1193</f>
        <v>CUST100582</v>
      </c>
      <c r="B935" s="22" t="str">
        <f aca="false">customer_churn_dataset!B1193</f>
        <v>Standard</v>
      </c>
      <c r="C935" s="22" t="str">
        <f aca="false">customer_churn_dataset!C1193</f>
        <v>Month-to-month</v>
      </c>
      <c r="D935" s="0" t="n">
        <f aca="false">INDEX(customer_churn_dataset!$E$2:$E$1501,MATCH($A936,customer_churn_dataset!$A$2:$A$1501,0))</f>
        <v>6</v>
      </c>
      <c r="E935" s="0" t="n">
        <f aca="false">INDEX(customer_churn_dataset!$I$2:$I$1501,MATCH($A936,customer_churn_dataset!$A$2:$A$1501,0))</f>
        <v>92.4</v>
      </c>
      <c r="F935" s="0" t="n">
        <f aca="false">INDEX(customer_churn_dataset!$L$2:$L$1501,MATCH($A936,customer_churn_dataset!$A$2:$A$1501,0))</f>
        <v>2</v>
      </c>
      <c r="G935" s="0" t="str">
        <f aca="false">IF(INDEX(customer_churn_dataset!$M$2:$M$1501,MATCH($A936,customer_churn_dataset!$A$2:$A$1501,0))=1,"Yes","No")</f>
        <v>No</v>
      </c>
      <c r="H935" s="0" t="n">
        <f aca="false">INDEX(customer_churn_dataset!$N$2:$N$1501,MATCH($A936,customer_churn_dataset!$A$2:$A$1501,0))</f>
        <v>55.68</v>
      </c>
      <c r="I935" s="0" t="n">
        <f aca="false">INDEX(customer_churn_dataset!$O$2:$O$1501,MATCH($A936,customer_churn_dataset!$A$2:$A$1501,0))</f>
        <v>0</v>
      </c>
      <c r="J935" s="0" t="n">
        <f aca="false">INDEX(customer_churn_dataset!$T$2:$T$1501,MATCH($A936,customer_churn_dataset!$A$2:$A$1501,0))</f>
        <v>3</v>
      </c>
      <c r="K935" s="0" t="str">
        <f aca="false">INDEX(customer_churn_dataset!$V$2:$V$1501,MATCH($A936,customer_churn_dataset!$A$2:$A$1501,0))</f>
        <v>Medium Risk</v>
      </c>
    </row>
    <row r="936" customFormat="false" ht="12.8" hidden="false" customHeight="false" outlineLevel="0" collapsed="false">
      <c r="A936" s="23" t="str">
        <f aca="false">customer_churn_dataset!A1223</f>
        <v>CUST100642</v>
      </c>
      <c r="B936" s="24" t="str">
        <f aca="false">customer_churn_dataset!B1223</f>
        <v>Basic</v>
      </c>
      <c r="C936" s="24" t="str">
        <f aca="false">customer_churn_dataset!C1223</f>
        <v>One year</v>
      </c>
      <c r="D936" s="25" t="n">
        <f aca="false">INDEX(customer_churn_dataset!$E$2:$E$1501,MATCH($A937,customer_churn_dataset!$A$2:$A$1501,0))</f>
        <v>32</v>
      </c>
      <c r="E936" s="25" t="n">
        <f aca="false">INDEX(customer_churn_dataset!$I$2:$I$1501,MATCH($A937,customer_churn_dataset!$A$2:$A$1501,0))</f>
        <v>27.6</v>
      </c>
      <c r="F936" s="25" t="n">
        <f aca="false">INDEX(customer_churn_dataset!$L$2:$L$1501,MATCH($A937,customer_churn_dataset!$A$2:$A$1501,0))</f>
        <v>5</v>
      </c>
      <c r="G936" s="25" t="str">
        <f aca="false">IF(INDEX(customer_churn_dataset!$M$2:$M$1501,MATCH($A937,customer_churn_dataset!$A$2:$A$1501,0))=1,"Yes","No")</f>
        <v>Yes</v>
      </c>
      <c r="H936" s="25" t="n">
        <f aca="false">INDEX(customer_churn_dataset!$N$2:$N$1501,MATCH($A937,customer_churn_dataset!$A$2:$A$1501,0))</f>
        <v>612.48</v>
      </c>
      <c r="I936" s="25" t="n">
        <f aca="false">INDEX(customer_churn_dataset!$O$2:$O$1501,MATCH($A937,customer_churn_dataset!$A$2:$A$1501,0))</f>
        <v>1</v>
      </c>
      <c r="J936" s="25" t="n">
        <f aca="false">INDEX(customer_churn_dataset!$T$2:$T$1501,MATCH($A937,customer_churn_dataset!$A$2:$A$1501,0))</f>
        <v>8</v>
      </c>
      <c r="K936" s="25" t="str">
        <f aca="false">INDEX(customer_churn_dataset!$V$2:$V$1501,MATCH($A937,customer_churn_dataset!$A$2:$A$1501,0))</f>
        <v>High Risk</v>
      </c>
    </row>
    <row r="937" customFormat="false" ht="12.8" hidden="true" customHeight="false" outlineLevel="0" collapsed="false">
      <c r="A937" s="22" t="str">
        <f aca="false">customer_churn_dataset!A1232</f>
        <v>CUST100303</v>
      </c>
      <c r="B937" s="22" t="str">
        <f aca="false">customer_churn_dataset!B1232</f>
        <v>Standard</v>
      </c>
      <c r="C937" s="22" t="str">
        <f aca="false">customer_churn_dataset!C1232</f>
        <v>Month-to-month</v>
      </c>
      <c r="D937" s="0" t="n">
        <f aca="false">INDEX(customer_churn_dataset!$E$2:$E$1501,MATCH($A938,customer_churn_dataset!$A$2:$A$1501,0))</f>
        <v>0</v>
      </c>
      <c r="E937" s="0" t="n">
        <f aca="false">INDEX(customer_churn_dataset!$I$2:$I$1501,MATCH($A938,customer_churn_dataset!$A$2:$A$1501,0))</f>
        <v>46.4</v>
      </c>
      <c r="F937" s="0" t="n">
        <f aca="false">INDEX(customer_churn_dataset!$L$2:$L$1501,MATCH($A938,customer_churn_dataset!$A$2:$A$1501,0))</f>
        <v>0</v>
      </c>
      <c r="G937" s="0" t="str">
        <f aca="false">IF(INDEX(customer_churn_dataset!$M$2:$M$1501,MATCH($A938,customer_churn_dataset!$A$2:$A$1501,0))=1,"Yes","No")</f>
        <v>No</v>
      </c>
      <c r="H937" s="0" t="n">
        <f aca="false">INDEX(customer_churn_dataset!$N$2:$N$1501,MATCH($A938,customer_churn_dataset!$A$2:$A$1501,0))</f>
        <v>0</v>
      </c>
      <c r="I937" s="0" t="n">
        <f aca="false">INDEX(customer_churn_dataset!$O$2:$O$1501,MATCH($A938,customer_churn_dataset!$A$2:$A$1501,0))</f>
        <v>0</v>
      </c>
      <c r="J937" s="0" t="n">
        <f aca="false">INDEX(customer_churn_dataset!$T$2:$T$1501,MATCH($A938,customer_churn_dataset!$A$2:$A$1501,0))</f>
        <v>4</v>
      </c>
      <c r="K937" s="0" t="str">
        <f aca="false">INDEX(customer_churn_dataset!$V$2:$V$1501,MATCH($A938,customer_churn_dataset!$A$2:$A$1501,0))</f>
        <v>Medium Risk</v>
      </c>
    </row>
    <row r="938" customFormat="false" ht="12.8" hidden="true" customHeight="false" outlineLevel="0" collapsed="false">
      <c r="A938" s="22" t="str">
        <f aca="false">customer_churn_dataset!A1244</f>
        <v>CUST100738</v>
      </c>
      <c r="B938" s="22" t="str">
        <f aca="false">customer_churn_dataset!B1244</f>
        <v>Basic</v>
      </c>
      <c r="C938" s="22" t="str">
        <f aca="false">customer_churn_dataset!C1244</f>
        <v>Month-to-month</v>
      </c>
      <c r="D938" s="0" t="n">
        <f aca="false">INDEX(customer_churn_dataset!$E$2:$E$1501,MATCH($A939,customer_churn_dataset!$A$2:$A$1501,0))</f>
        <v>12</v>
      </c>
      <c r="E938" s="0" t="n">
        <f aca="false">INDEX(customer_churn_dataset!$I$2:$I$1501,MATCH($A939,customer_churn_dataset!$A$2:$A$1501,0))</f>
        <v>25.4</v>
      </c>
      <c r="F938" s="0" t="n">
        <f aca="false">INDEX(customer_churn_dataset!$L$2:$L$1501,MATCH($A939,customer_churn_dataset!$A$2:$A$1501,0))</f>
        <v>2</v>
      </c>
      <c r="G938" s="0" t="str">
        <f aca="false">IF(INDEX(customer_churn_dataset!$M$2:$M$1501,MATCH($A939,customer_churn_dataset!$A$2:$A$1501,0))=1,"Yes","No")</f>
        <v>No</v>
      </c>
      <c r="H938" s="0" t="n">
        <f aca="false">INDEX(customer_churn_dataset!$N$2:$N$1501,MATCH($A939,customer_churn_dataset!$A$2:$A$1501,0))</f>
        <v>126.6</v>
      </c>
      <c r="I938" s="0" t="n">
        <f aca="false">INDEX(customer_churn_dataset!$O$2:$O$1501,MATCH($A939,customer_churn_dataset!$A$2:$A$1501,0))</f>
        <v>0</v>
      </c>
      <c r="J938" s="0" t="n">
        <f aca="false">INDEX(customer_churn_dataset!$T$2:$T$1501,MATCH($A939,customer_churn_dataset!$A$2:$A$1501,0))</f>
        <v>4</v>
      </c>
      <c r="K938" s="0" t="str">
        <f aca="false">INDEX(customer_churn_dataset!$V$2:$V$1501,MATCH($A939,customer_churn_dataset!$A$2:$A$1501,0))</f>
        <v>Medium Risk</v>
      </c>
    </row>
    <row r="939" customFormat="false" ht="12.8" hidden="true" customHeight="false" outlineLevel="0" collapsed="false">
      <c r="A939" s="22" t="str">
        <f aca="false">customer_churn_dataset!A1260</f>
        <v>CUST100999</v>
      </c>
      <c r="B939" s="22" t="str">
        <f aca="false">customer_churn_dataset!B1260</f>
        <v>Basic</v>
      </c>
      <c r="C939" s="22" t="str">
        <f aca="false">customer_churn_dataset!C1260</f>
        <v>One year</v>
      </c>
      <c r="D939" s="0" t="n">
        <f aca="false">INDEX(customer_churn_dataset!$E$2:$E$1501,MATCH($A940,customer_churn_dataset!$A$2:$A$1501,0))</f>
        <v>1</v>
      </c>
      <c r="E939" s="0" t="n">
        <f aca="false">INDEX(customer_churn_dataset!$I$2:$I$1501,MATCH($A940,customer_churn_dataset!$A$2:$A$1501,0))</f>
        <v>60.6</v>
      </c>
      <c r="F939" s="0" t="n">
        <f aca="false">INDEX(customer_churn_dataset!$L$2:$L$1501,MATCH($A940,customer_churn_dataset!$A$2:$A$1501,0))</f>
        <v>0</v>
      </c>
      <c r="G939" s="0" t="str">
        <f aca="false">IF(INDEX(customer_churn_dataset!$M$2:$M$1501,MATCH($A940,customer_churn_dataset!$A$2:$A$1501,0))=1,"Yes","No")</f>
        <v>No</v>
      </c>
      <c r="H939" s="0" t="n">
        <f aca="false">INDEX(customer_churn_dataset!$N$2:$N$1501,MATCH($A940,customer_churn_dataset!$A$2:$A$1501,0))</f>
        <v>10.8</v>
      </c>
      <c r="I939" s="0" t="n">
        <f aca="false">INDEX(customer_churn_dataset!$O$2:$O$1501,MATCH($A940,customer_churn_dataset!$A$2:$A$1501,0))</f>
        <v>0</v>
      </c>
      <c r="J939" s="0" t="n">
        <f aca="false">INDEX(customer_churn_dataset!$T$2:$T$1501,MATCH($A940,customer_churn_dataset!$A$2:$A$1501,0))</f>
        <v>3</v>
      </c>
      <c r="K939" s="0" t="str">
        <f aca="false">INDEX(customer_churn_dataset!$V$2:$V$1501,MATCH($A940,customer_churn_dataset!$A$2:$A$1501,0))</f>
        <v>Medium Risk</v>
      </c>
    </row>
    <row r="940" customFormat="false" ht="12.8" hidden="true" customHeight="false" outlineLevel="0" collapsed="false">
      <c r="A940" s="22" t="str">
        <f aca="false">customer_churn_dataset!A1270</f>
        <v>CUST100567</v>
      </c>
      <c r="B940" s="22" t="str">
        <f aca="false">customer_churn_dataset!B1270</f>
        <v>Basic</v>
      </c>
      <c r="C940" s="22" t="str">
        <f aca="false">customer_churn_dataset!C1270</f>
        <v>Month-to-month</v>
      </c>
      <c r="D940" s="0" t="n">
        <f aca="false">INDEX(customer_churn_dataset!$E$2:$E$1501,MATCH($A941,customer_churn_dataset!$A$2:$A$1501,0))</f>
        <v>72</v>
      </c>
      <c r="E940" s="0" t="n">
        <f aca="false">INDEX(customer_churn_dataset!$I$2:$I$1501,MATCH($A941,customer_churn_dataset!$A$2:$A$1501,0))</f>
        <v>7.4</v>
      </c>
      <c r="F940" s="0" t="n">
        <f aca="false">INDEX(customer_churn_dataset!$L$2:$L$1501,MATCH($A941,customer_churn_dataset!$A$2:$A$1501,0))</f>
        <v>6</v>
      </c>
      <c r="G940" s="0" t="str">
        <f aca="false">IF(INDEX(customer_churn_dataset!$M$2:$M$1501,MATCH($A941,customer_churn_dataset!$A$2:$A$1501,0))=1,"Yes","No")</f>
        <v>Yes</v>
      </c>
      <c r="H940" s="0" t="n">
        <f aca="false">INDEX(customer_churn_dataset!$N$2:$N$1501,MATCH($A941,customer_churn_dataset!$A$2:$A$1501,0))</f>
        <v>1453.68</v>
      </c>
      <c r="I940" s="0" t="n">
        <f aca="false">INDEX(customer_churn_dataset!$O$2:$O$1501,MATCH($A941,customer_churn_dataset!$A$2:$A$1501,0))</f>
        <v>0</v>
      </c>
      <c r="J940" s="0" t="n">
        <f aca="false">INDEX(customer_churn_dataset!$T$2:$T$1501,MATCH($A941,customer_churn_dataset!$A$2:$A$1501,0))</f>
        <v>7</v>
      </c>
      <c r="K940" s="0" t="str">
        <f aca="false">INDEX(customer_churn_dataset!$V$2:$V$1501,MATCH($A941,customer_churn_dataset!$A$2:$A$1501,0))</f>
        <v>High Risk</v>
      </c>
    </row>
    <row r="941" customFormat="false" ht="12.8" hidden="true" customHeight="false" outlineLevel="0" collapsed="false">
      <c r="A941" s="22" t="str">
        <f aca="false">customer_churn_dataset!A1299</f>
        <v>CUST100420</v>
      </c>
      <c r="B941" s="22" t="str">
        <f aca="false">customer_churn_dataset!B1299</f>
        <v>Standard</v>
      </c>
      <c r="C941" s="22" t="str">
        <f aca="false">customer_churn_dataset!C1299</f>
        <v>One year</v>
      </c>
      <c r="D941" s="0" t="n">
        <f aca="false">INDEX(customer_churn_dataset!$E$2:$E$1501,MATCH($A942,customer_churn_dataset!$A$2:$A$1501,0))</f>
        <v>23</v>
      </c>
      <c r="E941" s="0" t="n">
        <f aca="false">INDEX(customer_churn_dataset!$I$2:$I$1501,MATCH($A942,customer_churn_dataset!$A$2:$A$1501,0))</f>
        <v>47.3</v>
      </c>
      <c r="F941" s="0" t="n">
        <f aca="false">INDEX(customer_churn_dataset!$L$2:$L$1501,MATCH($A942,customer_churn_dataset!$A$2:$A$1501,0))</f>
        <v>1</v>
      </c>
      <c r="G941" s="0" t="str">
        <f aca="false">IF(INDEX(customer_churn_dataset!$M$2:$M$1501,MATCH($A942,customer_churn_dataset!$A$2:$A$1501,0))=1,"Yes","No")</f>
        <v>No</v>
      </c>
      <c r="H941" s="0" t="n">
        <f aca="false">INDEX(customer_churn_dataset!$N$2:$N$1501,MATCH($A942,customer_churn_dataset!$A$2:$A$1501,0))</f>
        <v>271.17</v>
      </c>
      <c r="I941" s="0" t="n">
        <f aca="false">INDEX(customer_churn_dataset!$O$2:$O$1501,MATCH($A942,customer_churn_dataset!$A$2:$A$1501,0))</f>
        <v>0</v>
      </c>
      <c r="J941" s="0" t="n">
        <f aca="false">INDEX(customer_churn_dataset!$T$2:$T$1501,MATCH($A942,customer_churn_dataset!$A$2:$A$1501,0))</f>
        <v>3</v>
      </c>
      <c r="K941" s="0" t="str">
        <f aca="false">INDEX(customer_churn_dataset!$V$2:$V$1501,MATCH($A942,customer_churn_dataset!$A$2:$A$1501,0))</f>
        <v>Medium Risk</v>
      </c>
    </row>
    <row r="942" customFormat="false" ht="12.8" hidden="true" customHeight="false" outlineLevel="0" collapsed="false">
      <c r="A942" s="22" t="str">
        <f aca="false">customer_churn_dataset!A1302</f>
        <v>CUST100866</v>
      </c>
      <c r="B942" s="22" t="str">
        <f aca="false">customer_churn_dataset!B1302</f>
        <v>Basic</v>
      </c>
      <c r="C942" s="22" t="str">
        <f aca="false">customer_churn_dataset!C1302</f>
        <v>Month-to-month</v>
      </c>
      <c r="D942" s="0" t="n">
        <f aca="false">INDEX(customer_churn_dataset!$E$2:$E$1501,MATCH($A943,customer_churn_dataset!$A$2:$A$1501,0))</f>
        <v>3</v>
      </c>
      <c r="E942" s="0" t="n">
        <f aca="false">INDEX(customer_churn_dataset!$I$2:$I$1501,MATCH($A943,customer_churn_dataset!$A$2:$A$1501,0))</f>
        <v>70</v>
      </c>
      <c r="F942" s="0" t="n">
        <f aca="false">INDEX(customer_churn_dataset!$L$2:$L$1501,MATCH($A943,customer_churn_dataset!$A$2:$A$1501,0))</f>
        <v>2</v>
      </c>
      <c r="G942" s="0" t="str">
        <f aca="false">IF(INDEX(customer_churn_dataset!$M$2:$M$1501,MATCH($A943,customer_churn_dataset!$A$2:$A$1501,0))=1,"Yes","No")</f>
        <v>No</v>
      </c>
      <c r="H942" s="0" t="n">
        <f aca="false">INDEX(customer_churn_dataset!$N$2:$N$1501,MATCH($A943,customer_churn_dataset!$A$2:$A$1501,0))</f>
        <v>60.21</v>
      </c>
      <c r="I942" s="0" t="n">
        <f aca="false">INDEX(customer_churn_dataset!$O$2:$O$1501,MATCH($A943,customer_churn_dataset!$A$2:$A$1501,0))</f>
        <v>0</v>
      </c>
      <c r="J942" s="0" t="n">
        <f aca="false">INDEX(customer_churn_dataset!$T$2:$T$1501,MATCH($A943,customer_churn_dataset!$A$2:$A$1501,0))</f>
        <v>4</v>
      </c>
      <c r="K942" s="0" t="str">
        <f aca="false">INDEX(customer_churn_dataset!$V$2:$V$1501,MATCH($A943,customer_churn_dataset!$A$2:$A$1501,0))</f>
        <v>Medium Risk</v>
      </c>
    </row>
    <row r="943" customFormat="false" ht="12.8" hidden="true" customHeight="false" outlineLevel="0" collapsed="false">
      <c r="A943" s="22" t="str">
        <f aca="false">customer_churn_dataset!A1306</f>
        <v>CUST100624</v>
      </c>
      <c r="B943" s="22" t="str">
        <f aca="false">customer_churn_dataset!B1306</f>
        <v>Standard</v>
      </c>
      <c r="C943" s="22" t="str">
        <f aca="false">customer_churn_dataset!C1306</f>
        <v>Month-to-month</v>
      </c>
      <c r="D943" s="0" t="n">
        <f aca="false">INDEX(customer_churn_dataset!$E$2:$E$1501,MATCH($A944,customer_churn_dataset!$A$2:$A$1501,0))</f>
        <v>44</v>
      </c>
      <c r="E943" s="0" t="n">
        <f aca="false">INDEX(customer_churn_dataset!$I$2:$I$1501,MATCH($A944,customer_churn_dataset!$A$2:$A$1501,0))</f>
        <v>42.2</v>
      </c>
      <c r="F943" s="0" t="n">
        <f aca="false">INDEX(customer_churn_dataset!$L$2:$L$1501,MATCH($A944,customer_churn_dataset!$A$2:$A$1501,0))</f>
        <v>2</v>
      </c>
      <c r="G943" s="0" t="str">
        <f aca="false">IF(INDEX(customer_churn_dataset!$M$2:$M$1501,MATCH($A944,customer_churn_dataset!$A$2:$A$1501,0))=1,"Yes","No")</f>
        <v>No</v>
      </c>
      <c r="H943" s="0" t="n">
        <f aca="false">INDEX(customer_churn_dataset!$N$2:$N$1501,MATCH($A944,customer_churn_dataset!$A$2:$A$1501,0))</f>
        <v>1784.2</v>
      </c>
      <c r="I943" s="0" t="n">
        <f aca="false">INDEX(customer_churn_dataset!$O$2:$O$1501,MATCH($A944,customer_churn_dataset!$A$2:$A$1501,0))</f>
        <v>0</v>
      </c>
      <c r="J943" s="0" t="n">
        <f aca="false">INDEX(customer_churn_dataset!$T$2:$T$1501,MATCH($A944,customer_churn_dataset!$A$2:$A$1501,0))</f>
        <v>4</v>
      </c>
      <c r="K943" s="0" t="str">
        <f aca="false">INDEX(customer_churn_dataset!$V$2:$V$1501,MATCH($A944,customer_churn_dataset!$A$2:$A$1501,0))</f>
        <v>Medium Risk</v>
      </c>
    </row>
    <row r="944" customFormat="false" ht="12.8" hidden="true" customHeight="false" outlineLevel="0" collapsed="false">
      <c r="A944" s="22" t="str">
        <f aca="false">customer_churn_dataset!A1327</f>
        <v>CUST101372</v>
      </c>
      <c r="B944" s="22" t="str">
        <f aca="false">customer_churn_dataset!B1327</f>
        <v>Premium</v>
      </c>
      <c r="C944" s="22" t="str">
        <f aca="false">customer_churn_dataset!C1327</f>
        <v>Month-to-month</v>
      </c>
      <c r="D944" s="0" t="n">
        <f aca="false">INDEX(customer_churn_dataset!$E$2:$E$1501,MATCH($A945,customer_churn_dataset!$A$2:$A$1501,0))</f>
        <v>9</v>
      </c>
      <c r="E944" s="0" t="n">
        <f aca="false">INDEX(customer_churn_dataset!$I$2:$I$1501,MATCH($A945,customer_churn_dataset!$A$2:$A$1501,0))</f>
        <v>63</v>
      </c>
      <c r="F944" s="0" t="n">
        <f aca="false">INDEX(customer_churn_dataset!$L$2:$L$1501,MATCH($A945,customer_churn_dataset!$A$2:$A$1501,0))</f>
        <v>1</v>
      </c>
      <c r="G944" s="0" t="str">
        <f aca="false">IF(INDEX(customer_churn_dataset!$M$2:$M$1501,MATCH($A945,customer_churn_dataset!$A$2:$A$1501,0))=1,"Yes","No")</f>
        <v>Yes</v>
      </c>
      <c r="H944" s="0" t="n">
        <f aca="false">INDEX(customer_churn_dataset!$N$2:$N$1501,MATCH($A945,customer_churn_dataset!$A$2:$A$1501,0))</f>
        <v>184.41</v>
      </c>
      <c r="I944" s="0" t="n">
        <f aca="false">INDEX(customer_churn_dataset!$O$2:$O$1501,MATCH($A945,customer_churn_dataset!$A$2:$A$1501,0))</f>
        <v>0</v>
      </c>
      <c r="J944" s="0" t="n">
        <f aca="false">INDEX(customer_churn_dataset!$T$2:$T$1501,MATCH($A945,customer_churn_dataset!$A$2:$A$1501,0))</f>
        <v>5</v>
      </c>
      <c r="K944" s="0" t="str">
        <f aca="false">INDEX(customer_churn_dataset!$V$2:$V$1501,MATCH($A945,customer_churn_dataset!$A$2:$A$1501,0))</f>
        <v>Medium Risk</v>
      </c>
    </row>
    <row r="945" customFormat="false" ht="12.8" hidden="true" customHeight="false" outlineLevel="0" collapsed="false">
      <c r="A945" s="22" t="str">
        <f aca="false">customer_churn_dataset!A1334</f>
        <v>CUST101213</v>
      </c>
      <c r="B945" s="22" t="str">
        <f aca="false">customer_churn_dataset!B1334</f>
        <v>Standard</v>
      </c>
      <c r="C945" s="22" t="str">
        <f aca="false">customer_churn_dataset!C1334</f>
        <v>One year</v>
      </c>
      <c r="D945" s="0" t="n">
        <f aca="false">INDEX(customer_churn_dataset!$E$2:$E$1501,MATCH($A946,customer_churn_dataset!$A$2:$A$1501,0))</f>
        <v>45</v>
      </c>
      <c r="E945" s="0" t="n">
        <f aca="false">INDEX(customer_churn_dataset!$I$2:$I$1501,MATCH($A946,customer_churn_dataset!$A$2:$A$1501,0))</f>
        <v>56.2</v>
      </c>
      <c r="F945" s="0" t="n">
        <f aca="false">INDEX(customer_churn_dataset!$L$2:$L$1501,MATCH($A946,customer_churn_dataset!$A$2:$A$1501,0))</f>
        <v>1</v>
      </c>
      <c r="G945" s="0" t="str">
        <f aca="false">IF(INDEX(customer_churn_dataset!$M$2:$M$1501,MATCH($A946,customer_churn_dataset!$A$2:$A$1501,0))=1,"Yes","No")</f>
        <v>No</v>
      </c>
      <c r="H945" s="0" t="n">
        <f aca="false">INDEX(customer_churn_dataset!$N$2:$N$1501,MATCH($A946,customer_churn_dataset!$A$2:$A$1501,0))</f>
        <v>1796.4</v>
      </c>
      <c r="I945" s="0" t="n">
        <f aca="false">INDEX(customer_churn_dataset!$O$2:$O$1501,MATCH($A946,customer_churn_dataset!$A$2:$A$1501,0))</f>
        <v>0</v>
      </c>
      <c r="J945" s="0" t="n">
        <f aca="false">INDEX(customer_churn_dataset!$T$2:$T$1501,MATCH($A946,customer_churn_dataset!$A$2:$A$1501,0))</f>
        <v>1</v>
      </c>
      <c r="K945" s="0" t="str">
        <f aca="false">INDEX(customer_churn_dataset!$V$2:$V$1501,MATCH($A946,customer_churn_dataset!$A$2:$A$1501,0))</f>
        <v>Low Risk</v>
      </c>
    </row>
    <row r="946" customFormat="false" ht="12.8" hidden="true" customHeight="false" outlineLevel="0" collapsed="false">
      <c r="A946" s="22" t="str">
        <f aca="false">customer_churn_dataset!A1335</f>
        <v>CUST101171</v>
      </c>
      <c r="B946" s="22" t="str">
        <f aca="false">customer_churn_dataset!B1335</f>
        <v>Premium</v>
      </c>
      <c r="C946" s="22" t="str">
        <f aca="false">customer_churn_dataset!C1335</f>
        <v>One year</v>
      </c>
      <c r="D946" s="0" t="n">
        <f aca="false">INDEX(customer_churn_dataset!$E$2:$E$1501,MATCH($A947,customer_churn_dataset!$A$2:$A$1501,0))</f>
        <v>8</v>
      </c>
      <c r="E946" s="0" t="n">
        <f aca="false">INDEX(customer_churn_dataset!$I$2:$I$1501,MATCH($A947,customer_churn_dataset!$A$2:$A$1501,0))</f>
        <v>74.3</v>
      </c>
      <c r="F946" s="0" t="n">
        <f aca="false">INDEX(customer_churn_dataset!$L$2:$L$1501,MATCH($A947,customer_churn_dataset!$A$2:$A$1501,0))</f>
        <v>1</v>
      </c>
      <c r="G946" s="0" t="str">
        <f aca="false">IF(INDEX(customer_churn_dataset!$M$2:$M$1501,MATCH($A947,customer_churn_dataset!$A$2:$A$1501,0))=1,"Yes","No")</f>
        <v>No</v>
      </c>
      <c r="H946" s="0" t="n">
        <f aca="false">INDEX(customer_churn_dataset!$N$2:$N$1501,MATCH($A947,customer_churn_dataset!$A$2:$A$1501,0))</f>
        <v>309.92</v>
      </c>
      <c r="I946" s="0" t="n">
        <f aca="false">INDEX(customer_churn_dataset!$O$2:$O$1501,MATCH($A947,customer_churn_dataset!$A$2:$A$1501,0))</f>
        <v>0</v>
      </c>
      <c r="J946" s="0" t="n">
        <f aca="false">INDEX(customer_churn_dataset!$T$2:$T$1501,MATCH($A947,customer_churn_dataset!$A$2:$A$1501,0))</f>
        <v>2</v>
      </c>
      <c r="K946" s="0" t="str">
        <f aca="false">INDEX(customer_churn_dataset!$V$2:$V$1501,MATCH($A947,customer_churn_dataset!$A$2:$A$1501,0))</f>
        <v>Low Risk</v>
      </c>
    </row>
    <row r="947" customFormat="false" ht="12.8" hidden="true" customHeight="false" outlineLevel="0" collapsed="false">
      <c r="A947" s="22" t="str">
        <f aca="false">customer_churn_dataset!A1336</f>
        <v>CUST100411</v>
      </c>
      <c r="B947" s="22" t="str">
        <f aca="false">customer_churn_dataset!B1336</f>
        <v>Premium</v>
      </c>
      <c r="C947" s="22" t="str">
        <f aca="false">customer_churn_dataset!C1336</f>
        <v>One year</v>
      </c>
      <c r="D947" s="0" t="n">
        <f aca="false">INDEX(customer_churn_dataset!$E$2:$E$1501,MATCH($A948,customer_churn_dataset!$A$2:$A$1501,0))</f>
        <v>19</v>
      </c>
      <c r="E947" s="0" t="n">
        <f aca="false">INDEX(customer_churn_dataset!$I$2:$I$1501,MATCH($A948,customer_churn_dataset!$A$2:$A$1501,0))</f>
        <v>74.8</v>
      </c>
      <c r="F947" s="0" t="n">
        <f aca="false">INDEX(customer_churn_dataset!$L$2:$L$1501,MATCH($A948,customer_churn_dataset!$A$2:$A$1501,0))</f>
        <v>1</v>
      </c>
      <c r="G947" s="0" t="str">
        <f aca="false">IF(INDEX(customer_churn_dataset!$M$2:$M$1501,MATCH($A948,customer_churn_dataset!$A$2:$A$1501,0))=1,"Yes","No")</f>
        <v>No</v>
      </c>
      <c r="H947" s="0" t="n">
        <f aca="false">INDEX(customer_churn_dataset!$N$2:$N$1501,MATCH($A948,customer_churn_dataset!$A$2:$A$1501,0))</f>
        <v>384.18</v>
      </c>
      <c r="I947" s="0" t="n">
        <f aca="false">INDEX(customer_churn_dataset!$O$2:$O$1501,MATCH($A948,customer_churn_dataset!$A$2:$A$1501,0))</f>
        <v>0</v>
      </c>
      <c r="J947" s="0" t="n">
        <f aca="false">INDEX(customer_churn_dataset!$T$2:$T$1501,MATCH($A948,customer_churn_dataset!$A$2:$A$1501,0))</f>
        <v>2</v>
      </c>
      <c r="K947" s="0" t="str">
        <f aca="false">INDEX(customer_churn_dataset!$V$2:$V$1501,MATCH($A948,customer_churn_dataset!$A$2:$A$1501,0))</f>
        <v>Low Risk</v>
      </c>
    </row>
    <row r="948" customFormat="false" ht="12.8" hidden="true" customHeight="false" outlineLevel="0" collapsed="false">
      <c r="A948" s="22" t="str">
        <f aca="false">customer_churn_dataset!A1337</f>
        <v>CUST100993</v>
      </c>
      <c r="B948" s="22" t="str">
        <f aca="false">customer_churn_dataset!B1337</f>
        <v>Standard</v>
      </c>
      <c r="C948" s="22" t="str">
        <f aca="false">customer_churn_dataset!C1337</f>
        <v>Month-to-month</v>
      </c>
      <c r="D948" s="0" t="n">
        <f aca="false">INDEX(customer_churn_dataset!$E$2:$E$1501,MATCH($A949,customer_churn_dataset!$A$2:$A$1501,0))</f>
        <v>3</v>
      </c>
      <c r="E948" s="0" t="n">
        <f aca="false">INDEX(customer_churn_dataset!$I$2:$I$1501,MATCH($A949,customer_churn_dataset!$A$2:$A$1501,0))</f>
        <v>49.9</v>
      </c>
      <c r="F948" s="0" t="n">
        <f aca="false">INDEX(customer_churn_dataset!$L$2:$L$1501,MATCH($A949,customer_churn_dataset!$A$2:$A$1501,0))</f>
        <v>1</v>
      </c>
      <c r="G948" s="0" t="str">
        <f aca="false">IF(INDEX(customer_churn_dataset!$M$2:$M$1501,MATCH($A949,customer_churn_dataset!$A$2:$A$1501,0))=1,"Yes","No")</f>
        <v>No</v>
      </c>
      <c r="H948" s="0" t="n">
        <f aca="false">INDEX(customer_churn_dataset!$N$2:$N$1501,MATCH($A949,customer_churn_dataset!$A$2:$A$1501,0))</f>
        <v>31.26</v>
      </c>
      <c r="I948" s="0" t="n">
        <f aca="false">INDEX(customer_churn_dataset!$O$2:$O$1501,MATCH($A949,customer_churn_dataset!$A$2:$A$1501,0))</f>
        <v>0</v>
      </c>
      <c r="J948" s="0" t="n">
        <f aca="false">INDEX(customer_churn_dataset!$T$2:$T$1501,MATCH($A949,customer_churn_dataset!$A$2:$A$1501,0))</f>
        <v>4</v>
      </c>
      <c r="K948" s="0" t="str">
        <f aca="false">INDEX(customer_churn_dataset!$V$2:$V$1501,MATCH($A949,customer_churn_dataset!$A$2:$A$1501,0))</f>
        <v>Medium Risk</v>
      </c>
    </row>
    <row r="949" customFormat="false" ht="12.8" hidden="true" customHeight="false" outlineLevel="0" collapsed="false">
      <c r="A949" s="22" t="str">
        <f aca="false">customer_churn_dataset!A1342</f>
        <v>CUST101036</v>
      </c>
      <c r="B949" s="22" t="str">
        <f aca="false">customer_churn_dataset!B1342</f>
        <v>Basic</v>
      </c>
      <c r="C949" s="22" t="str">
        <f aca="false">customer_churn_dataset!C1342</f>
        <v>Month-to-month</v>
      </c>
      <c r="D949" s="0" t="n">
        <f aca="false">INDEX(customer_churn_dataset!$E$2:$E$1501,MATCH($A950,customer_churn_dataset!$A$2:$A$1501,0))</f>
        <v>0</v>
      </c>
      <c r="E949" s="0" t="n">
        <f aca="false">INDEX(customer_churn_dataset!$I$2:$I$1501,MATCH($A950,customer_churn_dataset!$A$2:$A$1501,0))</f>
        <v>28.7</v>
      </c>
      <c r="F949" s="0" t="n">
        <f aca="false">INDEX(customer_churn_dataset!$L$2:$L$1501,MATCH($A950,customer_churn_dataset!$A$2:$A$1501,0))</f>
        <v>0</v>
      </c>
      <c r="G949" s="0" t="str">
        <f aca="false">IF(INDEX(customer_churn_dataset!$M$2:$M$1501,MATCH($A950,customer_churn_dataset!$A$2:$A$1501,0))=1,"Yes","No")</f>
        <v>No</v>
      </c>
      <c r="H949" s="0" t="n">
        <f aca="false">INDEX(customer_churn_dataset!$N$2:$N$1501,MATCH($A950,customer_churn_dataset!$A$2:$A$1501,0))</f>
        <v>0</v>
      </c>
      <c r="I949" s="0" t="n">
        <f aca="false">INDEX(customer_churn_dataset!$O$2:$O$1501,MATCH($A950,customer_churn_dataset!$A$2:$A$1501,0))</f>
        <v>0</v>
      </c>
      <c r="J949" s="0" t="n">
        <f aca="false">INDEX(customer_churn_dataset!$T$2:$T$1501,MATCH($A950,customer_churn_dataset!$A$2:$A$1501,0))</f>
        <v>5</v>
      </c>
      <c r="K949" s="0" t="str">
        <f aca="false">INDEX(customer_churn_dataset!$V$2:$V$1501,MATCH($A950,customer_churn_dataset!$A$2:$A$1501,0))</f>
        <v>Medium Risk</v>
      </c>
    </row>
    <row r="950" customFormat="false" ht="12.8" hidden="true" customHeight="false" outlineLevel="0" collapsed="false">
      <c r="A950" s="22" t="str">
        <f aca="false">customer_churn_dataset!A1347</f>
        <v>CUST100780</v>
      </c>
      <c r="B950" s="22" t="str">
        <f aca="false">customer_churn_dataset!B1347</f>
        <v>Standard</v>
      </c>
      <c r="C950" s="22" t="str">
        <f aca="false">customer_churn_dataset!C1347</f>
        <v>Month-to-month</v>
      </c>
      <c r="D950" s="0" t="n">
        <f aca="false">INDEX(customer_churn_dataset!$E$2:$E$1501,MATCH($A951,customer_churn_dataset!$A$2:$A$1501,0))</f>
        <v>17</v>
      </c>
      <c r="E950" s="0" t="n">
        <f aca="false">INDEX(customer_churn_dataset!$I$2:$I$1501,MATCH($A951,customer_churn_dataset!$A$2:$A$1501,0))</f>
        <v>23.2</v>
      </c>
      <c r="F950" s="0" t="n">
        <f aca="false">INDEX(customer_churn_dataset!$L$2:$L$1501,MATCH($A951,customer_churn_dataset!$A$2:$A$1501,0))</f>
        <v>6</v>
      </c>
      <c r="G950" s="0" t="str">
        <f aca="false">IF(INDEX(customer_churn_dataset!$M$2:$M$1501,MATCH($A951,customer_churn_dataset!$A$2:$A$1501,0))=1,"Yes","No")</f>
        <v>No</v>
      </c>
      <c r="H950" s="0" t="n">
        <f aca="false">INDEX(customer_churn_dataset!$N$2:$N$1501,MATCH($A951,customer_churn_dataset!$A$2:$A$1501,0))</f>
        <v>689.01</v>
      </c>
      <c r="I950" s="0" t="n">
        <f aca="false">INDEX(customer_churn_dataset!$O$2:$O$1501,MATCH($A951,customer_churn_dataset!$A$2:$A$1501,0))</f>
        <v>1</v>
      </c>
      <c r="J950" s="0" t="n">
        <f aca="false">INDEX(customer_churn_dataset!$T$2:$T$1501,MATCH($A951,customer_churn_dataset!$A$2:$A$1501,0))</f>
        <v>5</v>
      </c>
      <c r="K950" s="0" t="str">
        <f aca="false">INDEX(customer_churn_dataset!$V$2:$V$1501,MATCH($A951,customer_churn_dataset!$A$2:$A$1501,0))</f>
        <v>Medium Risk</v>
      </c>
    </row>
    <row r="951" customFormat="false" ht="12.8" hidden="true" customHeight="false" outlineLevel="0" collapsed="false">
      <c r="A951" s="22" t="str">
        <f aca="false">customer_churn_dataset!A1367</f>
        <v>CUST100192</v>
      </c>
      <c r="B951" s="22" t="str">
        <f aca="false">customer_churn_dataset!B1367</f>
        <v>Premium</v>
      </c>
      <c r="C951" s="22" t="str">
        <f aca="false">customer_churn_dataset!C1367</f>
        <v>Month-to-month</v>
      </c>
      <c r="D951" s="0" t="n">
        <f aca="false">INDEX(customer_churn_dataset!$E$2:$E$1501,MATCH($A952,customer_churn_dataset!$A$2:$A$1501,0))</f>
        <v>15</v>
      </c>
      <c r="E951" s="0" t="n">
        <f aca="false">INDEX(customer_churn_dataset!$I$2:$I$1501,MATCH($A952,customer_churn_dataset!$A$2:$A$1501,0))</f>
        <v>96</v>
      </c>
      <c r="F951" s="0" t="n">
        <f aca="false">INDEX(customer_churn_dataset!$L$2:$L$1501,MATCH($A952,customer_churn_dataset!$A$2:$A$1501,0))</f>
        <v>0</v>
      </c>
      <c r="G951" s="0" t="str">
        <f aca="false">IF(INDEX(customer_churn_dataset!$M$2:$M$1501,MATCH($A952,customer_churn_dataset!$A$2:$A$1501,0))=1,"Yes","No")</f>
        <v>No</v>
      </c>
      <c r="H951" s="0" t="n">
        <f aca="false">INDEX(customer_churn_dataset!$N$2:$N$1501,MATCH($A952,customer_churn_dataset!$A$2:$A$1501,0))</f>
        <v>585.3</v>
      </c>
      <c r="I951" s="0" t="n">
        <f aca="false">INDEX(customer_churn_dataset!$O$2:$O$1501,MATCH($A952,customer_churn_dataset!$A$2:$A$1501,0))</f>
        <v>0</v>
      </c>
      <c r="J951" s="0" t="n">
        <f aca="false">INDEX(customer_churn_dataset!$T$2:$T$1501,MATCH($A952,customer_churn_dataset!$A$2:$A$1501,0))</f>
        <v>2</v>
      </c>
      <c r="K951" s="0" t="str">
        <f aca="false">INDEX(customer_churn_dataset!$V$2:$V$1501,MATCH($A952,customer_churn_dataset!$A$2:$A$1501,0))</f>
        <v>Low Risk</v>
      </c>
    </row>
    <row r="952" customFormat="false" ht="12.8" hidden="true" customHeight="false" outlineLevel="0" collapsed="false">
      <c r="A952" s="22" t="str">
        <f aca="false">customer_churn_dataset!A1368</f>
        <v>CUST100820</v>
      </c>
      <c r="B952" s="22" t="str">
        <f aca="false">customer_churn_dataset!B1368</f>
        <v>Premium</v>
      </c>
      <c r="C952" s="22" t="str">
        <f aca="false">customer_churn_dataset!C1368</f>
        <v>Month-to-month</v>
      </c>
      <c r="D952" s="0" t="n">
        <f aca="false">INDEX(customer_churn_dataset!$E$2:$E$1501,MATCH($A953,customer_churn_dataset!$A$2:$A$1501,0))</f>
        <v>21</v>
      </c>
      <c r="E952" s="0" t="n">
        <f aca="false">INDEX(customer_churn_dataset!$I$2:$I$1501,MATCH($A953,customer_churn_dataset!$A$2:$A$1501,0))</f>
        <v>10.2</v>
      </c>
      <c r="F952" s="0" t="n">
        <f aca="false">INDEX(customer_churn_dataset!$L$2:$L$1501,MATCH($A953,customer_churn_dataset!$A$2:$A$1501,0))</f>
        <v>2</v>
      </c>
      <c r="G952" s="0" t="str">
        <f aca="false">IF(INDEX(customer_churn_dataset!$M$2:$M$1501,MATCH($A953,customer_churn_dataset!$A$2:$A$1501,0))=1,"Yes","No")</f>
        <v>Yes</v>
      </c>
      <c r="H952" s="0" t="n">
        <f aca="false">INDEX(customer_churn_dataset!$N$2:$N$1501,MATCH($A953,customer_churn_dataset!$A$2:$A$1501,0))</f>
        <v>858.48</v>
      </c>
      <c r="I952" s="0" t="n">
        <f aca="false">INDEX(customer_churn_dataset!$O$2:$O$1501,MATCH($A953,customer_churn_dataset!$A$2:$A$1501,0))</f>
        <v>0</v>
      </c>
      <c r="J952" s="0" t="n">
        <f aca="false">INDEX(customer_churn_dataset!$T$2:$T$1501,MATCH($A953,customer_churn_dataset!$A$2:$A$1501,0))</f>
        <v>6</v>
      </c>
      <c r="K952" s="0" t="str">
        <f aca="false">INDEX(customer_churn_dataset!$V$2:$V$1501,MATCH($A953,customer_churn_dataset!$A$2:$A$1501,0))</f>
        <v>High Risk</v>
      </c>
    </row>
    <row r="953" customFormat="false" ht="12.8" hidden="true" customHeight="false" outlineLevel="0" collapsed="false">
      <c r="A953" s="22" t="str">
        <f aca="false">customer_churn_dataset!A1371</f>
        <v>CUST101305</v>
      </c>
      <c r="B953" s="22" t="str">
        <f aca="false">customer_churn_dataset!B1371</f>
        <v>Premium</v>
      </c>
      <c r="C953" s="22" t="str">
        <f aca="false">customer_churn_dataset!C1371</f>
        <v>Two year</v>
      </c>
      <c r="D953" s="0" t="n">
        <f aca="false">INDEX(customer_churn_dataset!$E$2:$E$1501,MATCH($A954,customer_churn_dataset!$A$2:$A$1501,0))</f>
        <v>30</v>
      </c>
      <c r="E953" s="0" t="n">
        <f aca="false">INDEX(customer_churn_dataset!$I$2:$I$1501,MATCH($A954,customer_churn_dataset!$A$2:$A$1501,0))</f>
        <v>31.9</v>
      </c>
      <c r="F953" s="0" t="n">
        <f aca="false">INDEX(customer_churn_dataset!$L$2:$L$1501,MATCH($A954,customer_churn_dataset!$A$2:$A$1501,0))</f>
        <v>1</v>
      </c>
      <c r="G953" s="0" t="str">
        <f aca="false">IF(INDEX(customer_churn_dataset!$M$2:$M$1501,MATCH($A954,customer_churn_dataset!$A$2:$A$1501,0))=1,"Yes","No")</f>
        <v>Yes</v>
      </c>
      <c r="H953" s="0" t="n">
        <f aca="false">INDEX(customer_churn_dataset!$N$2:$N$1501,MATCH($A954,customer_churn_dataset!$A$2:$A$1501,0))</f>
        <v>580.5</v>
      </c>
      <c r="I953" s="0" t="n">
        <f aca="false">INDEX(customer_churn_dataset!$O$2:$O$1501,MATCH($A954,customer_churn_dataset!$A$2:$A$1501,0))</f>
        <v>0</v>
      </c>
      <c r="J953" s="0" t="n">
        <f aca="false">INDEX(customer_churn_dataset!$T$2:$T$1501,MATCH($A954,customer_churn_dataset!$A$2:$A$1501,0))</f>
        <v>6</v>
      </c>
      <c r="K953" s="0" t="str">
        <f aca="false">INDEX(customer_churn_dataset!$V$2:$V$1501,MATCH($A954,customer_churn_dataset!$A$2:$A$1501,0))</f>
        <v>High Risk</v>
      </c>
    </row>
    <row r="954" customFormat="false" ht="12.8" hidden="true" customHeight="false" outlineLevel="0" collapsed="false">
      <c r="A954" s="22" t="str">
        <f aca="false">customer_churn_dataset!A1379</f>
        <v>CUST100828</v>
      </c>
      <c r="B954" s="22" t="str">
        <f aca="false">customer_churn_dataset!B1379</f>
        <v>Standard</v>
      </c>
      <c r="C954" s="22" t="str">
        <f aca="false">customer_churn_dataset!C1379</f>
        <v>One year</v>
      </c>
      <c r="D954" s="0" t="n">
        <f aca="false">INDEX(customer_churn_dataset!$E$2:$E$1501,MATCH($A955,customer_churn_dataset!$A$2:$A$1501,0))</f>
        <v>14</v>
      </c>
      <c r="E954" s="0" t="n">
        <f aca="false">INDEX(customer_churn_dataset!$I$2:$I$1501,MATCH($A955,customer_churn_dataset!$A$2:$A$1501,0))</f>
        <v>48.1</v>
      </c>
      <c r="F954" s="0" t="n">
        <f aca="false">INDEX(customer_churn_dataset!$L$2:$L$1501,MATCH($A955,customer_churn_dataset!$A$2:$A$1501,0))</f>
        <v>0</v>
      </c>
      <c r="G954" s="0" t="str">
        <f aca="false">IF(INDEX(customer_churn_dataset!$M$2:$M$1501,MATCH($A955,customer_churn_dataset!$A$2:$A$1501,0))=1,"Yes","No")</f>
        <v>No</v>
      </c>
      <c r="H954" s="0" t="n">
        <f aca="false">INDEX(customer_churn_dataset!$N$2:$N$1501,MATCH($A955,customer_churn_dataset!$A$2:$A$1501,0))</f>
        <v>129.92</v>
      </c>
      <c r="I954" s="0" t="n">
        <f aca="false">INDEX(customer_churn_dataset!$O$2:$O$1501,MATCH($A955,customer_churn_dataset!$A$2:$A$1501,0))</f>
        <v>1</v>
      </c>
      <c r="J954" s="0" t="n">
        <f aca="false">INDEX(customer_churn_dataset!$T$2:$T$1501,MATCH($A955,customer_churn_dataset!$A$2:$A$1501,0))</f>
        <v>3</v>
      </c>
      <c r="K954" s="0" t="str">
        <f aca="false">INDEX(customer_churn_dataset!$V$2:$V$1501,MATCH($A955,customer_churn_dataset!$A$2:$A$1501,0))</f>
        <v>Medium Risk</v>
      </c>
    </row>
    <row r="955" customFormat="false" ht="12.8" hidden="true" customHeight="false" outlineLevel="0" collapsed="false">
      <c r="A955" s="22" t="str">
        <f aca="false">customer_churn_dataset!A1387</f>
        <v>CUST100098</v>
      </c>
      <c r="B955" s="22" t="str">
        <f aca="false">customer_churn_dataset!B1387</f>
        <v>Basic</v>
      </c>
      <c r="C955" s="22" t="str">
        <f aca="false">customer_churn_dataset!C1387</f>
        <v>Month-to-month</v>
      </c>
      <c r="D955" s="0" t="n">
        <f aca="false">INDEX(customer_churn_dataset!$E$2:$E$1501,MATCH($A956,customer_churn_dataset!$A$2:$A$1501,0))</f>
        <v>0</v>
      </c>
      <c r="E955" s="0" t="n">
        <f aca="false">INDEX(customer_churn_dataset!$I$2:$I$1501,MATCH($A956,customer_churn_dataset!$A$2:$A$1501,0))</f>
        <v>97.9</v>
      </c>
      <c r="F955" s="0" t="n">
        <f aca="false">INDEX(customer_churn_dataset!$L$2:$L$1501,MATCH($A956,customer_churn_dataset!$A$2:$A$1501,0))</f>
        <v>0</v>
      </c>
      <c r="G955" s="0" t="str">
        <f aca="false">IF(INDEX(customer_churn_dataset!$M$2:$M$1501,MATCH($A956,customer_churn_dataset!$A$2:$A$1501,0))=1,"Yes","No")</f>
        <v>No</v>
      </c>
      <c r="H955" s="0" t="n">
        <f aca="false">INDEX(customer_churn_dataset!$N$2:$N$1501,MATCH($A956,customer_churn_dataset!$A$2:$A$1501,0))</f>
        <v>0</v>
      </c>
      <c r="I955" s="0" t="n">
        <f aca="false">INDEX(customer_churn_dataset!$O$2:$O$1501,MATCH($A956,customer_churn_dataset!$A$2:$A$1501,0))</f>
        <v>0</v>
      </c>
      <c r="J955" s="0" t="n">
        <f aca="false">INDEX(customer_churn_dataset!$T$2:$T$1501,MATCH($A956,customer_churn_dataset!$A$2:$A$1501,0))</f>
        <v>2</v>
      </c>
      <c r="K955" s="0" t="str">
        <f aca="false">INDEX(customer_churn_dataset!$V$2:$V$1501,MATCH($A956,customer_churn_dataset!$A$2:$A$1501,0))</f>
        <v>Low Risk</v>
      </c>
    </row>
    <row r="956" customFormat="false" ht="12.8" hidden="true" customHeight="false" outlineLevel="0" collapsed="false">
      <c r="A956" s="22" t="str">
        <f aca="false">customer_churn_dataset!A1388</f>
        <v>CUST100372</v>
      </c>
      <c r="B956" s="22" t="str">
        <f aca="false">customer_churn_dataset!B1388</f>
        <v>Basic</v>
      </c>
      <c r="C956" s="22" t="str">
        <f aca="false">customer_churn_dataset!C1388</f>
        <v>One year</v>
      </c>
      <c r="D956" s="0" t="n">
        <f aca="false">INDEX(customer_churn_dataset!$E$2:$E$1501,MATCH($A957,customer_churn_dataset!$A$2:$A$1501,0))</f>
        <v>24</v>
      </c>
      <c r="E956" s="0" t="n">
        <f aca="false">INDEX(customer_churn_dataset!$I$2:$I$1501,MATCH($A957,customer_churn_dataset!$A$2:$A$1501,0))</f>
        <v>76.7</v>
      </c>
      <c r="F956" s="0" t="n">
        <f aca="false">INDEX(customer_churn_dataset!$L$2:$L$1501,MATCH($A957,customer_churn_dataset!$A$2:$A$1501,0))</f>
        <v>0</v>
      </c>
      <c r="G956" s="0" t="str">
        <f aca="false">IF(INDEX(customer_churn_dataset!$M$2:$M$1501,MATCH($A957,customer_churn_dataset!$A$2:$A$1501,0))=1,"Yes","No")</f>
        <v>No</v>
      </c>
      <c r="H956" s="0" t="n">
        <f aca="false">INDEX(customer_churn_dataset!$N$2:$N$1501,MATCH($A957,customer_churn_dataset!$A$2:$A$1501,0))</f>
        <v>970.56</v>
      </c>
      <c r="I956" s="0" t="n">
        <f aca="false">INDEX(customer_churn_dataset!$O$2:$O$1501,MATCH($A957,customer_churn_dataset!$A$2:$A$1501,0))</f>
        <v>0</v>
      </c>
      <c r="J956" s="0" t="n">
        <f aca="false">INDEX(customer_churn_dataset!$T$2:$T$1501,MATCH($A957,customer_churn_dataset!$A$2:$A$1501,0))</f>
        <v>2</v>
      </c>
      <c r="K956" s="0" t="str">
        <f aca="false">INDEX(customer_churn_dataset!$V$2:$V$1501,MATCH($A957,customer_churn_dataset!$A$2:$A$1501,0))</f>
        <v>Low Risk</v>
      </c>
    </row>
    <row r="957" customFormat="false" ht="12.8" hidden="true" customHeight="false" outlineLevel="0" collapsed="false">
      <c r="A957" s="22" t="str">
        <f aca="false">customer_churn_dataset!A1389</f>
        <v>CUST100745</v>
      </c>
      <c r="B957" s="22" t="str">
        <f aca="false">customer_churn_dataset!B1389</f>
        <v>Premium</v>
      </c>
      <c r="C957" s="22" t="str">
        <f aca="false">customer_churn_dataset!C1389</f>
        <v>Month-to-month</v>
      </c>
      <c r="D957" s="0" t="n">
        <f aca="false">INDEX(customer_churn_dataset!$E$2:$E$1501,MATCH($A958,customer_churn_dataset!$A$2:$A$1501,0))</f>
        <v>7</v>
      </c>
      <c r="E957" s="0" t="n">
        <f aca="false">INDEX(customer_churn_dataset!$I$2:$I$1501,MATCH($A958,customer_churn_dataset!$A$2:$A$1501,0))</f>
        <v>68.7</v>
      </c>
      <c r="F957" s="0" t="n">
        <f aca="false">INDEX(customer_churn_dataset!$L$2:$L$1501,MATCH($A958,customer_churn_dataset!$A$2:$A$1501,0))</f>
        <v>3</v>
      </c>
      <c r="G957" s="0" t="str">
        <f aca="false">IF(INDEX(customer_churn_dataset!$M$2:$M$1501,MATCH($A958,customer_churn_dataset!$A$2:$A$1501,0))=1,"Yes","No")</f>
        <v>No</v>
      </c>
      <c r="H957" s="0" t="n">
        <f aca="false">INDEX(customer_churn_dataset!$N$2:$N$1501,MATCH($A958,customer_churn_dataset!$A$2:$A$1501,0))</f>
        <v>133.42</v>
      </c>
      <c r="I957" s="0" t="n">
        <f aca="false">INDEX(customer_churn_dataset!$O$2:$O$1501,MATCH($A958,customer_churn_dataset!$A$2:$A$1501,0))</f>
        <v>0</v>
      </c>
      <c r="J957" s="0" t="n">
        <f aca="false">INDEX(customer_churn_dataset!$T$2:$T$1501,MATCH($A958,customer_churn_dataset!$A$2:$A$1501,0))</f>
        <v>4</v>
      </c>
      <c r="K957" s="0" t="str">
        <f aca="false">INDEX(customer_churn_dataset!$V$2:$V$1501,MATCH($A958,customer_churn_dataset!$A$2:$A$1501,0))</f>
        <v>Medium Risk</v>
      </c>
    </row>
    <row r="958" customFormat="false" ht="12.8" hidden="true" customHeight="false" outlineLevel="0" collapsed="false">
      <c r="A958" s="22" t="str">
        <f aca="false">customer_churn_dataset!A1395</f>
        <v>CUST100584</v>
      </c>
      <c r="B958" s="22" t="str">
        <f aca="false">customer_churn_dataset!B1395</f>
        <v>Standard</v>
      </c>
      <c r="C958" s="22" t="str">
        <f aca="false">customer_churn_dataset!C1395</f>
        <v>Month-to-month</v>
      </c>
      <c r="D958" s="0" t="n">
        <f aca="false">INDEX(customer_churn_dataset!$E$2:$E$1501,MATCH($A959,customer_churn_dataset!$A$2:$A$1501,0))</f>
        <v>38</v>
      </c>
      <c r="E958" s="0" t="n">
        <f aca="false">INDEX(customer_churn_dataset!$I$2:$I$1501,MATCH($A959,customer_churn_dataset!$A$2:$A$1501,0))</f>
        <v>33.2</v>
      </c>
      <c r="F958" s="0" t="n">
        <f aca="false">INDEX(customer_churn_dataset!$L$2:$L$1501,MATCH($A959,customer_churn_dataset!$A$2:$A$1501,0))</f>
        <v>1</v>
      </c>
      <c r="G958" s="0" t="str">
        <f aca="false">IF(INDEX(customer_churn_dataset!$M$2:$M$1501,MATCH($A959,customer_churn_dataset!$A$2:$A$1501,0))=1,"Yes","No")</f>
        <v>Yes</v>
      </c>
      <c r="H958" s="0" t="n">
        <f aca="false">INDEX(customer_churn_dataset!$N$2:$N$1501,MATCH($A959,customer_churn_dataset!$A$2:$A$1501,0))</f>
        <v>1498.34</v>
      </c>
      <c r="I958" s="0" t="n">
        <f aca="false">INDEX(customer_churn_dataset!$O$2:$O$1501,MATCH($A959,customer_churn_dataset!$A$2:$A$1501,0))</f>
        <v>0</v>
      </c>
      <c r="J958" s="0" t="n">
        <f aca="false">INDEX(customer_churn_dataset!$T$2:$T$1501,MATCH($A959,customer_churn_dataset!$A$2:$A$1501,0))</f>
        <v>6</v>
      </c>
      <c r="K958" s="0" t="str">
        <f aca="false">INDEX(customer_churn_dataset!$V$2:$V$1501,MATCH($A959,customer_churn_dataset!$A$2:$A$1501,0))</f>
        <v>High Risk</v>
      </c>
    </row>
    <row r="959" customFormat="false" ht="12.8" hidden="true" customHeight="false" outlineLevel="0" collapsed="false">
      <c r="A959" s="22" t="str">
        <f aca="false">customer_churn_dataset!A1400</f>
        <v>CUST100716</v>
      </c>
      <c r="B959" s="22" t="str">
        <f aca="false">customer_churn_dataset!B1400</f>
        <v>Premium</v>
      </c>
      <c r="C959" s="22" t="str">
        <f aca="false">customer_churn_dataset!C1400</f>
        <v>One year</v>
      </c>
      <c r="D959" s="0" t="n">
        <f aca="false">INDEX(customer_churn_dataset!$E$2:$E$1501,MATCH($A960,customer_churn_dataset!$A$2:$A$1501,0))</f>
        <v>0</v>
      </c>
      <c r="E959" s="0" t="n">
        <f aca="false">INDEX(customer_churn_dataset!$I$2:$I$1501,MATCH($A960,customer_churn_dataset!$A$2:$A$1501,0))</f>
        <v>47.1</v>
      </c>
      <c r="F959" s="0" t="n">
        <f aca="false">INDEX(customer_churn_dataset!$L$2:$L$1501,MATCH($A960,customer_churn_dataset!$A$2:$A$1501,0))</f>
        <v>2</v>
      </c>
      <c r="G959" s="0" t="str">
        <f aca="false">IF(INDEX(customer_churn_dataset!$M$2:$M$1501,MATCH($A960,customer_churn_dataset!$A$2:$A$1501,0))=1,"Yes","No")</f>
        <v>No</v>
      </c>
      <c r="H959" s="0" t="n">
        <f aca="false">INDEX(customer_churn_dataset!$N$2:$N$1501,MATCH($A960,customer_churn_dataset!$A$2:$A$1501,0))</f>
        <v>0</v>
      </c>
      <c r="I959" s="0" t="n">
        <f aca="false">INDEX(customer_churn_dataset!$O$2:$O$1501,MATCH($A960,customer_churn_dataset!$A$2:$A$1501,0))</f>
        <v>0</v>
      </c>
      <c r="J959" s="0" t="n">
        <f aca="false">INDEX(customer_churn_dataset!$T$2:$T$1501,MATCH($A960,customer_churn_dataset!$A$2:$A$1501,0))</f>
        <v>3</v>
      </c>
      <c r="K959" s="0" t="str">
        <f aca="false">INDEX(customer_churn_dataset!$V$2:$V$1501,MATCH($A960,customer_churn_dataset!$A$2:$A$1501,0))</f>
        <v>Medium Risk</v>
      </c>
    </row>
    <row r="960" customFormat="false" ht="12.8" hidden="true" customHeight="false" outlineLevel="0" collapsed="false">
      <c r="A960" s="22" t="str">
        <f aca="false">customer_churn_dataset!A1423</f>
        <v>CUST100435</v>
      </c>
      <c r="B960" s="22" t="str">
        <f aca="false">customer_churn_dataset!B1423</f>
        <v>Standard</v>
      </c>
      <c r="C960" s="22" t="str">
        <f aca="false">customer_churn_dataset!C1423</f>
        <v>Two year</v>
      </c>
      <c r="D960" s="0" t="n">
        <f aca="false">INDEX(customer_churn_dataset!$E$2:$E$1501,MATCH($A961,customer_churn_dataset!$A$2:$A$1501,0))</f>
        <v>12</v>
      </c>
      <c r="E960" s="0" t="n">
        <f aca="false">INDEX(customer_churn_dataset!$I$2:$I$1501,MATCH($A961,customer_churn_dataset!$A$2:$A$1501,0))</f>
        <v>16.2</v>
      </c>
      <c r="F960" s="0" t="n">
        <f aca="false">INDEX(customer_churn_dataset!$L$2:$L$1501,MATCH($A961,customer_churn_dataset!$A$2:$A$1501,0))</f>
        <v>2</v>
      </c>
      <c r="G960" s="0" t="str">
        <f aca="false">IF(INDEX(customer_churn_dataset!$M$2:$M$1501,MATCH($A961,customer_churn_dataset!$A$2:$A$1501,0))=1,"Yes","No")</f>
        <v>No</v>
      </c>
      <c r="H960" s="0" t="n">
        <f aca="false">INDEX(customer_churn_dataset!$N$2:$N$1501,MATCH($A961,customer_churn_dataset!$A$2:$A$1501,0))</f>
        <v>105.84</v>
      </c>
      <c r="I960" s="0" t="n">
        <f aca="false">INDEX(customer_churn_dataset!$O$2:$O$1501,MATCH($A961,customer_churn_dataset!$A$2:$A$1501,0))</f>
        <v>0</v>
      </c>
      <c r="J960" s="0" t="n">
        <f aca="false">INDEX(customer_churn_dataset!$T$2:$T$1501,MATCH($A961,customer_churn_dataset!$A$2:$A$1501,0))</f>
        <v>5</v>
      </c>
      <c r="K960" s="0" t="str">
        <f aca="false">INDEX(customer_churn_dataset!$V$2:$V$1501,MATCH($A961,customer_churn_dataset!$A$2:$A$1501,0))</f>
        <v>Medium Risk</v>
      </c>
    </row>
    <row r="961" customFormat="false" ht="12.8" hidden="true" customHeight="false" outlineLevel="0" collapsed="false">
      <c r="A961" s="22" t="str">
        <f aca="false">customer_churn_dataset!A1443</f>
        <v>CUST100190</v>
      </c>
      <c r="B961" s="22" t="str">
        <f aca="false">customer_churn_dataset!B1443</f>
        <v>Basic</v>
      </c>
      <c r="C961" s="22" t="str">
        <f aca="false">customer_churn_dataset!C1443</f>
        <v>Month-to-month</v>
      </c>
      <c r="D961" s="0" t="n">
        <f aca="false">INDEX(customer_churn_dataset!$E$2:$E$1501,MATCH($A962,customer_churn_dataset!$A$2:$A$1501,0))</f>
        <v>10</v>
      </c>
      <c r="E961" s="0" t="n">
        <f aca="false">INDEX(customer_churn_dataset!$I$2:$I$1501,MATCH($A962,customer_churn_dataset!$A$2:$A$1501,0))</f>
        <v>83.7</v>
      </c>
      <c r="F961" s="0" t="n">
        <f aca="false">INDEX(customer_churn_dataset!$L$2:$L$1501,MATCH($A962,customer_churn_dataset!$A$2:$A$1501,0))</f>
        <v>4</v>
      </c>
      <c r="G961" s="0" t="str">
        <f aca="false">IF(INDEX(customer_churn_dataset!$M$2:$M$1501,MATCH($A962,customer_churn_dataset!$A$2:$A$1501,0))=1,"Yes","No")</f>
        <v>No</v>
      </c>
      <c r="H961" s="0" t="n">
        <f aca="false">INDEX(customer_churn_dataset!$N$2:$N$1501,MATCH($A962,customer_churn_dataset!$A$2:$A$1501,0))</f>
        <v>111.9</v>
      </c>
      <c r="I961" s="0" t="n">
        <f aca="false">INDEX(customer_churn_dataset!$O$2:$O$1501,MATCH($A962,customer_churn_dataset!$A$2:$A$1501,0))</f>
        <v>0</v>
      </c>
      <c r="J961" s="0" t="n">
        <f aca="false">INDEX(customer_churn_dataset!$T$2:$T$1501,MATCH($A962,customer_churn_dataset!$A$2:$A$1501,0))</f>
        <v>3</v>
      </c>
      <c r="K961" s="0" t="str">
        <f aca="false">INDEX(customer_churn_dataset!$V$2:$V$1501,MATCH($A962,customer_churn_dataset!$A$2:$A$1501,0))</f>
        <v>Medium Risk</v>
      </c>
    </row>
    <row r="962" customFormat="false" ht="12.8" hidden="true" customHeight="false" outlineLevel="0" collapsed="false">
      <c r="A962" s="22" t="str">
        <f aca="false">customer_churn_dataset!A1457</f>
        <v>CUST101438</v>
      </c>
      <c r="B962" s="22" t="str">
        <f aca="false">customer_churn_dataset!B1457</f>
        <v>Basic</v>
      </c>
      <c r="C962" s="22" t="str">
        <f aca="false">customer_churn_dataset!C1457</f>
        <v>One year</v>
      </c>
      <c r="D962" s="0" t="n">
        <f aca="false">INDEX(customer_churn_dataset!$E$2:$E$1501,MATCH($A963,customer_churn_dataset!$A$2:$A$1501,0))</f>
        <v>72</v>
      </c>
      <c r="E962" s="0" t="n">
        <f aca="false">INDEX(customer_churn_dataset!$I$2:$I$1501,MATCH($A963,customer_churn_dataset!$A$2:$A$1501,0))</f>
        <v>38.9</v>
      </c>
      <c r="F962" s="0" t="n">
        <f aca="false">INDEX(customer_churn_dataset!$L$2:$L$1501,MATCH($A963,customer_churn_dataset!$A$2:$A$1501,0))</f>
        <v>0</v>
      </c>
      <c r="G962" s="0" t="str">
        <f aca="false">IF(INDEX(customer_churn_dataset!$M$2:$M$1501,MATCH($A963,customer_churn_dataset!$A$2:$A$1501,0))=1,"Yes","No")</f>
        <v>No</v>
      </c>
      <c r="H962" s="0" t="n">
        <f aca="false">INDEX(customer_churn_dataset!$N$2:$N$1501,MATCH($A963,customer_churn_dataset!$A$2:$A$1501,0))</f>
        <v>715.68</v>
      </c>
      <c r="I962" s="0" t="n">
        <f aca="false">INDEX(customer_churn_dataset!$O$2:$O$1501,MATCH($A963,customer_churn_dataset!$A$2:$A$1501,0))</f>
        <v>0</v>
      </c>
      <c r="J962" s="0" t="n">
        <f aca="false">INDEX(customer_churn_dataset!$T$2:$T$1501,MATCH($A963,customer_churn_dataset!$A$2:$A$1501,0))</f>
        <v>4</v>
      </c>
      <c r="K962" s="0" t="str">
        <f aca="false">INDEX(customer_churn_dataset!$V$2:$V$1501,MATCH($A963,customer_churn_dataset!$A$2:$A$1501,0))</f>
        <v>Medium Risk</v>
      </c>
    </row>
    <row r="963" customFormat="false" ht="12.8" hidden="true" customHeight="false" outlineLevel="0" collapsed="false">
      <c r="A963" s="22" t="str">
        <f aca="false">customer_churn_dataset!A1463</f>
        <v>CUST101422</v>
      </c>
      <c r="B963" s="22" t="str">
        <f aca="false">customer_churn_dataset!B1463</f>
        <v>Basic</v>
      </c>
      <c r="C963" s="22" t="str">
        <f aca="false">customer_churn_dataset!C1463</f>
        <v>Month-to-month</v>
      </c>
      <c r="D963" s="0" t="n">
        <f aca="false">INDEX(customer_churn_dataset!$E$2:$E$1501,MATCH($A964,customer_churn_dataset!$A$2:$A$1501,0))</f>
        <v>25</v>
      </c>
      <c r="E963" s="0" t="n">
        <f aca="false">INDEX(customer_churn_dataset!$I$2:$I$1501,MATCH($A964,customer_churn_dataset!$A$2:$A$1501,0))</f>
        <v>37.7</v>
      </c>
      <c r="F963" s="0" t="n">
        <f aca="false">INDEX(customer_churn_dataset!$L$2:$L$1501,MATCH($A964,customer_churn_dataset!$A$2:$A$1501,0))</f>
        <v>0</v>
      </c>
      <c r="G963" s="0" t="str">
        <f aca="false">IF(INDEX(customer_churn_dataset!$M$2:$M$1501,MATCH($A964,customer_churn_dataset!$A$2:$A$1501,0))=1,"Yes","No")</f>
        <v>No</v>
      </c>
      <c r="H963" s="0" t="n">
        <f aca="false">INDEX(customer_churn_dataset!$N$2:$N$1501,MATCH($A964,customer_churn_dataset!$A$2:$A$1501,0))</f>
        <v>243.5</v>
      </c>
      <c r="I963" s="0" t="n">
        <f aca="false">INDEX(customer_churn_dataset!$O$2:$O$1501,MATCH($A964,customer_churn_dataset!$A$2:$A$1501,0))</f>
        <v>0</v>
      </c>
      <c r="J963" s="0" t="n">
        <f aca="false">INDEX(customer_churn_dataset!$T$2:$T$1501,MATCH($A964,customer_churn_dataset!$A$2:$A$1501,0))</f>
        <v>2</v>
      </c>
      <c r="K963" s="0" t="str">
        <f aca="false">INDEX(customer_churn_dataset!$V$2:$V$1501,MATCH($A964,customer_churn_dataset!$A$2:$A$1501,0))</f>
        <v>Low Risk</v>
      </c>
    </row>
    <row r="964" customFormat="false" ht="12.8" hidden="true" customHeight="false" outlineLevel="0" collapsed="false">
      <c r="A964" s="22" t="str">
        <f aca="false">customer_churn_dataset!A1464</f>
        <v>CUST100604</v>
      </c>
      <c r="B964" s="22" t="str">
        <f aca="false">customer_churn_dataset!B1464</f>
        <v>Basic</v>
      </c>
      <c r="C964" s="22" t="str">
        <f aca="false">customer_churn_dataset!C1464</f>
        <v>Two year</v>
      </c>
      <c r="D964" s="0" t="n">
        <f aca="false">INDEX(customer_churn_dataset!$E$2:$E$1501,MATCH($A965,customer_churn_dataset!$A$2:$A$1501,0))</f>
        <v>20</v>
      </c>
      <c r="E964" s="0" t="n">
        <f aca="false">INDEX(customer_churn_dataset!$I$2:$I$1501,MATCH($A965,customer_churn_dataset!$A$2:$A$1501,0))</f>
        <v>26.5</v>
      </c>
      <c r="F964" s="0" t="n">
        <f aca="false">INDEX(customer_churn_dataset!$L$2:$L$1501,MATCH($A965,customer_churn_dataset!$A$2:$A$1501,0))</f>
        <v>6</v>
      </c>
      <c r="G964" s="0" t="str">
        <f aca="false">IF(INDEX(customer_churn_dataset!$M$2:$M$1501,MATCH($A965,customer_churn_dataset!$A$2:$A$1501,0))=1,"Yes","No")</f>
        <v>Yes</v>
      </c>
      <c r="H964" s="0" t="n">
        <f aca="false">INDEX(customer_churn_dataset!$N$2:$N$1501,MATCH($A965,customer_churn_dataset!$A$2:$A$1501,0))</f>
        <v>180.2</v>
      </c>
      <c r="I964" s="0" t="n">
        <f aca="false">INDEX(customer_churn_dataset!$O$2:$O$1501,MATCH($A965,customer_churn_dataset!$A$2:$A$1501,0))</f>
        <v>0</v>
      </c>
      <c r="J964" s="0" t="n">
        <f aca="false">INDEX(customer_churn_dataset!$T$2:$T$1501,MATCH($A965,customer_churn_dataset!$A$2:$A$1501,0))</f>
        <v>6</v>
      </c>
      <c r="K964" s="0" t="str">
        <f aca="false">INDEX(customer_churn_dataset!$V$2:$V$1501,MATCH($A965,customer_churn_dataset!$A$2:$A$1501,0))</f>
        <v>High Risk</v>
      </c>
    </row>
    <row r="965" customFormat="false" ht="12.8" hidden="true" customHeight="false" outlineLevel="0" collapsed="false">
      <c r="A965" s="22" t="str">
        <f aca="false">customer_churn_dataset!A1470</f>
        <v>CUST100026</v>
      </c>
      <c r="B965" s="22" t="str">
        <f aca="false">customer_churn_dataset!B1470</f>
        <v>Basic</v>
      </c>
      <c r="C965" s="22" t="str">
        <f aca="false">customer_churn_dataset!C1470</f>
        <v>Two year</v>
      </c>
      <c r="D965" s="0" t="n">
        <f aca="false">INDEX(customer_churn_dataset!$E$2:$E$1501,MATCH($A966,customer_churn_dataset!$A$2:$A$1501,0))</f>
        <v>1</v>
      </c>
      <c r="E965" s="0" t="n">
        <f aca="false">INDEX(customer_churn_dataset!$I$2:$I$1501,MATCH($A966,customer_churn_dataset!$A$2:$A$1501,0))</f>
        <v>52.1</v>
      </c>
      <c r="F965" s="0" t="n">
        <f aca="false">INDEX(customer_churn_dataset!$L$2:$L$1501,MATCH($A966,customer_churn_dataset!$A$2:$A$1501,0))</f>
        <v>1</v>
      </c>
      <c r="G965" s="0" t="str">
        <f aca="false">IF(INDEX(customer_churn_dataset!$M$2:$M$1501,MATCH($A966,customer_churn_dataset!$A$2:$A$1501,0))=1,"Yes","No")</f>
        <v>No</v>
      </c>
      <c r="H965" s="0" t="n">
        <f aca="false">INDEX(customer_churn_dataset!$N$2:$N$1501,MATCH($A966,customer_churn_dataset!$A$2:$A$1501,0))</f>
        <v>9.34</v>
      </c>
      <c r="I965" s="0" t="n">
        <f aca="false">INDEX(customer_churn_dataset!$O$2:$O$1501,MATCH($A966,customer_churn_dataset!$A$2:$A$1501,0))</f>
        <v>0</v>
      </c>
      <c r="J965" s="0" t="n">
        <f aca="false">INDEX(customer_churn_dataset!$T$2:$T$1501,MATCH($A966,customer_churn_dataset!$A$2:$A$1501,0))</f>
        <v>3</v>
      </c>
      <c r="K965" s="0" t="str">
        <f aca="false">INDEX(customer_churn_dataset!$V$2:$V$1501,MATCH($A966,customer_churn_dataset!$A$2:$A$1501,0))</f>
        <v>Medium Risk</v>
      </c>
    </row>
    <row r="966" customFormat="false" ht="12.8" hidden="true" customHeight="false" outlineLevel="0" collapsed="false">
      <c r="A966" s="22" t="str">
        <f aca="false">customer_churn_dataset!A1479</f>
        <v>CUST101064</v>
      </c>
      <c r="B966" s="22" t="str">
        <f aca="false">customer_churn_dataset!B1479</f>
        <v>Basic</v>
      </c>
      <c r="C966" s="22" t="str">
        <f aca="false">customer_churn_dataset!C1479</f>
        <v>One year</v>
      </c>
      <c r="D966" s="0" t="n">
        <f aca="false">INDEX(customer_churn_dataset!$E$2:$E$1501,MATCH($A967,customer_churn_dataset!$A$2:$A$1501,0))</f>
        <v>13</v>
      </c>
      <c r="E966" s="0" t="n">
        <f aca="false">INDEX(customer_churn_dataset!$I$2:$I$1501,MATCH($A967,customer_churn_dataset!$A$2:$A$1501,0))</f>
        <v>69.9</v>
      </c>
      <c r="F966" s="0" t="n">
        <f aca="false">INDEX(customer_churn_dataset!$L$2:$L$1501,MATCH($A967,customer_churn_dataset!$A$2:$A$1501,0))</f>
        <v>0</v>
      </c>
      <c r="G966" s="0" t="str">
        <f aca="false">IF(INDEX(customer_churn_dataset!$M$2:$M$1501,MATCH($A967,customer_churn_dataset!$A$2:$A$1501,0))=1,"Yes","No")</f>
        <v>No</v>
      </c>
      <c r="H966" s="0" t="n">
        <f aca="false">INDEX(customer_churn_dataset!$N$2:$N$1501,MATCH($A967,customer_churn_dataset!$A$2:$A$1501,0))</f>
        <v>113.49</v>
      </c>
      <c r="I966" s="0" t="n">
        <f aca="false">INDEX(customer_churn_dataset!$O$2:$O$1501,MATCH($A967,customer_churn_dataset!$A$2:$A$1501,0))</f>
        <v>0</v>
      </c>
      <c r="J966" s="0" t="n">
        <f aca="false">INDEX(customer_churn_dataset!$T$2:$T$1501,MATCH($A967,customer_churn_dataset!$A$2:$A$1501,0))</f>
        <v>2</v>
      </c>
      <c r="K966" s="0" t="str">
        <f aca="false">INDEX(customer_churn_dataset!$V$2:$V$1501,MATCH($A967,customer_churn_dataset!$A$2:$A$1501,0))</f>
        <v>Low Risk</v>
      </c>
    </row>
    <row r="967" customFormat="false" ht="12.8" hidden="true" customHeight="false" outlineLevel="0" collapsed="false">
      <c r="A967" s="22" t="str">
        <f aca="false">customer_churn_dataset!A1480</f>
        <v>CUST100994</v>
      </c>
      <c r="B967" s="22" t="str">
        <f aca="false">customer_churn_dataset!B1480</f>
        <v>Basic</v>
      </c>
      <c r="C967" s="22" t="str">
        <f aca="false">customer_churn_dataset!C1480</f>
        <v>Month-to-month</v>
      </c>
      <c r="D967" s="0" t="n">
        <f aca="false">INDEX(customer_churn_dataset!$E$2:$E$1501,MATCH($A968,customer_churn_dataset!$A$2:$A$1501,0))</f>
        <v>13</v>
      </c>
      <c r="E967" s="0" t="n">
        <f aca="false">INDEX(customer_churn_dataset!$I$2:$I$1501,MATCH($A968,customer_churn_dataset!$A$2:$A$1501,0))</f>
        <v>49.6</v>
      </c>
      <c r="F967" s="0" t="n">
        <f aca="false">INDEX(customer_churn_dataset!$L$2:$L$1501,MATCH($A968,customer_churn_dataset!$A$2:$A$1501,0))</f>
        <v>4</v>
      </c>
      <c r="G967" s="0" t="str">
        <f aca="false">IF(INDEX(customer_churn_dataset!$M$2:$M$1501,MATCH($A968,customer_churn_dataset!$A$2:$A$1501,0))=1,"Yes","No")</f>
        <v>No</v>
      </c>
      <c r="H967" s="0" t="n">
        <f aca="false">INDEX(customer_churn_dataset!$N$2:$N$1501,MATCH($A968,customer_churn_dataset!$A$2:$A$1501,0))</f>
        <v>281.45</v>
      </c>
      <c r="I967" s="0" t="n">
        <f aca="false">INDEX(customer_churn_dataset!$O$2:$O$1501,MATCH($A968,customer_churn_dataset!$A$2:$A$1501,0))</f>
        <v>1</v>
      </c>
      <c r="J967" s="0" t="n">
        <f aca="false">INDEX(customer_churn_dataset!$T$2:$T$1501,MATCH($A968,customer_churn_dataset!$A$2:$A$1501,0))</f>
        <v>4</v>
      </c>
      <c r="K967" s="0" t="str">
        <f aca="false">INDEX(customer_churn_dataset!$V$2:$V$1501,MATCH($A968,customer_churn_dataset!$A$2:$A$1501,0))</f>
        <v>Medium Risk</v>
      </c>
    </row>
    <row r="968" customFormat="false" ht="12.8" hidden="true" customHeight="false" outlineLevel="0" collapsed="false">
      <c r="A968" s="22" t="str">
        <f aca="false">customer_churn_dataset!A1494</f>
        <v>CUST100382</v>
      </c>
      <c r="B968" s="22" t="str">
        <f aca="false">customer_churn_dataset!B1494</f>
        <v>Standard</v>
      </c>
      <c r="C968" s="22" t="str">
        <f aca="false">customer_churn_dataset!C1494</f>
        <v>Month-to-month</v>
      </c>
      <c r="D968" s="0" t="n">
        <f aca="false">INDEX(customer_churn_dataset!$E$2:$E$1501,MATCH($A969,customer_churn_dataset!$A$2:$A$1501,0))</f>
        <v>39</v>
      </c>
      <c r="E968" s="0" t="n">
        <f aca="false">INDEX(customer_churn_dataset!$I$2:$I$1501,MATCH($A969,customer_churn_dataset!$A$2:$A$1501,0))</f>
        <v>42.3</v>
      </c>
      <c r="F968" s="0" t="n">
        <f aca="false">INDEX(customer_churn_dataset!$L$2:$L$1501,MATCH($A969,customer_churn_dataset!$A$2:$A$1501,0))</f>
        <v>1</v>
      </c>
      <c r="G968" s="0" t="str">
        <f aca="false">IF(INDEX(customer_churn_dataset!$M$2:$M$1501,MATCH($A969,customer_churn_dataset!$A$2:$A$1501,0))=1,"Yes","No")</f>
        <v>Yes</v>
      </c>
      <c r="H968" s="0" t="n">
        <f aca="false">INDEX(customer_churn_dataset!$N$2:$N$1501,MATCH($A969,customer_churn_dataset!$A$2:$A$1501,0))</f>
        <v>817.44</v>
      </c>
      <c r="I968" s="0" t="n">
        <f aca="false">INDEX(customer_churn_dataset!$O$2:$O$1501,MATCH($A969,customer_churn_dataset!$A$2:$A$1501,0))</f>
        <v>0</v>
      </c>
      <c r="J968" s="0" t="n">
        <f aca="false">INDEX(customer_churn_dataset!$T$2:$T$1501,MATCH($A969,customer_churn_dataset!$A$2:$A$1501,0))</f>
        <v>5</v>
      </c>
      <c r="K968" s="0" t="str">
        <f aca="false">INDEX(customer_churn_dataset!$V$2:$V$1501,MATCH($A969,customer_churn_dataset!$A$2:$A$1501,0))</f>
        <v>Medium Risk</v>
      </c>
    </row>
    <row r="969" customFormat="false" ht="12.8" hidden="true" customHeight="false" outlineLevel="0" collapsed="false">
      <c r="A969" s="22" t="str">
        <f aca="false">customer_churn_dataset!A11</f>
        <v>CUST100688</v>
      </c>
      <c r="B969" s="22" t="str">
        <f aca="false">customer_churn_dataset!B11</f>
        <v>Standard</v>
      </c>
      <c r="C969" s="22" t="str">
        <f aca="false">customer_churn_dataset!C11</f>
        <v>One year</v>
      </c>
      <c r="D969" s="0" t="n">
        <f aca="false">INDEX(customer_churn_dataset!$E$2:$E$1501,MATCH($A970,customer_churn_dataset!$A$2:$A$1501,0))</f>
        <v>5</v>
      </c>
      <c r="E969" s="0" t="n">
        <f aca="false">INDEX(customer_churn_dataset!$I$2:$I$1501,MATCH($A970,customer_churn_dataset!$A$2:$A$1501,0))</f>
        <v>53</v>
      </c>
      <c r="F969" s="0" t="n">
        <f aca="false">INDEX(customer_churn_dataset!$L$2:$L$1501,MATCH($A970,customer_churn_dataset!$A$2:$A$1501,0))</f>
        <v>1</v>
      </c>
      <c r="G969" s="0" t="str">
        <f aca="false">IF(INDEX(customer_churn_dataset!$M$2:$M$1501,MATCH($A970,customer_churn_dataset!$A$2:$A$1501,0))=1,"Yes","No")</f>
        <v>No</v>
      </c>
      <c r="H969" s="0" t="n">
        <f aca="false">INDEX(customer_churn_dataset!$N$2:$N$1501,MATCH($A970,customer_churn_dataset!$A$2:$A$1501,0))</f>
        <v>101.9</v>
      </c>
      <c r="I969" s="0" t="n">
        <f aca="false">INDEX(customer_churn_dataset!$O$2:$O$1501,MATCH($A970,customer_churn_dataset!$A$2:$A$1501,0))</f>
        <v>0</v>
      </c>
      <c r="J969" s="0" t="n">
        <f aca="false">INDEX(customer_churn_dataset!$T$2:$T$1501,MATCH($A970,customer_churn_dataset!$A$2:$A$1501,0))</f>
        <v>2</v>
      </c>
      <c r="K969" s="0" t="str">
        <f aca="false">INDEX(customer_churn_dataset!$V$2:$V$1501,MATCH($A970,customer_churn_dataset!$A$2:$A$1501,0))</f>
        <v>Low Risk</v>
      </c>
    </row>
    <row r="970" customFormat="false" ht="12.8" hidden="true" customHeight="false" outlineLevel="0" collapsed="false">
      <c r="A970" s="22" t="str">
        <f aca="false">customer_churn_dataset!A34</f>
        <v>CUST101393</v>
      </c>
      <c r="B970" s="22" t="str">
        <f aca="false">customer_churn_dataset!B34</f>
        <v>Standard</v>
      </c>
      <c r="C970" s="22" t="str">
        <f aca="false">customer_churn_dataset!C34</f>
        <v>Two year</v>
      </c>
      <c r="D970" s="0" t="n">
        <f aca="false">INDEX(customer_churn_dataset!$E$2:$E$1501,MATCH($A971,customer_churn_dataset!$A$2:$A$1501,0))</f>
        <v>5</v>
      </c>
      <c r="E970" s="0" t="n">
        <f aca="false">INDEX(customer_churn_dataset!$I$2:$I$1501,MATCH($A971,customer_churn_dataset!$A$2:$A$1501,0))</f>
        <v>48.8</v>
      </c>
      <c r="F970" s="0" t="n">
        <f aca="false">INDEX(customer_churn_dataset!$L$2:$L$1501,MATCH($A971,customer_churn_dataset!$A$2:$A$1501,0))</f>
        <v>1</v>
      </c>
      <c r="G970" s="0" t="str">
        <f aca="false">IF(INDEX(customer_churn_dataset!$M$2:$M$1501,MATCH($A971,customer_churn_dataset!$A$2:$A$1501,0))=1,"Yes","No")</f>
        <v>No</v>
      </c>
      <c r="H970" s="0" t="n">
        <f aca="false">INDEX(customer_churn_dataset!$N$2:$N$1501,MATCH($A971,customer_churn_dataset!$A$2:$A$1501,0))</f>
        <v>199.85</v>
      </c>
      <c r="I970" s="0" t="n">
        <f aca="false">INDEX(customer_churn_dataset!$O$2:$O$1501,MATCH($A971,customer_churn_dataset!$A$2:$A$1501,0))</f>
        <v>0</v>
      </c>
      <c r="J970" s="0" t="n">
        <f aca="false">INDEX(customer_churn_dataset!$T$2:$T$1501,MATCH($A971,customer_churn_dataset!$A$2:$A$1501,0))</f>
        <v>4</v>
      </c>
      <c r="K970" s="0" t="str">
        <f aca="false">INDEX(customer_churn_dataset!$V$2:$V$1501,MATCH($A971,customer_churn_dataset!$A$2:$A$1501,0))</f>
        <v>Medium Risk</v>
      </c>
    </row>
    <row r="971" customFormat="false" ht="12.8" hidden="true" customHeight="false" outlineLevel="0" collapsed="false">
      <c r="A971" s="22" t="str">
        <f aca="false">customer_churn_dataset!A43</f>
        <v>CUST100814</v>
      </c>
      <c r="B971" s="22" t="str">
        <f aca="false">customer_churn_dataset!B43</f>
        <v>Premium</v>
      </c>
      <c r="C971" s="22" t="str">
        <f aca="false">customer_churn_dataset!C43</f>
        <v>Month-to-month</v>
      </c>
      <c r="D971" s="0" t="n">
        <f aca="false">INDEX(customer_churn_dataset!$E$2:$E$1501,MATCH($A972,customer_churn_dataset!$A$2:$A$1501,0))</f>
        <v>1</v>
      </c>
      <c r="E971" s="0" t="n">
        <f aca="false">INDEX(customer_churn_dataset!$I$2:$I$1501,MATCH($A972,customer_churn_dataset!$A$2:$A$1501,0))</f>
        <v>59.1</v>
      </c>
      <c r="F971" s="0" t="n">
        <f aca="false">INDEX(customer_churn_dataset!$L$2:$L$1501,MATCH($A972,customer_churn_dataset!$A$2:$A$1501,0))</f>
        <v>1</v>
      </c>
      <c r="G971" s="0" t="str">
        <f aca="false">IF(INDEX(customer_churn_dataset!$M$2:$M$1501,MATCH($A972,customer_churn_dataset!$A$2:$A$1501,0))=1,"Yes","No")</f>
        <v>No</v>
      </c>
      <c r="H971" s="0" t="n">
        <f aca="false">INDEX(customer_churn_dataset!$N$2:$N$1501,MATCH($A972,customer_churn_dataset!$A$2:$A$1501,0))</f>
        <v>19.23</v>
      </c>
      <c r="I971" s="0" t="n">
        <f aca="false">INDEX(customer_churn_dataset!$O$2:$O$1501,MATCH($A972,customer_churn_dataset!$A$2:$A$1501,0))</f>
        <v>0</v>
      </c>
      <c r="J971" s="0" t="n">
        <f aca="false">INDEX(customer_churn_dataset!$T$2:$T$1501,MATCH($A972,customer_churn_dataset!$A$2:$A$1501,0))</f>
        <v>2</v>
      </c>
      <c r="K971" s="0" t="str">
        <f aca="false">INDEX(customer_churn_dataset!$V$2:$V$1501,MATCH($A972,customer_churn_dataset!$A$2:$A$1501,0))</f>
        <v>Low Risk</v>
      </c>
    </row>
    <row r="972" customFormat="false" ht="12.8" hidden="true" customHeight="false" outlineLevel="0" collapsed="false">
      <c r="A972" s="22" t="str">
        <f aca="false">customer_churn_dataset!A15</f>
        <v>CUST101306</v>
      </c>
      <c r="B972" s="22" t="str">
        <f aca="false">customer_churn_dataset!B15</f>
        <v>Standard</v>
      </c>
      <c r="C972" s="22" t="str">
        <f aca="false">customer_churn_dataset!C15</f>
        <v>One year</v>
      </c>
      <c r="D972" s="0" t="n">
        <f aca="false">INDEX(customer_churn_dataset!$E$2:$E$1501,MATCH($A973,customer_churn_dataset!$A$2:$A$1501,0))</f>
        <v>7</v>
      </c>
      <c r="E972" s="0" t="n">
        <f aca="false">INDEX(customer_churn_dataset!$I$2:$I$1501,MATCH($A973,customer_churn_dataset!$A$2:$A$1501,0))</f>
        <v>64.7</v>
      </c>
      <c r="F972" s="0" t="n">
        <f aca="false">INDEX(customer_churn_dataset!$L$2:$L$1501,MATCH($A973,customer_churn_dataset!$A$2:$A$1501,0))</f>
        <v>0</v>
      </c>
      <c r="G972" s="0" t="str">
        <f aca="false">IF(INDEX(customer_churn_dataset!$M$2:$M$1501,MATCH($A973,customer_churn_dataset!$A$2:$A$1501,0))=1,"Yes","No")</f>
        <v>No</v>
      </c>
      <c r="H972" s="0" t="n">
        <f aca="false">INDEX(customer_churn_dataset!$N$2:$N$1501,MATCH($A973,customer_churn_dataset!$A$2:$A$1501,0))</f>
        <v>63.42</v>
      </c>
      <c r="I972" s="0" t="n">
        <f aca="false">INDEX(customer_churn_dataset!$O$2:$O$1501,MATCH($A973,customer_churn_dataset!$A$2:$A$1501,0))</f>
        <v>0</v>
      </c>
      <c r="J972" s="0" t="n">
        <f aca="false">INDEX(customer_churn_dataset!$T$2:$T$1501,MATCH($A973,customer_churn_dataset!$A$2:$A$1501,0))</f>
        <v>2</v>
      </c>
      <c r="K972" s="0" t="str">
        <f aca="false">INDEX(customer_churn_dataset!$V$2:$V$1501,MATCH($A973,customer_churn_dataset!$A$2:$A$1501,0))</f>
        <v>Low Risk</v>
      </c>
    </row>
    <row r="973" customFormat="false" ht="12.8" hidden="true" customHeight="false" outlineLevel="0" collapsed="false">
      <c r="A973" s="22" t="str">
        <f aca="false">customer_churn_dataset!A20</f>
        <v>CUST101402</v>
      </c>
      <c r="B973" s="22" t="str">
        <f aca="false">customer_churn_dataset!B20</f>
        <v>Basic</v>
      </c>
      <c r="C973" s="22" t="str">
        <f aca="false">customer_churn_dataset!C20</f>
        <v>One year</v>
      </c>
      <c r="D973" s="0" t="n">
        <f aca="false">INDEX(customer_churn_dataset!$E$2:$E$1501,MATCH($A974,customer_churn_dataset!$A$2:$A$1501,0))</f>
        <v>19</v>
      </c>
      <c r="E973" s="0" t="n">
        <f aca="false">INDEX(customer_churn_dataset!$I$2:$I$1501,MATCH($A974,customer_churn_dataset!$A$2:$A$1501,0))</f>
        <v>47.5</v>
      </c>
      <c r="F973" s="0" t="n">
        <f aca="false">INDEX(customer_churn_dataset!$L$2:$L$1501,MATCH($A974,customer_churn_dataset!$A$2:$A$1501,0))</f>
        <v>3</v>
      </c>
      <c r="G973" s="0" t="str">
        <f aca="false">IF(INDEX(customer_churn_dataset!$M$2:$M$1501,MATCH($A974,customer_churn_dataset!$A$2:$A$1501,0))=1,"Yes","No")</f>
        <v>No</v>
      </c>
      <c r="H973" s="0" t="n">
        <f aca="false">INDEX(customer_churn_dataset!$N$2:$N$1501,MATCH($A974,customer_churn_dataset!$A$2:$A$1501,0))</f>
        <v>396.15</v>
      </c>
      <c r="I973" s="0" t="n">
        <f aca="false">INDEX(customer_churn_dataset!$O$2:$O$1501,MATCH($A974,customer_churn_dataset!$A$2:$A$1501,0))</f>
        <v>0</v>
      </c>
      <c r="J973" s="0" t="n">
        <f aca="false">INDEX(customer_churn_dataset!$T$2:$T$1501,MATCH($A974,customer_churn_dataset!$A$2:$A$1501,0))</f>
        <v>4</v>
      </c>
      <c r="K973" s="0" t="str">
        <f aca="false">INDEX(customer_churn_dataset!$V$2:$V$1501,MATCH($A974,customer_churn_dataset!$A$2:$A$1501,0))</f>
        <v>Medium Risk</v>
      </c>
    </row>
    <row r="974" customFormat="false" ht="12.8" hidden="true" customHeight="false" outlineLevel="0" collapsed="false">
      <c r="A974" s="22" t="str">
        <f aca="false">customer_churn_dataset!A13</f>
        <v>CUST101408</v>
      </c>
      <c r="B974" s="22" t="str">
        <f aca="false">customer_churn_dataset!B13</f>
        <v>Standard</v>
      </c>
      <c r="C974" s="22" t="str">
        <f aca="false">customer_churn_dataset!C13</f>
        <v>Month-to-month</v>
      </c>
      <c r="D974" s="0" t="n">
        <f aca="false">INDEX(customer_churn_dataset!$E$2:$E$1501,MATCH($A975,customer_churn_dataset!$A$2:$A$1501,0))</f>
        <v>8</v>
      </c>
      <c r="E974" s="0" t="n">
        <f aca="false">INDEX(customer_churn_dataset!$I$2:$I$1501,MATCH($A975,customer_churn_dataset!$A$2:$A$1501,0))</f>
        <v>43.4</v>
      </c>
      <c r="F974" s="0" t="n">
        <f aca="false">INDEX(customer_churn_dataset!$L$2:$L$1501,MATCH($A975,customer_churn_dataset!$A$2:$A$1501,0))</f>
        <v>2</v>
      </c>
      <c r="G974" s="0" t="str">
        <f aca="false">IF(INDEX(customer_churn_dataset!$M$2:$M$1501,MATCH($A975,customer_churn_dataset!$A$2:$A$1501,0))=1,"Yes","No")</f>
        <v>No</v>
      </c>
      <c r="H974" s="0" t="n">
        <f aca="false">INDEX(customer_churn_dataset!$N$2:$N$1501,MATCH($A975,customer_churn_dataset!$A$2:$A$1501,0))</f>
        <v>88.56</v>
      </c>
      <c r="I974" s="0" t="n">
        <f aca="false">INDEX(customer_churn_dataset!$O$2:$O$1501,MATCH($A975,customer_churn_dataset!$A$2:$A$1501,0))</f>
        <v>1</v>
      </c>
      <c r="J974" s="0" t="n">
        <f aca="false">INDEX(customer_churn_dataset!$T$2:$T$1501,MATCH($A975,customer_churn_dataset!$A$2:$A$1501,0))</f>
        <v>5</v>
      </c>
      <c r="K974" s="0" t="str">
        <f aca="false">INDEX(customer_churn_dataset!$V$2:$V$1501,MATCH($A975,customer_churn_dataset!$A$2:$A$1501,0))</f>
        <v>Medium Risk</v>
      </c>
    </row>
    <row r="975" customFormat="false" ht="12.8" hidden="true" customHeight="false" outlineLevel="0" collapsed="false">
      <c r="A975" s="22" t="str">
        <f aca="false">customer_churn_dataset!A40</f>
        <v>CUST100638</v>
      </c>
      <c r="B975" s="22" t="str">
        <f aca="false">customer_churn_dataset!B40</f>
        <v>Basic</v>
      </c>
      <c r="C975" s="22" t="str">
        <f aca="false">customer_churn_dataset!C40</f>
        <v>Month-to-month</v>
      </c>
      <c r="D975" s="0" t="n">
        <f aca="false">INDEX(customer_churn_dataset!$E$2:$E$1501,MATCH($A976,customer_churn_dataset!$A$2:$A$1501,0))</f>
        <v>2</v>
      </c>
      <c r="E975" s="0" t="n">
        <f aca="false">INDEX(customer_churn_dataset!$I$2:$I$1501,MATCH($A976,customer_churn_dataset!$A$2:$A$1501,0))</f>
        <v>55.6</v>
      </c>
      <c r="F975" s="0" t="n">
        <f aca="false">INDEX(customer_churn_dataset!$L$2:$L$1501,MATCH($A976,customer_churn_dataset!$A$2:$A$1501,0))</f>
        <v>0</v>
      </c>
      <c r="G975" s="0" t="str">
        <f aca="false">IF(INDEX(customer_churn_dataset!$M$2:$M$1501,MATCH($A976,customer_churn_dataset!$A$2:$A$1501,0))=1,"Yes","No")</f>
        <v>No</v>
      </c>
      <c r="H975" s="0" t="n">
        <f aca="false">INDEX(customer_churn_dataset!$N$2:$N$1501,MATCH($A976,customer_churn_dataset!$A$2:$A$1501,0))</f>
        <v>43.2</v>
      </c>
      <c r="I975" s="0" t="n">
        <f aca="false">INDEX(customer_churn_dataset!$O$2:$O$1501,MATCH($A976,customer_churn_dataset!$A$2:$A$1501,0))</f>
        <v>0</v>
      </c>
      <c r="J975" s="0" t="n">
        <f aca="false">INDEX(customer_churn_dataset!$T$2:$T$1501,MATCH($A976,customer_churn_dataset!$A$2:$A$1501,0))</f>
        <v>3</v>
      </c>
      <c r="K975" s="0" t="str">
        <f aca="false">INDEX(customer_churn_dataset!$V$2:$V$1501,MATCH($A976,customer_churn_dataset!$A$2:$A$1501,0))</f>
        <v>Medium Risk</v>
      </c>
    </row>
    <row r="976" customFormat="false" ht="12.8" hidden="true" customHeight="false" outlineLevel="0" collapsed="false">
      <c r="A976" s="22" t="str">
        <f aca="false">customer_churn_dataset!A39</f>
        <v>CUST100652</v>
      </c>
      <c r="B976" s="22" t="str">
        <f aca="false">customer_churn_dataset!B39</f>
        <v>Standard</v>
      </c>
      <c r="C976" s="22" t="str">
        <f aca="false">customer_churn_dataset!C39</f>
        <v>Month-to-month</v>
      </c>
      <c r="D976" s="0" t="n">
        <f aca="false">INDEX(customer_churn_dataset!$E$2:$E$1501,MATCH($A977,customer_churn_dataset!$A$2:$A$1501,0))</f>
        <v>16</v>
      </c>
      <c r="E976" s="0" t="n">
        <f aca="false">INDEX(customer_churn_dataset!$I$2:$I$1501,MATCH($A977,customer_churn_dataset!$A$2:$A$1501,0))</f>
        <v>50.9</v>
      </c>
      <c r="F976" s="0" t="n">
        <f aca="false">INDEX(customer_churn_dataset!$L$2:$L$1501,MATCH($A977,customer_churn_dataset!$A$2:$A$1501,0))</f>
        <v>3</v>
      </c>
      <c r="G976" s="0" t="str">
        <f aca="false">IF(INDEX(customer_churn_dataset!$M$2:$M$1501,MATCH($A977,customer_churn_dataset!$A$2:$A$1501,0))=1,"Yes","No")</f>
        <v>No</v>
      </c>
      <c r="H976" s="0" t="n">
        <f aca="false">INDEX(customer_churn_dataset!$N$2:$N$1501,MATCH($A977,customer_churn_dataset!$A$2:$A$1501,0))</f>
        <v>179.68</v>
      </c>
      <c r="I976" s="0" t="n">
        <f aca="false">INDEX(customer_churn_dataset!$O$2:$O$1501,MATCH($A977,customer_churn_dataset!$A$2:$A$1501,0))</f>
        <v>0</v>
      </c>
      <c r="J976" s="0" t="n">
        <f aca="false">INDEX(customer_churn_dataset!$T$2:$T$1501,MATCH($A977,customer_churn_dataset!$A$2:$A$1501,0))</f>
        <v>2</v>
      </c>
      <c r="K976" s="0" t="str">
        <f aca="false">INDEX(customer_churn_dataset!$V$2:$V$1501,MATCH($A977,customer_churn_dataset!$A$2:$A$1501,0))</f>
        <v>Low Risk</v>
      </c>
    </row>
    <row r="977" customFormat="false" ht="12.8" hidden="true" customHeight="false" outlineLevel="0" collapsed="false">
      <c r="A977" s="22" t="str">
        <f aca="false">customer_churn_dataset!A38</f>
        <v>CUST100867</v>
      </c>
      <c r="B977" s="22" t="str">
        <f aca="false">customer_churn_dataset!B38</f>
        <v>Basic</v>
      </c>
      <c r="C977" s="22" t="str">
        <f aca="false">customer_churn_dataset!C38</f>
        <v>Two year</v>
      </c>
      <c r="D977" s="0" t="n">
        <f aca="false">INDEX(customer_churn_dataset!$E$2:$E$1501,MATCH($A978,customer_churn_dataset!$A$2:$A$1501,0))</f>
        <v>72</v>
      </c>
      <c r="E977" s="0" t="n">
        <f aca="false">INDEX(customer_churn_dataset!$I$2:$I$1501,MATCH($A978,customer_churn_dataset!$A$2:$A$1501,0))</f>
        <v>72.8</v>
      </c>
      <c r="F977" s="0" t="n">
        <f aca="false">INDEX(customer_churn_dataset!$L$2:$L$1501,MATCH($A978,customer_churn_dataset!$A$2:$A$1501,0))</f>
        <v>1</v>
      </c>
      <c r="G977" s="0" t="str">
        <f aca="false">IF(INDEX(customer_churn_dataset!$M$2:$M$1501,MATCH($A978,customer_churn_dataset!$A$2:$A$1501,0))=1,"Yes","No")</f>
        <v>No</v>
      </c>
      <c r="H977" s="0" t="n">
        <f aca="false">INDEX(customer_churn_dataset!$N$2:$N$1501,MATCH($A978,customer_churn_dataset!$A$2:$A$1501,0))</f>
        <v>672.48</v>
      </c>
      <c r="I977" s="0" t="n">
        <f aca="false">INDEX(customer_churn_dataset!$O$2:$O$1501,MATCH($A978,customer_churn_dataset!$A$2:$A$1501,0))</f>
        <v>0</v>
      </c>
      <c r="J977" s="0" t="n">
        <f aca="false">INDEX(customer_churn_dataset!$T$2:$T$1501,MATCH($A978,customer_churn_dataset!$A$2:$A$1501,0))</f>
        <v>2</v>
      </c>
      <c r="K977" s="0" t="str">
        <f aca="false">INDEX(customer_churn_dataset!$V$2:$V$1501,MATCH($A978,customer_churn_dataset!$A$2:$A$1501,0))</f>
        <v>Low Risk</v>
      </c>
    </row>
    <row r="978" customFormat="false" ht="12.8" hidden="true" customHeight="false" outlineLevel="0" collapsed="false">
      <c r="A978" s="22" t="str">
        <f aca="false">customer_churn_dataset!A8</f>
        <v>CUST100592</v>
      </c>
      <c r="B978" s="22" t="str">
        <f aca="false">customer_churn_dataset!B8</f>
        <v>Basic</v>
      </c>
      <c r="C978" s="22" t="str">
        <f aca="false">customer_churn_dataset!C8</f>
        <v>Month-to-month</v>
      </c>
      <c r="D978" s="0" t="n">
        <f aca="false">INDEX(customer_churn_dataset!$E$2:$E$1501,MATCH($A979,customer_churn_dataset!$A$2:$A$1501,0))</f>
        <v>29</v>
      </c>
      <c r="E978" s="0" t="n">
        <f aca="false">INDEX(customer_churn_dataset!$I$2:$I$1501,MATCH($A979,customer_churn_dataset!$A$2:$A$1501,0))</f>
        <v>29.9</v>
      </c>
      <c r="F978" s="0" t="n">
        <f aca="false">INDEX(customer_churn_dataset!$L$2:$L$1501,MATCH($A979,customer_churn_dataset!$A$2:$A$1501,0))</f>
        <v>3</v>
      </c>
      <c r="G978" s="0" t="str">
        <f aca="false">IF(INDEX(customer_churn_dataset!$M$2:$M$1501,MATCH($A979,customer_churn_dataset!$A$2:$A$1501,0))=1,"Yes","No")</f>
        <v>No</v>
      </c>
      <c r="H978" s="0" t="n">
        <f aca="false">INDEX(customer_churn_dataset!$N$2:$N$1501,MATCH($A979,customer_churn_dataset!$A$2:$A$1501,0))</f>
        <v>307.69</v>
      </c>
      <c r="I978" s="0" t="n">
        <f aca="false">INDEX(customer_churn_dataset!$O$2:$O$1501,MATCH($A979,customer_churn_dataset!$A$2:$A$1501,0))</f>
        <v>0</v>
      </c>
      <c r="J978" s="0" t="n">
        <f aca="false">INDEX(customer_churn_dataset!$T$2:$T$1501,MATCH($A979,customer_churn_dataset!$A$2:$A$1501,0))</f>
        <v>5</v>
      </c>
      <c r="K978" s="0" t="str">
        <f aca="false">INDEX(customer_churn_dataset!$V$2:$V$1501,MATCH($A979,customer_churn_dataset!$A$2:$A$1501,0))</f>
        <v>Medium Risk</v>
      </c>
    </row>
    <row r="979" customFormat="false" ht="12.8" hidden="true" customHeight="false" outlineLevel="0" collapsed="false">
      <c r="A979" s="22" t="str">
        <f aca="false">customer_churn_dataset!A65</f>
        <v>CUST100784</v>
      </c>
      <c r="B979" s="22" t="str">
        <f aca="false">customer_churn_dataset!B65</f>
        <v>Basic</v>
      </c>
      <c r="C979" s="22" t="str">
        <f aca="false">customer_churn_dataset!C65</f>
        <v>Month-to-month</v>
      </c>
      <c r="D979" s="0" t="n">
        <f aca="false">INDEX(customer_churn_dataset!$E$2:$E$1501,MATCH($A980,customer_churn_dataset!$A$2:$A$1501,0))</f>
        <v>1</v>
      </c>
      <c r="E979" s="0" t="n">
        <f aca="false">INDEX(customer_churn_dataset!$I$2:$I$1501,MATCH($A980,customer_churn_dataset!$A$2:$A$1501,0))</f>
        <v>31.5</v>
      </c>
      <c r="F979" s="0" t="n">
        <f aca="false">INDEX(customer_churn_dataset!$L$2:$L$1501,MATCH($A980,customer_churn_dataset!$A$2:$A$1501,0))</f>
        <v>1</v>
      </c>
      <c r="G979" s="0" t="str">
        <f aca="false">IF(INDEX(customer_churn_dataset!$M$2:$M$1501,MATCH($A980,customer_churn_dataset!$A$2:$A$1501,0))=1,"Yes","No")</f>
        <v>No</v>
      </c>
      <c r="H979" s="0" t="n">
        <f aca="false">INDEX(customer_churn_dataset!$N$2:$N$1501,MATCH($A980,customer_churn_dataset!$A$2:$A$1501,0))</f>
        <v>9.24</v>
      </c>
      <c r="I979" s="0" t="n">
        <f aca="false">INDEX(customer_churn_dataset!$O$2:$O$1501,MATCH($A980,customer_churn_dataset!$A$2:$A$1501,0))</f>
        <v>0</v>
      </c>
      <c r="J979" s="0" t="n">
        <f aca="false">INDEX(customer_churn_dataset!$T$2:$T$1501,MATCH($A980,customer_churn_dataset!$A$2:$A$1501,0))</f>
        <v>4</v>
      </c>
      <c r="K979" s="0" t="str">
        <f aca="false">INDEX(customer_churn_dataset!$V$2:$V$1501,MATCH($A980,customer_churn_dataset!$A$2:$A$1501,0))</f>
        <v>Medium Risk</v>
      </c>
    </row>
    <row r="980" customFormat="false" ht="12.8" hidden="true" customHeight="false" outlineLevel="0" collapsed="false">
      <c r="A980" s="22" t="str">
        <f aca="false">customer_churn_dataset!A70</f>
        <v>CUST100635</v>
      </c>
      <c r="B980" s="22" t="str">
        <f aca="false">customer_churn_dataset!B70</f>
        <v>Basic</v>
      </c>
      <c r="C980" s="22" t="str">
        <f aca="false">customer_churn_dataset!C70</f>
        <v>One year</v>
      </c>
      <c r="D980" s="0" t="n">
        <f aca="false">INDEX(customer_churn_dataset!$E$2:$E$1501,MATCH($A981,customer_churn_dataset!$A$2:$A$1501,0))</f>
        <v>4</v>
      </c>
      <c r="E980" s="0" t="n">
        <f aca="false">INDEX(customer_churn_dataset!$I$2:$I$1501,MATCH($A981,customer_churn_dataset!$A$2:$A$1501,0))</f>
        <v>100</v>
      </c>
      <c r="F980" s="0" t="n">
        <f aca="false">INDEX(customer_churn_dataset!$L$2:$L$1501,MATCH($A981,customer_churn_dataset!$A$2:$A$1501,0))</f>
        <v>3</v>
      </c>
      <c r="G980" s="0" t="str">
        <f aca="false">IF(INDEX(customer_churn_dataset!$M$2:$M$1501,MATCH($A981,customer_churn_dataset!$A$2:$A$1501,0))=1,"Yes","No")</f>
        <v>Yes</v>
      </c>
      <c r="H980" s="0" t="n">
        <f aca="false">INDEX(customer_churn_dataset!$N$2:$N$1501,MATCH($A981,customer_churn_dataset!$A$2:$A$1501,0))</f>
        <v>169.4</v>
      </c>
      <c r="I980" s="0" t="n">
        <f aca="false">INDEX(customer_churn_dataset!$O$2:$O$1501,MATCH($A981,customer_churn_dataset!$A$2:$A$1501,0))</f>
        <v>1</v>
      </c>
      <c r="J980" s="0" t="n">
        <f aca="false">INDEX(customer_churn_dataset!$T$2:$T$1501,MATCH($A981,customer_churn_dataset!$A$2:$A$1501,0))</f>
        <v>5</v>
      </c>
      <c r="K980" s="0" t="str">
        <f aca="false">INDEX(customer_churn_dataset!$V$2:$V$1501,MATCH($A981,customer_churn_dataset!$A$2:$A$1501,0))</f>
        <v>Medium Risk</v>
      </c>
    </row>
    <row r="981" customFormat="false" ht="12.8" hidden="true" customHeight="false" outlineLevel="0" collapsed="false">
      <c r="A981" s="22" t="str">
        <f aca="false">customer_churn_dataset!A81</f>
        <v>CUST101311</v>
      </c>
      <c r="B981" s="22" t="str">
        <f aca="false">customer_churn_dataset!B81</f>
        <v>Premium</v>
      </c>
      <c r="C981" s="22" t="str">
        <f aca="false">customer_churn_dataset!C81</f>
        <v>Two year</v>
      </c>
      <c r="D981" s="0" t="n">
        <f aca="false">INDEX(customer_churn_dataset!$E$2:$E$1501,MATCH($A982,customer_churn_dataset!$A$2:$A$1501,0))</f>
        <v>63</v>
      </c>
      <c r="E981" s="0" t="n">
        <f aca="false">INDEX(customer_churn_dataset!$I$2:$I$1501,MATCH($A982,customer_churn_dataset!$A$2:$A$1501,0))</f>
        <v>70.8</v>
      </c>
      <c r="F981" s="0" t="n">
        <f aca="false">INDEX(customer_churn_dataset!$L$2:$L$1501,MATCH($A982,customer_churn_dataset!$A$2:$A$1501,0))</f>
        <v>0</v>
      </c>
      <c r="G981" s="0" t="str">
        <f aca="false">IF(INDEX(customer_churn_dataset!$M$2:$M$1501,MATCH($A982,customer_churn_dataset!$A$2:$A$1501,0))=1,"Yes","No")</f>
        <v>No</v>
      </c>
      <c r="H981" s="0" t="n">
        <f aca="false">INDEX(customer_churn_dataset!$N$2:$N$1501,MATCH($A982,customer_churn_dataset!$A$2:$A$1501,0))</f>
        <v>2502.36</v>
      </c>
      <c r="I981" s="0" t="n">
        <f aca="false">INDEX(customer_churn_dataset!$O$2:$O$1501,MATCH($A982,customer_churn_dataset!$A$2:$A$1501,0))</f>
        <v>0</v>
      </c>
      <c r="J981" s="0" t="n">
        <f aca="false">INDEX(customer_churn_dataset!$T$2:$T$1501,MATCH($A982,customer_churn_dataset!$A$2:$A$1501,0))</f>
        <v>2</v>
      </c>
      <c r="K981" s="0" t="str">
        <f aca="false">INDEX(customer_churn_dataset!$V$2:$V$1501,MATCH($A982,customer_churn_dataset!$A$2:$A$1501,0))</f>
        <v>Low Risk</v>
      </c>
    </row>
    <row r="982" customFormat="false" ht="12.8" hidden="true" customHeight="false" outlineLevel="0" collapsed="false">
      <c r="A982" s="22" t="str">
        <f aca="false">customer_churn_dataset!A83</f>
        <v>CUST101243</v>
      </c>
      <c r="B982" s="22" t="str">
        <f aca="false">customer_churn_dataset!B83</f>
        <v>Premium</v>
      </c>
      <c r="C982" s="22" t="str">
        <f aca="false">customer_churn_dataset!C83</f>
        <v>Month-to-month</v>
      </c>
      <c r="D982" s="0" t="n">
        <f aca="false">INDEX(customer_churn_dataset!$E$2:$E$1501,MATCH($A983,customer_churn_dataset!$A$2:$A$1501,0))</f>
        <v>15</v>
      </c>
      <c r="E982" s="0" t="n">
        <f aca="false">INDEX(customer_churn_dataset!$I$2:$I$1501,MATCH($A983,customer_churn_dataset!$A$2:$A$1501,0))</f>
        <v>29.2</v>
      </c>
      <c r="F982" s="0" t="n">
        <f aca="false">INDEX(customer_churn_dataset!$L$2:$L$1501,MATCH($A983,customer_churn_dataset!$A$2:$A$1501,0))</f>
        <v>0</v>
      </c>
      <c r="G982" s="0" t="str">
        <f aca="false">IF(INDEX(customer_churn_dataset!$M$2:$M$1501,MATCH($A983,customer_churn_dataset!$A$2:$A$1501,0))=1,"Yes","No")</f>
        <v>No</v>
      </c>
      <c r="H982" s="0" t="n">
        <f aca="false">INDEX(customer_churn_dataset!$N$2:$N$1501,MATCH($A983,customer_churn_dataset!$A$2:$A$1501,0))</f>
        <v>297.15</v>
      </c>
      <c r="I982" s="0" t="n">
        <f aca="false">INDEX(customer_churn_dataset!$O$2:$O$1501,MATCH($A983,customer_churn_dataset!$A$2:$A$1501,0))</f>
        <v>0</v>
      </c>
      <c r="J982" s="0" t="n">
        <f aca="false">INDEX(customer_churn_dataset!$T$2:$T$1501,MATCH($A983,customer_churn_dataset!$A$2:$A$1501,0))</f>
        <v>3</v>
      </c>
      <c r="K982" s="0" t="str">
        <f aca="false">INDEX(customer_churn_dataset!$V$2:$V$1501,MATCH($A983,customer_churn_dataset!$A$2:$A$1501,0))</f>
        <v>Medium Risk</v>
      </c>
    </row>
    <row r="983" customFormat="false" ht="12.8" hidden="true" customHeight="false" outlineLevel="0" collapsed="false">
      <c r="A983" s="22" t="str">
        <f aca="false">customer_churn_dataset!A87</f>
        <v>CUST101147</v>
      </c>
      <c r="B983" s="22" t="str">
        <f aca="false">customer_churn_dataset!B87</f>
        <v>Standard</v>
      </c>
      <c r="C983" s="22" t="str">
        <f aca="false">customer_churn_dataset!C87</f>
        <v>One year</v>
      </c>
      <c r="D983" s="0" t="n">
        <f aca="false">INDEX(customer_churn_dataset!$E$2:$E$1501,MATCH($A984,customer_churn_dataset!$A$2:$A$1501,0))</f>
        <v>13</v>
      </c>
      <c r="E983" s="0" t="n">
        <f aca="false">INDEX(customer_churn_dataset!$I$2:$I$1501,MATCH($A984,customer_churn_dataset!$A$2:$A$1501,0))</f>
        <v>57.7</v>
      </c>
      <c r="F983" s="0" t="n">
        <f aca="false">INDEX(customer_churn_dataset!$L$2:$L$1501,MATCH($A984,customer_churn_dataset!$A$2:$A$1501,0))</f>
        <v>0</v>
      </c>
      <c r="G983" s="0" t="str">
        <f aca="false">IF(INDEX(customer_churn_dataset!$M$2:$M$1501,MATCH($A984,customer_churn_dataset!$A$2:$A$1501,0))=1,"Yes","No")</f>
        <v>No</v>
      </c>
      <c r="H983" s="0" t="n">
        <f aca="false">INDEX(customer_churn_dataset!$N$2:$N$1501,MATCH($A984,customer_churn_dataset!$A$2:$A$1501,0))</f>
        <v>125.06</v>
      </c>
      <c r="I983" s="0" t="n">
        <f aca="false">INDEX(customer_churn_dataset!$O$2:$O$1501,MATCH($A984,customer_churn_dataset!$A$2:$A$1501,0))</f>
        <v>1</v>
      </c>
      <c r="J983" s="0" t="n">
        <f aca="false">INDEX(customer_churn_dataset!$T$2:$T$1501,MATCH($A984,customer_churn_dataset!$A$2:$A$1501,0))</f>
        <v>2</v>
      </c>
      <c r="K983" s="0" t="str">
        <f aca="false">INDEX(customer_churn_dataset!$V$2:$V$1501,MATCH($A984,customer_churn_dataset!$A$2:$A$1501,0))</f>
        <v>Low Risk</v>
      </c>
    </row>
    <row r="984" customFormat="false" ht="12.8" hidden="true" customHeight="false" outlineLevel="0" collapsed="false">
      <c r="A984" s="22" t="str">
        <f aca="false">customer_churn_dataset!A91</f>
        <v>CUST100234</v>
      </c>
      <c r="B984" s="22" t="str">
        <f aca="false">customer_churn_dataset!B91</f>
        <v>Basic</v>
      </c>
      <c r="C984" s="22" t="str">
        <f aca="false">customer_churn_dataset!C91</f>
        <v>Month-to-month</v>
      </c>
      <c r="D984" s="0" t="n">
        <f aca="false">INDEX(customer_churn_dataset!$E$2:$E$1501,MATCH($A985,customer_churn_dataset!$A$2:$A$1501,0))</f>
        <v>5</v>
      </c>
      <c r="E984" s="0" t="n">
        <f aca="false">INDEX(customer_churn_dataset!$I$2:$I$1501,MATCH($A985,customer_churn_dataset!$A$2:$A$1501,0))</f>
        <v>37.9</v>
      </c>
      <c r="F984" s="0" t="n">
        <f aca="false">INDEX(customer_churn_dataset!$L$2:$L$1501,MATCH($A985,customer_churn_dataset!$A$2:$A$1501,0))</f>
        <v>2</v>
      </c>
      <c r="G984" s="0" t="str">
        <f aca="false">IF(INDEX(customer_churn_dataset!$M$2:$M$1501,MATCH($A985,customer_churn_dataset!$A$2:$A$1501,0))=1,"Yes","No")</f>
        <v>No</v>
      </c>
      <c r="H984" s="0" t="n">
        <f aca="false">INDEX(customer_churn_dataset!$N$2:$N$1501,MATCH($A985,customer_churn_dataset!$A$2:$A$1501,0))</f>
        <v>54.7</v>
      </c>
      <c r="I984" s="0" t="n">
        <f aca="false">INDEX(customer_churn_dataset!$O$2:$O$1501,MATCH($A985,customer_churn_dataset!$A$2:$A$1501,0))</f>
        <v>1</v>
      </c>
      <c r="J984" s="0" t="n">
        <f aca="false">INDEX(customer_churn_dataset!$T$2:$T$1501,MATCH($A985,customer_churn_dataset!$A$2:$A$1501,0))</f>
        <v>6</v>
      </c>
      <c r="K984" s="0" t="str">
        <f aca="false">INDEX(customer_churn_dataset!$V$2:$V$1501,MATCH($A985,customer_churn_dataset!$A$2:$A$1501,0))</f>
        <v>High Risk</v>
      </c>
    </row>
    <row r="985" customFormat="false" ht="12.8" hidden="true" customHeight="false" outlineLevel="0" collapsed="false">
      <c r="A985" s="22" t="str">
        <f aca="false">customer_churn_dataset!A96</f>
        <v>CUST100817</v>
      </c>
      <c r="B985" s="22" t="str">
        <f aca="false">customer_churn_dataset!B96</f>
        <v>Basic</v>
      </c>
      <c r="C985" s="22" t="str">
        <f aca="false">customer_churn_dataset!C96</f>
        <v>Month-to-month</v>
      </c>
      <c r="D985" s="0" t="n">
        <f aca="false">INDEX(customer_churn_dataset!$E$2:$E$1501,MATCH($A986,customer_churn_dataset!$A$2:$A$1501,0))</f>
        <v>1</v>
      </c>
      <c r="E985" s="0" t="n">
        <f aca="false">INDEX(customer_churn_dataset!$I$2:$I$1501,MATCH($A986,customer_churn_dataset!$A$2:$A$1501,0))</f>
        <v>44.9</v>
      </c>
      <c r="F985" s="0" t="n">
        <f aca="false">INDEX(customer_churn_dataset!$L$2:$L$1501,MATCH($A986,customer_churn_dataset!$A$2:$A$1501,0))</f>
        <v>2</v>
      </c>
      <c r="G985" s="0" t="str">
        <f aca="false">IF(INDEX(customer_churn_dataset!$M$2:$M$1501,MATCH($A986,customer_churn_dataset!$A$2:$A$1501,0))=1,"Yes","No")</f>
        <v>Yes</v>
      </c>
      <c r="H985" s="0" t="n">
        <f aca="false">INDEX(customer_churn_dataset!$N$2:$N$1501,MATCH($A986,customer_churn_dataset!$A$2:$A$1501,0))</f>
        <v>19.86</v>
      </c>
      <c r="I985" s="0" t="n">
        <f aca="false">INDEX(customer_churn_dataset!$O$2:$O$1501,MATCH($A986,customer_churn_dataset!$A$2:$A$1501,0))</f>
        <v>0</v>
      </c>
      <c r="J985" s="0" t="n">
        <f aca="false">INDEX(customer_churn_dataset!$T$2:$T$1501,MATCH($A986,customer_churn_dataset!$A$2:$A$1501,0))</f>
        <v>6</v>
      </c>
      <c r="K985" s="0" t="str">
        <f aca="false">INDEX(customer_churn_dataset!$V$2:$V$1501,MATCH($A986,customer_churn_dataset!$A$2:$A$1501,0))</f>
        <v>High Risk</v>
      </c>
    </row>
    <row r="986" customFormat="false" ht="12.8" hidden="true" customHeight="false" outlineLevel="0" collapsed="false">
      <c r="A986" s="22" t="str">
        <f aca="false">customer_churn_dataset!A104</f>
        <v>CUST100548</v>
      </c>
      <c r="B986" s="22" t="str">
        <f aca="false">customer_churn_dataset!B104</f>
        <v>Standard</v>
      </c>
      <c r="C986" s="22" t="str">
        <f aca="false">customer_churn_dataset!C104</f>
        <v>Two year</v>
      </c>
      <c r="D986" s="0" t="n">
        <f aca="false">INDEX(customer_churn_dataset!$E$2:$E$1501,MATCH($A987,customer_churn_dataset!$A$2:$A$1501,0))</f>
        <v>45</v>
      </c>
      <c r="E986" s="0" t="n">
        <f aca="false">INDEX(customer_churn_dataset!$I$2:$I$1501,MATCH($A987,customer_churn_dataset!$A$2:$A$1501,0))</f>
        <v>54.3</v>
      </c>
      <c r="F986" s="0" t="n">
        <f aca="false">INDEX(customer_churn_dataset!$L$2:$L$1501,MATCH($A987,customer_churn_dataset!$A$2:$A$1501,0))</f>
        <v>0</v>
      </c>
      <c r="G986" s="0" t="str">
        <f aca="false">IF(INDEX(customer_churn_dataset!$M$2:$M$1501,MATCH($A987,customer_churn_dataset!$A$2:$A$1501,0))=1,"Yes","No")</f>
        <v>No</v>
      </c>
      <c r="H986" s="0" t="n">
        <f aca="false">INDEX(customer_churn_dataset!$N$2:$N$1501,MATCH($A987,customer_churn_dataset!$A$2:$A$1501,0))</f>
        <v>1818.45</v>
      </c>
      <c r="I986" s="0" t="n">
        <f aca="false">INDEX(customer_churn_dataset!$O$2:$O$1501,MATCH($A987,customer_churn_dataset!$A$2:$A$1501,0))</f>
        <v>0</v>
      </c>
      <c r="J986" s="0" t="n">
        <f aca="false">INDEX(customer_churn_dataset!$T$2:$T$1501,MATCH($A987,customer_churn_dataset!$A$2:$A$1501,0))</f>
        <v>3</v>
      </c>
      <c r="K986" s="0" t="str">
        <f aca="false">INDEX(customer_churn_dataset!$V$2:$V$1501,MATCH($A987,customer_churn_dataset!$A$2:$A$1501,0))</f>
        <v>Medium Risk</v>
      </c>
    </row>
    <row r="987" customFormat="false" ht="12.8" hidden="true" customHeight="false" outlineLevel="0" collapsed="false">
      <c r="A987" s="22" t="str">
        <f aca="false">customer_churn_dataset!A115</f>
        <v>CUST101136</v>
      </c>
      <c r="B987" s="22" t="str">
        <f aca="false">customer_churn_dataset!B115</f>
        <v>Premium</v>
      </c>
      <c r="C987" s="22" t="str">
        <f aca="false">customer_churn_dataset!C115</f>
        <v>Month-to-month</v>
      </c>
      <c r="D987" s="0" t="n">
        <f aca="false">INDEX(customer_churn_dataset!$E$2:$E$1501,MATCH($A988,customer_churn_dataset!$A$2:$A$1501,0))</f>
        <v>35</v>
      </c>
      <c r="E987" s="0" t="n">
        <f aca="false">INDEX(customer_churn_dataset!$I$2:$I$1501,MATCH($A988,customer_churn_dataset!$A$2:$A$1501,0))</f>
        <v>49.2</v>
      </c>
      <c r="F987" s="0" t="n">
        <f aca="false">INDEX(customer_churn_dataset!$L$2:$L$1501,MATCH($A988,customer_churn_dataset!$A$2:$A$1501,0))</f>
        <v>2</v>
      </c>
      <c r="G987" s="0" t="str">
        <f aca="false">IF(INDEX(customer_churn_dataset!$M$2:$M$1501,MATCH($A988,customer_churn_dataset!$A$2:$A$1501,0))=1,"Yes","No")</f>
        <v>No</v>
      </c>
      <c r="H987" s="0" t="n">
        <f aca="false">INDEX(customer_churn_dataset!$N$2:$N$1501,MATCH($A988,customer_churn_dataset!$A$2:$A$1501,0))</f>
        <v>348.6</v>
      </c>
      <c r="I987" s="0" t="n">
        <f aca="false">INDEX(customer_churn_dataset!$O$2:$O$1501,MATCH($A988,customer_churn_dataset!$A$2:$A$1501,0))</f>
        <v>0</v>
      </c>
      <c r="J987" s="0" t="n">
        <f aca="false">INDEX(customer_churn_dataset!$T$2:$T$1501,MATCH($A988,customer_churn_dataset!$A$2:$A$1501,0))</f>
        <v>3</v>
      </c>
      <c r="K987" s="0" t="str">
        <f aca="false">INDEX(customer_churn_dataset!$V$2:$V$1501,MATCH($A988,customer_churn_dataset!$A$2:$A$1501,0))</f>
        <v>Medium Risk</v>
      </c>
    </row>
    <row r="988" customFormat="false" ht="12.8" hidden="true" customHeight="false" outlineLevel="0" collapsed="false">
      <c r="A988" s="22" t="str">
        <f aca="false">customer_churn_dataset!A124</f>
        <v>CUST100380</v>
      </c>
      <c r="B988" s="22" t="str">
        <f aca="false">customer_churn_dataset!B124</f>
        <v>Basic</v>
      </c>
      <c r="C988" s="22" t="str">
        <f aca="false">customer_churn_dataset!C124</f>
        <v>One year</v>
      </c>
      <c r="D988" s="0" t="n">
        <f aca="false">INDEX(customer_churn_dataset!$E$2:$E$1501,MATCH($A989,customer_churn_dataset!$A$2:$A$1501,0))</f>
        <v>6</v>
      </c>
      <c r="E988" s="0" t="n">
        <f aca="false">INDEX(customer_churn_dataset!$I$2:$I$1501,MATCH($A989,customer_churn_dataset!$A$2:$A$1501,0))</f>
        <v>33.7</v>
      </c>
      <c r="F988" s="0" t="n">
        <f aca="false">INDEX(customer_churn_dataset!$L$2:$L$1501,MATCH($A989,customer_churn_dataset!$A$2:$A$1501,0))</f>
        <v>0</v>
      </c>
      <c r="G988" s="0" t="str">
        <f aca="false">IF(INDEX(customer_churn_dataset!$M$2:$M$1501,MATCH($A989,customer_churn_dataset!$A$2:$A$1501,0))=1,"Yes","No")</f>
        <v>No</v>
      </c>
      <c r="H988" s="0" t="n">
        <f aca="false">INDEX(customer_churn_dataset!$N$2:$N$1501,MATCH($A989,customer_churn_dataset!$A$2:$A$1501,0))</f>
        <v>53.22</v>
      </c>
      <c r="I988" s="0" t="n">
        <f aca="false">INDEX(customer_churn_dataset!$O$2:$O$1501,MATCH($A989,customer_churn_dataset!$A$2:$A$1501,0))</f>
        <v>0</v>
      </c>
      <c r="J988" s="0" t="n">
        <f aca="false">INDEX(customer_churn_dataset!$T$2:$T$1501,MATCH($A989,customer_churn_dataset!$A$2:$A$1501,0))</f>
        <v>5</v>
      </c>
      <c r="K988" s="0" t="str">
        <f aca="false">INDEX(customer_churn_dataset!$V$2:$V$1501,MATCH($A989,customer_churn_dataset!$A$2:$A$1501,0))</f>
        <v>Medium Risk</v>
      </c>
    </row>
    <row r="989" customFormat="false" ht="12.8" hidden="true" customHeight="false" outlineLevel="0" collapsed="false">
      <c r="A989" s="22" t="str">
        <f aca="false">customer_churn_dataset!A128</f>
        <v>CUST101252</v>
      </c>
      <c r="B989" s="22" t="str">
        <f aca="false">customer_churn_dataset!B128</f>
        <v>Basic</v>
      </c>
      <c r="C989" s="22" t="str">
        <f aca="false">customer_churn_dataset!C128</f>
        <v>Month-to-month</v>
      </c>
      <c r="D989" s="0" t="n">
        <f aca="false">INDEX(customer_churn_dataset!$E$2:$E$1501,MATCH($A990,customer_churn_dataset!$A$2:$A$1501,0))</f>
        <v>6</v>
      </c>
      <c r="E989" s="0" t="n">
        <f aca="false">INDEX(customer_churn_dataset!$I$2:$I$1501,MATCH($A990,customer_churn_dataset!$A$2:$A$1501,0))</f>
        <v>29.6</v>
      </c>
      <c r="F989" s="0" t="n">
        <f aca="false">INDEX(customer_churn_dataset!$L$2:$L$1501,MATCH($A990,customer_churn_dataset!$A$2:$A$1501,0))</f>
        <v>1</v>
      </c>
      <c r="G989" s="0" t="str">
        <f aca="false">IF(INDEX(customer_churn_dataset!$M$2:$M$1501,MATCH($A990,customer_churn_dataset!$A$2:$A$1501,0))=1,"Yes","No")</f>
        <v>No</v>
      </c>
      <c r="H989" s="0" t="n">
        <f aca="false">INDEX(customer_churn_dataset!$N$2:$N$1501,MATCH($A990,customer_churn_dataset!$A$2:$A$1501,0))</f>
        <v>246.36</v>
      </c>
      <c r="I989" s="0" t="n">
        <f aca="false">INDEX(customer_churn_dataset!$O$2:$O$1501,MATCH($A990,customer_churn_dataset!$A$2:$A$1501,0))</f>
        <v>0</v>
      </c>
      <c r="J989" s="0" t="n">
        <f aca="false">INDEX(customer_churn_dataset!$T$2:$T$1501,MATCH($A990,customer_churn_dataset!$A$2:$A$1501,0))</f>
        <v>3</v>
      </c>
      <c r="K989" s="0" t="str">
        <f aca="false">INDEX(customer_churn_dataset!$V$2:$V$1501,MATCH($A990,customer_churn_dataset!$A$2:$A$1501,0))</f>
        <v>Medium Risk</v>
      </c>
    </row>
    <row r="990" customFormat="false" ht="12.8" hidden="true" customHeight="false" outlineLevel="0" collapsed="false">
      <c r="A990" s="22" t="str">
        <f aca="false">customer_churn_dataset!A131</f>
        <v>CUST100261</v>
      </c>
      <c r="B990" s="22" t="str">
        <f aca="false">customer_churn_dataset!B131</f>
        <v>Premium</v>
      </c>
      <c r="C990" s="22" t="str">
        <f aca="false">customer_churn_dataset!C131</f>
        <v>Two year</v>
      </c>
      <c r="D990" s="0" t="n">
        <f aca="false">INDEX(customer_churn_dataset!$E$2:$E$1501,MATCH($A991,customer_churn_dataset!$A$2:$A$1501,0))</f>
        <v>72</v>
      </c>
      <c r="E990" s="0" t="n">
        <f aca="false">INDEX(customer_churn_dataset!$I$2:$I$1501,MATCH($A991,customer_churn_dataset!$A$2:$A$1501,0))</f>
        <v>65.6</v>
      </c>
      <c r="F990" s="0" t="n">
        <f aca="false">INDEX(customer_churn_dataset!$L$2:$L$1501,MATCH($A991,customer_churn_dataset!$A$2:$A$1501,0))</f>
        <v>0</v>
      </c>
      <c r="G990" s="0" t="str">
        <f aca="false">IF(INDEX(customer_churn_dataset!$M$2:$M$1501,MATCH($A991,customer_churn_dataset!$A$2:$A$1501,0))=1,"Yes","No")</f>
        <v>No</v>
      </c>
      <c r="H990" s="0" t="n">
        <f aca="false">INDEX(customer_churn_dataset!$N$2:$N$1501,MATCH($A991,customer_churn_dataset!$A$2:$A$1501,0))</f>
        <v>703.44</v>
      </c>
      <c r="I990" s="0" t="n">
        <f aca="false">INDEX(customer_churn_dataset!$O$2:$O$1501,MATCH($A991,customer_churn_dataset!$A$2:$A$1501,0))</f>
        <v>0</v>
      </c>
      <c r="J990" s="0" t="n">
        <f aca="false">INDEX(customer_churn_dataset!$T$2:$T$1501,MATCH($A991,customer_churn_dataset!$A$2:$A$1501,0))</f>
        <v>2</v>
      </c>
      <c r="K990" s="0" t="str">
        <f aca="false">INDEX(customer_churn_dataset!$V$2:$V$1501,MATCH($A991,customer_churn_dataset!$A$2:$A$1501,0))</f>
        <v>Low Risk</v>
      </c>
    </row>
    <row r="991" customFormat="false" ht="12.8" hidden="true" customHeight="false" outlineLevel="0" collapsed="false">
      <c r="A991" s="22" t="str">
        <f aca="false">customer_churn_dataset!A133</f>
        <v>CUST100268</v>
      </c>
      <c r="B991" s="22" t="str">
        <f aca="false">customer_churn_dataset!B133</f>
        <v>Basic</v>
      </c>
      <c r="C991" s="22" t="str">
        <f aca="false">customer_churn_dataset!C133</f>
        <v>Month-to-month</v>
      </c>
      <c r="D991" s="0" t="n">
        <f aca="false">INDEX(customer_churn_dataset!$E$2:$E$1501,MATCH($A992,customer_churn_dataset!$A$2:$A$1501,0))</f>
        <v>57</v>
      </c>
      <c r="E991" s="0" t="n">
        <f aca="false">INDEX(customer_churn_dataset!$I$2:$I$1501,MATCH($A992,customer_churn_dataset!$A$2:$A$1501,0))</f>
        <v>63.7</v>
      </c>
      <c r="F991" s="0" t="n">
        <f aca="false">INDEX(customer_churn_dataset!$L$2:$L$1501,MATCH($A992,customer_churn_dataset!$A$2:$A$1501,0))</f>
        <v>4</v>
      </c>
      <c r="G991" s="0" t="str">
        <f aca="false">IF(INDEX(customer_churn_dataset!$M$2:$M$1501,MATCH($A992,customer_churn_dataset!$A$2:$A$1501,0))=1,"Yes","No")</f>
        <v>Yes</v>
      </c>
      <c r="H991" s="0" t="n">
        <f aca="false">INDEX(customer_churn_dataset!$N$2:$N$1501,MATCH($A992,customer_churn_dataset!$A$2:$A$1501,0))</f>
        <v>2189.37</v>
      </c>
      <c r="I991" s="0" t="n">
        <f aca="false">INDEX(customer_churn_dataset!$O$2:$O$1501,MATCH($A992,customer_churn_dataset!$A$2:$A$1501,0))</f>
        <v>1</v>
      </c>
      <c r="J991" s="0" t="n">
        <f aca="false">INDEX(customer_churn_dataset!$T$2:$T$1501,MATCH($A992,customer_churn_dataset!$A$2:$A$1501,0))</f>
        <v>6</v>
      </c>
      <c r="K991" s="0" t="str">
        <f aca="false">INDEX(customer_churn_dataset!$V$2:$V$1501,MATCH($A992,customer_churn_dataset!$A$2:$A$1501,0))</f>
        <v>High Risk</v>
      </c>
    </row>
    <row r="992" customFormat="false" ht="12.8" hidden="true" customHeight="false" outlineLevel="0" collapsed="false">
      <c r="A992" s="22" t="str">
        <f aca="false">customer_churn_dataset!A151</f>
        <v>CUST100645</v>
      </c>
      <c r="B992" s="22" t="str">
        <f aca="false">customer_churn_dataset!B151</f>
        <v>Premium</v>
      </c>
      <c r="C992" s="22" t="str">
        <f aca="false">customer_churn_dataset!C151</f>
        <v>Month-to-month</v>
      </c>
      <c r="D992" s="0" t="n">
        <f aca="false">INDEX(customer_churn_dataset!$E$2:$E$1501,MATCH($A993,customer_churn_dataset!$A$2:$A$1501,0))</f>
        <v>3</v>
      </c>
      <c r="E992" s="0" t="n">
        <f aca="false">INDEX(customer_churn_dataset!$I$2:$I$1501,MATCH($A993,customer_churn_dataset!$A$2:$A$1501,0))</f>
        <v>48.3</v>
      </c>
      <c r="F992" s="0" t="n">
        <f aca="false">INDEX(customer_churn_dataset!$L$2:$L$1501,MATCH($A993,customer_churn_dataset!$A$2:$A$1501,0))</f>
        <v>0</v>
      </c>
      <c r="G992" s="0" t="str">
        <f aca="false">IF(INDEX(customer_churn_dataset!$M$2:$M$1501,MATCH($A993,customer_churn_dataset!$A$2:$A$1501,0))=1,"Yes","No")</f>
        <v>No</v>
      </c>
      <c r="H992" s="0" t="n">
        <f aca="false">INDEX(customer_churn_dataset!$N$2:$N$1501,MATCH($A993,customer_churn_dataset!$A$2:$A$1501,0))</f>
        <v>26.07</v>
      </c>
      <c r="I992" s="0" t="n">
        <f aca="false">INDEX(customer_churn_dataset!$O$2:$O$1501,MATCH($A993,customer_churn_dataset!$A$2:$A$1501,0))</f>
        <v>1</v>
      </c>
      <c r="J992" s="0" t="n">
        <f aca="false">INDEX(customer_churn_dataset!$T$2:$T$1501,MATCH($A993,customer_churn_dataset!$A$2:$A$1501,0))</f>
        <v>2</v>
      </c>
      <c r="K992" s="0" t="str">
        <f aca="false">INDEX(customer_churn_dataset!$V$2:$V$1501,MATCH($A993,customer_churn_dataset!$A$2:$A$1501,0))</f>
        <v>Low Risk</v>
      </c>
    </row>
    <row r="993" customFormat="false" ht="12.8" hidden="true" customHeight="false" outlineLevel="0" collapsed="false">
      <c r="A993" s="22" t="str">
        <f aca="false">customer_churn_dataset!A153</f>
        <v>CUST100283</v>
      </c>
      <c r="B993" s="22" t="str">
        <f aca="false">customer_churn_dataset!B153</f>
        <v>Basic</v>
      </c>
      <c r="C993" s="22" t="str">
        <f aca="false">customer_churn_dataset!C153</f>
        <v>Two year</v>
      </c>
      <c r="D993" s="0" t="n">
        <f aca="false">INDEX(customer_churn_dataset!$E$2:$E$1501,MATCH($A994,customer_churn_dataset!$A$2:$A$1501,0))</f>
        <v>40</v>
      </c>
      <c r="E993" s="0" t="n">
        <f aca="false">INDEX(customer_churn_dataset!$I$2:$I$1501,MATCH($A994,customer_churn_dataset!$A$2:$A$1501,0))</f>
        <v>38.8</v>
      </c>
      <c r="F993" s="0" t="n">
        <f aca="false">INDEX(customer_churn_dataset!$L$2:$L$1501,MATCH($A994,customer_churn_dataset!$A$2:$A$1501,0))</f>
        <v>0</v>
      </c>
      <c r="G993" s="0" t="str">
        <f aca="false">IF(INDEX(customer_churn_dataset!$M$2:$M$1501,MATCH($A994,customer_churn_dataset!$A$2:$A$1501,0))=1,"Yes","No")</f>
        <v>No</v>
      </c>
      <c r="H993" s="0" t="n">
        <f aca="false">INDEX(customer_churn_dataset!$N$2:$N$1501,MATCH($A994,customer_churn_dataset!$A$2:$A$1501,0))</f>
        <v>387.6</v>
      </c>
      <c r="I993" s="0" t="n">
        <f aca="false">INDEX(customer_churn_dataset!$O$2:$O$1501,MATCH($A994,customer_churn_dataset!$A$2:$A$1501,0))</f>
        <v>0</v>
      </c>
      <c r="J993" s="0" t="n">
        <f aca="false">INDEX(customer_churn_dataset!$T$2:$T$1501,MATCH($A994,customer_churn_dataset!$A$2:$A$1501,0))</f>
        <v>4</v>
      </c>
      <c r="K993" s="0" t="str">
        <f aca="false">INDEX(customer_churn_dataset!$V$2:$V$1501,MATCH($A994,customer_churn_dataset!$A$2:$A$1501,0))</f>
        <v>Medium Risk</v>
      </c>
    </row>
    <row r="994" customFormat="false" ht="12.8" hidden="true" customHeight="false" outlineLevel="0" collapsed="false">
      <c r="A994" s="22" t="str">
        <f aca="false">customer_churn_dataset!A164</f>
        <v>CUST101412</v>
      </c>
      <c r="B994" s="22" t="str">
        <f aca="false">customer_churn_dataset!B164</f>
        <v>Basic</v>
      </c>
      <c r="C994" s="22" t="str">
        <f aca="false">customer_churn_dataset!C164</f>
        <v>Month-to-month</v>
      </c>
      <c r="D994" s="0" t="n">
        <f aca="false">INDEX(customer_churn_dataset!$E$2:$E$1501,MATCH($A995,customer_churn_dataset!$A$2:$A$1501,0))</f>
        <v>21</v>
      </c>
      <c r="E994" s="0" t="n">
        <f aca="false">INDEX(customer_churn_dataset!$I$2:$I$1501,MATCH($A995,customer_churn_dataset!$A$2:$A$1501,0))</f>
        <v>37.3</v>
      </c>
      <c r="F994" s="0" t="n">
        <f aca="false">INDEX(customer_churn_dataset!$L$2:$L$1501,MATCH($A995,customer_churn_dataset!$A$2:$A$1501,0))</f>
        <v>0</v>
      </c>
      <c r="G994" s="0" t="str">
        <f aca="false">IF(INDEX(customer_churn_dataset!$M$2:$M$1501,MATCH($A995,customer_churn_dataset!$A$2:$A$1501,0))=1,"Yes","No")</f>
        <v>No</v>
      </c>
      <c r="H994" s="0" t="n">
        <f aca="false">INDEX(customer_churn_dataset!$N$2:$N$1501,MATCH($A995,customer_churn_dataset!$A$2:$A$1501,0))</f>
        <v>213.57</v>
      </c>
      <c r="I994" s="0" t="n">
        <f aca="false">INDEX(customer_churn_dataset!$O$2:$O$1501,MATCH($A995,customer_churn_dataset!$A$2:$A$1501,0))</f>
        <v>0</v>
      </c>
      <c r="J994" s="0" t="n">
        <f aca="false">INDEX(customer_churn_dataset!$T$2:$T$1501,MATCH($A995,customer_churn_dataset!$A$2:$A$1501,0))</f>
        <v>3</v>
      </c>
      <c r="K994" s="0" t="str">
        <f aca="false">INDEX(customer_churn_dataset!$V$2:$V$1501,MATCH($A995,customer_churn_dataset!$A$2:$A$1501,0))</f>
        <v>Medium Risk</v>
      </c>
    </row>
    <row r="995" customFormat="false" ht="12.8" hidden="true" customHeight="false" outlineLevel="0" collapsed="false">
      <c r="A995" s="22" t="str">
        <f aca="false">customer_churn_dataset!A167</f>
        <v>CUST100282</v>
      </c>
      <c r="B995" s="22" t="str">
        <f aca="false">customer_churn_dataset!B167</f>
        <v>Basic</v>
      </c>
      <c r="C995" s="22" t="str">
        <f aca="false">customer_churn_dataset!C167</f>
        <v>One year</v>
      </c>
      <c r="D995" s="0" t="n">
        <f aca="false">INDEX(customer_churn_dataset!$E$2:$E$1501,MATCH($A996,customer_churn_dataset!$A$2:$A$1501,0))</f>
        <v>5</v>
      </c>
      <c r="E995" s="0" t="n">
        <f aca="false">INDEX(customer_churn_dataset!$I$2:$I$1501,MATCH($A996,customer_churn_dataset!$A$2:$A$1501,0))</f>
        <v>15.7</v>
      </c>
      <c r="F995" s="0" t="n">
        <f aca="false">INDEX(customer_churn_dataset!$L$2:$L$1501,MATCH($A996,customer_churn_dataset!$A$2:$A$1501,0))</f>
        <v>1</v>
      </c>
      <c r="G995" s="0" t="str">
        <f aca="false">IF(INDEX(customer_churn_dataset!$M$2:$M$1501,MATCH($A996,customer_churn_dataset!$A$2:$A$1501,0))=1,"Yes","No")</f>
        <v>No</v>
      </c>
      <c r="H995" s="0" t="n">
        <f aca="false">INDEX(customer_churn_dataset!$N$2:$N$1501,MATCH($A996,customer_churn_dataset!$A$2:$A$1501,0))</f>
        <v>58.05</v>
      </c>
      <c r="I995" s="0" t="n">
        <f aca="false">INDEX(customer_churn_dataset!$O$2:$O$1501,MATCH($A996,customer_churn_dataset!$A$2:$A$1501,0))</f>
        <v>1</v>
      </c>
      <c r="J995" s="0" t="n">
        <f aca="false">INDEX(customer_churn_dataset!$T$2:$T$1501,MATCH($A996,customer_churn_dataset!$A$2:$A$1501,0))</f>
        <v>5</v>
      </c>
      <c r="K995" s="0" t="str">
        <f aca="false">INDEX(customer_churn_dataset!$V$2:$V$1501,MATCH($A996,customer_churn_dataset!$A$2:$A$1501,0))</f>
        <v>Medium Risk</v>
      </c>
    </row>
    <row r="996" customFormat="false" ht="12.8" hidden="false" customHeight="false" outlineLevel="0" collapsed="false">
      <c r="A996" s="23" t="str">
        <f aca="false">customer_churn_dataset!A176</f>
        <v>CUST100514</v>
      </c>
      <c r="B996" s="24" t="str">
        <f aca="false">customer_churn_dataset!B176</f>
        <v>Basic</v>
      </c>
      <c r="C996" s="24" t="str">
        <f aca="false">customer_churn_dataset!C176</f>
        <v>Month-to-month</v>
      </c>
      <c r="D996" s="25" t="n">
        <f aca="false">INDEX(customer_churn_dataset!$E$2:$E$1501,MATCH($A997,customer_churn_dataset!$A$2:$A$1501,0))</f>
        <v>2</v>
      </c>
      <c r="E996" s="25" t="n">
        <f aca="false">INDEX(customer_churn_dataset!$I$2:$I$1501,MATCH($A997,customer_churn_dataset!$A$2:$A$1501,0))</f>
        <v>47.1</v>
      </c>
      <c r="F996" s="25" t="n">
        <f aca="false">INDEX(customer_churn_dataset!$L$2:$L$1501,MATCH($A997,customer_churn_dataset!$A$2:$A$1501,0))</f>
        <v>3</v>
      </c>
      <c r="G996" s="25" t="str">
        <f aca="false">IF(INDEX(customer_churn_dataset!$M$2:$M$1501,MATCH($A997,customer_churn_dataset!$A$2:$A$1501,0))=1,"Yes","No")</f>
        <v>Yes</v>
      </c>
      <c r="H996" s="25" t="n">
        <f aca="false">INDEX(customer_churn_dataset!$N$2:$N$1501,MATCH($A997,customer_churn_dataset!$A$2:$A$1501,0))</f>
        <v>36.94</v>
      </c>
      <c r="I996" s="25" t="n">
        <f aca="false">INDEX(customer_churn_dataset!$O$2:$O$1501,MATCH($A997,customer_churn_dataset!$A$2:$A$1501,0))</f>
        <v>1</v>
      </c>
      <c r="J996" s="25" t="n">
        <f aca="false">INDEX(customer_churn_dataset!$T$2:$T$1501,MATCH($A997,customer_churn_dataset!$A$2:$A$1501,0))</f>
        <v>8</v>
      </c>
      <c r="K996" s="25" t="str">
        <f aca="false">INDEX(customer_churn_dataset!$V$2:$V$1501,MATCH($A997,customer_churn_dataset!$A$2:$A$1501,0))</f>
        <v>High Risk</v>
      </c>
    </row>
    <row r="997" customFormat="false" ht="12.8" hidden="true" customHeight="false" outlineLevel="0" collapsed="false">
      <c r="A997" s="22" t="str">
        <f aca="false">customer_churn_dataset!A185</f>
        <v>CUST101172</v>
      </c>
      <c r="B997" s="22" t="str">
        <f aca="false">customer_churn_dataset!B185</f>
        <v>Standard</v>
      </c>
      <c r="C997" s="22" t="str">
        <f aca="false">customer_churn_dataset!C185</f>
        <v>Month-to-month</v>
      </c>
      <c r="D997" s="0" t="n">
        <f aca="false">INDEX(customer_churn_dataset!$E$2:$E$1501,MATCH($A998,customer_churn_dataset!$A$2:$A$1501,0))</f>
        <v>52</v>
      </c>
      <c r="E997" s="0" t="n">
        <f aca="false">INDEX(customer_churn_dataset!$I$2:$I$1501,MATCH($A998,customer_churn_dataset!$A$2:$A$1501,0))</f>
        <v>41.8</v>
      </c>
      <c r="F997" s="0" t="n">
        <f aca="false">INDEX(customer_churn_dataset!$L$2:$L$1501,MATCH($A998,customer_churn_dataset!$A$2:$A$1501,0))</f>
        <v>3</v>
      </c>
      <c r="G997" s="0" t="str">
        <f aca="false">IF(INDEX(customer_churn_dataset!$M$2:$M$1501,MATCH($A998,customer_churn_dataset!$A$2:$A$1501,0))=1,"Yes","No")</f>
        <v>No</v>
      </c>
      <c r="H997" s="0" t="n">
        <f aca="false">INDEX(customer_churn_dataset!$N$2:$N$1501,MATCH($A998,customer_churn_dataset!$A$2:$A$1501,0))</f>
        <v>542.36</v>
      </c>
      <c r="I997" s="0" t="n">
        <f aca="false">INDEX(customer_churn_dataset!$O$2:$O$1501,MATCH($A998,customer_churn_dataset!$A$2:$A$1501,0))</f>
        <v>0</v>
      </c>
      <c r="J997" s="0" t="n">
        <f aca="false">INDEX(customer_churn_dataset!$T$2:$T$1501,MATCH($A998,customer_churn_dataset!$A$2:$A$1501,0))</f>
        <v>4</v>
      </c>
      <c r="K997" s="0" t="str">
        <f aca="false">INDEX(customer_churn_dataset!$V$2:$V$1501,MATCH($A998,customer_churn_dataset!$A$2:$A$1501,0))</f>
        <v>Medium Risk</v>
      </c>
    </row>
    <row r="998" customFormat="false" ht="12.8" hidden="true" customHeight="false" outlineLevel="0" collapsed="false">
      <c r="A998" s="22" t="str">
        <f aca="false">customer_churn_dataset!A190</f>
        <v>CUST101100</v>
      </c>
      <c r="B998" s="22" t="str">
        <f aca="false">customer_churn_dataset!B190</f>
        <v>Basic</v>
      </c>
      <c r="C998" s="22" t="str">
        <f aca="false">customer_churn_dataset!C190</f>
        <v>Month-to-month</v>
      </c>
      <c r="D998" s="0" t="n">
        <f aca="false">INDEX(customer_churn_dataset!$E$2:$E$1501,MATCH($A999,customer_churn_dataset!$A$2:$A$1501,0))</f>
        <v>12</v>
      </c>
      <c r="E998" s="0" t="n">
        <f aca="false">INDEX(customer_churn_dataset!$I$2:$I$1501,MATCH($A999,customer_churn_dataset!$A$2:$A$1501,0))</f>
        <v>46.6</v>
      </c>
      <c r="F998" s="0" t="n">
        <f aca="false">INDEX(customer_churn_dataset!$L$2:$L$1501,MATCH($A999,customer_churn_dataset!$A$2:$A$1501,0))</f>
        <v>0</v>
      </c>
      <c r="G998" s="0" t="str">
        <f aca="false">IF(INDEX(customer_churn_dataset!$M$2:$M$1501,MATCH($A999,customer_churn_dataset!$A$2:$A$1501,0))=1,"Yes","No")</f>
        <v>No</v>
      </c>
      <c r="H998" s="0" t="n">
        <f aca="false">INDEX(customer_churn_dataset!$N$2:$N$1501,MATCH($A999,customer_churn_dataset!$A$2:$A$1501,0))</f>
        <v>92.88</v>
      </c>
      <c r="I998" s="0" t="n">
        <f aca="false">INDEX(customer_churn_dataset!$O$2:$O$1501,MATCH($A999,customer_churn_dataset!$A$2:$A$1501,0))</f>
        <v>0</v>
      </c>
      <c r="J998" s="0" t="n">
        <f aca="false">INDEX(customer_churn_dataset!$T$2:$T$1501,MATCH($A999,customer_churn_dataset!$A$2:$A$1501,0))</f>
        <v>3</v>
      </c>
      <c r="K998" s="0" t="str">
        <f aca="false">INDEX(customer_churn_dataset!$V$2:$V$1501,MATCH($A999,customer_churn_dataset!$A$2:$A$1501,0))</f>
        <v>Medium Risk</v>
      </c>
    </row>
    <row r="999" customFormat="false" ht="12.8" hidden="false" customHeight="false" outlineLevel="0" collapsed="false">
      <c r="A999" s="23" t="str">
        <f aca="false">customer_churn_dataset!A198</f>
        <v>CUST101435</v>
      </c>
      <c r="B999" s="24" t="str">
        <f aca="false">customer_churn_dataset!B198</f>
        <v>Basic</v>
      </c>
      <c r="C999" s="24" t="str">
        <f aca="false">customer_churn_dataset!C198</f>
        <v>Month-to-month</v>
      </c>
      <c r="D999" s="25" t="n">
        <f aca="false">INDEX(customer_churn_dataset!$E$2:$E$1501,MATCH($A1000,customer_churn_dataset!$A$2:$A$1501,0))</f>
        <v>12</v>
      </c>
      <c r="E999" s="25" t="n">
        <f aca="false">INDEX(customer_churn_dataset!$I$2:$I$1501,MATCH($A1000,customer_churn_dataset!$A$2:$A$1501,0))</f>
        <v>25.8</v>
      </c>
      <c r="F999" s="25" t="n">
        <f aca="false">INDEX(customer_churn_dataset!$L$2:$L$1501,MATCH($A1000,customer_churn_dataset!$A$2:$A$1501,0))</f>
        <v>2</v>
      </c>
      <c r="G999" s="25" t="str">
        <f aca="false">IF(INDEX(customer_churn_dataset!$M$2:$M$1501,MATCH($A1000,customer_churn_dataset!$A$2:$A$1501,0))=1,"Yes","No")</f>
        <v>Yes</v>
      </c>
      <c r="H999" s="25" t="n">
        <f aca="false">INDEX(customer_churn_dataset!$N$2:$N$1501,MATCH($A1000,customer_churn_dataset!$A$2:$A$1501,0))</f>
        <v>471.96</v>
      </c>
      <c r="I999" s="25" t="n">
        <f aca="false">INDEX(customer_churn_dataset!$O$2:$O$1501,MATCH($A1000,customer_churn_dataset!$A$2:$A$1501,0))</f>
        <v>0</v>
      </c>
      <c r="J999" s="25" t="n">
        <f aca="false">INDEX(customer_churn_dataset!$T$2:$T$1501,MATCH($A1000,customer_churn_dataset!$A$2:$A$1501,0))</f>
        <v>8</v>
      </c>
      <c r="K999" s="25" t="str">
        <f aca="false">INDEX(customer_churn_dataset!$V$2:$V$1501,MATCH($A1000,customer_churn_dataset!$A$2:$A$1501,0))</f>
        <v>High Risk</v>
      </c>
    </row>
    <row r="1000" customFormat="false" ht="12.8" hidden="true" customHeight="false" outlineLevel="0" collapsed="false">
      <c r="A1000" s="22" t="str">
        <f aca="false">customer_churn_dataset!A208</f>
        <v>CUST100892</v>
      </c>
      <c r="B1000" s="22" t="str">
        <f aca="false">customer_churn_dataset!B208</f>
        <v>Premium</v>
      </c>
      <c r="C1000" s="22" t="str">
        <f aca="false">customer_churn_dataset!C208</f>
        <v>Month-to-month</v>
      </c>
      <c r="D1000" s="0" t="n">
        <f aca="false">INDEX(customer_churn_dataset!$E$2:$E$1501,MATCH($A1001,customer_churn_dataset!$A$2:$A$1501,0))</f>
        <v>16</v>
      </c>
      <c r="E1000" s="0" t="n">
        <f aca="false">INDEX(customer_churn_dataset!$I$2:$I$1501,MATCH($A1001,customer_churn_dataset!$A$2:$A$1501,0))</f>
        <v>28.6</v>
      </c>
      <c r="F1000" s="0" t="n">
        <f aca="false">INDEX(customer_churn_dataset!$L$2:$L$1501,MATCH($A1001,customer_churn_dataset!$A$2:$A$1501,0))</f>
        <v>2</v>
      </c>
      <c r="G1000" s="0" t="str">
        <f aca="false">IF(INDEX(customer_churn_dataset!$M$2:$M$1501,MATCH($A1001,customer_churn_dataset!$A$2:$A$1501,0))=1,"Yes","No")</f>
        <v>No</v>
      </c>
      <c r="H1000" s="0" t="n">
        <f aca="false">INDEX(customer_churn_dataset!$N$2:$N$1501,MATCH($A1001,customer_churn_dataset!$A$2:$A$1501,0))</f>
        <v>644.32</v>
      </c>
      <c r="I1000" s="0" t="n">
        <f aca="false">INDEX(customer_churn_dataset!$O$2:$O$1501,MATCH($A1001,customer_churn_dataset!$A$2:$A$1501,0))</f>
        <v>0</v>
      </c>
      <c r="J1000" s="0" t="n">
        <f aca="false">INDEX(customer_churn_dataset!$T$2:$T$1501,MATCH($A1001,customer_churn_dataset!$A$2:$A$1501,0))</f>
        <v>5</v>
      </c>
      <c r="K1000" s="0" t="str">
        <f aca="false">INDEX(customer_churn_dataset!$V$2:$V$1501,MATCH($A1001,customer_churn_dataset!$A$2:$A$1501,0))</f>
        <v>Medium Risk</v>
      </c>
    </row>
    <row r="1001" customFormat="false" ht="12.8" hidden="true" customHeight="false" outlineLevel="0" collapsed="false">
      <c r="A1001" s="22" t="str">
        <f aca="false">customer_churn_dataset!A215</f>
        <v>CUST100725</v>
      </c>
      <c r="B1001" s="22" t="str">
        <f aca="false">customer_churn_dataset!B215</f>
        <v>Premium</v>
      </c>
      <c r="C1001" s="22" t="str">
        <f aca="false">customer_churn_dataset!C215</f>
        <v>Month-to-month</v>
      </c>
      <c r="D1001" s="0" t="n">
        <f aca="false">INDEX(customer_churn_dataset!$E$2:$E$1501,MATCH($A1002,customer_churn_dataset!$A$2:$A$1501,0))</f>
        <v>12</v>
      </c>
      <c r="E1001" s="0" t="n">
        <f aca="false">INDEX(customer_churn_dataset!$I$2:$I$1501,MATCH($A1002,customer_churn_dataset!$A$2:$A$1501,0))</f>
        <v>1.5</v>
      </c>
      <c r="F1001" s="0" t="n">
        <f aca="false">INDEX(customer_churn_dataset!$L$2:$L$1501,MATCH($A1002,customer_churn_dataset!$A$2:$A$1501,0))</f>
        <v>5</v>
      </c>
      <c r="G1001" s="0" t="str">
        <f aca="false">IF(INDEX(customer_churn_dataset!$M$2:$M$1501,MATCH($A1002,customer_churn_dataset!$A$2:$A$1501,0))=1,"Yes","No")</f>
        <v>No</v>
      </c>
      <c r="H1001" s="0" t="n">
        <f aca="false">INDEX(customer_churn_dataset!$N$2:$N$1501,MATCH($A1002,customer_churn_dataset!$A$2:$A$1501,0))</f>
        <v>233.28</v>
      </c>
      <c r="I1001" s="0" t="n">
        <f aca="false">INDEX(customer_churn_dataset!$O$2:$O$1501,MATCH($A1002,customer_churn_dataset!$A$2:$A$1501,0))</f>
        <v>0</v>
      </c>
      <c r="J1001" s="0" t="n">
        <f aca="false">INDEX(customer_churn_dataset!$T$2:$T$1501,MATCH($A1002,customer_churn_dataset!$A$2:$A$1501,0))</f>
        <v>5</v>
      </c>
      <c r="K1001" s="0" t="str">
        <f aca="false">INDEX(customer_churn_dataset!$V$2:$V$1501,MATCH($A1002,customer_churn_dataset!$A$2:$A$1501,0))</f>
        <v>Medium Risk</v>
      </c>
    </row>
    <row r="1002" customFormat="false" ht="12.8" hidden="true" customHeight="false" outlineLevel="0" collapsed="false">
      <c r="A1002" s="22" t="str">
        <f aca="false">customer_churn_dataset!A236</f>
        <v>CUST100341</v>
      </c>
      <c r="B1002" s="22" t="str">
        <f aca="false">customer_churn_dataset!B236</f>
        <v>Standard</v>
      </c>
      <c r="C1002" s="22" t="str">
        <f aca="false">customer_churn_dataset!C236</f>
        <v>Month-to-month</v>
      </c>
      <c r="D1002" s="0" t="n">
        <f aca="false">INDEX(customer_churn_dataset!$E$2:$E$1501,MATCH($A1003,customer_churn_dataset!$A$2:$A$1501,0))</f>
        <v>29</v>
      </c>
      <c r="E1002" s="0" t="n">
        <f aca="false">INDEX(customer_churn_dataset!$I$2:$I$1501,MATCH($A1003,customer_churn_dataset!$A$2:$A$1501,0))</f>
        <v>58.7</v>
      </c>
      <c r="F1002" s="0" t="n">
        <f aca="false">INDEX(customer_churn_dataset!$L$2:$L$1501,MATCH($A1003,customer_churn_dataset!$A$2:$A$1501,0))</f>
        <v>0</v>
      </c>
      <c r="G1002" s="0" t="str">
        <f aca="false">IF(INDEX(customer_churn_dataset!$M$2:$M$1501,MATCH($A1003,customer_churn_dataset!$A$2:$A$1501,0))=1,"Yes","No")</f>
        <v>No</v>
      </c>
      <c r="H1002" s="0" t="n">
        <f aca="false">INDEX(customer_churn_dataset!$N$2:$N$1501,MATCH($A1003,customer_churn_dataset!$A$2:$A$1501,0))</f>
        <v>573.91</v>
      </c>
      <c r="I1002" s="0" t="n">
        <f aca="false">INDEX(customer_churn_dataset!$O$2:$O$1501,MATCH($A1003,customer_churn_dataset!$A$2:$A$1501,0))</f>
        <v>0</v>
      </c>
      <c r="J1002" s="0" t="n">
        <f aca="false">INDEX(customer_churn_dataset!$T$2:$T$1501,MATCH($A1003,customer_churn_dataset!$A$2:$A$1501,0))</f>
        <v>1</v>
      </c>
      <c r="K1002" s="0" t="str">
        <f aca="false">INDEX(customer_churn_dataset!$V$2:$V$1501,MATCH($A1003,customer_churn_dataset!$A$2:$A$1501,0))</f>
        <v>Low Risk</v>
      </c>
    </row>
    <row r="1003" customFormat="false" ht="12.8" hidden="true" customHeight="false" outlineLevel="0" collapsed="false">
      <c r="A1003" s="22" t="str">
        <f aca="false">customer_churn_dataset!A238</f>
        <v>CUST100081</v>
      </c>
      <c r="B1003" s="22" t="str">
        <f aca="false">customer_churn_dataset!B238</f>
        <v>Standard</v>
      </c>
      <c r="C1003" s="22" t="str">
        <f aca="false">customer_churn_dataset!C238</f>
        <v>One year</v>
      </c>
      <c r="D1003" s="0" t="n">
        <f aca="false">INDEX(customer_churn_dataset!$E$2:$E$1501,MATCH($A1004,customer_churn_dataset!$A$2:$A$1501,0))</f>
        <v>4</v>
      </c>
      <c r="E1003" s="0" t="n">
        <f aca="false">INDEX(customer_churn_dataset!$I$2:$I$1501,MATCH($A1004,customer_churn_dataset!$A$2:$A$1501,0))</f>
        <v>61</v>
      </c>
      <c r="F1003" s="0" t="n">
        <f aca="false">INDEX(customer_churn_dataset!$L$2:$L$1501,MATCH($A1004,customer_churn_dataset!$A$2:$A$1501,0))</f>
        <v>0</v>
      </c>
      <c r="G1003" s="0" t="str">
        <f aca="false">IF(INDEX(customer_churn_dataset!$M$2:$M$1501,MATCH($A1004,customer_churn_dataset!$A$2:$A$1501,0))=1,"Yes","No")</f>
        <v>No</v>
      </c>
      <c r="H1003" s="0" t="n">
        <f aca="false">INDEX(customer_churn_dataset!$N$2:$N$1501,MATCH($A1004,customer_churn_dataset!$A$2:$A$1501,0))</f>
        <v>42.04</v>
      </c>
      <c r="I1003" s="0" t="n">
        <f aca="false">INDEX(customer_churn_dataset!$O$2:$O$1501,MATCH($A1004,customer_churn_dataset!$A$2:$A$1501,0))</f>
        <v>0</v>
      </c>
      <c r="J1003" s="0" t="n">
        <f aca="false">INDEX(customer_churn_dataset!$T$2:$T$1501,MATCH($A1004,customer_churn_dataset!$A$2:$A$1501,0))</f>
        <v>3</v>
      </c>
      <c r="K1003" s="0" t="str">
        <f aca="false">INDEX(customer_churn_dataset!$V$2:$V$1501,MATCH($A1004,customer_churn_dataset!$A$2:$A$1501,0))</f>
        <v>Medium Risk</v>
      </c>
    </row>
    <row r="1004" customFormat="false" ht="12.8" hidden="true" customHeight="false" outlineLevel="0" collapsed="false">
      <c r="A1004" s="22" t="str">
        <f aca="false">customer_churn_dataset!A249</f>
        <v>CUST101135</v>
      </c>
      <c r="B1004" s="22" t="str">
        <f aca="false">customer_churn_dataset!B249</f>
        <v>Basic</v>
      </c>
      <c r="C1004" s="22" t="str">
        <f aca="false">customer_churn_dataset!C249</f>
        <v>Month-to-month</v>
      </c>
      <c r="D1004" s="0" t="n">
        <f aca="false">INDEX(customer_churn_dataset!$E$2:$E$1501,MATCH($A1005,customer_churn_dataset!$A$2:$A$1501,0))</f>
        <v>12</v>
      </c>
      <c r="E1004" s="0" t="n">
        <f aca="false">INDEX(customer_churn_dataset!$I$2:$I$1501,MATCH($A1005,customer_churn_dataset!$A$2:$A$1501,0))</f>
        <v>61.6</v>
      </c>
      <c r="F1004" s="0" t="n">
        <f aca="false">INDEX(customer_churn_dataset!$L$2:$L$1501,MATCH($A1005,customer_churn_dataset!$A$2:$A$1501,0))</f>
        <v>2</v>
      </c>
      <c r="G1004" s="0" t="str">
        <f aca="false">IF(INDEX(customer_churn_dataset!$M$2:$M$1501,MATCH($A1005,customer_churn_dataset!$A$2:$A$1501,0))=1,"Yes","No")</f>
        <v>No</v>
      </c>
      <c r="H1004" s="0" t="n">
        <f aca="false">INDEX(customer_churn_dataset!$N$2:$N$1501,MATCH($A1005,customer_churn_dataset!$A$2:$A$1501,0))</f>
        <v>100.56</v>
      </c>
      <c r="I1004" s="0" t="n">
        <f aca="false">INDEX(customer_churn_dataset!$O$2:$O$1501,MATCH($A1005,customer_churn_dataset!$A$2:$A$1501,0))</f>
        <v>0</v>
      </c>
      <c r="J1004" s="0" t="n">
        <f aca="false">INDEX(customer_churn_dataset!$T$2:$T$1501,MATCH($A1005,customer_churn_dataset!$A$2:$A$1501,0))</f>
        <v>3</v>
      </c>
      <c r="K1004" s="0" t="str">
        <f aca="false">INDEX(customer_churn_dataset!$V$2:$V$1501,MATCH($A1005,customer_churn_dataset!$A$2:$A$1501,0))</f>
        <v>Medium Risk</v>
      </c>
    </row>
    <row r="1005" customFormat="false" ht="12.8" hidden="true" customHeight="false" outlineLevel="0" collapsed="false">
      <c r="A1005" s="22" t="str">
        <f aca="false">customer_churn_dataset!A268</f>
        <v>CUST100213</v>
      </c>
      <c r="B1005" s="22" t="str">
        <f aca="false">customer_churn_dataset!B268</f>
        <v>Basic</v>
      </c>
      <c r="C1005" s="22" t="str">
        <f aca="false">customer_churn_dataset!C268</f>
        <v>Month-to-month</v>
      </c>
      <c r="D1005" s="0" t="n">
        <f aca="false">INDEX(customer_churn_dataset!$E$2:$E$1501,MATCH($A1006,customer_churn_dataset!$A$2:$A$1501,0))</f>
        <v>29</v>
      </c>
      <c r="E1005" s="0" t="n">
        <f aca="false">INDEX(customer_churn_dataset!$I$2:$I$1501,MATCH($A1006,customer_churn_dataset!$A$2:$A$1501,0))</f>
        <v>100</v>
      </c>
      <c r="F1005" s="0" t="n">
        <f aca="false">INDEX(customer_churn_dataset!$L$2:$L$1501,MATCH($A1006,customer_churn_dataset!$A$2:$A$1501,0))</f>
        <v>0</v>
      </c>
      <c r="G1005" s="0" t="str">
        <f aca="false">IF(INDEX(customer_churn_dataset!$M$2:$M$1501,MATCH($A1006,customer_churn_dataset!$A$2:$A$1501,0))=1,"Yes","No")</f>
        <v>No</v>
      </c>
      <c r="H1005" s="0" t="n">
        <f aca="false">INDEX(customer_churn_dataset!$N$2:$N$1501,MATCH($A1006,customer_churn_dataset!$A$2:$A$1501,0))</f>
        <v>341.33</v>
      </c>
      <c r="I1005" s="0" t="n">
        <f aca="false">INDEX(customer_churn_dataset!$O$2:$O$1501,MATCH($A1006,customer_churn_dataset!$A$2:$A$1501,0))</f>
        <v>0</v>
      </c>
      <c r="J1005" s="0" t="n">
        <f aca="false">INDEX(customer_churn_dataset!$T$2:$T$1501,MATCH($A1006,customer_churn_dataset!$A$2:$A$1501,0))</f>
        <v>2</v>
      </c>
      <c r="K1005" s="0" t="str">
        <f aca="false">INDEX(customer_churn_dataset!$V$2:$V$1501,MATCH($A1006,customer_churn_dataset!$A$2:$A$1501,0))</f>
        <v>Low Risk</v>
      </c>
    </row>
    <row r="1006" customFormat="false" ht="12.8" hidden="true" customHeight="false" outlineLevel="0" collapsed="false">
      <c r="A1006" s="22" t="str">
        <f aca="false">customer_churn_dataset!A272</f>
        <v>CUST100691</v>
      </c>
      <c r="B1006" s="22" t="str">
        <f aca="false">customer_churn_dataset!B272</f>
        <v>Basic</v>
      </c>
      <c r="C1006" s="22" t="str">
        <f aca="false">customer_churn_dataset!C272</f>
        <v>Month-to-month</v>
      </c>
      <c r="D1006" s="0" t="n">
        <f aca="false">INDEX(customer_churn_dataset!$E$2:$E$1501,MATCH($A1007,customer_churn_dataset!$A$2:$A$1501,0))</f>
        <v>0</v>
      </c>
      <c r="E1006" s="0" t="n">
        <f aca="false">INDEX(customer_churn_dataset!$I$2:$I$1501,MATCH($A1007,customer_churn_dataset!$A$2:$A$1501,0))</f>
        <v>46.6</v>
      </c>
      <c r="F1006" s="0" t="n">
        <f aca="false">INDEX(customer_churn_dataset!$L$2:$L$1501,MATCH($A1007,customer_churn_dataset!$A$2:$A$1501,0))</f>
        <v>1</v>
      </c>
      <c r="G1006" s="0" t="str">
        <f aca="false">IF(INDEX(customer_churn_dataset!$M$2:$M$1501,MATCH($A1007,customer_churn_dataset!$A$2:$A$1501,0))=1,"Yes","No")</f>
        <v>Yes</v>
      </c>
      <c r="H1006" s="0" t="n">
        <f aca="false">INDEX(customer_churn_dataset!$N$2:$N$1501,MATCH($A1007,customer_churn_dataset!$A$2:$A$1501,0))</f>
        <v>0</v>
      </c>
      <c r="I1006" s="0" t="n">
        <f aca="false">INDEX(customer_churn_dataset!$O$2:$O$1501,MATCH($A1007,customer_churn_dataset!$A$2:$A$1501,0))</f>
        <v>0</v>
      </c>
      <c r="J1006" s="0" t="n">
        <f aca="false">INDEX(customer_churn_dataset!$T$2:$T$1501,MATCH($A1007,customer_churn_dataset!$A$2:$A$1501,0))</f>
        <v>7</v>
      </c>
      <c r="K1006" s="0" t="str">
        <f aca="false">INDEX(customer_churn_dataset!$V$2:$V$1501,MATCH($A1007,customer_churn_dataset!$A$2:$A$1501,0))</f>
        <v>High Risk</v>
      </c>
    </row>
    <row r="1007" customFormat="false" ht="12.8" hidden="true" customHeight="false" outlineLevel="0" collapsed="false">
      <c r="A1007" s="22" t="str">
        <f aca="false">customer_churn_dataset!A282</f>
        <v>CUST101268</v>
      </c>
      <c r="B1007" s="22" t="str">
        <f aca="false">customer_churn_dataset!B282</f>
        <v>Standard</v>
      </c>
      <c r="C1007" s="22" t="str">
        <f aca="false">customer_churn_dataset!C282</f>
        <v>Month-to-month</v>
      </c>
      <c r="D1007" s="0" t="n">
        <f aca="false">INDEX(customer_churn_dataset!$E$2:$E$1501,MATCH($A1008,customer_churn_dataset!$A$2:$A$1501,0))</f>
        <v>27</v>
      </c>
      <c r="E1007" s="0" t="n">
        <f aca="false">INDEX(customer_churn_dataset!$I$2:$I$1501,MATCH($A1008,customer_churn_dataset!$A$2:$A$1501,0))</f>
        <v>34.1</v>
      </c>
      <c r="F1007" s="0" t="n">
        <f aca="false">INDEX(customer_churn_dataset!$L$2:$L$1501,MATCH($A1008,customer_churn_dataset!$A$2:$A$1501,0))</f>
        <v>2</v>
      </c>
      <c r="G1007" s="0" t="str">
        <f aca="false">IF(INDEX(customer_churn_dataset!$M$2:$M$1501,MATCH($A1008,customer_churn_dataset!$A$2:$A$1501,0))=1,"Yes","No")</f>
        <v>No</v>
      </c>
      <c r="H1007" s="0" t="n">
        <f aca="false">INDEX(customer_churn_dataset!$N$2:$N$1501,MATCH($A1008,customer_churn_dataset!$A$2:$A$1501,0))</f>
        <v>277.29</v>
      </c>
      <c r="I1007" s="0" t="n">
        <f aca="false">INDEX(customer_churn_dataset!$O$2:$O$1501,MATCH($A1008,customer_churn_dataset!$A$2:$A$1501,0))</f>
        <v>0</v>
      </c>
      <c r="J1007" s="0" t="n">
        <f aca="false">INDEX(customer_churn_dataset!$T$2:$T$1501,MATCH($A1008,customer_churn_dataset!$A$2:$A$1501,0))</f>
        <v>4</v>
      </c>
      <c r="K1007" s="0" t="str">
        <f aca="false">INDEX(customer_churn_dataset!$V$2:$V$1501,MATCH($A1008,customer_churn_dataset!$A$2:$A$1501,0))</f>
        <v>Medium Risk</v>
      </c>
    </row>
    <row r="1008" customFormat="false" ht="12.8" hidden="true" customHeight="false" outlineLevel="0" collapsed="false">
      <c r="A1008" s="22" t="str">
        <f aca="false">customer_churn_dataset!A289</f>
        <v>CUST100528</v>
      </c>
      <c r="B1008" s="22" t="str">
        <f aca="false">customer_churn_dataset!B289</f>
        <v>Basic</v>
      </c>
      <c r="C1008" s="22" t="str">
        <f aca="false">customer_churn_dataset!C289</f>
        <v>One year</v>
      </c>
      <c r="D1008" s="0" t="n">
        <f aca="false">INDEX(customer_churn_dataset!$E$2:$E$1501,MATCH($A1009,customer_churn_dataset!$A$2:$A$1501,0))</f>
        <v>3</v>
      </c>
      <c r="E1008" s="0" t="n">
        <f aca="false">INDEX(customer_churn_dataset!$I$2:$I$1501,MATCH($A1009,customer_churn_dataset!$A$2:$A$1501,0))</f>
        <v>42.9</v>
      </c>
      <c r="F1008" s="0" t="n">
        <f aca="false">INDEX(customer_churn_dataset!$L$2:$L$1501,MATCH($A1009,customer_churn_dataset!$A$2:$A$1501,0))</f>
        <v>2</v>
      </c>
      <c r="G1008" s="0" t="str">
        <f aca="false">IF(INDEX(customer_churn_dataset!$M$2:$M$1501,MATCH($A1009,customer_churn_dataset!$A$2:$A$1501,0))=1,"Yes","No")</f>
        <v>No</v>
      </c>
      <c r="H1008" s="0" t="n">
        <f aca="false">INDEX(customer_churn_dataset!$N$2:$N$1501,MATCH($A1009,customer_churn_dataset!$A$2:$A$1501,0))</f>
        <v>59.76</v>
      </c>
      <c r="I1008" s="0" t="n">
        <f aca="false">INDEX(customer_churn_dataset!$O$2:$O$1501,MATCH($A1009,customer_churn_dataset!$A$2:$A$1501,0))</f>
        <v>1</v>
      </c>
      <c r="J1008" s="0" t="n">
        <f aca="false">INDEX(customer_churn_dataset!$T$2:$T$1501,MATCH($A1009,customer_churn_dataset!$A$2:$A$1501,0))</f>
        <v>5</v>
      </c>
      <c r="K1008" s="0" t="str">
        <f aca="false">INDEX(customer_churn_dataset!$V$2:$V$1501,MATCH($A1009,customer_churn_dataset!$A$2:$A$1501,0))</f>
        <v>Medium Risk</v>
      </c>
    </row>
    <row r="1009" customFormat="false" ht="12.8" hidden="true" customHeight="false" outlineLevel="0" collapsed="false">
      <c r="A1009" s="22" t="str">
        <f aca="false">customer_churn_dataset!A302</f>
        <v>CUST101292</v>
      </c>
      <c r="B1009" s="22" t="str">
        <f aca="false">customer_churn_dataset!B302</f>
        <v>Standard</v>
      </c>
      <c r="C1009" s="22" t="str">
        <f aca="false">customer_churn_dataset!C302</f>
        <v>Month-to-month</v>
      </c>
      <c r="D1009" s="0" t="n">
        <f aca="false">INDEX(customer_churn_dataset!$E$2:$E$1501,MATCH($A1010,customer_churn_dataset!$A$2:$A$1501,0))</f>
        <v>53</v>
      </c>
      <c r="E1009" s="0" t="n">
        <f aca="false">INDEX(customer_churn_dataset!$I$2:$I$1501,MATCH($A1010,customer_churn_dataset!$A$2:$A$1501,0))</f>
        <v>48.9</v>
      </c>
      <c r="F1009" s="0" t="n">
        <f aca="false">INDEX(customer_churn_dataset!$L$2:$L$1501,MATCH($A1010,customer_churn_dataset!$A$2:$A$1501,0))</f>
        <v>1</v>
      </c>
      <c r="G1009" s="0" t="str">
        <f aca="false">IF(INDEX(customer_churn_dataset!$M$2:$M$1501,MATCH($A1010,customer_churn_dataset!$A$2:$A$1501,0))=1,"Yes","No")</f>
        <v>No</v>
      </c>
      <c r="H1009" s="0" t="n">
        <f aca="false">INDEX(customer_churn_dataset!$N$2:$N$1501,MATCH($A1010,customer_churn_dataset!$A$2:$A$1501,0))</f>
        <v>2120</v>
      </c>
      <c r="I1009" s="0" t="n">
        <f aca="false">INDEX(customer_churn_dataset!$O$2:$O$1501,MATCH($A1010,customer_churn_dataset!$A$2:$A$1501,0))</f>
        <v>1</v>
      </c>
      <c r="J1009" s="0" t="n">
        <f aca="false">INDEX(customer_churn_dataset!$T$2:$T$1501,MATCH($A1010,customer_churn_dataset!$A$2:$A$1501,0))</f>
        <v>3</v>
      </c>
      <c r="K1009" s="0" t="str">
        <f aca="false">INDEX(customer_churn_dataset!$V$2:$V$1501,MATCH($A1010,customer_churn_dataset!$A$2:$A$1501,0))</f>
        <v>Medium Risk</v>
      </c>
    </row>
    <row r="1010" customFormat="false" ht="12.8" hidden="true" customHeight="false" outlineLevel="0" collapsed="false">
      <c r="A1010" s="22" t="str">
        <f aca="false">customer_churn_dataset!A307</f>
        <v>CUST100313</v>
      </c>
      <c r="B1010" s="22" t="str">
        <f aca="false">customer_churn_dataset!B307</f>
        <v>Premium</v>
      </c>
      <c r="C1010" s="22" t="str">
        <f aca="false">customer_churn_dataset!C307</f>
        <v>Month-to-month</v>
      </c>
      <c r="D1010" s="0" t="n">
        <f aca="false">INDEX(customer_churn_dataset!$E$2:$E$1501,MATCH($A1011,customer_churn_dataset!$A$2:$A$1501,0))</f>
        <v>45</v>
      </c>
      <c r="E1010" s="0" t="n">
        <f aca="false">INDEX(customer_churn_dataset!$I$2:$I$1501,MATCH($A1011,customer_churn_dataset!$A$2:$A$1501,0))</f>
        <v>36.5</v>
      </c>
      <c r="F1010" s="0" t="n">
        <f aca="false">INDEX(customer_churn_dataset!$L$2:$L$1501,MATCH($A1011,customer_churn_dataset!$A$2:$A$1501,0))</f>
        <v>0</v>
      </c>
      <c r="G1010" s="0" t="str">
        <f aca="false">IF(INDEX(customer_churn_dataset!$M$2:$M$1501,MATCH($A1011,customer_churn_dataset!$A$2:$A$1501,0))=1,"Yes","No")</f>
        <v>No</v>
      </c>
      <c r="H1010" s="0" t="n">
        <f aca="false">INDEX(customer_churn_dataset!$N$2:$N$1501,MATCH($A1011,customer_churn_dataset!$A$2:$A$1501,0))</f>
        <v>420.3</v>
      </c>
      <c r="I1010" s="0" t="n">
        <f aca="false">INDEX(customer_churn_dataset!$O$2:$O$1501,MATCH($A1011,customer_churn_dataset!$A$2:$A$1501,0))</f>
        <v>0</v>
      </c>
      <c r="J1010" s="0" t="n">
        <f aca="false">INDEX(customer_churn_dataset!$T$2:$T$1501,MATCH($A1011,customer_churn_dataset!$A$2:$A$1501,0))</f>
        <v>4</v>
      </c>
      <c r="K1010" s="0" t="str">
        <f aca="false">INDEX(customer_churn_dataset!$V$2:$V$1501,MATCH($A1011,customer_churn_dataset!$A$2:$A$1501,0))</f>
        <v>Medium Risk</v>
      </c>
    </row>
    <row r="1011" customFormat="false" ht="12.8" hidden="true" customHeight="false" outlineLevel="0" collapsed="false">
      <c r="A1011" s="22" t="str">
        <f aca="false">customer_churn_dataset!A314</f>
        <v>CUST101233</v>
      </c>
      <c r="B1011" s="22" t="str">
        <f aca="false">customer_churn_dataset!B314</f>
        <v>Basic</v>
      </c>
      <c r="C1011" s="22" t="str">
        <f aca="false">customer_churn_dataset!C314</f>
        <v>Month-to-month</v>
      </c>
      <c r="D1011" s="0" t="n">
        <f aca="false">INDEX(customer_churn_dataset!$E$2:$E$1501,MATCH($A1012,customer_churn_dataset!$A$2:$A$1501,0))</f>
        <v>41</v>
      </c>
      <c r="E1011" s="0" t="n">
        <f aca="false">INDEX(customer_churn_dataset!$I$2:$I$1501,MATCH($A1012,customer_churn_dataset!$A$2:$A$1501,0))</f>
        <v>63.8</v>
      </c>
      <c r="F1011" s="0" t="n">
        <f aca="false">INDEX(customer_churn_dataset!$L$2:$L$1501,MATCH($A1012,customer_churn_dataset!$A$2:$A$1501,0))</f>
        <v>0</v>
      </c>
      <c r="G1011" s="0" t="str">
        <f aca="false">IF(INDEX(customer_churn_dataset!$M$2:$M$1501,MATCH($A1012,customer_churn_dataset!$A$2:$A$1501,0))=1,"Yes","No")</f>
        <v>No</v>
      </c>
      <c r="H1011" s="0" t="n">
        <f aca="false">INDEX(customer_churn_dataset!$N$2:$N$1501,MATCH($A1012,customer_churn_dataset!$A$2:$A$1501,0))</f>
        <v>437.88</v>
      </c>
      <c r="I1011" s="0" t="n">
        <f aca="false">INDEX(customer_churn_dataset!$O$2:$O$1501,MATCH($A1012,customer_churn_dataset!$A$2:$A$1501,0))</f>
        <v>0</v>
      </c>
      <c r="J1011" s="0" t="n">
        <f aca="false">INDEX(customer_churn_dataset!$T$2:$T$1501,MATCH($A1012,customer_churn_dataset!$A$2:$A$1501,0))</f>
        <v>2</v>
      </c>
      <c r="K1011" s="0" t="str">
        <f aca="false">INDEX(customer_churn_dataset!$V$2:$V$1501,MATCH($A1012,customer_churn_dataset!$A$2:$A$1501,0))</f>
        <v>Low Risk</v>
      </c>
    </row>
    <row r="1012" customFormat="false" ht="12.8" hidden="true" customHeight="false" outlineLevel="0" collapsed="false">
      <c r="A1012" s="22" t="str">
        <f aca="false">customer_churn_dataset!A316</f>
        <v>CUST101188</v>
      </c>
      <c r="B1012" s="22" t="str">
        <f aca="false">customer_churn_dataset!B316</f>
        <v>Basic</v>
      </c>
      <c r="C1012" s="22" t="str">
        <f aca="false">customer_churn_dataset!C316</f>
        <v>Month-to-month</v>
      </c>
      <c r="D1012" s="0" t="n">
        <f aca="false">INDEX(customer_churn_dataset!$E$2:$E$1501,MATCH($A1013,customer_churn_dataset!$A$2:$A$1501,0))</f>
        <v>14</v>
      </c>
      <c r="E1012" s="0" t="n">
        <f aca="false">INDEX(customer_churn_dataset!$I$2:$I$1501,MATCH($A1013,customer_churn_dataset!$A$2:$A$1501,0))</f>
        <v>18.9</v>
      </c>
      <c r="F1012" s="0" t="n">
        <f aca="false">INDEX(customer_churn_dataset!$L$2:$L$1501,MATCH($A1013,customer_churn_dataset!$A$2:$A$1501,0))</f>
        <v>3</v>
      </c>
      <c r="G1012" s="0" t="str">
        <f aca="false">IF(INDEX(customer_churn_dataset!$M$2:$M$1501,MATCH($A1013,customer_churn_dataset!$A$2:$A$1501,0))=1,"Yes","No")</f>
        <v>No</v>
      </c>
      <c r="H1012" s="0" t="n">
        <f aca="false">INDEX(customer_churn_dataset!$N$2:$N$1501,MATCH($A1013,customer_churn_dataset!$A$2:$A$1501,0))</f>
        <v>260.68</v>
      </c>
      <c r="I1012" s="0" t="n">
        <f aca="false">INDEX(customer_churn_dataset!$O$2:$O$1501,MATCH($A1013,customer_churn_dataset!$A$2:$A$1501,0))</f>
        <v>0</v>
      </c>
      <c r="J1012" s="0" t="n">
        <f aca="false">INDEX(customer_churn_dataset!$T$2:$T$1501,MATCH($A1013,customer_churn_dataset!$A$2:$A$1501,0))</f>
        <v>4</v>
      </c>
      <c r="K1012" s="0" t="str">
        <f aca="false">INDEX(customer_churn_dataset!$V$2:$V$1501,MATCH($A1013,customer_churn_dataset!$A$2:$A$1501,0))</f>
        <v>Medium Risk</v>
      </c>
    </row>
    <row r="1013" customFormat="false" ht="12.8" hidden="true" customHeight="false" outlineLevel="0" collapsed="false">
      <c r="A1013" s="22" t="str">
        <f aca="false">customer_churn_dataset!A321</f>
        <v>CUST100212</v>
      </c>
      <c r="B1013" s="22" t="str">
        <f aca="false">customer_churn_dataset!B321</f>
        <v>Standard</v>
      </c>
      <c r="C1013" s="22" t="str">
        <f aca="false">customer_churn_dataset!C321</f>
        <v>One year</v>
      </c>
      <c r="D1013" s="0" t="n">
        <f aca="false">INDEX(customer_churn_dataset!$E$2:$E$1501,MATCH($A1014,customer_churn_dataset!$A$2:$A$1501,0))</f>
        <v>3</v>
      </c>
      <c r="E1013" s="0" t="n">
        <f aca="false">INDEX(customer_churn_dataset!$I$2:$I$1501,MATCH($A1014,customer_churn_dataset!$A$2:$A$1501,0))</f>
        <v>51.2</v>
      </c>
      <c r="F1013" s="0" t="n">
        <f aca="false">INDEX(customer_churn_dataset!$L$2:$L$1501,MATCH($A1014,customer_churn_dataset!$A$2:$A$1501,0))</f>
        <v>1</v>
      </c>
      <c r="G1013" s="0" t="str">
        <f aca="false">IF(INDEX(customer_churn_dataset!$M$2:$M$1501,MATCH($A1014,customer_churn_dataset!$A$2:$A$1501,0))=1,"Yes","No")</f>
        <v>No</v>
      </c>
      <c r="H1013" s="0" t="n">
        <f aca="false">INDEX(customer_churn_dataset!$N$2:$N$1501,MATCH($A1014,customer_churn_dataset!$A$2:$A$1501,0))</f>
        <v>60.24</v>
      </c>
      <c r="I1013" s="0" t="n">
        <f aca="false">INDEX(customer_churn_dataset!$O$2:$O$1501,MATCH($A1014,customer_churn_dataset!$A$2:$A$1501,0))</f>
        <v>0</v>
      </c>
      <c r="J1013" s="0" t="n">
        <f aca="false">INDEX(customer_churn_dataset!$T$2:$T$1501,MATCH($A1014,customer_churn_dataset!$A$2:$A$1501,0))</f>
        <v>4</v>
      </c>
      <c r="K1013" s="0" t="str">
        <f aca="false">INDEX(customer_churn_dataset!$V$2:$V$1501,MATCH($A1014,customer_churn_dataset!$A$2:$A$1501,0))</f>
        <v>Medium Risk</v>
      </c>
    </row>
    <row r="1014" customFormat="false" ht="12.8" hidden="true" customHeight="false" outlineLevel="0" collapsed="false">
      <c r="A1014" s="22" t="str">
        <f aca="false">customer_churn_dataset!A324</f>
        <v>CUST100683</v>
      </c>
      <c r="B1014" s="22" t="str">
        <f aca="false">customer_churn_dataset!B324</f>
        <v>Standard</v>
      </c>
      <c r="C1014" s="22" t="str">
        <f aca="false">customer_churn_dataset!C324</f>
        <v>Month-to-month</v>
      </c>
      <c r="D1014" s="0" t="n">
        <f aca="false">INDEX(customer_churn_dataset!$E$2:$E$1501,MATCH($A1015,customer_churn_dataset!$A$2:$A$1501,0))</f>
        <v>4</v>
      </c>
      <c r="E1014" s="0" t="n">
        <f aca="false">INDEX(customer_churn_dataset!$I$2:$I$1501,MATCH($A1015,customer_churn_dataset!$A$2:$A$1501,0))</f>
        <v>43.4</v>
      </c>
      <c r="F1014" s="0" t="n">
        <f aca="false">INDEX(customer_churn_dataset!$L$2:$L$1501,MATCH($A1015,customer_churn_dataset!$A$2:$A$1501,0))</f>
        <v>0</v>
      </c>
      <c r="G1014" s="0" t="str">
        <f aca="false">IF(INDEX(customer_churn_dataset!$M$2:$M$1501,MATCH($A1015,customer_churn_dataset!$A$2:$A$1501,0))=1,"Yes","No")</f>
        <v>No</v>
      </c>
      <c r="H1014" s="0" t="n">
        <f aca="false">INDEX(customer_churn_dataset!$N$2:$N$1501,MATCH($A1015,customer_churn_dataset!$A$2:$A$1501,0))</f>
        <v>69.84</v>
      </c>
      <c r="I1014" s="0" t="n">
        <f aca="false">INDEX(customer_churn_dataset!$O$2:$O$1501,MATCH($A1015,customer_churn_dataset!$A$2:$A$1501,0))</f>
        <v>0</v>
      </c>
      <c r="J1014" s="0" t="n">
        <f aca="false">INDEX(customer_churn_dataset!$T$2:$T$1501,MATCH($A1015,customer_churn_dataset!$A$2:$A$1501,0))</f>
        <v>3</v>
      </c>
      <c r="K1014" s="0" t="str">
        <f aca="false">INDEX(customer_churn_dataset!$V$2:$V$1501,MATCH($A1015,customer_churn_dataset!$A$2:$A$1501,0))</f>
        <v>Medium Risk</v>
      </c>
    </row>
    <row r="1015" customFormat="false" ht="12.8" hidden="true" customHeight="false" outlineLevel="0" collapsed="false">
      <c r="A1015" s="22" t="str">
        <f aca="false">customer_churn_dataset!A329</f>
        <v>CUST100766</v>
      </c>
      <c r="B1015" s="22" t="str">
        <f aca="false">customer_churn_dataset!B329</f>
        <v>Standard</v>
      </c>
      <c r="C1015" s="22" t="str">
        <f aca="false">customer_churn_dataset!C329</f>
        <v>One year</v>
      </c>
      <c r="D1015" s="0" t="n">
        <f aca="false">INDEX(customer_churn_dataset!$E$2:$E$1501,MATCH($A1016,customer_churn_dataset!$A$2:$A$1501,0))</f>
        <v>21</v>
      </c>
      <c r="E1015" s="0" t="n">
        <f aca="false">INDEX(customer_churn_dataset!$I$2:$I$1501,MATCH($A1016,customer_churn_dataset!$A$2:$A$1501,0))</f>
        <v>49</v>
      </c>
      <c r="F1015" s="0" t="n">
        <f aca="false">INDEX(customer_churn_dataset!$L$2:$L$1501,MATCH($A1016,customer_churn_dataset!$A$2:$A$1501,0))</f>
        <v>1</v>
      </c>
      <c r="G1015" s="0" t="str">
        <f aca="false">IF(INDEX(customer_churn_dataset!$M$2:$M$1501,MATCH($A1016,customer_churn_dataset!$A$2:$A$1501,0))=1,"Yes","No")</f>
        <v>No</v>
      </c>
      <c r="H1015" s="0" t="n">
        <f aca="false">INDEX(customer_churn_dataset!$N$2:$N$1501,MATCH($A1016,customer_churn_dataset!$A$2:$A$1501,0))</f>
        <v>839.16</v>
      </c>
      <c r="I1015" s="0" t="n">
        <f aca="false">INDEX(customer_churn_dataset!$O$2:$O$1501,MATCH($A1016,customer_churn_dataset!$A$2:$A$1501,0))</f>
        <v>0</v>
      </c>
      <c r="J1015" s="0" t="n">
        <f aca="false">INDEX(customer_churn_dataset!$T$2:$T$1501,MATCH($A1016,customer_churn_dataset!$A$2:$A$1501,0))</f>
        <v>3</v>
      </c>
      <c r="K1015" s="0" t="str">
        <f aca="false">INDEX(customer_churn_dataset!$V$2:$V$1501,MATCH($A1016,customer_churn_dataset!$A$2:$A$1501,0))</f>
        <v>Medium Risk</v>
      </c>
    </row>
    <row r="1016" customFormat="false" ht="12.8" hidden="true" customHeight="false" outlineLevel="0" collapsed="false">
      <c r="A1016" s="22" t="str">
        <f aca="false">customer_churn_dataset!A340</f>
        <v>CUST100678</v>
      </c>
      <c r="B1016" s="22" t="str">
        <f aca="false">customer_churn_dataset!B340</f>
        <v>Premium</v>
      </c>
      <c r="C1016" s="22" t="str">
        <f aca="false">customer_churn_dataset!C340</f>
        <v>Month-to-month</v>
      </c>
      <c r="D1016" s="0" t="n">
        <f aca="false">INDEX(customer_churn_dataset!$E$2:$E$1501,MATCH($A1017,customer_churn_dataset!$A$2:$A$1501,0))</f>
        <v>65</v>
      </c>
      <c r="E1016" s="0" t="n">
        <f aca="false">INDEX(customer_churn_dataset!$I$2:$I$1501,MATCH($A1017,customer_churn_dataset!$A$2:$A$1501,0))</f>
        <v>39.6</v>
      </c>
      <c r="F1016" s="0" t="n">
        <f aca="false">INDEX(customer_churn_dataset!$L$2:$L$1501,MATCH($A1017,customer_churn_dataset!$A$2:$A$1501,0))</f>
        <v>1</v>
      </c>
      <c r="G1016" s="0" t="str">
        <f aca="false">IF(INDEX(customer_churn_dataset!$M$2:$M$1501,MATCH($A1017,customer_churn_dataset!$A$2:$A$1501,0))=1,"Yes","No")</f>
        <v>Yes</v>
      </c>
      <c r="H1016" s="0" t="n">
        <f aca="false">INDEX(customer_churn_dataset!$N$2:$N$1501,MATCH($A1017,customer_churn_dataset!$A$2:$A$1501,0))</f>
        <v>1258.4</v>
      </c>
      <c r="I1016" s="0" t="n">
        <f aca="false">INDEX(customer_churn_dataset!$O$2:$O$1501,MATCH($A1017,customer_churn_dataset!$A$2:$A$1501,0))</f>
        <v>1</v>
      </c>
      <c r="J1016" s="0" t="n">
        <f aca="false">INDEX(customer_churn_dataset!$T$2:$T$1501,MATCH($A1017,customer_churn_dataset!$A$2:$A$1501,0))</f>
        <v>7</v>
      </c>
      <c r="K1016" s="0" t="str">
        <f aca="false">INDEX(customer_churn_dataset!$V$2:$V$1501,MATCH($A1017,customer_churn_dataset!$A$2:$A$1501,0))</f>
        <v>High Risk</v>
      </c>
    </row>
    <row r="1017" customFormat="false" ht="12.8" hidden="true" customHeight="false" outlineLevel="0" collapsed="false">
      <c r="A1017" s="22" t="str">
        <f aca="false">customer_churn_dataset!A363</f>
        <v>CUST101204</v>
      </c>
      <c r="B1017" s="22" t="str">
        <f aca="false">customer_churn_dataset!B363</f>
        <v>Standard</v>
      </c>
      <c r="C1017" s="22" t="str">
        <f aca="false">customer_churn_dataset!C363</f>
        <v>Month-to-month</v>
      </c>
      <c r="D1017" s="0" t="n">
        <f aca="false">INDEX(customer_churn_dataset!$E$2:$E$1501,MATCH($A1018,customer_churn_dataset!$A$2:$A$1501,0))</f>
        <v>4</v>
      </c>
      <c r="E1017" s="0" t="n">
        <f aca="false">INDEX(customer_churn_dataset!$I$2:$I$1501,MATCH($A1018,customer_churn_dataset!$A$2:$A$1501,0))</f>
        <v>16.2</v>
      </c>
      <c r="F1017" s="0" t="n">
        <f aca="false">INDEX(customer_churn_dataset!$L$2:$L$1501,MATCH($A1018,customer_churn_dataset!$A$2:$A$1501,0))</f>
        <v>7</v>
      </c>
      <c r="G1017" s="0" t="str">
        <f aca="false">IF(INDEX(customer_churn_dataset!$M$2:$M$1501,MATCH($A1018,customer_churn_dataset!$A$2:$A$1501,0))=1,"Yes","No")</f>
        <v>No</v>
      </c>
      <c r="H1017" s="0" t="n">
        <f aca="false">INDEX(customer_churn_dataset!$N$2:$N$1501,MATCH($A1018,customer_churn_dataset!$A$2:$A$1501,0))</f>
        <v>157.8</v>
      </c>
      <c r="I1017" s="0" t="n">
        <f aca="false">INDEX(customer_churn_dataset!$O$2:$O$1501,MATCH($A1018,customer_churn_dataset!$A$2:$A$1501,0))</f>
        <v>1</v>
      </c>
      <c r="J1017" s="0" t="n">
        <f aca="false">INDEX(customer_churn_dataset!$T$2:$T$1501,MATCH($A1018,customer_churn_dataset!$A$2:$A$1501,0))</f>
        <v>4</v>
      </c>
      <c r="K1017" s="0" t="str">
        <f aca="false">INDEX(customer_churn_dataset!$V$2:$V$1501,MATCH($A1018,customer_churn_dataset!$A$2:$A$1501,0))</f>
        <v>Medium Risk</v>
      </c>
    </row>
    <row r="1018" customFormat="false" ht="12.8" hidden="true" customHeight="false" outlineLevel="0" collapsed="false">
      <c r="A1018" s="22" t="str">
        <f aca="false">customer_churn_dataset!A369</f>
        <v>CUST100554</v>
      </c>
      <c r="B1018" s="22" t="str">
        <f aca="false">customer_churn_dataset!B369</f>
        <v>Premium</v>
      </c>
      <c r="C1018" s="22" t="str">
        <f aca="false">customer_churn_dataset!C369</f>
        <v>Two year</v>
      </c>
      <c r="D1018" s="0" t="n">
        <f aca="false">INDEX(customer_churn_dataset!$E$2:$E$1501,MATCH($A1019,customer_churn_dataset!$A$2:$A$1501,0))</f>
        <v>1</v>
      </c>
      <c r="E1018" s="0" t="n">
        <f aca="false">INDEX(customer_churn_dataset!$I$2:$I$1501,MATCH($A1019,customer_churn_dataset!$A$2:$A$1501,0))</f>
        <v>22.5</v>
      </c>
      <c r="F1018" s="0" t="n">
        <f aca="false">INDEX(customer_churn_dataset!$L$2:$L$1501,MATCH($A1019,customer_churn_dataset!$A$2:$A$1501,0))</f>
        <v>0</v>
      </c>
      <c r="G1018" s="0" t="str">
        <f aca="false">IF(INDEX(customer_churn_dataset!$M$2:$M$1501,MATCH($A1019,customer_churn_dataset!$A$2:$A$1501,0))=1,"Yes","No")</f>
        <v>No</v>
      </c>
      <c r="H1018" s="0" t="n">
        <f aca="false">INDEX(customer_churn_dataset!$N$2:$N$1501,MATCH($A1019,customer_churn_dataset!$A$2:$A$1501,0))</f>
        <v>39.78</v>
      </c>
      <c r="I1018" s="0" t="n">
        <f aca="false">INDEX(customer_churn_dataset!$O$2:$O$1501,MATCH($A1019,customer_churn_dataset!$A$2:$A$1501,0))</f>
        <v>1</v>
      </c>
      <c r="J1018" s="0" t="n">
        <f aca="false">INDEX(customer_churn_dataset!$T$2:$T$1501,MATCH($A1019,customer_churn_dataset!$A$2:$A$1501,0))</f>
        <v>5</v>
      </c>
      <c r="K1018" s="0" t="str">
        <f aca="false">INDEX(customer_churn_dataset!$V$2:$V$1501,MATCH($A1019,customer_churn_dataset!$A$2:$A$1501,0))</f>
        <v>Medium Risk</v>
      </c>
    </row>
    <row r="1019" customFormat="false" ht="12.8" hidden="true" customHeight="false" outlineLevel="0" collapsed="false">
      <c r="A1019" s="22" t="str">
        <f aca="false">customer_churn_dataset!A379</f>
        <v>CUST100679</v>
      </c>
      <c r="B1019" s="22" t="str">
        <f aca="false">customer_churn_dataset!B379</f>
        <v>Premium</v>
      </c>
      <c r="C1019" s="22" t="str">
        <f aca="false">customer_churn_dataset!C379</f>
        <v>Month-to-month</v>
      </c>
      <c r="D1019" s="0" t="n">
        <f aca="false">INDEX(customer_churn_dataset!$E$2:$E$1501,MATCH($A1020,customer_churn_dataset!$A$2:$A$1501,0))</f>
        <v>21</v>
      </c>
      <c r="E1019" s="0" t="n">
        <f aca="false">INDEX(customer_churn_dataset!$I$2:$I$1501,MATCH($A1020,customer_churn_dataset!$A$2:$A$1501,0))</f>
        <v>75.8</v>
      </c>
      <c r="F1019" s="0" t="n">
        <f aca="false">INDEX(customer_churn_dataset!$L$2:$L$1501,MATCH($A1020,customer_churn_dataset!$A$2:$A$1501,0))</f>
        <v>1</v>
      </c>
      <c r="G1019" s="0" t="str">
        <f aca="false">IF(INDEX(customer_churn_dataset!$M$2:$M$1501,MATCH($A1020,customer_churn_dataset!$A$2:$A$1501,0))=1,"Yes","No")</f>
        <v>Yes</v>
      </c>
      <c r="H1019" s="0" t="n">
        <f aca="false">INDEX(customer_churn_dataset!$N$2:$N$1501,MATCH($A1020,customer_churn_dataset!$A$2:$A$1501,0))</f>
        <v>209.58</v>
      </c>
      <c r="I1019" s="0" t="n">
        <f aca="false">INDEX(customer_churn_dataset!$O$2:$O$1501,MATCH($A1020,customer_churn_dataset!$A$2:$A$1501,0))</f>
        <v>0</v>
      </c>
      <c r="J1019" s="0" t="n">
        <f aca="false">INDEX(customer_churn_dataset!$T$2:$T$1501,MATCH($A1020,customer_churn_dataset!$A$2:$A$1501,0))</f>
        <v>5</v>
      </c>
      <c r="K1019" s="0" t="str">
        <f aca="false">INDEX(customer_churn_dataset!$V$2:$V$1501,MATCH($A1020,customer_churn_dataset!$A$2:$A$1501,0))</f>
        <v>Medium Risk</v>
      </c>
    </row>
    <row r="1020" customFormat="false" ht="12.8" hidden="true" customHeight="false" outlineLevel="0" collapsed="false">
      <c r="A1020" s="22" t="str">
        <f aca="false">customer_churn_dataset!A386</f>
        <v>CUST101164</v>
      </c>
      <c r="B1020" s="22" t="str">
        <f aca="false">customer_churn_dataset!B386</f>
        <v>Basic</v>
      </c>
      <c r="C1020" s="22" t="str">
        <f aca="false">customer_churn_dataset!C386</f>
        <v>Month-to-month</v>
      </c>
      <c r="D1020" s="0" t="n">
        <f aca="false">INDEX(customer_churn_dataset!$E$2:$E$1501,MATCH($A1021,customer_churn_dataset!$A$2:$A$1501,0))</f>
        <v>44</v>
      </c>
      <c r="E1020" s="0" t="n">
        <f aca="false">INDEX(customer_churn_dataset!$I$2:$I$1501,MATCH($A1021,customer_churn_dataset!$A$2:$A$1501,0))</f>
        <v>22.9</v>
      </c>
      <c r="F1020" s="0" t="n">
        <f aca="false">INDEX(customer_churn_dataset!$L$2:$L$1501,MATCH($A1021,customer_churn_dataset!$A$2:$A$1501,0))</f>
        <v>0</v>
      </c>
      <c r="G1020" s="0" t="str">
        <f aca="false">IF(INDEX(customer_churn_dataset!$M$2:$M$1501,MATCH($A1021,customer_churn_dataset!$A$2:$A$1501,0))=1,"Yes","No")</f>
        <v>No</v>
      </c>
      <c r="H1020" s="0" t="n">
        <f aca="false">INDEX(customer_churn_dataset!$N$2:$N$1501,MATCH($A1021,customer_churn_dataset!$A$2:$A$1501,0))</f>
        <v>844.36</v>
      </c>
      <c r="I1020" s="0" t="n">
        <f aca="false">INDEX(customer_churn_dataset!$O$2:$O$1501,MATCH($A1021,customer_churn_dataset!$A$2:$A$1501,0))</f>
        <v>0</v>
      </c>
      <c r="J1020" s="0" t="n">
        <f aca="false">INDEX(customer_churn_dataset!$T$2:$T$1501,MATCH($A1021,customer_churn_dataset!$A$2:$A$1501,0))</f>
        <v>4</v>
      </c>
      <c r="K1020" s="0" t="str">
        <f aca="false">INDEX(customer_churn_dataset!$V$2:$V$1501,MATCH($A1021,customer_churn_dataset!$A$2:$A$1501,0))</f>
        <v>Medium Risk</v>
      </c>
    </row>
    <row r="1021" customFormat="false" ht="12.8" hidden="true" customHeight="false" outlineLevel="0" collapsed="false">
      <c r="A1021" s="22" t="str">
        <f aca="false">customer_churn_dataset!A390</f>
        <v>CUST101428</v>
      </c>
      <c r="B1021" s="22" t="str">
        <f aca="false">customer_churn_dataset!B390</f>
        <v>Standard</v>
      </c>
      <c r="C1021" s="22" t="str">
        <f aca="false">customer_churn_dataset!C390</f>
        <v>Month-to-month</v>
      </c>
      <c r="D1021" s="0" t="n">
        <f aca="false">INDEX(customer_churn_dataset!$E$2:$E$1501,MATCH($A1022,customer_churn_dataset!$A$2:$A$1501,0))</f>
        <v>71</v>
      </c>
      <c r="E1021" s="0" t="n">
        <f aca="false">INDEX(customer_churn_dataset!$I$2:$I$1501,MATCH($A1022,customer_churn_dataset!$A$2:$A$1501,0))</f>
        <v>56.5</v>
      </c>
      <c r="F1021" s="0" t="n">
        <f aca="false">INDEX(customer_churn_dataset!$L$2:$L$1501,MATCH($A1022,customer_churn_dataset!$A$2:$A$1501,0))</f>
        <v>2</v>
      </c>
      <c r="G1021" s="0" t="str">
        <f aca="false">IF(INDEX(customer_churn_dataset!$M$2:$M$1501,MATCH($A1022,customer_churn_dataset!$A$2:$A$1501,0))=1,"Yes","No")</f>
        <v>No</v>
      </c>
      <c r="H1021" s="0" t="n">
        <f aca="false">INDEX(customer_churn_dataset!$N$2:$N$1501,MATCH($A1022,customer_churn_dataset!$A$2:$A$1501,0))</f>
        <v>712.13</v>
      </c>
      <c r="I1021" s="0" t="n">
        <f aca="false">INDEX(customer_churn_dataset!$O$2:$O$1501,MATCH($A1022,customer_churn_dataset!$A$2:$A$1501,0))</f>
        <v>0</v>
      </c>
      <c r="J1021" s="0" t="n">
        <f aca="false">INDEX(customer_churn_dataset!$T$2:$T$1501,MATCH($A1022,customer_churn_dataset!$A$2:$A$1501,0))</f>
        <v>2</v>
      </c>
      <c r="K1021" s="0" t="str">
        <f aca="false">INDEX(customer_churn_dataset!$V$2:$V$1501,MATCH($A1022,customer_churn_dataset!$A$2:$A$1501,0))</f>
        <v>Low Risk</v>
      </c>
    </row>
    <row r="1022" customFormat="false" ht="12.8" hidden="true" customHeight="false" outlineLevel="0" collapsed="false">
      <c r="A1022" s="22" t="str">
        <f aca="false">customer_churn_dataset!A393</f>
        <v>CUST100066</v>
      </c>
      <c r="B1022" s="22" t="str">
        <f aca="false">customer_churn_dataset!B393</f>
        <v>Basic</v>
      </c>
      <c r="C1022" s="22" t="str">
        <f aca="false">customer_churn_dataset!C393</f>
        <v>One year</v>
      </c>
      <c r="D1022" s="0" t="n">
        <f aca="false">INDEX(customer_churn_dataset!$E$2:$E$1501,MATCH($A1023,customer_churn_dataset!$A$2:$A$1501,0))</f>
        <v>7</v>
      </c>
      <c r="E1022" s="0" t="n">
        <f aca="false">INDEX(customer_churn_dataset!$I$2:$I$1501,MATCH($A1023,customer_churn_dataset!$A$2:$A$1501,0))</f>
        <v>81.4</v>
      </c>
      <c r="F1022" s="0" t="n">
        <f aca="false">INDEX(customer_churn_dataset!$L$2:$L$1501,MATCH($A1023,customer_churn_dataset!$A$2:$A$1501,0))</f>
        <v>0</v>
      </c>
      <c r="G1022" s="0" t="str">
        <f aca="false">IF(INDEX(customer_churn_dataset!$M$2:$M$1501,MATCH($A1023,customer_churn_dataset!$A$2:$A$1501,0))=1,"Yes","No")</f>
        <v>No</v>
      </c>
      <c r="H1022" s="0" t="n">
        <f aca="false">INDEX(customer_churn_dataset!$N$2:$N$1501,MATCH($A1023,customer_churn_dataset!$A$2:$A$1501,0))</f>
        <v>140.07</v>
      </c>
      <c r="I1022" s="0" t="n">
        <f aca="false">INDEX(customer_churn_dataset!$O$2:$O$1501,MATCH($A1023,customer_churn_dataset!$A$2:$A$1501,0))</f>
        <v>1</v>
      </c>
      <c r="J1022" s="0" t="n">
        <f aca="false">INDEX(customer_churn_dataset!$T$2:$T$1501,MATCH($A1023,customer_churn_dataset!$A$2:$A$1501,0))</f>
        <v>3</v>
      </c>
      <c r="K1022" s="0" t="str">
        <f aca="false">INDEX(customer_churn_dataset!$V$2:$V$1501,MATCH($A1023,customer_churn_dataset!$A$2:$A$1501,0))</f>
        <v>Medium Risk</v>
      </c>
    </row>
    <row r="1023" customFormat="false" ht="12.8" hidden="true" customHeight="false" outlineLevel="0" collapsed="false">
      <c r="A1023" s="22" t="str">
        <f aca="false">customer_churn_dataset!A397</f>
        <v>CUST100289</v>
      </c>
      <c r="B1023" s="22" t="str">
        <f aca="false">customer_churn_dataset!B397</f>
        <v>Standard</v>
      </c>
      <c r="C1023" s="22" t="str">
        <f aca="false">customer_churn_dataset!C397</f>
        <v>Month-to-month</v>
      </c>
      <c r="D1023" s="0" t="n">
        <f aca="false">INDEX(customer_churn_dataset!$E$2:$E$1501,MATCH($A1024,customer_churn_dataset!$A$2:$A$1501,0))</f>
        <v>33</v>
      </c>
      <c r="E1023" s="0" t="n">
        <f aca="false">INDEX(customer_churn_dataset!$I$2:$I$1501,MATCH($A1024,customer_churn_dataset!$A$2:$A$1501,0))</f>
        <v>17.3</v>
      </c>
      <c r="F1023" s="0" t="n">
        <f aca="false">INDEX(customer_churn_dataset!$L$2:$L$1501,MATCH($A1024,customer_churn_dataset!$A$2:$A$1501,0))</f>
        <v>0</v>
      </c>
      <c r="G1023" s="0" t="str">
        <f aca="false">IF(INDEX(customer_churn_dataset!$M$2:$M$1501,MATCH($A1024,customer_churn_dataset!$A$2:$A$1501,0))=1,"Yes","No")</f>
        <v>No</v>
      </c>
      <c r="H1023" s="0" t="n">
        <f aca="false">INDEX(customer_churn_dataset!$N$2:$N$1501,MATCH($A1024,customer_churn_dataset!$A$2:$A$1501,0))</f>
        <v>329.34</v>
      </c>
      <c r="I1023" s="0" t="n">
        <f aca="false">INDEX(customer_churn_dataset!$O$2:$O$1501,MATCH($A1024,customer_churn_dataset!$A$2:$A$1501,0))</f>
        <v>1</v>
      </c>
      <c r="J1023" s="0" t="n">
        <f aca="false">INDEX(customer_churn_dataset!$T$2:$T$1501,MATCH($A1024,customer_churn_dataset!$A$2:$A$1501,0))</f>
        <v>4</v>
      </c>
      <c r="K1023" s="0" t="str">
        <f aca="false">INDEX(customer_churn_dataset!$V$2:$V$1501,MATCH($A1024,customer_churn_dataset!$A$2:$A$1501,0))</f>
        <v>Medium Risk</v>
      </c>
    </row>
    <row r="1024" customFormat="false" ht="12.8" hidden="true" customHeight="false" outlineLevel="0" collapsed="false">
      <c r="A1024" s="22" t="str">
        <f aca="false">customer_churn_dataset!A406</f>
        <v>CUST100887</v>
      </c>
      <c r="B1024" s="22" t="str">
        <f aca="false">customer_churn_dataset!B406</f>
        <v>Basic</v>
      </c>
      <c r="C1024" s="22" t="str">
        <f aca="false">customer_churn_dataset!C406</f>
        <v>Month-to-month</v>
      </c>
      <c r="D1024" s="0" t="n">
        <f aca="false">INDEX(customer_churn_dataset!$E$2:$E$1501,MATCH($A1025,customer_churn_dataset!$A$2:$A$1501,0))</f>
        <v>72</v>
      </c>
      <c r="E1024" s="0" t="n">
        <f aca="false">INDEX(customer_churn_dataset!$I$2:$I$1501,MATCH($A1025,customer_churn_dataset!$A$2:$A$1501,0))</f>
        <v>51.2</v>
      </c>
      <c r="F1024" s="0" t="n">
        <f aca="false">INDEX(customer_churn_dataset!$L$2:$L$1501,MATCH($A1025,customer_churn_dataset!$A$2:$A$1501,0))</f>
        <v>0</v>
      </c>
      <c r="G1024" s="0" t="str">
        <f aca="false">IF(INDEX(customer_churn_dataset!$M$2:$M$1501,MATCH($A1025,customer_churn_dataset!$A$2:$A$1501,0))=1,"Yes","No")</f>
        <v>No</v>
      </c>
      <c r="H1024" s="0" t="n">
        <f aca="false">INDEX(customer_churn_dataset!$N$2:$N$1501,MATCH($A1025,customer_churn_dataset!$A$2:$A$1501,0))</f>
        <v>807.12</v>
      </c>
      <c r="I1024" s="0" t="n">
        <f aca="false">INDEX(customer_churn_dataset!$O$2:$O$1501,MATCH($A1025,customer_churn_dataset!$A$2:$A$1501,0))</f>
        <v>0</v>
      </c>
      <c r="J1024" s="0" t="n">
        <f aca="false">INDEX(customer_churn_dataset!$T$2:$T$1501,MATCH($A1025,customer_churn_dataset!$A$2:$A$1501,0))</f>
        <v>3</v>
      </c>
      <c r="K1024" s="0" t="str">
        <f aca="false">INDEX(customer_churn_dataset!$V$2:$V$1501,MATCH($A1025,customer_churn_dataset!$A$2:$A$1501,0))</f>
        <v>Medium Risk</v>
      </c>
    </row>
    <row r="1025" customFormat="false" ht="12.8" hidden="true" customHeight="false" outlineLevel="0" collapsed="false">
      <c r="A1025" s="22" t="str">
        <f aca="false">customer_churn_dataset!A409</f>
        <v>CUST100171</v>
      </c>
      <c r="B1025" s="22" t="str">
        <f aca="false">customer_churn_dataset!B409</f>
        <v>Basic</v>
      </c>
      <c r="C1025" s="22" t="str">
        <f aca="false">customer_churn_dataset!C409</f>
        <v>Month-to-month</v>
      </c>
      <c r="D1025" s="0" t="n">
        <f aca="false">INDEX(customer_churn_dataset!$E$2:$E$1501,MATCH($A1026,customer_churn_dataset!$A$2:$A$1501,0))</f>
        <v>27</v>
      </c>
      <c r="E1025" s="0" t="n">
        <f aca="false">INDEX(customer_churn_dataset!$I$2:$I$1501,MATCH($A1026,customer_churn_dataset!$A$2:$A$1501,0))</f>
        <v>52.6</v>
      </c>
      <c r="F1025" s="0" t="n">
        <f aca="false">INDEX(customer_churn_dataset!$L$2:$L$1501,MATCH($A1026,customer_churn_dataset!$A$2:$A$1501,0))</f>
        <v>3</v>
      </c>
      <c r="G1025" s="0" t="str">
        <f aca="false">IF(INDEX(customer_churn_dataset!$M$2:$M$1501,MATCH($A1026,customer_churn_dataset!$A$2:$A$1501,0))=1,"Yes","No")</f>
        <v>No</v>
      </c>
      <c r="H1025" s="0" t="n">
        <f aca="false">INDEX(customer_churn_dataset!$N$2:$N$1501,MATCH($A1026,customer_churn_dataset!$A$2:$A$1501,0))</f>
        <v>309.69</v>
      </c>
      <c r="I1025" s="0" t="n">
        <f aca="false">INDEX(customer_churn_dataset!$O$2:$O$1501,MATCH($A1026,customer_churn_dataset!$A$2:$A$1501,0))</f>
        <v>0</v>
      </c>
      <c r="J1025" s="0" t="n">
        <f aca="false">INDEX(customer_churn_dataset!$T$2:$T$1501,MATCH($A1026,customer_churn_dataset!$A$2:$A$1501,0))</f>
        <v>3</v>
      </c>
      <c r="K1025" s="0" t="str">
        <f aca="false">INDEX(customer_churn_dataset!$V$2:$V$1501,MATCH($A1026,customer_churn_dataset!$A$2:$A$1501,0))</f>
        <v>Medium Risk</v>
      </c>
    </row>
    <row r="1026" customFormat="false" ht="12.8" hidden="true" customHeight="false" outlineLevel="0" collapsed="false">
      <c r="A1026" s="22" t="str">
        <f aca="false">customer_churn_dataset!A422</f>
        <v>CUST101046</v>
      </c>
      <c r="B1026" s="22" t="str">
        <f aca="false">customer_churn_dataset!B422</f>
        <v>Basic</v>
      </c>
      <c r="C1026" s="22" t="str">
        <f aca="false">customer_churn_dataset!C422</f>
        <v>One year</v>
      </c>
      <c r="D1026" s="0" t="n">
        <f aca="false">INDEX(customer_churn_dataset!$E$2:$E$1501,MATCH($A1027,customer_churn_dataset!$A$2:$A$1501,0))</f>
        <v>4</v>
      </c>
      <c r="E1026" s="0" t="n">
        <f aca="false">INDEX(customer_churn_dataset!$I$2:$I$1501,MATCH($A1027,customer_churn_dataset!$A$2:$A$1501,0))</f>
        <v>14</v>
      </c>
      <c r="F1026" s="0" t="n">
        <f aca="false">INDEX(customer_churn_dataset!$L$2:$L$1501,MATCH($A1027,customer_churn_dataset!$A$2:$A$1501,0))</f>
        <v>3</v>
      </c>
      <c r="G1026" s="0" t="str">
        <f aca="false">IF(INDEX(customer_churn_dataset!$M$2:$M$1501,MATCH($A1027,customer_churn_dataset!$A$2:$A$1501,0))=1,"Yes","No")</f>
        <v>No</v>
      </c>
      <c r="H1026" s="0" t="n">
        <f aca="false">INDEX(customer_churn_dataset!$N$2:$N$1501,MATCH($A1027,customer_churn_dataset!$A$2:$A$1501,0))</f>
        <v>82.72</v>
      </c>
      <c r="I1026" s="0" t="n">
        <f aca="false">INDEX(customer_churn_dataset!$O$2:$O$1501,MATCH($A1027,customer_churn_dataset!$A$2:$A$1501,0))</f>
        <v>1</v>
      </c>
      <c r="J1026" s="0" t="n">
        <f aca="false">INDEX(customer_churn_dataset!$T$2:$T$1501,MATCH($A1027,customer_churn_dataset!$A$2:$A$1501,0))</f>
        <v>6</v>
      </c>
      <c r="K1026" s="0" t="str">
        <f aca="false">INDEX(customer_churn_dataset!$V$2:$V$1501,MATCH($A1027,customer_churn_dataset!$A$2:$A$1501,0))</f>
        <v>High Risk</v>
      </c>
    </row>
    <row r="1027" customFormat="false" ht="12.8" hidden="true" customHeight="false" outlineLevel="0" collapsed="false">
      <c r="A1027" s="22" t="str">
        <f aca="false">customer_churn_dataset!A427</f>
        <v>CUST100425</v>
      </c>
      <c r="B1027" s="22" t="str">
        <f aca="false">customer_churn_dataset!B427</f>
        <v>Standard</v>
      </c>
      <c r="C1027" s="22" t="str">
        <f aca="false">customer_churn_dataset!C427</f>
        <v>Month-to-month</v>
      </c>
      <c r="D1027" s="0" t="n">
        <f aca="false">INDEX(customer_churn_dataset!$E$2:$E$1501,MATCH($A1028,customer_churn_dataset!$A$2:$A$1501,0))</f>
        <v>5</v>
      </c>
      <c r="E1027" s="0" t="n">
        <f aca="false">INDEX(customer_churn_dataset!$I$2:$I$1501,MATCH($A1028,customer_churn_dataset!$A$2:$A$1501,0))</f>
        <v>54.8</v>
      </c>
      <c r="F1027" s="0" t="n">
        <f aca="false">INDEX(customer_churn_dataset!$L$2:$L$1501,MATCH($A1028,customer_churn_dataset!$A$2:$A$1501,0))</f>
        <v>0</v>
      </c>
      <c r="G1027" s="0" t="str">
        <f aca="false">IF(INDEX(customer_churn_dataset!$M$2:$M$1501,MATCH($A1028,customer_churn_dataset!$A$2:$A$1501,0))=1,"Yes","No")</f>
        <v>No</v>
      </c>
      <c r="H1027" s="0" t="n">
        <f aca="false">INDEX(customer_churn_dataset!$N$2:$N$1501,MATCH($A1028,customer_churn_dataset!$A$2:$A$1501,0))</f>
        <v>45.15</v>
      </c>
      <c r="I1027" s="0" t="n">
        <f aca="false">INDEX(customer_churn_dataset!$O$2:$O$1501,MATCH($A1028,customer_churn_dataset!$A$2:$A$1501,0))</f>
        <v>0</v>
      </c>
      <c r="J1027" s="0" t="n">
        <f aca="false">INDEX(customer_churn_dataset!$T$2:$T$1501,MATCH($A1028,customer_churn_dataset!$A$2:$A$1501,0))</f>
        <v>4</v>
      </c>
      <c r="K1027" s="0" t="str">
        <f aca="false">INDEX(customer_churn_dataset!$V$2:$V$1501,MATCH($A1028,customer_churn_dataset!$A$2:$A$1501,0))</f>
        <v>Medium Risk</v>
      </c>
    </row>
    <row r="1028" customFormat="false" ht="12.8" hidden="true" customHeight="false" outlineLevel="0" collapsed="false">
      <c r="A1028" s="22" t="str">
        <f aca="false">customer_churn_dataset!A433</f>
        <v>CUST101221</v>
      </c>
      <c r="B1028" s="22" t="str">
        <f aca="false">customer_churn_dataset!B433</f>
        <v>Basic</v>
      </c>
      <c r="C1028" s="22" t="str">
        <f aca="false">customer_churn_dataset!C433</f>
        <v>Month-to-month</v>
      </c>
      <c r="D1028" s="0" t="n">
        <f aca="false">INDEX(customer_churn_dataset!$E$2:$E$1501,MATCH($A1029,customer_churn_dataset!$A$2:$A$1501,0))</f>
        <v>48</v>
      </c>
      <c r="E1028" s="0" t="n">
        <f aca="false">INDEX(customer_churn_dataset!$I$2:$I$1501,MATCH($A1029,customer_churn_dataset!$A$2:$A$1501,0))</f>
        <v>74.3</v>
      </c>
      <c r="F1028" s="0" t="n">
        <f aca="false">INDEX(customer_churn_dataset!$L$2:$L$1501,MATCH($A1029,customer_churn_dataset!$A$2:$A$1501,0))</f>
        <v>1</v>
      </c>
      <c r="G1028" s="0" t="str">
        <f aca="false">IF(INDEX(customer_churn_dataset!$M$2:$M$1501,MATCH($A1029,customer_churn_dataset!$A$2:$A$1501,0))=1,"Yes","No")</f>
        <v>Yes</v>
      </c>
      <c r="H1028" s="0" t="n">
        <f aca="false">INDEX(customer_churn_dataset!$N$2:$N$1501,MATCH($A1029,customer_churn_dataset!$A$2:$A$1501,0))</f>
        <v>463.68</v>
      </c>
      <c r="I1028" s="0" t="n">
        <f aca="false">INDEX(customer_churn_dataset!$O$2:$O$1501,MATCH($A1029,customer_churn_dataset!$A$2:$A$1501,0))</f>
        <v>0</v>
      </c>
      <c r="J1028" s="0" t="n">
        <f aca="false">INDEX(customer_churn_dataset!$T$2:$T$1501,MATCH($A1029,customer_churn_dataset!$A$2:$A$1501,0))</f>
        <v>5</v>
      </c>
      <c r="K1028" s="0" t="str">
        <f aca="false">INDEX(customer_churn_dataset!$V$2:$V$1501,MATCH($A1029,customer_churn_dataset!$A$2:$A$1501,0))</f>
        <v>Medium Risk</v>
      </c>
    </row>
    <row r="1029" customFormat="false" ht="12.8" hidden="true" customHeight="false" outlineLevel="0" collapsed="false">
      <c r="A1029" s="22" t="str">
        <f aca="false">customer_churn_dataset!A439</f>
        <v>CUST100741</v>
      </c>
      <c r="B1029" s="22" t="str">
        <f aca="false">customer_churn_dataset!B439</f>
        <v>Basic</v>
      </c>
      <c r="C1029" s="22" t="str">
        <f aca="false">customer_churn_dataset!C439</f>
        <v>Month-to-month</v>
      </c>
      <c r="D1029" s="0" t="n">
        <f aca="false">INDEX(customer_churn_dataset!$E$2:$E$1501,MATCH($A1030,customer_churn_dataset!$A$2:$A$1501,0))</f>
        <v>44</v>
      </c>
      <c r="E1029" s="0" t="n">
        <f aca="false">INDEX(customer_churn_dataset!$I$2:$I$1501,MATCH($A1030,customer_churn_dataset!$A$2:$A$1501,0))</f>
        <v>56.8</v>
      </c>
      <c r="F1029" s="0" t="n">
        <f aca="false">INDEX(customer_churn_dataset!$L$2:$L$1501,MATCH($A1030,customer_churn_dataset!$A$2:$A$1501,0))</f>
        <v>0</v>
      </c>
      <c r="G1029" s="0" t="str">
        <f aca="false">IF(INDEX(customer_churn_dataset!$M$2:$M$1501,MATCH($A1030,customer_churn_dataset!$A$2:$A$1501,0))=1,"Yes","No")</f>
        <v>No</v>
      </c>
      <c r="H1029" s="0" t="n">
        <f aca="false">INDEX(customer_churn_dataset!$N$2:$N$1501,MATCH($A1030,customer_churn_dataset!$A$2:$A$1501,0))</f>
        <v>891.44</v>
      </c>
      <c r="I1029" s="0" t="n">
        <f aca="false">INDEX(customer_churn_dataset!$O$2:$O$1501,MATCH($A1030,customer_churn_dataset!$A$2:$A$1501,0))</f>
        <v>0</v>
      </c>
      <c r="J1029" s="0" t="n">
        <f aca="false">INDEX(customer_churn_dataset!$T$2:$T$1501,MATCH($A1030,customer_churn_dataset!$A$2:$A$1501,0))</f>
        <v>1</v>
      </c>
      <c r="K1029" s="0" t="str">
        <f aca="false">INDEX(customer_churn_dataset!$V$2:$V$1501,MATCH($A1030,customer_churn_dataset!$A$2:$A$1501,0))</f>
        <v>Low Risk</v>
      </c>
    </row>
    <row r="1030" customFormat="false" ht="12.8" hidden="true" customHeight="false" outlineLevel="0" collapsed="false">
      <c r="A1030" s="22" t="str">
        <f aca="false">customer_churn_dataset!A441</f>
        <v>CUST100646</v>
      </c>
      <c r="B1030" s="22" t="str">
        <f aca="false">customer_churn_dataset!B441</f>
        <v>Standard</v>
      </c>
      <c r="C1030" s="22" t="str">
        <f aca="false">customer_churn_dataset!C441</f>
        <v>One year</v>
      </c>
      <c r="D1030" s="0" t="n">
        <f aca="false">INDEX(customer_churn_dataset!$E$2:$E$1501,MATCH($A1031,customer_churn_dataset!$A$2:$A$1501,0))</f>
        <v>5</v>
      </c>
      <c r="E1030" s="0" t="n">
        <f aca="false">INDEX(customer_churn_dataset!$I$2:$I$1501,MATCH($A1031,customer_churn_dataset!$A$2:$A$1501,0))</f>
        <v>37.1</v>
      </c>
      <c r="F1030" s="0" t="n">
        <f aca="false">INDEX(customer_churn_dataset!$L$2:$L$1501,MATCH($A1031,customer_churn_dataset!$A$2:$A$1501,0))</f>
        <v>1</v>
      </c>
      <c r="G1030" s="0" t="str">
        <f aca="false">IF(INDEX(customer_churn_dataset!$M$2:$M$1501,MATCH($A1031,customer_churn_dataset!$A$2:$A$1501,0))=1,"Yes","No")</f>
        <v>No</v>
      </c>
      <c r="H1030" s="0" t="n">
        <f aca="false">INDEX(customer_churn_dataset!$N$2:$N$1501,MATCH($A1031,customer_churn_dataset!$A$2:$A$1501,0))</f>
        <v>46.2</v>
      </c>
      <c r="I1030" s="0" t="n">
        <f aca="false">INDEX(customer_churn_dataset!$O$2:$O$1501,MATCH($A1031,customer_churn_dataset!$A$2:$A$1501,0))</f>
        <v>0</v>
      </c>
      <c r="J1030" s="0" t="n">
        <f aca="false">INDEX(customer_churn_dataset!$T$2:$T$1501,MATCH($A1031,customer_churn_dataset!$A$2:$A$1501,0))</f>
        <v>5</v>
      </c>
      <c r="K1030" s="0" t="str">
        <f aca="false">INDEX(customer_churn_dataset!$V$2:$V$1501,MATCH($A1031,customer_churn_dataset!$A$2:$A$1501,0))</f>
        <v>Medium Risk</v>
      </c>
    </row>
    <row r="1031" customFormat="false" ht="12.8" hidden="true" customHeight="false" outlineLevel="0" collapsed="false">
      <c r="A1031" s="22" t="str">
        <f aca="false">customer_churn_dataset!A447</f>
        <v>CUST100014</v>
      </c>
      <c r="B1031" s="22" t="str">
        <f aca="false">customer_churn_dataset!B447</f>
        <v>Basic</v>
      </c>
      <c r="C1031" s="22" t="str">
        <f aca="false">customer_churn_dataset!C447</f>
        <v>Month-to-month</v>
      </c>
      <c r="D1031" s="0" t="n">
        <f aca="false">INDEX(customer_churn_dataset!$E$2:$E$1501,MATCH($A1032,customer_churn_dataset!$A$2:$A$1501,0))</f>
        <v>37</v>
      </c>
      <c r="E1031" s="0" t="n">
        <f aca="false">INDEX(customer_churn_dataset!$I$2:$I$1501,MATCH($A1032,customer_churn_dataset!$A$2:$A$1501,0))</f>
        <v>46.1</v>
      </c>
      <c r="F1031" s="0" t="n">
        <f aca="false">INDEX(customer_churn_dataset!$L$2:$L$1501,MATCH($A1032,customer_churn_dataset!$A$2:$A$1501,0))</f>
        <v>0</v>
      </c>
      <c r="G1031" s="0" t="str">
        <f aca="false">IF(INDEX(customer_churn_dataset!$M$2:$M$1501,MATCH($A1032,customer_churn_dataset!$A$2:$A$1501,0))=1,"Yes","No")</f>
        <v>No</v>
      </c>
      <c r="H1031" s="0" t="n">
        <f aca="false">INDEX(customer_churn_dataset!$N$2:$N$1501,MATCH($A1032,customer_churn_dataset!$A$2:$A$1501,0))</f>
        <v>369.26</v>
      </c>
      <c r="I1031" s="0" t="n">
        <f aca="false">INDEX(customer_churn_dataset!$O$2:$O$1501,MATCH($A1032,customer_churn_dataset!$A$2:$A$1501,0))</f>
        <v>0</v>
      </c>
      <c r="J1031" s="0" t="n">
        <f aca="false">INDEX(customer_churn_dataset!$T$2:$T$1501,MATCH($A1032,customer_churn_dataset!$A$2:$A$1501,0))</f>
        <v>3</v>
      </c>
      <c r="K1031" s="0" t="str">
        <f aca="false">INDEX(customer_churn_dataset!$V$2:$V$1501,MATCH($A1032,customer_churn_dataset!$A$2:$A$1501,0))</f>
        <v>Medium Risk</v>
      </c>
    </row>
    <row r="1032" customFormat="false" ht="12.8" hidden="true" customHeight="false" outlineLevel="0" collapsed="false">
      <c r="A1032" s="22" t="str">
        <f aca="false">customer_churn_dataset!A463</f>
        <v>CUST100132</v>
      </c>
      <c r="B1032" s="22" t="str">
        <f aca="false">customer_churn_dataset!B463</f>
        <v>Basic</v>
      </c>
      <c r="C1032" s="22" t="str">
        <f aca="false">customer_churn_dataset!C463</f>
        <v>Month-to-month</v>
      </c>
      <c r="D1032" s="0" t="n">
        <f aca="false">INDEX(customer_churn_dataset!$E$2:$E$1501,MATCH($A1033,customer_churn_dataset!$A$2:$A$1501,0))</f>
        <v>56</v>
      </c>
      <c r="E1032" s="0" t="n">
        <f aca="false">INDEX(customer_churn_dataset!$I$2:$I$1501,MATCH($A1033,customer_churn_dataset!$A$2:$A$1501,0))</f>
        <v>80.5</v>
      </c>
      <c r="F1032" s="0" t="n">
        <f aca="false">INDEX(customer_churn_dataset!$L$2:$L$1501,MATCH($A1033,customer_churn_dataset!$A$2:$A$1501,0))</f>
        <v>0</v>
      </c>
      <c r="G1032" s="0" t="str">
        <f aca="false">IF(INDEX(customer_churn_dataset!$M$2:$M$1501,MATCH($A1033,customer_churn_dataset!$A$2:$A$1501,0))=1,"Yes","No")</f>
        <v>No</v>
      </c>
      <c r="H1032" s="0" t="n">
        <f aca="false">INDEX(customer_churn_dataset!$N$2:$N$1501,MATCH($A1033,customer_churn_dataset!$A$2:$A$1501,0))</f>
        <v>642.88</v>
      </c>
      <c r="I1032" s="0" t="n">
        <f aca="false">INDEX(customer_churn_dataset!$O$2:$O$1501,MATCH($A1033,customer_churn_dataset!$A$2:$A$1501,0))</f>
        <v>0</v>
      </c>
      <c r="J1032" s="0" t="n">
        <f aca="false">INDEX(customer_churn_dataset!$T$2:$T$1501,MATCH($A1033,customer_churn_dataset!$A$2:$A$1501,0))</f>
        <v>2</v>
      </c>
      <c r="K1032" s="0" t="str">
        <f aca="false">INDEX(customer_churn_dataset!$V$2:$V$1501,MATCH($A1033,customer_churn_dataset!$A$2:$A$1501,0))</f>
        <v>Low Risk</v>
      </c>
    </row>
    <row r="1033" customFormat="false" ht="12.8" hidden="true" customHeight="false" outlineLevel="0" collapsed="false">
      <c r="A1033" s="22" t="str">
        <f aca="false">customer_churn_dataset!A465</f>
        <v>CUST100173</v>
      </c>
      <c r="B1033" s="22" t="str">
        <f aca="false">customer_churn_dataset!B465</f>
        <v>Basic</v>
      </c>
      <c r="C1033" s="22" t="str">
        <f aca="false">customer_churn_dataset!C465</f>
        <v>Month-to-month</v>
      </c>
      <c r="D1033" s="0" t="n">
        <f aca="false">INDEX(customer_churn_dataset!$E$2:$E$1501,MATCH($A1034,customer_churn_dataset!$A$2:$A$1501,0))</f>
        <v>40</v>
      </c>
      <c r="E1033" s="0" t="n">
        <f aca="false">INDEX(customer_churn_dataset!$I$2:$I$1501,MATCH($A1034,customer_churn_dataset!$A$2:$A$1501,0))</f>
        <v>56.9</v>
      </c>
      <c r="F1033" s="0" t="n">
        <f aca="false">INDEX(customer_churn_dataset!$L$2:$L$1501,MATCH($A1034,customer_churn_dataset!$A$2:$A$1501,0))</f>
        <v>0</v>
      </c>
      <c r="G1033" s="0" t="str">
        <f aca="false">IF(INDEX(customer_churn_dataset!$M$2:$M$1501,MATCH($A1034,customer_churn_dataset!$A$2:$A$1501,0))=1,"Yes","No")</f>
        <v>No</v>
      </c>
      <c r="H1033" s="0" t="n">
        <f aca="false">INDEX(customer_churn_dataset!$N$2:$N$1501,MATCH($A1034,customer_churn_dataset!$A$2:$A$1501,0))</f>
        <v>780.8</v>
      </c>
      <c r="I1033" s="0" t="n">
        <f aca="false">INDEX(customer_churn_dataset!$O$2:$O$1501,MATCH($A1034,customer_churn_dataset!$A$2:$A$1501,0))</f>
        <v>0</v>
      </c>
      <c r="J1033" s="0" t="n">
        <f aca="false">INDEX(customer_churn_dataset!$T$2:$T$1501,MATCH($A1034,customer_churn_dataset!$A$2:$A$1501,0))</f>
        <v>1</v>
      </c>
      <c r="K1033" s="0" t="str">
        <f aca="false">INDEX(customer_churn_dataset!$V$2:$V$1501,MATCH($A1034,customer_churn_dataset!$A$2:$A$1501,0))</f>
        <v>Low Risk</v>
      </c>
    </row>
    <row r="1034" customFormat="false" ht="12.8" hidden="true" customHeight="false" outlineLevel="0" collapsed="false">
      <c r="A1034" s="22" t="str">
        <f aca="false">customer_churn_dataset!A467</f>
        <v>CUST100759</v>
      </c>
      <c r="B1034" s="22" t="str">
        <f aca="false">customer_churn_dataset!B467</f>
        <v>Standard</v>
      </c>
      <c r="C1034" s="22" t="str">
        <f aca="false">customer_churn_dataset!C467</f>
        <v>One year</v>
      </c>
      <c r="D1034" s="0" t="n">
        <f aca="false">INDEX(customer_churn_dataset!$E$2:$E$1501,MATCH($A1035,customer_churn_dataset!$A$2:$A$1501,0))</f>
        <v>5</v>
      </c>
      <c r="E1034" s="0" t="n">
        <f aca="false">INDEX(customer_churn_dataset!$I$2:$I$1501,MATCH($A1035,customer_churn_dataset!$A$2:$A$1501,0))</f>
        <v>36.2</v>
      </c>
      <c r="F1034" s="0" t="n">
        <f aca="false">INDEX(customer_churn_dataset!$L$2:$L$1501,MATCH($A1035,customer_churn_dataset!$A$2:$A$1501,0))</f>
        <v>2</v>
      </c>
      <c r="G1034" s="0" t="str">
        <f aca="false">IF(INDEX(customer_churn_dataset!$M$2:$M$1501,MATCH($A1035,customer_churn_dataset!$A$2:$A$1501,0))=1,"Yes","No")</f>
        <v>Yes</v>
      </c>
      <c r="H1034" s="0" t="n">
        <f aca="false">INDEX(customer_churn_dataset!$N$2:$N$1501,MATCH($A1035,customer_churn_dataset!$A$2:$A$1501,0))</f>
        <v>97.8</v>
      </c>
      <c r="I1034" s="0" t="n">
        <f aca="false">INDEX(customer_churn_dataset!$O$2:$O$1501,MATCH($A1035,customer_churn_dataset!$A$2:$A$1501,0))</f>
        <v>1</v>
      </c>
      <c r="J1034" s="0" t="n">
        <f aca="false">INDEX(customer_churn_dataset!$T$2:$T$1501,MATCH($A1035,customer_churn_dataset!$A$2:$A$1501,0))</f>
        <v>7</v>
      </c>
      <c r="K1034" s="0" t="str">
        <f aca="false">INDEX(customer_churn_dataset!$V$2:$V$1501,MATCH($A1035,customer_churn_dataset!$A$2:$A$1501,0))</f>
        <v>High Risk</v>
      </c>
    </row>
    <row r="1035" customFormat="false" ht="12.8" hidden="true" customHeight="false" outlineLevel="0" collapsed="false">
      <c r="A1035" s="22" t="str">
        <f aca="false">customer_churn_dataset!A481</f>
        <v>CUST100041</v>
      </c>
      <c r="B1035" s="22" t="str">
        <f aca="false">customer_churn_dataset!B481</f>
        <v>Standard</v>
      </c>
      <c r="C1035" s="22" t="str">
        <f aca="false">customer_churn_dataset!C481</f>
        <v>Two year</v>
      </c>
      <c r="D1035" s="0" t="n">
        <f aca="false">INDEX(customer_churn_dataset!$E$2:$E$1501,MATCH($A1036,customer_churn_dataset!$A$2:$A$1501,0))</f>
        <v>16</v>
      </c>
      <c r="E1035" s="0" t="n">
        <f aca="false">INDEX(customer_churn_dataset!$I$2:$I$1501,MATCH($A1036,customer_churn_dataset!$A$2:$A$1501,0))</f>
        <v>65.7</v>
      </c>
      <c r="F1035" s="0" t="n">
        <f aca="false">INDEX(customer_churn_dataset!$L$2:$L$1501,MATCH($A1036,customer_churn_dataset!$A$2:$A$1501,0))</f>
        <v>2</v>
      </c>
      <c r="G1035" s="0" t="str">
        <f aca="false">IF(INDEX(customer_churn_dataset!$M$2:$M$1501,MATCH($A1036,customer_churn_dataset!$A$2:$A$1501,0))=1,"Yes","No")</f>
        <v>No</v>
      </c>
      <c r="H1035" s="0" t="n">
        <f aca="false">INDEX(customer_churn_dataset!$N$2:$N$1501,MATCH($A1036,customer_churn_dataset!$A$2:$A$1501,0))</f>
        <v>148.64</v>
      </c>
      <c r="I1035" s="0" t="n">
        <f aca="false">INDEX(customer_churn_dataset!$O$2:$O$1501,MATCH($A1036,customer_churn_dataset!$A$2:$A$1501,0))</f>
        <v>0</v>
      </c>
      <c r="J1035" s="0" t="n">
        <f aca="false">INDEX(customer_churn_dataset!$T$2:$T$1501,MATCH($A1036,customer_churn_dataset!$A$2:$A$1501,0))</f>
        <v>3</v>
      </c>
      <c r="K1035" s="0" t="str">
        <f aca="false">INDEX(customer_churn_dataset!$V$2:$V$1501,MATCH($A1036,customer_churn_dataset!$A$2:$A$1501,0))</f>
        <v>Medium Risk</v>
      </c>
    </row>
    <row r="1036" customFormat="false" ht="12.8" hidden="true" customHeight="false" outlineLevel="0" collapsed="false">
      <c r="A1036" s="22" t="str">
        <f aca="false">customer_churn_dataset!A487</f>
        <v>CUST100046</v>
      </c>
      <c r="B1036" s="22" t="str">
        <f aca="false">customer_churn_dataset!B487</f>
        <v>Basic</v>
      </c>
      <c r="C1036" s="22" t="str">
        <f aca="false">customer_churn_dataset!C487</f>
        <v>Month-to-month</v>
      </c>
      <c r="D1036" s="0" t="n">
        <f aca="false">INDEX(customer_churn_dataset!$E$2:$E$1501,MATCH($A1037,customer_churn_dataset!$A$2:$A$1501,0))</f>
        <v>24</v>
      </c>
      <c r="E1036" s="0" t="n">
        <f aca="false">INDEX(customer_churn_dataset!$I$2:$I$1501,MATCH($A1037,customer_churn_dataset!$A$2:$A$1501,0))</f>
        <v>40.3</v>
      </c>
      <c r="F1036" s="0" t="n">
        <f aca="false">INDEX(customer_churn_dataset!$L$2:$L$1501,MATCH($A1037,customer_churn_dataset!$A$2:$A$1501,0))</f>
        <v>0</v>
      </c>
      <c r="G1036" s="0" t="str">
        <f aca="false">IF(INDEX(customer_churn_dataset!$M$2:$M$1501,MATCH($A1037,customer_churn_dataset!$A$2:$A$1501,0))=1,"Yes","No")</f>
        <v>No</v>
      </c>
      <c r="H1036" s="0" t="n">
        <f aca="false">INDEX(customer_churn_dataset!$N$2:$N$1501,MATCH($A1037,customer_churn_dataset!$A$2:$A$1501,0))</f>
        <v>494.16</v>
      </c>
      <c r="I1036" s="0" t="n">
        <f aca="false">INDEX(customer_churn_dataset!$O$2:$O$1501,MATCH($A1037,customer_churn_dataset!$A$2:$A$1501,0))</f>
        <v>0</v>
      </c>
      <c r="J1036" s="0" t="n">
        <f aca="false">INDEX(customer_churn_dataset!$T$2:$T$1501,MATCH($A1037,customer_churn_dataset!$A$2:$A$1501,0))</f>
        <v>3</v>
      </c>
      <c r="K1036" s="0" t="str">
        <f aca="false">INDEX(customer_churn_dataset!$V$2:$V$1501,MATCH($A1037,customer_churn_dataset!$A$2:$A$1501,0))</f>
        <v>Medium Risk</v>
      </c>
    </row>
    <row r="1037" customFormat="false" ht="12.8" hidden="true" customHeight="false" outlineLevel="0" collapsed="false">
      <c r="A1037" s="22" t="str">
        <f aca="false">customer_churn_dataset!A491</f>
        <v>CUST101051</v>
      </c>
      <c r="B1037" s="22" t="str">
        <f aca="false">customer_churn_dataset!B491</f>
        <v>Standard</v>
      </c>
      <c r="C1037" s="22" t="str">
        <f aca="false">customer_churn_dataset!C491</f>
        <v>Month-to-month</v>
      </c>
      <c r="D1037" s="0" t="n">
        <f aca="false">INDEX(customer_churn_dataset!$E$2:$E$1501,MATCH($A1038,customer_churn_dataset!$A$2:$A$1501,0))</f>
        <v>10</v>
      </c>
      <c r="E1037" s="0" t="n">
        <f aca="false">INDEX(customer_churn_dataset!$I$2:$I$1501,MATCH($A1038,customer_churn_dataset!$A$2:$A$1501,0))</f>
        <v>85.1</v>
      </c>
      <c r="F1037" s="0" t="n">
        <f aca="false">INDEX(customer_churn_dataset!$L$2:$L$1501,MATCH($A1038,customer_churn_dataset!$A$2:$A$1501,0))</f>
        <v>2</v>
      </c>
      <c r="G1037" s="0" t="str">
        <f aca="false">IF(INDEX(customer_churn_dataset!$M$2:$M$1501,MATCH($A1038,customer_churn_dataset!$A$2:$A$1501,0))=1,"Yes","No")</f>
        <v>Yes</v>
      </c>
      <c r="H1037" s="0" t="n">
        <f aca="false">INDEX(customer_churn_dataset!$N$2:$N$1501,MATCH($A1038,customer_churn_dataset!$A$2:$A$1501,0))</f>
        <v>213.3</v>
      </c>
      <c r="I1037" s="0" t="n">
        <f aca="false">INDEX(customer_churn_dataset!$O$2:$O$1501,MATCH($A1038,customer_churn_dataset!$A$2:$A$1501,0))</f>
        <v>1</v>
      </c>
      <c r="J1037" s="0" t="n">
        <f aca="false">INDEX(customer_churn_dataset!$T$2:$T$1501,MATCH($A1038,customer_churn_dataset!$A$2:$A$1501,0))</f>
        <v>7</v>
      </c>
      <c r="K1037" s="0" t="str">
        <f aca="false">INDEX(customer_churn_dataset!$V$2:$V$1501,MATCH($A1038,customer_churn_dataset!$A$2:$A$1501,0))</f>
        <v>High Risk</v>
      </c>
    </row>
    <row r="1038" customFormat="false" ht="12.8" hidden="true" customHeight="false" outlineLevel="0" collapsed="false">
      <c r="A1038" s="22" t="str">
        <f aca="false">customer_churn_dataset!A499</f>
        <v>CUST101245</v>
      </c>
      <c r="B1038" s="22" t="str">
        <f aca="false">customer_churn_dataset!B499</f>
        <v>Standard</v>
      </c>
      <c r="C1038" s="22" t="str">
        <f aca="false">customer_churn_dataset!C499</f>
        <v>Month-to-month</v>
      </c>
      <c r="D1038" s="0" t="n">
        <f aca="false">INDEX(customer_churn_dataset!$E$2:$E$1501,MATCH($A1039,customer_churn_dataset!$A$2:$A$1501,0))</f>
        <v>2</v>
      </c>
      <c r="E1038" s="0" t="n">
        <f aca="false">INDEX(customer_churn_dataset!$I$2:$I$1501,MATCH($A1039,customer_churn_dataset!$A$2:$A$1501,0))</f>
        <v>51.3</v>
      </c>
      <c r="F1038" s="0" t="n">
        <f aca="false">INDEX(customer_churn_dataset!$L$2:$L$1501,MATCH($A1039,customer_churn_dataset!$A$2:$A$1501,0))</f>
        <v>0</v>
      </c>
      <c r="G1038" s="0" t="str">
        <f aca="false">IF(INDEX(customer_churn_dataset!$M$2:$M$1501,MATCH($A1039,customer_churn_dataset!$A$2:$A$1501,0))=1,"Yes","No")</f>
        <v>No</v>
      </c>
      <c r="H1038" s="0" t="n">
        <f aca="false">INDEX(customer_churn_dataset!$N$2:$N$1501,MATCH($A1039,customer_churn_dataset!$A$2:$A$1501,0))</f>
        <v>22.16</v>
      </c>
      <c r="I1038" s="0" t="n">
        <f aca="false">INDEX(customer_churn_dataset!$O$2:$O$1501,MATCH($A1039,customer_churn_dataset!$A$2:$A$1501,0))</f>
        <v>0</v>
      </c>
      <c r="J1038" s="0" t="n">
        <f aca="false">INDEX(customer_churn_dataset!$T$2:$T$1501,MATCH($A1039,customer_churn_dataset!$A$2:$A$1501,0))</f>
        <v>2</v>
      </c>
      <c r="K1038" s="0" t="str">
        <f aca="false">INDEX(customer_churn_dataset!$V$2:$V$1501,MATCH($A1039,customer_churn_dataset!$A$2:$A$1501,0))</f>
        <v>Low Risk</v>
      </c>
    </row>
    <row r="1039" customFormat="false" ht="12.8" hidden="true" customHeight="false" outlineLevel="0" collapsed="false">
      <c r="A1039" s="22" t="str">
        <f aca="false">customer_churn_dataset!A503</f>
        <v>CUST100110</v>
      </c>
      <c r="B1039" s="22" t="str">
        <f aca="false">customer_churn_dataset!B503</f>
        <v>Basic</v>
      </c>
      <c r="C1039" s="22" t="str">
        <f aca="false">customer_churn_dataset!C503</f>
        <v>Two year</v>
      </c>
      <c r="D1039" s="0" t="n">
        <f aca="false">INDEX(customer_churn_dataset!$E$2:$E$1501,MATCH($A1040,customer_churn_dataset!$A$2:$A$1501,0))</f>
        <v>38</v>
      </c>
      <c r="E1039" s="0" t="n">
        <f aca="false">INDEX(customer_churn_dataset!$I$2:$I$1501,MATCH($A1040,customer_churn_dataset!$A$2:$A$1501,0))</f>
        <v>28.9</v>
      </c>
      <c r="F1039" s="0" t="n">
        <f aca="false">INDEX(customer_churn_dataset!$L$2:$L$1501,MATCH($A1040,customer_churn_dataset!$A$2:$A$1501,0))</f>
        <v>0</v>
      </c>
      <c r="G1039" s="0" t="str">
        <f aca="false">IF(INDEX(customer_churn_dataset!$M$2:$M$1501,MATCH($A1040,customer_churn_dataset!$A$2:$A$1501,0))=1,"Yes","No")</f>
        <v>No</v>
      </c>
      <c r="H1039" s="0" t="n">
        <f aca="false">INDEX(customer_churn_dataset!$N$2:$N$1501,MATCH($A1040,customer_churn_dataset!$A$2:$A$1501,0))</f>
        <v>377.34</v>
      </c>
      <c r="I1039" s="0" t="n">
        <f aca="false">INDEX(customer_churn_dataset!$O$2:$O$1501,MATCH($A1040,customer_churn_dataset!$A$2:$A$1501,0))</f>
        <v>1</v>
      </c>
      <c r="J1039" s="0" t="n">
        <f aca="false">INDEX(customer_churn_dataset!$T$2:$T$1501,MATCH($A1040,customer_churn_dataset!$A$2:$A$1501,0))</f>
        <v>3</v>
      </c>
      <c r="K1039" s="0" t="str">
        <f aca="false">INDEX(customer_churn_dataset!$V$2:$V$1501,MATCH($A1040,customer_churn_dataset!$A$2:$A$1501,0))</f>
        <v>Medium Risk</v>
      </c>
    </row>
    <row r="1040" customFormat="false" ht="12.8" hidden="true" customHeight="false" outlineLevel="0" collapsed="false">
      <c r="A1040" s="22" t="str">
        <f aca="false">customer_churn_dataset!A509</f>
        <v>CUST100013</v>
      </c>
      <c r="B1040" s="22" t="str">
        <f aca="false">customer_churn_dataset!B509</f>
        <v>Basic</v>
      </c>
      <c r="C1040" s="22" t="str">
        <f aca="false">customer_churn_dataset!C509</f>
        <v>One year</v>
      </c>
      <c r="D1040" s="0" t="n">
        <f aca="false">INDEX(customer_churn_dataset!$E$2:$E$1501,MATCH($A1041,customer_churn_dataset!$A$2:$A$1501,0))</f>
        <v>7</v>
      </c>
      <c r="E1040" s="0" t="n">
        <f aca="false">INDEX(customer_churn_dataset!$I$2:$I$1501,MATCH($A1041,customer_churn_dataset!$A$2:$A$1501,0))</f>
        <v>49.2</v>
      </c>
      <c r="F1040" s="0" t="n">
        <f aca="false">INDEX(customer_churn_dataset!$L$2:$L$1501,MATCH($A1041,customer_churn_dataset!$A$2:$A$1501,0))</f>
        <v>0</v>
      </c>
      <c r="G1040" s="0" t="str">
        <f aca="false">IF(INDEX(customer_churn_dataset!$M$2:$M$1501,MATCH($A1041,customer_churn_dataset!$A$2:$A$1501,0))=1,"Yes","No")</f>
        <v>No</v>
      </c>
      <c r="H1040" s="0" t="n">
        <f aca="false">INDEX(customer_churn_dataset!$N$2:$N$1501,MATCH($A1041,customer_churn_dataset!$A$2:$A$1501,0))</f>
        <v>72.1</v>
      </c>
      <c r="I1040" s="0" t="n">
        <f aca="false">INDEX(customer_churn_dataset!$O$2:$O$1501,MATCH($A1041,customer_churn_dataset!$A$2:$A$1501,0))</f>
        <v>0</v>
      </c>
      <c r="J1040" s="0" t="n">
        <f aca="false">INDEX(customer_churn_dataset!$T$2:$T$1501,MATCH($A1041,customer_churn_dataset!$A$2:$A$1501,0))</f>
        <v>4</v>
      </c>
      <c r="K1040" s="0" t="str">
        <f aca="false">INDEX(customer_churn_dataset!$V$2:$V$1501,MATCH($A1041,customer_churn_dataset!$A$2:$A$1501,0))</f>
        <v>Medium Risk</v>
      </c>
    </row>
    <row r="1041" customFormat="false" ht="12.8" hidden="true" customHeight="false" outlineLevel="0" collapsed="false">
      <c r="A1041" s="22" t="str">
        <f aca="false">customer_churn_dataset!A523</f>
        <v>CUST101473</v>
      </c>
      <c r="B1041" s="22" t="str">
        <f aca="false">customer_churn_dataset!B523</f>
        <v>Basic</v>
      </c>
      <c r="C1041" s="22" t="str">
        <f aca="false">customer_churn_dataset!C523</f>
        <v>Month-to-month</v>
      </c>
      <c r="D1041" s="0" t="n">
        <f aca="false">INDEX(customer_churn_dataset!$E$2:$E$1501,MATCH($A1042,customer_churn_dataset!$A$2:$A$1501,0))</f>
        <v>72</v>
      </c>
      <c r="E1041" s="0" t="n">
        <f aca="false">INDEX(customer_churn_dataset!$I$2:$I$1501,MATCH($A1042,customer_churn_dataset!$A$2:$A$1501,0))</f>
        <v>86.1</v>
      </c>
      <c r="F1041" s="0" t="n">
        <f aca="false">INDEX(customer_churn_dataset!$L$2:$L$1501,MATCH($A1042,customer_churn_dataset!$A$2:$A$1501,0))</f>
        <v>1</v>
      </c>
      <c r="G1041" s="0" t="str">
        <f aca="false">IF(INDEX(customer_churn_dataset!$M$2:$M$1501,MATCH($A1042,customer_churn_dataset!$A$2:$A$1501,0))=1,"Yes","No")</f>
        <v>No</v>
      </c>
      <c r="H1041" s="0" t="n">
        <f aca="false">INDEX(customer_churn_dataset!$N$2:$N$1501,MATCH($A1042,customer_churn_dataset!$A$2:$A$1501,0))</f>
        <v>1452.24</v>
      </c>
      <c r="I1041" s="0" t="n">
        <f aca="false">INDEX(customer_churn_dataset!$O$2:$O$1501,MATCH($A1042,customer_churn_dataset!$A$2:$A$1501,0))</f>
        <v>0</v>
      </c>
      <c r="J1041" s="0" t="n">
        <f aca="false">INDEX(customer_churn_dataset!$T$2:$T$1501,MATCH($A1042,customer_churn_dataset!$A$2:$A$1501,0))</f>
        <v>1</v>
      </c>
      <c r="K1041" s="0" t="str">
        <f aca="false">INDEX(customer_churn_dataset!$V$2:$V$1501,MATCH($A1042,customer_churn_dataset!$A$2:$A$1501,0))</f>
        <v>Low Risk</v>
      </c>
    </row>
    <row r="1042" customFormat="false" ht="12.8" hidden="false" customHeight="false" outlineLevel="0" collapsed="false">
      <c r="A1042" s="23" t="str">
        <f aca="false">customer_churn_dataset!A526</f>
        <v>CUST101017</v>
      </c>
      <c r="B1042" s="24" t="str">
        <f aca="false">customer_churn_dataset!B526</f>
        <v>Standard</v>
      </c>
      <c r="C1042" s="24" t="str">
        <f aca="false">customer_churn_dataset!C526</f>
        <v>One year</v>
      </c>
      <c r="D1042" s="25" t="n">
        <f aca="false">INDEX(customer_churn_dataset!$E$2:$E$1501,MATCH($A1043,customer_churn_dataset!$A$2:$A$1501,0))</f>
        <v>4</v>
      </c>
      <c r="E1042" s="25" t="n">
        <f aca="false">INDEX(customer_churn_dataset!$I$2:$I$1501,MATCH($A1043,customer_churn_dataset!$A$2:$A$1501,0))</f>
        <v>38.5</v>
      </c>
      <c r="F1042" s="25" t="n">
        <f aca="false">INDEX(customer_churn_dataset!$L$2:$L$1501,MATCH($A1043,customer_churn_dataset!$A$2:$A$1501,0))</f>
        <v>2</v>
      </c>
      <c r="G1042" s="25" t="str">
        <f aca="false">IF(INDEX(customer_churn_dataset!$M$2:$M$1501,MATCH($A1043,customer_churn_dataset!$A$2:$A$1501,0))=1,"Yes","No")</f>
        <v>Yes</v>
      </c>
      <c r="H1042" s="25" t="n">
        <f aca="false">INDEX(customer_churn_dataset!$N$2:$N$1501,MATCH($A1043,customer_churn_dataset!$A$2:$A$1501,0))</f>
        <v>41.68</v>
      </c>
      <c r="I1042" s="25" t="n">
        <f aca="false">INDEX(customer_churn_dataset!$O$2:$O$1501,MATCH($A1043,customer_churn_dataset!$A$2:$A$1501,0))</f>
        <v>1</v>
      </c>
      <c r="J1042" s="25" t="n">
        <f aca="false">INDEX(customer_churn_dataset!$T$2:$T$1501,MATCH($A1043,customer_churn_dataset!$A$2:$A$1501,0))</f>
        <v>9</v>
      </c>
      <c r="K1042" s="25" t="str">
        <f aca="false">INDEX(customer_churn_dataset!$V$2:$V$1501,MATCH($A1043,customer_churn_dataset!$A$2:$A$1501,0))</f>
        <v>High Risk</v>
      </c>
    </row>
    <row r="1043" customFormat="false" ht="12.8" hidden="true" customHeight="false" outlineLevel="0" collapsed="false">
      <c r="A1043" s="22" t="str">
        <f aca="false">customer_churn_dataset!A533</f>
        <v>CUST101385</v>
      </c>
      <c r="B1043" s="22" t="str">
        <f aca="false">customer_churn_dataset!B533</f>
        <v>Basic</v>
      </c>
      <c r="C1043" s="22" t="str">
        <f aca="false">customer_churn_dataset!C533</f>
        <v>Month-to-month</v>
      </c>
      <c r="D1043" s="0" t="n">
        <f aca="false">INDEX(customer_churn_dataset!$E$2:$E$1501,MATCH($A1044,customer_churn_dataset!$A$2:$A$1501,0))</f>
        <v>11</v>
      </c>
      <c r="E1043" s="0" t="n">
        <f aca="false">INDEX(customer_churn_dataset!$I$2:$I$1501,MATCH($A1044,customer_churn_dataset!$A$2:$A$1501,0))</f>
        <v>33.5</v>
      </c>
      <c r="F1043" s="0" t="n">
        <f aca="false">INDEX(customer_churn_dataset!$L$2:$L$1501,MATCH($A1044,customer_churn_dataset!$A$2:$A$1501,0))</f>
        <v>2</v>
      </c>
      <c r="G1043" s="0" t="str">
        <f aca="false">IF(INDEX(customer_churn_dataset!$M$2:$M$1501,MATCH($A1044,customer_churn_dataset!$A$2:$A$1501,0))=1,"Yes","No")</f>
        <v>No</v>
      </c>
      <c r="H1043" s="0" t="n">
        <f aca="false">INDEX(customer_churn_dataset!$N$2:$N$1501,MATCH($A1044,customer_churn_dataset!$A$2:$A$1501,0))</f>
        <v>228.8</v>
      </c>
      <c r="I1043" s="0" t="n">
        <f aca="false">INDEX(customer_churn_dataset!$O$2:$O$1501,MATCH($A1044,customer_churn_dataset!$A$2:$A$1501,0))</f>
        <v>1</v>
      </c>
      <c r="J1043" s="0" t="n">
        <f aca="false">INDEX(customer_churn_dataset!$T$2:$T$1501,MATCH($A1044,customer_churn_dataset!$A$2:$A$1501,0))</f>
        <v>6</v>
      </c>
      <c r="K1043" s="0" t="str">
        <f aca="false">INDEX(customer_churn_dataset!$V$2:$V$1501,MATCH($A1044,customer_churn_dataset!$A$2:$A$1501,0))</f>
        <v>High Risk</v>
      </c>
    </row>
    <row r="1044" customFormat="false" ht="12.8" hidden="true" customHeight="false" outlineLevel="0" collapsed="false">
      <c r="A1044" s="22" t="str">
        <f aca="false">customer_churn_dataset!A538</f>
        <v>CUST101335</v>
      </c>
      <c r="B1044" s="22" t="str">
        <f aca="false">customer_churn_dataset!B538</f>
        <v>Standard</v>
      </c>
      <c r="C1044" s="22" t="str">
        <f aca="false">customer_churn_dataset!C538</f>
        <v>Month-to-month</v>
      </c>
      <c r="D1044" s="0" t="n">
        <f aca="false">INDEX(customer_churn_dataset!$E$2:$E$1501,MATCH($A1045,customer_churn_dataset!$A$2:$A$1501,0))</f>
        <v>2</v>
      </c>
      <c r="E1044" s="0" t="n">
        <f aca="false">INDEX(customer_churn_dataset!$I$2:$I$1501,MATCH($A1045,customer_churn_dataset!$A$2:$A$1501,0))</f>
        <v>100</v>
      </c>
      <c r="F1044" s="0" t="n">
        <f aca="false">INDEX(customer_churn_dataset!$L$2:$L$1501,MATCH($A1045,customer_churn_dataset!$A$2:$A$1501,0))</f>
        <v>0</v>
      </c>
      <c r="G1044" s="0" t="str">
        <f aca="false">IF(INDEX(customer_churn_dataset!$M$2:$M$1501,MATCH($A1045,customer_churn_dataset!$A$2:$A$1501,0))=1,"Yes","No")</f>
        <v>No</v>
      </c>
      <c r="H1044" s="0" t="n">
        <f aca="false">INDEX(customer_churn_dataset!$N$2:$N$1501,MATCH($A1045,customer_churn_dataset!$A$2:$A$1501,0))</f>
        <v>36.82</v>
      </c>
      <c r="I1044" s="0" t="n">
        <f aca="false">INDEX(customer_churn_dataset!$O$2:$O$1501,MATCH($A1045,customer_churn_dataset!$A$2:$A$1501,0))</f>
        <v>0</v>
      </c>
      <c r="J1044" s="0" t="n">
        <f aca="false">INDEX(customer_churn_dataset!$T$2:$T$1501,MATCH($A1045,customer_churn_dataset!$A$2:$A$1501,0))</f>
        <v>2</v>
      </c>
      <c r="K1044" s="0" t="str">
        <f aca="false">INDEX(customer_churn_dataset!$V$2:$V$1501,MATCH($A1045,customer_churn_dataset!$A$2:$A$1501,0))</f>
        <v>Low Risk</v>
      </c>
    </row>
    <row r="1045" customFormat="false" ht="12.8" hidden="true" customHeight="false" outlineLevel="0" collapsed="false">
      <c r="A1045" s="22" t="str">
        <f aca="false">customer_churn_dataset!A540</f>
        <v>CUST100648</v>
      </c>
      <c r="B1045" s="22" t="str">
        <f aca="false">customer_churn_dataset!B540</f>
        <v>Standard</v>
      </c>
      <c r="C1045" s="22" t="str">
        <f aca="false">customer_churn_dataset!C540</f>
        <v>One year</v>
      </c>
      <c r="D1045" s="0" t="n">
        <f aca="false">INDEX(customer_churn_dataset!$E$2:$E$1501,MATCH($A1046,customer_churn_dataset!$A$2:$A$1501,0))</f>
        <v>9</v>
      </c>
      <c r="E1045" s="0" t="n">
        <f aca="false">INDEX(customer_churn_dataset!$I$2:$I$1501,MATCH($A1046,customer_churn_dataset!$A$2:$A$1501,0))</f>
        <v>36.2</v>
      </c>
      <c r="F1045" s="0" t="n">
        <f aca="false">INDEX(customer_churn_dataset!$L$2:$L$1501,MATCH($A1046,customer_churn_dataset!$A$2:$A$1501,0))</f>
        <v>2</v>
      </c>
      <c r="G1045" s="0" t="str">
        <f aca="false">IF(INDEX(customer_churn_dataset!$M$2:$M$1501,MATCH($A1046,customer_churn_dataset!$A$2:$A$1501,0))=1,"Yes","No")</f>
        <v>No</v>
      </c>
      <c r="H1045" s="0" t="n">
        <f aca="false">INDEX(customer_churn_dataset!$N$2:$N$1501,MATCH($A1046,customer_churn_dataset!$A$2:$A$1501,0))</f>
        <v>181.53</v>
      </c>
      <c r="I1045" s="0" t="n">
        <f aca="false">INDEX(customer_churn_dataset!$O$2:$O$1501,MATCH($A1046,customer_churn_dataset!$A$2:$A$1501,0))</f>
        <v>0</v>
      </c>
      <c r="J1045" s="0" t="n">
        <f aca="false">INDEX(customer_churn_dataset!$T$2:$T$1501,MATCH($A1046,customer_churn_dataset!$A$2:$A$1501,0))</f>
        <v>5</v>
      </c>
      <c r="K1045" s="0" t="str">
        <f aca="false">INDEX(customer_churn_dataset!$V$2:$V$1501,MATCH($A1046,customer_churn_dataset!$A$2:$A$1501,0))</f>
        <v>Medium Risk</v>
      </c>
    </row>
    <row r="1046" customFormat="false" ht="12.8" hidden="true" customHeight="false" outlineLevel="0" collapsed="false">
      <c r="A1046" s="22" t="str">
        <f aca="false">customer_churn_dataset!A544</f>
        <v>CUST100865</v>
      </c>
      <c r="B1046" s="22" t="str">
        <f aca="false">customer_churn_dataset!B544</f>
        <v>Standard</v>
      </c>
      <c r="C1046" s="22" t="str">
        <f aca="false">customer_churn_dataset!C544</f>
        <v>One year</v>
      </c>
      <c r="D1046" s="0" t="n">
        <f aca="false">INDEX(customer_churn_dataset!$E$2:$E$1501,MATCH($A1047,customer_churn_dataset!$A$2:$A$1501,0))</f>
        <v>22</v>
      </c>
      <c r="E1046" s="0" t="n">
        <f aca="false">INDEX(customer_churn_dataset!$I$2:$I$1501,MATCH($A1047,customer_churn_dataset!$A$2:$A$1501,0))</f>
        <v>30.3</v>
      </c>
      <c r="F1046" s="0" t="n">
        <f aca="false">INDEX(customer_churn_dataset!$L$2:$L$1501,MATCH($A1047,customer_churn_dataset!$A$2:$A$1501,0))</f>
        <v>1</v>
      </c>
      <c r="G1046" s="0" t="str">
        <f aca="false">IF(INDEX(customer_churn_dataset!$M$2:$M$1501,MATCH($A1047,customer_churn_dataset!$A$2:$A$1501,0))=1,"Yes","No")</f>
        <v>No</v>
      </c>
      <c r="H1046" s="0" t="n">
        <f aca="false">INDEX(customer_churn_dataset!$N$2:$N$1501,MATCH($A1047,customer_churn_dataset!$A$2:$A$1501,0))</f>
        <v>439.34</v>
      </c>
      <c r="I1046" s="0" t="n">
        <f aca="false">INDEX(customer_churn_dataset!$O$2:$O$1501,MATCH($A1047,customer_churn_dataset!$A$2:$A$1501,0))</f>
        <v>1</v>
      </c>
      <c r="J1046" s="0" t="n">
        <f aca="false">INDEX(customer_churn_dataset!$T$2:$T$1501,MATCH($A1047,customer_churn_dataset!$A$2:$A$1501,0))</f>
        <v>3</v>
      </c>
      <c r="K1046" s="0" t="str">
        <f aca="false">INDEX(customer_churn_dataset!$V$2:$V$1501,MATCH($A1047,customer_churn_dataset!$A$2:$A$1501,0))</f>
        <v>Medium Risk</v>
      </c>
    </row>
    <row r="1047" customFormat="false" ht="12.8" hidden="true" customHeight="false" outlineLevel="0" collapsed="false">
      <c r="A1047" s="22" t="str">
        <f aca="false">customer_churn_dataset!A547</f>
        <v>CUST101272</v>
      </c>
      <c r="B1047" s="22" t="str">
        <f aca="false">customer_churn_dataset!B547</f>
        <v>Standard</v>
      </c>
      <c r="C1047" s="22" t="str">
        <f aca="false">customer_churn_dataset!C547</f>
        <v>One year</v>
      </c>
      <c r="D1047" s="0" t="n">
        <f aca="false">INDEX(customer_churn_dataset!$E$2:$E$1501,MATCH($A1048,customer_churn_dataset!$A$2:$A$1501,0))</f>
        <v>2</v>
      </c>
      <c r="E1047" s="0" t="n">
        <f aca="false">INDEX(customer_churn_dataset!$I$2:$I$1501,MATCH($A1048,customer_churn_dataset!$A$2:$A$1501,0))</f>
        <v>52.4</v>
      </c>
      <c r="F1047" s="0" t="n">
        <f aca="false">INDEX(customer_churn_dataset!$L$2:$L$1501,MATCH($A1048,customer_churn_dataset!$A$2:$A$1501,0))</f>
        <v>1</v>
      </c>
      <c r="G1047" s="0" t="str">
        <f aca="false">IF(INDEX(customer_churn_dataset!$M$2:$M$1501,MATCH($A1048,customer_churn_dataset!$A$2:$A$1501,0))=1,"Yes","No")</f>
        <v>Yes</v>
      </c>
      <c r="H1047" s="0" t="n">
        <f aca="false">INDEX(customer_churn_dataset!$N$2:$N$1501,MATCH($A1048,customer_churn_dataset!$A$2:$A$1501,0))</f>
        <v>81.06</v>
      </c>
      <c r="I1047" s="0" t="n">
        <f aca="false">INDEX(customer_churn_dataset!$O$2:$O$1501,MATCH($A1048,customer_churn_dataset!$A$2:$A$1501,0))</f>
        <v>1</v>
      </c>
      <c r="J1047" s="0" t="n">
        <f aca="false">INDEX(customer_churn_dataset!$T$2:$T$1501,MATCH($A1048,customer_churn_dataset!$A$2:$A$1501,0))</f>
        <v>7</v>
      </c>
      <c r="K1047" s="0" t="str">
        <f aca="false">INDEX(customer_churn_dataset!$V$2:$V$1501,MATCH($A1048,customer_churn_dataset!$A$2:$A$1501,0))</f>
        <v>High Risk</v>
      </c>
    </row>
    <row r="1048" customFormat="false" ht="12.8" hidden="true" customHeight="false" outlineLevel="0" collapsed="false">
      <c r="A1048" s="22" t="str">
        <f aca="false">customer_churn_dataset!A553</f>
        <v>CUST100241</v>
      </c>
      <c r="B1048" s="22" t="str">
        <f aca="false">customer_churn_dataset!B553</f>
        <v>Premium</v>
      </c>
      <c r="C1048" s="22" t="str">
        <f aca="false">customer_churn_dataset!C553</f>
        <v>Month-to-month</v>
      </c>
      <c r="D1048" s="0" t="n">
        <f aca="false">INDEX(customer_churn_dataset!$E$2:$E$1501,MATCH($A1049,customer_churn_dataset!$A$2:$A$1501,0))</f>
        <v>43</v>
      </c>
      <c r="E1048" s="0" t="n">
        <f aca="false">INDEX(customer_churn_dataset!$I$2:$I$1501,MATCH($A1049,customer_churn_dataset!$A$2:$A$1501,0))</f>
        <v>59.9</v>
      </c>
      <c r="F1048" s="0" t="n">
        <f aca="false">INDEX(customer_churn_dataset!$L$2:$L$1501,MATCH($A1049,customer_churn_dataset!$A$2:$A$1501,0))</f>
        <v>6</v>
      </c>
      <c r="G1048" s="0" t="str">
        <f aca="false">IF(INDEX(customer_churn_dataset!$M$2:$M$1501,MATCH($A1049,customer_churn_dataset!$A$2:$A$1501,0))=1,"Yes","No")</f>
        <v>No</v>
      </c>
      <c r="H1048" s="0" t="n">
        <f aca="false">INDEX(customer_churn_dataset!$N$2:$N$1501,MATCH($A1049,customer_churn_dataset!$A$2:$A$1501,0))</f>
        <v>935.68</v>
      </c>
      <c r="I1048" s="0" t="n">
        <f aca="false">INDEX(customer_churn_dataset!$O$2:$O$1501,MATCH($A1049,customer_churn_dataset!$A$2:$A$1501,0))</f>
        <v>0</v>
      </c>
      <c r="J1048" s="0" t="n">
        <f aca="false">INDEX(customer_churn_dataset!$T$2:$T$1501,MATCH($A1049,customer_churn_dataset!$A$2:$A$1501,0))</f>
        <v>3</v>
      </c>
      <c r="K1048" s="0" t="str">
        <f aca="false">INDEX(customer_churn_dataset!$V$2:$V$1501,MATCH($A1049,customer_churn_dataset!$A$2:$A$1501,0))</f>
        <v>Medium Risk</v>
      </c>
    </row>
    <row r="1049" customFormat="false" ht="12.8" hidden="true" customHeight="false" outlineLevel="0" collapsed="false">
      <c r="A1049" s="22" t="str">
        <f aca="false">customer_churn_dataset!A558</f>
        <v>CUST100381</v>
      </c>
      <c r="B1049" s="22" t="str">
        <f aca="false">customer_churn_dataset!B558</f>
        <v>Standard</v>
      </c>
      <c r="C1049" s="22" t="str">
        <f aca="false">customer_churn_dataset!C558</f>
        <v>Month-to-month</v>
      </c>
      <c r="D1049" s="0" t="n">
        <f aca="false">INDEX(customer_churn_dataset!$E$2:$E$1501,MATCH($A1050,customer_churn_dataset!$A$2:$A$1501,0))</f>
        <v>35</v>
      </c>
      <c r="E1049" s="0" t="n">
        <f aca="false">INDEX(customer_churn_dataset!$I$2:$I$1501,MATCH($A1050,customer_churn_dataset!$A$2:$A$1501,0))</f>
        <v>68.3</v>
      </c>
      <c r="F1049" s="0" t="n">
        <f aca="false">INDEX(customer_churn_dataset!$L$2:$L$1501,MATCH($A1050,customer_churn_dataset!$A$2:$A$1501,0))</f>
        <v>1</v>
      </c>
      <c r="G1049" s="0" t="str">
        <f aca="false">IF(INDEX(customer_churn_dataset!$M$2:$M$1501,MATCH($A1050,customer_churn_dataset!$A$2:$A$1501,0))=1,"Yes","No")</f>
        <v>Yes</v>
      </c>
      <c r="H1049" s="0" t="n">
        <f aca="false">INDEX(customer_churn_dataset!$N$2:$N$1501,MATCH($A1050,customer_churn_dataset!$A$2:$A$1501,0))</f>
        <v>305.55</v>
      </c>
      <c r="I1049" s="0" t="n">
        <f aca="false">INDEX(customer_churn_dataset!$O$2:$O$1501,MATCH($A1050,customer_churn_dataset!$A$2:$A$1501,0))</f>
        <v>0</v>
      </c>
      <c r="J1049" s="0" t="n">
        <f aca="false">INDEX(customer_churn_dataset!$T$2:$T$1501,MATCH($A1050,customer_churn_dataset!$A$2:$A$1501,0))</f>
        <v>5</v>
      </c>
      <c r="K1049" s="0" t="str">
        <f aca="false">INDEX(customer_churn_dataset!$V$2:$V$1501,MATCH($A1050,customer_churn_dataset!$A$2:$A$1501,0))</f>
        <v>Medium Risk</v>
      </c>
    </row>
    <row r="1050" customFormat="false" ht="12.8" hidden="true" customHeight="false" outlineLevel="0" collapsed="false">
      <c r="A1050" s="22" t="str">
        <f aca="false">customer_churn_dataset!A574</f>
        <v>CUST101381</v>
      </c>
      <c r="B1050" s="22" t="str">
        <f aca="false">customer_churn_dataset!B574</f>
        <v>Basic</v>
      </c>
      <c r="C1050" s="22" t="str">
        <f aca="false">customer_churn_dataset!C574</f>
        <v>Month-to-month</v>
      </c>
      <c r="D1050" s="0" t="n">
        <f aca="false">INDEX(customer_churn_dataset!$E$2:$E$1501,MATCH($A1051,customer_churn_dataset!$A$2:$A$1501,0))</f>
        <v>10</v>
      </c>
      <c r="E1050" s="0" t="n">
        <f aca="false">INDEX(customer_churn_dataset!$I$2:$I$1501,MATCH($A1051,customer_churn_dataset!$A$2:$A$1501,0))</f>
        <v>90.9</v>
      </c>
      <c r="F1050" s="0" t="n">
        <f aca="false">INDEX(customer_churn_dataset!$L$2:$L$1501,MATCH($A1051,customer_churn_dataset!$A$2:$A$1501,0))</f>
        <v>1</v>
      </c>
      <c r="G1050" s="0" t="str">
        <f aca="false">IF(INDEX(customer_churn_dataset!$M$2:$M$1501,MATCH($A1051,customer_churn_dataset!$A$2:$A$1501,0))=1,"Yes","No")</f>
        <v>No</v>
      </c>
      <c r="H1050" s="0" t="n">
        <f aca="false">INDEX(customer_churn_dataset!$N$2:$N$1501,MATCH($A1051,customer_churn_dataset!$A$2:$A$1501,0))</f>
        <v>413.6</v>
      </c>
      <c r="I1050" s="0" t="n">
        <f aca="false">INDEX(customer_churn_dataset!$O$2:$O$1501,MATCH($A1051,customer_churn_dataset!$A$2:$A$1501,0))</f>
        <v>0</v>
      </c>
      <c r="J1050" s="0" t="n">
        <f aca="false">INDEX(customer_churn_dataset!$T$2:$T$1501,MATCH($A1051,customer_churn_dataset!$A$2:$A$1501,0))</f>
        <v>3</v>
      </c>
      <c r="K1050" s="0" t="str">
        <f aca="false">INDEX(customer_churn_dataset!$V$2:$V$1501,MATCH($A1051,customer_churn_dataset!$A$2:$A$1501,0))</f>
        <v>Medium Risk</v>
      </c>
    </row>
    <row r="1051" customFormat="false" ht="12.8" hidden="true" customHeight="false" outlineLevel="0" collapsed="false">
      <c r="A1051" s="22" t="str">
        <f aca="false">customer_churn_dataset!A577</f>
        <v>CUST100441</v>
      </c>
      <c r="B1051" s="22" t="str">
        <f aca="false">customer_churn_dataset!B577</f>
        <v>Premium</v>
      </c>
      <c r="C1051" s="22" t="str">
        <f aca="false">customer_churn_dataset!C577</f>
        <v>Month-to-month</v>
      </c>
      <c r="D1051" s="0" t="n">
        <f aca="false">INDEX(customer_churn_dataset!$E$2:$E$1501,MATCH($A1052,customer_churn_dataset!$A$2:$A$1501,0))</f>
        <v>32</v>
      </c>
      <c r="E1051" s="0" t="n">
        <f aca="false">INDEX(customer_churn_dataset!$I$2:$I$1501,MATCH($A1052,customer_churn_dataset!$A$2:$A$1501,0))</f>
        <v>42.5</v>
      </c>
      <c r="F1051" s="0" t="n">
        <f aca="false">INDEX(customer_churn_dataset!$L$2:$L$1501,MATCH($A1052,customer_churn_dataset!$A$2:$A$1501,0))</f>
        <v>2</v>
      </c>
      <c r="G1051" s="0" t="str">
        <f aca="false">IF(INDEX(customer_churn_dataset!$M$2:$M$1501,MATCH($A1052,customer_churn_dataset!$A$2:$A$1501,0))=1,"Yes","No")</f>
        <v>Yes</v>
      </c>
      <c r="H1051" s="0" t="n">
        <f aca="false">INDEX(customer_churn_dataset!$N$2:$N$1501,MATCH($A1052,customer_churn_dataset!$A$2:$A$1501,0))</f>
        <v>593.28</v>
      </c>
      <c r="I1051" s="0" t="n">
        <f aca="false">INDEX(customer_churn_dataset!$O$2:$O$1501,MATCH($A1052,customer_churn_dataset!$A$2:$A$1501,0))</f>
        <v>0</v>
      </c>
      <c r="J1051" s="0" t="n">
        <f aca="false">INDEX(customer_churn_dataset!$T$2:$T$1501,MATCH($A1052,customer_churn_dataset!$A$2:$A$1501,0))</f>
        <v>7</v>
      </c>
      <c r="K1051" s="0" t="str">
        <f aca="false">INDEX(customer_churn_dataset!$V$2:$V$1501,MATCH($A1052,customer_churn_dataset!$A$2:$A$1501,0))</f>
        <v>High Risk</v>
      </c>
    </row>
    <row r="1052" customFormat="false" ht="12.8" hidden="true" customHeight="false" outlineLevel="0" collapsed="false">
      <c r="A1052" s="22" t="str">
        <f aca="false">customer_churn_dataset!A596</f>
        <v>CUST101092</v>
      </c>
      <c r="B1052" s="22" t="str">
        <f aca="false">customer_churn_dataset!B596</f>
        <v>Standard</v>
      </c>
      <c r="C1052" s="22" t="str">
        <f aca="false">customer_churn_dataset!C596</f>
        <v>Month-to-month</v>
      </c>
      <c r="D1052" s="0" t="n">
        <f aca="false">INDEX(customer_churn_dataset!$E$2:$E$1501,MATCH($A1053,customer_churn_dataset!$A$2:$A$1501,0))</f>
        <v>5</v>
      </c>
      <c r="E1052" s="0" t="n">
        <f aca="false">INDEX(customer_churn_dataset!$I$2:$I$1501,MATCH($A1053,customer_churn_dataset!$A$2:$A$1501,0))</f>
        <v>73.6</v>
      </c>
      <c r="F1052" s="0" t="n">
        <f aca="false">INDEX(customer_churn_dataset!$L$2:$L$1501,MATCH($A1053,customer_churn_dataset!$A$2:$A$1501,0))</f>
        <v>1</v>
      </c>
      <c r="G1052" s="0" t="str">
        <f aca="false">IF(INDEX(customer_churn_dataset!$M$2:$M$1501,MATCH($A1053,customer_churn_dataset!$A$2:$A$1501,0))=1,"Yes","No")</f>
        <v>No</v>
      </c>
      <c r="H1052" s="0" t="n">
        <f aca="false">INDEX(customer_churn_dataset!$N$2:$N$1501,MATCH($A1053,customer_churn_dataset!$A$2:$A$1501,0))</f>
        <v>98.35</v>
      </c>
      <c r="I1052" s="0" t="n">
        <f aca="false">INDEX(customer_churn_dataset!$O$2:$O$1501,MATCH($A1053,customer_churn_dataset!$A$2:$A$1501,0))</f>
        <v>0</v>
      </c>
      <c r="J1052" s="0" t="n">
        <f aca="false">INDEX(customer_churn_dataset!$T$2:$T$1501,MATCH($A1053,customer_churn_dataset!$A$2:$A$1501,0))</f>
        <v>2</v>
      </c>
      <c r="K1052" s="0" t="str">
        <f aca="false">INDEX(customer_churn_dataset!$V$2:$V$1501,MATCH($A1053,customer_churn_dataset!$A$2:$A$1501,0))</f>
        <v>Low Risk</v>
      </c>
    </row>
    <row r="1053" customFormat="false" ht="12.8" hidden="true" customHeight="false" outlineLevel="0" collapsed="false">
      <c r="A1053" s="22" t="str">
        <f aca="false">customer_churn_dataset!A598</f>
        <v>CUST100636</v>
      </c>
      <c r="B1053" s="22" t="str">
        <f aca="false">customer_churn_dataset!B598</f>
        <v>Standard</v>
      </c>
      <c r="C1053" s="22" t="str">
        <f aca="false">customer_churn_dataset!C598</f>
        <v>One year</v>
      </c>
      <c r="D1053" s="0" t="n">
        <f aca="false">INDEX(customer_churn_dataset!$E$2:$E$1501,MATCH($A1054,customer_churn_dataset!$A$2:$A$1501,0))</f>
        <v>26</v>
      </c>
      <c r="E1053" s="0" t="n">
        <f aca="false">INDEX(customer_churn_dataset!$I$2:$I$1501,MATCH($A1054,customer_churn_dataset!$A$2:$A$1501,0))</f>
        <v>53.5</v>
      </c>
      <c r="F1053" s="0" t="n">
        <f aca="false">INDEX(customer_churn_dataset!$L$2:$L$1501,MATCH($A1054,customer_churn_dataset!$A$2:$A$1501,0))</f>
        <v>1</v>
      </c>
      <c r="G1053" s="0" t="str">
        <f aca="false">IF(INDEX(customer_churn_dataset!$M$2:$M$1501,MATCH($A1054,customer_churn_dataset!$A$2:$A$1501,0))=1,"Yes","No")</f>
        <v>Yes</v>
      </c>
      <c r="H1053" s="0" t="n">
        <f aca="false">INDEX(customer_churn_dataset!$N$2:$N$1501,MATCH($A1054,customer_churn_dataset!$A$2:$A$1501,0))</f>
        <v>1025.44</v>
      </c>
      <c r="I1053" s="0" t="n">
        <f aca="false">INDEX(customer_churn_dataset!$O$2:$O$1501,MATCH($A1054,customer_churn_dataset!$A$2:$A$1501,0))</f>
        <v>1</v>
      </c>
      <c r="J1053" s="0" t="n">
        <f aca="false">INDEX(customer_churn_dataset!$T$2:$T$1501,MATCH($A1054,customer_churn_dataset!$A$2:$A$1501,0))</f>
        <v>6</v>
      </c>
      <c r="K1053" s="0" t="str">
        <f aca="false">INDEX(customer_churn_dataset!$V$2:$V$1501,MATCH($A1054,customer_churn_dataset!$A$2:$A$1501,0))</f>
        <v>High Risk</v>
      </c>
    </row>
    <row r="1054" customFormat="false" ht="12.8" hidden="true" customHeight="false" outlineLevel="0" collapsed="false">
      <c r="A1054" s="22" t="str">
        <f aca="false">customer_churn_dataset!A609</f>
        <v>CUST101324</v>
      </c>
      <c r="B1054" s="22" t="str">
        <f aca="false">customer_churn_dataset!B609</f>
        <v>Premium</v>
      </c>
      <c r="C1054" s="22" t="str">
        <f aca="false">customer_churn_dataset!C609</f>
        <v>Month-to-month</v>
      </c>
      <c r="D1054" s="0" t="n">
        <f aca="false">INDEX(customer_churn_dataset!$E$2:$E$1501,MATCH($A1055,customer_churn_dataset!$A$2:$A$1501,0))</f>
        <v>16</v>
      </c>
      <c r="E1054" s="0" t="n">
        <f aca="false">INDEX(customer_churn_dataset!$I$2:$I$1501,MATCH($A1055,customer_churn_dataset!$A$2:$A$1501,0))</f>
        <v>54.2</v>
      </c>
      <c r="F1054" s="0" t="n">
        <f aca="false">INDEX(customer_churn_dataset!$L$2:$L$1501,MATCH($A1055,customer_churn_dataset!$A$2:$A$1501,0))</f>
        <v>4</v>
      </c>
      <c r="G1054" s="0" t="str">
        <f aca="false">IF(INDEX(customer_churn_dataset!$M$2:$M$1501,MATCH($A1055,customer_churn_dataset!$A$2:$A$1501,0))=1,"Yes","No")</f>
        <v>No</v>
      </c>
      <c r="H1054" s="0" t="n">
        <f aca="false">INDEX(customer_churn_dataset!$N$2:$N$1501,MATCH($A1055,customer_churn_dataset!$A$2:$A$1501,0))</f>
        <v>148.16</v>
      </c>
      <c r="I1054" s="0" t="n">
        <f aca="false">INDEX(customer_churn_dataset!$O$2:$O$1501,MATCH($A1055,customer_churn_dataset!$A$2:$A$1501,0))</f>
        <v>0</v>
      </c>
      <c r="J1054" s="0" t="n">
        <f aca="false">INDEX(customer_churn_dataset!$T$2:$T$1501,MATCH($A1055,customer_churn_dataset!$A$2:$A$1501,0))</f>
        <v>2</v>
      </c>
      <c r="K1054" s="0" t="str">
        <f aca="false">INDEX(customer_churn_dataset!$V$2:$V$1501,MATCH($A1055,customer_churn_dataset!$A$2:$A$1501,0))</f>
        <v>Low Risk</v>
      </c>
    </row>
    <row r="1055" customFormat="false" ht="12.8" hidden="true" customHeight="false" outlineLevel="0" collapsed="false">
      <c r="A1055" s="22" t="str">
        <f aca="false">customer_churn_dataset!A613</f>
        <v>CUST100439</v>
      </c>
      <c r="B1055" s="22" t="str">
        <f aca="false">customer_churn_dataset!B613</f>
        <v>Basic</v>
      </c>
      <c r="C1055" s="22" t="str">
        <f aca="false">customer_churn_dataset!C613</f>
        <v>Two year</v>
      </c>
      <c r="D1055" s="0" t="n">
        <f aca="false">INDEX(customer_churn_dataset!$E$2:$E$1501,MATCH($A1056,customer_churn_dataset!$A$2:$A$1501,0))</f>
        <v>7</v>
      </c>
      <c r="E1055" s="0" t="n">
        <f aca="false">INDEX(customer_churn_dataset!$I$2:$I$1501,MATCH($A1056,customer_churn_dataset!$A$2:$A$1501,0))</f>
        <v>44.7</v>
      </c>
      <c r="F1055" s="0" t="n">
        <f aca="false">INDEX(customer_churn_dataset!$L$2:$L$1501,MATCH($A1056,customer_churn_dataset!$A$2:$A$1501,0))</f>
        <v>2</v>
      </c>
      <c r="G1055" s="0" t="str">
        <f aca="false">IF(INDEX(customer_churn_dataset!$M$2:$M$1501,MATCH($A1056,customer_churn_dataset!$A$2:$A$1501,0))=1,"Yes","No")</f>
        <v>No</v>
      </c>
      <c r="H1055" s="0" t="n">
        <f aca="false">INDEX(customer_churn_dataset!$N$2:$N$1501,MATCH($A1056,customer_churn_dataset!$A$2:$A$1501,0))</f>
        <v>68.6</v>
      </c>
      <c r="I1055" s="0" t="n">
        <f aca="false">INDEX(customer_churn_dataset!$O$2:$O$1501,MATCH($A1056,customer_churn_dataset!$A$2:$A$1501,0))</f>
        <v>0</v>
      </c>
      <c r="J1055" s="0" t="n">
        <f aca="false">INDEX(customer_churn_dataset!$T$2:$T$1501,MATCH($A1056,customer_churn_dataset!$A$2:$A$1501,0))</f>
        <v>4</v>
      </c>
      <c r="K1055" s="0" t="str">
        <f aca="false">INDEX(customer_churn_dataset!$V$2:$V$1501,MATCH($A1056,customer_churn_dataset!$A$2:$A$1501,0))</f>
        <v>Medium Risk</v>
      </c>
    </row>
    <row r="1056" customFormat="false" ht="12.8" hidden="true" customHeight="false" outlineLevel="0" collapsed="false">
      <c r="A1056" s="22" t="str">
        <f aca="false">customer_churn_dataset!A622</f>
        <v>CUST100486</v>
      </c>
      <c r="B1056" s="22" t="str">
        <f aca="false">customer_churn_dataset!B622</f>
        <v>Basic</v>
      </c>
      <c r="C1056" s="22" t="str">
        <f aca="false">customer_churn_dataset!C622</f>
        <v>One year</v>
      </c>
      <c r="D1056" s="0" t="n">
        <f aca="false">INDEX(customer_churn_dataset!$E$2:$E$1501,MATCH($A1057,customer_churn_dataset!$A$2:$A$1501,0))</f>
        <v>12</v>
      </c>
      <c r="E1056" s="0" t="n">
        <f aca="false">INDEX(customer_churn_dataset!$I$2:$I$1501,MATCH($A1057,customer_churn_dataset!$A$2:$A$1501,0))</f>
        <v>43</v>
      </c>
      <c r="F1056" s="0" t="n">
        <f aca="false">INDEX(customer_churn_dataset!$L$2:$L$1501,MATCH($A1057,customer_churn_dataset!$A$2:$A$1501,0))</f>
        <v>4</v>
      </c>
      <c r="G1056" s="0" t="str">
        <f aca="false">IF(INDEX(customer_churn_dataset!$M$2:$M$1501,MATCH($A1057,customer_churn_dataset!$A$2:$A$1501,0))=1,"Yes","No")</f>
        <v>Yes</v>
      </c>
      <c r="H1056" s="0" t="n">
        <f aca="false">INDEX(customer_churn_dataset!$N$2:$N$1501,MATCH($A1057,customer_churn_dataset!$A$2:$A$1501,0))</f>
        <v>117.6</v>
      </c>
      <c r="I1056" s="0" t="n">
        <f aca="false">INDEX(customer_churn_dataset!$O$2:$O$1501,MATCH($A1057,customer_churn_dataset!$A$2:$A$1501,0))</f>
        <v>0</v>
      </c>
      <c r="J1056" s="0" t="n">
        <f aca="false">INDEX(customer_churn_dataset!$T$2:$T$1501,MATCH($A1057,customer_churn_dataset!$A$2:$A$1501,0))</f>
        <v>6</v>
      </c>
      <c r="K1056" s="0" t="str">
        <f aca="false">INDEX(customer_churn_dataset!$V$2:$V$1501,MATCH($A1057,customer_churn_dataset!$A$2:$A$1501,0))</f>
        <v>High Risk</v>
      </c>
    </row>
    <row r="1057" customFormat="false" ht="12.8" hidden="true" customHeight="false" outlineLevel="0" collapsed="false">
      <c r="A1057" s="22" t="str">
        <f aca="false">customer_churn_dataset!A628</f>
        <v>CUST100064</v>
      </c>
      <c r="B1057" s="22" t="str">
        <f aca="false">customer_churn_dataset!B628</f>
        <v>Basic</v>
      </c>
      <c r="C1057" s="22" t="str">
        <f aca="false">customer_churn_dataset!C628</f>
        <v>One year</v>
      </c>
      <c r="D1057" s="0" t="n">
        <f aca="false">INDEX(customer_churn_dataset!$E$2:$E$1501,MATCH($A1058,customer_churn_dataset!$A$2:$A$1501,0))</f>
        <v>54</v>
      </c>
      <c r="E1057" s="0" t="n">
        <f aca="false">INDEX(customer_churn_dataset!$I$2:$I$1501,MATCH($A1058,customer_churn_dataset!$A$2:$A$1501,0))</f>
        <v>54.3</v>
      </c>
      <c r="F1057" s="0" t="n">
        <f aca="false">INDEX(customer_churn_dataset!$L$2:$L$1501,MATCH($A1058,customer_churn_dataset!$A$2:$A$1501,0))</f>
        <v>1</v>
      </c>
      <c r="G1057" s="0" t="str">
        <f aca="false">IF(INDEX(customer_churn_dataset!$M$2:$M$1501,MATCH($A1058,customer_churn_dataset!$A$2:$A$1501,0))=1,"Yes","No")</f>
        <v>No</v>
      </c>
      <c r="H1057" s="0" t="n">
        <f aca="false">INDEX(customer_churn_dataset!$N$2:$N$1501,MATCH($A1058,customer_churn_dataset!$A$2:$A$1501,0))</f>
        <v>1139.94</v>
      </c>
      <c r="I1057" s="0" t="n">
        <f aca="false">INDEX(customer_churn_dataset!$O$2:$O$1501,MATCH($A1058,customer_churn_dataset!$A$2:$A$1501,0))</f>
        <v>0</v>
      </c>
      <c r="J1057" s="0" t="n">
        <f aca="false">INDEX(customer_churn_dataset!$T$2:$T$1501,MATCH($A1058,customer_churn_dataset!$A$2:$A$1501,0))</f>
        <v>2</v>
      </c>
      <c r="K1057" s="0" t="str">
        <f aca="false">INDEX(customer_churn_dataset!$V$2:$V$1501,MATCH($A1058,customer_churn_dataset!$A$2:$A$1501,0))</f>
        <v>Low Risk</v>
      </c>
    </row>
    <row r="1058" customFormat="false" ht="12.8" hidden="true" customHeight="false" outlineLevel="0" collapsed="false">
      <c r="A1058" s="22" t="str">
        <f aca="false">customer_churn_dataset!A633</f>
        <v>CUST100816</v>
      </c>
      <c r="B1058" s="22" t="str">
        <f aca="false">customer_churn_dataset!B633</f>
        <v>Standard</v>
      </c>
      <c r="C1058" s="22" t="str">
        <f aca="false">customer_churn_dataset!C633</f>
        <v>One year</v>
      </c>
      <c r="D1058" s="0" t="n">
        <f aca="false">INDEX(customer_churn_dataset!$E$2:$E$1501,MATCH($A1059,customer_churn_dataset!$A$2:$A$1501,0))</f>
        <v>35</v>
      </c>
      <c r="E1058" s="0" t="n">
        <f aca="false">INDEX(customer_churn_dataset!$I$2:$I$1501,MATCH($A1059,customer_churn_dataset!$A$2:$A$1501,0))</f>
        <v>51</v>
      </c>
      <c r="F1058" s="0" t="n">
        <f aca="false">INDEX(customer_churn_dataset!$L$2:$L$1501,MATCH($A1059,customer_churn_dataset!$A$2:$A$1501,0))</f>
        <v>2</v>
      </c>
      <c r="G1058" s="0" t="str">
        <f aca="false">IF(INDEX(customer_churn_dataset!$M$2:$M$1501,MATCH($A1059,customer_churn_dataset!$A$2:$A$1501,0))=1,"Yes","No")</f>
        <v>No</v>
      </c>
      <c r="H1058" s="0" t="n">
        <f aca="false">INDEX(customer_churn_dataset!$N$2:$N$1501,MATCH($A1059,customer_churn_dataset!$A$2:$A$1501,0))</f>
        <v>1417.5</v>
      </c>
      <c r="I1058" s="0" t="n">
        <f aca="false">INDEX(customer_churn_dataset!$O$2:$O$1501,MATCH($A1059,customer_churn_dataset!$A$2:$A$1501,0))</f>
        <v>0</v>
      </c>
      <c r="J1058" s="0" t="n">
        <f aca="false">INDEX(customer_churn_dataset!$T$2:$T$1501,MATCH($A1059,customer_churn_dataset!$A$2:$A$1501,0))</f>
        <v>3</v>
      </c>
      <c r="K1058" s="0" t="str">
        <f aca="false">INDEX(customer_churn_dataset!$V$2:$V$1501,MATCH($A1059,customer_churn_dataset!$A$2:$A$1501,0))</f>
        <v>Medium Risk</v>
      </c>
    </row>
    <row r="1059" customFormat="false" ht="12.8" hidden="true" customHeight="false" outlineLevel="0" collapsed="false">
      <c r="A1059" s="22" t="str">
        <f aca="false">customer_churn_dataset!A652</f>
        <v>CUST100594</v>
      </c>
      <c r="B1059" s="22" t="str">
        <f aca="false">customer_churn_dataset!B652</f>
        <v>Premium</v>
      </c>
      <c r="C1059" s="22" t="str">
        <f aca="false">customer_churn_dataset!C652</f>
        <v>One year</v>
      </c>
      <c r="D1059" s="0" t="n">
        <f aca="false">INDEX(customer_churn_dataset!$E$2:$E$1501,MATCH($A1060,customer_churn_dataset!$A$2:$A$1501,0))</f>
        <v>2</v>
      </c>
      <c r="E1059" s="0" t="n">
        <f aca="false">INDEX(customer_churn_dataset!$I$2:$I$1501,MATCH($A1060,customer_churn_dataset!$A$2:$A$1501,0))</f>
        <v>67</v>
      </c>
      <c r="F1059" s="0" t="n">
        <f aca="false">INDEX(customer_churn_dataset!$L$2:$L$1501,MATCH($A1060,customer_churn_dataset!$A$2:$A$1501,0))</f>
        <v>2</v>
      </c>
      <c r="G1059" s="0" t="str">
        <f aca="false">IF(INDEX(customer_churn_dataset!$M$2:$M$1501,MATCH($A1060,customer_churn_dataset!$A$2:$A$1501,0))=1,"Yes","No")</f>
        <v>No</v>
      </c>
      <c r="H1059" s="0" t="n">
        <f aca="false">INDEX(customer_churn_dataset!$N$2:$N$1501,MATCH($A1060,customer_churn_dataset!$A$2:$A$1501,0))</f>
        <v>40.54</v>
      </c>
      <c r="I1059" s="0" t="n">
        <f aca="false">INDEX(customer_churn_dataset!$O$2:$O$1501,MATCH($A1060,customer_churn_dataset!$A$2:$A$1501,0))</f>
        <v>0</v>
      </c>
      <c r="J1059" s="0" t="n">
        <f aca="false">INDEX(customer_churn_dataset!$T$2:$T$1501,MATCH($A1060,customer_churn_dataset!$A$2:$A$1501,0))</f>
        <v>3</v>
      </c>
      <c r="K1059" s="0" t="str">
        <f aca="false">INDEX(customer_churn_dataset!$V$2:$V$1501,MATCH($A1060,customer_churn_dataset!$A$2:$A$1501,0))</f>
        <v>Medium Risk</v>
      </c>
    </row>
    <row r="1060" customFormat="false" ht="12.8" hidden="true" customHeight="false" outlineLevel="0" collapsed="false">
      <c r="A1060" s="22" t="str">
        <f aca="false">customer_churn_dataset!A661</f>
        <v>CUST100861</v>
      </c>
      <c r="B1060" s="22" t="str">
        <f aca="false">customer_churn_dataset!B661</f>
        <v>Standard</v>
      </c>
      <c r="C1060" s="22" t="str">
        <f aca="false">customer_churn_dataset!C661</f>
        <v>One year</v>
      </c>
      <c r="D1060" s="0" t="n">
        <f aca="false">INDEX(customer_churn_dataset!$E$2:$E$1501,MATCH($A1061,customer_churn_dataset!$A$2:$A$1501,0))</f>
        <v>19</v>
      </c>
      <c r="E1060" s="0" t="n">
        <f aca="false">INDEX(customer_churn_dataset!$I$2:$I$1501,MATCH($A1061,customer_churn_dataset!$A$2:$A$1501,0))</f>
        <v>19.1</v>
      </c>
      <c r="F1060" s="0" t="n">
        <f aca="false">INDEX(customer_churn_dataset!$L$2:$L$1501,MATCH($A1061,customer_churn_dataset!$A$2:$A$1501,0))</f>
        <v>4</v>
      </c>
      <c r="G1060" s="0" t="str">
        <f aca="false">IF(INDEX(customer_churn_dataset!$M$2:$M$1501,MATCH($A1061,customer_churn_dataset!$A$2:$A$1501,0))=1,"Yes","No")</f>
        <v>No</v>
      </c>
      <c r="H1060" s="0" t="n">
        <f aca="false">INDEX(customer_churn_dataset!$N$2:$N$1501,MATCH($A1061,customer_churn_dataset!$A$2:$A$1501,0))</f>
        <v>135.28</v>
      </c>
      <c r="I1060" s="0" t="n">
        <f aca="false">INDEX(customer_churn_dataset!$O$2:$O$1501,MATCH($A1061,customer_churn_dataset!$A$2:$A$1501,0))</f>
        <v>0</v>
      </c>
      <c r="J1060" s="0" t="n">
        <f aca="false">INDEX(customer_churn_dataset!$T$2:$T$1501,MATCH($A1061,customer_churn_dataset!$A$2:$A$1501,0))</f>
        <v>5</v>
      </c>
      <c r="K1060" s="0" t="str">
        <f aca="false">INDEX(customer_churn_dataset!$V$2:$V$1501,MATCH($A1061,customer_churn_dataset!$A$2:$A$1501,0))</f>
        <v>Medium Risk</v>
      </c>
    </row>
    <row r="1061" customFormat="false" ht="12.8" hidden="true" customHeight="false" outlineLevel="0" collapsed="false">
      <c r="A1061" s="22" t="str">
        <f aca="false">customer_churn_dataset!A664</f>
        <v>CUST100379</v>
      </c>
      <c r="B1061" s="22" t="str">
        <f aca="false">customer_churn_dataset!B664</f>
        <v>Basic</v>
      </c>
      <c r="C1061" s="22" t="str">
        <f aca="false">customer_churn_dataset!C664</f>
        <v>Month-to-month</v>
      </c>
      <c r="D1061" s="0" t="n">
        <f aca="false">INDEX(customer_churn_dataset!$E$2:$E$1501,MATCH($A1062,customer_churn_dataset!$A$2:$A$1501,0))</f>
        <v>9</v>
      </c>
      <c r="E1061" s="0" t="n">
        <f aca="false">INDEX(customer_churn_dataset!$I$2:$I$1501,MATCH($A1062,customer_churn_dataset!$A$2:$A$1501,0))</f>
        <v>46</v>
      </c>
      <c r="F1061" s="0" t="n">
        <f aca="false">INDEX(customer_churn_dataset!$L$2:$L$1501,MATCH($A1062,customer_churn_dataset!$A$2:$A$1501,0))</f>
        <v>3</v>
      </c>
      <c r="G1061" s="0" t="str">
        <f aca="false">IF(INDEX(customer_churn_dataset!$M$2:$M$1501,MATCH($A1062,customer_churn_dataset!$A$2:$A$1501,0))=1,"Yes","No")</f>
        <v>No</v>
      </c>
      <c r="H1061" s="0" t="n">
        <f aca="false">INDEX(customer_churn_dataset!$N$2:$N$1501,MATCH($A1062,customer_churn_dataset!$A$2:$A$1501,0))</f>
        <v>179.19</v>
      </c>
      <c r="I1061" s="0" t="n">
        <f aca="false">INDEX(customer_churn_dataset!$O$2:$O$1501,MATCH($A1062,customer_churn_dataset!$A$2:$A$1501,0))</f>
        <v>0</v>
      </c>
      <c r="J1061" s="0" t="n">
        <f aca="false">INDEX(customer_churn_dataset!$T$2:$T$1501,MATCH($A1062,customer_churn_dataset!$A$2:$A$1501,0))</f>
        <v>5</v>
      </c>
      <c r="K1061" s="0" t="str">
        <f aca="false">INDEX(customer_churn_dataset!$V$2:$V$1501,MATCH($A1062,customer_churn_dataset!$A$2:$A$1501,0))</f>
        <v>Medium Risk</v>
      </c>
    </row>
    <row r="1062" customFormat="false" ht="12.8" hidden="true" customHeight="false" outlineLevel="0" collapsed="false">
      <c r="A1062" s="22" t="str">
        <f aca="false">customer_churn_dataset!A669</f>
        <v>CUST101234</v>
      </c>
      <c r="B1062" s="22" t="str">
        <f aca="false">customer_churn_dataset!B669</f>
        <v>Standard</v>
      </c>
      <c r="C1062" s="22" t="str">
        <f aca="false">customer_churn_dataset!C669</f>
        <v>Month-to-month</v>
      </c>
      <c r="D1062" s="0" t="n">
        <f aca="false">INDEX(customer_churn_dataset!$E$2:$E$1501,MATCH($A1063,customer_churn_dataset!$A$2:$A$1501,0))</f>
        <v>8</v>
      </c>
      <c r="E1062" s="0" t="n">
        <f aca="false">INDEX(customer_churn_dataset!$I$2:$I$1501,MATCH($A1063,customer_churn_dataset!$A$2:$A$1501,0))</f>
        <v>23.6</v>
      </c>
      <c r="F1062" s="0" t="n">
        <f aca="false">INDEX(customer_churn_dataset!$L$2:$L$1501,MATCH($A1063,customer_churn_dataset!$A$2:$A$1501,0))</f>
        <v>3</v>
      </c>
      <c r="G1062" s="0" t="str">
        <f aca="false">IF(INDEX(customer_churn_dataset!$M$2:$M$1501,MATCH($A1063,customer_churn_dataset!$A$2:$A$1501,0))=1,"Yes","No")</f>
        <v>No</v>
      </c>
      <c r="H1062" s="0" t="n">
        <f aca="false">INDEX(customer_churn_dataset!$N$2:$N$1501,MATCH($A1063,customer_churn_dataset!$A$2:$A$1501,0))</f>
        <v>84.96</v>
      </c>
      <c r="I1062" s="0" t="n">
        <f aca="false">INDEX(customer_churn_dataset!$O$2:$O$1501,MATCH($A1063,customer_churn_dataset!$A$2:$A$1501,0))</f>
        <v>1</v>
      </c>
      <c r="J1062" s="0" t="n">
        <f aca="false">INDEX(customer_churn_dataset!$T$2:$T$1501,MATCH($A1063,customer_churn_dataset!$A$2:$A$1501,0))</f>
        <v>5</v>
      </c>
      <c r="K1062" s="0" t="str">
        <f aca="false">INDEX(customer_churn_dataset!$V$2:$V$1501,MATCH($A1063,customer_churn_dataset!$A$2:$A$1501,0))</f>
        <v>Medium Risk</v>
      </c>
    </row>
    <row r="1063" customFormat="false" ht="12.8" hidden="true" customHeight="false" outlineLevel="0" collapsed="false">
      <c r="A1063" s="22" t="str">
        <f aca="false">customer_churn_dataset!A676</f>
        <v>CUST100542</v>
      </c>
      <c r="B1063" s="22" t="str">
        <f aca="false">customer_churn_dataset!B676</f>
        <v>Basic</v>
      </c>
      <c r="C1063" s="22" t="str">
        <f aca="false">customer_churn_dataset!C676</f>
        <v>One year</v>
      </c>
      <c r="D1063" s="0" t="n">
        <f aca="false">INDEX(customer_churn_dataset!$E$2:$E$1501,MATCH($A1064,customer_churn_dataset!$A$2:$A$1501,0))</f>
        <v>11</v>
      </c>
      <c r="E1063" s="0" t="n">
        <f aca="false">INDEX(customer_churn_dataset!$I$2:$I$1501,MATCH($A1064,customer_churn_dataset!$A$2:$A$1501,0))</f>
        <v>82.5</v>
      </c>
      <c r="F1063" s="0" t="n">
        <f aca="false">INDEX(customer_churn_dataset!$L$2:$L$1501,MATCH($A1064,customer_churn_dataset!$A$2:$A$1501,0))</f>
        <v>1</v>
      </c>
      <c r="G1063" s="0" t="str">
        <f aca="false">IF(INDEX(customer_churn_dataset!$M$2:$M$1501,MATCH($A1064,customer_churn_dataset!$A$2:$A$1501,0))=1,"Yes","No")</f>
        <v>No</v>
      </c>
      <c r="H1063" s="0" t="n">
        <f aca="false">INDEX(customer_churn_dataset!$N$2:$N$1501,MATCH($A1064,customer_churn_dataset!$A$2:$A$1501,0))</f>
        <v>106.04</v>
      </c>
      <c r="I1063" s="0" t="n">
        <f aca="false">INDEX(customer_churn_dataset!$O$2:$O$1501,MATCH($A1064,customer_churn_dataset!$A$2:$A$1501,0))</f>
        <v>1</v>
      </c>
      <c r="J1063" s="0" t="n">
        <f aca="false">INDEX(customer_churn_dataset!$T$2:$T$1501,MATCH($A1064,customer_churn_dataset!$A$2:$A$1501,0))</f>
        <v>3</v>
      </c>
      <c r="K1063" s="0" t="str">
        <f aca="false">INDEX(customer_churn_dataset!$V$2:$V$1501,MATCH($A1064,customer_churn_dataset!$A$2:$A$1501,0))</f>
        <v>Medium Risk</v>
      </c>
    </row>
    <row r="1064" customFormat="false" ht="12.8" hidden="true" customHeight="false" outlineLevel="0" collapsed="false">
      <c r="A1064" s="22" t="str">
        <f aca="false">customer_churn_dataset!A687</f>
        <v>CUST100974</v>
      </c>
      <c r="B1064" s="22" t="str">
        <f aca="false">customer_churn_dataset!B687</f>
        <v>Basic</v>
      </c>
      <c r="C1064" s="22" t="str">
        <f aca="false">customer_churn_dataset!C687</f>
        <v>Month-to-month</v>
      </c>
      <c r="D1064" s="0" t="n">
        <f aca="false">INDEX(customer_churn_dataset!$E$2:$E$1501,MATCH($A1065,customer_churn_dataset!$A$2:$A$1501,0))</f>
        <v>4</v>
      </c>
      <c r="E1064" s="0" t="n">
        <f aca="false">INDEX(customer_churn_dataset!$I$2:$I$1501,MATCH($A1065,customer_churn_dataset!$A$2:$A$1501,0))</f>
        <v>51.7</v>
      </c>
      <c r="F1064" s="0" t="n">
        <f aca="false">INDEX(customer_churn_dataset!$L$2:$L$1501,MATCH($A1065,customer_churn_dataset!$A$2:$A$1501,0))</f>
        <v>1</v>
      </c>
      <c r="G1064" s="0" t="str">
        <f aca="false">IF(INDEX(customer_churn_dataset!$M$2:$M$1501,MATCH($A1065,customer_churn_dataset!$A$2:$A$1501,0))=1,"Yes","No")</f>
        <v>No</v>
      </c>
      <c r="H1064" s="0" t="n">
        <f aca="false">INDEX(customer_churn_dataset!$N$2:$N$1501,MATCH($A1065,customer_churn_dataset!$A$2:$A$1501,0))</f>
        <v>46.8</v>
      </c>
      <c r="I1064" s="0" t="n">
        <f aca="false">INDEX(customer_churn_dataset!$O$2:$O$1501,MATCH($A1065,customer_churn_dataset!$A$2:$A$1501,0))</f>
        <v>0</v>
      </c>
      <c r="J1064" s="0" t="n">
        <f aca="false">INDEX(customer_churn_dataset!$T$2:$T$1501,MATCH($A1065,customer_churn_dataset!$A$2:$A$1501,0))</f>
        <v>4</v>
      </c>
      <c r="K1064" s="0" t="str">
        <f aca="false">INDEX(customer_churn_dataset!$V$2:$V$1501,MATCH($A1065,customer_churn_dataset!$A$2:$A$1501,0))</f>
        <v>Medium Risk</v>
      </c>
    </row>
    <row r="1065" customFormat="false" ht="12.8" hidden="true" customHeight="false" outlineLevel="0" collapsed="false">
      <c r="A1065" s="22" t="str">
        <f aca="false">customer_churn_dataset!A694</f>
        <v>CUST100579</v>
      </c>
      <c r="B1065" s="22" t="str">
        <f aca="false">customer_churn_dataset!B694</f>
        <v>Basic</v>
      </c>
      <c r="C1065" s="22" t="str">
        <f aca="false">customer_churn_dataset!C694</f>
        <v>Month-to-month</v>
      </c>
      <c r="D1065" s="0" t="n">
        <f aca="false">INDEX(customer_churn_dataset!$E$2:$E$1501,MATCH($A1066,customer_churn_dataset!$A$2:$A$1501,0))</f>
        <v>15</v>
      </c>
      <c r="E1065" s="0" t="n">
        <f aca="false">INDEX(customer_churn_dataset!$I$2:$I$1501,MATCH($A1066,customer_churn_dataset!$A$2:$A$1501,0))</f>
        <v>39</v>
      </c>
      <c r="F1065" s="0" t="n">
        <f aca="false">INDEX(customer_churn_dataset!$L$2:$L$1501,MATCH($A1066,customer_churn_dataset!$A$2:$A$1501,0))</f>
        <v>1</v>
      </c>
      <c r="G1065" s="0" t="str">
        <f aca="false">IF(INDEX(customer_churn_dataset!$M$2:$M$1501,MATCH($A1066,customer_churn_dataset!$A$2:$A$1501,0))=1,"Yes","No")</f>
        <v>Yes</v>
      </c>
      <c r="H1065" s="0" t="n">
        <f aca="false">INDEX(customer_churn_dataset!$N$2:$N$1501,MATCH($A1066,customer_churn_dataset!$A$2:$A$1501,0))</f>
        <v>160.05</v>
      </c>
      <c r="I1065" s="0" t="n">
        <f aca="false">INDEX(customer_churn_dataset!$O$2:$O$1501,MATCH($A1066,customer_churn_dataset!$A$2:$A$1501,0))</f>
        <v>1</v>
      </c>
      <c r="J1065" s="0" t="n">
        <f aca="false">INDEX(customer_churn_dataset!$T$2:$T$1501,MATCH($A1066,customer_churn_dataset!$A$2:$A$1501,0))</f>
        <v>7</v>
      </c>
      <c r="K1065" s="0" t="str">
        <f aca="false">INDEX(customer_churn_dataset!$V$2:$V$1501,MATCH($A1066,customer_churn_dataset!$A$2:$A$1501,0))</f>
        <v>High Risk</v>
      </c>
    </row>
    <row r="1066" customFormat="false" ht="12.8" hidden="true" customHeight="false" outlineLevel="0" collapsed="false">
      <c r="A1066" s="22" t="str">
        <f aca="false">customer_churn_dataset!A709</f>
        <v>CUST101308</v>
      </c>
      <c r="B1066" s="22" t="str">
        <f aca="false">customer_churn_dataset!B709</f>
        <v>Basic</v>
      </c>
      <c r="C1066" s="22" t="str">
        <f aca="false">customer_churn_dataset!C709</f>
        <v>Month-to-month</v>
      </c>
      <c r="D1066" s="0" t="n">
        <f aca="false">INDEX(customer_churn_dataset!$E$2:$E$1501,MATCH($A1067,customer_churn_dataset!$A$2:$A$1501,0))</f>
        <v>21</v>
      </c>
      <c r="E1066" s="0" t="n">
        <f aca="false">INDEX(customer_churn_dataset!$I$2:$I$1501,MATCH($A1067,customer_churn_dataset!$A$2:$A$1501,0))</f>
        <v>66.3</v>
      </c>
      <c r="F1066" s="0" t="n">
        <f aca="false">INDEX(customer_churn_dataset!$L$2:$L$1501,MATCH($A1067,customer_churn_dataset!$A$2:$A$1501,0))</f>
        <v>0</v>
      </c>
      <c r="G1066" s="0" t="str">
        <f aca="false">IF(INDEX(customer_churn_dataset!$M$2:$M$1501,MATCH($A1067,customer_churn_dataset!$A$2:$A$1501,0))=1,"Yes","No")</f>
        <v>No</v>
      </c>
      <c r="H1066" s="0" t="n">
        <f aca="false">INDEX(customer_churn_dataset!$N$2:$N$1501,MATCH($A1067,customer_churn_dataset!$A$2:$A$1501,0))</f>
        <v>883.68</v>
      </c>
      <c r="I1066" s="0" t="n">
        <f aca="false">INDEX(customer_churn_dataset!$O$2:$O$1501,MATCH($A1067,customer_churn_dataset!$A$2:$A$1501,0))</f>
        <v>0</v>
      </c>
      <c r="J1066" s="0" t="n">
        <f aca="false">INDEX(customer_churn_dataset!$T$2:$T$1501,MATCH($A1067,customer_churn_dataset!$A$2:$A$1501,0))</f>
        <v>2</v>
      </c>
      <c r="K1066" s="0" t="str">
        <f aca="false">INDEX(customer_churn_dataset!$V$2:$V$1501,MATCH($A1067,customer_churn_dataset!$A$2:$A$1501,0))</f>
        <v>Low Risk</v>
      </c>
    </row>
    <row r="1067" customFormat="false" ht="12.8" hidden="true" customHeight="false" outlineLevel="0" collapsed="false">
      <c r="A1067" s="22" t="str">
        <f aca="false">customer_churn_dataset!A711</f>
        <v>CUST101015</v>
      </c>
      <c r="B1067" s="22" t="str">
        <f aca="false">customer_churn_dataset!B711</f>
        <v>Premium</v>
      </c>
      <c r="C1067" s="22" t="str">
        <f aca="false">customer_churn_dataset!C711</f>
        <v>Month-to-month</v>
      </c>
      <c r="D1067" s="0" t="n">
        <f aca="false">INDEX(customer_churn_dataset!$E$2:$E$1501,MATCH($A1068,customer_churn_dataset!$A$2:$A$1501,0))</f>
        <v>10</v>
      </c>
      <c r="E1067" s="0" t="n">
        <f aca="false">INDEX(customer_churn_dataset!$I$2:$I$1501,MATCH($A1068,customer_churn_dataset!$A$2:$A$1501,0))</f>
        <v>41.7</v>
      </c>
      <c r="F1067" s="0" t="n">
        <f aca="false">INDEX(customer_churn_dataset!$L$2:$L$1501,MATCH($A1068,customer_churn_dataset!$A$2:$A$1501,0))</f>
        <v>1</v>
      </c>
      <c r="G1067" s="0" t="str">
        <f aca="false">IF(INDEX(customer_churn_dataset!$M$2:$M$1501,MATCH($A1068,customer_churn_dataset!$A$2:$A$1501,0))=1,"Yes","No")</f>
        <v>No</v>
      </c>
      <c r="H1067" s="0" t="n">
        <f aca="false">INDEX(customer_churn_dataset!$N$2:$N$1501,MATCH($A1068,customer_churn_dataset!$A$2:$A$1501,0))</f>
        <v>97.1</v>
      </c>
      <c r="I1067" s="0" t="n">
        <f aca="false">INDEX(customer_churn_dataset!$O$2:$O$1501,MATCH($A1068,customer_churn_dataset!$A$2:$A$1501,0))</f>
        <v>0</v>
      </c>
      <c r="J1067" s="0" t="n">
        <f aca="false">INDEX(customer_churn_dataset!$T$2:$T$1501,MATCH($A1068,customer_churn_dataset!$A$2:$A$1501,0))</f>
        <v>4</v>
      </c>
      <c r="K1067" s="0" t="str">
        <f aca="false">INDEX(customer_churn_dataset!$V$2:$V$1501,MATCH($A1068,customer_churn_dataset!$A$2:$A$1501,0))</f>
        <v>Medium Risk</v>
      </c>
    </row>
    <row r="1068" customFormat="false" ht="12.8" hidden="true" customHeight="false" outlineLevel="0" collapsed="false">
      <c r="A1068" s="22" t="str">
        <f aca="false">customer_churn_dataset!A716</f>
        <v>CUST100269</v>
      </c>
      <c r="B1068" s="22" t="str">
        <f aca="false">customer_churn_dataset!B716</f>
        <v>Basic</v>
      </c>
      <c r="C1068" s="22" t="str">
        <f aca="false">customer_churn_dataset!C716</f>
        <v>Month-to-month</v>
      </c>
      <c r="D1068" s="0" t="n">
        <f aca="false">INDEX(customer_churn_dataset!$E$2:$E$1501,MATCH($A1069,customer_churn_dataset!$A$2:$A$1501,0))</f>
        <v>22</v>
      </c>
      <c r="E1068" s="0" t="n">
        <f aca="false">INDEX(customer_churn_dataset!$I$2:$I$1501,MATCH($A1069,customer_churn_dataset!$A$2:$A$1501,0))</f>
        <v>55.7</v>
      </c>
      <c r="F1068" s="0" t="n">
        <f aca="false">INDEX(customer_churn_dataset!$L$2:$L$1501,MATCH($A1069,customer_churn_dataset!$A$2:$A$1501,0))</f>
        <v>2</v>
      </c>
      <c r="G1068" s="0" t="str">
        <f aca="false">IF(INDEX(customer_churn_dataset!$M$2:$M$1501,MATCH($A1069,customer_churn_dataset!$A$2:$A$1501,0))=1,"Yes","No")</f>
        <v>Yes</v>
      </c>
      <c r="H1068" s="0" t="n">
        <f aca="false">INDEX(customer_churn_dataset!$N$2:$N$1501,MATCH($A1069,customer_churn_dataset!$A$2:$A$1501,0))</f>
        <v>238.7</v>
      </c>
      <c r="I1068" s="0" t="n">
        <f aca="false">INDEX(customer_churn_dataset!$O$2:$O$1501,MATCH($A1069,customer_churn_dataset!$A$2:$A$1501,0))</f>
        <v>0</v>
      </c>
      <c r="J1068" s="0" t="n">
        <f aca="false">INDEX(customer_churn_dataset!$T$2:$T$1501,MATCH($A1069,customer_churn_dataset!$A$2:$A$1501,0))</f>
        <v>5</v>
      </c>
      <c r="K1068" s="0" t="str">
        <f aca="false">INDEX(customer_churn_dataset!$V$2:$V$1501,MATCH($A1069,customer_churn_dataset!$A$2:$A$1501,0))</f>
        <v>Medium Risk</v>
      </c>
    </row>
    <row r="1069" customFormat="false" ht="12.8" hidden="true" customHeight="false" outlineLevel="0" collapsed="false">
      <c r="A1069" s="22" t="str">
        <f aca="false">customer_churn_dataset!A720</f>
        <v>CUST100823</v>
      </c>
      <c r="B1069" s="22" t="str">
        <f aca="false">customer_churn_dataset!B720</f>
        <v>Basic</v>
      </c>
      <c r="C1069" s="22" t="str">
        <f aca="false">customer_churn_dataset!C720</f>
        <v>One year</v>
      </c>
      <c r="D1069" s="0" t="n">
        <f aca="false">INDEX(customer_churn_dataset!$E$2:$E$1501,MATCH($A1070,customer_churn_dataset!$A$2:$A$1501,0))</f>
        <v>18</v>
      </c>
      <c r="E1069" s="0" t="n">
        <f aca="false">INDEX(customer_churn_dataset!$I$2:$I$1501,MATCH($A1070,customer_churn_dataset!$A$2:$A$1501,0))</f>
        <v>48.5</v>
      </c>
      <c r="F1069" s="0" t="n">
        <f aca="false">INDEX(customer_churn_dataset!$L$2:$L$1501,MATCH($A1070,customer_churn_dataset!$A$2:$A$1501,0))</f>
        <v>1</v>
      </c>
      <c r="G1069" s="0" t="str">
        <f aca="false">IF(INDEX(customer_churn_dataset!$M$2:$M$1501,MATCH($A1070,customer_churn_dataset!$A$2:$A$1501,0))=1,"Yes","No")</f>
        <v>Yes</v>
      </c>
      <c r="H1069" s="0" t="n">
        <f aca="false">INDEX(customer_churn_dataset!$N$2:$N$1501,MATCH($A1070,customer_churn_dataset!$A$2:$A$1501,0))</f>
        <v>363.06</v>
      </c>
      <c r="I1069" s="0" t="n">
        <f aca="false">INDEX(customer_churn_dataset!$O$2:$O$1501,MATCH($A1070,customer_churn_dataset!$A$2:$A$1501,0))</f>
        <v>0</v>
      </c>
      <c r="J1069" s="0" t="n">
        <f aca="false">INDEX(customer_churn_dataset!$T$2:$T$1501,MATCH($A1070,customer_churn_dataset!$A$2:$A$1501,0))</f>
        <v>5</v>
      </c>
      <c r="K1069" s="0" t="str">
        <f aca="false">INDEX(customer_churn_dataset!$V$2:$V$1501,MATCH($A1070,customer_churn_dataset!$A$2:$A$1501,0))</f>
        <v>Medium Risk</v>
      </c>
    </row>
    <row r="1070" customFormat="false" ht="12.8" hidden="true" customHeight="false" outlineLevel="0" collapsed="false">
      <c r="A1070" s="22" t="str">
        <f aca="false">customer_churn_dataset!A724</f>
        <v>CUST100235</v>
      </c>
      <c r="B1070" s="22" t="str">
        <f aca="false">customer_churn_dataset!B724</f>
        <v>Standard</v>
      </c>
      <c r="C1070" s="22" t="str">
        <f aca="false">customer_churn_dataset!C724</f>
        <v>One year</v>
      </c>
      <c r="D1070" s="0" t="n">
        <f aca="false">INDEX(customer_churn_dataset!$E$2:$E$1501,MATCH($A1071,customer_churn_dataset!$A$2:$A$1501,0))</f>
        <v>28</v>
      </c>
      <c r="E1070" s="0" t="n">
        <f aca="false">INDEX(customer_churn_dataset!$I$2:$I$1501,MATCH($A1071,customer_churn_dataset!$A$2:$A$1501,0))</f>
        <v>44.7</v>
      </c>
      <c r="F1070" s="0" t="n">
        <f aca="false">INDEX(customer_churn_dataset!$L$2:$L$1501,MATCH($A1071,customer_churn_dataset!$A$2:$A$1501,0))</f>
        <v>1</v>
      </c>
      <c r="G1070" s="0" t="str">
        <f aca="false">IF(INDEX(customer_churn_dataset!$M$2:$M$1501,MATCH($A1071,customer_churn_dataset!$A$2:$A$1501,0))=1,"Yes","No")</f>
        <v>No</v>
      </c>
      <c r="H1070" s="0" t="n">
        <f aca="false">INDEX(customer_churn_dataset!$N$2:$N$1501,MATCH($A1071,customer_churn_dataset!$A$2:$A$1501,0))</f>
        <v>557.76</v>
      </c>
      <c r="I1070" s="0" t="n">
        <f aca="false">INDEX(customer_churn_dataset!$O$2:$O$1501,MATCH($A1071,customer_churn_dataset!$A$2:$A$1501,0))</f>
        <v>0</v>
      </c>
      <c r="J1070" s="0" t="n">
        <f aca="false">INDEX(customer_churn_dataset!$T$2:$T$1501,MATCH($A1071,customer_churn_dataset!$A$2:$A$1501,0))</f>
        <v>1</v>
      </c>
      <c r="K1070" s="0" t="str">
        <f aca="false">INDEX(customer_churn_dataset!$V$2:$V$1501,MATCH($A1071,customer_churn_dataset!$A$2:$A$1501,0))</f>
        <v>Low Risk</v>
      </c>
    </row>
    <row r="1071" customFormat="false" ht="12.8" hidden="true" customHeight="false" outlineLevel="0" collapsed="false">
      <c r="A1071" s="22" t="str">
        <f aca="false">customer_churn_dataset!A727</f>
        <v>CUST100162</v>
      </c>
      <c r="B1071" s="22" t="str">
        <f aca="false">customer_churn_dataset!B727</f>
        <v>Standard</v>
      </c>
      <c r="C1071" s="22" t="str">
        <f aca="false">customer_churn_dataset!C727</f>
        <v>Two year</v>
      </c>
      <c r="D1071" s="0" t="n">
        <f aca="false">INDEX(customer_churn_dataset!$E$2:$E$1501,MATCH($A1072,customer_churn_dataset!$A$2:$A$1501,0))</f>
        <v>72</v>
      </c>
      <c r="E1071" s="0" t="n">
        <f aca="false">INDEX(customer_churn_dataset!$I$2:$I$1501,MATCH($A1072,customer_churn_dataset!$A$2:$A$1501,0))</f>
        <v>81.8</v>
      </c>
      <c r="F1071" s="0" t="n">
        <f aca="false">INDEX(customer_churn_dataset!$L$2:$L$1501,MATCH($A1072,customer_churn_dataset!$A$2:$A$1501,0))</f>
        <v>0</v>
      </c>
      <c r="G1071" s="0" t="str">
        <f aca="false">IF(INDEX(customer_churn_dataset!$M$2:$M$1501,MATCH($A1072,customer_churn_dataset!$A$2:$A$1501,0))=1,"Yes","No")</f>
        <v>No</v>
      </c>
      <c r="H1071" s="0" t="n">
        <f aca="false">INDEX(customer_churn_dataset!$N$2:$N$1501,MATCH($A1072,customer_churn_dataset!$A$2:$A$1501,0))</f>
        <v>1424.16</v>
      </c>
      <c r="I1071" s="0" t="n">
        <f aca="false">INDEX(customer_churn_dataset!$O$2:$O$1501,MATCH($A1072,customer_churn_dataset!$A$2:$A$1501,0))</f>
        <v>0</v>
      </c>
      <c r="J1071" s="0" t="n">
        <f aca="false">INDEX(customer_churn_dataset!$T$2:$T$1501,MATCH($A1072,customer_churn_dataset!$A$2:$A$1501,0))</f>
        <v>2</v>
      </c>
      <c r="K1071" s="0" t="str">
        <f aca="false">INDEX(customer_churn_dataset!$V$2:$V$1501,MATCH($A1072,customer_churn_dataset!$A$2:$A$1501,0))</f>
        <v>Low Risk</v>
      </c>
    </row>
    <row r="1072" customFormat="false" ht="12.8" hidden="true" customHeight="false" outlineLevel="0" collapsed="false">
      <c r="A1072" s="22" t="str">
        <f aca="false">customer_churn_dataset!A729</f>
        <v>CUST100711</v>
      </c>
      <c r="B1072" s="22" t="str">
        <f aca="false">customer_churn_dataset!B729</f>
        <v>Standard</v>
      </c>
      <c r="C1072" s="22" t="str">
        <f aca="false">customer_churn_dataset!C729</f>
        <v>Month-to-month</v>
      </c>
      <c r="D1072" s="0" t="n">
        <f aca="false">INDEX(customer_churn_dataset!$E$2:$E$1501,MATCH($A1073,customer_churn_dataset!$A$2:$A$1501,0))</f>
        <v>14</v>
      </c>
      <c r="E1072" s="0" t="n">
        <f aca="false">INDEX(customer_churn_dataset!$I$2:$I$1501,MATCH($A1073,customer_churn_dataset!$A$2:$A$1501,0))</f>
        <v>84.2</v>
      </c>
      <c r="F1072" s="0" t="n">
        <f aca="false">INDEX(customer_churn_dataset!$L$2:$L$1501,MATCH($A1073,customer_churn_dataset!$A$2:$A$1501,0))</f>
        <v>0</v>
      </c>
      <c r="G1072" s="0" t="str">
        <f aca="false">IF(INDEX(customer_churn_dataset!$M$2:$M$1501,MATCH($A1073,customer_churn_dataset!$A$2:$A$1501,0))=1,"Yes","No")</f>
        <v>No</v>
      </c>
      <c r="H1072" s="0" t="n">
        <f aca="false">INDEX(customer_churn_dataset!$N$2:$N$1501,MATCH($A1073,customer_churn_dataset!$A$2:$A$1501,0))</f>
        <v>571.62</v>
      </c>
      <c r="I1072" s="0" t="n">
        <f aca="false">INDEX(customer_churn_dataset!$O$2:$O$1501,MATCH($A1073,customer_churn_dataset!$A$2:$A$1501,0))</f>
        <v>0</v>
      </c>
      <c r="J1072" s="0" t="n">
        <f aca="false">INDEX(customer_churn_dataset!$T$2:$T$1501,MATCH($A1073,customer_churn_dataset!$A$2:$A$1501,0))</f>
        <v>2</v>
      </c>
      <c r="K1072" s="0" t="str">
        <f aca="false">INDEX(customer_churn_dataset!$V$2:$V$1501,MATCH($A1073,customer_churn_dataset!$A$2:$A$1501,0))</f>
        <v>Low Risk</v>
      </c>
    </row>
    <row r="1073" customFormat="false" ht="12.8" hidden="true" customHeight="false" outlineLevel="0" collapsed="false">
      <c r="A1073" s="22" t="str">
        <f aca="false">customer_churn_dataset!A731</f>
        <v>CUST100508</v>
      </c>
      <c r="B1073" s="22" t="str">
        <f aca="false">customer_churn_dataset!B731</f>
        <v>Premium</v>
      </c>
      <c r="C1073" s="22" t="str">
        <f aca="false">customer_churn_dataset!C731</f>
        <v>Month-to-month</v>
      </c>
      <c r="D1073" s="0" t="n">
        <f aca="false">INDEX(customer_churn_dataset!$E$2:$E$1501,MATCH($A1074,customer_churn_dataset!$A$2:$A$1501,0))</f>
        <v>21</v>
      </c>
      <c r="E1073" s="0" t="n">
        <f aca="false">INDEX(customer_churn_dataset!$I$2:$I$1501,MATCH($A1074,customer_churn_dataset!$A$2:$A$1501,0))</f>
        <v>54.9</v>
      </c>
      <c r="F1073" s="0" t="n">
        <f aca="false">INDEX(customer_churn_dataset!$L$2:$L$1501,MATCH($A1074,customer_churn_dataset!$A$2:$A$1501,0))</f>
        <v>1</v>
      </c>
      <c r="G1073" s="0" t="str">
        <f aca="false">IF(INDEX(customer_churn_dataset!$M$2:$M$1501,MATCH($A1074,customer_churn_dataset!$A$2:$A$1501,0))=1,"Yes","No")</f>
        <v>Yes</v>
      </c>
      <c r="H1073" s="0" t="n">
        <f aca="false">INDEX(customer_churn_dataset!$N$2:$N$1501,MATCH($A1074,customer_churn_dataset!$A$2:$A$1501,0))</f>
        <v>442.05</v>
      </c>
      <c r="I1073" s="0" t="n">
        <f aca="false">INDEX(customer_churn_dataset!$O$2:$O$1501,MATCH($A1074,customer_churn_dataset!$A$2:$A$1501,0))</f>
        <v>0</v>
      </c>
      <c r="J1073" s="0" t="n">
        <f aca="false">INDEX(customer_churn_dataset!$T$2:$T$1501,MATCH($A1074,customer_churn_dataset!$A$2:$A$1501,0))</f>
        <v>5</v>
      </c>
      <c r="K1073" s="0" t="str">
        <f aca="false">INDEX(customer_churn_dataset!$V$2:$V$1501,MATCH($A1074,customer_churn_dataset!$A$2:$A$1501,0))</f>
        <v>Medium Risk</v>
      </c>
    </row>
    <row r="1074" customFormat="false" ht="12.8" hidden="true" customHeight="false" outlineLevel="0" collapsed="false">
      <c r="A1074" s="22" t="str">
        <f aca="false">customer_churn_dataset!A735</f>
        <v>CUST100798</v>
      </c>
      <c r="B1074" s="22" t="str">
        <f aca="false">customer_churn_dataset!B735</f>
        <v>Standard</v>
      </c>
      <c r="C1074" s="22" t="str">
        <f aca="false">customer_churn_dataset!C735</f>
        <v>One year</v>
      </c>
      <c r="D1074" s="0" t="n">
        <f aca="false">INDEX(customer_churn_dataset!$E$2:$E$1501,MATCH($A1075,customer_churn_dataset!$A$2:$A$1501,0))</f>
        <v>66</v>
      </c>
      <c r="E1074" s="0" t="n">
        <f aca="false">INDEX(customer_churn_dataset!$I$2:$I$1501,MATCH($A1075,customer_churn_dataset!$A$2:$A$1501,0))</f>
        <v>77</v>
      </c>
      <c r="F1074" s="0" t="n">
        <f aca="false">INDEX(customer_churn_dataset!$L$2:$L$1501,MATCH($A1075,customer_churn_dataset!$A$2:$A$1501,0))</f>
        <v>4</v>
      </c>
      <c r="G1074" s="0" t="str">
        <f aca="false">IF(INDEX(customer_churn_dataset!$M$2:$M$1501,MATCH($A1075,customer_churn_dataset!$A$2:$A$1501,0))=1,"Yes","No")</f>
        <v>No</v>
      </c>
      <c r="H1074" s="0" t="n">
        <f aca="false">INDEX(customer_churn_dataset!$N$2:$N$1501,MATCH($A1075,customer_churn_dataset!$A$2:$A$1501,0))</f>
        <v>572.22</v>
      </c>
      <c r="I1074" s="0" t="n">
        <f aca="false">INDEX(customer_churn_dataset!$O$2:$O$1501,MATCH($A1075,customer_churn_dataset!$A$2:$A$1501,0))</f>
        <v>0</v>
      </c>
      <c r="J1074" s="0" t="n">
        <f aca="false">INDEX(customer_churn_dataset!$T$2:$T$1501,MATCH($A1075,customer_churn_dataset!$A$2:$A$1501,0))</f>
        <v>3</v>
      </c>
      <c r="K1074" s="0" t="str">
        <f aca="false">INDEX(customer_churn_dataset!$V$2:$V$1501,MATCH($A1075,customer_churn_dataset!$A$2:$A$1501,0))</f>
        <v>Medium Risk</v>
      </c>
    </row>
    <row r="1075" customFormat="false" ht="12.8" hidden="true" customHeight="false" outlineLevel="0" collapsed="false">
      <c r="A1075" s="22" t="str">
        <f aca="false">customer_churn_dataset!A740</f>
        <v>CUST101426</v>
      </c>
      <c r="B1075" s="22" t="str">
        <f aca="false">customer_churn_dataset!B740</f>
        <v>Basic</v>
      </c>
      <c r="C1075" s="22" t="str">
        <f aca="false">customer_churn_dataset!C740</f>
        <v>Month-to-month</v>
      </c>
      <c r="D1075" s="0" t="n">
        <f aca="false">INDEX(customer_churn_dataset!$E$2:$E$1501,MATCH($A1076,customer_churn_dataset!$A$2:$A$1501,0))</f>
        <v>39</v>
      </c>
      <c r="E1075" s="0" t="n">
        <f aca="false">INDEX(customer_churn_dataset!$I$2:$I$1501,MATCH($A1076,customer_churn_dataset!$A$2:$A$1501,0))</f>
        <v>55</v>
      </c>
      <c r="F1075" s="0" t="n">
        <f aca="false">INDEX(customer_churn_dataset!$L$2:$L$1501,MATCH($A1076,customer_churn_dataset!$A$2:$A$1501,0))</f>
        <v>1</v>
      </c>
      <c r="G1075" s="0" t="str">
        <f aca="false">IF(INDEX(customer_churn_dataset!$M$2:$M$1501,MATCH($A1076,customer_churn_dataset!$A$2:$A$1501,0))=1,"Yes","No")</f>
        <v>No</v>
      </c>
      <c r="H1075" s="0" t="n">
        <f aca="false">INDEX(customer_churn_dataset!$N$2:$N$1501,MATCH($A1076,customer_churn_dataset!$A$2:$A$1501,0))</f>
        <v>751.53</v>
      </c>
      <c r="I1075" s="0" t="n">
        <f aca="false">INDEX(customer_churn_dataset!$O$2:$O$1501,MATCH($A1076,customer_churn_dataset!$A$2:$A$1501,0))</f>
        <v>0</v>
      </c>
      <c r="J1075" s="0" t="n">
        <f aca="false">INDEX(customer_churn_dataset!$T$2:$T$1501,MATCH($A1076,customer_churn_dataset!$A$2:$A$1501,0))</f>
        <v>1</v>
      </c>
      <c r="K1075" s="0" t="str">
        <f aca="false">INDEX(customer_churn_dataset!$V$2:$V$1501,MATCH($A1076,customer_churn_dataset!$A$2:$A$1501,0))</f>
        <v>Low Risk</v>
      </c>
    </row>
    <row r="1076" customFormat="false" ht="12.8" hidden="true" customHeight="false" outlineLevel="0" collapsed="false">
      <c r="A1076" s="22" t="str">
        <f aca="false">customer_churn_dataset!A742</f>
        <v>CUST101293</v>
      </c>
      <c r="B1076" s="22" t="str">
        <f aca="false">customer_churn_dataset!B742</f>
        <v>Standard</v>
      </c>
      <c r="C1076" s="22" t="str">
        <f aca="false">customer_churn_dataset!C742</f>
        <v>One year</v>
      </c>
      <c r="D1076" s="0" t="n">
        <f aca="false">INDEX(customer_churn_dataset!$E$2:$E$1501,MATCH($A1077,customer_churn_dataset!$A$2:$A$1501,0))</f>
        <v>4</v>
      </c>
      <c r="E1076" s="0" t="n">
        <f aca="false">INDEX(customer_churn_dataset!$I$2:$I$1501,MATCH($A1077,customer_churn_dataset!$A$2:$A$1501,0))</f>
        <v>64.5</v>
      </c>
      <c r="F1076" s="0" t="n">
        <f aca="false">INDEX(customer_churn_dataset!$L$2:$L$1501,MATCH($A1077,customer_churn_dataset!$A$2:$A$1501,0))</f>
        <v>1</v>
      </c>
      <c r="G1076" s="0" t="str">
        <f aca="false">IF(INDEX(customer_churn_dataset!$M$2:$M$1501,MATCH($A1077,customer_churn_dataset!$A$2:$A$1501,0))=1,"Yes","No")</f>
        <v>No</v>
      </c>
      <c r="H1076" s="0" t="n">
        <f aca="false">INDEX(customer_churn_dataset!$N$2:$N$1501,MATCH($A1077,customer_churn_dataset!$A$2:$A$1501,0))</f>
        <v>82.28</v>
      </c>
      <c r="I1076" s="0" t="n">
        <f aca="false">INDEX(customer_churn_dataset!$O$2:$O$1501,MATCH($A1077,customer_churn_dataset!$A$2:$A$1501,0))</f>
        <v>1</v>
      </c>
      <c r="J1076" s="0" t="n">
        <f aca="false">INDEX(customer_churn_dataset!$T$2:$T$1501,MATCH($A1077,customer_churn_dataset!$A$2:$A$1501,0))</f>
        <v>3</v>
      </c>
      <c r="K1076" s="0" t="str">
        <f aca="false">INDEX(customer_churn_dataset!$V$2:$V$1501,MATCH($A1077,customer_churn_dataset!$A$2:$A$1501,0))</f>
        <v>Medium Risk</v>
      </c>
    </row>
    <row r="1077" customFormat="false" ht="12.8" hidden="true" customHeight="false" outlineLevel="0" collapsed="false">
      <c r="A1077" s="22" t="str">
        <f aca="false">customer_churn_dataset!A756</f>
        <v>CUST100490</v>
      </c>
      <c r="B1077" s="22" t="str">
        <f aca="false">customer_churn_dataset!B756</f>
        <v>Standard</v>
      </c>
      <c r="C1077" s="22" t="str">
        <f aca="false">customer_churn_dataset!C756</f>
        <v>Month-to-month</v>
      </c>
      <c r="D1077" s="0" t="n">
        <f aca="false">INDEX(customer_churn_dataset!$E$2:$E$1501,MATCH($A1078,customer_churn_dataset!$A$2:$A$1501,0))</f>
        <v>2</v>
      </c>
      <c r="E1077" s="0" t="n">
        <f aca="false">INDEX(customer_churn_dataset!$I$2:$I$1501,MATCH($A1078,customer_churn_dataset!$A$2:$A$1501,0))</f>
        <v>34</v>
      </c>
      <c r="F1077" s="0" t="n">
        <f aca="false">INDEX(customer_churn_dataset!$L$2:$L$1501,MATCH($A1078,customer_churn_dataset!$A$2:$A$1501,0))</f>
        <v>2</v>
      </c>
      <c r="G1077" s="0" t="str">
        <f aca="false">IF(INDEX(customer_churn_dataset!$M$2:$M$1501,MATCH($A1078,customer_churn_dataset!$A$2:$A$1501,0))=1,"Yes","No")</f>
        <v>No</v>
      </c>
      <c r="H1077" s="0" t="n">
        <f aca="false">INDEX(customer_churn_dataset!$N$2:$N$1501,MATCH($A1078,customer_churn_dataset!$A$2:$A$1501,0))</f>
        <v>20.52</v>
      </c>
      <c r="I1077" s="0" t="n">
        <f aca="false">INDEX(customer_churn_dataset!$O$2:$O$1501,MATCH($A1078,customer_churn_dataset!$A$2:$A$1501,0))</f>
        <v>0</v>
      </c>
      <c r="J1077" s="0" t="n">
        <f aca="false">INDEX(customer_churn_dataset!$T$2:$T$1501,MATCH($A1078,customer_churn_dataset!$A$2:$A$1501,0))</f>
        <v>5</v>
      </c>
      <c r="K1077" s="0" t="str">
        <f aca="false">INDEX(customer_churn_dataset!$V$2:$V$1501,MATCH($A1078,customer_churn_dataset!$A$2:$A$1501,0))</f>
        <v>Medium Risk</v>
      </c>
    </row>
    <row r="1078" customFormat="false" ht="12.8" hidden="true" customHeight="false" outlineLevel="0" collapsed="false">
      <c r="A1078" s="22" t="str">
        <f aca="false">customer_churn_dataset!A766</f>
        <v>CUST101255</v>
      </c>
      <c r="B1078" s="22" t="str">
        <f aca="false">customer_churn_dataset!B766</f>
        <v>Basic</v>
      </c>
      <c r="C1078" s="22" t="str">
        <f aca="false">customer_churn_dataset!C766</f>
        <v>One year</v>
      </c>
      <c r="D1078" s="0" t="n">
        <f aca="false">INDEX(customer_churn_dataset!$E$2:$E$1501,MATCH($A1079,customer_churn_dataset!$A$2:$A$1501,0))</f>
        <v>7</v>
      </c>
      <c r="E1078" s="0" t="n">
        <f aca="false">INDEX(customer_churn_dataset!$I$2:$I$1501,MATCH($A1079,customer_churn_dataset!$A$2:$A$1501,0))</f>
        <v>53.7</v>
      </c>
      <c r="F1078" s="0" t="n">
        <f aca="false">INDEX(customer_churn_dataset!$L$2:$L$1501,MATCH($A1079,customer_churn_dataset!$A$2:$A$1501,0))</f>
        <v>0</v>
      </c>
      <c r="G1078" s="0" t="str">
        <f aca="false">IF(INDEX(customer_churn_dataset!$M$2:$M$1501,MATCH($A1079,customer_churn_dataset!$A$2:$A$1501,0))=1,"Yes","No")</f>
        <v>No</v>
      </c>
      <c r="H1078" s="0" t="n">
        <f aca="false">INDEX(customer_churn_dataset!$N$2:$N$1501,MATCH($A1079,customer_churn_dataset!$A$2:$A$1501,0))</f>
        <v>144.06</v>
      </c>
      <c r="I1078" s="0" t="n">
        <f aca="false">INDEX(customer_churn_dataset!$O$2:$O$1501,MATCH($A1079,customer_churn_dataset!$A$2:$A$1501,0))</f>
        <v>0</v>
      </c>
      <c r="J1078" s="0" t="n">
        <f aca="false">INDEX(customer_churn_dataset!$T$2:$T$1501,MATCH($A1079,customer_churn_dataset!$A$2:$A$1501,0))</f>
        <v>3</v>
      </c>
      <c r="K1078" s="0" t="str">
        <f aca="false">INDEX(customer_churn_dataset!$V$2:$V$1501,MATCH($A1079,customer_churn_dataset!$A$2:$A$1501,0))</f>
        <v>Medium Risk</v>
      </c>
    </row>
    <row r="1079" customFormat="false" ht="12.8" hidden="true" customHeight="false" outlineLevel="0" collapsed="false">
      <c r="A1079" s="22" t="str">
        <f aca="false">customer_churn_dataset!A772</f>
        <v>CUST100008</v>
      </c>
      <c r="B1079" s="22" t="str">
        <f aca="false">customer_churn_dataset!B772</f>
        <v>Standard</v>
      </c>
      <c r="C1079" s="22" t="str">
        <f aca="false">customer_churn_dataset!C772</f>
        <v>One year</v>
      </c>
      <c r="D1079" s="0" t="n">
        <f aca="false">INDEX(customer_churn_dataset!$E$2:$E$1501,MATCH($A1080,customer_churn_dataset!$A$2:$A$1501,0))</f>
        <v>28</v>
      </c>
      <c r="E1079" s="0" t="n">
        <f aca="false">INDEX(customer_churn_dataset!$I$2:$I$1501,MATCH($A1080,customer_churn_dataset!$A$2:$A$1501,0))</f>
        <v>54.4</v>
      </c>
      <c r="F1079" s="0" t="n">
        <f aca="false">INDEX(customer_churn_dataset!$L$2:$L$1501,MATCH($A1080,customer_churn_dataset!$A$2:$A$1501,0))</f>
        <v>0</v>
      </c>
      <c r="G1079" s="0" t="str">
        <f aca="false">IF(INDEX(customer_churn_dataset!$M$2:$M$1501,MATCH($A1080,customer_churn_dataset!$A$2:$A$1501,0))=1,"Yes","No")</f>
        <v>No</v>
      </c>
      <c r="H1079" s="0" t="n">
        <f aca="false">INDEX(customer_churn_dataset!$N$2:$N$1501,MATCH($A1080,customer_churn_dataset!$A$2:$A$1501,0))</f>
        <v>1113.56</v>
      </c>
      <c r="I1079" s="0" t="n">
        <f aca="false">INDEX(customer_churn_dataset!$O$2:$O$1501,MATCH($A1080,customer_churn_dataset!$A$2:$A$1501,0))</f>
        <v>0</v>
      </c>
      <c r="J1079" s="0" t="n">
        <f aca="false">INDEX(customer_churn_dataset!$T$2:$T$1501,MATCH($A1080,customer_churn_dataset!$A$2:$A$1501,0))</f>
        <v>3</v>
      </c>
      <c r="K1079" s="0" t="str">
        <f aca="false">INDEX(customer_churn_dataset!$V$2:$V$1501,MATCH($A1080,customer_churn_dataset!$A$2:$A$1501,0))</f>
        <v>Medium Risk</v>
      </c>
    </row>
    <row r="1080" customFormat="false" ht="12.8" hidden="true" customHeight="false" outlineLevel="0" collapsed="false">
      <c r="A1080" s="22" t="str">
        <f aca="false">customer_churn_dataset!A787</f>
        <v>CUST101382</v>
      </c>
      <c r="B1080" s="22" t="str">
        <f aca="false">customer_churn_dataset!B787</f>
        <v>Premium</v>
      </c>
      <c r="C1080" s="22" t="str">
        <f aca="false">customer_churn_dataset!C787</f>
        <v>Month-to-month</v>
      </c>
      <c r="D1080" s="0" t="n">
        <f aca="false">INDEX(customer_churn_dataset!$E$2:$E$1501,MATCH($A1081,customer_churn_dataset!$A$2:$A$1501,0))</f>
        <v>22</v>
      </c>
      <c r="E1080" s="0" t="n">
        <f aca="false">INDEX(customer_churn_dataset!$I$2:$I$1501,MATCH($A1081,customer_churn_dataset!$A$2:$A$1501,0))</f>
        <v>38.5</v>
      </c>
      <c r="F1080" s="0" t="n">
        <f aca="false">INDEX(customer_churn_dataset!$L$2:$L$1501,MATCH($A1081,customer_churn_dataset!$A$2:$A$1501,0))</f>
        <v>4</v>
      </c>
      <c r="G1080" s="0" t="str">
        <f aca="false">IF(INDEX(customer_churn_dataset!$M$2:$M$1501,MATCH($A1081,customer_churn_dataset!$A$2:$A$1501,0))=1,"Yes","No")</f>
        <v>No</v>
      </c>
      <c r="H1080" s="0" t="n">
        <f aca="false">INDEX(customer_churn_dataset!$N$2:$N$1501,MATCH($A1081,customer_churn_dataset!$A$2:$A$1501,0))</f>
        <v>216.92</v>
      </c>
      <c r="I1080" s="0" t="n">
        <f aca="false">INDEX(customer_churn_dataset!$O$2:$O$1501,MATCH($A1081,customer_churn_dataset!$A$2:$A$1501,0))</f>
        <v>0</v>
      </c>
      <c r="J1080" s="0" t="n">
        <f aca="false">INDEX(customer_churn_dataset!$T$2:$T$1501,MATCH($A1081,customer_churn_dataset!$A$2:$A$1501,0))</f>
        <v>5</v>
      </c>
      <c r="K1080" s="0" t="str">
        <f aca="false">INDEX(customer_churn_dataset!$V$2:$V$1501,MATCH($A1081,customer_churn_dataset!$A$2:$A$1501,0))</f>
        <v>Medium Risk</v>
      </c>
    </row>
    <row r="1081" customFormat="false" ht="12.8" hidden="true" customHeight="false" outlineLevel="0" collapsed="false">
      <c r="A1081" s="22" t="str">
        <f aca="false">customer_churn_dataset!A794</f>
        <v>CUST100660</v>
      </c>
      <c r="B1081" s="22" t="str">
        <f aca="false">customer_churn_dataset!B794</f>
        <v>Basic</v>
      </c>
      <c r="C1081" s="22" t="str">
        <f aca="false">customer_churn_dataset!C794</f>
        <v>Month-to-month</v>
      </c>
      <c r="D1081" s="0" t="n">
        <f aca="false">INDEX(customer_churn_dataset!$E$2:$E$1501,MATCH($A1082,customer_churn_dataset!$A$2:$A$1501,0))</f>
        <v>54</v>
      </c>
      <c r="E1081" s="0" t="n">
        <f aca="false">INDEX(customer_churn_dataset!$I$2:$I$1501,MATCH($A1082,customer_churn_dataset!$A$2:$A$1501,0))</f>
        <v>67.5</v>
      </c>
      <c r="F1081" s="0" t="n">
        <f aca="false">INDEX(customer_churn_dataset!$L$2:$L$1501,MATCH($A1082,customer_churn_dataset!$A$2:$A$1501,0))</f>
        <v>0</v>
      </c>
      <c r="G1081" s="0" t="str">
        <f aca="false">IF(INDEX(customer_churn_dataset!$M$2:$M$1501,MATCH($A1082,customer_churn_dataset!$A$2:$A$1501,0))=1,"Yes","No")</f>
        <v>No</v>
      </c>
      <c r="H1081" s="0" t="n">
        <f aca="false">INDEX(customer_churn_dataset!$N$2:$N$1501,MATCH($A1082,customer_churn_dataset!$A$2:$A$1501,0))</f>
        <v>1071.36</v>
      </c>
      <c r="I1081" s="0" t="n">
        <f aca="false">INDEX(customer_churn_dataset!$O$2:$O$1501,MATCH($A1082,customer_churn_dataset!$A$2:$A$1501,0))</f>
        <v>0</v>
      </c>
      <c r="J1081" s="0" t="n">
        <f aca="false">INDEX(customer_churn_dataset!$T$2:$T$1501,MATCH($A1082,customer_churn_dataset!$A$2:$A$1501,0))</f>
        <v>0</v>
      </c>
      <c r="K1081" s="0" t="str">
        <f aca="false">INDEX(customer_churn_dataset!$V$2:$V$1501,MATCH($A1082,customer_churn_dataset!$A$2:$A$1501,0))</f>
        <v>Low Risk</v>
      </c>
    </row>
    <row r="1082" customFormat="false" ht="12.8" hidden="true" customHeight="false" outlineLevel="0" collapsed="false">
      <c r="A1082" s="22" t="str">
        <f aca="false">customer_churn_dataset!A797</f>
        <v>CUST100927</v>
      </c>
      <c r="B1082" s="22" t="str">
        <f aca="false">customer_churn_dataset!B797</f>
        <v>Standard</v>
      </c>
      <c r="C1082" s="22" t="str">
        <f aca="false">customer_churn_dataset!C797</f>
        <v>Two year</v>
      </c>
      <c r="D1082" s="0" t="n">
        <f aca="false">INDEX(customer_churn_dataset!$E$2:$E$1501,MATCH($A1083,customer_churn_dataset!$A$2:$A$1501,0))</f>
        <v>1</v>
      </c>
      <c r="E1082" s="0" t="n">
        <f aca="false">INDEX(customer_churn_dataset!$I$2:$I$1501,MATCH($A1083,customer_churn_dataset!$A$2:$A$1501,0))</f>
        <v>79.6</v>
      </c>
      <c r="F1082" s="0" t="n">
        <f aca="false">INDEX(customer_churn_dataset!$L$2:$L$1501,MATCH($A1083,customer_churn_dataset!$A$2:$A$1501,0))</f>
        <v>2</v>
      </c>
      <c r="G1082" s="0" t="str">
        <f aca="false">IF(INDEX(customer_churn_dataset!$M$2:$M$1501,MATCH($A1083,customer_churn_dataset!$A$2:$A$1501,0))=1,"Yes","No")</f>
        <v>No</v>
      </c>
      <c r="H1082" s="0" t="n">
        <f aca="false">INDEX(customer_churn_dataset!$N$2:$N$1501,MATCH($A1083,customer_churn_dataset!$A$2:$A$1501,0))</f>
        <v>10.28</v>
      </c>
      <c r="I1082" s="0" t="n">
        <f aca="false">INDEX(customer_churn_dataset!$O$2:$O$1501,MATCH($A1083,customer_churn_dataset!$A$2:$A$1501,0))</f>
        <v>0</v>
      </c>
      <c r="J1082" s="0" t="n">
        <f aca="false">INDEX(customer_churn_dataset!$T$2:$T$1501,MATCH($A1083,customer_churn_dataset!$A$2:$A$1501,0))</f>
        <v>4</v>
      </c>
      <c r="K1082" s="0" t="str">
        <f aca="false">INDEX(customer_churn_dataset!$V$2:$V$1501,MATCH($A1083,customer_churn_dataset!$A$2:$A$1501,0))</f>
        <v>Medium Risk</v>
      </c>
    </row>
    <row r="1083" customFormat="false" ht="12.8" hidden="true" customHeight="false" outlineLevel="0" collapsed="false">
      <c r="A1083" s="22" t="str">
        <f aca="false">customer_churn_dataset!A811</f>
        <v>CUST101286</v>
      </c>
      <c r="B1083" s="22" t="str">
        <f aca="false">customer_churn_dataset!B811</f>
        <v>Basic</v>
      </c>
      <c r="C1083" s="22" t="str">
        <f aca="false">customer_churn_dataset!C811</f>
        <v>Month-to-month</v>
      </c>
      <c r="D1083" s="0" t="n">
        <f aca="false">INDEX(customer_churn_dataset!$E$2:$E$1501,MATCH($A1084,customer_churn_dataset!$A$2:$A$1501,0))</f>
        <v>19</v>
      </c>
      <c r="E1083" s="0" t="n">
        <f aca="false">INDEX(customer_churn_dataset!$I$2:$I$1501,MATCH($A1084,customer_churn_dataset!$A$2:$A$1501,0))</f>
        <v>38.1</v>
      </c>
      <c r="F1083" s="0" t="n">
        <f aca="false">INDEX(customer_churn_dataset!$L$2:$L$1501,MATCH($A1084,customer_churn_dataset!$A$2:$A$1501,0))</f>
        <v>1</v>
      </c>
      <c r="G1083" s="0" t="str">
        <f aca="false">IF(INDEX(customer_churn_dataset!$M$2:$M$1501,MATCH($A1084,customer_churn_dataset!$A$2:$A$1501,0))=1,"Yes","No")</f>
        <v>No</v>
      </c>
      <c r="H1083" s="0" t="n">
        <f aca="false">INDEX(customer_churn_dataset!$N$2:$N$1501,MATCH($A1084,customer_churn_dataset!$A$2:$A$1501,0))</f>
        <v>401.47</v>
      </c>
      <c r="I1083" s="0" t="n">
        <f aca="false">INDEX(customer_churn_dataset!$O$2:$O$1501,MATCH($A1084,customer_churn_dataset!$A$2:$A$1501,0))</f>
        <v>0</v>
      </c>
      <c r="J1083" s="0" t="n">
        <f aca="false">INDEX(customer_churn_dataset!$T$2:$T$1501,MATCH($A1084,customer_churn_dataset!$A$2:$A$1501,0))</f>
        <v>4</v>
      </c>
      <c r="K1083" s="0" t="str">
        <f aca="false">INDEX(customer_churn_dataset!$V$2:$V$1501,MATCH($A1084,customer_churn_dataset!$A$2:$A$1501,0))</f>
        <v>Medium Risk</v>
      </c>
    </row>
    <row r="1084" customFormat="false" ht="12.8" hidden="true" customHeight="false" outlineLevel="0" collapsed="false">
      <c r="A1084" s="22" t="str">
        <f aca="false">customer_churn_dataset!A819</f>
        <v>CUST101003</v>
      </c>
      <c r="B1084" s="22" t="str">
        <f aca="false">customer_churn_dataset!B819</f>
        <v>Standard</v>
      </c>
      <c r="C1084" s="22" t="str">
        <f aca="false">customer_churn_dataset!C819</f>
        <v>Month-to-month</v>
      </c>
      <c r="D1084" s="0" t="n">
        <f aca="false">INDEX(customer_churn_dataset!$E$2:$E$1501,MATCH($A1085,customer_churn_dataset!$A$2:$A$1501,0))</f>
        <v>0</v>
      </c>
      <c r="E1084" s="0" t="n">
        <f aca="false">INDEX(customer_churn_dataset!$I$2:$I$1501,MATCH($A1085,customer_churn_dataset!$A$2:$A$1501,0))</f>
        <v>53.4</v>
      </c>
      <c r="F1084" s="0" t="n">
        <f aca="false">INDEX(customer_churn_dataset!$L$2:$L$1501,MATCH($A1085,customer_churn_dataset!$A$2:$A$1501,0))</f>
        <v>2</v>
      </c>
      <c r="G1084" s="0" t="str">
        <f aca="false">IF(INDEX(customer_churn_dataset!$M$2:$M$1501,MATCH($A1085,customer_churn_dataset!$A$2:$A$1501,0))=1,"Yes","No")</f>
        <v>No</v>
      </c>
      <c r="H1084" s="0" t="n">
        <f aca="false">INDEX(customer_churn_dataset!$N$2:$N$1501,MATCH($A1085,customer_churn_dataset!$A$2:$A$1501,0))</f>
        <v>0</v>
      </c>
      <c r="I1084" s="0" t="n">
        <f aca="false">INDEX(customer_churn_dataset!$O$2:$O$1501,MATCH($A1085,customer_churn_dataset!$A$2:$A$1501,0))</f>
        <v>0</v>
      </c>
      <c r="J1084" s="0" t="n">
        <f aca="false">INDEX(customer_churn_dataset!$T$2:$T$1501,MATCH($A1085,customer_churn_dataset!$A$2:$A$1501,0))</f>
        <v>5</v>
      </c>
      <c r="K1084" s="0" t="str">
        <f aca="false">INDEX(customer_churn_dataset!$V$2:$V$1501,MATCH($A1085,customer_churn_dataset!$A$2:$A$1501,0))</f>
        <v>Medium Risk</v>
      </c>
    </row>
    <row r="1085" customFormat="false" ht="12.8" hidden="true" customHeight="false" outlineLevel="0" collapsed="false">
      <c r="A1085" s="22" t="str">
        <f aca="false">customer_churn_dataset!A825</f>
        <v>CUST100517</v>
      </c>
      <c r="B1085" s="22" t="str">
        <f aca="false">customer_churn_dataset!B825</f>
        <v>Premium</v>
      </c>
      <c r="C1085" s="22" t="str">
        <f aca="false">customer_churn_dataset!C825</f>
        <v>Month-to-month</v>
      </c>
      <c r="D1085" s="0" t="n">
        <f aca="false">INDEX(customer_churn_dataset!$E$2:$E$1501,MATCH($A1086,customer_churn_dataset!$A$2:$A$1501,0))</f>
        <v>15</v>
      </c>
      <c r="E1085" s="0" t="n">
        <f aca="false">INDEX(customer_churn_dataset!$I$2:$I$1501,MATCH($A1086,customer_churn_dataset!$A$2:$A$1501,0))</f>
        <v>63.2</v>
      </c>
      <c r="F1085" s="0" t="n">
        <f aca="false">INDEX(customer_churn_dataset!$L$2:$L$1501,MATCH($A1086,customer_churn_dataset!$A$2:$A$1501,0))</f>
        <v>1</v>
      </c>
      <c r="G1085" s="0" t="str">
        <f aca="false">IF(INDEX(customer_churn_dataset!$M$2:$M$1501,MATCH($A1086,customer_churn_dataset!$A$2:$A$1501,0))=1,"Yes","No")</f>
        <v>Yes</v>
      </c>
      <c r="H1085" s="0" t="n">
        <f aca="false">INDEX(customer_churn_dataset!$N$2:$N$1501,MATCH($A1086,customer_churn_dataset!$A$2:$A$1501,0))</f>
        <v>146.1</v>
      </c>
      <c r="I1085" s="0" t="n">
        <f aca="false">INDEX(customer_churn_dataset!$O$2:$O$1501,MATCH($A1086,customer_churn_dataset!$A$2:$A$1501,0))</f>
        <v>0</v>
      </c>
      <c r="J1085" s="0" t="n">
        <f aca="false">INDEX(customer_churn_dataset!$T$2:$T$1501,MATCH($A1086,customer_churn_dataset!$A$2:$A$1501,0))</f>
        <v>4</v>
      </c>
      <c r="K1085" s="0" t="str">
        <f aca="false">INDEX(customer_churn_dataset!$V$2:$V$1501,MATCH($A1086,customer_churn_dataset!$A$2:$A$1501,0))</f>
        <v>Medium Risk</v>
      </c>
    </row>
    <row r="1086" customFormat="false" ht="12.8" hidden="true" customHeight="false" outlineLevel="0" collapsed="false">
      <c r="A1086" s="22" t="str">
        <f aca="false">customer_churn_dataset!A835</f>
        <v>CUST101127</v>
      </c>
      <c r="B1086" s="22" t="str">
        <f aca="false">customer_churn_dataset!B835</f>
        <v>Basic</v>
      </c>
      <c r="C1086" s="22" t="str">
        <f aca="false">customer_churn_dataset!C835</f>
        <v>One year</v>
      </c>
      <c r="D1086" s="0" t="n">
        <f aca="false">INDEX(customer_churn_dataset!$E$2:$E$1501,MATCH($A1087,customer_churn_dataset!$A$2:$A$1501,0))</f>
        <v>7</v>
      </c>
      <c r="E1086" s="0" t="n">
        <f aca="false">INDEX(customer_churn_dataset!$I$2:$I$1501,MATCH($A1087,customer_churn_dataset!$A$2:$A$1501,0))</f>
        <v>54.4</v>
      </c>
      <c r="F1086" s="0" t="n">
        <f aca="false">INDEX(customer_churn_dataset!$L$2:$L$1501,MATCH($A1087,customer_churn_dataset!$A$2:$A$1501,0))</f>
        <v>1</v>
      </c>
      <c r="G1086" s="0" t="str">
        <f aca="false">IF(INDEX(customer_churn_dataset!$M$2:$M$1501,MATCH($A1087,customer_churn_dataset!$A$2:$A$1501,0))=1,"Yes","No")</f>
        <v>Yes</v>
      </c>
      <c r="H1086" s="0" t="n">
        <f aca="false">INDEX(customer_churn_dataset!$N$2:$N$1501,MATCH($A1087,customer_churn_dataset!$A$2:$A$1501,0))</f>
        <v>148.12</v>
      </c>
      <c r="I1086" s="0" t="n">
        <f aca="false">INDEX(customer_churn_dataset!$O$2:$O$1501,MATCH($A1087,customer_churn_dataset!$A$2:$A$1501,0))</f>
        <v>1</v>
      </c>
      <c r="J1086" s="0" t="n">
        <f aca="false">INDEX(customer_churn_dataset!$T$2:$T$1501,MATCH($A1087,customer_churn_dataset!$A$2:$A$1501,0))</f>
        <v>7</v>
      </c>
      <c r="K1086" s="0" t="str">
        <f aca="false">INDEX(customer_churn_dataset!$V$2:$V$1501,MATCH($A1087,customer_churn_dataset!$A$2:$A$1501,0))</f>
        <v>High Risk</v>
      </c>
    </row>
    <row r="1087" customFormat="false" ht="12.8" hidden="true" customHeight="false" outlineLevel="0" collapsed="false">
      <c r="A1087" s="22" t="str">
        <f aca="false">customer_churn_dataset!A848</f>
        <v>CUST101261</v>
      </c>
      <c r="B1087" s="22" t="str">
        <f aca="false">customer_churn_dataset!B848</f>
        <v>Standard</v>
      </c>
      <c r="C1087" s="22" t="str">
        <f aca="false">customer_churn_dataset!C848</f>
        <v>Month-to-month</v>
      </c>
      <c r="D1087" s="0" t="n">
        <f aca="false">INDEX(customer_churn_dataset!$E$2:$E$1501,MATCH($A1088,customer_churn_dataset!$A$2:$A$1501,0))</f>
        <v>36</v>
      </c>
      <c r="E1087" s="0" t="n">
        <f aca="false">INDEX(customer_churn_dataset!$I$2:$I$1501,MATCH($A1088,customer_churn_dataset!$A$2:$A$1501,0))</f>
        <v>35.4</v>
      </c>
      <c r="F1087" s="0" t="n">
        <f aca="false">INDEX(customer_churn_dataset!$L$2:$L$1501,MATCH($A1088,customer_churn_dataset!$A$2:$A$1501,0))</f>
        <v>1</v>
      </c>
      <c r="G1087" s="0" t="str">
        <f aca="false">IF(INDEX(customer_churn_dataset!$M$2:$M$1501,MATCH($A1088,customer_churn_dataset!$A$2:$A$1501,0))=1,"Yes","No")</f>
        <v>No</v>
      </c>
      <c r="H1087" s="0" t="n">
        <f aca="false">INDEX(customer_churn_dataset!$N$2:$N$1501,MATCH($A1088,customer_churn_dataset!$A$2:$A$1501,0))</f>
        <v>719.28</v>
      </c>
      <c r="I1087" s="0" t="n">
        <f aca="false">INDEX(customer_churn_dataset!$O$2:$O$1501,MATCH($A1088,customer_churn_dataset!$A$2:$A$1501,0))</f>
        <v>1</v>
      </c>
      <c r="J1087" s="0" t="n">
        <f aca="false">INDEX(customer_churn_dataset!$T$2:$T$1501,MATCH($A1088,customer_churn_dataset!$A$2:$A$1501,0))</f>
        <v>4</v>
      </c>
      <c r="K1087" s="0" t="str">
        <f aca="false">INDEX(customer_churn_dataset!$V$2:$V$1501,MATCH($A1088,customer_churn_dataset!$A$2:$A$1501,0))</f>
        <v>Medium Risk</v>
      </c>
    </row>
    <row r="1088" customFormat="false" ht="12.8" hidden="true" customHeight="false" outlineLevel="0" collapsed="false">
      <c r="A1088" s="22" t="str">
        <f aca="false">customer_churn_dataset!A856</f>
        <v>CUST101093</v>
      </c>
      <c r="B1088" s="22" t="str">
        <f aca="false">customer_churn_dataset!B856</f>
        <v>Standard</v>
      </c>
      <c r="C1088" s="22" t="str">
        <f aca="false">customer_churn_dataset!C856</f>
        <v>Month-to-month</v>
      </c>
      <c r="D1088" s="0" t="n">
        <f aca="false">INDEX(customer_churn_dataset!$E$2:$E$1501,MATCH($A1089,customer_churn_dataset!$A$2:$A$1501,0))</f>
        <v>49</v>
      </c>
      <c r="E1088" s="0" t="n">
        <f aca="false">INDEX(customer_churn_dataset!$I$2:$I$1501,MATCH($A1089,customer_churn_dataset!$A$2:$A$1501,0))</f>
        <v>82.2</v>
      </c>
      <c r="F1088" s="0" t="n">
        <f aca="false">INDEX(customer_churn_dataset!$L$2:$L$1501,MATCH($A1089,customer_churn_dataset!$A$2:$A$1501,0))</f>
        <v>0</v>
      </c>
      <c r="G1088" s="0" t="str">
        <f aca="false">IF(INDEX(customer_churn_dataset!$M$2:$M$1501,MATCH($A1089,customer_churn_dataset!$A$2:$A$1501,0))=1,"Yes","No")</f>
        <v>No</v>
      </c>
      <c r="H1088" s="0" t="n">
        <f aca="false">INDEX(customer_churn_dataset!$N$2:$N$1501,MATCH($A1089,customer_churn_dataset!$A$2:$A$1501,0))</f>
        <v>480.69</v>
      </c>
      <c r="I1088" s="0" t="n">
        <f aca="false">INDEX(customer_churn_dataset!$O$2:$O$1501,MATCH($A1089,customer_churn_dataset!$A$2:$A$1501,0))</f>
        <v>0</v>
      </c>
      <c r="J1088" s="0" t="n">
        <f aca="false">INDEX(customer_churn_dataset!$T$2:$T$1501,MATCH($A1089,customer_churn_dataset!$A$2:$A$1501,0))</f>
        <v>1</v>
      </c>
      <c r="K1088" s="0" t="str">
        <f aca="false">INDEX(customer_churn_dataset!$V$2:$V$1501,MATCH($A1089,customer_churn_dataset!$A$2:$A$1501,0))</f>
        <v>Low Risk</v>
      </c>
    </row>
    <row r="1089" customFormat="false" ht="12.8" hidden="true" customHeight="false" outlineLevel="0" collapsed="false">
      <c r="A1089" s="22" t="str">
        <f aca="false">customer_churn_dataset!A858</f>
        <v>CUST101063</v>
      </c>
      <c r="B1089" s="22" t="str">
        <f aca="false">customer_churn_dataset!B858</f>
        <v>Basic</v>
      </c>
      <c r="C1089" s="22" t="str">
        <f aca="false">customer_churn_dataset!C858</f>
        <v>One year</v>
      </c>
      <c r="D1089" s="0" t="n">
        <f aca="false">INDEX(customer_churn_dataset!$E$2:$E$1501,MATCH($A1090,customer_churn_dataset!$A$2:$A$1501,0))</f>
        <v>61</v>
      </c>
      <c r="E1089" s="0" t="n">
        <f aca="false">INDEX(customer_churn_dataset!$I$2:$I$1501,MATCH($A1090,customer_churn_dataset!$A$2:$A$1501,0))</f>
        <v>30.5</v>
      </c>
      <c r="F1089" s="0" t="n">
        <f aca="false">INDEX(customer_churn_dataset!$L$2:$L$1501,MATCH($A1090,customer_churn_dataset!$A$2:$A$1501,0))</f>
        <v>1</v>
      </c>
      <c r="G1089" s="0" t="str">
        <f aca="false">IF(INDEX(customer_churn_dataset!$M$2:$M$1501,MATCH($A1090,customer_churn_dataset!$A$2:$A$1501,0))=1,"Yes","No")</f>
        <v>No</v>
      </c>
      <c r="H1089" s="0" t="n">
        <f aca="false">INDEX(customer_churn_dataset!$N$2:$N$1501,MATCH($A1090,customer_churn_dataset!$A$2:$A$1501,0))</f>
        <v>2457.08</v>
      </c>
      <c r="I1089" s="0" t="n">
        <f aca="false">INDEX(customer_churn_dataset!$O$2:$O$1501,MATCH($A1090,customer_churn_dataset!$A$2:$A$1501,0))</f>
        <v>0</v>
      </c>
      <c r="J1089" s="0" t="n">
        <f aca="false">INDEX(customer_churn_dataset!$T$2:$T$1501,MATCH($A1090,customer_churn_dataset!$A$2:$A$1501,0))</f>
        <v>3</v>
      </c>
      <c r="K1089" s="0" t="str">
        <f aca="false">INDEX(customer_churn_dataset!$V$2:$V$1501,MATCH($A1090,customer_churn_dataset!$A$2:$A$1501,0))</f>
        <v>Medium Risk</v>
      </c>
    </row>
    <row r="1090" customFormat="false" ht="12.8" hidden="true" customHeight="false" outlineLevel="0" collapsed="false">
      <c r="A1090" s="22" t="str">
        <f aca="false">customer_churn_dataset!A865</f>
        <v>CUST100412</v>
      </c>
      <c r="B1090" s="22" t="str">
        <f aca="false">customer_churn_dataset!B865</f>
        <v>Premium</v>
      </c>
      <c r="C1090" s="22" t="str">
        <f aca="false">customer_churn_dataset!C865</f>
        <v>One year</v>
      </c>
      <c r="D1090" s="0" t="n">
        <f aca="false">INDEX(customer_churn_dataset!$E$2:$E$1501,MATCH($A1091,customer_churn_dataset!$A$2:$A$1501,0))</f>
        <v>40</v>
      </c>
      <c r="E1090" s="0" t="n">
        <f aca="false">INDEX(customer_churn_dataset!$I$2:$I$1501,MATCH($A1091,customer_churn_dataset!$A$2:$A$1501,0))</f>
        <v>31.6</v>
      </c>
      <c r="F1090" s="0" t="n">
        <f aca="false">INDEX(customer_churn_dataset!$L$2:$L$1501,MATCH($A1091,customer_churn_dataset!$A$2:$A$1501,0))</f>
        <v>1</v>
      </c>
      <c r="G1090" s="0" t="str">
        <f aca="false">IF(INDEX(customer_churn_dataset!$M$2:$M$1501,MATCH($A1091,customer_churn_dataset!$A$2:$A$1501,0))=1,"Yes","No")</f>
        <v>No</v>
      </c>
      <c r="H1090" s="0" t="n">
        <f aca="false">INDEX(customer_churn_dataset!$N$2:$N$1501,MATCH($A1091,customer_churn_dataset!$A$2:$A$1501,0))</f>
        <v>787.6</v>
      </c>
      <c r="I1090" s="0" t="n">
        <f aca="false">INDEX(customer_churn_dataset!$O$2:$O$1501,MATCH($A1091,customer_churn_dataset!$A$2:$A$1501,0))</f>
        <v>0</v>
      </c>
      <c r="J1090" s="0" t="n">
        <f aca="false">INDEX(customer_churn_dataset!$T$2:$T$1501,MATCH($A1091,customer_churn_dataset!$A$2:$A$1501,0))</f>
        <v>4</v>
      </c>
      <c r="K1090" s="0" t="str">
        <f aca="false">INDEX(customer_churn_dataset!$V$2:$V$1501,MATCH($A1091,customer_churn_dataset!$A$2:$A$1501,0))</f>
        <v>Medium Risk</v>
      </c>
    </row>
    <row r="1091" customFormat="false" ht="12.8" hidden="true" customHeight="false" outlineLevel="0" collapsed="false">
      <c r="A1091" s="22" t="str">
        <f aca="false">customer_churn_dataset!A873</f>
        <v>CUST100573</v>
      </c>
      <c r="B1091" s="22" t="str">
        <f aca="false">customer_churn_dataset!B873</f>
        <v>Standard</v>
      </c>
      <c r="C1091" s="22" t="str">
        <f aca="false">customer_churn_dataset!C873</f>
        <v>Month-to-month</v>
      </c>
      <c r="D1091" s="0" t="n">
        <f aca="false">INDEX(customer_churn_dataset!$E$2:$E$1501,MATCH($A1092,customer_churn_dataset!$A$2:$A$1501,0))</f>
        <v>27</v>
      </c>
      <c r="E1091" s="0" t="n">
        <f aca="false">INDEX(customer_churn_dataset!$I$2:$I$1501,MATCH($A1092,customer_churn_dataset!$A$2:$A$1501,0))</f>
        <v>72.5</v>
      </c>
      <c r="F1091" s="0" t="n">
        <f aca="false">INDEX(customer_churn_dataset!$L$2:$L$1501,MATCH($A1092,customer_churn_dataset!$A$2:$A$1501,0))</f>
        <v>2</v>
      </c>
      <c r="G1091" s="0" t="str">
        <f aca="false">IF(INDEX(customer_churn_dataset!$M$2:$M$1501,MATCH($A1092,customer_churn_dataset!$A$2:$A$1501,0))=1,"Yes","No")</f>
        <v>No</v>
      </c>
      <c r="H1091" s="0" t="n">
        <f aca="false">INDEX(customer_churn_dataset!$N$2:$N$1501,MATCH($A1092,customer_churn_dataset!$A$2:$A$1501,0))</f>
        <v>287.55</v>
      </c>
      <c r="I1091" s="0" t="n">
        <f aca="false">INDEX(customer_churn_dataset!$O$2:$O$1501,MATCH($A1092,customer_churn_dataset!$A$2:$A$1501,0))</f>
        <v>0</v>
      </c>
      <c r="J1091" s="0" t="n">
        <f aca="false">INDEX(customer_churn_dataset!$T$2:$T$1501,MATCH($A1092,customer_churn_dataset!$A$2:$A$1501,0))</f>
        <v>3</v>
      </c>
      <c r="K1091" s="0" t="str">
        <f aca="false">INDEX(customer_churn_dataset!$V$2:$V$1501,MATCH($A1092,customer_churn_dataset!$A$2:$A$1501,0))</f>
        <v>Medium Risk</v>
      </c>
    </row>
    <row r="1092" customFormat="false" ht="12.8" hidden="true" customHeight="false" outlineLevel="0" collapsed="false">
      <c r="A1092" s="22" t="str">
        <f aca="false">customer_churn_dataset!A885</f>
        <v>CUST100812</v>
      </c>
      <c r="B1092" s="22" t="str">
        <f aca="false">customer_churn_dataset!B885</f>
        <v>Basic</v>
      </c>
      <c r="C1092" s="22" t="str">
        <f aca="false">customer_churn_dataset!C885</f>
        <v>Month-to-month</v>
      </c>
      <c r="D1092" s="0" t="n">
        <f aca="false">INDEX(customer_churn_dataset!$E$2:$E$1501,MATCH($A1093,customer_churn_dataset!$A$2:$A$1501,0))</f>
        <v>7</v>
      </c>
      <c r="E1092" s="0" t="n">
        <f aca="false">INDEX(customer_churn_dataset!$I$2:$I$1501,MATCH($A1093,customer_churn_dataset!$A$2:$A$1501,0))</f>
        <v>2</v>
      </c>
      <c r="F1092" s="0" t="n">
        <f aca="false">INDEX(customer_churn_dataset!$L$2:$L$1501,MATCH($A1093,customer_churn_dataset!$A$2:$A$1501,0))</f>
        <v>5</v>
      </c>
      <c r="G1092" s="0" t="str">
        <f aca="false">IF(INDEX(customer_churn_dataset!$M$2:$M$1501,MATCH($A1093,customer_churn_dataset!$A$2:$A$1501,0))=1,"Yes","No")</f>
        <v>No</v>
      </c>
      <c r="H1092" s="0" t="n">
        <f aca="false">INDEX(customer_churn_dataset!$N$2:$N$1501,MATCH($A1093,customer_churn_dataset!$A$2:$A$1501,0))</f>
        <v>284.41</v>
      </c>
      <c r="I1092" s="0" t="n">
        <f aca="false">INDEX(customer_churn_dataset!$O$2:$O$1501,MATCH($A1093,customer_churn_dataset!$A$2:$A$1501,0))</f>
        <v>0</v>
      </c>
      <c r="J1092" s="0" t="n">
        <f aca="false">INDEX(customer_churn_dataset!$T$2:$T$1501,MATCH($A1093,customer_churn_dataset!$A$2:$A$1501,0))</f>
        <v>4</v>
      </c>
      <c r="K1092" s="0" t="str">
        <f aca="false">INDEX(customer_churn_dataset!$V$2:$V$1501,MATCH($A1093,customer_churn_dataset!$A$2:$A$1501,0))</f>
        <v>Medium Risk</v>
      </c>
    </row>
    <row r="1093" customFormat="false" ht="12.8" hidden="true" customHeight="false" outlineLevel="0" collapsed="false">
      <c r="A1093" s="22" t="str">
        <f aca="false">customer_churn_dataset!A889</f>
        <v>CUST100947</v>
      </c>
      <c r="B1093" s="22" t="str">
        <f aca="false">customer_churn_dataset!B889</f>
        <v>Premium</v>
      </c>
      <c r="C1093" s="22" t="str">
        <f aca="false">customer_churn_dataset!C889</f>
        <v>Two year</v>
      </c>
      <c r="D1093" s="0" t="n">
        <f aca="false">INDEX(customer_churn_dataset!$E$2:$E$1501,MATCH($A1094,customer_churn_dataset!$A$2:$A$1501,0))</f>
        <v>6</v>
      </c>
      <c r="E1093" s="0" t="n">
        <f aca="false">INDEX(customer_churn_dataset!$I$2:$I$1501,MATCH($A1094,customer_churn_dataset!$A$2:$A$1501,0))</f>
        <v>40.6</v>
      </c>
      <c r="F1093" s="0" t="n">
        <f aca="false">INDEX(customer_churn_dataset!$L$2:$L$1501,MATCH($A1094,customer_churn_dataset!$A$2:$A$1501,0))</f>
        <v>0</v>
      </c>
      <c r="G1093" s="0" t="str">
        <f aca="false">IF(INDEX(customer_churn_dataset!$M$2:$M$1501,MATCH($A1094,customer_churn_dataset!$A$2:$A$1501,0))=1,"Yes","No")</f>
        <v>No</v>
      </c>
      <c r="H1093" s="0" t="n">
        <f aca="false">INDEX(customer_churn_dataset!$N$2:$N$1501,MATCH($A1094,customer_churn_dataset!$A$2:$A$1501,0))</f>
        <v>251.16</v>
      </c>
      <c r="I1093" s="0" t="n">
        <f aca="false">INDEX(customer_churn_dataset!$O$2:$O$1501,MATCH($A1094,customer_churn_dataset!$A$2:$A$1501,0))</f>
        <v>1</v>
      </c>
      <c r="J1093" s="0" t="n">
        <f aca="false">INDEX(customer_churn_dataset!$T$2:$T$1501,MATCH($A1094,customer_churn_dataset!$A$2:$A$1501,0))</f>
        <v>4</v>
      </c>
      <c r="K1093" s="0" t="str">
        <f aca="false">INDEX(customer_churn_dataset!$V$2:$V$1501,MATCH($A1094,customer_churn_dataset!$A$2:$A$1501,0))</f>
        <v>Medium Risk</v>
      </c>
    </row>
    <row r="1094" customFormat="false" ht="12.8" hidden="true" customHeight="false" outlineLevel="0" collapsed="false">
      <c r="A1094" s="22" t="str">
        <f aca="false">customer_churn_dataset!A896</f>
        <v>CUST100464</v>
      </c>
      <c r="B1094" s="22" t="str">
        <f aca="false">customer_churn_dataset!B896</f>
        <v>Premium</v>
      </c>
      <c r="C1094" s="22" t="str">
        <f aca="false">customer_churn_dataset!C896</f>
        <v>Month-to-month</v>
      </c>
      <c r="D1094" s="0" t="n">
        <f aca="false">INDEX(customer_churn_dataset!$E$2:$E$1501,MATCH($A1095,customer_churn_dataset!$A$2:$A$1501,0))</f>
        <v>45</v>
      </c>
      <c r="E1094" s="0" t="n">
        <f aca="false">INDEX(customer_churn_dataset!$I$2:$I$1501,MATCH($A1095,customer_churn_dataset!$A$2:$A$1501,0))</f>
        <v>46.7</v>
      </c>
      <c r="F1094" s="0" t="n">
        <f aca="false">INDEX(customer_churn_dataset!$L$2:$L$1501,MATCH($A1095,customer_churn_dataset!$A$2:$A$1501,0))</f>
        <v>1</v>
      </c>
      <c r="G1094" s="0" t="str">
        <f aca="false">IF(INDEX(customer_churn_dataset!$M$2:$M$1501,MATCH($A1095,customer_churn_dataset!$A$2:$A$1501,0))=1,"Yes","No")</f>
        <v>Yes</v>
      </c>
      <c r="H1094" s="0" t="n">
        <f aca="false">INDEX(customer_churn_dataset!$N$2:$N$1501,MATCH($A1095,customer_churn_dataset!$A$2:$A$1501,0))</f>
        <v>843.75</v>
      </c>
      <c r="I1094" s="0" t="n">
        <f aca="false">INDEX(customer_churn_dataset!$O$2:$O$1501,MATCH($A1095,customer_churn_dataset!$A$2:$A$1501,0))</f>
        <v>1</v>
      </c>
      <c r="J1094" s="0" t="n">
        <f aca="false">INDEX(customer_churn_dataset!$T$2:$T$1501,MATCH($A1095,customer_churn_dataset!$A$2:$A$1501,0))</f>
        <v>5</v>
      </c>
      <c r="K1094" s="0" t="str">
        <f aca="false">INDEX(customer_churn_dataset!$V$2:$V$1501,MATCH($A1095,customer_churn_dataset!$A$2:$A$1501,0))</f>
        <v>Medium Risk</v>
      </c>
    </row>
    <row r="1095" customFormat="false" ht="12.8" hidden="true" customHeight="false" outlineLevel="0" collapsed="false">
      <c r="A1095" s="22" t="str">
        <f aca="false">customer_churn_dataset!A907</f>
        <v>CUST100978</v>
      </c>
      <c r="B1095" s="22" t="str">
        <f aca="false">customer_churn_dataset!B907</f>
        <v>Standard</v>
      </c>
      <c r="C1095" s="22" t="str">
        <f aca="false">customer_churn_dataset!C907</f>
        <v>One year</v>
      </c>
      <c r="D1095" s="0" t="n">
        <f aca="false">INDEX(customer_churn_dataset!$E$2:$E$1501,MATCH($A1096,customer_churn_dataset!$A$2:$A$1501,0))</f>
        <v>1</v>
      </c>
      <c r="E1095" s="0" t="n">
        <f aca="false">INDEX(customer_churn_dataset!$I$2:$I$1501,MATCH($A1096,customer_churn_dataset!$A$2:$A$1501,0))</f>
        <v>42.7</v>
      </c>
      <c r="F1095" s="0" t="n">
        <f aca="false">INDEX(customer_churn_dataset!$L$2:$L$1501,MATCH($A1096,customer_churn_dataset!$A$2:$A$1501,0))</f>
        <v>0</v>
      </c>
      <c r="G1095" s="0" t="str">
        <f aca="false">IF(INDEX(customer_churn_dataset!$M$2:$M$1501,MATCH($A1096,customer_churn_dataset!$A$2:$A$1501,0))=1,"Yes","No")</f>
        <v>No</v>
      </c>
      <c r="H1095" s="0" t="n">
        <f aca="false">INDEX(customer_churn_dataset!$N$2:$N$1501,MATCH($A1096,customer_churn_dataset!$A$2:$A$1501,0))</f>
        <v>8.77</v>
      </c>
      <c r="I1095" s="0" t="n">
        <f aca="false">INDEX(customer_churn_dataset!$O$2:$O$1501,MATCH($A1096,customer_churn_dataset!$A$2:$A$1501,0))</f>
        <v>0</v>
      </c>
      <c r="J1095" s="0" t="n">
        <f aca="false">INDEX(customer_churn_dataset!$T$2:$T$1501,MATCH($A1096,customer_churn_dataset!$A$2:$A$1501,0))</f>
        <v>3</v>
      </c>
      <c r="K1095" s="0" t="str">
        <f aca="false">INDEX(customer_churn_dataset!$V$2:$V$1501,MATCH($A1096,customer_churn_dataset!$A$2:$A$1501,0))</f>
        <v>Medium Risk</v>
      </c>
    </row>
    <row r="1096" customFormat="false" ht="12.8" hidden="true" customHeight="false" outlineLevel="0" collapsed="false">
      <c r="A1096" s="22" t="str">
        <f aca="false">customer_churn_dataset!A911</f>
        <v>CUST100085</v>
      </c>
      <c r="B1096" s="22" t="str">
        <f aca="false">customer_churn_dataset!B911</f>
        <v>Basic</v>
      </c>
      <c r="C1096" s="22" t="str">
        <f aca="false">customer_churn_dataset!C911</f>
        <v>One year</v>
      </c>
      <c r="D1096" s="0" t="n">
        <f aca="false">INDEX(customer_churn_dataset!$E$2:$E$1501,MATCH($A1097,customer_churn_dataset!$A$2:$A$1501,0))</f>
        <v>23</v>
      </c>
      <c r="E1096" s="0" t="n">
        <f aca="false">INDEX(customer_churn_dataset!$I$2:$I$1501,MATCH($A1097,customer_churn_dataset!$A$2:$A$1501,0))</f>
        <v>91.7</v>
      </c>
      <c r="F1096" s="0" t="n">
        <f aca="false">INDEX(customer_churn_dataset!$L$2:$L$1501,MATCH($A1097,customer_churn_dataset!$A$2:$A$1501,0))</f>
        <v>1</v>
      </c>
      <c r="G1096" s="0" t="str">
        <f aca="false">IF(INDEX(customer_churn_dataset!$M$2:$M$1501,MATCH($A1097,customer_churn_dataset!$A$2:$A$1501,0))=1,"Yes","No")</f>
        <v>No</v>
      </c>
      <c r="H1096" s="0" t="n">
        <f aca="false">INDEX(customer_churn_dataset!$N$2:$N$1501,MATCH($A1097,customer_churn_dataset!$A$2:$A$1501,0))</f>
        <v>227.93</v>
      </c>
      <c r="I1096" s="0" t="n">
        <f aca="false">INDEX(customer_churn_dataset!$O$2:$O$1501,MATCH($A1097,customer_churn_dataset!$A$2:$A$1501,0))</f>
        <v>0</v>
      </c>
      <c r="J1096" s="0" t="n">
        <f aca="false">INDEX(customer_churn_dataset!$T$2:$T$1501,MATCH($A1097,customer_churn_dataset!$A$2:$A$1501,0))</f>
        <v>2</v>
      </c>
      <c r="K1096" s="0" t="str">
        <f aca="false">INDEX(customer_churn_dataset!$V$2:$V$1501,MATCH($A1097,customer_churn_dataset!$A$2:$A$1501,0))</f>
        <v>Low Risk</v>
      </c>
    </row>
    <row r="1097" customFormat="false" ht="12.8" hidden="true" customHeight="false" outlineLevel="0" collapsed="false">
      <c r="A1097" s="22" t="str">
        <f aca="false">customer_churn_dataset!A915</f>
        <v>CUST100621</v>
      </c>
      <c r="B1097" s="22" t="str">
        <f aca="false">customer_churn_dataset!B915</f>
        <v>Basic</v>
      </c>
      <c r="C1097" s="22" t="str">
        <f aca="false">customer_churn_dataset!C915</f>
        <v>Month-to-month</v>
      </c>
      <c r="D1097" s="0" t="n">
        <f aca="false">INDEX(customer_churn_dataset!$E$2:$E$1501,MATCH($A1098,customer_churn_dataset!$A$2:$A$1501,0))</f>
        <v>42</v>
      </c>
      <c r="E1097" s="0" t="n">
        <f aca="false">INDEX(customer_churn_dataset!$I$2:$I$1501,MATCH($A1098,customer_churn_dataset!$A$2:$A$1501,0))</f>
        <v>72.3</v>
      </c>
      <c r="F1097" s="0" t="n">
        <f aca="false">INDEX(customer_churn_dataset!$L$2:$L$1501,MATCH($A1098,customer_churn_dataset!$A$2:$A$1501,0))</f>
        <v>1</v>
      </c>
      <c r="G1097" s="0" t="str">
        <f aca="false">IF(INDEX(customer_churn_dataset!$M$2:$M$1501,MATCH($A1098,customer_churn_dataset!$A$2:$A$1501,0))=1,"Yes","No")</f>
        <v>Yes</v>
      </c>
      <c r="H1097" s="0" t="n">
        <f aca="false">INDEX(customer_churn_dataset!$N$2:$N$1501,MATCH($A1098,customer_churn_dataset!$A$2:$A$1501,0))</f>
        <v>857.22</v>
      </c>
      <c r="I1097" s="0" t="n">
        <f aca="false">INDEX(customer_churn_dataset!$O$2:$O$1501,MATCH($A1098,customer_churn_dataset!$A$2:$A$1501,0))</f>
        <v>0</v>
      </c>
      <c r="J1097" s="0" t="n">
        <f aca="false">INDEX(customer_churn_dataset!$T$2:$T$1501,MATCH($A1098,customer_churn_dataset!$A$2:$A$1501,0))</f>
        <v>4</v>
      </c>
      <c r="K1097" s="0" t="str">
        <f aca="false">INDEX(customer_churn_dataset!$V$2:$V$1501,MATCH($A1098,customer_churn_dataset!$A$2:$A$1501,0))</f>
        <v>Medium Risk</v>
      </c>
    </row>
    <row r="1098" customFormat="false" ht="12.8" hidden="true" customHeight="false" outlineLevel="0" collapsed="false">
      <c r="A1098" s="22" t="str">
        <f aca="false">customer_churn_dataset!A920</f>
        <v>CUST101155</v>
      </c>
      <c r="B1098" s="22" t="str">
        <f aca="false">customer_churn_dataset!B920</f>
        <v>Standard</v>
      </c>
      <c r="C1098" s="22" t="str">
        <f aca="false">customer_churn_dataset!C920</f>
        <v>One year</v>
      </c>
      <c r="D1098" s="0" t="n">
        <f aca="false">INDEX(customer_churn_dataset!$E$2:$E$1501,MATCH($A1099,customer_churn_dataset!$A$2:$A$1501,0))</f>
        <v>21</v>
      </c>
      <c r="E1098" s="0" t="n">
        <f aca="false">INDEX(customer_churn_dataset!$I$2:$I$1501,MATCH($A1099,customer_churn_dataset!$A$2:$A$1501,0))</f>
        <v>79.1</v>
      </c>
      <c r="F1098" s="0" t="n">
        <f aca="false">INDEX(customer_churn_dataset!$L$2:$L$1501,MATCH($A1099,customer_churn_dataset!$A$2:$A$1501,0))</f>
        <v>1</v>
      </c>
      <c r="G1098" s="0" t="str">
        <f aca="false">IF(INDEX(customer_churn_dataset!$M$2:$M$1501,MATCH($A1099,customer_churn_dataset!$A$2:$A$1501,0))=1,"Yes","No")</f>
        <v>No</v>
      </c>
      <c r="H1098" s="0" t="n">
        <f aca="false">INDEX(customer_churn_dataset!$N$2:$N$1501,MATCH($A1099,customer_churn_dataset!$A$2:$A$1501,0))</f>
        <v>226.8</v>
      </c>
      <c r="I1098" s="0" t="n">
        <f aca="false">INDEX(customer_churn_dataset!$O$2:$O$1501,MATCH($A1099,customer_churn_dataset!$A$2:$A$1501,0))</f>
        <v>0</v>
      </c>
      <c r="J1098" s="0" t="n">
        <f aca="false">INDEX(customer_churn_dataset!$T$2:$T$1501,MATCH($A1099,customer_churn_dataset!$A$2:$A$1501,0))</f>
        <v>2</v>
      </c>
      <c r="K1098" s="0" t="str">
        <f aca="false">INDEX(customer_churn_dataset!$V$2:$V$1501,MATCH($A1099,customer_churn_dataset!$A$2:$A$1501,0))</f>
        <v>Low Risk</v>
      </c>
    </row>
    <row r="1099" customFormat="false" ht="12.8" hidden="true" customHeight="false" outlineLevel="0" collapsed="false">
      <c r="A1099" s="22" t="str">
        <f aca="false">customer_churn_dataset!A922</f>
        <v>CUST100870</v>
      </c>
      <c r="B1099" s="22" t="str">
        <f aca="false">customer_churn_dataset!B922</f>
        <v>Basic</v>
      </c>
      <c r="C1099" s="22" t="str">
        <f aca="false">customer_churn_dataset!C922</f>
        <v>Month-to-month</v>
      </c>
      <c r="D1099" s="0" t="n">
        <f aca="false">INDEX(customer_churn_dataset!$E$2:$E$1501,MATCH($A1100,customer_churn_dataset!$A$2:$A$1501,0))</f>
        <v>42</v>
      </c>
      <c r="E1099" s="0" t="n">
        <f aca="false">INDEX(customer_churn_dataset!$I$2:$I$1501,MATCH($A1100,customer_churn_dataset!$A$2:$A$1501,0))</f>
        <v>73.3</v>
      </c>
      <c r="F1099" s="0" t="n">
        <f aca="false">INDEX(customer_churn_dataset!$L$2:$L$1501,MATCH($A1100,customer_churn_dataset!$A$2:$A$1501,0))</f>
        <v>2</v>
      </c>
      <c r="G1099" s="0" t="str">
        <f aca="false">IF(INDEX(customer_churn_dataset!$M$2:$M$1501,MATCH($A1100,customer_churn_dataset!$A$2:$A$1501,0))=1,"Yes","No")</f>
        <v>No</v>
      </c>
      <c r="H1099" s="0" t="n">
        <f aca="false">INDEX(customer_churn_dataset!$N$2:$N$1501,MATCH($A1100,customer_churn_dataset!$A$2:$A$1501,0))</f>
        <v>737.94</v>
      </c>
      <c r="I1099" s="0" t="n">
        <f aca="false">INDEX(customer_churn_dataset!$O$2:$O$1501,MATCH($A1100,customer_churn_dataset!$A$2:$A$1501,0))</f>
        <v>0</v>
      </c>
      <c r="J1099" s="0" t="n">
        <f aca="false">INDEX(customer_churn_dataset!$T$2:$T$1501,MATCH($A1100,customer_churn_dataset!$A$2:$A$1501,0))</f>
        <v>3</v>
      </c>
      <c r="K1099" s="0" t="str">
        <f aca="false">INDEX(customer_churn_dataset!$V$2:$V$1501,MATCH($A1100,customer_churn_dataset!$A$2:$A$1501,0))</f>
        <v>Medium Risk</v>
      </c>
    </row>
    <row r="1100" customFormat="false" ht="12.8" hidden="false" customHeight="false" outlineLevel="0" collapsed="false">
      <c r="A1100" s="23" t="str">
        <f aca="false">customer_churn_dataset!A930</f>
        <v>CUST100402</v>
      </c>
      <c r="B1100" s="24" t="str">
        <f aca="false">customer_churn_dataset!B930</f>
        <v>Standard</v>
      </c>
      <c r="C1100" s="24" t="str">
        <f aca="false">customer_churn_dataset!C930</f>
        <v>Month-to-month</v>
      </c>
      <c r="D1100" s="25" t="n">
        <f aca="false">INDEX(customer_churn_dataset!$E$2:$E$1501,MATCH($A1101,customer_churn_dataset!$A$2:$A$1501,0))</f>
        <v>27</v>
      </c>
      <c r="E1100" s="25" t="n">
        <f aca="false">INDEX(customer_churn_dataset!$I$2:$I$1501,MATCH($A1101,customer_churn_dataset!$A$2:$A$1501,0))</f>
        <v>24.1</v>
      </c>
      <c r="F1100" s="25" t="n">
        <f aca="false">INDEX(customer_churn_dataset!$L$2:$L$1501,MATCH($A1101,customer_churn_dataset!$A$2:$A$1501,0))</f>
        <v>2</v>
      </c>
      <c r="G1100" s="25" t="str">
        <f aca="false">IF(INDEX(customer_churn_dataset!$M$2:$M$1501,MATCH($A1101,customer_churn_dataset!$A$2:$A$1501,0))=1,"Yes","No")</f>
        <v>Yes</v>
      </c>
      <c r="H1100" s="25" t="n">
        <f aca="false">INDEX(customer_churn_dataset!$N$2:$N$1501,MATCH($A1101,customer_churn_dataset!$A$2:$A$1501,0))</f>
        <v>531.36</v>
      </c>
      <c r="I1100" s="25" t="n">
        <f aca="false">INDEX(customer_churn_dataset!$O$2:$O$1501,MATCH($A1101,customer_churn_dataset!$A$2:$A$1501,0))</f>
        <v>1</v>
      </c>
      <c r="J1100" s="25" t="n">
        <f aca="false">INDEX(customer_churn_dataset!$T$2:$T$1501,MATCH($A1101,customer_churn_dataset!$A$2:$A$1501,0))</f>
        <v>8</v>
      </c>
      <c r="K1100" s="25" t="str">
        <f aca="false">INDEX(customer_churn_dataset!$V$2:$V$1501,MATCH($A1101,customer_churn_dataset!$A$2:$A$1501,0))</f>
        <v>High Risk</v>
      </c>
    </row>
    <row r="1101" customFormat="false" ht="12.8" hidden="true" customHeight="false" outlineLevel="0" collapsed="false">
      <c r="A1101" s="22" t="str">
        <f aca="false">customer_churn_dataset!A948</f>
        <v>CUST100157</v>
      </c>
      <c r="B1101" s="22" t="str">
        <f aca="false">customer_churn_dataset!B948</f>
        <v>Standard</v>
      </c>
      <c r="C1101" s="22" t="str">
        <f aca="false">customer_churn_dataset!C948</f>
        <v>Month-to-month</v>
      </c>
      <c r="D1101" s="0" t="n">
        <f aca="false">INDEX(customer_churn_dataset!$E$2:$E$1501,MATCH($A1102,customer_churn_dataset!$A$2:$A$1501,0))</f>
        <v>23</v>
      </c>
      <c r="E1101" s="0" t="n">
        <f aca="false">INDEX(customer_churn_dataset!$I$2:$I$1501,MATCH($A1102,customer_churn_dataset!$A$2:$A$1501,0))</f>
        <v>55.6</v>
      </c>
      <c r="F1101" s="0" t="n">
        <f aca="false">INDEX(customer_churn_dataset!$L$2:$L$1501,MATCH($A1102,customer_churn_dataset!$A$2:$A$1501,0))</f>
        <v>1</v>
      </c>
      <c r="G1101" s="0" t="str">
        <f aca="false">IF(INDEX(customer_churn_dataset!$M$2:$M$1501,MATCH($A1102,customer_churn_dataset!$A$2:$A$1501,0))=1,"Yes","No")</f>
        <v>Yes</v>
      </c>
      <c r="H1101" s="0" t="n">
        <f aca="false">INDEX(customer_churn_dataset!$N$2:$N$1501,MATCH($A1102,customer_churn_dataset!$A$2:$A$1501,0))</f>
        <v>208.38</v>
      </c>
      <c r="I1101" s="0" t="n">
        <f aca="false">INDEX(customer_churn_dataset!$O$2:$O$1501,MATCH($A1102,customer_churn_dataset!$A$2:$A$1501,0))</f>
        <v>0</v>
      </c>
      <c r="J1101" s="0" t="n">
        <f aca="false">INDEX(customer_churn_dataset!$T$2:$T$1501,MATCH($A1102,customer_churn_dataset!$A$2:$A$1501,0))</f>
        <v>5</v>
      </c>
      <c r="K1101" s="0" t="str">
        <f aca="false">INDEX(customer_churn_dataset!$V$2:$V$1501,MATCH($A1102,customer_churn_dataset!$A$2:$A$1501,0))</f>
        <v>Medium Risk</v>
      </c>
    </row>
    <row r="1102" customFormat="false" ht="12.8" hidden="true" customHeight="false" outlineLevel="0" collapsed="false">
      <c r="A1102" s="22" t="str">
        <f aca="false">customer_churn_dataset!A952</f>
        <v>CUST101371</v>
      </c>
      <c r="B1102" s="22" t="str">
        <f aca="false">customer_churn_dataset!B952</f>
        <v>Basic</v>
      </c>
      <c r="C1102" s="22" t="str">
        <f aca="false">customer_churn_dataset!C952</f>
        <v>Month-to-month</v>
      </c>
      <c r="D1102" s="0" t="n">
        <f aca="false">INDEX(customer_churn_dataset!$E$2:$E$1501,MATCH($A1103,customer_churn_dataset!$A$2:$A$1501,0))</f>
        <v>33</v>
      </c>
      <c r="E1102" s="0" t="n">
        <f aca="false">INDEX(customer_churn_dataset!$I$2:$I$1501,MATCH($A1103,customer_churn_dataset!$A$2:$A$1501,0))</f>
        <v>92</v>
      </c>
      <c r="F1102" s="0" t="n">
        <f aca="false">INDEX(customer_churn_dataset!$L$2:$L$1501,MATCH($A1103,customer_churn_dataset!$A$2:$A$1501,0))</f>
        <v>0</v>
      </c>
      <c r="G1102" s="0" t="str">
        <f aca="false">IF(INDEX(customer_churn_dataset!$M$2:$M$1501,MATCH($A1103,customer_churn_dataset!$A$2:$A$1501,0))=1,"Yes","No")</f>
        <v>No</v>
      </c>
      <c r="H1102" s="0" t="n">
        <f aca="false">INDEX(customer_churn_dataset!$N$2:$N$1501,MATCH($A1103,customer_churn_dataset!$A$2:$A$1501,0))</f>
        <v>357.72</v>
      </c>
      <c r="I1102" s="0" t="n">
        <f aca="false">INDEX(customer_churn_dataset!$O$2:$O$1501,MATCH($A1103,customer_churn_dataset!$A$2:$A$1501,0))</f>
        <v>0</v>
      </c>
      <c r="J1102" s="0" t="n">
        <f aca="false">INDEX(customer_churn_dataset!$T$2:$T$1501,MATCH($A1103,customer_churn_dataset!$A$2:$A$1501,0))</f>
        <v>2</v>
      </c>
      <c r="K1102" s="0" t="str">
        <f aca="false">INDEX(customer_churn_dataset!$V$2:$V$1501,MATCH($A1103,customer_churn_dataset!$A$2:$A$1501,0))</f>
        <v>Low Risk</v>
      </c>
    </row>
    <row r="1103" customFormat="false" ht="12.8" hidden="true" customHeight="false" outlineLevel="0" collapsed="false">
      <c r="A1103" s="22" t="str">
        <f aca="false">customer_churn_dataset!A954</f>
        <v>CUST101434</v>
      </c>
      <c r="B1103" s="22" t="str">
        <f aca="false">customer_churn_dataset!B954</f>
        <v>Basic</v>
      </c>
      <c r="C1103" s="22" t="str">
        <f aca="false">customer_churn_dataset!C954</f>
        <v>Month-to-month</v>
      </c>
      <c r="D1103" s="0" t="n">
        <f aca="false">INDEX(customer_churn_dataset!$E$2:$E$1501,MATCH($A1104,customer_churn_dataset!$A$2:$A$1501,0))</f>
        <v>22</v>
      </c>
      <c r="E1103" s="0" t="n">
        <f aca="false">INDEX(customer_churn_dataset!$I$2:$I$1501,MATCH($A1104,customer_churn_dataset!$A$2:$A$1501,0))</f>
        <v>20.5</v>
      </c>
      <c r="F1103" s="0" t="n">
        <f aca="false">INDEX(customer_churn_dataset!$L$2:$L$1501,MATCH($A1104,customer_churn_dataset!$A$2:$A$1501,0))</f>
        <v>0</v>
      </c>
      <c r="G1103" s="0" t="str">
        <f aca="false">IF(INDEX(customer_churn_dataset!$M$2:$M$1501,MATCH($A1104,customer_churn_dataset!$A$2:$A$1501,0))=1,"Yes","No")</f>
        <v>No</v>
      </c>
      <c r="H1103" s="0" t="n">
        <f aca="false">INDEX(customer_churn_dataset!$N$2:$N$1501,MATCH($A1104,customer_churn_dataset!$A$2:$A$1501,0))</f>
        <v>459.58</v>
      </c>
      <c r="I1103" s="0" t="n">
        <f aca="false">INDEX(customer_churn_dataset!$O$2:$O$1501,MATCH($A1104,customer_churn_dataset!$A$2:$A$1501,0))</f>
        <v>0</v>
      </c>
      <c r="J1103" s="0" t="n">
        <f aca="false">INDEX(customer_churn_dataset!$T$2:$T$1501,MATCH($A1104,customer_churn_dataset!$A$2:$A$1501,0))</f>
        <v>4</v>
      </c>
      <c r="K1103" s="0" t="str">
        <f aca="false">INDEX(customer_churn_dataset!$V$2:$V$1501,MATCH($A1104,customer_churn_dataset!$A$2:$A$1501,0))</f>
        <v>Medium Risk</v>
      </c>
    </row>
    <row r="1104" customFormat="false" ht="12.8" hidden="true" customHeight="false" outlineLevel="0" collapsed="false">
      <c r="A1104" s="22" t="str">
        <f aca="false">customer_churn_dataset!A960</f>
        <v>CUST100653</v>
      </c>
      <c r="B1104" s="22" t="str">
        <f aca="false">customer_churn_dataset!B960</f>
        <v>Standard</v>
      </c>
      <c r="C1104" s="22" t="str">
        <f aca="false">customer_churn_dataset!C960</f>
        <v>Month-to-month</v>
      </c>
      <c r="D1104" s="0" t="n">
        <f aca="false">INDEX(customer_churn_dataset!$E$2:$E$1501,MATCH($A1105,customer_churn_dataset!$A$2:$A$1501,0))</f>
        <v>29</v>
      </c>
      <c r="E1104" s="0" t="n">
        <f aca="false">INDEX(customer_churn_dataset!$I$2:$I$1501,MATCH($A1105,customer_churn_dataset!$A$2:$A$1501,0))</f>
        <v>23.9</v>
      </c>
      <c r="F1104" s="0" t="n">
        <f aca="false">INDEX(customer_churn_dataset!$L$2:$L$1501,MATCH($A1105,customer_churn_dataset!$A$2:$A$1501,0))</f>
        <v>2</v>
      </c>
      <c r="G1104" s="0" t="str">
        <f aca="false">IF(INDEX(customer_churn_dataset!$M$2:$M$1501,MATCH($A1105,customer_churn_dataset!$A$2:$A$1501,0))=1,"Yes","No")</f>
        <v>Yes</v>
      </c>
      <c r="H1104" s="0" t="n">
        <f aca="false">INDEX(customer_churn_dataset!$N$2:$N$1501,MATCH($A1105,customer_churn_dataset!$A$2:$A$1501,0))</f>
        <v>319.87</v>
      </c>
      <c r="I1104" s="0" t="n">
        <f aca="false">INDEX(customer_churn_dataset!$O$2:$O$1501,MATCH($A1105,customer_churn_dataset!$A$2:$A$1501,0))</f>
        <v>0</v>
      </c>
      <c r="J1104" s="0" t="n">
        <f aca="false">INDEX(customer_churn_dataset!$T$2:$T$1501,MATCH($A1105,customer_churn_dataset!$A$2:$A$1501,0))</f>
        <v>7</v>
      </c>
      <c r="K1104" s="0" t="str">
        <f aca="false">INDEX(customer_churn_dataset!$V$2:$V$1501,MATCH($A1105,customer_churn_dataset!$A$2:$A$1501,0))</f>
        <v>High Risk</v>
      </c>
    </row>
    <row r="1105" customFormat="false" ht="12.8" hidden="true" customHeight="false" outlineLevel="0" collapsed="false">
      <c r="A1105" s="22" t="str">
        <f aca="false">customer_churn_dataset!A967</f>
        <v>CUST101229</v>
      </c>
      <c r="B1105" s="22" t="str">
        <f aca="false">customer_churn_dataset!B967</f>
        <v>Basic</v>
      </c>
      <c r="C1105" s="22" t="str">
        <f aca="false">customer_churn_dataset!C967</f>
        <v>One year</v>
      </c>
      <c r="D1105" s="0" t="n">
        <f aca="false">INDEX(customer_churn_dataset!$E$2:$E$1501,MATCH($A1106,customer_churn_dataset!$A$2:$A$1501,0))</f>
        <v>28</v>
      </c>
      <c r="E1105" s="0" t="n">
        <f aca="false">INDEX(customer_churn_dataset!$I$2:$I$1501,MATCH($A1106,customer_churn_dataset!$A$2:$A$1501,0))</f>
        <v>47.2</v>
      </c>
      <c r="F1105" s="0" t="n">
        <f aca="false">INDEX(customer_churn_dataset!$L$2:$L$1501,MATCH($A1106,customer_churn_dataset!$A$2:$A$1501,0))</f>
        <v>0</v>
      </c>
      <c r="G1105" s="0" t="str">
        <f aca="false">IF(INDEX(customer_churn_dataset!$M$2:$M$1501,MATCH($A1106,customer_churn_dataset!$A$2:$A$1501,0))=1,"Yes","No")</f>
        <v>No</v>
      </c>
      <c r="H1105" s="0" t="n">
        <f aca="false">INDEX(customer_churn_dataset!$N$2:$N$1501,MATCH($A1106,customer_churn_dataset!$A$2:$A$1501,0))</f>
        <v>1103.48</v>
      </c>
      <c r="I1105" s="0" t="n">
        <f aca="false">INDEX(customer_churn_dataset!$O$2:$O$1501,MATCH($A1106,customer_churn_dataset!$A$2:$A$1501,0))</f>
        <v>0</v>
      </c>
      <c r="J1105" s="0" t="n">
        <f aca="false">INDEX(customer_churn_dataset!$T$2:$T$1501,MATCH($A1106,customer_churn_dataset!$A$2:$A$1501,0))</f>
        <v>1</v>
      </c>
      <c r="K1105" s="0" t="str">
        <f aca="false">INDEX(customer_churn_dataset!$V$2:$V$1501,MATCH($A1106,customer_churn_dataset!$A$2:$A$1501,0))</f>
        <v>Low Risk</v>
      </c>
    </row>
    <row r="1106" customFormat="false" ht="12.8" hidden="true" customHeight="false" outlineLevel="0" collapsed="false">
      <c r="A1106" s="22" t="str">
        <f aca="false">customer_churn_dataset!A969</f>
        <v>CUST100905</v>
      </c>
      <c r="B1106" s="22" t="str">
        <f aca="false">customer_churn_dataset!B969</f>
        <v>Premium</v>
      </c>
      <c r="C1106" s="22" t="str">
        <f aca="false">customer_churn_dataset!C969</f>
        <v>Two year</v>
      </c>
      <c r="D1106" s="0" t="n">
        <f aca="false">INDEX(customer_churn_dataset!$E$2:$E$1501,MATCH($A1107,customer_churn_dataset!$A$2:$A$1501,0))</f>
        <v>72</v>
      </c>
      <c r="E1106" s="0" t="n">
        <f aca="false">INDEX(customer_churn_dataset!$I$2:$I$1501,MATCH($A1107,customer_churn_dataset!$A$2:$A$1501,0))</f>
        <v>65.2</v>
      </c>
      <c r="F1106" s="0" t="n">
        <f aca="false">INDEX(customer_churn_dataset!$L$2:$L$1501,MATCH($A1107,customer_churn_dataset!$A$2:$A$1501,0))</f>
        <v>2</v>
      </c>
      <c r="G1106" s="0" t="str">
        <f aca="false">IF(INDEX(customer_churn_dataset!$M$2:$M$1501,MATCH($A1107,customer_churn_dataset!$A$2:$A$1501,0))=1,"Yes","No")</f>
        <v>No</v>
      </c>
      <c r="H1106" s="0" t="n">
        <f aca="false">INDEX(customer_churn_dataset!$N$2:$N$1501,MATCH($A1107,customer_churn_dataset!$A$2:$A$1501,0))</f>
        <v>3018.96</v>
      </c>
      <c r="I1106" s="0" t="n">
        <f aca="false">INDEX(customer_churn_dataset!$O$2:$O$1501,MATCH($A1107,customer_churn_dataset!$A$2:$A$1501,0))</f>
        <v>0</v>
      </c>
      <c r="J1106" s="0" t="n">
        <f aca="false">INDEX(customer_churn_dataset!$T$2:$T$1501,MATCH($A1107,customer_churn_dataset!$A$2:$A$1501,0))</f>
        <v>3</v>
      </c>
      <c r="K1106" s="0" t="str">
        <f aca="false">INDEX(customer_churn_dataset!$V$2:$V$1501,MATCH($A1107,customer_churn_dataset!$A$2:$A$1501,0))</f>
        <v>Medium Risk</v>
      </c>
    </row>
    <row r="1107" customFormat="false" ht="12.8" hidden="true" customHeight="false" outlineLevel="0" collapsed="false">
      <c r="A1107" s="22" t="str">
        <f aca="false">customer_churn_dataset!A972</f>
        <v>CUST100535</v>
      </c>
      <c r="B1107" s="22" t="str">
        <f aca="false">customer_churn_dataset!B972</f>
        <v>Premium</v>
      </c>
      <c r="C1107" s="22" t="str">
        <f aca="false">customer_churn_dataset!C972</f>
        <v>Month-to-month</v>
      </c>
      <c r="D1107" s="0" t="n">
        <f aca="false">INDEX(customer_churn_dataset!$E$2:$E$1501,MATCH($A1108,customer_churn_dataset!$A$2:$A$1501,0))</f>
        <v>30</v>
      </c>
      <c r="E1107" s="0" t="n">
        <f aca="false">INDEX(customer_churn_dataset!$I$2:$I$1501,MATCH($A1108,customer_churn_dataset!$A$2:$A$1501,0))</f>
        <v>0.9</v>
      </c>
      <c r="F1107" s="0" t="n">
        <f aca="false">INDEX(customer_churn_dataset!$L$2:$L$1501,MATCH($A1108,customer_churn_dataset!$A$2:$A$1501,0))</f>
        <v>0</v>
      </c>
      <c r="G1107" s="0" t="str">
        <f aca="false">IF(INDEX(customer_churn_dataset!$M$2:$M$1501,MATCH($A1108,customer_churn_dataset!$A$2:$A$1501,0))=1,"Yes","No")</f>
        <v>No</v>
      </c>
      <c r="H1107" s="0" t="n">
        <f aca="false">INDEX(customer_churn_dataset!$N$2:$N$1501,MATCH($A1108,customer_churn_dataset!$A$2:$A$1501,0))</f>
        <v>273</v>
      </c>
      <c r="I1107" s="0" t="n">
        <f aca="false">INDEX(customer_churn_dataset!$O$2:$O$1501,MATCH($A1108,customer_churn_dataset!$A$2:$A$1501,0))</f>
        <v>0</v>
      </c>
      <c r="J1107" s="0" t="n">
        <f aca="false">INDEX(customer_churn_dataset!$T$2:$T$1501,MATCH($A1108,customer_churn_dataset!$A$2:$A$1501,0))</f>
        <v>3</v>
      </c>
      <c r="K1107" s="0" t="str">
        <f aca="false">INDEX(customer_churn_dataset!$V$2:$V$1501,MATCH($A1108,customer_churn_dataset!$A$2:$A$1501,0))</f>
        <v>Medium Risk</v>
      </c>
    </row>
    <row r="1108" customFormat="false" ht="12.8" hidden="true" customHeight="false" outlineLevel="0" collapsed="false">
      <c r="A1108" s="22" t="str">
        <f aca="false">customer_churn_dataset!A986</f>
        <v>CUST100318</v>
      </c>
      <c r="B1108" s="22" t="str">
        <f aca="false">customer_churn_dataset!B986</f>
        <v>Basic</v>
      </c>
      <c r="C1108" s="22" t="str">
        <f aca="false">customer_churn_dataset!C986</f>
        <v>One year</v>
      </c>
      <c r="D1108" s="0" t="n">
        <f aca="false">INDEX(customer_churn_dataset!$E$2:$E$1501,MATCH($A1109,customer_churn_dataset!$A$2:$A$1501,0))</f>
        <v>3</v>
      </c>
      <c r="E1108" s="0" t="n">
        <f aca="false">INDEX(customer_churn_dataset!$I$2:$I$1501,MATCH($A1109,customer_churn_dataset!$A$2:$A$1501,0))</f>
        <v>75.6</v>
      </c>
      <c r="F1108" s="0" t="n">
        <f aca="false">INDEX(customer_churn_dataset!$L$2:$L$1501,MATCH($A1109,customer_churn_dataset!$A$2:$A$1501,0))</f>
        <v>1</v>
      </c>
      <c r="G1108" s="0" t="str">
        <f aca="false">IF(INDEX(customer_churn_dataset!$M$2:$M$1501,MATCH($A1109,customer_churn_dataset!$A$2:$A$1501,0))=1,"Yes","No")</f>
        <v>Yes</v>
      </c>
      <c r="H1108" s="0" t="n">
        <f aca="false">INDEX(customer_churn_dataset!$N$2:$N$1501,MATCH($A1109,customer_churn_dataset!$A$2:$A$1501,0))</f>
        <v>31.29</v>
      </c>
      <c r="I1108" s="0" t="n">
        <f aca="false">INDEX(customer_churn_dataset!$O$2:$O$1501,MATCH($A1109,customer_churn_dataset!$A$2:$A$1501,0))</f>
        <v>0</v>
      </c>
      <c r="J1108" s="0" t="n">
        <f aca="false">INDEX(customer_churn_dataset!$T$2:$T$1501,MATCH($A1109,customer_churn_dataset!$A$2:$A$1501,0))</f>
        <v>6</v>
      </c>
      <c r="K1108" s="0" t="str">
        <f aca="false">INDEX(customer_churn_dataset!$V$2:$V$1501,MATCH($A1109,customer_churn_dataset!$A$2:$A$1501,0))</f>
        <v>High Risk</v>
      </c>
    </row>
    <row r="1109" customFormat="false" ht="12.8" hidden="true" customHeight="false" outlineLevel="0" collapsed="false">
      <c r="A1109" s="22" t="str">
        <f aca="false">customer_churn_dataset!A992</f>
        <v>CUST100665</v>
      </c>
      <c r="B1109" s="22" t="str">
        <f aca="false">customer_churn_dataset!B992</f>
        <v>Basic</v>
      </c>
      <c r="C1109" s="22" t="str">
        <f aca="false">customer_churn_dataset!C992</f>
        <v>Month-to-month</v>
      </c>
      <c r="D1109" s="0" t="n">
        <f aca="false">INDEX(customer_churn_dataset!$E$2:$E$1501,MATCH($A1110,customer_churn_dataset!$A$2:$A$1501,0))</f>
        <v>22</v>
      </c>
      <c r="E1109" s="0" t="n">
        <f aca="false">INDEX(customer_churn_dataset!$I$2:$I$1501,MATCH($A1110,customer_churn_dataset!$A$2:$A$1501,0))</f>
        <v>37.8</v>
      </c>
      <c r="F1109" s="0" t="n">
        <f aca="false">INDEX(customer_churn_dataset!$L$2:$L$1501,MATCH($A1110,customer_churn_dataset!$A$2:$A$1501,0))</f>
        <v>3</v>
      </c>
      <c r="G1109" s="0" t="str">
        <f aca="false">IF(INDEX(customer_churn_dataset!$M$2:$M$1501,MATCH($A1110,customer_churn_dataset!$A$2:$A$1501,0))=1,"Yes","No")</f>
        <v>Yes</v>
      </c>
      <c r="H1109" s="0" t="n">
        <f aca="false">INDEX(customer_churn_dataset!$N$2:$N$1501,MATCH($A1110,customer_churn_dataset!$A$2:$A$1501,0))</f>
        <v>195.8</v>
      </c>
      <c r="I1109" s="0" t="n">
        <f aca="false">INDEX(customer_churn_dataset!$O$2:$O$1501,MATCH($A1110,customer_churn_dataset!$A$2:$A$1501,0))</f>
        <v>0</v>
      </c>
      <c r="J1109" s="0" t="n">
        <f aca="false">INDEX(customer_churn_dataset!$T$2:$T$1501,MATCH($A1110,customer_churn_dataset!$A$2:$A$1501,0))</f>
        <v>7</v>
      </c>
      <c r="K1109" s="0" t="str">
        <f aca="false">INDEX(customer_churn_dataset!$V$2:$V$1501,MATCH($A1110,customer_churn_dataset!$A$2:$A$1501,0))</f>
        <v>High Risk</v>
      </c>
    </row>
    <row r="1110" customFormat="false" ht="12.8" hidden="true" customHeight="false" outlineLevel="0" collapsed="false">
      <c r="A1110" s="22" t="str">
        <f aca="false">customer_churn_dataset!A1005</f>
        <v>CUST100708</v>
      </c>
      <c r="B1110" s="22" t="str">
        <f aca="false">customer_churn_dataset!B1005</f>
        <v>Basic</v>
      </c>
      <c r="C1110" s="22" t="str">
        <f aca="false">customer_churn_dataset!C1005</f>
        <v>One year</v>
      </c>
      <c r="D1110" s="0" t="n">
        <f aca="false">INDEX(customer_churn_dataset!$E$2:$E$1501,MATCH($A1111,customer_churn_dataset!$A$2:$A$1501,0))</f>
        <v>12</v>
      </c>
      <c r="E1110" s="0" t="n">
        <f aca="false">INDEX(customer_churn_dataset!$I$2:$I$1501,MATCH($A1111,customer_churn_dataset!$A$2:$A$1501,0))</f>
        <v>50.3</v>
      </c>
      <c r="F1110" s="0" t="n">
        <f aca="false">INDEX(customer_churn_dataset!$L$2:$L$1501,MATCH($A1111,customer_churn_dataset!$A$2:$A$1501,0))</f>
        <v>1</v>
      </c>
      <c r="G1110" s="0" t="str">
        <f aca="false">IF(INDEX(customer_churn_dataset!$M$2:$M$1501,MATCH($A1111,customer_churn_dataset!$A$2:$A$1501,0))=1,"Yes","No")</f>
        <v>No</v>
      </c>
      <c r="H1110" s="0" t="n">
        <f aca="false">INDEX(customer_churn_dataset!$N$2:$N$1501,MATCH($A1111,customer_churn_dataset!$A$2:$A$1501,0))</f>
        <v>104.16</v>
      </c>
      <c r="I1110" s="0" t="n">
        <f aca="false">INDEX(customer_churn_dataset!$O$2:$O$1501,MATCH($A1111,customer_churn_dataset!$A$2:$A$1501,0))</f>
        <v>0</v>
      </c>
      <c r="J1110" s="0" t="n">
        <f aca="false">INDEX(customer_churn_dataset!$T$2:$T$1501,MATCH($A1111,customer_churn_dataset!$A$2:$A$1501,0))</f>
        <v>3</v>
      </c>
      <c r="K1110" s="0" t="str">
        <f aca="false">INDEX(customer_churn_dataset!$V$2:$V$1501,MATCH($A1111,customer_churn_dataset!$A$2:$A$1501,0))</f>
        <v>Medium Risk</v>
      </c>
    </row>
    <row r="1111" customFormat="false" ht="12.8" hidden="true" customHeight="false" outlineLevel="0" collapsed="false">
      <c r="A1111" s="22" t="str">
        <f aca="false">customer_churn_dataset!A1010</f>
        <v>CUST100155</v>
      </c>
      <c r="B1111" s="22" t="str">
        <f aca="false">customer_churn_dataset!B1010</f>
        <v>Basic</v>
      </c>
      <c r="C1111" s="22" t="str">
        <f aca="false">customer_churn_dataset!C1010</f>
        <v>Month-to-month</v>
      </c>
      <c r="D1111" s="0" t="n">
        <f aca="false">INDEX(customer_churn_dataset!$E$2:$E$1501,MATCH($A1112,customer_churn_dataset!$A$2:$A$1501,0))</f>
        <v>21</v>
      </c>
      <c r="E1111" s="0" t="n">
        <f aca="false">INDEX(customer_churn_dataset!$I$2:$I$1501,MATCH($A1112,customer_churn_dataset!$A$2:$A$1501,0))</f>
        <v>49.8</v>
      </c>
      <c r="F1111" s="0" t="n">
        <f aca="false">INDEX(customer_churn_dataset!$L$2:$L$1501,MATCH($A1112,customer_churn_dataset!$A$2:$A$1501,0))</f>
        <v>0</v>
      </c>
      <c r="G1111" s="0" t="str">
        <f aca="false">IF(INDEX(customer_churn_dataset!$M$2:$M$1501,MATCH($A1112,customer_churn_dataset!$A$2:$A$1501,0))=1,"Yes","No")</f>
        <v>No</v>
      </c>
      <c r="H1111" s="0" t="n">
        <f aca="false">INDEX(customer_churn_dataset!$N$2:$N$1501,MATCH($A1112,customer_churn_dataset!$A$2:$A$1501,0))</f>
        <v>451.92</v>
      </c>
      <c r="I1111" s="0" t="n">
        <f aca="false">INDEX(customer_churn_dataset!$O$2:$O$1501,MATCH($A1112,customer_churn_dataset!$A$2:$A$1501,0))</f>
        <v>1</v>
      </c>
      <c r="J1111" s="0" t="n">
        <f aca="false">INDEX(customer_churn_dataset!$T$2:$T$1501,MATCH($A1112,customer_churn_dataset!$A$2:$A$1501,0))</f>
        <v>3</v>
      </c>
      <c r="K1111" s="0" t="str">
        <f aca="false">INDEX(customer_churn_dataset!$V$2:$V$1501,MATCH($A1112,customer_churn_dataset!$A$2:$A$1501,0))</f>
        <v>Medium Risk</v>
      </c>
    </row>
    <row r="1112" customFormat="false" ht="12.8" hidden="true" customHeight="false" outlineLevel="0" collapsed="false">
      <c r="A1112" s="22" t="str">
        <f aca="false">customer_churn_dataset!A1013</f>
        <v>CUST100170</v>
      </c>
      <c r="B1112" s="22" t="str">
        <f aca="false">customer_churn_dataset!B1013</f>
        <v>Standard</v>
      </c>
      <c r="C1112" s="22" t="str">
        <f aca="false">customer_churn_dataset!C1013</f>
        <v>Month-to-month</v>
      </c>
      <c r="D1112" s="0" t="n">
        <f aca="false">INDEX(customer_churn_dataset!$E$2:$E$1501,MATCH($A1113,customer_churn_dataset!$A$2:$A$1501,0))</f>
        <v>54</v>
      </c>
      <c r="E1112" s="0" t="n">
        <f aca="false">INDEX(customer_churn_dataset!$I$2:$I$1501,MATCH($A1113,customer_churn_dataset!$A$2:$A$1501,0))</f>
        <v>9.5</v>
      </c>
      <c r="F1112" s="0" t="n">
        <f aca="false">INDEX(customer_churn_dataset!$L$2:$L$1501,MATCH($A1113,customer_churn_dataset!$A$2:$A$1501,0))</f>
        <v>1</v>
      </c>
      <c r="G1112" s="0" t="str">
        <f aca="false">IF(INDEX(customer_churn_dataset!$M$2:$M$1501,MATCH($A1113,customer_churn_dataset!$A$2:$A$1501,0))=1,"Yes","No")</f>
        <v>No</v>
      </c>
      <c r="H1112" s="0" t="n">
        <f aca="false">INDEX(customer_churn_dataset!$N$2:$N$1501,MATCH($A1113,customer_churn_dataset!$A$2:$A$1501,0))</f>
        <v>520.02</v>
      </c>
      <c r="I1112" s="0" t="n">
        <f aca="false">INDEX(customer_churn_dataset!$O$2:$O$1501,MATCH($A1113,customer_churn_dataset!$A$2:$A$1501,0))</f>
        <v>1</v>
      </c>
      <c r="J1112" s="0" t="n">
        <f aca="false">INDEX(customer_churn_dataset!$T$2:$T$1501,MATCH($A1113,customer_churn_dataset!$A$2:$A$1501,0))</f>
        <v>4</v>
      </c>
      <c r="K1112" s="0" t="str">
        <f aca="false">INDEX(customer_churn_dataset!$V$2:$V$1501,MATCH($A1113,customer_churn_dataset!$A$2:$A$1501,0))</f>
        <v>Medium Risk</v>
      </c>
    </row>
    <row r="1113" customFormat="false" ht="12.8" hidden="true" customHeight="false" outlineLevel="0" collapsed="false">
      <c r="A1113" s="22" t="str">
        <f aca="false">customer_churn_dataset!A1017</f>
        <v>CUST101021</v>
      </c>
      <c r="B1113" s="22" t="str">
        <f aca="false">customer_churn_dataset!B1017</f>
        <v>Basic</v>
      </c>
      <c r="C1113" s="22" t="str">
        <f aca="false">customer_churn_dataset!C1017</f>
        <v>Month-to-month</v>
      </c>
      <c r="D1113" s="0" t="n">
        <f aca="false">INDEX(customer_churn_dataset!$E$2:$E$1501,MATCH($A1114,customer_churn_dataset!$A$2:$A$1501,0))</f>
        <v>8</v>
      </c>
      <c r="E1113" s="0" t="n">
        <f aca="false">INDEX(customer_churn_dataset!$I$2:$I$1501,MATCH($A1114,customer_churn_dataset!$A$2:$A$1501,0))</f>
        <v>78.8</v>
      </c>
      <c r="F1113" s="0" t="n">
        <f aca="false">INDEX(customer_churn_dataset!$L$2:$L$1501,MATCH($A1114,customer_churn_dataset!$A$2:$A$1501,0))</f>
        <v>2</v>
      </c>
      <c r="G1113" s="0" t="str">
        <f aca="false">IF(INDEX(customer_churn_dataset!$M$2:$M$1501,MATCH($A1114,customer_churn_dataset!$A$2:$A$1501,0))=1,"Yes","No")</f>
        <v>No</v>
      </c>
      <c r="H1113" s="0" t="n">
        <f aca="false">INDEX(customer_churn_dataset!$N$2:$N$1501,MATCH($A1114,customer_churn_dataset!$A$2:$A$1501,0))</f>
        <v>77.52</v>
      </c>
      <c r="I1113" s="0" t="n">
        <f aca="false">INDEX(customer_churn_dataset!$O$2:$O$1501,MATCH($A1114,customer_churn_dataset!$A$2:$A$1501,0))</f>
        <v>0</v>
      </c>
      <c r="J1113" s="0" t="n">
        <f aca="false">INDEX(customer_churn_dataset!$T$2:$T$1501,MATCH($A1114,customer_churn_dataset!$A$2:$A$1501,0))</f>
        <v>4</v>
      </c>
      <c r="K1113" s="0" t="str">
        <f aca="false">INDEX(customer_churn_dataset!$V$2:$V$1501,MATCH($A1114,customer_churn_dataset!$A$2:$A$1501,0))</f>
        <v>Medium Risk</v>
      </c>
    </row>
    <row r="1114" customFormat="false" ht="12.8" hidden="true" customHeight="false" outlineLevel="0" collapsed="false">
      <c r="A1114" s="22" t="str">
        <f aca="false">customer_churn_dataset!A1030</f>
        <v>CUST100893</v>
      </c>
      <c r="B1114" s="22" t="str">
        <f aca="false">customer_churn_dataset!B1030</f>
        <v>Basic</v>
      </c>
      <c r="C1114" s="22" t="str">
        <f aca="false">customer_churn_dataset!C1030</f>
        <v>Month-to-month</v>
      </c>
      <c r="D1114" s="0" t="n">
        <f aca="false">INDEX(customer_churn_dataset!$E$2:$E$1501,MATCH($A1115,customer_churn_dataset!$A$2:$A$1501,0))</f>
        <v>30</v>
      </c>
      <c r="E1114" s="0" t="n">
        <f aca="false">INDEX(customer_churn_dataset!$I$2:$I$1501,MATCH($A1115,customer_churn_dataset!$A$2:$A$1501,0))</f>
        <v>48.7</v>
      </c>
      <c r="F1114" s="0" t="n">
        <f aca="false">INDEX(customer_churn_dataset!$L$2:$L$1501,MATCH($A1115,customer_churn_dataset!$A$2:$A$1501,0))</f>
        <v>1</v>
      </c>
      <c r="G1114" s="0" t="str">
        <f aca="false">IF(INDEX(customer_churn_dataset!$M$2:$M$1501,MATCH($A1115,customer_churn_dataset!$A$2:$A$1501,0))=1,"Yes","No")</f>
        <v>No</v>
      </c>
      <c r="H1114" s="0" t="n">
        <f aca="false">INDEX(customer_churn_dataset!$N$2:$N$1501,MATCH($A1115,customer_churn_dataset!$A$2:$A$1501,0))</f>
        <v>552.9</v>
      </c>
      <c r="I1114" s="0" t="n">
        <f aca="false">INDEX(customer_churn_dataset!$O$2:$O$1501,MATCH($A1115,customer_churn_dataset!$A$2:$A$1501,0))</f>
        <v>0</v>
      </c>
      <c r="J1114" s="0" t="n">
        <f aca="false">INDEX(customer_churn_dataset!$T$2:$T$1501,MATCH($A1115,customer_churn_dataset!$A$2:$A$1501,0))</f>
        <v>3</v>
      </c>
      <c r="K1114" s="0" t="str">
        <f aca="false">INDEX(customer_churn_dataset!$V$2:$V$1501,MATCH($A1115,customer_churn_dataset!$A$2:$A$1501,0))</f>
        <v>Medium Risk</v>
      </c>
    </row>
    <row r="1115" customFormat="false" ht="12.8" hidden="true" customHeight="false" outlineLevel="0" collapsed="false">
      <c r="A1115" s="22" t="str">
        <f aca="false">customer_churn_dataset!A1033</f>
        <v>CUST100089</v>
      </c>
      <c r="B1115" s="22" t="str">
        <f aca="false">customer_churn_dataset!B1033</f>
        <v>Standard</v>
      </c>
      <c r="C1115" s="22" t="str">
        <f aca="false">customer_churn_dataset!C1033</f>
        <v>Month-to-month</v>
      </c>
      <c r="D1115" s="0" t="n">
        <f aca="false">INDEX(customer_churn_dataset!$E$2:$E$1501,MATCH($A1116,customer_churn_dataset!$A$2:$A$1501,0))</f>
        <v>22</v>
      </c>
      <c r="E1115" s="0" t="n">
        <f aca="false">INDEX(customer_churn_dataset!$I$2:$I$1501,MATCH($A1116,customer_churn_dataset!$A$2:$A$1501,0))</f>
        <v>58</v>
      </c>
      <c r="F1115" s="0" t="n">
        <f aca="false">INDEX(customer_churn_dataset!$L$2:$L$1501,MATCH($A1116,customer_churn_dataset!$A$2:$A$1501,0))</f>
        <v>1</v>
      </c>
      <c r="G1115" s="0" t="str">
        <f aca="false">IF(INDEX(customer_churn_dataset!$M$2:$M$1501,MATCH($A1116,customer_churn_dataset!$A$2:$A$1501,0))=1,"Yes","No")</f>
        <v>Yes</v>
      </c>
      <c r="H1115" s="0" t="n">
        <f aca="false">INDEX(customer_churn_dataset!$N$2:$N$1501,MATCH($A1116,customer_churn_dataset!$A$2:$A$1501,0))</f>
        <v>172.48</v>
      </c>
      <c r="I1115" s="0" t="n">
        <f aca="false">INDEX(customer_churn_dataset!$O$2:$O$1501,MATCH($A1116,customer_churn_dataset!$A$2:$A$1501,0))</f>
        <v>0</v>
      </c>
      <c r="J1115" s="0" t="n">
        <f aca="false">INDEX(customer_churn_dataset!$T$2:$T$1501,MATCH($A1116,customer_churn_dataset!$A$2:$A$1501,0))</f>
        <v>4</v>
      </c>
      <c r="K1115" s="0" t="str">
        <f aca="false">INDEX(customer_churn_dataset!$V$2:$V$1501,MATCH($A1116,customer_churn_dataset!$A$2:$A$1501,0))</f>
        <v>Medium Risk</v>
      </c>
    </row>
    <row r="1116" customFormat="false" ht="12.8" hidden="true" customHeight="false" outlineLevel="0" collapsed="false">
      <c r="A1116" s="22" t="str">
        <f aca="false">customer_churn_dataset!A1041</f>
        <v>CUST100656</v>
      </c>
      <c r="B1116" s="22" t="str">
        <f aca="false">customer_churn_dataset!B1041</f>
        <v>Basic</v>
      </c>
      <c r="C1116" s="22" t="str">
        <f aca="false">customer_churn_dataset!C1041</f>
        <v>One year</v>
      </c>
      <c r="D1116" s="0" t="n">
        <f aca="false">INDEX(customer_churn_dataset!$E$2:$E$1501,MATCH($A1117,customer_churn_dataset!$A$2:$A$1501,0))</f>
        <v>16</v>
      </c>
      <c r="E1116" s="0" t="n">
        <f aca="false">INDEX(customer_churn_dataset!$I$2:$I$1501,MATCH($A1117,customer_churn_dataset!$A$2:$A$1501,0))</f>
        <v>90.7</v>
      </c>
      <c r="F1116" s="0" t="n">
        <f aca="false">INDEX(customer_churn_dataset!$L$2:$L$1501,MATCH($A1117,customer_churn_dataset!$A$2:$A$1501,0))</f>
        <v>2</v>
      </c>
      <c r="G1116" s="0" t="str">
        <f aca="false">IF(INDEX(customer_churn_dataset!$M$2:$M$1501,MATCH($A1117,customer_churn_dataset!$A$2:$A$1501,0))=1,"Yes","No")</f>
        <v>No</v>
      </c>
      <c r="H1116" s="0" t="n">
        <f aca="false">INDEX(customer_churn_dataset!$N$2:$N$1501,MATCH($A1117,customer_churn_dataset!$A$2:$A$1501,0))</f>
        <v>608.16</v>
      </c>
      <c r="I1116" s="0" t="n">
        <f aca="false">INDEX(customer_churn_dataset!$O$2:$O$1501,MATCH($A1117,customer_churn_dataset!$A$2:$A$1501,0))</f>
        <v>0</v>
      </c>
      <c r="J1116" s="0" t="n">
        <f aca="false">INDEX(customer_churn_dataset!$T$2:$T$1501,MATCH($A1117,customer_churn_dataset!$A$2:$A$1501,0))</f>
        <v>2</v>
      </c>
      <c r="K1116" s="0" t="str">
        <f aca="false">INDEX(customer_churn_dataset!$V$2:$V$1501,MATCH($A1117,customer_churn_dataset!$A$2:$A$1501,0))</f>
        <v>Low Risk</v>
      </c>
    </row>
    <row r="1117" customFormat="false" ht="12.8" hidden="true" customHeight="false" outlineLevel="0" collapsed="false">
      <c r="A1117" s="22" t="str">
        <f aca="false">customer_churn_dataset!A1045</f>
        <v>CUST100165</v>
      </c>
      <c r="B1117" s="22" t="str">
        <f aca="false">customer_churn_dataset!B1045</f>
        <v>Premium</v>
      </c>
      <c r="C1117" s="22" t="str">
        <f aca="false">customer_churn_dataset!C1045</f>
        <v>One year</v>
      </c>
      <c r="D1117" s="0" t="n">
        <f aca="false">INDEX(customer_churn_dataset!$E$2:$E$1501,MATCH($A1118,customer_churn_dataset!$A$2:$A$1501,0))</f>
        <v>12</v>
      </c>
      <c r="E1117" s="0" t="n">
        <f aca="false">INDEX(customer_churn_dataset!$I$2:$I$1501,MATCH($A1118,customer_churn_dataset!$A$2:$A$1501,0))</f>
        <v>56.7</v>
      </c>
      <c r="F1117" s="0" t="n">
        <f aca="false">INDEX(customer_churn_dataset!$L$2:$L$1501,MATCH($A1118,customer_churn_dataset!$A$2:$A$1501,0))</f>
        <v>1</v>
      </c>
      <c r="G1117" s="0" t="str">
        <f aca="false">IF(INDEX(customer_churn_dataset!$M$2:$M$1501,MATCH($A1118,customer_churn_dataset!$A$2:$A$1501,0))=1,"Yes","No")</f>
        <v>Yes</v>
      </c>
      <c r="H1117" s="0" t="n">
        <f aca="false">INDEX(customer_churn_dataset!$N$2:$N$1501,MATCH($A1118,customer_churn_dataset!$A$2:$A$1501,0))</f>
        <v>259.56</v>
      </c>
      <c r="I1117" s="0" t="n">
        <f aca="false">INDEX(customer_churn_dataset!$O$2:$O$1501,MATCH($A1118,customer_churn_dataset!$A$2:$A$1501,0))</f>
        <v>0</v>
      </c>
      <c r="J1117" s="0" t="n">
        <f aca="false">INDEX(customer_churn_dataset!$T$2:$T$1501,MATCH($A1118,customer_churn_dataset!$A$2:$A$1501,0))</f>
        <v>5</v>
      </c>
      <c r="K1117" s="0" t="str">
        <f aca="false">INDEX(customer_churn_dataset!$V$2:$V$1501,MATCH($A1118,customer_churn_dataset!$A$2:$A$1501,0))</f>
        <v>Medium Risk</v>
      </c>
    </row>
    <row r="1118" customFormat="false" ht="12.8" hidden="true" customHeight="false" outlineLevel="0" collapsed="false">
      <c r="A1118" s="22" t="str">
        <f aca="false">customer_churn_dataset!A1053</f>
        <v>CUST100075</v>
      </c>
      <c r="B1118" s="22" t="str">
        <f aca="false">customer_churn_dataset!B1053</f>
        <v>Standard</v>
      </c>
      <c r="C1118" s="22" t="str">
        <f aca="false">customer_churn_dataset!C1053</f>
        <v>Month-to-month</v>
      </c>
      <c r="D1118" s="0" t="n">
        <f aca="false">INDEX(customer_churn_dataset!$E$2:$E$1501,MATCH($A1119,customer_churn_dataset!$A$2:$A$1501,0))</f>
        <v>13</v>
      </c>
      <c r="E1118" s="0" t="n">
        <f aca="false">INDEX(customer_churn_dataset!$I$2:$I$1501,MATCH($A1119,customer_churn_dataset!$A$2:$A$1501,0))</f>
        <v>22.2</v>
      </c>
      <c r="F1118" s="0" t="n">
        <f aca="false">INDEX(customer_churn_dataset!$L$2:$L$1501,MATCH($A1119,customer_churn_dataset!$A$2:$A$1501,0))</f>
        <v>0</v>
      </c>
      <c r="G1118" s="0" t="str">
        <f aca="false">IF(INDEX(customer_churn_dataset!$M$2:$M$1501,MATCH($A1119,customer_churn_dataset!$A$2:$A$1501,0))=1,"Yes","No")</f>
        <v>No</v>
      </c>
      <c r="H1118" s="0" t="n">
        <f aca="false">INDEX(customer_churn_dataset!$N$2:$N$1501,MATCH($A1119,customer_churn_dataset!$A$2:$A$1501,0))</f>
        <v>126.23</v>
      </c>
      <c r="I1118" s="0" t="n">
        <f aca="false">INDEX(customer_churn_dataset!$O$2:$O$1501,MATCH($A1119,customer_churn_dataset!$A$2:$A$1501,0))</f>
        <v>0</v>
      </c>
      <c r="J1118" s="0" t="n">
        <f aca="false">INDEX(customer_churn_dataset!$T$2:$T$1501,MATCH($A1119,customer_churn_dataset!$A$2:$A$1501,0))</f>
        <v>4</v>
      </c>
      <c r="K1118" s="0" t="str">
        <f aca="false">INDEX(customer_churn_dataset!$V$2:$V$1501,MATCH($A1119,customer_churn_dataset!$A$2:$A$1501,0))</f>
        <v>Medium Risk</v>
      </c>
    </row>
    <row r="1119" customFormat="false" ht="12.8" hidden="true" customHeight="false" outlineLevel="0" collapsed="false">
      <c r="A1119" s="22" t="str">
        <f aca="false">customer_churn_dataset!A1058</f>
        <v>CUST100015</v>
      </c>
      <c r="B1119" s="22" t="str">
        <f aca="false">customer_churn_dataset!B1058</f>
        <v>Basic</v>
      </c>
      <c r="C1119" s="22" t="str">
        <f aca="false">customer_churn_dataset!C1058</f>
        <v>Month-to-month</v>
      </c>
      <c r="D1119" s="0" t="n">
        <f aca="false">INDEX(customer_churn_dataset!$E$2:$E$1501,MATCH($A1120,customer_churn_dataset!$A$2:$A$1501,0))</f>
        <v>25</v>
      </c>
      <c r="E1119" s="0" t="n">
        <f aca="false">INDEX(customer_churn_dataset!$I$2:$I$1501,MATCH($A1120,customer_churn_dataset!$A$2:$A$1501,0))</f>
        <v>76.9</v>
      </c>
      <c r="F1119" s="0" t="n">
        <f aca="false">INDEX(customer_churn_dataset!$L$2:$L$1501,MATCH($A1120,customer_churn_dataset!$A$2:$A$1501,0))</f>
        <v>2</v>
      </c>
      <c r="G1119" s="0" t="str">
        <f aca="false">IF(INDEX(customer_churn_dataset!$M$2:$M$1501,MATCH($A1120,customer_churn_dataset!$A$2:$A$1501,0))=1,"Yes","No")</f>
        <v>No</v>
      </c>
      <c r="H1119" s="0" t="n">
        <f aca="false">INDEX(customer_churn_dataset!$N$2:$N$1501,MATCH($A1120,customer_churn_dataset!$A$2:$A$1501,0))</f>
        <v>222.5</v>
      </c>
      <c r="I1119" s="0" t="n">
        <f aca="false">INDEX(customer_churn_dataset!$O$2:$O$1501,MATCH($A1120,customer_churn_dataset!$A$2:$A$1501,0))</f>
        <v>0</v>
      </c>
      <c r="J1119" s="0" t="n">
        <f aca="false">INDEX(customer_churn_dataset!$T$2:$T$1501,MATCH($A1120,customer_churn_dataset!$A$2:$A$1501,0))</f>
        <v>3</v>
      </c>
      <c r="K1119" s="0" t="str">
        <f aca="false">INDEX(customer_churn_dataset!$V$2:$V$1501,MATCH($A1120,customer_churn_dataset!$A$2:$A$1501,0))</f>
        <v>Medium Risk</v>
      </c>
    </row>
    <row r="1120" customFormat="false" ht="12.8" hidden="true" customHeight="false" outlineLevel="0" collapsed="false">
      <c r="A1120" s="22" t="str">
        <f aca="false">customer_churn_dataset!A1062</f>
        <v>CUST100666</v>
      </c>
      <c r="B1120" s="22" t="str">
        <f aca="false">customer_churn_dataset!B1062</f>
        <v>Basic</v>
      </c>
      <c r="C1120" s="22" t="str">
        <f aca="false">customer_churn_dataset!C1062</f>
        <v>Month-to-month</v>
      </c>
      <c r="D1120" s="0" t="n">
        <f aca="false">INDEX(customer_churn_dataset!$E$2:$E$1501,MATCH($A1121,customer_churn_dataset!$A$2:$A$1501,0))</f>
        <v>30</v>
      </c>
      <c r="E1120" s="0" t="n">
        <f aca="false">INDEX(customer_churn_dataset!$I$2:$I$1501,MATCH($A1121,customer_churn_dataset!$A$2:$A$1501,0))</f>
        <v>32.3</v>
      </c>
      <c r="F1120" s="0" t="n">
        <f aca="false">INDEX(customer_churn_dataset!$L$2:$L$1501,MATCH($A1121,customer_churn_dataset!$A$2:$A$1501,0))</f>
        <v>0</v>
      </c>
      <c r="G1120" s="0" t="str">
        <f aca="false">IF(INDEX(customer_churn_dataset!$M$2:$M$1501,MATCH($A1121,customer_churn_dataset!$A$2:$A$1501,0))=1,"Yes","No")</f>
        <v>No</v>
      </c>
      <c r="H1120" s="0" t="n">
        <f aca="false">INDEX(customer_churn_dataset!$N$2:$N$1501,MATCH($A1121,customer_churn_dataset!$A$2:$A$1501,0))</f>
        <v>312.3</v>
      </c>
      <c r="I1120" s="0" t="n">
        <f aca="false">INDEX(customer_churn_dataset!$O$2:$O$1501,MATCH($A1121,customer_churn_dataset!$A$2:$A$1501,0))</f>
        <v>0</v>
      </c>
      <c r="J1120" s="0" t="n">
        <f aca="false">INDEX(customer_churn_dataset!$T$2:$T$1501,MATCH($A1121,customer_churn_dataset!$A$2:$A$1501,0))</f>
        <v>3</v>
      </c>
      <c r="K1120" s="0" t="str">
        <f aca="false">INDEX(customer_churn_dataset!$V$2:$V$1501,MATCH($A1121,customer_churn_dataset!$A$2:$A$1501,0))</f>
        <v>Medium Risk</v>
      </c>
    </row>
    <row r="1121" customFormat="false" ht="12.8" hidden="true" customHeight="false" outlineLevel="0" collapsed="false">
      <c r="A1121" s="22" t="str">
        <f aca="false">customer_churn_dataset!A1065</f>
        <v>CUST100097</v>
      </c>
      <c r="B1121" s="22" t="str">
        <f aca="false">customer_churn_dataset!B1065</f>
        <v>Basic</v>
      </c>
      <c r="C1121" s="22" t="str">
        <f aca="false">customer_churn_dataset!C1065</f>
        <v>One year</v>
      </c>
      <c r="D1121" s="0" t="n">
        <f aca="false">INDEX(customer_churn_dataset!$E$2:$E$1501,MATCH($A1122,customer_churn_dataset!$A$2:$A$1501,0))</f>
        <v>20</v>
      </c>
      <c r="E1121" s="0" t="n">
        <f aca="false">INDEX(customer_churn_dataset!$I$2:$I$1501,MATCH($A1122,customer_churn_dataset!$A$2:$A$1501,0))</f>
        <v>51.6</v>
      </c>
      <c r="F1121" s="0" t="n">
        <f aca="false">INDEX(customer_churn_dataset!$L$2:$L$1501,MATCH($A1122,customer_churn_dataset!$A$2:$A$1501,0))</f>
        <v>1</v>
      </c>
      <c r="G1121" s="0" t="str">
        <f aca="false">IF(INDEX(customer_churn_dataset!$M$2:$M$1501,MATCH($A1122,customer_churn_dataset!$A$2:$A$1501,0))=1,"Yes","No")</f>
        <v>No</v>
      </c>
      <c r="H1121" s="0" t="n">
        <f aca="false">INDEX(customer_churn_dataset!$N$2:$N$1501,MATCH($A1122,customer_churn_dataset!$A$2:$A$1501,0))</f>
        <v>413.2</v>
      </c>
      <c r="I1121" s="0" t="n">
        <f aca="false">INDEX(customer_churn_dataset!$O$2:$O$1501,MATCH($A1122,customer_churn_dataset!$A$2:$A$1501,0))</f>
        <v>0</v>
      </c>
      <c r="J1121" s="0" t="n">
        <f aca="false">INDEX(customer_churn_dataset!$T$2:$T$1501,MATCH($A1122,customer_churn_dataset!$A$2:$A$1501,0))</f>
        <v>3</v>
      </c>
      <c r="K1121" s="0" t="str">
        <f aca="false">INDEX(customer_churn_dataset!$V$2:$V$1501,MATCH($A1122,customer_churn_dataset!$A$2:$A$1501,0))</f>
        <v>Medium Risk</v>
      </c>
    </row>
    <row r="1122" customFormat="false" ht="12.8" hidden="false" customHeight="false" outlineLevel="0" collapsed="false">
      <c r="A1122" s="23" t="str">
        <f aca="false">customer_churn_dataset!A1074</f>
        <v>CUST100972</v>
      </c>
      <c r="B1122" s="24" t="str">
        <f aca="false">customer_churn_dataset!B1074</f>
        <v>Standard</v>
      </c>
      <c r="C1122" s="24" t="str">
        <f aca="false">customer_churn_dataset!C1074</f>
        <v>Month-to-month</v>
      </c>
      <c r="D1122" s="25" t="n">
        <f aca="false">INDEX(customer_churn_dataset!$E$2:$E$1501,MATCH($A1123,customer_churn_dataset!$A$2:$A$1501,0))</f>
        <v>43</v>
      </c>
      <c r="E1122" s="25" t="n">
        <f aca="false">INDEX(customer_churn_dataset!$I$2:$I$1501,MATCH($A1123,customer_churn_dataset!$A$2:$A$1501,0))</f>
        <v>5.1</v>
      </c>
      <c r="F1122" s="25" t="n">
        <f aca="false">INDEX(customer_churn_dataset!$L$2:$L$1501,MATCH($A1123,customer_churn_dataset!$A$2:$A$1501,0))</f>
        <v>3</v>
      </c>
      <c r="G1122" s="25" t="str">
        <f aca="false">IF(INDEX(customer_churn_dataset!$M$2:$M$1501,MATCH($A1123,customer_churn_dataset!$A$2:$A$1501,0))=1,"Yes","No")</f>
        <v>Yes</v>
      </c>
      <c r="H1122" s="25" t="n">
        <f aca="false">INDEX(customer_churn_dataset!$N$2:$N$1501,MATCH($A1123,customer_churn_dataset!$A$2:$A$1501,0))</f>
        <v>1733.33</v>
      </c>
      <c r="I1122" s="25" t="n">
        <f aca="false">INDEX(customer_churn_dataset!$O$2:$O$1501,MATCH($A1123,customer_churn_dataset!$A$2:$A$1501,0))</f>
        <v>0</v>
      </c>
      <c r="J1122" s="25" t="n">
        <f aca="false">INDEX(customer_churn_dataset!$T$2:$T$1501,MATCH($A1123,customer_churn_dataset!$A$2:$A$1501,0))</f>
        <v>8</v>
      </c>
      <c r="K1122" s="25" t="str">
        <f aca="false">INDEX(customer_churn_dataset!$V$2:$V$1501,MATCH($A1123,customer_churn_dataset!$A$2:$A$1501,0))</f>
        <v>High Risk</v>
      </c>
    </row>
    <row r="1123" customFormat="false" ht="12.8" hidden="true" customHeight="false" outlineLevel="0" collapsed="false">
      <c r="A1123" s="22" t="str">
        <f aca="false">customer_churn_dataset!A1080</f>
        <v>CUST100523</v>
      </c>
      <c r="B1123" s="22" t="str">
        <f aca="false">customer_churn_dataset!B1080</f>
        <v>Premium</v>
      </c>
      <c r="C1123" s="22" t="str">
        <f aca="false">customer_churn_dataset!C1080</f>
        <v>Month-to-month</v>
      </c>
      <c r="D1123" s="0" t="n">
        <f aca="false">INDEX(customer_churn_dataset!$E$2:$E$1501,MATCH($A1124,customer_churn_dataset!$A$2:$A$1501,0))</f>
        <v>0</v>
      </c>
      <c r="E1123" s="0" t="n">
        <f aca="false">INDEX(customer_churn_dataset!$I$2:$I$1501,MATCH($A1124,customer_churn_dataset!$A$2:$A$1501,0))</f>
        <v>55.7</v>
      </c>
      <c r="F1123" s="0" t="n">
        <f aca="false">INDEX(customer_churn_dataset!$L$2:$L$1501,MATCH($A1124,customer_churn_dataset!$A$2:$A$1501,0))</f>
        <v>2</v>
      </c>
      <c r="G1123" s="0" t="str">
        <f aca="false">IF(INDEX(customer_churn_dataset!$M$2:$M$1501,MATCH($A1124,customer_churn_dataset!$A$2:$A$1501,0))=1,"Yes","No")</f>
        <v>Yes</v>
      </c>
      <c r="H1123" s="0" t="n">
        <f aca="false">INDEX(customer_churn_dataset!$N$2:$N$1501,MATCH($A1124,customer_churn_dataset!$A$2:$A$1501,0))</f>
        <v>0</v>
      </c>
      <c r="I1123" s="0" t="n">
        <f aca="false">INDEX(customer_churn_dataset!$O$2:$O$1501,MATCH($A1124,customer_churn_dataset!$A$2:$A$1501,0))</f>
        <v>0</v>
      </c>
      <c r="J1123" s="0" t="n">
        <f aca="false">INDEX(customer_churn_dataset!$T$2:$T$1501,MATCH($A1124,customer_churn_dataset!$A$2:$A$1501,0))</f>
        <v>6</v>
      </c>
      <c r="K1123" s="0" t="str">
        <f aca="false">INDEX(customer_churn_dataset!$V$2:$V$1501,MATCH($A1124,customer_churn_dataset!$A$2:$A$1501,0))</f>
        <v>High Risk</v>
      </c>
    </row>
    <row r="1124" customFormat="false" ht="12.8" hidden="true" customHeight="false" outlineLevel="0" collapsed="false">
      <c r="A1124" s="22" t="str">
        <f aca="false">customer_churn_dataset!A1088</f>
        <v>CUST100991</v>
      </c>
      <c r="B1124" s="22" t="str">
        <f aca="false">customer_churn_dataset!B1088</f>
        <v>Standard</v>
      </c>
      <c r="C1124" s="22" t="str">
        <f aca="false">customer_churn_dataset!C1088</f>
        <v>One year</v>
      </c>
      <c r="D1124" s="0" t="n">
        <f aca="false">INDEX(customer_churn_dataset!$E$2:$E$1501,MATCH($A1125,customer_churn_dataset!$A$2:$A$1501,0))</f>
        <v>20</v>
      </c>
      <c r="E1124" s="0" t="n">
        <f aca="false">INDEX(customer_churn_dataset!$I$2:$I$1501,MATCH($A1125,customer_churn_dataset!$A$2:$A$1501,0))</f>
        <v>12.5</v>
      </c>
      <c r="F1124" s="0" t="n">
        <f aca="false">INDEX(customer_churn_dataset!$L$2:$L$1501,MATCH($A1125,customer_churn_dataset!$A$2:$A$1501,0))</f>
        <v>3</v>
      </c>
      <c r="G1124" s="0" t="str">
        <f aca="false">IF(INDEX(customer_churn_dataset!$M$2:$M$1501,MATCH($A1125,customer_churn_dataset!$A$2:$A$1501,0))=1,"Yes","No")</f>
        <v>Yes</v>
      </c>
      <c r="H1124" s="0" t="n">
        <f aca="false">INDEX(customer_churn_dataset!$N$2:$N$1501,MATCH($A1125,customer_churn_dataset!$A$2:$A$1501,0))</f>
        <v>181</v>
      </c>
      <c r="I1124" s="0" t="n">
        <f aca="false">INDEX(customer_churn_dataset!$O$2:$O$1501,MATCH($A1125,customer_churn_dataset!$A$2:$A$1501,0))</f>
        <v>1</v>
      </c>
      <c r="J1124" s="0" t="n">
        <f aca="false">INDEX(customer_churn_dataset!$T$2:$T$1501,MATCH($A1125,customer_churn_dataset!$A$2:$A$1501,0))</f>
        <v>6</v>
      </c>
      <c r="K1124" s="0" t="str">
        <f aca="false">INDEX(customer_churn_dataset!$V$2:$V$1501,MATCH($A1125,customer_churn_dataset!$A$2:$A$1501,0))</f>
        <v>High Risk</v>
      </c>
    </row>
    <row r="1125" customFormat="false" ht="12.8" hidden="true" customHeight="false" outlineLevel="0" collapsed="false">
      <c r="A1125" s="22" t="str">
        <f aca="false">customer_churn_dataset!A1093</f>
        <v>CUST100564</v>
      </c>
      <c r="B1125" s="22" t="str">
        <f aca="false">customer_churn_dataset!B1093</f>
        <v>Basic</v>
      </c>
      <c r="C1125" s="22" t="str">
        <f aca="false">customer_churn_dataset!C1093</f>
        <v>Two year</v>
      </c>
      <c r="D1125" s="0" t="n">
        <f aca="false">INDEX(customer_churn_dataset!$E$2:$E$1501,MATCH($A1126,customer_churn_dataset!$A$2:$A$1501,0))</f>
        <v>1</v>
      </c>
      <c r="E1125" s="0" t="n">
        <f aca="false">INDEX(customer_churn_dataset!$I$2:$I$1501,MATCH($A1126,customer_churn_dataset!$A$2:$A$1501,0))</f>
        <v>53.9</v>
      </c>
      <c r="F1125" s="0" t="n">
        <f aca="false">INDEX(customer_churn_dataset!$L$2:$L$1501,MATCH($A1126,customer_churn_dataset!$A$2:$A$1501,0))</f>
        <v>1</v>
      </c>
      <c r="G1125" s="0" t="str">
        <f aca="false">IF(INDEX(customer_churn_dataset!$M$2:$M$1501,MATCH($A1126,customer_churn_dataset!$A$2:$A$1501,0))=1,"Yes","No")</f>
        <v>No</v>
      </c>
      <c r="H1125" s="0" t="n">
        <f aca="false">INDEX(customer_churn_dataset!$N$2:$N$1501,MATCH($A1126,customer_churn_dataset!$A$2:$A$1501,0))</f>
        <v>20.77</v>
      </c>
      <c r="I1125" s="0" t="n">
        <f aca="false">INDEX(customer_churn_dataset!$O$2:$O$1501,MATCH($A1126,customer_churn_dataset!$A$2:$A$1501,0))</f>
        <v>0</v>
      </c>
      <c r="J1125" s="0" t="n">
        <f aca="false">INDEX(customer_churn_dataset!$T$2:$T$1501,MATCH($A1126,customer_churn_dataset!$A$2:$A$1501,0))</f>
        <v>2</v>
      </c>
      <c r="K1125" s="0" t="str">
        <f aca="false">INDEX(customer_churn_dataset!$V$2:$V$1501,MATCH($A1126,customer_churn_dataset!$A$2:$A$1501,0))</f>
        <v>Low Risk</v>
      </c>
    </row>
    <row r="1126" customFormat="false" ht="12.8" hidden="true" customHeight="false" outlineLevel="0" collapsed="false">
      <c r="A1126" s="22" t="str">
        <f aca="false">customer_churn_dataset!A1096</f>
        <v>CUST100961</v>
      </c>
      <c r="B1126" s="22" t="str">
        <f aca="false">customer_churn_dataset!B1096</f>
        <v>Standard</v>
      </c>
      <c r="C1126" s="22" t="str">
        <f aca="false">customer_churn_dataset!C1096</f>
        <v>Two year</v>
      </c>
      <c r="D1126" s="0" t="n">
        <f aca="false">INDEX(customer_churn_dataset!$E$2:$E$1501,MATCH($A1127,customer_churn_dataset!$A$2:$A$1501,0))</f>
        <v>21</v>
      </c>
      <c r="E1126" s="0" t="n">
        <f aca="false">INDEX(customer_churn_dataset!$I$2:$I$1501,MATCH($A1127,customer_churn_dataset!$A$2:$A$1501,0))</f>
        <v>75.9</v>
      </c>
      <c r="F1126" s="0" t="n">
        <f aca="false">INDEX(customer_churn_dataset!$L$2:$L$1501,MATCH($A1127,customer_churn_dataset!$A$2:$A$1501,0))</f>
        <v>1</v>
      </c>
      <c r="G1126" s="0" t="str">
        <f aca="false">IF(INDEX(customer_churn_dataset!$M$2:$M$1501,MATCH($A1127,customer_churn_dataset!$A$2:$A$1501,0))=1,"Yes","No")</f>
        <v>Yes</v>
      </c>
      <c r="H1126" s="0" t="n">
        <f aca="false">INDEX(customer_churn_dataset!$N$2:$N$1501,MATCH($A1127,customer_churn_dataset!$A$2:$A$1501,0))</f>
        <v>181.86</v>
      </c>
      <c r="I1126" s="0" t="n">
        <f aca="false">INDEX(customer_churn_dataset!$O$2:$O$1501,MATCH($A1127,customer_churn_dataset!$A$2:$A$1501,0))</f>
        <v>0</v>
      </c>
      <c r="J1126" s="0" t="n">
        <f aca="false">INDEX(customer_churn_dataset!$T$2:$T$1501,MATCH($A1127,customer_churn_dataset!$A$2:$A$1501,0))</f>
        <v>4</v>
      </c>
      <c r="K1126" s="0" t="str">
        <f aca="false">INDEX(customer_churn_dataset!$V$2:$V$1501,MATCH($A1127,customer_churn_dataset!$A$2:$A$1501,0))</f>
        <v>Medium Risk</v>
      </c>
    </row>
    <row r="1127" customFormat="false" ht="12.8" hidden="true" customHeight="false" outlineLevel="0" collapsed="false">
      <c r="A1127" s="22" t="str">
        <f aca="false">customer_churn_dataset!A1104</f>
        <v>CUST101087</v>
      </c>
      <c r="B1127" s="22" t="str">
        <f aca="false">customer_churn_dataset!B1104</f>
        <v>Basic</v>
      </c>
      <c r="C1127" s="22" t="str">
        <f aca="false">customer_churn_dataset!C1104</f>
        <v>One year</v>
      </c>
      <c r="D1127" s="0" t="n">
        <f aca="false">INDEX(customer_churn_dataset!$E$2:$E$1501,MATCH($A1128,customer_churn_dataset!$A$2:$A$1501,0))</f>
        <v>19</v>
      </c>
      <c r="E1127" s="0" t="n">
        <f aca="false">INDEX(customer_churn_dataset!$I$2:$I$1501,MATCH($A1128,customer_churn_dataset!$A$2:$A$1501,0))</f>
        <v>69.8</v>
      </c>
      <c r="F1127" s="0" t="n">
        <f aca="false">INDEX(customer_churn_dataset!$L$2:$L$1501,MATCH($A1128,customer_churn_dataset!$A$2:$A$1501,0))</f>
        <v>1</v>
      </c>
      <c r="G1127" s="0" t="str">
        <f aca="false">IF(INDEX(customer_churn_dataset!$M$2:$M$1501,MATCH($A1128,customer_churn_dataset!$A$2:$A$1501,0))=1,"Yes","No")</f>
        <v>No</v>
      </c>
      <c r="H1127" s="0" t="n">
        <f aca="false">INDEX(customer_churn_dataset!$N$2:$N$1501,MATCH($A1128,customer_churn_dataset!$A$2:$A$1501,0))</f>
        <v>376.77</v>
      </c>
      <c r="I1127" s="0" t="n">
        <f aca="false">INDEX(customer_churn_dataset!$O$2:$O$1501,MATCH($A1128,customer_churn_dataset!$A$2:$A$1501,0))</f>
        <v>0</v>
      </c>
      <c r="J1127" s="0" t="n">
        <f aca="false">INDEX(customer_churn_dataset!$T$2:$T$1501,MATCH($A1128,customer_churn_dataset!$A$2:$A$1501,0))</f>
        <v>2</v>
      </c>
      <c r="K1127" s="0" t="str">
        <f aca="false">INDEX(customer_churn_dataset!$V$2:$V$1501,MATCH($A1128,customer_churn_dataset!$A$2:$A$1501,0))</f>
        <v>Low Risk</v>
      </c>
    </row>
    <row r="1128" customFormat="false" ht="12.8" hidden="true" customHeight="false" outlineLevel="0" collapsed="false">
      <c r="A1128" s="22" t="str">
        <f aca="false">customer_churn_dataset!A1106</f>
        <v>CUST100951</v>
      </c>
      <c r="B1128" s="22" t="str">
        <f aca="false">customer_churn_dataset!B1106</f>
        <v>Standard</v>
      </c>
      <c r="C1128" s="22" t="str">
        <f aca="false">customer_churn_dataset!C1106</f>
        <v>Month-to-month</v>
      </c>
      <c r="D1128" s="0" t="n">
        <f aca="false">INDEX(customer_churn_dataset!$E$2:$E$1501,MATCH($A1129,customer_churn_dataset!$A$2:$A$1501,0))</f>
        <v>1</v>
      </c>
      <c r="E1128" s="0" t="n">
        <f aca="false">INDEX(customer_churn_dataset!$I$2:$I$1501,MATCH($A1129,customer_churn_dataset!$A$2:$A$1501,0))</f>
        <v>34.9</v>
      </c>
      <c r="F1128" s="0" t="n">
        <f aca="false">INDEX(customer_churn_dataset!$L$2:$L$1501,MATCH($A1129,customer_churn_dataset!$A$2:$A$1501,0))</f>
        <v>2</v>
      </c>
      <c r="G1128" s="0" t="str">
        <f aca="false">IF(INDEX(customer_churn_dataset!$M$2:$M$1501,MATCH($A1129,customer_churn_dataset!$A$2:$A$1501,0))=1,"Yes","No")</f>
        <v>No</v>
      </c>
      <c r="H1128" s="0" t="n">
        <f aca="false">INDEX(customer_churn_dataset!$N$2:$N$1501,MATCH($A1129,customer_churn_dataset!$A$2:$A$1501,0))</f>
        <v>9.15</v>
      </c>
      <c r="I1128" s="0" t="n">
        <f aca="false">INDEX(customer_churn_dataset!$O$2:$O$1501,MATCH($A1129,customer_churn_dataset!$A$2:$A$1501,0))</f>
        <v>0</v>
      </c>
      <c r="J1128" s="0" t="n">
        <f aca="false">INDEX(customer_churn_dataset!$T$2:$T$1501,MATCH($A1129,customer_churn_dataset!$A$2:$A$1501,0))</f>
        <v>5</v>
      </c>
      <c r="K1128" s="0" t="str">
        <f aca="false">INDEX(customer_churn_dataset!$V$2:$V$1501,MATCH($A1129,customer_churn_dataset!$A$2:$A$1501,0))</f>
        <v>Medium Risk</v>
      </c>
    </row>
    <row r="1129" customFormat="false" ht="12.8" hidden="true" customHeight="false" outlineLevel="0" collapsed="false">
      <c r="A1129" s="22" t="str">
        <f aca="false">customer_churn_dataset!A1110</f>
        <v>CUST100058</v>
      </c>
      <c r="B1129" s="22" t="str">
        <f aca="false">customer_churn_dataset!B1110</f>
        <v>Basic</v>
      </c>
      <c r="C1129" s="22" t="str">
        <f aca="false">customer_churn_dataset!C1110</f>
        <v>One year</v>
      </c>
      <c r="D1129" s="0" t="n">
        <f aca="false">INDEX(customer_churn_dataset!$E$2:$E$1501,MATCH($A1130,customer_churn_dataset!$A$2:$A$1501,0))</f>
        <v>30</v>
      </c>
      <c r="E1129" s="0" t="n">
        <f aca="false">INDEX(customer_churn_dataset!$I$2:$I$1501,MATCH($A1130,customer_churn_dataset!$A$2:$A$1501,0))</f>
        <v>43.1</v>
      </c>
      <c r="F1129" s="0" t="n">
        <f aca="false">INDEX(customer_churn_dataset!$L$2:$L$1501,MATCH($A1130,customer_churn_dataset!$A$2:$A$1501,0))</f>
        <v>0</v>
      </c>
      <c r="G1129" s="0" t="str">
        <f aca="false">IF(INDEX(customer_churn_dataset!$M$2:$M$1501,MATCH($A1130,customer_churn_dataset!$A$2:$A$1501,0))=1,"Yes","No")</f>
        <v>No</v>
      </c>
      <c r="H1129" s="0" t="n">
        <f aca="false">INDEX(customer_churn_dataset!$N$2:$N$1501,MATCH($A1130,customer_churn_dataset!$A$2:$A$1501,0))</f>
        <v>255.9</v>
      </c>
      <c r="I1129" s="0" t="n">
        <f aca="false">INDEX(customer_churn_dataset!$O$2:$O$1501,MATCH($A1130,customer_churn_dataset!$A$2:$A$1501,0))</f>
        <v>0</v>
      </c>
      <c r="J1129" s="0" t="n">
        <f aca="false">INDEX(customer_churn_dataset!$T$2:$T$1501,MATCH($A1130,customer_churn_dataset!$A$2:$A$1501,0))</f>
        <v>3</v>
      </c>
      <c r="K1129" s="0" t="str">
        <f aca="false">INDEX(customer_churn_dataset!$V$2:$V$1501,MATCH($A1130,customer_churn_dataset!$A$2:$A$1501,0))</f>
        <v>Medium Risk</v>
      </c>
    </row>
    <row r="1130" customFormat="false" ht="12.8" hidden="true" customHeight="false" outlineLevel="0" collapsed="false">
      <c r="A1130" s="22" t="str">
        <f aca="false">customer_churn_dataset!A1113</f>
        <v>CUST100625</v>
      </c>
      <c r="B1130" s="22" t="str">
        <f aca="false">customer_churn_dataset!B1113</f>
        <v>Basic</v>
      </c>
      <c r="C1130" s="22" t="str">
        <f aca="false">customer_churn_dataset!C1113</f>
        <v>Month-to-month</v>
      </c>
      <c r="D1130" s="0" t="n">
        <f aca="false">INDEX(customer_churn_dataset!$E$2:$E$1501,MATCH($A1131,customer_churn_dataset!$A$2:$A$1501,0))</f>
        <v>19</v>
      </c>
      <c r="E1130" s="0" t="n">
        <f aca="false">INDEX(customer_churn_dataset!$I$2:$I$1501,MATCH($A1131,customer_churn_dataset!$A$2:$A$1501,0))</f>
        <v>100</v>
      </c>
      <c r="F1130" s="0" t="n">
        <f aca="false">INDEX(customer_churn_dataset!$L$2:$L$1501,MATCH($A1131,customer_churn_dataset!$A$2:$A$1501,0))</f>
        <v>1</v>
      </c>
      <c r="G1130" s="0" t="str">
        <f aca="false">IF(INDEX(customer_churn_dataset!$M$2:$M$1501,MATCH($A1131,customer_churn_dataset!$A$2:$A$1501,0))=1,"Yes","No")</f>
        <v>No</v>
      </c>
      <c r="H1130" s="0" t="n">
        <f aca="false">INDEX(customer_churn_dataset!$N$2:$N$1501,MATCH($A1131,customer_churn_dataset!$A$2:$A$1501,0))</f>
        <v>353.4</v>
      </c>
      <c r="I1130" s="0" t="n">
        <f aca="false">INDEX(customer_churn_dataset!$O$2:$O$1501,MATCH($A1131,customer_churn_dataset!$A$2:$A$1501,0))</f>
        <v>0</v>
      </c>
      <c r="J1130" s="0" t="n">
        <f aca="false">INDEX(customer_churn_dataset!$T$2:$T$1501,MATCH($A1131,customer_churn_dataset!$A$2:$A$1501,0))</f>
        <v>2</v>
      </c>
      <c r="K1130" s="0" t="str">
        <f aca="false">INDEX(customer_churn_dataset!$V$2:$V$1501,MATCH($A1131,customer_churn_dataset!$A$2:$A$1501,0))</f>
        <v>Low Risk</v>
      </c>
    </row>
    <row r="1131" customFormat="false" ht="12.8" hidden="true" customHeight="false" outlineLevel="0" collapsed="false">
      <c r="A1131" s="22" t="str">
        <f aca="false">customer_churn_dataset!A1117</f>
        <v>CUST100002</v>
      </c>
      <c r="B1131" s="22" t="str">
        <f aca="false">customer_churn_dataset!B1117</f>
        <v>Standard</v>
      </c>
      <c r="C1131" s="22" t="str">
        <f aca="false">customer_churn_dataset!C1117</f>
        <v>Month-to-month</v>
      </c>
      <c r="D1131" s="0" t="n">
        <f aca="false">INDEX(customer_churn_dataset!$E$2:$E$1501,MATCH($A1132,customer_churn_dataset!$A$2:$A$1501,0))</f>
        <v>60</v>
      </c>
      <c r="E1131" s="0" t="n">
        <f aca="false">INDEX(customer_churn_dataset!$I$2:$I$1501,MATCH($A1132,customer_churn_dataset!$A$2:$A$1501,0))</f>
        <v>39.1</v>
      </c>
      <c r="F1131" s="0" t="n">
        <f aca="false">INDEX(customer_churn_dataset!$L$2:$L$1501,MATCH($A1132,customer_churn_dataset!$A$2:$A$1501,0))</f>
        <v>1</v>
      </c>
      <c r="G1131" s="0" t="str">
        <f aca="false">IF(INDEX(customer_churn_dataset!$M$2:$M$1501,MATCH($A1132,customer_churn_dataset!$A$2:$A$1501,0))=1,"Yes","No")</f>
        <v>Yes</v>
      </c>
      <c r="H1131" s="0" t="n">
        <f aca="false">INDEX(customer_churn_dataset!$N$2:$N$1501,MATCH($A1132,customer_churn_dataset!$A$2:$A$1501,0))</f>
        <v>2367.6</v>
      </c>
      <c r="I1131" s="0" t="n">
        <f aca="false">INDEX(customer_churn_dataset!$O$2:$O$1501,MATCH($A1132,customer_churn_dataset!$A$2:$A$1501,0))</f>
        <v>0</v>
      </c>
      <c r="J1131" s="0" t="n">
        <f aca="false">INDEX(customer_churn_dataset!$T$2:$T$1501,MATCH($A1132,customer_churn_dataset!$A$2:$A$1501,0))</f>
        <v>6</v>
      </c>
      <c r="K1131" s="0" t="str">
        <f aca="false">INDEX(customer_churn_dataset!$V$2:$V$1501,MATCH($A1132,customer_churn_dataset!$A$2:$A$1501,0))</f>
        <v>High Risk</v>
      </c>
    </row>
    <row r="1132" customFormat="false" ht="12.8" hidden="true" customHeight="false" outlineLevel="0" collapsed="false">
      <c r="A1132" s="22" t="str">
        <f aca="false">customer_churn_dataset!A1123</f>
        <v>CUST101183</v>
      </c>
      <c r="B1132" s="22" t="str">
        <f aca="false">customer_churn_dataset!B1123</f>
        <v>Premium</v>
      </c>
      <c r="C1132" s="22" t="str">
        <f aca="false">customer_churn_dataset!C1123</f>
        <v>One year</v>
      </c>
      <c r="D1132" s="0" t="n">
        <f aca="false">INDEX(customer_churn_dataset!$E$2:$E$1501,MATCH($A1133,customer_churn_dataset!$A$2:$A$1501,0))</f>
        <v>21</v>
      </c>
      <c r="E1132" s="0" t="n">
        <f aca="false">INDEX(customer_churn_dataset!$I$2:$I$1501,MATCH($A1133,customer_churn_dataset!$A$2:$A$1501,0))</f>
        <v>67.1</v>
      </c>
      <c r="F1132" s="0" t="n">
        <f aca="false">INDEX(customer_churn_dataset!$L$2:$L$1501,MATCH($A1133,customer_churn_dataset!$A$2:$A$1501,0))</f>
        <v>1</v>
      </c>
      <c r="G1132" s="0" t="str">
        <f aca="false">IF(INDEX(customer_churn_dataset!$M$2:$M$1501,MATCH($A1133,customer_churn_dataset!$A$2:$A$1501,0))=1,"Yes","No")</f>
        <v>Yes</v>
      </c>
      <c r="H1132" s="0" t="n">
        <f aca="false">INDEX(customer_churn_dataset!$N$2:$N$1501,MATCH($A1133,customer_churn_dataset!$A$2:$A$1501,0))</f>
        <v>222.18</v>
      </c>
      <c r="I1132" s="0" t="n">
        <f aca="false">INDEX(customer_churn_dataset!$O$2:$O$1501,MATCH($A1133,customer_churn_dataset!$A$2:$A$1501,0))</f>
        <v>0</v>
      </c>
      <c r="J1132" s="0" t="n">
        <f aca="false">INDEX(customer_churn_dataset!$T$2:$T$1501,MATCH($A1133,customer_churn_dataset!$A$2:$A$1501,0))</f>
        <v>5</v>
      </c>
      <c r="K1132" s="0" t="str">
        <f aca="false">INDEX(customer_churn_dataset!$V$2:$V$1501,MATCH($A1133,customer_churn_dataset!$A$2:$A$1501,0))</f>
        <v>Medium Risk</v>
      </c>
    </row>
    <row r="1133" customFormat="false" ht="12.8" hidden="true" customHeight="false" outlineLevel="0" collapsed="false">
      <c r="A1133" s="22" t="str">
        <f aca="false">customer_churn_dataset!A1129</f>
        <v>CUST100973</v>
      </c>
      <c r="B1133" s="22" t="str">
        <f aca="false">customer_churn_dataset!B1129</f>
        <v>Basic</v>
      </c>
      <c r="C1133" s="22" t="str">
        <f aca="false">customer_churn_dataset!C1129</f>
        <v>Month-to-month</v>
      </c>
      <c r="D1133" s="0" t="n">
        <f aca="false">INDEX(customer_churn_dataset!$E$2:$E$1501,MATCH($A1134,customer_churn_dataset!$A$2:$A$1501,0))</f>
        <v>7</v>
      </c>
      <c r="E1133" s="0" t="n">
        <f aca="false">INDEX(customer_churn_dataset!$I$2:$I$1501,MATCH($A1134,customer_churn_dataset!$A$2:$A$1501,0))</f>
        <v>29.2</v>
      </c>
      <c r="F1133" s="0" t="n">
        <f aca="false">INDEX(customer_churn_dataset!$L$2:$L$1501,MATCH($A1134,customer_churn_dataset!$A$2:$A$1501,0))</f>
        <v>1</v>
      </c>
      <c r="G1133" s="0" t="str">
        <f aca="false">IF(INDEX(customer_churn_dataset!$M$2:$M$1501,MATCH($A1134,customer_churn_dataset!$A$2:$A$1501,0))=1,"Yes","No")</f>
        <v>No</v>
      </c>
      <c r="H1133" s="0" t="n">
        <f aca="false">INDEX(customer_churn_dataset!$N$2:$N$1501,MATCH($A1134,customer_churn_dataset!$A$2:$A$1501,0))</f>
        <v>69.79</v>
      </c>
      <c r="I1133" s="0" t="n">
        <f aca="false">INDEX(customer_churn_dataset!$O$2:$O$1501,MATCH($A1134,customer_churn_dataset!$A$2:$A$1501,0))</f>
        <v>0</v>
      </c>
      <c r="J1133" s="0" t="n">
        <f aca="false">INDEX(customer_churn_dataset!$T$2:$T$1501,MATCH($A1134,customer_churn_dataset!$A$2:$A$1501,0))</f>
        <v>4</v>
      </c>
      <c r="K1133" s="0" t="str">
        <f aca="false">INDEX(customer_churn_dataset!$V$2:$V$1501,MATCH($A1134,customer_churn_dataset!$A$2:$A$1501,0))</f>
        <v>Medium Risk</v>
      </c>
    </row>
    <row r="1134" customFormat="false" ht="12.8" hidden="true" customHeight="false" outlineLevel="0" collapsed="false">
      <c r="A1134" s="22" t="str">
        <f aca="false">customer_churn_dataset!A1134</f>
        <v>CUST100400</v>
      </c>
      <c r="B1134" s="22" t="str">
        <f aca="false">customer_churn_dataset!B1134</f>
        <v>Basic</v>
      </c>
      <c r="C1134" s="22" t="str">
        <f aca="false">customer_churn_dataset!C1134</f>
        <v>One year</v>
      </c>
      <c r="D1134" s="0" t="n">
        <f aca="false">INDEX(customer_churn_dataset!$E$2:$E$1501,MATCH($A1135,customer_churn_dataset!$A$2:$A$1501,0))</f>
        <v>6</v>
      </c>
      <c r="E1134" s="0" t="n">
        <f aca="false">INDEX(customer_churn_dataset!$I$2:$I$1501,MATCH($A1135,customer_churn_dataset!$A$2:$A$1501,0))</f>
        <v>38.2</v>
      </c>
      <c r="F1134" s="0" t="n">
        <f aca="false">INDEX(customer_churn_dataset!$L$2:$L$1501,MATCH($A1135,customer_churn_dataset!$A$2:$A$1501,0))</f>
        <v>2</v>
      </c>
      <c r="G1134" s="0" t="str">
        <f aca="false">IF(INDEX(customer_churn_dataset!$M$2:$M$1501,MATCH($A1135,customer_churn_dataset!$A$2:$A$1501,0))=1,"Yes","No")</f>
        <v>Yes</v>
      </c>
      <c r="H1134" s="0" t="n">
        <f aca="false">INDEX(customer_churn_dataset!$N$2:$N$1501,MATCH($A1135,customer_churn_dataset!$A$2:$A$1501,0))</f>
        <v>70.14</v>
      </c>
      <c r="I1134" s="0" t="n">
        <f aca="false">INDEX(customer_churn_dataset!$O$2:$O$1501,MATCH($A1135,customer_churn_dataset!$A$2:$A$1501,0))</f>
        <v>0</v>
      </c>
      <c r="J1134" s="0" t="n">
        <f aca="false">INDEX(customer_churn_dataset!$T$2:$T$1501,MATCH($A1135,customer_churn_dataset!$A$2:$A$1501,0))</f>
        <v>7</v>
      </c>
      <c r="K1134" s="0" t="str">
        <f aca="false">INDEX(customer_churn_dataset!$V$2:$V$1501,MATCH($A1135,customer_churn_dataset!$A$2:$A$1501,0))</f>
        <v>High Risk</v>
      </c>
    </row>
    <row r="1135" customFormat="false" ht="12.8" hidden="true" customHeight="false" outlineLevel="0" collapsed="false">
      <c r="A1135" s="22" t="str">
        <f aca="false">customer_churn_dataset!A1139</f>
        <v>CUST101474</v>
      </c>
      <c r="B1135" s="22" t="str">
        <f aca="false">customer_churn_dataset!B1139</f>
        <v>Basic</v>
      </c>
      <c r="C1135" s="22" t="str">
        <f aca="false">customer_churn_dataset!C1139</f>
        <v>Two year</v>
      </c>
      <c r="D1135" s="0" t="n">
        <f aca="false">INDEX(customer_churn_dataset!$E$2:$E$1501,MATCH($A1136,customer_churn_dataset!$A$2:$A$1501,0))</f>
        <v>0</v>
      </c>
      <c r="E1135" s="0" t="n">
        <f aca="false">INDEX(customer_churn_dataset!$I$2:$I$1501,MATCH($A1136,customer_churn_dataset!$A$2:$A$1501,0))</f>
        <v>64.8</v>
      </c>
      <c r="F1135" s="0" t="n">
        <f aca="false">INDEX(customer_churn_dataset!$L$2:$L$1501,MATCH($A1136,customer_churn_dataset!$A$2:$A$1501,0))</f>
        <v>1</v>
      </c>
      <c r="G1135" s="0" t="str">
        <f aca="false">IF(INDEX(customer_churn_dataset!$M$2:$M$1501,MATCH($A1136,customer_churn_dataset!$A$2:$A$1501,0))=1,"Yes","No")</f>
        <v>Yes</v>
      </c>
      <c r="H1135" s="0" t="n">
        <f aca="false">INDEX(customer_churn_dataset!$N$2:$N$1501,MATCH($A1136,customer_churn_dataset!$A$2:$A$1501,0))</f>
        <v>0</v>
      </c>
      <c r="I1135" s="0" t="n">
        <f aca="false">INDEX(customer_churn_dataset!$O$2:$O$1501,MATCH($A1136,customer_churn_dataset!$A$2:$A$1501,0))</f>
        <v>0</v>
      </c>
      <c r="J1135" s="0" t="n">
        <f aca="false">INDEX(customer_churn_dataset!$T$2:$T$1501,MATCH($A1136,customer_churn_dataset!$A$2:$A$1501,0))</f>
        <v>6</v>
      </c>
      <c r="K1135" s="0" t="str">
        <f aca="false">INDEX(customer_churn_dataset!$V$2:$V$1501,MATCH($A1136,customer_churn_dataset!$A$2:$A$1501,0))</f>
        <v>High Risk</v>
      </c>
    </row>
    <row r="1136" customFormat="false" ht="12.8" hidden="true" customHeight="false" outlineLevel="0" collapsed="false">
      <c r="A1136" s="22" t="str">
        <f aca="false">customer_churn_dataset!A1148</f>
        <v>CUST100307</v>
      </c>
      <c r="B1136" s="22" t="str">
        <f aca="false">customer_churn_dataset!B1148</f>
        <v>Basic</v>
      </c>
      <c r="C1136" s="22" t="str">
        <f aca="false">customer_churn_dataset!C1148</f>
        <v>Month-to-month</v>
      </c>
      <c r="D1136" s="0" t="n">
        <f aca="false">INDEX(customer_churn_dataset!$E$2:$E$1501,MATCH($A1137,customer_churn_dataset!$A$2:$A$1501,0))</f>
        <v>6</v>
      </c>
      <c r="E1136" s="0" t="n">
        <f aca="false">INDEX(customer_churn_dataset!$I$2:$I$1501,MATCH($A1137,customer_churn_dataset!$A$2:$A$1501,0))</f>
        <v>50.6</v>
      </c>
      <c r="F1136" s="0" t="n">
        <f aca="false">INDEX(customer_churn_dataset!$L$2:$L$1501,MATCH($A1137,customer_churn_dataset!$A$2:$A$1501,0))</f>
        <v>0</v>
      </c>
      <c r="G1136" s="0" t="str">
        <f aca="false">IF(INDEX(customer_churn_dataset!$M$2:$M$1501,MATCH($A1137,customer_churn_dataset!$A$2:$A$1501,0))=1,"Yes","No")</f>
        <v>No</v>
      </c>
      <c r="H1136" s="0" t="n">
        <f aca="false">INDEX(customer_churn_dataset!$N$2:$N$1501,MATCH($A1137,customer_churn_dataset!$A$2:$A$1501,0))</f>
        <v>65.04</v>
      </c>
      <c r="I1136" s="0" t="n">
        <f aca="false">INDEX(customer_churn_dataset!$O$2:$O$1501,MATCH($A1137,customer_churn_dataset!$A$2:$A$1501,0))</f>
        <v>0</v>
      </c>
      <c r="J1136" s="0" t="n">
        <f aca="false">INDEX(customer_churn_dataset!$T$2:$T$1501,MATCH($A1137,customer_churn_dataset!$A$2:$A$1501,0))</f>
        <v>3</v>
      </c>
      <c r="K1136" s="0" t="str">
        <f aca="false">INDEX(customer_churn_dataset!$V$2:$V$1501,MATCH($A1137,customer_churn_dataset!$A$2:$A$1501,0))</f>
        <v>Medium Risk</v>
      </c>
    </row>
    <row r="1137" customFormat="false" ht="12.8" hidden="true" customHeight="false" outlineLevel="0" collapsed="false">
      <c r="A1137" s="22" t="str">
        <f aca="false">customer_churn_dataset!A1152</f>
        <v>CUST100900</v>
      </c>
      <c r="B1137" s="22" t="str">
        <f aca="false">customer_churn_dataset!B1152</f>
        <v>Basic</v>
      </c>
      <c r="C1137" s="22" t="str">
        <f aca="false">customer_churn_dataset!C1152</f>
        <v>One year</v>
      </c>
      <c r="D1137" s="0" t="n">
        <f aca="false">INDEX(customer_churn_dataset!$E$2:$E$1501,MATCH($A1138,customer_churn_dataset!$A$2:$A$1501,0))</f>
        <v>26</v>
      </c>
      <c r="E1137" s="0" t="n">
        <f aca="false">INDEX(customer_churn_dataset!$I$2:$I$1501,MATCH($A1138,customer_churn_dataset!$A$2:$A$1501,0))</f>
        <v>68.9</v>
      </c>
      <c r="F1137" s="0" t="n">
        <f aca="false">INDEX(customer_churn_dataset!$L$2:$L$1501,MATCH($A1138,customer_churn_dataset!$A$2:$A$1501,0))</f>
        <v>0</v>
      </c>
      <c r="G1137" s="0" t="str">
        <f aca="false">IF(INDEX(customer_churn_dataset!$M$2:$M$1501,MATCH($A1138,customer_churn_dataset!$A$2:$A$1501,0))=1,"Yes","No")</f>
        <v>No</v>
      </c>
      <c r="H1137" s="0" t="n">
        <f aca="false">INDEX(customer_churn_dataset!$N$2:$N$1501,MATCH($A1138,customer_churn_dataset!$A$2:$A$1501,0))</f>
        <v>255.06</v>
      </c>
      <c r="I1137" s="0" t="n">
        <f aca="false">INDEX(customer_churn_dataset!$O$2:$O$1501,MATCH($A1138,customer_churn_dataset!$A$2:$A$1501,0))</f>
        <v>0</v>
      </c>
      <c r="J1137" s="0" t="n">
        <f aca="false">INDEX(customer_churn_dataset!$T$2:$T$1501,MATCH($A1138,customer_churn_dataset!$A$2:$A$1501,0))</f>
        <v>1</v>
      </c>
      <c r="K1137" s="0" t="str">
        <f aca="false">INDEX(customer_churn_dataset!$V$2:$V$1501,MATCH($A1138,customer_churn_dataset!$A$2:$A$1501,0))</f>
        <v>Low Risk</v>
      </c>
    </row>
    <row r="1138" customFormat="false" ht="12.8" hidden="true" customHeight="false" outlineLevel="0" collapsed="false">
      <c r="A1138" s="22" t="str">
        <f aca="false">customer_churn_dataset!A1161</f>
        <v>CUST100607</v>
      </c>
      <c r="B1138" s="22" t="str">
        <f aca="false">customer_churn_dataset!B1161</f>
        <v>Basic</v>
      </c>
      <c r="C1138" s="22" t="str">
        <f aca="false">customer_churn_dataset!C1161</f>
        <v>One year</v>
      </c>
      <c r="D1138" s="0" t="n">
        <f aca="false">INDEX(customer_churn_dataset!$E$2:$E$1501,MATCH($A1139,customer_churn_dataset!$A$2:$A$1501,0))</f>
        <v>29</v>
      </c>
      <c r="E1138" s="0" t="n">
        <f aca="false">INDEX(customer_churn_dataset!$I$2:$I$1501,MATCH($A1139,customer_churn_dataset!$A$2:$A$1501,0))</f>
        <v>78.1</v>
      </c>
      <c r="F1138" s="0" t="n">
        <f aca="false">INDEX(customer_churn_dataset!$L$2:$L$1501,MATCH($A1139,customer_churn_dataset!$A$2:$A$1501,0))</f>
        <v>0</v>
      </c>
      <c r="G1138" s="0" t="str">
        <f aca="false">IF(INDEX(customer_churn_dataset!$M$2:$M$1501,MATCH($A1139,customer_churn_dataset!$A$2:$A$1501,0))=1,"Yes","No")</f>
        <v>No</v>
      </c>
      <c r="H1138" s="0" t="n">
        <f aca="false">INDEX(customer_churn_dataset!$N$2:$N$1501,MATCH($A1139,customer_churn_dataset!$A$2:$A$1501,0))</f>
        <v>1154.2</v>
      </c>
      <c r="I1138" s="0" t="n">
        <f aca="false">INDEX(customer_churn_dataset!$O$2:$O$1501,MATCH($A1139,customer_churn_dataset!$A$2:$A$1501,0))</f>
        <v>0</v>
      </c>
      <c r="J1138" s="0" t="n">
        <f aca="false">INDEX(customer_churn_dataset!$T$2:$T$1501,MATCH($A1139,customer_churn_dataset!$A$2:$A$1501,0))</f>
        <v>2</v>
      </c>
      <c r="K1138" s="0" t="str">
        <f aca="false">INDEX(customer_churn_dataset!$V$2:$V$1501,MATCH($A1139,customer_churn_dataset!$A$2:$A$1501,0))</f>
        <v>Low Risk</v>
      </c>
    </row>
    <row r="1139" customFormat="false" ht="12.8" hidden="true" customHeight="false" outlineLevel="0" collapsed="false">
      <c r="A1139" s="22" t="str">
        <f aca="false">customer_churn_dataset!A1164</f>
        <v>CUST100351</v>
      </c>
      <c r="B1139" s="22" t="str">
        <f aca="false">customer_churn_dataset!B1164</f>
        <v>Premium</v>
      </c>
      <c r="C1139" s="22" t="str">
        <f aca="false">customer_churn_dataset!C1164</f>
        <v>Month-to-month</v>
      </c>
      <c r="D1139" s="0" t="n">
        <f aca="false">INDEX(customer_churn_dataset!$E$2:$E$1501,MATCH($A1140,customer_churn_dataset!$A$2:$A$1501,0))</f>
        <v>9</v>
      </c>
      <c r="E1139" s="0" t="n">
        <f aca="false">INDEX(customer_churn_dataset!$I$2:$I$1501,MATCH($A1140,customer_churn_dataset!$A$2:$A$1501,0))</f>
        <v>79</v>
      </c>
      <c r="F1139" s="0" t="n">
        <f aca="false">INDEX(customer_churn_dataset!$L$2:$L$1501,MATCH($A1140,customer_churn_dataset!$A$2:$A$1501,0))</f>
        <v>3</v>
      </c>
      <c r="G1139" s="0" t="str">
        <f aca="false">IF(INDEX(customer_churn_dataset!$M$2:$M$1501,MATCH($A1140,customer_churn_dataset!$A$2:$A$1501,0))=1,"Yes","No")</f>
        <v>No</v>
      </c>
      <c r="H1139" s="0" t="n">
        <f aca="false">INDEX(customer_churn_dataset!$N$2:$N$1501,MATCH($A1140,customer_churn_dataset!$A$2:$A$1501,0))</f>
        <v>181.53</v>
      </c>
      <c r="I1139" s="0" t="n">
        <f aca="false">INDEX(customer_churn_dataset!$O$2:$O$1501,MATCH($A1140,customer_churn_dataset!$A$2:$A$1501,0))</f>
        <v>1</v>
      </c>
      <c r="J1139" s="0" t="n">
        <f aca="false">INDEX(customer_churn_dataset!$T$2:$T$1501,MATCH($A1140,customer_churn_dataset!$A$2:$A$1501,0))</f>
        <v>4</v>
      </c>
      <c r="K1139" s="0" t="str">
        <f aca="false">INDEX(customer_churn_dataset!$V$2:$V$1501,MATCH($A1140,customer_churn_dataset!$A$2:$A$1501,0))</f>
        <v>Medium Risk</v>
      </c>
    </row>
    <row r="1140" customFormat="false" ht="12.8" hidden="true" customHeight="false" outlineLevel="0" collapsed="false">
      <c r="A1140" s="22" t="str">
        <f aca="false">customer_churn_dataset!A1171</f>
        <v>CUST100020</v>
      </c>
      <c r="B1140" s="22" t="str">
        <f aca="false">customer_churn_dataset!B1171</f>
        <v>Standard</v>
      </c>
      <c r="C1140" s="22" t="str">
        <f aca="false">customer_churn_dataset!C1171</f>
        <v>Month-to-month</v>
      </c>
      <c r="D1140" s="0" t="n">
        <f aca="false">INDEX(customer_churn_dataset!$E$2:$E$1501,MATCH($A1141,customer_churn_dataset!$A$2:$A$1501,0))</f>
        <v>49</v>
      </c>
      <c r="E1140" s="0" t="n">
        <f aca="false">INDEX(customer_churn_dataset!$I$2:$I$1501,MATCH($A1141,customer_churn_dataset!$A$2:$A$1501,0))</f>
        <v>34.4</v>
      </c>
      <c r="F1140" s="0" t="n">
        <f aca="false">INDEX(customer_churn_dataset!$L$2:$L$1501,MATCH($A1141,customer_churn_dataset!$A$2:$A$1501,0))</f>
        <v>0</v>
      </c>
      <c r="G1140" s="0" t="str">
        <f aca="false">IF(INDEX(customer_churn_dataset!$M$2:$M$1501,MATCH($A1141,customer_churn_dataset!$A$2:$A$1501,0))=1,"Yes","No")</f>
        <v>No</v>
      </c>
      <c r="H1140" s="0" t="n">
        <f aca="false">INDEX(customer_churn_dataset!$N$2:$N$1501,MATCH($A1141,customer_churn_dataset!$A$2:$A$1501,0))</f>
        <v>498.33</v>
      </c>
      <c r="I1140" s="0" t="n">
        <f aca="false">INDEX(customer_churn_dataset!$O$2:$O$1501,MATCH($A1141,customer_churn_dataset!$A$2:$A$1501,0))</f>
        <v>0</v>
      </c>
      <c r="J1140" s="0" t="n">
        <f aca="false">INDEX(customer_churn_dataset!$T$2:$T$1501,MATCH($A1141,customer_churn_dataset!$A$2:$A$1501,0))</f>
        <v>4</v>
      </c>
      <c r="K1140" s="0" t="str">
        <f aca="false">INDEX(customer_churn_dataset!$V$2:$V$1501,MATCH($A1141,customer_churn_dataset!$A$2:$A$1501,0))</f>
        <v>Medium Risk</v>
      </c>
    </row>
    <row r="1141" customFormat="false" ht="12.8" hidden="true" customHeight="false" outlineLevel="0" collapsed="false">
      <c r="A1141" s="22" t="str">
        <f aca="false">customer_churn_dataset!A1177</f>
        <v>CUST100539</v>
      </c>
      <c r="B1141" s="22" t="str">
        <f aca="false">customer_churn_dataset!B1177</f>
        <v>Basic</v>
      </c>
      <c r="C1141" s="22" t="str">
        <f aca="false">customer_churn_dataset!C1177</f>
        <v>Month-to-month</v>
      </c>
      <c r="D1141" s="0" t="n">
        <f aca="false">INDEX(customer_churn_dataset!$E$2:$E$1501,MATCH($A1142,customer_churn_dataset!$A$2:$A$1501,0))</f>
        <v>72</v>
      </c>
      <c r="E1141" s="0" t="n">
        <f aca="false">INDEX(customer_churn_dataset!$I$2:$I$1501,MATCH($A1142,customer_churn_dataset!$A$2:$A$1501,0))</f>
        <v>51.1</v>
      </c>
      <c r="F1141" s="0" t="n">
        <f aca="false">INDEX(customer_churn_dataset!$L$2:$L$1501,MATCH($A1142,customer_churn_dataset!$A$2:$A$1501,0))</f>
        <v>0</v>
      </c>
      <c r="G1141" s="0" t="str">
        <f aca="false">IF(INDEX(customer_churn_dataset!$M$2:$M$1501,MATCH($A1142,customer_churn_dataset!$A$2:$A$1501,0))=1,"Yes","No")</f>
        <v>No</v>
      </c>
      <c r="H1141" s="0" t="n">
        <f aca="false">INDEX(customer_churn_dataset!$N$2:$N$1501,MATCH($A1142,customer_churn_dataset!$A$2:$A$1501,0))</f>
        <v>784.08</v>
      </c>
      <c r="I1141" s="0" t="n">
        <f aca="false">INDEX(customer_churn_dataset!$O$2:$O$1501,MATCH($A1142,customer_churn_dataset!$A$2:$A$1501,0))</f>
        <v>0</v>
      </c>
      <c r="J1141" s="0" t="n">
        <f aca="false">INDEX(customer_churn_dataset!$T$2:$T$1501,MATCH($A1142,customer_churn_dataset!$A$2:$A$1501,0))</f>
        <v>3</v>
      </c>
      <c r="K1141" s="0" t="str">
        <f aca="false">INDEX(customer_churn_dataset!$V$2:$V$1501,MATCH($A1142,customer_churn_dataset!$A$2:$A$1501,0))</f>
        <v>Medium Risk</v>
      </c>
    </row>
    <row r="1142" customFormat="false" ht="12.8" hidden="true" customHeight="false" outlineLevel="0" collapsed="false">
      <c r="A1142" s="22" t="str">
        <f aca="false">customer_churn_dataset!A1192</f>
        <v>CUST101489</v>
      </c>
      <c r="B1142" s="22" t="str">
        <f aca="false">customer_churn_dataset!B1192</f>
        <v>Basic</v>
      </c>
      <c r="C1142" s="22" t="str">
        <f aca="false">customer_churn_dataset!C1192</f>
        <v>Month-to-month</v>
      </c>
      <c r="D1142" s="0" t="n">
        <f aca="false">INDEX(customer_churn_dataset!$E$2:$E$1501,MATCH($A1143,customer_churn_dataset!$A$2:$A$1501,0))</f>
        <v>4</v>
      </c>
      <c r="E1142" s="0" t="n">
        <f aca="false">INDEX(customer_churn_dataset!$I$2:$I$1501,MATCH($A1143,customer_churn_dataset!$A$2:$A$1501,0))</f>
        <v>31.6</v>
      </c>
      <c r="F1142" s="0" t="n">
        <f aca="false">INDEX(customer_churn_dataset!$L$2:$L$1501,MATCH($A1143,customer_churn_dataset!$A$2:$A$1501,0))</f>
        <v>3</v>
      </c>
      <c r="G1142" s="0" t="str">
        <f aca="false">IF(INDEX(customer_churn_dataset!$M$2:$M$1501,MATCH($A1143,customer_churn_dataset!$A$2:$A$1501,0))=1,"Yes","No")</f>
        <v>Yes</v>
      </c>
      <c r="H1142" s="0" t="n">
        <f aca="false">INDEX(customer_churn_dataset!$N$2:$N$1501,MATCH($A1143,customer_churn_dataset!$A$2:$A$1501,0))</f>
        <v>44.32</v>
      </c>
      <c r="I1142" s="0" t="n">
        <f aca="false">INDEX(customer_churn_dataset!$O$2:$O$1501,MATCH($A1143,customer_churn_dataset!$A$2:$A$1501,0))</f>
        <v>0</v>
      </c>
      <c r="J1142" s="0" t="n">
        <f aca="false">INDEX(customer_churn_dataset!$T$2:$T$1501,MATCH($A1143,customer_churn_dataset!$A$2:$A$1501,0))</f>
        <v>7</v>
      </c>
      <c r="K1142" s="0" t="str">
        <f aca="false">INDEX(customer_churn_dataset!$V$2:$V$1501,MATCH($A1143,customer_churn_dataset!$A$2:$A$1501,0))</f>
        <v>High Risk</v>
      </c>
    </row>
    <row r="1143" customFormat="false" ht="12.8" hidden="true" customHeight="false" outlineLevel="0" collapsed="false">
      <c r="A1143" s="22" t="str">
        <f aca="false">customer_churn_dataset!A1200</f>
        <v>CUST100148</v>
      </c>
      <c r="B1143" s="22" t="str">
        <f aca="false">customer_churn_dataset!B1200</f>
        <v>Basic</v>
      </c>
      <c r="C1143" s="22" t="str">
        <f aca="false">customer_churn_dataset!C1200</f>
        <v>Two year</v>
      </c>
      <c r="D1143" s="0" t="n">
        <f aca="false">INDEX(customer_churn_dataset!$E$2:$E$1501,MATCH($A1144,customer_churn_dataset!$A$2:$A$1501,0))</f>
        <v>24</v>
      </c>
      <c r="E1143" s="0" t="n">
        <f aca="false">INDEX(customer_churn_dataset!$I$2:$I$1501,MATCH($A1144,customer_churn_dataset!$A$2:$A$1501,0))</f>
        <v>66.8</v>
      </c>
      <c r="F1143" s="0" t="n">
        <f aca="false">INDEX(customer_churn_dataset!$L$2:$L$1501,MATCH($A1144,customer_churn_dataset!$A$2:$A$1501,0))</f>
        <v>1</v>
      </c>
      <c r="G1143" s="0" t="str">
        <f aca="false">IF(INDEX(customer_churn_dataset!$M$2:$M$1501,MATCH($A1144,customer_churn_dataset!$A$2:$A$1501,0))=1,"Yes","No")</f>
        <v>No</v>
      </c>
      <c r="H1143" s="0" t="n">
        <f aca="false">INDEX(customer_churn_dataset!$N$2:$N$1501,MATCH($A1144,customer_churn_dataset!$A$2:$A$1501,0))</f>
        <v>197.28</v>
      </c>
      <c r="I1143" s="0" t="n">
        <f aca="false">INDEX(customer_churn_dataset!$O$2:$O$1501,MATCH($A1144,customer_churn_dataset!$A$2:$A$1501,0))</f>
        <v>0</v>
      </c>
      <c r="J1143" s="0" t="n">
        <f aca="false">INDEX(customer_churn_dataset!$T$2:$T$1501,MATCH($A1144,customer_churn_dataset!$A$2:$A$1501,0))</f>
        <v>2</v>
      </c>
      <c r="K1143" s="0" t="str">
        <f aca="false">INDEX(customer_churn_dataset!$V$2:$V$1501,MATCH($A1144,customer_churn_dataset!$A$2:$A$1501,0))</f>
        <v>Low Risk</v>
      </c>
    </row>
    <row r="1144" customFormat="false" ht="12.8" hidden="false" customHeight="false" outlineLevel="0" collapsed="false">
      <c r="A1144" s="23" t="str">
        <f aca="false">customer_churn_dataset!A1202</f>
        <v>CUST100790</v>
      </c>
      <c r="B1144" s="24" t="str">
        <f aca="false">customer_churn_dataset!B1202</f>
        <v>Basic</v>
      </c>
      <c r="C1144" s="24" t="str">
        <f aca="false">customer_churn_dataset!C1202</f>
        <v>Month-to-month</v>
      </c>
      <c r="D1144" s="25" t="n">
        <f aca="false">INDEX(customer_churn_dataset!$E$2:$E$1501,MATCH($A1145,customer_churn_dataset!$A$2:$A$1501,0))</f>
        <v>10</v>
      </c>
      <c r="E1144" s="25" t="n">
        <f aca="false">INDEX(customer_churn_dataset!$I$2:$I$1501,MATCH($A1145,customer_churn_dataset!$A$2:$A$1501,0))</f>
        <v>51.4</v>
      </c>
      <c r="F1144" s="25" t="n">
        <f aca="false">INDEX(customer_churn_dataset!$L$2:$L$1501,MATCH($A1145,customer_churn_dataset!$A$2:$A$1501,0))</f>
        <v>2</v>
      </c>
      <c r="G1144" s="25" t="str">
        <f aca="false">IF(INDEX(customer_churn_dataset!$M$2:$M$1501,MATCH($A1145,customer_churn_dataset!$A$2:$A$1501,0))=1,"Yes","No")</f>
        <v>Yes</v>
      </c>
      <c r="H1144" s="25" t="n">
        <f aca="false">INDEX(customer_churn_dataset!$N$2:$N$1501,MATCH($A1145,customer_churn_dataset!$A$2:$A$1501,0))</f>
        <v>190.2</v>
      </c>
      <c r="I1144" s="25" t="n">
        <f aca="false">INDEX(customer_churn_dataset!$O$2:$O$1501,MATCH($A1145,customer_churn_dataset!$A$2:$A$1501,0))</f>
        <v>0</v>
      </c>
      <c r="J1144" s="25" t="n">
        <f aca="false">INDEX(customer_churn_dataset!$T$2:$T$1501,MATCH($A1145,customer_churn_dataset!$A$2:$A$1501,0))</f>
        <v>8</v>
      </c>
      <c r="K1144" s="25" t="str">
        <f aca="false">INDEX(customer_churn_dataset!$V$2:$V$1501,MATCH($A1145,customer_churn_dataset!$A$2:$A$1501,0))</f>
        <v>High Risk</v>
      </c>
    </row>
    <row r="1145" customFormat="false" ht="12.8" hidden="true" customHeight="false" outlineLevel="0" collapsed="false">
      <c r="A1145" s="22" t="str">
        <f aca="false">customer_churn_dataset!A1218</f>
        <v>CUST100549</v>
      </c>
      <c r="B1145" s="22" t="str">
        <f aca="false">customer_churn_dataset!B1218</f>
        <v>Standard</v>
      </c>
      <c r="C1145" s="22" t="str">
        <f aca="false">customer_churn_dataset!C1218</f>
        <v>Month-to-month</v>
      </c>
      <c r="D1145" s="0" t="n">
        <f aca="false">INDEX(customer_churn_dataset!$E$2:$E$1501,MATCH($A1146,customer_churn_dataset!$A$2:$A$1501,0))</f>
        <v>72</v>
      </c>
      <c r="E1145" s="0" t="n">
        <f aca="false">INDEX(customer_churn_dataset!$I$2:$I$1501,MATCH($A1146,customer_churn_dataset!$A$2:$A$1501,0))</f>
        <v>47.7</v>
      </c>
      <c r="F1145" s="0" t="n">
        <f aca="false">INDEX(customer_churn_dataset!$L$2:$L$1501,MATCH($A1146,customer_churn_dataset!$A$2:$A$1501,0))</f>
        <v>1</v>
      </c>
      <c r="G1145" s="0" t="str">
        <f aca="false">IF(INDEX(customer_churn_dataset!$M$2:$M$1501,MATCH($A1146,customer_churn_dataset!$A$2:$A$1501,0))=1,"Yes","No")</f>
        <v>Yes</v>
      </c>
      <c r="H1145" s="0" t="n">
        <f aca="false">INDEX(customer_churn_dataset!$N$2:$N$1501,MATCH($A1146,customer_churn_dataset!$A$2:$A$1501,0))</f>
        <v>812.88</v>
      </c>
      <c r="I1145" s="0" t="n">
        <f aca="false">INDEX(customer_churn_dataset!$O$2:$O$1501,MATCH($A1146,customer_churn_dataset!$A$2:$A$1501,0))</f>
        <v>1</v>
      </c>
      <c r="J1145" s="0" t="n">
        <f aca="false">INDEX(customer_churn_dataset!$T$2:$T$1501,MATCH($A1146,customer_churn_dataset!$A$2:$A$1501,0))</f>
        <v>6</v>
      </c>
      <c r="K1145" s="0" t="str">
        <f aca="false">INDEX(customer_churn_dataset!$V$2:$V$1501,MATCH($A1146,customer_churn_dataset!$A$2:$A$1501,0))</f>
        <v>High Risk</v>
      </c>
    </row>
    <row r="1146" customFormat="false" ht="12.8" hidden="true" customHeight="false" outlineLevel="0" collapsed="false">
      <c r="A1146" s="22" t="str">
        <f aca="false">customer_churn_dataset!A1222</f>
        <v>CUST100704</v>
      </c>
      <c r="B1146" s="22" t="str">
        <f aca="false">customer_churn_dataset!B1222</f>
        <v>Basic</v>
      </c>
      <c r="C1146" s="22" t="str">
        <f aca="false">customer_churn_dataset!C1222</f>
        <v>Month-to-month</v>
      </c>
      <c r="D1146" s="0" t="n">
        <f aca="false">INDEX(customer_churn_dataset!$E$2:$E$1501,MATCH($A1147,customer_churn_dataset!$A$2:$A$1501,0))</f>
        <v>35</v>
      </c>
      <c r="E1146" s="0" t="n">
        <f aca="false">INDEX(customer_churn_dataset!$I$2:$I$1501,MATCH($A1147,customer_churn_dataset!$A$2:$A$1501,0))</f>
        <v>55.2</v>
      </c>
      <c r="F1146" s="0" t="n">
        <f aca="false">INDEX(customer_churn_dataset!$L$2:$L$1501,MATCH($A1147,customer_churn_dataset!$A$2:$A$1501,0))</f>
        <v>1</v>
      </c>
      <c r="G1146" s="0" t="str">
        <f aca="false">IF(INDEX(customer_churn_dataset!$M$2:$M$1501,MATCH($A1147,customer_churn_dataset!$A$2:$A$1501,0))=1,"Yes","No")</f>
        <v>No</v>
      </c>
      <c r="H1146" s="0" t="n">
        <f aca="false">INDEX(customer_churn_dataset!$N$2:$N$1501,MATCH($A1147,customer_churn_dataset!$A$2:$A$1501,0))</f>
        <v>290.5</v>
      </c>
      <c r="I1146" s="0" t="n">
        <f aca="false">INDEX(customer_churn_dataset!$O$2:$O$1501,MATCH($A1147,customer_churn_dataset!$A$2:$A$1501,0))</f>
        <v>0</v>
      </c>
      <c r="J1146" s="0" t="n">
        <f aca="false">INDEX(customer_churn_dataset!$T$2:$T$1501,MATCH($A1147,customer_churn_dataset!$A$2:$A$1501,0))</f>
        <v>2</v>
      </c>
      <c r="K1146" s="0" t="str">
        <f aca="false">INDEX(customer_churn_dataset!$V$2:$V$1501,MATCH($A1147,customer_churn_dataset!$A$2:$A$1501,0))</f>
        <v>Low Risk</v>
      </c>
    </row>
    <row r="1147" customFormat="false" ht="12.8" hidden="true" customHeight="false" outlineLevel="0" collapsed="false">
      <c r="A1147" s="22" t="str">
        <f aca="false">customer_churn_dataset!A1225</f>
        <v>CUST100016</v>
      </c>
      <c r="B1147" s="22" t="str">
        <f aca="false">customer_churn_dataset!B1225</f>
        <v>Basic</v>
      </c>
      <c r="C1147" s="22" t="str">
        <f aca="false">customer_churn_dataset!C1225</f>
        <v>Month-to-month</v>
      </c>
      <c r="D1147" s="0" t="n">
        <f aca="false">INDEX(customer_churn_dataset!$E$2:$E$1501,MATCH($A1148,customer_churn_dataset!$A$2:$A$1501,0))</f>
        <v>44</v>
      </c>
      <c r="E1147" s="0" t="n">
        <f aca="false">INDEX(customer_churn_dataset!$I$2:$I$1501,MATCH($A1148,customer_churn_dataset!$A$2:$A$1501,0))</f>
        <v>39</v>
      </c>
      <c r="F1147" s="0" t="n">
        <f aca="false">INDEX(customer_churn_dataset!$L$2:$L$1501,MATCH($A1148,customer_churn_dataset!$A$2:$A$1501,0))</f>
        <v>1</v>
      </c>
      <c r="G1147" s="0" t="str">
        <f aca="false">IF(INDEX(customer_churn_dataset!$M$2:$M$1501,MATCH($A1148,customer_churn_dataset!$A$2:$A$1501,0))=1,"Yes","No")</f>
        <v>No</v>
      </c>
      <c r="H1147" s="0" t="n">
        <f aca="false">INDEX(customer_churn_dataset!$N$2:$N$1501,MATCH($A1148,customer_churn_dataset!$A$2:$A$1501,0))</f>
        <v>455.84</v>
      </c>
      <c r="I1147" s="0" t="n">
        <f aca="false">INDEX(customer_churn_dataset!$O$2:$O$1501,MATCH($A1148,customer_churn_dataset!$A$2:$A$1501,0))</f>
        <v>0</v>
      </c>
      <c r="J1147" s="0" t="n">
        <f aca="false">INDEX(customer_churn_dataset!$T$2:$T$1501,MATCH($A1148,customer_churn_dataset!$A$2:$A$1501,0))</f>
        <v>2</v>
      </c>
      <c r="K1147" s="0" t="str">
        <f aca="false">INDEX(customer_churn_dataset!$V$2:$V$1501,MATCH($A1148,customer_churn_dataset!$A$2:$A$1501,0))</f>
        <v>Low Risk</v>
      </c>
    </row>
    <row r="1148" customFormat="false" ht="12.8" hidden="true" customHeight="false" outlineLevel="0" collapsed="false">
      <c r="A1148" s="22" t="str">
        <f aca="false">customer_churn_dataset!A1234</f>
        <v>CUST101420</v>
      </c>
      <c r="B1148" s="22" t="str">
        <f aca="false">customer_churn_dataset!B1234</f>
        <v>Basic</v>
      </c>
      <c r="C1148" s="22" t="str">
        <f aca="false">customer_churn_dataset!C1234</f>
        <v>Two year</v>
      </c>
      <c r="D1148" s="0" t="n">
        <f aca="false">INDEX(customer_churn_dataset!$E$2:$E$1501,MATCH($A1149,customer_churn_dataset!$A$2:$A$1501,0))</f>
        <v>24</v>
      </c>
      <c r="E1148" s="0" t="n">
        <f aca="false">INDEX(customer_churn_dataset!$I$2:$I$1501,MATCH($A1149,customer_churn_dataset!$A$2:$A$1501,0))</f>
        <v>51.8</v>
      </c>
      <c r="F1148" s="0" t="n">
        <f aca="false">INDEX(customer_churn_dataset!$L$2:$L$1501,MATCH($A1149,customer_churn_dataset!$A$2:$A$1501,0))</f>
        <v>1</v>
      </c>
      <c r="G1148" s="0" t="str">
        <f aca="false">IF(INDEX(customer_churn_dataset!$M$2:$M$1501,MATCH($A1149,customer_churn_dataset!$A$2:$A$1501,0))=1,"Yes","No")</f>
        <v>Yes</v>
      </c>
      <c r="H1148" s="0" t="n">
        <f aca="false">INDEX(customer_churn_dataset!$N$2:$N$1501,MATCH($A1149,customer_churn_dataset!$A$2:$A$1501,0))</f>
        <v>264.48</v>
      </c>
      <c r="I1148" s="0" t="n">
        <f aca="false">INDEX(customer_churn_dataset!$O$2:$O$1501,MATCH($A1149,customer_churn_dataset!$A$2:$A$1501,0))</f>
        <v>0</v>
      </c>
      <c r="J1148" s="0" t="n">
        <f aca="false">INDEX(customer_churn_dataset!$T$2:$T$1501,MATCH($A1149,customer_churn_dataset!$A$2:$A$1501,0))</f>
        <v>4</v>
      </c>
      <c r="K1148" s="0" t="str">
        <f aca="false">INDEX(customer_churn_dataset!$V$2:$V$1501,MATCH($A1149,customer_churn_dataset!$A$2:$A$1501,0))</f>
        <v>Medium Risk</v>
      </c>
    </row>
    <row r="1149" customFormat="false" ht="12.8" hidden="true" customHeight="false" outlineLevel="0" collapsed="false">
      <c r="A1149" s="22" t="str">
        <f aca="false">customer_churn_dataset!A1243</f>
        <v>CUST101493</v>
      </c>
      <c r="B1149" s="22" t="str">
        <f aca="false">customer_churn_dataset!B1243</f>
        <v>Basic</v>
      </c>
      <c r="C1149" s="22" t="str">
        <f aca="false">customer_churn_dataset!C1243</f>
        <v>Two year</v>
      </c>
      <c r="D1149" s="0" t="n">
        <f aca="false">INDEX(customer_churn_dataset!$E$2:$E$1501,MATCH($A1150,customer_churn_dataset!$A$2:$A$1501,0))</f>
        <v>72</v>
      </c>
      <c r="E1149" s="0" t="n">
        <f aca="false">INDEX(customer_churn_dataset!$I$2:$I$1501,MATCH($A1150,customer_churn_dataset!$A$2:$A$1501,0))</f>
        <v>46.2</v>
      </c>
      <c r="F1149" s="0" t="n">
        <f aca="false">INDEX(customer_churn_dataset!$L$2:$L$1501,MATCH($A1150,customer_churn_dataset!$A$2:$A$1501,0))</f>
        <v>2</v>
      </c>
      <c r="G1149" s="0" t="str">
        <f aca="false">IF(INDEX(customer_churn_dataset!$M$2:$M$1501,MATCH($A1150,customer_churn_dataset!$A$2:$A$1501,0))=1,"Yes","No")</f>
        <v>No</v>
      </c>
      <c r="H1149" s="0" t="n">
        <f aca="false">INDEX(customer_churn_dataset!$N$2:$N$1501,MATCH($A1150,customer_churn_dataset!$A$2:$A$1501,0))</f>
        <v>687.6</v>
      </c>
      <c r="I1149" s="0" t="n">
        <f aca="false">INDEX(customer_churn_dataset!$O$2:$O$1501,MATCH($A1150,customer_churn_dataset!$A$2:$A$1501,0))</f>
        <v>0</v>
      </c>
      <c r="J1149" s="0" t="n">
        <f aca="false">INDEX(customer_churn_dataset!$T$2:$T$1501,MATCH($A1150,customer_churn_dataset!$A$2:$A$1501,0))</f>
        <v>2</v>
      </c>
      <c r="K1149" s="0" t="str">
        <f aca="false">INDEX(customer_churn_dataset!$V$2:$V$1501,MATCH($A1150,customer_churn_dataset!$A$2:$A$1501,0))</f>
        <v>Low Risk</v>
      </c>
    </row>
    <row r="1150" customFormat="false" ht="12.8" hidden="true" customHeight="false" outlineLevel="0" collapsed="false">
      <c r="A1150" s="22" t="str">
        <f aca="false">customer_churn_dataset!A1246</f>
        <v>CUST100208</v>
      </c>
      <c r="B1150" s="22" t="str">
        <f aca="false">customer_churn_dataset!B1246</f>
        <v>Basic</v>
      </c>
      <c r="C1150" s="22" t="str">
        <f aca="false">customer_churn_dataset!C1246</f>
        <v>Two year</v>
      </c>
      <c r="D1150" s="0" t="n">
        <f aca="false">INDEX(customer_churn_dataset!$E$2:$E$1501,MATCH($A1151,customer_churn_dataset!$A$2:$A$1501,0))</f>
        <v>28</v>
      </c>
      <c r="E1150" s="0" t="n">
        <f aca="false">INDEX(customer_churn_dataset!$I$2:$I$1501,MATCH($A1151,customer_churn_dataset!$A$2:$A$1501,0))</f>
        <v>77.4</v>
      </c>
      <c r="F1150" s="0" t="n">
        <f aca="false">INDEX(customer_churn_dataset!$L$2:$L$1501,MATCH($A1151,customer_churn_dataset!$A$2:$A$1501,0))</f>
        <v>0</v>
      </c>
      <c r="G1150" s="0" t="str">
        <f aca="false">IF(INDEX(customer_churn_dataset!$M$2:$M$1501,MATCH($A1151,customer_churn_dataset!$A$2:$A$1501,0))=1,"Yes","No")</f>
        <v>No</v>
      </c>
      <c r="H1150" s="0" t="n">
        <f aca="false">INDEX(customer_churn_dataset!$N$2:$N$1501,MATCH($A1151,customer_churn_dataset!$A$2:$A$1501,0))</f>
        <v>553.84</v>
      </c>
      <c r="I1150" s="0" t="n">
        <f aca="false">INDEX(customer_churn_dataset!$O$2:$O$1501,MATCH($A1151,customer_churn_dataset!$A$2:$A$1501,0))</f>
        <v>0</v>
      </c>
      <c r="J1150" s="0" t="n">
        <f aca="false">INDEX(customer_churn_dataset!$T$2:$T$1501,MATCH($A1151,customer_churn_dataset!$A$2:$A$1501,0))</f>
        <v>1</v>
      </c>
      <c r="K1150" s="0" t="str">
        <f aca="false">INDEX(customer_churn_dataset!$V$2:$V$1501,MATCH($A1151,customer_churn_dataset!$A$2:$A$1501,0))</f>
        <v>Low Risk</v>
      </c>
    </row>
    <row r="1151" customFormat="false" ht="12.8" hidden="true" customHeight="false" outlineLevel="0" collapsed="false">
      <c r="A1151" s="22" t="str">
        <f aca="false">customer_churn_dataset!A1248</f>
        <v>CUST100172</v>
      </c>
      <c r="B1151" s="22" t="str">
        <f aca="false">customer_churn_dataset!B1248</f>
        <v>Standard</v>
      </c>
      <c r="C1151" s="22" t="str">
        <f aca="false">customer_churn_dataset!C1248</f>
        <v>One year</v>
      </c>
      <c r="D1151" s="0" t="n">
        <f aca="false">INDEX(customer_churn_dataset!$E$2:$E$1501,MATCH($A1152,customer_churn_dataset!$A$2:$A$1501,0))</f>
        <v>37</v>
      </c>
      <c r="E1151" s="0" t="n">
        <f aca="false">INDEX(customer_churn_dataset!$I$2:$I$1501,MATCH($A1152,customer_churn_dataset!$A$2:$A$1501,0))</f>
        <v>48.7</v>
      </c>
      <c r="F1151" s="0" t="n">
        <f aca="false">INDEX(customer_churn_dataset!$L$2:$L$1501,MATCH($A1152,customer_churn_dataset!$A$2:$A$1501,0))</f>
        <v>3</v>
      </c>
      <c r="G1151" s="0" t="str">
        <f aca="false">IF(INDEX(customer_churn_dataset!$M$2:$M$1501,MATCH($A1152,customer_churn_dataset!$A$2:$A$1501,0))=1,"Yes","No")</f>
        <v>Yes</v>
      </c>
      <c r="H1151" s="0" t="n">
        <f aca="false">INDEX(customer_churn_dataset!$N$2:$N$1501,MATCH($A1152,customer_churn_dataset!$A$2:$A$1501,0))</f>
        <v>757.76</v>
      </c>
      <c r="I1151" s="0" t="n">
        <f aca="false">INDEX(customer_churn_dataset!$O$2:$O$1501,MATCH($A1152,customer_churn_dataset!$A$2:$A$1501,0))</f>
        <v>0</v>
      </c>
      <c r="J1151" s="0" t="n">
        <f aca="false">INDEX(customer_churn_dataset!$T$2:$T$1501,MATCH($A1152,customer_churn_dataset!$A$2:$A$1501,0))</f>
        <v>6</v>
      </c>
      <c r="K1151" s="0" t="str">
        <f aca="false">INDEX(customer_churn_dataset!$V$2:$V$1501,MATCH($A1152,customer_churn_dataset!$A$2:$A$1501,0))</f>
        <v>High Risk</v>
      </c>
    </row>
    <row r="1152" customFormat="false" ht="12.8" hidden="true" customHeight="false" outlineLevel="0" collapsed="false">
      <c r="A1152" s="22" t="str">
        <f aca="false">customer_churn_dataset!A1256</f>
        <v>CUST101182</v>
      </c>
      <c r="B1152" s="22" t="str">
        <f aca="false">customer_churn_dataset!B1256</f>
        <v>Standard</v>
      </c>
      <c r="C1152" s="22" t="str">
        <f aca="false">customer_churn_dataset!C1256</f>
        <v>One year</v>
      </c>
      <c r="D1152" s="0" t="n">
        <f aca="false">INDEX(customer_churn_dataset!$E$2:$E$1501,MATCH($A1153,customer_churn_dataset!$A$2:$A$1501,0))</f>
        <v>9</v>
      </c>
      <c r="E1152" s="0" t="n">
        <f aca="false">INDEX(customer_churn_dataset!$I$2:$I$1501,MATCH($A1153,customer_churn_dataset!$A$2:$A$1501,0))</f>
        <v>29.3</v>
      </c>
      <c r="F1152" s="0" t="n">
        <f aca="false">INDEX(customer_churn_dataset!$L$2:$L$1501,MATCH($A1153,customer_churn_dataset!$A$2:$A$1501,0))</f>
        <v>2</v>
      </c>
      <c r="G1152" s="0" t="str">
        <f aca="false">IF(INDEX(customer_churn_dataset!$M$2:$M$1501,MATCH($A1153,customer_churn_dataset!$A$2:$A$1501,0))=1,"Yes","No")</f>
        <v>No</v>
      </c>
      <c r="H1152" s="0" t="n">
        <f aca="false">INDEX(customer_churn_dataset!$N$2:$N$1501,MATCH($A1153,customer_churn_dataset!$A$2:$A$1501,0))</f>
        <v>372.51</v>
      </c>
      <c r="I1152" s="0" t="n">
        <f aca="false">INDEX(customer_churn_dataset!$O$2:$O$1501,MATCH($A1153,customer_churn_dataset!$A$2:$A$1501,0))</f>
        <v>1</v>
      </c>
      <c r="J1152" s="0" t="n">
        <f aca="false">INDEX(customer_churn_dataset!$T$2:$T$1501,MATCH($A1153,customer_churn_dataset!$A$2:$A$1501,0))</f>
        <v>6</v>
      </c>
      <c r="K1152" s="0" t="str">
        <f aca="false">INDEX(customer_churn_dataset!$V$2:$V$1501,MATCH($A1153,customer_churn_dataset!$A$2:$A$1501,0))</f>
        <v>High Risk</v>
      </c>
    </row>
    <row r="1153" customFormat="false" ht="12.8" hidden="true" customHeight="false" outlineLevel="0" collapsed="false">
      <c r="A1153" s="22" t="str">
        <f aca="false">customer_churn_dataset!A1269</f>
        <v>CUST100715</v>
      </c>
      <c r="B1153" s="22" t="str">
        <f aca="false">customer_churn_dataset!B1269</f>
        <v>Premium</v>
      </c>
      <c r="C1153" s="22" t="str">
        <f aca="false">customer_churn_dataset!C1269</f>
        <v>Month-to-month</v>
      </c>
      <c r="D1153" s="0" t="n">
        <f aca="false">INDEX(customer_churn_dataset!$E$2:$E$1501,MATCH($A1154,customer_churn_dataset!$A$2:$A$1501,0))</f>
        <v>11</v>
      </c>
      <c r="E1153" s="0" t="n">
        <f aca="false">INDEX(customer_churn_dataset!$I$2:$I$1501,MATCH($A1154,customer_churn_dataset!$A$2:$A$1501,0))</f>
        <v>64.8</v>
      </c>
      <c r="F1153" s="0" t="n">
        <f aca="false">INDEX(customer_churn_dataset!$L$2:$L$1501,MATCH($A1154,customer_churn_dataset!$A$2:$A$1501,0))</f>
        <v>2</v>
      </c>
      <c r="G1153" s="0" t="str">
        <f aca="false">IF(INDEX(customer_churn_dataset!$M$2:$M$1501,MATCH($A1154,customer_churn_dataset!$A$2:$A$1501,0))=1,"Yes","No")</f>
        <v>No</v>
      </c>
      <c r="H1153" s="0" t="n">
        <f aca="false">INDEX(customer_churn_dataset!$N$2:$N$1501,MATCH($A1154,customer_churn_dataset!$A$2:$A$1501,0))</f>
        <v>111.98</v>
      </c>
      <c r="I1153" s="0" t="n">
        <f aca="false">INDEX(customer_churn_dataset!$O$2:$O$1501,MATCH($A1154,customer_churn_dataset!$A$2:$A$1501,0))</f>
        <v>0</v>
      </c>
      <c r="J1153" s="0" t="n">
        <f aca="false">INDEX(customer_churn_dataset!$T$2:$T$1501,MATCH($A1154,customer_churn_dataset!$A$2:$A$1501,0))</f>
        <v>4</v>
      </c>
      <c r="K1153" s="0" t="str">
        <f aca="false">INDEX(customer_churn_dataset!$V$2:$V$1501,MATCH($A1154,customer_churn_dataset!$A$2:$A$1501,0))</f>
        <v>Medium Risk</v>
      </c>
    </row>
    <row r="1154" customFormat="false" ht="12.8" hidden="true" customHeight="false" outlineLevel="0" collapsed="false">
      <c r="A1154" s="22" t="str">
        <f aca="false">customer_churn_dataset!A1278</f>
        <v>CUST100557</v>
      </c>
      <c r="B1154" s="22" t="str">
        <f aca="false">customer_churn_dataset!B1278</f>
        <v>Basic</v>
      </c>
      <c r="C1154" s="22" t="str">
        <f aca="false">customer_churn_dataset!C1278</f>
        <v>Month-to-month</v>
      </c>
      <c r="D1154" s="0" t="n">
        <f aca="false">INDEX(customer_churn_dataset!$E$2:$E$1501,MATCH($A1155,customer_churn_dataset!$A$2:$A$1501,0))</f>
        <v>6</v>
      </c>
      <c r="E1154" s="0" t="n">
        <f aca="false">INDEX(customer_churn_dataset!$I$2:$I$1501,MATCH($A1155,customer_churn_dataset!$A$2:$A$1501,0))</f>
        <v>81.8</v>
      </c>
      <c r="F1154" s="0" t="n">
        <f aca="false">INDEX(customer_churn_dataset!$L$2:$L$1501,MATCH($A1155,customer_churn_dataset!$A$2:$A$1501,0))</f>
        <v>2</v>
      </c>
      <c r="G1154" s="0" t="str">
        <f aca="false">IF(INDEX(customer_churn_dataset!$M$2:$M$1501,MATCH($A1155,customer_churn_dataset!$A$2:$A$1501,0))=1,"Yes","No")</f>
        <v>Yes</v>
      </c>
      <c r="H1154" s="0" t="n">
        <f aca="false">INDEX(customer_churn_dataset!$N$2:$N$1501,MATCH($A1155,customer_churn_dataset!$A$2:$A$1501,0))</f>
        <v>56.64</v>
      </c>
      <c r="I1154" s="0" t="n">
        <f aca="false">INDEX(customer_churn_dataset!$O$2:$O$1501,MATCH($A1155,customer_churn_dataset!$A$2:$A$1501,0))</f>
        <v>0</v>
      </c>
      <c r="J1154" s="0" t="n">
        <f aca="false">INDEX(customer_churn_dataset!$T$2:$T$1501,MATCH($A1155,customer_churn_dataset!$A$2:$A$1501,0))</f>
        <v>7</v>
      </c>
      <c r="K1154" s="0" t="str">
        <f aca="false">INDEX(customer_churn_dataset!$V$2:$V$1501,MATCH($A1155,customer_churn_dataset!$A$2:$A$1501,0))</f>
        <v>High Risk</v>
      </c>
    </row>
    <row r="1155" customFormat="false" ht="12.8" hidden="true" customHeight="false" outlineLevel="0" collapsed="false">
      <c r="A1155" s="22" t="str">
        <f aca="false">customer_churn_dataset!A1285</f>
        <v>CUST100924</v>
      </c>
      <c r="B1155" s="22" t="str">
        <f aca="false">customer_churn_dataset!B1285</f>
        <v>Basic</v>
      </c>
      <c r="C1155" s="22" t="str">
        <f aca="false">customer_churn_dataset!C1285</f>
        <v>Month-to-month</v>
      </c>
      <c r="D1155" s="0" t="n">
        <f aca="false">INDEX(customer_churn_dataset!$E$2:$E$1501,MATCH($A1156,customer_churn_dataset!$A$2:$A$1501,0))</f>
        <v>6</v>
      </c>
      <c r="E1155" s="0" t="n">
        <f aca="false">INDEX(customer_churn_dataset!$I$2:$I$1501,MATCH($A1156,customer_churn_dataset!$A$2:$A$1501,0))</f>
        <v>67.2</v>
      </c>
      <c r="F1155" s="0" t="n">
        <f aca="false">INDEX(customer_churn_dataset!$L$2:$L$1501,MATCH($A1156,customer_churn_dataset!$A$2:$A$1501,0))</f>
        <v>2</v>
      </c>
      <c r="G1155" s="0" t="str">
        <f aca="false">IF(INDEX(customer_churn_dataset!$M$2:$M$1501,MATCH($A1156,customer_churn_dataset!$A$2:$A$1501,0))=1,"Yes","No")</f>
        <v>Yes</v>
      </c>
      <c r="H1155" s="0" t="n">
        <f aca="false">INDEX(customer_churn_dataset!$N$2:$N$1501,MATCH($A1156,customer_churn_dataset!$A$2:$A$1501,0))</f>
        <v>63.36</v>
      </c>
      <c r="I1155" s="0" t="n">
        <f aca="false">INDEX(customer_churn_dataset!$O$2:$O$1501,MATCH($A1156,customer_churn_dataset!$A$2:$A$1501,0))</f>
        <v>0</v>
      </c>
      <c r="J1155" s="0" t="n">
        <f aca="false">INDEX(customer_churn_dataset!$T$2:$T$1501,MATCH($A1156,customer_churn_dataset!$A$2:$A$1501,0))</f>
        <v>6</v>
      </c>
      <c r="K1155" s="0" t="str">
        <f aca="false">INDEX(customer_churn_dataset!$V$2:$V$1501,MATCH($A1156,customer_churn_dataset!$A$2:$A$1501,0))</f>
        <v>High Risk</v>
      </c>
    </row>
    <row r="1156" customFormat="false" ht="12.8" hidden="true" customHeight="false" outlineLevel="0" collapsed="false">
      <c r="A1156" s="22" t="str">
        <f aca="false">customer_churn_dataset!A1297</f>
        <v>CUST101340</v>
      </c>
      <c r="B1156" s="22" t="str">
        <f aca="false">customer_churn_dataset!B1297</f>
        <v>Basic</v>
      </c>
      <c r="C1156" s="22" t="str">
        <f aca="false">customer_churn_dataset!C1297</f>
        <v>One year</v>
      </c>
      <c r="D1156" s="0" t="n">
        <f aca="false">INDEX(customer_churn_dataset!$E$2:$E$1501,MATCH($A1157,customer_churn_dataset!$A$2:$A$1501,0))</f>
        <v>12</v>
      </c>
      <c r="E1156" s="0" t="n">
        <f aca="false">INDEX(customer_churn_dataset!$I$2:$I$1501,MATCH($A1157,customer_churn_dataset!$A$2:$A$1501,0))</f>
        <v>78.1</v>
      </c>
      <c r="F1156" s="0" t="n">
        <f aca="false">INDEX(customer_churn_dataset!$L$2:$L$1501,MATCH($A1157,customer_churn_dataset!$A$2:$A$1501,0))</f>
        <v>0</v>
      </c>
      <c r="G1156" s="0" t="str">
        <f aca="false">IF(INDEX(customer_churn_dataset!$M$2:$M$1501,MATCH($A1157,customer_churn_dataset!$A$2:$A$1501,0))=1,"Yes","No")</f>
        <v>No</v>
      </c>
      <c r="H1156" s="0" t="n">
        <f aca="false">INDEX(customer_churn_dataset!$N$2:$N$1501,MATCH($A1157,customer_churn_dataset!$A$2:$A$1501,0))</f>
        <v>100.8</v>
      </c>
      <c r="I1156" s="0" t="n">
        <f aca="false">INDEX(customer_churn_dataset!$O$2:$O$1501,MATCH($A1157,customer_churn_dataset!$A$2:$A$1501,0))</f>
        <v>0</v>
      </c>
      <c r="J1156" s="0" t="n">
        <f aca="false">INDEX(customer_churn_dataset!$T$2:$T$1501,MATCH($A1157,customer_churn_dataset!$A$2:$A$1501,0))</f>
        <v>1</v>
      </c>
      <c r="K1156" s="0" t="str">
        <f aca="false">INDEX(customer_churn_dataset!$V$2:$V$1501,MATCH($A1157,customer_churn_dataset!$A$2:$A$1501,0))</f>
        <v>Low Risk</v>
      </c>
    </row>
    <row r="1157" customFormat="false" ht="12.8" hidden="true" customHeight="false" outlineLevel="0" collapsed="false">
      <c r="A1157" s="22" t="str">
        <f aca="false">customer_churn_dataset!A1301</f>
        <v>CUST100375</v>
      </c>
      <c r="B1157" s="22" t="str">
        <f aca="false">customer_churn_dataset!B1301</f>
        <v>Basic</v>
      </c>
      <c r="C1157" s="22" t="str">
        <f aca="false">customer_churn_dataset!C1301</f>
        <v>One year</v>
      </c>
      <c r="D1157" s="0" t="n">
        <f aca="false">INDEX(customer_churn_dataset!$E$2:$E$1501,MATCH($A1158,customer_churn_dataset!$A$2:$A$1501,0))</f>
        <v>26</v>
      </c>
      <c r="E1157" s="0" t="n">
        <f aca="false">INDEX(customer_churn_dataset!$I$2:$I$1501,MATCH($A1158,customer_churn_dataset!$A$2:$A$1501,0))</f>
        <v>73.9</v>
      </c>
      <c r="F1157" s="0" t="n">
        <f aca="false">INDEX(customer_churn_dataset!$L$2:$L$1501,MATCH($A1158,customer_churn_dataset!$A$2:$A$1501,0))</f>
        <v>2</v>
      </c>
      <c r="G1157" s="0" t="str">
        <f aca="false">IF(INDEX(customer_churn_dataset!$M$2:$M$1501,MATCH($A1158,customer_churn_dataset!$A$2:$A$1501,0))=1,"Yes","No")</f>
        <v>No</v>
      </c>
      <c r="H1157" s="0" t="n">
        <f aca="false">INDEX(customer_churn_dataset!$N$2:$N$1501,MATCH($A1158,customer_churn_dataset!$A$2:$A$1501,0))</f>
        <v>516.36</v>
      </c>
      <c r="I1157" s="0" t="n">
        <f aca="false">INDEX(customer_churn_dataset!$O$2:$O$1501,MATCH($A1158,customer_churn_dataset!$A$2:$A$1501,0))</f>
        <v>0</v>
      </c>
      <c r="J1157" s="0" t="n">
        <f aca="false">INDEX(customer_churn_dataset!$T$2:$T$1501,MATCH($A1158,customer_churn_dataset!$A$2:$A$1501,0))</f>
        <v>3</v>
      </c>
      <c r="K1157" s="0" t="str">
        <f aca="false">INDEX(customer_churn_dataset!$V$2:$V$1501,MATCH($A1158,customer_churn_dataset!$A$2:$A$1501,0))</f>
        <v>Medium Risk</v>
      </c>
    </row>
    <row r="1158" customFormat="false" ht="12.8" hidden="true" customHeight="false" outlineLevel="0" collapsed="false">
      <c r="A1158" s="22" t="str">
        <f aca="false">customer_churn_dataset!A1305</f>
        <v>CUST100700</v>
      </c>
      <c r="B1158" s="22" t="str">
        <f aca="false">customer_churn_dataset!B1305</f>
        <v>Standard</v>
      </c>
      <c r="C1158" s="22" t="str">
        <f aca="false">customer_churn_dataset!C1305</f>
        <v>Month-to-month</v>
      </c>
      <c r="D1158" s="0" t="n">
        <f aca="false">INDEX(customer_churn_dataset!$E$2:$E$1501,MATCH($A1159,customer_churn_dataset!$A$2:$A$1501,0))</f>
        <v>21</v>
      </c>
      <c r="E1158" s="0" t="n">
        <f aca="false">INDEX(customer_churn_dataset!$I$2:$I$1501,MATCH($A1159,customer_churn_dataset!$A$2:$A$1501,0))</f>
        <v>57.3</v>
      </c>
      <c r="F1158" s="0" t="n">
        <f aca="false">INDEX(customer_churn_dataset!$L$2:$L$1501,MATCH($A1159,customer_churn_dataset!$A$2:$A$1501,0))</f>
        <v>2</v>
      </c>
      <c r="G1158" s="0" t="str">
        <f aca="false">IF(INDEX(customer_churn_dataset!$M$2:$M$1501,MATCH($A1159,customer_churn_dataset!$A$2:$A$1501,0))=1,"Yes","No")</f>
        <v>No</v>
      </c>
      <c r="H1158" s="0" t="n">
        <f aca="false">INDEX(customer_churn_dataset!$N$2:$N$1501,MATCH($A1159,customer_churn_dataset!$A$2:$A$1501,0))</f>
        <v>831.81</v>
      </c>
      <c r="I1158" s="0" t="n">
        <f aca="false">INDEX(customer_churn_dataset!$O$2:$O$1501,MATCH($A1159,customer_churn_dataset!$A$2:$A$1501,0))</f>
        <v>0</v>
      </c>
      <c r="J1158" s="0" t="n">
        <f aca="false">INDEX(customer_churn_dataset!$T$2:$T$1501,MATCH($A1159,customer_churn_dataset!$A$2:$A$1501,0))</f>
        <v>2</v>
      </c>
      <c r="K1158" s="0" t="str">
        <f aca="false">INDEX(customer_churn_dataset!$V$2:$V$1501,MATCH($A1159,customer_churn_dataset!$A$2:$A$1501,0))</f>
        <v>Low Risk</v>
      </c>
    </row>
    <row r="1159" customFormat="false" ht="12.8" hidden="true" customHeight="false" outlineLevel="0" collapsed="false">
      <c r="A1159" s="22" t="str">
        <f aca="false">customer_churn_dataset!A1308</f>
        <v>CUST100080</v>
      </c>
      <c r="B1159" s="22" t="str">
        <f aca="false">customer_churn_dataset!B1308</f>
        <v>Premium</v>
      </c>
      <c r="C1159" s="22" t="str">
        <f aca="false">customer_churn_dataset!C1308</f>
        <v>One year</v>
      </c>
      <c r="D1159" s="0" t="n">
        <f aca="false">INDEX(customer_churn_dataset!$E$2:$E$1501,MATCH($A1160,customer_churn_dataset!$A$2:$A$1501,0))</f>
        <v>14</v>
      </c>
      <c r="E1159" s="0" t="n">
        <f aca="false">INDEX(customer_churn_dataset!$I$2:$I$1501,MATCH($A1160,customer_churn_dataset!$A$2:$A$1501,0))</f>
        <v>39.3</v>
      </c>
      <c r="F1159" s="0" t="n">
        <f aca="false">INDEX(customer_churn_dataset!$L$2:$L$1501,MATCH($A1160,customer_churn_dataset!$A$2:$A$1501,0))</f>
        <v>2</v>
      </c>
      <c r="G1159" s="0" t="str">
        <f aca="false">IF(INDEX(customer_churn_dataset!$M$2:$M$1501,MATCH($A1160,customer_churn_dataset!$A$2:$A$1501,0))=1,"Yes","No")</f>
        <v>No</v>
      </c>
      <c r="H1159" s="0" t="n">
        <f aca="false">INDEX(customer_churn_dataset!$N$2:$N$1501,MATCH($A1160,customer_churn_dataset!$A$2:$A$1501,0))</f>
        <v>538.02</v>
      </c>
      <c r="I1159" s="0" t="n">
        <f aca="false">INDEX(customer_churn_dataset!$O$2:$O$1501,MATCH($A1160,customer_churn_dataset!$A$2:$A$1501,0))</f>
        <v>0</v>
      </c>
      <c r="J1159" s="0" t="n">
        <f aca="false">INDEX(customer_churn_dataset!$T$2:$T$1501,MATCH($A1160,customer_churn_dataset!$A$2:$A$1501,0))</f>
        <v>4</v>
      </c>
      <c r="K1159" s="0" t="str">
        <f aca="false">INDEX(customer_churn_dataset!$V$2:$V$1501,MATCH($A1160,customer_churn_dataset!$A$2:$A$1501,0))</f>
        <v>Medium Risk</v>
      </c>
    </row>
    <row r="1160" customFormat="false" ht="12.8" hidden="true" customHeight="false" outlineLevel="0" collapsed="false">
      <c r="A1160" s="22" t="str">
        <f aca="false">customer_churn_dataset!A1317</f>
        <v>CUST100408</v>
      </c>
      <c r="B1160" s="22" t="str">
        <f aca="false">customer_churn_dataset!B1317</f>
        <v>Premium</v>
      </c>
      <c r="C1160" s="22" t="str">
        <f aca="false">customer_churn_dataset!C1317</f>
        <v>One year</v>
      </c>
      <c r="D1160" s="0" t="n">
        <f aca="false">INDEX(customer_churn_dataset!$E$2:$E$1501,MATCH($A1161,customer_churn_dataset!$A$2:$A$1501,0))</f>
        <v>5</v>
      </c>
      <c r="E1160" s="0" t="n">
        <f aca="false">INDEX(customer_churn_dataset!$I$2:$I$1501,MATCH($A1161,customer_churn_dataset!$A$2:$A$1501,0))</f>
        <v>53</v>
      </c>
      <c r="F1160" s="0" t="n">
        <f aca="false">INDEX(customer_churn_dataset!$L$2:$L$1501,MATCH($A1161,customer_churn_dataset!$A$2:$A$1501,0))</f>
        <v>0</v>
      </c>
      <c r="G1160" s="0" t="str">
        <f aca="false">IF(INDEX(customer_churn_dataset!$M$2:$M$1501,MATCH($A1161,customer_churn_dataset!$A$2:$A$1501,0))=1,"Yes","No")</f>
        <v>No</v>
      </c>
      <c r="H1160" s="0" t="n">
        <f aca="false">INDEX(customer_churn_dataset!$N$2:$N$1501,MATCH($A1161,customer_churn_dataset!$A$2:$A$1501,0))</f>
        <v>108.5</v>
      </c>
      <c r="I1160" s="0" t="n">
        <f aca="false">INDEX(customer_churn_dataset!$O$2:$O$1501,MATCH($A1161,customer_churn_dataset!$A$2:$A$1501,0))</f>
        <v>0</v>
      </c>
      <c r="J1160" s="0" t="n">
        <f aca="false">INDEX(customer_churn_dataset!$T$2:$T$1501,MATCH($A1161,customer_churn_dataset!$A$2:$A$1501,0))</f>
        <v>4</v>
      </c>
      <c r="K1160" s="0" t="str">
        <f aca="false">INDEX(customer_churn_dataset!$V$2:$V$1501,MATCH($A1161,customer_churn_dataset!$A$2:$A$1501,0))</f>
        <v>Medium Risk</v>
      </c>
    </row>
    <row r="1161" customFormat="false" ht="12.8" hidden="false" customHeight="false" outlineLevel="0" collapsed="false">
      <c r="A1161" s="23" t="str">
        <f aca="false">customer_churn_dataset!A1326</f>
        <v>CUST100211</v>
      </c>
      <c r="B1161" s="24" t="str">
        <f aca="false">customer_churn_dataset!B1326</f>
        <v>Standard</v>
      </c>
      <c r="C1161" s="24" t="str">
        <f aca="false">customer_churn_dataset!C1326</f>
        <v>Month-to-month</v>
      </c>
      <c r="D1161" s="25" t="n">
        <f aca="false">INDEX(customer_churn_dataset!$E$2:$E$1501,MATCH($A1162,customer_churn_dataset!$A$2:$A$1501,0))</f>
        <v>2</v>
      </c>
      <c r="E1161" s="25" t="n">
        <f aca="false">INDEX(customer_churn_dataset!$I$2:$I$1501,MATCH($A1162,customer_churn_dataset!$A$2:$A$1501,0))</f>
        <v>44.7</v>
      </c>
      <c r="F1161" s="25" t="n">
        <f aca="false">INDEX(customer_churn_dataset!$L$2:$L$1501,MATCH($A1162,customer_churn_dataset!$A$2:$A$1501,0))</f>
        <v>2</v>
      </c>
      <c r="G1161" s="25" t="str">
        <f aca="false">IF(INDEX(customer_churn_dataset!$M$2:$M$1501,MATCH($A1162,customer_churn_dataset!$A$2:$A$1501,0))=1,"Yes","No")</f>
        <v>Yes</v>
      </c>
      <c r="H1161" s="25" t="n">
        <f aca="false">INDEX(customer_churn_dataset!$N$2:$N$1501,MATCH($A1162,customer_churn_dataset!$A$2:$A$1501,0))</f>
        <v>80.78</v>
      </c>
      <c r="I1161" s="25" t="n">
        <f aca="false">INDEX(customer_churn_dataset!$O$2:$O$1501,MATCH($A1162,customer_churn_dataset!$A$2:$A$1501,0))</f>
        <v>0</v>
      </c>
      <c r="J1161" s="25" t="n">
        <f aca="false">INDEX(customer_churn_dataset!$T$2:$T$1501,MATCH($A1162,customer_churn_dataset!$A$2:$A$1501,0))</f>
        <v>8</v>
      </c>
      <c r="K1161" s="25" t="str">
        <f aca="false">INDEX(customer_churn_dataset!$V$2:$V$1501,MATCH($A1162,customer_churn_dataset!$A$2:$A$1501,0))</f>
        <v>High Risk</v>
      </c>
    </row>
    <row r="1162" customFormat="false" ht="12.8" hidden="true" customHeight="false" outlineLevel="0" collapsed="false">
      <c r="A1162" s="22" t="str">
        <f aca="false">customer_churn_dataset!A1341</f>
        <v>CUST101101</v>
      </c>
      <c r="B1162" s="22" t="str">
        <f aca="false">customer_churn_dataset!B1341</f>
        <v>Premium</v>
      </c>
      <c r="C1162" s="22" t="str">
        <f aca="false">customer_churn_dataset!C1341</f>
        <v>Month-to-month</v>
      </c>
      <c r="D1162" s="0" t="n">
        <f aca="false">INDEX(customer_churn_dataset!$E$2:$E$1501,MATCH($A1163,customer_churn_dataset!$A$2:$A$1501,0))</f>
        <v>21</v>
      </c>
      <c r="E1162" s="0" t="n">
        <f aca="false">INDEX(customer_churn_dataset!$I$2:$I$1501,MATCH($A1163,customer_churn_dataset!$A$2:$A$1501,0))</f>
        <v>60.6</v>
      </c>
      <c r="F1162" s="0" t="n">
        <f aca="false">INDEX(customer_churn_dataset!$L$2:$L$1501,MATCH($A1163,customer_churn_dataset!$A$2:$A$1501,0))</f>
        <v>1</v>
      </c>
      <c r="G1162" s="0" t="str">
        <f aca="false">IF(INDEX(customer_churn_dataset!$M$2:$M$1501,MATCH($A1163,customer_churn_dataset!$A$2:$A$1501,0))=1,"Yes","No")</f>
        <v>No</v>
      </c>
      <c r="H1162" s="0" t="n">
        <f aca="false">INDEX(customer_churn_dataset!$N$2:$N$1501,MATCH($A1163,customer_churn_dataset!$A$2:$A$1501,0))</f>
        <v>402.78</v>
      </c>
      <c r="I1162" s="0" t="n">
        <f aca="false">INDEX(customer_churn_dataset!$O$2:$O$1501,MATCH($A1163,customer_churn_dataset!$A$2:$A$1501,0))</f>
        <v>0</v>
      </c>
      <c r="J1162" s="0" t="n">
        <f aca="false">INDEX(customer_churn_dataset!$T$2:$T$1501,MATCH($A1163,customer_churn_dataset!$A$2:$A$1501,0))</f>
        <v>2</v>
      </c>
      <c r="K1162" s="0" t="str">
        <f aca="false">INDEX(customer_churn_dataset!$V$2:$V$1501,MATCH($A1163,customer_churn_dataset!$A$2:$A$1501,0))</f>
        <v>Low Risk</v>
      </c>
    </row>
    <row r="1163" customFormat="false" ht="12.8" hidden="true" customHeight="false" outlineLevel="0" collapsed="false">
      <c r="A1163" s="22" t="str">
        <f aca="false">customer_churn_dataset!A1344</f>
        <v>CUST101006</v>
      </c>
      <c r="B1163" s="22" t="str">
        <f aca="false">customer_churn_dataset!B1344</f>
        <v>Standard</v>
      </c>
      <c r="C1163" s="22" t="str">
        <f aca="false">customer_churn_dataset!C1344</f>
        <v>Month-to-month</v>
      </c>
      <c r="D1163" s="0" t="n">
        <f aca="false">INDEX(customer_churn_dataset!$E$2:$E$1501,MATCH($A1164,customer_churn_dataset!$A$2:$A$1501,0))</f>
        <v>20</v>
      </c>
      <c r="E1163" s="0" t="n">
        <f aca="false">INDEX(customer_churn_dataset!$I$2:$I$1501,MATCH($A1164,customer_churn_dataset!$A$2:$A$1501,0))</f>
        <v>84.4</v>
      </c>
      <c r="F1163" s="0" t="n">
        <f aca="false">INDEX(customer_churn_dataset!$L$2:$L$1501,MATCH($A1164,customer_churn_dataset!$A$2:$A$1501,0))</f>
        <v>1</v>
      </c>
      <c r="G1163" s="0" t="str">
        <f aca="false">IF(INDEX(customer_churn_dataset!$M$2:$M$1501,MATCH($A1164,customer_churn_dataset!$A$2:$A$1501,0))=1,"Yes","No")</f>
        <v>No</v>
      </c>
      <c r="H1163" s="0" t="n">
        <f aca="false">INDEX(customer_churn_dataset!$N$2:$N$1501,MATCH($A1164,customer_churn_dataset!$A$2:$A$1501,0))</f>
        <v>380.6</v>
      </c>
      <c r="I1163" s="0" t="n">
        <f aca="false">INDEX(customer_churn_dataset!$O$2:$O$1501,MATCH($A1164,customer_churn_dataset!$A$2:$A$1501,0))</f>
        <v>0</v>
      </c>
      <c r="J1163" s="0" t="n">
        <f aca="false">INDEX(customer_churn_dataset!$T$2:$T$1501,MATCH($A1164,customer_churn_dataset!$A$2:$A$1501,0))</f>
        <v>1</v>
      </c>
      <c r="K1163" s="0" t="str">
        <f aca="false">INDEX(customer_churn_dataset!$V$2:$V$1501,MATCH($A1164,customer_churn_dataset!$A$2:$A$1501,0))</f>
        <v>Low Risk</v>
      </c>
    </row>
    <row r="1164" customFormat="false" ht="12.8" hidden="true" customHeight="false" outlineLevel="0" collapsed="false">
      <c r="A1164" s="22" t="str">
        <f aca="false">customer_churn_dataset!A1346</f>
        <v>CUST100363</v>
      </c>
      <c r="B1164" s="22" t="str">
        <f aca="false">customer_churn_dataset!B1346</f>
        <v>Standard</v>
      </c>
      <c r="C1164" s="22" t="str">
        <f aca="false">customer_churn_dataset!C1346</f>
        <v>One year</v>
      </c>
      <c r="D1164" s="0" t="n">
        <f aca="false">INDEX(customer_churn_dataset!$E$2:$E$1501,MATCH($A1165,customer_churn_dataset!$A$2:$A$1501,0))</f>
        <v>1</v>
      </c>
      <c r="E1164" s="0" t="n">
        <f aca="false">INDEX(customer_churn_dataset!$I$2:$I$1501,MATCH($A1165,customer_churn_dataset!$A$2:$A$1501,0))</f>
        <v>85.8</v>
      </c>
      <c r="F1164" s="0" t="n">
        <f aca="false">INDEX(customer_churn_dataset!$L$2:$L$1501,MATCH($A1165,customer_churn_dataset!$A$2:$A$1501,0))</f>
        <v>1</v>
      </c>
      <c r="G1164" s="0" t="str">
        <f aca="false">IF(INDEX(customer_churn_dataset!$M$2:$M$1501,MATCH($A1165,customer_churn_dataset!$A$2:$A$1501,0))=1,"Yes","No")</f>
        <v>Yes</v>
      </c>
      <c r="H1164" s="0" t="n">
        <f aca="false">INDEX(customer_churn_dataset!$N$2:$N$1501,MATCH($A1165,customer_churn_dataset!$A$2:$A$1501,0))</f>
        <v>19.85</v>
      </c>
      <c r="I1164" s="0" t="n">
        <f aca="false">INDEX(customer_churn_dataset!$O$2:$O$1501,MATCH($A1165,customer_churn_dataset!$A$2:$A$1501,0))</f>
        <v>0</v>
      </c>
      <c r="J1164" s="0" t="n">
        <f aca="false">INDEX(customer_churn_dataset!$T$2:$T$1501,MATCH($A1165,customer_churn_dataset!$A$2:$A$1501,0))</f>
        <v>6</v>
      </c>
      <c r="K1164" s="0" t="str">
        <f aca="false">INDEX(customer_churn_dataset!$V$2:$V$1501,MATCH($A1165,customer_churn_dataset!$A$2:$A$1501,0))</f>
        <v>High Risk</v>
      </c>
    </row>
    <row r="1165" customFormat="false" ht="12.8" hidden="true" customHeight="false" outlineLevel="0" collapsed="false">
      <c r="A1165" s="22" t="str">
        <f aca="false">customer_churn_dataset!A1355</f>
        <v>CUST100596</v>
      </c>
      <c r="B1165" s="22" t="str">
        <f aca="false">customer_churn_dataset!B1355</f>
        <v>Standard</v>
      </c>
      <c r="C1165" s="22" t="str">
        <f aca="false">customer_churn_dataset!C1355</f>
        <v>Month-to-month</v>
      </c>
      <c r="D1165" s="0" t="n">
        <f aca="false">INDEX(customer_churn_dataset!$E$2:$E$1501,MATCH($A1166,customer_churn_dataset!$A$2:$A$1501,0))</f>
        <v>46</v>
      </c>
      <c r="E1165" s="0" t="n">
        <f aca="false">INDEX(customer_churn_dataset!$I$2:$I$1501,MATCH($A1166,customer_churn_dataset!$A$2:$A$1501,0))</f>
        <v>68.3</v>
      </c>
      <c r="F1165" s="0" t="n">
        <f aca="false">INDEX(customer_churn_dataset!$L$2:$L$1501,MATCH($A1166,customer_churn_dataset!$A$2:$A$1501,0))</f>
        <v>0</v>
      </c>
      <c r="G1165" s="0" t="str">
        <f aca="false">IF(INDEX(customer_churn_dataset!$M$2:$M$1501,MATCH($A1166,customer_churn_dataset!$A$2:$A$1501,0))=1,"Yes","No")</f>
        <v>No</v>
      </c>
      <c r="H1165" s="0" t="n">
        <f aca="false">INDEX(customer_churn_dataset!$N$2:$N$1501,MATCH($A1166,customer_churn_dataset!$A$2:$A$1501,0))</f>
        <v>1850.12</v>
      </c>
      <c r="I1165" s="0" t="n">
        <f aca="false">INDEX(customer_churn_dataset!$O$2:$O$1501,MATCH($A1166,customer_churn_dataset!$A$2:$A$1501,0))</f>
        <v>0</v>
      </c>
      <c r="J1165" s="0" t="n">
        <f aca="false">INDEX(customer_churn_dataset!$T$2:$T$1501,MATCH($A1166,customer_churn_dataset!$A$2:$A$1501,0))</f>
        <v>1</v>
      </c>
      <c r="K1165" s="0" t="str">
        <f aca="false">INDEX(customer_churn_dataset!$V$2:$V$1501,MATCH($A1166,customer_churn_dataset!$A$2:$A$1501,0))</f>
        <v>Low Risk</v>
      </c>
    </row>
    <row r="1166" customFormat="false" ht="12.8" hidden="true" customHeight="false" outlineLevel="0" collapsed="false">
      <c r="A1166" s="22" t="str">
        <f aca="false">customer_churn_dataset!A1357</f>
        <v>CUST100671</v>
      </c>
      <c r="B1166" s="22" t="str">
        <f aca="false">customer_churn_dataset!B1357</f>
        <v>Premium</v>
      </c>
      <c r="C1166" s="22" t="str">
        <f aca="false">customer_churn_dataset!C1357</f>
        <v>One year</v>
      </c>
      <c r="D1166" s="0" t="n">
        <f aca="false">INDEX(customer_churn_dataset!$E$2:$E$1501,MATCH($A1167,customer_churn_dataset!$A$2:$A$1501,0))</f>
        <v>0</v>
      </c>
      <c r="E1166" s="0" t="n">
        <f aca="false">INDEX(customer_churn_dataset!$I$2:$I$1501,MATCH($A1167,customer_churn_dataset!$A$2:$A$1501,0))</f>
        <v>71.4</v>
      </c>
      <c r="F1166" s="0" t="n">
        <f aca="false">INDEX(customer_churn_dataset!$L$2:$L$1501,MATCH($A1167,customer_churn_dataset!$A$2:$A$1501,0))</f>
        <v>0</v>
      </c>
      <c r="G1166" s="0" t="str">
        <f aca="false">IF(INDEX(customer_churn_dataset!$M$2:$M$1501,MATCH($A1167,customer_churn_dataset!$A$2:$A$1501,0))=1,"Yes","No")</f>
        <v>No</v>
      </c>
      <c r="H1166" s="0" t="n">
        <f aca="false">INDEX(customer_churn_dataset!$N$2:$N$1501,MATCH($A1167,customer_churn_dataset!$A$2:$A$1501,0))</f>
        <v>0</v>
      </c>
      <c r="I1166" s="0" t="n">
        <f aca="false">INDEX(customer_churn_dataset!$O$2:$O$1501,MATCH($A1167,customer_churn_dataset!$A$2:$A$1501,0))</f>
        <v>0</v>
      </c>
      <c r="J1166" s="0" t="n">
        <f aca="false">INDEX(customer_churn_dataset!$T$2:$T$1501,MATCH($A1167,customer_churn_dataset!$A$2:$A$1501,0))</f>
        <v>3</v>
      </c>
      <c r="K1166" s="0" t="str">
        <f aca="false">INDEX(customer_churn_dataset!$V$2:$V$1501,MATCH($A1167,customer_churn_dataset!$A$2:$A$1501,0))</f>
        <v>Medium Risk</v>
      </c>
    </row>
    <row r="1167" customFormat="false" ht="12.8" hidden="true" customHeight="false" outlineLevel="0" collapsed="false">
      <c r="A1167" s="22" t="str">
        <f aca="false">customer_churn_dataset!A1362</f>
        <v>CUST101387</v>
      </c>
      <c r="B1167" s="22" t="str">
        <f aca="false">customer_churn_dataset!B1362</f>
        <v>Basic</v>
      </c>
      <c r="C1167" s="22" t="str">
        <f aca="false">customer_churn_dataset!C1362</f>
        <v>Month-to-month</v>
      </c>
      <c r="D1167" s="0" t="n">
        <f aca="false">INDEX(customer_churn_dataset!$E$2:$E$1501,MATCH($A1168,customer_churn_dataset!$A$2:$A$1501,0))</f>
        <v>72</v>
      </c>
      <c r="E1167" s="0" t="n">
        <f aca="false">INDEX(customer_churn_dataset!$I$2:$I$1501,MATCH($A1168,customer_churn_dataset!$A$2:$A$1501,0))</f>
        <v>44.7</v>
      </c>
      <c r="F1167" s="0" t="n">
        <f aca="false">INDEX(customer_churn_dataset!$L$2:$L$1501,MATCH($A1168,customer_churn_dataset!$A$2:$A$1501,0))</f>
        <v>0</v>
      </c>
      <c r="G1167" s="0" t="str">
        <f aca="false">IF(INDEX(customer_churn_dataset!$M$2:$M$1501,MATCH($A1168,customer_churn_dataset!$A$2:$A$1501,0))=1,"Yes","No")</f>
        <v>No</v>
      </c>
      <c r="H1167" s="0" t="n">
        <f aca="false">INDEX(customer_churn_dataset!$N$2:$N$1501,MATCH($A1168,customer_churn_dataset!$A$2:$A$1501,0))</f>
        <v>1512.72</v>
      </c>
      <c r="I1167" s="0" t="n">
        <f aca="false">INDEX(customer_churn_dataset!$O$2:$O$1501,MATCH($A1168,customer_churn_dataset!$A$2:$A$1501,0))</f>
        <v>0</v>
      </c>
      <c r="J1167" s="0" t="n">
        <f aca="false">INDEX(customer_churn_dataset!$T$2:$T$1501,MATCH($A1168,customer_churn_dataset!$A$2:$A$1501,0))</f>
        <v>1</v>
      </c>
      <c r="K1167" s="0" t="str">
        <f aca="false">INDEX(customer_churn_dataset!$V$2:$V$1501,MATCH($A1168,customer_churn_dataset!$A$2:$A$1501,0))</f>
        <v>Low Risk</v>
      </c>
    </row>
    <row r="1168" customFormat="false" ht="12.8" hidden="true" customHeight="false" outlineLevel="0" collapsed="false">
      <c r="A1168" s="22" t="str">
        <f aca="false">customer_churn_dataset!A1366</f>
        <v>CUST100338</v>
      </c>
      <c r="B1168" s="22" t="str">
        <f aca="false">customer_churn_dataset!B1366</f>
        <v>Standard</v>
      </c>
      <c r="C1168" s="22" t="str">
        <f aca="false">customer_churn_dataset!C1366</f>
        <v>Two year</v>
      </c>
      <c r="D1168" s="0" t="n">
        <f aca="false">INDEX(customer_churn_dataset!$E$2:$E$1501,MATCH($A1169,customer_churn_dataset!$A$2:$A$1501,0))</f>
        <v>11</v>
      </c>
      <c r="E1168" s="0" t="n">
        <f aca="false">INDEX(customer_churn_dataset!$I$2:$I$1501,MATCH($A1169,customer_churn_dataset!$A$2:$A$1501,0))</f>
        <v>55.9</v>
      </c>
      <c r="F1168" s="0" t="n">
        <f aca="false">INDEX(customer_churn_dataset!$L$2:$L$1501,MATCH($A1169,customer_churn_dataset!$A$2:$A$1501,0))</f>
        <v>3</v>
      </c>
      <c r="G1168" s="0" t="str">
        <f aca="false">IF(INDEX(customer_churn_dataset!$M$2:$M$1501,MATCH($A1169,customer_churn_dataset!$A$2:$A$1501,0))=1,"Yes","No")</f>
        <v>Yes</v>
      </c>
      <c r="H1168" s="0" t="n">
        <f aca="false">INDEX(customer_churn_dataset!$N$2:$N$1501,MATCH($A1169,customer_churn_dataset!$A$2:$A$1501,0))</f>
        <v>123.2</v>
      </c>
      <c r="I1168" s="0" t="n">
        <f aca="false">INDEX(customer_churn_dataset!$O$2:$O$1501,MATCH($A1169,customer_churn_dataset!$A$2:$A$1501,0))</f>
        <v>1</v>
      </c>
      <c r="J1168" s="0" t="n">
        <f aca="false">INDEX(customer_churn_dataset!$T$2:$T$1501,MATCH($A1169,customer_churn_dataset!$A$2:$A$1501,0))</f>
        <v>6</v>
      </c>
      <c r="K1168" s="0" t="str">
        <f aca="false">INDEX(customer_churn_dataset!$V$2:$V$1501,MATCH($A1169,customer_churn_dataset!$A$2:$A$1501,0))</f>
        <v>High Risk</v>
      </c>
    </row>
    <row r="1169" customFormat="false" ht="12.8" hidden="true" customHeight="false" outlineLevel="0" collapsed="false">
      <c r="A1169" s="22" t="str">
        <f aca="false">customer_churn_dataset!A1377</f>
        <v>CUST101194</v>
      </c>
      <c r="B1169" s="22" t="str">
        <f aca="false">customer_churn_dataset!B1377</f>
        <v>Basic</v>
      </c>
      <c r="C1169" s="22" t="str">
        <f aca="false">customer_churn_dataset!C1377</f>
        <v>One year</v>
      </c>
      <c r="D1169" s="0" t="n">
        <f aca="false">INDEX(customer_churn_dataset!$E$2:$E$1501,MATCH($A1170,customer_churn_dataset!$A$2:$A$1501,0))</f>
        <v>37</v>
      </c>
      <c r="E1169" s="0" t="n">
        <f aca="false">INDEX(customer_churn_dataset!$I$2:$I$1501,MATCH($A1170,customer_churn_dataset!$A$2:$A$1501,0))</f>
        <v>38.2</v>
      </c>
      <c r="F1169" s="0" t="n">
        <f aca="false">INDEX(customer_churn_dataset!$L$2:$L$1501,MATCH($A1170,customer_churn_dataset!$A$2:$A$1501,0))</f>
        <v>1</v>
      </c>
      <c r="G1169" s="0" t="str">
        <f aca="false">IF(INDEX(customer_churn_dataset!$M$2:$M$1501,MATCH($A1170,customer_churn_dataset!$A$2:$A$1501,0))=1,"Yes","No")</f>
        <v>No</v>
      </c>
      <c r="H1169" s="0" t="n">
        <f aca="false">INDEX(customer_churn_dataset!$N$2:$N$1501,MATCH($A1170,customer_churn_dataset!$A$2:$A$1501,0))</f>
        <v>761.83</v>
      </c>
      <c r="I1169" s="0" t="n">
        <f aca="false">INDEX(customer_churn_dataset!$O$2:$O$1501,MATCH($A1170,customer_churn_dataset!$A$2:$A$1501,0))</f>
        <v>0</v>
      </c>
      <c r="J1169" s="0" t="n">
        <f aca="false">INDEX(customer_churn_dataset!$T$2:$T$1501,MATCH($A1170,customer_churn_dataset!$A$2:$A$1501,0))</f>
        <v>3</v>
      </c>
      <c r="K1169" s="0" t="str">
        <f aca="false">INDEX(customer_churn_dataset!$V$2:$V$1501,MATCH($A1170,customer_churn_dataset!$A$2:$A$1501,0))</f>
        <v>Medium Risk</v>
      </c>
    </row>
    <row r="1170" customFormat="false" ht="12.8" hidden="true" customHeight="false" outlineLevel="0" collapsed="false">
      <c r="A1170" s="22" t="str">
        <f aca="false">customer_churn_dataset!A1386</f>
        <v>CUST100921</v>
      </c>
      <c r="B1170" s="22" t="str">
        <f aca="false">customer_churn_dataset!B1386</f>
        <v>Standard</v>
      </c>
      <c r="C1170" s="22" t="str">
        <f aca="false">customer_churn_dataset!C1386</f>
        <v>One year</v>
      </c>
      <c r="D1170" s="0" t="n">
        <f aca="false">INDEX(customer_churn_dataset!$E$2:$E$1501,MATCH($A1171,customer_churn_dataset!$A$2:$A$1501,0))</f>
        <v>13</v>
      </c>
      <c r="E1170" s="0" t="n">
        <f aca="false">INDEX(customer_churn_dataset!$I$2:$I$1501,MATCH($A1171,customer_churn_dataset!$A$2:$A$1501,0))</f>
        <v>26.2</v>
      </c>
      <c r="F1170" s="0" t="n">
        <f aca="false">INDEX(customer_churn_dataset!$L$2:$L$1501,MATCH($A1171,customer_churn_dataset!$A$2:$A$1501,0))</f>
        <v>6</v>
      </c>
      <c r="G1170" s="0" t="str">
        <f aca="false">IF(INDEX(customer_churn_dataset!$M$2:$M$1501,MATCH($A1171,customer_churn_dataset!$A$2:$A$1501,0))=1,"Yes","No")</f>
        <v>Yes</v>
      </c>
      <c r="H1170" s="0" t="n">
        <f aca="false">INDEX(customer_churn_dataset!$N$2:$N$1501,MATCH($A1171,customer_churn_dataset!$A$2:$A$1501,0))</f>
        <v>250.38</v>
      </c>
      <c r="I1170" s="0" t="n">
        <f aca="false">INDEX(customer_churn_dataset!$O$2:$O$1501,MATCH($A1171,customer_churn_dataset!$A$2:$A$1501,0))</f>
        <v>0</v>
      </c>
      <c r="J1170" s="0" t="n">
        <f aca="false">INDEX(customer_churn_dataset!$T$2:$T$1501,MATCH($A1171,customer_churn_dataset!$A$2:$A$1501,0))</f>
        <v>7</v>
      </c>
      <c r="K1170" s="0" t="str">
        <f aca="false">INDEX(customer_churn_dataset!$V$2:$V$1501,MATCH($A1171,customer_churn_dataset!$A$2:$A$1501,0))</f>
        <v>High Risk</v>
      </c>
    </row>
    <row r="1171" customFormat="false" ht="12.8" hidden="true" customHeight="false" outlineLevel="0" collapsed="false">
      <c r="A1171" s="22" t="str">
        <f aca="false">customer_churn_dataset!A1398</f>
        <v>CUST100418</v>
      </c>
      <c r="B1171" s="22" t="str">
        <f aca="false">customer_churn_dataset!B1398</f>
        <v>Standard</v>
      </c>
      <c r="C1171" s="22" t="str">
        <f aca="false">customer_churn_dataset!C1398</f>
        <v>One year</v>
      </c>
      <c r="D1171" s="0" t="n">
        <f aca="false">INDEX(customer_churn_dataset!$E$2:$E$1501,MATCH($A1172,customer_churn_dataset!$A$2:$A$1501,0))</f>
        <v>7</v>
      </c>
      <c r="E1171" s="0" t="n">
        <f aca="false">INDEX(customer_churn_dataset!$I$2:$I$1501,MATCH($A1172,customer_churn_dataset!$A$2:$A$1501,0))</f>
        <v>58.6</v>
      </c>
      <c r="F1171" s="0" t="n">
        <f aca="false">INDEX(customer_churn_dataset!$L$2:$L$1501,MATCH($A1172,customer_churn_dataset!$A$2:$A$1501,0))</f>
        <v>1</v>
      </c>
      <c r="G1171" s="0" t="str">
        <f aca="false">IF(INDEX(customer_churn_dataset!$M$2:$M$1501,MATCH($A1172,customer_churn_dataset!$A$2:$A$1501,0))=1,"Yes","No")</f>
        <v>No</v>
      </c>
      <c r="H1171" s="0" t="n">
        <f aca="false">INDEX(customer_churn_dataset!$N$2:$N$1501,MATCH($A1172,customer_churn_dataset!$A$2:$A$1501,0))</f>
        <v>270.69</v>
      </c>
      <c r="I1171" s="0" t="n">
        <f aca="false">INDEX(customer_churn_dataset!$O$2:$O$1501,MATCH($A1172,customer_churn_dataset!$A$2:$A$1501,0))</f>
        <v>0</v>
      </c>
      <c r="J1171" s="0" t="n">
        <f aca="false">INDEX(customer_churn_dataset!$T$2:$T$1501,MATCH($A1172,customer_churn_dataset!$A$2:$A$1501,0))</f>
        <v>2</v>
      </c>
      <c r="K1171" s="0" t="str">
        <f aca="false">INDEX(customer_churn_dataset!$V$2:$V$1501,MATCH($A1172,customer_churn_dataset!$A$2:$A$1501,0))</f>
        <v>Low Risk</v>
      </c>
    </row>
    <row r="1172" customFormat="false" ht="12.8" hidden="true" customHeight="false" outlineLevel="0" collapsed="false">
      <c r="A1172" s="22" t="str">
        <f aca="false">customer_churn_dataset!A1402</f>
        <v>CUST100615</v>
      </c>
      <c r="B1172" s="22" t="str">
        <f aca="false">customer_churn_dataset!B1402</f>
        <v>Premium</v>
      </c>
      <c r="C1172" s="22" t="str">
        <f aca="false">customer_churn_dataset!C1402</f>
        <v>One year</v>
      </c>
      <c r="D1172" s="0" t="n">
        <f aca="false">INDEX(customer_churn_dataset!$E$2:$E$1501,MATCH($A1173,customer_churn_dataset!$A$2:$A$1501,0))</f>
        <v>25</v>
      </c>
      <c r="E1172" s="0" t="n">
        <f aca="false">INDEX(customer_churn_dataset!$I$2:$I$1501,MATCH($A1173,customer_churn_dataset!$A$2:$A$1501,0))</f>
        <v>25.3</v>
      </c>
      <c r="F1172" s="0" t="n">
        <f aca="false">INDEX(customer_churn_dataset!$L$2:$L$1501,MATCH($A1173,customer_churn_dataset!$A$2:$A$1501,0))</f>
        <v>0</v>
      </c>
      <c r="G1172" s="0" t="str">
        <f aca="false">IF(INDEX(customer_churn_dataset!$M$2:$M$1501,MATCH($A1173,customer_churn_dataset!$A$2:$A$1501,0))=1,"Yes","No")</f>
        <v>No</v>
      </c>
      <c r="H1172" s="0" t="n">
        <f aca="false">INDEX(customer_churn_dataset!$N$2:$N$1501,MATCH($A1173,customer_churn_dataset!$A$2:$A$1501,0))</f>
        <v>500.5</v>
      </c>
      <c r="I1172" s="0" t="n">
        <f aca="false">INDEX(customer_churn_dataset!$O$2:$O$1501,MATCH($A1173,customer_churn_dataset!$A$2:$A$1501,0))</f>
        <v>0</v>
      </c>
      <c r="J1172" s="0" t="n">
        <f aca="false">INDEX(customer_churn_dataset!$T$2:$T$1501,MATCH($A1173,customer_churn_dataset!$A$2:$A$1501,0))</f>
        <v>4</v>
      </c>
      <c r="K1172" s="0" t="str">
        <f aca="false">INDEX(customer_churn_dataset!$V$2:$V$1501,MATCH($A1173,customer_churn_dataset!$A$2:$A$1501,0))</f>
        <v>Medium Risk</v>
      </c>
    </row>
    <row r="1173" customFormat="false" ht="12.8" hidden="true" customHeight="false" outlineLevel="0" collapsed="false">
      <c r="A1173" s="22" t="str">
        <f aca="false">customer_churn_dataset!A1407</f>
        <v>CUST101328</v>
      </c>
      <c r="B1173" s="22" t="str">
        <f aca="false">customer_churn_dataset!B1407</f>
        <v>Standard</v>
      </c>
      <c r="C1173" s="22" t="str">
        <f aca="false">customer_churn_dataset!C1407</f>
        <v>Month-to-month</v>
      </c>
      <c r="D1173" s="0" t="n">
        <f aca="false">INDEX(customer_churn_dataset!$E$2:$E$1501,MATCH($A1174,customer_churn_dataset!$A$2:$A$1501,0))</f>
        <v>38</v>
      </c>
      <c r="E1173" s="0" t="n">
        <f aca="false">INDEX(customer_churn_dataset!$I$2:$I$1501,MATCH($A1174,customer_churn_dataset!$A$2:$A$1501,0))</f>
        <v>40.9</v>
      </c>
      <c r="F1173" s="0" t="n">
        <f aca="false">INDEX(customer_churn_dataset!$L$2:$L$1501,MATCH($A1174,customer_churn_dataset!$A$2:$A$1501,0))</f>
        <v>0</v>
      </c>
      <c r="G1173" s="0" t="str">
        <f aca="false">IF(INDEX(customer_churn_dataset!$M$2:$M$1501,MATCH($A1174,customer_churn_dataset!$A$2:$A$1501,0))=1,"Yes","No")</f>
        <v>No</v>
      </c>
      <c r="H1173" s="0" t="n">
        <f aca="false">INDEX(customer_churn_dataset!$N$2:$N$1501,MATCH($A1174,customer_churn_dataset!$A$2:$A$1501,0))</f>
        <v>784.32</v>
      </c>
      <c r="I1173" s="0" t="n">
        <f aca="false">INDEX(customer_churn_dataset!$O$2:$O$1501,MATCH($A1174,customer_churn_dataset!$A$2:$A$1501,0))</f>
        <v>0</v>
      </c>
      <c r="J1173" s="0" t="n">
        <f aca="false">INDEX(customer_churn_dataset!$T$2:$T$1501,MATCH($A1174,customer_churn_dataset!$A$2:$A$1501,0))</f>
        <v>3</v>
      </c>
      <c r="K1173" s="0" t="str">
        <f aca="false">INDEX(customer_churn_dataset!$V$2:$V$1501,MATCH($A1174,customer_churn_dataset!$A$2:$A$1501,0))</f>
        <v>Medium Risk</v>
      </c>
    </row>
    <row r="1174" customFormat="false" ht="12.8" hidden="true" customHeight="false" outlineLevel="0" collapsed="false">
      <c r="A1174" s="22" t="str">
        <f aca="false">customer_churn_dataset!A1417</f>
        <v>CUST100315</v>
      </c>
      <c r="B1174" s="22" t="str">
        <f aca="false">customer_churn_dataset!B1417</f>
        <v>Standard</v>
      </c>
      <c r="C1174" s="22" t="str">
        <f aca="false">customer_churn_dataset!C1417</f>
        <v>Month-to-month</v>
      </c>
      <c r="D1174" s="0" t="n">
        <f aca="false">INDEX(customer_churn_dataset!$E$2:$E$1501,MATCH($A1175,customer_churn_dataset!$A$2:$A$1501,0))</f>
        <v>1</v>
      </c>
      <c r="E1174" s="0" t="n">
        <f aca="false">INDEX(customer_churn_dataset!$I$2:$I$1501,MATCH($A1175,customer_churn_dataset!$A$2:$A$1501,0))</f>
        <v>70.1</v>
      </c>
      <c r="F1174" s="0" t="n">
        <f aca="false">INDEX(customer_churn_dataset!$L$2:$L$1501,MATCH($A1175,customer_churn_dataset!$A$2:$A$1501,0))</f>
        <v>3</v>
      </c>
      <c r="G1174" s="0" t="str">
        <f aca="false">IF(INDEX(customer_churn_dataset!$M$2:$M$1501,MATCH($A1175,customer_churn_dataset!$A$2:$A$1501,0))=1,"Yes","No")</f>
        <v>No</v>
      </c>
      <c r="H1174" s="0" t="n">
        <f aca="false">INDEX(customer_churn_dataset!$N$2:$N$1501,MATCH($A1175,customer_churn_dataset!$A$2:$A$1501,0))</f>
        <v>10.47</v>
      </c>
      <c r="I1174" s="0" t="n">
        <f aca="false">INDEX(customer_churn_dataset!$O$2:$O$1501,MATCH($A1175,customer_churn_dataset!$A$2:$A$1501,0))</f>
        <v>0</v>
      </c>
      <c r="J1174" s="0" t="n">
        <f aca="false">INDEX(customer_churn_dataset!$T$2:$T$1501,MATCH($A1175,customer_churn_dataset!$A$2:$A$1501,0))</f>
        <v>3</v>
      </c>
      <c r="K1174" s="0" t="str">
        <f aca="false">INDEX(customer_churn_dataset!$V$2:$V$1501,MATCH($A1175,customer_churn_dataset!$A$2:$A$1501,0))</f>
        <v>Medium Risk</v>
      </c>
    </row>
    <row r="1175" customFormat="false" ht="12.8" hidden="true" customHeight="false" outlineLevel="0" collapsed="false">
      <c r="A1175" s="22" t="str">
        <f aca="false">customer_churn_dataset!A1422</f>
        <v>CUST101302</v>
      </c>
      <c r="B1175" s="22" t="str">
        <f aca="false">customer_churn_dataset!B1422</f>
        <v>Basic</v>
      </c>
      <c r="C1175" s="22" t="str">
        <f aca="false">customer_churn_dataset!C1422</f>
        <v>One year</v>
      </c>
      <c r="D1175" s="0" t="n">
        <f aca="false">INDEX(customer_churn_dataset!$E$2:$E$1501,MATCH($A1176,customer_churn_dataset!$A$2:$A$1501,0))</f>
        <v>17</v>
      </c>
      <c r="E1175" s="0" t="n">
        <f aca="false">INDEX(customer_churn_dataset!$I$2:$I$1501,MATCH($A1176,customer_churn_dataset!$A$2:$A$1501,0))</f>
        <v>44.9</v>
      </c>
      <c r="F1175" s="0" t="n">
        <f aca="false">INDEX(customer_churn_dataset!$L$2:$L$1501,MATCH($A1176,customer_churn_dataset!$A$2:$A$1501,0))</f>
        <v>2</v>
      </c>
      <c r="G1175" s="0" t="str">
        <f aca="false">IF(INDEX(customer_churn_dataset!$M$2:$M$1501,MATCH($A1176,customer_churn_dataset!$A$2:$A$1501,0))=1,"Yes","No")</f>
        <v>No</v>
      </c>
      <c r="H1175" s="0" t="n">
        <f aca="false">INDEX(customer_churn_dataset!$N$2:$N$1501,MATCH($A1176,customer_churn_dataset!$A$2:$A$1501,0))</f>
        <v>695.3</v>
      </c>
      <c r="I1175" s="0" t="n">
        <f aca="false">INDEX(customer_churn_dataset!$O$2:$O$1501,MATCH($A1176,customer_churn_dataset!$A$2:$A$1501,0))</f>
        <v>0</v>
      </c>
      <c r="J1175" s="0" t="n">
        <f aca="false">INDEX(customer_churn_dataset!$T$2:$T$1501,MATCH($A1176,customer_churn_dataset!$A$2:$A$1501,0))</f>
        <v>4</v>
      </c>
      <c r="K1175" s="0" t="str">
        <f aca="false">INDEX(customer_churn_dataset!$V$2:$V$1501,MATCH($A1176,customer_churn_dataset!$A$2:$A$1501,0))</f>
        <v>Medium Risk</v>
      </c>
    </row>
    <row r="1176" customFormat="false" ht="12.8" hidden="true" customHeight="false" outlineLevel="0" collapsed="false">
      <c r="A1176" s="22" t="str">
        <f aca="false">customer_churn_dataset!A1426</f>
        <v>CUST100396</v>
      </c>
      <c r="B1176" s="22" t="str">
        <f aca="false">customer_churn_dataset!B1426</f>
        <v>Premium</v>
      </c>
      <c r="C1176" s="22" t="str">
        <f aca="false">customer_churn_dataset!C1426</f>
        <v>Month-to-month</v>
      </c>
      <c r="D1176" s="0" t="n">
        <f aca="false">INDEX(customer_churn_dataset!$E$2:$E$1501,MATCH($A1177,customer_churn_dataset!$A$2:$A$1501,0))</f>
        <v>2</v>
      </c>
      <c r="E1176" s="0" t="n">
        <f aca="false">INDEX(customer_churn_dataset!$I$2:$I$1501,MATCH($A1177,customer_churn_dataset!$A$2:$A$1501,0))</f>
        <v>67.4</v>
      </c>
      <c r="F1176" s="0" t="n">
        <f aca="false">INDEX(customer_churn_dataset!$L$2:$L$1501,MATCH($A1177,customer_churn_dataset!$A$2:$A$1501,0))</f>
        <v>0</v>
      </c>
      <c r="G1176" s="0" t="str">
        <f aca="false">IF(INDEX(customer_churn_dataset!$M$2:$M$1501,MATCH($A1177,customer_churn_dataset!$A$2:$A$1501,0))=1,"Yes","No")</f>
        <v>No</v>
      </c>
      <c r="H1176" s="0" t="n">
        <f aca="false">INDEX(customer_churn_dataset!$N$2:$N$1501,MATCH($A1177,customer_churn_dataset!$A$2:$A$1501,0))</f>
        <v>19.32</v>
      </c>
      <c r="I1176" s="0" t="n">
        <f aca="false">INDEX(customer_churn_dataset!$O$2:$O$1501,MATCH($A1177,customer_churn_dataset!$A$2:$A$1501,0))</f>
        <v>0</v>
      </c>
      <c r="J1176" s="0" t="n">
        <f aca="false">INDEX(customer_churn_dataset!$T$2:$T$1501,MATCH($A1177,customer_churn_dataset!$A$2:$A$1501,0))</f>
        <v>1</v>
      </c>
      <c r="K1176" s="0" t="str">
        <f aca="false">INDEX(customer_churn_dataset!$V$2:$V$1501,MATCH($A1177,customer_churn_dataset!$A$2:$A$1501,0))</f>
        <v>Low Risk</v>
      </c>
    </row>
    <row r="1177" customFormat="false" ht="12.8" hidden="true" customHeight="false" outlineLevel="0" collapsed="false">
      <c r="A1177" s="22" t="str">
        <f aca="false">customer_churn_dataset!A1428</f>
        <v>CUST101269</v>
      </c>
      <c r="B1177" s="22" t="str">
        <f aca="false">customer_churn_dataset!B1428</f>
        <v>Basic</v>
      </c>
      <c r="C1177" s="22" t="str">
        <f aca="false">customer_churn_dataset!C1428</f>
        <v>Two year</v>
      </c>
      <c r="D1177" s="0" t="n">
        <f aca="false">INDEX(customer_churn_dataset!$E$2:$E$1501,MATCH($A1178,customer_churn_dataset!$A$2:$A$1501,0))</f>
        <v>0</v>
      </c>
      <c r="E1177" s="0" t="n">
        <f aca="false">INDEX(customer_churn_dataset!$I$2:$I$1501,MATCH($A1178,customer_churn_dataset!$A$2:$A$1501,0))</f>
        <v>76.4</v>
      </c>
      <c r="F1177" s="0" t="n">
        <f aca="false">INDEX(customer_churn_dataset!$L$2:$L$1501,MATCH($A1178,customer_churn_dataset!$A$2:$A$1501,0))</f>
        <v>0</v>
      </c>
      <c r="G1177" s="0" t="str">
        <f aca="false">IF(INDEX(customer_churn_dataset!$M$2:$M$1501,MATCH($A1178,customer_churn_dataset!$A$2:$A$1501,0))=1,"Yes","No")</f>
        <v>No</v>
      </c>
      <c r="H1177" s="0" t="n">
        <f aca="false">INDEX(customer_churn_dataset!$N$2:$N$1501,MATCH($A1178,customer_churn_dataset!$A$2:$A$1501,0))</f>
        <v>0</v>
      </c>
      <c r="I1177" s="0" t="n">
        <f aca="false">INDEX(customer_churn_dataset!$O$2:$O$1501,MATCH($A1178,customer_churn_dataset!$A$2:$A$1501,0))</f>
        <v>0</v>
      </c>
      <c r="J1177" s="0" t="n">
        <f aca="false">INDEX(customer_churn_dataset!$T$2:$T$1501,MATCH($A1178,customer_churn_dataset!$A$2:$A$1501,0))</f>
        <v>2</v>
      </c>
      <c r="K1177" s="0" t="str">
        <f aca="false">INDEX(customer_churn_dataset!$V$2:$V$1501,MATCH($A1178,customer_churn_dataset!$A$2:$A$1501,0))</f>
        <v>Low Risk</v>
      </c>
    </row>
    <row r="1178" customFormat="false" ht="12.8" hidden="true" customHeight="false" outlineLevel="0" collapsed="false">
      <c r="A1178" s="22" t="str">
        <f aca="false">customer_churn_dataset!A1430</f>
        <v>CUST100714</v>
      </c>
      <c r="B1178" s="22" t="str">
        <f aca="false">customer_churn_dataset!B1430</f>
        <v>Basic</v>
      </c>
      <c r="C1178" s="22" t="str">
        <f aca="false">customer_churn_dataset!C1430</f>
        <v>One year</v>
      </c>
      <c r="D1178" s="0" t="n">
        <f aca="false">INDEX(customer_churn_dataset!$E$2:$E$1501,MATCH($A1179,customer_churn_dataset!$A$2:$A$1501,0))</f>
        <v>2</v>
      </c>
      <c r="E1178" s="0" t="n">
        <f aca="false">INDEX(customer_churn_dataset!$I$2:$I$1501,MATCH($A1179,customer_churn_dataset!$A$2:$A$1501,0))</f>
        <v>85</v>
      </c>
      <c r="F1178" s="0" t="n">
        <f aca="false">INDEX(customer_churn_dataset!$L$2:$L$1501,MATCH($A1179,customer_churn_dataset!$A$2:$A$1501,0))</f>
        <v>1</v>
      </c>
      <c r="G1178" s="0" t="str">
        <f aca="false">IF(INDEX(customer_churn_dataset!$M$2:$M$1501,MATCH($A1179,customer_churn_dataset!$A$2:$A$1501,0))=1,"Yes","No")</f>
        <v>No</v>
      </c>
      <c r="H1178" s="0" t="n">
        <f aca="false">INDEX(customer_churn_dataset!$N$2:$N$1501,MATCH($A1179,customer_churn_dataset!$A$2:$A$1501,0))</f>
        <v>23.1</v>
      </c>
      <c r="I1178" s="0" t="n">
        <f aca="false">INDEX(customer_churn_dataset!$O$2:$O$1501,MATCH($A1179,customer_churn_dataset!$A$2:$A$1501,0))</f>
        <v>0</v>
      </c>
      <c r="J1178" s="0" t="n">
        <f aca="false">INDEX(customer_churn_dataset!$T$2:$T$1501,MATCH($A1179,customer_churn_dataset!$A$2:$A$1501,0))</f>
        <v>2</v>
      </c>
      <c r="K1178" s="0" t="str">
        <f aca="false">INDEX(customer_churn_dataset!$V$2:$V$1501,MATCH($A1179,customer_churn_dataset!$A$2:$A$1501,0))</f>
        <v>Low Risk</v>
      </c>
    </row>
    <row r="1179" customFormat="false" ht="12.8" hidden="true" customHeight="false" outlineLevel="0" collapsed="false">
      <c r="A1179" s="22" t="str">
        <f aca="false">customer_churn_dataset!A1432</f>
        <v>CUST100227</v>
      </c>
      <c r="B1179" s="22" t="str">
        <f aca="false">customer_churn_dataset!B1432</f>
        <v>Basic</v>
      </c>
      <c r="C1179" s="22" t="str">
        <f aca="false">customer_churn_dataset!C1432</f>
        <v>One year</v>
      </c>
      <c r="D1179" s="0" t="n">
        <f aca="false">INDEX(customer_churn_dataset!$E$2:$E$1501,MATCH($A1180,customer_churn_dataset!$A$2:$A$1501,0))</f>
        <v>7</v>
      </c>
      <c r="E1179" s="0" t="n">
        <f aca="false">INDEX(customer_churn_dataset!$I$2:$I$1501,MATCH($A1180,customer_churn_dataset!$A$2:$A$1501,0))</f>
        <v>35.1</v>
      </c>
      <c r="F1179" s="0" t="n">
        <f aca="false">INDEX(customer_churn_dataset!$L$2:$L$1501,MATCH($A1180,customer_churn_dataset!$A$2:$A$1501,0))</f>
        <v>4</v>
      </c>
      <c r="G1179" s="0" t="str">
        <f aca="false">IF(INDEX(customer_churn_dataset!$M$2:$M$1501,MATCH($A1180,customer_churn_dataset!$A$2:$A$1501,0))=1,"Yes","No")</f>
        <v>No</v>
      </c>
      <c r="H1179" s="0" t="n">
        <f aca="false">INDEX(customer_churn_dataset!$N$2:$N$1501,MATCH($A1180,customer_churn_dataset!$A$2:$A$1501,0))</f>
        <v>286.23</v>
      </c>
      <c r="I1179" s="0" t="n">
        <f aca="false">INDEX(customer_churn_dataset!$O$2:$O$1501,MATCH($A1180,customer_churn_dataset!$A$2:$A$1501,0))</f>
        <v>1</v>
      </c>
      <c r="J1179" s="0" t="n">
        <f aca="false">INDEX(customer_churn_dataset!$T$2:$T$1501,MATCH($A1180,customer_churn_dataset!$A$2:$A$1501,0))</f>
        <v>5</v>
      </c>
      <c r="K1179" s="0" t="str">
        <f aca="false">INDEX(customer_churn_dataset!$V$2:$V$1501,MATCH($A1180,customer_churn_dataset!$A$2:$A$1501,0))</f>
        <v>Medium Risk</v>
      </c>
    </row>
    <row r="1180" customFormat="false" ht="12.8" hidden="true" customHeight="false" outlineLevel="0" collapsed="false">
      <c r="A1180" s="22" t="str">
        <f aca="false">customer_churn_dataset!A1442</f>
        <v>CUST101448</v>
      </c>
      <c r="B1180" s="22" t="str">
        <f aca="false">customer_churn_dataset!B1442</f>
        <v>Premium</v>
      </c>
      <c r="C1180" s="22" t="str">
        <f aca="false">customer_churn_dataset!C1442</f>
        <v>One year</v>
      </c>
      <c r="D1180" s="0" t="n">
        <f aca="false">INDEX(customer_churn_dataset!$E$2:$E$1501,MATCH($A1181,customer_churn_dataset!$A$2:$A$1501,0))</f>
        <v>14</v>
      </c>
      <c r="E1180" s="0" t="n">
        <f aca="false">INDEX(customer_churn_dataset!$I$2:$I$1501,MATCH($A1181,customer_churn_dataset!$A$2:$A$1501,0))</f>
        <v>42.4</v>
      </c>
      <c r="F1180" s="0" t="n">
        <f aca="false">INDEX(customer_churn_dataset!$L$2:$L$1501,MATCH($A1181,customer_churn_dataset!$A$2:$A$1501,0))</f>
        <v>1</v>
      </c>
      <c r="G1180" s="0" t="str">
        <f aca="false">IF(INDEX(customer_churn_dataset!$M$2:$M$1501,MATCH($A1181,customer_churn_dataset!$A$2:$A$1501,0))=1,"Yes","No")</f>
        <v>Yes</v>
      </c>
      <c r="H1180" s="0" t="n">
        <f aca="false">INDEX(customer_churn_dataset!$N$2:$N$1501,MATCH($A1181,customer_churn_dataset!$A$2:$A$1501,0))</f>
        <v>265.44</v>
      </c>
      <c r="I1180" s="0" t="n">
        <f aca="false">INDEX(customer_churn_dataset!$O$2:$O$1501,MATCH($A1181,customer_churn_dataset!$A$2:$A$1501,0))</f>
        <v>1</v>
      </c>
      <c r="J1180" s="0" t="n">
        <f aca="false">INDEX(customer_churn_dataset!$T$2:$T$1501,MATCH($A1181,customer_churn_dataset!$A$2:$A$1501,0))</f>
        <v>6</v>
      </c>
      <c r="K1180" s="0" t="str">
        <f aca="false">INDEX(customer_churn_dataset!$V$2:$V$1501,MATCH($A1181,customer_churn_dataset!$A$2:$A$1501,0))</f>
        <v>High Risk</v>
      </c>
    </row>
    <row r="1181" customFormat="false" ht="12.8" hidden="true" customHeight="false" outlineLevel="0" collapsed="false">
      <c r="A1181" s="22" t="str">
        <f aca="false">customer_churn_dataset!A1449</f>
        <v>CUST101200</v>
      </c>
      <c r="B1181" s="22" t="str">
        <f aca="false">customer_churn_dataset!B1449</f>
        <v>Standard</v>
      </c>
      <c r="C1181" s="22" t="str">
        <f aca="false">customer_churn_dataset!C1449</f>
        <v>Month-to-month</v>
      </c>
      <c r="D1181" s="0" t="n">
        <f aca="false">INDEX(customer_churn_dataset!$E$2:$E$1501,MATCH($A1182,customer_churn_dataset!$A$2:$A$1501,0))</f>
        <v>63</v>
      </c>
      <c r="E1181" s="0" t="n">
        <f aca="false">INDEX(customer_churn_dataset!$I$2:$I$1501,MATCH($A1182,customer_churn_dataset!$A$2:$A$1501,0))</f>
        <v>25.5</v>
      </c>
      <c r="F1181" s="0" t="n">
        <f aca="false">INDEX(customer_churn_dataset!$L$2:$L$1501,MATCH($A1182,customer_churn_dataset!$A$2:$A$1501,0))</f>
        <v>2</v>
      </c>
      <c r="G1181" s="0" t="str">
        <f aca="false">IF(INDEX(customer_churn_dataset!$M$2:$M$1501,MATCH($A1182,customer_churn_dataset!$A$2:$A$1501,0))=1,"Yes","No")</f>
        <v>No</v>
      </c>
      <c r="H1181" s="0" t="n">
        <f aca="false">INDEX(customer_churn_dataset!$N$2:$N$1501,MATCH($A1182,customer_churn_dataset!$A$2:$A$1501,0))</f>
        <v>1339.38</v>
      </c>
      <c r="I1181" s="0" t="n">
        <f aca="false">INDEX(customer_churn_dataset!$O$2:$O$1501,MATCH($A1182,customer_churn_dataset!$A$2:$A$1501,0))</f>
        <v>0</v>
      </c>
      <c r="J1181" s="0" t="n">
        <f aca="false">INDEX(customer_churn_dataset!$T$2:$T$1501,MATCH($A1182,customer_churn_dataset!$A$2:$A$1501,0))</f>
        <v>4</v>
      </c>
      <c r="K1181" s="0" t="str">
        <f aca="false">INDEX(customer_churn_dataset!$V$2:$V$1501,MATCH($A1182,customer_churn_dataset!$A$2:$A$1501,0))</f>
        <v>Medium Risk</v>
      </c>
    </row>
    <row r="1182" customFormat="false" ht="12.8" hidden="true" customHeight="false" outlineLevel="0" collapsed="false">
      <c r="A1182" s="22" t="str">
        <f aca="false">customer_churn_dataset!A1454</f>
        <v>CUST100686</v>
      </c>
      <c r="B1182" s="22" t="str">
        <f aca="false">customer_churn_dataset!B1454</f>
        <v>Standard</v>
      </c>
      <c r="C1182" s="22" t="str">
        <f aca="false">customer_churn_dataset!C1454</f>
        <v>One year</v>
      </c>
      <c r="D1182" s="0" t="n">
        <f aca="false">INDEX(customer_churn_dataset!$E$2:$E$1501,MATCH($A1183,customer_churn_dataset!$A$2:$A$1501,0))</f>
        <v>2</v>
      </c>
      <c r="E1182" s="0" t="n">
        <f aca="false">INDEX(customer_churn_dataset!$I$2:$I$1501,MATCH($A1183,customer_churn_dataset!$A$2:$A$1501,0))</f>
        <v>65.3</v>
      </c>
      <c r="F1182" s="0" t="n">
        <f aca="false">INDEX(customer_churn_dataset!$L$2:$L$1501,MATCH($A1183,customer_churn_dataset!$A$2:$A$1501,0))</f>
        <v>1</v>
      </c>
      <c r="G1182" s="0" t="str">
        <f aca="false">IF(INDEX(customer_churn_dataset!$M$2:$M$1501,MATCH($A1183,customer_churn_dataset!$A$2:$A$1501,0))=1,"Yes","No")</f>
        <v>No</v>
      </c>
      <c r="H1182" s="0" t="n">
        <f aca="false">INDEX(customer_churn_dataset!$N$2:$N$1501,MATCH($A1183,customer_churn_dataset!$A$2:$A$1501,0))</f>
        <v>19.82</v>
      </c>
      <c r="I1182" s="0" t="n">
        <f aca="false">INDEX(customer_churn_dataset!$O$2:$O$1501,MATCH($A1183,customer_churn_dataset!$A$2:$A$1501,0))</f>
        <v>1</v>
      </c>
      <c r="J1182" s="0" t="n">
        <f aca="false">INDEX(customer_churn_dataset!$T$2:$T$1501,MATCH($A1183,customer_churn_dataset!$A$2:$A$1501,0))</f>
        <v>1</v>
      </c>
      <c r="K1182" s="0" t="str">
        <f aca="false">INDEX(customer_churn_dataset!$V$2:$V$1501,MATCH($A1183,customer_churn_dataset!$A$2:$A$1501,0))</f>
        <v>Low Risk</v>
      </c>
    </row>
    <row r="1183" customFormat="false" ht="12.8" hidden="true" customHeight="false" outlineLevel="0" collapsed="false">
      <c r="A1183" s="22" t="str">
        <f aca="false">customer_churn_dataset!A1456</f>
        <v>CUST100935</v>
      </c>
      <c r="B1183" s="22" t="str">
        <f aca="false">customer_churn_dataset!B1456</f>
        <v>Basic</v>
      </c>
      <c r="C1183" s="22" t="str">
        <f aca="false">customer_churn_dataset!C1456</f>
        <v>Two year</v>
      </c>
      <c r="D1183" s="0" t="n">
        <f aca="false">INDEX(customer_churn_dataset!$E$2:$E$1501,MATCH($A1184,customer_churn_dataset!$A$2:$A$1501,0))</f>
        <v>11</v>
      </c>
      <c r="E1183" s="0" t="n">
        <f aca="false">INDEX(customer_churn_dataset!$I$2:$I$1501,MATCH($A1184,customer_churn_dataset!$A$2:$A$1501,0))</f>
        <v>81.2</v>
      </c>
      <c r="F1183" s="0" t="n">
        <f aca="false">INDEX(customer_churn_dataset!$L$2:$L$1501,MATCH($A1184,customer_churn_dataset!$A$2:$A$1501,0))</f>
        <v>1</v>
      </c>
      <c r="G1183" s="0" t="str">
        <f aca="false">IF(INDEX(customer_churn_dataset!$M$2:$M$1501,MATCH($A1184,customer_churn_dataset!$A$2:$A$1501,0))=1,"Yes","No")</f>
        <v>Yes</v>
      </c>
      <c r="H1183" s="0" t="n">
        <f aca="false">INDEX(customer_churn_dataset!$N$2:$N$1501,MATCH($A1184,customer_churn_dataset!$A$2:$A$1501,0))</f>
        <v>227.26</v>
      </c>
      <c r="I1183" s="0" t="n">
        <f aca="false">INDEX(customer_churn_dataset!$O$2:$O$1501,MATCH($A1184,customer_churn_dataset!$A$2:$A$1501,0))</f>
        <v>0</v>
      </c>
      <c r="J1183" s="0" t="n">
        <f aca="false">INDEX(customer_churn_dataset!$T$2:$T$1501,MATCH($A1184,customer_churn_dataset!$A$2:$A$1501,0))</f>
        <v>4</v>
      </c>
      <c r="K1183" s="0" t="str">
        <f aca="false">INDEX(customer_churn_dataset!$V$2:$V$1501,MATCH($A1184,customer_churn_dataset!$A$2:$A$1501,0))</f>
        <v>Medium Risk</v>
      </c>
    </row>
    <row r="1184" customFormat="false" ht="12.8" hidden="true" customHeight="false" outlineLevel="0" collapsed="false">
      <c r="A1184" s="22" t="str">
        <f aca="false">customer_churn_dataset!A1462</f>
        <v>CUST101154</v>
      </c>
      <c r="B1184" s="22" t="str">
        <f aca="false">customer_churn_dataset!B1462</f>
        <v>Standard</v>
      </c>
      <c r="C1184" s="22" t="str">
        <f aca="false">customer_churn_dataset!C1462</f>
        <v>Two year</v>
      </c>
      <c r="D1184" s="0" t="n">
        <f aca="false">INDEX(customer_churn_dataset!$E$2:$E$1501,MATCH($A1185,customer_churn_dataset!$A$2:$A$1501,0))</f>
        <v>11</v>
      </c>
      <c r="E1184" s="0" t="n">
        <f aca="false">INDEX(customer_churn_dataset!$I$2:$I$1501,MATCH($A1185,customer_churn_dataset!$A$2:$A$1501,0))</f>
        <v>68.7</v>
      </c>
      <c r="F1184" s="0" t="n">
        <f aca="false">INDEX(customer_churn_dataset!$L$2:$L$1501,MATCH($A1185,customer_churn_dataset!$A$2:$A$1501,0))</f>
        <v>0</v>
      </c>
      <c r="G1184" s="0" t="str">
        <f aca="false">IF(INDEX(customer_churn_dataset!$M$2:$M$1501,MATCH($A1185,customer_churn_dataset!$A$2:$A$1501,0))=1,"Yes","No")</f>
        <v>No</v>
      </c>
      <c r="H1184" s="0" t="n">
        <f aca="false">INDEX(customer_churn_dataset!$N$2:$N$1501,MATCH($A1185,customer_churn_dataset!$A$2:$A$1501,0))</f>
        <v>428.67</v>
      </c>
      <c r="I1184" s="0" t="n">
        <f aca="false">INDEX(customer_churn_dataset!$O$2:$O$1501,MATCH($A1185,customer_churn_dataset!$A$2:$A$1501,0))</f>
        <v>0</v>
      </c>
      <c r="J1184" s="0" t="n">
        <f aca="false">INDEX(customer_churn_dataset!$T$2:$T$1501,MATCH($A1185,customer_churn_dataset!$A$2:$A$1501,0))</f>
        <v>3</v>
      </c>
      <c r="K1184" s="0" t="str">
        <f aca="false">INDEX(customer_churn_dataset!$V$2:$V$1501,MATCH($A1185,customer_churn_dataset!$A$2:$A$1501,0))</f>
        <v>Medium Risk</v>
      </c>
    </row>
    <row r="1185" customFormat="false" ht="12.8" hidden="true" customHeight="false" outlineLevel="0" collapsed="false">
      <c r="A1185" s="22" t="str">
        <f aca="false">customer_churn_dataset!A1468</f>
        <v>CUST100358</v>
      </c>
      <c r="B1185" s="22" t="str">
        <f aca="false">customer_churn_dataset!B1468</f>
        <v>Premium</v>
      </c>
      <c r="C1185" s="22" t="str">
        <f aca="false">customer_churn_dataset!C1468</f>
        <v>Month-to-month</v>
      </c>
      <c r="D1185" s="0" t="n">
        <f aca="false">INDEX(customer_churn_dataset!$E$2:$E$1501,MATCH($A1186,customer_churn_dataset!$A$2:$A$1501,0))</f>
        <v>15</v>
      </c>
      <c r="E1185" s="0" t="n">
        <f aca="false">INDEX(customer_churn_dataset!$I$2:$I$1501,MATCH($A1186,customer_churn_dataset!$A$2:$A$1501,0))</f>
        <v>89.8</v>
      </c>
      <c r="F1185" s="0" t="n">
        <f aca="false">INDEX(customer_churn_dataset!$L$2:$L$1501,MATCH($A1186,customer_churn_dataset!$A$2:$A$1501,0))</f>
        <v>2</v>
      </c>
      <c r="G1185" s="0" t="str">
        <f aca="false">IF(INDEX(customer_churn_dataset!$M$2:$M$1501,MATCH($A1186,customer_churn_dataset!$A$2:$A$1501,0))=1,"Yes","No")</f>
        <v>Yes</v>
      </c>
      <c r="H1185" s="0" t="n">
        <f aca="false">INDEX(customer_churn_dataset!$N$2:$N$1501,MATCH($A1186,customer_churn_dataset!$A$2:$A$1501,0))</f>
        <v>295.8</v>
      </c>
      <c r="I1185" s="0" t="n">
        <f aca="false">INDEX(customer_churn_dataset!$O$2:$O$1501,MATCH($A1186,customer_churn_dataset!$A$2:$A$1501,0))</f>
        <v>0</v>
      </c>
      <c r="J1185" s="0" t="n">
        <f aca="false">INDEX(customer_churn_dataset!$T$2:$T$1501,MATCH($A1186,customer_churn_dataset!$A$2:$A$1501,0))</f>
        <v>6</v>
      </c>
      <c r="K1185" s="0" t="str">
        <f aca="false">INDEX(customer_churn_dataset!$V$2:$V$1501,MATCH($A1186,customer_churn_dataset!$A$2:$A$1501,0))</f>
        <v>High Risk</v>
      </c>
    </row>
    <row r="1186" customFormat="false" ht="12.8" hidden="true" customHeight="false" outlineLevel="0" collapsed="false">
      <c r="A1186" s="22" t="str">
        <f aca="false">customer_churn_dataset!A1476</f>
        <v>CUST100399</v>
      </c>
      <c r="B1186" s="22" t="str">
        <f aca="false">customer_churn_dataset!B1476</f>
        <v>Standard</v>
      </c>
      <c r="C1186" s="22" t="str">
        <f aca="false">customer_churn_dataset!C1476</f>
        <v>Month-to-month</v>
      </c>
      <c r="D1186" s="0" t="n">
        <f aca="false">INDEX(customer_churn_dataset!$E$2:$E$1501,MATCH($A1187,customer_churn_dataset!$A$2:$A$1501,0))</f>
        <v>19</v>
      </c>
      <c r="E1186" s="0" t="n">
        <f aca="false">INDEX(customer_churn_dataset!$I$2:$I$1501,MATCH($A1187,customer_churn_dataset!$A$2:$A$1501,0))</f>
        <v>65.7</v>
      </c>
      <c r="F1186" s="0" t="n">
        <f aca="false">INDEX(customer_churn_dataset!$L$2:$L$1501,MATCH($A1187,customer_churn_dataset!$A$2:$A$1501,0))</f>
        <v>1</v>
      </c>
      <c r="G1186" s="0" t="str">
        <f aca="false">IF(INDEX(customer_churn_dataset!$M$2:$M$1501,MATCH($A1187,customer_churn_dataset!$A$2:$A$1501,0))=1,"Yes","No")</f>
        <v>No</v>
      </c>
      <c r="H1186" s="0" t="n">
        <f aca="false">INDEX(customer_churn_dataset!$N$2:$N$1501,MATCH($A1187,customer_churn_dataset!$A$2:$A$1501,0))</f>
        <v>362.33</v>
      </c>
      <c r="I1186" s="0" t="n">
        <f aca="false">INDEX(customer_churn_dataset!$O$2:$O$1501,MATCH($A1187,customer_churn_dataset!$A$2:$A$1501,0))</f>
        <v>0</v>
      </c>
      <c r="J1186" s="0" t="n">
        <f aca="false">INDEX(customer_churn_dataset!$T$2:$T$1501,MATCH($A1187,customer_churn_dataset!$A$2:$A$1501,0))</f>
        <v>2</v>
      </c>
      <c r="K1186" s="0" t="str">
        <f aca="false">INDEX(customer_churn_dataset!$V$2:$V$1501,MATCH($A1187,customer_churn_dataset!$A$2:$A$1501,0))</f>
        <v>Low Risk</v>
      </c>
    </row>
    <row r="1187" customFormat="false" ht="12.8" hidden="true" customHeight="false" outlineLevel="0" collapsed="false">
      <c r="A1187" s="22" t="str">
        <f aca="false">customer_churn_dataset!A1478</f>
        <v>CUST100765</v>
      </c>
      <c r="B1187" s="22" t="str">
        <f aca="false">customer_churn_dataset!B1478</f>
        <v>Standard</v>
      </c>
      <c r="C1187" s="22" t="str">
        <f aca="false">customer_churn_dataset!C1478</f>
        <v>Month-to-month</v>
      </c>
      <c r="D1187" s="0" t="n">
        <f aca="false">INDEX(customer_churn_dataset!$E$2:$E$1501,MATCH($A1188,customer_churn_dataset!$A$2:$A$1501,0))</f>
        <v>31</v>
      </c>
      <c r="E1187" s="0" t="n">
        <f aca="false">INDEX(customer_churn_dataset!$I$2:$I$1501,MATCH($A1188,customer_churn_dataset!$A$2:$A$1501,0))</f>
        <v>51.6</v>
      </c>
      <c r="F1187" s="0" t="n">
        <f aca="false">INDEX(customer_churn_dataset!$L$2:$L$1501,MATCH($A1188,customer_churn_dataset!$A$2:$A$1501,0))</f>
        <v>1</v>
      </c>
      <c r="G1187" s="0" t="str">
        <f aca="false">IF(INDEX(customer_churn_dataset!$M$2:$M$1501,MATCH($A1188,customer_churn_dataset!$A$2:$A$1501,0))=1,"Yes","No")</f>
        <v>Yes</v>
      </c>
      <c r="H1187" s="0" t="n">
        <f aca="false">INDEX(customer_churn_dataset!$N$2:$N$1501,MATCH($A1188,customer_churn_dataset!$A$2:$A$1501,0))</f>
        <v>624.34</v>
      </c>
      <c r="I1187" s="0" t="n">
        <f aca="false">INDEX(customer_churn_dataset!$O$2:$O$1501,MATCH($A1188,customer_churn_dataset!$A$2:$A$1501,0))</f>
        <v>0</v>
      </c>
      <c r="J1187" s="0" t="n">
        <f aca="false">INDEX(customer_churn_dataset!$T$2:$T$1501,MATCH($A1188,customer_churn_dataset!$A$2:$A$1501,0))</f>
        <v>6</v>
      </c>
      <c r="K1187" s="0" t="str">
        <f aca="false">INDEX(customer_churn_dataset!$V$2:$V$1501,MATCH($A1188,customer_churn_dataset!$A$2:$A$1501,0))</f>
        <v>High Risk</v>
      </c>
    </row>
    <row r="1188" customFormat="false" ht="12.8" hidden="true" customHeight="false" outlineLevel="0" collapsed="false">
      <c r="A1188" s="22" t="str">
        <f aca="false">customer_churn_dataset!A1485</f>
        <v>CUST100174</v>
      </c>
      <c r="B1188" s="22" t="str">
        <f aca="false">customer_churn_dataset!B1485</f>
        <v>Standard</v>
      </c>
      <c r="C1188" s="22" t="str">
        <f aca="false">customer_churn_dataset!C1485</f>
        <v>Month-to-month</v>
      </c>
      <c r="D1188" s="0" t="n">
        <f aca="false">INDEX(customer_churn_dataset!$E$2:$E$1501,MATCH($A1189,customer_churn_dataset!$A$2:$A$1501,0))</f>
        <v>49</v>
      </c>
      <c r="E1188" s="0" t="n">
        <f aca="false">INDEX(customer_churn_dataset!$I$2:$I$1501,MATCH($A1189,customer_churn_dataset!$A$2:$A$1501,0))</f>
        <v>84.7</v>
      </c>
      <c r="F1188" s="0" t="n">
        <f aca="false">INDEX(customer_churn_dataset!$L$2:$L$1501,MATCH($A1189,customer_churn_dataset!$A$2:$A$1501,0))</f>
        <v>1</v>
      </c>
      <c r="G1188" s="0" t="str">
        <f aca="false">IF(INDEX(customer_churn_dataset!$M$2:$M$1501,MATCH($A1189,customer_churn_dataset!$A$2:$A$1501,0))=1,"Yes","No")</f>
        <v>No</v>
      </c>
      <c r="H1188" s="0" t="n">
        <f aca="false">INDEX(customer_churn_dataset!$N$2:$N$1501,MATCH($A1189,customer_churn_dataset!$A$2:$A$1501,0))</f>
        <v>934.43</v>
      </c>
      <c r="I1188" s="0" t="n">
        <f aca="false">INDEX(customer_churn_dataset!$O$2:$O$1501,MATCH($A1189,customer_churn_dataset!$A$2:$A$1501,0))</f>
        <v>0</v>
      </c>
      <c r="J1188" s="0" t="n">
        <f aca="false">INDEX(customer_churn_dataset!$T$2:$T$1501,MATCH($A1189,customer_churn_dataset!$A$2:$A$1501,0))</f>
        <v>1</v>
      </c>
      <c r="K1188" s="0" t="str">
        <f aca="false">INDEX(customer_churn_dataset!$V$2:$V$1501,MATCH($A1189,customer_churn_dataset!$A$2:$A$1501,0))</f>
        <v>Low Risk</v>
      </c>
    </row>
    <row r="1189" customFormat="false" ht="12.8" hidden="true" customHeight="false" outlineLevel="0" collapsed="false">
      <c r="A1189" s="22" t="str">
        <f aca="false">customer_churn_dataset!A1489</f>
        <v>CUST101373</v>
      </c>
      <c r="B1189" s="22" t="str">
        <f aca="false">customer_churn_dataset!B1489</f>
        <v>Standard</v>
      </c>
      <c r="C1189" s="22" t="str">
        <f aca="false">customer_churn_dataset!C1489</f>
        <v>One year</v>
      </c>
      <c r="D1189" s="0" t="n">
        <f aca="false">INDEX(customer_churn_dataset!$E$2:$E$1501,MATCH($A1190,customer_churn_dataset!$A$2:$A$1501,0))</f>
        <v>18</v>
      </c>
      <c r="E1189" s="0" t="n">
        <f aca="false">INDEX(customer_churn_dataset!$I$2:$I$1501,MATCH($A1190,customer_churn_dataset!$A$2:$A$1501,0))</f>
        <v>67.7</v>
      </c>
      <c r="F1189" s="0" t="n">
        <f aca="false">INDEX(customer_churn_dataset!$L$2:$L$1501,MATCH($A1190,customer_churn_dataset!$A$2:$A$1501,0))</f>
        <v>2</v>
      </c>
      <c r="G1189" s="0" t="str">
        <f aca="false">IF(INDEX(customer_churn_dataset!$M$2:$M$1501,MATCH($A1190,customer_churn_dataset!$A$2:$A$1501,0))=1,"Yes","No")</f>
        <v>No</v>
      </c>
      <c r="H1189" s="0" t="n">
        <f aca="false">INDEX(customer_churn_dataset!$N$2:$N$1501,MATCH($A1190,customer_churn_dataset!$A$2:$A$1501,0))</f>
        <v>688.68</v>
      </c>
      <c r="I1189" s="0" t="n">
        <f aca="false">INDEX(customer_churn_dataset!$O$2:$O$1501,MATCH($A1190,customer_churn_dataset!$A$2:$A$1501,0))</f>
        <v>0</v>
      </c>
      <c r="J1189" s="0" t="n">
        <f aca="false">INDEX(customer_churn_dataset!$T$2:$T$1501,MATCH($A1190,customer_churn_dataset!$A$2:$A$1501,0))</f>
        <v>3</v>
      </c>
      <c r="K1189" s="0" t="str">
        <f aca="false">INDEX(customer_churn_dataset!$V$2:$V$1501,MATCH($A1190,customer_churn_dataset!$A$2:$A$1501,0))</f>
        <v>Medium Risk</v>
      </c>
    </row>
    <row r="1190" customFormat="false" ht="12.8" hidden="true" customHeight="false" outlineLevel="0" collapsed="false">
      <c r="A1190" s="22" t="str">
        <f aca="false">customer_churn_dataset!A1493</f>
        <v>CUST101120</v>
      </c>
      <c r="B1190" s="22" t="str">
        <f aca="false">customer_churn_dataset!B1493</f>
        <v>Premium</v>
      </c>
      <c r="C1190" s="22" t="str">
        <f aca="false">customer_churn_dataset!C1493</f>
        <v>Month-to-month</v>
      </c>
      <c r="D1190" s="0" t="n">
        <f aca="false">INDEX(customer_churn_dataset!$E$2:$E$1501,MATCH($A1191,customer_churn_dataset!$A$2:$A$1501,0))</f>
        <v>18</v>
      </c>
      <c r="E1190" s="0" t="n">
        <f aca="false">INDEX(customer_churn_dataset!$I$2:$I$1501,MATCH($A1191,customer_churn_dataset!$A$2:$A$1501,0))</f>
        <v>49.8</v>
      </c>
      <c r="F1190" s="0" t="n">
        <f aca="false">INDEX(customer_churn_dataset!$L$2:$L$1501,MATCH($A1191,customer_churn_dataset!$A$2:$A$1501,0))</f>
        <v>3</v>
      </c>
      <c r="G1190" s="0" t="str">
        <f aca="false">IF(INDEX(customer_churn_dataset!$M$2:$M$1501,MATCH($A1191,customer_churn_dataset!$A$2:$A$1501,0))=1,"Yes","No")</f>
        <v>No</v>
      </c>
      <c r="H1190" s="0" t="n">
        <f aca="false">INDEX(customer_churn_dataset!$N$2:$N$1501,MATCH($A1191,customer_churn_dataset!$A$2:$A$1501,0))</f>
        <v>730.44</v>
      </c>
      <c r="I1190" s="0" t="n">
        <f aca="false">INDEX(customer_churn_dataset!$O$2:$O$1501,MATCH($A1191,customer_churn_dataset!$A$2:$A$1501,0))</f>
        <v>0</v>
      </c>
      <c r="J1190" s="0" t="n">
        <f aca="false">INDEX(customer_churn_dataset!$T$2:$T$1501,MATCH($A1191,customer_churn_dataset!$A$2:$A$1501,0))</f>
        <v>4</v>
      </c>
      <c r="K1190" s="0" t="str">
        <f aca="false">INDEX(customer_churn_dataset!$V$2:$V$1501,MATCH($A1191,customer_churn_dataset!$A$2:$A$1501,0))</f>
        <v>Medium Risk</v>
      </c>
    </row>
    <row r="1191" customFormat="false" ht="12.8" hidden="true" customHeight="false" outlineLevel="0" collapsed="false">
      <c r="A1191" s="22" t="str">
        <f aca="false">customer_churn_dataset!A4</f>
        <v>CUST100305</v>
      </c>
      <c r="B1191" s="22" t="str">
        <f aca="false">customer_churn_dataset!B4</f>
        <v>Premium</v>
      </c>
      <c r="C1191" s="22" t="str">
        <f aca="false">customer_churn_dataset!C4</f>
        <v>Month-to-month</v>
      </c>
      <c r="D1191" s="0" t="n">
        <f aca="false">INDEX(customer_churn_dataset!$E$2:$E$1501,MATCH($A1192,customer_churn_dataset!$A$2:$A$1501,0))</f>
        <v>2</v>
      </c>
      <c r="E1191" s="0" t="n">
        <f aca="false">INDEX(customer_churn_dataset!$I$2:$I$1501,MATCH($A1192,customer_churn_dataset!$A$2:$A$1501,0))</f>
        <v>63.3</v>
      </c>
      <c r="F1191" s="0" t="n">
        <f aca="false">INDEX(customer_churn_dataset!$L$2:$L$1501,MATCH($A1192,customer_churn_dataset!$A$2:$A$1501,0))</f>
        <v>3</v>
      </c>
      <c r="G1191" s="0" t="str">
        <f aca="false">IF(INDEX(customer_churn_dataset!$M$2:$M$1501,MATCH($A1192,customer_churn_dataset!$A$2:$A$1501,0))=1,"Yes","No")</f>
        <v>Yes</v>
      </c>
      <c r="H1191" s="0" t="n">
        <f aca="false">INDEX(customer_churn_dataset!$N$2:$N$1501,MATCH($A1192,customer_churn_dataset!$A$2:$A$1501,0))</f>
        <v>42.16</v>
      </c>
      <c r="I1191" s="0" t="n">
        <f aca="false">INDEX(customer_churn_dataset!$O$2:$O$1501,MATCH($A1192,customer_churn_dataset!$A$2:$A$1501,0))</f>
        <v>1</v>
      </c>
      <c r="J1191" s="0" t="n">
        <f aca="false">INDEX(customer_churn_dataset!$T$2:$T$1501,MATCH($A1192,customer_churn_dataset!$A$2:$A$1501,0))</f>
        <v>7</v>
      </c>
      <c r="K1191" s="0" t="str">
        <f aca="false">INDEX(customer_churn_dataset!$V$2:$V$1501,MATCH($A1192,customer_churn_dataset!$A$2:$A$1501,0))</f>
        <v>High Risk</v>
      </c>
    </row>
    <row r="1192" customFormat="false" ht="12.8" hidden="true" customHeight="false" outlineLevel="0" collapsed="false">
      <c r="A1192" s="22" t="str">
        <f aca="false">customer_churn_dataset!A32</f>
        <v>CUST100565</v>
      </c>
      <c r="B1192" s="22" t="str">
        <f aca="false">customer_churn_dataset!B32</f>
        <v>Standard</v>
      </c>
      <c r="C1192" s="22" t="str">
        <f aca="false">customer_churn_dataset!C32</f>
        <v>Month-to-month</v>
      </c>
      <c r="D1192" s="0" t="n">
        <f aca="false">INDEX(customer_churn_dataset!$E$2:$E$1501,MATCH($A1193,customer_churn_dataset!$A$2:$A$1501,0))</f>
        <v>27</v>
      </c>
      <c r="E1192" s="0" t="n">
        <f aca="false">INDEX(customer_churn_dataset!$I$2:$I$1501,MATCH($A1193,customer_churn_dataset!$A$2:$A$1501,0))</f>
        <v>53.1</v>
      </c>
      <c r="F1192" s="0" t="n">
        <f aca="false">INDEX(customer_churn_dataset!$L$2:$L$1501,MATCH($A1193,customer_churn_dataset!$A$2:$A$1501,0))</f>
        <v>1</v>
      </c>
      <c r="G1192" s="0" t="str">
        <f aca="false">IF(INDEX(customer_churn_dataset!$M$2:$M$1501,MATCH($A1193,customer_churn_dataset!$A$2:$A$1501,0))=1,"Yes","No")</f>
        <v>Yes</v>
      </c>
      <c r="H1192" s="0" t="n">
        <f aca="false">INDEX(customer_churn_dataset!$N$2:$N$1501,MATCH($A1193,customer_churn_dataset!$A$2:$A$1501,0))</f>
        <v>281.34</v>
      </c>
      <c r="I1192" s="0" t="n">
        <f aca="false">INDEX(customer_churn_dataset!$O$2:$O$1501,MATCH($A1193,customer_churn_dataset!$A$2:$A$1501,0))</f>
        <v>1</v>
      </c>
      <c r="J1192" s="0" t="n">
        <f aca="false">INDEX(customer_churn_dataset!$T$2:$T$1501,MATCH($A1193,customer_churn_dataset!$A$2:$A$1501,0))</f>
        <v>6</v>
      </c>
      <c r="K1192" s="0" t="str">
        <f aca="false">INDEX(customer_churn_dataset!$V$2:$V$1501,MATCH($A1193,customer_churn_dataset!$A$2:$A$1501,0))</f>
        <v>High Risk</v>
      </c>
    </row>
    <row r="1193" customFormat="false" ht="12.8" hidden="true" customHeight="false" outlineLevel="0" collapsed="false">
      <c r="A1193" s="22" t="str">
        <f aca="false">customer_churn_dataset!A46</f>
        <v>CUST100689</v>
      </c>
      <c r="B1193" s="22" t="str">
        <f aca="false">customer_churn_dataset!B46</f>
        <v>Basic</v>
      </c>
      <c r="C1193" s="22" t="str">
        <f aca="false">customer_churn_dataset!C46</f>
        <v>Month-to-month</v>
      </c>
      <c r="D1193" s="0" t="n">
        <f aca="false">INDEX(customer_churn_dataset!$E$2:$E$1501,MATCH($A1194,customer_churn_dataset!$A$2:$A$1501,0))</f>
        <v>0</v>
      </c>
      <c r="E1193" s="0" t="n">
        <f aca="false">INDEX(customer_churn_dataset!$I$2:$I$1501,MATCH($A1194,customer_churn_dataset!$A$2:$A$1501,0))</f>
        <v>33.9</v>
      </c>
      <c r="F1193" s="0" t="n">
        <f aca="false">INDEX(customer_churn_dataset!$L$2:$L$1501,MATCH($A1194,customer_churn_dataset!$A$2:$A$1501,0))</f>
        <v>1</v>
      </c>
      <c r="G1193" s="0" t="str">
        <f aca="false">IF(INDEX(customer_churn_dataset!$M$2:$M$1501,MATCH($A1194,customer_churn_dataset!$A$2:$A$1501,0))=1,"Yes","No")</f>
        <v>No</v>
      </c>
      <c r="H1193" s="0" t="n">
        <f aca="false">INDEX(customer_churn_dataset!$N$2:$N$1501,MATCH($A1194,customer_churn_dataset!$A$2:$A$1501,0))</f>
        <v>0</v>
      </c>
      <c r="I1193" s="0" t="n">
        <f aca="false">INDEX(customer_churn_dataset!$O$2:$O$1501,MATCH($A1194,customer_churn_dataset!$A$2:$A$1501,0))</f>
        <v>1</v>
      </c>
      <c r="J1193" s="0" t="n">
        <f aca="false">INDEX(customer_churn_dataset!$T$2:$T$1501,MATCH($A1194,customer_churn_dataset!$A$2:$A$1501,0))</f>
        <v>5</v>
      </c>
      <c r="K1193" s="0" t="str">
        <f aca="false">INDEX(customer_churn_dataset!$V$2:$V$1501,MATCH($A1194,customer_churn_dataset!$A$2:$A$1501,0))</f>
        <v>Medium Risk</v>
      </c>
    </row>
    <row r="1194" customFormat="false" ht="12.8" hidden="false" customHeight="false" outlineLevel="0" collapsed="false">
      <c r="A1194" s="23" t="str">
        <f aca="false">customer_churn_dataset!A9</f>
        <v>CUST101076</v>
      </c>
      <c r="B1194" s="24" t="str">
        <f aca="false">customer_churn_dataset!B9</f>
        <v>Basic</v>
      </c>
      <c r="C1194" s="24" t="str">
        <f aca="false">customer_churn_dataset!C9</f>
        <v>Month-to-month</v>
      </c>
      <c r="D1194" s="25" t="n">
        <f aca="false">INDEX(customer_churn_dataset!$E$2:$E$1501,MATCH($A1195,customer_churn_dataset!$A$2:$A$1501,0))</f>
        <v>37</v>
      </c>
      <c r="E1194" s="25" t="n">
        <f aca="false">INDEX(customer_churn_dataset!$I$2:$I$1501,MATCH($A1195,customer_churn_dataset!$A$2:$A$1501,0))</f>
        <v>18.2</v>
      </c>
      <c r="F1194" s="25" t="n">
        <f aca="false">INDEX(customer_churn_dataset!$L$2:$L$1501,MATCH($A1195,customer_churn_dataset!$A$2:$A$1501,0))</f>
        <v>4</v>
      </c>
      <c r="G1194" s="25" t="str">
        <f aca="false">IF(INDEX(customer_churn_dataset!$M$2:$M$1501,MATCH($A1195,customer_churn_dataset!$A$2:$A$1501,0))=1,"Yes","No")</f>
        <v>Yes</v>
      </c>
      <c r="H1194" s="25" t="n">
        <f aca="false">INDEX(customer_churn_dataset!$N$2:$N$1501,MATCH($A1195,customer_churn_dataset!$A$2:$A$1501,0))</f>
        <v>311.54</v>
      </c>
      <c r="I1194" s="25" t="n">
        <f aca="false">INDEX(customer_churn_dataset!$O$2:$O$1501,MATCH($A1195,customer_churn_dataset!$A$2:$A$1501,0))</f>
        <v>1</v>
      </c>
      <c r="J1194" s="25" t="n">
        <f aca="false">INDEX(customer_churn_dataset!$T$2:$T$1501,MATCH($A1195,customer_churn_dataset!$A$2:$A$1501,0))</f>
        <v>8</v>
      </c>
      <c r="K1194" s="25" t="str">
        <f aca="false">INDEX(customer_churn_dataset!$V$2:$V$1501,MATCH($A1195,customer_churn_dataset!$A$2:$A$1501,0))</f>
        <v>High Risk</v>
      </c>
    </row>
    <row r="1195" customFormat="false" ht="12.8" hidden="true" customHeight="false" outlineLevel="0" collapsed="false">
      <c r="A1195" s="22" t="str">
        <f aca="false">customer_churn_dataset!A28</f>
        <v>CUST100746</v>
      </c>
      <c r="B1195" s="22" t="str">
        <f aca="false">customer_churn_dataset!B28</f>
        <v>Basic</v>
      </c>
      <c r="C1195" s="22" t="str">
        <f aca="false">customer_churn_dataset!C28</f>
        <v>Month-to-month</v>
      </c>
      <c r="D1195" s="0" t="n">
        <f aca="false">INDEX(customer_churn_dataset!$E$2:$E$1501,MATCH($A1196,customer_churn_dataset!$A$2:$A$1501,0))</f>
        <v>64</v>
      </c>
      <c r="E1195" s="0" t="n">
        <f aca="false">INDEX(customer_churn_dataset!$I$2:$I$1501,MATCH($A1196,customer_churn_dataset!$A$2:$A$1501,0))</f>
        <v>56.6</v>
      </c>
      <c r="F1195" s="0" t="n">
        <f aca="false">INDEX(customer_churn_dataset!$L$2:$L$1501,MATCH($A1196,customer_churn_dataset!$A$2:$A$1501,0))</f>
        <v>0</v>
      </c>
      <c r="G1195" s="0" t="str">
        <f aca="false">IF(INDEX(customer_churn_dataset!$M$2:$M$1501,MATCH($A1196,customer_churn_dataset!$A$2:$A$1501,0))=1,"Yes","No")</f>
        <v>No</v>
      </c>
      <c r="H1195" s="0" t="n">
        <f aca="false">INDEX(customer_churn_dataset!$N$2:$N$1501,MATCH($A1196,customer_churn_dataset!$A$2:$A$1501,0))</f>
        <v>628.48</v>
      </c>
      <c r="I1195" s="0" t="n">
        <f aca="false">INDEX(customer_churn_dataset!$O$2:$O$1501,MATCH($A1196,customer_churn_dataset!$A$2:$A$1501,0))</f>
        <v>0</v>
      </c>
      <c r="J1195" s="0" t="n">
        <f aca="false">INDEX(customer_churn_dataset!$T$2:$T$1501,MATCH($A1196,customer_churn_dataset!$A$2:$A$1501,0))</f>
        <v>2</v>
      </c>
      <c r="K1195" s="0" t="str">
        <f aca="false">INDEX(customer_churn_dataset!$V$2:$V$1501,MATCH($A1196,customer_churn_dataset!$A$2:$A$1501,0))</f>
        <v>Low Risk</v>
      </c>
    </row>
    <row r="1196" customFormat="false" ht="12.8" hidden="true" customHeight="false" outlineLevel="0" collapsed="false">
      <c r="A1196" s="22" t="str">
        <f aca="false">customer_churn_dataset!A61</f>
        <v>CUST100344</v>
      </c>
      <c r="B1196" s="22" t="str">
        <f aca="false">customer_churn_dataset!B61</f>
        <v>Basic</v>
      </c>
      <c r="C1196" s="22" t="str">
        <f aca="false">customer_churn_dataset!C61</f>
        <v>Month-to-month</v>
      </c>
      <c r="D1196" s="0" t="n">
        <f aca="false">INDEX(customer_churn_dataset!$E$2:$E$1501,MATCH($A1197,customer_churn_dataset!$A$2:$A$1501,0))</f>
        <v>5</v>
      </c>
      <c r="E1196" s="0" t="n">
        <f aca="false">INDEX(customer_churn_dataset!$I$2:$I$1501,MATCH($A1197,customer_churn_dataset!$A$2:$A$1501,0))</f>
        <v>62.6</v>
      </c>
      <c r="F1196" s="0" t="n">
        <f aca="false">INDEX(customer_churn_dataset!$L$2:$L$1501,MATCH($A1197,customer_churn_dataset!$A$2:$A$1501,0))</f>
        <v>1</v>
      </c>
      <c r="G1196" s="0" t="str">
        <f aca="false">IF(INDEX(customer_churn_dataset!$M$2:$M$1501,MATCH($A1197,customer_churn_dataset!$A$2:$A$1501,0))=1,"Yes","No")</f>
        <v>No</v>
      </c>
      <c r="H1196" s="0" t="n">
        <f aca="false">INDEX(customer_churn_dataset!$N$2:$N$1501,MATCH($A1197,customer_churn_dataset!$A$2:$A$1501,0))</f>
        <v>91.05</v>
      </c>
      <c r="I1196" s="0" t="n">
        <f aca="false">INDEX(customer_churn_dataset!$O$2:$O$1501,MATCH($A1197,customer_churn_dataset!$A$2:$A$1501,0))</f>
        <v>1</v>
      </c>
      <c r="J1196" s="0" t="n">
        <f aca="false">INDEX(customer_churn_dataset!$T$2:$T$1501,MATCH($A1197,customer_churn_dataset!$A$2:$A$1501,0))</f>
        <v>3</v>
      </c>
      <c r="K1196" s="0" t="str">
        <f aca="false">INDEX(customer_churn_dataset!$V$2:$V$1501,MATCH($A1197,customer_churn_dataset!$A$2:$A$1501,0))</f>
        <v>Medium Risk</v>
      </c>
    </row>
    <row r="1197" customFormat="false" ht="12.8" hidden="true" customHeight="false" outlineLevel="0" collapsed="false">
      <c r="A1197" s="22" t="str">
        <f aca="false">customer_churn_dataset!A94</f>
        <v>CUST101198</v>
      </c>
      <c r="B1197" s="22" t="str">
        <f aca="false">customer_churn_dataset!B94</f>
        <v>Standard</v>
      </c>
      <c r="C1197" s="22" t="str">
        <f aca="false">customer_churn_dataset!C94</f>
        <v>Month-to-month</v>
      </c>
      <c r="D1197" s="0" t="n">
        <f aca="false">INDEX(customer_churn_dataset!$E$2:$E$1501,MATCH($A1198,customer_churn_dataset!$A$2:$A$1501,0))</f>
        <v>1</v>
      </c>
      <c r="E1197" s="0" t="n">
        <f aca="false">INDEX(customer_churn_dataset!$I$2:$I$1501,MATCH($A1198,customer_churn_dataset!$A$2:$A$1501,0))</f>
        <v>46</v>
      </c>
      <c r="F1197" s="0" t="n">
        <f aca="false">INDEX(customer_churn_dataset!$L$2:$L$1501,MATCH($A1198,customer_churn_dataset!$A$2:$A$1501,0))</f>
        <v>0</v>
      </c>
      <c r="G1197" s="0" t="str">
        <f aca="false">IF(INDEX(customer_churn_dataset!$M$2:$M$1501,MATCH($A1198,customer_churn_dataset!$A$2:$A$1501,0))=1,"Yes","No")</f>
        <v>No</v>
      </c>
      <c r="H1197" s="0" t="n">
        <f aca="false">INDEX(customer_churn_dataset!$N$2:$N$1501,MATCH($A1198,customer_churn_dataset!$A$2:$A$1501,0))</f>
        <v>40.34</v>
      </c>
      <c r="I1197" s="0" t="n">
        <f aca="false">INDEX(customer_churn_dataset!$O$2:$O$1501,MATCH($A1198,customer_churn_dataset!$A$2:$A$1501,0))</f>
        <v>0</v>
      </c>
      <c r="J1197" s="0" t="n">
        <f aca="false">INDEX(customer_churn_dataset!$T$2:$T$1501,MATCH($A1198,customer_churn_dataset!$A$2:$A$1501,0))</f>
        <v>4</v>
      </c>
      <c r="K1197" s="0" t="str">
        <f aca="false">INDEX(customer_churn_dataset!$V$2:$V$1501,MATCH($A1198,customer_churn_dataset!$A$2:$A$1501,0))</f>
        <v>Medium Risk</v>
      </c>
    </row>
    <row r="1198" customFormat="false" ht="12.8" hidden="false" customHeight="false" outlineLevel="0" collapsed="false">
      <c r="A1198" s="23" t="str">
        <f aca="false">customer_churn_dataset!A111</f>
        <v>CUST101110</v>
      </c>
      <c r="B1198" s="24" t="str">
        <f aca="false">customer_churn_dataset!B111</f>
        <v>Premium</v>
      </c>
      <c r="C1198" s="24" t="str">
        <f aca="false">customer_churn_dataset!C111</f>
        <v>Month-to-month</v>
      </c>
      <c r="D1198" s="25" t="n">
        <f aca="false">INDEX(customer_churn_dataset!$E$2:$E$1501,MATCH($A1199,customer_churn_dataset!$A$2:$A$1501,0))</f>
        <v>9</v>
      </c>
      <c r="E1198" s="25" t="n">
        <f aca="false">INDEX(customer_churn_dataset!$I$2:$I$1501,MATCH($A1199,customer_churn_dataset!$A$2:$A$1501,0))</f>
        <v>0</v>
      </c>
      <c r="F1198" s="25" t="n">
        <f aca="false">INDEX(customer_churn_dataset!$L$2:$L$1501,MATCH($A1199,customer_churn_dataset!$A$2:$A$1501,0))</f>
        <v>2</v>
      </c>
      <c r="G1198" s="25" t="str">
        <f aca="false">IF(INDEX(customer_churn_dataset!$M$2:$M$1501,MATCH($A1199,customer_churn_dataset!$A$2:$A$1501,0))=1,"Yes","No")</f>
        <v>Yes</v>
      </c>
      <c r="H1198" s="25" t="n">
        <f aca="false">INDEX(customer_churn_dataset!$N$2:$N$1501,MATCH($A1199,customer_churn_dataset!$A$2:$A$1501,0))</f>
        <v>76.86</v>
      </c>
      <c r="I1198" s="25" t="n">
        <f aca="false">INDEX(customer_churn_dataset!$O$2:$O$1501,MATCH($A1199,customer_churn_dataset!$A$2:$A$1501,0))</f>
        <v>1</v>
      </c>
      <c r="J1198" s="25" t="n">
        <f aca="false">INDEX(customer_churn_dataset!$T$2:$T$1501,MATCH($A1199,customer_churn_dataset!$A$2:$A$1501,0))</f>
        <v>9</v>
      </c>
      <c r="K1198" s="25" t="str">
        <f aca="false">INDEX(customer_churn_dataset!$V$2:$V$1501,MATCH($A1199,customer_churn_dataset!$A$2:$A$1501,0))</f>
        <v>High Risk</v>
      </c>
    </row>
    <row r="1199" customFormat="false" ht="12.8" hidden="true" customHeight="false" outlineLevel="0" collapsed="false">
      <c r="A1199" s="22" t="str">
        <f aca="false">customer_churn_dataset!A112</f>
        <v>CUST101411</v>
      </c>
      <c r="B1199" s="22" t="str">
        <f aca="false">customer_churn_dataset!B112</f>
        <v>Basic</v>
      </c>
      <c r="C1199" s="22" t="str">
        <f aca="false">customer_churn_dataset!C112</f>
        <v>Month-to-month</v>
      </c>
      <c r="D1199" s="0" t="n">
        <f aca="false">INDEX(customer_churn_dataset!$E$2:$E$1501,MATCH($A1200,customer_churn_dataset!$A$2:$A$1501,0))</f>
        <v>18</v>
      </c>
      <c r="E1199" s="0" t="n">
        <f aca="false">INDEX(customer_churn_dataset!$I$2:$I$1501,MATCH($A1200,customer_churn_dataset!$A$2:$A$1501,0))</f>
        <v>32</v>
      </c>
      <c r="F1199" s="0" t="n">
        <f aca="false">INDEX(customer_churn_dataset!$L$2:$L$1501,MATCH($A1200,customer_churn_dataset!$A$2:$A$1501,0))</f>
        <v>4</v>
      </c>
      <c r="G1199" s="0" t="str">
        <f aca="false">IF(INDEX(customer_churn_dataset!$M$2:$M$1501,MATCH($A1200,customer_churn_dataset!$A$2:$A$1501,0))=1,"Yes","No")</f>
        <v>No</v>
      </c>
      <c r="H1199" s="0" t="n">
        <f aca="false">INDEX(customer_churn_dataset!$N$2:$N$1501,MATCH($A1200,customer_churn_dataset!$A$2:$A$1501,0))</f>
        <v>356.94</v>
      </c>
      <c r="I1199" s="0" t="n">
        <f aca="false">INDEX(customer_churn_dataset!$O$2:$O$1501,MATCH($A1200,customer_churn_dataset!$A$2:$A$1501,0))</f>
        <v>0</v>
      </c>
      <c r="J1199" s="0" t="n">
        <f aca="false">INDEX(customer_churn_dataset!$T$2:$T$1501,MATCH($A1200,customer_churn_dataset!$A$2:$A$1501,0))</f>
        <v>5</v>
      </c>
      <c r="K1199" s="0" t="str">
        <f aca="false">INDEX(customer_churn_dataset!$V$2:$V$1501,MATCH($A1200,customer_churn_dataset!$A$2:$A$1501,0))</f>
        <v>Medium Risk</v>
      </c>
    </row>
    <row r="1200" customFormat="false" ht="12.8" hidden="true" customHeight="false" outlineLevel="0" collapsed="false">
      <c r="A1200" s="22" t="str">
        <f aca="false">customer_churn_dataset!A144</f>
        <v>CUST100632</v>
      </c>
      <c r="B1200" s="22" t="str">
        <f aca="false">customer_churn_dataset!B144</f>
        <v>Standard</v>
      </c>
      <c r="C1200" s="22" t="str">
        <f aca="false">customer_churn_dataset!C144</f>
        <v>Month-to-month</v>
      </c>
      <c r="D1200" s="0" t="n">
        <f aca="false">INDEX(customer_churn_dataset!$E$2:$E$1501,MATCH($A1201,customer_churn_dataset!$A$2:$A$1501,0))</f>
        <v>72</v>
      </c>
      <c r="E1200" s="0" t="n">
        <f aca="false">INDEX(customer_churn_dataset!$I$2:$I$1501,MATCH($A1201,customer_churn_dataset!$A$2:$A$1501,0))</f>
        <v>45.7</v>
      </c>
      <c r="F1200" s="0" t="n">
        <f aca="false">INDEX(customer_churn_dataset!$L$2:$L$1501,MATCH($A1201,customer_churn_dataset!$A$2:$A$1501,0))</f>
        <v>3</v>
      </c>
      <c r="G1200" s="0" t="str">
        <f aca="false">IF(INDEX(customer_churn_dataset!$M$2:$M$1501,MATCH($A1201,customer_churn_dataset!$A$2:$A$1501,0))=1,"Yes","No")</f>
        <v>Yes</v>
      </c>
      <c r="H1200" s="0" t="n">
        <f aca="false">INDEX(customer_churn_dataset!$N$2:$N$1501,MATCH($A1201,customer_churn_dataset!$A$2:$A$1501,0))</f>
        <v>593.28</v>
      </c>
      <c r="I1200" s="0" t="n">
        <f aca="false">INDEX(customer_churn_dataset!$O$2:$O$1501,MATCH($A1201,customer_churn_dataset!$A$2:$A$1501,0))</f>
        <v>0</v>
      </c>
      <c r="J1200" s="0" t="n">
        <f aca="false">INDEX(customer_churn_dataset!$T$2:$T$1501,MATCH($A1201,customer_churn_dataset!$A$2:$A$1501,0))</f>
        <v>6</v>
      </c>
      <c r="K1200" s="0" t="str">
        <f aca="false">INDEX(customer_churn_dataset!$V$2:$V$1501,MATCH($A1201,customer_churn_dataset!$A$2:$A$1501,0))</f>
        <v>High Risk</v>
      </c>
    </row>
    <row r="1201" customFormat="false" ht="12.8" hidden="true" customHeight="false" outlineLevel="0" collapsed="false">
      <c r="A1201" s="22" t="str">
        <f aca="false">customer_churn_dataset!A145</f>
        <v>CUST100703</v>
      </c>
      <c r="B1201" s="22" t="str">
        <f aca="false">customer_churn_dataset!B145</f>
        <v>Basic</v>
      </c>
      <c r="C1201" s="22" t="str">
        <f aca="false">customer_churn_dataset!C145</f>
        <v>One year</v>
      </c>
      <c r="D1201" s="0" t="n">
        <f aca="false">INDEX(customer_churn_dataset!$E$2:$E$1501,MATCH($A1202,customer_churn_dataset!$A$2:$A$1501,0))</f>
        <v>8</v>
      </c>
      <c r="E1201" s="0" t="n">
        <f aca="false">INDEX(customer_churn_dataset!$I$2:$I$1501,MATCH($A1202,customer_churn_dataset!$A$2:$A$1501,0))</f>
        <v>23.4</v>
      </c>
      <c r="F1201" s="0" t="n">
        <f aca="false">INDEX(customer_churn_dataset!$L$2:$L$1501,MATCH($A1202,customer_churn_dataset!$A$2:$A$1501,0))</f>
        <v>3</v>
      </c>
      <c r="G1201" s="0" t="str">
        <f aca="false">IF(INDEX(customer_churn_dataset!$M$2:$M$1501,MATCH($A1202,customer_churn_dataset!$A$2:$A$1501,0))=1,"Yes","No")</f>
        <v>No</v>
      </c>
      <c r="H1201" s="0" t="n">
        <f aca="false">INDEX(customer_churn_dataset!$N$2:$N$1501,MATCH($A1202,customer_churn_dataset!$A$2:$A$1501,0))</f>
        <v>165.52</v>
      </c>
      <c r="I1201" s="0" t="n">
        <f aca="false">INDEX(customer_churn_dataset!$O$2:$O$1501,MATCH($A1202,customer_churn_dataset!$A$2:$A$1501,0))</f>
        <v>0</v>
      </c>
      <c r="J1201" s="0" t="n">
        <f aca="false">INDEX(customer_churn_dataset!$T$2:$T$1501,MATCH($A1202,customer_churn_dataset!$A$2:$A$1501,0))</f>
        <v>5</v>
      </c>
      <c r="K1201" s="0" t="str">
        <f aca="false">INDEX(customer_churn_dataset!$V$2:$V$1501,MATCH($A1202,customer_churn_dataset!$A$2:$A$1501,0))</f>
        <v>Medium Risk</v>
      </c>
    </row>
    <row r="1202" customFormat="false" ht="12.8" hidden="true" customHeight="false" outlineLevel="0" collapsed="false">
      <c r="A1202" s="22" t="str">
        <f aca="false">customer_churn_dataset!A159</f>
        <v>CUST100346</v>
      </c>
      <c r="B1202" s="22" t="str">
        <f aca="false">customer_churn_dataset!B159</f>
        <v>Standard</v>
      </c>
      <c r="C1202" s="22" t="str">
        <f aca="false">customer_churn_dataset!C159</f>
        <v>One year</v>
      </c>
      <c r="D1202" s="0" t="n">
        <f aca="false">INDEX(customer_churn_dataset!$E$2:$E$1501,MATCH($A1203,customer_churn_dataset!$A$2:$A$1501,0))</f>
        <v>3</v>
      </c>
      <c r="E1202" s="0" t="n">
        <f aca="false">INDEX(customer_churn_dataset!$I$2:$I$1501,MATCH($A1203,customer_churn_dataset!$A$2:$A$1501,0))</f>
        <v>63.8</v>
      </c>
      <c r="F1202" s="0" t="n">
        <f aca="false">INDEX(customer_churn_dataset!$L$2:$L$1501,MATCH($A1203,customer_churn_dataset!$A$2:$A$1501,0))</f>
        <v>1</v>
      </c>
      <c r="G1202" s="0" t="str">
        <f aca="false">IF(INDEX(customer_churn_dataset!$M$2:$M$1501,MATCH($A1203,customer_churn_dataset!$A$2:$A$1501,0))=1,"Yes","No")</f>
        <v>Yes</v>
      </c>
      <c r="H1202" s="0" t="n">
        <f aca="false">INDEX(customer_churn_dataset!$N$2:$N$1501,MATCH($A1203,customer_churn_dataset!$A$2:$A$1501,0))</f>
        <v>30.24</v>
      </c>
      <c r="I1202" s="0" t="n">
        <f aca="false">INDEX(customer_churn_dataset!$O$2:$O$1501,MATCH($A1203,customer_churn_dataset!$A$2:$A$1501,0))</f>
        <v>0</v>
      </c>
      <c r="J1202" s="0" t="n">
        <f aca="false">INDEX(customer_churn_dataset!$T$2:$T$1501,MATCH($A1203,customer_churn_dataset!$A$2:$A$1501,0))</f>
        <v>5</v>
      </c>
      <c r="K1202" s="0" t="str">
        <f aca="false">INDEX(customer_churn_dataset!$V$2:$V$1501,MATCH($A1203,customer_churn_dataset!$A$2:$A$1501,0))</f>
        <v>Medium Risk</v>
      </c>
    </row>
    <row r="1203" customFormat="false" ht="12.8" hidden="false" customHeight="false" outlineLevel="0" collapsed="false">
      <c r="A1203" s="23" t="str">
        <f aca="false">customer_churn_dataset!A245</f>
        <v>CUST100429</v>
      </c>
      <c r="B1203" s="24" t="str">
        <f aca="false">customer_churn_dataset!B245</f>
        <v>Basic</v>
      </c>
      <c r="C1203" s="24" t="str">
        <f aca="false">customer_churn_dataset!C245</f>
        <v>One year</v>
      </c>
      <c r="D1203" s="25" t="n">
        <f aca="false">INDEX(customer_churn_dataset!$E$2:$E$1501,MATCH($A1204,customer_churn_dataset!$A$2:$A$1501,0))</f>
        <v>12</v>
      </c>
      <c r="E1203" s="25" t="n">
        <f aca="false">INDEX(customer_churn_dataset!$I$2:$I$1501,MATCH($A1204,customer_churn_dataset!$A$2:$A$1501,0))</f>
        <v>18.4</v>
      </c>
      <c r="F1203" s="25" t="n">
        <f aca="false">INDEX(customer_churn_dataset!$L$2:$L$1501,MATCH($A1204,customer_churn_dataset!$A$2:$A$1501,0))</f>
        <v>3</v>
      </c>
      <c r="G1203" s="25" t="str">
        <f aca="false">IF(INDEX(customer_churn_dataset!$M$2:$M$1501,MATCH($A1204,customer_churn_dataset!$A$2:$A$1501,0))=1,"Yes","No")</f>
        <v>Yes</v>
      </c>
      <c r="H1203" s="25" t="n">
        <f aca="false">INDEX(customer_churn_dataset!$N$2:$N$1501,MATCH($A1204,customer_churn_dataset!$A$2:$A$1501,0))</f>
        <v>234</v>
      </c>
      <c r="I1203" s="25" t="n">
        <f aca="false">INDEX(customer_churn_dataset!$O$2:$O$1501,MATCH($A1204,customer_churn_dataset!$A$2:$A$1501,0))</f>
        <v>1</v>
      </c>
      <c r="J1203" s="25" t="n">
        <f aca="false">INDEX(customer_churn_dataset!$T$2:$T$1501,MATCH($A1204,customer_churn_dataset!$A$2:$A$1501,0))</f>
        <v>8</v>
      </c>
      <c r="K1203" s="25" t="str">
        <f aca="false">INDEX(customer_churn_dataset!$V$2:$V$1501,MATCH($A1204,customer_churn_dataset!$A$2:$A$1501,0))</f>
        <v>High Risk</v>
      </c>
    </row>
    <row r="1204" customFormat="false" ht="12.8" hidden="true" customHeight="false" outlineLevel="0" collapsed="false">
      <c r="A1204" s="22" t="str">
        <f aca="false">customer_churn_dataset!A246</f>
        <v>CUST101439</v>
      </c>
      <c r="B1204" s="22" t="str">
        <f aca="false">customer_churn_dataset!B246</f>
        <v>Standard</v>
      </c>
      <c r="C1204" s="22" t="str">
        <f aca="false">customer_churn_dataset!C246</f>
        <v>Month-to-month</v>
      </c>
      <c r="D1204" s="0" t="n">
        <f aca="false">INDEX(customer_churn_dataset!$E$2:$E$1501,MATCH($A1205,customer_churn_dataset!$A$2:$A$1501,0))</f>
        <v>13</v>
      </c>
      <c r="E1204" s="0" t="n">
        <f aca="false">INDEX(customer_churn_dataset!$I$2:$I$1501,MATCH($A1205,customer_churn_dataset!$A$2:$A$1501,0))</f>
        <v>83.3</v>
      </c>
      <c r="F1204" s="0" t="n">
        <f aca="false">INDEX(customer_churn_dataset!$L$2:$L$1501,MATCH($A1205,customer_churn_dataset!$A$2:$A$1501,0))</f>
        <v>0</v>
      </c>
      <c r="G1204" s="0" t="str">
        <f aca="false">IF(INDEX(customer_churn_dataset!$M$2:$M$1501,MATCH($A1205,customer_churn_dataset!$A$2:$A$1501,0))=1,"Yes","No")</f>
        <v>No</v>
      </c>
      <c r="H1204" s="0" t="n">
        <f aca="false">INDEX(customer_churn_dataset!$N$2:$N$1501,MATCH($A1205,customer_churn_dataset!$A$2:$A$1501,0))</f>
        <v>114.4</v>
      </c>
      <c r="I1204" s="0" t="n">
        <f aca="false">INDEX(customer_churn_dataset!$O$2:$O$1501,MATCH($A1205,customer_churn_dataset!$A$2:$A$1501,0))</f>
        <v>0</v>
      </c>
      <c r="J1204" s="0" t="n">
        <f aca="false">INDEX(customer_churn_dataset!$T$2:$T$1501,MATCH($A1205,customer_churn_dataset!$A$2:$A$1501,0))</f>
        <v>1</v>
      </c>
      <c r="K1204" s="0" t="str">
        <f aca="false">INDEX(customer_churn_dataset!$V$2:$V$1501,MATCH($A1205,customer_churn_dataset!$A$2:$A$1501,0))</f>
        <v>Low Risk</v>
      </c>
    </row>
    <row r="1205" customFormat="false" ht="12.8" hidden="true" customHeight="false" outlineLevel="0" collapsed="false">
      <c r="A1205" s="22" t="str">
        <f aca="false">customer_churn_dataset!A262</f>
        <v>CUST100060</v>
      </c>
      <c r="B1205" s="22" t="str">
        <f aca="false">customer_churn_dataset!B262</f>
        <v>Basic</v>
      </c>
      <c r="C1205" s="22" t="str">
        <f aca="false">customer_churn_dataset!C262</f>
        <v>One year</v>
      </c>
      <c r="D1205" s="0" t="n">
        <f aca="false">INDEX(customer_churn_dataset!$E$2:$E$1501,MATCH($A1206,customer_churn_dataset!$A$2:$A$1501,0))</f>
        <v>7</v>
      </c>
      <c r="E1205" s="0" t="n">
        <f aca="false">INDEX(customer_churn_dataset!$I$2:$I$1501,MATCH($A1206,customer_churn_dataset!$A$2:$A$1501,0))</f>
        <v>35.4</v>
      </c>
      <c r="F1205" s="0" t="n">
        <f aca="false">INDEX(customer_churn_dataset!$L$2:$L$1501,MATCH($A1206,customer_churn_dataset!$A$2:$A$1501,0))</f>
        <v>1</v>
      </c>
      <c r="G1205" s="0" t="str">
        <f aca="false">IF(INDEX(customer_churn_dataset!$M$2:$M$1501,MATCH($A1206,customer_churn_dataset!$A$2:$A$1501,0))=1,"Yes","No")</f>
        <v>No</v>
      </c>
      <c r="H1205" s="0" t="n">
        <f aca="false">INDEX(customer_churn_dataset!$N$2:$N$1501,MATCH($A1206,customer_churn_dataset!$A$2:$A$1501,0))</f>
        <v>74.9</v>
      </c>
      <c r="I1205" s="0" t="n">
        <f aca="false">INDEX(customer_churn_dataset!$O$2:$O$1501,MATCH($A1206,customer_churn_dataset!$A$2:$A$1501,0))</f>
        <v>0</v>
      </c>
      <c r="J1205" s="0" t="n">
        <f aca="false">INDEX(customer_churn_dataset!$T$2:$T$1501,MATCH($A1206,customer_churn_dataset!$A$2:$A$1501,0))</f>
        <v>4</v>
      </c>
      <c r="K1205" s="0" t="str">
        <f aca="false">INDEX(customer_churn_dataset!$V$2:$V$1501,MATCH($A1206,customer_churn_dataset!$A$2:$A$1501,0))</f>
        <v>Medium Risk</v>
      </c>
    </row>
    <row r="1206" customFormat="false" ht="12.8" hidden="true" customHeight="false" outlineLevel="0" collapsed="false">
      <c r="A1206" s="22" t="str">
        <f aca="false">customer_churn_dataset!A269</f>
        <v>CUST100833</v>
      </c>
      <c r="B1206" s="22" t="str">
        <f aca="false">customer_churn_dataset!B269</f>
        <v>Basic</v>
      </c>
      <c r="C1206" s="22" t="str">
        <f aca="false">customer_churn_dataset!C269</f>
        <v>One year</v>
      </c>
      <c r="D1206" s="0" t="n">
        <f aca="false">INDEX(customer_churn_dataset!$E$2:$E$1501,MATCH($A1207,customer_churn_dataset!$A$2:$A$1501,0))</f>
        <v>43</v>
      </c>
      <c r="E1206" s="0" t="n">
        <f aca="false">INDEX(customer_churn_dataset!$I$2:$I$1501,MATCH($A1207,customer_churn_dataset!$A$2:$A$1501,0))</f>
        <v>74.2</v>
      </c>
      <c r="F1206" s="0" t="n">
        <f aca="false">INDEX(customer_churn_dataset!$L$2:$L$1501,MATCH($A1207,customer_churn_dataset!$A$2:$A$1501,0))</f>
        <v>2</v>
      </c>
      <c r="G1206" s="0" t="str">
        <f aca="false">IF(INDEX(customer_churn_dataset!$M$2:$M$1501,MATCH($A1207,customer_churn_dataset!$A$2:$A$1501,0))=1,"Yes","No")</f>
        <v>Yes</v>
      </c>
      <c r="H1206" s="0" t="n">
        <f aca="false">INDEX(customer_churn_dataset!$N$2:$N$1501,MATCH($A1207,customer_churn_dataset!$A$2:$A$1501,0))</f>
        <v>913.75</v>
      </c>
      <c r="I1206" s="0" t="n">
        <f aca="false">INDEX(customer_churn_dataset!$O$2:$O$1501,MATCH($A1207,customer_churn_dataset!$A$2:$A$1501,0))</f>
        <v>0</v>
      </c>
      <c r="J1206" s="0" t="n">
        <f aca="false">INDEX(customer_churn_dataset!$T$2:$T$1501,MATCH($A1207,customer_churn_dataset!$A$2:$A$1501,0))</f>
        <v>4</v>
      </c>
      <c r="K1206" s="0" t="str">
        <f aca="false">INDEX(customer_churn_dataset!$V$2:$V$1501,MATCH($A1207,customer_churn_dataset!$A$2:$A$1501,0))</f>
        <v>Medium Risk</v>
      </c>
    </row>
    <row r="1207" customFormat="false" ht="12.8" hidden="true" customHeight="false" outlineLevel="0" collapsed="false">
      <c r="A1207" s="22" t="str">
        <f aca="false">customer_churn_dataset!A283</f>
        <v>CUST100791</v>
      </c>
      <c r="B1207" s="22" t="str">
        <f aca="false">customer_churn_dataset!B283</f>
        <v>Standard</v>
      </c>
      <c r="C1207" s="22" t="str">
        <f aca="false">customer_churn_dataset!C283</f>
        <v>Two year</v>
      </c>
      <c r="D1207" s="0" t="n">
        <f aca="false">INDEX(customer_churn_dataset!$E$2:$E$1501,MATCH($A1208,customer_churn_dataset!$A$2:$A$1501,0))</f>
        <v>0</v>
      </c>
      <c r="E1207" s="0" t="n">
        <f aca="false">INDEX(customer_churn_dataset!$I$2:$I$1501,MATCH($A1208,customer_churn_dataset!$A$2:$A$1501,0))</f>
        <v>84.1</v>
      </c>
      <c r="F1207" s="0" t="n">
        <f aca="false">INDEX(customer_churn_dataset!$L$2:$L$1501,MATCH($A1208,customer_churn_dataset!$A$2:$A$1501,0))</f>
        <v>1</v>
      </c>
      <c r="G1207" s="0" t="str">
        <f aca="false">IF(INDEX(customer_churn_dataset!$M$2:$M$1501,MATCH($A1208,customer_churn_dataset!$A$2:$A$1501,0))=1,"Yes","No")</f>
        <v>No</v>
      </c>
      <c r="H1207" s="0" t="n">
        <f aca="false">INDEX(customer_churn_dataset!$N$2:$N$1501,MATCH($A1208,customer_churn_dataset!$A$2:$A$1501,0))</f>
        <v>0</v>
      </c>
      <c r="I1207" s="0" t="n">
        <f aca="false">INDEX(customer_churn_dataset!$O$2:$O$1501,MATCH($A1208,customer_churn_dataset!$A$2:$A$1501,0))</f>
        <v>0</v>
      </c>
      <c r="J1207" s="0" t="n">
        <f aca="false">INDEX(customer_churn_dataset!$T$2:$T$1501,MATCH($A1208,customer_churn_dataset!$A$2:$A$1501,0))</f>
        <v>2</v>
      </c>
      <c r="K1207" s="0" t="str">
        <f aca="false">INDEX(customer_churn_dataset!$V$2:$V$1501,MATCH($A1208,customer_churn_dataset!$A$2:$A$1501,0))</f>
        <v>Low Risk</v>
      </c>
    </row>
    <row r="1208" customFormat="false" ht="12.8" hidden="true" customHeight="false" outlineLevel="0" collapsed="false">
      <c r="A1208" s="22" t="str">
        <f aca="false">customer_churn_dataset!A291</f>
        <v>CUST100427</v>
      </c>
      <c r="B1208" s="22" t="str">
        <f aca="false">customer_churn_dataset!B291</f>
        <v>Premium</v>
      </c>
      <c r="C1208" s="22" t="str">
        <f aca="false">customer_churn_dataset!C291</f>
        <v>One year</v>
      </c>
      <c r="D1208" s="0" t="n">
        <f aca="false">INDEX(customer_churn_dataset!$E$2:$E$1501,MATCH($A1209,customer_churn_dataset!$A$2:$A$1501,0))</f>
        <v>24</v>
      </c>
      <c r="E1208" s="0" t="n">
        <f aca="false">INDEX(customer_churn_dataset!$I$2:$I$1501,MATCH($A1209,customer_churn_dataset!$A$2:$A$1501,0))</f>
        <v>55.2</v>
      </c>
      <c r="F1208" s="0" t="n">
        <f aca="false">INDEX(customer_churn_dataset!$L$2:$L$1501,MATCH($A1209,customer_churn_dataset!$A$2:$A$1501,0))</f>
        <v>1</v>
      </c>
      <c r="G1208" s="0" t="str">
        <f aca="false">IF(INDEX(customer_churn_dataset!$M$2:$M$1501,MATCH($A1209,customer_churn_dataset!$A$2:$A$1501,0))=1,"Yes","No")</f>
        <v>No</v>
      </c>
      <c r="H1208" s="0" t="n">
        <f aca="false">INDEX(customer_churn_dataset!$N$2:$N$1501,MATCH($A1209,customer_churn_dataset!$A$2:$A$1501,0))</f>
        <v>944.16</v>
      </c>
      <c r="I1208" s="0" t="n">
        <f aca="false">INDEX(customer_churn_dataset!$O$2:$O$1501,MATCH($A1209,customer_churn_dataset!$A$2:$A$1501,0))</f>
        <v>0</v>
      </c>
      <c r="J1208" s="0" t="n">
        <f aca="false">INDEX(customer_churn_dataset!$T$2:$T$1501,MATCH($A1209,customer_churn_dataset!$A$2:$A$1501,0))</f>
        <v>2</v>
      </c>
      <c r="K1208" s="0" t="str">
        <f aca="false">INDEX(customer_churn_dataset!$V$2:$V$1501,MATCH($A1209,customer_churn_dataset!$A$2:$A$1501,0))</f>
        <v>Low Risk</v>
      </c>
    </row>
    <row r="1209" customFormat="false" ht="12.8" hidden="true" customHeight="false" outlineLevel="0" collapsed="false">
      <c r="A1209" s="22" t="str">
        <f aca="false">customer_churn_dataset!A345</f>
        <v>CUST101061</v>
      </c>
      <c r="B1209" s="22" t="str">
        <f aca="false">customer_churn_dataset!B345</f>
        <v>Premium</v>
      </c>
      <c r="C1209" s="22" t="str">
        <f aca="false">customer_churn_dataset!C345</f>
        <v>Month-to-month</v>
      </c>
      <c r="D1209" s="0" t="n">
        <f aca="false">INDEX(customer_churn_dataset!$E$2:$E$1501,MATCH($A1210,customer_churn_dataset!$A$2:$A$1501,0))</f>
        <v>35</v>
      </c>
      <c r="E1209" s="0" t="n">
        <f aca="false">INDEX(customer_churn_dataset!$I$2:$I$1501,MATCH($A1210,customer_churn_dataset!$A$2:$A$1501,0))</f>
        <v>75.4</v>
      </c>
      <c r="F1209" s="0" t="n">
        <f aca="false">INDEX(customer_churn_dataset!$L$2:$L$1501,MATCH($A1210,customer_churn_dataset!$A$2:$A$1501,0))</f>
        <v>2</v>
      </c>
      <c r="G1209" s="0" t="str">
        <f aca="false">IF(INDEX(customer_churn_dataset!$M$2:$M$1501,MATCH($A1210,customer_churn_dataset!$A$2:$A$1501,0))=1,"Yes","No")</f>
        <v>Yes</v>
      </c>
      <c r="H1209" s="0" t="n">
        <f aca="false">INDEX(customer_churn_dataset!$N$2:$N$1501,MATCH($A1210,customer_churn_dataset!$A$2:$A$1501,0))</f>
        <v>287.35</v>
      </c>
      <c r="I1209" s="0" t="n">
        <f aca="false">INDEX(customer_churn_dataset!$O$2:$O$1501,MATCH($A1210,customer_churn_dataset!$A$2:$A$1501,0))</f>
        <v>0</v>
      </c>
      <c r="J1209" s="0" t="n">
        <f aca="false">INDEX(customer_churn_dataset!$T$2:$T$1501,MATCH($A1210,customer_churn_dataset!$A$2:$A$1501,0))</f>
        <v>6</v>
      </c>
      <c r="K1209" s="0" t="str">
        <f aca="false">INDEX(customer_churn_dataset!$V$2:$V$1501,MATCH($A1210,customer_churn_dataset!$A$2:$A$1501,0))</f>
        <v>High Risk</v>
      </c>
    </row>
    <row r="1210" customFormat="false" ht="12.8" hidden="true" customHeight="false" outlineLevel="0" collapsed="false">
      <c r="A1210" s="22" t="str">
        <f aca="false">customer_churn_dataset!A346</f>
        <v>CUST101106</v>
      </c>
      <c r="B1210" s="22" t="str">
        <f aca="false">customer_churn_dataset!B346</f>
        <v>Basic</v>
      </c>
      <c r="C1210" s="22" t="str">
        <f aca="false">customer_churn_dataset!C346</f>
        <v>Month-to-month</v>
      </c>
      <c r="D1210" s="0" t="n">
        <f aca="false">INDEX(customer_churn_dataset!$E$2:$E$1501,MATCH($A1211,customer_churn_dataset!$A$2:$A$1501,0))</f>
        <v>7</v>
      </c>
      <c r="E1210" s="0" t="n">
        <f aca="false">INDEX(customer_churn_dataset!$I$2:$I$1501,MATCH($A1211,customer_churn_dataset!$A$2:$A$1501,0))</f>
        <v>76.1</v>
      </c>
      <c r="F1210" s="0" t="n">
        <f aca="false">INDEX(customer_churn_dataset!$L$2:$L$1501,MATCH($A1211,customer_churn_dataset!$A$2:$A$1501,0))</f>
        <v>0</v>
      </c>
      <c r="G1210" s="0" t="str">
        <f aca="false">IF(INDEX(customer_churn_dataset!$M$2:$M$1501,MATCH($A1211,customer_churn_dataset!$A$2:$A$1501,0))=1,"Yes","No")</f>
        <v>No</v>
      </c>
      <c r="H1210" s="0" t="n">
        <f aca="false">INDEX(customer_churn_dataset!$N$2:$N$1501,MATCH($A1211,customer_churn_dataset!$A$2:$A$1501,0))</f>
        <v>286.09</v>
      </c>
      <c r="I1210" s="0" t="n">
        <f aca="false">INDEX(customer_churn_dataset!$O$2:$O$1501,MATCH($A1211,customer_churn_dataset!$A$2:$A$1501,0))</f>
        <v>0</v>
      </c>
      <c r="J1210" s="0" t="n">
        <f aca="false">INDEX(customer_churn_dataset!$T$2:$T$1501,MATCH($A1211,customer_churn_dataset!$A$2:$A$1501,0))</f>
        <v>3</v>
      </c>
      <c r="K1210" s="0" t="str">
        <f aca="false">INDEX(customer_churn_dataset!$V$2:$V$1501,MATCH($A1211,customer_churn_dataset!$A$2:$A$1501,0))</f>
        <v>Medium Risk</v>
      </c>
    </row>
    <row r="1211" customFormat="false" ht="12.8" hidden="true" customHeight="false" outlineLevel="0" collapsed="false">
      <c r="A1211" s="22" t="str">
        <f aca="false">customer_churn_dataset!A361</f>
        <v>CUST101052</v>
      </c>
      <c r="B1211" s="22" t="str">
        <f aca="false">customer_churn_dataset!B361</f>
        <v>Premium</v>
      </c>
      <c r="C1211" s="22" t="str">
        <f aca="false">customer_churn_dataset!C361</f>
        <v>Month-to-month</v>
      </c>
      <c r="D1211" s="0" t="n">
        <f aca="false">INDEX(customer_churn_dataset!$E$2:$E$1501,MATCH($A1212,customer_churn_dataset!$A$2:$A$1501,0))</f>
        <v>7</v>
      </c>
      <c r="E1211" s="0" t="n">
        <f aca="false">INDEX(customer_churn_dataset!$I$2:$I$1501,MATCH($A1212,customer_churn_dataset!$A$2:$A$1501,0))</f>
        <v>65.7</v>
      </c>
      <c r="F1211" s="0" t="n">
        <f aca="false">INDEX(customer_churn_dataset!$L$2:$L$1501,MATCH($A1212,customer_churn_dataset!$A$2:$A$1501,0))</f>
        <v>5</v>
      </c>
      <c r="G1211" s="0" t="str">
        <f aca="false">IF(INDEX(customer_churn_dataset!$M$2:$M$1501,MATCH($A1212,customer_churn_dataset!$A$2:$A$1501,0))=1,"Yes","No")</f>
        <v>No</v>
      </c>
      <c r="H1211" s="0" t="n">
        <f aca="false">INDEX(customer_churn_dataset!$N$2:$N$1501,MATCH($A1212,customer_churn_dataset!$A$2:$A$1501,0))</f>
        <v>292.6</v>
      </c>
      <c r="I1211" s="0" t="n">
        <f aca="false">INDEX(customer_churn_dataset!$O$2:$O$1501,MATCH($A1212,customer_churn_dataset!$A$2:$A$1501,0))</f>
        <v>0</v>
      </c>
      <c r="J1211" s="0" t="n">
        <f aca="false">INDEX(customer_churn_dataset!$T$2:$T$1501,MATCH($A1212,customer_churn_dataset!$A$2:$A$1501,0))</f>
        <v>2</v>
      </c>
      <c r="K1211" s="0" t="str">
        <f aca="false">INDEX(customer_churn_dataset!$V$2:$V$1501,MATCH($A1212,customer_churn_dataset!$A$2:$A$1501,0))</f>
        <v>Low Risk</v>
      </c>
    </row>
    <row r="1212" customFormat="false" ht="12.8" hidden="true" customHeight="false" outlineLevel="0" collapsed="false">
      <c r="A1212" s="22" t="str">
        <f aca="false">customer_churn_dataset!A418</f>
        <v>CUST101480</v>
      </c>
      <c r="B1212" s="22" t="str">
        <f aca="false">customer_churn_dataset!B418</f>
        <v>Premium</v>
      </c>
      <c r="C1212" s="22" t="str">
        <f aca="false">customer_churn_dataset!C418</f>
        <v>Two year</v>
      </c>
      <c r="D1212" s="0" t="n">
        <f aca="false">INDEX(customer_churn_dataset!$E$2:$E$1501,MATCH($A1213,customer_churn_dataset!$A$2:$A$1501,0))</f>
        <v>3</v>
      </c>
      <c r="E1212" s="0" t="n">
        <f aca="false">INDEX(customer_churn_dataset!$I$2:$I$1501,MATCH($A1213,customer_churn_dataset!$A$2:$A$1501,0))</f>
        <v>86.6</v>
      </c>
      <c r="F1212" s="0" t="n">
        <f aca="false">INDEX(customer_churn_dataset!$L$2:$L$1501,MATCH($A1213,customer_churn_dataset!$A$2:$A$1501,0))</f>
        <v>1</v>
      </c>
      <c r="G1212" s="0" t="str">
        <f aca="false">IF(INDEX(customer_churn_dataset!$M$2:$M$1501,MATCH($A1213,customer_churn_dataset!$A$2:$A$1501,0))=1,"Yes","No")</f>
        <v>No</v>
      </c>
      <c r="H1212" s="0" t="n">
        <f aca="false">INDEX(customer_churn_dataset!$N$2:$N$1501,MATCH($A1213,customer_churn_dataset!$A$2:$A$1501,0))</f>
        <v>37.29</v>
      </c>
      <c r="I1212" s="0" t="n">
        <f aca="false">INDEX(customer_churn_dataset!$O$2:$O$1501,MATCH($A1213,customer_churn_dataset!$A$2:$A$1501,0))</f>
        <v>0</v>
      </c>
      <c r="J1212" s="0" t="n">
        <f aca="false">INDEX(customer_churn_dataset!$T$2:$T$1501,MATCH($A1213,customer_churn_dataset!$A$2:$A$1501,0))</f>
        <v>2</v>
      </c>
      <c r="K1212" s="0" t="str">
        <f aca="false">INDEX(customer_churn_dataset!$V$2:$V$1501,MATCH($A1213,customer_churn_dataset!$A$2:$A$1501,0))</f>
        <v>Low Risk</v>
      </c>
    </row>
    <row r="1213" customFormat="false" ht="12.8" hidden="true" customHeight="false" outlineLevel="0" collapsed="false">
      <c r="A1213" s="22" t="str">
        <f aca="false">customer_churn_dataset!A471</f>
        <v>CUST100005</v>
      </c>
      <c r="B1213" s="22" t="str">
        <f aca="false">customer_churn_dataset!B471</f>
        <v>Basic</v>
      </c>
      <c r="C1213" s="22" t="str">
        <f aca="false">customer_churn_dataset!C471</f>
        <v>One year</v>
      </c>
      <c r="D1213" s="0" t="n">
        <f aca="false">INDEX(customer_churn_dataset!$E$2:$E$1501,MATCH($A1214,customer_churn_dataset!$A$2:$A$1501,0))</f>
        <v>27</v>
      </c>
      <c r="E1213" s="0" t="n">
        <f aca="false">INDEX(customer_churn_dataset!$I$2:$I$1501,MATCH($A1214,customer_churn_dataset!$A$2:$A$1501,0))</f>
        <v>26.2</v>
      </c>
      <c r="F1213" s="0" t="n">
        <f aca="false">INDEX(customer_churn_dataset!$L$2:$L$1501,MATCH($A1214,customer_churn_dataset!$A$2:$A$1501,0))</f>
        <v>1</v>
      </c>
      <c r="G1213" s="0" t="str">
        <f aca="false">IF(INDEX(customer_churn_dataset!$M$2:$M$1501,MATCH($A1214,customer_churn_dataset!$A$2:$A$1501,0))=1,"Yes","No")</f>
        <v>Yes</v>
      </c>
      <c r="H1213" s="0" t="n">
        <f aca="false">INDEX(customer_churn_dataset!$N$2:$N$1501,MATCH($A1214,customer_churn_dataset!$A$2:$A$1501,0))</f>
        <v>541.89</v>
      </c>
      <c r="I1213" s="0" t="n">
        <f aca="false">INDEX(customer_churn_dataset!$O$2:$O$1501,MATCH($A1214,customer_churn_dataset!$A$2:$A$1501,0))</f>
        <v>0</v>
      </c>
      <c r="J1213" s="0" t="n">
        <f aca="false">INDEX(customer_churn_dataset!$T$2:$T$1501,MATCH($A1214,customer_churn_dataset!$A$2:$A$1501,0))</f>
        <v>6</v>
      </c>
      <c r="K1213" s="0" t="str">
        <f aca="false">INDEX(customer_churn_dataset!$V$2:$V$1501,MATCH($A1214,customer_churn_dataset!$A$2:$A$1501,0))</f>
        <v>High Risk</v>
      </c>
    </row>
    <row r="1214" customFormat="false" ht="12.8" hidden="true" customHeight="false" outlineLevel="0" collapsed="false">
      <c r="A1214" s="22" t="str">
        <f aca="false">customer_churn_dataset!A472</f>
        <v>CUST100101</v>
      </c>
      <c r="B1214" s="22" t="str">
        <f aca="false">customer_churn_dataset!B472</f>
        <v>Standard</v>
      </c>
      <c r="C1214" s="22" t="str">
        <f aca="false">customer_churn_dataset!C472</f>
        <v>One year</v>
      </c>
      <c r="D1214" s="0" t="n">
        <f aca="false">INDEX(customer_churn_dataset!$E$2:$E$1501,MATCH($A1215,customer_churn_dataset!$A$2:$A$1501,0))</f>
        <v>15</v>
      </c>
      <c r="E1214" s="0" t="n">
        <f aca="false">INDEX(customer_churn_dataset!$I$2:$I$1501,MATCH($A1215,customer_churn_dataset!$A$2:$A$1501,0))</f>
        <v>45.3</v>
      </c>
      <c r="F1214" s="0" t="n">
        <f aca="false">INDEX(customer_churn_dataset!$L$2:$L$1501,MATCH($A1215,customer_churn_dataset!$A$2:$A$1501,0))</f>
        <v>1</v>
      </c>
      <c r="G1214" s="0" t="str">
        <f aca="false">IF(INDEX(customer_churn_dataset!$M$2:$M$1501,MATCH($A1215,customer_churn_dataset!$A$2:$A$1501,0))=1,"Yes","No")</f>
        <v>Yes</v>
      </c>
      <c r="H1214" s="0" t="n">
        <f aca="false">INDEX(customer_churn_dataset!$N$2:$N$1501,MATCH($A1215,customer_churn_dataset!$A$2:$A$1501,0))</f>
        <v>160.35</v>
      </c>
      <c r="I1214" s="0" t="n">
        <f aca="false">INDEX(customer_churn_dataset!$O$2:$O$1501,MATCH($A1215,customer_churn_dataset!$A$2:$A$1501,0))</f>
        <v>1</v>
      </c>
      <c r="J1214" s="0" t="n">
        <f aca="false">INDEX(customer_churn_dataset!$T$2:$T$1501,MATCH($A1215,customer_churn_dataset!$A$2:$A$1501,0))</f>
        <v>6</v>
      </c>
      <c r="K1214" s="0" t="str">
        <f aca="false">INDEX(customer_churn_dataset!$V$2:$V$1501,MATCH($A1215,customer_churn_dataset!$A$2:$A$1501,0))</f>
        <v>High Risk</v>
      </c>
    </row>
    <row r="1215" customFormat="false" ht="12.8" hidden="true" customHeight="false" outlineLevel="0" collapsed="false">
      <c r="A1215" s="22" t="str">
        <f aca="false">customer_churn_dataset!A473</f>
        <v>CUST101467</v>
      </c>
      <c r="B1215" s="22" t="str">
        <f aca="false">customer_churn_dataset!B473</f>
        <v>Basic</v>
      </c>
      <c r="C1215" s="22" t="str">
        <f aca="false">customer_churn_dataset!C473</f>
        <v>Month-to-month</v>
      </c>
      <c r="D1215" s="0" t="n">
        <f aca="false">INDEX(customer_churn_dataset!$E$2:$E$1501,MATCH($A1216,customer_churn_dataset!$A$2:$A$1501,0))</f>
        <v>4</v>
      </c>
      <c r="E1215" s="0" t="n">
        <f aca="false">INDEX(customer_churn_dataset!$I$2:$I$1501,MATCH($A1216,customer_churn_dataset!$A$2:$A$1501,0))</f>
        <v>30.5</v>
      </c>
      <c r="F1215" s="0" t="n">
        <f aca="false">INDEX(customer_churn_dataset!$L$2:$L$1501,MATCH($A1216,customer_churn_dataset!$A$2:$A$1501,0))</f>
        <v>2</v>
      </c>
      <c r="G1215" s="0" t="str">
        <f aca="false">IF(INDEX(customer_churn_dataset!$M$2:$M$1501,MATCH($A1216,customer_churn_dataset!$A$2:$A$1501,0))=1,"Yes","No")</f>
        <v>No</v>
      </c>
      <c r="H1215" s="0" t="n">
        <f aca="false">INDEX(customer_churn_dataset!$N$2:$N$1501,MATCH($A1216,customer_churn_dataset!$A$2:$A$1501,0))</f>
        <v>162.4</v>
      </c>
      <c r="I1215" s="0" t="n">
        <f aca="false">INDEX(customer_churn_dataset!$O$2:$O$1501,MATCH($A1216,customer_churn_dataset!$A$2:$A$1501,0))</f>
        <v>0</v>
      </c>
      <c r="J1215" s="0" t="n">
        <f aca="false">INDEX(customer_churn_dataset!$T$2:$T$1501,MATCH($A1216,customer_churn_dataset!$A$2:$A$1501,0))</f>
        <v>4</v>
      </c>
      <c r="K1215" s="0" t="str">
        <f aca="false">INDEX(customer_churn_dataset!$V$2:$V$1501,MATCH($A1216,customer_churn_dataset!$A$2:$A$1501,0))</f>
        <v>Medium Risk</v>
      </c>
    </row>
    <row r="1216" customFormat="false" ht="12.8" hidden="true" customHeight="false" outlineLevel="0" collapsed="false">
      <c r="A1216" s="22" t="str">
        <f aca="false">customer_churn_dataset!A492</f>
        <v>CUST101367</v>
      </c>
      <c r="B1216" s="22" t="str">
        <f aca="false">customer_churn_dataset!B492</f>
        <v>Premium</v>
      </c>
      <c r="C1216" s="22" t="str">
        <f aca="false">customer_churn_dataset!C492</f>
        <v>Two year</v>
      </c>
      <c r="D1216" s="0" t="n">
        <f aca="false">INDEX(customer_churn_dataset!$E$2:$E$1501,MATCH($A1217,customer_churn_dataset!$A$2:$A$1501,0))</f>
        <v>21</v>
      </c>
      <c r="E1216" s="0" t="n">
        <f aca="false">INDEX(customer_churn_dataset!$I$2:$I$1501,MATCH($A1217,customer_churn_dataset!$A$2:$A$1501,0))</f>
        <v>73.1</v>
      </c>
      <c r="F1216" s="0" t="n">
        <f aca="false">INDEX(customer_churn_dataset!$L$2:$L$1501,MATCH($A1217,customer_churn_dataset!$A$2:$A$1501,0))</f>
        <v>1</v>
      </c>
      <c r="G1216" s="0" t="str">
        <f aca="false">IF(INDEX(customer_churn_dataset!$M$2:$M$1501,MATCH($A1217,customer_churn_dataset!$A$2:$A$1501,0))=1,"Yes","No")</f>
        <v>Yes</v>
      </c>
      <c r="H1216" s="0" t="n">
        <f aca="false">INDEX(customer_churn_dataset!$N$2:$N$1501,MATCH($A1217,customer_churn_dataset!$A$2:$A$1501,0))</f>
        <v>831.6</v>
      </c>
      <c r="I1216" s="0" t="n">
        <f aca="false">INDEX(customer_churn_dataset!$O$2:$O$1501,MATCH($A1217,customer_churn_dataset!$A$2:$A$1501,0))</f>
        <v>0</v>
      </c>
      <c r="J1216" s="0" t="n">
        <f aca="false">INDEX(customer_churn_dataset!$T$2:$T$1501,MATCH($A1217,customer_churn_dataset!$A$2:$A$1501,0))</f>
        <v>3</v>
      </c>
      <c r="K1216" s="0" t="str">
        <f aca="false">INDEX(customer_churn_dataset!$V$2:$V$1501,MATCH($A1217,customer_churn_dataset!$A$2:$A$1501,0))</f>
        <v>Medium Risk</v>
      </c>
    </row>
    <row r="1217" customFormat="false" ht="12.8" hidden="true" customHeight="false" outlineLevel="0" collapsed="false">
      <c r="A1217" s="22" t="str">
        <f aca="false">customer_churn_dataset!A518</f>
        <v>CUST100178</v>
      </c>
      <c r="B1217" s="22" t="str">
        <f aca="false">customer_churn_dataset!B518</f>
        <v>Premium</v>
      </c>
      <c r="C1217" s="22" t="str">
        <f aca="false">customer_churn_dataset!C518</f>
        <v>Two year</v>
      </c>
      <c r="D1217" s="0" t="n">
        <f aca="false">INDEX(customer_churn_dataset!$E$2:$E$1501,MATCH($A1218,customer_churn_dataset!$A$2:$A$1501,0))</f>
        <v>9</v>
      </c>
      <c r="E1217" s="0" t="n">
        <f aca="false">INDEX(customer_churn_dataset!$I$2:$I$1501,MATCH($A1218,customer_churn_dataset!$A$2:$A$1501,0))</f>
        <v>83.6</v>
      </c>
      <c r="F1217" s="0" t="n">
        <f aca="false">INDEX(customer_churn_dataset!$L$2:$L$1501,MATCH($A1218,customer_churn_dataset!$A$2:$A$1501,0))</f>
        <v>1</v>
      </c>
      <c r="G1217" s="0" t="str">
        <f aca="false">IF(INDEX(customer_churn_dataset!$M$2:$M$1501,MATCH($A1218,customer_churn_dataset!$A$2:$A$1501,0))=1,"Yes","No")</f>
        <v>No</v>
      </c>
      <c r="H1217" s="0" t="n">
        <f aca="false">INDEX(customer_churn_dataset!$N$2:$N$1501,MATCH($A1218,customer_churn_dataset!$A$2:$A$1501,0))</f>
        <v>86.58</v>
      </c>
      <c r="I1217" s="0" t="n">
        <f aca="false">INDEX(customer_churn_dataset!$O$2:$O$1501,MATCH($A1218,customer_churn_dataset!$A$2:$A$1501,0))</f>
        <v>0</v>
      </c>
      <c r="J1217" s="0" t="n">
        <f aca="false">INDEX(customer_churn_dataset!$T$2:$T$1501,MATCH($A1218,customer_churn_dataset!$A$2:$A$1501,0))</f>
        <v>1</v>
      </c>
      <c r="K1217" s="0" t="str">
        <f aca="false">INDEX(customer_churn_dataset!$V$2:$V$1501,MATCH($A1218,customer_churn_dataset!$A$2:$A$1501,0))</f>
        <v>Low Risk</v>
      </c>
    </row>
    <row r="1218" customFormat="false" ht="12.8" hidden="true" customHeight="false" outlineLevel="0" collapsed="false">
      <c r="A1218" s="22" t="str">
        <f aca="false">customer_churn_dataset!A566</f>
        <v>CUST100511</v>
      </c>
      <c r="B1218" s="22" t="str">
        <f aca="false">customer_churn_dataset!B566</f>
        <v>Basic</v>
      </c>
      <c r="C1218" s="22" t="str">
        <f aca="false">customer_churn_dataset!C566</f>
        <v>Two year</v>
      </c>
      <c r="D1218" s="0" t="n">
        <f aca="false">INDEX(customer_churn_dataset!$E$2:$E$1501,MATCH($A1219,customer_churn_dataset!$A$2:$A$1501,0))</f>
        <v>36</v>
      </c>
      <c r="E1218" s="0" t="n">
        <f aca="false">INDEX(customer_churn_dataset!$I$2:$I$1501,MATCH($A1219,customer_churn_dataset!$A$2:$A$1501,0))</f>
        <v>32.6</v>
      </c>
      <c r="F1218" s="0" t="n">
        <f aca="false">INDEX(customer_churn_dataset!$L$2:$L$1501,MATCH($A1219,customer_churn_dataset!$A$2:$A$1501,0))</f>
        <v>1</v>
      </c>
      <c r="G1218" s="0" t="str">
        <f aca="false">IF(INDEX(customer_churn_dataset!$M$2:$M$1501,MATCH($A1219,customer_churn_dataset!$A$2:$A$1501,0))=1,"Yes","No")</f>
        <v>Yes</v>
      </c>
      <c r="H1218" s="0" t="n">
        <f aca="false">INDEX(customer_churn_dataset!$N$2:$N$1501,MATCH($A1219,customer_churn_dataset!$A$2:$A$1501,0))</f>
        <v>342.36</v>
      </c>
      <c r="I1218" s="0" t="n">
        <f aca="false">INDEX(customer_churn_dataset!$O$2:$O$1501,MATCH($A1219,customer_churn_dataset!$A$2:$A$1501,0))</f>
        <v>0</v>
      </c>
      <c r="J1218" s="0" t="n">
        <f aca="false">INDEX(customer_churn_dataset!$T$2:$T$1501,MATCH($A1219,customer_churn_dataset!$A$2:$A$1501,0))</f>
        <v>5</v>
      </c>
      <c r="K1218" s="0" t="str">
        <f aca="false">INDEX(customer_churn_dataset!$V$2:$V$1501,MATCH($A1219,customer_churn_dataset!$A$2:$A$1501,0))</f>
        <v>Medium Risk</v>
      </c>
    </row>
    <row r="1219" customFormat="false" ht="12.8" hidden="true" customHeight="false" outlineLevel="0" collapsed="false">
      <c r="A1219" s="22" t="str">
        <f aca="false">customer_churn_dataset!A601</f>
        <v>CUST100650</v>
      </c>
      <c r="B1219" s="22" t="str">
        <f aca="false">customer_churn_dataset!B601</f>
        <v>Basic</v>
      </c>
      <c r="C1219" s="22" t="str">
        <f aca="false">customer_churn_dataset!C601</f>
        <v>Two year</v>
      </c>
      <c r="D1219" s="0" t="n">
        <f aca="false">INDEX(customer_churn_dataset!$E$2:$E$1501,MATCH($A1220,customer_churn_dataset!$A$2:$A$1501,0))</f>
        <v>11</v>
      </c>
      <c r="E1219" s="0" t="n">
        <f aca="false">INDEX(customer_churn_dataset!$I$2:$I$1501,MATCH($A1220,customer_churn_dataset!$A$2:$A$1501,0))</f>
        <v>52.7</v>
      </c>
      <c r="F1219" s="0" t="n">
        <f aca="false">INDEX(customer_churn_dataset!$L$2:$L$1501,MATCH($A1220,customer_churn_dataset!$A$2:$A$1501,0))</f>
        <v>3</v>
      </c>
      <c r="G1219" s="0" t="str">
        <f aca="false">IF(INDEX(customer_churn_dataset!$M$2:$M$1501,MATCH($A1220,customer_churn_dataset!$A$2:$A$1501,0))=1,"Yes","No")</f>
        <v>No</v>
      </c>
      <c r="H1219" s="0" t="n">
        <f aca="false">INDEX(customer_churn_dataset!$N$2:$N$1501,MATCH($A1220,customer_churn_dataset!$A$2:$A$1501,0))</f>
        <v>440.77</v>
      </c>
      <c r="I1219" s="0" t="n">
        <f aca="false">INDEX(customer_churn_dataset!$O$2:$O$1501,MATCH($A1220,customer_churn_dataset!$A$2:$A$1501,0))</f>
        <v>1</v>
      </c>
      <c r="J1219" s="0" t="n">
        <f aca="false">INDEX(customer_churn_dataset!$T$2:$T$1501,MATCH($A1220,customer_churn_dataset!$A$2:$A$1501,0))</f>
        <v>5</v>
      </c>
      <c r="K1219" s="0" t="str">
        <f aca="false">INDEX(customer_churn_dataset!$V$2:$V$1501,MATCH($A1220,customer_churn_dataset!$A$2:$A$1501,0))</f>
        <v>Medium Risk</v>
      </c>
    </row>
    <row r="1220" customFormat="false" ht="12.8" hidden="true" customHeight="false" outlineLevel="0" collapsed="false">
      <c r="A1220" s="22" t="str">
        <f aca="false">customer_churn_dataset!A610</f>
        <v>CUST100134</v>
      </c>
      <c r="B1220" s="22" t="str">
        <f aca="false">customer_churn_dataset!B610</f>
        <v>Premium</v>
      </c>
      <c r="C1220" s="22" t="str">
        <f aca="false">customer_churn_dataset!C610</f>
        <v>Month-to-month</v>
      </c>
      <c r="D1220" s="0" t="n">
        <f aca="false">INDEX(customer_churn_dataset!$E$2:$E$1501,MATCH($A1221,customer_churn_dataset!$A$2:$A$1501,0))</f>
        <v>12</v>
      </c>
      <c r="E1220" s="0" t="n">
        <f aca="false">INDEX(customer_churn_dataset!$I$2:$I$1501,MATCH($A1221,customer_churn_dataset!$A$2:$A$1501,0))</f>
        <v>66.4</v>
      </c>
      <c r="F1220" s="0" t="n">
        <f aca="false">INDEX(customer_churn_dataset!$L$2:$L$1501,MATCH($A1221,customer_churn_dataset!$A$2:$A$1501,0))</f>
        <v>2</v>
      </c>
      <c r="G1220" s="0" t="str">
        <f aca="false">IF(INDEX(customer_churn_dataset!$M$2:$M$1501,MATCH($A1221,customer_churn_dataset!$A$2:$A$1501,0))=1,"Yes","No")</f>
        <v>Yes</v>
      </c>
      <c r="H1220" s="0" t="n">
        <f aca="false">INDEX(customer_churn_dataset!$N$2:$N$1501,MATCH($A1221,customer_churn_dataset!$A$2:$A$1501,0))</f>
        <v>244.68</v>
      </c>
      <c r="I1220" s="0" t="n">
        <f aca="false">INDEX(customer_churn_dataset!$O$2:$O$1501,MATCH($A1221,customer_churn_dataset!$A$2:$A$1501,0))</f>
        <v>0</v>
      </c>
      <c r="J1220" s="0" t="n">
        <f aca="false">INDEX(customer_churn_dataset!$T$2:$T$1501,MATCH($A1221,customer_churn_dataset!$A$2:$A$1501,0))</f>
        <v>4</v>
      </c>
      <c r="K1220" s="0" t="str">
        <f aca="false">INDEX(customer_churn_dataset!$V$2:$V$1501,MATCH($A1221,customer_churn_dataset!$A$2:$A$1501,0))</f>
        <v>Medium Risk</v>
      </c>
    </row>
    <row r="1221" customFormat="false" ht="12.8" hidden="true" customHeight="false" outlineLevel="0" collapsed="false">
      <c r="A1221" s="22" t="str">
        <f aca="false">customer_churn_dataset!A614</f>
        <v>CUST100520</v>
      </c>
      <c r="B1221" s="22" t="str">
        <f aca="false">customer_churn_dataset!B614</f>
        <v>Standard</v>
      </c>
      <c r="C1221" s="22" t="str">
        <f aca="false">customer_churn_dataset!C614</f>
        <v>Two year</v>
      </c>
      <c r="D1221" s="0" t="n">
        <f aca="false">INDEX(customer_churn_dataset!$E$2:$E$1501,MATCH($A1222,customer_churn_dataset!$A$2:$A$1501,0))</f>
        <v>2</v>
      </c>
      <c r="E1221" s="0" t="n">
        <f aca="false">INDEX(customer_churn_dataset!$I$2:$I$1501,MATCH($A1222,customer_churn_dataset!$A$2:$A$1501,0))</f>
        <v>35</v>
      </c>
      <c r="F1221" s="0" t="n">
        <f aca="false">INDEX(customer_churn_dataset!$L$2:$L$1501,MATCH($A1222,customer_churn_dataset!$A$2:$A$1501,0))</f>
        <v>1</v>
      </c>
      <c r="G1221" s="0" t="str">
        <f aca="false">IF(INDEX(customer_churn_dataset!$M$2:$M$1501,MATCH($A1222,customer_churn_dataset!$A$2:$A$1501,0))=1,"Yes","No")</f>
        <v>No</v>
      </c>
      <c r="H1221" s="0" t="n">
        <f aca="false">INDEX(customer_churn_dataset!$N$2:$N$1501,MATCH($A1222,customer_churn_dataset!$A$2:$A$1501,0))</f>
        <v>16.38</v>
      </c>
      <c r="I1221" s="0" t="n">
        <f aca="false">INDEX(customer_churn_dataset!$O$2:$O$1501,MATCH($A1222,customer_churn_dataset!$A$2:$A$1501,0))</f>
        <v>0</v>
      </c>
      <c r="J1221" s="0" t="n">
        <f aca="false">INDEX(customer_churn_dataset!$T$2:$T$1501,MATCH($A1222,customer_churn_dataset!$A$2:$A$1501,0))</f>
        <v>5</v>
      </c>
      <c r="K1221" s="0" t="str">
        <f aca="false">INDEX(customer_churn_dataset!$V$2:$V$1501,MATCH($A1222,customer_churn_dataset!$A$2:$A$1501,0))</f>
        <v>Medium Risk</v>
      </c>
    </row>
    <row r="1222" customFormat="false" ht="12.8" hidden="true" customHeight="false" outlineLevel="0" collapsed="false">
      <c r="A1222" s="22" t="str">
        <f aca="false">customer_churn_dataset!A629</f>
        <v>CUST100754</v>
      </c>
      <c r="B1222" s="22" t="str">
        <f aca="false">customer_churn_dataset!B629</f>
        <v>Basic</v>
      </c>
      <c r="C1222" s="22" t="str">
        <f aca="false">customer_churn_dataset!C629</f>
        <v>Month-to-month</v>
      </c>
      <c r="D1222" s="0" t="n">
        <f aca="false">INDEX(customer_churn_dataset!$E$2:$E$1501,MATCH($A1223,customer_churn_dataset!$A$2:$A$1501,0))</f>
        <v>9</v>
      </c>
      <c r="E1222" s="0" t="n">
        <f aca="false">INDEX(customer_churn_dataset!$I$2:$I$1501,MATCH($A1223,customer_churn_dataset!$A$2:$A$1501,0))</f>
        <v>76.5</v>
      </c>
      <c r="F1222" s="0" t="n">
        <f aca="false">INDEX(customer_churn_dataset!$L$2:$L$1501,MATCH($A1223,customer_churn_dataset!$A$2:$A$1501,0))</f>
        <v>1</v>
      </c>
      <c r="G1222" s="0" t="str">
        <f aca="false">IF(INDEX(customer_churn_dataset!$M$2:$M$1501,MATCH($A1223,customer_churn_dataset!$A$2:$A$1501,0))=1,"Yes","No")</f>
        <v>Yes</v>
      </c>
      <c r="H1222" s="0" t="n">
        <f aca="false">INDEX(customer_churn_dataset!$N$2:$N$1501,MATCH($A1223,customer_churn_dataset!$A$2:$A$1501,0))</f>
        <v>191.07</v>
      </c>
      <c r="I1222" s="0" t="n">
        <f aca="false">INDEX(customer_churn_dataset!$O$2:$O$1501,MATCH($A1223,customer_churn_dataset!$A$2:$A$1501,0))</f>
        <v>1</v>
      </c>
      <c r="J1222" s="0" t="n">
        <f aca="false">INDEX(customer_churn_dataset!$T$2:$T$1501,MATCH($A1223,customer_churn_dataset!$A$2:$A$1501,0))</f>
        <v>6</v>
      </c>
      <c r="K1222" s="0" t="str">
        <f aca="false">INDEX(customer_churn_dataset!$V$2:$V$1501,MATCH($A1223,customer_churn_dataset!$A$2:$A$1501,0))</f>
        <v>High Risk</v>
      </c>
    </row>
    <row r="1223" customFormat="false" ht="12.8" hidden="true" customHeight="false" outlineLevel="0" collapsed="false">
      <c r="A1223" s="22" t="str">
        <f aca="false">customer_churn_dataset!A630</f>
        <v>CUST101430</v>
      </c>
      <c r="B1223" s="22" t="str">
        <f aca="false">customer_churn_dataset!B630</f>
        <v>Standard</v>
      </c>
      <c r="C1223" s="22" t="str">
        <f aca="false">customer_churn_dataset!C630</f>
        <v>Month-to-month</v>
      </c>
      <c r="D1223" s="0" t="n">
        <f aca="false">INDEX(customer_churn_dataset!$E$2:$E$1501,MATCH($A1224,customer_churn_dataset!$A$2:$A$1501,0))</f>
        <v>11</v>
      </c>
      <c r="E1223" s="0" t="n">
        <f aca="false">INDEX(customer_churn_dataset!$I$2:$I$1501,MATCH($A1224,customer_churn_dataset!$A$2:$A$1501,0))</f>
        <v>84.4</v>
      </c>
      <c r="F1223" s="0" t="n">
        <f aca="false">INDEX(customer_churn_dataset!$L$2:$L$1501,MATCH($A1224,customer_churn_dataset!$A$2:$A$1501,0))</f>
        <v>1</v>
      </c>
      <c r="G1223" s="0" t="str">
        <f aca="false">IF(INDEX(customer_churn_dataset!$M$2:$M$1501,MATCH($A1224,customer_churn_dataset!$A$2:$A$1501,0))=1,"Yes","No")</f>
        <v>No</v>
      </c>
      <c r="H1223" s="0" t="n">
        <f aca="false">INDEX(customer_churn_dataset!$N$2:$N$1501,MATCH($A1224,customer_churn_dataset!$A$2:$A$1501,0))</f>
        <v>100.21</v>
      </c>
      <c r="I1223" s="0" t="n">
        <f aca="false">INDEX(customer_churn_dataset!$O$2:$O$1501,MATCH($A1224,customer_churn_dataset!$A$2:$A$1501,0))</f>
        <v>0</v>
      </c>
      <c r="J1223" s="0" t="n">
        <f aca="false">INDEX(customer_churn_dataset!$T$2:$T$1501,MATCH($A1224,customer_churn_dataset!$A$2:$A$1501,0))</f>
        <v>3</v>
      </c>
      <c r="K1223" s="0" t="str">
        <f aca="false">INDEX(customer_churn_dataset!$V$2:$V$1501,MATCH($A1224,customer_churn_dataset!$A$2:$A$1501,0))</f>
        <v>Medium Risk</v>
      </c>
    </row>
    <row r="1224" customFormat="false" ht="12.8" hidden="true" customHeight="false" outlineLevel="0" collapsed="false">
      <c r="A1224" s="22" t="str">
        <f aca="false">customer_churn_dataset!A644</f>
        <v>CUST100392</v>
      </c>
      <c r="B1224" s="22" t="str">
        <f aca="false">customer_churn_dataset!B644</f>
        <v>Basic</v>
      </c>
      <c r="C1224" s="22" t="str">
        <f aca="false">customer_churn_dataset!C644</f>
        <v>Month-to-month</v>
      </c>
      <c r="D1224" s="0" t="n">
        <f aca="false">INDEX(customer_churn_dataset!$E$2:$E$1501,MATCH($A1225,customer_churn_dataset!$A$2:$A$1501,0))</f>
        <v>18</v>
      </c>
      <c r="E1224" s="0" t="n">
        <f aca="false">INDEX(customer_churn_dataset!$I$2:$I$1501,MATCH($A1225,customer_churn_dataset!$A$2:$A$1501,0))</f>
        <v>41.7</v>
      </c>
      <c r="F1224" s="0" t="n">
        <f aca="false">INDEX(customer_churn_dataset!$L$2:$L$1501,MATCH($A1225,customer_churn_dataset!$A$2:$A$1501,0))</f>
        <v>1</v>
      </c>
      <c r="G1224" s="0" t="str">
        <f aca="false">IF(INDEX(customer_churn_dataset!$M$2:$M$1501,MATCH($A1225,customer_churn_dataset!$A$2:$A$1501,0))=1,"Yes","No")</f>
        <v>Yes</v>
      </c>
      <c r="H1224" s="0" t="n">
        <f aca="false">INDEX(customer_churn_dataset!$N$2:$N$1501,MATCH($A1225,customer_churn_dataset!$A$2:$A$1501,0))</f>
        <v>704.52</v>
      </c>
      <c r="I1224" s="0" t="n">
        <f aca="false">INDEX(customer_churn_dataset!$O$2:$O$1501,MATCH($A1225,customer_churn_dataset!$A$2:$A$1501,0))</f>
        <v>0</v>
      </c>
      <c r="J1224" s="0" t="n">
        <f aca="false">INDEX(customer_churn_dataset!$T$2:$T$1501,MATCH($A1225,customer_churn_dataset!$A$2:$A$1501,0))</f>
        <v>6</v>
      </c>
      <c r="K1224" s="0" t="str">
        <f aca="false">INDEX(customer_churn_dataset!$V$2:$V$1501,MATCH($A1225,customer_churn_dataset!$A$2:$A$1501,0))</f>
        <v>High Risk</v>
      </c>
    </row>
    <row r="1225" customFormat="false" ht="12.8" hidden="true" customHeight="false" outlineLevel="0" collapsed="false">
      <c r="A1225" s="22" t="str">
        <f aca="false">customer_churn_dataset!A645</f>
        <v>CUST100471</v>
      </c>
      <c r="B1225" s="22" t="str">
        <f aca="false">customer_churn_dataset!B645</f>
        <v>Premium</v>
      </c>
      <c r="C1225" s="22" t="str">
        <f aca="false">customer_churn_dataset!C645</f>
        <v>Month-to-month</v>
      </c>
      <c r="D1225" s="0" t="n">
        <f aca="false">INDEX(customer_churn_dataset!$E$2:$E$1501,MATCH($A1226,customer_churn_dataset!$A$2:$A$1501,0))</f>
        <v>34</v>
      </c>
      <c r="E1225" s="0" t="n">
        <f aca="false">INDEX(customer_churn_dataset!$I$2:$I$1501,MATCH($A1226,customer_churn_dataset!$A$2:$A$1501,0))</f>
        <v>49.2</v>
      </c>
      <c r="F1225" s="0" t="n">
        <f aca="false">INDEX(customer_churn_dataset!$L$2:$L$1501,MATCH($A1226,customer_churn_dataset!$A$2:$A$1501,0))</f>
        <v>0</v>
      </c>
      <c r="G1225" s="0" t="str">
        <f aca="false">IF(INDEX(customer_churn_dataset!$M$2:$M$1501,MATCH($A1226,customer_churn_dataset!$A$2:$A$1501,0))=1,"Yes","No")</f>
        <v>No</v>
      </c>
      <c r="H1225" s="0" t="n">
        <f aca="false">INDEX(customer_churn_dataset!$N$2:$N$1501,MATCH($A1226,customer_churn_dataset!$A$2:$A$1501,0))</f>
        <v>698.36</v>
      </c>
      <c r="I1225" s="0" t="n">
        <f aca="false">INDEX(customer_churn_dataset!$O$2:$O$1501,MATCH($A1226,customer_churn_dataset!$A$2:$A$1501,0))</f>
        <v>0</v>
      </c>
      <c r="J1225" s="0" t="n">
        <f aca="false">INDEX(customer_churn_dataset!$T$2:$T$1501,MATCH($A1226,customer_churn_dataset!$A$2:$A$1501,0))</f>
        <v>3</v>
      </c>
      <c r="K1225" s="0" t="str">
        <f aca="false">INDEX(customer_churn_dataset!$V$2:$V$1501,MATCH($A1226,customer_churn_dataset!$A$2:$A$1501,0))</f>
        <v>Medium Risk</v>
      </c>
    </row>
    <row r="1226" customFormat="false" ht="12.8" hidden="true" customHeight="false" outlineLevel="0" collapsed="false">
      <c r="A1226" s="22" t="str">
        <f aca="false">customer_churn_dataset!A649</f>
        <v>CUST100509</v>
      </c>
      <c r="B1226" s="22" t="str">
        <f aca="false">customer_churn_dataset!B649</f>
        <v>Standard</v>
      </c>
      <c r="C1226" s="22" t="str">
        <f aca="false">customer_churn_dataset!C649</f>
        <v>Month-to-month</v>
      </c>
      <c r="D1226" s="0" t="n">
        <f aca="false">INDEX(customer_churn_dataset!$E$2:$E$1501,MATCH($A1227,customer_churn_dataset!$A$2:$A$1501,0))</f>
        <v>15</v>
      </c>
      <c r="E1226" s="0" t="n">
        <f aca="false">INDEX(customer_churn_dataset!$I$2:$I$1501,MATCH($A1227,customer_churn_dataset!$A$2:$A$1501,0))</f>
        <v>36.4</v>
      </c>
      <c r="F1226" s="0" t="n">
        <f aca="false">INDEX(customer_churn_dataset!$L$2:$L$1501,MATCH($A1227,customer_churn_dataset!$A$2:$A$1501,0))</f>
        <v>1</v>
      </c>
      <c r="G1226" s="0" t="str">
        <f aca="false">IF(INDEX(customer_churn_dataset!$M$2:$M$1501,MATCH($A1227,customer_churn_dataset!$A$2:$A$1501,0))=1,"Yes","No")</f>
        <v>No</v>
      </c>
      <c r="H1226" s="0" t="n">
        <f aca="false">INDEX(customer_churn_dataset!$N$2:$N$1501,MATCH($A1227,customer_churn_dataset!$A$2:$A$1501,0))</f>
        <v>153.45</v>
      </c>
      <c r="I1226" s="0" t="n">
        <f aca="false">INDEX(customer_churn_dataset!$O$2:$O$1501,MATCH($A1227,customer_churn_dataset!$A$2:$A$1501,0))</f>
        <v>0</v>
      </c>
      <c r="J1226" s="0" t="n">
        <f aca="false">INDEX(customer_churn_dataset!$T$2:$T$1501,MATCH($A1227,customer_churn_dataset!$A$2:$A$1501,0))</f>
        <v>3</v>
      </c>
      <c r="K1226" s="0" t="str">
        <f aca="false">INDEX(customer_churn_dataset!$V$2:$V$1501,MATCH($A1227,customer_churn_dataset!$A$2:$A$1501,0))</f>
        <v>Medium Risk</v>
      </c>
    </row>
    <row r="1227" customFormat="false" ht="12.8" hidden="true" customHeight="false" outlineLevel="0" collapsed="false">
      <c r="A1227" s="22" t="str">
        <f aca="false">customer_churn_dataset!A665</f>
        <v>CUST100983</v>
      </c>
      <c r="B1227" s="22" t="str">
        <f aca="false">customer_churn_dataset!B665</f>
        <v>Basic</v>
      </c>
      <c r="C1227" s="22" t="str">
        <f aca="false">customer_churn_dataset!C665</f>
        <v>One year</v>
      </c>
      <c r="D1227" s="0" t="n">
        <f aca="false">INDEX(customer_churn_dataset!$E$2:$E$1501,MATCH($A1228,customer_churn_dataset!$A$2:$A$1501,0))</f>
        <v>6</v>
      </c>
      <c r="E1227" s="0" t="n">
        <f aca="false">INDEX(customer_churn_dataset!$I$2:$I$1501,MATCH($A1228,customer_churn_dataset!$A$2:$A$1501,0))</f>
        <v>93.9</v>
      </c>
      <c r="F1227" s="0" t="n">
        <f aca="false">INDEX(customer_churn_dataset!$L$2:$L$1501,MATCH($A1228,customer_churn_dataset!$A$2:$A$1501,0))</f>
        <v>2</v>
      </c>
      <c r="G1227" s="0" t="str">
        <f aca="false">IF(INDEX(customer_churn_dataset!$M$2:$M$1501,MATCH($A1228,customer_churn_dataset!$A$2:$A$1501,0))=1,"Yes","No")</f>
        <v>No</v>
      </c>
      <c r="H1227" s="0" t="n">
        <f aca="false">INDEX(customer_churn_dataset!$N$2:$N$1501,MATCH($A1228,customer_churn_dataset!$A$2:$A$1501,0))</f>
        <v>53.34</v>
      </c>
      <c r="I1227" s="0" t="n">
        <f aca="false">INDEX(customer_churn_dataset!$O$2:$O$1501,MATCH($A1228,customer_churn_dataset!$A$2:$A$1501,0))</f>
        <v>0</v>
      </c>
      <c r="J1227" s="0" t="n">
        <f aca="false">INDEX(customer_churn_dataset!$T$2:$T$1501,MATCH($A1228,customer_churn_dataset!$A$2:$A$1501,0))</f>
        <v>4</v>
      </c>
      <c r="K1227" s="0" t="str">
        <f aca="false">INDEX(customer_churn_dataset!$V$2:$V$1501,MATCH($A1228,customer_churn_dataset!$A$2:$A$1501,0))</f>
        <v>Medium Risk</v>
      </c>
    </row>
    <row r="1228" customFormat="false" ht="12.8" hidden="true" customHeight="false" outlineLevel="0" collapsed="false">
      <c r="A1228" s="22" t="str">
        <f aca="false">customer_churn_dataset!A673</f>
        <v>CUST101159</v>
      </c>
      <c r="B1228" s="22" t="str">
        <f aca="false">customer_churn_dataset!B673</f>
        <v>Basic</v>
      </c>
      <c r="C1228" s="22" t="str">
        <f aca="false">customer_churn_dataset!C673</f>
        <v>Month-to-month</v>
      </c>
      <c r="D1228" s="0" t="n">
        <f aca="false">INDEX(customer_churn_dataset!$E$2:$E$1501,MATCH($A1229,customer_churn_dataset!$A$2:$A$1501,0))</f>
        <v>1</v>
      </c>
      <c r="E1228" s="0" t="n">
        <f aca="false">INDEX(customer_churn_dataset!$I$2:$I$1501,MATCH($A1229,customer_churn_dataset!$A$2:$A$1501,0))</f>
        <v>61.1</v>
      </c>
      <c r="F1228" s="0" t="n">
        <f aca="false">INDEX(customer_churn_dataset!$L$2:$L$1501,MATCH($A1229,customer_churn_dataset!$A$2:$A$1501,0))</f>
        <v>1</v>
      </c>
      <c r="G1228" s="0" t="str">
        <f aca="false">IF(INDEX(customer_churn_dataset!$M$2:$M$1501,MATCH($A1229,customer_churn_dataset!$A$2:$A$1501,0))=1,"Yes","No")</f>
        <v>No</v>
      </c>
      <c r="H1228" s="0" t="n">
        <f aca="false">INDEX(customer_churn_dataset!$N$2:$N$1501,MATCH($A1229,customer_churn_dataset!$A$2:$A$1501,0))</f>
        <v>19.06</v>
      </c>
      <c r="I1228" s="0" t="n">
        <f aca="false">INDEX(customer_churn_dataset!$O$2:$O$1501,MATCH($A1229,customer_churn_dataset!$A$2:$A$1501,0))</f>
        <v>0</v>
      </c>
      <c r="J1228" s="0" t="n">
        <f aca="false">INDEX(customer_churn_dataset!$T$2:$T$1501,MATCH($A1229,customer_churn_dataset!$A$2:$A$1501,0))</f>
        <v>1</v>
      </c>
      <c r="K1228" s="0" t="str">
        <f aca="false">INDEX(customer_churn_dataset!$V$2:$V$1501,MATCH($A1229,customer_churn_dataset!$A$2:$A$1501,0))</f>
        <v>Low Risk</v>
      </c>
    </row>
    <row r="1229" customFormat="false" ht="12.8" hidden="true" customHeight="false" outlineLevel="0" collapsed="false">
      <c r="A1229" s="22" t="str">
        <f aca="false">customer_churn_dataset!A678</f>
        <v>CUST100207</v>
      </c>
      <c r="B1229" s="22" t="str">
        <f aca="false">customer_churn_dataset!B678</f>
        <v>Standard</v>
      </c>
      <c r="C1229" s="22" t="str">
        <f aca="false">customer_churn_dataset!C678</f>
        <v>Two year</v>
      </c>
      <c r="D1229" s="0" t="n">
        <f aca="false">INDEX(customer_churn_dataset!$E$2:$E$1501,MATCH($A1230,customer_churn_dataset!$A$2:$A$1501,0))</f>
        <v>3</v>
      </c>
      <c r="E1229" s="0" t="n">
        <f aca="false">INDEX(customer_churn_dataset!$I$2:$I$1501,MATCH($A1230,customer_churn_dataset!$A$2:$A$1501,0))</f>
        <v>58.2</v>
      </c>
      <c r="F1229" s="0" t="n">
        <f aca="false">INDEX(customer_churn_dataset!$L$2:$L$1501,MATCH($A1230,customer_churn_dataset!$A$2:$A$1501,0))</f>
        <v>0</v>
      </c>
      <c r="G1229" s="0" t="str">
        <f aca="false">IF(INDEX(customer_churn_dataset!$M$2:$M$1501,MATCH($A1230,customer_churn_dataset!$A$2:$A$1501,0))=1,"Yes","No")</f>
        <v>No</v>
      </c>
      <c r="H1229" s="0" t="n">
        <f aca="false">INDEX(customer_churn_dataset!$N$2:$N$1501,MATCH($A1230,customer_churn_dataset!$A$2:$A$1501,0))</f>
        <v>59.43</v>
      </c>
      <c r="I1229" s="0" t="n">
        <f aca="false">INDEX(customer_churn_dataset!$O$2:$O$1501,MATCH($A1230,customer_churn_dataset!$A$2:$A$1501,0))</f>
        <v>0</v>
      </c>
      <c r="J1229" s="0" t="n">
        <f aca="false">INDEX(customer_churn_dataset!$T$2:$T$1501,MATCH($A1230,customer_churn_dataset!$A$2:$A$1501,0))</f>
        <v>3</v>
      </c>
      <c r="K1229" s="0" t="str">
        <f aca="false">INDEX(customer_churn_dataset!$V$2:$V$1501,MATCH($A1230,customer_churn_dataset!$A$2:$A$1501,0))</f>
        <v>Medium Risk</v>
      </c>
    </row>
    <row r="1230" customFormat="false" ht="12.8" hidden="true" customHeight="false" outlineLevel="0" collapsed="false">
      <c r="A1230" s="22" t="str">
        <f aca="false">customer_churn_dataset!A703</f>
        <v>CUST100990</v>
      </c>
      <c r="B1230" s="22" t="str">
        <f aca="false">customer_churn_dataset!B703</f>
        <v>Standard</v>
      </c>
      <c r="C1230" s="22" t="str">
        <f aca="false">customer_churn_dataset!C703</f>
        <v>Month-to-month</v>
      </c>
      <c r="D1230" s="0" t="n">
        <f aca="false">INDEX(customer_churn_dataset!$E$2:$E$1501,MATCH($A1231,customer_churn_dataset!$A$2:$A$1501,0))</f>
        <v>3</v>
      </c>
      <c r="E1230" s="0" t="n">
        <f aca="false">INDEX(customer_churn_dataset!$I$2:$I$1501,MATCH($A1231,customer_churn_dataset!$A$2:$A$1501,0))</f>
        <v>57</v>
      </c>
      <c r="F1230" s="0" t="n">
        <f aca="false">INDEX(customer_churn_dataset!$L$2:$L$1501,MATCH($A1231,customer_churn_dataset!$A$2:$A$1501,0))</f>
        <v>2</v>
      </c>
      <c r="G1230" s="0" t="str">
        <f aca="false">IF(INDEX(customer_churn_dataset!$M$2:$M$1501,MATCH($A1231,customer_churn_dataset!$A$2:$A$1501,0))=1,"Yes","No")</f>
        <v>No</v>
      </c>
      <c r="H1230" s="0" t="n">
        <f aca="false">INDEX(customer_churn_dataset!$N$2:$N$1501,MATCH($A1231,customer_churn_dataset!$A$2:$A$1501,0))</f>
        <v>56.55</v>
      </c>
      <c r="I1230" s="0" t="n">
        <f aca="false">INDEX(customer_churn_dataset!$O$2:$O$1501,MATCH($A1231,customer_churn_dataset!$A$2:$A$1501,0))</f>
        <v>0</v>
      </c>
      <c r="J1230" s="0" t="n">
        <f aca="false">INDEX(customer_churn_dataset!$T$2:$T$1501,MATCH($A1231,customer_churn_dataset!$A$2:$A$1501,0))</f>
        <v>3</v>
      </c>
      <c r="K1230" s="0" t="str">
        <f aca="false">INDEX(customer_churn_dataset!$V$2:$V$1501,MATCH($A1231,customer_churn_dataset!$A$2:$A$1501,0))</f>
        <v>Medium Risk</v>
      </c>
    </row>
    <row r="1231" customFormat="false" ht="12.8" hidden="true" customHeight="false" outlineLevel="0" collapsed="false">
      <c r="A1231" s="22" t="str">
        <f aca="false">customer_churn_dataset!A767</f>
        <v>CUST100933</v>
      </c>
      <c r="B1231" s="22" t="str">
        <f aca="false">customer_churn_dataset!B767</f>
        <v>Standard</v>
      </c>
      <c r="C1231" s="22" t="str">
        <f aca="false">customer_churn_dataset!C767</f>
        <v>One year</v>
      </c>
      <c r="D1231" s="0" t="n">
        <f aca="false">INDEX(customer_churn_dataset!$E$2:$E$1501,MATCH($A1232,customer_churn_dataset!$A$2:$A$1501,0))</f>
        <v>6</v>
      </c>
      <c r="E1231" s="0" t="n">
        <f aca="false">INDEX(customer_churn_dataset!$I$2:$I$1501,MATCH($A1232,customer_churn_dataset!$A$2:$A$1501,0))</f>
        <v>43.3</v>
      </c>
      <c r="F1231" s="0" t="n">
        <f aca="false">INDEX(customer_churn_dataset!$L$2:$L$1501,MATCH($A1232,customer_churn_dataset!$A$2:$A$1501,0))</f>
        <v>2</v>
      </c>
      <c r="G1231" s="0" t="str">
        <f aca="false">IF(INDEX(customer_churn_dataset!$M$2:$M$1501,MATCH($A1232,customer_churn_dataset!$A$2:$A$1501,0))=1,"Yes","No")</f>
        <v>No</v>
      </c>
      <c r="H1231" s="0" t="n">
        <f aca="false">INDEX(customer_churn_dataset!$N$2:$N$1501,MATCH($A1232,customer_churn_dataset!$A$2:$A$1501,0))</f>
        <v>132.54</v>
      </c>
      <c r="I1231" s="0" t="n">
        <f aca="false">INDEX(customer_churn_dataset!$O$2:$O$1501,MATCH($A1232,customer_churn_dataset!$A$2:$A$1501,0))</f>
        <v>1</v>
      </c>
      <c r="J1231" s="0" t="n">
        <f aca="false">INDEX(customer_churn_dataset!$T$2:$T$1501,MATCH($A1232,customer_churn_dataset!$A$2:$A$1501,0))</f>
        <v>5</v>
      </c>
      <c r="K1231" s="0" t="str">
        <f aca="false">INDEX(customer_churn_dataset!$V$2:$V$1501,MATCH($A1232,customer_churn_dataset!$A$2:$A$1501,0))</f>
        <v>Medium Risk</v>
      </c>
    </row>
    <row r="1232" customFormat="false" ht="12.8" hidden="true" customHeight="false" outlineLevel="0" collapsed="false">
      <c r="A1232" s="22" t="str">
        <f aca="false">customer_churn_dataset!A780</f>
        <v>CUST101058</v>
      </c>
      <c r="B1232" s="22" t="str">
        <f aca="false">customer_churn_dataset!B780</f>
        <v>Standard</v>
      </c>
      <c r="C1232" s="22" t="str">
        <f aca="false">customer_churn_dataset!C780</f>
        <v>Month-to-month</v>
      </c>
      <c r="D1232" s="0" t="n">
        <f aca="false">INDEX(customer_churn_dataset!$E$2:$E$1501,MATCH($A1233,customer_churn_dataset!$A$2:$A$1501,0))</f>
        <v>11</v>
      </c>
      <c r="E1232" s="0" t="n">
        <f aca="false">INDEX(customer_churn_dataset!$I$2:$I$1501,MATCH($A1233,customer_churn_dataset!$A$2:$A$1501,0))</f>
        <v>51.1</v>
      </c>
      <c r="F1232" s="0" t="n">
        <f aca="false">INDEX(customer_churn_dataset!$L$2:$L$1501,MATCH($A1233,customer_churn_dataset!$A$2:$A$1501,0))</f>
        <v>0</v>
      </c>
      <c r="G1232" s="0" t="str">
        <f aca="false">IF(INDEX(customer_churn_dataset!$M$2:$M$1501,MATCH($A1233,customer_churn_dataset!$A$2:$A$1501,0))=1,"Yes","No")</f>
        <v>No</v>
      </c>
      <c r="H1232" s="0" t="n">
        <f aca="false">INDEX(customer_churn_dataset!$N$2:$N$1501,MATCH($A1233,customer_churn_dataset!$A$2:$A$1501,0))</f>
        <v>456.83</v>
      </c>
      <c r="I1232" s="0" t="n">
        <f aca="false">INDEX(customer_churn_dataset!$O$2:$O$1501,MATCH($A1233,customer_churn_dataset!$A$2:$A$1501,0))</f>
        <v>0</v>
      </c>
      <c r="J1232" s="0" t="n">
        <f aca="false">INDEX(customer_churn_dataset!$T$2:$T$1501,MATCH($A1233,customer_churn_dataset!$A$2:$A$1501,0))</f>
        <v>4</v>
      </c>
      <c r="K1232" s="0" t="str">
        <f aca="false">INDEX(customer_churn_dataset!$V$2:$V$1501,MATCH($A1233,customer_churn_dataset!$A$2:$A$1501,0))</f>
        <v>Medium Risk</v>
      </c>
    </row>
    <row r="1233" customFormat="false" ht="12.8" hidden="true" customHeight="false" outlineLevel="0" collapsed="false">
      <c r="A1233" s="22" t="str">
        <f aca="false">customer_churn_dataset!A783</f>
        <v>CUST100367</v>
      </c>
      <c r="B1233" s="22" t="str">
        <f aca="false">customer_churn_dataset!B783</f>
        <v>Premium</v>
      </c>
      <c r="C1233" s="22" t="str">
        <f aca="false">customer_churn_dataset!C783</f>
        <v>Month-to-month</v>
      </c>
      <c r="D1233" s="0" t="n">
        <f aca="false">INDEX(customer_churn_dataset!$E$2:$E$1501,MATCH($A1234,customer_churn_dataset!$A$2:$A$1501,0))</f>
        <v>4</v>
      </c>
      <c r="E1233" s="0" t="n">
        <f aca="false">INDEX(customer_churn_dataset!$I$2:$I$1501,MATCH($A1234,customer_churn_dataset!$A$2:$A$1501,0))</f>
        <v>67.6</v>
      </c>
      <c r="F1233" s="0" t="n">
        <f aca="false">INDEX(customer_churn_dataset!$L$2:$L$1501,MATCH($A1234,customer_churn_dataset!$A$2:$A$1501,0))</f>
        <v>2</v>
      </c>
      <c r="G1233" s="0" t="str">
        <f aca="false">IF(INDEX(customer_churn_dataset!$M$2:$M$1501,MATCH($A1234,customer_churn_dataset!$A$2:$A$1501,0))=1,"Yes","No")</f>
        <v>Yes</v>
      </c>
      <c r="H1233" s="0" t="n">
        <f aca="false">INDEX(customer_churn_dataset!$N$2:$N$1501,MATCH($A1234,customer_churn_dataset!$A$2:$A$1501,0))</f>
        <v>40.24</v>
      </c>
      <c r="I1233" s="0" t="n">
        <f aca="false">INDEX(customer_churn_dataset!$O$2:$O$1501,MATCH($A1234,customer_churn_dataset!$A$2:$A$1501,0))</f>
        <v>0</v>
      </c>
      <c r="J1233" s="0" t="n">
        <f aca="false">INDEX(customer_churn_dataset!$T$2:$T$1501,MATCH($A1234,customer_churn_dataset!$A$2:$A$1501,0))</f>
        <v>5</v>
      </c>
      <c r="K1233" s="0" t="str">
        <f aca="false">INDEX(customer_churn_dataset!$V$2:$V$1501,MATCH($A1234,customer_churn_dataset!$A$2:$A$1501,0))</f>
        <v>Medium Risk</v>
      </c>
    </row>
    <row r="1234" customFormat="false" ht="12.8" hidden="true" customHeight="false" outlineLevel="0" collapsed="false">
      <c r="A1234" s="22" t="str">
        <f aca="false">customer_churn_dataset!A788</f>
        <v>CUST101239</v>
      </c>
      <c r="B1234" s="22" t="str">
        <f aca="false">customer_churn_dataset!B788</f>
        <v>Basic</v>
      </c>
      <c r="C1234" s="22" t="str">
        <f aca="false">customer_churn_dataset!C788</f>
        <v>Two year</v>
      </c>
      <c r="D1234" s="0" t="n">
        <f aca="false">INDEX(customer_churn_dataset!$E$2:$E$1501,MATCH($A1235,customer_churn_dataset!$A$2:$A$1501,0))</f>
        <v>72</v>
      </c>
      <c r="E1234" s="0" t="n">
        <f aca="false">INDEX(customer_churn_dataset!$I$2:$I$1501,MATCH($A1235,customer_churn_dataset!$A$2:$A$1501,0))</f>
        <v>79.2</v>
      </c>
      <c r="F1234" s="0" t="n">
        <f aca="false">INDEX(customer_churn_dataset!$L$2:$L$1501,MATCH($A1235,customer_churn_dataset!$A$2:$A$1501,0))</f>
        <v>0</v>
      </c>
      <c r="G1234" s="0" t="str">
        <f aca="false">IF(INDEX(customer_churn_dataset!$M$2:$M$1501,MATCH($A1235,customer_churn_dataset!$A$2:$A$1501,0))=1,"Yes","No")</f>
        <v>No</v>
      </c>
      <c r="H1234" s="0" t="n">
        <f aca="false">INDEX(customer_churn_dataset!$N$2:$N$1501,MATCH($A1235,customer_churn_dataset!$A$2:$A$1501,0))</f>
        <v>1331.28</v>
      </c>
      <c r="I1234" s="0" t="n">
        <f aca="false">INDEX(customer_churn_dataset!$O$2:$O$1501,MATCH($A1235,customer_churn_dataset!$A$2:$A$1501,0))</f>
        <v>0</v>
      </c>
      <c r="J1234" s="0" t="n">
        <f aca="false">INDEX(customer_churn_dataset!$T$2:$T$1501,MATCH($A1235,customer_churn_dataset!$A$2:$A$1501,0))</f>
        <v>2</v>
      </c>
      <c r="K1234" s="0" t="str">
        <f aca="false">INDEX(customer_churn_dataset!$V$2:$V$1501,MATCH($A1235,customer_churn_dataset!$A$2:$A$1501,0))</f>
        <v>Low Risk</v>
      </c>
    </row>
    <row r="1235" customFormat="false" ht="12.8" hidden="true" customHeight="false" outlineLevel="0" collapsed="false">
      <c r="A1235" s="22" t="str">
        <f aca="false">customer_churn_dataset!A803</f>
        <v>CUST101139</v>
      </c>
      <c r="B1235" s="22" t="str">
        <f aca="false">customer_churn_dataset!B803</f>
        <v>Standard</v>
      </c>
      <c r="C1235" s="22" t="str">
        <f aca="false">customer_churn_dataset!C803</f>
        <v>Month-to-month</v>
      </c>
      <c r="D1235" s="0" t="n">
        <f aca="false">INDEX(customer_churn_dataset!$E$2:$E$1501,MATCH($A1236,customer_churn_dataset!$A$2:$A$1501,0))</f>
        <v>72</v>
      </c>
      <c r="E1235" s="0" t="n">
        <f aca="false">INDEX(customer_churn_dataset!$I$2:$I$1501,MATCH($A1236,customer_churn_dataset!$A$2:$A$1501,0))</f>
        <v>61.7</v>
      </c>
      <c r="F1235" s="0" t="n">
        <f aca="false">INDEX(customer_churn_dataset!$L$2:$L$1501,MATCH($A1236,customer_churn_dataset!$A$2:$A$1501,0))</f>
        <v>0</v>
      </c>
      <c r="G1235" s="0" t="str">
        <f aca="false">IF(INDEX(customer_churn_dataset!$M$2:$M$1501,MATCH($A1236,customer_churn_dataset!$A$2:$A$1501,0))=1,"Yes","No")</f>
        <v>No</v>
      </c>
      <c r="H1235" s="0" t="n">
        <f aca="false">INDEX(customer_churn_dataset!$N$2:$N$1501,MATCH($A1236,customer_churn_dataset!$A$2:$A$1501,0))</f>
        <v>2789.28</v>
      </c>
      <c r="I1235" s="0" t="n">
        <f aca="false">INDEX(customer_churn_dataset!$O$2:$O$1501,MATCH($A1236,customer_churn_dataset!$A$2:$A$1501,0))</f>
        <v>1</v>
      </c>
      <c r="J1235" s="0" t="n">
        <f aca="false">INDEX(customer_churn_dataset!$T$2:$T$1501,MATCH($A1236,customer_churn_dataset!$A$2:$A$1501,0))</f>
        <v>2</v>
      </c>
      <c r="K1235" s="0" t="str">
        <f aca="false">INDEX(customer_churn_dataset!$V$2:$V$1501,MATCH($A1236,customer_churn_dataset!$A$2:$A$1501,0))</f>
        <v>Low Risk</v>
      </c>
    </row>
    <row r="1236" customFormat="false" ht="12.8" hidden="true" customHeight="false" outlineLevel="0" collapsed="false">
      <c r="A1236" s="22" t="str">
        <f aca="false">customer_churn_dataset!A832</f>
        <v>CUST101050</v>
      </c>
      <c r="B1236" s="22" t="str">
        <f aca="false">customer_churn_dataset!B832</f>
        <v>Premium</v>
      </c>
      <c r="C1236" s="22" t="str">
        <f aca="false">customer_churn_dataset!C832</f>
        <v>Month-to-month</v>
      </c>
      <c r="D1236" s="0" t="n">
        <f aca="false">INDEX(customer_churn_dataset!$E$2:$E$1501,MATCH($A1237,customer_churn_dataset!$A$2:$A$1501,0))</f>
        <v>11</v>
      </c>
      <c r="E1236" s="0" t="n">
        <f aca="false">INDEX(customer_churn_dataset!$I$2:$I$1501,MATCH($A1237,customer_churn_dataset!$A$2:$A$1501,0))</f>
        <v>57.4</v>
      </c>
      <c r="F1236" s="0" t="n">
        <f aca="false">INDEX(customer_churn_dataset!$L$2:$L$1501,MATCH($A1237,customer_churn_dataset!$A$2:$A$1501,0))</f>
        <v>2</v>
      </c>
      <c r="G1236" s="0" t="str">
        <f aca="false">IF(INDEX(customer_churn_dataset!$M$2:$M$1501,MATCH($A1237,customer_churn_dataset!$A$2:$A$1501,0))=1,"Yes","No")</f>
        <v>No</v>
      </c>
      <c r="H1236" s="0" t="n">
        <f aca="false">INDEX(customer_churn_dataset!$N$2:$N$1501,MATCH($A1237,customer_churn_dataset!$A$2:$A$1501,0))</f>
        <v>96.14</v>
      </c>
      <c r="I1236" s="0" t="n">
        <f aca="false">INDEX(customer_churn_dataset!$O$2:$O$1501,MATCH($A1237,customer_churn_dataset!$A$2:$A$1501,0))</f>
        <v>0</v>
      </c>
      <c r="J1236" s="0" t="n">
        <f aca="false">INDEX(customer_churn_dataset!$T$2:$T$1501,MATCH($A1237,customer_churn_dataset!$A$2:$A$1501,0))</f>
        <v>4</v>
      </c>
      <c r="K1236" s="0" t="str">
        <f aca="false">INDEX(customer_churn_dataset!$V$2:$V$1501,MATCH($A1237,customer_churn_dataset!$A$2:$A$1501,0))</f>
        <v>Medium Risk</v>
      </c>
    </row>
    <row r="1237" customFormat="false" ht="12.8" hidden="true" customHeight="false" outlineLevel="0" collapsed="false">
      <c r="A1237" s="22" t="str">
        <f aca="false">customer_churn_dataset!A841</f>
        <v>CUST101094</v>
      </c>
      <c r="B1237" s="22" t="str">
        <f aca="false">customer_churn_dataset!B841</f>
        <v>Basic</v>
      </c>
      <c r="C1237" s="22" t="str">
        <f aca="false">customer_churn_dataset!C841</f>
        <v>Month-to-month</v>
      </c>
      <c r="D1237" s="0" t="n">
        <f aca="false">INDEX(customer_churn_dataset!$E$2:$E$1501,MATCH($A1238,customer_churn_dataset!$A$2:$A$1501,0))</f>
        <v>1</v>
      </c>
      <c r="E1237" s="0" t="n">
        <f aca="false">INDEX(customer_churn_dataset!$I$2:$I$1501,MATCH($A1238,customer_churn_dataset!$A$2:$A$1501,0))</f>
        <v>64.2</v>
      </c>
      <c r="F1237" s="0" t="n">
        <f aca="false">INDEX(customer_churn_dataset!$L$2:$L$1501,MATCH($A1238,customer_churn_dataset!$A$2:$A$1501,0))</f>
        <v>3</v>
      </c>
      <c r="G1237" s="0" t="str">
        <f aca="false">IF(INDEX(customer_churn_dataset!$M$2:$M$1501,MATCH($A1238,customer_churn_dataset!$A$2:$A$1501,0))=1,"Yes","No")</f>
        <v>No</v>
      </c>
      <c r="H1237" s="0" t="n">
        <f aca="false">INDEX(customer_churn_dataset!$N$2:$N$1501,MATCH($A1238,customer_churn_dataset!$A$2:$A$1501,0))</f>
        <v>9.76</v>
      </c>
      <c r="I1237" s="0" t="n">
        <f aca="false">INDEX(customer_churn_dataset!$O$2:$O$1501,MATCH($A1238,customer_churn_dataset!$A$2:$A$1501,0))</f>
        <v>0</v>
      </c>
      <c r="J1237" s="0" t="n">
        <f aca="false">INDEX(customer_churn_dataset!$T$2:$T$1501,MATCH($A1238,customer_churn_dataset!$A$2:$A$1501,0))</f>
        <v>3</v>
      </c>
      <c r="K1237" s="0" t="str">
        <f aca="false">INDEX(customer_churn_dataset!$V$2:$V$1501,MATCH($A1238,customer_churn_dataset!$A$2:$A$1501,0))</f>
        <v>Medium Risk</v>
      </c>
    </row>
    <row r="1238" customFormat="false" ht="12.8" hidden="true" customHeight="false" outlineLevel="0" collapsed="false">
      <c r="A1238" s="22" t="str">
        <f aca="false">customer_churn_dataset!A846</f>
        <v>CUST101287</v>
      </c>
      <c r="B1238" s="22" t="str">
        <f aca="false">customer_churn_dataset!B846</f>
        <v>Basic</v>
      </c>
      <c r="C1238" s="22" t="str">
        <f aca="false">customer_churn_dataset!C846</f>
        <v>One year</v>
      </c>
      <c r="D1238" s="0" t="n">
        <f aca="false">INDEX(customer_churn_dataset!$E$2:$E$1501,MATCH($A1239,customer_churn_dataset!$A$2:$A$1501,0))</f>
        <v>14</v>
      </c>
      <c r="E1238" s="0" t="n">
        <f aca="false">INDEX(customer_churn_dataset!$I$2:$I$1501,MATCH($A1239,customer_churn_dataset!$A$2:$A$1501,0))</f>
        <v>60.9</v>
      </c>
      <c r="F1238" s="0" t="n">
        <f aca="false">INDEX(customer_churn_dataset!$L$2:$L$1501,MATCH($A1239,customer_churn_dataset!$A$2:$A$1501,0))</f>
        <v>0</v>
      </c>
      <c r="G1238" s="0" t="str">
        <f aca="false">IF(INDEX(customer_churn_dataset!$M$2:$M$1501,MATCH($A1239,customer_churn_dataset!$A$2:$A$1501,0))=1,"Yes","No")</f>
        <v>No</v>
      </c>
      <c r="H1238" s="0" t="n">
        <f aca="false">INDEX(customer_churn_dataset!$N$2:$N$1501,MATCH($A1239,customer_churn_dataset!$A$2:$A$1501,0))</f>
        <v>299.18</v>
      </c>
      <c r="I1238" s="0" t="n">
        <f aca="false">INDEX(customer_churn_dataset!$O$2:$O$1501,MATCH($A1239,customer_churn_dataset!$A$2:$A$1501,0))</f>
        <v>0</v>
      </c>
      <c r="J1238" s="0" t="n">
        <f aca="false">INDEX(customer_churn_dataset!$T$2:$T$1501,MATCH($A1239,customer_churn_dataset!$A$2:$A$1501,0))</f>
        <v>2</v>
      </c>
      <c r="K1238" s="0" t="str">
        <f aca="false">INDEX(customer_churn_dataset!$V$2:$V$1501,MATCH($A1239,customer_churn_dataset!$A$2:$A$1501,0))</f>
        <v>Low Risk</v>
      </c>
    </row>
    <row r="1239" customFormat="false" ht="12.8" hidden="true" customHeight="false" outlineLevel="0" collapsed="false">
      <c r="A1239" s="22" t="str">
        <f aca="false">customer_churn_dataset!A851</f>
        <v>CUST101281</v>
      </c>
      <c r="B1239" s="22" t="str">
        <f aca="false">customer_churn_dataset!B851</f>
        <v>Standard</v>
      </c>
      <c r="C1239" s="22" t="str">
        <f aca="false">customer_churn_dataset!C851</f>
        <v>Month-to-month</v>
      </c>
      <c r="D1239" s="0" t="n">
        <f aca="false">INDEX(customer_churn_dataset!$E$2:$E$1501,MATCH($A1240,customer_churn_dataset!$A$2:$A$1501,0))</f>
        <v>7</v>
      </c>
      <c r="E1239" s="0" t="n">
        <f aca="false">INDEX(customer_churn_dataset!$I$2:$I$1501,MATCH($A1240,customer_churn_dataset!$A$2:$A$1501,0))</f>
        <v>63</v>
      </c>
      <c r="F1239" s="0" t="n">
        <f aca="false">INDEX(customer_churn_dataset!$L$2:$L$1501,MATCH($A1240,customer_churn_dataset!$A$2:$A$1501,0))</f>
        <v>1</v>
      </c>
      <c r="G1239" s="0" t="str">
        <f aca="false">IF(INDEX(customer_churn_dataset!$M$2:$M$1501,MATCH($A1240,customer_churn_dataset!$A$2:$A$1501,0))=1,"Yes","No")</f>
        <v>Yes</v>
      </c>
      <c r="H1239" s="0" t="n">
        <f aca="false">INDEX(customer_churn_dataset!$N$2:$N$1501,MATCH($A1240,customer_churn_dataset!$A$2:$A$1501,0))</f>
        <v>134.61</v>
      </c>
      <c r="I1239" s="0" t="n">
        <f aca="false">INDEX(customer_churn_dataset!$O$2:$O$1501,MATCH($A1240,customer_churn_dataset!$A$2:$A$1501,0))</f>
        <v>0</v>
      </c>
      <c r="J1239" s="0" t="n">
        <f aca="false">INDEX(customer_churn_dataset!$T$2:$T$1501,MATCH($A1240,customer_churn_dataset!$A$2:$A$1501,0))</f>
        <v>6</v>
      </c>
      <c r="K1239" s="0" t="str">
        <f aca="false">INDEX(customer_churn_dataset!$V$2:$V$1501,MATCH($A1240,customer_churn_dataset!$A$2:$A$1501,0))</f>
        <v>High Risk</v>
      </c>
    </row>
    <row r="1240" customFormat="false" ht="12.8" hidden="true" customHeight="false" outlineLevel="0" collapsed="false">
      <c r="A1240" s="22" t="str">
        <f aca="false">customer_churn_dataset!A852</f>
        <v>CUST100851</v>
      </c>
      <c r="B1240" s="22" t="str">
        <f aca="false">customer_churn_dataset!B852</f>
        <v>Standard</v>
      </c>
      <c r="C1240" s="22" t="str">
        <f aca="false">customer_churn_dataset!C852</f>
        <v>Month-to-month</v>
      </c>
      <c r="D1240" s="0" t="n">
        <f aca="false">INDEX(customer_churn_dataset!$E$2:$E$1501,MATCH($A1241,customer_churn_dataset!$A$2:$A$1501,0))</f>
        <v>1</v>
      </c>
      <c r="E1240" s="0" t="n">
        <f aca="false">INDEX(customer_churn_dataset!$I$2:$I$1501,MATCH($A1241,customer_churn_dataset!$A$2:$A$1501,0))</f>
        <v>49.8</v>
      </c>
      <c r="F1240" s="0" t="n">
        <f aca="false">INDEX(customer_churn_dataset!$L$2:$L$1501,MATCH($A1241,customer_churn_dataset!$A$2:$A$1501,0))</f>
        <v>0</v>
      </c>
      <c r="G1240" s="0" t="str">
        <f aca="false">IF(INDEX(customer_churn_dataset!$M$2:$M$1501,MATCH($A1241,customer_churn_dataset!$A$2:$A$1501,0))=1,"Yes","No")</f>
        <v>No</v>
      </c>
      <c r="H1240" s="0" t="n">
        <f aca="false">INDEX(customer_churn_dataset!$N$2:$N$1501,MATCH($A1241,customer_churn_dataset!$A$2:$A$1501,0))</f>
        <v>10.29</v>
      </c>
      <c r="I1240" s="0" t="n">
        <f aca="false">INDEX(customer_churn_dataset!$O$2:$O$1501,MATCH($A1241,customer_churn_dataset!$A$2:$A$1501,0))</f>
        <v>0</v>
      </c>
      <c r="J1240" s="0" t="n">
        <f aca="false">INDEX(customer_churn_dataset!$T$2:$T$1501,MATCH($A1241,customer_churn_dataset!$A$2:$A$1501,0))</f>
        <v>3</v>
      </c>
      <c r="K1240" s="0" t="str">
        <f aca="false">INDEX(customer_churn_dataset!$V$2:$V$1501,MATCH($A1241,customer_churn_dataset!$A$2:$A$1501,0))</f>
        <v>Medium Risk</v>
      </c>
    </row>
    <row r="1241" customFormat="false" ht="12.8" hidden="true" customHeight="false" outlineLevel="0" collapsed="false">
      <c r="A1241" s="22" t="str">
        <f aca="false">customer_churn_dataset!A859</f>
        <v>CUST100387</v>
      </c>
      <c r="B1241" s="22" t="str">
        <f aca="false">customer_churn_dataset!B859</f>
        <v>Basic</v>
      </c>
      <c r="C1241" s="22" t="str">
        <f aca="false">customer_churn_dataset!C859</f>
        <v>One year</v>
      </c>
      <c r="D1241" s="0" t="n">
        <f aca="false">INDEX(customer_churn_dataset!$E$2:$E$1501,MATCH($A1242,customer_churn_dataset!$A$2:$A$1501,0))</f>
        <v>16</v>
      </c>
      <c r="E1241" s="0" t="n">
        <f aca="false">INDEX(customer_churn_dataset!$I$2:$I$1501,MATCH($A1242,customer_churn_dataset!$A$2:$A$1501,0))</f>
        <v>62.7</v>
      </c>
      <c r="F1241" s="0" t="n">
        <f aca="false">INDEX(customer_churn_dataset!$L$2:$L$1501,MATCH($A1242,customer_churn_dataset!$A$2:$A$1501,0))</f>
        <v>2</v>
      </c>
      <c r="G1241" s="0" t="str">
        <f aca="false">IF(INDEX(customer_churn_dataset!$M$2:$M$1501,MATCH($A1242,customer_churn_dataset!$A$2:$A$1501,0))=1,"Yes","No")</f>
        <v>Yes</v>
      </c>
      <c r="H1241" s="0" t="n">
        <f aca="false">INDEX(customer_churn_dataset!$N$2:$N$1501,MATCH($A1242,customer_churn_dataset!$A$2:$A$1501,0))</f>
        <v>163.2</v>
      </c>
      <c r="I1241" s="0" t="n">
        <f aca="false">INDEX(customer_churn_dataset!$O$2:$O$1501,MATCH($A1242,customer_churn_dataset!$A$2:$A$1501,0))</f>
        <v>0</v>
      </c>
      <c r="J1241" s="0" t="n">
        <f aca="false">INDEX(customer_churn_dataset!$T$2:$T$1501,MATCH($A1242,customer_churn_dataset!$A$2:$A$1501,0))</f>
        <v>5</v>
      </c>
      <c r="K1241" s="0" t="str">
        <f aca="false">INDEX(customer_churn_dataset!$V$2:$V$1501,MATCH($A1242,customer_churn_dataset!$A$2:$A$1501,0))</f>
        <v>Medium Risk</v>
      </c>
    </row>
    <row r="1242" customFormat="false" ht="12.8" hidden="true" customHeight="false" outlineLevel="0" collapsed="false">
      <c r="A1242" s="22" t="str">
        <f aca="false">customer_churn_dataset!A890</f>
        <v>CUST100634</v>
      </c>
      <c r="B1242" s="22" t="str">
        <f aca="false">customer_churn_dataset!B890</f>
        <v>Basic</v>
      </c>
      <c r="C1242" s="22" t="str">
        <f aca="false">customer_churn_dataset!C890</f>
        <v>One year</v>
      </c>
      <c r="D1242" s="0" t="n">
        <f aca="false">INDEX(customer_churn_dataset!$E$2:$E$1501,MATCH($A1243,customer_churn_dataset!$A$2:$A$1501,0))</f>
        <v>4</v>
      </c>
      <c r="E1242" s="0" t="n">
        <f aca="false">INDEX(customer_churn_dataset!$I$2:$I$1501,MATCH($A1243,customer_churn_dataset!$A$2:$A$1501,0))</f>
        <v>53.3</v>
      </c>
      <c r="F1242" s="0" t="n">
        <f aca="false">INDEX(customer_churn_dataset!$L$2:$L$1501,MATCH($A1243,customer_churn_dataset!$A$2:$A$1501,0))</f>
        <v>1</v>
      </c>
      <c r="G1242" s="0" t="str">
        <f aca="false">IF(INDEX(customer_churn_dataset!$M$2:$M$1501,MATCH($A1243,customer_churn_dataset!$A$2:$A$1501,0))=1,"Yes","No")</f>
        <v>No</v>
      </c>
      <c r="H1242" s="0" t="n">
        <f aca="false">INDEX(customer_churn_dataset!$N$2:$N$1501,MATCH($A1243,customer_churn_dataset!$A$2:$A$1501,0))</f>
        <v>78.2</v>
      </c>
      <c r="I1242" s="0" t="n">
        <f aca="false">INDEX(customer_churn_dataset!$O$2:$O$1501,MATCH($A1243,customer_churn_dataset!$A$2:$A$1501,0))</f>
        <v>0</v>
      </c>
      <c r="J1242" s="0" t="n">
        <f aca="false">INDEX(customer_churn_dataset!$T$2:$T$1501,MATCH($A1243,customer_churn_dataset!$A$2:$A$1501,0))</f>
        <v>3</v>
      </c>
      <c r="K1242" s="0" t="str">
        <f aca="false">INDEX(customer_churn_dataset!$V$2:$V$1501,MATCH($A1243,customer_churn_dataset!$A$2:$A$1501,0))</f>
        <v>Medium Risk</v>
      </c>
    </row>
    <row r="1243" customFormat="false" ht="12.8" hidden="true" customHeight="false" outlineLevel="0" collapsed="false">
      <c r="A1243" s="22" t="str">
        <f aca="false">customer_churn_dataset!A973</f>
        <v>CUST101056</v>
      </c>
      <c r="B1243" s="22" t="str">
        <f aca="false">customer_churn_dataset!B973</f>
        <v>Standard</v>
      </c>
      <c r="C1243" s="22" t="str">
        <f aca="false">customer_churn_dataset!C973</f>
        <v>One year</v>
      </c>
      <c r="D1243" s="0" t="n">
        <f aca="false">INDEX(customer_churn_dataset!$E$2:$E$1501,MATCH($A1244,customer_churn_dataset!$A$2:$A$1501,0))</f>
        <v>61</v>
      </c>
      <c r="E1243" s="0" t="n">
        <f aca="false">INDEX(customer_churn_dataset!$I$2:$I$1501,MATCH($A1244,customer_churn_dataset!$A$2:$A$1501,0))</f>
        <v>47.6</v>
      </c>
      <c r="F1243" s="0" t="n">
        <f aca="false">INDEX(customer_churn_dataset!$L$2:$L$1501,MATCH($A1244,customer_churn_dataset!$A$2:$A$1501,0))</f>
        <v>3</v>
      </c>
      <c r="G1243" s="0" t="str">
        <f aca="false">IF(INDEX(customer_churn_dataset!$M$2:$M$1501,MATCH($A1244,customer_churn_dataset!$A$2:$A$1501,0))=1,"Yes","No")</f>
        <v>Yes</v>
      </c>
      <c r="H1243" s="0" t="n">
        <f aca="false">INDEX(customer_churn_dataset!$N$2:$N$1501,MATCH($A1244,customer_churn_dataset!$A$2:$A$1501,0))</f>
        <v>1324.92</v>
      </c>
      <c r="I1243" s="0" t="n">
        <f aca="false">INDEX(customer_churn_dataset!$O$2:$O$1501,MATCH($A1244,customer_churn_dataset!$A$2:$A$1501,0))</f>
        <v>0</v>
      </c>
      <c r="J1243" s="0" t="n">
        <f aca="false">INDEX(customer_churn_dataset!$T$2:$T$1501,MATCH($A1244,customer_churn_dataset!$A$2:$A$1501,0))</f>
        <v>7</v>
      </c>
      <c r="K1243" s="0" t="str">
        <f aca="false">INDEX(customer_churn_dataset!$V$2:$V$1501,MATCH($A1244,customer_churn_dataset!$A$2:$A$1501,0))</f>
        <v>High Risk</v>
      </c>
    </row>
    <row r="1244" customFormat="false" ht="12.8" hidden="true" customHeight="false" outlineLevel="0" collapsed="false">
      <c r="A1244" s="22" t="str">
        <f aca="false">customer_churn_dataset!A974</f>
        <v>CUST100322</v>
      </c>
      <c r="B1244" s="22" t="str">
        <f aca="false">customer_churn_dataset!B974</f>
        <v>Standard</v>
      </c>
      <c r="C1244" s="22" t="str">
        <f aca="false">customer_churn_dataset!C974</f>
        <v>Month-to-month</v>
      </c>
      <c r="D1244" s="0" t="n">
        <f aca="false">INDEX(customer_churn_dataset!$E$2:$E$1501,MATCH($A1245,customer_churn_dataset!$A$2:$A$1501,0))</f>
        <v>72</v>
      </c>
      <c r="E1244" s="0" t="n">
        <f aca="false">INDEX(customer_churn_dataset!$I$2:$I$1501,MATCH($A1245,customer_churn_dataset!$A$2:$A$1501,0))</f>
        <v>64.5</v>
      </c>
      <c r="F1244" s="0" t="n">
        <f aca="false">INDEX(customer_churn_dataset!$L$2:$L$1501,MATCH($A1245,customer_churn_dataset!$A$2:$A$1501,0))</f>
        <v>0</v>
      </c>
      <c r="G1244" s="0" t="str">
        <f aca="false">IF(INDEX(customer_churn_dataset!$M$2:$M$1501,MATCH($A1245,customer_churn_dataset!$A$2:$A$1501,0))=1,"Yes","No")</f>
        <v>No</v>
      </c>
      <c r="H1244" s="0" t="n">
        <f aca="false">INDEX(customer_churn_dataset!$N$2:$N$1501,MATCH($A1245,customer_churn_dataset!$A$2:$A$1501,0))</f>
        <v>837.36</v>
      </c>
      <c r="I1244" s="0" t="n">
        <f aca="false">INDEX(customer_churn_dataset!$O$2:$O$1501,MATCH($A1245,customer_churn_dataset!$A$2:$A$1501,0))</f>
        <v>0</v>
      </c>
      <c r="J1244" s="0" t="n">
        <f aca="false">INDEX(customer_churn_dataset!$T$2:$T$1501,MATCH($A1245,customer_churn_dataset!$A$2:$A$1501,0))</f>
        <v>0</v>
      </c>
      <c r="K1244" s="0" t="str">
        <f aca="false">INDEX(customer_churn_dataset!$V$2:$V$1501,MATCH($A1245,customer_churn_dataset!$A$2:$A$1501,0))</f>
        <v>Low Risk</v>
      </c>
    </row>
    <row r="1245" customFormat="false" ht="12.8" hidden="true" customHeight="false" outlineLevel="0" collapsed="false">
      <c r="A1245" s="22" t="str">
        <f aca="false">customer_churn_dataset!A990</f>
        <v>CUST100945</v>
      </c>
      <c r="B1245" s="22" t="str">
        <f aca="false">customer_churn_dataset!B990</f>
        <v>Basic</v>
      </c>
      <c r="C1245" s="22" t="str">
        <f aca="false">customer_churn_dataset!C990</f>
        <v>Two year</v>
      </c>
      <c r="D1245" s="0" t="n">
        <f aca="false">INDEX(customer_churn_dataset!$E$2:$E$1501,MATCH($A1246,customer_churn_dataset!$A$2:$A$1501,0))</f>
        <v>46</v>
      </c>
      <c r="E1245" s="0" t="n">
        <f aca="false">INDEX(customer_churn_dataset!$I$2:$I$1501,MATCH($A1246,customer_churn_dataset!$A$2:$A$1501,0))</f>
        <v>42.6</v>
      </c>
      <c r="F1245" s="0" t="n">
        <f aca="false">INDEX(customer_churn_dataset!$L$2:$L$1501,MATCH($A1246,customer_churn_dataset!$A$2:$A$1501,0))</f>
        <v>1</v>
      </c>
      <c r="G1245" s="0" t="str">
        <f aca="false">IF(INDEX(customer_churn_dataset!$M$2:$M$1501,MATCH($A1246,customer_churn_dataset!$A$2:$A$1501,0))=1,"Yes","No")</f>
        <v>Yes</v>
      </c>
      <c r="H1245" s="0" t="n">
        <f aca="false">INDEX(customer_churn_dataset!$N$2:$N$1501,MATCH($A1246,customer_churn_dataset!$A$2:$A$1501,0))</f>
        <v>881.36</v>
      </c>
      <c r="I1245" s="0" t="n">
        <f aca="false">INDEX(customer_churn_dataset!$O$2:$O$1501,MATCH($A1246,customer_churn_dataset!$A$2:$A$1501,0))</f>
        <v>0</v>
      </c>
      <c r="J1245" s="0" t="n">
        <f aca="false">INDEX(customer_churn_dataset!$T$2:$T$1501,MATCH($A1246,customer_churn_dataset!$A$2:$A$1501,0))</f>
        <v>5</v>
      </c>
      <c r="K1245" s="0" t="str">
        <f aca="false">INDEX(customer_churn_dataset!$V$2:$V$1501,MATCH($A1246,customer_churn_dataset!$A$2:$A$1501,0))</f>
        <v>Medium Risk</v>
      </c>
    </row>
    <row r="1246" customFormat="false" ht="12.8" hidden="true" customHeight="false" outlineLevel="0" collapsed="false">
      <c r="A1246" s="22" t="str">
        <f aca="false">customer_churn_dataset!A1023</f>
        <v>CUST100393</v>
      </c>
      <c r="B1246" s="22" t="str">
        <f aca="false">customer_churn_dataset!B1023</f>
        <v>Standard</v>
      </c>
      <c r="C1246" s="22" t="str">
        <f aca="false">customer_churn_dataset!C1023</f>
        <v>One year</v>
      </c>
      <c r="D1246" s="0" t="n">
        <f aca="false">INDEX(customer_churn_dataset!$E$2:$E$1501,MATCH($A1247,customer_churn_dataset!$A$2:$A$1501,0))</f>
        <v>2</v>
      </c>
      <c r="E1246" s="0" t="n">
        <f aca="false">INDEX(customer_churn_dataset!$I$2:$I$1501,MATCH($A1247,customer_churn_dataset!$A$2:$A$1501,0))</f>
        <v>78.6</v>
      </c>
      <c r="F1246" s="0" t="n">
        <f aca="false">INDEX(customer_churn_dataset!$L$2:$L$1501,MATCH($A1247,customer_churn_dataset!$A$2:$A$1501,0))</f>
        <v>0</v>
      </c>
      <c r="G1246" s="0" t="str">
        <f aca="false">IF(INDEX(customer_churn_dataset!$M$2:$M$1501,MATCH($A1247,customer_churn_dataset!$A$2:$A$1501,0))=1,"Yes","No")</f>
        <v>No</v>
      </c>
      <c r="H1246" s="0" t="n">
        <f aca="false">INDEX(customer_churn_dataset!$N$2:$N$1501,MATCH($A1247,customer_churn_dataset!$A$2:$A$1501,0))</f>
        <v>40.98</v>
      </c>
      <c r="I1246" s="0" t="n">
        <f aca="false">INDEX(customer_churn_dataset!$O$2:$O$1501,MATCH($A1247,customer_churn_dataset!$A$2:$A$1501,0))</f>
        <v>0</v>
      </c>
      <c r="J1246" s="0" t="n">
        <f aca="false">INDEX(customer_churn_dataset!$T$2:$T$1501,MATCH($A1247,customer_churn_dataset!$A$2:$A$1501,0))</f>
        <v>3</v>
      </c>
      <c r="K1246" s="0" t="str">
        <f aca="false">INDEX(customer_churn_dataset!$V$2:$V$1501,MATCH($A1247,customer_churn_dataset!$A$2:$A$1501,0))</f>
        <v>Medium Risk</v>
      </c>
    </row>
    <row r="1247" customFormat="false" ht="12.8" hidden="true" customHeight="false" outlineLevel="0" collapsed="false">
      <c r="A1247" s="22" t="str">
        <f aca="false">customer_churn_dataset!A1027</f>
        <v>CUST101153</v>
      </c>
      <c r="B1247" s="22" t="str">
        <f aca="false">customer_churn_dataset!B1027</f>
        <v>Standard</v>
      </c>
      <c r="C1247" s="22" t="str">
        <f aca="false">customer_churn_dataset!C1027</f>
        <v>Month-to-month</v>
      </c>
      <c r="D1247" s="0" t="n">
        <f aca="false">INDEX(customer_churn_dataset!$E$2:$E$1501,MATCH($A1248,customer_churn_dataset!$A$2:$A$1501,0))</f>
        <v>28</v>
      </c>
      <c r="E1247" s="0" t="n">
        <f aca="false">INDEX(customer_churn_dataset!$I$2:$I$1501,MATCH($A1248,customer_churn_dataset!$A$2:$A$1501,0))</f>
        <v>60.9</v>
      </c>
      <c r="F1247" s="0" t="n">
        <f aca="false">INDEX(customer_churn_dataset!$L$2:$L$1501,MATCH($A1248,customer_churn_dataset!$A$2:$A$1501,0))</f>
        <v>0</v>
      </c>
      <c r="G1247" s="0" t="str">
        <f aca="false">IF(INDEX(customer_churn_dataset!$M$2:$M$1501,MATCH($A1248,customer_churn_dataset!$A$2:$A$1501,0))=1,"Yes","No")</f>
        <v>No</v>
      </c>
      <c r="H1247" s="0" t="n">
        <f aca="false">INDEX(customer_churn_dataset!$N$2:$N$1501,MATCH($A1248,customer_churn_dataset!$A$2:$A$1501,0))</f>
        <v>239.12</v>
      </c>
      <c r="I1247" s="0" t="n">
        <f aca="false">INDEX(customer_churn_dataset!$O$2:$O$1501,MATCH($A1248,customer_churn_dataset!$A$2:$A$1501,0))</f>
        <v>0</v>
      </c>
      <c r="J1247" s="0" t="n">
        <f aca="false">INDEX(customer_churn_dataset!$T$2:$T$1501,MATCH($A1248,customer_churn_dataset!$A$2:$A$1501,0))</f>
        <v>1</v>
      </c>
      <c r="K1247" s="0" t="str">
        <f aca="false">INDEX(customer_churn_dataset!$V$2:$V$1501,MATCH($A1248,customer_churn_dataset!$A$2:$A$1501,0))</f>
        <v>Low Risk</v>
      </c>
    </row>
    <row r="1248" customFormat="false" ht="12.8" hidden="true" customHeight="false" outlineLevel="0" collapsed="false">
      <c r="A1248" s="22" t="str">
        <f aca="false">customer_churn_dataset!A1068</f>
        <v>CUST101235</v>
      </c>
      <c r="B1248" s="22" t="str">
        <f aca="false">customer_churn_dataset!B1068</f>
        <v>Basic</v>
      </c>
      <c r="C1248" s="22" t="str">
        <f aca="false">customer_churn_dataset!C1068</f>
        <v>One year</v>
      </c>
      <c r="D1248" s="0" t="n">
        <f aca="false">INDEX(customer_churn_dataset!$E$2:$E$1501,MATCH($A1249,customer_churn_dataset!$A$2:$A$1501,0))</f>
        <v>16</v>
      </c>
      <c r="E1248" s="0" t="n">
        <f aca="false">INDEX(customer_churn_dataset!$I$2:$I$1501,MATCH($A1249,customer_churn_dataset!$A$2:$A$1501,0))</f>
        <v>38.8</v>
      </c>
      <c r="F1248" s="0" t="n">
        <f aca="false">INDEX(customer_churn_dataset!$L$2:$L$1501,MATCH($A1249,customer_churn_dataset!$A$2:$A$1501,0))</f>
        <v>3</v>
      </c>
      <c r="G1248" s="0" t="str">
        <f aca="false">IF(INDEX(customer_churn_dataset!$M$2:$M$1501,MATCH($A1249,customer_churn_dataset!$A$2:$A$1501,0))=1,"Yes","No")</f>
        <v>No</v>
      </c>
      <c r="H1248" s="0" t="n">
        <f aca="false">INDEX(customer_churn_dataset!$N$2:$N$1501,MATCH($A1249,customer_churn_dataset!$A$2:$A$1501,0))</f>
        <v>158.08</v>
      </c>
      <c r="I1248" s="0" t="n">
        <f aca="false">INDEX(customer_churn_dataset!$O$2:$O$1501,MATCH($A1249,customer_churn_dataset!$A$2:$A$1501,0))</f>
        <v>0</v>
      </c>
      <c r="J1248" s="0" t="n">
        <f aca="false">INDEX(customer_churn_dataset!$T$2:$T$1501,MATCH($A1249,customer_churn_dataset!$A$2:$A$1501,0))</f>
        <v>4</v>
      </c>
      <c r="K1248" s="0" t="str">
        <f aca="false">INDEX(customer_churn_dataset!$V$2:$V$1501,MATCH($A1249,customer_churn_dataset!$A$2:$A$1501,0))</f>
        <v>Medium Risk</v>
      </c>
    </row>
    <row r="1249" customFormat="false" ht="12.8" hidden="true" customHeight="false" outlineLevel="0" collapsed="false">
      <c r="A1249" s="22" t="str">
        <f aca="false">customer_churn_dataset!A1142</f>
        <v>CUST100106</v>
      </c>
      <c r="B1249" s="22" t="str">
        <f aca="false">customer_churn_dataset!B1142</f>
        <v>Basic</v>
      </c>
      <c r="C1249" s="22" t="str">
        <f aca="false">customer_churn_dataset!C1142</f>
        <v>One year</v>
      </c>
      <c r="D1249" s="0" t="n">
        <f aca="false">INDEX(customer_churn_dataset!$E$2:$E$1501,MATCH($A1250,customer_churn_dataset!$A$2:$A$1501,0))</f>
        <v>21</v>
      </c>
      <c r="E1249" s="0" t="n">
        <f aca="false">INDEX(customer_churn_dataset!$I$2:$I$1501,MATCH($A1250,customer_churn_dataset!$A$2:$A$1501,0))</f>
        <v>43.8</v>
      </c>
      <c r="F1249" s="0" t="n">
        <f aca="false">INDEX(customer_churn_dataset!$L$2:$L$1501,MATCH($A1250,customer_churn_dataset!$A$2:$A$1501,0))</f>
        <v>0</v>
      </c>
      <c r="G1249" s="0" t="str">
        <f aca="false">IF(INDEX(customer_churn_dataset!$M$2:$M$1501,MATCH($A1250,customer_churn_dataset!$A$2:$A$1501,0))=1,"Yes","No")</f>
        <v>No</v>
      </c>
      <c r="H1249" s="0" t="n">
        <f aca="false">INDEX(customer_churn_dataset!$N$2:$N$1501,MATCH($A1250,customer_churn_dataset!$A$2:$A$1501,0))</f>
        <v>392.7</v>
      </c>
      <c r="I1249" s="0" t="n">
        <f aca="false">INDEX(customer_churn_dataset!$O$2:$O$1501,MATCH($A1250,customer_churn_dataset!$A$2:$A$1501,0))</f>
        <v>0</v>
      </c>
      <c r="J1249" s="0" t="n">
        <f aca="false">INDEX(customer_churn_dataset!$T$2:$T$1501,MATCH($A1250,customer_churn_dataset!$A$2:$A$1501,0))</f>
        <v>1</v>
      </c>
      <c r="K1249" s="0" t="str">
        <f aca="false">INDEX(customer_churn_dataset!$V$2:$V$1501,MATCH($A1250,customer_churn_dataset!$A$2:$A$1501,0))</f>
        <v>Low Risk</v>
      </c>
    </row>
    <row r="1250" customFormat="false" ht="12.8" hidden="true" customHeight="false" outlineLevel="0" collapsed="false">
      <c r="A1250" s="22" t="str">
        <f aca="false">customer_churn_dataset!A1158</f>
        <v>CUST101282</v>
      </c>
      <c r="B1250" s="22" t="str">
        <f aca="false">customer_churn_dataset!B1158</f>
        <v>Standard</v>
      </c>
      <c r="C1250" s="22" t="str">
        <f aca="false">customer_churn_dataset!C1158</f>
        <v>Two year</v>
      </c>
      <c r="D1250" s="0" t="n">
        <f aca="false">INDEX(customer_churn_dataset!$E$2:$E$1501,MATCH($A1251,customer_churn_dataset!$A$2:$A$1501,0))</f>
        <v>0</v>
      </c>
      <c r="E1250" s="0" t="n">
        <f aca="false">INDEX(customer_churn_dataset!$I$2:$I$1501,MATCH($A1251,customer_churn_dataset!$A$2:$A$1501,0))</f>
        <v>82.4</v>
      </c>
      <c r="F1250" s="0" t="n">
        <f aca="false">INDEX(customer_churn_dataset!$L$2:$L$1501,MATCH($A1251,customer_churn_dataset!$A$2:$A$1501,0))</f>
        <v>1</v>
      </c>
      <c r="G1250" s="0" t="str">
        <f aca="false">IF(INDEX(customer_churn_dataset!$M$2:$M$1501,MATCH($A1251,customer_churn_dataset!$A$2:$A$1501,0))=1,"Yes","No")</f>
        <v>No</v>
      </c>
      <c r="H1250" s="0" t="n">
        <f aca="false">INDEX(customer_churn_dataset!$N$2:$N$1501,MATCH($A1251,customer_churn_dataset!$A$2:$A$1501,0))</f>
        <v>0</v>
      </c>
      <c r="I1250" s="0" t="n">
        <f aca="false">INDEX(customer_churn_dataset!$O$2:$O$1501,MATCH($A1251,customer_churn_dataset!$A$2:$A$1501,0))</f>
        <v>0</v>
      </c>
      <c r="J1250" s="0" t="n">
        <f aca="false">INDEX(customer_churn_dataset!$T$2:$T$1501,MATCH($A1251,customer_churn_dataset!$A$2:$A$1501,0))</f>
        <v>2</v>
      </c>
      <c r="K1250" s="0" t="str">
        <f aca="false">INDEX(customer_churn_dataset!$V$2:$V$1501,MATCH($A1251,customer_churn_dataset!$A$2:$A$1501,0))</f>
        <v>Low Risk</v>
      </c>
    </row>
    <row r="1251" customFormat="false" ht="12.8" hidden="true" customHeight="false" outlineLevel="0" collapsed="false">
      <c r="A1251" s="22" t="str">
        <f aca="false">customer_churn_dataset!A1179</f>
        <v>CUST101081</v>
      </c>
      <c r="B1251" s="22" t="str">
        <f aca="false">customer_churn_dataset!B1179</f>
        <v>Basic</v>
      </c>
      <c r="C1251" s="22" t="str">
        <f aca="false">customer_churn_dataset!C1179</f>
        <v>One year</v>
      </c>
      <c r="D1251" s="0" t="n">
        <f aca="false">INDEX(customer_churn_dataset!$E$2:$E$1501,MATCH($A1252,customer_churn_dataset!$A$2:$A$1501,0))</f>
        <v>10</v>
      </c>
      <c r="E1251" s="0" t="n">
        <f aca="false">INDEX(customer_churn_dataset!$I$2:$I$1501,MATCH($A1252,customer_churn_dataset!$A$2:$A$1501,0))</f>
        <v>90.7</v>
      </c>
      <c r="F1251" s="0" t="n">
        <f aca="false">INDEX(customer_churn_dataset!$L$2:$L$1501,MATCH($A1252,customer_churn_dataset!$A$2:$A$1501,0))</f>
        <v>1</v>
      </c>
      <c r="G1251" s="0" t="str">
        <f aca="false">IF(INDEX(customer_churn_dataset!$M$2:$M$1501,MATCH($A1252,customer_churn_dataset!$A$2:$A$1501,0))=1,"Yes","No")</f>
        <v>No</v>
      </c>
      <c r="H1251" s="0" t="n">
        <f aca="false">INDEX(customer_churn_dataset!$N$2:$N$1501,MATCH($A1252,customer_churn_dataset!$A$2:$A$1501,0))</f>
        <v>397.3</v>
      </c>
      <c r="I1251" s="0" t="n">
        <f aca="false">INDEX(customer_churn_dataset!$O$2:$O$1501,MATCH($A1252,customer_churn_dataset!$A$2:$A$1501,0))</f>
        <v>0</v>
      </c>
      <c r="J1251" s="0" t="n">
        <f aca="false">INDEX(customer_churn_dataset!$T$2:$T$1501,MATCH($A1252,customer_churn_dataset!$A$2:$A$1501,0))</f>
        <v>2</v>
      </c>
      <c r="K1251" s="0" t="str">
        <f aca="false">INDEX(customer_churn_dataset!$V$2:$V$1501,MATCH($A1252,customer_churn_dataset!$A$2:$A$1501,0))</f>
        <v>Low Risk</v>
      </c>
    </row>
    <row r="1252" customFormat="false" ht="12.8" hidden="true" customHeight="false" outlineLevel="0" collapsed="false">
      <c r="A1252" s="22" t="str">
        <f aca="false">customer_churn_dataset!A1188</f>
        <v>CUST100529</v>
      </c>
      <c r="B1252" s="22" t="str">
        <f aca="false">customer_churn_dataset!B1188</f>
        <v>Premium</v>
      </c>
      <c r="C1252" s="22" t="str">
        <f aca="false">customer_churn_dataset!C1188</f>
        <v>One year</v>
      </c>
      <c r="D1252" s="0" t="n">
        <f aca="false">INDEX(customer_churn_dataset!$E$2:$E$1501,MATCH($A1253,customer_churn_dataset!$A$2:$A$1501,0))</f>
        <v>8</v>
      </c>
      <c r="E1252" s="0" t="n">
        <f aca="false">INDEX(customer_churn_dataset!$I$2:$I$1501,MATCH($A1253,customer_churn_dataset!$A$2:$A$1501,0))</f>
        <v>64.8</v>
      </c>
      <c r="F1252" s="0" t="n">
        <f aca="false">INDEX(customer_churn_dataset!$L$2:$L$1501,MATCH($A1253,customer_churn_dataset!$A$2:$A$1501,0))</f>
        <v>0</v>
      </c>
      <c r="G1252" s="0" t="str">
        <f aca="false">IF(INDEX(customer_churn_dataset!$M$2:$M$1501,MATCH($A1253,customer_churn_dataset!$A$2:$A$1501,0))=1,"Yes","No")</f>
        <v>No</v>
      </c>
      <c r="H1252" s="0" t="n">
        <f aca="false">INDEX(customer_churn_dataset!$N$2:$N$1501,MATCH($A1253,customer_churn_dataset!$A$2:$A$1501,0))</f>
        <v>318.32</v>
      </c>
      <c r="I1252" s="0" t="n">
        <f aca="false">INDEX(customer_churn_dataset!$O$2:$O$1501,MATCH($A1253,customer_churn_dataset!$A$2:$A$1501,0))</f>
        <v>0</v>
      </c>
      <c r="J1252" s="0" t="n">
        <f aca="false">INDEX(customer_churn_dataset!$T$2:$T$1501,MATCH($A1253,customer_churn_dataset!$A$2:$A$1501,0))</f>
        <v>3</v>
      </c>
      <c r="K1252" s="0" t="str">
        <f aca="false">INDEX(customer_churn_dataset!$V$2:$V$1501,MATCH($A1253,customer_churn_dataset!$A$2:$A$1501,0))</f>
        <v>Medium Risk</v>
      </c>
    </row>
    <row r="1253" customFormat="false" ht="12.8" hidden="true" customHeight="false" outlineLevel="0" collapsed="false">
      <c r="A1253" s="22" t="str">
        <f aca="false">customer_churn_dataset!A1210</f>
        <v>CUST101427</v>
      </c>
      <c r="B1253" s="22" t="str">
        <f aca="false">customer_churn_dataset!B1210</f>
        <v>Premium</v>
      </c>
      <c r="C1253" s="22" t="str">
        <f aca="false">customer_churn_dataset!C1210</f>
        <v>Month-to-month</v>
      </c>
      <c r="D1253" s="0" t="n">
        <f aca="false">INDEX(customer_churn_dataset!$E$2:$E$1501,MATCH($A1254,customer_churn_dataset!$A$2:$A$1501,0))</f>
        <v>9</v>
      </c>
      <c r="E1253" s="0" t="n">
        <f aca="false">INDEX(customer_churn_dataset!$I$2:$I$1501,MATCH($A1254,customer_churn_dataset!$A$2:$A$1501,0))</f>
        <v>46.1</v>
      </c>
      <c r="F1253" s="0" t="n">
        <f aca="false">INDEX(customer_churn_dataset!$L$2:$L$1501,MATCH($A1254,customer_churn_dataset!$A$2:$A$1501,0))</f>
        <v>0</v>
      </c>
      <c r="G1253" s="0" t="str">
        <f aca="false">IF(INDEX(customer_churn_dataset!$M$2:$M$1501,MATCH($A1254,customer_churn_dataset!$A$2:$A$1501,0))=1,"Yes","No")</f>
        <v>No</v>
      </c>
      <c r="H1253" s="0" t="n">
        <f aca="false">INDEX(customer_churn_dataset!$N$2:$N$1501,MATCH($A1254,customer_churn_dataset!$A$2:$A$1501,0))</f>
        <v>177.3</v>
      </c>
      <c r="I1253" s="0" t="n">
        <f aca="false">INDEX(customer_churn_dataset!$O$2:$O$1501,MATCH($A1254,customer_churn_dataset!$A$2:$A$1501,0))</f>
        <v>1</v>
      </c>
      <c r="J1253" s="0" t="n">
        <f aca="false">INDEX(customer_churn_dataset!$T$2:$T$1501,MATCH($A1254,customer_churn_dataset!$A$2:$A$1501,0))</f>
        <v>4</v>
      </c>
      <c r="K1253" s="0" t="str">
        <f aca="false">INDEX(customer_churn_dataset!$V$2:$V$1501,MATCH($A1254,customer_churn_dataset!$A$2:$A$1501,0))</f>
        <v>Medium Risk</v>
      </c>
    </row>
    <row r="1254" customFormat="false" ht="12.8" hidden="true" customHeight="false" outlineLevel="0" collapsed="false">
      <c r="A1254" s="22" t="str">
        <f aca="false">customer_churn_dataset!A1214</f>
        <v>CUST100137</v>
      </c>
      <c r="B1254" s="22" t="str">
        <f aca="false">customer_churn_dataset!B1214</f>
        <v>Standard</v>
      </c>
      <c r="C1254" s="22" t="str">
        <f aca="false">customer_churn_dataset!C1214</f>
        <v>Month-to-month</v>
      </c>
      <c r="D1254" s="0" t="n">
        <f aca="false">INDEX(customer_churn_dataset!$E$2:$E$1501,MATCH($A1255,customer_churn_dataset!$A$2:$A$1501,0))</f>
        <v>5</v>
      </c>
      <c r="E1254" s="0" t="n">
        <f aca="false">INDEX(customer_churn_dataset!$I$2:$I$1501,MATCH($A1255,customer_churn_dataset!$A$2:$A$1501,0))</f>
        <v>27</v>
      </c>
      <c r="F1254" s="0" t="n">
        <f aca="false">INDEX(customer_churn_dataset!$L$2:$L$1501,MATCH($A1255,customer_churn_dataset!$A$2:$A$1501,0))</f>
        <v>5</v>
      </c>
      <c r="G1254" s="0" t="str">
        <f aca="false">IF(INDEX(customer_churn_dataset!$M$2:$M$1501,MATCH($A1255,customer_churn_dataset!$A$2:$A$1501,0))=1,"Yes","No")</f>
        <v>No</v>
      </c>
      <c r="H1254" s="0" t="n">
        <f aca="false">INDEX(customer_churn_dataset!$N$2:$N$1501,MATCH($A1255,customer_churn_dataset!$A$2:$A$1501,0))</f>
        <v>101.85</v>
      </c>
      <c r="I1254" s="0" t="n">
        <f aca="false">INDEX(customer_churn_dataset!$O$2:$O$1501,MATCH($A1255,customer_churn_dataset!$A$2:$A$1501,0))</f>
        <v>0</v>
      </c>
      <c r="J1254" s="0" t="n">
        <f aca="false">INDEX(customer_churn_dataset!$T$2:$T$1501,MATCH($A1255,customer_churn_dataset!$A$2:$A$1501,0))</f>
        <v>5</v>
      </c>
      <c r="K1254" s="0" t="str">
        <f aca="false">INDEX(customer_churn_dataset!$V$2:$V$1501,MATCH($A1255,customer_churn_dataset!$A$2:$A$1501,0))</f>
        <v>Medium Risk</v>
      </c>
    </row>
    <row r="1255" customFormat="false" ht="12.8" hidden="true" customHeight="false" outlineLevel="0" collapsed="false">
      <c r="A1255" s="22" t="str">
        <f aca="false">customer_churn_dataset!A1264</f>
        <v>CUST100786</v>
      </c>
      <c r="B1255" s="22" t="str">
        <f aca="false">customer_churn_dataset!B1264</f>
        <v>Standard</v>
      </c>
      <c r="C1255" s="22" t="str">
        <f aca="false">customer_churn_dataset!C1264</f>
        <v>One year</v>
      </c>
      <c r="D1255" s="0" t="n">
        <f aca="false">INDEX(customer_churn_dataset!$E$2:$E$1501,MATCH($A1256,customer_churn_dataset!$A$2:$A$1501,0))</f>
        <v>18</v>
      </c>
      <c r="E1255" s="0" t="n">
        <f aca="false">INDEX(customer_churn_dataset!$I$2:$I$1501,MATCH($A1256,customer_churn_dataset!$A$2:$A$1501,0))</f>
        <v>82</v>
      </c>
      <c r="F1255" s="0" t="n">
        <f aca="false">INDEX(customer_churn_dataset!$L$2:$L$1501,MATCH($A1256,customer_churn_dataset!$A$2:$A$1501,0))</f>
        <v>4</v>
      </c>
      <c r="G1255" s="0" t="str">
        <f aca="false">IF(INDEX(customer_churn_dataset!$M$2:$M$1501,MATCH($A1256,customer_churn_dataset!$A$2:$A$1501,0))=1,"Yes","No")</f>
        <v>No</v>
      </c>
      <c r="H1255" s="0" t="n">
        <f aca="false">INDEX(customer_churn_dataset!$N$2:$N$1501,MATCH($A1256,customer_churn_dataset!$A$2:$A$1501,0))</f>
        <v>407.34</v>
      </c>
      <c r="I1255" s="0" t="n">
        <f aca="false">INDEX(customer_churn_dataset!$O$2:$O$1501,MATCH($A1256,customer_churn_dataset!$A$2:$A$1501,0))</f>
        <v>1</v>
      </c>
      <c r="J1255" s="0" t="n">
        <f aca="false">INDEX(customer_churn_dataset!$T$2:$T$1501,MATCH($A1256,customer_churn_dataset!$A$2:$A$1501,0))</f>
        <v>3</v>
      </c>
      <c r="K1255" s="0" t="str">
        <f aca="false">INDEX(customer_churn_dataset!$V$2:$V$1501,MATCH($A1256,customer_churn_dataset!$A$2:$A$1501,0))</f>
        <v>Medium Risk</v>
      </c>
    </row>
    <row r="1256" customFormat="false" ht="12.8" hidden="true" customHeight="false" outlineLevel="0" collapsed="false">
      <c r="A1256" s="22" t="str">
        <f aca="false">customer_churn_dataset!A1282</f>
        <v>CUST100774</v>
      </c>
      <c r="B1256" s="22" t="str">
        <f aca="false">customer_churn_dataset!B1282</f>
        <v>Standard</v>
      </c>
      <c r="C1256" s="22" t="str">
        <f aca="false">customer_churn_dataset!C1282</f>
        <v>Month-to-month</v>
      </c>
      <c r="D1256" s="0" t="n">
        <f aca="false">INDEX(customer_churn_dataset!$E$2:$E$1501,MATCH($A1257,customer_churn_dataset!$A$2:$A$1501,0))</f>
        <v>6</v>
      </c>
      <c r="E1256" s="0" t="n">
        <f aca="false">INDEX(customer_churn_dataset!$I$2:$I$1501,MATCH($A1257,customer_churn_dataset!$A$2:$A$1501,0))</f>
        <v>48.8</v>
      </c>
      <c r="F1256" s="0" t="n">
        <f aca="false">INDEX(customer_churn_dataset!$L$2:$L$1501,MATCH($A1257,customer_churn_dataset!$A$2:$A$1501,0))</f>
        <v>1</v>
      </c>
      <c r="G1256" s="0" t="str">
        <f aca="false">IF(INDEX(customer_churn_dataset!$M$2:$M$1501,MATCH($A1257,customer_churn_dataset!$A$2:$A$1501,0))=1,"Yes","No")</f>
        <v>Yes</v>
      </c>
      <c r="H1256" s="0" t="n">
        <f aca="false">INDEX(customer_churn_dataset!$N$2:$N$1501,MATCH($A1257,customer_churn_dataset!$A$2:$A$1501,0))</f>
        <v>115.02</v>
      </c>
      <c r="I1256" s="0" t="n">
        <f aca="false">INDEX(customer_churn_dataset!$O$2:$O$1501,MATCH($A1257,customer_churn_dataset!$A$2:$A$1501,0))</f>
        <v>1</v>
      </c>
      <c r="J1256" s="0" t="n">
        <f aca="false">INDEX(customer_churn_dataset!$T$2:$T$1501,MATCH($A1257,customer_churn_dataset!$A$2:$A$1501,0))</f>
        <v>7</v>
      </c>
      <c r="K1256" s="0" t="str">
        <f aca="false">INDEX(customer_churn_dataset!$V$2:$V$1501,MATCH($A1257,customer_churn_dataset!$A$2:$A$1501,0))</f>
        <v>High Risk</v>
      </c>
    </row>
    <row r="1257" customFormat="false" ht="12.8" hidden="true" customHeight="false" outlineLevel="0" collapsed="false">
      <c r="A1257" s="22" t="str">
        <f aca="false">customer_churn_dataset!A1283</f>
        <v>CUST100884</v>
      </c>
      <c r="B1257" s="22" t="str">
        <f aca="false">customer_churn_dataset!B1283</f>
        <v>Standard</v>
      </c>
      <c r="C1257" s="22" t="str">
        <f aca="false">customer_churn_dataset!C1283</f>
        <v>Month-to-month</v>
      </c>
      <c r="D1257" s="0" t="n">
        <f aca="false">INDEX(customer_churn_dataset!$E$2:$E$1501,MATCH($A1258,customer_churn_dataset!$A$2:$A$1501,0))</f>
        <v>1</v>
      </c>
      <c r="E1257" s="0" t="n">
        <f aca="false">INDEX(customer_churn_dataset!$I$2:$I$1501,MATCH($A1258,customer_churn_dataset!$A$2:$A$1501,0))</f>
        <v>100</v>
      </c>
      <c r="F1257" s="0" t="n">
        <f aca="false">INDEX(customer_churn_dataset!$L$2:$L$1501,MATCH($A1258,customer_churn_dataset!$A$2:$A$1501,0))</f>
        <v>0</v>
      </c>
      <c r="G1257" s="0" t="str">
        <f aca="false">IF(INDEX(customer_churn_dataset!$M$2:$M$1501,MATCH($A1258,customer_churn_dataset!$A$2:$A$1501,0))=1,"Yes","No")</f>
        <v>No</v>
      </c>
      <c r="H1257" s="0" t="n">
        <f aca="false">INDEX(customer_churn_dataset!$N$2:$N$1501,MATCH($A1258,customer_churn_dataset!$A$2:$A$1501,0))</f>
        <v>39.82</v>
      </c>
      <c r="I1257" s="0" t="n">
        <f aca="false">INDEX(customer_churn_dataset!$O$2:$O$1501,MATCH($A1258,customer_churn_dataset!$A$2:$A$1501,0))</f>
        <v>0</v>
      </c>
      <c r="J1257" s="0" t="n">
        <f aca="false">INDEX(customer_churn_dataset!$T$2:$T$1501,MATCH($A1258,customer_churn_dataset!$A$2:$A$1501,0))</f>
        <v>2</v>
      </c>
      <c r="K1257" s="0" t="str">
        <f aca="false">INDEX(customer_churn_dataset!$V$2:$V$1501,MATCH($A1258,customer_churn_dataset!$A$2:$A$1501,0))</f>
        <v>Low Risk</v>
      </c>
    </row>
    <row r="1258" customFormat="false" ht="12.8" hidden="true" customHeight="false" outlineLevel="0" collapsed="false">
      <c r="A1258" s="22" t="str">
        <f aca="false">customer_churn_dataset!A1314</f>
        <v>CUST100758</v>
      </c>
      <c r="B1258" s="22" t="str">
        <f aca="false">customer_churn_dataset!B1314</f>
        <v>Premium</v>
      </c>
      <c r="C1258" s="22" t="str">
        <f aca="false">customer_churn_dataset!C1314</f>
        <v>One year</v>
      </c>
      <c r="D1258" s="0" t="n">
        <f aca="false">INDEX(customer_churn_dataset!$E$2:$E$1501,MATCH($A1259,customer_churn_dataset!$A$2:$A$1501,0))</f>
        <v>55</v>
      </c>
      <c r="E1258" s="0" t="n">
        <f aca="false">INDEX(customer_churn_dataset!$I$2:$I$1501,MATCH($A1259,customer_churn_dataset!$A$2:$A$1501,0))</f>
        <v>46.4</v>
      </c>
      <c r="F1258" s="0" t="n">
        <f aca="false">INDEX(customer_churn_dataset!$L$2:$L$1501,MATCH($A1259,customer_churn_dataset!$A$2:$A$1501,0))</f>
        <v>0</v>
      </c>
      <c r="G1258" s="0" t="str">
        <f aca="false">IF(INDEX(customer_churn_dataset!$M$2:$M$1501,MATCH($A1259,customer_churn_dataset!$A$2:$A$1501,0))=1,"Yes","No")</f>
        <v>No</v>
      </c>
      <c r="H1258" s="0" t="n">
        <f aca="false">INDEX(customer_churn_dataset!$N$2:$N$1501,MATCH($A1259,customer_churn_dataset!$A$2:$A$1501,0))</f>
        <v>534.05</v>
      </c>
      <c r="I1258" s="0" t="n">
        <f aca="false">INDEX(customer_churn_dataset!$O$2:$O$1501,MATCH($A1259,customer_churn_dataset!$A$2:$A$1501,0))</f>
        <v>0</v>
      </c>
      <c r="J1258" s="0" t="n">
        <f aca="false">INDEX(customer_churn_dataset!$T$2:$T$1501,MATCH($A1259,customer_churn_dataset!$A$2:$A$1501,0))</f>
        <v>2</v>
      </c>
      <c r="K1258" s="0" t="str">
        <f aca="false">INDEX(customer_churn_dataset!$V$2:$V$1501,MATCH($A1259,customer_churn_dataset!$A$2:$A$1501,0))</f>
        <v>Low Risk</v>
      </c>
    </row>
    <row r="1259" customFormat="false" ht="12.8" hidden="true" customHeight="false" outlineLevel="0" collapsed="false">
      <c r="A1259" s="22" t="str">
        <f aca="false">customer_churn_dataset!A1321</f>
        <v>CUST101336</v>
      </c>
      <c r="B1259" s="22" t="str">
        <f aca="false">customer_churn_dataset!B1321</f>
        <v>Basic</v>
      </c>
      <c r="C1259" s="22" t="str">
        <f aca="false">customer_churn_dataset!C1321</f>
        <v>One year</v>
      </c>
      <c r="D1259" s="0" t="n">
        <f aca="false">INDEX(customer_churn_dataset!$E$2:$E$1501,MATCH($A1260,customer_churn_dataset!$A$2:$A$1501,0))</f>
        <v>28</v>
      </c>
      <c r="E1259" s="0" t="n">
        <f aca="false">INDEX(customer_churn_dataset!$I$2:$I$1501,MATCH($A1260,customer_churn_dataset!$A$2:$A$1501,0))</f>
        <v>79.7</v>
      </c>
      <c r="F1259" s="0" t="n">
        <f aca="false">INDEX(customer_churn_dataset!$L$2:$L$1501,MATCH($A1260,customer_churn_dataset!$A$2:$A$1501,0))</f>
        <v>1</v>
      </c>
      <c r="G1259" s="0" t="str">
        <f aca="false">IF(INDEX(customer_churn_dataset!$M$2:$M$1501,MATCH($A1260,customer_churn_dataset!$A$2:$A$1501,0))=1,"Yes","No")</f>
        <v>No</v>
      </c>
      <c r="H1259" s="0" t="n">
        <f aca="false">INDEX(customer_churn_dataset!$N$2:$N$1501,MATCH($A1260,customer_churn_dataset!$A$2:$A$1501,0))</f>
        <v>1123.36</v>
      </c>
      <c r="I1259" s="0" t="n">
        <f aca="false">INDEX(customer_churn_dataset!$O$2:$O$1501,MATCH($A1260,customer_churn_dataset!$A$2:$A$1501,0))</f>
        <v>1</v>
      </c>
      <c r="J1259" s="0" t="n">
        <f aca="false">INDEX(customer_churn_dataset!$T$2:$T$1501,MATCH($A1260,customer_churn_dataset!$A$2:$A$1501,0))</f>
        <v>2</v>
      </c>
      <c r="K1259" s="0" t="str">
        <f aca="false">INDEX(customer_churn_dataset!$V$2:$V$1501,MATCH($A1260,customer_churn_dataset!$A$2:$A$1501,0))</f>
        <v>Low Risk</v>
      </c>
    </row>
    <row r="1260" customFormat="false" ht="12.8" hidden="true" customHeight="false" outlineLevel="0" collapsed="false">
      <c r="A1260" s="22" t="str">
        <f aca="false">customer_churn_dataset!A1339</f>
        <v>CUST100120</v>
      </c>
      <c r="B1260" s="22" t="str">
        <f aca="false">customer_churn_dataset!B1339</f>
        <v>Premium</v>
      </c>
      <c r="C1260" s="22" t="str">
        <f aca="false">customer_churn_dataset!C1339</f>
        <v>Month-to-month</v>
      </c>
      <c r="D1260" s="0" t="n">
        <f aca="false">INDEX(customer_churn_dataset!$E$2:$E$1501,MATCH($A1261,customer_churn_dataset!$A$2:$A$1501,0))</f>
        <v>40</v>
      </c>
      <c r="E1260" s="0" t="n">
        <f aca="false">INDEX(customer_churn_dataset!$I$2:$I$1501,MATCH($A1261,customer_churn_dataset!$A$2:$A$1501,0))</f>
        <v>55.7</v>
      </c>
      <c r="F1260" s="0" t="n">
        <f aca="false">INDEX(customer_churn_dataset!$L$2:$L$1501,MATCH($A1261,customer_churn_dataset!$A$2:$A$1501,0))</f>
        <v>1</v>
      </c>
      <c r="G1260" s="0" t="str">
        <f aca="false">IF(INDEX(customer_churn_dataset!$M$2:$M$1501,MATCH($A1261,customer_churn_dataset!$A$2:$A$1501,0))=1,"Yes","No")</f>
        <v>No</v>
      </c>
      <c r="H1260" s="0" t="n">
        <f aca="false">INDEX(customer_churn_dataset!$N$2:$N$1501,MATCH($A1261,customer_churn_dataset!$A$2:$A$1501,0))</f>
        <v>785.6</v>
      </c>
      <c r="I1260" s="0" t="n">
        <f aca="false">INDEX(customer_churn_dataset!$O$2:$O$1501,MATCH($A1261,customer_churn_dataset!$A$2:$A$1501,0))</f>
        <v>0</v>
      </c>
      <c r="J1260" s="0" t="n">
        <f aca="false">INDEX(customer_churn_dataset!$T$2:$T$1501,MATCH($A1261,customer_churn_dataset!$A$2:$A$1501,0))</f>
        <v>2</v>
      </c>
      <c r="K1260" s="0" t="str">
        <f aca="false">INDEX(customer_churn_dataset!$V$2:$V$1501,MATCH($A1261,customer_churn_dataset!$A$2:$A$1501,0))</f>
        <v>Low Risk</v>
      </c>
    </row>
    <row r="1261" customFormat="false" ht="12.8" hidden="true" customHeight="false" outlineLevel="0" collapsed="false">
      <c r="A1261" s="22" t="str">
        <f aca="false">customer_churn_dataset!A1383</f>
        <v>CUST100571</v>
      </c>
      <c r="B1261" s="22" t="str">
        <f aca="false">customer_churn_dataset!B1383</f>
        <v>Standard</v>
      </c>
      <c r="C1261" s="22" t="str">
        <f aca="false">customer_churn_dataset!C1383</f>
        <v>Month-to-month</v>
      </c>
      <c r="D1261" s="0" t="n">
        <f aca="false">INDEX(customer_churn_dataset!$E$2:$E$1501,MATCH($A1262,customer_churn_dataset!$A$2:$A$1501,0))</f>
        <v>35</v>
      </c>
      <c r="E1261" s="0" t="n">
        <f aca="false">INDEX(customer_churn_dataset!$I$2:$I$1501,MATCH($A1262,customer_churn_dataset!$A$2:$A$1501,0))</f>
        <v>68.4</v>
      </c>
      <c r="F1261" s="0" t="n">
        <f aca="false">INDEX(customer_churn_dataset!$L$2:$L$1501,MATCH($A1262,customer_churn_dataset!$A$2:$A$1501,0))</f>
        <v>0</v>
      </c>
      <c r="G1261" s="0" t="str">
        <f aca="false">IF(INDEX(customer_churn_dataset!$M$2:$M$1501,MATCH($A1262,customer_churn_dataset!$A$2:$A$1501,0))=1,"Yes","No")</f>
        <v>No</v>
      </c>
      <c r="H1261" s="0" t="n">
        <f aca="false">INDEX(customer_churn_dataset!$N$2:$N$1501,MATCH($A1262,customer_churn_dataset!$A$2:$A$1501,0))</f>
        <v>373.8</v>
      </c>
      <c r="I1261" s="0" t="n">
        <f aca="false">INDEX(customer_churn_dataset!$O$2:$O$1501,MATCH($A1262,customer_churn_dataset!$A$2:$A$1501,0))</f>
        <v>0</v>
      </c>
      <c r="J1261" s="0" t="n">
        <f aca="false">INDEX(customer_churn_dataset!$T$2:$T$1501,MATCH($A1262,customer_churn_dataset!$A$2:$A$1501,0))</f>
        <v>2</v>
      </c>
      <c r="K1261" s="0" t="str">
        <f aca="false">INDEX(customer_churn_dataset!$V$2:$V$1501,MATCH($A1262,customer_churn_dataset!$A$2:$A$1501,0))</f>
        <v>Low Risk</v>
      </c>
    </row>
    <row r="1262" customFormat="false" ht="12.8" hidden="true" customHeight="false" outlineLevel="0" collapsed="false">
      <c r="A1262" s="22" t="str">
        <f aca="false">customer_churn_dataset!A1391</f>
        <v>CUST101319</v>
      </c>
      <c r="B1262" s="22" t="str">
        <f aca="false">customer_churn_dataset!B1391</f>
        <v>Basic</v>
      </c>
      <c r="C1262" s="22" t="str">
        <f aca="false">customer_churn_dataset!C1391</f>
        <v>Month-to-month</v>
      </c>
      <c r="D1262" s="0" t="n">
        <f aca="false">INDEX(customer_churn_dataset!$E$2:$E$1501,MATCH($A1263,customer_churn_dataset!$A$2:$A$1501,0))</f>
        <v>1</v>
      </c>
      <c r="E1262" s="0" t="n">
        <f aca="false">INDEX(customer_churn_dataset!$I$2:$I$1501,MATCH($A1263,customer_churn_dataset!$A$2:$A$1501,0))</f>
        <v>37.9</v>
      </c>
      <c r="F1262" s="0" t="n">
        <f aca="false">INDEX(customer_churn_dataset!$L$2:$L$1501,MATCH($A1263,customer_churn_dataset!$A$2:$A$1501,0))</f>
        <v>3</v>
      </c>
      <c r="G1262" s="0" t="str">
        <f aca="false">IF(INDEX(customer_churn_dataset!$M$2:$M$1501,MATCH($A1263,customer_churn_dataset!$A$2:$A$1501,0))=1,"Yes","No")</f>
        <v>No</v>
      </c>
      <c r="H1262" s="0" t="n">
        <f aca="false">INDEX(customer_churn_dataset!$N$2:$N$1501,MATCH($A1263,customer_churn_dataset!$A$2:$A$1501,0))</f>
        <v>19.53</v>
      </c>
      <c r="I1262" s="0" t="n">
        <f aca="false">INDEX(customer_churn_dataset!$O$2:$O$1501,MATCH($A1263,customer_churn_dataset!$A$2:$A$1501,0))</f>
        <v>0</v>
      </c>
      <c r="J1262" s="0" t="n">
        <f aca="false">INDEX(customer_churn_dataset!$T$2:$T$1501,MATCH($A1263,customer_churn_dataset!$A$2:$A$1501,0))</f>
        <v>5</v>
      </c>
      <c r="K1262" s="0" t="str">
        <f aca="false">INDEX(customer_churn_dataset!$V$2:$V$1501,MATCH($A1263,customer_churn_dataset!$A$2:$A$1501,0))</f>
        <v>Medium Risk</v>
      </c>
    </row>
    <row r="1263" customFormat="false" ht="12.8" hidden="true" customHeight="false" outlineLevel="0" collapsed="false">
      <c r="A1263" s="22" t="str">
        <f aca="false">customer_churn_dataset!A1403</f>
        <v>CUST101431</v>
      </c>
      <c r="B1263" s="22" t="str">
        <f aca="false">customer_churn_dataset!B1403</f>
        <v>Standard</v>
      </c>
      <c r="C1263" s="22" t="str">
        <f aca="false">customer_churn_dataset!C1403</f>
        <v>One year</v>
      </c>
      <c r="D1263" s="0" t="n">
        <f aca="false">INDEX(customer_churn_dataset!$E$2:$E$1501,MATCH($A1264,customer_churn_dataset!$A$2:$A$1501,0))</f>
        <v>31</v>
      </c>
      <c r="E1263" s="0" t="n">
        <f aca="false">INDEX(customer_churn_dataset!$I$2:$I$1501,MATCH($A1264,customer_churn_dataset!$A$2:$A$1501,0))</f>
        <v>100</v>
      </c>
      <c r="F1263" s="0" t="n">
        <f aca="false">INDEX(customer_churn_dataset!$L$2:$L$1501,MATCH($A1264,customer_churn_dataset!$A$2:$A$1501,0))</f>
        <v>3</v>
      </c>
      <c r="G1263" s="0" t="str">
        <f aca="false">IF(INDEX(customer_churn_dataset!$M$2:$M$1501,MATCH($A1264,customer_churn_dataset!$A$2:$A$1501,0))=1,"Yes","No")</f>
        <v>No</v>
      </c>
      <c r="H1263" s="0" t="n">
        <f aca="false">INDEX(customer_churn_dataset!$N$2:$N$1501,MATCH($A1264,customer_churn_dataset!$A$2:$A$1501,0))</f>
        <v>1217.37</v>
      </c>
      <c r="I1263" s="0" t="n">
        <f aca="false">INDEX(customer_churn_dataset!$O$2:$O$1501,MATCH($A1264,customer_churn_dataset!$A$2:$A$1501,0))</f>
        <v>0</v>
      </c>
      <c r="J1263" s="0" t="n">
        <f aca="false">INDEX(customer_churn_dataset!$T$2:$T$1501,MATCH($A1264,customer_churn_dataset!$A$2:$A$1501,0))</f>
        <v>3</v>
      </c>
      <c r="K1263" s="0" t="str">
        <f aca="false">INDEX(customer_churn_dataset!$V$2:$V$1501,MATCH($A1264,customer_churn_dataset!$A$2:$A$1501,0))</f>
        <v>Medium Risk</v>
      </c>
    </row>
    <row r="1264" customFormat="false" ht="12.8" hidden="true" customHeight="false" outlineLevel="0" collapsed="false">
      <c r="A1264" s="22" t="str">
        <f aca="false">customer_churn_dataset!A1412</f>
        <v>CUST100052</v>
      </c>
      <c r="B1264" s="22" t="str">
        <f aca="false">customer_churn_dataset!B1412</f>
        <v>Premium</v>
      </c>
      <c r="C1264" s="22" t="str">
        <f aca="false">customer_churn_dataset!C1412</f>
        <v>Month-to-month</v>
      </c>
      <c r="D1264" s="0" t="n">
        <f aca="false">INDEX(customer_churn_dataset!$E$2:$E$1501,MATCH($A1265,customer_churn_dataset!$A$2:$A$1501,0))</f>
        <v>21</v>
      </c>
      <c r="E1264" s="0" t="n">
        <f aca="false">INDEX(customer_churn_dataset!$I$2:$I$1501,MATCH($A1265,customer_churn_dataset!$A$2:$A$1501,0))</f>
        <v>72</v>
      </c>
      <c r="F1264" s="0" t="n">
        <f aca="false">INDEX(customer_churn_dataset!$L$2:$L$1501,MATCH($A1265,customer_churn_dataset!$A$2:$A$1501,0))</f>
        <v>4</v>
      </c>
      <c r="G1264" s="0" t="str">
        <f aca="false">IF(INDEX(customer_churn_dataset!$M$2:$M$1501,MATCH($A1265,customer_churn_dataset!$A$2:$A$1501,0))=1,"Yes","No")</f>
        <v>No</v>
      </c>
      <c r="H1264" s="0" t="n">
        <f aca="false">INDEX(customer_churn_dataset!$N$2:$N$1501,MATCH($A1265,customer_churn_dataset!$A$2:$A$1501,0))</f>
        <v>411.81</v>
      </c>
      <c r="I1264" s="0" t="n">
        <f aca="false">INDEX(customer_churn_dataset!$O$2:$O$1501,MATCH($A1265,customer_churn_dataset!$A$2:$A$1501,0))</f>
        <v>0</v>
      </c>
      <c r="J1264" s="0" t="n">
        <f aca="false">INDEX(customer_churn_dataset!$T$2:$T$1501,MATCH($A1265,customer_churn_dataset!$A$2:$A$1501,0))</f>
        <v>2</v>
      </c>
      <c r="K1264" s="0" t="str">
        <f aca="false">INDEX(customer_churn_dataset!$V$2:$V$1501,MATCH($A1265,customer_churn_dataset!$A$2:$A$1501,0))</f>
        <v>Low Risk</v>
      </c>
    </row>
    <row r="1265" customFormat="false" ht="12.8" hidden="false" customHeight="false" outlineLevel="0" collapsed="false">
      <c r="A1265" s="23" t="str">
        <f aca="false">customer_churn_dataset!A1434</f>
        <v>CUST101142</v>
      </c>
      <c r="B1265" s="24" t="str">
        <f aca="false">customer_churn_dataset!B1434</f>
        <v>Standard</v>
      </c>
      <c r="C1265" s="24" t="str">
        <f aca="false">customer_churn_dataset!C1434</f>
        <v>One year</v>
      </c>
      <c r="D1265" s="25" t="n">
        <f aca="false">INDEX(customer_churn_dataset!$E$2:$E$1501,MATCH($A1266,customer_churn_dataset!$A$2:$A$1501,0))</f>
        <v>23</v>
      </c>
      <c r="E1265" s="25" t="n">
        <f aca="false">INDEX(customer_churn_dataset!$I$2:$I$1501,MATCH($A1266,customer_churn_dataset!$A$2:$A$1501,0))</f>
        <v>16.3</v>
      </c>
      <c r="F1265" s="25" t="n">
        <f aca="false">INDEX(customer_churn_dataset!$L$2:$L$1501,MATCH($A1266,customer_churn_dataset!$A$2:$A$1501,0))</f>
        <v>3</v>
      </c>
      <c r="G1265" s="25" t="str">
        <f aca="false">IF(INDEX(customer_churn_dataset!$M$2:$M$1501,MATCH($A1266,customer_churn_dataset!$A$2:$A$1501,0))=1,"Yes","No")</f>
        <v>Yes</v>
      </c>
      <c r="H1265" s="25" t="n">
        <f aca="false">INDEX(customer_churn_dataset!$N$2:$N$1501,MATCH($A1266,customer_churn_dataset!$A$2:$A$1501,0))</f>
        <v>201.71</v>
      </c>
      <c r="I1265" s="25" t="n">
        <f aca="false">INDEX(customer_churn_dataset!$O$2:$O$1501,MATCH($A1266,customer_churn_dataset!$A$2:$A$1501,0))</f>
        <v>1</v>
      </c>
      <c r="J1265" s="25" t="n">
        <f aca="false">INDEX(customer_churn_dataset!$T$2:$T$1501,MATCH($A1266,customer_churn_dataset!$A$2:$A$1501,0))</f>
        <v>8</v>
      </c>
      <c r="K1265" s="25" t="str">
        <f aca="false">INDEX(customer_churn_dataset!$V$2:$V$1501,MATCH($A1266,customer_churn_dataset!$A$2:$A$1501,0))</f>
        <v>High Risk</v>
      </c>
    </row>
    <row r="1266" customFormat="false" ht="12.8" hidden="true" customHeight="false" outlineLevel="0" collapsed="false">
      <c r="A1266" s="22" t="str">
        <f aca="false">customer_churn_dataset!A1435</f>
        <v>CUST100925</v>
      </c>
      <c r="B1266" s="22" t="str">
        <f aca="false">customer_churn_dataset!B1435</f>
        <v>Basic</v>
      </c>
      <c r="C1266" s="22" t="str">
        <f aca="false">customer_churn_dataset!C1435</f>
        <v>Month-to-month</v>
      </c>
      <c r="D1266" s="0" t="n">
        <f aca="false">INDEX(customer_churn_dataset!$E$2:$E$1501,MATCH($A1267,customer_churn_dataset!$A$2:$A$1501,0))</f>
        <v>12</v>
      </c>
      <c r="E1266" s="0" t="n">
        <f aca="false">INDEX(customer_churn_dataset!$I$2:$I$1501,MATCH($A1267,customer_churn_dataset!$A$2:$A$1501,0))</f>
        <v>47.1</v>
      </c>
      <c r="F1266" s="0" t="n">
        <f aca="false">INDEX(customer_churn_dataset!$L$2:$L$1501,MATCH($A1267,customer_churn_dataset!$A$2:$A$1501,0))</f>
        <v>1</v>
      </c>
      <c r="G1266" s="0" t="str">
        <f aca="false">IF(INDEX(customer_churn_dataset!$M$2:$M$1501,MATCH($A1267,customer_churn_dataset!$A$2:$A$1501,0))=1,"Yes","No")</f>
        <v>No</v>
      </c>
      <c r="H1266" s="0" t="n">
        <f aca="false">INDEX(customer_churn_dataset!$N$2:$N$1501,MATCH($A1267,customer_churn_dataset!$A$2:$A$1501,0))</f>
        <v>245.16</v>
      </c>
      <c r="I1266" s="0" t="n">
        <f aca="false">INDEX(customer_churn_dataset!$O$2:$O$1501,MATCH($A1267,customer_churn_dataset!$A$2:$A$1501,0))</f>
        <v>0</v>
      </c>
      <c r="J1266" s="0" t="n">
        <f aca="false">INDEX(customer_churn_dataset!$T$2:$T$1501,MATCH($A1267,customer_churn_dataset!$A$2:$A$1501,0))</f>
        <v>3</v>
      </c>
      <c r="K1266" s="0" t="str">
        <f aca="false">INDEX(customer_churn_dataset!$V$2:$V$1501,MATCH($A1267,customer_churn_dataset!$A$2:$A$1501,0))</f>
        <v>Medium Risk</v>
      </c>
    </row>
    <row r="1267" customFormat="false" ht="12.8" hidden="true" customHeight="false" outlineLevel="0" collapsed="false">
      <c r="A1267" s="22" t="str">
        <f aca="false">customer_churn_dataset!A1439</f>
        <v>CUST100432</v>
      </c>
      <c r="B1267" s="22" t="str">
        <f aca="false">customer_churn_dataset!B1439</f>
        <v>Standard</v>
      </c>
      <c r="C1267" s="22" t="str">
        <f aca="false">customer_churn_dataset!C1439</f>
        <v>Month-to-month</v>
      </c>
      <c r="D1267" s="0" t="n">
        <f aca="false">INDEX(customer_churn_dataset!$E$2:$E$1501,MATCH($A1268,customer_churn_dataset!$A$2:$A$1501,0))</f>
        <v>0</v>
      </c>
      <c r="E1267" s="0" t="n">
        <f aca="false">INDEX(customer_churn_dataset!$I$2:$I$1501,MATCH($A1268,customer_churn_dataset!$A$2:$A$1501,0))</f>
        <v>45.3</v>
      </c>
      <c r="F1267" s="0" t="n">
        <f aca="false">INDEX(customer_churn_dataset!$L$2:$L$1501,MATCH($A1268,customer_churn_dataset!$A$2:$A$1501,0))</f>
        <v>1</v>
      </c>
      <c r="G1267" s="0" t="str">
        <f aca="false">IF(INDEX(customer_churn_dataset!$M$2:$M$1501,MATCH($A1268,customer_churn_dataset!$A$2:$A$1501,0))=1,"Yes","No")</f>
        <v>No</v>
      </c>
      <c r="H1267" s="0" t="n">
        <f aca="false">INDEX(customer_churn_dataset!$N$2:$N$1501,MATCH($A1268,customer_churn_dataset!$A$2:$A$1501,0))</f>
        <v>0</v>
      </c>
      <c r="I1267" s="0" t="n">
        <f aca="false">INDEX(customer_churn_dataset!$O$2:$O$1501,MATCH($A1268,customer_churn_dataset!$A$2:$A$1501,0))</f>
        <v>1</v>
      </c>
      <c r="J1267" s="0" t="n">
        <f aca="false">INDEX(customer_churn_dataset!$T$2:$T$1501,MATCH($A1268,customer_churn_dataset!$A$2:$A$1501,0))</f>
        <v>4</v>
      </c>
      <c r="K1267" s="0" t="str">
        <f aca="false">INDEX(customer_churn_dataset!$V$2:$V$1501,MATCH($A1268,customer_churn_dataset!$A$2:$A$1501,0))</f>
        <v>Medium Risk</v>
      </c>
    </row>
    <row r="1268" customFormat="false" ht="12.8" hidden="true" customHeight="false" outlineLevel="0" collapsed="false">
      <c r="A1268" s="22" t="str">
        <f aca="false">customer_churn_dataset!A1450</f>
        <v>CUST100267</v>
      </c>
      <c r="B1268" s="22" t="str">
        <f aca="false">customer_churn_dataset!B1450</f>
        <v>Standard</v>
      </c>
      <c r="C1268" s="22" t="str">
        <f aca="false">customer_churn_dataset!C1450</f>
        <v>Month-to-month</v>
      </c>
      <c r="D1268" s="0" t="n">
        <f aca="false">INDEX(customer_churn_dataset!$E$2:$E$1501,MATCH($A1269,customer_churn_dataset!$A$2:$A$1501,0))</f>
        <v>37</v>
      </c>
      <c r="E1268" s="0" t="n">
        <f aca="false">INDEX(customer_churn_dataset!$I$2:$I$1501,MATCH($A1269,customer_churn_dataset!$A$2:$A$1501,0))</f>
        <v>93</v>
      </c>
      <c r="F1268" s="0" t="n">
        <f aca="false">INDEX(customer_churn_dataset!$L$2:$L$1501,MATCH($A1269,customer_churn_dataset!$A$2:$A$1501,0))</f>
        <v>0</v>
      </c>
      <c r="G1268" s="0" t="str">
        <f aca="false">IF(INDEX(customer_churn_dataset!$M$2:$M$1501,MATCH($A1269,customer_churn_dataset!$A$2:$A$1501,0))=1,"Yes","No")</f>
        <v>No</v>
      </c>
      <c r="H1268" s="0" t="n">
        <f aca="false">INDEX(customer_churn_dataset!$N$2:$N$1501,MATCH($A1269,customer_churn_dataset!$A$2:$A$1501,0))</f>
        <v>695.97</v>
      </c>
      <c r="I1268" s="0" t="n">
        <f aca="false">INDEX(customer_churn_dataset!$O$2:$O$1501,MATCH($A1269,customer_churn_dataset!$A$2:$A$1501,0))</f>
        <v>0</v>
      </c>
      <c r="J1268" s="0" t="n">
        <f aca="false">INDEX(customer_churn_dataset!$T$2:$T$1501,MATCH($A1269,customer_churn_dataset!$A$2:$A$1501,0))</f>
        <v>2</v>
      </c>
      <c r="K1268" s="0" t="str">
        <f aca="false">INDEX(customer_churn_dataset!$V$2:$V$1501,MATCH($A1269,customer_churn_dataset!$A$2:$A$1501,0))</f>
        <v>Low Risk</v>
      </c>
    </row>
    <row r="1269" customFormat="false" ht="12.8" hidden="true" customHeight="false" outlineLevel="0" collapsed="false">
      <c r="A1269" s="22" t="str">
        <f aca="false">customer_churn_dataset!A1474</f>
        <v>CUST100966</v>
      </c>
      <c r="B1269" s="22" t="str">
        <f aca="false">customer_churn_dataset!B1474</f>
        <v>Standard</v>
      </c>
      <c r="C1269" s="22" t="str">
        <f aca="false">customer_churn_dataset!C1474</f>
        <v>Month-to-month</v>
      </c>
      <c r="D1269" s="0" t="n">
        <f aca="false">INDEX(customer_churn_dataset!$E$2:$E$1501,MATCH($A1270,customer_churn_dataset!$A$2:$A$1501,0))</f>
        <v>7</v>
      </c>
      <c r="E1269" s="0" t="n">
        <f aca="false">INDEX(customer_churn_dataset!$I$2:$I$1501,MATCH($A1270,customer_churn_dataset!$A$2:$A$1501,0))</f>
        <v>36.4</v>
      </c>
      <c r="F1269" s="0" t="n">
        <f aca="false">INDEX(customer_churn_dataset!$L$2:$L$1501,MATCH($A1270,customer_churn_dataset!$A$2:$A$1501,0))</f>
        <v>0</v>
      </c>
      <c r="G1269" s="0" t="str">
        <f aca="false">IF(INDEX(customer_churn_dataset!$M$2:$M$1501,MATCH($A1270,customer_churn_dataset!$A$2:$A$1501,0))=1,"Yes","No")</f>
        <v>No</v>
      </c>
      <c r="H1269" s="0" t="n">
        <f aca="false">INDEX(customer_churn_dataset!$N$2:$N$1501,MATCH($A1270,customer_churn_dataset!$A$2:$A$1501,0))</f>
        <v>151.62</v>
      </c>
      <c r="I1269" s="0" t="n">
        <f aca="false">INDEX(customer_churn_dataset!$O$2:$O$1501,MATCH($A1270,customer_churn_dataset!$A$2:$A$1501,0))</f>
        <v>0</v>
      </c>
      <c r="J1269" s="0" t="n">
        <f aca="false">INDEX(customer_churn_dataset!$T$2:$T$1501,MATCH($A1270,customer_churn_dataset!$A$2:$A$1501,0))</f>
        <v>4</v>
      </c>
      <c r="K1269" s="0" t="str">
        <f aca="false">INDEX(customer_churn_dataset!$V$2:$V$1501,MATCH($A1270,customer_churn_dataset!$A$2:$A$1501,0))</f>
        <v>Medium Risk</v>
      </c>
    </row>
    <row r="1270" customFormat="false" ht="12.8" hidden="true" customHeight="false" outlineLevel="0" collapsed="false">
      <c r="A1270" s="22" t="str">
        <f aca="false">customer_churn_dataset!A1486</f>
        <v>CUST100096</v>
      </c>
      <c r="B1270" s="22" t="str">
        <f aca="false">customer_churn_dataset!B1486</f>
        <v>Standard</v>
      </c>
      <c r="C1270" s="22" t="str">
        <f aca="false">customer_churn_dataset!C1486</f>
        <v>One year</v>
      </c>
      <c r="D1270" s="0" t="n">
        <f aca="false">INDEX(customer_churn_dataset!$E$2:$E$1501,MATCH($A1271,customer_churn_dataset!$A$2:$A$1501,0))</f>
        <v>9</v>
      </c>
      <c r="E1270" s="0" t="n">
        <f aca="false">INDEX(customer_churn_dataset!$I$2:$I$1501,MATCH($A1271,customer_churn_dataset!$A$2:$A$1501,0))</f>
        <v>77.2</v>
      </c>
      <c r="F1270" s="0" t="n">
        <f aca="false">INDEX(customer_churn_dataset!$L$2:$L$1501,MATCH($A1271,customer_churn_dataset!$A$2:$A$1501,0))</f>
        <v>0</v>
      </c>
      <c r="G1270" s="0" t="str">
        <f aca="false">IF(INDEX(customer_churn_dataset!$M$2:$M$1501,MATCH($A1271,customer_churn_dataset!$A$2:$A$1501,0))=1,"Yes","No")</f>
        <v>No</v>
      </c>
      <c r="H1270" s="0" t="n">
        <f aca="false">INDEX(customer_churn_dataset!$N$2:$N$1501,MATCH($A1271,customer_churn_dataset!$A$2:$A$1501,0))</f>
        <v>185.58</v>
      </c>
      <c r="I1270" s="0" t="n">
        <f aca="false">INDEX(customer_churn_dataset!$O$2:$O$1501,MATCH($A1271,customer_churn_dataset!$A$2:$A$1501,0))</f>
        <v>0</v>
      </c>
      <c r="J1270" s="0" t="n">
        <f aca="false">INDEX(customer_churn_dataset!$T$2:$T$1501,MATCH($A1271,customer_churn_dataset!$A$2:$A$1501,0))</f>
        <v>3</v>
      </c>
      <c r="K1270" s="0" t="str">
        <f aca="false">INDEX(customer_churn_dataset!$V$2:$V$1501,MATCH($A1271,customer_churn_dataset!$A$2:$A$1501,0))</f>
        <v>Medium Risk</v>
      </c>
    </row>
    <row r="1271" customFormat="false" ht="12.8" hidden="true" customHeight="false" outlineLevel="0" collapsed="false">
      <c r="A1271" s="22" t="str">
        <f aca="false">customer_churn_dataset!A1496</f>
        <v>CUST100357</v>
      </c>
      <c r="B1271" s="22" t="str">
        <f aca="false">customer_churn_dataset!B1496</f>
        <v>Standard</v>
      </c>
      <c r="C1271" s="22" t="str">
        <f aca="false">customer_churn_dataset!C1496</f>
        <v>Month-to-month</v>
      </c>
      <c r="D1271" s="0" t="n">
        <f aca="false">INDEX(customer_churn_dataset!$E$2:$E$1501,MATCH($A1272,customer_churn_dataset!$A$2:$A$1501,0))</f>
        <v>8</v>
      </c>
      <c r="E1271" s="0" t="n">
        <f aca="false">INDEX(customer_churn_dataset!$I$2:$I$1501,MATCH($A1272,customer_churn_dataset!$A$2:$A$1501,0))</f>
        <v>43.6</v>
      </c>
      <c r="F1271" s="0" t="n">
        <f aca="false">INDEX(customer_churn_dataset!$L$2:$L$1501,MATCH($A1272,customer_churn_dataset!$A$2:$A$1501,0))</f>
        <v>0</v>
      </c>
      <c r="G1271" s="0" t="str">
        <f aca="false">IF(INDEX(customer_churn_dataset!$M$2:$M$1501,MATCH($A1272,customer_churn_dataset!$A$2:$A$1501,0))=1,"Yes","No")</f>
        <v>No</v>
      </c>
      <c r="H1271" s="0" t="n">
        <f aca="false">INDEX(customer_churn_dataset!$N$2:$N$1501,MATCH($A1272,customer_churn_dataset!$A$2:$A$1501,0))</f>
        <v>310</v>
      </c>
      <c r="I1271" s="0" t="n">
        <f aca="false">INDEX(customer_churn_dataset!$O$2:$O$1501,MATCH($A1272,customer_churn_dataset!$A$2:$A$1501,0))</f>
        <v>0</v>
      </c>
      <c r="J1271" s="0" t="n">
        <f aca="false">INDEX(customer_churn_dataset!$T$2:$T$1501,MATCH($A1272,customer_churn_dataset!$A$2:$A$1501,0))</f>
        <v>4</v>
      </c>
      <c r="K1271" s="0" t="str">
        <f aca="false">INDEX(customer_churn_dataset!$V$2:$V$1501,MATCH($A1272,customer_churn_dataset!$A$2:$A$1501,0))</f>
        <v>Medium Risk</v>
      </c>
    </row>
    <row r="1272" customFormat="false" ht="12.8" hidden="true" customHeight="false" outlineLevel="0" collapsed="false">
      <c r="A1272" s="22" t="str">
        <f aca="false">customer_churn_dataset!A1499</f>
        <v>CUST100050</v>
      </c>
      <c r="B1272" s="22" t="str">
        <f aca="false">customer_churn_dataset!B1499</f>
        <v>Premium</v>
      </c>
      <c r="C1272" s="22" t="str">
        <f aca="false">customer_churn_dataset!C1499</f>
        <v>Month-to-month</v>
      </c>
      <c r="D1272" s="0" t="n">
        <f aca="false">INDEX(customer_churn_dataset!$E$2:$E$1501,MATCH($A1273,customer_churn_dataset!$A$2:$A$1501,0))</f>
        <v>13</v>
      </c>
      <c r="E1272" s="0" t="n">
        <f aca="false">INDEX(customer_churn_dataset!$I$2:$I$1501,MATCH($A1273,customer_churn_dataset!$A$2:$A$1501,0))</f>
        <v>41.5</v>
      </c>
      <c r="F1272" s="0" t="n">
        <f aca="false">INDEX(customer_churn_dataset!$L$2:$L$1501,MATCH($A1273,customer_churn_dataset!$A$2:$A$1501,0))</f>
        <v>3</v>
      </c>
      <c r="G1272" s="0" t="str">
        <f aca="false">IF(INDEX(customer_churn_dataset!$M$2:$M$1501,MATCH($A1273,customer_churn_dataset!$A$2:$A$1501,0))=1,"Yes","No")</f>
        <v>No</v>
      </c>
      <c r="H1272" s="0" t="n">
        <f aca="false">INDEX(customer_churn_dataset!$N$2:$N$1501,MATCH($A1273,customer_churn_dataset!$A$2:$A$1501,0))</f>
        <v>130.91</v>
      </c>
      <c r="I1272" s="0" t="n">
        <f aca="false">INDEX(customer_churn_dataset!$O$2:$O$1501,MATCH($A1273,customer_churn_dataset!$A$2:$A$1501,0))</f>
        <v>0</v>
      </c>
      <c r="J1272" s="0" t="n">
        <f aca="false">INDEX(customer_churn_dataset!$T$2:$T$1501,MATCH($A1273,customer_churn_dataset!$A$2:$A$1501,0))</f>
        <v>4</v>
      </c>
      <c r="K1272" s="0" t="str">
        <f aca="false">INDEX(customer_churn_dataset!$V$2:$V$1501,MATCH($A1273,customer_churn_dataset!$A$2:$A$1501,0))</f>
        <v>Medium Risk</v>
      </c>
    </row>
    <row r="1273" customFormat="false" ht="12.8" hidden="true" customHeight="false" outlineLevel="0" collapsed="false">
      <c r="A1273" s="22" t="str">
        <f aca="false">customer_churn_dataset!A42</f>
        <v>CUST101462</v>
      </c>
      <c r="B1273" s="22" t="str">
        <f aca="false">customer_churn_dataset!B42</f>
        <v>Basic</v>
      </c>
      <c r="C1273" s="22" t="str">
        <f aca="false">customer_churn_dataset!C42</f>
        <v>Month-to-month</v>
      </c>
      <c r="D1273" s="0" t="n">
        <f aca="false">INDEX(customer_churn_dataset!$E$2:$E$1501,MATCH($A1274,customer_churn_dataset!$A$2:$A$1501,0))</f>
        <v>6</v>
      </c>
      <c r="E1273" s="0" t="n">
        <f aca="false">INDEX(customer_churn_dataset!$I$2:$I$1501,MATCH($A1274,customer_churn_dataset!$A$2:$A$1501,0))</f>
        <v>73</v>
      </c>
      <c r="F1273" s="0" t="n">
        <f aca="false">INDEX(customer_churn_dataset!$L$2:$L$1501,MATCH($A1274,customer_churn_dataset!$A$2:$A$1501,0))</f>
        <v>0</v>
      </c>
      <c r="G1273" s="0" t="str">
        <f aca="false">IF(INDEX(customer_churn_dataset!$M$2:$M$1501,MATCH($A1274,customer_churn_dataset!$A$2:$A$1501,0))=1,"Yes","No")</f>
        <v>No</v>
      </c>
      <c r="H1273" s="0" t="n">
        <f aca="false">INDEX(customer_churn_dataset!$N$2:$N$1501,MATCH($A1274,customer_churn_dataset!$A$2:$A$1501,0))</f>
        <v>113.16</v>
      </c>
      <c r="I1273" s="0" t="n">
        <f aca="false">INDEX(customer_churn_dataset!$O$2:$O$1501,MATCH($A1274,customer_churn_dataset!$A$2:$A$1501,0))</f>
        <v>0</v>
      </c>
      <c r="J1273" s="0" t="n">
        <f aca="false">INDEX(customer_churn_dataset!$T$2:$T$1501,MATCH($A1274,customer_churn_dataset!$A$2:$A$1501,0))</f>
        <v>3</v>
      </c>
      <c r="K1273" s="0" t="str">
        <f aca="false">INDEX(customer_churn_dataset!$V$2:$V$1501,MATCH($A1274,customer_churn_dataset!$A$2:$A$1501,0))</f>
        <v>Medium Risk</v>
      </c>
    </row>
    <row r="1274" customFormat="false" ht="12.8" hidden="true" customHeight="false" outlineLevel="0" collapsed="false">
      <c r="A1274" s="22" t="str">
        <f aca="false">customer_churn_dataset!A19</f>
        <v>CUST100747</v>
      </c>
      <c r="B1274" s="22" t="str">
        <f aca="false">customer_churn_dataset!B19</f>
        <v>Standard</v>
      </c>
      <c r="C1274" s="22" t="str">
        <f aca="false">customer_churn_dataset!C19</f>
        <v>Month-to-month</v>
      </c>
      <c r="D1274" s="0" t="n">
        <f aca="false">INDEX(customer_churn_dataset!$E$2:$E$1501,MATCH($A1275,customer_churn_dataset!$A$2:$A$1501,0))</f>
        <v>3</v>
      </c>
      <c r="E1274" s="0" t="n">
        <f aca="false">INDEX(customer_churn_dataset!$I$2:$I$1501,MATCH($A1275,customer_churn_dataset!$A$2:$A$1501,0))</f>
        <v>80</v>
      </c>
      <c r="F1274" s="0" t="n">
        <f aca="false">INDEX(customer_churn_dataset!$L$2:$L$1501,MATCH($A1275,customer_churn_dataset!$A$2:$A$1501,0))</f>
        <v>2</v>
      </c>
      <c r="G1274" s="0" t="str">
        <f aca="false">IF(INDEX(customer_churn_dataset!$M$2:$M$1501,MATCH($A1275,customer_churn_dataset!$A$2:$A$1501,0))=1,"Yes","No")</f>
        <v>Yes</v>
      </c>
      <c r="H1274" s="0" t="n">
        <f aca="false">INDEX(customer_churn_dataset!$N$2:$N$1501,MATCH($A1275,customer_churn_dataset!$A$2:$A$1501,0))</f>
        <v>124.83</v>
      </c>
      <c r="I1274" s="0" t="n">
        <f aca="false">INDEX(customer_churn_dataset!$O$2:$O$1501,MATCH($A1275,customer_churn_dataset!$A$2:$A$1501,0))</f>
        <v>1</v>
      </c>
      <c r="J1274" s="0" t="n">
        <f aca="false">INDEX(customer_churn_dataset!$T$2:$T$1501,MATCH($A1275,customer_churn_dataset!$A$2:$A$1501,0))</f>
        <v>7</v>
      </c>
      <c r="K1274" s="0" t="str">
        <f aca="false">INDEX(customer_churn_dataset!$V$2:$V$1501,MATCH($A1275,customer_churn_dataset!$A$2:$A$1501,0))</f>
        <v>High Risk</v>
      </c>
    </row>
    <row r="1275" customFormat="false" ht="12.8" hidden="true" customHeight="false" outlineLevel="0" collapsed="false">
      <c r="A1275" s="22" t="str">
        <f aca="false">customer_churn_dataset!A14</f>
        <v>CUST101084</v>
      </c>
      <c r="B1275" s="22" t="str">
        <f aca="false">customer_churn_dataset!B14</f>
        <v>Premium</v>
      </c>
      <c r="C1275" s="22" t="str">
        <f aca="false">customer_churn_dataset!C14</f>
        <v>Month-to-month</v>
      </c>
      <c r="D1275" s="0" t="n">
        <f aca="false">INDEX(customer_churn_dataset!$E$2:$E$1501,MATCH($A1276,customer_churn_dataset!$A$2:$A$1501,0))</f>
        <v>17</v>
      </c>
      <c r="E1275" s="0" t="n">
        <f aca="false">INDEX(customer_churn_dataset!$I$2:$I$1501,MATCH($A1276,customer_churn_dataset!$A$2:$A$1501,0))</f>
        <v>56.9</v>
      </c>
      <c r="F1275" s="0" t="n">
        <f aca="false">INDEX(customer_churn_dataset!$L$2:$L$1501,MATCH($A1276,customer_churn_dataset!$A$2:$A$1501,0))</f>
        <v>2</v>
      </c>
      <c r="G1275" s="0" t="str">
        <f aca="false">IF(INDEX(customer_churn_dataset!$M$2:$M$1501,MATCH($A1276,customer_churn_dataset!$A$2:$A$1501,0))=1,"Yes","No")</f>
        <v>No</v>
      </c>
      <c r="H1275" s="0" t="n">
        <f aca="false">INDEX(customer_churn_dataset!$N$2:$N$1501,MATCH($A1276,customer_churn_dataset!$A$2:$A$1501,0))</f>
        <v>330.48</v>
      </c>
      <c r="I1275" s="0" t="n">
        <f aca="false">INDEX(customer_churn_dataset!$O$2:$O$1501,MATCH($A1276,customer_churn_dataset!$A$2:$A$1501,0))</f>
        <v>1</v>
      </c>
      <c r="J1275" s="0" t="n">
        <f aca="false">INDEX(customer_churn_dataset!$T$2:$T$1501,MATCH($A1276,customer_churn_dataset!$A$2:$A$1501,0))</f>
        <v>3</v>
      </c>
      <c r="K1275" s="0" t="str">
        <f aca="false">INDEX(customer_churn_dataset!$V$2:$V$1501,MATCH($A1276,customer_churn_dataset!$A$2:$A$1501,0))</f>
        <v>Medium Risk</v>
      </c>
    </row>
    <row r="1276" customFormat="false" ht="12.8" hidden="true" customHeight="false" outlineLevel="0" collapsed="false">
      <c r="A1276" s="22" t="str">
        <f aca="false">customer_churn_dataset!A82</f>
        <v>CUST101211</v>
      </c>
      <c r="B1276" s="22" t="str">
        <f aca="false">customer_churn_dataset!B82</f>
        <v>Standard</v>
      </c>
      <c r="C1276" s="22" t="str">
        <f aca="false">customer_churn_dataset!C82</f>
        <v>Month-to-month</v>
      </c>
      <c r="D1276" s="0" t="n">
        <f aca="false">INDEX(customer_churn_dataset!$E$2:$E$1501,MATCH($A1277,customer_churn_dataset!$A$2:$A$1501,0))</f>
        <v>10</v>
      </c>
      <c r="E1276" s="0" t="n">
        <f aca="false">INDEX(customer_churn_dataset!$I$2:$I$1501,MATCH($A1277,customer_churn_dataset!$A$2:$A$1501,0))</f>
        <v>71.6</v>
      </c>
      <c r="F1276" s="0" t="n">
        <f aca="false">INDEX(customer_churn_dataset!$L$2:$L$1501,MATCH($A1277,customer_churn_dataset!$A$2:$A$1501,0))</f>
        <v>0</v>
      </c>
      <c r="G1276" s="0" t="str">
        <f aca="false">IF(INDEX(customer_churn_dataset!$M$2:$M$1501,MATCH($A1277,customer_churn_dataset!$A$2:$A$1501,0))=1,"Yes","No")</f>
        <v>No</v>
      </c>
      <c r="H1276" s="0" t="n">
        <f aca="false">INDEX(customer_churn_dataset!$N$2:$N$1501,MATCH($A1277,customer_churn_dataset!$A$2:$A$1501,0))</f>
        <v>205.4</v>
      </c>
      <c r="I1276" s="0" t="n">
        <f aca="false">INDEX(customer_churn_dataset!$O$2:$O$1501,MATCH($A1277,customer_churn_dataset!$A$2:$A$1501,0))</f>
        <v>0</v>
      </c>
      <c r="J1276" s="0" t="n">
        <f aca="false">INDEX(customer_churn_dataset!$T$2:$T$1501,MATCH($A1277,customer_churn_dataset!$A$2:$A$1501,0))</f>
        <v>1</v>
      </c>
      <c r="K1276" s="0" t="str">
        <f aca="false">INDEX(customer_churn_dataset!$V$2:$V$1501,MATCH($A1277,customer_churn_dataset!$A$2:$A$1501,0))</f>
        <v>Low Risk</v>
      </c>
    </row>
    <row r="1277" customFormat="false" ht="12.8" hidden="true" customHeight="false" outlineLevel="0" collapsed="false">
      <c r="A1277" s="22" t="str">
        <f aca="false">customer_churn_dataset!A106</f>
        <v>CUST100028</v>
      </c>
      <c r="B1277" s="22" t="str">
        <f aca="false">customer_churn_dataset!B106</f>
        <v>Standard</v>
      </c>
      <c r="C1277" s="22" t="str">
        <f aca="false">customer_churn_dataset!C106</f>
        <v>Two year</v>
      </c>
      <c r="D1277" s="0" t="n">
        <f aca="false">INDEX(customer_churn_dataset!$E$2:$E$1501,MATCH($A1278,customer_churn_dataset!$A$2:$A$1501,0))</f>
        <v>3</v>
      </c>
      <c r="E1277" s="0" t="n">
        <f aca="false">INDEX(customer_churn_dataset!$I$2:$I$1501,MATCH($A1278,customer_churn_dataset!$A$2:$A$1501,0))</f>
        <v>37.1</v>
      </c>
      <c r="F1277" s="0" t="n">
        <f aca="false">INDEX(customer_churn_dataset!$L$2:$L$1501,MATCH($A1278,customer_churn_dataset!$A$2:$A$1501,0))</f>
        <v>5</v>
      </c>
      <c r="G1277" s="0" t="str">
        <f aca="false">IF(INDEX(customer_churn_dataset!$M$2:$M$1501,MATCH($A1278,customer_churn_dataset!$A$2:$A$1501,0))=1,"Yes","No")</f>
        <v>No</v>
      </c>
      <c r="H1277" s="0" t="n">
        <f aca="false">INDEX(customer_churn_dataset!$N$2:$N$1501,MATCH($A1278,customer_churn_dataset!$A$2:$A$1501,0))</f>
        <v>61.23</v>
      </c>
      <c r="I1277" s="0" t="n">
        <f aca="false">INDEX(customer_churn_dataset!$O$2:$O$1501,MATCH($A1278,customer_churn_dataset!$A$2:$A$1501,0))</f>
        <v>1</v>
      </c>
      <c r="J1277" s="0" t="n">
        <f aca="false">INDEX(customer_churn_dataset!$T$2:$T$1501,MATCH($A1278,customer_churn_dataset!$A$2:$A$1501,0))</f>
        <v>6</v>
      </c>
      <c r="K1277" s="0" t="str">
        <f aca="false">INDEX(customer_churn_dataset!$V$2:$V$1501,MATCH($A1278,customer_churn_dataset!$A$2:$A$1501,0))</f>
        <v>High Risk</v>
      </c>
    </row>
    <row r="1278" customFormat="false" ht="12.8" hidden="true" customHeight="false" outlineLevel="0" collapsed="false">
      <c r="A1278" s="22" t="str">
        <f aca="false">customer_churn_dataset!A108</f>
        <v>CUST100477</v>
      </c>
      <c r="B1278" s="22" t="str">
        <f aca="false">customer_churn_dataset!B108</f>
        <v>Standard</v>
      </c>
      <c r="C1278" s="22" t="str">
        <f aca="false">customer_churn_dataset!C108</f>
        <v>Month-to-month</v>
      </c>
      <c r="D1278" s="0" t="n">
        <f aca="false">INDEX(customer_churn_dataset!$E$2:$E$1501,MATCH($A1279,customer_churn_dataset!$A$2:$A$1501,0))</f>
        <v>4</v>
      </c>
      <c r="E1278" s="0" t="n">
        <f aca="false">INDEX(customer_churn_dataset!$I$2:$I$1501,MATCH($A1279,customer_churn_dataset!$A$2:$A$1501,0))</f>
        <v>71</v>
      </c>
      <c r="F1278" s="0" t="n">
        <f aca="false">INDEX(customer_churn_dataset!$L$2:$L$1501,MATCH($A1279,customer_churn_dataset!$A$2:$A$1501,0))</f>
        <v>1</v>
      </c>
      <c r="G1278" s="0" t="str">
        <f aca="false">IF(INDEX(customer_churn_dataset!$M$2:$M$1501,MATCH($A1279,customer_churn_dataset!$A$2:$A$1501,0))=1,"Yes","No")</f>
        <v>No</v>
      </c>
      <c r="H1278" s="0" t="n">
        <f aca="false">INDEX(customer_churn_dataset!$N$2:$N$1501,MATCH($A1279,customer_churn_dataset!$A$2:$A$1501,0))</f>
        <v>32.4</v>
      </c>
      <c r="I1278" s="0" t="n">
        <f aca="false">INDEX(customer_churn_dataset!$O$2:$O$1501,MATCH($A1279,customer_churn_dataset!$A$2:$A$1501,0))</f>
        <v>0</v>
      </c>
      <c r="J1278" s="0" t="n">
        <f aca="false">INDEX(customer_churn_dataset!$T$2:$T$1501,MATCH($A1279,customer_churn_dataset!$A$2:$A$1501,0))</f>
        <v>3</v>
      </c>
      <c r="K1278" s="0" t="str">
        <f aca="false">INDEX(customer_churn_dataset!$V$2:$V$1501,MATCH($A1279,customer_churn_dataset!$A$2:$A$1501,0))</f>
        <v>Medium Risk</v>
      </c>
    </row>
    <row r="1279" customFormat="false" ht="12.8" hidden="true" customHeight="false" outlineLevel="0" collapsed="false">
      <c r="A1279" s="22" t="str">
        <f aca="false">customer_churn_dataset!A152</f>
        <v>CUST100844</v>
      </c>
      <c r="B1279" s="22" t="str">
        <f aca="false">customer_churn_dataset!B152</f>
        <v>Basic</v>
      </c>
      <c r="C1279" s="22" t="str">
        <f aca="false">customer_churn_dataset!C152</f>
        <v>Month-to-month</v>
      </c>
      <c r="D1279" s="0" t="n">
        <f aca="false">INDEX(customer_churn_dataset!$E$2:$E$1501,MATCH($A1280,customer_churn_dataset!$A$2:$A$1501,0))</f>
        <v>32</v>
      </c>
      <c r="E1279" s="0" t="n">
        <f aca="false">INDEX(customer_churn_dataset!$I$2:$I$1501,MATCH($A1280,customer_churn_dataset!$A$2:$A$1501,0))</f>
        <v>65.8</v>
      </c>
      <c r="F1279" s="0" t="n">
        <f aca="false">INDEX(customer_churn_dataset!$L$2:$L$1501,MATCH($A1280,customer_churn_dataset!$A$2:$A$1501,0))</f>
        <v>2</v>
      </c>
      <c r="G1279" s="0" t="str">
        <f aca="false">IF(INDEX(customer_churn_dataset!$M$2:$M$1501,MATCH($A1280,customer_churn_dataset!$A$2:$A$1501,0))=1,"Yes","No")</f>
        <v>Yes</v>
      </c>
      <c r="H1279" s="0" t="n">
        <f aca="false">INDEX(customer_churn_dataset!$N$2:$N$1501,MATCH($A1280,customer_churn_dataset!$A$2:$A$1501,0))</f>
        <v>615.36</v>
      </c>
      <c r="I1279" s="0" t="n">
        <f aca="false">INDEX(customer_churn_dataset!$O$2:$O$1501,MATCH($A1280,customer_churn_dataset!$A$2:$A$1501,0))</f>
        <v>1</v>
      </c>
      <c r="J1279" s="0" t="n">
        <f aca="false">INDEX(customer_churn_dataset!$T$2:$T$1501,MATCH($A1280,customer_churn_dataset!$A$2:$A$1501,0))</f>
        <v>6</v>
      </c>
      <c r="K1279" s="0" t="str">
        <f aca="false">INDEX(customer_churn_dataset!$V$2:$V$1501,MATCH($A1280,customer_churn_dataset!$A$2:$A$1501,0))</f>
        <v>High Risk</v>
      </c>
    </row>
    <row r="1280" customFormat="false" ht="12.8" hidden="true" customHeight="false" outlineLevel="0" collapsed="false">
      <c r="A1280" s="22" t="str">
        <f aca="false">customer_churn_dataset!A155</f>
        <v>CUST101225</v>
      </c>
      <c r="B1280" s="22" t="str">
        <f aca="false">customer_churn_dataset!B155</f>
        <v>Standard</v>
      </c>
      <c r="C1280" s="22" t="str">
        <f aca="false">customer_churn_dataset!C155</f>
        <v>Month-to-month</v>
      </c>
      <c r="D1280" s="0" t="n">
        <f aca="false">INDEX(customer_churn_dataset!$E$2:$E$1501,MATCH($A1281,customer_churn_dataset!$A$2:$A$1501,0))</f>
        <v>0</v>
      </c>
      <c r="E1280" s="0" t="n">
        <f aca="false">INDEX(customer_churn_dataset!$I$2:$I$1501,MATCH($A1281,customer_churn_dataset!$A$2:$A$1501,0))</f>
        <v>18.8</v>
      </c>
      <c r="F1280" s="0" t="n">
        <f aca="false">INDEX(customer_churn_dataset!$L$2:$L$1501,MATCH($A1281,customer_churn_dataset!$A$2:$A$1501,0))</f>
        <v>2</v>
      </c>
      <c r="G1280" s="0" t="str">
        <f aca="false">IF(INDEX(customer_churn_dataset!$M$2:$M$1501,MATCH($A1281,customer_churn_dataset!$A$2:$A$1501,0))=1,"Yes","No")</f>
        <v>No</v>
      </c>
      <c r="H1280" s="0" t="n">
        <f aca="false">INDEX(customer_churn_dataset!$N$2:$N$1501,MATCH($A1281,customer_churn_dataset!$A$2:$A$1501,0))</f>
        <v>0</v>
      </c>
      <c r="I1280" s="0" t="n">
        <f aca="false">INDEX(customer_churn_dataset!$O$2:$O$1501,MATCH($A1281,customer_churn_dataset!$A$2:$A$1501,0))</f>
        <v>1</v>
      </c>
      <c r="J1280" s="0" t="n">
        <f aca="false">INDEX(customer_churn_dataset!$T$2:$T$1501,MATCH($A1281,customer_churn_dataset!$A$2:$A$1501,0))</f>
        <v>5</v>
      </c>
      <c r="K1280" s="0" t="str">
        <f aca="false">INDEX(customer_churn_dataset!$V$2:$V$1501,MATCH($A1281,customer_churn_dataset!$A$2:$A$1501,0))</f>
        <v>Medium Risk</v>
      </c>
    </row>
    <row r="1281" customFormat="false" ht="12.8" hidden="true" customHeight="false" outlineLevel="0" collapsed="false">
      <c r="A1281" s="22" t="str">
        <f aca="false">customer_churn_dataset!A168</f>
        <v>CUST101119</v>
      </c>
      <c r="B1281" s="22" t="str">
        <f aca="false">customer_churn_dataset!B168</f>
        <v>Basic</v>
      </c>
      <c r="C1281" s="22" t="str">
        <f aca="false">customer_churn_dataset!C168</f>
        <v>One year</v>
      </c>
      <c r="D1281" s="0" t="n">
        <f aca="false">INDEX(customer_churn_dataset!$E$2:$E$1501,MATCH($A1282,customer_churn_dataset!$A$2:$A$1501,0))</f>
        <v>0</v>
      </c>
      <c r="E1281" s="0" t="n">
        <f aca="false">INDEX(customer_churn_dataset!$I$2:$I$1501,MATCH($A1282,customer_churn_dataset!$A$2:$A$1501,0))</f>
        <v>7.7</v>
      </c>
      <c r="F1281" s="0" t="n">
        <f aca="false">INDEX(customer_churn_dataset!$L$2:$L$1501,MATCH($A1282,customer_churn_dataset!$A$2:$A$1501,0))</f>
        <v>1</v>
      </c>
      <c r="G1281" s="0" t="str">
        <f aca="false">IF(INDEX(customer_churn_dataset!$M$2:$M$1501,MATCH($A1282,customer_churn_dataset!$A$2:$A$1501,0))=1,"Yes","No")</f>
        <v>No</v>
      </c>
      <c r="H1281" s="0" t="n">
        <f aca="false">INDEX(customer_churn_dataset!$N$2:$N$1501,MATCH($A1282,customer_churn_dataset!$A$2:$A$1501,0))</f>
        <v>0</v>
      </c>
      <c r="I1281" s="0" t="n">
        <f aca="false">INDEX(customer_churn_dataset!$O$2:$O$1501,MATCH($A1282,customer_churn_dataset!$A$2:$A$1501,0))</f>
        <v>0</v>
      </c>
      <c r="J1281" s="0" t="n">
        <f aca="false">INDEX(customer_churn_dataset!$T$2:$T$1501,MATCH($A1282,customer_churn_dataset!$A$2:$A$1501,0))</f>
        <v>4</v>
      </c>
      <c r="K1281" s="0" t="str">
        <f aca="false">INDEX(customer_churn_dataset!$V$2:$V$1501,MATCH($A1282,customer_churn_dataset!$A$2:$A$1501,0))</f>
        <v>Medium Risk</v>
      </c>
    </row>
    <row r="1282" customFormat="false" ht="12.8" hidden="true" customHeight="false" outlineLevel="0" collapsed="false">
      <c r="A1282" s="22" t="str">
        <f aca="false">customer_churn_dataset!A183</f>
        <v>CUST100908</v>
      </c>
      <c r="B1282" s="22" t="str">
        <f aca="false">customer_churn_dataset!B183</f>
        <v>Basic</v>
      </c>
      <c r="C1282" s="22" t="str">
        <f aca="false">customer_churn_dataset!C183</f>
        <v>One year</v>
      </c>
      <c r="D1282" s="0" t="n">
        <f aca="false">INDEX(customer_churn_dataset!$E$2:$E$1501,MATCH($A1283,customer_churn_dataset!$A$2:$A$1501,0))</f>
        <v>55</v>
      </c>
      <c r="E1282" s="0" t="n">
        <f aca="false">INDEX(customer_churn_dataset!$I$2:$I$1501,MATCH($A1283,customer_churn_dataset!$A$2:$A$1501,0))</f>
        <v>61.2</v>
      </c>
      <c r="F1282" s="0" t="n">
        <f aca="false">INDEX(customer_churn_dataset!$L$2:$L$1501,MATCH($A1283,customer_churn_dataset!$A$2:$A$1501,0))</f>
        <v>2</v>
      </c>
      <c r="G1282" s="0" t="str">
        <f aca="false">IF(INDEX(customer_churn_dataset!$M$2:$M$1501,MATCH($A1283,customer_churn_dataset!$A$2:$A$1501,0))=1,"Yes","No")</f>
        <v>Yes</v>
      </c>
      <c r="H1282" s="0" t="n">
        <f aca="false">INDEX(customer_churn_dataset!$N$2:$N$1501,MATCH($A1283,customer_churn_dataset!$A$2:$A$1501,0))</f>
        <v>572</v>
      </c>
      <c r="I1282" s="0" t="n">
        <f aca="false">INDEX(customer_churn_dataset!$O$2:$O$1501,MATCH($A1283,customer_churn_dataset!$A$2:$A$1501,0))</f>
        <v>0</v>
      </c>
      <c r="J1282" s="0" t="n">
        <f aca="false">INDEX(customer_churn_dataset!$T$2:$T$1501,MATCH($A1283,customer_churn_dataset!$A$2:$A$1501,0))</f>
        <v>5</v>
      </c>
      <c r="K1282" s="0" t="str">
        <f aca="false">INDEX(customer_churn_dataset!$V$2:$V$1501,MATCH($A1283,customer_churn_dataset!$A$2:$A$1501,0))</f>
        <v>Medium Risk</v>
      </c>
    </row>
    <row r="1283" customFormat="false" ht="12.8" hidden="true" customHeight="false" outlineLevel="0" collapsed="false">
      <c r="A1283" s="22" t="str">
        <f aca="false">customer_churn_dataset!A199</f>
        <v>CUST100063</v>
      </c>
      <c r="B1283" s="22" t="str">
        <f aca="false">customer_churn_dataset!B199</f>
        <v>Basic</v>
      </c>
      <c r="C1283" s="22" t="str">
        <f aca="false">customer_churn_dataset!C199</f>
        <v>One year</v>
      </c>
      <c r="D1283" s="0" t="n">
        <f aca="false">INDEX(customer_churn_dataset!$E$2:$E$1501,MATCH($A1284,customer_churn_dataset!$A$2:$A$1501,0))</f>
        <v>62</v>
      </c>
      <c r="E1283" s="0" t="n">
        <f aca="false">INDEX(customer_churn_dataset!$I$2:$I$1501,MATCH($A1284,customer_churn_dataset!$A$2:$A$1501,0))</f>
        <v>100</v>
      </c>
      <c r="F1283" s="0" t="n">
        <f aca="false">INDEX(customer_churn_dataset!$L$2:$L$1501,MATCH($A1284,customer_churn_dataset!$A$2:$A$1501,0))</f>
        <v>3</v>
      </c>
      <c r="G1283" s="0" t="str">
        <f aca="false">IF(INDEX(customer_churn_dataset!$M$2:$M$1501,MATCH($A1284,customer_churn_dataset!$A$2:$A$1501,0))=1,"Yes","No")</f>
        <v>Yes</v>
      </c>
      <c r="H1283" s="0" t="n">
        <f aca="false">INDEX(customer_churn_dataset!$N$2:$N$1501,MATCH($A1284,customer_churn_dataset!$A$2:$A$1501,0))</f>
        <v>589.62</v>
      </c>
      <c r="I1283" s="0" t="n">
        <f aca="false">INDEX(customer_churn_dataset!$O$2:$O$1501,MATCH($A1284,customer_churn_dataset!$A$2:$A$1501,0))</f>
        <v>0</v>
      </c>
      <c r="J1283" s="0" t="n">
        <f aca="false">INDEX(customer_churn_dataset!$T$2:$T$1501,MATCH($A1284,customer_churn_dataset!$A$2:$A$1501,0))</f>
        <v>6</v>
      </c>
      <c r="K1283" s="0" t="str">
        <f aca="false">INDEX(customer_churn_dataset!$V$2:$V$1501,MATCH($A1284,customer_churn_dataset!$A$2:$A$1501,0))</f>
        <v>High Risk</v>
      </c>
    </row>
    <row r="1284" customFormat="false" ht="12.8" hidden="true" customHeight="false" outlineLevel="0" collapsed="false">
      <c r="A1284" s="22" t="str">
        <f aca="false">customer_churn_dataset!A206</f>
        <v>CUST100896</v>
      </c>
      <c r="B1284" s="22" t="str">
        <f aca="false">customer_churn_dataset!B206</f>
        <v>Basic</v>
      </c>
      <c r="C1284" s="22" t="str">
        <f aca="false">customer_churn_dataset!C206</f>
        <v>Month-to-month</v>
      </c>
      <c r="D1284" s="0" t="n">
        <f aca="false">INDEX(customer_churn_dataset!$E$2:$E$1501,MATCH($A1285,customer_churn_dataset!$A$2:$A$1501,0))</f>
        <v>36</v>
      </c>
      <c r="E1284" s="0" t="n">
        <f aca="false">INDEX(customer_churn_dataset!$I$2:$I$1501,MATCH($A1285,customer_churn_dataset!$A$2:$A$1501,0))</f>
        <v>73.7</v>
      </c>
      <c r="F1284" s="0" t="n">
        <f aca="false">INDEX(customer_churn_dataset!$L$2:$L$1501,MATCH($A1285,customer_churn_dataset!$A$2:$A$1501,0))</f>
        <v>1</v>
      </c>
      <c r="G1284" s="0" t="str">
        <f aca="false">IF(INDEX(customer_churn_dataset!$M$2:$M$1501,MATCH($A1285,customer_churn_dataset!$A$2:$A$1501,0))=1,"Yes","No")</f>
        <v>No</v>
      </c>
      <c r="H1284" s="0" t="n">
        <f aca="false">INDEX(customer_churn_dataset!$N$2:$N$1501,MATCH($A1285,customer_churn_dataset!$A$2:$A$1501,0))</f>
        <v>707.76</v>
      </c>
      <c r="I1284" s="0" t="n">
        <f aca="false">INDEX(customer_churn_dataset!$O$2:$O$1501,MATCH($A1285,customer_churn_dataset!$A$2:$A$1501,0))</f>
        <v>0</v>
      </c>
      <c r="J1284" s="0" t="n">
        <f aca="false">INDEX(customer_churn_dataset!$T$2:$T$1501,MATCH($A1285,customer_churn_dataset!$A$2:$A$1501,0))</f>
        <v>2</v>
      </c>
      <c r="K1284" s="0" t="str">
        <f aca="false">INDEX(customer_churn_dataset!$V$2:$V$1501,MATCH($A1285,customer_churn_dataset!$A$2:$A$1501,0))</f>
        <v>Low Risk</v>
      </c>
    </row>
    <row r="1285" customFormat="false" ht="12.8" hidden="true" customHeight="false" outlineLevel="0" collapsed="false">
      <c r="A1285" s="22" t="str">
        <f aca="false">customer_churn_dataset!A240</f>
        <v>CUST100474</v>
      </c>
      <c r="B1285" s="22" t="str">
        <f aca="false">customer_churn_dataset!B240</f>
        <v>Standard</v>
      </c>
      <c r="C1285" s="22" t="str">
        <f aca="false">customer_churn_dataset!C240</f>
        <v>Month-to-month</v>
      </c>
      <c r="D1285" s="0" t="n">
        <f aca="false">INDEX(customer_churn_dataset!$E$2:$E$1501,MATCH($A1286,customer_churn_dataset!$A$2:$A$1501,0))</f>
        <v>4</v>
      </c>
      <c r="E1285" s="0" t="n">
        <f aca="false">INDEX(customer_churn_dataset!$I$2:$I$1501,MATCH($A1286,customer_churn_dataset!$A$2:$A$1501,0))</f>
        <v>69.6</v>
      </c>
      <c r="F1285" s="0" t="n">
        <f aca="false">INDEX(customer_churn_dataset!$L$2:$L$1501,MATCH($A1286,customer_churn_dataset!$A$2:$A$1501,0))</f>
        <v>1</v>
      </c>
      <c r="G1285" s="0" t="str">
        <f aca="false">IF(INDEX(customer_churn_dataset!$M$2:$M$1501,MATCH($A1286,customer_churn_dataset!$A$2:$A$1501,0))=1,"Yes","No")</f>
        <v>No</v>
      </c>
      <c r="H1285" s="0" t="n">
        <f aca="false">INDEX(customer_churn_dataset!$N$2:$N$1501,MATCH($A1286,customer_churn_dataset!$A$2:$A$1501,0))</f>
        <v>160.72</v>
      </c>
      <c r="I1285" s="0" t="n">
        <f aca="false">INDEX(customer_churn_dataset!$O$2:$O$1501,MATCH($A1286,customer_churn_dataset!$A$2:$A$1501,0))</f>
        <v>0</v>
      </c>
      <c r="J1285" s="0" t="n">
        <f aca="false">INDEX(customer_churn_dataset!$T$2:$T$1501,MATCH($A1286,customer_churn_dataset!$A$2:$A$1501,0))</f>
        <v>3</v>
      </c>
      <c r="K1285" s="0" t="str">
        <f aca="false">INDEX(customer_churn_dataset!$V$2:$V$1501,MATCH($A1286,customer_churn_dataset!$A$2:$A$1501,0))</f>
        <v>Medium Risk</v>
      </c>
    </row>
    <row r="1286" customFormat="false" ht="12.8" hidden="true" customHeight="false" outlineLevel="0" collapsed="false">
      <c r="A1286" s="22" t="str">
        <f aca="false">customer_churn_dataset!A259</f>
        <v>CUST100813</v>
      </c>
      <c r="B1286" s="22" t="str">
        <f aca="false">customer_churn_dataset!B259</f>
        <v>Premium</v>
      </c>
      <c r="C1286" s="22" t="str">
        <f aca="false">customer_churn_dataset!C259</f>
        <v>Month-to-month</v>
      </c>
      <c r="D1286" s="0" t="n">
        <f aca="false">INDEX(customer_churn_dataset!$E$2:$E$1501,MATCH($A1287,customer_churn_dataset!$A$2:$A$1501,0))</f>
        <v>24</v>
      </c>
      <c r="E1286" s="0" t="n">
        <f aca="false">INDEX(customer_churn_dataset!$I$2:$I$1501,MATCH($A1287,customer_churn_dataset!$A$2:$A$1501,0))</f>
        <v>29.6</v>
      </c>
      <c r="F1286" s="0" t="n">
        <f aca="false">INDEX(customer_churn_dataset!$L$2:$L$1501,MATCH($A1287,customer_churn_dataset!$A$2:$A$1501,0))</f>
        <v>2</v>
      </c>
      <c r="G1286" s="0" t="str">
        <f aca="false">IF(INDEX(customer_churn_dataset!$M$2:$M$1501,MATCH($A1287,customer_churn_dataset!$A$2:$A$1501,0))=1,"Yes","No")</f>
        <v>Yes</v>
      </c>
      <c r="H1286" s="0" t="n">
        <f aca="false">INDEX(customer_churn_dataset!$N$2:$N$1501,MATCH($A1287,customer_churn_dataset!$A$2:$A$1501,0))</f>
        <v>495.6</v>
      </c>
      <c r="I1286" s="0" t="n">
        <f aca="false">INDEX(customer_churn_dataset!$O$2:$O$1501,MATCH($A1287,customer_churn_dataset!$A$2:$A$1501,0))</f>
        <v>0</v>
      </c>
      <c r="J1286" s="0" t="n">
        <f aca="false">INDEX(customer_churn_dataset!$T$2:$T$1501,MATCH($A1287,customer_churn_dataset!$A$2:$A$1501,0))</f>
        <v>7</v>
      </c>
      <c r="K1286" s="0" t="str">
        <f aca="false">INDEX(customer_churn_dataset!$V$2:$V$1501,MATCH($A1287,customer_churn_dataset!$A$2:$A$1501,0))</f>
        <v>High Risk</v>
      </c>
    </row>
    <row r="1287" customFormat="false" ht="12.8" hidden="true" customHeight="false" outlineLevel="0" collapsed="false">
      <c r="A1287" s="22" t="str">
        <f aca="false">customer_churn_dataset!A261</f>
        <v>CUST100848</v>
      </c>
      <c r="B1287" s="22" t="str">
        <f aca="false">customer_churn_dataset!B261</f>
        <v>Standard</v>
      </c>
      <c r="C1287" s="22" t="str">
        <f aca="false">customer_churn_dataset!C261</f>
        <v>One year</v>
      </c>
      <c r="D1287" s="0" t="n">
        <f aca="false">INDEX(customer_churn_dataset!$E$2:$E$1501,MATCH($A1288,customer_churn_dataset!$A$2:$A$1501,0))</f>
        <v>14</v>
      </c>
      <c r="E1287" s="0" t="n">
        <f aca="false">INDEX(customer_churn_dataset!$I$2:$I$1501,MATCH($A1288,customer_churn_dataset!$A$2:$A$1501,0))</f>
        <v>80.7</v>
      </c>
      <c r="F1287" s="0" t="n">
        <f aca="false">INDEX(customer_churn_dataset!$L$2:$L$1501,MATCH($A1288,customer_churn_dataset!$A$2:$A$1501,0))</f>
        <v>3</v>
      </c>
      <c r="G1287" s="0" t="str">
        <f aca="false">IF(INDEX(customer_churn_dataset!$M$2:$M$1501,MATCH($A1288,customer_churn_dataset!$A$2:$A$1501,0))=1,"Yes","No")</f>
        <v>No</v>
      </c>
      <c r="H1287" s="0" t="n">
        <f aca="false">INDEX(customer_churn_dataset!$N$2:$N$1501,MATCH($A1288,customer_churn_dataset!$A$2:$A$1501,0))</f>
        <v>154.7</v>
      </c>
      <c r="I1287" s="0" t="n">
        <f aca="false">INDEX(customer_churn_dataset!$O$2:$O$1501,MATCH($A1288,customer_churn_dataset!$A$2:$A$1501,0))</f>
        <v>0</v>
      </c>
      <c r="J1287" s="0" t="n">
        <f aca="false">INDEX(customer_churn_dataset!$T$2:$T$1501,MATCH($A1288,customer_churn_dataset!$A$2:$A$1501,0))</f>
        <v>2</v>
      </c>
      <c r="K1287" s="0" t="str">
        <f aca="false">INDEX(customer_churn_dataset!$V$2:$V$1501,MATCH($A1288,customer_churn_dataset!$A$2:$A$1501,0))</f>
        <v>Low Risk</v>
      </c>
    </row>
    <row r="1288" customFormat="false" ht="12.8" hidden="true" customHeight="false" outlineLevel="0" collapsed="false">
      <c r="A1288" s="22" t="str">
        <f aca="false">customer_churn_dataset!A274</f>
        <v>CUST101190</v>
      </c>
      <c r="B1288" s="22" t="str">
        <f aca="false">customer_churn_dataset!B274</f>
        <v>Basic</v>
      </c>
      <c r="C1288" s="22" t="str">
        <f aca="false">customer_churn_dataset!C274</f>
        <v>One year</v>
      </c>
      <c r="D1288" s="0" t="n">
        <f aca="false">INDEX(customer_churn_dataset!$E$2:$E$1501,MATCH($A1289,customer_churn_dataset!$A$2:$A$1501,0))</f>
        <v>72</v>
      </c>
      <c r="E1288" s="0" t="n">
        <f aca="false">INDEX(customer_churn_dataset!$I$2:$I$1501,MATCH($A1289,customer_churn_dataset!$A$2:$A$1501,0))</f>
        <v>53.3</v>
      </c>
      <c r="F1288" s="0" t="n">
        <f aca="false">INDEX(customer_churn_dataset!$L$2:$L$1501,MATCH($A1289,customer_churn_dataset!$A$2:$A$1501,0))</f>
        <v>1</v>
      </c>
      <c r="G1288" s="0" t="str">
        <f aca="false">IF(INDEX(customer_churn_dataset!$M$2:$M$1501,MATCH($A1289,customer_churn_dataset!$A$2:$A$1501,0))=1,"Yes","No")</f>
        <v>No</v>
      </c>
      <c r="H1288" s="0" t="n">
        <f aca="false">INDEX(customer_churn_dataset!$N$2:$N$1501,MATCH($A1289,customer_churn_dataset!$A$2:$A$1501,0))</f>
        <v>689.76</v>
      </c>
      <c r="I1288" s="0" t="n">
        <f aca="false">INDEX(customer_churn_dataset!$O$2:$O$1501,MATCH($A1289,customer_churn_dataset!$A$2:$A$1501,0))</f>
        <v>0</v>
      </c>
      <c r="J1288" s="0" t="n">
        <f aca="false">INDEX(customer_churn_dataset!$T$2:$T$1501,MATCH($A1289,customer_churn_dataset!$A$2:$A$1501,0))</f>
        <v>3</v>
      </c>
      <c r="K1288" s="0" t="str">
        <f aca="false">INDEX(customer_churn_dataset!$V$2:$V$1501,MATCH($A1289,customer_churn_dataset!$A$2:$A$1501,0))</f>
        <v>Medium Risk</v>
      </c>
    </row>
    <row r="1289" customFormat="false" ht="12.8" hidden="true" customHeight="false" outlineLevel="0" collapsed="false">
      <c r="A1289" s="22" t="str">
        <f aca="false">customer_churn_dataset!A290</f>
        <v>CUST101078</v>
      </c>
      <c r="B1289" s="22" t="str">
        <f aca="false">customer_churn_dataset!B290</f>
        <v>Basic</v>
      </c>
      <c r="C1289" s="22" t="str">
        <f aca="false">customer_churn_dataset!C290</f>
        <v>Month-to-month</v>
      </c>
      <c r="D1289" s="0" t="n">
        <f aca="false">INDEX(customer_churn_dataset!$E$2:$E$1501,MATCH($A1290,customer_churn_dataset!$A$2:$A$1501,0))</f>
        <v>17</v>
      </c>
      <c r="E1289" s="0" t="n">
        <f aca="false">INDEX(customer_churn_dataset!$I$2:$I$1501,MATCH($A1290,customer_churn_dataset!$A$2:$A$1501,0))</f>
        <v>65</v>
      </c>
      <c r="F1289" s="0" t="n">
        <f aca="false">INDEX(customer_churn_dataset!$L$2:$L$1501,MATCH($A1290,customer_churn_dataset!$A$2:$A$1501,0))</f>
        <v>2</v>
      </c>
      <c r="G1289" s="0" t="str">
        <f aca="false">IF(INDEX(customer_churn_dataset!$M$2:$M$1501,MATCH($A1290,customer_churn_dataset!$A$2:$A$1501,0))=1,"Yes","No")</f>
        <v>No</v>
      </c>
      <c r="H1289" s="0" t="n">
        <f aca="false">INDEX(customer_churn_dataset!$N$2:$N$1501,MATCH($A1290,customer_churn_dataset!$A$2:$A$1501,0))</f>
        <v>151.64</v>
      </c>
      <c r="I1289" s="0" t="n">
        <f aca="false">INDEX(customer_churn_dataset!$O$2:$O$1501,MATCH($A1290,customer_churn_dataset!$A$2:$A$1501,0))</f>
        <v>0</v>
      </c>
      <c r="J1289" s="0" t="n">
        <f aca="false">INDEX(customer_churn_dataset!$T$2:$T$1501,MATCH($A1290,customer_churn_dataset!$A$2:$A$1501,0))</f>
        <v>3</v>
      </c>
      <c r="K1289" s="0" t="str">
        <f aca="false">INDEX(customer_churn_dataset!$V$2:$V$1501,MATCH($A1290,customer_churn_dataset!$A$2:$A$1501,0))</f>
        <v>Medium Risk</v>
      </c>
    </row>
    <row r="1290" customFormat="false" ht="12.8" hidden="true" customHeight="false" outlineLevel="0" collapsed="false">
      <c r="A1290" s="22" t="str">
        <f aca="false">customer_churn_dataset!A298</f>
        <v>CUST100762</v>
      </c>
      <c r="B1290" s="22" t="str">
        <f aca="false">customer_churn_dataset!B298</f>
        <v>Basic</v>
      </c>
      <c r="C1290" s="22" t="str">
        <f aca="false">customer_churn_dataset!C298</f>
        <v>Month-to-month</v>
      </c>
      <c r="D1290" s="0" t="n">
        <f aca="false">INDEX(customer_churn_dataset!$E$2:$E$1501,MATCH($A1291,customer_churn_dataset!$A$2:$A$1501,0))</f>
        <v>72</v>
      </c>
      <c r="E1290" s="0" t="n">
        <f aca="false">INDEX(customer_churn_dataset!$I$2:$I$1501,MATCH($A1291,customer_churn_dataset!$A$2:$A$1501,0))</f>
        <v>52.4</v>
      </c>
      <c r="F1290" s="0" t="n">
        <f aca="false">INDEX(customer_churn_dataset!$L$2:$L$1501,MATCH($A1291,customer_churn_dataset!$A$2:$A$1501,0))</f>
        <v>1</v>
      </c>
      <c r="G1290" s="0" t="str">
        <f aca="false">IF(INDEX(customer_churn_dataset!$M$2:$M$1501,MATCH($A1291,customer_churn_dataset!$A$2:$A$1501,0))=1,"Yes","No")</f>
        <v>Yes</v>
      </c>
      <c r="H1290" s="0" t="n">
        <f aca="false">INDEX(customer_churn_dataset!$N$2:$N$1501,MATCH($A1291,customer_churn_dataset!$A$2:$A$1501,0))</f>
        <v>646.56</v>
      </c>
      <c r="I1290" s="0" t="n">
        <f aca="false">INDEX(customer_churn_dataset!$O$2:$O$1501,MATCH($A1291,customer_churn_dataset!$A$2:$A$1501,0))</f>
        <v>0</v>
      </c>
      <c r="J1290" s="0" t="n">
        <f aca="false">INDEX(customer_churn_dataset!$T$2:$T$1501,MATCH($A1291,customer_churn_dataset!$A$2:$A$1501,0))</f>
        <v>4</v>
      </c>
      <c r="K1290" s="0" t="str">
        <f aca="false">INDEX(customer_churn_dataset!$V$2:$V$1501,MATCH($A1291,customer_churn_dataset!$A$2:$A$1501,0))</f>
        <v>Medium Risk</v>
      </c>
    </row>
    <row r="1291" customFormat="false" ht="12.8" hidden="true" customHeight="false" outlineLevel="0" collapsed="false">
      <c r="A1291" s="22" t="str">
        <f aca="false">customer_churn_dataset!A322</f>
        <v>CUST101400</v>
      </c>
      <c r="B1291" s="22" t="str">
        <f aca="false">customer_churn_dataset!B322</f>
        <v>Basic</v>
      </c>
      <c r="C1291" s="22" t="str">
        <f aca="false">customer_churn_dataset!C322</f>
        <v>Two year</v>
      </c>
      <c r="D1291" s="0" t="n">
        <f aca="false">INDEX(customer_churn_dataset!$E$2:$E$1501,MATCH($A1292,customer_churn_dataset!$A$2:$A$1501,0))</f>
        <v>67</v>
      </c>
      <c r="E1291" s="0" t="n">
        <f aca="false">INDEX(customer_churn_dataset!$I$2:$I$1501,MATCH($A1292,customer_churn_dataset!$A$2:$A$1501,0))</f>
        <v>61.5</v>
      </c>
      <c r="F1291" s="0" t="n">
        <f aca="false">INDEX(customer_churn_dataset!$L$2:$L$1501,MATCH($A1292,customer_churn_dataset!$A$2:$A$1501,0))</f>
        <v>2</v>
      </c>
      <c r="G1291" s="0" t="str">
        <f aca="false">IF(INDEX(customer_churn_dataset!$M$2:$M$1501,MATCH($A1292,customer_churn_dataset!$A$2:$A$1501,0))=1,"Yes","No")</f>
        <v>No</v>
      </c>
      <c r="H1291" s="0" t="n">
        <f aca="false">INDEX(customer_churn_dataset!$N$2:$N$1501,MATCH($A1292,customer_churn_dataset!$A$2:$A$1501,0))</f>
        <v>2607.64</v>
      </c>
      <c r="I1291" s="0" t="n">
        <f aca="false">INDEX(customer_churn_dataset!$O$2:$O$1501,MATCH($A1292,customer_churn_dataset!$A$2:$A$1501,0))</f>
        <v>1</v>
      </c>
      <c r="J1291" s="0" t="n">
        <f aca="false">INDEX(customer_churn_dataset!$T$2:$T$1501,MATCH($A1292,customer_churn_dataset!$A$2:$A$1501,0))</f>
        <v>3</v>
      </c>
      <c r="K1291" s="0" t="str">
        <f aca="false">INDEX(customer_churn_dataset!$V$2:$V$1501,MATCH($A1292,customer_churn_dataset!$A$2:$A$1501,0))</f>
        <v>Medium Risk</v>
      </c>
    </row>
    <row r="1292" customFormat="false" ht="12.8" hidden="true" customHeight="false" outlineLevel="0" collapsed="false">
      <c r="A1292" s="22" t="str">
        <f aca="false">customer_churn_dataset!A341</f>
        <v>CUST100577</v>
      </c>
      <c r="B1292" s="22" t="str">
        <f aca="false">customer_churn_dataset!B341</f>
        <v>Premium</v>
      </c>
      <c r="C1292" s="22" t="str">
        <f aca="false">customer_churn_dataset!C341</f>
        <v>Month-to-month</v>
      </c>
      <c r="D1292" s="0" t="n">
        <f aca="false">INDEX(customer_churn_dataset!$E$2:$E$1501,MATCH($A1293,customer_churn_dataset!$A$2:$A$1501,0))</f>
        <v>22</v>
      </c>
      <c r="E1292" s="0" t="n">
        <f aca="false">INDEX(customer_churn_dataset!$I$2:$I$1501,MATCH($A1293,customer_churn_dataset!$A$2:$A$1501,0))</f>
        <v>40.2</v>
      </c>
      <c r="F1292" s="0" t="n">
        <f aca="false">INDEX(customer_churn_dataset!$L$2:$L$1501,MATCH($A1293,customer_churn_dataset!$A$2:$A$1501,0))</f>
        <v>3</v>
      </c>
      <c r="G1292" s="0" t="str">
        <f aca="false">IF(INDEX(customer_churn_dataset!$M$2:$M$1501,MATCH($A1293,customer_churn_dataset!$A$2:$A$1501,0))=1,"Yes","No")</f>
        <v>Yes</v>
      </c>
      <c r="H1292" s="0" t="n">
        <f aca="false">INDEX(customer_churn_dataset!$N$2:$N$1501,MATCH($A1293,customer_churn_dataset!$A$2:$A$1501,0))</f>
        <v>463.32</v>
      </c>
      <c r="I1292" s="0" t="n">
        <f aca="false">INDEX(customer_churn_dataset!$O$2:$O$1501,MATCH($A1293,customer_churn_dataset!$A$2:$A$1501,0))</f>
        <v>0</v>
      </c>
      <c r="J1292" s="0" t="n">
        <f aca="false">INDEX(customer_churn_dataset!$T$2:$T$1501,MATCH($A1293,customer_churn_dataset!$A$2:$A$1501,0))</f>
        <v>5</v>
      </c>
      <c r="K1292" s="0" t="str">
        <f aca="false">INDEX(customer_churn_dataset!$V$2:$V$1501,MATCH($A1293,customer_churn_dataset!$A$2:$A$1501,0))</f>
        <v>Medium Risk</v>
      </c>
    </row>
    <row r="1293" customFormat="false" ht="12.8" hidden="true" customHeight="false" outlineLevel="0" collapsed="false">
      <c r="A1293" s="22" t="str">
        <f aca="false">customer_churn_dataset!A380</f>
        <v>CUST101475</v>
      </c>
      <c r="B1293" s="22" t="str">
        <f aca="false">customer_churn_dataset!B380</f>
        <v>Standard</v>
      </c>
      <c r="C1293" s="22" t="str">
        <f aca="false">customer_churn_dataset!C380</f>
        <v>Two year</v>
      </c>
      <c r="D1293" s="0" t="n">
        <f aca="false">INDEX(customer_churn_dataset!$E$2:$E$1501,MATCH($A1294,customer_churn_dataset!$A$2:$A$1501,0))</f>
        <v>13</v>
      </c>
      <c r="E1293" s="0" t="n">
        <f aca="false">INDEX(customer_churn_dataset!$I$2:$I$1501,MATCH($A1294,customer_churn_dataset!$A$2:$A$1501,0))</f>
        <v>15.7</v>
      </c>
      <c r="F1293" s="0" t="n">
        <f aca="false">INDEX(customer_churn_dataset!$L$2:$L$1501,MATCH($A1294,customer_churn_dataset!$A$2:$A$1501,0))</f>
        <v>4</v>
      </c>
      <c r="G1293" s="0" t="str">
        <f aca="false">IF(INDEX(customer_churn_dataset!$M$2:$M$1501,MATCH($A1294,customer_churn_dataset!$A$2:$A$1501,0))=1,"Yes","No")</f>
        <v>No</v>
      </c>
      <c r="H1293" s="0" t="n">
        <f aca="false">INDEX(customer_churn_dataset!$N$2:$N$1501,MATCH($A1294,customer_churn_dataset!$A$2:$A$1501,0))</f>
        <v>121.94</v>
      </c>
      <c r="I1293" s="0" t="n">
        <f aca="false">INDEX(customer_churn_dataset!$O$2:$O$1501,MATCH($A1294,customer_churn_dataset!$A$2:$A$1501,0))</f>
        <v>1</v>
      </c>
      <c r="J1293" s="0" t="n">
        <f aca="false">INDEX(customer_churn_dataset!$T$2:$T$1501,MATCH($A1294,customer_churn_dataset!$A$2:$A$1501,0))</f>
        <v>5</v>
      </c>
      <c r="K1293" s="0" t="str">
        <f aca="false">INDEX(customer_churn_dataset!$V$2:$V$1501,MATCH($A1294,customer_churn_dataset!$A$2:$A$1501,0))</f>
        <v>Medium Risk</v>
      </c>
    </row>
    <row r="1294" customFormat="false" ht="12.8" hidden="true" customHeight="false" outlineLevel="0" collapsed="false">
      <c r="A1294" s="22" t="str">
        <f aca="false">customer_churn_dataset!A398</f>
        <v>CUST100616</v>
      </c>
      <c r="B1294" s="22" t="str">
        <f aca="false">customer_churn_dataset!B398</f>
        <v>Basic</v>
      </c>
      <c r="C1294" s="22" t="str">
        <f aca="false">customer_churn_dataset!C398</f>
        <v>Month-to-month</v>
      </c>
      <c r="D1294" s="0" t="n">
        <f aca="false">INDEX(customer_churn_dataset!$E$2:$E$1501,MATCH($A1295,customer_churn_dataset!$A$2:$A$1501,0))</f>
        <v>60</v>
      </c>
      <c r="E1294" s="0" t="n">
        <f aca="false">INDEX(customer_churn_dataset!$I$2:$I$1501,MATCH($A1295,customer_churn_dataset!$A$2:$A$1501,0))</f>
        <v>57.9</v>
      </c>
      <c r="F1294" s="0" t="n">
        <f aca="false">INDEX(customer_churn_dataset!$L$2:$L$1501,MATCH($A1295,customer_churn_dataset!$A$2:$A$1501,0))</f>
        <v>0</v>
      </c>
      <c r="G1294" s="0" t="str">
        <f aca="false">IF(INDEX(customer_churn_dataset!$M$2:$M$1501,MATCH($A1295,customer_churn_dataset!$A$2:$A$1501,0))=1,"Yes","No")</f>
        <v>No</v>
      </c>
      <c r="H1294" s="0" t="n">
        <f aca="false">INDEX(customer_churn_dataset!$N$2:$N$1501,MATCH($A1295,customer_churn_dataset!$A$2:$A$1501,0))</f>
        <v>624.6</v>
      </c>
      <c r="I1294" s="0" t="n">
        <f aca="false">INDEX(customer_churn_dataset!$O$2:$O$1501,MATCH($A1295,customer_churn_dataset!$A$2:$A$1501,0))</f>
        <v>0</v>
      </c>
      <c r="J1294" s="0" t="n">
        <f aca="false">INDEX(customer_churn_dataset!$T$2:$T$1501,MATCH($A1295,customer_churn_dataset!$A$2:$A$1501,0))</f>
        <v>2</v>
      </c>
      <c r="K1294" s="0" t="str">
        <f aca="false">INDEX(customer_churn_dataset!$V$2:$V$1501,MATCH($A1295,customer_churn_dataset!$A$2:$A$1501,0))</f>
        <v>Low Risk</v>
      </c>
    </row>
    <row r="1295" customFormat="false" ht="12.8" hidden="true" customHeight="false" outlineLevel="0" collapsed="false">
      <c r="A1295" s="22" t="str">
        <f aca="false">customer_churn_dataset!A454</f>
        <v>CUST100317</v>
      </c>
      <c r="B1295" s="22" t="str">
        <f aca="false">customer_churn_dataset!B454</f>
        <v>Basic</v>
      </c>
      <c r="C1295" s="22" t="str">
        <f aca="false">customer_churn_dataset!C454</f>
        <v>Month-to-month</v>
      </c>
      <c r="D1295" s="0" t="n">
        <f aca="false">INDEX(customer_churn_dataset!$E$2:$E$1501,MATCH($A1296,customer_churn_dataset!$A$2:$A$1501,0))</f>
        <v>1</v>
      </c>
      <c r="E1295" s="0" t="n">
        <f aca="false">INDEX(customer_churn_dataset!$I$2:$I$1501,MATCH($A1296,customer_churn_dataset!$A$2:$A$1501,0))</f>
        <v>52.8</v>
      </c>
      <c r="F1295" s="0" t="n">
        <f aca="false">INDEX(customer_churn_dataset!$L$2:$L$1501,MATCH($A1296,customer_churn_dataset!$A$2:$A$1501,0))</f>
        <v>0</v>
      </c>
      <c r="G1295" s="0" t="str">
        <f aca="false">IF(INDEX(customer_churn_dataset!$M$2:$M$1501,MATCH($A1296,customer_churn_dataset!$A$2:$A$1501,0))=1,"Yes","No")</f>
        <v>No</v>
      </c>
      <c r="H1295" s="0" t="n">
        <f aca="false">INDEX(customer_churn_dataset!$N$2:$N$1501,MATCH($A1296,customer_churn_dataset!$A$2:$A$1501,0))</f>
        <v>9.56</v>
      </c>
      <c r="I1295" s="0" t="n">
        <f aca="false">INDEX(customer_churn_dataset!$O$2:$O$1501,MATCH($A1296,customer_churn_dataset!$A$2:$A$1501,0))</f>
        <v>0</v>
      </c>
      <c r="J1295" s="0" t="n">
        <f aca="false">INDEX(customer_churn_dataset!$T$2:$T$1501,MATCH($A1296,customer_churn_dataset!$A$2:$A$1501,0))</f>
        <v>4</v>
      </c>
      <c r="K1295" s="0" t="str">
        <f aca="false">INDEX(customer_churn_dataset!$V$2:$V$1501,MATCH($A1296,customer_churn_dataset!$A$2:$A$1501,0))</f>
        <v>Medium Risk</v>
      </c>
    </row>
    <row r="1296" customFormat="false" ht="12.8" hidden="true" customHeight="false" outlineLevel="0" collapsed="false">
      <c r="A1296" s="22" t="str">
        <f aca="false">customer_churn_dataset!A488</f>
        <v>CUST100458</v>
      </c>
      <c r="B1296" s="22" t="str">
        <f aca="false">customer_churn_dataset!B488</f>
        <v>Basic</v>
      </c>
      <c r="C1296" s="22" t="str">
        <f aca="false">customer_churn_dataset!C488</f>
        <v>Month-to-month</v>
      </c>
      <c r="D1296" s="0" t="n">
        <f aca="false">INDEX(customer_churn_dataset!$E$2:$E$1501,MATCH($A1297,customer_churn_dataset!$A$2:$A$1501,0))</f>
        <v>8</v>
      </c>
      <c r="E1296" s="0" t="n">
        <f aca="false">INDEX(customer_churn_dataset!$I$2:$I$1501,MATCH($A1297,customer_churn_dataset!$A$2:$A$1501,0))</f>
        <v>88.3</v>
      </c>
      <c r="F1296" s="0" t="n">
        <f aca="false">INDEX(customer_churn_dataset!$L$2:$L$1501,MATCH($A1297,customer_churn_dataset!$A$2:$A$1501,0))</f>
        <v>0</v>
      </c>
      <c r="G1296" s="0" t="str">
        <f aca="false">IF(INDEX(customer_churn_dataset!$M$2:$M$1501,MATCH($A1297,customer_churn_dataset!$A$2:$A$1501,0))=1,"Yes","No")</f>
        <v>No</v>
      </c>
      <c r="H1296" s="0" t="n">
        <f aca="false">INDEX(customer_churn_dataset!$N$2:$N$1501,MATCH($A1297,customer_churn_dataset!$A$2:$A$1501,0))</f>
        <v>172.16</v>
      </c>
      <c r="I1296" s="0" t="n">
        <f aca="false">INDEX(customer_churn_dataset!$O$2:$O$1501,MATCH($A1297,customer_churn_dataset!$A$2:$A$1501,0))</f>
        <v>0</v>
      </c>
      <c r="J1296" s="0" t="n">
        <f aca="false">INDEX(customer_churn_dataset!$T$2:$T$1501,MATCH($A1297,customer_churn_dataset!$A$2:$A$1501,0))</f>
        <v>2</v>
      </c>
      <c r="K1296" s="0" t="str">
        <f aca="false">INDEX(customer_churn_dataset!$V$2:$V$1501,MATCH($A1297,customer_churn_dataset!$A$2:$A$1501,0))</f>
        <v>Low Risk</v>
      </c>
    </row>
    <row r="1297" customFormat="false" ht="12.8" hidden="true" customHeight="false" outlineLevel="0" collapsed="false">
      <c r="A1297" s="22" t="str">
        <f aca="false">customer_churn_dataset!A502</f>
        <v>CUST101205</v>
      </c>
      <c r="B1297" s="22" t="str">
        <f aca="false">customer_churn_dataset!B502</f>
        <v>Standard</v>
      </c>
      <c r="C1297" s="22" t="str">
        <f aca="false">customer_churn_dataset!C502</f>
        <v>One year</v>
      </c>
      <c r="D1297" s="0" t="n">
        <f aca="false">INDEX(customer_churn_dataset!$E$2:$E$1501,MATCH($A1298,customer_churn_dataset!$A$2:$A$1501,0))</f>
        <v>36</v>
      </c>
      <c r="E1297" s="0" t="n">
        <f aca="false">INDEX(customer_churn_dataset!$I$2:$I$1501,MATCH($A1298,customer_churn_dataset!$A$2:$A$1501,0))</f>
        <v>33.4</v>
      </c>
      <c r="F1297" s="0" t="n">
        <f aca="false">INDEX(customer_churn_dataset!$L$2:$L$1501,MATCH($A1298,customer_churn_dataset!$A$2:$A$1501,0))</f>
        <v>3</v>
      </c>
      <c r="G1297" s="0" t="str">
        <f aca="false">IF(INDEX(customer_churn_dataset!$M$2:$M$1501,MATCH($A1298,customer_churn_dataset!$A$2:$A$1501,0))=1,"Yes","No")</f>
        <v>Yes</v>
      </c>
      <c r="H1297" s="0" t="n">
        <f aca="false">INDEX(customer_churn_dataset!$N$2:$N$1501,MATCH($A1298,customer_churn_dataset!$A$2:$A$1501,0))</f>
        <v>1532.52</v>
      </c>
      <c r="I1297" s="0" t="n">
        <f aca="false">INDEX(customer_churn_dataset!$O$2:$O$1501,MATCH($A1298,customer_churn_dataset!$A$2:$A$1501,0))</f>
        <v>0</v>
      </c>
      <c r="J1297" s="0" t="n">
        <f aca="false">INDEX(customer_churn_dataset!$T$2:$T$1501,MATCH($A1298,customer_churn_dataset!$A$2:$A$1501,0))</f>
        <v>6</v>
      </c>
      <c r="K1297" s="0" t="str">
        <f aca="false">INDEX(customer_churn_dataset!$V$2:$V$1501,MATCH($A1298,customer_churn_dataset!$A$2:$A$1501,0))</f>
        <v>High Risk</v>
      </c>
    </row>
    <row r="1298" customFormat="false" ht="12.8" hidden="true" customHeight="false" outlineLevel="0" collapsed="false">
      <c r="A1298" s="22" t="str">
        <f aca="false">customer_churn_dataset!A505</f>
        <v>CUST100073</v>
      </c>
      <c r="B1298" s="22" t="str">
        <f aca="false">customer_churn_dataset!B505</f>
        <v>Premium</v>
      </c>
      <c r="C1298" s="22" t="str">
        <f aca="false">customer_churn_dataset!C505</f>
        <v>Two year</v>
      </c>
      <c r="D1298" s="0" t="n">
        <f aca="false">INDEX(customer_churn_dataset!$E$2:$E$1501,MATCH($A1299,customer_churn_dataset!$A$2:$A$1501,0))</f>
        <v>72</v>
      </c>
      <c r="E1298" s="0" t="n">
        <f aca="false">INDEX(customer_churn_dataset!$I$2:$I$1501,MATCH($A1299,customer_churn_dataset!$A$2:$A$1501,0))</f>
        <v>57.9</v>
      </c>
      <c r="F1298" s="0" t="n">
        <f aca="false">INDEX(customer_churn_dataset!$L$2:$L$1501,MATCH($A1299,customer_churn_dataset!$A$2:$A$1501,0))</f>
        <v>1</v>
      </c>
      <c r="G1298" s="0" t="str">
        <f aca="false">IF(INDEX(customer_churn_dataset!$M$2:$M$1501,MATCH($A1299,customer_churn_dataset!$A$2:$A$1501,0))=1,"Yes","No")</f>
        <v>No</v>
      </c>
      <c r="H1298" s="0" t="n">
        <f aca="false">INDEX(customer_churn_dataset!$N$2:$N$1501,MATCH($A1299,customer_churn_dataset!$A$2:$A$1501,0))</f>
        <v>2910.24</v>
      </c>
      <c r="I1298" s="0" t="n">
        <f aca="false">INDEX(customer_churn_dataset!$O$2:$O$1501,MATCH($A1299,customer_churn_dataset!$A$2:$A$1501,0))</f>
        <v>0</v>
      </c>
      <c r="J1298" s="0" t="n">
        <f aca="false">INDEX(customer_churn_dataset!$T$2:$T$1501,MATCH($A1299,customer_churn_dataset!$A$2:$A$1501,0))</f>
        <v>2</v>
      </c>
      <c r="K1298" s="0" t="str">
        <f aca="false">INDEX(customer_churn_dataset!$V$2:$V$1501,MATCH($A1299,customer_churn_dataset!$A$2:$A$1501,0))</f>
        <v>Low Risk</v>
      </c>
    </row>
    <row r="1299" customFormat="false" ht="12.8" hidden="true" customHeight="false" outlineLevel="0" collapsed="false">
      <c r="A1299" s="22" t="str">
        <f aca="false">customer_churn_dataset!A513</f>
        <v>CUST100485</v>
      </c>
      <c r="B1299" s="22" t="str">
        <f aca="false">customer_churn_dataset!B513</f>
        <v>Premium</v>
      </c>
      <c r="C1299" s="22" t="str">
        <f aca="false">customer_churn_dataset!C513</f>
        <v>Month-to-month</v>
      </c>
      <c r="D1299" s="0" t="n">
        <f aca="false">INDEX(customer_churn_dataset!$E$2:$E$1501,MATCH($A1300,customer_churn_dataset!$A$2:$A$1501,0))</f>
        <v>2</v>
      </c>
      <c r="E1299" s="0" t="n">
        <f aca="false">INDEX(customer_churn_dataset!$I$2:$I$1501,MATCH($A1300,customer_churn_dataset!$A$2:$A$1501,0))</f>
        <v>55.6</v>
      </c>
      <c r="F1299" s="0" t="n">
        <f aca="false">INDEX(customer_churn_dataset!$L$2:$L$1501,MATCH($A1300,customer_churn_dataset!$A$2:$A$1501,0))</f>
        <v>4</v>
      </c>
      <c r="G1299" s="0" t="str">
        <f aca="false">IF(INDEX(customer_churn_dataset!$M$2:$M$1501,MATCH($A1300,customer_churn_dataset!$A$2:$A$1501,0))=1,"Yes","No")</f>
        <v>No</v>
      </c>
      <c r="H1299" s="0" t="n">
        <f aca="false">INDEX(customer_churn_dataset!$N$2:$N$1501,MATCH($A1300,customer_churn_dataset!$A$2:$A$1501,0))</f>
        <v>18.06</v>
      </c>
      <c r="I1299" s="0" t="n">
        <f aca="false">INDEX(customer_churn_dataset!$O$2:$O$1501,MATCH($A1300,customer_churn_dataset!$A$2:$A$1501,0))</f>
        <v>1</v>
      </c>
      <c r="J1299" s="0" t="n">
        <f aca="false">INDEX(customer_churn_dataset!$T$2:$T$1501,MATCH($A1300,customer_churn_dataset!$A$2:$A$1501,0))</f>
        <v>4</v>
      </c>
      <c r="K1299" s="0" t="str">
        <f aca="false">INDEX(customer_churn_dataset!$V$2:$V$1501,MATCH($A1300,customer_churn_dataset!$A$2:$A$1501,0))</f>
        <v>Medium Risk</v>
      </c>
    </row>
    <row r="1300" customFormat="false" ht="12.8" hidden="true" customHeight="false" outlineLevel="0" collapsed="false">
      <c r="A1300" s="22" t="str">
        <f aca="false">customer_churn_dataset!A545</f>
        <v>CUST100476</v>
      </c>
      <c r="B1300" s="22" t="str">
        <f aca="false">customer_churn_dataset!B545</f>
        <v>Basic</v>
      </c>
      <c r="C1300" s="22" t="str">
        <f aca="false">customer_churn_dataset!C545</f>
        <v>Month-to-month</v>
      </c>
      <c r="D1300" s="0" t="n">
        <f aca="false">INDEX(customer_churn_dataset!$E$2:$E$1501,MATCH($A1301,customer_churn_dataset!$A$2:$A$1501,0))</f>
        <v>12</v>
      </c>
      <c r="E1300" s="0" t="n">
        <f aca="false">INDEX(customer_churn_dataset!$I$2:$I$1501,MATCH($A1301,customer_churn_dataset!$A$2:$A$1501,0))</f>
        <v>74.4</v>
      </c>
      <c r="F1300" s="0" t="n">
        <f aca="false">INDEX(customer_churn_dataset!$L$2:$L$1501,MATCH($A1301,customer_churn_dataset!$A$2:$A$1501,0))</f>
        <v>2</v>
      </c>
      <c r="G1300" s="0" t="str">
        <f aca="false">IF(INDEX(customer_churn_dataset!$M$2:$M$1501,MATCH($A1301,customer_churn_dataset!$A$2:$A$1501,0))=1,"Yes","No")</f>
        <v>Yes</v>
      </c>
      <c r="H1300" s="0" t="n">
        <f aca="false">INDEX(customer_churn_dataset!$N$2:$N$1501,MATCH($A1301,customer_churn_dataset!$A$2:$A$1501,0))</f>
        <v>478.08</v>
      </c>
      <c r="I1300" s="0" t="n">
        <f aca="false">INDEX(customer_churn_dataset!$O$2:$O$1501,MATCH($A1301,customer_churn_dataset!$A$2:$A$1501,0))</f>
        <v>0</v>
      </c>
      <c r="J1300" s="0" t="n">
        <f aca="false">INDEX(customer_churn_dataset!$T$2:$T$1501,MATCH($A1301,customer_churn_dataset!$A$2:$A$1501,0))</f>
        <v>6</v>
      </c>
      <c r="K1300" s="0" t="str">
        <f aca="false">INDEX(customer_churn_dataset!$V$2:$V$1501,MATCH($A1301,customer_churn_dataset!$A$2:$A$1501,0))</f>
        <v>High Risk</v>
      </c>
    </row>
    <row r="1301" customFormat="false" ht="12.8" hidden="true" customHeight="false" outlineLevel="0" collapsed="false">
      <c r="A1301" s="22" t="str">
        <f aca="false">customer_churn_dataset!A549</f>
        <v>CUST100067</v>
      </c>
      <c r="B1301" s="22" t="str">
        <f aca="false">customer_churn_dataset!B549</f>
        <v>Premium</v>
      </c>
      <c r="C1301" s="22" t="str">
        <f aca="false">customer_churn_dataset!C549</f>
        <v>Month-to-month</v>
      </c>
      <c r="D1301" s="0" t="n">
        <f aca="false">INDEX(customer_churn_dataset!$E$2:$E$1501,MATCH($A1302,customer_churn_dataset!$A$2:$A$1501,0))</f>
        <v>17</v>
      </c>
      <c r="E1301" s="0" t="n">
        <f aca="false">INDEX(customer_churn_dataset!$I$2:$I$1501,MATCH($A1302,customer_churn_dataset!$A$2:$A$1501,0))</f>
        <v>44.9</v>
      </c>
      <c r="F1301" s="0" t="n">
        <f aca="false">INDEX(customer_churn_dataset!$L$2:$L$1501,MATCH($A1302,customer_churn_dataset!$A$2:$A$1501,0))</f>
        <v>2</v>
      </c>
      <c r="G1301" s="0" t="str">
        <f aca="false">IF(INDEX(customer_churn_dataset!$M$2:$M$1501,MATCH($A1302,customer_churn_dataset!$A$2:$A$1501,0))=1,"Yes","No")</f>
        <v>No</v>
      </c>
      <c r="H1301" s="0" t="n">
        <f aca="false">INDEX(customer_churn_dataset!$N$2:$N$1501,MATCH($A1302,customer_churn_dataset!$A$2:$A$1501,0))</f>
        <v>343.74</v>
      </c>
      <c r="I1301" s="0" t="n">
        <f aca="false">INDEX(customer_churn_dataset!$O$2:$O$1501,MATCH($A1302,customer_churn_dataset!$A$2:$A$1501,0))</f>
        <v>0</v>
      </c>
      <c r="J1301" s="0" t="n">
        <f aca="false">INDEX(customer_churn_dataset!$T$2:$T$1501,MATCH($A1302,customer_churn_dataset!$A$2:$A$1501,0))</f>
        <v>4</v>
      </c>
      <c r="K1301" s="0" t="str">
        <f aca="false">INDEX(customer_churn_dataset!$V$2:$V$1501,MATCH($A1302,customer_churn_dataset!$A$2:$A$1501,0))</f>
        <v>Medium Risk</v>
      </c>
    </row>
    <row r="1302" customFormat="false" ht="12.8" hidden="true" customHeight="false" outlineLevel="0" collapsed="false">
      <c r="A1302" s="22" t="str">
        <f aca="false">customer_churn_dataset!A563</f>
        <v>CUST101152</v>
      </c>
      <c r="B1302" s="22" t="str">
        <f aca="false">customer_churn_dataset!B563</f>
        <v>Standard</v>
      </c>
      <c r="C1302" s="22" t="str">
        <f aca="false">customer_churn_dataset!C563</f>
        <v>Month-to-month</v>
      </c>
      <c r="D1302" s="0" t="n">
        <f aca="false">INDEX(customer_churn_dataset!$E$2:$E$1501,MATCH($A1303,customer_churn_dataset!$A$2:$A$1501,0))</f>
        <v>1</v>
      </c>
      <c r="E1302" s="0" t="n">
        <f aca="false">INDEX(customer_churn_dataset!$I$2:$I$1501,MATCH($A1303,customer_churn_dataset!$A$2:$A$1501,0))</f>
        <v>91.9</v>
      </c>
      <c r="F1302" s="0" t="n">
        <f aca="false">INDEX(customer_churn_dataset!$L$2:$L$1501,MATCH($A1303,customer_churn_dataset!$A$2:$A$1501,0))</f>
        <v>1</v>
      </c>
      <c r="G1302" s="0" t="str">
        <f aca="false">IF(INDEX(customer_churn_dataset!$M$2:$M$1501,MATCH($A1303,customer_churn_dataset!$A$2:$A$1501,0))=1,"Yes","No")</f>
        <v>No</v>
      </c>
      <c r="H1302" s="0" t="n">
        <f aca="false">INDEX(customer_churn_dataset!$N$2:$N$1501,MATCH($A1303,customer_churn_dataset!$A$2:$A$1501,0))</f>
        <v>40.07</v>
      </c>
      <c r="I1302" s="0" t="n">
        <f aca="false">INDEX(customer_churn_dataset!$O$2:$O$1501,MATCH($A1303,customer_churn_dataset!$A$2:$A$1501,0))</f>
        <v>0</v>
      </c>
      <c r="J1302" s="0" t="n">
        <f aca="false">INDEX(customer_churn_dataset!$T$2:$T$1501,MATCH($A1303,customer_churn_dataset!$A$2:$A$1501,0))</f>
        <v>3</v>
      </c>
      <c r="K1302" s="0" t="str">
        <f aca="false">INDEX(customer_churn_dataset!$V$2:$V$1501,MATCH($A1303,customer_churn_dataset!$A$2:$A$1501,0))</f>
        <v>Medium Risk</v>
      </c>
    </row>
    <row r="1303" customFormat="false" ht="12.8" hidden="true" customHeight="false" outlineLevel="0" collapsed="false">
      <c r="A1303" s="22" t="str">
        <f aca="false">customer_churn_dataset!A578</f>
        <v>CUST100661</v>
      </c>
      <c r="B1303" s="22" t="str">
        <f aca="false">customer_churn_dataset!B578</f>
        <v>Premium</v>
      </c>
      <c r="C1303" s="22" t="str">
        <f aca="false">customer_churn_dataset!C578</f>
        <v>Month-to-month</v>
      </c>
      <c r="D1303" s="0" t="n">
        <f aca="false">INDEX(customer_churn_dataset!$E$2:$E$1501,MATCH($A1304,customer_churn_dataset!$A$2:$A$1501,0))</f>
        <v>6</v>
      </c>
      <c r="E1303" s="0" t="n">
        <f aca="false">INDEX(customer_churn_dataset!$I$2:$I$1501,MATCH($A1304,customer_churn_dataset!$A$2:$A$1501,0))</f>
        <v>60.4</v>
      </c>
      <c r="F1303" s="0" t="n">
        <f aca="false">INDEX(customer_churn_dataset!$L$2:$L$1501,MATCH($A1304,customer_churn_dataset!$A$2:$A$1501,0))</f>
        <v>4</v>
      </c>
      <c r="G1303" s="0" t="str">
        <f aca="false">IF(INDEX(customer_churn_dataset!$M$2:$M$1501,MATCH($A1304,customer_churn_dataset!$A$2:$A$1501,0))=1,"Yes","No")</f>
        <v>No</v>
      </c>
      <c r="H1303" s="0" t="n">
        <f aca="false">INDEX(customer_churn_dataset!$N$2:$N$1501,MATCH($A1304,customer_churn_dataset!$A$2:$A$1501,0))</f>
        <v>128.4</v>
      </c>
      <c r="I1303" s="0" t="n">
        <f aca="false">INDEX(customer_churn_dataset!$O$2:$O$1501,MATCH($A1304,customer_churn_dataset!$A$2:$A$1501,0))</f>
        <v>0</v>
      </c>
      <c r="J1303" s="0" t="n">
        <f aca="false">INDEX(customer_churn_dataset!$T$2:$T$1501,MATCH($A1304,customer_churn_dataset!$A$2:$A$1501,0))</f>
        <v>3</v>
      </c>
      <c r="K1303" s="0" t="str">
        <f aca="false">INDEX(customer_churn_dataset!$V$2:$V$1501,MATCH($A1304,customer_churn_dataset!$A$2:$A$1501,0))</f>
        <v>Medium Risk</v>
      </c>
    </row>
    <row r="1304" customFormat="false" ht="12.8" hidden="false" customHeight="false" outlineLevel="0" collapsed="false">
      <c r="A1304" s="23" t="str">
        <f aca="false">customer_churn_dataset!A599</f>
        <v>CUST100481</v>
      </c>
      <c r="B1304" s="24" t="str">
        <f aca="false">customer_churn_dataset!B599</f>
        <v>Standard</v>
      </c>
      <c r="C1304" s="24" t="str">
        <f aca="false">customer_churn_dataset!C599</f>
        <v>One year</v>
      </c>
      <c r="D1304" s="25" t="n">
        <f aca="false">INDEX(customer_churn_dataset!$E$2:$E$1501,MATCH($A1305,customer_churn_dataset!$A$2:$A$1501,0))</f>
        <v>10</v>
      </c>
      <c r="E1304" s="25" t="n">
        <f aca="false">INDEX(customer_churn_dataset!$I$2:$I$1501,MATCH($A1305,customer_churn_dataset!$A$2:$A$1501,0))</f>
        <v>13.6</v>
      </c>
      <c r="F1304" s="25" t="n">
        <f aca="false">INDEX(customer_churn_dataset!$L$2:$L$1501,MATCH($A1305,customer_churn_dataset!$A$2:$A$1501,0))</f>
        <v>1</v>
      </c>
      <c r="G1304" s="25" t="str">
        <f aca="false">IF(INDEX(customer_churn_dataset!$M$2:$M$1501,MATCH($A1305,customer_churn_dataset!$A$2:$A$1501,0))=1,"Yes","No")</f>
        <v>Yes</v>
      </c>
      <c r="H1304" s="25" t="n">
        <f aca="false">INDEX(customer_churn_dataset!$N$2:$N$1501,MATCH($A1305,customer_churn_dataset!$A$2:$A$1501,0))</f>
        <v>381.1</v>
      </c>
      <c r="I1304" s="25" t="n">
        <f aca="false">INDEX(customer_churn_dataset!$O$2:$O$1501,MATCH($A1305,customer_churn_dataset!$A$2:$A$1501,0))</f>
        <v>1</v>
      </c>
      <c r="J1304" s="25" t="n">
        <f aca="false">INDEX(customer_churn_dataset!$T$2:$T$1501,MATCH($A1305,customer_churn_dataset!$A$2:$A$1501,0))</f>
        <v>8</v>
      </c>
      <c r="K1304" s="25" t="str">
        <f aca="false">INDEX(customer_churn_dataset!$V$2:$V$1501,MATCH($A1305,customer_churn_dataset!$A$2:$A$1501,0))</f>
        <v>High Risk</v>
      </c>
    </row>
    <row r="1305" customFormat="false" ht="12.8" hidden="true" customHeight="false" outlineLevel="0" collapsed="false">
      <c r="A1305" s="22" t="str">
        <f aca="false">customer_churn_dataset!A612</f>
        <v>CUST101440</v>
      </c>
      <c r="B1305" s="22" t="str">
        <f aca="false">customer_churn_dataset!B612</f>
        <v>Premium</v>
      </c>
      <c r="C1305" s="22" t="str">
        <f aca="false">customer_churn_dataset!C612</f>
        <v>Month-to-month</v>
      </c>
      <c r="D1305" s="0" t="n">
        <f aca="false">INDEX(customer_churn_dataset!$E$2:$E$1501,MATCH($A1306,customer_churn_dataset!$A$2:$A$1501,0))</f>
        <v>27</v>
      </c>
      <c r="E1305" s="0" t="n">
        <f aca="false">INDEX(customer_churn_dataset!$I$2:$I$1501,MATCH($A1306,customer_churn_dataset!$A$2:$A$1501,0))</f>
        <v>32.3</v>
      </c>
      <c r="F1305" s="0" t="n">
        <f aca="false">INDEX(customer_churn_dataset!$L$2:$L$1501,MATCH($A1306,customer_churn_dataset!$A$2:$A$1501,0))</f>
        <v>2</v>
      </c>
      <c r="G1305" s="0" t="str">
        <f aca="false">IF(INDEX(customer_churn_dataset!$M$2:$M$1501,MATCH($A1306,customer_churn_dataset!$A$2:$A$1501,0))=1,"Yes","No")</f>
        <v>No</v>
      </c>
      <c r="H1305" s="0" t="n">
        <f aca="false">INDEX(customer_churn_dataset!$N$2:$N$1501,MATCH($A1306,customer_churn_dataset!$A$2:$A$1501,0))</f>
        <v>278.91</v>
      </c>
      <c r="I1305" s="0" t="n">
        <f aca="false">INDEX(customer_churn_dataset!$O$2:$O$1501,MATCH($A1306,customer_churn_dataset!$A$2:$A$1501,0))</f>
        <v>0</v>
      </c>
      <c r="J1305" s="0" t="n">
        <f aca="false">INDEX(customer_churn_dataset!$T$2:$T$1501,MATCH($A1306,customer_churn_dataset!$A$2:$A$1501,0))</f>
        <v>4</v>
      </c>
      <c r="K1305" s="0" t="str">
        <f aca="false">INDEX(customer_churn_dataset!$V$2:$V$1501,MATCH($A1306,customer_churn_dataset!$A$2:$A$1501,0))</f>
        <v>Medium Risk</v>
      </c>
    </row>
    <row r="1306" customFormat="false" ht="12.8" hidden="true" customHeight="false" outlineLevel="0" collapsed="false">
      <c r="A1306" s="22" t="str">
        <f aca="false">customer_churn_dataset!A623</f>
        <v>CUST101222</v>
      </c>
      <c r="B1306" s="22" t="str">
        <f aca="false">customer_churn_dataset!B623</f>
        <v>Basic</v>
      </c>
      <c r="C1306" s="22" t="str">
        <f aca="false">customer_churn_dataset!C623</f>
        <v>One year</v>
      </c>
      <c r="D1306" s="0" t="n">
        <f aca="false">INDEX(customer_churn_dataset!$E$2:$E$1501,MATCH($A1307,customer_churn_dataset!$A$2:$A$1501,0))</f>
        <v>14</v>
      </c>
      <c r="E1306" s="0" t="n">
        <f aca="false">INDEX(customer_churn_dataset!$I$2:$I$1501,MATCH($A1307,customer_churn_dataset!$A$2:$A$1501,0))</f>
        <v>60.4</v>
      </c>
      <c r="F1306" s="0" t="n">
        <f aca="false">INDEX(customer_churn_dataset!$L$2:$L$1501,MATCH($A1307,customer_churn_dataset!$A$2:$A$1501,0))</f>
        <v>1</v>
      </c>
      <c r="G1306" s="0" t="str">
        <f aca="false">IF(INDEX(customer_churn_dataset!$M$2:$M$1501,MATCH($A1307,customer_churn_dataset!$A$2:$A$1501,0))=1,"Yes","No")</f>
        <v>No</v>
      </c>
      <c r="H1306" s="0" t="n">
        <f aca="false">INDEX(customer_churn_dataset!$N$2:$N$1501,MATCH($A1307,customer_churn_dataset!$A$2:$A$1501,0))</f>
        <v>577.08</v>
      </c>
      <c r="I1306" s="0" t="n">
        <f aca="false">INDEX(customer_churn_dataset!$O$2:$O$1501,MATCH($A1307,customer_churn_dataset!$A$2:$A$1501,0))</f>
        <v>0</v>
      </c>
      <c r="J1306" s="0" t="n">
        <f aca="false">INDEX(customer_churn_dataset!$T$2:$T$1501,MATCH($A1307,customer_churn_dataset!$A$2:$A$1501,0))</f>
        <v>2</v>
      </c>
      <c r="K1306" s="0" t="str">
        <f aca="false">INDEX(customer_churn_dataset!$V$2:$V$1501,MATCH($A1307,customer_churn_dataset!$A$2:$A$1501,0))</f>
        <v>Low Risk</v>
      </c>
    </row>
    <row r="1307" customFormat="false" ht="12.8" hidden="true" customHeight="false" outlineLevel="0" collapsed="false">
      <c r="A1307" s="22" t="str">
        <f aca="false">customer_churn_dataset!A635</f>
        <v>CUST100389</v>
      </c>
      <c r="B1307" s="22" t="str">
        <f aca="false">customer_churn_dataset!B635</f>
        <v>Premium</v>
      </c>
      <c r="C1307" s="22" t="str">
        <f aca="false">customer_churn_dataset!C635</f>
        <v>Month-to-month</v>
      </c>
      <c r="D1307" s="0" t="n">
        <f aca="false">INDEX(customer_churn_dataset!$E$2:$E$1501,MATCH($A1308,customer_churn_dataset!$A$2:$A$1501,0))</f>
        <v>6</v>
      </c>
      <c r="E1307" s="0" t="n">
        <f aca="false">INDEX(customer_churn_dataset!$I$2:$I$1501,MATCH($A1308,customer_churn_dataset!$A$2:$A$1501,0))</f>
        <v>67.3</v>
      </c>
      <c r="F1307" s="0" t="n">
        <f aca="false">INDEX(customer_churn_dataset!$L$2:$L$1501,MATCH($A1308,customer_churn_dataset!$A$2:$A$1501,0))</f>
        <v>0</v>
      </c>
      <c r="G1307" s="0" t="str">
        <f aca="false">IF(INDEX(customer_churn_dataset!$M$2:$M$1501,MATCH($A1308,customer_churn_dataset!$A$2:$A$1501,0))=1,"Yes","No")</f>
        <v>No</v>
      </c>
      <c r="H1307" s="0" t="n">
        <f aca="false">INDEX(customer_churn_dataset!$N$2:$N$1501,MATCH($A1308,customer_churn_dataset!$A$2:$A$1501,0))</f>
        <v>120.72</v>
      </c>
      <c r="I1307" s="0" t="n">
        <f aca="false">INDEX(customer_churn_dataset!$O$2:$O$1501,MATCH($A1308,customer_churn_dataset!$A$2:$A$1501,0))</f>
        <v>1</v>
      </c>
      <c r="J1307" s="0" t="n">
        <f aca="false">INDEX(customer_churn_dataset!$T$2:$T$1501,MATCH($A1308,customer_churn_dataset!$A$2:$A$1501,0))</f>
        <v>3</v>
      </c>
      <c r="K1307" s="0" t="str">
        <f aca="false">INDEX(customer_churn_dataset!$V$2:$V$1501,MATCH($A1308,customer_churn_dataset!$A$2:$A$1501,0))</f>
        <v>Medium Risk</v>
      </c>
    </row>
    <row r="1308" customFormat="false" ht="12.8" hidden="true" customHeight="false" outlineLevel="0" collapsed="false">
      <c r="A1308" s="22" t="str">
        <f aca="false">customer_churn_dataset!A662</f>
        <v>CUST100534</v>
      </c>
      <c r="B1308" s="22" t="str">
        <f aca="false">customer_churn_dataset!B662</f>
        <v>Standard</v>
      </c>
      <c r="C1308" s="22" t="str">
        <f aca="false">customer_churn_dataset!C662</f>
        <v>Month-to-month</v>
      </c>
      <c r="D1308" s="0" t="n">
        <f aca="false">INDEX(customer_churn_dataset!$E$2:$E$1501,MATCH($A1309,customer_churn_dataset!$A$2:$A$1501,0))</f>
        <v>30</v>
      </c>
      <c r="E1308" s="0" t="n">
        <f aca="false">INDEX(customer_churn_dataset!$I$2:$I$1501,MATCH($A1309,customer_churn_dataset!$A$2:$A$1501,0))</f>
        <v>50.3</v>
      </c>
      <c r="F1308" s="0" t="n">
        <f aca="false">INDEX(customer_churn_dataset!$L$2:$L$1501,MATCH($A1309,customer_churn_dataset!$A$2:$A$1501,0))</f>
        <v>2</v>
      </c>
      <c r="G1308" s="0" t="str">
        <f aca="false">IF(INDEX(customer_churn_dataset!$M$2:$M$1501,MATCH($A1309,customer_churn_dataset!$A$2:$A$1501,0))=1,"Yes","No")</f>
        <v>No</v>
      </c>
      <c r="H1308" s="0" t="n">
        <f aca="false">INDEX(customer_churn_dataset!$N$2:$N$1501,MATCH($A1309,customer_churn_dataset!$A$2:$A$1501,0))</f>
        <v>619.2</v>
      </c>
      <c r="I1308" s="0" t="n">
        <f aca="false">INDEX(customer_churn_dataset!$O$2:$O$1501,MATCH($A1309,customer_churn_dataset!$A$2:$A$1501,0))</f>
        <v>0</v>
      </c>
      <c r="J1308" s="0" t="n">
        <f aca="false">INDEX(customer_churn_dataset!$T$2:$T$1501,MATCH($A1309,customer_churn_dataset!$A$2:$A$1501,0))</f>
        <v>4</v>
      </c>
      <c r="K1308" s="0" t="str">
        <f aca="false">INDEX(customer_churn_dataset!$V$2:$V$1501,MATCH($A1309,customer_churn_dataset!$A$2:$A$1501,0))</f>
        <v>Medium Risk</v>
      </c>
    </row>
    <row r="1309" customFormat="false" ht="12.8" hidden="true" customHeight="false" outlineLevel="0" collapsed="false">
      <c r="A1309" s="22" t="str">
        <f aca="false">customer_churn_dataset!A677</f>
        <v>CUST100803</v>
      </c>
      <c r="B1309" s="22" t="str">
        <f aca="false">customer_churn_dataset!B677</f>
        <v>Standard</v>
      </c>
      <c r="C1309" s="22" t="str">
        <f aca="false">customer_churn_dataset!C677</f>
        <v>Month-to-month</v>
      </c>
      <c r="D1309" s="0" t="n">
        <f aca="false">INDEX(customer_churn_dataset!$E$2:$E$1501,MATCH($A1310,customer_churn_dataset!$A$2:$A$1501,0))</f>
        <v>22</v>
      </c>
      <c r="E1309" s="0" t="n">
        <f aca="false">INDEX(customer_churn_dataset!$I$2:$I$1501,MATCH($A1310,customer_churn_dataset!$A$2:$A$1501,0))</f>
        <v>38</v>
      </c>
      <c r="F1309" s="0" t="n">
        <f aca="false">INDEX(customer_churn_dataset!$L$2:$L$1501,MATCH($A1310,customer_churn_dataset!$A$2:$A$1501,0))</f>
        <v>1</v>
      </c>
      <c r="G1309" s="0" t="str">
        <f aca="false">IF(INDEX(customer_churn_dataset!$M$2:$M$1501,MATCH($A1310,customer_churn_dataset!$A$2:$A$1501,0))=1,"Yes","No")</f>
        <v>No</v>
      </c>
      <c r="H1309" s="0" t="n">
        <f aca="false">INDEX(customer_churn_dataset!$N$2:$N$1501,MATCH($A1310,customer_churn_dataset!$A$2:$A$1501,0))</f>
        <v>445.5</v>
      </c>
      <c r="I1309" s="0" t="n">
        <f aca="false">INDEX(customer_churn_dataset!$O$2:$O$1501,MATCH($A1310,customer_churn_dataset!$A$2:$A$1501,0))</f>
        <v>0</v>
      </c>
      <c r="J1309" s="0" t="n">
        <f aca="false">INDEX(customer_churn_dataset!$T$2:$T$1501,MATCH($A1310,customer_churn_dataset!$A$2:$A$1501,0))</f>
        <v>4</v>
      </c>
      <c r="K1309" s="0" t="str">
        <f aca="false">INDEX(customer_churn_dataset!$V$2:$V$1501,MATCH($A1310,customer_churn_dataset!$A$2:$A$1501,0))</f>
        <v>Medium Risk</v>
      </c>
    </row>
    <row r="1310" customFormat="false" ht="12.8" hidden="true" customHeight="false" outlineLevel="0" collapsed="false">
      <c r="A1310" s="22" t="str">
        <f aca="false">customer_churn_dataset!A712</f>
        <v>CUST101403</v>
      </c>
      <c r="B1310" s="22" t="str">
        <f aca="false">customer_churn_dataset!B712</f>
        <v>Standard</v>
      </c>
      <c r="C1310" s="22" t="str">
        <f aca="false">customer_churn_dataset!C712</f>
        <v>Month-to-month</v>
      </c>
      <c r="D1310" s="0" t="n">
        <f aca="false">INDEX(customer_churn_dataset!$E$2:$E$1501,MATCH($A1311,customer_churn_dataset!$A$2:$A$1501,0))</f>
        <v>72</v>
      </c>
      <c r="E1310" s="0" t="n">
        <f aca="false">INDEX(customer_churn_dataset!$I$2:$I$1501,MATCH($A1311,customer_churn_dataset!$A$2:$A$1501,0))</f>
        <v>65</v>
      </c>
      <c r="F1310" s="0" t="n">
        <f aca="false">INDEX(customer_churn_dataset!$L$2:$L$1501,MATCH($A1311,customer_churn_dataset!$A$2:$A$1501,0))</f>
        <v>2</v>
      </c>
      <c r="G1310" s="0" t="str">
        <f aca="false">IF(INDEX(customer_churn_dataset!$M$2:$M$1501,MATCH($A1311,customer_churn_dataset!$A$2:$A$1501,0))=1,"Yes","No")</f>
        <v>No</v>
      </c>
      <c r="H1310" s="0" t="n">
        <f aca="false">INDEX(customer_churn_dataset!$N$2:$N$1501,MATCH($A1311,customer_churn_dataset!$A$2:$A$1501,0))</f>
        <v>804.96</v>
      </c>
      <c r="I1310" s="0" t="n">
        <f aca="false">INDEX(customer_churn_dataset!$O$2:$O$1501,MATCH($A1311,customer_churn_dataset!$A$2:$A$1501,0))</f>
        <v>0</v>
      </c>
      <c r="J1310" s="0" t="n">
        <f aca="false">INDEX(customer_churn_dataset!$T$2:$T$1501,MATCH($A1311,customer_churn_dataset!$A$2:$A$1501,0))</f>
        <v>3</v>
      </c>
      <c r="K1310" s="0" t="str">
        <f aca="false">INDEX(customer_churn_dataset!$V$2:$V$1501,MATCH($A1311,customer_churn_dataset!$A$2:$A$1501,0))</f>
        <v>Medium Risk</v>
      </c>
    </row>
    <row r="1311" customFormat="false" ht="12.8" hidden="true" customHeight="false" outlineLevel="0" collapsed="false">
      <c r="A1311" s="22" t="str">
        <f aca="false">customer_churn_dataset!A741</f>
        <v>CUST100832</v>
      </c>
      <c r="B1311" s="22" t="str">
        <f aca="false">customer_churn_dataset!B741</f>
        <v>Basic</v>
      </c>
      <c r="C1311" s="22" t="str">
        <f aca="false">customer_churn_dataset!C741</f>
        <v>Month-to-month</v>
      </c>
      <c r="D1311" s="0" t="n">
        <f aca="false">INDEX(customer_churn_dataset!$E$2:$E$1501,MATCH($A1312,customer_churn_dataset!$A$2:$A$1501,0))</f>
        <v>28</v>
      </c>
      <c r="E1311" s="0" t="n">
        <f aca="false">INDEX(customer_churn_dataset!$I$2:$I$1501,MATCH($A1312,customer_churn_dataset!$A$2:$A$1501,0))</f>
        <v>74.3</v>
      </c>
      <c r="F1311" s="0" t="n">
        <f aca="false">INDEX(customer_churn_dataset!$L$2:$L$1501,MATCH($A1312,customer_churn_dataset!$A$2:$A$1501,0))</f>
        <v>0</v>
      </c>
      <c r="G1311" s="0" t="str">
        <f aca="false">IF(INDEX(customer_churn_dataset!$M$2:$M$1501,MATCH($A1312,customer_churn_dataset!$A$2:$A$1501,0))=1,"Yes","No")</f>
        <v>No</v>
      </c>
      <c r="H1311" s="0" t="n">
        <f aca="false">INDEX(customer_churn_dataset!$N$2:$N$1501,MATCH($A1312,customer_churn_dataset!$A$2:$A$1501,0))</f>
        <v>558.6</v>
      </c>
      <c r="I1311" s="0" t="n">
        <f aca="false">INDEX(customer_churn_dataset!$O$2:$O$1501,MATCH($A1312,customer_churn_dataset!$A$2:$A$1501,0))</f>
        <v>0</v>
      </c>
      <c r="J1311" s="0" t="n">
        <f aca="false">INDEX(customer_churn_dataset!$T$2:$T$1501,MATCH($A1312,customer_churn_dataset!$A$2:$A$1501,0))</f>
        <v>2</v>
      </c>
      <c r="K1311" s="0" t="str">
        <f aca="false">INDEX(customer_churn_dataset!$V$2:$V$1501,MATCH($A1312,customer_churn_dataset!$A$2:$A$1501,0))</f>
        <v>Low Risk</v>
      </c>
    </row>
    <row r="1312" customFormat="false" ht="12.8" hidden="true" customHeight="false" outlineLevel="0" collapsed="false">
      <c r="A1312" s="22" t="str">
        <f aca="false">customer_churn_dataset!A745</f>
        <v>CUST101432</v>
      </c>
      <c r="B1312" s="22" t="str">
        <f aca="false">customer_churn_dataset!B745</f>
        <v>Standard</v>
      </c>
      <c r="C1312" s="22" t="str">
        <f aca="false">customer_churn_dataset!C745</f>
        <v>Month-to-month</v>
      </c>
      <c r="D1312" s="0" t="n">
        <f aca="false">INDEX(customer_churn_dataset!$E$2:$E$1501,MATCH($A1313,customer_churn_dataset!$A$2:$A$1501,0))</f>
        <v>8</v>
      </c>
      <c r="E1312" s="0" t="n">
        <f aca="false">INDEX(customer_churn_dataset!$I$2:$I$1501,MATCH($A1313,customer_churn_dataset!$A$2:$A$1501,0))</f>
        <v>34.2</v>
      </c>
      <c r="F1312" s="0" t="n">
        <f aca="false">INDEX(customer_churn_dataset!$L$2:$L$1501,MATCH($A1313,customer_churn_dataset!$A$2:$A$1501,0))</f>
        <v>2</v>
      </c>
      <c r="G1312" s="0" t="str">
        <f aca="false">IF(INDEX(customer_churn_dataset!$M$2:$M$1501,MATCH($A1313,customer_churn_dataset!$A$2:$A$1501,0))=1,"Yes","No")</f>
        <v>No</v>
      </c>
      <c r="H1312" s="0" t="n">
        <f aca="false">INDEX(customer_churn_dataset!$N$2:$N$1501,MATCH($A1313,customer_churn_dataset!$A$2:$A$1501,0))</f>
        <v>86.48</v>
      </c>
      <c r="I1312" s="0" t="n">
        <f aca="false">INDEX(customer_churn_dataset!$O$2:$O$1501,MATCH($A1313,customer_churn_dataset!$A$2:$A$1501,0))</f>
        <v>0</v>
      </c>
      <c r="J1312" s="0" t="n">
        <f aca="false">INDEX(customer_churn_dataset!$T$2:$T$1501,MATCH($A1313,customer_churn_dataset!$A$2:$A$1501,0))</f>
        <v>6</v>
      </c>
      <c r="K1312" s="0" t="str">
        <f aca="false">INDEX(customer_churn_dataset!$V$2:$V$1501,MATCH($A1313,customer_churn_dataset!$A$2:$A$1501,0))</f>
        <v>High Risk</v>
      </c>
    </row>
    <row r="1313" customFormat="false" ht="12.8" hidden="true" customHeight="false" outlineLevel="0" collapsed="false">
      <c r="A1313" s="22" t="str">
        <f aca="false">customer_churn_dataset!A758</f>
        <v>CUST100151</v>
      </c>
      <c r="B1313" s="22" t="str">
        <f aca="false">customer_churn_dataset!B758</f>
        <v>Basic</v>
      </c>
      <c r="C1313" s="22" t="str">
        <f aca="false">customer_churn_dataset!C758</f>
        <v>Month-to-month</v>
      </c>
      <c r="D1313" s="0" t="n">
        <f aca="false">INDEX(customer_churn_dataset!$E$2:$E$1501,MATCH($A1314,customer_churn_dataset!$A$2:$A$1501,0))</f>
        <v>33</v>
      </c>
      <c r="E1313" s="0" t="n">
        <f aca="false">INDEX(customer_churn_dataset!$I$2:$I$1501,MATCH($A1314,customer_churn_dataset!$A$2:$A$1501,0))</f>
        <v>63</v>
      </c>
      <c r="F1313" s="0" t="n">
        <f aca="false">INDEX(customer_churn_dataset!$L$2:$L$1501,MATCH($A1314,customer_churn_dataset!$A$2:$A$1501,0))</f>
        <v>0</v>
      </c>
      <c r="G1313" s="0" t="str">
        <f aca="false">IF(INDEX(customer_churn_dataset!$M$2:$M$1501,MATCH($A1314,customer_churn_dataset!$A$2:$A$1501,0))=1,"Yes","No")</f>
        <v>No</v>
      </c>
      <c r="H1313" s="0" t="n">
        <f aca="false">INDEX(customer_churn_dataset!$N$2:$N$1501,MATCH($A1314,customer_churn_dataset!$A$2:$A$1501,0))</f>
        <v>1326.93</v>
      </c>
      <c r="I1313" s="0" t="n">
        <f aca="false">INDEX(customer_churn_dataset!$O$2:$O$1501,MATCH($A1314,customer_churn_dataset!$A$2:$A$1501,0))</f>
        <v>0</v>
      </c>
      <c r="J1313" s="0" t="n">
        <f aca="false">INDEX(customer_churn_dataset!$T$2:$T$1501,MATCH($A1314,customer_churn_dataset!$A$2:$A$1501,0))</f>
        <v>2</v>
      </c>
      <c r="K1313" s="0" t="str">
        <f aca="false">INDEX(customer_churn_dataset!$V$2:$V$1501,MATCH($A1314,customer_churn_dataset!$A$2:$A$1501,0))</f>
        <v>Low Risk</v>
      </c>
    </row>
    <row r="1314" customFormat="false" ht="12.8" hidden="true" customHeight="false" outlineLevel="0" collapsed="false">
      <c r="A1314" s="22" t="str">
        <f aca="false">customer_churn_dataset!A774</f>
        <v>CUST100799</v>
      </c>
      <c r="B1314" s="22" t="str">
        <f aca="false">customer_churn_dataset!B774</f>
        <v>Premium</v>
      </c>
      <c r="C1314" s="22" t="str">
        <f aca="false">customer_churn_dataset!C774</f>
        <v>Month-to-month</v>
      </c>
      <c r="D1314" s="0" t="n">
        <f aca="false">INDEX(customer_churn_dataset!$E$2:$E$1501,MATCH($A1315,customer_churn_dataset!$A$2:$A$1501,0))</f>
        <v>1</v>
      </c>
      <c r="E1314" s="0" t="n">
        <f aca="false">INDEX(customer_churn_dataset!$I$2:$I$1501,MATCH($A1315,customer_churn_dataset!$A$2:$A$1501,0))</f>
        <v>25.6</v>
      </c>
      <c r="F1314" s="0" t="n">
        <f aca="false">INDEX(customer_churn_dataset!$L$2:$L$1501,MATCH($A1315,customer_churn_dataset!$A$2:$A$1501,0))</f>
        <v>3</v>
      </c>
      <c r="G1314" s="0" t="str">
        <f aca="false">IF(INDEX(customer_churn_dataset!$M$2:$M$1501,MATCH($A1315,customer_churn_dataset!$A$2:$A$1501,0))=1,"Yes","No")</f>
        <v>No</v>
      </c>
      <c r="H1314" s="0" t="n">
        <f aca="false">INDEX(customer_churn_dataset!$N$2:$N$1501,MATCH($A1315,customer_churn_dataset!$A$2:$A$1501,0))</f>
        <v>9.99</v>
      </c>
      <c r="I1314" s="0" t="n">
        <f aca="false">INDEX(customer_churn_dataset!$O$2:$O$1501,MATCH($A1315,customer_churn_dataset!$A$2:$A$1501,0))</f>
        <v>0</v>
      </c>
      <c r="J1314" s="0" t="n">
        <f aca="false">INDEX(customer_churn_dataset!$T$2:$T$1501,MATCH($A1315,customer_churn_dataset!$A$2:$A$1501,0))</f>
        <v>6</v>
      </c>
      <c r="K1314" s="0" t="str">
        <f aca="false">INDEX(customer_churn_dataset!$V$2:$V$1501,MATCH($A1315,customer_churn_dataset!$A$2:$A$1501,0))</f>
        <v>High Risk</v>
      </c>
    </row>
    <row r="1315" customFormat="false" ht="12.8" hidden="false" customHeight="false" outlineLevel="0" collapsed="false">
      <c r="A1315" s="23" t="str">
        <f aca="false">customer_churn_dataset!A776</f>
        <v>CUST101049</v>
      </c>
      <c r="B1315" s="24" t="str">
        <f aca="false">customer_churn_dataset!B776</f>
        <v>Basic</v>
      </c>
      <c r="C1315" s="24" t="str">
        <f aca="false">customer_churn_dataset!C776</f>
        <v>Month-to-month</v>
      </c>
      <c r="D1315" s="25" t="n">
        <f aca="false">INDEX(customer_churn_dataset!$E$2:$E$1501,MATCH($A1316,customer_churn_dataset!$A$2:$A$1501,0))</f>
        <v>14</v>
      </c>
      <c r="E1315" s="25" t="n">
        <f aca="false">INDEX(customer_churn_dataset!$I$2:$I$1501,MATCH($A1316,customer_churn_dataset!$A$2:$A$1501,0))</f>
        <v>16.1</v>
      </c>
      <c r="F1315" s="25" t="n">
        <f aca="false">INDEX(customer_churn_dataset!$L$2:$L$1501,MATCH($A1316,customer_churn_dataset!$A$2:$A$1501,0))</f>
        <v>3</v>
      </c>
      <c r="G1315" s="25" t="str">
        <f aca="false">IF(INDEX(customer_churn_dataset!$M$2:$M$1501,MATCH($A1316,customer_churn_dataset!$A$2:$A$1501,0))=1,"Yes","No")</f>
        <v>Yes</v>
      </c>
      <c r="H1315" s="25" t="n">
        <f aca="false">INDEX(customer_churn_dataset!$N$2:$N$1501,MATCH($A1316,customer_churn_dataset!$A$2:$A$1501,0))</f>
        <v>562.24</v>
      </c>
      <c r="I1315" s="25" t="n">
        <f aca="false">INDEX(customer_churn_dataset!$O$2:$O$1501,MATCH($A1316,customer_churn_dataset!$A$2:$A$1501,0))</f>
        <v>0</v>
      </c>
      <c r="J1315" s="25" t="n">
        <f aca="false">INDEX(customer_churn_dataset!$T$2:$T$1501,MATCH($A1316,customer_churn_dataset!$A$2:$A$1501,0))</f>
        <v>8</v>
      </c>
      <c r="K1315" s="25" t="str">
        <f aca="false">INDEX(customer_churn_dataset!$V$2:$V$1501,MATCH($A1316,customer_churn_dataset!$A$2:$A$1501,0))</f>
        <v>High Risk</v>
      </c>
    </row>
    <row r="1316" customFormat="false" ht="12.8" hidden="true" customHeight="false" outlineLevel="0" collapsed="false">
      <c r="A1316" s="22" t="str">
        <f aca="false">customer_churn_dataset!A778</f>
        <v>CUST100104</v>
      </c>
      <c r="B1316" s="22" t="str">
        <f aca="false">customer_churn_dataset!B778</f>
        <v>Premium</v>
      </c>
      <c r="C1316" s="22" t="str">
        <f aca="false">customer_churn_dataset!C778</f>
        <v>Month-to-month</v>
      </c>
      <c r="D1316" s="0" t="n">
        <f aca="false">INDEX(customer_churn_dataset!$E$2:$E$1501,MATCH($A1317,customer_churn_dataset!$A$2:$A$1501,0))</f>
        <v>48</v>
      </c>
      <c r="E1316" s="0" t="n">
        <f aca="false">INDEX(customer_churn_dataset!$I$2:$I$1501,MATCH($A1317,customer_churn_dataset!$A$2:$A$1501,0))</f>
        <v>37.9</v>
      </c>
      <c r="F1316" s="0" t="n">
        <f aca="false">INDEX(customer_churn_dataset!$L$2:$L$1501,MATCH($A1317,customer_churn_dataset!$A$2:$A$1501,0))</f>
        <v>1</v>
      </c>
      <c r="G1316" s="0" t="str">
        <f aca="false">IF(INDEX(customer_churn_dataset!$M$2:$M$1501,MATCH($A1317,customer_churn_dataset!$A$2:$A$1501,0))=1,"Yes","No")</f>
        <v>Yes</v>
      </c>
      <c r="H1316" s="0" t="n">
        <f aca="false">INDEX(customer_churn_dataset!$N$2:$N$1501,MATCH($A1317,customer_churn_dataset!$A$2:$A$1501,0))</f>
        <v>448.32</v>
      </c>
      <c r="I1316" s="0" t="n">
        <f aca="false">INDEX(customer_churn_dataset!$O$2:$O$1501,MATCH($A1317,customer_churn_dataset!$A$2:$A$1501,0))</f>
        <v>1</v>
      </c>
      <c r="J1316" s="0" t="n">
        <f aca="false">INDEX(customer_churn_dataset!$T$2:$T$1501,MATCH($A1317,customer_churn_dataset!$A$2:$A$1501,0))</f>
        <v>7</v>
      </c>
      <c r="K1316" s="0" t="str">
        <f aca="false">INDEX(customer_churn_dataset!$V$2:$V$1501,MATCH($A1317,customer_churn_dataset!$A$2:$A$1501,0))</f>
        <v>High Risk</v>
      </c>
    </row>
    <row r="1317" customFormat="false" ht="12.8" hidden="true" customHeight="false" outlineLevel="0" collapsed="false">
      <c r="A1317" s="22" t="str">
        <f aca="false">customer_churn_dataset!A790</f>
        <v>CUST100442</v>
      </c>
      <c r="B1317" s="22" t="str">
        <f aca="false">customer_churn_dataset!B790</f>
        <v>Basic</v>
      </c>
      <c r="C1317" s="22" t="str">
        <f aca="false">customer_churn_dataset!C790</f>
        <v>Month-to-month</v>
      </c>
      <c r="D1317" s="0" t="n">
        <f aca="false">INDEX(customer_churn_dataset!$E$2:$E$1501,MATCH($A1318,customer_churn_dataset!$A$2:$A$1501,0))</f>
        <v>5</v>
      </c>
      <c r="E1317" s="0" t="n">
        <f aca="false">INDEX(customer_churn_dataset!$I$2:$I$1501,MATCH($A1318,customer_churn_dataset!$A$2:$A$1501,0))</f>
        <v>18.2</v>
      </c>
      <c r="F1317" s="0" t="n">
        <f aca="false">INDEX(customer_churn_dataset!$L$2:$L$1501,MATCH($A1318,customer_churn_dataset!$A$2:$A$1501,0))</f>
        <v>0</v>
      </c>
      <c r="G1317" s="0" t="str">
        <f aca="false">IF(INDEX(customer_churn_dataset!$M$2:$M$1501,MATCH($A1318,customer_churn_dataset!$A$2:$A$1501,0))=1,"Yes","No")</f>
        <v>No</v>
      </c>
      <c r="H1317" s="0" t="n">
        <f aca="false">INDEX(customer_churn_dataset!$N$2:$N$1501,MATCH($A1318,customer_churn_dataset!$A$2:$A$1501,0))</f>
        <v>48.8</v>
      </c>
      <c r="I1317" s="0" t="n">
        <f aca="false">INDEX(customer_churn_dataset!$O$2:$O$1501,MATCH($A1318,customer_churn_dataset!$A$2:$A$1501,0))</f>
        <v>0</v>
      </c>
      <c r="J1317" s="0" t="n">
        <f aca="false">INDEX(customer_churn_dataset!$T$2:$T$1501,MATCH($A1318,customer_churn_dataset!$A$2:$A$1501,0))</f>
        <v>5</v>
      </c>
      <c r="K1317" s="0" t="str">
        <f aca="false">INDEX(customer_churn_dataset!$V$2:$V$1501,MATCH($A1318,customer_churn_dataset!$A$2:$A$1501,0))</f>
        <v>Medium Risk</v>
      </c>
    </row>
    <row r="1318" customFormat="false" ht="12.8" hidden="true" customHeight="false" outlineLevel="0" collapsed="false">
      <c r="A1318" s="22" t="str">
        <f aca="false">customer_churn_dataset!A798</f>
        <v>CUST100394</v>
      </c>
      <c r="B1318" s="22" t="str">
        <f aca="false">customer_churn_dataset!B798</f>
        <v>Basic</v>
      </c>
      <c r="C1318" s="22" t="str">
        <f aca="false">customer_churn_dataset!C798</f>
        <v>Month-to-month</v>
      </c>
      <c r="D1318" s="0" t="n">
        <f aca="false">INDEX(customer_churn_dataset!$E$2:$E$1501,MATCH($A1319,customer_churn_dataset!$A$2:$A$1501,0))</f>
        <v>18</v>
      </c>
      <c r="E1318" s="0" t="n">
        <f aca="false">INDEX(customer_churn_dataset!$I$2:$I$1501,MATCH($A1319,customer_churn_dataset!$A$2:$A$1501,0))</f>
        <v>31.6</v>
      </c>
      <c r="F1318" s="0" t="n">
        <f aca="false">INDEX(customer_churn_dataset!$L$2:$L$1501,MATCH($A1319,customer_churn_dataset!$A$2:$A$1501,0))</f>
        <v>1</v>
      </c>
      <c r="G1318" s="0" t="str">
        <f aca="false">IF(INDEX(customer_churn_dataset!$M$2:$M$1501,MATCH($A1319,customer_churn_dataset!$A$2:$A$1501,0))=1,"Yes","No")</f>
        <v>No</v>
      </c>
      <c r="H1318" s="0" t="n">
        <f aca="false">INDEX(customer_churn_dataset!$N$2:$N$1501,MATCH($A1319,customer_churn_dataset!$A$2:$A$1501,0))</f>
        <v>163.26</v>
      </c>
      <c r="I1318" s="0" t="n">
        <f aca="false">INDEX(customer_churn_dataset!$O$2:$O$1501,MATCH($A1319,customer_churn_dataset!$A$2:$A$1501,0))</f>
        <v>0</v>
      </c>
      <c r="J1318" s="0" t="n">
        <f aca="false">INDEX(customer_churn_dataset!$T$2:$T$1501,MATCH($A1319,customer_churn_dataset!$A$2:$A$1501,0))</f>
        <v>4</v>
      </c>
      <c r="K1318" s="0" t="str">
        <f aca="false">INDEX(customer_churn_dataset!$V$2:$V$1501,MATCH($A1319,customer_churn_dataset!$A$2:$A$1501,0))</f>
        <v>Medium Risk</v>
      </c>
    </row>
    <row r="1319" customFormat="false" ht="12.8" hidden="true" customHeight="false" outlineLevel="0" collapsed="false">
      <c r="A1319" s="22" t="str">
        <f aca="false">customer_churn_dataset!A812</f>
        <v>CUST101227</v>
      </c>
      <c r="B1319" s="22" t="str">
        <f aca="false">customer_churn_dataset!B812</f>
        <v>Basic</v>
      </c>
      <c r="C1319" s="22" t="str">
        <f aca="false">customer_churn_dataset!C812</f>
        <v>Month-to-month</v>
      </c>
      <c r="D1319" s="0" t="n">
        <f aca="false">INDEX(customer_churn_dataset!$E$2:$E$1501,MATCH($A1320,customer_churn_dataset!$A$2:$A$1501,0))</f>
        <v>33</v>
      </c>
      <c r="E1319" s="0" t="n">
        <f aca="false">INDEX(customer_churn_dataset!$I$2:$I$1501,MATCH($A1320,customer_churn_dataset!$A$2:$A$1501,0))</f>
        <v>58.8</v>
      </c>
      <c r="F1319" s="0" t="n">
        <f aca="false">INDEX(customer_churn_dataset!$L$2:$L$1501,MATCH($A1320,customer_churn_dataset!$A$2:$A$1501,0))</f>
        <v>2</v>
      </c>
      <c r="G1319" s="0" t="str">
        <f aca="false">IF(INDEX(customer_churn_dataset!$M$2:$M$1501,MATCH($A1320,customer_churn_dataset!$A$2:$A$1501,0))=1,"Yes","No")</f>
        <v>No</v>
      </c>
      <c r="H1319" s="0" t="n">
        <f aca="false">INDEX(customer_churn_dataset!$N$2:$N$1501,MATCH($A1320,customer_churn_dataset!$A$2:$A$1501,0))</f>
        <v>346.83</v>
      </c>
      <c r="I1319" s="0" t="n">
        <f aca="false">INDEX(customer_churn_dataset!$O$2:$O$1501,MATCH($A1320,customer_churn_dataset!$A$2:$A$1501,0))</f>
        <v>0</v>
      </c>
      <c r="J1319" s="0" t="n">
        <f aca="false">INDEX(customer_churn_dataset!$T$2:$T$1501,MATCH($A1320,customer_churn_dataset!$A$2:$A$1501,0))</f>
        <v>2</v>
      </c>
      <c r="K1319" s="0" t="str">
        <f aca="false">INDEX(customer_churn_dataset!$V$2:$V$1501,MATCH($A1320,customer_churn_dataset!$A$2:$A$1501,0))</f>
        <v>Low Risk</v>
      </c>
    </row>
    <row r="1320" customFormat="false" ht="12.8" hidden="true" customHeight="false" outlineLevel="0" collapsed="false">
      <c r="A1320" s="22" t="str">
        <f aca="false">customer_churn_dataset!A831</f>
        <v>CUST100407</v>
      </c>
      <c r="B1320" s="22" t="str">
        <f aca="false">customer_churn_dataset!B831</f>
        <v>Basic</v>
      </c>
      <c r="C1320" s="22" t="str">
        <f aca="false">customer_churn_dataset!C831</f>
        <v>One year</v>
      </c>
      <c r="D1320" s="0" t="n">
        <f aca="false">INDEX(customer_churn_dataset!$E$2:$E$1501,MATCH($A1321,customer_churn_dataset!$A$2:$A$1501,0))</f>
        <v>72</v>
      </c>
      <c r="E1320" s="0" t="n">
        <f aca="false">INDEX(customer_churn_dataset!$I$2:$I$1501,MATCH($A1321,customer_churn_dataset!$A$2:$A$1501,0))</f>
        <v>85.7</v>
      </c>
      <c r="F1320" s="0" t="n">
        <f aca="false">INDEX(customer_churn_dataset!$L$2:$L$1501,MATCH($A1321,customer_churn_dataset!$A$2:$A$1501,0))</f>
        <v>1</v>
      </c>
      <c r="G1320" s="0" t="str">
        <f aca="false">IF(INDEX(customer_churn_dataset!$M$2:$M$1501,MATCH($A1321,customer_churn_dataset!$A$2:$A$1501,0))=1,"Yes","No")</f>
        <v>No</v>
      </c>
      <c r="H1320" s="0" t="n">
        <f aca="false">INDEX(customer_churn_dataset!$N$2:$N$1501,MATCH($A1321,customer_churn_dataset!$A$2:$A$1501,0))</f>
        <v>1385.28</v>
      </c>
      <c r="I1320" s="0" t="n">
        <f aca="false">INDEX(customer_churn_dataset!$O$2:$O$1501,MATCH($A1321,customer_churn_dataset!$A$2:$A$1501,0))</f>
        <v>0</v>
      </c>
      <c r="J1320" s="0" t="n">
        <f aca="false">INDEX(customer_churn_dataset!$T$2:$T$1501,MATCH($A1321,customer_churn_dataset!$A$2:$A$1501,0))</f>
        <v>2</v>
      </c>
      <c r="K1320" s="0" t="str">
        <f aca="false">INDEX(customer_churn_dataset!$V$2:$V$1501,MATCH($A1321,customer_churn_dataset!$A$2:$A$1501,0))</f>
        <v>Low Risk</v>
      </c>
    </row>
    <row r="1321" customFormat="false" ht="12.8" hidden="true" customHeight="false" outlineLevel="0" collapsed="false">
      <c r="A1321" s="22" t="str">
        <f aca="false">customer_churn_dataset!A850</f>
        <v>CUST100457</v>
      </c>
      <c r="B1321" s="22" t="str">
        <f aca="false">customer_churn_dataset!B850</f>
        <v>Standard</v>
      </c>
      <c r="C1321" s="22" t="str">
        <f aca="false">customer_churn_dataset!C850</f>
        <v>Month-to-month</v>
      </c>
      <c r="D1321" s="0" t="n">
        <f aca="false">INDEX(customer_churn_dataset!$E$2:$E$1501,MATCH($A1322,customer_churn_dataset!$A$2:$A$1501,0))</f>
        <v>19</v>
      </c>
      <c r="E1321" s="0" t="n">
        <f aca="false">INDEX(customer_churn_dataset!$I$2:$I$1501,MATCH($A1322,customer_churn_dataset!$A$2:$A$1501,0))</f>
        <v>44.5</v>
      </c>
      <c r="F1321" s="0" t="n">
        <f aca="false">INDEX(customer_churn_dataset!$L$2:$L$1501,MATCH($A1322,customer_churn_dataset!$A$2:$A$1501,0))</f>
        <v>0</v>
      </c>
      <c r="G1321" s="0" t="str">
        <f aca="false">IF(INDEX(customer_churn_dataset!$M$2:$M$1501,MATCH($A1322,customer_churn_dataset!$A$2:$A$1501,0))=1,"Yes","No")</f>
        <v>No</v>
      </c>
      <c r="H1321" s="0" t="n">
        <f aca="false">INDEX(customer_churn_dataset!$N$2:$N$1501,MATCH($A1322,customer_churn_dataset!$A$2:$A$1501,0))</f>
        <v>439.47</v>
      </c>
      <c r="I1321" s="0" t="n">
        <f aca="false">INDEX(customer_churn_dataset!$O$2:$O$1501,MATCH($A1322,customer_churn_dataset!$A$2:$A$1501,0))</f>
        <v>0</v>
      </c>
      <c r="J1321" s="0" t="n">
        <f aca="false">INDEX(customer_churn_dataset!$T$2:$T$1501,MATCH($A1322,customer_churn_dataset!$A$2:$A$1501,0))</f>
        <v>3</v>
      </c>
      <c r="K1321" s="0" t="str">
        <f aca="false">INDEX(customer_churn_dataset!$V$2:$V$1501,MATCH($A1322,customer_churn_dataset!$A$2:$A$1501,0))</f>
        <v>Medium Risk</v>
      </c>
    </row>
    <row r="1322" customFormat="false" ht="12.8" hidden="true" customHeight="false" outlineLevel="0" collapsed="false">
      <c r="A1322" s="22" t="str">
        <f aca="false">customer_churn_dataset!A857</f>
        <v>CUST100797</v>
      </c>
      <c r="B1322" s="22" t="str">
        <f aca="false">customer_churn_dataset!B857</f>
        <v>Standard</v>
      </c>
      <c r="C1322" s="22" t="str">
        <f aca="false">customer_churn_dataset!C857</f>
        <v>Month-to-month</v>
      </c>
      <c r="D1322" s="0" t="n">
        <f aca="false">INDEX(customer_churn_dataset!$E$2:$E$1501,MATCH($A1323,customer_churn_dataset!$A$2:$A$1501,0))</f>
        <v>31</v>
      </c>
      <c r="E1322" s="0" t="n">
        <f aca="false">INDEX(customer_churn_dataset!$I$2:$I$1501,MATCH($A1323,customer_churn_dataset!$A$2:$A$1501,0))</f>
        <v>91.1</v>
      </c>
      <c r="F1322" s="0" t="n">
        <f aca="false">INDEX(customer_churn_dataset!$L$2:$L$1501,MATCH($A1323,customer_churn_dataset!$A$2:$A$1501,0))</f>
        <v>5</v>
      </c>
      <c r="G1322" s="0" t="str">
        <f aca="false">IF(INDEX(customer_churn_dataset!$M$2:$M$1501,MATCH($A1323,customer_churn_dataset!$A$2:$A$1501,0))=1,"Yes","No")</f>
        <v>Yes</v>
      </c>
      <c r="H1322" s="0" t="n">
        <f aca="false">INDEX(customer_churn_dataset!$N$2:$N$1501,MATCH($A1323,customer_churn_dataset!$A$2:$A$1501,0))</f>
        <v>600.47</v>
      </c>
      <c r="I1322" s="0" t="n">
        <f aca="false">INDEX(customer_churn_dataset!$O$2:$O$1501,MATCH($A1323,customer_churn_dataset!$A$2:$A$1501,0))</f>
        <v>0</v>
      </c>
      <c r="J1322" s="0" t="n">
        <f aca="false">INDEX(customer_churn_dataset!$T$2:$T$1501,MATCH($A1323,customer_churn_dataset!$A$2:$A$1501,0))</f>
        <v>4</v>
      </c>
      <c r="K1322" s="0" t="str">
        <f aca="false">INDEX(customer_churn_dataset!$V$2:$V$1501,MATCH($A1323,customer_churn_dataset!$A$2:$A$1501,0))</f>
        <v>Medium Risk</v>
      </c>
    </row>
    <row r="1323" customFormat="false" ht="12.8" hidden="true" customHeight="false" outlineLevel="0" collapsed="false">
      <c r="A1323" s="22" t="str">
        <f aca="false">customer_churn_dataset!A886</f>
        <v>CUST100757</v>
      </c>
      <c r="B1323" s="22" t="str">
        <f aca="false">customer_churn_dataset!B886</f>
        <v>Standard</v>
      </c>
      <c r="C1323" s="22" t="str">
        <f aca="false">customer_churn_dataset!C886</f>
        <v>Two year</v>
      </c>
      <c r="D1323" s="0" t="n">
        <f aca="false">INDEX(customer_churn_dataset!$E$2:$E$1501,MATCH($A1324,customer_churn_dataset!$A$2:$A$1501,0))</f>
        <v>11</v>
      </c>
      <c r="E1323" s="0" t="n">
        <f aca="false">INDEX(customer_churn_dataset!$I$2:$I$1501,MATCH($A1324,customer_churn_dataset!$A$2:$A$1501,0))</f>
        <v>29.6</v>
      </c>
      <c r="F1323" s="0" t="n">
        <f aca="false">INDEX(customer_churn_dataset!$L$2:$L$1501,MATCH($A1324,customer_churn_dataset!$A$2:$A$1501,0))</f>
        <v>4</v>
      </c>
      <c r="G1323" s="0" t="str">
        <f aca="false">IF(INDEX(customer_churn_dataset!$M$2:$M$1501,MATCH($A1324,customer_churn_dataset!$A$2:$A$1501,0))=1,"Yes","No")</f>
        <v>No</v>
      </c>
      <c r="H1323" s="0" t="n">
        <f aca="false">INDEX(customer_churn_dataset!$N$2:$N$1501,MATCH($A1324,customer_churn_dataset!$A$2:$A$1501,0))</f>
        <v>107.36</v>
      </c>
      <c r="I1323" s="0" t="n">
        <f aca="false">INDEX(customer_churn_dataset!$O$2:$O$1501,MATCH($A1324,customer_churn_dataset!$A$2:$A$1501,0))</f>
        <v>0</v>
      </c>
      <c r="J1323" s="0" t="n">
        <f aca="false">INDEX(customer_churn_dataset!$T$2:$T$1501,MATCH($A1324,customer_churn_dataset!$A$2:$A$1501,0))</f>
        <v>6</v>
      </c>
      <c r="K1323" s="0" t="str">
        <f aca="false">INDEX(customer_churn_dataset!$V$2:$V$1501,MATCH($A1324,customer_churn_dataset!$A$2:$A$1501,0))</f>
        <v>High Risk</v>
      </c>
    </row>
    <row r="1324" customFormat="false" ht="12.8" hidden="true" customHeight="false" outlineLevel="0" collapsed="false">
      <c r="A1324" s="22" t="str">
        <f aca="false">customer_churn_dataset!A892</f>
        <v>CUST101008</v>
      </c>
      <c r="B1324" s="22" t="str">
        <f aca="false">customer_churn_dataset!B892</f>
        <v>Basic</v>
      </c>
      <c r="C1324" s="22" t="str">
        <f aca="false">customer_churn_dataset!C892</f>
        <v>Month-to-month</v>
      </c>
      <c r="D1324" s="0" t="n">
        <f aca="false">INDEX(customer_churn_dataset!$E$2:$E$1501,MATCH($A1325,customer_churn_dataset!$A$2:$A$1501,0))</f>
        <v>12</v>
      </c>
      <c r="E1324" s="0" t="n">
        <f aca="false">INDEX(customer_churn_dataset!$I$2:$I$1501,MATCH($A1325,customer_churn_dataset!$A$2:$A$1501,0))</f>
        <v>44.9</v>
      </c>
      <c r="F1324" s="0" t="n">
        <f aca="false">INDEX(customer_churn_dataset!$L$2:$L$1501,MATCH($A1325,customer_churn_dataset!$A$2:$A$1501,0))</f>
        <v>1</v>
      </c>
      <c r="G1324" s="0" t="str">
        <f aca="false">IF(INDEX(customer_churn_dataset!$M$2:$M$1501,MATCH($A1325,customer_churn_dataset!$A$2:$A$1501,0))=1,"Yes","No")</f>
        <v>No</v>
      </c>
      <c r="H1324" s="0" t="n">
        <f aca="false">INDEX(customer_churn_dataset!$N$2:$N$1501,MATCH($A1325,customer_churn_dataset!$A$2:$A$1501,0))</f>
        <v>244.56</v>
      </c>
      <c r="I1324" s="0" t="n">
        <f aca="false">INDEX(customer_churn_dataset!$O$2:$O$1501,MATCH($A1325,customer_churn_dataset!$A$2:$A$1501,0))</f>
        <v>0</v>
      </c>
      <c r="J1324" s="0" t="n">
        <f aca="false">INDEX(customer_churn_dataset!$T$2:$T$1501,MATCH($A1325,customer_churn_dataset!$A$2:$A$1501,0))</f>
        <v>1</v>
      </c>
      <c r="K1324" s="0" t="str">
        <f aca="false">INDEX(customer_churn_dataset!$V$2:$V$1501,MATCH($A1325,customer_churn_dataset!$A$2:$A$1501,0))</f>
        <v>Low Risk</v>
      </c>
    </row>
    <row r="1325" customFormat="false" ht="12.8" hidden="true" customHeight="false" outlineLevel="0" collapsed="false">
      <c r="A1325" s="22" t="str">
        <f aca="false">customer_churn_dataset!A899</f>
        <v>CUST101421</v>
      </c>
      <c r="B1325" s="22" t="str">
        <f aca="false">customer_churn_dataset!B899</f>
        <v>Standard</v>
      </c>
      <c r="C1325" s="22" t="str">
        <f aca="false">customer_churn_dataset!C899</f>
        <v>Two year</v>
      </c>
      <c r="D1325" s="0" t="n">
        <f aca="false">INDEX(customer_churn_dataset!$E$2:$E$1501,MATCH($A1326,customer_churn_dataset!$A$2:$A$1501,0))</f>
        <v>6</v>
      </c>
      <c r="E1325" s="0" t="n">
        <f aca="false">INDEX(customer_churn_dataset!$I$2:$I$1501,MATCH($A1326,customer_churn_dataset!$A$2:$A$1501,0))</f>
        <v>59.7</v>
      </c>
      <c r="F1325" s="0" t="n">
        <f aca="false">INDEX(customer_churn_dataset!$L$2:$L$1501,MATCH($A1326,customer_churn_dataset!$A$2:$A$1501,0))</f>
        <v>0</v>
      </c>
      <c r="G1325" s="0" t="str">
        <f aca="false">IF(INDEX(customer_churn_dataset!$M$2:$M$1501,MATCH($A1326,customer_churn_dataset!$A$2:$A$1501,0))=1,"Yes","No")</f>
        <v>No</v>
      </c>
      <c r="H1325" s="0" t="n">
        <f aca="false">INDEX(customer_churn_dataset!$N$2:$N$1501,MATCH($A1326,customer_churn_dataset!$A$2:$A$1501,0))</f>
        <v>60.18</v>
      </c>
      <c r="I1325" s="0" t="n">
        <f aca="false">INDEX(customer_churn_dataset!$O$2:$O$1501,MATCH($A1326,customer_churn_dataset!$A$2:$A$1501,0))</f>
        <v>1</v>
      </c>
      <c r="J1325" s="0" t="n">
        <f aca="false">INDEX(customer_churn_dataset!$T$2:$T$1501,MATCH($A1326,customer_churn_dataset!$A$2:$A$1501,0))</f>
        <v>3</v>
      </c>
      <c r="K1325" s="0" t="str">
        <f aca="false">INDEX(customer_churn_dataset!$V$2:$V$1501,MATCH($A1326,customer_churn_dataset!$A$2:$A$1501,0))</f>
        <v>Medium Risk</v>
      </c>
    </row>
    <row r="1326" customFormat="false" ht="12.8" hidden="true" customHeight="false" outlineLevel="0" collapsed="false">
      <c r="A1326" s="22" t="str">
        <f aca="false">customer_churn_dataset!A970</f>
        <v>CUST101410</v>
      </c>
      <c r="B1326" s="22" t="str">
        <f aca="false">customer_churn_dataset!B970</f>
        <v>Basic</v>
      </c>
      <c r="C1326" s="22" t="str">
        <f aca="false">customer_churn_dataset!C970</f>
        <v>Month-to-month</v>
      </c>
      <c r="D1326" s="0" t="n">
        <f aca="false">INDEX(customer_churn_dataset!$E$2:$E$1501,MATCH($A1327,customer_churn_dataset!$A$2:$A$1501,0))</f>
        <v>33</v>
      </c>
      <c r="E1326" s="0" t="n">
        <f aca="false">INDEX(customer_churn_dataset!$I$2:$I$1501,MATCH($A1327,customer_churn_dataset!$A$2:$A$1501,0))</f>
        <v>55.6</v>
      </c>
      <c r="F1326" s="0" t="n">
        <f aca="false">INDEX(customer_churn_dataset!$L$2:$L$1501,MATCH($A1327,customer_churn_dataset!$A$2:$A$1501,0))</f>
        <v>1</v>
      </c>
      <c r="G1326" s="0" t="str">
        <f aca="false">IF(INDEX(customer_churn_dataset!$M$2:$M$1501,MATCH($A1327,customer_churn_dataset!$A$2:$A$1501,0))=1,"Yes","No")</f>
        <v>No</v>
      </c>
      <c r="H1326" s="0" t="n">
        <f aca="false">INDEX(customer_churn_dataset!$N$2:$N$1501,MATCH($A1327,customer_churn_dataset!$A$2:$A$1501,0))</f>
        <v>1303.17</v>
      </c>
      <c r="I1326" s="0" t="n">
        <f aca="false">INDEX(customer_churn_dataset!$O$2:$O$1501,MATCH($A1327,customer_churn_dataset!$A$2:$A$1501,0))</f>
        <v>1</v>
      </c>
      <c r="J1326" s="0" t="n">
        <f aca="false">INDEX(customer_churn_dataset!$T$2:$T$1501,MATCH($A1327,customer_churn_dataset!$A$2:$A$1501,0))</f>
        <v>1</v>
      </c>
      <c r="K1326" s="0" t="str">
        <f aca="false">INDEX(customer_churn_dataset!$V$2:$V$1501,MATCH($A1327,customer_churn_dataset!$A$2:$A$1501,0))</f>
        <v>Low Risk</v>
      </c>
    </row>
    <row r="1327" customFormat="false" ht="12.8" hidden="true" customHeight="false" outlineLevel="0" collapsed="false">
      <c r="A1327" s="22" t="str">
        <f aca="false">customer_churn_dataset!A1036</f>
        <v>CUST100507</v>
      </c>
      <c r="B1327" s="22" t="str">
        <f aca="false">customer_churn_dataset!B1036</f>
        <v>Premium</v>
      </c>
      <c r="C1327" s="22" t="str">
        <f aca="false">customer_churn_dataset!C1036</f>
        <v>One year</v>
      </c>
      <c r="D1327" s="0" t="n">
        <f aca="false">INDEX(customer_churn_dataset!$E$2:$E$1501,MATCH($A1328,customer_churn_dataset!$A$2:$A$1501,0))</f>
        <v>28</v>
      </c>
      <c r="E1327" s="0" t="n">
        <f aca="false">INDEX(customer_churn_dataset!$I$2:$I$1501,MATCH($A1328,customer_churn_dataset!$A$2:$A$1501,0))</f>
        <v>76.2</v>
      </c>
      <c r="F1327" s="0" t="n">
        <f aca="false">INDEX(customer_churn_dataset!$L$2:$L$1501,MATCH($A1328,customer_churn_dataset!$A$2:$A$1501,0))</f>
        <v>0</v>
      </c>
      <c r="G1327" s="0" t="str">
        <f aca="false">IF(INDEX(customer_churn_dataset!$M$2:$M$1501,MATCH($A1328,customer_churn_dataset!$A$2:$A$1501,0))=1,"Yes","No")</f>
        <v>No</v>
      </c>
      <c r="H1327" s="0" t="n">
        <f aca="false">INDEX(customer_churn_dataset!$N$2:$N$1501,MATCH($A1328,customer_churn_dataset!$A$2:$A$1501,0))</f>
        <v>292.6</v>
      </c>
      <c r="I1327" s="0" t="n">
        <f aca="false">INDEX(customer_churn_dataset!$O$2:$O$1501,MATCH($A1328,customer_churn_dataset!$A$2:$A$1501,0))</f>
        <v>0</v>
      </c>
      <c r="J1327" s="0" t="n">
        <f aca="false">INDEX(customer_churn_dataset!$T$2:$T$1501,MATCH($A1328,customer_churn_dataset!$A$2:$A$1501,0))</f>
        <v>1</v>
      </c>
      <c r="K1327" s="0" t="str">
        <f aca="false">INDEX(customer_churn_dataset!$V$2:$V$1501,MATCH($A1328,customer_churn_dataset!$A$2:$A$1501,0))</f>
        <v>Low Risk</v>
      </c>
    </row>
    <row r="1328" customFormat="false" ht="12.8" hidden="true" customHeight="false" outlineLevel="0" collapsed="false">
      <c r="A1328" s="22" t="str">
        <f aca="false">customer_churn_dataset!A1048</f>
        <v>CUST101162</v>
      </c>
      <c r="B1328" s="22" t="str">
        <f aca="false">customer_churn_dataset!B1048</f>
        <v>Basic</v>
      </c>
      <c r="C1328" s="22" t="str">
        <f aca="false">customer_churn_dataset!C1048</f>
        <v>One year</v>
      </c>
      <c r="D1328" s="0" t="n">
        <f aca="false">INDEX(customer_churn_dataset!$E$2:$E$1501,MATCH($A1329,customer_churn_dataset!$A$2:$A$1501,0))</f>
        <v>5</v>
      </c>
      <c r="E1328" s="0" t="n">
        <f aca="false">INDEX(customer_churn_dataset!$I$2:$I$1501,MATCH($A1329,customer_churn_dataset!$A$2:$A$1501,0))</f>
        <v>54.1</v>
      </c>
      <c r="F1328" s="0" t="n">
        <f aca="false">INDEX(customer_churn_dataset!$L$2:$L$1501,MATCH($A1329,customer_churn_dataset!$A$2:$A$1501,0))</f>
        <v>0</v>
      </c>
      <c r="G1328" s="0" t="str">
        <f aca="false">IF(INDEX(customer_churn_dataset!$M$2:$M$1501,MATCH($A1329,customer_churn_dataset!$A$2:$A$1501,0))=1,"Yes","No")</f>
        <v>No</v>
      </c>
      <c r="H1328" s="0" t="n">
        <f aca="false">INDEX(customer_churn_dataset!$N$2:$N$1501,MATCH($A1329,customer_churn_dataset!$A$2:$A$1501,0))</f>
        <v>88.45</v>
      </c>
      <c r="I1328" s="0" t="n">
        <f aca="false">INDEX(customer_churn_dataset!$O$2:$O$1501,MATCH($A1329,customer_churn_dataset!$A$2:$A$1501,0))</f>
        <v>0</v>
      </c>
      <c r="J1328" s="0" t="n">
        <f aca="false">INDEX(customer_churn_dataset!$T$2:$T$1501,MATCH($A1329,customer_churn_dataset!$A$2:$A$1501,0))</f>
        <v>3</v>
      </c>
      <c r="K1328" s="0" t="str">
        <f aca="false">INDEX(customer_churn_dataset!$V$2:$V$1501,MATCH($A1329,customer_churn_dataset!$A$2:$A$1501,0))</f>
        <v>Medium Risk</v>
      </c>
    </row>
    <row r="1329" customFormat="false" ht="12.8" hidden="true" customHeight="false" outlineLevel="0" collapsed="false">
      <c r="A1329" s="22" t="str">
        <f aca="false">customer_churn_dataset!A1054</f>
        <v>CUST100923</v>
      </c>
      <c r="B1329" s="22" t="str">
        <f aca="false">customer_churn_dataset!B1054</f>
        <v>Standard</v>
      </c>
      <c r="C1329" s="22" t="str">
        <f aca="false">customer_churn_dataset!C1054</f>
        <v>One year</v>
      </c>
      <c r="D1329" s="0" t="n">
        <f aca="false">INDEX(customer_churn_dataset!$E$2:$E$1501,MATCH($A1330,customer_churn_dataset!$A$2:$A$1501,0))</f>
        <v>28</v>
      </c>
      <c r="E1329" s="0" t="n">
        <f aca="false">INDEX(customer_churn_dataset!$I$2:$I$1501,MATCH($A1330,customer_churn_dataset!$A$2:$A$1501,0))</f>
        <v>77.1</v>
      </c>
      <c r="F1329" s="0" t="n">
        <f aca="false">INDEX(customer_churn_dataset!$L$2:$L$1501,MATCH($A1330,customer_churn_dataset!$A$2:$A$1501,0))</f>
        <v>2</v>
      </c>
      <c r="G1329" s="0" t="str">
        <f aca="false">IF(INDEX(customer_churn_dataset!$M$2:$M$1501,MATCH($A1330,customer_churn_dataset!$A$2:$A$1501,0))=1,"Yes","No")</f>
        <v>Yes</v>
      </c>
      <c r="H1329" s="0" t="n">
        <f aca="false">INDEX(customer_churn_dataset!$N$2:$N$1501,MATCH($A1330,customer_churn_dataset!$A$2:$A$1501,0))</f>
        <v>577.92</v>
      </c>
      <c r="I1329" s="0" t="n">
        <f aca="false">INDEX(customer_churn_dataset!$O$2:$O$1501,MATCH($A1330,customer_churn_dataset!$A$2:$A$1501,0))</f>
        <v>0</v>
      </c>
      <c r="J1329" s="0" t="n">
        <f aca="false">INDEX(customer_churn_dataset!$T$2:$T$1501,MATCH($A1330,customer_churn_dataset!$A$2:$A$1501,0))</f>
        <v>4</v>
      </c>
      <c r="K1329" s="0" t="str">
        <f aca="false">INDEX(customer_churn_dataset!$V$2:$V$1501,MATCH($A1330,customer_churn_dataset!$A$2:$A$1501,0))</f>
        <v>Medium Risk</v>
      </c>
    </row>
    <row r="1330" customFormat="false" ht="12.8" hidden="true" customHeight="false" outlineLevel="0" collapsed="false">
      <c r="A1330" s="22" t="str">
        <f aca="false">customer_churn_dataset!A1063</f>
        <v>CUST101450</v>
      </c>
      <c r="B1330" s="22" t="str">
        <f aca="false">customer_churn_dataset!B1063</f>
        <v>Standard</v>
      </c>
      <c r="C1330" s="22" t="str">
        <f aca="false">customer_churn_dataset!C1063</f>
        <v>Two year</v>
      </c>
      <c r="D1330" s="0" t="n">
        <f aca="false">INDEX(customer_churn_dataset!$E$2:$E$1501,MATCH($A1331,customer_churn_dataset!$A$2:$A$1501,0))</f>
        <v>56</v>
      </c>
      <c r="E1330" s="0" t="n">
        <f aca="false">INDEX(customer_churn_dataset!$I$2:$I$1501,MATCH($A1331,customer_churn_dataset!$A$2:$A$1501,0))</f>
        <v>34.9</v>
      </c>
      <c r="F1330" s="0" t="n">
        <f aca="false">INDEX(customer_churn_dataset!$L$2:$L$1501,MATCH($A1331,customer_churn_dataset!$A$2:$A$1501,0))</f>
        <v>1</v>
      </c>
      <c r="G1330" s="0" t="str">
        <f aca="false">IF(INDEX(customer_churn_dataset!$M$2:$M$1501,MATCH($A1331,customer_churn_dataset!$A$2:$A$1501,0))=1,"Yes","No")</f>
        <v>Yes</v>
      </c>
      <c r="H1330" s="0" t="n">
        <f aca="false">INDEX(customer_churn_dataset!$N$2:$N$1501,MATCH($A1331,customer_churn_dataset!$A$2:$A$1501,0))</f>
        <v>1171.52</v>
      </c>
      <c r="I1330" s="0" t="n">
        <f aca="false">INDEX(customer_churn_dataset!$O$2:$O$1501,MATCH($A1331,customer_churn_dataset!$A$2:$A$1501,0))</f>
        <v>0</v>
      </c>
      <c r="J1330" s="0" t="n">
        <f aca="false">INDEX(customer_churn_dataset!$T$2:$T$1501,MATCH($A1331,customer_churn_dataset!$A$2:$A$1501,0))</f>
        <v>7</v>
      </c>
      <c r="K1330" s="0" t="str">
        <f aca="false">INDEX(customer_churn_dataset!$V$2:$V$1501,MATCH($A1331,customer_churn_dataset!$A$2:$A$1501,0))</f>
        <v>High Risk</v>
      </c>
    </row>
    <row r="1331" customFormat="false" ht="12.8" hidden="true" customHeight="false" outlineLevel="0" collapsed="false">
      <c r="A1331" s="22" t="str">
        <f aca="false">customer_churn_dataset!A1067</f>
        <v>CUST100255</v>
      </c>
      <c r="B1331" s="22" t="str">
        <f aca="false">customer_churn_dataset!B1067</f>
        <v>Standard</v>
      </c>
      <c r="C1331" s="22" t="str">
        <f aca="false">customer_churn_dataset!C1067</f>
        <v>Month-to-month</v>
      </c>
      <c r="D1331" s="0" t="n">
        <f aca="false">INDEX(customer_churn_dataset!$E$2:$E$1501,MATCH($A1332,customer_churn_dataset!$A$2:$A$1501,0))</f>
        <v>72</v>
      </c>
      <c r="E1331" s="0" t="n">
        <f aca="false">INDEX(customer_churn_dataset!$I$2:$I$1501,MATCH($A1332,customer_churn_dataset!$A$2:$A$1501,0))</f>
        <v>56.6</v>
      </c>
      <c r="F1331" s="0" t="n">
        <f aca="false">INDEX(customer_churn_dataset!$L$2:$L$1501,MATCH($A1332,customer_churn_dataset!$A$2:$A$1501,0))</f>
        <v>0</v>
      </c>
      <c r="G1331" s="0" t="str">
        <f aca="false">IF(INDEX(customer_churn_dataset!$M$2:$M$1501,MATCH($A1332,customer_churn_dataset!$A$2:$A$1501,0))=1,"Yes","No")</f>
        <v>No</v>
      </c>
      <c r="H1331" s="0" t="n">
        <f aca="false">INDEX(customer_churn_dataset!$N$2:$N$1501,MATCH($A1332,customer_churn_dataset!$A$2:$A$1501,0))</f>
        <v>676.08</v>
      </c>
      <c r="I1331" s="0" t="n">
        <f aca="false">INDEX(customer_churn_dataset!$O$2:$O$1501,MATCH($A1332,customer_churn_dataset!$A$2:$A$1501,0))</f>
        <v>0</v>
      </c>
      <c r="J1331" s="0" t="n">
        <f aca="false">INDEX(customer_churn_dataset!$T$2:$T$1501,MATCH($A1332,customer_churn_dataset!$A$2:$A$1501,0))</f>
        <v>0</v>
      </c>
      <c r="K1331" s="0" t="str">
        <f aca="false">INDEX(customer_churn_dataset!$V$2:$V$1501,MATCH($A1332,customer_churn_dataset!$A$2:$A$1501,0))</f>
        <v>Low Risk</v>
      </c>
    </row>
    <row r="1332" customFormat="false" ht="12.8" hidden="true" customHeight="false" outlineLevel="0" collapsed="false">
      <c r="A1332" s="22" t="str">
        <f aca="false">customer_churn_dataset!A1095</f>
        <v>CUST101067</v>
      </c>
      <c r="B1332" s="22" t="str">
        <f aca="false">customer_churn_dataset!B1095</f>
        <v>Basic</v>
      </c>
      <c r="C1332" s="22" t="str">
        <f aca="false">customer_churn_dataset!C1095</f>
        <v>Two year</v>
      </c>
      <c r="D1332" s="0" t="n">
        <f aca="false">INDEX(customer_churn_dataset!$E$2:$E$1501,MATCH($A1333,customer_churn_dataset!$A$2:$A$1501,0))</f>
        <v>3</v>
      </c>
      <c r="E1332" s="0" t="n">
        <f aca="false">INDEX(customer_churn_dataset!$I$2:$I$1501,MATCH($A1333,customer_churn_dataset!$A$2:$A$1501,0))</f>
        <v>82.9</v>
      </c>
      <c r="F1332" s="0" t="n">
        <f aca="false">INDEX(customer_churn_dataset!$L$2:$L$1501,MATCH($A1333,customer_churn_dataset!$A$2:$A$1501,0))</f>
        <v>1</v>
      </c>
      <c r="G1332" s="0" t="str">
        <f aca="false">IF(INDEX(customer_churn_dataset!$M$2:$M$1501,MATCH($A1333,customer_churn_dataset!$A$2:$A$1501,0))=1,"Yes","No")</f>
        <v>No</v>
      </c>
      <c r="H1332" s="0" t="n">
        <f aca="false">INDEX(customer_churn_dataset!$N$2:$N$1501,MATCH($A1333,customer_churn_dataset!$A$2:$A$1501,0))</f>
        <v>27.54</v>
      </c>
      <c r="I1332" s="0" t="n">
        <f aca="false">INDEX(customer_churn_dataset!$O$2:$O$1501,MATCH($A1333,customer_churn_dataset!$A$2:$A$1501,0))</f>
        <v>0</v>
      </c>
      <c r="J1332" s="0" t="n">
        <f aca="false">INDEX(customer_churn_dataset!$T$2:$T$1501,MATCH($A1333,customer_churn_dataset!$A$2:$A$1501,0))</f>
        <v>3</v>
      </c>
      <c r="K1332" s="0" t="str">
        <f aca="false">INDEX(customer_churn_dataset!$V$2:$V$1501,MATCH($A1333,customer_churn_dataset!$A$2:$A$1501,0))</f>
        <v>Medium Risk</v>
      </c>
    </row>
    <row r="1333" customFormat="false" ht="12.8" hidden="true" customHeight="false" outlineLevel="0" collapsed="false">
      <c r="A1333" s="22" t="str">
        <f aca="false">customer_churn_dataset!A1111</f>
        <v>CUST101133</v>
      </c>
      <c r="B1333" s="22" t="str">
        <f aca="false">customer_churn_dataset!B1111</f>
        <v>Basic</v>
      </c>
      <c r="C1333" s="22" t="str">
        <f aca="false">customer_churn_dataset!C1111</f>
        <v>Month-to-month</v>
      </c>
      <c r="D1333" s="0" t="n">
        <f aca="false">INDEX(customer_churn_dataset!$E$2:$E$1501,MATCH($A1334,customer_churn_dataset!$A$2:$A$1501,0))</f>
        <v>38</v>
      </c>
      <c r="E1333" s="0" t="n">
        <f aca="false">INDEX(customer_churn_dataset!$I$2:$I$1501,MATCH($A1334,customer_churn_dataset!$A$2:$A$1501,0))</f>
        <v>85.1</v>
      </c>
      <c r="F1333" s="0" t="n">
        <f aca="false">INDEX(customer_churn_dataset!$L$2:$L$1501,MATCH($A1334,customer_churn_dataset!$A$2:$A$1501,0))</f>
        <v>0</v>
      </c>
      <c r="G1333" s="0" t="str">
        <f aca="false">IF(INDEX(customer_churn_dataset!$M$2:$M$1501,MATCH($A1334,customer_churn_dataset!$A$2:$A$1501,0))=1,"Yes","No")</f>
        <v>No</v>
      </c>
      <c r="H1333" s="0" t="n">
        <f aca="false">INDEX(customer_churn_dataset!$N$2:$N$1501,MATCH($A1334,customer_churn_dataset!$A$2:$A$1501,0))</f>
        <v>859.18</v>
      </c>
      <c r="I1333" s="0" t="n">
        <f aca="false">INDEX(customer_churn_dataset!$O$2:$O$1501,MATCH($A1334,customer_churn_dataset!$A$2:$A$1501,0))</f>
        <v>0</v>
      </c>
      <c r="J1333" s="0" t="n">
        <f aca="false">INDEX(customer_churn_dataset!$T$2:$T$1501,MATCH($A1334,customer_churn_dataset!$A$2:$A$1501,0))</f>
        <v>2</v>
      </c>
      <c r="K1333" s="0" t="str">
        <f aca="false">INDEX(customer_churn_dataset!$V$2:$V$1501,MATCH($A1334,customer_churn_dataset!$A$2:$A$1501,0))</f>
        <v>Low Risk</v>
      </c>
    </row>
    <row r="1334" customFormat="false" ht="12.8" hidden="true" customHeight="false" outlineLevel="0" collapsed="false">
      <c r="A1334" s="22" t="str">
        <f aca="false">customer_churn_dataset!A1157</f>
        <v>CUST101414</v>
      </c>
      <c r="B1334" s="22" t="str">
        <f aca="false">customer_churn_dataset!B1157</f>
        <v>Standard</v>
      </c>
      <c r="C1334" s="22" t="str">
        <f aca="false">customer_churn_dataset!C1157</f>
        <v>Month-to-month</v>
      </c>
      <c r="D1334" s="0" t="n">
        <f aca="false">INDEX(customer_churn_dataset!$E$2:$E$1501,MATCH($A1335,customer_churn_dataset!$A$2:$A$1501,0))</f>
        <v>7</v>
      </c>
      <c r="E1334" s="0" t="n">
        <f aca="false">INDEX(customer_churn_dataset!$I$2:$I$1501,MATCH($A1335,customer_churn_dataset!$A$2:$A$1501,0))</f>
        <v>30.1</v>
      </c>
      <c r="F1334" s="0" t="n">
        <f aca="false">INDEX(customer_churn_dataset!$L$2:$L$1501,MATCH($A1335,customer_churn_dataset!$A$2:$A$1501,0))</f>
        <v>0</v>
      </c>
      <c r="G1334" s="0" t="str">
        <f aca="false">IF(INDEX(customer_churn_dataset!$M$2:$M$1501,MATCH($A1335,customer_churn_dataset!$A$2:$A$1501,0))=1,"Yes","No")</f>
        <v>No</v>
      </c>
      <c r="H1334" s="0" t="n">
        <f aca="false">INDEX(customer_churn_dataset!$N$2:$N$1501,MATCH($A1335,customer_churn_dataset!$A$2:$A$1501,0))</f>
        <v>131.6</v>
      </c>
      <c r="I1334" s="0" t="n">
        <f aca="false">INDEX(customer_churn_dataset!$O$2:$O$1501,MATCH($A1335,customer_churn_dataset!$A$2:$A$1501,0))</f>
        <v>0</v>
      </c>
      <c r="J1334" s="0" t="n">
        <f aca="false">INDEX(customer_churn_dataset!$T$2:$T$1501,MATCH($A1335,customer_churn_dataset!$A$2:$A$1501,0))</f>
        <v>3</v>
      </c>
      <c r="K1334" s="0" t="str">
        <f aca="false">INDEX(customer_churn_dataset!$V$2:$V$1501,MATCH($A1335,customer_churn_dataset!$A$2:$A$1501,0))</f>
        <v>Medium Risk</v>
      </c>
    </row>
    <row r="1335" customFormat="false" ht="12.8" hidden="true" customHeight="false" outlineLevel="0" collapsed="false">
      <c r="A1335" s="22" t="str">
        <f aca="false">customer_churn_dataset!A1172</f>
        <v>CUST100692</v>
      </c>
      <c r="B1335" s="22" t="str">
        <f aca="false">customer_churn_dataset!B1172</f>
        <v>Standard</v>
      </c>
      <c r="C1335" s="22" t="str">
        <f aca="false">customer_churn_dataset!C1172</f>
        <v>Two year</v>
      </c>
      <c r="D1335" s="0" t="n">
        <f aca="false">INDEX(customer_churn_dataset!$E$2:$E$1501,MATCH($A1336,customer_churn_dataset!$A$2:$A$1501,0))</f>
        <v>0</v>
      </c>
      <c r="E1335" s="0" t="n">
        <f aca="false">INDEX(customer_churn_dataset!$I$2:$I$1501,MATCH($A1336,customer_churn_dataset!$A$2:$A$1501,0))</f>
        <v>74.9</v>
      </c>
      <c r="F1335" s="0" t="n">
        <f aca="false">INDEX(customer_churn_dataset!$L$2:$L$1501,MATCH($A1336,customer_churn_dataset!$A$2:$A$1501,0))</f>
        <v>1</v>
      </c>
      <c r="G1335" s="0" t="str">
        <f aca="false">IF(INDEX(customer_churn_dataset!$M$2:$M$1501,MATCH($A1336,customer_churn_dataset!$A$2:$A$1501,0))=1,"Yes","No")</f>
        <v>Yes</v>
      </c>
      <c r="H1335" s="0" t="n">
        <f aca="false">INDEX(customer_churn_dataset!$N$2:$N$1501,MATCH($A1336,customer_churn_dataset!$A$2:$A$1501,0))</f>
        <v>0</v>
      </c>
      <c r="I1335" s="0" t="n">
        <f aca="false">INDEX(customer_churn_dataset!$O$2:$O$1501,MATCH($A1336,customer_churn_dataset!$A$2:$A$1501,0))</f>
        <v>0</v>
      </c>
      <c r="J1335" s="0" t="n">
        <f aca="false">INDEX(customer_churn_dataset!$T$2:$T$1501,MATCH($A1336,customer_churn_dataset!$A$2:$A$1501,0))</f>
        <v>4</v>
      </c>
      <c r="K1335" s="0" t="str">
        <f aca="false">INDEX(customer_churn_dataset!$V$2:$V$1501,MATCH($A1336,customer_churn_dataset!$A$2:$A$1501,0))</f>
        <v>Medium Risk</v>
      </c>
    </row>
    <row r="1336" customFormat="false" ht="12.8" hidden="true" customHeight="false" outlineLevel="0" collapsed="false">
      <c r="A1336" s="22" t="str">
        <f aca="false">customer_churn_dataset!A1178</f>
        <v>CUST101484</v>
      </c>
      <c r="B1336" s="22" t="str">
        <f aca="false">customer_churn_dataset!B1178</f>
        <v>Basic</v>
      </c>
      <c r="C1336" s="22" t="str">
        <f aca="false">customer_churn_dataset!C1178</f>
        <v>Two year</v>
      </c>
      <c r="D1336" s="0" t="n">
        <f aca="false">INDEX(customer_churn_dataset!$E$2:$E$1501,MATCH($A1337,customer_churn_dataset!$A$2:$A$1501,0))</f>
        <v>8</v>
      </c>
      <c r="E1336" s="0" t="n">
        <f aca="false">INDEX(customer_churn_dataset!$I$2:$I$1501,MATCH($A1337,customer_churn_dataset!$A$2:$A$1501,0))</f>
        <v>86.4</v>
      </c>
      <c r="F1336" s="0" t="n">
        <f aca="false">INDEX(customer_churn_dataset!$L$2:$L$1501,MATCH($A1337,customer_churn_dataset!$A$2:$A$1501,0))</f>
        <v>2</v>
      </c>
      <c r="G1336" s="0" t="str">
        <f aca="false">IF(INDEX(customer_churn_dataset!$M$2:$M$1501,MATCH($A1337,customer_churn_dataset!$A$2:$A$1501,0))=1,"Yes","No")</f>
        <v>No</v>
      </c>
      <c r="H1336" s="0" t="n">
        <f aca="false">INDEX(customer_churn_dataset!$N$2:$N$1501,MATCH($A1337,customer_churn_dataset!$A$2:$A$1501,0))</f>
        <v>87.52</v>
      </c>
      <c r="I1336" s="0" t="n">
        <f aca="false">INDEX(customer_churn_dataset!$O$2:$O$1501,MATCH($A1337,customer_churn_dataset!$A$2:$A$1501,0))</f>
        <v>0</v>
      </c>
      <c r="J1336" s="0" t="n">
        <f aca="false">INDEX(customer_churn_dataset!$T$2:$T$1501,MATCH($A1337,customer_churn_dataset!$A$2:$A$1501,0))</f>
        <v>3</v>
      </c>
      <c r="K1336" s="0" t="str">
        <f aca="false">INDEX(customer_churn_dataset!$V$2:$V$1501,MATCH($A1337,customer_churn_dataset!$A$2:$A$1501,0))</f>
        <v>Medium Risk</v>
      </c>
    </row>
    <row r="1337" customFormat="false" ht="12.8" hidden="true" customHeight="false" outlineLevel="0" collapsed="false">
      <c r="A1337" s="22" t="str">
        <f aca="false">customer_churn_dataset!A1226</f>
        <v>CUST100597</v>
      </c>
      <c r="B1337" s="22" t="str">
        <f aca="false">customer_churn_dataset!B1226</f>
        <v>Basic</v>
      </c>
      <c r="C1337" s="22" t="str">
        <f aca="false">customer_churn_dataset!C1226</f>
        <v>One year</v>
      </c>
      <c r="D1337" s="0" t="n">
        <f aca="false">INDEX(customer_churn_dataset!$E$2:$E$1501,MATCH($A1338,customer_churn_dataset!$A$2:$A$1501,0))</f>
        <v>11</v>
      </c>
      <c r="E1337" s="0" t="n">
        <f aca="false">INDEX(customer_churn_dataset!$I$2:$I$1501,MATCH($A1338,customer_churn_dataset!$A$2:$A$1501,0))</f>
        <v>28.9</v>
      </c>
      <c r="F1337" s="0" t="n">
        <f aca="false">INDEX(customer_churn_dataset!$L$2:$L$1501,MATCH($A1338,customer_churn_dataset!$A$2:$A$1501,0))</f>
        <v>4</v>
      </c>
      <c r="G1337" s="0" t="str">
        <f aca="false">IF(INDEX(customer_churn_dataset!$M$2:$M$1501,MATCH($A1338,customer_churn_dataset!$A$2:$A$1501,0))=1,"Yes","No")</f>
        <v>Yes</v>
      </c>
      <c r="H1337" s="0" t="n">
        <f aca="false">INDEX(customer_churn_dataset!$N$2:$N$1501,MATCH($A1338,customer_churn_dataset!$A$2:$A$1501,0))</f>
        <v>225.94</v>
      </c>
      <c r="I1337" s="0" t="n">
        <f aca="false">INDEX(customer_churn_dataset!$O$2:$O$1501,MATCH($A1338,customer_churn_dataset!$A$2:$A$1501,0))</f>
        <v>1</v>
      </c>
      <c r="J1337" s="0" t="n">
        <f aca="false">INDEX(customer_churn_dataset!$T$2:$T$1501,MATCH($A1338,customer_churn_dataset!$A$2:$A$1501,0))</f>
        <v>7</v>
      </c>
      <c r="K1337" s="0" t="str">
        <f aca="false">INDEX(customer_churn_dataset!$V$2:$V$1501,MATCH($A1338,customer_churn_dataset!$A$2:$A$1501,0))</f>
        <v>High Risk</v>
      </c>
    </row>
    <row r="1338" customFormat="false" ht="12.8" hidden="true" customHeight="false" outlineLevel="0" collapsed="false">
      <c r="A1338" s="22" t="str">
        <f aca="false">customer_churn_dataset!A1228</f>
        <v>CUST100609</v>
      </c>
      <c r="B1338" s="22" t="str">
        <f aca="false">customer_churn_dataset!B1228</f>
        <v>Standard</v>
      </c>
      <c r="C1338" s="22" t="str">
        <f aca="false">customer_churn_dataset!C1228</f>
        <v>Two year</v>
      </c>
      <c r="D1338" s="0" t="n">
        <f aca="false">INDEX(customer_churn_dataset!$E$2:$E$1501,MATCH($A1339,customer_churn_dataset!$A$2:$A$1501,0))</f>
        <v>59</v>
      </c>
      <c r="E1338" s="0" t="n">
        <f aca="false">INDEX(customer_churn_dataset!$I$2:$I$1501,MATCH($A1339,customer_churn_dataset!$A$2:$A$1501,0))</f>
        <v>48.9</v>
      </c>
      <c r="F1338" s="0" t="n">
        <f aca="false">INDEX(customer_churn_dataset!$L$2:$L$1501,MATCH($A1339,customer_churn_dataset!$A$2:$A$1501,0))</f>
        <v>2</v>
      </c>
      <c r="G1338" s="0" t="str">
        <f aca="false">IF(INDEX(customer_churn_dataset!$M$2:$M$1501,MATCH($A1339,customer_churn_dataset!$A$2:$A$1501,0))=1,"Yes","No")</f>
        <v>Yes</v>
      </c>
      <c r="H1338" s="0" t="n">
        <f aca="false">INDEX(customer_churn_dataset!$N$2:$N$1501,MATCH($A1339,customer_churn_dataset!$A$2:$A$1501,0))</f>
        <v>2299.23</v>
      </c>
      <c r="I1338" s="0" t="n">
        <f aca="false">INDEX(customer_churn_dataset!$O$2:$O$1501,MATCH($A1339,customer_churn_dataset!$A$2:$A$1501,0))</f>
        <v>0</v>
      </c>
      <c r="J1338" s="0" t="n">
        <f aca="false">INDEX(customer_churn_dataset!$T$2:$T$1501,MATCH($A1339,customer_churn_dataset!$A$2:$A$1501,0))</f>
        <v>6</v>
      </c>
      <c r="K1338" s="0" t="str">
        <f aca="false">INDEX(customer_churn_dataset!$V$2:$V$1501,MATCH($A1339,customer_churn_dataset!$A$2:$A$1501,0))</f>
        <v>High Risk</v>
      </c>
    </row>
    <row r="1339" customFormat="false" ht="12.8" hidden="true" customHeight="false" outlineLevel="0" collapsed="false">
      <c r="A1339" s="22" t="str">
        <f aca="false">customer_churn_dataset!A1230</f>
        <v>CUST101271</v>
      </c>
      <c r="B1339" s="22" t="str">
        <f aca="false">customer_churn_dataset!B1230</f>
        <v>Premium</v>
      </c>
      <c r="C1339" s="22" t="str">
        <f aca="false">customer_churn_dataset!C1230</f>
        <v>One year</v>
      </c>
      <c r="D1339" s="0" t="n">
        <f aca="false">INDEX(customer_churn_dataset!$E$2:$E$1501,MATCH($A1340,customer_churn_dataset!$A$2:$A$1501,0))</f>
        <v>2</v>
      </c>
      <c r="E1339" s="0" t="n">
        <f aca="false">INDEX(customer_churn_dataset!$I$2:$I$1501,MATCH($A1340,customer_churn_dataset!$A$2:$A$1501,0))</f>
        <v>57.8</v>
      </c>
      <c r="F1339" s="0" t="n">
        <f aca="false">INDEX(customer_churn_dataset!$L$2:$L$1501,MATCH($A1340,customer_churn_dataset!$A$2:$A$1501,0))</f>
        <v>3</v>
      </c>
      <c r="G1339" s="0" t="str">
        <f aca="false">IF(INDEX(customer_churn_dataset!$M$2:$M$1501,MATCH($A1340,customer_churn_dataset!$A$2:$A$1501,0))=1,"Yes","No")</f>
        <v>No</v>
      </c>
      <c r="H1339" s="0" t="n">
        <f aca="false">INDEX(customer_churn_dataset!$N$2:$N$1501,MATCH($A1340,customer_churn_dataset!$A$2:$A$1501,0))</f>
        <v>39.98</v>
      </c>
      <c r="I1339" s="0" t="n">
        <f aca="false">INDEX(customer_churn_dataset!$O$2:$O$1501,MATCH($A1340,customer_churn_dataset!$A$2:$A$1501,0))</f>
        <v>1</v>
      </c>
      <c r="J1339" s="0" t="n">
        <f aca="false">INDEX(customer_churn_dataset!$T$2:$T$1501,MATCH($A1340,customer_churn_dataset!$A$2:$A$1501,0))</f>
        <v>4</v>
      </c>
      <c r="K1339" s="0" t="str">
        <f aca="false">INDEX(customer_churn_dataset!$V$2:$V$1501,MATCH($A1340,customer_churn_dataset!$A$2:$A$1501,0))</f>
        <v>Medium Risk</v>
      </c>
    </row>
    <row r="1340" customFormat="false" ht="12.8" hidden="true" customHeight="false" outlineLevel="0" collapsed="false">
      <c r="A1340" s="22" t="str">
        <f aca="false">customer_churn_dataset!A1286</f>
        <v>CUST100886</v>
      </c>
      <c r="B1340" s="22" t="str">
        <f aca="false">customer_churn_dataset!B1286</f>
        <v>Standard</v>
      </c>
      <c r="C1340" s="22" t="str">
        <f aca="false">customer_churn_dataset!C1286</f>
        <v>Month-to-month</v>
      </c>
      <c r="D1340" s="0" t="n">
        <f aca="false">INDEX(customer_churn_dataset!$E$2:$E$1501,MATCH($A1341,customer_churn_dataset!$A$2:$A$1501,0))</f>
        <v>21</v>
      </c>
      <c r="E1340" s="0" t="n">
        <f aca="false">INDEX(customer_churn_dataset!$I$2:$I$1501,MATCH($A1341,customer_churn_dataset!$A$2:$A$1501,0))</f>
        <v>35.1</v>
      </c>
      <c r="F1340" s="0" t="n">
        <f aca="false">INDEX(customer_churn_dataset!$L$2:$L$1501,MATCH($A1341,customer_churn_dataset!$A$2:$A$1501,0))</f>
        <v>1</v>
      </c>
      <c r="G1340" s="0" t="str">
        <f aca="false">IF(INDEX(customer_churn_dataset!$M$2:$M$1501,MATCH($A1341,customer_churn_dataset!$A$2:$A$1501,0))=1,"Yes","No")</f>
        <v>No</v>
      </c>
      <c r="H1340" s="0" t="n">
        <f aca="false">INDEX(customer_churn_dataset!$N$2:$N$1501,MATCH($A1341,customer_churn_dataset!$A$2:$A$1501,0))</f>
        <v>220.08</v>
      </c>
      <c r="I1340" s="0" t="n">
        <f aca="false">INDEX(customer_churn_dataset!$O$2:$O$1501,MATCH($A1341,customer_churn_dataset!$A$2:$A$1501,0))</f>
        <v>0</v>
      </c>
      <c r="J1340" s="0" t="n">
        <f aca="false">INDEX(customer_churn_dataset!$T$2:$T$1501,MATCH($A1341,customer_churn_dataset!$A$2:$A$1501,0))</f>
        <v>3</v>
      </c>
      <c r="K1340" s="0" t="str">
        <f aca="false">INDEX(customer_churn_dataset!$V$2:$V$1501,MATCH($A1341,customer_churn_dataset!$A$2:$A$1501,0))</f>
        <v>Medium Risk</v>
      </c>
    </row>
    <row r="1341" customFormat="false" ht="12.8" hidden="true" customHeight="false" outlineLevel="0" collapsed="false">
      <c r="A1341" s="22" t="str">
        <f aca="false">customer_churn_dataset!A1309</f>
        <v>CUST101039</v>
      </c>
      <c r="B1341" s="22" t="str">
        <f aca="false">customer_churn_dataset!B1309</f>
        <v>Basic</v>
      </c>
      <c r="C1341" s="22" t="str">
        <f aca="false">customer_churn_dataset!C1309</f>
        <v>One year</v>
      </c>
      <c r="D1341" s="0" t="n">
        <f aca="false">INDEX(customer_churn_dataset!$E$2:$E$1501,MATCH($A1342,customer_churn_dataset!$A$2:$A$1501,0))</f>
        <v>3</v>
      </c>
      <c r="E1341" s="0" t="n">
        <f aca="false">INDEX(customer_churn_dataset!$I$2:$I$1501,MATCH($A1342,customer_churn_dataset!$A$2:$A$1501,0))</f>
        <v>33.8</v>
      </c>
      <c r="F1341" s="0" t="n">
        <f aca="false">INDEX(customer_churn_dataset!$L$2:$L$1501,MATCH($A1342,customer_churn_dataset!$A$2:$A$1501,0))</f>
        <v>1</v>
      </c>
      <c r="G1341" s="0" t="str">
        <f aca="false">IF(INDEX(customer_churn_dataset!$M$2:$M$1501,MATCH($A1342,customer_churn_dataset!$A$2:$A$1501,0))=1,"Yes","No")</f>
        <v>No</v>
      </c>
      <c r="H1341" s="0" t="n">
        <f aca="false">INDEX(customer_churn_dataset!$N$2:$N$1501,MATCH($A1342,customer_churn_dataset!$A$2:$A$1501,0))</f>
        <v>122.01</v>
      </c>
      <c r="I1341" s="0" t="n">
        <f aca="false">INDEX(customer_churn_dataset!$O$2:$O$1501,MATCH($A1342,customer_churn_dataset!$A$2:$A$1501,0))</f>
        <v>1</v>
      </c>
      <c r="J1341" s="0" t="n">
        <f aca="false">INDEX(customer_churn_dataset!$T$2:$T$1501,MATCH($A1342,customer_churn_dataset!$A$2:$A$1501,0))</f>
        <v>5</v>
      </c>
      <c r="K1341" s="0" t="str">
        <f aca="false">INDEX(customer_churn_dataset!$V$2:$V$1501,MATCH($A1342,customer_churn_dataset!$A$2:$A$1501,0))</f>
        <v>Medium Risk</v>
      </c>
    </row>
    <row r="1342" customFormat="false" ht="12.8" hidden="true" customHeight="false" outlineLevel="0" collapsed="false">
      <c r="A1342" s="22" t="str">
        <f aca="false">customer_churn_dataset!A1356</f>
        <v>CUST101294</v>
      </c>
      <c r="B1342" s="22" t="str">
        <f aca="false">customer_churn_dataset!B1356</f>
        <v>Premium</v>
      </c>
      <c r="C1342" s="22" t="str">
        <f aca="false">customer_churn_dataset!C1356</f>
        <v>Month-to-month</v>
      </c>
      <c r="D1342" s="0" t="n">
        <f aca="false">INDEX(customer_churn_dataset!$E$2:$E$1501,MATCH($A1343,customer_churn_dataset!$A$2:$A$1501,0))</f>
        <v>11</v>
      </c>
      <c r="E1342" s="0" t="n">
        <f aca="false">INDEX(customer_churn_dataset!$I$2:$I$1501,MATCH($A1343,customer_churn_dataset!$A$2:$A$1501,0))</f>
        <v>19.1</v>
      </c>
      <c r="F1342" s="0" t="n">
        <f aca="false">INDEX(customer_churn_dataset!$L$2:$L$1501,MATCH($A1343,customer_churn_dataset!$A$2:$A$1501,0))</f>
        <v>3</v>
      </c>
      <c r="G1342" s="0" t="str">
        <f aca="false">IF(INDEX(customer_churn_dataset!$M$2:$M$1501,MATCH($A1343,customer_churn_dataset!$A$2:$A$1501,0))=1,"Yes","No")</f>
        <v>No</v>
      </c>
      <c r="H1342" s="0" t="n">
        <f aca="false">INDEX(customer_churn_dataset!$N$2:$N$1501,MATCH($A1343,customer_churn_dataset!$A$2:$A$1501,0))</f>
        <v>110.22</v>
      </c>
      <c r="I1342" s="0" t="n">
        <f aca="false">INDEX(customer_churn_dataset!$O$2:$O$1501,MATCH($A1343,customer_churn_dataset!$A$2:$A$1501,0))</f>
        <v>0</v>
      </c>
      <c r="J1342" s="0" t="n">
        <f aca="false">INDEX(customer_churn_dataset!$T$2:$T$1501,MATCH($A1343,customer_churn_dataset!$A$2:$A$1501,0))</f>
        <v>5</v>
      </c>
      <c r="K1342" s="0" t="str">
        <f aca="false">INDEX(customer_churn_dataset!$V$2:$V$1501,MATCH($A1343,customer_churn_dataset!$A$2:$A$1501,0))</f>
        <v>Medium Risk</v>
      </c>
    </row>
    <row r="1343" customFormat="false" ht="12.8" hidden="true" customHeight="false" outlineLevel="0" collapsed="false">
      <c r="A1343" s="22" t="str">
        <f aca="false">customer_churn_dataset!A1363</f>
        <v>CUST101224</v>
      </c>
      <c r="B1343" s="22" t="str">
        <f aca="false">customer_churn_dataset!B1363</f>
        <v>Basic</v>
      </c>
      <c r="C1343" s="22" t="str">
        <f aca="false">customer_churn_dataset!C1363</f>
        <v>One year</v>
      </c>
      <c r="D1343" s="0" t="n">
        <f aca="false">INDEX(customer_churn_dataset!$E$2:$E$1501,MATCH($A1344,customer_churn_dataset!$A$2:$A$1501,0))</f>
        <v>11</v>
      </c>
      <c r="E1343" s="0" t="n">
        <f aca="false">INDEX(customer_churn_dataset!$I$2:$I$1501,MATCH($A1344,customer_churn_dataset!$A$2:$A$1501,0))</f>
        <v>55.3</v>
      </c>
      <c r="F1343" s="0" t="n">
        <f aca="false">INDEX(customer_churn_dataset!$L$2:$L$1501,MATCH($A1344,customer_churn_dataset!$A$2:$A$1501,0))</f>
        <v>1</v>
      </c>
      <c r="G1343" s="0" t="str">
        <f aca="false">IF(INDEX(customer_churn_dataset!$M$2:$M$1501,MATCH($A1344,customer_churn_dataset!$A$2:$A$1501,0))=1,"Yes","No")</f>
        <v>No</v>
      </c>
      <c r="H1343" s="0" t="n">
        <f aca="false">INDEX(customer_churn_dataset!$N$2:$N$1501,MATCH($A1344,customer_churn_dataset!$A$2:$A$1501,0))</f>
        <v>113.85</v>
      </c>
      <c r="I1343" s="0" t="n">
        <f aca="false">INDEX(customer_churn_dataset!$O$2:$O$1501,MATCH($A1344,customer_churn_dataset!$A$2:$A$1501,0))</f>
        <v>0</v>
      </c>
      <c r="J1343" s="0" t="n">
        <f aca="false">INDEX(customer_churn_dataset!$T$2:$T$1501,MATCH($A1344,customer_churn_dataset!$A$2:$A$1501,0))</f>
        <v>2</v>
      </c>
      <c r="K1343" s="0" t="str">
        <f aca="false">INDEX(customer_churn_dataset!$V$2:$V$1501,MATCH($A1344,customer_churn_dataset!$A$2:$A$1501,0))</f>
        <v>Low Risk</v>
      </c>
    </row>
    <row r="1344" customFormat="false" ht="12.8" hidden="true" customHeight="false" outlineLevel="0" collapsed="false">
      <c r="A1344" s="22" t="str">
        <f aca="false">customer_churn_dataset!A1369</f>
        <v>CUST101047</v>
      </c>
      <c r="B1344" s="22" t="str">
        <f aca="false">customer_churn_dataset!B1369</f>
        <v>Basic</v>
      </c>
      <c r="C1344" s="22" t="str">
        <f aca="false">customer_churn_dataset!C1369</f>
        <v>One year</v>
      </c>
      <c r="D1344" s="0" t="n">
        <f aca="false">INDEX(customer_churn_dataset!$E$2:$E$1501,MATCH($A1345,customer_churn_dataset!$A$2:$A$1501,0))</f>
        <v>14</v>
      </c>
      <c r="E1344" s="0" t="n">
        <f aca="false">INDEX(customer_churn_dataset!$I$2:$I$1501,MATCH($A1345,customer_churn_dataset!$A$2:$A$1501,0))</f>
        <v>71.7</v>
      </c>
      <c r="F1344" s="0" t="n">
        <f aca="false">INDEX(customer_churn_dataset!$L$2:$L$1501,MATCH($A1345,customer_churn_dataset!$A$2:$A$1501,0))</f>
        <v>1</v>
      </c>
      <c r="G1344" s="0" t="str">
        <f aca="false">IF(INDEX(customer_churn_dataset!$M$2:$M$1501,MATCH($A1345,customer_churn_dataset!$A$2:$A$1501,0))=1,"Yes","No")</f>
        <v>No</v>
      </c>
      <c r="H1344" s="0" t="n">
        <f aca="false">INDEX(customer_churn_dataset!$N$2:$N$1501,MATCH($A1345,customer_churn_dataset!$A$2:$A$1501,0))</f>
        <v>274.4</v>
      </c>
      <c r="I1344" s="0" t="n">
        <f aca="false">INDEX(customer_churn_dataset!$O$2:$O$1501,MATCH($A1345,customer_churn_dataset!$A$2:$A$1501,0))</f>
        <v>0</v>
      </c>
      <c r="J1344" s="0" t="n">
        <f aca="false">INDEX(customer_churn_dataset!$T$2:$T$1501,MATCH($A1345,customer_churn_dataset!$A$2:$A$1501,0))</f>
        <v>1</v>
      </c>
      <c r="K1344" s="0" t="str">
        <f aca="false">INDEX(customer_churn_dataset!$V$2:$V$1501,MATCH($A1345,customer_churn_dataset!$A$2:$A$1501,0))</f>
        <v>Low Risk</v>
      </c>
    </row>
    <row r="1345" customFormat="false" ht="12.8" hidden="true" customHeight="false" outlineLevel="0" collapsed="false">
      <c r="A1345" s="22" t="str">
        <f aca="false">customer_churn_dataset!A1372</f>
        <v>CUST101189</v>
      </c>
      <c r="B1345" s="22" t="str">
        <f aca="false">customer_churn_dataset!B1372</f>
        <v>Standard</v>
      </c>
      <c r="C1345" s="22" t="str">
        <f aca="false">customer_churn_dataset!C1372</f>
        <v>One year</v>
      </c>
      <c r="D1345" s="0" t="n">
        <f aca="false">INDEX(customer_churn_dataset!$E$2:$E$1501,MATCH($A1346,customer_churn_dataset!$A$2:$A$1501,0))</f>
        <v>16</v>
      </c>
      <c r="E1345" s="0" t="n">
        <f aca="false">INDEX(customer_churn_dataset!$I$2:$I$1501,MATCH($A1346,customer_churn_dataset!$A$2:$A$1501,0))</f>
        <v>48.7</v>
      </c>
      <c r="F1345" s="0" t="n">
        <f aca="false">INDEX(customer_churn_dataset!$L$2:$L$1501,MATCH($A1346,customer_churn_dataset!$A$2:$A$1501,0))</f>
        <v>1</v>
      </c>
      <c r="G1345" s="0" t="str">
        <f aca="false">IF(INDEX(customer_churn_dataset!$M$2:$M$1501,MATCH($A1346,customer_churn_dataset!$A$2:$A$1501,0))=1,"Yes","No")</f>
        <v>Yes</v>
      </c>
      <c r="H1345" s="0" t="n">
        <f aca="false">INDEX(customer_churn_dataset!$N$2:$N$1501,MATCH($A1346,customer_churn_dataset!$A$2:$A$1501,0))</f>
        <v>312.16</v>
      </c>
      <c r="I1345" s="0" t="n">
        <f aca="false">INDEX(customer_churn_dataset!$O$2:$O$1501,MATCH($A1346,customer_churn_dataset!$A$2:$A$1501,0))</f>
        <v>0</v>
      </c>
      <c r="J1345" s="0" t="n">
        <f aca="false">INDEX(customer_churn_dataset!$T$2:$T$1501,MATCH($A1346,customer_churn_dataset!$A$2:$A$1501,0))</f>
        <v>6</v>
      </c>
      <c r="K1345" s="0" t="str">
        <f aca="false">INDEX(customer_churn_dataset!$V$2:$V$1501,MATCH($A1346,customer_churn_dataset!$A$2:$A$1501,0))</f>
        <v>High Risk</v>
      </c>
    </row>
    <row r="1346" customFormat="false" ht="12.8" hidden="true" customHeight="false" outlineLevel="0" collapsed="false">
      <c r="A1346" s="22" t="str">
        <f aca="false">customer_churn_dataset!A1374</f>
        <v>CUST101186</v>
      </c>
      <c r="B1346" s="22" t="str">
        <f aca="false">customer_churn_dataset!B1374</f>
        <v>Standard</v>
      </c>
      <c r="C1346" s="22" t="str">
        <f aca="false">customer_churn_dataset!C1374</f>
        <v>Month-to-month</v>
      </c>
      <c r="D1346" s="0" t="n">
        <f aca="false">INDEX(customer_churn_dataset!$E$2:$E$1501,MATCH($A1347,customer_churn_dataset!$A$2:$A$1501,0))</f>
        <v>27</v>
      </c>
      <c r="E1346" s="0" t="n">
        <f aca="false">INDEX(customer_churn_dataset!$I$2:$I$1501,MATCH($A1347,customer_churn_dataset!$A$2:$A$1501,0))</f>
        <v>90.5</v>
      </c>
      <c r="F1346" s="0" t="n">
        <f aca="false">INDEX(customer_churn_dataset!$L$2:$L$1501,MATCH($A1347,customer_churn_dataset!$A$2:$A$1501,0))</f>
        <v>1</v>
      </c>
      <c r="G1346" s="0" t="str">
        <f aca="false">IF(INDEX(customer_churn_dataset!$M$2:$M$1501,MATCH($A1347,customer_churn_dataset!$A$2:$A$1501,0))=1,"Yes","No")</f>
        <v>No</v>
      </c>
      <c r="H1346" s="0" t="n">
        <f aca="false">INDEX(customer_churn_dataset!$N$2:$N$1501,MATCH($A1347,customer_churn_dataset!$A$2:$A$1501,0))</f>
        <v>1114.29</v>
      </c>
      <c r="I1346" s="0" t="n">
        <f aca="false">INDEX(customer_churn_dataset!$O$2:$O$1501,MATCH($A1347,customer_churn_dataset!$A$2:$A$1501,0))</f>
        <v>0</v>
      </c>
      <c r="J1346" s="0" t="n">
        <f aca="false">INDEX(customer_churn_dataset!$T$2:$T$1501,MATCH($A1347,customer_churn_dataset!$A$2:$A$1501,0))</f>
        <v>2</v>
      </c>
      <c r="K1346" s="0" t="str">
        <f aca="false">INDEX(customer_churn_dataset!$V$2:$V$1501,MATCH($A1347,customer_churn_dataset!$A$2:$A$1501,0))</f>
        <v>Low Risk</v>
      </c>
    </row>
    <row r="1347" customFormat="false" ht="12.8" hidden="true" customHeight="false" outlineLevel="0" collapsed="false">
      <c r="A1347" s="22" t="str">
        <f aca="false">customer_churn_dataset!A1390</f>
        <v>CUST100998</v>
      </c>
      <c r="B1347" s="22" t="str">
        <f aca="false">customer_churn_dataset!B1390</f>
        <v>Premium</v>
      </c>
      <c r="C1347" s="22" t="str">
        <f aca="false">customer_churn_dataset!C1390</f>
        <v>Month-to-month</v>
      </c>
      <c r="D1347" s="0" t="n">
        <f aca="false">INDEX(customer_churn_dataset!$E$2:$E$1501,MATCH($A1348,customer_churn_dataset!$A$2:$A$1501,0))</f>
        <v>6</v>
      </c>
      <c r="E1347" s="0" t="n">
        <f aca="false">INDEX(customer_churn_dataset!$I$2:$I$1501,MATCH($A1348,customer_churn_dataset!$A$2:$A$1501,0))</f>
        <v>40.4</v>
      </c>
      <c r="F1347" s="0" t="n">
        <f aca="false">INDEX(customer_churn_dataset!$L$2:$L$1501,MATCH($A1348,customer_churn_dataset!$A$2:$A$1501,0))</f>
        <v>0</v>
      </c>
      <c r="G1347" s="0" t="str">
        <f aca="false">IF(INDEX(customer_churn_dataset!$M$2:$M$1501,MATCH($A1348,customer_churn_dataset!$A$2:$A$1501,0))=1,"Yes","No")</f>
        <v>No</v>
      </c>
      <c r="H1347" s="0" t="n">
        <f aca="false">INDEX(customer_churn_dataset!$N$2:$N$1501,MATCH($A1348,customer_churn_dataset!$A$2:$A$1501,0))</f>
        <v>56.64</v>
      </c>
      <c r="I1347" s="0" t="n">
        <f aca="false">INDEX(customer_churn_dataset!$O$2:$O$1501,MATCH($A1348,customer_churn_dataset!$A$2:$A$1501,0))</f>
        <v>0</v>
      </c>
      <c r="J1347" s="0" t="n">
        <f aca="false">INDEX(customer_churn_dataset!$T$2:$T$1501,MATCH($A1348,customer_churn_dataset!$A$2:$A$1501,0))</f>
        <v>2</v>
      </c>
      <c r="K1347" s="0" t="str">
        <f aca="false">INDEX(customer_churn_dataset!$V$2:$V$1501,MATCH($A1348,customer_churn_dataset!$A$2:$A$1501,0))</f>
        <v>Low Risk</v>
      </c>
    </row>
    <row r="1348" customFormat="false" ht="12.8" hidden="true" customHeight="false" outlineLevel="0" collapsed="false">
      <c r="A1348" s="22" t="str">
        <f aca="false">customer_churn_dataset!A1396</f>
        <v>CUST100682</v>
      </c>
      <c r="B1348" s="22" t="str">
        <f aca="false">customer_churn_dataset!B1396</f>
        <v>Basic</v>
      </c>
      <c r="C1348" s="22" t="str">
        <f aca="false">customer_churn_dataset!C1396</f>
        <v>Two year</v>
      </c>
      <c r="D1348" s="0" t="n">
        <f aca="false">INDEX(customer_churn_dataset!$E$2:$E$1501,MATCH($A1349,customer_churn_dataset!$A$2:$A$1501,0))</f>
        <v>15</v>
      </c>
      <c r="E1348" s="0" t="n">
        <f aca="false">INDEX(customer_churn_dataset!$I$2:$I$1501,MATCH($A1349,customer_churn_dataset!$A$2:$A$1501,0))</f>
        <v>71.2</v>
      </c>
      <c r="F1348" s="0" t="n">
        <f aca="false">INDEX(customer_churn_dataset!$L$2:$L$1501,MATCH($A1349,customer_churn_dataset!$A$2:$A$1501,0))</f>
        <v>1</v>
      </c>
      <c r="G1348" s="0" t="str">
        <f aca="false">IF(INDEX(customer_churn_dataset!$M$2:$M$1501,MATCH($A1349,customer_churn_dataset!$A$2:$A$1501,0))=1,"Yes","No")</f>
        <v>No</v>
      </c>
      <c r="H1348" s="0" t="n">
        <f aca="false">INDEX(customer_churn_dataset!$N$2:$N$1501,MATCH($A1349,customer_churn_dataset!$A$2:$A$1501,0))</f>
        <v>270.3</v>
      </c>
      <c r="I1348" s="0" t="n">
        <f aca="false">INDEX(customer_churn_dataset!$O$2:$O$1501,MATCH($A1349,customer_churn_dataset!$A$2:$A$1501,0))</f>
        <v>0</v>
      </c>
      <c r="J1348" s="0" t="n">
        <f aca="false">INDEX(customer_churn_dataset!$T$2:$T$1501,MATCH($A1349,customer_churn_dataset!$A$2:$A$1501,0))</f>
        <v>2</v>
      </c>
      <c r="K1348" s="0" t="str">
        <f aca="false">INDEX(customer_churn_dataset!$V$2:$V$1501,MATCH($A1349,customer_churn_dataset!$A$2:$A$1501,0))</f>
        <v>Low Risk</v>
      </c>
    </row>
    <row r="1349" customFormat="false" ht="12.8" hidden="true" customHeight="false" outlineLevel="0" collapsed="false">
      <c r="A1349" s="22" t="str">
        <f aca="false">customer_churn_dataset!A1401</f>
        <v>CUST100265</v>
      </c>
      <c r="B1349" s="22" t="str">
        <f aca="false">customer_churn_dataset!B1401</f>
        <v>Standard</v>
      </c>
      <c r="C1349" s="22" t="str">
        <f aca="false">customer_churn_dataset!C1401</f>
        <v>Month-to-month</v>
      </c>
      <c r="D1349" s="0" t="n">
        <f aca="false">INDEX(customer_churn_dataset!$E$2:$E$1501,MATCH($A1350,customer_churn_dataset!$A$2:$A$1501,0))</f>
        <v>9</v>
      </c>
      <c r="E1349" s="0" t="n">
        <f aca="false">INDEX(customer_churn_dataset!$I$2:$I$1501,MATCH($A1350,customer_churn_dataset!$A$2:$A$1501,0))</f>
        <v>45.5</v>
      </c>
      <c r="F1349" s="0" t="n">
        <f aca="false">INDEX(customer_churn_dataset!$L$2:$L$1501,MATCH($A1350,customer_churn_dataset!$A$2:$A$1501,0))</f>
        <v>0</v>
      </c>
      <c r="G1349" s="0" t="str">
        <f aca="false">IF(INDEX(customer_churn_dataset!$M$2:$M$1501,MATCH($A1350,customer_churn_dataset!$A$2:$A$1501,0))=1,"Yes","No")</f>
        <v>No</v>
      </c>
      <c r="H1349" s="0" t="n">
        <f aca="false">INDEX(customer_churn_dataset!$N$2:$N$1501,MATCH($A1350,customer_churn_dataset!$A$2:$A$1501,0))</f>
        <v>360.81</v>
      </c>
      <c r="I1349" s="0" t="n">
        <f aca="false">INDEX(customer_churn_dataset!$O$2:$O$1501,MATCH($A1350,customer_churn_dataset!$A$2:$A$1501,0))</f>
        <v>0</v>
      </c>
      <c r="J1349" s="0" t="n">
        <f aca="false">INDEX(customer_churn_dataset!$T$2:$T$1501,MATCH($A1350,customer_churn_dataset!$A$2:$A$1501,0))</f>
        <v>4</v>
      </c>
      <c r="K1349" s="0" t="str">
        <f aca="false">INDEX(customer_churn_dataset!$V$2:$V$1501,MATCH($A1350,customer_churn_dataset!$A$2:$A$1501,0))</f>
        <v>Medium Risk</v>
      </c>
    </row>
    <row r="1350" customFormat="false" ht="12.8" hidden="true" customHeight="false" outlineLevel="0" collapsed="false">
      <c r="A1350" s="22" t="str">
        <f aca="false">customer_churn_dataset!A1408</f>
        <v>CUST100012</v>
      </c>
      <c r="B1350" s="22" t="str">
        <f aca="false">customer_churn_dataset!B1408</f>
        <v>Premium</v>
      </c>
      <c r="C1350" s="22" t="str">
        <f aca="false">customer_churn_dataset!C1408</f>
        <v>Month-to-month</v>
      </c>
      <c r="D1350" s="0" t="n">
        <f aca="false">INDEX(customer_churn_dataset!$E$2:$E$1501,MATCH($A1351,customer_churn_dataset!$A$2:$A$1501,0))</f>
        <v>18</v>
      </c>
      <c r="E1350" s="0" t="n">
        <f aca="false">INDEX(customer_churn_dataset!$I$2:$I$1501,MATCH($A1351,customer_churn_dataset!$A$2:$A$1501,0))</f>
        <v>28.1</v>
      </c>
      <c r="F1350" s="0" t="n">
        <f aca="false">INDEX(customer_churn_dataset!$L$2:$L$1501,MATCH($A1351,customer_churn_dataset!$A$2:$A$1501,0))</f>
        <v>3</v>
      </c>
      <c r="G1350" s="0" t="str">
        <f aca="false">IF(INDEX(customer_churn_dataset!$M$2:$M$1501,MATCH($A1351,customer_churn_dataset!$A$2:$A$1501,0))=1,"Yes","No")</f>
        <v>No</v>
      </c>
      <c r="H1350" s="0" t="n">
        <f aca="false">INDEX(customer_churn_dataset!$N$2:$N$1501,MATCH($A1351,customer_churn_dataset!$A$2:$A$1501,0))</f>
        <v>155.52</v>
      </c>
      <c r="I1350" s="0" t="n">
        <f aca="false">INDEX(customer_churn_dataset!$O$2:$O$1501,MATCH($A1351,customer_churn_dataset!$A$2:$A$1501,0))</f>
        <v>0</v>
      </c>
      <c r="J1350" s="0" t="n">
        <f aca="false">INDEX(customer_churn_dataset!$T$2:$T$1501,MATCH($A1351,customer_churn_dataset!$A$2:$A$1501,0))</f>
        <v>5</v>
      </c>
      <c r="K1350" s="0" t="str">
        <f aca="false">INDEX(customer_churn_dataset!$V$2:$V$1501,MATCH($A1351,customer_churn_dataset!$A$2:$A$1501,0))</f>
        <v>Medium Risk</v>
      </c>
    </row>
    <row r="1351" customFormat="false" ht="12.8" hidden="true" customHeight="false" outlineLevel="0" collapsed="false">
      <c r="A1351" s="22" t="str">
        <f aca="false">customer_churn_dataset!A1433</f>
        <v>CUST100236</v>
      </c>
      <c r="B1351" s="22" t="str">
        <f aca="false">customer_churn_dataset!B1433</f>
        <v>Basic</v>
      </c>
      <c r="C1351" s="22" t="str">
        <f aca="false">customer_churn_dataset!C1433</f>
        <v>Month-to-month</v>
      </c>
      <c r="D1351" s="0" t="n">
        <f aca="false">INDEX(customer_churn_dataset!$E$2:$E$1501,MATCH($A1352,customer_churn_dataset!$A$2:$A$1501,0))</f>
        <v>13</v>
      </c>
      <c r="E1351" s="0" t="n">
        <f aca="false">INDEX(customer_churn_dataset!$I$2:$I$1501,MATCH($A1352,customer_churn_dataset!$A$2:$A$1501,0))</f>
        <v>61.7</v>
      </c>
      <c r="F1351" s="0" t="n">
        <f aca="false">INDEX(customer_churn_dataset!$L$2:$L$1501,MATCH($A1352,customer_churn_dataset!$A$2:$A$1501,0))</f>
        <v>1</v>
      </c>
      <c r="G1351" s="0" t="str">
        <f aca="false">IF(INDEX(customer_churn_dataset!$M$2:$M$1501,MATCH($A1352,customer_churn_dataset!$A$2:$A$1501,0))=1,"Yes","No")</f>
        <v>No</v>
      </c>
      <c r="H1351" s="0" t="n">
        <f aca="false">INDEX(customer_churn_dataset!$N$2:$N$1501,MATCH($A1352,customer_churn_dataset!$A$2:$A$1501,0))</f>
        <v>522.47</v>
      </c>
      <c r="I1351" s="0" t="n">
        <f aca="false">INDEX(customer_churn_dataset!$O$2:$O$1501,MATCH($A1352,customer_churn_dataset!$A$2:$A$1501,0))</f>
        <v>0</v>
      </c>
      <c r="J1351" s="0" t="n">
        <f aca="false">INDEX(customer_churn_dataset!$T$2:$T$1501,MATCH($A1352,customer_churn_dataset!$A$2:$A$1501,0))</f>
        <v>2</v>
      </c>
      <c r="K1351" s="0" t="str">
        <f aca="false">INDEX(customer_churn_dataset!$V$2:$V$1501,MATCH($A1352,customer_churn_dataset!$A$2:$A$1501,0))</f>
        <v>Low Risk</v>
      </c>
    </row>
    <row r="1352" customFormat="false" ht="12.8" hidden="true" customHeight="false" outlineLevel="0" collapsed="false">
      <c r="A1352" s="22" t="str">
        <f aca="false">customer_churn_dataset!A1444</f>
        <v>CUST101472</v>
      </c>
      <c r="B1352" s="22" t="str">
        <f aca="false">customer_churn_dataset!B1444</f>
        <v>Premium</v>
      </c>
      <c r="C1352" s="22" t="str">
        <f aca="false">customer_churn_dataset!C1444</f>
        <v>Month-to-month</v>
      </c>
      <c r="D1352" s="0" t="n">
        <f aca="false">INDEX(customer_churn_dataset!$E$2:$E$1501,MATCH($A1353,customer_churn_dataset!$A$2:$A$1501,0))</f>
        <v>1</v>
      </c>
      <c r="E1352" s="0" t="n">
        <f aca="false">INDEX(customer_churn_dataset!$I$2:$I$1501,MATCH($A1353,customer_churn_dataset!$A$2:$A$1501,0))</f>
        <v>55.4</v>
      </c>
      <c r="F1352" s="0" t="n">
        <f aca="false">INDEX(customer_churn_dataset!$L$2:$L$1501,MATCH($A1353,customer_churn_dataset!$A$2:$A$1501,0))</f>
        <v>1</v>
      </c>
      <c r="G1352" s="0" t="str">
        <f aca="false">IF(INDEX(customer_churn_dataset!$M$2:$M$1501,MATCH($A1353,customer_churn_dataset!$A$2:$A$1501,0))=1,"Yes","No")</f>
        <v>Yes</v>
      </c>
      <c r="H1352" s="0" t="n">
        <f aca="false">INDEX(customer_churn_dataset!$N$2:$N$1501,MATCH($A1353,customer_churn_dataset!$A$2:$A$1501,0))</f>
        <v>9.18</v>
      </c>
      <c r="I1352" s="0" t="n">
        <f aca="false">INDEX(customer_churn_dataset!$O$2:$O$1501,MATCH($A1353,customer_churn_dataset!$A$2:$A$1501,0))</f>
        <v>0</v>
      </c>
      <c r="J1352" s="0" t="n">
        <f aca="false">INDEX(customer_churn_dataset!$T$2:$T$1501,MATCH($A1353,customer_churn_dataset!$A$2:$A$1501,0))</f>
        <v>6</v>
      </c>
      <c r="K1352" s="0" t="str">
        <f aca="false">INDEX(customer_churn_dataset!$V$2:$V$1501,MATCH($A1353,customer_churn_dataset!$A$2:$A$1501,0))</f>
        <v>High Risk</v>
      </c>
    </row>
    <row r="1353" customFormat="false" ht="12.8" hidden="true" customHeight="false" outlineLevel="0" collapsed="false">
      <c r="A1353" s="22" t="str">
        <f aca="false">customer_churn_dataset!A1446</f>
        <v>CUST100726</v>
      </c>
      <c r="B1353" s="22" t="str">
        <f aca="false">customer_churn_dataset!B1446</f>
        <v>Basic</v>
      </c>
      <c r="C1353" s="22" t="str">
        <f aca="false">customer_churn_dataset!C1446</f>
        <v>Month-to-month</v>
      </c>
      <c r="D1353" s="0" t="n">
        <f aca="false">INDEX(customer_churn_dataset!$E$2:$E$1501,MATCH($A1354,customer_churn_dataset!$A$2:$A$1501,0))</f>
        <v>33</v>
      </c>
      <c r="E1353" s="0" t="n">
        <f aca="false">INDEX(customer_churn_dataset!$I$2:$I$1501,MATCH($A1354,customer_churn_dataset!$A$2:$A$1501,0))</f>
        <v>93.4</v>
      </c>
      <c r="F1353" s="0" t="n">
        <f aca="false">INDEX(customer_churn_dataset!$L$2:$L$1501,MATCH($A1354,customer_churn_dataset!$A$2:$A$1501,0))</f>
        <v>1</v>
      </c>
      <c r="G1353" s="0" t="str">
        <f aca="false">IF(INDEX(customer_churn_dataset!$M$2:$M$1501,MATCH($A1354,customer_churn_dataset!$A$2:$A$1501,0))=1,"Yes","No")</f>
        <v>No</v>
      </c>
      <c r="H1353" s="0" t="n">
        <f aca="false">INDEX(customer_churn_dataset!$N$2:$N$1501,MATCH($A1354,customer_churn_dataset!$A$2:$A$1501,0))</f>
        <v>315.15</v>
      </c>
      <c r="I1353" s="0" t="n">
        <f aca="false">INDEX(customer_churn_dataset!$O$2:$O$1501,MATCH($A1354,customer_churn_dataset!$A$2:$A$1501,0))</f>
        <v>0</v>
      </c>
      <c r="J1353" s="0" t="n">
        <f aca="false">INDEX(customer_churn_dataset!$T$2:$T$1501,MATCH($A1354,customer_churn_dataset!$A$2:$A$1501,0))</f>
        <v>1</v>
      </c>
      <c r="K1353" s="0" t="str">
        <f aca="false">INDEX(customer_churn_dataset!$V$2:$V$1501,MATCH($A1354,customer_churn_dataset!$A$2:$A$1501,0))</f>
        <v>Low Risk</v>
      </c>
    </row>
    <row r="1354" customFormat="false" ht="12.8" hidden="true" customHeight="false" outlineLevel="0" collapsed="false">
      <c r="A1354" s="22" t="str">
        <f aca="false">customer_churn_dataset!A1465</f>
        <v>CUST101278</v>
      </c>
      <c r="B1354" s="22" t="str">
        <f aca="false">customer_churn_dataset!B1465</f>
        <v>Basic</v>
      </c>
      <c r="C1354" s="22" t="str">
        <f aca="false">customer_churn_dataset!C1465</f>
        <v>One year</v>
      </c>
      <c r="D1354" s="0" t="n">
        <f aca="false">INDEX(customer_churn_dataset!$E$2:$E$1501,MATCH($A1355,customer_churn_dataset!$A$2:$A$1501,0))</f>
        <v>1</v>
      </c>
      <c r="E1354" s="0" t="n">
        <f aca="false">INDEX(customer_churn_dataset!$I$2:$I$1501,MATCH($A1355,customer_churn_dataset!$A$2:$A$1501,0))</f>
        <v>79.9</v>
      </c>
      <c r="F1354" s="0" t="n">
        <f aca="false">INDEX(customer_churn_dataset!$L$2:$L$1501,MATCH($A1355,customer_churn_dataset!$A$2:$A$1501,0))</f>
        <v>1</v>
      </c>
      <c r="G1354" s="0" t="str">
        <f aca="false">IF(INDEX(customer_churn_dataset!$M$2:$M$1501,MATCH($A1355,customer_churn_dataset!$A$2:$A$1501,0))=1,"Yes","No")</f>
        <v>No</v>
      </c>
      <c r="H1354" s="0" t="n">
        <f aca="false">INDEX(customer_churn_dataset!$N$2:$N$1501,MATCH($A1355,customer_churn_dataset!$A$2:$A$1501,0))</f>
        <v>38.84</v>
      </c>
      <c r="I1354" s="0" t="n">
        <f aca="false">INDEX(customer_churn_dataset!$O$2:$O$1501,MATCH($A1355,customer_churn_dataset!$A$2:$A$1501,0))</f>
        <v>0</v>
      </c>
      <c r="J1354" s="0" t="n">
        <f aca="false">INDEX(customer_churn_dataset!$T$2:$T$1501,MATCH($A1355,customer_churn_dataset!$A$2:$A$1501,0))</f>
        <v>2</v>
      </c>
      <c r="K1354" s="0" t="str">
        <f aca="false">INDEX(customer_churn_dataset!$V$2:$V$1501,MATCH($A1355,customer_churn_dataset!$A$2:$A$1501,0))</f>
        <v>Low Risk</v>
      </c>
    </row>
    <row r="1355" customFormat="false" ht="12.8" hidden="true" customHeight="false" outlineLevel="0" collapsed="false">
      <c r="A1355" s="22" t="str">
        <f aca="false">customer_churn_dataset!A1481</f>
        <v>CUST101117</v>
      </c>
      <c r="B1355" s="22" t="str">
        <f aca="false">customer_churn_dataset!B1481</f>
        <v>Premium</v>
      </c>
      <c r="C1355" s="22" t="str">
        <f aca="false">customer_churn_dataset!C1481</f>
        <v>One year</v>
      </c>
      <c r="D1355" s="0" t="n">
        <f aca="false">INDEX(customer_churn_dataset!$E$2:$E$1501,MATCH($A1356,customer_churn_dataset!$A$2:$A$1501,0))</f>
        <v>6</v>
      </c>
      <c r="E1355" s="0" t="n">
        <f aca="false">INDEX(customer_churn_dataset!$I$2:$I$1501,MATCH($A1356,customer_churn_dataset!$A$2:$A$1501,0))</f>
        <v>36.8</v>
      </c>
      <c r="F1355" s="0" t="n">
        <f aca="false">INDEX(customer_churn_dataset!$L$2:$L$1501,MATCH($A1356,customer_churn_dataset!$A$2:$A$1501,0))</f>
        <v>0</v>
      </c>
      <c r="G1355" s="0" t="str">
        <f aca="false">IF(INDEX(customer_churn_dataset!$M$2:$M$1501,MATCH($A1356,customer_churn_dataset!$A$2:$A$1501,0))=1,"Yes","No")</f>
        <v>No</v>
      </c>
      <c r="H1355" s="0" t="n">
        <f aca="false">INDEX(customer_churn_dataset!$N$2:$N$1501,MATCH($A1356,customer_churn_dataset!$A$2:$A$1501,0))</f>
        <v>121.44</v>
      </c>
      <c r="I1355" s="0" t="n">
        <f aca="false">INDEX(customer_churn_dataset!$O$2:$O$1501,MATCH($A1356,customer_churn_dataset!$A$2:$A$1501,0))</f>
        <v>0</v>
      </c>
      <c r="J1355" s="0" t="n">
        <f aca="false">INDEX(customer_churn_dataset!$T$2:$T$1501,MATCH($A1356,customer_churn_dataset!$A$2:$A$1501,0))</f>
        <v>3</v>
      </c>
      <c r="K1355" s="0" t="str">
        <f aca="false">INDEX(customer_churn_dataset!$V$2:$V$1501,MATCH($A1356,customer_churn_dataset!$A$2:$A$1501,0))</f>
        <v>Medium Risk</v>
      </c>
    </row>
    <row r="1356" customFormat="false" ht="12.8" hidden="true" customHeight="false" outlineLevel="0" collapsed="false">
      <c r="A1356" s="22" t="str">
        <f aca="false">customer_churn_dataset!A51</f>
        <v>CUST101143</v>
      </c>
      <c r="B1356" s="22" t="str">
        <f aca="false">customer_churn_dataset!B51</f>
        <v>Standard</v>
      </c>
      <c r="C1356" s="22" t="str">
        <f aca="false">customer_churn_dataset!C51</f>
        <v>Two year</v>
      </c>
      <c r="D1356" s="0" t="n">
        <f aca="false">INDEX(customer_churn_dataset!$E$2:$E$1501,MATCH($A1357,customer_churn_dataset!$A$2:$A$1501,0))</f>
        <v>14</v>
      </c>
      <c r="E1356" s="0" t="n">
        <f aca="false">INDEX(customer_churn_dataset!$I$2:$I$1501,MATCH($A1357,customer_churn_dataset!$A$2:$A$1501,0))</f>
        <v>90.3</v>
      </c>
      <c r="F1356" s="0" t="n">
        <f aca="false">INDEX(customer_churn_dataset!$L$2:$L$1501,MATCH($A1357,customer_churn_dataset!$A$2:$A$1501,0))</f>
        <v>1</v>
      </c>
      <c r="G1356" s="0" t="str">
        <f aca="false">IF(INDEX(customer_churn_dataset!$M$2:$M$1501,MATCH($A1357,customer_churn_dataset!$A$2:$A$1501,0))=1,"Yes","No")</f>
        <v>No</v>
      </c>
      <c r="H1356" s="0" t="n">
        <f aca="false">INDEX(customer_churn_dataset!$N$2:$N$1501,MATCH($A1357,customer_churn_dataset!$A$2:$A$1501,0))</f>
        <v>549.78</v>
      </c>
      <c r="I1356" s="0" t="n">
        <f aca="false">INDEX(customer_churn_dataset!$O$2:$O$1501,MATCH($A1357,customer_churn_dataset!$A$2:$A$1501,0))</f>
        <v>0</v>
      </c>
      <c r="J1356" s="0" t="n">
        <f aca="false">INDEX(customer_churn_dataset!$T$2:$T$1501,MATCH($A1357,customer_churn_dataset!$A$2:$A$1501,0))</f>
        <v>1</v>
      </c>
      <c r="K1356" s="0" t="str">
        <f aca="false">INDEX(customer_churn_dataset!$V$2:$V$1501,MATCH($A1357,customer_churn_dataset!$A$2:$A$1501,0))</f>
        <v>Low Risk</v>
      </c>
    </row>
    <row r="1357" customFormat="false" ht="12.8" hidden="true" customHeight="false" outlineLevel="0" collapsed="false">
      <c r="A1357" s="22" t="str">
        <f aca="false">customer_churn_dataset!A25</f>
        <v>CUST101240</v>
      </c>
      <c r="B1357" s="22" t="str">
        <f aca="false">customer_churn_dataset!B25</f>
        <v>Premium</v>
      </c>
      <c r="C1357" s="22" t="str">
        <f aca="false">customer_churn_dataset!C25</f>
        <v>One year</v>
      </c>
      <c r="D1357" s="0" t="n">
        <f aca="false">INDEX(customer_churn_dataset!$E$2:$E$1501,MATCH($A1358,customer_churn_dataset!$A$2:$A$1501,0))</f>
        <v>19</v>
      </c>
      <c r="E1357" s="0" t="n">
        <f aca="false">INDEX(customer_churn_dataset!$I$2:$I$1501,MATCH($A1358,customer_churn_dataset!$A$2:$A$1501,0))</f>
        <v>90.1</v>
      </c>
      <c r="F1357" s="0" t="n">
        <f aca="false">INDEX(customer_churn_dataset!$L$2:$L$1501,MATCH($A1358,customer_churn_dataset!$A$2:$A$1501,0))</f>
        <v>0</v>
      </c>
      <c r="G1357" s="0" t="str">
        <f aca="false">IF(INDEX(customer_churn_dataset!$M$2:$M$1501,MATCH($A1358,customer_churn_dataset!$A$2:$A$1501,0))=1,"Yes","No")</f>
        <v>No</v>
      </c>
      <c r="H1357" s="0" t="n">
        <f aca="false">INDEX(customer_churn_dataset!$N$2:$N$1501,MATCH($A1358,customer_churn_dataset!$A$2:$A$1501,0))</f>
        <v>201.59</v>
      </c>
      <c r="I1357" s="0" t="n">
        <f aca="false">INDEX(customer_churn_dataset!$O$2:$O$1501,MATCH($A1358,customer_churn_dataset!$A$2:$A$1501,0))</f>
        <v>0</v>
      </c>
      <c r="J1357" s="0" t="n">
        <f aca="false">INDEX(customer_churn_dataset!$T$2:$T$1501,MATCH($A1358,customer_churn_dataset!$A$2:$A$1501,0))</f>
        <v>2</v>
      </c>
      <c r="K1357" s="0" t="str">
        <f aca="false">INDEX(customer_churn_dataset!$V$2:$V$1501,MATCH($A1358,customer_churn_dataset!$A$2:$A$1501,0))</f>
        <v>Low Risk</v>
      </c>
    </row>
    <row r="1358" customFormat="false" ht="12.8" hidden="true" customHeight="false" outlineLevel="0" collapsed="false">
      <c r="A1358" s="22" t="str">
        <f aca="false">customer_churn_dataset!A16</f>
        <v>CUST100916</v>
      </c>
      <c r="B1358" s="22" t="str">
        <f aca="false">customer_churn_dataset!B16</f>
        <v>Basic</v>
      </c>
      <c r="C1358" s="22" t="str">
        <f aca="false">customer_churn_dataset!C16</f>
        <v>Month-to-month</v>
      </c>
      <c r="D1358" s="0" t="n">
        <f aca="false">INDEX(customer_churn_dataset!$E$2:$E$1501,MATCH($A1359,customer_churn_dataset!$A$2:$A$1501,0))</f>
        <v>46</v>
      </c>
      <c r="E1358" s="0" t="n">
        <f aca="false">INDEX(customer_churn_dataset!$I$2:$I$1501,MATCH($A1359,customer_churn_dataset!$A$2:$A$1501,0))</f>
        <v>28.1</v>
      </c>
      <c r="F1358" s="0" t="n">
        <f aca="false">INDEX(customer_churn_dataset!$L$2:$L$1501,MATCH($A1359,customer_churn_dataset!$A$2:$A$1501,0))</f>
        <v>3</v>
      </c>
      <c r="G1358" s="0" t="str">
        <f aca="false">IF(INDEX(customer_churn_dataset!$M$2:$M$1501,MATCH($A1359,customer_churn_dataset!$A$2:$A$1501,0))=1,"Yes","No")</f>
        <v>No</v>
      </c>
      <c r="H1358" s="0" t="n">
        <f aca="false">INDEX(customer_churn_dataset!$N$2:$N$1501,MATCH($A1359,customer_churn_dataset!$A$2:$A$1501,0))</f>
        <v>472.42</v>
      </c>
      <c r="I1358" s="0" t="n">
        <f aca="false">INDEX(customer_churn_dataset!$O$2:$O$1501,MATCH($A1359,customer_churn_dataset!$A$2:$A$1501,0))</f>
        <v>0</v>
      </c>
      <c r="J1358" s="0" t="n">
        <f aca="false">INDEX(customer_churn_dataset!$T$2:$T$1501,MATCH($A1359,customer_churn_dataset!$A$2:$A$1501,0))</f>
        <v>5</v>
      </c>
      <c r="K1358" s="0" t="str">
        <f aca="false">INDEX(customer_churn_dataset!$V$2:$V$1501,MATCH($A1359,customer_churn_dataset!$A$2:$A$1501,0))</f>
        <v>Medium Risk</v>
      </c>
    </row>
    <row r="1359" customFormat="false" ht="12.8" hidden="true" customHeight="false" outlineLevel="0" collapsed="false">
      <c r="A1359" s="22" t="str">
        <f aca="false">customer_churn_dataset!A22</f>
        <v>CUST100057</v>
      </c>
      <c r="B1359" s="22" t="str">
        <f aca="false">customer_churn_dataset!B22</f>
        <v>Basic</v>
      </c>
      <c r="C1359" s="22" t="str">
        <f aca="false">customer_churn_dataset!C22</f>
        <v>Month-to-month</v>
      </c>
      <c r="D1359" s="0" t="n">
        <f aca="false">INDEX(customer_churn_dataset!$E$2:$E$1501,MATCH($A1360,customer_churn_dataset!$A$2:$A$1501,0))</f>
        <v>17</v>
      </c>
      <c r="E1359" s="0" t="n">
        <f aca="false">INDEX(customer_churn_dataset!$I$2:$I$1501,MATCH($A1360,customer_churn_dataset!$A$2:$A$1501,0))</f>
        <v>25.7</v>
      </c>
      <c r="F1359" s="0" t="n">
        <f aca="false">INDEX(customer_churn_dataset!$L$2:$L$1501,MATCH($A1360,customer_churn_dataset!$A$2:$A$1501,0))</f>
        <v>2</v>
      </c>
      <c r="G1359" s="0" t="str">
        <f aca="false">IF(INDEX(customer_churn_dataset!$M$2:$M$1501,MATCH($A1360,customer_churn_dataset!$A$2:$A$1501,0))=1,"Yes","No")</f>
        <v>No</v>
      </c>
      <c r="H1359" s="0" t="n">
        <f aca="false">INDEX(customer_churn_dataset!$N$2:$N$1501,MATCH($A1360,customer_churn_dataset!$A$2:$A$1501,0))</f>
        <v>350.71</v>
      </c>
      <c r="I1359" s="0" t="n">
        <f aca="false">INDEX(customer_churn_dataset!$O$2:$O$1501,MATCH($A1360,customer_churn_dataset!$A$2:$A$1501,0))</f>
        <v>1</v>
      </c>
      <c r="J1359" s="0" t="n">
        <f aca="false">INDEX(customer_churn_dataset!$T$2:$T$1501,MATCH($A1360,customer_churn_dataset!$A$2:$A$1501,0))</f>
        <v>5</v>
      </c>
      <c r="K1359" s="0" t="str">
        <f aca="false">INDEX(customer_churn_dataset!$V$2:$V$1501,MATCH($A1360,customer_churn_dataset!$A$2:$A$1501,0))</f>
        <v>Medium Risk</v>
      </c>
    </row>
    <row r="1360" customFormat="false" ht="12.8" hidden="true" customHeight="false" outlineLevel="0" collapsed="false">
      <c r="A1360" s="22" t="str">
        <f aca="false">customer_churn_dataset!A59</f>
        <v>CUST100752</v>
      </c>
      <c r="B1360" s="22" t="str">
        <f aca="false">customer_churn_dataset!B59</f>
        <v>Standard</v>
      </c>
      <c r="C1360" s="22" t="str">
        <f aca="false">customer_churn_dataset!C59</f>
        <v>Month-to-month</v>
      </c>
      <c r="D1360" s="0" t="n">
        <f aca="false">INDEX(customer_churn_dataset!$E$2:$E$1501,MATCH($A1361,customer_churn_dataset!$A$2:$A$1501,0))</f>
        <v>14</v>
      </c>
      <c r="E1360" s="0" t="n">
        <f aca="false">INDEX(customer_churn_dataset!$I$2:$I$1501,MATCH($A1361,customer_churn_dataset!$A$2:$A$1501,0))</f>
        <v>56.6</v>
      </c>
      <c r="F1360" s="0" t="n">
        <f aca="false">INDEX(customer_churn_dataset!$L$2:$L$1501,MATCH($A1361,customer_churn_dataset!$A$2:$A$1501,0))</f>
        <v>0</v>
      </c>
      <c r="G1360" s="0" t="str">
        <f aca="false">IF(INDEX(customer_churn_dataset!$M$2:$M$1501,MATCH($A1361,customer_churn_dataset!$A$2:$A$1501,0))=1,"Yes","No")</f>
        <v>No</v>
      </c>
      <c r="H1360" s="0" t="n">
        <f aca="false">INDEX(customer_churn_dataset!$N$2:$N$1501,MATCH($A1361,customer_churn_dataset!$A$2:$A$1501,0))</f>
        <v>288.54</v>
      </c>
      <c r="I1360" s="0" t="n">
        <f aca="false">INDEX(customer_churn_dataset!$O$2:$O$1501,MATCH($A1361,customer_churn_dataset!$A$2:$A$1501,0))</f>
        <v>0</v>
      </c>
      <c r="J1360" s="0" t="n">
        <f aca="false">INDEX(customer_churn_dataset!$T$2:$T$1501,MATCH($A1361,customer_churn_dataset!$A$2:$A$1501,0))</f>
        <v>1</v>
      </c>
      <c r="K1360" s="0" t="str">
        <f aca="false">INDEX(customer_churn_dataset!$V$2:$V$1501,MATCH($A1361,customer_churn_dataset!$A$2:$A$1501,0))</f>
        <v>Low Risk</v>
      </c>
    </row>
    <row r="1361" customFormat="false" ht="12.8" hidden="true" customHeight="false" outlineLevel="0" collapsed="false">
      <c r="A1361" s="22" t="str">
        <f aca="false">customer_churn_dataset!A72</f>
        <v>CUST101191</v>
      </c>
      <c r="B1361" s="22" t="str">
        <f aca="false">customer_churn_dataset!B72</f>
        <v>Standard</v>
      </c>
      <c r="C1361" s="22" t="str">
        <f aca="false">customer_churn_dataset!C72</f>
        <v>One year</v>
      </c>
      <c r="D1361" s="0" t="n">
        <f aca="false">INDEX(customer_churn_dataset!$E$2:$E$1501,MATCH($A1362,customer_churn_dataset!$A$2:$A$1501,0))</f>
        <v>72</v>
      </c>
      <c r="E1361" s="0" t="n">
        <f aca="false">INDEX(customer_churn_dataset!$I$2:$I$1501,MATCH($A1362,customer_churn_dataset!$A$2:$A$1501,0))</f>
        <v>62.7</v>
      </c>
      <c r="F1361" s="0" t="n">
        <f aca="false">INDEX(customer_churn_dataset!$L$2:$L$1501,MATCH($A1362,customer_churn_dataset!$A$2:$A$1501,0))</f>
        <v>2</v>
      </c>
      <c r="G1361" s="0" t="str">
        <f aca="false">IF(INDEX(customer_churn_dataset!$M$2:$M$1501,MATCH($A1362,customer_churn_dataset!$A$2:$A$1501,0))=1,"Yes","No")</f>
        <v>No</v>
      </c>
      <c r="H1361" s="0" t="n">
        <f aca="false">INDEX(customer_churn_dataset!$N$2:$N$1501,MATCH($A1362,customer_churn_dataset!$A$2:$A$1501,0))</f>
        <v>724.32</v>
      </c>
      <c r="I1361" s="0" t="n">
        <f aca="false">INDEX(customer_churn_dataset!$O$2:$O$1501,MATCH($A1362,customer_churn_dataset!$A$2:$A$1501,0))</f>
        <v>0</v>
      </c>
      <c r="J1361" s="0" t="n">
        <f aca="false">INDEX(customer_churn_dataset!$T$2:$T$1501,MATCH($A1362,customer_churn_dataset!$A$2:$A$1501,0))</f>
        <v>3</v>
      </c>
      <c r="K1361" s="0" t="str">
        <f aca="false">INDEX(customer_churn_dataset!$V$2:$V$1501,MATCH($A1362,customer_churn_dataset!$A$2:$A$1501,0))</f>
        <v>Medium Risk</v>
      </c>
    </row>
    <row r="1362" customFormat="false" ht="12.8" hidden="true" customHeight="false" outlineLevel="0" collapsed="false">
      <c r="A1362" s="22" t="str">
        <f aca="false">customer_churn_dataset!A78</f>
        <v>CUST100468</v>
      </c>
      <c r="B1362" s="22" t="str">
        <f aca="false">customer_churn_dataset!B78</f>
        <v>Basic</v>
      </c>
      <c r="C1362" s="22" t="str">
        <f aca="false">customer_churn_dataset!C78</f>
        <v>Month-to-month</v>
      </c>
      <c r="D1362" s="0" t="n">
        <f aca="false">INDEX(customer_churn_dataset!$E$2:$E$1501,MATCH($A1363,customer_churn_dataset!$A$2:$A$1501,0))</f>
        <v>19</v>
      </c>
      <c r="E1362" s="0" t="n">
        <f aca="false">INDEX(customer_churn_dataset!$I$2:$I$1501,MATCH($A1363,customer_churn_dataset!$A$2:$A$1501,0))</f>
        <v>86.2</v>
      </c>
      <c r="F1362" s="0" t="n">
        <f aca="false">INDEX(customer_churn_dataset!$L$2:$L$1501,MATCH($A1363,customer_churn_dataset!$A$2:$A$1501,0))</f>
        <v>0</v>
      </c>
      <c r="G1362" s="0" t="str">
        <f aca="false">IF(INDEX(customer_churn_dataset!$M$2:$M$1501,MATCH($A1363,customer_churn_dataset!$A$2:$A$1501,0))=1,"Yes","No")</f>
        <v>No</v>
      </c>
      <c r="H1362" s="0" t="n">
        <f aca="false">INDEX(customer_churn_dataset!$N$2:$N$1501,MATCH($A1363,customer_churn_dataset!$A$2:$A$1501,0))</f>
        <v>400.52</v>
      </c>
      <c r="I1362" s="0" t="n">
        <f aca="false">INDEX(customer_churn_dataset!$O$2:$O$1501,MATCH($A1363,customer_churn_dataset!$A$2:$A$1501,0))</f>
        <v>0</v>
      </c>
      <c r="J1362" s="0" t="n">
        <f aca="false">INDEX(customer_churn_dataset!$T$2:$T$1501,MATCH($A1363,customer_churn_dataset!$A$2:$A$1501,0))</f>
        <v>0</v>
      </c>
      <c r="K1362" s="0" t="str">
        <f aca="false">INDEX(customer_churn_dataset!$V$2:$V$1501,MATCH($A1363,customer_churn_dataset!$A$2:$A$1501,0))</f>
        <v>Low Risk</v>
      </c>
    </row>
    <row r="1363" customFormat="false" ht="12.8" hidden="true" customHeight="false" outlineLevel="0" collapsed="false">
      <c r="A1363" s="22" t="str">
        <f aca="false">customer_churn_dataset!A93</f>
        <v>CUST100778</v>
      </c>
      <c r="B1363" s="22" t="str">
        <f aca="false">customer_churn_dataset!B93</f>
        <v>Standard</v>
      </c>
      <c r="C1363" s="22" t="str">
        <f aca="false">customer_churn_dataset!C93</f>
        <v>Two year</v>
      </c>
      <c r="D1363" s="0" t="n">
        <f aca="false">INDEX(customer_churn_dataset!$E$2:$E$1501,MATCH($A1364,customer_churn_dataset!$A$2:$A$1501,0))</f>
        <v>0</v>
      </c>
      <c r="E1363" s="0" t="n">
        <f aca="false">INDEX(customer_churn_dataset!$I$2:$I$1501,MATCH($A1364,customer_churn_dataset!$A$2:$A$1501,0))</f>
        <v>48.7</v>
      </c>
      <c r="F1363" s="0" t="n">
        <f aca="false">INDEX(customer_churn_dataset!$L$2:$L$1501,MATCH($A1364,customer_churn_dataset!$A$2:$A$1501,0))</f>
        <v>0</v>
      </c>
      <c r="G1363" s="0" t="str">
        <f aca="false">IF(INDEX(customer_churn_dataset!$M$2:$M$1501,MATCH($A1364,customer_churn_dataset!$A$2:$A$1501,0))=1,"Yes","No")</f>
        <v>No</v>
      </c>
      <c r="H1363" s="0" t="n">
        <f aca="false">INDEX(customer_churn_dataset!$N$2:$N$1501,MATCH($A1364,customer_churn_dataset!$A$2:$A$1501,0))</f>
        <v>0</v>
      </c>
      <c r="I1363" s="0" t="n">
        <f aca="false">INDEX(customer_churn_dataset!$O$2:$O$1501,MATCH($A1364,customer_churn_dataset!$A$2:$A$1501,0))</f>
        <v>0</v>
      </c>
      <c r="J1363" s="0" t="n">
        <f aca="false">INDEX(customer_churn_dataset!$T$2:$T$1501,MATCH($A1364,customer_churn_dataset!$A$2:$A$1501,0))</f>
        <v>2</v>
      </c>
      <c r="K1363" s="0" t="str">
        <f aca="false">INDEX(customer_churn_dataset!$V$2:$V$1501,MATCH($A1364,customer_churn_dataset!$A$2:$A$1501,0))</f>
        <v>Low Risk</v>
      </c>
    </row>
    <row r="1364" customFormat="false" ht="12.8" hidden="true" customHeight="false" outlineLevel="0" collapsed="false">
      <c r="A1364" s="22" t="str">
        <f aca="false">customer_churn_dataset!A99</f>
        <v>CUST100480</v>
      </c>
      <c r="B1364" s="22" t="str">
        <f aca="false">customer_churn_dataset!B99</f>
        <v>Standard</v>
      </c>
      <c r="C1364" s="22" t="str">
        <f aca="false">customer_churn_dataset!C99</f>
        <v>Two year</v>
      </c>
      <c r="D1364" s="0" t="n">
        <f aca="false">INDEX(customer_churn_dataset!$E$2:$E$1501,MATCH($A1365,customer_churn_dataset!$A$2:$A$1501,0))</f>
        <v>44</v>
      </c>
      <c r="E1364" s="0" t="n">
        <f aca="false">INDEX(customer_churn_dataset!$I$2:$I$1501,MATCH($A1365,customer_churn_dataset!$A$2:$A$1501,0))</f>
        <v>16.8</v>
      </c>
      <c r="F1364" s="0" t="n">
        <f aca="false">INDEX(customer_churn_dataset!$L$2:$L$1501,MATCH($A1365,customer_churn_dataset!$A$2:$A$1501,0))</f>
        <v>6</v>
      </c>
      <c r="G1364" s="0" t="str">
        <f aca="false">IF(INDEX(customer_churn_dataset!$M$2:$M$1501,MATCH($A1365,customer_churn_dataset!$A$2:$A$1501,0))=1,"Yes","No")</f>
        <v>No</v>
      </c>
      <c r="H1364" s="0" t="n">
        <f aca="false">INDEX(customer_churn_dataset!$N$2:$N$1501,MATCH($A1365,customer_churn_dataset!$A$2:$A$1501,0))</f>
        <v>423.72</v>
      </c>
      <c r="I1364" s="0" t="n">
        <f aca="false">INDEX(customer_churn_dataset!$O$2:$O$1501,MATCH($A1365,customer_churn_dataset!$A$2:$A$1501,0))</f>
        <v>1</v>
      </c>
      <c r="J1364" s="0" t="n">
        <f aca="false">INDEX(customer_churn_dataset!$T$2:$T$1501,MATCH($A1365,customer_churn_dataset!$A$2:$A$1501,0))</f>
        <v>5</v>
      </c>
      <c r="K1364" s="0" t="str">
        <f aca="false">INDEX(customer_churn_dataset!$V$2:$V$1501,MATCH($A1365,customer_churn_dataset!$A$2:$A$1501,0))</f>
        <v>Medium Risk</v>
      </c>
    </row>
    <row r="1365" customFormat="false" ht="12.8" hidden="true" customHeight="false" outlineLevel="0" collapsed="false">
      <c r="A1365" s="22" t="str">
        <f aca="false">customer_churn_dataset!A102</f>
        <v>CUST101173</v>
      </c>
      <c r="B1365" s="22" t="str">
        <f aca="false">customer_churn_dataset!B102</f>
        <v>Basic</v>
      </c>
      <c r="C1365" s="22" t="str">
        <f aca="false">customer_churn_dataset!C102</f>
        <v>Month-to-month</v>
      </c>
      <c r="D1365" s="0" t="n">
        <f aca="false">INDEX(customer_churn_dataset!$E$2:$E$1501,MATCH($A1366,customer_churn_dataset!$A$2:$A$1501,0))</f>
        <v>6</v>
      </c>
      <c r="E1365" s="0" t="n">
        <f aca="false">INDEX(customer_churn_dataset!$I$2:$I$1501,MATCH($A1366,customer_churn_dataset!$A$2:$A$1501,0))</f>
        <v>49.4</v>
      </c>
      <c r="F1365" s="0" t="n">
        <f aca="false">INDEX(customer_churn_dataset!$L$2:$L$1501,MATCH($A1366,customer_churn_dataset!$A$2:$A$1501,0))</f>
        <v>0</v>
      </c>
      <c r="G1365" s="0" t="str">
        <f aca="false">IF(INDEX(customer_churn_dataset!$M$2:$M$1501,MATCH($A1366,customer_churn_dataset!$A$2:$A$1501,0))=1,"Yes","No")</f>
        <v>No</v>
      </c>
      <c r="H1365" s="0" t="n">
        <f aca="false">INDEX(customer_churn_dataset!$N$2:$N$1501,MATCH($A1366,customer_churn_dataset!$A$2:$A$1501,0))</f>
        <v>69.6</v>
      </c>
      <c r="I1365" s="0" t="n">
        <f aca="false">INDEX(customer_churn_dataset!$O$2:$O$1501,MATCH($A1366,customer_churn_dataset!$A$2:$A$1501,0))</f>
        <v>0</v>
      </c>
      <c r="J1365" s="0" t="n">
        <f aca="false">INDEX(customer_churn_dataset!$T$2:$T$1501,MATCH($A1366,customer_churn_dataset!$A$2:$A$1501,0))</f>
        <v>4</v>
      </c>
      <c r="K1365" s="0" t="str">
        <f aca="false">INDEX(customer_churn_dataset!$V$2:$V$1501,MATCH($A1366,customer_churn_dataset!$A$2:$A$1501,0))</f>
        <v>Medium Risk</v>
      </c>
    </row>
    <row r="1366" customFormat="false" ht="12.8" hidden="true" customHeight="false" outlineLevel="0" collapsed="false">
      <c r="A1366" s="22" t="str">
        <f aca="false">customer_churn_dataset!A110</f>
        <v>CUST100598</v>
      </c>
      <c r="B1366" s="22" t="str">
        <f aca="false">customer_churn_dataset!B110</f>
        <v>Basic</v>
      </c>
      <c r="C1366" s="22" t="str">
        <f aca="false">customer_churn_dataset!C110</f>
        <v>Month-to-month</v>
      </c>
      <c r="D1366" s="0" t="n">
        <f aca="false">INDEX(customer_churn_dataset!$E$2:$E$1501,MATCH($A1367,customer_churn_dataset!$A$2:$A$1501,0))</f>
        <v>12</v>
      </c>
      <c r="E1366" s="0" t="n">
        <f aca="false">INDEX(customer_churn_dataset!$I$2:$I$1501,MATCH($A1367,customer_churn_dataset!$A$2:$A$1501,0))</f>
        <v>13.6</v>
      </c>
      <c r="F1366" s="0" t="n">
        <f aca="false">INDEX(customer_churn_dataset!$L$2:$L$1501,MATCH($A1367,customer_churn_dataset!$A$2:$A$1501,0))</f>
        <v>4</v>
      </c>
      <c r="G1366" s="0" t="str">
        <f aca="false">IF(INDEX(customer_churn_dataset!$M$2:$M$1501,MATCH($A1367,customer_churn_dataset!$A$2:$A$1501,0))=1,"Yes","No")</f>
        <v>No</v>
      </c>
      <c r="H1366" s="0" t="n">
        <f aca="false">INDEX(customer_churn_dataset!$N$2:$N$1501,MATCH($A1367,customer_churn_dataset!$A$2:$A$1501,0))</f>
        <v>113.76</v>
      </c>
      <c r="I1366" s="0" t="n">
        <f aca="false">INDEX(customer_churn_dataset!$O$2:$O$1501,MATCH($A1367,customer_churn_dataset!$A$2:$A$1501,0))</f>
        <v>0</v>
      </c>
      <c r="J1366" s="0" t="n">
        <f aca="false">INDEX(customer_churn_dataset!$T$2:$T$1501,MATCH($A1367,customer_churn_dataset!$A$2:$A$1501,0))</f>
        <v>3</v>
      </c>
      <c r="K1366" s="0" t="str">
        <f aca="false">INDEX(customer_churn_dataset!$V$2:$V$1501,MATCH($A1367,customer_churn_dataset!$A$2:$A$1501,0))</f>
        <v>Medium Risk</v>
      </c>
    </row>
    <row r="1367" customFormat="false" ht="12.8" hidden="true" customHeight="false" outlineLevel="0" collapsed="false">
      <c r="A1367" s="22" t="str">
        <f aca="false">customer_churn_dataset!A120</f>
        <v>CUST100955</v>
      </c>
      <c r="B1367" s="22" t="str">
        <f aca="false">customer_churn_dataset!B120</f>
        <v>Basic</v>
      </c>
      <c r="C1367" s="22" t="str">
        <f aca="false">customer_churn_dataset!C120</f>
        <v>Two year</v>
      </c>
      <c r="D1367" s="0" t="n">
        <f aca="false">INDEX(customer_churn_dataset!$E$2:$E$1501,MATCH($A1368,customer_churn_dataset!$A$2:$A$1501,0))</f>
        <v>37</v>
      </c>
      <c r="E1367" s="0" t="n">
        <f aca="false">INDEX(customer_churn_dataset!$I$2:$I$1501,MATCH($A1368,customer_churn_dataset!$A$2:$A$1501,0))</f>
        <v>55.5</v>
      </c>
      <c r="F1367" s="0" t="n">
        <f aca="false">INDEX(customer_churn_dataset!$L$2:$L$1501,MATCH($A1368,customer_churn_dataset!$A$2:$A$1501,0))</f>
        <v>3</v>
      </c>
      <c r="G1367" s="0" t="str">
        <f aca="false">IF(INDEX(customer_churn_dataset!$M$2:$M$1501,MATCH($A1368,customer_churn_dataset!$A$2:$A$1501,0))=1,"Yes","No")</f>
        <v>No</v>
      </c>
      <c r="H1367" s="0" t="n">
        <f aca="false">INDEX(customer_churn_dataset!$N$2:$N$1501,MATCH($A1368,customer_churn_dataset!$A$2:$A$1501,0))</f>
        <v>314.13</v>
      </c>
      <c r="I1367" s="0" t="n">
        <f aca="false">INDEX(customer_churn_dataset!$O$2:$O$1501,MATCH($A1368,customer_churn_dataset!$A$2:$A$1501,0))</f>
        <v>0</v>
      </c>
      <c r="J1367" s="0" t="n">
        <f aca="false">INDEX(customer_churn_dataset!$T$2:$T$1501,MATCH($A1368,customer_churn_dataset!$A$2:$A$1501,0))</f>
        <v>3</v>
      </c>
      <c r="K1367" s="0" t="str">
        <f aca="false">INDEX(customer_churn_dataset!$V$2:$V$1501,MATCH($A1368,customer_churn_dataset!$A$2:$A$1501,0))</f>
        <v>Medium Risk</v>
      </c>
    </row>
    <row r="1368" customFormat="false" ht="12.8" hidden="true" customHeight="false" outlineLevel="0" collapsed="false">
      <c r="A1368" s="22" t="str">
        <f aca="false">customer_churn_dataset!A139</f>
        <v>CUST100775</v>
      </c>
      <c r="B1368" s="22" t="str">
        <f aca="false">customer_churn_dataset!B139</f>
        <v>Basic</v>
      </c>
      <c r="C1368" s="22" t="str">
        <f aca="false">customer_churn_dataset!C139</f>
        <v>Month-to-month</v>
      </c>
      <c r="D1368" s="0" t="n">
        <f aca="false">INDEX(customer_churn_dataset!$E$2:$E$1501,MATCH($A1369,customer_churn_dataset!$A$2:$A$1501,0))</f>
        <v>35</v>
      </c>
      <c r="E1368" s="0" t="n">
        <f aca="false">INDEX(customer_churn_dataset!$I$2:$I$1501,MATCH($A1369,customer_churn_dataset!$A$2:$A$1501,0))</f>
        <v>39</v>
      </c>
      <c r="F1368" s="0" t="n">
        <f aca="false">INDEX(customer_churn_dataset!$L$2:$L$1501,MATCH($A1369,customer_churn_dataset!$A$2:$A$1501,0))</f>
        <v>0</v>
      </c>
      <c r="G1368" s="0" t="str">
        <f aca="false">IF(INDEX(customer_churn_dataset!$M$2:$M$1501,MATCH($A1369,customer_churn_dataset!$A$2:$A$1501,0))=1,"Yes","No")</f>
        <v>No</v>
      </c>
      <c r="H1368" s="0" t="n">
        <f aca="false">INDEX(customer_churn_dataset!$N$2:$N$1501,MATCH($A1369,customer_churn_dataset!$A$2:$A$1501,0))</f>
        <v>393.75</v>
      </c>
      <c r="I1368" s="0" t="n">
        <f aca="false">INDEX(customer_churn_dataset!$O$2:$O$1501,MATCH($A1369,customer_churn_dataset!$A$2:$A$1501,0))</f>
        <v>0</v>
      </c>
      <c r="J1368" s="0" t="n">
        <f aca="false">INDEX(customer_churn_dataset!$T$2:$T$1501,MATCH($A1369,customer_churn_dataset!$A$2:$A$1501,0))</f>
        <v>4</v>
      </c>
      <c r="K1368" s="0" t="str">
        <f aca="false">INDEX(customer_churn_dataset!$V$2:$V$1501,MATCH($A1369,customer_churn_dataset!$A$2:$A$1501,0))</f>
        <v>Medium Risk</v>
      </c>
    </row>
    <row r="1369" customFormat="false" ht="12.8" hidden="true" customHeight="false" outlineLevel="0" collapsed="false">
      <c r="A1369" s="22" t="str">
        <f aca="false">customer_churn_dataset!A143</f>
        <v>CUST100329</v>
      </c>
      <c r="B1369" s="22" t="str">
        <f aca="false">customer_churn_dataset!B143</f>
        <v>Basic</v>
      </c>
      <c r="C1369" s="22" t="str">
        <f aca="false">customer_churn_dataset!C143</f>
        <v>Month-to-month</v>
      </c>
      <c r="D1369" s="0" t="n">
        <f aca="false">INDEX(customer_churn_dataset!$E$2:$E$1501,MATCH($A1370,customer_churn_dataset!$A$2:$A$1501,0))</f>
        <v>7</v>
      </c>
      <c r="E1369" s="0" t="n">
        <f aca="false">INDEX(customer_churn_dataset!$I$2:$I$1501,MATCH($A1370,customer_churn_dataset!$A$2:$A$1501,0))</f>
        <v>49.4</v>
      </c>
      <c r="F1369" s="0" t="n">
        <f aca="false">INDEX(customer_churn_dataset!$L$2:$L$1501,MATCH($A1370,customer_churn_dataset!$A$2:$A$1501,0))</f>
        <v>0</v>
      </c>
      <c r="G1369" s="0" t="str">
        <f aca="false">IF(INDEX(customer_churn_dataset!$M$2:$M$1501,MATCH($A1370,customer_churn_dataset!$A$2:$A$1501,0))=1,"Yes","No")</f>
        <v>No</v>
      </c>
      <c r="H1369" s="0" t="n">
        <f aca="false">INDEX(customer_churn_dataset!$N$2:$N$1501,MATCH($A1370,customer_churn_dataset!$A$2:$A$1501,0))</f>
        <v>69.37</v>
      </c>
      <c r="I1369" s="0" t="n">
        <f aca="false">INDEX(customer_churn_dataset!$O$2:$O$1501,MATCH($A1370,customer_churn_dataset!$A$2:$A$1501,0))</f>
        <v>1</v>
      </c>
      <c r="J1369" s="0" t="n">
        <f aca="false">INDEX(customer_churn_dataset!$T$2:$T$1501,MATCH($A1370,customer_churn_dataset!$A$2:$A$1501,0))</f>
        <v>4</v>
      </c>
      <c r="K1369" s="0" t="str">
        <f aca="false">INDEX(customer_churn_dataset!$V$2:$V$1501,MATCH($A1370,customer_churn_dataset!$A$2:$A$1501,0))</f>
        <v>Medium Risk</v>
      </c>
    </row>
    <row r="1370" customFormat="false" ht="12.8" hidden="true" customHeight="false" outlineLevel="0" collapsed="false">
      <c r="A1370" s="22" t="str">
        <f aca="false">customer_churn_dataset!A149</f>
        <v>CUST100354</v>
      </c>
      <c r="B1370" s="22" t="str">
        <f aca="false">customer_churn_dataset!B149</f>
        <v>Basic</v>
      </c>
      <c r="C1370" s="22" t="str">
        <f aca="false">customer_churn_dataset!C149</f>
        <v>Month-to-month</v>
      </c>
      <c r="D1370" s="0" t="n">
        <f aca="false">INDEX(customer_churn_dataset!$E$2:$E$1501,MATCH($A1371,customer_churn_dataset!$A$2:$A$1501,0))</f>
        <v>11</v>
      </c>
      <c r="E1370" s="0" t="n">
        <f aca="false">INDEX(customer_churn_dataset!$I$2:$I$1501,MATCH($A1371,customer_churn_dataset!$A$2:$A$1501,0))</f>
        <v>83.7</v>
      </c>
      <c r="F1370" s="0" t="n">
        <f aca="false">INDEX(customer_churn_dataset!$L$2:$L$1501,MATCH($A1371,customer_churn_dataset!$A$2:$A$1501,0))</f>
        <v>5</v>
      </c>
      <c r="G1370" s="0" t="str">
        <f aca="false">IF(INDEX(customer_churn_dataset!$M$2:$M$1501,MATCH($A1371,customer_churn_dataset!$A$2:$A$1501,0))=1,"Yes","No")</f>
        <v>Yes</v>
      </c>
      <c r="H1370" s="0" t="n">
        <f aca="false">INDEX(customer_churn_dataset!$N$2:$N$1501,MATCH($A1371,customer_churn_dataset!$A$2:$A$1501,0))</f>
        <v>426.58</v>
      </c>
      <c r="I1370" s="0" t="n">
        <f aca="false">INDEX(customer_churn_dataset!$O$2:$O$1501,MATCH($A1371,customer_churn_dataset!$A$2:$A$1501,0))</f>
        <v>0</v>
      </c>
      <c r="J1370" s="0" t="n">
        <f aca="false">INDEX(customer_churn_dataset!$T$2:$T$1501,MATCH($A1371,customer_churn_dataset!$A$2:$A$1501,0))</f>
        <v>5</v>
      </c>
      <c r="K1370" s="0" t="str">
        <f aca="false">INDEX(customer_churn_dataset!$V$2:$V$1501,MATCH($A1371,customer_churn_dataset!$A$2:$A$1501,0))</f>
        <v>Medium Risk</v>
      </c>
    </row>
    <row r="1371" customFormat="false" ht="12.8" hidden="true" customHeight="false" outlineLevel="0" collapsed="false">
      <c r="A1371" s="22" t="str">
        <f aca="false">customer_churn_dataset!A158</f>
        <v>CUST101074</v>
      </c>
      <c r="B1371" s="22" t="str">
        <f aca="false">customer_churn_dataset!B158</f>
        <v>Premium</v>
      </c>
      <c r="C1371" s="22" t="str">
        <f aca="false">customer_churn_dataset!C158</f>
        <v>Two year</v>
      </c>
      <c r="D1371" s="0" t="n">
        <f aca="false">INDEX(customer_churn_dataset!$E$2:$E$1501,MATCH($A1372,customer_churn_dataset!$A$2:$A$1501,0))</f>
        <v>72</v>
      </c>
      <c r="E1371" s="0" t="n">
        <f aca="false">INDEX(customer_churn_dataset!$I$2:$I$1501,MATCH($A1372,customer_churn_dataset!$A$2:$A$1501,0))</f>
        <v>66.8</v>
      </c>
      <c r="F1371" s="0" t="n">
        <f aca="false">INDEX(customer_churn_dataset!$L$2:$L$1501,MATCH($A1372,customer_churn_dataset!$A$2:$A$1501,0))</f>
        <v>2</v>
      </c>
      <c r="G1371" s="0" t="str">
        <f aca="false">IF(INDEX(customer_churn_dataset!$M$2:$M$1501,MATCH($A1372,customer_churn_dataset!$A$2:$A$1501,0))=1,"Yes","No")</f>
        <v>No</v>
      </c>
      <c r="H1371" s="0" t="n">
        <f aca="false">INDEX(customer_churn_dataset!$N$2:$N$1501,MATCH($A1372,customer_churn_dataset!$A$2:$A$1501,0))</f>
        <v>2923.92</v>
      </c>
      <c r="I1371" s="0" t="n">
        <f aca="false">INDEX(customer_churn_dataset!$O$2:$O$1501,MATCH($A1372,customer_churn_dataset!$A$2:$A$1501,0))</f>
        <v>0</v>
      </c>
      <c r="J1371" s="0" t="n">
        <f aca="false">INDEX(customer_churn_dataset!$T$2:$T$1501,MATCH($A1372,customer_churn_dataset!$A$2:$A$1501,0))</f>
        <v>3</v>
      </c>
      <c r="K1371" s="0" t="str">
        <f aca="false">INDEX(customer_churn_dataset!$V$2:$V$1501,MATCH($A1372,customer_churn_dataset!$A$2:$A$1501,0))</f>
        <v>Medium Risk</v>
      </c>
    </row>
    <row r="1372" customFormat="false" ht="12.8" hidden="true" customHeight="false" outlineLevel="0" collapsed="false">
      <c r="A1372" s="22" t="str">
        <f aca="false">customer_churn_dataset!A172</f>
        <v>CUST100932</v>
      </c>
      <c r="B1372" s="22" t="str">
        <f aca="false">customer_churn_dataset!B172</f>
        <v>Premium</v>
      </c>
      <c r="C1372" s="22" t="str">
        <f aca="false">customer_churn_dataset!C172</f>
        <v>Month-to-month</v>
      </c>
      <c r="D1372" s="0" t="n">
        <f aca="false">INDEX(customer_churn_dataset!$E$2:$E$1501,MATCH($A1373,customer_churn_dataset!$A$2:$A$1501,0))</f>
        <v>34</v>
      </c>
      <c r="E1372" s="0" t="n">
        <f aca="false">INDEX(customer_churn_dataset!$I$2:$I$1501,MATCH($A1373,customer_churn_dataset!$A$2:$A$1501,0))</f>
        <v>49.6</v>
      </c>
      <c r="F1372" s="0" t="n">
        <f aca="false">INDEX(customer_churn_dataset!$L$2:$L$1501,MATCH($A1373,customer_churn_dataset!$A$2:$A$1501,0))</f>
        <v>1</v>
      </c>
      <c r="G1372" s="0" t="str">
        <f aca="false">IF(INDEX(customer_churn_dataset!$M$2:$M$1501,MATCH($A1373,customer_churn_dataset!$A$2:$A$1501,0))=1,"Yes","No")</f>
        <v>Yes</v>
      </c>
      <c r="H1372" s="0" t="n">
        <f aca="false">INDEX(customer_churn_dataset!$N$2:$N$1501,MATCH($A1373,customer_churn_dataset!$A$2:$A$1501,0))</f>
        <v>330.82</v>
      </c>
      <c r="I1372" s="0" t="n">
        <f aca="false">INDEX(customer_churn_dataset!$O$2:$O$1501,MATCH($A1373,customer_churn_dataset!$A$2:$A$1501,0))</f>
        <v>0</v>
      </c>
      <c r="J1372" s="0" t="n">
        <f aca="false">INDEX(customer_churn_dataset!$T$2:$T$1501,MATCH($A1373,customer_churn_dataset!$A$2:$A$1501,0))</f>
        <v>4</v>
      </c>
      <c r="K1372" s="0" t="str">
        <f aca="false">INDEX(customer_churn_dataset!$V$2:$V$1501,MATCH($A1373,customer_churn_dataset!$A$2:$A$1501,0))</f>
        <v>Medium Risk</v>
      </c>
    </row>
    <row r="1373" customFormat="false" ht="12.8" hidden="true" customHeight="false" outlineLevel="0" collapsed="false">
      <c r="A1373" s="22" t="str">
        <f aca="false">customer_churn_dataset!A182</f>
        <v>CUST100856</v>
      </c>
      <c r="B1373" s="22" t="str">
        <f aca="false">customer_churn_dataset!B182</f>
        <v>Basic</v>
      </c>
      <c r="C1373" s="22" t="str">
        <f aca="false">customer_churn_dataset!C182</f>
        <v>Two year</v>
      </c>
      <c r="D1373" s="0" t="n">
        <f aca="false">INDEX(customer_churn_dataset!$E$2:$E$1501,MATCH($A1374,customer_churn_dataset!$A$2:$A$1501,0))</f>
        <v>9</v>
      </c>
      <c r="E1373" s="0" t="n">
        <f aca="false">INDEX(customer_churn_dataset!$I$2:$I$1501,MATCH($A1374,customer_churn_dataset!$A$2:$A$1501,0))</f>
        <v>70.4</v>
      </c>
      <c r="F1373" s="0" t="n">
        <f aca="false">INDEX(customer_churn_dataset!$L$2:$L$1501,MATCH($A1374,customer_churn_dataset!$A$2:$A$1501,0))</f>
        <v>1</v>
      </c>
      <c r="G1373" s="0" t="str">
        <f aca="false">IF(INDEX(customer_churn_dataset!$M$2:$M$1501,MATCH($A1374,customer_churn_dataset!$A$2:$A$1501,0))=1,"Yes","No")</f>
        <v>Yes</v>
      </c>
      <c r="H1373" s="0" t="n">
        <f aca="false">INDEX(customer_churn_dataset!$N$2:$N$1501,MATCH($A1374,customer_churn_dataset!$A$2:$A$1501,0))</f>
        <v>366.12</v>
      </c>
      <c r="I1373" s="0" t="n">
        <f aca="false">INDEX(customer_churn_dataset!$O$2:$O$1501,MATCH($A1374,customer_churn_dataset!$A$2:$A$1501,0))</f>
        <v>0</v>
      </c>
      <c r="J1373" s="0" t="n">
        <f aca="false">INDEX(customer_churn_dataset!$T$2:$T$1501,MATCH($A1374,customer_churn_dataset!$A$2:$A$1501,0))</f>
        <v>4</v>
      </c>
      <c r="K1373" s="0" t="str">
        <f aca="false">INDEX(customer_churn_dataset!$V$2:$V$1501,MATCH($A1374,customer_churn_dataset!$A$2:$A$1501,0))</f>
        <v>Medium Risk</v>
      </c>
    </row>
    <row r="1374" customFormat="false" ht="12.8" hidden="true" customHeight="false" outlineLevel="0" collapsed="false">
      <c r="A1374" s="22" t="str">
        <f aca="false">customer_churn_dataset!A195</f>
        <v>CUST101079</v>
      </c>
      <c r="B1374" s="22" t="str">
        <f aca="false">customer_churn_dataset!B195</f>
        <v>Premium</v>
      </c>
      <c r="C1374" s="22" t="str">
        <f aca="false">customer_churn_dataset!C195</f>
        <v>Two year</v>
      </c>
      <c r="D1374" s="0" t="n">
        <f aca="false">INDEX(customer_churn_dataset!$E$2:$E$1501,MATCH($A1375,customer_churn_dataset!$A$2:$A$1501,0))</f>
        <v>66</v>
      </c>
      <c r="E1374" s="0" t="n">
        <f aca="false">INDEX(customer_churn_dataset!$I$2:$I$1501,MATCH($A1375,customer_churn_dataset!$A$2:$A$1501,0))</f>
        <v>59.9</v>
      </c>
      <c r="F1374" s="0" t="n">
        <f aca="false">INDEX(customer_churn_dataset!$L$2:$L$1501,MATCH($A1375,customer_churn_dataset!$A$2:$A$1501,0))</f>
        <v>1</v>
      </c>
      <c r="G1374" s="0" t="str">
        <f aca="false">IF(INDEX(customer_churn_dataset!$M$2:$M$1501,MATCH($A1375,customer_churn_dataset!$A$2:$A$1501,0))=1,"Yes","No")</f>
        <v>Yes</v>
      </c>
      <c r="H1374" s="0" t="n">
        <f aca="false">INDEX(customer_churn_dataset!$N$2:$N$1501,MATCH($A1375,customer_churn_dataset!$A$2:$A$1501,0))</f>
        <v>792.66</v>
      </c>
      <c r="I1374" s="0" t="n">
        <f aca="false">INDEX(customer_churn_dataset!$O$2:$O$1501,MATCH($A1375,customer_churn_dataset!$A$2:$A$1501,0))</f>
        <v>0</v>
      </c>
      <c r="J1374" s="0" t="n">
        <f aca="false">INDEX(customer_churn_dataset!$T$2:$T$1501,MATCH($A1375,customer_churn_dataset!$A$2:$A$1501,0))</f>
        <v>5</v>
      </c>
      <c r="K1374" s="0" t="str">
        <f aca="false">INDEX(customer_churn_dataset!$V$2:$V$1501,MATCH($A1375,customer_churn_dataset!$A$2:$A$1501,0))</f>
        <v>Medium Risk</v>
      </c>
    </row>
    <row r="1375" customFormat="false" ht="12.8" hidden="true" customHeight="false" outlineLevel="0" collapsed="false">
      <c r="A1375" s="22" t="str">
        <f aca="false">customer_churn_dataset!A204</f>
        <v>CUST101032</v>
      </c>
      <c r="B1375" s="22" t="str">
        <f aca="false">customer_churn_dataset!B204</f>
        <v>Basic</v>
      </c>
      <c r="C1375" s="22" t="str">
        <f aca="false">customer_churn_dataset!C204</f>
        <v>Month-to-month</v>
      </c>
      <c r="D1375" s="0" t="n">
        <f aca="false">INDEX(customer_churn_dataset!$E$2:$E$1501,MATCH($A1376,customer_churn_dataset!$A$2:$A$1501,0))</f>
        <v>12</v>
      </c>
      <c r="E1375" s="0" t="n">
        <f aca="false">INDEX(customer_churn_dataset!$I$2:$I$1501,MATCH($A1376,customer_churn_dataset!$A$2:$A$1501,0))</f>
        <v>45.7</v>
      </c>
      <c r="F1375" s="0" t="n">
        <f aca="false">INDEX(customer_churn_dataset!$L$2:$L$1501,MATCH($A1376,customer_churn_dataset!$A$2:$A$1501,0))</f>
        <v>0</v>
      </c>
      <c r="G1375" s="0" t="str">
        <f aca="false">IF(INDEX(customer_churn_dataset!$M$2:$M$1501,MATCH($A1376,customer_churn_dataset!$A$2:$A$1501,0))=1,"Yes","No")</f>
        <v>No</v>
      </c>
      <c r="H1375" s="0" t="n">
        <f aca="false">INDEX(customer_churn_dataset!$N$2:$N$1501,MATCH($A1376,customer_churn_dataset!$A$2:$A$1501,0))</f>
        <v>230.88</v>
      </c>
      <c r="I1375" s="0" t="n">
        <f aca="false">INDEX(customer_churn_dataset!$O$2:$O$1501,MATCH($A1376,customer_churn_dataset!$A$2:$A$1501,0))</f>
        <v>0</v>
      </c>
      <c r="J1375" s="0" t="n">
        <f aca="false">INDEX(customer_churn_dataset!$T$2:$T$1501,MATCH($A1376,customer_churn_dataset!$A$2:$A$1501,0))</f>
        <v>2</v>
      </c>
      <c r="K1375" s="0" t="str">
        <f aca="false">INDEX(customer_churn_dataset!$V$2:$V$1501,MATCH($A1376,customer_churn_dataset!$A$2:$A$1501,0))</f>
        <v>Low Risk</v>
      </c>
    </row>
    <row r="1376" customFormat="false" ht="12.8" hidden="true" customHeight="false" outlineLevel="0" collapsed="false">
      <c r="A1376" s="22" t="str">
        <f aca="false">customer_churn_dataset!A211</f>
        <v>CUST100229</v>
      </c>
      <c r="B1376" s="22" t="str">
        <f aca="false">customer_churn_dataset!B211</f>
        <v>Standard</v>
      </c>
      <c r="C1376" s="22" t="str">
        <f aca="false">customer_churn_dataset!C211</f>
        <v>One year</v>
      </c>
      <c r="D1376" s="0" t="n">
        <f aca="false">INDEX(customer_churn_dataset!$E$2:$E$1501,MATCH($A1377,customer_churn_dataset!$A$2:$A$1501,0))</f>
        <v>8</v>
      </c>
      <c r="E1376" s="0" t="n">
        <f aca="false">INDEX(customer_churn_dataset!$I$2:$I$1501,MATCH($A1377,customer_churn_dataset!$A$2:$A$1501,0))</f>
        <v>59.8</v>
      </c>
      <c r="F1376" s="0" t="n">
        <f aca="false">INDEX(customer_churn_dataset!$L$2:$L$1501,MATCH($A1377,customer_churn_dataset!$A$2:$A$1501,0))</f>
        <v>0</v>
      </c>
      <c r="G1376" s="0" t="str">
        <f aca="false">IF(INDEX(customer_churn_dataset!$M$2:$M$1501,MATCH($A1377,customer_churn_dataset!$A$2:$A$1501,0))=1,"Yes","No")</f>
        <v>No</v>
      </c>
      <c r="H1376" s="0" t="n">
        <f aca="false">INDEX(customer_churn_dataset!$N$2:$N$1501,MATCH($A1377,customer_churn_dataset!$A$2:$A$1501,0))</f>
        <v>83.76</v>
      </c>
      <c r="I1376" s="0" t="n">
        <f aca="false">INDEX(customer_churn_dataset!$O$2:$O$1501,MATCH($A1377,customer_churn_dataset!$A$2:$A$1501,0))</f>
        <v>0</v>
      </c>
      <c r="J1376" s="0" t="n">
        <f aca="false">INDEX(customer_churn_dataset!$T$2:$T$1501,MATCH($A1377,customer_churn_dataset!$A$2:$A$1501,0))</f>
        <v>1</v>
      </c>
      <c r="K1376" s="0" t="str">
        <f aca="false">INDEX(customer_churn_dataset!$V$2:$V$1501,MATCH($A1377,customer_churn_dataset!$A$2:$A$1501,0))</f>
        <v>Low Risk</v>
      </c>
    </row>
    <row r="1377" customFormat="false" ht="12.8" hidden="true" customHeight="false" outlineLevel="0" collapsed="false">
      <c r="A1377" s="22" t="str">
        <f aca="false">customer_churn_dataset!A217</f>
        <v>CUST100470</v>
      </c>
      <c r="B1377" s="22" t="str">
        <f aca="false">customer_churn_dataset!B217</f>
        <v>Basic</v>
      </c>
      <c r="C1377" s="22" t="str">
        <f aca="false">customer_churn_dataset!C217</f>
        <v>Two year</v>
      </c>
      <c r="D1377" s="0" t="n">
        <f aca="false">INDEX(customer_churn_dataset!$E$2:$E$1501,MATCH($A1378,customer_churn_dataset!$A$2:$A$1501,0))</f>
        <v>53</v>
      </c>
      <c r="E1377" s="0" t="n">
        <f aca="false">INDEX(customer_churn_dataset!$I$2:$I$1501,MATCH($A1378,customer_churn_dataset!$A$2:$A$1501,0))</f>
        <v>22.5</v>
      </c>
      <c r="F1377" s="0" t="n">
        <f aca="false">INDEX(customer_churn_dataset!$L$2:$L$1501,MATCH($A1378,customer_churn_dataset!$A$2:$A$1501,0))</f>
        <v>5</v>
      </c>
      <c r="G1377" s="0" t="str">
        <f aca="false">IF(INDEX(customer_churn_dataset!$M$2:$M$1501,MATCH($A1378,customer_churn_dataset!$A$2:$A$1501,0))=1,"Yes","No")</f>
        <v>No</v>
      </c>
      <c r="H1377" s="0" t="n">
        <f aca="false">INDEX(customer_churn_dataset!$N$2:$N$1501,MATCH($A1378,customer_churn_dataset!$A$2:$A$1501,0))</f>
        <v>456.33</v>
      </c>
      <c r="I1377" s="0" t="n">
        <f aca="false">INDEX(customer_churn_dataset!$O$2:$O$1501,MATCH($A1378,customer_churn_dataset!$A$2:$A$1501,0))</f>
        <v>0</v>
      </c>
      <c r="J1377" s="0" t="n">
        <f aca="false">INDEX(customer_churn_dataset!$T$2:$T$1501,MATCH($A1378,customer_churn_dataset!$A$2:$A$1501,0))</f>
        <v>4</v>
      </c>
      <c r="K1377" s="0" t="str">
        <f aca="false">INDEX(customer_churn_dataset!$V$2:$V$1501,MATCH($A1378,customer_churn_dataset!$A$2:$A$1501,0))</f>
        <v>Medium Risk</v>
      </c>
    </row>
    <row r="1378" customFormat="false" ht="12.8" hidden="true" customHeight="false" outlineLevel="0" collapsed="false">
      <c r="A1378" s="22" t="str">
        <f aca="false">customer_churn_dataset!A223</f>
        <v>CUST100821</v>
      </c>
      <c r="B1378" s="22" t="str">
        <f aca="false">customer_churn_dataset!B223</f>
        <v>Basic</v>
      </c>
      <c r="C1378" s="22" t="str">
        <f aca="false">customer_churn_dataset!C223</f>
        <v>One year</v>
      </c>
      <c r="D1378" s="0" t="n">
        <f aca="false">INDEX(customer_churn_dataset!$E$2:$E$1501,MATCH($A1379,customer_churn_dataset!$A$2:$A$1501,0))</f>
        <v>10</v>
      </c>
      <c r="E1378" s="0" t="n">
        <f aca="false">INDEX(customer_churn_dataset!$I$2:$I$1501,MATCH($A1379,customer_churn_dataset!$A$2:$A$1501,0))</f>
        <v>47.8</v>
      </c>
      <c r="F1378" s="0" t="n">
        <f aca="false">INDEX(customer_churn_dataset!$L$2:$L$1501,MATCH($A1379,customer_churn_dataset!$A$2:$A$1501,0))</f>
        <v>0</v>
      </c>
      <c r="G1378" s="0" t="str">
        <f aca="false">IF(INDEX(customer_churn_dataset!$M$2:$M$1501,MATCH($A1379,customer_churn_dataset!$A$2:$A$1501,0))=1,"Yes","No")</f>
        <v>No</v>
      </c>
      <c r="H1378" s="0" t="n">
        <f aca="false">INDEX(customer_churn_dataset!$N$2:$N$1501,MATCH($A1379,customer_churn_dataset!$A$2:$A$1501,0))</f>
        <v>193</v>
      </c>
      <c r="I1378" s="0" t="n">
        <f aca="false">INDEX(customer_churn_dataset!$O$2:$O$1501,MATCH($A1379,customer_churn_dataset!$A$2:$A$1501,0))</f>
        <v>0</v>
      </c>
      <c r="J1378" s="0" t="n">
        <f aca="false">INDEX(customer_churn_dataset!$T$2:$T$1501,MATCH($A1379,customer_churn_dataset!$A$2:$A$1501,0))</f>
        <v>3</v>
      </c>
      <c r="K1378" s="0" t="str">
        <f aca="false">INDEX(customer_churn_dataset!$V$2:$V$1501,MATCH($A1379,customer_churn_dataset!$A$2:$A$1501,0))</f>
        <v>Medium Risk</v>
      </c>
    </row>
    <row r="1379" customFormat="false" ht="12.8" hidden="true" customHeight="false" outlineLevel="0" collapsed="false">
      <c r="A1379" s="22" t="str">
        <f aca="false">customer_churn_dataset!A228</f>
        <v>CUST100051</v>
      </c>
      <c r="B1379" s="22" t="str">
        <f aca="false">customer_churn_dataset!B228</f>
        <v>Standard</v>
      </c>
      <c r="C1379" s="22" t="str">
        <f aca="false">customer_churn_dataset!C228</f>
        <v>One year</v>
      </c>
      <c r="D1379" s="0" t="n">
        <f aca="false">INDEX(customer_churn_dataset!$E$2:$E$1501,MATCH($A1380,customer_churn_dataset!$A$2:$A$1501,0))</f>
        <v>32</v>
      </c>
      <c r="E1379" s="0" t="n">
        <f aca="false">INDEX(customer_churn_dataset!$I$2:$I$1501,MATCH($A1380,customer_churn_dataset!$A$2:$A$1501,0))</f>
        <v>35.1</v>
      </c>
      <c r="F1379" s="0" t="n">
        <f aca="false">INDEX(customer_churn_dataset!$L$2:$L$1501,MATCH($A1380,customer_churn_dataset!$A$2:$A$1501,0))</f>
        <v>0</v>
      </c>
      <c r="G1379" s="0" t="str">
        <f aca="false">IF(INDEX(customer_churn_dataset!$M$2:$M$1501,MATCH($A1380,customer_churn_dataset!$A$2:$A$1501,0))=1,"Yes","No")</f>
        <v>No</v>
      </c>
      <c r="H1379" s="0" t="n">
        <f aca="false">INDEX(customer_churn_dataset!$N$2:$N$1501,MATCH($A1380,customer_churn_dataset!$A$2:$A$1501,0))</f>
        <v>668.48</v>
      </c>
      <c r="I1379" s="0" t="n">
        <f aca="false">INDEX(customer_churn_dataset!$O$2:$O$1501,MATCH($A1380,customer_churn_dataset!$A$2:$A$1501,0))</f>
        <v>0</v>
      </c>
      <c r="J1379" s="0" t="n">
        <f aca="false">INDEX(customer_churn_dataset!$T$2:$T$1501,MATCH($A1380,customer_churn_dataset!$A$2:$A$1501,0))</f>
        <v>4</v>
      </c>
      <c r="K1379" s="0" t="str">
        <f aca="false">INDEX(customer_churn_dataset!$V$2:$V$1501,MATCH($A1380,customer_churn_dataset!$A$2:$A$1501,0))</f>
        <v>Medium Risk</v>
      </c>
    </row>
    <row r="1380" customFormat="false" ht="12.8" hidden="true" customHeight="false" outlineLevel="0" collapsed="false">
      <c r="A1380" s="22" t="str">
        <f aca="false">customer_churn_dataset!A231</f>
        <v>CUST100649</v>
      </c>
      <c r="B1380" s="22" t="str">
        <f aca="false">customer_churn_dataset!B231</f>
        <v>Standard</v>
      </c>
      <c r="C1380" s="22" t="str">
        <f aca="false">customer_churn_dataset!C231</f>
        <v>Month-to-month</v>
      </c>
      <c r="D1380" s="0" t="n">
        <f aca="false">INDEX(customer_churn_dataset!$E$2:$E$1501,MATCH($A1381,customer_churn_dataset!$A$2:$A$1501,0))</f>
        <v>20</v>
      </c>
      <c r="E1380" s="0" t="n">
        <f aca="false">INDEX(customer_churn_dataset!$I$2:$I$1501,MATCH($A1381,customer_churn_dataset!$A$2:$A$1501,0))</f>
        <v>66.6</v>
      </c>
      <c r="F1380" s="0" t="n">
        <f aca="false">INDEX(customer_churn_dataset!$L$2:$L$1501,MATCH($A1381,customer_churn_dataset!$A$2:$A$1501,0))</f>
        <v>0</v>
      </c>
      <c r="G1380" s="0" t="str">
        <f aca="false">IF(INDEX(customer_churn_dataset!$M$2:$M$1501,MATCH($A1381,customer_churn_dataset!$A$2:$A$1501,0))=1,"Yes","No")</f>
        <v>No</v>
      </c>
      <c r="H1380" s="0" t="n">
        <f aca="false">INDEX(customer_churn_dataset!$N$2:$N$1501,MATCH($A1381,customer_churn_dataset!$A$2:$A$1501,0))</f>
        <v>429.4</v>
      </c>
      <c r="I1380" s="0" t="n">
        <f aca="false">INDEX(customer_churn_dataset!$O$2:$O$1501,MATCH($A1381,customer_churn_dataset!$A$2:$A$1501,0))</f>
        <v>0</v>
      </c>
      <c r="J1380" s="0" t="n">
        <f aca="false">INDEX(customer_churn_dataset!$T$2:$T$1501,MATCH($A1381,customer_churn_dataset!$A$2:$A$1501,0))</f>
        <v>2</v>
      </c>
      <c r="K1380" s="0" t="str">
        <f aca="false">INDEX(customer_churn_dataset!$V$2:$V$1501,MATCH($A1381,customer_churn_dataset!$A$2:$A$1501,0))</f>
        <v>Low Risk</v>
      </c>
    </row>
    <row r="1381" customFormat="false" ht="12.8" hidden="true" customHeight="false" outlineLevel="0" collapsed="false">
      <c r="A1381" s="22" t="str">
        <f aca="false">customer_churn_dataset!A244</f>
        <v>CUST100349</v>
      </c>
      <c r="B1381" s="22" t="str">
        <f aca="false">customer_churn_dataset!B244</f>
        <v>Standard</v>
      </c>
      <c r="C1381" s="22" t="str">
        <f aca="false">customer_churn_dataset!C244</f>
        <v>Month-to-month</v>
      </c>
      <c r="D1381" s="0" t="n">
        <f aca="false">INDEX(customer_churn_dataset!$E$2:$E$1501,MATCH($A1382,customer_churn_dataset!$A$2:$A$1501,0))</f>
        <v>3</v>
      </c>
      <c r="E1381" s="0" t="n">
        <f aca="false">INDEX(customer_churn_dataset!$I$2:$I$1501,MATCH($A1382,customer_churn_dataset!$A$2:$A$1501,0))</f>
        <v>63.2</v>
      </c>
      <c r="F1381" s="0" t="n">
        <f aca="false">INDEX(customer_churn_dataset!$L$2:$L$1501,MATCH($A1382,customer_churn_dataset!$A$2:$A$1501,0))</f>
        <v>1</v>
      </c>
      <c r="G1381" s="0" t="str">
        <f aca="false">IF(INDEX(customer_churn_dataset!$M$2:$M$1501,MATCH($A1382,customer_churn_dataset!$A$2:$A$1501,0))=1,"Yes","No")</f>
        <v>Yes</v>
      </c>
      <c r="H1381" s="0" t="n">
        <f aca="false">INDEX(customer_churn_dataset!$N$2:$N$1501,MATCH($A1382,customer_churn_dataset!$A$2:$A$1501,0))</f>
        <v>32.1</v>
      </c>
      <c r="I1381" s="0" t="n">
        <f aca="false">INDEX(customer_churn_dataset!$O$2:$O$1501,MATCH($A1382,customer_churn_dataset!$A$2:$A$1501,0))</f>
        <v>0</v>
      </c>
      <c r="J1381" s="0" t="n">
        <f aca="false">INDEX(customer_churn_dataset!$T$2:$T$1501,MATCH($A1382,customer_churn_dataset!$A$2:$A$1501,0))</f>
        <v>4</v>
      </c>
      <c r="K1381" s="0" t="str">
        <f aca="false">INDEX(customer_churn_dataset!$V$2:$V$1501,MATCH($A1382,customer_churn_dataset!$A$2:$A$1501,0))</f>
        <v>Medium Risk</v>
      </c>
    </row>
    <row r="1382" customFormat="false" ht="12.8" hidden="true" customHeight="false" outlineLevel="0" collapsed="false">
      <c r="A1382" s="22" t="str">
        <f aca="false">customer_churn_dataset!A253</f>
        <v>CUST100670</v>
      </c>
      <c r="B1382" s="22" t="str">
        <f aca="false">customer_churn_dataset!B253</f>
        <v>Basic</v>
      </c>
      <c r="C1382" s="22" t="str">
        <f aca="false">customer_churn_dataset!C253</f>
        <v>Two year</v>
      </c>
      <c r="D1382" s="0" t="n">
        <f aca="false">INDEX(customer_churn_dataset!$E$2:$E$1501,MATCH($A1383,customer_churn_dataset!$A$2:$A$1501,0))</f>
        <v>1</v>
      </c>
      <c r="E1382" s="0" t="n">
        <f aca="false">INDEX(customer_churn_dataset!$I$2:$I$1501,MATCH($A1383,customer_churn_dataset!$A$2:$A$1501,0))</f>
        <v>82.1</v>
      </c>
      <c r="F1382" s="0" t="n">
        <f aca="false">INDEX(customer_churn_dataset!$L$2:$L$1501,MATCH($A1383,customer_churn_dataset!$A$2:$A$1501,0))</f>
        <v>0</v>
      </c>
      <c r="G1382" s="0" t="str">
        <f aca="false">IF(INDEX(customer_churn_dataset!$M$2:$M$1501,MATCH($A1383,customer_churn_dataset!$A$2:$A$1501,0))=1,"Yes","No")</f>
        <v>No</v>
      </c>
      <c r="H1382" s="0" t="n">
        <f aca="false">INDEX(customer_churn_dataset!$N$2:$N$1501,MATCH($A1383,customer_churn_dataset!$A$2:$A$1501,0))</f>
        <v>40.02</v>
      </c>
      <c r="I1382" s="0" t="n">
        <f aca="false">INDEX(customer_churn_dataset!$O$2:$O$1501,MATCH($A1383,customer_churn_dataset!$A$2:$A$1501,0))</f>
        <v>0</v>
      </c>
      <c r="J1382" s="0" t="n">
        <f aca="false">INDEX(customer_churn_dataset!$T$2:$T$1501,MATCH($A1383,customer_churn_dataset!$A$2:$A$1501,0))</f>
        <v>3</v>
      </c>
      <c r="K1382" s="0" t="str">
        <f aca="false">INDEX(customer_churn_dataset!$V$2:$V$1501,MATCH($A1383,customer_churn_dataset!$A$2:$A$1501,0))</f>
        <v>Medium Risk</v>
      </c>
    </row>
    <row r="1383" customFormat="false" ht="12.8" hidden="true" customHeight="false" outlineLevel="0" collapsed="false">
      <c r="A1383" s="22" t="str">
        <f aca="false">customer_churn_dataset!A258</f>
        <v>CUST100228</v>
      </c>
      <c r="B1383" s="22" t="str">
        <f aca="false">customer_churn_dataset!B258</f>
        <v>Premium</v>
      </c>
      <c r="C1383" s="22" t="str">
        <f aca="false">customer_churn_dataset!C258</f>
        <v>Month-to-month</v>
      </c>
      <c r="D1383" s="0" t="n">
        <f aca="false">INDEX(customer_churn_dataset!$E$2:$E$1501,MATCH($A1384,customer_churn_dataset!$A$2:$A$1501,0))</f>
        <v>29</v>
      </c>
      <c r="E1383" s="0" t="n">
        <f aca="false">INDEX(customer_churn_dataset!$I$2:$I$1501,MATCH($A1384,customer_churn_dataset!$A$2:$A$1501,0))</f>
        <v>10.9</v>
      </c>
      <c r="F1383" s="0" t="n">
        <f aca="false">INDEX(customer_churn_dataset!$L$2:$L$1501,MATCH($A1384,customer_churn_dataset!$A$2:$A$1501,0))</f>
        <v>4</v>
      </c>
      <c r="G1383" s="0" t="str">
        <f aca="false">IF(INDEX(customer_churn_dataset!$M$2:$M$1501,MATCH($A1384,customer_churn_dataset!$A$2:$A$1501,0))=1,"Yes","No")</f>
        <v>Yes</v>
      </c>
      <c r="H1383" s="0" t="n">
        <f aca="false">INDEX(customer_churn_dataset!$N$2:$N$1501,MATCH($A1384,customer_churn_dataset!$A$2:$A$1501,0))</f>
        <v>1195.96</v>
      </c>
      <c r="I1383" s="0" t="n">
        <f aca="false">INDEX(customer_churn_dataset!$O$2:$O$1501,MATCH($A1384,customer_churn_dataset!$A$2:$A$1501,0))</f>
        <v>0</v>
      </c>
      <c r="J1383" s="0" t="n">
        <f aca="false">INDEX(customer_churn_dataset!$T$2:$T$1501,MATCH($A1384,customer_churn_dataset!$A$2:$A$1501,0))</f>
        <v>7</v>
      </c>
      <c r="K1383" s="0" t="str">
        <f aca="false">INDEX(customer_churn_dataset!$V$2:$V$1501,MATCH($A1384,customer_churn_dataset!$A$2:$A$1501,0))</f>
        <v>High Risk</v>
      </c>
    </row>
    <row r="1384" customFormat="false" ht="12.8" hidden="true" customHeight="false" outlineLevel="0" collapsed="false">
      <c r="A1384" s="22" t="str">
        <f aca="false">customer_churn_dataset!A264</f>
        <v>CUST100055</v>
      </c>
      <c r="B1384" s="22" t="str">
        <f aca="false">customer_churn_dataset!B264</f>
        <v>Premium</v>
      </c>
      <c r="C1384" s="22" t="str">
        <f aca="false">customer_churn_dataset!C264</f>
        <v>One year</v>
      </c>
      <c r="D1384" s="0" t="n">
        <f aca="false">INDEX(customer_churn_dataset!$E$2:$E$1501,MATCH($A1385,customer_churn_dataset!$A$2:$A$1501,0))</f>
        <v>4</v>
      </c>
      <c r="E1384" s="0" t="n">
        <f aca="false">INDEX(customer_churn_dataset!$I$2:$I$1501,MATCH($A1385,customer_churn_dataset!$A$2:$A$1501,0))</f>
        <v>41.6</v>
      </c>
      <c r="F1384" s="0" t="n">
        <f aca="false">INDEX(customer_churn_dataset!$L$2:$L$1501,MATCH($A1385,customer_churn_dataset!$A$2:$A$1501,0))</f>
        <v>3</v>
      </c>
      <c r="G1384" s="0" t="str">
        <f aca="false">IF(INDEX(customer_churn_dataset!$M$2:$M$1501,MATCH($A1385,customer_churn_dataset!$A$2:$A$1501,0))=1,"Yes","No")</f>
        <v>No</v>
      </c>
      <c r="H1384" s="0" t="n">
        <f aca="false">INDEX(customer_churn_dataset!$N$2:$N$1501,MATCH($A1385,customer_churn_dataset!$A$2:$A$1501,0))</f>
        <v>41.96</v>
      </c>
      <c r="I1384" s="0" t="n">
        <f aca="false">INDEX(customer_churn_dataset!$O$2:$O$1501,MATCH($A1385,customer_churn_dataset!$A$2:$A$1501,0))</f>
        <v>1</v>
      </c>
      <c r="J1384" s="0" t="n">
        <f aca="false">INDEX(customer_churn_dataset!$T$2:$T$1501,MATCH($A1385,customer_churn_dataset!$A$2:$A$1501,0))</f>
        <v>4</v>
      </c>
      <c r="K1384" s="0" t="str">
        <f aca="false">INDEX(customer_churn_dataset!$V$2:$V$1501,MATCH($A1385,customer_churn_dataset!$A$2:$A$1501,0))</f>
        <v>Medium Risk</v>
      </c>
    </row>
    <row r="1385" customFormat="false" ht="12.8" hidden="true" customHeight="false" outlineLevel="0" collapsed="false">
      <c r="A1385" s="22" t="str">
        <f aca="false">customer_churn_dataset!A280</f>
        <v>CUST100753</v>
      </c>
      <c r="B1385" s="22" t="str">
        <f aca="false">customer_churn_dataset!B280</f>
        <v>Basic</v>
      </c>
      <c r="C1385" s="22" t="str">
        <f aca="false">customer_churn_dataset!C280</f>
        <v>One year</v>
      </c>
      <c r="D1385" s="0" t="n">
        <f aca="false">INDEX(customer_churn_dataset!$E$2:$E$1501,MATCH($A1386,customer_churn_dataset!$A$2:$A$1501,0))</f>
        <v>11</v>
      </c>
      <c r="E1385" s="0" t="n">
        <f aca="false">INDEX(customer_churn_dataset!$I$2:$I$1501,MATCH($A1386,customer_churn_dataset!$A$2:$A$1501,0))</f>
        <v>74</v>
      </c>
      <c r="F1385" s="0" t="n">
        <f aca="false">INDEX(customer_churn_dataset!$L$2:$L$1501,MATCH($A1386,customer_churn_dataset!$A$2:$A$1501,0))</f>
        <v>1</v>
      </c>
      <c r="G1385" s="0" t="str">
        <f aca="false">IF(INDEX(customer_churn_dataset!$M$2:$M$1501,MATCH($A1386,customer_churn_dataset!$A$2:$A$1501,0))=1,"Yes","No")</f>
        <v>No</v>
      </c>
      <c r="H1385" s="0" t="n">
        <f aca="false">INDEX(customer_churn_dataset!$N$2:$N$1501,MATCH($A1386,customer_churn_dataset!$A$2:$A$1501,0))</f>
        <v>226.05</v>
      </c>
      <c r="I1385" s="0" t="n">
        <f aca="false">INDEX(customer_churn_dataset!$O$2:$O$1501,MATCH($A1386,customer_churn_dataset!$A$2:$A$1501,0))</f>
        <v>0</v>
      </c>
      <c r="J1385" s="0" t="n">
        <f aca="false">INDEX(customer_churn_dataset!$T$2:$T$1501,MATCH($A1386,customer_churn_dataset!$A$2:$A$1501,0))</f>
        <v>3</v>
      </c>
      <c r="K1385" s="0" t="str">
        <f aca="false">INDEX(customer_churn_dataset!$V$2:$V$1501,MATCH($A1386,customer_churn_dataset!$A$2:$A$1501,0))</f>
        <v>Medium Risk</v>
      </c>
    </row>
    <row r="1386" customFormat="false" ht="12.8" hidden="true" customHeight="false" outlineLevel="0" collapsed="false">
      <c r="A1386" s="22" t="str">
        <f aca="false">customer_churn_dataset!A297</f>
        <v>CUST101270</v>
      </c>
      <c r="B1386" s="22" t="str">
        <f aca="false">customer_churn_dataset!B297</f>
        <v>Standard</v>
      </c>
      <c r="C1386" s="22" t="str">
        <f aca="false">customer_churn_dataset!C297</f>
        <v>Month-to-month</v>
      </c>
      <c r="D1386" s="0" t="n">
        <f aca="false">INDEX(customer_churn_dataset!$E$2:$E$1501,MATCH($A1387,customer_churn_dataset!$A$2:$A$1501,0))</f>
        <v>20</v>
      </c>
      <c r="E1386" s="0" t="n">
        <f aca="false">INDEX(customer_churn_dataset!$I$2:$I$1501,MATCH($A1387,customer_churn_dataset!$A$2:$A$1501,0))</f>
        <v>82.8</v>
      </c>
      <c r="F1386" s="0" t="n">
        <f aca="false">INDEX(customer_churn_dataset!$L$2:$L$1501,MATCH($A1387,customer_churn_dataset!$A$2:$A$1501,0))</f>
        <v>2</v>
      </c>
      <c r="G1386" s="0" t="str">
        <f aca="false">IF(INDEX(customer_churn_dataset!$M$2:$M$1501,MATCH($A1387,customer_churn_dataset!$A$2:$A$1501,0))=1,"Yes","No")</f>
        <v>Yes</v>
      </c>
      <c r="H1386" s="0" t="n">
        <f aca="false">INDEX(customer_churn_dataset!$N$2:$N$1501,MATCH($A1387,customer_churn_dataset!$A$2:$A$1501,0))</f>
        <v>186.4</v>
      </c>
      <c r="I1386" s="0" t="n">
        <f aca="false">INDEX(customer_churn_dataset!$O$2:$O$1501,MATCH($A1387,customer_churn_dataset!$A$2:$A$1501,0))</f>
        <v>0</v>
      </c>
      <c r="J1386" s="0" t="n">
        <f aca="false">INDEX(customer_churn_dataset!$T$2:$T$1501,MATCH($A1387,customer_churn_dataset!$A$2:$A$1501,0))</f>
        <v>5</v>
      </c>
      <c r="K1386" s="0" t="str">
        <f aca="false">INDEX(customer_churn_dataset!$V$2:$V$1501,MATCH($A1387,customer_churn_dataset!$A$2:$A$1501,0))</f>
        <v>Medium Risk</v>
      </c>
    </row>
    <row r="1387" customFormat="false" ht="12.8" hidden="true" customHeight="false" outlineLevel="0" collapsed="false">
      <c r="A1387" s="22" t="str">
        <f aca="false">customer_churn_dataset!A311</f>
        <v>CUST100056</v>
      </c>
      <c r="B1387" s="22" t="str">
        <f aca="false">customer_churn_dataset!B311</f>
        <v>Basic</v>
      </c>
      <c r="C1387" s="22" t="str">
        <f aca="false">customer_churn_dataset!C311</f>
        <v>One year</v>
      </c>
      <c r="D1387" s="0" t="n">
        <f aca="false">INDEX(customer_churn_dataset!$E$2:$E$1501,MATCH($A1388,customer_churn_dataset!$A$2:$A$1501,0))</f>
        <v>2</v>
      </c>
      <c r="E1387" s="0" t="n">
        <f aca="false">INDEX(customer_churn_dataset!$I$2:$I$1501,MATCH($A1388,customer_churn_dataset!$A$2:$A$1501,0))</f>
        <v>43.9</v>
      </c>
      <c r="F1387" s="0" t="n">
        <f aca="false">INDEX(customer_churn_dataset!$L$2:$L$1501,MATCH($A1388,customer_churn_dataset!$A$2:$A$1501,0))</f>
        <v>2</v>
      </c>
      <c r="G1387" s="0" t="str">
        <f aca="false">IF(INDEX(customer_churn_dataset!$M$2:$M$1501,MATCH($A1388,customer_churn_dataset!$A$2:$A$1501,0))=1,"Yes","No")</f>
        <v>No</v>
      </c>
      <c r="H1387" s="0" t="n">
        <f aca="false">INDEX(customer_churn_dataset!$N$2:$N$1501,MATCH($A1388,customer_churn_dataset!$A$2:$A$1501,0))</f>
        <v>43.32</v>
      </c>
      <c r="I1387" s="0" t="n">
        <f aca="false">INDEX(customer_churn_dataset!$O$2:$O$1501,MATCH($A1388,customer_churn_dataset!$A$2:$A$1501,0))</f>
        <v>0</v>
      </c>
      <c r="J1387" s="0" t="n">
        <f aca="false">INDEX(customer_churn_dataset!$T$2:$T$1501,MATCH($A1388,customer_churn_dataset!$A$2:$A$1501,0))</f>
        <v>5</v>
      </c>
      <c r="K1387" s="0" t="str">
        <f aca="false">INDEX(customer_churn_dataset!$V$2:$V$1501,MATCH($A1388,customer_churn_dataset!$A$2:$A$1501,0))</f>
        <v>Medium Risk</v>
      </c>
    </row>
    <row r="1388" customFormat="false" ht="12.8" hidden="true" customHeight="false" outlineLevel="0" collapsed="false">
      <c r="A1388" s="22" t="str">
        <f aca="false">customer_churn_dataset!A335</f>
        <v>CUST101163</v>
      </c>
      <c r="B1388" s="22" t="str">
        <f aca="false">customer_churn_dataset!B335</f>
        <v>Standard</v>
      </c>
      <c r="C1388" s="22" t="str">
        <f aca="false">customer_churn_dataset!C335</f>
        <v>Month-to-month</v>
      </c>
      <c r="D1388" s="0" t="n">
        <f aca="false">INDEX(customer_churn_dataset!$E$2:$E$1501,MATCH($A1389,customer_churn_dataset!$A$2:$A$1501,0))</f>
        <v>56</v>
      </c>
      <c r="E1388" s="0" t="n">
        <f aca="false">INDEX(customer_churn_dataset!$I$2:$I$1501,MATCH($A1389,customer_churn_dataset!$A$2:$A$1501,0))</f>
        <v>71.2</v>
      </c>
      <c r="F1388" s="0" t="n">
        <f aca="false">INDEX(customer_churn_dataset!$L$2:$L$1501,MATCH($A1389,customer_churn_dataset!$A$2:$A$1501,0))</f>
        <v>0</v>
      </c>
      <c r="G1388" s="0" t="str">
        <f aca="false">IF(INDEX(customer_churn_dataset!$M$2:$M$1501,MATCH($A1389,customer_churn_dataset!$A$2:$A$1501,0))=1,"Yes","No")</f>
        <v>No</v>
      </c>
      <c r="H1388" s="0" t="n">
        <f aca="false">INDEX(customer_churn_dataset!$N$2:$N$1501,MATCH($A1389,customer_churn_dataset!$A$2:$A$1501,0))</f>
        <v>414.4</v>
      </c>
      <c r="I1388" s="0" t="n">
        <f aca="false">INDEX(customer_churn_dataset!$O$2:$O$1501,MATCH($A1389,customer_churn_dataset!$A$2:$A$1501,0))</f>
        <v>0</v>
      </c>
      <c r="J1388" s="0" t="n">
        <f aca="false">INDEX(customer_churn_dataset!$T$2:$T$1501,MATCH($A1389,customer_churn_dataset!$A$2:$A$1501,0))</f>
        <v>1</v>
      </c>
      <c r="K1388" s="0" t="str">
        <f aca="false">INDEX(customer_churn_dataset!$V$2:$V$1501,MATCH($A1389,customer_churn_dataset!$A$2:$A$1501,0))</f>
        <v>Low Risk</v>
      </c>
    </row>
    <row r="1389" customFormat="false" ht="12.8" hidden="true" customHeight="false" outlineLevel="0" collapsed="false">
      <c r="A1389" s="22" t="str">
        <f aca="false">customer_churn_dataset!A342</f>
        <v>CUST100195</v>
      </c>
      <c r="B1389" s="22" t="str">
        <f aca="false">customer_churn_dataset!B342</f>
        <v>Basic</v>
      </c>
      <c r="C1389" s="22" t="str">
        <f aca="false">customer_churn_dataset!C342</f>
        <v>One year</v>
      </c>
      <c r="D1389" s="0" t="n">
        <f aca="false">INDEX(customer_churn_dataset!$E$2:$E$1501,MATCH($A1390,customer_churn_dataset!$A$2:$A$1501,0))</f>
        <v>58</v>
      </c>
      <c r="E1389" s="0" t="n">
        <f aca="false">INDEX(customer_churn_dataset!$I$2:$I$1501,MATCH($A1390,customer_churn_dataset!$A$2:$A$1501,0))</f>
        <v>15.4</v>
      </c>
      <c r="F1389" s="0" t="n">
        <f aca="false">INDEX(customer_churn_dataset!$L$2:$L$1501,MATCH($A1390,customer_churn_dataset!$A$2:$A$1501,0))</f>
        <v>1</v>
      </c>
      <c r="G1389" s="0" t="str">
        <f aca="false">IF(INDEX(customer_churn_dataset!$M$2:$M$1501,MATCH($A1390,customer_churn_dataset!$A$2:$A$1501,0))=1,"Yes","No")</f>
        <v>No</v>
      </c>
      <c r="H1389" s="0" t="n">
        <f aca="false">INDEX(customer_churn_dataset!$N$2:$N$1501,MATCH($A1390,customer_churn_dataset!$A$2:$A$1501,0))</f>
        <v>544.04</v>
      </c>
      <c r="I1389" s="0" t="n">
        <f aca="false">INDEX(customer_churn_dataset!$O$2:$O$1501,MATCH($A1390,customer_churn_dataset!$A$2:$A$1501,0))</f>
        <v>0</v>
      </c>
      <c r="J1389" s="0" t="n">
        <f aca="false">INDEX(customer_churn_dataset!$T$2:$T$1501,MATCH($A1390,customer_churn_dataset!$A$2:$A$1501,0))</f>
        <v>4</v>
      </c>
      <c r="K1389" s="0" t="str">
        <f aca="false">INDEX(customer_churn_dataset!$V$2:$V$1501,MATCH($A1390,customer_churn_dataset!$A$2:$A$1501,0))</f>
        <v>Medium Risk</v>
      </c>
    </row>
    <row r="1390" customFormat="false" ht="12.8" hidden="true" customHeight="false" outlineLevel="0" collapsed="false">
      <c r="A1390" s="22" t="str">
        <f aca="false">customer_churn_dataset!A351</f>
        <v>CUST100158</v>
      </c>
      <c r="B1390" s="22" t="str">
        <f aca="false">customer_churn_dataset!B351</f>
        <v>Basic</v>
      </c>
      <c r="C1390" s="22" t="str">
        <f aca="false">customer_churn_dataset!C351</f>
        <v>Month-to-month</v>
      </c>
      <c r="D1390" s="0" t="n">
        <f aca="false">INDEX(customer_churn_dataset!$E$2:$E$1501,MATCH($A1391,customer_churn_dataset!$A$2:$A$1501,0))</f>
        <v>44</v>
      </c>
      <c r="E1390" s="0" t="n">
        <f aca="false">INDEX(customer_churn_dataset!$I$2:$I$1501,MATCH($A1391,customer_churn_dataset!$A$2:$A$1501,0))</f>
        <v>38.8</v>
      </c>
      <c r="F1390" s="0" t="n">
        <f aca="false">INDEX(customer_churn_dataset!$L$2:$L$1501,MATCH($A1391,customer_churn_dataset!$A$2:$A$1501,0))</f>
        <v>1</v>
      </c>
      <c r="G1390" s="0" t="str">
        <f aca="false">IF(INDEX(customer_churn_dataset!$M$2:$M$1501,MATCH($A1391,customer_churn_dataset!$A$2:$A$1501,0))=1,"Yes","No")</f>
        <v>Yes</v>
      </c>
      <c r="H1390" s="0" t="n">
        <f aca="false">INDEX(customer_churn_dataset!$N$2:$N$1501,MATCH($A1391,customer_churn_dataset!$A$2:$A$1501,0))</f>
        <v>419.32</v>
      </c>
      <c r="I1390" s="0" t="n">
        <f aca="false">INDEX(customer_churn_dataset!$O$2:$O$1501,MATCH($A1391,customer_churn_dataset!$A$2:$A$1501,0))</f>
        <v>1</v>
      </c>
      <c r="J1390" s="0" t="n">
        <f aca="false">INDEX(customer_churn_dataset!$T$2:$T$1501,MATCH($A1391,customer_churn_dataset!$A$2:$A$1501,0))</f>
        <v>6</v>
      </c>
      <c r="K1390" s="0" t="str">
        <f aca="false">INDEX(customer_churn_dataset!$V$2:$V$1501,MATCH($A1391,customer_churn_dataset!$A$2:$A$1501,0))</f>
        <v>High Risk</v>
      </c>
    </row>
    <row r="1391" customFormat="false" ht="12.8" hidden="true" customHeight="false" outlineLevel="0" collapsed="false">
      <c r="A1391" s="22" t="str">
        <f aca="false">customer_churn_dataset!A354</f>
        <v>CUST100526</v>
      </c>
      <c r="B1391" s="22" t="str">
        <f aca="false">customer_churn_dataset!B354</f>
        <v>Basic</v>
      </c>
      <c r="C1391" s="22" t="str">
        <f aca="false">customer_churn_dataset!C354</f>
        <v>One year</v>
      </c>
      <c r="D1391" s="0" t="n">
        <f aca="false">INDEX(customer_churn_dataset!$E$2:$E$1501,MATCH($A1392,customer_churn_dataset!$A$2:$A$1501,0))</f>
        <v>72</v>
      </c>
      <c r="E1391" s="0" t="n">
        <f aca="false">INDEX(customer_churn_dataset!$I$2:$I$1501,MATCH($A1392,customer_churn_dataset!$A$2:$A$1501,0))</f>
        <v>45.2</v>
      </c>
      <c r="F1391" s="0" t="n">
        <f aca="false">INDEX(customer_churn_dataset!$L$2:$L$1501,MATCH($A1392,customer_churn_dataset!$A$2:$A$1501,0))</f>
        <v>2</v>
      </c>
      <c r="G1391" s="0" t="str">
        <f aca="false">IF(INDEX(customer_churn_dataset!$M$2:$M$1501,MATCH($A1392,customer_churn_dataset!$A$2:$A$1501,0))=1,"Yes","No")</f>
        <v>No</v>
      </c>
      <c r="H1391" s="0" t="n">
        <f aca="false">INDEX(customer_churn_dataset!$N$2:$N$1501,MATCH($A1392,customer_churn_dataset!$A$2:$A$1501,0))</f>
        <v>662.4</v>
      </c>
      <c r="I1391" s="0" t="n">
        <f aca="false">INDEX(customer_churn_dataset!$O$2:$O$1501,MATCH($A1392,customer_churn_dataset!$A$2:$A$1501,0))</f>
        <v>0</v>
      </c>
      <c r="J1391" s="0" t="n">
        <f aca="false">INDEX(customer_churn_dataset!$T$2:$T$1501,MATCH($A1392,customer_churn_dataset!$A$2:$A$1501,0))</f>
        <v>4</v>
      </c>
      <c r="K1391" s="0" t="str">
        <f aca="false">INDEX(customer_churn_dataset!$V$2:$V$1501,MATCH($A1392,customer_churn_dataset!$A$2:$A$1501,0))</f>
        <v>Medium Risk</v>
      </c>
    </row>
    <row r="1392" customFormat="false" ht="12.8" hidden="true" customHeight="false" outlineLevel="0" collapsed="false">
      <c r="A1392" s="22" t="str">
        <f aca="false">customer_churn_dataset!A360</f>
        <v>CUST100124</v>
      </c>
      <c r="B1392" s="22" t="str">
        <f aca="false">customer_churn_dataset!B360</f>
        <v>Basic</v>
      </c>
      <c r="C1392" s="22" t="str">
        <f aca="false">customer_churn_dataset!C360</f>
        <v>Month-to-month</v>
      </c>
      <c r="D1392" s="0" t="n">
        <f aca="false">INDEX(customer_churn_dataset!$E$2:$E$1501,MATCH($A1393,customer_churn_dataset!$A$2:$A$1501,0))</f>
        <v>63</v>
      </c>
      <c r="E1392" s="0" t="n">
        <f aca="false">INDEX(customer_churn_dataset!$I$2:$I$1501,MATCH($A1393,customer_churn_dataset!$A$2:$A$1501,0))</f>
        <v>84.9</v>
      </c>
      <c r="F1392" s="0" t="n">
        <f aca="false">INDEX(customer_churn_dataset!$L$2:$L$1501,MATCH($A1393,customer_churn_dataset!$A$2:$A$1501,0))</f>
        <v>3</v>
      </c>
      <c r="G1392" s="0" t="str">
        <f aca="false">IF(INDEX(customer_churn_dataset!$M$2:$M$1501,MATCH($A1393,customer_churn_dataset!$A$2:$A$1501,0))=1,"Yes","No")</f>
        <v>No</v>
      </c>
      <c r="H1392" s="0" t="n">
        <f aca="false">INDEX(customer_churn_dataset!$N$2:$N$1501,MATCH($A1393,customer_churn_dataset!$A$2:$A$1501,0))</f>
        <v>661.5</v>
      </c>
      <c r="I1392" s="0" t="n">
        <f aca="false">INDEX(customer_churn_dataset!$O$2:$O$1501,MATCH($A1393,customer_churn_dataset!$A$2:$A$1501,0))</f>
        <v>0</v>
      </c>
      <c r="J1392" s="0" t="n">
        <f aca="false">INDEX(customer_churn_dataset!$T$2:$T$1501,MATCH($A1393,customer_churn_dataset!$A$2:$A$1501,0))</f>
        <v>1</v>
      </c>
      <c r="K1392" s="0" t="str">
        <f aca="false">INDEX(customer_churn_dataset!$V$2:$V$1501,MATCH($A1393,customer_churn_dataset!$A$2:$A$1501,0))</f>
        <v>Low Risk</v>
      </c>
    </row>
    <row r="1393" customFormat="false" ht="12.8" hidden="true" customHeight="false" outlineLevel="0" collapsed="false">
      <c r="A1393" s="22" t="str">
        <f aca="false">customer_churn_dataset!A381</f>
        <v>CUST101492</v>
      </c>
      <c r="B1393" s="22" t="str">
        <f aca="false">customer_churn_dataset!B381</f>
        <v>Basic</v>
      </c>
      <c r="C1393" s="22" t="str">
        <f aca="false">customer_churn_dataset!C381</f>
        <v>Two year</v>
      </c>
      <c r="D1393" s="0" t="n">
        <f aca="false">INDEX(customer_churn_dataset!$E$2:$E$1501,MATCH($A1394,customer_churn_dataset!$A$2:$A$1501,0))</f>
        <v>4</v>
      </c>
      <c r="E1393" s="0" t="n">
        <f aca="false">INDEX(customer_churn_dataset!$I$2:$I$1501,MATCH($A1394,customer_churn_dataset!$A$2:$A$1501,0))</f>
        <v>53.8</v>
      </c>
      <c r="F1393" s="0" t="n">
        <f aca="false">INDEX(customer_churn_dataset!$L$2:$L$1501,MATCH($A1394,customer_churn_dataset!$A$2:$A$1501,0))</f>
        <v>1</v>
      </c>
      <c r="G1393" s="0" t="str">
        <f aca="false">IF(INDEX(customer_churn_dataset!$M$2:$M$1501,MATCH($A1394,customer_churn_dataset!$A$2:$A$1501,0))=1,"Yes","No")</f>
        <v>No</v>
      </c>
      <c r="H1393" s="0" t="n">
        <f aca="false">INDEX(customer_churn_dataset!$N$2:$N$1501,MATCH($A1394,customer_churn_dataset!$A$2:$A$1501,0))</f>
        <v>44.36</v>
      </c>
      <c r="I1393" s="0" t="n">
        <f aca="false">INDEX(customer_churn_dataset!$O$2:$O$1501,MATCH($A1394,customer_churn_dataset!$A$2:$A$1501,0))</f>
        <v>0</v>
      </c>
      <c r="J1393" s="0" t="n">
        <f aca="false">INDEX(customer_churn_dataset!$T$2:$T$1501,MATCH($A1394,customer_churn_dataset!$A$2:$A$1501,0))</f>
        <v>3</v>
      </c>
      <c r="K1393" s="0" t="str">
        <f aca="false">INDEX(customer_churn_dataset!$V$2:$V$1501,MATCH($A1394,customer_churn_dataset!$A$2:$A$1501,0))</f>
        <v>Medium Risk</v>
      </c>
    </row>
    <row r="1394" customFormat="false" ht="12.8" hidden="true" customHeight="false" outlineLevel="0" collapsed="false">
      <c r="A1394" s="22" t="str">
        <f aca="false">customer_churn_dataset!A403</f>
        <v>CUST100768</v>
      </c>
      <c r="B1394" s="22" t="str">
        <f aca="false">customer_churn_dataset!B403</f>
        <v>Basic</v>
      </c>
      <c r="C1394" s="22" t="str">
        <f aca="false">customer_churn_dataset!C403</f>
        <v>One year</v>
      </c>
      <c r="D1394" s="0" t="n">
        <f aca="false">INDEX(customer_churn_dataset!$E$2:$E$1501,MATCH($A1395,customer_churn_dataset!$A$2:$A$1501,0))</f>
        <v>10</v>
      </c>
      <c r="E1394" s="0" t="n">
        <f aca="false">INDEX(customer_churn_dataset!$I$2:$I$1501,MATCH($A1395,customer_churn_dataset!$A$2:$A$1501,0))</f>
        <v>60.6</v>
      </c>
      <c r="F1394" s="0" t="n">
        <f aca="false">INDEX(customer_churn_dataset!$L$2:$L$1501,MATCH($A1395,customer_churn_dataset!$A$2:$A$1501,0))</f>
        <v>3</v>
      </c>
      <c r="G1394" s="0" t="str">
        <f aca="false">IF(INDEX(customer_churn_dataset!$M$2:$M$1501,MATCH($A1395,customer_churn_dataset!$A$2:$A$1501,0))=1,"Yes","No")</f>
        <v>No</v>
      </c>
      <c r="H1394" s="0" t="n">
        <f aca="false">INDEX(customer_churn_dataset!$N$2:$N$1501,MATCH($A1395,customer_churn_dataset!$A$2:$A$1501,0))</f>
        <v>200.1</v>
      </c>
      <c r="I1394" s="0" t="n">
        <f aca="false">INDEX(customer_churn_dataset!$O$2:$O$1501,MATCH($A1395,customer_churn_dataset!$A$2:$A$1501,0))</f>
        <v>1</v>
      </c>
      <c r="J1394" s="0" t="n">
        <f aca="false">INDEX(customer_churn_dataset!$T$2:$T$1501,MATCH($A1395,customer_churn_dataset!$A$2:$A$1501,0))</f>
        <v>4</v>
      </c>
      <c r="K1394" s="0" t="str">
        <f aca="false">INDEX(customer_churn_dataset!$V$2:$V$1501,MATCH($A1395,customer_churn_dataset!$A$2:$A$1501,0))</f>
        <v>Medium Risk</v>
      </c>
    </row>
    <row r="1395" customFormat="false" ht="12.8" hidden="true" customHeight="false" outlineLevel="0" collapsed="false">
      <c r="A1395" s="22" t="str">
        <f aca="false">customer_churn_dataset!A414</f>
        <v>CUST101037</v>
      </c>
      <c r="B1395" s="22" t="str">
        <f aca="false">customer_churn_dataset!B414</f>
        <v>Standard</v>
      </c>
      <c r="C1395" s="22" t="str">
        <f aca="false">customer_churn_dataset!C414</f>
        <v>Month-to-month</v>
      </c>
      <c r="D1395" s="0" t="n">
        <f aca="false">INDEX(customer_churn_dataset!$E$2:$E$1501,MATCH($A1396,customer_churn_dataset!$A$2:$A$1501,0))</f>
        <v>23</v>
      </c>
      <c r="E1395" s="0" t="n">
        <f aca="false">INDEX(customer_churn_dataset!$I$2:$I$1501,MATCH($A1396,customer_churn_dataset!$A$2:$A$1501,0))</f>
        <v>45.8</v>
      </c>
      <c r="F1395" s="0" t="n">
        <f aca="false">INDEX(customer_churn_dataset!$L$2:$L$1501,MATCH($A1396,customer_churn_dataset!$A$2:$A$1501,0))</f>
        <v>6</v>
      </c>
      <c r="G1395" s="0" t="str">
        <f aca="false">IF(INDEX(customer_churn_dataset!$M$2:$M$1501,MATCH($A1396,customer_churn_dataset!$A$2:$A$1501,0))=1,"Yes","No")</f>
        <v>Yes</v>
      </c>
      <c r="H1395" s="0" t="n">
        <f aca="false">INDEX(customer_churn_dataset!$N$2:$N$1501,MATCH($A1396,customer_churn_dataset!$A$2:$A$1501,0))</f>
        <v>478.63</v>
      </c>
      <c r="I1395" s="0" t="n">
        <f aca="false">INDEX(customer_churn_dataset!$O$2:$O$1501,MATCH($A1396,customer_churn_dataset!$A$2:$A$1501,0))</f>
        <v>0</v>
      </c>
      <c r="J1395" s="0" t="n">
        <f aca="false">INDEX(customer_churn_dataset!$T$2:$T$1501,MATCH($A1396,customer_churn_dataset!$A$2:$A$1501,0))</f>
        <v>6</v>
      </c>
      <c r="K1395" s="0" t="str">
        <f aca="false">INDEX(customer_churn_dataset!$V$2:$V$1501,MATCH($A1396,customer_churn_dataset!$A$2:$A$1501,0))</f>
        <v>High Risk</v>
      </c>
    </row>
    <row r="1396" customFormat="false" ht="12.8" hidden="true" customHeight="false" outlineLevel="0" collapsed="false">
      <c r="A1396" s="22" t="str">
        <f aca="false">customer_churn_dataset!A416</f>
        <v>CUST101250</v>
      </c>
      <c r="B1396" s="22" t="str">
        <f aca="false">customer_churn_dataset!B416</f>
        <v>Standard</v>
      </c>
      <c r="C1396" s="22" t="str">
        <f aca="false">customer_churn_dataset!C416</f>
        <v>One year</v>
      </c>
      <c r="D1396" s="0" t="n">
        <f aca="false">INDEX(customer_churn_dataset!$E$2:$E$1501,MATCH($A1397,customer_churn_dataset!$A$2:$A$1501,0))</f>
        <v>10</v>
      </c>
      <c r="E1396" s="0" t="n">
        <f aca="false">INDEX(customer_churn_dataset!$I$2:$I$1501,MATCH($A1397,customer_churn_dataset!$A$2:$A$1501,0))</f>
        <v>72.3</v>
      </c>
      <c r="F1396" s="0" t="n">
        <f aca="false">INDEX(customer_churn_dataset!$L$2:$L$1501,MATCH($A1397,customer_churn_dataset!$A$2:$A$1501,0))</f>
        <v>1</v>
      </c>
      <c r="G1396" s="0" t="str">
        <f aca="false">IF(INDEX(customer_churn_dataset!$M$2:$M$1501,MATCH($A1397,customer_churn_dataset!$A$2:$A$1501,0))=1,"Yes","No")</f>
        <v>No</v>
      </c>
      <c r="H1396" s="0" t="n">
        <f aca="false">INDEX(customer_churn_dataset!$N$2:$N$1501,MATCH($A1397,customer_churn_dataset!$A$2:$A$1501,0))</f>
        <v>101.5</v>
      </c>
      <c r="I1396" s="0" t="n">
        <f aca="false">INDEX(customer_churn_dataset!$O$2:$O$1501,MATCH($A1397,customer_churn_dataset!$A$2:$A$1501,0))</f>
        <v>0</v>
      </c>
      <c r="J1396" s="0" t="n">
        <f aca="false">INDEX(customer_churn_dataset!$T$2:$T$1501,MATCH($A1397,customer_churn_dataset!$A$2:$A$1501,0))</f>
        <v>2</v>
      </c>
      <c r="K1396" s="0" t="str">
        <f aca="false">INDEX(customer_churn_dataset!$V$2:$V$1501,MATCH($A1397,customer_churn_dataset!$A$2:$A$1501,0))</f>
        <v>Low Risk</v>
      </c>
    </row>
    <row r="1397" customFormat="false" ht="12.8" hidden="true" customHeight="false" outlineLevel="0" collapsed="false">
      <c r="A1397" s="22" t="str">
        <f aca="false">customer_churn_dataset!A425</f>
        <v>CUST100889</v>
      </c>
      <c r="B1397" s="22" t="str">
        <f aca="false">customer_churn_dataset!B425</f>
        <v>Basic</v>
      </c>
      <c r="C1397" s="22" t="str">
        <f aca="false">customer_churn_dataset!C425</f>
        <v>One year</v>
      </c>
      <c r="D1397" s="0" t="n">
        <f aca="false">INDEX(customer_churn_dataset!$E$2:$E$1501,MATCH($A1398,customer_churn_dataset!$A$2:$A$1501,0))</f>
        <v>19</v>
      </c>
      <c r="E1397" s="0" t="n">
        <f aca="false">INDEX(customer_churn_dataset!$I$2:$I$1501,MATCH($A1398,customer_churn_dataset!$A$2:$A$1501,0))</f>
        <v>41.6</v>
      </c>
      <c r="F1397" s="0" t="n">
        <f aca="false">INDEX(customer_churn_dataset!$L$2:$L$1501,MATCH($A1398,customer_churn_dataset!$A$2:$A$1501,0))</f>
        <v>1</v>
      </c>
      <c r="G1397" s="0" t="str">
        <f aca="false">IF(INDEX(customer_churn_dataset!$M$2:$M$1501,MATCH($A1398,customer_churn_dataset!$A$2:$A$1501,0))=1,"Yes","No")</f>
        <v>No</v>
      </c>
      <c r="H1397" s="0" t="n">
        <f aca="false">INDEX(customer_churn_dataset!$N$2:$N$1501,MATCH($A1398,customer_churn_dataset!$A$2:$A$1501,0))</f>
        <v>183.35</v>
      </c>
      <c r="I1397" s="0" t="n">
        <f aca="false">INDEX(customer_churn_dataset!$O$2:$O$1501,MATCH($A1398,customer_churn_dataset!$A$2:$A$1501,0))</f>
        <v>0</v>
      </c>
      <c r="J1397" s="0" t="n">
        <f aca="false">INDEX(customer_churn_dataset!$T$2:$T$1501,MATCH($A1398,customer_churn_dataset!$A$2:$A$1501,0))</f>
        <v>2</v>
      </c>
      <c r="K1397" s="0" t="str">
        <f aca="false">INDEX(customer_churn_dataset!$V$2:$V$1501,MATCH($A1398,customer_churn_dataset!$A$2:$A$1501,0))</f>
        <v>Low Risk</v>
      </c>
    </row>
    <row r="1398" customFormat="false" ht="12.8" hidden="false" customHeight="false" outlineLevel="0" collapsed="false">
      <c r="A1398" s="23" t="str">
        <f aca="false">customer_churn_dataset!A450</f>
        <v>CUST100783</v>
      </c>
      <c r="B1398" s="24" t="str">
        <f aca="false">customer_churn_dataset!B450</f>
        <v>Basic</v>
      </c>
      <c r="C1398" s="24" t="str">
        <f aca="false">customer_churn_dataset!C450</f>
        <v>One year</v>
      </c>
      <c r="D1398" s="25" t="n">
        <f aca="false">INDEX(customer_churn_dataset!$E$2:$E$1501,MATCH($A1399,customer_churn_dataset!$A$2:$A$1501,0))</f>
        <v>3</v>
      </c>
      <c r="E1398" s="25" t="n">
        <f aca="false">INDEX(customer_churn_dataset!$I$2:$I$1501,MATCH($A1399,customer_churn_dataset!$A$2:$A$1501,0))</f>
        <v>36.7</v>
      </c>
      <c r="F1398" s="25" t="n">
        <f aca="false">INDEX(customer_churn_dataset!$L$2:$L$1501,MATCH($A1399,customer_churn_dataset!$A$2:$A$1501,0))</f>
        <v>2</v>
      </c>
      <c r="G1398" s="25" t="str">
        <f aca="false">IF(INDEX(customer_churn_dataset!$M$2:$M$1501,MATCH($A1399,customer_churn_dataset!$A$2:$A$1501,0))=1,"Yes","No")</f>
        <v>Yes</v>
      </c>
      <c r="H1398" s="25" t="n">
        <f aca="false">INDEX(customer_churn_dataset!$N$2:$N$1501,MATCH($A1399,customer_churn_dataset!$A$2:$A$1501,0))</f>
        <v>59.01</v>
      </c>
      <c r="I1398" s="25" t="n">
        <f aca="false">INDEX(customer_churn_dataset!$O$2:$O$1501,MATCH($A1399,customer_churn_dataset!$A$2:$A$1501,0))</f>
        <v>1</v>
      </c>
      <c r="J1398" s="25" t="n">
        <f aca="false">INDEX(customer_churn_dataset!$T$2:$T$1501,MATCH($A1399,customer_churn_dataset!$A$2:$A$1501,0))</f>
        <v>9</v>
      </c>
      <c r="K1398" s="25" t="str">
        <f aca="false">INDEX(customer_churn_dataset!$V$2:$V$1501,MATCH($A1399,customer_churn_dataset!$A$2:$A$1501,0))</f>
        <v>High Risk</v>
      </c>
    </row>
    <row r="1399" customFormat="false" ht="12.8" hidden="true" customHeight="false" outlineLevel="0" collapsed="false">
      <c r="A1399" s="22" t="str">
        <f aca="false">customer_churn_dataset!A452</f>
        <v>CUST101150</v>
      </c>
      <c r="B1399" s="22" t="str">
        <f aca="false">customer_churn_dataset!B452</f>
        <v>Standard</v>
      </c>
      <c r="C1399" s="22" t="str">
        <f aca="false">customer_churn_dataset!C452</f>
        <v>Month-to-month</v>
      </c>
      <c r="D1399" s="0" t="n">
        <f aca="false">INDEX(customer_churn_dataset!$E$2:$E$1501,MATCH($A1400,customer_churn_dataset!$A$2:$A$1501,0))</f>
        <v>3</v>
      </c>
      <c r="E1399" s="0" t="n">
        <f aca="false">INDEX(customer_churn_dataset!$I$2:$I$1501,MATCH($A1400,customer_churn_dataset!$A$2:$A$1501,0))</f>
        <v>37.2</v>
      </c>
      <c r="F1399" s="0" t="n">
        <f aca="false">INDEX(customer_churn_dataset!$L$2:$L$1501,MATCH($A1400,customer_churn_dataset!$A$2:$A$1501,0))</f>
        <v>2</v>
      </c>
      <c r="G1399" s="0" t="str">
        <f aca="false">IF(INDEX(customer_churn_dataset!$M$2:$M$1501,MATCH($A1400,customer_churn_dataset!$A$2:$A$1501,0))=1,"Yes","No")</f>
        <v>No</v>
      </c>
      <c r="H1399" s="0" t="n">
        <f aca="false">INDEX(customer_churn_dataset!$N$2:$N$1501,MATCH($A1400,customer_churn_dataset!$A$2:$A$1501,0))</f>
        <v>58.74</v>
      </c>
      <c r="I1399" s="0" t="n">
        <f aca="false">INDEX(customer_churn_dataset!$O$2:$O$1501,MATCH($A1400,customer_churn_dataset!$A$2:$A$1501,0))</f>
        <v>0</v>
      </c>
      <c r="J1399" s="0" t="n">
        <f aca="false">INDEX(customer_churn_dataset!$T$2:$T$1501,MATCH($A1400,customer_churn_dataset!$A$2:$A$1501,0))</f>
        <v>5</v>
      </c>
      <c r="K1399" s="0" t="str">
        <f aca="false">INDEX(customer_churn_dataset!$V$2:$V$1501,MATCH($A1400,customer_churn_dataset!$A$2:$A$1501,0))</f>
        <v>Medium Risk</v>
      </c>
    </row>
    <row r="1400" customFormat="false" ht="12.8" hidden="true" customHeight="false" outlineLevel="0" collapsed="false">
      <c r="A1400" s="22" t="str">
        <f aca="false">customer_churn_dataset!A459</f>
        <v>CUST100709</v>
      </c>
      <c r="B1400" s="22" t="str">
        <f aca="false">customer_churn_dataset!B459</f>
        <v>Standard</v>
      </c>
      <c r="C1400" s="22" t="str">
        <f aca="false">customer_churn_dataset!C459</f>
        <v>One year</v>
      </c>
      <c r="D1400" s="0" t="n">
        <f aca="false">INDEX(customer_churn_dataset!$E$2:$E$1501,MATCH($A1401,customer_churn_dataset!$A$2:$A$1501,0))</f>
        <v>38</v>
      </c>
      <c r="E1400" s="0" t="n">
        <f aca="false">INDEX(customer_churn_dataset!$I$2:$I$1501,MATCH($A1401,customer_churn_dataset!$A$2:$A$1501,0))</f>
        <v>59.9</v>
      </c>
      <c r="F1400" s="0" t="n">
        <f aca="false">INDEX(customer_churn_dataset!$L$2:$L$1501,MATCH($A1401,customer_churn_dataset!$A$2:$A$1501,0))</f>
        <v>2</v>
      </c>
      <c r="G1400" s="0" t="str">
        <f aca="false">IF(INDEX(customer_churn_dataset!$M$2:$M$1501,MATCH($A1401,customer_churn_dataset!$A$2:$A$1501,0))=1,"Yes","No")</f>
        <v>No</v>
      </c>
      <c r="H1400" s="0" t="n">
        <f aca="false">INDEX(customer_churn_dataset!$N$2:$N$1501,MATCH($A1401,customer_churn_dataset!$A$2:$A$1501,0))</f>
        <v>1482.38</v>
      </c>
      <c r="I1400" s="0" t="n">
        <f aca="false">INDEX(customer_churn_dataset!$O$2:$O$1501,MATCH($A1401,customer_churn_dataset!$A$2:$A$1501,0))</f>
        <v>0</v>
      </c>
      <c r="J1400" s="0" t="n">
        <f aca="false">INDEX(customer_churn_dataset!$T$2:$T$1501,MATCH($A1401,customer_churn_dataset!$A$2:$A$1501,0))</f>
        <v>2</v>
      </c>
      <c r="K1400" s="0" t="str">
        <f aca="false">INDEX(customer_churn_dataset!$V$2:$V$1501,MATCH($A1401,customer_churn_dataset!$A$2:$A$1501,0))</f>
        <v>Low Risk</v>
      </c>
    </row>
    <row r="1401" customFormat="false" ht="12.8" hidden="true" customHeight="false" outlineLevel="0" collapsed="false">
      <c r="A1401" s="22" t="str">
        <f aca="false">customer_churn_dataset!A469</f>
        <v>CUST101123</v>
      </c>
      <c r="B1401" s="22" t="str">
        <f aca="false">customer_churn_dataset!B469</f>
        <v>Premium</v>
      </c>
      <c r="C1401" s="22" t="str">
        <f aca="false">customer_churn_dataset!C469</f>
        <v>One year</v>
      </c>
      <c r="D1401" s="0" t="n">
        <f aca="false">INDEX(customer_churn_dataset!$E$2:$E$1501,MATCH($A1402,customer_churn_dataset!$A$2:$A$1501,0))</f>
        <v>35</v>
      </c>
      <c r="E1401" s="0" t="n">
        <f aca="false">INDEX(customer_churn_dataset!$I$2:$I$1501,MATCH($A1402,customer_churn_dataset!$A$2:$A$1501,0))</f>
        <v>50.9</v>
      </c>
      <c r="F1401" s="0" t="n">
        <f aca="false">INDEX(customer_churn_dataset!$L$2:$L$1501,MATCH($A1402,customer_churn_dataset!$A$2:$A$1501,0))</f>
        <v>0</v>
      </c>
      <c r="G1401" s="0" t="str">
        <f aca="false">IF(INDEX(customer_churn_dataset!$M$2:$M$1501,MATCH($A1402,customer_churn_dataset!$A$2:$A$1501,0))=1,"Yes","No")</f>
        <v>No</v>
      </c>
      <c r="H1401" s="0" t="n">
        <f aca="false">INDEX(customer_churn_dataset!$N$2:$N$1501,MATCH($A1402,customer_churn_dataset!$A$2:$A$1501,0))</f>
        <v>1393.35</v>
      </c>
      <c r="I1401" s="0" t="n">
        <f aca="false">INDEX(customer_churn_dataset!$O$2:$O$1501,MATCH($A1402,customer_churn_dataset!$A$2:$A$1501,0))</f>
        <v>0</v>
      </c>
      <c r="J1401" s="0" t="n">
        <f aca="false">INDEX(customer_churn_dataset!$T$2:$T$1501,MATCH($A1402,customer_churn_dataset!$A$2:$A$1501,0))</f>
        <v>3</v>
      </c>
      <c r="K1401" s="0" t="str">
        <f aca="false">INDEX(customer_churn_dataset!$V$2:$V$1501,MATCH($A1402,customer_churn_dataset!$A$2:$A$1501,0))</f>
        <v>Medium Risk</v>
      </c>
    </row>
    <row r="1402" customFormat="false" ht="12.8" hidden="true" customHeight="false" outlineLevel="0" collapsed="false">
      <c r="A1402" s="22" t="str">
        <f aca="false">customer_churn_dataset!A479</f>
        <v>CUST101022</v>
      </c>
      <c r="B1402" s="22" t="str">
        <f aca="false">customer_churn_dataset!B479</f>
        <v>Premium</v>
      </c>
      <c r="C1402" s="22" t="str">
        <f aca="false">customer_churn_dataset!C479</f>
        <v>Month-to-month</v>
      </c>
      <c r="D1402" s="0" t="n">
        <f aca="false">INDEX(customer_churn_dataset!$E$2:$E$1501,MATCH($A1403,customer_churn_dataset!$A$2:$A$1501,0))</f>
        <v>9</v>
      </c>
      <c r="E1402" s="0" t="n">
        <f aca="false">INDEX(customer_churn_dataset!$I$2:$I$1501,MATCH($A1403,customer_churn_dataset!$A$2:$A$1501,0))</f>
        <v>61.1</v>
      </c>
      <c r="F1402" s="0" t="n">
        <f aca="false">INDEX(customer_churn_dataset!$L$2:$L$1501,MATCH($A1403,customer_churn_dataset!$A$2:$A$1501,0))</f>
        <v>2</v>
      </c>
      <c r="G1402" s="0" t="str">
        <f aca="false">IF(INDEX(customer_churn_dataset!$M$2:$M$1501,MATCH($A1403,customer_churn_dataset!$A$2:$A$1501,0))=1,"Yes","No")</f>
        <v>No</v>
      </c>
      <c r="H1402" s="0" t="n">
        <f aca="false">INDEX(customer_churn_dataset!$N$2:$N$1501,MATCH($A1403,customer_churn_dataset!$A$2:$A$1501,0))</f>
        <v>171.81</v>
      </c>
      <c r="I1402" s="0" t="n">
        <f aca="false">INDEX(customer_churn_dataset!$O$2:$O$1501,MATCH($A1403,customer_churn_dataset!$A$2:$A$1501,0))</f>
        <v>1</v>
      </c>
      <c r="J1402" s="0" t="n">
        <f aca="false">INDEX(customer_churn_dataset!$T$2:$T$1501,MATCH($A1403,customer_churn_dataset!$A$2:$A$1501,0))</f>
        <v>4</v>
      </c>
      <c r="K1402" s="0" t="str">
        <f aca="false">INDEX(customer_churn_dataset!$V$2:$V$1501,MATCH($A1403,customer_churn_dataset!$A$2:$A$1501,0))</f>
        <v>Medium Risk</v>
      </c>
    </row>
    <row r="1403" customFormat="false" ht="12.8" hidden="true" customHeight="false" outlineLevel="0" collapsed="false">
      <c r="A1403" s="22" t="str">
        <f aca="false">customer_churn_dataset!A497</f>
        <v>CUST101404</v>
      </c>
      <c r="B1403" s="22" t="str">
        <f aca="false">customer_churn_dataset!B497</f>
        <v>Standard</v>
      </c>
      <c r="C1403" s="22" t="str">
        <f aca="false">customer_churn_dataset!C497</f>
        <v>Month-to-month</v>
      </c>
      <c r="D1403" s="0" t="n">
        <f aca="false">INDEX(customer_churn_dataset!$E$2:$E$1501,MATCH($A1404,customer_churn_dataset!$A$2:$A$1501,0))</f>
        <v>2</v>
      </c>
      <c r="E1403" s="0" t="n">
        <f aca="false">INDEX(customer_churn_dataset!$I$2:$I$1501,MATCH($A1404,customer_churn_dataset!$A$2:$A$1501,0))</f>
        <v>83.9</v>
      </c>
      <c r="F1403" s="0" t="n">
        <f aca="false">INDEX(customer_churn_dataset!$L$2:$L$1501,MATCH($A1404,customer_churn_dataset!$A$2:$A$1501,0))</f>
        <v>1</v>
      </c>
      <c r="G1403" s="0" t="str">
        <f aca="false">IF(INDEX(customer_churn_dataset!$M$2:$M$1501,MATCH($A1404,customer_churn_dataset!$A$2:$A$1501,0))=1,"Yes","No")</f>
        <v>No</v>
      </c>
      <c r="H1403" s="0" t="n">
        <f aca="false">INDEX(customer_churn_dataset!$N$2:$N$1501,MATCH($A1404,customer_churn_dataset!$A$2:$A$1501,0))</f>
        <v>18.24</v>
      </c>
      <c r="I1403" s="0" t="n">
        <f aca="false">INDEX(customer_churn_dataset!$O$2:$O$1501,MATCH($A1404,customer_churn_dataset!$A$2:$A$1501,0))</f>
        <v>0</v>
      </c>
      <c r="J1403" s="0" t="n">
        <f aca="false">INDEX(customer_churn_dataset!$T$2:$T$1501,MATCH($A1404,customer_churn_dataset!$A$2:$A$1501,0))</f>
        <v>3</v>
      </c>
      <c r="K1403" s="0" t="str">
        <f aca="false">INDEX(customer_churn_dataset!$V$2:$V$1501,MATCH($A1404,customer_churn_dataset!$A$2:$A$1501,0))</f>
        <v>Medium Risk</v>
      </c>
    </row>
    <row r="1404" customFormat="false" ht="12.8" hidden="true" customHeight="false" outlineLevel="0" collapsed="false">
      <c r="A1404" s="22" t="str">
        <f aca="false">customer_churn_dataset!A515</f>
        <v>CUST101394</v>
      </c>
      <c r="B1404" s="22" t="str">
        <f aca="false">customer_churn_dataset!B515</f>
        <v>Basic</v>
      </c>
      <c r="C1404" s="22" t="str">
        <f aca="false">customer_churn_dataset!C515</f>
        <v>Month-to-month</v>
      </c>
      <c r="D1404" s="0" t="n">
        <f aca="false">INDEX(customer_churn_dataset!$E$2:$E$1501,MATCH($A1405,customer_churn_dataset!$A$2:$A$1501,0))</f>
        <v>28</v>
      </c>
      <c r="E1404" s="0" t="n">
        <f aca="false">INDEX(customer_churn_dataset!$I$2:$I$1501,MATCH($A1405,customer_churn_dataset!$A$2:$A$1501,0))</f>
        <v>47.2</v>
      </c>
      <c r="F1404" s="0" t="n">
        <f aca="false">INDEX(customer_churn_dataset!$L$2:$L$1501,MATCH($A1405,customer_churn_dataset!$A$2:$A$1501,0))</f>
        <v>1</v>
      </c>
      <c r="G1404" s="0" t="str">
        <f aca="false">IF(INDEX(customer_churn_dataset!$M$2:$M$1501,MATCH($A1405,customer_churn_dataset!$A$2:$A$1501,0))=1,"Yes","No")</f>
        <v>Yes</v>
      </c>
      <c r="H1404" s="0" t="n">
        <f aca="false">INDEX(customer_churn_dataset!$N$2:$N$1501,MATCH($A1405,customer_churn_dataset!$A$2:$A$1501,0))</f>
        <v>299.6</v>
      </c>
      <c r="I1404" s="0" t="n">
        <f aca="false">INDEX(customer_churn_dataset!$O$2:$O$1501,MATCH($A1405,customer_churn_dataset!$A$2:$A$1501,0))</f>
        <v>1</v>
      </c>
      <c r="J1404" s="0" t="n">
        <f aca="false">INDEX(customer_churn_dataset!$T$2:$T$1501,MATCH($A1405,customer_churn_dataset!$A$2:$A$1501,0))</f>
        <v>6</v>
      </c>
      <c r="K1404" s="0" t="str">
        <f aca="false">INDEX(customer_churn_dataset!$V$2:$V$1501,MATCH($A1405,customer_churn_dataset!$A$2:$A$1501,0))</f>
        <v>High Risk</v>
      </c>
    </row>
    <row r="1405" customFormat="false" ht="12.8" hidden="true" customHeight="false" outlineLevel="0" collapsed="false">
      <c r="A1405" s="22" t="str">
        <f aca="false">customer_churn_dataset!A517</f>
        <v>CUST100122</v>
      </c>
      <c r="B1405" s="22" t="str">
        <f aca="false">customer_churn_dataset!B517</f>
        <v>Basic</v>
      </c>
      <c r="C1405" s="22" t="str">
        <f aca="false">customer_churn_dataset!C517</f>
        <v>Month-to-month</v>
      </c>
      <c r="D1405" s="0" t="n">
        <f aca="false">INDEX(customer_churn_dataset!$E$2:$E$1501,MATCH($A1406,customer_churn_dataset!$A$2:$A$1501,0))</f>
        <v>58</v>
      </c>
      <c r="E1405" s="0" t="n">
        <f aca="false">INDEX(customer_churn_dataset!$I$2:$I$1501,MATCH($A1406,customer_churn_dataset!$A$2:$A$1501,0))</f>
        <v>54.2</v>
      </c>
      <c r="F1405" s="0" t="n">
        <f aca="false">INDEX(customer_churn_dataset!$L$2:$L$1501,MATCH($A1406,customer_churn_dataset!$A$2:$A$1501,0))</f>
        <v>1</v>
      </c>
      <c r="G1405" s="0" t="str">
        <f aca="false">IF(INDEX(customer_churn_dataset!$M$2:$M$1501,MATCH($A1406,customer_churn_dataset!$A$2:$A$1501,0))=1,"Yes","No")</f>
        <v>Yes</v>
      </c>
      <c r="H1405" s="0" t="n">
        <f aca="false">INDEX(customer_churn_dataset!$N$2:$N$1501,MATCH($A1406,customer_churn_dataset!$A$2:$A$1501,0))</f>
        <v>1057.34</v>
      </c>
      <c r="I1405" s="0" t="n">
        <f aca="false">INDEX(customer_churn_dataset!$O$2:$O$1501,MATCH($A1406,customer_churn_dataset!$A$2:$A$1501,0))</f>
        <v>0</v>
      </c>
      <c r="J1405" s="0" t="n">
        <f aca="false">INDEX(customer_churn_dataset!$T$2:$T$1501,MATCH($A1406,customer_churn_dataset!$A$2:$A$1501,0))</f>
        <v>6</v>
      </c>
      <c r="K1405" s="0" t="str">
        <f aca="false">INDEX(customer_churn_dataset!$V$2:$V$1501,MATCH($A1406,customer_churn_dataset!$A$2:$A$1501,0))</f>
        <v>High Risk</v>
      </c>
    </row>
    <row r="1406" customFormat="false" ht="12.8" hidden="true" customHeight="false" outlineLevel="0" collapsed="false">
      <c r="A1406" s="22" t="str">
        <f aca="false">customer_churn_dataset!A520</f>
        <v>CUST100327</v>
      </c>
      <c r="B1406" s="22" t="str">
        <f aca="false">customer_churn_dataset!B520</f>
        <v>Standard</v>
      </c>
      <c r="C1406" s="22" t="str">
        <f aca="false">customer_churn_dataset!C520</f>
        <v>Month-to-month</v>
      </c>
      <c r="D1406" s="0" t="n">
        <f aca="false">INDEX(customer_churn_dataset!$E$2:$E$1501,MATCH($A1407,customer_churn_dataset!$A$2:$A$1501,0))</f>
        <v>8</v>
      </c>
      <c r="E1406" s="0" t="n">
        <f aca="false">INDEX(customer_churn_dataset!$I$2:$I$1501,MATCH($A1407,customer_churn_dataset!$A$2:$A$1501,0))</f>
        <v>44.7</v>
      </c>
      <c r="F1406" s="0" t="n">
        <f aca="false">INDEX(customer_churn_dataset!$L$2:$L$1501,MATCH($A1407,customer_churn_dataset!$A$2:$A$1501,0))</f>
        <v>0</v>
      </c>
      <c r="G1406" s="0" t="str">
        <f aca="false">IF(INDEX(customer_churn_dataset!$M$2:$M$1501,MATCH($A1407,customer_churn_dataset!$A$2:$A$1501,0))=1,"Yes","No")</f>
        <v>No</v>
      </c>
      <c r="H1406" s="0" t="n">
        <f aca="false">INDEX(customer_churn_dataset!$N$2:$N$1501,MATCH($A1407,customer_churn_dataset!$A$2:$A$1501,0))</f>
        <v>323.44</v>
      </c>
      <c r="I1406" s="0" t="n">
        <f aca="false">INDEX(customer_churn_dataset!$O$2:$O$1501,MATCH($A1407,customer_churn_dataset!$A$2:$A$1501,0))</f>
        <v>0</v>
      </c>
      <c r="J1406" s="0" t="n">
        <f aca="false">INDEX(customer_churn_dataset!$T$2:$T$1501,MATCH($A1407,customer_churn_dataset!$A$2:$A$1501,0))</f>
        <v>4</v>
      </c>
      <c r="K1406" s="0" t="str">
        <f aca="false">INDEX(customer_churn_dataset!$V$2:$V$1501,MATCH($A1407,customer_churn_dataset!$A$2:$A$1501,0))</f>
        <v>Medium Risk</v>
      </c>
    </row>
    <row r="1407" customFormat="false" ht="12.8" hidden="true" customHeight="false" outlineLevel="0" collapsed="false">
      <c r="A1407" s="22" t="str">
        <f aca="false">customer_churn_dataset!A531</f>
        <v>CUST100182</v>
      </c>
      <c r="B1407" s="22" t="str">
        <f aca="false">customer_churn_dataset!B531</f>
        <v>Premium</v>
      </c>
      <c r="C1407" s="22" t="str">
        <f aca="false">customer_churn_dataset!C531</f>
        <v>Month-to-month</v>
      </c>
      <c r="D1407" s="0" t="n">
        <f aca="false">INDEX(customer_churn_dataset!$E$2:$E$1501,MATCH($A1408,customer_churn_dataset!$A$2:$A$1501,0))</f>
        <v>30</v>
      </c>
      <c r="E1407" s="0" t="n">
        <f aca="false">INDEX(customer_churn_dataset!$I$2:$I$1501,MATCH($A1408,customer_churn_dataset!$A$2:$A$1501,0))</f>
        <v>54.2</v>
      </c>
      <c r="F1407" s="0" t="n">
        <f aca="false">INDEX(customer_churn_dataset!$L$2:$L$1501,MATCH($A1408,customer_churn_dataset!$A$2:$A$1501,0))</f>
        <v>1</v>
      </c>
      <c r="G1407" s="0" t="str">
        <f aca="false">IF(INDEX(customer_churn_dataset!$M$2:$M$1501,MATCH($A1408,customer_churn_dataset!$A$2:$A$1501,0))=1,"Yes","No")</f>
        <v>No</v>
      </c>
      <c r="H1407" s="0" t="n">
        <f aca="false">INDEX(customer_churn_dataset!$N$2:$N$1501,MATCH($A1408,customer_churn_dataset!$A$2:$A$1501,0))</f>
        <v>585.3</v>
      </c>
      <c r="I1407" s="0" t="n">
        <f aca="false">INDEX(customer_churn_dataset!$O$2:$O$1501,MATCH($A1408,customer_churn_dataset!$A$2:$A$1501,0))</f>
        <v>0</v>
      </c>
      <c r="J1407" s="0" t="n">
        <f aca="false">INDEX(customer_churn_dataset!$T$2:$T$1501,MATCH($A1408,customer_churn_dataset!$A$2:$A$1501,0))</f>
        <v>3</v>
      </c>
      <c r="K1407" s="0" t="str">
        <f aca="false">INDEX(customer_churn_dataset!$V$2:$V$1501,MATCH($A1408,customer_churn_dataset!$A$2:$A$1501,0))</f>
        <v>Medium Risk</v>
      </c>
    </row>
    <row r="1408" customFormat="false" ht="12.8" hidden="true" customHeight="false" outlineLevel="0" collapsed="false">
      <c r="A1408" s="22" t="str">
        <f aca="false">customer_churn_dataset!A536</f>
        <v>CUST101469</v>
      </c>
      <c r="B1408" s="22" t="str">
        <f aca="false">customer_churn_dataset!B536</f>
        <v>Standard</v>
      </c>
      <c r="C1408" s="22" t="str">
        <f aca="false">customer_churn_dataset!C536</f>
        <v>Month-to-month</v>
      </c>
      <c r="D1408" s="0" t="n">
        <f aca="false">INDEX(customer_churn_dataset!$E$2:$E$1501,MATCH($A1409,customer_churn_dataset!$A$2:$A$1501,0))</f>
        <v>6</v>
      </c>
      <c r="E1408" s="0" t="n">
        <f aca="false">INDEX(customer_churn_dataset!$I$2:$I$1501,MATCH($A1409,customer_churn_dataset!$A$2:$A$1501,0))</f>
        <v>78.1</v>
      </c>
      <c r="F1408" s="0" t="n">
        <f aca="false">INDEX(customer_churn_dataset!$L$2:$L$1501,MATCH($A1409,customer_churn_dataset!$A$2:$A$1501,0))</f>
        <v>1</v>
      </c>
      <c r="G1408" s="0" t="str">
        <f aca="false">IF(INDEX(customer_churn_dataset!$M$2:$M$1501,MATCH($A1409,customer_churn_dataset!$A$2:$A$1501,0))=1,"Yes","No")</f>
        <v>No</v>
      </c>
      <c r="H1408" s="0" t="n">
        <f aca="false">INDEX(customer_churn_dataset!$N$2:$N$1501,MATCH($A1409,customer_churn_dataset!$A$2:$A$1501,0))</f>
        <v>122.76</v>
      </c>
      <c r="I1408" s="0" t="n">
        <f aca="false">INDEX(customer_churn_dataset!$O$2:$O$1501,MATCH($A1409,customer_churn_dataset!$A$2:$A$1501,0))</f>
        <v>0</v>
      </c>
      <c r="J1408" s="0" t="n">
        <f aca="false">INDEX(customer_churn_dataset!$T$2:$T$1501,MATCH($A1409,customer_churn_dataset!$A$2:$A$1501,0))</f>
        <v>3</v>
      </c>
      <c r="K1408" s="0" t="str">
        <f aca="false">INDEX(customer_churn_dataset!$V$2:$V$1501,MATCH($A1409,customer_churn_dataset!$A$2:$A$1501,0))</f>
        <v>Medium Risk</v>
      </c>
    </row>
    <row r="1409" customFormat="false" ht="12.8" hidden="true" customHeight="false" outlineLevel="0" collapsed="false">
      <c r="A1409" s="22" t="str">
        <f aca="false">customer_churn_dataset!A551</f>
        <v>CUST101009</v>
      </c>
      <c r="B1409" s="22" t="str">
        <f aca="false">customer_churn_dataset!B551</f>
        <v>Standard</v>
      </c>
      <c r="C1409" s="22" t="str">
        <f aca="false">customer_churn_dataset!C551</f>
        <v>Month-to-month</v>
      </c>
      <c r="D1409" s="0" t="n">
        <f aca="false">INDEX(customer_churn_dataset!$E$2:$E$1501,MATCH($A1410,customer_churn_dataset!$A$2:$A$1501,0))</f>
        <v>19</v>
      </c>
      <c r="E1409" s="0" t="n">
        <f aca="false">INDEX(customer_churn_dataset!$I$2:$I$1501,MATCH($A1410,customer_churn_dataset!$A$2:$A$1501,0))</f>
        <v>88</v>
      </c>
      <c r="F1409" s="0" t="n">
        <f aca="false">INDEX(customer_churn_dataset!$L$2:$L$1501,MATCH($A1410,customer_churn_dataset!$A$2:$A$1501,0))</f>
        <v>1</v>
      </c>
      <c r="G1409" s="0" t="str">
        <f aca="false">IF(INDEX(customer_churn_dataset!$M$2:$M$1501,MATCH($A1410,customer_churn_dataset!$A$2:$A$1501,0))=1,"Yes","No")</f>
        <v>Yes</v>
      </c>
      <c r="H1409" s="0" t="n">
        <f aca="false">INDEX(customer_churn_dataset!$N$2:$N$1501,MATCH($A1410,customer_churn_dataset!$A$2:$A$1501,0))</f>
        <v>766.84</v>
      </c>
      <c r="I1409" s="0" t="n">
        <f aca="false">INDEX(customer_churn_dataset!$O$2:$O$1501,MATCH($A1410,customer_churn_dataset!$A$2:$A$1501,0))</f>
        <v>0</v>
      </c>
      <c r="J1409" s="0" t="n">
        <f aca="false">INDEX(customer_churn_dataset!$T$2:$T$1501,MATCH($A1410,customer_churn_dataset!$A$2:$A$1501,0))</f>
        <v>5</v>
      </c>
      <c r="K1409" s="0" t="str">
        <f aca="false">INDEX(customer_churn_dataset!$V$2:$V$1501,MATCH($A1410,customer_churn_dataset!$A$2:$A$1501,0))</f>
        <v>Medium Risk</v>
      </c>
    </row>
    <row r="1410" customFormat="false" ht="12.8" hidden="true" customHeight="false" outlineLevel="0" collapsed="false">
      <c r="A1410" s="22" t="str">
        <f aca="false">customer_churn_dataset!A562</f>
        <v>CUST100568</v>
      </c>
      <c r="B1410" s="22" t="str">
        <f aca="false">customer_churn_dataset!B562</f>
        <v>Premium</v>
      </c>
      <c r="C1410" s="22" t="str">
        <f aca="false">customer_churn_dataset!C562</f>
        <v>Month-to-month</v>
      </c>
      <c r="D1410" s="0" t="n">
        <f aca="false">INDEX(customer_churn_dataset!$E$2:$E$1501,MATCH($A1411,customer_churn_dataset!$A$2:$A$1501,0))</f>
        <v>3</v>
      </c>
      <c r="E1410" s="0" t="n">
        <f aca="false">INDEX(customer_churn_dataset!$I$2:$I$1501,MATCH($A1411,customer_churn_dataset!$A$2:$A$1501,0))</f>
        <v>58.3</v>
      </c>
      <c r="F1410" s="0" t="n">
        <f aca="false">INDEX(customer_churn_dataset!$L$2:$L$1501,MATCH($A1411,customer_churn_dataset!$A$2:$A$1501,0))</f>
        <v>0</v>
      </c>
      <c r="G1410" s="0" t="str">
        <f aca="false">IF(INDEX(customer_churn_dataset!$M$2:$M$1501,MATCH($A1411,customer_churn_dataset!$A$2:$A$1501,0))=1,"Yes","No")</f>
        <v>No</v>
      </c>
      <c r="H1410" s="0" t="n">
        <f aca="false">INDEX(customer_churn_dataset!$N$2:$N$1501,MATCH($A1411,customer_churn_dataset!$A$2:$A$1501,0))</f>
        <v>33.69</v>
      </c>
      <c r="I1410" s="0" t="n">
        <f aca="false">INDEX(customer_churn_dataset!$O$2:$O$1501,MATCH($A1411,customer_churn_dataset!$A$2:$A$1501,0))</f>
        <v>0</v>
      </c>
      <c r="J1410" s="0" t="n">
        <f aca="false">INDEX(customer_churn_dataset!$T$2:$T$1501,MATCH($A1411,customer_churn_dataset!$A$2:$A$1501,0))</f>
        <v>3</v>
      </c>
      <c r="K1410" s="0" t="str">
        <f aca="false">INDEX(customer_churn_dataset!$V$2:$V$1501,MATCH($A1411,customer_churn_dataset!$A$2:$A$1501,0))</f>
        <v>Medium Risk</v>
      </c>
    </row>
    <row r="1411" customFormat="false" ht="12.8" hidden="true" customHeight="false" outlineLevel="0" collapsed="false">
      <c r="A1411" s="22" t="str">
        <f aca="false">customer_churn_dataset!A569</f>
        <v>CUST100911</v>
      </c>
      <c r="B1411" s="22" t="str">
        <f aca="false">customer_churn_dataset!B569</f>
        <v>Basic</v>
      </c>
      <c r="C1411" s="22" t="str">
        <f aca="false">customer_churn_dataset!C569</f>
        <v>Month-to-month</v>
      </c>
      <c r="D1411" s="0" t="n">
        <f aca="false">INDEX(customer_churn_dataset!$E$2:$E$1501,MATCH($A1412,customer_churn_dataset!$A$2:$A$1501,0))</f>
        <v>3</v>
      </c>
      <c r="E1411" s="0" t="n">
        <f aca="false">INDEX(customer_churn_dataset!$I$2:$I$1501,MATCH($A1412,customer_churn_dataset!$A$2:$A$1501,0))</f>
        <v>68.3</v>
      </c>
      <c r="F1411" s="0" t="n">
        <f aca="false">INDEX(customer_churn_dataset!$L$2:$L$1501,MATCH($A1412,customer_churn_dataset!$A$2:$A$1501,0))</f>
        <v>0</v>
      </c>
      <c r="G1411" s="0" t="str">
        <f aca="false">IF(INDEX(customer_churn_dataset!$M$2:$M$1501,MATCH($A1412,customer_churn_dataset!$A$2:$A$1501,0))=1,"Yes","No")</f>
        <v>No</v>
      </c>
      <c r="H1411" s="0" t="n">
        <f aca="false">INDEX(customer_churn_dataset!$N$2:$N$1501,MATCH($A1412,customer_churn_dataset!$A$2:$A$1501,0))</f>
        <v>32.31</v>
      </c>
      <c r="I1411" s="0" t="n">
        <f aca="false">INDEX(customer_churn_dataset!$O$2:$O$1501,MATCH($A1412,customer_churn_dataset!$A$2:$A$1501,0))</f>
        <v>0</v>
      </c>
      <c r="J1411" s="0" t="n">
        <f aca="false">INDEX(customer_churn_dataset!$T$2:$T$1501,MATCH($A1412,customer_churn_dataset!$A$2:$A$1501,0))</f>
        <v>1</v>
      </c>
      <c r="K1411" s="0" t="str">
        <f aca="false">INDEX(customer_churn_dataset!$V$2:$V$1501,MATCH($A1412,customer_churn_dataset!$A$2:$A$1501,0))</f>
        <v>Low Risk</v>
      </c>
    </row>
    <row r="1412" customFormat="false" ht="12.8" hidden="true" customHeight="false" outlineLevel="0" collapsed="false">
      <c r="A1412" s="22" t="str">
        <f aca="false">customer_churn_dataset!A579</f>
        <v>CUST101161</v>
      </c>
      <c r="B1412" s="22" t="str">
        <f aca="false">customer_churn_dataset!B579</f>
        <v>Basic</v>
      </c>
      <c r="C1412" s="22" t="str">
        <f aca="false">customer_churn_dataset!C579</f>
        <v>Two year</v>
      </c>
      <c r="D1412" s="0" t="n">
        <f aca="false">INDEX(customer_churn_dataset!$E$2:$E$1501,MATCH($A1413,customer_churn_dataset!$A$2:$A$1501,0))</f>
        <v>20</v>
      </c>
      <c r="E1412" s="0" t="n">
        <f aca="false">INDEX(customer_churn_dataset!$I$2:$I$1501,MATCH($A1413,customer_churn_dataset!$A$2:$A$1501,0))</f>
        <v>64.1</v>
      </c>
      <c r="F1412" s="0" t="n">
        <f aca="false">INDEX(customer_churn_dataset!$L$2:$L$1501,MATCH($A1413,customer_churn_dataset!$A$2:$A$1501,0))</f>
        <v>1</v>
      </c>
      <c r="G1412" s="0" t="str">
        <f aca="false">IF(INDEX(customer_churn_dataset!$M$2:$M$1501,MATCH($A1413,customer_churn_dataset!$A$2:$A$1501,0))=1,"Yes","No")</f>
        <v>Yes</v>
      </c>
      <c r="H1412" s="0" t="n">
        <f aca="false">INDEX(customer_churn_dataset!$N$2:$N$1501,MATCH($A1413,customer_churn_dataset!$A$2:$A$1501,0))</f>
        <v>341.4</v>
      </c>
      <c r="I1412" s="0" t="n">
        <f aca="false">INDEX(customer_churn_dataset!$O$2:$O$1501,MATCH($A1413,customer_churn_dataset!$A$2:$A$1501,0))</f>
        <v>1</v>
      </c>
      <c r="J1412" s="0" t="n">
        <f aca="false">INDEX(customer_churn_dataset!$T$2:$T$1501,MATCH($A1413,customer_churn_dataset!$A$2:$A$1501,0))</f>
        <v>5</v>
      </c>
      <c r="K1412" s="0" t="str">
        <f aca="false">INDEX(customer_churn_dataset!$V$2:$V$1501,MATCH($A1413,customer_churn_dataset!$A$2:$A$1501,0))</f>
        <v>Medium Risk</v>
      </c>
    </row>
    <row r="1413" customFormat="false" ht="12.8" hidden="true" customHeight="false" outlineLevel="0" collapsed="false">
      <c r="A1413" s="22" t="str">
        <f aca="false">customer_churn_dataset!A584</f>
        <v>CUST100431</v>
      </c>
      <c r="B1413" s="22" t="str">
        <f aca="false">customer_churn_dataset!B584</f>
        <v>Standard</v>
      </c>
      <c r="C1413" s="22" t="str">
        <f aca="false">customer_churn_dataset!C584</f>
        <v>Month-to-month</v>
      </c>
      <c r="D1413" s="0" t="n">
        <f aca="false">INDEX(customer_churn_dataset!$E$2:$E$1501,MATCH($A1414,customer_churn_dataset!$A$2:$A$1501,0))</f>
        <v>1</v>
      </c>
      <c r="E1413" s="0" t="n">
        <f aca="false">INDEX(customer_churn_dataset!$I$2:$I$1501,MATCH($A1414,customer_churn_dataset!$A$2:$A$1501,0))</f>
        <v>71.5</v>
      </c>
      <c r="F1413" s="0" t="n">
        <f aca="false">INDEX(customer_churn_dataset!$L$2:$L$1501,MATCH($A1414,customer_churn_dataset!$A$2:$A$1501,0))</f>
        <v>0</v>
      </c>
      <c r="G1413" s="0" t="str">
        <f aca="false">IF(INDEX(customer_churn_dataset!$M$2:$M$1501,MATCH($A1414,customer_churn_dataset!$A$2:$A$1501,0))=1,"Yes","No")</f>
        <v>No</v>
      </c>
      <c r="H1413" s="0" t="n">
        <f aca="false">INDEX(customer_churn_dataset!$N$2:$N$1501,MATCH($A1414,customer_churn_dataset!$A$2:$A$1501,0))</f>
        <v>41.95</v>
      </c>
      <c r="I1413" s="0" t="n">
        <f aca="false">INDEX(customer_churn_dataset!$O$2:$O$1501,MATCH($A1414,customer_churn_dataset!$A$2:$A$1501,0))</f>
        <v>0</v>
      </c>
      <c r="J1413" s="0" t="n">
        <f aca="false">INDEX(customer_churn_dataset!$T$2:$T$1501,MATCH($A1414,customer_churn_dataset!$A$2:$A$1501,0))</f>
        <v>3</v>
      </c>
      <c r="K1413" s="0" t="str">
        <f aca="false">INDEX(customer_churn_dataset!$V$2:$V$1501,MATCH($A1414,customer_churn_dataset!$A$2:$A$1501,0))</f>
        <v>Medium Risk</v>
      </c>
    </row>
    <row r="1414" customFormat="false" ht="12.8" hidden="true" customHeight="false" outlineLevel="0" collapsed="false">
      <c r="A1414" s="22" t="str">
        <f aca="false">customer_churn_dataset!A591</f>
        <v>CUST100769</v>
      </c>
      <c r="B1414" s="22" t="str">
        <f aca="false">customer_churn_dataset!B591</f>
        <v>Premium</v>
      </c>
      <c r="C1414" s="22" t="str">
        <f aca="false">customer_churn_dataset!C591</f>
        <v>Month-to-month</v>
      </c>
      <c r="D1414" s="0" t="n">
        <f aca="false">INDEX(customer_churn_dataset!$E$2:$E$1501,MATCH($A1415,customer_churn_dataset!$A$2:$A$1501,0))</f>
        <v>32</v>
      </c>
      <c r="E1414" s="0" t="n">
        <f aca="false">INDEX(customer_churn_dataset!$I$2:$I$1501,MATCH($A1415,customer_churn_dataset!$A$2:$A$1501,0))</f>
        <v>43.2</v>
      </c>
      <c r="F1414" s="0" t="n">
        <f aca="false">INDEX(customer_churn_dataset!$L$2:$L$1501,MATCH($A1415,customer_churn_dataset!$A$2:$A$1501,0))</f>
        <v>1</v>
      </c>
      <c r="G1414" s="0" t="str">
        <f aca="false">IF(INDEX(customer_churn_dataset!$M$2:$M$1501,MATCH($A1415,customer_churn_dataset!$A$2:$A$1501,0))=1,"Yes","No")</f>
        <v>No</v>
      </c>
      <c r="H1414" s="0" t="n">
        <f aca="false">INDEX(customer_churn_dataset!$N$2:$N$1501,MATCH($A1415,customer_churn_dataset!$A$2:$A$1501,0))</f>
        <v>293.12</v>
      </c>
      <c r="I1414" s="0" t="n">
        <f aca="false">INDEX(customer_churn_dataset!$O$2:$O$1501,MATCH($A1415,customer_churn_dataset!$A$2:$A$1501,0))</f>
        <v>0</v>
      </c>
      <c r="J1414" s="0" t="n">
        <f aca="false">INDEX(customer_churn_dataset!$T$2:$T$1501,MATCH($A1415,customer_churn_dataset!$A$2:$A$1501,0))</f>
        <v>3</v>
      </c>
      <c r="K1414" s="0" t="str">
        <f aca="false">INDEX(customer_churn_dataset!$V$2:$V$1501,MATCH($A1415,customer_churn_dataset!$A$2:$A$1501,0))</f>
        <v>Medium Risk</v>
      </c>
    </row>
    <row r="1415" customFormat="false" ht="12.8" hidden="true" customHeight="false" outlineLevel="0" collapsed="false">
      <c r="A1415" s="22" t="str">
        <f aca="false">customer_churn_dataset!A594</f>
        <v>CUST100428</v>
      </c>
      <c r="B1415" s="22" t="str">
        <f aca="false">customer_churn_dataset!B594</f>
        <v>Basic</v>
      </c>
      <c r="C1415" s="22" t="str">
        <f aca="false">customer_churn_dataset!C594</f>
        <v>Month-to-month</v>
      </c>
      <c r="D1415" s="0" t="n">
        <f aca="false">INDEX(customer_churn_dataset!$E$2:$E$1501,MATCH($A1416,customer_churn_dataset!$A$2:$A$1501,0))</f>
        <v>13</v>
      </c>
      <c r="E1415" s="0" t="n">
        <f aca="false">INDEX(customer_churn_dataset!$I$2:$I$1501,MATCH($A1416,customer_churn_dataset!$A$2:$A$1501,0))</f>
        <v>74.2</v>
      </c>
      <c r="F1415" s="0" t="n">
        <f aca="false">INDEX(customer_churn_dataset!$L$2:$L$1501,MATCH($A1416,customer_churn_dataset!$A$2:$A$1501,0))</f>
        <v>0</v>
      </c>
      <c r="G1415" s="0" t="str">
        <f aca="false">IF(INDEX(customer_churn_dataset!$M$2:$M$1501,MATCH($A1416,customer_churn_dataset!$A$2:$A$1501,0))=1,"Yes","No")</f>
        <v>No</v>
      </c>
      <c r="H1415" s="0" t="n">
        <f aca="false">INDEX(customer_churn_dataset!$N$2:$N$1501,MATCH($A1416,customer_churn_dataset!$A$2:$A$1501,0))</f>
        <v>264.68</v>
      </c>
      <c r="I1415" s="0" t="n">
        <f aca="false">INDEX(customer_churn_dataset!$O$2:$O$1501,MATCH($A1416,customer_churn_dataset!$A$2:$A$1501,0))</f>
        <v>0</v>
      </c>
      <c r="J1415" s="0" t="n">
        <f aca="false">INDEX(customer_churn_dataset!$T$2:$T$1501,MATCH($A1416,customer_churn_dataset!$A$2:$A$1501,0))</f>
        <v>1</v>
      </c>
      <c r="K1415" s="0" t="str">
        <f aca="false">INDEX(customer_churn_dataset!$V$2:$V$1501,MATCH($A1416,customer_churn_dataset!$A$2:$A$1501,0))</f>
        <v>Low Risk</v>
      </c>
    </row>
    <row r="1416" customFormat="false" ht="12.8" hidden="true" customHeight="false" outlineLevel="0" collapsed="false">
      <c r="A1416" s="22" t="str">
        <f aca="false">customer_churn_dataset!A600</f>
        <v>CUST100743</v>
      </c>
      <c r="B1416" s="22" t="str">
        <f aca="false">customer_churn_dataset!B600</f>
        <v>Standard</v>
      </c>
      <c r="C1416" s="22" t="str">
        <f aca="false">customer_churn_dataset!C600</f>
        <v>One year</v>
      </c>
      <c r="D1416" s="0" t="n">
        <f aca="false">INDEX(customer_churn_dataset!$E$2:$E$1501,MATCH($A1417,customer_churn_dataset!$A$2:$A$1501,0))</f>
        <v>1</v>
      </c>
      <c r="E1416" s="0" t="n">
        <f aca="false">INDEX(customer_churn_dataset!$I$2:$I$1501,MATCH($A1417,customer_churn_dataset!$A$2:$A$1501,0))</f>
        <v>38.6</v>
      </c>
      <c r="F1416" s="0" t="n">
        <f aca="false">INDEX(customer_churn_dataset!$L$2:$L$1501,MATCH($A1417,customer_churn_dataset!$A$2:$A$1501,0))</f>
        <v>1</v>
      </c>
      <c r="G1416" s="0" t="str">
        <f aca="false">IF(INDEX(customer_churn_dataset!$M$2:$M$1501,MATCH($A1417,customer_churn_dataset!$A$2:$A$1501,0))=1,"Yes","No")</f>
        <v>Yes</v>
      </c>
      <c r="H1416" s="0" t="n">
        <f aca="false">INDEX(customer_churn_dataset!$N$2:$N$1501,MATCH($A1417,customer_churn_dataset!$A$2:$A$1501,0))</f>
        <v>19.5</v>
      </c>
      <c r="I1416" s="0" t="n">
        <f aca="false">INDEX(customer_churn_dataset!$O$2:$O$1501,MATCH($A1417,customer_churn_dataset!$A$2:$A$1501,0))</f>
        <v>0</v>
      </c>
      <c r="J1416" s="0" t="n">
        <f aca="false">INDEX(customer_churn_dataset!$T$2:$T$1501,MATCH($A1417,customer_churn_dataset!$A$2:$A$1501,0))</f>
        <v>7</v>
      </c>
      <c r="K1416" s="0" t="str">
        <f aca="false">INDEX(customer_churn_dataset!$V$2:$V$1501,MATCH($A1417,customer_churn_dataset!$A$2:$A$1501,0))</f>
        <v>High Risk</v>
      </c>
    </row>
    <row r="1417" customFormat="false" ht="12.8" hidden="true" customHeight="false" outlineLevel="0" collapsed="false">
      <c r="A1417" s="22" t="str">
        <f aca="false">customer_churn_dataset!A603</f>
        <v>CUST100221</v>
      </c>
      <c r="B1417" s="22" t="str">
        <f aca="false">customer_churn_dataset!B603</f>
        <v>Standard</v>
      </c>
      <c r="C1417" s="22" t="str">
        <f aca="false">customer_churn_dataset!C603</f>
        <v>One year</v>
      </c>
      <c r="D1417" s="0" t="n">
        <f aca="false">INDEX(customer_churn_dataset!$E$2:$E$1501,MATCH($A1418,customer_churn_dataset!$A$2:$A$1501,0))</f>
        <v>9</v>
      </c>
      <c r="E1417" s="0" t="n">
        <f aca="false">INDEX(customer_churn_dataset!$I$2:$I$1501,MATCH($A1418,customer_churn_dataset!$A$2:$A$1501,0))</f>
        <v>96.8</v>
      </c>
      <c r="F1417" s="0" t="n">
        <f aca="false">INDEX(customer_churn_dataset!$L$2:$L$1501,MATCH($A1418,customer_churn_dataset!$A$2:$A$1501,0))</f>
        <v>5</v>
      </c>
      <c r="G1417" s="0" t="str">
        <f aca="false">IF(INDEX(customer_churn_dataset!$M$2:$M$1501,MATCH($A1418,customer_churn_dataset!$A$2:$A$1501,0))=1,"Yes","No")</f>
        <v>No</v>
      </c>
      <c r="H1417" s="0" t="n">
        <f aca="false">INDEX(customer_churn_dataset!$N$2:$N$1501,MATCH($A1418,customer_churn_dataset!$A$2:$A$1501,0))</f>
        <v>89.64</v>
      </c>
      <c r="I1417" s="0" t="n">
        <f aca="false">INDEX(customer_churn_dataset!$O$2:$O$1501,MATCH($A1418,customer_churn_dataset!$A$2:$A$1501,0))</f>
        <v>0</v>
      </c>
      <c r="J1417" s="0" t="n">
        <f aca="false">INDEX(customer_churn_dataset!$T$2:$T$1501,MATCH($A1418,customer_churn_dataset!$A$2:$A$1501,0))</f>
        <v>4</v>
      </c>
      <c r="K1417" s="0" t="str">
        <f aca="false">INDEX(customer_churn_dataset!$V$2:$V$1501,MATCH($A1418,customer_churn_dataset!$A$2:$A$1501,0))</f>
        <v>Medium Risk</v>
      </c>
    </row>
    <row r="1418" customFormat="false" ht="12.8" hidden="true" customHeight="false" outlineLevel="0" collapsed="false">
      <c r="A1418" s="22" t="str">
        <f aca="false">customer_churn_dataset!A607</f>
        <v>CUST100787</v>
      </c>
      <c r="B1418" s="22" t="str">
        <f aca="false">customer_churn_dataset!B607</f>
        <v>Basic</v>
      </c>
      <c r="C1418" s="22" t="str">
        <f aca="false">customer_churn_dataset!C607</f>
        <v>Month-to-month</v>
      </c>
      <c r="D1418" s="0" t="n">
        <f aca="false">INDEX(customer_churn_dataset!$E$2:$E$1501,MATCH($A1419,customer_churn_dataset!$A$2:$A$1501,0))</f>
        <v>10</v>
      </c>
      <c r="E1418" s="0" t="n">
        <f aca="false">INDEX(customer_churn_dataset!$I$2:$I$1501,MATCH($A1419,customer_churn_dataset!$A$2:$A$1501,0))</f>
        <v>54.7</v>
      </c>
      <c r="F1418" s="0" t="n">
        <f aca="false">INDEX(customer_churn_dataset!$L$2:$L$1501,MATCH($A1419,customer_churn_dataset!$A$2:$A$1501,0))</f>
        <v>3</v>
      </c>
      <c r="G1418" s="0" t="str">
        <f aca="false">IF(INDEX(customer_churn_dataset!$M$2:$M$1501,MATCH($A1419,customer_churn_dataset!$A$2:$A$1501,0))=1,"Yes","No")</f>
        <v>No</v>
      </c>
      <c r="H1418" s="0" t="n">
        <f aca="false">INDEX(customer_churn_dataset!$N$2:$N$1501,MATCH($A1419,customer_churn_dataset!$A$2:$A$1501,0))</f>
        <v>77.7</v>
      </c>
      <c r="I1418" s="0" t="n">
        <f aca="false">INDEX(customer_churn_dataset!$O$2:$O$1501,MATCH($A1419,customer_churn_dataset!$A$2:$A$1501,0))</f>
        <v>0</v>
      </c>
      <c r="J1418" s="0" t="n">
        <f aca="false">INDEX(customer_churn_dataset!$T$2:$T$1501,MATCH($A1419,customer_churn_dataset!$A$2:$A$1501,0))</f>
        <v>5</v>
      </c>
      <c r="K1418" s="0" t="str">
        <f aca="false">INDEX(customer_churn_dataset!$V$2:$V$1501,MATCH($A1419,customer_churn_dataset!$A$2:$A$1501,0))</f>
        <v>Medium Risk</v>
      </c>
    </row>
    <row r="1419" customFormat="false" ht="12.8" hidden="true" customHeight="false" outlineLevel="0" collapsed="false">
      <c r="A1419" s="22" t="str">
        <f aca="false">customer_churn_dataset!A618</f>
        <v>CUST101357</v>
      </c>
      <c r="B1419" s="22" t="str">
        <f aca="false">customer_churn_dataset!B618</f>
        <v>Basic</v>
      </c>
      <c r="C1419" s="22" t="str">
        <f aca="false">customer_churn_dataset!C618</f>
        <v>Month-to-month</v>
      </c>
      <c r="D1419" s="0" t="n">
        <f aca="false">INDEX(customer_churn_dataset!$E$2:$E$1501,MATCH($A1420,customer_churn_dataset!$A$2:$A$1501,0))</f>
        <v>2</v>
      </c>
      <c r="E1419" s="0" t="n">
        <f aca="false">INDEX(customer_churn_dataset!$I$2:$I$1501,MATCH($A1420,customer_churn_dataset!$A$2:$A$1501,0))</f>
        <v>57.9</v>
      </c>
      <c r="F1419" s="0" t="n">
        <f aca="false">INDEX(customer_churn_dataset!$L$2:$L$1501,MATCH($A1420,customer_churn_dataset!$A$2:$A$1501,0))</f>
        <v>2</v>
      </c>
      <c r="G1419" s="0" t="str">
        <f aca="false">IF(INDEX(customer_churn_dataset!$M$2:$M$1501,MATCH($A1420,customer_churn_dataset!$A$2:$A$1501,0))=1,"Yes","No")</f>
        <v>No</v>
      </c>
      <c r="H1419" s="0" t="n">
        <f aca="false">INDEX(customer_churn_dataset!$N$2:$N$1501,MATCH($A1420,customer_churn_dataset!$A$2:$A$1501,0))</f>
        <v>21.64</v>
      </c>
      <c r="I1419" s="0" t="n">
        <f aca="false">INDEX(customer_churn_dataset!$O$2:$O$1501,MATCH($A1420,customer_churn_dataset!$A$2:$A$1501,0))</f>
        <v>1</v>
      </c>
      <c r="J1419" s="0" t="n">
        <f aca="false">INDEX(customer_churn_dataset!$T$2:$T$1501,MATCH($A1420,customer_churn_dataset!$A$2:$A$1501,0))</f>
        <v>4</v>
      </c>
      <c r="K1419" s="0" t="str">
        <f aca="false">INDEX(customer_churn_dataset!$V$2:$V$1501,MATCH($A1420,customer_churn_dataset!$A$2:$A$1501,0))</f>
        <v>Medium Risk</v>
      </c>
    </row>
    <row r="1420" customFormat="false" ht="12.8" hidden="true" customHeight="false" outlineLevel="0" collapsed="false">
      <c r="A1420" s="22" t="str">
        <f aca="false">customer_churn_dataset!A626</f>
        <v>CUST100854</v>
      </c>
      <c r="B1420" s="22" t="str">
        <f aca="false">customer_churn_dataset!B626</f>
        <v>Basic</v>
      </c>
      <c r="C1420" s="22" t="str">
        <f aca="false">customer_churn_dataset!C626</f>
        <v>Month-to-month</v>
      </c>
      <c r="D1420" s="0" t="n">
        <f aca="false">INDEX(customer_churn_dataset!$E$2:$E$1501,MATCH($A1421,customer_churn_dataset!$A$2:$A$1501,0))</f>
        <v>55</v>
      </c>
      <c r="E1420" s="0" t="n">
        <f aca="false">INDEX(customer_churn_dataset!$I$2:$I$1501,MATCH($A1421,customer_churn_dataset!$A$2:$A$1501,0))</f>
        <v>47.7</v>
      </c>
      <c r="F1420" s="0" t="n">
        <f aca="false">INDEX(customer_churn_dataset!$L$2:$L$1501,MATCH($A1421,customer_churn_dataset!$A$2:$A$1501,0))</f>
        <v>2</v>
      </c>
      <c r="G1420" s="0" t="str">
        <f aca="false">IF(INDEX(customer_churn_dataset!$M$2:$M$1501,MATCH($A1421,customer_churn_dataset!$A$2:$A$1501,0))=1,"Yes","No")</f>
        <v>No</v>
      </c>
      <c r="H1420" s="0" t="n">
        <f aca="false">INDEX(customer_churn_dataset!$N$2:$N$1501,MATCH($A1421,customer_churn_dataset!$A$2:$A$1501,0))</f>
        <v>556.05</v>
      </c>
      <c r="I1420" s="0" t="n">
        <f aca="false">INDEX(customer_churn_dataset!$O$2:$O$1501,MATCH($A1421,customer_churn_dataset!$A$2:$A$1501,0))</f>
        <v>0</v>
      </c>
      <c r="J1420" s="0" t="n">
        <f aca="false">INDEX(customer_churn_dataset!$T$2:$T$1501,MATCH($A1421,customer_churn_dataset!$A$2:$A$1501,0))</f>
        <v>3</v>
      </c>
      <c r="K1420" s="0" t="str">
        <f aca="false">INDEX(customer_churn_dataset!$V$2:$V$1501,MATCH($A1421,customer_churn_dataset!$A$2:$A$1501,0))</f>
        <v>Medium Risk</v>
      </c>
    </row>
    <row r="1421" customFormat="false" ht="12.8" hidden="true" customHeight="false" outlineLevel="0" collapsed="false">
      <c r="A1421" s="22" t="str">
        <f aca="false">customer_churn_dataset!A643</f>
        <v>CUST100202</v>
      </c>
      <c r="B1421" s="22" t="str">
        <f aca="false">customer_churn_dataset!B643</f>
        <v>Basic</v>
      </c>
      <c r="C1421" s="22" t="str">
        <f aca="false">customer_churn_dataset!C643</f>
        <v>One year</v>
      </c>
      <c r="D1421" s="0" t="n">
        <f aca="false">INDEX(customer_churn_dataset!$E$2:$E$1501,MATCH($A1422,customer_churn_dataset!$A$2:$A$1501,0))</f>
        <v>27</v>
      </c>
      <c r="E1421" s="0" t="n">
        <f aca="false">INDEX(customer_churn_dataset!$I$2:$I$1501,MATCH($A1422,customer_churn_dataset!$A$2:$A$1501,0))</f>
        <v>54.8</v>
      </c>
      <c r="F1421" s="0" t="n">
        <f aca="false">INDEX(customer_churn_dataset!$L$2:$L$1501,MATCH($A1422,customer_churn_dataset!$A$2:$A$1501,0))</f>
        <v>1</v>
      </c>
      <c r="G1421" s="0" t="str">
        <f aca="false">IF(INDEX(customer_churn_dataset!$M$2:$M$1501,MATCH($A1422,customer_churn_dataset!$A$2:$A$1501,0))=1,"Yes","No")</f>
        <v>No</v>
      </c>
      <c r="H1421" s="0" t="n">
        <f aca="false">INDEX(customer_churn_dataset!$N$2:$N$1501,MATCH($A1422,customer_churn_dataset!$A$2:$A$1501,0))</f>
        <v>536.76</v>
      </c>
      <c r="I1421" s="0" t="n">
        <f aca="false">INDEX(customer_churn_dataset!$O$2:$O$1501,MATCH($A1422,customer_churn_dataset!$A$2:$A$1501,0))</f>
        <v>0</v>
      </c>
      <c r="J1421" s="0" t="n">
        <f aca="false">INDEX(customer_churn_dataset!$T$2:$T$1501,MATCH($A1422,customer_churn_dataset!$A$2:$A$1501,0))</f>
        <v>3</v>
      </c>
      <c r="K1421" s="0" t="str">
        <f aca="false">INDEX(customer_churn_dataset!$V$2:$V$1501,MATCH($A1422,customer_churn_dataset!$A$2:$A$1501,0))</f>
        <v>Medium Risk</v>
      </c>
    </row>
    <row r="1422" customFormat="false" ht="12.8" hidden="true" customHeight="false" outlineLevel="0" collapsed="false">
      <c r="A1422" s="22" t="str">
        <f aca="false">customer_churn_dataset!A648</f>
        <v>CUST100733</v>
      </c>
      <c r="B1422" s="22" t="str">
        <f aca="false">customer_churn_dataset!B648</f>
        <v>Standard</v>
      </c>
      <c r="C1422" s="22" t="str">
        <f aca="false">customer_churn_dataset!C648</f>
        <v>Month-to-month</v>
      </c>
      <c r="D1422" s="0" t="n">
        <f aca="false">INDEX(customer_churn_dataset!$E$2:$E$1501,MATCH($A1423,customer_churn_dataset!$A$2:$A$1501,0))</f>
        <v>10</v>
      </c>
      <c r="E1422" s="0" t="n">
        <f aca="false">INDEX(customer_churn_dataset!$I$2:$I$1501,MATCH($A1423,customer_churn_dataset!$A$2:$A$1501,0))</f>
        <v>34.5</v>
      </c>
      <c r="F1422" s="0" t="n">
        <f aca="false">INDEX(customer_churn_dataset!$L$2:$L$1501,MATCH($A1423,customer_churn_dataset!$A$2:$A$1501,0))</f>
        <v>2</v>
      </c>
      <c r="G1422" s="0" t="str">
        <f aca="false">IF(INDEX(customer_churn_dataset!$M$2:$M$1501,MATCH($A1423,customer_churn_dataset!$A$2:$A$1501,0))=1,"Yes","No")</f>
        <v>No</v>
      </c>
      <c r="H1422" s="0" t="n">
        <f aca="false">INDEX(customer_churn_dataset!$N$2:$N$1501,MATCH($A1423,customer_churn_dataset!$A$2:$A$1501,0))</f>
        <v>105.8</v>
      </c>
      <c r="I1422" s="0" t="n">
        <f aca="false">INDEX(customer_churn_dataset!$O$2:$O$1501,MATCH($A1423,customer_churn_dataset!$A$2:$A$1501,0))</f>
        <v>0</v>
      </c>
      <c r="J1422" s="0" t="n">
        <f aca="false">INDEX(customer_churn_dataset!$T$2:$T$1501,MATCH($A1423,customer_churn_dataset!$A$2:$A$1501,0))</f>
        <v>4</v>
      </c>
      <c r="K1422" s="0" t="str">
        <f aca="false">INDEX(customer_churn_dataset!$V$2:$V$1501,MATCH($A1423,customer_churn_dataset!$A$2:$A$1501,0))</f>
        <v>Medium Risk</v>
      </c>
    </row>
    <row r="1423" customFormat="false" ht="12.8" hidden="true" customHeight="false" outlineLevel="0" collapsed="false">
      <c r="A1423" s="22" t="str">
        <f aca="false">customer_churn_dataset!A672</f>
        <v>CUST100339</v>
      </c>
      <c r="B1423" s="22" t="str">
        <f aca="false">customer_churn_dataset!B672</f>
        <v>Basic</v>
      </c>
      <c r="C1423" s="22" t="str">
        <f aca="false">customer_churn_dataset!C672</f>
        <v>Two year</v>
      </c>
      <c r="D1423" s="0" t="n">
        <f aca="false">INDEX(customer_churn_dataset!$E$2:$E$1501,MATCH($A1424,customer_churn_dataset!$A$2:$A$1501,0))</f>
        <v>67</v>
      </c>
      <c r="E1423" s="0" t="n">
        <f aca="false">INDEX(customer_churn_dataset!$I$2:$I$1501,MATCH($A1424,customer_churn_dataset!$A$2:$A$1501,0))</f>
        <v>97.9</v>
      </c>
      <c r="F1423" s="0" t="n">
        <f aca="false">INDEX(customer_churn_dataset!$L$2:$L$1501,MATCH($A1424,customer_churn_dataset!$A$2:$A$1501,0))</f>
        <v>0</v>
      </c>
      <c r="G1423" s="0" t="str">
        <f aca="false">IF(INDEX(customer_churn_dataset!$M$2:$M$1501,MATCH($A1424,customer_churn_dataset!$A$2:$A$1501,0))=1,"Yes","No")</f>
        <v>No</v>
      </c>
      <c r="H1423" s="0" t="n">
        <f aca="false">INDEX(customer_churn_dataset!$N$2:$N$1501,MATCH($A1424,customer_churn_dataset!$A$2:$A$1501,0))</f>
        <v>1267.64</v>
      </c>
      <c r="I1423" s="0" t="n">
        <f aca="false">INDEX(customer_churn_dataset!$O$2:$O$1501,MATCH($A1424,customer_churn_dataset!$A$2:$A$1501,0))</f>
        <v>0</v>
      </c>
      <c r="J1423" s="0" t="n">
        <f aca="false">INDEX(customer_churn_dataset!$T$2:$T$1501,MATCH($A1424,customer_churn_dataset!$A$2:$A$1501,0))</f>
        <v>2</v>
      </c>
      <c r="K1423" s="0" t="str">
        <f aca="false">INDEX(customer_churn_dataset!$V$2:$V$1501,MATCH($A1424,customer_churn_dataset!$A$2:$A$1501,0))</f>
        <v>Low Risk</v>
      </c>
    </row>
    <row r="1424" customFormat="false" ht="12.8" hidden="true" customHeight="false" outlineLevel="0" collapsed="false">
      <c r="A1424" s="22" t="str">
        <f aca="false">customer_churn_dataset!A681</f>
        <v>CUST100156</v>
      </c>
      <c r="B1424" s="22" t="str">
        <f aca="false">customer_churn_dataset!B681</f>
        <v>Standard</v>
      </c>
      <c r="C1424" s="22" t="str">
        <f aca="false">customer_churn_dataset!C681</f>
        <v>Month-to-month</v>
      </c>
      <c r="D1424" s="0" t="n">
        <f aca="false">INDEX(customer_churn_dataset!$E$2:$E$1501,MATCH($A1425,customer_churn_dataset!$A$2:$A$1501,0))</f>
        <v>12</v>
      </c>
      <c r="E1424" s="0" t="n">
        <f aca="false">INDEX(customer_churn_dataset!$I$2:$I$1501,MATCH($A1425,customer_churn_dataset!$A$2:$A$1501,0))</f>
        <v>47.1</v>
      </c>
      <c r="F1424" s="0" t="n">
        <f aca="false">INDEX(customer_churn_dataset!$L$2:$L$1501,MATCH($A1425,customer_churn_dataset!$A$2:$A$1501,0))</f>
        <v>2</v>
      </c>
      <c r="G1424" s="0" t="str">
        <f aca="false">IF(INDEX(customer_churn_dataset!$M$2:$M$1501,MATCH($A1425,customer_churn_dataset!$A$2:$A$1501,0))=1,"Yes","No")</f>
        <v>No</v>
      </c>
      <c r="H1424" s="0" t="n">
        <f aca="false">INDEX(customer_churn_dataset!$N$2:$N$1501,MATCH($A1425,customer_churn_dataset!$A$2:$A$1501,0))</f>
        <v>240.12</v>
      </c>
      <c r="I1424" s="0" t="n">
        <f aca="false">INDEX(customer_churn_dataset!$O$2:$O$1501,MATCH($A1425,customer_churn_dataset!$A$2:$A$1501,0))</f>
        <v>1</v>
      </c>
      <c r="J1424" s="0" t="n">
        <f aca="false">INDEX(customer_churn_dataset!$T$2:$T$1501,MATCH($A1425,customer_churn_dataset!$A$2:$A$1501,0))</f>
        <v>4</v>
      </c>
      <c r="K1424" s="0" t="str">
        <f aca="false">INDEX(customer_churn_dataset!$V$2:$V$1501,MATCH($A1425,customer_churn_dataset!$A$2:$A$1501,0))</f>
        <v>Medium Risk</v>
      </c>
    </row>
    <row r="1425" customFormat="false" ht="12.8" hidden="true" customHeight="false" outlineLevel="0" collapsed="false">
      <c r="A1425" s="22" t="str">
        <f aca="false">customer_churn_dataset!A698</f>
        <v>CUST100438</v>
      </c>
      <c r="B1425" s="22" t="str">
        <f aca="false">customer_churn_dataset!B698</f>
        <v>Standard</v>
      </c>
      <c r="C1425" s="22" t="str">
        <f aca="false">customer_churn_dataset!C698</f>
        <v>Month-to-month</v>
      </c>
      <c r="D1425" s="0" t="n">
        <f aca="false">INDEX(customer_churn_dataset!$E$2:$E$1501,MATCH($A1426,customer_churn_dataset!$A$2:$A$1501,0))</f>
        <v>2</v>
      </c>
      <c r="E1425" s="0" t="n">
        <f aca="false">INDEX(customer_churn_dataset!$I$2:$I$1501,MATCH($A1426,customer_churn_dataset!$A$2:$A$1501,0))</f>
        <v>47.7</v>
      </c>
      <c r="F1425" s="0" t="n">
        <f aca="false">INDEX(customer_churn_dataset!$L$2:$L$1501,MATCH($A1426,customer_churn_dataset!$A$2:$A$1501,0))</f>
        <v>0</v>
      </c>
      <c r="G1425" s="0" t="str">
        <f aca="false">IF(INDEX(customer_churn_dataset!$M$2:$M$1501,MATCH($A1426,customer_churn_dataset!$A$2:$A$1501,0))=1,"Yes","No")</f>
        <v>No</v>
      </c>
      <c r="H1425" s="0" t="n">
        <f aca="false">INDEX(customer_churn_dataset!$N$2:$N$1501,MATCH($A1426,customer_churn_dataset!$A$2:$A$1501,0))</f>
        <v>82.38</v>
      </c>
      <c r="I1425" s="0" t="n">
        <f aca="false">INDEX(customer_churn_dataset!$O$2:$O$1501,MATCH($A1426,customer_churn_dataset!$A$2:$A$1501,0))</f>
        <v>0</v>
      </c>
      <c r="J1425" s="0" t="n">
        <f aca="false">INDEX(customer_churn_dataset!$T$2:$T$1501,MATCH($A1426,customer_churn_dataset!$A$2:$A$1501,0))</f>
        <v>4</v>
      </c>
      <c r="K1425" s="0" t="str">
        <f aca="false">INDEX(customer_churn_dataset!$V$2:$V$1501,MATCH($A1426,customer_churn_dataset!$A$2:$A$1501,0))</f>
        <v>Medium Risk</v>
      </c>
    </row>
    <row r="1426" customFormat="false" ht="12.8" hidden="true" customHeight="false" outlineLevel="0" collapsed="false">
      <c r="A1426" s="22" t="str">
        <f aca="false">customer_churn_dataset!A702</f>
        <v>CUST100917</v>
      </c>
      <c r="B1426" s="22" t="str">
        <f aca="false">customer_churn_dataset!B702</f>
        <v>Premium</v>
      </c>
      <c r="C1426" s="22" t="str">
        <f aca="false">customer_churn_dataset!C702</f>
        <v>Month-to-month</v>
      </c>
      <c r="D1426" s="0" t="n">
        <f aca="false">INDEX(customer_churn_dataset!$E$2:$E$1501,MATCH($A1427,customer_churn_dataset!$A$2:$A$1501,0))</f>
        <v>26</v>
      </c>
      <c r="E1426" s="0" t="n">
        <f aca="false">INDEX(customer_churn_dataset!$I$2:$I$1501,MATCH($A1427,customer_churn_dataset!$A$2:$A$1501,0))</f>
        <v>49.9</v>
      </c>
      <c r="F1426" s="0" t="n">
        <f aca="false">INDEX(customer_churn_dataset!$L$2:$L$1501,MATCH($A1427,customer_churn_dataset!$A$2:$A$1501,0))</f>
        <v>1</v>
      </c>
      <c r="G1426" s="0" t="str">
        <f aca="false">IF(INDEX(customer_churn_dataset!$M$2:$M$1501,MATCH($A1427,customer_churn_dataset!$A$2:$A$1501,0))=1,"Yes","No")</f>
        <v>No</v>
      </c>
      <c r="H1426" s="0" t="n">
        <f aca="false">INDEX(customer_churn_dataset!$N$2:$N$1501,MATCH($A1427,customer_churn_dataset!$A$2:$A$1501,0))</f>
        <v>489.84</v>
      </c>
      <c r="I1426" s="0" t="n">
        <f aca="false">INDEX(customer_churn_dataset!$O$2:$O$1501,MATCH($A1427,customer_churn_dataset!$A$2:$A$1501,0))</f>
        <v>0</v>
      </c>
      <c r="J1426" s="0" t="n">
        <f aca="false">INDEX(customer_churn_dataset!$T$2:$T$1501,MATCH($A1427,customer_churn_dataset!$A$2:$A$1501,0))</f>
        <v>3</v>
      </c>
      <c r="K1426" s="0" t="str">
        <f aca="false">INDEX(customer_churn_dataset!$V$2:$V$1501,MATCH($A1427,customer_churn_dataset!$A$2:$A$1501,0))</f>
        <v>Medium Risk</v>
      </c>
    </row>
    <row r="1427" customFormat="false" ht="12.8" hidden="true" customHeight="false" outlineLevel="0" collapsed="false">
      <c r="A1427" s="22" t="str">
        <f aca="false">customer_churn_dataset!A706</f>
        <v>CUST101249</v>
      </c>
      <c r="B1427" s="22" t="str">
        <f aca="false">customer_churn_dataset!B706</f>
        <v>Standard</v>
      </c>
      <c r="C1427" s="22" t="str">
        <f aca="false">customer_churn_dataset!C706</f>
        <v>Month-to-month</v>
      </c>
      <c r="D1427" s="0" t="n">
        <f aca="false">INDEX(customer_churn_dataset!$E$2:$E$1501,MATCH($A1428,customer_churn_dataset!$A$2:$A$1501,0))</f>
        <v>16</v>
      </c>
      <c r="E1427" s="0" t="n">
        <f aca="false">INDEX(customer_churn_dataset!$I$2:$I$1501,MATCH($A1428,customer_churn_dataset!$A$2:$A$1501,0))</f>
        <v>59.5</v>
      </c>
      <c r="F1427" s="0" t="n">
        <f aca="false">INDEX(customer_churn_dataset!$L$2:$L$1501,MATCH($A1428,customer_churn_dataset!$A$2:$A$1501,0))</f>
        <v>1</v>
      </c>
      <c r="G1427" s="0" t="str">
        <f aca="false">IF(INDEX(customer_churn_dataset!$M$2:$M$1501,MATCH($A1428,customer_churn_dataset!$A$2:$A$1501,0))=1,"Yes","No")</f>
        <v>No</v>
      </c>
      <c r="H1427" s="0" t="n">
        <f aca="false">INDEX(customer_churn_dataset!$N$2:$N$1501,MATCH($A1428,customer_churn_dataset!$A$2:$A$1501,0))</f>
        <v>148.96</v>
      </c>
      <c r="I1427" s="0" t="n">
        <f aca="false">INDEX(customer_churn_dataset!$O$2:$O$1501,MATCH($A1428,customer_churn_dataset!$A$2:$A$1501,0))</f>
        <v>0</v>
      </c>
      <c r="J1427" s="0" t="n">
        <f aca="false">INDEX(customer_churn_dataset!$T$2:$T$1501,MATCH($A1428,customer_churn_dataset!$A$2:$A$1501,0))</f>
        <v>1</v>
      </c>
      <c r="K1427" s="0" t="str">
        <f aca="false">INDEX(customer_churn_dataset!$V$2:$V$1501,MATCH($A1428,customer_churn_dataset!$A$2:$A$1501,0))</f>
        <v>Low Risk</v>
      </c>
    </row>
    <row r="1428" customFormat="false" ht="12.8" hidden="true" customHeight="false" outlineLevel="0" collapsed="false">
      <c r="A1428" s="22" t="str">
        <f aca="false">customer_churn_dataset!A737</f>
        <v>CUST101112</v>
      </c>
      <c r="B1428" s="22" t="str">
        <f aca="false">customer_churn_dataset!B737</f>
        <v>Basic</v>
      </c>
      <c r="C1428" s="22" t="str">
        <f aca="false">customer_churn_dataset!C737</f>
        <v>One year</v>
      </c>
      <c r="D1428" s="0" t="n">
        <f aca="false">INDEX(customer_churn_dataset!$E$2:$E$1501,MATCH($A1429,customer_churn_dataset!$A$2:$A$1501,0))</f>
        <v>21</v>
      </c>
      <c r="E1428" s="0" t="n">
        <f aca="false">INDEX(customer_churn_dataset!$I$2:$I$1501,MATCH($A1429,customer_churn_dataset!$A$2:$A$1501,0))</f>
        <v>76.5</v>
      </c>
      <c r="F1428" s="0" t="n">
        <f aca="false">INDEX(customer_churn_dataset!$L$2:$L$1501,MATCH($A1429,customer_churn_dataset!$A$2:$A$1501,0))</f>
        <v>0</v>
      </c>
      <c r="G1428" s="0" t="str">
        <f aca="false">IF(INDEX(customer_churn_dataset!$M$2:$M$1501,MATCH($A1429,customer_churn_dataset!$A$2:$A$1501,0))=1,"Yes","No")</f>
        <v>No</v>
      </c>
      <c r="H1428" s="0" t="n">
        <f aca="false">INDEX(customer_churn_dataset!$N$2:$N$1501,MATCH($A1429,customer_churn_dataset!$A$2:$A$1501,0))</f>
        <v>406.14</v>
      </c>
      <c r="I1428" s="0" t="n">
        <f aca="false">INDEX(customer_churn_dataset!$O$2:$O$1501,MATCH($A1429,customer_churn_dataset!$A$2:$A$1501,0))</f>
        <v>0</v>
      </c>
      <c r="J1428" s="0" t="n">
        <f aca="false">INDEX(customer_churn_dataset!$T$2:$T$1501,MATCH($A1429,customer_churn_dataset!$A$2:$A$1501,0))</f>
        <v>1</v>
      </c>
      <c r="K1428" s="0" t="str">
        <f aca="false">INDEX(customer_churn_dataset!$V$2:$V$1501,MATCH($A1429,customer_churn_dataset!$A$2:$A$1501,0))</f>
        <v>Low Risk</v>
      </c>
    </row>
    <row r="1429" customFormat="false" ht="12.8" hidden="true" customHeight="false" outlineLevel="0" collapsed="false">
      <c r="A1429" s="22" t="str">
        <f aca="false">customer_churn_dataset!A746</f>
        <v>CUST100793</v>
      </c>
      <c r="B1429" s="22" t="str">
        <f aca="false">customer_churn_dataset!B746</f>
        <v>Standard</v>
      </c>
      <c r="C1429" s="22" t="str">
        <f aca="false">customer_churn_dataset!C746</f>
        <v>One year</v>
      </c>
      <c r="D1429" s="0" t="n">
        <f aca="false">INDEX(customer_churn_dataset!$E$2:$E$1501,MATCH($A1430,customer_churn_dataset!$A$2:$A$1501,0))</f>
        <v>2</v>
      </c>
      <c r="E1429" s="0" t="n">
        <f aca="false">INDEX(customer_churn_dataset!$I$2:$I$1501,MATCH($A1430,customer_churn_dataset!$A$2:$A$1501,0))</f>
        <v>94.4</v>
      </c>
      <c r="F1429" s="0" t="n">
        <f aca="false">INDEX(customer_churn_dataset!$L$2:$L$1501,MATCH($A1430,customer_churn_dataset!$A$2:$A$1501,0))</f>
        <v>0</v>
      </c>
      <c r="G1429" s="0" t="str">
        <f aca="false">IF(INDEX(customer_churn_dataset!$M$2:$M$1501,MATCH($A1430,customer_churn_dataset!$A$2:$A$1501,0))=1,"Yes","No")</f>
        <v>No</v>
      </c>
      <c r="H1429" s="0" t="n">
        <f aca="false">INDEX(customer_churn_dataset!$N$2:$N$1501,MATCH($A1430,customer_churn_dataset!$A$2:$A$1501,0))</f>
        <v>41.14</v>
      </c>
      <c r="I1429" s="0" t="n">
        <f aca="false">INDEX(customer_churn_dataset!$O$2:$O$1501,MATCH($A1430,customer_churn_dataset!$A$2:$A$1501,0))</f>
        <v>0</v>
      </c>
      <c r="J1429" s="0" t="n">
        <f aca="false">INDEX(customer_churn_dataset!$T$2:$T$1501,MATCH($A1430,customer_churn_dataset!$A$2:$A$1501,0))</f>
        <v>3</v>
      </c>
      <c r="K1429" s="0" t="str">
        <f aca="false">INDEX(customer_churn_dataset!$V$2:$V$1501,MATCH($A1430,customer_churn_dataset!$A$2:$A$1501,0))</f>
        <v>Medium Risk</v>
      </c>
    </row>
    <row r="1430" customFormat="false" ht="12.8" hidden="true" customHeight="false" outlineLevel="0" collapsed="false">
      <c r="A1430" s="22" t="str">
        <f aca="false">customer_churn_dataset!A749</f>
        <v>CUST101175</v>
      </c>
      <c r="B1430" s="22" t="str">
        <f aca="false">customer_churn_dataset!B749</f>
        <v>Standard</v>
      </c>
      <c r="C1430" s="22" t="str">
        <f aca="false">customer_churn_dataset!C749</f>
        <v>Month-to-month</v>
      </c>
      <c r="D1430" s="0" t="n">
        <f aca="false">INDEX(customer_churn_dataset!$E$2:$E$1501,MATCH($A1431,customer_churn_dataset!$A$2:$A$1501,0))</f>
        <v>2</v>
      </c>
      <c r="E1430" s="0" t="n">
        <f aca="false">INDEX(customer_churn_dataset!$I$2:$I$1501,MATCH($A1431,customer_churn_dataset!$A$2:$A$1501,0))</f>
        <v>38</v>
      </c>
      <c r="F1430" s="0" t="n">
        <f aca="false">INDEX(customer_churn_dataset!$L$2:$L$1501,MATCH($A1431,customer_churn_dataset!$A$2:$A$1501,0))</f>
        <v>3</v>
      </c>
      <c r="G1430" s="0" t="str">
        <f aca="false">IF(INDEX(customer_churn_dataset!$M$2:$M$1501,MATCH($A1431,customer_churn_dataset!$A$2:$A$1501,0))=1,"Yes","No")</f>
        <v>No</v>
      </c>
      <c r="H1430" s="0" t="n">
        <f aca="false">INDEX(customer_churn_dataset!$N$2:$N$1501,MATCH($A1431,customer_churn_dataset!$A$2:$A$1501,0))</f>
        <v>44.1</v>
      </c>
      <c r="I1430" s="0" t="n">
        <f aca="false">INDEX(customer_churn_dataset!$O$2:$O$1501,MATCH($A1431,customer_churn_dataset!$A$2:$A$1501,0))</f>
        <v>0</v>
      </c>
      <c r="J1430" s="0" t="n">
        <f aca="false">INDEX(customer_churn_dataset!$T$2:$T$1501,MATCH($A1431,customer_churn_dataset!$A$2:$A$1501,0))</f>
        <v>6</v>
      </c>
      <c r="K1430" s="0" t="str">
        <f aca="false">INDEX(customer_churn_dataset!$V$2:$V$1501,MATCH($A1431,customer_churn_dataset!$A$2:$A$1501,0))</f>
        <v>High Risk</v>
      </c>
    </row>
    <row r="1431" customFormat="false" ht="12.8" hidden="true" customHeight="false" outlineLevel="0" collapsed="false">
      <c r="A1431" s="22" t="str">
        <f aca="false">customer_churn_dataset!A751</f>
        <v>CUST100266</v>
      </c>
      <c r="B1431" s="22" t="str">
        <f aca="false">customer_churn_dataset!B751</f>
        <v>Standard</v>
      </c>
      <c r="C1431" s="22" t="str">
        <f aca="false">customer_churn_dataset!C751</f>
        <v>Month-to-month</v>
      </c>
      <c r="D1431" s="0" t="n">
        <f aca="false">INDEX(customer_churn_dataset!$E$2:$E$1501,MATCH($A1432,customer_churn_dataset!$A$2:$A$1501,0))</f>
        <v>14</v>
      </c>
      <c r="E1431" s="0" t="n">
        <f aca="false">INDEX(customer_churn_dataset!$I$2:$I$1501,MATCH($A1432,customer_churn_dataset!$A$2:$A$1501,0))</f>
        <v>53.9</v>
      </c>
      <c r="F1431" s="0" t="n">
        <f aca="false">INDEX(customer_churn_dataset!$L$2:$L$1501,MATCH($A1432,customer_churn_dataset!$A$2:$A$1501,0))</f>
        <v>0</v>
      </c>
      <c r="G1431" s="0" t="str">
        <f aca="false">IF(INDEX(customer_churn_dataset!$M$2:$M$1501,MATCH($A1432,customer_churn_dataset!$A$2:$A$1501,0))=1,"Yes","No")</f>
        <v>No</v>
      </c>
      <c r="H1431" s="0" t="n">
        <f aca="false">INDEX(customer_churn_dataset!$N$2:$N$1501,MATCH($A1432,customer_churn_dataset!$A$2:$A$1501,0))</f>
        <v>539.98</v>
      </c>
      <c r="I1431" s="0" t="n">
        <f aca="false">INDEX(customer_churn_dataset!$O$2:$O$1501,MATCH($A1432,customer_churn_dataset!$A$2:$A$1501,0))</f>
        <v>0</v>
      </c>
      <c r="J1431" s="0" t="n">
        <f aca="false">INDEX(customer_churn_dataset!$T$2:$T$1501,MATCH($A1432,customer_churn_dataset!$A$2:$A$1501,0))</f>
        <v>2</v>
      </c>
      <c r="K1431" s="0" t="str">
        <f aca="false">INDEX(customer_churn_dataset!$V$2:$V$1501,MATCH($A1432,customer_churn_dataset!$A$2:$A$1501,0))</f>
        <v>Low Risk</v>
      </c>
    </row>
    <row r="1432" customFormat="false" ht="12.8" hidden="true" customHeight="false" outlineLevel="0" collapsed="false">
      <c r="A1432" s="22" t="str">
        <f aca="false">customer_churn_dataset!A759</f>
        <v>CUST101026</v>
      </c>
      <c r="B1432" s="22" t="str">
        <f aca="false">customer_churn_dataset!B759</f>
        <v>Premium</v>
      </c>
      <c r="C1432" s="22" t="str">
        <f aca="false">customer_churn_dataset!C759</f>
        <v>One year</v>
      </c>
      <c r="D1432" s="0" t="n">
        <f aca="false">INDEX(customer_churn_dataset!$E$2:$E$1501,MATCH($A1433,customer_churn_dataset!$A$2:$A$1501,0))</f>
        <v>23</v>
      </c>
      <c r="E1432" s="0" t="n">
        <f aca="false">INDEX(customer_churn_dataset!$I$2:$I$1501,MATCH($A1433,customer_churn_dataset!$A$2:$A$1501,0))</f>
        <v>50.7</v>
      </c>
      <c r="F1432" s="0" t="n">
        <f aca="false">INDEX(customer_churn_dataset!$L$2:$L$1501,MATCH($A1433,customer_churn_dataset!$A$2:$A$1501,0))</f>
        <v>2</v>
      </c>
      <c r="G1432" s="0" t="str">
        <f aca="false">IF(INDEX(customer_churn_dataset!$M$2:$M$1501,MATCH($A1433,customer_churn_dataset!$A$2:$A$1501,0))=1,"Yes","No")</f>
        <v>No</v>
      </c>
      <c r="H1432" s="0" t="n">
        <f aca="false">INDEX(customer_churn_dataset!$N$2:$N$1501,MATCH($A1433,customer_churn_dataset!$A$2:$A$1501,0))</f>
        <v>924.14</v>
      </c>
      <c r="I1432" s="0" t="n">
        <f aca="false">INDEX(customer_churn_dataset!$O$2:$O$1501,MATCH($A1433,customer_churn_dataset!$A$2:$A$1501,0))</f>
        <v>0</v>
      </c>
      <c r="J1432" s="0" t="n">
        <f aca="false">INDEX(customer_churn_dataset!$T$2:$T$1501,MATCH($A1433,customer_churn_dataset!$A$2:$A$1501,0))</f>
        <v>4</v>
      </c>
      <c r="K1432" s="0" t="str">
        <f aca="false">INDEX(customer_churn_dataset!$V$2:$V$1501,MATCH($A1433,customer_churn_dataset!$A$2:$A$1501,0))</f>
        <v>Medium Risk</v>
      </c>
    </row>
    <row r="1433" customFormat="false" ht="12.8" hidden="true" customHeight="false" outlineLevel="0" collapsed="false">
      <c r="A1433" s="22" t="str">
        <f aca="false">customer_churn_dataset!A762</f>
        <v>CUST101476</v>
      </c>
      <c r="B1433" s="22" t="str">
        <f aca="false">customer_churn_dataset!B762</f>
        <v>Premium</v>
      </c>
      <c r="C1433" s="22" t="str">
        <f aca="false">customer_churn_dataset!C762</f>
        <v>Month-to-month</v>
      </c>
      <c r="D1433" s="0" t="n">
        <f aca="false">INDEX(customer_churn_dataset!$E$2:$E$1501,MATCH($A1434,customer_churn_dataset!$A$2:$A$1501,0))</f>
        <v>7</v>
      </c>
      <c r="E1433" s="0" t="n">
        <f aca="false">INDEX(customer_churn_dataset!$I$2:$I$1501,MATCH($A1434,customer_churn_dataset!$A$2:$A$1501,0))</f>
        <v>70.5</v>
      </c>
      <c r="F1433" s="0" t="n">
        <f aca="false">INDEX(customer_churn_dataset!$L$2:$L$1501,MATCH($A1434,customer_churn_dataset!$A$2:$A$1501,0))</f>
        <v>3</v>
      </c>
      <c r="G1433" s="0" t="str">
        <f aca="false">IF(INDEX(customer_churn_dataset!$M$2:$M$1501,MATCH($A1434,customer_churn_dataset!$A$2:$A$1501,0))=1,"Yes","No")</f>
        <v>No</v>
      </c>
      <c r="H1433" s="0" t="n">
        <f aca="false">INDEX(customer_churn_dataset!$N$2:$N$1501,MATCH($A1434,customer_churn_dataset!$A$2:$A$1501,0))</f>
        <v>140.56</v>
      </c>
      <c r="I1433" s="0" t="n">
        <f aca="false">INDEX(customer_churn_dataset!$O$2:$O$1501,MATCH($A1434,customer_churn_dataset!$A$2:$A$1501,0))</f>
        <v>0</v>
      </c>
      <c r="J1433" s="0" t="n">
        <f aca="false">INDEX(customer_churn_dataset!$T$2:$T$1501,MATCH($A1434,customer_churn_dataset!$A$2:$A$1501,0))</f>
        <v>2</v>
      </c>
      <c r="K1433" s="0" t="str">
        <f aca="false">INDEX(customer_churn_dataset!$V$2:$V$1501,MATCH($A1434,customer_churn_dataset!$A$2:$A$1501,0))</f>
        <v>Low Risk</v>
      </c>
    </row>
    <row r="1434" customFormat="false" ht="12.8" hidden="false" customHeight="false" outlineLevel="0" collapsed="false">
      <c r="A1434" s="23" t="str">
        <f aca="false">customer_churn_dataset!A779</f>
        <v>CUST100805</v>
      </c>
      <c r="B1434" s="24" t="str">
        <f aca="false">customer_churn_dataset!B779</f>
        <v>Standard</v>
      </c>
      <c r="C1434" s="24" t="str">
        <f aca="false">customer_churn_dataset!C779</f>
        <v>Two year</v>
      </c>
      <c r="D1434" s="25" t="n">
        <f aca="false">INDEX(customer_churn_dataset!$E$2:$E$1501,MATCH($A1435,customer_churn_dataset!$A$2:$A$1501,0))</f>
        <v>7</v>
      </c>
      <c r="E1434" s="25" t="n">
        <f aca="false">INDEX(customer_churn_dataset!$I$2:$I$1501,MATCH($A1435,customer_churn_dataset!$A$2:$A$1501,0))</f>
        <v>47.2</v>
      </c>
      <c r="F1434" s="25" t="n">
        <f aca="false">INDEX(customer_churn_dataset!$L$2:$L$1501,MATCH($A1435,customer_churn_dataset!$A$2:$A$1501,0))</f>
        <v>3</v>
      </c>
      <c r="G1434" s="25" t="str">
        <f aca="false">IF(INDEX(customer_churn_dataset!$M$2:$M$1501,MATCH($A1435,customer_churn_dataset!$A$2:$A$1501,0))=1,"Yes","No")</f>
        <v>Yes</v>
      </c>
      <c r="H1434" s="25" t="n">
        <f aca="false">INDEX(customer_churn_dataset!$N$2:$N$1501,MATCH($A1435,customer_churn_dataset!$A$2:$A$1501,0))</f>
        <v>77.21</v>
      </c>
      <c r="I1434" s="25" t="n">
        <f aca="false">INDEX(customer_churn_dataset!$O$2:$O$1501,MATCH($A1435,customer_churn_dataset!$A$2:$A$1501,0))</f>
        <v>0</v>
      </c>
      <c r="J1434" s="25" t="n">
        <f aca="false">INDEX(customer_churn_dataset!$T$2:$T$1501,MATCH($A1435,customer_churn_dataset!$A$2:$A$1501,0))</f>
        <v>8</v>
      </c>
      <c r="K1434" s="25" t="str">
        <f aca="false">INDEX(customer_churn_dataset!$V$2:$V$1501,MATCH($A1435,customer_churn_dataset!$A$2:$A$1501,0))</f>
        <v>High Risk</v>
      </c>
    </row>
    <row r="1435" customFormat="false" ht="12.8" hidden="true" customHeight="false" outlineLevel="0" collapsed="false">
      <c r="A1435" s="22" t="str">
        <f aca="false">customer_churn_dataset!A782</f>
        <v>CUST100934</v>
      </c>
      <c r="B1435" s="22" t="str">
        <f aca="false">customer_churn_dataset!B782</f>
        <v>Basic</v>
      </c>
      <c r="C1435" s="22" t="str">
        <f aca="false">customer_churn_dataset!C782</f>
        <v>Month-to-month</v>
      </c>
      <c r="D1435" s="0" t="n">
        <f aca="false">INDEX(customer_churn_dataset!$E$2:$E$1501,MATCH($A1436,customer_churn_dataset!$A$2:$A$1501,0))</f>
        <v>0</v>
      </c>
      <c r="E1435" s="0" t="n">
        <f aca="false">INDEX(customer_churn_dataset!$I$2:$I$1501,MATCH($A1436,customer_churn_dataset!$A$2:$A$1501,0))</f>
        <v>83.9</v>
      </c>
      <c r="F1435" s="0" t="n">
        <f aca="false">INDEX(customer_churn_dataset!$L$2:$L$1501,MATCH($A1436,customer_churn_dataset!$A$2:$A$1501,0))</f>
        <v>1</v>
      </c>
      <c r="G1435" s="0" t="str">
        <f aca="false">IF(INDEX(customer_churn_dataset!$M$2:$M$1501,MATCH($A1436,customer_churn_dataset!$A$2:$A$1501,0))=1,"Yes","No")</f>
        <v>No</v>
      </c>
      <c r="H1435" s="0" t="n">
        <f aca="false">INDEX(customer_churn_dataset!$N$2:$N$1501,MATCH($A1436,customer_churn_dataset!$A$2:$A$1501,0))</f>
        <v>0</v>
      </c>
      <c r="I1435" s="0" t="n">
        <f aca="false">INDEX(customer_churn_dataset!$O$2:$O$1501,MATCH($A1436,customer_churn_dataset!$A$2:$A$1501,0))</f>
        <v>0</v>
      </c>
      <c r="J1435" s="0" t="n">
        <f aca="false">INDEX(customer_churn_dataset!$T$2:$T$1501,MATCH($A1436,customer_churn_dataset!$A$2:$A$1501,0))</f>
        <v>1</v>
      </c>
      <c r="K1435" s="0" t="str">
        <f aca="false">INDEX(customer_churn_dataset!$V$2:$V$1501,MATCH($A1436,customer_churn_dataset!$A$2:$A$1501,0))</f>
        <v>Low Risk</v>
      </c>
    </row>
    <row r="1436" customFormat="false" ht="12.8" hidden="true" customHeight="false" outlineLevel="0" collapsed="false">
      <c r="A1436" s="22" t="str">
        <f aca="false">customer_churn_dataset!A799</f>
        <v>CUST100809</v>
      </c>
      <c r="B1436" s="22" t="str">
        <f aca="false">customer_churn_dataset!B799</f>
        <v>Basic</v>
      </c>
      <c r="C1436" s="22" t="str">
        <f aca="false">customer_churn_dataset!C799</f>
        <v>Two year</v>
      </c>
      <c r="D1436" s="0" t="n">
        <f aca="false">INDEX(customer_churn_dataset!$E$2:$E$1501,MATCH($A1437,customer_churn_dataset!$A$2:$A$1501,0))</f>
        <v>10</v>
      </c>
      <c r="E1436" s="0" t="n">
        <f aca="false">INDEX(customer_churn_dataset!$I$2:$I$1501,MATCH($A1437,customer_churn_dataset!$A$2:$A$1501,0))</f>
        <v>93.3</v>
      </c>
      <c r="F1436" s="0" t="n">
        <f aca="false">INDEX(customer_churn_dataset!$L$2:$L$1501,MATCH($A1437,customer_churn_dataset!$A$2:$A$1501,0))</f>
        <v>2</v>
      </c>
      <c r="G1436" s="0" t="str">
        <f aca="false">IF(INDEX(customer_churn_dataset!$M$2:$M$1501,MATCH($A1437,customer_churn_dataset!$A$2:$A$1501,0))=1,"Yes","No")</f>
        <v>Yes</v>
      </c>
      <c r="H1436" s="0" t="n">
        <f aca="false">INDEX(customer_churn_dataset!$N$2:$N$1501,MATCH($A1437,customer_churn_dataset!$A$2:$A$1501,0))</f>
        <v>205.4</v>
      </c>
      <c r="I1436" s="0" t="n">
        <f aca="false">INDEX(customer_churn_dataset!$O$2:$O$1501,MATCH($A1437,customer_churn_dataset!$A$2:$A$1501,0))</f>
        <v>0</v>
      </c>
      <c r="J1436" s="0" t="n">
        <f aca="false">INDEX(customer_churn_dataset!$T$2:$T$1501,MATCH($A1437,customer_churn_dataset!$A$2:$A$1501,0))</f>
        <v>5</v>
      </c>
      <c r="K1436" s="0" t="str">
        <f aca="false">INDEX(customer_churn_dataset!$V$2:$V$1501,MATCH($A1437,customer_churn_dataset!$A$2:$A$1501,0))</f>
        <v>Medium Risk</v>
      </c>
    </row>
    <row r="1437" customFormat="false" ht="12.8" hidden="true" customHeight="false" outlineLevel="0" collapsed="false">
      <c r="A1437" s="22" t="str">
        <f aca="false">customer_churn_dataset!A814</f>
        <v>CUST101351</v>
      </c>
      <c r="B1437" s="22" t="str">
        <f aca="false">customer_churn_dataset!B814</f>
        <v>Standard</v>
      </c>
      <c r="C1437" s="22" t="str">
        <f aca="false">customer_churn_dataset!C814</f>
        <v>Two year</v>
      </c>
      <c r="D1437" s="0" t="n">
        <f aca="false">INDEX(customer_churn_dataset!$E$2:$E$1501,MATCH($A1438,customer_churn_dataset!$A$2:$A$1501,0))</f>
        <v>12</v>
      </c>
      <c r="E1437" s="0" t="n">
        <f aca="false">INDEX(customer_churn_dataset!$I$2:$I$1501,MATCH($A1438,customer_churn_dataset!$A$2:$A$1501,0))</f>
        <v>51.7</v>
      </c>
      <c r="F1437" s="0" t="n">
        <f aca="false">INDEX(customer_churn_dataset!$L$2:$L$1501,MATCH($A1438,customer_churn_dataset!$A$2:$A$1501,0))</f>
        <v>0</v>
      </c>
      <c r="G1437" s="0" t="str">
        <f aca="false">IF(INDEX(customer_churn_dataset!$M$2:$M$1501,MATCH($A1438,customer_churn_dataset!$A$2:$A$1501,0))=1,"Yes","No")</f>
        <v>No</v>
      </c>
      <c r="H1437" s="0" t="n">
        <f aca="false">INDEX(customer_churn_dataset!$N$2:$N$1501,MATCH($A1438,customer_churn_dataset!$A$2:$A$1501,0))</f>
        <v>110.76</v>
      </c>
      <c r="I1437" s="0" t="n">
        <f aca="false">INDEX(customer_churn_dataset!$O$2:$O$1501,MATCH($A1438,customer_churn_dataset!$A$2:$A$1501,0))</f>
        <v>0</v>
      </c>
      <c r="J1437" s="0" t="n">
        <f aca="false">INDEX(customer_churn_dataset!$T$2:$T$1501,MATCH($A1438,customer_churn_dataset!$A$2:$A$1501,0))</f>
        <v>3</v>
      </c>
      <c r="K1437" s="0" t="str">
        <f aca="false">INDEX(customer_churn_dataset!$V$2:$V$1501,MATCH($A1438,customer_churn_dataset!$A$2:$A$1501,0))</f>
        <v>Medium Risk</v>
      </c>
    </row>
    <row r="1438" customFormat="false" ht="12.8" hidden="true" customHeight="false" outlineLevel="0" collapsed="false">
      <c r="A1438" s="22" t="str">
        <f aca="false">customer_churn_dataset!A829</f>
        <v>CUST100143</v>
      </c>
      <c r="B1438" s="22" t="str">
        <f aca="false">customer_churn_dataset!B829</f>
        <v>Basic</v>
      </c>
      <c r="C1438" s="22" t="str">
        <f aca="false">customer_churn_dataset!C829</f>
        <v>Month-to-month</v>
      </c>
      <c r="D1438" s="0" t="n">
        <f aca="false">INDEX(customer_churn_dataset!$E$2:$E$1501,MATCH($A1439,customer_churn_dataset!$A$2:$A$1501,0))</f>
        <v>10</v>
      </c>
      <c r="E1438" s="0" t="n">
        <f aca="false">INDEX(customer_churn_dataset!$I$2:$I$1501,MATCH($A1439,customer_churn_dataset!$A$2:$A$1501,0))</f>
        <v>57.9</v>
      </c>
      <c r="F1438" s="0" t="n">
        <f aca="false">INDEX(customer_churn_dataset!$L$2:$L$1501,MATCH($A1439,customer_churn_dataset!$A$2:$A$1501,0))</f>
        <v>1</v>
      </c>
      <c r="G1438" s="0" t="str">
        <f aca="false">IF(INDEX(customer_churn_dataset!$M$2:$M$1501,MATCH($A1439,customer_churn_dataset!$A$2:$A$1501,0))=1,"Yes","No")</f>
        <v>Yes</v>
      </c>
      <c r="H1438" s="0" t="n">
        <f aca="false">INDEX(customer_churn_dataset!$N$2:$N$1501,MATCH($A1439,customer_churn_dataset!$A$2:$A$1501,0))</f>
        <v>392.1</v>
      </c>
      <c r="I1438" s="0" t="n">
        <f aca="false">INDEX(customer_churn_dataset!$O$2:$O$1501,MATCH($A1439,customer_churn_dataset!$A$2:$A$1501,0))</f>
        <v>0</v>
      </c>
      <c r="J1438" s="0" t="n">
        <f aca="false">INDEX(customer_churn_dataset!$T$2:$T$1501,MATCH($A1439,customer_churn_dataset!$A$2:$A$1501,0))</f>
        <v>5</v>
      </c>
      <c r="K1438" s="0" t="str">
        <f aca="false">INDEX(customer_churn_dataset!$V$2:$V$1501,MATCH($A1439,customer_churn_dataset!$A$2:$A$1501,0))</f>
        <v>Medium Risk</v>
      </c>
    </row>
    <row r="1439" customFormat="false" ht="12.8" hidden="true" customHeight="false" outlineLevel="0" collapsed="false">
      <c r="A1439" s="22" t="str">
        <f aca="false">customer_churn_dataset!A840</f>
        <v>CUST100314</v>
      </c>
      <c r="B1439" s="22" t="str">
        <f aca="false">customer_churn_dataset!B840</f>
        <v>Premium</v>
      </c>
      <c r="C1439" s="22" t="str">
        <f aca="false">customer_churn_dataset!C840</f>
        <v>One year</v>
      </c>
      <c r="D1439" s="0" t="n">
        <f aca="false">INDEX(customer_churn_dataset!$E$2:$E$1501,MATCH($A1440,customer_churn_dataset!$A$2:$A$1501,0))</f>
        <v>13</v>
      </c>
      <c r="E1439" s="0" t="n">
        <f aca="false">INDEX(customer_churn_dataset!$I$2:$I$1501,MATCH($A1440,customer_churn_dataset!$A$2:$A$1501,0))</f>
        <v>26.8</v>
      </c>
      <c r="F1439" s="0" t="n">
        <f aca="false">INDEX(customer_churn_dataset!$L$2:$L$1501,MATCH($A1440,customer_churn_dataset!$A$2:$A$1501,0))</f>
        <v>6</v>
      </c>
      <c r="G1439" s="0" t="str">
        <f aca="false">IF(INDEX(customer_churn_dataset!$M$2:$M$1501,MATCH($A1440,customer_churn_dataset!$A$2:$A$1501,0))=1,"Yes","No")</f>
        <v>No</v>
      </c>
      <c r="H1439" s="0" t="n">
        <f aca="false">INDEX(customer_churn_dataset!$N$2:$N$1501,MATCH($A1440,customer_churn_dataset!$A$2:$A$1501,0))</f>
        <v>271.44</v>
      </c>
      <c r="I1439" s="0" t="n">
        <f aca="false">INDEX(customer_churn_dataset!$O$2:$O$1501,MATCH($A1440,customer_churn_dataset!$A$2:$A$1501,0))</f>
        <v>1</v>
      </c>
      <c r="J1439" s="0" t="n">
        <f aca="false">INDEX(customer_churn_dataset!$T$2:$T$1501,MATCH($A1440,customer_churn_dataset!$A$2:$A$1501,0))</f>
        <v>5</v>
      </c>
      <c r="K1439" s="0" t="str">
        <f aca="false">INDEX(customer_churn_dataset!$V$2:$V$1501,MATCH($A1440,customer_churn_dataset!$A$2:$A$1501,0))</f>
        <v>Medium Risk</v>
      </c>
    </row>
    <row r="1440" customFormat="false" ht="12.8" hidden="true" customHeight="false" outlineLevel="0" collapsed="false">
      <c r="A1440" s="22" t="str">
        <f aca="false">customer_churn_dataset!A845</f>
        <v>CUST101497</v>
      </c>
      <c r="B1440" s="22" t="str">
        <f aca="false">customer_churn_dataset!B845</f>
        <v>Standard</v>
      </c>
      <c r="C1440" s="22" t="str">
        <f aca="false">customer_churn_dataset!C845</f>
        <v>Month-to-month</v>
      </c>
      <c r="D1440" s="0" t="n">
        <f aca="false">INDEX(customer_churn_dataset!$E$2:$E$1501,MATCH($A1441,customer_churn_dataset!$A$2:$A$1501,0))</f>
        <v>5</v>
      </c>
      <c r="E1440" s="0" t="n">
        <f aca="false">INDEX(customer_churn_dataset!$I$2:$I$1501,MATCH($A1441,customer_churn_dataset!$A$2:$A$1501,0))</f>
        <v>68.6</v>
      </c>
      <c r="F1440" s="0" t="n">
        <f aca="false">INDEX(customer_churn_dataset!$L$2:$L$1501,MATCH($A1441,customer_churn_dataset!$A$2:$A$1501,0))</f>
        <v>0</v>
      </c>
      <c r="G1440" s="0" t="str">
        <f aca="false">IF(INDEX(customer_churn_dataset!$M$2:$M$1501,MATCH($A1441,customer_churn_dataset!$A$2:$A$1501,0))=1,"Yes","No")</f>
        <v>No</v>
      </c>
      <c r="H1440" s="0" t="n">
        <f aca="false">INDEX(customer_churn_dataset!$N$2:$N$1501,MATCH($A1441,customer_churn_dataset!$A$2:$A$1501,0))</f>
        <v>93.9</v>
      </c>
      <c r="I1440" s="0" t="n">
        <f aca="false">INDEX(customer_churn_dataset!$O$2:$O$1501,MATCH($A1441,customer_churn_dataset!$A$2:$A$1501,0))</f>
        <v>1</v>
      </c>
      <c r="J1440" s="0" t="n">
        <f aca="false">INDEX(customer_churn_dataset!$T$2:$T$1501,MATCH($A1441,customer_churn_dataset!$A$2:$A$1501,0))</f>
        <v>3</v>
      </c>
      <c r="K1440" s="0" t="str">
        <f aca="false">INDEX(customer_churn_dataset!$V$2:$V$1501,MATCH($A1441,customer_churn_dataset!$A$2:$A$1501,0))</f>
        <v>Medium Risk</v>
      </c>
    </row>
    <row r="1441" customFormat="false" ht="12.8" hidden="true" customHeight="false" outlineLevel="0" collapsed="false">
      <c r="A1441" s="22" t="str">
        <f aca="false">customer_churn_dataset!A870</f>
        <v>CUST100095</v>
      </c>
      <c r="B1441" s="22" t="str">
        <f aca="false">customer_churn_dataset!B870</f>
        <v>Standard</v>
      </c>
      <c r="C1441" s="22" t="str">
        <f aca="false">customer_churn_dataset!C870</f>
        <v>Month-to-month</v>
      </c>
      <c r="D1441" s="0" t="n">
        <f aca="false">INDEX(customer_churn_dataset!$E$2:$E$1501,MATCH($A1442,customer_churn_dataset!$A$2:$A$1501,0))</f>
        <v>37</v>
      </c>
      <c r="E1441" s="0" t="n">
        <f aca="false">INDEX(customer_churn_dataset!$I$2:$I$1501,MATCH($A1442,customer_churn_dataset!$A$2:$A$1501,0))</f>
        <v>31.7</v>
      </c>
      <c r="F1441" s="0" t="n">
        <f aca="false">INDEX(customer_churn_dataset!$L$2:$L$1501,MATCH($A1442,customer_churn_dataset!$A$2:$A$1501,0))</f>
        <v>3</v>
      </c>
      <c r="G1441" s="0" t="str">
        <f aca="false">IF(INDEX(customer_churn_dataset!$M$2:$M$1501,MATCH($A1442,customer_churn_dataset!$A$2:$A$1501,0))=1,"Yes","No")</f>
        <v>No</v>
      </c>
      <c r="H1441" s="0" t="n">
        <f aca="false">INDEX(customer_churn_dataset!$N$2:$N$1501,MATCH($A1442,customer_churn_dataset!$A$2:$A$1501,0))</f>
        <v>407.74</v>
      </c>
      <c r="I1441" s="0" t="n">
        <f aca="false">INDEX(customer_churn_dataset!$O$2:$O$1501,MATCH($A1442,customer_churn_dataset!$A$2:$A$1501,0))</f>
        <v>0</v>
      </c>
      <c r="J1441" s="0" t="n">
        <f aca="false">INDEX(customer_churn_dataset!$T$2:$T$1501,MATCH($A1442,customer_churn_dataset!$A$2:$A$1501,0))</f>
        <v>4</v>
      </c>
      <c r="K1441" s="0" t="str">
        <f aca="false">INDEX(customer_churn_dataset!$V$2:$V$1501,MATCH($A1442,customer_churn_dataset!$A$2:$A$1501,0))</f>
        <v>Medium Risk</v>
      </c>
    </row>
    <row r="1442" customFormat="false" ht="12.8" hidden="true" customHeight="false" outlineLevel="0" collapsed="false">
      <c r="A1442" s="22" t="str">
        <f aca="false">customer_churn_dataset!A882</f>
        <v>CUST100706</v>
      </c>
      <c r="B1442" s="22" t="str">
        <f aca="false">customer_churn_dataset!B882</f>
        <v>Basic</v>
      </c>
      <c r="C1442" s="22" t="str">
        <f aca="false">customer_churn_dataset!C882</f>
        <v>One year</v>
      </c>
      <c r="D1442" s="0" t="n">
        <f aca="false">INDEX(customer_churn_dataset!$E$2:$E$1501,MATCH($A1443,customer_churn_dataset!$A$2:$A$1501,0))</f>
        <v>34</v>
      </c>
      <c r="E1442" s="0" t="n">
        <f aca="false">INDEX(customer_churn_dataset!$I$2:$I$1501,MATCH($A1443,customer_churn_dataset!$A$2:$A$1501,0))</f>
        <v>76.5</v>
      </c>
      <c r="F1442" s="0" t="n">
        <f aca="false">INDEX(customer_churn_dataset!$L$2:$L$1501,MATCH($A1443,customer_churn_dataset!$A$2:$A$1501,0))</f>
        <v>0</v>
      </c>
      <c r="G1442" s="0" t="str">
        <f aca="false">IF(INDEX(customer_churn_dataset!$M$2:$M$1501,MATCH($A1443,customer_churn_dataset!$A$2:$A$1501,0))=1,"Yes","No")</f>
        <v>No</v>
      </c>
      <c r="H1442" s="0" t="n">
        <f aca="false">INDEX(customer_churn_dataset!$N$2:$N$1501,MATCH($A1443,customer_churn_dataset!$A$2:$A$1501,0))</f>
        <v>649.06</v>
      </c>
      <c r="I1442" s="0" t="n">
        <f aca="false">INDEX(customer_churn_dataset!$O$2:$O$1501,MATCH($A1443,customer_churn_dataset!$A$2:$A$1501,0))</f>
        <v>0</v>
      </c>
      <c r="J1442" s="0" t="n">
        <f aca="false">INDEX(customer_churn_dataset!$T$2:$T$1501,MATCH($A1443,customer_churn_dataset!$A$2:$A$1501,0))</f>
        <v>1</v>
      </c>
      <c r="K1442" s="0" t="str">
        <f aca="false">INDEX(customer_churn_dataset!$V$2:$V$1501,MATCH($A1443,customer_churn_dataset!$A$2:$A$1501,0))</f>
        <v>Low Risk</v>
      </c>
    </row>
    <row r="1443" customFormat="false" ht="12.8" hidden="true" customHeight="false" outlineLevel="0" collapsed="false">
      <c r="A1443" s="22" t="str">
        <f aca="false">customer_churn_dataset!A893</f>
        <v>CUST101086</v>
      </c>
      <c r="B1443" s="22" t="str">
        <f aca="false">customer_churn_dataset!B893</f>
        <v>Standard</v>
      </c>
      <c r="C1443" s="22" t="str">
        <f aca="false">customer_churn_dataset!C893</f>
        <v>One year</v>
      </c>
      <c r="D1443" s="0" t="n">
        <f aca="false">INDEX(customer_churn_dataset!$E$2:$E$1501,MATCH($A1444,customer_churn_dataset!$A$2:$A$1501,0))</f>
        <v>21</v>
      </c>
      <c r="E1443" s="0" t="n">
        <f aca="false">INDEX(customer_churn_dataset!$I$2:$I$1501,MATCH($A1444,customer_churn_dataset!$A$2:$A$1501,0))</f>
        <v>55.7</v>
      </c>
      <c r="F1443" s="0" t="n">
        <f aca="false">INDEX(customer_churn_dataset!$L$2:$L$1501,MATCH($A1444,customer_churn_dataset!$A$2:$A$1501,0))</f>
        <v>3</v>
      </c>
      <c r="G1443" s="0" t="str">
        <f aca="false">IF(INDEX(customer_churn_dataset!$M$2:$M$1501,MATCH($A1444,customer_churn_dataset!$A$2:$A$1501,0))=1,"Yes","No")</f>
        <v>Yes</v>
      </c>
      <c r="H1443" s="0" t="n">
        <f aca="false">INDEX(customer_churn_dataset!$N$2:$N$1501,MATCH($A1444,customer_churn_dataset!$A$2:$A$1501,0))</f>
        <v>401.52</v>
      </c>
      <c r="I1443" s="0" t="n">
        <f aca="false">INDEX(customer_churn_dataset!$O$2:$O$1501,MATCH($A1444,customer_churn_dataset!$A$2:$A$1501,0))</f>
        <v>0</v>
      </c>
      <c r="J1443" s="0" t="n">
        <f aca="false">INDEX(customer_churn_dataset!$T$2:$T$1501,MATCH($A1444,customer_churn_dataset!$A$2:$A$1501,0))</f>
        <v>5</v>
      </c>
      <c r="K1443" s="0" t="str">
        <f aca="false">INDEX(customer_churn_dataset!$V$2:$V$1501,MATCH($A1444,customer_churn_dataset!$A$2:$A$1501,0))</f>
        <v>Medium Risk</v>
      </c>
    </row>
    <row r="1444" customFormat="false" ht="12.8" hidden="true" customHeight="false" outlineLevel="0" collapsed="false">
      <c r="A1444" s="22" t="str">
        <f aca="false">customer_churn_dataset!A927</f>
        <v>CUST100942</v>
      </c>
      <c r="B1444" s="22" t="str">
        <f aca="false">customer_churn_dataset!B927</f>
        <v>Standard</v>
      </c>
      <c r="C1444" s="22" t="str">
        <f aca="false">customer_churn_dataset!C927</f>
        <v>One year</v>
      </c>
      <c r="D1444" s="0" t="n">
        <f aca="false">INDEX(customer_churn_dataset!$E$2:$E$1501,MATCH($A1445,customer_churn_dataset!$A$2:$A$1501,0))</f>
        <v>4</v>
      </c>
      <c r="E1444" s="0" t="n">
        <f aca="false">INDEX(customer_churn_dataset!$I$2:$I$1501,MATCH($A1445,customer_churn_dataset!$A$2:$A$1501,0))</f>
        <v>63.8</v>
      </c>
      <c r="F1444" s="0" t="n">
        <f aca="false">INDEX(customer_churn_dataset!$L$2:$L$1501,MATCH($A1445,customer_churn_dataset!$A$2:$A$1501,0))</f>
        <v>0</v>
      </c>
      <c r="G1444" s="0" t="str">
        <f aca="false">IF(INDEX(customer_churn_dataset!$M$2:$M$1501,MATCH($A1445,customer_churn_dataset!$A$2:$A$1501,0))=1,"Yes","No")</f>
        <v>No</v>
      </c>
      <c r="H1444" s="0" t="n">
        <f aca="false">INDEX(customer_churn_dataset!$N$2:$N$1501,MATCH($A1445,customer_churn_dataset!$A$2:$A$1501,0))</f>
        <v>43.76</v>
      </c>
      <c r="I1444" s="0" t="n">
        <f aca="false">INDEX(customer_churn_dataset!$O$2:$O$1501,MATCH($A1445,customer_churn_dataset!$A$2:$A$1501,0))</f>
        <v>0</v>
      </c>
      <c r="J1444" s="0" t="n">
        <f aca="false">INDEX(customer_churn_dataset!$T$2:$T$1501,MATCH($A1445,customer_churn_dataset!$A$2:$A$1501,0))</f>
        <v>2</v>
      </c>
      <c r="K1444" s="0" t="str">
        <f aca="false">INDEX(customer_churn_dataset!$V$2:$V$1501,MATCH($A1445,customer_churn_dataset!$A$2:$A$1501,0))</f>
        <v>Low Risk</v>
      </c>
    </row>
    <row r="1445" customFormat="false" ht="12.8" hidden="true" customHeight="false" outlineLevel="0" collapsed="false">
      <c r="A1445" s="22" t="str">
        <f aca="false">customer_churn_dataset!A932</f>
        <v>CUST100184</v>
      </c>
      <c r="B1445" s="22" t="str">
        <f aca="false">customer_churn_dataset!B932</f>
        <v>Basic</v>
      </c>
      <c r="C1445" s="22" t="str">
        <f aca="false">customer_churn_dataset!C932</f>
        <v>One year</v>
      </c>
      <c r="D1445" s="0" t="n">
        <f aca="false">INDEX(customer_churn_dataset!$E$2:$E$1501,MATCH($A1446,customer_churn_dataset!$A$2:$A$1501,0))</f>
        <v>2</v>
      </c>
      <c r="E1445" s="0" t="n">
        <f aca="false">INDEX(customer_churn_dataset!$I$2:$I$1501,MATCH($A1446,customer_churn_dataset!$A$2:$A$1501,0))</f>
        <v>54.6</v>
      </c>
      <c r="F1445" s="0" t="n">
        <f aca="false">INDEX(customer_churn_dataset!$L$2:$L$1501,MATCH($A1446,customer_churn_dataset!$A$2:$A$1501,0))</f>
        <v>3</v>
      </c>
      <c r="G1445" s="0" t="str">
        <f aca="false">IF(INDEX(customer_churn_dataset!$M$2:$M$1501,MATCH($A1446,customer_churn_dataset!$A$2:$A$1501,0))=1,"Yes","No")</f>
        <v>No</v>
      </c>
      <c r="H1445" s="0" t="n">
        <f aca="false">INDEX(customer_churn_dataset!$N$2:$N$1501,MATCH($A1446,customer_churn_dataset!$A$2:$A$1501,0))</f>
        <v>42.24</v>
      </c>
      <c r="I1445" s="0" t="n">
        <f aca="false">INDEX(customer_churn_dataset!$O$2:$O$1501,MATCH($A1446,customer_churn_dataset!$A$2:$A$1501,0))</f>
        <v>0</v>
      </c>
      <c r="J1445" s="0" t="n">
        <f aca="false">INDEX(customer_churn_dataset!$T$2:$T$1501,MATCH($A1446,customer_churn_dataset!$A$2:$A$1501,0))</f>
        <v>5</v>
      </c>
      <c r="K1445" s="0" t="str">
        <f aca="false">INDEX(customer_churn_dataset!$V$2:$V$1501,MATCH($A1446,customer_churn_dataset!$A$2:$A$1501,0))</f>
        <v>Medium Risk</v>
      </c>
    </row>
    <row r="1446" customFormat="false" ht="12.8" hidden="true" customHeight="false" outlineLevel="0" collapsed="false">
      <c r="A1446" s="22" t="str">
        <f aca="false">customer_churn_dataset!A939</f>
        <v>CUST100788</v>
      </c>
      <c r="B1446" s="22" t="str">
        <f aca="false">customer_churn_dataset!B939</f>
        <v>Standard</v>
      </c>
      <c r="C1446" s="22" t="str">
        <f aca="false">customer_churn_dataset!C939</f>
        <v>Month-to-month</v>
      </c>
      <c r="D1446" s="0" t="n">
        <f aca="false">INDEX(customer_churn_dataset!$E$2:$E$1501,MATCH($A1447,customer_churn_dataset!$A$2:$A$1501,0))</f>
        <v>18</v>
      </c>
      <c r="E1446" s="0" t="n">
        <f aca="false">INDEX(customer_churn_dataset!$I$2:$I$1501,MATCH($A1447,customer_churn_dataset!$A$2:$A$1501,0))</f>
        <v>16.1</v>
      </c>
      <c r="F1446" s="0" t="n">
        <f aca="false">INDEX(customer_churn_dataset!$L$2:$L$1501,MATCH($A1447,customer_churn_dataset!$A$2:$A$1501,0))</f>
        <v>3</v>
      </c>
      <c r="G1446" s="0" t="str">
        <f aca="false">IF(INDEX(customer_churn_dataset!$M$2:$M$1501,MATCH($A1447,customer_churn_dataset!$A$2:$A$1501,0))=1,"Yes","No")</f>
        <v>Yes</v>
      </c>
      <c r="H1446" s="0" t="n">
        <f aca="false">INDEX(customer_churn_dataset!$N$2:$N$1501,MATCH($A1447,customer_churn_dataset!$A$2:$A$1501,0))</f>
        <v>360.36</v>
      </c>
      <c r="I1446" s="0" t="n">
        <f aca="false">INDEX(customer_churn_dataset!$O$2:$O$1501,MATCH($A1447,customer_churn_dataset!$A$2:$A$1501,0))</f>
        <v>0</v>
      </c>
      <c r="J1446" s="0" t="n">
        <f aca="false">INDEX(customer_churn_dataset!$T$2:$T$1501,MATCH($A1447,customer_churn_dataset!$A$2:$A$1501,0))</f>
        <v>7</v>
      </c>
      <c r="K1446" s="0" t="str">
        <f aca="false">INDEX(customer_churn_dataset!$V$2:$V$1501,MATCH($A1447,customer_churn_dataset!$A$2:$A$1501,0))</f>
        <v>High Risk</v>
      </c>
    </row>
    <row r="1447" customFormat="false" ht="12.8" hidden="true" customHeight="false" outlineLevel="0" collapsed="false">
      <c r="A1447" s="22" t="str">
        <f aca="false">customer_churn_dataset!A942</f>
        <v>CUST101113</v>
      </c>
      <c r="B1447" s="22" t="str">
        <f aca="false">customer_churn_dataset!B942</f>
        <v>Standard</v>
      </c>
      <c r="C1447" s="22" t="str">
        <f aca="false">customer_churn_dataset!C942</f>
        <v>One year</v>
      </c>
      <c r="D1447" s="0" t="n">
        <f aca="false">INDEX(customer_churn_dataset!$E$2:$E$1501,MATCH($A1448,customer_churn_dataset!$A$2:$A$1501,0))</f>
        <v>11</v>
      </c>
      <c r="E1447" s="0" t="n">
        <f aca="false">INDEX(customer_churn_dataset!$I$2:$I$1501,MATCH($A1448,customer_churn_dataset!$A$2:$A$1501,0))</f>
        <v>41.1</v>
      </c>
      <c r="F1447" s="0" t="n">
        <f aca="false">INDEX(customer_churn_dataset!$L$2:$L$1501,MATCH($A1448,customer_churn_dataset!$A$2:$A$1501,0))</f>
        <v>0</v>
      </c>
      <c r="G1447" s="0" t="str">
        <f aca="false">IF(INDEX(customer_churn_dataset!$M$2:$M$1501,MATCH($A1448,customer_churn_dataset!$A$2:$A$1501,0))=1,"Yes","No")</f>
        <v>No</v>
      </c>
      <c r="H1447" s="0" t="n">
        <f aca="false">INDEX(customer_churn_dataset!$N$2:$N$1501,MATCH($A1448,customer_churn_dataset!$A$2:$A$1501,0))</f>
        <v>468.38</v>
      </c>
      <c r="I1447" s="0" t="n">
        <f aca="false">INDEX(customer_churn_dataset!$O$2:$O$1501,MATCH($A1448,customer_churn_dataset!$A$2:$A$1501,0))</f>
        <v>0</v>
      </c>
      <c r="J1447" s="0" t="n">
        <f aca="false">INDEX(customer_churn_dataset!$T$2:$T$1501,MATCH($A1448,customer_churn_dataset!$A$2:$A$1501,0))</f>
        <v>4</v>
      </c>
      <c r="K1447" s="0" t="str">
        <f aca="false">INDEX(customer_churn_dataset!$V$2:$V$1501,MATCH($A1448,customer_churn_dataset!$A$2:$A$1501,0))</f>
        <v>Medium Risk</v>
      </c>
    </row>
    <row r="1448" customFormat="false" ht="12.8" hidden="true" customHeight="false" outlineLevel="0" collapsed="false">
      <c r="A1448" s="22" t="str">
        <f aca="false">customer_churn_dataset!A945</f>
        <v>CUST100489</v>
      </c>
      <c r="B1448" s="22" t="str">
        <f aca="false">customer_churn_dataset!B945</f>
        <v>Premium</v>
      </c>
      <c r="C1448" s="22" t="str">
        <f aca="false">customer_churn_dataset!C945</f>
        <v>Month-to-month</v>
      </c>
      <c r="D1448" s="0" t="n">
        <f aca="false">INDEX(customer_churn_dataset!$E$2:$E$1501,MATCH($A1449,customer_churn_dataset!$A$2:$A$1501,0))</f>
        <v>1</v>
      </c>
      <c r="E1448" s="0" t="n">
        <f aca="false">INDEX(customer_churn_dataset!$I$2:$I$1501,MATCH($A1449,customer_churn_dataset!$A$2:$A$1501,0))</f>
        <v>48.7</v>
      </c>
      <c r="F1448" s="0" t="n">
        <f aca="false">INDEX(customer_churn_dataset!$L$2:$L$1501,MATCH($A1449,customer_churn_dataset!$A$2:$A$1501,0))</f>
        <v>1</v>
      </c>
      <c r="G1448" s="0" t="str">
        <f aca="false">IF(INDEX(customer_churn_dataset!$M$2:$M$1501,MATCH($A1449,customer_churn_dataset!$A$2:$A$1501,0))=1,"Yes","No")</f>
        <v>No</v>
      </c>
      <c r="H1448" s="0" t="n">
        <f aca="false">INDEX(customer_churn_dataset!$N$2:$N$1501,MATCH($A1449,customer_churn_dataset!$A$2:$A$1501,0))</f>
        <v>40.81</v>
      </c>
      <c r="I1448" s="0" t="n">
        <f aca="false">INDEX(customer_churn_dataset!$O$2:$O$1501,MATCH($A1449,customer_churn_dataset!$A$2:$A$1501,0))</f>
        <v>0</v>
      </c>
      <c r="J1448" s="0" t="n">
        <f aca="false">INDEX(customer_churn_dataset!$T$2:$T$1501,MATCH($A1449,customer_churn_dataset!$A$2:$A$1501,0))</f>
        <v>4</v>
      </c>
      <c r="K1448" s="0" t="str">
        <f aca="false">INDEX(customer_churn_dataset!$V$2:$V$1501,MATCH($A1449,customer_churn_dataset!$A$2:$A$1501,0))</f>
        <v>Medium Risk</v>
      </c>
    </row>
    <row r="1449" customFormat="false" ht="12.8" hidden="true" customHeight="false" outlineLevel="0" collapsed="false">
      <c r="A1449" s="22" t="str">
        <f aca="false">customer_churn_dataset!A965</f>
        <v>CUST100271</v>
      </c>
      <c r="B1449" s="22" t="str">
        <f aca="false">customer_churn_dataset!B965</f>
        <v>Premium</v>
      </c>
      <c r="C1449" s="22" t="str">
        <f aca="false">customer_churn_dataset!C965</f>
        <v>Month-to-month</v>
      </c>
      <c r="D1449" s="0" t="n">
        <f aca="false">INDEX(customer_churn_dataset!$E$2:$E$1501,MATCH($A1450,customer_churn_dataset!$A$2:$A$1501,0))</f>
        <v>15</v>
      </c>
      <c r="E1449" s="0" t="n">
        <f aca="false">INDEX(customer_churn_dataset!$I$2:$I$1501,MATCH($A1450,customer_churn_dataset!$A$2:$A$1501,0))</f>
        <v>57.3</v>
      </c>
      <c r="F1449" s="0" t="n">
        <f aca="false">INDEX(customer_churn_dataset!$L$2:$L$1501,MATCH($A1450,customer_churn_dataset!$A$2:$A$1501,0))</f>
        <v>1</v>
      </c>
      <c r="G1449" s="0" t="str">
        <f aca="false">IF(INDEX(customer_churn_dataset!$M$2:$M$1501,MATCH($A1450,customer_churn_dataset!$A$2:$A$1501,0))=1,"Yes","No")</f>
        <v>No</v>
      </c>
      <c r="H1449" s="0" t="n">
        <f aca="false">INDEX(customer_churn_dataset!$N$2:$N$1501,MATCH($A1450,customer_churn_dataset!$A$2:$A$1501,0))</f>
        <v>291.6</v>
      </c>
      <c r="I1449" s="0" t="n">
        <f aca="false">INDEX(customer_churn_dataset!$O$2:$O$1501,MATCH($A1450,customer_churn_dataset!$A$2:$A$1501,0))</f>
        <v>0</v>
      </c>
      <c r="J1449" s="0" t="n">
        <f aca="false">INDEX(customer_churn_dataset!$T$2:$T$1501,MATCH($A1450,customer_churn_dataset!$A$2:$A$1501,0))</f>
        <v>2</v>
      </c>
      <c r="K1449" s="0" t="str">
        <f aca="false">INDEX(customer_churn_dataset!$V$2:$V$1501,MATCH($A1450,customer_churn_dataset!$A$2:$A$1501,0))</f>
        <v>Low Risk</v>
      </c>
    </row>
    <row r="1450" customFormat="false" ht="12.8" hidden="true" customHeight="false" outlineLevel="0" collapsed="false">
      <c r="A1450" s="22" t="str">
        <f aca="false">customer_churn_dataset!A977</f>
        <v>CUST100196</v>
      </c>
      <c r="B1450" s="22" t="str">
        <f aca="false">customer_churn_dataset!B977</f>
        <v>Standard</v>
      </c>
      <c r="C1450" s="22" t="str">
        <f aca="false">customer_churn_dataset!C977</f>
        <v>Month-to-month</v>
      </c>
      <c r="D1450" s="0" t="n">
        <f aca="false">INDEX(customer_churn_dataset!$E$2:$E$1501,MATCH($A1451,customer_churn_dataset!$A$2:$A$1501,0))</f>
        <v>2</v>
      </c>
      <c r="E1450" s="0" t="n">
        <f aca="false">INDEX(customer_churn_dataset!$I$2:$I$1501,MATCH($A1451,customer_churn_dataset!$A$2:$A$1501,0))</f>
        <v>10.1</v>
      </c>
      <c r="F1450" s="0" t="n">
        <f aca="false">INDEX(customer_churn_dataset!$L$2:$L$1501,MATCH($A1451,customer_churn_dataset!$A$2:$A$1501,0))</f>
        <v>1</v>
      </c>
      <c r="G1450" s="0" t="str">
        <f aca="false">IF(INDEX(customer_churn_dataset!$M$2:$M$1501,MATCH($A1451,customer_churn_dataset!$A$2:$A$1501,0))=1,"Yes","No")</f>
        <v>No</v>
      </c>
      <c r="H1450" s="0" t="n">
        <f aca="false">INDEX(customer_churn_dataset!$N$2:$N$1501,MATCH($A1451,customer_churn_dataset!$A$2:$A$1501,0))</f>
        <v>19.72</v>
      </c>
      <c r="I1450" s="0" t="n">
        <f aca="false">INDEX(customer_churn_dataset!$O$2:$O$1501,MATCH($A1451,customer_churn_dataset!$A$2:$A$1501,0))</f>
        <v>0</v>
      </c>
      <c r="J1450" s="0" t="n">
        <f aca="false">INDEX(customer_churn_dataset!$T$2:$T$1501,MATCH($A1451,customer_churn_dataset!$A$2:$A$1501,0))</f>
        <v>3</v>
      </c>
      <c r="K1450" s="0" t="str">
        <f aca="false">INDEX(customer_churn_dataset!$V$2:$V$1501,MATCH($A1451,customer_churn_dataset!$A$2:$A$1501,0))</f>
        <v>Medium Risk</v>
      </c>
    </row>
    <row r="1451" customFormat="false" ht="12.8" hidden="true" customHeight="false" outlineLevel="0" collapsed="false">
      <c r="A1451" s="22" t="str">
        <f aca="false">customer_churn_dataset!A983</f>
        <v>CUST101276</v>
      </c>
      <c r="B1451" s="22" t="str">
        <f aca="false">customer_churn_dataset!B983</f>
        <v>Basic</v>
      </c>
      <c r="C1451" s="22" t="str">
        <f aca="false">customer_churn_dataset!C983</f>
        <v>Two year</v>
      </c>
      <c r="D1451" s="0" t="n">
        <f aca="false">INDEX(customer_churn_dataset!$E$2:$E$1501,MATCH($A1452,customer_churn_dataset!$A$2:$A$1501,0))</f>
        <v>4</v>
      </c>
      <c r="E1451" s="0" t="n">
        <f aca="false">INDEX(customer_churn_dataset!$I$2:$I$1501,MATCH($A1452,customer_churn_dataset!$A$2:$A$1501,0))</f>
        <v>55.6</v>
      </c>
      <c r="F1451" s="0" t="n">
        <f aca="false">INDEX(customer_churn_dataset!$L$2:$L$1501,MATCH($A1452,customer_churn_dataset!$A$2:$A$1501,0))</f>
        <v>0</v>
      </c>
      <c r="G1451" s="0" t="str">
        <f aca="false">IF(INDEX(customer_churn_dataset!$M$2:$M$1501,MATCH($A1452,customer_churn_dataset!$A$2:$A$1501,0))=1,"Yes","No")</f>
        <v>No</v>
      </c>
      <c r="H1451" s="0" t="n">
        <f aca="false">INDEX(customer_churn_dataset!$N$2:$N$1501,MATCH($A1452,customer_churn_dataset!$A$2:$A$1501,0))</f>
        <v>148.2</v>
      </c>
      <c r="I1451" s="0" t="n">
        <f aca="false">INDEX(customer_churn_dataset!$O$2:$O$1501,MATCH($A1452,customer_churn_dataset!$A$2:$A$1501,0))</f>
        <v>0</v>
      </c>
      <c r="J1451" s="0" t="n">
        <f aca="false">INDEX(customer_churn_dataset!$T$2:$T$1501,MATCH($A1452,customer_churn_dataset!$A$2:$A$1501,0))</f>
        <v>2</v>
      </c>
      <c r="K1451" s="0" t="str">
        <f aca="false">INDEX(customer_churn_dataset!$V$2:$V$1501,MATCH($A1452,customer_churn_dataset!$A$2:$A$1501,0))</f>
        <v>Low Risk</v>
      </c>
    </row>
    <row r="1452" customFormat="false" ht="12.8" hidden="true" customHeight="false" outlineLevel="0" collapsed="false">
      <c r="A1452" s="22" t="str">
        <f aca="false">customer_churn_dataset!A988</f>
        <v>CUST100811</v>
      </c>
      <c r="B1452" s="22" t="str">
        <f aca="false">customer_churn_dataset!B988</f>
        <v>Premium</v>
      </c>
      <c r="C1452" s="22" t="str">
        <f aca="false">customer_churn_dataset!C988</f>
        <v>One year</v>
      </c>
      <c r="D1452" s="0" t="n">
        <f aca="false">INDEX(customer_churn_dataset!$E$2:$E$1501,MATCH($A1453,customer_churn_dataset!$A$2:$A$1501,0))</f>
        <v>31</v>
      </c>
      <c r="E1452" s="0" t="n">
        <f aca="false">INDEX(customer_churn_dataset!$I$2:$I$1501,MATCH($A1453,customer_churn_dataset!$A$2:$A$1501,0))</f>
        <v>68.5</v>
      </c>
      <c r="F1452" s="0" t="n">
        <f aca="false">INDEX(customer_churn_dataset!$L$2:$L$1501,MATCH($A1453,customer_churn_dataset!$A$2:$A$1501,0))</f>
        <v>1</v>
      </c>
      <c r="G1452" s="0" t="str">
        <f aca="false">IF(INDEX(customer_churn_dataset!$M$2:$M$1501,MATCH($A1453,customer_churn_dataset!$A$2:$A$1501,0))=1,"Yes","No")</f>
        <v>Yes</v>
      </c>
      <c r="H1452" s="0" t="n">
        <f aca="false">INDEX(customer_churn_dataset!$N$2:$N$1501,MATCH($A1453,customer_churn_dataset!$A$2:$A$1501,0))</f>
        <v>577.84</v>
      </c>
      <c r="I1452" s="0" t="n">
        <f aca="false">INDEX(customer_churn_dataset!$O$2:$O$1501,MATCH($A1453,customer_churn_dataset!$A$2:$A$1501,0))</f>
        <v>0</v>
      </c>
      <c r="J1452" s="0" t="n">
        <f aca="false">INDEX(customer_churn_dataset!$T$2:$T$1501,MATCH($A1453,customer_churn_dataset!$A$2:$A$1501,0))</f>
        <v>5</v>
      </c>
      <c r="K1452" s="0" t="str">
        <f aca="false">INDEX(customer_churn_dataset!$V$2:$V$1501,MATCH($A1453,customer_churn_dataset!$A$2:$A$1501,0))</f>
        <v>Medium Risk</v>
      </c>
    </row>
    <row r="1453" customFormat="false" ht="12.8" hidden="true" customHeight="false" outlineLevel="0" collapsed="false">
      <c r="A1453" s="22" t="str">
        <f aca="false">customer_churn_dataset!A998</f>
        <v>CUST100894</v>
      </c>
      <c r="B1453" s="22" t="str">
        <f aca="false">customer_churn_dataset!B998</f>
        <v>Standard</v>
      </c>
      <c r="C1453" s="22" t="str">
        <f aca="false">customer_churn_dataset!C998</f>
        <v>Month-to-month</v>
      </c>
      <c r="D1453" s="0" t="n">
        <f aca="false">INDEX(customer_churn_dataset!$E$2:$E$1501,MATCH($A1454,customer_churn_dataset!$A$2:$A$1501,0))</f>
        <v>8</v>
      </c>
      <c r="E1453" s="0" t="n">
        <f aca="false">INDEX(customer_churn_dataset!$I$2:$I$1501,MATCH($A1454,customer_churn_dataset!$A$2:$A$1501,0))</f>
        <v>82.1</v>
      </c>
      <c r="F1453" s="0" t="n">
        <f aca="false">INDEX(customer_churn_dataset!$L$2:$L$1501,MATCH($A1454,customer_churn_dataset!$A$2:$A$1501,0))</f>
        <v>0</v>
      </c>
      <c r="G1453" s="0" t="str">
        <f aca="false">IF(INDEX(customer_churn_dataset!$M$2:$M$1501,MATCH($A1454,customer_churn_dataset!$A$2:$A$1501,0))=1,"Yes","No")</f>
        <v>No</v>
      </c>
      <c r="H1453" s="0" t="n">
        <f aca="false">INDEX(customer_churn_dataset!$N$2:$N$1501,MATCH($A1454,customer_churn_dataset!$A$2:$A$1501,0))</f>
        <v>318.72</v>
      </c>
      <c r="I1453" s="0" t="n">
        <f aca="false">INDEX(customer_churn_dataset!$O$2:$O$1501,MATCH($A1454,customer_churn_dataset!$A$2:$A$1501,0))</f>
        <v>1</v>
      </c>
      <c r="J1453" s="0" t="n">
        <f aca="false">INDEX(customer_churn_dataset!$T$2:$T$1501,MATCH($A1454,customer_churn_dataset!$A$2:$A$1501,0))</f>
        <v>3</v>
      </c>
      <c r="K1453" s="0" t="str">
        <f aca="false">INDEX(customer_churn_dataset!$V$2:$V$1501,MATCH($A1454,customer_churn_dataset!$A$2:$A$1501,0))</f>
        <v>Medium Risk</v>
      </c>
    </row>
    <row r="1454" customFormat="false" ht="12.8" hidden="true" customHeight="false" outlineLevel="0" collapsed="false">
      <c r="A1454" s="22" t="str">
        <f aca="false">customer_churn_dataset!A1002</f>
        <v>CUST100807</v>
      </c>
      <c r="B1454" s="22" t="str">
        <f aca="false">customer_churn_dataset!B1002</f>
        <v>Premium</v>
      </c>
      <c r="C1454" s="22" t="str">
        <f aca="false">customer_churn_dataset!C1002</f>
        <v>Month-to-month</v>
      </c>
      <c r="D1454" s="0" t="n">
        <f aca="false">INDEX(customer_churn_dataset!$E$2:$E$1501,MATCH($A1455,customer_churn_dataset!$A$2:$A$1501,0))</f>
        <v>19</v>
      </c>
      <c r="E1454" s="0" t="n">
        <f aca="false">INDEX(customer_churn_dataset!$I$2:$I$1501,MATCH($A1455,customer_churn_dataset!$A$2:$A$1501,0))</f>
        <v>61.8</v>
      </c>
      <c r="F1454" s="0" t="n">
        <f aca="false">INDEX(customer_churn_dataset!$L$2:$L$1501,MATCH($A1455,customer_churn_dataset!$A$2:$A$1501,0))</f>
        <v>0</v>
      </c>
      <c r="G1454" s="0" t="str">
        <f aca="false">IF(INDEX(customer_churn_dataset!$M$2:$M$1501,MATCH($A1455,customer_churn_dataset!$A$2:$A$1501,0))=1,"Yes","No")</f>
        <v>No</v>
      </c>
      <c r="H1454" s="0" t="n">
        <f aca="false">INDEX(customer_churn_dataset!$N$2:$N$1501,MATCH($A1455,customer_churn_dataset!$A$2:$A$1501,0))</f>
        <v>758.29</v>
      </c>
      <c r="I1454" s="0" t="n">
        <f aca="false">INDEX(customer_churn_dataset!$O$2:$O$1501,MATCH($A1455,customer_churn_dataset!$A$2:$A$1501,0))</f>
        <v>1</v>
      </c>
      <c r="J1454" s="0" t="n">
        <f aca="false">INDEX(customer_churn_dataset!$T$2:$T$1501,MATCH($A1455,customer_churn_dataset!$A$2:$A$1501,0))</f>
        <v>2</v>
      </c>
      <c r="K1454" s="0" t="str">
        <f aca="false">INDEX(customer_churn_dataset!$V$2:$V$1501,MATCH($A1455,customer_churn_dataset!$A$2:$A$1501,0))</f>
        <v>Low Risk</v>
      </c>
    </row>
    <row r="1455" customFormat="false" ht="12.8" hidden="true" customHeight="false" outlineLevel="0" collapsed="false">
      <c r="A1455" s="22" t="str">
        <f aca="false">customer_churn_dataset!A1007</f>
        <v>CUST100453</v>
      </c>
      <c r="B1455" s="22" t="str">
        <f aca="false">customer_churn_dataset!B1007</f>
        <v>Premium</v>
      </c>
      <c r="C1455" s="22" t="str">
        <f aca="false">customer_churn_dataset!C1007</f>
        <v>Month-to-month</v>
      </c>
      <c r="D1455" s="0" t="n">
        <f aca="false">INDEX(customer_churn_dataset!$E$2:$E$1501,MATCH($A1456,customer_churn_dataset!$A$2:$A$1501,0))</f>
        <v>31</v>
      </c>
      <c r="E1455" s="0" t="n">
        <f aca="false">INDEX(customer_churn_dataset!$I$2:$I$1501,MATCH($A1456,customer_churn_dataset!$A$2:$A$1501,0))</f>
        <v>62.9</v>
      </c>
      <c r="F1455" s="0" t="n">
        <f aca="false">INDEX(customer_churn_dataset!$L$2:$L$1501,MATCH($A1456,customer_churn_dataset!$A$2:$A$1501,0))</f>
        <v>0</v>
      </c>
      <c r="G1455" s="0" t="str">
        <f aca="false">IF(INDEX(customer_churn_dataset!$M$2:$M$1501,MATCH($A1456,customer_churn_dataset!$A$2:$A$1501,0))=1,"Yes","No")</f>
        <v>No</v>
      </c>
      <c r="H1455" s="0" t="n">
        <f aca="false">INDEX(customer_churn_dataset!$N$2:$N$1501,MATCH($A1456,customer_churn_dataset!$A$2:$A$1501,0))</f>
        <v>599.23</v>
      </c>
      <c r="I1455" s="0" t="n">
        <f aca="false">INDEX(customer_churn_dataset!$O$2:$O$1501,MATCH($A1456,customer_churn_dataset!$A$2:$A$1501,0))</f>
        <v>0</v>
      </c>
      <c r="J1455" s="0" t="n">
        <f aca="false">INDEX(customer_churn_dataset!$T$2:$T$1501,MATCH($A1456,customer_churn_dataset!$A$2:$A$1501,0))</f>
        <v>1</v>
      </c>
      <c r="K1455" s="0" t="str">
        <f aca="false">INDEX(customer_churn_dataset!$V$2:$V$1501,MATCH($A1456,customer_churn_dataset!$A$2:$A$1501,0))</f>
        <v>Low Risk</v>
      </c>
    </row>
    <row r="1456" customFormat="false" ht="12.8" hidden="true" customHeight="false" outlineLevel="0" collapsed="false">
      <c r="A1456" s="22" t="str">
        <f aca="false">customer_churn_dataset!A1019</f>
        <v>CUST101179</v>
      </c>
      <c r="B1456" s="22" t="str">
        <f aca="false">customer_churn_dataset!B1019</f>
        <v>Standard</v>
      </c>
      <c r="C1456" s="22" t="str">
        <f aca="false">customer_churn_dataset!C1019</f>
        <v>One year</v>
      </c>
      <c r="D1456" s="0" t="n">
        <f aca="false">INDEX(customer_churn_dataset!$E$2:$E$1501,MATCH($A1457,customer_churn_dataset!$A$2:$A$1501,0))</f>
        <v>1</v>
      </c>
      <c r="E1456" s="0" t="n">
        <f aca="false">INDEX(customer_churn_dataset!$I$2:$I$1501,MATCH($A1457,customer_churn_dataset!$A$2:$A$1501,0))</f>
        <v>19.1</v>
      </c>
      <c r="F1456" s="0" t="n">
        <f aca="false">INDEX(customer_churn_dataset!$L$2:$L$1501,MATCH($A1457,customer_churn_dataset!$A$2:$A$1501,0))</f>
        <v>0</v>
      </c>
      <c r="G1456" s="0" t="str">
        <f aca="false">IF(INDEX(customer_churn_dataset!$M$2:$M$1501,MATCH($A1457,customer_churn_dataset!$A$2:$A$1501,0))=1,"Yes","No")</f>
        <v>No</v>
      </c>
      <c r="H1456" s="0" t="n">
        <f aca="false">INDEX(customer_churn_dataset!$N$2:$N$1501,MATCH($A1457,customer_churn_dataset!$A$2:$A$1501,0))</f>
        <v>9.88</v>
      </c>
      <c r="I1456" s="0" t="n">
        <f aca="false">INDEX(customer_churn_dataset!$O$2:$O$1501,MATCH($A1457,customer_churn_dataset!$A$2:$A$1501,0))</f>
        <v>0</v>
      </c>
      <c r="J1456" s="0" t="n">
        <f aca="false">INDEX(customer_churn_dataset!$T$2:$T$1501,MATCH($A1457,customer_churn_dataset!$A$2:$A$1501,0))</f>
        <v>4</v>
      </c>
      <c r="K1456" s="0" t="str">
        <f aca="false">INDEX(customer_churn_dataset!$V$2:$V$1501,MATCH($A1457,customer_churn_dataset!$A$2:$A$1501,0))</f>
        <v>Medium Risk</v>
      </c>
    </row>
    <row r="1457" customFormat="false" ht="12.8" hidden="true" customHeight="false" outlineLevel="0" collapsed="false">
      <c r="A1457" s="22" t="str">
        <f aca="false">customer_churn_dataset!A1022</f>
        <v>CUST100744</v>
      </c>
      <c r="B1457" s="22" t="str">
        <f aca="false">customer_churn_dataset!B1022</f>
        <v>Basic</v>
      </c>
      <c r="C1457" s="22" t="str">
        <f aca="false">customer_churn_dataset!C1022</f>
        <v>One year</v>
      </c>
      <c r="D1457" s="0" t="n">
        <f aca="false">INDEX(customer_churn_dataset!$E$2:$E$1501,MATCH($A1458,customer_churn_dataset!$A$2:$A$1501,0))</f>
        <v>5</v>
      </c>
      <c r="E1457" s="0" t="n">
        <f aca="false">INDEX(customer_churn_dataset!$I$2:$I$1501,MATCH($A1458,customer_churn_dataset!$A$2:$A$1501,0))</f>
        <v>33.4</v>
      </c>
      <c r="F1457" s="0" t="n">
        <f aca="false">INDEX(customer_churn_dataset!$L$2:$L$1501,MATCH($A1458,customer_churn_dataset!$A$2:$A$1501,0))</f>
        <v>2</v>
      </c>
      <c r="G1457" s="0" t="str">
        <f aca="false">IF(INDEX(customer_churn_dataset!$M$2:$M$1501,MATCH($A1458,customer_churn_dataset!$A$2:$A$1501,0))=1,"Yes","No")</f>
        <v>No</v>
      </c>
      <c r="H1457" s="0" t="n">
        <f aca="false">INDEX(customer_churn_dataset!$N$2:$N$1501,MATCH($A1458,customer_churn_dataset!$A$2:$A$1501,0))</f>
        <v>48.45</v>
      </c>
      <c r="I1457" s="0" t="n">
        <f aca="false">INDEX(customer_churn_dataset!$O$2:$O$1501,MATCH($A1458,customer_churn_dataset!$A$2:$A$1501,0))</f>
        <v>0</v>
      </c>
      <c r="J1457" s="0" t="n">
        <f aca="false">INDEX(customer_churn_dataset!$T$2:$T$1501,MATCH($A1458,customer_churn_dataset!$A$2:$A$1501,0))</f>
        <v>5</v>
      </c>
      <c r="K1457" s="0" t="str">
        <f aca="false">INDEX(customer_churn_dataset!$V$2:$V$1501,MATCH($A1458,customer_churn_dataset!$A$2:$A$1501,0))</f>
        <v>Medium Risk</v>
      </c>
    </row>
    <row r="1458" customFormat="false" ht="12.8" hidden="true" customHeight="false" outlineLevel="0" collapsed="false">
      <c r="A1458" s="22" t="str">
        <f aca="false">customer_churn_dataset!A1026</f>
        <v>CUST100495</v>
      </c>
      <c r="B1458" s="22" t="str">
        <f aca="false">customer_churn_dataset!B1026</f>
        <v>Basic</v>
      </c>
      <c r="C1458" s="22" t="str">
        <f aca="false">customer_churn_dataset!C1026</f>
        <v>One year</v>
      </c>
      <c r="D1458" s="0" t="n">
        <f aca="false">INDEX(customer_churn_dataset!$E$2:$E$1501,MATCH($A1459,customer_churn_dataset!$A$2:$A$1501,0))</f>
        <v>12</v>
      </c>
      <c r="E1458" s="0" t="n">
        <f aca="false">INDEX(customer_churn_dataset!$I$2:$I$1501,MATCH($A1459,customer_churn_dataset!$A$2:$A$1501,0))</f>
        <v>47.1</v>
      </c>
      <c r="F1458" s="0" t="n">
        <f aca="false">INDEX(customer_churn_dataset!$L$2:$L$1501,MATCH($A1459,customer_churn_dataset!$A$2:$A$1501,0))</f>
        <v>1</v>
      </c>
      <c r="G1458" s="0" t="str">
        <f aca="false">IF(INDEX(customer_churn_dataset!$M$2:$M$1501,MATCH($A1459,customer_churn_dataset!$A$2:$A$1501,0))=1,"Yes","No")</f>
        <v>No</v>
      </c>
      <c r="H1458" s="0" t="n">
        <f aca="false">INDEX(customer_churn_dataset!$N$2:$N$1501,MATCH($A1459,customer_churn_dataset!$A$2:$A$1501,0))</f>
        <v>245.76</v>
      </c>
      <c r="I1458" s="0" t="n">
        <f aca="false">INDEX(customer_churn_dataset!$O$2:$O$1501,MATCH($A1459,customer_churn_dataset!$A$2:$A$1501,0))</f>
        <v>0</v>
      </c>
      <c r="J1458" s="0" t="n">
        <f aca="false">INDEX(customer_churn_dataset!$T$2:$T$1501,MATCH($A1459,customer_churn_dataset!$A$2:$A$1501,0))</f>
        <v>3</v>
      </c>
      <c r="K1458" s="0" t="str">
        <f aca="false">INDEX(customer_churn_dataset!$V$2:$V$1501,MATCH($A1459,customer_churn_dataset!$A$2:$A$1501,0))</f>
        <v>Medium Risk</v>
      </c>
    </row>
    <row r="1459" customFormat="false" ht="12.8" hidden="true" customHeight="false" outlineLevel="0" collapsed="false">
      <c r="A1459" s="22" t="str">
        <f aca="false">customer_churn_dataset!A1038</f>
        <v>CUST100541</v>
      </c>
      <c r="B1459" s="22" t="str">
        <f aca="false">customer_churn_dataset!B1038</f>
        <v>Standard</v>
      </c>
      <c r="C1459" s="22" t="str">
        <f aca="false">customer_churn_dataset!C1038</f>
        <v>Month-to-month</v>
      </c>
      <c r="D1459" s="0" t="n">
        <f aca="false">INDEX(customer_churn_dataset!$E$2:$E$1501,MATCH($A1460,customer_churn_dataset!$A$2:$A$1501,0))</f>
        <v>12</v>
      </c>
      <c r="E1459" s="0" t="n">
        <f aca="false">INDEX(customer_churn_dataset!$I$2:$I$1501,MATCH($A1460,customer_churn_dataset!$A$2:$A$1501,0))</f>
        <v>93.7</v>
      </c>
      <c r="F1459" s="0" t="n">
        <f aca="false">INDEX(customer_churn_dataset!$L$2:$L$1501,MATCH($A1460,customer_churn_dataset!$A$2:$A$1501,0))</f>
        <v>1</v>
      </c>
      <c r="G1459" s="0" t="str">
        <f aca="false">IF(INDEX(customer_churn_dataset!$M$2:$M$1501,MATCH($A1460,customer_churn_dataset!$A$2:$A$1501,0))=1,"Yes","No")</f>
        <v>Yes</v>
      </c>
      <c r="H1459" s="0" t="n">
        <f aca="false">INDEX(customer_churn_dataset!$N$2:$N$1501,MATCH($A1460,customer_churn_dataset!$A$2:$A$1501,0))</f>
        <v>237.24</v>
      </c>
      <c r="I1459" s="0" t="n">
        <f aca="false">INDEX(customer_churn_dataset!$O$2:$O$1501,MATCH($A1460,customer_churn_dataset!$A$2:$A$1501,0))</f>
        <v>0</v>
      </c>
      <c r="J1459" s="0" t="n">
        <f aca="false">INDEX(customer_churn_dataset!$T$2:$T$1501,MATCH($A1460,customer_churn_dataset!$A$2:$A$1501,0))</f>
        <v>4</v>
      </c>
      <c r="K1459" s="0" t="str">
        <f aca="false">INDEX(customer_churn_dataset!$V$2:$V$1501,MATCH($A1460,customer_churn_dataset!$A$2:$A$1501,0))</f>
        <v>Medium Risk</v>
      </c>
    </row>
    <row r="1460" customFormat="false" ht="12.8" hidden="true" customHeight="false" outlineLevel="0" collapsed="false">
      <c r="A1460" s="22" t="str">
        <f aca="false">customer_churn_dataset!A1078</f>
        <v>CUST100662</v>
      </c>
      <c r="B1460" s="22" t="str">
        <f aca="false">customer_churn_dataset!B1078</f>
        <v>Standard</v>
      </c>
      <c r="C1460" s="22" t="str">
        <f aca="false">customer_churn_dataset!C1078</f>
        <v>One year</v>
      </c>
      <c r="D1460" s="0" t="n">
        <f aca="false">INDEX(customer_churn_dataset!$E$2:$E$1501,MATCH($A1461,customer_churn_dataset!$A$2:$A$1501,0))</f>
        <v>21</v>
      </c>
      <c r="E1460" s="0" t="n">
        <f aca="false">INDEX(customer_churn_dataset!$I$2:$I$1501,MATCH($A1461,customer_churn_dataset!$A$2:$A$1501,0))</f>
        <v>49.5</v>
      </c>
      <c r="F1460" s="0" t="n">
        <f aca="false">INDEX(customer_churn_dataset!$L$2:$L$1501,MATCH($A1461,customer_churn_dataset!$A$2:$A$1501,0))</f>
        <v>1</v>
      </c>
      <c r="G1460" s="0" t="str">
        <f aca="false">IF(INDEX(customer_churn_dataset!$M$2:$M$1501,MATCH($A1461,customer_churn_dataset!$A$2:$A$1501,0))=1,"Yes","No")</f>
        <v>No</v>
      </c>
      <c r="H1460" s="0" t="n">
        <f aca="false">INDEX(customer_churn_dataset!$N$2:$N$1501,MATCH($A1461,customer_churn_dataset!$A$2:$A$1501,0))</f>
        <v>215.46</v>
      </c>
      <c r="I1460" s="0" t="n">
        <f aca="false">INDEX(customer_churn_dataset!$O$2:$O$1501,MATCH($A1461,customer_churn_dataset!$A$2:$A$1501,0))</f>
        <v>0</v>
      </c>
      <c r="J1460" s="0" t="n">
        <f aca="false">INDEX(customer_churn_dataset!$T$2:$T$1501,MATCH($A1461,customer_churn_dataset!$A$2:$A$1501,0))</f>
        <v>2</v>
      </c>
      <c r="K1460" s="0" t="str">
        <f aca="false">INDEX(customer_churn_dataset!$V$2:$V$1501,MATCH($A1461,customer_churn_dataset!$A$2:$A$1501,0))</f>
        <v>Low Risk</v>
      </c>
    </row>
    <row r="1461" customFormat="false" ht="12.8" hidden="true" customHeight="false" outlineLevel="0" collapsed="false">
      <c r="A1461" s="22" t="str">
        <f aca="false">customer_churn_dataset!A1082</f>
        <v>CUST100782</v>
      </c>
      <c r="B1461" s="22" t="str">
        <f aca="false">customer_churn_dataset!B1082</f>
        <v>Basic</v>
      </c>
      <c r="C1461" s="22" t="str">
        <f aca="false">customer_churn_dataset!C1082</f>
        <v>One year</v>
      </c>
      <c r="D1461" s="0" t="n">
        <f aca="false">INDEX(customer_churn_dataset!$E$2:$E$1501,MATCH($A1462,customer_churn_dataset!$A$2:$A$1501,0))</f>
        <v>58</v>
      </c>
      <c r="E1461" s="0" t="n">
        <f aca="false">INDEX(customer_churn_dataset!$I$2:$I$1501,MATCH($A1462,customer_churn_dataset!$A$2:$A$1501,0))</f>
        <v>37.5</v>
      </c>
      <c r="F1461" s="0" t="n">
        <f aca="false">INDEX(customer_churn_dataset!$L$2:$L$1501,MATCH($A1462,customer_churn_dataset!$A$2:$A$1501,0))</f>
        <v>3</v>
      </c>
      <c r="G1461" s="0" t="str">
        <f aca="false">IF(INDEX(customer_churn_dataset!$M$2:$M$1501,MATCH($A1462,customer_churn_dataset!$A$2:$A$1501,0))=1,"Yes","No")</f>
        <v>No</v>
      </c>
      <c r="H1461" s="0" t="n">
        <f aca="false">INDEX(customer_churn_dataset!$N$2:$N$1501,MATCH($A1462,customer_churn_dataset!$A$2:$A$1501,0))</f>
        <v>581.74</v>
      </c>
      <c r="I1461" s="0" t="n">
        <f aca="false">INDEX(customer_churn_dataset!$O$2:$O$1501,MATCH($A1462,customer_churn_dataset!$A$2:$A$1501,0))</f>
        <v>0</v>
      </c>
      <c r="J1461" s="0" t="n">
        <f aca="false">INDEX(customer_churn_dataset!$T$2:$T$1501,MATCH($A1462,customer_churn_dataset!$A$2:$A$1501,0))</f>
        <v>5</v>
      </c>
      <c r="K1461" s="0" t="str">
        <f aca="false">INDEX(customer_churn_dataset!$V$2:$V$1501,MATCH($A1462,customer_churn_dataset!$A$2:$A$1501,0))</f>
        <v>Medium Risk</v>
      </c>
    </row>
    <row r="1462" customFormat="false" ht="12.8" hidden="true" customHeight="false" outlineLevel="0" collapsed="false">
      <c r="A1462" s="22" t="str">
        <f aca="false">customer_churn_dataset!A1086</f>
        <v>CUST100952</v>
      </c>
      <c r="B1462" s="22" t="str">
        <f aca="false">customer_churn_dataset!B1086</f>
        <v>Basic</v>
      </c>
      <c r="C1462" s="22" t="str">
        <f aca="false">customer_churn_dataset!C1086</f>
        <v>Month-to-month</v>
      </c>
      <c r="D1462" s="0" t="n">
        <f aca="false">INDEX(customer_churn_dataset!$E$2:$E$1501,MATCH($A1463,customer_churn_dataset!$A$2:$A$1501,0))</f>
        <v>13</v>
      </c>
      <c r="E1462" s="0" t="n">
        <f aca="false">INDEX(customer_churn_dataset!$I$2:$I$1501,MATCH($A1463,customer_churn_dataset!$A$2:$A$1501,0))</f>
        <v>49.1</v>
      </c>
      <c r="F1462" s="0" t="n">
        <f aca="false">INDEX(customer_churn_dataset!$L$2:$L$1501,MATCH($A1463,customer_churn_dataset!$A$2:$A$1501,0))</f>
        <v>0</v>
      </c>
      <c r="G1462" s="0" t="str">
        <f aca="false">IF(INDEX(customer_churn_dataset!$M$2:$M$1501,MATCH($A1463,customer_churn_dataset!$A$2:$A$1501,0))=1,"Yes","No")</f>
        <v>No</v>
      </c>
      <c r="H1462" s="0" t="n">
        <f aca="false">INDEX(customer_churn_dataset!$N$2:$N$1501,MATCH($A1463,customer_churn_dataset!$A$2:$A$1501,0))</f>
        <v>120.51</v>
      </c>
      <c r="I1462" s="0" t="n">
        <f aca="false">INDEX(customer_churn_dataset!$O$2:$O$1501,MATCH($A1463,customer_churn_dataset!$A$2:$A$1501,0))</f>
        <v>0</v>
      </c>
      <c r="J1462" s="0" t="n">
        <f aca="false">INDEX(customer_churn_dataset!$T$2:$T$1501,MATCH($A1463,customer_churn_dataset!$A$2:$A$1501,0))</f>
        <v>2</v>
      </c>
      <c r="K1462" s="0" t="str">
        <f aca="false">INDEX(customer_churn_dataset!$V$2:$V$1501,MATCH($A1463,customer_churn_dataset!$A$2:$A$1501,0))</f>
        <v>Low Risk</v>
      </c>
    </row>
    <row r="1463" customFormat="false" ht="12.8" hidden="true" customHeight="false" outlineLevel="0" collapsed="false">
      <c r="A1463" s="22" t="str">
        <f aca="false">customer_churn_dataset!A1090</f>
        <v>CUST100657</v>
      </c>
      <c r="B1463" s="22" t="str">
        <f aca="false">customer_churn_dataset!B1090</f>
        <v>Basic</v>
      </c>
      <c r="C1463" s="22" t="str">
        <f aca="false">customer_churn_dataset!C1090</f>
        <v>One year</v>
      </c>
      <c r="D1463" s="0" t="n">
        <f aca="false">INDEX(customer_churn_dataset!$E$2:$E$1501,MATCH($A1464,customer_churn_dataset!$A$2:$A$1501,0))</f>
        <v>57</v>
      </c>
      <c r="E1463" s="0" t="n">
        <f aca="false">INDEX(customer_churn_dataset!$I$2:$I$1501,MATCH($A1464,customer_churn_dataset!$A$2:$A$1501,0))</f>
        <v>66.1</v>
      </c>
      <c r="F1463" s="0" t="n">
        <f aca="false">INDEX(customer_churn_dataset!$L$2:$L$1501,MATCH($A1464,customer_churn_dataset!$A$2:$A$1501,0))</f>
        <v>1</v>
      </c>
      <c r="G1463" s="0" t="str">
        <f aca="false">IF(INDEX(customer_churn_dataset!$M$2:$M$1501,MATCH($A1464,customer_churn_dataset!$A$2:$A$1501,0))=1,"Yes","No")</f>
        <v>No</v>
      </c>
      <c r="H1463" s="0" t="n">
        <f aca="false">INDEX(customer_churn_dataset!$N$2:$N$1501,MATCH($A1464,customer_churn_dataset!$A$2:$A$1501,0))</f>
        <v>2286.27</v>
      </c>
      <c r="I1463" s="0" t="n">
        <f aca="false">INDEX(customer_churn_dataset!$O$2:$O$1501,MATCH($A1464,customer_churn_dataset!$A$2:$A$1501,0))</f>
        <v>0</v>
      </c>
      <c r="J1463" s="0" t="n">
        <f aca="false">INDEX(customer_churn_dataset!$T$2:$T$1501,MATCH($A1464,customer_churn_dataset!$A$2:$A$1501,0))</f>
        <v>2</v>
      </c>
      <c r="K1463" s="0" t="str">
        <f aca="false">INDEX(customer_churn_dataset!$V$2:$V$1501,MATCH($A1464,customer_churn_dataset!$A$2:$A$1501,0))</f>
        <v>Low Risk</v>
      </c>
    </row>
    <row r="1464" customFormat="false" ht="12.8" hidden="true" customHeight="false" outlineLevel="0" collapsed="false">
      <c r="A1464" s="22" t="str">
        <f aca="false">customer_churn_dataset!A1099</f>
        <v>CUST100446</v>
      </c>
      <c r="B1464" s="22" t="str">
        <f aca="false">customer_churn_dataset!B1099</f>
        <v>Premium</v>
      </c>
      <c r="C1464" s="22" t="str">
        <f aca="false">customer_churn_dataset!C1099</f>
        <v>Month-to-month</v>
      </c>
      <c r="D1464" s="0" t="n">
        <f aca="false">INDEX(customer_churn_dataset!$E$2:$E$1501,MATCH($A1465,customer_churn_dataset!$A$2:$A$1501,0))</f>
        <v>13</v>
      </c>
      <c r="E1464" s="0" t="n">
        <f aca="false">INDEX(customer_churn_dataset!$I$2:$I$1501,MATCH($A1465,customer_churn_dataset!$A$2:$A$1501,0))</f>
        <v>68.3</v>
      </c>
      <c r="F1464" s="0" t="n">
        <f aca="false">INDEX(customer_churn_dataset!$L$2:$L$1501,MATCH($A1465,customer_churn_dataset!$A$2:$A$1501,0))</f>
        <v>3</v>
      </c>
      <c r="G1464" s="0" t="str">
        <f aca="false">IF(INDEX(customer_churn_dataset!$M$2:$M$1501,MATCH($A1465,customer_churn_dataset!$A$2:$A$1501,0))=1,"Yes","No")</f>
        <v>No</v>
      </c>
      <c r="H1464" s="0" t="n">
        <f aca="false">INDEX(customer_churn_dataset!$N$2:$N$1501,MATCH($A1465,customer_churn_dataset!$A$2:$A$1501,0))</f>
        <v>291.46</v>
      </c>
      <c r="I1464" s="0" t="n">
        <f aca="false">INDEX(customer_churn_dataset!$O$2:$O$1501,MATCH($A1465,customer_churn_dataset!$A$2:$A$1501,0))</f>
        <v>0</v>
      </c>
      <c r="J1464" s="0" t="n">
        <f aca="false">INDEX(customer_churn_dataset!$T$2:$T$1501,MATCH($A1465,customer_churn_dataset!$A$2:$A$1501,0))</f>
        <v>3</v>
      </c>
      <c r="K1464" s="0" t="str">
        <f aca="false">INDEX(customer_churn_dataset!$V$2:$V$1501,MATCH($A1465,customer_churn_dataset!$A$2:$A$1501,0))</f>
        <v>Medium Risk</v>
      </c>
    </row>
    <row r="1465" customFormat="false" ht="12.8" hidden="true" customHeight="false" outlineLevel="0" collapsed="false">
      <c r="A1465" s="22" t="str">
        <f aca="false">customer_churn_dataset!A1121</f>
        <v>CUST101384</v>
      </c>
      <c r="B1465" s="22" t="str">
        <f aca="false">customer_churn_dataset!B1121</f>
        <v>Standard</v>
      </c>
      <c r="C1465" s="22" t="str">
        <f aca="false">customer_churn_dataset!C1121</f>
        <v>Month-to-month</v>
      </c>
      <c r="D1465" s="0" t="n">
        <f aca="false">INDEX(customer_churn_dataset!$E$2:$E$1501,MATCH($A1466,customer_churn_dataset!$A$2:$A$1501,0))</f>
        <v>14</v>
      </c>
      <c r="E1465" s="0" t="n">
        <f aca="false">INDEX(customer_churn_dataset!$I$2:$I$1501,MATCH($A1466,customer_churn_dataset!$A$2:$A$1501,0))</f>
        <v>74.9</v>
      </c>
      <c r="F1465" s="0" t="n">
        <f aca="false">INDEX(customer_churn_dataset!$L$2:$L$1501,MATCH($A1466,customer_churn_dataset!$A$2:$A$1501,0))</f>
        <v>1</v>
      </c>
      <c r="G1465" s="0" t="str">
        <f aca="false">IF(INDEX(customer_churn_dataset!$M$2:$M$1501,MATCH($A1466,customer_churn_dataset!$A$2:$A$1501,0))=1,"Yes","No")</f>
        <v>No</v>
      </c>
      <c r="H1465" s="0" t="n">
        <f aca="false">INDEX(customer_churn_dataset!$N$2:$N$1501,MATCH($A1466,customer_churn_dataset!$A$2:$A$1501,0))</f>
        <v>283.64</v>
      </c>
      <c r="I1465" s="0" t="n">
        <f aca="false">INDEX(customer_churn_dataset!$O$2:$O$1501,MATCH($A1466,customer_churn_dataset!$A$2:$A$1501,0))</f>
        <v>1</v>
      </c>
      <c r="J1465" s="0" t="n">
        <f aca="false">INDEX(customer_churn_dataset!$T$2:$T$1501,MATCH($A1466,customer_churn_dataset!$A$2:$A$1501,0))</f>
        <v>0</v>
      </c>
      <c r="K1465" s="0" t="str">
        <f aca="false">INDEX(customer_churn_dataset!$V$2:$V$1501,MATCH($A1466,customer_churn_dataset!$A$2:$A$1501,0))</f>
        <v>Low Risk</v>
      </c>
    </row>
    <row r="1466" customFormat="false" ht="12.8" hidden="true" customHeight="false" outlineLevel="0" collapsed="false">
      <c r="A1466" s="22" t="str">
        <f aca="false">customer_churn_dataset!A1137</f>
        <v>CUST100257</v>
      </c>
      <c r="B1466" s="22" t="str">
        <f aca="false">customer_churn_dataset!B1137</f>
        <v>Standard</v>
      </c>
      <c r="C1466" s="22" t="str">
        <f aca="false">customer_churn_dataset!C1137</f>
        <v>Two year</v>
      </c>
      <c r="D1466" s="0" t="n">
        <f aca="false">INDEX(customer_churn_dataset!$E$2:$E$1501,MATCH($A1467,customer_churn_dataset!$A$2:$A$1501,0))</f>
        <v>32</v>
      </c>
      <c r="E1466" s="0" t="n">
        <f aca="false">INDEX(customer_churn_dataset!$I$2:$I$1501,MATCH($A1467,customer_churn_dataset!$A$2:$A$1501,0))</f>
        <v>94.7</v>
      </c>
      <c r="F1466" s="0" t="n">
        <f aca="false">INDEX(customer_churn_dataset!$L$2:$L$1501,MATCH($A1467,customer_churn_dataset!$A$2:$A$1501,0))</f>
        <v>0</v>
      </c>
      <c r="G1466" s="0" t="str">
        <f aca="false">IF(INDEX(customer_churn_dataset!$M$2:$M$1501,MATCH($A1467,customer_churn_dataset!$A$2:$A$1501,0))=1,"Yes","No")</f>
        <v>No</v>
      </c>
      <c r="H1466" s="0" t="n">
        <f aca="false">INDEX(customer_churn_dataset!$N$2:$N$1501,MATCH($A1467,customer_churn_dataset!$A$2:$A$1501,0))</f>
        <v>1268.16</v>
      </c>
      <c r="I1466" s="0" t="n">
        <f aca="false">INDEX(customer_churn_dataset!$O$2:$O$1501,MATCH($A1467,customer_churn_dataset!$A$2:$A$1501,0))</f>
        <v>0</v>
      </c>
      <c r="J1466" s="0" t="n">
        <f aca="false">INDEX(customer_churn_dataset!$T$2:$T$1501,MATCH($A1467,customer_churn_dataset!$A$2:$A$1501,0))</f>
        <v>2</v>
      </c>
      <c r="K1466" s="0" t="str">
        <f aca="false">INDEX(customer_churn_dataset!$V$2:$V$1501,MATCH($A1467,customer_churn_dataset!$A$2:$A$1501,0))</f>
        <v>Low Risk</v>
      </c>
    </row>
    <row r="1467" customFormat="false" ht="12.8" hidden="true" customHeight="false" outlineLevel="0" collapsed="false">
      <c r="A1467" s="22" t="str">
        <f aca="false">customer_churn_dataset!A1141</f>
        <v>CUST101060</v>
      </c>
      <c r="B1467" s="22" t="str">
        <f aca="false">customer_churn_dataset!B1141</f>
        <v>Premium</v>
      </c>
      <c r="C1467" s="22" t="str">
        <f aca="false">customer_churn_dataset!C1141</f>
        <v>Month-to-month</v>
      </c>
      <c r="D1467" s="0" t="n">
        <f aca="false">INDEX(customer_churn_dataset!$E$2:$E$1501,MATCH($A1468,customer_churn_dataset!$A$2:$A$1501,0))</f>
        <v>2</v>
      </c>
      <c r="E1467" s="0" t="n">
        <f aca="false">INDEX(customer_churn_dataset!$I$2:$I$1501,MATCH($A1468,customer_churn_dataset!$A$2:$A$1501,0))</f>
        <v>49.7</v>
      </c>
      <c r="F1467" s="0" t="n">
        <f aca="false">INDEX(customer_churn_dataset!$L$2:$L$1501,MATCH($A1468,customer_churn_dataset!$A$2:$A$1501,0))</f>
        <v>0</v>
      </c>
      <c r="G1467" s="0" t="str">
        <f aca="false">IF(INDEX(customer_churn_dataset!$M$2:$M$1501,MATCH($A1468,customer_churn_dataset!$A$2:$A$1501,0))=1,"Yes","No")</f>
        <v>No</v>
      </c>
      <c r="H1467" s="0" t="n">
        <f aca="false">INDEX(customer_churn_dataset!$N$2:$N$1501,MATCH($A1468,customer_churn_dataset!$A$2:$A$1501,0))</f>
        <v>18</v>
      </c>
      <c r="I1467" s="0" t="n">
        <f aca="false">INDEX(customer_churn_dataset!$O$2:$O$1501,MATCH($A1468,customer_churn_dataset!$A$2:$A$1501,0))</f>
        <v>0</v>
      </c>
      <c r="J1467" s="0" t="n">
        <f aca="false">INDEX(customer_churn_dataset!$T$2:$T$1501,MATCH($A1468,customer_churn_dataset!$A$2:$A$1501,0))</f>
        <v>4</v>
      </c>
      <c r="K1467" s="0" t="str">
        <f aca="false">INDEX(customer_churn_dataset!$V$2:$V$1501,MATCH($A1468,customer_churn_dataset!$A$2:$A$1501,0))</f>
        <v>Medium Risk</v>
      </c>
    </row>
    <row r="1468" customFormat="false" ht="12.8" hidden="true" customHeight="false" outlineLevel="0" collapsed="false">
      <c r="A1468" s="22" t="str">
        <f aca="false">customer_churn_dataset!A1145</f>
        <v>CUST100018</v>
      </c>
      <c r="B1468" s="22" t="str">
        <f aca="false">customer_churn_dataset!B1145</f>
        <v>Basic</v>
      </c>
      <c r="C1468" s="22" t="str">
        <f aca="false">customer_churn_dataset!C1145</f>
        <v>Month-to-month</v>
      </c>
      <c r="D1468" s="0" t="n">
        <f aca="false">INDEX(customer_churn_dataset!$E$2:$E$1501,MATCH($A1469,customer_churn_dataset!$A$2:$A$1501,0))</f>
        <v>4</v>
      </c>
      <c r="E1468" s="0" t="n">
        <f aca="false">INDEX(customer_churn_dataset!$I$2:$I$1501,MATCH($A1469,customer_churn_dataset!$A$2:$A$1501,0))</f>
        <v>61.2</v>
      </c>
      <c r="F1468" s="0" t="n">
        <f aca="false">INDEX(customer_churn_dataset!$L$2:$L$1501,MATCH($A1469,customer_churn_dataset!$A$2:$A$1501,0))</f>
        <v>0</v>
      </c>
      <c r="G1468" s="0" t="str">
        <f aca="false">IF(INDEX(customer_churn_dataset!$M$2:$M$1501,MATCH($A1469,customer_churn_dataset!$A$2:$A$1501,0))=1,"Yes","No")</f>
        <v>No</v>
      </c>
      <c r="H1468" s="0" t="n">
        <f aca="false">INDEX(customer_churn_dataset!$N$2:$N$1501,MATCH($A1469,customer_churn_dataset!$A$2:$A$1501,0))</f>
        <v>35.2</v>
      </c>
      <c r="I1468" s="0" t="n">
        <f aca="false">INDEX(customer_churn_dataset!$O$2:$O$1501,MATCH($A1469,customer_churn_dataset!$A$2:$A$1501,0))</f>
        <v>1</v>
      </c>
      <c r="J1468" s="0" t="n">
        <f aca="false">INDEX(customer_churn_dataset!$T$2:$T$1501,MATCH($A1469,customer_churn_dataset!$A$2:$A$1501,0))</f>
        <v>3</v>
      </c>
      <c r="K1468" s="0" t="str">
        <f aca="false">INDEX(customer_churn_dataset!$V$2:$V$1501,MATCH($A1469,customer_churn_dataset!$A$2:$A$1501,0))</f>
        <v>Medium Risk</v>
      </c>
    </row>
    <row r="1469" customFormat="false" ht="12.8" hidden="true" customHeight="false" outlineLevel="0" collapsed="false">
      <c r="A1469" s="22" t="str">
        <f aca="false">customer_churn_dataset!A1167</f>
        <v>CUST100944</v>
      </c>
      <c r="B1469" s="22" t="str">
        <f aca="false">customer_churn_dataset!B1167</f>
        <v>Basic</v>
      </c>
      <c r="C1469" s="22" t="str">
        <f aca="false">customer_churn_dataset!C1167</f>
        <v>Month-to-month</v>
      </c>
      <c r="D1469" s="0" t="n">
        <f aca="false">INDEX(customer_churn_dataset!$E$2:$E$1501,MATCH($A1470,customer_churn_dataset!$A$2:$A$1501,0))</f>
        <v>3</v>
      </c>
      <c r="E1469" s="0" t="n">
        <f aca="false">INDEX(customer_churn_dataset!$I$2:$I$1501,MATCH($A1470,customer_churn_dataset!$A$2:$A$1501,0))</f>
        <v>55.9</v>
      </c>
      <c r="F1469" s="0" t="n">
        <f aca="false">INDEX(customer_churn_dataset!$L$2:$L$1501,MATCH($A1470,customer_churn_dataset!$A$2:$A$1501,0))</f>
        <v>0</v>
      </c>
      <c r="G1469" s="0" t="str">
        <f aca="false">IF(INDEX(customer_churn_dataset!$M$2:$M$1501,MATCH($A1470,customer_churn_dataset!$A$2:$A$1501,0))=1,"Yes","No")</f>
        <v>No</v>
      </c>
      <c r="H1469" s="0" t="n">
        <f aca="false">INDEX(customer_churn_dataset!$N$2:$N$1501,MATCH($A1470,customer_churn_dataset!$A$2:$A$1501,0))</f>
        <v>59.31</v>
      </c>
      <c r="I1469" s="0" t="n">
        <f aca="false">INDEX(customer_churn_dataset!$O$2:$O$1501,MATCH($A1470,customer_churn_dataset!$A$2:$A$1501,0))</f>
        <v>0</v>
      </c>
      <c r="J1469" s="0" t="n">
        <f aca="false">INDEX(customer_churn_dataset!$T$2:$T$1501,MATCH($A1470,customer_churn_dataset!$A$2:$A$1501,0))</f>
        <v>2</v>
      </c>
      <c r="K1469" s="0" t="str">
        <f aca="false">INDEX(customer_churn_dataset!$V$2:$V$1501,MATCH($A1470,customer_churn_dataset!$A$2:$A$1501,0))</f>
        <v>Low Risk</v>
      </c>
    </row>
    <row r="1470" customFormat="false" ht="12.8" hidden="true" customHeight="false" outlineLevel="0" collapsed="false">
      <c r="A1470" s="22" t="str">
        <f aca="false">customer_churn_dataset!A1184</f>
        <v>CUST100984</v>
      </c>
      <c r="B1470" s="22" t="str">
        <f aca="false">customer_churn_dataset!B1184</f>
        <v>Standard</v>
      </c>
      <c r="C1470" s="22" t="str">
        <f aca="false">customer_churn_dataset!C1184</f>
        <v>One year</v>
      </c>
      <c r="D1470" s="0" t="n">
        <f aca="false">INDEX(customer_churn_dataset!$E$2:$E$1501,MATCH($A1471,customer_churn_dataset!$A$2:$A$1501,0))</f>
        <v>20</v>
      </c>
      <c r="E1470" s="0" t="n">
        <f aca="false">INDEX(customer_churn_dataset!$I$2:$I$1501,MATCH($A1471,customer_churn_dataset!$A$2:$A$1501,0))</f>
        <v>26.4</v>
      </c>
      <c r="F1470" s="0" t="n">
        <f aca="false">INDEX(customer_churn_dataset!$L$2:$L$1501,MATCH($A1471,customer_churn_dataset!$A$2:$A$1501,0))</f>
        <v>1</v>
      </c>
      <c r="G1470" s="0" t="str">
        <f aca="false">IF(INDEX(customer_churn_dataset!$M$2:$M$1501,MATCH($A1471,customer_churn_dataset!$A$2:$A$1501,0))=1,"Yes","No")</f>
        <v>No</v>
      </c>
      <c r="H1470" s="0" t="n">
        <f aca="false">INDEX(customer_churn_dataset!$N$2:$N$1501,MATCH($A1471,customer_churn_dataset!$A$2:$A$1501,0))</f>
        <v>400.8</v>
      </c>
      <c r="I1470" s="0" t="n">
        <f aca="false">INDEX(customer_churn_dataset!$O$2:$O$1501,MATCH($A1471,customer_churn_dataset!$A$2:$A$1501,0))</f>
        <v>0</v>
      </c>
      <c r="J1470" s="0" t="n">
        <f aca="false">INDEX(customer_churn_dataset!$T$2:$T$1501,MATCH($A1471,customer_churn_dataset!$A$2:$A$1501,0))</f>
        <v>4</v>
      </c>
      <c r="K1470" s="0" t="str">
        <f aca="false">INDEX(customer_churn_dataset!$V$2:$V$1501,MATCH($A1471,customer_churn_dataset!$A$2:$A$1501,0))</f>
        <v>Medium Risk</v>
      </c>
    </row>
    <row r="1471" customFormat="false" ht="12.8" hidden="true" customHeight="false" outlineLevel="0" collapsed="false">
      <c r="A1471" s="22" t="str">
        <f aca="false">customer_churn_dataset!A1198</f>
        <v>CUST101379</v>
      </c>
      <c r="B1471" s="22" t="str">
        <f aca="false">customer_churn_dataset!B1198</f>
        <v>Standard</v>
      </c>
      <c r="C1471" s="22" t="str">
        <f aca="false">customer_churn_dataset!C1198</f>
        <v>Month-to-month</v>
      </c>
      <c r="D1471" s="0" t="n">
        <f aca="false">INDEX(customer_churn_dataset!$E$2:$E$1501,MATCH($A1472,customer_churn_dataset!$A$2:$A$1501,0))</f>
        <v>13</v>
      </c>
      <c r="E1471" s="0" t="n">
        <f aca="false">INDEX(customer_churn_dataset!$I$2:$I$1501,MATCH($A1472,customer_churn_dataset!$A$2:$A$1501,0))</f>
        <v>81</v>
      </c>
      <c r="F1471" s="0" t="n">
        <f aca="false">INDEX(customer_churn_dataset!$L$2:$L$1501,MATCH($A1472,customer_churn_dataset!$A$2:$A$1501,0))</f>
        <v>2</v>
      </c>
      <c r="G1471" s="0" t="str">
        <f aca="false">IF(INDEX(customer_churn_dataset!$M$2:$M$1501,MATCH($A1472,customer_churn_dataset!$A$2:$A$1501,0))=1,"Yes","No")</f>
        <v>Yes</v>
      </c>
      <c r="H1471" s="0" t="n">
        <f aca="false">INDEX(customer_churn_dataset!$N$2:$N$1501,MATCH($A1472,customer_churn_dataset!$A$2:$A$1501,0))</f>
        <v>275.08</v>
      </c>
      <c r="I1471" s="0" t="n">
        <f aca="false">INDEX(customer_churn_dataset!$O$2:$O$1501,MATCH($A1472,customer_churn_dataset!$A$2:$A$1501,0))</f>
        <v>0</v>
      </c>
      <c r="J1471" s="0" t="n">
        <f aca="false">INDEX(customer_churn_dataset!$T$2:$T$1501,MATCH($A1472,customer_churn_dataset!$A$2:$A$1501,0))</f>
        <v>4</v>
      </c>
      <c r="K1471" s="0" t="str">
        <f aca="false">INDEX(customer_churn_dataset!$V$2:$V$1501,MATCH($A1472,customer_churn_dataset!$A$2:$A$1501,0))</f>
        <v>Medium Risk</v>
      </c>
    </row>
    <row r="1472" customFormat="false" ht="12.8" hidden="true" customHeight="false" outlineLevel="0" collapsed="false">
      <c r="A1472" s="22" t="str">
        <f aca="false">customer_churn_dataset!A1209</f>
        <v>CUST100742</v>
      </c>
      <c r="B1472" s="22" t="str">
        <f aca="false">customer_churn_dataset!B1209</f>
        <v>Standard</v>
      </c>
      <c r="C1472" s="22" t="str">
        <f aca="false">customer_churn_dataset!C1209</f>
        <v>Two year</v>
      </c>
      <c r="D1472" s="0" t="n">
        <f aca="false">INDEX(customer_churn_dataset!$E$2:$E$1501,MATCH($A1473,customer_churn_dataset!$A$2:$A$1501,0))</f>
        <v>3</v>
      </c>
      <c r="E1472" s="0" t="n">
        <f aca="false">INDEX(customer_churn_dataset!$I$2:$I$1501,MATCH($A1473,customer_churn_dataset!$A$2:$A$1501,0))</f>
        <v>23.5</v>
      </c>
      <c r="F1472" s="0" t="n">
        <f aca="false">INDEX(customer_churn_dataset!$L$2:$L$1501,MATCH($A1473,customer_churn_dataset!$A$2:$A$1501,0))</f>
        <v>7</v>
      </c>
      <c r="G1472" s="0" t="str">
        <f aca="false">IF(INDEX(customer_churn_dataset!$M$2:$M$1501,MATCH($A1473,customer_churn_dataset!$A$2:$A$1501,0))=1,"Yes","No")</f>
        <v>No</v>
      </c>
      <c r="H1472" s="0" t="n">
        <f aca="false">INDEX(customer_churn_dataset!$N$2:$N$1501,MATCH($A1473,customer_churn_dataset!$A$2:$A$1501,0))</f>
        <v>22.05</v>
      </c>
      <c r="I1472" s="0" t="n">
        <f aca="false">INDEX(customer_churn_dataset!$O$2:$O$1501,MATCH($A1473,customer_churn_dataset!$A$2:$A$1501,0))</f>
        <v>0</v>
      </c>
      <c r="J1472" s="0" t="n">
        <f aca="false">INDEX(customer_churn_dataset!$T$2:$T$1501,MATCH($A1473,customer_churn_dataset!$A$2:$A$1501,0))</f>
        <v>5</v>
      </c>
      <c r="K1472" s="0" t="str">
        <f aca="false">INDEX(customer_churn_dataset!$V$2:$V$1501,MATCH($A1473,customer_churn_dataset!$A$2:$A$1501,0))</f>
        <v>Medium Risk</v>
      </c>
    </row>
    <row r="1473" customFormat="false" ht="12.8" hidden="true" customHeight="false" outlineLevel="0" collapsed="false">
      <c r="A1473" s="22" t="str">
        <f aca="false">customer_churn_dataset!A1213</f>
        <v>CUST101396</v>
      </c>
      <c r="B1473" s="22" t="str">
        <f aca="false">customer_churn_dataset!B1213</f>
        <v>Basic</v>
      </c>
      <c r="C1473" s="22" t="str">
        <f aca="false">customer_churn_dataset!C1213</f>
        <v>One year</v>
      </c>
      <c r="D1473" s="0" t="n">
        <f aca="false">INDEX(customer_churn_dataset!$E$2:$E$1501,MATCH($A1474,customer_churn_dataset!$A$2:$A$1501,0))</f>
        <v>27</v>
      </c>
      <c r="E1473" s="0" t="n">
        <f aca="false">INDEX(customer_churn_dataset!$I$2:$I$1501,MATCH($A1474,customer_churn_dataset!$A$2:$A$1501,0))</f>
        <v>64.5</v>
      </c>
      <c r="F1473" s="0" t="n">
        <f aca="false">INDEX(customer_churn_dataset!$L$2:$L$1501,MATCH($A1474,customer_churn_dataset!$A$2:$A$1501,0))</f>
        <v>2</v>
      </c>
      <c r="G1473" s="0" t="str">
        <f aca="false">IF(INDEX(customer_churn_dataset!$M$2:$M$1501,MATCH($A1474,customer_churn_dataset!$A$2:$A$1501,0))=1,"Yes","No")</f>
        <v>Yes</v>
      </c>
      <c r="H1473" s="0" t="n">
        <f aca="false">INDEX(customer_churn_dataset!$N$2:$N$1501,MATCH($A1474,customer_churn_dataset!$A$2:$A$1501,0))</f>
        <v>553.5</v>
      </c>
      <c r="I1473" s="0" t="n">
        <f aca="false">INDEX(customer_churn_dataset!$O$2:$O$1501,MATCH($A1474,customer_churn_dataset!$A$2:$A$1501,0))</f>
        <v>0</v>
      </c>
      <c r="J1473" s="0" t="n">
        <f aca="false">INDEX(customer_churn_dataset!$T$2:$T$1501,MATCH($A1474,customer_churn_dataset!$A$2:$A$1501,0))</f>
        <v>6</v>
      </c>
      <c r="K1473" s="0" t="str">
        <f aca="false">INDEX(customer_churn_dataset!$V$2:$V$1501,MATCH($A1474,customer_churn_dataset!$A$2:$A$1501,0))</f>
        <v>High Risk</v>
      </c>
    </row>
    <row r="1474" customFormat="false" ht="12.8" hidden="true" customHeight="false" outlineLevel="0" collapsed="false">
      <c r="A1474" s="22" t="str">
        <f aca="false">customer_churn_dataset!A1216</f>
        <v>CUST100647</v>
      </c>
      <c r="B1474" s="22" t="str">
        <f aca="false">customer_churn_dataset!B1216</f>
        <v>Standard</v>
      </c>
      <c r="C1474" s="22" t="str">
        <f aca="false">customer_churn_dataset!C1216</f>
        <v>Month-to-month</v>
      </c>
      <c r="D1474" s="0" t="n">
        <f aca="false">INDEX(customer_churn_dataset!$E$2:$E$1501,MATCH($A1475,customer_churn_dataset!$A$2:$A$1501,0))</f>
        <v>21</v>
      </c>
      <c r="E1474" s="0" t="n">
        <f aca="false">INDEX(customer_churn_dataset!$I$2:$I$1501,MATCH($A1475,customer_churn_dataset!$A$2:$A$1501,0))</f>
        <v>76.7</v>
      </c>
      <c r="F1474" s="0" t="n">
        <f aca="false">INDEX(customer_churn_dataset!$L$2:$L$1501,MATCH($A1475,customer_churn_dataset!$A$2:$A$1501,0))</f>
        <v>1</v>
      </c>
      <c r="G1474" s="0" t="str">
        <f aca="false">IF(INDEX(customer_churn_dataset!$M$2:$M$1501,MATCH($A1475,customer_churn_dataset!$A$2:$A$1501,0))=1,"Yes","No")</f>
        <v>No</v>
      </c>
      <c r="H1474" s="0" t="n">
        <f aca="false">INDEX(customer_churn_dataset!$N$2:$N$1501,MATCH($A1475,customer_churn_dataset!$A$2:$A$1501,0))</f>
        <v>222.39</v>
      </c>
      <c r="I1474" s="0" t="n">
        <f aca="false">INDEX(customer_churn_dataset!$O$2:$O$1501,MATCH($A1475,customer_churn_dataset!$A$2:$A$1501,0))</f>
        <v>0</v>
      </c>
      <c r="J1474" s="0" t="n">
        <f aca="false">INDEX(customer_churn_dataset!$T$2:$T$1501,MATCH($A1475,customer_churn_dataset!$A$2:$A$1501,0))</f>
        <v>2</v>
      </c>
      <c r="K1474" s="0" t="str">
        <f aca="false">INDEX(customer_churn_dataset!$V$2:$V$1501,MATCH($A1475,customer_churn_dataset!$A$2:$A$1501,0))</f>
        <v>Low Risk</v>
      </c>
    </row>
    <row r="1475" customFormat="false" ht="12.8" hidden="true" customHeight="false" outlineLevel="0" collapsed="false">
      <c r="A1475" s="22" t="str">
        <f aca="false">customer_churn_dataset!A1220</f>
        <v>CUST101454</v>
      </c>
      <c r="B1475" s="22" t="str">
        <f aca="false">customer_churn_dataset!B1220</f>
        <v>Basic</v>
      </c>
      <c r="C1475" s="22" t="str">
        <f aca="false">customer_churn_dataset!C1220</f>
        <v>Month-to-month</v>
      </c>
      <c r="D1475" s="0" t="n">
        <f aca="false">INDEX(customer_churn_dataset!$E$2:$E$1501,MATCH($A1476,customer_churn_dataset!$A$2:$A$1501,0))</f>
        <v>2</v>
      </c>
      <c r="E1475" s="0" t="n">
        <f aca="false">INDEX(customer_churn_dataset!$I$2:$I$1501,MATCH($A1476,customer_churn_dataset!$A$2:$A$1501,0))</f>
        <v>28.1</v>
      </c>
      <c r="F1475" s="0" t="n">
        <f aca="false">INDEX(customer_churn_dataset!$L$2:$L$1501,MATCH($A1476,customer_churn_dataset!$A$2:$A$1501,0))</f>
        <v>6</v>
      </c>
      <c r="G1475" s="0" t="str">
        <f aca="false">IF(INDEX(customer_churn_dataset!$M$2:$M$1501,MATCH($A1476,customer_churn_dataset!$A$2:$A$1501,0))=1,"Yes","No")</f>
        <v>No</v>
      </c>
      <c r="H1475" s="0" t="n">
        <f aca="false">INDEX(customer_churn_dataset!$N$2:$N$1501,MATCH($A1476,customer_churn_dataset!$A$2:$A$1501,0))</f>
        <v>18.76</v>
      </c>
      <c r="I1475" s="0" t="n">
        <f aca="false">INDEX(customer_churn_dataset!$O$2:$O$1501,MATCH($A1476,customer_churn_dataset!$A$2:$A$1501,0))</f>
        <v>1</v>
      </c>
      <c r="J1475" s="0" t="n">
        <f aca="false">INDEX(customer_churn_dataset!$T$2:$T$1501,MATCH($A1476,customer_churn_dataset!$A$2:$A$1501,0))</f>
        <v>4</v>
      </c>
      <c r="K1475" s="0" t="str">
        <f aca="false">INDEX(customer_churn_dataset!$V$2:$V$1501,MATCH($A1476,customer_churn_dataset!$A$2:$A$1501,0))</f>
        <v>Medium Risk</v>
      </c>
    </row>
    <row r="1476" customFormat="false" ht="12.8" hidden="true" customHeight="false" outlineLevel="0" collapsed="false">
      <c r="A1476" s="22" t="str">
        <f aca="false">customer_churn_dataset!A1239</f>
        <v>CUST100674</v>
      </c>
      <c r="B1476" s="22" t="str">
        <f aca="false">customer_churn_dataset!B1239</f>
        <v>Basic</v>
      </c>
      <c r="C1476" s="22" t="str">
        <f aca="false">customer_churn_dataset!C1239</f>
        <v>Two year</v>
      </c>
      <c r="D1476" s="0" t="n">
        <f aca="false">INDEX(customer_churn_dataset!$E$2:$E$1501,MATCH($A1477,customer_churn_dataset!$A$2:$A$1501,0))</f>
        <v>9</v>
      </c>
      <c r="E1476" s="0" t="n">
        <f aca="false">INDEX(customer_churn_dataset!$I$2:$I$1501,MATCH($A1477,customer_churn_dataset!$A$2:$A$1501,0))</f>
        <v>61</v>
      </c>
      <c r="F1476" s="0" t="n">
        <f aca="false">INDEX(customer_churn_dataset!$L$2:$L$1501,MATCH($A1477,customer_churn_dataset!$A$2:$A$1501,0))</f>
        <v>1</v>
      </c>
      <c r="G1476" s="0" t="str">
        <f aca="false">IF(INDEX(customer_churn_dataset!$M$2:$M$1501,MATCH($A1477,customer_churn_dataset!$A$2:$A$1501,0))=1,"Yes","No")</f>
        <v>No</v>
      </c>
      <c r="H1476" s="0" t="n">
        <f aca="false">INDEX(customer_churn_dataset!$N$2:$N$1501,MATCH($A1477,customer_churn_dataset!$A$2:$A$1501,0))</f>
        <v>367.92</v>
      </c>
      <c r="I1476" s="0" t="n">
        <f aca="false">INDEX(customer_churn_dataset!$O$2:$O$1501,MATCH($A1477,customer_churn_dataset!$A$2:$A$1501,0))</f>
        <v>0</v>
      </c>
      <c r="J1476" s="0" t="n">
        <f aca="false">INDEX(customer_churn_dataset!$T$2:$T$1501,MATCH($A1477,customer_churn_dataset!$A$2:$A$1501,0))</f>
        <v>3</v>
      </c>
      <c r="K1476" s="0" t="str">
        <f aca="false">INDEX(customer_churn_dataset!$V$2:$V$1501,MATCH($A1477,customer_churn_dataset!$A$2:$A$1501,0))</f>
        <v>Medium Risk</v>
      </c>
    </row>
    <row r="1477" customFormat="false" ht="12.8" hidden="false" customHeight="false" outlineLevel="0" collapsed="false">
      <c r="A1477" s="23" t="str">
        <f aca="false">customer_churn_dataset!A1252</f>
        <v>CUST100053</v>
      </c>
      <c r="B1477" s="24" t="str">
        <f aca="false">customer_churn_dataset!B1252</f>
        <v>Premium</v>
      </c>
      <c r="C1477" s="24" t="str">
        <f aca="false">customer_churn_dataset!C1252</f>
        <v>Month-to-month</v>
      </c>
      <c r="D1477" s="25" t="n">
        <f aca="false">INDEX(customer_churn_dataset!$E$2:$E$1501,MATCH($A1478,customer_churn_dataset!$A$2:$A$1501,0))</f>
        <v>11</v>
      </c>
      <c r="E1477" s="25" t="n">
        <f aca="false">INDEX(customer_churn_dataset!$I$2:$I$1501,MATCH($A1478,customer_churn_dataset!$A$2:$A$1501,0))</f>
        <v>32.4</v>
      </c>
      <c r="F1477" s="25" t="n">
        <f aca="false">INDEX(customer_churn_dataset!$L$2:$L$1501,MATCH($A1478,customer_churn_dataset!$A$2:$A$1501,0))</f>
        <v>1</v>
      </c>
      <c r="G1477" s="25" t="str">
        <f aca="false">IF(INDEX(customer_churn_dataset!$M$2:$M$1501,MATCH($A1478,customer_churn_dataset!$A$2:$A$1501,0))=1,"Yes","No")</f>
        <v>Yes</v>
      </c>
      <c r="H1477" s="25" t="n">
        <f aca="false">INDEX(customer_churn_dataset!$N$2:$N$1501,MATCH($A1478,customer_churn_dataset!$A$2:$A$1501,0))</f>
        <v>115.39</v>
      </c>
      <c r="I1477" s="25" t="n">
        <f aca="false">INDEX(customer_churn_dataset!$O$2:$O$1501,MATCH($A1478,customer_churn_dataset!$A$2:$A$1501,0))</f>
        <v>0</v>
      </c>
      <c r="J1477" s="25" t="n">
        <f aca="false">INDEX(customer_churn_dataset!$T$2:$T$1501,MATCH($A1478,customer_churn_dataset!$A$2:$A$1501,0))</f>
        <v>8</v>
      </c>
      <c r="K1477" s="25" t="str">
        <f aca="false">INDEX(customer_churn_dataset!$V$2:$V$1501,MATCH($A1478,customer_churn_dataset!$A$2:$A$1501,0))</f>
        <v>High Risk</v>
      </c>
    </row>
    <row r="1478" customFormat="false" ht="12.8" hidden="true" customHeight="false" outlineLevel="0" collapsed="false">
      <c r="A1478" s="22" t="str">
        <f aca="false">customer_churn_dataset!A1254</f>
        <v>CUST100587</v>
      </c>
      <c r="B1478" s="22" t="str">
        <f aca="false">customer_churn_dataset!B1254</f>
        <v>Basic</v>
      </c>
      <c r="C1478" s="22" t="str">
        <f aca="false">customer_churn_dataset!C1254</f>
        <v>Month-to-month</v>
      </c>
      <c r="D1478" s="0" t="n">
        <f aca="false">INDEX(customer_churn_dataset!$E$2:$E$1501,MATCH($A1479,customer_churn_dataset!$A$2:$A$1501,0))</f>
        <v>0</v>
      </c>
      <c r="E1478" s="0" t="n">
        <f aca="false">INDEX(customer_churn_dataset!$I$2:$I$1501,MATCH($A1479,customer_churn_dataset!$A$2:$A$1501,0))</f>
        <v>7.4</v>
      </c>
      <c r="F1478" s="0" t="n">
        <f aca="false">INDEX(customer_churn_dataset!$L$2:$L$1501,MATCH($A1479,customer_churn_dataset!$A$2:$A$1501,0))</f>
        <v>4</v>
      </c>
      <c r="G1478" s="0" t="str">
        <f aca="false">IF(INDEX(customer_churn_dataset!$M$2:$M$1501,MATCH($A1479,customer_churn_dataset!$A$2:$A$1501,0))=1,"Yes","No")</f>
        <v>No</v>
      </c>
      <c r="H1478" s="0" t="n">
        <f aca="false">INDEX(customer_churn_dataset!$N$2:$N$1501,MATCH($A1479,customer_churn_dataset!$A$2:$A$1501,0))</f>
        <v>0</v>
      </c>
      <c r="I1478" s="0" t="n">
        <f aca="false">INDEX(customer_churn_dataset!$O$2:$O$1501,MATCH($A1479,customer_churn_dataset!$A$2:$A$1501,0))</f>
        <v>0</v>
      </c>
      <c r="J1478" s="0" t="n">
        <f aca="false">INDEX(customer_churn_dataset!$T$2:$T$1501,MATCH($A1479,customer_churn_dataset!$A$2:$A$1501,0))</f>
        <v>5</v>
      </c>
      <c r="K1478" s="0" t="str">
        <f aca="false">INDEX(customer_churn_dataset!$V$2:$V$1501,MATCH($A1479,customer_churn_dataset!$A$2:$A$1501,0))</f>
        <v>Medium Risk</v>
      </c>
    </row>
    <row r="1479" customFormat="false" ht="12.8" hidden="false" customHeight="false" outlineLevel="0" collapsed="false">
      <c r="A1479" s="23" t="str">
        <f aca="false">customer_churn_dataset!A1259</f>
        <v>CUST101318</v>
      </c>
      <c r="B1479" s="24" t="str">
        <f aca="false">customer_churn_dataset!B1259</f>
        <v>Basic</v>
      </c>
      <c r="C1479" s="24" t="str">
        <f aca="false">customer_churn_dataset!C1259</f>
        <v>One year</v>
      </c>
      <c r="D1479" s="25" t="n">
        <f aca="false">INDEX(customer_churn_dataset!$E$2:$E$1501,MATCH($A1480,customer_churn_dataset!$A$2:$A$1501,0))</f>
        <v>53</v>
      </c>
      <c r="E1479" s="25" t="n">
        <f aca="false">INDEX(customer_churn_dataset!$I$2:$I$1501,MATCH($A1480,customer_churn_dataset!$A$2:$A$1501,0))</f>
        <v>19.9</v>
      </c>
      <c r="F1479" s="25" t="n">
        <f aca="false">INDEX(customer_churn_dataset!$L$2:$L$1501,MATCH($A1480,customer_churn_dataset!$A$2:$A$1501,0))</f>
        <v>4</v>
      </c>
      <c r="G1479" s="25" t="str">
        <f aca="false">IF(INDEX(customer_churn_dataset!$M$2:$M$1501,MATCH($A1480,customer_churn_dataset!$A$2:$A$1501,0))=1,"Yes","No")</f>
        <v>Yes</v>
      </c>
      <c r="H1479" s="25" t="n">
        <f aca="false">INDEX(customer_churn_dataset!$N$2:$N$1501,MATCH($A1480,customer_churn_dataset!$A$2:$A$1501,0))</f>
        <v>1030.85</v>
      </c>
      <c r="I1479" s="25" t="n">
        <f aca="false">INDEX(customer_churn_dataset!$O$2:$O$1501,MATCH($A1480,customer_churn_dataset!$A$2:$A$1501,0))</f>
        <v>0</v>
      </c>
      <c r="J1479" s="25" t="n">
        <f aca="false">INDEX(customer_churn_dataset!$T$2:$T$1501,MATCH($A1480,customer_churn_dataset!$A$2:$A$1501,0))</f>
        <v>8</v>
      </c>
      <c r="K1479" s="25" t="str">
        <f aca="false">INDEX(customer_churn_dataset!$V$2:$V$1501,MATCH($A1480,customer_churn_dataset!$A$2:$A$1501,0))</f>
        <v>High Risk</v>
      </c>
    </row>
    <row r="1480" customFormat="false" ht="12.8" hidden="true" customHeight="false" outlineLevel="0" collapsed="false">
      <c r="A1480" s="22" t="str">
        <f aca="false">customer_churn_dataset!A1263</f>
        <v>CUST100755</v>
      </c>
      <c r="B1480" s="22" t="str">
        <f aca="false">customer_churn_dataset!B1263</f>
        <v>Standard</v>
      </c>
      <c r="C1480" s="22" t="str">
        <f aca="false">customer_churn_dataset!C1263</f>
        <v>Month-to-month</v>
      </c>
      <c r="D1480" s="0" t="n">
        <f aca="false">INDEX(customer_churn_dataset!$E$2:$E$1501,MATCH($A1481,customer_churn_dataset!$A$2:$A$1501,0))</f>
        <v>8</v>
      </c>
      <c r="E1480" s="0" t="n">
        <f aca="false">INDEX(customer_churn_dataset!$I$2:$I$1501,MATCH($A1481,customer_churn_dataset!$A$2:$A$1501,0))</f>
        <v>39.5</v>
      </c>
      <c r="F1480" s="0" t="n">
        <f aca="false">INDEX(customer_churn_dataset!$L$2:$L$1501,MATCH($A1481,customer_churn_dataset!$A$2:$A$1501,0))</f>
        <v>1</v>
      </c>
      <c r="G1480" s="0" t="str">
        <f aca="false">IF(INDEX(customer_churn_dataset!$M$2:$M$1501,MATCH($A1481,customer_churn_dataset!$A$2:$A$1501,0))=1,"Yes","No")</f>
        <v>No</v>
      </c>
      <c r="H1480" s="0" t="n">
        <f aca="false">INDEX(customer_churn_dataset!$N$2:$N$1501,MATCH($A1481,customer_churn_dataset!$A$2:$A$1501,0))</f>
        <v>312.56</v>
      </c>
      <c r="I1480" s="0" t="n">
        <f aca="false">INDEX(customer_churn_dataset!$O$2:$O$1501,MATCH($A1481,customer_churn_dataset!$A$2:$A$1501,0))</f>
        <v>0</v>
      </c>
      <c r="J1480" s="0" t="n">
        <f aca="false">INDEX(customer_churn_dataset!$T$2:$T$1501,MATCH($A1481,customer_churn_dataset!$A$2:$A$1501,0))</f>
        <v>3</v>
      </c>
      <c r="K1480" s="0" t="str">
        <f aca="false">INDEX(customer_churn_dataset!$V$2:$V$1501,MATCH($A1481,customer_churn_dataset!$A$2:$A$1501,0))</f>
        <v>Medium Risk</v>
      </c>
    </row>
    <row r="1481" customFormat="false" ht="12.8" hidden="true" customHeight="false" outlineLevel="0" collapsed="false">
      <c r="A1481" s="22" t="str">
        <f aca="false">customer_churn_dataset!A1267</f>
        <v>CUST101236</v>
      </c>
      <c r="B1481" s="22" t="str">
        <f aca="false">customer_churn_dataset!B1267</f>
        <v>Premium</v>
      </c>
      <c r="C1481" s="22" t="str">
        <f aca="false">customer_churn_dataset!C1267</f>
        <v>Two year</v>
      </c>
      <c r="D1481" s="0" t="n">
        <f aca="false">INDEX(customer_churn_dataset!$E$2:$E$1501,MATCH($A1482,customer_churn_dataset!$A$2:$A$1501,0))</f>
        <v>29</v>
      </c>
      <c r="E1481" s="0" t="n">
        <f aca="false">INDEX(customer_churn_dataset!$I$2:$I$1501,MATCH($A1482,customer_churn_dataset!$A$2:$A$1501,0))</f>
        <v>54.4</v>
      </c>
      <c r="F1481" s="0" t="n">
        <f aca="false">INDEX(customer_churn_dataset!$L$2:$L$1501,MATCH($A1482,customer_churn_dataset!$A$2:$A$1501,0))</f>
        <v>3</v>
      </c>
      <c r="G1481" s="0" t="str">
        <f aca="false">IF(INDEX(customer_churn_dataset!$M$2:$M$1501,MATCH($A1482,customer_churn_dataset!$A$2:$A$1501,0))=1,"Yes","No")</f>
        <v>Yes</v>
      </c>
      <c r="H1481" s="0" t="n">
        <f aca="false">INDEX(customer_churn_dataset!$N$2:$N$1501,MATCH($A1482,customer_churn_dataset!$A$2:$A$1501,0))</f>
        <v>606.39</v>
      </c>
      <c r="I1481" s="0" t="n">
        <f aca="false">INDEX(customer_churn_dataset!$O$2:$O$1501,MATCH($A1482,customer_churn_dataset!$A$2:$A$1501,0))</f>
        <v>0</v>
      </c>
      <c r="J1481" s="0" t="n">
        <f aca="false">INDEX(customer_churn_dataset!$T$2:$T$1501,MATCH($A1482,customer_churn_dataset!$A$2:$A$1501,0))</f>
        <v>5</v>
      </c>
      <c r="K1481" s="0" t="str">
        <f aca="false">INDEX(customer_churn_dataset!$V$2:$V$1501,MATCH($A1482,customer_churn_dataset!$A$2:$A$1501,0))</f>
        <v>Medium Risk</v>
      </c>
    </row>
    <row r="1482" customFormat="false" ht="12.8" hidden="true" customHeight="false" outlineLevel="0" collapsed="false">
      <c r="A1482" s="22" t="str">
        <f aca="false">customer_churn_dataset!A1274</f>
        <v>CUST101377</v>
      </c>
      <c r="B1482" s="22" t="str">
        <f aca="false">customer_churn_dataset!B1274</f>
        <v>Standard</v>
      </c>
      <c r="C1482" s="22" t="str">
        <f aca="false">customer_churn_dataset!C1274</f>
        <v>Two year</v>
      </c>
      <c r="D1482" s="0" t="n">
        <f aca="false">INDEX(customer_churn_dataset!$E$2:$E$1501,MATCH($A1483,customer_churn_dataset!$A$2:$A$1501,0))</f>
        <v>25</v>
      </c>
      <c r="E1482" s="0" t="n">
        <f aca="false">INDEX(customer_churn_dataset!$I$2:$I$1501,MATCH($A1483,customer_churn_dataset!$A$2:$A$1501,0))</f>
        <v>51.9</v>
      </c>
      <c r="F1482" s="0" t="n">
        <f aca="false">INDEX(customer_churn_dataset!$L$2:$L$1501,MATCH($A1483,customer_churn_dataset!$A$2:$A$1501,0))</f>
        <v>1</v>
      </c>
      <c r="G1482" s="0" t="str">
        <f aca="false">IF(INDEX(customer_churn_dataset!$M$2:$M$1501,MATCH($A1483,customer_churn_dataset!$A$2:$A$1501,0))=1,"Yes","No")</f>
        <v>Yes</v>
      </c>
      <c r="H1482" s="0" t="n">
        <f aca="false">INDEX(customer_churn_dataset!$N$2:$N$1501,MATCH($A1483,customer_churn_dataset!$A$2:$A$1501,0))</f>
        <v>205.5</v>
      </c>
      <c r="I1482" s="0" t="n">
        <f aca="false">INDEX(customer_churn_dataset!$O$2:$O$1501,MATCH($A1483,customer_churn_dataset!$A$2:$A$1501,0))</f>
        <v>0</v>
      </c>
      <c r="J1482" s="0" t="n">
        <f aca="false">INDEX(customer_churn_dataset!$T$2:$T$1501,MATCH($A1483,customer_churn_dataset!$A$2:$A$1501,0))</f>
        <v>4</v>
      </c>
      <c r="K1482" s="0" t="str">
        <f aca="false">INDEX(customer_churn_dataset!$V$2:$V$1501,MATCH($A1483,customer_churn_dataset!$A$2:$A$1501,0))</f>
        <v>Medium Risk</v>
      </c>
    </row>
    <row r="1483" customFormat="false" ht="12.8" hidden="true" customHeight="false" outlineLevel="0" collapsed="false">
      <c r="A1483" s="22" t="str">
        <f aca="false">customer_churn_dataset!A1281</f>
        <v>CUST100879</v>
      </c>
      <c r="B1483" s="22" t="str">
        <f aca="false">customer_churn_dataset!B1281</f>
        <v>Basic</v>
      </c>
      <c r="C1483" s="22" t="str">
        <f aca="false">customer_churn_dataset!C1281</f>
        <v>Two year</v>
      </c>
      <c r="D1483" s="0" t="n">
        <f aca="false">INDEX(customer_churn_dataset!$E$2:$E$1501,MATCH($A1484,customer_churn_dataset!$A$2:$A$1501,0))</f>
        <v>9</v>
      </c>
      <c r="E1483" s="0" t="n">
        <f aca="false">INDEX(customer_churn_dataset!$I$2:$I$1501,MATCH($A1484,customer_churn_dataset!$A$2:$A$1501,0))</f>
        <v>53.7</v>
      </c>
      <c r="F1483" s="0" t="n">
        <f aca="false">INDEX(customer_churn_dataset!$L$2:$L$1501,MATCH($A1484,customer_churn_dataset!$A$2:$A$1501,0))</f>
        <v>0</v>
      </c>
      <c r="G1483" s="0" t="str">
        <f aca="false">IF(INDEX(customer_churn_dataset!$M$2:$M$1501,MATCH($A1484,customer_churn_dataset!$A$2:$A$1501,0))=1,"Yes","No")</f>
        <v>No</v>
      </c>
      <c r="H1483" s="0" t="n">
        <f aca="false">INDEX(customer_churn_dataset!$N$2:$N$1501,MATCH($A1484,customer_churn_dataset!$A$2:$A$1501,0))</f>
        <v>85.68</v>
      </c>
      <c r="I1483" s="0" t="n">
        <f aca="false">INDEX(customer_churn_dataset!$O$2:$O$1501,MATCH($A1484,customer_churn_dataset!$A$2:$A$1501,0))</f>
        <v>1</v>
      </c>
      <c r="J1483" s="0" t="n">
        <f aca="false">INDEX(customer_churn_dataset!$T$2:$T$1501,MATCH($A1484,customer_churn_dataset!$A$2:$A$1501,0))</f>
        <v>4</v>
      </c>
      <c r="K1483" s="0" t="str">
        <f aca="false">INDEX(customer_churn_dataset!$V$2:$V$1501,MATCH($A1484,customer_churn_dataset!$A$2:$A$1501,0))</f>
        <v>Medium Risk</v>
      </c>
    </row>
    <row r="1484" customFormat="false" ht="12.8" hidden="true" customHeight="false" outlineLevel="0" collapsed="false">
      <c r="A1484" s="22" t="str">
        <f aca="false">customer_churn_dataset!A1289</f>
        <v>CUST100728</v>
      </c>
      <c r="B1484" s="22" t="str">
        <f aca="false">customer_churn_dataset!B1289</f>
        <v>Basic</v>
      </c>
      <c r="C1484" s="22" t="str">
        <f aca="false">customer_churn_dataset!C1289</f>
        <v>Month-to-month</v>
      </c>
      <c r="D1484" s="0" t="n">
        <f aca="false">INDEX(customer_churn_dataset!$E$2:$E$1501,MATCH($A1485,customer_churn_dataset!$A$2:$A$1501,0))</f>
        <v>31</v>
      </c>
      <c r="E1484" s="0" t="n">
        <f aca="false">INDEX(customer_churn_dataset!$I$2:$I$1501,MATCH($A1485,customer_churn_dataset!$A$2:$A$1501,0))</f>
        <v>37.8</v>
      </c>
      <c r="F1484" s="0" t="n">
        <f aca="false">INDEX(customer_churn_dataset!$L$2:$L$1501,MATCH($A1485,customer_churn_dataset!$A$2:$A$1501,0))</f>
        <v>1</v>
      </c>
      <c r="G1484" s="0" t="str">
        <f aca="false">IF(INDEX(customer_churn_dataset!$M$2:$M$1501,MATCH($A1485,customer_churn_dataset!$A$2:$A$1501,0))=1,"Yes","No")</f>
        <v>Yes</v>
      </c>
      <c r="H1484" s="0" t="n">
        <f aca="false">INDEX(customer_churn_dataset!$N$2:$N$1501,MATCH($A1485,customer_churn_dataset!$A$2:$A$1501,0))</f>
        <v>325.5</v>
      </c>
      <c r="I1484" s="0" t="n">
        <f aca="false">INDEX(customer_churn_dataset!$O$2:$O$1501,MATCH($A1485,customer_churn_dataset!$A$2:$A$1501,0))</f>
        <v>1</v>
      </c>
      <c r="J1484" s="0" t="n">
        <f aca="false">INDEX(customer_churn_dataset!$T$2:$T$1501,MATCH($A1485,customer_churn_dataset!$A$2:$A$1501,0))</f>
        <v>7</v>
      </c>
      <c r="K1484" s="0" t="str">
        <f aca="false">INDEX(customer_churn_dataset!$V$2:$V$1501,MATCH($A1485,customer_churn_dataset!$A$2:$A$1501,0))</f>
        <v>High Risk</v>
      </c>
    </row>
    <row r="1485" customFormat="false" ht="12.8" hidden="true" customHeight="false" outlineLevel="0" collapsed="false">
      <c r="A1485" s="22" t="str">
        <f aca="false">customer_churn_dataset!A1291</f>
        <v>CUST101265</v>
      </c>
      <c r="B1485" s="22" t="str">
        <f aca="false">customer_churn_dataset!B1291</f>
        <v>Basic</v>
      </c>
      <c r="C1485" s="22" t="str">
        <f aca="false">customer_churn_dataset!C1291</f>
        <v>Month-to-month</v>
      </c>
      <c r="D1485" s="0" t="n">
        <f aca="false">INDEX(customer_churn_dataset!$E$2:$E$1501,MATCH($A1486,customer_churn_dataset!$A$2:$A$1501,0))</f>
        <v>14</v>
      </c>
      <c r="E1485" s="0" t="n">
        <f aca="false">INDEX(customer_churn_dataset!$I$2:$I$1501,MATCH($A1486,customer_churn_dataset!$A$2:$A$1501,0))</f>
        <v>55</v>
      </c>
      <c r="F1485" s="0" t="n">
        <f aca="false">INDEX(customer_churn_dataset!$L$2:$L$1501,MATCH($A1486,customer_churn_dataset!$A$2:$A$1501,0))</f>
        <v>2</v>
      </c>
      <c r="G1485" s="0" t="str">
        <f aca="false">IF(INDEX(customer_churn_dataset!$M$2:$M$1501,MATCH($A1486,customer_churn_dataset!$A$2:$A$1501,0))=1,"Yes","No")</f>
        <v>Yes</v>
      </c>
      <c r="H1485" s="0" t="n">
        <f aca="false">INDEX(customer_churn_dataset!$N$2:$N$1501,MATCH($A1486,customer_churn_dataset!$A$2:$A$1501,0))</f>
        <v>139.3</v>
      </c>
      <c r="I1485" s="0" t="n">
        <f aca="false">INDEX(customer_churn_dataset!$O$2:$O$1501,MATCH($A1486,customer_churn_dataset!$A$2:$A$1501,0))</f>
        <v>0</v>
      </c>
      <c r="J1485" s="0" t="n">
        <f aca="false">INDEX(customer_churn_dataset!$T$2:$T$1501,MATCH($A1486,customer_churn_dataset!$A$2:$A$1501,0))</f>
        <v>6</v>
      </c>
      <c r="K1485" s="0" t="str">
        <f aca="false">INDEX(customer_churn_dataset!$V$2:$V$1501,MATCH($A1486,customer_churn_dataset!$A$2:$A$1501,0))</f>
        <v>High Risk</v>
      </c>
    </row>
    <row r="1486" customFormat="false" ht="12.8" hidden="true" customHeight="false" outlineLevel="0" collapsed="false">
      <c r="A1486" s="22" t="str">
        <f aca="false">customer_churn_dataset!A1293</f>
        <v>CUST100415</v>
      </c>
      <c r="B1486" s="22" t="str">
        <f aca="false">customer_churn_dataset!B1293</f>
        <v>Basic</v>
      </c>
      <c r="C1486" s="22" t="str">
        <f aca="false">customer_churn_dataset!C1293</f>
        <v>Month-to-month</v>
      </c>
      <c r="D1486" s="0" t="n">
        <f aca="false">INDEX(customer_churn_dataset!$E$2:$E$1501,MATCH($A1487,customer_churn_dataset!$A$2:$A$1501,0))</f>
        <v>1</v>
      </c>
      <c r="E1486" s="0" t="n">
        <f aca="false">INDEX(customer_churn_dataset!$I$2:$I$1501,MATCH($A1487,customer_churn_dataset!$A$2:$A$1501,0))</f>
        <v>71.5</v>
      </c>
      <c r="F1486" s="0" t="n">
        <f aca="false">INDEX(customer_churn_dataset!$L$2:$L$1501,MATCH($A1487,customer_churn_dataset!$A$2:$A$1501,0))</f>
        <v>1</v>
      </c>
      <c r="G1486" s="0" t="str">
        <f aca="false">IF(INDEX(customer_churn_dataset!$M$2:$M$1501,MATCH($A1487,customer_churn_dataset!$A$2:$A$1501,0))=1,"Yes","No")</f>
        <v>Yes</v>
      </c>
      <c r="H1486" s="0" t="n">
        <f aca="false">INDEX(customer_churn_dataset!$N$2:$N$1501,MATCH($A1487,customer_churn_dataset!$A$2:$A$1501,0))</f>
        <v>20.94</v>
      </c>
      <c r="I1486" s="0" t="n">
        <f aca="false">INDEX(customer_churn_dataset!$O$2:$O$1501,MATCH($A1487,customer_churn_dataset!$A$2:$A$1501,0))</f>
        <v>1</v>
      </c>
      <c r="J1486" s="0" t="n">
        <f aca="false">INDEX(customer_churn_dataset!$T$2:$T$1501,MATCH($A1487,customer_churn_dataset!$A$2:$A$1501,0))</f>
        <v>6</v>
      </c>
      <c r="K1486" s="0" t="str">
        <f aca="false">INDEX(customer_churn_dataset!$V$2:$V$1501,MATCH($A1487,customer_churn_dataset!$A$2:$A$1501,0))</f>
        <v>High Risk</v>
      </c>
    </row>
    <row r="1487" customFormat="false" ht="12.8" hidden="true" customHeight="false" outlineLevel="0" collapsed="false">
      <c r="A1487" s="22" t="str">
        <f aca="false">customer_churn_dataset!A1295</f>
        <v>CUST100578</v>
      </c>
      <c r="B1487" s="22" t="str">
        <f aca="false">customer_churn_dataset!B1295</f>
        <v>Standard</v>
      </c>
      <c r="C1487" s="22" t="str">
        <f aca="false">customer_churn_dataset!C1295</f>
        <v>Month-to-month</v>
      </c>
      <c r="D1487" s="0" t="n">
        <f aca="false">INDEX(customer_churn_dataset!$E$2:$E$1501,MATCH($A1488,customer_churn_dataset!$A$2:$A$1501,0))</f>
        <v>22</v>
      </c>
      <c r="E1487" s="0" t="n">
        <f aca="false">INDEX(customer_churn_dataset!$I$2:$I$1501,MATCH($A1488,customer_churn_dataset!$A$2:$A$1501,0))</f>
        <v>59.8</v>
      </c>
      <c r="F1487" s="0" t="n">
        <f aca="false">INDEX(customer_churn_dataset!$L$2:$L$1501,MATCH($A1488,customer_churn_dataset!$A$2:$A$1501,0))</f>
        <v>0</v>
      </c>
      <c r="G1487" s="0" t="str">
        <f aca="false">IF(INDEX(customer_churn_dataset!$M$2:$M$1501,MATCH($A1488,customer_churn_dataset!$A$2:$A$1501,0))=1,"Yes","No")</f>
        <v>No</v>
      </c>
      <c r="H1487" s="0" t="n">
        <f aca="false">INDEX(customer_churn_dataset!$N$2:$N$1501,MATCH($A1488,customer_churn_dataset!$A$2:$A$1501,0))</f>
        <v>421.52</v>
      </c>
      <c r="I1487" s="0" t="n">
        <f aca="false">INDEX(customer_churn_dataset!$O$2:$O$1501,MATCH($A1488,customer_churn_dataset!$A$2:$A$1501,0))</f>
        <v>0</v>
      </c>
      <c r="J1487" s="0" t="n">
        <f aca="false">INDEX(customer_churn_dataset!$T$2:$T$1501,MATCH($A1488,customer_churn_dataset!$A$2:$A$1501,0))</f>
        <v>1</v>
      </c>
      <c r="K1487" s="0" t="str">
        <f aca="false">INDEX(customer_churn_dataset!$V$2:$V$1501,MATCH($A1488,customer_churn_dataset!$A$2:$A$1501,0))</f>
        <v>Low Risk</v>
      </c>
    </row>
    <row r="1488" customFormat="false" ht="12.8" hidden="true" customHeight="false" outlineLevel="0" collapsed="false">
      <c r="A1488" s="22" t="str">
        <f aca="false">customer_churn_dataset!A1312</f>
        <v>CUST101134</v>
      </c>
      <c r="B1488" s="22" t="str">
        <f aca="false">customer_churn_dataset!B1312</f>
        <v>Standard</v>
      </c>
      <c r="C1488" s="22" t="str">
        <f aca="false">customer_churn_dataset!C1312</f>
        <v>One year</v>
      </c>
      <c r="D1488" s="0" t="n">
        <f aca="false">INDEX(customer_churn_dataset!$E$2:$E$1501,MATCH($A1489,customer_churn_dataset!$A$2:$A$1501,0))</f>
        <v>1</v>
      </c>
      <c r="E1488" s="0" t="n">
        <f aca="false">INDEX(customer_churn_dataset!$I$2:$I$1501,MATCH($A1489,customer_churn_dataset!$A$2:$A$1501,0))</f>
        <v>77.5</v>
      </c>
      <c r="F1488" s="0" t="n">
        <f aca="false">INDEX(customer_churn_dataset!$L$2:$L$1501,MATCH($A1489,customer_churn_dataset!$A$2:$A$1501,0))</f>
        <v>0</v>
      </c>
      <c r="G1488" s="0" t="str">
        <f aca="false">IF(INDEX(customer_churn_dataset!$M$2:$M$1501,MATCH($A1489,customer_churn_dataset!$A$2:$A$1501,0))=1,"Yes","No")</f>
        <v>No</v>
      </c>
      <c r="H1488" s="0" t="n">
        <f aca="false">INDEX(customer_churn_dataset!$N$2:$N$1501,MATCH($A1489,customer_churn_dataset!$A$2:$A$1501,0))</f>
        <v>20.52</v>
      </c>
      <c r="I1488" s="0" t="n">
        <f aca="false">INDEX(customer_churn_dataset!$O$2:$O$1501,MATCH($A1489,customer_churn_dataset!$A$2:$A$1501,0))</f>
        <v>0</v>
      </c>
      <c r="J1488" s="0" t="n">
        <f aca="false">INDEX(customer_churn_dataset!$T$2:$T$1501,MATCH($A1489,customer_churn_dataset!$A$2:$A$1501,0))</f>
        <v>2</v>
      </c>
      <c r="K1488" s="0" t="str">
        <f aca="false">INDEX(customer_churn_dataset!$V$2:$V$1501,MATCH($A1489,customer_churn_dataset!$A$2:$A$1501,0))</f>
        <v>Low Risk</v>
      </c>
    </row>
    <row r="1489" customFormat="false" ht="12.8" hidden="true" customHeight="false" outlineLevel="0" collapsed="false">
      <c r="A1489" s="22" t="str">
        <f aca="false">customer_churn_dataset!A1319</f>
        <v>CUST100161</v>
      </c>
      <c r="B1489" s="22" t="str">
        <f aca="false">customer_churn_dataset!B1319</f>
        <v>Standard</v>
      </c>
      <c r="C1489" s="22" t="str">
        <f aca="false">customer_churn_dataset!C1319</f>
        <v>One year</v>
      </c>
      <c r="D1489" s="0" t="n">
        <f aca="false">INDEX(customer_churn_dataset!$E$2:$E$1501,MATCH($A1490,customer_churn_dataset!$A$2:$A$1501,0))</f>
        <v>6</v>
      </c>
      <c r="E1489" s="0" t="n">
        <f aca="false">INDEX(customer_churn_dataset!$I$2:$I$1501,MATCH($A1490,customer_churn_dataset!$A$2:$A$1501,0))</f>
        <v>53.6</v>
      </c>
      <c r="F1489" s="0" t="n">
        <f aca="false">INDEX(customer_churn_dataset!$L$2:$L$1501,MATCH($A1490,customer_churn_dataset!$A$2:$A$1501,0))</f>
        <v>1</v>
      </c>
      <c r="G1489" s="0" t="str">
        <f aca="false">IF(INDEX(customer_churn_dataset!$M$2:$M$1501,MATCH($A1490,customer_churn_dataset!$A$2:$A$1501,0))=1,"Yes","No")</f>
        <v>Yes</v>
      </c>
      <c r="H1489" s="0" t="n">
        <f aca="false">INDEX(customer_churn_dataset!$N$2:$N$1501,MATCH($A1490,customer_churn_dataset!$A$2:$A$1501,0))</f>
        <v>55.5</v>
      </c>
      <c r="I1489" s="0" t="n">
        <f aca="false">INDEX(customer_churn_dataset!$O$2:$O$1501,MATCH($A1490,customer_churn_dataset!$A$2:$A$1501,0))</f>
        <v>0</v>
      </c>
      <c r="J1489" s="0" t="n">
        <f aca="false">INDEX(customer_churn_dataset!$T$2:$T$1501,MATCH($A1490,customer_churn_dataset!$A$2:$A$1501,0))</f>
        <v>6</v>
      </c>
      <c r="K1489" s="0" t="str">
        <f aca="false">INDEX(customer_churn_dataset!$V$2:$V$1501,MATCH($A1490,customer_churn_dataset!$A$2:$A$1501,0))</f>
        <v>High Risk</v>
      </c>
    </row>
    <row r="1490" customFormat="false" ht="12.8" hidden="true" customHeight="false" outlineLevel="0" collapsed="false">
      <c r="A1490" s="22" t="str">
        <f aca="false">customer_churn_dataset!A1323</f>
        <v>CUST100108</v>
      </c>
      <c r="B1490" s="22" t="str">
        <f aca="false">customer_churn_dataset!B1323</f>
        <v>Basic</v>
      </c>
      <c r="C1490" s="22" t="str">
        <f aca="false">customer_churn_dataset!C1323</f>
        <v>One year</v>
      </c>
      <c r="D1490" s="0" t="n">
        <f aca="false">INDEX(customer_churn_dataset!$E$2:$E$1501,MATCH($A1491,customer_churn_dataset!$A$2:$A$1501,0))</f>
        <v>45</v>
      </c>
      <c r="E1490" s="0" t="n">
        <f aca="false">INDEX(customer_churn_dataset!$I$2:$I$1501,MATCH($A1491,customer_churn_dataset!$A$2:$A$1501,0))</f>
        <v>39.8</v>
      </c>
      <c r="F1490" s="0" t="n">
        <f aca="false">INDEX(customer_churn_dataset!$L$2:$L$1501,MATCH($A1491,customer_churn_dataset!$A$2:$A$1501,0))</f>
        <v>2</v>
      </c>
      <c r="G1490" s="0" t="str">
        <f aca="false">IF(INDEX(customer_churn_dataset!$M$2:$M$1501,MATCH($A1491,customer_churn_dataset!$A$2:$A$1501,0))=1,"Yes","No")</f>
        <v>No</v>
      </c>
      <c r="H1490" s="0" t="n">
        <f aca="false">INDEX(customer_churn_dataset!$N$2:$N$1501,MATCH($A1491,customer_churn_dataset!$A$2:$A$1501,0))</f>
        <v>1819.35</v>
      </c>
      <c r="I1490" s="0" t="n">
        <f aca="false">INDEX(customer_churn_dataset!$O$2:$O$1501,MATCH($A1491,customer_churn_dataset!$A$2:$A$1501,0))</f>
        <v>0</v>
      </c>
      <c r="J1490" s="0" t="n">
        <f aca="false">INDEX(customer_churn_dataset!$T$2:$T$1501,MATCH($A1491,customer_churn_dataset!$A$2:$A$1501,0))</f>
        <v>4</v>
      </c>
      <c r="K1490" s="0" t="str">
        <f aca="false">INDEX(customer_churn_dataset!$V$2:$V$1501,MATCH($A1491,customer_churn_dataset!$A$2:$A$1501,0))</f>
        <v>Medium Risk</v>
      </c>
    </row>
    <row r="1491" customFormat="false" ht="12.8" hidden="true" customHeight="false" outlineLevel="0" collapsed="false">
      <c r="A1491" s="22" t="str">
        <f aca="false">customer_churn_dataset!A1333</f>
        <v>CUST101160</v>
      </c>
      <c r="B1491" s="22" t="str">
        <f aca="false">customer_churn_dataset!B1333</f>
        <v>Premium</v>
      </c>
      <c r="C1491" s="22" t="str">
        <f aca="false">customer_churn_dataset!C1333</f>
        <v>One year</v>
      </c>
      <c r="D1491" s="0" t="n">
        <f aca="false">INDEX(customer_churn_dataset!$E$2:$E$1501,MATCH($A1492,customer_churn_dataset!$A$2:$A$1501,0))</f>
        <v>8</v>
      </c>
      <c r="E1491" s="0" t="n">
        <f aca="false">INDEX(customer_churn_dataset!$I$2:$I$1501,MATCH($A1492,customer_churn_dataset!$A$2:$A$1501,0))</f>
        <v>56.1</v>
      </c>
      <c r="F1491" s="0" t="n">
        <f aca="false">INDEX(customer_churn_dataset!$L$2:$L$1501,MATCH($A1492,customer_churn_dataset!$A$2:$A$1501,0))</f>
        <v>1</v>
      </c>
      <c r="G1491" s="0" t="str">
        <f aca="false">IF(INDEX(customer_churn_dataset!$M$2:$M$1501,MATCH($A1492,customer_churn_dataset!$A$2:$A$1501,0))=1,"Yes","No")</f>
        <v>No</v>
      </c>
      <c r="H1491" s="0" t="n">
        <f aca="false">INDEX(customer_churn_dataset!$N$2:$N$1501,MATCH($A1492,customer_churn_dataset!$A$2:$A$1501,0))</f>
        <v>84.32</v>
      </c>
      <c r="I1491" s="0" t="n">
        <f aca="false">INDEX(customer_churn_dataset!$O$2:$O$1501,MATCH($A1492,customer_churn_dataset!$A$2:$A$1501,0))</f>
        <v>0</v>
      </c>
      <c r="J1491" s="0" t="n">
        <f aca="false">INDEX(customer_churn_dataset!$T$2:$T$1501,MATCH($A1492,customer_churn_dataset!$A$2:$A$1501,0))</f>
        <v>3</v>
      </c>
      <c r="K1491" s="0" t="str">
        <f aca="false">INDEX(customer_churn_dataset!$V$2:$V$1501,MATCH($A1492,customer_churn_dataset!$A$2:$A$1501,0))</f>
        <v>Medium Risk</v>
      </c>
    </row>
    <row r="1492" customFormat="false" ht="12.8" hidden="true" customHeight="false" outlineLevel="0" collapsed="false">
      <c r="A1492" s="22" t="str">
        <f aca="false">customer_churn_dataset!A1350</f>
        <v>CUST100037</v>
      </c>
      <c r="B1492" s="22" t="str">
        <f aca="false">customer_churn_dataset!B1350</f>
        <v>Basic</v>
      </c>
      <c r="C1492" s="22" t="str">
        <f aca="false">customer_churn_dataset!C1350</f>
        <v>Month-to-month</v>
      </c>
      <c r="D1492" s="0" t="n">
        <f aca="false">INDEX(customer_churn_dataset!$E$2:$E$1501,MATCH($A1493,customer_churn_dataset!$A$2:$A$1501,0))</f>
        <v>7</v>
      </c>
      <c r="E1492" s="0" t="n">
        <f aca="false">INDEX(customer_churn_dataset!$I$2:$I$1501,MATCH($A1493,customer_churn_dataset!$A$2:$A$1501,0))</f>
        <v>60.1</v>
      </c>
      <c r="F1492" s="0" t="n">
        <f aca="false">INDEX(customer_churn_dataset!$L$2:$L$1501,MATCH($A1493,customer_churn_dataset!$A$2:$A$1501,0))</f>
        <v>1</v>
      </c>
      <c r="G1492" s="0" t="str">
        <f aca="false">IF(INDEX(customer_churn_dataset!$M$2:$M$1501,MATCH($A1493,customer_churn_dataset!$A$2:$A$1501,0))=1,"Yes","No")</f>
        <v>No</v>
      </c>
      <c r="H1492" s="0" t="n">
        <f aca="false">INDEX(customer_churn_dataset!$N$2:$N$1501,MATCH($A1493,customer_churn_dataset!$A$2:$A$1501,0))</f>
        <v>137.9</v>
      </c>
      <c r="I1492" s="0" t="n">
        <f aca="false">INDEX(customer_churn_dataset!$O$2:$O$1501,MATCH($A1493,customer_churn_dataset!$A$2:$A$1501,0))</f>
        <v>0</v>
      </c>
      <c r="J1492" s="0" t="n">
        <f aca="false">INDEX(customer_churn_dataset!$T$2:$T$1501,MATCH($A1493,customer_churn_dataset!$A$2:$A$1501,0))</f>
        <v>3</v>
      </c>
      <c r="K1492" s="0" t="str">
        <f aca="false">INDEX(customer_churn_dataset!$V$2:$V$1501,MATCH($A1493,customer_churn_dataset!$A$2:$A$1501,0))</f>
        <v>Medium Risk</v>
      </c>
    </row>
    <row r="1493" customFormat="false" ht="12.8" hidden="true" customHeight="false" outlineLevel="0" collapsed="false">
      <c r="A1493" s="22" t="str">
        <f aca="false">customer_churn_dataset!A1353</f>
        <v>CUST100450</v>
      </c>
      <c r="B1493" s="22" t="str">
        <f aca="false">customer_churn_dataset!B1353</f>
        <v>Standard</v>
      </c>
      <c r="C1493" s="22" t="str">
        <f aca="false">customer_churn_dataset!C1353</f>
        <v>Month-to-month</v>
      </c>
      <c r="D1493" s="0" t="n">
        <f aca="false">INDEX(customer_churn_dataset!$E$2:$E$1501,MATCH($A1494,customer_churn_dataset!$A$2:$A$1501,0))</f>
        <v>3</v>
      </c>
      <c r="E1493" s="0" t="n">
        <f aca="false">INDEX(customer_churn_dataset!$I$2:$I$1501,MATCH($A1494,customer_churn_dataset!$A$2:$A$1501,0))</f>
        <v>64</v>
      </c>
      <c r="F1493" s="0" t="n">
        <f aca="false">INDEX(customer_churn_dataset!$L$2:$L$1501,MATCH($A1494,customer_churn_dataset!$A$2:$A$1501,0))</f>
        <v>1</v>
      </c>
      <c r="G1493" s="0" t="str">
        <f aca="false">IF(INDEX(customer_churn_dataset!$M$2:$M$1501,MATCH($A1494,customer_churn_dataset!$A$2:$A$1501,0))=1,"Yes","No")</f>
        <v>No</v>
      </c>
      <c r="H1493" s="0" t="n">
        <f aca="false">INDEX(customer_churn_dataset!$N$2:$N$1501,MATCH($A1494,customer_churn_dataset!$A$2:$A$1501,0))</f>
        <v>27.66</v>
      </c>
      <c r="I1493" s="0" t="n">
        <f aca="false">INDEX(customer_churn_dataset!$O$2:$O$1501,MATCH($A1494,customer_churn_dataset!$A$2:$A$1501,0))</f>
        <v>0</v>
      </c>
      <c r="J1493" s="0" t="n">
        <f aca="false">INDEX(customer_churn_dataset!$T$2:$T$1501,MATCH($A1494,customer_churn_dataset!$A$2:$A$1501,0))</f>
        <v>1</v>
      </c>
      <c r="K1493" s="0" t="str">
        <f aca="false">INDEX(customer_churn_dataset!$V$2:$V$1501,MATCH($A1494,customer_churn_dataset!$A$2:$A$1501,0))</f>
        <v>Low Risk</v>
      </c>
    </row>
    <row r="1494" customFormat="false" ht="12.8" hidden="true" customHeight="false" outlineLevel="0" collapsed="false">
      <c r="A1494" s="22" t="str">
        <f aca="false">customer_churn_dataset!A1375</f>
        <v>CUST101323</v>
      </c>
      <c r="B1494" s="22" t="str">
        <f aca="false">customer_churn_dataset!B1375</f>
        <v>Basic</v>
      </c>
      <c r="C1494" s="22" t="str">
        <f aca="false">customer_churn_dataset!C1375</f>
        <v>Two year</v>
      </c>
      <c r="D1494" s="0" t="n">
        <f aca="false">INDEX(customer_churn_dataset!$E$2:$E$1501,MATCH($A1495,customer_churn_dataset!$A$2:$A$1501,0))</f>
        <v>27</v>
      </c>
      <c r="E1494" s="0" t="n">
        <f aca="false">INDEX(customer_churn_dataset!$I$2:$I$1501,MATCH($A1495,customer_churn_dataset!$A$2:$A$1501,0))</f>
        <v>60.3</v>
      </c>
      <c r="F1494" s="0" t="n">
        <f aca="false">INDEX(customer_churn_dataset!$L$2:$L$1501,MATCH($A1495,customer_churn_dataset!$A$2:$A$1501,0))</f>
        <v>0</v>
      </c>
      <c r="G1494" s="0" t="str">
        <f aca="false">IF(INDEX(customer_churn_dataset!$M$2:$M$1501,MATCH($A1495,customer_churn_dataset!$A$2:$A$1501,0))=1,"Yes","No")</f>
        <v>No</v>
      </c>
      <c r="H1494" s="0" t="n">
        <f aca="false">INDEX(customer_churn_dataset!$N$2:$N$1501,MATCH($A1495,customer_churn_dataset!$A$2:$A$1501,0))</f>
        <v>1088.64</v>
      </c>
      <c r="I1494" s="0" t="n">
        <f aca="false">INDEX(customer_churn_dataset!$O$2:$O$1501,MATCH($A1495,customer_churn_dataset!$A$2:$A$1501,0))</f>
        <v>0</v>
      </c>
      <c r="J1494" s="0" t="n">
        <f aca="false">INDEX(customer_churn_dataset!$T$2:$T$1501,MATCH($A1495,customer_churn_dataset!$A$2:$A$1501,0))</f>
        <v>2</v>
      </c>
      <c r="K1494" s="0" t="str">
        <f aca="false">INDEX(customer_churn_dataset!$V$2:$V$1501,MATCH($A1495,customer_churn_dataset!$A$2:$A$1501,0))</f>
        <v>Low Risk</v>
      </c>
    </row>
    <row r="1495" customFormat="false" ht="12.8" hidden="true" customHeight="false" outlineLevel="0" collapsed="false">
      <c r="A1495" s="22" t="str">
        <f aca="false">customer_churn_dataset!A1381</f>
        <v>CUST101355</v>
      </c>
      <c r="B1495" s="22" t="str">
        <f aca="false">customer_churn_dataset!B1381</f>
        <v>Premium</v>
      </c>
      <c r="C1495" s="22" t="str">
        <f aca="false">customer_churn_dataset!C1381</f>
        <v>Month-to-month</v>
      </c>
      <c r="D1495" s="0" t="n">
        <f aca="false">INDEX(customer_churn_dataset!$E$2:$E$1501,MATCH($A1496,customer_churn_dataset!$A$2:$A$1501,0))</f>
        <v>3</v>
      </c>
      <c r="E1495" s="0" t="n">
        <f aca="false">INDEX(customer_churn_dataset!$I$2:$I$1501,MATCH($A1496,customer_churn_dataset!$A$2:$A$1501,0))</f>
        <v>63</v>
      </c>
      <c r="F1495" s="0" t="n">
        <f aca="false">INDEX(customer_churn_dataset!$L$2:$L$1501,MATCH($A1496,customer_churn_dataset!$A$2:$A$1501,0))</f>
        <v>2</v>
      </c>
      <c r="G1495" s="0" t="str">
        <f aca="false">IF(INDEX(customer_churn_dataset!$M$2:$M$1501,MATCH($A1496,customer_churn_dataset!$A$2:$A$1501,0))=1,"Yes","No")</f>
        <v>No</v>
      </c>
      <c r="H1495" s="0" t="n">
        <f aca="false">INDEX(customer_churn_dataset!$N$2:$N$1501,MATCH($A1496,customer_churn_dataset!$A$2:$A$1501,0))</f>
        <v>121.5</v>
      </c>
      <c r="I1495" s="0" t="n">
        <f aca="false">INDEX(customer_churn_dataset!$O$2:$O$1501,MATCH($A1496,customer_churn_dataset!$A$2:$A$1501,0))</f>
        <v>0</v>
      </c>
      <c r="J1495" s="0" t="n">
        <f aca="false">INDEX(customer_churn_dataset!$T$2:$T$1501,MATCH($A1496,customer_churn_dataset!$A$2:$A$1501,0))</f>
        <v>2</v>
      </c>
      <c r="K1495" s="0" t="str">
        <f aca="false">INDEX(customer_churn_dataset!$V$2:$V$1501,MATCH($A1496,customer_churn_dataset!$A$2:$A$1501,0))</f>
        <v>Low Risk</v>
      </c>
    </row>
    <row r="1496" customFormat="false" ht="12.8" hidden="true" customHeight="false" outlineLevel="0" collapsed="false">
      <c r="A1496" s="22" t="str">
        <f aca="false">customer_churn_dataset!A1394</f>
        <v>CUST100825</v>
      </c>
      <c r="B1496" s="22" t="str">
        <f aca="false">customer_churn_dataset!B1394</f>
        <v>Premium</v>
      </c>
      <c r="C1496" s="22" t="str">
        <f aca="false">customer_churn_dataset!C1394</f>
        <v>Two year</v>
      </c>
      <c r="D1496" s="0" t="n">
        <f aca="false">INDEX(customer_churn_dataset!$E$2:$E$1501,MATCH($A1497,customer_churn_dataset!$A$2:$A$1501,0))</f>
        <v>31</v>
      </c>
      <c r="E1496" s="0" t="n">
        <f aca="false">INDEX(customer_churn_dataset!$I$2:$I$1501,MATCH($A1497,customer_churn_dataset!$A$2:$A$1501,0))</f>
        <v>33</v>
      </c>
      <c r="F1496" s="0" t="n">
        <f aca="false">INDEX(customer_churn_dataset!$L$2:$L$1501,MATCH($A1497,customer_churn_dataset!$A$2:$A$1501,0))</f>
        <v>2</v>
      </c>
      <c r="G1496" s="0" t="str">
        <f aca="false">IF(INDEX(customer_churn_dataset!$M$2:$M$1501,MATCH($A1497,customer_churn_dataset!$A$2:$A$1501,0))=1,"Yes","No")</f>
        <v>No</v>
      </c>
      <c r="H1496" s="0" t="n">
        <f aca="false">INDEX(customer_churn_dataset!$N$2:$N$1501,MATCH($A1497,customer_churn_dataset!$A$2:$A$1501,0))</f>
        <v>1253.95</v>
      </c>
      <c r="I1496" s="0" t="n">
        <f aca="false">INDEX(customer_churn_dataset!$O$2:$O$1501,MATCH($A1497,customer_churn_dataset!$A$2:$A$1501,0))</f>
        <v>0</v>
      </c>
      <c r="J1496" s="0" t="n">
        <f aca="false">INDEX(customer_churn_dataset!$T$2:$T$1501,MATCH($A1497,customer_churn_dataset!$A$2:$A$1501,0))</f>
        <v>4</v>
      </c>
      <c r="K1496" s="0" t="str">
        <f aca="false">INDEX(customer_churn_dataset!$V$2:$V$1501,MATCH($A1497,customer_churn_dataset!$A$2:$A$1501,0))</f>
        <v>Medium Risk</v>
      </c>
    </row>
    <row r="1497" customFormat="false" ht="12.8" hidden="true" customHeight="false" outlineLevel="0" collapsed="false">
      <c r="A1497" s="22" t="str">
        <f aca="false">customer_churn_dataset!A1411</f>
        <v>CUST100252</v>
      </c>
      <c r="B1497" s="22" t="str">
        <f aca="false">customer_churn_dataset!B1411</f>
        <v>Premium</v>
      </c>
      <c r="C1497" s="22" t="str">
        <f aca="false">customer_churn_dataset!C1411</f>
        <v>One year</v>
      </c>
      <c r="D1497" s="0" t="n">
        <f aca="false">INDEX(customer_churn_dataset!$E$2:$E$1501,MATCH($A1498,customer_churn_dataset!$A$2:$A$1501,0))</f>
        <v>15</v>
      </c>
      <c r="E1497" s="0" t="n">
        <f aca="false">INDEX(customer_churn_dataset!$I$2:$I$1501,MATCH($A1498,customer_churn_dataset!$A$2:$A$1501,0))</f>
        <v>77.1</v>
      </c>
      <c r="F1497" s="0" t="n">
        <f aca="false">INDEX(customer_churn_dataset!$L$2:$L$1501,MATCH($A1498,customer_churn_dataset!$A$2:$A$1501,0))</f>
        <v>1</v>
      </c>
      <c r="G1497" s="0" t="str">
        <f aca="false">IF(INDEX(customer_churn_dataset!$M$2:$M$1501,MATCH($A1498,customer_churn_dataset!$A$2:$A$1501,0))=1,"Yes","No")</f>
        <v>No</v>
      </c>
      <c r="H1497" s="0" t="n">
        <f aca="false">INDEX(customer_churn_dataset!$N$2:$N$1501,MATCH($A1498,customer_churn_dataset!$A$2:$A$1501,0))</f>
        <v>154.65</v>
      </c>
      <c r="I1497" s="0" t="n">
        <f aca="false">INDEX(customer_churn_dataset!$O$2:$O$1501,MATCH($A1498,customer_churn_dataset!$A$2:$A$1501,0))</f>
        <v>0</v>
      </c>
      <c r="J1497" s="0" t="n">
        <f aca="false">INDEX(customer_churn_dataset!$T$2:$T$1501,MATCH($A1498,customer_churn_dataset!$A$2:$A$1501,0))</f>
        <v>2</v>
      </c>
      <c r="K1497" s="0" t="str">
        <f aca="false">INDEX(customer_churn_dataset!$V$2:$V$1501,MATCH($A1498,customer_churn_dataset!$A$2:$A$1501,0))</f>
        <v>Low Risk</v>
      </c>
    </row>
    <row r="1498" customFormat="false" ht="12.8" hidden="true" customHeight="false" outlineLevel="0" collapsed="false">
      <c r="A1498" s="22" t="str">
        <f aca="false">customer_churn_dataset!A1438</f>
        <v>CUST100448</v>
      </c>
      <c r="B1498" s="22" t="str">
        <f aca="false">customer_churn_dataset!B1438</f>
        <v>Basic</v>
      </c>
      <c r="C1498" s="22" t="str">
        <f aca="false">customer_churn_dataset!C1438</f>
        <v>Month-to-month</v>
      </c>
      <c r="D1498" s="0" t="n">
        <f aca="false">INDEX(customer_churn_dataset!$E$2:$E$1501,MATCH($A1499,customer_churn_dataset!$A$2:$A$1501,0))</f>
        <v>47</v>
      </c>
      <c r="E1498" s="0" t="n">
        <f aca="false">INDEX(customer_churn_dataset!$I$2:$I$1501,MATCH($A1499,customer_churn_dataset!$A$2:$A$1501,0))</f>
        <v>86</v>
      </c>
      <c r="F1498" s="0" t="n">
        <f aca="false">INDEX(customer_churn_dataset!$L$2:$L$1501,MATCH($A1499,customer_churn_dataset!$A$2:$A$1501,0))</f>
        <v>0</v>
      </c>
      <c r="G1498" s="0" t="str">
        <f aca="false">IF(INDEX(customer_churn_dataset!$M$2:$M$1501,MATCH($A1499,customer_churn_dataset!$A$2:$A$1501,0))=1,"Yes","No")</f>
        <v>No</v>
      </c>
      <c r="H1498" s="0" t="n">
        <f aca="false">INDEX(customer_churn_dataset!$N$2:$N$1501,MATCH($A1499,customer_churn_dataset!$A$2:$A$1501,0))</f>
        <v>525.93</v>
      </c>
      <c r="I1498" s="0" t="n">
        <f aca="false">INDEX(customer_churn_dataset!$O$2:$O$1501,MATCH($A1499,customer_churn_dataset!$A$2:$A$1501,0))</f>
        <v>0</v>
      </c>
      <c r="J1498" s="0" t="n">
        <f aca="false">INDEX(customer_churn_dataset!$T$2:$T$1501,MATCH($A1499,customer_churn_dataset!$A$2:$A$1501,0))</f>
        <v>2</v>
      </c>
      <c r="K1498" s="0" t="str">
        <f aca="false">INDEX(customer_churn_dataset!$V$2:$V$1501,MATCH($A1499,customer_churn_dataset!$A$2:$A$1501,0))</f>
        <v>Low Risk</v>
      </c>
    </row>
    <row r="1499" customFormat="false" ht="12.8" hidden="true" customHeight="false" outlineLevel="0" collapsed="false">
      <c r="A1499" s="22" t="str">
        <f aca="false">customer_churn_dataset!A1447</f>
        <v>CUST100310</v>
      </c>
      <c r="B1499" s="22" t="str">
        <f aca="false">customer_churn_dataset!B1447</f>
        <v>Basic</v>
      </c>
      <c r="C1499" s="22" t="str">
        <f aca="false">customer_churn_dataset!C1447</f>
        <v>Month-to-month</v>
      </c>
      <c r="D1499" s="0" t="n">
        <f aca="false">INDEX(customer_churn_dataset!$E$2:$E$1501,MATCH($A1500,customer_churn_dataset!$A$2:$A$1501,0))</f>
        <v>31</v>
      </c>
      <c r="E1499" s="0" t="n">
        <f aca="false">INDEX(customer_churn_dataset!$I$2:$I$1501,MATCH($A1500,customer_churn_dataset!$A$2:$A$1501,0))</f>
        <v>58.9</v>
      </c>
      <c r="F1499" s="0" t="n">
        <f aca="false">INDEX(customer_churn_dataset!$L$2:$L$1501,MATCH($A1500,customer_churn_dataset!$A$2:$A$1501,0))</f>
        <v>1</v>
      </c>
      <c r="G1499" s="0" t="str">
        <f aca="false">IF(INDEX(customer_churn_dataset!$M$2:$M$1501,MATCH($A1500,customer_churn_dataset!$A$2:$A$1501,0))=1,"Yes","No")</f>
        <v>No</v>
      </c>
      <c r="H1499" s="0" t="n">
        <f aca="false">INDEX(customer_churn_dataset!$N$2:$N$1501,MATCH($A1500,customer_churn_dataset!$A$2:$A$1501,0))</f>
        <v>373.86</v>
      </c>
      <c r="I1499" s="0" t="n">
        <f aca="false">INDEX(customer_churn_dataset!$O$2:$O$1501,MATCH($A1500,customer_churn_dataset!$A$2:$A$1501,0))</f>
        <v>0</v>
      </c>
      <c r="J1499" s="0" t="n">
        <f aca="false">INDEX(customer_churn_dataset!$T$2:$T$1501,MATCH($A1500,customer_churn_dataset!$A$2:$A$1501,0))</f>
        <v>2</v>
      </c>
      <c r="K1499" s="0" t="str">
        <f aca="false">INDEX(customer_churn_dataset!$V$2:$V$1501,MATCH($A1500,customer_churn_dataset!$A$2:$A$1501,0))</f>
        <v>Low Risk</v>
      </c>
    </row>
    <row r="1500" customFormat="false" ht="12.8" hidden="true" customHeight="false" outlineLevel="0" collapsed="false">
      <c r="A1500" s="22" t="str">
        <f aca="false">customer_churn_dataset!A1472</f>
        <v>CUST100764</v>
      </c>
      <c r="B1500" s="22" t="str">
        <f aca="false">customer_churn_dataset!B1472</f>
        <v>Basic</v>
      </c>
      <c r="C1500" s="22" t="str">
        <f aca="false">customer_churn_dataset!C1472</f>
        <v>Month-to-month</v>
      </c>
      <c r="D1500" s="0" t="n">
        <f aca="false">INDEX(customer_churn_dataset!$E$2:$E$1501,MATCH($A1501,customer_churn_dataset!$A$2:$A$1501,0))</f>
        <v>6</v>
      </c>
      <c r="E1500" s="0" t="n">
        <f aca="false">INDEX(customer_churn_dataset!$I$2:$I$1501,MATCH($A1501,customer_churn_dataset!$A$2:$A$1501,0))</f>
        <v>72.5</v>
      </c>
      <c r="F1500" s="0" t="n">
        <f aca="false">INDEX(customer_churn_dataset!$L$2:$L$1501,MATCH($A1501,customer_churn_dataset!$A$2:$A$1501,0))</f>
        <v>0</v>
      </c>
      <c r="G1500" s="0" t="str">
        <f aca="false">IF(INDEX(customer_churn_dataset!$M$2:$M$1501,MATCH($A1501,customer_churn_dataset!$A$2:$A$1501,0))=1,"Yes","No")</f>
        <v>No</v>
      </c>
      <c r="H1500" s="0" t="n">
        <f aca="false">INDEX(customer_churn_dataset!$N$2:$N$1501,MATCH($A1501,customer_churn_dataset!$A$2:$A$1501,0))</f>
        <v>68.46</v>
      </c>
      <c r="I1500" s="0" t="n">
        <f aca="false">INDEX(customer_churn_dataset!$O$2:$O$1501,MATCH($A1501,customer_churn_dataset!$A$2:$A$1501,0))</f>
        <v>0</v>
      </c>
      <c r="J1500" s="0" t="n">
        <f aca="false">INDEX(customer_churn_dataset!$T$2:$T$1501,MATCH($A1501,customer_churn_dataset!$A$2:$A$1501,0))</f>
        <v>3</v>
      </c>
      <c r="K1500" s="0" t="str">
        <f aca="false">INDEX(customer_churn_dataset!$V$2:$V$1501,MATCH($A1501,customer_churn_dataset!$A$2:$A$1501,0))</f>
        <v>Medium Risk</v>
      </c>
    </row>
    <row r="1501" customFormat="false" ht="12.8" hidden="true" customHeight="false" outlineLevel="0" collapsed="false">
      <c r="A1501" s="22" t="str">
        <f aca="false">customer_churn_dataset!A1483</f>
        <v>CUST101066</v>
      </c>
      <c r="B1501" s="22" t="str">
        <f aca="false">customer_churn_dataset!B1483</f>
        <v>Basic</v>
      </c>
      <c r="C1501" s="22" t="str">
        <f aca="false">customer_churn_dataset!C1483</f>
        <v>Month-to-month</v>
      </c>
      <c r="D1501" s="0" t="n">
        <f aca="false">INDEX(customer_churn_dataset!$E$2:$E$1501,MATCH($A1502,customer_churn_dataset!$A$2:$A$1501,0))</f>
        <v>38</v>
      </c>
      <c r="E1501" s="0" t="n">
        <f aca="false">INDEX(customer_churn_dataset!$I$2:$I$1501,MATCH($A1502,customer_churn_dataset!$A$2:$A$1501,0))</f>
        <v>61.8</v>
      </c>
      <c r="F1501" s="0" t="n">
        <f aca="false">INDEX(customer_churn_dataset!$L$2:$L$1501,MATCH($A1502,customer_churn_dataset!$A$2:$A$1501,0))</f>
        <v>4</v>
      </c>
      <c r="G1501" s="0" t="str">
        <f aca="false">IF(INDEX(customer_churn_dataset!$M$2:$M$1501,MATCH($A1502,customer_churn_dataset!$A$2:$A$1501,0))=1,"Yes","No")</f>
        <v>No</v>
      </c>
      <c r="H1501" s="0" t="n">
        <f aca="false">INDEX(customer_churn_dataset!$N$2:$N$1501,MATCH($A1502,customer_churn_dataset!$A$2:$A$1501,0))</f>
        <v>1478.96</v>
      </c>
      <c r="I1501" s="0" t="n">
        <f aca="false">INDEX(customer_churn_dataset!$O$2:$O$1501,MATCH($A1502,customer_churn_dataset!$A$2:$A$1501,0))</f>
        <v>0</v>
      </c>
      <c r="J1501" s="0" t="n">
        <f aca="false">INDEX(customer_churn_dataset!$T$2:$T$1501,MATCH($A1502,customer_churn_dataset!$A$2:$A$1501,0))</f>
        <v>1</v>
      </c>
      <c r="K1501" s="0" t="str">
        <f aca="false">INDEX(customer_churn_dataset!$V$2:$V$1501,MATCH($A1502,customer_churn_dataset!$A$2:$A$1501,0))</f>
        <v>Low Risk</v>
      </c>
    </row>
    <row r="1502" customFormat="false" ht="12.8" hidden="true" customHeight="false" outlineLevel="0" collapsed="false">
      <c r="A1502" s="22" t="str">
        <f aca="false">customer_churn_dataset!A1495</f>
        <v>CUST101103</v>
      </c>
      <c r="B1502" s="22" t="str">
        <f aca="false">customer_churn_dataset!B1495</f>
        <v>Premium</v>
      </c>
      <c r="C1502" s="22" t="str">
        <f aca="false">customer_churn_dataset!C1495</f>
        <v>Two year</v>
      </c>
      <c r="D1502" s="0" t="n">
        <f aca="false">INDEX(customer_churn_dataset!$E$2:$E$1501,MATCH($A1503,customer_churn_dataset!$A$2:$A$1501,0))</f>
        <v>2</v>
      </c>
      <c r="E1502" s="0" t="n">
        <f aca="false">INDEX(customer_churn_dataset!$I$2:$I$1501,MATCH($A1503,customer_churn_dataset!$A$2:$A$1501,0))</f>
        <v>65.6</v>
      </c>
      <c r="F1502" s="0" t="n">
        <f aca="false">INDEX(customer_churn_dataset!$L$2:$L$1501,MATCH($A1503,customer_churn_dataset!$A$2:$A$1501,0))</f>
        <v>4</v>
      </c>
      <c r="G1502" s="0" t="str">
        <f aca="false">IF(INDEX(customer_churn_dataset!$M$2:$M$1501,MATCH($A1503,customer_churn_dataset!$A$2:$A$1501,0))=1,"Yes","No")</f>
        <v>Yes</v>
      </c>
      <c r="H1502" s="0" t="n">
        <f aca="false">INDEX(customer_churn_dataset!$N$2:$N$1501,MATCH($A1503,customer_churn_dataset!$A$2:$A$1501,0))</f>
        <v>18.66</v>
      </c>
      <c r="I1502" s="0" t="n">
        <f aca="false">INDEX(customer_churn_dataset!$O$2:$O$1501,MATCH($A1503,customer_churn_dataset!$A$2:$A$1501,0))</f>
        <v>1</v>
      </c>
      <c r="J1502" s="0" t="n">
        <f aca="false">INDEX(customer_churn_dataset!$T$2:$T$1501,MATCH($A1503,customer_churn_dataset!$A$2:$A$1501,0))</f>
        <v>7</v>
      </c>
      <c r="K1502" s="0" t="str">
        <f aca="false">INDEX(customer_churn_dataset!$V$2:$V$1501,MATCH($A1503,customer_churn_dataset!$A$2:$A$1501,0))</f>
        <v>High Risk</v>
      </c>
    </row>
    <row r="1503" customFormat="false" ht="12.8" hidden="true" customHeight="false" outlineLevel="0" collapsed="false">
      <c r="A1503" s="22" t="str">
        <f aca="false">customer_churn_dataset!A1498</f>
        <v>CUST100239</v>
      </c>
      <c r="B1503" s="22" t="str">
        <f aca="false">customer_churn_dataset!B1498</f>
        <v>Basic</v>
      </c>
      <c r="C1503" s="22" t="str">
        <f aca="false">customer_churn_dataset!C1498</f>
        <v>Month-to-month</v>
      </c>
      <c r="D1503" s="0" t="e">
        <f aca="false">INDEX(customer_churn_dataset!$E$2:$E$1501,MATCH($A1504,customer_churn_dataset!$A$2:$A$1501,0))</f>
        <v>#N/A</v>
      </c>
      <c r="E1503" s="0" t="e">
        <f aca="false">INDEX(customer_churn_dataset!$I$2:$I$1501,MATCH($A1504,customer_churn_dataset!$A$2:$A$1501,0))</f>
        <v>#N/A</v>
      </c>
      <c r="F1503" s="0" t="e">
        <f aca="false">INDEX(customer_churn_dataset!$L$2:$L$1501,MATCH($A1504,customer_churn_dataset!$A$2:$A$1501,0))</f>
        <v>#N/A</v>
      </c>
      <c r="G1503" s="0" t="e">
        <f aca="false">IF(INDEX(customer_churn_dataset!$M$2:$M$1501,MATCH($A1504,customer_churn_dataset!$A$2:$A$1501,0))=1,"Yes","No")</f>
        <v>#N/A</v>
      </c>
      <c r="H1503" s="0" t="e">
        <f aca="false">INDEX(customer_churn_dataset!$N$2:$N$1501,MATCH($A1504,customer_churn_dataset!$A$2:$A$1501,0))</f>
        <v>#N/A</v>
      </c>
      <c r="I1503" s="0" t="e">
        <f aca="false">INDEX(customer_churn_dataset!$O$2:$O$1501,MATCH($A1504,customer_churn_dataset!$A$2:$A$1501,0))</f>
        <v>#N/A</v>
      </c>
      <c r="J1503" s="0" t="e">
        <f aca="false">INDEX(customer_churn_dataset!$T$2:$T$1501,MATCH($A1504,customer_churn_dataset!$A$2:$A$1501,0))</f>
        <v>#N/A</v>
      </c>
      <c r="K1503" s="0" t="e">
        <f aca="false">INDEX(customer_churn_dataset!$V$2:$V$1501,MATCH($A1504,customer_churn_dataset!$A$2:$A$1501,0))</f>
        <v>#N/A</v>
      </c>
    </row>
    <row r="1504" customFormat="false" ht="12.8" hidden="true" customHeight="false" outlineLevel="0" collapsed="false">
      <c r="A1504" s="22"/>
      <c r="B1504" s="22"/>
      <c r="C1504" s="22"/>
    </row>
    <row r="1505" customFormat="false" ht="12.8" hidden="true" customHeight="false" outlineLevel="0" collapsed="false">
      <c r="A1505" s="22"/>
      <c r="B1505" s="22"/>
      <c r="C1505" s="22"/>
    </row>
    <row r="1506" customFormat="false" ht="12.8" hidden="true" customHeight="false" outlineLevel="0" collapsed="false">
      <c r="A1506" s="22"/>
      <c r="B1506" s="22"/>
      <c r="C1506" s="22"/>
    </row>
    <row r="1507" customFormat="false" ht="12.8" hidden="true" customHeight="false" outlineLevel="0" collapsed="false">
      <c r="A1507" s="22"/>
      <c r="B1507" s="22"/>
      <c r="C1507" s="22"/>
    </row>
    <row r="1508" customFormat="false" ht="12.8" hidden="true" customHeight="false" outlineLevel="0" collapsed="false">
      <c r="A1508" s="22"/>
      <c r="B1508" s="22"/>
      <c r="C1508" s="22"/>
    </row>
    <row r="1509" customFormat="false" ht="12.8" hidden="true" customHeight="false" outlineLevel="0" collapsed="false">
      <c r="A1509" s="22"/>
      <c r="B1509" s="22"/>
      <c r="C1509" s="22"/>
    </row>
    <row r="1510" customFormat="false" ht="12.8" hidden="true" customHeight="false" outlineLevel="0" collapsed="false">
      <c r="A1510" s="22"/>
      <c r="B1510" s="22"/>
      <c r="C1510" s="22"/>
    </row>
    <row r="1511" customFormat="false" ht="12.8" hidden="true" customHeight="false" outlineLevel="0" collapsed="false">
      <c r="A1511" s="22"/>
      <c r="B1511" s="22"/>
      <c r="C1511" s="22"/>
    </row>
    <row r="1512" customFormat="false" ht="12.8" hidden="true" customHeight="false" outlineLevel="0" collapsed="false">
      <c r="A1512" s="22"/>
      <c r="B1512" s="22"/>
      <c r="C1512" s="22"/>
    </row>
    <row r="1513" customFormat="false" ht="12.8" hidden="true" customHeight="false" outlineLevel="0" collapsed="false">
      <c r="A1513" s="22"/>
      <c r="B1513" s="22"/>
      <c r="C1513" s="22"/>
    </row>
    <row r="1514" customFormat="false" ht="12.8" hidden="true" customHeight="false" outlineLevel="0" collapsed="false">
      <c r="A1514" s="22"/>
      <c r="B1514" s="22"/>
      <c r="C1514" s="22"/>
    </row>
    <row r="1515" customFormat="false" ht="12.8" hidden="true" customHeight="false" outlineLevel="0" collapsed="false">
      <c r="A1515" s="22"/>
      <c r="B1515" s="22"/>
      <c r="C1515" s="22"/>
    </row>
    <row r="1516" customFormat="false" ht="12.8" hidden="true" customHeight="false" outlineLevel="0" collapsed="false">
      <c r="A1516" s="22"/>
      <c r="B1516" s="22"/>
      <c r="C1516" s="22"/>
    </row>
    <row r="1517" customFormat="false" ht="12.8" hidden="true" customHeight="false" outlineLevel="0" collapsed="false">
      <c r="A1517" s="22"/>
      <c r="B1517" s="22"/>
      <c r="C1517" s="22"/>
    </row>
    <row r="1518" customFormat="false" ht="12.8" hidden="true" customHeight="false" outlineLevel="0" collapsed="false">
      <c r="A1518" s="22"/>
      <c r="B1518" s="22"/>
      <c r="C1518" s="22"/>
    </row>
    <row r="1519" customFormat="false" ht="12.8" hidden="true" customHeight="false" outlineLevel="0" collapsed="false">
      <c r="A1519" s="22"/>
      <c r="B1519" s="22"/>
      <c r="C1519" s="22"/>
    </row>
    <row r="1520" customFormat="false" ht="12.8" hidden="true" customHeight="false" outlineLevel="0" collapsed="false">
      <c r="A1520" s="22"/>
      <c r="B1520" s="22"/>
      <c r="C1520" s="22"/>
    </row>
    <row r="1521" customFormat="false" ht="12.8" hidden="true" customHeight="false" outlineLevel="0" collapsed="false">
      <c r="A1521" s="22"/>
      <c r="B1521" s="22"/>
      <c r="C1521" s="22"/>
    </row>
    <row r="1522" customFormat="false" ht="12.8" hidden="true" customHeight="false" outlineLevel="0" collapsed="false">
      <c r="A1522" s="22"/>
      <c r="B1522" s="22"/>
      <c r="C1522" s="22"/>
    </row>
    <row r="1523" customFormat="false" ht="12.8" hidden="true" customHeight="false" outlineLevel="0" collapsed="false">
      <c r="A1523" s="22"/>
      <c r="B1523" s="22"/>
      <c r="C1523" s="22"/>
    </row>
    <row r="1524" customFormat="false" ht="12.8" hidden="true" customHeight="false" outlineLevel="0" collapsed="false">
      <c r="A1524" s="22"/>
      <c r="B1524" s="22"/>
      <c r="C1524" s="22"/>
    </row>
    <row r="1525" customFormat="false" ht="12.8" hidden="true" customHeight="false" outlineLevel="0" collapsed="false">
      <c r="A1525" s="22"/>
      <c r="B1525" s="22"/>
      <c r="C1525" s="22"/>
    </row>
    <row r="1526" customFormat="false" ht="12.8" hidden="true" customHeight="false" outlineLevel="0" collapsed="false">
      <c r="A1526" s="22"/>
      <c r="B1526" s="22"/>
      <c r="C1526" s="22"/>
    </row>
    <row r="1527" customFormat="false" ht="12.8" hidden="true" customHeight="false" outlineLevel="0" collapsed="false">
      <c r="A1527" s="22"/>
      <c r="B1527" s="22"/>
      <c r="C1527" s="22"/>
    </row>
    <row r="1528" customFormat="false" ht="12.8" hidden="true" customHeight="false" outlineLevel="0" collapsed="false">
      <c r="A1528" s="22"/>
      <c r="B1528" s="22"/>
      <c r="C1528" s="22"/>
    </row>
    <row r="1529" customFormat="false" ht="12.8" hidden="true" customHeight="false" outlineLevel="0" collapsed="false">
      <c r="A1529" s="22"/>
      <c r="B1529" s="22"/>
      <c r="C1529" s="22"/>
    </row>
    <row r="1530" customFormat="false" ht="12.8" hidden="true" customHeight="false" outlineLevel="0" collapsed="false">
      <c r="A1530" s="22"/>
      <c r="B1530" s="22"/>
      <c r="C1530" s="22"/>
    </row>
    <row r="1531" customFormat="false" ht="12.8" hidden="true" customHeight="false" outlineLevel="0" collapsed="false">
      <c r="A1531" s="22"/>
      <c r="B1531" s="22"/>
      <c r="C1531" s="22"/>
    </row>
    <row r="1532" customFormat="false" ht="12.8" hidden="true" customHeight="false" outlineLevel="0" collapsed="false">
      <c r="A1532" s="22"/>
      <c r="B1532" s="22"/>
      <c r="C1532" s="22"/>
    </row>
    <row r="1533" customFormat="false" ht="12.8" hidden="true" customHeight="false" outlineLevel="0" collapsed="false">
      <c r="A1533" s="22"/>
      <c r="B1533" s="22"/>
      <c r="C1533" s="22"/>
    </row>
    <row r="1534" customFormat="false" ht="12.8" hidden="true" customHeight="false" outlineLevel="0" collapsed="false">
      <c r="A1534" s="22"/>
      <c r="B1534" s="22"/>
      <c r="C1534" s="22"/>
    </row>
    <row r="1535" customFormat="false" ht="12.8" hidden="true" customHeight="false" outlineLevel="0" collapsed="false">
      <c r="A1535" s="22"/>
      <c r="B1535" s="22"/>
      <c r="C1535" s="22"/>
    </row>
    <row r="1536" customFormat="false" ht="12.8" hidden="true" customHeight="false" outlineLevel="0" collapsed="false">
      <c r="A1536" s="22"/>
      <c r="B1536" s="22"/>
      <c r="C1536" s="22"/>
    </row>
    <row r="1537" customFormat="false" ht="12.8" hidden="true" customHeight="false" outlineLevel="0" collapsed="false">
      <c r="A1537" s="22"/>
      <c r="B1537" s="22"/>
      <c r="C1537" s="22"/>
    </row>
    <row r="1538" customFormat="false" ht="12.8" hidden="true" customHeight="false" outlineLevel="0" collapsed="false">
      <c r="A1538" s="22"/>
      <c r="B1538" s="22"/>
      <c r="C1538" s="22"/>
    </row>
    <row r="1539" customFormat="false" ht="12.8" hidden="true" customHeight="false" outlineLevel="0" collapsed="false">
      <c r="A1539" s="22"/>
      <c r="B1539" s="22"/>
      <c r="C1539" s="22"/>
    </row>
    <row r="1540" customFormat="false" ht="12.8" hidden="true" customHeight="false" outlineLevel="0" collapsed="false">
      <c r="A1540" s="22"/>
      <c r="B1540" s="22"/>
      <c r="C1540" s="22"/>
    </row>
    <row r="1541" customFormat="false" ht="12.8" hidden="true" customHeight="false" outlineLevel="0" collapsed="false">
      <c r="A1541" s="22"/>
      <c r="B1541" s="22"/>
      <c r="C1541" s="22"/>
    </row>
    <row r="1542" customFormat="false" ht="12.8" hidden="true" customHeight="false" outlineLevel="0" collapsed="false">
      <c r="A1542" s="22"/>
      <c r="B1542" s="22"/>
      <c r="C1542" s="22"/>
    </row>
    <row r="1543" customFormat="false" ht="12.8" hidden="true" customHeight="false" outlineLevel="0" collapsed="false">
      <c r="A1543" s="22"/>
      <c r="B1543" s="22"/>
      <c r="C1543" s="22"/>
    </row>
    <row r="1544" customFormat="false" ht="12.8" hidden="true" customHeight="false" outlineLevel="0" collapsed="false">
      <c r="A1544" s="22"/>
      <c r="B1544" s="22"/>
      <c r="C1544" s="22"/>
    </row>
    <row r="1545" customFormat="false" ht="12.8" hidden="true" customHeight="false" outlineLevel="0" collapsed="false">
      <c r="A1545" s="22"/>
      <c r="B1545" s="22"/>
      <c r="C1545" s="22"/>
    </row>
    <row r="1546" customFormat="false" ht="12.8" hidden="true" customHeight="false" outlineLevel="0" collapsed="false">
      <c r="A1546" s="22"/>
      <c r="B1546" s="22"/>
      <c r="C1546" s="22"/>
    </row>
    <row r="1547" customFormat="false" ht="12.8" hidden="true" customHeight="false" outlineLevel="0" collapsed="false">
      <c r="A1547" s="22"/>
      <c r="B1547" s="22"/>
      <c r="C1547" s="22"/>
    </row>
    <row r="1548" customFormat="false" ht="12.8" hidden="true" customHeight="false" outlineLevel="0" collapsed="false">
      <c r="A1548" s="22"/>
      <c r="B1548" s="22"/>
      <c r="C1548" s="22"/>
    </row>
    <row r="1549" customFormat="false" ht="12.8" hidden="true" customHeight="false" outlineLevel="0" collapsed="false">
      <c r="A1549" s="22"/>
      <c r="B1549" s="22"/>
      <c r="C1549" s="22"/>
    </row>
    <row r="1550" customFormat="false" ht="12.8" hidden="true" customHeight="false" outlineLevel="0" collapsed="false">
      <c r="A1550" s="22"/>
      <c r="B1550" s="22"/>
      <c r="C1550" s="22"/>
    </row>
    <row r="1551" customFormat="false" ht="12.8" hidden="true" customHeight="false" outlineLevel="0" collapsed="false">
      <c r="A1551" s="22"/>
      <c r="B1551" s="22"/>
      <c r="C1551" s="22"/>
    </row>
    <row r="1552" customFormat="false" ht="12.8" hidden="true" customHeight="false" outlineLevel="0" collapsed="false">
      <c r="A1552" s="22"/>
      <c r="B1552" s="22"/>
      <c r="C1552" s="22"/>
    </row>
    <row r="1553" customFormat="false" ht="12.8" hidden="true" customHeight="false" outlineLevel="0" collapsed="false">
      <c r="A1553" s="22"/>
      <c r="B1553" s="22"/>
      <c r="C1553" s="22"/>
    </row>
    <row r="1554" customFormat="false" ht="12.8" hidden="true" customHeight="false" outlineLevel="0" collapsed="false">
      <c r="A1554" s="22"/>
      <c r="B1554" s="22"/>
      <c r="C1554" s="22"/>
    </row>
    <row r="1555" customFormat="false" ht="12.8" hidden="true" customHeight="false" outlineLevel="0" collapsed="false">
      <c r="A1555" s="22"/>
      <c r="B1555" s="22"/>
      <c r="C1555" s="22"/>
    </row>
    <row r="1556" customFormat="false" ht="12.8" hidden="true" customHeight="false" outlineLevel="0" collapsed="false">
      <c r="A1556" s="22"/>
      <c r="B1556" s="22"/>
      <c r="C1556" s="22"/>
    </row>
    <row r="1557" customFormat="false" ht="12.8" hidden="true" customHeight="false" outlineLevel="0" collapsed="false">
      <c r="A1557" s="22"/>
      <c r="B1557" s="22"/>
      <c r="C1557" s="22"/>
    </row>
    <row r="1558" customFormat="false" ht="12.8" hidden="true" customHeight="false" outlineLevel="0" collapsed="false">
      <c r="A1558" s="22"/>
      <c r="B1558" s="22"/>
      <c r="C1558" s="22"/>
    </row>
    <row r="1559" customFormat="false" ht="12.8" hidden="true" customHeight="false" outlineLevel="0" collapsed="false">
      <c r="A1559" s="22"/>
      <c r="B1559" s="22"/>
      <c r="C1559" s="22"/>
    </row>
    <row r="1560" customFormat="false" ht="12.8" hidden="true" customHeight="false" outlineLevel="0" collapsed="false">
      <c r="A1560" s="22"/>
      <c r="B1560" s="22"/>
      <c r="C1560" s="22"/>
    </row>
    <row r="1561" customFormat="false" ht="12.8" hidden="true" customHeight="false" outlineLevel="0" collapsed="false">
      <c r="A1561" s="22"/>
      <c r="B1561" s="22"/>
      <c r="C1561" s="22"/>
    </row>
    <row r="1562" customFormat="false" ht="12.8" hidden="true" customHeight="false" outlineLevel="0" collapsed="false">
      <c r="A1562" s="22"/>
      <c r="B1562" s="22"/>
      <c r="C1562" s="22"/>
    </row>
  </sheetData>
  <autoFilter ref="A3:K1503">
    <filterColumn colId="9">
      <top10 top="true" percent="false" val="50"/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2026-10-01T13:00:51Z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